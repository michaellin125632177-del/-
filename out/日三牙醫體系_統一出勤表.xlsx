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設定" sheetId="2" state="visible" r:id="rId2"/>
    <sheet name="醫師週班表" sheetId="3" state="visible" r:id="rId3"/>
    <sheet name="醫師班表" sheetId="4" state="visible" r:id="rId4"/>
    <sheet name="醫師月結" sheetId="5" state="visible" r:id="rId5"/>
    <sheet name="助理班表" sheetId="6" state="visible" r:id="rId6"/>
    <sheet name="打卡匯入" sheetId="7" state="visible" r:id="rId7"/>
    <sheet name="出勤紀錄" sheetId="8" state="visible" r:id="rId8"/>
    <sheet name="月結統計" sheetId="9" state="visible" r:id="rId9"/>
  </sheets>
  <definedNames>
    <definedName name="_xlnm._FilterDatabase" localSheetId="6" hidden="1">'打卡匯入'!$A$2:$F$2002</definedName>
    <definedName name="_xlnm._FilterDatabase" localSheetId="7" hidden="1">'出勤紀錄'!$A$2:$S$1862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hh:mm"/>
    <numFmt numFmtId="165" formatCode="0.0"/>
    <numFmt numFmtId="166" formatCode="yyyy-mm-dd"/>
    <numFmt numFmtId="167" formatCode="yyyy/m/d"/>
    <numFmt numFmtId="168" formatCode="0;-0;&quot;–&quot;"/>
    <numFmt numFmtId="169" formatCode="0.00;-0.00;&quot;–&quot;"/>
  </numFmts>
  <fonts count="14">
    <font>
      <name val="Calibri"/>
      <family val="2"/>
      <color theme="1"/>
      <sz val="11"/>
      <scheme val="minor"/>
    </font>
    <font>
      <name val="微軟正黑體"/>
      <b val="1"/>
      <color rgb="00000000"/>
      <sz val="16"/>
    </font>
    <font>
      <name val="微軟正黑體"/>
      <b val="1"/>
      <color rgb="00000000"/>
      <sz val="10"/>
    </font>
    <font>
      <name val="微軟正黑體"/>
      <color rgb="00000000"/>
      <sz val="10"/>
    </font>
    <font>
      <name val="微軟正黑體"/>
      <color rgb="00808080"/>
      <sz val="9"/>
    </font>
    <font>
      <name val="微軟正黑體"/>
      <b val="1"/>
      <color rgb="00000000"/>
      <sz val="11"/>
    </font>
    <font>
      <name val="微軟正黑體"/>
      <b val="1"/>
      <color rgb="00FFFFFF"/>
      <sz val="10"/>
    </font>
    <font>
      <name val="微軟正黑體"/>
      <color rgb="00000000"/>
      <sz val="9"/>
    </font>
    <font>
      <name val="微軟正黑體"/>
      <color rgb="00A8433C"/>
      <sz val="9"/>
    </font>
    <font>
      <name val="微軟正黑體"/>
      <b val="1"/>
      <color rgb="00000000"/>
      <sz val="9"/>
    </font>
    <font>
      <name val="微軟正黑體"/>
      <color rgb="00000000"/>
      <sz val="8"/>
    </font>
    <font>
      <name val="微軟正黑體"/>
      <b val="1"/>
      <color rgb="00FFFFFF"/>
      <sz val="8"/>
    </font>
    <font>
      <name val="微軟正黑體"/>
      <b val="1"/>
      <color rgb="00000000"/>
      <sz val="8"/>
    </font>
    <font>
      <name val="微軟正黑體"/>
      <color rgb="00BBBBBB"/>
      <sz val="8"/>
    </font>
  </fonts>
  <fills count="12">
    <fill>
      <patternFill/>
    </fill>
    <fill>
      <patternFill patternType="gray125"/>
    </fill>
    <fill>
      <patternFill patternType="solid">
        <fgColor rgb="00DCE6EC"/>
      </patternFill>
    </fill>
    <fill>
      <patternFill patternType="solid">
        <fgColor rgb="00FFF2CC"/>
      </patternFill>
    </fill>
    <fill>
      <patternFill patternType="solid">
        <fgColor rgb="001F4E5F"/>
      </patternFill>
    </fill>
    <fill>
      <patternFill patternType="solid">
        <fgColor rgb="00FBE3EC"/>
      </patternFill>
    </fill>
    <fill>
      <patternFill patternType="solid">
        <fgColor rgb="00D9E7F5"/>
      </patternFill>
    </fill>
    <fill>
      <patternFill patternType="solid">
        <fgColor rgb="00DCEEDC"/>
      </patternFill>
    </fill>
    <fill>
      <patternFill patternType="solid">
        <fgColor rgb="00E8DFF2"/>
      </patternFill>
    </fill>
    <fill>
      <patternFill patternType="solid">
        <fgColor rgb="00FAE8A0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10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7F7F7F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7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7" fontId="2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0" fillId="0" borderId="8" pivotButton="0" quotePrefix="0" xfId="0"/>
    <xf numFmtId="0" fontId="10" fillId="2" borderId="9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8" borderId="9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12" fillId="6" borderId="9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9" borderId="9" applyAlignment="1" pivotButton="0" quotePrefix="0" xfId="0">
      <alignment horizontal="center" vertical="center"/>
    </xf>
    <xf numFmtId="0" fontId="12" fillId="7" borderId="9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0" fillId="0" borderId="7" pivotButton="0" quotePrefix="0" xfId="0"/>
    <xf numFmtId="0" fontId="12" fillId="2" borderId="9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9" fillId="0" borderId="9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3" fillId="0" borderId="0" pivotButton="0" quotePrefix="0" xfId="0"/>
    <xf numFmtId="0" fontId="9" fillId="5" borderId="1" applyAlignment="1" pivotButton="0" quotePrefix="0" xfId="0">
      <alignment horizontal="center" vertical="center"/>
    </xf>
    <xf numFmtId="168" fontId="12" fillId="10" borderId="9" applyAlignment="1" pivotButton="0" quotePrefix="0" xfId="0">
      <alignment horizontal="center" vertical="center"/>
    </xf>
    <xf numFmtId="168" fontId="12" fillId="1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168" fontId="9" fillId="1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 wrapText="1"/>
    </xf>
    <xf numFmtId="164" fontId="7" fillId="3" borderId="1" applyAlignment="1" pivotButton="0" quotePrefix="0" xfId="0">
      <alignment horizontal="center" vertical="center"/>
    </xf>
    <xf numFmtId="167" fontId="7" fillId="10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center" vertical="center"/>
    </xf>
    <xf numFmtId="168" fontId="7" fillId="10" borderId="1" applyAlignment="1" pivotButton="0" quotePrefix="0" xfId="0">
      <alignment horizontal="center" vertical="center"/>
    </xf>
    <xf numFmtId="169" fontId="7" fillId="10" borderId="1" applyAlignment="1" pivotButton="0" quotePrefix="0" xfId="0">
      <alignment horizontal="center" vertical="center"/>
    </xf>
    <xf numFmtId="165" fontId="7" fillId="10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12">
    <dxf>
      <fill>
        <patternFill patternType="solid">
          <fgColor rgb="00FBE3EC"/>
        </patternFill>
      </fill>
    </dxf>
    <dxf>
      <fill>
        <patternFill patternType="solid">
          <fgColor rgb="00D9E7F5"/>
        </patternFill>
      </fill>
    </dxf>
    <dxf>
      <fill>
        <patternFill patternType="solid">
          <fgColor rgb="00DCEEDC"/>
        </patternFill>
      </fill>
    </dxf>
    <dxf>
      <fill>
        <patternFill patternType="solid">
          <fgColor rgb="00E8DFF2"/>
        </patternFill>
      </fill>
    </dxf>
    <dxf>
      <fill>
        <patternFill patternType="solid">
          <fgColor rgb="00FAE8A0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DDEBF7"/>
        </patternFill>
      </fill>
    </dxf>
    <dxf>
      <border>
        <left style="medium">
          <color rgb="00C00000"/>
        </left>
        <right style="medium">
          <color rgb="00C00000"/>
        </right>
        <top style="medium">
          <color rgb="00C00000"/>
        </top>
        <bottom style="medium">
          <color rgb="00C00000"/>
        </bottom>
      </border>
    </dxf>
    <dxf>
      <fill>
        <patternFill patternType="solid">
          <fgColor rgb="00FF9999"/>
        </patternFill>
      </fill>
    </dxf>
    <dxf>
      <fill>
        <patternFill patternType="solid">
          <fgColor rgb="00FCE4E4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06" customWidth="1" min="3" max="3"/>
  </cols>
  <sheetData>
    <row r="2">
      <c r="B2" s="1" t="inlineStr">
        <is>
          <t>日三牙醫體系 — 統一出勤表 使用說明</t>
        </is>
      </c>
    </row>
    <row r="4" ht="53" customHeight="1">
      <c r="B4" s="2" t="inlineStr">
        <is>
          <t>為什麼是一個檔</t>
        </is>
      </c>
      <c r="C4" s="3" t="inlineStr">
        <is>
          <t>體系 27 位醫師裡有 18 位跨院看診,林智俊院長一個人就跑四間。
若一間院所一個檔,排他一個月要開四個檔,而且沒有任何機制擋得住「同一個早診
同時被排在晶悅和晶睿」。所以全體系共用這一個檔。</t>
        </is>
      </c>
    </row>
    <row r="5" ht="68" customHeight="1">
      <c r="B5" s="2" t="inlineStr">
        <is>
          <t>醫師與助理為什麼分開排</t>
        </is>
      </c>
      <c r="C5" s="3" t="inlineStr">
        <is>
          <t>醫師的一天是「幾個診次」,助理的一天是「幾個小時」,兩者不能塞進同一種格子。
醫師 → 醫師班表:一人一列,橫向 31 天 × 早/午/晚,格內填院所代碼(悅睿匯曜寶)。
   一格只容得下一間院所,衝堂在結構上就不可能發生。
助理與醫護長 → 助理班表:一人一列,橫向 31 天,格內填班別代碼(A/P/OFF/特…)。</t>
        </is>
      </c>
    </row>
    <row r="6" ht="83" customHeight="1">
      <c r="B6" s="2" t="inlineStr">
        <is>
          <t>九個分頁怎麼分工</t>
        </is>
      </c>
      <c r="C6" s="3" t="inlineStr">
        <is>
          <t>① 說明 ② 設定 — 總部維護,各院所勿動。
③ 醫師週班表 — 官網門診表的固定週輪值,是排月班的母表。
④ 醫師班表 ⑤ 醫師月結 — 本月實際診次,由週班表自動展開。
⑥ 助理班表 — 各院所醫護長填自己院所那幾列。
⑦ 打卡匯入 ⑧ 出勤紀錄 ⑨ 月結統計 — 助理與醫護長的法定出勤與月結。</t>
        </is>
      </c>
    </row>
    <row r="7" ht="68" customHeight="1">
      <c r="B7" s="2" t="inlineStr">
        <is>
          <t>週班表與月班表的關係</t>
        </is>
      </c>
      <c r="C7" s="3" t="inlineStr">
        <is>
          <t>門診表是固定的每週輪值,所以月班表不必一格一格填——「醫師班表」已經照
「醫師週班表」把整個月展開好了,直接改例外即可(請假就把該格改成假別代碼)。
⚠ 改「設定」的本期年月只會更新日期與星期列,格子裡的班不會重排。換月份時
   請告知重新產生,或自行把上個月的格子整段調整。</t>
        </is>
      </c>
    </row>
    <row r="8" ht="68" customHeight="1">
      <c r="B8" s="2" t="inlineStr">
        <is>
          <t>各院所診次時間不一樣</t>
        </is>
      </c>
      <c r="C8" s="3" t="inlineStr">
        <is>
          <t>晶悅/晶睿/晶匯/晶曜:早 09:00~11:30、午 14:00~16:30、晚 18:00~20:30。
寶貝牙:早 09:00~14:00、午 14:00~17:00、晚 17:30~21:00,且週一至週五早診休診。
五間院所週日全休、週六晚診全休。醫師班表的早/午/晚只是時段代號,
實際幾點到幾點依「設定」院所清單裡該院所的定義。開診時段表也在那裡。</t>
        </is>
      </c>
    </row>
    <row r="9" ht="53" customHeight="1">
      <c r="B9" s="2" t="inlineStr">
        <is>
          <t>每月作業流程</t>
        </is>
      </c>
      <c r="C9" s="3" t="inlineStr">
        <is>
          <t>上月底:總部排醫師班表 → 看底下五列「各院所每診次醫師數」有沒有 0 → 發給各院所。
     各院所醫護長排助理班表 → 檢查人力檢核列 → 交回。
當月底:打卡機匯出檔貼進「打卡匯入」→ 到「出勤紀錄」處理異常 → 月結送人資。</t>
        </is>
      </c>
    </row>
    <row r="10" ht="83" customHeight="1">
      <c r="B10" s="2" t="inlineStr">
        <is>
          <t>醫師班表怎麼填</t>
        </is>
      </c>
      <c r="C10" s="3" t="inlineStr">
        <is>
          <t>每一天有三格:早診、午診、晚診。格內填院所代碼,空白代表該診次沒排班。
  悅 = 晶悅   睿 = 晶睿   匯 = 晶匯   曜 = 晶曜   寶 = 寶貝牙
請假也是填在診次格裡(特/病/事/公/國/OFF/休),因為醫師請假常常只請半天。
所以醫師的月結一律以「診次」為單位,不是天數——請假 3 個診次就是請一天。
五種院所代碼各有底色,一位醫師整月在五間之間怎麼跑,橫著看一列就知道。</t>
        </is>
      </c>
    </row>
    <row r="11" ht="188" customHeight="1">
      <c r="B11" s="2" t="inlineStr">
        <is>
          <t>改班表哪裡會跟著變</t>
        </is>
      </c>
      <c r="C11" s="3" t="inlineStr">
        <is>
          <t>資料是這樣流的,兩邊改都會立刻反映到月結:
  醫師週班表 →(公式)→ 醫師班表 →(公式)→ 醫師月結
① 改「醫師週班表」= 改固定門診(某位醫師從此改成週三晚診)。
   醫師班表整個月的對應格子會立刻跟著變,月結也立刻變。
② 直接改「醫師班表」的格子 = 這個月的單次例外(某天請假、臨時調班)。
   月結一樣立刻變。
⚠ 但②有個副作用:你打字覆蓋的那一格,原本的公式就沒了,
   從此不再跟著週班表走。那種格子會自動加上紅色外框提醒你。
   要讓它恢復連動,從左右鄰近沒被改過的格子複製一格貼回來即可。
   (旁邊的格子公式一樣,貼過來會自動對應到正確的日期與診次。)</t>
        </is>
      </c>
    </row>
    <row r="12" ht="128" customHeight="1">
      <c r="B12" s="2" t="inlineStr">
        <is>
          <t>醫師週班表的標記怎麼看</t>
        </is>
      </c>
      <c r="C12" s="3" t="inlineStr">
        <is>
          <t>週班表是母表,要表示「這一週在 A 院、下一週在 B 院」,所以比醫師班表多幾種寫法:
  悅        每週固定在晶悅
  悅(隔)    隔週在晶悅(單數週有、雙數週沒有)
  悅/睿     兩間輪替——斜線前是單數週、斜線後是雙數週,全表共四組
  寶(不定)  官網註明非每週固定,需向院所確認
  悅(註)    有附加條件,寫在該列最右邊的附註欄
完整對照表在「設定」分頁的「二之二、醫師週班表的標記」。
醫師班表(月班表)不用這些標記,一格就是一個單純的代碼。</t>
        </is>
      </c>
    </row>
    <row r="13" ht="68" customHeight="1">
      <c r="B13" s="2" t="inlineStr">
        <is>
          <t>出勤紀錄怎麼看</t>
        </is>
      </c>
      <c r="C13" s="3" t="inlineStr">
        <is>
          <t>一人一天一列,自動把助理班表與打卡對起來,判定五種狀態:
正常、遲到、早退、未打卡、假日出勤。紅底 = 需處理;橘底 = 當天有加班。
用上方篩選鈕只看非「正常」的最快。沒有打卡機的院所,可把「實際上班/下班」
兩欄公式刪掉改成手填,其餘照算。</t>
        </is>
      </c>
    </row>
    <row r="14" ht="68" customHeight="1">
      <c r="B14" s="2" t="inlineStr">
        <is>
          <t>加班怎麼認定</t>
        </is>
      </c>
      <c r="C14" s="3" t="inlineStr">
        <is>
          <t>超過排班工時的分鐘數要跨過門檻(預設 30 分)才算加班,並無條件捨去到計算
單位(預設 30 分)。否則每天晚幾分鐘打卡都會被算成加班,一個月會憑空多出
好幾小時。遲到早退另有寬限(預設 5 分)。三個參數在「設定」的計算參數區。
這三個數字是勞資慣例、不是法規,上線前請人資確認,並讓同仁事先知道規則。</t>
        </is>
      </c>
    </row>
    <row r="15" ht="68" customHeight="1">
      <c r="B15" s="2" t="inlineStr">
        <is>
          <t>兩種下拉箭頭不一樣</t>
        </is>
      </c>
      <c r="C15" s="3" t="inlineStr">
        <is>
          <t>標題列上的箭頭是「篩選鈕」,用來隱藏或顯示列,不是拿來選資料的。
要選員工編號或班別代碼,請點「資料列」的格子——游標移上去右邊才會出現選單箭頭。
另外,助理班表、打卡匯入、出勤紀錄、月結統計這四個分頁在助理與醫護長名單匯入前
都是空的,篩選鈕點開只會看到「(空格)」,那是正常的,不是壞掉。</t>
        </is>
      </c>
    </row>
    <row r="16" ht="83" customHeight="1">
      <c r="B16" s="2" t="inlineStr">
        <is>
          <t>如果有些格子是空白的</t>
        </is>
      </c>
      <c r="C16" s="3" t="inlineStr">
        <is>
          <t>姓名、專科、日期、星期都是實際文字,任何檢視器都看得到。
但統計類的格子(醫師月結的診次數、班表底下的人力檢核、出勤紀錄、月結統計)是公式,
在不會重算公式的檢視器裡會顯示空白——手機預覽、雲端硬碟預覽、部分看圖工具都是這樣。
用 Excel 或 Google 試算表正式開啟就會算出來;若仍空白,按 Ctrl+Alt+F9 強制重算。
這些欄位不能寫死成固定數字,否則你改了班表,統計不會跟著變。</t>
        </is>
      </c>
    </row>
    <row r="17" ht="68" customHeight="1">
      <c r="B17" s="2" t="inlineStr">
        <is>
          <t>顏色代表什麼</t>
        </is>
      </c>
      <c r="C17" s="3" t="inlineStr">
        <is>
          <t>黃底 = 你要填的格子        灰底 = 公式自動算,別動
淺藍欄 = 週六/週日          灰色格 = 休假類代碼
五種院所底色 = 醫師該診次在哪一間
紅色 = 人力不足或出勤異常    橘色 = 有加班</t>
        </is>
      </c>
    </row>
    <row r="18" ht="68" customHeight="1">
      <c r="B18" s="2" t="inlineStr">
        <is>
          <t>⚠ 法規提醒</t>
        </is>
      </c>
      <c r="C18" s="3" t="inlineStr">
        <is>
          <t>依勞動基準法第 30 條,雇主應置備勞工出勤紀錄,逐日記載至分鐘為止,保存 5 年。
「出勤紀錄」分頁為此設計,但必須每月另存唯讀封存檔才算數,不要只留一份覆蓋。
加班時數為「實際工時 − 排班工時」,未依第 24 條換算費率,薪資須另行計算。
受僱醫師是否適用勞基法依僱傭契約與主管機關認定,建議請人資確認後再定義醫師工時。</t>
        </is>
      </c>
    </row>
    <row r="19" ht="113" customHeight="1">
      <c r="B19" s="2" t="inlineStr">
        <is>
          <t>⚠ 需要核對的三件事</t>
        </is>
      </c>
      <c r="C19" s="3" t="inlineStr">
        <is>
          <t>一、門診表是從截圖轉錄的,姓名與隔週標記請逐格核對「醫師週班表」。
   若能提供五個門診表頁面的網頁存檔,可以完全免除轉錄誤差。
二、陳爵安、吳冠廷、楊孟庭三位只出現在門診表,官網醫療團隊頁的名單沒有,
   已暫編 D025~D027,英文名與專科待補。
三、隔週互換有四組(劉立德週三、朱柏非週六、王泳泉週一、陳昺元週六),
   同一時段在兩間院所輪替。目前假設第 1、3、5 個該星期幾在前一間,
   第 2、4 個在後一間——哪一週在哪一間無從得知,務必確認。</t>
        </is>
      </c>
    </row>
    <row r="20" ht="83" customHeight="1">
      <c r="B20" s="2" t="inlineStr">
        <is>
          <t>目前待補的資料</t>
        </is>
      </c>
      <c r="C20" s="3" t="inlineStr">
        <is>
          <t>一、助理與醫護長名單尚未提供,助理班表/打卡匯入/出勤紀錄/月結統計四個分頁
   已經建好結構但沒有人員資料,名單一到即可直接灌入。
二、助理的班別時間(早班/晚班/中班/行政班)目前是暫定值,需要確認。
三、員工編號目前為暫編 D001~D027,若人事或打卡系統另有編號應以那套為準。
四、官網門診表有星號註記者(並非每週固定)需逐一向院所確認。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R20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18" customWidth="1" min="3" max="3"/>
    <col width="9" customWidth="1" min="4" max="4"/>
    <col width="11" customWidth="1" min="5" max="5"/>
    <col width="10" customWidth="1" min="6" max="6"/>
    <col width="11" customWidth="1" min="7" max="7"/>
    <col width="8" customWidth="1" min="8" max="8"/>
    <col width="9" customWidth="1" min="9" max="9"/>
    <col width="9" customWidth="1" min="10" max="10"/>
    <col width="2" customWidth="1" min="11" max="11"/>
    <col width="12" customWidth="1" min="12" max="12"/>
    <col width="2" customWidth="1" min="13" max="13"/>
    <col width="9" customWidth="1" min="14" max="14"/>
    <col width="8" customWidth="1" min="15" max="15"/>
    <col width="2" customWidth="1" min="16" max="16"/>
    <col width="13" customWidth="1" min="17" max="17"/>
    <col width="2" customWidth="1" min="18" max="18"/>
    <col width="16" customWidth="1" min="19" max="19"/>
    <col width="2" customWidth="1" min="20" max="20"/>
    <col width="12" customWidth="1" min="23" max="23"/>
    <col width="26" customWidth="1" min="24" max="24"/>
    <col width="8" customWidth="1" min="25" max="25"/>
    <col width="16" customWidth="1" min="42" max="42"/>
  </cols>
  <sheetData>
    <row r="1">
      <c r="B1" s="1" t="inlineStr">
        <is>
          <t>設定表(總部維護,各院所請勿修改)</t>
        </is>
      </c>
    </row>
    <row r="2">
      <c r="B2" s="4" t="inlineStr">
        <is>
          <t>本期年月</t>
        </is>
      </c>
      <c r="C2" s="5" t="n">
        <v>2026</v>
      </c>
      <c r="D2" s="5" t="n">
        <v>10</v>
      </c>
      <c r="E2" s="6" t="inlineStr">
        <is>
          <t>← 整份檔案的日期、星期都以這裡為準</t>
        </is>
      </c>
    </row>
    <row r="4">
      <c r="B4" s="7" t="inlineStr">
        <is>
          <t>一、助理/醫護長 班別代碼(工時制)</t>
        </is>
      </c>
      <c r="W4" s="2" t="inlineStr">
        <is>
          <t>六、2026 年國定假日(全院休診,班表自動填「國」)</t>
        </is>
      </c>
      <c r="X4" s="8" t="n"/>
      <c r="Y4" s="9" t="n"/>
    </row>
    <row r="5">
      <c r="B5" s="10" t="inlineStr">
        <is>
          <t>代碼</t>
        </is>
      </c>
      <c r="C5" s="10" t="inlineStr">
        <is>
          <t>名稱</t>
        </is>
      </c>
      <c r="D5" s="10" t="inlineStr">
        <is>
          <t>應到</t>
        </is>
      </c>
      <c r="E5" s="10" t="inlineStr">
        <is>
          <t>應退</t>
        </is>
      </c>
      <c r="F5" s="10" t="inlineStr">
        <is>
          <t>休息(分)</t>
        </is>
      </c>
      <c r="G5" s="10" t="inlineStr">
        <is>
          <t>排班工時</t>
        </is>
      </c>
      <c r="H5" s="10" t="inlineStr">
        <is>
          <t>計出勤</t>
        </is>
      </c>
      <c r="I5" s="10" t="inlineStr">
        <is>
          <t>類別</t>
        </is>
      </c>
      <c r="N5" s="11" t="inlineStr">
        <is>
          <t>星期對照</t>
        </is>
      </c>
      <c r="O5" s="11" t="inlineStr"/>
      <c r="Q5" s="11" t="inlineStr">
        <is>
          <t>醫師編號(下拉用)</t>
        </is>
      </c>
      <c r="S5" s="11" t="inlineStr">
        <is>
          <t>助理/醫護長編號(下拉用)</t>
        </is>
      </c>
      <c r="W5" s="10" t="inlineStr">
        <is>
          <t>日期</t>
        </is>
      </c>
      <c r="X5" s="10" t="inlineStr">
        <is>
          <t>名稱</t>
        </is>
      </c>
      <c r="Y5" s="10" t="inlineStr">
        <is>
          <t>類別</t>
        </is>
      </c>
      <c r="AP5" s="11" t="inlineStr">
        <is>
          <t>醫師週班表下拉選單來源(自動產生,勿刪)</t>
        </is>
      </c>
      <c r="AQ5" s="8" t="n"/>
      <c r="AR5" s="9" t="n"/>
    </row>
    <row r="6">
      <c r="B6" s="12" t="inlineStr">
        <is>
          <t>早</t>
        </is>
      </c>
      <c r="C6" s="13" t="inlineStr">
        <is>
          <t>早班</t>
        </is>
      </c>
      <c r="D6" s="14" t="n">
        <v>0.375</v>
      </c>
      <c r="E6" s="14" t="n">
        <v>0.5</v>
      </c>
      <c r="F6" s="12" t="n">
        <v>0</v>
      </c>
      <c r="G6" s="15" t="n">
        <v>3</v>
      </c>
      <c r="H6" s="12" t="n">
        <v>1</v>
      </c>
      <c r="I6" s="12" t="inlineStr">
        <is>
          <t>上班</t>
        </is>
      </c>
      <c r="N6" s="16" t="n">
        <v>1</v>
      </c>
      <c r="O6" s="16" t="inlineStr">
        <is>
          <t>日</t>
        </is>
      </c>
      <c r="Q6" s="16" t="inlineStr">
        <is>
          <t>D001</t>
        </is>
      </c>
      <c r="S6" s="17" t="inlineStr"/>
      <c r="W6" s="18" t="n">
        <v>46023</v>
      </c>
      <c r="X6" s="19" t="inlineStr">
        <is>
          <t>中華民國開國紀念日(週四)</t>
        </is>
      </c>
      <c r="Y6" s="20" t="inlineStr"/>
      <c r="AP6" s="16" t="inlineStr">
        <is>
          <t>悅</t>
        </is>
      </c>
    </row>
    <row r="7">
      <c r="B7" s="12" t="inlineStr">
        <is>
          <t>午</t>
        </is>
      </c>
      <c r="C7" s="13" t="inlineStr">
        <is>
          <t>午班</t>
        </is>
      </c>
      <c r="D7" s="14" t="n">
        <v>0.5833333333333334</v>
      </c>
      <c r="E7" s="14" t="n">
        <v>0.7083333333333334</v>
      </c>
      <c r="F7" s="12" t="n">
        <v>0</v>
      </c>
      <c r="G7" s="15" t="n">
        <v>3</v>
      </c>
      <c r="H7" s="12" t="n">
        <v>1</v>
      </c>
      <c r="I7" s="12" t="inlineStr">
        <is>
          <t>上班</t>
        </is>
      </c>
      <c r="N7" s="16" t="n">
        <v>2</v>
      </c>
      <c r="O7" s="16" t="inlineStr">
        <is>
          <t>一</t>
        </is>
      </c>
      <c r="Q7" s="16" t="inlineStr">
        <is>
          <t>D002</t>
        </is>
      </c>
      <c r="S7" s="17" t="inlineStr"/>
      <c r="W7" s="18" t="n">
        <v>46068</v>
      </c>
      <c r="X7" s="19" t="inlineStr">
        <is>
          <t>小年夜(週日)</t>
        </is>
      </c>
      <c r="Y7" s="20" t="inlineStr"/>
      <c r="AP7" s="16" t="inlineStr">
        <is>
          <t>睿</t>
        </is>
      </c>
    </row>
    <row r="8">
      <c r="B8" s="12" t="inlineStr">
        <is>
          <t>晚</t>
        </is>
      </c>
      <c r="C8" s="13" t="inlineStr">
        <is>
          <t>晚班</t>
        </is>
      </c>
      <c r="D8" s="14" t="n">
        <v>0.75</v>
      </c>
      <c r="E8" s="14" t="n">
        <v>0.875</v>
      </c>
      <c r="F8" s="12" t="n">
        <v>0</v>
      </c>
      <c r="G8" s="15" t="n">
        <v>3</v>
      </c>
      <c r="H8" s="12" t="n">
        <v>1</v>
      </c>
      <c r="I8" s="12" t="inlineStr">
        <is>
          <t>上班</t>
        </is>
      </c>
      <c r="N8" s="16" t="n">
        <v>3</v>
      </c>
      <c r="O8" s="16" t="inlineStr">
        <is>
          <t>二</t>
        </is>
      </c>
      <c r="Q8" s="16" t="inlineStr">
        <is>
          <t>D003</t>
        </is>
      </c>
      <c r="S8" s="17" t="inlineStr"/>
      <c r="W8" s="18" t="n">
        <v>46069</v>
      </c>
      <c r="X8" s="19" t="inlineStr">
        <is>
          <t>除夕(週一)</t>
        </is>
      </c>
      <c r="Y8" s="20" t="inlineStr"/>
      <c r="AP8" s="16" t="inlineStr">
        <is>
          <t>匯</t>
        </is>
      </c>
    </row>
    <row r="9">
      <c r="B9" s="12" t="inlineStr">
        <is>
          <t>早午</t>
        </is>
      </c>
      <c r="C9" s="13" t="inlineStr">
        <is>
          <t>早班+午班</t>
        </is>
      </c>
      <c r="D9" s="14" t="n">
        <v>0.375</v>
      </c>
      <c r="E9" s="14" t="n">
        <v>0.7083333333333334</v>
      </c>
      <c r="F9" s="12" t="n">
        <v>120</v>
      </c>
      <c r="G9" s="15" t="n">
        <v>6</v>
      </c>
      <c r="H9" s="12" t="n">
        <v>1</v>
      </c>
      <c r="I9" s="12" t="inlineStr">
        <is>
          <t>上班</t>
        </is>
      </c>
      <c r="N9" s="16" t="n">
        <v>4</v>
      </c>
      <c r="O9" s="16" t="inlineStr">
        <is>
          <t>三</t>
        </is>
      </c>
      <c r="Q9" s="16" t="inlineStr">
        <is>
          <t>D004</t>
        </is>
      </c>
      <c r="S9" s="17" t="inlineStr"/>
      <c r="W9" s="18" t="n">
        <v>46070</v>
      </c>
      <c r="X9" s="19" t="inlineStr">
        <is>
          <t>春節 初一(週二)</t>
        </is>
      </c>
      <c r="Y9" s="20" t="inlineStr"/>
      <c r="AP9" s="16" t="inlineStr">
        <is>
          <t>曜</t>
        </is>
      </c>
    </row>
    <row r="10">
      <c r="B10" s="12" t="inlineStr">
        <is>
          <t>午晚</t>
        </is>
      </c>
      <c r="C10" s="13" t="inlineStr">
        <is>
          <t>午班+晚班</t>
        </is>
      </c>
      <c r="D10" s="14" t="n">
        <v>0.5833333333333334</v>
      </c>
      <c r="E10" s="14" t="n">
        <v>0.875</v>
      </c>
      <c r="F10" s="12" t="n">
        <v>60</v>
      </c>
      <c r="G10" s="15" t="n">
        <v>6</v>
      </c>
      <c r="H10" s="12" t="n">
        <v>1</v>
      </c>
      <c r="I10" s="12" t="inlineStr">
        <is>
          <t>上班</t>
        </is>
      </c>
      <c r="N10" s="16" t="n">
        <v>5</v>
      </c>
      <c r="O10" s="16" t="inlineStr">
        <is>
          <t>四</t>
        </is>
      </c>
      <c r="Q10" s="16" t="inlineStr">
        <is>
          <t>D005</t>
        </is>
      </c>
      <c r="S10" s="17" t="inlineStr"/>
      <c r="W10" s="18" t="n">
        <v>46071</v>
      </c>
      <c r="X10" s="19" t="inlineStr">
        <is>
          <t>春節 初二(週三)</t>
        </is>
      </c>
      <c r="Y10" s="20" t="inlineStr"/>
      <c r="AP10" s="16" t="inlineStr">
        <is>
          <t>寶</t>
        </is>
      </c>
    </row>
    <row r="11">
      <c r="B11" s="12" t="inlineStr">
        <is>
          <t>早晚</t>
        </is>
      </c>
      <c r="C11" s="13" t="inlineStr">
        <is>
          <t>早班+晚班</t>
        </is>
      </c>
      <c r="D11" s="14" t="n">
        <v>0.375</v>
      </c>
      <c r="E11" s="14" t="n">
        <v>0.875</v>
      </c>
      <c r="F11" s="12" t="n">
        <v>360</v>
      </c>
      <c r="G11" s="15" t="n">
        <v>6</v>
      </c>
      <c r="H11" s="12" t="n">
        <v>1</v>
      </c>
      <c r="I11" s="12" t="inlineStr">
        <is>
          <t>上班</t>
        </is>
      </c>
      <c r="N11" s="16" t="n">
        <v>6</v>
      </c>
      <c r="O11" s="16" t="inlineStr">
        <is>
          <t>五</t>
        </is>
      </c>
      <c r="Q11" s="16" t="inlineStr">
        <is>
          <t>D006</t>
        </is>
      </c>
      <c r="S11" s="17" t="inlineStr"/>
      <c r="W11" s="18" t="n">
        <v>46072</v>
      </c>
      <c r="X11" s="19" t="inlineStr">
        <is>
          <t>春節 初三(週四)</t>
        </is>
      </c>
      <c r="Y11" s="20" t="inlineStr"/>
      <c r="AP11" s="16" t="inlineStr">
        <is>
          <t>悅(隔)</t>
        </is>
      </c>
    </row>
    <row r="12">
      <c r="B12" s="12" t="inlineStr">
        <is>
          <t>全日</t>
        </is>
      </c>
      <c r="C12" s="13" t="inlineStr">
        <is>
          <t>早+午+晚</t>
        </is>
      </c>
      <c r="D12" s="14" t="n">
        <v>0.375</v>
      </c>
      <c r="E12" s="14" t="n">
        <v>0.875</v>
      </c>
      <c r="F12" s="12" t="n">
        <v>180</v>
      </c>
      <c r="G12" s="15" t="n">
        <v>9</v>
      </c>
      <c r="H12" s="12" t="n">
        <v>1</v>
      </c>
      <c r="I12" s="12" t="inlineStr">
        <is>
          <t>上班</t>
        </is>
      </c>
      <c r="N12" s="16" t="n">
        <v>7</v>
      </c>
      <c r="O12" s="16" t="inlineStr">
        <is>
          <t>六</t>
        </is>
      </c>
      <c r="Q12" s="16" t="inlineStr">
        <is>
          <t>D007</t>
        </is>
      </c>
      <c r="S12" s="17" t="inlineStr"/>
      <c r="W12" s="18" t="n">
        <v>46080</v>
      </c>
      <c r="X12" s="19" t="inlineStr">
        <is>
          <t>和平紀念日 補假(週五)</t>
        </is>
      </c>
      <c r="Y12" s="20" t="inlineStr">
        <is>
          <t>補假</t>
        </is>
      </c>
      <c r="AP12" s="16" t="inlineStr">
        <is>
          <t>睿(隔)</t>
        </is>
      </c>
    </row>
    <row r="13">
      <c r="B13" s="12" t="inlineStr">
        <is>
          <t>支</t>
        </is>
      </c>
      <c r="C13" s="13" t="inlineStr">
        <is>
          <t>支援他院</t>
        </is>
      </c>
      <c r="D13" s="14" t="n"/>
      <c r="E13" s="14" t="n"/>
      <c r="F13" s="12" t="n">
        <v>0</v>
      </c>
      <c r="G13" s="15" t="n">
        <v>6</v>
      </c>
      <c r="H13" s="12" t="n">
        <v>1</v>
      </c>
      <c r="I13" s="12" t="inlineStr">
        <is>
          <t>上班</t>
        </is>
      </c>
      <c r="Q13" s="16" t="inlineStr">
        <is>
          <t>D008</t>
        </is>
      </c>
      <c r="S13" s="17" t="inlineStr"/>
      <c r="W13" s="18" t="n">
        <v>46081</v>
      </c>
      <c r="X13" s="19" t="inlineStr">
        <is>
          <t>和平紀念日(週六)</t>
        </is>
      </c>
      <c r="Y13" s="20" t="inlineStr"/>
      <c r="AP13" s="16" t="inlineStr">
        <is>
          <t>匯(隔)</t>
        </is>
      </c>
    </row>
    <row r="14">
      <c r="B14" s="12" t="inlineStr">
        <is>
          <t>訓</t>
        </is>
      </c>
      <c r="C14" s="13" t="inlineStr">
        <is>
          <t>教育訓練/會議</t>
        </is>
      </c>
      <c r="D14" s="14" t="n"/>
      <c r="E14" s="14" t="n"/>
      <c r="F14" s="12" t="n">
        <v>0</v>
      </c>
      <c r="G14" s="15" t="n">
        <v>6</v>
      </c>
      <c r="H14" s="12" t="n">
        <v>1</v>
      </c>
      <c r="I14" s="12" t="inlineStr">
        <is>
          <t>上班</t>
        </is>
      </c>
      <c r="Q14" s="16" t="inlineStr">
        <is>
          <t>D009</t>
        </is>
      </c>
      <c r="S14" s="17" t="inlineStr"/>
      <c r="W14" s="18" t="n">
        <v>46115</v>
      </c>
      <c r="X14" s="19" t="inlineStr">
        <is>
          <t>兒童節 補假(週五)</t>
        </is>
      </c>
      <c r="Y14" s="20" t="inlineStr">
        <is>
          <t>補假</t>
        </is>
      </c>
      <c r="AP14" s="16" t="inlineStr">
        <is>
          <t>曜(隔)</t>
        </is>
      </c>
    </row>
    <row r="15">
      <c r="B15" s="12" t="inlineStr">
        <is>
          <t>OFF</t>
        </is>
      </c>
      <c r="C15" s="13" t="inlineStr">
        <is>
          <t>排休</t>
        </is>
      </c>
      <c r="D15" s="14" t="n"/>
      <c r="E15" s="14" t="n"/>
      <c r="F15" s="12" t="n">
        <v>0</v>
      </c>
      <c r="G15" s="15" t="n">
        <v>0</v>
      </c>
      <c r="H15" s="12" t="n">
        <v>0</v>
      </c>
      <c r="I15" s="12" t="inlineStr">
        <is>
          <t>休假</t>
        </is>
      </c>
      <c r="Q15" s="16" t="inlineStr">
        <is>
          <t>D010</t>
        </is>
      </c>
      <c r="S15" s="17" t="inlineStr"/>
      <c r="W15" s="18" t="n">
        <v>46116</v>
      </c>
      <c r="X15" s="19" t="inlineStr">
        <is>
          <t>兒童節(週六)</t>
        </is>
      </c>
      <c r="Y15" s="20" t="inlineStr"/>
      <c r="AP15" s="16" t="inlineStr">
        <is>
          <t>寶(隔)</t>
        </is>
      </c>
    </row>
    <row r="16">
      <c r="B16" s="12" t="inlineStr">
        <is>
          <t>特</t>
        </is>
      </c>
      <c r="C16" s="13" t="inlineStr">
        <is>
          <t>特休</t>
        </is>
      </c>
      <c r="D16" s="14" t="n"/>
      <c r="E16" s="14" t="n"/>
      <c r="F16" s="12" t="n">
        <v>0</v>
      </c>
      <c r="G16" s="15" t="n">
        <v>0</v>
      </c>
      <c r="H16" s="12" t="n">
        <v>0</v>
      </c>
      <c r="I16" s="12" t="inlineStr">
        <is>
          <t>休假</t>
        </is>
      </c>
      <c r="Q16" s="16" t="inlineStr">
        <is>
          <t>D011</t>
        </is>
      </c>
      <c r="S16" s="17" t="inlineStr"/>
      <c r="W16" s="18" t="n">
        <v>46117</v>
      </c>
      <c r="X16" s="19" t="inlineStr">
        <is>
          <t>清明節(週日)</t>
        </is>
      </c>
      <c r="Y16" s="20" t="inlineStr"/>
      <c r="AP16" s="16" t="inlineStr">
        <is>
          <t>寶(不定)</t>
        </is>
      </c>
    </row>
    <row r="17">
      <c r="B17" s="12" t="inlineStr">
        <is>
          <t>病</t>
        </is>
      </c>
      <c r="C17" s="13" t="inlineStr">
        <is>
          <t>病假</t>
        </is>
      </c>
      <c r="D17" s="14" t="n"/>
      <c r="E17" s="14" t="n"/>
      <c r="F17" s="12" t="n">
        <v>0</v>
      </c>
      <c r="G17" s="15" t="n">
        <v>0</v>
      </c>
      <c r="H17" s="12" t="n">
        <v>0</v>
      </c>
      <c r="I17" s="12" t="inlineStr">
        <is>
          <t>休假</t>
        </is>
      </c>
      <c r="Q17" s="16" t="inlineStr">
        <is>
          <t>D012</t>
        </is>
      </c>
      <c r="S17" s="17" t="inlineStr"/>
      <c r="W17" s="18" t="n">
        <v>46118</v>
      </c>
      <c r="X17" s="19" t="inlineStr">
        <is>
          <t>清明節 補假(週一)</t>
        </is>
      </c>
      <c r="Y17" s="20" t="inlineStr">
        <is>
          <t>補假</t>
        </is>
      </c>
      <c r="AP17" s="16" t="inlineStr">
        <is>
          <t>悅(不定)</t>
        </is>
      </c>
    </row>
    <row r="18">
      <c r="B18" s="12" t="inlineStr">
        <is>
          <t>事</t>
        </is>
      </c>
      <c r="C18" s="13" t="inlineStr">
        <is>
          <t>事假</t>
        </is>
      </c>
      <c r="D18" s="14" t="n"/>
      <c r="E18" s="14" t="n"/>
      <c r="F18" s="12" t="n">
        <v>0</v>
      </c>
      <c r="G18" s="15" t="n">
        <v>0</v>
      </c>
      <c r="H18" s="12" t="n">
        <v>0</v>
      </c>
      <c r="I18" s="12" t="inlineStr">
        <is>
          <t>休假</t>
        </is>
      </c>
      <c r="Q18" s="16" t="inlineStr">
        <is>
          <t>D013</t>
        </is>
      </c>
      <c r="S18" s="17" t="inlineStr"/>
      <c r="W18" s="18" t="n">
        <v>46143</v>
      </c>
      <c r="X18" s="19" t="inlineStr">
        <is>
          <t>勞動節(週五)</t>
        </is>
      </c>
      <c r="Y18" s="20" t="inlineStr"/>
      <c r="AP18" s="16" t="inlineStr">
        <is>
          <t>悅(註)</t>
        </is>
      </c>
    </row>
    <row r="19">
      <c r="B19" s="12" t="inlineStr">
        <is>
          <t>公</t>
        </is>
      </c>
      <c r="C19" s="13" t="inlineStr">
        <is>
          <t>公假</t>
        </is>
      </c>
      <c r="D19" s="14" t="n"/>
      <c r="E19" s="14" t="n"/>
      <c r="F19" s="12" t="n">
        <v>0</v>
      </c>
      <c r="G19" s="15" t="n">
        <v>0</v>
      </c>
      <c r="H19" s="12" t="n">
        <v>0</v>
      </c>
      <c r="I19" s="12" t="inlineStr">
        <is>
          <t>休假</t>
        </is>
      </c>
      <c r="Q19" s="16" t="inlineStr">
        <is>
          <t>D014</t>
        </is>
      </c>
      <c r="S19" s="17" t="inlineStr"/>
      <c r="W19" s="18" t="n">
        <v>46192</v>
      </c>
      <c r="X19" s="19" t="inlineStr">
        <is>
          <t>端午節(週五)</t>
        </is>
      </c>
      <c r="Y19" s="20" t="inlineStr"/>
      <c r="AP19" s="16" t="inlineStr">
        <is>
          <t>悅/匯</t>
        </is>
      </c>
    </row>
    <row r="20">
      <c r="B20" s="12" t="inlineStr">
        <is>
          <t>國</t>
        </is>
      </c>
      <c r="C20" s="13" t="inlineStr">
        <is>
          <t>國定假日</t>
        </is>
      </c>
      <c r="D20" s="14" t="n"/>
      <c r="E20" s="14" t="n"/>
      <c r="F20" s="12" t="n">
        <v>0</v>
      </c>
      <c r="G20" s="15" t="n">
        <v>0</v>
      </c>
      <c r="H20" s="12" t="n">
        <v>0</v>
      </c>
      <c r="I20" s="12" t="inlineStr">
        <is>
          <t>休假</t>
        </is>
      </c>
      <c r="Q20" s="16" t="inlineStr">
        <is>
          <t>D015</t>
        </is>
      </c>
      <c r="S20" s="17" t="inlineStr"/>
      <c r="W20" s="18" t="n">
        <v>46290</v>
      </c>
      <c r="X20" s="19" t="inlineStr">
        <is>
          <t>中秋節(週五)</t>
        </is>
      </c>
      <c r="Y20" s="20" t="inlineStr"/>
      <c r="AP20" s="16" t="inlineStr">
        <is>
          <t>悅/睿</t>
        </is>
      </c>
    </row>
    <row r="21">
      <c r="B21" s="12" t="inlineStr">
        <is>
          <t>休</t>
        </is>
      </c>
      <c r="C21" s="13" t="inlineStr">
        <is>
          <t>休診</t>
        </is>
      </c>
      <c r="D21" s="14" t="n"/>
      <c r="E21" s="14" t="n"/>
      <c r="F21" s="12" t="n">
        <v>0</v>
      </c>
      <c r="G21" s="15" t="n">
        <v>0</v>
      </c>
      <c r="H21" s="12" t="n">
        <v>0</v>
      </c>
      <c r="I21" s="12" t="inlineStr">
        <is>
          <t>休假</t>
        </is>
      </c>
      <c r="Q21" s="16" t="inlineStr">
        <is>
          <t>D016</t>
        </is>
      </c>
      <c r="S21" s="17" t="inlineStr"/>
      <c r="W21" s="18" t="n">
        <v>46293</v>
      </c>
      <c r="X21" s="19" t="inlineStr">
        <is>
          <t>教師節(週一)</t>
        </is>
      </c>
      <c r="Y21" s="20" t="inlineStr"/>
      <c r="AP21" s="16" t="inlineStr">
        <is>
          <t>睿/曜</t>
        </is>
      </c>
    </row>
    <row r="22">
      <c r="B22" s="6" t="inlineStr">
        <is>
          <t>※ 有固定時段的代碼必須滿足「應退 − 應到 − 休息 = 排班工時」,否則出勤紀錄會算出不存在的加班。建置腳本會自動檢查。</t>
        </is>
      </c>
      <c r="Q22" s="16" t="inlineStr">
        <is>
          <t>D017</t>
        </is>
      </c>
      <c r="S22" s="17" t="inlineStr"/>
      <c r="W22" s="18" t="n">
        <v>46304</v>
      </c>
      <c r="X22" s="19" t="inlineStr">
        <is>
          <t>國慶日 補假(週五)</t>
        </is>
      </c>
      <c r="Y22" s="20" t="inlineStr">
        <is>
          <t>補假</t>
        </is>
      </c>
      <c r="AP22" s="16" t="inlineStr">
        <is>
          <t>訓</t>
        </is>
      </c>
    </row>
    <row r="23">
      <c r="Q23" s="16" t="inlineStr">
        <is>
          <t>D018</t>
        </is>
      </c>
      <c r="S23" s="17" t="inlineStr"/>
      <c r="W23" s="18" t="n">
        <v>46305</v>
      </c>
      <c r="X23" s="19" t="inlineStr">
        <is>
          <t>國慶日(週六)</t>
        </is>
      </c>
      <c r="Y23" s="20" t="inlineStr"/>
      <c r="AP23" s="16" t="inlineStr">
        <is>
          <t>OFF</t>
        </is>
      </c>
    </row>
    <row r="24">
      <c r="B24" s="7" t="inlineStr">
        <is>
          <t>二、醫師診次代碼(醫師班表用:一格填一個代碼)</t>
        </is>
      </c>
      <c r="E24" s="7" t="inlineStr">
        <is>
          <t>二之二、醫師週班表的標記(母表專用)</t>
        </is>
      </c>
      <c r="Q24" s="16" t="inlineStr">
        <is>
          <t>D019</t>
        </is>
      </c>
      <c r="S24" s="17" t="inlineStr"/>
      <c r="W24" s="18" t="n">
        <v>46320</v>
      </c>
      <c r="X24" s="19" t="inlineStr">
        <is>
          <t>台灣光復節(週日)</t>
        </is>
      </c>
      <c r="Y24" s="20" t="inlineStr"/>
      <c r="AP24" s="16" t="inlineStr">
        <is>
          <t>特</t>
        </is>
      </c>
    </row>
    <row r="25">
      <c r="B25" s="10" t="inlineStr">
        <is>
          <t>代碼</t>
        </is>
      </c>
      <c r="C25" s="10" t="inlineStr">
        <is>
          <t>意義</t>
        </is>
      </c>
      <c r="E25" s="10" t="inlineStr">
        <is>
          <t>寫法</t>
        </is>
      </c>
      <c r="F25" s="10" t="inlineStr">
        <is>
          <t>意思</t>
        </is>
      </c>
      <c r="G25" s="10" t="inlineStr">
        <is>
          <t>舉例說明</t>
        </is>
      </c>
      <c r="Q25" s="16" t="inlineStr">
        <is>
          <t>D020</t>
        </is>
      </c>
      <c r="S25" s="17" t="inlineStr"/>
      <c r="W25" s="18" t="n">
        <v>46321</v>
      </c>
      <c r="X25" s="19" t="inlineStr">
        <is>
          <t>台灣光復節 補假(週一)</t>
        </is>
      </c>
      <c r="Y25" s="20" t="inlineStr">
        <is>
          <t>補假</t>
        </is>
      </c>
      <c r="AP25" s="16" t="inlineStr">
        <is>
          <t>病</t>
        </is>
      </c>
    </row>
    <row r="26">
      <c r="B26" s="21" t="inlineStr">
        <is>
          <t>悅</t>
        </is>
      </c>
      <c r="C26" s="13" t="inlineStr">
        <is>
          <t>晶悅牙醫</t>
        </is>
      </c>
      <c r="E26" s="22" t="inlineStr">
        <is>
          <t>悅</t>
        </is>
      </c>
      <c r="F26" s="17" t="inlineStr">
        <is>
          <t>每週固定</t>
        </is>
      </c>
      <c r="G26" s="23" t="inlineStr">
        <is>
          <t>每一週的這個診次都在晶悅</t>
        </is>
      </c>
      <c r="H26" s="8" t="n"/>
      <c r="I26" s="8" t="n"/>
      <c r="J26" s="9" t="n"/>
      <c r="Q26" s="16" t="inlineStr">
        <is>
          <t>D021</t>
        </is>
      </c>
      <c r="S26" s="17" t="inlineStr"/>
      <c r="W26" s="18" t="n">
        <v>46381</v>
      </c>
      <c r="X26" s="19" t="inlineStr">
        <is>
          <t>行憲紀念日(週五)</t>
        </is>
      </c>
      <c r="Y26" s="20" t="inlineStr"/>
      <c r="AP26" s="16" t="inlineStr">
        <is>
          <t>事</t>
        </is>
      </c>
    </row>
    <row r="27">
      <c r="B27" s="24" t="inlineStr">
        <is>
          <t>睿</t>
        </is>
      </c>
      <c r="C27" s="13" t="inlineStr">
        <is>
          <t>晶睿牙醫</t>
        </is>
      </c>
      <c r="E27" s="22" t="inlineStr">
        <is>
          <t>悅(隔)</t>
        </is>
      </c>
      <c r="F27" s="17" t="inlineStr">
        <is>
          <t>隔週看診</t>
        </is>
      </c>
      <c r="G27" s="23" t="inlineStr">
        <is>
          <t>單數週在晶悅,雙數週這個診次不排</t>
        </is>
      </c>
      <c r="H27" s="8" t="n"/>
      <c r="I27" s="8" t="n"/>
      <c r="J27" s="9" t="n"/>
      <c r="Q27" s="16" t="inlineStr">
        <is>
          <t>D022</t>
        </is>
      </c>
      <c r="S27" s="17" t="inlineStr"/>
      <c r="W27" s="17" t="n"/>
      <c r="X27" s="17" t="n"/>
      <c r="Y27" s="17" t="n"/>
      <c r="AP27" s="16" t="inlineStr">
        <is>
          <t>公</t>
        </is>
      </c>
    </row>
    <row r="28">
      <c r="B28" s="25" t="inlineStr">
        <is>
          <t>匯</t>
        </is>
      </c>
      <c r="C28" s="13" t="inlineStr">
        <is>
          <t>晶匯牙醫</t>
        </is>
      </c>
      <c r="E28" s="22" t="inlineStr">
        <is>
          <t>悅/睿</t>
        </is>
      </c>
      <c r="F28" s="17" t="inlineStr">
        <is>
          <t>兩間院所輪替</t>
        </is>
      </c>
      <c r="G28" s="23" t="inlineStr">
        <is>
          <t>斜線前 = 單數週、斜線後 = 雙數週(全表共四組)</t>
        </is>
      </c>
      <c r="H28" s="8" t="n"/>
      <c r="I28" s="8" t="n"/>
      <c r="J28" s="9" t="n"/>
      <c r="Q28" s="16" t="inlineStr">
        <is>
          <t>D023</t>
        </is>
      </c>
      <c r="S28" s="17" t="inlineStr"/>
      <c r="W28" s="17" t="n"/>
      <c r="X28" s="17" t="n"/>
      <c r="Y28" s="17" t="n"/>
      <c r="AP28" s="16" t="inlineStr">
        <is>
          <t>國</t>
        </is>
      </c>
    </row>
    <row r="29">
      <c r="B29" s="26" t="inlineStr">
        <is>
          <t>曜</t>
        </is>
      </c>
      <c r="C29" s="13" t="inlineStr">
        <is>
          <t>晶曜牙醫</t>
        </is>
      </c>
      <c r="E29" s="22" t="inlineStr">
        <is>
          <t>寶(不定)</t>
        </is>
      </c>
      <c r="F29" s="17" t="inlineStr">
        <is>
          <t>非每週固定</t>
        </is>
      </c>
      <c r="G29" s="23" t="inlineStr">
        <is>
          <t>官網註明「詳情請聯繫院所」,需逐一向院所確認</t>
        </is>
      </c>
      <c r="H29" s="8" t="n"/>
      <c r="I29" s="8" t="n"/>
      <c r="J29" s="9" t="n"/>
      <c r="Q29" s="16" t="inlineStr">
        <is>
          <t>D024</t>
        </is>
      </c>
      <c r="S29" s="17" t="inlineStr"/>
      <c r="W29" s="17" t="n"/>
      <c r="X29" s="17" t="n"/>
      <c r="Y29" s="17" t="n"/>
      <c r="AP29" s="16" t="inlineStr">
        <is>
          <t>休</t>
        </is>
      </c>
    </row>
    <row r="30">
      <c r="B30" s="27" t="inlineStr">
        <is>
          <t>寶</t>
        </is>
      </c>
      <c r="C30" s="13" t="inlineStr">
        <is>
          <t>寶貝牙牙醫</t>
        </is>
      </c>
      <c r="E30" s="22" t="inlineStr">
        <is>
          <t>悅(註)</t>
        </is>
      </c>
      <c r="F30" s="17" t="inlineStr">
        <is>
          <t>有附加條件</t>
        </is>
      </c>
      <c r="G30" s="23" t="inlineStr">
        <is>
          <t>條件寫在該列最右邊的附註欄</t>
        </is>
      </c>
      <c r="H30" s="8" t="n"/>
      <c r="I30" s="8" t="n"/>
      <c r="J30" s="9" t="n"/>
      <c r="Q30" s="16" t="inlineStr">
        <is>
          <t>D025</t>
        </is>
      </c>
      <c r="S30" s="17" t="inlineStr"/>
      <c r="W30" s="17" t="n"/>
      <c r="X30" s="17" t="n"/>
      <c r="Y30" s="17" t="n"/>
    </row>
    <row r="31">
      <c r="B31" s="22" t="inlineStr">
        <is>
          <t>訓</t>
        </is>
      </c>
      <c r="C31" s="13" t="inlineStr">
        <is>
          <t>教育訓練 / 學會</t>
        </is>
      </c>
      <c r="E31" s="22" t="inlineStr">
        <is>
          <t>OFF 特 病</t>
        </is>
      </c>
      <c r="F31" s="17" t="inlineStr">
        <is>
          <t>休假類</t>
        </is>
      </c>
      <c r="G31" s="23" t="inlineStr">
        <is>
          <t>整個診次請假,寫法與醫師班表相同</t>
        </is>
      </c>
      <c r="H31" s="8" t="n"/>
      <c r="I31" s="8" t="n"/>
      <c r="J31" s="9" t="n"/>
      <c r="Q31" s="16" t="inlineStr">
        <is>
          <t>D026</t>
        </is>
      </c>
      <c r="S31" s="17" t="inlineStr"/>
      <c r="W31" s="17" t="n"/>
      <c r="X31" s="17" t="n"/>
      <c r="Y31" s="17" t="n"/>
    </row>
    <row r="32">
      <c r="B32" s="22" t="inlineStr">
        <is>
          <t>OFF</t>
        </is>
      </c>
      <c r="C32" s="13" t="inlineStr">
        <is>
          <t>排休</t>
        </is>
      </c>
      <c r="E32" s="6" t="inlineStr">
        <is>
          <t>※ 單數/雙數週以計算參數區的「隔週基準日」起算,跨月跨年連續不會斷。</t>
        </is>
      </c>
      <c r="Q32" s="16" t="inlineStr">
        <is>
          <t>D027</t>
        </is>
      </c>
      <c r="S32" s="17" t="inlineStr"/>
      <c r="W32" s="17" t="n"/>
      <c r="X32" s="17" t="n"/>
      <c r="Y32" s="17" t="n"/>
    </row>
    <row r="33">
      <c r="B33" s="22" t="inlineStr">
        <is>
          <t>特</t>
        </is>
      </c>
      <c r="C33" s="13" t="inlineStr">
        <is>
          <t>特休</t>
        </is>
      </c>
      <c r="E33" s="6" t="inlineStr">
        <is>
          <t>※ 週班表的資料格有下拉選單,但不強制——輸入清單外的寫法只會跳提醒,按「是」照樣存入。</t>
        </is>
      </c>
      <c r="Q33" s="17" t="inlineStr"/>
      <c r="S33" s="17" t="inlineStr"/>
      <c r="W33" s="17" t="n"/>
      <c r="X33" s="17" t="n"/>
      <c r="Y33" s="17" t="n"/>
    </row>
    <row r="34">
      <c r="B34" s="22" t="inlineStr">
        <is>
          <t>病</t>
        </is>
      </c>
      <c r="C34" s="13" t="inlineStr">
        <is>
          <t>病假</t>
        </is>
      </c>
      <c r="Q34" s="17" t="inlineStr"/>
      <c r="S34" s="17" t="inlineStr"/>
      <c r="W34" s="17" t="n"/>
      <c r="X34" s="17" t="n"/>
      <c r="Y34" s="17" t="n"/>
    </row>
    <row r="35">
      <c r="B35" s="22" t="inlineStr">
        <is>
          <t>事</t>
        </is>
      </c>
      <c r="C35" s="13" t="inlineStr">
        <is>
          <t>事假</t>
        </is>
      </c>
      <c r="Q35" s="17" t="inlineStr"/>
      <c r="S35" s="17" t="inlineStr"/>
      <c r="W35" s="17" t="n"/>
      <c r="X35" s="17" t="n"/>
      <c r="Y35" s="17" t="n"/>
    </row>
    <row r="36">
      <c r="B36" s="22" t="inlineStr">
        <is>
          <t>公</t>
        </is>
      </c>
      <c r="C36" s="13" t="inlineStr">
        <is>
          <t>公假</t>
        </is>
      </c>
      <c r="Q36" s="17" t="inlineStr"/>
      <c r="S36" s="17" t="inlineStr"/>
      <c r="W36" s="17" t="n"/>
      <c r="X36" s="17" t="n"/>
      <c r="Y36" s="17" t="n"/>
    </row>
    <row r="37">
      <c r="B37" s="22" t="inlineStr">
        <is>
          <t>國</t>
        </is>
      </c>
      <c r="C37" s="13" t="inlineStr">
        <is>
          <t>國定假日</t>
        </is>
      </c>
      <c r="Q37" s="17" t="inlineStr"/>
      <c r="S37" s="17" t="inlineStr"/>
      <c r="W37" s="17" t="n"/>
      <c r="X37" s="17" t="n"/>
      <c r="Y37" s="17" t="n"/>
    </row>
    <row r="38">
      <c r="B38" s="22" t="inlineStr">
        <is>
          <t>休</t>
        </is>
      </c>
      <c r="C38" s="13" t="inlineStr">
        <is>
          <t>休診</t>
        </is>
      </c>
      <c r="Q38" s="17" t="inlineStr"/>
      <c r="S38" s="17" t="inlineStr"/>
      <c r="W38" s="17" t="n"/>
      <c r="X38" s="17" t="n"/>
      <c r="Y38" s="17" t="n"/>
    </row>
    <row r="39">
      <c r="B39" s="6" t="inlineStr">
        <is>
          <t>※ 醫師班表一格 = 一個診次。填院所代碼表示該診次在哪間看診,填休假代碼表示該診次請假。</t>
        </is>
      </c>
      <c r="Q39" s="17" t="inlineStr"/>
      <c r="S39" s="17" t="inlineStr"/>
      <c r="W39" s="17" t="n"/>
      <c r="X39" s="17" t="n"/>
      <c r="Y39" s="17" t="n"/>
    </row>
    <row r="40">
      <c r="B40" s="6" t="inlineStr">
        <is>
          <t>※ 「醫師週班表」除了上面這些代碼,還會用到右邊那幾種標記——那是母表,要表示隔週與輪替,所以下拉選項比較多。</t>
        </is>
      </c>
      <c r="Q40" s="17" t="inlineStr"/>
      <c r="S40" s="17" t="inlineStr"/>
      <c r="W40" s="17" t="n"/>
      <c r="X40" s="17" t="n"/>
      <c r="Y40" s="17" t="n"/>
    </row>
    <row r="41">
      <c r="Q41" s="17" t="inlineStr"/>
      <c r="S41" s="17" t="inlineStr"/>
    </row>
    <row r="42">
      <c r="B42" s="7" t="inlineStr">
        <is>
          <t>三、計算參數(全體系一致)</t>
        </is>
      </c>
      <c r="Q42" s="17" t="inlineStr"/>
      <c r="S42" s="17" t="inlineStr"/>
      <c r="W42" s="28" t="inlineStr">
        <is>
          <t>※ ⚠ 這份是草稿,務必與行政院人事行政總處公告的「政府行政機關辦公日曆表」核對。法定紀念日日期可信度高,但補假與調整放假(彈性放假)每年公告,以官方版本為準。</t>
        </is>
      </c>
    </row>
    <row r="43">
      <c r="B43" s="10" t="inlineStr">
        <is>
          <t>參數</t>
        </is>
      </c>
      <c r="C43" s="10" t="inlineStr">
        <is>
          <t>值</t>
        </is>
      </c>
      <c r="D43" s="10" t="inlineStr">
        <is>
          <t>說明</t>
        </is>
      </c>
      <c r="Q43" s="17" t="inlineStr"/>
      <c r="S43" s="17" t="inlineStr"/>
      <c r="W43" s="6" t="inlineStr">
        <is>
          <t>※ 改這裡不會自動改醫師班表——月班表是產生出來的固定值,改完要重新產生。</t>
        </is>
      </c>
    </row>
    <row r="44">
      <c r="B44" s="29" t="inlineStr">
        <is>
          <t>加班認定門檻(分)</t>
        </is>
      </c>
      <c r="C44" s="5" t="n">
        <v>30</v>
      </c>
      <c r="D44" s="23" t="inlineStr">
        <is>
          <t>超過排班工時多少分鐘才認定為加班。低於門檻視為正常收尾。</t>
        </is>
      </c>
      <c r="E44" s="8" t="n"/>
      <c r="F44" s="8" t="n"/>
      <c r="G44" s="8" t="n"/>
      <c r="H44" s="8" t="n"/>
      <c r="I44" s="8" t="n"/>
      <c r="J44" s="9" t="n"/>
      <c r="Q44" s="17" t="inlineStr"/>
      <c r="S44" s="17" t="inlineStr"/>
    </row>
    <row r="45">
      <c r="B45" s="29" t="inlineStr">
        <is>
          <t>加班計算單位(分)</t>
        </is>
      </c>
      <c r="C45" s="5" t="n">
        <v>30</v>
      </c>
      <c r="D45" s="23" t="inlineStr">
        <is>
          <t>認定為加班後,無條件捨去到此單位。填 1 表示逐分鐘計。</t>
        </is>
      </c>
      <c r="E45" s="8" t="n"/>
      <c r="F45" s="8" t="n"/>
      <c r="G45" s="8" t="n"/>
      <c r="H45" s="8" t="n"/>
      <c r="I45" s="8" t="n"/>
      <c r="J45" s="9" t="n"/>
      <c r="Q45" s="17" t="inlineStr"/>
      <c r="S45" s="17" t="inlineStr"/>
    </row>
    <row r="46">
      <c r="B46" s="29" t="inlineStr">
        <is>
          <t>遲到早退寬限(分)</t>
        </is>
      </c>
      <c r="C46" s="5" t="n">
        <v>5</v>
      </c>
      <c r="D46" s="23" t="inlineStr">
        <is>
          <t>打卡與應到/應退時間差在此範圍內不判定為遲到或早退。</t>
        </is>
      </c>
      <c r="E46" s="8" t="n"/>
      <c r="F46" s="8" t="n"/>
      <c r="G46" s="8" t="n"/>
      <c r="H46" s="8" t="n"/>
      <c r="I46" s="8" t="n"/>
      <c r="J46" s="9" t="n"/>
      <c r="S46" s="17" t="inlineStr"/>
    </row>
    <row r="47">
      <c r="B47" s="29" t="inlineStr">
        <is>
          <t>隔週基準日</t>
        </is>
      </c>
      <c r="C47" s="30" t="n">
        <v>46293</v>
      </c>
      <c r="D47" s="23" t="inlineStr">
        <is>
          <t>從這個星期一起連續數週。單數週 = 週班表前面那個代碼,雙數週 = 後面那個。若實際輪替對調了,把這個日期往前或往後挪 7 天即可整體對齊。</t>
        </is>
      </c>
      <c r="E47" s="8" t="n"/>
      <c r="F47" s="8" t="n"/>
      <c r="G47" s="8" t="n"/>
      <c r="H47" s="8" t="n"/>
      <c r="I47" s="8" t="n"/>
      <c r="J47" s="9" t="n"/>
      <c r="S47" s="17" t="inlineStr"/>
    </row>
    <row r="48">
      <c r="B48" s="6" t="inlineStr">
        <is>
          <t>※ 前三個是勞資雙方的認定慣例,不是法律規定的數字。上線前請與人資或勞務顧問確認,並讓同仁事先知道規則。</t>
        </is>
      </c>
      <c r="S48" s="17" t="inlineStr"/>
    </row>
    <row r="49">
      <c r="S49" s="17" t="inlineStr"/>
    </row>
    <row r="50">
      <c r="B50" s="7" t="inlineStr">
        <is>
          <t>四、院所清單</t>
        </is>
      </c>
      <c r="S50" s="17" t="inlineStr"/>
      <c r="U50" s="31" t="inlineStr">
        <is>
          <t>一早</t>
        </is>
      </c>
      <c r="V50" s="31" t="inlineStr">
        <is>
          <t>一午</t>
        </is>
      </c>
      <c r="W50" s="31" t="inlineStr">
        <is>
          <t>一晚</t>
        </is>
      </c>
      <c r="X50" s="31" t="inlineStr">
        <is>
          <t>二早</t>
        </is>
      </c>
      <c r="Y50" s="31" t="inlineStr">
        <is>
          <t>二午</t>
        </is>
      </c>
      <c r="Z50" s="31" t="inlineStr">
        <is>
          <t>二晚</t>
        </is>
      </c>
      <c r="AA50" s="31" t="inlineStr">
        <is>
          <t>三早</t>
        </is>
      </c>
      <c r="AB50" s="31" t="inlineStr">
        <is>
          <t>三午</t>
        </is>
      </c>
      <c r="AC50" s="31" t="inlineStr">
        <is>
          <t>三晚</t>
        </is>
      </c>
      <c r="AD50" s="31" t="inlineStr">
        <is>
          <t>四早</t>
        </is>
      </c>
      <c r="AE50" s="31" t="inlineStr">
        <is>
          <t>四午</t>
        </is>
      </c>
      <c r="AF50" s="31" t="inlineStr">
        <is>
          <t>四晚</t>
        </is>
      </c>
      <c r="AG50" s="31" t="inlineStr">
        <is>
          <t>五早</t>
        </is>
      </c>
      <c r="AH50" s="31" t="inlineStr">
        <is>
          <t>五午</t>
        </is>
      </c>
      <c r="AI50" s="31" t="inlineStr">
        <is>
          <t>五晚</t>
        </is>
      </c>
      <c r="AJ50" s="31" t="inlineStr">
        <is>
          <t>六早</t>
        </is>
      </c>
      <c r="AK50" s="31" t="inlineStr">
        <is>
          <t>六午</t>
        </is>
      </c>
      <c r="AL50" s="31" t="inlineStr">
        <is>
          <t>六晚</t>
        </is>
      </c>
      <c r="AM50" s="31" t="inlineStr">
        <is>
          <t>日早</t>
        </is>
      </c>
      <c r="AN50" s="31" t="inlineStr">
        <is>
          <t>日午</t>
        </is>
      </c>
      <c r="AO50" s="31" t="inlineStr">
        <is>
          <t>日晚</t>
        </is>
      </c>
    </row>
    <row r="51">
      <c r="B51" s="10" t="inlineStr">
        <is>
          <t>代碼</t>
        </is>
      </c>
      <c r="C51" s="10" t="inlineStr">
        <is>
          <t>簡稱</t>
        </is>
      </c>
      <c r="D51" s="10" t="inlineStr">
        <is>
          <t>全名</t>
        </is>
      </c>
      <c r="E51" s="10" t="inlineStr">
        <is>
          <t>院長</t>
        </is>
      </c>
      <c r="F51" s="10" t="inlineStr">
        <is>
          <t>電話</t>
        </is>
      </c>
      <c r="G51" s="10" t="inlineStr">
        <is>
          <t>地址</t>
        </is>
      </c>
      <c r="H51" s="10" t="inlineStr">
        <is>
          <t>早診起</t>
        </is>
      </c>
      <c r="I51" s="10" t="inlineStr">
        <is>
          <t>早診訖</t>
        </is>
      </c>
      <c r="J51" s="10" t="inlineStr">
        <is>
          <t>午診起</t>
        </is>
      </c>
      <c r="K51" s="10" t="inlineStr">
        <is>
          <t>午診訖</t>
        </is>
      </c>
      <c r="L51" s="10" t="inlineStr">
        <is>
          <t>晚診起</t>
        </is>
      </c>
      <c r="M51" s="10" t="inlineStr">
        <is>
          <t>晚診訖</t>
        </is>
      </c>
      <c r="S51" s="17" t="inlineStr"/>
      <c r="U51" s="32" t="inlineStr">
        <is>
          <t>開診時段(1 = 有開診,0 = 休診;順序為週一早…週日晚)</t>
        </is>
      </c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9" t="n"/>
    </row>
    <row r="52">
      <c r="B52" s="33" t="inlineStr">
        <is>
          <t>悅</t>
        </is>
      </c>
      <c r="C52" s="12" t="inlineStr">
        <is>
          <t>晶悅</t>
        </is>
      </c>
      <c r="D52" s="13" t="inlineStr">
        <is>
          <t>晶悅牙醫診所</t>
        </is>
      </c>
      <c r="E52" s="12" t="inlineStr">
        <is>
          <t>林智俊</t>
        </is>
      </c>
      <c r="F52" s="12" t="inlineStr">
        <is>
          <t>03-4257710</t>
        </is>
      </c>
      <c r="G52" s="13" t="inlineStr">
        <is>
          <t>320桃園市中壢區新生路251號</t>
        </is>
      </c>
      <c r="H52" s="17" t="inlineStr">
        <is>
          <t>09:00</t>
        </is>
      </c>
      <c r="I52" s="17" t="inlineStr">
        <is>
          <t>11:30</t>
        </is>
      </c>
      <c r="J52" s="17" t="inlineStr">
        <is>
          <t>14:00</t>
        </is>
      </c>
      <c r="K52" s="17" t="inlineStr">
        <is>
          <t>16:30</t>
        </is>
      </c>
      <c r="L52" s="17" t="inlineStr">
        <is>
          <t>18:00</t>
        </is>
      </c>
      <c r="M52" s="17" t="inlineStr">
        <is>
          <t>20:30</t>
        </is>
      </c>
      <c r="S52" s="17" t="inlineStr"/>
      <c r="U52" s="34" t="n">
        <v>1</v>
      </c>
      <c r="V52" s="34" t="n">
        <v>1</v>
      </c>
      <c r="W52" s="34" t="n">
        <v>1</v>
      </c>
      <c r="X52" s="34" t="n">
        <v>1</v>
      </c>
      <c r="Y52" s="34" t="n">
        <v>1</v>
      </c>
      <c r="Z52" s="34" t="n">
        <v>1</v>
      </c>
      <c r="AA52" s="34" t="n">
        <v>1</v>
      </c>
      <c r="AB52" s="34" t="n">
        <v>1</v>
      </c>
      <c r="AC52" s="34" t="n">
        <v>1</v>
      </c>
      <c r="AD52" s="34" t="n">
        <v>1</v>
      </c>
      <c r="AE52" s="34" t="n">
        <v>1</v>
      </c>
      <c r="AF52" s="34" t="n">
        <v>1</v>
      </c>
      <c r="AG52" s="34" t="n">
        <v>1</v>
      </c>
      <c r="AH52" s="34" t="n">
        <v>1</v>
      </c>
      <c r="AI52" s="34" t="n">
        <v>1</v>
      </c>
      <c r="AJ52" s="34" t="n">
        <v>1</v>
      </c>
      <c r="AK52" s="34" t="n">
        <v>1</v>
      </c>
      <c r="AL52" s="35" t="n">
        <v>0</v>
      </c>
      <c r="AM52" s="35" t="n">
        <v>0</v>
      </c>
      <c r="AN52" s="35" t="n">
        <v>0</v>
      </c>
      <c r="AO52" s="35" t="n">
        <v>0</v>
      </c>
    </row>
    <row r="53">
      <c r="B53" s="36" t="inlineStr">
        <is>
          <t>睿</t>
        </is>
      </c>
      <c r="C53" s="12" t="inlineStr">
        <is>
          <t>晶睿</t>
        </is>
      </c>
      <c r="D53" s="13" t="inlineStr">
        <is>
          <t>晶睿牙醫診所</t>
        </is>
      </c>
      <c r="E53" s="12" t="inlineStr">
        <is>
          <t>温健成</t>
        </is>
      </c>
      <c r="F53" s="12" t="inlineStr">
        <is>
          <t>03-4522360</t>
        </is>
      </c>
      <c r="G53" s="13" t="inlineStr">
        <is>
          <t>桃園市中壢區福州二街502號</t>
        </is>
      </c>
      <c r="H53" s="17" t="inlineStr">
        <is>
          <t>09:00</t>
        </is>
      </c>
      <c r="I53" s="17" t="inlineStr">
        <is>
          <t>11:30</t>
        </is>
      </c>
      <c r="J53" s="17" t="inlineStr">
        <is>
          <t>14:00</t>
        </is>
      </c>
      <c r="K53" s="17" t="inlineStr">
        <is>
          <t>16:30</t>
        </is>
      </c>
      <c r="L53" s="17" t="inlineStr">
        <is>
          <t>18:00</t>
        </is>
      </c>
      <c r="M53" s="17" t="inlineStr">
        <is>
          <t>20:30</t>
        </is>
      </c>
      <c r="S53" s="17" t="inlineStr"/>
      <c r="U53" s="34" t="n">
        <v>1</v>
      </c>
      <c r="V53" s="34" t="n">
        <v>1</v>
      </c>
      <c r="W53" s="34" t="n">
        <v>1</v>
      </c>
      <c r="X53" s="34" t="n">
        <v>1</v>
      </c>
      <c r="Y53" s="34" t="n">
        <v>1</v>
      </c>
      <c r="Z53" s="34" t="n">
        <v>1</v>
      </c>
      <c r="AA53" s="34" t="n">
        <v>1</v>
      </c>
      <c r="AB53" s="34" t="n">
        <v>1</v>
      </c>
      <c r="AC53" s="34" t="n">
        <v>1</v>
      </c>
      <c r="AD53" s="34" t="n">
        <v>1</v>
      </c>
      <c r="AE53" s="34" t="n">
        <v>1</v>
      </c>
      <c r="AF53" s="34" t="n">
        <v>1</v>
      </c>
      <c r="AG53" s="34" t="n">
        <v>1</v>
      </c>
      <c r="AH53" s="34" t="n">
        <v>1</v>
      </c>
      <c r="AI53" s="34" t="n">
        <v>1</v>
      </c>
      <c r="AJ53" s="34" t="n">
        <v>1</v>
      </c>
      <c r="AK53" s="34" t="n">
        <v>1</v>
      </c>
      <c r="AL53" s="35" t="n">
        <v>0</v>
      </c>
      <c r="AM53" s="35" t="n">
        <v>0</v>
      </c>
      <c r="AN53" s="35" t="n">
        <v>0</v>
      </c>
      <c r="AO53" s="35" t="n">
        <v>0</v>
      </c>
    </row>
    <row r="54">
      <c r="B54" s="37" t="inlineStr">
        <is>
          <t>匯</t>
        </is>
      </c>
      <c r="C54" s="12" t="inlineStr">
        <is>
          <t>晶匯</t>
        </is>
      </c>
      <c r="D54" s="13" t="inlineStr">
        <is>
          <t>晶匯牙醫診所</t>
        </is>
      </c>
      <c r="E54" s="12" t="inlineStr">
        <is>
          <t>陳昺元</t>
        </is>
      </c>
      <c r="F54" s="12" t="inlineStr">
        <is>
          <t>03-4550719</t>
        </is>
      </c>
      <c r="G54" s="13" t="inlineStr">
        <is>
          <t>桃園市中壢區成章一街172號</t>
        </is>
      </c>
      <c r="H54" s="17" t="inlineStr">
        <is>
          <t>09:00</t>
        </is>
      </c>
      <c r="I54" s="17" t="inlineStr">
        <is>
          <t>11:30</t>
        </is>
      </c>
      <c r="J54" s="17" t="inlineStr">
        <is>
          <t>14:00</t>
        </is>
      </c>
      <c r="K54" s="17" t="inlineStr">
        <is>
          <t>16:30</t>
        </is>
      </c>
      <c r="L54" s="17" t="inlineStr">
        <is>
          <t>18:00</t>
        </is>
      </c>
      <c r="M54" s="17" t="inlineStr">
        <is>
          <t>20:30</t>
        </is>
      </c>
      <c r="S54" s="17" t="inlineStr"/>
      <c r="U54" s="34" t="n">
        <v>1</v>
      </c>
      <c r="V54" s="34" t="n">
        <v>1</v>
      </c>
      <c r="W54" s="34" t="n">
        <v>1</v>
      </c>
      <c r="X54" s="34" t="n">
        <v>1</v>
      </c>
      <c r="Y54" s="34" t="n">
        <v>1</v>
      </c>
      <c r="Z54" s="34" t="n">
        <v>1</v>
      </c>
      <c r="AA54" s="34" t="n">
        <v>1</v>
      </c>
      <c r="AB54" s="34" t="n">
        <v>1</v>
      </c>
      <c r="AC54" s="34" t="n">
        <v>1</v>
      </c>
      <c r="AD54" s="34" t="n">
        <v>1</v>
      </c>
      <c r="AE54" s="34" t="n">
        <v>1</v>
      </c>
      <c r="AF54" s="34" t="n">
        <v>1</v>
      </c>
      <c r="AG54" s="34" t="n">
        <v>1</v>
      </c>
      <c r="AH54" s="34" t="n">
        <v>1</v>
      </c>
      <c r="AI54" s="34" t="n">
        <v>1</v>
      </c>
      <c r="AJ54" s="34" t="n">
        <v>1</v>
      </c>
      <c r="AK54" s="34" t="n">
        <v>1</v>
      </c>
      <c r="AL54" s="35" t="n">
        <v>0</v>
      </c>
      <c r="AM54" s="35" t="n">
        <v>0</v>
      </c>
      <c r="AN54" s="35" t="n">
        <v>0</v>
      </c>
      <c r="AO54" s="35" t="n">
        <v>0</v>
      </c>
    </row>
    <row r="55">
      <c r="B55" s="38" t="inlineStr">
        <is>
          <t>曜</t>
        </is>
      </c>
      <c r="C55" s="12" t="inlineStr">
        <is>
          <t>晶曜</t>
        </is>
      </c>
      <c r="D55" s="13" t="inlineStr">
        <is>
          <t>晶曜牙醫診所</t>
        </is>
      </c>
      <c r="E55" s="12" t="inlineStr">
        <is>
          <t>劉立德</t>
        </is>
      </c>
      <c r="F55" s="12" t="inlineStr">
        <is>
          <t>03-3150666</t>
        </is>
      </c>
      <c r="G55" s="13" t="inlineStr">
        <is>
          <t>桃園市桃園區中正路1398-1號</t>
        </is>
      </c>
      <c r="H55" s="17" t="inlineStr">
        <is>
          <t>09:00</t>
        </is>
      </c>
      <c r="I55" s="17" t="inlineStr">
        <is>
          <t>11:30</t>
        </is>
      </c>
      <c r="J55" s="17" t="inlineStr">
        <is>
          <t>14:00</t>
        </is>
      </c>
      <c r="K55" s="17" t="inlineStr">
        <is>
          <t>16:30</t>
        </is>
      </c>
      <c r="L55" s="17" t="inlineStr">
        <is>
          <t>18:00</t>
        </is>
      </c>
      <c r="M55" s="17" t="inlineStr">
        <is>
          <t>20:30</t>
        </is>
      </c>
      <c r="S55" s="17" t="inlineStr"/>
      <c r="U55" s="34" t="n">
        <v>1</v>
      </c>
      <c r="V55" s="34" t="n">
        <v>1</v>
      </c>
      <c r="W55" s="34" t="n">
        <v>1</v>
      </c>
      <c r="X55" s="34" t="n">
        <v>1</v>
      </c>
      <c r="Y55" s="34" t="n">
        <v>1</v>
      </c>
      <c r="Z55" s="34" t="n">
        <v>1</v>
      </c>
      <c r="AA55" s="34" t="n">
        <v>1</v>
      </c>
      <c r="AB55" s="34" t="n">
        <v>1</v>
      </c>
      <c r="AC55" s="34" t="n">
        <v>1</v>
      </c>
      <c r="AD55" s="34" t="n">
        <v>1</v>
      </c>
      <c r="AE55" s="34" t="n">
        <v>1</v>
      </c>
      <c r="AF55" s="34" t="n">
        <v>1</v>
      </c>
      <c r="AG55" s="34" t="n">
        <v>1</v>
      </c>
      <c r="AH55" s="34" t="n">
        <v>1</v>
      </c>
      <c r="AI55" s="34" t="n">
        <v>1</v>
      </c>
      <c r="AJ55" s="34" t="n">
        <v>1</v>
      </c>
      <c r="AK55" s="34" t="n">
        <v>1</v>
      </c>
      <c r="AL55" s="35" t="n">
        <v>0</v>
      </c>
      <c r="AM55" s="35" t="n">
        <v>0</v>
      </c>
      <c r="AN55" s="35" t="n">
        <v>0</v>
      </c>
      <c r="AO55" s="35" t="n">
        <v>0</v>
      </c>
    </row>
    <row r="56">
      <c r="B56" s="39" t="inlineStr">
        <is>
          <t>寶</t>
        </is>
      </c>
      <c r="C56" s="12" t="inlineStr">
        <is>
          <t>寶貝牙</t>
        </is>
      </c>
      <c r="D56" s="13" t="inlineStr">
        <is>
          <t>寶貝牙牙醫診所</t>
        </is>
      </c>
      <c r="E56" s="12" t="inlineStr">
        <is>
          <t>黃育亭</t>
        </is>
      </c>
      <c r="F56" s="12" t="inlineStr">
        <is>
          <t>03-2871688</t>
        </is>
      </c>
      <c r="G56" s="13" t="inlineStr">
        <is>
          <t>桃園市大園區新生路四段273號2樓</t>
        </is>
      </c>
      <c r="H56" s="17" t="inlineStr">
        <is>
          <t>09:00</t>
        </is>
      </c>
      <c r="I56" s="17" t="inlineStr">
        <is>
          <t>14:00</t>
        </is>
      </c>
      <c r="J56" s="17" t="inlineStr">
        <is>
          <t>14:00</t>
        </is>
      </c>
      <c r="K56" s="17" t="inlineStr">
        <is>
          <t>17:00</t>
        </is>
      </c>
      <c r="L56" s="17" t="inlineStr">
        <is>
          <t>17:30</t>
        </is>
      </c>
      <c r="M56" s="17" t="inlineStr">
        <is>
          <t>21:00</t>
        </is>
      </c>
      <c r="S56" s="17" t="inlineStr"/>
      <c r="U56" s="35" t="n">
        <v>0</v>
      </c>
      <c r="V56" s="34" t="n">
        <v>1</v>
      </c>
      <c r="W56" s="34" t="n">
        <v>1</v>
      </c>
      <c r="X56" s="35" t="n">
        <v>0</v>
      </c>
      <c r="Y56" s="34" t="n">
        <v>1</v>
      </c>
      <c r="Z56" s="34" t="n">
        <v>1</v>
      </c>
      <c r="AA56" s="35" t="n">
        <v>0</v>
      </c>
      <c r="AB56" s="34" t="n">
        <v>1</v>
      </c>
      <c r="AC56" s="34" t="n">
        <v>1</v>
      </c>
      <c r="AD56" s="35" t="n">
        <v>0</v>
      </c>
      <c r="AE56" s="34" t="n">
        <v>1</v>
      </c>
      <c r="AF56" s="34" t="n">
        <v>1</v>
      </c>
      <c r="AG56" s="35" t="n">
        <v>0</v>
      </c>
      <c r="AH56" s="34" t="n">
        <v>1</v>
      </c>
      <c r="AI56" s="34" t="n">
        <v>1</v>
      </c>
      <c r="AJ56" s="34" t="n">
        <v>1</v>
      </c>
      <c r="AK56" s="34" t="n">
        <v>1</v>
      </c>
      <c r="AL56" s="35" t="n">
        <v>0</v>
      </c>
      <c r="AM56" s="35" t="n">
        <v>0</v>
      </c>
      <c r="AN56" s="35" t="n">
        <v>0</v>
      </c>
      <c r="AO56" s="35" t="n">
        <v>0</v>
      </c>
    </row>
    <row r="57">
      <c r="B57" s="12" t="inlineStr"/>
      <c r="C57" s="12" t="inlineStr"/>
      <c r="D57" s="13" t="inlineStr"/>
      <c r="E57" s="12" t="inlineStr"/>
      <c r="F57" s="12" t="inlineStr"/>
      <c r="G57" s="13" t="inlineStr"/>
      <c r="H57" s="17" t="inlineStr"/>
      <c r="I57" s="17" t="inlineStr"/>
      <c r="J57" s="17" t="inlineStr"/>
      <c r="K57" s="17" t="inlineStr"/>
      <c r="L57" s="17" t="inlineStr"/>
      <c r="M57" s="17" t="inlineStr"/>
      <c r="S57" s="17" t="inlineStr"/>
      <c r="U57" s="34" t="n"/>
      <c r="V57" s="34" t="n"/>
      <c r="W57" s="34" t="n"/>
      <c r="X57" s="34" t="n"/>
      <c r="Y57" s="34" t="n"/>
      <c r="Z57" s="34" t="n"/>
      <c r="AA57" s="34" t="n"/>
      <c r="AB57" s="34" t="n"/>
      <c r="AC57" s="34" t="n"/>
      <c r="AD57" s="34" t="n"/>
      <c r="AE57" s="34" t="n"/>
      <c r="AF57" s="34" t="n"/>
      <c r="AG57" s="34" t="n"/>
      <c r="AH57" s="34" t="n"/>
      <c r="AI57" s="34" t="n"/>
      <c r="AJ57" s="34" t="n"/>
      <c r="AK57" s="34" t="n"/>
      <c r="AL57" s="34" t="n"/>
      <c r="AM57" s="34" t="n"/>
      <c r="AN57" s="34" t="n"/>
      <c r="AO57" s="34" t="n"/>
    </row>
    <row r="58">
      <c r="B58" s="12" t="inlineStr"/>
      <c r="C58" s="12" t="inlineStr"/>
      <c r="D58" s="13" t="inlineStr"/>
      <c r="E58" s="12" t="inlineStr"/>
      <c r="F58" s="12" t="inlineStr"/>
      <c r="G58" s="13" t="inlineStr"/>
      <c r="H58" s="17" t="inlineStr"/>
      <c r="I58" s="17" t="inlineStr"/>
      <c r="J58" s="17" t="inlineStr"/>
      <c r="K58" s="17" t="inlineStr"/>
      <c r="L58" s="17" t="inlineStr"/>
      <c r="M58" s="17" t="inlineStr"/>
      <c r="S58" s="17" t="inlineStr"/>
      <c r="U58" s="34" t="n"/>
      <c r="V58" s="34" t="n"/>
      <c r="W58" s="34" t="n"/>
      <c r="X58" s="34" t="n"/>
      <c r="Y58" s="34" t="n"/>
      <c r="Z58" s="34" t="n"/>
      <c r="AA58" s="34" t="n"/>
      <c r="AB58" s="34" t="n"/>
      <c r="AC58" s="34" t="n"/>
      <c r="AD58" s="34" t="n"/>
      <c r="AE58" s="34" t="n"/>
      <c r="AF58" s="34" t="n"/>
      <c r="AG58" s="34" t="n"/>
      <c r="AH58" s="34" t="n"/>
      <c r="AI58" s="34" t="n"/>
      <c r="AJ58" s="34" t="n"/>
      <c r="AK58" s="34" t="n"/>
      <c r="AL58" s="34" t="n"/>
      <c r="AM58" s="34" t="n"/>
      <c r="AN58" s="34" t="n"/>
      <c r="AO58" s="34" t="n"/>
    </row>
    <row r="59">
      <c r="S59" s="17" t="inlineStr"/>
    </row>
    <row r="60">
      <c r="B60" s="40" t="inlineStr">
        <is>
          <t>五、人員名冊</t>
        </is>
      </c>
      <c r="S60" s="17" t="inlineStr"/>
    </row>
    <row r="61">
      <c r="B61" s="10" t="inlineStr">
        <is>
          <t>員工編號</t>
        </is>
      </c>
      <c r="C61" s="10" t="inlineStr">
        <is>
          <t>姓名</t>
        </is>
      </c>
      <c r="D61" s="10" t="inlineStr">
        <is>
          <t>職類</t>
        </is>
      </c>
      <c r="E61" s="10" t="inlineStr">
        <is>
          <t>專科</t>
        </is>
      </c>
      <c r="F61" s="10" t="inlineStr">
        <is>
          <t>職務</t>
        </is>
      </c>
      <c r="G61" s="10" t="inlineStr">
        <is>
          <t>主要院所</t>
        </is>
      </c>
      <c r="H61" s="10" t="inlineStr">
        <is>
          <t>服務院所(醫師)</t>
        </is>
      </c>
      <c r="I61" s="10" t="inlineStr">
        <is>
          <t>英文名</t>
        </is>
      </c>
      <c r="J61" s="10" t="inlineStr">
        <is>
          <t>到職日</t>
        </is>
      </c>
      <c r="K61" s="10" t="inlineStr">
        <is>
          <t>備註</t>
        </is>
      </c>
      <c r="S61" s="17" t="inlineStr"/>
    </row>
    <row r="62">
      <c r="B62" s="20" t="inlineStr">
        <is>
          <t>D001</t>
        </is>
      </c>
      <c r="C62" s="20" t="inlineStr">
        <is>
          <t>林智俊</t>
        </is>
      </c>
      <c r="D62" s="20" t="inlineStr">
        <is>
          <t>醫師</t>
        </is>
      </c>
      <c r="E62" s="19" t="inlineStr">
        <is>
          <t>牙周植牙專科</t>
        </is>
      </c>
      <c r="F62" s="20" t="inlineStr">
        <is>
          <t>晶悅院長</t>
        </is>
      </c>
      <c r="G62" s="20" t="inlineStr">
        <is>
          <t>晶悅</t>
        </is>
      </c>
      <c r="H62" s="19" t="inlineStr">
        <is>
          <t>晶悅 · 晶睿 · 晶匯 · 晶曜</t>
        </is>
      </c>
      <c r="I62" s="20" t="inlineStr">
        <is>
          <t>JASON LIN</t>
        </is>
      </c>
      <c r="J62" s="20" t="inlineStr"/>
      <c r="K62" s="19" t="inlineStr"/>
      <c r="S62" s="17" t="inlineStr"/>
    </row>
    <row r="63">
      <c r="B63" s="20" t="inlineStr">
        <is>
          <t>D002</t>
        </is>
      </c>
      <c r="C63" s="20" t="inlineStr">
        <is>
          <t>劉立德</t>
        </is>
      </c>
      <c r="D63" s="20" t="inlineStr">
        <is>
          <t>醫師</t>
        </is>
      </c>
      <c r="E63" s="19" t="inlineStr">
        <is>
          <t>植牙專科 家庭牙醫專科</t>
        </is>
      </c>
      <c r="F63" s="20" t="inlineStr">
        <is>
          <t>晶曜院長</t>
        </is>
      </c>
      <c r="G63" s="20" t="inlineStr">
        <is>
          <t>晶曜</t>
        </is>
      </c>
      <c r="H63" s="19" t="inlineStr">
        <is>
          <t>晶睿 · 晶曜</t>
        </is>
      </c>
      <c r="I63" s="20" t="inlineStr">
        <is>
          <t>LEADER LIU</t>
        </is>
      </c>
      <c r="J63" s="20" t="inlineStr"/>
      <c r="K63" s="19" t="inlineStr"/>
      <c r="S63" s="17" t="inlineStr"/>
    </row>
    <row r="64">
      <c r="B64" s="20" t="inlineStr">
        <is>
          <t>D003</t>
        </is>
      </c>
      <c r="C64" s="20" t="inlineStr">
        <is>
          <t>王泳泉</t>
        </is>
      </c>
      <c r="D64" s="20" t="inlineStr">
        <is>
          <t>醫師</t>
        </is>
      </c>
      <c r="E64" s="19" t="inlineStr">
        <is>
          <t>矯正專科</t>
        </is>
      </c>
      <c r="F64" s="20" t="inlineStr"/>
      <c r="G64" s="20" t="inlineStr">
        <is>
          <t>晶悅</t>
        </is>
      </c>
      <c r="H64" s="19" t="inlineStr">
        <is>
          <t>晶悅 · 晶睿</t>
        </is>
      </c>
      <c r="I64" s="20" t="inlineStr">
        <is>
          <t>RYAN WANG</t>
        </is>
      </c>
      <c r="J64" s="20" t="inlineStr"/>
      <c r="K64" s="19" t="inlineStr"/>
      <c r="S64" s="17" t="inlineStr"/>
    </row>
    <row r="65">
      <c r="B65" s="20" t="inlineStr">
        <is>
          <t>D004</t>
        </is>
      </c>
      <c r="C65" s="20" t="inlineStr">
        <is>
          <t>劉玠旻</t>
        </is>
      </c>
      <c r="D65" s="20" t="inlineStr">
        <is>
          <t>醫師</t>
        </is>
      </c>
      <c r="E65" s="19" t="inlineStr">
        <is>
          <t>兒童專科</t>
        </is>
      </c>
      <c r="F65" s="20" t="inlineStr"/>
      <c r="G65" s="20" t="inlineStr">
        <is>
          <t>晶悅</t>
        </is>
      </c>
      <c r="H65" s="19" t="inlineStr">
        <is>
          <t>晶悅 · 晶睿 · 晶曜</t>
        </is>
      </c>
      <c r="I65" s="20" t="inlineStr">
        <is>
          <t>CHIEH-MIN LIU</t>
        </is>
      </c>
      <c r="J65" s="20" t="inlineStr"/>
      <c r="K65" s="19" t="inlineStr"/>
      <c r="S65" s="17" t="inlineStr"/>
    </row>
    <row r="66">
      <c r="B66" s="20" t="inlineStr">
        <is>
          <t>D005</t>
        </is>
      </c>
      <c r="C66" s="20" t="inlineStr">
        <is>
          <t>陳志僑</t>
        </is>
      </c>
      <c r="D66" s="20" t="inlineStr">
        <is>
          <t>醫師</t>
        </is>
      </c>
      <c r="E66" s="19" t="inlineStr">
        <is>
          <t>口外專科</t>
        </is>
      </c>
      <c r="F66" s="20" t="inlineStr"/>
      <c r="G66" s="20" t="inlineStr">
        <is>
          <t>晶悅</t>
        </is>
      </c>
      <c r="H66" s="19" t="inlineStr">
        <is>
          <t>晶悅 · 晶睿</t>
        </is>
      </c>
      <c r="I66" s="20" t="inlineStr">
        <is>
          <t>CHIH-CHIAO CHEN</t>
        </is>
      </c>
      <c r="J66" s="20" t="inlineStr"/>
      <c r="K66" s="19" t="inlineStr"/>
    </row>
    <row r="67">
      <c r="B67" s="20" t="inlineStr">
        <is>
          <t>D006</t>
        </is>
      </c>
      <c r="C67" s="20" t="inlineStr">
        <is>
          <t>黃榆鈞</t>
        </is>
      </c>
      <c r="D67" s="20" t="inlineStr">
        <is>
          <t>醫師</t>
        </is>
      </c>
      <c r="E67" s="19" t="inlineStr">
        <is>
          <t>矯正專科</t>
        </is>
      </c>
      <c r="F67" s="20" t="inlineStr"/>
      <c r="G67" s="20" t="inlineStr">
        <is>
          <t>晶悅</t>
        </is>
      </c>
      <c r="H67" s="19" t="inlineStr">
        <is>
          <t>晶悅 · 寶貝牙</t>
        </is>
      </c>
      <c r="I67" s="20" t="inlineStr">
        <is>
          <t>YU-CHUN HUANG</t>
        </is>
      </c>
      <c r="J67" s="20" t="inlineStr"/>
      <c r="K67" s="19" t="inlineStr"/>
    </row>
    <row r="68">
      <c r="B68" s="20" t="inlineStr">
        <is>
          <t>D007</t>
        </is>
      </c>
      <c r="C68" s="20" t="inlineStr">
        <is>
          <t>温翊君</t>
        </is>
      </c>
      <c r="D68" s="20" t="inlineStr">
        <is>
          <t>醫師</t>
        </is>
      </c>
      <c r="E68" s="19" t="inlineStr">
        <is>
          <t>根管治療專科</t>
        </is>
      </c>
      <c r="F68" s="20" t="inlineStr"/>
      <c r="G68" s="20" t="inlineStr">
        <is>
          <t>晶悅</t>
        </is>
      </c>
      <c r="H68" s="19" t="inlineStr">
        <is>
          <t>晶悅</t>
        </is>
      </c>
      <c r="I68" s="20" t="inlineStr">
        <is>
          <t>YI-CHUN WEN</t>
        </is>
      </c>
      <c r="J68" s="20" t="inlineStr"/>
      <c r="K68" s="19" t="inlineStr"/>
    </row>
    <row r="69">
      <c r="B69" s="20" t="inlineStr">
        <is>
          <t>D008</t>
        </is>
      </c>
      <c r="C69" s="20" t="inlineStr">
        <is>
          <t>林紫亭</t>
        </is>
      </c>
      <c r="D69" s="20" t="inlineStr">
        <is>
          <t>醫師</t>
        </is>
      </c>
      <c r="E69" s="19" t="inlineStr"/>
      <c r="F69" s="20" t="inlineStr"/>
      <c r="G69" s="20" t="inlineStr">
        <is>
          <t>晶悅</t>
        </is>
      </c>
      <c r="H69" s="19" t="inlineStr">
        <is>
          <t>晶悅</t>
        </is>
      </c>
      <c r="I69" s="20" t="inlineStr">
        <is>
          <t>TZU-TING LIN</t>
        </is>
      </c>
      <c r="J69" s="20" t="inlineStr"/>
      <c r="K69" s="19" t="inlineStr"/>
    </row>
    <row r="70">
      <c r="B70" s="20" t="inlineStr">
        <is>
          <t>D009</t>
        </is>
      </c>
      <c r="C70" s="20" t="inlineStr">
        <is>
          <t>陳昺元</t>
        </is>
      </c>
      <c r="D70" s="20" t="inlineStr">
        <is>
          <t>醫師</t>
        </is>
      </c>
      <c r="E70" s="19" t="inlineStr">
        <is>
          <t>美學植牙專科</t>
        </is>
      </c>
      <c r="F70" s="20" t="inlineStr">
        <is>
          <t>晶匯院長</t>
        </is>
      </c>
      <c r="G70" s="20" t="inlineStr">
        <is>
          <t>晶匯</t>
        </is>
      </c>
      <c r="H70" s="19" t="inlineStr">
        <is>
          <t>晶悅 · 晶匯 · 寶貝牙</t>
        </is>
      </c>
      <c r="I70" s="20" t="inlineStr">
        <is>
          <t>PING-YUAN CHEN</t>
        </is>
      </c>
      <c r="J70" s="20" t="inlineStr"/>
      <c r="K70" s="19" t="inlineStr"/>
    </row>
    <row r="71">
      <c r="B71" s="20" t="inlineStr">
        <is>
          <t>D010</t>
        </is>
      </c>
      <c r="C71" s="20" t="inlineStr">
        <is>
          <t>蔡季軒</t>
        </is>
      </c>
      <c r="D71" s="20" t="inlineStr">
        <is>
          <t>醫師</t>
        </is>
      </c>
      <c r="E71" s="19" t="inlineStr"/>
      <c r="F71" s="20" t="inlineStr"/>
      <c r="G71" s="20" t="inlineStr">
        <is>
          <t>晶悅</t>
        </is>
      </c>
      <c r="H71" s="19" t="inlineStr">
        <is>
          <t>晶悅</t>
        </is>
      </c>
      <c r="I71" s="20" t="inlineStr">
        <is>
          <t>CHI-HSUAN TSAI</t>
        </is>
      </c>
      <c r="J71" s="20" t="inlineStr"/>
      <c r="K71" s="19" t="inlineStr"/>
    </row>
    <row r="72">
      <c r="B72" s="20" t="inlineStr">
        <is>
          <t>D011</t>
        </is>
      </c>
      <c r="C72" s="20" t="inlineStr">
        <is>
          <t>温健成</t>
        </is>
      </c>
      <c r="D72" s="20" t="inlineStr">
        <is>
          <t>醫師</t>
        </is>
      </c>
      <c r="E72" s="19" t="inlineStr"/>
      <c r="F72" s="20" t="inlineStr">
        <is>
          <t>晶睿院長</t>
        </is>
      </c>
      <c r="G72" s="20" t="inlineStr">
        <is>
          <t>晶睿</t>
        </is>
      </c>
      <c r="H72" s="19" t="inlineStr">
        <is>
          <t>晶睿 · 晶匯</t>
        </is>
      </c>
      <c r="I72" s="20" t="inlineStr">
        <is>
          <t>JIAN-CHENG WEN</t>
        </is>
      </c>
      <c r="J72" s="20" t="inlineStr"/>
      <c r="K72" s="19" t="inlineStr"/>
    </row>
    <row r="73">
      <c r="B73" s="20" t="inlineStr">
        <is>
          <t>D012</t>
        </is>
      </c>
      <c r="C73" s="20" t="inlineStr">
        <is>
          <t>陳立軒</t>
        </is>
      </c>
      <c r="D73" s="20" t="inlineStr">
        <is>
          <t>醫師</t>
        </is>
      </c>
      <c r="E73" s="19" t="inlineStr"/>
      <c r="F73" s="20" t="inlineStr"/>
      <c r="G73" s="20" t="inlineStr">
        <is>
          <t>晶睿</t>
        </is>
      </c>
      <c r="H73" s="19" t="inlineStr">
        <is>
          <t>晶睿 · 晶匯 · 晶曜</t>
        </is>
      </c>
      <c r="I73" s="20" t="inlineStr">
        <is>
          <t>LI-HSUAN CHEN</t>
        </is>
      </c>
      <c r="J73" s="20" t="inlineStr"/>
      <c r="K73" s="19" t="inlineStr"/>
    </row>
    <row r="74">
      <c r="B74" s="20" t="inlineStr">
        <is>
          <t>D013</t>
        </is>
      </c>
      <c r="C74" s="20" t="inlineStr">
        <is>
          <t>朱柏非</t>
        </is>
      </c>
      <c r="D74" s="20" t="inlineStr">
        <is>
          <t>醫師</t>
        </is>
      </c>
      <c r="E74" s="19" t="inlineStr"/>
      <c r="F74" s="20" t="inlineStr"/>
      <c r="G74" s="20" t="inlineStr">
        <is>
          <t>晶悅</t>
        </is>
      </c>
      <c r="H74" s="19" t="inlineStr">
        <is>
          <t>晶悅 · 晶匯 · 寶貝牙</t>
        </is>
      </c>
      <c r="I74" s="20" t="inlineStr">
        <is>
          <t>PO-FEI CHU</t>
        </is>
      </c>
      <c r="J74" s="20" t="inlineStr"/>
      <c r="K74" s="19" t="inlineStr"/>
    </row>
    <row r="75">
      <c r="B75" s="20" t="inlineStr">
        <is>
          <t>D014</t>
        </is>
      </c>
      <c r="C75" s="20" t="inlineStr">
        <is>
          <t>鄭漢賢</t>
        </is>
      </c>
      <c r="D75" s="20" t="inlineStr">
        <is>
          <t>醫師</t>
        </is>
      </c>
      <c r="E75" s="19" t="inlineStr"/>
      <c r="F75" s="20" t="inlineStr"/>
      <c r="G75" s="20" t="inlineStr">
        <is>
          <t>晶悅</t>
        </is>
      </c>
      <c r="H75" s="19" t="inlineStr">
        <is>
          <t>晶悅 · 晶匯</t>
        </is>
      </c>
      <c r="I75" s="20" t="inlineStr">
        <is>
          <t>HON-YIN CHENG</t>
        </is>
      </c>
      <c r="J75" s="20" t="inlineStr"/>
      <c r="K75" s="19" t="inlineStr"/>
    </row>
    <row r="76">
      <c r="B76" s="20" t="inlineStr">
        <is>
          <t>D015</t>
        </is>
      </c>
      <c r="C76" s="20" t="inlineStr">
        <is>
          <t>徐平</t>
        </is>
      </c>
      <c r="D76" s="20" t="inlineStr">
        <is>
          <t>醫師</t>
        </is>
      </c>
      <c r="E76" s="19" t="inlineStr"/>
      <c r="F76" s="20" t="inlineStr"/>
      <c r="G76" s="20" t="inlineStr">
        <is>
          <t>晶悅</t>
        </is>
      </c>
      <c r="H76" s="19" t="inlineStr">
        <is>
          <t>晶悅 · 晶曜</t>
        </is>
      </c>
      <c r="I76" s="20" t="inlineStr">
        <is>
          <t>PING HSU</t>
        </is>
      </c>
      <c r="J76" s="20" t="inlineStr"/>
      <c r="K76" s="19" t="inlineStr"/>
    </row>
    <row r="77">
      <c r="B77" s="20" t="inlineStr">
        <is>
          <t>D016</t>
        </is>
      </c>
      <c r="C77" s="20" t="inlineStr">
        <is>
          <t>賴敏傑</t>
        </is>
      </c>
      <c r="D77" s="20" t="inlineStr">
        <is>
          <t>醫師</t>
        </is>
      </c>
      <c r="E77" s="19" t="inlineStr"/>
      <c r="F77" s="20" t="inlineStr"/>
      <c r="G77" s="20" t="inlineStr">
        <is>
          <t>晶睿</t>
        </is>
      </c>
      <c r="H77" s="19" t="inlineStr">
        <is>
          <t>晶睿</t>
        </is>
      </c>
      <c r="I77" s="20" t="inlineStr">
        <is>
          <t>MIN-CHIEH LAI</t>
        </is>
      </c>
      <c r="J77" s="20" t="inlineStr"/>
      <c r="K77" s="19" t="inlineStr"/>
    </row>
    <row r="78">
      <c r="B78" s="20" t="inlineStr">
        <is>
          <t>D017</t>
        </is>
      </c>
      <c r="C78" s="20" t="inlineStr">
        <is>
          <t>吳柏賢</t>
        </is>
      </c>
      <c r="D78" s="20" t="inlineStr">
        <is>
          <t>醫師</t>
        </is>
      </c>
      <c r="E78" s="19" t="inlineStr"/>
      <c r="F78" s="20" t="inlineStr"/>
      <c r="G78" s="20" t="inlineStr">
        <is>
          <t>晶睿</t>
        </is>
      </c>
      <c r="H78" s="19" t="inlineStr">
        <is>
          <t>晶睿 · 晶曜</t>
        </is>
      </c>
      <c r="I78" s="20" t="inlineStr">
        <is>
          <t>BO-XIAN WU</t>
        </is>
      </c>
      <c r="J78" s="20" t="inlineStr"/>
      <c r="K78" s="19" t="inlineStr"/>
    </row>
    <row r="79">
      <c r="B79" s="20" t="inlineStr">
        <is>
          <t>D018</t>
        </is>
      </c>
      <c r="C79" s="20" t="inlineStr">
        <is>
          <t>許博諺</t>
        </is>
      </c>
      <c r="D79" s="20" t="inlineStr">
        <is>
          <t>醫師</t>
        </is>
      </c>
      <c r="E79" s="19" t="inlineStr"/>
      <c r="F79" s="20" t="inlineStr"/>
      <c r="G79" s="20" t="inlineStr">
        <is>
          <t>晶睿</t>
        </is>
      </c>
      <c r="H79" s="19" t="inlineStr">
        <is>
          <t>晶睿 · 晶曜</t>
        </is>
      </c>
      <c r="I79" s="20" t="inlineStr">
        <is>
          <t>PO-YEN HSU</t>
        </is>
      </c>
      <c r="J79" s="20" t="inlineStr"/>
      <c r="K79" s="19" t="inlineStr"/>
    </row>
    <row r="80">
      <c r="B80" s="20" t="inlineStr">
        <is>
          <t>D019</t>
        </is>
      </c>
      <c r="C80" s="20" t="inlineStr">
        <is>
          <t>翁崎紘</t>
        </is>
      </c>
      <c r="D80" s="20" t="inlineStr">
        <is>
          <t>醫師</t>
        </is>
      </c>
      <c r="E80" s="19" t="inlineStr"/>
      <c r="F80" s="20" t="inlineStr"/>
      <c r="G80" s="20" t="inlineStr">
        <is>
          <t>晶悅</t>
        </is>
      </c>
      <c r="H80" s="19" t="inlineStr">
        <is>
          <t>晶悅</t>
        </is>
      </c>
      <c r="I80" s="20" t="inlineStr">
        <is>
          <t>CHI-HONG WENG</t>
        </is>
      </c>
      <c r="J80" s="20" t="inlineStr"/>
      <c r="K80" s="19" t="inlineStr"/>
    </row>
    <row r="81">
      <c r="B81" s="20" t="inlineStr">
        <is>
          <t>D020</t>
        </is>
      </c>
      <c r="C81" s="20" t="inlineStr">
        <is>
          <t>余柏萱</t>
        </is>
      </c>
      <c r="D81" s="20" t="inlineStr">
        <is>
          <t>醫師</t>
        </is>
      </c>
      <c r="E81" s="19" t="inlineStr"/>
      <c r="F81" s="20" t="inlineStr"/>
      <c r="G81" s="20" t="inlineStr">
        <is>
          <t>晶睿</t>
        </is>
      </c>
      <c r="H81" s="19" t="inlineStr">
        <is>
          <t>晶睿 · 寶貝牙</t>
        </is>
      </c>
      <c r="I81" s="20" t="inlineStr">
        <is>
          <t>PO-HSUAN YU</t>
        </is>
      </c>
      <c r="J81" s="20" t="inlineStr"/>
      <c r="K81" s="19" t="inlineStr"/>
    </row>
    <row r="82">
      <c r="B82" s="20" t="inlineStr">
        <is>
          <t>D021</t>
        </is>
      </c>
      <c r="C82" s="20" t="inlineStr">
        <is>
          <t>鄭博文</t>
        </is>
      </c>
      <c r="D82" s="20" t="inlineStr">
        <is>
          <t>醫師</t>
        </is>
      </c>
      <c r="E82" s="19" t="inlineStr"/>
      <c r="F82" s="20" t="inlineStr"/>
      <c r="G82" s="20" t="inlineStr">
        <is>
          <t>晶悅</t>
        </is>
      </c>
      <c r="H82" s="19" t="inlineStr">
        <is>
          <t>晶悅</t>
        </is>
      </c>
      <c r="I82" s="20" t="inlineStr">
        <is>
          <t>PO-WEN CHENG</t>
        </is>
      </c>
      <c r="J82" s="20" t="inlineStr"/>
      <c r="K82" s="19" t="inlineStr"/>
    </row>
    <row r="83">
      <c r="B83" s="20" t="inlineStr">
        <is>
          <t>D022</t>
        </is>
      </c>
      <c r="C83" s="20" t="inlineStr">
        <is>
          <t>黃育亭</t>
        </is>
      </c>
      <c r="D83" s="20" t="inlineStr">
        <is>
          <t>醫師</t>
        </is>
      </c>
      <c r="E83" s="19" t="inlineStr">
        <is>
          <t>兒童</t>
        </is>
      </c>
      <c r="F83" s="20" t="inlineStr">
        <is>
          <t>寶貝牙院長</t>
        </is>
      </c>
      <c r="G83" s="20" t="inlineStr">
        <is>
          <t>寶貝牙</t>
        </is>
      </c>
      <c r="H83" s="19" t="inlineStr">
        <is>
          <t>寶貝牙</t>
        </is>
      </c>
      <c r="I83" s="20" t="inlineStr">
        <is>
          <t>YU-TING HUANG</t>
        </is>
      </c>
      <c r="J83" s="20" t="inlineStr"/>
      <c r="K83" s="19" t="inlineStr"/>
    </row>
    <row r="84">
      <c r="B84" s="20" t="inlineStr">
        <is>
          <t>D023</t>
        </is>
      </c>
      <c r="C84" s="20" t="inlineStr">
        <is>
          <t>黃婷愉</t>
        </is>
      </c>
      <c r="D84" s="20" t="inlineStr">
        <is>
          <t>醫師</t>
        </is>
      </c>
      <c r="E84" s="19" t="inlineStr">
        <is>
          <t>口外</t>
        </is>
      </c>
      <c r="F84" s="20" t="inlineStr"/>
      <c r="G84" s="20" t="inlineStr">
        <is>
          <t>寶貝牙</t>
        </is>
      </c>
      <c r="H84" s="19" t="inlineStr">
        <is>
          <t>寶貝牙</t>
        </is>
      </c>
      <c r="I84" s="20" t="inlineStr">
        <is>
          <t>TING-YU HUANG</t>
        </is>
      </c>
      <c r="J84" s="20" t="inlineStr"/>
      <c r="K84" s="19" t="inlineStr"/>
    </row>
    <row r="85">
      <c r="B85" s="20" t="inlineStr">
        <is>
          <t>D024</t>
        </is>
      </c>
      <c r="C85" s="20" t="inlineStr">
        <is>
          <t>林紓安</t>
        </is>
      </c>
      <c r="D85" s="20" t="inlineStr">
        <is>
          <t>醫師</t>
        </is>
      </c>
      <c r="E85" s="19" t="inlineStr">
        <is>
          <t>兒童</t>
        </is>
      </c>
      <c r="F85" s="20" t="inlineStr"/>
      <c r="G85" s="20" t="inlineStr">
        <is>
          <t>晶匯</t>
        </is>
      </c>
      <c r="H85" s="19" t="inlineStr">
        <is>
          <t>晶匯 · 寶貝牙</t>
        </is>
      </c>
      <c r="I85" s="20" t="inlineStr">
        <is>
          <t>SHU-AN LIN</t>
        </is>
      </c>
      <c r="J85" s="20" t="inlineStr"/>
      <c r="K85" s="19" t="inlineStr"/>
    </row>
    <row r="86">
      <c r="B86" s="20" t="inlineStr">
        <is>
          <t>D025</t>
        </is>
      </c>
      <c r="C86" s="20" t="inlineStr">
        <is>
          <t>陳爵安</t>
        </is>
      </c>
      <c r="D86" s="20" t="inlineStr">
        <is>
          <t>醫師</t>
        </is>
      </c>
      <c r="E86" s="19" t="inlineStr"/>
      <c r="F86" s="20" t="inlineStr"/>
      <c r="G86" s="20" t="inlineStr">
        <is>
          <t>晶睿</t>
        </is>
      </c>
      <c r="H86" s="19" t="inlineStr">
        <is>
          <t>晶睿</t>
        </is>
      </c>
      <c r="I86" s="20" t="inlineStr"/>
      <c r="J86" s="20" t="inlineStr"/>
      <c r="K86" s="19" t="inlineStr"/>
    </row>
    <row r="87">
      <c r="B87" s="20" t="inlineStr">
        <is>
          <t>D026</t>
        </is>
      </c>
      <c r="C87" s="20" t="inlineStr">
        <is>
          <t>吳冠廷</t>
        </is>
      </c>
      <c r="D87" s="20" t="inlineStr">
        <is>
          <t>醫師</t>
        </is>
      </c>
      <c r="E87" s="19" t="inlineStr"/>
      <c r="F87" s="20" t="inlineStr"/>
      <c r="G87" s="20" t="inlineStr">
        <is>
          <t>晶匯</t>
        </is>
      </c>
      <c r="H87" s="19" t="inlineStr">
        <is>
          <t>晶匯</t>
        </is>
      </c>
      <c r="I87" s="20" t="inlineStr"/>
      <c r="J87" s="20" t="inlineStr"/>
      <c r="K87" s="19" t="inlineStr"/>
    </row>
    <row r="88">
      <c r="B88" s="20" t="inlineStr">
        <is>
          <t>D027</t>
        </is>
      </c>
      <c r="C88" s="20" t="inlineStr">
        <is>
          <t>楊孟庭</t>
        </is>
      </c>
      <c r="D88" s="20" t="inlineStr">
        <is>
          <t>醫師</t>
        </is>
      </c>
      <c r="E88" s="19" t="inlineStr"/>
      <c r="F88" s="20" t="inlineStr"/>
      <c r="G88" s="20" t="inlineStr">
        <is>
          <t>晶匯</t>
        </is>
      </c>
      <c r="H88" s="19" t="inlineStr">
        <is>
          <t>晶匯</t>
        </is>
      </c>
      <c r="I88" s="20" t="inlineStr"/>
      <c r="J88" s="20" t="inlineStr"/>
      <c r="K88" s="19" t="inlineStr"/>
    </row>
    <row r="89">
      <c r="B89" s="17" t="inlineStr"/>
      <c r="C89" s="17" t="inlineStr"/>
      <c r="D89" s="17" t="inlineStr"/>
      <c r="E89" s="23" t="inlineStr"/>
      <c r="F89" s="17" t="inlineStr"/>
      <c r="G89" s="17" t="inlineStr"/>
      <c r="H89" s="23" t="inlineStr"/>
      <c r="I89" s="17" t="inlineStr"/>
      <c r="J89" s="17" t="inlineStr"/>
      <c r="K89" s="23" t="inlineStr"/>
    </row>
    <row r="90">
      <c r="B90" s="17" t="inlineStr"/>
      <c r="C90" s="17" t="inlineStr"/>
      <c r="D90" s="17" t="inlineStr"/>
      <c r="E90" s="23" t="inlineStr"/>
      <c r="F90" s="17" t="inlineStr"/>
      <c r="G90" s="17" t="inlineStr"/>
      <c r="H90" s="23" t="inlineStr"/>
      <c r="I90" s="17" t="inlineStr"/>
      <c r="J90" s="17" t="inlineStr"/>
      <c r="K90" s="23" t="inlineStr"/>
    </row>
    <row r="91">
      <c r="B91" s="17" t="inlineStr"/>
      <c r="C91" s="17" t="inlineStr"/>
      <c r="D91" s="17" t="inlineStr"/>
      <c r="E91" s="23" t="inlineStr"/>
      <c r="F91" s="17" t="inlineStr"/>
      <c r="G91" s="17" t="inlineStr"/>
      <c r="H91" s="23" t="inlineStr"/>
      <c r="I91" s="17" t="inlineStr"/>
      <c r="J91" s="17" t="inlineStr"/>
      <c r="K91" s="23" t="inlineStr"/>
    </row>
    <row r="92">
      <c r="B92" s="17" t="inlineStr"/>
      <c r="C92" s="17" t="inlineStr"/>
      <c r="D92" s="17" t="inlineStr"/>
      <c r="E92" s="23" t="inlineStr"/>
      <c r="F92" s="17" t="inlineStr"/>
      <c r="G92" s="17" t="inlineStr"/>
      <c r="H92" s="23" t="inlineStr"/>
      <c r="I92" s="17" t="inlineStr"/>
      <c r="J92" s="17" t="inlineStr"/>
      <c r="K92" s="23" t="inlineStr"/>
    </row>
    <row r="93">
      <c r="B93" s="17" t="inlineStr"/>
      <c r="C93" s="17" t="inlineStr"/>
      <c r="D93" s="17" t="inlineStr"/>
      <c r="E93" s="23" t="inlineStr"/>
      <c r="F93" s="17" t="inlineStr"/>
      <c r="G93" s="17" t="inlineStr"/>
      <c r="H93" s="23" t="inlineStr"/>
      <c r="I93" s="17" t="inlineStr"/>
      <c r="J93" s="17" t="inlineStr"/>
      <c r="K93" s="23" t="inlineStr"/>
    </row>
    <row r="94">
      <c r="B94" s="17" t="inlineStr"/>
      <c r="C94" s="17" t="inlineStr"/>
      <c r="D94" s="17" t="inlineStr"/>
      <c r="E94" s="23" t="inlineStr"/>
      <c r="F94" s="17" t="inlineStr"/>
      <c r="G94" s="17" t="inlineStr"/>
      <c r="H94" s="23" t="inlineStr"/>
      <c r="I94" s="17" t="inlineStr"/>
      <c r="J94" s="17" t="inlineStr"/>
      <c r="K94" s="23" t="inlineStr"/>
    </row>
    <row r="95">
      <c r="B95" s="17" t="inlineStr"/>
      <c r="C95" s="17" t="inlineStr"/>
      <c r="D95" s="17" t="inlineStr"/>
      <c r="E95" s="23" t="inlineStr"/>
      <c r="F95" s="17" t="inlineStr"/>
      <c r="G95" s="17" t="inlineStr"/>
      <c r="H95" s="23" t="inlineStr"/>
      <c r="I95" s="17" t="inlineStr"/>
      <c r="J95" s="17" t="inlineStr"/>
      <c r="K95" s="23" t="inlineStr"/>
    </row>
    <row r="96">
      <c r="B96" s="17" t="inlineStr"/>
      <c r="C96" s="17" t="inlineStr"/>
      <c r="D96" s="17" t="inlineStr"/>
      <c r="E96" s="23" t="inlineStr"/>
      <c r="F96" s="17" t="inlineStr"/>
      <c r="G96" s="17" t="inlineStr"/>
      <c r="H96" s="23" t="inlineStr"/>
      <c r="I96" s="17" t="inlineStr"/>
      <c r="J96" s="17" t="inlineStr"/>
      <c r="K96" s="23" t="inlineStr"/>
    </row>
    <row r="97">
      <c r="B97" s="17" t="inlineStr"/>
      <c r="C97" s="17" t="inlineStr"/>
      <c r="D97" s="17" t="inlineStr"/>
      <c r="E97" s="23" t="inlineStr"/>
      <c r="F97" s="17" t="inlineStr"/>
      <c r="G97" s="17" t="inlineStr"/>
      <c r="H97" s="23" t="inlineStr"/>
      <c r="I97" s="17" t="inlineStr"/>
      <c r="J97" s="17" t="inlineStr"/>
      <c r="K97" s="23" t="inlineStr"/>
    </row>
    <row r="98">
      <c r="B98" s="17" t="inlineStr"/>
      <c r="C98" s="17" t="inlineStr"/>
      <c r="D98" s="17" t="inlineStr"/>
      <c r="E98" s="23" t="inlineStr"/>
      <c r="F98" s="17" t="inlineStr"/>
      <c r="G98" s="17" t="inlineStr"/>
      <c r="H98" s="23" t="inlineStr"/>
      <c r="I98" s="17" t="inlineStr"/>
      <c r="J98" s="17" t="inlineStr"/>
      <c r="K98" s="23" t="inlineStr"/>
    </row>
    <row r="99">
      <c r="B99" s="17" t="inlineStr"/>
      <c r="C99" s="17" t="inlineStr"/>
      <c r="D99" s="17" t="inlineStr"/>
      <c r="E99" s="23" t="inlineStr"/>
      <c r="F99" s="17" t="inlineStr"/>
      <c r="G99" s="17" t="inlineStr"/>
      <c r="H99" s="23" t="inlineStr"/>
      <c r="I99" s="17" t="inlineStr"/>
      <c r="J99" s="17" t="inlineStr"/>
      <c r="K99" s="23" t="inlineStr"/>
    </row>
    <row r="100">
      <c r="B100" s="17" t="inlineStr"/>
      <c r="C100" s="17" t="inlineStr"/>
      <c r="D100" s="17" t="inlineStr"/>
      <c r="E100" s="23" t="inlineStr"/>
      <c r="F100" s="17" t="inlineStr"/>
      <c r="G100" s="17" t="inlineStr"/>
      <c r="H100" s="23" t="inlineStr"/>
      <c r="I100" s="17" t="inlineStr"/>
      <c r="J100" s="17" t="inlineStr"/>
      <c r="K100" s="23" t="inlineStr"/>
    </row>
    <row r="101">
      <c r="B101" s="17" t="inlineStr"/>
      <c r="C101" s="17" t="inlineStr"/>
      <c r="D101" s="17" t="inlineStr"/>
      <c r="E101" s="23" t="inlineStr"/>
      <c r="F101" s="17" t="inlineStr"/>
      <c r="G101" s="17" t="inlineStr"/>
      <c r="H101" s="23" t="inlineStr"/>
      <c r="I101" s="17" t="inlineStr"/>
      <c r="J101" s="17" t="inlineStr"/>
      <c r="K101" s="23" t="inlineStr"/>
    </row>
    <row r="102">
      <c r="B102" s="17" t="inlineStr"/>
      <c r="C102" s="17" t="inlineStr"/>
      <c r="D102" s="17" t="inlineStr"/>
      <c r="E102" s="23" t="inlineStr"/>
      <c r="F102" s="17" t="inlineStr"/>
      <c r="G102" s="17" t="inlineStr"/>
      <c r="H102" s="23" t="inlineStr"/>
      <c r="I102" s="17" t="inlineStr"/>
      <c r="J102" s="17" t="inlineStr"/>
      <c r="K102" s="23" t="inlineStr"/>
    </row>
    <row r="103">
      <c r="B103" s="17" t="inlineStr"/>
      <c r="C103" s="17" t="inlineStr"/>
      <c r="D103" s="17" t="inlineStr"/>
      <c r="E103" s="23" t="inlineStr"/>
      <c r="F103" s="17" t="inlineStr"/>
      <c r="G103" s="17" t="inlineStr"/>
      <c r="H103" s="23" t="inlineStr"/>
      <c r="I103" s="17" t="inlineStr"/>
      <c r="J103" s="17" t="inlineStr"/>
      <c r="K103" s="23" t="inlineStr"/>
    </row>
    <row r="104">
      <c r="B104" s="17" t="inlineStr"/>
      <c r="C104" s="17" t="inlineStr"/>
      <c r="D104" s="17" t="inlineStr"/>
      <c r="E104" s="23" t="inlineStr"/>
      <c r="F104" s="17" t="inlineStr"/>
      <c r="G104" s="17" t="inlineStr"/>
      <c r="H104" s="23" t="inlineStr"/>
      <c r="I104" s="17" t="inlineStr"/>
      <c r="J104" s="17" t="inlineStr"/>
      <c r="K104" s="23" t="inlineStr"/>
    </row>
    <row r="105">
      <c r="B105" s="17" t="inlineStr"/>
      <c r="C105" s="17" t="inlineStr"/>
      <c r="D105" s="17" t="inlineStr"/>
      <c r="E105" s="23" t="inlineStr"/>
      <c r="F105" s="17" t="inlineStr"/>
      <c r="G105" s="17" t="inlineStr"/>
      <c r="H105" s="23" t="inlineStr"/>
      <c r="I105" s="17" t="inlineStr"/>
      <c r="J105" s="17" t="inlineStr"/>
      <c r="K105" s="23" t="inlineStr"/>
    </row>
    <row r="106">
      <c r="B106" s="17" t="inlineStr"/>
      <c r="C106" s="17" t="inlineStr"/>
      <c r="D106" s="17" t="inlineStr"/>
      <c r="E106" s="23" t="inlineStr"/>
      <c r="F106" s="17" t="inlineStr"/>
      <c r="G106" s="17" t="inlineStr"/>
      <c r="H106" s="23" t="inlineStr"/>
      <c r="I106" s="17" t="inlineStr"/>
      <c r="J106" s="17" t="inlineStr"/>
      <c r="K106" s="23" t="inlineStr"/>
    </row>
    <row r="107">
      <c r="B107" s="17" t="inlineStr"/>
      <c r="C107" s="17" t="inlineStr"/>
      <c r="D107" s="17" t="inlineStr"/>
      <c r="E107" s="23" t="inlineStr"/>
      <c r="F107" s="17" t="inlineStr"/>
      <c r="G107" s="17" t="inlineStr"/>
      <c r="H107" s="23" t="inlineStr"/>
      <c r="I107" s="17" t="inlineStr"/>
      <c r="J107" s="17" t="inlineStr"/>
      <c r="K107" s="23" t="inlineStr"/>
    </row>
    <row r="108">
      <c r="B108" s="17" t="inlineStr"/>
      <c r="C108" s="17" t="inlineStr"/>
      <c r="D108" s="17" t="inlineStr"/>
      <c r="E108" s="23" t="inlineStr"/>
      <c r="F108" s="17" t="inlineStr"/>
      <c r="G108" s="17" t="inlineStr"/>
      <c r="H108" s="23" t="inlineStr"/>
      <c r="I108" s="17" t="inlineStr"/>
      <c r="J108" s="17" t="inlineStr"/>
      <c r="K108" s="23" t="inlineStr"/>
    </row>
    <row r="109">
      <c r="B109" s="17" t="inlineStr"/>
      <c r="C109" s="17" t="inlineStr"/>
      <c r="D109" s="17" t="inlineStr"/>
      <c r="E109" s="23" t="inlineStr"/>
      <c r="F109" s="17" t="inlineStr"/>
      <c r="G109" s="17" t="inlineStr"/>
      <c r="H109" s="23" t="inlineStr"/>
      <c r="I109" s="17" t="inlineStr"/>
      <c r="J109" s="17" t="inlineStr"/>
      <c r="K109" s="23" t="inlineStr"/>
    </row>
    <row r="110">
      <c r="B110" s="17" t="inlineStr"/>
      <c r="C110" s="17" t="inlineStr"/>
      <c r="D110" s="17" t="inlineStr"/>
      <c r="E110" s="23" t="inlineStr"/>
      <c r="F110" s="17" t="inlineStr"/>
      <c r="G110" s="17" t="inlineStr"/>
      <c r="H110" s="23" t="inlineStr"/>
      <c r="I110" s="17" t="inlineStr"/>
      <c r="J110" s="17" t="inlineStr"/>
      <c r="K110" s="23" t="inlineStr"/>
    </row>
    <row r="111">
      <c r="B111" s="17" t="inlineStr"/>
      <c r="C111" s="17" t="inlineStr"/>
      <c r="D111" s="17" t="inlineStr"/>
      <c r="E111" s="23" t="inlineStr"/>
      <c r="F111" s="17" t="inlineStr"/>
      <c r="G111" s="17" t="inlineStr"/>
      <c r="H111" s="23" t="inlineStr"/>
      <c r="I111" s="17" t="inlineStr"/>
      <c r="J111" s="17" t="inlineStr"/>
      <c r="K111" s="23" t="inlineStr"/>
    </row>
    <row r="112">
      <c r="B112" s="17" t="inlineStr"/>
      <c r="C112" s="17" t="inlineStr"/>
      <c r="D112" s="17" t="inlineStr"/>
      <c r="E112" s="23" t="inlineStr"/>
      <c r="F112" s="17" t="inlineStr"/>
      <c r="G112" s="17" t="inlineStr"/>
      <c r="H112" s="23" t="inlineStr"/>
      <c r="I112" s="17" t="inlineStr"/>
      <c r="J112" s="17" t="inlineStr"/>
      <c r="K112" s="23" t="inlineStr"/>
    </row>
    <row r="113">
      <c r="B113" s="17" t="inlineStr"/>
      <c r="C113" s="17" t="inlineStr"/>
      <c r="D113" s="17" t="inlineStr"/>
      <c r="E113" s="23" t="inlineStr"/>
      <c r="F113" s="17" t="inlineStr"/>
      <c r="G113" s="17" t="inlineStr"/>
      <c r="H113" s="23" t="inlineStr"/>
      <c r="I113" s="17" t="inlineStr"/>
      <c r="J113" s="17" t="inlineStr"/>
      <c r="K113" s="23" t="inlineStr"/>
    </row>
    <row r="114">
      <c r="B114" s="17" t="inlineStr"/>
      <c r="C114" s="17" t="inlineStr"/>
      <c r="D114" s="17" t="inlineStr"/>
      <c r="E114" s="23" t="inlineStr"/>
      <c r="F114" s="17" t="inlineStr"/>
      <c r="G114" s="17" t="inlineStr"/>
      <c r="H114" s="23" t="inlineStr"/>
      <c r="I114" s="17" t="inlineStr"/>
      <c r="J114" s="17" t="inlineStr"/>
      <c r="K114" s="23" t="inlineStr"/>
    </row>
    <row r="115">
      <c r="B115" s="17" t="inlineStr"/>
      <c r="C115" s="17" t="inlineStr"/>
      <c r="D115" s="17" t="inlineStr"/>
      <c r="E115" s="23" t="inlineStr"/>
      <c r="F115" s="17" t="inlineStr"/>
      <c r="G115" s="17" t="inlineStr"/>
      <c r="H115" s="23" t="inlineStr"/>
      <c r="I115" s="17" t="inlineStr"/>
      <c r="J115" s="17" t="inlineStr"/>
      <c r="K115" s="23" t="inlineStr"/>
    </row>
    <row r="116">
      <c r="B116" s="17" t="inlineStr"/>
      <c r="C116" s="17" t="inlineStr"/>
      <c r="D116" s="17" t="inlineStr"/>
      <c r="E116" s="23" t="inlineStr"/>
      <c r="F116" s="17" t="inlineStr"/>
      <c r="G116" s="17" t="inlineStr"/>
      <c r="H116" s="23" t="inlineStr"/>
      <c r="I116" s="17" t="inlineStr"/>
      <c r="J116" s="17" t="inlineStr"/>
      <c r="K116" s="23" t="inlineStr"/>
    </row>
    <row r="117">
      <c r="B117" s="17" t="inlineStr"/>
      <c r="C117" s="17" t="inlineStr"/>
      <c r="D117" s="17" t="inlineStr"/>
      <c r="E117" s="23" t="inlineStr"/>
      <c r="F117" s="17" t="inlineStr"/>
      <c r="G117" s="17" t="inlineStr"/>
      <c r="H117" s="23" t="inlineStr"/>
      <c r="I117" s="17" t="inlineStr"/>
      <c r="J117" s="17" t="inlineStr"/>
      <c r="K117" s="23" t="inlineStr"/>
    </row>
    <row r="118">
      <c r="B118" s="17" t="inlineStr"/>
      <c r="C118" s="17" t="inlineStr"/>
      <c r="D118" s="17" t="inlineStr"/>
      <c r="E118" s="23" t="inlineStr"/>
      <c r="F118" s="17" t="inlineStr"/>
      <c r="G118" s="17" t="inlineStr"/>
      <c r="H118" s="23" t="inlineStr"/>
      <c r="I118" s="17" t="inlineStr"/>
      <c r="J118" s="17" t="inlineStr"/>
      <c r="K118" s="23" t="inlineStr"/>
    </row>
    <row r="119">
      <c r="B119" s="17" t="inlineStr"/>
      <c r="C119" s="17" t="inlineStr"/>
      <c r="D119" s="17" t="inlineStr"/>
      <c r="E119" s="23" t="inlineStr"/>
      <c r="F119" s="17" t="inlineStr"/>
      <c r="G119" s="17" t="inlineStr"/>
      <c r="H119" s="23" t="inlineStr"/>
      <c r="I119" s="17" t="inlineStr"/>
      <c r="J119" s="17" t="inlineStr"/>
      <c r="K119" s="23" t="inlineStr"/>
    </row>
    <row r="120">
      <c r="B120" s="17" t="inlineStr"/>
      <c r="C120" s="17" t="inlineStr"/>
      <c r="D120" s="17" t="inlineStr"/>
      <c r="E120" s="23" t="inlineStr"/>
      <c r="F120" s="17" t="inlineStr"/>
      <c r="G120" s="17" t="inlineStr"/>
      <c r="H120" s="23" t="inlineStr"/>
      <c r="I120" s="17" t="inlineStr"/>
      <c r="J120" s="17" t="inlineStr"/>
      <c r="K120" s="23" t="inlineStr"/>
    </row>
    <row r="121">
      <c r="B121" s="17" t="inlineStr"/>
      <c r="C121" s="17" t="inlineStr"/>
      <c r="D121" s="17" t="inlineStr"/>
      <c r="E121" s="23" t="inlineStr"/>
      <c r="F121" s="17" t="inlineStr"/>
      <c r="G121" s="17" t="inlineStr"/>
      <c r="H121" s="23" t="inlineStr"/>
      <c r="I121" s="17" t="inlineStr"/>
      <c r="J121" s="17" t="inlineStr"/>
      <c r="K121" s="23" t="inlineStr"/>
    </row>
    <row r="122">
      <c r="B122" s="17" t="inlineStr"/>
      <c r="C122" s="17" t="inlineStr"/>
      <c r="D122" s="17" t="inlineStr"/>
      <c r="E122" s="23" t="inlineStr"/>
      <c r="F122" s="17" t="inlineStr"/>
      <c r="G122" s="17" t="inlineStr"/>
      <c r="H122" s="23" t="inlineStr"/>
      <c r="I122" s="17" t="inlineStr"/>
      <c r="J122" s="17" t="inlineStr"/>
      <c r="K122" s="23" t="inlineStr"/>
    </row>
    <row r="123">
      <c r="B123" s="17" t="inlineStr"/>
      <c r="C123" s="17" t="inlineStr"/>
      <c r="D123" s="17" t="inlineStr"/>
      <c r="E123" s="23" t="inlineStr"/>
      <c r="F123" s="17" t="inlineStr"/>
      <c r="G123" s="17" t="inlineStr"/>
      <c r="H123" s="23" t="inlineStr"/>
      <c r="I123" s="17" t="inlineStr"/>
      <c r="J123" s="17" t="inlineStr"/>
      <c r="K123" s="23" t="inlineStr"/>
    </row>
    <row r="124">
      <c r="B124" s="17" t="inlineStr"/>
      <c r="C124" s="17" t="inlineStr"/>
      <c r="D124" s="17" t="inlineStr"/>
      <c r="E124" s="23" t="inlineStr"/>
      <c r="F124" s="17" t="inlineStr"/>
      <c r="G124" s="17" t="inlineStr"/>
      <c r="H124" s="23" t="inlineStr"/>
      <c r="I124" s="17" t="inlineStr"/>
      <c r="J124" s="17" t="inlineStr"/>
      <c r="K124" s="23" t="inlineStr"/>
    </row>
    <row r="125">
      <c r="B125" s="17" t="inlineStr"/>
      <c r="C125" s="17" t="inlineStr"/>
      <c r="D125" s="17" t="inlineStr"/>
      <c r="E125" s="23" t="inlineStr"/>
      <c r="F125" s="17" t="inlineStr"/>
      <c r="G125" s="17" t="inlineStr"/>
      <c r="H125" s="23" t="inlineStr"/>
      <c r="I125" s="17" t="inlineStr"/>
      <c r="J125" s="17" t="inlineStr"/>
      <c r="K125" s="23" t="inlineStr"/>
    </row>
    <row r="126">
      <c r="B126" s="17" t="inlineStr"/>
      <c r="C126" s="17" t="inlineStr"/>
      <c r="D126" s="17" t="inlineStr"/>
      <c r="E126" s="23" t="inlineStr"/>
      <c r="F126" s="17" t="inlineStr"/>
      <c r="G126" s="17" t="inlineStr"/>
      <c r="H126" s="23" t="inlineStr"/>
      <c r="I126" s="17" t="inlineStr"/>
      <c r="J126" s="17" t="inlineStr"/>
      <c r="K126" s="23" t="inlineStr"/>
    </row>
    <row r="127">
      <c r="B127" s="17" t="inlineStr"/>
      <c r="C127" s="17" t="inlineStr"/>
      <c r="D127" s="17" t="inlineStr"/>
      <c r="E127" s="23" t="inlineStr"/>
      <c r="F127" s="17" t="inlineStr"/>
      <c r="G127" s="17" t="inlineStr"/>
      <c r="H127" s="23" t="inlineStr"/>
      <c r="I127" s="17" t="inlineStr"/>
      <c r="J127" s="17" t="inlineStr"/>
      <c r="K127" s="23" t="inlineStr"/>
    </row>
    <row r="128">
      <c r="B128" s="17" t="inlineStr"/>
      <c r="C128" s="17" t="inlineStr"/>
      <c r="D128" s="17" t="inlineStr"/>
      <c r="E128" s="23" t="inlineStr"/>
      <c r="F128" s="17" t="inlineStr"/>
      <c r="G128" s="17" t="inlineStr"/>
      <c r="H128" s="23" t="inlineStr"/>
      <c r="I128" s="17" t="inlineStr"/>
      <c r="J128" s="17" t="inlineStr"/>
      <c r="K128" s="23" t="inlineStr"/>
    </row>
    <row r="129">
      <c r="B129" s="17" t="inlineStr"/>
      <c r="C129" s="17" t="inlineStr"/>
      <c r="D129" s="17" t="inlineStr"/>
      <c r="E129" s="23" t="inlineStr"/>
      <c r="F129" s="17" t="inlineStr"/>
      <c r="G129" s="17" t="inlineStr"/>
      <c r="H129" s="23" t="inlineStr"/>
      <c r="I129" s="17" t="inlineStr"/>
      <c r="J129" s="17" t="inlineStr"/>
      <c r="K129" s="23" t="inlineStr"/>
    </row>
    <row r="130">
      <c r="B130" s="17" t="inlineStr"/>
      <c r="C130" s="17" t="inlineStr"/>
      <c r="D130" s="17" t="inlineStr"/>
      <c r="E130" s="23" t="inlineStr"/>
      <c r="F130" s="17" t="inlineStr"/>
      <c r="G130" s="17" t="inlineStr"/>
      <c r="H130" s="23" t="inlineStr"/>
      <c r="I130" s="17" t="inlineStr"/>
      <c r="J130" s="17" t="inlineStr"/>
      <c r="K130" s="23" t="inlineStr"/>
    </row>
    <row r="131">
      <c r="B131" s="17" t="inlineStr"/>
      <c r="C131" s="17" t="inlineStr"/>
      <c r="D131" s="17" t="inlineStr"/>
      <c r="E131" s="23" t="inlineStr"/>
      <c r="F131" s="17" t="inlineStr"/>
      <c r="G131" s="17" t="inlineStr"/>
      <c r="H131" s="23" t="inlineStr"/>
      <c r="I131" s="17" t="inlineStr"/>
      <c r="J131" s="17" t="inlineStr"/>
      <c r="K131" s="23" t="inlineStr"/>
    </row>
    <row r="132">
      <c r="B132" s="17" t="inlineStr"/>
      <c r="C132" s="17" t="inlineStr"/>
      <c r="D132" s="17" t="inlineStr"/>
      <c r="E132" s="23" t="inlineStr"/>
      <c r="F132" s="17" t="inlineStr"/>
      <c r="G132" s="17" t="inlineStr"/>
      <c r="H132" s="23" t="inlineStr"/>
      <c r="I132" s="17" t="inlineStr"/>
      <c r="J132" s="17" t="inlineStr"/>
      <c r="K132" s="23" t="inlineStr"/>
    </row>
    <row r="133">
      <c r="B133" s="17" t="inlineStr"/>
      <c r="C133" s="17" t="inlineStr"/>
      <c r="D133" s="17" t="inlineStr"/>
      <c r="E133" s="23" t="inlineStr"/>
      <c r="F133" s="17" t="inlineStr"/>
      <c r="G133" s="17" t="inlineStr"/>
      <c r="H133" s="23" t="inlineStr"/>
      <c r="I133" s="17" t="inlineStr"/>
      <c r="J133" s="17" t="inlineStr"/>
      <c r="K133" s="23" t="inlineStr"/>
    </row>
    <row r="134">
      <c r="B134" s="17" t="inlineStr"/>
      <c r="C134" s="17" t="inlineStr"/>
      <c r="D134" s="17" t="inlineStr"/>
      <c r="E134" s="23" t="inlineStr"/>
      <c r="F134" s="17" t="inlineStr"/>
      <c r="G134" s="17" t="inlineStr"/>
      <c r="H134" s="23" t="inlineStr"/>
      <c r="I134" s="17" t="inlineStr"/>
      <c r="J134" s="17" t="inlineStr"/>
      <c r="K134" s="23" t="inlineStr"/>
    </row>
    <row r="135">
      <c r="B135" s="17" t="inlineStr"/>
      <c r="C135" s="17" t="inlineStr"/>
      <c r="D135" s="17" t="inlineStr"/>
      <c r="E135" s="23" t="inlineStr"/>
      <c r="F135" s="17" t="inlineStr"/>
      <c r="G135" s="17" t="inlineStr"/>
      <c r="H135" s="23" t="inlineStr"/>
      <c r="I135" s="17" t="inlineStr"/>
      <c r="J135" s="17" t="inlineStr"/>
      <c r="K135" s="23" t="inlineStr"/>
    </row>
    <row r="136">
      <c r="B136" s="17" t="inlineStr"/>
      <c r="C136" s="17" t="inlineStr"/>
      <c r="D136" s="17" t="inlineStr"/>
      <c r="E136" s="23" t="inlineStr"/>
      <c r="F136" s="17" t="inlineStr"/>
      <c r="G136" s="17" t="inlineStr"/>
      <c r="H136" s="23" t="inlineStr"/>
      <c r="I136" s="17" t="inlineStr"/>
      <c r="J136" s="17" t="inlineStr"/>
      <c r="K136" s="23" t="inlineStr"/>
    </row>
    <row r="137">
      <c r="B137" s="17" t="inlineStr"/>
      <c r="C137" s="17" t="inlineStr"/>
      <c r="D137" s="17" t="inlineStr"/>
      <c r="E137" s="23" t="inlineStr"/>
      <c r="F137" s="17" t="inlineStr"/>
      <c r="G137" s="17" t="inlineStr"/>
      <c r="H137" s="23" t="inlineStr"/>
      <c r="I137" s="17" t="inlineStr"/>
      <c r="J137" s="17" t="inlineStr"/>
      <c r="K137" s="23" t="inlineStr"/>
    </row>
    <row r="138">
      <c r="B138" s="17" t="inlineStr"/>
      <c r="C138" s="17" t="inlineStr"/>
      <c r="D138" s="17" t="inlineStr"/>
      <c r="E138" s="23" t="inlineStr"/>
      <c r="F138" s="17" t="inlineStr"/>
      <c r="G138" s="17" t="inlineStr"/>
      <c r="H138" s="23" t="inlineStr"/>
      <c r="I138" s="17" t="inlineStr"/>
      <c r="J138" s="17" t="inlineStr"/>
      <c r="K138" s="23" t="inlineStr"/>
    </row>
    <row r="139">
      <c r="B139" s="17" t="inlineStr"/>
      <c r="C139" s="17" t="inlineStr"/>
      <c r="D139" s="17" t="inlineStr"/>
      <c r="E139" s="23" t="inlineStr"/>
      <c r="F139" s="17" t="inlineStr"/>
      <c r="G139" s="17" t="inlineStr"/>
      <c r="H139" s="23" t="inlineStr"/>
      <c r="I139" s="17" t="inlineStr"/>
      <c r="J139" s="17" t="inlineStr"/>
      <c r="K139" s="23" t="inlineStr"/>
    </row>
    <row r="140">
      <c r="B140" s="17" t="inlineStr"/>
      <c r="C140" s="17" t="inlineStr"/>
      <c r="D140" s="17" t="inlineStr"/>
      <c r="E140" s="23" t="inlineStr"/>
      <c r="F140" s="17" t="inlineStr"/>
      <c r="G140" s="17" t="inlineStr"/>
      <c r="H140" s="23" t="inlineStr"/>
      <c r="I140" s="17" t="inlineStr"/>
      <c r="J140" s="17" t="inlineStr"/>
      <c r="K140" s="23" t="inlineStr"/>
    </row>
    <row r="141">
      <c r="B141" s="17" t="inlineStr"/>
      <c r="C141" s="17" t="inlineStr"/>
      <c r="D141" s="17" t="inlineStr"/>
      <c r="E141" s="23" t="inlineStr"/>
      <c r="F141" s="17" t="inlineStr"/>
      <c r="G141" s="17" t="inlineStr"/>
      <c r="H141" s="23" t="inlineStr"/>
      <c r="I141" s="17" t="inlineStr"/>
      <c r="J141" s="17" t="inlineStr"/>
      <c r="K141" s="23" t="inlineStr"/>
    </row>
    <row r="142">
      <c r="B142" s="17" t="inlineStr"/>
      <c r="C142" s="17" t="inlineStr"/>
      <c r="D142" s="17" t="inlineStr"/>
      <c r="E142" s="23" t="inlineStr"/>
      <c r="F142" s="17" t="inlineStr"/>
      <c r="G142" s="17" t="inlineStr"/>
      <c r="H142" s="23" t="inlineStr"/>
      <c r="I142" s="17" t="inlineStr"/>
      <c r="J142" s="17" t="inlineStr"/>
      <c r="K142" s="23" t="inlineStr"/>
    </row>
    <row r="143">
      <c r="B143" s="17" t="inlineStr"/>
      <c r="C143" s="17" t="inlineStr"/>
      <c r="D143" s="17" t="inlineStr"/>
      <c r="E143" s="23" t="inlineStr"/>
      <c r="F143" s="17" t="inlineStr"/>
      <c r="G143" s="17" t="inlineStr"/>
      <c r="H143" s="23" t="inlineStr"/>
      <c r="I143" s="17" t="inlineStr"/>
      <c r="J143" s="17" t="inlineStr"/>
      <c r="K143" s="23" t="inlineStr"/>
    </row>
    <row r="144">
      <c r="B144" s="17" t="inlineStr"/>
      <c r="C144" s="17" t="inlineStr"/>
      <c r="D144" s="17" t="inlineStr"/>
      <c r="E144" s="23" t="inlineStr"/>
      <c r="F144" s="17" t="inlineStr"/>
      <c r="G144" s="17" t="inlineStr"/>
      <c r="H144" s="23" t="inlineStr"/>
      <c r="I144" s="17" t="inlineStr"/>
      <c r="J144" s="17" t="inlineStr"/>
      <c r="K144" s="23" t="inlineStr"/>
    </row>
    <row r="145">
      <c r="B145" s="17" t="inlineStr"/>
      <c r="C145" s="17" t="inlineStr"/>
      <c r="D145" s="17" t="inlineStr"/>
      <c r="E145" s="23" t="inlineStr"/>
      <c r="F145" s="17" t="inlineStr"/>
      <c r="G145" s="17" t="inlineStr"/>
      <c r="H145" s="23" t="inlineStr"/>
      <c r="I145" s="17" t="inlineStr"/>
      <c r="J145" s="17" t="inlineStr"/>
      <c r="K145" s="23" t="inlineStr"/>
    </row>
    <row r="146">
      <c r="B146" s="17" t="inlineStr"/>
      <c r="C146" s="17" t="inlineStr"/>
      <c r="D146" s="17" t="inlineStr"/>
      <c r="E146" s="23" t="inlineStr"/>
      <c r="F146" s="17" t="inlineStr"/>
      <c r="G146" s="17" t="inlineStr"/>
      <c r="H146" s="23" t="inlineStr"/>
      <c r="I146" s="17" t="inlineStr"/>
      <c r="J146" s="17" t="inlineStr"/>
      <c r="K146" s="23" t="inlineStr"/>
    </row>
    <row r="147">
      <c r="B147" s="17" t="inlineStr"/>
      <c r="C147" s="17" t="inlineStr"/>
      <c r="D147" s="17" t="inlineStr"/>
      <c r="E147" s="23" t="inlineStr"/>
      <c r="F147" s="17" t="inlineStr"/>
      <c r="G147" s="17" t="inlineStr"/>
      <c r="H147" s="23" t="inlineStr"/>
      <c r="I147" s="17" t="inlineStr"/>
      <c r="J147" s="17" t="inlineStr"/>
      <c r="K147" s="23" t="inlineStr"/>
    </row>
    <row r="148">
      <c r="B148" s="17" t="inlineStr"/>
      <c r="C148" s="17" t="inlineStr"/>
      <c r="D148" s="17" t="inlineStr"/>
      <c r="E148" s="23" t="inlineStr"/>
      <c r="F148" s="17" t="inlineStr"/>
      <c r="G148" s="17" t="inlineStr"/>
      <c r="H148" s="23" t="inlineStr"/>
      <c r="I148" s="17" t="inlineStr"/>
      <c r="J148" s="17" t="inlineStr"/>
      <c r="K148" s="23" t="inlineStr"/>
    </row>
    <row r="149">
      <c r="B149" s="17" t="inlineStr"/>
      <c r="C149" s="17" t="inlineStr"/>
      <c r="D149" s="17" t="inlineStr"/>
      <c r="E149" s="23" t="inlineStr"/>
      <c r="F149" s="17" t="inlineStr"/>
      <c r="G149" s="17" t="inlineStr"/>
      <c r="H149" s="23" t="inlineStr"/>
      <c r="I149" s="17" t="inlineStr"/>
      <c r="J149" s="17" t="inlineStr"/>
      <c r="K149" s="23" t="inlineStr"/>
    </row>
    <row r="150">
      <c r="B150" s="17" t="inlineStr"/>
      <c r="C150" s="17" t="inlineStr"/>
      <c r="D150" s="17" t="inlineStr"/>
      <c r="E150" s="23" t="inlineStr"/>
      <c r="F150" s="17" t="inlineStr"/>
      <c r="G150" s="17" t="inlineStr"/>
      <c r="H150" s="23" t="inlineStr"/>
      <c r="I150" s="17" t="inlineStr"/>
      <c r="J150" s="17" t="inlineStr"/>
      <c r="K150" s="23" t="inlineStr"/>
    </row>
    <row r="151">
      <c r="B151" s="17" t="inlineStr"/>
      <c r="C151" s="17" t="inlineStr"/>
      <c r="D151" s="17" t="inlineStr"/>
      <c r="E151" s="23" t="inlineStr"/>
      <c r="F151" s="17" t="inlineStr"/>
      <c r="G151" s="17" t="inlineStr"/>
      <c r="H151" s="23" t="inlineStr"/>
      <c r="I151" s="17" t="inlineStr"/>
      <c r="J151" s="17" t="inlineStr"/>
      <c r="K151" s="23" t="inlineStr"/>
    </row>
    <row r="152">
      <c r="B152" s="17" t="inlineStr"/>
      <c r="C152" s="17" t="inlineStr"/>
      <c r="D152" s="17" t="inlineStr"/>
      <c r="E152" s="23" t="inlineStr"/>
      <c r="F152" s="17" t="inlineStr"/>
      <c r="G152" s="17" t="inlineStr"/>
      <c r="H152" s="23" t="inlineStr"/>
      <c r="I152" s="17" t="inlineStr"/>
      <c r="J152" s="17" t="inlineStr"/>
      <c r="K152" s="23" t="inlineStr"/>
    </row>
    <row r="153">
      <c r="B153" s="17" t="inlineStr"/>
      <c r="C153" s="17" t="inlineStr"/>
      <c r="D153" s="17" t="inlineStr"/>
      <c r="E153" s="23" t="inlineStr"/>
      <c r="F153" s="17" t="inlineStr"/>
      <c r="G153" s="17" t="inlineStr"/>
      <c r="H153" s="23" t="inlineStr"/>
      <c r="I153" s="17" t="inlineStr"/>
      <c r="J153" s="17" t="inlineStr"/>
      <c r="K153" s="23" t="inlineStr"/>
    </row>
    <row r="154">
      <c r="B154" s="17" t="inlineStr"/>
      <c r="C154" s="17" t="inlineStr"/>
      <c r="D154" s="17" t="inlineStr"/>
      <c r="E154" s="23" t="inlineStr"/>
      <c r="F154" s="17" t="inlineStr"/>
      <c r="G154" s="17" t="inlineStr"/>
      <c r="H154" s="23" t="inlineStr"/>
      <c r="I154" s="17" t="inlineStr"/>
      <c r="J154" s="17" t="inlineStr"/>
      <c r="K154" s="23" t="inlineStr"/>
    </row>
    <row r="155">
      <c r="B155" s="17" t="inlineStr"/>
      <c r="C155" s="17" t="inlineStr"/>
      <c r="D155" s="17" t="inlineStr"/>
      <c r="E155" s="23" t="inlineStr"/>
      <c r="F155" s="17" t="inlineStr"/>
      <c r="G155" s="17" t="inlineStr"/>
      <c r="H155" s="23" t="inlineStr"/>
      <c r="I155" s="17" t="inlineStr"/>
      <c r="J155" s="17" t="inlineStr"/>
      <c r="K155" s="23" t="inlineStr"/>
    </row>
    <row r="156">
      <c r="B156" s="17" t="inlineStr"/>
      <c r="C156" s="17" t="inlineStr"/>
      <c r="D156" s="17" t="inlineStr"/>
      <c r="E156" s="23" t="inlineStr"/>
      <c r="F156" s="17" t="inlineStr"/>
      <c r="G156" s="17" t="inlineStr"/>
      <c r="H156" s="23" t="inlineStr"/>
      <c r="I156" s="17" t="inlineStr"/>
      <c r="J156" s="17" t="inlineStr"/>
      <c r="K156" s="23" t="inlineStr"/>
    </row>
    <row r="157">
      <c r="B157" s="17" t="inlineStr"/>
      <c r="C157" s="17" t="inlineStr"/>
      <c r="D157" s="17" t="inlineStr"/>
      <c r="E157" s="23" t="inlineStr"/>
      <c r="F157" s="17" t="inlineStr"/>
      <c r="G157" s="17" t="inlineStr"/>
      <c r="H157" s="23" t="inlineStr"/>
      <c r="I157" s="17" t="inlineStr"/>
      <c r="J157" s="17" t="inlineStr"/>
      <c r="K157" s="23" t="inlineStr"/>
    </row>
    <row r="158">
      <c r="B158" s="17" t="inlineStr"/>
      <c r="C158" s="17" t="inlineStr"/>
      <c r="D158" s="17" t="inlineStr"/>
      <c r="E158" s="23" t="inlineStr"/>
      <c r="F158" s="17" t="inlineStr"/>
      <c r="G158" s="17" t="inlineStr"/>
      <c r="H158" s="23" t="inlineStr"/>
      <c r="I158" s="17" t="inlineStr"/>
      <c r="J158" s="17" t="inlineStr"/>
      <c r="K158" s="23" t="inlineStr"/>
    </row>
    <row r="159">
      <c r="B159" s="17" t="inlineStr"/>
      <c r="C159" s="17" t="inlineStr"/>
      <c r="D159" s="17" t="inlineStr"/>
      <c r="E159" s="23" t="inlineStr"/>
      <c r="F159" s="17" t="inlineStr"/>
      <c r="G159" s="17" t="inlineStr"/>
      <c r="H159" s="23" t="inlineStr"/>
      <c r="I159" s="17" t="inlineStr"/>
      <c r="J159" s="17" t="inlineStr"/>
      <c r="K159" s="23" t="inlineStr"/>
    </row>
    <row r="160">
      <c r="B160" s="17" t="inlineStr"/>
      <c r="C160" s="17" t="inlineStr"/>
      <c r="D160" s="17" t="inlineStr"/>
      <c r="E160" s="23" t="inlineStr"/>
      <c r="F160" s="17" t="inlineStr"/>
      <c r="G160" s="17" t="inlineStr"/>
      <c r="H160" s="23" t="inlineStr"/>
      <c r="I160" s="17" t="inlineStr"/>
      <c r="J160" s="17" t="inlineStr"/>
      <c r="K160" s="23" t="inlineStr"/>
    </row>
    <row r="161">
      <c r="B161" s="17" t="inlineStr"/>
      <c r="C161" s="17" t="inlineStr"/>
      <c r="D161" s="17" t="inlineStr"/>
      <c r="E161" s="23" t="inlineStr"/>
      <c r="F161" s="17" t="inlineStr"/>
      <c r="G161" s="17" t="inlineStr"/>
      <c r="H161" s="23" t="inlineStr"/>
      <c r="I161" s="17" t="inlineStr"/>
      <c r="J161" s="17" t="inlineStr"/>
      <c r="K161" s="23" t="inlineStr"/>
    </row>
    <row r="162">
      <c r="B162" s="17" t="inlineStr"/>
      <c r="C162" s="17" t="inlineStr"/>
      <c r="D162" s="17" t="inlineStr"/>
      <c r="E162" s="23" t="inlineStr"/>
      <c r="F162" s="17" t="inlineStr"/>
      <c r="G162" s="17" t="inlineStr"/>
      <c r="H162" s="23" t="inlineStr"/>
      <c r="I162" s="17" t="inlineStr"/>
      <c r="J162" s="17" t="inlineStr"/>
      <c r="K162" s="23" t="inlineStr"/>
    </row>
    <row r="163">
      <c r="B163" s="17" t="inlineStr"/>
      <c r="C163" s="17" t="inlineStr"/>
      <c r="D163" s="17" t="inlineStr"/>
      <c r="E163" s="23" t="inlineStr"/>
      <c r="F163" s="17" t="inlineStr"/>
      <c r="G163" s="17" t="inlineStr"/>
      <c r="H163" s="23" t="inlineStr"/>
      <c r="I163" s="17" t="inlineStr"/>
      <c r="J163" s="17" t="inlineStr"/>
      <c r="K163" s="23" t="inlineStr"/>
    </row>
    <row r="164">
      <c r="B164" s="17" t="inlineStr"/>
      <c r="C164" s="17" t="inlineStr"/>
      <c r="D164" s="17" t="inlineStr"/>
      <c r="E164" s="23" t="inlineStr"/>
      <c r="F164" s="17" t="inlineStr"/>
      <c r="G164" s="17" t="inlineStr"/>
      <c r="H164" s="23" t="inlineStr"/>
      <c r="I164" s="17" t="inlineStr"/>
      <c r="J164" s="17" t="inlineStr"/>
      <c r="K164" s="23" t="inlineStr"/>
    </row>
    <row r="165">
      <c r="B165" s="17" t="inlineStr"/>
      <c r="C165" s="17" t="inlineStr"/>
      <c r="D165" s="17" t="inlineStr"/>
      <c r="E165" s="23" t="inlineStr"/>
      <c r="F165" s="17" t="inlineStr"/>
      <c r="G165" s="17" t="inlineStr"/>
      <c r="H165" s="23" t="inlineStr"/>
      <c r="I165" s="17" t="inlineStr"/>
      <c r="J165" s="17" t="inlineStr"/>
      <c r="K165" s="23" t="inlineStr"/>
    </row>
    <row r="166">
      <c r="B166" s="17" t="inlineStr"/>
      <c r="C166" s="17" t="inlineStr"/>
      <c r="D166" s="17" t="inlineStr"/>
      <c r="E166" s="23" t="inlineStr"/>
      <c r="F166" s="17" t="inlineStr"/>
      <c r="G166" s="17" t="inlineStr"/>
      <c r="H166" s="23" t="inlineStr"/>
      <c r="I166" s="17" t="inlineStr"/>
      <c r="J166" s="17" t="inlineStr"/>
      <c r="K166" s="23" t="inlineStr"/>
    </row>
    <row r="167">
      <c r="B167" s="17" t="inlineStr"/>
      <c r="C167" s="17" t="inlineStr"/>
      <c r="D167" s="17" t="inlineStr"/>
      <c r="E167" s="23" t="inlineStr"/>
      <c r="F167" s="17" t="inlineStr"/>
      <c r="G167" s="17" t="inlineStr"/>
      <c r="H167" s="23" t="inlineStr"/>
      <c r="I167" s="17" t="inlineStr"/>
      <c r="J167" s="17" t="inlineStr"/>
      <c r="K167" s="23" t="inlineStr"/>
    </row>
    <row r="168">
      <c r="B168" s="17" t="inlineStr"/>
      <c r="C168" s="17" t="inlineStr"/>
      <c r="D168" s="17" t="inlineStr"/>
      <c r="E168" s="23" t="inlineStr"/>
      <c r="F168" s="17" t="inlineStr"/>
      <c r="G168" s="17" t="inlineStr"/>
      <c r="H168" s="23" t="inlineStr"/>
      <c r="I168" s="17" t="inlineStr"/>
      <c r="J168" s="17" t="inlineStr"/>
      <c r="K168" s="23" t="inlineStr"/>
    </row>
    <row r="169">
      <c r="B169" s="17" t="inlineStr"/>
      <c r="C169" s="17" t="inlineStr"/>
      <c r="D169" s="17" t="inlineStr"/>
      <c r="E169" s="23" t="inlineStr"/>
      <c r="F169" s="17" t="inlineStr"/>
      <c r="G169" s="17" t="inlineStr"/>
      <c r="H169" s="23" t="inlineStr"/>
      <c r="I169" s="17" t="inlineStr"/>
      <c r="J169" s="17" t="inlineStr"/>
      <c r="K169" s="23" t="inlineStr"/>
    </row>
    <row r="170">
      <c r="B170" s="17" t="inlineStr"/>
      <c r="C170" s="17" t="inlineStr"/>
      <c r="D170" s="17" t="inlineStr"/>
      <c r="E170" s="23" t="inlineStr"/>
      <c r="F170" s="17" t="inlineStr"/>
      <c r="G170" s="17" t="inlineStr"/>
      <c r="H170" s="23" t="inlineStr"/>
      <c r="I170" s="17" t="inlineStr"/>
      <c r="J170" s="17" t="inlineStr"/>
      <c r="K170" s="23" t="inlineStr"/>
    </row>
    <row r="171">
      <c r="B171" s="17" t="inlineStr"/>
      <c r="C171" s="17" t="inlineStr"/>
      <c r="D171" s="17" t="inlineStr"/>
      <c r="E171" s="23" t="inlineStr"/>
      <c r="F171" s="17" t="inlineStr"/>
      <c r="G171" s="17" t="inlineStr"/>
      <c r="H171" s="23" t="inlineStr"/>
      <c r="I171" s="17" t="inlineStr"/>
      <c r="J171" s="17" t="inlineStr"/>
      <c r="K171" s="23" t="inlineStr"/>
    </row>
    <row r="172">
      <c r="B172" s="17" t="inlineStr"/>
      <c r="C172" s="17" t="inlineStr"/>
      <c r="D172" s="17" t="inlineStr"/>
      <c r="E172" s="23" t="inlineStr"/>
      <c r="F172" s="17" t="inlineStr"/>
      <c r="G172" s="17" t="inlineStr"/>
      <c r="H172" s="23" t="inlineStr"/>
      <c r="I172" s="17" t="inlineStr"/>
      <c r="J172" s="17" t="inlineStr"/>
      <c r="K172" s="23" t="inlineStr"/>
    </row>
    <row r="173">
      <c r="B173" s="17" t="inlineStr"/>
      <c r="C173" s="17" t="inlineStr"/>
      <c r="D173" s="17" t="inlineStr"/>
      <c r="E173" s="23" t="inlineStr"/>
      <c r="F173" s="17" t="inlineStr"/>
      <c r="G173" s="17" t="inlineStr"/>
      <c r="H173" s="23" t="inlineStr"/>
      <c r="I173" s="17" t="inlineStr"/>
      <c r="J173" s="17" t="inlineStr"/>
      <c r="K173" s="23" t="inlineStr"/>
    </row>
    <row r="174">
      <c r="B174" s="17" t="inlineStr"/>
      <c r="C174" s="17" t="inlineStr"/>
      <c r="D174" s="17" t="inlineStr"/>
      <c r="E174" s="23" t="inlineStr"/>
      <c r="F174" s="17" t="inlineStr"/>
      <c r="G174" s="17" t="inlineStr"/>
      <c r="H174" s="23" t="inlineStr"/>
      <c r="I174" s="17" t="inlineStr"/>
      <c r="J174" s="17" t="inlineStr"/>
      <c r="K174" s="23" t="inlineStr"/>
    </row>
    <row r="175">
      <c r="B175" s="17" t="inlineStr"/>
      <c r="C175" s="17" t="inlineStr"/>
      <c r="D175" s="17" t="inlineStr"/>
      <c r="E175" s="23" t="inlineStr"/>
      <c r="F175" s="17" t="inlineStr"/>
      <c r="G175" s="17" t="inlineStr"/>
      <c r="H175" s="23" t="inlineStr"/>
      <c r="I175" s="17" t="inlineStr"/>
      <c r="J175" s="17" t="inlineStr"/>
      <c r="K175" s="23" t="inlineStr"/>
    </row>
    <row r="176">
      <c r="B176" s="17" t="inlineStr"/>
      <c r="C176" s="17" t="inlineStr"/>
      <c r="D176" s="17" t="inlineStr"/>
      <c r="E176" s="23" t="inlineStr"/>
      <c r="F176" s="17" t="inlineStr"/>
      <c r="G176" s="17" t="inlineStr"/>
      <c r="H176" s="23" t="inlineStr"/>
      <c r="I176" s="17" t="inlineStr"/>
      <c r="J176" s="17" t="inlineStr"/>
      <c r="K176" s="23" t="inlineStr"/>
    </row>
    <row r="177">
      <c r="B177" s="17" t="inlineStr"/>
      <c r="C177" s="17" t="inlineStr"/>
      <c r="D177" s="17" t="inlineStr"/>
      <c r="E177" s="23" t="inlineStr"/>
      <c r="F177" s="17" t="inlineStr"/>
      <c r="G177" s="17" t="inlineStr"/>
      <c r="H177" s="23" t="inlineStr"/>
      <c r="I177" s="17" t="inlineStr"/>
      <c r="J177" s="17" t="inlineStr"/>
      <c r="K177" s="23" t="inlineStr"/>
    </row>
    <row r="178">
      <c r="B178" s="17" t="inlineStr"/>
      <c r="C178" s="17" t="inlineStr"/>
      <c r="D178" s="17" t="inlineStr"/>
      <c r="E178" s="23" t="inlineStr"/>
      <c r="F178" s="17" t="inlineStr"/>
      <c r="G178" s="17" t="inlineStr"/>
      <c r="H178" s="23" t="inlineStr"/>
      <c r="I178" s="17" t="inlineStr"/>
      <c r="J178" s="17" t="inlineStr"/>
      <c r="K178" s="23" t="inlineStr"/>
    </row>
    <row r="179">
      <c r="B179" s="17" t="inlineStr"/>
      <c r="C179" s="17" t="inlineStr"/>
      <c r="D179" s="17" t="inlineStr"/>
      <c r="E179" s="23" t="inlineStr"/>
      <c r="F179" s="17" t="inlineStr"/>
      <c r="G179" s="17" t="inlineStr"/>
      <c r="H179" s="23" t="inlineStr"/>
      <c r="I179" s="17" t="inlineStr"/>
      <c r="J179" s="17" t="inlineStr"/>
      <c r="K179" s="23" t="inlineStr"/>
    </row>
    <row r="180">
      <c r="B180" s="17" t="inlineStr"/>
      <c r="C180" s="17" t="inlineStr"/>
      <c r="D180" s="17" t="inlineStr"/>
      <c r="E180" s="23" t="inlineStr"/>
      <c r="F180" s="17" t="inlineStr"/>
      <c r="G180" s="17" t="inlineStr"/>
      <c r="H180" s="23" t="inlineStr"/>
      <c r="I180" s="17" t="inlineStr"/>
      <c r="J180" s="17" t="inlineStr"/>
      <c r="K180" s="23" t="inlineStr"/>
    </row>
    <row r="181">
      <c r="B181" s="17" t="inlineStr"/>
      <c r="C181" s="17" t="inlineStr"/>
      <c r="D181" s="17" t="inlineStr"/>
      <c r="E181" s="23" t="inlineStr"/>
      <c r="F181" s="17" t="inlineStr"/>
      <c r="G181" s="17" t="inlineStr"/>
      <c r="H181" s="23" t="inlineStr"/>
      <c r="I181" s="17" t="inlineStr"/>
      <c r="J181" s="17" t="inlineStr"/>
      <c r="K181" s="23" t="inlineStr"/>
    </row>
    <row r="182">
      <c r="B182" s="17" t="inlineStr"/>
      <c r="C182" s="17" t="inlineStr"/>
      <c r="D182" s="17" t="inlineStr"/>
      <c r="E182" s="23" t="inlineStr"/>
      <c r="F182" s="17" t="inlineStr"/>
      <c r="G182" s="17" t="inlineStr"/>
      <c r="H182" s="23" t="inlineStr"/>
      <c r="I182" s="17" t="inlineStr"/>
      <c r="J182" s="17" t="inlineStr"/>
      <c r="K182" s="23" t="inlineStr"/>
    </row>
    <row r="183">
      <c r="B183" s="17" t="inlineStr"/>
      <c r="C183" s="17" t="inlineStr"/>
      <c r="D183" s="17" t="inlineStr"/>
      <c r="E183" s="23" t="inlineStr"/>
      <c r="F183" s="17" t="inlineStr"/>
      <c r="G183" s="17" t="inlineStr"/>
      <c r="H183" s="23" t="inlineStr"/>
      <c r="I183" s="17" t="inlineStr"/>
      <c r="J183" s="17" t="inlineStr"/>
      <c r="K183" s="23" t="inlineStr"/>
    </row>
    <row r="184">
      <c r="B184" s="17" t="inlineStr"/>
      <c r="C184" s="17" t="inlineStr"/>
      <c r="D184" s="17" t="inlineStr"/>
      <c r="E184" s="23" t="inlineStr"/>
      <c r="F184" s="17" t="inlineStr"/>
      <c r="G184" s="17" t="inlineStr"/>
      <c r="H184" s="23" t="inlineStr"/>
      <c r="I184" s="17" t="inlineStr"/>
      <c r="J184" s="17" t="inlineStr"/>
      <c r="K184" s="23" t="inlineStr"/>
    </row>
    <row r="185">
      <c r="B185" s="17" t="inlineStr"/>
      <c r="C185" s="17" t="inlineStr"/>
      <c r="D185" s="17" t="inlineStr"/>
      <c r="E185" s="23" t="inlineStr"/>
      <c r="F185" s="17" t="inlineStr"/>
      <c r="G185" s="17" t="inlineStr"/>
      <c r="H185" s="23" t="inlineStr"/>
      <c r="I185" s="17" t="inlineStr"/>
      <c r="J185" s="17" t="inlineStr"/>
      <c r="K185" s="23" t="inlineStr"/>
    </row>
    <row r="186">
      <c r="B186" s="17" t="inlineStr"/>
      <c r="C186" s="17" t="inlineStr"/>
      <c r="D186" s="17" t="inlineStr"/>
      <c r="E186" s="23" t="inlineStr"/>
      <c r="F186" s="17" t="inlineStr"/>
      <c r="G186" s="17" t="inlineStr"/>
      <c r="H186" s="23" t="inlineStr"/>
      <c r="I186" s="17" t="inlineStr"/>
      <c r="J186" s="17" t="inlineStr"/>
      <c r="K186" s="23" t="inlineStr"/>
    </row>
    <row r="187">
      <c r="B187" s="17" t="inlineStr"/>
      <c r="C187" s="17" t="inlineStr"/>
      <c r="D187" s="17" t="inlineStr"/>
      <c r="E187" s="23" t="inlineStr"/>
      <c r="F187" s="17" t="inlineStr"/>
      <c r="G187" s="17" t="inlineStr"/>
      <c r="H187" s="23" t="inlineStr"/>
      <c r="I187" s="17" t="inlineStr"/>
      <c r="J187" s="17" t="inlineStr"/>
      <c r="K187" s="23" t="inlineStr"/>
    </row>
    <row r="188">
      <c r="B188" s="17" t="inlineStr"/>
      <c r="C188" s="17" t="inlineStr"/>
      <c r="D188" s="17" t="inlineStr"/>
      <c r="E188" s="23" t="inlineStr"/>
      <c r="F188" s="17" t="inlineStr"/>
      <c r="G188" s="17" t="inlineStr"/>
      <c r="H188" s="23" t="inlineStr"/>
      <c r="I188" s="17" t="inlineStr"/>
      <c r="J188" s="17" t="inlineStr"/>
      <c r="K188" s="23" t="inlineStr"/>
    </row>
    <row r="189">
      <c r="B189" s="17" t="inlineStr"/>
      <c r="C189" s="17" t="inlineStr"/>
      <c r="D189" s="17" t="inlineStr"/>
      <c r="E189" s="23" t="inlineStr"/>
      <c r="F189" s="17" t="inlineStr"/>
      <c r="G189" s="17" t="inlineStr"/>
      <c r="H189" s="23" t="inlineStr"/>
      <c r="I189" s="17" t="inlineStr"/>
      <c r="J189" s="17" t="inlineStr"/>
      <c r="K189" s="23" t="inlineStr"/>
    </row>
    <row r="190">
      <c r="B190" s="17" t="inlineStr"/>
      <c r="C190" s="17" t="inlineStr"/>
      <c r="D190" s="17" t="inlineStr"/>
      <c r="E190" s="23" t="inlineStr"/>
      <c r="F190" s="17" t="inlineStr"/>
      <c r="G190" s="17" t="inlineStr"/>
      <c r="H190" s="23" t="inlineStr"/>
      <c r="I190" s="17" t="inlineStr"/>
      <c r="J190" s="17" t="inlineStr"/>
      <c r="K190" s="23" t="inlineStr"/>
    </row>
    <row r="191">
      <c r="B191" s="17" t="inlineStr"/>
      <c r="C191" s="17" t="inlineStr"/>
      <c r="D191" s="17" t="inlineStr"/>
      <c r="E191" s="23" t="inlineStr"/>
      <c r="F191" s="17" t="inlineStr"/>
      <c r="G191" s="17" t="inlineStr"/>
      <c r="H191" s="23" t="inlineStr"/>
      <c r="I191" s="17" t="inlineStr"/>
      <c r="J191" s="17" t="inlineStr"/>
      <c r="K191" s="23" t="inlineStr"/>
    </row>
    <row r="192">
      <c r="B192" s="17" t="inlineStr"/>
      <c r="C192" s="17" t="inlineStr"/>
      <c r="D192" s="17" t="inlineStr"/>
      <c r="E192" s="23" t="inlineStr"/>
      <c r="F192" s="17" t="inlineStr"/>
      <c r="G192" s="17" t="inlineStr"/>
      <c r="H192" s="23" t="inlineStr"/>
      <c r="I192" s="17" t="inlineStr"/>
      <c r="J192" s="17" t="inlineStr"/>
      <c r="K192" s="23" t="inlineStr"/>
    </row>
    <row r="193">
      <c r="B193" s="17" t="inlineStr"/>
      <c r="C193" s="17" t="inlineStr"/>
      <c r="D193" s="17" t="inlineStr"/>
      <c r="E193" s="23" t="inlineStr"/>
      <c r="F193" s="17" t="inlineStr"/>
      <c r="G193" s="17" t="inlineStr"/>
      <c r="H193" s="23" t="inlineStr"/>
      <c r="I193" s="17" t="inlineStr"/>
      <c r="J193" s="17" t="inlineStr"/>
      <c r="K193" s="23" t="inlineStr"/>
    </row>
    <row r="194">
      <c r="B194" s="17" t="inlineStr"/>
      <c r="C194" s="17" t="inlineStr"/>
      <c r="D194" s="17" t="inlineStr"/>
      <c r="E194" s="23" t="inlineStr"/>
      <c r="F194" s="17" t="inlineStr"/>
      <c r="G194" s="17" t="inlineStr"/>
      <c r="H194" s="23" t="inlineStr"/>
      <c r="I194" s="17" t="inlineStr"/>
      <c r="J194" s="17" t="inlineStr"/>
      <c r="K194" s="23" t="inlineStr"/>
    </row>
    <row r="195">
      <c r="B195" s="17" t="inlineStr"/>
      <c r="C195" s="17" t="inlineStr"/>
      <c r="D195" s="17" t="inlineStr"/>
      <c r="E195" s="23" t="inlineStr"/>
      <c r="F195" s="17" t="inlineStr"/>
      <c r="G195" s="17" t="inlineStr"/>
      <c r="H195" s="23" t="inlineStr"/>
      <c r="I195" s="17" t="inlineStr"/>
      <c r="J195" s="17" t="inlineStr"/>
      <c r="K195" s="23" t="inlineStr"/>
    </row>
    <row r="196">
      <c r="B196" s="17" t="inlineStr"/>
      <c r="C196" s="17" t="inlineStr"/>
      <c r="D196" s="17" t="inlineStr"/>
      <c r="E196" s="23" t="inlineStr"/>
      <c r="F196" s="17" t="inlineStr"/>
      <c r="G196" s="17" t="inlineStr"/>
      <c r="H196" s="23" t="inlineStr"/>
      <c r="I196" s="17" t="inlineStr"/>
      <c r="J196" s="17" t="inlineStr"/>
      <c r="K196" s="23" t="inlineStr"/>
    </row>
    <row r="197">
      <c r="B197" s="17" t="inlineStr"/>
      <c r="C197" s="17" t="inlineStr"/>
      <c r="D197" s="17" t="inlineStr"/>
      <c r="E197" s="23" t="inlineStr"/>
      <c r="F197" s="17" t="inlineStr"/>
      <c r="G197" s="17" t="inlineStr"/>
      <c r="H197" s="23" t="inlineStr"/>
      <c r="I197" s="17" t="inlineStr"/>
      <c r="J197" s="17" t="inlineStr"/>
      <c r="K197" s="23" t="inlineStr"/>
    </row>
    <row r="198">
      <c r="B198" s="17" t="inlineStr"/>
      <c r="C198" s="17" t="inlineStr"/>
      <c r="D198" s="17" t="inlineStr"/>
      <c r="E198" s="23" t="inlineStr"/>
      <c r="F198" s="17" t="inlineStr"/>
      <c r="G198" s="17" t="inlineStr"/>
      <c r="H198" s="23" t="inlineStr"/>
      <c r="I198" s="17" t="inlineStr"/>
      <c r="J198" s="17" t="inlineStr"/>
      <c r="K198" s="23" t="inlineStr"/>
    </row>
    <row r="199">
      <c r="B199" s="17" t="inlineStr"/>
      <c r="C199" s="17" t="inlineStr"/>
      <c r="D199" s="17" t="inlineStr"/>
      <c r="E199" s="23" t="inlineStr"/>
      <c r="F199" s="17" t="inlineStr"/>
      <c r="G199" s="17" t="inlineStr"/>
      <c r="H199" s="23" t="inlineStr"/>
      <c r="I199" s="17" t="inlineStr"/>
      <c r="J199" s="17" t="inlineStr"/>
      <c r="K199" s="23" t="inlineStr"/>
    </row>
    <row r="200">
      <c r="B200" s="17" t="inlineStr"/>
      <c r="C200" s="17" t="inlineStr"/>
      <c r="D200" s="17" t="inlineStr"/>
      <c r="E200" s="23" t="inlineStr"/>
      <c r="F200" s="17" t="inlineStr"/>
      <c r="G200" s="17" t="inlineStr"/>
      <c r="H200" s="23" t="inlineStr"/>
      <c r="I200" s="17" t="inlineStr"/>
      <c r="J200" s="17" t="inlineStr"/>
      <c r="K200" s="23" t="inlineStr"/>
    </row>
    <row r="201">
      <c r="B201" s="17" t="inlineStr"/>
      <c r="C201" s="17" t="inlineStr"/>
      <c r="D201" s="17" t="inlineStr"/>
      <c r="E201" s="23" t="inlineStr"/>
      <c r="F201" s="17" t="inlineStr"/>
      <c r="G201" s="17" t="inlineStr"/>
      <c r="H201" s="23" t="inlineStr"/>
      <c r="I201" s="17" t="inlineStr"/>
      <c r="J201" s="17" t="inlineStr"/>
      <c r="K201" s="23" t="inlineStr"/>
    </row>
  </sheetData>
  <mergeCells count="13">
    <mergeCell ref="D46:J46"/>
    <mergeCell ref="G31:J31"/>
    <mergeCell ref="G26:J26"/>
    <mergeCell ref="D44:J44"/>
    <mergeCell ref="D45:J45"/>
    <mergeCell ref="AP5:AR5"/>
    <mergeCell ref="D47:J47"/>
    <mergeCell ref="G29:J29"/>
    <mergeCell ref="G30:J30"/>
    <mergeCell ref="W4:Y4"/>
    <mergeCell ref="U51:AO51"/>
    <mergeCell ref="G27:J27"/>
    <mergeCell ref="G28:J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7.2" customWidth="1" min="3" max="3"/>
    <col width="7.2" customWidth="1" min="4" max="4"/>
    <col width="7.2" customWidth="1" min="5" max="5"/>
    <col width="7.2" customWidth="1" min="6" max="6"/>
    <col width="7.2" customWidth="1" min="7" max="7"/>
    <col width="7.2" customWidth="1" min="8" max="8"/>
    <col width="7.2" customWidth="1" min="9" max="9"/>
    <col width="7.2" customWidth="1" min="10" max="10"/>
    <col width="7.2" customWidth="1" min="11" max="11"/>
    <col width="7.2" customWidth="1" min="12" max="12"/>
    <col width="7.2" customWidth="1" min="13" max="13"/>
    <col width="7.2" customWidth="1" min="14" max="14"/>
    <col width="7.2" customWidth="1" min="15" max="15"/>
    <col width="7.2" customWidth="1" min="16" max="16"/>
    <col width="7.2" customWidth="1" min="17" max="17"/>
    <col width="7.2" customWidth="1" min="18" max="18"/>
    <col width="7.2" customWidth="1" min="19" max="19"/>
    <col width="7.2" customWidth="1" min="20" max="20"/>
    <col width="3" customWidth="1" min="21" max="21"/>
    <col width="40" customWidth="1" min="22" max="22"/>
  </cols>
  <sheetData>
    <row r="1">
      <c r="A1" s="1" t="inlineStr">
        <is>
          <t>醫師週班表(固定門診表 · 這是排月班的母表)</t>
        </is>
      </c>
    </row>
    <row r="2">
      <c r="A2" s="6" t="inlineStr">
        <is>
          <t>資料來源:官網五間院所門診表頁面,由原始碼直接解析產生(231 筆逐格比對一致)。格內寫法見「設定」分頁的「二之二、醫師週班表的標記」。改這裡等於改固定門診:「醫師班表」整個月的對應格子會立刻跟著變,月結也會。</t>
        </is>
      </c>
    </row>
    <row r="3">
      <c r="A3" s="10" t="inlineStr">
        <is>
          <t>員工編號</t>
        </is>
      </c>
      <c r="B3" s="10" t="inlineStr">
        <is>
          <t>姓名</t>
        </is>
      </c>
      <c r="C3" s="10" t="inlineStr">
        <is>
          <t>週一</t>
        </is>
      </c>
      <c r="D3" s="8" t="n"/>
      <c r="E3" s="9" t="n"/>
      <c r="F3" s="10" t="inlineStr">
        <is>
          <t>週二</t>
        </is>
      </c>
      <c r="G3" s="8" t="n"/>
      <c r="H3" s="9" t="n"/>
      <c r="I3" s="10" t="inlineStr">
        <is>
          <t>週三</t>
        </is>
      </c>
      <c r="J3" s="8" t="n"/>
      <c r="K3" s="9" t="n"/>
      <c r="L3" s="10" t="inlineStr">
        <is>
          <t>週四</t>
        </is>
      </c>
      <c r="M3" s="8" t="n"/>
      <c r="N3" s="9" t="n"/>
      <c r="O3" s="10" t="inlineStr">
        <is>
          <t>週五</t>
        </is>
      </c>
      <c r="P3" s="8" t="n"/>
      <c r="Q3" s="9" t="n"/>
      <c r="R3" s="10" t="inlineStr">
        <is>
          <t>週六</t>
        </is>
      </c>
      <c r="S3" s="8" t="n"/>
      <c r="T3" s="9" t="n"/>
      <c r="V3" s="10" t="inlineStr">
        <is>
          <t>附註</t>
        </is>
      </c>
    </row>
    <row r="4">
      <c r="A4" s="41" t="n"/>
      <c r="B4" s="41" t="n"/>
      <c r="C4" s="42" t="inlineStr">
        <is>
          <t>早</t>
        </is>
      </c>
      <c r="D4" s="43" t="inlineStr">
        <is>
          <t>午</t>
        </is>
      </c>
      <c r="E4" s="43" t="inlineStr">
        <is>
          <t>晚</t>
        </is>
      </c>
      <c r="F4" s="42" t="inlineStr">
        <is>
          <t>早</t>
        </is>
      </c>
      <c r="G4" s="43" t="inlineStr">
        <is>
          <t>午</t>
        </is>
      </c>
      <c r="H4" s="43" t="inlineStr">
        <is>
          <t>晚</t>
        </is>
      </c>
      <c r="I4" s="42" t="inlineStr">
        <is>
          <t>早</t>
        </is>
      </c>
      <c r="J4" s="43" t="inlineStr">
        <is>
          <t>午</t>
        </is>
      </c>
      <c r="K4" s="43" t="inlineStr">
        <is>
          <t>晚</t>
        </is>
      </c>
      <c r="L4" s="42" t="inlineStr">
        <is>
          <t>早</t>
        </is>
      </c>
      <c r="M4" s="43" t="inlineStr">
        <is>
          <t>午</t>
        </is>
      </c>
      <c r="N4" s="43" t="inlineStr">
        <is>
          <t>晚</t>
        </is>
      </c>
      <c r="O4" s="42" t="inlineStr">
        <is>
          <t>早</t>
        </is>
      </c>
      <c r="P4" s="43" t="inlineStr">
        <is>
          <t>午</t>
        </is>
      </c>
      <c r="Q4" s="43" t="inlineStr">
        <is>
          <t>晚</t>
        </is>
      </c>
      <c r="R4" s="42" t="inlineStr">
        <is>
          <t>早</t>
        </is>
      </c>
      <c r="S4" s="43" t="inlineStr">
        <is>
          <t>午</t>
        </is>
      </c>
      <c r="T4" s="43" t="inlineStr">
        <is>
          <t>晚</t>
        </is>
      </c>
      <c r="V4" s="41" t="n"/>
    </row>
    <row r="5" ht="17" customHeight="1">
      <c r="A5" s="20" t="inlineStr">
        <is>
          <t>D001</t>
        </is>
      </c>
      <c r="B5" s="16" t="inlineStr">
        <is>
          <t>林智俊</t>
        </is>
      </c>
      <c r="C5" s="44" t="n"/>
      <c r="D5" s="45" t="inlineStr">
        <is>
          <t>悅</t>
        </is>
      </c>
      <c r="E5" s="45" t="inlineStr">
        <is>
          <t>悅</t>
        </is>
      </c>
      <c r="F5" s="46" t="inlineStr">
        <is>
          <t>曜</t>
        </is>
      </c>
      <c r="G5" s="47" t="inlineStr">
        <is>
          <t>曜</t>
        </is>
      </c>
      <c r="H5" s="48" t="n"/>
      <c r="I5" s="49" t="inlineStr">
        <is>
          <t>悅</t>
        </is>
      </c>
      <c r="J5" s="45" t="inlineStr">
        <is>
          <t>悅</t>
        </is>
      </c>
      <c r="K5" s="45" t="inlineStr">
        <is>
          <t>悅</t>
        </is>
      </c>
      <c r="L5" s="44" t="n"/>
      <c r="M5" s="50" t="inlineStr">
        <is>
          <t>匯</t>
        </is>
      </c>
      <c r="N5" s="50" t="inlineStr">
        <is>
          <t>匯</t>
        </is>
      </c>
      <c r="O5" s="44" t="n"/>
      <c r="P5" s="45" t="inlineStr">
        <is>
          <t>悅</t>
        </is>
      </c>
      <c r="Q5" s="45" t="inlineStr">
        <is>
          <t>悅</t>
        </is>
      </c>
      <c r="R5" s="49" t="inlineStr">
        <is>
          <t>悅(隔)</t>
        </is>
      </c>
      <c r="S5" s="48" t="n"/>
      <c r="T5" s="48" t="n"/>
      <c r="V5" s="51" t="inlineStr"/>
    </row>
    <row r="6" ht="17" customHeight="1">
      <c r="A6" s="20" t="inlineStr">
        <is>
          <t>D002</t>
        </is>
      </c>
      <c r="B6" s="16" t="inlineStr">
        <is>
          <t>劉立德</t>
        </is>
      </c>
      <c r="C6" s="46" t="inlineStr">
        <is>
          <t>曜</t>
        </is>
      </c>
      <c r="D6" s="47" t="inlineStr">
        <is>
          <t>曜</t>
        </is>
      </c>
      <c r="E6" s="47" t="inlineStr">
        <is>
          <t>曜</t>
        </is>
      </c>
      <c r="F6" s="44" t="n"/>
      <c r="G6" s="52" t="inlineStr">
        <is>
          <t>睿</t>
        </is>
      </c>
      <c r="H6" s="52" t="inlineStr">
        <is>
          <t>睿</t>
        </is>
      </c>
      <c r="I6" s="53" t="inlineStr">
        <is>
          <t>睿/曜</t>
        </is>
      </c>
      <c r="J6" s="52" t="inlineStr">
        <is>
          <t>睿/曜</t>
        </is>
      </c>
      <c r="K6" s="48" t="n"/>
      <c r="L6" s="46" t="inlineStr">
        <is>
          <t>曜</t>
        </is>
      </c>
      <c r="M6" s="47" t="inlineStr">
        <is>
          <t>曜</t>
        </is>
      </c>
      <c r="N6" s="47" t="inlineStr">
        <is>
          <t>曜</t>
        </is>
      </c>
      <c r="O6" s="44" t="n"/>
      <c r="P6" s="52" t="inlineStr">
        <is>
          <t>睿</t>
        </is>
      </c>
      <c r="Q6" s="52" t="inlineStr">
        <is>
          <t>睿</t>
        </is>
      </c>
      <c r="R6" s="44" t="n"/>
      <c r="S6" s="48" t="n"/>
      <c r="T6" s="48" t="n"/>
      <c r="V6" s="51" t="inlineStr"/>
    </row>
    <row r="7" ht="17" customHeight="1">
      <c r="A7" s="20" t="inlineStr">
        <is>
          <t>D003</t>
        </is>
      </c>
      <c r="B7" s="16" t="inlineStr">
        <is>
          <t>王泳泉</t>
        </is>
      </c>
      <c r="C7" s="44" t="n"/>
      <c r="D7" s="45" t="inlineStr">
        <is>
          <t>悅/睿</t>
        </is>
      </c>
      <c r="E7" s="45" t="inlineStr">
        <is>
          <t>悅/睿</t>
        </is>
      </c>
      <c r="F7" s="44" t="n"/>
      <c r="G7" s="48" t="n"/>
      <c r="H7" s="48" t="n"/>
      <c r="I7" s="44" t="n"/>
      <c r="J7" s="45" t="inlineStr">
        <is>
          <t>悅</t>
        </is>
      </c>
      <c r="K7" s="45" t="inlineStr">
        <is>
          <t>悅</t>
        </is>
      </c>
      <c r="L7" s="44" t="n"/>
      <c r="M7" s="48" t="n"/>
      <c r="N7" s="48" t="n"/>
      <c r="O7" s="44" t="n"/>
      <c r="P7" s="48" t="n"/>
      <c r="Q7" s="48" t="n"/>
      <c r="R7" s="49" t="inlineStr">
        <is>
          <t>悅</t>
        </is>
      </c>
      <c r="S7" s="48" t="n"/>
      <c r="T7" s="48" t="n"/>
      <c r="V7" s="51" t="inlineStr"/>
    </row>
    <row r="8" ht="17" customHeight="1">
      <c r="A8" s="20" t="inlineStr">
        <is>
          <t>D004</t>
        </is>
      </c>
      <c r="B8" s="16" t="inlineStr">
        <is>
          <t>劉玠旻</t>
        </is>
      </c>
      <c r="C8" s="44" t="n"/>
      <c r="D8" s="45" t="inlineStr">
        <is>
          <t>悅(隔)</t>
        </is>
      </c>
      <c r="E8" s="48" t="n"/>
      <c r="F8" s="49" t="inlineStr">
        <is>
          <t>悅</t>
        </is>
      </c>
      <c r="G8" s="45" t="inlineStr">
        <is>
          <t>悅</t>
        </is>
      </c>
      <c r="H8" s="48" t="n"/>
      <c r="I8" s="44" t="n"/>
      <c r="J8" s="47" t="inlineStr">
        <is>
          <t>曜</t>
        </is>
      </c>
      <c r="K8" s="48" t="n"/>
      <c r="L8" s="53" t="inlineStr">
        <is>
          <t>睿</t>
        </is>
      </c>
      <c r="M8" s="52" t="inlineStr">
        <is>
          <t>睿</t>
        </is>
      </c>
      <c r="N8" s="48" t="n"/>
      <c r="O8" s="44" t="n"/>
      <c r="P8" s="48" t="n"/>
      <c r="Q8" s="48" t="n"/>
      <c r="R8" s="44" t="n"/>
      <c r="S8" s="48" t="n"/>
      <c r="T8" s="48" t="n"/>
      <c r="V8" s="51" t="inlineStr"/>
    </row>
    <row r="9" ht="17" customHeight="1">
      <c r="A9" s="20" t="inlineStr">
        <is>
          <t>D005</t>
        </is>
      </c>
      <c r="B9" s="16" t="inlineStr">
        <is>
          <t>陳志僑</t>
        </is>
      </c>
      <c r="C9" s="44" t="n"/>
      <c r="D9" s="48" t="n"/>
      <c r="E9" s="48" t="n"/>
      <c r="F9" s="49" t="inlineStr">
        <is>
          <t>悅</t>
        </is>
      </c>
      <c r="G9" s="45" t="inlineStr">
        <is>
          <t>悅</t>
        </is>
      </c>
      <c r="H9" s="52" t="inlineStr">
        <is>
          <t>睿</t>
        </is>
      </c>
      <c r="I9" s="44" t="n"/>
      <c r="J9" s="48" t="n"/>
      <c r="K9" s="48" t="n"/>
      <c r="L9" s="44" t="n"/>
      <c r="M9" s="48" t="n"/>
      <c r="N9" s="48" t="n"/>
      <c r="O9" s="44" t="n"/>
      <c r="P9" s="48" t="n"/>
      <c r="Q9" s="48" t="n"/>
      <c r="R9" s="44" t="n"/>
      <c r="S9" s="48" t="n"/>
      <c r="T9" s="48" t="n"/>
      <c r="V9" s="51" t="inlineStr"/>
    </row>
    <row r="10" ht="17" customHeight="1">
      <c r="A10" s="20" t="inlineStr">
        <is>
          <t>D006</t>
        </is>
      </c>
      <c r="B10" s="16" t="inlineStr">
        <is>
          <t>黃榆鈞</t>
        </is>
      </c>
      <c r="C10" s="44" t="n"/>
      <c r="D10" s="48" t="n"/>
      <c r="E10" s="48" t="n"/>
      <c r="F10" s="44" t="n"/>
      <c r="G10" s="54" t="inlineStr">
        <is>
          <t>寶(不定)</t>
        </is>
      </c>
      <c r="H10" s="54" t="inlineStr">
        <is>
          <t>寶</t>
        </is>
      </c>
      <c r="I10" s="44" t="n"/>
      <c r="J10" s="48" t="n"/>
      <c r="K10" s="48" t="n"/>
      <c r="L10" s="44" t="n"/>
      <c r="M10" s="45" t="inlineStr">
        <is>
          <t>悅(註)</t>
        </is>
      </c>
      <c r="N10" s="45" t="inlineStr">
        <is>
          <t>悅(註)</t>
        </is>
      </c>
      <c r="O10" s="44" t="n"/>
      <c r="P10" s="48" t="n"/>
      <c r="Q10" s="48" t="n"/>
      <c r="R10" s="55" t="inlineStr">
        <is>
          <t>寶(不定)</t>
        </is>
      </c>
      <c r="S10" s="54" t="inlineStr">
        <is>
          <t>寶(不定)</t>
        </is>
      </c>
      <c r="T10" s="48" t="n"/>
      <c r="V10" s="51" t="inlineStr">
        <is>
          <t>黃榆鈞:每月1日15:30後 / 黃榆鈞:每月1日</t>
        </is>
      </c>
    </row>
    <row r="11" ht="17" customHeight="1">
      <c r="A11" s="20" t="inlineStr">
        <is>
          <t>D007</t>
        </is>
      </c>
      <c r="B11" s="16" t="inlineStr">
        <is>
          <t>温翊君</t>
        </is>
      </c>
      <c r="C11" s="44" t="n"/>
      <c r="D11" s="48" t="n"/>
      <c r="E11" s="48" t="n"/>
      <c r="F11" s="44" t="n"/>
      <c r="G11" s="45" t="inlineStr">
        <is>
          <t>悅</t>
        </is>
      </c>
      <c r="H11" s="45" t="inlineStr">
        <is>
          <t>悅</t>
        </is>
      </c>
      <c r="I11" s="44" t="n"/>
      <c r="J11" s="48" t="n"/>
      <c r="K11" s="48" t="n"/>
      <c r="L11" s="44" t="n"/>
      <c r="M11" s="48" t="n"/>
      <c r="N11" s="48" t="n"/>
      <c r="O11" s="44" t="n"/>
      <c r="P11" s="48" t="n"/>
      <c r="Q11" s="48" t="n"/>
      <c r="R11" s="49" t="inlineStr">
        <is>
          <t>悅</t>
        </is>
      </c>
      <c r="S11" s="45" t="inlineStr">
        <is>
          <t>悅</t>
        </is>
      </c>
      <c r="T11" s="48" t="n"/>
      <c r="V11" s="51" t="inlineStr"/>
    </row>
    <row r="12" ht="17" customHeight="1">
      <c r="A12" s="20" t="inlineStr">
        <is>
          <t>D008</t>
        </is>
      </c>
      <c r="B12" s="16" t="inlineStr">
        <is>
          <t>林紫亭</t>
        </is>
      </c>
      <c r="C12" s="44" t="n"/>
      <c r="D12" s="48" t="n"/>
      <c r="E12" s="48" t="n"/>
      <c r="F12" s="49" t="inlineStr">
        <is>
          <t>悅</t>
        </is>
      </c>
      <c r="G12" s="45" t="inlineStr">
        <is>
          <t>悅</t>
        </is>
      </c>
      <c r="H12" s="45" t="inlineStr">
        <is>
          <t>悅</t>
        </is>
      </c>
      <c r="I12" s="44" t="n"/>
      <c r="J12" s="48" t="n"/>
      <c r="K12" s="48" t="n"/>
      <c r="L12" s="44" t="n"/>
      <c r="M12" s="48" t="n"/>
      <c r="N12" s="48" t="n"/>
      <c r="O12" s="44" t="n"/>
      <c r="P12" s="48" t="n"/>
      <c r="Q12" s="48" t="n"/>
      <c r="R12" s="49" t="inlineStr">
        <is>
          <t>悅</t>
        </is>
      </c>
      <c r="S12" s="45" t="inlineStr">
        <is>
          <t>悅</t>
        </is>
      </c>
      <c r="T12" s="48" t="n"/>
      <c r="V12" s="51" t="inlineStr"/>
    </row>
    <row r="13" ht="17" customHeight="1">
      <c r="A13" s="20" t="inlineStr">
        <is>
          <t>D009</t>
        </is>
      </c>
      <c r="B13" s="16" t="inlineStr">
        <is>
          <t>陳昺元</t>
        </is>
      </c>
      <c r="C13" s="44" t="n"/>
      <c r="D13" s="48" t="n"/>
      <c r="E13" s="48" t="n"/>
      <c r="F13" s="44" t="n"/>
      <c r="G13" s="48" t="n"/>
      <c r="H13" s="48" t="n"/>
      <c r="I13" s="49" t="inlineStr">
        <is>
          <t>悅</t>
        </is>
      </c>
      <c r="J13" s="45" t="inlineStr">
        <is>
          <t>悅</t>
        </is>
      </c>
      <c r="K13" s="45" t="inlineStr">
        <is>
          <t>悅</t>
        </is>
      </c>
      <c r="L13" s="44" t="n"/>
      <c r="M13" s="54" t="inlineStr">
        <is>
          <t>寶</t>
        </is>
      </c>
      <c r="N13" s="54" t="inlineStr">
        <is>
          <t>寶</t>
        </is>
      </c>
      <c r="O13" s="56" t="inlineStr">
        <is>
          <t>匯</t>
        </is>
      </c>
      <c r="P13" s="50" t="inlineStr">
        <is>
          <t>匯</t>
        </is>
      </c>
      <c r="Q13" s="50" t="inlineStr">
        <is>
          <t>匯</t>
        </is>
      </c>
      <c r="R13" s="49" t="inlineStr">
        <is>
          <t>悅/匯</t>
        </is>
      </c>
      <c r="S13" s="45" t="inlineStr">
        <is>
          <t>悅/匯</t>
        </is>
      </c>
      <c r="T13" s="48" t="n"/>
      <c r="V13" s="51" t="inlineStr"/>
    </row>
    <row r="14" ht="17" customHeight="1">
      <c r="A14" s="20" t="inlineStr">
        <is>
          <t>D010</t>
        </is>
      </c>
      <c r="B14" s="16" t="inlineStr">
        <is>
          <t>蔡季軒</t>
        </is>
      </c>
      <c r="C14" s="49" t="inlineStr">
        <is>
          <t>悅</t>
        </is>
      </c>
      <c r="D14" s="45" t="inlineStr">
        <is>
          <t>悅</t>
        </is>
      </c>
      <c r="E14" s="45" t="inlineStr">
        <is>
          <t>悅</t>
        </is>
      </c>
      <c r="F14" s="44" t="n"/>
      <c r="G14" s="45" t="inlineStr">
        <is>
          <t>悅</t>
        </is>
      </c>
      <c r="H14" s="45" t="inlineStr">
        <is>
          <t>悅</t>
        </is>
      </c>
      <c r="I14" s="49" t="inlineStr">
        <is>
          <t>悅</t>
        </is>
      </c>
      <c r="J14" s="45" t="inlineStr">
        <is>
          <t>悅</t>
        </is>
      </c>
      <c r="K14" s="48" t="n"/>
      <c r="L14" s="44" t="n"/>
      <c r="M14" s="48" t="n"/>
      <c r="N14" s="48" t="n"/>
      <c r="O14" s="49" t="inlineStr">
        <is>
          <t>悅</t>
        </is>
      </c>
      <c r="P14" s="45" t="inlineStr">
        <is>
          <t>悅</t>
        </is>
      </c>
      <c r="Q14" s="45" t="inlineStr">
        <is>
          <t>悅</t>
        </is>
      </c>
      <c r="R14" s="44" t="n"/>
      <c r="S14" s="48" t="n"/>
      <c r="T14" s="48" t="n"/>
      <c r="V14" s="51" t="inlineStr"/>
    </row>
    <row r="15" ht="17" customHeight="1">
      <c r="A15" s="20" t="inlineStr">
        <is>
          <t>D011</t>
        </is>
      </c>
      <c r="B15" s="16" t="inlineStr">
        <is>
          <t>温健成</t>
        </is>
      </c>
      <c r="C15" s="44" t="n"/>
      <c r="D15" s="50" t="inlineStr">
        <is>
          <t>匯</t>
        </is>
      </c>
      <c r="E15" s="50" t="inlineStr">
        <is>
          <t>匯</t>
        </is>
      </c>
      <c r="F15" s="53" t="inlineStr">
        <is>
          <t>睿</t>
        </is>
      </c>
      <c r="G15" s="52" t="inlineStr">
        <is>
          <t>睿</t>
        </is>
      </c>
      <c r="H15" s="52" t="inlineStr">
        <is>
          <t>睿</t>
        </is>
      </c>
      <c r="I15" s="44" t="n"/>
      <c r="J15" s="50" t="inlineStr">
        <is>
          <t>匯</t>
        </is>
      </c>
      <c r="K15" s="50" t="inlineStr">
        <is>
          <t>匯</t>
        </is>
      </c>
      <c r="L15" s="53" t="inlineStr">
        <is>
          <t>睿</t>
        </is>
      </c>
      <c r="M15" s="52" t="inlineStr">
        <is>
          <t>睿</t>
        </is>
      </c>
      <c r="N15" s="52" t="inlineStr">
        <is>
          <t>睿</t>
        </is>
      </c>
      <c r="O15" s="44" t="n"/>
      <c r="P15" s="48" t="n"/>
      <c r="Q15" s="48" t="n"/>
      <c r="R15" s="53" t="inlineStr">
        <is>
          <t>睿(隔)</t>
        </is>
      </c>
      <c r="S15" s="52" t="inlineStr">
        <is>
          <t>睿(隔)</t>
        </is>
      </c>
      <c r="T15" s="48" t="n"/>
      <c r="V15" s="51" t="inlineStr"/>
    </row>
    <row r="16" ht="17" customHeight="1">
      <c r="A16" s="20" t="inlineStr">
        <is>
          <t>D012</t>
        </is>
      </c>
      <c r="B16" s="16" t="inlineStr">
        <is>
          <t>陳立軒</t>
        </is>
      </c>
      <c r="C16" s="44" t="n"/>
      <c r="D16" s="52" t="inlineStr">
        <is>
          <t>睿</t>
        </is>
      </c>
      <c r="E16" s="52" t="inlineStr">
        <is>
          <t>睿</t>
        </is>
      </c>
      <c r="F16" s="56" t="inlineStr">
        <is>
          <t>匯</t>
        </is>
      </c>
      <c r="G16" s="47" t="inlineStr">
        <is>
          <t>曜</t>
        </is>
      </c>
      <c r="H16" s="47" t="inlineStr">
        <is>
          <t>曜</t>
        </is>
      </c>
      <c r="I16" s="44" t="n"/>
      <c r="J16" s="52" t="inlineStr">
        <is>
          <t>睿</t>
        </is>
      </c>
      <c r="K16" s="52" t="inlineStr">
        <is>
          <t>睿</t>
        </is>
      </c>
      <c r="L16" s="56" t="inlineStr">
        <is>
          <t>匯</t>
        </is>
      </c>
      <c r="M16" s="50" t="inlineStr">
        <is>
          <t>匯</t>
        </is>
      </c>
      <c r="N16" s="50" t="inlineStr">
        <is>
          <t>匯</t>
        </is>
      </c>
      <c r="O16" s="46" t="inlineStr">
        <is>
          <t>曜</t>
        </is>
      </c>
      <c r="P16" s="47" t="inlineStr">
        <is>
          <t>曜</t>
        </is>
      </c>
      <c r="Q16" s="47" t="inlineStr">
        <is>
          <t>曜</t>
        </is>
      </c>
      <c r="R16" s="46" t="inlineStr">
        <is>
          <t>曜(隔)</t>
        </is>
      </c>
      <c r="S16" s="47" t="inlineStr">
        <is>
          <t>曜(隔)</t>
        </is>
      </c>
      <c r="T16" s="48" t="n"/>
      <c r="V16" s="51" t="inlineStr"/>
    </row>
    <row r="17" ht="17" customHeight="1">
      <c r="A17" s="20" t="inlineStr">
        <is>
          <t>D013</t>
        </is>
      </c>
      <c r="B17" s="16" t="inlineStr">
        <is>
          <t>朱柏非</t>
        </is>
      </c>
      <c r="C17" s="49" t="inlineStr">
        <is>
          <t>悅</t>
        </is>
      </c>
      <c r="D17" s="45" t="inlineStr">
        <is>
          <t>悅</t>
        </is>
      </c>
      <c r="E17" s="45" t="inlineStr">
        <is>
          <t>悅</t>
        </is>
      </c>
      <c r="F17" s="44" t="n"/>
      <c r="G17" s="48" t="n"/>
      <c r="H17" s="48" t="n"/>
      <c r="I17" s="56" t="inlineStr">
        <is>
          <t>匯</t>
        </is>
      </c>
      <c r="J17" s="50" t="inlineStr">
        <is>
          <t>匯</t>
        </is>
      </c>
      <c r="K17" s="50" t="inlineStr">
        <is>
          <t>匯</t>
        </is>
      </c>
      <c r="L17" s="44" t="n"/>
      <c r="M17" s="54" t="inlineStr">
        <is>
          <t>寶</t>
        </is>
      </c>
      <c r="N17" s="54" t="inlineStr">
        <is>
          <t>寶</t>
        </is>
      </c>
      <c r="O17" s="49" t="inlineStr">
        <is>
          <t>悅</t>
        </is>
      </c>
      <c r="P17" s="45" t="inlineStr">
        <is>
          <t>悅</t>
        </is>
      </c>
      <c r="Q17" s="45" t="inlineStr">
        <is>
          <t>悅</t>
        </is>
      </c>
      <c r="R17" s="49" t="inlineStr">
        <is>
          <t>悅/匯</t>
        </is>
      </c>
      <c r="S17" s="45" t="inlineStr">
        <is>
          <t>悅/匯</t>
        </is>
      </c>
      <c r="T17" s="48" t="n"/>
      <c r="V17" s="51" t="inlineStr"/>
    </row>
    <row r="18" ht="17" customHeight="1">
      <c r="A18" s="20" t="inlineStr">
        <is>
          <t>D014</t>
        </is>
      </c>
      <c r="B18" s="16" t="inlineStr">
        <is>
          <t>鄭漢賢</t>
        </is>
      </c>
      <c r="C18" s="49" t="inlineStr">
        <is>
          <t>悅</t>
        </is>
      </c>
      <c r="D18" s="45" t="inlineStr">
        <is>
          <t>悅</t>
        </is>
      </c>
      <c r="E18" s="45" t="inlineStr">
        <is>
          <t>悅</t>
        </is>
      </c>
      <c r="F18" s="56" t="inlineStr">
        <is>
          <t>匯</t>
        </is>
      </c>
      <c r="G18" s="50" t="inlineStr">
        <is>
          <t>匯</t>
        </is>
      </c>
      <c r="H18" s="50" t="inlineStr">
        <is>
          <t>匯</t>
        </is>
      </c>
      <c r="I18" s="44" t="n"/>
      <c r="J18" s="48" t="n"/>
      <c r="K18" s="48" t="n"/>
      <c r="L18" s="49" t="inlineStr">
        <is>
          <t>悅</t>
        </is>
      </c>
      <c r="M18" s="45" t="inlineStr">
        <is>
          <t>悅</t>
        </is>
      </c>
      <c r="N18" s="48" t="n"/>
      <c r="O18" s="56" t="inlineStr">
        <is>
          <t>匯</t>
        </is>
      </c>
      <c r="P18" s="50" t="inlineStr">
        <is>
          <t>匯</t>
        </is>
      </c>
      <c r="Q18" s="50" t="inlineStr">
        <is>
          <t>匯</t>
        </is>
      </c>
      <c r="R18" s="49" t="inlineStr">
        <is>
          <t>悅</t>
        </is>
      </c>
      <c r="S18" s="45" t="inlineStr">
        <is>
          <t>悅</t>
        </is>
      </c>
      <c r="T18" s="48" t="n"/>
      <c r="V18" s="51" t="inlineStr"/>
    </row>
    <row r="19" ht="17" customHeight="1">
      <c r="A19" s="20" t="inlineStr">
        <is>
          <t>D015</t>
        </is>
      </c>
      <c r="B19" s="16" t="inlineStr">
        <is>
          <t>徐平</t>
        </is>
      </c>
      <c r="C19" s="44" t="n"/>
      <c r="D19" s="47" t="inlineStr">
        <is>
          <t>曜</t>
        </is>
      </c>
      <c r="E19" s="47" t="inlineStr">
        <is>
          <t>曜</t>
        </is>
      </c>
      <c r="F19" s="44" t="n"/>
      <c r="G19" s="45" t="inlineStr">
        <is>
          <t>悅</t>
        </is>
      </c>
      <c r="H19" s="45" t="inlineStr">
        <is>
          <t>悅</t>
        </is>
      </c>
      <c r="I19" s="44" t="n"/>
      <c r="J19" s="47" t="inlineStr">
        <is>
          <t>曜</t>
        </is>
      </c>
      <c r="K19" s="47" t="inlineStr">
        <is>
          <t>曜</t>
        </is>
      </c>
      <c r="L19" s="44" t="n"/>
      <c r="M19" s="45" t="inlineStr">
        <is>
          <t>悅</t>
        </is>
      </c>
      <c r="N19" s="45" t="inlineStr">
        <is>
          <t>悅</t>
        </is>
      </c>
      <c r="O19" s="44" t="n"/>
      <c r="P19" s="47" t="inlineStr">
        <is>
          <t>曜</t>
        </is>
      </c>
      <c r="Q19" s="47" t="inlineStr">
        <is>
          <t>曜</t>
        </is>
      </c>
      <c r="R19" s="46" t="inlineStr">
        <is>
          <t>曜(隔)</t>
        </is>
      </c>
      <c r="S19" s="47" t="inlineStr">
        <is>
          <t>曜(隔)</t>
        </is>
      </c>
      <c r="T19" s="48" t="n"/>
      <c r="V19" s="51" t="inlineStr"/>
    </row>
    <row r="20" ht="17" customHeight="1">
      <c r="A20" s="20" t="inlineStr">
        <is>
          <t>D016</t>
        </is>
      </c>
      <c r="B20" s="16" t="inlineStr">
        <is>
          <t>賴敏傑</t>
        </is>
      </c>
      <c r="C20" s="53" t="inlineStr">
        <is>
          <t>睿</t>
        </is>
      </c>
      <c r="D20" s="52" t="inlineStr">
        <is>
          <t>睿</t>
        </is>
      </c>
      <c r="E20" s="52" t="inlineStr">
        <is>
          <t>睿</t>
        </is>
      </c>
      <c r="F20" s="44" t="n"/>
      <c r="G20" s="48" t="n"/>
      <c r="H20" s="48" t="n"/>
      <c r="I20" s="44" t="n"/>
      <c r="J20" s="48" t="n"/>
      <c r="K20" s="48" t="n"/>
      <c r="L20" s="53" t="inlineStr">
        <is>
          <t>睿</t>
        </is>
      </c>
      <c r="M20" s="48" t="n"/>
      <c r="N20" s="48" t="n"/>
      <c r="O20" s="44" t="n"/>
      <c r="P20" s="48" t="n"/>
      <c r="Q20" s="48" t="n"/>
      <c r="R20" s="44" t="n"/>
      <c r="S20" s="48" t="n"/>
      <c r="T20" s="48" t="n"/>
      <c r="V20" s="51" t="inlineStr"/>
    </row>
    <row r="21" ht="17" customHeight="1">
      <c r="A21" s="20" t="inlineStr">
        <is>
          <t>D017</t>
        </is>
      </c>
      <c r="B21" s="16" t="inlineStr">
        <is>
          <t>吳柏賢</t>
        </is>
      </c>
      <c r="C21" s="46" t="inlineStr">
        <is>
          <t>曜</t>
        </is>
      </c>
      <c r="D21" s="47" t="inlineStr">
        <is>
          <t>曜</t>
        </is>
      </c>
      <c r="E21" s="47" t="inlineStr">
        <is>
          <t>曜</t>
        </is>
      </c>
      <c r="F21" s="44" t="n"/>
      <c r="G21" s="48" t="n"/>
      <c r="H21" s="48" t="n"/>
      <c r="I21" s="46" t="inlineStr">
        <is>
          <t>曜</t>
        </is>
      </c>
      <c r="J21" s="47" t="inlineStr">
        <is>
          <t>曜</t>
        </is>
      </c>
      <c r="K21" s="47" t="inlineStr">
        <is>
          <t>曜</t>
        </is>
      </c>
      <c r="L21" s="53" t="inlineStr">
        <is>
          <t>睿</t>
        </is>
      </c>
      <c r="M21" s="52" t="inlineStr">
        <is>
          <t>睿</t>
        </is>
      </c>
      <c r="N21" s="52" t="inlineStr">
        <is>
          <t>睿</t>
        </is>
      </c>
      <c r="O21" s="44" t="n"/>
      <c r="P21" s="47" t="inlineStr">
        <is>
          <t>曜</t>
        </is>
      </c>
      <c r="Q21" s="47" t="inlineStr">
        <is>
          <t>曜</t>
        </is>
      </c>
      <c r="R21" s="53" t="inlineStr">
        <is>
          <t>睿</t>
        </is>
      </c>
      <c r="S21" s="52" t="inlineStr">
        <is>
          <t>睿</t>
        </is>
      </c>
      <c r="T21" s="48" t="n"/>
      <c r="V21" s="51" t="inlineStr"/>
    </row>
    <row r="22" ht="17" customHeight="1">
      <c r="A22" s="20" t="inlineStr">
        <is>
          <t>D018</t>
        </is>
      </c>
      <c r="B22" s="16" t="inlineStr">
        <is>
          <t>許博諺</t>
        </is>
      </c>
      <c r="C22" s="53" t="inlineStr">
        <is>
          <t>睿</t>
        </is>
      </c>
      <c r="D22" s="52" t="inlineStr">
        <is>
          <t>睿</t>
        </is>
      </c>
      <c r="E22" s="52" t="inlineStr">
        <is>
          <t>睿</t>
        </is>
      </c>
      <c r="F22" s="46" t="inlineStr">
        <is>
          <t>曜</t>
        </is>
      </c>
      <c r="G22" s="47" t="inlineStr">
        <is>
          <t>曜</t>
        </is>
      </c>
      <c r="H22" s="47" t="inlineStr">
        <is>
          <t>曜</t>
        </is>
      </c>
      <c r="I22" s="44" t="n"/>
      <c r="J22" s="48" t="n"/>
      <c r="K22" s="48" t="n"/>
      <c r="L22" s="46" t="inlineStr">
        <is>
          <t>曜</t>
        </is>
      </c>
      <c r="M22" s="47" t="inlineStr">
        <is>
          <t>曜</t>
        </is>
      </c>
      <c r="N22" s="47" t="inlineStr">
        <is>
          <t>曜</t>
        </is>
      </c>
      <c r="O22" s="44" t="n"/>
      <c r="P22" s="52" t="inlineStr">
        <is>
          <t>睿</t>
        </is>
      </c>
      <c r="Q22" s="52" t="inlineStr">
        <is>
          <t>睿</t>
        </is>
      </c>
      <c r="R22" s="46" t="inlineStr">
        <is>
          <t>曜</t>
        </is>
      </c>
      <c r="S22" s="47" t="inlineStr">
        <is>
          <t>曜</t>
        </is>
      </c>
      <c r="T22" s="48" t="n"/>
      <c r="V22" s="51" t="inlineStr"/>
    </row>
    <row r="23" ht="17" customHeight="1">
      <c r="A23" s="20" t="inlineStr">
        <is>
          <t>D019</t>
        </is>
      </c>
      <c r="B23" s="16" t="inlineStr">
        <is>
          <t>翁崎紘</t>
        </is>
      </c>
      <c r="C23" s="44" t="n"/>
      <c r="D23" s="48" t="n"/>
      <c r="E23" s="48" t="n"/>
      <c r="F23" s="44" t="n"/>
      <c r="G23" s="48" t="n"/>
      <c r="H23" s="48" t="n"/>
      <c r="I23" s="44" t="n"/>
      <c r="J23" s="48" t="n"/>
      <c r="K23" s="48" t="n"/>
      <c r="L23" s="44" t="n"/>
      <c r="M23" s="48" t="n"/>
      <c r="N23" s="48" t="n"/>
      <c r="O23" s="44" t="n"/>
      <c r="P23" s="45" t="inlineStr">
        <is>
          <t>悅(不定)</t>
        </is>
      </c>
      <c r="Q23" s="45" t="inlineStr">
        <is>
          <t>悅(不定)</t>
        </is>
      </c>
      <c r="R23" s="44" t="n"/>
      <c r="S23" s="48" t="n"/>
      <c r="T23" s="48" t="n"/>
      <c r="V23" s="51" t="inlineStr"/>
    </row>
    <row r="24" ht="17" customHeight="1">
      <c r="A24" s="20" t="inlineStr">
        <is>
          <t>D020</t>
        </is>
      </c>
      <c r="B24" s="16" t="inlineStr">
        <is>
          <t>余柏萱</t>
        </is>
      </c>
      <c r="C24" s="44" t="n"/>
      <c r="D24" s="48" t="n"/>
      <c r="E24" s="48" t="n"/>
      <c r="F24" s="53" t="inlineStr">
        <is>
          <t>睿</t>
        </is>
      </c>
      <c r="G24" s="52" t="inlineStr">
        <is>
          <t>睿</t>
        </is>
      </c>
      <c r="H24" s="52" t="inlineStr">
        <is>
          <t>睿</t>
        </is>
      </c>
      <c r="I24" s="53" t="inlineStr">
        <is>
          <t>睿</t>
        </is>
      </c>
      <c r="J24" s="52" t="inlineStr">
        <is>
          <t>睿</t>
        </is>
      </c>
      <c r="K24" s="52" t="inlineStr">
        <is>
          <t>睿</t>
        </is>
      </c>
      <c r="L24" s="44" t="n"/>
      <c r="M24" s="48" t="n"/>
      <c r="N24" s="48" t="n"/>
      <c r="O24" s="53" t="inlineStr">
        <is>
          <t>睿</t>
        </is>
      </c>
      <c r="P24" s="54" t="inlineStr">
        <is>
          <t>寶</t>
        </is>
      </c>
      <c r="Q24" s="54" t="inlineStr">
        <is>
          <t>寶</t>
        </is>
      </c>
      <c r="R24" s="53" t="inlineStr">
        <is>
          <t>睿</t>
        </is>
      </c>
      <c r="S24" s="52" t="inlineStr">
        <is>
          <t>睿</t>
        </is>
      </c>
      <c r="T24" s="48" t="n"/>
      <c r="V24" s="51" t="inlineStr"/>
    </row>
    <row r="25" ht="17" customHeight="1">
      <c r="A25" s="20" t="inlineStr">
        <is>
          <t>D021</t>
        </is>
      </c>
      <c r="B25" s="16" t="inlineStr">
        <is>
          <t>鄭博文</t>
        </is>
      </c>
      <c r="C25" s="44" t="n"/>
      <c r="D25" s="48" t="n"/>
      <c r="E25" s="48" t="n"/>
      <c r="F25" s="44" t="n"/>
      <c r="G25" s="45" t="inlineStr">
        <is>
          <t>悅</t>
        </is>
      </c>
      <c r="H25" s="45" t="inlineStr">
        <is>
          <t>悅</t>
        </is>
      </c>
      <c r="I25" s="49" t="inlineStr">
        <is>
          <t>悅</t>
        </is>
      </c>
      <c r="J25" s="45" t="inlineStr">
        <is>
          <t>悅</t>
        </is>
      </c>
      <c r="K25" s="45" t="inlineStr">
        <is>
          <t>悅</t>
        </is>
      </c>
      <c r="L25" s="49" t="inlineStr">
        <is>
          <t>悅</t>
        </is>
      </c>
      <c r="M25" s="45" t="inlineStr">
        <is>
          <t>悅</t>
        </is>
      </c>
      <c r="N25" s="45" t="inlineStr">
        <is>
          <t>悅</t>
        </is>
      </c>
      <c r="O25" s="44" t="n"/>
      <c r="P25" s="45" t="inlineStr">
        <is>
          <t>悅</t>
        </is>
      </c>
      <c r="Q25" s="45" t="inlineStr">
        <is>
          <t>悅</t>
        </is>
      </c>
      <c r="R25" s="49" t="inlineStr">
        <is>
          <t>悅</t>
        </is>
      </c>
      <c r="S25" s="45" t="inlineStr">
        <is>
          <t>悅</t>
        </is>
      </c>
      <c r="T25" s="48" t="n"/>
      <c r="V25" s="51" t="inlineStr"/>
    </row>
    <row r="26" ht="17" customHeight="1">
      <c r="A26" s="20" t="inlineStr">
        <is>
          <t>D022</t>
        </is>
      </c>
      <c r="B26" s="16" t="inlineStr">
        <is>
          <t>黃育亭</t>
        </is>
      </c>
      <c r="C26" s="44" t="n"/>
      <c r="D26" s="48" t="n"/>
      <c r="E26" s="48" t="n"/>
      <c r="F26" s="44" t="n"/>
      <c r="G26" s="48" t="n"/>
      <c r="H26" s="48" t="n"/>
      <c r="I26" s="44" t="n"/>
      <c r="J26" s="54" t="inlineStr">
        <is>
          <t>寶</t>
        </is>
      </c>
      <c r="K26" s="54" t="inlineStr">
        <is>
          <t>寶</t>
        </is>
      </c>
      <c r="L26" s="44" t="n"/>
      <c r="M26" s="48" t="n"/>
      <c r="N26" s="48" t="n"/>
      <c r="O26" s="44" t="n"/>
      <c r="P26" s="48" t="n"/>
      <c r="Q26" s="48" t="n"/>
      <c r="R26" s="55" t="inlineStr">
        <is>
          <t>寶(不定)</t>
        </is>
      </c>
      <c r="S26" s="54" t="inlineStr">
        <is>
          <t>寶(不定)</t>
        </is>
      </c>
      <c r="T26" s="48" t="n"/>
      <c r="V26" s="51" t="inlineStr"/>
    </row>
    <row r="27" ht="17" customHeight="1">
      <c r="A27" s="20" t="inlineStr">
        <is>
          <t>D023</t>
        </is>
      </c>
      <c r="B27" s="16" t="inlineStr">
        <is>
          <t>黃婷愉</t>
        </is>
      </c>
      <c r="C27" s="44" t="n"/>
      <c r="D27" s="48" t="n"/>
      <c r="E27" s="48" t="n"/>
      <c r="F27" s="44" t="n"/>
      <c r="G27" s="48" t="n"/>
      <c r="H27" s="48" t="n"/>
      <c r="I27" s="44" t="n"/>
      <c r="J27" s="48" t="n"/>
      <c r="K27" s="48" t="n"/>
      <c r="L27" s="44" t="n"/>
      <c r="M27" s="48" t="n"/>
      <c r="N27" s="48" t="n"/>
      <c r="O27" s="44" t="n"/>
      <c r="P27" s="48" t="n"/>
      <c r="Q27" s="48" t="n"/>
      <c r="R27" s="55" t="inlineStr">
        <is>
          <t>寶(不定)</t>
        </is>
      </c>
      <c r="S27" s="54" t="inlineStr">
        <is>
          <t>寶(不定)</t>
        </is>
      </c>
      <c r="T27" s="48" t="n"/>
      <c r="V27" s="51" t="inlineStr"/>
    </row>
    <row r="28" ht="17" customHeight="1">
      <c r="A28" s="20" t="inlineStr">
        <is>
          <t>D024</t>
        </is>
      </c>
      <c r="B28" s="16" t="inlineStr">
        <is>
          <t>林紓安</t>
        </is>
      </c>
      <c r="C28" s="44" t="n"/>
      <c r="D28" s="54" t="inlineStr">
        <is>
          <t>寶</t>
        </is>
      </c>
      <c r="E28" s="54" t="inlineStr">
        <is>
          <t>寶</t>
        </is>
      </c>
      <c r="F28" s="44" t="n"/>
      <c r="G28" s="48" t="n"/>
      <c r="H28" s="48" t="n"/>
      <c r="I28" s="44" t="n"/>
      <c r="J28" s="50" t="inlineStr">
        <is>
          <t>匯(隔)</t>
        </is>
      </c>
      <c r="K28" s="50" t="inlineStr">
        <is>
          <t>匯(隔)</t>
        </is>
      </c>
      <c r="L28" s="44" t="n"/>
      <c r="M28" s="48" t="n"/>
      <c r="N28" s="48" t="n"/>
      <c r="O28" s="44" t="n"/>
      <c r="P28" s="54" t="inlineStr">
        <is>
          <t>寶</t>
        </is>
      </c>
      <c r="Q28" s="54" t="inlineStr">
        <is>
          <t>寶</t>
        </is>
      </c>
      <c r="R28" s="44" t="n"/>
      <c r="S28" s="48" t="n"/>
      <c r="T28" s="48" t="n"/>
      <c r="V28" s="51" t="inlineStr"/>
    </row>
    <row r="29" ht="17" customHeight="1">
      <c r="A29" s="20" t="inlineStr">
        <is>
          <t>D025</t>
        </is>
      </c>
      <c r="B29" s="16" t="inlineStr">
        <is>
          <t>陳爵安</t>
        </is>
      </c>
      <c r="C29" s="53" t="inlineStr">
        <is>
          <t>睿</t>
        </is>
      </c>
      <c r="D29" s="48" t="n"/>
      <c r="E29" s="48" t="n"/>
      <c r="F29" s="44" t="n"/>
      <c r="G29" s="48" t="n"/>
      <c r="H29" s="48" t="n"/>
      <c r="I29" s="53" t="inlineStr">
        <is>
          <t>睿</t>
        </is>
      </c>
      <c r="J29" s="48" t="n"/>
      <c r="K29" s="52" t="inlineStr">
        <is>
          <t>睿</t>
        </is>
      </c>
      <c r="L29" s="44" t="n"/>
      <c r="M29" s="48" t="n"/>
      <c r="N29" s="48" t="n"/>
      <c r="O29" s="53" t="inlineStr">
        <is>
          <t>睿</t>
        </is>
      </c>
      <c r="P29" s="52" t="inlineStr">
        <is>
          <t>睿</t>
        </is>
      </c>
      <c r="Q29" s="52" t="inlineStr">
        <is>
          <t>睿</t>
        </is>
      </c>
      <c r="R29" s="53" t="inlineStr">
        <is>
          <t>睿</t>
        </is>
      </c>
      <c r="S29" s="52" t="inlineStr">
        <is>
          <t>睿</t>
        </is>
      </c>
      <c r="T29" s="48" t="n"/>
      <c r="V29" s="51" t="inlineStr"/>
    </row>
    <row r="30" ht="17" customHeight="1">
      <c r="A30" s="20" t="inlineStr">
        <is>
          <t>D026</t>
        </is>
      </c>
      <c r="B30" s="16" t="inlineStr">
        <is>
          <t>吳冠廷</t>
        </is>
      </c>
      <c r="C30" s="56" t="inlineStr">
        <is>
          <t>匯</t>
        </is>
      </c>
      <c r="D30" s="50" t="inlineStr">
        <is>
          <t>匯</t>
        </is>
      </c>
      <c r="E30" s="50" t="inlineStr">
        <is>
          <t>匯</t>
        </is>
      </c>
      <c r="F30" s="44" t="n"/>
      <c r="G30" s="48" t="n"/>
      <c r="H30" s="48" t="n"/>
      <c r="I30" s="44" t="n"/>
      <c r="J30" s="48" t="n"/>
      <c r="K30" s="48" t="n"/>
      <c r="L30" s="56" t="inlineStr">
        <is>
          <t>匯</t>
        </is>
      </c>
      <c r="M30" s="50" t="inlineStr">
        <is>
          <t>匯</t>
        </is>
      </c>
      <c r="N30" s="50" t="inlineStr">
        <is>
          <t>匯</t>
        </is>
      </c>
      <c r="O30" s="44" t="n"/>
      <c r="P30" s="48" t="n"/>
      <c r="Q30" s="48" t="n"/>
      <c r="R30" s="44" t="n"/>
      <c r="S30" s="48" t="n"/>
      <c r="T30" s="48" t="n"/>
      <c r="V30" s="51" t="inlineStr"/>
    </row>
    <row r="31" ht="17" customHeight="1">
      <c r="A31" s="20" t="inlineStr">
        <is>
          <t>D027</t>
        </is>
      </c>
      <c r="B31" s="16" t="inlineStr">
        <is>
          <t>楊孟庭</t>
        </is>
      </c>
      <c r="C31" s="44" t="n"/>
      <c r="D31" s="50" t="inlineStr">
        <is>
          <t>匯(隔)</t>
        </is>
      </c>
      <c r="E31" s="50" t="inlineStr">
        <is>
          <t>匯(隔)</t>
        </is>
      </c>
      <c r="F31" s="44" t="n"/>
      <c r="G31" s="48" t="n"/>
      <c r="H31" s="48" t="n"/>
      <c r="I31" s="44" t="n"/>
      <c r="J31" s="48" t="n"/>
      <c r="K31" s="48" t="n"/>
      <c r="L31" s="44" t="n"/>
      <c r="M31" s="48" t="n"/>
      <c r="N31" s="48" t="n"/>
      <c r="O31" s="44" t="n"/>
      <c r="P31" s="48" t="n"/>
      <c r="Q31" s="48" t="n"/>
      <c r="R31" s="56" t="inlineStr">
        <is>
          <t>匯(隔)</t>
        </is>
      </c>
      <c r="S31" s="50" t="inlineStr">
        <is>
          <t>匯(隔)</t>
        </is>
      </c>
      <c r="T31" s="48" t="n"/>
      <c r="V31" s="51" t="inlineStr"/>
    </row>
    <row r="32" ht="17" customHeight="1">
      <c r="A32" s="20" t="n"/>
      <c r="B32" s="16">
        <f>IFERROR(INDEX(設定!$C$62:$C$201,MATCH($A32,設定!$B$62:$B$201,0)),"")</f>
        <v/>
      </c>
      <c r="C32" s="44" t="n"/>
      <c r="D32" s="48" t="n"/>
      <c r="E32" s="48" t="n"/>
      <c r="F32" s="44" t="n"/>
      <c r="G32" s="48" t="n"/>
      <c r="H32" s="48" t="n"/>
      <c r="I32" s="44" t="n"/>
      <c r="J32" s="48" t="n"/>
      <c r="K32" s="48" t="n"/>
      <c r="L32" s="44" t="n"/>
      <c r="M32" s="48" t="n"/>
      <c r="N32" s="48" t="n"/>
      <c r="O32" s="44" t="n"/>
      <c r="P32" s="48" t="n"/>
      <c r="Q32" s="48" t="n"/>
      <c r="R32" s="44" t="n"/>
      <c r="S32" s="48" t="n"/>
      <c r="T32" s="48" t="n"/>
      <c r="V32" s="51" t="inlineStr"/>
    </row>
    <row r="33" ht="17" customHeight="1">
      <c r="A33" s="20" t="n"/>
      <c r="B33" s="16">
        <f>IFERROR(INDEX(設定!$C$62:$C$201,MATCH($A33,設定!$B$62:$B$201,0)),"")</f>
        <v/>
      </c>
      <c r="C33" s="44" t="n"/>
      <c r="D33" s="48" t="n"/>
      <c r="E33" s="48" t="n"/>
      <c r="F33" s="44" t="n"/>
      <c r="G33" s="48" t="n"/>
      <c r="H33" s="48" t="n"/>
      <c r="I33" s="44" t="n"/>
      <c r="J33" s="48" t="n"/>
      <c r="K33" s="48" t="n"/>
      <c r="L33" s="44" t="n"/>
      <c r="M33" s="48" t="n"/>
      <c r="N33" s="48" t="n"/>
      <c r="O33" s="44" t="n"/>
      <c r="P33" s="48" t="n"/>
      <c r="Q33" s="48" t="n"/>
      <c r="R33" s="44" t="n"/>
      <c r="S33" s="48" t="n"/>
      <c r="T33" s="48" t="n"/>
      <c r="V33" s="51" t="inlineStr"/>
    </row>
    <row r="34" ht="17" customHeight="1">
      <c r="A34" s="20" t="n"/>
      <c r="B34" s="16">
        <f>IFERROR(INDEX(設定!$C$62:$C$201,MATCH($A34,設定!$B$62:$B$201,0)),"")</f>
        <v/>
      </c>
      <c r="C34" s="44" t="n"/>
      <c r="D34" s="48" t="n"/>
      <c r="E34" s="48" t="n"/>
      <c r="F34" s="44" t="n"/>
      <c r="G34" s="48" t="n"/>
      <c r="H34" s="48" t="n"/>
      <c r="I34" s="44" t="n"/>
      <c r="J34" s="48" t="n"/>
      <c r="K34" s="48" t="n"/>
      <c r="L34" s="44" t="n"/>
      <c r="M34" s="48" t="n"/>
      <c r="N34" s="48" t="n"/>
      <c r="O34" s="44" t="n"/>
      <c r="P34" s="48" t="n"/>
      <c r="Q34" s="48" t="n"/>
      <c r="R34" s="44" t="n"/>
      <c r="S34" s="48" t="n"/>
      <c r="T34" s="48" t="n"/>
      <c r="V34" s="51" t="inlineStr"/>
    </row>
    <row r="35" ht="17" customHeight="1">
      <c r="A35" s="20" t="n"/>
      <c r="B35" s="16">
        <f>IFERROR(INDEX(設定!$C$62:$C$201,MATCH($A35,設定!$B$62:$B$201,0)),"")</f>
        <v/>
      </c>
      <c r="C35" s="44" t="n"/>
      <c r="D35" s="48" t="n"/>
      <c r="E35" s="48" t="n"/>
      <c r="F35" s="44" t="n"/>
      <c r="G35" s="48" t="n"/>
      <c r="H35" s="48" t="n"/>
      <c r="I35" s="44" t="n"/>
      <c r="J35" s="48" t="n"/>
      <c r="K35" s="48" t="n"/>
      <c r="L35" s="44" t="n"/>
      <c r="M35" s="48" t="n"/>
      <c r="N35" s="48" t="n"/>
      <c r="O35" s="44" t="n"/>
      <c r="P35" s="48" t="n"/>
      <c r="Q35" s="48" t="n"/>
      <c r="R35" s="44" t="n"/>
      <c r="S35" s="48" t="n"/>
      <c r="T35" s="48" t="n"/>
      <c r="V35" s="51" t="inlineStr"/>
    </row>
    <row r="36" ht="17" customHeight="1">
      <c r="A36" s="20" t="n"/>
      <c r="B36" s="16">
        <f>IFERROR(INDEX(設定!$C$62:$C$201,MATCH($A36,設定!$B$62:$B$201,0)),"")</f>
        <v/>
      </c>
      <c r="C36" s="44" t="n"/>
      <c r="D36" s="48" t="n"/>
      <c r="E36" s="48" t="n"/>
      <c r="F36" s="44" t="n"/>
      <c r="G36" s="48" t="n"/>
      <c r="H36" s="48" t="n"/>
      <c r="I36" s="44" t="n"/>
      <c r="J36" s="48" t="n"/>
      <c r="K36" s="48" t="n"/>
      <c r="L36" s="44" t="n"/>
      <c r="M36" s="48" t="n"/>
      <c r="N36" s="48" t="n"/>
      <c r="O36" s="44" t="n"/>
      <c r="P36" s="48" t="n"/>
      <c r="Q36" s="48" t="n"/>
      <c r="R36" s="44" t="n"/>
      <c r="S36" s="48" t="n"/>
      <c r="T36" s="48" t="n"/>
      <c r="V36" s="51" t="inlineStr"/>
    </row>
    <row r="37" ht="17" customHeight="1">
      <c r="A37" s="20" t="n"/>
      <c r="B37" s="16">
        <f>IFERROR(INDEX(設定!$C$62:$C$201,MATCH($A37,設定!$B$62:$B$201,0)),"")</f>
        <v/>
      </c>
      <c r="C37" s="44" t="n"/>
      <c r="D37" s="48" t="n"/>
      <c r="E37" s="48" t="n"/>
      <c r="F37" s="44" t="n"/>
      <c r="G37" s="48" t="n"/>
      <c r="H37" s="48" t="n"/>
      <c r="I37" s="44" t="n"/>
      <c r="J37" s="48" t="n"/>
      <c r="K37" s="48" t="n"/>
      <c r="L37" s="44" t="n"/>
      <c r="M37" s="48" t="n"/>
      <c r="N37" s="48" t="n"/>
      <c r="O37" s="44" t="n"/>
      <c r="P37" s="48" t="n"/>
      <c r="Q37" s="48" t="n"/>
      <c r="R37" s="44" t="n"/>
      <c r="S37" s="48" t="n"/>
      <c r="T37" s="48" t="n"/>
      <c r="V37" s="51" t="inlineStr"/>
    </row>
    <row r="38" ht="17" customHeight="1">
      <c r="A38" s="20" t="n"/>
      <c r="B38" s="16">
        <f>IFERROR(INDEX(設定!$C$62:$C$201,MATCH($A38,設定!$B$62:$B$201,0)),"")</f>
        <v/>
      </c>
      <c r="C38" s="44" t="n"/>
      <c r="D38" s="48" t="n"/>
      <c r="E38" s="48" t="n"/>
      <c r="F38" s="44" t="n"/>
      <c r="G38" s="48" t="n"/>
      <c r="H38" s="48" t="n"/>
      <c r="I38" s="44" t="n"/>
      <c r="J38" s="48" t="n"/>
      <c r="K38" s="48" t="n"/>
      <c r="L38" s="44" t="n"/>
      <c r="M38" s="48" t="n"/>
      <c r="N38" s="48" t="n"/>
      <c r="O38" s="44" t="n"/>
      <c r="P38" s="48" t="n"/>
      <c r="Q38" s="48" t="n"/>
      <c r="R38" s="44" t="n"/>
      <c r="S38" s="48" t="n"/>
      <c r="T38" s="48" t="n"/>
      <c r="V38" s="51" t="inlineStr"/>
    </row>
    <row r="39" ht="17" customHeight="1">
      <c r="A39" s="20" t="n"/>
      <c r="B39" s="16">
        <f>IFERROR(INDEX(設定!$C$62:$C$201,MATCH($A39,設定!$B$62:$B$201,0)),"")</f>
        <v/>
      </c>
      <c r="C39" s="44" t="n"/>
      <c r="D39" s="48" t="n"/>
      <c r="E39" s="48" t="n"/>
      <c r="F39" s="44" t="n"/>
      <c r="G39" s="48" t="n"/>
      <c r="H39" s="48" t="n"/>
      <c r="I39" s="44" t="n"/>
      <c r="J39" s="48" t="n"/>
      <c r="K39" s="48" t="n"/>
      <c r="L39" s="44" t="n"/>
      <c r="M39" s="48" t="n"/>
      <c r="N39" s="48" t="n"/>
      <c r="O39" s="44" t="n"/>
      <c r="P39" s="48" t="n"/>
      <c r="Q39" s="48" t="n"/>
      <c r="R39" s="44" t="n"/>
      <c r="S39" s="48" t="n"/>
      <c r="T39" s="48" t="n"/>
      <c r="V39" s="51" t="inlineStr"/>
    </row>
    <row r="40" ht="17" customHeight="1">
      <c r="A40" s="20" t="n"/>
      <c r="B40" s="16">
        <f>IFERROR(INDEX(設定!$C$62:$C$201,MATCH($A40,設定!$B$62:$B$201,0)),"")</f>
        <v/>
      </c>
      <c r="C40" s="44" t="n"/>
      <c r="D40" s="48" t="n"/>
      <c r="E40" s="48" t="n"/>
      <c r="F40" s="44" t="n"/>
      <c r="G40" s="48" t="n"/>
      <c r="H40" s="48" t="n"/>
      <c r="I40" s="44" t="n"/>
      <c r="J40" s="48" t="n"/>
      <c r="K40" s="48" t="n"/>
      <c r="L40" s="44" t="n"/>
      <c r="M40" s="48" t="n"/>
      <c r="N40" s="48" t="n"/>
      <c r="O40" s="44" t="n"/>
      <c r="P40" s="48" t="n"/>
      <c r="Q40" s="48" t="n"/>
      <c r="R40" s="44" t="n"/>
      <c r="S40" s="48" t="n"/>
      <c r="T40" s="48" t="n"/>
      <c r="V40" s="51" t="inlineStr"/>
    </row>
    <row r="41" ht="17" customHeight="1">
      <c r="A41" s="20" t="n"/>
      <c r="B41" s="16">
        <f>IFERROR(INDEX(設定!$C$62:$C$201,MATCH($A41,設定!$B$62:$B$201,0)),"")</f>
        <v/>
      </c>
      <c r="C41" s="44" t="n"/>
      <c r="D41" s="48" t="n"/>
      <c r="E41" s="48" t="n"/>
      <c r="F41" s="44" t="n"/>
      <c r="G41" s="48" t="n"/>
      <c r="H41" s="48" t="n"/>
      <c r="I41" s="44" t="n"/>
      <c r="J41" s="48" t="n"/>
      <c r="K41" s="48" t="n"/>
      <c r="L41" s="44" t="n"/>
      <c r="M41" s="48" t="n"/>
      <c r="N41" s="48" t="n"/>
      <c r="O41" s="44" t="n"/>
      <c r="P41" s="48" t="n"/>
      <c r="Q41" s="48" t="n"/>
      <c r="R41" s="44" t="n"/>
      <c r="S41" s="48" t="n"/>
      <c r="T41" s="48" t="n"/>
      <c r="V41" s="51" t="inlineStr"/>
    </row>
    <row r="42" ht="17" customHeight="1">
      <c r="A42" s="20" t="n"/>
      <c r="B42" s="16">
        <f>IFERROR(INDEX(設定!$C$62:$C$201,MATCH($A42,設定!$B$62:$B$201,0)),"")</f>
        <v/>
      </c>
      <c r="C42" s="44" t="n"/>
      <c r="D42" s="48" t="n"/>
      <c r="E42" s="48" t="n"/>
      <c r="F42" s="44" t="n"/>
      <c r="G42" s="48" t="n"/>
      <c r="H42" s="48" t="n"/>
      <c r="I42" s="44" t="n"/>
      <c r="J42" s="48" t="n"/>
      <c r="K42" s="48" t="n"/>
      <c r="L42" s="44" t="n"/>
      <c r="M42" s="48" t="n"/>
      <c r="N42" s="48" t="n"/>
      <c r="O42" s="44" t="n"/>
      <c r="P42" s="48" t="n"/>
      <c r="Q42" s="48" t="n"/>
      <c r="R42" s="44" t="n"/>
      <c r="S42" s="48" t="n"/>
      <c r="T42" s="48" t="n"/>
      <c r="V42" s="51" t="inlineStr"/>
    </row>
    <row r="43" ht="17" customHeight="1">
      <c r="A43" s="20" t="n"/>
      <c r="B43" s="16">
        <f>IFERROR(INDEX(設定!$C$62:$C$201,MATCH($A43,設定!$B$62:$B$201,0)),"")</f>
        <v/>
      </c>
      <c r="C43" s="44" t="n"/>
      <c r="D43" s="48" t="n"/>
      <c r="E43" s="48" t="n"/>
      <c r="F43" s="44" t="n"/>
      <c r="G43" s="48" t="n"/>
      <c r="H43" s="48" t="n"/>
      <c r="I43" s="44" t="n"/>
      <c r="J43" s="48" t="n"/>
      <c r="K43" s="48" t="n"/>
      <c r="L43" s="44" t="n"/>
      <c r="M43" s="48" t="n"/>
      <c r="N43" s="48" t="n"/>
      <c r="O43" s="44" t="n"/>
      <c r="P43" s="48" t="n"/>
      <c r="Q43" s="48" t="n"/>
      <c r="R43" s="44" t="n"/>
      <c r="S43" s="48" t="n"/>
      <c r="T43" s="48" t="n"/>
      <c r="V43" s="51" t="inlineStr"/>
    </row>
    <row r="44" ht="17" customHeight="1">
      <c r="A44" s="20" t="n"/>
      <c r="B44" s="16">
        <f>IFERROR(INDEX(設定!$C$62:$C$201,MATCH($A44,設定!$B$62:$B$201,0)),"")</f>
        <v/>
      </c>
      <c r="C44" s="44" t="n"/>
      <c r="D44" s="48" t="n"/>
      <c r="E44" s="48" t="n"/>
      <c r="F44" s="44" t="n"/>
      <c r="G44" s="48" t="n"/>
      <c r="H44" s="48" t="n"/>
      <c r="I44" s="44" t="n"/>
      <c r="J44" s="48" t="n"/>
      <c r="K44" s="48" t="n"/>
      <c r="L44" s="44" t="n"/>
      <c r="M44" s="48" t="n"/>
      <c r="N44" s="48" t="n"/>
      <c r="O44" s="44" t="n"/>
      <c r="P44" s="48" t="n"/>
      <c r="Q44" s="48" t="n"/>
      <c r="R44" s="44" t="n"/>
      <c r="S44" s="48" t="n"/>
      <c r="T44" s="48" t="n"/>
      <c r="V44" s="51" t="inlineStr"/>
    </row>
    <row r="46">
      <c r="A46" s="6" t="inlineStr">
        <is>
          <t>※ 資料由官網五個門診表頁面直接解析產生,非人工轉錄。寫法:悅(隔) = 隔週看診、悅/睿 = 兩院輪替(斜線前為單數週)、寶(不定) = 官網註明非每週固定、悅(註) = 見附註欄。</t>
        </is>
      </c>
    </row>
    <row r="47">
      <c r="A47" s="6" t="inlineStr">
        <is>
          <t>※ 資料格有下拉選單(常用值),但不強制——特殊組合直接打字也可以,不會被擋。</t>
        </is>
      </c>
    </row>
    <row r="48">
      <c r="A48" s="6" t="inlineStr">
        <is>
          <t>※ 隔週的四組互換(劉立德週三、朱柏非週六、王泳泉週一、陳昺元週六)以固定基準日(2026/9/28 起)連續數週判定單雙週,跨月不會斷。哪一組先需要院所確認——確認後把基準日挪一週即可整體對齊。</t>
        </is>
      </c>
    </row>
    <row r="49">
      <c r="A49" s="6" t="inlineStr">
        <is>
          <t>※ 週日五間院所皆休診。寶貝牙另有週一至週五早診休診、週六晚診休診。</t>
        </is>
      </c>
    </row>
  </sheetData>
  <mergeCells count="10">
    <mergeCell ref="A1:T1"/>
    <mergeCell ref="R3:T3"/>
    <mergeCell ref="B3:B4"/>
    <mergeCell ref="A3:A4"/>
    <mergeCell ref="V3:V4"/>
    <mergeCell ref="C3:E3"/>
    <mergeCell ref="I3:K3"/>
    <mergeCell ref="F3:H3"/>
    <mergeCell ref="L3:N3"/>
    <mergeCell ref="O3:Q3"/>
  </mergeCells>
  <dataValidations count="2">
    <dataValidation sqref="C5:T44" showDropDown="0" showInputMessage="0" showErrorMessage="1" allowBlank="1" errorTitle="不在常用清單中" error="這個寫法不在常用清單裡。若是特殊組合(例如三間輪替),按「是」即可照樣存入。" type="list" errorStyle="warning">
      <formula1>"悅,睿,匯,曜,寶,悅(隔),睿(隔),匯(隔),曜(隔),寶(隔),寶(不定),悅(不定),悅(註),悅/匯,悅/睿,睿/曜,訓,OFF,特,病,事,公,國,休"</formula1>
    </dataValidation>
    <dataValidation sqref="A5:A44" showDropDown="0" showInputMessage="0" showErrorMessage="1" allowBlank="1" errorTitle="不在醫師名冊中" error="這個編號不在醫師名冊裡。確定要用請按「是」。" type="list" errorStyle="warning">
      <formula1>設定!$Q$6:$Q$45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U59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1" customWidth="1" min="4" max="4"/>
    <col width="3.4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  <col width="3.4" customWidth="1" min="36" max="36"/>
    <col width="3.4" customWidth="1" min="37" max="37"/>
    <col width="3.4" customWidth="1" min="38" max="38"/>
    <col width="3.4" customWidth="1" min="39" max="39"/>
    <col width="3.4" customWidth="1" min="40" max="40"/>
    <col width="3.4" customWidth="1" min="41" max="41"/>
    <col width="3.4" customWidth="1" min="42" max="42"/>
    <col width="3.4" customWidth="1" min="43" max="43"/>
    <col width="3.4" customWidth="1" min="44" max="44"/>
    <col width="3.4" customWidth="1" min="45" max="45"/>
    <col width="3.4" customWidth="1" min="46" max="46"/>
    <col width="3.4" customWidth="1" min="47" max="47"/>
    <col width="3.4" customWidth="1" min="48" max="48"/>
    <col width="3.4" customWidth="1" min="49" max="49"/>
    <col width="3.4" customWidth="1" min="50" max="50"/>
    <col width="3.4" customWidth="1" min="51" max="51"/>
    <col width="3.4" customWidth="1" min="52" max="52"/>
    <col width="3.4" customWidth="1" min="53" max="53"/>
    <col width="3.4" customWidth="1" min="54" max="54"/>
    <col width="3.4" customWidth="1" min="55" max="55"/>
    <col width="3.4" customWidth="1" min="56" max="56"/>
    <col width="3.4" customWidth="1" min="57" max="57"/>
    <col width="3.4" customWidth="1" min="58" max="58"/>
    <col width="3.4" customWidth="1" min="59" max="59"/>
    <col width="3.4" customWidth="1" min="60" max="60"/>
    <col width="3.4" customWidth="1" min="61" max="61"/>
    <col width="3.4" customWidth="1" min="62" max="62"/>
    <col width="3.4" customWidth="1" min="63" max="63"/>
    <col width="3.4" customWidth="1" min="64" max="64"/>
    <col width="3.4" customWidth="1" min="65" max="65"/>
    <col width="3.4" customWidth="1" min="66" max="66"/>
    <col width="3.4" customWidth="1" min="67" max="67"/>
    <col width="3.4" customWidth="1" min="68" max="68"/>
    <col width="3.4" customWidth="1" min="69" max="69"/>
    <col width="3.4" customWidth="1" min="70" max="70"/>
    <col width="3.4" customWidth="1" min="71" max="71"/>
    <col width="3.4" customWidth="1" min="72" max="72"/>
    <col width="3.4" customWidth="1" min="73" max="73"/>
    <col width="3.4" customWidth="1" min="74" max="74"/>
    <col width="3.4" customWidth="1" min="75" max="75"/>
    <col width="3.4" customWidth="1" min="76" max="76"/>
    <col width="3.4" customWidth="1" min="77" max="77"/>
    <col width="3.4" customWidth="1" min="78" max="78"/>
    <col width="3.4" customWidth="1" min="79" max="79"/>
    <col width="3.4" customWidth="1" min="80" max="80"/>
    <col width="3.4" customWidth="1" min="81" max="81"/>
    <col width="3.4" customWidth="1" min="82" max="82"/>
    <col width="3.4" customWidth="1" min="83" max="83"/>
    <col width="3.4" customWidth="1" min="84" max="84"/>
    <col width="3.4" customWidth="1" min="85" max="85"/>
    <col width="3.4" customWidth="1" min="86" max="86"/>
    <col width="3.4" customWidth="1" min="87" max="87"/>
    <col width="3.4" customWidth="1" min="88" max="88"/>
    <col width="3.4" customWidth="1" min="89" max="89"/>
    <col width="3.4" customWidth="1" min="90" max="90"/>
    <col width="3.4" customWidth="1" min="91" max="91"/>
    <col width="3.4" customWidth="1" min="92" max="92"/>
    <col width="3.4" customWidth="1" min="93" max="93"/>
    <col width="3.4" customWidth="1" min="94" max="94"/>
    <col width="3.4" customWidth="1" min="95" max="95"/>
    <col width="3.4" customWidth="1" min="96" max="96"/>
    <col width="3.4" customWidth="1" min="97" max="97"/>
    <col hidden="1" width="13" customWidth="1" min="99" max="99"/>
  </cols>
  <sheetData>
    <row r="1">
      <c r="A1" s="1" t="inlineStr">
        <is>
          <t>醫師班表(診次制 · 一格 = 一個診次 · 已依週班表填好本月)</t>
        </is>
      </c>
    </row>
    <row r="2">
      <c r="A2" s="4" t="inlineStr">
        <is>
          <t>期間</t>
        </is>
      </c>
      <c r="B2" s="22" t="inlineStr">
        <is>
          <t>2026 年 10 月</t>
        </is>
      </c>
      <c r="D2" s="57" t="inlineStr">
        <is>
          <t>圖例:</t>
        </is>
      </c>
      <c r="E2" s="58" t="inlineStr">
        <is>
          <t>悅 晶悅</t>
        </is>
      </c>
      <c r="F2" s="8" t="n"/>
      <c r="G2" s="8" t="n"/>
      <c r="H2" s="9" t="n"/>
      <c r="I2" s="59" t="inlineStr">
        <is>
          <t>睿 晶睿</t>
        </is>
      </c>
      <c r="J2" s="8" t="n"/>
      <c r="K2" s="8" t="n"/>
      <c r="L2" s="9" t="n"/>
      <c r="M2" s="60" t="inlineStr">
        <is>
          <t>匯 晶匯</t>
        </is>
      </c>
      <c r="N2" s="8" t="n"/>
      <c r="O2" s="8" t="n"/>
      <c r="P2" s="9" t="n"/>
      <c r="Q2" s="61" t="inlineStr">
        <is>
          <t>曜 晶曜</t>
        </is>
      </c>
      <c r="R2" s="8" t="n"/>
      <c r="S2" s="8" t="n"/>
      <c r="T2" s="9" t="n"/>
      <c r="U2" s="62" t="inlineStr">
        <is>
          <t>寶 寶貝牙</t>
        </is>
      </c>
      <c r="V2" s="8" t="n"/>
      <c r="W2" s="8" t="n"/>
      <c r="X2" s="9" t="n"/>
    </row>
    <row r="3">
      <c r="A3" s="10" t="inlineStr">
        <is>
          <t>員工編號</t>
        </is>
      </c>
      <c r="B3" s="10" t="inlineStr">
        <is>
          <t>姓名</t>
        </is>
      </c>
      <c r="C3" s="10" t="inlineStr">
        <is>
          <t>專科</t>
        </is>
      </c>
      <c r="D3" s="10" t="inlineStr">
        <is>
          <t>職務</t>
        </is>
      </c>
      <c r="E3" s="10" t="n">
        <v>1</v>
      </c>
      <c r="F3" s="8" t="n"/>
      <c r="G3" s="9" t="n"/>
      <c r="H3" s="10" t="n">
        <v>2</v>
      </c>
      <c r="I3" s="8" t="n"/>
      <c r="J3" s="9" t="n"/>
      <c r="K3" s="10" t="n">
        <v>3</v>
      </c>
      <c r="L3" s="8" t="n"/>
      <c r="M3" s="9" t="n"/>
      <c r="N3" s="10" t="n">
        <v>4</v>
      </c>
      <c r="O3" s="8" t="n"/>
      <c r="P3" s="9" t="n"/>
      <c r="Q3" s="10" t="n">
        <v>5</v>
      </c>
      <c r="R3" s="8" t="n"/>
      <c r="S3" s="9" t="n"/>
      <c r="T3" s="10" t="n">
        <v>6</v>
      </c>
      <c r="U3" s="8" t="n"/>
      <c r="V3" s="9" t="n"/>
      <c r="W3" s="10" t="n">
        <v>7</v>
      </c>
      <c r="X3" s="8" t="n"/>
      <c r="Y3" s="9" t="n"/>
      <c r="Z3" s="10" t="n">
        <v>8</v>
      </c>
      <c r="AA3" s="8" t="n"/>
      <c r="AB3" s="9" t="n"/>
      <c r="AC3" s="10" t="n">
        <v>9</v>
      </c>
      <c r="AD3" s="8" t="n"/>
      <c r="AE3" s="9" t="n"/>
      <c r="AF3" s="10" t="n">
        <v>10</v>
      </c>
      <c r="AG3" s="8" t="n"/>
      <c r="AH3" s="9" t="n"/>
      <c r="AI3" s="10" t="n">
        <v>11</v>
      </c>
      <c r="AJ3" s="8" t="n"/>
      <c r="AK3" s="9" t="n"/>
      <c r="AL3" s="10" t="n">
        <v>12</v>
      </c>
      <c r="AM3" s="8" t="n"/>
      <c r="AN3" s="9" t="n"/>
      <c r="AO3" s="10" t="n">
        <v>13</v>
      </c>
      <c r="AP3" s="8" t="n"/>
      <c r="AQ3" s="9" t="n"/>
      <c r="AR3" s="10" t="n">
        <v>14</v>
      </c>
      <c r="AS3" s="8" t="n"/>
      <c r="AT3" s="9" t="n"/>
      <c r="AU3" s="10" t="n">
        <v>15</v>
      </c>
      <c r="AV3" s="8" t="n"/>
      <c r="AW3" s="9" t="n"/>
      <c r="AX3" s="10" t="n">
        <v>16</v>
      </c>
      <c r="AY3" s="8" t="n"/>
      <c r="AZ3" s="9" t="n"/>
      <c r="BA3" s="10" t="n">
        <v>17</v>
      </c>
      <c r="BB3" s="8" t="n"/>
      <c r="BC3" s="9" t="n"/>
      <c r="BD3" s="10" t="n">
        <v>18</v>
      </c>
      <c r="BE3" s="8" t="n"/>
      <c r="BF3" s="9" t="n"/>
      <c r="BG3" s="10" t="n">
        <v>19</v>
      </c>
      <c r="BH3" s="8" t="n"/>
      <c r="BI3" s="9" t="n"/>
      <c r="BJ3" s="10" t="n">
        <v>20</v>
      </c>
      <c r="BK3" s="8" t="n"/>
      <c r="BL3" s="9" t="n"/>
      <c r="BM3" s="10" t="n">
        <v>21</v>
      </c>
      <c r="BN3" s="8" t="n"/>
      <c r="BO3" s="9" t="n"/>
      <c r="BP3" s="10" t="n">
        <v>22</v>
      </c>
      <c r="BQ3" s="8" t="n"/>
      <c r="BR3" s="9" t="n"/>
      <c r="BS3" s="10" t="n">
        <v>23</v>
      </c>
      <c r="BT3" s="8" t="n"/>
      <c r="BU3" s="9" t="n"/>
      <c r="BV3" s="10" t="n">
        <v>24</v>
      </c>
      <c r="BW3" s="8" t="n"/>
      <c r="BX3" s="9" t="n"/>
      <c r="BY3" s="10" t="n">
        <v>25</v>
      </c>
      <c r="BZ3" s="8" t="n"/>
      <c r="CA3" s="9" t="n"/>
      <c r="CB3" s="10" t="n">
        <v>26</v>
      </c>
      <c r="CC3" s="8" t="n"/>
      <c r="CD3" s="9" t="n"/>
      <c r="CE3" s="10" t="n">
        <v>27</v>
      </c>
      <c r="CF3" s="8" t="n"/>
      <c r="CG3" s="9" t="n"/>
      <c r="CH3" s="10" t="n">
        <v>28</v>
      </c>
      <c r="CI3" s="8" t="n"/>
      <c r="CJ3" s="9" t="n"/>
      <c r="CK3" s="10" t="n">
        <v>29</v>
      </c>
      <c r="CL3" s="8" t="n"/>
      <c r="CM3" s="9" t="n"/>
      <c r="CN3" s="10" t="n">
        <v>30</v>
      </c>
      <c r="CO3" s="8" t="n"/>
      <c r="CP3" s="9" t="n"/>
      <c r="CQ3" s="10" t="n">
        <v>31</v>
      </c>
      <c r="CR3" s="8" t="n"/>
      <c r="CS3" s="9" t="n"/>
    </row>
    <row r="4">
      <c r="A4" s="63" t="n"/>
      <c r="B4" s="63" t="n"/>
      <c r="C4" s="63" t="n"/>
      <c r="D4" s="63" t="n"/>
      <c r="E4" s="64" t="inlineStr">
        <is>
          <t>四</t>
        </is>
      </c>
      <c r="F4" s="65" t="inlineStr">
        <is>
          <t>四</t>
        </is>
      </c>
      <c r="G4" s="65" t="inlineStr">
        <is>
          <t>四</t>
        </is>
      </c>
      <c r="H4" s="64" t="inlineStr">
        <is>
          <t>五</t>
        </is>
      </c>
      <c r="I4" s="65" t="inlineStr">
        <is>
          <t>五</t>
        </is>
      </c>
      <c r="J4" s="65" t="inlineStr">
        <is>
          <t>五</t>
        </is>
      </c>
      <c r="K4" s="64" t="inlineStr">
        <is>
          <t>六</t>
        </is>
      </c>
      <c r="L4" s="65" t="inlineStr">
        <is>
          <t>六</t>
        </is>
      </c>
      <c r="M4" s="65" t="inlineStr">
        <is>
          <t>六</t>
        </is>
      </c>
      <c r="N4" s="64" t="inlineStr">
        <is>
          <t>日</t>
        </is>
      </c>
      <c r="O4" s="65" t="inlineStr">
        <is>
          <t>日</t>
        </is>
      </c>
      <c r="P4" s="65" t="inlineStr">
        <is>
          <t>日</t>
        </is>
      </c>
      <c r="Q4" s="64" t="inlineStr">
        <is>
          <t>一</t>
        </is>
      </c>
      <c r="R4" s="65" t="inlineStr">
        <is>
          <t>一</t>
        </is>
      </c>
      <c r="S4" s="65" t="inlineStr">
        <is>
          <t>一</t>
        </is>
      </c>
      <c r="T4" s="64" t="inlineStr">
        <is>
          <t>二</t>
        </is>
      </c>
      <c r="U4" s="65" t="inlineStr">
        <is>
          <t>二</t>
        </is>
      </c>
      <c r="V4" s="65" t="inlineStr">
        <is>
          <t>二</t>
        </is>
      </c>
      <c r="W4" s="64" t="inlineStr">
        <is>
          <t>三</t>
        </is>
      </c>
      <c r="X4" s="65" t="inlineStr">
        <is>
          <t>三</t>
        </is>
      </c>
      <c r="Y4" s="65" t="inlineStr">
        <is>
          <t>三</t>
        </is>
      </c>
      <c r="Z4" s="64" t="inlineStr">
        <is>
          <t>四</t>
        </is>
      </c>
      <c r="AA4" s="65" t="inlineStr">
        <is>
          <t>四</t>
        </is>
      </c>
      <c r="AB4" s="65" t="inlineStr">
        <is>
          <t>四</t>
        </is>
      </c>
      <c r="AC4" s="64" t="inlineStr">
        <is>
          <t>五</t>
        </is>
      </c>
      <c r="AD4" s="65" t="inlineStr">
        <is>
          <t>五</t>
        </is>
      </c>
      <c r="AE4" s="65" t="inlineStr">
        <is>
          <t>五</t>
        </is>
      </c>
      <c r="AF4" s="64" t="inlineStr">
        <is>
          <t>六</t>
        </is>
      </c>
      <c r="AG4" s="65" t="inlineStr">
        <is>
          <t>六</t>
        </is>
      </c>
      <c r="AH4" s="65" t="inlineStr">
        <is>
          <t>六</t>
        </is>
      </c>
      <c r="AI4" s="64" t="inlineStr">
        <is>
          <t>日</t>
        </is>
      </c>
      <c r="AJ4" s="65" t="inlineStr">
        <is>
          <t>日</t>
        </is>
      </c>
      <c r="AK4" s="65" t="inlineStr">
        <is>
          <t>日</t>
        </is>
      </c>
      <c r="AL4" s="64" t="inlineStr">
        <is>
          <t>一</t>
        </is>
      </c>
      <c r="AM4" s="65" t="inlineStr">
        <is>
          <t>一</t>
        </is>
      </c>
      <c r="AN4" s="65" t="inlineStr">
        <is>
          <t>一</t>
        </is>
      </c>
      <c r="AO4" s="64" t="inlineStr">
        <is>
          <t>二</t>
        </is>
      </c>
      <c r="AP4" s="65" t="inlineStr">
        <is>
          <t>二</t>
        </is>
      </c>
      <c r="AQ4" s="65" t="inlineStr">
        <is>
          <t>二</t>
        </is>
      </c>
      <c r="AR4" s="64" t="inlineStr">
        <is>
          <t>三</t>
        </is>
      </c>
      <c r="AS4" s="65" t="inlineStr">
        <is>
          <t>三</t>
        </is>
      </c>
      <c r="AT4" s="65" t="inlineStr">
        <is>
          <t>三</t>
        </is>
      </c>
      <c r="AU4" s="64" t="inlineStr">
        <is>
          <t>四</t>
        </is>
      </c>
      <c r="AV4" s="65" t="inlineStr">
        <is>
          <t>四</t>
        </is>
      </c>
      <c r="AW4" s="65" t="inlineStr">
        <is>
          <t>四</t>
        </is>
      </c>
      <c r="AX4" s="64" t="inlineStr">
        <is>
          <t>五</t>
        </is>
      </c>
      <c r="AY4" s="65" t="inlineStr">
        <is>
          <t>五</t>
        </is>
      </c>
      <c r="AZ4" s="65" t="inlineStr">
        <is>
          <t>五</t>
        </is>
      </c>
      <c r="BA4" s="64" t="inlineStr">
        <is>
          <t>六</t>
        </is>
      </c>
      <c r="BB4" s="65" t="inlineStr">
        <is>
          <t>六</t>
        </is>
      </c>
      <c r="BC4" s="65" t="inlineStr">
        <is>
          <t>六</t>
        </is>
      </c>
      <c r="BD4" s="64" t="inlineStr">
        <is>
          <t>日</t>
        </is>
      </c>
      <c r="BE4" s="65" t="inlineStr">
        <is>
          <t>日</t>
        </is>
      </c>
      <c r="BF4" s="65" t="inlineStr">
        <is>
          <t>日</t>
        </is>
      </c>
      <c r="BG4" s="64" t="inlineStr">
        <is>
          <t>一</t>
        </is>
      </c>
      <c r="BH4" s="65" t="inlineStr">
        <is>
          <t>一</t>
        </is>
      </c>
      <c r="BI4" s="65" t="inlineStr">
        <is>
          <t>一</t>
        </is>
      </c>
      <c r="BJ4" s="64" t="inlineStr">
        <is>
          <t>二</t>
        </is>
      </c>
      <c r="BK4" s="65" t="inlineStr">
        <is>
          <t>二</t>
        </is>
      </c>
      <c r="BL4" s="65" t="inlineStr">
        <is>
          <t>二</t>
        </is>
      </c>
      <c r="BM4" s="64" t="inlineStr">
        <is>
          <t>三</t>
        </is>
      </c>
      <c r="BN4" s="65" t="inlineStr">
        <is>
          <t>三</t>
        </is>
      </c>
      <c r="BO4" s="65" t="inlineStr">
        <is>
          <t>三</t>
        </is>
      </c>
      <c r="BP4" s="64" t="inlineStr">
        <is>
          <t>四</t>
        </is>
      </c>
      <c r="BQ4" s="65" t="inlineStr">
        <is>
          <t>四</t>
        </is>
      </c>
      <c r="BR4" s="65" t="inlineStr">
        <is>
          <t>四</t>
        </is>
      </c>
      <c r="BS4" s="64" t="inlineStr">
        <is>
          <t>五</t>
        </is>
      </c>
      <c r="BT4" s="65" t="inlineStr">
        <is>
          <t>五</t>
        </is>
      </c>
      <c r="BU4" s="65" t="inlineStr">
        <is>
          <t>五</t>
        </is>
      </c>
      <c r="BV4" s="64" t="inlineStr">
        <is>
          <t>六</t>
        </is>
      </c>
      <c r="BW4" s="65" t="inlineStr">
        <is>
          <t>六</t>
        </is>
      </c>
      <c r="BX4" s="65" t="inlineStr">
        <is>
          <t>六</t>
        </is>
      </c>
      <c r="BY4" s="64" t="inlineStr">
        <is>
          <t>日</t>
        </is>
      </c>
      <c r="BZ4" s="65" t="inlineStr">
        <is>
          <t>日</t>
        </is>
      </c>
      <c r="CA4" s="65" t="inlineStr">
        <is>
          <t>日</t>
        </is>
      </c>
      <c r="CB4" s="64" t="inlineStr">
        <is>
          <t>一</t>
        </is>
      </c>
      <c r="CC4" s="65" t="inlineStr">
        <is>
          <t>一</t>
        </is>
      </c>
      <c r="CD4" s="65" t="inlineStr">
        <is>
          <t>一</t>
        </is>
      </c>
      <c r="CE4" s="64" t="inlineStr">
        <is>
          <t>二</t>
        </is>
      </c>
      <c r="CF4" s="65" t="inlineStr">
        <is>
          <t>二</t>
        </is>
      </c>
      <c r="CG4" s="65" t="inlineStr">
        <is>
          <t>二</t>
        </is>
      </c>
      <c r="CH4" s="64" t="inlineStr">
        <is>
          <t>三</t>
        </is>
      </c>
      <c r="CI4" s="65" t="inlineStr">
        <is>
          <t>三</t>
        </is>
      </c>
      <c r="CJ4" s="65" t="inlineStr">
        <is>
          <t>三</t>
        </is>
      </c>
      <c r="CK4" s="64" t="inlineStr">
        <is>
          <t>四</t>
        </is>
      </c>
      <c r="CL4" s="65" t="inlineStr">
        <is>
          <t>四</t>
        </is>
      </c>
      <c r="CM4" s="65" t="inlineStr">
        <is>
          <t>四</t>
        </is>
      </c>
      <c r="CN4" s="64" t="inlineStr">
        <is>
          <t>五</t>
        </is>
      </c>
      <c r="CO4" s="65" t="inlineStr">
        <is>
          <t>五</t>
        </is>
      </c>
      <c r="CP4" s="65" t="inlineStr">
        <is>
          <t>五</t>
        </is>
      </c>
      <c r="CQ4" s="64" t="inlineStr">
        <is>
          <t>六</t>
        </is>
      </c>
      <c r="CR4" s="65" t="inlineStr">
        <is>
          <t>六</t>
        </is>
      </c>
      <c r="CS4" s="65" t="inlineStr">
        <is>
          <t>六</t>
        </is>
      </c>
    </row>
    <row r="5">
      <c r="A5" s="41" t="n"/>
      <c r="B5" s="41" t="n"/>
      <c r="C5" s="41" t="n"/>
      <c r="D5" s="41" t="n"/>
      <c r="E5" s="42" t="inlineStr">
        <is>
          <t>早</t>
        </is>
      </c>
      <c r="F5" s="43" t="inlineStr">
        <is>
          <t>午</t>
        </is>
      </c>
      <c r="G5" s="43" t="inlineStr">
        <is>
          <t>晚</t>
        </is>
      </c>
      <c r="H5" s="42" t="inlineStr">
        <is>
          <t>早</t>
        </is>
      </c>
      <c r="I5" s="43" t="inlineStr">
        <is>
          <t>午</t>
        </is>
      </c>
      <c r="J5" s="43" t="inlineStr">
        <is>
          <t>晚</t>
        </is>
      </c>
      <c r="K5" s="42" t="inlineStr">
        <is>
          <t>早</t>
        </is>
      </c>
      <c r="L5" s="43" t="inlineStr">
        <is>
          <t>午</t>
        </is>
      </c>
      <c r="M5" s="43" t="inlineStr">
        <is>
          <t>晚</t>
        </is>
      </c>
      <c r="N5" s="42" t="inlineStr">
        <is>
          <t>早</t>
        </is>
      </c>
      <c r="O5" s="43" t="inlineStr">
        <is>
          <t>午</t>
        </is>
      </c>
      <c r="P5" s="43" t="inlineStr">
        <is>
          <t>晚</t>
        </is>
      </c>
      <c r="Q5" s="42" t="inlineStr">
        <is>
          <t>早</t>
        </is>
      </c>
      <c r="R5" s="43" t="inlineStr">
        <is>
          <t>午</t>
        </is>
      </c>
      <c r="S5" s="43" t="inlineStr">
        <is>
          <t>晚</t>
        </is>
      </c>
      <c r="T5" s="42" t="inlineStr">
        <is>
          <t>早</t>
        </is>
      </c>
      <c r="U5" s="43" t="inlineStr">
        <is>
          <t>午</t>
        </is>
      </c>
      <c r="V5" s="43" t="inlineStr">
        <is>
          <t>晚</t>
        </is>
      </c>
      <c r="W5" s="42" t="inlineStr">
        <is>
          <t>早</t>
        </is>
      </c>
      <c r="X5" s="43" t="inlineStr">
        <is>
          <t>午</t>
        </is>
      </c>
      <c r="Y5" s="43" t="inlineStr">
        <is>
          <t>晚</t>
        </is>
      </c>
      <c r="Z5" s="42" t="inlineStr">
        <is>
          <t>早</t>
        </is>
      </c>
      <c r="AA5" s="43" t="inlineStr">
        <is>
          <t>午</t>
        </is>
      </c>
      <c r="AB5" s="43" t="inlineStr">
        <is>
          <t>晚</t>
        </is>
      </c>
      <c r="AC5" s="42" t="inlineStr">
        <is>
          <t>早</t>
        </is>
      </c>
      <c r="AD5" s="43" t="inlineStr">
        <is>
          <t>午</t>
        </is>
      </c>
      <c r="AE5" s="43" t="inlineStr">
        <is>
          <t>晚</t>
        </is>
      </c>
      <c r="AF5" s="42" t="inlineStr">
        <is>
          <t>早</t>
        </is>
      </c>
      <c r="AG5" s="43" t="inlineStr">
        <is>
          <t>午</t>
        </is>
      </c>
      <c r="AH5" s="43" t="inlineStr">
        <is>
          <t>晚</t>
        </is>
      </c>
      <c r="AI5" s="42" t="inlineStr">
        <is>
          <t>早</t>
        </is>
      </c>
      <c r="AJ5" s="43" t="inlineStr">
        <is>
          <t>午</t>
        </is>
      </c>
      <c r="AK5" s="43" t="inlineStr">
        <is>
          <t>晚</t>
        </is>
      </c>
      <c r="AL5" s="42" t="inlineStr">
        <is>
          <t>早</t>
        </is>
      </c>
      <c r="AM5" s="43" t="inlineStr">
        <is>
          <t>午</t>
        </is>
      </c>
      <c r="AN5" s="43" t="inlineStr">
        <is>
          <t>晚</t>
        </is>
      </c>
      <c r="AO5" s="42" t="inlineStr">
        <is>
          <t>早</t>
        </is>
      </c>
      <c r="AP5" s="43" t="inlineStr">
        <is>
          <t>午</t>
        </is>
      </c>
      <c r="AQ5" s="43" t="inlineStr">
        <is>
          <t>晚</t>
        </is>
      </c>
      <c r="AR5" s="42" t="inlineStr">
        <is>
          <t>早</t>
        </is>
      </c>
      <c r="AS5" s="43" t="inlineStr">
        <is>
          <t>午</t>
        </is>
      </c>
      <c r="AT5" s="43" t="inlineStr">
        <is>
          <t>晚</t>
        </is>
      </c>
      <c r="AU5" s="42" t="inlineStr">
        <is>
          <t>早</t>
        </is>
      </c>
      <c r="AV5" s="43" t="inlineStr">
        <is>
          <t>午</t>
        </is>
      </c>
      <c r="AW5" s="43" t="inlineStr">
        <is>
          <t>晚</t>
        </is>
      </c>
      <c r="AX5" s="42" t="inlineStr">
        <is>
          <t>早</t>
        </is>
      </c>
      <c r="AY5" s="43" t="inlineStr">
        <is>
          <t>午</t>
        </is>
      </c>
      <c r="AZ5" s="43" t="inlineStr">
        <is>
          <t>晚</t>
        </is>
      </c>
      <c r="BA5" s="42" t="inlineStr">
        <is>
          <t>早</t>
        </is>
      </c>
      <c r="BB5" s="43" t="inlineStr">
        <is>
          <t>午</t>
        </is>
      </c>
      <c r="BC5" s="43" t="inlineStr">
        <is>
          <t>晚</t>
        </is>
      </c>
      <c r="BD5" s="42" t="inlineStr">
        <is>
          <t>早</t>
        </is>
      </c>
      <c r="BE5" s="43" t="inlineStr">
        <is>
          <t>午</t>
        </is>
      </c>
      <c r="BF5" s="43" t="inlineStr">
        <is>
          <t>晚</t>
        </is>
      </c>
      <c r="BG5" s="42" t="inlineStr">
        <is>
          <t>早</t>
        </is>
      </c>
      <c r="BH5" s="43" t="inlineStr">
        <is>
          <t>午</t>
        </is>
      </c>
      <c r="BI5" s="43" t="inlineStr">
        <is>
          <t>晚</t>
        </is>
      </c>
      <c r="BJ5" s="42" t="inlineStr">
        <is>
          <t>早</t>
        </is>
      </c>
      <c r="BK5" s="43" t="inlineStr">
        <is>
          <t>午</t>
        </is>
      </c>
      <c r="BL5" s="43" t="inlineStr">
        <is>
          <t>晚</t>
        </is>
      </c>
      <c r="BM5" s="42" t="inlineStr">
        <is>
          <t>早</t>
        </is>
      </c>
      <c r="BN5" s="43" t="inlineStr">
        <is>
          <t>午</t>
        </is>
      </c>
      <c r="BO5" s="43" t="inlineStr">
        <is>
          <t>晚</t>
        </is>
      </c>
      <c r="BP5" s="42" t="inlineStr">
        <is>
          <t>早</t>
        </is>
      </c>
      <c r="BQ5" s="43" t="inlineStr">
        <is>
          <t>午</t>
        </is>
      </c>
      <c r="BR5" s="43" t="inlineStr">
        <is>
          <t>晚</t>
        </is>
      </c>
      <c r="BS5" s="42" t="inlineStr">
        <is>
          <t>早</t>
        </is>
      </c>
      <c r="BT5" s="43" t="inlineStr">
        <is>
          <t>午</t>
        </is>
      </c>
      <c r="BU5" s="43" t="inlineStr">
        <is>
          <t>晚</t>
        </is>
      </c>
      <c r="BV5" s="42" t="inlineStr">
        <is>
          <t>早</t>
        </is>
      </c>
      <c r="BW5" s="43" t="inlineStr">
        <is>
          <t>午</t>
        </is>
      </c>
      <c r="BX5" s="43" t="inlineStr">
        <is>
          <t>晚</t>
        </is>
      </c>
      <c r="BY5" s="42" t="inlineStr">
        <is>
          <t>早</t>
        </is>
      </c>
      <c r="BZ5" s="43" t="inlineStr">
        <is>
          <t>午</t>
        </is>
      </c>
      <c r="CA5" s="43" t="inlineStr">
        <is>
          <t>晚</t>
        </is>
      </c>
      <c r="CB5" s="42" t="inlineStr">
        <is>
          <t>早</t>
        </is>
      </c>
      <c r="CC5" s="43" t="inlineStr">
        <is>
          <t>午</t>
        </is>
      </c>
      <c r="CD5" s="43" t="inlineStr">
        <is>
          <t>晚</t>
        </is>
      </c>
      <c r="CE5" s="42" t="inlineStr">
        <is>
          <t>早</t>
        </is>
      </c>
      <c r="CF5" s="43" t="inlineStr">
        <is>
          <t>午</t>
        </is>
      </c>
      <c r="CG5" s="43" t="inlineStr">
        <is>
          <t>晚</t>
        </is>
      </c>
      <c r="CH5" s="42" t="inlineStr">
        <is>
          <t>早</t>
        </is>
      </c>
      <c r="CI5" s="43" t="inlineStr">
        <is>
          <t>午</t>
        </is>
      </c>
      <c r="CJ5" s="43" t="inlineStr">
        <is>
          <t>晚</t>
        </is>
      </c>
      <c r="CK5" s="42" t="inlineStr">
        <is>
          <t>早</t>
        </is>
      </c>
      <c r="CL5" s="43" t="inlineStr">
        <is>
          <t>午</t>
        </is>
      </c>
      <c r="CM5" s="43" t="inlineStr">
        <is>
          <t>晚</t>
        </is>
      </c>
      <c r="CN5" s="42" t="inlineStr">
        <is>
          <t>早</t>
        </is>
      </c>
      <c r="CO5" s="43" t="inlineStr">
        <is>
          <t>午</t>
        </is>
      </c>
      <c r="CP5" s="43" t="inlineStr">
        <is>
          <t>晚</t>
        </is>
      </c>
      <c r="CQ5" s="42" t="inlineStr">
        <is>
          <t>早</t>
        </is>
      </c>
      <c r="CR5" s="43" t="inlineStr">
        <is>
          <t>午</t>
        </is>
      </c>
      <c r="CS5" s="43" t="inlineStr">
        <is>
          <t>晚</t>
        </is>
      </c>
    </row>
    <row r="6" ht="17" customHeight="1">
      <c r="A6" s="20" t="inlineStr">
        <is>
          <t>D001</t>
        </is>
      </c>
      <c r="B6" s="16" t="inlineStr">
        <is>
          <t>林智俊</t>
        </is>
      </c>
      <c r="C6" s="66" t="inlineStr">
        <is>
          <t>牙周植牙專科</t>
        </is>
      </c>
      <c r="D6" s="16" t="inlineStr">
        <is>
          <t>晶悅院長</t>
        </is>
      </c>
      <c r="E6" s="67">
        <f>IF(E$59="X","",IF(E$59&lt;&gt;"",E$59,IF(IFERROR(INDEX(醫師週班表!$C$5:$T$44,$CU6,E$57),"")=0,"",IF(MID(IFERROR(INDEX(醫師週班表!$C$5:$T$44,$CU6,E$57),""),2,1)="/",MID(IFERROR(INDEX(醫師週班表!$C$5:$T$44,$CU6,E$57),""),1+E$58*2,1),IF(MID(IFERROR(INDEX(醫師週班表!$C$5:$T$44,$CU6,E$57),""),3,1)="隔",IF(E$58=0,LEFT(IFERROR(INDEX(醫師週班表!$C$5:$T$44,$CU6,E$57),""),1),""),IF(MID(IFERROR(INDEX(醫師週班表!$C$5:$T$44,$CU6,E$57),""),2,1)="(",LEFT(IFERROR(INDEX(醫師週班表!$C$5:$T$44,$CU6,E$57),""),1),IFERROR(INDEX(醫師週班表!$C$5:$T$44,$CU6,E$57),"")))))))</f>
        <v/>
      </c>
      <c r="F6" s="68">
        <f>IF(F$59="X","",IF(F$59&lt;&gt;"",F$59,IF(IFERROR(INDEX(醫師週班表!$C$5:$T$44,$CU6,F$57),"")=0,"",IF(MID(IFERROR(INDEX(醫師週班表!$C$5:$T$44,$CU6,F$57),""),2,1)="/",MID(IFERROR(INDEX(醫師週班表!$C$5:$T$44,$CU6,F$57),""),1+F$58*2,1),IF(MID(IFERROR(INDEX(醫師週班表!$C$5:$T$44,$CU6,F$57),""),3,1)="隔",IF(F$58=0,LEFT(IFERROR(INDEX(醫師週班表!$C$5:$T$44,$CU6,F$57),""),1),""),IF(MID(IFERROR(INDEX(醫師週班表!$C$5:$T$44,$CU6,F$57),""),2,1)="(",LEFT(IFERROR(INDEX(醫師週班表!$C$5:$T$44,$CU6,F$57),""),1),IFERROR(INDEX(醫師週班表!$C$5:$T$44,$CU6,F$57),"")))))))</f>
        <v/>
      </c>
      <c r="G6" s="68">
        <f>IF(G$59="X","",IF(G$59&lt;&gt;"",G$59,IF(IFERROR(INDEX(醫師週班表!$C$5:$T$44,$CU6,G$57),"")=0,"",IF(MID(IFERROR(INDEX(醫師週班表!$C$5:$T$44,$CU6,G$57),""),2,1)="/",MID(IFERROR(INDEX(醫師週班表!$C$5:$T$44,$CU6,G$57),""),1+G$58*2,1),IF(MID(IFERROR(INDEX(醫師週班表!$C$5:$T$44,$CU6,G$57),""),3,1)="隔",IF(G$58=0,LEFT(IFERROR(INDEX(醫師週班表!$C$5:$T$44,$CU6,G$57),""),1),""),IF(MID(IFERROR(INDEX(醫師週班表!$C$5:$T$44,$CU6,G$57),""),2,1)="(",LEFT(IFERROR(INDEX(醫師週班表!$C$5:$T$44,$CU6,G$57),""),1),IFERROR(INDEX(醫師週班表!$C$5:$T$44,$CU6,G$57),"")))))))</f>
        <v/>
      </c>
      <c r="H6" s="67">
        <f>IF(H$59="X","",IF(H$59&lt;&gt;"",H$59,IF(IFERROR(INDEX(醫師週班表!$C$5:$T$44,$CU6,H$57),"")=0,"",IF(MID(IFERROR(INDEX(醫師週班表!$C$5:$T$44,$CU6,H$57),""),2,1)="/",MID(IFERROR(INDEX(醫師週班表!$C$5:$T$44,$CU6,H$57),""),1+H$58*2,1),IF(MID(IFERROR(INDEX(醫師週班表!$C$5:$T$44,$CU6,H$57),""),3,1)="隔",IF(H$58=0,LEFT(IFERROR(INDEX(醫師週班表!$C$5:$T$44,$CU6,H$57),""),1),""),IF(MID(IFERROR(INDEX(醫師週班表!$C$5:$T$44,$CU6,H$57),""),2,1)="(",LEFT(IFERROR(INDEX(醫師週班表!$C$5:$T$44,$CU6,H$57),""),1),IFERROR(INDEX(醫師週班表!$C$5:$T$44,$CU6,H$57),"")))))))</f>
        <v/>
      </c>
      <c r="I6" s="68">
        <f>IF(I$59="X","",IF(I$59&lt;&gt;"",I$59,IF(IFERROR(INDEX(醫師週班表!$C$5:$T$44,$CU6,I$57),"")=0,"",IF(MID(IFERROR(INDEX(醫師週班表!$C$5:$T$44,$CU6,I$57),""),2,1)="/",MID(IFERROR(INDEX(醫師週班表!$C$5:$T$44,$CU6,I$57),""),1+I$58*2,1),IF(MID(IFERROR(INDEX(醫師週班表!$C$5:$T$44,$CU6,I$57),""),3,1)="隔",IF(I$58=0,LEFT(IFERROR(INDEX(醫師週班表!$C$5:$T$44,$CU6,I$57),""),1),""),IF(MID(IFERROR(INDEX(醫師週班表!$C$5:$T$44,$CU6,I$57),""),2,1)="(",LEFT(IFERROR(INDEX(醫師週班表!$C$5:$T$44,$CU6,I$57),""),1),IFERROR(INDEX(醫師週班表!$C$5:$T$44,$CU6,I$57),"")))))))</f>
        <v/>
      </c>
      <c r="J6" s="68">
        <f>IF(J$59="X","",IF(J$59&lt;&gt;"",J$59,IF(IFERROR(INDEX(醫師週班表!$C$5:$T$44,$CU6,J$57),"")=0,"",IF(MID(IFERROR(INDEX(醫師週班表!$C$5:$T$44,$CU6,J$57),""),2,1)="/",MID(IFERROR(INDEX(醫師週班表!$C$5:$T$44,$CU6,J$57),""),1+J$58*2,1),IF(MID(IFERROR(INDEX(醫師週班表!$C$5:$T$44,$CU6,J$57),""),3,1)="隔",IF(J$58=0,LEFT(IFERROR(INDEX(醫師週班表!$C$5:$T$44,$CU6,J$57),""),1),""),IF(MID(IFERROR(INDEX(醫師週班表!$C$5:$T$44,$CU6,J$57),""),2,1)="(",LEFT(IFERROR(INDEX(醫師週班表!$C$5:$T$44,$CU6,J$57),""),1),IFERROR(INDEX(醫師週班表!$C$5:$T$44,$CU6,J$57),"")))))))</f>
        <v/>
      </c>
      <c r="K6" s="67">
        <f>IF(K$59="X","",IF(K$59&lt;&gt;"",K$59,IF(IFERROR(INDEX(醫師週班表!$C$5:$T$44,$CU6,K$57),"")=0,"",IF(MID(IFERROR(INDEX(醫師週班表!$C$5:$T$44,$CU6,K$57),""),2,1)="/",MID(IFERROR(INDEX(醫師週班表!$C$5:$T$44,$CU6,K$57),""),1+K$58*2,1),IF(MID(IFERROR(INDEX(醫師週班表!$C$5:$T$44,$CU6,K$57),""),3,1)="隔",IF(K$58=0,LEFT(IFERROR(INDEX(醫師週班表!$C$5:$T$44,$CU6,K$57),""),1),""),IF(MID(IFERROR(INDEX(醫師週班表!$C$5:$T$44,$CU6,K$57),""),2,1)="(",LEFT(IFERROR(INDEX(醫師週班表!$C$5:$T$44,$CU6,K$57),""),1),IFERROR(INDEX(醫師週班表!$C$5:$T$44,$CU6,K$57),"")))))))</f>
        <v/>
      </c>
      <c r="L6" s="68">
        <f>IF(L$59="X","",IF(L$59&lt;&gt;"",L$59,IF(IFERROR(INDEX(醫師週班表!$C$5:$T$44,$CU6,L$57),"")=0,"",IF(MID(IFERROR(INDEX(醫師週班表!$C$5:$T$44,$CU6,L$57),""),2,1)="/",MID(IFERROR(INDEX(醫師週班表!$C$5:$T$44,$CU6,L$57),""),1+L$58*2,1),IF(MID(IFERROR(INDEX(醫師週班表!$C$5:$T$44,$CU6,L$57),""),3,1)="隔",IF(L$58=0,LEFT(IFERROR(INDEX(醫師週班表!$C$5:$T$44,$CU6,L$57),""),1),""),IF(MID(IFERROR(INDEX(醫師週班表!$C$5:$T$44,$CU6,L$57),""),2,1)="(",LEFT(IFERROR(INDEX(醫師週班表!$C$5:$T$44,$CU6,L$57),""),1),IFERROR(INDEX(醫師週班表!$C$5:$T$44,$CU6,L$57),"")))))))</f>
        <v/>
      </c>
      <c r="M6" s="68">
        <f>IF(M$59="X","",IF(M$59&lt;&gt;"",M$59,IF(IFERROR(INDEX(醫師週班表!$C$5:$T$44,$CU6,M$57),"")=0,"",IF(MID(IFERROR(INDEX(醫師週班表!$C$5:$T$44,$CU6,M$57),""),2,1)="/",MID(IFERROR(INDEX(醫師週班表!$C$5:$T$44,$CU6,M$57),""),1+M$58*2,1),IF(MID(IFERROR(INDEX(醫師週班表!$C$5:$T$44,$CU6,M$57),""),3,1)="隔",IF(M$58=0,LEFT(IFERROR(INDEX(醫師週班表!$C$5:$T$44,$CU6,M$57),""),1),""),IF(MID(IFERROR(INDEX(醫師週班表!$C$5:$T$44,$CU6,M$57),""),2,1)="(",LEFT(IFERROR(INDEX(醫師週班表!$C$5:$T$44,$CU6,M$57),""),1),IFERROR(INDEX(醫師週班表!$C$5:$T$44,$CU6,M$57),"")))))))</f>
        <v/>
      </c>
      <c r="N6" s="67">
        <f>IF(N$59="X","",IF(N$59&lt;&gt;"",N$59,IF(IFERROR(INDEX(醫師週班表!$C$5:$T$44,$CU6,N$57),"")=0,"",IF(MID(IFERROR(INDEX(醫師週班表!$C$5:$T$44,$CU6,N$57),""),2,1)="/",MID(IFERROR(INDEX(醫師週班表!$C$5:$T$44,$CU6,N$57),""),1+N$58*2,1),IF(MID(IFERROR(INDEX(醫師週班表!$C$5:$T$44,$CU6,N$57),""),3,1)="隔",IF(N$58=0,LEFT(IFERROR(INDEX(醫師週班表!$C$5:$T$44,$CU6,N$57),""),1),""),IF(MID(IFERROR(INDEX(醫師週班表!$C$5:$T$44,$CU6,N$57),""),2,1)="(",LEFT(IFERROR(INDEX(醫師週班表!$C$5:$T$44,$CU6,N$57),""),1),IFERROR(INDEX(醫師週班表!$C$5:$T$44,$CU6,N$57),"")))))))</f>
        <v/>
      </c>
      <c r="O6" s="68">
        <f>IF(O$59="X","",IF(O$59&lt;&gt;"",O$59,IF(IFERROR(INDEX(醫師週班表!$C$5:$T$44,$CU6,O$57),"")=0,"",IF(MID(IFERROR(INDEX(醫師週班表!$C$5:$T$44,$CU6,O$57),""),2,1)="/",MID(IFERROR(INDEX(醫師週班表!$C$5:$T$44,$CU6,O$57),""),1+O$58*2,1),IF(MID(IFERROR(INDEX(醫師週班表!$C$5:$T$44,$CU6,O$57),""),3,1)="隔",IF(O$58=0,LEFT(IFERROR(INDEX(醫師週班表!$C$5:$T$44,$CU6,O$57),""),1),""),IF(MID(IFERROR(INDEX(醫師週班表!$C$5:$T$44,$CU6,O$57),""),2,1)="(",LEFT(IFERROR(INDEX(醫師週班表!$C$5:$T$44,$CU6,O$57),""),1),IFERROR(INDEX(醫師週班表!$C$5:$T$44,$CU6,O$57),"")))))))</f>
        <v/>
      </c>
      <c r="P6" s="68">
        <f>IF(P$59="X","",IF(P$59&lt;&gt;"",P$59,IF(IFERROR(INDEX(醫師週班表!$C$5:$T$44,$CU6,P$57),"")=0,"",IF(MID(IFERROR(INDEX(醫師週班表!$C$5:$T$44,$CU6,P$57),""),2,1)="/",MID(IFERROR(INDEX(醫師週班表!$C$5:$T$44,$CU6,P$57),""),1+P$58*2,1),IF(MID(IFERROR(INDEX(醫師週班表!$C$5:$T$44,$CU6,P$57),""),3,1)="隔",IF(P$58=0,LEFT(IFERROR(INDEX(醫師週班表!$C$5:$T$44,$CU6,P$57),""),1),""),IF(MID(IFERROR(INDEX(醫師週班表!$C$5:$T$44,$CU6,P$57),""),2,1)="(",LEFT(IFERROR(INDEX(醫師週班表!$C$5:$T$44,$CU6,P$57),""),1),IFERROR(INDEX(醫師週班表!$C$5:$T$44,$CU6,P$57),"")))))))</f>
        <v/>
      </c>
      <c r="Q6" s="67">
        <f>IF(Q$59="X","",IF(Q$59&lt;&gt;"",Q$59,IF(IFERROR(INDEX(醫師週班表!$C$5:$T$44,$CU6,Q$57),"")=0,"",IF(MID(IFERROR(INDEX(醫師週班表!$C$5:$T$44,$CU6,Q$57),""),2,1)="/",MID(IFERROR(INDEX(醫師週班表!$C$5:$T$44,$CU6,Q$57),""),1+Q$58*2,1),IF(MID(IFERROR(INDEX(醫師週班表!$C$5:$T$44,$CU6,Q$57),""),3,1)="隔",IF(Q$58=0,LEFT(IFERROR(INDEX(醫師週班表!$C$5:$T$44,$CU6,Q$57),""),1),""),IF(MID(IFERROR(INDEX(醫師週班表!$C$5:$T$44,$CU6,Q$57),""),2,1)="(",LEFT(IFERROR(INDEX(醫師週班表!$C$5:$T$44,$CU6,Q$57),""),1),IFERROR(INDEX(醫師週班表!$C$5:$T$44,$CU6,Q$57),"")))))))</f>
        <v/>
      </c>
      <c r="R6" s="68">
        <f>IF(R$59="X","",IF(R$59&lt;&gt;"",R$59,IF(IFERROR(INDEX(醫師週班表!$C$5:$T$44,$CU6,R$57),"")=0,"",IF(MID(IFERROR(INDEX(醫師週班表!$C$5:$T$44,$CU6,R$57),""),2,1)="/",MID(IFERROR(INDEX(醫師週班表!$C$5:$T$44,$CU6,R$57),""),1+R$58*2,1),IF(MID(IFERROR(INDEX(醫師週班表!$C$5:$T$44,$CU6,R$57),""),3,1)="隔",IF(R$58=0,LEFT(IFERROR(INDEX(醫師週班表!$C$5:$T$44,$CU6,R$57),""),1),""),IF(MID(IFERROR(INDEX(醫師週班表!$C$5:$T$44,$CU6,R$57),""),2,1)="(",LEFT(IFERROR(INDEX(醫師週班表!$C$5:$T$44,$CU6,R$57),""),1),IFERROR(INDEX(醫師週班表!$C$5:$T$44,$CU6,R$57),"")))))))</f>
        <v/>
      </c>
      <c r="S6" s="68">
        <f>IF(S$59="X","",IF(S$59&lt;&gt;"",S$59,IF(IFERROR(INDEX(醫師週班表!$C$5:$T$44,$CU6,S$57),"")=0,"",IF(MID(IFERROR(INDEX(醫師週班表!$C$5:$T$44,$CU6,S$57),""),2,1)="/",MID(IFERROR(INDEX(醫師週班表!$C$5:$T$44,$CU6,S$57),""),1+S$58*2,1),IF(MID(IFERROR(INDEX(醫師週班表!$C$5:$T$44,$CU6,S$57),""),3,1)="隔",IF(S$58=0,LEFT(IFERROR(INDEX(醫師週班表!$C$5:$T$44,$CU6,S$57),""),1),""),IF(MID(IFERROR(INDEX(醫師週班表!$C$5:$T$44,$CU6,S$57),""),2,1)="(",LEFT(IFERROR(INDEX(醫師週班表!$C$5:$T$44,$CU6,S$57),""),1),IFERROR(INDEX(醫師週班表!$C$5:$T$44,$CU6,S$57),"")))))))</f>
        <v/>
      </c>
      <c r="T6" s="67">
        <f>IF(T$59="X","",IF(T$59&lt;&gt;"",T$59,IF(IFERROR(INDEX(醫師週班表!$C$5:$T$44,$CU6,T$57),"")=0,"",IF(MID(IFERROR(INDEX(醫師週班表!$C$5:$T$44,$CU6,T$57),""),2,1)="/",MID(IFERROR(INDEX(醫師週班表!$C$5:$T$44,$CU6,T$57),""),1+T$58*2,1),IF(MID(IFERROR(INDEX(醫師週班表!$C$5:$T$44,$CU6,T$57),""),3,1)="隔",IF(T$58=0,LEFT(IFERROR(INDEX(醫師週班表!$C$5:$T$44,$CU6,T$57),""),1),""),IF(MID(IFERROR(INDEX(醫師週班表!$C$5:$T$44,$CU6,T$57),""),2,1)="(",LEFT(IFERROR(INDEX(醫師週班表!$C$5:$T$44,$CU6,T$57),""),1),IFERROR(INDEX(醫師週班表!$C$5:$T$44,$CU6,T$57),"")))))))</f>
        <v/>
      </c>
      <c r="U6" s="68">
        <f>IF(U$59="X","",IF(U$59&lt;&gt;"",U$59,IF(IFERROR(INDEX(醫師週班表!$C$5:$T$44,$CU6,U$57),"")=0,"",IF(MID(IFERROR(INDEX(醫師週班表!$C$5:$T$44,$CU6,U$57),""),2,1)="/",MID(IFERROR(INDEX(醫師週班表!$C$5:$T$44,$CU6,U$57),""),1+U$58*2,1),IF(MID(IFERROR(INDEX(醫師週班表!$C$5:$T$44,$CU6,U$57),""),3,1)="隔",IF(U$58=0,LEFT(IFERROR(INDEX(醫師週班表!$C$5:$T$44,$CU6,U$57),""),1),""),IF(MID(IFERROR(INDEX(醫師週班表!$C$5:$T$44,$CU6,U$57),""),2,1)="(",LEFT(IFERROR(INDEX(醫師週班表!$C$5:$T$44,$CU6,U$57),""),1),IFERROR(INDEX(醫師週班表!$C$5:$T$44,$CU6,U$57),"")))))))</f>
        <v/>
      </c>
      <c r="V6" s="68">
        <f>IF(V$59="X","",IF(V$59&lt;&gt;"",V$59,IF(IFERROR(INDEX(醫師週班表!$C$5:$T$44,$CU6,V$57),"")=0,"",IF(MID(IFERROR(INDEX(醫師週班表!$C$5:$T$44,$CU6,V$57),""),2,1)="/",MID(IFERROR(INDEX(醫師週班表!$C$5:$T$44,$CU6,V$57),""),1+V$58*2,1),IF(MID(IFERROR(INDEX(醫師週班表!$C$5:$T$44,$CU6,V$57),""),3,1)="隔",IF(V$58=0,LEFT(IFERROR(INDEX(醫師週班表!$C$5:$T$44,$CU6,V$57),""),1),""),IF(MID(IFERROR(INDEX(醫師週班表!$C$5:$T$44,$CU6,V$57),""),2,1)="(",LEFT(IFERROR(INDEX(醫師週班表!$C$5:$T$44,$CU6,V$57),""),1),IFERROR(INDEX(醫師週班表!$C$5:$T$44,$CU6,V$57),"")))))))</f>
        <v/>
      </c>
      <c r="W6" s="67">
        <f>IF(W$59="X","",IF(W$59&lt;&gt;"",W$59,IF(IFERROR(INDEX(醫師週班表!$C$5:$T$44,$CU6,W$57),"")=0,"",IF(MID(IFERROR(INDEX(醫師週班表!$C$5:$T$44,$CU6,W$57),""),2,1)="/",MID(IFERROR(INDEX(醫師週班表!$C$5:$T$44,$CU6,W$57),""),1+W$58*2,1),IF(MID(IFERROR(INDEX(醫師週班表!$C$5:$T$44,$CU6,W$57),""),3,1)="隔",IF(W$58=0,LEFT(IFERROR(INDEX(醫師週班表!$C$5:$T$44,$CU6,W$57),""),1),""),IF(MID(IFERROR(INDEX(醫師週班表!$C$5:$T$44,$CU6,W$57),""),2,1)="(",LEFT(IFERROR(INDEX(醫師週班表!$C$5:$T$44,$CU6,W$57),""),1),IFERROR(INDEX(醫師週班表!$C$5:$T$44,$CU6,W$57),"")))))))</f>
        <v/>
      </c>
      <c r="X6" s="68">
        <f>IF(X$59="X","",IF(X$59&lt;&gt;"",X$59,IF(IFERROR(INDEX(醫師週班表!$C$5:$T$44,$CU6,X$57),"")=0,"",IF(MID(IFERROR(INDEX(醫師週班表!$C$5:$T$44,$CU6,X$57),""),2,1)="/",MID(IFERROR(INDEX(醫師週班表!$C$5:$T$44,$CU6,X$57),""),1+X$58*2,1),IF(MID(IFERROR(INDEX(醫師週班表!$C$5:$T$44,$CU6,X$57),""),3,1)="隔",IF(X$58=0,LEFT(IFERROR(INDEX(醫師週班表!$C$5:$T$44,$CU6,X$57),""),1),""),IF(MID(IFERROR(INDEX(醫師週班表!$C$5:$T$44,$CU6,X$57),""),2,1)="(",LEFT(IFERROR(INDEX(醫師週班表!$C$5:$T$44,$CU6,X$57),""),1),IFERROR(INDEX(醫師週班表!$C$5:$T$44,$CU6,X$57),"")))))))</f>
        <v/>
      </c>
      <c r="Y6" s="68">
        <f>IF(Y$59="X","",IF(Y$59&lt;&gt;"",Y$59,IF(IFERROR(INDEX(醫師週班表!$C$5:$T$44,$CU6,Y$57),"")=0,"",IF(MID(IFERROR(INDEX(醫師週班表!$C$5:$T$44,$CU6,Y$57),""),2,1)="/",MID(IFERROR(INDEX(醫師週班表!$C$5:$T$44,$CU6,Y$57),""),1+Y$58*2,1),IF(MID(IFERROR(INDEX(醫師週班表!$C$5:$T$44,$CU6,Y$57),""),3,1)="隔",IF(Y$58=0,LEFT(IFERROR(INDEX(醫師週班表!$C$5:$T$44,$CU6,Y$57),""),1),""),IF(MID(IFERROR(INDEX(醫師週班表!$C$5:$T$44,$CU6,Y$57),""),2,1)="(",LEFT(IFERROR(INDEX(醫師週班表!$C$5:$T$44,$CU6,Y$57),""),1),IFERROR(INDEX(醫師週班表!$C$5:$T$44,$CU6,Y$57),"")))))))</f>
        <v/>
      </c>
      <c r="Z6" s="67">
        <f>IF(Z$59="X","",IF(Z$59&lt;&gt;"",Z$59,IF(IFERROR(INDEX(醫師週班表!$C$5:$T$44,$CU6,Z$57),"")=0,"",IF(MID(IFERROR(INDEX(醫師週班表!$C$5:$T$44,$CU6,Z$57),""),2,1)="/",MID(IFERROR(INDEX(醫師週班表!$C$5:$T$44,$CU6,Z$57),""),1+Z$58*2,1),IF(MID(IFERROR(INDEX(醫師週班表!$C$5:$T$44,$CU6,Z$57),""),3,1)="隔",IF(Z$58=0,LEFT(IFERROR(INDEX(醫師週班表!$C$5:$T$44,$CU6,Z$57),""),1),""),IF(MID(IFERROR(INDEX(醫師週班表!$C$5:$T$44,$CU6,Z$57),""),2,1)="(",LEFT(IFERROR(INDEX(醫師週班表!$C$5:$T$44,$CU6,Z$57),""),1),IFERROR(INDEX(醫師週班表!$C$5:$T$44,$CU6,Z$57),"")))))))</f>
        <v/>
      </c>
      <c r="AA6" s="68">
        <f>IF(AA$59="X","",IF(AA$59&lt;&gt;"",AA$59,IF(IFERROR(INDEX(醫師週班表!$C$5:$T$44,$CU6,AA$57),"")=0,"",IF(MID(IFERROR(INDEX(醫師週班表!$C$5:$T$44,$CU6,AA$57),""),2,1)="/",MID(IFERROR(INDEX(醫師週班表!$C$5:$T$44,$CU6,AA$57),""),1+AA$58*2,1),IF(MID(IFERROR(INDEX(醫師週班表!$C$5:$T$44,$CU6,AA$57),""),3,1)="隔",IF(AA$58=0,LEFT(IFERROR(INDEX(醫師週班表!$C$5:$T$44,$CU6,AA$57),""),1),""),IF(MID(IFERROR(INDEX(醫師週班表!$C$5:$T$44,$CU6,AA$57),""),2,1)="(",LEFT(IFERROR(INDEX(醫師週班表!$C$5:$T$44,$CU6,AA$57),""),1),IFERROR(INDEX(醫師週班表!$C$5:$T$44,$CU6,AA$57),"")))))))</f>
        <v/>
      </c>
      <c r="AB6" s="68">
        <f>IF(AB$59="X","",IF(AB$59&lt;&gt;"",AB$59,IF(IFERROR(INDEX(醫師週班表!$C$5:$T$44,$CU6,AB$57),"")=0,"",IF(MID(IFERROR(INDEX(醫師週班表!$C$5:$T$44,$CU6,AB$57),""),2,1)="/",MID(IFERROR(INDEX(醫師週班表!$C$5:$T$44,$CU6,AB$57),""),1+AB$58*2,1),IF(MID(IFERROR(INDEX(醫師週班表!$C$5:$T$44,$CU6,AB$57),""),3,1)="隔",IF(AB$58=0,LEFT(IFERROR(INDEX(醫師週班表!$C$5:$T$44,$CU6,AB$57),""),1),""),IF(MID(IFERROR(INDEX(醫師週班表!$C$5:$T$44,$CU6,AB$57),""),2,1)="(",LEFT(IFERROR(INDEX(醫師週班表!$C$5:$T$44,$CU6,AB$57),""),1),IFERROR(INDEX(醫師週班表!$C$5:$T$44,$CU6,AB$57),"")))))))</f>
        <v/>
      </c>
      <c r="AC6" s="67">
        <f>IF(AC$59="X","",IF(AC$59&lt;&gt;"",AC$59,IF(IFERROR(INDEX(醫師週班表!$C$5:$T$44,$CU6,AC$57),"")=0,"",IF(MID(IFERROR(INDEX(醫師週班表!$C$5:$T$44,$CU6,AC$57),""),2,1)="/",MID(IFERROR(INDEX(醫師週班表!$C$5:$T$44,$CU6,AC$57),""),1+AC$58*2,1),IF(MID(IFERROR(INDEX(醫師週班表!$C$5:$T$44,$CU6,AC$57),""),3,1)="隔",IF(AC$58=0,LEFT(IFERROR(INDEX(醫師週班表!$C$5:$T$44,$CU6,AC$57),""),1),""),IF(MID(IFERROR(INDEX(醫師週班表!$C$5:$T$44,$CU6,AC$57),""),2,1)="(",LEFT(IFERROR(INDEX(醫師週班表!$C$5:$T$44,$CU6,AC$57),""),1),IFERROR(INDEX(醫師週班表!$C$5:$T$44,$CU6,AC$57),"")))))))</f>
        <v/>
      </c>
      <c r="AD6" s="68">
        <f>IF(AD$59="X","",IF(AD$59&lt;&gt;"",AD$59,IF(IFERROR(INDEX(醫師週班表!$C$5:$T$44,$CU6,AD$57),"")=0,"",IF(MID(IFERROR(INDEX(醫師週班表!$C$5:$T$44,$CU6,AD$57),""),2,1)="/",MID(IFERROR(INDEX(醫師週班表!$C$5:$T$44,$CU6,AD$57),""),1+AD$58*2,1),IF(MID(IFERROR(INDEX(醫師週班表!$C$5:$T$44,$CU6,AD$57),""),3,1)="隔",IF(AD$58=0,LEFT(IFERROR(INDEX(醫師週班表!$C$5:$T$44,$CU6,AD$57),""),1),""),IF(MID(IFERROR(INDEX(醫師週班表!$C$5:$T$44,$CU6,AD$57),""),2,1)="(",LEFT(IFERROR(INDEX(醫師週班表!$C$5:$T$44,$CU6,AD$57),""),1),IFERROR(INDEX(醫師週班表!$C$5:$T$44,$CU6,AD$57),"")))))))</f>
        <v/>
      </c>
      <c r="AE6" s="68">
        <f>IF(AE$59="X","",IF(AE$59&lt;&gt;"",AE$59,IF(IFERROR(INDEX(醫師週班表!$C$5:$T$44,$CU6,AE$57),"")=0,"",IF(MID(IFERROR(INDEX(醫師週班表!$C$5:$T$44,$CU6,AE$57),""),2,1)="/",MID(IFERROR(INDEX(醫師週班表!$C$5:$T$44,$CU6,AE$57),""),1+AE$58*2,1),IF(MID(IFERROR(INDEX(醫師週班表!$C$5:$T$44,$CU6,AE$57),""),3,1)="隔",IF(AE$58=0,LEFT(IFERROR(INDEX(醫師週班表!$C$5:$T$44,$CU6,AE$57),""),1),""),IF(MID(IFERROR(INDEX(醫師週班表!$C$5:$T$44,$CU6,AE$57),""),2,1)="(",LEFT(IFERROR(INDEX(醫師週班表!$C$5:$T$44,$CU6,AE$57),""),1),IFERROR(INDEX(醫師週班表!$C$5:$T$44,$CU6,AE$57),"")))))))</f>
        <v/>
      </c>
      <c r="AF6" s="67">
        <f>IF(AF$59="X","",IF(AF$59&lt;&gt;"",AF$59,IF(IFERROR(INDEX(醫師週班表!$C$5:$T$44,$CU6,AF$57),"")=0,"",IF(MID(IFERROR(INDEX(醫師週班表!$C$5:$T$44,$CU6,AF$57),""),2,1)="/",MID(IFERROR(INDEX(醫師週班表!$C$5:$T$44,$CU6,AF$57),""),1+AF$58*2,1),IF(MID(IFERROR(INDEX(醫師週班表!$C$5:$T$44,$CU6,AF$57),""),3,1)="隔",IF(AF$58=0,LEFT(IFERROR(INDEX(醫師週班表!$C$5:$T$44,$CU6,AF$57),""),1),""),IF(MID(IFERROR(INDEX(醫師週班表!$C$5:$T$44,$CU6,AF$57),""),2,1)="(",LEFT(IFERROR(INDEX(醫師週班表!$C$5:$T$44,$CU6,AF$57),""),1),IFERROR(INDEX(醫師週班表!$C$5:$T$44,$CU6,AF$57),"")))))))</f>
        <v/>
      </c>
      <c r="AG6" s="68">
        <f>IF(AG$59="X","",IF(AG$59&lt;&gt;"",AG$59,IF(IFERROR(INDEX(醫師週班表!$C$5:$T$44,$CU6,AG$57),"")=0,"",IF(MID(IFERROR(INDEX(醫師週班表!$C$5:$T$44,$CU6,AG$57),""),2,1)="/",MID(IFERROR(INDEX(醫師週班表!$C$5:$T$44,$CU6,AG$57),""),1+AG$58*2,1),IF(MID(IFERROR(INDEX(醫師週班表!$C$5:$T$44,$CU6,AG$57),""),3,1)="隔",IF(AG$58=0,LEFT(IFERROR(INDEX(醫師週班表!$C$5:$T$44,$CU6,AG$57),""),1),""),IF(MID(IFERROR(INDEX(醫師週班表!$C$5:$T$44,$CU6,AG$57),""),2,1)="(",LEFT(IFERROR(INDEX(醫師週班表!$C$5:$T$44,$CU6,AG$57),""),1),IFERROR(INDEX(醫師週班表!$C$5:$T$44,$CU6,AG$57),"")))))))</f>
        <v/>
      </c>
      <c r="AH6" s="68">
        <f>IF(AH$59="X","",IF(AH$59&lt;&gt;"",AH$59,IF(IFERROR(INDEX(醫師週班表!$C$5:$T$44,$CU6,AH$57),"")=0,"",IF(MID(IFERROR(INDEX(醫師週班表!$C$5:$T$44,$CU6,AH$57),""),2,1)="/",MID(IFERROR(INDEX(醫師週班表!$C$5:$T$44,$CU6,AH$57),""),1+AH$58*2,1),IF(MID(IFERROR(INDEX(醫師週班表!$C$5:$T$44,$CU6,AH$57),""),3,1)="隔",IF(AH$58=0,LEFT(IFERROR(INDEX(醫師週班表!$C$5:$T$44,$CU6,AH$57),""),1),""),IF(MID(IFERROR(INDEX(醫師週班表!$C$5:$T$44,$CU6,AH$57),""),2,1)="(",LEFT(IFERROR(INDEX(醫師週班表!$C$5:$T$44,$CU6,AH$57),""),1),IFERROR(INDEX(醫師週班表!$C$5:$T$44,$CU6,AH$57),"")))))))</f>
        <v/>
      </c>
      <c r="AI6" s="67">
        <f>IF(AI$59="X","",IF(AI$59&lt;&gt;"",AI$59,IF(IFERROR(INDEX(醫師週班表!$C$5:$T$44,$CU6,AI$57),"")=0,"",IF(MID(IFERROR(INDEX(醫師週班表!$C$5:$T$44,$CU6,AI$57),""),2,1)="/",MID(IFERROR(INDEX(醫師週班表!$C$5:$T$44,$CU6,AI$57),""),1+AI$58*2,1),IF(MID(IFERROR(INDEX(醫師週班表!$C$5:$T$44,$CU6,AI$57),""),3,1)="隔",IF(AI$58=0,LEFT(IFERROR(INDEX(醫師週班表!$C$5:$T$44,$CU6,AI$57),""),1),""),IF(MID(IFERROR(INDEX(醫師週班表!$C$5:$T$44,$CU6,AI$57),""),2,1)="(",LEFT(IFERROR(INDEX(醫師週班表!$C$5:$T$44,$CU6,AI$57),""),1),IFERROR(INDEX(醫師週班表!$C$5:$T$44,$CU6,AI$57),"")))))))</f>
        <v/>
      </c>
      <c r="AJ6" s="68">
        <f>IF(AJ$59="X","",IF(AJ$59&lt;&gt;"",AJ$59,IF(IFERROR(INDEX(醫師週班表!$C$5:$T$44,$CU6,AJ$57),"")=0,"",IF(MID(IFERROR(INDEX(醫師週班表!$C$5:$T$44,$CU6,AJ$57),""),2,1)="/",MID(IFERROR(INDEX(醫師週班表!$C$5:$T$44,$CU6,AJ$57),""),1+AJ$58*2,1),IF(MID(IFERROR(INDEX(醫師週班表!$C$5:$T$44,$CU6,AJ$57),""),3,1)="隔",IF(AJ$58=0,LEFT(IFERROR(INDEX(醫師週班表!$C$5:$T$44,$CU6,AJ$57),""),1),""),IF(MID(IFERROR(INDEX(醫師週班表!$C$5:$T$44,$CU6,AJ$57),""),2,1)="(",LEFT(IFERROR(INDEX(醫師週班表!$C$5:$T$44,$CU6,AJ$57),""),1),IFERROR(INDEX(醫師週班表!$C$5:$T$44,$CU6,AJ$57),"")))))))</f>
        <v/>
      </c>
      <c r="AK6" s="68">
        <f>IF(AK$59="X","",IF(AK$59&lt;&gt;"",AK$59,IF(IFERROR(INDEX(醫師週班表!$C$5:$T$44,$CU6,AK$57),"")=0,"",IF(MID(IFERROR(INDEX(醫師週班表!$C$5:$T$44,$CU6,AK$57),""),2,1)="/",MID(IFERROR(INDEX(醫師週班表!$C$5:$T$44,$CU6,AK$57),""),1+AK$58*2,1),IF(MID(IFERROR(INDEX(醫師週班表!$C$5:$T$44,$CU6,AK$57),""),3,1)="隔",IF(AK$58=0,LEFT(IFERROR(INDEX(醫師週班表!$C$5:$T$44,$CU6,AK$57),""),1),""),IF(MID(IFERROR(INDEX(醫師週班表!$C$5:$T$44,$CU6,AK$57),""),2,1)="(",LEFT(IFERROR(INDEX(醫師週班表!$C$5:$T$44,$CU6,AK$57),""),1),IFERROR(INDEX(醫師週班表!$C$5:$T$44,$CU6,AK$57),"")))))))</f>
        <v/>
      </c>
      <c r="AL6" s="67">
        <f>IF(AL$59="X","",IF(AL$59&lt;&gt;"",AL$59,IF(IFERROR(INDEX(醫師週班表!$C$5:$T$44,$CU6,AL$57),"")=0,"",IF(MID(IFERROR(INDEX(醫師週班表!$C$5:$T$44,$CU6,AL$57),""),2,1)="/",MID(IFERROR(INDEX(醫師週班表!$C$5:$T$44,$CU6,AL$57),""),1+AL$58*2,1),IF(MID(IFERROR(INDEX(醫師週班表!$C$5:$T$44,$CU6,AL$57),""),3,1)="隔",IF(AL$58=0,LEFT(IFERROR(INDEX(醫師週班表!$C$5:$T$44,$CU6,AL$57),""),1),""),IF(MID(IFERROR(INDEX(醫師週班表!$C$5:$T$44,$CU6,AL$57),""),2,1)="(",LEFT(IFERROR(INDEX(醫師週班表!$C$5:$T$44,$CU6,AL$57),""),1),IFERROR(INDEX(醫師週班表!$C$5:$T$44,$CU6,AL$57),"")))))))</f>
        <v/>
      </c>
      <c r="AM6" s="68">
        <f>IF(AM$59="X","",IF(AM$59&lt;&gt;"",AM$59,IF(IFERROR(INDEX(醫師週班表!$C$5:$T$44,$CU6,AM$57),"")=0,"",IF(MID(IFERROR(INDEX(醫師週班表!$C$5:$T$44,$CU6,AM$57),""),2,1)="/",MID(IFERROR(INDEX(醫師週班表!$C$5:$T$44,$CU6,AM$57),""),1+AM$58*2,1),IF(MID(IFERROR(INDEX(醫師週班表!$C$5:$T$44,$CU6,AM$57),""),3,1)="隔",IF(AM$58=0,LEFT(IFERROR(INDEX(醫師週班表!$C$5:$T$44,$CU6,AM$57),""),1),""),IF(MID(IFERROR(INDEX(醫師週班表!$C$5:$T$44,$CU6,AM$57),""),2,1)="(",LEFT(IFERROR(INDEX(醫師週班表!$C$5:$T$44,$CU6,AM$57),""),1),IFERROR(INDEX(醫師週班表!$C$5:$T$44,$CU6,AM$57),"")))))))</f>
        <v/>
      </c>
      <c r="AN6" s="68">
        <f>IF(AN$59="X","",IF(AN$59&lt;&gt;"",AN$59,IF(IFERROR(INDEX(醫師週班表!$C$5:$T$44,$CU6,AN$57),"")=0,"",IF(MID(IFERROR(INDEX(醫師週班表!$C$5:$T$44,$CU6,AN$57),""),2,1)="/",MID(IFERROR(INDEX(醫師週班表!$C$5:$T$44,$CU6,AN$57),""),1+AN$58*2,1),IF(MID(IFERROR(INDEX(醫師週班表!$C$5:$T$44,$CU6,AN$57),""),3,1)="隔",IF(AN$58=0,LEFT(IFERROR(INDEX(醫師週班表!$C$5:$T$44,$CU6,AN$57),""),1),""),IF(MID(IFERROR(INDEX(醫師週班表!$C$5:$T$44,$CU6,AN$57),""),2,1)="(",LEFT(IFERROR(INDEX(醫師週班表!$C$5:$T$44,$CU6,AN$57),""),1),IFERROR(INDEX(醫師週班表!$C$5:$T$44,$CU6,AN$57),"")))))))</f>
        <v/>
      </c>
      <c r="AO6" s="67">
        <f>IF(AO$59="X","",IF(AO$59&lt;&gt;"",AO$59,IF(IFERROR(INDEX(醫師週班表!$C$5:$T$44,$CU6,AO$57),"")=0,"",IF(MID(IFERROR(INDEX(醫師週班表!$C$5:$T$44,$CU6,AO$57),""),2,1)="/",MID(IFERROR(INDEX(醫師週班表!$C$5:$T$44,$CU6,AO$57),""),1+AO$58*2,1),IF(MID(IFERROR(INDEX(醫師週班表!$C$5:$T$44,$CU6,AO$57),""),3,1)="隔",IF(AO$58=0,LEFT(IFERROR(INDEX(醫師週班表!$C$5:$T$44,$CU6,AO$57),""),1),""),IF(MID(IFERROR(INDEX(醫師週班表!$C$5:$T$44,$CU6,AO$57),""),2,1)="(",LEFT(IFERROR(INDEX(醫師週班表!$C$5:$T$44,$CU6,AO$57),""),1),IFERROR(INDEX(醫師週班表!$C$5:$T$44,$CU6,AO$57),"")))))))</f>
        <v/>
      </c>
      <c r="AP6" s="68">
        <f>IF(AP$59="X","",IF(AP$59&lt;&gt;"",AP$59,IF(IFERROR(INDEX(醫師週班表!$C$5:$T$44,$CU6,AP$57),"")=0,"",IF(MID(IFERROR(INDEX(醫師週班表!$C$5:$T$44,$CU6,AP$57),""),2,1)="/",MID(IFERROR(INDEX(醫師週班表!$C$5:$T$44,$CU6,AP$57),""),1+AP$58*2,1),IF(MID(IFERROR(INDEX(醫師週班表!$C$5:$T$44,$CU6,AP$57),""),3,1)="隔",IF(AP$58=0,LEFT(IFERROR(INDEX(醫師週班表!$C$5:$T$44,$CU6,AP$57),""),1),""),IF(MID(IFERROR(INDEX(醫師週班表!$C$5:$T$44,$CU6,AP$57),""),2,1)="(",LEFT(IFERROR(INDEX(醫師週班表!$C$5:$T$44,$CU6,AP$57),""),1),IFERROR(INDEX(醫師週班表!$C$5:$T$44,$CU6,AP$57),"")))))))</f>
        <v/>
      </c>
      <c r="AQ6" s="68">
        <f>IF(AQ$59="X","",IF(AQ$59&lt;&gt;"",AQ$59,IF(IFERROR(INDEX(醫師週班表!$C$5:$T$44,$CU6,AQ$57),"")=0,"",IF(MID(IFERROR(INDEX(醫師週班表!$C$5:$T$44,$CU6,AQ$57),""),2,1)="/",MID(IFERROR(INDEX(醫師週班表!$C$5:$T$44,$CU6,AQ$57),""),1+AQ$58*2,1),IF(MID(IFERROR(INDEX(醫師週班表!$C$5:$T$44,$CU6,AQ$57),""),3,1)="隔",IF(AQ$58=0,LEFT(IFERROR(INDEX(醫師週班表!$C$5:$T$44,$CU6,AQ$57),""),1),""),IF(MID(IFERROR(INDEX(醫師週班表!$C$5:$T$44,$CU6,AQ$57),""),2,1)="(",LEFT(IFERROR(INDEX(醫師週班表!$C$5:$T$44,$CU6,AQ$57),""),1),IFERROR(INDEX(醫師週班表!$C$5:$T$44,$CU6,AQ$57),"")))))))</f>
        <v/>
      </c>
      <c r="AR6" s="67">
        <f>IF(AR$59="X","",IF(AR$59&lt;&gt;"",AR$59,IF(IFERROR(INDEX(醫師週班表!$C$5:$T$44,$CU6,AR$57),"")=0,"",IF(MID(IFERROR(INDEX(醫師週班表!$C$5:$T$44,$CU6,AR$57),""),2,1)="/",MID(IFERROR(INDEX(醫師週班表!$C$5:$T$44,$CU6,AR$57),""),1+AR$58*2,1),IF(MID(IFERROR(INDEX(醫師週班表!$C$5:$T$44,$CU6,AR$57),""),3,1)="隔",IF(AR$58=0,LEFT(IFERROR(INDEX(醫師週班表!$C$5:$T$44,$CU6,AR$57),""),1),""),IF(MID(IFERROR(INDEX(醫師週班表!$C$5:$T$44,$CU6,AR$57),""),2,1)="(",LEFT(IFERROR(INDEX(醫師週班表!$C$5:$T$44,$CU6,AR$57),""),1),IFERROR(INDEX(醫師週班表!$C$5:$T$44,$CU6,AR$57),"")))))))</f>
        <v/>
      </c>
      <c r="AS6" s="68">
        <f>IF(AS$59="X","",IF(AS$59&lt;&gt;"",AS$59,IF(IFERROR(INDEX(醫師週班表!$C$5:$T$44,$CU6,AS$57),"")=0,"",IF(MID(IFERROR(INDEX(醫師週班表!$C$5:$T$44,$CU6,AS$57),""),2,1)="/",MID(IFERROR(INDEX(醫師週班表!$C$5:$T$44,$CU6,AS$57),""),1+AS$58*2,1),IF(MID(IFERROR(INDEX(醫師週班表!$C$5:$T$44,$CU6,AS$57),""),3,1)="隔",IF(AS$58=0,LEFT(IFERROR(INDEX(醫師週班表!$C$5:$T$44,$CU6,AS$57),""),1),""),IF(MID(IFERROR(INDEX(醫師週班表!$C$5:$T$44,$CU6,AS$57),""),2,1)="(",LEFT(IFERROR(INDEX(醫師週班表!$C$5:$T$44,$CU6,AS$57),""),1),IFERROR(INDEX(醫師週班表!$C$5:$T$44,$CU6,AS$57),"")))))))</f>
        <v/>
      </c>
      <c r="AT6" s="68">
        <f>IF(AT$59="X","",IF(AT$59&lt;&gt;"",AT$59,IF(IFERROR(INDEX(醫師週班表!$C$5:$T$44,$CU6,AT$57),"")=0,"",IF(MID(IFERROR(INDEX(醫師週班表!$C$5:$T$44,$CU6,AT$57),""),2,1)="/",MID(IFERROR(INDEX(醫師週班表!$C$5:$T$44,$CU6,AT$57),""),1+AT$58*2,1),IF(MID(IFERROR(INDEX(醫師週班表!$C$5:$T$44,$CU6,AT$57),""),3,1)="隔",IF(AT$58=0,LEFT(IFERROR(INDEX(醫師週班表!$C$5:$T$44,$CU6,AT$57),""),1),""),IF(MID(IFERROR(INDEX(醫師週班表!$C$5:$T$44,$CU6,AT$57),""),2,1)="(",LEFT(IFERROR(INDEX(醫師週班表!$C$5:$T$44,$CU6,AT$57),""),1),IFERROR(INDEX(醫師週班表!$C$5:$T$44,$CU6,AT$57),"")))))))</f>
        <v/>
      </c>
      <c r="AU6" s="67">
        <f>IF(AU$59="X","",IF(AU$59&lt;&gt;"",AU$59,IF(IFERROR(INDEX(醫師週班表!$C$5:$T$44,$CU6,AU$57),"")=0,"",IF(MID(IFERROR(INDEX(醫師週班表!$C$5:$T$44,$CU6,AU$57),""),2,1)="/",MID(IFERROR(INDEX(醫師週班表!$C$5:$T$44,$CU6,AU$57),""),1+AU$58*2,1),IF(MID(IFERROR(INDEX(醫師週班表!$C$5:$T$44,$CU6,AU$57),""),3,1)="隔",IF(AU$58=0,LEFT(IFERROR(INDEX(醫師週班表!$C$5:$T$44,$CU6,AU$57),""),1),""),IF(MID(IFERROR(INDEX(醫師週班表!$C$5:$T$44,$CU6,AU$57),""),2,1)="(",LEFT(IFERROR(INDEX(醫師週班表!$C$5:$T$44,$CU6,AU$57),""),1),IFERROR(INDEX(醫師週班表!$C$5:$T$44,$CU6,AU$57),"")))))))</f>
        <v/>
      </c>
      <c r="AV6" s="68">
        <f>IF(AV$59="X","",IF(AV$59&lt;&gt;"",AV$59,IF(IFERROR(INDEX(醫師週班表!$C$5:$T$44,$CU6,AV$57),"")=0,"",IF(MID(IFERROR(INDEX(醫師週班表!$C$5:$T$44,$CU6,AV$57),""),2,1)="/",MID(IFERROR(INDEX(醫師週班表!$C$5:$T$44,$CU6,AV$57),""),1+AV$58*2,1),IF(MID(IFERROR(INDEX(醫師週班表!$C$5:$T$44,$CU6,AV$57),""),3,1)="隔",IF(AV$58=0,LEFT(IFERROR(INDEX(醫師週班表!$C$5:$T$44,$CU6,AV$57),""),1),""),IF(MID(IFERROR(INDEX(醫師週班表!$C$5:$T$44,$CU6,AV$57),""),2,1)="(",LEFT(IFERROR(INDEX(醫師週班表!$C$5:$T$44,$CU6,AV$57),""),1),IFERROR(INDEX(醫師週班表!$C$5:$T$44,$CU6,AV$57),"")))))))</f>
        <v/>
      </c>
      <c r="AW6" s="68">
        <f>IF(AW$59="X","",IF(AW$59&lt;&gt;"",AW$59,IF(IFERROR(INDEX(醫師週班表!$C$5:$T$44,$CU6,AW$57),"")=0,"",IF(MID(IFERROR(INDEX(醫師週班表!$C$5:$T$44,$CU6,AW$57),""),2,1)="/",MID(IFERROR(INDEX(醫師週班表!$C$5:$T$44,$CU6,AW$57),""),1+AW$58*2,1),IF(MID(IFERROR(INDEX(醫師週班表!$C$5:$T$44,$CU6,AW$57),""),3,1)="隔",IF(AW$58=0,LEFT(IFERROR(INDEX(醫師週班表!$C$5:$T$44,$CU6,AW$57),""),1),""),IF(MID(IFERROR(INDEX(醫師週班表!$C$5:$T$44,$CU6,AW$57),""),2,1)="(",LEFT(IFERROR(INDEX(醫師週班表!$C$5:$T$44,$CU6,AW$57),""),1),IFERROR(INDEX(醫師週班表!$C$5:$T$44,$CU6,AW$57),"")))))))</f>
        <v/>
      </c>
      <c r="AX6" s="67">
        <f>IF(AX$59="X","",IF(AX$59&lt;&gt;"",AX$59,IF(IFERROR(INDEX(醫師週班表!$C$5:$T$44,$CU6,AX$57),"")=0,"",IF(MID(IFERROR(INDEX(醫師週班表!$C$5:$T$44,$CU6,AX$57),""),2,1)="/",MID(IFERROR(INDEX(醫師週班表!$C$5:$T$44,$CU6,AX$57),""),1+AX$58*2,1),IF(MID(IFERROR(INDEX(醫師週班表!$C$5:$T$44,$CU6,AX$57),""),3,1)="隔",IF(AX$58=0,LEFT(IFERROR(INDEX(醫師週班表!$C$5:$T$44,$CU6,AX$57),""),1),""),IF(MID(IFERROR(INDEX(醫師週班表!$C$5:$T$44,$CU6,AX$57),""),2,1)="(",LEFT(IFERROR(INDEX(醫師週班表!$C$5:$T$44,$CU6,AX$57),""),1),IFERROR(INDEX(醫師週班表!$C$5:$T$44,$CU6,AX$57),"")))))))</f>
        <v/>
      </c>
      <c r="AY6" s="68">
        <f>IF(AY$59="X","",IF(AY$59&lt;&gt;"",AY$59,IF(IFERROR(INDEX(醫師週班表!$C$5:$T$44,$CU6,AY$57),"")=0,"",IF(MID(IFERROR(INDEX(醫師週班表!$C$5:$T$44,$CU6,AY$57),""),2,1)="/",MID(IFERROR(INDEX(醫師週班表!$C$5:$T$44,$CU6,AY$57),""),1+AY$58*2,1),IF(MID(IFERROR(INDEX(醫師週班表!$C$5:$T$44,$CU6,AY$57),""),3,1)="隔",IF(AY$58=0,LEFT(IFERROR(INDEX(醫師週班表!$C$5:$T$44,$CU6,AY$57),""),1),""),IF(MID(IFERROR(INDEX(醫師週班表!$C$5:$T$44,$CU6,AY$57),""),2,1)="(",LEFT(IFERROR(INDEX(醫師週班表!$C$5:$T$44,$CU6,AY$57),""),1),IFERROR(INDEX(醫師週班表!$C$5:$T$44,$CU6,AY$57),"")))))))</f>
        <v/>
      </c>
      <c r="AZ6" s="68">
        <f>IF(AZ$59="X","",IF(AZ$59&lt;&gt;"",AZ$59,IF(IFERROR(INDEX(醫師週班表!$C$5:$T$44,$CU6,AZ$57),"")=0,"",IF(MID(IFERROR(INDEX(醫師週班表!$C$5:$T$44,$CU6,AZ$57),""),2,1)="/",MID(IFERROR(INDEX(醫師週班表!$C$5:$T$44,$CU6,AZ$57),""),1+AZ$58*2,1),IF(MID(IFERROR(INDEX(醫師週班表!$C$5:$T$44,$CU6,AZ$57),""),3,1)="隔",IF(AZ$58=0,LEFT(IFERROR(INDEX(醫師週班表!$C$5:$T$44,$CU6,AZ$57),""),1),""),IF(MID(IFERROR(INDEX(醫師週班表!$C$5:$T$44,$CU6,AZ$57),""),2,1)="(",LEFT(IFERROR(INDEX(醫師週班表!$C$5:$T$44,$CU6,AZ$57),""),1),IFERROR(INDEX(醫師週班表!$C$5:$T$44,$CU6,AZ$57),"")))))))</f>
        <v/>
      </c>
      <c r="BA6" s="67">
        <f>IF(BA$59="X","",IF(BA$59&lt;&gt;"",BA$59,IF(IFERROR(INDEX(醫師週班表!$C$5:$T$44,$CU6,BA$57),"")=0,"",IF(MID(IFERROR(INDEX(醫師週班表!$C$5:$T$44,$CU6,BA$57),""),2,1)="/",MID(IFERROR(INDEX(醫師週班表!$C$5:$T$44,$CU6,BA$57),""),1+BA$58*2,1),IF(MID(IFERROR(INDEX(醫師週班表!$C$5:$T$44,$CU6,BA$57),""),3,1)="隔",IF(BA$58=0,LEFT(IFERROR(INDEX(醫師週班表!$C$5:$T$44,$CU6,BA$57),""),1),""),IF(MID(IFERROR(INDEX(醫師週班表!$C$5:$T$44,$CU6,BA$57),""),2,1)="(",LEFT(IFERROR(INDEX(醫師週班表!$C$5:$T$44,$CU6,BA$57),""),1),IFERROR(INDEX(醫師週班表!$C$5:$T$44,$CU6,BA$57),"")))))))</f>
        <v/>
      </c>
      <c r="BB6" s="68">
        <f>IF(BB$59="X","",IF(BB$59&lt;&gt;"",BB$59,IF(IFERROR(INDEX(醫師週班表!$C$5:$T$44,$CU6,BB$57),"")=0,"",IF(MID(IFERROR(INDEX(醫師週班表!$C$5:$T$44,$CU6,BB$57),""),2,1)="/",MID(IFERROR(INDEX(醫師週班表!$C$5:$T$44,$CU6,BB$57),""),1+BB$58*2,1),IF(MID(IFERROR(INDEX(醫師週班表!$C$5:$T$44,$CU6,BB$57),""),3,1)="隔",IF(BB$58=0,LEFT(IFERROR(INDEX(醫師週班表!$C$5:$T$44,$CU6,BB$57),""),1),""),IF(MID(IFERROR(INDEX(醫師週班表!$C$5:$T$44,$CU6,BB$57),""),2,1)="(",LEFT(IFERROR(INDEX(醫師週班表!$C$5:$T$44,$CU6,BB$57),""),1),IFERROR(INDEX(醫師週班表!$C$5:$T$44,$CU6,BB$57),"")))))))</f>
        <v/>
      </c>
      <c r="BC6" s="68">
        <f>IF(BC$59="X","",IF(BC$59&lt;&gt;"",BC$59,IF(IFERROR(INDEX(醫師週班表!$C$5:$T$44,$CU6,BC$57),"")=0,"",IF(MID(IFERROR(INDEX(醫師週班表!$C$5:$T$44,$CU6,BC$57),""),2,1)="/",MID(IFERROR(INDEX(醫師週班表!$C$5:$T$44,$CU6,BC$57),""),1+BC$58*2,1),IF(MID(IFERROR(INDEX(醫師週班表!$C$5:$T$44,$CU6,BC$57),""),3,1)="隔",IF(BC$58=0,LEFT(IFERROR(INDEX(醫師週班表!$C$5:$T$44,$CU6,BC$57),""),1),""),IF(MID(IFERROR(INDEX(醫師週班表!$C$5:$T$44,$CU6,BC$57),""),2,1)="(",LEFT(IFERROR(INDEX(醫師週班表!$C$5:$T$44,$CU6,BC$57),""),1),IFERROR(INDEX(醫師週班表!$C$5:$T$44,$CU6,BC$57),"")))))))</f>
        <v/>
      </c>
      <c r="BD6" s="67">
        <f>IF(BD$59="X","",IF(BD$59&lt;&gt;"",BD$59,IF(IFERROR(INDEX(醫師週班表!$C$5:$T$44,$CU6,BD$57),"")=0,"",IF(MID(IFERROR(INDEX(醫師週班表!$C$5:$T$44,$CU6,BD$57),""),2,1)="/",MID(IFERROR(INDEX(醫師週班表!$C$5:$T$44,$CU6,BD$57),""),1+BD$58*2,1),IF(MID(IFERROR(INDEX(醫師週班表!$C$5:$T$44,$CU6,BD$57),""),3,1)="隔",IF(BD$58=0,LEFT(IFERROR(INDEX(醫師週班表!$C$5:$T$44,$CU6,BD$57),""),1),""),IF(MID(IFERROR(INDEX(醫師週班表!$C$5:$T$44,$CU6,BD$57),""),2,1)="(",LEFT(IFERROR(INDEX(醫師週班表!$C$5:$T$44,$CU6,BD$57),""),1),IFERROR(INDEX(醫師週班表!$C$5:$T$44,$CU6,BD$57),"")))))))</f>
        <v/>
      </c>
      <c r="BE6" s="68">
        <f>IF(BE$59="X","",IF(BE$59&lt;&gt;"",BE$59,IF(IFERROR(INDEX(醫師週班表!$C$5:$T$44,$CU6,BE$57),"")=0,"",IF(MID(IFERROR(INDEX(醫師週班表!$C$5:$T$44,$CU6,BE$57),""),2,1)="/",MID(IFERROR(INDEX(醫師週班表!$C$5:$T$44,$CU6,BE$57),""),1+BE$58*2,1),IF(MID(IFERROR(INDEX(醫師週班表!$C$5:$T$44,$CU6,BE$57),""),3,1)="隔",IF(BE$58=0,LEFT(IFERROR(INDEX(醫師週班表!$C$5:$T$44,$CU6,BE$57),""),1),""),IF(MID(IFERROR(INDEX(醫師週班表!$C$5:$T$44,$CU6,BE$57),""),2,1)="(",LEFT(IFERROR(INDEX(醫師週班表!$C$5:$T$44,$CU6,BE$57),""),1),IFERROR(INDEX(醫師週班表!$C$5:$T$44,$CU6,BE$57),"")))))))</f>
        <v/>
      </c>
      <c r="BF6" s="68">
        <f>IF(BF$59="X","",IF(BF$59&lt;&gt;"",BF$59,IF(IFERROR(INDEX(醫師週班表!$C$5:$T$44,$CU6,BF$57),"")=0,"",IF(MID(IFERROR(INDEX(醫師週班表!$C$5:$T$44,$CU6,BF$57),""),2,1)="/",MID(IFERROR(INDEX(醫師週班表!$C$5:$T$44,$CU6,BF$57),""),1+BF$58*2,1),IF(MID(IFERROR(INDEX(醫師週班表!$C$5:$T$44,$CU6,BF$57),""),3,1)="隔",IF(BF$58=0,LEFT(IFERROR(INDEX(醫師週班表!$C$5:$T$44,$CU6,BF$57),""),1),""),IF(MID(IFERROR(INDEX(醫師週班表!$C$5:$T$44,$CU6,BF$57),""),2,1)="(",LEFT(IFERROR(INDEX(醫師週班表!$C$5:$T$44,$CU6,BF$57),""),1),IFERROR(INDEX(醫師週班表!$C$5:$T$44,$CU6,BF$57),"")))))))</f>
        <v/>
      </c>
      <c r="BG6" s="67">
        <f>IF(BG$59="X","",IF(BG$59&lt;&gt;"",BG$59,IF(IFERROR(INDEX(醫師週班表!$C$5:$T$44,$CU6,BG$57),"")=0,"",IF(MID(IFERROR(INDEX(醫師週班表!$C$5:$T$44,$CU6,BG$57),""),2,1)="/",MID(IFERROR(INDEX(醫師週班表!$C$5:$T$44,$CU6,BG$57),""),1+BG$58*2,1),IF(MID(IFERROR(INDEX(醫師週班表!$C$5:$T$44,$CU6,BG$57),""),3,1)="隔",IF(BG$58=0,LEFT(IFERROR(INDEX(醫師週班表!$C$5:$T$44,$CU6,BG$57),""),1),""),IF(MID(IFERROR(INDEX(醫師週班表!$C$5:$T$44,$CU6,BG$57),""),2,1)="(",LEFT(IFERROR(INDEX(醫師週班表!$C$5:$T$44,$CU6,BG$57),""),1),IFERROR(INDEX(醫師週班表!$C$5:$T$44,$CU6,BG$57),"")))))))</f>
        <v/>
      </c>
      <c r="BH6" s="68">
        <f>IF(BH$59="X","",IF(BH$59&lt;&gt;"",BH$59,IF(IFERROR(INDEX(醫師週班表!$C$5:$T$44,$CU6,BH$57),"")=0,"",IF(MID(IFERROR(INDEX(醫師週班表!$C$5:$T$44,$CU6,BH$57),""),2,1)="/",MID(IFERROR(INDEX(醫師週班表!$C$5:$T$44,$CU6,BH$57),""),1+BH$58*2,1),IF(MID(IFERROR(INDEX(醫師週班表!$C$5:$T$44,$CU6,BH$57),""),3,1)="隔",IF(BH$58=0,LEFT(IFERROR(INDEX(醫師週班表!$C$5:$T$44,$CU6,BH$57),""),1),""),IF(MID(IFERROR(INDEX(醫師週班表!$C$5:$T$44,$CU6,BH$57),""),2,1)="(",LEFT(IFERROR(INDEX(醫師週班表!$C$5:$T$44,$CU6,BH$57),""),1),IFERROR(INDEX(醫師週班表!$C$5:$T$44,$CU6,BH$57),"")))))))</f>
        <v/>
      </c>
      <c r="BI6" s="68">
        <f>IF(BI$59="X","",IF(BI$59&lt;&gt;"",BI$59,IF(IFERROR(INDEX(醫師週班表!$C$5:$T$44,$CU6,BI$57),"")=0,"",IF(MID(IFERROR(INDEX(醫師週班表!$C$5:$T$44,$CU6,BI$57),""),2,1)="/",MID(IFERROR(INDEX(醫師週班表!$C$5:$T$44,$CU6,BI$57),""),1+BI$58*2,1),IF(MID(IFERROR(INDEX(醫師週班表!$C$5:$T$44,$CU6,BI$57),""),3,1)="隔",IF(BI$58=0,LEFT(IFERROR(INDEX(醫師週班表!$C$5:$T$44,$CU6,BI$57),""),1),""),IF(MID(IFERROR(INDEX(醫師週班表!$C$5:$T$44,$CU6,BI$57),""),2,1)="(",LEFT(IFERROR(INDEX(醫師週班表!$C$5:$T$44,$CU6,BI$57),""),1),IFERROR(INDEX(醫師週班表!$C$5:$T$44,$CU6,BI$57),"")))))))</f>
        <v/>
      </c>
      <c r="BJ6" s="67">
        <f>IF(BJ$59="X","",IF(BJ$59&lt;&gt;"",BJ$59,IF(IFERROR(INDEX(醫師週班表!$C$5:$T$44,$CU6,BJ$57),"")=0,"",IF(MID(IFERROR(INDEX(醫師週班表!$C$5:$T$44,$CU6,BJ$57),""),2,1)="/",MID(IFERROR(INDEX(醫師週班表!$C$5:$T$44,$CU6,BJ$57),""),1+BJ$58*2,1),IF(MID(IFERROR(INDEX(醫師週班表!$C$5:$T$44,$CU6,BJ$57),""),3,1)="隔",IF(BJ$58=0,LEFT(IFERROR(INDEX(醫師週班表!$C$5:$T$44,$CU6,BJ$57),""),1),""),IF(MID(IFERROR(INDEX(醫師週班表!$C$5:$T$44,$CU6,BJ$57),""),2,1)="(",LEFT(IFERROR(INDEX(醫師週班表!$C$5:$T$44,$CU6,BJ$57),""),1),IFERROR(INDEX(醫師週班表!$C$5:$T$44,$CU6,BJ$57),"")))))))</f>
        <v/>
      </c>
      <c r="BK6" s="68">
        <f>IF(BK$59="X","",IF(BK$59&lt;&gt;"",BK$59,IF(IFERROR(INDEX(醫師週班表!$C$5:$T$44,$CU6,BK$57),"")=0,"",IF(MID(IFERROR(INDEX(醫師週班表!$C$5:$T$44,$CU6,BK$57),""),2,1)="/",MID(IFERROR(INDEX(醫師週班表!$C$5:$T$44,$CU6,BK$57),""),1+BK$58*2,1),IF(MID(IFERROR(INDEX(醫師週班表!$C$5:$T$44,$CU6,BK$57),""),3,1)="隔",IF(BK$58=0,LEFT(IFERROR(INDEX(醫師週班表!$C$5:$T$44,$CU6,BK$57),""),1),""),IF(MID(IFERROR(INDEX(醫師週班表!$C$5:$T$44,$CU6,BK$57),""),2,1)="(",LEFT(IFERROR(INDEX(醫師週班表!$C$5:$T$44,$CU6,BK$57),""),1),IFERROR(INDEX(醫師週班表!$C$5:$T$44,$CU6,BK$57),"")))))))</f>
        <v/>
      </c>
      <c r="BL6" s="68">
        <f>IF(BL$59="X","",IF(BL$59&lt;&gt;"",BL$59,IF(IFERROR(INDEX(醫師週班表!$C$5:$T$44,$CU6,BL$57),"")=0,"",IF(MID(IFERROR(INDEX(醫師週班表!$C$5:$T$44,$CU6,BL$57),""),2,1)="/",MID(IFERROR(INDEX(醫師週班表!$C$5:$T$44,$CU6,BL$57),""),1+BL$58*2,1),IF(MID(IFERROR(INDEX(醫師週班表!$C$5:$T$44,$CU6,BL$57),""),3,1)="隔",IF(BL$58=0,LEFT(IFERROR(INDEX(醫師週班表!$C$5:$T$44,$CU6,BL$57),""),1),""),IF(MID(IFERROR(INDEX(醫師週班表!$C$5:$T$44,$CU6,BL$57),""),2,1)="(",LEFT(IFERROR(INDEX(醫師週班表!$C$5:$T$44,$CU6,BL$57),""),1),IFERROR(INDEX(醫師週班表!$C$5:$T$44,$CU6,BL$57),"")))))))</f>
        <v/>
      </c>
      <c r="BM6" s="67">
        <f>IF(BM$59="X","",IF(BM$59&lt;&gt;"",BM$59,IF(IFERROR(INDEX(醫師週班表!$C$5:$T$44,$CU6,BM$57),"")=0,"",IF(MID(IFERROR(INDEX(醫師週班表!$C$5:$T$44,$CU6,BM$57),""),2,1)="/",MID(IFERROR(INDEX(醫師週班表!$C$5:$T$44,$CU6,BM$57),""),1+BM$58*2,1),IF(MID(IFERROR(INDEX(醫師週班表!$C$5:$T$44,$CU6,BM$57),""),3,1)="隔",IF(BM$58=0,LEFT(IFERROR(INDEX(醫師週班表!$C$5:$T$44,$CU6,BM$57),""),1),""),IF(MID(IFERROR(INDEX(醫師週班表!$C$5:$T$44,$CU6,BM$57),""),2,1)="(",LEFT(IFERROR(INDEX(醫師週班表!$C$5:$T$44,$CU6,BM$57),""),1),IFERROR(INDEX(醫師週班表!$C$5:$T$44,$CU6,BM$57),"")))))))</f>
        <v/>
      </c>
      <c r="BN6" s="68">
        <f>IF(BN$59="X","",IF(BN$59&lt;&gt;"",BN$59,IF(IFERROR(INDEX(醫師週班表!$C$5:$T$44,$CU6,BN$57),"")=0,"",IF(MID(IFERROR(INDEX(醫師週班表!$C$5:$T$44,$CU6,BN$57),""),2,1)="/",MID(IFERROR(INDEX(醫師週班表!$C$5:$T$44,$CU6,BN$57),""),1+BN$58*2,1),IF(MID(IFERROR(INDEX(醫師週班表!$C$5:$T$44,$CU6,BN$57),""),3,1)="隔",IF(BN$58=0,LEFT(IFERROR(INDEX(醫師週班表!$C$5:$T$44,$CU6,BN$57),""),1),""),IF(MID(IFERROR(INDEX(醫師週班表!$C$5:$T$44,$CU6,BN$57),""),2,1)="(",LEFT(IFERROR(INDEX(醫師週班表!$C$5:$T$44,$CU6,BN$57),""),1),IFERROR(INDEX(醫師週班表!$C$5:$T$44,$CU6,BN$57),"")))))))</f>
        <v/>
      </c>
      <c r="BO6" s="68">
        <f>IF(BO$59="X","",IF(BO$59&lt;&gt;"",BO$59,IF(IFERROR(INDEX(醫師週班表!$C$5:$T$44,$CU6,BO$57),"")=0,"",IF(MID(IFERROR(INDEX(醫師週班表!$C$5:$T$44,$CU6,BO$57),""),2,1)="/",MID(IFERROR(INDEX(醫師週班表!$C$5:$T$44,$CU6,BO$57),""),1+BO$58*2,1),IF(MID(IFERROR(INDEX(醫師週班表!$C$5:$T$44,$CU6,BO$57),""),3,1)="隔",IF(BO$58=0,LEFT(IFERROR(INDEX(醫師週班表!$C$5:$T$44,$CU6,BO$57),""),1),""),IF(MID(IFERROR(INDEX(醫師週班表!$C$5:$T$44,$CU6,BO$57),""),2,1)="(",LEFT(IFERROR(INDEX(醫師週班表!$C$5:$T$44,$CU6,BO$57),""),1),IFERROR(INDEX(醫師週班表!$C$5:$T$44,$CU6,BO$57),"")))))))</f>
        <v/>
      </c>
      <c r="BP6" s="67">
        <f>IF(BP$59="X","",IF(BP$59&lt;&gt;"",BP$59,IF(IFERROR(INDEX(醫師週班表!$C$5:$T$44,$CU6,BP$57),"")=0,"",IF(MID(IFERROR(INDEX(醫師週班表!$C$5:$T$44,$CU6,BP$57),""),2,1)="/",MID(IFERROR(INDEX(醫師週班表!$C$5:$T$44,$CU6,BP$57),""),1+BP$58*2,1),IF(MID(IFERROR(INDEX(醫師週班表!$C$5:$T$44,$CU6,BP$57),""),3,1)="隔",IF(BP$58=0,LEFT(IFERROR(INDEX(醫師週班表!$C$5:$T$44,$CU6,BP$57),""),1),""),IF(MID(IFERROR(INDEX(醫師週班表!$C$5:$T$44,$CU6,BP$57),""),2,1)="(",LEFT(IFERROR(INDEX(醫師週班表!$C$5:$T$44,$CU6,BP$57),""),1),IFERROR(INDEX(醫師週班表!$C$5:$T$44,$CU6,BP$57),"")))))))</f>
        <v/>
      </c>
      <c r="BQ6" s="68">
        <f>IF(BQ$59="X","",IF(BQ$59&lt;&gt;"",BQ$59,IF(IFERROR(INDEX(醫師週班表!$C$5:$T$44,$CU6,BQ$57),"")=0,"",IF(MID(IFERROR(INDEX(醫師週班表!$C$5:$T$44,$CU6,BQ$57),""),2,1)="/",MID(IFERROR(INDEX(醫師週班表!$C$5:$T$44,$CU6,BQ$57),""),1+BQ$58*2,1),IF(MID(IFERROR(INDEX(醫師週班表!$C$5:$T$44,$CU6,BQ$57),""),3,1)="隔",IF(BQ$58=0,LEFT(IFERROR(INDEX(醫師週班表!$C$5:$T$44,$CU6,BQ$57),""),1),""),IF(MID(IFERROR(INDEX(醫師週班表!$C$5:$T$44,$CU6,BQ$57),""),2,1)="(",LEFT(IFERROR(INDEX(醫師週班表!$C$5:$T$44,$CU6,BQ$57),""),1),IFERROR(INDEX(醫師週班表!$C$5:$T$44,$CU6,BQ$57),"")))))))</f>
        <v/>
      </c>
      <c r="BR6" s="68">
        <f>IF(BR$59="X","",IF(BR$59&lt;&gt;"",BR$59,IF(IFERROR(INDEX(醫師週班表!$C$5:$T$44,$CU6,BR$57),"")=0,"",IF(MID(IFERROR(INDEX(醫師週班表!$C$5:$T$44,$CU6,BR$57),""),2,1)="/",MID(IFERROR(INDEX(醫師週班表!$C$5:$T$44,$CU6,BR$57),""),1+BR$58*2,1),IF(MID(IFERROR(INDEX(醫師週班表!$C$5:$T$44,$CU6,BR$57),""),3,1)="隔",IF(BR$58=0,LEFT(IFERROR(INDEX(醫師週班表!$C$5:$T$44,$CU6,BR$57),""),1),""),IF(MID(IFERROR(INDEX(醫師週班表!$C$5:$T$44,$CU6,BR$57),""),2,1)="(",LEFT(IFERROR(INDEX(醫師週班表!$C$5:$T$44,$CU6,BR$57),""),1),IFERROR(INDEX(醫師週班表!$C$5:$T$44,$CU6,BR$57),"")))))))</f>
        <v/>
      </c>
      <c r="BS6" s="67">
        <f>IF(BS$59="X","",IF(BS$59&lt;&gt;"",BS$59,IF(IFERROR(INDEX(醫師週班表!$C$5:$T$44,$CU6,BS$57),"")=0,"",IF(MID(IFERROR(INDEX(醫師週班表!$C$5:$T$44,$CU6,BS$57),""),2,1)="/",MID(IFERROR(INDEX(醫師週班表!$C$5:$T$44,$CU6,BS$57),""),1+BS$58*2,1),IF(MID(IFERROR(INDEX(醫師週班表!$C$5:$T$44,$CU6,BS$57),""),3,1)="隔",IF(BS$58=0,LEFT(IFERROR(INDEX(醫師週班表!$C$5:$T$44,$CU6,BS$57),""),1),""),IF(MID(IFERROR(INDEX(醫師週班表!$C$5:$T$44,$CU6,BS$57),""),2,1)="(",LEFT(IFERROR(INDEX(醫師週班表!$C$5:$T$44,$CU6,BS$57),""),1),IFERROR(INDEX(醫師週班表!$C$5:$T$44,$CU6,BS$57),"")))))))</f>
        <v/>
      </c>
      <c r="BT6" s="68">
        <f>IF(BT$59="X","",IF(BT$59&lt;&gt;"",BT$59,IF(IFERROR(INDEX(醫師週班表!$C$5:$T$44,$CU6,BT$57),"")=0,"",IF(MID(IFERROR(INDEX(醫師週班表!$C$5:$T$44,$CU6,BT$57),""),2,1)="/",MID(IFERROR(INDEX(醫師週班表!$C$5:$T$44,$CU6,BT$57),""),1+BT$58*2,1),IF(MID(IFERROR(INDEX(醫師週班表!$C$5:$T$44,$CU6,BT$57),""),3,1)="隔",IF(BT$58=0,LEFT(IFERROR(INDEX(醫師週班表!$C$5:$T$44,$CU6,BT$57),""),1),""),IF(MID(IFERROR(INDEX(醫師週班表!$C$5:$T$44,$CU6,BT$57),""),2,1)="(",LEFT(IFERROR(INDEX(醫師週班表!$C$5:$T$44,$CU6,BT$57),""),1),IFERROR(INDEX(醫師週班表!$C$5:$T$44,$CU6,BT$57),"")))))))</f>
        <v/>
      </c>
      <c r="BU6" s="68">
        <f>IF(BU$59="X","",IF(BU$59&lt;&gt;"",BU$59,IF(IFERROR(INDEX(醫師週班表!$C$5:$T$44,$CU6,BU$57),"")=0,"",IF(MID(IFERROR(INDEX(醫師週班表!$C$5:$T$44,$CU6,BU$57),""),2,1)="/",MID(IFERROR(INDEX(醫師週班表!$C$5:$T$44,$CU6,BU$57),""),1+BU$58*2,1),IF(MID(IFERROR(INDEX(醫師週班表!$C$5:$T$44,$CU6,BU$57),""),3,1)="隔",IF(BU$58=0,LEFT(IFERROR(INDEX(醫師週班表!$C$5:$T$44,$CU6,BU$57),""),1),""),IF(MID(IFERROR(INDEX(醫師週班表!$C$5:$T$44,$CU6,BU$57),""),2,1)="(",LEFT(IFERROR(INDEX(醫師週班表!$C$5:$T$44,$CU6,BU$57),""),1),IFERROR(INDEX(醫師週班表!$C$5:$T$44,$CU6,BU$57),"")))))))</f>
        <v/>
      </c>
      <c r="BV6" s="67">
        <f>IF(BV$59="X","",IF(BV$59&lt;&gt;"",BV$59,IF(IFERROR(INDEX(醫師週班表!$C$5:$T$44,$CU6,BV$57),"")=0,"",IF(MID(IFERROR(INDEX(醫師週班表!$C$5:$T$44,$CU6,BV$57),""),2,1)="/",MID(IFERROR(INDEX(醫師週班表!$C$5:$T$44,$CU6,BV$57),""),1+BV$58*2,1),IF(MID(IFERROR(INDEX(醫師週班表!$C$5:$T$44,$CU6,BV$57),""),3,1)="隔",IF(BV$58=0,LEFT(IFERROR(INDEX(醫師週班表!$C$5:$T$44,$CU6,BV$57),""),1),""),IF(MID(IFERROR(INDEX(醫師週班表!$C$5:$T$44,$CU6,BV$57),""),2,1)="(",LEFT(IFERROR(INDEX(醫師週班表!$C$5:$T$44,$CU6,BV$57),""),1),IFERROR(INDEX(醫師週班表!$C$5:$T$44,$CU6,BV$57),"")))))))</f>
        <v/>
      </c>
      <c r="BW6" s="68">
        <f>IF(BW$59="X","",IF(BW$59&lt;&gt;"",BW$59,IF(IFERROR(INDEX(醫師週班表!$C$5:$T$44,$CU6,BW$57),"")=0,"",IF(MID(IFERROR(INDEX(醫師週班表!$C$5:$T$44,$CU6,BW$57),""),2,1)="/",MID(IFERROR(INDEX(醫師週班表!$C$5:$T$44,$CU6,BW$57),""),1+BW$58*2,1),IF(MID(IFERROR(INDEX(醫師週班表!$C$5:$T$44,$CU6,BW$57),""),3,1)="隔",IF(BW$58=0,LEFT(IFERROR(INDEX(醫師週班表!$C$5:$T$44,$CU6,BW$57),""),1),""),IF(MID(IFERROR(INDEX(醫師週班表!$C$5:$T$44,$CU6,BW$57),""),2,1)="(",LEFT(IFERROR(INDEX(醫師週班表!$C$5:$T$44,$CU6,BW$57),""),1),IFERROR(INDEX(醫師週班表!$C$5:$T$44,$CU6,BW$57),"")))))))</f>
        <v/>
      </c>
      <c r="BX6" s="68">
        <f>IF(BX$59="X","",IF(BX$59&lt;&gt;"",BX$59,IF(IFERROR(INDEX(醫師週班表!$C$5:$T$44,$CU6,BX$57),"")=0,"",IF(MID(IFERROR(INDEX(醫師週班表!$C$5:$T$44,$CU6,BX$57),""),2,1)="/",MID(IFERROR(INDEX(醫師週班表!$C$5:$T$44,$CU6,BX$57),""),1+BX$58*2,1),IF(MID(IFERROR(INDEX(醫師週班表!$C$5:$T$44,$CU6,BX$57),""),3,1)="隔",IF(BX$58=0,LEFT(IFERROR(INDEX(醫師週班表!$C$5:$T$44,$CU6,BX$57),""),1),""),IF(MID(IFERROR(INDEX(醫師週班表!$C$5:$T$44,$CU6,BX$57),""),2,1)="(",LEFT(IFERROR(INDEX(醫師週班表!$C$5:$T$44,$CU6,BX$57),""),1),IFERROR(INDEX(醫師週班表!$C$5:$T$44,$CU6,BX$57),"")))))))</f>
        <v/>
      </c>
      <c r="BY6" s="67">
        <f>IF(BY$59="X","",IF(BY$59&lt;&gt;"",BY$59,IF(IFERROR(INDEX(醫師週班表!$C$5:$T$44,$CU6,BY$57),"")=0,"",IF(MID(IFERROR(INDEX(醫師週班表!$C$5:$T$44,$CU6,BY$57),""),2,1)="/",MID(IFERROR(INDEX(醫師週班表!$C$5:$T$44,$CU6,BY$57),""),1+BY$58*2,1),IF(MID(IFERROR(INDEX(醫師週班表!$C$5:$T$44,$CU6,BY$57),""),3,1)="隔",IF(BY$58=0,LEFT(IFERROR(INDEX(醫師週班表!$C$5:$T$44,$CU6,BY$57),""),1),""),IF(MID(IFERROR(INDEX(醫師週班表!$C$5:$T$44,$CU6,BY$57),""),2,1)="(",LEFT(IFERROR(INDEX(醫師週班表!$C$5:$T$44,$CU6,BY$57),""),1),IFERROR(INDEX(醫師週班表!$C$5:$T$44,$CU6,BY$57),"")))))))</f>
        <v/>
      </c>
      <c r="BZ6" s="68">
        <f>IF(BZ$59="X","",IF(BZ$59&lt;&gt;"",BZ$59,IF(IFERROR(INDEX(醫師週班表!$C$5:$T$44,$CU6,BZ$57),"")=0,"",IF(MID(IFERROR(INDEX(醫師週班表!$C$5:$T$44,$CU6,BZ$57),""),2,1)="/",MID(IFERROR(INDEX(醫師週班表!$C$5:$T$44,$CU6,BZ$57),""),1+BZ$58*2,1),IF(MID(IFERROR(INDEX(醫師週班表!$C$5:$T$44,$CU6,BZ$57),""),3,1)="隔",IF(BZ$58=0,LEFT(IFERROR(INDEX(醫師週班表!$C$5:$T$44,$CU6,BZ$57),""),1),""),IF(MID(IFERROR(INDEX(醫師週班表!$C$5:$T$44,$CU6,BZ$57),""),2,1)="(",LEFT(IFERROR(INDEX(醫師週班表!$C$5:$T$44,$CU6,BZ$57),""),1),IFERROR(INDEX(醫師週班表!$C$5:$T$44,$CU6,BZ$57),"")))))))</f>
        <v/>
      </c>
      <c r="CA6" s="68">
        <f>IF(CA$59="X","",IF(CA$59&lt;&gt;"",CA$59,IF(IFERROR(INDEX(醫師週班表!$C$5:$T$44,$CU6,CA$57),"")=0,"",IF(MID(IFERROR(INDEX(醫師週班表!$C$5:$T$44,$CU6,CA$57),""),2,1)="/",MID(IFERROR(INDEX(醫師週班表!$C$5:$T$44,$CU6,CA$57),""),1+CA$58*2,1),IF(MID(IFERROR(INDEX(醫師週班表!$C$5:$T$44,$CU6,CA$57),""),3,1)="隔",IF(CA$58=0,LEFT(IFERROR(INDEX(醫師週班表!$C$5:$T$44,$CU6,CA$57),""),1),""),IF(MID(IFERROR(INDEX(醫師週班表!$C$5:$T$44,$CU6,CA$57),""),2,1)="(",LEFT(IFERROR(INDEX(醫師週班表!$C$5:$T$44,$CU6,CA$57),""),1),IFERROR(INDEX(醫師週班表!$C$5:$T$44,$CU6,CA$57),"")))))))</f>
        <v/>
      </c>
      <c r="CB6" s="67">
        <f>IF(CB$59="X","",IF(CB$59&lt;&gt;"",CB$59,IF(IFERROR(INDEX(醫師週班表!$C$5:$T$44,$CU6,CB$57),"")=0,"",IF(MID(IFERROR(INDEX(醫師週班表!$C$5:$T$44,$CU6,CB$57),""),2,1)="/",MID(IFERROR(INDEX(醫師週班表!$C$5:$T$44,$CU6,CB$57),""),1+CB$58*2,1),IF(MID(IFERROR(INDEX(醫師週班表!$C$5:$T$44,$CU6,CB$57),""),3,1)="隔",IF(CB$58=0,LEFT(IFERROR(INDEX(醫師週班表!$C$5:$T$44,$CU6,CB$57),""),1),""),IF(MID(IFERROR(INDEX(醫師週班表!$C$5:$T$44,$CU6,CB$57),""),2,1)="(",LEFT(IFERROR(INDEX(醫師週班表!$C$5:$T$44,$CU6,CB$57),""),1),IFERROR(INDEX(醫師週班表!$C$5:$T$44,$CU6,CB$57),"")))))))</f>
        <v/>
      </c>
      <c r="CC6" s="68">
        <f>IF(CC$59="X","",IF(CC$59&lt;&gt;"",CC$59,IF(IFERROR(INDEX(醫師週班表!$C$5:$T$44,$CU6,CC$57),"")=0,"",IF(MID(IFERROR(INDEX(醫師週班表!$C$5:$T$44,$CU6,CC$57),""),2,1)="/",MID(IFERROR(INDEX(醫師週班表!$C$5:$T$44,$CU6,CC$57),""),1+CC$58*2,1),IF(MID(IFERROR(INDEX(醫師週班表!$C$5:$T$44,$CU6,CC$57),""),3,1)="隔",IF(CC$58=0,LEFT(IFERROR(INDEX(醫師週班表!$C$5:$T$44,$CU6,CC$57),""),1),""),IF(MID(IFERROR(INDEX(醫師週班表!$C$5:$T$44,$CU6,CC$57),""),2,1)="(",LEFT(IFERROR(INDEX(醫師週班表!$C$5:$T$44,$CU6,CC$57),""),1),IFERROR(INDEX(醫師週班表!$C$5:$T$44,$CU6,CC$57),"")))))))</f>
        <v/>
      </c>
      <c r="CD6" s="68">
        <f>IF(CD$59="X","",IF(CD$59&lt;&gt;"",CD$59,IF(IFERROR(INDEX(醫師週班表!$C$5:$T$44,$CU6,CD$57),"")=0,"",IF(MID(IFERROR(INDEX(醫師週班表!$C$5:$T$44,$CU6,CD$57),""),2,1)="/",MID(IFERROR(INDEX(醫師週班表!$C$5:$T$44,$CU6,CD$57),""),1+CD$58*2,1),IF(MID(IFERROR(INDEX(醫師週班表!$C$5:$T$44,$CU6,CD$57),""),3,1)="隔",IF(CD$58=0,LEFT(IFERROR(INDEX(醫師週班表!$C$5:$T$44,$CU6,CD$57),""),1),""),IF(MID(IFERROR(INDEX(醫師週班表!$C$5:$T$44,$CU6,CD$57),""),2,1)="(",LEFT(IFERROR(INDEX(醫師週班表!$C$5:$T$44,$CU6,CD$57),""),1),IFERROR(INDEX(醫師週班表!$C$5:$T$44,$CU6,CD$57),"")))))))</f>
        <v/>
      </c>
      <c r="CE6" s="67">
        <f>IF(CE$59="X","",IF(CE$59&lt;&gt;"",CE$59,IF(IFERROR(INDEX(醫師週班表!$C$5:$T$44,$CU6,CE$57),"")=0,"",IF(MID(IFERROR(INDEX(醫師週班表!$C$5:$T$44,$CU6,CE$57),""),2,1)="/",MID(IFERROR(INDEX(醫師週班表!$C$5:$T$44,$CU6,CE$57),""),1+CE$58*2,1),IF(MID(IFERROR(INDEX(醫師週班表!$C$5:$T$44,$CU6,CE$57),""),3,1)="隔",IF(CE$58=0,LEFT(IFERROR(INDEX(醫師週班表!$C$5:$T$44,$CU6,CE$57),""),1),""),IF(MID(IFERROR(INDEX(醫師週班表!$C$5:$T$44,$CU6,CE$57),""),2,1)="(",LEFT(IFERROR(INDEX(醫師週班表!$C$5:$T$44,$CU6,CE$57),""),1),IFERROR(INDEX(醫師週班表!$C$5:$T$44,$CU6,CE$57),"")))))))</f>
        <v/>
      </c>
      <c r="CF6" s="68">
        <f>IF(CF$59="X","",IF(CF$59&lt;&gt;"",CF$59,IF(IFERROR(INDEX(醫師週班表!$C$5:$T$44,$CU6,CF$57),"")=0,"",IF(MID(IFERROR(INDEX(醫師週班表!$C$5:$T$44,$CU6,CF$57),""),2,1)="/",MID(IFERROR(INDEX(醫師週班表!$C$5:$T$44,$CU6,CF$57),""),1+CF$58*2,1),IF(MID(IFERROR(INDEX(醫師週班表!$C$5:$T$44,$CU6,CF$57),""),3,1)="隔",IF(CF$58=0,LEFT(IFERROR(INDEX(醫師週班表!$C$5:$T$44,$CU6,CF$57),""),1),""),IF(MID(IFERROR(INDEX(醫師週班表!$C$5:$T$44,$CU6,CF$57),""),2,1)="(",LEFT(IFERROR(INDEX(醫師週班表!$C$5:$T$44,$CU6,CF$57),""),1),IFERROR(INDEX(醫師週班表!$C$5:$T$44,$CU6,CF$57),"")))))))</f>
        <v/>
      </c>
      <c r="CG6" s="68">
        <f>IF(CG$59="X","",IF(CG$59&lt;&gt;"",CG$59,IF(IFERROR(INDEX(醫師週班表!$C$5:$T$44,$CU6,CG$57),"")=0,"",IF(MID(IFERROR(INDEX(醫師週班表!$C$5:$T$44,$CU6,CG$57),""),2,1)="/",MID(IFERROR(INDEX(醫師週班表!$C$5:$T$44,$CU6,CG$57),""),1+CG$58*2,1),IF(MID(IFERROR(INDEX(醫師週班表!$C$5:$T$44,$CU6,CG$57),""),3,1)="隔",IF(CG$58=0,LEFT(IFERROR(INDEX(醫師週班表!$C$5:$T$44,$CU6,CG$57),""),1),""),IF(MID(IFERROR(INDEX(醫師週班表!$C$5:$T$44,$CU6,CG$57),""),2,1)="(",LEFT(IFERROR(INDEX(醫師週班表!$C$5:$T$44,$CU6,CG$57),""),1),IFERROR(INDEX(醫師週班表!$C$5:$T$44,$CU6,CG$57),"")))))))</f>
        <v/>
      </c>
      <c r="CH6" s="67">
        <f>IF(CH$59="X","",IF(CH$59&lt;&gt;"",CH$59,IF(IFERROR(INDEX(醫師週班表!$C$5:$T$44,$CU6,CH$57),"")=0,"",IF(MID(IFERROR(INDEX(醫師週班表!$C$5:$T$44,$CU6,CH$57),""),2,1)="/",MID(IFERROR(INDEX(醫師週班表!$C$5:$T$44,$CU6,CH$57),""),1+CH$58*2,1),IF(MID(IFERROR(INDEX(醫師週班表!$C$5:$T$44,$CU6,CH$57),""),3,1)="隔",IF(CH$58=0,LEFT(IFERROR(INDEX(醫師週班表!$C$5:$T$44,$CU6,CH$57),""),1),""),IF(MID(IFERROR(INDEX(醫師週班表!$C$5:$T$44,$CU6,CH$57),""),2,1)="(",LEFT(IFERROR(INDEX(醫師週班表!$C$5:$T$44,$CU6,CH$57),""),1),IFERROR(INDEX(醫師週班表!$C$5:$T$44,$CU6,CH$57),"")))))))</f>
        <v/>
      </c>
      <c r="CI6" s="68">
        <f>IF(CI$59="X","",IF(CI$59&lt;&gt;"",CI$59,IF(IFERROR(INDEX(醫師週班表!$C$5:$T$44,$CU6,CI$57),"")=0,"",IF(MID(IFERROR(INDEX(醫師週班表!$C$5:$T$44,$CU6,CI$57),""),2,1)="/",MID(IFERROR(INDEX(醫師週班表!$C$5:$T$44,$CU6,CI$57),""),1+CI$58*2,1),IF(MID(IFERROR(INDEX(醫師週班表!$C$5:$T$44,$CU6,CI$57),""),3,1)="隔",IF(CI$58=0,LEFT(IFERROR(INDEX(醫師週班表!$C$5:$T$44,$CU6,CI$57),""),1),""),IF(MID(IFERROR(INDEX(醫師週班表!$C$5:$T$44,$CU6,CI$57),""),2,1)="(",LEFT(IFERROR(INDEX(醫師週班表!$C$5:$T$44,$CU6,CI$57),""),1),IFERROR(INDEX(醫師週班表!$C$5:$T$44,$CU6,CI$57),"")))))))</f>
        <v/>
      </c>
      <c r="CJ6" s="68">
        <f>IF(CJ$59="X","",IF(CJ$59&lt;&gt;"",CJ$59,IF(IFERROR(INDEX(醫師週班表!$C$5:$T$44,$CU6,CJ$57),"")=0,"",IF(MID(IFERROR(INDEX(醫師週班表!$C$5:$T$44,$CU6,CJ$57),""),2,1)="/",MID(IFERROR(INDEX(醫師週班表!$C$5:$T$44,$CU6,CJ$57),""),1+CJ$58*2,1),IF(MID(IFERROR(INDEX(醫師週班表!$C$5:$T$44,$CU6,CJ$57),""),3,1)="隔",IF(CJ$58=0,LEFT(IFERROR(INDEX(醫師週班表!$C$5:$T$44,$CU6,CJ$57),""),1),""),IF(MID(IFERROR(INDEX(醫師週班表!$C$5:$T$44,$CU6,CJ$57),""),2,1)="(",LEFT(IFERROR(INDEX(醫師週班表!$C$5:$T$44,$CU6,CJ$57),""),1),IFERROR(INDEX(醫師週班表!$C$5:$T$44,$CU6,CJ$57),"")))))))</f>
        <v/>
      </c>
      <c r="CK6" s="67">
        <f>IF(CK$59="X","",IF(CK$59&lt;&gt;"",CK$59,IF(IFERROR(INDEX(醫師週班表!$C$5:$T$44,$CU6,CK$57),"")=0,"",IF(MID(IFERROR(INDEX(醫師週班表!$C$5:$T$44,$CU6,CK$57),""),2,1)="/",MID(IFERROR(INDEX(醫師週班表!$C$5:$T$44,$CU6,CK$57),""),1+CK$58*2,1),IF(MID(IFERROR(INDEX(醫師週班表!$C$5:$T$44,$CU6,CK$57),""),3,1)="隔",IF(CK$58=0,LEFT(IFERROR(INDEX(醫師週班表!$C$5:$T$44,$CU6,CK$57),""),1),""),IF(MID(IFERROR(INDEX(醫師週班表!$C$5:$T$44,$CU6,CK$57),""),2,1)="(",LEFT(IFERROR(INDEX(醫師週班表!$C$5:$T$44,$CU6,CK$57),""),1),IFERROR(INDEX(醫師週班表!$C$5:$T$44,$CU6,CK$57),"")))))))</f>
        <v/>
      </c>
      <c r="CL6" s="68">
        <f>IF(CL$59="X","",IF(CL$59&lt;&gt;"",CL$59,IF(IFERROR(INDEX(醫師週班表!$C$5:$T$44,$CU6,CL$57),"")=0,"",IF(MID(IFERROR(INDEX(醫師週班表!$C$5:$T$44,$CU6,CL$57),""),2,1)="/",MID(IFERROR(INDEX(醫師週班表!$C$5:$T$44,$CU6,CL$57),""),1+CL$58*2,1),IF(MID(IFERROR(INDEX(醫師週班表!$C$5:$T$44,$CU6,CL$57),""),3,1)="隔",IF(CL$58=0,LEFT(IFERROR(INDEX(醫師週班表!$C$5:$T$44,$CU6,CL$57),""),1),""),IF(MID(IFERROR(INDEX(醫師週班表!$C$5:$T$44,$CU6,CL$57),""),2,1)="(",LEFT(IFERROR(INDEX(醫師週班表!$C$5:$T$44,$CU6,CL$57),""),1),IFERROR(INDEX(醫師週班表!$C$5:$T$44,$CU6,CL$57),"")))))))</f>
        <v/>
      </c>
      <c r="CM6" s="68">
        <f>IF(CM$59="X","",IF(CM$59&lt;&gt;"",CM$59,IF(IFERROR(INDEX(醫師週班表!$C$5:$T$44,$CU6,CM$57),"")=0,"",IF(MID(IFERROR(INDEX(醫師週班表!$C$5:$T$44,$CU6,CM$57),""),2,1)="/",MID(IFERROR(INDEX(醫師週班表!$C$5:$T$44,$CU6,CM$57),""),1+CM$58*2,1),IF(MID(IFERROR(INDEX(醫師週班表!$C$5:$T$44,$CU6,CM$57),""),3,1)="隔",IF(CM$58=0,LEFT(IFERROR(INDEX(醫師週班表!$C$5:$T$44,$CU6,CM$57),""),1),""),IF(MID(IFERROR(INDEX(醫師週班表!$C$5:$T$44,$CU6,CM$57),""),2,1)="(",LEFT(IFERROR(INDEX(醫師週班表!$C$5:$T$44,$CU6,CM$57),""),1),IFERROR(INDEX(醫師週班表!$C$5:$T$44,$CU6,CM$57),"")))))))</f>
        <v/>
      </c>
      <c r="CN6" s="67">
        <f>IF(CN$59="X","",IF(CN$59&lt;&gt;"",CN$59,IF(IFERROR(INDEX(醫師週班表!$C$5:$T$44,$CU6,CN$57),"")=0,"",IF(MID(IFERROR(INDEX(醫師週班表!$C$5:$T$44,$CU6,CN$57),""),2,1)="/",MID(IFERROR(INDEX(醫師週班表!$C$5:$T$44,$CU6,CN$57),""),1+CN$58*2,1),IF(MID(IFERROR(INDEX(醫師週班表!$C$5:$T$44,$CU6,CN$57),""),3,1)="隔",IF(CN$58=0,LEFT(IFERROR(INDEX(醫師週班表!$C$5:$T$44,$CU6,CN$57),""),1),""),IF(MID(IFERROR(INDEX(醫師週班表!$C$5:$T$44,$CU6,CN$57),""),2,1)="(",LEFT(IFERROR(INDEX(醫師週班表!$C$5:$T$44,$CU6,CN$57),""),1),IFERROR(INDEX(醫師週班表!$C$5:$T$44,$CU6,CN$57),"")))))))</f>
        <v/>
      </c>
      <c r="CO6" s="68">
        <f>IF(CO$59="X","",IF(CO$59&lt;&gt;"",CO$59,IF(IFERROR(INDEX(醫師週班表!$C$5:$T$44,$CU6,CO$57),"")=0,"",IF(MID(IFERROR(INDEX(醫師週班表!$C$5:$T$44,$CU6,CO$57),""),2,1)="/",MID(IFERROR(INDEX(醫師週班表!$C$5:$T$44,$CU6,CO$57),""),1+CO$58*2,1),IF(MID(IFERROR(INDEX(醫師週班表!$C$5:$T$44,$CU6,CO$57),""),3,1)="隔",IF(CO$58=0,LEFT(IFERROR(INDEX(醫師週班表!$C$5:$T$44,$CU6,CO$57),""),1),""),IF(MID(IFERROR(INDEX(醫師週班表!$C$5:$T$44,$CU6,CO$57),""),2,1)="(",LEFT(IFERROR(INDEX(醫師週班表!$C$5:$T$44,$CU6,CO$57),""),1),IFERROR(INDEX(醫師週班表!$C$5:$T$44,$CU6,CO$57),"")))))))</f>
        <v/>
      </c>
      <c r="CP6" s="68">
        <f>IF(CP$59="X","",IF(CP$59&lt;&gt;"",CP$59,IF(IFERROR(INDEX(醫師週班表!$C$5:$T$44,$CU6,CP$57),"")=0,"",IF(MID(IFERROR(INDEX(醫師週班表!$C$5:$T$44,$CU6,CP$57),""),2,1)="/",MID(IFERROR(INDEX(醫師週班表!$C$5:$T$44,$CU6,CP$57),""),1+CP$58*2,1),IF(MID(IFERROR(INDEX(醫師週班表!$C$5:$T$44,$CU6,CP$57),""),3,1)="隔",IF(CP$58=0,LEFT(IFERROR(INDEX(醫師週班表!$C$5:$T$44,$CU6,CP$57),""),1),""),IF(MID(IFERROR(INDEX(醫師週班表!$C$5:$T$44,$CU6,CP$57),""),2,1)="(",LEFT(IFERROR(INDEX(醫師週班表!$C$5:$T$44,$CU6,CP$57),""),1),IFERROR(INDEX(醫師週班表!$C$5:$T$44,$CU6,CP$57),"")))))))</f>
        <v/>
      </c>
      <c r="CQ6" s="67">
        <f>IF(CQ$59="X","",IF(CQ$59&lt;&gt;"",CQ$59,IF(IFERROR(INDEX(醫師週班表!$C$5:$T$44,$CU6,CQ$57),"")=0,"",IF(MID(IFERROR(INDEX(醫師週班表!$C$5:$T$44,$CU6,CQ$57),""),2,1)="/",MID(IFERROR(INDEX(醫師週班表!$C$5:$T$44,$CU6,CQ$57),""),1+CQ$58*2,1),IF(MID(IFERROR(INDEX(醫師週班表!$C$5:$T$44,$CU6,CQ$57),""),3,1)="隔",IF(CQ$58=0,LEFT(IFERROR(INDEX(醫師週班表!$C$5:$T$44,$CU6,CQ$57),""),1),""),IF(MID(IFERROR(INDEX(醫師週班表!$C$5:$T$44,$CU6,CQ$57),""),2,1)="(",LEFT(IFERROR(INDEX(醫師週班表!$C$5:$T$44,$CU6,CQ$57),""),1),IFERROR(INDEX(醫師週班表!$C$5:$T$44,$CU6,CQ$57),"")))))))</f>
        <v/>
      </c>
      <c r="CR6" s="68">
        <f>IF(CR$59="X","",IF(CR$59&lt;&gt;"",CR$59,IF(IFERROR(INDEX(醫師週班表!$C$5:$T$44,$CU6,CR$57),"")=0,"",IF(MID(IFERROR(INDEX(醫師週班表!$C$5:$T$44,$CU6,CR$57),""),2,1)="/",MID(IFERROR(INDEX(醫師週班表!$C$5:$T$44,$CU6,CR$57),""),1+CR$58*2,1),IF(MID(IFERROR(INDEX(醫師週班表!$C$5:$T$44,$CU6,CR$57),""),3,1)="隔",IF(CR$58=0,LEFT(IFERROR(INDEX(醫師週班表!$C$5:$T$44,$CU6,CR$57),""),1),""),IF(MID(IFERROR(INDEX(醫師週班表!$C$5:$T$44,$CU6,CR$57),""),2,1)="(",LEFT(IFERROR(INDEX(醫師週班表!$C$5:$T$44,$CU6,CR$57),""),1),IFERROR(INDEX(醫師週班表!$C$5:$T$44,$CU6,CR$57),"")))))))</f>
        <v/>
      </c>
      <c r="CS6" s="68">
        <f>IF(CS$59="X","",IF(CS$59&lt;&gt;"",CS$59,IF(IFERROR(INDEX(醫師週班表!$C$5:$T$44,$CU6,CS$57),"")=0,"",IF(MID(IFERROR(INDEX(醫師週班表!$C$5:$T$44,$CU6,CS$57),""),2,1)="/",MID(IFERROR(INDEX(醫師週班表!$C$5:$T$44,$CU6,CS$57),""),1+CS$58*2,1),IF(MID(IFERROR(INDEX(醫師週班表!$C$5:$T$44,$CU6,CS$57),""),3,1)="隔",IF(CS$58=0,LEFT(IFERROR(INDEX(醫師週班表!$C$5:$T$44,$CU6,CS$57),""),1),""),IF(MID(IFERROR(INDEX(醫師週班表!$C$5:$T$44,$CU6,CS$57),""),2,1)="(",LEFT(IFERROR(INDEX(醫師週班表!$C$5:$T$44,$CU6,CS$57),""),1),IFERROR(INDEX(醫師週班表!$C$5:$T$44,$CU6,CS$57),"")))))))</f>
        <v/>
      </c>
      <c r="CU6" s="69">
        <f>IFERROR(MATCH($A6,醫師週班表!$A$5:$A$44,0),0)</f>
        <v/>
      </c>
    </row>
    <row r="7" ht="17" customHeight="1">
      <c r="A7" s="20" t="inlineStr">
        <is>
          <t>D002</t>
        </is>
      </c>
      <c r="B7" s="16" t="inlineStr">
        <is>
          <t>劉立德</t>
        </is>
      </c>
      <c r="C7" s="66" t="inlineStr">
        <is>
          <t>植牙專科 家庭牙醫專科</t>
        </is>
      </c>
      <c r="D7" s="16" t="inlineStr">
        <is>
          <t>晶曜院長</t>
        </is>
      </c>
      <c r="E7" s="67">
        <f>IF(E$59="X","",IF(E$59&lt;&gt;"",E$59,IF(IFERROR(INDEX(醫師週班表!$C$5:$T$44,$CU7,E$57),"")=0,"",IF(MID(IFERROR(INDEX(醫師週班表!$C$5:$T$44,$CU7,E$57),""),2,1)="/",MID(IFERROR(INDEX(醫師週班表!$C$5:$T$44,$CU7,E$57),""),1+E$58*2,1),IF(MID(IFERROR(INDEX(醫師週班表!$C$5:$T$44,$CU7,E$57),""),3,1)="隔",IF(E$58=0,LEFT(IFERROR(INDEX(醫師週班表!$C$5:$T$44,$CU7,E$57),""),1),""),IF(MID(IFERROR(INDEX(醫師週班表!$C$5:$T$44,$CU7,E$57),""),2,1)="(",LEFT(IFERROR(INDEX(醫師週班表!$C$5:$T$44,$CU7,E$57),""),1),IFERROR(INDEX(醫師週班表!$C$5:$T$44,$CU7,E$57),"")))))))</f>
        <v/>
      </c>
      <c r="F7" s="68">
        <f>IF(F$59="X","",IF(F$59&lt;&gt;"",F$59,IF(IFERROR(INDEX(醫師週班表!$C$5:$T$44,$CU7,F$57),"")=0,"",IF(MID(IFERROR(INDEX(醫師週班表!$C$5:$T$44,$CU7,F$57),""),2,1)="/",MID(IFERROR(INDEX(醫師週班表!$C$5:$T$44,$CU7,F$57),""),1+F$58*2,1),IF(MID(IFERROR(INDEX(醫師週班表!$C$5:$T$44,$CU7,F$57),""),3,1)="隔",IF(F$58=0,LEFT(IFERROR(INDEX(醫師週班表!$C$5:$T$44,$CU7,F$57),""),1),""),IF(MID(IFERROR(INDEX(醫師週班表!$C$5:$T$44,$CU7,F$57),""),2,1)="(",LEFT(IFERROR(INDEX(醫師週班表!$C$5:$T$44,$CU7,F$57),""),1),IFERROR(INDEX(醫師週班表!$C$5:$T$44,$CU7,F$57),"")))))))</f>
        <v/>
      </c>
      <c r="G7" s="68">
        <f>IF(G$59="X","",IF(G$59&lt;&gt;"",G$59,IF(IFERROR(INDEX(醫師週班表!$C$5:$T$44,$CU7,G$57),"")=0,"",IF(MID(IFERROR(INDEX(醫師週班表!$C$5:$T$44,$CU7,G$57),""),2,1)="/",MID(IFERROR(INDEX(醫師週班表!$C$5:$T$44,$CU7,G$57),""),1+G$58*2,1),IF(MID(IFERROR(INDEX(醫師週班表!$C$5:$T$44,$CU7,G$57),""),3,1)="隔",IF(G$58=0,LEFT(IFERROR(INDEX(醫師週班表!$C$5:$T$44,$CU7,G$57),""),1),""),IF(MID(IFERROR(INDEX(醫師週班表!$C$5:$T$44,$CU7,G$57),""),2,1)="(",LEFT(IFERROR(INDEX(醫師週班表!$C$5:$T$44,$CU7,G$57),""),1),IFERROR(INDEX(醫師週班表!$C$5:$T$44,$CU7,G$57),"")))))))</f>
        <v/>
      </c>
      <c r="H7" s="67">
        <f>IF(H$59="X","",IF(H$59&lt;&gt;"",H$59,IF(IFERROR(INDEX(醫師週班表!$C$5:$T$44,$CU7,H$57),"")=0,"",IF(MID(IFERROR(INDEX(醫師週班表!$C$5:$T$44,$CU7,H$57),""),2,1)="/",MID(IFERROR(INDEX(醫師週班表!$C$5:$T$44,$CU7,H$57),""),1+H$58*2,1),IF(MID(IFERROR(INDEX(醫師週班表!$C$5:$T$44,$CU7,H$57),""),3,1)="隔",IF(H$58=0,LEFT(IFERROR(INDEX(醫師週班表!$C$5:$T$44,$CU7,H$57),""),1),""),IF(MID(IFERROR(INDEX(醫師週班表!$C$5:$T$44,$CU7,H$57),""),2,1)="(",LEFT(IFERROR(INDEX(醫師週班表!$C$5:$T$44,$CU7,H$57),""),1),IFERROR(INDEX(醫師週班表!$C$5:$T$44,$CU7,H$57),"")))))))</f>
        <v/>
      </c>
      <c r="I7" s="68">
        <f>IF(I$59="X","",IF(I$59&lt;&gt;"",I$59,IF(IFERROR(INDEX(醫師週班表!$C$5:$T$44,$CU7,I$57),"")=0,"",IF(MID(IFERROR(INDEX(醫師週班表!$C$5:$T$44,$CU7,I$57),""),2,1)="/",MID(IFERROR(INDEX(醫師週班表!$C$5:$T$44,$CU7,I$57),""),1+I$58*2,1),IF(MID(IFERROR(INDEX(醫師週班表!$C$5:$T$44,$CU7,I$57),""),3,1)="隔",IF(I$58=0,LEFT(IFERROR(INDEX(醫師週班表!$C$5:$T$44,$CU7,I$57),""),1),""),IF(MID(IFERROR(INDEX(醫師週班表!$C$5:$T$44,$CU7,I$57),""),2,1)="(",LEFT(IFERROR(INDEX(醫師週班表!$C$5:$T$44,$CU7,I$57),""),1),IFERROR(INDEX(醫師週班表!$C$5:$T$44,$CU7,I$57),"")))))))</f>
        <v/>
      </c>
      <c r="J7" s="68">
        <f>IF(J$59="X","",IF(J$59&lt;&gt;"",J$59,IF(IFERROR(INDEX(醫師週班表!$C$5:$T$44,$CU7,J$57),"")=0,"",IF(MID(IFERROR(INDEX(醫師週班表!$C$5:$T$44,$CU7,J$57),""),2,1)="/",MID(IFERROR(INDEX(醫師週班表!$C$5:$T$44,$CU7,J$57),""),1+J$58*2,1),IF(MID(IFERROR(INDEX(醫師週班表!$C$5:$T$44,$CU7,J$57),""),3,1)="隔",IF(J$58=0,LEFT(IFERROR(INDEX(醫師週班表!$C$5:$T$44,$CU7,J$57),""),1),""),IF(MID(IFERROR(INDEX(醫師週班表!$C$5:$T$44,$CU7,J$57),""),2,1)="(",LEFT(IFERROR(INDEX(醫師週班表!$C$5:$T$44,$CU7,J$57),""),1),IFERROR(INDEX(醫師週班表!$C$5:$T$44,$CU7,J$57),"")))))))</f>
        <v/>
      </c>
      <c r="K7" s="67">
        <f>IF(K$59="X","",IF(K$59&lt;&gt;"",K$59,IF(IFERROR(INDEX(醫師週班表!$C$5:$T$44,$CU7,K$57),"")=0,"",IF(MID(IFERROR(INDEX(醫師週班表!$C$5:$T$44,$CU7,K$57),""),2,1)="/",MID(IFERROR(INDEX(醫師週班表!$C$5:$T$44,$CU7,K$57),""),1+K$58*2,1),IF(MID(IFERROR(INDEX(醫師週班表!$C$5:$T$44,$CU7,K$57),""),3,1)="隔",IF(K$58=0,LEFT(IFERROR(INDEX(醫師週班表!$C$5:$T$44,$CU7,K$57),""),1),""),IF(MID(IFERROR(INDEX(醫師週班表!$C$5:$T$44,$CU7,K$57),""),2,1)="(",LEFT(IFERROR(INDEX(醫師週班表!$C$5:$T$44,$CU7,K$57),""),1),IFERROR(INDEX(醫師週班表!$C$5:$T$44,$CU7,K$57),"")))))))</f>
        <v/>
      </c>
      <c r="L7" s="68">
        <f>IF(L$59="X","",IF(L$59&lt;&gt;"",L$59,IF(IFERROR(INDEX(醫師週班表!$C$5:$T$44,$CU7,L$57),"")=0,"",IF(MID(IFERROR(INDEX(醫師週班表!$C$5:$T$44,$CU7,L$57),""),2,1)="/",MID(IFERROR(INDEX(醫師週班表!$C$5:$T$44,$CU7,L$57),""),1+L$58*2,1),IF(MID(IFERROR(INDEX(醫師週班表!$C$5:$T$44,$CU7,L$57),""),3,1)="隔",IF(L$58=0,LEFT(IFERROR(INDEX(醫師週班表!$C$5:$T$44,$CU7,L$57),""),1),""),IF(MID(IFERROR(INDEX(醫師週班表!$C$5:$T$44,$CU7,L$57),""),2,1)="(",LEFT(IFERROR(INDEX(醫師週班表!$C$5:$T$44,$CU7,L$57),""),1),IFERROR(INDEX(醫師週班表!$C$5:$T$44,$CU7,L$57),"")))))))</f>
        <v/>
      </c>
      <c r="M7" s="68">
        <f>IF(M$59="X","",IF(M$59&lt;&gt;"",M$59,IF(IFERROR(INDEX(醫師週班表!$C$5:$T$44,$CU7,M$57),"")=0,"",IF(MID(IFERROR(INDEX(醫師週班表!$C$5:$T$44,$CU7,M$57),""),2,1)="/",MID(IFERROR(INDEX(醫師週班表!$C$5:$T$44,$CU7,M$57),""),1+M$58*2,1),IF(MID(IFERROR(INDEX(醫師週班表!$C$5:$T$44,$CU7,M$57),""),3,1)="隔",IF(M$58=0,LEFT(IFERROR(INDEX(醫師週班表!$C$5:$T$44,$CU7,M$57),""),1),""),IF(MID(IFERROR(INDEX(醫師週班表!$C$5:$T$44,$CU7,M$57),""),2,1)="(",LEFT(IFERROR(INDEX(醫師週班表!$C$5:$T$44,$CU7,M$57),""),1),IFERROR(INDEX(醫師週班表!$C$5:$T$44,$CU7,M$57),"")))))))</f>
        <v/>
      </c>
      <c r="N7" s="67">
        <f>IF(N$59="X","",IF(N$59&lt;&gt;"",N$59,IF(IFERROR(INDEX(醫師週班表!$C$5:$T$44,$CU7,N$57),"")=0,"",IF(MID(IFERROR(INDEX(醫師週班表!$C$5:$T$44,$CU7,N$57),""),2,1)="/",MID(IFERROR(INDEX(醫師週班表!$C$5:$T$44,$CU7,N$57),""),1+N$58*2,1),IF(MID(IFERROR(INDEX(醫師週班表!$C$5:$T$44,$CU7,N$57),""),3,1)="隔",IF(N$58=0,LEFT(IFERROR(INDEX(醫師週班表!$C$5:$T$44,$CU7,N$57),""),1),""),IF(MID(IFERROR(INDEX(醫師週班表!$C$5:$T$44,$CU7,N$57),""),2,1)="(",LEFT(IFERROR(INDEX(醫師週班表!$C$5:$T$44,$CU7,N$57),""),1),IFERROR(INDEX(醫師週班表!$C$5:$T$44,$CU7,N$57),"")))))))</f>
        <v/>
      </c>
      <c r="O7" s="68">
        <f>IF(O$59="X","",IF(O$59&lt;&gt;"",O$59,IF(IFERROR(INDEX(醫師週班表!$C$5:$T$44,$CU7,O$57),"")=0,"",IF(MID(IFERROR(INDEX(醫師週班表!$C$5:$T$44,$CU7,O$57),""),2,1)="/",MID(IFERROR(INDEX(醫師週班表!$C$5:$T$44,$CU7,O$57),""),1+O$58*2,1),IF(MID(IFERROR(INDEX(醫師週班表!$C$5:$T$44,$CU7,O$57),""),3,1)="隔",IF(O$58=0,LEFT(IFERROR(INDEX(醫師週班表!$C$5:$T$44,$CU7,O$57),""),1),""),IF(MID(IFERROR(INDEX(醫師週班表!$C$5:$T$44,$CU7,O$57),""),2,1)="(",LEFT(IFERROR(INDEX(醫師週班表!$C$5:$T$44,$CU7,O$57),""),1),IFERROR(INDEX(醫師週班表!$C$5:$T$44,$CU7,O$57),"")))))))</f>
        <v/>
      </c>
      <c r="P7" s="68">
        <f>IF(P$59="X","",IF(P$59&lt;&gt;"",P$59,IF(IFERROR(INDEX(醫師週班表!$C$5:$T$44,$CU7,P$57),"")=0,"",IF(MID(IFERROR(INDEX(醫師週班表!$C$5:$T$44,$CU7,P$57),""),2,1)="/",MID(IFERROR(INDEX(醫師週班表!$C$5:$T$44,$CU7,P$57),""),1+P$58*2,1),IF(MID(IFERROR(INDEX(醫師週班表!$C$5:$T$44,$CU7,P$57),""),3,1)="隔",IF(P$58=0,LEFT(IFERROR(INDEX(醫師週班表!$C$5:$T$44,$CU7,P$57),""),1),""),IF(MID(IFERROR(INDEX(醫師週班表!$C$5:$T$44,$CU7,P$57),""),2,1)="(",LEFT(IFERROR(INDEX(醫師週班表!$C$5:$T$44,$CU7,P$57),""),1),IFERROR(INDEX(醫師週班表!$C$5:$T$44,$CU7,P$57),"")))))))</f>
        <v/>
      </c>
      <c r="Q7" s="67">
        <f>IF(Q$59="X","",IF(Q$59&lt;&gt;"",Q$59,IF(IFERROR(INDEX(醫師週班表!$C$5:$T$44,$CU7,Q$57),"")=0,"",IF(MID(IFERROR(INDEX(醫師週班表!$C$5:$T$44,$CU7,Q$57),""),2,1)="/",MID(IFERROR(INDEX(醫師週班表!$C$5:$T$44,$CU7,Q$57),""),1+Q$58*2,1),IF(MID(IFERROR(INDEX(醫師週班表!$C$5:$T$44,$CU7,Q$57),""),3,1)="隔",IF(Q$58=0,LEFT(IFERROR(INDEX(醫師週班表!$C$5:$T$44,$CU7,Q$57),""),1),""),IF(MID(IFERROR(INDEX(醫師週班表!$C$5:$T$44,$CU7,Q$57),""),2,1)="(",LEFT(IFERROR(INDEX(醫師週班表!$C$5:$T$44,$CU7,Q$57),""),1),IFERROR(INDEX(醫師週班表!$C$5:$T$44,$CU7,Q$57),"")))))))</f>
        <v/>
      </c>
      <c r="R7" s="68">
        <f>IF(R$59="X","",IF(R$59&lt;&gt;"",R$59,IF(IFERROR(INDEX(醫師週班表!$C$5:$T$44,$CU7,R$57),"")=0,"",IF(MID(IFERROR(INDEX(醫師週班表!$C$5:$T$44,$CU7,R$57),""),2,1)="/",MID(IFERROR(INDEX(醫師週班表!$C$5:$T$44,$CU7,R$57),""),1+R$58*2,1),IF(MID(IFERROR(INDEX(醫師週班表!$C$5:$T$44,$CU7,R$57),""),3,1)="隔",IF(R$58=0,LEFT(IFERROR(INDEX(醫師週班表!$C$5:$T$44,$CU7,R$57),""),1),""),IF(MID(IFERROR(INDEX(醫師週班表!$C$5:$T$44,$CU7,R$57),""),2,1)="(",LEFT(IFERROR(INDEX(醫師週班表!$C$5:$T$44,$CU7,R$57),""),1),IFERROR(INDEX(醫師週班表!$C$5:$T$44,$CU7,R$57),"")))))))</f>
        <v/>
      </c>
      <c r="S7" s="68">
        <f>IF(S$59="X","",IF(S$59&lt;&gt;"",S$59,IF(IFERROR(INDEX(醫師週班表!$C$5:$T$44,$CU7,S$57),"")=0,"",IF(MID(IFERROR(INDEX(醫師週班表!$C$5:$T$44,$CU7,S$57),""),2,1)="/",MID(IFERROR(INDEX(醫師週班表!$C$5:$T$44,$CU7,S$57),""),1+S$58*2,1),IF(MID(IFERROR(INDEX(醫師週班表!$C$5:$T$44,$CU7,S$57),""),3,1)="隔",IF(S$58=0,LEFT(IFERROR(INDEX(醫師週班表!$C$5:$T$44,$CU7,S$57),""),1),""),IF(MID(IFERROR(INDEX(醫師週班表!$C$5:$T$44,$CU7,S$57),""),2,1)="(",LEFT(IFERROR(INDEX(醫師週班表!$C$5:$T$44,$CU7,S$57),""),1),IFERROR(INDEX(醫師週班表!$C$5:$T$44,$CU7,S$57),"")))))))</f>
        <v/>
      </c>
      <c r="T7" s="67">
        <f>IF(T$59="X","",IF(T$59&lt;&gt;"",T$59,IF(IFERROR(INDEX(醫師週班表!$C$5:$T$44,$CU7,T$57),"")=0,"",IF(MID(IFERROR(INDEX(醫師週班表!$C$5:$T$44,$CU7,T$57),""),2,1)="/",MID(IFERROR(INDEX(醫師週班表!$C$5:$T$44,$CU7,T$57),""),1+T$58*2,1),IF(MID(IFERROR(INDEX(醫師週班表!$C$5:$T$44,$CU7,T$57),""),3,1)="隔",IF(T$58=0,LEFT(IFERROR(INDEX(醫師週班表!$C$5:$T$44,$CU7,T$57),""),1),""),IF(MID(IFERROR(INDEX(醫師週班表!$C$5:$T$44,$CU7,T$57),""),2,1)="(",LEFT(IFERROR(INDEX(醫師週班表!$C$5:$T$44,$CU7,T$57),""),1),IFERROR(INDEX(醫師週班表!$C$5:$T$44,$CU7,T$57),"")))))))</f>
        <v/>
      </c>
      <c r="U7" s="68">
        <f>IF(U$59="X","",IF(U$59&lt;&gt;"",U$59,IF(IFERROR(INDEX(醫師週班表!$C$5:$T$44,$CU7,U$57),"")=0,"",IF(MID(IFERROR(INDEX(醫師週班表!$C$5:$T$44,$CU7,U$57),""),2,1)="/",MID(IFERROR(INDEX(醫師週班表!$C$5:$T$44,$CU7,U$57),""),1+U$58*2,1),IF(MID(IFERROR(INDEX(醫師週班表!$C$5:$T$44,$CU7,U$57),""),3,1)="隔",IF(U$58=0,LEFT(IFERROR(INDEX(醫師週班表!$C$5:$T$44,$CU7,U$57),""),1),""),IF(MID(IFERROR(INDEX(醫師週班表!$C$5:$T$44,$CU7,U$57),""),2,1)="(",LEFT(IFERROR(INDEX(醫師週班表!$C$5:$T$44,$CU7,U$57),""),1),IFERROR(INDEX(醫師週班表!$C$5:$T$44,$CU7,U$57),"")))))))</f>
        <v/>
      </c>
      <c r="V7" s="68">
        <f>IF(V$59="X","",IF(V$59&lt;&gt;"",V$59,IF(IFERROR(INDEX(醫師週班表!$C$5:$T$44,$CU7,V$57),"")=0,"",IF(MID(IFERROR(INDEX(醫師週班表!$C$5:$T$44,$CU7,V$57),""),2,1)="/",MID(IFERROR(INDEX(醫師週班表!$C$5:$T$44,$CU7,V$57),""),1+V$58*2,1),IF(MID(IFERROR(INDEX(醫師週班表!$C$5:$T$44,$CU7,V$57),""),3,1)="隔",IF(V$58=0,LEFT(IFERROR(INDEX(醫師週班表!$C$5:$T$44,$CU7,V$57),""),1),""),IF(MID(IFERROR(INDEX(醫師週班表!$C$5:$T$44,$CU7,V$57),""),2,1)="(",LEFT(IFERROR(INDEX(醫師週班表!$C$5:$T$44,$CU7,V$57),""),1),IFERROR(INDEX(醫師週班表!$C$5:$T$44,$CU7,V$57),"")))))))</f>
        <v/>
      </c>
      <c r="W7" s="67">
        <f>IF(W$59="X","",IF(W$59&lt;&gt;"",W$59,IF(IFERROR(INDEX(醫師週班表!$C$5:$T$44,$CU7,W$57),"")=0,"",IF(MID(IFERROR(INDEX(醫師週班表!$C$5:$T$44,$CU7,W$57),""),2,1)="/",MID(IFERROR(INDEX(醫師週班表!$C$5:$T$44,$CU7,W$57),""),1+W$58*2,1),IF(MID(IFERROR(INDEX(醫師週班表!$C$5:$T$44,$CU7,W$57),""),3,1)="隔",IF(W$58=0,LEFT(IFERROR(INDEX(醫師週班表!$C$5:$T$44,$CU7,W$57),""),1),""),IF(MID(IFERROR(INDEX(醫師週班表!$C$5:$T$44,$CU7,W$57),""),2,1)="(",LEFT(IFERROR(INDEX(醫師週班表!$C$5:$T$44,$CU7,W$57),""),1),IFERROR(INDEX(醫師週班表!$C$5:$T$44,$CU7,W$57),"")))))))</f>
        <v/>
      </c>
      <c r="X7" s="68">
        <f>IF(X$59="X","",IF(X$59&lt;&gt;"",X$59,IF(IFERROR(INDEX(醫師週班表!$C$5:$T$44,$CU7,X$57),"")=0,"",IF(MID(IFERROR(INDEX(醫師週班表!$C$5:$T$44,$CU7,X$57),""),2,1)="/",MID(IFERROR(INDEX(醫師週班表!$C$5:$T$44,$CU7,X$57),""),1+X$58*2,1),IF(MID(IFERROR(INDEX(醫師週班表!$C$5:$T$44,$CU7,X$57),""),3,1)="隔",IF(X$58=0,LEFT(IFERROR(INDEX(醫師週班表!$C$5:$T$44,$CU7,X$57),""),1),""),IF(MID(IFERROR(INDEX(醫師週班表!$C$5:$T$44,$CU7,X$57),""),2,1)="(",LEFT(IFERROR(INDEX(醫師週班表!$C$5:$T$44,$CU7,X$57),""),1),IFERROR(INDEX(醫師週班表!$C$5:$T$44,$CU7,X$57),"")))))))</f>
        <v/>
      </c>
      <c r="Y7" s="68">
        <f>IF(Y$59="X","",IF(Y$59&lt;&gt;"",Y$59,IF(IFERROR(INDEX(醫師週班表!$C$5:$T$44,$CU7,Y$57),"")=0,"",IF(MID(IFERROR(INDEX(醫師週班表!$C$5:$T$44,$CU7,Y$57),""),2,1)="/",MID(IFERROR(INDEX(醫師週班表!$C$5:$T$44,$CU7,Y$57),""),1+Y$58*2,1),IF(MID(IFERROR(INDEX(醫師週班表!$C$5:$T$44,$CU7,Y$57),""),3,1)="隔",IF(Y$58=0,LEFT(IFERROR(INDEX(醫師週班表!$C$5:$T$44,$CU7,Y$57),""),1),""),IF(MID(IFERROR(INDEX(醫師週班表!$C$5:$T$44,$CU7,Y$57),""),2,1)="(",LEFT(IFERROR(INDEX(醫師週班表!$C$5:$T$44,$CU7,Y$57),""),1),IFERROR(INDEX(醫師週班表!$C$5:$T$44,$CU7,Y$57),"")))))))</f>
        <v/>
      </c>
      <c r="Z7" s="67">
        <f>IF(Z$59="X","",IF(Z$59&lt;&gt;"",Z$59,IF(IFERROR(INDEX(醫師週班表!$C$5:$T$44,$CU7,Z$57),"")=0,"",IF(MID(IFERROR(INDEX(醫師週班表!$C$5:$T$44,$CU7,Z$57),""),2,1)="/",MID(IFERROR(INDEX(醫師週班表!$C$5:$T$44,$CU7,Z$57),""),1+Z$58*2,1),IF(MID(IFERROR(INDEX(醫師週班表!$C$5:$T$44,$CU7,Z$57),""),3,1)="隔",IF(Z$58=0,LEFT(IFERROR(INDEX(醫師週班表!$C$5:$T$44,$CU7,Z$57),""),1),""),IF(MID(IFERROR(INDEX(醫師週班表!$C$5:$T$44,$CU7,Z$57),""),2,1)="(",LEFT(IFERROR(INDEX(醫師週班表!$C$5:$T$44,$CU7,Z$57),""),1),IFERROR(INDEX(醫師週班表!$C$5:$T$44,$CU7,Z$57),"")))))))</f>
        <v/>
      </c>
      <c r="AA7" s="68">
        <f>IF(AA$59="X","",IF(AA$59&lt;&gt;"",AA$59,IF(IFERROR(INDEX(醫師週班表!$C$5:$T$44,$CU7,AA$57),"")=0,"",IF(MID(IFERROR(INDEX(醫師週班表!$C$5:$T$44,$CU7,AA$57),""),2,1)="/",MID(IFERROR(INDEX(醫師週班表!$C$5:$T$44,$CU7,AA$57),""),1+AA$58*2,1),IF(MID(IFERROR(INDEX(醫師週班表!$C$5:$T$44,$CU7,AA$57),""),3,1)="隔",IF(AA$58=0,LEFT(IFERROR(INDEX(醫師週班表!$C$5:$T$44,$CU7,AA$57),""),1),""),IF(MID(IFERROR(INDEX(醫師週班表!$C$5:$T$44,$CU7,AA$57),""),2,1)="(",LEFT(IFERROR(INDEX(醫師週班表!$C$5:$T$44,$CU7,AA$57),""),1),IFERROR(INDEX(醫師週班表!$C$5:$T$44,$CU7,AA$57),"")))))))</f>
        <v/>
      </c>
      <c r="AB7" s="68">
        <f>IF(AB$59="X","",IF(AB$59&lt;&gt;"",AB$59,IF(IFERROR(INDEX(醫師週班表!$C$5:$T$44,$CU7,AB$57),"")=0,"",IF(MID(IFERROR(INDEX(醫師週班表!$C$5:$T$44,$CU7,AB$57),""),2,1)="/",MID(IFERROR(INDEX(醫師週班表!$C$5:$T$44,$CU7,AB$57),""),1+AB$58*2,1),IF(MID(IFERROR(INDEX(醫師週班表!$C$5:$T$44,$CU7,AB$57),""),3,1)="隔",IF(AB$58=0,LEFT(IFERROR(INDEX(醫師週班表!$C$5:$T$44,$CU7,AB$57),""),1),""),IF(MID(IFERROR(INDEX(醫師週班表!$C$5:$T$44,$CU7,AB$57),""),2,1)="(",LEFT(IFERROR(INDEX(醫師週班表!$C$5:$T$44,$CU7,AB$57),""),1),IFERROR(INDEX(醫師週班表!$C$5:$T$44,$CU7,AB$57),"")))))))</f>
        <v/>
      </c>
      <c r="AC7" s="67">
        <f>IF(AC$59="X","",IF(AC$59&lt;&gt;"",AC$59,IF(IFERROR(INDEX(醫師週班表!$C$5:$T$44,$CU7,AC$57),"")=0,"",IF(MID(IFERROR(INDEX(醫師週班表!$C$5:$T$44,$CU7,AC$57),""),2,1)="/",MID(IFERROR(INDEX(醫師週班表!$C$5:$T$44,$CU7,AC$57),""),1+AC$58*2,1),IF(MID(IFERROR(INDEX(醫師週班表!$C$5:$T$44,$CU7,AC$57),""),3,1)="隔",IF(AC$58=0,LEFT(IFERROR(INDEX(醫師週班表!$C$5:$T$44,$CU7,AC$57),""),1),""),IF(MID(IFERROR(INDEX(醫師週班表!$C$5:$T$44,$CU7,AC$57),""),2,1)="(",LEFT(IFERROR(INDEX(醫師週班表!$C$5:$T$44,$CU7,AC$57),""),1),IFERROR(INDEX(醫師週班表!$C$5:$T$44,$CU7,AC$57),"")))))))</f>
        <v/>
      </c>
      <c r="AD7" s="68">
        <f>IF(AD$59="X","",IF(AD$59&lt;&gt;"",AD$59,IF(IFERROR(INDEX(醫師週班表!$C$5:$T$44,$CU7,AD$57),"")=0,"",IF(MID(IFERROR(INDEX(醫師週班表!$C$5:$T$44,$CU7,AD$57),""),2,1)="/",MID(IFERROR(INDEX(醫師週班表!$C$5:$T$44,$CU7,AD$57),""),1+AD$58*2,1),IF(MID(IFERROR(INDEX(醫師週班表!$C$5:$T$44,$CU7,AD$57),""),3,1)="隔",IF(AD$58=0,LEFT(IFERROR(INDEX(醫師週班表!$C$5:$T$44,$CU7,AD$57),""),1),""),IF(MID(IFERROR(INDEX(醫師週班表!$C$5:$T$44,$CU7,AD$57),""),2,1)="(",LEFT(IFERROR(INDEX(醫師週班表!$C$5:$T$44,$CU7,AD$57),""),1),IFERROR(INDEX(醫師週班表!$C$5:$T$44,$CU7,AD$57),"")))))))</f>
        <v/>
      </c>
      <c r="AE7" s="68">
        <f>IF(AE$59="X","",IF(AE$59&lt;&gt;"",AE$59,IF(IFERROR(INDEX(醫師週班表!$C$5:$T$44,$CU7,AE$57),"")=0,"",IF(MID(IFERROR(INDEX(醫師週班表!$C$5:$T$44,$CU7,AE$57),""),2,1)="/",MID(IFERROR(INDEX(醫師週班表!$C$5:$T$44,$CU7,AE$57),""),1+AE$58*2,1),IF(MID(IFERROR(INDEX(醫師週班表!$C$5:$T$44,$CU7,AE$57),""),3,1)="隔",IF(AE$58=0,LEFT(IFERROR(INDEX(醫師週班表!$C$5:$T$44,$CU7,AE$57),""),1),""),IF(MID(IFERROR(INDEX(醫師週班表!$C$5:$T$44,$CU7,AE$57),""),2,1)="(",LEFT(IFERROR(INDEX(醫師週班表!$C$5:$T$44,$CU7,AE$57),""),1),IFERROR(INDEX(醫師週班表!$C$5:$T$44,$CU7,AE$57),"")))))))</f>
        <v/>
      </c>
      <c r="AF7" s="67">
        <f>IF(AF$59="X","",IF(AF$59&lt;&gt;"",AF$59,IF(IFERROR(INDEX(醫師週班表!$C$5:$T$44,$CU7,AF$57),"")=0,"",IF(MID(IFERROR(INDEX(醫師週班表!$C$5:$T$44,$CU7,AF$57),""),2,1)="/",MID(IFERROR(INDEX(醫師週班表!$C$5:$T$44,$CU7,AF$57),""),1+AF$58*2,1),IF(MID(IFERROR(INDEX(醫師週班表!$C$5:$T$44,$CU7,AF$57),""),3,1)="隔",IF(AF$58=0,LEFT(IFERROR(INDEX(醫師週班表!$C$5:$T$44,$CU7,AF$57),""),1),""),IF(MID(IFERROR(INDEX(醫師週班表!$C$5:$T$44,$CU7,AF$57),""),2,1)="(",LEFT(IFERROR(INDEX(醫師週班表!$C$5:$T$44,$CU7,AF$57),""),1),IFERROR(INDEX(醫師週班表!$C$5:$T$44,$CU7,AF$57),"")))))))</f>
        <v/>
      </c>
      <c r="AG7" s="68">
        <f>IF(AG$59="X","",IF(AG$59&lt;&gt;"",AG$59,IF(IFERROR(INDEX(醫師週班表!$C$5:$T$44,$CU7,AG$57),"")=0,"",IF(MID(IFERROR(INDEX(醫師週班表!$C$5:$T$44,$CU7,AG$57),""),2,1)="/",MID(IFERROR(INDEX(醫師週班表!$C$5:$T$44,$CU7,AG$57),""),1+AG$58*2,1),IF(MID(IFERROR(INDEX(醫師週班表!$C$5:$T$44,$CU7,AG$57),""),3,1)="隔",IF(AG$58=0,LEFT(IFERROR(INDEX(醫師週班表!$C$5:$T$44,$CU7,AG$57),""),1),""),IF(MID(IFERROR(INDEX(醫師週班表!$C$5:$T$44,$CU7,AG$57),""),2,1)="(",LEFT(IFERROR(INDEX(醫師週班表!$C$5:$T$44,$CU7,AG$57),""),1),IFERROR(INDEX(醫師週班表!$C$5:$T$44,$CU7,AG$57),"")))))))</f>
        <v/>
      </c>
      <c r="AH7" s="68">
        <f>IF(AH$59="X","",IF(AH$59&lt;&gt;"",AH$59,IF(IFERROR(INDEX(醫師週班表!$C$5:$T$44,$CU7,AH$57),"")=0,"",IF(MID(IFERROR(INDEX(醫師週班表!$C$5:$T$44,$CU7,AH$57),""),2,1)="/",MID(IFERROR(INDEX(醫師週班表!$C$5:$T$44,$CU7,AH$57),""),1+AH$58*2,1),IF(MID(IFERROR(INDEX(醫師週班表!$C$5:$T$44,$CU7,AH$57),""),3,1)="隔",IF(AH$58=0,LEFT(IFERROR(INDEX(醫師週班表!$C$5:$T$44,$CU7,AH$57),""),1),""),IF(MID(IFERROR(INDEX(醫師週班表!$C$5:$T$44,$CU7,AH$57),""),2,1)="(",LEFT(IFERROR(INDEX(醫師週班表!$C$5:$T$44,$CU7,AH$57),""),1),IFERROR(INDEX(醫師週班表!$C$5:$T$44,$CU7,AH$57),"")))))))</f>
        <v/>
      </c>
      <c r="AI7" s="67">
        <f>IF(AI$59="X","",IF(AI$59&lt;&gt;"",AI$59,IF(IFERROR(INDEX(醫師週班表!$C$5:$T$44,$CU7,AI$57),"")=0,"",IF(MID(IFERROR(INDEX(醫師週班表!$C$5:$T$44,$CU7,AI$57),""),2,1)="/",MID(IFERROR(INDEX(醫師週班表!$C$5:$T$44,$CU7,AI$57),""),1+AI$58*2,1),IF(MID(IFERROR(INDEX(醫師週班表!$C$5:$T$44,$CU7,AI$57),""),3,1)="隔",IF(AI$58=0,LEFT(IFERROR(INDEX(醫師週班表!$C$5:$T$44,$CU7,AI$57),""),1),""),IF(MID(IFERROR(INDEX(醫師週班表!$C$5:$T$44,$CU7,AI$57),""),2,1)="(",LEFT(IFERROR(INDEX(醫師週班表!$C$5:$T$44,$CU7,AI$57),""),1),IFERROR(INDEX(醫師週班表!$C$5:$T$44,$CU7,AI$57),"")))))))</f>
        <v/>
      </c>
      <c r="AJ7" s="68">
        <f>IF(AJ$59="X","",IF(AJ$59&lt;&gt;"",AJ$59,IF(IFERROR(INDEX(醫師週班表!$C$5:$T$44,$CU7,AJ$57),"")=0,"",IF(MID(IFERROR(INDEX(醫師週班表!$C$5:$T$44,$CU7,AJ$57),""),2,1)="/",MID(IFERROR(INDEX(醫師週班表!$C$5:$T$44,$CU7,AJ$57),""),1+AJ$58*2,1),IF(MID(IFERROR(INDEX(醫師週班表!$C$5:$T$44,$CU7,AJ$57),""),3,1)="隔",IF(AJ$58=0,LEFT(IFERROR(INDEX(醫師週班表!$C$5:$T$44,$CU7,AJ$57),""),1),""),IF(MID(IFERROR(INDEX(醫師週班表!$C$5:$T$44,$CU7,AJ$57),""),2,1)="(",LEFT(IFERROR(INDEX(醫師週班表!$C$5:$T$44,$CU7,AJ$57),""),1),IFERROR(INDEX(醫師週班表!$C$5:$T$44,$CU7,AJ$57),"")))))))</f>
        <v/>
      </c>
      <c r="AK7" s="68">
        <f>IF(AK$59="X","",IF(AK$59&lt;&gt;"",AK$59,IF(IFERROR(INDEX(醫師週班表!$C$5:$T$44,$CU7,AK$57),"")=0,"",IF(MID(IFERROR(INDEX(醫師週班表!$C$5:$T$44,$CU7,AK$57),""),2,1)="/",MID(IFERROR(INDEX(醫師週班表!$C$5:$T$44,$CU7,AK$57),""),1+AK$58*2,1),IF(MID(IFERROR(INDEX(醫師週班表!$C$5:$T$44,$CU7,AK$57),""),3,1)="隔",IF(AK$58=0,LEFT(IFERROR(INDEX(醫師週班表!$C$5:$T$44,$CU7,AK$57),""),1),""),IF(MID(IFERROR(INDEX(醫師週班表!$C$5:$T$44,$CU7,AK$57),""),2,1)="(",LEFT(IFERROR(INDEX(醫師週班表!$C$5:$T$44,$CU7,AK$57),""),1),IFERROR(INDEX(醫師週班表!$C$5:$T$44,$CU7,AK$57),"")))))))</f>
        <v/>
      </c>
      <c r="AL7" s="67">
        <f>IF(AL$59="X","",IF(AL$59&lt;&gt;"",AL$59,IF(IFERROR(INDEX(醫師週班表!$C$5:$T$44,$CU7,AL$57),"")=0,"",IF(MID(IFERROR(INDEX(醫師週班表!$C$5:$T$44,$CU7,AL$57),""),2,1)="/",MID(IFERROR(INDEX(醫師週班表!$C$5:$T$44,$CU7,AL$57),""),1+AL$58*2,1),IF(MID(IFERROR(INDEX(醫師週班表!$C$5:$T$44,$CU7,AL$57),""),3,1)="隔",IF(AL$58=0,LEFT(IFERROR(INDEX(醫師週班表!$C$5:$T$44,$CU7,AL$57),""),1),""),IF(MID(IFERROR(INDEX(醫師週班表!$C$5:$T$44,$CU7,AL$57),""),2,1)="(",LEFT(IFERROR(INDEX(醫師週班表!$C$5:$T$44,$CU7,AL$57),""),1),IFERROR(INDEX(醫師週班表!$C$5:$T$44,$CU7,AL$57),"")))))))</f>
        <v/>
      </c>
      <c r="AM7" s="68">
        <f>IF(AM$59="X","",IF(AM$59&lt;&gt;"",AM$59,IF(IFERROR(INDEX(醫師週班表!$C$5:$T$44,$CU7,AM$57),"")=0,"",IF(MID(IFERROR(INDEX(醫師週班表!$C$5:$T$44,$CU7,AM$57),""),2,1)="/",MID(IFERROR(INDEX(醫師週班表!$C$5:$T$44,$CU7,AM$57),""),1+AM$58*2,1),IF(MID(IFERROR(INDEX(醫師週班表!$C$5:$T$44,$CU7,AM$57),""),3,1)="隔",IF(AM$58=0,LEFT(IFERROR(INDEX(醫師週班表!$C$5:$T$44,$CU7,AM$57),""),1),""),IF(MID(IFERROR(INDEX(醫師週班表!$C$5:$T$44,$CU7,AM$57),""),2,1)="(",LEFT(IFERROR(INDEX(醫師週班表!$C$5:$T$44,$CU7,AM$57),""),1),IFERROR(INDEX(醫師週班表!$C$5:$T$44,$CU7,AM$57),"")))))))</f>
        <v/>
      </c>
      <c r="AN7" s="68">
        <f>IF(AN$59="X","",IF(AN$59&lt;&gt;"",AN$59,IF(IFERROR(INDEX(醫師週班表!$C$5:$T$44,$CU7,AN$57),"")=0,"",IF(MID(IFERROR(INDEX(醫師週班表!$C$5:$T$44,$CU7,AN$57),""),2,1)="/",MID(IFERROR(INDEX(醫師週班表!$C$5:$T$44,$CU7,AN$57),""),1+AN$58*2,1),IF(MID(IFERROR(INDEX(醫師週班表!$C$5:$T$44,$CU7,AN$57),""),3,1)="隔",IF(AN$58=0,LEFT(IFERROR(INDEX(醫師週班表!$C$5:$T$44,$CU7,AN$57),""),1),""),IF(MID(IFERROR(INDEX(醫師週班表!$C$5:$T$44,$CU7,AN$57),""),2,1)="(",LEFT(IFERROR(INDEX(醫師週班表!$C$5:$T$44,$CU7,AN$57),""),1),IFERROR(INDEX(醫師週班表!$C$5:$T$44,$CU7,AN$57),"")))))))</f>
        <v/>
      </c>
      <c r="AO7" s="67">
        <f>IF(AO$59="X","",IF(AO$59&lt;&gt;"",AO$59,IF(IFERROR(INDEX(醫師週班表!$C$5:$T$44,$CU7,AO$57),"")=0,"",IF(MID(IFERROR(INDEX(醫師週班表!$C$5:$T$44,$CU7,AO$57),""),2,1)="/",MID(IFERROR(INDEX(醫師週班表!$C$5:$T$44,$CU7,AO$57),""),1+AO$58*2,1),IF(MID(IFERROR(INDEX(醫師週班表!$C$5:$T$44,$CU7,AO$57),""),3,1)="隔",IF(AO$58=0,LEFT(IFERROR(INDEX(醫師週班表!$C$5:$T$44,$CU7,AO$57),""),1),""),IF(MID(IFERROR(INDEX(醫師週班表!$C$5:$T$44,$CU7,AO$57),""),2,1)="(",LEFT(IFERROR(INDEX(醫師週班表!$C$5:$T$44,$CU7,AO$57),""),1),IFERROR(INDEX(醫師週班表!$C$5:$T$44,$CU7,AO$57),"")))))))</f>
        <v/>
      </c>
      <c r="AP7" s="68">
        <f>IF(AP$59="X","",IF(AP$59&lt;&gt;"",AP$59,IF(IFERROR(INDEX(醫師週班表!$C$5:$T$44,$CU7,AP$57),"")=0,"",IF(MID(IFERROR(INDEX(醫師週班表!$C$5:$T$44,$CU7,AP$57),""),2,1)="/",MID(IFERROR(INDEX(醫師週班表!$C$5:$T$44,$CU7,AP$57),""),1+AP$58*2,1),IF(MID(IFERROR(INDEX(醫師週班表!$C$5:$T$44,$CU7,AP$57),""),3,1)="隔",IF(AP$58=0,LEFT(IFERROR(INDEX(醫師週班表!$C$5:$T$44,$CU7,AP$57),""),1),""),IF(MID(IFERROR(INDEX(醫師週班表!$C$5:$T$44,$CU7,AP$57),""),2,1)="(",LEFT(IFERROR(INDEX(醫師週班表!$C$5:$T$44,$CU7,AP$57),""),1),IFERROR(INDEX(醫師週班表!$C$5:$T$44,$CU7,AP$57),"")))))))</f>
        <v/>
      </c>
      <c r="AQ7" s="68">
        <f>IF(AQ$59="X","",IF(AQ$59&lt;&gt;"",AQ$59,IF(IFERROR(INDEX(醫師週班表!$C$5:$T$44,$CU7,AQ$57),"")=0,"",IF(MID(IFERROR(INDEX(醫師週班表!$C$5:$T$44,$CU7,AQ$57),""),2,1)="/",MID(IFERROR(INDEX(醫師週班表!$C$5:$T$44,$CU7,AQ$57),""),1+AQ$58*2,1),IF(MID(IFERROR(INDEX(醫師週班表!$C$5:$T$44,$CU7,AQ$57),""),3,1)="隔",IF(AQ$58=0,LEFT(IFERROR(INDEX(醫師週班表!$C$5:$T$44,$CU7,AQ$57),""),1),""),IF(MID(IFERROR(INDEX(醫師週班表!$C$5:$T$44,$CU7,AQ$57),""),2,1)="(",LEFT(IFERROR(INDEX(醫師週班表!$C$5:$T$44,$CU7,AQ$57),""),1),IFERROR(INDEX(醫師週班表!$C$5:$T$44,$CU7,AQ$57),"")))))))</f>
        <v/>
      </c>
      <c r="AR7" s="67">
        <f>IF(AR$59="X","",IF(AR$59&lt;&gt;"",AR$59,IF(IFERROR(INDEX(醫師週班表!$C$5:$T$44,$CU7,AR$57),"")=0,"",IF(MID(IFERROR(INDEX(醫師週班表!$C$5:$T$44,$CU7,AR$57),""),2,1)="/",MID(IFERROR(INDEX(醫師週班表!$C$5:$T$44,$CU7,AR$57),""),1+AR$58*2,1),IF(MID(IFERROR(INDEX(醫師週班表!$C$5:$T$44,$CU7,AR$57),""),3,1)="隔",IF(AR$58=0,LEFT(IFERROR(INDEX(醫師週班表!$C$5:$T$44,$CU7,AR$57),""),1),""),IF(MID(IFERROR(INDEX(醫師週班表!$C$5:$T$44,$CU7,AR$57),""),2,1)="(",LEFT(IFERROR(INDEX(醫師週班表!$C$5:$T$44,$CU7,AR$57),""),1),IFERROR(INDEX(醫師週班表!$C$5:$T$44,$CU7,AR$57),"")))))))</f>
        <v/>
      </c>
      <c r="AS7" s="68">
        <f>IF(AS$59="X","",IF(AS$59&lt;&gt;"",AS$59,IF(IFERROR(INDEX(醫師週班表!$C$5:$T$44,$CU7,AS$57),"")=0,"",IF(MID(IFERROR(INDEX(醫師週班表!$C$5:$T$44,$CU7,AS$57),""),2,1)="/",MID(IFERROR(INDEX(醫師週班表!$C$5:$T$44,$CU7,AS$57),""),1+AS$58*2,1),IF(MID(IFERROR(INDEX(醫師週班表!$C$5:$T$44,$CU7,AS$57),""),3,1)="隔",IF(AS$58=0,LEFT(IFERROR(INDEX(醫師週班表!$C$5:$T$44,$CU7,AS$57),""),1),""),IF(MID(IFERROR(INDEX(醫師週班表!$C$5:$T$44,$CU7,AS$57),""),2,1)="(",LEFT(IFERROR(INDEX(醫師週班表!$C$5:$T$44,$CU7,AS$57),""),1),IFERROR(INDEX(醫師週班表!$C$5:$T$44,$CU7,AS$57),"")))))))</f>
        <v/>
      </c>
      <c r="AT7" s="68">
        <f>IF(AT$59="X","",IF(AT$59&lt;&gt;"",AT$59,IF(IFERROR(INDEX(醫師週班表!$C$5:$T$44,$CU7,AT$57),"")=0,"",IF(MID(IFERROR(INDEX(醫師週班表!$C$5:$T$44,$CU7,AT$57),""),2,1)="/",MID(IFERROR(INDEX(醫師週班表!$C$5:$T$44,$CU7,AT$57),""),1+AT$58*2,1),IF(MID(IFERROR(INDEX(醫師週班表!$C$5:$T$44,$CU7,AT$57),""),3,1)="隔",IF(AT$58=0,LEFT(IFERROR(INDEX(醫師週班表!$C$5:$T$44,$CU7,AT$57),""),1),""),IF(MID(IFERROR(INDEX(醫師週班表!$C$5:$T$44,$CU7,AT$57),""),2,1)="(",LEFT(IFERROR(INDEX(醫師週班表!$C$5:$T$44,$CU7,AT$57),""),1),IFERROR(INDEX(醫師週班表!$C$5:$T$44,$CU7,AT$57),"")))))))</f>
        <v/>
      </c>
      <c r="AU7" s="67">
        <f>IF(AU$59="X","",IF(AU$59&lt;&gt;"",AU$59,IF(IFERROR(INDEX(醫師週班表!$C$5:$T$44,$CU7,AU$57),"")=0,"",IF(MID(IFERROR(INDEX(醫師週班表!$C$5:$T$44,$CU7,AU$57),""),2,1)="/",MID(IFERROR(INDEX(醫師週班表!$C$5:$T$44,$CU7,AU$57),""),1+AU$58*2,1),IF(MID(IFERROR(INDEX(醫師週班表!$C$5:$T$44,$CU7,AU$57),""),3,1)="隔",IF(AU$58=0,LEFT(IFERROR(INDEX(醫師週班表!$C$5:$T$44,$CU7,AU$57),""),1),""),IF(MID(IFERROR(INDEX(醫師週班表!$C$5:$T$44,$CU7,AU$57),""),2,1)="(",LEFT(IFERROR(INDEX(醫師週班表!$C$5:$T$44,$CU7,AU$57),""),1),IFERROR(INDEX(醫師週班表!$C$5:$T$44,$CU7,AU$57),"")))))))</f>
        <v/>
      </c>
      <c r="AV7" s="68">
        <f>IF(AV$59="X","",IF(AV$59&lt;&gt;"",AV$59,IF(IFERROR(INDEX(醫師週班表!$C$5:$T$44,$CU7,AV$57),"")=0,"",IF(MID(IFERROR(INDEX(醫師週班表!$C$5:$T$44,$CU7,AV$57),""),2,1)="/",MID(IFERROR(INDEX(醫師週班表!$C$5:$T$44,$CU7,AV$57),""),1+AV$58*2,1),IF(MID(IFERROR(INDEX(醫師週班表!$C$5:$T$44,$CU7,AV$57),""),3,1)="隔",IF(AV$58=0,LEFT(IFERROR(INDEX(醫師週班表!$C$5:$T$44,$CU7,AV$57),""),1),""),IF(MID(IFERROR(INDEX(醫師週班表!$C$5:$T$44,$CU7,AV$57),""),2,1)="(",LEFT(IFERROR(INDEX(醫師週班表!$C$5:$T$44,$CU7,AV$57),""),1),IFERROR(INDEX(醫師週班表!$C$5:$T$44,$CU7,AV$57),"")))))))</f>
        <v/>
      </c>
      <c r="AW7" s="68">
        <f>IF(AW$59="X","",IF(AW$59&lt;&gt;"",AW$59,IF(IFERROR(INDEX(醫師週班表!$C$5:$T$44,$CU7,AW$57),"")=0,"",IF(MID(IFERROR(INDEX(醫師週班表!$C$5:$T$44,$CU7,AW$57),""),2,1)="/",MID(IFERROR(INDEX(醫師週班表!$C$5:$T$44,$CU7,AW$57),""),1+AW$58*2,1),IF(MID(IFERROR(INDEX(醫師週班表!$C$5:$T$44,$CU7,AW$57),""),3,1)="隔",IF(AW$58=0,LEFT(IFERROR(INDEX(醫師週班表!$C$5:$T$44,$CU7,AW$57),""),1),""),IF(MID(IFERROR(INDEX(醫師週班表!$C$5:$T$44,$CU7,AW$57),""),2,1)="(",LEFT(IFERROR(INDEX(醫師週班表!$C$5:$T$44,$CU7,AW$57),""),1),IFERROR(INDEX(醫師週班表!$C$5:$T$44,$CU7,AW$57),"")))))))</f>
        <v/>
      </c>
      <c r="AX7" s="67">
        <f>IF(AX$59="X","",IF(AX$59&lt;&gt;"",AX$59,IF(IFERROR(INDEX(醫師週班表!$C$5:$T$44,$CU7,AX$57),"")=0,"",IF(MID(IFERROR(INDEX(醫師週班表!$C$5:$T$44,$CU7,AX$57),""),2,1)="/",MID(IFERROR(INDEX(醫師週班表!$C$5:$T$44,$CU7,AX$57),""),1+AX$58*2,1),IF(MID(IFERROR(INDEX(醫師週班表!$C$5:$T$44,$CU7,AX$57),""),3,1)="隔",IF(AX$58=0,LEFT(IFERROR(INDEX(醫師週班表!$C$5:$T$44,$CU7,AX$57),""),1),""),IF(MID(IFERROR(INDEX(醫師週班表!$C$5:$T$44,$CU7,AX$57),""),2,1)="(",LEFT(IFERROR(INDEX(醫師週班表!$C$5:$T$44,$CU7,AX$57),""),1),IFERROR(INDEX(醫師週班表!$C$5:$T$44,$CU7,AX$57),"")))))))</f>
        <v/>
      </c>
      <c r="AY7" s="68">
        <f>IF(AY$59="X","",IF(AY$59&lt;&gt;"",AY$59,IF(IFERROR(INDEX(醫師週班表!$C$5:$T$44,$CU7,AY$57),"")=0,"",IF(MID(IFERROR(INDEX(醫師週班表!$C$5:$T$44,$CU7,AY$57),""),2,1)="/",MID(IFERROR(INDEX(醫師週班表!$C$5:$T$44,$CU7,AY$57),""),1+AY$58*2,1),IF(MID(IFERROR(INDEX(醫師週班表!$C$5:$T$44,$CU7,AY$57),""),3,1)="隔",IF(AY$58=0,LEFT(IFERROR(INDEX(醫師週班表!$C$5:$T$44,$CU7,AY$57),""),1),""),IF(MID(IFERROR(INDEX(醫師週班表!$C$5:$T$44,$CU7,AY$57),""),2,1)="(",LEFT(IFERROR(INDEX(醫師週班表!$C$5:$T$44,$CU7,AY$57),""),1),IFERROR(INDEX(醫師週班表!$C$5:$T$44,$CU7,AY$57),"")))))))</f>
        <v/>
      </c>
      <c r="AZ7" s="68">
        <f>IF(AZ$59="X","",IF(AZ$59&lt;&gt;"",AZ$59,IF(IFERROR(INDEX(醫師週班表!$C$5:$T$44,$CU7,AZ$57),"")=0,"",IF(MID(IFERROR(INDEX(醫師週班表!$C$5:$T$44,$CU7,AZ$57),""),2,1)="/",MID(IFERROR(INDEX(醫師週班表!$C$5:$T$44,$CU7,AZ$57),""),1+AZ$58*2,1),IF(MID(IFERROR(INDEX(醫師週班表!$C$5:$T$44,$CU7,AZ$57),""),3,1)="隔",IF(AZ$58=0,LEFT(IFERROR(INDEX(醫師週班表!$C$5:$T$44,$CU7,AZ$57),""),1),""),IF(MID(IFERROR(INDEX(醫師週班表!$C$5:$T$44,$CU7,AZ$57),""),2,1)="(",LEFT(IFERROR(INDEX(醫師週班表!$C$5:$T$44,$CU7,AZ$57),""),1),IFERROR(INDEX(醫師週班表!$C$5:$T$44,$CU7,AZ$57),"")))))))</f>
        <v/>
      </c>
      <c r="BA7" s="67">
        <f>IF(BA$59="X","",IF(BA$59&lt;&gt;"",BA$59,IF(IFERROR(INDEX(醫師週班表!$C$5:$T$44,$CU7,BA$57),"")=0,"",IF(MID(IFERROR(INDEX(醫師週班表!$C$5:$T$44,$CU7,BA$57),""),2,1)="/",MID(IFERROR(INDEX(醫師週班表!$C$5:$T$44,$CU7,BA$57),""),1+BA$58*2,1),IF(MID(IFERROR(INDEX(醫師週班表!$C$5:$T$44,$CU7,BA$57),""),3,1)="隔",IF(BA$58=0,LEFT(IFERROR(INDEX(醫師週班表!$C$5:$T$44,$CU7,BA$57),""),1),""),IF(MID(IFERROR(INDEX(醫師週班表!$C$5:$T$44,$CU7,BA$57),""),2,1)="(",LEFT(IFERROR(INDEX(醫師週班表!$C$5:$T$44,$CU7,BA$57),""),1),IFERROR(INDEX(醫師週班表!$C$5:$T$44,$CU7,BA$57),"")))))))</f>
        <v/>
      </c>
      <c r="BB7" s="68">
        <f>IF(BB$59="X","",IF(BB$59&lt;&gt;"",BB$59,IF(IFERROR(INDEX(醫師週班表!$C$5:$T$44,$CU7,BB$57),"")=0,"",IF(MID(IFERROR(INDEX(醫師週班表!$C$5:$T$44,$CU7,BB$57),""),2,1)="/",MID(IFERROR(INDEX(醫師週班表!$C$5:$T$44,$CU7,BB$57),""),1+BB$58*2,1),IF(MID(IFERROR(INDEX(醫師週班表!$C$5:$T$44,$CU7,BB$57),""),3,1)="隔",IF(BB$58=0,LEFT(IFERROR(INDEX(醫師週班表!$C$5:$T$44,$CU7,BB$57),""),1),""),IF(MID(IFERROR(INDEX(醫師週班表!$C$5:$T$44,$CU7,BB$57),""),2,1)="(",LEFT(IFERROR(INDEX(醫師週班表!$C$5:$T$44,$CU7,BB$57),""),1),IFERROR(INDEX(醫師週班表!$C$5:$T$44,$CU7,BB$57),"")))))))</f>
        <v/>
      </c>
      <c r="BC7" s="68">
        <f>IF(BC$59="X","",IF(BC$59&lt;&gt;"",BC$59,IF(IFERROR(INDEX(醫師週班表!$C$5:$T$44,$CU7,BC$57),"")=0,"",IF(MID(IFERROR(INDEX(醫師週班表!$C$5:$T$44,$CU7,BC$57),""),2,1)="/",MID(IFERROR(INDEX(醫師週班表!$C$5:$T$44,$CU7,BC$57),""),1+BC$58*2,1),IF(MID(IFERROR(INDEX(醫師週班表!$C$5:$T$44,$CU7,BC$57),""),3,1)="隔",IF(BC$58=0,LEFT(IFERROR(INDEX(醫師週班表!$C$5:$T$44,$CU7,BC$57),""),1),""),IF(MID(IFERROR(INDEX(醫師週班表!$C$5:$T$44,$CU7,BC$57),""),2,1)="(",LEFT(IFERROR(INDEX(醫師週班表!$C$5:$T$44,$CU7,BC$57),""),1),IFERROR(INDEX(醫師週班表!$C$5:$T$44,$CU7,BC$57),"")))))))</f>
        <v/>
      </c>
      <c r="BD7" s="67">
        <f>IF(BD$59="X","",IF(BD$59&lt;&gt;"",BD$59,IF(IFERROR(INDEX(醫師週班表!$C$5:$T$44,$CU7,BD$57),"")=0,"",IF(MID(IFERROR(INDEX(醫師週班表!$C$5:$T$44,$CU7,BD$57),""),2,1)="/",MID(IFERROR(INDEX(醫師週班表!$C$5:$T$44,$CU7,BD$57),""),1+BD$58*2,1),IF(MID(IFERROR(INDEX(醫師週班表!$C$5:$T$44,$CU7,BD$57),""),3,1)="隔",IF(BD$58=0,LEFT(IFERROR(INDEX(醫師週班表!$C$5:$T$44,$CU7,BD$57),""),1),""),IF(MID(IFERROR(INDEX(醫師週班表!$C$5:$T$44,$CU7,BD$57),""),2,1)="(",LEFT(IFERROR(INDEX(醫師週班表!$C$5:$T$44,$CU7,BD$57),""),1),IFERROR(INDEX(醫師週班表!$C$5:$T$44,$CU7,BD$57),"")))))))</f>
        <v/>
      </c>
      <c r="BE7" s="68">
        <f>IF(BE$59="X","",IF(BE$59&lt;&gt;"",BE$59,IF(IFERROR(INDEX(醫師週班表!$C$5:$T$44,$CU7,BE$57),"")=0,"",IF(MID(IFERROR(INDEX(醫師週班表!$C$5:$T$44,$CU7,BE$57),""),2,1)="/",MID(IFERROR(INDEX(醫師週班表!$C$5:$T$44,$CU7,BE$57),""),1+BE$58*2,1),IF(MID(IFERROR(INDEX(醫師週班表!$C$5:$T$44,$CU7,BE$57),""),3,1)="隔",IF(BE$58=0,LEFT(IFERROR(INDEX(醫師週班表!$C$5:$T$44,$CU7,BE$57),""),1),""),IF(MID(IFERROR(INDEX(醫師週班表!$C$5:$T$44,$CU7,BE$57),""),2,1)="(",LEFT(IFERROR(INDEX(醫師週班表!$C$5:$T$44,$CU7,BE$57),""),1),IFERROR(INDEX(醫師週班表!$C$5:$T$44,$CU7,BE$57),"")))))))</f>
        <v/>
      </c>
      <c r="BF7" s="68">
        <f>IF(BF$59="X","",IF(BF$59&lt;&gt;"",BF$59,IF(IFERROR(INDEX(醫師週班表!$C$5:$T$44,$CU7,BF$57),"")=0,"",IF(MID(IFERROR(INDEX(醫師週班表!$C$5:$T$44,$CU7,BF$57),""),2,1)="/",MID(IFERROR(INDEX(醫師週班表!$C$5:$T$44,$CU7,BF$57),""),1+BF$58*2,1),IF(MID(IFERROR(INDEX(醫師週班表!$C$5:$T$44,$CU7,BF$57),""),3,1)="隔",IF(BF$58=0,LEFT(IFERROR(INDEX(醫師週班表!$C$5:$T$44,$CU7,BF$57),""),1),""),IF(MID(IFERROR(INDEX(醫師週班表!$C$5:$T$44,$CU7,BF$57),""),2,1)="(",LEFT(IFERROR(INDEX(醫師週班表!$C$5:$T$44,$CU7,BF$57),""),1),IFERROR(INDEX(醫師週班表!$C$5:$T$44,$CU7,BF$57),"")))))))</f>
        <v/>
      </c>
      <c r="BG7" s="67">
        <f>IF(BG$59="X","",IF(BG$59&lt;&gt;"",BG$59,IF(IFERROR(INDEX(醫師週班表!$C$5:$T$44,$CU7,BG$57),"")=0,"",IF(MID(IFERROR(INDEX(醫師週班表!$C$5:$T$44,$CU7,BG$57),""),2,1)="/",MID(IFERROR(INDEX(醫師週班表!$C$5:$T$44,$CU7,BG$57),""),1+BG$58*2,1),IF(MID(IFERROR(INDEX(醫師週班表!$C$5:$T$44,$CU7,BG$57),""),3,1)="隔",IF(BG$58=0,LEFT(IFERROR(INDEX(醫師週班表!$C$5:$T$44,$CU7,BG$57),""),1),""),IF(MID(IFERROR(INDEX(醫師週班表!$C$5:$T$44,$CU7,BG$57),""),2,1)="(",LEFT(IFERROR(INDEX(醫師週班表!$C$5:$T$44,$CU7,BG$57),""),1),IFERROR(INDEX(醫師週班表!$C$5:$T$44,$CU7,BG$57),"")))))))</f>
        <v/>
      </c>
      <c r="BH7" s="68">
        <f>IF(BH$59="X","",IF(BH$59&lt;&gt;"",BH$59,IF(IFERROR(INDEX(醫師週班表!$C$5:$T$44,$CU7,BH$57),"")=0,"",IF(MID(IFERROR(INDEX(醫師週班表!$C$5:$T$44,$CU7,BH$57),""),2,1)="/",MID(IFERROR(INDEX(醫師週班表!$C$5:$T$44,$CU7,BH$57),""),1+BH$58*2,1),IF(MID(IFERROR(INDEX(醫師週班表!$C$5:$T$44,$CU7,BH$57),""),3,1)="隔",IF(BH$58=0,LEFT(IFERROR(INDEX(醫師週班表!$C$5:$T$44,$CU7,BH$57),""),1),""),IF(MID(IFERROR(INDEX(醫師週班表!$C$5:$T$44,$CU7,BH$57),""),2,1)="(",LEFT(IFERROR(INDEX(醫師週班表!$C$5:$T$44,$CU7,BH$57),""),1),IFERROR(INDEX(醫師週班表!$C$5:$T$44,$CU7,BH$57),"")))))))</f>
        <v/>
      </c>
      <c r="BI7" s="68">
        <f>IF(BI$59="X","",IF(BI$59&lt;&gt;"",BI$59,IF(IFERROR(INDEX(醫師週班表!$C$5:$T$44,$CU7,BI$57),"")=0,"",IF(MID(IFERROR(INDEX(醫師週班表!$C$5:$T$44,$CU7,BI$57),""),2,1)="/",MID(IFERROR(INDEX(醫師週班表!$C$5:$T$44,$CU7,BI$57),""),1+BI$58*2,1),IF(MID(IFERROR(INDEX(醫師週班表!$C$5:$T$44,$CU7,BI$57),""),3,1)="隔",IF(BI$58=0,LEFT(IFERROR(INDEX(醫師週班表!$C$5:$T$44,$CU7,BI$57),""),1),""),IF(MID(IFERROR(INDEX(醫師週班表!$C$5:$T$44,$CU7,BI$57),""),2,1)="(",LEFT(IFERROR(INDEX(醫師週班表!$C$5:$T$44,$CU7,BI$57),""),1),IFERROR(INDEX(醫師週班表!$C$5:$T$44,$CU7,BI$57),"")))))))</f>
        <v/>
      </c>
      <c r="BJ7" s="67">
        <f>IF(BJ$59="X","",IF(BJ$59&lt;&gt;"",BJ$59,IF(IFERROR(INDEX(醫師週班表!$C$5:$T$44,$CU7,BJ$57),"")=0,"",IF(MID(IFERROR(INDEX(醫師週班表!$C$5:$T$44,$CU7,BJ$57),""),2,1)="/",MID(IFERROR(INDEX(醫師週班表!$C$5:$T$44,$CU7,BJ$57),""),1+BJ$58*2,1),IF(MID(IFERROR(INDEX(醫師週班表!$C$5:$T$44,$CU7,BJ$57),""),3,1)="隔",IF(BJ$58=0,LEFT(IFERROR(INDEX(醫師週班表!$C$5:$T$44,$CU7,BJ$57),""),1),""),IF(MID(IFERROR(INDEX(醫師週班表!$C$5:$T$44,$CU7,BJ$57),""),2,1)="(",LEFT(IFERROR(INDEX(醫師週班表!$C$5:$T$44,$CU7,BJ$57),""),1),IFERROR(INDEX(醫師週班表!$C$5:$T$44,$CU7,BJ$57),"")))))))</f>
        <v/>
      </c>
      <c r="BK7" s="68">
        <f>IF(BK$59="X","",IF(BK$59&lt;&gt;"",BK$59,IF(IFERROR(INDEX(醫師週班表!$C$5:$T$44,$CU7,BK$57),"")=0,"",IF(MID(IFERROR(INDEX(醫師週班表!$C$5:$T$44,$CU7,BK$57),""),2,1)="/",MID(IFERROR(INDEX(醫師週班表!$C$5:$T$44,$CU7,BK$57),""),1+BK$58*2,1),IF(MID(IFERROR(INDEX(醫師週班表!$C$5:$T$44,$CU7,BK$57),""),3,1)="隔",IF(BK$58=0,LEFT(IFERROR(INDEX(醫師週班表!$C$5:$T$44,$CU7,BK$57),""),1),""),IF(MID(IFERROR(INDEX(醫師週班表!$C$5:$T$44,$CU7,BK$57),""),2,1)="(",LEFT(IFERROR(INDEX(醫師週班表!$C$5:$T$44,$CU7,BK$57),""),1),IFERROR(INDEX(醫師週班表!$C$5:$T$44,$CU7,BK$57),"")))))))</f>
        <v/>
      </c>
      <c r="BL7" s="68">
        <f>IF(BL$59="X","",IF(BL$59&lt;&gt;"",BL$59,IF(IFERROR(INDEX(醫師週班表!$C$5:$T$44,$CU7,BL$57),"")=0,"",IF(MID(IFERROR(INDEX(醫師週班表!$C$5:$T$44,$CU7,BL$57),""),2,1)="/",MID(IFERROR(INDEX(醫師週班表!$C$5:$T$44,$CU7,BL$57),""),1+BL$58*2,1),IF(MID(IFERROR(INDEX(醫師週班表!$C$5:$T$44,$CU7,BL$57),""),3,1)="隔",IF(BL$58=0,LEFT(IFERROR(INDEX(醫師週班表!$C$5:$T$44,$CU7,BL$57),""),1),""),IF(MID(IFERROR(INDEX(醫師週班表!$C$5:$T$44,$CU7,BL$57),""),2,1)="(",LEFT(IFERROR(INDEX(醫師週班表!$C$5:$T$44,$CU7,BL$57),""),1),IFERROR(INDEX(醫師週班表!$C$5:$T$44,$CU7,BL$57),"")))))))</f>
        <v/>
      </c>
      <c r="BM7" s="67">
        <f>IF(BM$59="X","",IF(BM$59&lt;&gt;"",BM$59,IF(IFERROR(INDEX(醫師週班表!$C$5:$T$44,$CU7,BM$57),"")=0,"",IF(MID(IFERROR(INDEX(醫師週班表!$C$5:$T$44,$CU7,BM$57),""),2,1)="/",MID(IFERROR(INDEX(醫師週班表!$C$5:$T$44,$CU7,BM$57),""),1+BM$58*2,1),IF(MID(IFERROR(INDEX(醫師週班表!$C$5:$T$44,$CU7,BM$57),""),3,1)="隔",IF(BM$58=0,LEFT(IFERROR(INDEX(醫師週班表!$C$5:$T$44,$CU7,BM$57),""),1),""),IF(MID(IFERROR(INDEX(醫師週班表!$C$5:$T$44,$CU7,BM$57),""),2,1)="(",LEFT(IFERROR(INDEX(醫師週班表!$C$5:$T$44,$CU7,BM$57),""),1),IFERROR(INDEX(醫師週班表!$C$5:$T$44,$CU7,BM$57),"")))))))</f>
        <v/>
      </c>
      <c r="BN7" s="68">
        <f>IF(BN$59="X","",IF(BN$59&lt;&gt;"",BN$59,IF(IFERROR(INDEX(醫師週班表!$C$5:$T$44,$CU7,BN$57),"")=0,"",IF(MID(IFERROR(INDEX(醫師週班表!$C$5:$T$44,$CU7,BN$57),""),2,1)="/",MID(IFERROR(INDEX(醫師週班表!$C$5:$T$44,$CU7,BN$57),""),1+BN$58*2,1),IF(MID(IFERROR(INDEX(醫師週班表!$C$5:$T$44,$CU7,BN$57),""),3,1)="隔",IF(BN$58=0,LEFT(IFERROR(INDEX(醫師週班表!$C$5:$T$44,$CU7,BN$57),""),1),""),IF(MID(IFERROR(INDEX(醫師週班表!$C$5:$T$44,$CU7,BN$57),""),2,1)="(",LEFT(IFERROR(INDEX(醫師週班表!$C$5:$T$44,$CU7,BN$57),""),1),IFERROR(INDEX(醫師週班表!$C$5:$T$44,$CU7,BN$57),"")))))))</f>
        <v/>
      </c>
      <c r="BO7" s="68">
        <f>IF(BO$59="X","",IF(BO$59&lt;&gt;"",BO$59,IF(IFERROR(INDEX(醫師週班表!$C$5:$T$44,$CU7,BO$57),"")=0,"",IF(MID(IFERROR(INDEX(醫師週班表!$C$5:$T$44,$CU7,BO$57),""),2,1)="/",MID(IFERROR(INDEX(醫師週班表!$C$5:$T$44,$CU7,BO$57),""),1+BO$58*2,1),IF(MID(IFERROR(INDEX(醫師週班表!$C$5:$T$44,$CU7,BO$57),""),3,1)="隔",IF(BO$58=0,LEFT(IFERROR(INDEX(醫師週班表!$C$5:$T$44,$CU7,BO$57),""),1),""),IF(MID(IFERROR(INDEX(醫師週班表!$C$5:$T$44,$CU7,BO$57),""),2,1)="(",LEFT(IFERROR(INDEX(醫師週班表!$C$5:$T$44,$CU7,BO$57),""),1),IFERROR(INDEX(醫師週班表!$C$5:$T$44,$CU7,BO$57),"")))))))</f>
        <v/>
      </c>
      <c r="BP7" s="67">
        <f>IF(BP$59="X","",IF(BP$59&lt;&gt;"",BP$59,IF(IFERROR(INDEX(醫師週班表!$C$5:$T$44,$CU7,BP$57),"")=0,"",IF(MID(IFERROR(INDEX(醫師週班表!$C$5:$T$44,$CU7,BP$57),""),2,1)="/",MID(IFERROR(INDEX(醫師週班表!$C$5:$T$44,$CU7,BP$57),""),1+BP$58*2,1),IF(MID(IFERROR(INDEX(醫師週班表!$C$5:$T$44,$CU7,BP$57),""),3,1)="隔",IF(BP$58=0,LEFT(IFERROR(INDEX(醫師週班表!$C$5:$T$44,$CU7,BP$57),""),1),""),IF(MID(IFERROR(INDEX(醫師週班表!$C$5:$T$44,$CU7,BP$57),""),2,1)="(",LEFT(IFERROR(INDEX(醫師週班表!$C$5:$T$44,$CU7,BP$57),""),1),IFERROR(INDEX(醫師週班表!$C$5:$T$44,$CU7,BP$57),"")))))))</f>
        <v/>
      </c>
      <c r="BQ7" s="68">
        <f>IF(BQ$59="X","",IF(BQ$59&lt;&gt;"",BQ$59,IF(IFERROR(INDEX(醫師週班表!$C$5:$T$44,$CU7,BQ$57),"")=0,"",IF(MID(IFERROR(INDEX(醫師週班表!$C$5:$T$44,$CU7,BQ$57),""),2,1)="/",MID(IFERROR(INDEX(醫師週班表!$C$5:$T$44,$CU7,BQ$57),""),1+BQ$58*2,1),IF(MID(IFERROR(INDEX(醫師週班表!$C$5:$T$44,$CU7,BQ$57),""),3,1)="隔",IF(BQ$58=0,LEFT(IFERROR(INDEX(醫師週班表!$C$5:$T$44,$CU7,BQ$57),""),1),""),IF(MID(IFERROR(INDEX(醫師週班表!$C$5:$T$44,$CU7,BQ$57),""),2,1)="(",LEFT(IFERROR(INDEX(醫師週班表!$C$5:$T$44,$CU7,BQ$57),""),1),IFERROR(INDEX(醫師週班表!$C$5:$T$44,$CU7,BQ$57),"")))))))</f>
        <v/>
      </c>
      <c r="BR7" s="68">
        <f>IF(BR$59="X","",IF(BR$59&lt;&gt;"",BR$59,IF(IFERROR(INDEX(醫師週班表!$C$5:$T$44,$CU7,BR$57),"")=0,"",IF(MID(IFERROR(INDEX(醫師週班表!$C$5:$T$44,$CU7,BR$57),""),2,1)="/",MID(IFERROR(INDEX(醫師週班表!$C$5:$T$44,$CU7,BR$57),""),1+BR$58*2,1),IF(MID(IFERROR(INDEX(醫師週班表!$C$5:$T$44,$CU7,BR$57),""),3,1)="隔",IF(BR$58=0,LEFT(IFERROR(INDEX(醫師週班表!$C$5:$T$44,$CU7,BR$57),""),1),""),IF(MID(IFERROR(INDEX(醫師週班表!$C$5:$T$44,$CU7,BR$57),""),2,1)="(",LEFT(IFERROR(INDEX(醫師週班表!$C$5:$T$44,$CU7,BR$57),""),1),IFERROR(INDEX(醫師週班表!$C$5:$T$44,$CU7,BR$57),"")))))))</f>
        <v/>
      </c>
      <c r="BS7" s="67">
        <f>IF(BS$59="X","",IF(BS$59&lt;&gt;"",BS$59,IF(IFERROR(INDEX(醫師週班表!$C$5:$T$44,$CU7,BS$57),"")=0,"",IF(MID(IFERROR(INDEX(醫師週班表!$C$5:$T$44,$CU7,BS$57),""),2,1)="/",MID(IFERROR(INDEX(醫師週班表!$C$5:$T$44,$CU7,BS$57),""),1+BS$58*2,1),IF(MID(IFERROR(INDEX(醫師週班表!$C$5:$T$44,$CU7,BS$57),""),3,1)="隔",IF(BS$58=0,LEFT(IFERROR(INDEX(醫師週班表!$C$5:$T$44,$CU7,BS$57),""),1),""),IF(MID(IFERROR(INDEX(醫師週班表!$C$5:$T$44,$CU7,BS$57),""),2,1)="(",LEFT(IFERROR(INDEX(醫師週班表!$C$5:$T$44,$CU7,BS$57),""),1),IFERROR(INDEX(醫師週班表!$C$5:$T$44,$CU7,BS$57),"")))))))</f>
        <v/>
      </c>
      <c r="BT7" s="68">
        <f>IF(BT$59="X","",IF(BT$59&lt;&gt;"",BT$59,IF(IFERROR(INDEX(醫師週班表!$C$5:$T$44,$CU7,BT$57),"")=0,"",IF(MID(IFERROR(INDEX(醫師週班表!$C$5:$T$44,$CU7,BT$57),""),2,1)="/",MID(IFERROR(INDEX(醫師週班表!$C$5:$T$44,$CU7,BT$57),""),1+BT$58*2,1),IF(MID(IFERROR(INDEX(醫師週班表!$C$5:$T$44,$CU7,BT$57),""),3,1)="隔",IF(BT$58=0,LEFT(IFERROR(INDEX(醫師週班表!$C$5:$T$44,$CU7,BT$57),""),1),""),IF(MID(IFERROR(INDEX(醫師週班表!$C$5:$T$44,$CU7,BT$57),""),2,1)="(",LEFT(IFERROR(INDEX(醫師週班表!$C$5:$T$44,$CU7,BT$57),""),1),IFERROR(INDEX(醫師週班表!$C$5:$T$44,$CU7,BT$57),"")))))))</f>
        <v/>
      </c>
      <c r="BU7" s="68">
        <f>IF(BU$59="X","",IF(BU$59&lt;&gt;"",BU$59,IF(IFERROR(INDEX(醫師週班表!$C$5:$T$44,$CU7,BU$57),"")=0,"",IF(MID(IFERROR(INDEX(醫師週班表!$C$5:$T$44,$CU7,BU$57),""),2,1)="/",MID(IFERROR(INDEX(醫師週班表!$C$5:$T$44,$CU7,BU$57),""),1+BU$58*2,1),IF(MID(IFERROR(INDEX(醫師週班表!$C$5:$T$44,$CU7,BU$57),""),3,1)="隔",IF(BU$58=0,LEFT(IFERROR(INDEX(醫師週班表!$C$5:$T$44,$CU7,BU$57),""),1),""),IF(MID(IFERROR(INDEX(醫師週班表!$C$5:$T$44,$CU7,BU$57),""),2,1)="(",LEFT(IFERROR(INDEX(醫師週班表!$C$5:$T$44,$CU7,BU$57),""),1),IFERROR(INDEX(醫師週班表!$C$5:$T$44,$CU7,BU$57),"")))))))</f>
        <v/>
      </c>
      <c r="BV7" s="67">
        <f>IF(BV$59="X","",IF(BV$59&lt;&gt;"",BV$59,IF(IFERROR(INDEX(醫師週班表!$C$5:$T$44,$CU7,BV$57),"")=0,"",IF(MID(IFERROR(INDEX(醫師週班表!$C$5:$T$44,$CU7,BV$57),""),2,1)="/",MID(IFERROR(INDEX(醫師週班表!$C$5:$T$44,$CU7,BV$57),""),1+BV$58*2,1),IF(MID(IFERROR(INDEX(醫師週班表!$C$5:$T$44,$CU7,BV$57),""),3,1)="隔",IF(BV$58=0,LEFT(IFERROR(INDEX(醫師週班表!$C$5:$T$44,$CU7,BV$57),""),1),""),IF(MID(IFERROR(INDEX(醫師週班表!$C$5:$T$44,$CU7,BV$57),""),2,1)="(",LEFT(IFERROR(INDEX(醫師週班表!$C$5:$T$44,$CU7,BV$57),""),1),IFERROR(INDEX(醫師週班表!$C$5:$T$44,$CU7,BV$57),"")))))))</f>
        <v/>
      </c>
      <c r="BW7" s="68">
        <f>IF(BW$59="X","",IF(BW$59&lt;&gt;"",BW$59,IF(IFERROR(INDEX(醫師週班表!$C$5:$T$44,$CU7,BW$57),"")=0,"",IF(MID(IFERROR(INDEX(醫師週班表!$C$5:$T$44,$CU7,BW$57),""),2,1)="/",MID(IFERROR(INDEX(醫師週班表!$C$5:$T$44,$CU7,BW$57),""),1+BW$58*2,1),IF(MID(IFERROR(INDEX(醫師週班表!$C$5:$T$44,$CU7,BW$57),""),3,1)="隔",IF(BW$58=0,LEFT(IFERROR(INDEX(醫師週班表!$C$5:$T$44,$CU7,BW$57),""),1),""),IF(MID(IFERROR(INDEX(醫師週班表!$C$5:$T$44,$CU7,BW$57),""),2,1)="(",LEFT(IFERROR(INDEX(醫師週班表!$C$5:$T$44,$CU7,BW$57),""),1),IFERROR(INDEX(醫師週班表!$C$5:$T$44,$CU7,BW$57),"")))))))</f>
        <v/>
      </c>
      <c r="BX7" s="68">
        <f>IF(BX$59="X","",IF(BX$59&lt;&gt;"",BX$59,IF(IFERROR(INDEX(醫師週班表!$C$5:$T$44,$CU7,BX$57),"")=0,"",IF(MID(IFERROR(INDEX(醫師週班表!$C$5:$T$44,$CU7,BX$57),""),2,1)="/",MID(IFERROR(INDEX(醫師週班表!$C$5:$T$44,$CU7,BX$57),""),1+BX$58*2,1),IF(MID(IFERROR(INDEX(醫師週班表!$C$5:$T$44,$CU7,BX$57),""),3,1)="隔",IF(BX$58=0,LEFT(IFERROR(INDEX(醫師週班表!$C$5:$T$44,$CU7,BX$57),""),1),""),IF(MID(IFERROR(INDEX(醫師週班表!$C$5:$T$44,$CU7,BX$57),""),2,1)="(",LEFT(IFERROR(INDEX(醫師週班表!$C$5:$T$44,$CU7,BX$57),""),1),IFERROR(INDEX(醫師週班表!$C$5:$T$44,$CU7,BX$57),"")))))))</f>
        <v/>
      </c>
      <c r="BY7" s="67">
        <f>IF(BY$59="X","",IF(BY$59&lt;&gt;"",BY$59,IF(IFERROR(INDEX(醫師週班表!$C$5:$T$44,$CU7,BY$57),"")=0,"",IF(MID(IFERROR(INDEX(醫師週班表!$C$5:$T$44,$CU7,BY$57),""),2,1)="/",MID(IFERROR(INDEX(醫師週班表!$C$5:$T$44,$CU7,BY$57),""),1+BY$58*2,1),IF(MID(IFERROR(INDEX(醫師週班表!$C$5:$T$44,$CU7,BY$57),""),3,1)="隔",IF(BY$58=0,LEFT(IFERROR(INDEX(醫師週班表!$C$5:$T$44,$CU7,BY$57),""),1),""),IF(MID(IFERROR(INDEX(醫師週班表!$C$5:$T$44,$CU7,BY$57),""),2,1)="(",LEFT(IFERROR(INDEX(醫師週班表!$C$5:$T$44,$CU7,BY$57),""),1),IFERROR(INDEX(醫師週班表!$C$5:$T$44,$CU7,BY$57),"")))))))</f>
        <v/>
      </c>
      <c r="BZ7" s="68">
        <f>IF(BZ$59="X","",IF(BZ$59&lt;&gt;"",BZ$59,IF(IFERROR(INDEX(醫師週班表!$C$5:$T$44,$CU7,BZ$57),"")=0,"",IF(MID(IFERROR(INDEX(醫師週班表!$C$5:$T$44,$CU7,BZ$57),""),2,1)="/",MID(IFERROR(INDEX(醫師週班表!$C$5:$T$44,$CU7,BZ$57),""),1+BZ$58*2,1),IF(MID(IFERROR(INDEX(醫師週班表!$C$5:$T$44,$CU7,BZ$57),""),3,1)="隔",IF(BZ$58=0,LEFT(IFERROR(INDEX(醫師週班表!$C$5:$T$44,$CU7,BZ$57),""),1),""),IF(MID(IFERROR(INDEX(醫師週班表!$C$5:$T$44,$CU7,BZ$57),""),2,1)="(",LEFT(IFERROR(INDEX(醫師週班表!$C$5:$T$44,$CU7,BZ$57),""),1),IFERROR(INDEX(醫師週班表!$C$5:$T$44,$CU7,BZ$57),"")))))))</f>
        <v/>
      </c>
      <c r="CA7" s="68">
        <f>IF(CA$59="X","",IF(CA$59&lt;&gt;"",CA$59,IF(IFERROR(INDEX(醫師週班表!$C$5:$T$44,$CU7,CA$57),"")=0,"",IF(MID(IFERROR(INDEX(醫師週班表!$C$5:$T$44,$CU7,CA$57),""),2,1)="/",MID(IFERROR(INDEX(醫師週班表!$C$5:$T$44,$CU7,CA$57),""),1+CA$58*2,1),IF(MID(IFERROR(INDEX(醫師週班表!$C$5:$T$44,$CU7,CA$57),""),3,1)="隔",IF(CA$58=0,LEFT(IFERROR(INDEX(醫師週班表!$C$5:$T$44,$CU7,CA$57),""),1),""),IF(MID(IFERROR(INDEX(醫師週班表!$C$5:$T$44,$CU7,CA$57),""),2,1)="(",LEFT(IFERROR(INDEX(醫師週班表!$C$5:$T$44,$CU7,CA$57),""),1),IFERROR(INDEX(醫師週班表!$C$5:$T$44,$CU7,CA$57),"")))))))</f>
        <v/>
      </c>
      <c r="CB7" s="67">
        <f>IF(CB$59="X","",IF(CB$59&lt;&gt;"",CB$59,IF(IFERROR(INDEX(醫師週班表!$C$5:$T$44,$CU7,CB$57),"")=0,"",IF(MID(IFERROR(INDEX(醫師週班表!$C$5:$T$44,$CU7,CB$57),""),2,1)="/",MID(IFERROR(INDEX(醫師週班表!$C$5:$T$44,$CU7,CB$57),""),1+CB$58*2,1),IF(MID(IFERROR(INDEX(醫師週班表!$C$5:$T$44,$CU7,CB$57),""),3,1)="隔",IF(CB$58=0,LEFT(IFERROR(INDEX(醫師週班表!$C$5:$T$44,$CU7,CB$57),""),1),""),IF(MID(IFERROR(INDEX(醫師週班表!$C$5:$T$44,$CU7,CB$57),""),2,1)="(",LEFT(IFERROR(INDEX(醫師週班表!$C$5:$T$44,$CU7,CB$57),""),1),IFERROR(INDEX(醫師週班表!$C$5:$T$44,$CU7,CB$57),"")))))))</f>
        <v/>
      </c>
      <c r="CC7" s="68">
        <f>IF(CC$59="X","",IF(CC$59&lt;&gt;"",CC$59,IF(IFERROR(INDEX(醫師週班表!$C$5:$T$44,$CU7,CC$57),"")=0,"",IF(MID(IFERROR(INDEX(醫師週班表!$C$5:$T$44,$CU7,CC$57),""),2,1)="/",MID(IFERROR(INDEX(醫師週班表!$C$5:$T$44,$CU7,CC$57),""),1+CC$58*2,1),IF(MID(IFERROR(INDEX(醫師週班表!$C$5:$T$44,$CU7,CC$57),""),3,1)="隔",IF(CC$58=0,LEFT(IFERROR(INDEX(醫師週班表!$C$5:$T$44,$CU7,CC$57),""),1),""),IF(MID(IFERROR(INDEX(醫師週班表!$C$5:$T$44,$CU7,CC$57),""),2,1)="(",LEFT(IFERROR(INDEX(醫師週班表!$C$5:$T$44,$CU7,CC$57),""),1),IFERROR(INDEX(醫師週班表!$C$5:$T$44,$CU7,CC$57),"")))))))</f>
        <v/>
      </c>
      <c r="CD7" s="68">
        <f>IF(CD$59="X","",IF(CD$59&lt;&gt;"",CD$59,IF(IFERROR(INDEX(醫師週班表!$C$5:$T$44,$CU7,CD$57),"")=0,"",IF(MID(IFERROR(INDEX(醫師週班表!$C$5:$T$44,$CU7,CD$57),""),2,1)="/",MID(IFERROR(INDEX(醫師週班表!$C$5:$T$44,$CU7,CD$57),""),1+CD$58*2,1),IF(MID(IFERROR(INDEX(醫師週班表!$C$5:$T$44,$CU7,CD$57),""),3,1)="隔",IF(CD$58=0,LEFT(IFERROR(INDEX(醫師週班表!$C$5:$T$44,$CU7,CD$57),""),1),""),IF(MID(IFERROR(INDEX(醫師週班表!$C$5:$T$44,$CU7,CD$57),""),2,1)="(",LEFT(IFERROR(INDEX(醫師週班表!$C$5:$T$44,$CU7,CD$57),""),1),IFERROR(INDEX(醫師週班表!$C$5:$T$44,$CU7,CD$57),"")))))))</f>
        <v/>
      </c>
      <c r="CE7" s="67">
        <f>IF(CE$59="X","",IF(CE$59&lt;&gt;"",CE$59,IF(IFERROR(INDEX(醫師週班表!$C$5:$T$44,$CU7,CE$57),"")=0,"",IF(MID(IFERROR(INDEX(醫師週班表!$C$5:$T$44,$CU7,CE$57),""),2,1)="/",MID(IFERROR(INDEX(醫師週班表!$C$5:$T$44,$CU7,CE$57),""),1+CE$58*2,1),IF(MID(IFERROR(INDEX(醫師週班表!$C$5:$T$44,$CU7,CE$57),""),3,1)="隔",IF(CE$58=0,LEFT(IFERROR(INDEX(醫師週班表!$C$5:$T$44,$CU7,CE$57),""),1),""),IF(MID(IFERROR(INDEX(醫師週班表!$C$5:$T$44,$CU7,CE$57),""),2,1)="(",LEFT(IFERROR(INDEX(醫師週班表!$C$5:$T$44,$CU7,CE$57),""),1),IFERROR(INDEX(醫師週班表!$C$5:$T$44,$CU7,CE$57),"")))))))</f>
        <v/>
      </c>
      <c r="CF7" s="68">
        <f>IF(CF$59="X","",IF(CF$59&lt;&gt;"",CF$59,IF(IFERROR(INDEX(醫師週班表!$C$5:$T$44,$CU7,CF$57),"")=0,"",IF(MID(IFERROR(INDEX(醫師週班表!$C$5:$T$44,$CU7,CF$57),""),2,1)="/",MID(IFERROR(INDEX(醫師週班表!$C$5:$T$44,$CU7,CF$57),""),1+CF$58*2,1),IF(MID(IFERROR(INDEX(醫師週班表!$C$5:$T$44,$CU7,CF$57),""),3,1)="隔",IF(CF$58=0,LEFT(IFERROR(INDEX(醫師週班表!$C$5:$T$44,$CU7,CF$57),""),1),""),IF(MID(IFERROR(INDEX(醫師週班表!$C$5:$T$44,$CU7,CF$57),""),2,1)="(",LEFT(IFERROR(INDEX(醫師週班表!$C$5:$T$44,$CU7,CF$57),""),1),IFERROR(INDEX(醫師週班表!$C$5:$T$44,$CU7,CF$57),"")))))))</f>
        <v/>
      </c>
      <c r="CG7" s="68">
        <f>IF(CG$59="X","",IF(CG$59&lt;&gt;"",CG$59,IF(IFERROR(INDEX(醫師週班表!$C$5:$T$44,$CU7,CG$57),"")=0,"",IF(MID(IFERROR(INDEX(醫師週班表!$C$5:$T$44,$CU7,CG$57),""),2,1)="/",MID(IFERROR(INDEX(醫師週班表!$C$5:$T$44,$CU7,CG$57),""),1+CG$58*2,1),IF(MID(IFERROR(INDEX(醫師週班表!$C$5:$T$44,$CU7,CG$57),""),3,1)="隔",IF(CG$58=0,LEFT(IFERROR(INDEX(醫師週班表!$C$5:$T$44,$CU7,CG$57),""),1),""),IF(MID(IFERROR(INDEX(醫師週班表!$C$5:$T$44,$CU7,CG$57),""),2,1)="(",LEFT(IFERROR(INDEX(醫師週班表!$C$5:$T$44,$CU7,CG$57),""),1),IFERROR(INDEX(醫師週班表!$C$5:$T$44,$CU7,CG$57),"")))))))</f>
        <v/>
      </c>
      <c r="CH7" s="67">
        <f>IF(CH$59="X","",IF(CH$59&lt;&gt;"",CH$59,IF(IFERROR(INDEX(醫師週班表!$C$5:$T$44,$CU7,CH$57),"")=0,"",IF(MID(IFERROR(INDEX(醫師週班表!$C$5:$T$44,$CU7,CH$57),""),2,1)="/",MID(IFERROR(INDEX(醫師週班表!$C$5:$T$44,$CU7,CH$57),""),1+CH$58*2,1),IF(MID(IFERROR(INDEX(醫師週班表!$C$5:$T$44,$CU7,CH$57),""),3,1)="隔",IF(CH$58=0,LEFT(IFERROR(INDEX(醫師週班表!$C$5:$T$44,$CU7,CH$57),""),1),""),IF(MID(IFERROR(INDEX(醫師週班表!$C$5:$T$44,$CU7,CH$57),""),2,1)="(",LEFT(IFERROR(INDEX(醫師週班表!$C$5:$T$44,$CU7,CH$57),""),1),IFERROR(INDEX(醫師週班表!$C$5:$T$44,$CU7,CH$57),"")))))))</f>
        <v/>
      </c>
      <c r="CI7" s="68">
        <f>IF(CI$59="X","",IF(CI$59&lt;&gt;"",CI$59,IF(IFERROR(INDEX(醫師週班表!$C$5:$T$44,$CU7,CI$57),"")=0,"",IF(MID(IFERROR(INDEX(醫師週班表!$C$5:$T$44,$CU7,CI$57),""),2,1)="/",MID(IFERROR(INDEX(醫師週班表!$C$5:$T$44,$CU7,CI$57),""),1+CI$58*2,1),IF(MID(IFERROR(INDEX(醫師週班表!$C$5:$T$44,$CU7,CI$57),""),3,1)="隔",IF(CI$58=0,LEFT(IFERROR(INDEX(醫師週班表!$C$5:$T$44,$CU7,CI$57),""),1),""),IF(MID(IFERROR(INDEX(醫師週班表!$C$5:$T$44,$CU7,CI$57),""),2,1)="(",LEFT(IFERROR(INDEX(醫師週班表!$C$5:$T$44,$CU7,CI$57),""),1),IFERROR(INDEX(醫師週班表!$C$5:$T$44,$CU7,CI$57),"")))))))</f>
        <v/>
      </c>
      <c r="CJ7" s="68">
        <f>IF(CJ$59="X","",IF(CJ$59&lt;&gt;"",CJ$59,IF(IFERROR(INDEX(醫師週班表!$C$5:$T$44,$CU7,CJ$57),"")=0,"",IF(MID(IFERROR(INDEX(醫師週班表!$C$5:$T$44,$CU7,CJ$57),""),2,1)="/",MID(IFERROR(INDEX(醫師週班表!$C$5:$T$44,$CU7,CJ$57),""),1+CJ$58*2,1),IF(MID(IFERROR(INDEX(醫師週班表!$C$5:$T$44,$CU7,CJ$57),""),3,1)="隔",IF(CJ$58=0,LEFT(IFERROR(INDEX(醫師週班表!$C$5:$T$44,$CU7,CJ$57),""),1),""),IF(MID(IFERROR(INDEX(醫師週班表!$C$5:$T$44,$CU7,CJ$57),""),2,1)="(",LEFT(IFERROR(INDEX(醫師週班表!$C$5:$T$44,$CU7,CJ$57),""),1),IFERROR(INDEX(醫師週班表!$C$5:$T$44,$CU7,CJ$57),"")))))))</f>
        <v/>
      </c>
      <c r="CK7" s="67">
        <f>IF(CK$59="X","",IF(CK$59&lt;&gt;"",CK$59,IF(IFERROR(INDEX(醫師週班表!$C$5:$T$44,$CU7,CK$57),"")=0,"",IF(MID(IFERROR(INDEX(醫師週班表!$C$5:$T$44,$CU7,CK$57),""),2,1)="/",MID(IFERROR(INDEX(醫師週班表!$C$5:$T$44,$CU7,CK$57),""),1+CK$58*2,1),IF(MID(IFERROR(INDEX(醫師週班表!$C$5:$T$44,$CU7,CK$57),""),3,1)="隔",IF(CK$58=0,LEFT(IFERROR(INDEX(醫師週班表!$C$5:$T$44,$CU7,CK$57),""),1),""),IF(MID(IFERROR(INDEX(醫師週班表!$C$5:$T$44,$CU7,CK$57),""),2,1)="(",LEFT(IFERROR(INDEX(醫師週班表!$C$5:$T$44,$CU7,CK$57),""),1),IFERROR(INDEX(醫師週班表!$C$5:$T$44,$CU7,CK$57),"")))))))</f>
        <v/>
      </c>
      <c r="CL7" s="68">
        <f>IF(CL$59="X","",IF(CL$59&lt;&gt;"",CL$59,IF(IFERROR(INDEX(醫師週班表!$C$5:$T$44,$CU7,CL$57),"")=0,"",IF(MID(IFERROR(INDEX(醫師週班表!$C$5:$T$44,$CU7,CL$57),""),2,1)="/",MID(IFERROR(INDEX(醫師週班表!$C$5:$T$44,$CU7,CL$57),""),1+CL$58*2,1),IF(MID(IFERROR(INDEX(醫師週班表!$C$5:$T$44,$CU7,CL$57),""),3,1)="隔",IF(CL$58=0,LEFT(IFERROR(INDEX(醫師週班表!$C$5:$T$44,$CU7,CL$57),""),1),""),IF(MID(IFERROR(INDEX(醫師週班表!$C$5:$T$44,$CU7,CL$57),""),2,1)="(",LEFT(IFERROR(INDEX(醫師週班表!$C$5:$T$44,$CU7,CL$57),""),1),IFERROR(INDEX(醫師週班表!$C$5:$T$44,$CU7,CL$57),"")))))))</f>
        <v/>
      </c>
      <c r="CM7" s="68">
        <f>IF(CM$59="X","",IF(CM$59&lt;&gt;"",CM$59,IF(IFERROR(INDEX(醫師週班表!$C$5:$T$44,$CU7,CM$57),"")=0,"",IF(MID(IFERROR(INDEX(醫師週班表!$C$5:$T$44,$CU7,CM$57),""),2,1)="/",MID(IFERROR(INDEX(醫師週班表!$C$5:$T$44,$CU7,CM$57),""),1+CM$58*2,1),IF(MID(IFERROR(INDEX(醫師週班表!$C$5:$T$44,$CU7,CM$57),""),3,1)="隔",IF(CM$58=0,LEFT(IFERROR(INDEX(醫師週班表!$C$5:$T$44,$CU7,CM$57),""),1),""),IF(MID(IFERROR(INDEX(醫師週班表!$C$5:$T$44,$CU7,CM$57),""),2,1)="(",LEFT(IFERROR(INDEX(醫師週班表!$C$5:$T$44,$CU7,CM$57),""),1),IFERROR(INDEX(醫師週班表!$C$5:$T$44,$CU7,CM$57),"")))))))</f>
        <v/>
      </c>
      <c r="CN7" s="67">
        <f>IF(CN$59="X","",IF(CN$59&lt;&gt;"",CN$59,IF(IFERROR(INDEX(醫師週班表!$C$5:$T$44,$CU7,CN$57),"")=0,"",IF(MID(IFERROR(INDEX(醫師週班表!$C$5:$T$44,$CU7,CN$57),""),2,1)="/",MID(IFERROR(INDEX(醫師週班表!$C$5:$T$44,$CU7,CN$57),""),1+CN$58*2,1),IF(MID(IFERROR(INDEX(醫師週班表!$C$5:$T$44,$CU7,CN$57),""),3,1)="隔",IF(CN$58=0,LEFT(IFERROR(INDEX(醫師週班表!$C$5:$T$44,$CU7,CN$57),""),1),""),IF(MID(IFERROR(INDEX(醫師週班表!$C$5:$T$44,$CU7,CN$57),""),2,1)="(",LEFT(IFERROR(INDEX(醫師週班表!$C$5:$T$44,$CU7,CN$57),""),1),IFERROR(INDEX(醫師週班表!$C$5:$T$44,$CU7,CN$57),"")))))))</f>
        <v/>
      </c>
      <c r="CO7" s="68">
        <f>IF(CO$59="X","",IF(CO$59&lt;&gt;"",CO$59,IF(IFERROR(INDEX(醫師週班表!$C$5:$T$44,$CU7,CO$57),"")=0,"",IF(MID(IFERROR(INDEX(醫師週班表!$C$5:$T$44,$CU7,CO$57),""),2,1)="/",MID(IFERROR(INDEX(醫師週班表!$C$5:$T$44,$CU7,CO$57),""),1+CO$58*2,1),IF(MID(IFERROR(INDEX(醫師週班表!$C$5:$T$44,$CU7,CO$57),""),3,1)="隔",IF(CO$58=0,LEFT(IFERROR(INDEX(醫師週班表!$C$5:$T$44,$CU7,CO$57),""),1),""),IF(MID(IFERROR(INDEX(醫師週班表!$C$5:$T$44,$CU7,CO$57),""),2,1)="(",LEFT(IFERROR(INDEX(醫師週班表!$C$5:$T$44,$CU7,CO$57),""),1),IFERROR(INDEX(醫師週班表!$C$5:$T$44,$CU7,CO$57),"")))))))</f>
        <v/>
      </c>
      <c r="CP7" s="68">
        <f>IF(CP$59="X","",IF(CP$59&lt;&gt;"",CP$59,IF(IFERROR(INDEX(醫師週班表!$C$5:$T$44,$CU7,CP$57),"")=0,"",IF(MID(IFERROR(INDEX(醫師週班表!$C$5:$T$44,$CU7,CP$57),""),2,1)="/",MID(IFERROR(INDEX(醫師週班表!$C$5:$T$44,$CU7,CP$57),""),1+CP$58*2,1),IF(MID(IFERROR(INDEX(醫師週班表!$C$5:$T$44,$CU7,CP$57),""),3,1)="隔",IF(CP$58=0,LEFT(IFERROR(INDEX(醫師週班表!$C$5:$T$44,$CU7,CP$57),""),1),""),IF(MID(IFERROR(INDEX(醫師週班表!$C$5:$T$44,$CU7,CP$57),""),2,1)="(",LEFT(IFERROR(INDEX(醫師週班表!$C$5:$T$44,$CU7,CP$57),""),1),IFERROR(INDEX(醫師週班表!$C$5:$T$44,$CU7,CP$57),"")))))))</f>
        <v/>
      </c>
      <c r="CQ7" s="67">
        <f>IF(CQ$59="X","",IF(CQ$59&lt;&gt;"",CQ$59,IF(IFERROR(INDEX(醫師週班表!$C$5:$T$44,$CU7,CQ$57),"")=0,"",IF(MID(IFERROR(INDEX(醫師週班表!$C$5:$T$44,$CU7,CQ$57),""),2,1)="/",MID(IFERROR(INDEX(醫師週班表!$C$5:$T$44,$CU7,CQ$57),""),1+CQ$58*2,1),IF(MID(IFERROR(INDEX(醫師週班表!$C$5:$T$44,$CU7,CQ$57),""),3,1)="隔",IF(CQ$58=0,LEFT(IFERROR(INDEX(醫師週班表!$C$5:$T$44,$CU7,CQ$57),""),1),""),IF(MID(IFERROR(INDEX(醫師週班表!$C$5:$T$44,$CU7,CQ$57),""),2,1)="(",LEFT(IFERROR(INDEX(醫師週班表!$C$5:$T$44,$CU7,CQ$57),""),1),IFERROR(INDEX(醫師週班表!$C$5:$T$44,$CU7,CQ$57),"")))))))</f>
        <v/>
      </c>
      <c r="CR7" s="68">
        <f>IF(CR$59="X","",IF(CR$59&lt;&gt;"",CR$59,IF(IFERROR(INDEX(醫師週班表!$C$5:$T$44,$CU7,CR$57),"")=0,"",IF(MID(IFERROR(INDEX(醫師週班表!$C$5:$T$44,$CU7,CR$57),""),2,1)="/",MID(IFERROR(INDEX(醫師週班表!$C$5:$T$44,$CU7,CR$57),""),1+CR$58*2,1),IF(MID(IFERROR(INDEX(醫師週班表!$C$5:$T$44,$CU7,CR$57),""),3,1)="隔",IF(CR$58=0,LEFT(IFERROR(INDEX(醫師週班表!$C$5:$T$44,$CU7,CR$57),""),1),""),IF(MID(IFERROR(INDEX(醫師週班表!$C$5:$T$44,$CU7,CR$57),""),2,1)="(",LEFT(IFERROR(INDEX(醫師週班表!$C$5:$T$44,$CU7,CR$57),""),1),IFERROR(INDEX(醫師週班表!$C$5:$T$44,$CU7,CR$57),"")))))))</f>
        <v/>
      </c>
      <c r="CS7" s="68">
        <f>IF(CS$59="X","",IF(CS$59&lt;&gt;"",CS$59,IF(IFERROR(INDEX(醫師週班表!$C$5:$T$44,$CU7,CS$57),"")=0,"",IF(MID(IFERROR(INDEX(醫師週班表!$C$5:$T$44,$CU7,CS$57),""),2,1)="/",MID(IFERROR(INDEX(醫師週班表!$C$5:$T$44,$CU7,CS$57),""),1+CS$58*2,1),IF(MID(IFERROR(INDEX(醫師週班表!$C$5:$T$44,$CU7,CS$57),""),3,1)="隔",IF(CS$58=0,LEFT(IFERROR(INDEX(醫師週班表!$C$5:$T$44,$CU7,CS$57),""),1),""),IF(MID(IFERROR(INDEX(醫師週班表!$C$5:$T$44,$CU7,CS$57),""),2,1)="(",LEFT(IFERROR(INDEX(醫師週班表!$C$5:$T$44,$CU7,CS$57),""),1),IFERROR(INDEX(醫師週班表!$C$5:$T$44,$CU7,CS$57),"")))))))</f>
        <v/>
      </c>
      <c r="CU7" s="69">
        <f>IFERROR(MATCH($A7,醫師週班表!$A$5:$A$44,0),0)</f>
        <v/>
      </c>
    </row>
    <row r="8" ht="17" customHeight="1">
      <c r="A8" s="20" t="inlineStr">
        <is>
          <t>D003</t>
        </is>
      </c>
      <c r="B8" s="16" t="inlineStr">
        <is>
          <t>王泳泉</t>
        </is>
      </c>
      <c r="C8" s="66" t="inlineStr">
        <is>
          <t>矯正專科</t>
        </is>
      </c>
      <c r="D8" s="16" t="inlineStr"/>
      <c r="E8" s="67">
        <f>IF(E$59="X","",IF(E$59&lt;&gt;"",E$59,IF(IFERROR(INDEX(醫師週班表!$C$5:$T$44,$CU8,E$57),"")=0,"",IF(MID(IFERROR(INDEX(醫師週班表!$C$5:$T$44,$CU8,E$57),""),2,1)="/",MID(IFERROR(INDEX(醫師週班表!$C$5:$T$44,$CU8,E$57),""),1+E$58*2,1),IF(MID(IFERROR(INDEX(醫師週班表!$C$5:$T$44,$CU8,E$57),""),3,1)="隔",IF(E$58=0,LEFT(IFERROR(INDEX(醫師週班表!$C$5:$T$44,$CU8,E$57),""),1),""),IF(MID(IFERROR(INDEX(醫師週班表!$C$5:$T$44,$CU8,E$57),""),2,1)="(",LEFT(IFERROR(INDEX(醫師週班表!$C$5:$T$44,$CU8,E$57),""),1),IFERROR(INDEX(醫師週班表!$C$5:$T$44,$CU8,E$57),"")))))))</f>
        <v/>
      </c>
      <c r="F8" s="68">
        <f>IF(F$59="X","",IF(F$59&lt;&gt;"",F$59,IF(IFERROR(INDEX(醫師週班表!$C$5:$T$44,$CU8,F$57),"")=0,"",IF(MID(IFERROR(INDEX(醫師週班表!$C$5:$T$44,$CU8,F$57),""),2,1)="/",MID(IFERROR(INDEX(醫師週班表!$C$5:$T$44,$CU8,F$57),""),1+F$58*2,1),IF(MID(IFERROR(INDEX(醫師週班表!$C$5:$T$44,$CU8,F$57),""),3,1)="隔",IF(F$58=0,LEFT(IFERROR(INDEX(醫師週班表!$C$5:$T$44,$CU8,F$57),""),1),""),IF(MID(IFERROR(INDEX(醫師週班表!$C$5:$T$44,$CU8,F$57),""),2,1)="(",LEFT(IFERROR(INDEX(醫師週班表!$C$5:$T$44,$CU8,F$57),""),1),IFERROR(INDEX(醫師週班表!$C$5:$T$44,$CU8,F$57),"")))))))</f>
        <v/>
      </c>
      <c r="G8" s="68">
        <f>IF(G$59="X","",IF(G$59&lt;&gt;"",G$59,IF(IFERROR(INDEX(醫師週班表!$C$5:$T$44,$CU8,G$57),"")=0,"",IF(MID(IFERROR(INDEX(醫師週班表!$C$5:$T$44,$CU8,G$57),""),2,1)="/",MID(IFERROR(INDEX(醫師週班表!$C$5:$T$44,$CU8,G$57),""),1+G$58*2,1),IF(MID(IFERROR(INDEX(醫師週班表!$C$5:$T$44,$CU8,G$57),""),3,1)="隔",IF(G$58=0,LEFT(IFERROR(INDEX(醫師週班表!$C$5:$T$44,$CU8,G$57),""),1),""),IF(MID(IFERROR(INDEX(醫師週班表!$C$5:$T$44,$CU8,G$57),""),2,1)="(",LEFT(IFERROR(INDEX(醫師週班表!$C$5:$T$44,$CU8,G$57),""),1),IFERROR(INDEX(醫師週班表!$C$5:$T$44,$CU8,G$57),"")))))))</f>
        <v/>
      </c>
      <c r="H8" s="67">
        <f>IF(H$59="X","",IF(H$59&lt;&gt;"",H$59,IF(IFERROR(INDEX(醫師週班表!$C$5:$T$44,$CU8,H$57),"")=0,"",IF(MID(IFERROR(INDEX(醫師週班表!$C$5:$T$44,$CU8,H$57),""),2,1)="/",MID(IFERROR(INDEX(醫師週班表!$C$5:$T$44,$CU8,H$57),""),1+H$58*2,1),IF(MID(IFERROR(INDEX(醫師週班表!$C$5:$T$44,$CU8,H$57),""),3,1)="隔",IF(H$58=0,LEFT(IFERROR(INDEX(醫師週班表!$C$5:$T$44,$CU8,H$57),""),1),""),IF(MID(IFERROR(INDEX(醫師週班表!$C$5:$T$44,$CU8,H$57),""),2,1)="(",LEFT(IFERROR(INDEX(醫師週班表!$C$5:$T$44,$CU8,H$57),""),1),IFERROR(INDEX(醫師週班表!$C$5:$T$44,$CU8,H$57),"")))))))</f>
        <v/>
      </c>
      <c r="I8" s="68">
        <f>IF(I$59="X","",IF(I$59&lt;&gt;"",I$59,IF(IFERROR(INDEX(醫師週班表!$C$5:$T$44,$CU8,I$57),"")=0,"",IF(MID(IFERROR(INDEX(醫師週班表!$C$5:$T$44,$CU8,I$57),""),2,1)="/",MID(IFERROR(INDEX(醫師週班表!$C$5:$T$44,$CU8,I$57),""),1+I$58*2,1),IF(MID(IFERROR(INDEX(醫師週班表!$C$5:$T$44,$CU8,I$57),""),3,1)="隔",IF(I$58=0,LEFT(IFERROR(INDEX(醫師週班表!$C$5:$T$44,$CU8,I$57),""),1),""),IF(MID(IFERROR(INDEX(醫師週班表!$C$5:$T$44,$CU8,I$57),""),2,1)="(",LEFT(IFERROR(INDEX(醫師週班表!$C$5:$T$44,$CU8,I$57),""),1),IFERROR(INDEX(醫師週班表!$C$5:$T$44,$CU8,I$57),"")))))))</f>
        <v/>
      </c>
      <c r="J8" s="68">
        <f>IF(J$59="X","",IF(J$59&lt;&gt;"",J$59,IF(IFERROR(INDEX(醫師週班表!$C$5:$T$44,$CU8,J$57),"")=0,"",IF(MID(IFERROR(INDEX(醫師週班表!$C$5:$T$44,$CU8,J$57),""),2,1)="/",MID(IFERROR(INDEX(醫師週班表!$C$5:$T$44,$CU8,J$57),""),1+J$58*2,1),IF(MID(IFERROR(INDEX(醫師週班表!$C$5:$T$44,$CU8,J$57),""),3,1)="隔",IF(J$58=0,LEFT(IFERROR(INDEX(醫師週班表!$C$5:$T$44,$CU8,J$57),""),1),""),IF(MID(IFERROR(INDEX(醫師週班表!$C$5:$T$44,$CU8,J$57),""),2,1)="(",LEFT(IFERROR(INDEX(醫師週班表!$C$5:$T$44,$CU8,J$57),""),1),IFERROR(INDEX(醫師週班表!$C$5:$T$44,$CU8,J$57),"")))))))</f>
        <v/>
      </c>
      <c r="K8" s="67">
        <f>IF(K$59="X","",IF(K$59&lt;&gt;"",K$59,IF(IFERROR(INDEX(醫師週班表!$C$5:$T$44,$CU8,K$57),"")=0,"",IF(MID(IFERROR(INDEX(醫師週班表!$C$5:$T$44,$CU8,K$57),""),2,1)="/",MID(IFERROR(INDEX(醫師週班表!$C$5:$T$44,$CU8,K$57),""),1+K$58*2,1),IF(MID(IFERROR(INDEX(醫師週班表!$C$5:$T$44,$CU8,K$57),""),3,1)="隔",IF(K$58=0,LEFT(IFERROR(INDEX(醫師週班表!$C$5:$T$44,$CU8,K$57),""),1),""),IF(MID(IFERROR(INDEX(醫師週班表!$C$5:$T$44,$CU8,K$57),""),2,1)="(",LEFT(IFERROR(INDEX(醫師週班表!$C$5:$T$44,$CU8,K$57),""),1),IFERROR(INDEX(醫師週班表!$C$5:$T$44,$CU8,K$57),"")))))))</f>
        <v/>
      </c>
      <c r="L8" s="68">
        <f>IF(L$59="X","",IF(L$59&lt;&gt;"",L$59,IF(IFERROR(INDEX(醫師週班表!$C$5:$T$44,$CU8,L$57),"")=0,"",IF(MID(IFERROR(INDEX(醫師週班表!$C$5:$T$44,$CU8,L$57),""),2,1)="/",MID(IFERROR(INDEX(醫師週班表!$C$5:$T$44,$CU8,L$57),""),1+L$58*2,1),IF(MID(IFERROR(INDEX(醫師週班表!$C$5:$T$44,$CU8,L$57),""),3,1)="隔",IF(L$58=0,LEFT(IFERROR(INDEX(醫師週班表!$C$5:$T$44,$CU8,L$57),""),1),""),IF(MID(IFERROR(INDEX(醫師週班表!$C$5:$T$44,$CU8,L$57),""),2,1)="(",LEFT(IFERROR(INDEX(醫師週班表!$C$5:$T$44,$CU8,L$57),""),1),IFERROR(INDEX(醫師週班表!$C$5:$T$44,$CU8,L$57),"")))))))</f>
        <v/>
      </c>
      <c r="M8" s="68">
        <f>IF(M$59="X","",IF(M$59&lt;&gt;"",M$59,IF(IFERROR(INDEX(醫師週班表!$C$5:$T$44,$CU8,M$57),"")=0,"",IF(MID(IFERROR(INDEX(醫師週班表!$C$5:$T$44,$CU8,M$57),""),2,1)="/",MID(IFERROR(INDEX(醫師週班表!$C$5:$T$44,$CU8,M$57),""),1+M$58*2,1),IF(MID(IFERROR(INDEX(醫師週班表!$C$5:$T$44,$CU8,M$57),""),3,1)="隔",IF(M$58=0,LEFT(IFERROR(INDEX(醫師週班表!$C$5:$T$44,$CU8,M$57),""),1),""),IF(MID(IFERROR(INDEX(醫師週班表!$C$5:$T$44,$CU8,M$57),""),2,1)="(",LEFT(IFERROR(INDEX(醫師週班表!$C$5:$T$44,$CU8,M$57),""),1),IFERROR(INDEX(醫師週班表!$C$5:$T$44,$CU8,M$57),"")))))))</f>
        <v/>
      </c>
      <c r="N8" s="67">
        <f>IF(N$59="X","",IF(N$59&lt;&gt;"",N$59,IF(IFERROR(INDEX(醫師週班表!$C$5:$T$44,$CU8,N$57),"")=0,"",IF(MID(IFERROR(INDEX(醫師週班表!$C$5:$T$44,$CU8,N$57),""),2,1)="/",MID(IFERROR(INDEX(醫師週班表!$C$5:$T$44,$CU8,N$57),""),1+N$58*2,1),IF(MID(IFERROR(INDEX(醫師週班表!$C$5:$T$44,$CU8,N$57),""),3,1)="隔",IF(N$58=0,LEFT(IFERROR(INDEX(醫師週班表!$C$5:$T$44,$CU8,N$57),""),1),""),IF(MID(IFERROR(INDEX(醫師週班表!$C$5:$T$44,$CU8,N$57),""),2,1)="(",LEFT(IFERROR(INDEX(醫師週班表!$C$5:$T$44,$CU8,N$57),""),1),IFERROR(INDEX(醫師週班表!$C$5:$T$44,$CU8,N$57),"")))))))</f>
        <v/>
      </c>
      <c r="O8" s="68">
        <f>IF(O$59="X","",IF(O$59&lt;&gt;"",O$59,IF(IFERROR(INDEX(醫師週班表!$C$5:$T$44,$CU8,O$57),"")=0,"",IF(MID(IFERROR(INDEX(醫師週班表!$C$5:$T$44,$CU8,O$57),""),2,1)="/",MID(IFERROR(INDEX(醫師週班表!$C$5:$T$44,$CU8,O$57),""),1+O$58*2,1),IF(MID(IFERROR(INDEX(醫師週班表!$C$5:$T$44,$CU8,O$57),""),3,1)="隔",IF(O$58=0,LEFT(IFERROR(INDEX(醫師週班表!$C$5:$T$44,$CU8,O$57),""),1),""),IF(MID(IFERROR(INDEX(醫師週班表!$C$5:$T$44,$CU8,O$57),""),2,1)="(",LEFT(IFERROR(INDEX(醫師週班表!$C$5:$T$44,$CU8,O$57),""),1),IFERROR(INDEX(醫師週班表!$C$5:$T$44,$CU8,O$57),"")))))))</f>
        <v/>
      </c>
      <c r="P8" s="68">
        <f>IF(P$59="X","",IF(P$59&lt;&gt;"",P$59,IF(IFERROR(INDEX(醫師週班表!$C$5:$T$44,$CU8,P$57),"")=0,"",IF(MID(IFERROR(INDEX(醫師週班表!$C$5:$T$44,$CU8,P$57),""),2,1)="/",MID(IFERROR(INDEX(醫師週班表!$C$5:$T$44,$CU8,P$57),""),1+P$58*2,1),IF(MID(IFERROR(INDEX(醫師週班表!$C$5:$T$44,$CU8,P$57),""),3,1)="隔",IF(P$58=0,LEFT(IFERROR(INDEX(醫師週班表!$C$5:$T$44,$CU8,P$57),""),1),""),IF(MID(IFERROR(INDEX(醫師週班表!$C$5:$T$44,$CU8,P$57),""),2,1)="(",LEFT(IFERROR(INDEX(醫師週班表!$C$5:$T$44,$CU8,P$57),""),1),IFERROR(INDEX(醫師週班表!$C$5:$T$44,$CU8,P$57),"")))))))</f>
        <v/>
      </c>
      <c r="Q8" s="67">
        <f>IF(Q$59="X","",IF(Q$59&lt;&gt;"",Q$59,IF(IFERROR(INDEX(醫師週班表!$C$5:$T$44,$CU8,Q$57),"")=0,"",IF(MID(IFERROR(INDEX(醫師週班表!$C$5:$T$44,$CU8,Q$57),""),2,1)="/",MID(IFERROR(INDEX(醫師週班表!$C$5:$T$44,$CU8,Q$57),""),1+Q$58*2,1),IF(MID(IFERROR(INDEX(醫師週班表!$C$5:$T$44,$CU8,Q$57),""),3,1)="隔",IF(Q$58=0,LEFT(IFERROR(INDEX(醫師週班表!$C$5:$T$44,$CU8,Q$57),""),1),""),IF(MID(IFERROR(INDEX(醫師週班表!$C$5:$T$44,$CU8,Q$57),""),2,1)="(",LEFT(IFERROR(INDEX(醫師週班表!$C$5:$T$44,$CU8,Q$57),""),1),IFERROR(INDEX(醫師週班表!$C$5:$T$44,$CU8,Q$57),"")))))))</f>
        <v/>
      </c>
      <c r="R8" s="68">
        <f>IF(R$59="X","",IF(R$59&lt;&gt;"",R$59,IF(IFERROR(INDEX(醫師週班表!$C$5:$T$44,$CU8,R$57),"")=0,"",IF(MID(IFERROR(INDEX(醫師週班表!$C$5:$T$44,$CU8,R$57),""),2,1)="/",MID(IFERROR(INDEX(醫師週班表!$C$5:$T$44,$CU8,R$57),""),1+R$58*2,1),IF(MID(IFERROR(INDEX(醫師週班表!$C$5:$T$44,$CU8,R$57),""),3,1)="隔",IF(R$58=0,LEFT(IFERROR(INDEX(醫師週班表!$C$5:$T$44,$CU8,R$57),""),1),""),IF(MID(IFERROR(INDEX(醫師週班表!$C$5:$T$44,$CU8,R$57),""),2,1)="(",LEFT(IFERROR(INDEX(醫師週班表!$C$5:$T$44,$CU8,R$57),""),1),IFERROR(INDEX(醫師週班表!$C$5:$T$44,$CU8,R$57),"")))))))</f>
        <v/>
      </c>
      <c r="S8" s="68">
        <f>IF(S$59="X","",IF(S$59&lt;&gt;"",S$59,IF(IFERROR(INDEX(醫師週班表!$C$5:$T$44,$CU8,S$57),"")=0,"",IF(MID(IFERROR(INDEX(醫師週班表!$C$5:$T$44,$CU8,S$57),""),2,1)="/",MID(IFERROR(INDEX(醫師週班表!$C$5:$T$44,$CU8,S$57),""),1+S$58*2,1),IF(MID(IFERROR(INDEX(醫師週班表!$C$5:$T$44,$CU8,S$57),""),3,1)="隔",IF(S$58=0,LEFT(IFERROR(INDEX(醫師週班表!$C$5:$T$44,$CU8,S$57),""),1),""),IF(MID(IFERROR(INDEX(醫師週班表!$C$5:$T$44,$CU8,S$57),""),2,1)="(",LEFT(IFERROR(INDEX(醫師週班表!$C$5:$T$44,$CU8,S$57),""),1),IFERROR(INDEX(醫師週班表!$C$5:$T$44,$CU8,S$57),"")))))))</f>
        <v/>
      </c>
      <c r="T8" s="67">
        <f>IF(T$59="X","",IF(T$59&lt;&gt;"",T$59,IF(IFERROR(INDEX(醫師週班表!$C$5:$T$44,$CU8,T$57),"")=0,"",IF(MID(IFERROR(INDEX(醫師週班表!$C$5:$T$44,$CU8,T$57),""),2,1)="/",MID(IFERROR(INDEX(醫師週班表!$C$5:$T$44,$CU8,T$57),""),1+T$58*2,1),IF(MID(IFERROR(INDEX(醫師週班表!$C$5:$T$44,$CU8,T$57),""),3,1)="隔",IF(T$58=0,LEFT(IFERROR(INDEX(醫師週班表!$C$5:$T$44,$CU8,T$57),""),1),""),IF(MID(IFERROR(INDEX(醫師週班表!$C$5:$T$44,$CU8,T$57),""),2,1)="(",LEFT(IFERROR(INDEX(醫師週班表!$C$5:$T$44,$CU8,T$57),""),1),IFERROR(INDEX(醫師週班表!$C$5:$T$44,$CU8,T$57),"")))))))</f>
        <v/>
      </c>
      <c r="U8" s="68">
        <f>IF(U$59="X","",IF(U$59&lt;&gt;"",U$59,IF(IFERROR(INDEX(醫師週班表!$C$5:$T$44,$CU8,U$57),"")=0,"",IF(MID(IFERROR(INDEX(醫師週班表!$C$5:$T$44,$CU8,U$57),""),2,1)="/",MID(IFERROR(INDEX(醫師週班表!$C$5:$T$44,$CU8,U$57),""),1+U$58*2,1),IF(MID(IFERROR(INDEX(醫師週班表!$C$5:$T$44,$CU8,U$57),""),3,1)="隔",IF(U$58=0,LEFT(IFERROR(INDEX(醫師週班表!$C$5:$T$44,$CU8,U$57),""),1),""),IF(MID(IFERROR(INDEX(醫師週班表!$C$5:$T$44,$CU8,U$57),""),2,1)="(",LEFT(IFERROR(INDEX(醫師週班表!$C$5:$T$44,$CU8,U$57),""),1),IFERROR(INDEX(醫師週班表!$C$5:$T$44,$CU8,U$57),"")))))))</f>
        <v/>
      </c>
      <c r="V8" s="68">
        <f>IF(V$59="X","",IF(V$59&lt;&gt;"",V$59,IF(IFERROR(INDEX(醫師週班表!$C$5:$T$44,$CU8,V$57),"")=0,"",IF(MID(IFERROR(INDEX(醫師週班表!$C$5:$T$44,$CU8,V$57),""),2,1)="/",MID(IFERROR(INDEX(醫師週班表!$C$5:$T$44,$CU8,V$57),""),1+V$58*2,1),IF(MID(IFERROR(INDEX(醫師週班表!$C$5:$T$44,$CU8,V$57),""),3,1)="隔",IF(V$58=0,LEFT(IFERROR(INDEX(醫師週班表!$C$5:$T$44,$CU8,V$57),""),1),""),IF(MID(IFERROR(INDEX(醫師週班表!$C$5:$T$44,$CU8,V$57),""),2,1)="(",LEFT(IFERROR(INDEX(醫師週班表!$C$5:$T$44,$CU8,V$57),""),1),IFERROR(INDEX(醫師週班表!$C$5:$T$44,$CU8,V$57),"")))))))</f>
        <v/>
      </c>
      <c r="W8" s="67">
        <f>IF(W$59="X","",IF(W$59&lt;&gt;"",W$59,IF(IFERROR(INDEX(醫師週班表!$C$5:$T$44,$CU8,W$57),"")=0,"",IF(MID(IFERROR(INDEX(醫師週班表!$C$5:$T$44,$CU8,W$57),""),2,1)="/",MID(IFERROR(INDEX(醫師週班表!$C$5:$T$44,$CU8,W$57),""),1+W$58*2,1),IF(MID(IFERROR(INDEX(醫師週班表!$C$5:$T$44,$CU8,W$57),""),3,1)="隔",IF(W$58=0,LEFT(IFERROR(INDEX(醫師週班表!$C$5:$T$44,$CU8,W$57),""),1),""),IF(MID(IFERROR(INDEX(醫師週班表!$C$5:$T$44,$CU8,W$57),""),2,1)="(",LEFT(IFERROR(INDEX(醫師週班表!$C$5:$T$44,$CU8,W$57),""),1),IFERROR(INDEX(醫師週班表!$C$5:$T$44,$CU8,W$57),"")))))))</f>
        <v/>
      </c>
      <c r="X8" s="68">
        <f>IF(X$59="X","",IF(X$59&lt;&gt;"",X$59,IF(IFERROR(INDEX(醫師週班表!$C$5:$T$44,$CU8,X$57),"")=0,"",IF(MID(IFERROR(INDEX(醫師週班表!$C$5:$T$44,$CU8,X$57),""),2,1)="/",MID(IFERROR(INDEX(醫師週班表!$C$5:$T$44,$CU8,X$57),""),1+X$58*2,1),IF(MID(IFERROR(INDEX(醫師週班表!$C$5:$T$44,$CU8,X$57),""),3,1)="隔",IF(X$58=0,LEFT(IFERROR(INDEX(醫師週班表!$C$5:$T$44,$CU8,X$57),""),1),""),IF(MID(IFERROR(INDEX(醫師週班表!$C$5:$T$44,$CU8,X$57),""),2,1)="(",LEFT(IFERROR(INDEX(醫師週班表!$C$5:$T$44,$CU8,X$57),""),1),IFERROR(INDEX(醫師週班表!$C$5:$T$44,$CU8,X$57),"")))))))</f>
        <v/>
      </c>
      <c r="Y8" s="68">
        <f>IF(Y$59="X","",IF(Y$59&lt;&gt;"",Y$59,IF(IFERROR(INDEX(醫師週班表!$C$5:$T$44,$CU8,Y$57),"")=0,"",IF(MID(IFERROR(INDEX(醫師週班表!$C$5:$T$44,$CU8,Y$57),""),2,1)="/",MID(IFERROR(INDEX(醫師週班表!$C$5:$T$44,$CU8,Y$57),""),1+Y$58*2,1),IF(MID(IFERROR(INDEX(醫師週班表!$C$5:$T$44,$CU8,Y$57),""),3,1)="隔",IF(Y$58=0,LEFT(IFERROR(INDEX(醫師週班表!$C$5:$T$44,$CU8,Y$57),""),1),""),IF(MID(IFERROR(INDEX(醫師週班表!$C$5:$T$44,$CU8,Y$57),""),2,1)="(",LEFT(IFERROR(INDEX(醫師週班表!$C$5:$T$44,$CU8,Y$57),""),1),IFERROR(INDEX(醫師週班表!$C$5:$T$44,$CU8,Y$57),"")))))))</f>
        <v/>
      </c>
      <c r="Z8" s="67">
        <f>IF(Z$59="X","",IF(Z$59&lt;&gt;"",Z$59,IF(IFERROR(INDEX(醫師週班表!$C$5:$T$44,$CU8,Z$57),"")=0,"",IF(MID(IFERROR(INDEX(醫師週班表!$C$5:$T$44,$CU8,Z$57),""),2,1)="/",MID(IFERROR(INDEX(醫師週班表!$C$5:$T$44,$CU8,Z$57),""),1+Z$58*2,1),IF(MID(IFERROR(INDEX(醫師週班表!$C$5:$T$44,$CU8,Z$57),""),3,1)="隔",IF(Z$58=0,LEFT(IFERROR(INDEX(醫師週班表!$C$5:$T$44,$CU8,Z$57),""),1),""),IF(MID(IFERROR(INDEX(醫師週班表!$C$5:$T$44,$CU8,Z$57),""),2,1)="(",LEFT(IFERROR(INDEX(醫師週班表!$C$5:$T$44,$CU8,Z$57),""),1),IFERROR(INDEX(醫師週班表!$C$5:$T$44,$CU8,Z$57),"")))))))</f>
        <v/>
      </c>
      <c r="AA8" s="68">
        <f>IF(AA$59="X","",IF(AA$59&lt;&gt;"",AA$59,IF(IFERROR(INDEX(醫師週班表!$C$5:$T$44,$CU8,AA$57),"")=0,"",IF(MID(IFERROR(INDEX(醫師週班表!$C$5:$T$44,$CU8,AA$57),""),2,1)="/",MID(IFERROR(INDEX(醫師週班表!$C$5:$T$44,$CU8,AA$57),""),1+AA$58*2,1),IF(MID(IFERROR(INDEX(醫師週班表!$C$5:$T$44,$CU8,AA$57),""),3,1)="隔",IF(AA$58=0,LEFT(IFERROR(INDEX(醫師週班表!$C$5:$T$44,$CU8,AA$57),""),1),""),IF(MID(IFERROR(INDEX(醫師週班表!$C$5:$T$44,$CU8,AA$57),""),2,1)="(",LEFT(IFERROR(INDEX(醫師週班表!$C$5:$T$44,$CU8,AA$57),""),1),IFERROR(INDEX(醫師週班表!$C$5:$T$44,$CU8,AA$57),"")))))))</f>
        <v/>
      </c>
      <c r="AB8" s="68">
        <f>IF(AB$59="X","",IF(AB$59&lt;&gt;"",AB$59,IF(IFERROR(INDEX(醫師週班表!$C$5:$T$44,$CU8,AB$57),"")=0,"",IF(MID(IFERROR(INDEX(醫師週班表!$C$5:$T$44,$CU8,AB$57),""),2,1)="/",MID(IFERROR(INDEX(醫師週班表!$C$5:$T$44,$CU8,AB$57),""),1+AB$58*2,1),IF(MID(IFERROR(INDEX(醫師週班表!$C$5:$T$44,$CU8,AB$57),""),3,1)="隔",IF(AB$58=0,LEFT(IFERROR(INDEX(醫師週班表!$C$5:$T$44,$CU8,AB$57),""),1),""),IF(MID(IFERROR(INDEX(醫師週班表!$C$5:$T$44,$CU8,AB$57),""),2,1)="(",LEFT(IFERROR(INDEX(醫師週班表!$C$5:$T$44,$CU8,AB$57),""),1),IFERROR(INDEX(醫師週班表!$C$5:$T$44,$CU8,AB$57),"")))))))</f>
        <v/>
      </c>
      <c r="AC8" s="67">
        <f>IF(AC$59="X","",IF(AC$59&lt;&gt;"",AC$59,IF(IFERROR(INDEX(醫師週班表!$C$5:$T$44,$CU8,AC$57),"")=0,"",IF(MID(IFERROR(INDEX(醫師週班表!$C$5:$T$44,$CU8,AC$57),""),2,1)="/",MID(IFERROR(INDEX(醫師週班表!$C$5:$T$44,$CU8,AC$57),""),1+AC$58*2,1),IF(MID(IFERROR(INDEX(醫師週班表!$C$5:$T$44,$CU8,AC$57),""),3,1)="隔",IF(AC$58=0,LEFT(IFERROR(INDEX(醫師週班表!$C$5:$T$44,$CU8,AC$57),""),1),""),IF(MID(IFERROR(INDEX(醫師週班表!$C$5:$T$44,$CU8,AC$57),""),2,1)="(",LEFT(IFERROR(INDEX(醫師週班表!$C$5:$T$44,$CU8,AC$57),""),1),IFERROR(INDEX(醫師週班表!$C$5:$T$44,$CU8,AC$57),"")))))))</f>
        <v/>
      </c>
      <c r="AD8" s="68">
        <f>IF(AD$59="X","",IF(AD$59&lt;&gt;"",AD$59,IF(IFERROR(INDEX(醫師週班表!$C$5:$T$44,$CU8,AD$57),"")=0,"",IF(MID(IFERROR(INDEX(醫師週班表!$C$5:$T$44,$CU8,AD$57),""),2,1)="/",MID(IFERROR(INDEX(醫師週班表!$C$5:$T$44,$CU8,AD$57),""),1+AD$58*2,1),IF(MID(IFERROR(INDEX(醫師週班表!$C$5:$T$44,$CU8,AD$57),""),3,1)="隔",IF(AD$58=0,LEFT(IFERROR(INDEX(醫師週班表!$C$5:$T$44,$CU8,AD$57),""),1),""),IF(MID(IFERROR(INDEX(醫師週班表!$C$5:$T$44,$CU8,AD$57),""),2,1)="(",LEFT(IFERROR(INDEX(醫師週班表!$C$5:$T$44,$CU8,AD$57),""),1),IFERROR(INDEX(醫師週班表!$C$5:$T$44,$CU8,AD$57),"")))))))</f>
        <v/>
      </c>
      <c r="AE8" s="68">
        <f>IF(AE$59="X","",IF(AE$59&lt;&gt;"",AE$59,IF(IFERROR(INDEX(醫師週班表!$C$5:$T$44,$CU8,AE$57),"")=0,"",IF(MID(IFERROR(INDEX(醫師週班表!$C$5:$T$44,$CU8,AE$57),""),2,1)="/",MID(IFERROR(INDEX(醫師週班表!$C$5:$T$44,$CU8,AE$57),""),1+AE$58*2,1),IF(MID(IFERROR(INDEX(醫師週班表!$C$5:$T$44,$CU8,AE$57),""),3,1)="隔",IF(AE$58=0,LEFT(IFERROR(INDEX(醫師週班表!$C$5:$T$44,$CU8,AE$57),""),1),""),IF(MID(IFERROR(INDEX(醫師週班表!$C$5:$T$44,$CU8,AE$57),""),2,1)="(",LEFT(IFERROR(INDEX(醫師週班表!$C$5:$T$44,$CU8,AE$57),""),1),IFERROR(INDEX(醫師週班表!$C$5:$T$44,$CU8,AE$57),"")))))))</f>
        <v/>
      </c>
      <c r="AF8" s="67">
        <f>IF(AF$59="X","",IF(AF$59&lt;&gt;"",AF$59,IF(IFERROR(INDEX(醫師週班表!$C$5:$T$44,$CU8,AF$57),"")=0,"",IF(MID(IFERROR(INDEX(醫師週班表!$C$5:$T$44,$CU8,AF$57),""),2,1)="/",MID(IFERROR(INDEX(醫師週班表!$C$5:$T$44,$CU8,AF$57),""),1+AF$58*2,1),IF(MID(IFERROR(INDEX(醫師週班表!$C$5:$T$44,$CU8,AF$57),""),3,1)="隔",IF(AF$58=0,LEFT(IFERROR(INDEX(醫師週班表!$C$5:$T$44,$CU8,AF$57),""),1),""),IF(MID(IFERROR(INDEX(醫師週班表!$C$5:$T$44,$CU8,AF$57),""),2,1)="(",LEFT(IFERROR(INDEX(醫師週班表!$C$5:$T$44,$CU8,AF$57),""),1),IFERROR(INDEX(醫師週班表!$C$5:$T$44,$CU8,AF$57),"")))))))</f>
        <v/>
      </c>
      <c r="AG8" s="68">
        <f>IF(AG$59="X","",IF(AG$59&lt;&gt;"",AG$59,IF(IFERROR(INDEX(醫師週班表!$C$5:$T$44,$CU8,AG$57),"")=0,"",IF(MID(IFERROR(INDEX(醫師週班表!$C$5:$T$44,$CU8,AG$57),""),2,1)="/",MID(IFERROR(INDEX(醫師週班表!$C$5:$T$44,$CU8,AG$57),""),1+AG$58*2,1),IF(MID(IFERROR(INDEX(醫師週班表!$C$5:$T$44,$CU8,AG$57),""),3,1)="隔",IF(AG$58=0,LEFT(IFERROR(INDEX(醫師週班表!$C$5:$T$44,$CU8,AG$57),""),1),""),IF(MID(IFERROR(INDEX(醫師週班表!$C$5:$T$44,$CU8,AG$57),""),2,1)="(",LEFT(IFERROR(INDEX(醫師週班表!$C$5:$T$44,$CU8,AG$57),""),1),IFERROR(INDEX(醫師週班表!$C$5:$T$44,$CU8,AG$57),"")))))))</f>
        <v/>
      </c>
      <c r="AH8" s="68">
        <f>IF(AH$59="X","",IF(AH$59&lt;&gt;"",AH$59,IF(IFERROR(INDEX(醫師週班表!$C$5:$T$44,$CU8,AH$57),"")=0,"",IF(MID(IFERROR(INDEX(醫師週班表!$C$5:$T$44,$CU8,AH$57),""),2,1)="/",MID(IFERROR(INDEX(醫師週班表!$C$5:$T$44,$CU8,AH$57),""),1+AH$58*2,1),IF(MID(IFERROR(INDEX(醫師週班表!$C$5:$T$44,$CU8,AH$57),""),3,1)="隔",IF(AH$58=0,LEFT(IFERROR(INDEX(醫師週班表!$C$5:$T$44,$CU8,AH$57),""),1),""),IF(MID(IFERROR(INDEX(醫師週班表!$C$5:$T$44,$CU8,AH$57),""),2,1)="(",LEFT(IFERROR(INDEX(醫師週班表!$C$5:$T$44,$CU8,AH$57),""),1),IFERROR(INDEX(醫師週班表!$C$5:$T$44,$CU8,AH$57),"")))))))</f>
        <v/>
      </c>
      <c r="AI8" s="67">
        <f>IF(AI$59="X","",IF(AI$59&lt;&gt;"",AI$59,IF(IFERROR(INDEX(醫師週班表!$C$5:$T$44,$CU8,AI$57),"")=0,"",IF(MID(IFERROR(INDEX(醫師週班表!$C$5:$T$44,$CU8,AI$57),""),2,1)="/",MID(IFERROR(INDEX(醫師週班表!$C$5:$T$44,$CU8,AI$57),""),1+AI$58*2,1),IF(MID(IFERROR(INDEX(醫師週班表!$C$5:$T$44,$CU8,AI$57),""),3,1)="隔",IF(AI$58=0,LEFT(IFERROR(INDEX(醫師週班表!$C$5:$T$44,$CU8,AI$57),""),1),""),IF(MID(IFERROR(INDEX(醫師週班表!$C$5:$T$44,$CU8,AI$57),""),2,1)="(",LEFT(IFERROR(INDEX(醫師週班表!$C$5:$T$44,$CU8,AI$57),""),1),IFERROR(INDEX(醫師週班表!$C$5:$T$44,$CU8,AI$57),"")))))))</f>
        <v/>
      </c>
      <c r="AJ8" s="68">
        <f>IF(AJ$59="X","",IF(AJ$59&lt;&gt;"",AJ$59,IF(IFERROR(INDEX(醫師週班表!$C$5:$T$44,$CU8,AJ$57),"")=0,"",IF(MID(IFERROR(INDEX(醫師週班表!$C$5:$T$44,$CU8,AJ$57),""),2,1)="/",MID(IFERROR(INDEX(醫師週班表!$C$5:$T$44,$CU8,AJ$57),""),1+AJ$58*2,1),IF(MID(IFERROR(INDEX(醫師週班表!$C$5:$T$44,$CU8,AJ$57),""),3,1)="隔",IF(AJ$58=0,LEFT(IFERROR(INDEX(醫師週班表!$C$5:$T$44,$CU8,AJ$57),""),1),""),IF(MID(IFERROR(INDEX(醫師週班表!$C$5:$T$44,$CU8,AJ$57),""),2,1)="(",LEFT(IFERROR(INDEX(醫師週班表!$C$5:$T$44,$CU8,AJ$57),""),1),IFERROR(INDEX(醫師週班表!$C$5:$T$44,$CU8,AJ$57),"")))))))</f>
        <v/>
      </c>
      <c r="AK8" s="68">
        <f>IF(AK$59="X","",IF(AK$59&lt;&gt;"",AK$59,IF(IFERROR(INDEX(醫師週班表!$C$5:$T$44,$CU8,AK$57),"")=0,"",IF(MID(IFERROR(INDEX(醫師週班表!$C$5:$T$44,$CU8,AK$57),""),2,1)="/",MID(IFERROR(INDEX(醫師週班表!$C$5:$T$44,$CU8,AK$57),""),1+AK$58*2,1),IF(MID(IFERROR(INDEX(醫師週班表!$C$5:$T$44,$CU8,AK$57),""),3,1)="隔",IF(AK$58=0,LEFT(IFERROR(INDEX(醫師週班表!$C$5:$T$44,$CU8,AK$57),""),1),""),IF(MID(IFERROR(INDEX(醫師週班表!$C$5:$T$44,$CU8,AK$57),""),2,1)="(",LEFT(IFERROR(INDEX(醫師週班表!$C$5:$T$44,$CU8,AK$57),""),1),IFERROR(INDEX(醫師週班表!$C$5:$T$44,$CU8,AK$57),"")))))))</f>
        <v/>
      </c>
      <c r="AL8" s="67">
        <f>IF(AL$59="X","",IF(AL$59&lt;&gt;"",AL$59,IF(IFERROR(INDEX(醫師週班表!$C$5:$T$44,$CU8,AL$57),"")=0,"",IF(MID(IFERROR(INDEX(醫師週班表!$C$5:$T$44,$CU8,AL$57),""),2,1)="/",MID(IFERROR(INDEX(醫師週班表!$C$5:$T$44,$CU8,AL$57),""),1+AL$58*2,1),IF(MID(IFERROR(INDEX(醫師週班表!$C$5:$T$44,$CU8,AL$57),""),3,1)="隔",IF(AL$58=0,LEFT(IFERROR(INDEX(醫師週班表!$C$5:$T$44,$CU8,AL$57),""),1),""),IF(MID(IFERROR(INDEX(醫師週班表!$C$5:$T$44,$CU8,AL$57),""),2,1)="(",LEFT(IFERROR(INDEX(醫師週班表!$C$5:$T$44,$CU8,AL$57),""),1),IFERROR(INDEX(醫師週班表!$C$5:$T$44,$CU8,AL$57),"")))))))</f>
        <v/>
      </c>
      <c r="AM8" s="68">
        <f>IF(AM$59="X","",IF(AM$59&lt;&gt;"",AM$59,IF(IFERROR(INDEX(醫師週班表!$C$5:$T$44,$CU8,AM$57),"")=0,"",IF(MID(IFERROR(INDEX(醫師週班表!$C$5:$T$44,$CU8,AM$57),""),2,1)="/",MID(IFERROR(INDEX(醫師週班表!$C$5:$T$44,$CU8,AM$57),""),1+AM$58*2,1),IF(MID(IFERROR(INDEX(醫師週班表!$C$5:$T$44,$CU8,AM$57),""),3,1)="隔",IF(AM$58=0,LEFT(IFERROR(INDEX(醫師週班表!$C$5:$T$44,$CU8,AM$57),""),1),""),IF(MID(IFERROR(INDEX(醫師週班表!$C$5:$T$44,$CU8,AM$57),""),2,1)="(",LEFT(IFERROR(INDEX(醫師週班表!$C$5:$T$44,$CU8,AM$57),""),1),IFERROR(INDEX(醫師週班表!$C$5:$T$44,$CU8,AM$57),"")))))))</f>
        <v/>
      </c>
      <c r="AN8" s="68">
        <f>IF(AN$59="X","",IF(AN$59&lt;&gt;"",AN$59,IF(IFERROR(INDEX(醫師週班表!$C$5:$T$44,$CU8,AN$57),"")=0,"",IF(MID(IFERROR(INDEX(醫師週班表!$C$5:$T$44,$CU8,AN$57),""),2,1)="/",MID(IFERROR(INDEX(醫師週班表!$C$5:$T$44,$CU8,AN$57),""),1+AN$58*2,1),IF(MID(IFERROR(INDEX(醫師週班表!$C$5:$T$44,$CU8,AN$57),""),3,1)="隔",IF(AN$58=0,LEFT(IFERROR(INDEX(醫師週班表!$C$5:$T$44,$CU8,AN$57),""),1),""),IF(MID(IFERROR(INDEX(醫師週班表!$C$5:$T$44,$CU8,AN$57),""),2,1)="(",LEFT(IFERROR(INDEX(醫師週班表!$C$5:$T$44,$CU8,AN$57),""),1),IFERROR(INDEX(醫師週班表!$C$5:$T$44,$CU8,AN$57),"")))))))</f>
        <v/>
      </c>
      <c r="AO8" s="67">
        <f>IF(AO$59="X","",IF(AO$59&lt;&gt;"",AO$59,IF(IFERROR(INDEX(醫師週班表!$C$5:$T$44,$CU8,AO$57),"")=0,"",IF(MID(IFERROR(INDEX(醫師週班表!$C$5:$T$44,$CU8,AO$57),""),2,1)="/",MID(IFERROR(INDEX(醫師週班表!$C$5:$T$44,$CU8,AO$57),""),1+AO$58*2,1),IF(MID(IFERROR(INDEX(醫師週班表!$C$5:$T$44,$CU8,AO$57),""),3,1)="隔",IF(AO$58=0,LEFT(IFERROR(INDEX(醫師週班表!$C$5:$T$44,$CU8,AO$57),""),1),""),IF(MID(IFERROR(INDEX(醫師週班表!$C$5:$T$44,$CU8,AO$57),""),2,1)="(",LEFT(IFERROR(INDEX(醫師週班表!$C$5:$T$44,$CU8,AO$57),""),1),IFERROR(INDEX(醫師週班表!$C$5:$T$44,$CU8,AO$57),"")))))))</f>
        <v/>
      </c>
      <c r="AP8" s="68">
        <f>IF(AP$59="X","",IF(AP$59&lt;&gt;"",AP$59,IF(IFERROR(INDEX(醫師週班表!$C$5:$T$44,$CU8,AP$57),"")=0,"",IF(MID(IFERROR(INDEX(醫師週班表!$C$5:$T$44,$CU8,AP$57),""),2,1)="/",MID(IFERROR(INDEX(醫師週班表!$C$5:$T$44,$CU8,AP$57),""),1+AP$58*2,1),IF(MID(IFERROR(INDEX(醫師週班表!$C$5:$T$44,$CU8,AP$57),""),3,1)="隔",IF(AP$58=0,LEFT(IFERROR(INDEX(醫師週班表!$C$5:$T$44,$CU8,AP$57),""),1),""),IF(MID(IFERROR(INDEX(醫師週班表!$C$5:$T$44,$CU8,AP$57),""),2,1)="(",LEFT(IFERROR(INDEX(醫師週班表!$C$5:$T$44,$CU8,AP$57),""),1),IFERROR(INDEX(醫師週班表!$C$5:$T$44,$CU8,AP$57),"")))))))</f>
        <v/>
      </c>
      <c r="AQ8" s="68">
        <f>IF(AQ$59="X","",IF(AQ$59&lt;&gt;"",AQ$59,IF(IFERROR(INDEX(醫師週班表!$C$5:$T$44,$CU8,AQ$57),"")=0,"",IF(MID(IFERROR(INDEX(醫師週班表!$C$5:$T$44,$CU8,AQ$57),""),2,1)="/",MID(IFERROR(INDEX(醫師週班表!$C$5:$T$44,$CU8,AQ$57),""),1+AQ$58*2,1),IF(MID(IFERROR(INDEX(醫師週班表!$C$5:$T$44,$CU8,AQ$57),""),3,1)="隔",IF(AQ$58=0,LEFT(IFERROR(INDEX(醫師週班表!$C$5:$T$44,$CU8,AQ$57),""),1),""),IF(MID(IFERROR(INDEX(醫師週班表!$C$5:$T$44,$CU8,AQ$57),""),2,1)="(",LEFT(IFERROR(INDEX(醫師週班表!$C$5:$T$44,$CU8,AQ$57),""),1),IFERROR(INDEX(醫師週班表!$C$5:$T$44,$CU8,AQ$57),"")))))))</f>
        <v/>
      </c>
      <c r="AR8" s="67">
        <f>IF(AR$59="X","",IF(AR$59&lt;&gt;"",AR$59,IF(IFERROR(INDEX(醫師週班表!$C$5:$T$44,$CU8,AR$57),"")=0,"",IF(MID(IFERROR(INDEX(醫師週班表!$C$5:$T$44,$CU8,AR$57),""),2,1)="/",MID(IFERROR(INDEX(醫師週班表!$C$5:$T$44,$CU8,AR$57),""),1+AR$58*2,1),IF(MID(IFERROR(INDEX(醫師週班表!$C$5:$T$44,$CU8,AR$57),""),3,1)="隔",IF(AR$58=0,LEFT(IFERROR(INDEX(醫師週班表!$C$5:$T$44,$CU8,AR$57),""),1),""),IF(MID(IFERROR(INDEX(醫師週班表!$C$5:$T$44,$CU8,AR$57),""),2,1)="(",LEFT(IFERROR(INDEX(醫師週班表!$C$5:$T$44,$CU8,AR$57),""),1),IFERROR(INDEX(醫師週班表!$C$5:$T$44,$CU8,AR$57),"")))))))</f>
        <v/>
      </c>
      <c r="AS8" s="68">
        <f>IF(AS$59="X","",IF(AS$59&lt;&gt;"",AS$59,IF(IFERROR(INDEX(醫師週班表!$C$5:$T$44,$CU8,AS$57),"")=0,"",IF(MID(IFERROR(INDEX(醫師週班表!$C$5:$T$44,$CU8,AS$57),""),2,1)="/",MID(IFERROR(INDEX(醫師週班表!$C$5:$T$44,$CU8,AS$57),""),1+AS$58*2,1),IF(MID(IFERROR(INDEX(醫師週班表!$C$5:$T$44,$CU8,AS$57),""),3,1)="隔",IF(AS$58=0,LEFT(IFERROR(INDEX(醫師週班表!$C$5:$T$44,$CU8,AS$57),""),1),""),IF(MID(IFERROR(INDEX(醫師週班表!$C$5:$T$44,$CU8,AS$57),""),2,1)="(",LEFT(IFERROR(INDEX(醫師週班表!$C$5:$T$44,$CU8,AS$57),""),1),IFERROR(INDEX(醫師週班表!$C$5:$T$44,$CU8,AS$57),"")))))))</f>
        <v/>
      </c>
      <c r="AT8" s="68">
        <f>IF(AT$59="X","",IF(AT$59&lt;&gt;"",AT$59,IF(IFERROR(INDEX(醫師週班表!$C$5:$T$44,$CU8,AT$57),"")=0,"",IF(MID(IFERROR(INDEX(醫師週班表!$C$5:$T$44,$CU8,AT$57),""),2,1)="/",MID(IFERROR(INDEX(醫師週班表!$C$5:$T$44,$CU8,AT$57),""),1+AT$58*2,1),IF(MID(IFERROR(INDEX(醫師週班表!$C$5:$T$44,$CU8,AT$57),""),3,1)="隔",IF(AT$58=0,LEFT(IFERROR(INDEX(醫師週班表!$C$5:$T$44,$CU8,AT$57),""),1),""),IF(MID(IFERROR(INDEX(醫師週班表!$C$5:$T$44,$CU8,AT$57),""),2,1)="(",LEFT(IFERROR(INDEX(醫師週班表!$C$5:$T$44,$CU8,AT$57),""),1),IFERROR(INDEX(醫師週班表!$C$5:$T$44,$CU8,AT$57),"")))))))</f>
        <v/>
      </c>
      <c r="AU8" s="67">
        <f>IF(AU$59="X","",IF(AU$59&lt;&gt;"",AU$59,IF(IFERROR(INDEX(醫師週班表!$C$5:$T$44,$CU8,AU$57),"")=0,"",IF(MID(IFERROR(INDEX(醫師週班表!$C$5:$T$44,$CU8,AU$57),""),2,1)="/",MID(IFERROR(INDEX(醫師週班表!$C$5:$T$44,$CU8,AU$57),""),1+AU$58*2,1),IF(MID(IFERROR(INDEX(醫師週班表!$C$5:$T$44,$CU8,AU$57),""),3,1)="隔",IF(AU$58=0,LEFT(IFERROR(INDEX(醫師週班表!$C$5:$T$44,$CU8,AU$57),""),1),""),IF(MID(IFERROR(INDEX(醫師週班表!$C$5:$T$44,$CU8,AU$57),""),2,1)="(",LEFT(IFERROR(INDEX(醫師週班表!$C$5:$T$44,$CU8,AU$57),""),1),IFERROR(INDEX(醫師週班表!$C$5:$T$44,$CU8,AU$57),"")))))))</f>
        <v/>
      </c>
      <c r="AV8" s="68">
        <f>IF(AV$59="X","",IF(AV$59&lt;&gt;"",AV$59,IF(IFERROR(INDEX(醫師週班表!$C$5:$T$44,$CU8,AV$57),"")=0,"",IF(MID(IFERROR(INDEX(醫師週班表!$C$5:$T$44,$CU8,AV$57),""),2,1)="/",MID(IFERROR(INDEX(醫師週班表!$C$5:$T$44,$CU8,AV$57),""),1+AV$58*2,1),IF(MID(IFERROR(INDEX(醫師週班表!$C$5:$T$44,$CU8,AV$57),""),3,1)="隔",IF(AV$58=0,LEFT(IFERROR(INDEX(醫師週班表!$C$5:$T$44,$CU8,AV$57),""),1),""),IF(MID(IFERROR(INDEX(醫師週班表!$C$5:$T$44,$CU8,AV$57),""),2,1)="(",LEFT(IFERROR(INDEX(醫師週班表!$C$5:$T$44,$CU8,AV$57),""),1),IFERROR(INDEX(醫師週班表!$C$5:$T$44,$CU8,AV$57),"")))))))</f>
        <v/>
      </c>
      <c r="AW8" s="68">
        <f>IF(AW$59="X","",IF(AW$59&lt;&gt;"",AW$59,IF(IFERROR(INDEX(醫師週班表!$C$5:$T$44,$CU8,AW$57),"")=0,"",IF(MID(IFERROR(INDEX(醫師週班表!$C$5:$T$44,$CU8,AW$57),""),2,1)="/",MID(IFERROR(INDEX(醫師週班表!$C$5:$T$44,$CU8,AW$57),""),1+AW$58*2,1),IF(MID(IFERROR(INDEX(醫師週班表!$C$5:$T$44,$CU8,AW$57),""),3,1)="隔",IF(AW$58=0,LEFT(IFERROR(INDEX(醫師週班表!$C$5:$T$44,$CU8,AW$57),""),1),""),IF(MID(IFERROR(INDEX(醫師週班表!$C$5:$T$44,$CU8,AW$57),""),2,1)="(",LEFT(IFERROR(INDEX(醫師週班表!$C$5:$T$44,$CU8,AW$57),""),1),IFERROR(INDEX(醫師週班表!$C$5:$T$44,$CU8,AW$57),"")))))))</f>
        <v/>
      </c>
      <c r="AX8" s="67">
        <f>IF(AX$59="X","",IF(AX$59&lt;&gt;"",AX$59,IF(IFERROR(INDEX(醫師週班表!$C$5:$T$44,$CU8,AX$57),"")=0,"",IF(MID(IFERROR(INDEX(醫師週班表!$C$5:$T$44,$CU8,AX$57),""),2,1)="/",MID(IFERROR(INDEX(醫師週班表!$C$5:$T$44,$CU8,AX$57),""),1+AX$58*2,1),IF(MID(IFERROR(INDEX(醫師週班表!$C$5:$T$44,$CU8,AX$57),""),3,1)="隔",IF(AX$58=0,LEFT(IFERROR(INDEX(醫師週班表!$C$5:$T$44,$CU8,AX$57),""),1),""),IF(MID(IFERROR(INDEX(醫師週班表!$C$5:$T$44,$CU8,AX$57),""),2,1)="(",LEFT(IFERROR(INDEX(醫師週班表!$C$5:$T$44,$CU8,AX$57),""),1),IFERROR(INDEX(醫師週班表!$C$5:$T$44,$CU8,AX$57),"")))))))</f>
        <v/>
      </c>
      <c r="AY8" s="68">
        <f>IF(AY$59="X","",IF(AY$59&lt;&gt;"",AY$59,IF(IFERROR(INDEX(醫師週班表!$C$5:$T$44,$CU8,AY$57),"")=0,"",IF(MID(IFERROR(INDEX(醫師週班表!$C$5:$T$44,$CU8,AY$57),""),2,1)="/",MID(IFERROR(INDEX(醫師週班表!$C$5:$T$44,$CU8,AY$57),""),1+AY$58*2,1),IF(MID(IFERROR(INDEX(醫師週班表!$C$5:$T$44,$CU8,AY$57),""),3,1)="隔",IF(AY$58=0,LEFT(IFERROR(INDEX(醫師週班表!$C$5:$T$44,$CU8,AY$57),""),1),""),IF(MID(IFERROR(INDEX(醫師週班表!$C$5:$T$44,$CU8,AY$57),""),2,1)="(",LEFT(IFERROR(INDEX(醫師週班表!$C$5:$T$44,$CU8,AY$57),""),1),IFERROR(INDEX(醫師週班表!$C$5:$T$44,$CU8,AY$57),"")))))))</f>
        <v/>
      </c>
      <c r="AZ8" s="68">
        <f>IF(AZ$59="X","",IF(AZ$59&lt;&gt;"",AZ$59,IF(IFERROR(INDEX(醫師週班表!$C$5:$T$44,$CU8,AZ$57),"")=0,"",IF(MID(IFERROR(INDEX(醫師週班表!$C$5:$T$44,$CU8,AZ$57),""),2,1)="/",MID(IFERROR(INDEX(醫師週班表!$C$5:$T$44,$CU8,AZ$57),""),1+AZ$58*2,1),IF(MID(IFERROR(INDEX(醫師週班表!$C$5:$T$44,$CU8,AZ$57),""),3,1)="隔",IF(AZ$58=0,LEFT(IFERROR(INDEX(醫師週班表!$C$5:$T$44,$CU8,AZ$57),""),1),""),IF(MID(IFERROR(INDEX(醫師週班表!$C$5:$T$44,$CU8,AZ$57),""),2,1)="(",LEFT(IFERROR(INDEX(醫師週班表!$C$5:$T$44,$CU8,AZ$57),""),1),IFERROR(INDEX(醫師週班表!$C$5:$T$44,$CU8,AZ$57),"")))))))</f>
        <v/>
      </c>
      <c r="BA8" s="67">
        <f>IF(BA$59="X","",IF(BA$59&lt;&gt;"",BA$59,IF(IFERROR(INDEX(醫師週班表!$C$5:$T$44,$CU8,BA$57),"")=0,"",IF(MID(IFERROR(INDEX(醫師週班表!$C$5:$T$44,$CU8,BA$57),""),2,1)="/",MID(IFERROR(INDEX(醫師週班表!$C$5:$T$44,$CU8,BA$57),""),1+BA$58*2,1),IF(MID(IFERROR(INDEX(醫師週班表!$C$5:$T$44,$CU8,BA$57),""),3,1)="隔",IF(BA$58=0,LEFT(IFERROR(INDEX(醫師週班表!$C$5:$T$44,$CU8,BA$57),""),1),""),IF(MID(IFERROR(INDEX(醫師週班表!$C$5:$T$44,$CU8,BA$57),""),2,1)="(",LEFT(IFERROR(INDEX(醫師週班表!$C$5:$T$44,$CU8,BA$57),""),1),IFERROR(INDEX(醫師週班表!$C$5:$T$44,$CU8,BA$57),"")))))))</f>
        <v/>
      </c>
      <c r="BB8" s="68">
        <f>IF(BB$59="X","",IF(BB$59&lt;&gt;"",BB$59,IF(IFERROR(INDEX(醫師週班表!$C$5:$T$44,$CU8,BB$57),"")=0,"",IF(MID(IFERROR(INDEX(醫師週班表!$C$5:$T$44,$CU8,BB$57),""),2,1)="/",MID(IFERROR(INDEX(醫師週班表!$C$5:$T$44,$CU8,BB$57),""),1+BB$58*2,1),IF(MID(IFERROR(INDEX(醫師週班表!$C$5:$T$44,$CU8,BB$57),""),3,1)="隔",IF(BB$58=0,LEFT(IFERROR(INDEX(醫師週班表!$C$5:$T$44,$CU8,BB$57),""),1),""),IF(MID(IFERROR(INDEX(醫師週班表!$C$5:$T$44,$CU8,BB$57),""),2,1)="(",LEFT(IFERROR(INDEX(醫師週班表!$C$5:$T$44,$CU8,BB$57),""),1),IFERROR(INDEX(醫師週班表!$C$5:$T$44,$CU8,BB$57),"")))))))</f>
        <v/>
      </c>
      <c r="BC8" s="68">
        <f>IF(BC$59="X","",IF(BC$59&lt;&gt;"",BC$59,IF(IFERROR(INDEX(醫師週班表!$C$5:$T$44,$CU8,BC$57),"")=0,"",IF(MID(IFERROR(INDEX(醫師週班表!$C$5:$T$44,$CU8,BC$57),""),2,1)="/",MID(IFERROR(INDEX(醫師週班表!$C$5:$T$44,$CU8,BC$57),""),1+BC$58*2,1),IF(MID(IFERROR(INDEX(醫師週班表!$C$5:$T$44,$CU8,BC$57),""),3,1)="隔",IF(BC$58=0,LEFT(IFERROR(INDEX(醫師週班表!$C$5:$T$44,$CU8,BC$57),""),1),""),IF(MID(IFERROR(INDEX(醫師週班表!$C$5:$T$44,$CU8,BC$57),""),2,1)="(",LEFT(IFERROR(INDEX(醫師週班表!$C$5:$T$44,$CU8,BC$57),""),1),IFERROR(INDEX(醫師週班表!$C$5:$T$44,$CU8,BC$57),"")))))))</f>
        <v/>
      </c>
      <c r="BD8" s="67">
        <f>IF(BD$59="X","",IF(BD$59&lt;&gt;"",BD$59,IF(IFERROR(INDEX(醫師週班表!$C$5:$T$44,$CU8,BD$57),"")=0,"",IF(MID(IFERROR(INDEX(醫師週班表!$C$5:$T$44,$CU8,BD$57),""),2,1)="/",MID(IFERROR(INDEX(醫師週班表!$C$5:$T$44,$CU8,BD$57),""),1+BD$58*2,1),IF(MID(IFERROR(INDEX(醫師週班表!$C$5:$T$44,$CU8,BD$57),""),3,1)="隔",IF(BD$58=0,LEFT(IFERROR(INDEX(醫師週班表!$C$5:$T$44,$CU8,BD$57),""),1),""),IF(MID(IFERROR(INDEX(醫師週班表!$C$5:$T$44,$CU8,BD$57),""),2,1)="(",LEFT(IFERROR(INDEX(醫師週班表!$C$5:$T$44,$CU8,BD$57),""),1),IFERROR(INDEX(醫師週班表!$C$5:$T$44,$CU8,BD$57),"")))))))</f>
        <v/>
      </c>
      <c r="BE8" s="68">
        <f>IF(BE$59="X","",IF(BE$59&lt;&gt;"",BE$59,IF(IFERROR(INDEX(醫師週班表!$C$5:$T$44,$CU8,BE$57),"")=0,"",IF(MID(IFERROR(INDEX(醫師週班表!$C$5:$T$44,$CU8,BE$57),""),2,1)="/",MID(IFERROR(INDEX(醫師週班表!$C$5:$T$44,$CU8,BE$57),""),1+BE$58*2,1),IF(MID(IFERROR(INDEX(醫師週班表!$C$5:$T$44,$CU8,BE$57),""),3,1)="隔",IF(BE$58=0,LEFT(IFERROR(INDEX(醫師週班表!$C$5:$T$44,$CU8,BE$57),""),1),""),IF(MID(IFERROR(INDEX(醫師週班表!$C$5:$T$44,$CU8,BE$57),""),2,1)="(",LEFT(IFERROR(INDEX(醫師週班表!$C$5:$T$44,$CU8,BE$57),""),1),IFERROR(INDEX(醫師週班表!$C$5:$T$44,$CU8,BE$57),"")))))))</f>
        <v/>
      </c>
      <c r="BF8" s="68">
        <f>IF(BF$59="X","",IF(BF$59&lt;&gt;"",BF$59,IF(IFERROR(INDEX(醫師週班表!$C$5:$T$44,$CU8,BF$57),"")=0,"",IF(MID(IFERROR(INDEX(醫師週班表!$C$5:$T$44,$CU8,BF$57),""),2,1)="/",MID(IFERROR(INDEX(醫師週班表!$C$5:$T$44,$CU8,BF$57),""),1+BF$58*2,1),IF(MID(IFERROR(INDEX(醫師週班表!$C$5:$T$44,$CU8,BF$57),""),3,1)="隔",IF(BF$58=0,LEFT(IFERROR(INDEX(醫師週班表!$C$5:$T$44,$CU8,BF$57),""),1),""),IF(MID(IFERROR(INDEX(醫師週班表!$C$5:$T$44,$CU8,BF$57),""),2,1)="(",LEFT(IFERROR(INDEX(醫師週班表!$C$5:$T$44,$CU8,BF$57),""),1),IFERROR(INDEX(醫師週班表!$C$5:$T$44,$CU8,BF$57),"")))))))</f>
        <v/>
      </c>
      <c r="BG8" s="67">
        <f>IF(BG$59="X","",IF(BG$59&lt;&gt;"",BG$59,IF(IFERROR(INDEX(醫師週班表!$C$5:$T$44,$CU8,BG$57),"")=0,"",IF(MID(IFERROR(INDEX(醫師週班表!$C$5:$T$44,$CU8,BG$57),""),2,1)="/",MID(IFERROR(INDEX(醫師週班表!$C$5:$T$44,$CU8,BG$57),""),1+BG$58*2,1),IF(MID(IFERROR(INDEX(醫師週班表!$C$5:$T$44,$CU8,BG$57),""),3,1)="隔",IF(BG$58=0,LEFT(IFERROR(INDEX(醫師週班表!$C$5:$T$44,$CU8,BG$57),""),1),""),IF(MID(IFERROR(INDEX(醫師週班表!$C$5:$T$44,$CU8,BG$57),""),2,1)="(",LEFT(IFERROR(INDEX(醫師週班表!$C$5:$T$44,$CU8,BG$57),""),1),IFERROR(INDEX(醫師週班表!$C$5:$T$44,$CU8,BG$57),"")))))))</f>
        <v/>
      </c>
      <c r="BH8" s="68">
        <f>IF(BH$59="X","",IF(BH$59&lt;&gt;"",BH$59,IF(IFERROR(INDEX(醫師週班表!$C$5:$T$44,$CU8,BH$57),"")=0,"",IF(MID(IFERROR(INDEX(醫師週班表!$C$5:$T$44,$CU8,BH$57),""),2,1)="/",MID(IFERROR(INDEX(醫師週班表!$C$5:$T$44,$CU8,BH$57),""),1+BH$58*2,1),IF(MID(IFERROR(INDEX(醫師週班表!$C$5:$T$44,$CU8,BH$57),""),3,1)="隔",IF(BH$58=0,LEFT(IFERROR(INDEX(醫師週班表!$C$5:$T$44,$CU8,BH$57),""),1),""),IF(MID(IFERROR(INDEX(醫師週班表!$C$5:$T$44,$CU8,BH$57),""),2,1)="(",LEFT(IFERROR(INDEX(醫師週班表!$C$5:$T$44,$CU8,BH$57),""),1),IFERROR(INDEX(醫師週班表!$C$5:$T$44,$CU8,BH$57),"")))))))</f>
        <v/>
      </c>
      <c r="BI8" s="68">
        <f>IF(BI$59="X","",IF(BI$59&lt;&gt;"",BI$59,IF(IFERROR(INDEX(醫師週班表!$C$5:$T$44,$CU8,BI$57),"")=0,"",IF(MID(IFERROR(INDEX(醫師週班表!$C$5:$T$44,$CU8,BI$57),""),2,1)="/",MID(IFERROR(INDEX(醫師週班表!$C$5:$T$44,$CU8,BI$57),""),1+BI$58*2,1),IF(MID(IFERROR(INDEX(醫師週班表!$C$5:$T$44,$CU8,BI$57),""),3,1)="隔",IF(BI$58=0,LEFT(IFERROR(INDEX(醫師週班表!$C$5:$T$44,$CU8,BI$57),""),1),""),IF(MID(IFERROR(INDEX(醫師週班表!$C$5:$T$44,$CU8,BI$57),""),2,1)="(",LEFT(IFERROR(INDEX(醫師週班表!$C$5:$T$44,$CU8,BI$57),""),1),IFERROR(INDEX(醫師週班表!$C$5:$T$44,$CU8,BI$57),"")))))))</f>
        <v/>
      </c>
      <c r="BJ8" s="67">
        <f>IF(BJ$59="X","",IF(BJ$59&lt;&gt;"",BJ$59,IF(IFERROR(INDEX(醫師週班表!$C$5:$T$44,$CU8,BJ$57),"")=0,"",IF(MID(IFERROR(INDEX(醫師週班表!$C$5:$T$44,$CU8,BJ$57),""),2,1)="/",MID(IFERROR(INDEX(醫師週班表!$C$5:$T$44,$CU8,BJ$57),""),1+BJ$58*2,1),IF(MID(IFERROR(INDEX(醫師週班表!$C$5:$T$44,$CU8,BJ$57),""),3,1)="隔",IF(BJ$58=0,LEFT(IFERROR(INDEX(醫師週班表!$C$5:$T$44,$CU8,BJ$57),""),1),""),IF(MID(IFERROR(INDEX(醫師週班表!$C$5:$T$44,$CU8,BJ$57),""),2,1)="(",LEFT(IFERROR(INDEX(醫師週班表!$C$5:$T$44,$CU8,BJ$57),""),1),IFERROR(INDEX(醫師週班表!$C$5:$T$44,$CU8,BJ$57),"")))))))</f>
        <v/>
      </c>
      <c r="BK8" s="68">
        <f>IF(BK$59="X","",IF(BK$59&lt;&gt;"",BK$59,IF(IFERROR(INDEX(醫師週班表!$C$5:$T$44,$CU8,BK$57),"")=0,"",IF(MID(IFERROR(INDEX(醫師週班表!$C$5:$T$44,$CU8,BK$57),""),2,1)="/",MID(IFERROR(INDEX(醫師週班表!$C$5:$T$44,$CU8,BK$57),""),1+BK$58*2,1),IF(MID(IFERROR(INDEX(醫師週班表!$C$5:$T$44,$CU8,BK$57),""),3,1)="隔",IF(BK$58=0,LEFT(IFERROR(INDEX(醫師週班表!$C$5:$T$44,$CU8,BK$57),""),1),""),IF(MID(IFERROR(INDEX(醫師週班表!$C$5:$T$44,$CU8,BK$57),""),2,1)="(",LEFT(IFERROR(INDEX(醫師週班表!$C$5:$T$44,$CU8,BK$57),""),1),IFERROR(INDEX(醫師週班表!$C$5:$T$44,$CU8,BK$57),"")))))))</f>
        <v/>
      </c>
      <c r="BL8" s="68">
        <f>IF(BL$59="X","",IF(BL$59&lt;&gt;"",BL$59,IF(IFERROR(INDEX(醫師週班表!$C$5:$T$44,$CU8,BL$57),"")=0,"",IF(MID(IFERROR(INDEX(醫師週班表!$C$5:$T$44,$CU8,BL$57),""),2,1)="/",MID(IFERROR(INDEX(醫師週班表!$C$5:$T$44,$CU8,BL$57),""),1+BL$58*2,1),IF(MID(IFERROR(INDEX(醫師週班表!$C$5:$T$44,$CU8,BL$57),""),3,1)="隔",IF(BL$58=0,LEFT(IFERROR(INDEX(醫師週班表!$C$5:$T$44,$CU8,BL$57),""),1),""),IF(MID(IFERROR(INDEX(醫師週班表!$C$5:$T$44,$CU8,BL$57),""),2,1)="(",LEFT(IFERROR(INDEX(醫師週班表!$C$5:$T$44,$CU8,BL$57),""),1),IFERROR(INDEX(醫師週班表!$C$5:$T$44,$CU8,BL$57),"")))))))</f>
        <v/>
      </c>
      <c r="BM8" s="67">
        <f>IF(BM$59="X","",IF(BM$59&lt;&gt;"",BM$59,IF(IFERROR(INDEX(醫師週班表!$C$5:$T$44,$CU8,BM$57),"")=0,"",IF(MID(IFERROR(INDEX(醫師週班表!$C$5:$T$44,$CU8,BM$57),""),2,1)="/",MID(IFERROR(INDEX(醫師週班表!$C$5:$T$44,$CU8,BM$57),""),1+BM$58*2,1),IF(MID(IFERROR(INDEX(醫師週班表!$C$5:$T$44,$CU8,BM$57),""),3,1)="隔",IF(BM$58=0,LEFT(IFERROR(INDEX(醫師週班表!$C$5:$T$44,$CU8,BM$57),""),1),""),IF(MID(IFERROR(INDEX(醫師週班表!$C$5:$T$44,$CU8,BM$57),""),2,1)="(",LEFT(IFERROR(INDEX(醫師週班表!$C$5:$T$44,$CU8,BM$57),""),1),IFERROR(INDEX(醫師週班表!$C$5:$T$44,$CU8,BM$57),"")))))))</f>
        <v/>
      </c>
      <c r="BN8" s="68">
        <f>IF(BN$59="X","",IF(BN$59&lt;&gt;"",BN$59,IF(IFERROR(INDEX(醫師週班表!$C$5:$T$44,$CU8,BN$57),"")=0,"",IF(MID(IFERROR(INDEX(醫師週班表!$C$5:$T$44,$CU8,BN$57),""),2,1)="/",MID(IFERROR(INDEX(醫師週班表!$C$5:$T$44,$CU8,BN$57),""),1+BN$58*2,1),IF(MID(IFERROR(INDEX(醫師週班表!$C$5:$T$44,$CU8,BN$57),""),3,1)="隔",IF(BN$58=0,LEFT(IFERROR(INDEX(醫師週班表!$C$5:$T$44,$CU8,BN$57),""),1),""),IF(MID(IFERROR(INDEX(醫師週班表!$C$5:$T$44,$CU8,BN$57),""),2,1)="(",LEFT(IFERROR(INDEX(醫師週班表!$C$5:$T$44,$CU8,BN$57),""),1),IFERROR(INDEX(醫師週班表!$C$5:$T$44,$CU8,BN$57),"")))))))</f>
        <v/>
      </c>
      <c r="BO8" s="68">
        <f>IF(BO$59="X","",IF(BO$59&lt;&gt;"",BO$59,IF(IFERROR(INDEX(醫師週班表!$C$5:$T$44,$CU8,BO$57),"")=0,"",IF(MID(IFERROR(INDEX(醫師週班表!$C$5:$T$44,$CU8,BO$57),""),2,1)="/",MID(IFERROR(INDEX(醫師週班表!$C$5:$T$44,$CU8,BO$57),""),1+BO$58*2,1),IF(MID(IFERROR(INDEX(醫師週班表!$C$5:$T$44,$CU8,BO$57),""),3,1)="隔",IF(BO$58=0,LEFT(IFERROR(INDEX(醫師週班表!$C$5:$T$44,$CU8,BO$57),""),1),""),IF(MID(IFERROR(INDEX(醫師週班表!$C$5:$T$44,$CU8,BO$57),""),2,1)="(",LEFT(IFERROR(INDEX(醫師週班表!$C$5:$T$44,$CU8,BO$57),""),1),IFERROR(INDEX(醫師週班表!$C$5:$T$44,$CU8,BO$57),"")))))))</f>
        <v/>
      </c>
      <c r="BP8" s="67">
        <f>IF(BP$59="X","",IF(BP$59&lt;&gt;"",BP$59,IF(IFERROR(INDEX(醫師週班表!$C$5:$T$44,$CU8,BP$57),"")=0,"",IF(MID(IFERROR(INDEX(醫師週班表!$C$5:$T$44,$CU8,BP$57),""),2,1)="/",MID(IFERROR(INDEX(醫師週班表!$C$5:$T$44,$CU8,BP$57),""),1+BP$58*2,1),IF(MID(IFERROR(INDEX(醫師週班表!$C$5:$T$44,$CU8,BP$57),""),3,1)="隔",IF(BP$58=0,LEFT(IFERROR(INDEX(醫師週班表!$C$5:$T$44,$CU8,BP$57),""),1),""),IF(MID(IFERROR(INDEX(醫師週班表!$C$5:$T$44,$CU8,BP$57),""),2,1)="(",LEFT(IFERROR(INDEX(醫師週班表!$C$5:$T$44,$CU8,BP$57),""),1),IFERROR(INDEX(醫師週班表!$C$5:$T$44,$CU8,BP$57),"")))))))</f>
        <v/>
      </c>
      <c r="BQ8" s="68">
        <f>IF(BQ$59="X","",IF(BQ$59&lt;&gt;"",BQ$59,IF(IFERROR(INDEX(醫師週班表!$C$5:$T$44,$CU8,BQ$57),"")=0,"",IF(MID(IFERROR(INDEX(醫師週班表!$C$5:$T$44,$CU8,BQ$57),""),2,1)="/",MID(IFERROR(INDEX(醫師週班表!$C$5:$T$44,$CU8,BQ$57),""),1+BQ$58*2,1),IF(MID(IFERROR(INDEX(醫師週班表!$C$5:$T$44,$CU8,BQ$57),""),3,1)="隔",IF(BQ$58=0,LEFT(IFERROR(INDEX(醫師週班表!$C$5:$T$44,$CU8,BQ$57),""),1),""),IF(MID(IFERROR(INDEX(醫師週班表!$C$5:$T$44,$CU8,BQ$57),""),2,1)="(",LEFT(IFERROR(INDEX(醫師週班表!$C$5:$T$44,$CU8,BQ$57),""),1),IFERROR(INDEX(醫師週班表!$C$5:$T$44,$CU8,BQ$57),"")))))))</f>
        <v/>
      </c>
      <c r="BR8" s="68">
        <f>IF(BR$59="X","",IF(BR$59&lt;&gt;"",BR$59,IF(IFERROR(INDEX(醫師週班表!$C$5:$T$44,$CU8,BR$57),"")=0,"",IF(MID(IFERROR(INDEX(醫師週班表!$C$5:$T$44,$CU8,BR$57),""),2,1)="/",MID(IFERROR(INDEX(醫師週班表!$C$5:$T$44,$CU8,BR$57),""),1+BR$58*2,1),IF(MID(IFERROR(INDEX(醫師週班表!$C$5:$T$44,$CU8,BR$57),""),3,1)="隔",IF(BR$58=0,LEFT(IFERROR(INDEX(醫師週班表!$C$5:$T$44,$CU8,BR$57),""),1),""),IF(MID(IFERROR(INDEX(醫師週班表!$C$5:$T$44,$CU8,BR$57),""),2,1)="(",LEFT(IFERROR(INDEX(醫師週班表!$C$5:$T$44,$CU8,BR$57),""),1),IFERROR(INDEX(醫師週班表!$C$5:$T$44,$CU8,BR$57),"")))))))</f>
        <v/>
      </c>
      <c r="BS8" s="67">
        <f>IF(BS$59="X","",IF(BS$59&lt;&gt;"",BS$59,IF(IFERROR(INDEX(醫師週班表!$C$5:$T$44,$CU8,BS$57),"")=0,"",IF(MID(IFERROR(INDEX(醫師週班表!$C$5:$T$44,$CU8,BS$57),""),2,1)="/",MID(IFERROR(INDEX(醫師週班表!$C$5:$T$44,$CU8,BS$57),""),1+BS$58*2,1),IF(MID(IFERROR(INDEX(醫師週班表!$C$5:$T$44,$CU8,BS$57),""),3,1)="隔",IF(BS$58=0,LEFT(IFERROR(INDEX(醫師週班表!$C$5:$T$44,$CU8,BS$57),""),1),""),IF(MID(IFERROR(INDEX(醫師週班表!$C$5:$T$44,$CU8,BS$57),""),2,1)="(",LEFT(IFERROR(INDEX(醫師週班表!$C$5:$T$44,$CU8,BS$57),""),1),IFERROR(INDEX(醫師週班表!$C$5:$T$44,$CU8,BS$57),"")))))))</f>
        <v/>
      </c>
      <c r="BT8" s="68">
        <f>IF(BT$59="X","",IF(BT$59&lt;&gt;"",BT$59,IF(IFERROR(INDEX(醫師週班表!$C$5:$T$44,$CU8,BT$57),"")=0,"",IF(MID(IFERROR(INDEX(醫師週班表!$C$5:$T$44,$CU8,BT$57),""),2,1)="/",MID(IFERROR(INDEX(醫師週班表!$C$5:$T$44,$CU8,BT$57),""),1+BT$58*2,1),IF(MID(IFERROR(INDEX(醫師週班表!$C$5:$T$44,$CU8,BT$57),""),3,1)="隔",IF(BT$58=0,LEFT(IFERROR(INDEX(醫師週班表!$C$5:$T$44,$CU8,BT$57),""),1),""),IF(MID(IFERROR(INDEX(醫師週班表!$C$5:$T$44,$CU8,BT$57),""),2,1)="(",LEFT(IFERROR(INDEX(醫師週班表!$C$5:$T$44,$CU8,BT$57),""),1),IFERROR(INDEX(醫師週班表!$C$5:$T$44,$CU8,BT$57),"")))))))</f>
        <v/>
      </c>
      <c r="BU8" s="68">
        <f>IF(BU$59="X","",IF(BU$59&lt;&gt;"",BU$59,IF(IFERROR(INDEX(醫師週班表!$C$5:$T$44,$CU8,BU$57),"")=0,"",IF(MID(IFERROR(INDEX(醫師週班表!$C$5:$T$44,$CU8,BU$57),""),2,1)="/",MID(IFERROR(INDEX(醫師週班表!$C$5:$T$44,$CU8,BU$57),""),1+BU$58*2,1),IF(MID(IFERROR(INDEX(醫師週班表!$C$5:$T$44,$CU8,BU$57),""),3,1)="隔",IF(BU$58=0,LEFT(IFERROR(INDEX(醫師週班表!$C$5:$T$44,$CU8,BU$57),""),1),""),IF(MID(IFERROR(INDEX(醫師週班表!$C$5:$T$44,$CU8,BU$57),""),2,1)="(",LEFT(IFERROR(INDEX(醫師週班表!$C$5:$T$44,$CU8,BU$57),""),1),IFERROR(INDEX(醫師週班表!$C$5:$T$44,$CU8,BU$57),"")))))))</f>
        <v/>
      </c>
      <c r="BV8" s="67">
        <f>IF(BV$59="X","",IF(BV$59&lt;&gt;"",BV$59,IF(IFERROR(INDEX(醫師週班表!$C$5:$T$44,$CU8,BV$57),"")=0,"",IF(MID(IFERROR(INDEX(醫師週班表!$C$5:$T$44,$CU8,BV$57),""),2,1)="/",MID(IFERROR(INDEX(醫師週班表!$C$5:$T$44,$CU8,BV$57),""),1+BV$58*2,1),IF(MID(IFERROR(INDEX(醫師週班表!$C$5:$T$44,$CU8,BV$57),""),3,1)="隔",IF(BV$58=0,LEFT(IFERROR(INDEX(醫師週班表!$C$5:$T$44,$CU8,BV$57),""),1),""),IF(MID(IFERROR(INDEX(醫師週班表!$C$5:$T$44,$CU8,BV$57),""),2,1)="(",LEFT(IFERROR(INDEX(醫師週班表!$C$5:$T$44,$CU8,BV$57),""),1),IFERROR(INDEX(醫師週班表!$C$5:$T$44,$CU8,BV$57),"")))))))</f>
        <v/>
      </c>
      <c r="BW8" s="68">
        <f>IF(BW$59="X","",IF(BW$59&lt;&gt;"",BW$59,IF(IFERROR(INDEX(醫師週班表!$C$5:$T$44,$CU8,BW$57),"")=0,"",IF(MID(IFERROR(INDEX(醫師週班表!$C$5:$T$44,$CU8,BW$57),""),2,1)="/",MID(IFERROR(INDEX(醫師週班表!$C$5:$T$44,$CU8,BW$57),""),1+BW$58*2,1),IF(MID(IFERROR(INDEX(醫師週班表!$C$5:$T$44,$CU8,BW$57),""),3,1)="隔",IF(BW$58=0,LEFT(IFERROR(INDEX(醫師週班表!$C$5:$T$44,$CU8,BW$57),""),1),""),IF(MID(IFERROR(INDEX(醫師週班表!$C$5:$T$44,$CU8,BW$57),""),2,1)="(",LEFT(IFERROR(INDEX(醫師週班表!$C$5:$T$44,$CU8,BW$57),""),1),IFERROR(INDEX(醫師週班表!$C$5:$T$44,$CU8,BW$57),"")))))))</f>
        <v/>
      </c>
      <c r="BX8" s="68">
        <f>IF(BX$59="X","",IF(BX$59&lt;&gt;"",BX$59,IF(IFERROR(INDEX(醫師週班表!$C$5:$T$44,$CU8,BX$57),"")=0,"",IF(MID(IFERROR(INDEX(醫師週班表!$C$5:$T$44,$CU8,BX$57),""),2,1)="/",MID(IFERROR(INDEX(醫師週班表!$C$5:$T$44,$CU8,BX$57),""),1+BX$58*2,1),IF(MID(IFERROR(INDEX(醫師週班表!$C$5:$T$44,$CU8,BX$57),""),3,1)="隔",IF(BX$58=0,LEFT(IFERROR(INDEX(醫師週班表!$C$5:$T$44,$CU8,BX$57),""),1),""),IF(MID(IFERROR(INDEX(醫師週班表!$C$5:$T$44,$CU8,BX$57),""),2,1)="(",LEFT(IFERROR(INDEX(醫師週班表!$C$5:$T$44,$CU8,BX$57),""),1),IFERROR(INDEX(醫師週班表!$C$5:$T$44,$CU8,BX$57),"")))))))</f>
        <v/>
      </c>
      <c r="BY8" s="67">
        <f>IF(BY$59="X","",IF(BY$59&lt;&gt;"",BY$59,IF(IFERROR(INDEX(醫師週班表!$C$5:$T$44,$CU8,BY$57),"")=0,"",IF(MID(IFERROR(INDEX(醫師週班表!$C$5:$T$44,$CU8,BY$57),""),2,1)="/",MID(IFERROR(INDEX(醫師週班表!$C$5:$T$44,$CU8,BY$57),""),1+BY$58*2,1),IF(MID(IFERROR(INDEX(醫師週班表!$C$5:$T$44,$CU8,BY$57),""),3,1)="隔",IF(BY$58=0,LEFT(IFERROR(INDEX(醫師週班表!$C$5:$T$44,$CU8,BY$57),""),1),""),IF(MID(IFERROR(INDEX(醫師週班表!$C$5:$T$44,$CU8,BY$57),""),2,1)="(",LEFT(IFERROR(INDEX(醫師週班表!$C$5:$T$44,$CU8,BY$57),""),1),IFERROR(INDEX(醫師週班表!$C$5:$T$44,$CU8,BY$57),"")))))))</f>
        <v/>
      </c>
      <c r="BZ8" s="68">
        <f>IF(BZ$59="X","",IF(BZ$59&lt;&gt;"",BZ$59,IF(IFERROR(INDEX(醫師週班表!$C$5:$T$44,$CU8,BZ$57),"")=0,"",IF(MID(IFERROR(INDEX(醫師週班表!$C$5:$T$44,$CU8,BZ$57),""),2,1)="/",MID(IFERROR(INDEX(醫師週班表!$C$5:$T$44,$CU8,BZ$57),""),1+BZ$58*2,1),IF(MID(IFERROR(INDEX(醫師週班表!$C$5:$T$44,$CU8,BZ$57),""),3,1)="隔",IF(BZ$58=0,LEFT(IFERROR(INDEX(醫師週班表!$C$5:$T$44,$CU8,BZ$57),""),1),""),IF(MID(IFERROR(INDEX(醫師週班表!$C$5:$T$44,$CU8,BZ$57),""),2,1)="(",LEFT(IFERROR(INDEX(醫師週班表!$C$5:$T$44,$CU8,BZ$57),""),1),IFERROR(INDEX(醫師週班表!$C$5:$T$44,$CU8,BZ$57),"")))))))</f>
        <v/>
      </c>
      <c r="CA8" s="68">
        <f>IF(CA$59="X","",IF(CA$59&lt;&gt;"",CA$59,IF(IFERROR(INDEX(醫師週班表!$C$5:$T$44,$CU8,CA$57),"")=0,"",IF(MID(IFERROR(INDEX(醫師週班表!$C$5:$T$44,$CU8,CA$57),""),2,1)="/",MID(IFERROR(INDEX(醫師週班表!$C$5:$T$44,$CU8,CA$57),""),1+CA$58*2,1),IF(MID(IFERROR(INDEX(醫師週班表!$C$5:$T$44,$CU8,CA$57),""),3,1)="隔",IF(CA$58=0,LEFT(IFERROR(INDEX(醫師週班表!$C$5:$T$44,$CU8,CA$57),""),1),""),IF(MID(IFERROR(INDEX(醫師週班表!$C$5:$T$44,$CU8,CA$57),""),2,1)="(",LEFT(IFERROR(INDEX(醫師週班表!$C$5:$T$44,$CU8,CA$57),""),1),IFERROR(INDEX(醫師週班表!$C$5:$T$44,$CU8,CA$57),"")))))))</f>
        <v/>
      </c>
      <c r="CB8" s="67">
        <f>IF(CB$59="X","",IF(CB$59&lt;&gt;"",CB$59,IF(IFERROR(INDEX(醫師週班表!$C$5:$T$44,$CU8,CB$57),"")=0,"",IF(MID(IFERROR(INDEX(醫師週班表!$C$5:$T$44,$CU8,CB$57),""),2,1)="/",MID(IFERROR(INDEX(醫師週班表!$C$5:$T$44,$CU8,CB$57),""),1+CB$58*2,1),IF(MID(IFERROR(INDEX(醫師週班表!$C$5:$T$44,$CU8,CB$57),""),3,1)="隔",IF(CB$58=0,LEFT(IFERROR(INDEX(醫師週班表!$C$5:$T$44,$CU8,CB$57),""),1),""),IF(MID(IFERROR(INDEX(醫師週班表!$C$5:$T$44,$CU8,CB$57),""),2,1)="(",LEFT(IFERROR(INDEX(醫師週班表!$C$5:$T$44,$CU8,CB$57),""),1),IFERROR(INDEX(醫師週班表!$C$5:$T$44,$CU8,CB$57),"")))))))</f>
        <v/>
      </c>
      <c r="CC8" s="68">
        <f>IF(CC$59="X","",IF(CC$59&lt;&gt;"",CC$59,IF(IFERROR(INDEX(醫師週班表!$C$5:$T$44,$CU8,CC$57),"")=0,"",IF(MID(IFERROR(INDEX(醫師週班表!$C$5:$T$44,$CU8,CC$57),""),2,1)="/",MID(IFERROR(INDEX(醫師週班表!$C$5:$T$44,$CU8,CC$57),""),1+CC$58*2,1),IF(MID(IFERROR(INDEX(醫師週班表!$C$5:$T$44,$CU8,CC$57),""),3,1)="隔",IF(CC$58=0,LEFT(IFERROR(INDEX(醫師週班表!$C$5:$T$44,$CU8,CC$57),""),1),""),IF(MID(IFERROR(INDEX(醫師週班表!$C$5:$T$44,$CU8,CC$57),""),2,1)="(",LEFT(IFERROR(INDEX(醫師週班表!$C$5:$T$44,$CU8,CC$57),""),1),IFERROR(INDEX(醫師週班表!$C$5:$T$44,$CU8,CC$57),"")))))))</f>
        <v/>
      </c>
      <c r="CD8" s="68">
        <f>IF(CD$59="X","",IF(CD$59&lt;&gt;"",CD$59,IF(IFERROR(INDEX(醫師週班表!$C$5:$T$44,$CU8,CD$57),"")=0,"",IF(MID(IFERROR(INDEX(醫師週班表!$C$5:$T$44,$CU8,CD$57),""),2,1)="/",MID(IFERROR(INDEX(醫師週班表!$C$5:$T$44,$CU8,CD$57),""),1+CD$58*2,1),IF(MID(IFERROR(INDEX(醫師週班表!$C$5:$T$44,$CU8,CD$57),""),3,1)="隔",IF(CD$58=0,LEFT(IFERROR(INDEX(醫師週班表!$C$5:$T$44,$CU8,CD$57),""),1),""),IF(MID(IFERROR(INDEX(醫師週班表!$C$5:$T$44,$CU8,CD$57),""),2,1)="(",LEFT(IFERROR(INDEX(醫師週班表!$C$5:$T$44,$CU8,CD$57),""),1),IFERROR(INDEX(醫師週班表!$C$5:$T$44,$CU8,CD$57),"")))))))</f>
        <v/>
      </c>
      <c r="CE8" s="67">
        <f>IF(CE$59="X","",IF(CE$59&lt;&gt;"",CE$59,IF(IFERROR(INDEX(醫師週班表!$C$5:$T$44,$CU8,CE$57),"")=0,"",IF(MID(IFERROR(INDEX(醫師週班表!$C$5:$T$44,$CU8,CE$57),""),2,1)="/",MID(IFERROR(INDEX(醫師週班表!$C$5:$T$44,$CU8,CE$57),""),1+CE$58*2,1),IF(MID(IFERROR(INDEX(醫師週班表!$C$5:$T$44,$CU8,CE$57),""),3,1)="隔",IF(CE$58=0,LEFT(IFERROR(INDEX(醫師週班表!$C$5:$T$44,$CU8,CE$57),""),1),""),IF(MID(IFERROR(INDEX(醫師週班表!$C$5:$T$44,$CU8,CE$57),""),2,1)="(",LEFT(IFERROR(INDEX(醫師週班表!$C$5:$T$44,$CU8,CE$57),""),1),IFERROR(INDEX(醫師週班表!$C$5:$T$44,$CU8,CE$57),"")))))))</f>
        <v/>
      </c>
      <c r="CF8" s="68">
        <f>IF(CF$59="X","",IF(CF$59&lt;&gt;"",CF$59,IF(IFERROR(INDEX(醫師週班表!$C$5:$T$44,$CU8,CF$57),"")=0,"",IF(MID(IFERROR(INDEX(醫師週班表!$C$5:$T$44,$CU8,CF$57),""),2,1)="/",MID(IFERROR(INDEX(醫師週班表!$C$5:$T$44,$CU8,CF$57),""),1+CF$58*2,1),IF(MID(IFERROR(INDEX(醫師週班表!$C$5:$T$44,$CU8,CF$57),""),3,1)="隔",IF(CF$58=0,LEFT(IFERROR(INDEX(醫師週班表!$C$5:$T$44,$CU8,CF$57),""),1),""),IF(MID(IFERROR(INDEX(醫師週班表!$C$5:$T$44,$CU8,CF$57),""),2,1)="(",LEFT(IFERROR(INDEX(醫師週班表!$C$5:$T$44,$CU8,CF$57),""),1),IFERROR(INDEX(醫師週班表!$C$5:$T$44,$CU8,CF$57),"")))))))</f>
        <v/>
      </c>
      <c r="CG8" s="68">
        <f>IF(CG$59="X","",IF(CG$59&lt;&gt;"",CG$59,IF(IFERROR(INDEX(醫師週班表!$C$5:$T$44,$CU8,CG$57),"")=0,"",IF(MID(IFERROR(INDEX(醫師週班表!$C$5:$T$44,$CU8,CG$57),""),2,1)="/",MID(IFERROR(INDEX(醫師週班表!$C$5:$T$44,$CU8,CG$57),""),1+CG$58*2,1),IF(MID(IFERROR(INDEX(醫師週班表!$C$5:$T$44,$CU8,CG$57),""),3,1)="隔",IF(CG$58=0,LEFT(IFERROR(INDEX(醫師週班表!$C$5:$T$44,$CU8,CG$57),""),1),""),IF(MID(IFERROR(INDEX(醫師週班表!$C$5:$T$44,$CU8,CG$57),""),2,1)="(",LEFT(IFERROR(INDEX(醫師週班表!$C$5:$T$44,$CU8,CG$57),""),1),IFERROR(INDEX(醫師週班表!$C$5:$T$44,$CU8,CG$57),"")))))))</f>
        <v/>
      </c>
      <c r="CH8" s="67">
        <f>IF(CH$59="X","",IF(CH$59&lt;&gt;"",CH$59,IF(IFERROR(INDEX(醫師週班表!$C$5:$T$44,$CU8,CH$57),"")=0,"",IF(MID(IFERROR(INDEX(醫師週班表!$C$5:$T$44,$CU8,CH$57),""),2,1)="/",MID(IFERROR(INDEX(醫師週班表!$C$5:$T$44,$CU8,CH$57),""),1+CH$58*2,1),IF(MID(IFERROR(INDEX(醫師週班表!$C$5:$T$44,$CU8,CH$57),""),3,1)="隔",IF(CH$58=0,LEFT(IFERROR(INDEX(醫師週班表!$C$5:$T$44,$CU8,CH$57),""),1),""),IF(MID(IFERROR(INDEX(醫師週班表!$C$5:$T$44,$CU8,CH$57),""),2,1)="(",LEFT(IFERROR(INDEX(醫師週班表!$C$5:$T$44,$CU8,CH$57),""),1),IFERROR(INDEX(醫師週班表!$C$5:$T$44,$CU8,CH$57),"")))))))</f>
        <v/>
      </c>
      <c r="CI8" s="68">
        <f>IF(CI$59="X","",IF(CI$59&lt;&gt;"",CI$59,IF(IFERROR(INDEX(醫師週班表!$C$5:$T$44,$CU8,CI$57),"")=0,"",IF(MID(IFERROR(INDEX(醫師週班表!$C$5:$T$44,$CU8,CI$57),""),2,1)="/",MID(IFERROR(INDEX(醫師週班表!$C$5:$T$44,$CU8,CI$57),""),1+CI$58*2,1),IF(MID(IFERROR(INDEX(醫師週班表!$C$5:$T$44,$CU8,CI$57),""),3,1)="隔",IF(CI$58=0,LEFT(IFERROR(INDEX(醫師週班表!$C$5:$T$44,$CU8,CI$57),""),1),""),IF(MID(IFERROR(INDEX(醫師週班表!$C$5:$T$44,$CU8,CI$57),""),2,1)="(",LEFT(IFERROR(INDEX(醫師週班表!$C$5:$T$44,$CU8,CI$57),""),1),IFERROR(INDEX(醫師週班表!$C$5:$T$44,$CU8,CI$57),"")))))))</f>
        <v/>
      </c>
      <c r="CJ8" s="68">
        <f>IF(CJ$59="X","",IF(CJ$59&lt;&gt;"",CJ$59,IF(IFERROR(INDEX(醫師週班表!$C$5:$T$44,$CU8,CJ$57),"")=0,"",IF(MID(IFERROR(INDEX(醫師週班表!$C$5:$T$44,$CU8,CJ$57),""),2,1)="/",MID(IFERROR(INDEX(醫師週班表!$C$5:$T$44,$CU8,CJ$57),""),1+CJ$58*2,1),IF(MID(IFERROR(INDEX(醫師週班表!$C$5:$T$44,$CU8,CJ$57),""),3,1)="隔",IF(CJ$58=0,LEFT(IFERROR(INDEX(醫師週班表!$C$5:$T$44,$CU8,CJ$57),""),1),""),IF(MID(IFERROR(INDEX(醫師週班表!$C$5:$T$44,$CU8,CJ$57),""),2,1)="(",LEFT(IFERROR(INDEX(醫師週班表!$C$5:$T$44,$CU8,CJ$57),""),1),IFERROR(INDEX(醫師週班表!$C$5:$T$44,$CU8,CJ$57),"")))))))</f>
        <v/>
      </c>
      <c r="CK8" s="67">
        <f>IF(CK$59="X","",IF(CK$59&lt;&gt;"",CK$59,IF(IFERROR(INDEX(醫師週班表!$C$5:$T$44,$CU8,CK$57),"")=0,"",IF(MID(IFERROR(INDEX(醫師週班表!$C$5:$T$44,$CU8,CK$57),""),2,1)="/",MID(IFERROR(INDEX(醫師週班表!$C$5:$T$44,$CU8,CK$57),""),1+CK$58*2,1),IF(MID(IFERROR(INDEX(醫師週班表!$C$5:$T$44,$CU8,CK$57),""),3,1)="隔",IF(CK$58=0,LEFT(IFERROR(INDEX(醫師週班表!$C$5:$T$44,$CU8,CK$57),""),1),""),IF(MID(IFERROR(INDEX(醫師週班表!$C$5:$T$44,$CU8,CK$57),""),2,1)="(",LEFT(IFERROR(INDEX(醫師週班表!$C$5:$T$44,$CU8,CK$57),""),1),IFERROR(INDEX(醫師週班表!$C$5:$T$44,$CU8,CK$57),"")))))))</f>
        <v/>
      </c>
      <c r="CL8" s="68">
        <f>IF(CL$59="X","",IF(CL$59&lt;&gt;"",CL$59,IF(IFERROR(INDEX(醫師週班表!$C$5:$T$44,$CU8,CL$57),"")=0,"",IF(MID(IFERROR(INDEX(醫師週班表!$C$5:$T$44,$CU8,CL$57),""),2,1)="/",MID(IFERROR(INDEX(醫師週班表!$C$5:$T$44,$CU8,CL$57),""),1+CL$58*2,1),IF(MID(IFERROR(INDEX(醫師週班表!$C$5:$T$44,$CU8,CL$57),""),3,1)="隔",IF(CL$58=0,LEFT(IFERROR(INDEX(醫師週班表!$C$5:$T$44,$CU8,CL$57),""),1),""),IF(MID(IFERROR(INDEX(醫師週班表!$C$5:$T$44,$CU8,CL$57),""),2,1)="(",LEFT(IFERROR(INDEX(醫師週班表!$C$5:$T$44,$CU8,CL$57),""),1),IFERROR(INDEX(醫師週班表!$C$5:$T$44,$CU8,CL$57),"")))))))</f>
        <v/>
      </c>
      <c r="CM8" s="68">
        <f>IF(CM$59="X","",IF(CM$59&lt;&gt;"",CM$59,IF(IFERROR(INDEX(醫師週班表!$C$5:$T$44,$CU8,CM$57),"")=0,"",IF(MID(IFERROR(INDEX(醫師週班表!$C$5:$T$44,$CU8,CM$57),""),2,1)="/",MID(IFERROR(INDEX(醫師週班表!$C$5:$T$44,$CU8,CM$57),""),1+CM$58*2,1),IF(MID(IFERROR(INDEX(醫師週班表!$C$5:$T$44,$CU8,CM$57),""),3,1)="隔",IF(CM$58=0,LEFT(IFERROR(INDEX(醫師週班表!$C$5:$T$44,$CU8,CM$57),""),1),""),IF(MID(IFERROR(INDEX(醫師週班表!$C$5:$T$44,$CU8,CM$57),""),2,1)="(",LEFT(IFERROR(INDEX(醫師週班表!$C$5:$T$44,$CU8,CM$57),""),1),IFERROR(INDEX(醫師週班表!$C$5:$T$44,$CU8,CM$57),"")))))))</f>
        <v/>
      </c>
      <c r="CN8" s="67">
        <f>IF(CN$59="X","",IF(CN$59&lt;&gt;"",CN$59,IF(IFERROR(INDEX(醫師週班表!$C$5:$T$44,$CU8,CN$57),"")=0,"",IF(MID(IFERROR(INDEX(醫師週班表!$C$5:$T$44,$CU8,CN$57),""),2,1)="/",MID(IFERROR(INDEX(醫師週班表!$C$5:$T$44,$CU8,CN$57),""),1+CN$58*2,1),IF(MID(IFERROR(INDEX(醫師週班表!$C$5:$T$44,$CU8,CN$57),""),3,1)="隔",IF(CN$58=0,LEFT(IFERROR(INDEX(醫師週班表!$C$5:$T$44,$CU8,CN$57),""),1),""),IF(MID(IFERROR(INDEX(醫師週班表!$C$5:$T$44,$CU8,CN$57),""),2,1)="(",LEFT(IFERROR(INDEX(醫師週班表!$C$5:$T$44,$CU8,CN$57),""),1),IFERROR(INDEX(醫師週班表!$C$5:$T$44,$CU8,CN$57),"")))))))</f>
        <v/>
      </c>
      <c r="CO8" s="68">
        <f>IF(CO$59="X","",IF(CO$59&lt;&gt;"",CO$59,IF(IFERROR(INDEX(醫師週班表!$C$5:$T$44,$CU8,CO$57),"")=0,"",IF(MID(IFERROR(INDEX(醫師週班表!$C$5:$T$44,$CU8,CO$57),""),2,1)="/",MID(IFERROR(INDEX(醫師週班表!$C$5:$T$44,$CU8,CO$57),""),1+CO$58*2,1),IF(MID(IFERROR(INDEX(醫師週班表!$C$5:$T$44,$CU8,CO$57),""),3,1)="隔",IF(CO$58=0,LEFT(IFERROR(INDEX(醫師週班表!$C$5:$T$44,$CU8,CO$57),""),1),""),IF(MID(IFERROR(INDEX(醫師週班表!$C$5:$T$44,$CU8,CO$57),""),2,1)="(",LEFT(IFERROR(INDEX(醫師週班表!$C$5:$T$44,$CU8,CO$57),""),1),IFERROR(INDEX(醫師週班表!$C$5:$T$44,$CU8,CO$57),"")))))))</f>
        <v/>
      </c>
      <c r="CP8" s="68">
        <f>IF(CP$59="X","",IF(CP$59&lt;&gt;"",CP$59,IF(IFERROR(INDEX(醫師週班表!$C$5:$T$44,$CU8,CP$57),"")=0,"",IF(MID(IFERROR(INDEX(醫師週班表!$C$5:$T$44,$CU8,CP$57),""),2,1)="/",MID(IFERROR(INDEX(醫師週班表!$C$5:$T$44,$CU8,CP$57),""),1+CP$58*2,1),IF(MID(IFERROR(INDEX(醫師週班表!$C$5:$T$44,$CU8,CP$57),""),3,1)="隔",IF(CP$58=0,LEFT(IFERROR(INDEX(醫師週班表!$C$5:$T$44,$CU8,CP$57),""),1),""),IF(MID(IFERROR(INDEX(醫師週班表!$C$5:$T$44,$CU8,CP$57),""),2,1)="(",LEFT(IFERROR(INDEX(醫師週班表!$C$5:$T$44,$CU8,CP$57),""),1),IFERROR(INDEX(醫師週班表!$C$5:$T$44,$CU8,CP$57),"")))))))</f>
        <v/>
      </c>
      <c r="CQ8" s="67">
        <f>IF(CQ$59="X","",IF(CQ$59&lt;&gt;"",CQ$59,IF(IFERROR(INDEX(醫師週班表!$C$5:$T$44,$CU8,CQ$57),"")=0,"",IF(MID(IFERROR(INDEX(醫師週班表!$C$5:$T$44,$CU8,CQ$57),""),2,1)="/",MID(IFERROR(INDEX(醫師週班表!$C$5:$T$44,$CU8,CQ$57),""),1+CQ$58*2,1),IF(MID(IFERROR(INDEX(醫師週班表!$C$5:$T$44,$CU8,CQ$57),""),3,1)="隔",IF(CQ$58=0,LEFT(IFERROR(INDEX(醫師週班表!$C$5:$T$44,$CU8,CQ$57),""),1),""),IF(MID(IFERROR(INDEX(醫師週班表!$C$5:$T$44,$CU8,CQ$57),""),2,1)="(",LEFT(IFERROR(INDEX(醫師週班表!$C$5:$T$44,$CU8,CQ$57),""),1),IFERROR(INDEX(醫師週班表!$C$5:$T$44,$CU8,CQ$57),"")))))))</f>
        <v/>
      </c>
      <c r="CR8" s="68">
        <f>IF(CR$59="X","",IF(CR$59&lt;&gt;"",CR$59,IF(IFERROR(INDEX(醫師週班表!$C$5:$T$44,$CU8,CR$57),"")=0,"",IF(MID(IFERROR(INDEX(醫師週班表!$C$5:$T$44,$CU8,CR$57),""),2,1)="/",MID(IFERROR(INDEX(醫師週班表!$C$5:$T$44,$CU8,CR$57),""),1+CR$58*2,1),IF(MID(IFERROR(INDEX(醫師週班表!$C$5:$T$44,$CU8,CR$57),""),3,1)="隔",IF(CR$58=0,LEFT(IFERROR(INDEX(醫師週班表!$C$5:$T$44,$CU8,CR$57),""),1),""),IF(MID(IFERROR(INDEX(醫師週班表!$C$5:$T$44,$CU8,CR$57),""),2,1)="(",LEFT(IFERROR(INDEX(醫師週班表!$C$5:$T$44,$CU8,CR$57),""),1),IFERROR(INDEX(醫師週班表!$C$5:$T$44,$CU8,CR$57),"")))))))</f>
        <v/>
      </c>
      <c r="CS8" s="68">
        <f>IF(CS$59="X","",IF(CS$59&lt;&gt;"",CS$59,IF(IFERROR(INDEX(醫師週班表!$C$5:$T$44,$CU8,CS$57),"")=0,"",IF(MID(IFERROR(INDEX(醫師週班表!$C$5:$T$44,$CU8,CS$57),""),2,1)="/",MID(IFERROR(INDEX(醫師週班表!$C$5:$T$44,$CU8,CS$57),""),1+CS$58*2,1),IF(MID(IFERROR(INDEX(醫師週班表!$C$5:$T$44,$CU8,CS$57),""),3,1)="隔",IF(CS$58=0,LEFT(IFERROR(INDEX(醫師週班表!$C$5:$T$44,$CU8,CS$57),""),1),""),IF(MID(IFERROR(INDEX(醫師週班表!$C$5:$T$44,$CU8,CS$57),""),2,1)="(",LEFT(IFERROR(INDEX(醫師週班表!$C$5:$T$44,$CU8,CS$57),""),1),IFERROR(INDEX(醫師週班表!$C$5:$T$44,$CU8,CS$57),"")))))))</f>
        <v/>
      </c>
      <c r="CU8" s="69">
        <f>IFERROR(MATCH($A8,醫師週班表!$A$5:$A$44,0),0)</f>
        <v/>
      </c>
    </row>
    <row r="9" ht="17" customHeight="1">
      <c r="A9" s="20" t="inlineStr">
        <is>
          <t>D004</t>
        </is>
      </c>
      <c r="B9" s="16" t="inlineStr">
        <is>
          <t>劉玠旻</t>
        </is>
      </c>
      <c r="C9" s="66" t="inlineStr">
        <is>
          <t>兒童專科</t>
        </is>
      </c>
      <c r="D9" s="16" t="inlineStr"/>
      <c r="E9" s="67">
        <f>IF(E$59="X","",IF(E$59&lt;&gt;"",E$59,IF(IFERROR(INDEX(醫師週班表!$C$5:$T$44,$CU9,E$57),"")=0,"",IF(MID(IFERROR(INDEX(醫師週班表!$C$5:$T$44,$CU9,E$57),""),2,1)="/",MID(IFERROR(INDEX(醫師週班表!$C$5:$T$44,$CU9,E$57),""),1+E$58*2,1),IF(MID(IFERROR(INDEX(醫師週班表!$C$5:$T$44,$CU9,E$57),""),3,1)="隔",IF(E$58=0,LEFT(IFERROR(INDEX(醫師週班表!$C$5:$T$44,$CU9,E$57),""),1),""),IF(MID(IFERROR(INDEX(醫師週班表!$C$5:$T$44,$CU9,E$57),""),2,1)="(",LEFT(IFERROR(INDEX(醫師週班表!$C$5:$T$44,$CU9,E$57),""),1),IFERROR(INDEX(醫師週班表!$C$5:$T$44,$CU9,E$57),"")))))))</f>
        <v/>
      </c>
      <c r="F9" s="68">
        <f>IF(F$59="X","",IF(F$59&lt;&gt;"",F$59,IF(IFERROR(INDEX(醫師週班表!$C$5:$T$44,$CU9,F$57),"")=0,"",IF(MID(IFERROR(INDEX(醫師週班表!$C$5:$T$44,$CU9,F$57),""),2,1)="/",MID(IFERROR(INDEX(醫師週班表!$C$5:$T$44,$CU9,F$57),""),1+F$58*2,1),IF(MID(IFERROR(INDEX(醫師週班表!$C$5:$T$44,$CU9,F$57),""),3,1)="隔",IF(F$58=0,LEFT(IFERROR(INDEX(醫師週班表!$C$5:$T$44,$CU9,F$57),""),1),""),IF(MID(IFERROR(INDEX(醫師週班表!$C$5:$T$44,$CU9,F$57),""),2,1)="(",LEFT(IFERROR(INDEX(醫師週班表!$C$5:$T$44,$CU9,F$57),""),1),IFERROR(INDEX(醫師週班表!$C$5:$T$44,$CU9,F$57),"")))))))</f>
        <v/>
      </c>
      <c r="G9" s="68">
        <f>IF(G$59="X","",IF(G$59&lt;&gt;"",G$59,IF(IFERROR(INDEX(醫師週班表!$C$5:$T$44,$CU9,G$57),"")=0,"",IF(MID(IFERROR(INDEX(醫師週班表!$C$5:$T$44,$CU9,G$57),""),2,1)="/",MID(IFERROR(INDEX(醫師週班表!$C$5:$T$44,$CU9,G$57),""),1+G$58*2,1),IF(MID(IFERROR(INDEX(醫師週班表!$C$5:$T$44,$CU9,G$57),""),3,1)="隔",IF(G$58=0,LEFT(IFERROR(INDEX(醫師週班表!$C$5:$T$44,$CU9,G$57),""),1),""),IF(MID(IFERROR(INDEX(醫師週班表!$C$5:$T$44,$CU9,G$57),""),2,1)="(",LEFT(IFERROR(INDEX(醫師週班表!$C$5:$T$44,$CU9,G$57),""),1),IFERROR(INDEX(醫師週班表!$C$5:$T$44,$CU9,G$57),"")))))))</f>
        <v/>
      </c>
      <c r="H9" s="67">
        <f>IF(H$59="X","",IF(H$59&lt;&gt;"",H$59,IF(IFERROR(INDEX(醫師週班表!$C$5:$T$44,$CU9,H$57),"")=0,"",IF(MID(IFERROR(INDEX(醫師週班表!$C$5:$T$44,$CU9,H$57),""),2,1)="/",MID(IFERROR(INDEX(醫師週班表!$C$5:$T$44,$CU9,H$57),""),1+H$58*2,1),IF(MID(IFERROR(INDEX(醫師週班表!$C$5:$T$44,$CU9,H$57),""),3,1)="隔",IF(H$58=0,LEFT(IFERROR(INDEX(醫師週班表!$C$5:$T$44,$CU9,H$57),""),1),""),IF(MID(IFERROR(INDEX(醫師週班表!$C$5:$T$44,$CU9,H$57),""),2,1)="(",LEFT(IFERROR(INDEX(醫師週班表!$C$5:$T$44,$CU9,H$57),""),1),IFERROR(INDEX(醫師週班表!$C$5:$T$44,$CU9,H$57),"")))))))</f>
        <v/>
      </c>
      <c r="I9" s="68">
        <f>IF(I$59="X","",IF(I$59&lt;&gt;"",I$59,IF(IFERROR(INDEX(醫師週班表!$C$5:$T$44,$CU9,I$57),"")=0,"",IF(MID(IFERROR(INDEX(醫師週班表!$C$5:$T$44,$CU9,I$57),""),2,1)="/",MID(IFERROR(INDEX(醫師週班表!$C$5:$T$44,$CU9,I$57),""),1+I$58*2,1),IF(MID(IFERROR(INDEX(醫師週班表!$C$5:$T$44,$CU9,I$57),""),3,1)="隔",IF(I$58=0,LEFT(IFERROR(INDEX(醫師週班表!$C$5:$T$44,$CU9,I$57),""),1),""),IF(MID(IFERROR(INDEX(醫師週班表!$C$5:$T$44,$CU9,I$57),""),2,1)="(",LEFT(IFERROR(INDEX(醫師週班表!$C$5:$T$44,$CU9,I$57),""),1),IFERROR(INDEX(醫師週班表!$C$5:$T$44,$CU9,I$57),"")))))))</f>
        <v/>
      </c>
      <c r="J9" s="68">
        <f>IF(J$59="X","",IF(J$59&lt;&gt;"",J$59,IF(IFERROR(INDEX(醫師週班表!$C$5:$T$44,$CU9,J$57),"")=0,"",IF(MID(IFERROR(INDEX(醫師週班表!$C$5:$T$44,$CU9,J$57),""),2,1)="/",MID(IFERROR(INDEX(醫師週班表!$C$5:$T$44,$CU9,J$57),""),1+J$58*2,1),IF(MID(IFERROR(INDEX(醫師週班表!$C$5:$T$44,$CU9,J$57),""),3,1)="隔",IF(J$58=0,LEFT(IFERROR(INDEX(醫師週班表!$C$5:$T$44,$CU9,J$57),""),1),""),IF(MID(IFERROR(INDEX(醫師週班表!$C$5:$T$44,$CU9,J$57),""),2,1)="(",LEFT(IFERROR(INDEX(醫師週班表!$C$5:$T$44,$CU9,J$57),""),1),IFERROR(INDEX(醫師週班表!$C$5:$T$44,$CU9,J$57),"")))))))</f>
        <v/>
      </c>
      <c r="K9" s="67">
        <f>IF(K$59="X","",IF(K$59&lt;&gt;"",K$59,IF(IFERROR(INDEX(醫師週班表!$C$5:$T$44,$CU9,K$57),"")=0,"",IF(MID(IFERROR(INDEX(醫師週班表!$C$5:$T$44,$CU9,K$57),""),2,1)="/",MID(IFERROR(INDEX(醫師週班表!$C$5:$T$44,$CU9,K$57),""),1+K$58*2,1),IF(MID(IFERROR(INDEX(醫師週班表!$C$5:$T$44,$CU9,K$57),""),3,1)="隔",IF(K$58=0,LEFT(IFERROR(INDEX(醫師週班表!$C$5:$T$44,$CU9,K$57),""),1),""),IF(MID(IFERROR(INDEX(醫師週班表!$C$5:$T$44,$CU9,K$57),""),2,1)="(",LEFT(IFERROR(INDEX(醫師週班表!$C$5:$T$44,$CU9,K$57),""),1),IFERROR(INDEX(醫師週班表!$C$5:$T$44,$CU9,K$57),"")))))))</f>
        <v/>
      </c>
      <c r="L9" s="68">
        <f>IF(L$59="X","",IF(L$59&lt;&gt;"",L$59,IF(IFERROR(INDEX(醫師週班表!$C$5:$T$44,$CU9,L$57),"")=0,"",IF(MID(IFERROR(INDEX(醫師週班表!$C$5:$T$44,$CU9,L$57),""),2,1)="/",MID(IFERROR(INDEX(醫師週班表!$C$5:$T$44,$CU9,L$57),""),1+L$58*2,1),IF(MID(IFERROR(INDEX(醫師週班表!$C$5:$T$44,$CU9,L$57),""),3,1)="隔",IF(L$58=0,LEFT(IFERROR(INDEX(醫師週班表!$C$5:$T$44,$CU9,L$57),""),1),""),IF(MID(IFERROR(INDEX(醫師週班表!$C$5:$T$44,$CU9,L$57),""),2,1)="(",LEFT(IFERROR(INDEX(醫師週班表!$C$5:$T$44,$CU9,L$57),""),1),IFERROR(INDEX(醫師週班表!$C$5:$T$44,$CU9,L$57),"")))))))</f>
        <v/>
      </c>
      <c r="M9" s="68">
        <f>IF(M$59="X","",IF(M$59&lt;&gt;"",M$59,IF(IFERROR(INDEX(醫師週班表!$C$5:$T$44,$CU9,M$57),"")=0,"",IF(MID(IFERROR(INDEX(醫師週班表!$C$5:$T$44,$CU9,M$57),""),2,1)="/",MID(IFERROR(INDEX(醫師週班表!$C$5:$T$44,$CU9,M$57),""),1+M$58*2,1),IF(MID(IFERROR(INDEX(醫師週班表!$C$5:$T$44,$CU9,M$57),""),3,1)="隔",IF(M$58=0,LEFT(IFERROR(INDEX(醫師週班表!$C$5:$T$44,$CU9,M$57),""),1),""),IF(MID(IFERROR(INDEX(醫師週班表!$C$5:$T$44,$CU9,M$57),""),2,1)="(",LEFT(IFERROR(INDEX(醫師週班表!$C$5:$T$44,$CU9,M$57),""),1),IFERROR(INDEX(醫師週班表!$C$5:$T$44,$CU9,M$57),"")))))))</f>
        <v/>
      </c>
      <c r="N9" s="67">
        <f>IF(N$59="X","",IF(N$59&lt;&gt;"",N$59,IF(IFERROR(INDEX(醫師週班表!$C$5:$T$44,$CU9,N$57),"")=0,"",IF(MID(IFERROR(INDEX(醫師週班表!$C$5:$T$44,$CU9,N$57),""),2,1)="/",MID(IFERROR(INDEX(醫師週班表!$C$5:$T$44,$CU9,N$57),""),1+N$58*2,1),IF(MID(IFERROR(INDEX(醫師週班表!$C$5:$T$44,$CU9,N$57),""),3,1)="隔",IF(N$58=0,LEFT(IFERROR(INDEX(醫師週班表!$C$5:$T$44,$CU9,N$57),""),1),""),IF(MID(IFERROR(INDEX(醫師週班表!$C$5:$T$44,$CU9,N$57),""),2,1)="(",LEFT(IFERROR(INDEX(醫師週班表!$C$5:$T$44,$CU9,N$57),""),1),IFERROR(INDEX(醫師週班表!$C$5:$T$44,$CU9,N$57),"")))))))</f>
        <v/>
      </c>
      <c r="O9" s="68">
        <f>IF(O$59="X","",IF(O$59&lt;&gt;"",O$59,IF(IFERROR(INDEX(醫師週班表!$C$5:$T$44,$CU9,O$57),"")=0,"",IF(MID(IFERROR(INDEX(醫師週班表!$C$5:$T$44,$CU9,O$57),""),2,1)="/",MID(IFERROR(INDEX(醫師週班表!$C$5:$T$44,$CU9,O$57),""),1+O$58*2,1),IF(MID(IFERROR(INDEX(醫師週班表!$C$5:$T$44,$CU9,O$57),""),3,1)="隔",IF(O$58=0,LEFT(IFERROR(INDEX(醫師週班表!$C$5:$T$44,$CU9,O$57),""),1),""),IF(MID(IFERROR(INDEX(醫師週班表!$C$5:$T$44,$CU9,O$57),""),2,1)="(",LEFT(IFERROR(INDEX(醫師週班表!$C$5:$T$44,$CU9,O$57),""),1),IFERROR(INDEX(醫師週班表!$C$5:$T$44,$CU9,O$57),"")))))))</f>
        <v/>
      </c>
      <c r="P9" s="68">
        <f>IF(P$59="X","",IF(P$59&lt;&gt;"",P$59,IF(IFERROR(INDEX(醫師週班表!$C$5:$T$44,$CU9,P$57),"")=0,"",IF(MID(IFERROR(INDEX(醫師週班表!$C$5:$T$44,$CU9,P$57),""),2,1)="/",MID(IFERROR(INDEX(醫師週班表!$C$5:$T$44,$CU9,P$57),""),1+P$58*2,1),IF(MID(IFERROR(INDEX(醫師週班表!$C$5:$T$44,$CU9,P$57),""),3,1)="隔",IF(P$58=0,LEFT(IFERROR(INDEX(醫師週班表!$C$5:$T$44,$CU9,P$57),""),1),""),IF(MID(IFERROR(INDEX(醫師週班表!$C$5:$T$44,$CU9,P$57),""),2,1)="(",LEFT(IFERROR(INDEX(醫師週班表!$C$5:$T$44,$CU9,P$57),""),1),IFERROR(INDEX(醫師週班表!$C$5:$T$44,$CU9,P$57),"")))))))</f>
        <v/>
      </c>
      <c r="Q9" s="67">
        <f>IF(Q$59="X","",IF(Q$59&lt;&gt;"",Q$59,IF(IFERROR(INDEX(醫師週班表!$C$5:$T$44,$CU9,Q$57),"")=0,"",IF(MID(IFERROR(INDEX(醫師週班表!$C$5:$T$44,$CU9,Q$57),""),2,1)="/",MID(IFERROR(INDEX(醫師週班表!$C$5:$T$44,$CU9,Q$57),""),1+Q$58*2,1),IF(MID(IFERROR(INDEX(醫師週班表!$C$5:$T$44,$CU9,Q$57),""),3,1)="隔",IF(Q$58=0,LEFT(IFERROR(INDEX(醫師週班表!$C$5:$T$44,$CU9,Q$57),""),1),""),IF(MID(IFERROR(INDEX(醫師週班表!$C$5:$T$44,$CU9,Q$57),""),2,1)="(",LEFT(IFERROR(INDEX(醫師週班表!$C$5:$T$44,$CU9,Q$57),""),1),IFERROR(INDEX(醫師週班表!$C$5:$T$44,$CU9,Q$57),"")))))))</f>
        <v/>
      </c>
      <c r="R9" s="68">
        <f>IF(R$59="X","",IF(R$59&lt;&gt;"",R$59,IF(IFERROR(INDEX(醫師週班表!$C$5:$T$44,$CU9,R$57),"")=0,"",IF(MID(IFERROR(INDEX(醫師週班表!$C$5:$T$44,$CU9,R$57),""),2,1)="/",MID(IFERROR(INDEX(醫師週班表!$C$5:$T$44,$CU9,R$57),""),1+R$58*2,1),IF(MID(IFERROR(INDEX(醫師週班表!$C$5:$T$44,$CU9,R$57),""),3,1)="隔",IF(R$58=0,LEFT(IFERROR(INDEX(醫師週班表!$C$5:$T$44,$CU9,R$57),""),1),""),IF(MID(IFERROR(INDEX(醫師週班表!$C$5:$T$44,$CU9,R$57),""),2,1)="(",LEFT(IFERROR(INDEX(醫師週班表!$C$5:$T$44,$CU9,R$57),""),1),IFERROR(INDEX(醫師週班表!$C$5:$T$44,$CU9,R$57),"")))))))</f>
        <v/>
      </c>
      <c r="S9" s="68">
        <f>IF(S$59="X","",IF(S$59&lt;&gt;"",S$59,IF(IFERROR(INDEX(醫師週班表!$C$5:$T$44,$CU9,S$57),"")=0,"",IF(MID(IFERROR(INDEX(醫師週班表!$C$5:$T$44,$CU9,S$57),""),2,1)="/",MID(IFERROR(INDEX(醫師週班表!$C$5:$T$44,$CU9,S$57),""),1+S$58*2,1),IF(MID(IFERROR(INDEX(醫師週班表!$C$5:$T$44,$CU9,S$57),""),3,1)="隔",IF(S$58=0,LEFT(IFERROR(INDEX(醫師週班表!$C$5:$T$44,$CU9,S$57),""),1),""),IF(MID(IFERROR(INDEX(醫師週班表!$C$5:$T$44,$CU9,S$57),""),2,1)="(",LEFT(IFERROR(INDEX(醫師週班表!$C$5:$T$44,$CU9,S$57),""),1),IFERROR(INDEX(醫師週班表!$C$5:$T$44,$CU9,S$57),"")))))))</f>
        <v/>
      </c>
      <c r="T9" s="67">
        <f>IF(T$59="X","",IF(T$59&lt;&gt;"",T$59,IF(IFERROR(INDEX(醫師週班表!$C$5:$T$44,$CU9,T$57),"")=0,"",IF(MID(IFERROR(INDEX(醫師週班表!$C$5:$T$44,$CU9,T$57),""),2,1)="/",MID(IFERROR(INDEX(醫師週班表!$C$5:$T$44,$CU9,T$57),""),1+T$58*2,1),IF(MID(IFERROR(INDEX(醫師週班表!$C$5:$T$44,$CU9,T$57),""),3,1)="隔",IF(T$58=0,LEFT(IFERROR(INDEX(醫師週班表!$C$5:$T$44,$CU9,T$57),""),1),""),IF(MID(IFERROR(INDEX(醫師週班表!$C$5:$T$44,$CU9,T$57),""),2,1)="(",LEFT(IFERROR(INDEX(醫師週班表!$C$5:$T$44,$CU9,T$57),""),1),IFERROR(INDEX(醫師週班表!$C$5:$T$44,$CU9,T$57),"")))))))</f>
        <v/>
      </c>
      <c r="U9" s="68">
        <f>IF(U$59="X","",IF(U$59&lt;&gt;"",U$59,IF(IFERROR(INDEX(醫師週班表!$C$5:$T$44,$CU9,U$57),"")=0,"",IF(MID(IFERROR(INDEX(醫師週班表!$C$5:$T$44,$CU9,U$57),""),2,1)="/",MID(IFERROR(INDEX(醫師週班表!$C$5:$T$44,$CU9,U$57),""),1+U$58*2,1),IF(MID(IFERROR(INDEX(醫師週班表!$C$5:$T$44,$CU9,U$57),""),3,1)="隔",IF(U$58=0,LEFT(IFERROR(INDEX(醫師週班表!$C$5:$T$44,$CU9,U$57),""),1),""),IF(MID(IFERROR(INDEX(醫師週班表!$C$5:$T$44,$CU9,U$57),""),2,1)="(",LEFT(IFERROR(INDEX(醫師週班表!$C$5:$T$44,$CU9,U$57),""),1),IFERROR(INDEX(醫師週班表!$C$5:$T$44,$CU9,U$57),"")))))))</f>
        <v/>
      </c>
      <c r="V9" s="68">
        <f>IF(V$59="X","",IF(V$59&lt;&gt;"",V$59,IF(IFERROR(INDEX(醫師週班表!$C$5:$T$44,$CU9,V$57),"")=0,"",IF(MID(IFERROR(INDEX(醫師週班表!$C$5:$T$44,$CU9,V$57),""),2,1)="/",MID(IFERROR(INDEX(醫師週班表!$C$5:$T$44,$CU9,V$57),""),1+V$58*2,1),IF(MID(IFERROR(INDEX(醫師週班表!$C$5:$T$44,$CU9,V$57),""),3,1)="隔",IF(V$58=0,LEFT(IFERROR(INDEX(醫師週班表!$C$5:$T$44,$CU9,V$57),""),1),""),IF(MID(IFERROR(INDEX(醫師週班表!$C$5:$T$44,$CU9,V$57),""),2,1)="(",LEFT(IFERROR(INDEX(醫師週班表!$C$5:$T$44,$CU9,V$57),""),1),IFERROR(INDEX(醫師週班表!$C$5:$T$44,$CU9,V$57),"")))))))</f>
        <v/>
      </c>
      <c r="W9" s="67">
        <f>IF(W$59="X","",IF(W$59&lt;&gt;"",W$59,IF(IFERROR(INDEX(醫師週班表!$C$5:$T$44,$CU9,W$57),"")=0,"",IF(MID(IFERROR(INDEX(醫師週班表!$C$5:$T$44,$CU9,W$57),""),2,1)="/",MID(IFERROR(INDEX(醫師週班表!$C$5:$T$44,$CU9,W$57),""),1+W$58*2,1),IF(MID(IFERROR(INDEX(醫師週班表!$C$5:$T$44,$CU9,W$57),""),3,1)="隔",IF(W$58=0,LEFT(IFERROR(INDEX(醫師週班表!$C$5:$T$44,$CU9,W$57),""),1),""),IF(MID(IFERROR(INDEX(醫師週班表!$C$5:$T$44,$CU9,W$57),""),2,1)="(",LEFT(IFERROR(INDEX(醫師週班表!$C$5:$T$44,$CU9,W$57),""),1),IFERROR(INDEX(醫師週班表!$C$5:$T$44,$CU9,W$57),"")))))))</f>
        <v/>
      </c>
      <c r="X9" s="68">
        <f>IF(X$59="X","",IF(X$59&lt;&gt;"",X$59,IF(IFERROR(INDEX(醫師週班表!$C$5:$T$44,$CU9,X$57),"")=0,"",IF(MID(IFERROR(INDEX(醫師週班表!$C$5:$T$44,$CU9,X$57),""),2,1)="/",MID(IFERROR(INDEX(醫師週班表!$C$5:$T$44,$CU9,X$57),""),1+X$58*2,1),IF(MID(IFERROR(INDEX(醫師週班表!$C$5:$T$44,$CU9,X$57),""),3,1)="隔",IF(X$58=0,LEFT(IFERROR(INDEX(醫師週班表!$C$5:$T$44,$CU9,X$57),""),1),""),IF(MID(IFERROR(INDEX(醫師週班表!$C$5:$T$44,$CU9,X$57),""),2,1)="(",LEFT(IFERROR(INDEX(醫師週班表!$C$5:$T$44,$CU9,X$57),""),1),IFERROR(INDEX(醫師週班表!$C$5:$T$44,$CU9,X$57),"")))))))</f>
        <v/>
      </c>
      <c r="Y9" s="68">
        <f>IF(Y$59="X","",IF(Y$59&lt;&gt;"",Y$59,IF(IFERROR(INDEX(醫師週班表!$C$5:$T$44,$CU9,Y$57),"")=0,"",IF(MID(IFERROR(INDEX(醫師週班表!$C$5:$T$44,$CU9,Y$57),""),2,1)="/",MID(IFERROR(INDEX(醫師週班表!$C$5:$T$44,$CU9,Y$57),""),1+Y$58*2,1),IF(MID(IFERROR(INDEX(醫師週班表!$C$5:$T$44,$CU9,Y$57),""),3,1)="隔",IF(Y$58=0,LEFT(IFERROR(INDEX(醫師週班表!$C$5:$T$44,$CU9,Y$57),""),1),""),IF(MID(IFERROR(INDEX(醫師週班表!$C$5:$T$44,$CU9,Y$57),""),2,1)="(",LEFT(IFERROR(INDEX(醫師週班表!$C$5:$T$44,$CU9,Y$57),""),1),IFERROR(INDEX(醫師週班表!$C$5:$T$44,$CU9,Y$57),"")))))))</f>
        <v/>
      </c>
      <c r="Z9" s="67">
        <f>IF(Z$59="X","",IF(Z$59&lt;&gt;"",Z$59,IF(IFERROR(INDEX(醫師週班表!$C$5:$T$44,$CU9,Z$57),"")=0,"",IF(MID(IFERROR(INDEX(醫師週班表!$C$5:$T$44,$CU9,Z$57),""),2,1)="/",MID(IFERROR(INDEX(醫師週班表!$C$5:$T$44,$CU9,Z$57),""),1+Z$58*2,1),IF(MID(IFERROR(INDEX(醫師週班表!$C$5:$T$44,$CU9,Z$57),""),3,1)="隔",IF(Z$58=0,LEFT(IFERROR(INDEX(醫師週班表!$C$5:$T$44,$CU9,Z$57),""),1),""),IF(MID(IFERROR(INDEX(醫師週班表!$C$5:$T$44,$CU9,Z$57),""),2,1)="(",LEFT(IFERROR(INDEX(醫師週班表!$C$5:$T$44,$CU9,Z$57),""),1),IFERROR(INDEX(醫師週班表!$C$5:$T$44,$CU9,Z$57),"")))))))</f>
        <v/>
      </c>
      <c r="AA9" s="68">
        <f>IF(AA$59="X","",IF(AA$59&lt;&gt;"",AA$59,IF(IFERROR(INDEX(醫師週班表!$C$5:$T$44,$CU9,AA$57),"")=0,"",IF(MID(IFERROR(INDEX(醫師週班表!$C$5:$T$44,$CU9,AA$57),""),2,1)="/",MID(IFERROR(INDEX(醫師週班表!$C$5:$T$44,$CU9,AA$57),""),1+AA$58*2,1),IF(MID(IFERROR(INDEX(醫師週班表!$C$5:$T$44,$CU9,AA$57),""),3,1)="隔",IF(AA$58=0,LEFT(IFERROR(INDEX(醫師週班表!$C$5:$T$44,$CU9,AA$57),""),1),""),IF(MID(IFERROR(INDEX(醫師週班表!$C$5:$T$44,$CU9,AA$57),""),2,1)="(",LEFT(IFERROR(INDEX(醫師週班表!$C$5:$T$44,$CU9,AA$57),""),1),IFERROR(INDEX(醫師週班表!$C$5:$T$44,$CU9,AA$57),"")))))))</f>
        <v/>
      </c>
      <c r="AB9" s="68">
        <f>IF(AB$59="X","",IF(AB$59&lt;&gt;"",AB$59,IF(IFERROR(INDEX(醫師週班表!$C$5:$T$44,$CU9,AB$57),"")=0,"",IF(MID(IFERROR(INDEX(醫師週班表!$C$5:$T$44,$CU9,AB$57),""),2,1)="/",MID(IFERROR(INDEX(醫師週班表!$C$5:$T$44,$CU9,AB$57),""),1+AB$58*2,1),IF(MID(IFERROR(INDEX(醫師週班表!$C$5:$T$44,$CU9,AB$57),""),3,1)="隔",IF(AB$58=0,LEFT(IFERROR(INDEX(醫師週班表!$C$5:$T$44,$CU9,AB$57),""),1),""),IF(MID(IFERROR(INDEX(醫師週班表!$C$5:$T$44,$CU9,AB$57),""),2,1)="(",LEFT(IFERROR(INDEX(醫師週班表!$C$5:$T$44,$CU9,AB$57),""),1),IFERROR(INDEX(醫師週班表!$C$5:$T$44,$CU9,AB$57),"")))))))</f>
        <v/>
      </c>
      <c r="AC9" s="67">
        <f>IF(AC$59="X","",IF(AC$59&lt;&gt;"",AC$59,IF(IFERROR(INDEX(醫師週班表!$C$5:$T$44,$CU9,AC$57),"")=0,"",IF(MID(IFERROR(INDEX(醫師週班表!$C$5:$T$44,$CU9,AC$57),""),2,1)="/",MID(IFERROR(INDEX(醫師週班表!$C$5:$T$44,$CU9,AC$57),""),1+AC$58*2,1),IF(MID(IFERROR(INDEX(醫師週班表!$C$5:$T$44,$CU9,AC$57),""),3,1)="隔",IF(AC$58=0,LEFT(IFERROR(INDEX(醫師週班表!$C$5:$T$44,$CU9,AC$57),""),1),""),IF(MID(IFERROR(INDEX(醫師週班表!$C$5:$T$44,$CU9,AC$57),""),2,1)="(",LEFT(IFERROR(INDEX(醫師週班表!$C$5:$T$44,$CU9,AC$57),""),1),IFERROR(INDEX(醫師週班表!$C$5:$T$44,$CU9,AC$57),"")))))))</f>
        <v/>
      </c>
      <c r="AD9" s="68">
        <f>IF(AD$59="X","",IF(AD$59&lt;&gt;"",AD$59,IF(IFERROR(INDEX(醫師週班表!$C$5:$T$44,$CU9,AD$57),"")=0,"",IF(MID(IFERROR(INDEX(醫師週班表!$C$5:$T$44,$CU9,AD$57),""),2,1)="/",MID(IFERROR(INDEX(醫師週班表!$C$5:$T$44,$CU9,AD$57),""),1+AD$58*2,1),IF(MID(IFERROR(INDEX(醫師週班表!$C$5:$T$44,$CU9,AD$57),""),3,1)="隔",IF(AD$58=0,LEFT(IFERROR(INDEX(醫師週班表!$C$5:$T$44,$CU9,AD$57),""),1),""),IF(MID(IFERROR(INDEX(醫師週班表!$C$5:$T$44,$CU9,AD$57),""),2,1)="(",LEFT(IFERROR(INDEX(醫師週班表!$C$5:$T$44,$CU9,AD$57),""),1),IFERROR(INDEX(醫師週班表!$C$5:$T$44,$CU9,AD$57),"")))))))</f>
        <v/>
      </c>
      <c r="AE9" s="68">
        <f>IF(AE$59="X","",IF(AE$59&lt;&gt;"",AE$59,IF(IFERROR(INDEX(醫師週班表!$C$5:$T$44,$CU9,AE$57),"")=0,"",IF(MID(IFERROR(INDEX(醫師週班表!$C$5:$T$44,$CU9,AE$57),""),2,1)="/",MID(IFERROR(INDEX(醫師週班表!$C$5:$T$44,$CU9,AE$57),""),1+AE$58*2,1),IF(MID(IFERROR(INDEX(醫師週班表!$C$5:$T$44,$CU9,AE$57),""),3,1)="隔",IF(AE$58=0,LEFT(IFERROR(INDEX(醫師週班表!$C$5:$T$44,$CU9,AE$57),""),1),""),IF(MID(IFERROR(INDEX(醫師週班表!$C$5:$T$44,$CU9,AE$57),""),2,1)="(",LEFT(IFERROR(INDEX(醫師週班表!$C$5:$T$44,$CU9,AE$57),""),1),IFERROR(INDEX(醫師週班表!$C$5:$T$44,$CU9,AE$57),"")))))))</f>
        <v/>
      </c>
      <c r="AF9" s="67">
        <f>IF(AF$59="X","",IF(AF$59&lt;&gt;"",AF$59,IF(IFERROR(INDEX(醫師週班表!$C$5:$T$44,$CU9,AF$57),"")=0,"",IF(MID(IFERROR(INDEX(醫師週班表!$C$5:$T$44,$CU9,AF$57),""),2,1)="/",MID(IFERROR(INDEX(醫師週班表!$C$5:$T$44,$CU9,AF$57),""),1+AF$58*2,1),IF(MID(IFERROR(INDEX(醫師週班表!$C$5:$T$44,$CU9,AF$57),""),3,1)="隔",IF(AF$58=0,LEFT(IFERROR(INDEX(醫師週班表!$C$5:$T$44,$CU9,AF$57),""),1),""),IF(MID(IFERROR(INDEX(醫師週班表!$C$5:$T$44,$CU9,AF$57),""),2,1)="(",LEFT(IFERROR(INDEX(醫師週班表!$C$5:$T$44,$CU9,AF$57),""),1),IFERROR(INDEX(醫師週班表!$C$5:$T$44,$CU9,AF$57),"")))))))</f>
        <v/>
      </c>
      <c r="AG9" s="68">
        <f>IF(AG$59="X","",IF(AG$59&lt;&gt;"",AG$59,IF(IFERROR(INDEX(醫師週班表!$C$5:$T$44,$CU9,AG$57),"")=0,"",IF(MID(IFERROR(INDEX(醫師週班表!$C$5:$T$44,$CU9,AG$57),""),2,1)="/",MID(IFERROR(INDEX(醫師週班表!$C$5:$T$44,$CU9,AG$57),""),1+AG$58*2,1),IF(MID(IFERROR(INDEX(醫師週班表!$C$5:$T$44,$CU9,AG$57),""),3,1)="隔",IF(AG$58=0,LEFT(IFERROR(INDEX(醫師週班表!$C$5:$T$44,$CU9,AG$57),""),1),""),IF(MID(IFERROR(INDEX(醫師週班表!$C$5:$T$44,$CU9,AG$57),""),2,1)="(",LEFT(IFERROR(INDEX(醫師週班表!$C$5:$T$44,$CU9,AG$57),""),1),IFERROR(INDEX(醫師週班表!$C$5:$T$44,$CU9,AG$57),"")))))))</f>
        <v/>
      </c>
      <c r="AH9" s="68">
        <f>IF(AH$59="X","",IF(AH$59&lt;&gt;"",AH$59,IF(IFERROR(INDEX(醫師週班表!$C$5:$T$44,$CU9,AH$57),"")=0,"",IF(MID(IFERROR(INDEX(醫師週班表!$C$5:$T$44,$CU9,AH$57),""),2,1)="/",MID(IFERROR(INDEX(醫師週班表!$C$5:$T$44,$CU9,AH$57),""),1+AH$58*2,1),IF(MID(IFERROR(INDEX(醫師週班表!$C$5:$T$44,$CU9,AH$57),""),3,1)="隔",IF(AH$58=0,LEFT(IFERROR(INDEX(醫師週班表!$C$5:$T$44,$CU9,AH$57),""),1),""),IF(MID(IFERROR(INDEX(醫師週班表!$C$5:$T$44,$CU9,AH$57),""),2,1)="(",LEFT(IFERROR(INDEX(醫師週班表!$C$5:$T$44,$CU9,AH$57),""),1),IFERROR(INDEX(醫師週班表!$C$5:$T$44,$CU9,AH$57),"")))))))</f>
        <v/>
      </c>
      <c r="AI9" s="67">
        <f>IF(AI$59="X","",IF(AI$59&lt;&gt;"",AI$59,IF(IFERROR(INDEX(醫師週班表!$C$5:$T$44,$CU9,AI$57),"")=0,"",IF(MID(IFERROR(INDEX(醫師週班表!$C$5:$T$44,$CU9,AI$57),""),2,1)="/",MID(IFERROR(INDEX(醫師週班表!$C$5:$T$44,$CU9,AI$57),""),1+AI$58*2,1),IF(MID(IFERROR(INDEX(醫師週班表!$C$5:$T$44,$CU9,AI$57),""),3,1)="隔",IF(AI$58=0,LEFT(IFERROR(INDEX(醫師週班表!$C$5:$T$44,$CU9,AI$57),""),1),""),IF(MID(IFERROR(INDEX(醫師週班表!$C$5:$T$44,$CU9,AI$57),""),2,1)="(",LEFT(IFERROR(INDEX(醫師週班表!$C$5:$T$44,$CU9,AI$57),""),1),IFERROR(INDEX(醫師週班表!$C$5:$T$44,$CU9,AI$57),"")))))))</f>
        <v/>
      </c>
      <c r="AJ9" s="68">
        <f>IF(AJ$59="X","",IF(AJ$59&lt;&gt;"",AJ$59,IF(IFERROR(INDEX(醫師週班表!$C$5:$T$44,$CU9,AJ$57),"")=0,"",IF(MID(IFERROR(INDEX(醫師週班表!$C$5:$T$44,$CU9,AJ$57),""),2,1)="/",MID(IFERROR(INDEX(醫師週班表!$C$5:$T$44,$CU9,AJ$57),""),1+AJ$58*2,1),IF(MID(IFERROR(INDEX(醫師週班表!$C$5:$T$44,$CU9,AJ$57),""),3,1)="隔",IF(AJ$58=0,LEFT(IFERROR(INDEX(醫師週班表!$C$5:$T$44,$CU9,AJ$57),""),1),""),IF(MID(IFERROR(INDEX(醫師週班表!$C$5:$T$44,$CU9,AJ$57),""),2,1)="(",LEFT(IFERROR(INDEX(醫師週班表!$C$5:$T$44,$CU9,AJ$57),""),1),IFERROR(INDEX(醫師週班表!$C$5:$T$44,$CU9,AJ$57),"")))))))</f>
        <v/>
      </c>
      <c r="AK9" s="68">
        <f>IF(AK$59="X","",IF(AK$59&lt;&gt;"",AK$59,IF(IFERROR(INDEX(醫師週班表!$C$5:$T$44,$CU9,AK$57),"")=0,"",IF(MID(IFERROR(INDEX(醫師週班表!$C$5:$T$44,$CU9,AK$57),""),2,1)="/",MID(IFERROR(INDEX(醫師週班表!$C$5:$T$44,$CU9,AK$57),""),1+AK$58*2,1),IF(MID(IFERROR(INDEX(醫師週班表!$C$5:$T$44,$CU9,AK$57),""),3,1)="隔",IF(AK$58=0,LEFT(IFERROR(INDEX(醫師週班表!$C$5:$T$44,$CU9,AK$57),""),1),""),IF(MID(IFERROR(INDEX(醫師週班表!$C$5:$T$44,$CU9,AK$57),""),2,1)="(",LEFT(IFERROR(INDEX(醫師週班表!$C$5:$T$44,$CU9,AK$57),""),1),IFERROR(INDEX(醫師週班表!$C$5:$T$44,$CU9,AK$57),"")))))))</f>
        <v/>
      </c>
      <c r="AL9" s="67">
        <f>IF(AL$59="X","",IF(AL$59&lt;&gt;"",AL$59,IF(IFERROR(INDEX(醫師週班表!$C$5:$T$44,$CU9,AL$57),"")=0,"",IF(MID(IFERROR(INDEX(醫師週班表!$C$5:$T$44,$CU9,AL$57),""),2,1)="/",MID(IFERROR(INDEX(醫師週班表!$C$5:$T$44,$CU9,AL$57),""),1+AL$58*2,1),IF(MID(IFERROR(INDEX(醫師週班表!$C$5:$T$44,$CU9,AL$57),""),3,1)="隔",IF(AL$58=0,LEFT(IFERROR(INDEX(醫師週班表!$C$5:$T$44,$CU9,AL$57),""),1),""),IF(MID(IFERROR(INDEX(醫師週班表!$C$5:$T$44,$CU9,AL$57),""),2,1)="(",LEFT(IFERROR(INDEX(醫師週班表!$C$5:$T$44,$CU9,AL$57),""),1),IFERROR(INDEX(醫師週班表!$C$5:$T$44,$CU9,AL$57),"")))))))</f>
        <v/>
      </c>
      <c r="AM9" s="68">
        <f>IF(AM$59="X","",IF(AM$59&lt;&gt;"",AM$59,IF(IFERROR(INDEX(醫師週班表!$C$5:$T$44,$CU9,AM$57),"")=0,"",IF(MID(IFERROR(INDEX(醫師週班表!$C$5:$T$44,$CU9,AM$57),""),2,1)="/",MID(IFERROR(INDEX(醫師週班表!$C$5:$T$44,$CU9,AM$57),""),1+AM$58*2,1),IF(MID(IFERROR(INDEX(醫師週班表!$C$5:$T$44,$CU9,AM$57),""),3,1)="隔",IF(AM$58=0,LEFT(IFERROR(INDEX(醫師週班表!$C$5:$T$44,$CU9,AM$57),""),1),""),IF(MID(IFERROR(INDEX(醫師週班表!$C$5:$T$44,$CU9,AM$57),""),2,1)="(",LEFT(IFERROR(INDEX(醫師週班表!$C$5:$T$44,$CU9,AM$57),""),1),IFERROR(INDEX(醫師週班表!$C$5:$T$44,$CU9,AM$57),"")))))))</f>
        <v/>
      </c>
      <c r="AN9" s="68">
        <f>IF(AN$59="X","",IF(AN$59&lt;&gt;"",AN$59,IF(IFERROR(INDEX(醫師週班表!$C$5:$T$44,$CU9,AN$57),"")=0,"",IF(MID(IFERROR(INDEX(醫師週班表!$C$5:$T$44,$CU9,AN$57),""),2,1)="/",MID(IFERROR(INDEX(醫師週班表!$C$5:$T$44,$CU9,AN$57),""),1+AN$58*2,1),IF(MID(IFERROR(INDEX(醫師週班表!$C$5:$T$44,$CU9,AN$57),""),3,1)="隔",IF(AN$58=0,LEFT(IFERROR(INDEX(醫師週班表!$C$5:$T$44,$CU9,AN$57),""),1),""),IF(MID(IFERROR(INDEX(醫師週班表!$C$5:$T$44,$CU9,AN$57),""),2,1)="(",LEFT(IFERROR(INDEX(醫師週班表!$C$5:$T$44,$CU9,AN$57),""),1),IFERROR(INDEX(醫師週班表!$C$5:$T$44,$CU9,AN$57),"")))))))</f>
        <v/>
      </c>
      <c r="AO9" s="67">
        <f>IF(AO$59="X","",IF(AO$59&lt;&gt;"",AO$59,IF(IFERROR(INDEX(醫師週班表!$C$5:$T$44,$CU9,AO$57),"")=0,"",IF(MID(IFERROR(INDEX(醫師週班表!$C$5:$T$44,$CU9,AO$57),""),2,1)="/",MID(IFERROR(INDEX(醫師週班表!$C$5:$T$44,$CU9,AO$57),""),1+AO$58*2,1),IF(MID(IFERROR(INDEX(醫師週班表!$C$5:$T$44,$CU9,AO$57),""),3,1)="隔",IF(AO$58=0,LEFT(IFERROR(INDEX(醫師週班表!$C$5:$T$44,$CU9,AO$57),""),1),""),IF(MID(IFERROR(INDEX(醫師週班表!$C$5:$T$44,$CU9,AO$57),""),2,1)="(",LEFT(IFERROR(INDEX(醫師週班表!$C$5:$T$44,$CU9,AO$57),""),1),IFERROR(INDEX(醫師週班表!$C$5:$T$44,$CU9,AO$57),"")))))))</f>
        <v/>
      </c>
      <c r="AP9" s="68">
        <f>IF(AP$59="X","",IF(AP$59&lt;&gt;"",AP$59,IF(IFERROR(INDEX(醫師週班表!$C$5:$T$44,$CU9,AP$57),"")=0,"",IF(MID(IFERROR(INDEX(醫師週班表!$C$5:$T$44,$CU9,AP$57),""),2,1)="/",MID(IFERROR(INDEX(醫師週班表!$C$5:$T$44,$CU9,AP$57),""),1+AP$58*2,1),IF(MID(IFERROR(INDEX(醫師週班表!$C$5:$T$44,$CU9,AP$57),""),3,1)="隔",IF(AP$58=0,LEFT(IFERROR(INDEX(醫師週班表!$C$5:$T$44,$CU9,AP$57),""),1),""),IF(MID(IFERROR(INDEX(醫師週班表!$C$5:$T$44,$CU9,AP$57),""),2,1)="(",LEFT(IFERROR(INDEX(醫師週班表!$C$5:$T$44,$CU9,AP$57),""),1),IFERROR(INDEX(醫師週班表!$C$5:$T$44,$CU9,AP$57),"")))))))</f>
        <v/>
      </c>
      <c r="AQ9" s="68">
        <f>IF(AQ$59="X","",IF(AQ$59&lt;&gt;"",AQ$59,IF(IFERROR(INDEX(醫師週班表!$C$5:$T$44,$CU9,AQ$57),"")=0,"",IF(MID(IFERROR(INDEX(醫師週班表!$C$5:$T$44,$CU9,AQ$57),""),2,1)="/",MID(IFERROR(INDEX(醫師週班表!$C$5:$T$44,$CU9,AQ$57),""),1+AQ$58*2,1),IF(MID(IFERROR(INDEX(醫師週班表!$C$5:$T$44,$CU9,AQ$57),""),3,1)="隔",IF(AQ$58=0,LEFT(IFERROR(INDEX(醫師週班表!$C$5:$T$44,$CU9,AQ$57),""),1),""),IF(MID(IFERROR(INDEX(醫師週班表!$C$5:$T$44,$CU9,AQ$57),""),2,1)="(",LEFT(IFERROR(INDEX(醫師週班表!$C$5:$T$44,$CU9,AQ$57),""),1),IFERROR(INDEX(醫師週班表!$C$5:$T$44,$CU9,AQ$57),"")))))))</f>
        <v/>
      </c>
      <c r="AR9" s="67">
        <f>IF(AR$59="X","",IF(AR$59&lt;&gt;"",AR$59,IF(IFERROR(INDEX(醫師週班表!$C$5:$T$44,$CU9,AR$57),"")=0,"",IF(MID(IFERROR(INDEX(醫師週班表!$C$5:$T$44,$CU9,AR$57),""),2,1)="/",MID(IFERROR(INDEX(醫師週班表!$C$5:$T$44,$CU9,AR$57),""),1+AR$58*2,1),IF(MID(IFERROR(INDEX(醫師週班表!$C$5:$T$44,$CU9,AR$57),""),3,1)="隔",IF(AR$58=0,LEFT(IFERROR(INDEX(醫師週班表!$C$5:$T$44,$CU9,AR$57),""),1),""),IF(MID(IFERROR(INDEX(醫師週班表!$C$5:$T$44,$CU9,AR$57),""),2,1)="(",LEFT(IFERROR(INDEX(醫師週班表!$C$5:$T$44,$CU9,AR$57),""),1),IFERROR(INDEX(醫師週班表!$C$5:$T$44,$CU9,AR$57),"")))))))</f>
        <v/>
      </c>
      <c r="AS9" s="68">
        <f>IF(AS$59="X","",IF(AS$59&lt;&gt;"",AS$59,IF(IFERROR(INDEX(醫師週班表!$C$5:$T$44,$CU9,AS$57),"")=0,"",IF(MID(IFERROR(INDEX(醫師週班表!$C$5:$T$44,$CU9,AS$57),""),2,1)="/",MID(IFERROR(INDEX(醫師週班表!$C$5:$T$44,$CU9,AS$57),""),1+AS$58*2,1),IF(MID(IFERROR(INDEX(醫師週班表!$C$5:$T$44,$CU9,AS$57),""),3,1)="隔",IF(AS$58=0,LEFT(IFERROR(INDEX(醫師週班表!$C$5:$T$44,$CU9,AS$57),""),1),""),IF(MID(IFERROR(INDEX(醫師週班表!$C$5:$T$44,$CU9,AS$57),""),2,1)="(",LEFT(IFERROR(INDEX(醫師週班表!$C$5:$T$44,$CU9,AS$57),""),1),IFERROR(INDEX(醫師週班表!$C$5:$T$44,$CU9,AS$57),"")))))))</f>
        <v/>
      </c>
      <c r="AT9" s="68">
        <f>IF(AT$59="X","",IF(AT$59&lt;&gt;"",AT$59,IF(IFERROR(INDEX(醫師週班表!$C$5:$T$44,$CU9,AT$57),"")=0,"",IF(MID(IFERROR(INDEX(醫師週班表!$C$5:$T$44,$CU9,AT$57),""),2,1)="/",MID(IFERROR(INDEX(醫師週班表!$C$5:$T$44,$CU9,AT$57),""),1+AT$58*2,1),IF(MID(IFERROR(INDEX(醫師週班表!$C$5:$T$44,$CU9,AT$57),""),3,1)="隔",IF(AT$58=0,LEFT(IFERROR(INDEX(醫師週班表!$C$5:$T$44,$CU9,AT$57),""),1),""),IF(MID(IFERROR(INDEX(醫師週班表!$C$5:$T$44,$CU9,AT$57),""),2,1)="(",LEFT(IFERROR(INDEX(醫師週班表!$C$5:$T$44,$CU9,AT$57),""),1),IFERROR(INDEX(醫師週班表!$C$5:$T$44,$CU9,AT$57),"")))))))</f>
        <v/>
      </c>
      <c r="AU9" s="67">
        <f>IF(AU$59="X","",IF(AU$59&lt;&gt;"",AU$59,IF(IFERROR(INDEX(醫師週班表!$C$5:$T$44,$CU9,AU$57),"")=0,"",IF(MID(IFERROR(INDEX(醫師週班表!$C$5:$T$44,$CU9,AU$57),""),2,1)="/",MID(IFERROR(INDEX(醫師週班表!$C$5:$T$44,$CU9,AU$57),""),1+AU$58*2,1),IF(MID(IFERROR(INDEX(醫師週班表!$C$5:$T$44,$CU9,AU$57),""),3,1)="隔",IF(AU$58=0,LEFT(IFERROR(INDEX(醫師週班表!$C$5:$T$44,$CU9,AU$57),""),1),""),IF(MID(IFERROR(INDEX(醫師週班表!$C$5:$T$44,$CU9,AU$57),""),2,1)="(",LEFT(IFERROR(INDEX(醫師週班表!$C$5:$T$44,$CU9,AU$57),""),1),IFERROR(INDEX(醫師週班表!$C$5:$T$44,$CU9,AU$57),"")))))))</f>
        <v/>
      </c>
      <c r="AV9" s="68">
        <f>IF(AV$59="X","",IF(AV$59&lt;&gt;"",AV$59,IF(IFERROR(INDEX(醫師週班表!$C$5:$T$44,$CU9,AV$57),"")=0,"",IF(MID(IFERROR(INDEX(醫師週班表!$C$5:$T$44,$CU9,AV$57),""),2,1)="/",MID(IFERROR(INDEX(醫師週班表!$C$5:$T$44,$CU9,AV$57),""),1+AV$58*2,1),IF(MID(IFERROR(INDEX(醫師週班表!$C$5:$T$44,$CU9,AV$57),""),3,1)="隔",IF(AV$58=0,LEFT(IFERROR(INDEX(醫師週班表!$C$5:$T$44,$CU9,AV$57),""),1),""),IF(MID(IFERROR(INDEX(醫師週班表!$C$5:$T$44,$CU9,AV$57),""),2,1)="(",LEFT(IFERROR(INDEX(醫師週班表!$C$5:$T$44,$CU9,AV$57),""),1),IFERROR(INDEX(醫師週班表!$C$5:$T$44,$CU9,AV$57),"")))))))</f>
        <v/>
      </c>
      <c r="AW9" s="68">
        <f>IF(AW$59="X","",IF(AW$59&lt;&gt;"",AW$59,IF(IFERROR(INDEX(醫師週班表!$C$5:$T$44,$CU9,AW$57),"")=0,"",IF(MID(IFERROR(INDEX(醫師週班表!$C$5:$T$44,$CU9,AW$57),""),2,1)="/",MID(IFERROR(INDEX(醫師週班表!$C$5:$T$44,$CU9,AW$57),""),1+AW$58*2,1),IF(MID(IFERROR(INDEX(醫師週班表!$C$5:$T$44,$CU9,AW$57),""),3,1)="隔",IF(AW$58=0,LEFT(IFERROR(INDEX(醫師週班表!$C$5:$T$44,$CU9,AW$57),""),1),""),IF(MID(IFERROR(INDEX(醫師週班表!$C$5:$T$44,$CU9,AW$57),""),2,1)="(",LEFT(IFERROR(INDEX(醫師週班表!$C$5:$T$44,$CU9,AW$57),""),1),IFERROR(INDEX(醫師週班表!$C$5:$T$44,$CU9,AW$57),"")))))))</f>
        <v/>
      </c>
      <c r="AX9" s="67">
        <f>IF(AX$59="X","",IF(AX$59&lt;&gt;"",AX$59,IF(IFERROR(INDEX(醫師週班表!$C$5:$T$44,$CU9,AX$57),"")=0,"",IF(MID(IFERROR(INDEX(醫師週班表!$C$5:$T$44,$CU9,AX$57),""),2,1)="/",MID(IFERROR(INDEX(醫師週班表!$C$5:$T$44,$CU9,AX$57),""),1+AX$58*2,1),IF(MID(IFERROR(INDEX(醫師週班表!$C$5:$T$44,$CU9,AX$57),""),3,1)="隔",IF(AX$58=0,LEFT(IFERROR(INDEX(醫師週班表!$C$5:$T$44,$CU9,AX$57),""),1),""),IF(MID(IFERROR(INDEX(醫師週班表!$C$5:$T$44,$CU9,AX$57),""),2,1)="(",LEFT(IFERROR(INDEX(醫師週班表!$C$5:$T$44,$CU9,AX$57),""),1),IFERROR(INDEX(醫師週班表!$C$5:$T$44,$CU9,AX$57),"")))))))</f>
        <v/>
      </c>
      <c r="AY9" s="68">
        <f>IF(AY$59="X","",IF(AY$59&lt;&gt;"",AY$59,IF(IFERROR(INDEX(醫師週班表!$C$5:$T$44,$CU9,AY$57),"")=0,"",IF(MID(IFERROR(INDEX(醫師週班表!$C$5:$T$44,$CU9,AY$57),""),2,1)="/",MID(IFERROR(INDEX(醫師週班表!$C$5:$T$44,$CU9,AY$57),""),1+AY$58*2,1),IF(MID(IFERROR(INDEX(醫師週班表!$C$5:$T$44,$CU9,AY$57),""),3,1)="隔",IF(AY$58=0,LEFT(IFERROR(INDEX(醫師週班表!$C$5:$T$44,$CU9,AY$57),""),1),""),IF(MID(IFERROR(INDEX(醫師週班表!$C$5:$T$44,$CU9,AY$57),""),2,1)="(",LEFT(IFERROR(INDEX(醫師週班表!$C$5:$T$44,$CU9,AY$57),""),1),IFERROR(INDEX(醫師週班表!$C$5:$T$44,$CU9,AY$57),"")))))))</f>
        <v/>
      </c>
      <c r="AZ9" s="68">
        <f>IF(AZ$59="X","",IF(AZ$59&lt;&gt;"",AZ$59,IF(IFERROR(INDEX(醫師週班表!$C$5:$T$44,$CU9,AZ$57),"")=0,"",IF(MID(IFERROR(INDEX(醫師週班表!$C$5:$T$44,$CU9,AZ$57),""),2,1)="/",MID(IFERROR(INDEX(醫師週班表!$C$5:$T$44,$CU9,AZ$57),""),1+AZ$58*2,1),IF(MID(IFERROR(INDEX(醫師週班表!$C$5:$T$44,$CU9,AZ$57),""),3,1)="隔",IF(AZ$58=0,LEFT(IFERROR(INDEX(醫師週班表!$C$5:$T$44,$CU9,AZ$57),""),1),""),IF(MID(IFERROR(INDEX(醫師週班表!$C$5:$T$44,$CU9,AZ$57),""),2,1)="(",LEFT(IFERROR(INDEX(醫師週班表!$C$5:$T$44,$CU9,AZ$57),""),1),IFERROR(INDEX(醫師週班表!$C$5:$T$44,$CU9,AZ$57),"")))))))</f>
        <v/>
      </c>
      <c r="BA9" s="67">
        <f>IF(BA$59="X","",IF(BA$59&lt;&gt;"",BA$59,IF(IFERROR(INDEX(醫師週班表!$C$5:$T$44,$CU9,BA$57),"")=0,"",IF(MID(IFERROR(INDEX(醫師週班表!$C$5:$T$44,$CU9,BA$57),""),2,1)="/",MID(IFERROR(INDEX(醫師週班表!$C$5:$T$44,$CU9,BA$57),""),1+BA$58*2,1),IF(MID(IFERROR(INDEX(醫師週班表!$C$5:$T$44,$CU9,BA$57),""),3,1)="隔",IF(BA$58=0,LEFT(IFERROR(INDEX(醫師週班表!$C$5:$T$44,$CU9,BA$57),""),1),""),IF(MID(IFERROR(INDEX(醫師週班表!$C$5:$T$44,$CU9,BA$57),""),2,1)="(",LEFT(IFERROR(INDEX(醫師週班表!$C$5:$T$44,$CU9,BA$57),""),1),IFERROR(INDEX(醫師週班表!$C$5:$T$44,$CU9,BA$57),"")))))))</f>
        <v/>
      </c>
      <c r="BB9" s="68">
        <f>IF(BB$59="X","",IF(BB$59&lt;&gt;"",BB$59,IF(IFERROR(INDEX(醫師週班表!$C$5:$T$44,$CU9,BB$57),"")=0,"",IF(MID(IFERROR(INDEX(醫師週班表!$C$5:$T$44,$CU9,BB$57),""),2,1)="/",MID(IFERROR(INDEX(醫師週班表!$C$5:$T$44,$CU9,BB$57),""),1+BB$58*2,1),IF(MID(IFERROR(INDEX(醫師週班表!$C$5:$T$44,$CU9,BB$57),""),3,1)="隔",IF(BB$58=0,LEFT(IFERROR(INDEX(醫師週班表!$C$5:$T$44,$CU9,BB$57),""),1),""),IF(MID(IFERROR(INDEX(醫師週班表!$C$5:$T$44,$CU9,BB$57),""),2,1)="(",LEFT(IFERROR(INDEX(醫師週班表!$C$5:$T$44,$CU9,BB$57),""),1),IFERROR(INDEX(醫師週班表!$C$5:$T$44,$CU9,BB$57),"")))))))</f>
        <v/>
      </c>
      <c r="BC9" s="68">
        <f>IF(BC$59="X","",IF(BC$59&lt;&gt;"",BC$59,IF(IFERROR(INDEX(醫師週班表!$C$5:$T$44,$CU9,BC$57),"")=0,"",IF(MID(IFERROR(INDEX(醫師週班表!$C$5:$T$44,$CU9,BC$57),""),2,1)="/",MID(IFERROR(INDEX(醫師週班表!$C$5:$T$44,$CU9,BC$57),""),1+BC$58*2,1),IF(MID(IFERROR(INDEX(醫師週班表!$C$5:$T$44,$CU9,BC$57),""),3,1)="隔",IF(BC$58=0,LEFT(IFERROR(INDEX(醫師週班表!$C$5:$T$44,$CU9,BC$57),""),1),""),IF(MID(IFERROR(INDEX(醫師週班表!$C$5:$T$44,$CU9,BC$57),""),2,1)="(",LEFT(IFERROR(INDEX(醫師週班表!$C$5:$T$44,$CU9,BC$57),""),1),IFERROR(INDEX(醫師週班表!$C$5:$T$44,$CU9,BC$57),"")))))))</f>
        <v/>
      </c>
      <c r="BD9" s="67">
        <f>IF(BD$59="X","",IF(BD$59&lt;&gt;"",BD$59,IF(IFERROR(INDEX(醫師週班表!$C$5:$T$44,$CU9,BD$57),"")=0,"",IF(MID(IFERROR(INDEX(醫師週班表!$C$5:$T$44,$CU9,BD$57),""),2,1)="/",MID(IFERROR(INDEX(醫師週班表!$C$5:$T$44,$CU9,BD$57),""),1+BD$58*2,1),IF(MID(IFERROR(INDEX(醫師週班表!$C$5:$T$44,$CU9,BD$57),""),3,1)="隔",IF(BD$58=0,LEFT(IFERROR(INDEX(醫師週班表!$C$5:$T$44,$CU9,BD$57),""),1),""),IF(MID(IFERROR(INDEX(醫師週班表!$C$5:$T$44,$CU9,BD$57),""),2,1)="(",LEFT(IFERROR(INDEX(醫師週班表!$C$5:$T$44,$CU9,BD$57),""),1),IFERROR(INDEX(醫師週班表!$C$5:$T$44,$CU9,BD$57),"")))))))</f>
        <v/>
      </c>
      <c r="BE9" s="68">
        <f>IF(BE$59="X","",IF(BE$59&lt;&gt;"",BE$59,IF(IFERROR(INDEX(醫師週班表!$C$5:$T$44,$CU9,BE$57),"")=0,"",IF(MID(IFERROR(INDEX(醫師週班表!$C$5:$T$44,$CU9,BE$57),""),2,1)="/",MID(IFERROR(INDEX(醫師週班表!$C$5:$T$44,$CU9,BE$57),""),1+BE$58*2,1),IF(MID(IFERROR(INDEX(醫師週班表!$C$5:$T$44,$CU9,BE$57),""),3,1)="隔",IF(BE$58=0,LEFT(IFERROR(INDEX(醫師週班表!$C$5:$T$44,$CU9,BE$57),""),1),""),IF(MID(IFERROR(INDEX(醫師週班表!$C$5:$T$44,$CU9,BE$57),""),2,1)="(",LEFT(IFERROR(INDEX(醫師週班表!$C$5:$T$44,$CU9,BE$57),""),1),IFERROR(INDEX(醫師週班表!$C$5:$T$44,$CU9,BE$57),"")))))))</f>
        <v/>
      </c>
      <c r="BF9" s="68">
        <f>IF(BF$59="X","",IF(BF$59&lt;&gt;"",BF$59,IF(IFERROR(INDEX(醫師週班表!$C$5:$T$44,$CU9,BF$57),"")=0,"",IF(MID(IFERROR(INDEX(醫師週班表!$C$5:$T$44,$CU9,BF$57),""),2,1)="/",MID(IFERROR(INDEX(醫師週班表!$C$5:$T$44,$CU9,BF$57),""),1+BF$58*2,1),IF(MID(IFERROR(INDEX(醫師週班表!$C$5:$T$44,$CU9,BF$57),""),3,1)="隔",IF(BF$58=0,LEFT(IFERROR(INDEX(醫師週班表!$C$5:$T$44,$CU9,BF$57),""),1),""),IF(MID(IFERROR(INDEX(醫師週班表!$C$5:$T$44,$CU9,BF$57),""),2,1)="(",LEFT(IFERROR(INDEX(醫師週班表!$C$5:$T$44,$CU9,BF$57),""),1),IFERROR(INDEX(醫師週班表!$C$5:$T$44,$CU9,BF$57),"")))))))</f>
        <v/>
      </c>
      <c r="BG9" s="67">
        <f>IF(BG$59="X","",IF(BG$59&lt;&gt;"",BG$59,IF(IFERROR(INDEX(醫師週班表!$C$5:$T$44,$CU9,BG$57),"")=0,"",IF(MID(IFERROR(INDEX(醫師週班表!$C$5:$T$44,$CU9,BG$57),""),2,1)="/",MID(IFERROR(INDEX(醫師週班表!$C$5:$T$44,$CU9,BG$57),""),1+BG$58*2,1),IF(MID(IFERROR(INDEX(醫師週班表!$C$5:$T$44,$CU9,BG$57),""),3,1)="隔",IF(BG$58=0,LEFT(IFERROR(INDEX(醫師週班表!$C$5:$T$44,$CU9,BG$57),""),1),""),IF(MID(IFERROR(INDEX(醫師週班表!$C$5:$T$44,$CU9,BG$57),""),2,1)="(",LEFT(IFERROR(INDEX(醫師週班表!$C$5:$T$44,$CU9,BG$57),""),1),IFERROR(INDEX(醫師週班表!$C$5:$T$44,$CU9,BG$57),"")))))))</f>
        <v/>
      </c>
      <c r="BH9" s="68">
        <f>IF(BH$59="X","",IF(BH$59&lt;&gt;"",BH$59,IF(IFERROR(INDEX(醫師週班表!$C$5:$T$44,$CU9,BH$57),"")=0,"",IF(MID(IFERROR(INDEX(醫師週班表!$C$5:$T$44,$CU9,BH$57),""),2,1)="/",MID(IFERROR(INDEX(醫師週班表!$C$5:$T$44,$CU9,BH$57),""),1+BH$58*2,1),IF(MID(IFERROR(INDEX(醫師週班表!$C$5:$T$44,$CU9,BH$57),""),3,1)="隔",IF(BH$58=0,LEFT(IFERROR(INDEX(醫師週班表!$C$5:$T$44,$CU9,BH$57),""),1),""),IF(MID(IFERROR(INDEX(醫師週班表!$C$5:$T$44,$CU9,BH$57),""),2,1)="(",LEFT(IFERROR(INDEX(醫師週班表!$C$5:$T$44,$CU9,BH$57),""),1),IFERROR(INDEX(醫師週班表!$C$5:$T$44,$CU9,BH$57),"")))))))</f>
        <v/>
      </c>
      <c r="BI9" s="68">
        <f>IF(BI$59="X","",IF(BI$59&lt;&gt;"",BI$59,IF(IFERROR(INDEX(醫師週班表!$C$5:$T$44,$CU9,BI$57),"")=0,"",IF(MID(IFERROR(INDEX(醫師週班表!$C$5:$T$44,$CU9,BI$57),""),2,1)="/",MID(IFERROR(INDEX(醫師週班表!$C$5:$T$44,$CU9,BI$57),""),1+BI$58*2,1),IF(MID(IFERROR(INDEX(醫師週班表!$C$5:$T$44,$CU9,BI$57),""),3,1)="隔",IF(BI$58=0,LEFT(IFERROR(INDEX(醫師週班表!$C$5:$T$44,$CU9,BI$57),""),1),""),IF(MID(IFERROR(INDEX(醫師週班表!$C$5:$T$44,$CU9,BI$57),""),2,1)="(",LEFT(IFERROR(INDEX(醫師週班表!$C$5:$T$44,$CU9,BI$57),""),1),IFERROR(INDEX(醫師週班表!$C$5:$T$44,$CU9,BI$57),"")))))))</f>
        <v/>
      </c>
      <c r="BJ9" s="67">
        <f>IF(BJ$59="X","",IF(BJ$59&lt;&gt;"",BJ$59,IF(IFERROR(INDEX(醫師週班表!$C$5:$T$44,$CU9,BJ$57),"")=0,"",IF(MID(IFERROR(INDEX(醫師週班表!$C$5:$T$44,$CU9,BJ$57),""),2,1)="/",MID(IFERROR(INDEX(醫師週班表!$C$5:$T$44,$CU9,BJ$57),""),1+BJ$58*2,1),IF(MID(IFERROR(INDEX(醫師週班表!$C$5:$T$44,$CU9,BJ$57),""),3,1)="隔",IF(BJ$58=0,LEFT(IFERROR(INDEX(醫師週班表!$C$5:$T$44,$CU9,BJ$57),""),1),""),IF(MID(IFERROR(INDEX(醫師週班表!$C$5:$T$44,$CU9,BJ$57),""),2,1)="(",LEFT(IFERROR(INDEX(醫師週班表!$C$5:$T$44,$CU9,BJ$57),""),1),IFERROR(INDEX(醫師週班表!$C$5:$T$44,$CU9,BJ$57),"")))))))</f>
        <v/>
      </c>
      <c r="BK9" s="68">
        <f>IF(BK$59="X","",IF(BK$59&lt;&gt;"",BK$59,IF(IFERROR(INDEX(醫師週班表!$C$5:$T$44,$CU9,BK$57),"")=0,"",IF(MID(IFERROR(INDEX(醫師週班表!$C$5:$T$44,$CU9,BK$57),""),2,1)="/",MID(IFERROR(INDEX(醫師週班表!$C$5:$T$44,$CU9,BK$57),""),1+BK$58*2,1),IF(MID(IFERROR(INDEX(醫師週班表!$C$5:$T$44,$CU9,BK$57),""),3,1)="隔",IF(BK$58=0,LEFT(IFERROR(INDEX(醫師週班表!$C$5:$T$44,$CU9,BK$57),""),1),""),IF(MID(IFERROR(INDEX(醫師週班表!$C$5:$T$44,$CU9,BK$57),""),2,1)="(",LEFT(IFERROR(INDEX(醫師週班表!$C$5:$T$44,$CU9,BK$57),""),1),IFERROR(INDEX(醫師週班表!$C$5:$T$44,$CU9,BK$57),"")))))))</f>
        <v/>
      </c>
      <c r="BL9" s="68">
        <f>IF(BL$59="X","",IF(BL$59&lt;&gt;"",BL$59,IF(IFERROR(INDEX(醫師週班表!$C$5:$T$44,$CU9,BL$57),"")=0,"",IF(MID(IFERROR(INDEX(醫師週班表!$C$5:$T$44,$CU9,BL$57),""),2,1)="/",MID(IFERROR(INDEX(醫師週班表!$C$5:$T$44,$CU9,BL$57),""),1+BL$58*2,1),IF(MID(IFERROR(INDEX(醫師週班表!$C$5:$T$44,$CU9,BL$57),""),3,1)="隔",IF(BL$58=0,LEFT(IFERROR(INDEX(醫師週班表!$C$5:$T$44,$CU9,BL$57),""),1),""),IF(MID(IFERROR(INDEX(醫師週班表!$C$5:$T$44,$CU9,BL$57),""),2,1)="(",LEFT(IFERROR(INDEX(醫師週班表!$C$5:$T$44,$CU9,BL$57),""),1),IFERROR(INDEX(醫師週班表!$C$5:$T$44,$CU9,BL$57),"")))))))</f>
        <v/>
      </c>
      <c r="BM9" s="67">
        <f>IF(BM$59="X","",IF(BM$59&lt;&gt;"",BM$59,IF(IFERROR(INDEX(醫師週班表!$C$5:$T$44,$CU9,BM$57),"")=0,"",IF(MID(IFERROR(INDEX(醫師週班表!$C$5:$T$44,$CU9,BM$57),""),2,1)="/",MID(IFERROR(INDEX(醫師週班表!$C$5:$T$44,$CU9,BM$57),""),1+BM$58*2,1),IF(MID(IFERROR(INDEX(醫師週班表!$C$5:$T$44,$CU9,BM$57),""),3,1)="隔",IF(BM$58=0,LEFT(IFERROR(INDEX(醫師週班表!$C$5:$T$44,$CU9,BM$57),""),1),""),IF(MID(IFERROR(INDEX(醫師週班表!$C$5:$T$44,$CU9,BM$57),""),2,1)="(",LEFT(IFERROR(INDEX(醫師週班表!$C$5:$T$44,$CU9,BM$57),""),1),IFERROR(INDEX(醫師週班表!$C$5:$T$44,$CU9,BM$57),"")))))))</f>
        <v/>
      </c>
      <c r="BN9" s="68">
        <f>IF(BN$59="X","",IF(BN$59&lt;&gt;"",BN$59,IF(IFERROR(INDEX(醫師週班表!$C$5:$T$44,$CU9,BN$57),"")=0,"",IF(MID(IFERROR(INDEX(醫師週班表!$C$5:$T$44,$CU9,BN$57),""),2,1)="/",MID(IFERROR(INDEX(醫師週班表!$C$5:$T$44,$CU9,BN$57),""),1+BN$58*2,1),IF(MID(IFERROR(INDEX(醫師週班表!$C$5:$T$44,$CU9,BN$57),""),3,1)="隔",IF(BN$58=0,LEFT(IFERROR(INDEX(醫師週班表!$C$5:$T$44,$CU9,BN$57),""),1),""),IF(MID(IFERROR(INDEX(醫師週班表!$C$5:$T$44,$CU9,BN$57),""),2,1)="(",LEFT(IFERROR(INDEX(醫師週班表!$C$5:$T$44,$CU9,BN$57),""),1),IFERROR(INDEX(醫師週班表!$C$5:$T$44,$CU9,BN$57),"")))))))</f>
        <v/>
      </c>
      <c r="BO9" s="68">
        <f>IF(BO$59="X","",IF(BO$59&lt;&gt;"",BO$59,IF(IFERROR(INDEX(醫師週班表!$C$5:$T$44,$CU9,BO$57),"")=0,"",IF(MID(IFERROR(INDEX(醫師週班表!$C$5:$T$44,$CU9,BO$57),""),2,1)="/",MID(IFERROR(INDEX(醫師週班表!$C$5:$T$44,$CU9,BO$57),""),1+BO$58*2,1),IF(MID(IFERROR(INDEX(醫師週班表!$C$5:$T$44,$CU9,BO$57),""),3,1)="隔",IF(BO$58=0,LEFT(IFERROR(INDEX(醫師週班表!$C$5:$T$44,$CU9,BO$57),""),1),""),IF(MID(IFERROR(INDEX(醫師週班表!$C$5:$T$44,$CU9,BO$57),""),2,1)="(",LEFT(IFERROR(INDEX(醫師週班表!$C$5:$T$44,$CU9,BO$57),""),1),IFERROR(INDEX(醫師週班表!$C$5:$T$44,$CU9,BO$57),"")))))))</f>
        <v/>
      </c>
      <c r="BP9" s="67">
        <f>IF(BP$59="X","",IF(BP$59&lt;&gt;"",BP$59,IF(IFERROR(INDEX(醫師週班表!$C$5:$T$44,$CU9,BP$57),"")=0,"",IF(MID(IFERROR(INDEX(醫師週班表!$C$5:$T$44,$CU9,BP$57),""),2,1)="/",MID(IFERROR(INDEX(醫師週班表!$C$5:$T$44,$CU9,BP$57),""),1+BP$58*2,1),IF(MID(IFERROR(INDEX(醫師週班表!$C$5:$T$44,$CU9,BP$57),""),3,1)="隔",IF(BP$58=0,LEFT(IFERROR(INDEX(醫師週班表!$C$5:$T$44,$CU9,BP$57),""),1),""),IF(MID(IFERROR(INDEX(醫師週班表!$C$5:$T$44,$CU9,BP$57),""),2,1)="(",LEFT(IFERROR(INDEX(醫師週班表!$C$5:$T$44,$CU9,BP$57),""),1),IFERROR(INDEX(醫師週班表!$C$5:$T$44,$CU9,BP$57),"")))))))</f>
        <v/>
      </c>
      <c r="BQ9" s="68">
        <f>IF(BQ$59="X","",IF(BQ$59&lt;&gt;"",BQ$59,IF(IFERROR(INDEX(醫師週班表!$C$5:$T$44,$CU9,BQ$57),"")=0,"",IF(MID(IFERROR(INDEX(醫師週班表!$C$5:$T$44,$CU9,BQ$57),""),2,1)="/",MID(IFERROR(INDEX(醫師週班表!$C$5:$T$44,$CU9,BQ$57),""),1+BQ$58*2,1),IF(MID(IFERROR(INDEX(醫師週班表!$C$5:$T$44,$CU9,BQ$57),""),3,1)="隔",IF(BQ$58=0,LEFT(IFERROR(INDEX(醫師週班表!$C$5:$T$44,$CU9,BQ$57),""),1),""),IF(MID(IFERROR(INDEX(醫師週班表!$C$5:$T$44,$CU9,BQ$57),""),2,1)="(",LEFT(IFERROR(INDEX(醫師週班表!$C$5:$T$44,$CU9,BQ$57),""),1),IFERROR(INDEX(醫師週班表!$C$5:$T$44,$CU9,BQ$57),"")))))))</f>
        <v/>
      </c>
      <c r="BR9" s="68">
        <f>IF(BR$59="X","",IF(BR$59&lt;&gt;"",BR$59,IF(IFERROR(INDEX(醫師週班表!$C$5:$T$44,$CU9,BR$57),"")=0,"",IF(MID(IFERROR(INDEX(醫師週班表!$C$5:$T$44,$CU9,BR$57),""),2,1)="/",MID(IFERROR(INDEX(醫師週班表!$C$5:$T$44,$CU9,BR$57),""),1+BR$58*2,1),IF(MID(IFERROR(INDEX(醫師週班表!$C$5:$T$44,$CU9,BR$57),""),3,1)="隔",IF(BR$58=0,LEFT(IFERROR(INDEX(醫師週班表!$C$5:$T$44,$CU9,BR$57),""),1),""),IF(MID(IFERROR(INDEX(醫師週班表!$C$5:$T$44,$CU9,BR$57),""),2,1)="(",LEFT(IFERROR(INDEX(醫師週班表!$C$5:$T$44,$CU9,BR$57),""),1),IFERROR(INDEX(醫師週班表!$C$5:$T$44,$CU9,BR$57),"")))))))</f>
        <v/>
      </c>
      <c r="BS9" s="67">
        <f>IF(BS$59="X","",IF(BS$59&lt;&gt;"",BS$59,IF(IFERROR(INDEX(醫師週班表!$C$5:$T$44,$CU9,BS$57),"")=0,"",IF(MID(IFERROR(INDEX(醫師週班表!$C$5:$T$44,$CU9,BS$57),""),2,1)="/",MID(IFERROR(INDEX(醫師週班表!$C$5:$T$44,$CU9,BS$57),""),1+BS$58*2,1),IF(MID(IFERROR(INDEX(醫師週班表!$C$5:$T$44,$CU9,BS$57),""),3,1)="隔",IF(BS$58=0,LEFT(IFERROR(INDEX(醫師週班表!$C$5:$T$44,$CU9,BS$57),""),1),""),IF(MID(IFERROR(INDEX(醫師週班表!$C$5:$T$44,$CU9,BS$57),""),2,1)="(",LEFT(IFERROR(INDEX(醫師週班表!$C$5:$T$44,$CU9,BS$57),""),1),IFERROR(INDEX(醫師週班表!$C$5:$T$44,$CU9,BS$57),"")))))))</f>
        <v/>
      </c>
      <c r="BT9" s="68">
        <f>IF(BT$59="X","",IF(BT$59&lt;&gt;"",BT$59,IF(IFERROR(INDEX(醫師週班表!$C$5:$T$44,$CU9,BT$57),"")=0,"",IF(MID(IFERROR(INDEX(醫師週班表!$C$5:$T$44,$CU9,BT$57),""),2,1)="/",MID(IFERROR(INDEX(醫師週班表!$C$5:$T$44,$CU9,BT$57),""),1+BT$58*2,1),IF(MID(IFERROR(INDEX(醫師週班表!$C$5:$T$44,$CU9,BT$57),""),3,1)="隔",IF(BT$58=0,LEFT(IFERROR(INDEX(醫師週班表!$C$5:$T$44,$CU9,BT$57),""),1),""),IF(MID(IFERROR(INDEX(醫師週班表!$C$5:$T$44,$CU9,BT$57),""),2,1)="(",LEFT(IFERROR(INDEX(醫師週班表!$C$5:$T$44,$CU9,BT$57),""),1),IFERROR(INDEX(醫師週班表!$C$5:$T$44,$CU9,BT$57),"")))))))</f>
        <v/>
      </c>
      <c r="BU9" s="68">
        <f>IF(BU$59="X","",IF(BU$59&lt;&gt;"",BU$59,IF(IFERROR(INDEX(醫師週班表!$C$5:$T$44,$CU9,BU$57),"")=0,"",IF(MID(IFERROR(INDEX(醫師週班表!$C$5:$T$44,$CU9,BU$57),""),2,1)="/",MID(IFERROR(INDEX(醫師週班表!$C$5:$T$44,$CU9,BU$57),""),1+BU$58*2,1),IF(MID(IFERROR(INDEX(醫師週班表!$C$5:$T$44,$CU9,BU$57),""),3,1)="隔",IF(BU$58=0,LEFT(IFERROR(INDEX(醫師週班表!$C$5:$T$44,$CU9,BU$57),""),1),""),IF(MID(IFERROR(INDEX(醫師週班表!$C$5:$T$44,$CU9,BU$57),""),2,1)="(",LEFT(IFERROR(INDEX(醫師週班表!$C$5:$T$44,$CU9,BU$57),""),1),IFERROR(INDEX(醫師週班表!$C$5:$T$44,$CU9,BU$57),"")))))))</f>
        <v/>
      </c>
      <c r="BV9" s="67">
        <f>IF(BV$59="X","",IF(BV$59&lt;&gt;"",BV$59,IF(IFERROR(INDEX(醫師週班表!$C$5:$T$44,$CU9,BV$57),"")=0,"",IF(MID(IFERROR(INDEX(醫師週班表!$C$5:$T$44,$CU9,BV$57),""),2,1)="/",MID(IFERROR(INDEX(醫師週班表!$C$5:$T$44,$CU9,BV$57),""),1+BV$58*2,1),IF(MID(IFERROR(INDEX(醫師週班表!$C$5:$T$44,$CU9,BV$57),""),3,1)="隔",IF(BV$58=0,LEFT(IFERROR(INDEX(醫師週班表!$C$5:$T$44,$CU9,BV$57),""),1),""),IF(MID(IFERROR(INDEX(醫師週班表!$C$5:$T$44,$CU9,BV$57),""),2,1)="(",LEFT(IFERROR(INDEX(醫師週班表!$C$5:$T$44,$CU9,BV$57),""),1),IFERROR(INDEX(醫師週班表!$C$5:$T$44,$CU9,BV$57),"")))))))</f>
        <v/>
      </c>
      <c r="BW9" s="68">
        <f>IF(BW$59="X","",IF(BW$59&lt;&gt;"",BW$59,IF(IFERROR(INDEX(醫師週班表!$C$5:$T$44,$CU9,BW$57),"")=0,"",IF(MID(IFERROR(INDEX(醫師週班表!$C$5:$T$44,$CU9,BW$57),""),2,1)="/",MID(IFERROR(INDEX(醫師週班表!$C$5:$T$44,$CU9,BW$57),""),1+BW$58*2,1),IF(MID(IFERROR(INDEX(醫師週班表!$C$5:$T$44,$CU9,BW$57),""),3,1)="隔",IF(BW$58=0,LEFT(IFERROR(INDEX(醫師週班表!$C$5:$T$44,$CU9,BW$57),""),1),""),IF(MID(IFERROR(INDEX(醫師週班表!$C$5:$T$44,$CU9,BW$57),""),2,1)="(",LEFT(IFERROR(INDEX(醫師週班表!$C$5:$T$44,$CU9,BW$57),""),1),IFERROR(INDEX(醫師週班表!$C$5:$T$44,$CU9,BW$57),"")))))))</f>
        <v/>
      </c>
      <c r="BX9" s="68">
        <f>IF(BX$59="X","",IF(BX$59&lt;&gt;"",BX$59,IF(IFERROR(INDEX(醫師週班表!$C$5:$T$44,$CU9,BX$57),"")=0,"",IF(MID(IFERROR(INDEX(醫師週班表!$C$5:$T$44,$CU9,BX$57),""),2,1)="/",MID(IFERROR(INDEX(醫師週班表!$C$5:$T$44,$CU9,BX$57),""),1+BX$58*2,1),IF(MID(IFERROR(INDEX(醫師週班表!$C$5:$T$44,$CU9,BX$57),""),3,1)="隔",IF(BX$58=0,LEFT(IFERROR(INDEX(醫師週班表!$C$5:$T$44,$CU9,BX$57),""),1),""),IF(MID(IFERROR(INDEX(醫師週班表!$C$5:$T$44,$CU9,BX$57),""),2,1)="(",LEFT(IFERROR(INDEX(醫師週班表!$C$5:$T$44,$CU9,BX$57),""),1),IFERROR(INDEX(醫師週班表!$C$5:$T$44,$CU9,BX$57),"")))))))</f>
        <v/>
      </c>
      <c r="BY9" s="67">
        <f>IF(BY$59="X","",IF(BY$59&lt;&gt;"",BY$59,IF(IFERROR(INDEX(醫師週班表!$C$5:$T$44,$CU9,BY$57),"")=0,"",IF(MID(IFERROR(INDEX(醫師週班表!$C$5:$T$44,$CU9,BY$57),""),2,1)="/",MID(IFERROR(INDEX(醫師週班表!$C$5:$T$44,$CU9,BY$57),""),1+BY$58*2,1),IF(MID(IFERROR(INDEX(醫師週班表!$C$5:$T$44,$CU9,BY$57),""),3,1)="隔",IF(BY$58=0,LEFT(IFERROR(INDEX(醫師週班表!$C$5:$T$44,$CU9,BY$57),""),1),""),IF(MID(IFERROR(INDEX(醫師週班表!$C$5:$T$44,$CU9,BY$57),""),2,1)="(",LEFT(IFERROR(INDEX(醫師週班表!$C$5:$T$44,$CU9,BY$57),""),1),IFERROR(INDEX(醫師週班表!$C$5:$T$44,$CU9,BY$57),"")))))))</f>
        <v/>
      </c>
      <c r="BZ9" s="68">
        <f>IF(BZ$59="X","",IF(BZ$59&lt;&gt;"",BZ$59,IF(IFERROR(INDEX(醫師週班表!$C$5:$T$44,$CU9,BZ$57),"")=0,"",IF(MID(IFERROR(INDEX(醫師週班表!$C$5:$T$44,$CU9,BZ$57),""),2,1)="/",MID(IFERROR(INDEX(醫師週班表!$C$5:$T$44,$CU9,BZ$57),""),1+BZ$58*2,1),IF(MID(IFERROR(INDEX(醫師週班表!$C$5:$T$44,$CU9,BZ$57),""),3,1)="隔",IF(BZ$58=0,LEFT(IFERROR(INDEX(醫師週班表!$C$5:$T$44,$CU9,BZ$57),""),1),""),IF(MID(IFERROR(INDEX(醫師週班表!$C$5:$T$44,$CU9,BZ$57),""),2,1)="(",LEFT(IFERROR(INDEX(醫師週班表!$C$5:$T$44,$CU9,BZ$57),""),1),IFERROR(INDEX(醫師週班表!$C$5:$T$44,$CU9,BZ$57),"")))))))</f>
        <v/>
      </c>
      <c r="CA9" s="68">
        <f>IF(CA$59="X","",IF(CA$59&lt;&gt;"",CA$59,IF(IFERROR(INDEX(醫師週班表!$C$5:$T$44,$CU9,CA$57),"")=0,"",IF(MID(IFERROR(INDEX(醫師週班表!$C$5:$T$44,$CU9,CA$57),""),2,1)="/",MID(IFERROR(INDEX(醫師週班表!$C$5:$T$44,$CU9,CA$57),""),1+CA$58*2,1),IF(MID(IFERROR(INDEX(醫師週班表!$C$5:$T$44,$CU9,CA$57),""),3,1)="隔",IF(CA$58=0,LEFT(IFERROR(INDEX(醫師週班表!$C$5:$T$44,$CU9,CA$57),""),1),""),IF(MID(IFERROR(INDEX(醫師週班表!$C$5:$T$44,$CU9,CA$57),""),2,1)="(",LEFT(IFERROR(INDEX(醫師週班表!$C$5:$T$44,$CU9,CA$57),""),1),IFERROR(INDEX(醫師週班表!$C$5:$T$44,$CU9,CA$57),"")))))))</f>
        <v/>
      </c>
      <c r="CB9" s="67">
        <f>IF(CB$59="X","",IF(CB$59&lt;&gt;"",CB$59,IF(IFERROR(INDEX(醫師週班表!$C$5:$T$44,$CU9,CB$57),"")=0,"",IF(MID(IFERROR(INDEX(醫師週班表!$C$5:$T$44,$CU9,CB$57),""),2,1)="/",MID(IFERROR(INDEX(醫師週班表!$C$5:$T$44,$CU9,CB$57),""),1+CB$58*2,1),IF(MID(IFERROR(INDEX(醫師週班表!$C$5:$T$44,$CU9,CB$57),""),3,1)="隔",IF(CB$58=0,LEFT(IFERROR(INDEX(醫師週班表!$C$5:$T$44,$CU9,CB$57),""),1),""),IF(MID(IFERROR(INDEX(醫師週班表!$C$5:$T$44,$CU9,CB$57),""),2,1)="(",LEFT(IFERROR(INDEX(醫師週班表!$C$5:$T$44,$CU9,CB$57),""),1),IFERROR(INDEX(醫師週班表!$C$5:$T$44,$CU9,CB$57),"")))))))</f>
        <v/>
      </c>
      <c r="CC9" s="68">
        <f>IF(CC$59="X","",IF(CC$59&lt;&gt;"",CC$59,IF(IFERROR(INDEX(醫師週班表!$C$5:$T$44,$CU9,CC$57),"")=0,"",IF(MID(IFERROR(INDEX(醫師週班表!$C$5:$T$44,$CU9,CC$57),""),2,1)="/",MID(IFERROR(INDEX(醫師週班表!$C$5:$T$44,$CU9,CC$57),""),1+CC$58*2,1),IF(MID(IFERROR(INDEX(醫師週班表!$C$5:$T$44,$CU9,CC$57),""),3,1)="隔",IF(CC$58=0,LEFT(IFERROR(INDEX(醫師週班表!$C$5:$T$44,$CU9,CC$57),""),1),""),IF(MID(IFERROR(INDEX(醫師週班表!$C$5:$T$44,$CU9,CC$57),""),2,1)="(",LEFT(IFERROR(INDEX(醫師週班表!$C$5:$T$44,$CU9,CC$57),""),1),IFERROR(INDEX(醫師週班表!$C$5:$T$44,$CU9,CC$57),"")))))))</f>
        <v/>
      </c>
      <c r="CD9" s="68">
        <f>IF(CD$59="X","",IF(CD$59&lt;&gt;"",CD$59,IF(IFERROR(INDEX(醫師週班表!$C$5:$T$44,$CU9,CD$57),"")=0,"",IF(MID(IFERROR(INDEX(醫師週班表!$C$5:$T$44,$CU9,CD$57),""),2,1)="/",MID(IFERROR(INDEX(醫師週班表!$C$5:$T$44,$CU9,CD$57),""),1+CD$58*2,1),IF(MID(IFERROR(INDEX(醫師週班表!$C$5:$T$44,$CU9,CD$57),""),3,1)="隔",IF(CD$58=0,LEFT(IFERROR(INDEX(醫師週班表!$C$5:$T$44,$CU9,CD$57),""),1),""),IF(MID(IFERROR(INDEX(醫師週班表!$C$5:$T$44,$CU9,CD$57),""),2,1)="(",LEFT(IFERROR(INDEX(醫師週班表!$C$5:$T$44,$CU9,CD$57),""),1),IFERROR(INDEX(醫師週班表!$C$5:$T$44,$CU9,CD$57),"")))))))</f>
        <v/>
      </c>
      <c r="CE9" s="67">
        <f>IF(CE$59="X","",IF(CE$59&lt;&gt;"",CE$59,IF(IFERROR(INDEX(醫師週班表!$C$5:$T$44,$CU9,CE$57),"")=0,"",IF(MID(IFERROR(INDEX(醫師週班表!$C$5:$T$44,$CU9,CE$57),""),2,1)="/",MID(IFERROR(INDEX(醫師週班表!$C$5:$T$44,$CU9,CE$57),""),1+CE$58*2,1),IF(MID(IFERROR(INDEX(醫師週班表!$C$5:$T$44,$CU9,CE$57),""),3,1)="隔",IF(CE$58=0,LEFT(IFERROR(INDEX(醫師週班表!$C$5:$T$44,$CU9,CE$57),""),1),""),IF(MID(IFERROR(INDEX(醫師週班表!$C$5:$T$44,$CU9,CE$57),""),2,1)="(",LEFT(IFERROR(INDEX(醫師週班表!$C$5:$T$44,$CU9,CE$57),""),1),IFERROR(INDEX(醫師週班表!$C$5:$T$44,$CU9,CE$57),"")))))))</f>
        <v/>
      </c>
      <c r="CF9" s="68">
        <f>IF(CF$59="X","",IF(CF$59&lt;&gt;"",CF$59,IF(IFERROR(INDEX(醫師週班表!$C$5:$T$44,$CU9,CF$57),"")=0,"",IF(MID(IFERROR(INDEX(醫師週班表!$C$5:$T$44,$CU9,CF$57),""),2,1)="/",MID(IFERROR(INDEX(醫師週班表!$C$5:$T$44,$CU9,CF$57),""),1+CF$58*2,1),IF(MID(IFERROR(INDEX(醫師週班表!$C$5:$T$44,$CU9,CF$57),""),3,1)="隔",IF(CF$58=0,LEFT(IFERROR(INDEX(醫師週班表!$C$5:$T$44,$CU9,CF$57),""),1),""),IF(MID(IFERROR(INDEX(醫師週班表!$C$5:$T$44,$CU9,CF$57),""),2,1)="(",LEFT(IFERROR(INDEX(醫師週班表!$C$5:$T$44,$CU9,CF$57),""),1),IFERROR(INDEX(醫師週班表!$C$5:$T$44,$CU9,CF$57),"")))))))</f>
        <v/>
      </c>
      <c r="CG9" s="68">
        <f>IF(CG$59="X","",IF(CG$59&lt;&gt;"",CG$59,IF(IFERROR(INDEX(醫師週班表!$C$5:$T$44,$CU9,CG$57),"")=0,"",IF(MID(IFERROR(INDEX(醫師週班表!$C$5:$T$44,$CU9,CG$57),""),2,1)="/",MID(IFERROR(INDEX(醫師週班表!$C$5:$T$44,$CU9,CG$57),""),1+CG$58*2,1),IF(MID(IFERROR(INDEX(醫師週班表!$C$5:$T$44,$CU9,CG$57),""),3,1)="隔",IF(CG$58=0,LEFT(IFERROR(INDEX(醫師週班表!$C$5:$T$44,$CU9,CG$57),""),1),""),IF(MID(IFERROR(INDEX(醫師週班表!$C$5:$T$44,$CU9,CG$57),""),2,1)="(",LEFT(IFERROR(INDEX(醫師週班表!$C$5:$T$44,$CU9,CG$57),""),1),IFERROR(INDEX(醫師週班表!$C$5:$T$44,$CU9,CG$57),"")))))))</f>
        <v/>
      </c>
      <c r="CH9" s="67">
        <f>IF(CH$59="X","",IF(CH$59&lt;&gt;"",CH$59,IF(IFERROR(INDEX(醫師週班表!$C$5:$T$44,$CU9,CH$57),"")=0,"",IF(MID(IFERROR(INDEX(醫師週班表!$C$5:$T$44,$CU9,CH$57),""),2,1)="/",MID(IFERROR(INDEX(醫師週班表!$C$5:$T$44,$CU9,CH$57),""),1+CH$58*2,1),IF(MID(IFERROR(INDEX(醫師週班表!$C$5:$T$44,$CU9,CH$57),""),3,1)="隔",IF(CH$58=0,LEFT(IFERROR(INDEX(醫師週班表!$C$5:$T$44,$CU9,CH$57),""),1),""),IF(MID(IFERROR(INDEX(醫師週班表!$C$5:$T$44,$CU9,CH$57),""),2,1)="(",LEFT(IFERROR(INDEX(醫師週班表!$C$5:$T$44,$CU9,CH$57),""),1),IFERROR(INDEX(醫師週班表!$C$5:$T$44,$CU9,CH$57),"")))))))</f>
        <v/>
      </c>
      <c r="CI9" s="68">
        <f>IF(CI$59="X","",IF(CI$59&lt;&gt;"",CI$59,IF(IFERROR(INDEX(醫師週班表!$C$5:$T$44,$CU9,CI$57),"")=0,"",IF(MID(IFERROR(INDEX(醫師週班表!$C$5:$T$44,$CU9,CI$57),""),2,1)="/",MID(IFERROR(INDEX(醫師週班表!$C$5:$T$44,$CU9,CI$57),""),1+CI$58*2,1),IF(MID(IFERROR(INDEX(醫師週班表!$C$5:$T$44,$CU9,CI$57),""),3,1)="隔",IF(CI$58=0,LEFT(IFERROR(INDEX(醫師週班表!$C$5:$T$44,$CU9,CI$57),""),1),""),IF(MID(IFERROR(INDEX(醫師週班表!$C$5:$T$44,$CU9,CI$57),""),2,1)="(",LEFT(IFERROR(INDEX(醫師週班表!$C$5:$T$44,$CU9,CI$57),""),1),IFERROR(INDEX(醫師週班表!$C$5:$T$44,$CU9,CI$57),"")))))))</f>
        <v/>
      </c>
      <c r="CJ9" s="68">
        <f>IF(CJ$59="X","",IF(CJ$59&lt;&gt;"",CJ$59,IF(IFERROR(INDEX(醫師週班表!$C$5:$T$44,$CU9,CJ$57),"")=0,"",IF(MID(IFERROR(INDEX(醫師週班表!$C$5:$T$44,$CU9,CJ$57),""),2,1)="/",MID(IFERROR(INDEX(醫師週班表!$C$5:$T$44,$CU9,CJ$57),""),1+CJ$58*2,1),IF(MID(IFERROR(INDEX(醫師週班表!$C$5:$T$44,$CU9,CJ$57),""),3,1)="隔",IF(CJ$58=0,LEFT(IFERROR(INDEX(醫師週班表!$C$5:$T$44,$CU9,CJ$57),""),1),""),IF(MID(IFERROR(INDEX(醫師週班表!$C$5:$T$44,$CU9,CJ$57),""),2,1)="(",LEFT(IFERROR(INDEX(醫師週班表!$C$5:$T$44,$CU9,CJ$57),""),1),IFERROR(INDEX(醫師週班表!$C$5:$T$44,$CU9,CJ$57),"")))))))</f>
        <v/>
      </c>
      <c r="CK9" s="67">
        <f>IF(CK$59="X","",IF(CK$59&lt;&gt;"",CK$59,IF(IFERROR(INDEX(醫師週班表!$C$5:$T$44,$CU9,CK$57),"")=0,"",IF(MID(IFERROR(INDEX(醫師週班表!$C$5:$T$44,$CU9,CK$57),""),2,1)="/",MID(IFERROR(INDEX(醫師週班表!$C$5:$T$44,$CU9,CK$57),""),1+CK$58*2,1),IF(MID(IFERROR(INDEX(醫師週班表!$C$5:$T$44,$CU9,CK$57),""),3,1)="隔",IF(CK$58=0,LEFT(IFERROR(INDEX(醫師週班表!$C$5:$T$44,$CU9,CK$57),""),1),""),IF(MID(IFERROR(INDEX(醫師週班表!$C$5:$T$44,$CU9,CK$57),""),2,1)="(",LEFT(IFERROR(INDEX(醫師週班表!$C$5:$T$44,$CU9,CK$57),""),1),IFERROR(INDEX(醫師週班表!$C$5:$T$44,$CU9,CK$57),"")))))))</f>
        <v/>
      </c>
      <c r="CL9" s="68">
        <f>IF(CL$59="X","",IF(CL$59&lt;&gt;"",CL$59,IF(IFERROR(INDEX(醫師週班表!$C$5:$T$44,$CU9,CL$57),"")=0,"",IF(MID(IFERROR(INDEX(醫師週班表!$C$5:$T$44,$CU9,CL$57),""),2,1)="/",MID(IFERROR(INDEX(醫師週班表!$C$5:$T$44,$CU9,CL$57),""),1+CL$58*2,1),IF(MID(IFERROR(INDEX(醫師週班表!$C$5:$T$44,$CU9,CL$57),""),3,1)="隔",IF(CL$58=0,LEFT(IFERROR(INDEX(醫師週班表!$C$5:$T$44,$CU9,CL$57),""),1),""),IF(MID(IFERROR(INDEX(醫師週班表!$C$5:$T$44,$CU9,CL$57),""),2,1)="(",LEFT(IFERROR(INDEX(醫師週班表!$C$5:$T$44,$CU9,CL$57),""),1),IFERROR(INDEX(醫師週班表!$C$5:$T$44,$CU9,CL$57),"")))))))</f>
        <v/>
      </c>
      <c r="CM9" s="68">
        <f>IF(CM$59="X","",IF(CM$59&lt;&gt;"",CM$59,IF(IFERROR(INDEX(醫師週班表!$C$5:$T$44,$CU9,CM$57),"")=0,"",IF(MID(IFERROR(INDEX(醫師週班表!$C$5:$T$44,$CU9,CM$57),""),2,1)="/",MID(IFERROR(INDEX(醫師週班表!$C$5:$T$44,$CU9,CM$57),""),1+CM$58*2,1),IF(MID(IFERROR(INDEX(醫師週班表!$C$5:$T$44,$CU9,CM$57),""),3,1)="隔",IF(CM$58=0,LEFT(IFERROR(INDEX(醫師週班表!$C$5:$T$44,$CU9,CM$57),""),1),""),IF(MID(IFERROR(INDEX(醫師週班表!$C$5:$T$44,$CU9,CM$57),""),2,1)="(",LEFT(IFERROR(INDEX(醫師週班表!$C$5:$T$44,$CU9,CM$57),""),1),IFERROR(INDEX(醫師週班表!$C$5:$T$44,$CU9,CM$57),"")))))))</f>
        <v/>
      </c>
      <c r="CN9" s="67">
        <f>IF(CN$59="X","",IF(CN$59&lt;&gt;"",CN$59,IF(IFERROR(INDEX(醫師週班表!$C$5:$T$44,$CU9,CN$57),"")=0,"",IF(MID(IFERROR(INDEX(醫師週班表!$C$5:$T$44,$CU9,CN$57),""),2,1)="/",MID(IFERROR(INDEX(醫師週班表!$C$5:$T$44,$CU9,CN$57),""),1+CN$58*2,1),IF(MID(IFERROR(INDEX(醫師週班表!$C$5:$T$44,$CU9,CN$57),""),3,1)="隔",IF(CN$58=0,LEFT(IFERROR(INDEX(醫師週班表!$C$5:$T$44,$CU9,CN$57),""),1),""),IF(MID(IFERROR(INDEX(醫師週班表!$C$5:$T$44,$CU9,CN$57),""),2,1)="(",LEFT(IFERROR(INDEX(醫師週班表!$C$5:$T$44,$CU9,CN$57),""),1),IFERROR(INDEX(醫師週班表!$C$5:$T$44,$CU9,CN$57),"")))))))</f>
        <v/>
      </c>
      <c r="CO9" s="68">
        <f>IF(CO$59="X","",IF(CO$59&lt;&gt;"",CO$59,IF(IFERROR(INDEX(醫師週班表!$C$5:$T$44,$CU9,CO$57),"")=0,"",IF(MID(IFERROR(INDEX(醫師週班表!$C$5:$T$44,$CU9,CO$57),""),2,1)="/",MID(IFERROR(INDEX(醫師週班表!$C$5:$T$44,$CU9,CO$57),""),1+CO$58*2,1),IF(MID(IFERROR(INDEX(醫師週班表!$C$5:$T$44,$CU9,CO$57),""),3,1)="隔",IF(CO$58=0,LEFT(IFERROR(INDEX(醫師週班表!$C$5:$T$44,$CU9,CO$57),""),1),""),IF(MID(IFERROR(INDEX(醫師週班表!$C$5:$T$44,$CU9,CO$57),""),2,1)="(",LEFT(IFERROR(INDEX(醫師週班表!$C$5:$T$44,$CU9,CO$57),""),1),IFERROR(INDEX(醫師週班表!$C$5:$T$44,$CU9,CO$57),"")))))))</f>
        <v/>
      </c>
      <c r="CP9" s="68">
        <f>IF(CP$59="X","",IF(CP$59&lt;&gt;"",CP$59,IF(IFERROR(INDEX(醫師週班表!$C$5:$T$44,$CU9,CP$57),"")=0,"",IF(MID(IFERROR(INDEX(醫師週班表!$C$5:$T$44,$CU9,CP$57),""),2,1)="/",MID(IFERROR(INDEX(醫師週班表!$C$5:$T$44,$CU9,CP$57),""),1+CP$58*2,1),IF(MID(IFERROR(INDEX(醫師週班表!$C$5:$T$44,$CU9,CP$57),""),3,1)="隔",IF(CP$58=0,LEFT(IFERROR(INDEX(醫師週班表!$C$5:$T$44,$CU9,CP$57),""),1),""),IF(MID(IFERROR(INDEX(醫師週班表!$C$5:$T$44,$CU9,CP$57),""),2,1)="(",LEFT(IFERROR(INDEX(醫師週班表!$C$5:$T$44,$CU9,CP$57),""),1),IFERROR(INDEX(醫師週班表!$C$5:$T$44,$CU9,CP$57),"")))))))</f>
        <v/>
      </c>
      <c r="CQ9" s="67">
        <f>IF(CQ$59="X","",IF(CQ$59&lt;&gt;"",CQ$59,IF(IFERROR(INDEX(醫師週班表!$C$5:$T$44,$CU9,CQ$57),"")=0,"",IF(MID(IFERROR(INDEX(醫師週班表!$C$5:$T$44,$CU9,CQ$57),""),2,1)="/",MID(IFERROR(INDEX(醫師週班表!$C$5:$T$44,$CU9,CQ$57),""),1+CQ$58*2,1),IF(MID(IFERROR(INDEX(醫師週班表!$C$5:$T$44,$CU9,CQ$57),""),3,1)="隔",IF(CQ$58=0,LEFT(IFERROR(INDEX(醫師週班表!$C$5:$T$44,$CU9,CQ$57),""),1),""),IF(MID(IFERROR(INDEX(醫師週班表!$C$5:$T$44,$CU9,CQ$57),""),2,1)="(",LEFT(IFERROR(INDEX(醫師週班表!$C$5:$T$44,$CU9,CQ$57),""),1),IFERROR(INDEX(醫師週班表!$C$5:$T$44,$CU9,CQ$57),"")))))))</f>
        <v/>
      </c>
      <c r="CR9" s="68">
        <f>IF(CR$59="X","",IF(CR$59&lt;&gt;"",CR$59,IF(IFERROR(INDEX(醫師週班表!$C$5:$T$44,$CU9,CR$57),"")=0,"",IF(MID(IFERROR(INDEX(醫師週班表!$C$5:$T$44,$CU9,CR$57),""),2,1)="/",MID(IFERROR(INDEX(醫師週班表!$C$5:$T$44,$CU9,CR$57),""),1+CR$58*2,1),IF(MID(IFERROR(INDEX(醫師週班表!$C$5:$T$44,$CU9,CR$57),""),3,1)="隔",IF(CR$58=0,LEFT(IFERROR(INDEX(醫師週班表!$C$5:$T$44,$CU9,CR$57),""),1),""),IF(MID(IFERROR(INDEX(醫師週班表!$C$5:$T$44,$CU9,CR$57),""),2,1)="(",LEFT(IFERROR(INDEX(醫師週班表!$C$5:$T$44,$CU9,CR$57),""),1),IFERROR(INDEX(醫師週班表!$C$5:$T$44,$CU9,CR$57),"")))))))</f>
        <v/>
      </c>
      <c r="CS9" s="68">
        <f>IF(CS$59="X","",IF(CS$59&lt;&gt;"",CS$59,IF(IFERROR(INDEX(醫師週班表!$C$5:$T$44,$CU9,CS$57),"")=0,"",IF(MID(IFERROR(INDEX(醫師週班表!$C$5:$T$44,$CU9,CS$57),""),2,1)="/",MID(IFERROR(INDEX(醫師週班表!$C$5:$T$44,$CU9,CS$57),""),1+CS$58*2,1),IF(MID(IFERROR(INDEX(醫師週班表!$C$5:$T$44,$CU9,CS$57),""),3,1)="隔",IF(CS$58=0,LEFT(IFERROR(INDEX(醫師週班表!$C$5:$T$44,$CU9,CS$57),""),1),""),IF(MID(IFERROR(INDEX(醫師週班表!$C$5:$T$44,$CU9,CS$57),""),2,1)="(",LEFT(IFERROR(INDEX(醫師週班表!$C$5:$T$44,$CU9,CS$57),""),1),IFERROR(INDEX(醫師週班表!$C$5:$T$44,$CU9,CS$57),"")))))))</f>
        <v/>
      </c>
      <c r="CU9" s="69">
        <f>IFERROR(MATCH($A9,醫師週班表!$A$5:$A$44,0),0)</f>
        <v/>
      </c>
    </row>
    <row r="10" ht="17" customHeight="1">
      <c r="A10" s="20" t="inlineStr">
        <is>
          <t>D005</t>
        </is>
      </c>
      <c r="B10" s="16" t="inlineStr">
        <is>
          <t>陳志僑</t>
        </is>
      </c>
      <c r="C10" s="66" t="inlineStr">
        <is>
          <t>口外專科</t>
        </is>
      </c>
      <c r="D10" s="16" t="inlineStr"/>
      <c r="E10" s="67">
        <f>IF(E$59="X","",IF(E$59&lt;&gt;"",E$59,IF(IFERROR(INDEX(醫師週班表!$C$5:$T$44,$CU10,E$57),"")=0,"",IF(MID(IFERROR(INDEX(醫師週班表!$C$5:$T$44,$CU10,E$57),""),2,1)="/",MID(IFERROR(INDEX(醫師週班表!$C$5:$T$44,$CU10,E$57),""),1+E$58*2,1),IF(MID(IFERROR(INDEX(醫師週班表!$C$5:$T$44,$CU10,E$57),""),3,1)="隔",IF(E$58=0,LEFT(IFERROR(INDEX(醫師週班表!$C$5:$T$44,$CU10,E$57),""),1),""),IF(MID(IFERROR(INDEX(醫師週班表!$C$5:$T$44,$CU10,E$57),""),2,1)="(",LEFT(IFERROR(INDEX(醫師週班表!$C$5:$T$44,$CU10,E$57),""),1),IFERROR(INDEX(醫師週班表!$C$5:$T$44,$CU10,E$57),"")))))))</f>
        <v/>
      </c>
      <c r="F10" s="68">
        <f>IF(F$59="X","",IF(F$59&lt;&gt;"",F$59,IF(IFERROR(INDEX(醫師週班表!$C$5:$T$44,$CU10,F$57),"")=0,"",IF(MID(IFERROR(INDEX(醫師週班表!$C$5:$T$44,$CU10,F$57),""),2,1)="/",MID(IFERROR(INDEX(醫師週班表!$C$5:$T$44,$CU10,F$57),""),1+F$58*2,1),IF(MID(IFERROR(INDEX(醫師週班表!$C$5:$T$44,$CU10,F$57),""),3,1)="隔",IF(F$58=0,LEFT(IFERROR(INDEX(醫師週班表!$C$5:$T$44,$CU10,F$57),""),1),""),IF(MID(IFERROR(INDEX(醫師週班表!$C$5:$T$44,$CU10,F$57),""),2,1)="(",LEFT(IFERROR(INDEX(醫師週班表!$C$5:$T$44,$CU10,F$57),""),1),IFERROR(INDEX(醫師週班表!$C$5:$T$44,$CU10,F$57),"")))))))</f>
        <v/>
      </c>
      <c r="G10" s="68">
        <f>IF(G$59="X","",IF(G$59&lt;&gt;"",G$59,IF(IFERROR(INDEX(醫師週班表!$C$5:$T$44,$CU10,G$57),"")=0,"",IF(MID(IFERROR(INDEX(醫師週班表!$C$5:$T$44,$CU10,G$57),""),2,1)="/",MID(IFERROR(INDEX(醫師週班表!$C$5:$T$44,$CU10,G$57),""),1+G$58*2,1),IF(MID(IFERROR(INDEX(醫師週班表!$C$5:$T$44,$CU10,G$57),""),3,1)="隔",IF(G$58=0,LEFT(IFERROR(INDEX(醫師週班表!$C$5:$T$44,$CU10,G$57),""),1),""),IF(MID(IFERROR(INDEX(醫師週班表!$C$5:$T$44,$CU10,G$57),""),2,1)="(",LEFT(IFERROR(INDEX(醫師週班表!$C$5:$T$44,$CU10,G$57),""),1),IFERROR(INDEX(醫師週班表!$C$5:$T$44,$CU10,G$57),"")))))))</f>
        <v/>
      </c>
      <c r="H10" s="67">
        <f>IF(H$59="X","",IF(H$59&lt;&gt;"",H$59,IF(IFERROR(INDEX(醫師週班表!$C$5:$T$44,$CU10,H$57),"")=0,"",IF(MID(IFERROR(INDEX(醫師週班表!$C$5:$T$44,$CU10,H$57),""),2,1)="/",MID(IFERROR(INDEX(醫師週班表!$C$5:$T$44,$CU10,H$57),""),1+H$58*2,1),IF(MID(IFERROR(INDEX(醫師週班表!$C$5:$T$44,$CU10,H$57),""),3,1)="隔",IF(H$58=0,LEFT(IFERROR(INDEX(醫師週班表!$C$5:$T$44,$CU10,H$57),""),1),""),IF(MID(IFERROR(INDEX(醫師週班表!$C$5:$T$44,$CU10,H$57),""),2,1)="(",LEFT(IFERROR(INDEX(醫師週班表!$C$5:$T$44,$CU10,H$57),""),1),IFERROR(INDEX(醫師週班表!$C$5:$T$44,$CU10,H$57),"")))))))</f>
        <v/>
      </c>
      <c r="I10" s="68">
        <f>IF(I$59="X","",IF(I$59&lt;&gt;"",I$59,IF(IFERROR(INDEX(醫師週班表!$C$5:$T$44,$CU10,I$57),"")=0,"",IF(MID(IFERROR(INDEX(醫師週班表!$C$5:$T$44,$CU10,I$57),""),2,1)="/",MID(IFERROR(INDEX(醫師週班表!$C$5:$T$44,$CU10,I$57),""),1+I$58*2,1),IF(MID(IFERROR(INDEX(醫師週班表!$C$5:$T$44,$CU10,I$57),""),3,1)="隔",IF(I$58=0,LEFT(IFERROR(INDEX(醫師週班表!$C$5:$T$44,$CU10,I$57),""),1),""),IF(MID(IFERROR(INDEX(醫師週班表!$C$5:$T$44,$CU10,I$57),""),2,1)="(",LEFT(IFERROR(INDEX(醫師週班表!$C$5:$T$44,$CU10,I$57),""),1),IFERROR(INDEX(醫師週班表!$C$5:$T$44,$CU10,I$57),"")))))))</f>
        <v/>
      </c>
      <c r="J10" s="68">
        <f>IF(J$59="X","",IF(J$59&lt;&gt;"",J$59,IF(IFERROR(INDEX(醫師週班表!$C$5:$T$44,$CU10,J$57),"")=0,"",IF(MID(IFERROR(INDEX(醫師週班表!$C$5:$T$44,$CU10,J$57),""),2,1)="/",MID(IFERROR(INDEX(醫師週班表!$C$5:$T$44,$CU10,J$57),""),1+J$58*2,1),IF(MID(IFERROR(INDEX(醫師週班表!$C$5:$T$44,$CU10,J$57),""),3,1)="隔",IF(J$58=0,LEFT(IFERROR(INDEX(醫師週班表!$C$5:$T$44,$CU10,J$57),""),1),""),IF(MID(IFERROR(INDEX(醫師週班表!$C$5:$T$44,$CU10,J$57),""),2,1)="(",LEFT(IFERROR(INDEX(醫師週班表!$C$5:$T$44,$CU10,J$57),""),1),IFERROR(INDEX(醫師週班表!$C$5:$T$44,$CU10,J$57),"")))))))</f>
        <v/>
      </c>
      <c r="K10" s="67">
        <f>IF(K$59="X","",IF(K$59&lt;&gt;"",K$59,IF(IFERROR(INDEX(醫師週班表!$C$5:$T$44,$CU10,K$57),"")=0,"",IF(MID(IFERROR(INDEX(醫師週班表!$C$5:$T$44,$CU10,K$57),""),2,1)="/",MID(IFERROR(INDEX(醫師週班表!$C$5:$T$44,$CU10,K$57),""),1+K$58*2,1),IF(MID(IFERROR(INDEX(醫師週班表!$C$5:$T$44,$CU10,K$57),""),3,1)="隔",IF(K$58=0,LEFT(IFERROR(INDEX(醫師週班表!$C$5:$T$44,$CU10,K$57),""),1),""),IF(MID(IFERROR(INDEX(醫師週班表!$C$5:$T$44,$CU10,K$57),""),2,1)="(",LEFT(IFERROR(INDEX(醫師週班表!$C$5:$T$44,$CU10,K$57),""),1),IFERROR(INDEX(醫師週班表!$C$5:$T$44,$CU10,K$57),"")))))))</f>
        <v/>
      </c>
      <c r="L10" s="68">
        <f>IF(L$59="X","",IF(L$59&lt;&gt;"",L$59,IF(IFERROR(INDEX(醫師週班表!$C$5:$T$44,$CU10,L$57),"")=0,"",IF(MID(IFERROR(INDEX(醫師週班表!$C$5:$T$44,$CU10,L$57),""),2,1)="/",MID(IFERROR(INDEX(醫師週班表!$C$5:$T$44,$CU10,L$57),""),1+L$58*2,1),IF(MID(IFERROR(INDEX(醫師週班表!$C$5:$T$44,$CU10,L$57),""),3,1)="隔",IF(L$58=0,LEFT(IFERROR(INDEX(醫師週班表!$C$5:$T$44,$CU10,L$57),""),1),""),IF(MID(IFERROR(INDEX(醫師週班表!$C$5:$T$44,$CU10,L$57),""),2,1)="(",LEFT(IFERROR(INDEX(醫師週班表!$C$5:$T$44,$CU10,L$57),""),1),IFERROR(INDEX(醫師週班表!$C$5:$T$44,$CU10,L$57),"")))))))</f>
        <v/>
      </c>
      <c r="M10" s="68">
        <f>IF(M$59="X","",IF(M$59&lt;&gt;"",M$59,IF(IFERROR(INDEX(醫師週班表!$C$5:$T$44,$CU10,M$57),"")=0,"",IF(MID(IFERROR(INDEX(醫師週班表!$C$5:$T$44,$CU10,M$57),""),2,1)="/",MID(IFERROR(INDEX(醫師週班表!$C$5:$T$44,$CU10,M$57),""),1+M$58*2,1),IF(MID(IFERROR(INDEX(醫師週班表!$C$5:$T$44,$CU10,M$57),""),3,1)="隔",IF(M$58=0,LEFT(IFERROR(INDEX(醫師週班表!$C$5:$T$44,$CU10,M$57),""),1),""),IF(MID(IFERROR(INDEX(醫師週班表!$C$5:$T$44,$CU10,M$57),""),2,1)="(",LEFT(IFERROR(INDEX(醫師週班表!$C$5:$T$44,$CU10,M$57),""),1),IFERROR(INDEX(醫師週班表!$C$5:$T$44,$CU10,M$57),"")))))))</f>
        <v/>
      </c>
      <c r="N10" s="67">
        <f>IF(N$59="X","",IF(N$59&lt;&gt;"",N$59,IF(IFERROR(INDEX(醫師週班表!$C$5:$T$44,$CU10,N$57),"")=0,"",IF(MID(IFERROR(INDEX(醫師週班表!$C$5:$T$44,$CU10,N$57),""),2,1)="/",MID(IFERROR(INDEX(醫師週班表!$C$5:$T$44,$CU10,N$57),""),1+N$58*2,1),IF(MID(IFERROR(INDEX(醫師週班表!$C$5:$T$44,$CU10,N$57),""),3,1)="隔",IF(N$58=0,LEFT(IFERROR(INDEX(醫師週班表!$C$5:$T$44,$CU10,N$57),""),1),""),IF(MID(IFERROR(INDEX(醫師週班表!$C$5:$T$44,$CU10,N$57),""),2,1)="(",LEFT(IFERROR(INDEX(醫師週班表!$C$5:$T$44,$CU10,N$57),""),1),IFERROR(INDEX(醫師週班表!$C$5:$T$44,$CU10,N$57),"")))))))</f>
        <v/>
      </c>
      <c r="O10" s="68">
        <f>IF(O$59="X","",IF(O$59&lt;&gt;"",O$59,IF(IFERROR(INDEX(醫師週班表!$C$5:$T$44,$CU10,O$57),"")=0,"",IF(MID(IFERROR(INDEX(醫師週班表!$C$5:$T$44,$CU10,O$57),""),2,1)="/",MID(IFERROR(INDEX(醫師週班表!$C$5:$T$44,$CU10,O$57),""),1+O$58*2,1),IF(MID(IFERROR(INDEX(醫師週班表!$C$5:$T$44,$CU10,O$57),""),3,1)="隔",IF(O$58=0,LEFT(IFERROR(INDEX(醫師週班表!$C$5:$T$44,$CU10,O$57),""),1),""),IF(MID(IFERROR(INDEX(醫師週班表!$C$5:$T$44,$CU10,O$57),""),2,1)="(",LEFT(IFERROR(INDEX(醫師週班表!$C$5:$T$44,$CU10,O$57),""),1),IFERROR(INDEX(醫師週班表!$C$5:$T$44,$CU10,O$57),"")))))))</f>
        <v/>
      </c>
      <c r="P10" s="68">
        <f>IF(P$59="X","",IF(P$59&lt;&gt;"",P$59,IF(IFERROR(INDEX(醫師週班表!$C$5:$T$44,$CU10,P$57),"")=0,"",IF(MID(IFERROR(INDEX(醫師週班表!$C$5:$T$44,$CU10,P$57),""),2,1)="/",MID(IFERROR(INDEX(醫師週班表!$C$5:$T$44,$CU10,P$57),""),1+P$58*2,1),IF(MID(IFERROR(INDEX(醫師週班表!$C$5:$T$44,$CU10,P$57),""),3,1)="隔",IF(P$58=0,LEFT(IFERROR(INDEX(醫師週班表!$C$5:$T$44,$CU10,P$57),""),1),""),IF(MID(IFERROR(INDEX(醫師週班表!$C$5:$T$44,$CU10,P$57),""),2,1)="(",LEFT(IFERROR(INDEX(醫師週班表!$C$5:$T$44,$CU10,P$57),""),1),IFERROR(INDEX(醫師週班表!$C$5:$T$44,$CU10,P$57),"")))))))</f>
        <v/>
      </c>
      <c r="Q10" s="67">
        <f>IF(Q$59="X","",IF(Q$59&lt;&gt;"",Q$59,IF(IFERROR(INDEX(醫師週班表!$C$5:$T$44,$CU10,Q$57),"")=0,"",IF(MID(IFERROR(INDEX(醫師週班表!$C$5:$T$44,$CU10,Q$57),""),2,1)="/",MID(IFERROR(INDEX(醫師週班表!$C$5:$T$44,$CU10,Q$57),""),1+Q$58*2,1),IF(MID(IFERROR(INDEX(醫師週班表!$C$5:$T$44,$CU10,Q$57),""),3,1)="隔",IF(Q$58=0,LEFT(IFERROR(INDEX(醫師週班表!$C$5:$T$44,$CU10,Q$57),""),1),""),IF(MID(IFERROR(INDEX(醫師週班表!$C$5:$T$44,$CU10,Q$57),""),2,1)="(",LEFT(IFERROR(INDEX(醫師週班表!$C$5:$T$44,$CU10,Q$57),""),1),IFERROR(INDEX(醫師週班表!$C$5:$T$44,$CU10,Q$57),"")))))))</f>
        <v/>
      </c>
      <c r="R10" s="68">
        <f>IF(R$59="X","",IF(R$59&lt;&gt;"",R$59,IF(IFERROR(INDEX(醫師週班表!$C$5:$T$44,$CU10,R$57),"")=0,"",IF(MID(IFERROR(INDEX(醫師週班表!$C$5:$T$44,$CU10,R$57),""),2,1)="/",MID(IFERROR(INDEX(醫師週班表!$C$5:$T$44,$CU10,R$57),""),1+R$58*2,1),IF(MID(IFERROR(INDEX(醫師週班表!$C$5:$T$44,$CU10,R$57),""),3,1)="隔",IF(R$58=0,LEFT(IFERROR(INDEX(醫師週班表!$C$5:$T$44,$CU10,R$57),""),1),""),IF(MID(IFERROR(INDEX(醫師週班表!$C$5:$T$44,$CU10,R$57),""),2,1)="(",LEFT(IFERROR(INDEX(醫師週班表!$C$5:$T$44,$CU10,R$57),""),1),IFERROR(INDEX(醫師週班表!$C$5:$T$44,$CU10,R$57),"")))))))</f>
        <v/>
      </c>
      <c r="S10" s="68">
        <f>IF(S$59="X","",IF(S$59&lt;&gt;"",S$59,IF(IFERROR(INDEX(醫師週班表!$C$5:$T$44,$CU10,S$57),"")=0,"",IF(MID(IFERROR(INDEX(醫師週班表!$C$5:$T$44,$CU10,S$57),""),2,1)="/",MID(IFERROR(INDEX(醫師週班表!$C$5:$T$44,$CU10,S$57),""),1+S$58*2,1),IF(MID(IFERROR(INDEX(醫師週班表!$C$5:$T$44,$CU10,S$57),""),3,1)="隔",IF(S$58=0,LEFT(IFERROR(INDEX(醫師週班表!$C$5:$T$44,$CU10,S$57),""),1),""),IF(MID(IFERROR(INDEX(醫師週班表!$C$5:$T$44,$CU10,S$57),""),2,1)="(",LEFT(IFERROR(INDEX(醫師週班表!$C$5:$T$44,$CU10,S$57),""),1),IFERROR(INDEX(醫師週班表!$C$5:$T$44,$CU10,S$57),"")))))))</f>
        <v/>
      </c>
      <c r="T10" s="67">
        <f>IF(T$59="X","",IF(T$59&lt;&gt;"",T$59,IF(IFERROR(INDEX(醫師週班表!$C$5:$T$44,$CU10,T$57),"")=0,"",IF(MID(IFERROR(INDEX(醫師週班表!$C$5:$T$44,$CU10,T$57),""),2,1)="/",MID(IFERROR(INDEX(醫師週班表!$C$5:$T$44,$CU10,T$57),""),1+T$58*2,1),IF(MID(IFERROR(INDEX(醫師週班表!$C$5:$T$44,$CU10,T$57),""),3,1)="隔",IF(T$58=0,LEFT(IFERROR(INDEX(醫師週班表!$C$5:$T$44,$CU10,T$57),""),1),""),IF(MID(IFERROR(INDEX(醫師週班表!$C$5:$T$44,$CU10,T$57),""),2,1)="(",LEFT(IFERROR(INDEX(醫師週班表!$C$5:$T$44,$CU10,T$57),""),1),IFERROR(INDEX(醫師週班表!$C$5:$T$44,$CU10,T$57),"")))))))</f>
        <v/>
      </c>
      <c r="U10" s="68">
        <f>IF(U$59="X","",IF(U$59&lt;&gt;"",U$59,IF(IFERROR(INDEX(醫師週班表!$C$5:$T$44,$CU10,U$57),"")=0,"",IF(MID(IFERROR(INDEX(醫師週班表!$C$5:$T$44,$CU10,U$57),""),2,1)="/",MID(IFERROR(INDEX(醫師週班表!$C$5:$T$44,$CU10,U$57),""),1+U$58*2,1),IF(MID(IFERROR(INDEX(醫師週班表!$C$5:$T$44,$CU10,U$57),""),3,1)="隔",IF(U$58=0,LEFT(IFERROR(INDEX(醫師週班表!$C$5:$T$44,$CU10,U$57),""),1),""),IF(MID(IFERROR(INDEX(醫師週班表!$C$5:$T$44,$CU10,U$57),""),2,1)="(",LEFT(IFERROR(INDEX(醫師週班表!$C$5:$T$44,$CU10,U$57),""),1),IFERROR(INDEX(醫師週班表!$C$5:$T$44,$CU10,U$57),"")))))))</f>
        <v/>
      </c>
      <c r="V10" s="68">
        <f>IF(V$59="X","",IF(V$59&lt;&gt;"",V$59,IF(IFERROR(INDEX(醫師週班表!$C$5:$T$44,$CU10,V$57),"")=0,"",IF(MID(IFERROR(INDEX(醫師週班表!$C$5:$T$44,$CU10,V$57),""),2,1)="/",MID(IFERROR(INDEX(醫師週班表!$C$5:$T$44,$CU10,V$57),""),1+V$58*2,1),IF(MID(IFERROR(INDEX(醫師週班表!$C$5:$T$44,$CU10,V$57),""),3,1)="隔",IF(V$58=0,LEFT(IFERROR(INDEX(醫師週班表!$C$5:$T$44,$CU10,V$57),""),1),""),IF(MID(IFERROR(INDEX(醫師週班表!$C$5:$T$44,$CU10,V$57),""),2,1)="(",LEFT(IFERROR(INDEX(醫師週班表!$C$5:$T$44,$CU10,V$57),""),1),IFERROR(INDEX(醫師週班表!$C$5:$T$44,$CU10,V$57),"")))))))</f>
        <v/>
      </c>
      <c r="W10" s="67">
        <f>IF(W$59="X","",IF(W$59&lt;&gt;"",W$59,IF(IFERROR(INDEX(醫師週班表!$C$5:$T$44,$CU10,W$57),"")=0,"",IF(MID(IFERROR(INDEX(醫師週班表!$C$5:$T$44,$CU10,W$57),""),2,1)="/",MID(IFERROR(INDEX(醫師週班表!$C$5:$T$44,$CU10,W$57),""),1+W$58*2,1),IF(MID(IFERROR(INDEX(醫師週班表!$C$5:$T$44,$CU10,W$57),""),3,1)="隔",IF(W$58=0,LEFT(IFERROR(INDEX(醫師週班表!$C$5:$T$44,$CU10,W$57),""),1),""),IF(MID(IFERROR(INDEX(醫師週班表!$C$5:$T$44,$CU10,W$57),""),2,1)="(",LEFT(IFERROR(INDEX(醫師週班表!$C$5:$T$44,$CU10,W$57),""),1),IFERROR(INDEX(醫師週班表!$C$5:$T$44,$CU10,W$57),"")))))))</f>
        <v/>
      </c>
      <c r="X10" s="68">
        <f>IF(X$59="X","",IF(X$59&lt;&gt;"",X$59,IF(IFERROR(INDEX(醫師週班表!$C$5:$T$44,$CU10,X$57),"")=0,"",IF(MID(IFERROR(INDEX(醫師週班表!$C$5:$T$44,$CU10,X$57),""),2,1)="/",MID(IFERROR(INDEX(醫師週班表!$C$5:$T$44,$CU10,X$57),""),1+X$58*2,1),IF(MID(IFERROR(INDEX(醫師週班表!$C$5:$T$44,$CU10,X$57),""),3,1)="隔",IF(X$58=0,LEFT(IFERROR(INDEX(醫師週班表!$C$5:$T$44,$CU10,X$57),""),1),""),IF(MID(IFERROR(INDEX(醫師週班表!$C$5:$T$44,$CU10,X$57),""),2,1)="(",LEFT(IFERROR(INDEX(醫師週班表!$C$5:$T$44,$CU10,X$57),""),1),IFERROR(INDEX(醫師週班表!$C$5:$T$44,$CU10,X$57),"")))))))</f>
        <v/>
      </c>
      <c r="Y10" s="68">
        <f>IF(Y$59="X","",IF(Y$59&lt;&gt;"",Y$59,IF(IFERROR(INDEX(醫師週班表!$C$5:$T$44,$CU10,Y$57),"")=0,"",IF(MID(IFERROR(INDEX(醫師週班表!$C$5:$T$44,$CU10,Y$57),""),2,1)="/",MID(IFERROR(INDEX(醫師週班表!$C$5:$T$44,$CU10,Y$57),""),1+Y$58*2,1),IF(MID(IFERROR(INDEX(醫師週班表!$C$5:$T$44,$CU10,Y$57),""),3,1)="隔",IF(Y$58=0,LEFT(IFERROR(INDEX(醫師週班表!$C$5:$T$44,$CU10,Y$57),""),1),""),IF(MID(IFERROR(INDEX(醫師週班表!$C$5:$T$44,$CU10,Y$57),""),2,1)="(",LEFT(IFERROR(INDEX(醫師週班表!$C$5:$T$44,$CU10,Y$57),""),1),IFERROR(INDEX(醫師週班表!$C$5:$T$44,$CU10,Y$57),"")))))))</f>
        <v/>
      </c>
      <c r="Z10" s="67">
        <f>IF(Z$59="X","",IF(Z$59&lt;&gt;"",Z$59,IF(IFERROR(INDEX(醫師週班表!$C$5:$T$44,$CU10,Z$57),"")=0,"",IF(MID(IFERROR(INDEX(醫師週班表!$C$5:$T$44,$CU10,Z$57),""),2,1)="/",MID(IFERROR(INDEX(醫師週班表!$C$5:$T$44,$CU10,Z$57),""),1+Z$58*2,1),IF(MID(IFERROR(INDEX(醫師週班表!$C$5:$T$44,$CU10,Z$57),""),3,1)="隔",IF(Z$58=0,LEFT(IFERROR(INDEX(醫師週班表!$C$5:$T$44,$CU10,Z$57),""),1),""),IF(MID(IFERROR(INDEX(醫師週班表!$C$5:$T$44,$CU10,Z$57),""),2,1)="(",LEFT(IFERROR(INDEX(醫師週班表!$C$5:$T$44,$CU10,Z$57),""),1),IFERROR(INDEX(醫師週班表!$C$5:$T$44,$CU10,Z$57),"")))))))</f>
        <v/>
      </c>
      <c r="AA10" s="68">
        <f>IF(AA$59="X","",IF(AA$59&lt;&gt;"",AA$59,IF(IFERROR(INDEX(醫師週班表!$C$5:$T$44,$CU10,AA$57),"")=0,"",IF(MID(IFERROR(INDEX(醫師週班表!$C$5:$T$44,$CU10,AA$57),""),2,1)="/",MID(IFERROR(INDEX(醫師週班表!$C$5:$T$44,$CU10,AA$57),""),1+AA$58*2,1),IF(MID(IFERROR(INDEX(醫師週班表!$C$5:$T$44,$CU10,AA$57),""),3,1)="隔",IF(AA$58=0,LEFT(IFERROR(INDEX(醫師週班表!$C$5:$T$44,$CU10,AA$57),""),1),""),IF(MID(IFERROR(INDEX(醫師週班表!$C$5:$T$44,$CU10,AA$57),""),2,1)="(",LEFT(IFERROR(INDEX(醫師週班表!$C$5:$T$44,$CU10,AA$57),""),1),IFERROR(INDEX(醫師週班表!$C$5:$T$44,$CU10,AA$57),"")))))))</f>
        <v/>
      </c>
      <c r="AB10" s="68">
        <f>IF(AB$59="X","",IF(AB$59&lt;&gt;"",AB$59,IF(IFERROR(INDEX(醫師週班表!$C$5:$T$44,$CU10,AB$57),"")=0,"",IF(MID(IFERROR(INDEX(醫師週班表!$C$5:$T$44,$CU10,AB$57),""),2,1)="/",MID(IFERROR(INDEX(醫師週班表!$C$5:$T$44,$CU10,AB$57),""),1+AB$58*2,1),IF(MID(IFERROR(INDEX(醫師週班表!$C$5:$T$44,$CU10,AB$57),""),3,1)="隔",IF(AB$58=0,LEFT(IFERROR(INDEX(醫師週班表!$C$5:$T$44,$CU10,AB$57),""),1),""),IF(MID(IFERROR(INDEX(醫師週班表!$C$5:$T$44,$CU10,AB$57),""),2,1)="(",LEFT(IFERROR(INDEX(醫師週班表!$C$5:$T$44,$CU10,AB$57),""),1),IFERROR(INDEX(醫師週班表!$C$5:$T$44,$CU10,AB$57),"")))))))</f>
        <v/>
      </c>
      <c r="AC10" s="67">
        <f>IF(AC$59="X","",IF(AC$59&lt;&gt;"",AC$59,IF(IFERROR(INDEX(醫師週班表!$C$5:$T$44,$CU10,AC$57),"")=0,"",IF(MID(IFERROR(INDEX(醫師週班表!$C$5:$T$44,$CU10,AC$57),""),2,1)="/",MID(IFERROR(INDEX(醫師週班表!$C$5:$T$44,$CU10,AC$57),""),1+AC$58*2,1),IF(MID(IFERROR(INDEX(醫師週班表!$C$5:$T$44,$CU10,AC$57),""),3,1)="隔",IF(AC$58=0,LEFT(IFERROR(INDEX(醫師週班表!$C$5:$T$44,$CU10,AC$57),""),1),""),IF(MID(IFERROR(INDEX(醫師週班表!$C$5:$T$44,$CU10,AC$57),""),2,1)="(",LEFT(IFERROR(INDEX(醫師週班表!$C$5:$T$44,$CU10,AC$57),""),1),IFERROR(INDEX(醫師週班表!$C$5:$T$44,$CU10,AC$57),"")))))))</f>
        <v/>
      </c>
      <c r="AD10" s="68">
        <f>IF(AD$59="X","",IF(AD$59&lt;&gt;"",AD$59,IF(IFERROR(INDEX(醫師週班表!$C$5:$T$44,$CU10,AD$57),"")=0,"",IF(MID(IFERROR(INDEX(醫師週班表!$C$5:$T$44,$CU10,AD$57),""),2,1)="/",MID(IFERROR(INDEX(醫師週班表!$C$5:$T$44,$CU10,AD$57),""),1+AD$58*2,1),IF(MID(IFERROR(INDEX(醫師週班表!$C$5:$T$44,$CU10,AD$57),""),3,1)="隔",IF(AD$58=0,LEFT(IFERROR(INDEX(醫師週班表!$C$5:$T$44,$CU10,AD$57),""),1),""),IF(MID(IFERROR(INDEX(醫師週班表!$C$5:$T$44,$CU10,AD$57),""),2,1)="(",LEFT(IFERROR(INDEX(醫師週班表!$C$5:$T$44,$CU10,AD$57),""),1),IFERROR(INDEX(醫師週班表!$C$5:$T$44,$CU10,AD$57),"")))))))</f>
        <v/>
      </c>
      <c r="AE10" s="68">
        <f>IF(AE$59="X","",IF(AE$59&lt;&gt;"",AE$59,IF(IFERROR(INDEX(醫師週班表!$C$5:$T$44,$CU10,AE$57),"")=0,"",IF(MID(IFERROR(INDEX(醫師週班表!$C$5:$T$44,$CU10,AE$57),""),2,1)="/",MID(IFERROR(INDEX(醫師週班表!$C$5:$T$44,$CU10,AE$57),""),1+AE$58*2,1),IF(MID(IFERROR(INDEX(醫師週班表!$C$5:$T$44,$CU10,AE$57),""),3,1)="隔",IF(AE$58=0,LEFT(IFERROR(INDEX(醫師週班表!$C$5:$T$44,$CU10,AE$57),""),1),""),IF(MID(IFERROR(INDEX(醫師週班表!$C$5:$T$44,$CU10,AE$57),""),2,1)="(",LEFT(IFERROR(INDEX(醫師週班表!$C$5:$T$44,$CU10,AE$57),""),1),IFERROR(INDEX(醫師週班表!$C$5:$T$44,$CU10,AE$57),"")))))))</f>
        <v/>
      </c>
      <c r="AF10" s="67">
        <f>IF(AF$59="X","",IF(AF$59&lt;&gt;"",AF$59,IF(IFERROR(INDEX(醫師週班表!$C$5:$T$44,$CU10,AF$57),"")=0,"",IF(MID(IFERROR(INDEX(醫師週班表!$C$5:$T$44,$CU10,AF$57),""),2,1)="/",MID(IFERROR(INDEX(醫師週班表!$C$5:$T$44,$CU10,AF$57),""),1+AF$58*2,1),IF(MID(IFERROR(INDEX(醫師週班表!$C$5:$T$44,$CU10,AF$57),""),3,1)="隔",IF(AF$58=0,LEFT(IFERROR(INDEX(醫師週班表!$C$5:$T$44,$CU10,AF$57),""),1),""),IF(MID(IFERROR(INDEX(醫師週班表!$C$5:$T$44,$CU10,AF$57),""),2,1)="(",LEFT(IFERROR(INDEX(醫師週班表!$C$5:$T$44,$CU10,AF$57),""),1),IFERROR(INDEX(醫師週班表!$C$5:$T$44,$CU10,AF$57),"")))))))</f>
        <v/>
      </c>
      <c r="AG10" s="68">
        <f>IF(AG$59="X","",IF(AG$59&lt;&gt;"",AG$59,IF(IFERROR(INDEX(醫師週班表!$C$5:$T$44,$CU10,AG$57),"")=0,"",IF(MID(IFERROR(INDEX(醫師週班表!$C$5:$T$44,$CU10,AG$57),""),2,1)="/",MID(IFERROR(INDEX(醫師週班表!$C$5:$T$44,$CU10,AG$57),""),1+AG$58*2,1),IF(MID(IFERROR(INDEX(醫師週班表!$C$5:$T$44,$CU10,AG$57),""),3,1)="隔",IF(AG$58=0,LEFT(IFERROR(INDEX(醫師週班表!$C$5:$T$44,$CU10,AG$57),""),1),""),IF(MID(IFERROR(INDEX(醫師週班表!$C$5:$T$44,$CU10,AG$57),""),2,1)="(",LEFT(IFERROR(INDEX(醫師週班表!$C$5:$T$44,$CU10,AG$57),""),1),IFERROR(INDEX(醫師週班表!$C$5:$T$44,$CU10,AG$57),"")))))))</f>
        <v/>
      </c>
      <c r="AH10" s="68">
        <f>IF(AH$59="X","",IF(AH$59&lt;&gt;"",AH$59,IF(IFERROR(INDEX(醫師週班表!$C$5:$T$44,$CU10,AH$57),"")=0,"",IF(MID(IFERROR(INDEX(醫師週班表!$C$5:$T$44,$CU10,AH$57),""),2,1)="/",MID(IFERROR(INDEX(醫師週班表!$C$5:$T$44,$CU10,AH$57),""),1+AH$58*2,1),IF(MID(IFERROR(INDEX(醫師週班表!$C$5:$T$44,$CU10,AH$57),""),3,1)="隔",IF(AH$58=0,LEFT(IFERROR(INDEX(醫師週班表!$C$5:$T$44,$CU10,AH$57),""),1),""),IF(MID(IFERROR(INDEX(醫師週班表!$C$5:$T$44,$CU10,AH$57),""),2,1)="(",LEFT(IFERROR(INDEX(醫師週班表!$C$5:$T$44,$CU10,AH$57),""),1),IFERROR(INDEX(醫師週班表!$C$5:$T$44,$CU10,AH$57),"")))))))</f>
        <v/>
      </c>
      <c r="AI10" s="67">
        <f>IF(AI$59="X","",IF(AI$59&lt;&gt;"",AI$59,IF(IFERROR(INDEX(醫師週班表!$C$5:$T$44,$CU10,AI$57),"")=0,"",IF(MID(IFERROR(INDEX(醫師週班表!$C$5:$T$44,$CU10,AI$57),""),2,1)="/",MID(IFERROR(INDEX(醫師週班表!$C$5:$T$44,$CU10,AI$57),""),1+AI$58*2,1),IF(MID(IFERROR(INDEX(醫師週班表!$C$5:$T$44,$CU10,AI$57),""),3,1)="隔",IF(AI$58=0,LEFT(IFERROR(INDEX(醫師週班表!$C$5:$T$44,$CU10,AI$57),""),1),""),IF(MID(IFERROR(INDEX(醫師週班表!$C$5:$T$44,$CU10,AI$57),""),2,1)="(",LEFT(IFERROR(INDEX(醫師週班表!$C$5:$T$44,$CU10,AI$57),""),1),IFERROR(INDEX(醫師週班表!$C$5:$T$44,$CU10,AI$57),"")))))))</f>
        <v/>
      </c>
      <c r="AJ10" s="68">
        <f>IF(AJ$59="X","",IF(AJ$59&lt;&gt;"",AJ$59,IF(IFERROR(INDEX(醫師週班表!$C$5:$T$44,$CU10,AJ$57),"")=0,"",IF(MID(IFERROR(INDEX(醫師週班表!$C$5:$T$44,$CU10,AJ$57),""),2,1)="/",MID(IFERROR(INDEX(醫師週班表!$C$5:$T$44,$CU10,AJ$57),""),1+AJ$58*2,1),IF(MID(IFERROR(INDEX(醫師週班表!$C$5:$T$44,$CU10,AJ$57),""),3,1)="隔",IF(AJ$58=0,LEFT(IFERROR(INDEX(醫師週班表!$C$5:$T$44,$CU10,AJ$57),""),1),""),IF(MID(IFERROR(INDEX(醫師週班表!$C$5:$T$44,$CU10,AJ$57),""),2,1)="(",LEFT(IFERROR(INDEX(醫師週班表!$C$5:$T$44,$CU10,AJ$57),""),1),IFERROR(INDEX(醫師週班表!$C$5:$T$44,$CU10,AJ$57),"")))))))</f>
        <v/>
      </c>
      <c r="AK10" s="68">
        <f>IF(AK$59="X","",IF(AK$59&lt;&gt;"",AK$59,IF(IFERROR(INDEX(醫師週班表!$C$5:$T$44,$CU10,AK$57),"")=0,"",IF(MID(IFERROR(INDEX(醫師週班表!$C$5:$T$44,$CU10,AK$57),""),2,1)="/",MID(IFERROR(INDEX(醫師週班表!$C$5:$T$44,$CU10,AK$57),""),1+AK$58*2,1),IF(MID(IFERROR(INDEX(醫師週班表!$C$5:$T$44,$CU10,AK$57),""),3,1)="隔",IF(AK$58=0,LEFT(IFERROR(INDEX(醫師週班表!$C$5:$T$44,$CU10,AK$57),""),1),""),IF(MID(IFERROR(INDEX(醫師週班表!$C$5:$T$44,$CU10,AK$57),""),2,1)="(",LEFT(IFERROR(INDEX(醫師週班表!$C$5:$T$44,$CU10,AK$57),""),1),IFERROR(INDEX(醫師週班表!$C$5:$T$44,$CU10,AK$57),"")))))))</f>
        <v/>
      </c>
      <c r="AL10" s="67">
        <f>IF(AL$59="X","",IF(AL$59&lt;&gt;"",AL$59,IF(IFERROR(INDEX(醫師週班表!$C$5:$T$44,$CU10,AL$57),"")=0,"",IF(MID(IFERROR(INDEX(醫師週班表!$C$5:$T$44,$CU10,AL$57),""),2,1)="/",MID(IFERROR(INDEX(醫師週班表!$C$5:$T$44,$CU10,AL$57),""),1+AL$58*2,1),IF(MID(IFERROR(INDEX(醫師週班表!$C$5:$T$44,$CU10,AL$57),""),3,1)="隔",IF(AL$58=0,LEFT(IFERROR(INDEX(醫師週班表!$C$5:$T$44,$CU10,AL$57),""),1),""),IF(MID(IFERROR(INDEX(醫師週班表!$C$5:$T$44,$CU10,AL$57),""),2,1)="(",LEFT(IFERROR(INDEX(醫師週班表!$C$5:$T$44,$CU10,AL$57),""),1),IFERROR(INDEX(醫師週班表!$C$5:$T$44,$CU10,AL$57),"")))))))</f>
        <v/>
      </c>
      <c r="AM10" s="68">
        <f>IF(AM$59="X","",IF(AM$59&lt;&gt;"",AM$59,IF(IFERROR(INDEX(醫師週班表!$C$5:$T$44,$CU10,AM$57),"")=0,"",IF(MID(IFERROR(INDEX(醫師週班表!$C$5:$T$44,$CU10,AM$57),""),2,1)="/",MID(IFERROR(INDEX(醫師週班表!$C$5:$T$44,$CU10,AM$57),""),1+AM$58*2,1),IF(MID(IFERROR(INDEX(醫師週班表!$C$5:$T$44,$CU10,AM$57),""),3,1)="隔",IF(AM$58=0,LEFT(IFERROR(INDEX(醫師週班表!$C$5:$T$44,$CU10,AM$57),""),1),""),IF(MID(IFERROR(INDEX(醫師週班表!$C$5:$T$44,$CU10,AM$57),""),2,1)="(",LEFT(IFERROR(INDEX(醫師週班表!$C$5:$T$44,$CU10,AM$57),""),1),IFERROR(INDEX(醫師週班表!$C$5:$T$44,$CU10,AM$57),"")))))))</f>
        <v/>
      </c>
      <c r="AN10" s="68">
        <f>IF(AN$59="X","",IF(AN$59&lt;&gt;"",AN$59,IF(IFERROR(INDEX(醫師週班表!$C$5:$T$44,$CU10,AN$57),"")=0,"",IF(MID(IFERROR(INDEX(醫師週班表!$C$5:$T$44,$CU10,AN$57),""),2,1)="/",MID(IFERROR(INDEX(醫師週班表!$C$5:$T$44,$CU10,AN$57),""),1+AN$58*2,1),IF(MID(IFERROR(INDEX(醫師週班表!$C$5:$T$44,$CU10,AN$57),""),3,1)="隔",IF(AN$58=0,LEFT(IFERROR(INDEX(醫師週班表!$C$5:$T$44,$CU10,AN$57),""),1),""),IF(MID(IFERROR(INDEX(醫師週班表!$C$5:$T$44,$CU10,AN$57),""),2,1)="(",LEFT(IFERROR(INDEX(醫師週班表!$C$5:$T$44,$CU10,AN$57),""),1),IFERROR(INDEX(醫師週班表!$C$5:$T$44,$CU10,AN$57),"")))))))</f>
        <v/>
      </c>
      <c r="AO10" s="67">
        <f>IF(AO$59="X","",IF(AO$59&lt;&gt;"",AO$59,IF(IFERROR(INDEX(醫師週班表!$C$5:$T$44,$CU10,AO$57),"")=0,"",IF(MID(IFERROR(INDEX(醫師週班表!$C$5:$T$44,$CU10,AO$57),""),2,1)="/",MID(IFERROR(INDEX(醫師週班表!$C$5:$T$44,$CU10,AO$57),""),1+AO$58*2,1),IF(MID(IFERROR(INDEX(醫師週班表!$C$5:$T$44,$CU10,AO$57),""),3,1)="隔",IF(AO$58=0,LEFT(IFERROR(INDEX(醫師週班表!$C$5:$T$44,$CU10,AO$57),""),1),""),IF(MID(IFERROR(INDEX(醫師週班表!$C$5:$T$44,$CU10,AO$57),""),2,1)="(",LEFT(IFERROR(INDEX(醫師週班表!$C$5:$T$44,$CU10,AO$57),""),1),IFERROR(INDEX(醫師週班表!$C$5:$T$44,$CU10,AO$57),"")))))))</f>
        <v/>
      </c>
      <c r="AP10" s="68">
        <f>IF(AP$59="X","",IF(AP$59&lt;&gt;"",AP$59,IF(IFERROR(INDEX(醫師週班表!$C$5:$T$44,$CU10,AP$57),"")=0,"",IF(MID(IFERROR(INDEX(醫師週班表!$C$5:$T$44,$CU10,AP$57),""),2,1)="/",MID(IFERROR(INDEX(醫師週班表!$C$5:$T$44,$CU10,AP$57),""),1+AP$58*2,1),IF(MID(IFERROR(INDEX(醫師週班表!$C$5:$T$44,$CU10,AP$57),""),3,1)="隔",IF(AP$58=0,LEFT(IFERROR(INDEX(醫師週班表!$C$5:$T$44,$CU10,AP$57),""),1),""),IF(MID(IFERROR(INDEX(醫師週班表!$C$5:$T$44,$CU10,AP$57),""),2,1)="(",LEFT(IFERROR(INDEX(醫師週班表!$C$5:$T$44,$CU10,AP$57),""),1),IFERROR(INDEX(醫師週班表!$C$5:$T$44,$CU10,AP$57),"")))))))</f>
        <v/>
      </c>
      <c r="AQ10" s="68">
        <f>IF(AQ$59="X","",IF(AQ$59&lt;&gt;"",AQ$59,IF(IFERROR(INDEX(醫師週班表!$C$5:$T$44,$CU10,AQ$57),"")=0,"",IF(MID(IFERROR(INDEX(醫師週班表!$C$5:$T$44,$CU10,AQ$57),""),2,1)="/",MID(IFERROR(INDEX(醫師週班表!$C$5:$T$44,$CU10,AQ$57),""),1+AQ$58*2,1),IF(MID(IFERROR(INDEX(醫師週班表!$C$5:$T$44,$CU10,AQ$57),""),3,1)="隔",IF(AQ$58=0,LEFT(IFERROR(INDEX(醫師週班表!$C$5:$T$44,$CU10,AQ$57),""),1),""),IF(MID(IFERROR(INDEX(醫師週班表!$C$5:$T$44,$CU10,AQ$57),""),2,1)="(",LEFT(IFERROR(INDEX(醫師週班表!$C$5:$T$44,$CU10,AQ$57),""),1),IFERROR(INDEX(醫師週班表!$C$5:$T$44,$CU10,AQ$57),"")))))))</f>
        <v/>
      </c>
      <c r="AR10" s="67">
        <f>IF(AR$59="X","",IF(AR$59&lt;&gt;"",AR$59,IF(IFERROR(INDEX(醫師週班表!$C$5:$T$44,$CU10,AR$57),"")=0,"",IF(MID(IFERROR(INDEX(醫師週班表!$C$5:$T$44,$CU10,AR$57),""),2,1)="/",MID(IFERROR(INDEX(醫師週班表!$C$5:$T$44,$CU10,AR$57),""),1+AR$58*2,1),IF(MID(IFERROR(INDEX(醫師週班表!$C$5:$T$44,$CU10,AR$57),""),3,1)="隔",IF(AR$58=0,LEFT(IFERROR(INDEX(醫師週班表!$C$5:$T$44,$CU10,AR$57),""),1),""),IF(MID(IFERROR(INDEX(醫師週班表!$C$5:$T$44,$CU10,AR$57),""),2,1)="(",LEFT(IFERROR(INDEX(醫師週班表!$C$5:$T$44,$CU10,AR$57),""),1),IFERROR(INDEX(醫師週班表!$C$5:$T$44,$CU10,AR$57),"")))))))</f>
        <v/>
      </c>
      <c r="AS10" s="68">
        <f>IF(AS$59="X","",IF(AS$59&lt;&gt;"",AS$59,IF(IFERROR(INDEX(醫師週班表!$C$5:$T$44,$CU10,AS$57),"")=0,"",IF(MID(IFERROR(INDEX(醫師週班表!$C$5:$T$44,$CU10,AS$57),""),2,1)="/",MID(IFERROR(INDEX(醫師週班表!$C$5:$T$44,$CU10,AS$57),""),1+AS$58*2,1),IF(MID(IFERROR(INDEX(醫師週班表!$C$5:$T$44,$CU10,AS$57),""),3,1)="隔",IF(AS$58=0,LEFT(IFERROR(INDEX(醫師週班表!$C$5:$T$44,$CU10,AS$57),""),1),""),IF(MID(IFERROR(INDEX(醫師週班表!$C$5:$T$44,$CU10,AS$57),""),2,1)="(",LEFT(IFERROR(INDEX(醫師週班表!$C$5:$T$44,$CU10,AS$57),""),1),IFERROR(INDEX(醫師週班表!$C$5:$T$44,$CU10,AS$57),"")))))))</f>
        <v/>
      </c>
      <c r="AT10" s="68">
        <f>IF(AT$59="X","",IF(AT$59&lt;&gt;"",AT$59,IF(IFERROR(INDEX(醫師週班表!$C$5:$T$44,$CU10,AT$57),"")=0,"",IF(MID(IFERROR(INDEX(醫師週班表!$C$5:$T$44,$CU10,AT$57),""),2,1)="/",MID(IFERROR(INDEX(醫師週班表!$C$5:$T$44,$CU10,AT$57),""),1+AT$58*2,1),IF(MID(IFERROR(INDEX(醫師週班表!$C$5:$T$44,$CU10,AT$57),""),3,1)="隔",IF(AT$58=0,LEFT(IFERROR(INDEX(醫師週班表!$C$5:$T$44,$CU10,AT$57),""),1),""),IF(MID(IFERROR(INDEX(醫師週班表!$C$5:$T$44,$CU10,AT$57),""),2,1)="(",LEFT(IFERROR(INDEX(醫師週班表!$C$5:$T$44,$CU10,AT$57),""),1),IFERROR(INDEX(醫師週班表!$C$5:$T$44,$CU10,AT$57),"")))))))</f>
        <v/>
      </c>
      <c r="AU10" s="67">
        <f>IF(AU$59="X","",IF(AU$59&lt;&gt;"",AU$59,IF(IFERROR(INDEX(醫師週班表!$C$5:$T$44,$CU10,AU$57),"")=0,"",IF(MID(IFERROR(INDEX(醫師週班表!$C$5:$T$44,$CU10,AU$57),""),2,1)="/",MID(IFERROR(INDEX(醫師週班表!$C$5:$T$44,$CU10,AU$57),""),1+AU$58*2,1),IF(MID(IFERROR(INDEX(醫師週班表!$C$5:$T$44,$CU10,AU$57),""),3,1)="隔",IF(AU$58=0,LEFT(IFERROR(INDEX(醫師週班表!$C$5:$T$44,$CU10,AU$57),""),1),""),IF(MID(IFERROR(INDEX(醫師週班表!$C$5:$T$44,$CU10,AU$57),""),2,1)="(",LEFT(IFERROR(INDEX(醫師週班表!$C$5:$T$44,$CU10,AU$57),""),1),IFERROR(INDEX(醫師週班表!$C$5:$T$44,$CU10,AU$57),"")))))))</f>
        <v/>
      </c>
      <c r="AV10" s="68">
        <f>IF(AV$59="X","",IF(AV$59&lt;&gt;"",AV$59,IF(IFERROR(INDEX(醫師週班表!$C$5:$T$44,$CU10,AV$57),"")=0,"",IF(MID(IFERROR(INDEX(醫師週班表!$C$5:$T$44,$CU10,AV$57),""),2,1)="/",MID(IFERROR(INDEX(醫師週班表!$C$5:$T$44,$CU10,AV$57),""),1+AV$58*2,1),IF(MID(IFERROR(INDEX(醫師週班表!$C$5:$T$44,$CU10,AV$57),""),3,1)="隔",IF(AV$58=0,LEFT(IFERROR(INDEX(醫師週班表!$C$5:$T$44,$CU10,AV$57),""),1),""),IF(MID(IFERROR(INDEX(醫師週班表!$C$5:$T$44,$CU10,AV$57),""),2,1)="(",LEFT(IFERROR(INDEX(醫師週班表!$C$5:$T$44,$CU10,AV$57),""),1),IFERROR(INDEX(醫師週班表!$C$5:$T$44,$CU10,AV$57),"")))))))</f>
        <v/>
      </c>
      <c r="AW10" s="68">
        <f>IF(AW$59="X","",IF(AW$59&lt;&gt;"",AW$59,IF(IFERROR(INDEX(醫師週班表!$C$5:$T$44,$CU10,AW$57),"")=0,"",IF(MID(IFERROR(INDEX(醫師週班表!$C$5:$T$44,$CU10,AW$57),""),2,1)="/",MID(IFERROR(INDEX(醫師週班表!$C$5:$T$44,$CU10,AW$57),""),1+AW$58*2,1),IF(MID(IFERROR(INDEX(醫師週班表!$C$5:$T$44,$CU10,AW$57),""),3,1)="隔",IF(AW$58=0,LEFT(IFERROR(INDEX(醫師週班表!$C$5:$T$44,$CU10,AW$57),""),1),""),IF(MID(IFERROR(INDEX(醫師週班表!$C$5:$T$44,$CU10,AW$57),""),2,1)="(",LEFT(IFERROR(INDEX(醫師週班表!$C$5:$T$44,$CU10,AW$57),""),1),IFERROR(INDEX(醫師週班表!$C$5:$T$44,$CU10,AW$57),"")))))))</f>
        <v/>
      </c>
      <c r="AX10" s="67">
        <f>IF(AX$59="X","",IF(AX$59&lt;&gt;"",AX$59,IF(IFERROR(INDEX(醫師週班表!$C$5:$T$44,$CU10,AX$57),"")=0,"",IF(MID(IFERROR(INDEX(醫師週班表!$C$5:$T$44,$CU10,AX$57),""),2,1)="/",MID(IFERROR(INDEX(醫師週班表!$C$5:$T$44,$CU10,AX$57),""),1+AX$58*2,1),IF(MID(IFERROR(INDEX(醫師週班表!$C$5:$T$44,$CU10,AX$57),""),3,1)="隔",IF(AX$58=0,LEFT(IFERROR(INDEX(醫師週班表!$C$5:$T$44,$CU10,AX$57),""),1),""),IF(MID(IFERROR(INDEX(醫師週班表!$C$5:$T$44,$CU10,AX$57),""),2,1)="(",LEFT(IFERROR(INDEX(醫師週班表!$C$5:$T$44,$CU10,AX$57),""),1),IFERROR(INDEX(醫師週班表!$C$5:$T$44,$CU10,AX$57),"")))))))</f>
        <v/>
      </c>
      <c r="AY10" s="68">
        <f>IF(AY$59="X","",IF(AY$59&lt;&gt;"",AY$59,IF(IFERROR(INDEX(醫師週班表!$C$5:$T$44,$CU10,AY$57),"")=0,"",IF(MID(IFERROR(INDEX(醫師週班表!$C$5:$T$44,$CU10,AY$57),""),2,1)="/",MID(IFERROR(INDEX(醫師週班表!$C$5:$T$44,$CU10,AY$57),""),1+AY$58*2,1),IF(MID(IFERROR(INDEX(醫師週班表!$C$5:$T$44,$CU10,AY$57),""),3,1)="隔",IF(AY$58=0,LEFT(IFERROR(INDEX(醫師週班表!$C$5:$T$44,$CU10,AY$57),""),1),""),IF(MID(IFERROR(INDEX(醫師週班表!$C$5:$T$44,$CU10,AY$57),""),2,1)="(",LEFT(IFERROR(INDEX(醫師週班表!$C$5:$T$44,$CU10,AY$57),""),1),IFERROR(INDEX(醫師週班表!$C$5:$T$44,$CU10,AY$57),"")))))))</f>
        <v/>
      </c>
      <c r="AZ10" s="68">
        <f>IF(AZ$59="X","",IF(AZ$59&lt;&gt;"",AZ$59,IF(IFERROR(INDEX(醫師週班表!$C$5:$T$44,$CU10,AZ$57),"")=0,"",IF(MID(IFERROR(INDEX(醫師週班表!$C$5:$T$44,$CU10,AZ$57),""),2,1)="/",MID(IFERROR(INDEX(醫師週班表!$C$5:$T$44,$CU10,AZ$57),""),1+AZ$58*2,1),IF(MID(IFERROR(INDEX(醫師週班表!$C$5:$T$44,$CU10,AZ$57),""),3,1)="隔",IF(AZ$58=0,LEFT(IFERROR(INDEX(醫師週班表!$C$5:$T$44,$CU10,AZ$57),""),1),""),IF(MID(IFERROR(INDEX(醫師週班表!$C$5:$T$44,$CU10,AZ$57),""),2,1)="(",LEFT(IFERROR(INDEX(醫師週班表!$C$5:$T$44,$CU10,AZ$57),""),1),IFERROR(INDEX(醫師週班表!$C$5:$T$44,$CU10,AZ$57),"")))))))</f>
        <v/>
      </c>
      <c r="BA10" s="67">
        <f>IF(BA$59="X","",IF(BA$59&lt;&gt;"",BA$59,IF(IFERROR(INDEX(醫師週班表!$C$5:$T$44,$CU10,BA$57),"")=0,"",IF(MID(IFERROR(INDEX(醫師週班表!$C$5:$T$44,$CU10,BA$57),""),2,1)="/",MID(IFERROR(INDEX(醫師週班表!$C$5:$T$44,$CU10,BA$57),""),1+BA$58*2,1),IF(MID(IFERROR(INDEX(醫師週班表!$C$5:$T$44,$CU10,BA$57),""),3,1)="隔",IF(BA$58=0,LEFT(IFERROR(INDEX(醫師週班表!$C$5:$T$44,$CU10,BA$57),""),1),""),IF(MID(IFERROR(INDEX(醫師週班表!$C$5:$T$44,$CU10,BA$57),""),2,1)="(",LEFT(IFERROR(INDEX(醫師週班表!$C$5:$T$44,$CU10,BA$57),""),1),IFERROR(INDEX(醫師週班表!$C$5:$T$44,$CU10,BA$57),"")))))))</f>
        <v/>
      </c>
      <c r="BB10" s="68">
        <f>IF(BB$59="X","",IF(BB$59&lt;&gt;"",BB$59,IF(IFERROR(INDEX(醫師週班表!$C$5:$T$44,$CU10,BB$57),"")=0,"",IF(MID(IFERROR(INDEX(醫師週班表!$C$5:$T$44,$CU10,BB$57),""),2,1)="/",MID(IFERROR(INDEX(醫師週班表!$C$5:$T$44,$CU10,BB$57),""),1+BB$58*2,1),IF(MID(IFERROR(INDEX(醫師週班表!$C$5:$T$44,$CU10,BB$57),""),3,1)="隔",IF(BB$58=0,LEFT(IFERROR(INDEX(醫師週班表!$C$5:$T$44,$CU10,BB$57),""),1),""),IF(MID(IFERROR(INDEX(醫師週班表!$C$5:$T$44,$CU10,BB$57),""),2,1)="(",LEFT(IFERROR(INDEX(醫師週班表!$C$5:$T$44,$CU10,BB$57),""),1),IFERROR(INDEX(醫師週班表!$C$5:$T$44,$CU10,BB$57),"")))))))</f>
        <v/>
      </c>
      <c r="BC10" s="68">
        <f>IF(BC$59="X","",IF(BC$59&lt;&gt;"",BC$59,IF(IFERROR(INDEX(醫師週班表!$C$5:$T$44,$CU10,BC$57),"")=0,"",IF(MID(IFERROR(INDEX(醫師週班表!$C$5:$T$44,$CU10,BC$57),""),2,1)="/",MID(IFERROR(INDEX(醫師週班表!$C$5:$T$44,$CU10,BC$57),""),1+BC$58*2,1),IF(MID(IFERROR(INDEX(醫師週班表!$C$5:$T$44,$CU10,BC$57),""),3,1)="隔",IF(BC$58=0,LEFT(IFERROR(INDEX(醫師週班表!$C$5:$T$44,$CU10,BC$57),""),1),""),IF(MID(IFERROR(INDEX(醫師週班表!$C$5:$T$44,$CU10,BC$57),""),2,1)="(",LEFT(IFERROR(INDEX(醫師週班表!$C$5:$T$44,$CU10,BC$57),""),1),IFERROR(INDEX(醫師週班表!$C$5:$T$44,$CU10,BC$57),"")))))))</f>
        <v/>
      </c>
      <c r="BD10" s="67">
        <f>IF(BD$59="X","",IF(BD$59&lt;&gt;"",BD$59,IF(IFERROR(INDEX(醫師週班表!$C$5:$T$44,$CU10,BD$57),"")=0,"",IF(MID(IFERROR(INDEX(醫師週班表!$C$5:$T$44,$CU10,BD$57),""),2,1)="/",MID(IFERROR(INDEX(醫師週班表!$C$5:$T$44,$CU10,BD$57),""),1+BD$58*2,1),IF(MID(IFERROR(INDEX(醫師週班表!$C$5:$T$44,$CU10,BD$57),""),3,1)="隔",IF(BD$58=0,LEFT(IFERROR(INDEX(醫師週班表!$C$5:$T$44,$CU10,BD$57),""),1),""),IF(MID(IFERROR(INDEX(醫師週班表!$C$5:$T$44,$CU10,BD$57),""),2,1)="(",LEFT(IFERROR(INDEX(醫師週班表!$C$5:$T$44,$CU10,BD$57),""),1),IFERROR(INDEX(醫師週班表!$C$5:$T$44,$CU10,BD$57),"")))))))</f>
        <v/>
      </c>
      <c r="BE10" s="68">
        <f>IF(BE$59="X","",IF(BE$59&lt;&gt;"",BE$59,IF(IFERROR(INDEX(醫師週班表!$C$5:$T$44,$CU10,BE$57),"")=0,"",IF(MID(IFERROR(INDEX(醫師週班表!$C$5:$T$44,$CU10,BE$57),""),2,1)="/",MID(IFERROR(INDEX(醫師週班表!$C$5:$T$44,$CU10,BE$57),""),1+BE$58*2,1),IF(MID(IFERROR(INDEX(醫師週班表!$C$5:$T$44,$CU10,BE$57),""),3,1)="隔",IF(BE$58=0,LEFT(IFERROR(INDEX(醫師週班表!$C$5:$T$44,$CU10,BE$57),""),1),""),IF(MID(IFERROR(INDEX(醫師週班表!$C$5:$T$44,$CU10,BE$57),""),2,1)="(",LEFT(IFERROR(INDEX(醫師週班表!$C$5:$T$44,$CU10,BE$57),""),1),IFERROR(INDEX(醫師週班表!$C$5:$T$44,$CU10,BE$57),"")))))))</f>
        <v/>
      </c>
      <c r="BF10" s="68">
        <f>IF(BF$59="X","",IF(BF$59&lt;&gt;"",BF$59,IF(IFERROR(INDEX(醫師週班表!$C$5:$T$44,$CU10,BF$57),"")=0,"",IF(MID(IFERROR(INDEX(醫師週班表!$C$5:$T$44,$CU10,BF$57),""),2,1)="/",MID(IFERROR(INDEX(醫師週班表!$C$5:$T$44,$CU10,BF$57),""),1+BF$58*2,1),IF(MID(IFERROR(INDEX(醫師週班表!$C$5:$T$44,$CU10,BF$57),""),3,1)="隔",IF(BF$58=0,LEFT(IFERROR(INDEX(醫師週班表!$C$5:$T$44,$CU10,BF$57),""),1),""),IF(MID(IFERROR(INDEX(醫師週班表!$C$5:$T$44,$CU10,BF$57),""),2,1)="(",LEFT(IFERROR(INDEX(醫師週班表!$C$5:$T$44,$CU10,BF$57),""),1),IFERROR(INDEX(醫師週班表!$C$5:$T$44,$CU10,BF$57),"")))))))</f>
        <v/>
      </c>
      <c r="BG10" s="67">
        <f>IF(BG$59="X","",IF(BG$59&lt;&gt;"",BG$59,IF(IFERROR(INDEX(醫師週班表!$C$5:$T$44,$CU10,BG$57),"")=0,"",IF(MID(IFERROR(INDEX(醫師週班表!$C$5:$T$44,$CU10,BG$57),""),2,1)="/",MID(IFERROR(INDEX(醫師週班表!$C$5:$T$44,$CU10,BG$57),""),1+BG$58*2,1),IF(MID(IFERROR(INDEX(醫師週班表!$C$5:$T$44,$CU10,BG$57),""),3,1)="隔",IF(BG$58=0,LEFT(IFERROR(INDEX(醫師週班表!$C$5:$T$44,$CU10,BG$57),""),1),""),IF(MID(IFERROR(INDEX(醫師週班表!$C$5:$T$44,$CU10,BG$57),""),2,1)="(",LEFT(IFERROR(INDEX(醫師週班表!$C$5:$T$44,$CU10,BG$57),""),1),IFERROR(INDEX(醫師週班表!$C$5:$T$44,$CU10,BG$57),"")))))))</f>
        <v/>
      </c>
      <c r="BH10" s="68">
        <f>IF(BH$59="X","",IF(BH$59&lt;&gt;"",BH$59,IF(IFERROR(INDEX(醫師週班表!$C$5:$T$44,$CU10,BH$57),"")=0,"",IF(MID(IFERROR(INDEX(醫師週班表!$C$5:$T$44,$CU10,BH$57),""),2,1)="/",MID(IFERROR(INDEX(醫師週班表!$C$5:$T$44,$CU10,BH$57),""),1+BH$58*2,1),IF(MID(IFERROR(INDEX(醫師週班表!$C$5:$T$44,$CU10,BH$57),""),3,1)="隔",IF(BH$58=0,LEFT(IFERROR(INDEX(醫師週班表!$C$5:$T$44,$CU10,BH$57),""),1),""),IF(MID(IFERROR(INDEX(醫師週班表!$C$5:$T$44,$CU10,BH$57),""),2,1)="(",LEFT(IFERROR(INDEX(醫師週班表!$C$5:$T$44,$CU10,BH$57),""),1),IFERROR(INDEX(醫師週班表!$C$5:$T$44,$CU10,BH$57),"")))))))</f>
        <v/>
      </c>
      <c r="BI10" s="68">
        <f>IF(BI$59="X","",IF(BI$59&lt;&gt;"",BI$59,IF(IFERROR(INDEX(醫師週班表!$C$5:$T$44,$CU10,BI$57),"")=0,"",IF(MID(IFERROR(INDEX(醫師週班表!$C$5:$T$44,$CU10,BI$57),""),2,1)="/",MID(IFERROR(INDEX(醫師週班表!$C$5:$T$44,$CU10,BI$57),""),1+BI$58*2,1),IF(MID(IFERROR(INDEX(醫師週班表!$C$5:$T$44,$CU10,BI$57),""),3,1)="隔",IF(BI$58=0,LEFT(IFERROR(INDEX(醫師週班表!$C$5:$T$44,$CU10,BI$57),""),1),""),IF(MID(IFERROR(INDEX(醫師週班表!$C$5:$T$44,$CU10,BI$57),""),2,1)="(",LEFT(IFERROR(INDEX(醫師週班表!$C$5:$T$44,$CU10,BI$57),""),1),IFERROR(INDEX(醫師週班表!$C$5:$T$44,$CU10,BI$57),"")))))))</f>
        <v/>
      </c>
      <c r="BJ10" s="67">
        <f>IF(BJ$59="X","",IF(BJ$59&lt;&gt;"",BJ$59,IF(IFERROR(INDEX(醫師週班表!$C$5:$T$44,$CU10,BJ$57),"")=0,"",IF(MID(IFERROR(INDEX(醫師週班表!$C$5:$T$44,$CU10,BJ$57),""),2,1)="/",MID(IFERROR(INDEX(醫師週班表!$C$5:$T$44,$CU10,BJ$57),""),1+BJ$58*2,1),IF(MID(IFERROR(INDEX(醫師週班表!$C$5:$T$44,$CU10,BJ$57),""),3,1)="隔",IF(BJ$58=0,LEFT(IFERROR(INDEX(醫師週班表!$C$5:$T$44,$CU10,BJ$57),""),1),""),IF(MID(IFERROR(INDEX(醫師週班表!$C$5:$T$44,$CU10,BJ$57),""),2,1)="(",LEFT(IFERROR(INDEX(醫師週班表!$C$5:$T$44,$CU10,BJ$57),""),1),IFERROR(INDEX(醫師週班表!$C$5:$T$44,$CU10,BJ$57),"")))))))</f>
        <v/>
      </c>
      <c r="BK10" s="68">
        <f>IF(BK$59="X","",IF(BK$59&lt;&gt;"",BK$59,IF(IFERROR(INDEX(醫師週班表!$C$5:$T$44,$CU10,BK$57),"")=0,"",IF(MID(IFERROR(INDEX(醫師週班表!$C$5:$T$44,$CU10,BK$57),""),2,1)="/",MID(IFERROR(INDEX(醫師週班表!$C$5:$T$44,$CU10,BK$57),""),1+BK$58*2,1),IF(MID(IFERROR(INDEX(醫師週班表!$C$5:$T$44,$CU10,BK$57),""),3,1)="隔",IF(BK$58=0,LEFT(IFERROR(INDEX(醫師週班表!$C$5:$T$44,$CU10,BK$57),""),1),""),IF(MID(IFERROR(INDEX(醫師週班表!$C$5:$T$44,$CU10,BK$57),""),2,1)="(",LEFT(IFERROR(INDEX(醫師週班表!$C$5:$T$44,$CU10,BK$57),""),1),IFERROR(INDEX(醫師週班表!$C$5:$T$44,$CU10,BK$57),"")))))))</f>
        <v/>
      </c>
      <c r="BL10" s="68">
        <f>IF(BL$59="X","",IF(BL$59&lt;&gt;"",BL$59,IF(IFERROR(INDEX(醫師週班表!$C$5:$T$44,$CU10,BL$57),"")=0,"",IF(MID(IFERROR(INDEX(醫師週班表!$C$5:$T$44,$CU10,BL$57),""),2,1)="/",MID(IFERROR(INDEX(醫師週班表!$C$5:$T$44,$CU10,BL$57),""),1+BL$58*2,1),IF(MID(IFERROR(INDEX(醫師週班表!$C$5:$T$44,$CU10,BL$57),""),3,1)="隔",IF(BL$58=0,LEFT(IFERROR(INDEX(醫師週班表!$C$5:$T$44,$CU10,BL$57),""),1),""),IF(MID(IFERROR(INDEX(醫師週班表!$C$5:$T$44,$CU10,BL$57),""),2,1)="(",LEFT(IFERROR(INDEX(醫師週班表!$C$5:$T$44,$CU10,BL$57),""),1),IFERROR(INDEX(醫師週班表!$C$5:$T$44,$CU10,BL$57),"")))))))</f>
        <v/>
      </c>
      <c r="BM10" s="67">
        <f>IF(BM$59="X","",IF(BM$59&lt;&gt;"",BM$59,IF(IFERROR(INDEX(醫師週班表!$C$5:$T$44,$CU10,BM$57),"")=0,"",IF(MID(IFERROR(INDEX(醫師週班表!$C$5:$T$44,$CU10,BM$57),""),2,1)="/",MID(IFERROR(INDEX(醫師週班表!$C$5:$T$44,$CU10,BM$57),""),1+BM$58*2,1),IF(MID(IFERROR(INDEX(醫師週班表!$C$5:$T$44,$CU10,BM$57),""),3,1)="隔",IF(BM$58=0,LEFT(IFERROR(INDEX(醫師週班表!$C$5:$T$44,$CU10,BM$57),""),1),""),IF(MID(IFERROR(INDEX(醫師週班表!$C$5:$T$44,$CU10,BM$57),""),2,1)="(",LEFT(IFERROR(INDEX(醫師週班表!$C$5:$T$44,$CU10,BM$57),""),1),IFERROR(INDEX(醫師週班表!$C$5:$T$44,$CU10,BM$57),"")))))))</f>
        <v/>
      </c>
      <c r="BN10" s="68">
        <f>IF(BN$59="X","",IF(BN$59&lt;&gt;"",BN$59,IF(IFERROR(INDEX(醫師週班表!$C$5:$T$44,$CU10,BN$57),"")=0,"",IF(MID(IFERROR(INDEX(醫師週班表!$C$5:$T$44,$CU10,BN$57),""),2,1)="/",MID(IFERROR(INDEX(醫師週班表!$C$5:$T$44,$CU10,BN$57),""),1+BN$58*2,1),IF(MID(IFERROR(INDEX(醫師週班表!$C$5:$T$44,$CU10,BN$57),""),3,1)="隔",IF(BN$58=0,LEFT(IFERROR(INDEX(醫師週班表!$C$5:$T$44,$CU10,BN$57),""),1),""),IF(MID(IFERROR(INDEX(醫師週班表!$C$5:$T$44,$CU10,BN$57),""),2,1)="(",LEFT(IFERROR(INDEX(醫師週班表!$C$5:$T$44,$CU10,BN$57),""),1),IFERROR(INDEX(醫師週班表!$C$5:$T$44,$CU10,BN$57),"")))))))</f>
        <v/>
      </c>
      <c r="BO10" s="68">
        <f>IF(BO$59="X","",IF(BO$59&lt;&gt;"",BO$59,IF(IFERROR(INDEX(醫師週班表!$C$5:$T$44,$CU10,BO$57),"")=0,"",IF(MID(IFERROR(INDEX(醫師週班表!$C$5:$T$44,$CU10,BO$57),""),2,1)="/",MID(IFERROR(INDEX(醫師週班表!$C$5:$T$44,$CU10,BO$57),""),1+BO$58*2,1),IF(MID(IFERROR(INDEX(醫師週班表!$C$5:$T$44,$CU10,BO$57),""),3,1)="隔",IF(BO$58=0,LEFT(IFERROR(INDEX(醫師週班表!$C$5:$T$44,$CU10,BO$57),""),1),""),IF(MID(IFERROR(INDEX(醫師週班表!$C$5:$T$44,$CU10,BO$57),""),2,1)="(",LEFT(IFERROR(INDEX(醫師週班表!$C$5:$T$44,$CU10,BO$57),""),1),IFERROR(INDEX(醫師週班表!$C$5:$T$44,$CU10,BO$57),"")))))))</f>
        <v/>
      </c>
      <c r="BP10" s="67">
        <f>IF(BP$59="X","",IF(BP$59&lt;&gt;"",BP$59,IF(IFERROR(INDEX(醫師週班表!$C$5:$T$44,$CU10,BP$57),"")=0,"",IF(MID(IFERROR(INDEX(醫師週班表!$C$5:$T$44,$CU10,BP$57),""),2,1)="/",MID(IFERROR(INDEX(醫師週班表!$C$5:$T$44,$CU10,BP$57),""),1+BP$58*2,1),IF(MID(IFERROR(INDEX(醫師週班表!$C$5:$T$44,$CU10,BP$57),""),3,1)="隔",IF(BP$58=0,LEFT(IFERROR(INDEX(醫師週班表!$C$5:$T$44,$CU10,BP$57),""),1),""),IF(MID(IFERROR(INDEX(醫師週班表!$C$5:$T$44,$CU10,BP$57),""),2,1)="(",LEFT(IFERROR(INDEX(醫師週班表!$C$5:$T$44,$CU10,BP$57),""),1),IFERROR(INDEX(醫師週班表!$C$5:$T$44,$CU10,BP$57),"")))))))</f>
        <v/>
      </c>
      <c r="BQ10" s="68">
        <f>IF(BQ$59="X","",IF(BQ$59&lt;&gt;"",BQ$59,IF(IFERROR(INDEX(醫師週班表!$C$5:$T$44,$CU10,BQ$57),"")=0,"",IF(MID(IFERROR(INDEX(醫師週班表!$C$5:$T$44,$CU10,BQ$57),""),2,1)="/",MID(IFERROR(INDEX(醫師週班表!$C$5:$T$44,$CU10,BQ$57),""),1+BQ$58*2,1),IF(MID(IFERROR(INDEX(醫師週班表!$C$5:$T$44,$CU10,BQ$57),""),3,1)="隔",IF(BQ$58=0,LEFT(IFERROR(INDEX(醫師週班表!$C$5:$T$44,$CU10,BQ$57),""),1),""),IF(MID(IFERROR(INDEX(醫師週班表!$C$5:$T$44,$CU10,BQ$57),""),2,1)="(",LEFT(IFERROR(INDEX(醫師週班表!$C$5:$T$44,$CU10,BQ$57),""),1),IFERROR(INDEX(醫師週班表!$C$5:$T$44,$CU10,BQ$57),"")))))))</f>
        <v/>
      </c>
      <c r="BR10" s="68">
        <f>IF(BR$59="X","",IF(BR$59&lt;&gt;"",BR$59,IF(IFERROR(INDEX(醫師週班表!$C$5:$T$44,$CU10,BR$57),"")=0,"",IF(MID(IFERROR(INDEX(醫師週班表!$C$5:$T$44,$CU10,BR$57),""),2,1)="/",MID(IFERROR(INDEX(醫師週班表!$C$5:$T$44,$CU10,BR$57),""),1+BR$58*2,1),IF(MID(IFERROR(INDEX(醫師週班表!$C$5:$T$44,$CU10,BR$57),""),3,1)="隔",IF(BR$58=0,LEFT(IFERROR(INDEX(醫師週班表!$C$5:$T$44,$CU10,BR$57),""),1),""),IF(MID(IFERROR(INDEX(醫師週班表!$C$5:$T$44,$CU10,BR$57),""),2,1)="(",LEFT(IFERROR(INDEX(醫師週班表!$C$5:$T$44,$CU10,BR$57),""),1),IFERROR(INDEX(醫師週班表!$C$5:$T$44,$CU10,BR$57),"")))))))</f>
        <v/>
      </c>
      <c r="BS10" s="67">
        <f>IF(BS$59="X","",IF(BS$59&lt;&gt;"",BS$59,IF(IFERROR(INDEX(醫師週班表!$C$5:$T$44,$CU10,BS$57),"")=0,"",IF(MID(IFERROR(INDEX(醫師週班表!$C$5:$T$44,$CU10,BS$57),""),2,1)="/",MID(IFERROR(INDEX(醫師週班表!$C$5:$T$44,$CU10,BS$57),""),1+BS$58*2,1),IF(MID(IFERROR(INDEX(醫師週班表!$C$5:$T$44,$CU10,BS$57),""),3,1)="隔",IF(BS$58=0,LEFT(IFERROR(INDEX(醫師週班表!$C$5:$T$44,$CU10,BS$57),""),1),""),IF(MID(IFERROR(INDEX(醫師週班表!$C$5:$T$44,$CU10,BS$57),""),2,1)="(",LEFT(IFERROR(INDEX(醫師週班表!$C$5:$T$44,$CU10,BS$57),""),1),IFERROR(INDEX(醫師週班表!$C$5:$T$44,$CU10,BS$57),"")))))))</f>
        <v/>
      </c>
      <c r="BT10" s="68">
        <f>IF(BT$59="X","",IF(BT$59&lt;&gt;"",BT$59,IF(IFERROR(INDEX(醫師週班表!$C$5:$T$44,$CU10,BT$57),"")=0,"",IF(MID(IFERROR(INDEX(醫師週班表!$C$5:$T$44,$CU10,BT$57),""),2,1)="/",MID(IFERROR(INDEX(醫師週班表!$C$5:$T$44,$CU10,BT$57),""),1+BT$58*2,1),IF(MID(IFERROR(INDEX(醫師週班表!$C$5:$T$44,$CU10,BT$57),""),3,1)="隔",IF(BT$58=0,LEFT(IFERROR(INDEX(醫師週班表!$C$5:$T$44,$CU10,BT$57),""),1),""),IF(MID(IFERROR(INDEX(醫師週班表!$C$5:$T$44,$CU10,BT$57),""),2,1)="(",LEFT(IFERROR(INDEX(醫師週班表!$C$5:$T$44,$CU10,BT$57),""),1),IFERROR(INDEX(醫師週班表!$C$5:$T$44,$CU10,BT$57),"")))))))</f>
        <v/>
      </c>
      <c r="BU10" s="68">
        <f>IF(BU$59="X","",IF(BU$59&lt;&gt;"",BU$59,IF(IFERROR(INDEX(醫師週班表!$C$5:$T$44,$CU10,BU$57),"")=0,"",IF(MID(IFERROR(INDEX(醫師週班表!$C$5:$T$44,$CU10,BU$57),""),2,1)="/",MID(IFERROR(INDEX(醫師週班表!$C$5:$T$44,$CU10,BU$57),""),1+BU$58*2,1),IF(MID(IFERROR(INDEX(醫師週班表!$C$5:$T$44,$CU10,BU$57),""),3,1)="隔",IF(BU$58=0,LEFT(IFERROR(INDEX(醫師週班表!$C$5:$T$44,$CU10,BU$57),""),1),""),IF(MID(IFERROR(INDEX(醫師週班表!$C$5:$T$44,$CU10,BU$57),""),2,1)="(",LEFT(IFERROR(INDEX(醫師週班表!$C$5:$T$44,$CU10,BU$57),""),1),IFERROR(INDEX(醫師週班表!$C$5:$T$44,$CU10,BU$57),"")))))))</f>
        <v/>
      </c>
      <c r="BV10" s="67">
        <f>IF(BV$59="X","",IF(BV$59&lt;&gt;"",BV$59,IF(IFERROR(INDEX(醫師週班表!$C$5:$T$44,$CU10,BV$57),"")=0,"",IF(MID(IFERROR(INDEX(醫師週班表!$C$5:$T$44,$CU10,BV$57),""),2,1)="/",MID(IFERROR(INDEX(醫師週班表!$C$5:$T$44,$CU10,BV$57),""),1+BV$58*2,1),IF(MID(IFERROR(INDEX(醫師週班表!$C$5:$T$44,$CU10,BV$57),""),3,1)="隔",IF(BV$58=0,LEFT(IFERROR(INDEX(醫師週班表!$C$5:$T$44,$CU10,BV$57),""),1),""),IF(MID(IFERROR(INDEX(醫師週班表!$C$5:$T$44,$CU10,BV$57),""),2,1)="(",LEFT(IFERROR(INDEX(醫師週班表!$C$5:$T$44,$CU10,BV$57),""),1),IFERROR(INDEX(醫師週班表!$C$5:$T$44,$CU10,BV$57),"")))))))</f>
        <v/>
      </c>
      <c r="BW10" s="68">
        <f>IF(BW$59="X","",IF(BW$59&lt;&gt;"",BW$59,IF(IFERROR(INDEX(醫師週班表!$C$5:$T$44,$CU10,BW$57),"")=0,"",IF(MID(IFERROR(INDEX(醫師週班表!$C$5:$T$44,$CU10,BW$57),""),2,1)="/",MID(IFERROR(INDEX(醫師週班表!$C$5:$T$44,$CU10,BW$57),""),1+BW$58*2,1),IF(MID(IFERROR(INDEX(醫師週班表!$C$5:$T$44,$CU10,BW$57),""),3,1)="隔",IF(BW$58=0,LEFT(IFERROR(INDEX(醫師週班表!$C$5:$T$44,$CU10,BW$57),""),1),""),IF(MID(IFERROR(INDEX(醫師週班表!$C$5:$T$44,$CU10,BW$57),""),2,1)="(",LEFT(IFERROR(INDEX(醫師週班表!$C$5:$T$44,$CU10,BW$57),""),1),IFERROR(INDEX(醫師週班表!$C$5:$T$44,$CU10,BW$57),"")))))))</f>
        <v/>
      </c>
      <c r="BX10" s="68">
        <f>IF(BX$59="X","",IF(BX$59&lt;&gt;"",BX$59,IF(IFERROR(INDEX(醫師週班表!$C$5:$T$44,$CU10,BX$57),"")=0,"",IF(MID(IFERROR(INDEX(醫師週班表!$C$5:$T$44,$CU10,BX$57),""),2,1)="/",MID(IFERROR(INDEX(醫師週班表!$C$5:$T$44,$CU10,BX$57),""),1+BX$58*2,1),IF(MID(IFERROR(INDEX(醫師週班表!$C$5:$T$44,$CU10,BX$57),""),3,1)="隔",IF(BX$58=0,LEFT(IFERROR(INDEX(醫師週班表!$C$5:$T$44,$CU10,BX$57),""),1),""),IF(MID(IFERROR(INDEX(醫師週班表!$C$5:$T$44,$CU10,BX$57),""),2,1)="(",LEFT(IFERROR(INDEX(醫師週班表!$C$5:$T$44,$CU10,BX$57),""),1),IFERROR(INDEX(醫師週班表!$C$5:$T$44,$CU10,BX$57),"")))))))</f>
        <v/>
      </c>
      <c r="BY10" s="67">
        <f>IF(BY$59="X","",IF(BY$59&lt;&gt;"",BY$59,IF(IFERROR(INDEX(醫師週班表!$C$5:$T$44,$CU10,BY$57),"")=0,"",IF(MID(IFERROR(INDEX(醫師週班表!$C$5:$T$44,$CU10,BY$57),""),2,1)="/",MID(IFERROR(INDEX(醫師週班表!$C$5:$T$44,$CU10,BY$57),""),1+BY$58*2,1),IF(MID(IFERROR(INDEX(醫師週班表!$C$5:$T$44,$CU10,BY$57),""),3,1)="隔",IF(BY$58=0,LEFT(IFERROR(INDEX(醫師週班表!$C$5:$T$44,$CU10,BY$57),""),1),""),IF(MID(IFERROR(INDEX(醫師週班表!$C$5:$T$44,$CU10,BY$57),""),2,1)="(",LEFT(IFERROR(INDEX(醫師週班表!$C$5:$T$44,$CU10,BY$57),""),1),IFERROR(INDEX(醫師週班表!$C$5:$T$44,$CU10,BY$57),"")))))))</f>
        <v/>
      </c>
      <c r="BZ10" s="68">
        <f>IF(BZ$59="X","",IF(BZ$59&lt;&gt;"",BZ$59,IF(IFERROR(INDEX(醫師週班表!$C$5:$T$44,$CU10,BZ$57),"")=0,"",IF(MID(IFERROR(INDEX(醫師週班表!$C$5:$T$44,$CU10,BZ$57),""),2,1)="/",MID(IFERROR(INDEX(醫師週班表!$C$5:$T$44,$CU10,BZ$57),""),1+BZ$58*2,1),IF(MID(IFERROR(INDEX(醫師週班表!$C$5:$T$44,$CU10,BZ$57),""),3,1)="隔",IF(BZ$58=0,LEFT(IFERROR(INDEX(醫師週班表!$C$5:$T$44,$CU10,BZ$57),""),1),""),IF(MID(IFERROR(INDEX(醫師週班表!$C$5:$T$44,$CU10,BZ$57),""),2,1)="(",LEFT(IFERROR(INDEX(醫師週班表!$C$5:$T$44,$CU10,BZ$57),""),1),IFERROR(INDEX(醫師週班表!$C$5:$T$44,$CU10,BZ$57),"")))))))</f>
        <v/>
      </c>
      <c r="CA10" s="68">
        <f>IF(CA$59="X","",IF(CA$59&lt;&gt;"",CA$59,IF(IFERROR(INDEX(醫師週班表!$C$5:$T$44,$CU10,CA$57),"")=0,"",IF(MID(IFERROR(INDEX(醫師週班表!$C$5:$T$44,$CU10,CA$57),""),2,1)="/",MID(IFERROR(INDEX(醫師週班表!$C$5:$T$44,$CU10,CA$57),""),1+CA$58*2,1),IF(MID(IFERROR(INDEX(醫師週班表!$C$5:$T$44,$CU10,CA$57),""),3,1)="隔",IF(CA$58=0,LEFT(IFERROR(INDEX(醫師週班表!$C$5:$T$44,$CU10,CA$57),""),1),""),IF(MID(IFERROR(INDEX(醫師週班表!$C$5:$T$44,$CU10,CA$57),""),2,1)="(",LEFT(IFERROR(INDEX(醫師週班表!$C$5:$T$44,$CU10,CA$57),""),1),IFERROR(INDEX(醫師週班表!$C$5:$T$44,$CU10,CA$57),"")))))))</f>
        <v/>
      </c>
      <c r="CB10" s="67">
        <f>IF(CB$59="X","",IF(CB$59&lt;&gt;"",CB$59,IF(IFERROR(INDEX(醫師週班表!$C$5:$T$44,$CU10,CB$57),"")=0,"",IF(MID(IFERROR(INDEX(醫師週班表!$C$5:$T$44,$CU10,CB$57),""),2,1)="/",MID(IFERROR(INDEX(醫師週班表!$C$5:$T$44,$CU10,CB$57),""),1+CB$58*2,1),IF(MID(IFERROR(INDEX(醫師週班表!$C$5:$T$44,$CU10,CB$57),""),3,1)="隔",IF(CB$58=0,LEFT(IFERROR(INDEX(醫師週班表!$C$5:$T$44,$CU10,CB$57),""),1),""),IF(MID(IFERROR(INDEX(醫師週班表!$C$5:$T$44,$CU10,CB$57),""),2,1)="(",LEFT(IFERROR(INDEX(醫師週班表!$C$5:$T$44,$CU10,CB$57),""),1),IFERROR(INDEX(醫師週班表!$C$5:$T$44,$CU10,CB$57),"")))))))</f>
        <v/>
      </c>
      <c r="CC10" s="68">
        <f>IF(CC$59="X","",IF(CC$59&lt;&gt;"",CC$59,IF(IFERROR(INDEX(醫師週班表!$C$5:$T$44,$CU10,CC$57),"")=0,"",IF(MID(IFERROR(INDEX(醫師週班表!$C$5:$T$44,$CU10,CC$57),""),2,1)="/",MID(IFERROR(INDEX(醫師週班表!$C$5:$T$44,$CU10,CC$57),""),1+CC$58*2,1),IF(MID(IFERROR(INDEX(醫師週班表!$C$5:$T$44,$CU10,CC$57),""),3,1)="隔",IF(CC$58=0,LEFT(IFERROR(INDEX(醫師週班表!$C$5:$T$44,$CU10,CC$57),""),1),""),IF(MID(IFERROR(INDEX(醫師週班表!$C$5:$T$44,$CU10,CC$57),""),2,1)="(",LEFT(IFERROR(INDEX(醫師週班表!$C$5:$T$44,$CU10,CC$57),""),1),IFERROR(INDEX(醫師週班表!$C$5:$T$44,$CU10,CC$57),"")))))))</f>
        <v/>
      </c>
      <c r="CD10" s="68">
        <f>IF(CD$59="X","",IF(CD$59&lt;&gt;"",CD$59,IF(IFERROR(INDEX(醫師週班表!$C$5:$T$44,$CU10,CD$57),"")=0,"",IF(MID(IFERROR(INDEX(醫師週班表!$C$5:$T$44,$CU10,CD$57),""),2,1)="/",MID(IFERROR(INDEX(醫師週班表!$C$5:$T$44,$CU10,CD$57),""),1+CD$58*2,1),IF(MID(IFERROR(INDEX(醫師週班表!$C$5:$T$44,$CU10,CD$57),""),3,1)="隔",IF(CD$58=0,LEFT(IFERROR(INDEX(醫師週班表!$C$5:$T$44,$CU10,CD$57),""),1),""),IF(MID(IFERROR(INDEX(醫師週班表!$C$5:$T$44,$CU10,CD$57),""),2,1)="(",LEFT(IFERROR(INDEX(醫師週班表!$C$5:$T$44,$CU10,CD$57),""),1),IFERROR(INDEX(醫師週班表!$C$5:$T$44,$CU10,CD$57),"")))))))</f>
        <v/>
      </c>
      <c r="CE10" s="67">
        <f>IF(CE$59="X","",IF(CE$59&lt;&gt;"",CE$59,IF(IFERROR(INDEX(醫師週班表!$C$5:$T$44,$CU10,CE$57),"")=0,"",IF(MID(IFERROR(INDEX(醫師週班表!$C$5:$T$44,$CU10,CE$57),""),2,1)="/",MID(IFERROR(INDEX(醫師週班表!$C$5:$T$44,$CU10,CE$57),""),1+CE$58*2,1),IF(MID(IFERROR(INDEX(醫師週班表!$C$5:$T$44,$CU10,CE$57),""),3,1)="隔",IF(CE$58=0,LEFT(IFERROR(INDEX(醫師週班表!$C$5:$T$44,$CU10,CE$57),""),1),""),IF(MID(IFERROR(INDEX(醫師週班表!$C$5:$T$44,$CU10,CE$57),""),2,1)="(",LEFT(IFERROR(INDEX(醫師週班表!$C$5:$T$44,$CU10,CE$57),""),1),IFERROR(INDEX(醫師週班表!$C$5:$T$44,$CU10,CE$57),"")))))))</f>
        <v/>
      </c>
      <c r="CF10" s="68">
        <f>IF(CF$59="X","",IF(CF$59&lt;&gt;"",CF$59,IF(IFERROR(INDEX(醫師週班表!$C$5:$T$44,$CU10,CF$57),"")=0,"",IF(MID(IFERROR(INDEX(醫師週班表!$C$5:$T$44,$CU10,CF$57),""),2,1)="/",MID(IFERROR(INDEX(醫師週班表!$C$5:$T$44,$CU10,CF$57),""),1+CF$58*2,1),IF(MID(IFERROR(INDEX(醫師週班表!$C$5:$T$44,$CU10,CF$57),""),3,1)="隔",IF(CF$58=0,LEFT(IFERROR(INDEX(醫師週班表!$C$5:$T$44,$CU10,CF$57),""),1),""),IF(MID(IFERROR(INDEX(醫師週班表!$C$5:$T$44,$CU10,CF$57),""),2,1)="(",LEFT(IFERROR(INDEX(醫師週班表!$C$5:$T$44,$CU10,CF$57),""),1),IFERROR(INDEX(醫師週班表!$C$5:$T$44,$CU10,CF$57),"")))))))</f>
        <v/>
      </c>
      <c r="CG10" s="68">
        <f>IF(CG$59="X","",IF(CG$59&lt;&gt;"",CG$59,IF(IFERROR(INDEX(醫師週班表!$C$5:$T$44,$CU10,CG$57),"")=0,"",IF(MID(IFERROR(INDEX(醫師週班表!$C$5:$T$44,$CU10,CG$57),""),2,1)="/",MID(IFERROR(INDEX(醫師週班表!$C$5:$T$44,$CU10,CG$57),""),1+CG$58*2,1),IF(MID(IFERROR(INDEX(醫師週班表!$C$5:$T$44,$CU10,CG$57),""),3,1)="隔",IF(CG$58=0,LEFT(IFERROR(INDEX(醫師週班表!$C$5:$T$44,$CU10,CG$57),""),1),""),IF(MID(IFERROR(INDEX(醫師週班表!$C$5:$T$44,$CU10,CG$57),""),2,1)="(",LEFT(IFERROR(INDEX(醫師週班表!$C$5:$T$44,$CU10,CG$57),""),1),IFERROR(INDEX(醫師週班表!$C$5:$T$44,$CU10,CG$57),"")))))))</f>
        <v/>
      </c>
      <c r="CH10" s="67">
        <f>IF(CH$59="X","",IF(CH$59&lt;&gt;"",CH$59,IF(IFERROR(INDEX(醫師週班表!$C$5:$T$44,$CU10,CH$57),"")=0,"",IF(MID(IFERROR(INDEX(醫師週班表!$C$5:$T$44,$CU10,CH$57),""),2,1)="/",MID(IFERROR(INDEX(醫師週班表!$C$5:$T$44,$CU10,CH$57),""),1+CH$58*2,1),IF(MID(IFERROR(INDEX(醫師週班表!$C$5:$T$44,$CU10,CH$57),""),3,1)="隔",IF(CH$58=0,LEFT(IFERROR(INDEX(醫師週班表!$C$5:$T$44,$CU10,CH$57),""),1),""),IF(MID(IFERROR(INDEX(醫師週班表!$C$5:$T$44,$CU10,CH$57),""),2,1)="(",LEFT(IFERROR(INDEX(醫師週班表!$C$5:$T$44,$CU10,CH$57),""),1),IFERROR(INDEX(醫師週班表!$C$5:$T$44,$CU10,CH$57),"")))))))</f>
        <v/>
      </c>
      <c r="CI10" s="68">
        <f>IF(CI$59="X","",IF(CI$59&lt;&gt;"",CI$59,IF(IFERROR(INDEX(醫師週班表!$C$5:$T$44,$CU10,CI$57),"")=0,"",IF(MID(IFERROR(INDEX(醫師週班表!$C$5:$T$44,$CU10,CI$57),""),2,1)="/",MID(IFERROR(INDEX(醫師週班表!$C$5:$T$44,$CU10,CI$57),""),1+CI$58*2,1),IF(MID(IFERROR(INDEX(醫師週班表!$C$5:$T$44,$CU10,CI$57),""),3,1)="隔",IF(CI$58=0,LEFT(IFERROR(INDEX(醫師週班表!$C$5:$T$44,$CU10,CI$57),""),1),""),IF(MID(IFERROR(INDEX(醫師週班表!$C$5:$T$44,$CU10,CI$57),""),2,1)="(",LEFT(IFERROR(INDEX(醫師週班表!$C$5:$T$44,$CU10,CI$57),""),1),IFERROR(INDEX(醫師週班表!$C$5:$T$44,$CU10,CI$57),"")))))))</f>
        <v/>
      </c>
      <c r="CJ10" s="68">
        <f>IF(CJ$59="X","",IF(CJ$59&lt;&gt;"",CJ$59,IF(IFERROR(INDEX(醫師週班表!$C$5:$T$44,$CU10,CJ$57),"")=0,"",IF(MID(IFERROR(INDEX(醫師週班表!$C$5:$T$44,$CU10,CJ$57),""),2,1)="/",MID(IFERROR(INDEX(醫師週班表!$C$5:$T$44,$CU10,CJ$57),""),1+CJ$58*2,1),IF(MID(IFERROR(INDEX(醫師週班表!$C$5:$T$44,$CU10,CJ$57),""),3,1)="隔",IF(CJ$58=0,LEFT(IFERROR(INDEX(醫師週班表!$C$5:$T$44,$CU10,CJ$57),""),1),""),IF(MID(IFERROR(INDEX(醫師週班表!$C$5:$T$44,$CU10,CJ$57),""),2,1)="(",LEFT(IFERROR(INDEX(醫師週班表!$C$5:$T$44,$CU10,CJ$57),""),1),IFERROR(INDEX(醫師週班表!$C$5:$T$44,$CU10,CJ$57),"")))))))</f>
        <v/>
      </c>
      <c r="CK10" s="67">
        <f>IF(CK$59="X","",IF(CK$59&lt;&gt;"",CK$59,IF(IFERROR(INDEX(醫師週班表!$C$5:$T$44,$CU10,CK$57),"")=0,"",IF(MID(IFERROR(INDEX(醫師週班表!$C$5:$T$44,$CU10,CK$57),""),2,1)="/",MID(IFERROR(INDEX(醫師週班表!$C$5:$T$44,$CU10,CK$57),""),1+CK$58*2,1),IF(MID(IFERROR(INDEX(醫師週班表!$C$5:$T$44,$CU10,CK$57),""),3,1)="隔",IF(CK$58=0,LEFT(IFERROR(INDEX(醫師週班表!$C$5:$T$44,$CU10,CK$57),""),1),""),IF(MID(IFERROR(INDEX(醫師週班表!$C$5:$T$44,$CU10,CK$57),""),2,1)="(",LEFT(IFERROR(INDEX(醫師週班表!$C$5:$T$44,$CU10,CK$57),""),1),IFERROR(INDEX(醫師週班表!$C$5:$T$44,$CU10,CK$57),"")))))))</f>
        <v/>
      </c>
      <c r="CL10" s="68">
        <f>IF(CL$59="X","",IF(CL$59&lt;&gt;"",CL$59,IF(IFERROR(INDEX(醫師週班表!$C$5:$T$44,$CU10,CL$57),"")=0,"",IF(MID(IFERROR(INDEX(醫師週班表!$C$5:$T$44,$CU10,CL$57),""),2,1)="/",MID(IFERROR(INDEX(醫師週班表!$C$5:$T$44,$CU10,CL$57),""),1+CL$58*2,1),IF(MID(IFERROR(INDEX(醫師週班表!$C$5:$T$44,$CU10,CL$57),""),3,1)="隔",IF(CL$58=0,LEFT(IFERROR(INDEX(醫師週班表!$C$5:$T$44,$CU10,CL$57),""),1),""),IF(MID(IFERROR(INDEX(醫師週班表!$C$5:$T$44,$CU10,CL$57),""),2,1)="(",LEFT(IFERROR(INDEX(醫師週班表!$C$5:$T$44,$CU10,CL$57),""),1),IFERROR(INDEX(醫師週班表!$C$5:$T$44,$CU10,CL$57),"")))))))</f>
        <v/>
      </c>
      <c r="CM10" s="68">
        <f>IF(CM$59="X","",IF(CM$59&lt;&gt;"",CM$59,IF(IFERROR(INDEX(醫師週班表!$C$5:$T$44,$CU10,CM$57),"")=0,"",IF(MID(IFERROR(INDEX(醫師週班表!$C$5:$T$44,$CU10,CM$57),""),2,1)="/",MID(IFERROR(INDEX(醫師週班表!$C$5:$T$44,$CU10,CM$57),""),1+CM$58*2,1),IF(MID(IFERROR(INDEX(醫師週班表!$C$5:$T$44,$CU10,CM$57),""),3,1)="隔",IF(CM$58=0,LEFT(IFERROR(INDEX(醫師週班表!$C$5:$T$44,$CU10,CM$57),""),1),""),IF(MID(IFERROR(INDEX(醫師週班表!$C$5:$T$44,$CU10,CM$57),""),2,1)="(",LEFT(IFERROR(INDEX(醫師週班表!$C$5:$T$44,$CU10,CM$57),""),1),IFERROR(INDEX(醫師週班表!$C$5:$T$44,$CU10,CM$57),"")))))))</f>
        <v/>
      </c>
      <c r="CN10" s="67">
        <f>IF(CN$59="X","",IF(CN$59&lt;&gt;"",CN$59,IF(IFERROR(INDEX(醫師週班表!$C$5:$T$44,$CU10,CN$57),"")=0,"",IF(MID(IFERROR(INDEX(醫師週班表!$C$5:$T$44,$CU10,CN$57),""),2,1)="/",MID(IFERROR(INDEX(醫師週班表!$C$5:$T$44,$CU10,CN$57),""),1+CN$58*2,1),IF(MID(IFERROR(INDEX(醫師週班表!$C$5:$T$44,$CU10,CN$57),""),3,1)="隔",IF(CN$58=0,LEFT(IFERROR(INDEX(醫師週班表!$C$5:$T$44,$CU10,CN$57),""),1),""),IF(MID(IFERROR(INDEX(醫師週班表!$C$5:$T$44,$CU10,CN$57),""),2,1)="(",LEFT(IFERROR(INDEX(醫師週班表!$C$5:$T$44,$CU10,CN$57),""),1),IFERROR(INDEX(醫師週班表!$C$5:$T$44,$CU10,CN$57),"")))))))</f>
        <v/>
      </c>
      <c r="CO10" s="68">
        <f>IF(CO$59="X","",IF(CO$59&lt;&gt;"",CO$59,IF(IFERROR(INDEX(醫師週班表!$C$5:$T$44,$CU10,CO$57),"")=0,"",IF(MID(IFERROR(INDEX(醫師週班表!$C$5:$T$44,$CU10,CO$57),""),2,1)="/",MID(IFERROR(INDEX(醫師週班表!$C$5:$T$44,$CU10,CO$57),""),1+CO$58*2,1),IF(MID(IFERROR(INDEX(醫師週班表!$C$5:$T$44,$CU10,CO$57),""),3,1)="隔",IF(CO$58=0,LEFT(IFERROR(INDEX(醫師週班表!$C$5:$T$44,$CU10,CO$57),""),1),""),IF(MID(IFERROR(INDEX(醫師週班表!$C$5:$T$44,$CU10,CO$57),""),2,1)="(",LEFT(IFERROR(INDEX(醫師週班表!$C$5:$T$44,$CU10,CO$57),""),1),IFERROR(INDEX(醫師週班表!$C$5:$T$44,$CU10,CO$57),"")))))))</f>
        <v/>
      </c>
      <c r="CP10" s="68">
        <f>IF(CP$59="X","",IF(CP$59&lt;&gt;"",CP$59,IF(IFERROR(INDEX(醫師週班表!$C$5:$T$44,$CU10,CP$57),"")=0,"",IF(MID(IFERROR(INDEX(醫師週班表!$C$5:$T$44,$CU10,CP$57),""),2,1)="/",MID(IFERROR(INDEX(醫師週班表!$C$5:$T$44,$CU10,CP$57),""),1+CP$58*2,1),IF(MID(IFERROR(INDEX(醫師週班表!$C$5:$T$44,$CU10,CP$57),""),3,1)="隔",IF(CP$58=0,LEFT(IFERROR(INDEX(醫師週班表!$C$5:$T$44,$CU10,CP$57),""),1),""),IF(MID(IFERROR(INDEX(醫師週班表!$C$5:$T$44,$CU10,CP$57),""),2,1)="(",LEFT(IFERROR(INDEX(醫師週班表!$C$5:$T$44,$CU10,CP$57),""),1),IFERROR(INDEX(醫師週班表!$C$5:$T$44,$CU10,CP$57),"")))))))</f>
        <v/>
      </c>
      <c r="CQ10" s="67">
        <f>IF(CQ$59="X","",IF(CQ$59&lt;&gt;"",CQ$59,IF(IFERROR(INDEX(醫師週班表!$C$5:$T$44,$CU10,CQ$57),"")=0,"",IF(MID(IFERROR(INDEX(醫師週班表!$C$5:$T$44,$CU10,CQ$57),""),2,1)="/",MID(IFERROR(INDEX(醫師週班表!$C$5:$T$44,$CU10,CQ$57),""),1+CQ$58*2,1),IF(MID(IFERROR(INDEX(醫師週班表!$C$5:$T$44,$CU10,CQ$57),""),3,1)="隔",IF(CQ$58=0,LEFT(IFERROR(INDEX(醫師週班表!$C$5:$T$44,$CU10,CQ$57),""),1),""),IF(MID(IFERROR(INDEX(醫師週班表!$C$5:$T$44,$CU10,CQ$57),""),2,1)="(",LEFT(IFERROR(INDEX(醫師週班表!$C$5:$T$44,$CU10,CQ$57),""),1),IFERROR(INDEX(醫師週班表!$C$5:$T$44,$CU10,CQ$57),"")))))))</f>
        <v/>
      </c>
      <c r="CR10" s="68">
        <f>IF(CR$59="X","",IF(CR$59&lt;&gt;"",CR$59,IF(IFERROR(INDEX(醫師週班表!$C$5:$T$44,$CU10,CR$57),"")=0,"",IF(MID(IFERROR(INDEX(醫師週班表!$C$5:$T$44,$CU10,CR$57),""),2,1)="/",MID(IFERROR(INDEX(醫師週班表!$C$5:$T$44,$CU10,CR$57),""),1+CR$58*2,1),IF(MID(IFERROR(INDEX(醫師週班表!$C$5:$T$44,$CU10,CR$57),""),3,1)="隔",IF(CR$58=0,LEFT(IFERROR(INDEX(醫師週班表!$C$5:$T$44,$CU10,CR$57),""),1),""),IF(MID(IFERROR(INDEX(醫師週班表!$C$5:$T$44,$CU10,CR$57),""),2,1)="(",LEFT(IFERROR(INDEX(醫師週班表!$C$5:$T$44,$CU10,CR$57),""),1),IFERROR(INDEX(醫師週班表!$C$5:$T$44,$CU10,CR$57),"")))))))</f>
        <v/>
      </c>
      <c r="CS10" s="68">
        <f>IF(CS$59="X","",IF(CS$59&lt;&gt;"",CS$59,IF(IFERROR(INDEX(醫師週班表!$C$5:$T$44,$CU10,CS$57),"")=0,"",IF(MID(IFERROR(INDEX(醫師週班表!$C$5:$T$44,$CU10,CS$57),""),2,1)="/",MID(IFERROR(INDEX(醫師週班表!$C$5:$T$44,$CU10,CS$57),""),1+CS$58*2,1),IF(MID(IFERROR(INDEX(醫師週班表!$C$5:$T$44,$CU10,CS$57),""),3,1)="隔",IF(CS$58=0,LEFT(IFERROR(INDEX(醫師週班表!$C$5:$T$44,$CU10,CS$57),""),1),""),IF(MID(IFERROR(INDEX(醫師週班表!$C$5:$T$44,$CU10,CS$57),""),2,1)="(",LEFT(IFERROR(INDEX(醫師週班表!$C$5:$T$44,$CU10,CS$57),""),1),IFERROR(INDEX(醫師週班表!$C$5:$T$44,$CU10,CS$57),"")))))))</f>
        <v/>
      </c>
      <c r="CU10" s="69">
        <f>IFERROR(MATCH($A10,醫師週班表!$A$5:$A$44,0),0)</f>
        <v/>
      </c>
    </row>
    <row r="11" ht="17" customHeight="1">
      <c r="A11" s="20" t="inlineStr">
        <is>
          <t>D006</t>
        </is>
      </c>
      <c r="B11" s="16" t="inlineStr">
        <is>
          <t>黃榆鈞</t>
        </is>
      </c>
      <c r="C11" s="66" t="inlineStr">
        <is>
          <t>矯正專科</t>
        </is>
      </c>
      <c r="D11" s="16" t="inlineStr"/>
      <c r="E11" s="67">
        <f>IF(E$59="X","",IF(E$59&lt;&gt;"",E$59,IF(IFERROR(INDEX(醫師週班表!$C$5:$T$44,$CU11,E$57),"")=0,"",IF(MID(IFERROR(INDEX(醫師週班表!$C$5:$T$44,$CU11,E$57),""),2,1)="/",MID(IFERROR(INDEX(醫師週班表!$C$5:$T$44,$CU11,E$57),""),1+E$58*2,1),IF(MID(IFERROR(INDEX(醫師週班表!$C$5:$T$44,$CU11,E$57),""),3,1)="隔",IF(E$58=0,LEFT(IFERROR(INDEX(醫師週班表!$C$5:$T$44,$CU11,E$57),""),1),""),IF(MID(IFERROR(INDEX(醫師週班表!$C$5:$T$44,$CU11,E$57),""),2,1)="(",LEFT(IFERROR(INDEX(醫師週班表!$C$5:$T$44,$CU11,E$57),""),1),IFERROR(INDEX(醫師週班表!$C$5:$T$44,$CU11,E$57),"")))))))</f>
        <v/>
      </c>
      <c r="F11" s="68">
        <f>IF(F$59="X","",IF(F$59&lt;&gt;"",F$59,IF(IFERROR(INDEX(醫師週班表!$C$5:$T$44,$CU11,F$57),"")=0,"",IF(MID(IFERROR(INDEX(醫師週班表!$C$5:$T$44,$CU11,F$57),""),2,1)="/",MID(IFERROR(INDEX(醫師週班表!$C$5:$T$44,$CU11,F$57),""),1+F$58*2,1),IF(MID(IFERROR(INDEX(醫師週班表!$C$5:$T$44,$CU11,F$57),""),3,1)="隔",IF(F$58=0,LEFT(IFERROR(INDEX(醫師週班表!$C$5:$T$44,$CU11,F$57),""),1),""),IF(MID(IFERROR(INDEX(醫師週班表!$C$5:$T$44,$CU11,F$57),""),2,1)="(",LEFT(IFERROR(INDEX(醫師週班表!$C$5:$T$44,$CU11,F$57),""),1),IFERROR(INDEX(醫師週班表!$C$5:$T$44,$CU11,F$57),"")))))))</f>
        <v/>
      </c>
      <c r="G11" s="68">
        <f>IF(G$59="X","",IF(G$59&lt;&gt;"",G$59,IF(IFERROR(INDEX(醫師週班表!$C$5:$T$44,$CU11,G$57),"")=0,"",IF(MID(IFERROR(INDEX(醫師週班表!$C$5:$T$44,$CU11,G$57),""),2,1)="/",MID(IFERROR(INDEX(醫師週班表!$C$5:$T$44,$CU11,G$57),""),1+G$58*2,1),IF(MID(IFERROR(INDEX(醫師週班表!$C$5:$T$44,$CU11,G$57),""),3,1)="隔",IF(G$58=0,LEFT(IFERROR(INDEX(醫師週班表!$C$5:$T$44,$CU11,G$57),""),1),""),IF(MID(IFERROR(INDEX(醫師週班表!$C$5:$T$44,$CU11,G$57),""),2,1)="(",LEFT(IFERROR(INDEX(醫師週班表!$C$5:$T$44,$CU11,G$57),""),1),IFERROR(INDEX(醫師週班表!$C$5:$T$44,$CU11,G$57),"")))))))</f>
        <v/>
      </c>
      <c r="H11" s="67">
        <f>IF(H$59="X","",IF(H$59&lt;&gt;"",H$59,IF(IFERROR(INDEX(醫師週班表!$C$5:$T$44,$CU11,H$57),"")=0,"",IF(MID(IFERROR(INDEX(醫師週班表!$C$5:$T$44,$CU11,H$57),""),2,1)="/",MID(IFERROR(INDEX(醫師週班表!$C$5:$T$44,$CU11,H$57),""),1+H$58*2,1),IF(MID(IFERROR(INDEX(醫師週班表!$C$5:$T$44,$CU11,H$57),""),3,1)="隔",IF(H$58=0,LEFT(IFERROR(INDEX(醫師週班表!$C$5:$T$44,$CU11,H$57),""),1),""),IF(MID(IFERROR(INDEX(醫師週班表!$C$5:$T$44,$CU11,H$57),""),2,1)="(",LEFT(IFERROR(INDEX(醫師週班表!$C$5:$T$44,$CU11,H$57),""),1),IFERROR(INDEX(醫師週班表!$C$5:$T$44,$CU11,H$57),"")))))))</f>
        <v/>
      </c>
      <c r="I11" s="68">
        <f>IF(I$59="X","",IF(I$59&lt;&gt;"",I$59,IF(IFERROR(INDEX(醫師週班表!$C$5:$T$44,$CU11,I$57),"")=0,"",IF(MID(IFERROR(INDEX(醫師週班表!$C$5:$T$44,$CU11,I$57),""),2,1)="/",MID(IFERROR(INDEX(醫師週班表!$C$5:$T$44,$CU11,I$57),""),1+I$58*2,1),IF(MID(IFERROR(INDEX(醫師週班表!$C$5:$T$44,$CU11,I$57),""),3,1)="隔",IF(I$58=0,LEFT(IFERROR(INDEX(醫師週班表!$C$5:$T$44,$CU11,I$57),""),1),""),IF(MID(IFERROR(INDEX(醫師週班表!$C$5:$T$44,$CU11,I$57),""),2,1)="(",LEFT(IFERROR(INDEX(醫師週班表!$C$5:$T$44,$CU11,I$57),""),1),IFERROR(INDEX(醫師週班表!$C$5:$T$44,$CU11,I$57),"")))))))</f>
        <v/>
      </c>
      <c r="J11" s="68">
        <f>IF(J$59="X","",IF(J$59&lt;&gt;"",J$59,IF(IFERROR(INDEX(醫師週班表!$C$5:$T$44,$CU11,J$57),"")=0,"",IF(MID(IFERROR(INDEX(醫師週班表!$C$5:$T$44,$CU11,J$57),""),2,1)="/",MID(IFERROR(INDEX(醫師週班表!$C$5:$T$44,$CU11,J$57),""),1+J$58*2,1),IF(MID(IFERROR(INDEX(醫師週班表!$C$5:$T$44,$CU11,J$57),""),3,1)="隔",IF(J$58=0,LEFT(IFERROR(INDEX(醫師週班表!$C$5:$T$44,$CU11,J$57),""),1),""),IF(MID(IFERROR(INDEX(醫師週班表!$C$5:$T$44,$CU11,J$57),""),2,1)="(",LEFT(IFERROR(INDEX(醫師週班表!$C$5:$T$44,$CU11,J$57),""),1),IFERROR(INDEX(醫師週班表!$C$5:$T$44,$CU11,J$57),"")))))))</f>
        <v/>
      </c>
      <c r="K11" s="67">
        <f>IF(K$59="X","",IF(K$59&lt;&gt;"",K$59,IF(IFERROR(INDEX(醫師週班表!$C$5:$T$44,$CU11,K$57),"")=0,"",IF(MID(IFERROR(INDEX(醫師週班表!$C$5:$T$44,$CU11,K$57),""),2,1)="/",MID(IFERROR(INDEX(醫師週班表!$C$5:$T$44,$CU11,K$57),""),1+K$58*2,1),IF(MID(IFERROR(INDEX(醫師週班表!$C$5:$T$44,$CU11,K$57),""),3,1)="隔",IF(K$58=0,LEFT(IFERROR(INDEX(醫師週班表!$C$5:$T$44,$CU11,K$57),""),1),""),IF(MID(IFERROR(INDEX(醫師週班表!$C$5:$T$44,$CU11,K$57),""),2,1)="(",LEFT(IFERROR(INDEX(醫師週班表!$C$5:$T$44,$CU11,K$57),""),1),IFERROR(INDEX(醫師週班表!$C$5:$T$44,$CU11,K$57),"")))))))</f>
        <v/>
      </c>
      <c r="L11" s="68">
        <f>IF(L$59="X","",IF(L$59&lt;&gt;"",L$59,IF(IFERROR(INDEX(醫師週班表!$C$5:$T$44,$CU11,L$57),"")=0,"",IF(MID(IFERROR(INDEX(醫師週班表!$C$5:$T$44,$CU11,L$57),""),2,1)="/",MID(IFERROR(INDEX(醫師週班表!$C$5:$T$44,$CU11,L$57),""),1+L$58*2,1),IF(MID(IFERROR(INDEX(醫師週班表!$C$5:$T$44,$CU11,L$57),""),3,1)="隔",IF(L$58=0,LEFT(IFERROR(INDEX(醫師週班表!$C$5:$T$44,$CU11,L$57),""),1),""),IF(MID(IFERROR(INDEX(醫師週班表!$C$5:$T$44,$CU11,L$57),""),2,1)="(",LEFT(IFERROR(INDEX(醫師週班表!$C$5:$T$44,$CU11,L$57),""),1),IFERROR(INDEX(醫師週班表!$C$5:$T$44,$CU11,L$57),"")))))))</f>
        <v/>
      </c>
      <c r="M11" s="68">
        <f>IF(M$59="X","",IF(M$59&lt;&gt;"",M$59,IF(IFERROR(INDEX(醫師週班表!$C$5:$T$44,$CU11,M$57),"")=0,"",IF(MID(IFERROR(INDEX(醫師週班表!$C$5:$T$44,$CU11,M$57),""),2,1)="/",MID(IFERROR(INDEX(醫師週班表!$C$5:$T$44,$CU11,M$57),""),1+M$58*2,1),IF(MID(IFERROR(INDEX(醫師週班表!$C$5:$T$44,$CU11,M$57),""),3,1)="隔",IF(M$58=0,LEFT(IFERROR(INDEX(醫師週班表!$C$5:$T$44,$CU11,M$57),""),1),""),IF(MID(IFERROR(INDEX(醫師週班表!$C$5:$T$44,$CU11,M$57),""),2,1)="(",LEFT(IFERROR(INDEX(醫師週班表!$C$5:$T$44,$CU11,M$57),""),1),IFERROR(INDEX(醫師週班表!$C$5:$T$44,$CU11,M$57),"")))))))</f>
        <v/>
      </c>
      <c r="N11" s="67">
        <f>IF(N$59="X","",IF(N$59&lt;&gt;"",N$59,IF(IFERROR(INDEX(醫師週班表!$C$5:$T$44,$CU11,N$57),"")=0,"",IF(MID(IFERROR(INDEX(醫師週班表!$C$5:$T$44,$CU11,N$57),""),2,1)="/",MID(IFERROR(INDEX(醫師週班表!$C$5:$T$44,$CU11,N$57),""),1+N$58*2,1),IF(MID(IFERROR(INDEX(醫師週班表!$C$5:$T$44,$CU11,N$57),""),3,1)="隔",IF(N$58=0,LEFT(IFERROR(INDEX(醫師週班表!$C$5:$T$44,$CU11,N$57),""),1),""),IF(MID(IFERROR(INDEX(醫師週班表!$C$5:$T$44,$CU11,N$57),""),2,1)="(",LEFT(IFERROR(INDEX(醫師週班表!$C$5:$T$44,$CU11,N$57),""),1),IFERROR(INDEX(醫師週班表!$C$5:$T$44,$CU11,N$57),"")))))))</f>
        <v/>
      </c>
      <c r="O11" s="68">
        <f>IF(O$59="X","",IF(O$59&lt;&gt;"",O$59,IF(IFERROR(INDEX(醫師週班表!$C$5:$T$44,$CU11,O$57),"")=0,"",IF(MID(IFERROR(INDEX(醫師週班表!$C$5:$T$44,$CU11,O$57),""),2,1)="/",MID(IFERROR(INDEX(醫師週班表!$C$5:$T$44,$CU11,O$57),""),1+O$58*2,1),IF(MID(IFERROR(INDEX(醫師週班表!$C$5:$T$44,$CU11,O$57),""),3,1)="隔",IF(O$58=0,LEFT(IFERROR(INDEX(醫師週班表!$C$5:$T$44,$CU11,O$57),""),1),""),IF(MID(IFERROR(INDEX(醫師週班表!$C$5:$T$44,$CU11,O$57),""),2,1)="(",LEFT(IFERROR(INDEX(醫師週班表!$C$5:$T$44,$CU11,O$57),""),1),IFERROR(INDEX(醫師週班表!$C$5:$T$44,$CU11,O$57),"")))))))</f>
        <v/>
      </c>
      <c r="P11" s="68">
        <f>IF(P$59="X","",IF(P$59&lt;&gt;"",P$59,IF(IFERROR(INDEX(醫師週班表!$C$5:$T$44,$CU11,P$57),"")=0,"",IF(MID(IFERROR(INDEX(醫師週班表!$C$5:$T$44,$CU11,P$57),""),2,1)="/",MID(IFERROR(INDEX(醫師週班表!$C$5:$T$44,$CU11,P$57),""),1+P$58*2,1),IF(MID(IFERROR(INDEX(醫師週班表!$C$5:$T$44,$CU11,P$57),""),3,1)="隔",IF(P$58=0,LEFT(IFERROR(INDEX(醫師週班表!$C$5:$T$44,$CU11,P$57),""),1),""),IF(MID(IFERROR(INDEX(醫師週班表!$C$5:$T$44,$CU11,P$57),""),2,1)="(",LEFT(IFERROR(INDEX(醫師週班表!$C$5:$T$44,$CU11,P$57),""),1),IFERROR(INDEX(醫師週班表!$C$5:$T$44,$CU11,P$57),"")))))))</f>
        <v/>
      </c>
      <c r="Q11" s="67">
        <f>IF(Q$59="X","",IF(Q$59&lt;&gt;"",Q$59,IF(IFERROR(INDEX(醫師週班表!$C$5:$T$44,$CU11,Q$57),"")=0,"",IF(MID(IFERROR(INDEX(醫師週班表!$C$5:$T$44,$CU11,Q$57),""),2,1)="/",MID(IFERROR(INDEX(醫師週班表!$C$5:$T$44,$CU11,Q$57),""),1+Q$58*2,1),IF(MID(IFERROR(INDEX(醫師週班表!$C$5:$T$44,$CU11,Q$57),""),3,1)="隔",IF(Q$58=0,LEFT(IFERROR(INDEX(醫師週班表!$C$5:$T$44,$CU11,Q$57),""),1),""),IF(MID(IFERROR(INDEX(醫師週班表!$C$5:$T$44,$CU11,Q$57),""),2,1)="(",LEFT(IFERROR(INDEX(醫師週班表!$C$5:$T$44,$CU11,Q$57),""),1),IFERROR(INDEX(醫師週班表!$C$5:$T$44,$CU11,Q$57),"")))))))</f>
        <v/>
      </c>
      <c r="R11" s="68">
        <f>IF(R$59="X","",IF(R$59&lt;&gt;"",R$59,IF(IFERROR(INDEX(醫師週班表!$C$5:$T$44,$CU11,R$57),"")=0,"",IF(MID(IFERROR(INDEX(醫師週班表!$C$5:$T$44,$CU11,R$57),""),2,1)="/",MID(IFERROR(INDEX(醫師週班表!$C$5:$T$44,$CU11,R$57),""),1+R$58*2,1),IF(MID(IFERROR(INDEX(醫師週班表!$C$5:$T$44,$CU11,R$57),""),3,1)="隔",IF(R$58=0,LEFT(IFERROR(INDEX(醫師週班表!$C$5:$T$44,$CU11,R$57),""),1),""),IF(MID(IFERROR(INDEX(醫師週班表!$C$5:$T$44,$CU11,R$57),""),2,1)="(",LEFT(IFERROR(INDEX(醫師週班表!$C$5:$T$44,$CU11,R$57),""),1),IFERROR(INDEX(醫師週班表!$C$5:$T$44,$CU11,R$57),"")))))))</f>
        <v/>
      </c>
      <c r="S11" s="68">
        <f>IF(S$59="X","",IF(S$59&lt;&gt;"",S$59,IF(IFERROR(INDEX(醫師週班表!$C$5:$T$44,$CU11,S$57),"")=0,"",IF(MID(IFERROR(INDEX(醫師週班表!$C$5:$T$44,$CU11,S$57),""),2,1)="/",MID(IFERROR(INDEX(醫師週班表!$C$5:$T$44,$CU11,S$57),""),1+S$58*2,1),IF(MID(IFERROR(INDEX(醫師週班表!$C$5:$T$44,$CU11,S$57),""),3,1)="隔",IF(S$58=0,LEFT(IFERROR(INDEX(醫師週班表!$C$5:$T$44,$CU11,S$57),""),1),""),IF(MID(IFERROR(INDEX(醫師週班表!$C$5:$T$44,$CU11,S$57),""),2,1)="(",LEFT(IFERROR(INDEX(醫師週班表!$C$5:$T$44,$CU11,S$57),""),1),IFERROR(INDEX(醫師週班表!$C$5:$T$44,$CU11,S$57),"")))))))</f>
        <v/>
      </c>
      <c r="T11" s="67">
        <f>IF(T$59="X","",IF(T$59&lt;&gt;"",T$59,IF(IFERROR(INDEX(醫師週班表!$C$5:$T$44,$CU11,T$57),"")=0,"",IF(MID(IFERROR(INDEX(醫師週班表!$C$5:$T$44,$CU11,T$57),""),2,1)="/",MID(IFERROR(INDEX(醫師週班表!$C$5:$T$44,$CU11,T$57),""),1+T$58*2,1),IF(MID(IFERROR(INDEX(醫師週班表!$C$5:$T$44,$CU11,T$57),""),3,1)="隔",IF(T$58=0,LEFT(IFERROR(INDEX(醫師週班表!$C$5:$T$44,$CU11,T$57),""),1),""),IF(MID(IFERROR(INDEX(醫師週班表!$C$5:$T$44,$CU11,T$57),""),2,1)="(",LEFT(IFERROR(INDEX(醫師週班表!$C$5:$T$44,$CU11,T$57),""),1),IFERROR(INDEX(醫師週班表!$C$5:$T$44,$CU11,T$57),"")))))))</f>
        <v/>
      </c>
      <c r="U11" s="68">
        <f>IF(U$59="X","",IF(U$59&lt;&gt;"",U$59,IF(IFERROR(INDEX(醫師週班表!$C$5:$T$44,$CU11,U$57),"")=0,"",IF(MID(IFERROR(INDEX(醫師週班表!$C$5:$T$44,$CU11,U$57),""),2,1)="/",MID(IFERROR(INDEX(醫師週班表!$C$5:$T$44,$CU11,U$57),""),1+U$58*2,1),IF(MID(IFERROR(INDEX(醫師週班表!$C$5:$T$44,$CU11,U$57),""),3,1)="隔",IF(U$58=0,LEFT(IFERROR(INDEX(醫師週班表!$C$5:$T$44,$CU11,U$57),""),1),""),IF(MID(IFERROR(INDEX(醫師週班表!$C$5:$T$44,$CU11,U$57),""),2,1)="(",LEFT(IFERROR(INDEX(醫師週班表!$C$5:$T$44,$CU11,U$57),""),1),IFERROR(INDEX(醫師週班表!$C$5:$T$44,$CU11,U$57),"")))))))</f>
        <v/>
      </c>
      <c r="V11" s="68">
        <f>IF(V$59="X","",IF(V$59&lt;&gt;"",V$59,IF(IFERROR(INDEX(醫師週班表!$C$5:$T$44,$CU11,V$57),"")=0,"",IF(MID(IFERROR(INDEX(醫師週班表!$C$5:$T$44,$CU11,V$57),""),2,1)="/",MID(IFERROR(INDEX(醫師週班表!$C$5:$T$44,$CU11,V$57),""),1+V$58*2,1),IF(MID(IFERROR(INDEX(醫師週班表!$C$5:$T$44,$CU11,V$57),""),3,1)="隔",IF(V$58=0,LEFT(IFERROR(INDEX(醫師週班表!$C$5:$T$44,$CU11,V$57),""),1),""),IF(MID(IFERROR(INDEX(醫師週班表!$C$5:$T$44,$CU11,V$57),""),2,1)="(",LEFT(IFERROR(INDEX(醫師週班表!$C$5:$T$44,$CU11,V$57),""),1),IFERROR(INDEX(醫師週班表!$C$5:$T$44,$CU11,V$57),"")))))))</f>
        <v/>
      </c>
      <c r="W11" s="67">
        <f>IF(W$59="X","",IF(W$59&lt;&gt;"",W$59,IF(IFERROR(INDEX(醫師週班表!$C$5:$T$44,$CU11,W$57),"")=0,"",IF(MID(IFERROR(INDEX(醫師週班表!$C$5:$T$44,$CU11,W$57),""),2,1)="/",MID(IFERROR(INDEX(醫師週班表!$C$5:$T$44,$CU11,W$57),""),1+W$58*2,1),IF(MID(IFERROR(INDEX(醫師週班表!$C$5:$T$44,$CU11,W$57),""),3,1)="隔",IF(W$58=0,LEFT(IFERROR(INDEX(醫師週班表!$C$5:$T$44,$CU11,W$57),""),1),""),IF(MID(IFERROR(INDEX(醫師週班表!$C$5:$T$44,$CU11,W$57),""),2,1)="(",LEFT(IFERROR(INDEX(醫師週班表!$C$5:$T$44,$CU11,W$57),""),1),IFERROR(INDEX(醫師週班表!$C$5:$T$44,$CU11,W$57),"")))))))</f>
        <v/>
      </c>
      <c r="X11" s="68">
        <f>IF(X$59="X","",IF(X$59&lt;&gt;"",X$59,IF(IFERROR(INDEX(醫師週班表!$C$5:$T$44,$CU11,X$57),"")=0,"",IF(MID(IFERROR(INDEX(醫師週班表!$C$5:$T$44,$CU11,X$57),""),2,1)="/",MID(IFERROR(INDEX(醫師週班表!$C$5:$T$44,$CU11,X$57),""),1+X$58*2,1),IF(MID(IFERROR(INDEX(醫師週班表!$C$5:$T$44,$CU11,X$57),""),3,1)="隔",IF(X$58=0,LEFT(IFERROR(INDEX(醫師週班表!$C$5:$T$44,$CU11,X$57),""),1),""),IF(MID(IFERROR(INDEX(醫師週班表!$C$5:$T$44,$CU11,X$57),""),2,1)="(",LEFT(IFERROR(INDEX(醫師週班表!$C$5:$T$44,$CU11,X$57),""),1),IFERROR(INDEX(醫師週班表!$C$5:$T$44,$CU11,X$57),"")))))))</f>
        <v/>
      </c>
      <c r="Y11" s="68">
        <f>IF(Y$59="X","",IF(Y$59&lt;&gt;"",Y$59,IF(IFERROR(INDEX(醫師週班表!$C$5:$T$44,$CU11,Y$57),"")=0,"",IF(MID(IFERROR(INDEX(醫師週班表!$C$5:$T$44,$CU11,Y$57),""),2,1)="/",MID(IFERROR(INDEX(醫師週班表!$C$5:$T$44,$CU11,Y$57),""),1+Y$58*2,1),IF(MID(IFERROR(INDEX(醫師週班表!$C$5:$T$44,$CU11,Y$57),""),3,1)="隔",IF(Y$58=0,LEFT(IFERROR(INDEX(醫師週班表!$C$5:$T$44,$CU11,Y$57),""),1),""),IF(MID(IFERROR(INDEX(醫師週班表!$C$5:$T$44,$CU11,Y$57),""),2,1)="(",LEFT(IFERROR(INDEX(醫師週班表!$C$5:$T$44,$CU11,Y$57),""),1),IFERROR(INDEX(醫師週班表!$C$5:$T$44,$CU11,Y$57),"")))))))</f>
        <v/>
      </c>
      <c r="Z11" s="67">
        <f>IF(Z$59="X","",IF(Z$59&lt;&gt;"",Z$59,IF(IFERROR(INDEX(醫師週班表!$C$5:$T$44,$CU11,Z$57),"")=0,"",IF(MID(IFERROR(INDEX(醫師週班表!$C$5:$T$44,$CU11,Z$57),""),2,1)="/",MID(IFERROR(INDEX(醫師週班表!$C$5:$T$44,$CU11,Z$57),""),1+Z$58*2,1),IF(MID(IFERROR(INDEX(醫師週班表!$C$5:$T$44,$CU11,Z$57),""),3,1)="隔",IF(Z$58=0,LEFT(IFERROR(INDEX(醫師週班表!$C$5:$T$44,$CU11,Z$57),""),1),""),IF(MID(IFERROR(INDEX(醫師週班表!$C$5:$T$44,$CU11,Z$57),""),2,1)="(",LEFT(IFERROR(INDEX(醫師週班表!$C$5:$T$44,$CU11,Z$57),""),1),IFERROR(INDEX(醫師週班表!$C$5:$T$44,$CU11,Z$57),"")))))))</f>
        <v/>
      </c>
      <c r="AA11" s="68">
        <f>IF(AA$59="X","",IF(AA$59&lt;&gt;"",AA$59,IF(IFERROR(INDEX(醫師週班表!$C$5:$T$44,$CU11,AA$57),"")=0,"",IF(MID(IFERROR(INDEX(醫師週班表!$C$5:$T$44,$CU11,AA$57),""),2,1)="/",MID(IFERROR(INDEX(醫師週班表!$C$5:$T$44,$CU11,AA$57),""),1+AA$58*2,1),IF(MID(IFERROR(INDEX(醫師週班表!$C$5:$T$44,$CU11,AA$57),""),3,1)="隔",IF(AA$58=0,LEFT(IFERROR(INDEX(醫師週班表!$C$5:$T$44,$CU11,AA$57),""),1),""),IF(MID(IFERROR(INDEX(醫師週班表!$C$5:$T$44,$CU11,AA$57),""),2,1)="(",LEFT(IFERROR(INDEX(醫師週班表!$C$5:$T$44,$CU11,AA$57),""),1),IFERROR(INDEX(醫師週班表!$C$5:$T$44,$CU11,AA$57),"")))))))</f>
        <v/>
      </c>
      <c r="AB11" s="68">
        <f>IF(AB$59="X","",IF(AB$59&lt;&gt;"",AB$59,IF(IFERROR(INDEX(醫師週班表!$C$5:$T$44,$CU11,AB$57),"")=0,"",IF(MID(IFERROR(INDEX(醫師週班表!$C$5:$T$44,$CU11,AB$57),""),2,1)="/",MID(IFERROR(INDEX(醫師週班表!$C$5:$T$44,$CU11,AB$57),""),1+AB$58*2,1),IF(MID(IFERROR(INDEX(醫師週班表!$C$5:$T$44,$CU11,AB$57),""),3,1)="隔",IF(AB$58=0,LEFT(IFERROR(INDEX(醫師週班表!$C$5:$T$44,$CU11,AB$57),""),1),""),IF(MID(IFERROR(INDEX(醫師週班表!$C$5:$T$44,$CU11,AB$57),""),2,1)="(",LEFT(IFERROR(INDEX(醫師週班表!$C$5:$T$44,$CU11,AB$57),""),1),IFERROR(INDEX(醫師週班表!$C$5:$T$44,$CU11,AB$57),"")))))))</f>
        <v/>
      </c>
      <c r="AC11" s="67">
        <f>IF(AC$59="X","",IF(AC$59&lt;&gt;"",AC$59,IF(IFERROR(INDEX(醫師週班表!$C$5:$T$44,$CU11,AC$57),"")=0,"",IF(MID(IFERROR(INDEX(醫師週班表!$C$5:$T$44,$CU11,AC$57),""),2,1)="/",MID(IFERROR(INDEX(醫師週班表!$C$5:$T$44,$CU11,AC$57),""),1+AC$58*2,1),IF(MID(IFERROR(INDEX(醫師週班表!$C$5:$T$44,$CU11,AC$57),""),3,1)="隔",IF(AC$58=0,LEFT(IFERROR(INDEX(醫師週班表!$C$5:$T$44,$CU11,AC$57),""),1),""),IF(MID(IFERROR(INDEX(醫師週班表!$C$5:$T$44,$CU11,AC$57),""),2,1)="(",LEFT(IFERROR(INDEX(醫師週班表!$C$5:$T$44,$CU11,AC$57),""),1),IFERROR(INDEX(醫師週班表!$C$5:$T$44,$CU11,AC$57),"")))))))</f>
        <v/>
      </c>
      <c r="AD11" s="68">
        <f>IF(AD$59="X","",IF(AD$59&lt;&gt;"",AD$59,IF(IFERROR(INDEX(醫師週班表!$C$5:$T$44,$CU11,AD$57),"")=0,"",IF(MID(IFERROR(INDEX(醫師週班表!$C$5:$T$44,$CU11,AD$57),""),2,1)="/",MID(IFERROR(INDEX(醫師週班表!$C$5:$T$44,$CU11,AD$57),""),1+AD$58*2,1),IF(MID(IFERROR(INDEX(醫師週班表!$C$5:$T$44,$CU11,AD$57),""),3,1)="隔",IF(AD$58=0,LEFT(IFERROR(INDEX(醫師週班表!$C$5:$T$44,$CU11,AD$57),""),1),""),IF(MID(IFERROR(INDEX(醫師週班表!$C$5:$T$44,$CU11,AD$57),""),2,1)="(",LEFT(IFERROR(INDEX(醫師週班表!$C$5:$T$44,$CU11,AD$57),""),1),IFERROR(INDEX(醫師週班表!$C$5:$T$44,$CU11,AD$57),"")))))))</f>
        <v/>
      </c>
      <c r="AE11" s="68">
        <f>IF(AE$59="X","",IF(AE$59&lt;&gt;"",AE$59,IF(IFERROR(INDEX(醫師週班表!$C$5:$T$44,$CU11,AE$57),"")=0,"",IF(MID(IFERROR(INDEX(醫師週班表!$C$5:$T$44,$CU11,AE$57),""),2,1)="/",MID(IFERROR(INDEX(醫師週班表!$C$5:$T$44,$CU11,AE$57),""),1+AE$58*2,1),IF(MID(IFERROR(INDEX(醫師週班表!$C$5:$T$44,$CU11,AE$57),""),3,1)="隔",IF(AE$58=0,LEFT(IFERROR(INDEX(醫師週班表!$C$5:$T$44,$CU11,AE$57),""),1),""),IF(MID(IFERROR(INDEX(醫師週班表!$C$5:$T$44,$CU11,AE$57),""),2,1)="(",LEFT(IFERROR(INDEX(醫師週班表!$C$5:$T$44,$CU11,AE$57),""),1),IFERROR(INDEX(醫師週班表!$C$5:$T$44,$CU11,AE$57),"")))))))</f>
        <v/>
      </c>
      <c r="AF11" s="67">
        <f>IF(AF$59="X","",IF(AF$59&lt;&gt;"",AF$59,IF(IFERROR(INDEX(醫師週班表!$C$5:$T$44,$CU11,AF$57),"")=0,"",IF(MID(IFERROR(INDEX(醫師週班表!$C$5:$T$44,$CU11,AF$57),""),2,1)="/",MID(IFERROR(INDEX(醫師週班表!$C$5:$T$44,$CU11,AF$57),""),1+AF$58*2,1),IF(MID(IFERROR(INDEX(醫師週班表!$C$5:$T$44,$CU11,AF$57),""),3,1)="隔",IF(AF$58=0,LEFT(IFERROR(INDEX(醫師週班表!$C$5:$T$44,$CU11,AF$57),""),1),""),IF(MID(IFERROR(INDEX(醫師週班表!$C$5:$T$44,$CU11,AF$57),""),2,1)="(",LEFT(IFERROR(INDEX(醫師週班表!$C$5:$T$44,$CU11,AF$57),""),1),IFERROR(INDEX(醫師週班表!$C$5:$T$44,$CU11,AF$57),"")))))))</f>
        <v/>
      </c>
      <c r="AG11" s="68">
        <f>IF(AG$59="X","",IF(AG$59&lt;&gt;"",AG$59,IF(IFERROR(INDEX(醫師週班表!$C$5:$T$44,$CU11,AG$57),"")=0,"",IF(MID(IFERROR(INDEX(醫師週班表!$C$5:$T$44,$CU11,AG$57),""),2,1)="/",MID(IFERROR(INDEX(醫師週班表!$C$5:$T$44,$CU11,AG$57),""),1+AG$58*2,1),IF(MID(IFERROR(INDEX(醫師週班表!$C$5:$T$44,$CU11,AG$57),""),3,1)="隔",IF(AG$58=0,LEFT(IFERROR(INDEX(醫師週班表!$C$5:$T$44,$CU11,AG$57),""),1),""),IF(MID(IFERROR(INDEX(醫師週班表!$C$5:$T$44,$CU11,AG$57),""),2,1)="(",LEFT(IFERROR(INDEX(醫師週班表!$C$5:$T$44,$CU11,AG$57),""),1),IFERROR(INDEX(醫師週班表!$C$5:$T$44,$CU11,AG$57),"")))))))</f>
        <v/>
      </c>
      <c r="AH11" s="68">
        <f>IF(AH$59="X","",IF(AH$59&lt;&gt;"",AH$59,IF(IFERROR(INDEX(醫師週班表!$C$5:$T$44,$CU11,AH$57),"")=0,"",IF(MID(IFERROR(INDEX(醫師週班表!$C$5:$T$44,$CU11,AH$57),""),2,1)="/",MID(IFERROR(INDEX(醫師週班表!$C$5:$T$44,$CU11,AH$57),""),1+AH$58*2,1),IF(MID(IFERROR(INDEX(醫師週班表!$C$5:$T$44,$CU11,AH$57),""),3,1)="隔",IF(AH$58=0,LEFT(IFERROR(INDEX(醫師週班表!$C$5:$T$44,$CU11,AH$57),""),1),""),IF(MID(IFERROR(INDEX(醫師週班表!$C$5:$T$44,$CU11,AH$57),""),2,1)="(",LEFT(IFERROR(INDEX(醫師週班表!$C$5:$T$44,$CU11,AH$57),""),1),IFERROR(INDEX(醫師週班表!$C$5:$T$44,$CU11,AH$57),"")))))))</f>
        <v/>
      </c>
      <c r="AI11" s="67">
        <f>IF(AI$59="X","",IF(AI$59&lt;&gt;"",AI$59,IF(IFERROR(INDEX(醫師週班表!$C$5:$T$44,$CU11,AI$57),"")=0,"",IF(MID(IFERROR(INDEX(醫師週班表!$C$5:$T$44,$CU11,AI$57),""),2,1)="/",MID(IFERROR(INDEX(醫師週班表!$C$5:$T$44,$CU11,AI$57),""),1+AI$58*2,1),IF(MID(IFERROR(INDEX(醫師週班表!$C$5:$T$44,$CU11,AI$57),""),3,1)="隔",IF(AI$58=0,LEFT(IFERROR(INDEX(醫師週班表!$C$5:$T$44,$CU11,AI$57),""),1),""),IF(MID(IFERROR(INDEX(醫師週班表!$C$5:$T$44,$CU11,AI$57),""),2,1)="(",LEFT(IFERROR(INDEX(醫師週班表!$C$5:$T$44,$CU11,AI$57),""),1),IFERROR(INDEX(醫師週班表!$C$5:$T$44,$CU11,AI$57),"")))))))</f>
        <v/>
      </c>
      <c r="AJ11" s="68">
        <f>IF(AJ$59="X","",IF(AJ$59&lt;&gt;"",AJ$59,IF(IFERROR(INDEX(醫師週班表!$C$5:$T$44,$CU11,AJ$57),"")=0,"",IF(MID(IFERROR(INDEX(醫師週班表!$C$5:$T$44,$CU11,AJ$57),""),2,1)="/",MID(IFERROR(INDEX(醫師週班表!$C$5:$T$44,$CU11,AJ$57),""),1+AJ$58*2,1),IF(MID(IFERROR(INDEX(醫師週班表!$C$5:$T$44,$CU11,AJ$57),""),3,1)="隔",IF(AJ$58=0,LEFT(IFERROR(INDEX(醫師週班表!$C$5:$T$44,$CU11,AJ$57),""),1),""),IF(MID(IFERROR(INDEX(醫師週班表!$C$5:$T$44,$CU11,AJ$57),""),2,1)="(",LEFT(IFERROR(INDEX(醫師週班表!$C$5:$T$44,$CU11,AJ$57),""),1),IFERROR(INDEX(醫師週班表!$C$5:$T$44,$CU11,AJ$57),"")))))))</f>
        <v/>
      </c>
      <c r="AK11" s="68">
        <f>IF(AK$59="X","",IF(AK$59&lt;&gt;"",AK$59,IF(IFERROR(INDEX(醫師週班表!$C$5:$T$44,$CU11,AK$57),"")=0,"",IF(MID(IFERROR(INDEX(醫師週班表!$C$5:$T$44,$CU11,AK$57),""),2,1)="/",MID(IFERROR(INDEX(醫師週班表!$C$5:$T$44,$CU11,AK$57),""),1+AK$58*2,1),IF(MID(IFERROR(INDEX(醫師週班表!$C$5:$T$44,$CU11,AK$57),""),3,1)="隔",IF(AK$58=0,LEFT(IFERROR(INDEX(醫師週班表!$C$5:$T$44,$CU11,AK$57),""),1),""),IF(MID(IFERROR(INDEX(醫師週班表!$C$5:$T$44,$CU11,AK$57),""),2,1)="(",LEFT(IFERROR(INDEX(醫師週班表!$C$5:$T$44,$CU11,AK$57),""),1),IFERROR(INDEX(醫師週班表!$C$5:$T$44,$CU11,AK$57),"")))))))</f>
        <v/>
      </c>
      <c r="AL11" s="67">
        <f>IF(AL$59="X","",IF(AL$59&lt;&gt;"",AL$59,IF(IFERROR(INDEX(醫師週班表!$C$5:$T$44,$CU11,AL$57),"")=0,"",IF(MID(IFERROR(INDEX(醫師週班表!$C$5:$T$44,$CU11,AL$57),""),2,1)="/",MID(IFERROR(INDEX(醫師週班表!$C$5:$T$44,$CU11,AL$57),""),1+AL$58*2,1),IF(MID(IFERROR(INDEX(醫師週班表!$C$5:$T$44,$CU11,AL$57),""),3,1)="隔",IF(AL$58=0,LEFT(IFERROR(INDEX(醫師週班表!$C$5:$T$44,$CU11,AL$57),""),1),""),IF(MID(IFERROR(INDEX(醫師週班表!$C$5:$T$44,$CU11,AL$57),""),2,1)="(",LEFT(IFERROR(INDEX(醫師週班表!$C$5:$T$44,$CU11,AL$57),""),1),IFERROR(INDEX(醫師週班表!$C$5:$T$44,$CU11,AL$57),"")))))))</f>
        <v/>
      </c>
      <c r="AM11" s="68">
        <f>IF(AM$59="X","",IF(AM$59&lt;&gt;"",AM$59,IF(IFERROR(INDEX(醫師週班表!$C$5:$T$44,$CU11,AM$57),"")=0,"",IF(MID(IFERROR(INDEX(醫師週班表!$C$5:$T$44,$CU11,AM$57),""),2,1)="/",MID(IFERROR(INDEX(醫師週班表!$C$5:$T$44,$CU11,AM$57),""),1+AM$58*2,1),IF(MID(IFERROR(INDEX(醫師週班表!$C$5:$T$44,$CU11,AM$57),""),3,1)="隔",IF(AM$58=0,LEFT(IFERROR(INDEX(醫師週班表!$C$5:$T$44,$CU11,AM$57),""),1),""),IF(MID(IFERROR(INDEX(醫師週班表!$C$5:$T$44,$CU11,AM$57),""),2,1)="(",LEFT(IFERROR(INDEX(醫師週班表!$C$5:$T$44,$CU11,AM$57),""),1),IFERROR(INDEX(醫師週班表!$C$5:$T$44,$CU11,AM$57),"")))))))</f>
        <v/>
      </c>
      <c r="AN11" s="68">
        <f>IF(AN$59="X","",IF(AN$59&lt;&gt;"",AN$59,IF(IFERROR(INDEX(醫師週班表!$C$5:$T$44,$CU11,AN$57),"")=0,"",IF(MID(IFERROR(INDEX(醫師週班表!$C$5:$T$44,$CU11,AN$57),""),2,1)="/",MID(IFERROR(INDEX(醫師週班表!$C$5:$T$44,$CU11,AN$57),""),1+AN$58*2,1),IF(MID(IFERROR(INDEX(醫師週班表!$C$5:$T$44,$CU11,AN$57),""),3,1)="隔",IF(AN$58=0,LEFT(IFERROR(INDEX(醫師週班表!$C$5:$T$44,$CU11,AN$57),""),1),""),IF(MID(IFERROR(INDEX(醫師週班表!$C$5:$T$44,$CU11,AN$57),""),2,1)="(",LEFT(IFERROR(INDEX(醫師週班表!$C$5:$T$44,$CU11,AN$57),""),1),IFERROR(INDEX(醫師週班表!$C$5:$T$44,$CU11,AN$57),"")))))))</f>
        <v/>
      </c>
      <c r="AO11" s="67">
        <f>IF(AO$59="X","",IF(AO$59&lt;&gt;"",AO$59,IF(IFERROR(INDEX(醫師週班表!$C$5:$T$44,$CU11,AO$57),"")=0,"",IF(MID(IFERROR(INDEX(醫師週班表!$C$5:$T$44,$CU11,AO$57),""),2,1)="/",MID(IFERROR(INDEX(醫師週班表!$C$5:$T$44,$CU11,AO$57),""),1+AO$58*2,1),IF(MID(IFERROR(INDEX(醫師週班表!$C$5:$T$44,$CU11,AO$57),""),3,1)="隔",IF(AO$58=0,LEFT(IFERROR(INDEX(醫師週班表!$C$5:$T$44,$CU11,AO$57),""),1),""),IF(MID(IFERROR(INDEX(醫師週班表!$C$5:$T$44,$CU11,AO$57),""),2,1)="(",LEFT(IFERROR(INDEX(醫師週班表!$C$5:$T$44,$CU11,AO$57),""),1),IFERROR(INDEX(醫師週班表!$C$5:$T$44,$CU11,AO$57),"")))))))</f>
        <v/>
      </c>
      <c r="AP11" s="68">
        <f>IF(AP$59="X","",IF(AP$59&lt;&gt;"",AP$59,IF(IFERROR(INDEX(醫師週班表!$C$5:$T$44,$CU11,AP$57),"")=0,"",IF(MID(IFERROR(INDEX(醫師週班表!$C$5:$T$44,$CU11,AP$57),""),2,1)="/",MID(IFERROR(INDEX(醫師週班表!$C$5:$T$44,$CU11,AP$57),""),1+AP$58*2,1),IF(MID(IFERROR(INDEX(醫師週班表!$C$5:$T$44,$CU11,AP$57),""),3,1)="隔",IF(AP$58=0,LEFT(IFERROR(INDEX(醫師週班表!$C$5:$T$44,$CU11,AP$57),""),1),""),IF(MID(IFERROR(INDEX(醫師週班表!$C$5:$T$44,$CU11,AP$57),""),2,1)="(",LEFT(IFERROR(INDEX(醫師週班表!$C$5:$T$44,$CU11,AP$57),""),1),IFERROR(INDEX(醫師週班表!$C$5:$T$44,$CU11,AP$57),"")))))))</f>
        <v/>
      </c>
      <c r="AQ11" s="68">
        <f>IF(AQ$59="X","",IF(AQ$59&lt;&gt;"",AQ$59,IF(IFERROR(INDEX(醫師週班表!$C$5:$T$44,$CU11,AQ$57),"")=0,"",IF(MID(IFERROR(INDEX(醫師週班表!$C$5:$T$44,$CU11,AQ$57),""),2,1)="/",MID(IFERROR(INDEX(醫師週班表!$C$5:$T$44,$CU11,AQ$57),""),1+AQ$58*2,1),IF(MID(IFERROR(INDEX(醫師週班表!$C$5:$T$44,$CU11,AQ$57),""),3,1)="隔",IF(AQ$58=0,LEFT(IFERROR(INDEX(醫師週班表!$C$5:$T$44,$CU11,AQ$57),""),1),""),IF(MID(IFERROR(INDEX(醫師週班表!$C$5:$T$44,$CU11,AQ$57),""),2,1)="(",LEFT(IFERROR(INDEX(醫師週班表!$C$5:$T$44,$CU11,AQ$57),""),1),IFERROR(INDEX(醫師週班表!$C$5:$T$44,$CU11,AQ$57),"")))))))</f>
        <v/>
      </c>
      <c r="AR11" s="67">
        <f>IF(AR$59="X","",IF(AR$59&lt;&gt;"",AR$59,IF(IFERROR(INDEX(醫師週班表!$C$5:$T$44,$CU11,AR$57),"")=0,"",IF(MID(IFERROR(INDEX(醫師週班表!$C$5:$T$44,$CU11,AR$57),""),2,1)="/",MID(IFERROR(INDEX(醫師週班表!$C$5:$T$44,$CU11,AR$57),""),1+AR$58*2,1),IF(MID(IFERROR(INDEX(醫師週班表!$C$5:$T$44,$CU11,AR$57),""),3,1)="隔",IF(AR$58=0,LEFT(IFERROR(INDEX(醫師週班表!$C$5:$T$44,$CU11,AR$57),""),1),""),IF(MID(IFERROR(INDEX(醫師週班表!$C$5:$T$44,$CU11,AR$57),""),2,1)="(",LEFT(IFERROR(INDEX(醫師週班表!$C$5:$T$44,$CU11,AR$57),""),1),IFERROR(INDEX(醫師週班表!$C$5:$T$44,$CU11,AR$57),"")))))))</f>
        <v/>
      </c>
      <c r="AS11" s="68">
        <f>IF(AS$59="X","",IF(AS$59&lt;&gt;"",AS$59,IF(IFERROR(INDEX(醫師週班表!$C$5:$T$44,$CU11,AS$57),"")=0,"",IF(MID(IFERROR(INDEX(醫師週班表!$C$5:$T$44,$CU11,AS$57),""),2,1)="/",MID(IFERROR(INDEX(醫師週班表!$C$5:$T$44,$CU11,AS$57),""),1+AS$58*2,1),IF(MID(IFERROR(INDEX(醫師週班表!$C$5:$T$44,$CU11,AS$57),""),3,1)="隔",IF(AS$58=0,LEFT(IFERROR(INDEX(醫師週班表!$C$5:$T$44,$CU11,AS$57),""),1),""),IF(MID(IFERROR(INDEX(醫師週班表!$C$5:$T$44,$CU11,AS$57),""),2,1)="(",LEFT(IFERROR(INDEX(醫師週班表!$C$5:$T$44,$CU11,AS$57),""),1),IFERROR(INDEX(醫師週班表!$C$5:$T$44,$CU11,AS$57),"")))))))</f>
        <v/>
      </c>
      <c r="AT11" s="68">
        <f>IF(AT$59="X","",IF(AT$59&lt;&gt;"",AT$59,IF(IFERROR(INDEX(醫師週班表!$C$5:$T$44,$CU11,AT$57),"")=0,"",IF(MID(IFERROR(INDEX(醫師週班表!$C$5:$T$44,$CU11,AT$57),""),2,1)="/",MID(IFERROR(INDEX(醫師週班表!$C$5:$T$44,$CU11,AT$57),""),1+AT$58*2,1),IF(MID(IFERROR(INDEX(醫師週班表!$C$5:$T$44,$CU11,AT$57),""),3,1)="隔",IF(AT$58=0,LEFT(IFERROR(INDEX(醫師週班表!$C$5:$T$44,$CU11,AT$57),""),1),""),IF(MID(IFERROR(INDEX(醫師週班表!$C$5:$T$44,$CU11,AT$57),""),2,1)="(",LEFT(IFERROR(INDEX(醫師週班表!$C$5:$T$44,$CU11,AT$57),""),1),IFERROR(INDEX(醫師週班表!$C$5:$T$44,$CU11,AT$57),"")))))))</f>
        <v/>
      </c>
      <c r="AU11" s="67">
        <f>IF(AU$59="X","",IF(AU$59&lt;&gt;"",AU$59,IF(IFERROR(INDEX(醫師週班表!$C$5:$T$44,$CU11,AU$57),"")=0,"",IF(MID(IFERROR(INDEX(醫師週班表!$C$5:$T$44,$CU11,AU$57),""),2,1)="/",MID(IFERROR(INDEX(醫師週班表!$C$5:$T$44,$CU11,AU$57),""),1+AU$58*2,1),IF(MID(IFERROR(INDEX(醫師週班表!$C$5:$T$44,$CU11,AU$57),""),3,1)="隔",IF(AU$58=0,LEFT(IFERROR(INDEX(醫師週班表!$C$5:$T$44,$CU11,AU$57),""),1),""),IF(MID(IFERROR(INDEX(醫師週班表!$C$5:$T$44,$CU11,AU$57),""),2,1)="(",LEFT(IFERROR(INDEX(醫師週班表!$C$5:$T$44,$CU11,AU$57),""),1),IFERROR(INDEX(醫師週班表!$C$5:$T$44,$CU11,AU$57),"")))))))</f>
        <v/>
      </c>
      <c r="AV11" s="68">
        <f>IF(AV$59="X","",IF(AV$59&lt;&gt;"",AV$59,IF(IFERROR(INDEX(醫師週班表!$C$5:$T$44,$CU11,AV$57),"")=0,"",IF(MID(IFERROR(INDEX(醫師週班表!$C$5:$T$44,$CU11,AV$57),""),2,1)="/",MID(IFERROR(INDEX(醫師週班表!$C$5:$T$44,$CU11,AV$57),""),1+AV$58*2,1),IF(MID(IFERROR(INDEX(醫師週班表!$C$5:$T$44,$CU11,AV$57),""),3,1)="隔",IF(AV$58=0,LEFT(IFERROR(INDEX(醫師週班表!$C$5:$T$44,$CU11,AV$57),""),1),""),IF(MID(IFERROR(INDEX(醫師週班表!$C$5:$T$44,$CU11,AV$57),""),2,1)="(",LEFT(IFERROR(INDEX(醫師週班表!$C$5:$T$44,$CU11,AV$57),""),1),IFERROR(INDEX(醫師週班表!$C$5:$T$44,$CU11,AV$57),"")))))))</f>
        <v/>
      </c>
      <c r="AW11" s="68">
        <f>IF(AW$59="X","",IF(AW$59&lt;&gt;"",AW$59,IF(IFERROR(INDEX(醫師週班表!$C$5:$T$44,$CU11,AW$57),"")=0,"",IF(MID(IFERROR(INDEX(醫師週班表!$C$5:$T$44,$CU11,AW$57),""),2,1)="/",MID(IFERROR(INDEX(醫師週班表!$C$5:$T$44,$CU11,AW$57),""),1+AW$58*2,1),IF(MID(IFERROR(INDEX(醫師週班表!$C$5:$T$44,$CU11,AW$57),""),3,1)="隔",IF(AW$58=0,LEFT(IFERROR(INDEX(醫師週班表!$C$5:$T$44,$CU11,AW$57),""),1),""),IF(MID(IFERROR(INDEX(醫師週班表!$C$5:$T$44,$CU11,AW$57),""),2,1)="(",LEFT(IFERROR(INDEX(醫師週班表!$C$5:$T$44,$CU11,AW$57),""),1),IFERROR(INDEX(醫師週班表!$C$5:$T$44,$CU11,AW$57),"")))))))</f>
        <v/>
      </c>
      <c r="AX11" s="67">
        <f>IF(AX$59="X","",IF(AX$59&lt;&gt;"",AX$59,IF(IFERROR(INDEX(醫師週班表!$C$5:$T$44,$CU11,AX$57),"")=0,"",IF(MID(IFERROR(INDEX(醫師週班表!$C$5:$T$44,$CU11,AX$57),""),2,1)="/",MID(IFERROR(INDEX(醫師週班表!$C$5:$T$44,$CU11,AX$57),""),1+AX$58*2,1),IF(MID(IFERROR(INDEX(醫師週班表!$C$5:$T$44,$CU11,AX$57),""),3,1)="隔",IF(AX$58=0,LEFT(IFERROR(INDEX(醫師週班表!$C$5:$T$44,$CU11,AX$57),""),1),""),IF(MID(IFERROR(INDEX(醫師週班表!$C$5:$T$44,$CU11,AX$57),""),2,1)="(",LEFT(IFERROR(INDEX(醫師週班表!$C$5:$T$44,$CU11,AX$57),""),1),IFERROR(INDEX(醫師週班表!$C$5:$T$44,$CU11,AX$57),"")))))))</f>
        <v/>
      </c>
      <c r="AY11" s="68">
        <f>IF(AY$59="X","",IF(AY$59&lt;&gt;"",AY$59,IF(IFERROR(INDEX(醫師週班表!$C$5:$T$44,$CU11,AY$57),"")=0,"",IF(MID(IFERROR(INDEX(醫師週班表!$C$5:$T$44,$CU11,AY$57),""),2,1)="/",MID(IFERROR(INDEX(醫師週班表!$C$5:$T$44,$CU11,AY$57),""),1+AY$58*2,1),IF(MID(IFERROR(INDEX(醫師週班表!$C$5:$T$44,$CU11,AY$57),""),3,1)="隔",IF(AY$58=0,LEFT(IFERROR(INDEX(醫師週班表!$C$5:$T$44,$CU11,AY$57),""),1),""),IF(MID(IFERROR(INDEX(醫師週班表!$C$5:$T$44,$CU11,AY$57),""),2,1)="(",LEFT(IFERROR(INDEX(醫師週班表!$C$5:$T$44,$CU11,AY$57),""),1),IFERROR(INDEX(醫師週班表!$C$5:$T$44,$CU11,AY$57),"")))))))</f>
        <v/>
      </c>
      <c r="AZ11" s="68">
        <f>IF(AZ$59="X","",IF(AZ$59&lt;&gt;"",AZ$59,IF(IFERROR(INDEX(醫師週班表!$C$5:$T$44,$CU11,AZ$57),"")=0,"",IF(MID(IFERROR(INDEX(醫師週班表!$C$5:$T$44,$CU11,AZ$57),""),2,1)="/",MID(IFERROR(INDEX(醫師週班表!$C$5:$T$44,$CU11,AZ$57),""),1+AZ$58*2,1),IF(MID(IFERROR(INDEX(醫師週班表!$C$5:$T$44,$CU11,AZ$57),""),3,1)="隔",IF(AZ$58=0,LEFT(IFERROR(INDEX(醫師週班表!$C$5:$T$44,$CU11,AZ$57),""),1),""),IF(MID(IFERROR(INDEX(醫師週班表!$C$5:$T$44,$CU11,AZ$57),""),2,1)="(",LEFT(IFERROR(INDEX(醫師週班表!$C$5:$T$44,$CU11,AZ$57),""),1),IFERROR(INDEX(醫師週班表!$C$5:$T$44,$CU11,AZ$57),"")))))))</f>
        <v/>
      </c>
      <c r="BA11" s="67">
        <f>IF(BA$59="X","",IF(BA$59&lt;&gt;"",BA$59,IF(IFERROR(INDEX(醫師週班表!$C$5:$T$44,$CU11,BA$57),"")=0,"",IF(MID(IFERROR(INDEX(醫師週班表!$C$5:$T$44,$CU11,BA$57),""),2,1)="/",MID(IFERROR(INDEX(醫師週班表!$C$5:$T$44,$CU11,BA$57),""),1+BA$58*2,1),IF(MID(IFERROR(INDEX(醫師週班表!$C$5:$T$44,$CU11,BA$57),""),3,1)="隔",IF(BA$58=0,LEFT(IFERROR(INDEX(醫師週班表!$C$5:$T$44,$CU11,BA$57),""),1),""),IF(MID(IFERROR(INDEX(醫師週班表!$C$5:$T$44,$CU11,BA$57),""),2,1)="(",LEFT(IFERROR(INDEX(醫師週班表!$C$5:$T$44,$CU11,BA$57),""),1),IFERROR(INDEX(醫師週班表!$C$5:$T$44,$CU11,BA$57),"")))))))</f>
        <v/>
      </c>
      <c r="BB11" s="68">
        <f>IF(BB$59="X","",IF(BB$59&lt;&gt;"",BB$59,IF(IFERROR(INDEX(醫師週班表!$C$5:$T$44,$CU11,BB$57),"")=0,"",IF(MID(IFERROR(INDEX(醫師週班表!$C$5:$T$44,$CU11,BB$57),""),2,1)="/",MID(IFERROR(INDEX(醫師週班表!$C$5:$T$44,$CU11,BB$57),""),1+BB$58*2,1),IF(MID(IFERROR(INDEX(醫師週班表!$C$5:$T$44,$CU11,BB$57),""),3,1)="隔",IF(BB$58=0,LEFT(IFERROR(INDEX(醫師週班表!$C$5:$T$44,$CU11,BB$57),""),1),""),IF(MID(IFERROR(INDEX(醫師週班表!$C$5:$T$44,$CU11,BB$57),""),2,1)="(",LEFT(IFERROR(INDEX(醫師週班表!$C$5:$T$44,$CU11,BB$57),""),1),IFERROR(INDEX(醫師週班表!$C$5:$T$44,$CU11,BB$57),"")))))))</f>
        <v/>
      </c>
      <c r="BC11" s="68">
        <f>IF(BC$59="X","",IF(BC$59&lt;&gt;"",BC$59,IF(IFERROR(INDEX(醫師週班表!$C$5:$T$44,$CU11,BC$57),"")=0,"",IF(MID(IFERROR(INDEX(醫師週班表!$C$5:$T$44,$CU11,BC$57),""),2,1)="/",MID(IFERROR(INDEX(醫師週班表!$C$5:$T$44,$CU11,BC$57),""),1+BC$58*2,1),IF(MID(IFERROR(INDEX(醫師週班表!$C$5:$T$44,$CU11,BC$57),""),3,1)="隔",IF(BC$58=0,LEFT(IFERROR(INDEX(醫師週班表!$C$5:$T$44,$CU11,BC$57),""),1),""),IF(MID(IFERROR(INDEX(醫師週班表!$C$5:$T$44,$CU11,BC$57),""),2,1)="(",LEFT(IFERROR(INDEX(醫師週班表!$C$5:$T$44,$CU11,BC$57),""),1),IFERROR(INDEX(醫師週班表!$C$5:$T$44,$CU11,BC$57),"")))))))</f>
        <v/>
      </c>
      <c r="BD11" s="67">
        <f>IF(BD$59="X","",IF(BD$59&lt;&gt;"",BD$59,IF(IFERROR(INDEX(醫師週班表!$C$5:$T$44,$CU11,BD$57),"")=0,"",IF(MID(IFERROR(INDEX(醫師週班表!$C$5:$T$44,$CU11,BD$57),""),2,1)="/",MID(IFERROR(INDEX(醫師週班表!$C$5:$T$44,$CU11,BD$57),""),1+BD$58*2,1),IF(MID(IFERROR(INDEX(醫師週班表!$C$5:$T$44,$CU11,BD$57),""),3,1)="隔",IF(BD$58=0,LEFT(IFERROR(INDEX(醫師週班表!$C$5:$T$44,$CU11,BD$57),""),1),""),IF(MID(IFERROR(INDEX(醫師週班表!$C$5:$T$44,$CU11,BD$57),""),2,1)="(",LEFT(IFERROR(INDEX(醫師週班表!$C$5:$T$44,$CU11,BD$57),""),1),IFERROR(INDEX(醫師週班表!$C$5:$T$44,$CU11,BD$57),"")))))))</f>
        <v/>
      </c>
      <c r="BE11" s="68">
        <f>IF(BE$59="X","",IF(BE$59&lt;&gt;"",BE$59,IF(IFERROR(INDEX(醫師週班表!$C$5:$T$44,$CU11,BE$57),"")=0,"",IF(MID(IFERROR(INDEX(醫師週班表!$C$5:$T$44,$CU11,BE$57),""),2,1)="/",MID(IFERROR(INDEX(醫師週班表!$C$5:$T$44,$CU11,BE$57),""),1+BE$58*2,1),IF(MID(IFERROR(INDEX(醫師週班表!$C$5:$T$44,$CU11,BE$57),""),3,1)="隔",IF(BE$58=0,LEFT(IFERROR(INDEX(醫師週班表!$C$5:$T$44,$CU11,BE$57),""),1),""),IF(MID(IFERROR(INDEX(醫師週班表!$C$5:$T$44,$CU11,BE$57),""),2,1)="(",LEFT(IFERROR(INDEX(醫師週班表!$C$5:$T$44,$CU11,BE$57),""),1),IFERROR(INDEX(醫師週班表!$C$5:$T$44,$CU11,BE$57),"")))))))</f>
        <v/>
      </c>
      <c r="BF11" s="68">
        <f>IF(BF$59="X","",IF(BF$59&lt;&gt;"",BF$59,IF(IFERROR(INDEX(醫師週班表!$C$5:$T$44,$CU11,BF$57),"")=0,"",IF(MID(IFERROR(INDEX(醫師週班表!$C$5:$T$44,$CU11,BF$57),""),2,1)="/",MID(IFERROR(INDEX(醫師週班表!$C$5:$T$44,$CU11,BF$57),""),1+BF$58*2,1),IF(MID(IFERROR(INDEX(醫師週班表!$C$5:$T$44,$CU11,BF$57),""),3,1)="隔",IF(BF$58=0,LEFT(IFERROR(INDEX(醫師週班表!$C$5:$T$44,$CU11,BF$57),""),1),""),IF(MID(IFERROR(INDEX(醫師週班表!$C$5:$T$44,$CU11,BF$57),""),2,1)="(",LEFT(IFERROR(INDEX(醫師週班表!$C$5:$T$44,$CU11,BF$57),""),1),IFERROR(INDEX(醫師週班表!$C$5:$T$44,$CU11,BF$57),"")))))))</f>
        <v/>
      </c>
      <c r="BG11" s="67">
        <f>IF(BG$59="X","",IF(BG$59&lt;&gt;"",BG$59,IF(IFERROR(INDEX(醫師週班表!$C$5:$T$44,$CU11,BG$57),"")=0,"",IF(MID(IFERROR(INDEX(醫師週班表!$C$5:$T$44,$CU11,BG$57),""),2,1)="/",MID(IFERROR(INDEX(醫師週班表!$C$5:$T$44,$CU11,BG$57),""),1+BG$58*2,1),IF(MID(IFERROR(INDEX(醫師週班表!$C$5:$T$44,$CU11,BG$57),""),3,1)="隔",IF(BG$58=0,LEFT(IFERROR(INDEX(醫師週班表!$C$5:$T$44,$CU11,BG$57),""),1),""),IF(MID(IFERROR(INDEX(醫師週班表!$C$5:$T$44,$CU11,BG$57),""),2,1)="(",LEFT(IFERROR(INDEX(醫師週班表!$C$5:$T$44,$CU11,BG$57),""),1),IFERROR(INDEX(醫師週班表!$C$5:$T$44,$CU11,BG$57),"")))))))</f>
        <v/>
      </c>
      <c r="BH11" s="68">
        <f>IF(BH$59="X","",IF(BH$59&lt;&gt;"",BH$59,IF(IFERROR(INDEX(醫師週班表!$C$5:$T$44,$CU11,BH$57),"")=0,"",IF(MID(IFERROR(INDEX(醫師週班表!$C$5:$T$44,$CU11,BH$57),""),2,1)="/",MID(IFERROR(INDEX(醫師週班表!$C$5:$T$44,$CU11,BH$57),""),1+BH$58*2,1),IF(MID(IFERROR(INDEX(醫師週班表!$C$5:$T$44,$CU11,BH$57),""),3,1)="隔",IF(BH$58=0,LEFT(IFERROR(INDEX(醫師週班表!$C$5:$T$44,$CU11,BH$57),""),1),""),IF(MID(IFERROR(INDEX(醫師週班表!$C$5:$T$44,$CU11,BH$57),""),2,1)="(",LEFT(IFERROR(INDEX(醫師週班表!$C$5:$T$44,$CU11,BH$57),""),1),IFERROR(INDEX(醫師週班表!$C$5:$T$44,$CU11,BH$57),"")))))))</f>
        <v/>
      </c>
      <c r="BI11" s="68">
        <f>IF(BI$59="X","",IF(BI$59&lt;&gt;"",BI$59,IF(IFERROR(INDEX(醫師週班表!$C$5:$T$44,$CU11,BI$57),"")=0,"",IF(MID(IFERROR(INDEX(醫師週班表!$C$5:$T$44,$CU11,BI$57),""),2,1)="/",MID(IFERROR(INDEX(醫師週班表!$C$5:$T$44,$CU11,BI$57),""),1+BI$58*2,1),IF(MID(IFERROR(INDEX(醫師週班表!$C$5:$T$44,$CU11,BI$57),""),3,1)="隔",IF(BI$58=0,LEFT(IFERROR(INDEX(醫師週班表!$C$5:$T$44,$CU11,BI$57),""),1),""),IF(MID(IFERROR(INDEX(醫師週班表!$C$5:$T$44,$CU11,BI$57),""),2,1)="(",LEFT(IFERROR(INDEX(醫師週班表!$C$5:$T$44,$CU11,BI$57),""),1),IFERROR(INDEX(醫師週班表!$C$5:$T$44,$CU11,BI$57),"")))))))</f>
        <v/>
      </c>
      <c r="BJ11" s="67">
        <f>IF(BJ$59="X","",IF(BJ$59&lt;&gt;"",BJ$59,IF(IFERROR(INDEX(醫師週班表!$C$5:$T$44,$CU11,BJ$57),"")=0,"",IF(MID(IFERROR(INDEX(醫師週班表!$C$5:$T$44,$CU11,BJ$57),""),2,1)="/",MID(IFERROR(INDEX(醫師週班表!$C$5:$T$44,$CU11,BJ$57),""),1+BJ$58*2,1),IF(MID(IFERROR(INDEX(醫師週班表!$C$5:$T$44,$CU11,BJ$57),""),3,1)="隔",IF(BJ$58=0,LEFT(IFERROR(INDEX(醫師週班表!$C$5:$T$44,$CU11,BJ$57),""),1),""),IF(MID(IFERROR(INDEX(醫師週班表!$C$5:$T$44,$CU11,BJ$57),""),2,1)="(",LEFT(IFERROR(INDEX(醫師週班表!$C$5:$T$44,$CU11,BJ$57),""),1),IFERROR(INDEX(醫師週班表!$C$5:$T$44,$CU11,BJ$57),"")))))))</f>
        <v/>
      </c>
      <c r="BK11" s="68">
        <f>IF(BK$59="X","",IF(BK$59&lt;&gt;"",BK$59,IF(IFERROR(INDEX(醫師週班表!$C$5:$T$44,$CU11,BK$57),"")=0,"",IF(MID(IFERROR(INDEX(醫師週班表!$C$5:$T$44,$CU11,BK$57),""),2,1)="/",MID(IFERROR(INDEX(醫師週班表!$C$5:$T$44,$CU11,BK$57),""),1+BK$58*2,1),IF(MID(IFERROR(INDEX(醫師週班表!$C$5:$T$44,$CU11,BK$57),""),3,1)="隔",IF(BK$58=0,LEFT(IFERROR(INDEX(醫師週班表!$C$5:$T$44,$CU11,BK$57),""),1),""),IF(MID(IFERROR(INDEX(醫師週班表!$C$5:$T$44,$CU11,BK$57),""),2,1)="(",LEFT(IFERROR(INDEX(醫師週班表!$C$5:$T$44,$CU11,BK$57),""),1),IFERROR(INDEX(醫師週班表!$C$5:$T$44,$CU11,BK$57),"")))))))</f>
        <v/>
      </c>
      <c r="BL11" s="68">
        <f>IF(BL$59="X","",IF(BL$59&lt;&gt;"",BL$59,IF(IFERROR(INDEX(醫師週班表!$C$5:$T$44,$CU11,BL$57),"")=0,"",IF(MID(IFERROR(INDEX(醫師週班表!$C$5:$T$44,$CU11,BL$57),""),2,1)="/",MID(IFERROR(INDEX(醫師週班表!$C$5:$T$44,$CU11,BL$57),""),1+BL$58*2,1),IF(MID(IFERROR(INDEX(醫師週班表!$C$5:$T$44,$CU11,BL$57),""),3,1)="隔",IF(BL$58=0,LEFT(IFERROR(INDEX(醫師週班表!$C$5:$T$44,$CU11,BL$57),""),1),""),IF(MID(IFERROR(INDEX(醫師週班表!$C$5:$T$44,$CU11,BL$57),""),2,1)="(",LEFT(IFERROR(INDEX(醫師週班表!$C$5:$T$44,$CU11,BL$57),""),1),IFERROR(INDEX(醫師週班表!$C$5:$T$44,$CU11,BL$57),"")))))))</f>
        <v/>
      </c>
      <c r="BM11" s="67">
        <f>IF(BM$59="X","",IF(BM$59&lt;&gt;"",BM$59,IF(IFERROR(INDEX(醫師週班表!$C$5:$T$44,$CU11,BM$57),"")=0,"",IF(MID(IFERROR(INDEX(醫師週班表!$C$5:$T$44,$CU11,BM$57),""),2,1)="/",MID(IFERROR(INDEX(醫師週班表!$C$5:$T$44,$CU11,BM$57),""),1+BM$58*2,1),IF(MID(IFERROR(INDEX(醫師週班表!$C$5:$T$44,$CU11,BM$57),""),3,1)="隔",IF(BM$58=0,LEFT(IFERROR(INDEX(醫師週班表!$C$5:$T$44,$CU11,BM$57),""),1),""),IF(MID(IFERROR(INDEX(醫師週班表!$C$5:$T$44,$CU11,BM$57),""),2,1)="(",LEFT(IFERROR(INDEX(醫師週班表!$C$5:$T$44,$CU11,BM$57),""),1),IFERROR(INDEX(醫師週班表!$C$5:$T$44,$CU11,BM$57),"")))))))</f>
        <v/>
      </c>
      <c r="BN11" s="68">
        <f>IF(BN$59="X","",IF(BN$59&lt;&gt;"",BN$59,IF(IFERROR(INDEX(醫師週班表!$C$5:$T$44,$CU11,BN$57),"")=0,"",IF(MID(IFERROR(INDEX(醫師週班表!$C$5:$T$44,$CU11,BN$57),""),2,1)="/",MID(IFERROR(INDEX(醫師週班表!$C$5:$T$44,$CU11,BN$57),""),1+BN$58*2,1),IF(MID(IFERROR(INDEX(醫師週班表!$C$5:$T$44,$CU11,BN$57),""),3,1)="隔",IF(BN$58=0,LEFT(IFERROR(INDEX(醫師週班表!$C$5:$T$44,$CU11,BN$57),""),1),""),IF(MID(IFERROR(INDEX(醫師週班表!$C$5:$T$44,$CU11,BN$57),""),2,1)="(",LEFT(IFERROR(INDEX(醫師週班表!$C$5:$T$44,$CU11,BN$57),""),1),IFERROR(INDEX(醫師週班表!$C$5:$T$44,$CU11,BN$57),"")))))))</f>
        <v/>
      </c>
      <c r="BO11" s="68">
        <f>IF(BO$59="X","",IF(BO$59&lt;&gt;"",BO$59,IF(IFERROR(INDEX(醫師週班表!$C$5:$T$44,$CU11,BO$57),"")=0,"",IF(MID(IFERROR(INDEX(醫師週班表!$C$5:$T$44,$CU11,BO$57),""),2,1)="/",MID(IFERROR(INDEX(醫師週班表!$C$5:$T$44,$CU11,BO$57),""),1+BO$58*2,1),IF(MID(IFERROR(INDEX(醫師週班表!$C$5:$T$44,$CU11,BO$57),""),3,1)="隔",IF(BO$58=0,LEFT(IFERROR(INDEX(醫師週班表!$C$5:$T$44,$CU11,BO$57),""),1),""),IF(MID(IFERROR(INDEX(醫師週班表!$C$5:$T$44,$CU11,BO$57),""),2,1)="(",LEFT(IFERROR(INDEX(醫師週班表!$C$5:$T$44,$CU11,BO$57),""),1),IFERROR(INDEX(醫師週班表!$C$5:$T$44,$CU11,BO$57),"")))))))</f>
        <v/>
      </c>
      <c r="BP11" s="67">
        <f>IF(BP$59="X","",IF(BP$59&lt;&gt;"",BP$59,IF(IFERROR(INDEX(醫師週班表!$C$5:$T$44,$CU11,BP$57),"")=0,"",IF(MID(IFERROR(INDEX(醫師週班表!$C$5:$T$44,$CU11,BP$57),""),2,1)="/",MID(IFERROR(INDEX(醫師週班表!$C$5:$T$44,$CU11,BP$57),""),1+BP$58*2,1),IF(MID(IFERROR(INDEX(醫師週班表!$C$5:$T$44,$CU11,BP$57),""),3,1)="隔",IF(BP$58=0,LEFT(IFERROR(INDEX(醫師週班表!$C$5:$T$44,$CU11,BP$57),""),1),""),IF(MID(IFERROR(INDEX(醫師週班表!$C$5:$T$44,$CU11,BP$57),""),2,1)="(",LEFT(IFERROR(INDEX(醫師週班表!$C$5:$T$44,$CU11,BP$57),""),1),IFERROR(INDEX(醫師週班表!$C$5:$T$44,$CU11,BP$57),"")))))))</f>
        <v/>
      </c>
      <c r="BQ11" s="68">
        <f>IF(BQ$59="X","",IF(BQ$59&lt;&gt;"",BQ$59,IF(IFERROR(INDEX(醫師週班表!$C$5:$T$44,$CU11,BQ$57),"")=0,"",IF(MID(IFERROR(INDEX(醫師週班表!$C$5:$T$44,$CU11,BQ$57),""),2,1)="/",MID(IFERROR(INDEX(醫師週班表!$C$5:$T$44,$CU11,BQ$57),""),1+BQ$58*2,1),IF(MID(IFERROR(INDEX(醫師週班表!$C$5:$T$44,$CU11,BQ$57),""),3,1)="隔",IF(BQ$58=0,LEFT(IFERROR(INDEX(醫師週班表!$C$5:$T$44,$CU11,BQ$57),""),1),""),IF(MID(IFERROR(INDEX(醫師週班表!$C$5:$T$44,$CU11,BQ$57),""),2,1)="(",LEFT(IFERROR(INDEX(醫師週班表!$C$5:$T$44,$CU11,BQ$57),""),1),IFERROR(INDEX(醫師週班表!$C$5:$T$44,$CU11,BQ$57),"")))))))</f>
        <v/>
      </c>
      <c r="BR11" s="68">
        <f>IF(BR$59="X","",IF(BR$59&lt;&gt;"",BR$59,IF(IFERROR(INDEX(醫師週班表!$C$5:$T$44,$CU11,BR$57),"")=0,"",IF(MID(IFERROR(INDEX(醫師週班表!$C$5:$T$44,$CU11,BR$57),""),2,1)="/",MID(IFERROR(INDEX(醫師週班表!$C$5:$T$44,$CU11,BR$57),""),1+BR$58*2,1),IF(MID(IFERROR(INDEX(醫師週班表!$C$5:$T$44,$CU11,BR$57),""),3,1)="隔",IF(BR$58=0,LEFT(IFERROR(INDEX(醫師週班表!$C$5:$T$44,$CU11,BR$57),""),1),""),IF(MID(IFERROR(INDEX(醫師週班表!$C$5:$T$44,$CU11,BR$57),""),2,1)="(",LEFT(IFERROR(INDEX(醫師週班表!$C$5:$T$44,$CU11,BR$57),""),1),IFERROR(INDEX(醫師週班表!$C$5:$T$44,$CU11,BR$57),"")))))))</f>
        <v/>
      </c>
      <c r="BS11" s="67">
        <f>IF(BS$59="X","",IF(BS$59&lt;&gt;"",BS$59,IF(IFERROR(INDEX(醫師週班表!$C$5:$T$44,$CU11,BS$57),"")=0,"",IF(MID(IFERROR(INDEX(醫師週班表!$C$5:$T$44,$CU11,BS$57),""),2,1)="/",MID(IFERROR(INDEX(醫師週班表!$C$5:$T$44,$CU11,BS$57),""),1+BS$58*2,1),IF(MID(IFERROR(INDEX(醫師週班表!$C$5:$T$44,$CU11,BS$57),""),3,1)="隔",IF(BS$58=0,LEFT(IFERROR(INDEX(醫師週班表!$C$5:$T$44,$CU11,BS$57),""),1),""),IF(MID(IFERROR(INDEX(醫師週班表!$C$5:$T$44,$CU11,BS$57),""),2,1)="(",LEFT(IFERROR(INDEX(醫師週班表!$C$5:$T$44,$CU11,BS$57),""),1),IFERROR(INDEX(醫師週班表!$C$5:$T$44,$CU11,BS$57),"")))))))</f>
        <v/>
      </c>
      <c r="BT11" s="68">
        <f>IF(BT$59="X","",IF(BT$59&lt;&gt;"",BT$59,IF(IFERROR(INDEX(醫師週班表!$C$5:$T$44,$CU11,BT$57),"")=0,"",IF(MID(IFERROR(INDEX(醫師週班表!$C$5:$T$44,$CU11,BT$57),""),2,1)="/",MID(IFERROR(INDEX(醫師週班表!$C$5:$T$44,$CU11,BT$57),""),1+BT$58*2,1),IF(MID(IFERROR(INDEX(醫師週班表!$C$5:$T$44,$CU11,BT$57),""),3,1)="隔",IF(BT$58=0,LEFT(IFERROR(INDEX(醫師週班表!$C$5:$T$44,$CU11,BT$57),""),1),""),IF(MID(IFERROR(INDEX(醫師週班表!$C$5:$T$44,$CU11,BT$57),""),2,1)="(",LEFT(IFERROR(INDEX(醫師週班表!$C$5:$T$44,$CU11,BT$57),""),1),IFERROR(INDEX(醫師週班表!$C$5:$T$44,$CU11,BT$57),"")))))))</f>
        <v/>
      </c>
      <c r="BU11" s="68">
        <f>IF(BU$59="X","",IF(BU$59&lt;&gt;"",BU$59,IF(IFERROR(INDEX(醫師週班表!$C$5:$T$44,$CU11,BU$57),"")=0,"",IF(MID(IFERROR(INDEX(醫師週班表!$C$5:$T$44,$CU11,BU$57),""),2,1)="/",MID(IFERROR(INDEX(醫師週班表!$C$5:$T$44,$CU11,BU$57),""),1+BU$58*2,1),IF(MID(IFERROR(INDEX(醫師週班表!$C$5:$T$44,$CU11,BU$57),""),3,1)="隔",IF(BU$58=0,LEFT(IFERROR(INDEX(醫師週班表!$C$5:$T$44,$CU11,BU$57),""),1),""),IF(MID(IFERROR(INDEX(醫師週班表!$C$5:$T$44,$CU11,BU$57),""),2,1)="(",LEFT(IFERROR(INDEX(醫師週班表!$C$5:$T$44,$CU11,BU$57),""),1),IFERROR(INDEX(醫師週班表!$C$5:$T$44,$CU11,BU$57),"")))))))</f>
        <v/>
      </c>
      <c r="BV11" s="67">
        <f>IF(BV$59="X","",IF(BV$59&lt;&gt;"",BV$59,IF(IFERROR(INDEX(醫師週班表!$C$5:$T$44,$CU11,BV$57),"")=0,"",IF(MID(IFERROR(INDEX(醫師週班表!$C$5:$T$44,$CU11,BV$57),""),2,1)="/",MID(IFERROR(INDEX(醫師週班表!$C$5:$T$44,$CU11,BV$57),""),1+BV$58*2,1),IF(MID(IFERROR(INDEX(醫師週班表!$C$5:$T$44,$CU11,BV$57),""),3,1)="隔",IF(BV$58=0,LEFT(IFERROR(INDEX(醫師週班表!$C$5:$T$44,$CU11,BV$57),""),1),""),IF(MID(IFERROR(INDEX(醫師週班表!$C$5:$T$44,$CU11,BV$57),""),2,1)="(",LEFT(IFERROR(INDEX(醫師週班表!$C$5:$T$44,$CU11,BV$57),""),1),IFERROR(INDEX(醫師週班表!$C$5:$T$44,$CU11,BV$57),"")))))))</f>
        <v/>
      </c>
      <c r="BW11" s="68">
        <f>IF(BW$59="X","",IF(BW$59&lt;&gt;"",BW$59,IF(IFERROR(INDEX(醫師週班表!$C$5:$T$44,$CU11,BW$57),"")=0,"",IF(MID(IFERROR(INDEX(醫師週班表!$C$5:$T$44,$CU11,BW$57),""),2,1)="/",MID(IFERROR(INDEX(醫師週班表!$C$5:$T$44,$CU11,BW$57),""),1+BW$58*2,1),IF(MID(IFERROR(INDEX(醫師週班表!$C$5:$T$44,$CU11,BW$57),""),3,1)="隔",IF(BW$58=0,LEFT(IFERROR(INDEX(醫師週班表!$C$5:$T$44,$CU11,BW$57),""),1),""),IF(MID(IFERROR(INDEX(醫師週班表!$C$5:$T$44,$CU11,BW$57),""),2,1)="(",LEFT(IFERROR(INDEX(醫師週班表!$C$5:$T$44,$CU11,BW$57),""),1),IFERROR(INDEX(醫師週班表!$C$5:$T$44,$CU11,BW$57),"")))))))</f>
        <v/>
      </c>
      <c r="BX11" s="68">
        <f>IF(BX$59="X","",IF(BX$59&lt;&gt;"",BX$59,IF(IFERROR(INDEX(醫師週班表!$C$5:$T$44,$CU11,BX$57),"")=0,"",IF(MID(IFERROR(INDEX(醫師週班表!$C$5:$T$44,$CU11,BX$57),""),2,1)="/",MID(IFERROR(INDEX(醫師週班表!$C$5:$T$44,$CU11,BX$57),""),1+BX$58*2,1),IF(MID(IFERROR(INDEX(醫師週班表!$C$5:$T$44,$CU11,BX$57),""),3,1)="隔",IF(BX$58=0,LEFT(IFERROR(INDEX(醫師週班表!$C$5:$T$44,$CU11,BX$57),""),1),""),IF(MID(IFERROR(INDEX(醫師週班表!$C$5:$T$44,$CU11,BX$57),""),2,1)="(",LEFT(IFERROR(INDEX(醫師週班表!$C$5:$T$44,$CU11,BX$57),""),1),IFERROR(INDEX(醫師週班表!$C$5:$T$44,$CU11,BX$57),"")))))))</f>
        <v/>
      </c>
      <c r="BY11" s="67">
        <f>IF(BY$59="X","",IF(BY$59&lt;&gt;"",BY$59,IF(IFERROR(INDEX(醫師週班表!$C$5:$T$44,$CU11,BY$57),"")=0,"",IF(MID(IFERROR(INDEX(醫師週班表!$C$5:$T$44,$CU11,BY$57),""),2,1)="/",MID(IFERROR(INDEX(醫師週班表!$C$5:$T$44,$CU11,BY$57),""),1+BY$58*2,1),IF(MID(IFERROR(INDEX(醫師週班表!$C$5:$T$44,$CU11,BY$57),""),3,1)="隔",IF(BY$58=0,LEFT(IFERROR(INDEX(醫師週班表!$C$5:$T$44,$CU11,BY$57),""),1),""),IF(MID(IFERROR(INDEX(醫師週班表!$C$5:$T$44,$CU11,BY$57),""),2,1)="(",LEFT(IFERROR(INDEX(醫師週班表!$C$5:$T$44,$CU11,BY$57),""),1),IFERROR(INDEX(醫師週班表!$C$5:$T$44,$CU11,BY$57),"")))))))</f>
        <v/>
      </c>
      <c r="BZ11" s="68">
        <f>IF(BZ$59="X","",IF(BZ$59&lt;&gt;"",BZ$59,IF(IFERROR(INDEX(醫師週班表!$C$5:$T$44,$CU11,BZ$57),"")=0,"",IF(MID(IFERROR(INDEX(醫師週班表!$C$5:$T$44,$CU11,BZ$57),""),2,1)="/",MID(IFERROR(INDEX(醫師週班表!$C$5:$T$44,$CU11,BZ$57),""),1+BZ$58*2,1),IF(MID(IFERROR(INDEX(醫師週班表!$C$5:$T$44,$CU11,BZ$57),""),3,1)="隔",IF(BZ$58=0,LEFT(IFERROR(INDEX(醫師週班表!$C$5:$T$44,$CU11,BZ$57),""),1),""),IF(MID(IFERROR(INDEX(醫師週班表!$C$5:$T$44,$CU11,BZ$57),""),2,1)="(",LEFT(IFERROR(INDEX(醫師週班表!$C$5:$T$44,$CU11,BZ$57),""),1),IFERROR(INDEX(醫師週班表!$C$5:$T$44,$CU11,BZ$57),"")))))))</f>
        <v/>
      </c>
      <c r="CA11" s="68">
        <f>IF(CA$59="X","",IF(CA$59&lt;&gt;"",CA$59,IF(IFERROR(INDEX(醫師週班表!$C$5:$T$44,$CU11,CA$57),"")=0,"",IF(MID(IFERROR(INDEX(醫師週班表!$C$5:$T$44,$CU11,CA$57),""),2,1)="/",MID(IFERROR(INDEX(醫師週班表!$C$5:$T$44,$CU11,CA$57),""),1+CA$58*2,1),IF(MID(IFERROR(INDEX(醫師週班表!$C$5:$T$44,$CU11,CA$57),""),3,1)="隔",IF(CA$58=0,LEFT(IFERROR(INDEX(醫師週班表!$C$5:$T$44,$CU11,CA$57),""),1),""),IF(MID(IFERROR(INDEX(醫師週班表!$C$5:$T$44,$CU11,CA$57),""),2,1)="(",LEFT(IFERROR(INDEX(醫師週班表!$C$5:$T$44,$CU11,CA$57),""),1),IFERROR(INDEX(醫師週班表!$C$5:$T$44,$CU11,CA$57),"")))))))</f>
        <v/>
      </c>
      <c r="CB11" s="67">
        <f>IF(CB$59="X","",IF(CB$59&lt;&gt;"",CB$59,IF(IFERROR(INDEX(醫師週班表!$C$5:$T$44,$CU11,CB$57),"")=0,"",IF(MID(IFERROR(INDEX(醫師週班表!$C$5:$T$44,$CU11,CB$57),""),2,1)="/",MID(IFERROR(INDEX(醫師週班表!$C$5:$T$44,$CU11,CB$57),""),1+CB$58*2,1),IF(MID(IFERROR(INDEX(醫師週班表!$C$5:$T$44,$CU11,CB$57),""),3,1)="隔",IF(CB$58=0,LEFT(IFERROR(INDEX(醫師週班表!$C$5:$T$44,$CU11,CB$57),""),1),""),IF(MID(IFERROR(INDEX(醫師週班表!$C$5:$T$44,$CU11,CB$57),""),2,1)="(",LEFT(IFERROR(INDEX(醫師週班表!$C$5:$T$44,$CU11,CB$57),""),1),IFERROR(INDEX(醫師週班表!$C$5:$T$44,$CU11,CB$57),"")))))))</f>
        <v/>
      </c>
      <c r="CC11" s="68">
        <f>IF(CC$59="X","",IF(CC$59&lt;&gt;"",CC$59,IF(IFERROR(INDEX(醫師週班表!$C$5:$T$44,$CU11,CC$57),"")=0,"",IF(MID(IFERROR(INDEX(醫師週班表!$C$5:$T$44,$CU11,CC$57),""),2,1)="/",MID(IFERROR(INDEX(醫師週班表!$C$5:$T$44,$CU11,CC$57),""),1+CC$58*2,1),IF(MID(IFERROR(INDEX(醫師週班表!$C$5:$T$44,$CU11,CC$57),""),3,1)="隔",IF(CC$58=0,LEFT(IFERROR(INDEX(醫師週班表!$C$5:$T$44,$CU11,CC$57),""),1),""),IF(MID(IFERROR(INDEX(醫師週班表!$C$5:$T$44,$CU11,CC$57),""),2,1)="(",LEFT(IFERROR(INDEX(醫師週班表!$C$5:$T$44,$CU11,CC$57),""),1),IFERROR(INDEX(醫師週班表!$C$5:$T$44,$CU11,CC$57),"")))))))</f>
        <v/>
      </c>
      <c r="CD11" s="68">
        <f>IF(CD$59="X","",IF(CD$59&lt;&gt;"",CD$59,IF(IFERROR(INDEX(醫師週班表!$C$5:$T$44,$CU11,CD$57),"")=0,"",IF(MID(IFERROR(INDEX(醫師週班表!$C$5:$T$44,$CU11,CD$57),""),2,1)="/",MID(IFERROR(INDEX(醫師週班表!$C$5:$T$44,$CU11,CD$57),""),1+CD$58*2,1),IF(MID(IFERROR(INDEX(醫師週班表!$C$5:$T$44,$CU11,CD$57),""),3,1)="隔",IF(CD$58=0,LEFT(IFERROR(INDEX(醫師週班表!$C$5:$T$44,$CU11,CD$57),""),1),""),IF(MID(IFERROR(INDEX(醫師週班表!$C$5:$T$44,$CU11,CD$57),""),2,1)="(",LEFT(IFERROR(INDEX(醫師週班表!$C$5:$T$44,$CU11,CD$57),""),1),IFERROR(INDEX(醫師週班表!$C$5:$T$44,$CU11,CD$57),"")))))))</f>
        <v/>
      </c>
      <c r="CE11" s="67">
        <f>IF(CE$59="X","",IF(CE$59&lt;&gt;"",CE$59,IF(IFERROR(INDEX(醫師週班表!$C$5:$T$44,$CU11,CE$57),"")=0,"",IF(MID(IFERROR(INDEX(醫師週班表!$C$5:$T$44,$CU11,CE$57),""),2,1)="/",MID(IFERROR(INDEX(醫師週班表!$C$5:$T$44,$CU11,CE$57),""),1+CE$58*2,1),IF(MID(IFERROR(INDEX(醫師週班表!$C$5:$T$44,$CU11,CE$57),""),3,1)="隔",IF(CE$58=0,LEFT(IFERROR(INDEX(醫師週班表!$C$5:$T$44,$CU11,CE$57),""),1),""),IF(MID(IFERROR(INDEX(醫師週班表!$C$5:$T$44,$CU11,CE$57),""),2,1)="(",LEFT(IFERROR(INDEX(醫師週班表!$C$5:$T$44,$CU11,CE$57),""),1),IFERROR(INDEX(醫師週班表!$C$5:$T$44,$CU11,CE$57),"")))))))</f>
        <v/>
      </c>
      <c r="CF11" s="68">
        <f>IF(CF$59="X","",IF(CF$59&lt;&gt;"",CF$59,IF(IFERROR(INDEX(醫師週班表!$C$5:$T$44,$CU11,CF$57),"")=0,"",IF(MID(IFERROR(INDEX(醫師週班表!$C$5:$T$44,$CU11,CF$57),""),2,1)="/",MID(IFERROR(INDEX(醫師週班表!$C$5:$T$44,$CU11,CF$57),""),1+CF$58*2,1),IF(MID(IFERROR(INDEX(醫師週班表!$C$5:$T$44,$CU11,CF$57),""),3,1)="隔",IF(CF$58=0,LEFT(IFERROR(INDEX(醫師週班表!$C$5:$T$44,$CU11,CF$57),""),1),""),IF(MID(IFERROR(INDEX(醫師週班表!$C$5:$T$44,$CU11,CF$57),""),2,1)="(",LEFT(IFERROR(INDEX(醫師週班表!$C$5:$T$44,$CU11,CF$57),""),1),IFERROR(INDEX(醫師週班表!$C$5:$T$44,$CU11,CF$57),"")))))))</f>
        <v/>
      </c>
      <c r="CG11" s="68">
        <f>IF(CG$59="X","",IF(CG$59&lt;&gt;"",CG$59,IF(IFERROR(INDEX(醫師週班表!$C$5:$T$44,$CU11,CG$57),"")=0,"",IF(MID(IFERROR(INDEX(醫師週班表!$C$5:$T$44,$CU11,CG$57),""),2,1)="/",MID(IFERROR(INDEX(醫師週班表!$C$5:$T$44,$CU11,CG$57),""),1+CG$58*2,1),IF(MID(IFERROR(INDEX(醫師週班表!$C$5:$T$44,$CU11,CG$57),""),3,1)="隔",IF(CG$58=0,LEFT(IFERROR(INDEX(醫師週班表!$C$5:$T$44,$CU11,CG$57),""),1),""),IF(MID(IFERROR(INDEX(醫師週班表!$C$5:$T$44,$CU11,CG$57),""),2,1)="(",LEFT(IFERROR(INDEX(醫師週班表!$C$5:$T$44,$CU11,CG$57),""),1),IFERROR(INDEX(醫師週班表!$C$5:$T$44,$CU11,CG$57),"")))))))</f>
        <v/>
      </c>
      <c r="CH11" s="67">
        <f>IF(CH$59="X","",IF(CH$59&lt;&gt;"",CH$59,IF(IFERROR(INDEX(醫師週班表!$C$5:$T$44,$CU11,CH$57),"")=0,"",IF(MID(IFERROR(INDEX(醫師週班表!$C$5:$T$44,$CU11,CH$57),""),2,1)="/",MID(IFERROR(INDEX(醫師週班表!$C$5:$T$44,$CU11,CH$57),""),1+CH$58*2,1),IF(MID(IFERROR(INDEX(醫師週班表!$C$5:$T$44,$CU11,CH$57),""),3,1)="隔",IF(CH$58=0,LEFT(IFERROR(INDEX(醫師週班表!$C$5:$T$44,$CU11,CH$57),""),1),""),IF(MID(IFERROR(INDEX(醫師週班表!$C$5:$T$44,$CU11,CH$57),""),2,1)="(",LEFT(IFERROR(INDEX(醫師週班表!$C$5:$T$44,$CU11,CH$57),""),1),IFERROR(INDEX(醫師週班表!$C$5:$T$44,$CU11,CH$57),"")))))))</f>
        <v/>
      </c>
      <c r="CI11" s="68">
        <f>IF(CI$59="X","",IF(CI$59&lt;&gt;"",CI$59,IF(IFERROR(INDEX(醫師週班表!$C$5:$T$44,$CU11,CI$57),"")=0,"",IF(MID(IFERROR(INDEX(醫師週班表!$C$5:$T$44,$CU11,CI$57),""),2,1)="/",MID(IFERROR(INDEX(醫師週班表!$C$5:$T$44,$CU11,CI$57),""),1+CI$58*2,1),IF(MID(IFERROR(INDEX(醫師週班表!$C$5:$T$44,$CU11,CI$57),""),3,1)="隔",IF(CI$58=0,LEFT(IFERROR(INDEX(醫師週班表!$C$5:$T$44,$CU11,CI$57),""),1),""),IF(MID(IFERROR(INDEX(醫師週班表!$C$5:$T$44,$CU11,CI$57),""),2,1)="(",LEFT(IFERROR(INDEX(醫師週班表!$C$5:$T$44,$CU11,CI$57),""),1),IFERROR(INDEX(醫師週班表!$C$5:$T$44,$CU11,CI$57),"")))))))</f>
        <v/>
      </c>
      <c r="CJ11" s="68">
        <f>IF(CJ$59="X","",IF(CJ$59&lt;&gt;"",CJ$59,IF(IFERROR(INDEX(醫師週班表!$C$5:$T$44,$CU11,CJ$57),"")=0,"",IF(MID(IFERROR(INDEX(醫師週班表!$C$5:$T$44,$CU11,CJ$57),""),2,1)="/",MID(IFERROR(INDEX(醫師週班表!$C$5:$T$44,$CU11,CJ$57),""),1+CJ$58*2,1),IF(MID(IFERROR(INDEX(醫師週班表!$C$5:$T$44,$CU11,CJ$57),""),3,1)="隔",IF(CJ$58=0,LEFT(IFERROR(INDEX(醫師週班表!$C$5:$T$44,$CU11,CJ$57),""),1),""),IF(MID(IFERROR(INDEX(醫師週班表!$C$5:$T$44,$CU11,CJ$57),""),2,1)="(",LEFT(IFERROR(INDEX(醫師週班表!$C$5:$T$44,$CU11,CJ$57),""),1),IFERROR(INDEX(醫師週班表!$C$5:$T$44,$CU11,CJ$57),"")))))))</f>
        <v/>
      </c>
      <c r="CK11" s="67">
        <f>IF(CK$59="X","",IF(CK$59&lt;&gt;"",CK$59,IF(IFERROR(INDEX(醫師週班表!$C$5:$T$44,$CU11,CK$57),"")=0,"",IF(MID(IFERROR(INDEX(醫師週班表!$C$5:$T$44,$CU11,CK$57),""),2,1)="/",MID(IFERROR(INDEX(醫師週班表!$C$5:$T$44,$CU11,CK$57),""),1+CK$58*2,1),IF(MID(IFERROR(INDEX(醫師週班表!$C$5:$T$44,$CU11,CK$57),""),3,1)="隔",IF(CK$58=0,LEFT(IFERROR(INDEX(醫師週班表!$C$5:$T$44,$CU11,CK$57),""),1),""),IF(MID(IFERROR(INDEX(醫師週班表!$C$5:$T$44,$CU11,CK$57),""),2,1)="(",LEFT(IFERROR(INDEX(醫師週班表!$C$5:$T$44,$CU11,CK$57),""),1),IFERROR(INDEX(醫師週班表!$C$5:$T$44,$CU11,CK$57),"")))))))</f>
        <v/>
      </c>
      <c r="CL11" s="68">
        <f>IF(CL$59="X","",IF(CL$59&lt;&gt;"",CL$59,IF(IFERROR(INDEX(醫師週班表!$C$5:$T$44,$CU11,CL$57),"")=0,"",IF(MID(IFERROR(INDEX(醫師週班表!$C$5:$T$44,$CU11,CL$57),""),2,1)="/",MID(IFERROR(INDEX(醫師週班表!$C$5:$T$44,$CU11,CL$57),""),1+CL$58*2,1),IF(MID(IFERROR(INDEX(醫師週班表!$C$5:$T$44,$CU11,CL$57),""),3,1)="隔",IF(CL$58=0,LEFT(IFERROR(INDEX(醫師週班表!$C$5:$T$44,$CU11,CL$57),""),1),""),IF(MID(IFERROR(INDEX(醫師週班表!$C$5:$T$44,$CU11,CL$57),""),2,1)="(",LEFT(IFERROR(INDEX(醫師週班表!$C$5:$T$44,$CU11,CL$57),""),1),IFERROR(INDEX(醫師週班表!$C$5:$T$44,$CU11,CL$57),"")))))))</f>
        <v/>
      </c>
      <c r="CM11" s="68">
        <f>IF(CM$59="X","",IF(CM$59&lt;&gt;"",CM$59,IF(IFERROR(INDEX(醫師週班表!$C$5:$T$44,$CU11,CM$57),"")=0,"",IF(MID(IFERROR(INDEX(醫師週班表!$C$5:$T$44,$CU11,CM$57),""),2,1)="/",MID(IFERROR(INDEX(醫師週班表!$C$5:$T$44,$CU11,CM$57),""),1+CM$58*2,1),IF(MID(IFERROR(INDEX(醫師週班表!$C$5:$T$44,$CU11,CM$57),""),3,1)="隔",IF(CM$58=0,LEFT(IFERROR(INDEX(醫師週班表!$C$5:$T$44,$CU11,CM$57),""),1),""),IF(MID(IFERROR(INDEX(醫師週班表!$C$5:$T$44,$CU11,CM$57),""),2,1)="(",LEFT(IFERROR(INDEX(醫師週班表!$C$5:$T$44,$CU11,CM$57),""),1),IFERROR(INDEX(醫師週班表!$C$5:$T$44,$CU11,CM$57),"")))))))</f>
        <v/>
      </c>
      <c r="CN11" s="67">
        <f>IF(CN$59="X","",IF(CN$59&lt;&gt;"",CN$59,IF(IFERROR(INDEX(醫師週班表!$C$5:$T$44,$CU11,CN$57),"")=0,"",IF(MID(IFERROR(INDEX(醫師週班表!$C$5:$T$44,$CU11,CN$57),""),2,1)="/",MID(IFERROR(INDEX(醫師週班表!$C$5:$T$44,$CU11,CN$57),""),1+CN$58*2,1),IF(MID(IFERROR(INDEX(醫師週班表!$C$5:$T$44,$CU11,CN$57),""),3,1)="隔",IF(CN$58=0,LEFT(IFERROR(INDEX(醫師週班表!$C$5:$T$44,$CU11,CN$57),""),1),""),IF(MID(IFERROR(INDEX(醫師週班表!$C$5:$T$44,$CU11,CN$57),""),2,1)="(",LEFT(IFERROR(INDEX(醫師週班表!$C$5:$T$44,$CU11,CN$57),""),1),IFERROR(INDEX(醫師週班表!$C$5:$T$44,$CU11,CN$57),"")))))))</f>
        <v/>
      </c>
      <c r="CO11" s="68">
        <f>IF(CO$59="X","",IF(CO$59&lt;&gt;"",CO$59,IF(IFERROR(INDEX(醫師週班表!$C$5:$T$44,$CU11,CO$57),"")=0,"",IF(MID(IFERROR(INDEX(醫師週班表!$C$5:$T$44,$CU11,CO$57),""),2,1)="/",MID(IFERROR(INDEX(醫師週班表!$C$5:$T$44,$CU11,CO$57),""),1+CO$58*2,1),IF(MID(IFERROR(INDEX(醫師週班表!$C$5:$T$44,$CU11,CO$57),""),3,1)="隔",IF(CO$58=0,LEFT(IFERROR(INDEX(醫師週班表!$C$5:$T$44,$CU11,CO$57),""),1),""),IF(MID(IFERROR(INDEX(醫師週班表!$C$5:$T$44,$CU11,CO$57),""),2,1)="(",LEFT(IFERROR(INDEX(醫師週班表!$C$5:$T$44,$CU11,CO$57),""),1),IFERROR(INDEX(醫師週班表!$C$5:$T$44,$CU11,CO$57),"")))))))</f>
        <v/>
      </c>
      <c r="CP11" s="68">
        <f>IF(CP$59="X","",IF(CP$59&lt;&gt;"",CP$59,IF(IFERROR(INDEX(醫師週班表!$C$5:$T$44,$CU11,CP$57),"")=0,"",IF(MID(IFERROR(INDEX(醫師週班表!$C$5:$T$44,$CU11,CP$57),""),2,1)="/",MID(IFERROR(INDEX(醫師週班表!$C$5:$T$44,$CU11,CP$57),""),1+CP$58*2,1),IF(MID(IFERROR(INDEX(醫師週班表!$C$5:$T$44,$CU11,CP$57),""),3,1)="隔",IF(CP$58=0,LEFT(IFERROR(INDEX(醫師週班表!$C$5:$T$44,$CU11,CP$57),""),1),""),IF(MID(IFERROR(INDEX(醫師週班表!$C$5:$T$44,$CU11,CP$57),""),2,1)="(",LEFT(IFERROR(INDEX(醫師週班表!$C$5:$T$44,$CU11,CP$57),""),1),IFERROR(INDEX(醫師週班表!$C$5:$T$44,$CU11,CP$57),"")))))))</f>
        <v/>
      </c>
      <c r="CQ11" s="67">
        <f>IF(CQ$59="X","",IF(CQ$59&lt;&gt;"",CQ$59,IF(IFERROR(INDEX(醫師週班表!$C$5:$T$44,$CU11,CQ$57),"")=0,"",IF(MID(IFERROR(INDEX(醫師週班表!$C$5:$T$44,$CU11,CQ$57),""),2,1)="/",MID(IFERROR(INDEX(醫師週班表!$C$5:$T$44,$CU11,CQ$57),""),1+CQ$58*2,1),IF(MID(IFERROR(INDEX(醫師週班表!$C$5:$T$44,$CU11,CQ$57),""),3,1)="隔",IF(CQ$58=0,LEFT(IFERROR(INDEX(醫師週班表!$C$5:$T$44,$CU11,CQ$57),""),1),""),IF(MID(IFERROR(INDEX(醫師週班表!$C$5:$T$44,$CU11,CQ$57),""),2,1)="(",LEFT(IFERROR(INDEX(醫師週班表!$C$5:$T$44,$CU11,CQ$57),""),1),IFERROR(INDEX(醫師週班表!$C$5:$T$44,$CU11,CQ$57),"")))))))</f>
        <v/>
      </c>
      <c r="CR11" s="68">
        <f>IF(CR$59="X","",IF(CR$59&lt;&gt;"",CR$59,IF(IFERROR(INDEX(醫師週班表!$C$5:$T$44,$CU11,CR$57),"")=0,"",IF(MID(IFERROR(INDEX(醫師週班表!$C$5:$T$44,$CU11,CR$57),""),2,1)="/",MID(IFERROR(INDEX(醫師週班表!$C$5:$T$44,$CU11,CR$57),""),1+CR$58*2,1),IF(MID(IFERROR(INDEX(醫師週班表!$C$5:$T$44,$CU11,CR$57),""),3,1)="隔",IF(CR$58=0,LEFT(IFERROR(INDEX(醫師週班表!$C$5:$T$44,$CU11,CR$57),""),1),""),IF(MID(IFERROR(INDEX(醫師週班表!$C$5:$T$44,$CU11,CR$57),""),2,1)="(",LEFT(IFERROR(INDEX(醫師週班表!$C$5:$T$44,$CU11,CR$57),""),1),IFERROR(INDEX(醫師週班表!$C$5:$T$44,$CU11,CR$57),"")))))))</f>
        <v/>
      </c>
      <c r="CS11" s="68">
        <f>IF(CS$59="X","",IF(CS$59&lt;&gt;"",CS$59,IF(IFERROR(INDEX(醫師週班表!$C$5:$T$44,$CU11,CS$57),"")=0,"",IF(MID(IFERROR(INDEX(醫師週班表!$C$5:$T$44,$CU11,CS$57),""),2,1)="/",MID(IFERROR(INDEX(醫師週班表!$C$5:$T$44,$CU11,CS$57),""),1+CS$58*2,1),IF(MID(IFERROR(INDEX(醫師週班表!$C$5:$T$44,$CU11,CS$57),""),3,1)="隔",IF(CS$58=0,LEFT(IFERROR(INDEX(醫師週班表!$C$5:$T$44,$CU11,CS$57),""),1),""),IF(MID(IFERROR(INDEX(醫師週班表!$C$5:$T$44,$CU11,CS$57),""),2,1)="(",LEFT(IFERROR(INDEX(醫師週班表!$C$5:$T$44,$CU11,CS$57),""),1),IFERROR(INDEX(醫師週班表!$C$5:$T$44,$CU11,CS$57),"")))))))</f>
        <v/>
      </c>
      <c r="CU11" s="69">
        <f>IFERROR(MATCH($A11,醫師週班表!$A$5:$A$44,0),0)</f>
        <v/>
      </c>
    </row>
    <row r="12" ht="17" customHeight="1">
      <c r="A12" s="20" t="inlineStr">
        <is>
          <t>D007</t>
        </is>
      </c>
      <c r="B12" s="16" t="inlineStr">
        <is>
          <t>温翊君</t>
        </is>
      </c>
      <c r="C12" s="66" t="inlineStr">
        <is>
          <t>根管治療專科</t>
        </is>
      </c>
      <c r="D12" s="16" t="inlineStr"/>
      <c r="E12" s="67">
        <f>IF(E$59="X","",IF(E$59&lt;&gt;"",E$59,IF(IFERROR(INDEX(醫師週班表!$C$5:$T$44,$CU12,E$57),"")=0,"",IF(MID(IFERROR(INDEX(醫師週班表!$C$5:$T$44,$CU12,E$57),""),2,1)="/",MID(IFERROR(INDEX(醫師週班表!$C$5:$T$44,$CU12,E$57),""),1+E$58*2,1),IF(MID(IFERROR(INDEX(醫師週班表!$C$5:$T$44,$CU12,E$57),""),3,1)="隔",IF(E$58=0,LEFT(IFERROR(INDEX(醫師週班表!$C$5:$T$44,$CU12,E$57),""),1),""),IF(MID(IFERROR(INDEX(醫師週班表!$C$5:$T$44,$CU12,E$57),""),2,1)="(",LEFT(IFERROR(INDEX(醫師週班表!$C$5:$T$44,$CU12,E$57),""),1),IFERROR(INDEX(醫師週班表!$C$5:$T$44,$CU12,E$57),"")))))))</f>
        <v/>
      </c>
      <c r="F12" s="68">
        <f>IF(F$59="X","",IF(F$59&lt;&gt;"",F$59,IF(IFERROR(INDEX(醫師週班表!$C$5:$T$44,$CU12,F$57),"")=0,"",IF(MID(IFERROR(INDEX(醫師週班表!$C$5:$T$44,$CU12,F$57),""),2,1)="/",MID(IFERROR(INDEX(醫師週班表!$C$5:$T$44,$CU12,F$57),""),1+F$58*2,1),IF(MID(IFERROR(INDEX(醫師週班表!$C$5:$T$44,$CU12,F$57),""),3,1)="隔",IF(F$58=0,LEFT(IFERROR(INDEX(醫師週班表!$C$5:$T$44,$CU12,F$57),""),1),""),IF(MID(IFERROR(INDEX(醫師週班表!$C$5:$T$44,$CU12,F$57),""),2,1)="(",LEFT(IFERROR(INDEX(醫師週班表!$C$5:$T$44,$CU12,F$57),""),1),IFERROR(INDEX(醫師週班表!$C$5:$T$44,$CU12,F$57),"")))))))</f>
        <v/>
      </c>
      <c r="G12" s="68">
        <f>IF(G$59="X","",IF(G$59&lt;&gt;"",G$59,IF(IFERROR(INDEX(醫師週班表!$C$5:$T$44,$CU12,G$57),"")=0,"",IF(MID(IFERROR(INDEX(醫師週班表!$C$5:$T$44,$CU12,G$57),""),2,1)="/",MID(IFERROR(INDEX(醫師週班表!$C$5:$T$44,$CU12,G$57),""),1+G$58*2,1),IF(MID(IFERROR(INDEX(醫師週班表!$C$5:$T$44,$CU12,G$57),""),3,1)="隔",IF(G$58=0,LEFT(IFERROR(INDEX(醫師週班表!$C$5:$T$44,$CU12,G$57),""),1),""),IF(MID(IFERROR(INDEX(醫師週班表!$C$5:$T$44,$CU12,G$57),""),2,1)="(",LEFT(IFERROR(INDEX(醫師週班表!$C$5:$T$44,$CU12,G$57),""),1),IFERROR(INDEX(醫師週班表!$C$5:$T$44,$CU12,G$57),"")))))))</f>
        <v/>
      </c>
      <c r="H12" s="67">
        <f>IF(H$59="X","",IF(H$59&lt;&gt;"",H$59,IF(IFERROR(INDEX(醫師週班表!$C$5:$T$44,$CU12,H$57),"")=0,"",IF(MID(IFERROR(INDEX(醫師週班表!$C$5:$T$44,$CU12,H$57),""),2,1)="/",MID(IFERROR(INDEX(醫師週班表!$C$5:$T$44,$CU12,H$57),""),1+H$58*2,1),IF(MID(IFERROR(INDEX(醫師週班表!$C$5:$T$44,$CU12,H$57),""),3,1)="隔",IF(H$58=0,LEFT(IFERROR(INDEX(醫師週班表!$C$5:$T$44,$CU12,H$57),""),1),""),IF(MID(IFERROR(INDEX(醫師週班表!$C$5:$T$44,$CU12,H$57),""),2,1)="(",LEFT(IFERROR(INDEX(醫師週班表!$C$5:$T$44,$CU12,H$57),""),1),IFERROR(INDEX(醫師週班表!$C$5:$T$44,$CU12,H$57),"")))))))</f>
        <v/>
      </c>
      <c r="I12" s="68">
        <f>IF(I$59="X","",IF(I$59&lt;&gt;"",I$59,IF(IFERROR(INDEX(醫師週班表!$C$5:$T$44,$CU12,I$57),"")=0,"",IF(MID(IFERROR(INDEX(醫師週班表!$C$5:$T$44,$CU12,I$57),""),2,1)="/",MID(IFERROR(INDEX(醫師週班表!$C$5:$T$44,$CU12,I$57),""),1+I$58*2,1),IF(MID(IFERROR(INDEX(醫師週班表!$C$5:$T$44,$CU12,I$57),""),3,1)="隔",IF(I$58=0,LEFT(IFERROR(INDEX(醫師週班表!$C$5:$T$44,$CU12,I$57),""),1),""),IF(MID(IFERROR(INDEX(醫師週班表!$C$5:$T$44,$CU12,I$57),""),2,1)="(",LEFT(IFERROR(INDEX(醫師週班表!$C$5:$T$44,$CU12,I$57),""),1),IFERROR(INDEX(醫師週班表!$C$5:$T$44,$CU12,I$57),"")))))))</f>
        <v/>
      </c>
      <c r="J12" s="68">
        <f>IF(J$59="X","",IF(J$59&lt;&gt;"",J$59,IF(IFERROR(INDEX(醫師週班表!$C$5:$T$44,$CU12,J$57),"")=0,"",IF(MID(IFERROR(INDEX(醫師週班表!$C$5:$T$44,$CU12,J$57),""),2,1)="/",MID(IFERROR(INDEX(醫師週班表!$C$5:$T$44,$CU12,J$57),""),1+J$58*2,1),IF(MID(IFERROR(INDEX(醫師週班表!$C$5:$T$44,$CU12,J$57),""),3,1)="隔",IF(J$58=0,LEFT(IFERROR(INDEX(醫師週班表!$C$5:$T$44,$CU12,J$57),""),1),""),IF(MID(IFERROR(INDEX(醫師週班表!$C$5:$T$44,$CU12,J$57),""),2,1)="(",LEFT(IFERROR(INDEX(醫師週班表!$C$5:$T$44,$CU12,J$57),""),1),IFERROR(INDEX(醫師週班表!$C$5:$T$44,$CU12,J$57),"")))))))</f>
        <v/>
      </c>
      <c r="K12" s="67">
        <f>IF(K$59="X","",IF(K$59&lt;&gt;"",K$59,IF(IFERROR(INDEX(醫師週班表!$C$5:$T$44,$CU12,K$57),"")=0,"",IF(MID(IFERROR(INDEX(醫師週班表!$C$5:$T$44,$CU12,K$57),""),2,1)="/",MID(IFERROR(INDEX(醫師週班表!$C$5:$T$44,$CU12,K$57),""),1+K$58*2,1),IF(MID(IFERROR(INDEX(醫師週班表!$C$5:$T$44,$CU12,K$57),""),3,1)="隔",IF(K$58=0,LEFT(IFERROR(INDEX(醫師週班表!$C$5:$T$44,$CU12,K$57),""),1),""),IF(MID(IFERROR(INDEX(醫師週班表!$C$5:$T$44,$CU12,K$57),""),2,1)="(",LEFT(IFERROR(INDEX(醫師週班表!$C$5:$T$44,$CU12,K$57),""),1),IFERROR(INDEX(醫師週班表!$C$5:$T$44,$CU12,K$57),"")))))))</f>
        <v/>
      </c>
      <c r="L12" s="68">
        <f>IF(L$59="X","",IF(L$59&lt;&gt;"",L$59,IF(IFERROR(INDEX(醫師週班表!$C$5:$T$44,$CU12,L$57),"")=0,"",IF(MID(IFERROR(INDEX(醫師週班表!$C$5:$T$44,$CU12,L$57),""),2,1)="/",MID(IFERROR(INDEX(醫師週班表!$C$5:$T$44,$CU12,L$57),""),1+L$58*2,1),IF(MID(IFERROR(INDEX(醫師週班表!$C$5:$T$44,$CU12,L$57),""),3,1)="隔",IF(L$58=0,LEFT(IFERROR(INDEX(醫師週班表!$C$5:$T$44,$CU12,L$57),""),1),""),IF(MID(IFERROR(INDEX(醫師週班表!$C$5:$T$44,$CU12,L$57),""),2,1)="(",LEFT(IFERROR(INDEX(醫師週班表!$C$5:$T$44,$CU12,L$57),""),1),IFERROR(INDEX(醫師週班表!$C$5:$T$44,$CU12,L$57),"")))))))</f>
        <v/>
      </c>
      <c r="M12" s="68">
        <f>IF(M$59="X","",IF(M$59&lt;&gt;"",M$59,IF(IFERROR(INDEX(醫師週班表!$C$5:$T$44,$CU12,M$57),"")=0,"",IF(MID(IFERROR(INDEX(醫師週班表!$C$5:$T$44,$CU12,M$57),""),2,1)="/",MID(IFERROR(INDEX(醫師週班表!$C$5:$T$44,$CU12,M$57),""),1+M$58*2,1),IF(MID(IFERROR(INDEX(醫師週班表!$C$5:$T$44,$CU12,M$57),""),3,1)="隔",IF(M$58=0,LEFT(IFERROR(INDEX(醫師週班表!$C$5:$T$44,$CU12,M$57),""),1),""),IF(MID(IFERROR(INDEX(醫師週班表!$C$5:$T$44,$CU12,M$57),""),2,1)="(",LEFT(IFERROR(INDEX(醫師週班表!$C$5:$T$44,$CU12,M$57),""),1),IFERROR(INDEX(醫師週班表!$C$5:$T$44,$CU12,M$57),"")))))))</f>
        <v/>
      </c>
      <c r="N12" s="67">
        <f>IF(N$59="X","",IF(N$59&lt;&gt;"",N$59,IF(IFERROR(INDEX(醫師週班表!$C$5:$T$44,$CU12,N$57),"")=0,"",IF(MID(IFERROR(INDEX(醫師週班表!$C$5:$T$44,$CU12,N$57),""),2,1)="/",MID(IFERROR(INDEX(醫師週班表!$C$5:$T$44,$CU12,N$57),""),1+N$58*2,1),IF(MID(IFERROR(INDEX(醫師週班表!$C$5:$T$44,$CU12,N$57),""),3,1)="隔",IF(N$58=0,LEFT(IFERROR(INDEX(醫師週班表!$C$5:$T$44,$CU12,N$57),""),1),""),IF(MID(IFERROR(INDEX(醫師週班表!$C$5:$T$44,$CU12,N$57),""),2,1)="(",LEFT(IFERROR(INDEX(醫師週班表!$C$5:$T$44,$CU12,N$57),""),1),IFERROR(INDEX(醫師週班表!$C$5:$T$44,$CU12,N$57),"")))))))</f>
        <v/>
      </c>
      <c r="O12" s="68">
        <f>IF(O$59="X","",IF(O$59&lt;&gt;"",O$59,IF(IFERROR(INDEX(醫師週班表!$C$5:$T$44,$CU12,O$57),"")=0,"",IF(MID(IFERROR(INDEX(醫師週班表!$C$5:$T$44,$CU12,O$57),""),2,1)="/",MID(IFERROR(INDEX(醫師週班表!$C$5:$T$44,$CU12,O$57),""),1+O$58*2,1),IF(MID(IFERROR(INDEX(醫師週班表!$C$5:$T$44,$CU12,O$57),""),3,1)="隔",IF(O$58=0,LEFT(IFERROR(INDEX(醫師週班表!$C$5:$T$44,$CU12,O$57),""),1),""),IF(MID(IFERROR(INDEX(醫師週班表!$C$5:$T$44,$CU12,O$57),""),2,1)="(",LEFT(IFERROR(INDEX(醫師週班表!$C$5:$T$44,$CU12,O$57),""),1),IFERROR(INDEX(醫師週班表!$C$5:$T$44,$CU12,O$57),"")))))))</f>
        <v/>
      </c>
      <c r="P12" s="68">
        <f>IF(P$59="X","",IF(P$59&lt;&gt;"",P$59,IF(IFERROR(INDEX(醫師週班表!$C$5:$T$44,$CU12,P$57),"")=0,"",IF(MID(IFERROR(INDEX(醫師週班表!$C$5:$T$44,$CU12,P$57),""),2,1)="/",MID(IFERROR(INDEX(醫師週班表!$C$5:$T$44,$CU12,P$57),""),1+P$58*2,1),IF(MID(IFERROR(INDEX(醫師週班表!$C$5:$T$44,$CU12,P$57),""),3,1)="隔",IF(P$58=0,LEFT(IFERROR(INDEX(醫師週班表!$C$5:$T$44,$CU12,P$57),""),1),""),IF(MID(IFERROR(INDEX(醫師週班表!$C$5:$T$44,$CU12,P$57),""),2,1)="(",LEFT(IFERROR(INDEX(醫師週班表!$C$5:$T$44,$CU12,P$57),""),1),IFERROR(INDEX(醫師週班表!$C$5:$T$44,$CU12,P$57),"")))))))</f>
        <v/>
      </c>
      <c r="Q12" s="67">
        <f>IF(Q$59="X","",IF(Q$59&lt;&gt;"",Q$59,IF(IFERROR(INDEX(醫師週班表!$C$5:$T$44,$CU12,Q$57),"")=0,"",IF(MID(IFERROR(INDEX(醫師週班表!$C$5:$T$44,$CU12,Q$57),""),2,1)="/",MID(IFERROR(INDEX(醫師週班表!$C$5:$T$44,$CU12,Q$57),""),1+Q$58*2,1),IF(MID(IFERROR(INDEX(醫師週班表!$C$5:$T$44,$CU12,Q$57),""),3,1)="隔",IF(Q$58=0,LEFT(IFERROR(INDEX(醫師週班表!$C$5:$T$44,$CU12,Q$57),""),1),""),IF(MID(IFERROR(INDEX(醫師週班表!$C$5:$T$44,$CU12,Q$57),""),2,1)="(",LEFT(IFERROR(INDEX(醫師週班表!$C$5:$T$44,$CU12,Q$57),""),1),IFERROR(INDEX(醫師週班表!$C$5:$T$44,$CU12,Q$57),"")))))))</f>
        <v/>
      </c>
      <c r="R12" s="68">
        <f>IF(R$59="X","",IF(R$59&lt;&gt;"",R$59,IF(IFERROR(INDEX(醫師週班表!$C$5:$T$44,$CU12,R$57),"")=0,"",IF(MID(IFERROR(INDEX(醫師週班表!$C$5:$T$44,$CU12,R$57),""),2,1)="/",MID(IFERROR(INDEX(醫師週班表!$C$5:$T$44,$CU12,R$57),""),1+R$58*2,1),IF(MID(IFERROR(INDEX(醫師週班表!$C$5:$T$44,$CU12,R$57),""),3,1)="隔",IF(R$58=0,LEFT(IFERROR(INDEX(醫師週班表!$C$5:$T$44,$CU12,R$57),""),1),""),IF(MID(IFERROR(INDEX(醫師週班表!$C$5:$T$44,$CU12,R$57),""),2,1)="(",LEFT(IFERROR(INDEX(醫師週班表!$C$5:$T$44,$CU12,R$57),""),1),IFERROR(INDEX(醫師週班表!$C$5:$T$44,$CU12,R$57),"")))))))</f>
        <v/>
      </c>
      <c r="S12" s="68">
        <f>IF(S$59="X","",IF(S$59&lt;&gt;"",S$59,IF(IFERROR(INDEX(醫師週班表!$C$5:$T$44,$CU12,S$57),"")=0,"",IF(MID(IFERROR(INDEX(醫師週班表!$C$5:$T$44,$CU12,S$57),""),2,1)="/",MID(IFERROR(INDEX(醫師週班表!$C$5:$T$44,$CU12,S$57),""),1+S$58*2,1),IF(MID(IFERROR(INDEX(醫師週班表!$C$5:$T$44,$CU12,S$57),""),3,1)="隔",IF(S$58=0,LEFT(IFERROR(INDEX(醫師週班表!$C$5:$T$44,$CU12,S$57),""),1),""),IF(MID(IFERROR(INDEX(醫師週班表!$C$5:$T$44,$CU12,S$57),""),2,1)="(",LEFT(IFERROR(INDEX(醫師週班表!$C$5:$T$44,$CU12,S$57),""),1),IFERROR(INDEX(醫師週班表!$C$5:$T$44,$CU12,S$57),"")))))))</f>
        <v/>
      </c>
      <c r="T12" s="67">
        <f>IF(T$59="X","",IF(T$59&lt;&gt;"",T$59,IF(IFERROR(INDEX(醫師週班表!$C$5:$T$44,$CU12,T$57),"")=0,"",IF(MID(IFERROR(INDEX(醫師週班表!$C$5:$T$44,$CU12,T$57),""),2,1)="/",MID(IFERROR(INDEX(醫師週班表!$C$5:$T$44,$CU12,T$57),""),1+T$58*2,1),IF(MID(IFERROR(INDEX(醫師週班表!$C$5:$T$44,$CU12,T$57),""),3,1)="隔",IF(T$58=0,LEFT(IFERROR(INDEX(醫師週班表!$C$5:$T$44,$CU12,T$57),""),1),""),IF(MID(IFERROR(INDEX(醫師週班表!$C$5:$T$44,$CU12,T$57),""),2,1)="(",LEFT(IFERROR(INDEX(醫師週班表!$C$5:$T$44,$CU12,T$57),""),1),IFERROR(INDEX(醫師週班表!$C$5:$T$44,$CU12,T$57),"")))))))</f>
        <v/>
      </c>
      <c r="U12" s="68">
        <f>IF(U$59="X","",IF(U$59&lt;&gt;"",U$59,IF(IFERROR(INDEX(醫師週班表!$C$5:$T$44,$CU12,U$57),"")=0,"",IF(MID(IFERROR(INDEX(醫師週班表!$C$5:$T$44,$CU12,U$57),""),2,1)="/",MID(IFERROR(INDEX(醫師週班表!$C$5:$T$44,$CU12,U$57),""),1+U$58*2,1),IF(MID(IFERROR(INDEX(醫師週班表!$C$5:$T$44,$CU12,U$57),""),3,1)="隔",IF(U$58=0,LEFT(IFERROR(INDEX(醫師週班表!$C$5:$T$44,$CU12,U$57),""),1),""),IF(MID(IFERROR(INDEX(醫師週班表!$C$5:$T$44,$CU12,U$57),""),2,1)="(",LEFT(IFERROR(INDEX(醫師週班表!$C$5:$T$44,$CU12,U$57),""),1),IFERROR(INDEX(醫師週班表!$C$5:$T$44,$CU12,U$57),"")))))))</f>
        <v/>
      </c>
      <c r="V12" s="68">
        <f>IF(V$59="X","",IF(V$59&lt;&gt;"",V$59,IF(IFERROR(INDEX(醫師週班表!$C$5:$T$44,$CU12,V$57),"")=0,"",IF(MID(IFERROR(INDEX(醫師週班表!$C$5:$T$44,$CU12,V$57),""),2,1)="/",MID(IFERROR(INDEX(醫師週班表!$C$5:$T$44,$CU12,V$57),""),1+V$58*2,1),IF(MID(IFERROR(INDEX(醫師週班表!$C$5:$T$44,$CU12,V$57),""),3,1)="隔",IF(V$58=0,LEFT(IFERROR(INDEX(醫師週班表!$C$5:$T$44,$CU12,V$57),""),1),""),IF(MID(IFERROR(INDEX(醫師週班表!$C$5:$T$44,$CU12,V$57),""),2,1)="(",LEFT(IFERROR(INDEX(醫師週班表!$C$5:$T$44,$CU12,V$57),""),1),IFERROR(INDEX(醫師週班表!$C$5:$T$44,$CU12,V$57),"")))))))</f>
        <v/>
      </c>
      <c r="W12" s="67">
        <f>IF(W$59="X","",IF(W$59&lt;&gt;"",W$59,IF(IFERROR(INDEX(醫師週班表!$C$5:$T$44,$CU12,W$57),"")=0,"",IF(MID(IFERROR(INDEX(醫師週班表!$C$5:$T$44,$CU12,W$57),""),2,1)="/",MID(IFERROR(INDEX(醫師週班表!$C$5:$T$44,$CU12,W$57),""),1+W$58*2,1),IF(MID(IFERROR(INDEX(醫師週班表!$C$5:$T$44,$CU12,W$57),""),3,1)="隔",IF(W$58=0,LEFT(IFERROR(INDEX(醫師週班表!$C$5:$T$44,$CU12,W$57),""),1),""),IF(MID(IFERROR(INDEX(醫師週班表!$C$5:$T$44,$CU12,W$57),""),2,1)="(",LEFT(IFERROR(INDEX(醫師週班表!$C$5:$T$44,$CU12,W$57),""),1),IFERROR(INDEX(醫師週班表!$C$5:$T$44,$CU12,W$57),"")))))))</f>
        <v/>
      </c>
      <c r="X12" s="68">
        <f>IF(X$59="X","",IF(X$59&lt;&gt;"",X$59,IF(IFERROR(INDEX(醫師週班表!$C$5:$T$44,$CU12,X$57),"")=0,"",IF(MID(IFERROR(INDEX(醫師週班表!$C$5:$T$44,$CU12,X$57),""),2,1)="/",MID(IFERROR(INDEX(醫師週班表!$C$5:$T$44,$CU12,X$57),""),1+X$58*2,1),IF(MID(IFERROR(INDEX(醫師週班表!$C$5:$T$44,$CU12,X$57),""),3,1)="隔",IF(X$58=0,LEFT(IFERROR(INDEX(醫師週班表!$C$5:$T$44,$CU12,X$57),""),1),""),IF(MID(IFERROR(INDEX(醫師週班表!$C$5:$T$44,$CU12,X$57),""),2,1)="(",LEFT(IFERROR(INDEX(醫師週班表!$C$5:$T$44,$CU12,X$57),""),1),IFERROR(INDEX(醫師週班表!$C$5:$T$44,$CU12,X$57),"")))))))</f>
        <v/>
      </c>
      <c r="Y12" s="68">
        <f>IF(Y$59="X","",IF(Y$59&lt;&gt;"",Y$59,IF(IFERROR(INDEX(醫師週班表!$C$5:$T$44,$CU12,Y$57),"")=0,"",IF(MID(IFERROR(INDEX(醫師週班表!$C$5:$T$44,$CU12,Y$57),""),2,1)="/",MID(IFERROR(INDEX(醫師週班表!$C$5:$T$44,$CU12,Y$57),""),1+Y$58*2,1),IF(MID(IFERROR(INDEX(醫師週班表!$C$5:$T$44,$CU12,Y$57),""),3,1)="隔",IF(Y$58=0,LEFT(IFERROR(INDEX(醫師週班表!$C$5:$T$44,$CU12,Y$57),""),1),""),IF(MID(IFERROR(INDEX(醫師週班表!$C$5:$T$44,$CU12,Y$57),""),2,1)="(",LEFT(IFERROR(INDEX(醫師週班表!$C$5:$T$44,$CU12,Y$57),""),1),IFERROR(INDEX(醫師週班表!$C$5:$T$44,$CU12,Y$57),"")))))))</f>
        <v/>
      </c>
      <c r="Z12" s="67">
        <f>IF(Z$59="X","",IF(Z$59&lt;&gt;"",Z$59,IF(IFERROR(INDEX(醫師週班表!$C$5:$T$44,$CU12,Z$57),"")=0,"",IF(MID(IFERROR(INDEX(醫師週班表!$C$5:$T$44,$CU12,Z$57),""),2,1)="/",MID(IFERROR(INDEX(醫師週班表!$C$5:$T$44,$CU12,Z$57),""),1+Z$58*2,1),IF(MID(IFERROR(INDEX(醫師週班表!$C$5:$T$44,$CU12,Z$57),""),3,1)="隔",IF(Z$58=0,LEFT(IFERROR(INDEX(醫師週班表!$C$5:$T$44,$CU12,Z$57),""),1),""),IF(MID(IFERROR(INDEX(醫師週班表!$C$5:$T$44,$CU12,Z$57),""),2,1)="(",LEFT(IFERROR(INDEX(醫師週班表!$C$5:$T$44,$CU12,Z$57),""),1),IFERROR(INDEX(醫師週班表!$C$5:$T$44,$CU12,Z$57),"")))))))</f>
        <v/>
      </c>
      <c r="AA12" s="68">
        <f>IF(AA$59="X","",IF(AA$59&lt;&gt;"",AA$59,IF(IFERROR(INDEX(醫師週班表!$C$5:$T$44,$CU12,AA$57),"")=0,"",IF(MID(IFERROR(INDEX(醫師週班表!$C$5:$T$44,$CU12,AA$57),""),2,1)="/",MID(IFERROR(INDEX(醫師週班表!$C$5:$T$44,$CU12,AA$57),""),1+AA$58*2,1),IF(MID(IFERROR(INDEX(醫師週班表!$C$5:$T$44,$CU12,AA$57),""),3,1)="隔",IF(AA$58=0,LEFT(IFERROR(INDEX(醫師週班表!$C$5:$T$44,$CU12,AA$57),""),1),""),IF(MID(IFERROR(INDEX(醫師週班表!$C$5:$T$44,$CU12,AA$57),""),2,1)="(",LEFT(IFERROR(INDEX(醫師週班表!$C$5:$T$44,$CU12,AA$57),""),1),IFERROR(INDEX(醫師週班表!$C$5:$T$44,$CU12,AA$57),"")))))))</f>
        <v/>
      </c>
      <c r="AB12" s="68">
        <f>IF(AB$59="X","",IF(AB$59&lt;&gt;"",AB$59,IF(IFERROR(INDEX(醫師週班表!$C$5:$T$44,$CU12,AB$57),"")=0,"",IF(MID(IFERROR(INDEX(醫師週班表!$C$5:$T$44,$CU12,AB$57),""),2,1)="/",MID(IFERROR(INDEX(醫師週班表!$C$5:$T$44,$CU12,AB$57),""),1+AB$58*2,1),IF(MID(IFERROR(INDEX(醫師週班表!$C$5:$T$44,$CU12,AB$57),""),3,1)="隔",IF(AB$58=0,LEFT(IFERROR(INDEX(醫師週班表!$C$5:$T$44,$CU12,AB$57),""),1),""),IF(MID(IFERROR(INDEX(醫師週班表!$C$5:$T$44,$CU12,AB$57),""),2,1)="(",LEFT(IFERROR(INDEX(醫師週班表!$C$5:$T$44,$CU12,AB$57),""),1),IFERROR(INDEX(醫師週班表!$C$5:$T$44,$CU12,AB$57),"")))))))</f>
        <v/>
      </c>
      <c r="AC12" s="67">
        <f>IF(AC$59="X","",IF(AC$59&lt;&gt;"",AC$59,IF(IFERROR(INDEX(醫師週班表!$C$5:$T$44,$CU12,AC$57),"")=0,"",IF(MID(IFERROR(INDEX(醫師週班表!$C$5:$T$44,$CU12,AC$57),""),2,1)="/",MID(IFERROR(INDEX(醫師週班表!$C$5:$T$44,$CU12,AC$57),""),1+AC$58*2,1),IF(MID(IFERROR(INDEX(醫師週班表!$C$5:$T$44,$CU12,AC$57),""),3,1)="隔",IF(AC$58=0,LEFT(IFERROR(INDEX(醫師週班表!$C$5:$T$44,$CU12,AC$57),""),1),""),IF(MID(IFERROR(INDEX(醫師週班表!$C$5:$T$44,$CU12,AC$57),""),2,1)="(",LEFT(IFERROR(INDEX(醫師週班表!$C$5:$T$44,$CU12,AC$57),""),1),IFERROR(INDEX(醫師週班表!$C$5:$T$44,$CU12,AC$57),"")))))))</f>
        <v/>
      </c>
      <c r="AD12" s="68">
        <f>IF(AD$59="X","",IF(AD$59&lt;&gt;"",AD$59,IF(IFERROR(INDEX(醫師週班表!$C$5:$T$44,$CU12,AD$57),"")=0,"",IF(MID(IFERROR(INDEX(醫師週班表!$C$5:$T$44,$CU12,AD$57),""),2,1)="/",MID(IFERROR(INDEX(醫師週班表!$C$5:$T$44,$CU12,AD$57),""),1+AD$58*2,1),IF(MID(IFERROR(INDEX(醫師週班表!$C$5:$T$44,$CU12,AD$57),""),3,1)="隔",IF(AD$58=0,LEFT(IFERROR(INDEX(醫師週班表!$C$5:$T$44,$CU12,AD$57),""),1),""),IF(MID(IFERROR(INDEX(醫師週班表!$C$5:$T$44,$CU12,AD$57),""),2,1)="(",LEFT(IFERROR(INDEX(醫師週班表!$C$5:$T$44,$CU12,AD$57),""),1),IFERROR(INDEX(醫師週班表!$C$5:$T$44,$CU12,AD$57),"")))))))</f>
        <v/>
      </c>
      <c r="AE12" s="68">
        <f>IF(AE$59="X","",IF(AE$59&lt;&gt;"",AE$59,IF(IFERROR(INDEX(醫師週班表!$C$5:$T$44,$CU12,AE$57),"")=0,"",IF(MID(IFERROR(INDEX(醫師週班表!$C$5:$T$44,$CU12,AE$57),""),2,1)="/",MID(IFERROR(INDEX(醫師週班表!$C$5:$T$44,$CU12,AE$57),""),1+AE$58*2,1),IF(MID(IFERROR(INDEX(醫師週班表!$C$5:$T$44,$CU12,AE$57),""),3,1)="隔",IF(AE$58=0,LEFT(IFERROR(INDEX(醫師週班表!$C$5:$T$44,$CU12,AE$57),""),1),""),IF(MID(IFERROR(INDEX(醫師週班表!$C$5:$T$44,$CU12,AE$57),""),2,1)="(",LEFT(IFERROR(INDEX(醫師週班表!$C$5:$T$44,$CU12,AE$57),""),1),IFERROR(INDEX(醫師週班表!$C$5:$T$44,$CU12,AE$57),"")))))))</f>
        <v/>
      </c>
      <c r="AF12" s="67">
        <f>IF(AF$59="X","",IF(AF$59&lt;&gt;"",AF$59,IF(IFERROR(INDEX(醫師週班表!$C$5:$T$44,$CU12,AF$57),"")=0,"",IF(MID(IFERROR(INDEX(醫師週班表!$C$5:$T$44,$CU12,AF$57),""),2,1)="/",MID(IFERROR(INDEX(醫師週班表!$C$5:$T$44,$CU12,AF$57),""),1+AF$58*2,1),IF(MID(IFERROR(INDEX(醫師週班表!$C$5:$T$44,$CU12,AF$57),""),3,1)="隔",IF(AF$58=0,LEFT(IFERROR(INDEX(醫師週班表!$C$5:$T$44,$CU12,AF$57),""),1),""),IF(MID(IFERROR(INDEX(醫師週班表!$C$5:$T$44,$CU12,AF$57),""),2,1)="(",LEFT(IFERROR(INDEX(醫師週班表!$C$5:$T$44,$CU12,AF$57),""),1),IFERROR(INDEX(醫師週班表!$C$5:$T$44,$CU12,AF$57),"")))))))</f>
        <v/>
      </c>
      <c r="AG12" s="68">
        <f>IF(AG$59="X","",IF(AG$59&lt;&gt;"",AG$59,IF(IFERROR(INDEX(醫師週班表!$C$5:$T$44,$CU12,AG$57),"")=0,"",IF(MID(IFERROR(INDEX(醫師週班表!$C$5:$T$44,$CU12,AG$57),""),2,1)="/",MID(IFERROR(INDEX(醫師週班表!$C$5:$T$44,$CU12,AG$57),""),1+AG$58*2,1),IF(MID(IFERROR(INDEX(醫師週班表!$C$5:$T$44,$CU12,AG$57),""),3,1)="隔",IF(AG$58=0,LEFT(IFERROR(INDEX(醫師週班表!$C$5:$T$44,$CU12,AG$57),""),1),""),IF(MID(IFERROR(INDEX(醫師週班表!$C$5:$T$44,$CU12,AG$57),""),2,1)="(",LEFT(IFERROR(INDEX(醫師週班表!$C$5:$T$44,$CU12,AG$57),""),1),IFERROR(INDEX(醫師週班表!$C$5:$T$44,$CU12,AG$57),"")))))))</f>
        <v/>
      </c>
      <c r="AH12" s="68">
        <f>IF(AH$59="X","",IF(AH$59&lt;&gt;"",AH$59,IF(IFERROR(INDEX(醫師週班表!$C$5:$T$44,$CU12,AH$57),"")=0,"",IF(MID(IFERROR(INDEX(醫師週班表!$C$5:$T$44,$CU12,AH$57),""),2,1)="/",MID(IFERROR(INDEX(醫師週班表!$C$5:$T$44,$CU12,AH$57),""),1+AH$58*2,1),IF(MID(IFERROR(INDEX(醫師週班表!$C$5:$T$44,$CU12,AH$57),""),3,1)="隔",IF(AH$58=0,LEFT(IFERROR(INDEX(醫師週班表!$C$5:$T$44,$CU12,AH$57),""),1),""),IF(MID(IFERROR(INDEX(醫師週班表!$C$5:$T$44,$CU12,AH$57),""),2,1)="(",LEFT(IFERROR(INDEX(醫師週班表!$C$5:$T$44,$CU12,AH$57),""),1),IFERROR(INDEX(醫師週班表!$C$5:$T$44,$CU12,AH$57),"")))))))</f>
        <v/>
      </c>
      <c r="AI12" s="67">
        <f>IF(AI$59="X","",IF(AI$59&lt;&gt;"",AI$59,IF(IFERROR(INDEX(醫師週班表!$C$5:$T$44,$CU12,AI$57),"")=0,"",IF(MID(IFERROR(INDEX(醫師週班表!$C$5:$T$44,$CU12,AI$57),""),2,1)="/",MID(IFERROR(INDEX(醫師週班表!$C$5:$T$44,$CU12,AI$57),""),1+AI$58*2,1),IF(MID(IFERROR(INDEX(醫師週班表!$C$5:$T$44,$CU12,AI$57),""),3,1)="隔",IF(AI$58=0,LEFT(IFERROR(INDEX(醫師週班表!$C$5:$T$44,$CU12,AI$57),""),1),""),IF(MID(IFERROR(INDEX(醫師週班表!$C$5:$T$44,$CU12,AI$57),""),2,1)="(",LEFT(IFERROR(INDEX(醫師週班表!$C$5:$T$44,$CU12,AI$57),""),1),IFERROR(INDEX(醫師週班表!$C$5:$T$44,$CU12,AI$57),"")))))))</f>
        <v/>
      </c>
      <c r="AJ12" s="68">
        <f>IF(AJ$59="X","",IF(AJ$59&lt;&gt;"",AJ$59,IF(IFERROR(INDEX(醫師週班表!$C$5:$T$44,$CU12,AJ$57),"")=0,"",IF(MID(IFERROR(INDEX(醫師週班表!$C$5:$T$44,$CU12,AJ$57),""),2,1)="/",MID(IFERROR(INDEX(醫師週班表!$C$5:$T$44,$CU12,AJ$57),""),1+AJ$58*2,1),IF(MID(IFERROR(INDEX(醫師週班表!$C$5:$T$44,$CU12,AJ$57),""),3,1)="隔",IF(AJ$58=0,LEFT(IFERROR(INDEX(醫師週班表!$C$5:$T$44,$CU12,AJ$57),""),1),""),IF(MID(IFERROR(INDEX(醫師週班表!$C$5:$T$44,$CU12,AJ$57),""),2,1)="(",LEFT(IFERROR(INDEX(醫師週班表!$C$5:$T$44,$CU12,AJ$57),""),1),IFERROR(INDEX(醫師週班表!$C$5:$T$44,$CU12,AJ$57),"")))))))</f>
        <v/>
      </c>
      <c r="AK12" s="68">
        <f>IF(AK$59="X","",IF(AK$59&lt;&gt;"",AK$59,IF(IFERROR(INDEX(醫師週班表!$C$5:$T$44,$CU12,AK$57),"")=0,"",IF(MID(IFERROR(INDEX(醫師週班表!$C$5:$T$44,$CU12,AK$57),""),2,1)="/",MID(IFERROR(INDEX(醫師週班表!$C$5:$T$44,$CU12,AK$57),""),1+AK$58*2,1),IF(MID(IFERROR(INDEX(醫師週班表!$C$5:$T$44,$CU12,AK$57),""),3,1)="隔",IF(AK$58=0,LEFT(IFERROR(INDEX(醫師週班表!$C$5:$T$44,$CU12,AK$57),""),1),""),IF(MID(IFERROR(INDEX(醫師週班表!$C$5:$T$44,$CU12,AK$57),""),2,1)="(",LEFT(IFERROR(INDEX(醫師週班表!$C$5:$T$44,$CU12,AK$57),""),1),IFERROR(INDEX(醫師週班表!$C$5:$T$44,$CU12,AK$57),"")))))))</f>
        <v/>
      </c>
      <c r="AL12" s="67">
        <f>IF(AL$59="X","",IF(AL$59&lt;&gt;"",AL$59,IF(IFERROR(INDEX(醫師週班表!$C$5:$T$44,$CU12,AL$57),"")=0,"",IF(MID(IFERROR(INDEX(醫師週班表!$C$5:$T$44,$CU12,AL$57),""),2,1)="/",MID(IFERROR(INDEX(醫師週班表!$C$5:$T$44,$CU12,AL$57),""),1+AL$58*2,1),IF(MID(IFERROR(INDEX(醫師週班表!$C$5:$T$44,$CU12,AL$57),""),3,1)="隔",IF(AL$58=0,LEFT(IFERROR(INDEX(醫師週班表!$C$5:$T$44,$CU12,AL$57),""),1),""),IF(MID(IFERROR(INDEX(醫師週班表!$C$5:$T$44,$CU12,AL$57),""),2,1)="(",LEFT(IFERROR(INDEX(醫師週班表!$C$5:$T$44,$CU12,AL$57),""),1),IFERROR(INDEX(醫師週班表!$C$5:$T$44,$CU12,AL$57),"")))))))</f>
        <v/>
      </c>
      <c r="AM12" s="68">
        <f>IF(AM$59="X","",IF(AM$59&lt;&gt;"",AM$59,IF(IFERROR(INDEX(醫師週班表!$C$5:$T$44,$CU12,AM$57),"")=0,"",IF(MID(IFERROR(INDEX(醫師週班表!$C$5:$T$44,$CU12,AM$57),""),2,1)="/",MID(IFERROR(INDEX(醫師週班表!$C$5:$T$44,$CU12,AM$57),""),1+AM$58*2,1),IF(MID(IFERROR(INDEX(醫師週班表!$C$5:$T$44,$CU12,AM$57),""),3,1)="隔",IF(AM$58=0,LEFT(IFERROR(INDEX(醫師週班表!$C$5:$T$44,$CU12,AM$57),""),1),""),IF(MID(IFERROR(INDEX(醫師週班表!$C$5:$T$44,$CU12,AM$57),""),2,1)="(",LEFT(IFERROR(INDEX(醫師週班表!$C$5:$T$44,$CU12,AM$57),""),1),IFERROR(INDEX(醫師週班表!$C$5:$T$44,$CU12,AM$57),"")))))))</f>
        <v/>
      </c>
      <c r="AN12" s="68">
        <f>IF(AN$59="X","",IF(AN$59&lt;&gt;"",AN$59,IF(IFERROR(INDEX(醫師週班表!$C$5:$T$44,$CU12,AN$57),"")=0,"",IF(MID(IFERROR(INDEX(醫師週班表!$C$5:$T$44,$CU12,AN$57),""),2,1)="/",MID(IFERROR(INDEX(醫師週班表!$C$5:$T$44,$CU12,AN$57),""),1+AN$58*2,1),IF(MID(IFERROR(INDEX(醫師週班表!$C$5:$T$44,$CU12,AN$57),""),3,1)="隔",IF(AN$58=0,LEFT(IFERROR(INDEX(醫師週班表!$C$5:$T$44,$CU12,AN$57),""),1),""),IF(MID(IFERROR(INDEX(醫師週班表!$C$5:$T$44,$CU12,AN$57),""),2,1)="(",LEFT(IFERROR(INDEX(醫師週班表!$C$5:$T$44,$CU12,AN$57),""),1),IFERROR(INDEX(醫師週班表!$C$5:$T$44,$CU12,AN$57),"")))))))</f>
        <v/>
      </c>
      <c r="AO12" s="67">
        <f>IF(AO$59="X","",IF(AO$59&lt;&gt;"",AO$59,IF(IFERROR(INDEX(醫師週班表!$C$5:$T$44,$CU12,AO$57),"")=0,"",IF(MID(IFERROR(INDEX(醫師週班表!$C$5:$T$44,$CU12,AO$57),""),2,1)="/",MID(IFERROR(INDEX(醫師週班表!$C$5:$T$44,$CU12,AO$57),""),1+AO$58*2,1),IF(MID(IFERROR(INDEX(醫師週班表!$C$5:$T$44,$CU12,AO$57),""),3,1)="隔",IF(AO$58=0,LEFT(IFERROR(INDEX(醫師週班表!$C$5:$T$44,$CU12,AO$57),""),1),""),IF(MID(IFERROR(INDEX(醫師週班表!$C$5:$T$44,$CU12,AO$57),""),2,1)="(",LEFT(IFERROR(INDEX(醫師週班表!$C$5:$T$44,$CU12,AO$57),""),1),IFERROR(INDEX(醫師週班表!$C$5:$T$44,$CU12,AO$57),"")))))))</f>
        <v/>
      </c>
      <c r="AP12" s="68">
        <f>IF(AP$59="X","",IF(AP$59&lt;&gt;"",AP$59,IF(IFERROR(INDEX(醫師週班表!$C$5:$T$44,$CU12,AP$57),"")=0,"",IF(MID(IFERROR(INDEX(醫師週班表!$C$5:$T$44,$CU12,AP$57),""),2,1)="/",MID(IFERROR(INDEX(醫師週班表!$C$5:$T$44,$CU12,AP$57),""),1+AP$58*2,1),IF(MID(IFERROR(INDEX(醫師週班表!$C$5:$T$44,$CU12,AP$57),""),3,1)="隔",IF(AP$58=0,LEFT(IFERROR(INDEX(醫師週班表!$C$5:$T$44,$CU12,AP$57),""),1),""),IF(MID(IFERROR(INDEX(醫師週班表!$C$5:$T$44,$CU12,AP$57),""),2,1)="(",LEFT(IFERROR(INDEX(醫師週班表!$C$5:$T$44,$CU12,AP$57),""),1),IFERROR(INDEX(醫師週班表!$C$5:$T$44,$CU12,AP$57),"")))))))</f>
        <v/>
      </c>
      <c r="AQ12" s="68">
        <f>IF(AQ$59="X","",IF(AQ$59&lt;&gt;"",AQ$59,IF(IFERROR(INDEX(醫師週班表!$C$5:$T$44,$CU12,AQ$57),"")=0,"",IF(MID(IFERROR(INDEX(醫師週班表!$C$5:$T$44,$CU12,AQ$57),""),2,1)="/",MID(IFERROR(INDEX(醫師週班表!$C$5:$T$44,$CU12,AQ$57),""),1+AQ$58*2,1),IF(MID(IFERROR(INDEX(醫師週班表!$C$5:$T$44,$CU12,AQ$57),""),3,1)="隔",IF(AQ$58=0,LEFT(IFERROR(INDEX(醫師週班表!$C$5:$T$44,$CU12,AQ$57),""),1),""),IF(MID(IFERROR(INDEX(醫師週班表!$C$5:$T$44,$CU12,AQ$57),""),2,1)="(",LEFT(IFERROR(INDEX(醫師週班表!$C$5:$T$44,$CU12,AQ$57),""),1),IFERROR(INDEX(醫師週班表!$C$5:$T$44,$CU12,AQ$57),"")))))))</f>
        <v/>
      </c>
      <c r="AR12" s="67">
        <f>IF(AR$59="X","",IF(AR$59&lt;&gt;"",AR$59,IF(IFERROR(INDEX(醫師週班表!$C$5:$T$44,$CU12,AR$57),"")=0,"",IF(MID(IFERROR(INDEX(醫師週班表!$C$5:$T$44,$CU12,AR$57),""),2,1)="/",MID(IFERROR(INDEX(醫師週班表!$C$5:$T$44,$CU12,AR$57),""),1+AR$58*2,1),IF(MID(IFERROR(INDEX(醫師週班表!$C$5:$T$44,$CU12,AR$57),""),3,1)="隔",IF(AR$58=0,LEFT(IFERROR(INDEX(醫師週班表!$C$5:$T$44,$CU12,AR$57),""),1),""),IF(MID(IFERROR(INDEX(醫師週班表!$C$5:$T$44,$CU12,AR$57),""),2,1)="(",LEFT(IFERROR(INDEX(醫師週班表!$C$5:$T$44,$CU12,AR$57),""),1),IFERROR(INDEX(醫師週班表!$C$5:$T$44,$CU12,AR$57),"")))))))</f>
        <v/>
      </c>
      <c r="AS12" s="68">
        <f>IF(AS$59="X","",IF(AS$59&lt;&gt;"",AS$59,IF(IFERROR(INDEX(醫師週班表!$C$5:$T$44,$CU12,AS$57),"")=0,"",IF(MID(IFERROR(INDEX(醫師週班表!$C$5:$T$44,$CU12,AS$57),""),2,1)="/",MID(IFERROR(INDEX(醫師週班表!$C$5:$T$44,$CU12,AS$57),""),1+AS$58*2,1),IF(MID(IFERROR(INDEX(醫師週班表!$C$5:$T$44,$CU12,AS$57),""),3,1)="隔",IF(AS$58=0,LEFT(IFERROR(INDEX(醫師週班表!$C$5:$T$44,$CU12,AS$57),""),1),""),IF(MID(IFERROR(INDEX(醫師週班表!$C$5:$T$44,$CU12,AS$57),""),2,1)="(",LEFT(IFERROR(INDEX(醫師週班表!$C$5:$T$44,$CU12,AS$57),""),1),IFERROR(INDEX(醫師週班表!$C$5:$T$44,$CU12,AS$57),"")))))))</f>
        <v/>
      </c>
      <c r="AT12" s="68">
        <f>IF(AT$59="X","",IF(AT$59&lt;&gt;"",AT$59,IF(IFERROR(INDEX(醫師週班表!$C$5:$T$44,$CU12,AT$57),"")=0,"",IF(MID(IFERROR(INDEX(醫師週班表!$C$5:$T$44,$CU12,AT$57),""),2,1)="/",MID(IFERROR(INDEX(醫師週班表!$C$5:$T$44,$CU12,AT$57),""),1+AT$58*2,1),IF(MID(IFERROR(INDEX(醫師週班表!$C$5:$T$44,$CU12,AT$57),""),3,1)="隔",IF(AT$58=0,LEFT(IFERROR(INDEX(醫師週班表!$C$5:$T$44,$CU12,AT$57),""),1),""),IF(MID(IFERROR(INDEX(醫師週班表!$C$5:$T$44,$CU12,AT$57),""),2,1)="(",LEFT(IFERROR(INDEX(醫師週班表!$C$5:$T$44,$CU12,AT$57),""),1),IFERROR(INDEX(醫師週班表!$C$5:$T$44,$CU12,AT$57),"")))))))</f>
        <v/>
      </c>
      <c r="AU12" s="67">
        <f>IF(AU$59="X","",IF(AU$59&lt;&gt;"",AU$59,IF(IFERROR(INDEX(醫師週班表!$C$5:$T$44,$CU12,AU$57),"")=0,"",IF(MID(IFERROR(INDEX(醫師週班表!$C$5:$T$44,$CU12,AU$57),""),2,1)="/",MID(IFERROR(INDEX(醫師週班表!$C$5:$T$44,$CU12,AU$57),""),1+AU$58*2,1),IF(MID(IFERROR(INDEX(醫師週班表!$C$5:$T$44,$CU12,AU$57),""),3,1)="隔",IF(AU$58=0,LEFT(IFERROR(INDEX(醫師週班表!$C$5:$T$44,$CU12,AU$57),""),1),""),IF(MID(IFERROR(INDEX(醫師週班表!$C$5:$T$44,$CU12,AU$57),""),2,1)="(",LEFT(IFERROR(INDEX(醫師週班表!$C$5:$T$44,$CU12,AU$57),""),1),IFERROR(INDEX(醫師週班表!$C$5:$T$44,$CU12,AU$57),"")))))))</f>
        <v/>
      </c>
      <c r="AV12" s="68">
        <f>IF(AV$59="X","",IF(AV$59&lt;&gt;"",AV$59,IF(IFERROR(INDEX(醫師週班表!$C$5:$T$44,$CU12,AV$57),"")=0,"",IF(MID(IFERROR(INDEX(醫師週班表!$C$5:$T$44,$CU12,AV$57),""),2,1)="/",MID(IFERROR(INDEX(醫師週班表!$C$5:$T$44,$CU12,AV$57),""),1+AV$58*2,1),IF(MID(IFERROR(INDEX(醫師週班表!$C$5:$T$44,$CU12,AV$57),""),3,1)="隔",IF(AV$58=0,LEFT(IFERROR(INDEX(醫師週班表!$C$5:$T$44,$CU12,AV$57),""),1),""),IF(MID(IFERROR(INDEX(醫師週班表!$C$5:$T$44,$CU12,AV$57),""),2,1)="(",LEFT(IFERROR(INDEX(醫師週班表!$C$5:$T$44,$CU12,AV$57),""),1),IFERROR(INDEX(醫師週班表!$C$5:$T$44,$CU12,AV$57),"")))))))</f>
        <v/>
      </c>
      <c r="AW12" s="68">
        <f>IF(AW$59="X","",IF(AW$59&lt;&gt;"",AW$59,IF(IFERROR(INDEX(醫師週班表!$C$5:$T$44,$CU12,AW$57),"")=0,"",IF(MID(IFERROR(INDEX(醫師週班表!$C$5:$T$44,$CU12,AW$57),""),2,1)="/",MID(IFERROR(INDEX(醫師週班表!$C$5:$T$44,$CU12,AW$57),""),1+AW$58*2,1),IF(MID(IFERROR(INDEX(醫師週班表!$C$5:$T$44,$CU12,AW$57),""),3,1)="隔",IF(AW$58=0,LEFT(IFERROR(INDEX(醫師週班表!$C$5:$T$44,$CU12,AW$57),""),1),""),IF(MID(IFERROR(INDEX(醫師週班表!$C$5:$T$44,$CU12,AW$57),""),2,1)="(",LEFT(IFERROR(INDEX(醫師週班表!$C$5:$T$44,$CU12,AW$57),""),1),IFERROR(INDEX(醫師週班表!$C$5:$T$44,$CU12,AW$57),"")))))))</f>
        <v/>
      </c>
      <c r="AX12" s="67">
        <f>IF(AX$59="X","",IF(AX$59&lt;&gt;"",AX$59,IF(IFERROR(INDEX(醫師週班表!$C$5:$T$44,$CU12,AX$57),"")=0,"",IF(MID(IFERROR(INDEX(醫師週班表!$C$5:$T$44,$CU12,AX$57),""),2,1)="/",MID(IFERROR(INDEX(醫師週班表!$C$5:$T$44,$CU12,AX$57),""),1+AX$58*2,1),IF(MID(IFERROR(INDEX(醫師週班表!$C$5:$T$44,$CU12,AX$57),""),3,1)="隔",IF(AX$58=0,LEFT(IFERROR(INDEX(醫師週班表!$C$5:$T$44,$CU12,AX$57),""),1),""),IF(MID(IFERROR(INDEX(醫師週班表!$C$5:$T$44,$CU12,AX$57),""),2,1)="(",LEFT(IFERROR(INDEX(醫師週班表!$C$5:$T$44,$CU12,AX$57),""),1),IFERROR(INDEX(醫師週班表!$C$5:$T$44,$CU12,AX$57),"")))))))</f>
        <v/>
      </c>
      <c r="AY12" s="68">
        <f>IF(AY$59="X","",IF(AY$59&lt;&gt;"",AY$59,IF(IFERROR(INDEX(醫師週班表!$C$5:$T$44,$CU12,AY$57),"")=0,"",IF(MID(IFERROR(INDEX(醫師週班表!$C$5:$T$44,$CU12,AY$57),""),2,1)="/",MID(IFERROR(INDEX(醫師週班表!$C$5:$T$44,$CU12,AY$57),""),1+AY$58*2,1),IF(MID(IFERROR(INDEX(醫師週班表!$C$5:$T$44,$CU12,AY$57),""),3,1)="隔",IF(AY$58=0,LEFT(IFERROR(INDEX(醫師週班表!$C$5:$T$44,$CU12,AY$57),""),1),""),IF(MID(IFERROR(INDEX(醫師週班表!$C$5:$T$44,$CU12,AY$57),""),2,1)="(",LEFT(IFERROR(INDEX(醫師週班表!$C$5:$T$44,$CU12,AY$57),""),1),IFERROR(INDEX(醫師週班表!$C$5:$T$44,$CU12,AY$57),"")))))))</f>
        <v/>
      </c>
      <c r="AZ12" s="68">
        <f>IF(AZ$59="X","",IF(AZ$59&lt;&gt;"",AZ$59,IF(IFERROR(INDEX(醫師週班表!$C$5:$T$44,$CU12,AZ$57),"")=0,"",IF(MID(IFERROR(INDEX(醫師週班表!$C$5:$T$44,$CU12,AZ$57),""),2,1)="/",MID(IFERROR(INDEX(醫師週班表!$C$5:$T$44,$CU12,AZ$57),""),1+AZ$58*2,1),IF(MID(IFERROR(INDEX(醫師週班表!$C$5:$T$44,$CU12,AZ$57),""),3,1)="隔",IF(AZ$58=0,LEFT(IFERROR(INDEX(醫師週班表!$C$5:$T$44,$CU12,AZ$57),""),1),""),IF(MID(IFERROR(INDEX(醫師週班表!$C$5:$T$44,$CU12,AZ$57),""),2,1)="(",LEFT(IFERROR(INDEX(醫師週班表!$C$5:$T$44,$CU12,AZ$57),""),1),IFERROR(INDEX(醫師週班表!$C$5:$T$44,$CU12,AZ$57),"")))))))</f>
        <v/>
      </c>
      <c r="BA12" s="67">
        <f>IF(BA$59="X","",IF(BA$59&lt;&gt;"",BA$59,IF(IFERROR(INDEX(醫師週班表!$C$5:$T$44,$CU12,BA$57),"")=0,"",IF(MID(IFERROR(INDEX(醫師週班表!$C$5:$T$44,$CU12,BA$57),""),2,1)="/",MID(IFERROR(INDEX(醫師週班表!$C$5:$T$44,$CU12,BA$57),""),1+BA$58*2,1),IF(MID(IFERROR(INDEX(醫師週班表!$C$5:$T$44,$CU12,BA$57),""),3,1)="隔",IF(BA$58=0,LEFT(IFERROR(INDEX(醫師週班表!$C$5:$T$44,$CU12,BA$57),""),1),""),IF(MID(IFERROR(INDEX(醫師週班表!$C$5:$T$44,$CU12,BA$57),""),2,1)="(",LEFT(IFERROR(INDEX(醫師週班表!$C$5:$T$44,$CU12,BA$57),""),1),IFERROR(INDEX(醫師週班表!$C$5:$T$44,$CU12,BA$57),"")))))))</f>
        <v/>
      </c>
      <c r="BB12" s="68">
        <f>IF(BB$59="X","",IF(BB$59&lt;&gt;"",BB$59,IF(IFERROR(INDEX(醫師週班表!$C$5:$T$44,$CU12,BB$57),"")=0,"",IF(MID(IFERROR(INDEX(醫師週班表!$C$5:$T$44,$CU12,BB$57),""),2,1)="/",MID(IFERROR(INDEX(醫師週班表!$C$5:$T$44,$CU12,BB$57),""),1+BB$58*2,1),IF(MID(IFERROR(INDEX(醫師週班表!$C$5:$T$44,$CU12,BB$57),""),3,1)="隔",IF(BB$58=0,LEFT(IFERROR(INDEX(醫師週班表!$C$5:$T$44,$CU12,BB$57),""),1),""),IF(MID(IFERROR(INDEX(醫師週班表!$C$5:$T$44,$CU12,BB$57),""),2,1)="(",LEFT(IFERROR(INDEX(醫師週班表!$C$5:$T$44,$CU12,BB$57),""),1),IFERROR(INDEX(醫師週班表!$C$5:$T$44,$CU12,BB$57),"")))))))</f>
        <v/>
      </c>
      <c r="BC12" s="68">
        <f>IF(BC$59="X","",IF(BC$59&lt;&gt;"",BC$59,IF(IFERROR(INDEX(醫師週班表!$C$5:$T$44,$CU12,BC$57),"")=0,"",IF(MID(IFERROR(INDEX(醫師週班表!$C$5:$T$44,$CU12,BC$57),""),2,1)="/",MID(IFERROR(INDEX(醫師週班表!$C$5:$T$44,$CU12,BC$57),""),1+BC$58*2,1),IF(MID(IFERROR(INDEX(醫師週班表!$C$5:$T$44,$CU12,BC$57),""),3,1)="隔",IF(BC$58=0,LEFT(IFERROR(INDEX(醫師週班表!$C$5:$T$44,$CU12,BC$57),""),1),""),IF(MID(IFERROR(INDEX(醫師週班表!$C$5:$T$44,$CU12,BC$57),""),2,1)="(",LEFT(IFERROR(INDEX(醫師週班表!$C$5:$T$44,$CU12,BC$57),""),1),IFERROR(INDEX(醫師週班表!$C$5:$T$44,$CU12,BC$57),"")))))))</f>
        <v/>
      </c>
      <c r="BD12" s="67">
        <f>IF(BD$59="X","",IF(BD$59&lt;&gt;"",BD$59,IF(IFERROR(INDEX(醫師週班表!$C$5:$T$44,$CU12,BD$57),"")=0,"",IF(MID(IFERROR(INDEX(醫師週班表!$C$5:$T$44,$CU12,BD$57),""),2,1)="/",MID(IFERROR(INDEX(醫師週班表!$C$5:$T$44,$CU12,BD$57),""),1+BD$58*2,1),IF(MID(IFERROR(INDEX(醫師週班表!$C$5:$T$44,$CU12,BD$57),""),3,1)="隔",IF(BD$58=0,LEFT(IFERROR(INDEX(醫師週班表!$C$5:$T$44,$CU12,BD$57),""),1),""),IF(MID(IFERROR(INDEX(醫師週班表!$C$5:$T$44,$CU12,BD$57),""),2,1)="(",LEFT(IFERROR(INDEX(醫師週班表!$C$5:$T$44,$CU12,BD$57),""),1),IFERROR(INDEX(醫師週班表!$C$5:$T$44,$CU12,BD$57),"")))))))</f>
        <v/>
      </c>
      <c r="BE12" s="68">
        <f>IF(BE$59="X","",IF(BE$59&lt;&gt;"",BE$59,IF(IFERROR(INDEX(醫師週班表!$C$5:$T$44,$CU12,BE$57),"")=0,"",IF(MID(IFERROR(INDEX(醫師週班表!$C$5:$T$44,$CU12,BE$57),""),2,1)="/",MID(IFERROR(INDEX(醫師週班表!$C$5:$T$44,$CU12,BE$57),""),1+BE$58*2,1),IF(MID(IFERROR(INDEX(醫師週班表!$C$5:$T$44,$CU12,BE$57),""),3,1)="隔",IF(BE$58=0,LEFT(IFERROR(INDEX(醫師週班表!$C$5:$T$44,$CU12,BE$57),""),1),""),IF(MID(IFERROR(INDEX(醫師週班表!$C$5:$T$44,$CU12,BE$57),""),2,1)="(",LEFT(IFERROR(INDEX(醫師週班表!$C$5:$T$44,$CU12,BE$57),""),1),IFERROR(INDEX(醫師週班表!$C$5:$T$44,$CU12,BE$57),"")))))))</f>
        <v/>
      </c>
      <c r="BF12" s="68">
        <f>IF(BF$59="X","",IF(BF$59&lt;&gt;"",BF$59,IF(IFERROR(INDEX(醫師週班表!$C$5:$T$44,$CU12,BF$57),"")=0,"",IF(MID(IFERROR(INDEX(醫師週班表!$C$5:$T$44,$CU12,BF$57),""),2,1)="/",MID(IFERROR(INDEX(醫師週班表!$C$5:$T$44,$CU12,BF$57),""),1+BF$58*2,1),IF(MID(IFERROR(INDEX(醫師週班表!$C$5:$T$44,$CU12,BF$57),""),3,1)="隔",IF(BF$58=0,LEFT(IFERROR(INDEX(醫師週班表!$C$5:$T$44,$CU12,BF$57),""),1),""),IF(MID(IFERROR(INDEX(醫師週班表!$C$5:$T$44,$CU12,BF$57),""),2,1)="(",LEFT(IFERROR(INDEX(醫師週班表!$C$5:$T$44,$CU12,BF$57),""),1),IFERROR(INDEX(醫師週班表!$C$5:$T$44,$CU12,BF$57),"")))))))</f>
        <v/>
      </c>
      <c r="BG12" s="67">
        <f>IF(BG$59="X","",IF(BG$59&lt;&gt;"",BG$59,IF(IFERROR(INDEX(醫師週班表!$C$5:$T$44,$CU12,BG$57),"")=0,"",IF(MID(IFERROR(INDEX(醫師週班表!$C$5:$T$44,$CU12,BG$57),""),2,1)="/",MID(IFERROR(INDEX(醫師週班表!$C$5:$T$44,$CU12,BG$57),""),1+BG$58*2,1),IF(MID(IFERROR(INDEX(醫師週班表!$C$5:$T$44,$CU12,BG$57),""),3,1)="隔",IF(BG$58=0,LEFT(IFERROR(INDEX(醫師週班表!$C$5:$T$44,$CU12,BG$57),""),1),""),IF(MID(IFERROR(INDEX(醫師週班表!$C$5:$T$44,$CU12,BG$57),""),2,1)="(",LEFT(IFERROR(INDEX(醫師週班表!$C$5:$T$44,$CU12,BG$57),""),1),IFERROR(INDEX(醫師週班表!$C$5:$T$44,$CU12,BG$57),"")))))))</f>
        <v/>
      </c>
      <c r="BH12" s="68">
        <f>IF(BH$59="X","",IF(BH$59&lt;&gt;"",BH$59,IF(IFERROR(INDEX(醫師週班表!$C$5:$T$44,$CU12,BH$57),"")=0,"",IF(MID(IFERROR(INDEX(醫師週班表!$C$5:$T$44,$CU12,BH$57),""),2,1)="/",MID(IFERROR(INDEX(醫師週班表!$C$5:$T$44,$CU12,BH$57),""),1+BH$58*2,1),IF(MID(IFERROR(INDEX(醫師週班表!$C$5:$T$44,$CU12,BH$57),""),3,1)="隔",IF(BH$58=0,LEFT(IFERROR(INDEX(醫師週班表!$C$5:$T$44,$CU12,BH$57),""),1),""),IF(MID(IFERROR(INDEX(醫師週班表!$C$5:$T$44,$CU12,BH$57),""),2,1)="(",LEFT(IFERROR(INDEX(醫師週班表!$C$5:$T$44,$CU12,BH$57),""),1),IFERROR(INDEX(醫師週班表!$C$5:$T$44,$CU12,BH$57),"")))))))</f>
        <v/>
      </c>
      <c r="BI12" s="68">
        <f>IF(BI$59="X","",IF(BI$59&lt;&gt;"",BI$59,IF(IFERROR(INDEX(醫師週班表!$C$5:$T$44,$CU12,BI$57),"")=0,"",IF(MID(IFERROR(INDEX(醫師週班表!$C$5:$T$44,$CU12,BI$57),""),2,1)="/",MID(IFERROR(INDEX(醫師週班表!$C$5:$T$44,$CU12,BI$57),""),1+BI$58*2,1),IF(MID(IFERROR(INDEX(醫師週班表!$C$5:$T$44,$CU12,BI$57),""),3,1)="隔",IF(BI$58=0,LEFT(IFERROR(INDEX(醫師週班表!$C$5:$T$44,$CU12,BI$57),""),1),""),IF(MID(IFERROR(INDEX(醫師週班表!$C$5:$T$44,$CU12,BI$57),""),2,1)="(",LEFT(IFERROR(INDEX(醫師週班表!$C$5:$T$44,$CU12,BI$57),""),1),IFERROR(INDEX(醫師週班表!$C$5:$T$44,$CU12,BI$57),"")))))))</f>
        <v/>
      </c>
      <c r="BJ12" s="67">
        <f>IF(BJ$59="X","",IF(BJ$59&lt;&gt;"",BJ$59,IF(IFERROR(INDEX(醫師週班表!$C$5:$T$44,$CU12,BJ$57),"")=0,"",IF(MID(IFERROR(INDEX(醫師週班表!$C$5:$T$44,$CU12,BJ$57),""),2,1)="/",MID(IFERROR(INDEX(醫師週班表!$C$5:$T$44,$CU12,BJ$57),""),1+BJ$58*2,1),IF(MID(IFERROR(INDEX(醫師週班表!$C$5:$T$44,$CU12,BJ$57),""),3,1)="隔",IF(BJ$58=0,LEFT(IFERROR(INDEX(醫師週班表!$C$5:$T$44,$CU12,BJ$57),""),1),""),IF(MID(IFERROR(INDEX(醫師週班表!$C$5:$T$44,$CU12,BJ$57),""),2,1)="(",LEFT(IFERROR(INDEX(醫師週班表!$C$5:$T$44,$CU12,BJ$57),""),1),IFERROR(INDEX(醫師週班表!$C$5:$T$44,$CU12,BJ$57),"")))))))</f>
        <v/>
      </c>
      <c r="BK12" s="68">
        <f>IF(BK$59="X","",IF(BK$59&lt;&gt;"",BK$59,IF(IFERROR(INDEX(醫師週班表!$C$5:$T$44,$CU12,BK$57),"")=0,"",IF(MID(IFERROR(INDEX(醫師週班表!$C$5:$T$44,$CU12,BK$57),""),2,1)="/",MID(IFERROR(INDEX(醫師週班表!$C$5:$T$44,$CU12,BK$57),""),1+BK$58*2,1),IF(MID(IFERROR(INDEX(醫師週班表!$C$5:$T$44,$CU12,BK$57),""),3,1)="隔",IF(BK$58=0,LEFT(IFERROR(INDEX(醫師週班表!$C$5:$T$44,$CU12,BK$57),""),1),""),IF(MID(IFERROR(INDEX(醫師週班表!$C$5:$T$44,$CU12,BK$57),""),2,1)="(",LEFT(IFERROR(INDEX(醫師週班表!$C$5:$T$44,$CU12,BK$57),""),1),IFERROR(INDEX(醫師週班表!$C$5:$T$44,$CU12,BK$57),"")))))))</f>
        <v/>
      </c>
      <c r="BL12" s="68">
        <f>IF(BL$59="X","",IF(BL$59&lt;&gt;"",BL$59,IF(IFERROR(INDEX(醫師週班表!$C$5:$T$44,$CU12,BL$57),"")=0,"",IF(MID(IFERROR(INDEX(醫師週班表!$C$5:$T$44,$CU12,BL$57),""),2,1)="/",MID(IFERROR(INDEX(醫師週班表!$C$5:$T$44,$CU12,BL$57),""),1+BL$58*2,1),IF(MID(IFERROR(INDEX(醫師週班表!$C$5:$T$44,$CU12,BL$57),""),3,1)="隔",IF(BL$58=0,LEFT(IFERROR(INDEX(醫師週班表!$C$5:$T$44,$CU12,BL$57),""),1),""),IF(MID(IFERROR(INDEX(醫師週班表!$C$5:$T$44,$CU12,BL$57),""),2,1)="(",LEFT(IFERROR(INDEX(醫師週班表!$C$5:$T$44,$CU12,BL$57),""),1),IFERROR(INDEX(醫師週班表!$C$5:$T$44,$CU12,BL$57),"")))))))</f>
        <v/>
      </c>
      <c r="BM12" s="67">
        <f>IF(BM$59="X","",IF(BM$59&lt;&gt;"",BM$59,IF(IFERROR(INDEX(醫師週班表!$C$5:$T$44,$CU12,BM$57),"")=0,"",IF(MID(IFERROR(INDEX(醫師週班表!$C$5:$T$44,$CU12,BM$57),""),2,1)="/",MID(IFERROR(INDEX(醫師週班表!$C$5:$T$44,$CU12,BM$57),""),1+BM$58*2,1),IF(MID(IFERROR(INDEX(醫師週班表!$C$5:$T$44,$CU12,BM$57),""),3,1)="隔",IF(BM$58=0,LEFT(IFERROR(INDEX(醫師週班表!$C$5:$T$44,$CU12,BM$57),""),1),""),IF(MID(IFERROR(INDEX(醫師週班表!$C$5:$T$44,$CU12,BM$57),""),2,1)="(",LEFT(IFERROR(INDEX(醫師週班表!$C$5:$T$44,$CU12,BM$57),""),1),IFERROR(INDEX(醫師週班表!$C$5:$T$44,$CU12,BM$57),"")))))))</f>
        <v/>
      </c>
      <c r="BN12" s="68">
        <f>IF(BN$59="X","",IF(BN$59&lt;&gt;"",BN$59,IF(IFERROR(INDEX(醫師週班表!$C$5:$T$44,$CU12,BN$57),"")=0,"",IF(MID(IFERROR(INDEX(醫師週班表!$C$5:$T$44,$CU12,BN$57),""),2,1)="/",MID(IFERROR(INDEX(醫師週班表!$C$5:$T$44,$CU12,BN$57),""),1+BN$58*2,1),IF(MID(IFERROR(INDEX(醫師週班表!$C$5:$T$44,$CU12,BN$57),""),3,1)="隔",IF(BN$58=0,LEFT(IFERROR(INDEX(醫師週班表!$C$5:$T$44,$CU12,BN$57),""),1),""),IF(MID(IFERROR(INDEX(醫師週班表!$C$5:$T$44,$CU12,BN$57),""),2,1)="(",LEFT(IFERROR(INDEX(醫師週班表!$C$5:$T$44,$CU12,BN$57),""),1),IFERROR(INDEX(醫師週班表!$C$5:$T$44,$CU12,BN$57),"")))))))</f>
        <v/>
      </c>
      <c r="BO12" s="68">
        <f>IF(BO$59="X","",IF(BO$59&lt;&gt;"",BO$59,IF(IFERROR(INDEX(醫師週班表!$C$5:$T$44,$CU12,BO$57),"")=0,"",IF(MID(IFERROR(INDEX(醫師週班表!$C$5:$T$44,$CU12,BO$57),""),2,1)="/",MID(IFERROR(INDEX(醫師週班表!$C$5:$T$44,$CU12,BO$57),""),1+BO$58*2,1),IF(MID(IFERROR(INDEX(醫師週班表!$C$5:$T$44,$CU12,BO$57),""),3,1)="隔",IF(BO$58=0,LEFT(IFERROR(INDEX(醫師週班表!$C$5:$T$44,$CU12,BO$57),""),1),""),IF(MID(IFERROR(INDEX(醫師週班表!$C$5:$T$44,$CU12,BO$57),""),2,1)="(",LEFT(IFERROR(INDEX(醫師週班表!$C$5:$T$44,$CU12,BO$57),""),1),IFERROR(INDEX(醫師週班表!$C$5:$T$44,$CU12,BO$57),"")))))))</f>
        <v/>
      </c>
      <c r="BP12" s="67">
        <f>IF(BP$59="X","",IF(BP$59&lt;&gt;"",BP$59,IF(IFERROR(INDEX(醫師週班表!$C$5:$T$44,$CU12,BP$57),"")=0,"",IF(MID(IFERROR(INDEX(醫師週班表!$C$5:$T$44,$CU12,BP$57),""),2,1)="/",MID(IFERROR(INDEX(醫師週班表!$C$5:$T$44,$CU12,BP$57),""),1+BP$58*2,1),IF(MID(IFERROR(INDEX(醫師週班表!$C$5:$T$44,$CU12,BP$57),""),3,1)="隔",IF(BP$58=0,LEFT(IFERROR(INDEX(醫師週班表!$C$5:$T$44,$CU12,BP$57),""),1),""),IF(MID(IFERROR(INDEX(醫師週班表!$C$5:$T$44,$CU12,BP$57),""),2,1)="(",LEFT(IFERROR(INDEX(醫師週班表!$C$5:$T$44,$CU12,BP$57),""),1),IFERROR(INDEX(醫師週班表!$C$5:$T$44,$CU12,BP$57),"")))))))</f>
        <v/>
      </c>
      <c r="BQ12" s="68">
        <f>IF(BQ$59="X","",IF(BQ$59&lt;&gt;"",BQ$59,IF(IFERROR(INDEX(醫師週班表!$C$5:$T$44,$CU12,BQ$57),"")=0,"",IF(MID(IFERROR(INDEX(醫師週班表!$C$5:$T$44,$CU12,BQ$57),""),2,1)="/",MID(IFERROR(INDEX(醫師週班表!$C$5:$T$44,$CU12,BQ$57),""),1+BQ$58*2,1),IF(MID(IFERROR(INDEX(醫師週班表!$C$5:$T$44,$CU12,BQ$57),""),3,1)="隔",IF(BQ$58=0,LEFT(IFERROR(INDEX(醫師週班表!$C$5:$T$44,$CU12,BQ$57),""),1),""),IF(MID(IFERROR(INDEX(醫師週班表!$C$5:$T$44,$CU12,BQ$57),""),2,1)="(",LEFT(IFERROR(INDEX(醫師週班表!$C$5:$T$44,$CU12,BQ$57),""),1),IFERROR(INDEX(醫師週班表!$C$5:$T$44,$CU12,BQ$57),"")))))))</f>
        <v/>
      </c>
      <c r="BR12" s="68">
        <f>IF(BR$59="X","",IF(BR$59&lt;&gt;"",BR$59,IF(IFERROR(INDEX(醫師週班表!$C$5:$T$44,$CU12,BR$57),"")=0,"",IF(MID(IFERROR(INDEX(醫師週班表!$C$5:$T$44,$CU12,BR$57),""),2,1)="/",MID(IFERROR(INDEX(醫師週班表!$C$5:$T$44,$CU12,BR$57),""),1+BR$58*2,1),IF(MID(IFERROR(INDEX(醫師週班表!$C$5:$T$44,$CU12,BR$57),""),3,1)="隔",IF(BR$58=0,LEFT(IFERROR(INDEX(醫師週班表!$C$5:$T$44,$CU12,BR$57),""),1),""),IF(MID(IFERROR(INDEX(醫師週班表!$C$5:$T$44,$CU12,BR$57),""),2,1)="(",LEFT(IFERROR(INDEX(醫師週班表!$C$5:$T$44,$CU12,BR$57),""),1),IFERROR(INDEX(醫師週班表!$C$5:$T$44,$CU12,BR$57),"")))))))</f>
        <v/>
      </c>
      <c r="BS12" s="67">
        <f>IF(BS$59="X","",IF(BS$59&lt;&gt;"",BS$59,IF(IFERROR(INDEX(醫師週班表!$C$5:$T$44,$CU12,BS$57),"")=0,"",IF(MID(IFERROR(INDEX(醫師週班表!$C$5:$T$44,$CU12,BS$57),""),2,1)="/",MID(IFERROR(INDEX(醫師週班表!$C$5:$T$44,$CU12,BS$57),""),1+BS$58*2,1),IF(MID(IFERROR(INDEX(醫師週班表!$C$5:$T$44,$CU12,BS$57),""),3,1)="隔",IF(BS$58=0,LEFT(IFERROR(INDEX(醫師週班表!$C$5:$T$44,$CU12,BS$57),""),1),""),IF(MID(IFERROR(INDEX(醫師週班表!$C$5:$T$44,$CU12,BS$57),""),2,1)="(",LEFT(IFERROR(INDEX(醫師週班表!$C$5:$T$44,$CU12,BS$57),""),1),IFERROR(INDEX(醫師週班表!$C$5:$T$44,$CU12,BS$57),"")))))))</f>
        <v/>
      </c>
      <c r="BT12" s="68">
        <f>IF(BT$59="X","",IF(BT$59&lt;&gt;"",BT$59,IF(IFERROR(INDEX(醫師週班表!$C$5:$T$44,$CU12,BT$57),"")=0,"",IF(MID(IFERROR(INDEX(醫師週班表!$C$5:$T$44,$CU12,BT$57),""),2,1)="/",MID(IFERROR(INDEX(醫師週班表!$C$5:$T$44,$CU12,BT$57),""),1+BT$58*2,1),IF(MID(IFERROR(INDEX(醫師週班表!$C$5:$T$44,$CU12,BT$57),""),3,1)="隔",IF(BT$58=0,LEFT(IFERROR(INDEX(醫師週班表!$C$5:$T$44,$CU12,BT$57),""),1),""),IF(MID(IFERROR(INDEX(醫師週班表!$C$5:$T$44,$CU12,BT$57),""),2,1)="(",LEFT(IFERROR(INDEX(醫師週班表!$C$5:$T$44,$CU12,BT$57),""),1),IFERROR(INDEX(醫師週班表!$C$5:$T$44,$CU12,BT$57),"")))))))</f>
        <v/>
      </c>
      <c r="BU12" s="68">
        <f>IF(BU$59="X","",IF(BU$59&lt;&gt;"",BU$59,IF(IFERROR(INDEX(醫師週班表!$C$5:$T$44,$CU12,BU$57),"")=0,"",IF(MID(IFERROR(INDEX(醫師週班表!$C$5:$T$44,$CU12,BU$57),""),2,1)="/",MID(IFERROR(INDEX(醫師週班表!$C$5:$T$44,$CU12,BU$57),""),1+BU$58*2,1),IF(MID(IFERROR(INDEX(醫師週班表!$C$5:$T$44,$CU12,BU$57),""),3,1)="隔",IF(BU$58=0,LEFT(IFERROR(INDEX(醫師週班表!$C$5:$T$44,$CU12,BU$57),""),1),""),IF(MID(IFERROR(INDEX(醫師週班表!$C$5:$T$44,$CU12,BU$57),""),2,1)="(",LEFT(IFERROR(INDEX(醫師週班表!$C$5:$T$44,$CU12,BU$57),""),1),IFERROR(INDEX(醫師週班表!$C$5:$T$44,$CU12,BU$57),"")))))))</f>
        <v/>
      </c>
      <c r="BV12" s="67">
        <f>IF(BV$59="X","",IF(BV$59&lt;&gt;"",BV$59,IF(IFERROR(INDEX(醫師週班表!$C$5:$T$44,$CU12,BV$57),"")=0,"",IF(MID(IFERROR(INDEX(醫師週班表!$C$5:$T$44,$CU12,BV$57),""),2,1)="/",MID(IFERROR(INDEX(醫師週班表!$C$5:$T$44,$CU12,BV$57),""),1+BV$58*2,1),IF(MID(IFERROR(INDEX(醫師週班表!$C$5:$T$44,$CU12,BV$57),""),3,1)="隔",IF(BV$58=0,LEFT(IFERROR(INDEX(醫師週班表!$C$5:$T$44,$CU12,BV$57),""),1),""),IF(MID(IFERROR(INDEX(醫師週班表!$C$5:$T$44,$CU12,BV$57),""),2,1)="(",LEFT(IFERROR(INDEX(醫師週班表!$C$5:$T$44,$CU12,BV$57),""),1),IFERROR(INDEX(醫師週班表!$C$5:$T$44,$CU12,BV$57),"")))))))</f>
        <v/>
      </c>
      <c r="BW12" s="68">
        <f>IF(BW$59="X","",IF(BW$59&lt;&gt;"",BW$59,IF(IFERROR(INDEX(醫師週班表!$C$5:$T$44,$CU12,BW$57),"")=0,"",IF(MID(IFERROR(INDEX(醫師週班表!$C$5:$T$44,$CU12,BW$57),""),2,1)="/",MID(IFERROR(INDEX(醫師週班表!$C$5:$T$44,$CU12,BW$57),""),1+BW$58*2,1),IF(MID(IFERROR(INDEX(醫師週班表!$C$5:$T$44,$CU12,BW$57),""),3,1)="隔",IF(BW$58=0,LEFT(IFERROR(INDEX(醫師週班表!$C$5:$T$44,$CU12,BW$57),""),1),""),IF(MID(IFERROR(INDEX(醫師週班表!$C$5:$T$44,$CU12,BW$57),""),2,1)="(",LEFT(IFERROR(INDEX(醫師週班表!$C$5:$T$44,$CU12,BW$57),""),1),IFERROR(INDEX(醫師週班表!$C$5:$T$44,$CU12,BW$57),"")))))))</f>
        <v/>
      </c>
      <c r="BX12" s="68">
        <f>IF(BX$59="X","",IF(BX$59&lt;&gt;"",BX$59,IF(IFERROR(INDEX(醫師週班表!$C$5:$T$44,$CU12,BX$57),"")=0,"",IF(MID(IFERROR(INDEX(醫師週班表!$C$5:$T$44,$CU12,BX$57),""),2,1)="/",MID(IFERROR(INDEX(醫師週班表!$C$5:$T$44,$CU12,BX$57),""),1+BX$58*2,1),IF(MID(IFERROR(INDEX(醫師週班表!$C$5:$T$44,$CU12,BX$57),""),3,1)="隔",IF(BX$58=0,LEFT(IFERROR(INDEX(醫師週班表!$C$5:$T$44,$CU12,BX$57),""),1),""),IF(MID(IFERROR(INDEX(醫師週班表!$C$5:$T$44,$CU12,BX$57),""),2,1)="(",LEFT(IFERROR(INDEX(醫師週班表!$C$5:$T$44,$CU12,BX$57),""),1),IFERROR(INDEX(醫師週班表!$C$5:$T$44,$CU12,BX$57),"")))))))</f>
        <v/>
      </c>
      <c r="BY12" s="67">
        <f>IF(BY$59="X","",IF(BY$59&lt;&gt;"",BY$59,IF(IFERROR(INDEX(醫師週班表!$C$5:$T$44,$CU12,BY$57),"")=0,"",IF(MID(IFERROR(INDEX(醫師週班表!$C$5:$T$44,$CU12,BY$57),""),2,1)="/",MID(IFERROR(INDEX(醫師週班表!$C$5:$T$44,$CU12,BY$57),""),1+BY$58*2,1),IF(MID(IFERROR(INDEX(醫師週班表!$C$5:$T$44,$CU12,BY$57),""),3,1)="隔",IF(BY$58=0,LEFT(IFERROR(INDEX(醫師週班表!$C$5:$T$44,$CU12,BY$57),""),1),""),IF(MID(IFERROR(INDEX(醫師週班表!$C$5:$T$44,$CU12,BY$57),""),2,1)="(",LEFT(IFERROR(INDEX(醫師週班表!$C$5:$T$44,$CU12,BY$57),""),1),IFERROR(INDEX(醫師週班表!$C$5:$T$44,$CU12,BY$57),"")))))))</f>
        <v/>
      </c>
      <c r="BZ12" s="68">
        <f>IF(BZ$59="X","",IF(BZ$59&lt;&gt;"",BZ$59,IF(IFERROR(INDEX(醫師週班表!$C$5:$T$44,$CU12,BZ$57),"")=0,"",IF(MID(IFERROR(INDEX(醫師週班表!$C$5:$T$44,$CU12,BZ$57),""),2,1)="/",MID(IFERROR(INDEX(醫師週班表!$C$5:$T$44,$CU12,BZ$57),""),1+BZ$58*2,1),IF(MID(IFERROR(INDEX(醫師週班表!$C$5:$T$44,$CU12,BZ$57),""),3,1)="隔",IF(BZ$58=0,LEFT(IFERROR(INDEX(醫師週班表!$C$5:$T$44,$CU12,BZ$57),""),1),""),IF(MID(IFERROR(INDEX(醫師週班表!$C$5:$T$44,$CU12,BZ$57),""),2,1)="(",LEFT(IFERROR(INDEX(醫師週班表!$C$5:$T$44,$CU12,BZ$57),""),1),IFERROR(INDEX(醫師週班表!$C$5:$T$44,$CU12,BZ$57),"")))))))</f>
        <v/>
      </c>
      <c r="CA12" s="68">
        <f>IF(CA$59="X","",IF(CA$59&lt;&gt;"",CA$59,IF(IFERROR(INDEX(醫師週班表!$C$5:$T$44,$CU12,CA$57),"")=0,"",IF(MID(IFERROR(INDEX(醫師週班表!$C$5:$T$44,$CU12,CA$57),""),2,1)="/",MID(IFERROR(INDEX(醫師週班表!$C$5:$T$44,$CU12,CA$57),""),1+CA$58*2,1),IF(MID(IFERROR(INDEX(醫師週班表!$C$5:$T$44,$CU12,CA$57),""),3,1)="隔",IF(CA$58=0,LEFT(IFERROR(INDEX(醫師週班表!$C$5:$T$44,$CU12,CA$57),""),1),""),IF(MID(IFERROR(INDEX(醫師週班表!$C$5:$T$44,$CU12,CA$57),""),2,1)="(",LEFT(IFERROR(INDEX(醫師週班表!$C$5:$T$44,$CU12,CA$57),""),1),IFERROR(INDEX(醫師週班表!$C$5:$T$44,$CU12,CA$57),"")))))))</f>
        <v/>
      </c>
      <c r="CB12" s="67">
        <f>IF(CB$59="X","",IF(CB$59&lt;&gt;"",CB$59,IF(IFERROR(INDEX(醫師週班表!$C$5:$T$44,$CU12,CB$57),"")=0,"",IF(MID(IFERROR(INDEX(醫師週班表!$C$5:$T$44,$CU12,CB$57),""),2,1)="/",MID(IFERROR(INDEX(醫師週班表!$C$5:$T$44,$CU12,CB$57),""),1+CB$58*2,1),IF(MID(IFERROR(INDEX(醫師週班表!$C$5:$T$44,$CU12,CB$57),""),3,1)="隔",IF(CB$58=0,LEFT(IFERROR(INDEX(醫師週班表!$C$5:$T$44,$CU12,CB$57),""),1),""),IF(MID(IFERROR(INDEX(醫師週班表!$C$5:$T$44,$CU12,CB$57),""),2,1)="(",LEFT(IFERROR(INDEX(醫師週班表!$C$5:$T$44,$CU12,CB$57),""),1),IFERROR(INDEX(醫師週班表!$C$5:$T$44,$CU12,CB$57),"")))))))</f>
        <v/>
      </c>
      <c r="CC12" s="68">
        <f>IF(CC$59="X","",IF(CC$59&lt;&gt;"",CC$59,IF(IFERROR(INDEX(醫師週班表!$C$5:$T$44,$CU12,CC$57),"")=0,"",IF(MID(IFERROR(INDEX(醫師週班表!$C$5:$T$44,$CU12,CC$57),""),2,1)="/",MID(IFERROR(INDEX(醫師週班表!$C$5:$T$44,$CU12,CC$57),""),1+CC$58*2,1),IF(MID(IFERROR(INDEX(醫師週班表!$C$5:$T$44,$CU12,CC$57),""),3,1)="隔",IF(CC$58=0,LEFT(IFERROR(INDEX(醫師週班表!$C$5:$T$44,$CU12,CC$57),""),1),""),IF(MID(IFERROR(INDEX(醫師週班表!$C$5:$T$44,$CU12,CC$57),""),2,1)="(",LEFT(IFERROR(INDEX(醫師週班表!$C$5:$T$44,$CU12,CC$57),""),1),IFERROR(INDEX(醫師週班表!$C$5:$T$44,$CU12,CC$57),"")))))))</f>
        <v/>
      </c>
      <c r="CD12" s="68">
        <f>IF(CD$59="X","",IF(CD$59&lt;&gt;"",CD$59,IF(IFERROR(INDEX(醫師週班表!$C$5:$T$44,$CU12,CD$57),"")=0,"",IF(MID(IFERROR(INDEX(醫師週班表!$C$5:$T$44,$CU12,CD$57),""),2,1)="/",MID(IFERROR(INDEX(醫師週班表!$C$5:$T$44,$CU12,CD$57),""),1+CD$58*2,1),IF(MID(IFERROR(INDEX(醫師週班表!$C$5:$T$44,$CU12,CD$57),""),3,1)="隔",IF(CD$58=0,LEFT(IFERROR(INDEX(醫師週班表!$C$5:$T$44,$CU12,CD$57),""),1),""),IF(MID(IFERROR(INDEX(醫師週班表!$C$5:$T$44,$CU12,CD$57),""),2,1)="(",LEFT(IFERROR(INDEX(醫師週班表!$C$5:$T$44,$CU12,CD$57),""),1),IFERROR(INDEX(醫師週班表!$C$5:$T$44,$CU12,CD$57),"")))))))</f>
        <v/>
      </c>
      <c r="CE12" s="67">
        <f>IF(CE$59="X","",IF(CE$59&lt;&gt;"",CE$59,IF(IFERROR(INDEX(醫師週班表!$C$5:$T$44,$CU12,CE$57),"")=0,"",IF(MID(IFERROR(INDEX(醫師週班表!$C$5:$T$44,$CU12,CE$57),""),2,1)="/",MID(IFERROR(INDEX(醫師週班表!$C$5:$T$44,$CU12,CE$57),""),1+CE$58*2,1),IF(MID(IFERROR(INDEX(醫師週班表!$C$5:$T$44,$CU12,CE$57),""),3,1)="隔",IF(CE$58=0,LEFT(IFERROR(INDEX(醫師週班表!$C$5:$T$44,$CU12,CE$57),""),1),""),IF(MID(IFERROR(INDEX(醫師週班表!$C$5:$T$44,$CU12,CE$57),""),2,1)="(",LEFT(IFERROR(INDEX(醫師週班表!$C$5:$T$44,$CU12,CE$57),""),1),IFERROR(INDEX(醫師週班表!$C$5:$T$44,$CU12,CE$57),"")))))))</f>
        <v/>
      </c>
      <c r="CF12" s="68">
        <f>IF(CF$59="X","",IF(CF$59&lt;&gt;"",CF$59,IF(IFERROR(INDEX(醫師週班表!$C$5:$T$44,$CU12,CF$57),"")=0,"",IF(MID(IFERROR(INDEX(醫師週班表!$C$5:$T$44,$CU12,CF$57),""),2,1)="/",MID(IFERROR(INDEX(醫師週班表!$C$5:$T$44,$CU12,CF$57),""),1+CF$58*2,1),IF(MID(IFERROR(INDEX(醫師週班表!$C$5:$T$44,$CU12,CF$57),""),3,1)="隔",IF(CF$58=0,LEFT(IFERROR(INDEX(醫師週班表!$C$5:$T$44,$CU12,CF$57),""),1),""),IF(MID(IFERROR(INDEX(醫師週班表!$C$5:$T$44,$CU12,CF$57),""),2,1)="(",LEFT(IFERROR(INDEX(醫師週班表!$C$5:$T$44,$CU12,CF$57),""),1),IFERROR(INDEX(醫師週班表!$C$5:$T$44,$CU12,CF$57),"")))))))</f>
        <v/>
      </c>
      <c r="CG12" s="68">
        <f>IF(CG$59="X","",IF(CG$59&lt;&gt;"",CG$59,IF(IFERROR(INDEX(醫師週班表!$C$5:$T$44,$CU12,CG$57),"")=0,"",IF(MID(IFERROR(INDEX(醫師週班表!$C$5:$T$44,$CU12,CG$57),""),2,1)="/",MID(IFERROR(INDEX(醫師週班表!$C$5:$T$44,$CU12,CG$57),""),1+CG$58*2,1),IF(MID(IFERROR(INDEX(醫師週班表!$C$5:$T$44,$CU12,CG$57),""),3,1)="隔",IF(CG$58=0,LEFT(IFERROR(INDEX(醫師週班表!$C$5:$T$44,$CU12,CG$57),""),1),""),IF(MID(IFERROR(INDEX(醫師週班表!$C$5:$T$44,$CU12,CG$57),""),2,1)="(",LEFT(IFERROR(INDEX(醫師週班表!$C$5:$T$44,$CU12,CG$57),""),1),IFERROR(INDEX(醫師週班表!$C$5:$T$44,$CU12,CG$57),"")))))))</f>
        <v/>
      </c>
      <c r="CH12" s="67">
        <f>IF(CH$59="X","",IF(CH$59&lt;&gt;"",CH$59,IF(IFERROR(INDEX(醫師週班表!$C$5:$T$44,$CU12,CH$57),"")=0,"",IF(MID(IFERROR(INDEX(醫師週班表!$C$5:$T$44,$CU12,CH$57),""),2,1)="/",MID(IFERROR(INDEX(醫師週班表!$C$5:$T$44,$CU12,CH$57),""),1+CH$58*2,1),IF(MID(IFERROR(INDEX(醫師週班表!$C$5:$T$44,$CU12,CH$57),""),3,1)="隔",IF(CH$58=0,LEFT(IFERROR(INDEX(醫師週班表!$C$5:$T$44,$CU12,CH$57),""),1),""),IF(MID(IFERROR(INDEX(醫師週班表!$C$5:$T$44,$CU12,CH$57),""),2,1)="(",LEFT(IFERROR(INDEX(醫師週班表!$C$5:$T$44,$CU12,CH$57),""),1),IFERROR(INDEX(醫師週班表!$C$5:$T$44,$CU12,CH$57),"")))))))</f>
        <v/>
      </c>
      <c r="CI12" s="68">
        <f>IF(CI$59="X","",IF(CI$59&lt;&gt;"",CI$59,IF(IFERROR(INDEX(醫師週班表!$C$5:$T$44,$CU12,CI$57),"")=0,"",IF(MID(IFERROR(INDEX(醫師週班表!$C$5:$T$44,$CU12,CI$57),""),2,1)="/",MID(IFERROR(INDEX(醫師週班表!$C$5:$T$44,$CU12,CI$57),""),1+CI$58*2,1),IF(MID(IFERROR(INDEX(醫師週班表!$C$5:$T$44,$CU12,CI$57),""),3,1)="隔",IF(CI$58=0,LEFT(IFERROR(INDEX(醫師週班表!$C$5:$T$44,$CU12,CI$57),""),1),""),IF(MID(IFERROR(INDEX(醫師週班表!$C$5:$T$44,$CU12,CI$57),""),2,1)="(",LEFT(IFERROR(INDEX(醫師週班表!$C$5:$T$44,$CU12,CI$57),""),1),IFERROR(INDEX(醫師週班表!$C$5:$T$44,$CU12,CI$57),"")))))))</f>
        <v/>
      </c>
      <c r="CJ12" s="68">
        <f>IF(CJ$59="X","",IF(CJ$59&lt;&gt;"",CJ$59,IF(IFERROR(INDEX(醫師週班表!$C$5:$T$44,$CU12,CJ$57),"")=0,"",IF(MID(IFERROR(INDEX(醫師週班表!$C$5:$T$44,$CU12,CJ$57),""),2,1)="/",MID(IFERROR(INDEX(醫師週班表!$C$5:$T$44,$CU12,CJ$57),""),1+CJ$58*2,1),IF(MID(IFERROR(INDEX(醫師週班表!$C$5:$T$44,$CU12,CJ$57),""),3,1)="隔",IF(CJ$58=0,LEFT(IFERROR(INDEX(醫師週班表!$C$5:$T$44,$CU12,CJ$57),""),1),""),IF(MID(IFERROR(INDEX(醫師週班表!$C$5:$T$44,$CU12,CJ$57),""),2,1)="(",LEFT(IFERROR(INDEX(醫師週班表!$C$5:$T$44,$CU12,CJ$57),""),1),IFERROR(INDEX(醫師週班表!$C$5:$T$44,$CU12,CJ$57),"")))))))</f>
        <v/>
      </c>
      <c r="CK12" s="67">
        <f>IF(CK$59="X","",IF(CK$59&lt;&gt;"",CK$59,IF(IFERROR(INDEX(醫師週班表!$C$5:$T$44,$CU12,CK$57),"")=0,"",IF(MID(IFERROR(INDEX(醫師週班表!$C$5:$T$44,$CU12,CK$57),""),2,1)="/",MID(IFERROR(INDEX(醫師週班表!$C$5:$T$44,$CU12,CK$57),""),1+CK$58*2,1),IF(MID(IFERROR(INDEX(醫師週班表!$C$5:$T$44,$CU12,CK$57),""),3,1)="隔",IF(CK$58=0,LEFT(IFERROR(INDEX(醫師週班表!$C$5:$T$44,$CU12,CK$57),""),1),""),IF(MID(IFERROR(INDEX(醫師週班表!$C$5:$T$44,$CU12,CK$57),""),2,1)="(",LEFT(IFERROR(INDEX(醫師週班表!$C$5:$T$44,$CU12,CK$57),""),1),IFERROR(INDEX(醫師週班表!$C$5:$T$44,$CU12,CK$57),"")))))))</f>
        <v/>
      </c>
      <c r="CL12" s="68">
        <f>IF(CL$59="X","",IF(CL$59&lt;&gt;"",CL$59,IF(IFERROR(INDEX(醫師週班表!$C$5:$T$44,$CU12,CL$57),"")=0,"",IF(MID(IFERROR(INDEX(醫師週班表!$C$5:$T$44,$CU12,CL$57),""),2,1)="/",MID(IFERROR(INDEX(醫師週班表!$C$5:$T$44,$CU12,CL$57),""),1+CL$58*2,1),IF(MID(IFERROR(INDEX(醫師週班表!$C$5:$T$44,$CU12,CL$57),""),3,1)="隔",IF(CL$58=0,LEFT(IFERROR(INDEX(醫師週班表!$C$5:$T$44,$CU12,CL$57),""),1),""),IF(MID(IFERROR(INDEX(醫師週班表!$C$5:$T$44,$CU12,CL$57),""),2,1)="(",LEFT(IFERROR(INDEX(醫師週班表!$C$5:$T$44,$CU12,CL$57),""),1),IFERROR(INDEX(醫師週班表!$C$5:$T$44,$CU12,CL$57),"")))))))</f>
        <v/>
      </c>
      <c r="CM12" s="68">
        <f>IF(CM$59="X","",IF(CM$59&lt;&gt;"",CM$59,IF(IFERROR(INDEX(醫師週班表!$C$5:$T$44,$CU12,CM$57),"")=0,"",IF(MID(IFERROR(INDEX(醫師週班表!$C$5:$T$44,$CU12,CM$57),""),2,1)="/",MID(IFERROR(INDEX(醫師週班表!$C$5:$T$44,$CU12,CM$57),""),1+CM$58*2,1),IF(MID(IFERROR(INDEX(醫師週班表!$C$5:$T$44,$CU12,CM$57),""),3,1)="隔",IF(CM$58=0,LEFT(IFERROR(INDEX(醫師週班表!$C$5:$T$44,$CU12,CM$57),""),1),""),IF(MID(IFERROR(INDEX(醫師週班表!$C$5:$T$44,$CU12,CM$57),""),2,1)="(",LEFT(IFERROR(INDEX(醫師週班表!$C$5:$T$44,$CU12,CM$57),""),1),IFERROR(INDEX(醫師週班表!$C$5:$T$44,$CU12,CM$57),"")))))))</f>
        <v/>
      </c>
      <c r="CN12" s="67">
        <f>IF(CN$59="X","",IF(CN$59&lt;&gt;"",CN$59,IF(IFERROR(INDEX(醫師週班表!$C$5:$T$44,$CU12,CN$57),"")=0,"",IF(MID(IFERROR(INDEX(醫師週班表!$C$5:$T$44,$CU12,CN$57),""),2,1)="/",MID(IFERROR(INDEX(醫師週班表!$C$5:$T$44,$CU12,CN$57),""),1+CN$58*2,1),IF(MID(IFERROR(INDEX(醫師週班表!$C$5:$T$44,$CU12,CN$57),""),3,1)="隔",IF(CN$58=0,LEFT(IFERROR(INDEX(醫師週班表!$C$5:$T$44,$CU12,CN$57),""),1),""),IF(MID(IFERROR(INDEX(醫師週班表!$C$5:$T$44,$CU12,CN$57),""),2,1)="(",LEFT(IFERROR(INDEX(醫師週班表!$C$5:$T$44,$CU12,CN$57),""),1),IFERROR(INDEX(醫師週班表!$C$5:$T$44,$CU12,CN$57),"")))))))</f>
        <v/>
      </c>
      <c r="CO12" s="68">
        <f>IF(CO$59="X","",IF(CO$59&lt;&gt;"",CO$59,IF(IFERROR(INDEX(醫師週班表!$C$5:$T$44,$CU12,CO$57),"")=0,"",IF(MID(IFERROR(INDEX(醫師週班表!$C$5:$T$44,$CU12,CO$57),""),2,1)="/",MID(IFERROR(INDEX(醫師週班表!$C$5:$T$44,$CU12,CO$57),""),1+CO$58*2,1),IF(MID(IFERROR(INDEX(醫師週班表!$C$5:$T$44,$CU12,CO$57),""),3,1)="隔",IF(CO$58=0,LEFT(IFERROR(INDEX(醫師週班表!$C$5:$T$44,$CU12,CO$57),""),1),""),IF(MID(IFERROR(INDEX(醫師週班表!$C$5:$T$44,$CU12,CO$57),""),2,1)="(",LEFT(IFERROR(INDEX(醫師週班表!$C$5:$T$44,$CU12,CO$57),""),1),IFERROR(INDEX(醫師週班表!$C$5:$T$44,$CU12,CO$57),"")))))))</f>
        <v/>
      </c>
      <c r="CP12" s="68">
        <f>IF(CP$59="X","",IF(CP$59&lt;&gt;"",CP$59,IF(IFERROR(INDEX(醫師週班表!$C$5:$T$44,$CU12,CP$57),"")=0,"",IF(MID(IFERROR(INDEX(醫師週班表!$C$5:$T$44,$CU12,CP$57),""),2,1)="/",MID(IFERROR(INDEX(醫師週班表!$C$5:$T$44,$CU12,CP$57),""),1+CP$58*2,1),IF(MID(IFERROR(INDEX(醫師週班表!$C$5:$T$44,$CU12,CP$57),""),3,1)="隔",IF(CP$58=0,LEFT(IFERROR(INDEX(醫師週班表!$C$5:$T$44,$CU12,CP$57),""),1),""),IF(MID(IFERROR(INDEX(醫師週班表!$C$5:$T$44,$CU12,CP$57),""),2,1)="(",LEFT(IFERROR(INDEX(醫師週班表!$C$5:$T$44,$CU12,CP$57),""),1),IFERROR(INDEX(醫師週班表!$C$5:$T$44,$CU12,CP$57),"")))))))</f>
        <v/>
      </c>
      <c r="CQ12" s="67">
        <f>IF(CQ$59="X","",IF(CQ$59&lt;&gt;"",CQ$59,IF(IFERROR(INDEX(醫師週班表!$C$5:$T$44,$CU12,CQ$57),"")=0,"",IF(MID(IFERROR(INDEX(醫師週班表!$C$5:$T$44,$CU12,CQ$57),""),2,1)="/",MID(IFERROR(INDEX(醫師週班表!$C$5:$T$44,$CU12,CQ$57),""),1+CQ$58*2,1),IF(MID(IFERROR(INDEX(醫師週班表!$C$5:$T$44,$CU12,CQ$57),""),3,1)="隔",IF(CQ$58=0,LEFT(IFERROR(INDEX(醫師週班表!$C$5:$T$44,$CU12,CQ$57),""),1),""),IF(MID(IFERROR(INDEX(醫師週班表!$C$5:$T$44,$CU12,CQ$57),""),2,1)="(",LEFT(IFERROR(INDEX(醫師週班表!$C$5:$T$44,$CU12,CQ$57),""),1),IFERROR(INDEX(醫師週班表!$C$5:$T$44,$CU12,CQ$57),"")))))))</f>
        <v/>
      </c>
      <c r="CR12" s="68">
        <f>IF(CR$59="X","",IF(CR$59&lt;&gt;"",CR$59,IF(IFERROR(INDEX(醫師週班表!$C$5:$T$44,$CU12,CR$57),"")=0,"",IF(MID(IFERROR(INDEX(醫師週班表!$C$5:$T$44,$CU12,CR$57),""),2,1)="/",MID(IFERROR(INDEX(醫師週班表!$C$5:$T$44,$CU12,CR$57),""),1+CR$58*2,1),IF(MID(IFERROR(INDEX(醫師週班表!$C$5:$T$44,$CU12,CR$57),""),3,1)="隔",IF(CR$58=0,LEFT(IFERROR(INDEX(醫師週班表!$C$5:$T$44,$CU12,CR$57),""),1),""),IF(MID(IFERROR(INDEX(醫師週班表!$C$5:$T$44,$CU12,CR$57),""),2,1)="(",LEFT(IFERROR(INDEX(醫師週班表!$C$5:$T$44,$CU12,CR$57),""),1),IFERROR(INDEX(醫師週班表!$C$5:$T$44,$CU12,CR$57),"")))))))</f>
        <v/>
      </c>
      <c r="CS12" s="68">
        <f>IF(CS$59="X","",IF(CS$59&lt;&gt;"",CS$59,IF(IFERROR(INDEX(醫師週班表!$C$5:$T$44,$CU12,CS$57),"")=0,"",IF(MID(IFERROR(INDEX(醫師週班表!$C$5:$T$44,$CU12,CS$57),""),2,1)="/",MID(IFERROR(INDEX(醫師週班表!$C$5:$T$44,$CU12,CS$57),""),1+CS$58*2,1),IF(MID(IFERROR(INDEX(醫師週班表!$C$5:$T$44,$CU12,CS$57),""),3,1)="隔",IF(CS$58=0,LEFT(IFERROR(INDEX(醫師週班表!$C$5:$T$44,$CU12,CS$57),""),1),""),IF(MID(IFERROR(INDEX(醫師週班表!$C$5:$T$44,$CU12,CS$57),""),2,1)="(",LEFT(IFERROR(INDEX(醫師週班表!$C$5:$T$44,$CU12,CS$57),""),1),IFERROR(INDEX(醫師週班表!$C$5:$T$44,$CU12,CS$57),"")))))))</f>
        <v/>
      </c>
      <c r="CU12" s="69">
        <f>IFERROR(MATCH($A12,醫師週班表!$A$5:$A$44,0),0)</f>
        <v/>
      </c>
    </row>
    <row r="13" ht="17" customHeight="1">
      <c r="A13" s="20" t="inlineStr">
        <is>
          <t>D008</t>
        </is>
      </c>
      <c r="B13" s="16" t="inlineStr">
        <is>
          <t>林紫亭</t>
        </is>
      </c>
      <c r="C13" s="66" t="inlineStr"/>
      <c r="D13" s="16" t="inlineStr"/>
      <c r="E13" s="67">
        <f>IF(E$59="X","",IF(E$59&lt;&gt;"",E$59,IF(IFERROR(INDEX(醫師週班表!$C$5:$T$44,$CU13,E$57),"")=0,"",IF(MID(IFERROR(INDEX(醫師週班表!$C$5:$T$44,$CU13,E$57),""),2,1)="/",MID(IFERROR(INDEX(醫師週班表!$C$5:$T$44,$CU13,E$57),""),1+E$58*2,1),IF(MID(IFERROR(INDEX(醫師週班表!$C$5:$T$44,$CU13,E$57),""),3,1)="隔",IF(E$58=0,LEFT(IFERROR(INDEX(醫師週班表!$C$5:$T$44,$CU13,E$57),""),1),""),IF(MID(IFERROR(INDEX(醫師週班表!$C$5:$T$44,$CU13,E$57),""),2,1)="(",LEFT(IFERROR(INDEX(醫師週班表!$C$5:$T$44,$CU13,E$57),""),1),IFERROR(INDEX(醫師週班表!$C$5:$T$44,$CU13,E$57),"")))))))</f>
        <v/>
      </c>
      <c r="F13" s="68">
        <f>IF(F$59="X","",IF(F$59&lt;&gt;"",F$59,IF(IFERROR(INDEX(醫師週班表!$C$5:$T$44,$CU13,F$57),"")=0,"",IF(MID(IFERROR(INDEX(醫師週班表!$C$5:$T$44,$CU13,F$57),""),2,1)="/",MID(IFERROR(INDEX(醫師週班表!$C$5:$T$44,$CU13,F$57),""),1+F$58*2,1),IF(MID(IFERROR(INDEX(醫師週班表!$C$5:$T$44,$CU13,F$57),""),3,1)="隔",IF(F$58=0,LEFT(IFERROR(INDEX(醫師週班表!$C$5:$T$44,$CU13,F$57),""),1),""),IF(MID(IFERROR(INDEX(醫師週班表!$C$5:$T$44,$CU13,F$57),""),2,1)="(",LEFT(IFERROR(INDEX(醫師週班表!$C$5:$T$44,$CU13,F$57),""),1),IFERROR(INDEX(醫師週班表!$C$5:$T$44,$CU13,F$57),"")))))))</f>
        <v/>
      </c>
      <c r="G13" s="68">
        <f>IF(G$59="X","",IF(G$59&lt;&gt;"",G$59,IF(IFERROR(INDEX(醫師週班表!$C$5:$T$44,$CU13,G$57),"")=0,"",IF(MID(IFERROR(INDEX(醫師週班表!$C$5:$T$44,$CU13,G$57),""),2,1)="/",MID(IFERROR(INDEX(醫師週班表!$C$5:$T$44,$CU13,G$57),""),1+G$58*2,1),IF(MID(IFERROR(INDEX(醫師週班表!$C$5:$T$44,$CU13,G$57),""),3,1)="隔",IF(G$58=0,LEFT(IFERROR(INDEX(醫師週班表!$C$5:$T$44,$CU13,G$57),""),1),""),IF(MID(IFERROR(INDEX(醫師週班表!$C$5:$T$44,$CU13,G$57),""),2,1)="(",LEFT(IFERROR(INDEX(醫師週班表!$C$5:$T$44,$CU13,G$57),""),1),IFERROR(INDEX(醫師週班表!$C$5:$T$44,$CU13,G$57),"")))))))</f>
        <v/>
      </c>
      <c r="H13" s="67">
        <f>IF(H$59="X","",IF(H$59&lt;&gt;"",H$59,IF(IFERROR(INDEX(醫師週班表!$C$5:$T$44,$CU13,H$57),"")=0,"",IF(MID(IFERROR(INDEX(醫師週班表!$C$5:$T$44,$CU13,H$57),""),2,1)="/",MID(IFERROR(INDEX(醫師週班表!$C$5:$T$44,$CU13,H$57),""),1+H$58*2,1),IF(MID(IFERROR(INDEX(醫師週班表!$C$5:$T$44,$CU13,H$57),""),3,1)="隔",IF(H$58=0,LEFT(IFERROR(INDEX(醫師週班表!$C$5:$T$44,$CU13,H$57),""),1),""),IF(MID(IFERROR(INDEX(醫師週班表!$C$5:$T$44,$CU13,H$57),""),2,1)="(",LEFT(IFERROR(INDEX(醫師週班表!$C$5:$T$44,$CU13,H$57),""),1),IFERROR(INDEX(醫師週班表!$C$5:$T$44,$CU13,H$57),"")))))))</f>
        <v/>
      </c>
      <c r="I13" s="68">
        <f>IF(I$59="X","",IF(I$59&lt;&gt;"",I$59,IF(IFERROR(INDEX(醫師週班表!$C$5:$T$44,$CU13,I$57),"")=0,"",IF(MID(IFERROR(INDEX(醫師週班表!$C$5:$T$44,$CU13,I$57),""),2,1)="/",MID(IFERROR(INDEX(醫師週班表!$C$5:$T$44,$CU13,I$57),""),1+I$58*2,1),IF(MID(IFERROR(INDEX(醫師週班表!$C$5:$T$44,$CU13,I$57),""),3,1)="隔",IF(I$58=0,LEFT(IFERROR(INDEX(醫師週班表!$C$5:$T$44,$CU13,I$57),""),1),""),IF(MID(IFERROR(INDEX(醫師週班表!$C$5:$T$44,$CU13,I$57),""),2,1)="(",LEFT(IFERROR(INDEX(醫師週班表!$C$5:$T$44,$CU13,I$57),""),1),IFERROR(INDEX(醫師週班表!$C$5:$T$44,$CU13,I$57),"")))))))</f>
        <v/>
      </c>
      <c r="J13" s="68">
        <f>IF(J$59="X","",IF(J$59&lt;&gt;"",J$59,IF(IFERROR(INDEX(醫師週班表!$C$5:$T$44,$CU13,J$57),"")=0,"",IF(MID(IFERROR(INDEX(醫師週班表!$C$5:$T$44,$CU13,J$57),""),2,1)="/",MID(IFERROR(INDEX(醫師週班表!$C$5:$T$44,$CU13,J$57),""),1+J$58*2,1),IF(MID(IFERROR(INDEX(醫師週班表!$C$5:$T$44,$CU13,J$57),""),3,1)="隔",IF(J$58=0,LEFT(IFERROR(INDEX(醫師週班表!$C$5:$T$44,$CU13,J$57),""),1),""),IF(MID(IFERROR(INDEX(醫師週班表!$C$5:$T$44,$CU13,J$57),""),2,1)="(",LEFT(IFERROR(INDEX(醫師週班表!$C$5:$T$44,$CU13,J$57),""),1),IFERROR(INDEX(醫師週班表!$C$5:$T$44,$CU13,J$57),"")))))))</f>
        <v/>
      </c>
      <c r="K13" s="67">
        <f>IF(K$59="X","",IF(K$59&lt;&gt;"",K$59,IF(IFERROR(INDEX(醫師週班表!$C$5:$T$44,$CU13,K$57),"")=0,"",IF(MID(IFERROR(INDEX(醫師週班表!$C$5:$T$44,$CU13,K$57),""),2,1)="/",MID(IFERROR(INDEX(醫師週班表!$C$5:$T$44,$CU13,K$57),""),1+K$58*2,1),IF(MID(IFERROR(INDEX(醫師週班表!$C$5:$T$44,$CU13,K$57),""),3,1)="隔",IF(K$58=0,LEFT(IFERROR(INDEX(醫師週班表!$C$5:$T$44,$CU13,K$57),""),1),""),IF(MID(IFERROR(INDEX(醫師週班表!$C$5:$T$44,$CU13,K$57),""),2,1)="(",LEFT(IFERROR(INDEX(醫師週班表!$C$5:$T$44,$CU13,K$57),""),1),IFERROR(INDEX(醫師週班表!$C$5:$T$44,$CU13,K$57),"")))))))</f>
        <v/>
      </c>
      <c r="L13" s="68">
        <f>IF(L$59="X","",IF(L$59&lt;&gt;"",L$59,IF(IFERROR(INDEX(醫師週班表!$C$5:$T$44,$CU13,L$57),"")=0,"",IF(MID(IFERROR(INDEX(醫師週班表!$C$5:$T$44,$CU13,L$57),""),2,1)="/",MID(IFERROR(INDEX(醫師週班表!$C$5:$T$44,$CU13,L$57),""),1+L$58*2,1),IF(MID(IFERROR(INDEX(醫師週班表!$C$5:$T$44,$CU13,L$57),""),3,1)="隔",IF(L$58=0,LEFT(IFERROR(INDEX(醫師週班表!$C$5:$T$44,$CU13,L$57),""),1),""),IF(MID(IFERROR(INDEX(醫師週班表!$C$5:$T$44,$CU13,L$57),""),2,1)="(",LEFT(IFERROR(INDEX(醫師週班表!$C$5:$T$44,$CU13,L$57),""),1),IFERROR(INDEX(醫師週班表!$C$5:$T$44,$CU13,L$57),"")))))))</f>
        <v/>
      </c>
      <c r="M13" s="68">
        <f>IF(M$59="X","",IF(M$59&lt;&gt;"",M$59,IF(IFERROR(INDEX(醫師週班表!$C$5:$T$44,$CU13,M$57),"")=0,"",IF(MID(IFERROR(INDEX(醫師週班表!$C$5:$T$44,$CU13,M$57),""),2,1)="/",MID(IFERROR(INDEX(醫師週班表!$C$5:$T$44,$CU13,M$57),""),1+M$58*2,1),IF(MID(IFERROR(INDEX(醫師週班表!$C$5:$T$44,$CU13,M$57),""),3,1)="隔",IF(M$58=0,LEFT(IFERROR(INDEX(醫師週班表!$C$5:$T$44,$CU13,M$57),""),1),""),IF(MID(IFERROR(INDEX(醫師週班表!$C$5:$T$44,$CU13,M$57),""),2,1)="(",LEFT(IFERROR(INDEX(醫師週班表!$C$5:$T$44,$CU13,M$57),""),1),IFERROR(INDEX(醫師週班表!$C$5:$T$44,$CU13,M$57),"")))))))</f>
        <v/>
      </c>
      <c r="N13" s="67">
        <f>IF(N$59="X","",IF(N$59&lt;&gt;"",N$59,IF(IFERROR(INDEX(醫師週班表!$C$5:$T$44,$CU13,N$57),"")=0,"",IF(MID(IFERROR(INDEX(醫師週班表!$C$5:$T$44,$CU13,N$57),""),2,1)="/",MID(IFERROR(INDEX(醫師週班表!$C$5:$T$44,$CU13,N$57),""),1+N$58*2,1),IF(MID(IFERROR(INDEX(醫師週班表!$C$5:$T$44,$CU13,N$57),""),3,1)="隔",IF(N$58=0,LEFT(IFERROR(INDEX(醫師週班表!$C$5:$T$44,$CU13,N$57),""),1),""),IF(MID(IFERROR(INDEX(醫師週班表!$C$5:$T$44,$CU13,N$57),""),2,1)="(",LEFT(IFERROR(INDEX(醫師週班表!$C$5:$T$44,$CU13,N$57),""),1),IFERROR(INDEX(醫師週班表!$C$5:$T$44,$CU13,N$57),"")))))))</f>
        <v/>
      </c>
      <c r="O13" s="68">
        <f>IF(O$59="X","",IF(O$59&lt;&gt;"",O$59,IF(IFERROR(INDEX(醫師週班表!$C$5:$T$44,$CU13,O$57),"")=0,"",IF(MID(IFERROR(INDEX(醫師週班表!$C$5:$T$44,$CU13,O$57),""),2,1)="/",MID(IFERROR(INDEX(醫師週班表!$C$5:$T$44,$CU13,O$57),""),1+O$58*2,1),IF(MID(IFERROR(INDEX(醫師週班表!$C$5:$T$44,$CU13,O$57),""),3,1)="隔",IF(O$58=0,LEFT(IFERROR(INDEX(醫師週班表!$C$5:$T$44,$CU13,O$57),""),1),""),IF(MID(IFERROR(INDEX(醫師週班表!$C$5:$T$44,$CU13,O$57),""),2,1)="(",LEFT(IFERROR(INDEX(醫師週班表!$C$5:$T$44,$CU13,O$57),""),1),IFERROR(INDEX(醫師週班表!$C$5:$T$44,$CU13,O$57),"")))))))</f>
        <v/>
      </c>
      <c r="P13" s="68">
        <f>IF(P$59="X","",IF(P$59&lt;&gt;"",P$59,IF(IFERROR(INDEX(醫師週班表!$C$5:$T$44,$CU13,P$57),"")=0,"",IF(MID(IFERROR(INDEX(醫師週班表!$C$5:$T$44,$CU13,P$57),""),2,1)="/",MID(IFERROR(INDEX(醫師週班表!$C$5:$T$44,$CU13,P$57),""),1+P$58*2,1),IF(MID(IFERROR(INDEX(醫師週班表!$C$5:$T$44,$CU13,P$57),""),3,1)="隔",IF(P$58=0,LEFT(IFERROR(INDEX(醫師週班表!$C$5:$T$44,$CU13,P$57),""),1),""),IF(MID(IFERROR(INDEX(醫師週班表!$C$5:$T$44,$CU13,P$57),""),2,1)="(",LEFT(IFERROR(INDEX(醫師週班表!$C$5:$T$44,$CU13,P$57),""),1),IFERROR(INDEX(醫師週班表!$C$5:$T$44,$CU13,P$57),"")))))))</f>
        <v/>
      </c>
      <c r="Q13" s="67">
        <f>IF(Q$59="X","",IF(Q$59&lt;&gt;"",Q$59,IF(IFERROR(INDEX(醫師週班表!$C$5:$T$44,$CU13,Q$57),"")=0,"",IF(MID(IFERROR(INDEX(醫師週班表!$C$5:$T$44,$CU13,Q$57),""),2,1)="/",MID(IFERROR(INDEX(醫師週班表!$C$5:$T$44,$CU13,Q$57),""),1+Q$58*2,1),IF(MID(IFERROR(INDEX(醫師週班表!$C$5:$T$44,$CU13,Q$57),""),3,1)="隔",IF(Q$58=0,LEFT(IFERROR(INDEX(醫師週班表!$C$5:$T$44,$CU13,Q$57),""),1),""),IF(MID(IFERROR(INDEX(醫師週班表!$C$5:$T$44,$CU13,Q$57),""),2,1)="(",LEFT(IFERROR(INDEX(醫師週班表!$C$5:$T$44,$CU13,Q$57),""),1),IFERROR(INDEX(醫師週班表!$C$5:$T$44,$CU13,Q$57),"")))))))</f>
        <v/>
      </c>
      <c r="R13" s="68">
        <f>IF(R$59="X","",IF(R$59&lt;&gt;"",R$59,IF(IFERROR(INDEX(醫師週班表!$C$5:$T$44,$CU13,R$57),"")=0,"",IF(MID(IFERROR(INDEX(醫師週班表!$C$5:$T$44,$CU13,R$57),""),2,1)="/",MID(IFERROR(INDEX(醫師週班表!$C$5:$T$44,$CU13,R$57),""),1+R$58*2,1),IF(MID(IFERROR(INDEX(醫師週班表!$C$5:$T$44,$CU13,R$57),""),3,1)="隔",IF(R$58=0,LEFT(IFERROR(INDEX(醫師週班表!$C$5:$T$44,$CU13,R$57),""),1),""),IF(MID(IFERROR(INDEX(醫師週班表!$C$5:$T$44,$CU13,R$57),""),2,1)="(",LEFT(IFERROR(INDEX(醫師週班表!$C$5:$T$44,$CU13,R$57),""),1),IFERROR(INDEX(醫師週班表!$C$5:$T$44,$CU13,R$57),"")))))))</f>
        <v/>
      </c>
      <c r="S13" s="68">
        <f>IF(S$59="X","",IF(S$59&lt;&gt;"",S$59,IF(IFERROR(INDEX(醫師週班表!$C$5:$T$44,$CU13,S$57),"")=0,"",IF(MID(IFERROR(INDEX(醫師週班表!$C$5:$T$44,$CU13,S$57),""),2,1)="/",MID(IFERROR(INDEX(醫師週班表!$C$5:$T$44,$CU13,S$57),""),1+S$58*2,1),IF(MID(IFERROR(INDEX(醫師週班表!$C$5:$T$44,$CU13,S$57),""),3,1)="隔",IF(S$58=0,LEFT(IFERROR(INDEX(醫師週班表!$C$5:$T$44,$CU13,S$57),""),1),""),IF(MID(IFERROR(INDEX(醫師週班表!$C$5:$T$44,$CU13,S$57),""),2,1)="(",LEFT(IFERROR(INDEX(醫師週班表!$C$5:$T$44,$CU13,S$57),""),1),IFERROR(INDEX(醫師週班表!$C$5:$T$44,$CU13,S$57),"")))))))</f>
        <v/>
      </c>
      <c r="T13" s="67">
        <f>IF(T$59="X","",IF(T$59&lt;&gt;"",T$59,IF(IFERROR(INDEX(醫師週班表!$C$5:$T$44,$CU13,T$57),"")=0,"",IF(MID(IFERROR(INDEX(醫師週班表!$C$5:$T$44,$CU13,T$57),""),2,1)="/",MID(IFERROR(INDEX(醫師週班表!$C$5:$T$44,$CU13,T$57),""),1+T$58*2,1),IF(MID(IFERROR(INDEX(醫師週班表!$C$5:$T$44,$CU13,T$57),""),3,1)="隔",IF(T$58=0,LEFT(IFERROR(INDEX(醫師週班表!$C$5:$T$44,$CU13,T$57),""),1),""),IF(MID(IFERROR(INDEX(醫師週班表!$C$5:$T$44,$CU13,T$57),""),2,1)="(",LEFT(IFERROR(INDEX(醫師週班表!$C$5:$T$44,$CU13,T$57),""),1),IFERROR(INDEX(醫師週班表!$C$5:$T$44,$CU13,T$57),"")))))))</f>
        <v/>
      </c>
      <c r="U13" s="68">
        <f>IF(U$59="X","",IF(U$59&lt;&gt;"",U$59,IF(IFERROR(INDEX(醫師週班表!$C$5:$T$44,$CU13,U$57),"")=0,"",IF(MID(IFERROR(INDEX(醫師週班表!$C$5:$T$44,$CU13,U$57),""),2,1)="/",MID(IFERROR(INDEX(醫師週班表!$C$5:$T$44,$CU13,U$57),""),1+U$58*2,1),IF(MID(IFERROR(INDEX(醫師週班表!$C$5:$T$44,$CU13,U$57),""),3,1)="隔",IF(U$58=0,LEFT(IFERROR(INDEX(醫師週班表!$C$5:$T$44,$CU13,U$57),""),1),""),IF(MID(IFERROR(INDEX(醫師週班表!$C$5:$T$44,$CU13,U$57),""),2,1)="(",LEFT(IFERROR(INDEX(醫師週班表!$C$5:$T$44,$CU13,U$57),""),1),IFERROR(INDEX(醫師週班表!$C$5:$T$44,$CU13,U$57),"")))))))</f>
        <v/>
      </c>
      <c r="V13" s="68">
        <f>IF(V$59="X","",IF(V$59&lt;&gt;"",V$59,IF(IFERROR(INDEX(醫師週班表!$C$5:$T$44,$CU13,V$57),"")=0,"",IF(MID(IFERROR(INDEX(醫師週班表!$C$5:$T$44,$CU13,V$57),""),2,1)="/",MID(IFERROR(INDEX(醫師週班表!$C$5:$T$44,$CU13,V$57),""),1+V$58*2,1),IF(MID(IFERROR(INDEX(醫師週班表!$C$5:$T$44,$CU13,V$57),""),3,1)="隔",IF(V$58=0,LEFT(IFERROR(INDEX(醫師週班表!$C$5:$T$44,$CU13,V$57),""),1),""),IF(MID(IFERROR(INDEX(醫師週班表!$C$5:$T$44,$CU13,V$57),""),2,1)="(",LEFT(IFERROR(INDEX(醫師週班表!$C$5:$T$44,$CU13,V$57),""),1),IFERROR(INDEX(醫師週班表!$C$5:$T$44,$CU13,V$57),"")))))))</f>
        <v/>
      </c>
      <c r="W13" s="67">
        <f>IF(W$59="X","",IF(W$59&lt;&gt;"",W$59,IF(IFERROR(INDEX(醫師週班表!$C$5:$T$44,$CU13,W$57),"")=0,"",IF(MID(IFERROR(INDEX(醫師週班表!$C$5:$T$44,$CU13,W$57),""),2,1)="/",MID(IFERROR(INDEX(醫師週班表!$C$5:$T$44,$CU13,W$57),""),1+W$58*2,1),IF(MID(IFERROR(INDEX(醫師週班表!$C$5:$T$44,$CU13,W$57),""),3,1)="隔",IF(W$58=0,LEFT(IFERROR(INDEX(醫師週班表!$C$5:$T$44,$CU13,W$57),""),1),""),IF(MID(IFERROR(INDEX(醫師週班表!$C$5:$T$44,$CU13,W$57),""),2,1)="(",LEFT(IFERROR(INDEX(醫師週班表!$C$5:$T$44,$CU13,W$57),""),1),IFERROR(INDEX(醫師週班表!$C$5:$T$44,$CU13,W$57),"")))))))</f>
        <v/>
      </c>
      <c r="X13" s="68">
        <f>IF(X$59="X","",IF(X$59&lt;&gt;"",X$59,IF(IFERROR(INDEX(醫師週班表!$C$5:$T$44,$CU13,X$57),"")=0,"",IF(MID(IFERROR(INDEX(醫師週班表!$C$5:$T$44,$CU13,X$57),""),2,1)="/",MID(IFERROR(INDEX(醫師週班表!$C$5:$T$44,$CU13,X$57),""),1+X$58*2,1),IF(MID(IFERROR(INDEX(醫師週班表!$C$5:$T$44,$CU13,X$57),""),3,1)="隔",IF(X$58=0,LEFT(IFERROR(INDEX(醫師週班表!$C$5:$T$44,$CU13,X$57),""),1),""),IF(MID(IFERROR(INDEX(醫師週班表!$C$5:$T$44,$CU13,X$57),""),2,1)="(",LEFT(IFERROR(INDEX(醫師週班表!$C$5:$T$44,$CU13,X$57),""),1),IFERROR(INDEX(醫師週班表!$C$5:$T$44,$CU13,X$57),"")))))))</f>
        <v/>
      </c>
      <c r="Y13" s="68">
        <f>IF(Y$59="X","",IF(Y$59&lt;&gt;"",Y$59,IF(IFERROR(INDEX(醫師週班表!$C$5:$T$44,$CU13,Y$57),"")=0,"",IF(MID(IFERROR(INDEX(醫師週班表!$C$5:$T$44,$CU13,Y$57),""),2,1)="/",MID(IFERROR(INDEX(醫師週班表!$C$5:$T$44,$CU13,Y$57),""),1+Y$58*2,1),IF(MID(IFERROR(INDEX(醫師週班表!$C$5:$T$44,$CU13,Y$57),""),3,1)="隔",IF(Y$58=0,LEFT(IFERROR(INDEX(醫師週班表!$C$5:$T$44,$CU13,Y$57),""),1),""),IF(MID(IFERROR(INDEX(醫師週班表!$C$5:$T$44,$CU13,Y$57),""),2,1)="(",LEFT(IFERROR(INDEX(醫師週班表!$C$5:$T$44,$CU13,Y$57),""),1),IFERROR(INDEX(醫師週班表!$C$5:$T$44,$CU13,Y$57),"")))))))</f>
        <v/>
      </c>
      <c r="Z13" s="67">
        <f>IF(Z$59="X","",IF(Z$59&lt;&gt;"",Z$59,IF(IFERROR(INDEX(醫師週班表!$C$5:$T$44,$CU13,Z$57),"")=0,"",IF(MID(IFERROR(INDEX(醫師週班表!$C$5:$T$44,$CU13,Z$57),""),2,1)="/",MID(IFERROR(INDEX(醫師週班表!$C$5:$T$44,$CU13,Z$57),""),1+Z$58*2,1),IF(MID(IFERROR(INDEX(醫師週班表!$C$5:$T$44,$CU13,Z$57),""),3,1)="隔",IF(Z$58=0,LEFT(IFERROR(INDEX(醫師週班表!$C$5:$T$44,$CU13,Z$57),""),1),""),IF(MID(IFERROR(INDEX(醫師週班表!$C$5:$T$44,$CU13,Z$57),""),2,1)="(",LEFT(IFERROR(INDEX(醫師週班表!$C$5:$T$44,$CU13,Z$57),""),1),IFERROR(INDEX(醫師週班表!$C$5:$T$44,$CU13,Z$57),"")))))))</f>
        <v/>
      </c>
      <c r="AA13" s="68">
        <f>IF(AA$59="X","",IF(AA$59&lt;&gt;"",AA$59,IF(IFERROR(INDEX(醫師週班表!$C$5:$T$44,$CU13,AA$57),"")=0,"",IF(MID(IFERROR(INDEX(醫師週班表!$C$5:$T$44,$CU13,AA$57),""),2,1)="/",MID(IFERROR(INDEX(醫師週班表!$C$5:$T$44,$CU13,AA$57),""),1+AA$58*2,1),IF(MID(IFERROR(INDEX(醫師週班表!$C$5:$T$44,$CU13,AA$57),""),3,1)="隔",IF(AA$58=0,LEFT(IFERROR(INDEX(醫師週班表!$C$5:$T$44,$CU13,AA$57),""),1),""),IF(MID(IFERROR(INDEX(醫師週班表!$C$5:$T$44,$CU13,AA$57),""),2,1)="(",LEFT(IFERROR(INDEX(醫師週班表!$C$5:$T$44,$CU13,AA$57),""),1),IFERROR(INDEX(醫師週班表!$C$5:$T$44,$CU13,AA$57),"")))))))</f>
        <v/>
      </c>
      <c r="AB13" s="68">
        <f>IF(AB$59="X","",IF(AB$59&lt;&gt;"",AB$59,IF(IFERROR(INDEX(醫師週班表!$C$5:$T$44,$CU13,AB$57),"")=0,"",IF(MID(IFERROR(INDEX(醫師週班表!$C$5:$T$44,$CU13,AB$57),""),2,1)="/",MID(IFERROR(INDEX(醫師週班表!$C$5:$T$44,$CU13,AB$57),""),1+AB$58*2,1),IF(MID(IFERROR(INDEX(醫師週班表!$C$5:$T$44,$CU13,AB$57),""),3,1)="隔",IF(AB$58=0,LEFT(IFERROR(INDEX(醫師週班表!$C$5:$T$44,$CU13,AB$57),""),1),""),IF(MID(IFERROR(INDEX(醫師週班表!$C$5:$T$44,$CU13,AB$57),""),2,1)="(",LEFT(IFERROR(INDEX(醫師週班表!$C$5:$T$44,$CU13,AB$57),""),1),IFERROR(INDEX(醫師週班表!$C$5:$T$44,$CU13,AB$57),"")))))))</f>
        <v/>
      </c>
      <c r="AC13" s="67">
        <f>IF(AC$59="X","",IF(AC$59&lt;&gt;"",AC$59,IF(IFERROR(INDEX(醫師週班表!$C$5:$T$44,$CU13,AC$57),"")=0,"",IF(MID(IFERROR(INDEX(醫師週班表!$C$5:$T$44,$CU13,AC$57),""),2,1)="/",MID(IFERROR(INDEX(醫師週班表!$C$5:$T$44,$CU13,AC$57),""),1+AC$58*2,1),IF(MID(IFERROR(INDEX(醫師週班表!$C$5:$T$44,$CU13,AC$57),""),3,1)="隔",IF(AC$58=0,LEFT(IFERROR(INDEX(醫師週班表!$C$5:$T$44,$CU13,AC$57),""),1),""),IF(MID(IFERROR(INDEX(醫師週班表!$C$5:$T$44,$CU13,AC$57),""),2,1)="(",LEFT(IFERROR(INDEX(醫師週班表!$C$5:$T$44,$CU13,AC$57),""),1),IFERROR(INDEX(醫師週班表!$C$5:$T$44,$CU13,AC$57),"")))))))</f>
        <v/>
      </c>
      <c r="AD13" s="68">
        <f>IF(AD$59="X","",IF(AD$59&lt;&gt;"",AD$59,IF(IFERROR(INDEX(醫師週班表!$C$5:$T$44,$CU13,AD$57),"")=0,"",IF(MID(IFERROR(INDEX(醫師週班表!$C$5:$T$44,$CU13,AD$57),""),2,1)="/",MID(IFERROR(INDEX(醫師週班表!$C$5:$T$44,$CU13,AD$57),""),1+AD$58*2,1),IF(MID(IFERROR(INDEX(醫師週班表!$C$5:$T$44,$CU13,AD$57),""),3,1)="隔",IF(AD$58=0,LEFT(IFERROR(INDEX(醫師週班表!$C$5:$T$44,$CU13,AD$57),""),1),""),IF(MID(IFERROR(INDEX(醫師週班表!$C$5:$T$44,$CU13,AD$57),""),2,1)="(",LEFT(IFERROR(INDEX(醫師週班表!$C$5:$T$44,$CU13,AD$57),""),1),IFERROR(INDEX(醫師週班表!$C$5:$T$44,$CU13,AD$57),"")))))))</f>
        <v/>
      </c>
      <c r="AE13" s="68">
        <f>IF(AE$59="X","",IF(AE$59&lt;&gt;"",AE$59,IF(IFERROR(INDEX(醫師週班表!$C$5:$T$44,$CU13,AE$57),"")=0,"",IF(MID(IFERROR(INDEX(醫師週班表!$C$5:$T$44,$CU13,AE$57),""),2,1)="/",MID(IFERROR(INDEX(醫師週班表!$C$5:$T$44,$CU13,AE$57),""),1+AE$58*2,1),IF(MID(IFERROR(INDEX(醫師週班表!$C$5:$T$44,$CU13,AE$57),""),3,1)="隔",IF(AE$58=0,LEFT(IFERROR(INDEX(醫師週班表!$C$5:$T$44,$CU13,AE$57),""),1),""),IF(MID(IFERROR(INDEX(醫師週班表!$C$5:$T$44,$CU13,AE$57),""),2,1)="(",LEFT(IFERROR(INDEX(醫師週班表!$C$5:$T$44,$CU13,AE$57),""),1),IFERROR(INDEX(醫師週班表!$C$5:$T$44,$CU13,AE$57),"")))))))</f>
        <v/>
      </c>
      <c r="AF13" s="67">
        <f>IF(AF$59="X","",IF(AF$59&lt;&gt;"",AF$59,IF(IFERROR(INDEX(醫師週班表!$C$5:$T$44,$CU13,AF$57),"")=0,"",IF(MID(IFERROR(INDEX(醫師週班表!$C$5:$T$44,$CU13,AF$57),""),2,1)="/",MID(IFERROR(INDEX(醫師週班表!$C$5:$T$44,$CU13,AF$57),""),1+AF$58*2,1),IF(MID(IFERROR(INDEX(醫師週班表!$C$5:$T$44,$CU13,AF$57),""),3,1)="隔",IF(AF$58=0,LEFT(IFERROR(INDEX(醫師週班表!$C$5:$T$44,$CU13,AF$57),""),1),""),IF(MID(IFERROR(INDEX(醫師週班表!$C$5:$T$44,$CU13,AF$57),""),2,1)="(",LEFT(IFERROR(INDEX(醫師週班表!$C$5:$T$44,$CU13,AF$57),""),1),IFERROR(INDEX(醫師週班表!$C$5:$T$44,$CU13,AF$57),"")))))))</f>
        <v/>
      </c>
      <c r="AG13" s="68">
        <f>IF(AG$59="X","",IF(AG$59&lt;&gt;"",AG$59,IF(IFERROR(INDEX(醫師週班表!$C$5:$T$44,$CU13,AG$57),"")=0,"",IF(MID(IFERROR(INDEX(醫師週班表!$C$5:$T$44,$CU13,AG$57),""),2,1)="/",MID(IFERROR(INDEX(醫師週班表!$C$5:$T$44,$CU13,AG$57),""),1+AG$58*2,1),IF(MID(IFERROR(INDEX(醫師週班表!$C$5:$T$44,$CU13,AG$57),""),3,1)="隔",IF(AG$58=0,LEFT(IFERROR(INDEX(醫師週班表!$C$5:$T$44,$CU13,AG$57),""),1),""),IF(MID(IFERROR(INDEX(醫師週班表!$C$5:$T$44,$CU13,AG$57),""),2,1)="(",LEFT(IFERROR(INDEX(醫師週班表!$C$5:$T$44,$CU13,AG$57),""),1),IFERROR(INDEX(醫師週班表!$C$5:$T$44,$CU13,AG$57),"")))))))</f>
        <v/>
      </c>
      <c r="AH13" s="68">
        <f>IF(AH$59="X","",IF(AH$59&lt;&gt;"",AH$59,IF(IFERROR(INDEX(醫師週班表!$C$5:$T$44,$CU13,AH$57),"")=0,"",IF(MID(IFERROR(INDEX(醫師週班表!$C$5:$T$44,$CU13,AH$57),""),2,1)="/",MID(IFERROR(INDEX(醫師週班表!$C$5:$T$44,$CU13,AH$57),""),1+AH$58*2,1),IF(MID(IFERROR(INDEX(醫師週班表!$C$5:$T$44,$CU13,AH$57),""),3,1)="隔",IF(AH$58=0,LEFT(IFERROR(INDEX(醫師週班表!$C$5:$T$44,$CU13,AH$57),""),1),""),IF(MID(IFERROR(INDEX(醫師週班表!$C$5:$T$44,$CU13,AH$57),""),2,1)="(",LEFT(IFERROR(INDEX(醫師週班表!$C$5:$T$44,$CU13,AH$57),""),1),IFERROR(INDEX(醫師週班表!$C$5:$T$44,$CU13,AH$57),"")))))))</f>
        <v/>
      </c>
      <c r="AI13" s="67">
        <f>IF(AI$59="X","",IF(AI$59&lt;&gt;"",AI$59,IF(IFERROR(INDEX(醫師週班表!$C$5:$T$44,$CU13,AI$57),"")=0,"",IF(MID(IFERROR(INDEX(醫師週班表!$C$5:$T$44,$CU13,AI$57),""),2,1)="/",MID(IFERROR(INDEX(醫師週班表!$C$5:$T$44,$CU13,AI$57),""),1+AI$58*2,1),IF(MID(IFERROR(INDEX(醫師週班表!$C$5:$T$44,$CU13,AI$57),""),3,1)="隔",IF(AI$58=0,LEFT(IFERROR(INDEX(醫師週班表!$C$5:$T$44,$CU13,AI$57),""),1),""),IF(MID(IFERROR(INDEX(醫師週班表!$C$5:$T$44,$CU13,AI$57),""),2,1)="(",LEFT(IFERROR(INDEX(醫師週班表!$C$5:$T$44,$CU13,AI$57),""),1),IFERROR(INDEX(醫師週班表!$C$5:$T$44,$CU13,AI$57),"")))))))</f>
        <v/>
      </c>
      <c r="AJ13" s="68">
        <f>IF(AJ$59="X","",IF(AJ$59&lt;&gt;"",AJ$59,IF(IFERROR(INDEX(醫師週班表!$C$5:$T$44,$CU13,AJ$57),"")=0,"",IF(MID(IFERROR(INDEX(醫師週班表!$C$5:$T$44,$CU13,AJ$57),""),2,1)="/",MID(IFERROR(INDEX(醫師週班表!$C$5:$T$44,$CU13,AJ$57),""),1+AJ$58*2,1),IF(MID(IFERROR(INDEX(醫師週班表!$C$5:$T$44,$CU13,AJ$57),""),3,1)="隔",IF(AJ$58=0,LEFT(IFERROR(INDEX(醫師週班表!$C$5:$T$44,$CU13,AJ$57),""),1),""),IF(MID(IFERROR(INDEX(醫師週班表!$C$5:$T$44,$CU13,AJ$57),""),2,1)="(",LEFT(IFERROR(INDEX(醫師週班表!$C$5:$T$44,$CU13,AJ$57),""),1),IFERROR(INDEX(醫師週班表!$C$5:$T$44,$CU13,AJ$57),"")))))))</f>
        <v/>
      </c>
      <c r="AK13" s="68">
        <f>IF(AK$59="X","",IF(AK$59&lt;&gt;"",AK$59,IF(IFERROR(INDEX(醫師週班表!$C$5:$T$44,$CU13,AK$57),"")=0,"",IF(MID(IFERROR(INDEX(醫師週班表!$C$5:$T$44,$CU13,AK$57),""),2,1)="/",MID(IFERROR(INDEX(醫師週班表!$C$5:$T$44,$CU13,AK$57),""),1+AK$58*2,1),IF(MID(IFERROR(INDEX(醫師週班表!$C$5:$T$44,$CU13,AK$57),""),3,1)="隔",IF(AK$58=0,LEFT(IFERROR(INDEX(醫師週班表!$C$5:$T$44,$CU13,AK$57),""),1),""),IF(MID(IFERROR(INDEX(醫師週班表!$C$5:$T$44,$CU13,AK$57),""),2,1)="(",LEFT(IFERROR(INDEX(醫師週班表!$C$5:$T$44,$CU13,AK$57),""),1),IFERROR(INDEX(醫師週班表!$C$5:$T$44,$CU13,AK$57),"")))))))</f>
        <v/>
      </c>
      <c r="AL13" s="67">
        <f>IF(AL$59="X","",IF(AL$59&lt;&gt;"",AL$59,IF(IFERROR(INDEX(醫師週班表!$C$5:$T$44,$CU13,AL$57),"")=0,"",IF(MID(IFERROR(INDEX(醫師週班表!$C$5:$T$44,$CU13,AL$57),""),2,1)="/",MID(IFERROR(INDEX(醫師週班表!$C$5:$T$44,$CU13,AL$57),""),1+AL$58*2,1),IF(MID(IFERROR(INDEX(醫師週班表!$C$5:$T$44,$CU13,AL$57),""),3,1)="隔",IF(AL$58=0,LEFT(IFERROR(INDEX(醫師週班表!$C$5:$T$44,$CU13,AL$57),""),1),""),IF(MID(IFERROR(INDEX(醫師週班表!$C$5:$T$44,$CU13,AL$57),""),2,1)="(",LEFT(IFERROR(INDEX(醫師週班表!$C$5:$T$44,$CU13,AL$57),""),1),IFERROR(INDEX(醫師週班表!$C$5:$T$44,$CU13,AL$57),"")))))))</f>
        <v/>
      </c>
      <c r="AM13" s="68">
        <f>IF(AM$59="X","",IF(AM$59&lt;&gt;"",AM$59,IF(IFERROR(INDEX(醫師週班表!$C$5:$T$44,$CU13,AM$57),"")=0,"",IF(MID(IFERROR(INDEX(醫師週班表!$C$5:$T$44,$CU13,AM$57),""),2,1)="/",MID(IFERROR(INDEX(醫師週班表!$C$5:$T$44,$CU13,AM$57),""),1+AM$58*2,1),IF(MID(IFERROR(INDEX(醫師週班表!$C$5:$T$44,$CU13,AM$57),""),3,1)="隔",IF(AM$58=0,LEFT(IFERROR(INDEX(醫師週班表!$C$5:$T$44,$CU13,AM$57),""),1),""),IF(MID(IFERROR(INDEX(醫師週班表!$C$5:$T$44,$CU13,AM$57),""),2,1)="(",LEFT(IFERROR(INDEX(醫師週班表!$C$5:$T$44,$CU13,AM$57),""),1),IFERROR(INDEX(醫師週班表!$C$5:$T$44,$CU13,AM$57),"")))))))</f>
        <v/>
      </c>
      <c r="AN13" s="68">
        <f>IF(AN$59="X","",IF(AN$59&lt;&gt;"",AN$59,IF(IFERROR(INDEX(醫師週班表!$C$5:$T$44,$CU13,AN$57),"")=0,"",IF(MID(IFERROR(INDEX(醫師週班表!$C$5:$T$44,$CU13,AN$57),""),2,1)="/",MID(IFERROR(INDEX(醫師週班表!$C$5:$T$44,$CU13,AN$57),""),1+AN$58*2,1),IF(MID(IFERROR(INDEX(醫師週班表!$C$5:$T$44,$CU13,AN$57),""),3,1)="隔",IF(AN$58=0,LEFT(IFERROR(INDEX(醫師週班表!$C$5:$T$44,$CU13,AN$57),""),1),""),IF(MID(IFERROR(INDEX(醫師週班表!$C$5:$T$44,$CU13,AN$57),""),2,1)="(",LEFT(IFERROR(INDEX(醫師週班表!$C$5:$T$44,$CU13,AN$57),""),1),IFERROR(INDEX(醫師週班表!$C$5:$T$44,$CU13,AN$57),"")))))))</f>
        <v/>
      </c>
      <c r="AO13" s="67">
        <f>IF(AO$59="X","",IF(AO$59&lt;&gt;"",AO$59,IF(IFERROR(INDEX(醫師週班表!$C$5:$T$44,$CU13,AO$57),"")=0,"",IF(MID(IFERROR(INDEX(醫師週班表!$C$5:$T$44,$CU13,AO$57),""),2,1)="/",MID(IFERROR(INDEX(醫師週班表!$C$5:$T$44,$CU13,AO$57),""),1+AO$58*2,1),IF(MID(IFERROR(INDEX(醫師週班表!$C$5:$T$44,$CU13,AO$57),""),3,1)="隔",IF(AO$58=0,LEFT(IFERROR(INDEX(醫師週班表!$C$5:$T$44,$CU13,AO$57),""),1),""),IF(MID(IFERROR(INDEX(醫師週班表!$C$5:$T$44,$CU13,AO$57),""),2,1)="(",LEFT(IFERROR(INDEX(醫師週班表!$C$5:$T$44,$CU13,AO$57),""),1),IFERROR(INDEX(醫師週班表!$C$5:$T$44,$CU13,AO$57),"")))))))</f>
        <v/>
      </c>
      <c r="AP13" s="68">
        <f>IF(AP$59="X","",IF(AP$59&lt;&gt;"",AP$59,IF(IFERROR(INDEX(醫師週班表!$C$5:$T$44,$CU13,AP$57),"")=0,"",IF(MID(IFERROR(INDEX(醫師週班表!$C$5:$T$44,$CU13,AP$57),""),2,1)="/",MID(IFERROR(INDEX(醫師週班表!$C$5:$T$44,$CU13,AP$57),""),1+AP$58*2,1),IF(MID(IFERROR(INDEX(醫師週班表!$C$5:$T$44,$CU13,AP$57),""),3,1)="隔",IF(AP$58=0,LEFT(IFERROR(INDEX(醫師週班表!$C$5:$T$44,$CU13,AP$57),""),1),""),IF(MID(IFERROR(INDEX(醫師週班表!$C$5:$T$44,$CU13,AP$57),""),2,1)="(",LEFT(IFERROR(INDEX(醫師週班表!$C$5:$T$44,$CU13,AP$57),""),1),IFERROR(INDEX(醫師週班表!$C$5:$T$44,$CU13,AP$57),"")))))))</f>
        <v/>
      </c>
      <c r="AQ13" s="68">
        <f>IF(AQ$59="X","",IF(AQ$59&lt;&gt;"",AQ$59,IF(IFERROR(INDEX(醫師週班表!$C$5:$T$44,$CU13,AQ$57),"")=0,"",IF(MID(IFERROR(INDEX(醫師週班表!$C$5:$T$44,$CU13,AQ$57),""),2,1)="/",MID(IFERROR(INDEX(醫師週班表!$C$5:$T$44,$CU13,AQ$57),""),1+AQ$58*2,1),IF(MID(IFERROR(INDEX(醫師週班表!$C$5:$T$44,$CU13,AQ$57),""),3,1)="隔",IF(AQ$58=0,LEFT(IFERROR(INDEX(醫師週班表!$C$5:$T$44,$CU13,AQ$57),""),1),""),IF(MID(IFERROR(INDEX(醫師週班表!$C$5:$T$44,$CU13,AQ$57),""),2,1)="(",LEFT(IFERROR(INDEX(醫師週班表!$C$5:$T$44,$CU13,AQ$57),""),1),IFERROR(INDEX(醫師週班表!$C$5:$T$44,$CU13,AQ$57),"")))))))</f>
        <v/>
      </c>
      <c r="AR13" s="67">
        <f>IF(AR$59="X","",IF(AR$59&lt;&gt;"",AR$59,IF(IFERROR(INDEX(醫師週班表!$C$5:$T$44,$CU13,AR$57),"")=0,"",IF(MID(IFERROR(INDEX(醫師週班表!$C$5:$T$44,$CU13,AR$57),""),2,1)="/",MID(IFERROR(INDEX(醫師週班表!$C$5:$T$44,$CU13,AR$57),""),1+AR$58*2,1),IF(MID(IFERROR(INDEX(醫師週班表!$C$5:$T$44,$CU13,AR$57),""),3,1)="隔",IF(AR$58=0,LEFT(IFERROR(INDEX(醫師週班表!$C$5:$T$44,$CU13,AR$57),""),1),""),IF(MID(IFERROR(INDEX(醫師週班表!$C$5:$T$44,$CU13,AR$57),""),2,1)="(",LEFT(IFERROR(INDEX(醫師週班表!$C$5:$T$44,$CU13,AR$57),""),1),IFERROR(INDEX(醫師週班表!$C$5:$T$44,$CU13,AR$57),"")))))))</f>
        <v/>
      </c>
      <c r="AS13" s="68">
        <f>IF(AS$59="X","",IF(AS$59&lt;&gt;"",AS$59,IF(IFERROR(INDEX(醫師週班表!$C$5:$T$44,$CU13,AS$57),"")=0,"",IF(MID(IFERROR(INDEX(醫師週班表!$C$5:$T$44,$CU13,AS$57),""),2,1)="/",MID(IFERROR(INDEX(醫師週班表!$C$5:$T$44,$CU13,AS$57),""),1+AS$58*2,1),IF(MID(IFERROR(INDEX(醫師週班表!$C$5:$T$44,$CU13,AS$57),""),3,1)="隔",IF(AS$58=0,LEFT(IFERROR(INDEX(醫師週班表!$C$5:$T$44,$CU13,AS$57),""),1),""),IF(MID(IFERROR(INDEX(醫師週班表!$C$5:$T$44,$CU13,AS$57),""),2,1)="(",LEFT(IFERROR(INDEX(醫師週班表!$C$5:$T$44,$CU13,AS$57),""),1),IFERROR(INDEX(醫師週班表!$C$5:$T$44,$CU13,AS$57),"")))))))</f>
        <v/>
      </c>
      <c r="AT13" s="68">
        <f>IF(AT$59="X","",IF(AT$59&lt;&gt;"",AT$59,IF(IFERROR(INDEX(醫師週班表!$C$5:$T$44,$CU13,AT$57),"")=0,"",IF(MID(IFERROR(INDEX(醫師週班表!$C$5:$T$44,$CU13,AT$57),""),2,1)="/",MID(IFERROR(INDEX(醫師週班表!$C$5:$T$44,$CU13,AT$57),""),1+AT$58*2,1),IF(MID(IFERROR(INDEX(醫師週班表!$C$5:$T$44,$CU13,AT$57),""),3,1)="隔",IF(AT$58=0,LEFT(IFERROR(INDEX(醫師週班表!$C$5:$T$44,$CU13,AT$57),""),1),""),IF(MID(IFERROR(INDEX(醫師週班表!$C$5:$T$44,$CU13,AT$57),""),2,1)="(",LEFT(IFERROR(INDEX(醫師週班表!$C$5:$T$44,$CU13,AT$57),""),1),IFERROR(INDEX(醫師週班表!$C$5:$T$44,$CU13,AT$57),"")))))))</f>
        <v/>
      </c>
      <c r="AU13" s="67">
        <f>IF(AU$59="X","",IF(AU$59&lt;&gt;"",AU$59,IF(IFERROR(INDEX(醫師週班表!$C$5:$T$44,$CU13,AU$57),"")=0,"",IF(MID(IFERROR(INDEX(醫師週班表!$C$5:$T$44,$CU13,AU$57),""),2,1)="/",MID(IFERROR(INDEX(醫師週班表!$C$5:$T$44,$CU13,AU$57),""),1+AU$58*2,1),IF(MID(IFERROR(INDEX(醫師週班表!$C$5:$T$44,$CU13,AU$57),""),3,1)="隔",IF(AU$58=0,LEFT(IFERROR(INDEX(醫師週班表!$C$5:$T$44,$CU13,AU$57),""),1),""),IF(MID(IFERROR(INDEX(醫師週班表!$C$5:$T$44,$CU13,AU$57),""),2,1)="(",LEFT(IFERROR(INDEX(醫師週班表!$C$5:$T$44,$CU13,AU$57),""),1),IFERROR(INDEX(醫師週班表!$C$5:$T$44,$CU13,AU$57),"")))))))</f>
        <v/>
      </c>
      <c r="AV13" s="68">
        <f>IF(AV$59="X","",IF(AV$59&lt;&gt;"",AV$59,IF(IFERROR(INDEX(醫師週班表!$C$5:$T$44,$CU13,AV$57),"")=0,"",IF(MID(IFERROR(INDEX(醫師週班表!$C$5:$T$44,$CU13,AV$57),""),2,1)="/",MID(IFERROR(INDEX(醫師週班表!$C$5:$T$44,$CU13,AV$57),""),1+AV$58*2,1),IF(MID(IFERROR(INDEX(醫師週班表!$C$5:$T$44,$CU13,AV$57),""),3,1)="隔",IF(AV$58=0,LEFT(IFERROR(INDEX(醫師週班表!$C$5:$T$44,$CU13,AV$57),""),1),""),IF(MID(IFERROR(INDEX(醫師週班表!$C$5:$T$44,$CU13,AV$57),""),2,1)="(",LEFT(IFERROR(INDEX(醫師週班表!$C$5:$T$44,$CU13,AV$57),""),1),IFERROR(INDEX(醫師週班表!$C$5:$T$44,$CU13,AV$57),"")))))))</f>
        <v/>
      </c>
      <c r="AW13" s="68">
        <f>IF(AW$59="X","",IF(AW$59&lt;&gt;"",AW$59,IF(IFERROR(INDEX(醫師週班表!$C$5:$T$44,$CU13,AW$57),"")=0,"",IF(MID(IFERROR(INDEX(醫師週班表!$C$5:$T$44,$CU13,AW$57),""),2,1)="/",MID(IFERROR(INDEX(醫師週班表!$C$5:$T$44,$CU13,AW$57),""),1+AW$58*2,1),IF(MID(IFERROR(INDEX(醫師週班表!$C$5:$T$44,$CU13,AW$57),""),3,1)="隔",IF(AW$58=0,LEFT(IFERROR(INDEX(醫師週班表!$C$5:$T$44,$CU13,AW$57),""),1),""),IF(MID(IFERROR(INDEX(醫師週班表!$C$5:$T$44,$CU13,AW$57),""),2,1)="(",LEFT(IFERROR(INDEX(醫師週班表!$C$5:$T$44,$CU13,AW$57),""),1),IFERROR(INDEX(醫師週班表!$C$5:$T$44,$CU13,AW$57),"")))))))</f>
        <v/>
      </c>
      <c r="AX13" s="67">
        <f>IF(AX$59="X","",IF(AX$59&lt;&gt;"",AX$59,IF(IFERROR(INDEX(醫師週班表!$C$5:$T$44,$CU13,AX$57),"")=0,"",IF(MID(IFERROR(INDEX(醫師週班表!$C$5:$T$44,$CU13,AX$57),""),2,1)="/",MID(IFERROR(INDEX(醫師週班表!$C$5:$T$44,$CU13,AX$57),""),1+AX$58*2,1),IF(MID(IFERROR(INDEX(醫師週班表!$C$5:$T$44,$CU13,AX$57),""),3,1)="隔",IF(AX$58=0,LEFT(IFERROR(INDEX(醫師週班表!$C$5:$T$44,$CU13,AX$57),""),1),""),IF(MID(IFERROR(INDEX(醫師週班表!$C$5:$T$44,$CU13,AX$57),""),2,1)="(",LEFT(IFERROR(INDEX(醫師週班表!$C$5:$T$44,$CU13,AX$57),""),1),IFERROR(INDEX(醫師週班表!$C$5:$T$44,$CU13,AX$57),"")))))))</f>
        <v/>
      </c>
      <c r="AY13" s="68">
        <f>IF(AY$59="X","",IF(AY$59&lt;&gt;"",AY$59,IF(IFERROR(INDEX(醫師週班表!$C$5:$T$44,$CU13,AY$57),"")=0,"",IF(MID(IFERROR(INDEX(醫師週班表!$C$5:$T$44,$CU13,AY$57),""),2,1)="/",MID(IFERROR(INDEX(醫師週班表!$C$5:$T$44,$CU13,AY$57),""),1+AY$58*2,1),IF(MID(IFERROR(INDEX(醫師週班表!$C$5:$T$44,$CU13,AY$57),""),3,1)="隔",IF(AY$58=0,LEFT(IFERROR(INDEX(醫師週班表!$C$5:$T$44,$CU13,AY$57),""),1),""),IF(MID(IFERROR(INDEX(醫師週班表!$C$5:$T$44,$CU13,AY$57),""),2,1)="(",LEFT(IFERROR(INDEX(醫師週班表!$C$5:$T$44,$CU13,AY$57),""),1),IFERROR(INDEX(醫師週班表!$C$5:$T$44,$CU13,AY$57),"")))))))</f>
        <v/>
      </c>
      <c r="AZ13" s="68">
        <f>IF(AZ$59="X","",IF(AZ$59&lt;&gt;"",AZ$59,IF(IFERROR(INDEX(醫師週班表!$C$5:$T$44,$CU13,AZ$57),"")=0,"",IF(MID(IFERROR(INDEX(醫師週班表!$C$5:$T$44,$CU13,AZ$57),""),2,1)="/",MID(IFERROR(INDEX(醫師週班表!$C$5:$T$44,$CU13,AZ$57),""),1+AZ$58*2,1),IF(MID(IFERROR(INDEX(醫師週班表!$C$5:$T$44,$CU13,AZ$57),""),3,1)="隔",IF(AZ$58=0,LEFT(IFERROR(INDEX(醫師週班表!$C$5:$T$44,$CU13,AZ$57),""),1),""),IF(MID(IFERROR(INDEX(醫師週班表!$C$5:$T$44,$CU13,AZ$57),""),2,1)="(",LEFT(IFERROR(INDEX(醫師週班表!$C$5:$T$44,$CU13,AZ$57),""),1),IFERROR(INDEX(醫師週班表!$C$5:$T$44,$CU13,AZ$57),"")))))))</f>
        <v/>
      </c>
      <c r="BA13" s="67">
        <f>IF(BA$59="X","",IF(BA$59&lt;&gt;"",BA$59,IF(IFERROR(INDEX(醫師週班表!$C$5:$T$44,$CU13,BA$57),"")=0,"",IF(MID(IFERROR(INDEX(醫師週班表!$C$5:$T$44,$CU13,BA$57),""),2,1)="/",MID(IFERROR(INDEX(醫師週班表!$C$5:$T$44,$CU13,BA$57),""),1+BA$58*2,1),IF(MID(IFERROR(INDEX(醫師週班表!$C$5:$T$44,$CU13,BA$57),""),3,1)="隔",IF(BA$58=0,LEFT(IFERROR(INDEX(醫師週班表!$C$5:$T$44,$CU13,BA$57),""),1),""),IF(MID(IFERROR(INDEX(醫師週班表!$C$5:$T$44,$CU13,BA$57),""),2,1)="(",LEFT(IFERROR(INDEX(醫師週班表!$C$5:$T$44,$CU13,BA$57),""),1),IFERROR(INDEX(醫師週班表!$C$5:$T$44,$CU13,BA$57),"")))))))</f>
        <v/>
      </c>
      <c r="BB13" s="68">
        <f>IF(BB$59="X","",IF(BB$59&lt;&gt;"",BB$59,IF(IFERROR(INDEX(醫師週班表!$C$5:$T$44,$CU13,BB$57),"")=0,"",IF(MID(IFERROR(INDEX(醫師週班表!$C$5:$T$44,$CU13,BB$57),""),2,1)="/",MID(IFERROR(INDEX(醫師週班表!$C$5:$T$44,$CU13,BB$57),""),1+BB$58*2,1),IF(MID(IFERROR(INDEX(醫師週班表!$C$5:$T$44,$CU13,BB$57),""),3,1)="隔",IF(BB$58=0,LEFT(IFERROR(INDEX(醫師週班表!$C$5:$T$44,$CU13,BB$57),""),1),""),IF(MID(IFERROR(INDEX(醫師週班表!$C$5:$T$44,$CU13,BB$57),""),2,1)="(",LEFT(IFERROR(INDEX(醫師週班表!$C$5:$T$44,$CU13,BB$57),""),1),IFERROR(INDEX(醫師週班表!$C$5:$T$44,$CU13,BB$57),"")))))))</f>
        <v/>
      </c>
      <c r="BC13" s="68">
        <f>IF(BC$59="X","",IF(BC$59&lt;&gt;"",BC$59,IF(IFERROR(INDEX(醫師週班表!$C$5:$T$44,$CU13,BC$57),"")=0,"",IF(MID(IFERROR(INDEX(醫師週班表!$C$5:$T$44,$CU13,BC$57),""),2,1)="/",MID(IFERROR(INDEX(醫師週班表!$C$5:$T$44,$CU13,BC$57),""),1+BC$58*2,1),IF(MID(IFERROR(INDEX(醫師週班表!$C$5:$T$44,$CU13,BC$57),""),3,1)="隔",IF(BC$58=0,LEFT(IFERROR(INDEX(醫師週班表!$C$5:$T$44,$CU13,BC$57),""),1),""),IF(MID(IFERROR(INDEX(醫師週班表!$C$5:$T$44,$CU13,BC$57),""),2,1)="(",LEFT(IFERROR(INDEX(醫師週班表!$C$5:$T$44,$CU13,BC$57),""),1),IFERROR(INDEX(醫師週班表!$C$5:$T$44,$CU13,BC$57),"")))))))</f>
        <v/>
      </c>
      <c r="BD13" s="67">
        <f>IF(BD$59="X","",IF(BD$59&lt;&gt;"",BD$59,IF(IFERROR(INDEX(醫師週班表!$C$5:$T$44,$CU13,BD$57),"")=0,"",IF(MID(IFERROR(INDEX(醫師週班表!$C$5:$T$44,$CU13,BD$57),""),2,1)="/",MID(IFERROR(INDEX(醫師週班表!$C$5:$T$44,$CU13,BD$57),""),1+BD$58*2,1),IF(MID(IFERROR(INDEX(醫師週班表!$C$5:$T$44,$CU13,BD$57),""),3,1)="隔",IF(BD$58=0,LEFT(IFERROR(INDEX(醫師週班表!$C$5:$T$44,$CU13,BD$57),""),1),""),IF(MID(IFERROR(INDEX(醫師週班表!$C$5:$T$44,$CU13,BD$57),""),2,1)="(",LEFT(IFERROR(INDEX(醫師週班表!$C$5:$T$44,$CU13,BD$57),""),1),IFERROR(INDEX(醫師週班表!$C$5:$T$44,$CU13,BD$57),"")))))))</f>
        <v/>
      </c>
      <c r="BE13" s="68">
        <f>IF(BE$59="X","",IF(BE$59&lt;&gt;"",BE$59,IF(IFERROR(INDEX(醫師週班表!$C$5:$T$44,$CU13,BE$57),"")=0,"",IF(MID(IFERROR(INDEX(醫師週班表!$C$5:$T$44,$CU13,BE$57),""),2,1)="/",MID(IFERROR(INDEX(醫師週班表!$C$5:$T$44,$CU13,BE$57),""),1+BE$58*2,1),IF(MID(IFERROR(INDEX(醫師週班表!$C$5:$T$44,$CU13,BE$57),""),3,1)="隔",IF(BE$58=0,LEFT(IFERROR(INDEX(醫師週班表!$C$5:$T$44,$CU13,BE$57),""),1),""),IF(MID(IFERROR(INDEX(醫師週班表!$C$5:$T$44,$CU13,BE$57),""),2,1)="(",LEFT(IFERROR(INDEX(醫師週班表!$C$5:$T$44,$CU13,BE$57),""),1),IFERROR(INDEX(醫師週班表!$C$5:$T$44,$CU13,BE$57),"")))))))</f>
        <v/>
      </c>
      <c r="BF13" s="68">
        <f>IF(BF$59="X","",IF(BF$59&lt;&gt;"",BF$59,IF(IFERROR(INDEX(醫師週班表!$C$5:$T$44,$CU13,BF$57),"")=0,"",IF(MID(IFERROR(INDEX(醫師週班表!$C$5:$T$44,$CU13,BF$57),""),2,1)="/",MID(IFERROR(INDEX(醫師週班表!$C$5:$T$44,$CU13,BF$57),""),1+BF$58*2,1),IF(MID(IFERROR(INDEX(醫師週班表!$C$5:$T$44,$CU13,BF$57),""),3,1)="隔",IF(BF$58=0,LEFT(IFERROR(INDEX(醫師週班表!$C$5:$T$44,$CU13,BF$57),""),1),""),IF(MID(IFERROR(INDEX(醫師週班表!$C$5:$T$44,$CU13,BF$57),""),2,1)="(",LEFT(IFERROR(INDEX(醫師週班表!$C$5:$T$44,$CU13,BF$57),""),1),IFERROR(INDEX(醫師週班表!$C$5:$T$44,$CU13,BF$57),"")))))))</f>
        <v/>
      </c>
      <c r="BG13" s="67">
        <f>IF(BG$59="X","",IF(BG$59&lt;&gt;"",BG$59,IF(IFERROR(INDEX(醫師週班表!$C$5:$T$44,$CU13,BG$57),"")=0,"",IF(MID(IFERROR(INDEX(醫師週班表!$C$5:$T$44,$CU13,BG$57),""),2,1)="/",MID(IFERROR(INDEX(醫師週班表!$C$5:$T$44,$CU13,BG$57),""),1+BG$58*2,1),IF(MID(IFERROR(INDEX(醫師週班表!$C$5:$T$44,$CU13,BG$57),""),3,1)="隔",IF(BG$58=0,LEFT(IFERROR(INDEX(醫師週班表!$C$5:$T$44,$CU13,BG$57),""),1),""),IF(MID(IFERROR(INDEX(醫師週班表!$C$5:$T$44,$CU13,BG$57),""),2,1)="(",LEFT(IFERROR(INDEX(醫師週班表!$C$5:$T$44,$CU13,BG$57),""),1),IFERROR(INDEX(醫師週班表!$C$5:$T$44,$CU13,BG$57),"")))))))</f>
        <v/>
      </c>
      <c r="BH13" s="68">
        <f>IF(BH$59="X","",IF(BH$59&lt;&gt;"",BH$59,IF(IFERROR(INDEX(醫師週班表!$C$5:$T$44,$CU13,BH$57),"")=0,"",IF(MID(IFERROR(INDEX(醫師週班表!$C$5:$T$44,$CU13,BH$57),""),2,1)="/",MID(IFERROR(INDEX(醫師週班表!$C$5:$T$44,$CU13,BH$57),""),1+BH$58*2,1),IF(MID(IFERROR(INDEX(醫師週班表!$C$5:$T$44,$CU13,BH$57),""),3,1)="隔",IF(BH$58=0,LEFT(IFERROR(INDEX(醫師週班表!$C$5:$T$44,$CU13,BH$57),""),1),""),IF(MID(IFERROR(INDEX(醫師週班表!$C$5:$T$44,$CU13,BH$57),""),2,1)="(",LEFT(IFERROR(INDEX(醫師週班表!$C$5:$T$44,$CU13,BH$57),""),1),IFERROR(INDEX(醫師週班表!$C$5:$T$44,$CU13,BH$57),"")))))))</f>
        <v/>
      </c>
      <c r="BI13" s="68">
        <f>IF(BI$59="X","",IF(BI$59&lt;&gt;"",BI$59,IF(IFERROR(INDEX(醫師週班表!$C$5:$T$44,$CU13,BI$57),"")=0,"",IF(MID(IFERROR(INDEX(醫師週班表!$C$5:$T$44,$CU13,BI$57),""),2,1)="/",MID(IFERROR(INDEX(醫師週班表!$C$5:$T$44,$CU13,BI$57),""),1+BI$58*2,1),IF(MID(IFERROR(INDEX(醫師週班表!$C$5:$T$44,$CU13,BI$57),""),3,1)="隔",IF(BI$58=0,LEFT(IFERROR(INDEX(醫師週班表!$C$5:$T$44,$CU13,BI$57),""),1),""),IF(MID(IFERROR(INDEX(醫師週班表!$C$5:$T$44,$CU13,BI$57),""),2,1)="(",LEFT(IFERROR(INDEX(醫師週班表!$C$5:$T$44,$CU13,BI$57),""),1),IFERROR(INDEX(醫師週班表!$C$5:$T$44,$CU13,BI$57),"")))))))</f>
        <v/>
      </c>
      <c r="BJ13" s="67">
        <f>IF(BJ$59="X","",IF(BJ$59&lt;&gt;"",BJ$59,IF(IFERROR(INDEX(醫師週班表!$C$5:$T$44,$CU13,BJ$57),"")=0,"",IF(MID(IFERROR(INDEX(醫師週班表!$C$5:$T$44,$CU13,BJ$57),""),2,1)="/",MID(IFERROR(INDEX(醫師週班表!$C$5:$T$44,$CU13,BJ$57),""),1+BJ$58*2,1),IF(MID(IFERROR(INDEX(醫師週班表!$C$5:$T$44,$CU13,BJ$57),""),3,1)="隔",IF(BJ$58=0,LEFT(IFERROR(INDEX(醫師週班表!$C$5:$T$44,$CU13,BJ$57),""),1),""),IF(MID(IFERROR(INDEX(醫師週班表!$C$5:$T$44,$CU13,BJ$57),""),2,1)="(",LEFT(IFERROR(INDEX(醫師週班表!$C$5:$T$44,$CU13,BJ$57),""),1),IFERROR(INDEX(醫師週班表!$C$5:$T$44,$CU13,BJ$57),"")))))))</f>
        <v/>
      </c>
      <c r="BK13" s="68">
        <f>IF(BK$59="X","",IF(BK$59&lt;&gt;"",BK$59,IF(IFERROR(INDEX(醫師週班表!$C$5:$T$44,$CU13,BK$57),"")=0,"",IF(MID(IFERROR(INDEX(醫師週班表!$C$5:$T$44,$CU13,BK$57),""),2,1)="/",MID(IFERROR(INDEX(醫師週班表!$C$5:$T$44,$CU13,BK$57),""),1+BK$58*2,1),IF(MID(IFERROR(INDEX(醫師週班表!$C$5:$T$44,$CU13,BK$57),""),3,1)="隔",IF(BK$58=0,LEFT(IFERROR(INDEX(醫師週班表!$C$5:$T$44,$CU13,BK$57),""),1),""),IF(MID(IFERROR(INDEX(醫師週班表!$C$5:$T$44,$CU13,BK$57),""),2,1)="(",LEFT(IFERROR(INDEX(醫師週班表!$C$5:$T$44,$CU13,BK$57),""),1),IFERROR(INDEX(醫師週班表!$C$5:$T$44,$CU13,BK$57),"")))))))</f>
        <v/>
      </c>
      <c r="BL13" s="68">
        <f>IF(BL$59="X","",IF(BL$59&lt;&gt;"",BL$59,IF(IFERROR(INDEX(醫師週班表!$C$5:$T$44,$CU13,BL$57),"")=0,"",IF(MID(IFERROR(INDEX(醫師週班表!$C$5:$T$44,$CU13,BL$57),""),2,1)="/",MID(IFERROR(INDEX(醫師週班表!$C$5:$T$44,$CU13,BL$57),""),1+BL$58*2,1),IF(MID(IFERROR(INDEX(醫師週班表!$C$5:$T$44,$CU13,BL$57),""),3,1)="隔",IF(BL$58=0,LEFT(IFERROR(INDEX(醫師週班表!$C$5:$T$44,$CU13,BL$57),""),1),""),IF(MID(IFERROR(INDEX(醫師週班表!$C$5:$T$44,$CU13,BL$57),""),2,1)="(",LEFT(IFERROR(INDEX(醫師週班表!$C$5:$T$44,$CU13,BL$57),""),1),IFERROR(INDEX(醫師週班表!$C$5:$T$44,$CU13,BL$57),"")))))))</f>
        <v/>
      </c>
      <c r="BM13" s="67">
        <f>IF(BM$59="X","",IF(BM$59&lt;&gt;"",BM$59,IF(IFERROR(INDEX(醫師週班表!$C$5:$T$44,$CU13,BM$57),"")=0,"",IF(MID(IFERROR(INDEX(醫師週班表!$C$5:$T$44,$CU13,BM$57),""),2,1)="/",MID(IFERROR(INDEX(醫師週班表!$C$5:$T$44,$CU13,BM$57),""),1+BM$58*2,1),IF(MID(IFERROR(INDEX(醫師週班表!$C$5:$T$44,$CU13,BM$57),""),3,1)="隔",IF(BM$58=0,LEFT(IFERROR(INDEX(醫師週班表!$C$5:$T$44,$CU13,BM$57),""),1),""),IF(MID(IFERROR(INDEX(醫師週班表!$C$5:$T$44,$CU13,BM$57),""),2,1)="(",LEFT(IFERROR(INDEX(醫師週班表!$C$5:$T$44,$CU13,BM$57),""),1),IFERROR(INDEX(醫師週班表!$C$5:$T$44,$CU13,BM$57),"")))))))</f>
        <v/>
      </c>
      <c r="BN13" s="68">
        <f>IF(BN$59="X","",IF(BN$59&lt;&gt;"",BN$59,IF(IFERROR(INDEX(醫師週班表!$C$5:$T$44,$CU13,BN$57),"")=0,"",IF(MID(IFERROR(INDEX(醫師週班表!$C$5:$T$44,$CU13,BN$57),""),2,1)="/",MID(IFERROR(INDEX(醫師週班表!$C$5:$T$44,$CU13,BN$57),""),1+BN$58*2,1),IF(MID(IFERROR(INDEX(醫師週班表!$C$5:$T$44,$CU13,BN$57),""),3,1)="隔",IF(BN$58=0,LEFT(IFERROR(INDEX(醫師週班表!$C$5:$T$44,$CU13,BN$57),""),1),""),IF(MID(IFERROR(INDEX(醫師週班表!$C$5:$T$44,$CU13,BN$57),""),2,1)="(",LEFT(IFERROR(INDEX(醫師週班表!$C$5:$T$44,$CU13,BN$57),""),1),IFERROR(INDEX(醫師週班表!$C$5:$T$44,$CU13,BN$57),"")))))))</f>
        <v/>
      </c>
      <c r="BO13" s="68">
        <f>IF(BO$59="X","",IF(BO$59&lt;&gt;"",BO$59,IF(IFERROR(INDEX(醫師週班表!$C$5:$T$44,$CU13,BO$57),"")=0,"",IF(MID(IFERROR(INDEX(醫師週班表!$C$5:$T$44,$CU13,BO$57),""),2,1)="/",MID(IFERROR(INDEX(醫師週班表!$C$5:$T$44,$CU13,BO$57),""),1+BO$58*2,1),IF(MID(IFERROR(INDEX(醫師週班表!$C$5:$T$44,$CU13,BO$57),""),3,1)="隔",IF(BO$58=0,LEFT(IFERROR(INDEX(醫師週班表!$C$5:$T$44,$CU13,BO$57),""),1),""),IF(MID(IFERROR(INDEX(醫師週班表!$C$5:$T$44,$CU13,BO$57),""),2,1)="(",LEFT(IFERROR(INDEX(醫師週班表!$C$5:$T$44,$CU13,BO$57),""),1),IFERROR(INDEX(醫師週班表!$C$5:$T$44,$CU13,BO$57),"")))))))</f>
        <v/>
      </c>
      <c r="BP13" s="67">
        <f>IF(BP$59="X","",IF(BP$59&lt;&gt;"",BP$59,IF(IFERROR(INDEX(醫師週班表!$C$5:$T$44,$CU13,BP$57),"")=0,"",IF(MID(IFERROR(INDEX(醫師週班表!$C$5:$T$44,$CU13,BP$57),""),2,1)="/",MID(IFERROR(INDEX(醫師週班表!$C$5:$T$44,$CU13,BP$57),""),1+BP$58*2,1),IF(MID(IFERROR(INDEX(醫師週班表!$C$5:$T$44,$CU13,BP$57),""),3,1)="隔",IF(BP$58=0,LEFT(IFERROR(INDEX(醫師週班表!$C$5:$T$44,$CU13,BP$57),""),1),""),IF(MID(IFERROR(INDEX(醫師週班表!$C$5:$T$44,$CU13,BP$57),""),2,1)="(",LEFT(IFERROR(INDEX(醫師週班表!$C$5:$T$44,$CU13,BP$57),""),1),IFERROR(INDEX(醫師週班表!$C$5:$T$44,$CU13,BP$57),"")))))))</f>
        <v/>
      </c>
      <c r="BQ13" s="68">
        <f>IF(BQ$59="X","",IF(BQ$59&lt;&gt;"",BQ$59,IF(IFERROR(INDEX(醫師週班表!$C$5:$T$44,$CU13,BQ$57),"")=0,"",IF(MID(IFERROR(INDEX(醫師週班表!$C$5:$T$44,$CU13,BQ$57),""),2,1)="/",MID(IFERROR(INDEX(醫師週班表!$C$5:$T$44,$CU13,BQ$57),""),1+BQ$58*2,1),IF(MID(IFERROR(INDEX(醫師週班表!$C$5:$T$44,$CU13,BQ$57),""),3,1)="隔",IF(BQ$58=0,LEFT(IFERROR(INDEX(醫師週班表!$C$5:$T$44,$CU13,BQ$57),""),1),""),IF(MID(IFERROR(INDEX(醫師週班表!$C$5:$T$44,$CU13,BQ$57),""),2,1)="(",LEFT(IFERROR(INDEX(醫師週班表!$C$5:$T$44,$CU13,BQ$57),""),1),IFERROR(INDEX(醫師週班表!$C$5:$T$44,$CU13,BQ$57),"")))))))</f>
        <v/>
      </c>
      <c r="BR13" s="68">
        <f>IF(BR$59="X","",IF(BR$59&lt;&gt;"",BR$59,IF(IFERROR(INDEX(醫師週班表!$C$5:$T$44,$CU13,BR$57),"")=0,"",IF(MID(IFERROR(INDEX(醫師週班表!$C$5:$T$44,$CU13,BR$57),""),2,1)="/",MID(IFERROR(INDEX(醫師週班表!$C$5:$T$44,$CU13,BR$57),""),1+BR$58*2,1),IF(MID(IFERROR(INDEX(醫師週班表!$C$5:$T$44,$CU13,BR$57),""),3,1)="隔",IF(BR$58=0,LEFT(IFERROR(INDEX(醫師週班表!$C$5:$T$44,$CU13,BR$57),""),1),""),IF(MID(IFERROR(INDEX(醫師週班表!$C$5:$T$44,$CU13,BR$57),""),2,1)="(",LEFT(IFERROR(INDEX(醫師週班表!$C$5:$T$44,$CU13,BR$57),""),1),IFERROR(INDEX(醫師週班表!$C$5:$T$44,$CU13,BR$57),"")))))))</f>
        <v/>
      </c>
      <c r="BS13" s="67">
        <f>IF(BS$59="X","",IF(BS$59&lt;&gt;"",BS$59,IF(IFERROR(INDEX(醫師週班表!$C$5:$T$44,$CU13,BS$57),"")=0,"",IF(MID(IFERROR(INDEX(醫師週班表!$C$5:$T$44,$CU13,BS$57),""),2,1)="/",MID(IFERROR(INDEX(醫師週班表!$C$5:$T$44,$CU13,BS$57),""),1+BS$58*2,1),IF(MID(IFERROR(INDEX(醫師週班表!$C$5:$T$44,$CU13,BS$57),""),3,1)="隔",IF(BS$58=0,LEFT(IFERROR(INDEX(醫師週班表!$C$5:$T$44,$CU13,BS$57),""),1),""),IF(MID(IFERROR(INDEX(醫師週班表!$C$5:$T$44,$CU13,BS$57),""),2,1)="(",LEFT(IFERROR(INDEX(醫師週班表!$C$5:$T$44,$CU13,BS$57),""),1),IFERROR(INDEX(醫師週班表!$C$5:$T$44,$CU13,BS$57),"")))))))</f>
        <v/>
      </c>
      <c r="BT13" s="68">
        <f>IF(BT$59="X","",IF(BT$59&lt;&gt;"",BT$59,IF(IFERROR(INDEX(醫師週班表!$C$5:$T$44,$CU13,BT$57),"")=0,"",IF(MID(IFERROR(INDEX(醫師週班表!$C$5:$T$44,$CU13,BT$57),""),2,1)="/",MID(IFERROR(INDEX(醫師週班表!$C$5:$T$44,$CU13,BT$57),""),1+BT$58*2,1),IF(MID(IFERROR(INDEX(醫師週班表!$C$5:$T$44,$CU13,BT$57),""),3,1)="隔",IF(BT$58=0,LEFT(IFERROR(INDEX(醫師週班表!$C$5:$T$44,$CU13,BT$57),""),1),""),IF(MID(IFERROR(INDEX(醫師週班表!$C$5:$T$44,$CU13,BT$57),""),2,1)="(",LEFT(IFERROR(INDEX(醫師週班表!$C$5:$T$44,$CU13,BT$57),""),1),IFERROR(INDEX(醫師週班表!$C$5:$T$44,$CU13,BT$57),"")))))))</f>
        <v/>
      </c>
      <c r="BU13" s="68">
        <f>IF(BU$59="X","",IF(BU$59&lt;&gt;"",BU$59,IF(IFERROR(INDEX(醫師週班表!$C$5:$T$44,$CU13,BU$57),"")=0,"",IF(MID(IFERROR(INDEX(醫師週班表!$C$5:$T$44,$CU13,BU$57),""),2,1)="/",MID(IFERROR(INDEX(醫師週班表!$C$5:$T$44,$CU13,BU$57),""),1+BU$58*2,1),IF(MID(IFERROR(INDEX(醫師週班表!$C$5:$T$44,$CU13,BU$57),""),3,1)="隔",IF(BU$58=0,LEFT(IFERROR(INDEX(醫師週班表!$C$5:$T$44,$CU13,BU$57),""),1),""),IF(MID(IFERROR(INDEX(醫師週班表!$C$5:$T$44,$CU13,BU$57),""),2,1)="(",LEFT(IFERROR(INDEX(醫師週班表!$C$5:$T$44,$CU13,BU$57),""),1),IFERROR(INDEX(醫師週班表!$C$5:$T$44,$CU13,BU$57),"")))))))</f>
        <v/>
      </c>
      <c r="BV13" s="67">
        <f>IF(BV$59="X","",IF(BV$59&lt;&gt;"",BV$59,IF(IFERROR(INDEX(醫師週班表!$C$5:$T$44,$CU13,BV$57),"")=0,"",IF(MID(IFERROR(INDEX(醫師週班表!$C$5:$T$44,$CU13,BV$57),""),2,1)="/",MID(IFERROR(INDEX(醫師週班表!$C$5:$T$44,$CU13,BV$57),""),1+BV$58*2,1),IF(MID(IFERROR(INDEX(醫師週班表!$C$5:$T$44,$CU13,BV$57),""),3,1)="隔",IF(BV$58=0,LEFT(IFERROR(INDEX(醫師週班表!$C$5:$T$44,$CU13,BV$57),""),1),""),IF(MID(IFERROR(INDEX(醫師週班表!$C$5:$T$44,$CU13,BV$57),""),2,1)="(",LEFT(IFERROR(INDEX(醫師週班表!$C$5:$T$44,$CU13,BV$57),""),1),IFERROR(INDEX(醫師週班表!$C$5:$T$44,$CU13,BV$57),"")))))))</f>
        <v/>
      </c>
      <c r="BW13" s="68">
        <f>IF(BW$59="X","",IF(BW$59&lt;&gt;"",BW$59,IF(IFERROR(INDEX(醫師週班表!$C$5:$T$44,$CU13,BW$57),"")=0,"",IF(MID(IFERROR(INDEX(醫師週班表!$C$5:$T$44,$CU13,BW$57),""),2,1)="/",MID(IFERROR(INDEX(醫師週班表!$C$5:$T$44,$CU13,BW$57),""),1+BW$58*2,1),IF(MID(IFERROR(INDEX(醫師週班表!$C$5:$T$44,$CU13,BW$57),""),3,1)="隔",IF(BW$58=0,LEFT(IFERROR(INDEX(醫師週班表!$C$5:$T$44,$CU13,BW$57),""),1),""),IF(MID(IFERROR(INDEX(醫師週班表!$C$5:$T$44,$CU13,BW$57),""),2,1)="(",LEFT(IFERROR(INDEX(醫師週班表!$C$5:$T$44,$CU13,BW$57),""),1),IFERROR(INDEX(醫師週班表!$C$5:$T$44,$CU13,BW$57),"")))))))</f>
        <v/>
      </c>
      <c r="BX13" s="68">
        <f>IF(BX$59="X","",IF(BX$59&lt;&gt;"",BX$59,IF(IFERROR(INDEX(醫師週班表!$C$5:$T$44,$CU13,BX$57),"")=0,"",IF(MID(IFERROR(INDEX(醫師週班表!$C$5:$T$44,$CU13,BX$57),""),2,1)="/",MID(IFERROR(INDEX(醫師週班表!$C$5:$T$44,$CU13,BX$57),""),1+BX$58*2,1),IF(MID(IFERROR(INDEX(醫師週班表!$C$5:$T$44,$CU13,BX$57),""),3,1)="隔",IF(BX$58=0,LEFT(IFERROR(INDEX(醫師週班表!$C$5:$T$44,$CU13,BX$57),""),1),""),IF(MID(IFERROR(INDEX(醫師週班表!$C$5:$T$44,$CU13,BX$57),""),2,1)="(",LEFT(IFERROR(INDEX(醫師週班表!$C$5:$T$44,$CU13,BX$57),""),1),IFERROR(INDEX(醫師週班表!$C$5:$T$44,$CU13,BX$57),"")))))))</f>
        <v/>
      </c>
      <c r="BY13" s="67">
        <f>IF(BY$59="X","",IF(BY$59&lt;&gt;"",BY$59,IF(IFERROR(INDEX(醫師週班表!$C$5:$T$44,$CU13,BY$57),"")=0,"",IF(MID(IFERROR(INDEX(醫師週班表!$C$5:$T$44,$CU13,BY$57),""),2,1)="/",MID(IFERROR(INDEX(醫師週班表!$C$5:$T$44,$CU13,BY$57),""),1+BY$58*2,1),IF(MID(IFERROR(INDEX(醫師週班表!$C$5:$T$44,$CU13,BY$57),""),3,1)="隔",IF(BY$58=0,LEFT(IFERROR(INDEX(醫師週班表!$C$5:$T$44,$CU13,BY$57),""),1),""),IF(MID(IFERROR(INDEX(醫師週班表!$C$5:$T$44,$CU13,BY$57),""),2,1)="(",LEFT(IFERROR(INDEX(醫師週班表!$C$5:$T$44,$CU13,BY$57),""),1),IFERROR(INDEX(醫師週班表!$C$5:$T$44,$CU13,BY$57),"")))))))</f>
        <v/>
      </c>
      <c r="BZ13" s="68">
        <f>IF(BZ$59="X","",IF(BZ$59&lt;&gt;"",BZ$59,IF(IFERROR(INDEX(醫師週班表!$C$5:$T$44,$CU13,BZ$57),"")=0,"",IF(MID(IFERROR(INDEX(醫師週班表!$C$5:$T$44,$CU13,BZ$57),""),2,1)="/",MID(IFERROR(INDEX(醫師週班表!$C$5:$T$44,$CU13,BZ$57),""),1+BZ$58*2,1),IF(MID(IFERROR(INDEX(醫師週班表!$C$5:$T$44,$CU13,BZ$57),""),3,1)="隔",IF(BZ$58=0,LEFT(IFERROR(INDEX(醫師週班表!$C$5:$T$44,$CU13,BZ$57),""),1),""),IF(MID(IFERROR(INDEX(醫師週班表!$C$5:$T$44,$CU13,BZ$57),""),2,1)="(",LEFT(IFERROR(INDEX(醫師週班表!$C$5:$T$44,$CU13,BZ$57),""),1),IFERROR(INDEX(醫師週班表!$C$5:$T$44,$CU13,BZ$57),"")))))))</f>
        <v/>
      </c>
      <c r="CA13" s="68">
        <f>IF(CA$59="X","",IF(CA$59&lt;&gt;"",CA$59,IF(IFERROR(INDEX(醫師週班表!$C$5:$T$44,$CU13,CA$57),"")=0,"",IF(MID(IFERROR(INDEX(醫師週班表!$C$5:$T$44,$CU13,CA$57),""),2,1)="/",MID(IFERROR(INDEX(醫師週班表!$C$5:$T$44,$CU13,CA$57),""),1+CA$58*2,1),IF(MID(IFERROR(INDEX(醫師週班表!$C$5:$T$44,$CU13,CA$57),""),3,1)="隔",IF(CA$58=0,LEFT(IFERROR(INDEX(醫師週班表!$C$5:$T$44,$CU13,CA$57),""),1),""),IF(MID(IFERROR(INDEX(醫師週班表!$C$5:$T$44,$CU13,CA$57),""),2,1)="(",LEFT(IFERROR(INDEX(醫師週班表!$C$5:$T$44,$CU13,CA$57),""),1),IFERROR(INDEX(醫師週班表!$C$5:$T$44,$CU13,CA$57),"")))))))</f>
        <v/>
      </c>
      <c r="CB13" s="67">
        <f>IF(CB$59="X","",IF(CB$59&lt;&gt;"",CB$59,IF(IFERROR(INDEX(醫師週班表!$C$5:$T$44,$CU13,CB$57),"")=0,"",IF(MID(IFERROR(INDEX(醫師週班表!$C$5:$T$44,$CU13,CB$57),""),2,1)="/",MID(IFERROR(INDEX(醫師週班表!$C$5:$T$44,$CU13,CB$57),""),1+CB$58*2,1),IF(MID(IFERROR(INDEX(醫師週班表!$C$5:$T$44,$CU13,CB$57),""),3,1)="隔",IF(CB$58=0,LEFT(IFERROR(INDEX(醫師週班表!$C$5:$T$44,$CU13,CB$57),""),1),""),IF(MID(IFERROR(INDEX(醫師週班表!$C$5:$T$44,$CU13,CB$57),""),2,1)="(",LEFT(IFERROR(INDEX(醫師週班表!$C$5:$T$44,$CU13,CB$57),""),1),IFERROR(INDEX(醫師週班表!$C$5:$T$44,$CU13,CB$57),"")))))))</f>
        <v/>
      </c>
      <c r="CC13" s="68">
        <f>IF(CC$59="X","",IF(CC$59&lt;&gt;"",CC$59,IF(IFERROR(INDEX(醫師週班表!$C$5:$T$44,$CU13,CC$57),"")=0,"",IF(MID(IFERROR(INDEX(醫師週班表!$C$5:$T$44,$CU13,CC$57),""),2,1)="/",MID(IFERROR(INDEX(醫師週班表!$C$5:$T$44,$CU13,CC$57),""),1+CC$58*2,1),IF(MID(IFERROR(INDEX(醫師週班表!$C$5:$T$44,$CU13,CC$57),""),3,1)="隔",IF(CC$58=0,LEFT(IFERROR(INDEX(醫師週班表!$C$5:$T$44,$CU13,CC$57),""),1),""),IF(MID(IFERROR(INDEX(醫師週班表!$C$5:$T$44,$CU13,CC$57),""),2,1)="(",LEFT(IFERROR(INDEX(醫師週班表!$C$5:$T$44,$CU13,CC$57),""),1),IFERROR(INDEX(醫師週班表!$C$5:$T$44,$CU13,CC$57),"")))))))</f>
        <v/>
      </c>
      <c r="CD13" s="68">
        <f>IF(CD$59="X","",IF(CD$59&lt;&gt;"",CD$59,IF(IFERROR(INDEX(醫師週班表!$C$5:$T$44,$CU13,CD$57),"")=0,"",IF(MID(IFERROR(INDEX(醫師週班表!$C$5:$T$44,$CU13,CD$57),""),2,1)="/",MID(IFERROR(INDEX(醫師週班表!$C$5:$T$44,$CU13,CD$57),""),1+CD$58*2,1),IF(MID(IFERROR(INDEX(醫師週班表!$C$5:$T$44,$CU13,CD$57),""),3,1)="隔",IF(CD$58=0,LEFT(IFERROR(INDEX(醫師週班表!$C$5:$T$44,$CU13,CD$57),""),1),""),IF(MID(IFERROR(INDEX(醫師週班表!$C$5:$T$44,$CU13,CD$57),""),2,1)="(",LEFT(IFERROR(INDEX(醫師週班表!$C$5:$T$44,$CU13,CD$57),""),1),IFERROR(INDEX(醫師週班表!$C$5:$T$44,$CU13,CD$57),"")))))))</f>
        <v/>
      </c>
      <c r="CE13" s="67">
        <f>IF(CE$59="X","",IF(CE$59&lt;&gt;"",CE$59,IF(IFERROR(INDEX(醫師週班表!$C$5:$T$44,$CU13,CE$57),"")=0,"",IF(MID(IFERROR(INDEX(醫師週班表!$C$5:$T$44,$CU13,CE$57),""),2,1)="/",MID(IFERROR(INDEX(醫師週班表!$C$5:$T$44,$CU13,CE$57),""),1+CE$58*2,1),IF(MID(IFERROR(INDEX(醫師週班表!$C$5:$T$44,$CU13,CE$57),""),3,1)="隔",IF(CE$58=0,LEFT(IFERROR(INDEX(醫師週班表!$C$5:$T$44,$CU13,CE$57),""),1),""),IF(MID(IFERROR(INDEX(醫師週班表!$C$5:$T$44,$CU13,CE$57),""),2,1)="(",LEFT(IFERROR(INDEX(醫師週班表!$C$5:$T$44,$CU13,CE$57),""),1),IFERROR(INDEX(醫師週班表!$C$5:$T$44,$CU13,CE$57),"")))))))</f>
        <v/>
      </c>
      <c r="CF13" s="68">
        <f>IF(CF$59="X","",IF(CF$59&lt;&gt;"",CF$59,IF(IFERROR(INDEX(醫師週班表!$C$5:$T$44,$CU13,CF$57),"")=0,"",IF(MID(IFERROR(INDEX(醫師週班表!$C$5:$T$44,$CU13,CF$57),""),2,1)="/",MID(IFERROR(INDEX(醫師週班表!$C$5:$T$44,$CU13,CF$57),""),1+CF$58*2,1),IF(MID(IFERROR(INDEX(醫師週班表!$C$5:$T$44,$CU13,CF$57),""),3,1)="隔",IF(CF$58=0,LEFT(IFERROR(INDEX(醫師週班表!$C$5:$T$44,$CU13,CF$57),""),1),""),IF(MID(IFERROR(INDEX(醫師週班表!$C$5:$T$44,$CU13,CF$57),""),2,1)="(",LEFT(IFERROR(INDEX(醫師週班表!$C$5:$T$44,$CU13,CF$57),""),1),IFERROR(INDEX(醫師週班表!$C$5:$T$44,$CU13,CF$57),"")))))))</f>
        <v/>
      </c>
      <c r="CG13" s="68">
        <f>IF(CG$59="X","",IF(CG$59&lt;&gt;"",CG$59,IF(IFERROR(INDEX(醫師週班表!$C$5:$T$44,$CU13,CG$57),"")=0,"",IF(MID(IFERROR(INDEX(醫師週班表!$C$5:$T$44,$CU13,CG$57),""),2,1)="/",MID(IFERROR(INDEX(醫師週班表!$C$5:$T$44,$CU13,CG$57),""),1+CG$58*2,1),IF(MID(IFERROR(INDEX(醫師週班表!$C$5:$T$44,$CU13,CG$57),""),3,1)="隔",IF(CG$58=0,LEFT(IFERROR(INDEX(醫師週班表!$C$5:$T$44,$CU13,CG$57),""),1),""),IF(MID(IFERROR(INDEX(醫師週班表!$C$5:$T$44,$CU13,CG$57),""),2,1)="(",LEFT(IFERROR(INDEX(醫師週班表!$C$5:$T$44,$CU13,CG$57),""),1),IFERROR(INDEX(醫師週班表!$C$5:$T$44,$CU13,CG$57),"")))))))</f>
        <v/>
      </c>
      <c r="CH13" s="67">
        <f>IF(CH$59="X","",IF(CH$59&lt;&gt;"",CH$59,IF(IFERROR(INDEX(醫師週班表!$C$5:$T$44,$CU13,CH$57),"")=0,"",IF(MID(IFERROR(INDEX(醫師週班表!$C$5:$T$44,$CU13,CH$57),""),2,1)="/",MID(IFERROR(INDEX(醫師週班表!$C$5:$T$44,$CU13,CH$57),""),1+CH$58*2,1),IF(MID(IFERROR(INDEX(醫師週班表!$C$5:$T$44,$CU13,CH$57),""),3,1)="隔",IF(CH$58=0,LEFT(IFERROR(INDEX(醫師週班表!$C$5:$T$44,$CU13,CH$57),""),1),""),IF(MID(IFERROR(INDEX(醫師週班表!$C$5:$T$44,$CU13,CH$57),""),2,1)="(",LEFT(IFERROR(INDEX(醫師週班表!$C$5:$T$44,$CU13,CH$57),""),1),IFERROR(INDEX(醫師週班表!$C$5:$T$44,$CU13,CH$57),"")))))))</f>
        <v/>
      </c>
      <c r="CI13" s="68">
        <f>IF(CI$59="X","",IF(CI$59&lt;&gt;"",CI$59,IF(IFERROR(INDEX(醫師週班表!$C$5:$T$44,$CU13,CI$57),"")=0,"",IF(MID(IFERROR(INDEX(醫師週班表!$C$5:$T$44,$CU13,CI$57),""),2,1)="/",MID(IFERROR(INDEX(醫師週班表!$C$5:$T$44,$CU13,CI$57),""),1+CI$58*2,1),IF(MID(IFERROR(INDEX(醫師週班表!$C$5:$T$44,$CU13,CI$57),""),3,1)="隔",IF(CI$58=0,LEFT(IFERROR(INDEX(醫師週班表!$C$5:$T$44,$CU13,CI$57),""),1),""),IF(MID(IFERROR(INDEX(醫師週班表!$C$5:$T$44,$CU13,CI$57),""),2,1)="(",LEFT(IFERROR(INDEX(醫師週班表!$C$5:$T$44,$CU13,CI$57),""),1),IFERROR(INDEX(醫師週班表!$C$5:$T$44,$CU13,CI$57),"")))))))</f>
        <v/>
      </c>
      <c r="CJ13" s="68">
        <f>IF(CJ$59="X","",IF(CJ$59&lt;&gt;"",CJ$59,IF(IFERROR(INDEX(醫師週班表!$C$5:$T$44,$CU13,CJ$57),"")=0,"",IF(MID(IFERROR(INDEX(醫師週班表!$C$5:$T$44,$CU13,CJ$57),""),2,1)="/",MID(IFERROR(INDEX(醫師週班表!$C$5:$T$44,$CU13,CJ$57),""),1+CJ$58*2,1),IF(MID(IFERROR(INDEX(醫師週班表!$C$5:$T$44,$CU13,CJ$57),""),3,1)="隔",IF(CJ$58=0,LEFT(IFERROR(INDEX(醫師週班表!$C$5:$T$44,$CU13,CJ$57),""),1),""),IF(MID(IFERROR(INDEX(醫師週班表!$C$5:$T$44,$CU13,CJ$57),""),2,1)="(",LEFT(IFERROR(INDEX(醫師週班表!$C$5:$T$44,$CU13,CJ$57),""),1),IFERROR(INDEX(醫師週班表!$C$5:$T$44,$CU13,CJ$57),"")))))))</f>
        <v/>
      </c>
      <c r="CK13" s="67">
        <f>IF(CK$59="X","",IF(CK$59&lt;&gt;"",CK$59,IF(IFERROR(INDEX(醫師週班表!$C$5:$T$44,$CU13,CK$57),"")=0,"",IF(MID(IFERROR(INDEX(醫師週班表!$C$5:$T$44,$CU13,CK$57),""),2,1)="/",MID(IFERROR(INDEX(醫師週班表!$C$5:$T$44,$CU13,CK$57),""),1+CK$58*2,1),IF(MID(IFERROR(INDEX(醫師週班表!$C$5:$T$44,$CU13,CK$57),""),3,1)="隔",IF(CK$58=0,LEFT(IFERROR(INDEX(醫師週班表!$C$5:$T$44,$CU13,CK$57),""),1),""),IF(MID(IFERROR(INDEX(醫師週班表!$C$5:$T$44,$CU13,CK$57),""),2,1)="(",LEFT(IFERROR(INDEX(醫師週班表!$C$5:$T$44,$CU13,CK$57),""),1),IFERROR(INDEX(醫師週班表!$C$5:$T$44,$CU13,CK$57),"")))))))</f>
        <v/>
      </c>
      <c r="CL13" s="68">
        <f>IF(CL$59="X","",IF(CL$59&lt;&gt;"",CL$59,IF(IFERROR(INDEX(醫師週班表!$C$5:$T$44,$CU13,CL$57),"")=0,"",IF(MID(IFERROR(INDEX(醫師週班表!$C$5:$T$44,$CU13,CL$57),""),2,1)="/",MID(IFERROR(INDEX(醫師週班表!$C$5:$T$44,$CU13,CL$57),""),1+CL$58*2,1),IF(MID(IFERROR(INDEX(醫師週班表!$C$5:$T$44,$CU13,CL$57),""),3,1)="隔",IF(CL$58=0,LEFT(IFERROR(INDEX(醫師週班表!$C$5:$T$44,$CU13,CL$57),""),1),""),IF(MID(IFERROR(INDEX(醫師週班表!$C$5:$T$44,$CU13,CL$57),""),2,1)="(",LEFT(IFERROR(INDEX(醫師週班表!$C$5:$T$44,$CU13,CL$57),""),1),IFERROR(INDEX(醫師週班表!$C$5:$T$44,$CU13,CL$57),"")))))))</f>
        <v/>
      </c>
      <c r="CM13" s="68">
        <f>IF(CM$59="X","",IF(CM$59&lt;&gt;"",CM$59,IF(IFERROR(INDEX(醫師週班表!$C$5:$T$44,$CU13,CM$57),"")=0,"",IF(MID(IFERROR(INDEX(醫師週班表!$C$5:$T$44,$CU13,CM$57),""),2,1)="/",MID(IFERROR(INDEX(醫師週班表!$C$5:$T$44,$CU13,CM$57),""),1+CM$58*2,1),IF(MID(IFERROR(INDEX(醫師週班表!$C$5:$T$44,$CU13,CM$57),""),3,1)="隔",IF(CM$58=0,LEFT(IFERROR(INDEX(醫師週班表!$C$5:$T$44,$CU13,CM$57),""),1),""),IF(MID(IFERROR(INDEX(醫師週班表!$C$5:$T$44,$CU13,CM$57),""),2,1)="(",LEFT(IFERROR(INDEX(醫師週班表!$C$5:$T$44,$CU13,CM$57),""),1),IFERROR(INDEX(醫師週班表!$C$5:$T$44,$CU13,CM$57),"")))))))</f>
        <v/>
      </c>
      <c r="CN13" s="67">
        <f>IF(CN$59="X","",IF(CN$59&lt;&gt;"",CN$59,IF(IFERROR(INDEX(醫師週班表!$C$5:$T$44,$CU13,CN$57),"")=0,"",IF(MID(IFERROR(INDEX(醫師週班表!$C$5:$T$44,$CU13,CN$57),""),2,1)="/",MID(IFERROR(INDEX(醫師週班表!$C$5:$T$44,$CU13,CN$57),""),1+CN$58*2,1),IF(MID(IFERROR(INDEX(醫師週班表!$C$5:$T$44,$CU13,CN$57),""),3,1)="隔",IF(CN$58=0,LEFT(IFERROR(INDEX(醫師週班表!$C$5:$T$44,$CU13,CN$57),""),1),""),IF(MID(IFERROR(INDEX(醫師週班表!$C$5:$T$44,$CU13,CN$57),""),2,1)="(",LEFT(IFERROR(INDEX(醫師週班表!$C$5:$T$44,$CU13,CN$57),""),1),IFERROR(INDEX(醫師週班表!$C$5:$T$44,$CU13,CN$57),"")))))))</f>
        <v/>
      </c>
      <c r="CO13" s="68">
        <f>IF(CO$59="X","",IF(CO$59&lt;&gt;"",CO$59,IF(IFERROR(INDEX(醫師週班表!$C$5:$T$44,$CU13,CO$57),"")=0,"",IF(MID(IFERROR(INDEX(醫師週班表!$C$5:$T$44,$CU13,CO$57),""),2,1)="/",MID(IFERROR(INDEX(醫師週班表!$C$5:$T$44,$CU13,CO$57),""),1+CO$58*2,1),IF(MID(IFERROR(INDEX(醫師週班表!$C$5:$T$44,$CU13,CO$57),""),3,1)="隔",IF(CO$58=0,LEFT(IFERROR(INDEX(醫師週班表!$C$5:$T$44,$CU13,CO$57),""),1),""),IF(MID(IFERROR(INDEX(醫師週班表!$C$5:$T$44,$CU13,CO$57),""),2,1)="(",LEFT(IFERROR(INDEX(醫師週班表!$C$5:$T$44,$CU13,CO$57),""),1),IFERROR(INDEX(醫師週班表!$C$5:$T$44,$CU13,CO$57),"")))))))</f>
        <v/>
      </c>
      <c r="CP13" s="68">
        <f>IF(CP$59="X","",IF(CP$59&lt;&gt;"",CP$59,IF(IFERROR(INDEX(醫師週班表!$C$5:$T$44,$CU13,CP$57),"")=0,"",IF(MID(IFERROR(INDEX(醫師週班表!$C$5:$T$44,$CU13,CP$57),""),2,1)="/",MID(IFERROR(INDEX(醫師週班表!$C$5:$T$44,$CU13,CP$57),""),1+CP$58*2,1),IF(MID(IFERROR(INDEX(醫師週班表!$C$5:$T$44,$CU13,CP$57),""),3,1)="隔",IF(CP$58=0,LEFT(IFERROR(INDEX(醫師週班表!$C$5:$T$44,$CU13,CP$57),""),1),""),IF(MID(IFERROR(INDEX(醫師週班表!$C$5:$T$44,$CU13,CP$57),""),2,1)="(",LEFT(IFERROR(INDEX(醫師週班表!$C$5:$T$44,$CU13,CP$57),""),1),IFERROR(INDEX(醫師週班表!$C$5:$T$44,$CU13,CP$57),"")))))))</f>
        <v/>
      </c>
      <c r="CQ13" s="67">
        <f>IF(CQ$59="X","",IF(CQ$59&lt;&gt;"",CQ$59,IF(IFERROR(INDEX(醫師週班表!$C$5:$T$44,$CU13,CQ$57),"")=0,"",IF(MID(IFERROR(INDEX(醫師週班表!$C$5:$T$44,$CU13,CQ$57),""),2,1)="/",MID(IFERROR(INDEX(醫師週班表!$C$5:$T$44,$CU13,CQ$57),""),1+CQ$58*2,1),IF(MID(IFERROR(INDEX(醫師週班表!$C$5:$T$44,$CU13,CQ$57),""),3,1)="隔",IF(CQ$58=0,LEFT(IFERROR(INDEX(醫師週班表!$C$5:$T$44,$CU13,CQ$57),""),1),""),IF(MID(IFERROR(INDEX(醫師週班表!$C$5:$T$44,$CU13,CQ$57),""),2,1)="(",LEFT(IFERROR(INDEX(醫師週班表!$C$5:$T$44,$CU13,CQ$57),""),1),IFERROR(INDEX(醫師週班表!$C$5:$T$44,$CU13,CQ$57),"")))))))</f>
        <v/>
      </c>
      <c r="CR13" s="68">
        <f>IF(CR$59="X","",IF(CR$59&lt;&gt;"",CR$59,IF(IFERROR(INDEX(醫師週班表!$C$5:$T$44,$CU13,CR$57),"")=0,"",IF(MID(IFERROR(INDEX(醫師週班表!$C$5:$T$44,$CU13,CR$57),""),2,1)="/",MID(IFERROR(INDEX(醫師週班表!$C$5:$T$44,$CU13,CR$57),""),1+CR$58*2,1),IF(MID(IFERROR(INDEX(醫師週班表!$C$5:$T$44,$CU13,CR$57),""),3,1)="隔",IF(CR$58=0,LEFT(IFERROR(INDEX(醫師週班表!$C$5:$T$44,$CU13,CR$57),""),1),""),IF(MID(IFERROR(INDEX(醫師週班表!$C$5:$T$44,$CU13,CR$57),""),2,1)="(",LEFT(IFERROR(INDEX(醫師週班表!$C$5:$T$44,$CU13,CR$57),""),1),IFERROR(INDEX(醫師週班表!$C$5:$T$44,$CU13,CR$57),"")))))))</f>
        <v/>
      </c>
      <c r="CS13" s="68">
        <f>IF(CS$59="X","",IF(CS$59&lt;&gt;"",CS$59,IF(IFERROR(INDEX(醫師週班表!$C$5:$T$44,$CU13,CS$57),"")=0,"",IF(MID(IFERROR(INDEX(醫師週班表!$C$5:$T$44,$CU13,CS$57),""),2,1)="/",MID(IFERROR(INDEX(醫師週班表!$C$5:$T$44,$CU13,CS$57),""),1+CS$58*2,1),IF(MID(IFERROR(INDEX(醫師週班表!$C$5:$T$44,$CU13,CS$57),""),3,1)="隔",IF(CS$58=0,LEFT(IFERROR(INDEX(醫師週班表!$C$5:$T$44,$CU13,CS$57),""),1),""),IF(MID(IFERROR(INDEX(醫師週班表!$C$5:$T$44,$CU13,CS$57),""),2,1)="(",LEFT(IFERROR(INDEX(醫師週班表!$C$5:$T$44,$CU13,CS$57),""),1),IFERROR(INDEX(醫師週班表!$C$5:$T$44,$CU13,CS$57),"")))))))</f>
        <v/>
      </c>
      <c r="CU13" s="69">
        <f>IFERROR(MATCH($A13,醫師週班表!$A$5:$A$44,0),0)</f>
        <v/>
      </c>
    </row>
    <row r="14" ht="17" customHeight="1">
      <c r="A14" s="20" t="inlineStr">
        <is>
          <t>D009</t>
        </is>
      </c>
      <c r="B14" s="16" t="inlineStr">
        <is>
          <t>陳昺元</t>
        </is>
      </c>
      <c r="C14" s="66" t="inlineStr">
        <is>
          <t>美學植牙專科</t>
        </is>
      </c>
      <c r="D14" s="16" t="inlineStr">
        <is>
          <t>晶匯院長</t>
        </is>
      </c>
      <c r="E14" s="67">
        <f>IF(E$59="X","",IF(E$59&lt;&gt;"",E$59,IF(IFERROR(INDEX(醫師週班表!$C$5:$T$44,$CU14,E$57),"")=0,"",IF(MID(IFERROR(INDEX(醫師週班表!$C$5:$T$44,$CU14,E$57),""),2,1)="/",MID(IFERROR(INDEX(醫師週班表!$C$5:$T$44,$CU14,E$57),""),1+E$58*2,1),IF(MID(IFERROR(INDEX(醫師週班表!$C$5:$T$44,$CU14,E$57),""),3,1)="隔",IF(E$58=0,LEFT(IFERROR(INDEX(醫師週班表!$C$5:$T$44,$CU14,E$57),""),1),""),IF(MID(IFERROR(INDEX(醫師週班表!$C$5:$T$44,$CU14,E$57),""),2,1)="(",LEFT(IFERROR(INDEX(醫師週班表!$C$5:$T$44,$CU14,E$57),""),1),IFERROR(INDEX(醫師週班表!$C$5:$T$44,$CU14,E$57),"")))))))</f>
        <v/>
      </c>
      <c r="F14" s="68">
        <f>IF(F$59="X","",IF(F$59&lt;&gt;"",F$59,IF(IFERROR(INDEX(醫師週班表!$C$5:$T$44,$CU14,F$57),"")=0,"",IF(MID(IFERROR(INDEX(醫師週班表!$C$5:$T$44,$CU14,F$57),""),2,1)="/",MID(IFERROR(INDEX(醫師週班表!$C$5:$T$44,$CU14,F$57),""),1+F$58*2,1),IF(MID(IFERROR(INDEX(醫師週班表!$C$5:$T$44,$CU14,F$57),""),3,1)="隔",IF(F$58=0,LEFT(IFERROR(INDEX(醫師週班表!$C$5:$T$44,$CU14,F$57),""),1),""),IF(MID(IFERROR(INDEX(醫師週班表!$C$5:$T$44,$CU14,F$57),""),2,1)="(",LEFT(IFERROR(INDEX(醫師週班表!$C$5:$T$44,$CU14,F$57),""),1),IFERROR(INDEX(醫師週班表!$C$5:$T$44,$CU14,F$57),"")))))))</f>
        <v/>
      </c>
      <c r="G14" s="68">
        <f>IF(G$59="X","",IF(G$59&lt;&gt;"",G$59,IF(IFERROR(INDEX(醫師週班表!$C$5:$T$44,$CU14,G$57),"")=0,"",IF(MID(IFERROR(INDEX(醫師週班表!$C$5:$T$44,$CU14,G$57),""),2,1)="/",MID(IFERROR(INDEX(醫師週班表!$C$5:$T$44,$CU14,G$57),""),1+G$58*2,1),IF(MID(IFERROR(INDEX(醫師週班表!$C$5:$T$44,$CU14,G$57),""),3,1)="隔",IF(G$58=0,LEFT(IFERROR(INDEX(醫師週班表!$C$5:$T$44,$CU14,G$57),""),1),""),IF(MID(IFERROR(INDEX(醫師週班表!$C$5:$T$44,$CU14,G$57),""),2,1)="(",LEFT(IFERROR(INDEX(醫師週班表!$C$5:$T$44,$CU14,G$57),""),1),IFERROR(INDEX(醫師週班表!$C$5:$T$44,$CU14,G$57),"")))))))</f>
        <v/>
      </c>
      <c r="H14" s="67">
        <f>IF(H$59="X","",IF(H$59&lt;&gt;"",H$59,IF(IFERROR(INDEX(醫師週班表!$C$5:$T$44,$CU14,H$57),"")=0,"",IF(MID(IFERROR(INDEX(醫師週班表!$C$5:$T$44,$CU14,H$57),""),2,1)="/",MID(IFERROR(INDEX(醫師週班表!$C$5:$T$44,$CU14,H$57),""),1+H$58*2,1),IF(MID(IFERROR(INDEX(醫師週班表!$C$5:$T$44,$CU14,H$57),""),3,1)="隔",IF(H$58=0,LEFT(IFERROR(INDEX(醫師週班表!$C$5:$T$44,$CU14,H$57),""),1),""),IF(MID(IFERROR(INDEX(醫師週班表!$C$5:$T$44,$CU14,H$57),""),2,1)="(",LEFT(IFERROR(INDEX(醫師週班表!$C$5:$T$44,$CU14,H$57),""),1),IFERROR(INDEX(醫師週班表!$C$5:$T$44,$CU14,H$57),"")))))))</f>
        <v/>
      </c>
      <c r="I14" s="68">
        <f>IF(I$59="X","",IF(I$59&lt;&gt;"",I$59,IF(IFERROR(INDEX(醫師週班表!$C$5:$T$44,$CU14,I$57),"")=0,"",IF(MID(IFERROR(INDEX(醫師週班表!$C$5:$T$44,$CU14,I$57),""),2,1)="/",MID(IFERROR(INDEX(醫師週班表!$C$5:$T$44,$CU14,I$57),""),1+I$58*2,1),IF(MID(IFERROR(INDEX(醫師週班表!$C$5:$T$44,$CU14,I$57),""),3,1)="隔",IF(I$58=0,LEFT(IFERROR(INDEX(醫師週班表!$C$5:$T$44,$CU14,I$57),""),1),""),IF(MID(IFERROR(INDEX(醫師週班表!$C$5:$T$44,$CU14,I$57),""),2,1)="(",LEFT(IFERROR(INDEX(醫師週班表!$C$5:$T$44,$CU14,I$57),""),1),IFERROR(INDEX(醫師週班表!$C$5:$T$44,$CU14,I$57),"")))))))</f>
        <v/>
      </c>
      <c r="J14" s="68">
        <f>IF(J$59="X","",IF(J$59&lt;&gt;"",J$59,IF(IFERROR(INDEX(醫師週班表!$C$5:$T$44,$CU14,J$57),"")=0,"",IF(MID(IFERROR(INDEX(醫師週班表!$C$5:$T$44,$CU14,J$57),""),2,1)="/",MID(IFERROR(INDEX(醫師週班表!$C$5:$T$44,$CU14,J$57),""),1+J$58*2,1),IF(MID(IFERROR(INDEX(醫師週班表!$C$5:$T$44,$CU14,J$57),""),3,1)="隔",IF(J$58=0,LEFT(IFERROR(INDEX(醫師週班表!$C$5:$T$44,$CU14,J$57),""),1),""),IF(MID(IFERROR(INDEX(醫師週班表!$C$5:$T$44,$CU14,J$57),""),2,1)="(",LEFT(IFERROR(INDEX(醫師週班表!$C$5:$T$44,$CU14,J$57),""),1),IFERROR(INDEX(醫師週班表!$C$5:$T$44,$CU14,J$57),"")))))))</f>
        <v/>
      </c>
      <c r="K14" s="67">
        <f>IF(K$59="X","",IF(K$59&lt;&gt;"",K$59,IF(IFERROR(INDEX(醫師週班表!$C$5:$T$44,$CU14,K$57),"")=0,"",IF(MID(IFERROR(INDEX(醫師週班表!$C$5:$T$44,$CU14,K$57),""),2,1)="/",MID(IFERROR(INDEX(醫師週班表!$C$5:$T$44,$CU14,K$57),""),1+K$58*2,1),IF(MID(IFERROR(INDEX(醫師週班表!$C$5:$T$44,$CU14,K$57),""),3,1)="隔",IF(K$58=0,LEFT(IFERROR(INDEX(醫師週班表!$C$5:$T$44,$CU14,K$57),""),1),""),IF(MID(IFERROR(INDEX(醫師週班表!$C$5:$T$44,$CU14,K$57),""),2,1)="(",LEFT(IFERROR(INDEX(醫師週班表!$C$5:$T$44,$CU14,K$57),""),1),IFERROR(INDEX(醫師週班表!$C$5:$T$44,$CU14,K$57),"")))))))</f>
        <v/>
      </c>
      <c r="L14" s="68">
        <f>IF(L$59="X","",IF(L$59&lt;&gt;"",L$59,IF(IFERROR(INDEX(醫師週班表!$C$5:$T$44,$CU14,L$57),"")=0,"",IF(MID(IFERROR(INDEX(醫師週班表!$C$5:$T$44,$CU14,L$57),""),2,1)="/",MID(IFERROR(INDEX(醫師週班表!$C$5:$T$44,$CU14,L$57),""),1+L$58*2,1),IF(MID(IFERROR(INDEX(醫師週班表!$C$5:$T$44,$CU14,L$57),""),3,1)="隔",IF(L$58=0,LEFT(IFERROR(INDEX(醫師週班表!$C$5:$T$44,$CU14,L$57),""),1),""),IF(MID(IFERROR(INDEX(醫師週班表!$C$5:$T$44,$CU14,L$57),""),2,1)="(",LEFT(IFERROR(INDEX(醫師週班表!$C$5:$T$44,$CU14,L$57),""),1),IFERROR(INDEX(醫師週班表!$C$5:$T$44,$CU14,L$57),"")))))))</f>
        <v/>
      </c>
      <c r="M14" s="68">
        <f>IF(M$59="X","",IF(M$59&lt;&gt;"",M$59,IF(IFERROR(INDEX(醫師週班表!$C$5:$T$44,$CU14,M$57),"")=0,"",IF(MID(IFERROR(INDEX(醫師週班表!$C$5:$T$44,$CU14,M$57),""),2,1)="/",MID(IFERROR(INDEX(醫師週班表!$C$5:$T$44,$CU14,M$57),""),1+M$58*2,1),IF(MID(IFERROR(INDEX(醫師週班表!$C$5:$T$44,$CU14,M$57),""),3,1)="隔",IF(M$58=0,LEFT(IFERROR(INDEX(醫師週班表!$C$5:$T$44,$CU14,M$57),""),1),""),IF(MID(IFERROR(INDEX(醫師週班表!$C$5:$T$44,$CU14,M$57),""),2,1)="(",LEFT(IFERROR(INDEX(醫師週班表!$C$5:$T$44,$CU14,M$57),""),1),IFERROR(INDEX(醫師週班表!$C$5:$T$44,$CU14,M$57),"")))))))</f>
        <v/>
      </c>
      <c r="N14" s="67">
        <f>IF(N$59="X","",IF(N$59&lt;&gt;"",N$59,IF(IFERROR(INDEX(醫師週班表!$C$5:$T$44,$CU14,N$57),"")=0,"",IF(MID(IFERROR(INDEX(醫師週班表!$C$5:$T$44,$CU14,N$57),""),2,1)="/",MID(IFERROR(INDEX(醫師週班表!$C$5:$T$44,$CU14,N$57),""),1+N$58*2,1),IF(MID(IFERROR(INDEX(醫師週班表!$C$5:$T$44,$CU14,N$57),""),3,1)="隔",IF(N$58=0,LEFT(IFERROR(INDEX(醫師週班表!$C$5:$T$44,$CU14,N$57),""),1),""),IF(MID(IFERROR(INDEX(醫師週班表!$C$5:$T$44,$CU14,N$57),""),2,1)="(",LEFT(IFERROR(INDEX(醫師週班表!$C$5:$T$44,$CU14,N$57),""),1),IFERROR(INDEX(醫師週班表!$C$5:$T$44,$CU14,N$57),"")))))))</f>
        <v/>
      </c>
      <c r="O14" s="68">
        <f>IF(O$59="X","",IF(O$59&lt;&gt;"",O$59,IF(IFERROR(INDEX(醫師週班表!$C$5:$T$44,$CU14,O$57),"")=0,"",IF(MID(IFERROR(INDEX(醫師週班表!$C$5:$T$44,$CU14,O$57),""),2,1)="/",MID(IFERROR(INDEX(醫師週班表!$C$5:$T$44,$CU14,O$57),""),1+O$58*2,1),IF(MID(IFERROR(INDEX(醫師週班表!$C$5:$T$44,$CU14,O$57),""),3,1)="隔",IF(O$58=0,LEFT(IFERROR(INDEX(醫師週班表!$C$5:$T$44,$CU14,O$57),""),1),""),IF(MID(IFERROR(INDEX(醫師週班表!$C$5:$T$44,$CU14,O$57),""),2,1)="(",LEFT(IFERROR(INDEX(醫師週班表!$C$5:$T$44,$CU14,O$57),""),1),IFERROR(INDEX(醫師週班表!$C$5:$T$44,$CU14,O$57),"")))))))</f>
        <v/>
      </c>
      <c r="P14" s="68">
        <f>IF(P$59="X","",IF(P$59&lt;&gt;"",P$59,IF(IFERROR(INDEX(醫師週班表!$C$5:$T$44,$CU14,P$57),"")=0,"",IF(MID(IFERROR(INDEX(醫師週班表!$C$5:$T$44,$CU14,P$57),""),2,1)="/",MID(IFERROR(INDEX(醫師週班表!$C$5:$T$44,$CU14,P$57),""),1+P$58*2,1),IF(MID(IFERROR(INDEX(醫師週班表!$C$5:$T$44,$CU14,P$57),""),3,1)="隔",IF(P$58=0,LEFT(IFERROR(INDEX(醫師週班表!$C$5:$T$44,$CU14,P$57),""),1),""),IF(MID(IFERROR(INDEX(醫師週班表!$C$5:$T$44,$CU14,P$57),""),2,1)="(",LEFT(IFERROR(INDEX(醫師週班表!$C$5:$T$44,$CU14,P$57),""),1),IFERROR(INDEX(醫師週班表!$C$5:$T$44,$CU14,P$57),"")))))))</f>
        <v/>
      </c>
      <c r="Q14" s="67">
        <f>IF(Q$59="X","",IF(Q$59&lt;&gt;"",Q$59,IF(IFERROR(INDEX(醫師週班表!$C$5:$T$44,$CU14,Q$57),"")=0,"",IF(MID(IFERROR(INDEX(醫師週班表!$C$5:$T$44,$CU14,Q$57),""),2,1)="/",MID(IFERROR(INDEX(醫師週班表!$C$5:$T$44,$CU14,Q$57),""),1+Q$58*2,1),IF(MID(IFERROR(INDEX(醫師週班表!$C$5:$T$44,$CU14,Q$57),""),3,1)="隔",IF(Q$58=0,LEFT(IFERROR(INDEX(醫師週班表!$C$5:$T$44,$CU14,Q$57),""),1),""),IF(MID(IFERROR(INDEX(醫師週班表!$C$5:$T$44,$CU14,Q$57),""),2,1)="(",LEFT(IFERROR(INDEX(醫師週班表!$C$5:$T$44,$CU14,Q$57),""),1),IFERROR(INDEX(醫師週班表!$C$5:$T$44,$CU14,Q$57),"")))))))</f>
        <v/>
      </c>
      <c r="R14" s="68">
        <f>IF(R$59="X","",IF(R$59&lt;&gt;"",R$59,IF(IFERROR(INDEX(醫師週班表!$C$5:$T$44,$CU14,R$57),"")=0,"",IF(MID(IFERROR(INDEX(醫師週班表!$C$5:$T$44,$CU14,R$57),""),2,1)="/",MID(IFERROR(INDEX(醫師週班表!$C$5:$T$44,$CU14,R$57),""),1+R$58*2,1),IF(MID(IFERROR(INDEX(醫師週班表!$C$5:$T$44,$CU14,R$57),""),3,1)="隔",IF(R$58=0,LEFT(IFERROR(INDEX(醫師週班表!$C$5:$T$44,$CU14,R$57),""),1),""),IF(MID(IFERROR(INDEX(醫師週班表!$C$5:$T$44,$CU14,R$57),""),2,1)="(",LEFT(IFERROR(INDEX(醫師週班表!$C$5:$T$44,$CU14,R$57),""),1),IFERROR(INDEX(醫師週班表!$C$5:$T$44,$CU14,R$57),"")))))))</f>
        <v/>
      </c>
      <c r="S14" s="68">
        <f>IF(S$59="X","",IF(S$59&lt;&gt;"",S$59,IF(IFERROR(INDEX(醫師週班表!$C$5:$T$44,$CU14,S$57),"")=0,"",IF(MID(IFERROR(INDEX(醫師週班表!$C$5:$T$44,$CU14,S$57),""),2,1)="/",MID(IFERROR(INDEX(醫師週班表!$C$5:$T$44,$CU14,S$57),""),1+S$58*2,1),IF(MID(IFERROR(INDEX(醫師週班表!$C$5:$T$44,$CU14,S$57),""),3,1)="隔",IF(S$58=0,LEFT(IFERROR(INDEX(醫師週班表!$C$5:$T$44,$CU14,S$57),""),1),""),IF(MID(IFERROR(INDEX(醫師週班表!$C$5:$T$44,$CU14,S$57),""),2,1)="(",LEFT(IFERROR(INDEX(醫師週班表!$C$5:$T$44,$CU14,S$57),""),1),IFERROR(INDEX(醫師週班表!$C$5:$T$44,$CU14,S$57),"")))))))</f>
        <v/>
      </c>
      <c r="T14" s="67">
        <f>IF(T$59="X","",IF(T$59&lt;&gt;"",T$59,IF(IFERROR(INDEX(醫師週班表!$C$5:$T$44,$CU14,T$57),"")=0,"",IF(MID(IFERROR(INDEX(醫師週班表!$C$5:$T$44,$CU14,T$57),""),2,1)="/",MID(IFERROR(INDEX(醫師週班表!$C$5:$T$44,$CU14,T$57),""),1+T$58*2,1),IF(MID(IFERROR(INDEX(醫師週班表!$C$5:$T$44,$CU14,T$57),""),3,1)="隔",IF(T$58=0,LEFT(IFERROR(INDEX(醫師週班表!$C$5:$T$44,$CU14,T$57),""),1),""),IF(MID(IFERROR(INDEX(醫師週班表!$C$5:$T$44,$CU14,T$57),""),2,1)="(",LEFT(IFERROR(INDEX(醫師週班表!$C$5:$T$44,$CU14,T$57),""),1),IFERROR(INDEX(醫師週班表!$C$5:$T$44,$CU14,T$57),"")))))))</f>
        <v/>
      </c>
      <c r="U14" s="68">
        <f>IF(U$59="X","",IF(U$59&lt;&gt;"",U$59,IF(IFERROR(INDEX(醫師週班表!$C$5:$T$44,$CU14,U$57),"")=0,"",IF(MID(IFERROR(INDEX(醫師週班表!$C$5:$T$44,$CU14,U$57),""),2,1)="/",MID(IFERROR(INDEX(醫師週班表!$C$5:$T$44,$CU14,U$57),""),1+U$58*2,1),IF(MID(IFERROR(INDEX(醫師週班表!$C$5:$T$44,$CU14,U$57),""),3,1)="隔",IF(U$58=0,LEFT(IFERROR(INDEX(醫師週班表!$C$5:$T$44,$CU14,U$57),""),1),""),IF(MID(IFERROR(INDEX(醫師週班表!$C$5:$T$44,$CU14,U$57),""),2,1)="(",LEFT(IFERROR(INDEX(醫師週班表!$C$5:$T$44,$CU14,U$57),""),1),IFERROR(INDEX(醫師週班表!$C$5:$T$44,$CU14,U$57),"")))))))</f>
        <v/>
      </c>
      <c r="V14" s="68">
        <f>IF(V$59="X","",IF(V$59&lt;&gt;"",V$59,IF(IFERROR(INDEX(醫師週班表!$C$5:$T$44,$CU14,V$57),"")=0,"",IF(MID(IFERROR(INDEX(醫師週班表!$C$5:$T$44,$CU14,V$57),""),2,1)="/",MID(IFERROR(INDEX(醫師週班表!$C$5:$T$44,$CU14,V$57),""),1+V$58*2,1),IF(MID(IFERROR(INDEX(醫師週班表!$C$5:$T$44,$CU14,V$57),""),3,1)="隔",IF(V$58=0,LEFT(IFERROR(INDEX(醫師週班表!$C$5:$T$44,$CU14,V$57),""),1),""),IF(MID(IFERROR(INDEX(醫師週班表!$C$5:$T$44,$CU14,V$57),""),2,1)="(",LEFT(IFERROR(INDEX(醫師週班表!$C$5:$T$44,$CU14,V$57),""),1),IFERROR(INDEX(醫師週班表!$C$5:$T$44,$CU14,V$57),"")))))))</f>
        <v/>
      </c>
      <c r="W14" s="67">
        <f>IF(W$59="X","",IF(W$59&lt;&gt;"",W$59,IF(IFERROR(INDEX(醫師週班表!$C$5:$T$44,$CU14,W$57),"")=0,"",IF(MID(IFERROR(INDEX(醫師週班表!$C$5:$T$44,$CU14,W$57),""),2,1)="/",MID(IFERROR(INDEX(醫師週班表!$C$5:$T$44,$CU14,W$57),""),1+W$58*2,1),IF(MID(IFERROR(INDEX(醫師週班表!$C$5:$T$44,$CU14,W$57),""),3,1)="隔",IF(W$58=0,LEFT(IFERROR(INDEX(醫師週班表!$C$5:$T$44,$CU14,W$57),""),1),""),IF(MID(IFERROR(INDEX(醫師週班表!$C$5:$T$44,$CU14,W$57),""),2,1)="(",LEFT(IFERROR(INDEX(醫師週班表!$C$5:$T$44,$CU14,W$57),""),1),IFERROR(INDEX(醫師週班表!$C$5:$T$44,$CU14,W$57),"")))))))</f>
        <v/>
      </c>
      <c r="X14" s="68">
        <f>IF(X$59="X","",IF(X$59&lt;&gt;"",X$59,IF(IFERROR(INDEX(醫師週班表!$C$5:$T$44,$CU14,X$57),"")=0,"",IF(MID(IFERROR(INDEX(醫師週班表!$C$5:$T$44,$CU14,X$57),""),2,1)="/",MID(IFERROR(INDEX(醫師週班表!$C$5:$T$44,$CU14,X$57),""),1+X$58*2,1),IF(MID(IFERROR(INDEX(醫師週班表!$C$5:$T$44,$CU14,X$57),""),3,1)="隔",IF(X$58=0,LEFT(IFERROR(INDEX(醫師週班表!$C$5:$T$44,$CU14,X$57),""),1),""),IF(MID(IFERROR(INDEX(醫師週班表!$C$5:$T$44,$CU14,X$57),""),2,1)="(",LEFT(IFERROR(INDEX(醫師週班表!$C$5:$T$44,$CU14,X$57),""),1),IFERROR(INDEX(醫師週班表!$C$5:$T$44,$CU14,X$57),"")))))))</f>
        <v/>
      </c>
      <c r="Y14" s="68">
        <f>IF(Y$59="X","",IF(Y$59&lt;&gt;"",Y$59,IF(IFERROR(INDEX(醫師週班表!$C$5:$T$44,$CU14,Y$57),"")=0,"",IF(MID(IFERROR(INDEX(醫師週班表!$C$5:$T$44,$CU14,Y$57),""),2,1)="/",MID(IFERROR(INDEX(醫師週班表!$C$5:$T$44,$CU14,Y$57),""),1+Y$58*2,1),IF(MID(IFERROR(INDEX(醫師週班表!$C$5:$T$44,$CU14,Y$57),""),3,1)="隔",IF(Y$58=0,LEFT(IFERROR(INDEX(醫師週班表!$C$5:$T$44,$CU14,Y$57),""),1),""),IF(MID(IFERROR(INDEX(醫師週班表!$C$5:$T$44,$CU14,Y$57),""),2,1)="(",LEFT(IFERROR(INDEX(醫師週班表!$C$5:$T$44,$CU14,Y$57),""),1),IFERROR(INDEX(醫師週班表!$C$5:$T$44,$CU14,Y$57),"")))))))</f>
        <v/>
      </c>
      <c r="Z14" s="67">
        <f>IF(Z$59="X","",IF(Z$59&lt;&gt;"",Z$59,IF(IFERROR(INDEX(醫師週班表!$C$5:$T$44,$CU14,Z$57),"")=0,"",IF(MID(IFERROR(INDEX(醫師週班表!$C$5:$T$44,$CU14,Z$57),""),2,1)="/",MID(IFERROR(INDEX(醫師週班表!$C$5:$T$44,$CU14,Z$57),""),1+Z$58*2,1),IF(MID(IFERROR(INDEX(醫師週班表!$C$5:$T$44,$CU14,Z$57),""),3,1)="隔",IF(Z$58=0,LEFT(IFERROR(INDEX(醫師週班表!$C$5:$T$44,$CU14,Z$57),""),1),""),IF(MID(IFERROR(INDEX(醫師週班表!$C$5:$T$44,$CU14,Z$57),""),2,1)="(",LEFT(IFERROR(INDEX(醫師週班表!$C$5:$T$44,$CU14,Z$57),""),1),IFERROR(INDEX(醫師週班表!$C$5:$T$44,$CU14,Z$57),"")))))))</f>
        <v/>
      </c>
      <c r="AA14" s="68">
        <f>IF(AA$59="X","",IF(AA$59&lt;&gt;"",AA$59,IF(IFERROR(INDEX(醫師週班表!$C$5:$T$44,$CU14,AA$57),"")=0,"",IF(MID(IFERROR(INDEX(醫師週班表!$C$5:$T$44,$CU14,AA$57),""),2,1)="/",MID(IFERROR(INDEX(醫師週班表!$C$5:$T$44,$CU14,AA$57),""),1+AA$58*2,1),IF(MID(IFERROR(INDEX(醫師週班表!$C$5:$T$44,$CU14,AA$57),""),3,1)="隔",IF(AA$58=0,LEFT(IFERROR(INDEX(醫師週班表!$C$5:$T$44,$CU14,AA$57),""),1),""),IF(MID(IFERROR(INDEX(醫師週班表!$C$5:$T$44,$CU14,AA$57),""),2,1)="(",LEFT(IFERROR(INDEX(醫師週班表!$C$5:$T$44,$CU14,AA$57),""),1),IFERROR(INDEX(醫師週班表!$C$5:$T$44,$CU14,AA$57),"")))))))</f>
        <v/>
      </c>
      <c r="AB14" s="68">
        <f>IF(AB$59="X","",IF(AB$59&lt;&gt;"",AB$59,IF(IFERROR(INDEX(醫師週班表!$C$5:$T$44,$CU14,AB$57),"")=0,"",IF(MID(IFERROR(INDEX(醫師週班表!$C$5:$T$44,$CU14,AB$57),""),2,1)="/",MID(IFERROR(INDEX(醫師週班表!$C$5:$T$44,$CU14,AB$57),""),1+AB$58*2,1),IF(MID(IFERROR(INDEX(醫師週班表!$C$5:$T$44,$CU14,AB$57),""),3,1)="隔",IF(AB$58=0,LEFT(IFERROR(INDEX(醫師週班表!$C$5:$T$44,$CU14,AB$57),""),1),""),IF(MID(IFERROR(INDEX(醫師週班表!$C$5:$T$44,$CU14,AB$57),""),2,1)="(",LEFT(IFERROR(INDEX(醫師週班表!$C$5:$T$44,$CU14,AB$57),""),1),IFERROR(INDEX(醫師週班表!$C$5:$T$44,$CU14,AB$57),"")))))))</f>
        <v/>
      </c>
      <c r="AC14" s="67">
        <f>IF(AC$59="X","",IF(AC$59&lt;&gt;"",AC$59,IF(IFERROR(INDEX(醫師週班表!$C$5:$T$44,$CU14,AC$57),"")=0,"",IF(MID(IFERROR(INDEX(醫師週班表!$C$5:$T$44,$CU14,AC$57),""),2,1)="/",MID(IFERROR(INDEX(醫師週班表!$C$5:$T$44,$CU14,AC$57),""),1+AC$58*2,1),IF(MID(IFERROR(INDEX(醫師週班表!$C$5:$T$44,$CU14,AC$57),""),3,1)="隔",IF(AC$58=0,LEFT(IFERROR(INDEX(醫師週班表!$C$5:$T$44,$CU14,AC$57),""),1),""),IF(MID(IFERROR(INDEX(醫師週班表!$C$5:$T$44,$CU14,AC$57),""),2,1)="(",LEFT(IFERROR(INDEX(醫師週班表!$C$5:$T$44,$CU14,AC$57),""),1),IFERROR(INDEX(醫師週班表!$C$5:$T$44,$CU14,AC$57),"")))))))</f>
        <v/>
      </c>
      <c r="AD14" s="68">
        <f>IF(AD$59="X","",IF(AD$59&lt;&gt;"",AD$59,IF(IFERROR(INDEX(醫師週班表!$C$5:$T$44,$CU14,AD$57),"")=0,"",IF(MID(IFERROR(INDEX(醫師週班表!$C$5:$T$44,$CU14,AD$57),""),2,1)="/",MID(IFERROR(INDEX(醫師週班表!$C$5:$T$44,$CU14,AD$57),""),1+AD$58*2,1),IF(MID(IFERROR(INDEX(醫師週班表!$C$5:$T$44,$CU14,AD$57),""),3,1)="隔",IF(AD$58=0,LEFT(IFERROR(INDEX(醫師週班表!$C$5:$T$44,$CU14,AD$57),""),1),""),IF(MID(IFERROR(INDEX(醫師週班表!$C$5:$T$44,$CU14,AD$57),""),2,1)="(",LEFT(IFERROR(INDEX(醫師週班表!$C$5:$T$44,$CU14,AD$57),""),1),IFERROR(INDEX(醫師週班表!$C$5:$T$44,$CU14,AD$57),"")))))))</f>
        <v/>
      </c>
      <c r="AE14" s="68">
        <f>IF(AE$59="X","",IF(AE$59&lt;&gt;"",AE$59,IF(IFERROR(INDEX(醫師週班表!$C$5:$T$44,$CU14,AE$57),"")=0,"",IF(MID(IFERROR(INDEX(醫師週班表!$C$5:$T$44,$CU14,AE$57),""),2,1)="/",MID(IFERROR(INDEX(醫師週班表!$C$5:$T$44,$CU14,AE$57),""),1+AE$58*2,1),IF(MID(IFERROR(INDEX(醫師週班表!$C$5:$T$44,$CU14,AE$57),""),3,1)="隔",IF(AE$58=0,LEFT(IFERROR(INDEX(醫師週班表!$C$5:$T$44,$CU14,AE$57),""),1),""),IF(MID(IFERROR(INDEX(醫師週班表!$C$5:$T$44,$CU14,AE$57),""),2,1)="(",LEFT(IFERROR(INDEX(醫師週班表!$C$5:$T$44,$CU14,AE$57),""),1),IFERROR(INDEX(醫師週班表!$C$5:$T$44,$CU14,AE$57),"")))))))</f>
        <v/>
      </c>
      <c r="AF14" s="67">
        <f>IF(AF$59="X","",IF(AF$59&lt;&gt;"",AF$59,IF(IFERROR(INDEX(醫師週班表!$C$5:$T$44,$CU14,AF$57),"")=0,"",IF(MID(IFERROR(INDEX(醫師週班表!$C$5:$T$44,$CU14,AF$57),""),2,1)="/",MID(IFERROR(INDEX(醫師週班表!$C$5:$T$44,$CU14,AF$57),""),1+AF$58*2,1),IF(MID(IFERROR(INDEX(醫師週班表!$C$5:$T$44,$CU14,AF$57),""),3,1)="隔",IF(AF$58=0,LEFT(IFERROR(INDEX(醫師週班表!$C$5:$T$44,$CU14,AF$57),""),1),""),IF(MID(IFERROR(INDEX(醫師週班表!$C$5:$T$44,$CU14,AF$57),""),2,1)="(",LEFT(IFERROR(INDEX(醫師週班表!$C$5:$T$44,$CU14,AF$57),""),1),IFERROR(INDEX(醫師週班表!$C$5:$T$44,$CU14,AF$57),"")))))))</f>
        <v/>
      </c>
      <c r="AG14" s="68">
        <f>IF(AG$59="X","",IF(AG$59&lt;&gt;"",AG$59,IF(IFERROR(INDEX(醫師週班表!$C$5:$T$44,$CU14,AG$57),"")=0,"",IF(MID(IFERROR(INDEX(醫師週班表!$C$5:$T$44,$CU14,AG$57),""),2,1)="/",MID(IFERROR(INDEX(醫師週班表!$C$5:$T$44,$CU14,AG$57),""),1+AG$58*2,1),IF(MID(IFERROR(INDEX(醫師週班表!$C$5:$T$44,$CU14,AG$57),""),3,1)="隔",IF(AG$58=0,LEFT(IFERROR(INDEX(醫師週班表!$C$5:$T$44,$CU14,AG$57),""),1),""),IF(MID(IFERROR(INDEX(醫師週班表!$C$5:$T$44,$CU14,AG$57),""),2,1)="(",LEFT(IFERROR(INDEX(醫師週班表!$C$5:$T$44,$CU14,AG$57),""),1),IFERROR(INDEX(醫師週班表!$C$5:$T$44,$CU14,AG$57),"")))))))</f>
        <v/>
      </c>
      <c r="AH14" s="68">
        <f>IF(AH$59="X","",IF(AH$59&lt;&gt;"",AH$59,IF(IFERROR(INDEX(醫師週班表!$C$5:$T$44,$CU14,AH$57),"")=0,"",IF(MID(IFERROR(INDEX(醫師週班表!$C$5:$T$44,$CU14,AH$57),""),2,1)="/",MID(IFERROR(INDEX(醫師週班表!$C$5:$T$44,$CU14,AH$57),""),1+AH$58*2,1),IF(MID(IFERROR(INDEX(醫師週班表!$C$5:$T$44,$CU14,AH$57),""),3,1)="隔",IF(AH$58=0,LEFT(IFERROR(INDEX(醫師週班表!$C$5:$T$44,$CU14,AH$57),""),1),""),IF(MID(IFERROR(INDEX(醫師週班表!$C$5:$T$44,$CU14,AH$57),""),2,1)="(",LEFT(IFERROR(INDEX(醫師週班表!$C$5:$T$44,$CU14,AH$57),""),1),IFERROR(INDEX(醫師週班表!$C$5:$T$44,$CU14,AH$57),"")))))))</f>
        <v/>
      </c>
      <c r="AI14" s="67">
        <f>IF(AI$59="X","",IF(AI$59&lt;&gt;"",AI$59,IF(IFERROR(INDEX(醫師週班表!$C$5:$T$44,$CU14,AI$57),"")=0,"",IF(MID(IFERROR(INDEX(醫師週班表!$C$5:$T$44,$CU14,AI$57),""),2,1)="/",MID(IFERROR(INDEX(醫師週班表!$C$5:$T$44,$CU14,AI$57),""),1+AI$58*2,1),IF(MID(IFERROR(INDEX(醫師週班表!$C$5:$T$44,$CU14,AI$57),""),3,1)="隔",IF(AI$58=0,LEFT(IFERROR(INDEX(醫師週班表!$C$5:$T$44,$CU14,AI$57),""),1),""),IF(MID(IFERROR(INDEX(醫師週班表!$C$5:$T$44,$CU14,AI$57),""),2,1)="(",LEFT(IFERROR(INDEX(醫師週班表!$C$5:$T$44,$CU14,AI$57),""),1),IFERROR(INDEX(醫師週班表!$C$5:$T$44,$CU14,AI$57),"")))))))</f>
        <v/>
      </c>
      <c r="AJ14" s="68">
        <f>IF(AJ$59="X","",IF(AJ$59&lt;&gt;"",AJ$59,IF(IFERROR(INDEX(醫師週班表!$C$5:$T$44,$CU14,AJ$57),"")=0,"",IF(MID(IFERROR(INDEX(醫師週班表!$C$5:$T$44,$CU14,AJ$57),""),2,1)="/",MID(IFERROR(INDEX(醫師週班表!$C$5:$T$44,$CU14,AJ$57),""),1+AJ$58*2,1),IF(MID(IFERROR(INDEX(醫師週班表!$C$5:$T$44,$CU14,AJ$57),""),3,1)="隔",IF(AJ$58=0,LEFT(IFERROR(INDEX(醫師週班表!$C$5:$T$44,$CU14,AJ$57),""),1),""),IF(MID(IFERROR(INDEX(醫師週班表!$C$5:$T$44,$CU14,AJ$57),""),2,1)="(",LEFT(IFERROR(INDEX(醫師週班表!$C$5:$T$44,$CU14,AJ$57),""),1),IFERROR(INDEX(醫師週班表!$C$5:$T$44,$CU14,AJ$57),"")))))))</f>
        <v/>
      </c>
      <c r="AK14" s="68">
        <f>IF(AK$59="X","",IF(AK$59&lt;&gt;"",AK$59,IF(IFERROR(INDEX(醫師週班表!$C$5:$T$44,$CU14,AK$57),"")=0,"",IF(MID(IFERROR(INDEX(醫師週班表!$C$5:$T$44,$CU14,AK$57),""),2,1)="/",MID(IFERROR(INDEX(醫師週班表!$C$5:$T$44,$CU14,AK$57),""),1+AK$58*2,1),IF(MID(IFERROR(INDEX(醫師週班表!$C$5:$T$44,$CU14,AK$57),""),3,1)="隔",IF(AK$58=0,LEFT(IFERROR(INDEX(醫師週班表!$C$5:$T$44,$CU14,AK$57),""),1),""),IF(MID(IFERROR(INDEX(醫師週班表!$C$5:$T$44,$CU14,AK$57),""),2,1)="(",LEFT(IFERROR(INDEX(醫師週班表!$C$5:$T$44,$CU14,AK$57),""),1),IFERROR(INDEX(醫師週班表!$C$5:$T$44,$CU14,AK$57),"")))))))</f>
        <v/>
      </c>
      <c r="AL14" s="67">
        <f>IF(AL$59="X","",IF(AL$59&lt;&gt;"",AL$59,IF(IFERROR(INDEX(醫師週班表!$C$5:$T$44,$CU14,AL$57),"")=0,"",IF(MID(IFERROR(INDEX(醫師週班表!$C$5:$T$44,$CU14,AL$57),""),2,1)="/",MID(IFERROR(INDEX(醫師週班表!$C$5:$T$44,$CU14,AL$57),""),1+AL$58*2,1),IF(MID(IFERROR(INDEX(醫師週班表!$C$5:$T$44,$CU14,AL$57),""),3,1)="隔",IF(AL$58=0,LEFT(IFERROR(INDEX(醫師週班表!$C$5:$T$44,$CU14,AL$57),""),1),""),IF(MID(IFERROR(INDEX(醫師週班表!$C$5:$T$44,$CU14,AL$57),""),2,1)="(",LEFT(IFERROR(INDEX(醫師週班表!$C$5:$T$44,$CU14,AL$57),""),1),IFERROR(INDEX(醫師週班表!$C$5:$T$44,$CU14,AL$57),"")))))))</f>
        <v/>
      </c>
      <c r="AM14" s="68">
        <f>IF(AM$59="X","",IF(AM$59&lt;&gt;"",AM$59,IF(IFERROR(INDEX(醫師週班表!$C$5:$T$44,$CU14,AM$57),"")=0,"",IF(MID(IFERROR(INDEX(醫師週班表!$C$5:$T$44,$CU14,AM$57),""),2,1)="/",MID(IFERROR(INDEX(醫師週班表!$C$5:$T$44,$CU14,AM$57),""),1+AM$58*2,1),IF(MID(IFERROR(INDEX(醫師週班表!$C$5:$T$44,$CU14,AM$57),""),3,1)="隔",IF(AM$58=0,LEFT(IFERROR(INDEX(醫師週班表!$C$5:$T$44,$CU14,AM$57),""),1),""),IF(MID(IFERROR(INDEX(醫師週班表!$C$5:$T$44,$CU14,AM$57),""),2,1)="(",LEFT(IFERROR(INDEX(醫師週班表!$C$5:$T$44,$CU14,AM$57),""),1),IFERROR(INDEX(醫師週班表!$C$5:$T$44,$CU14,AM$57),"")))))))</f>
        <v/>
      </c>
      <c r="AN14" s="68">
        <f>IF(AN$59="X","",IF(AN$59&lt;&gt;"",AN$59,IF(IFERROR(INDEX(醫師週班表!$C$5:$T$44,$CU14,AN$57),"")=0,"",IF(MID(IFERROR(INDEX(醫師週班表!$C$5:$T$44,$CU14,AN$57),""),2,1)="/",MID(IFERROR(INDEX(醫師週班表!$C$5:$T$44,$CU14,AN$57),""),1+AN$58*2,1),IF(MID(IFERROR(INDEX(醫師週班表!$C$5:$T$44,$CU14,AN$57),""),3,1)="隔",IF(AN$58=0,LEFT(IFERROR(INDEX(醫師週班表!$C$5:$T$44,$CU14,AN$57),""),1),""),IF(MID(IFERROR(INDEX(醫師週班表!$C$5:$T$44,$CU14,AN$57),""),2,1)="(",LEFT(IFERROR(INDEX(醫師週班表!$C$5:$T$44,$CU14,AN$57),""),1),IFERROR(INDEX(醫師週班表!$C$5:$T$44,$CU14,AN$57),"")))))))</f>
        <v/>
      </c>
      <c r="AO14" s="67">
        <f>IF(AO$59="X","",IF(AO$59&lt;&gt;"",AO$59,IF(IFERROR(INDEX(醫師週班表!$C$5:$T$44,$CU14,AO$57),"")=0,"",IF(MID(IFERROR(INDEX(醫師週班表!$C$5:$T$44,$CU14,AO$57),""),2,1)="/",MID(IFERROR(INDEX(醫師週班表!$C$5:$T$44,$CU14,AO$57),""),1+AO$58*2,1),IF(MID(IFERROR(INDEX(醫師週班表!$C$5:$T$44,$CU14,AO$57),""),3,1)="隔",IF(AO$58=0,LEFT(IFERROR(INDEX(醫師週班表!$C$5:$T$44,$CU14,AO$57),""),1),""),IF(MID(IFERROR(INDEX(醫師週班表!$C$5:$T$44,$CU14,AO$57),""),2,1)="(",LEFT(IFERROR(INDEX(醫師週班表!$C$5:$T$44,$CU14,AO$57),""),1),IFERROR(INDEX(醫師週班表!$C$5:$T$44,$CU14,AO$57),"")))))))</f>
        <v/>
      </c>
      <c r="AP14" s="68">
        <f>IF(AP$59="X","",IF(AP$59&lt;&gt;"",AP$59,IF(IFERROR(INDEX(醫師週班表!$C$5:$T$44,$CU14,AP$57),"")=0,"",IF(MID(IFERROR(INDEX(醫師週班表!$C$5:$T$44,$CU14,AP$57),""),2,1)="/",MID(IFERROR(INDEX(醫師週班表!$C$5:$T$44,$CU14,AP$57),""),1+AP$58*2,1),IF(MID(IFERROR(INDEX(醫師週班表!$C$5:$T$44,$CU14,AP$57),""),3,1)="隔",IF(AP$58=0,LEFT(IFERROR(INDEX(醫師週班表!$C$5:$T$44,$CU14,AP$57),""),1),""),IF(MID(IFERROR(INDEX(醫師週班表!$C$5:$T$44,$CU14,AP$57),""),2,1)="(",LEFT(IFERROR(INDEX(醫師週班表!$C$5:$T$44,$CU14,AP$57),""),1),IFERROR(INDEX(醫師週班表!$C$5:$T$44,$CU14,AP$57),"")))))))</f>
        <v/>
      </c>
      <c r="AQ14" s="68">
        <f>IF(AQ$59="X","",IF(AQ$59&lt;&gt;"",AQ$59,IF(IFERROR(INDEX(醫師週班表!$C$5:$T$44,$CU14,AQ$57),"")=0,"",IF(MID(IFERROR(INDEX(醫師週班表!$C$5:$T$44,$CU14,AQ$57),""),2,1)="/",MID(IFERROR(INDEX(醫師週班表!$C$5:$T$44,$CU14,AQ$57),""),1+AQ$58*2,1),IF(MID(IFERROR(INDEX(醫師週班表!$C$5:$T$44,$CU14,AQ$57),""),3,1)="隔",IF(AQ$58=0,LEFT(IFERROR(INDEX(醫師週班表!$C$5:$T$44,$CU14,AQ$57),""),1),""),IF(MID(IFERROR(INDEX(醫師週班表!$C$5:$T$44,$CU14,AQ$57),""),2,1)="(",LEFT(IFERROR(INDEX(醫師週班表!$C$5:$T$44,$CU14,AQ$57),""),1),IFERROR(INDEX(醫師週班表!$C$5:$T$44,$CU14,AQ$57),"")))))))</f>
        <v/>
      </c>
      <c r="AR14" s="67">
        <f>IF(AR$59="X","",IF(AR$59&lt;&gt;"",AR$59,IF(IFERROR(INDEX(醫師週班表!$C$5:$T$44,$CU14,AR$57),"")=0,"",IF(MID(IFERROR(INDEX(醫師週班表!$C$5:$T$44,$CU14,AR$57),""),2,1)="/",MID(IFERROR(INDEX(醫師週班表!$C$5:$T$44,$CU14,AR$57),""),1+AR$58*2,1),IF(MID(IFERROR(INDEX(醫師週班表!$C$5:$T$44,$CU14,AR$57),""),3,1)="隔",IF(AR$58=0,LEFT(IFERROR(INDEX(醫師週班表!$C$5:$T$44,$CU14,AR$57),""),1),""),IF(MID(IFERROR(INDEX(醫師週班表!$C$5:$T$44,$CU14,AR$57),""),2,1)="(",LEFT(IFERROR(INDEX(醫師週班表!$C$5:$T$44,$CU14,AR$57),""),1),IFERROR(INDEX(醫師週班表!$C$5:$T$44,$CU14,AR$57),"")))))))</f>
        <v/>
      </c>
      <c r="AS14" s="68">
        <f>IF(AS$59="X","",IF(AS$59&lt;&gt;"",AS$59,IF(IFERROR(INDEX(醫師週班表!$C$5:$T$44,$CU14,AS$57),"")=0,"",IF(MID(IFERROR(INDEX(醫師週班表!$C$5:$T$44,$CU14,AS$57),""),2,1)="/",MID(IFERROR(INDEX(醫師週班表!$C$5:$T$44,$CU14,AS$57),""),1+AS$58*2,1),IF(MID(IFERROR(INDEX(醫師週班表!$C$5:$T$44,$CU14,AS$57),""),3,1)="隔",IF(AS$58=0,LEFT(IFERROR(INDEX(醫師週班表!$C$5:$T$44,$CU14,AS$57),""),1),""),IF(MID(IFERROR(INDEX(醫師週班表!$C$5:$T$44,$CU14,AS$57),""),2,1)="(",LEFT(IFERROR(INDEX(醫師週班表!$C$5:$T$44,$CU14,AS$57),""),1),IFERROR(INDEX(醫師週班表!$C$5:$T$44,$CU14,AS$57),"")))))))</f>
        <v/>
      </c>
      <c r="AT14" s="68">
        <f>IF(AT$59="X","",IF(AT$59&lt;&gt;"",AT$59,IF(IFERROR(INDEX(醫師週班表!$C$5:$T$44,$CU14,AT$57),"")=0,"",IF(MID(IFERROR(INDEX(醫師週班表!$C$5:$T$44,$CU14,AT$57),""),2,1)="/",MID(IFERROR(INDEX(醫師週班表!$C$5:$T$44,$CU14,AT$57),""),1+AT$58*2,1),IF(MID(IFERROR(INDEX(醫師週班表!$C$5:$T$44,$CU14,AT$57),""),3,1)="隔",IF(AT$58=0,LEFT(IFERROR(INDEX(醫師週班表!$C$5:$T$44,$CU14,AT$57),""),1),""),IF(MID(IFERROR(INDEX(醫師週班表!$C$5:$T$44,$CU14,AT$57),""),2,1)="(",LEFT(IFERROR(INDEX(醫師週班表!$C$5:$T$44,$CU14,AT$57),""),1),IFERROR(INDEX(醫師週班表!$C$5:$T$44,$CU14,AT$57),"")))))))</f>
        <v/>
      </c>
      <c r="AU14" s="67">
        <f>IF(AU$59="X","",IF(AU$59&lt;&gt;"",AU$59,IF(IFERROR(INDEX(醫師週班表!$C$5:$T$44,$CU14,AU$57),"")=0,"",IF(MID(IFERROR(INDEX(醫師週班表!$C$5:$T$44,$CU14,AU$57),""),2,1)="/",MID(IFERROR(INDEX(醫師週班表!$C$5:$T$44,$CU14,AU$57),""),1+AU$58*2,1),IF(MID(IFERROR(INDEX(醫師週班表!$C$5:$T$44,$CU14,AU$57),""),3,1)="隔",IF(AU$58=0,LEFT(IFERROR(INDEX(醫師週班表!$C$5:$T$44,$CU14,AU$57),""),1),""),IF(MID(IFERROR(INDEX(醫師週班表!$C$5:$T$44,$CU14,AU$57),""),2,1)="(",LEFT(IFERROR(INDEX(醫師週班表!$C$5:$T$44,$CU14,AU$57),""),1),IFERROR(INDEX(醫師週班表!$C$5:$T$44,$CU14,AU$57),"")))))))</f>
        <v/>
      </c>
      <c r="AV14" s="68">
        <f>IF(AV$59="X","",IF(AV$59&lt;&gt;"",AV$59,IF(IFERROR(INDEX(醫師週班表!$C$5:$T$44,$CU14,AV$57),"")=0,"",IF(MID(IFERROR(INDEX(醫師週班表!$C$5:$T$44,$CU14,AV$57),""),2,1)="/",MID(IFERROR(INDEX(醫師週班表!$C$5:$T$44,$CU14,AV$57),""),1+AV$58*2,1),IF(MID(IFERROR(INDEX(醫師週班表!$C$5:$T$44,$CU14,AV$57),""),3,1)="隔",IF(AV$58=0,LEFT(IFERROR(INDEX(醫師週班表!$C$5:$T$44,$CU14,AV$57),""),1),""),IF(MID(IFERROR(INDEX(醫師週班表!$C$5:$T$44,$CU14,AV$57),""),2,1)="(",LEFT(IFERROR(INDEX(醫師週班表!$C$5:$T$44,$CU14,AV$57),""),1),IFERROR(INDEX(醫師週班表!$C$5:$T$44,$CU14,AV$57),"")))))))</f>
        <v/>
      </c>
      <c r="AW14" s="68">
        <f>IF(AW$59="X","",IF(AW$59&lt;&gt;"",AW$59,IF(IFERROR(INDEX(醫師週班表!$C$5:$T$44,$CU14,AW$57),"")=0,"",IF(MID(IFERROR(INDEX(醫師週班表!$C$5:$T$44,$CU14,AW$57),""),2,1)="/",MID(IFERROR(INDEX(醫師週班表!$C$5:$T$44,$CU14,AW$57),""),1+AW$58*2,1),IF(MID(IFERROR(INDEX(醫師週班表!$C$5:$T$44,$CU14,AW$57),""),3,1)="隔",IF(AW$58=0,LEFT(IFERROR(INDEX(醫師週班表!$C$5:$T$44,$CU14,AW$57),""),1),""),IF(MID(IFERROR(INDEX(醫師週班表!$C$5:$T$44,$CU14,AW$57),""),2,1)="(",LEFT(IFERROR(INDEX(醫師週班表!$C$5:$T$44,$CU14,AW$57),""),1),IFERROR(INDEX(醫師週班表!$C$5:$T$44,$CU14,AW$57),"")))))))</f>
        <v/>
      </c>
      <c r="AX14" s="67">
        <f>IF(AX$59="X","",IF(AX$59&lt;&gt;"",AX$59,IF(IFERROR(INDEX(醫師週班表!$C$5:$T$44,$CU14,AX$57),"")=0,"",IF(MID(IFERROR(INDEX(醫師週班表!$C$5:$T$44,$CU14,AX$57),""),2,1)="/",MID(IFERROR(INDEX(醫師週班表!$C$5:$T$44,$CU14,AX$57),""),1+AX$58*2,1),IF(MID(IFERROR(INDEX(醫師週班表!$C$5:$T$44,$CU14,AX$57),""),3,1)="隔",IF(AX$58=0,LEFT(IFERROR(INDEX(醫師週班表!$C$5:$T$44,$CU14,AX$57),""),1),""),IF(MID(IFERROR(INDEX(醫師週班表!$C$5:$T$44,$CU14,AX$57),""),2,1)="(",LEFT(IFERROR(INDEX(醫師週班表!$C$5:$T$44,$CU14,AX$57),""),1),IFERROR(INDEX(醫師週班表!$C$5:$T$44,$CU14,AX$57),"")))))))</f>
        <v/>
      </c>
      <c r="AY14" s="68">
        <f>IF(AY$59="X","",IF(AY$59&lt;&gt;"",AY$59,IF(IFERROR(INDEX(醫師週班表!$C$5:$T$44,$CU14,AY$57),"")=0,"",IF(MID(IFERROR(INDEX(醫師週班表!$C$5:$T$44,$CU14,AY$57),""),2,1)="/",MID(IFERROR(INDEX(醫師週班表!$C$5:$T$44,$CU14,AY$57),""),1+AY$58*2,1),IF(MID(IFERROR(INDEX(醫師週班表!$C$5:$T$44,$CU14,AY$57),""),3,1)="隔",IF(AY$58=0,LEFT(IFERROR(INDEX(醫師週班表!$C$5:$T$44,$CU14,AY$57),""),1),""),IF(MID(IFERROR(INDEX(醫師週班表!$C$5:$T$44,$CU14,AY$57),""),2,1)="(",LEFT(IFERROR(INDEX(醫師週班表!$C$5:$T$44,$CU14,AY$57),""),1),IFERROR(INDEX(醫師週班表!$C$5:$T$44,$CU14,AY$57),"")))))))</f>
        <v/>
      </c>
      <c r="AZ14" s="68">
        <f>IF(AZ$59="X","",IF(AZ$59&lt;&gt;"",AZ$59,IF(IFERROR(INDEX(醫師週班表!$C$5:$T$44,$CU14,AZ$57),"")=0,"",IF(MID(IFERROR(INDEX(醫師週班表!$C$5:$T$44,$CU14,AZ$57),""),2,1)="/",MID(IFERROR(INDEX(醫師週班表!$C$5:$T$44,$CU14,AZ$57),""),1+AZ$58*2,1),IF(MID(IFERROR(INDEX(醫師週班表!$C$5:$T$44,$CU14,AZ$57),""),3,1)="隔",IF(AZ$58=0,LEFT(IFERROR(INDEX(醫師週班表!$C$5:$T$44,$CU14,AZ$57),""),1),""),IF(MID(IFERROR(INDEX(醫師週班表!$C$5:$T$44,$CU14,AZ$57),""),2,1)="(",LEFT(IFERROR(INDEX(醫師週班表!$C$5:$T$44,$CU14,AZ$57),""),1),IFERROR(INDEX(醫師週班表!$C$5:$T$44,$CU14,AZ$57),"")))))))</f>
        <v/>
      </c>
      <c r="BA14" s="67">
        <f>IF(BA$59="X","",IF(BA$59&lt;&gt;"",BA$59,IF(IFERROR(INDEX(醫師週班表!$C$5:$T$44,$CU14,BA$57),"")=0,"",IF(MID(IFERROR(INDEX(醫師週班表!$C$5:$T$44,$CU14,BA$57),""),2,1)="/",MID(IFERROR(INDEX(醫師週班表!$C$5:$T$44,$CU14,BA$57),""),1+BA$58*2,1),IF(MID(IFERROR(INDEX(醫師週班表!$C$5:$T$44,$CU14,BA$57),""),3,1)="隔",IF(BA$58=0,LEFT(IFERROR(INDEX(醫師週班表!$C$5:$T$44,$CU14,BA$57),""),1),""),IF(MID(IFERROR(INDEX(醫師週班表!$C$5:$T$44,$CU14,BA$57),""),2,1)="(",LEFT(IFERROR(INDEX(醫師週班表!$C$5:$T$44,$CU14,BA$57),""),1),IFERROR(INDEX(醫師週班表!$C$5:$T$44,$CU14,BA$57),"")))))))</f>
        <v/>
      </c>
      <c r="BB14" s="68">
        <f>IF(BB$59="X","",IF(BB$59&lt;&gt;"",BB$59,IF(IFERROR(INDEX(醫師週班表!$C$5:$T$44,$CU14,BB$57),"")=0,"",IF(MID(IFERROR(INDEX(醫師週班表!$C$5:$T$44,$CU14,BB$57),""),2,1)="/",MID(IFERROR(INDEX(醫師週班表!$C$5:$T$44,$CU14,BB$57),""),1+BB$58*2,1),IF(MID(IFERROR(INDEX(醫師週班表!$C$5:$T$44,$CU14,BB$57),""),3,1)="隔",IF(BB$58=0,LEFT(IFERROR(INDEX(醫師週班表!$C$5:$T$44,$CU14,BB$57),""),1),""),IF(MID(IFERROR(INDEX(醫師週班表!$C$5:$T$44,$CU14,BB$57),""),2,1)="(",LEFT(IFERROR(INDEX(醫師週班表!$C$5:$T$44,$CU14,BB$57),""),1),IFERROR(INDEX(醫師週班表!$C$5:$T$44,$CU14,BB$57),"")))))))</f>
        <v/>
      </c>
      <c r="BC14" s="68">
        <f>IF(BC$59="X","",IF(BC$59&lt;&gt;"",BC$59,IF(IFERROR(INDEX(醫師週班表!$C$5:$T$44,$CU14,BC$57),"")=0,"",IF(MID(IFERROR(INDEX(醫師週班表!$C$5:$T$44,$CU14,BC$57),""),2,1)="/",MID(IFERROR(INDEX(醫師週班表!$C$5:$T$44,$CU14,BC$57),""),1+BC$58*2,1),IF(MID(IFERROR(INDEX(醫師週班表!$C$5:$T$44,$CU14,BC$57),""),3,1)="隔",IF(BC$58=0,LEFT(IFERROR(INDEX(醫師週班表!$C$5:$T$44,$CU14,BC$57),""),1),""),IF(MID(IFERROR(INDEX(醫師週班表!$C$5:$T$44,$CU14,BC$57),""),2,1)="(",LEFT(IFERROR(INDEX(醫師週班表!$C$5:$T$44,$CU14,BC$57),""),1),IFERROR(INDEX(醫師週班表!$C$5:$T$44,$CU14,BC$57),"")))))))</f>
        <v/>
      </c>
      <c r="BD14" s="67">
        <f>IF(BD$59="X","",IF(BD$59&lt;&gt;"",BD$59,IF(IFERROR(INDEX(醫師週班表!$C$5:$T$44,$CU14,BD$57),"")=0,"",IF(MID(IFERROR(INDEX(醫師週班表!$C$5:$T$44,$CU14,BD$57),""),2,1)="/",MID(IFERROR(INDEX(醫師週班表!$C$5:$T$44,$CU14,BD$57),""),1+BD$58*2,1),IF(MID(IFERROR(INDEX(醫師週班表!$C$5:$T$44,$CU14,BD$57),""),3,1)="隔",IF(BD$58=0,LEFT(IFERROR(INDEX(醫師週班表!$C$5:$T$44,$CU14,BD$57),""),1),""),IF(MID(IFERROR(INDEX(醫師週班表!$C$5:$T$44,$CU14,BD$57),""),2,1)="(",LEFT(IFERROR(INDEX(醫師週班表!$C$5:$T$44,$CU14,BD$57),""),1),IFERROR(INDEX(醫師週班表!$C$5:$T$44,$CU14,BD$57),"")))))))</f>
        <v/>
      </c>
      <c r="BE14" s="68">
        <f>IF(BE$59="X","",IF(BE$59&lt;&gt;"",BE$59,IF(IFERROR(INDEX(醫師週班表!$C$5:$T$44,$CU14,BE$57),"")=0,"",IF(MID(IFERROR(INDEX(醫師週班表!$C$5:$T$44,$CU14,BE$57),""),2,1)="/",MID(IFERROR(INDEX(醫師週班表!$C$5:$T$44,$CU14,BE$57),""),1+BE$58*2,1),IF(MID(IFERROR(INDEX(醫師週班表!$C$5:$T$44,$CU14,BE$57),""),3,1)="隔",IF(BE$58=0,LEFT(IFERROR(INDEX(醫師週班表!$C$5:$T$44,$CU14,BE$57),""),1),""),IF(MID(IFERROR(INDEX(醫師週班表!$C$5:$T$44,$CU14,BE$57),""),2,1)="(",LEFT(IFERROR(INDEX(醫師週班表!$C$5:$T$44,$CU14,BE$57),""),1),IFERROR(INDEX(醫師週班表!$C$5:$T$44,$CU14,BE$57),"")))))))</f>
        <v/>
      </c>
      <c r="BF14" s="68">
        <f>IF(BF$59="X","",IF(BF$59&lt;&gt;"",BF$59,IF(IFERROR(INDEX(醫師週班表!$C$5:$T$44,$CU14,BF$57),"")=0,"",IF(MID(IFERROR(INDEX(醫師週班表!$C$5:$T$44,$CU14,BF$57),""),2,1)="/",MID(IFERROR(INDEX(醫師週班表!$C$5:$T$44,$CU14,BF$57),""),1+BF$58*2,1),IF(MID(IFERROR(INDEX(醫師週班表!$C$5:$T$44,$CU14,BF$57),""),3,1)="隔",IF(BF$58=0,LEFT(IFERROR(INDEX(醫師週班表!$C$5:$T$44,$CU14,BF$57),""),1),""),IF(MID(IFERROR(INDEX(醫師週班表!$C$5:$T$44,$CU14,BF$57),""),2,1)="(",LEFT(IFERROR(INDEX(醫師週班表!$C$5:$T$44,$CU14,BF$57),""),1),IFERROR(INDEX(醫師週班表!$C$5:$T$44,$CU14,BF$57),"")))))))</f>
        <v/>
      </c>
      <c r="BG14" s="67">
        <f>IF(BG$59="X","",IF(BG$59&lt;&gt;"",BG$59,IF(IFERROR(INDEX(醫師週班表!$C$5:$T$44,$CU14,BG$57),"")=0,"",IF(MID(IFERROR(INDEX(醫師週班表!$C$5:$T$44,$CU14,BG$57),""),2,1)="/",MID(IFERROR(INDEX(醫師週班表!$C$5:$T$44,$CU14,BG$57),""),1+BG$58*2,1),IF(MID(IFERROR(INDEX(醫師週班表!$C$5:$T$44,$CU14,BG$57),""),3,1)="隔",IF(BG$58=0,LEFT(IFERROR(INDEX(醫師週班表!$C$5:$T$44,$CU14,BG$57),""),1),""),IF(MID(IFERROR(INDEX(醫師週班表!$C$5:$T$44,$CU14,BG$57),""),2,1)="(",LEFT(IFERROR(INDEX(醫師週班表!$C$5:$T$44,$CU14,BG$57),""),1),IFERROR(INDEX(醫師週班表!$C$5:$T$44,$CU14,BG$57),"")))))))</f>
        <v/>
      </c>
      <c r="BH14" s="68">
        <f>IF(BH$59="X","",IF(BH$59&lt;&gt;"",BH$59,IF(IFERROR(INDEX(醫師週班表!$C$5:$T$44,$CU14,BH$57),"")=0,"",IF(MID(IFERROR(INDEX(醫師週班表!$C$5:$T$44,$CU14,BH$57),""),2,1)="/",MID(IFERROR(INDEX(醫師週班表!$C$5:$T$44,$CU14,BH$57),""),1+BH$58*2,1),IF(MID(IFERROR(INDEX(醫師週班表!$C$5:$T$44,$CU14,BH$57),""),3,1)="隔",IF(BH$58=0,LEFT(IFERROR(INDEX(醫師週班表!$C$5:$T$44,$CU14,BH$57),""),1),""),IF(MID(IFERROR(INDEX(醫師週班表!$C$5:$T$44,$CU14,BH$57),""),2,1)="(",LEFT(IFERROR(INDEX(醫師週班表!$C$5:$T$44,$CU14,BH$57),""),1),IFERROR(INDEX(醫師週班表!$C$5:$T$44,$CU14,BH$57),"")))))))</f>
        <v/>
      </c>
      <c r="BI14" s="68">
        <f>IF(BI$59="X","",IF(BI$59&lt;&gt;"",BI$59,IF(IFERROR(INDEX(醫師週班表!$C$5:$T$44,$CU14,BI$57),"")=0,"",IF(MID(IFERROR(INDEX(醫師週班表!$C$5:$T$44,$CU14,BI$57),""),2,1)="/",MID(IFERROR(INDEX(醫師週班表!$C$5:$T$44,$CU14,BI$57),""),1+BI$58*2,1),IF(MID(IFERROR(INDEX(醫師週班表!$C$5:$T$44,$CU14,BI$57),""),3,1)="隔",IF(BI$58=0,LEFT(IFERROR(INDEX(醫師週班表!$C$5:$T$44,$CU14,BI$57),""),1),""),IF(MID(IFERROR(INDEX(醫師週班表!$C$5:$T$44,$CU14,BI$57),""),2,1)="(",LEFT(IFERROR(INDEX(醫師週班表!$C$5:$T$44,$CU14,BI$57),""),1),IFERROR(INDEX(醫師週班表!$C$5:$T$44,$CU14,BI$57),"")))))))</f>
        <v/>
      </c>
      <c r="BJ14" s="67">
        <f>IF(BJ$59="X","",IF(BJ$59&lt;&gt;"",BJ$59,IF(IFERROR(INDEX(醫師週班表!$C$5:$T$44,$CU14,BJ$57),"")=0,"",IF(MID(IFERROR(INDEX(醫師週班表!$C$5:$T$44,$CU14,BJ$57),""),2,1)="/",MID(IFERROR(INDEX(醫師週班表!$C$5:$T$44,$CU14,BJ$57),""),1+BJ$58*2,1),IF(MID(IFERROR(INDEX(醫師週班表!$C$5:$T$44,$CU14,BJ$57),""),3,1)="隔",IF(BJ$58=0,LEFT(IFERROR(INDEX(醫師週班表!$C$5:$T$44,$CU14,BJ$57),""),1),""),IF(MID(IFERROR(INDEX(醫師週班表!$C$5:$T$44,$CU14,BJ$57),""),2,1)="(",LEFT(IFERROR(INDEX(醫師週班表!$C$5:$T$44,$CU14,BJ$57),""),1),IFERROR(INDEX(醫師週班表!$C$5:$T$44,$CU14,BJ$57),"")))))))</f>
        <v/>
      </c>
      <c r="BK14" s="68">
        <f>IF(BK$59="X","",IF(BK$59&lt;&gt;"",BK$59,IF(IFERROR(INDEX(醫師週班表!$C$5:$T$44,$CU14,BK$57),"")=0,"",IF(MID(IFERROR(INDEX(醫師週班表!$C$5:$T$44,$CU14,BK$57),""),2,1)="/",MID(IFERROR(INDEX(醫師週班表!$C$5:$T$44,$CU14,BK$57),""),1+BK$58*2,1),IF(MID(IFERROR(INDEX(醫師週班表!$C$5:$T$44,$CU14,BK$57),""),3,1)="隔",IF(BK$58=0,LEFT(IFERROR(INDEX(醫師週班表!$C$5:$T$44,$CU14,BK$57),""),1),""),IF(MID(IFERROR(INDEX(醫師週班表!$C$5:$T$44,$CU14,BK$57),""),2,1)="(",LEFT(IFERROR(INDEX(醫師週班表!$C$5:$T$44,$CU14,BK$57),""),1),IFERROR(INDEX(醫師週班表!$C$5:$T$44,$CU14,BK$57),"")))))))</f>
        <v/>
      </c>
      <c r="BL14" s="68">
        <f>IF(BL$59="X","",IF(BL$59&lt;&gt;"",BL$59,IF(IFERROR(INDEX(醫師週班表!$C$5:$T$44,$CU14,BL$57),"")=0,"",IF(MID(IFERROR(INDEX(醫師週班表!$C$5:$T$44,$CU14,BL$57),""),2,1)="/",MID(IFERROR(INDEX(醫師週班表!$C$5:$T$44,$CU14,BL$57),""),1+BL$58*2,1),IF(MID(IFERROR(INDEX(醫師週班表!$C$5:$T$44,$CU14,BL$57),""),3,1)="隔",IF(BL$58=0,LEFT(IFERROR(INDEX(醫師週班表!$C$5:$T$44,$CU14,BL$57),""),1),""),IF(MID(IFERROR(INDEX(醫師週班表!$C$5:$T$44,$CU14,BL$57),""),2,1)="(",LEFT(IFERROR(INDEX(醫師週班表!$C$5:$T$44,$CU14,BL$57),""),1),IFERROR(INDEX(醫師週班表!$C$5:$T$44,$CU14,BL$57),"")))))))</f>
        <v/>
      </c>
      <c r="BM14" s="67">
        <f>IF(BM$59="X","",IF(BM$59&lt;&gt;"",BM$59,IF(IFERROR(INDEX(醫師週班表!$C$5:$T$44,$CU14,BM$57),"")=0,"",IF(MID(IFERROR(INDEX(醫師週班表!$C$5:$T$44,$CU14,BM$57),""),2,1)="/",MID(IFERROR(INDEX(醫師週班表!$C$5:$T$44,$CU14,BM$57),""),1+BM$58*2,1),IF(MID(IFERROR(INDEX(醫師週班表!$C$5:$T$44,$CU14,BM$57),""),3,1)="隔",IF(BM$58=0,LEFT(IFERROR(INDEX(醫師週班表!$C$5:$T$44,$CU14,BM$57),""),1),""),IF(MID(IFERROR(INDEX(醫師週班表!$C$5:$T$44,$CU14,BM$57),""),2,1)="(",LEFT(IFERROR(INDEX(醫師週班表!$C$5:$T$44,$CU14,BM$57),""),1),IFERROR(INDEX(醫師週班表!$C$5:$T$44,$CU14,BM$57),"")))))))</f>
        <v/>
      </c>
      <c r="BN14" s="68">
        <f>IF(BN$59="X","",IF(BN$59&lt;&gt;"",BN$59,IF(IFERROR(INDEX(醫師週班表!$C$5:$T$44,$CU14,BN$57),"")=0,"",IF(MID(IFERROR(INDEX(醫師週班表!$C$5:$T$44,$CU14,BN$57),""),2,1)="/",MID(IFERROR(INDEX(醫師週班表!$C$5:$T$44,$CU14,BN$57),""),1+BN$58*2,1),IF(MID(IFERROR(INDEX(醫師週班表!$C$5:$T$44,$CU14,BN$57),""),3,1)="隔",IF(BN$58=0,LEFT(IFERROR(INDEX(醫師週班表!$C$5:$T$44,$CU14,BN$57),""),1),""),IF(MID(IFERROR(INDEX(醫師週班表!$C$5:$T$44,$CU14,BN$57),""),2,1)="(",LEFT(IFERROR(INDEX(醫師週班表!$C$5:$T$44,$CU14,BN$57),""),1),IFERROR(INDEX(醫師週班表!$C$5:$T$44,$CU14,BN$57),"")))))))</f>
        <v/>
      </c>
      <c r="BO14" s="68">
        <f>IF(BO$59="X","",IF(BO$59&lt;&gt;"",BO$59,IF(IFERROR(INDEX(醫師週班表!$C$5:$T$44,$CU14,BO$57),"")=0,"",IF(MID(IFERROR(INDEX(醫師週班表!$C$5:$T$44,$CU14,BO$57),""),2,1)="/",MID(IFERROR(INDEX(醫師週班表!$C$5:$T$44,$CU14,BO$57),""),1+BO$58*2,1),IF(MID(IFERROR(INDEX(醫師週班表!$C$5:$T$44,$CU14,BO$57),""),3,1)="隔",IF(BO$58=0,LEFT(IFERROR(INDEX(醫師週班表!$C$5:$T$44,$CU14,BO$57),""),1),""),IF(MID(IFERROR(INDEX(醫師週班表!$C$5:$T$44,$CU14,BO$57),""),2,1)="(",LEFT(IFERROR(INDEX(醫師週班表!$C$5:$T$44,$CU14,BO$57),""),1),IFERROR(INDEX(醫師週班表!$C$5:$T$44,$CU14,BO$57),"")))))))</f>
        <v/>
      </c>
      <c r="BP14" s="67">
        <f>IF(BP$59="X","",IF(BP$59&lt;&gt;"",BP$59,IF(IFERROR(INDEX(醫師週班表!$C$5:$T$44,$CU14,BP$57),"")=0,"",IF(MID(IFERROR(INDEX(醫師週班表!$C$5:$T$44,$CU14,BP$57),""),2,1)="/",MID(IFERROR(INDEX(醫師週班表!$C$5:$T$44,$CU14,BP$57),""),1+BP$58*2,1),IF(MID(IFERROR(INDEX(醫師週班表!$C$5:$T$44,$CU14,BP$57),""),3,1)="隔",IF(BP$58=0,LEFT(IFERROR(INDEX(醫師週班表!$C$5:$T$44,$CU14,BP$57),""),1),""),IF(MID(IFERROR(INDEX(醫師週班表!$C$5:$T$44,$CU14,BP$57),""),2,1)="(",LEFT(IFERROR(INDEX(醫師週班表!$C$5:$T$44,$CU14,BP$57),""),1),IFERROR(INDEX(醫師週班表!$C$5:$T$44,$CU14,BP$57),"")))))))</f>
        <v/>
      </c>
      <c r="BQ14" s="68">
        <f>IF(BQ$59="X","",IF(BQ$59&lt;&gt;"",BQ$59,IF(IFERROR(INDEX(醫師週班表!$C$5:$T$44,$CU14,BQ$57),"")=0,"",IF(MID(IFERROR(INDEX(醫師週班表!$C$5:$T$44,$CU14,BQ$57),""),2,1)="/",MID(IFERROR(INDEX(醫師週班表!$C$5:$T$44,$CU14,BQ$57),""),1+BQ$58*2,1),IF(MID(IFERROR(INDEX(醫師週班表!$C$5:$T$44,$CU14,BQ$57),""),3,1)="隔",IF(BQ$58=0,LEFT(IFERROR(INDEX(醫師週班表!$C$5:$T$44,$CU14,BQ$57),""),1),""),IF(MID(IFERROR(INDEX(醫師週班表!$C$5:$T$44,$CU14,BQ$57),""),2,1)="(",LEFT(IFERROR(INDEX(醫師週班表!$C$5:$T$44,$CU14,BQ$57),""),1),IFERROR(INDEX(醫師週班表!$C$5:$T$44,$CU14,BQ$57),"")))))))</f>
        <v/>
      </c>
      <c r="BR14" s="68">
        <f>IF(BR$59="X","",IF(BR$59&lt;&gt;"",BR$59,IF(IFERROR(INDEX(醫師週班表!$C$5:$T$44,$CU14,BR$57),"")=0,"",IF(MID(IFERROR(INDEX(醫師週班表!$C$5:$T$44,$CU14,BR$57),""),2,1)="/",MID(IFERROR(INDEX(醫師週班表!$C$5:$T$44,$CU14,BR$57),""),1+BR$58*2,1),IF(MID(IFERROR(INDEX(醫師週班表!$C$5:$T$44,$CU14,BR$57),""),3,1)="隔",IF(BR$58=0,LEFT(IFERROR(INDEX(醫師週班表!$C$5:$T$44,$CU14,BR$57),""),1),""),IF(MID(IFERROR(INDEX(醫師週班表!$C$5:$T$44,$CU14,BR$57),""),2,1)="(",LEFT(IFERROR(INDEX(醫師週班表!$C$5:$T$44,$CU14,BR$57),""),1),IFERROR(INDEX(醫師週班表!$C$5:$T$44,$CU14,BR$57),"")))))))</f>
        <v/>
      </c>
      <c r="BS14" s="67">
        <f>IF(BS$59="X","",IF(BS$59&lt;&gt;"",BS$59,IF(IFERROR(INDEX(醫師週班表!$C$5:$T$44,$CU14,BS$57),"")=0,"",IF(MID(IFERROR(INDEX(醫師週班表!$C$5:$T$44,$CU14,BS$57),""),2,1)="/",MID(IFERROR(INDEX(醫師週班表!$C$5:$T$44,$CU14,BS$57),""),1+BS$58*2,1),IF(MID(IFERROR(INDEX(醫師週班表!$C$5:$T$44,$CU14,BS$57),""),3,1)="隔",IF(BS$58=0,LEFT(IFERROR(INDEX(醫師週班表!$C$5:$T$44,$CU14,BS$57),""),1),""),IF(MID(IFERROR(INDEX(醫師週班表!$C$5:$T$44,$CU14,BS$57),""),2,1)="(",LEFT(IFERROR(INDEX(醫師週班表!$C$5:$T$44,$CU14,BS$57),""),1),IFERROR(INDEX(醫師週班表!$C$5:$T$44,$CU14,BS$57),"")))))))</f>
        <v/>
      </c>
      <c r="BT14" s="68">
        <f>IF(BT$59="X","",IF(BT$59&lt;&gt;"",BT$59,IF(IFERROR(INDEX(醫師週班表!$C$5:$T$44,$CU14,BT$57),"")=0,"",IF(MID(IFERROR(INDEX(醫師週班表!$C$5:$T$44,$CU14,BT$57),""),2,1)="/",MID(IFERROR(INDEX(醫師週班表!$C$5:$T$44,$CU14,BT$57),""),1+BT$58*2,1),IF(MID(IFERROR(INDEX(醫師週班表!$C$5:$T$44,$CU14,BT$57),""),3,1)="隔",IF(BT$58=0,LEFT(IFERROR(INDEX(醫師週班表!$C$5:$T$44,$CU14,BT$57),""),1),""),IF(MID(IFERROR(INDEX(醫師週班表!$C$5:$T$44,$CU14,BT$57),""),2,1)="(",LEFT(IFERROR(INDEX(醫師週班表!$C$5:$T$44,$CU14,BT$57),""),1),IFERROR(INDEX(醫師週班表!$C$5:$T$44,$CU14,BT$57),"")))))))</f>
        <v/>
      </c>
      <c r="BU14" s="68">
        <f>IF(BU$59="X","",IF(BU$59&lt;&gt;"",BU$59,IF(IFERROR(INDEX(醫師週班表!$C$5:$T$44,$CU14,BU$57),"")=0,"",IF(MID(IFERROR(INDEX(醫師週班表!$C$5:$T$44,$CU14,BU$57),""),2,1)="/",MID(IFERROR(INDEX(醫師週班表!$C$5:$T$44,$CU14,BU$57),""),1+BU$58*2,1),IF(MID(IFERROR(INDEX(醫師週班表!$C$5:$T$44,$CU14,BU$57),""),3,1)="隔",IF(BU$58=0,LEFT(IFERROR(INDEX(醫師週班表!$C$5:$T$44,$CU14,BU$57),""),1),""),IF(MID(IFERROR(INDEX(醫師週班表!$C$5:$T$44,$CU14,BU$57),""),2,1)="(",LEFT(IFERROR(INDEX(醫師週班表!$C$5:$T$44,$CU14,BU$57),""),1),IFERROR(INDEX(醫師週班表!$C$5:$T$44,$CU14,BU$57),"")))))))</f>
        <v/>
      </c>
      <c r="BV14" s="67">
        <f>IF(BV$59="X","",IF(BV$59&lt;&gt;"",BV$59,IF(IFERROR(INDEX(醫師週班表!$C$5:$T$44,$CU14,BV$57),"")=0,"",IF(MID(IFERROR(INDEX(醫師週班表!$C$5:$T$44,$CU14,BV$57),""),2,1)="/",MID(IFERROR(INDEX(醫師週班表!$C$5:$T$44,$CU14,BV$57),""),1+BV$58*2,1),IF(MID(IFERROR(INDEX(醫師週班表!$C$5:$T$44,$CU14,BV$57),""),3,1)="隔",IF(BV$58=0,LEFT(IFERROR(INDEX(醫師週班表!$C$5:$T$44,$CU14,BV$57),""),1),""),IF(MID(IFERROR(INDEX(醫師週班表!$C$5:$T$44,$CU14,BV$57),""),2,1)="(",LEFT(IFERROR(INDEX(醫師週班表!$C$5:$T$44,$CU14,BV$57),""),1),IFERROR(INDEX(醫師週班表!$C$5:$T$44,$CU14,BV$57),"")))))))</f>
        <v/>
      </c>
      <c r="BW14" s="68">
        <f>IF(BW$59="X","",IF(BW$59&lt;&gt;"",BW$59,IF(IFERROR(INDEX(醫師週班表!$C$5:$T$44,$CU14,BW$57),"")=0,"",IF(MID(IFERROR(INDEX(醫師週班表!$C$5:$T$44,$CU14,BW$57),""),2,1)="/",MID(IFERROR(INDEX(醫師週班表!$C$5:$T$44,$CU14,BW$57),""),1+BW$58*2,1),IF(MID(IFERROR(INDEX(醫師週班表!$C$5:$T$44,$CU14,BW$57),""),3,1)="隔",IF(BW$58=0,LEFT(IFERROR(INDEX(醫師週班表!$C$5:$T$44,$CU14,BW$57),""),1),""),IF(MID(IFERROR(INDEX(醫師週班表!$C$5:$T$44,$CU14,BW$57),""),2,1)="(",LEFT(IFERROR(INDEX(醫師週班表!$C$5:$T$44,$CU14,BW$57),""),1),IFERROR(INDEX(醫師週班表!$C$5:$T$44,$CU14,BW$57),"")))))))</f>
        <v/>
      </c>
      <c r="BX14" s="68">
        <f>IF(BX$59="X","",IF(BX$59&lt;&gt;"",BX$59,IF(IFERROR(INDEX(醫師週班表!$C$5:$T$44,$CU14,BX$57),"")=0,"",IF(MID(IFERROR(INDEX(醫師週班表!$C$5:$T$44,$CU14,BX$57),""),2,1)="/",MID(IFERROR(INDEX(醫師週班表!$C$5:$T$44,$CU14,BX$57),""),1+BX$58*2,1),IF(MID(IFERROR(INDEX(醫師週班表!$C$5:$T$44,$CU14,BX$57),""),3,1)="隔",IF(BX$58=0,LEFT(IFERROR(INDEX(醫師週班表!$C$5:$T$44,$CU14,BX$57),""),1),""),IF(MID(IFERROR(INDEX(醫師週班表!$C$5:$T$44,$CU14,BX$57),""),2,1)="(",LEFT(IFERROR(INDEX(醫師週班表!$C$5:$T$44,$CU14,BX$57),""),1),IFERROR(INDEX(醫師週班表!$C$5:$T$44,$CU14,BX$57),"")))))))</f>
        <v/>
      </c>
      <c r="BY14" s="67">
        <f>IF(BY$59="X","",IF(BY$59&lt;&gt;"",BY$59,IF(IFERROR(INDEX(醫師週班表!$C$5:$T$44,$CU14,BY$57),"")=0,"",IF(MID(IFERROR(INDEX(醫師週班表!$C$5:$T$44,$CU14,BY$57),""),2,1)="/",MID(IFERROR(INDEX(醫師週班表!$C$5:$T$44,$CU14,BY$57),""),1+BY$58*2,1),IF(MID(IFERROR(INDEX(醫師週班表!$C$5:$T$44,$CU14,BY$57),""),3,1)="隔",IF(BY$58=0,LEFT(IFERROR(INDEX(醫師週班表!$C$5:$T$44,$CU14,BY$57),""),1),""),IF(MID(IFERROR(INDEX(醫師週班表!$C$5:$T$44,$CU14,BY$57),""),2,1)="(",LEFT(IFERROR(INDEX(醫師週班表!$C$5:$T$44,$CU14,BY$57),""),1),IFERROR(INDEX(醫師週班表!$C$5:$T$44,$CU14,BY$57),"")))))))</f>
        <v/>
      </c>
      <c r="BZ14" s="68">
        <f>IF(BZ$59="X","",IF(BZ$59&lt;&gt;"",BZ$59,IF(IFERROR(INDEX(醫師週班表!$C$5:$T$44,$CU14,BZ$57),"")=0,"",IF(MID(IFERROR(INDEX(醫師週班表!$C$5:$T$44,$CU14,BZ$57),""),2,1)="/",MID(IFERROR(INDEX(醫師週班表!$C$5:$T$44,$CU14,BZ$57),""),1+BZ$58*2,1),IF(MID(IFERROR(INDEX(醫師週班表!$C$5:$T$44,$CU14,BZ$57),""),3,1)="隔",IF(BZ$58=0,LEFT(IFERROR(INDEX(醫師週班表!$C$5:$T$44,$CU14,BZ$57),""),1),""),IF(MID(IFERROR(INDEX(醫師週班表!$C$5:$T$44,$CU14,BZ$57),""),2,1)="(",LEFT(IFERROR(INDEX(醫師週班表!$C$5:$T$44,$CU14,BZ$57),""),1),IFERROR(INDEX(醫師週班表!$C$5:$T$44,$CU14,BZ$57),"")))))))</f>
        <v/>
      </c>
      <c r="CA14" s="68">
        <f>IF(CA$59="X","",IF(CA$59&lt;&gt;"",CA$59,IF(IFERROR(INDEX(醫師週班表!$C$5:$T$44,$CU14,CA$57),"")=0,"",IF(MID(IFERROR(INDEX(醫師週班表!$C$5:$T$44,$CU14,CA$57),""),2,1)="/",MID(IFERROR(INDEX(醫師週班表!$C$5:$T$44,$CU14,CA$57),""),1+CA$58*2,1),IF(MID(IFERROR(INDEX(醫師週班表!$C$5:$T$44,$CU14,CA$57),""),3,1)="隔",IF(CA$58=0,LEFT(IFERROR(INDEX(醫師週班表!$C$5:$T$44,$CU14,CA$57),""),1),""),IF(MID(IFERROR(INDEX(醫師週班表!$C$5:$T$44,$CU14,CA$57),""),2,1)="(",LEFT(IFERROR(INDEX(醫師週班表!$C$5:$T$44,$CU14,CA$57),""),1),IFERROR(INDEX(醫師週班表!$C$5:$T$44,$CU14,CA$57),"")))))))</f>
        <v/>
      </c>
      <c r="CB14" s="67">
        <f>IF(CB$59="X","",IF(CB$59&lt;&gt;"",CB$59,IF(IFERROR(INDEX(醫師週班表!$C$5:$T$44,$CU14,CB$57),"")=0,"",IF(MID(IFERROR(INDEX(醫師週班表!$C$5:$T$44,$CU14,CB$57),""),2,1)="/",MID(IFERROR(INDEX(醫師週班表!$C$5:$T$44,$CU14,CB$57),""),1+CB$58*2,1),IF(MID(IFERROR(INDEX(醫師週班表!$C$5:$T$44,$CU14,CB$57),""),3,1)="隔",IF(CB$58=0,LEFT(IFERROR(INDEX(醫師週班表!$C$5:$T$44,$CU14,CB$57),""),1),""),IF(MID(IFERROR(INDEX(醫師週班表!$C$5:$T$44,$CU14,CB$57),""),2,1)="(",LEFT(IFERROR(INDEX(醫師週班表!$C$5:$T$44,$CU14,CB$57),""),1),IFERROR(INDEX(醫師週班表!$C$5:$T$44,$CU14,CB$57),"")))))))</f>
        <v/>
      </c>
      <c r="CC14" s="68">
        <f>IF(CC$59="X","",IF(CC$59&lt;&gt;"",CC$59,IF(IFERROR(INDEX(醫師週班表!$C$5:$T$44,$CU14,CC$57),"")=0,"",IF(MID(IFERROR(INDEX(醫師週班表!$C$5:$T$44,$CU14,CC$57),""),2,1)="/",MID(IFERROR(INDEX(醫師週班表!$C$5:$T$44,$CU14,CC$57),""),1+CC$58*2,1),IF(MID(IFERROR(INDEX(醫師週班表!$C$5:$T$44,$CU14,CC$57),""),3,1)="隔",IF(CC$58=0,LEFT(IFERROR(INDEX(醫師週班表!$C$5:$T$44,$CU14,CC$57),""),1),""),IF(MID(IFERROR(INDEX(醫師週班表!$C$5:$T$44,$CU14,CC$57),""),2,1)="(",LEFT(IFERROR(INDEX(醫師週班表!$C$5:$T$44,$CU14,CC$57),""),1),IFERROR(INDEX(醫師週班表!$C$5:$T$44,$CU14,CC$57),"")))))))</f>
        <v/>
      </c>
      <c r="CD14" s="68">
        <f>IF(CD$59="X","",IF(CD$59&lt;&gt;"",CD$59,IF(IFERROR(INDEX(醫師週班表!$C$5:$T$44,$CU14,CD$57),"")=0,"",IF(MID(IFERROR(INDEX(醫師週班表!$C$5:$T$44,$CU14,CD$57),""),2,1)="/",MID(IFERROR(INDEX(醫師週班表!$C$5:$T$44,$CU14,CD$57),""),1+CD$58*2,1),IF(MID(IFERROR(INDEX(醫師週班表!$C$5:$T$44,$CU14,CD$57),""),3,1)="隔",IF(CD$58=0,LEFT(IFERROR(INDEX(醫師週班表!$C$5:$T$44,$CU14,CD$57),""),1),""),IF(MID(IFERROR(INDEX(醫師週班表!$C$5:$T$44,$CU14,CD$57),""),2,1)="(",LEFT(IFERROR(INDEX(醫師週班表!$C$5:$T$44,$CU14,CD$57),""),1),IFERROR(INDEX(醫師週班表!$C$5:$T$44,$CU14,CD$57),"")))))))</f>
        <v/>
      </c>
      <c r="CE14" s="67">
        <f>IF(CE$59="X","",IF(CE$59&lt;&gt;"",CE$59,IF(IFERROR(INDEX(醫師週班表!$C$5:$T$44,$CU14,CE$57),"")=0,"",IF(MID(IFERROR(INDEX(醫師週班表!$C$5:$T$44,$CU14,CE$57),""),2,1)="/",MID(IFERROR(INDEX(醫師週班表!$C$5:$T$44,$CU14,CE$57),""),1+CE$58*2,1),IF(MID(IFERROR(INDEX(醫師週班表!$C$5:$T$44,$CU14,CE$57),""),3,1)="隔",IF(CE$58=0,LEFT(IFERROR(INDEX(醫師週班表!$C$5:$T$44,$CU14,CE$57),""),1),""),IF(MID(IFERROR(INDEX(醫師週班表!$C$5:$T$44,$CU14,CE$57),""),2,1)="(",LEFT(IFERROR(INDEX(醫師週班表!$C$5:$T$44,$CU14,CE$57),""),1),IFERROR(INDEX(醫師週班表!$C$5:$T$44,$CU14,CE$57),"")))))))</f>
        <v/>
      </c>
      <c r="CF14" s="68">
        <f>IF(CF$59="X","",IF(CF$59&lt;&gt;"",CF$59,IF(IFERROR(INDEX(醫師週班表!$C$5:$T$44,$CU14,CF$57),"")=0,"",IF(MID(IFERROR(INDEX(醫師週班表!$C$5:$T$44,$CU14,CF$57),""),2,1)="/",MID(IFERROR(INDEX(醫師週班表!$C$5:$T$44,$CU14,CF$57),""),1+CF$58*2,1),IF(MID(IFERROR(INDEX(醫師週班表!$C$5:$T$44,$CU14,CF$57),""),3,1)="隔",IF(CF$58=0,LEFT(IFERROR(INDEX(醫師週班表!$C$5:$T$44,$CU14,CF$57),""),1),""),IF(MID(IFERROR(INDEX(醫師週班表!$C$5:$T$44,$CU14,CF$57),""),2,1)="(",LEFT(IFERROR(INDEX(醫師週班表!$C$5:$T$44,$CU14,CF$57),""),1),IFERROR(INDEX(醫師週班表!$C$5:$T$44,$CU14,CF$57),"")))))))</f>
        <v/>
      </c>
      <c r="CG14" s="68">
        <f>IF(CG$59="X","",IF(CG$59&lt;&gt;"",CG$59,IF(IFERROR(INDEX(醫師週班表!$C$5:$T$44,$CU14,CG$57),"")=0,"",IF(MID(IFERROR(INDEX(醫師週班表!$C$5:$T$44,$CU14,CG$57),""),2,1)="/",MID(IFERROR(INDEX(醫師週班表!$C$5:$T$44,$CU14,CG$57),""),1+CG$58*2,1),IF(MID(IFERROR(INDEX(醫師週班表!$C$5:$T$44,$CU14,CG$57),""),3,1)="隔",IF(CG$58=0,LEFT(IFERROR(INDEX(醫師週班表!$C$5:$T$44,$CU14,CG$57),""),1),""),IF(MID(IFERROR(INDEX(醫師週班表!$C$5:$T$44,$CU14,CG$57),""),2,1)="(",LEFT(IFERROR(INDEX(醫師週班表!$C$5:$T$44,$CU14,CG$57),""),1),IFERROR(INDEX(醫師週班表!$C$5:$T$44,$CU14,CG$57),"")))))))</f>
        <v/>
      </c>
      <c r="CH14" s="67">
        <f>IF(CH$59="X","",IF(CH$59&lt;&gt;"",CH$59,IF(IFERROR(INDEX(醫師週班表!$C$5:$T$44,$CU14,CH$57),"")=0,"",IF(MID(IFERROR(INDEX(醫師週班表!$C$5:$T$44,$CU14,CH$57),""),2,1)="/",MID(IFERROR(INDEX(醫師週班表!$C$5:$T$44,$CU14,CH$57),""),1+CH$58*2,1),IF(MID(IFERROR(INDEX(醫師週班表!$C$5:$T$44,$CU14,CH$57),""),3,1)="隔",IF(CH$58=0,LEFT(IFERROR(INDEX(醫師週班表!$C$5:$T$44,$CU14,CH$57),""),1),""),IF(MID(IFERROR(INDEX(醫師週班表!$C$5:$T$44,$CU14,CH$57),""),2,1)="(",LEFT(IFERROR(INDEX(醫師週班表!$C$5:$T$44,$CU14,CH$57),""),1),IFERROR(INDEX(醫師週班表!$C$5:$T$44,$CU14,CH$57),"")))))))</f>
        <v/>
      </c>
      <c r="CI14" s="68">
        <f>IF(CI$59="X","",IF(CI$59&lt;&gt;"",CI$59,IF(IFERROR(INDEX(醫師週班表!$C$5:$T$44,$CU14,CI$57),"")=0,"",IF(MID(IFERROR(INDEX(醫師週班表!$C$5:$T$44,$CU14,CI$57),""),2,1)="/",MID(IFERROR(INDEX(醫師週班表!$C$5:$T$44,$CU14,CI$57),""),1+CI$58*2,1),IF(MID(IFERROR(INDEX(醫師週班表!$C$5:$T$44,$CU14,CI$57),""),3,1)="隔",IF(CI$58=0,LEFT(IFERROR(INDEX(醫師週班表!$C$5:$T$44,$CU14,CI$57),""),1),""),IF(MID(IFERROR(INDEX(醫師週班表!$C$5:$T$44,$CU14,CI$57),""),2,1)="(",LEFT(IFERROR(INDEX(醫師週班表!$C$5:$T$44,$CU14,CI$57),""),1),IFERROR(INDEX(醫師週班表!$C$5:$T$44,$CU14,CI$57),"")))))))</f>
        <v/>
      </c>
      <c r="CJ14" s="68">
        <f>IF(CJ$59="X","",IF(CJ$59&lt;&gt;"",CJ$59,IF(IFERROR(INDEX(醫師週班表!$C$5:$T$44,$CU14,CJ$57),"")=0,"",IF(MID(IFERROR(INDEX(醫師週班表!$C$5:$T$44,$CU14,CJ$57),""),2,1)="/",MID(IFERROR(INDEX(醫師週班表!$C$5:$T$44,$CU14,CJ$57),""),1+CJ$58*2,1),IF(MID(IFERROR(INDEX(醫師週班表!$C$5:$T$44,$CU14,CJ$57),""),3,1)="隔",IF(CJ$58=0,LEFT(IFERROR(INDEX(醫師週班表!$C$5:$T$44,$CU14,CJ$57),""),1),""),IF(MID(IFERROR(INDEX(醫師週班表!$C$5:$T$44,$CU14,CJ$57),""),2,1)="(",LEFT(IFERROR(INDEX(醫師週班表!$C$5:$T$44,$CU14,CJ$57),""),1),IFERROR(INDEX(醫師週班表!$C$5:$T$44,$CU14,CJ$57),"")))))))</f>
        <v/>
      </c>
      <c r="CK14" s="67">
        <f>IF(CK$59="X","",IF(CK$59&lt;&gt;"",CK$59,IF(IFERROR(INDEX(醫師週班表!$C$5:$T$44,$CU14,CK$57),"")=0,"",IF(MID(IFERROR(INDEX(醫師週班表!$C$5:$T$44,$CU14,CK$57),""),2,1)="/",MID(IFERROR(INDEX(醫師週班表!$C$5:$T$44,$CU14,CK$57),""),1+CK$58*2,1),IF(MID(IFERROR(INDEX(醫師週班表!$C$5:$T$44,$CU14,CK$57),""),3,1)="隔",IF(CK$58=0,LEFT(IFERROR(INDEX(醫師週班表!$C$5:$T$44,$CU14,CK$57),""),1),""),IF(MID(IFERROR(INDEX(醫師週班表!$C$5:$T$44,$CU14,CK$57),""),2,1)="(",LEFT(IFERROR(INDEX(醫師週班表!$C$5:$T$44,$CU14,CK$57),""),1),IFERROR(INDEX(醫師週班表!$C$5:$T$44,$CU14,CK$57),"")))))))</f>
        <v/>
      </c>
      <c r="CL14" s="68">
        <f>IF(CL$59="X","",IF(CL$59&lt;&gt;"",CL$59,IF(IFERROR(INDEX(醫師週班表!$C$5:$T$44,$CU14,CL$57),"")=0,"",IF(MID(IFERROR(INDEX(醫師週班表!$C$5:$T$44,$CU14,CL$57),""),2,1)="/",MID(IFERROR(INDEX(醫師週班表!$C$5:$T$44,$CU14,CL$57),""),1+CL$58*2,1),IF(MID(IFERROR(INDEX(醫師週班表!$C$5:$T$44,$CU14,CL$57),""),3,1)="隔",IF(CL$58=0,LEFT(IFERROR(INDEX(醫師週班表!$C$5:$T$44,$CU14,CL$57),""),1),""),IF(MID(IFERROR(INDEX(醫師週班表!$C$5:$T$44,$CU14,CL$57),""),2,1)="(",LEFT(IFERROR(INDEX(醫師週班表!$C$5:$T$44,$CU14,CL$57),""),1),IFERROR(INDEX(醫師週班表!$C$5:$T$44,$CU14,CL$57),"")))))))</f>
        <v/>
      </c>
      <c r="CM14" s="68">
        <f>IF(CM$59="X","",IF(CM$59&lt;&gt;"",CM$59,IF(IFERROR(INDEX(醫師週班表!$C$5:$T$44,$CU14,CM$57),"")=0,"",IF(MID(IFERROR(INDEX(醫師週班表!$C$5:$T$44,$CU14,CM$57),""),2,1)="/",MID(IFERROR(INDEX(醫師週班表!$C$5:$T$44,$CU14,CM$57),""),1+CM$58*2,1),IF(MID(IFERROR(INDEX(醫師週班表!$C$5:$T$44,$CU14,CM$57),""),3,1)="隔",IF(CM$58=0,LEFT(IFERROR(INDEX(醫師週班表!$C$5:$T$44,$CU14,CM$57),""),1),""),IF(MID(IFERROR(INDEX(醫師週班表!$C$5:$T$44,$CU14,CM$57),""),2,1)="(",LEFT(IFERROR(INDEX(醫師週班表!$C$5:$T$44,$CU14,CM$57),""),1),IFERROR(INDEX(醫師週班表!$C$5:$T$44,$CU14,CM$57),"")))))))</f>
        <v/>
      </c>
      <c r="CN14" s="67">
        <f>IF(CN$59="X","",IF(CN$59&lt;&gt;"",CN$59,IF(IFERROR(INDEX(醫師週班表!$C$5:$T$44,$CU14,CN$57),"")=0,"",IF(MID(IFERROR(INDEX(醫師週班表!$C$5:$T$44,$CU14,CN$57),""),2,1)="/",MID(IFERROR(INDEX(醫師週班表!$C$5:$T$44,$CU14,CN$57),""),1+CN$58*2,1),IF(MID(IFERROR(INDEX(醫師週班表!$C$5:$T$44,$CU14,CN$57),""),3,1)="隔",IF(CN$58=0,LEFT(IFERROR(INDEX(醫師週班表!$C$5:$T$44,$CU14,CN$57),""),1),""),IF(MID(IFERROR(INDEX(醫師週班表!$C$5:$T$44,$CU14,CN$57),""),2,1)="(",LEFT(IFERROR(INDEX(醫師週班表!$C$5:$T$44,$CU14,CN$57),""),1),IFERROR(INDEX(醫師週班表!$C$5:$T$44,$CU14,CN$57),"")))))))</f>
        <v/>
      </c>
      <c r="CO14" s="68">
        <f>IF(CO$59="X","",IF(CO$59&lt;&gt;"",CO$59,IF(IFERROR(INDEX(醫師週班表!$C$5:$T$44,$CU14,CO$57),"")=0,"",IF(MID(IFERROR(INDEX(醫師週班表!$C$5:$T$44,$CU14,CO$57),""),2,1)="/",MID(IFERROR(INDEX(醫師週班表!$C$5:$T$44,$CU14,CO$57),""),1+CO$58*2,1),IF(MID(IFERROR(INDEX(醫師週班表!$C$5:$T$44,$CU14,CO$57),""),3,1)="隔",IF(CO$58=0,LEFT(IFERROR(INDEX(醫師週班表!$C$5:$T$44,$CU14,CO$57),""),1),""),IF(MID(IFERROR(INDEX(醫師週班表!$C$5:$T$44,$CU14,CO$57),""),2,1)="(",LEFT(IFERROR(INDEX(醫師週班表!$C$5:$T$44,$CU14,CO$57),""),1),IFERROR(INDEX(醫師週班表!$C$5:$T$44,$CU14,CO$57),"")))))))</f>
        <v/>
      </c>
      <c r="CP14" s="68">
        <f>IF(CP$59="X","",IF(CP$59&lt;&gt;"",CP$59,IF(IFERROR(INDEX(醫師週班表!$C$5:$T$44,$CU14,CP$57),"")=0,"",IF(MID(IFERROR(INDEX(醫師週班表!$C$5:$T$44,$CU14,CP$57),""),2,1)="/",MID(IFERROR(INDEX(醫師週班表!$C$5:$T$44,$CU14,CP$57),""),1+CP$58*2,1),IF(MID(IFERROR(INDEX(醫師週班表!$C$5:$T$44,$CU14,CP$57),""),3,1)="隔",IF(CP$58=0,LEFT(IFERROR(INDEX(醫師週班表!$C$5:$T$44,$CU14,CP$57),""),1),""),IF(MID(IFERROR(INDEX(醫師週班表!$C$5:$T$44,$CU14,CP$57),""),2,1)="(",LEFT(IFERROR(INDEX(醫師週班表!$C$5:$T$44,$CU14,CP$57),""),1),IFERROR(INDEX(醫師週班表!$C$5:$T$44,$CU14,CP$57),"")))))))</f>
        <v/>
      </c>
      <c r="CQ14" s="67">
        <f>IF(CQ$59="X","",IF(CQ$59&lt;&gt;"",CQ$59,IF(IFERROR(INDEX(醫師週班表!$C$5:$T$44,$CU14,CQ$57),"")=0,"",IF(MID(IFERROR(INDEX(醫師週班表!$C$5:$T$44,$CU14,CQ$57),""),2,1)="/",MID(IFERROR(INDEX(醫師週班表!$C$5:$T$44,$CU14,CQ$57),""),1+CQ$58*2,1),IF(MID(IFERROR(INDEX(醫師週班表!$C$5:$T$44,$CU14,CQ$57),""),3,1)="隔",IF(CQ$58=0,LEFT(IFERROR(INDEX(醫師週班表!$C$5:$T$44,$CU14,CQ$57),""),1),""),IF(MID(IFERROR(INDEX(醫師週班表!$C$5:$T$44,$CU14,CQ$57),""),2,1)="(",LEFT(IFERROR(INDEX(醫師週班表!$C$5:$T$44,$CU14,CQ$57),""),1),IFERROR(INDEX(醫師週班表!$C$5:$T$44,$CU14,CQ$57),"")))))))</f>
        <v/>
      </c>
      <c r="CR14" s="68">
        <f>IF(CR$59="X","",IF(CR$59&lt;&gt;"",CR$59,IF(IFERROR(INDEX(醫師週班表!$C$5:$T$44,$CU14,CR$57),"")=0,"",IF(MID(IFERROR(INDEX(醫師週班表!$C$5:$T$44,$CU14,CR$57),""),2,1)="/",MID(IFERROR(INDEX(醫師週班表!$C$5:$T$44,$CU14,CR$57),""),1+CR$58*2,1),IF(MID(IFERROR(INDEX(醫師週班表!$C$5:$T$44,$CU14,CR$57),""),3,1)="隔",IF(CR$58=0,LEFT(IFERROR(INDEX(醫師週班表!$C$5:$T$44,$CU14,CR$57),""),1),""),IF(MID(IFERROR(INDEX(醫師週班表!$C$5:$T$44,$CU14,CR$57),""),2,1)="(",LEFT(IFERROR(INDEX(醫師週班表!$C$5:$T$44,$CU14,CR$57),""),1),IFERROR(INDEX(醫師週班表!$C$5:$T$44,$CU14,CR$57),"")))))))</f>
        <v/>
      </c>
      <c r="CS14" s="68">
        <f>IF(CS$59="X","",IF(CS$59&lt;&gt;"",CS$59,IF(IFERROR(INDEX(醫師週班表!$C$5:$T$44,$CU14,CS$57),"")=0,"",IF(MID(IFERROR(INDEX(醫師週班表!$C$5:$T$44,$CU14,CS$57),""),2,1)="/",MID(IFERROR(INDEX(醫師週班表!$C$5:$T$44,$CU14,CS$57),""),1+CS$58*2,1),IF(MID(IFERROR(INDEX(醫師週班表!$C$5:$T$44,$CU14,CS$57),""),3,1)="隔",IF(CS$58=0,LEFT(IFERROR(INDEX(醫師週班表!$C$5:$T$44,$CU14,CS$57),""),1),""),IF(MID(IFERROR(INDEX(醫師週班表!$C$5:$T$44,$CU14,CS$57),""),2,1)="(",LEFT(IFERROR(INDEX(醫師週班表!$C$5:$T$44,$CU14,CS$57),""),1),IFERROR(INDEX(醫師週班表!$C$5:$T$44,$CU14,CS$57),"")))))))</f>
        <v/>
      </c>
      <c r="CU14" s="69">
        <f>IFERROR(MATCH($A14,醫師週班表!$A$5:$A$44,0),0)</f>
        <v/>
      </c>
    </row>
    <row r="15" ht="17" customHeight="1">
      <c r="A15" s="20" t="inlineStr">
        <is>
          <t>D010</t>
        </is>
      </c>
      <c r="B15" s="16" t="inlineStr">
        <is>
          <t>蔡季軒</t>
        </is>
      </c>
      <c r="C15" s="66" t="inlineStr"/>
      <c r="D15" s="16" t="inlineStr"/>
      <c r="E15" s="67">
        <f>IF(E$59="X","",IF(E$59&lt;&gt;"",E$59,IF(IFERROR(INDEX(醫師週班表!$C$5:$T$44,$CU15,E$57),"")=0,"",IF(MID(IFERROR(INDEX(醫師週班表!$C$5:$T$44,$CU15,E$57),""),2,1)="/",MID(IFERROR(INDEX(醫師週班表!$C$5:$T$44,$CU15,E$57),""),1+E$58*2,1),IF(MID(IFERROR(INDEX(醫師週班表!$C$5:$T$44,$CU15,E$57),""),3,1)="隔",IF(E$58=0,LEFT(IFERROR(INDEX(醫師週班表!$C$5:$T$44,$CU15,E$57),""),1),""),IF(MID(IFERROR(INDEX(醫師週班表!$C$5:$T$44,$CU15,E$57),""),2,1)="(",LEFT(IFERROR(INDEX(醫師週班表!$C$5:$T$44,$CU15,E$57),""),1),IFERROR(INDEX(醫師週班表!$C$5:$T$44,$CU15,E$57),"")))))))</f>
        <v/>
      </c>
      <c r="F15" s="68">
        <f>IF(F$59="X","",IF(F$59&lt;&gt;"",F$59,IF(IFERROR(INDEX(醫師週班表!$C$5:$T$44,$CU15,F$57),"")=0,"",IF(MID(IFERROR(INDEX(醫師週班表!$C$5:$T$44,$CU15,F$57),""),2,1)="/",MID(IFERROR(INDEX(醫師週班表!$C$5:$T$44,$CU15,F$57),""),1+F$58*2,1),IF(MID(IFERROR(INDEX(醫師週班表!$C$5:$T$44,$CU15,F$57),""),3,1)="隔",IF(F$58=0,LEFT(IFERROR(INDEX(醫師週班表!$C$5:$T$44,$CU15,F$57),""),1),""),IF(MID(IFERROR(INDEX(醫師週班表!$C$5:$T$44,$CU15,F$57),""),2,1)="(",LEFT(IFERROR(INDEX(醫師週班表!$C$5:$T$44,$CU15,F$57),""),1),IFERROR(INDEX(醫師週班表!$C$5:$T$44,$CU15,F$57),"")))))))</f>
        <v/>
      </c>
      <c r="G15" s="68">
        <f>IF(G$59="X","",IF(G$59&lt;&gt;"",G$59,IF(IFERROR(INDEX(醫師週班表!$C$5:$T$44,$CU15,G$57),"")=0,"",IF(MID(IFERROR(INDEX(醫師週班表!$C$5:$T$44,$CU15,G$57),""),2,1)="/",MID(IFERROR(INDEX(醫師週班表!$C$5:$T$44,$CU15,G$57),""),1+G$58*2,1),IF(MID(IFERROR(INDEX(醫師週班表!$C$5:$T$44,$CU15,G$57),""),3,1)="隔",IF(G$58=0,LEFT(IFERROR(INDEX(醫師週班表!$C$5:$T$44,$CU15,G$57),""),1),""),IF(MID(IFERROR(INDEX(醫師週班表!$C$5:$T$44,$CU15,G$57),""),2,1)="(",LEFT(IFERROR(INDEX(醫師週班表!$C$5:$T$44,$CU15,G$57),""),1),IFERROR(INDEX(醫師週班表!$C$5:$T$44,$CU15,G$57),"")))))))</f>
        <v/>
      </c>
      <c r="H15" s="67">
        <f>IF(H$59="X","",IF(H$59&lt;&gt;"",H$59,IF(IFERROR(INDEX(醫師週班表!$C$5:$T$44,$CU15,H$57),"")=0,"",IF(MID(IFERROR(INDEX(醫師週班表!$C$5:$T$44,$CU15,H$57),""),2,1)="/",MID(IFERROR(INDEX(醫師週班表!$C$5:$T$44,$CU15,H$57),""),1+H$58*2,1),IF(MID(IFERROR(INDEX(醫師週班表!$C$5:$T$44,$CU15,H$57),""),3,1)="隔",IF(H$58=0,LEFT(IFERROR(INDEX(醫師週班表!$C$5:$T$44,$CU15,H$57),""),1),""),IF(MID(IFERROR(INDEX(醫師週班表!$C$5:$T$44,$CU15,H$57),""),2,1)="(",LEFT(IFERROR(INDEX(醫師週班表!$C$5:$T$44,$CU15,H$57),""),1),IFERROR(INDEX(醫師週班表!$C$5:$T$44,$CU15,H$57),"")))))))</f>
        <v/>
      </c>
      <c r="I15" s="68">
        <f>IF(I$59="X","",IF(I$59&lt;&gt;"",I$59,IF(IFERROR(INDEX(醫師週班表!$C$5:$T$44,$CU15,I$57),"")=0,"",IF(MID(IFERROR(INDEX(醫師週班表!$C$5:$T$44,$CU15,I$57),""),2,1)="/",MID(IFERROR(INDEX(醫師週班表!$C$5:$T$44,$CU15,I$57),""),1+I$58*2,1),IF(MID(IFERROR(INDEX(醫師週班表!$C$5:$T$44,$CU15,I$57),""),3,1)="隔",IF(I$58=0,LEFT(IFERROR(INDEX(醫師週班表!$C$5:$T$44,$CU15,I$57),""),1),""),IF(MID(IFERROR(INDEX(醫師週班表!$C$5:$T$44,$CU15,I$57),""),2,1)="(",LEFT(IFERROR(INDEX(醫師週班表!$C$5:$T$44,$CU15,I$57),""),1),IFERROR(INDEX(醫師週班表!$C$5:$T$44,$CU15,I$57),"")))))))</f>
        <v/>
      </c>
      <c r="J15" s="68">
        <f>IF(J$59="X","",IF(J$59&lt;&gt;"",J$59,IF(IFERROR(INDEX(醫師週班表!$C$5:$T$44,$CU15,J$57),"")=0,"",IF(MID(IFERROR(INDEX(醫師週班表!$C$5:$T$44,$CU15,J$57),""),2,1)="/",MID(IFERROR(INDEX(醫師週班表!$C$5:$T$44,$CU15,J$57),""),1+J$58*2,1),IF(MID(IFERROR(INDEX(醫師週班表!$C$5:$T$44,$CU15,J$57),""),3,1)="隔",IF(J$58=0,LEFT(IFERROR(INDEX(醫師週班表!$C$5:$T$44,$CU15,J$57),""),1),""),IF(MID(IFERROR(INDEX(醫師週班表!$C$5:$T$44,$CU15,J$57),""),2,1)="(",LEFT(IFERROR(INDEX(醫師週班表!$C$5:$T$44,$CU15,J$57),""),1),IFERROR(INDEX(醫師週班表!$C$5:$T$44,$CU15,J$57),"")))))))</f>
        <v/>
      </c>
      <c r="K15" s="67">
        <f>IF(K$59="X","",IF(K$59&lt;&gt;"",K$59,IF(IFERROR(INDEX(醫師週班表!$C$5:$T$44,$CU15,K$57),"")=0,"",IF(MID(IFERROR(INDEX(醫師週班表!$C$5:$T$44,$CU15,K$57),""),2,1)="/",MID(IFERROR(INDEX(醫師週班表!$C$5:$T$44,$CU15,K$57),""),1+K$58*2,1),IF(MID(IFERROR(INDEX(醫師週班表!$C$5:$T$44,$CU15,K$57),""),3,1)="隔",IF(K$58=0,LEFT(IFERROR(INDEX(醫師週班表!$C$5:$T$44,$CU15,K$57),""),1),""),IF(MID(IFERROR(INDEX(醫師週班表!$C$5:$T$44,$CU15,K$57),""),2,1)="(",LEFT(IFERROR(INDEX(醫師週班表!$C$5:$T$44,$CU15,K$57),""),1),IFERROR(INDEX(醫師週班表!$C$5:$T$44,$CU15,K$57),"")))))))</f>
        <v/>
      </c>
      <c r="L15" s="68">
        <f>IF(L$59="X","",IF(L$59&lt;&gt;"",L$59,IF(IFERROR(INDEX(醫師週班表!$C$5:$T$44,$CU15,L$57),"")=0,"",IF(MID(IFERROR(INDEX(醫師週班表!$C$5:$T$44,$CU15,L$57),""),2,1)="/",MID(IFERROR(INDEX(醫師週班表!$C$5:$T$44,$CU15,L$57),""),1+L$58*2,1),IF(MID(IFERROR(INDEX(醫師週班表!$C$5:$T$44,$CU15,L$57),""),3,1)="隔",IF(L$58=0,LEFT(IFERROR(INDEX(醫師週班表!$C$5:$T$44,$CU15,L$57),""),1),""),IF(MID(IFERROR(INDEX(醫師週班表!$C$5:$T$44,$CU15,L$57),""),2,1)="(",LEFT(IFERROR(INDEX(醫師週班表!$C$5:$T$44,$CU15,L$57),""),1),IFERROR(INDEX(醫師週班表!$C$5:$T$44,$CU15,L$57),"")))))))</f>
        <v/>
      </c>
      <c r="M15" s="68">
        <f>IF(M$59="X","",IF(M$59&lt;&gt;"",M$59,IF(IFERROR(INDEX(醫師週班表!$C$5:$T$44,$CU15,M$57),"")=0,"",IF(MID(IFERROR(INDEX(醫師週班表!$C$5:$T$44,$CU15,M$57),""),2,1)="/",MID(IFERROR(INDEX(醫師週班表!$C$5:$T$44,$CU15,M$57),""),1+M$58*2,1),IF(MID(IFERROR(INDEX(醫師週班表!$C$5:$T$44,$CU15,M$57),""),3,1)="隔",IF(M$58=0,LEFT(IFERROR(INDEX(醫師週班表!$C$5:$T$44,$CU15,M$57),""),1),""),IF(MID(IFERROR(INDEX(醫師週班表!$C$5:$T$44,$CU15,M$57),""),2,1)="(",LEFT(IFERROR(INDEX(醫師週班表!$C$5:$T$44,$CU15,M$57),""),1),IFERROR(INDEX(醫師週班表!$C$5:$T$44,$CU15,M$57),"")))))))</f>
        <v/>
      </c>
      <c r="N15" s="67">
        <f>IF(N$59="X","",IF(N$59&lt;&gt;"",N$59,IF(IFERROR(INDEX(醫師週班表!$C$5:$T$44,$CU15,N$57),"")=0,"",IF(MID(IFERROR(INDEX(醫師週班表!$C$5:$T$44,$CU15,N$57),""),2,1)="/",MID(IFERROR(INDEX(醫師週班表!$C$5:$T$44,$CU15,N$57),""),1+N$58*2,1),IF(MID(IFERROR(INDEX(醫師週班表!$C$5:$T$44,$CU15,N$57),""),3,1)="隔",IF(N$58=0,LEFT(IFERROR(INDEX(醫師週班表!$C$5:$T$44,$CU15,N$57),""),1),""),IF(MID(IFERROR(INDEX(醫師週班表!$C$5:$T$44,$CU15,N$57),""),2,1)="(",LEFT(IFERROR(INDEX(醫師週班表!$C$5:$T$44,$CU15,N$57),""),1),IFERROR(INDEX(醫師週班表!$C$5:$T$44,$CU15,N$57),"")))))))</f>
        <v/>
      </c>
      <c r="O15" s="68">
        <f>IF(O$59="X","",IF(O$59&lt;&gt;"",O$59,IF(IFERROR(INDEX(醫師週班表!$C$5:$T$44,$CU15,O$57),"")=0,"",IF(MID(IFERROR(INDEX(醫師週班表!$C$5:$T$44,$CU15,O$57),""),2,1)="/",MID(IFERROR(INDEX(醫師週班表!$C$5:$T$44,$CU15,O$57),""),1+O$58*2,1),IF(MID(IFERROR(INDEX(醫師週班表!$C$5:$T$44,$CU15,O$57),""),3,1)="隔",IF(O$58=0,LEFT(IFERROR(INDEX(醫師週班表!$C$5:$T$44,$CU15,O$57),""),1),""),IF(MID(IFERROR(INDEX(醫師週班表!$C$5:$T$44,$CU15,O$57),""),2,1)="(",LEFT(IFERROR(INDEX(醫師週班表!$C$5:$T$44,$CU15,O$57),""),1),IFERROR(INDEX(醫師週班表!$C$5:$T$44,$CU15,O$57),"")))))))</f>
        <v/>
      </c>
      <c r="P15" s="68">
        <f>IF(P$59="X","",IF(P$59&lt;&gt;"",P$59,IF(IFERROR(INDEX(醫師週班表!$C$5:$T$44,$CU15,P$57),"")=0,"",IF(MID(IFERROR(INDEX(醫師週班表!$C$5:$T$44,$CU15,P$57),""),2,1)="/",MID(IFERROR(INDEX(醫師週班表!$C$5:$T$44,$CU15,P$57),""),1+P$58*2,1),IF(MID(IFERROR(INDEX(醫師週班表!$C$5:$T$44,$CU15,P$57),""),3,1)="隔",IF(P$58=0,LEFT(IFERROR(INDEX(醫師週班表!$C$5:$T$44,$CU15,P$57),""),1),""),IF(MID(IFERROR(INDEX(醫師週班表!$C$5:$T$44,$CU15,P$57),""),2,1)="(",LEFT(IFERROR(INDEX(醫師週班表!$C$5:$T$44,$CU15,P$57),""),1),IFERROR(INDEX(醫師週班表!$C$5:$T$44,$CU15,P$57),"")))))))</f>
        <v/>
      </c>
      <c r="Q15" s="67">
        <f>IF(Q$59="X","",IF(Q$59&lt;&gt;"",Q$59,IF(IFERROR(INDEX(醫師週班表!$C$5:$T$44,$CU15,Q$57),"")=0,"",IF(MID(IFERROR(INDEX(醫師週班表!$C$5:$T$44,$CU15,Q$57),""),2,1)="/",MID(IFERROR(INDEX(醫師週班表!$C$5:$T$44,$CU15,Q$57),""),1+Q$58*2,1),IF(MID(IFERROR(INDEX(醫師週班表!$C$5:$T$44,$CU15,Q$57),""),3,1)="隔",IF(Q$58=0,LEFT(IFERROR(INDEX(醫師週班表!$C$5:$T$44,$CU15,Q$57),""),1),""),IF(MID(IFERROR(INDEX(醫師週班表!$C$5:$T$44,$CU15,Q$57),""),2,1)="(",LEFT(IFERROR(INDEX(醫師週班表!$C$5:$T$44,$CU15,Q$57),""),1),IFERROR(INDEX(醫師週班表!$C$5:$T$44,$CU15,Q$57),"")))))))</f>
        <v/>
      </c>
      <c r="R15" s="68">
        <f>IF(R$59="X","",IF(R$59&lt;&gt;"",R$59,IF(IFERROR(INDEX(醫師週班表!$C$5:$T$44,$CU15,R$57),"")=0,"",IF(MID(IFERROR(INDEX(醫師週班表!$C$5:$T$44,$CU15,R$57),""),2,1)="/",MID(IFERROR(INDEX(醫師週班表!$C$5:$T$44,$CU15,R$57),""),1+R$58*2,1),IF(MID(IFERROR(INDEX(醫師週班表!$C$5:$T$44,$CU15,R$57),""),3,1)="隔",IF(R$58=0,LEFT(IFERROR(INDEX(醫師週班表!$C$5:$T$44,$CU15,R$57),""),1),""),IF(MID(IFERROR(INDEX(醫師週班表!$C$5:$T$44,$CU15,R$57),""),2,1)="(",LEFT(IFERROR(INDEX(醫師週班表!$C$5:$T$44,$CU15,R$57),""),1),IFERROR(INDEX(醫師週班表!$C$5:$T$44,$CU15,R$57),"")))))))</f>
        <v/>
      </c>
      <c r="S15" s="68">
        <f>IF(S$59="X","",IF(S$59&lt;&gt;"",S$59,IF(IFERROR(INDEX(醫師週班表!$C$5:$T$44,$CU15,S$57),"")=0,"",IF(MID(IFERROR(INDEX(醫師週班表!$C$5:$T$44,$CU15,S$57),""),2,1)="/",MID(IFERROR(INDEX(醫師週班表!$C$5:$T$44,$CU15,S$57),""),1+S$58*2,1),IF(MID(IFERROR(INDEX(醫師週班表!$C$5:$T$44,$CU15,S$57),""),3,1)="隔",IF(S$58=0,LEFT(IFERROR(INDEX(醫師週班表!$C$5:$T$44,$CU15,S$57),""),1),""),IF(MID(IFERROR(INDEX(醫師週班表!$C$5:$T$44,$CU15,S$57),""),2,1)="(",LEFT(IFERROR(INDEX(醫師週班表!$C$5:$T$44,$CU15,S$57),""),1),IFERROR(INDEX(醫師週班表!$C$5:$T$44,$CU15,S$57),"")))))))</f>
        <v/>
      </c>
      <c r="T15" s="67">
        <f>IF(T$59="X","",IF(T$59&lt;&gt;"",T$59,IF(IFERROR(INDEX(醫師週班表!$C$5:$T$44,$CU15,T$57),"")=0,"",IF(MID(IFERROR(INDEX(醫師週班表!$C$5:$T$44,$CU15,T$57),""),2,1)="/",MID(IFERROR(INDEX(醫師週班表!$C$5:$T$44,$CU15,T$57),""),1+T$58*2,1),IF(MID(IFERROR(INDEX(醫師週班表!$C$5:$T$44,$CU15,T$57),""),3,1)="隔",IF(T$58=0,LEFT(IFERROR(INDEX(醫師週班表!$C$5:$T$44,$CU15,T$57),""),1),""),IF(MID(IFERROR(INDEX(醫師週班表!$C$5:$T$44,$CU15,T$57),""),2,1)="(",LEFT(IFERROR(INDEX(醫師週班表!$C$5:$T$44,$CU15,T$57),""),1),IFERROR(INDEX(醫師週班表!$C$5:$T$44,$CU15,T$57),"")))))))</f>
        <v/>
      </c>
      <c r="U15" s="68">
        <f>IF(U$59="X","",IF(U$59&lt;&gt;"",U$59,IF(IFERROR(INDEX(醫師週班表!$C$5:$T$44,$CU15,U$57),"")=0,"",IF(MID(IFERROR(INDEX(醫師週班表!$C$5:$T$44,$CU15,U$57),""),2,1)="/",MID(IFERROR(INDEX(醫師週班表!$C$5:$T$44,$CU15,U$57),""),1+U$58*2,1),IF(MID(IFERROR(INDEX(醫師週班表!$C$5:$T$44,$CU15,U$57),""),3,1)="隔",IF(U$58=0,LEFT(IFERROR(INDEX(醫師週班表!$C$5:$T$44,$CU15,U$57),""),1),""),IF(MID(IFERROR(INDEX(醫師週班表!$C$5:$T$44,$CU15,U$57),""),2,1)="(",LEFT(IFERROR(INDEX(醫師週班表!$C$5:$T$44,$CU15,U$57),""),1),IFERROR(INDEX(醫師週班表!$C$5:$T$44,$CU15,U$57),"")))))))</f>
        <v/>
      </c>
      <c r="V15" s="68">
        <f>IF(V$59="X","",IF(V$59&lt;&gt;"",V$59,IF(IFERROR(INDEX(醫師週班表!$C$5:$T$44,$CU15,V$57),"")=0,"",IF(MID(IFERROR(INDEX(醫師週班表!$C$5:$T$44,$CU15,V$57),""),2,1)="/",MID(IFERROR(INDEX(醫師週班表!$C$5:$T$44,$CU15,V$57),""),1+V$58*2,1),IF(MID(IFERROR(INDEX(醫師週班表!$C$5:$T$44,$CU15,V$57),""),3,1)="隔",IF(V$58=0,LEFT(IFERROR(INDEX(醫師週班表!$C$5:$T$44,$CU15,V$57),""),1),""),IF(MID(IFERROR(INDEX(醫師週班表!$C$5:$T$44,$CU15,V$57),""),2,1)="(",LEFT(IFERROR(INDEX(醫師週班表!$C$5:$T$44,$CU15,V$57),""),1),IFERROR(INDEX(醫師週班表!$C$5:$T$44,$CU15,V$57),"")))))))</f>
        <v/>
      </c>
      <c r="W15" s="67">
        <f>IF(W$59="X","",IF(W$59&lt;&gt;"",W$59,IF(IFERROR(INDEX(醫師週班表!$C$5:$T$44,$CU15,W$57),"")=0,"",IF(MID(IFERROR(INDEX(醫師週班表!$C$5:$T$44,$CU15,W$57),""),2,1)="/",MID(IFERROR(INDEX(醫師週班表!$C$5:$T$44,$CU15,W$57),""),1+W$58*2,1),IF(MID(IFERROR(INDEX(醫師週班表!$C$5:$T$44,$CU15,W$57),""),3,1)="隔",IF(W$58=0,LEFT(IFERROR(INDEX(醫師週班表!$C$5:$T$44,$CU15,W$57),""),1),""),IF(MID(IFERROR(INDEX(醫師週班表!$C$5:$T$44,$CU15,W$57),""),2,1)="(",LEFT(IFERROR(INDEX(醫師週班表!$C$5:$T$44,$CU15,W$57),""),1),IFERROR(INDEX(醫師週班表!$C$5:$T$44,$CU15,W$57),"")))))))</f>
        <v/>
      </c>
      <c r="X15" s="68">
        <f>IF(X$59="X","",IF(X$59&lt;&gt;"",X$59,IF(IFERROR(INDEX(醫師週班表!$C$5:$T$44,$CU15,X$57),"")=0,"",IF(MID(IFERROR(INDEX(醫師週班表!$C$5:$T$44,$CU15,X$57),""),2,1)="/",MID(IFERROR(INDEX(醫師週班表!$C$5:$T$44,$CU15,X$57),""),1+X$58*2,1),IF(MID(IFERROR(INDEX(醫師週班表!$C$5:$T$44,$CU15,X$57),""),3,1)="隔",IF(X$58=0,LEFT(IFERROR(INDEX(醫師週班表!$C$5:$T$44,$CU15,X$57),""),1),""),IF(MID(IFERROR(INDEX(醫師週班表!$C$5:$T$44,$CU15,X$57),""),2,1)="(",LEFT(IFERROR(INDEX(醫師週班表!$C$5:$T$44,$CU15,X$57),""),1),IFERROR(INDEX(醫師週班表!$C$5:$T$44,$CU15,X$57),"")))))))</f>
        <v/>
      </c>
      <c r="Y15" s="68">
        <f>IF(Y$59="X","",IF(Y$59&lt;&gt;"",Y$59,IF(IFERROR(INDEX(醫師週班表!$C$5:$T$44,$CU15,Y$57),"")=0,"",IF(MID(IFERROR(INDEX(醫師週班表!$C$5:$T$44,$CU15,Y$57),""),2,1)="/",MID(IFERROR(INDEX(醫師週班表!$C$5:$T$44,$CU15,Y$57),""),1+Y$58*2,1),IF(MID(IFERROR(INDEX(醫師週班表!$C$5:$T$44,$CU15,Y$57),""),3,1)="隔",IF(Y$58=0,LEFT(IFERROR(INDEX(醫師週班表!$C$5:$T$44,$CU15,Y$57),""),1),""),IF(MID(IFERROR(INDEX(醫師週班表!$C$5:$T$44,$CU15,Y$57),""),2,1)="(",LEFT(IFERROR(INDEX(醫師週班表!$C$5:$T$44,$CU15,Y$57),""),1),IFERROR(INDEX(醫師週班表!$C$5:$T$44,$CU15,Y$57),"")))))))</f>
        <v/>
      </c>
      <c r="Z15" s="67">
        <f>IF(Z$59="X","",IF(Z$59&lt;&gt;"",Z$59,IF(IFERROR(INDEX(醫師週班表!$C$5:$T$44,$CU15,Z$57),"")=0,"",IF(MID(IFERROR(INDEX(醫師週班表!$C$5:$T$44,$CU15,Z$57),""),2,1)="/",MID(IFERROR(INDEX(醫師週班表!$C$5:$T$44,$CU15,Z$57),""),1+Z$58*2,1),IF(MID(IFERROR(INDEX(醫師週班表!$C$5:$T$44,$CU15,Z$57),""),3,1)="隔",IF(Z$58=0,LEFT(IFERROR(INDEX(醫師週班表!$C$5:$T$44,$CU15,Z$57),""),1),""),IF(MID(IFERROR(INDEX(醫師週班表!$C$5:$T$44,$CU15,Z$57),""),2,1)="(",LEFT(IFERROR(INDEX(醫師週班表!$C$5:$T$44,$CU15,Z$57),""),1),IFERROR(INDEX(醫師週班表!$C$5:$T$44,$CU15,Z$57),"")))))))</f>
        <v/>
      </c>
      <c r="AA15" s="68">
        <f>IF(AA$59="X","",IF(AA$59&lt;&gt;"",AA$59,IF(IFERROR(INDEX(醫師週班表!$C$5:$T$44,$CU15,AA$57),"")=0,"",IF(MID(IFERROR(INDEX(醫師週班表!$C$5:$T$44,$CU15,AA$57),""),2,1)="/",MID(IFERROR(INDEX(醫師週班表!$C$5:$T$44,$CU15,AA$57),""),1+AA$58*2,1),IF(MID(IFERROR(INDEX(醫師週班表!$C$5:$T$44,$CU15,AA$57),""),3,1)="隔",IF(AA$58=0,LEFT(IFERROR(INDEX(醫師週班表!$C$5:$T$44,$CU15,AA$57),""),1),""),IF(MID(IFERROR(INDEX(醫師週班表!$C$5:$T$44,$CU15,AA$57),""),2,1)="(",LEFT(IFERROR(INDEX(醫師週班表!$C$5:$T$44,$CU15,AA$57),""),1),IFERROR(INDEX(醫師週班表!$C$5:$T$44,$CU15,AA$57),"")))))))</f>
        <v/>
      </c>
      <c r="AB15" s="68">
        <f>IF(AB$59="X","",IF(AB$59&lt;&gt;"",AB$59,IF(IFERROR(INDEX(醫師週班表!$C$5:$T$44,$CU15,AB$57),"")=0,"",IF(MID(IFERROR(INDEX(醫師週班表!$C$5:$T$44,$CU15,AB$57),""),2,1)="/",MID(IFERROR(INDEX(醫師週班表!$C$5:$T$44,$CU15,AB$57),""),1+AB$58*2,1),IF(MID(IFERROR(INDEX(醫師週班表!$C$5:$T$44,$CU15,AB$57),""),3,1)="隔",IF(AB$58=0,LEFT(IFERROR(INDEX(醫師週班表!$C$5:$T$44,$CU15,AB$57),""),1),""),IF(MID(IFERROR(INDEX(醫師週班表!$C$5:$T$44,$CU15,AB$57),""),2,1)="(",LEFT(IFERROR(INDEX(醫師週班表!$C$5:$T$44,$CU15,AB$57),""),1),IFERROR(INDEX(醫師週班表!$C$5:$T$44,$CU15,AB$57),"")))))))</f>
        <v/>
      </c>
      <c r="AC15" s="67">
        <f>IF(AC$59="X","",IF(AC$59&lt;&gt;"",AC$59,IF(IFERROR(INDEX(醫師週班表!$C$5:$T$44,$CU15,AC$57),"")=0,"",IF(MID(IFERROR(INDEX(醫師週班表!$C$5:$T$44,$CU15,AC$57),""),2,1)="/",MID(IFERROR(INDEX(醫師週班表!$C$5:$T$44,$CU15,AC$57),""),1+AC$58*2,1),IF(MID(IFERROR(INDEX(醫師週班表!$C$5:$T$44,$CU15,AC$57),""),3,1)="隔",IF(AC$58=0,LEFT(IFERROR(INDEX(醫師週班表!$C$5:$T$44,$CU15,AC$57),""),1),""),IF(MID(IFERROR(INDEX(醫師週班表!$C$5:$T$44,$CU15,AC$57),""),2,1)="(",LEFT(IFERROR(INDEX(醫師週班表!$C$5:$T$44,$CU15,AC$57),""),1),IFERROR(INDEX(醫師週班表!$C$5:$T$44,$CU15,AC$57),"")))))))</f>
        <v/>
      </c>
      <c r="AD15" s="68">
        <f>IF(AD$59="X","",IF(AD$59&lt;&gt;"",AD$59,IF(IFERROR(INDEX(醫師週班表!$C$5:$T$44,$CU15,AD$57),"")=0,"",IF(MID(IFERROR(INDEX(醫師週班表!$C$5:$T$44,$CU15,AD$57),""),2,1)="/",MID(IFERROR(INDEX(醫師週班表!$C$5:$T$44,$CU15,AD$57),""),1+AD$58*2,1),IF(MID(IFERROR(INDEX(醫師週班表!$C$5:$T$44,$CU15,AD$57),""),3,1)="隔",IF(AD$58=0,LEFT(IFERROR(INDEX(醫師週班表!$C$5:$T$44,$CU15,AD$57),""),1),""),IF(MID(IFERROR(INDEX(醫師週班表!$C$5:$T$44,$CU15,AD$57),""),2,1)="(",LEFT(IFERROR(INDEX(醫師週班表!$C$5:$T$44,$CU15,AD$57),""),1),IFERROR(INDEX(醫師週班表!$C$5:$T$44,$CU15,AD$57),"")))))))</f>
        <v/>
      </c>
      <c r="AE15" s="68">
        <f>IF(AE$59="X","",IF(AE$59&lt;&gt;"",AE$59,IF(IFERROR(INDEX(醫師週班表!$C$5:$T$44,$CU15,AE$57),"")=0,"",IF(MID(IFERROR(INDEX(醫師週班表!$C$5:$T$44,$CU15,AE$57),""),2,1)="/",MID(IFERROR(INDEX(醫師週班表!$C$5:$T$44,$CU15,AE$57),""),1+AE$58*2,1),IF(MID(IFERROR(INDEX(醫師週班表!$C$5:$T$44,$CU15,AE$57),""),3,1)="隔",IF(AE$58=0,LEFT(IFERROR(INDEX(醫師週班表!$C$5:$T$44,$CU15,AE$57),""),1),""),IF(MID(IFERROR(INDEX(醫師週班表!$C$5:$T$44,$CU15,AE$57),""),2,1)="(",LEFT(IFERROR(INDEX(醫師週班表!$C$5:$T$44,$CU15,AE$57),""),1),IFERROR(INDEX(醫師週班表!$C$5:$T$44,$CU15,AE$57),"")))))))</f>
        <v/>
      </c>
      <c r="AF15" s="67">
        <f>IF(AF$59="X","",IF(AF$59&lt;&gt;"",AF$59,IF(IFERROR(INDEX(醫師週班表!$C$5:$T$44,$CU15,AF$57),"")=0,"",IF(MID(IFERROR(INDEX(醫師週班表!$C$5:$T$44,$CU15,AF$57),""),2,1)="/",MID(IFERROR(INDEX(醫師週班表!$C$5:$T$44,$CU15,AF$57),""),1+AF$58*2,1),IF(MID(IFERROR(INDEX(醫師週班表!$C$5:$T$44,$CU15,AF$57),""),3,1)="隔",IF(AF$58=0,LEFT(IFERROR(INDEX(醫師週班表!$C$5:$T$44,$CU15,AF$57),""),1),""),IF(MID(IFERROR(INDEX(醫師週班表!$C$5:$T$44,$CU15,AF$57),""),2,1)="(",LEFT(IFERROR(INDEX(醫師週班表!$C$5:$T$44,$CU15,AF$57),""),1),IFERROR(INDEX(醫師週班表!$C$5:$T$44,$CU15,AF$57),"")))))))</f>
        <v/>
      </c>
      <c r="AG15" s="68">
        <f>IF(AG$59="X","",IF(AG$59&lt;&gt;"",AG$59,IF(IFERROR(INDEX(醫師週班表!$C$5:$T$44,$CU15,AG$57),"")=0,"",IF(MID(IFERROR(INDEX(醫師週班表!$C$5:$T$44,$CU15,AG$57),""),2,1)="/",MID(IFERROR(INDEX(醫師週班表!$C$5:$T$44,$CU15,AG$57),""),1+AG$58*2,1),IF(MID(IFERROR(INDEX(醫師週班表!$C$5:$T$44,$CU15,AG$57),""),3,1)="隔",IF(AG$58=0,LEFT(IFERROR(INDEX(醫師週班表!$C$5:$T$44,$CU15,AG$57),""),1),""),IF(MID(IFERROR(INDEX(醫師週班表!$C$5:$T$44,$CU15,AG$57),""),2,1)="(",LEFT(IFERROR(INDEX(醫師週班表!$C$5:$T$44,$CU15,AG$57),""),1),IFERROR(INDEX(醫師週班表!$C$5:$T$44,$CU15,AG$57),"")))))))</f>
        <v/>
      </c>
      <c r="AH15" s="68">
        <f>IF(AH$59="X","",IF(AH$59&lt;&gt;"",AH$59,IF(IFERROR(INDEX(醫師週班表!$C$5:$T$44,$CU15,AH$57),"")=0,"",IF(MID(IFERROR(INDEX(醫師週班表!$C$5:$T$44,$CU15,AH$57),""),2,1)="/",MID(IFERROR(INDEX(醫師週班表!$C$5:$T$44,$CU15,AH$57),""),1+AH$58*2,1),IF(MID(IFERROR(INDEX(醫師週班表!$C$5:$T$44,$CU15,AH$57),""),3,1)="隔",IF(AH$58=0,LEFT(IFERROR(INDEX(醫師週班表!$C$5:$T$44,$CU15,AH$57),""),1),""),IF(MID(IFERROR(INDEX(醫師週班表!$C$5:$T$44,$CU15,AH$57),""),2,1)="(",LEFT(IFERROR(INDEX(醫師週班表!$C$5:$T$44,$CU15,AH$57),""),1),IFERROR(INDEX(醫師週班表!$C$5:$T$44,$CU15,AH$57),"")))))))</f>
        <v/>
      </c>
      <c r="AI15" s="67">
        <f>IF(AI$59="X","",IF(AI$59&lt;&gt;"",AI$59,IF(IFERROR(INDEX(醫師週班表!$C$5:$T$44,$CU15,AI$57),"")=0,"",IF(MID(IFERROR(INDEX(醫師週班表!$C$5:$T$44,$CU15,AI$57),""),2,1)="/",MID(IFERROR(INDEX(醫師週班表!$C$5:$T$44,$CU15,AI$57),""),1+AI$58*2,1),IF(MID(IFERROR(INDEX(醫師週班表!$C$5:$T$44,$CU15,AI$57),""),3,1)="隔",IF(AI$58=0,LEFT(IFERROR(INDEX(醫師週班表!$C$5:$T$44,$CU15,AI$57),""),1),""),IF(MID(IFERROR(INDEX(醫師週班表!$C$5:$T$44,$CU15,AI$57),""),2,1)="(",LEFT(IFERROR(INDEX(醫師週班表!$C$5:$T$44,$CU15,AI$57),""),1),IFERROR(INDEX(醫師週班表!$C$5:$T$44,$CU15,AI$57),"")))))))</f>
        <v/>
      </c>
      <c r="AJ15" s="68">
        <f>IF(AJ$59="X","",IF(AJ$59&lt;&gt;"",AJ$59,IF(IFERROR(INDEX(醫師週班表!$C$5:$T$44,$CU15,AJ$57),"")=0,"",IF(MID(IFERROR(INDEX(醫師週班表!$C$5:$T$44,$CU15,AJ$57),""),2,1)="/",MID(IFERROR(INDEX(醫師週班表!$C$5:$T$44,$CU15,AJ$57),""),1+AJ$58*2,1),IF(MID(IFERROR(INDEX(醫師週班表!$C$5:$T$44,$CU15,AJ$57),""),3,1)="隔",IF(AJ$58=0,LEFT(IFERROR(INDEX(醫師週班表!$C$5:$T$44,$CU15,AJ$57),""),1),""),IF(MID(IFERROR(INDEX(醫師週班表!$C$5:$T$44,$CU15,AJ$57),""),2,1)="(",LEFT(IFERROR(INDEX(醫師週班表!$C$5:$T$44,$CU15,AJ$57),""),1),IFERROR(INDEX(醫師週班表!$C$5:$T$44,$CU15,AJ$57),"")))))))</f>
        <v/>
      </c>
      <c r="AK15" s="68">
        <f>IF(AK$59="X","",IF(AK$59&lt;&gt;"",AK$59,IF(IFERROR(INDEX(醫師週班表!$C$5:$T$44,$CU15,AK$57),"")=0,"",IF(MID(IFERROR(INDEX(醫師週班表!$C$5:$T$44,$CU15,AK$57),""),2,1)="/",MID(IFERROR(INDEX(醫師週班表!$C$5:$T$44,$CU15,AK$57),""),1+AK$58*2,1),IF(MID(IFERROR(INDEX(醫師週班表!$C$5:$T$44,$CU15,AK$57),""),3,1)="隔",IF(AK$58=0,LEFT(IFERROR(INDEX(醫師週班表!$C$5:$T$44,$CU15,AK$57),""),1),""),IF(MID(IFERROR(INDEX(醫師週班表!$C$5:$T$44,$CU15,AK$57),""),2,1)="(",LEFT(IFERROR(INDEX(醫師週班表!$C$5:$T$44,$CU15,AK$57),""),1),IFERROR(INDEX(醫師週班表!$C$5:$T$44,$CU15,AK$57),"")))))))</f>
        <v/>
      </c>
      <c r="AL15" s="67">
        <f>IF(AL$59="X","",IF(AL$59&lt;&gt;"",AL$59,IF(IFERROR(INDEX(醫師週班表!$C$5:$T$44,$CU15,AL$57),"")=0,"",IF(MID(IFERROR(INDEX(醫師週班表!$C$5:$T$44,$CU15,AL$57),""),2,1)="/",MID(IFERROR(INDEX(醫師週班表!$C$5:$T$44,$CU15,AL$57),""),1+AL$58*2,1),IF(MID(IFERROR(INDEX(醫師週班表!$C$5:$T$44,$CU15,AL$57),""),3,1)="隔",IF(AL$58=0,LEFT(IFERROR(INDEX(醫師週班表!$C$5:$T$44,$CU15,AL$57),""),1),""),IF(MID(IFERROR(INDEX(醫師週班表!$C$5:$T$44,$CU15,AL$57),""),2,1)="(",LEFT(IFERROR(INDEX(醫師週班表!$C$5:$T$44,$CU15,AL$57),""),1),IFERROR(INDEX(醫師週班表!$C$5:$T$44,$CU15,AL$57),"")))))))</f>
        <v/>
      </c>
      <c r="AM15" s="68">
        <f>IF(AM$59="X","",IF(AM$59&lt;&gt;"",AM$59,IF(IFERROR(INDEX(醫師週班表!$C$5:$T$44,$CU15,AM$57),"")=0,"",IF(MID(IFERROR(INDEX(醫師週班表!$C$5:$T$44,$CU15,AM$57),""),2,1)="/",MID(IFERROR(INDEX(醫師週班表!$C$5:$T$44,$CU15,AM$57),""),1+AM$58*2,1),IF(MID(IFERROR(INDEX(醫師週班表!$C$5:$T$44,$CU15,AM$57),""),3,1)="隔",IF(AM$58=0,LEFT(IFERROR(INDEX(醫師週班表!$C$5:$T$44,$CU15,AM$57),""),1),""),IF(MID(IFERROR(INDEX(醫師週班表!$C$5:$T$44,$CU15,AM$57),""),2,1)="(",LEFT(IFERROR(INDEX(醫師週班表!$C$5:$T$44,$CU15,AM$57),""),1),IFERROR(INDEX(醫師週班表!$C$5:$T$44,$CU15,AM$57),"")))))))</f>
        <v/>
      </c>
      <c r="AN15" s="68">
        <f>IF(AN$59="X","",IF(AN$59&lt;&gt;"",AN$59,IF(IFERROR(INDEX(醫師週班表!$C$5:$T$44,$CU15,AN$57),"")=0,"",IF(MID(IFERROR(INDEX(醫師週班表!$C$5:$T$44,$CU15,AN$57),""),2,1)="/",MID(IFERROR(INDEX(醫師週班表!$C$5:$T$44,$CU15,AN$57),""),1+AN$58*2,1),IF(MID(IFERROR(INDEX(醫師週班表!$C$5:$T$44,$CU15,AN$57),""),3,1)="隔",IF(AN$58=0,LEFT(IFERROR(INDEX(醫師週班表!$C$5:$T$44,$CU15,AN$57),""),1),""),IF(MID(IFERROR(INDEX(醫師週班表!$C$5:$T$44,$CU15,AN$57),""),2,1)="(",LEFT(IFERROR(INDEX(醫師週班表!$C$5:$T$44,$CU15,AN$57),""),1),IFERROR(INDEX(醫師週班表!$C$5:$T$44,$CU15,AN$57),"")))))))</f>
        <v/>
      </c>
      <c r="AO15" s="67">
        <f>IF(AO$59="X","",IF(AO$59&lt;&gt;"",AO$59,IF(IFERROR(INDEX(醫師週班表!$C$5:$T$44,$CU15,AO$57),"")=0,"",IF(MID(IFERROR(INDEX(醫師週班表!$C$5:$T$44,$CU15,AO$57),""),2,1)="/",MID(IFERROR(INDEX(醫師週班表!$C$5:$T$44,$CU15,AO$57),""),1+AO$58*2,1),IF(MID(IFERROR(INDEX(醫師週班表!$C$5:$T$44,$CU15,AO$57),""),3,1)="隔",IF(AO$58=0,LEFT(IFERROR(INDEX(醫師週班表!$C$5:$T$44,$CU15,AO$57),""),1),""),IF(MID(IFERROR(INDEX(醫師週班表!$C$5:$T$44,$CU15,AO$57),""),2,1)="(",LEFT(IFERROR(INDEX(醫師週班表!$C$5:$T$44,$CU15,AO$57),""),1),IFERROR(INDEX(醫師週班表!$C$5:$T$44,$CU15,AO$57),"")))))))</f>
        <v/>
      </c>
      <c r="AP15" s="68">
        <f>IF(AP$59="X","",IF(AP$59&lt;&gt;"",AP$59,IF(IFERROR(INDEX(醫師週班表!$C$5:$T$44,$CU15,AP$57),"")=0,"",IF(MID(IFERROR(INDEX(醫師週班表!$C$5:$T$44,$CU15,AP$57),""),2,1)="/",MID(IFERROR(INDEX(醫師週班表!$C$5:$T$44,$CU15,AP$57),""),1+AP$58*2,1),IF(MID(IFERROR(INDEX(醫師週班表!$C$5:$T$44,$CU15,AP$57),""),3,1)="隔",IF(AP$58=0,LEFT(IFERROR(INDEX(醫師週班表!$C$5:$T$44,$CU15,AP$57),""),1),""),IF(MID(IFERROR(INDEX(醫師週班表!$C$5:$T$44,$CU15,AP$57),""),2,1)="(",LEFT(IFERROR(INDEX(醫師週班表!$C$5:$T$44,$CU15,AP$57),""),1),IFERROR(INDEX(醫師週班表!$C$5:$T$44,$CU15,AP$57),"")))))))</f>
        <v/>
      </c>
      <c r="AQ15" s="68">
        <f>IF(AQ$59="X","",IF(AQ$59&lt;&gt;"",AQ$59,IF(IFERROR(INDEX(醫師週班表!$C$5:$T$44,$CU15,AQ$57),"")=0,"",IF(MID(IFERROR(INDEX(醫師週班表!$C$5:$T$44,$CU15,AQ$57),""),2,1)="/",MID(IFERROR(INDEX(醫師週班表!$C$5:$T$44,$CU15,AQ$57),""),1+AQ$58*2,1),IF(MID(IFERROR(INDEX(醫師週班表!$C$5:$T$44,$CU15,AQ$57),""),3,1)="隔",IF(AQ$58=0,LEFT(IFERROR(INDEX(醫師週班表!$C$5:$T$44,$CU15,AQ$57),""),1),""),IF(MID(IFERROR(INDEX(醫師週班表!$C$5:$T$44,$CU15,AQ$57),""),2,1)="(",LEFT(IFERROR(INDEX(醫師週班表!$C$5:$T$44,$CU15,AQ$57),""),1),IFERROR(INDEX(醫師週班表!$C$5:$T$44,$CU15,AQ$57),"")))))))</f>
        <v/>
      </c>
      <c r="AR15" s="67">
        <f>IF(AR$59="X","",IF(AR$59&lt;&gt;"",AR$59,IF(IFERROR(INDEX(醫師週班表!$C$5:$T$44,$CU15,AR$57),"")=0,"",IF(MID(IFERROR(INDEX(醫師週班表!$C$5:$T$44,$CU15,AR$57),""),2,1)="/",MID(IFERROR(INDEX(醫師週班表!$C$5:$T$44,$CU15,AR$57),""),1+AR$58*2,1),IF(MID(IFERROR(INDEX(醫師週班表!$C$5:$T$44,$CU15,AR$57),""),3,1)="隔",IF(AR$58=0,LEFT(IFERROR(INDEX(醫師週班表!$C$5:$T$44,$CU15,AR$57),""),1),""),IF(MID(IFERROR(INDEX(醫師週班表!$C$5:$T$44,$CU15,AR$57),""),2,1)="(",LEFT(IFERROR(INDEX(醫師週班表!$C$5:$T$44,$CU15,AR$57),""),1),IFERROR(INDEX(醫師週班表!$C$5:$T$44,$CU15,AR$57),"")))))))</f>
        <v/>
      </c>
      <c r="AS15" s="68">
        <f>IF(AS$59="X","",IF(AS$59&lt;&gt;"",AS$59,IF(IFERROR(INDEX(醫師週班表!$C$5:$T$44,$CU15,AS$57),"")=0,"",IF(MID(IFERROR(INDEX(醫師週班表!$C$5:$T$44,$CU15,AS$57),""),2,1)="/",MID(IFERROR(INDEX(醫師週班表!$C$5:$T$44,$CU15,AS$57),""),1+AS$58*2,1),IF(MID(IFERROR(INDEX(醫師週班表!$C$5:$T$44,$CU15,AS$57),""),3,1)="隔",IF(AS$58=0,LEFT(IFERROR(INDEX(醫師週班表!$C$5:$T$44,$CU15,AS$57),""),1),""),IF(MID(IFERROR(INDEX(醫師週班表!$C$5:$T$44,$CU15,AS$57),""),2,1)="(",LEFT(IFERROR(INDEX(醫師週班表!$C$5:$T$44,$CU15,AS$57),""),1),IFERROR(INDEX(醫師週班表!$C$5:$T$44,$CU15,AS$57),"")))))))</f>
        <v/>
      </c>
      <c r="AT15" s="68">
        <f>IF(AT$59="X","",IF(AT$59&lt;&gt;"",AT$59,IF(IFERROR(INDEX(醫師週班表!$C$5:$T$44,$CU15,AT$57),"")=0,"",IF(MID(IFERROR(INDEX(醫師週班表!$C$5:$T$44,$CU15,AT$57),""),2,1)="/",MID(IFERROR(INDEX(醫師週班表!$C$5:$T$44,$CU15,AT$57),""),1+AT$58*2,1),IF(MID(IFERROR(INDEX(醫師週班表!$C$5:$T$44,$CU15,AT$57),""),3,1)="隔",IF(AT$58=0,LEFT(IFERROR(INDEX(醫師週班表!$C$5:$T$44,$CU15,AT$57),""),1),""),IF(MID(IFERROR(INDEX(醫師週班表!$C$5:$T$44,$CU15,AT$57),""),2,1)="(",LEFT(IFERROR(INDEX(醫師週班表!$C$5:$T$44,$CU15,AT$57),""),1),IFERROR(INDEX(醫師週班表!$C$5:$T$44,$CU15,AT$57),"")))))))</f>
        <v/>
      </c>
      <c r="AU15" s="67">
        <f>IF(AU$59="X","",IF(AU$59&lt;&gt;"",AU$59,IF(IFERROR(INDEX(醫師週班表!$C$5:$T$44,$CU15,AU$57),"")=0,"",IF(MID(IFERROR(INDEX(醫師週班表!$C$5:$T$44,$CU15,AU$57),""),2,1)="/",MID(IFERROR(INDEX(醫師週班表!$C$5:$T$44,$CU15,AU$57),""),1+AU$58*2,1),IF(MID(IFERROR(INDEX(醫師週班表!$C$5:$T$44,$CU15,AU$57),""),3,1)="隔",IF(AU$58=0,LEFT(IFERROR(INDEX(醫師週班表!$C$5:$T$44,$CU15,AU$57),""),1),""),IF(MID(IFERROR(INDEX(醫師週班表!$C$5:$T$44,$CU15,AU$57),""),2,1)="(",LEFT(IFERROR(INDEX(醫師週班表!$C$5:$T$44,$CU15,AU$57),""),1),IFERROR(INDEX(醫師週班表!$C$5:$T$44,$CU15,AU$57),"")))))))</f>
        <v/>
      </c>
      <c r="AV15" s="68">
        <f>IF(AV$59="X","",IF(AV$59&lt;&gt;"",AV$59,IF(IFERROR(INDEX(醫師週班表!$C$5:$T$44,$CU15,AV$57),"")=0,"",IF(MID(IFERROR(INDEX(醫師週班表!$C$5:$T$44,$CU15,AV$57),""),2,1)="/",MID(IFERROR(INDEX(醫師週班表!$C$5:$T$44,$CU15,AV$57),""),1+AV$58*2,1),IF(MID(IFERROR(INDEX(醫師週班表!$C$5:$T$44,$CU15,AV$57),""),3,1)="隔",IF(AV$58=0,LEFT(IFERROR(INDEX(醫師週班表!$C$5:$T$44,$CU15,AV$57),""),1),""),IF(MID(IFERROR(INDEX(醫師週班表!$C$5:$T$44,$CU15,AV$57),""),2,1)="(",LEFT(IFERROR(INDEX(醫師週班表!$C$5:$T$44,$CU15,AV$57),""),1),IFERROR(INDEX(醫師週班表!$C$5:$T$44,$CU15,AV$57),"")))))))</f>
        <v/>
      </c>
      <c r="AW15" s="68">
        <f>IF(AW$59="X","",IF(AW$59&lt;&gt;"",AW$59,IF(IFERROR(INDEX(醫師週班表!$C$5:$T$44,$CU15,AW$57),"")=0,"",IF(MID(IFERROR(INDEX(醫師週班表!$C$5:$T$44,$CU15,AW$57),""),2,1)="/",MID(IFERROR(INDEX(醫師週班表!$C$5:$T$44,$CU15,AW$57),""),1+AW$58*2,1),IF(MID(IFERROR(INDEX(醫師週班表!$C$5:$T$44,$CU15,AW$57),""),3,1)="隔",IF(AW$58=0,LEFT(IFERROR(INDEX(醫師週班表!$C$5:$T$44,$CU15,AW$57),""),1),""),IF(MID(IFERROR(INDEX(醫師週班表!$C$5:$T$44,$CU15,AW$57),""),2,1)="(",LEFT(IFERROR(INDEX(醫師週班表!$C$5:$T$44,$CU15,AW$57),""),1),IFERROR(INDEX(醫師週班表!$C$5:$T$44,$CU15,AW$57),"")))))))</f>
        <v/>
      </c>
      <c r="AX15" s="67">
        <f>IF(AX$59="X","",IF(AX$59&lt;&gt;"",AX$59,IF(IFERROR(INDEX(醫師週班表!$C$5:$T$44,$CU15,AX$57),"")=0,"",IF(MID(IFERROR(INDEX(醫師週班表!$C$5:$T$44,$CU15,AX$57),""),2,1)="/",MID(IFERROR(INDEX(醫師週班表!$C$5:$T$44,$CU15,AX$57),""),1+AX$58*2,1),IF(MID(IFERROR(INDEX(醫師週班表!$C$5:$T$44,$CU15,AX$57),""),3,1)="隔",IF(AX$58=0,LEFT(IFERROR(INDEX(醫師週班表!$C$5:$T$44,$CU15,AX$57),""),1),""),IF(MID(IFERROR(INDEX(醫師週班表!$C$5:$T$44,$CU15,AX$57),""),2,1)="(",LEFT(IFERROR(INDEX(醫師週班表!$C$5:$T$44,$CU15,AX$57),""),1),IFERROR(INDEX(醫師週班表!$C$5:$T$44,$CU15,AX$57),"")))))))</f>
        <v/>
      </c>
      <c r="AY15" s="68">
        <f>IF(AY$59="X","",IF(AY$59&lt;&gt;"",AY$59,IF(IFERROR(INDEX(醫師週班表!$C$5:$T$44,$CU15,AY$57),"")=0,"",IF(MID(IFERROR(INDEX(醫師週班表!$C$5:$T$44,$CU15,AY$57),""),2,1)="/",MID(IFERROR(INDEX(醫師週班表!$C$5:$T$44,$CU15,AY$57),""),1+AY$58*2,1),IF(MID(IFERROR(INDEX(醫師週班表!$C$5:$T$44,$CU15,AY$57),""),3,1)="隔",IF(AY$58=0,LEFT(IFERROR(INDEX(醫師週班表!$C$5:$T$44,$CU15,AY$57),""),1),""),IF(MID(IFERROR(INDEX(醫師週班表!$C$5:$T$44,$CU15,AY$57),""),2,1)="(",LEFT(IFERROR(INDEX(醫師週班表!$C$5:$T$44,$CU15,AY$57),""),1),IFERROR(INDEX(醫師週班表!$C$5:$T$44,$CU15,AY$57),"")))))))</f>
        <v/>
      </c>
      <c r="AZ15" s="68">
        <f>IF(AZ$59="X","",IF(AZ$59&lt;&gt;"",AZ$59,IF(IFERROR(INDEX(醫師週班表!$C$5:$T$44,$CU15,AZ$57),"")=0,"",IF(MID(IFERROR(INDEX(醫師週班表!$C$5:$T$44,$CU15,AZ$57),""),2,1)="/",MID(IFERROR(INDEX(醫師週班表!$C$5:$T$44,$CU15,AZ$57),""),1+AZ$58*2,1),IF(MID(IFERROR(INDEX(醫師週班表!$C$5:$T$44,$CU15,AZ$57),""),3,1)="隔",IF(AZ$58=0,LEFT(IFERROR(INDEX(醫師週班表!$C$5:$T$44,$CU15,AZ$57),""),1),""),IF(MID(IFERROR(INDEX(醫師週班表!$C$5:$T$44,$CU15,AZ$57),""),2,1)="(",LEFT(IFERROR(INDEX(醫師週班表!$C$5:$T$44,$CU15,AZ$57),""),1),IFERROR(INDEX(醫師週班表!$C$5:$T$44,$CU15,AZ$57),"")))))))</f>
        <v/>
      </c>
      <c r="BA15" s="67">
        <f>IF(BA$59="X","",IF(BA$59&lt;&gt;"",BA$59,IF(IFERROR(INDEX(醫師週班表!$C$5:$T$44,$CU15,BA$57),"")=0,"",IF(MID(IFERROR(INDEX(醫師週班表!$C$5:$T$44,$CU15,BA$57),""),2,1)="/",MID(IFERROR(INDEX(醫師週班表!$C$5:$T$44,$CU15,BA$57),""),1+BA$58*2,1),IF(MID(IFERROR(INDEX(醫師週班表!$C$5:$T$44,$CU15,BA$57),""),3,1)="隔",IF(BA$58=0,LEFT(IFERROR(INDEX(醫師週班表!$C$5:$T$44,$CU15,BA$57),""),1),""),IF(MID(IFERROR(INDEX(醫師週班表!$C$5:$T$44,$CU15,BA$57),""),2,1)="(",LEFT(IFERROR(INDEX(醫師週班表!$C$5:$T$44,$CU15,BA$57),""),1),IFERROR(INDEX(醫師週班表!$C$5:$T$44,$CU15,BA$57),"")))))))</f>
        <v/>
      </c>
      <c r="BB15" s="68">
        <f>IF(BB$59="X","",IF(BB$59&lt;&gt;"",BB$59,IF(IFERROR(INDEX(醫師週班表!$C$5:$T$44,$CU15,BB$57),"")=0,"",IF(MID(IFERROR(INDEX(醫師週班表!$C$5:$T$44,$CU15,BB$57),""),2,1)="/",MID(IFERROR(INDEX(醫師週班表!$C$5:$T$44,$CU15,BB$57),""),1+BB$58*2,1),IF(MID(IFERROR(INDEX(醫師週班表!$C$5:$T$44,$CU15,BB$57),""),3,1)="隔",IF(BB$58=0,LEFT(IFERROR(INDEX(醫師週班表!$C$5:$T$44,$CU15,BB$57),""),1),""),IF(MID(IFERROR(INDEX(醫師週班表!$C$5:$T$44,$CU15,BB$57),""),2,1)="(",LEFT(IFERROR(INDEX(醫師週班表!$C$5:$T$44,$CU15,BB$57),""),1),IFERROR(INDEX(醫師週班表!$C$5:$T$44,$CU15,BB$57),"")))))))</f>
        <v/>
      </c>
      <c r="BC15" s="68">
        <f>IF(BC$59="X","",IF(BC$59&lt;&gt;"",BC$59,IF(IFERROR(INDEX(醫師週班表!$C$5:$T$44,$CU15,BC$57),"")=0,"",IF(MID(IFERROR(INDEX(醫師週班表!$C$5:$T$44,$CU15,BC$57),""),2,1)="/",MID(IFERROR(INDEX(醫師週班表!$C$5:$T$44,$CU15,BC$57),""),1+BC$58*2,1),IF(MID(IFERROR(INDEX(醫師週班表!$C$5:$T$44,$CU15,BC$57),""),3,1)="隔",IF(BC$58=0,LEFT(IFERROR(INDEX(醫師週班表!$C$5:$T$44,$CU15,BC$57),""),1),""),IF(MID(IFERROR(INDEX(醫師週班表!$C$5:$T$44,$CU15,BC$57),""),2,1)="(",LEFT(IFERROR(INDEX(醫師週班表!$C$5:$T$44,$CU15,BC$57),""),1),IFERROR(INDEX(醫師週班表!$C$5:$T$44,$CU15,BC$57),"")))))))</f>
        <v/>
      </c>
      <c r="BD15" s="67">
        <f>IF(BD$59="X","",IF(BD$59&lt;&gt;"",BD$59,IF(IFERROR(INDEX(醫師週班表!$C$5:$T$44,$CU15,BD$57),"")=0,"",IF(MID(IFERROR(INDEX(醫師週班表!$C$5:$T$44,$CU15,BD$57),""),2,1)="/",MID(IFERROR(INDEX(醫師週班表!$C$5:$T$44,$CU15,BD$57),""),1+BD$58*2,1),IF(MID(IFERROR(INDEX(醫師週班表!$C$5:$T$44,$CU15,BD$57),""),3,1)="隔",IF(BD$58=0,LEFT(IFERROR(INDEX(醫師週班表!$C$5:$T$44,$CU15,BD$57),""),1),""),IF(MID(IFERROR(INDEX(醫師週班表!$C$5:$T$44,$CU15,BD$57),""),2,1)="(",LEFT(IFERROR(INDEX(醫師週班表!$C$5:$T$44,$CU15,BD$57),""),1),IFERROR(INDEX(醫師週班表!$C$5:$T$44,$CU15,BD$57),"")))))))</f>
        <v/>
      </c>
      <c r="BE15" s="68">
        <f>IF(BE$59="X","",IF(BE$59&lt;&gt;"",BE$59,IF(IFERROR(INDEX(醫師週班表!$C$5:$T$44,$CU15,BE$57),"")=0,"",IF(MID(IFERROR(INDEX(醫師週班表!$C$5:$T$44,$CU15,BE$57),""),2,1)="/",MID(IFERROR(INDEX(醫師週班表!$C$5:$T$44,$CU15,BE$57),""),1+BE$58*2,1),IF(MID(IFERROR(INDEX(醫師週班表!$C$5:$T$44,$CU15,BE$57),""),3,1)="隔",IF(BE$58=0,LEFT(IFERROR(INDEX(醫師週班表!$C$5:$T$44,$CU15,BE$57),""),1),""),IF(MID(IFERROR(INDEX(醫師週班表!$C$5:$T$44,$CU15,BE$57),""),2,1)="(",LEFT(IFERROR(INDEX(醫師週班表!$C$5:$T$44,$CU15,BE$57),""),1),IFERROR(INDEX(醫師週班表!$C$5:$T$44,$CU15,BE$57),"")))))))</f>
        <v/>
      </c>
      <c r="BF15" s="68">
        <f>IF(BF$59="X","",IF(BF$59&lt;&gt;"",BF$59,IF(IFERROR(INDEX(醫師週班表!$C$5:$T$44,$CU15,BF$57),"")=0,"",IF(MID(IFERROR(INDEX(醫師週班表!$C$5:$T$44,$CU15,BF$57),""),2,1)="/",MID(IFERROR(INDEX(醫師週班表!$C$5:$T$44,$CU15,BF$57),""),1+BF$58*2,1),IF(MID(IFERROR(INDEX(醫師週班表!$C$5:$T$44,$CU15,BF$57),""),3,1)="隔",IF(BF$58=0,LEFT(IFERROR(INDEX(醫師週班表!$C$5:$T$44,$CU15,BF$57),""),1),""),IF(MID(IFERROR(INDEX(醫師週班表!$C$5:$T$44,$CU15,BF$57),""),2,1)="(",LEFT(IFERROR(INDEX(醫師週班表!$C$5:$T$44,$CU15,BF$57),""),1),IFERROR(INDEX(醫師週班表!$C$5:$T$44,$CU15,BF$57),"")))))))</f>
        <v/>
      </c>
      <c r="BG15" s="67">
        <f>IF(BG$59="X","",IF(BG$59&lt;&gt;"",BG$59,IF(IFERROR(INDEX(醫師週班表!$C$5:$T$44,$CU15,BG$57),"")=0,"",IF(MID(IFERROR(INDEX(醫師週班表!$C$5:$T$44,$CU15,BG$57),""),2,1)="/",MID(IFERROR(INDEX(醫師週班表!$C$5:$T$44,$CU15,BG$57),""),1+BG$58*2,1),IF(MID(IFERROR(INDEX(醫師週班表!$C$5:$T$44,$CU15,BG$57),""),3,1)="隔",IF(BG$58=0,LEFT(IFERROR(INDEX(醫師週班表!$C$5:$T$44,$CU15,BG$57),""),1),""),IF(MID(IFERROR(INDEX(醫師週班表!$C$5:$T$44,$CU15,BG$57),""),2,1)="(",LEFT(IFERROR(INDEX(醫師週班表!$C$5:$T$44,$CU15,BG$57),""),1),IFERROR(INDEX(醫師週班表!$C$5:$T$44,$CU15,BG$57),"")))))))</f>
        <v/>
      </c>
      <c r="BH15" s="68">
        <f>IF(BH$59="X","",IF(BH$59&lt;&gt;"",BH$59,IF(IFERROR(INDEX(醫師週班表!$C$5:$T$44,$CU15,BH$57),"")=0,"",IF(MID(IFERROR(INDEX(醫師週班表!$C$5:$T$44,$CU15,BH$57),""),2,1)="/",MID(IFERROR(INDEX(醫師週班表!$C$5:$T$44,$CU15,BH$57),""),1+BH$58*2,1),IF(MID(IFERROR(INDEX(醫師週班表!$C$5:$T$44,$CU15,BH$57),""),3,1)="隔",IF(BH$58=0,LEFT(IFERROR(INDEX(醫師週班表!$C$5:$T$44,$CU15,BH$57),""),1),""),IF(MID(IFERROR(INDEX(醫師週班表!$C$5:$T$44,$CU15,BH$57),""),2,1)="(",LEFT(IFERROR(INDEX(醫師週班表!$C$5:$T$44,$CU15,BH$57),""),1),IFERROR(INDEX(醫師週班表!$C$5:$T$44,$CU15,BH$57),"")))))))</f>
        <v/>
      </c>
      <c r="BI15" s="68">
        <f>IF(BI$59="X","",IF(BI$59&lt;&gt;"",BI$59,IF(IFERROR(INDEX(醫師週班表!$C$5:$T$44,$CU15,BI$57),"")=0,"",IF(MID(IFERROR(INDEX(醫師週班表!$C$5:$T$44,$CU15,BI$57),""),2,1)="/",MID(IFERROR(INDEX(醫師週班表!$C$5:$T$44,$CU15,BI$57),""),1+BI$58*2,1),IF(MID(IFERROR(INDEX(醫師週班表!$C$5:$T$44,$CU15,BI$57),""),3,1)="隔",IF(BI$58=0,LEFT(IFERROR(INDEX(醫師週班表!$C$5:$T$44,$CU15,BI$57),""),1),""),IF(MID(IFERROR(INDEX(醫師週班表!$C$5:$T$44,$CU15,BI$57),""),2,1)="(",LEFT(IFERROR(INDEX(醫師週班表!$C$5:$T$44,$CU15,BI$57),""),1),IFERROR(INDEX(醫師週班表!$C$5:$T$44,$CU15,BI$57),"")))))))</f>
        <v/>
      </c>
      <c r="BJ15" s="67">
        <f>IF(BJ$59="X","",IF(BJ$59&lt;&gt;"",BJ$59,IF(IFERROR(INDEX(醫師週班表!$C$5:$T$44,$CU15,BJ$57),"")=0,"",IF(MID(IFERROR(INDEX(醫師週班表!$C$5:$T$44,$CU15,BJ$57),""),2,1)="/",MID(IFERROR(INDEX(醫師週班表!$C$5:$T$44,$CU15,BJ$57),""),1+BJ$58*2,1),IF(MID(IFERROR(INDEX(醫師週班表!$C$5:$T$44,$CU15,BJ$57),""),3,1)="隔",IF(BJ$58=0,LEFT(IFERROR(INDEX(醫師週班表!$C$5:$T$44,$CU15,BJ$57),""),1),""),IF(MID(IFERROR(INDEX(醫師週班表!$C$5:$T$44,$CU15,BJ$57),""),2,1)="(",LEFT(IFERROR(INDEX(醫師週班表!$C$5:$T$44,$CU15,BJ$57),""),1),IFERROR(INDEX(醫師週班表!$C$5:$T$44,$CU15,BJ$57),"")))))))</f>
        <v/>
      </c>
      <c r="BK15" s="68">
        <f>IF(BK$59="X","",IF(BK$59&lt;&gt;"",BK$59,IF(IFERROR(INDEX(醫師週班表!$C$5:$T$44,$CU15,BK$57),"")=0,"",IF(MID(IFERROR(INDEX(醫師週班表!$C$5:$T$44,$CU15,BK$57),""),2,1)="/",MID(IFERROR(INDEX(醫師週班表!$C$5:$T$44,$CU15,BK$57),""),1+BK$58*2,1),IF(MID(IFERROR(INDEX(醫師週班表!$C$5:$T$44,$CU15,BK$57),""),3,1)="隔",IF(BK$58=0,LEFT(IFERROR(INDEX(醫師週班表!$C$5:$T$44,$CU15,BK$57),""),1),""),IF(MID(IFERROR(INDEX(醫師週班表!$C$5:$T$44,$CU15,BK$57),""),2,1)="(",LEFT(IFERROR(INDEX(醫師週班表!$C$5:$T$44,$CU15,BK$57),""),1),IFERROR(INDEX(醫師週班表!$C$5:$T$44,$CU15,BK$57),"")))))))</f>
        <v/>
      </c>
      <c r="BL15" s="68">
        <f>IF(BL$59="X","",IF(BL$59&lt;&gt;"",BL$59,IF(IFERROR(INDEX(醫師週班表!$C$5:$T$44,$CU15,BL$57),"")=0,"",IF(MID(IFERROR(INDEX(醫師週班表!$C$5:$T$44,$CU15,BL$57),""),2,1)="/",MID(IFERROR(INDEX(醫師週班表!$C$5:$T$44,$CU15,BL$57),""),1+BL$58*2,1),IF(MID(IFERROR(INDEX(醫師週班表!$C$5:$T$44,$CU15,BL$57),""),3,1)="隔",IF(BL$58=0,LEFT(IFERROR(INDEX(醫師週班表!$C$5:$T$44,$CU15,BL$57),""),1),""),IF(MID(IFERROR(INDEX(醫師週班表!$C$5:$T$44,$CU15,BL$57),""),2,1)="(",LEFT(IFERROR(INDEX(醫師週班表!$C$5:$T$44,$CU15,BL$57),""),1),IFERROR(INDEX(醫師週班表!$C$5:$T$44,$CU15,BL$57),"")))))))</f>
        <v/>
      </c>
      <c r="BM15" s="67">
        <f>IF(BM$59="X","",IF(BM$59&lt;&gt;"",BM$59,IF(IFERROR(INDEX(醫師週班表!$C$5:$T$44,$CU15,BM$57),"")=0,"",IF(MID(IFERROR(INDEX(醫師週班表!$C$5:$T$44,$CU15,BM$57),""),2,1)="/",MID(IFERROR(INDEX(醫師週班表!$C$5:$T$44,$CU15,BM$57),""),1+BM$58*2,1),IF(MID(IFERROR(INDEX(醫師週班表!$C$5:$T$44,$CU15,BM$57),""),3,1)="隔",IF(BM$58=0,LEFT(IFERROR(INDEX(醫師週班表!$C$5:$T$44,$CU15,BM$57),""),1),""),IF(MID(IFERROR(INDEX(醫師週班表!$C$5:$T$44,$CU15,BM$57),""),2,1)="(",LEFT(IFERROR(INDEX(醫師週班表!$C$5:$T$44,$CU15,BM$57),""),1),IFERROR(INDEX(醫師週班表!$C$5:$T$44,$CU15,BM$57),"")))))))</f>
        <v/>
      </c>
      <c r="BN15" s="68">
        <f>IF(BN$59="X","",IF(BN$59&lt;&gt;"",BN$59,IF(IFERROR(INDEX(醫師週班表!$C$5:$T$44,$CU15,BN$57),"")=0,"",IF(MID(IFERROR(INDEX(醫師週班表!$C$5:$T$44,$CU15,BN$57),""),2,1)="/",MID(IFERROR(INDEX(醫師週班表!$C$5:$T$44,$CU15,BN$57),""),1+BN$58*2,1),IF(MID(IFERROR(INDEX(醫師週班表!$C$5:$T$44,$CU15,BN$57),""),3,1)="隔",IF(BN$58=0,LEFT(IFERROR(INDEX(醫師週班表!$C$5:$T$44,$CU15,BN$57),""),1),""),IF(MID(IFERROR(INDEX(醫師週班表!$C$5:$T$44,$CU15,BN$57),""),2,1)="(",LEFT(IFERROR(INDEX(醫師週班表!$C$5:$T$44,$CU15,BN$57),""),1),IFERROR(INDEX(醫師週班表!$C$5:$T$44,$CU15,BN$57),"")))))))</f>
        <v/>
      </c>
      <c r="BO15" s="68">
        <f>IF(BO$59="X","",IF(BO$59&lt;&gt;"",BO$59,IF(IFERROR(INDEX(醫師週班表!$C$5:$T$44,$CU15,BO$57),"")=0,"",IF(MID(IFERROR(INDEX(醫師週班表!$C$5:$T$44,$CU15,BO$57),""),2,1)="/",MID(IFERROR(INDEX(醫師週班表!$C$5:$T$44,$CU15,BO$57),""),1+BO$58*2,1),IF(MID(IFERROR(INDEX(醫師週班表!$C$5:$T$44,$CU15,BO$57),""),3,1)="隔",IF(BO$58=0,LEFT(IFERROR(INDEX(醫師週班表!$C$5:$T$44,$CU15,BO$57),""),1),""),IF(MID(IFERROR(INDEX(醫師週班表!$C$5:$T$44,$CU15,BO$57),""),2,1)="(",LEFT(IFERROR(INDEX(醫師週班表!$C$5:$T$44,$CU15,BO$57),""),1),IFERROR(INDEX(醫師週班表!$C$5:$T$44,$CU15,BO$57),"")))))))</f>
        <v/>
      </c>
      <c r="BP15" s="67">
        <f>IF(BP$59="X","",IF(BP$59&lt;&gt;"",BP$59,IF(IFERROR(INDEX(醫師週班表!$C$5:$T$44,$CU15,BP$57),"")=0,"",IF(MID(IFERROR(INDEX(醫師週班表!$C$5:$T$44,$CU15,BP$57),""),2,1)="/",MID(IFERROR(INDEX(醫師週班表!$C$5:$T$44,$CU15,BP$57),""),1+BP$58*2,1),IF(MID(IFERROR(INDEX(醫師週班表!$C$5:$T$44,$CU15,BP$57),""),3,1)="隔",IF(BP$58=0,LEFT(IFERROR(INDEX(醫師週班表!$C$5:$T$44,$CU15,BP$57),""),1),""),IF(MID(IFERROR(INDEX(醫師週班表!$C$5:$T$44,$CU15,BP$57),""),2,1)="(",LEFT(IFERROR(INDEX(醫師週班表!$C$5:$T$44,$CU15,BP$57),""),1),IFERROR(INDEX(醫師週班表!$C$5:$T$44,$CU15,BP$57),"")))))))</f>
        <v/>
      </c>
      <c r="BQ15" s="68">
        <f>IF(BQ$59="X","",IF(BQ$59&lt;&gt;"",BQ$59,IF(IFERROR(INDEX(醫師週班表!$C$5:$T$44,$CU15,BQ$57),"")=0,"",IF(MID(IFERROR(INDEX(醫師週班表!$C$5:$T$44,$CU15,BQ$57),""),2,1)="/",MID(IFERROR(INDEX(醫師週班表!$C$5:$T$44,$CU15,BQ$57),""),1+BQ$58*2,1),IF(MID(IFERROR(INDEX(醫師週班表!$C$5:$T$44,$CU15,BQ$57),""),3,1)="隔",IF(BQ$58=0,LEFT(IFERROR(INDEX(醫師週班表!$C$5:$T$44,$CU15,BQ$57),""),1),""),IF(MID(IFERROR(INDEX(醫師週班表!$C$5:$T$44,$CU15,BQ$57),""),2,1)="(",LEFT(IFERROR(INDEX(醫師週班表!$C$5:$T$44,$CU15,BQ$57),""),1),IFERROR(INDEX(醫師週班表!$C$5:$T$44,$CU15,BQ$57),"")))))))</f>
        <v/>
      </c>
      <c r="BR15" s="68">
        <f>IF(BR$59="X","",IF(BR$59&lt;&gt;"",BR$59,IF(IFERROR(INDEX(醫師週班表!$C$5:$T$44,$CU15,BR$57),"")=0,"",IF(MID(IFERROR(INDEX(醫師週班表!$C$5:$T$44,$CU15,BR$57),""),2,1)="/",MID(IFERROR(INDEX(醫師週班表!$C$5:$T$44,$CU15,BR$57),""),1+BR$58*2,1),IF(MID(IFERROR(INDEX(醫師週班表!$C$5:$T$44,$CU15,BR$57),""),3,1)="隔",IF(BR$58=0,LEFT(IFERROR(INDEX(醫師週班表!$C$5:$T$44,$CU15,BR$57),""),1),""),IF(MID(IFERROR(INDEX(醫師週班表!$C$5:$T$44,$CU15,BR$57),""),2,1)="(",LEFT(IFERROR(INDEX(醫師週班表!$C$5:$T$44,$CU15,BR$57),""),1),IFERROR(INDEX(醫師週班表!$C$5:$T$44,$CU15,BR$57),"")))))))</f>
        <v/>
      </c>
      <c r="BS15" s="67">
        <f>IF(BS$59="X","",IF(BS$59&lt;&gt;"",BS$59,IF(IFERROR(INDEX(醫師週班表!$C$5:$T$44,$CU15,BS$57),"")=0,"",IF(MID(IFERROR(INDEX(醫師週班表!$C$5:$T$44,$CU15,BS$57),""),2,1)="/",MID(IFERROR(INDEX(醫師週班表!$C$5:$T$44,$CU15,BS$57),""),1+BS$58*2,1),IF(MID(IFERROR(INDEX(醫師週班表!$C$5:$T$44,$CU15,BS$57),""),3,1)="隔",IF(BS$58=0,LEFT(IFERROR(INDEX(醫師週班表!$C$5:$T$44,$CU15,BS$57),""),1),""),IF(MID(IFERROR(INDEX(醫師週班表!$C$5:$T$44,$CU15,BS$57),""),2,1)="(",LEFT(IFERROR(INDEX(醫師週班表!$C$5:$T$44,$CU15,BS$57),""),1),IFERROR(INDEX(醫師週班表!$C$5:$T$44,$CU15,BS$57),"")))))))</f>
        <v/>
      </c>
      <c r="BT15" s="68">
        <f>IF(BT$59="X","",IF(BT$59&lt;&gt;"",BT$59,IF(IFERROR(INDEX(醫師週班表!$C$5:$T$44,$CU15,BT$57),"")=0,"",IF(MID(IFERROR(INDEX(醫師週班表!$C$5:$T$44,$CU15,BT$57),""),2,1)="/",MID(IFERROR(INDEX(醫師週班表!$C$5:$T$44,$CU15,BT$57),""),1+BT$58*2,1),IF(MID(IFERROR(INDEX(醫師週班表!$C$5:$T$44,$CU15,BT$57),""),3,1)="隔",IF(BT$58=0,LEFT(IFERROR(INDEX(醫師週班表!$C$5:$T$44,$CU15,BT$57),""),1),""),IF(MID(IFERROR(INDEX(醫師週班表!$C$5:$T$44,$CU15,BT$57),""),2,1)="(",LEFT(IFERROR(INDEX(醫師週班表!$C$5:$T$44,$CU15,BT$57),""),1),IFERROR(INDEX(醫師週班表!$C$5:$T$44,$CU15,BT$57),"")))))))</f>
        <v/>
      </c>
      <c r="BU15" s="68">
        <f>IF(BU$59="X","",IF(BU$59&lt;&gt;"",BU$59,IF(IFERROR(INDEX(醫師週班表!$C$5:$T$44,$CU15,BU$57),"")=0,"",IF(MID(IFERROR(INDEX(醫師週班表!$C$5:$T$44,$CU15,BU$57),""),2,1)="/",MID(IFERROR(INDEX(醫師週班表!$C$5:$T$44,$CU15,BU$57),""),1+BU$58*2,1),IF(MID(IFERROR(INDEX(醫師週班表!$C$5:$T$44,$CU15,BU$57),""),3,1)="隔",IF(BU$58=0,LEFT(IFERROR(INDEX(醫師週班表!$C$5:$T$44,$CU15,BU$57),""),1),""),IF(MID(IFERROR(INDEX(醫師週班表!$C$5:$T$44,$CU15,BU$57),""),2,1)="(",LEFT(IFERROR(INDEX(醫師週班表!$C$5:$T$44,$CU15,BU$57),""),1),IFERROR(INDEX(醫師週班表!$C$5:$T$44,$CU15,BU$57),"")))))))</f>
        <v/>
      </c>
      <c r="BV15" s="67">
        <f>IF(BV$59="X","",IF(BV$59&lt;&gt;"",BV$59,IF(IFERROR(INDEX(醫師週班表!$C$5:$T$44,$CU15,BV$57),"")=0,"",IF(MID(IFERROR(INDEX(醫師週班表!$C$5:$T$44,$CU15,BV$57),""),2,1)="/",MID(IFERROR(INDEX(醫師週班表!$C$5:$T$44,$CU15,BV$57),""),1+BV$58*2,1),IF(MID(IFERROR(INDEX(醫師週班表!$C$5:$T$44,$CU15,BV$57),""),3,1)="隔",IF(BV$58=0,LEFT(IFERROR(INDEX(醫師週班表!$C$5:$T$44,$CU15,BV$57),""),1),""),IF(MID(IFERROR(INDEX(醫師週班表!$C$5:$T$44,$CU15,BV$57),""),2,1)="(",LEFT(IFERROR(INDEX(醫師週班表!$C$5:$T$44,$CU15,BV$57),""),1),IFERROR(INDEX(醫師週班表!$C$5:$T$44,$CU15,BV$57),"")))))))</f>
        <v/>
      </c>
      <c r="BW15" s="68">
        <f>IF(BW$59="X","",IF(BW$59&lt;&gt;"",BW$59,IF(IFERROR(INDEX(醫師週班表!$C$5:$T$44,$CU15,BW$57),"")=0,"",IF(MID(IFERROR(INDEX(醫師週班表!$C$5:$T$44,$CU15,BW$57),""),2,1)="/",MID(IFERROR(INDEX(醫師週班表!$C$5:$T$44,$CU15,BW$57),""),1+BW$58*2,1),IF(MID(IFERROR(INDEX(醫師週班表!$C$5:$T$44,$CU15,BW$57),""),3,1)="隔",IF(BW$58=0,LEFT(IFERROR(INDEX(醫師週班表!$C$5:$T$44,$CU15,BW$57),""),1),""),IF(MID(IFERROR(INDEX(醫師週班表!$C$5:$T$44,$CU15,BW$57),""),2,1)="(",LEFT(IFERROR(INDEX(醫師週班表!$C$5:$T$44,$CU15,BW$57),""),1),IFERROR(INDEX(醫師週班表!$C$5:$T$44,$CU15,BW$57),"")))))))</f>
        <v/>
      </c>
      <c r="BX15" s="68">
        <f>IF(BX$59="X","",IF(BX$59&lt;&gt;"",BX$59,IF(IFERROR(INDEX(醫師週班表!$C$5:$T$44,$CU15,BX$57),"")=0,"",IF(MID(IFERROR(INDEX(醫師週班表!$C$5:$T$44,$CU15,BX$57),""),2,1)="/",MID(IFERROR(INDEX(醫師週班表!$C$5:$T$44,$CU15,BX$57),""),1+BX$58*2,1),IF(MID(IFERROR(INDEX(醫師週班表!$C$5:$T$44,$CU15,BX$57),""),3,1)="隔",IF(BX$58=0,LEFT(IFERROR(INDEX(醫師週班表!$C$5:$T$44,$CU15,BX$57),""),1),""),IF(MID(IFERROR(INDEX(醫師週班表!$C$5:$T$44,$CU15,BX$57),""),2,1)="(",LEFT(IFERROR(INDEX(醫師週班表!$C$5:$T$44,$CU15,BX$57),""),1),IFERROR(INDEX(醫師週班表!$C$5:$T$44,$CU15,BX$57),"")))))))</f>
        <v/>
      </c>
      <c r="BY15" s="67">
        <f>IF(BY$59="X","",IF(BY$59&lt;&gt;"",BY$59,IF(IFERROR(INDEX(醫師週班表!$C$5:$T$44,$CU15,BY$57),"")=0,"",IF(MID(IFERROR(INDEX(醫師週班表!$C$5:$T$44,$CU15,BY$57),""),2,1)="/",MID(IFERROR(INDEX(醫師週班表!$C$5:$T$44,$CU15,BY$57),""),1+BY$58*2,1),IF(MID(IFERROR(INDEX(醫師週班表!$C$5:$T$44,$CU15,BY$57),""),3,1)="隔",IF(BY$58=0,LEFT(IFERROR(INDEX(醫師週班表!$C$5:$T$44,$CU15,BY$57),""),1),""),IF(MID(IFERROR(INDEX(醫師週班表!$C$5:$T$44,$CU15,BY$57),""),2,1)="(",LEFT(IFERROR(INDEX(醫師週班表!$C$5:$T$44,$CU15,BY$57),""),1),IFERROR(INDEX(醫師週班表!$C$5:$T$44,$CU15,BY$57),"")))))))</f>
        <v/>
      </c>
      <c r="BZ15" s="68">
        <f>IF(BZ$59="X","",IF(BZ$59&lt;&gt;"",BZ$59,IF(IFERROR(INDEX(醫師週班表!$C$5:$T$44,$CU15,BZ$57),"")=0,"",IF(MID(IFERROR(INDEX(醫師週班表!$C$5:$T$44,$CU15,BZ$57),""),2,1)="/",MID(IFERROR(INDEX(醫師週班表!$C$5:$T$44,$CU15,BZ$57),""),1+BZ$58*2,1),IF(MID(IFERROR(INDEX(醫師週班表!$C$5:$T$44,$CU15,BZ$57),""),3,1)="隔",IF(BZ$58=0,LEFT(IFERROR(INDEX(醫師週班表!$C$5:$T$44,$CU15,BZ$57),""),1),""),IF(MID(IFERROR(INDEX(醫師週班表!$C$5:$T$44,$CU15,BZ$57),""),2,1)="(",LEFT(IFERROR(INDEX(醫師週班表!$C$5:$T$44,$CU15,BZ$57),""),1),IFERROR(INDEX(醫師週班表!$C$5:$T$44,$CU15,BZ$57),"")))))))</f>
        <v/>
      </c>
      <c r="CA15" s="68">
        <f>IF(CA$59="X","",IF(CA$59&lt;&gt;"",CA$59,IF(IFERROR(INDEX(醫師週班表!$C$5:$T$44,$CU15,CA$57),"")=0,"",IF(MID(IFERROR(INDEX(醫師週班表!$C$5:$T$44,$CU15,CA$57),""),2,1)="/",MID(IFERROR(INDEX(醫師週班表!$C$5:$T$44,$CU15,CA$57),""),1+CA$58*2,1),IF(MID(IFERROR(INDEX(醫師週班表!$C$5:$T$44,$CU15,CA$57),""),3,1)="隔",IF(CA$58=0,LEFT(IFERROR(INDEX(醫師週班表!$C$5:$T$44,$CU15,CA$57),""),1),""),IF(MID(IFERROR(INDEX(醫師週班表!$C$5:$T$44,$CU15,CA$57),""),2,1)="(",LEFT(IFERROR(INDEX(醫師週班表!$C$5:$T$44,$CU15,CA$57),""),1),IFERROR(INDEX(醫師週班表!$C$5:$T$44,$CU15,CA$57),"")))))))</f>
        <v/>
      </c>
      <c r="CB15" s="67">
        <f>IF(CB$59="X","",IF(CB$59&lt;&gt;"",CB$59,IF(IFERROR(INDEX(醫師週班表!$C$5:$T$44,$CU15,CB$57),"")=0,"",IF(MID(IFERROR(INDEX(醫師週班表!$C$5:$T$44,$CU15,CB$57),""),2,1)="/",MID(IFERROR(INDEX(醫師週班表!$C$5:$T$44,$CU15,CB$57),""),1+CB$58*2,1),IF(MID(IFERROR(INDEX(醫師週班表!$C$5:$T$44,$CU15,CB$57),""),3,1)="隔",IF(CB$58=0,LEFT(IFERROR(INDEX(醫師週班表!$C$5:$T$44,$CU15,CB$57),""),1),""),IF(MID(IFERROR(INDEX(醫師週班表!$C$5:$T$44,$CU15,CB$57),""),2,1)="(",LEFT(IFERROR(INDEX(醫師週班表!$C$5:$T$44,$CU15,CB$57),""),1),IFERROR(INDEX(醫師週班表!$C$5:$T$44,$CU15,CB$57),"")))))))</f>
        <v/>
      </c>
      <c r="CC15" s="68">
        <f>IF(CC$59="X","",IF(CC$59&lt;&gt;"",CC$59,IF(IFERROR(INDEX(醫師週班表!$C$5:$T$44,$CU15,CC$57),"")=0,"",IF(MID(IFERROR(INDEX(醫師週班表!$C$5:$T$44,$CU15,CC$57),""),2,1)="/",MID(IFERROR(INDEX(醫師週班表!$C$5:$T$44,$CU15,CC$57),""),1+CC$58*2,1),IF(MID(IFERROR(INDEX(醫師週班表!$C$5:$T$44,$CU15,CC$57),""),3,1)="隔",IF(CC$58=0,LEFT(IFERROR(INDEX(醫師週班表!$C$5:$T$44,$CU15,CC$57),""),1),""),IF(MID(IFERROR(INDEX(醫師週班表!$C$5:$T$44,$CU15,CC$57),""),2,1)="(",LEFT(IFERROR(INDEX(醫師週班表!$C$5:$T$44,$CU15,CC$57),""),1),IFERROR(INDEX(醫師週班表!$C$5:$T$44,$CU15,CC$57),"")))))))</f>
        <v/>
      </c>
      <c r="CD15" s="68">
        <f>IF(CD$59="X","",IF(CD$59&lt;&gt;"",CD$59,IF(IFERROR(INDEX(醫師週班表!$C$5:$T$44,$CU15,CD$57),"")=0,"",IF(MID(IFERROR(INDEX(醫師週班表!$C$5:$T$44,$CU15,CD$57),""),2,1)="/",MID(IFERROR(INDEX(醫師週班表!$C$5:$T$44,$CU15,CD$57),""),1+CD$58*2,1),IF(MID(IFERROR(INDEX(醫師週班表!$C$5:$T$44,$CU15,CD$57),""),3,1)="隔",IF(CD$58=0,LEFT(IFERROR(INDEX(醫師週班表!$C$5:$T$44,$CU15,CD$57),""),1),""),IF(MID(IFERROR(INDEX(醫師週班表!$C$5:$T$44,$CU15,CD$57),""),2,1)="(",LEFT(IFERROR(INDEX(醫師週班表!$C$5:$T$44,$CU15,CD$57),""),1),IFERROR(INDEX(醫師週班表!$C$5:$T$44,$CU15,CD$57),"")))))))</f>
        <v/>
      </c>
      <c r="CE15" s="67">
        <f>IF(CE$59="X","",IF(CE$59&lt;&gt;"",CE$59,IF(IFERROR(INDEX(醫師週班表!$C$5:$T$44,$CU15,CE$57),"")=0,"",IF(MID(IFERROR(INDEX(醫師週班表!$C$5:$T$44,$CU15,CE$57),""),2,1)="/",MID(IFERROR(INDEX(醫師週班表!$C$5:$T$44,$CU15,CE$57),""),1+CE$58*2,1),IF(MID(IFERROR(INDEX(醫師週班表!$C$5:$T$44,$CU15,CE$57),""),3,1)="隔",IF(CE$58=0,LEFT(IFERROR(INDEX(醫師週班表!$C$5:$T$44,$CU15,CE$57),""),1),""),IF(MID(IFERROR(INDEX(醫師週班表!$C$5:$T$44,$CU15,CE$57),""),2,1)="(",LEFT(IFERROR(INDEX(醫師週班表!$C$5:$T$44,$CU15,CE$57),""),1),IFERROR(INDEX(醫師週班表!$C$5:$T$44,$CU15,CE$57),"")))))))</f>
        <v/>
      </c>
      <c r="CF15" s="68">
        <f>IF(CF$59="X","",IF(CF$59&lt;&gt;"",CF$59,IF(IFERROR(INDEX(醫師週班表!$C$5:$T$44,$CU15,CF$57),"")=0,"",IF(MID(IFERROR(INDEX(醫師週班表!$C$5:$T$44,$CU15,CF$57),""),2,1)="/",MID(IFERROR(INDEX(醫師週班表!$C$5:$T$44,$CU15,CF$57),""),1+CF$58*2,1),IF(MID(IFERROR(INDEX(醫師週班表!$C$5:$T$44,$CU15,CF$57),""),3,1)="隔",IF(CF$58=0,LEFT(IFERROR(INDEX(醫師週班表!$C$5:$T$44,$CU15,CF$57),""),1),""),IF(MID(IFERROR(INDEX(醫師週班表!$C$5:$T$44,$CU15,CF$57),""),2,1)="(",LEFT(IFERROR(INDEX(醫師週班表!$C$5:$T$44,$CU15,CF$57),""),1),IFERROR(INDEX(醫師週班表!$C$5:$T$44,$CU15,CF$57),"")))))))</f>
        <v/>
      </c>
      <c r="CG15" s="68">
        <f>IF(CG$59="X","",IF(CG$59&lt;&gt;"",CG$59,IF(IFERROR(INDEX(醫師週班表!$C$5:$T$44,$CU15,CG$57),"")=0,"",IF(MID(IFERROR(INDEX(醫師週班表!$C$5:$T$44,$CU15,CG$57),""),2,1)="/",MID(IFERROR(INDEX(醫師週班表!$C$5:$T$44,$CU15,CG$57),""),1+CG$58*2,1),IF(MID(IFERROR(INDEX(醫師週班表!$C$5:$T$44,$CU15,CG$57),""),3,1)="隔",IF(CG$58=0,LEFT(IFERROR(INDEX(醫師週班表!$C$5:$T$44,$CU15,CG$57),""),1),""),IF(MID(IFERROR(INDEX(醫師週班表!$C$5:$T$44,$CU15,CG$57),""),2,1)="(",LEFT(IFERROR(INDEX(醫師週班表!$C$5:$T$44,$CU15,CG$57),""),1),IFERROR(INDEX(醫師週班表!$C$5:$T$44,$CU15,CG$57),"")))))))</f>
        <v/>
      </c>
      <c r="CH15" s="67">
        <f>IF(CH$59="X","",IF(CH$59&lt;&gt;"",CH$59,IF(IFERROR(INDEX(醫師週班表!$C$5:$T$44,$CU15,CH$57),"")=0,"",IF(MID(IFERROR(INDEX(醫師週班表!$C$5:$T$44,$CU15,CH$57),""),2,1)="/",MID(IFERROR(INDEX(醫師週班表!$C$5:$T$44,$CU15,CH$57),""),1+CH$58*2,1),IF(MID(IFERROR(INDEX(醫師週班表!$C$5:$T$44,$CU15,CH$57),""),3,1)="隔",IF(CH$58=0,LEFT(IFERROR(INDEX(醫師週班表!$C$5:$T$44,$CU15,CH$57),""),1),""),IF(MID(IFERROR(INDEX(醫師週班表!$C$5:$T$44,$CU15,CH$57),""),2,1)="(",LEFT(IFERROR(INDEX(醫師週班表!$C$5:$T$44,$CU15,CH$57),""),1),IFERROR(INDEX(醫師週班表!$C$5:$T$44,$CU15,CH$57),"")))))))</f>
        <v/>
      </c>
      <c r="CI15" s="68">
        <f>IF(CI$59="X","",IF(CI$59&lt;&gt;"",CI$59,IF(IFERROR(INDEX(醫師週班表!$C$5:$T$44,$CU15,CI$57),"")=0,"",IF(MID(IFERROR(INDEX(醫師週班表!$C$5:$T$44,$CU15,CI$57),""),2,1)="/",MID(IFERROR(INDEX(醫師週班表!$C$5:$T$44,$CU15,CI$57),""),1+CI$58*2,1),IF(MID(IFERROR(INDEX(醫師週班表!$C$5:$T$44,$CU15,CI$57),""),3,1)="隔",IF(CI$58=0,LEFT(IFERROR(INDEX(醫師週班表!$C$5:$T$44,$CU15,CI$57),""),1),""),IF(MID(IFERROR(INDEX(醫師週班表!$C$5:$T$44,$CU15,CI$57),""),2,1)="(",LEFT(IFERROR(INDEX(醫師週班表!$C$5:$T$44,$CU15,CI$57),""),1),IFERROR(INDEX(醫師週班表!$C$5:$T$44,$CU15,CI$57),"")))))))</f>
        <v/>
      </c>
      <c r="CJ15" s="68">
        <f>IF(CJ$59="X","",IF(CJ$59&lt;&gt;"",CJ$59,IF(IFERROR(INDEX(醫師週班表!$C$5:$T$44,$CU15,CJ$57),"")=0,"",IF(MID(IFERROR(INDEX(醫師週班表!$C$5:$T$44,$CU15,CJ$57),""),2,1)="/",MID(IFERROR(INDEX(醫師週班表!$C$5:$T$44,$CU15,CJ$57),""),1+CJ$58*2,1),IF(MID(IFERROR(INDEX(醫師週班表!$C$5:$T$44,$CU15,CJ$57),""),3,1)="隔",IF(CJ$58=0,LEFT(IFERROR(INDEX(醫師週班表!$C$5:$T$44,$CU15,CJ$57),""),1),""),IF(MID(IFERROR(INDEX(醫師週班表!$C$5:$T$44,$CU15,CJ$57),""),2,1)="(",LEFT(IFERROR(INDEX(醫師週班表!$C$5:$T$44,$CU15,CJ$57),""),1),IFERROR(INDEX(醫師週班表!$C$5:$T$44,$CU15,CJ$57),"")))))))</f>
        <v/>
      </c>
      <c r="CK15" s="67">
        <f>IF(CK$59="X","",IF(CK$59&lt;&gt;"",CK$59,IF(IFERROR(INDEX(醫師週班表!$C$5:$T$44,$CU15,CK$57),"")=0,"",IF(MID(IFERROR(INDEX(醫師週班表!$C$5:$T$44,$CU15,CK$57),""),2,1)="/",MID(IFERROR(INDEX(醫師週班表!$C$5:$T$44,$CU15,CK$57),""),1+CK$58*2,1),IF(MID(IFERROR(INDEX(醫師週班表!$C$5:$T$44,$CU15,CK$57),""),3,1)="隔",IF(CK$58=0,LEFT(IFERROR(INDEX(醫師週班表!$C$5:$T$44,$CU15,CK$57),""),1),""),IF(MID(IFERROR(INDEX(醫師週班表!$C$5:$T$44,$CU15,CK$57),""),2,1)="(",LEFT(IFERROR(INDEX(醫師週班表!$C$5:$T$44,$CU15,CK$57),""),1),IFERROR(INDEX(醫師週班表!$C$5:$T$44,$CU15,CK$57),"")))))))</f>
        <v/>
      </c>
      <c r="CL15" s="68">
        <f>IF(CL$59="X","",IF(CL$59&lt;&gt;"",CL$59,IF(IFERROR(INDEX(醫師週班表!$C$5:$T$44,$CU15,CL$57),"")=0,"",IF(MID(IFERROR(INDEX(醫師週班表!$C$5:$T$44,$CU15,CL$57),""),2,1)="/",MID(IFERROR(INDEX(醫師週班表!$C$5:$T$44,$CU15,CL$57),""),1+CL$58*2,1),IF(MID(IFERROR(INDEX(醫師週班表!$C$5:$T$44,$CU15,CL$57),""),3,1)="隔",IF(CL$58=0,LEFT(IFERROR(INDEX(醫師週班表!$C$5:$T$44,$CU15,CL$57),""),1),""),IF(MID(IFERROR(INDEX(醫師週班表!$C$5:$T$44,$CU15,CL$57),""),2,1)="(",LEFT(IFERROR(INDEX(醫師週班表!$C$5:$T$44,$CU15,CL$57),""),1),IFERROR(INDEX(醫師週班表!$C$5:$T$44,$CU15,CL$57),"")))))))</f>
        <v/>
      </c>
      <c r="CM15" s="68">
        <f>IF(CM$59="X","",IF(CM$59&lt;&gt;"",CM$59,IF(IFERROR(INDEX(醫師週班表!$C$5:$T$44,$CU15,CM$57),"")=0,"",IF(MID(IFERROR(INDEX(醫師週班表!$C$5:$T$44,$CU15,CM$57),""),2,1)="/",MID(IFERROR(INDEX(醫師週班表!$C$5:$T$44,$CU15,CM$57),""),1+CM$58*2,1),IF(MID(IFERROR(INDEX(醫師週班表!$C$5:$T$44,$CU15,CM$57),""),3,1)="隔",IF(CM$58=0,LEFT(IFERROR(INDEX(醫師週班表!$C$5:$T$44,$CU15,CM$57),""),1),""),IF(MID(IFERROR(INDEX(醫師週班表!$C$5:$T$44,$CU15,CM$57),""),2,1)="(",LEFT(IFERROR(INDEX(醫師週班表!$C$5:$T$44,$CU15,CM$57),""),1),IFERROR(INDEX(醫師週班表!$C$5:$T$44,$CU15,CM$57),"")))))))</f>
        <v/>
      </c>
      <c r="CN15" s="67">
        <f>IF(CN$59="X","",IF(CN$59&lt;&gt;"",CN$59,IF(IFERROR(INDEX(醫師週班表!$C$5:$T$44,$CU15,CN$57),"")=0,"",IF(MID(IFERROR(INDEX(醫師週班表!$C$5:$T$44,$CU15,CN$57),""),2,1)="/",MID(IFERROR(INDEX(醫師週班表!$C$5:$T$44,$CU15,CN$57),""),1+CN$58*2,1),IF(MID(IFERROR(INDEX(醫師週班表!$C$5:$T$44,$CU15,CN$57),""),3,1)="隔",IF(CN$58=0,LEFT(IFERROR(INDEX(醫師週班表!$C$5:$T$44,$CU15,CN$57),""),1),""),IF(MID(IFERROR(INDEX(醫師週班表!$C$5:$T$44,$CU15,CN$57),""),2,1)="(",LEFT(IFERROR(INDEX(醫師週班表!$C$5:$T$44,$CU15,CN$57),""),1),IFERROR(INDEX(醫師週班表!$C$5:$T$44,$CU15,CN$57),"")))))))</f>
        <v/>
      </c>
      <c r="CO15" s="68">
        <f>IF(CO$59="X","",IF(CO$59&lt;&gt;"",CO$59,IF(IFERROR(INDEX(醫師週班表!$C$5:$T$44,$CU15,CO$57),"")=0,"",IF(MID(IFERROR(INDEX(醫師週班表!$C$5:$T$44,$CU15,CO$57),""),2,1)="/",MID(IFERROR(INDEX(醫師週班表!$C$5:$T$44,$CU15,CO$57),""),1+CO$58*2,1),IF(MID(IFERROR(INDEX(醫師週班表!$C$5:$T$44,$CU15,CO$57),""),3,1)="隔",IF(CO$58=0,LEFT(IFERROR(INDEX(醫師週班表!$C$5:$T$44,$CU15,CO$57),""),1),""),IF(MID(IFERROR(INDEX(醫師週班表!$C$5:$T$44,$CU15,CO$57),""),2,1)="(",LEFT(IFERROR(INDEX(醫師週班表!$C$5:$T$44,$CU15,CO$57),""),1),IFERROR(INDEX(醫師週班表!$C$5:$T$44,$CU15,CO$57),"")))))))</f>
        <v/>
      </c>
      <c r="CP15" s="68">
        <f>IF(CP$59="X","",IF(CP$59&lt;&gt;"",CP$59,IF(IFERROR(INDEX(醫師週班表!$C$5:$T$44,$CU15,CP$57),"")=0,"",IF(MID(IFERROR(INDEX(醫師週班表!$C$5:$T$44,$CU15,CP$57),""),2,1)="/",MID(IFERROR(INDEX(醫師週班表!$C$5:$T$44,$CU15,CP$57),""),1+CP$58*2,1),IF(MID(IFERROR(INDEX(醫師週班表!$C$5:$T$44,$CU15,CP$57),""),3,1)="隔",IF(CP$58=0,LEFT(IFERROR(INDEX(醫師週班表!$C$5:$T$44,$CU15,CP$57),""),1),""),IF(MID(IFERROR(INDEX(醫師週班表!$C$5:$T$44,$CU15,CP$57),""),2,1)="(",LEFT(IFERROR(INDEX(醫師週班表!$C$5:$T$44,$CU15,CP$57),""),1),IFERROR(INDEX(醫師週班表!$C$5:$T$44,$CU15,CP$57),"")))))))</f>
        <v/>
      </c>
      <c r="CQ15" s="67">
        <f>IF(CQ$59="X","",IF(CQ$59&lt;&gt;"",CQ$59,IF(IFERROR(INDEX(醫師週班表!$C$5:$T$44,$CU15,CQ$57),"")=0,"",IF(MID(IFERROR(INDEX(醫師週班表!$C$5:$T$44,$CU15,CQ$57),""),2,1)="/",MID(IFERROR(INDEX(醫師週班表!$C$5:$T$44,$CU15,CQ$57),""),1+CQ$58*2,1),IF(MID(IFERROR(INDEX(醫師週班表!$C$5:$T$44,$CU15,CQ$57),""),3,1)="隔",IF(CQ$58=0,LEFT(IFERROR(INDEX(醫師週班表!$C$5:$T$44,$CU15,CQ$57),""),1),""),IF(MID(IFERROR(INDEX(醫師週班表!$C$5:$T$44,$CU15,CQ$57),""),2,1)="(",LEFT(IFERROR(INDEX(醫師週班表!$C$5:$T$44,$CU15,CQ$57),""),1),IFERROR(INDEX(醫師週班表!$C$5:$T$44,$CU15,CQ$57),"")))))))</f>
        <v/>
      </c>
      <c r="CR15" s="68">
        <f>IF(CR$59="X","",IF(CR$59&lt;&gt;"",CR$59,IF(IFERROR(INDEX(醫師週班表!$C$5:$T$44,$CU15,CR$57),"")=0,"",IF(MID(IFERROR(INDEX(醫師週班表!$C$5:$T$44,$CU15,CR$57),""),2,1)="/",MID(IFERROR(INDEX(醫師週班表!$C$5:$T$44,$CU15,CR$57),""),1+CR$58*2,1),IF(MID(IFERROR(INDEX(醫師週班表!$C$5:$T$44,$CU15,CR$57),""),3,1)="隔",IF(CR$58=0,LEFT(IFERROR(INDEX(醫師週班表!$C$5:$T$44,$CU15,CR$57),""),1),""),IF(MID(IFERROR(INDEX(醫師週班表!$C$5:$T$44,$CU15,CR$57),""),2,1)="(",LEFT(IFERROR(INDEX(醫師週班表!$C$5:$T$44,$CU15,CR$57),""),1),IFERROR(INDEX(醫師週班表!$C$5:$T$44,$CU15,CR$57),"")))))))</f>
        <v/>
      </c>
      <c r="CS15" s="68">
        <f>IF(CS$59="X","",IF(CS$59&lt;&gt;"",CS$59,IF(IFERROR(INDEX(醫師週班表!$C$5:$T$44,$CU15,CS$57),"")=0,"",IF(MID(IFERROR(INDEX(醫師週班表!$C$5:$T$44,$CU15,CS$57),""),2,1)="/",MID(IFERROR(INDEX(醫師週班表!$C$5:$T$44,$CU15,CS$57),""),1+CS$58*2,1),IF(MID(IFERROR(INDEX(醫師週班表!$C$5:$T$44,$CU15,CS$57),""),3,1)="隔",IF(CS$58=0,LEFT(IFERROR(INDEX(醫師週班表!$C$5:$T$44,$CU15,CS$57),""),1),""),IF(MID(IFERROR(INDEX(醫師週班表!$C$5:$T$44,$CU15,CS$57),""),2,1)="(",LEFT(IFERROR(INDEX(醫師週班表!$C$5:$T$44,$CU15,CS$57),""),1),IFERROR(INDEX(醫師週班表!$C$5:$T$44,$CU15,CS$57),"")))))))</f>
        <v/>
      </c>
      <c r="CU15" s="69">
        <f>IFERROR(MATCH($A15,醫師週班表!$A$5:$A$44,0),0)</f>
        <v/>
      </c>
    </row>
    <row r="16" ht="17" customHeight="1">
      <c r="A16" s="20" t="inlineStr">
        <is>
          <t>D011</t>
        </is>
      </c>
      <c r="B16" s="16" t="inlineStr">
        <is>
          <t>温健成</t>
        </is>
      </c>
      <c r="C16" s="66" t="inlineStr"/>
      <c r="D16" s="16" t="inlineStr">
        <is>
          <t>晶睿院長</t>
        </is>
      </c>
      <c r="E16" s="67">
        <f>IF(E$59="X","",IF(E$59&lt;&gt;"",E$59,IF(IFERROR(INDEX(醫師週班表!$C$5:$T$44,$CU16,E$57),"")=0,"",IF(MID(IFERROR(INDEX(醫師週班表!$C$5:$T$44,$CU16,E$57),""),2,1)="/",MID(IFERROR(INDEX(醫師週班表!$C$5:$T$44,$CU16,E$57),""),1+E$58*2,1),IF(MID(IFERROR(INDEX(醫師週班表!$C$5:$T$44,$CU16,E$57),""),3,1)="隔",IF(E$58=0,LEFT(IFERROR(INDEX(醫師週班表!$C$5:$T$44,$CU16,E$57),""),1),""),IF(MID(IFERROR(INDEX(醫師週班表!$C$5:$T$44,$CU16,E$57),""),2,1)="(",LEFT(IFERROR(INDEX(醫師週班表!$C$5:$T$44,$CU16,E$57),""),1),IFERROR(INDEX(醫師週班表!$C$5:$T$44,$CU16,E$57),"")))))))</f>
        <v/>
      </c>
      <c r="F16" s="68">
        <f>IF(F$59="X","",IF(F$59&lt;&gt;"",F$59,IF(IFERROR(INDEX(醫師週班表!$C$5:$T$44,$CU16,F$57),"")=0,"",IF(MID(IFERROR(INDEX(醫師週班表!$C$5:$T$44,$CU16,F$57),""),2,1)="/",MID(IFERROR(INDEX(醫師週班表!$C$5:$T$44,$CU16,F$57),""),1+F$58*2,1),IF(MID(IFERROR(INDEX(醫師週班表!$C$5:$T$44,$CU16,F$57),""),3,1)="隔",IF(F$58=0,LEFT(IFERROR(INDEX(醫師週班表!$C$5:$T$44,$CU16,F$57),""),1),""),IF(MID(IFERROR(INDEX(醫師週班表!$C$5:$T$44,$CU16,F$57),""),2,1)="(",LEFT(IFERROR(INDEX(醫師週班表!$C$5:$T$44,$CU16,F$57),""),1),IFERROR(INDEX(醫師週班表!$C$5:$T$44,$CU16,F$57),"")))))))</f>
        <v/>
      </c>
      <c r="G16" s="68">
        <f>IF(G$59="X","",IF(G$59&lt;&gt;"",G$59,IF(IFERROR(INDEX(醫師週班表!$C$5:$T$44,$CU16,G$57),"")=0,"",IF(MID(IFERROR(INDEX(醫師週班表!$C$5:$T$44,$CU16,G$57),""),2,1)="/",MID(IFERROR(INDEX(醫師週班表!$C$5:$T$44,$CU16,G$57),""),1+G$58*2,1),IF(MID(IFERROR(INDEX(醫師週班表!$C$5:$T$44,$CU16,G$57),""),3,1)="隔",IF(G$58=0,LEFT(IFERROR(INDEX(醫師週班表!$C$5:$T$44,$CU16,G$57),""),1),""),IF(MID(IFERROR(INDEX(醫師週班表!$C$5:$T$44,$CU16,G$57),""),2,1)="(",LEFT(IFERROR(INDEX(醫師週班表!$C$5:$T$44,$CU16,G$57),""),1),IFERROR(INDEX(醫師週班表!$C$5:$T$44,$CU16,G$57),"")))))))</f>
        <v/>
      </c>
      <c r="H16" s="67">
        <f>IF(H$59="X","",IF(H$59&lt;&gt;"",H$59,IF(IFERROR(INDEX(醫師週班表!$C$5:$T$44,$CU16,H$57),"")=0,"",IF(MID(IFERROR(INDEX(醫師週班表!$C$5:$T$44,$CU16,H$57),""),2,1)="/",MID(IFERROR(INDEX(醫師週班表!$C$5:$T$44,$CU16,H$57),""),1+H$58*2,1),IF(MID(IFERROR(INDEX(醫師週班表!$C$5:$T$44,$CU16,H$57),""),3,1)="隔",IF(H$58=0,LEFT(IFERROR(INDEX(醫師週班表!$C$5:$T$44,$CU16,H$57),""),1),""),IF(MID(IFERROR(INDEX(醫師週班表!$C$5:$T$44,$CU16,H$57),""),2,1)="(",LEFT(IFERROR(INDEX(醫師週班表!$C$5:$T$44,$CU16,H$57),""),1),IFERROR(INDEX(醫師週班表!$C$5:$T$44,$CU16,H$57),"")))))))</f>
        <v/>
      </c>
      <c r="I16" s="68">
        <f>IF(I$59="X","",IF(I$59&lt;&gt;"",I$59,IF(IFERROR(INDEX(醫師週班表!$C$5:$T$44,$CU16,I$57),"")=0,"",IF(MID(IFERROR(INDEX(醫師週班表!$C$5:$T$44,$CU16,I$57),""),2,1)="/",MID(IFERROR(INDEX(醫師週班表!$C$5:$T$44,$CU16,I$57),""),1+I$58*2,1),IF(MID(IFERROR(INDEX(醫師週班表!$C$5:$T$44,$CU16,I$57),""),3,1)="隔",IF(I$58=0,LEFT(IFERROR(INDEX(醫師週班表!$C$5:$T$44,$CU16,I$57),""),1),""),IF(MID(IFERROR(INDEX(醫師週班表!$C$5:$T$44,$CU16,I$57),""),2,1)="(",LEFT(IFERROR(INDEX(醫師週班表!$C$5:$T$44,$CU16,I$57),""),1),IFERROR(INDEX(醫師週班表!$C$5:$T$44,$CU16,I$57),"")))))))</f>
        <v/>
      </c>
      <c r="J16" s="68">
        <f>IF(J$59="X","",IF(J$59&lt;&gt;"",J$59,IF(IFERROR(INDEX(醫師週班表!$C$5:$T$44,$CU16,J$57),"")=0,"",IF(MID(IFERROR(INDEX(醫師週班表!$C$5:$T$44,$CU16,J$57),""),2,1)="/",MID(IFERROR(INDEX(醫師週班表!$C$5:$T$44,$CU16,J$57),""),1+J$58*2,1),IF(MID(IFERROR(INDEX(醫師週班表!$C$5:$T$44,$CU16,J$57),""),3,1)="隔",IF(J$58=0,LEFT(IFERROR(INDEX(醫師週班表!$C$5:$T$44,$CU16,J$57),""),1),""),IF(MID(IFERROR(INDEX(醫師週班表!$C$5:$T$44,$CU16,J$57),""),2,1)="(",LEFT(IFERROR(INDEX(醫師週班表!$C$5:$T$44,$CU16,J$57),""),1),IFERROR(INDEX(醫師週班表!$C$5:$T$44,$CU16,J$57),"")))))))</f>
        <v/>
      </c>
      <c r="K16" s="67">
        <f>IF(K$59="X","",IF(K$59&lt;&gt;"",K$59,IF(IFERROR(INDEX(醫師週班表!$C$5:$T$44,$CU16,K$57),"")=0,"",IF(MID(IFERROR(INDEX(醫師週班表!$C$5:$T$44,$CU16,K$57),""),2,1)="/",MID(IFERROR(INDEX(醫師週班表!$C$5:$T$44,$CU16,K$57),""),1+K$58*2,1),IF(MID(IFERROR(INDEX(醫師週班表!$C$5:$T$44,$CU16,K$57),""),3,1)="隔",IF(K$58=0,LEFT(IFERROR(INDEX(醫師週班表!$C$5:$T$44,$CU16,K$57),""),1),""),IF(MID(IFERROR(INDEX(醫師週班表!$C$5:$T$44,$CU16,K$57),""),2,1)="(",LEFT(IFERROR(INDEX(醫師週班表!$C$5:$T$44,$CU16,K$57),""),1),IFERROR(INDEX(醫師週班表!$C$5:$T$44,$CU16,K$57),"")))))))</f>
        <v/>
      </c>
      <c r="L16" s="68">
        <f>IF(L$59="X","",IF(L$59&lt;&gt;"",L$59,IF(IFERROR(INDEX(醫師週班表!$C$5:$T$44,$CU16,L$57),"")=0,"",IF(MID(IFERROR(INDEX(醫師週班表!$C$5:$T$44,$CU16,L$57),""),2,1)="/",MID(IFERROR(INDEX(醫師週班表!$C$5:$T$44,$CU16,L$57),""),1+L$58*2,1),IF(MID(IFERROR(INDEX(醫師週班表!$C$5:$T$44,$CU16,L$57),""),3,1)="隔",IF(L$58=0,LEFT(IFERROR(INDEX(醫師週班表!$C$5:$T$44,$CU16,L$57),""),1),""),IF(MID(IFERROR(INDEX(醫師週班表!$C$5:$T$44,$CU16,L$57),""),2,1)="(",LEFT(IFERROR(INDEX(醫師週班表!$C$5:$T$44,$CU16,L$57),""),1),IFERROR(INDEX(醫師週班表!$C$5:$T$44,$CU16,L$57),"")))))))</f>
        <v/>
      </c>
      <c r="M16" s="68">
        <f>IF(M$59="X","",IF(M$59&lt;&gt;"",M$59,IF(IFERROR(INDEX(醫師週班表!$C$5:$T$44,$CU16,M$57),"")=0,"",IF(MID(IFERROR(INDEX(醫師週班表!$C$5:$T$44,$CU16,M$57),""),2,1)="/",MID(IFERROR(INDEX(醫師週班表!$C$5:$T$44,$CU16,M$57),""),1+M$58*2,1),IF(MID(IFERROR(INDEX(醫師週班表!$C$5:$T$44,$CU16,M$57),""),3,1)="隔",IF(M$58=0,LEFT(IFERROR(INDEX(醫師週班表!$C$5:$T$44,$CU16,M$57),""),1),""),IF(MID(IFERROR(INDEX(醫師週班表!$C$5:$T$44,$CU16,M$57),""),2,1)="(",LEFT(IFERROR(INDEX(醫師週班表!$C$5:$T$44,$CU16,M$57),""),1),IFERROR(INDEX(醫師週班表!$C$5:$T$44,$CU16,M$57),"")))))))</f>
        <v/>
      </c>
      <c r="N16" s="67">
        <f>IF(N$59="X","",IF(N$59&lt;&gt;"",N$59,IF(IFERROR(INDEX(醫師週班表!$C$5:$T$44,$CU16,N$57),"")=0,"",IF(MID(IFERROR(INDEX(醫師週班表!$C$5:$T$44,$CU16,N$57),""),2,1)="/",MID(IFERROR(INDEX(醫師週班表!$C$5:$T$44,$CU16,N$57),""),1+N$58*2,1),IF(MID(IFERROR(INDEX(醫師週班表!$C$5:$T$44,$CU16,N$57),""),3,1)="隔",IF(N$58=0,LEFT(IFERROR(INDEX(醫師週班表!$C$5:$T$44,$CU16,N$57),""),1),""),IF(MID(IFERROR(INDEX(醫師週班表!$C$5:$T$44,$CU16,N$57),""),2,1)="(",LEFT(IFERROR(INDEX(醫師週班表!$C$5:$T$44,$CU16,N$57),""),1),IFERROR(INDEX(醫師週班表!$C$5:$T$44,$CU16,N$57),"")))))))</f>
        <v/>
      </c>
      <c r="O16" s="68">
        <f>IF(O$59="X","",IF(O$59&lt;&gt;"",O$59,IF(IFERROR(INDEX(醫師週班表!$C$5:$T$44,$CU16,O$57),"")=0,"",IF(MID(IFERROR(INDEX(醫師週班表!$C$5:$T$44,$CU16,O$57),""),2,1)="/",MID(IFERROR(INDEX(醫師週班表!$C$5:$T$44,$CU16,O$57),""),1+O$58*2,1),IF(MID(IFERROR(INDEX(醫師週班表!$C$5:$T$44,$CU16,O$57),""),3,1)="隔",IF(O$58=0,LEFT(IFERROR(INDEX(醫師週班表!$C$5:$T$44,$CU16,O$57),""),1),""),IF(MID(IFERROR(INDEX(醫師週班表!$C$5:$T$44,$CU16,O$57),""),2,1)="(",LEFT(IFERROR(INDEX(醫師週班表!$C$5:$T$44,$CU16,O$57),""),1),IFERROR(INDEX(醫師週班表!$C$5:$T$44,$CU16,O$57),"")))))))</f>
        <v/>
      </c>
      <c r="P16" s="68">
        <f>IF(P$59="X","",IF(P$59&lt;&gt;"",P$59,IF(IFERROR(INDEX(醫師週班表!$C$5:$T$44,$CU16,P$57),"")=0,"",IF(MID(IFERROR(INDEX(醫師週班表!$C$5:$T$44,$CU16,P$57),""),2,1)="/",MID(IFERROR(INDEX(醫師週班表!$C$5:$T$44,$CU16,P$57),""),1+P$58*2,1),IF(MID(IFERROR(INDEX(醫師週班表!$C$5:$T$44,$CU16,P$57),""),3,1)="隔",IF(P$58=0,LEFT(IFERROR(INDEX(醫師週班表!$C$5:$T$44,$CU16,P$57),""),1),""),IF(MID(IFERROR(INDEX(醫師週班表!$C$5:$T$44,$CU16,P$57),""),2,1)="(",LEFT(IFERROR(INDEX(醫師週班表!$C$5:$T$44,$CU16,P$57),""),1),IFERROR(INDEX(醫師週班表!$C$5:$T$44,$CU16,P$57),"")))))))</f>
        <v/>
      </c>
      <c r="Q16" s="67">
        <f>IF(Q$59="X","",IF(Q$59&lt;&gt;"",Q$59,IF(IFERROR(INDEX(醫師週班表!$C$5:$T$44,$CU16,Q$57),"")=0,"",IF(MID(IFERROR(INDEX(醫師週班表!$C$5:$T$44,$CU16,Q$57),""),2,1)="/",MID(IFERROR(INDEX(醫師週班表!$C$5:$T$44,$CU16,Q$57),""),1+Q$58*2,1),IF(MID(IFERROR(INDEX(醫師週班表!$C$5:$T$44,$CU16,Q$57),""),3,1)="隔",IF(Q$58=0,LEFT(IFERROR(INDEX(醫師週班表!$C$5:$T$44,$CU16,Q$57),""),1),""),IF(MID(IFERROR(INDEX(醫師週班表!$C$5:$T$44,$CU16,Q$57),""),2,1)="(",LEFT(IFERROR(INDEX(醫師週班表!$C$5:$T$44,$CU16,Q$57),""),1),IFERROR(INDEX(醫師週班表!$C$5:$T$44,$CU16,Q$57),"")))))))</f>
        <v/>
      </c>
      <c r="R16" s="68">
        <f>IF(R$59="X","",IF(R$59&lt;&gt;"",R$59,IF(IFERROR(INDEX(醫師週班表!$C$5:$T$44,$CU16,R$57),"")=0,"",IF(MID(IFERROR(INDEX(醫師週班表!$C$5:$T$44,$CU16,R$57),""),2,1)="/",MID(IFERROR(INDEX(醫師週班表!$C$5:$T$44,$CU16,R$57),""),1+R$58*2,1),IF(MID(IFERROR(INDEX(醫師週班表!$C$5:$T$44,$CU16,R$57),""),3,1)="隔",IF(R$58=0,LEFT(IFERROR(INDEX(醫師週班表!$C$5:$T$44,$CU16,R$57),""),1),""),IF(MID(IFERROR(INDEX(醫師週班表!$C$5:$T$44,$CU16,R$57),""),2,1)="(",LEFT(IFERROR(INDEX(醫師週班表!$C$5:$T$44,$CU16,R$57),""),1),IFERROR(INDEX(醫師週班表!$C$5:$T$44,$CU16,R$57),"")))))))</f>
        <v/>
      </c>
      <c r="S16" s="68">
        <f>IF(S$59="X","",IF(S$59&lt;&gt;"",S$59,IF(IFERROR(INDEX(醫師週班表!$C$5:$T$44,$CU16,S$57),"")=0,"",IF(MID(IFERROR(INDEX(醫師週班表!$C$5:$T$44,$CU16,S$57),""),2,1)="/",MID(IFERROR(INDEX(醫師週班表!$C$5:$T$44,$CU16,S$57),""),1+S$58*2,1),IF(MID(IFERROR(INDEX(醫師週班表!$C$5:$T$44,$CU16,S$57),""),3,1)="隔",IF(S$58=0,LEFT(IFERROR(INDEX(醫師週班表!$C$5:$T$44,$CU16,S$57),""),1),""),IF(MID(IFERROR(INDEX(醫師週班表!$C$5:$T$44,$CU16,S$57),""),2,1)="(",LEFT(IFERROR(INDEX(醫師週班表!$C$5:$T$44,$CU16,S$57),""),1),IFERROR(INDEX(醫師週班表!$C$5:$T$44,$CU16,S$57),"")))))))</f>
        <v/>
      </c>
      <c r="T16" s="67">
        <f>IF(T$59="X","",IF(T$59&lt;&gt;"",T$59,IF(IFERROR(INDEX(醫師週班表!$C$5:$T$44,$CU16,T$57),"")=0,"",IF(MID(IFERROR(INDEX(醫師週班表!$C$5:$T$44,$CU16,T$57),""),2,1)="/",MID(IFERROR(INDEX(醫師週班表!$C$5:$T$44,$CU16,T$57),""),1+T$58*2,1),IF(MID(IFERROR(INDEX(醫師週班表!$C$5:$T$44,$CU16,T$57),""),3,1)="隔",IF(T$58=0,LEFT(IFERROR(INDEX(醫師週班表!$C$5:$T$44,$CU16,T$57),""),1),""),IF(MID(IFERROR(INDEX(醫師週班表!$C$5:$T$44,$CU16,T$57),""),2,1)="(",LEFT(IFERROR(INDEX(醫師週班表!$C$5:$T$44,$CU16,T$57),""),1),IFERROR(INDEX(醫師週班表!$C$5:$T$44,$CU16,T$57),"")))))))</f>
        <v/>
      </c>
      <c r="U16" s="68">
        <f>IF(U$59="X","",IF(U$59&lt;&gt;"",U$59,IF(IFERROR(INDEX(醫師週班表!$C$5:$T$44,$CU16,U$57),"")=0,"",IF(MID(IFERROR(INDEX(醫師週班表!$C$5:$T$44,$CU16,U$57),""),2,1)="/",MID(IFERROR(INDEX(醫師週班表!$C$5:$T$44,$CU16,U$57),""),1+U$58*2,1),IF(MID(IFERROR(INDEX(醫師週班表!$C$5:$T$44,$CU16,U$57),""),3,1)="隔",IF(U$58=0,LEFT(IFERROR(INDEX(醫師週班表!$C$5:$T$44,$CU16,U$57),""),1),""),IF(MID(IFERROR(INDEX(醫師週班表!$C$5:$T$44,$CU16,U$57),""),2,1)="(",LEFT(IFERROR(INDEX(醫師週班表!$C$5:$T$44,$CU16,U$57),""),1),IFERROR(INDEX(醫師週班表!$C$5:$T$44,$CU16,U$57),"")))))))</f>
        <v/>
      </c>
      <c r="V16" s="68">
        <f>IF(V$59="X","",IF(V$59&lt;&gt;"",V$59,IF(IFERROR(INDEX(醫師週班表!$C$5:$T$44,$CU16,V$57),"")=0,"",IF(MID(IFERROR(INDEX(醫師週班表!$C$5:$T$44,$CU16,V$57),""),2,1)="/",MID(IFERROR(INDEX(醫師週班表!$C$5:$T$44,$CU16,V$57),""),1+V$58*2,1),IF(MID(IFERROR(INDEX(醫師週班表!$C$5:$T$44,$CU16,V$57),""),3,1)="隔",IF(V$58=0,LEFT(IFERROR(INDEX(醫師週班表!$C$5:$T$44,$CU16,V$57),""),1),""),IF(MID(IFERROR(INDEX(醫師週班表!$C$5:$T$44,$CU16,V$57),""),2,1)="(",LEFT(IFERROR(INDEX(醫師週班表!$C$5:$T$44,$CU16,V$57),""),1),IFERROR(INDEX(醫師週班表!$C$5:$T$44,$CU16,V$57),"")))))))</f>
        <v/>
      </c>
      <c r="W16" s="67">
        <f>IF(W$59="X","",IF(W$59&lt;&gt;"",W$59,IF(IFERROR(INDEX(醫師週班表!$C$5:$T$44,$CU16,W$57),"")=0,"",IF(MID(IFERROR(INDEX(醫師週班表!$C$5:$T$44,$CU16,W$57),""),2,1)="/",MID(IFERROR(INDEX(醫師週班表!$C$5:$T$44,$CU16,W$57),""),1+W$58*2,1),IF(MID(IFERROR(INDEX(醫師週班表!$C$5:$T$44,$CU16,W$57),""),3,1)="隔",IF(W$58=0,LEFT(IFERROR(INDEX(醫師週班表!$C$5:$T$44,$CU16,W$57),""),1),""),IF(MID(IFERROR(INDEX(醫師週班表!$C$5:$T$44,$CU16,W$57),""),2,1)="(",LEFT(IFERROR(INDEX(醫師週班表!$C$5:$T$44,$CU16,W$57),""),1),IFERROR(INDEX(醫師週班表!$C$5:$T$44,$CU16,W$57),"")))))))</f>
        <v/>
      </c>
      <c r="X16" s="68">
        <f>IF(X$59="X","",IF(X$59&lt;&gt;"",X$59,IF(IFERROR(INDEX(醫師週班表!$C$5:$T$44,$CU16,X$57),"")=0,"",IF(MID(IFERROR(INDEX(醫師週班表!$C$5:$T$44,$CU16,X$57),""),2,1)="/",MID(IFERROR(INDEX(醫師週班表!$C$5:$T$44,$CU16,X$57),""),1+X$58*2,1),IF(MID(IFERROR(INDEX(醫師週班表!$C$5:$T$44,$CU16,X$57),""),3,1)="隔",IF(X$58=0,LEFT(IFERROR(INDEX(醫師週班表!$C$5:$T$44,$CU16,X$57),""),1),""),IF(MID(IFERROR(INDEX(醫師週班表!$C$5:$T$44,$CU16,X$57),""),2,1)="(",LEFT(IFERROR(INDEX(醫師週班表!$C$5:$T$44,$CU16,X$57),""),1),IFERROR(INDEX(醫師週班表!$C$5:$T$44,$CU16,X$57),"")))))))</f>
        <v/>
      </c>
      <c r="Y16" s="68">
        <f>IF(Y$59="X","",IF(Y$59&lt;&gt;"",Y$59,IF(IFERROR(INDEX(醫師週班表!$C$5:$T$44,$CU16,Y$57),"")=0,"",IF(MID(IFERROR(INDEX(醫師週班表!$C$5:$T$44,$CU16,Y$57),""),2,1)="/",MID(IFERROR(INDEX(醫師週班表!$C$5:$T$44,$CU16,Y$57),""),1+Y$58*2,1),IF(MID(IFERROR(INDEX(醫師週班表!$C$5:$T$44,$CU16,Y$57),""),3,1)="隔",IF(Y$58=0,LEFT(IFERROR(INDEX(醫師週班表!$C$5:$T$44,$CU16,Y$57),""),1),""),IF(MID(IFERROR(INDEX(醫師週班表!$C$5:$T$44,$CU16,Y$57),""),2,1)="(",LEFT(IFERROR(INDEX(醫師週班表!$C$5:$T$44,$CU16,Y$57),""),1),IFERROR(INDEX(醫師週班表!$C$5:$T$44,$CU16,Y$57),"")))))))</f>
        <v/>
      </c>
      <c r="Z16" s="67">
        <f>IF(Z$59="X","",IF(Z$59&lt;&gt;"",Z$59,IF(IFERROR(INDEX(醫師週班表!$C$5:$T$44,$CU16,Z$57),"")=0,"",IF(MID(IFERROR(INDEX(醫師週班表!$C$5:$T$44,$CU16,Z$57),""),2,1)="/",MID(IFERROR(INDEX(醫師週班表!$C$5:$T$44,$CU16,Z$57),""),1+Z$58*2,1),IF(MID(IFERROR(INDEX(醫師週班表!$C$5:$T$44,$CU16,Z$57),""),3,1)="隔",IF(Z$58=0,LEFT(IFERROR(INDEX(醫師週班表!$C$5:$T$44,$CU16,Z$57),""),1),""),IF(MID(IFERROR(INDEX(醫師週班表!$C$5:$T$44,$CU16,Z$57),""),2,1)="(",LEFT(IFERROR(INDEX(醫師週班表!$C$5:$T$44,$CU16,Z$57),""),1),IFERROR(INDEX(醫師週班表!$C$5:$T$44,$CU16,Z$57),"")))))))</f>
        <v/>
      </c>
      <c r="AA16" s="68">
        <f>IF(AA$59="X","",IF(AA$59&lt;&gt;"",AA$59,IF(IFERROR(INDEX(醫師週班表!$C$5:$T$44,$CU16,AA$57),"")=0,"",IF(MID(IFERROR(INDEX(醫師週班表!$C$5:$T$44,$CU16,AA$57),""),2,1)="/",MID(IFERROR(INDEX(醫師週班表!$C$5:$T$44,$CU16,AA$57),""),1+AA$58*2,1),IF(MID(IFERROR(INDEX(醫師週班表!$C$5:$T$44,$CU16,AA$57),""),3,1)="隔",IF(AA$58=0,LEFT(IFERROR(INDEX(醫師週班表!$C$5:$T$44,$CU16,AA$57),""),1),""),IF(MID(IFERROR(INDEX(醫師週班表!$C$5:$T$44,$CU16,AA$57),""),2,1)="(",LEFT(IFERROR(INDEX(醫師週班表!$C$5:$T$44,$CU16,AA$57),""),1),IFERROR(INDEX(醫師週班表!$C$5:$T$44,$CU16,AA$57),"")))))))</f>
        <v/>
      </c>
      <c r="AB16" s="68">
        <f>IF(AB$59="X","",IF(AB$59&lt;&gt;"",AB$59,IF(IFERROR(INDEX(醫師週班表!$C$5:$T$44,$CU16,AB$57),"")=0,"",IF(MID(IFERROR(INDEX(醫師週班表!$C$5:$T$44,$CU16,AB$57),""),2,1)="/",MID(IFERROR(INDEX(醫師週班表!$C$5:$T$44,$CU16,AB$57),""),1+AB$58*2,1),IF(MID(IFERROR(INDEX(醫師週班表!$C$5:$T$44,$CU16,AB$57),""),3,1)="隔",IF(AB$58=0,LEFT(IFERROR(INDEX(醫師週班表!$C$5:$T$44,$CU16,AB$57),""),1),""),IF(MID(IFERROR(INDEX(醫師週班表!$C$5:$T$44,$CU16,AB$57),""),2,1)="(",LEFT(IFERROR(INDEX(醫師週班表!$C$5:$T$44,$CU16,AB$57),""),1),IFERROR(INDEX(醫師週班表!$C$5:$T$44,$CU16,AB$57),"")))))))</f>
        <v/>
      </c>
      <c r="AC16" s="67">
        <f>IF(AC$59="X","",IF(AC$59&lt;&gt;"",AC$59,IF(IFERROR(INDEX(醫師週班表!$C$5:$T$44,$CU16,AC$57),"")=0,"",IF(MID(IFERROR(INDEX(醫師週班表!$C$5:$T$44,$CU16,AC$57),""),2,1)="/",MID(IFERROR(INDEX(醫師週班表!$C$5:$T$44,$CU16,AC$57),""),1+AC$58*2,1),IF(MID(IFERROR(INDEX(醫師週班表!$C$5:$T$44,$CU16,AC$57),""),3,1)="隔",IF(AC$58=0,LEFT(IFERROR(INDEX(醫師週班表!$C$5:$T$44,$CU16,AC$57),""),1),""),IF(MID(IFERROR(INDEX(醫師週班表!$C$5:$T$44,$CU16,AC$57),""),2,1)="(",LEFT(IFERROR(INDEX(醫師週班表!$C$5:$T$44,$CU16,AC$57),""),1),IFERROR(INDEX(醫師週班表!$C$5:$T$44,$CU16,AC$57),"")))))))</f>
        <v/>
      </c>
      <c r="AD16" s="68">
        <f>IF(AD$59="X","",IF(AD$59&lt;&gt;"",AD$59,IF(IFERROR(INDEX(醫師週班表!$C$5:$T$44,$CU16,AD$57),"")=0,"",IF(MID(IFERROR(INDEX(醫師週班表!$C$5:$T$44,$CU16,AD$57),""),2,1)="/",MID(IFERROR(INDEX(醫師週班表!$C$5:$T$44,$CU16,AD$57),""),1+AD$58*2,1),IF(MID(IFERROR(INDEX(醫師週班表!$C$5:$T$44,$CU16,AD$57),""),3,1)="隔",IF(AD$58=0,LEFT(IFERROR(INDEX(醫師週班表!$C$5:$T$44,$CU16,AD$57),""),1),""),IF(MID(IFERROR(INDEX(醫師週班表!$C$5:$T$44,$CU16,AD$57),""),2,1)="(",LEFT(IFERROR(INDEX(醫師週班表!$C$5:$T$44,$CU16,AD$57),""),1),IFERROR(INDEX(醫師週班表!$C$5:$T$44,$CU16,AD$57),"")))))))</f>
        <v/>
      </c>
      <c r="AE16" s="68">
        <f>IF(AE$59="X","",IF(AE$59&lt;&gt;"",AE$59,IF(IFERROR(INDEX(醫師週班表!$C$5:$T$44,$CU16,AE$57),"")=0,"",IF(MID(IFERROR(INDEX(醫師週班表!$C$5:$T$44,$CU16,AE$57),""),2,1)="/",MID(IFERROR(INDEX(醫師週班表!$C$5:$T$44,$CU16,AE$57),""),1+AE$58*2,1),IF(MID(IFERROR(INDEX(醫師週班表!$C$5:$T$44,$CU16,AE$57),""),3,1)="隔",IF(AE$58=0,LEFT(IFERROR(INDEX(醫師週班表!$C$5:$T$44,$CU16,AE$57),""),1),""),IF(MID(IFERROR(INDEX(醫師週班表!$C$5:$T$44,$CU16,AE$57),""),2,1)="(",LEFT(IFERROR(INDEX(醫師週班表!$C$5:$T$44,$CU16,AE$57),""),1),IFERROR(INDEX(醫師週班表!$C$5:$T$44,$CU16,AE$57),"")))))))</f>
        <v/>
      </c>
      <c r="AF16" s="67">
        <f>IF(AF$59="X","",IF(AF$59&lt;&gt;"",AF$59,IF(IFERROR(INDEX(醫師週班表!$C$5:$T$44,$CU16,AF$57),"")=0,"",IF(MID(IFERROR(INDEX(醫師週班表!$C$5:$T$44,$CU16,AF$57),""),2,1)="/",MID(IFERROR(INDEX(醫師週班表!$C$5:$T$44,$CU16,AF$57),""),1+AF$58*2,1),IF(MID(IFERROR(INDEX(醫師週班表!$C$5:$T$44,$CU16,AF$57),""),3,1)="隔",IF(AF$58=0,LEFT(IFERROR(INDEX(醫師週班表!$C$5:$T$44,$CU16,AF$57),""),1),""),IF(MID(IFERROR(INDEX(醫師週班表!$C$5:$T$44,$CU16,AF$57),""),2,1)="(",LEFT(IFERROR(INDEX(醫師週班表!$C$5:$T$44,$CU16,AF$57),""),1),IFERROR(INDEX(醫師週班表!$C$5:$T$44,$CU16,AF$57),"")))))))</f>
        <v/>
      </c>
      <c r="AG16" s="68">
        <f>IF(AG$59="X","",IF(AG$59&lt;&gt;"",AG$59,IF(IFERROR(INDEX(醫師週班表!$C$5:$T$44,$CU16,AG$57),"")=0,"",IF(MID(IFERROR(INDEX(醫師週班表!$C$5:$T$44,$CU16,AG$57),""),2,1)="/",MID(IFERROR(INDEX(醫師週班表!$C$5:$T$44,$CU16,AG$57),""),1+AG$58*2,1),IF(MID(IFERROR(INDEX(醫師週班表!$C$5:$T$44,$CU16,AG$57),""),3,1)="隔",IF(AG$58=0,LEFT(IFERROR(INDEX(醫師週班表!$C$5:$T$44,$CU16,AG$57),""),1),""),IF(MID(IFERROR(INDEX(醫師週班表!$C$5:$T$44,$CU16,AG$57),""),2,1)="(",LEFT(IFERROR(INDEX(醫師週班表!$C$5:$T$44,$CU16,AG$57),""),1),IFERROR(INDEX(醫師週班表!$C$5:$T$44,$CU16,AG$57),"")))))))</f>
        <v/>
      </c>
      <c r="AH16" s="68">
        <f>IF(AH$59="X","",IF(AH$59&lt;&gt;"",AH$59,IF(IFERROR(INDEX(醫師週班表!$C$5:$T$44,$CU16,AH$57),"")=0,"",IF(MID(IFERROR(INDEX(醫師週班表!$C$5:$T$44,$CU16,AH$57),""),2,1)="/",MID(IFERROR(INDEX(醫師週班表!$C$5:$T$44,$CU16,AH$57),""),1+AH$58*2,1),IF(MID(IFERROR(INDEX(醫師週班表!$C$5:$T$44,$CU16,AH$57),""),3,1)="隔",IF(AH$58=0,LEFT(IFERROR(INDEX(醫師週班表!$C$5:$T$44,$CU16,AH$57),""),1),""),IF(MID(IFERROR(INDEX(醫師週班表!$C$5:$T$44,$CU16,AH$57),""),2,1)="(",LEFT(IFERROR(INDEX(醫師週班表!$C$5:$T$44,$CU16,AH$57),""),1),IFERROR(INDEX(醫師週班表!$C$5:$T$44,$CU16,AH$57),"")))))))</f>
        <v/>
      </c>
      <c r="AI16" s="67">
        <f>IF(AI$59="X","",IF(AI$59&lt;&gt;"",AI$59,IF(IFERROR(INDEX(醫師週班表!$C$5:$T$44,$CU16,AI$57),"")=0,"",IF(MID(IFERROR(INDEX(醫師週班表!$C$5:$T$44,$CU16,AI$57),""),2,1)="/",MID(IFERROR(INDEX(醫師週班表!$C$5:$T$44,$CU16,AI$57),""),1+AI$58*2,1),IF(MID(IFERROR(INDEX(醫師週班表!$C$5:$T$44,$CU16,AI$57),""),3,1)="隔",IF(AI$58=0,LEFT(IFERROR(INDEX(醫師週班表!$C$5:$T$44,$CU16,AI$57),""),1),""),IF(MID(IFERROR(INDEX(醫師週班表!$C$5:$T$44,$CU16,AI$57),""),2,1)="(",LEFT(IFERROR(INDEX(醫師週班表!$C$5:$T$44,$CU16,AI$57),""),1),IFERROR(INDEX(醫師週班表!$C$5:$T$44,$CU16,AI$57),"")))))))</f>
        <v/>
      </c>
      <c r="AJ16" s="68">
        <f>IF(AJ$59="X","",IF(AJ$59&lt;&gt;"",AJ$59,IF(IFERROR(INDEX(醫師週班表!$C$5:$T$44,$CU16,AJ$57),"")=0,"",IF(MID(IFERROR(INDEX(醫師週班表!$C$5:$T$44,$CU16,AJ$57),""),2,1)="/",MID(IFERROR(INDEX(醫師週班表!$C$5:$T$44,$CU16,AJ$57),""),1+AJ$58*2,1),IF(MID(IFERROR(INDEX(醫師週班表!$C$5:$T$44,$CU16,AJ$57),""),3,1)="隔",IF(AJ$58=0,LEFT(IFERROR(INDEX(醫師週班表!$C$5:$T$44,$CU16,AJ$57),""),1),""),IF(MID(IFERROR(INDEX(醫師週班表!$C$5:$T$44,$CU16,AJ$57),""),2,1)="(",LEFT(IFERROR(INDEX(醫師週班表!$C$5:$T$44,$CU16,AJ$57),""),1),IFERROR(INDEX(醫師週班表!$C$5:$T$44,$CU16,AJ$57),"")))))))</f>
        <v/>
      </c>
      <c r="AK16" s="68">
        <f>IF(AK$59="X","",IF(AK$59&lt;&gt;"",AK$59,IF(IFERROR(INDEX(醫師週班表!$C$5:$T$44,$CU16,AK$57),"")=0,"",IF(MID(IFERROR(INDEX(醫師週班表!$C$5:$T$44,$CU16,AK$57),""),2,1)="/",MID(IFERROR(INDEX(醫師週班表!$C$5:$T$44,$CU16,AK$57),""),1+AK$58*2,1),IF(MID(IFERROR(INDEX(醫師週班表!$C$5:$T$44,$CU16,AK$57),""),3,1)="隔",IF(AK$58=0,LEFT(IFERROR(INDEX(醫師週班表!$C$5:$T$44,$CU16,AK$57),""),1),""),IF(MID(IFERROR(INDEX(醫師週班表!$C$5:$T$44,$CU16,AK$57),""),2,1)="(",LEFT(IFERROR(INDEX(醫師週班表!$C$5:$T$44,$CU16,AK$57),""),1),IFERROR(INDEX(醫師週班表!$C$5:$T$44,$CU16,AK$57),"")))))))</f>
        <v/>
      </c>
      <c r="AL16" s="67">
        <f>IF(AL$59="X","",IF(AL$59&lt;&gt;"",AL$59,IF(IFERROR(INDEX(醫師週班表!$C$5:$T$44,$CU16,AL$57),"")=0,"",IF(MID(IFERROR(INDEX(醫師週班表!$C$5:$T$44,$CU16,AL$57),""),2,1)="/",MID(IFERROR(INDEX(醫師週班表!$C$5:$T$44,$CU16,AL$57),""),1+AL$58*2,1),IF(MID(IFERROR(INDEX(醫師週班表!$C$5:$T$44,$CU16,AL$57),""),3,1)="隔",IF(AL$58=0,LEFT(IFERROR(INDEX(醫師週班表!$C$5:$T$44,$CU16,AL$57),""),1),""),IF(MID(IFERROR(INDEX(醫師週班表!$C$5:$T$44,$CU16,AL$57),""),2,1)="(",LEFT(IFERROR(INDEX(醫師週班表!$C$5:$T$44,$CU16,AL$57),""),1),IFERROR(INDEX(醫師週班表!$C$5:$T$44,$CU16,AL$57),"")))))))</f>
        <v/>
      </c>
      <c r="AM16" s="68">
        <f>IF(AM$59="X","",IF(AM$59&lt;&gt;"",AM$59,IF(IFERROR(INDEX(醫師週班表!$C$5:$T$44,$CU16,AM$57),"")=0,"",IF(MID(IFERROR(INDEX(醫師週班表!$C$5:$T$44,$CU16,AM$57),""),2,1)="/",MID(IFERROR(INDEX(醫師週班表!$C$5:$T$44,$CU16,AM$57),""),1+AM$58*2,1),IF(MID(IFERROR(INDEX(醫師週班表!$C$5:$T$44,$CU16,AM$57),""),3,1)="隔",IF(AM$58=0,LEFT(IFERROR(INDEX(醫師週班表!$C$5:$T$44,$CU16,AM$57),""),1),""),IF(MID(IFERROR(INDEX(醫師週班表!$C$5:$T$44,$CU16,AM$57),""),2,1)="(",LEFT(IFERROR(INDEX(醫師週班表!$C$5:$T$44,$CU16,AM$57),""),1),IFERROR(INDEX(醫師週班表!$C$5:$T$44,$CU16,AM$57),"")))))))</f>
        <v/>
      </c>
      <c r="AN16" s="68">
        <f>IF(AN$59="X","",IF(AN$59&lt;&gt;"",AN$59,IF(IFERROR(INDEX(醫師週班表!$C$5:$T$44,$CU16,AN$57),"")=0,"",IF(MID(IFERROR(INDEX(醫師週班表!$C$5:$T$44,$CU16,AN$57),""),2,1)="/",MID(IFERROR(INDEX(醫師週班表!$C$5:$T$44,$CU16,AN$57),""),1+AN$58*2,1),IF(MID(IFERROR(INDEX(醫師週班表!$C$5:$T$44,$CU16,AN$57),""),3,1)="隔",IF(AN$58=0,LEFT(IFERROR(INDEX(醫師週班表!$C$5:$T$44,$CU16,AN$57),""),1),""),IF(MID(IFERROR(INDEX(醫師週班表!$C$5:$T$44,$CU16,AN$57),""),2,1)="(",LEFT(IFERROR(INDEX(醫師週班表!$C$5:$T$44,$CU16,AN$57),""),1),IFERROR(INDEX(醫師週班表!$C$5:$T$44,$CU16,AN$57),"")))))))</f>
        <v/>
      </c>
      <c r="AO16" s="67">
        <f>IF(AO$59="X","",IF(AO$59&lt;&gt;"",AO$59,IF(IFERROR(INDEX(醫師週班表!$C$5:$T$44,$CU16,AO$57),"")=0,"",IF(MID(IFERROR(INDEX(醫師週班表!$C$5:$T$44,$CU16,AO$57),""),2,1)="/",MID(IFERROR(INDEX(醫師週班表!$C$5:$T$44,$CU16,AO$57),""),1+AO$58*2,1),IF(MID(IFERROR(INDEX(醫師週班表!$C$5:$T$44,$CU16,AO$57),""),3,1)="隔",IF(AO$58=0,LEFT(IFERROR(INDEX(醫師週班表!$C$5:$T$44,$CU16,AO$57),""),1),""),IF(MID(IFERROR(INDEX(醫師週班表!$C$5:$T$44,$CU16,AO$57),""),2,1)="(",LEFT(IFERROR(INDEX(醫師週班表!$C$5:$T$44,$CU16,AO$57),""),1),IFERROR(INDEX(醫師週班表!$C$5:$T$44,$CU16,AO$57),"")))))))</f>
        <v/>
      </c>
      <c r="AP16" s="68">
        <f>IF(AP$59="X","",IF(AP$59&lt;&gt;"",AP$59,IF(IFERROR(INDEX(醫師週班表!$C$5:$T$44,$CU16,AP$57),"")=0,"",IF(MID(IFERROR(INDEX(醫師週班表!$C$5:$T$44,$CU16,AP$57),""),2,1)="/",MID(IFERROR(INDEX(醫師週班表!$C$5:$T$44,$CU16,AP$57),""),1+AP$58*2,1),IF(MID(IFERROR(INDEX(醫師週班表!$C$5:$T$44,$CU16,AP$57),""),3,1)="隔",IF(AP$58=0,LEFT(IFERROR(INDEX(醫師週班表!$C$5:$T$44,$CU16,AP$57),""),1),""),IF(MID(IFERROR(INDEX(醫師週班表!$C$5:$T$44,$CU16,AP$57),""),2,1)="(",LEFT(IFERROR(INDEX(醫師週班表!$C$5:$T$44,$CU16,AP$57),""),1),IFERROR(INDEX(醫師週班表!$C$5:$T$44,$CU16,AP$57),"")))))))</f>
        <v/>
      </c>
      <c r="AQ16" s="68">
        <f>IF(AQ$59="X","",IF(AQ$59&lt;&gt;"",AQ$59,IF(IFERROR(INDEX(醫師週班表!$C$5:$T$44,$CU16,AQ$57),"")=0,"",IF(MID(IFERROR(INDEX(醫師週班表!$C$5:$T$44,$CU16,AQ$57),""),2,1)="/",MID(IFERROR(INDEX(醫師週班表!$C$5:$T$44,$CU16,AQ$57),""),1+AQ$58*2,1),IF(MID(IFERROR(INDEX(醫師週班表!$C$5:$T$44,$CU16,AQ$57),""),3,1)="隔",IF(AQ$58=0,LEFT(IFERROR(INDEX(醫師週班表!$C$5:$T$44,$CU16,AQ$57),""),1),""),IF(MID(IFERROR(INDEX(醫師週班表!$C$5:$T$44,$CU16,AQ$57),""),2,1)="(",LEFT(IFERROR(INDEX(醫師週班表!$C$5:$T$44,$CU16,AQ$57),""),1),IFERROR(INDEX(醫師週班表!$C$5:$T$44,$CU16,AQ$57),"")))))))</f>
        <v/>
      </c>
      <c r="AR16" s="67">
        <f>IF(AR$59="X","",IF(AR$59&lt;&gt;"",AR$59,IF(IFERROR(INDEX(醫師週班表!$C$5:$T$44,$CU16,AR$57),"")=0,"",IF(MID(IFERROR(INDEX(醫師週班表!$C$5:$T$44,$CU16,AR$57),""),2,1)="/",MID(IFERROR(INDEX(醫師週班表!$C$5:$T$44,$CU16,AR$57),""),1+AR$58*2,1),IF(MID(IFERROR(INDEX(醫師週班表!$C$5:$T$44,$CU16,AR$57),""),3,1)="隔",IF(AR$58=0,LEFT(IFERROR(INDEX(醫師週班表!$C$5:$T$44,$CU16,AR$57),""),1),""),IF(MID(IFERROR(INDEX(醫師週班表!$C$5:$T$44,$CU16,AR$57),""),2,1)="(",LEFT(IFERROR(INDEX(醫師週班表!$C$5:$T$44,$CU16,AR$57),""),1),IFERROR(INDEX(醫師週班表!$C$5:$T$44,$CU16,AR$57),"")))))))</f>
        <v/>
      </c>
      <c r="AS16" s="68">
        <f>IF(AS$59="X","",IF(AS$59&lt;&gt;"",AS$59,IF(IFERROR(INDEX(醫師週班表!$C$5:$T$44,$CU16,AS$57),"")=0,"",IF(MID(IFERROR(INDEX(醫師週班表!$C$5:$T$44,$CU16,AS$57),""),2,1)="/",MID(IFERROR(INDEX(醫師週班表!$C$5:$T$44,$CU16,AS$57),""),1+AS$58*2,1),IF(MID(IFERROR(INDEX(醫師週班表!$C$5:$T$44,$CU16,AS$57),""),3,1)="隔",IF(AS$58=0,LEFT(IFERROR(INDEX(醫師週班表!$C$5:$T$44,$CU16,AS$57),""),1),""),IF(MID(IFERROR(INDEX(醫師週班表!$C$5:$T$44,$CU16,AS$57),""),2,1)="(",LEFT(IFERROR(INDEX(醫師週班表!$C$5:$T$44,$CU16,AS$57),""),1),IFERROR(INDEX(醫師週班表!$C$5:$T$44,$CU16,AS$57),"")))))))</f>
        <v/>
      </c>
      <c r="AT16" s="68">
        <f>IF(AT$59="X","",IF(AT$59&lt;&gt;"",AT$59,IF(IFERROR(INDEX(醫師週班表!$C$5:$T$44,$CU16,AT$57),"")=0,"",IF(MID(IFERROR(INDEX(醫師週班表!$C$5:$T$44,$CU16,AT$57),""),2,1)="/",MID(IFERROR(INDEX(醫師週班表!$C$5:$T$44,$CU16,AT$57),""),1+AT$58*2,1),IF(MID(IFERROR(INDEX(醫師週班表!$C$5:$T$44,$CU16,AT$57),""),3,1)="隔",IF(AT$58=0,LEFT(IFERROR(INDEX(醫師週班表!$C$5:$T$44,$CU16,AT$57),""),1),""),IF(MID(IFERROR(INDEX(醫師週班表!$C$5:$T$44,$CU16,AT$57),""),2,1)="(",LEFT(IFERROR(INDEX(醫師週班表!$C$5:$T$44,$CU16,AT$57),""),1),IFERROR(INDEX(醫師週班表!$C$5:$T$44,$CU16,AT$57),"")))))))</f>
        <v/>
      </c>
      <c r="AU16" s="67">
        <f>IF(AU$59="X","",IF(AU$59&lt;&gt;"",AU$59,IF(IFERROR(INDEX(醫師週班表!$C$5:$T$44,$CU16,AU$57),"")=0,"",IF(MID(IFERROR(INDEX(醫師週班表!$C$5:$T$44,$CU16,AU$57),""),2,1)="/",MID(IFERROR(INDEX(醫師週班表!$C$5:$T$44,$CU16,AU$57),""),1+AU$58*2,1),IF(MID(IFERROR(INDEX(醫師週班表!$C$5:$T$44,$CU16,AU$57),""),3,1)="隔",IF(AU$58=0,LEFT(IFERROR(INDEX(醫師週班表!$C$5:$T$44,$CU16,AU$57),""),1),""),IF(MID(IFERROR(INDEX(醫師週班表!$C$5:$T$44,$CU16,AU$57),""),2,1)="(",LEFT(IFERROR(INDEX(醫師週班表!$C$5:$T$44,$CU16,AU$57),""),1),IFERROR(INDEX(醫師週班表!$C$5:$T$44,$CU16,AU$57),"")))))))</f>
        <v/>
      </c>
      <c r="AV16" s="68">
        <f>IF(AV$59="X","",IF(AV$59&lt;&gt;"",AV$59,IF(IFERROR(INDEX(醫師週班表!$C$5:$T$44,$CU16,AV$57),"")=0,"",IF(MID(IFERROR(INDEX(醫師週班表!$C$5:$T$44,$CU16,AV$57),""),2,1)="/",MID(IFERROR(INDEX(醫師週班表!$C$5:$T$44,$CU16,AV$57),""),1+AV$58*2,1),IF(MID(IFERROR(INDEX(醫師週班表!$C$5:$T$44,$CU16,AV$57),""),3,1)="隔",IF(AV$58=0,LEFT(IFERROR(INDEX(醫師週班表!$C$5:$T$44,$CU16,AV$57),""),1),""),IF(MID(IFERROR(INDEX(醫師週班表!$C$5:$T$44,$CU16,AV$57),""),2,1)="(",LEFT(IFERROR(INDEX(醫師週班表!$C$5:$T$44,$CU16,AV$57),""),1),IFERROR(INDEX(醫師週班表!$C$5:$T$44,$CU16,AV$57),"")))))))</f>
        <v/>
      </c>
      <c r="AW16" s="68">
        <f>IF(AW$59="X","",IF(AW$59&lt;&gt;"",AW$59,IF(IFERROR(INDEX(醫師週班表!$C$5:$T$44,$CU16,AW$57),"")=0,"",IF(MID(IFERROR(INDEX(醫師週班表!$C$5:$T$44,$CU16,AW$57),""),2,1)="/",MID(IFERROR(INDEX(醫師週班表!$C$5:$T$44,$CU16,AW$57),""),1+AW$58*2,1),IF(MID(IFERROR(INDEX(醫師週班表!$C$5:$T$44,$CU16,AW$57),""),3,1)="隔",IF(AW$58=0,LEFT(IFERROR(INDEX(醫師週班表!$C$5:$T$44,$CU16,AW$57),""),1),""),IF(MID(IFERROR(INDEX(醫師週班表!$C$5:$T$44,$CU16,AW$57),""),2,1)="(",LEFT(IFERROR(INDEX(醫師週班表!$C$5:$T$44,$CU16,AW$57),""),1),IFERROR(INDEX(醫師週班表!$C$5:$T$44,$CU16,AW$57),"")))))))</f>
        <v/>
      </c>
      <c r="AX16" s="67">
        <f>IF(AX$59="X","",IF(AX$59&lt;&gt;"",AX$59,IF(IFERROR(INDEX(醫師週班表!$C$5:$T$44,$CU16,AX$57),"")=0,"",IF(MID(IFERROR(INDEX(醫師週班表!$C$5:$T$44,$CU16,AX$57),""),2,1)="/",MID(IFERROR(INDEX(醫師週班表!$C$5:$T$44,$CU16,AX$57),""),1+AX$58*2,1),IF(MID(IFERROR(INDEX(醫師週班表!$C$5:$T$44,$CU16,AX$57),""),3,1)="隔",IF(AX$58=0,LEFT(IFERROR(INDEX(醫師週班表!$C$5:$T$44,$CU16,AX$57),""),1),""),IF(MID(IFERROR(INDEX(醫師週班表!$C$5:$T$44,$CU16,AX$57),""),2,1)="(",LEFT(IFERROR(INDEX(醫師週班表!$C$5:$T$44,$CU16,AX$57),""),1),IFERROR(INDEX(醫師週班表!$C$5:$T$44,$CU16,AX$57),"")))))))</f>
        <v/>
      </c>
      <c r="AY16" s="68">
        <f>IF(AY$59="X","",IF(AY$59&lt;&gt;"",AY$59,IF(IFERROR(INDEX(醫師週班表!$C$5:$T$44,$CU16,AY$57),"")=0,"",IF(MID(IFERROR(INDEX(醫師週班表!$C$5:$T$44,$CU16,AY$57),""),2,1)="/",MID(IFERROR(INDEX(醫師週班表!$C$5:$T$44,$CU16,AY$57),""),1+AY$58*2,1),IF(MID(IFERROR(INDEX(醫師週班表!$C$5:$T$44,$CU16,AY$57),""),3,1)="隔",IF(AY$58=0,LEFT(IFERROR(INDEX(醫師週班表!$C$5:$T$44,$CU16,AY$57),""),1),""),IF(MID(IFERROR(INDEX(醫師週班表!$C$5:$T$44,$CU16,AY$57),""),2,1)="(",LEFT(IFERROR(INDEX(醫師週班表!$C$5:$T$44,$CU16,AY$57),""),1),IFERROR(INDEX(醫師週班表!$C$5:$T$44,$CU16,AY$57),"")))))))</f>
        <v/>
      </c>
      <c r="AZ16" s="68">
        <f>IF(AZ$59="X","",IF(AZ$59&lt;&gt;"",AZ$59,IF(IFERROR(INDEX(醫師週班表!$C$5:$T$44,$CU16,AZ$57),"")=0,"",IF(MID(IFERROR(INDEX(醫師週班表!$C$5:$T$44,$CU16,AZ$57),""),2,1)="/",MID(IFERROR(INDEX(醫師週班表!$C$5:$T$44,$CU16,AZ$57),""),1+AZ$58*2,1),IF(MID(IFERROR(INDEX(醫師週班表!$C$5:$T$44,$CU16,AZ$57),""),3,1)="隔",IF(AZ$58=0,LEFT(IFERROR(INDEX(醫師週班表!$C$5:$T$44,$CU16,AZ$57),""),1),""),IF(MID(IFERROR(INDEX(醫師週班表!$C$5:$T$44,$CU16,AZ$57),""),2,1)="(",LEFT(IFERROR(INDEX(醫師週班表!$C$5:$T$44,$CU16,AZ$57),""),1),IFERROR(INDEX(醫師週班表!$C$5:$T$44,$CU16,AZ$57),"")))))))</f>
        <v/>
      </c>
      <c r="BA16" s="67">
        <f>IF(BA$59="X","",IF(BA$59&lt;&gt;"",BA$59,IF(IFERROR(INDEX(醫師週班表!$C$5:$T$44,$CU16,BA$57),"")=0,"",IF(MID(IFERROR(INDEX(醫師週班表!$C$5:$T$44,$CU16,BA$57),""),2,1)="/",MID(IFERROR(INDEX(醫師週班表!$C$5:$T$44,$CU16,BA$57),""),1+BA$58*2,1),IF(MID(IFERROR(INDEX(醫師週班表!$C$5:$T$44,$CU16,BA$57),""),3,1)="隔",IF(BA$58=0,LEFT(IFERROR(INDEX(醫師週班表!$C$5:$T$44,$CU16,BA$57),""),1),""),IF(MID(IFERROR(INDEX(醫師週班表!$C$5:$T$44,$CU16,BA$57),""),2,1)="(",LEFT(IFERROR(INDEX(醫師週班表!$C$5:$T$44,$CU16,BA$57),""),1),IFERROR(INDEX(醫師週班表!$C$5:$T$44,$CU16,BA$57),"")))))))</f>
        <v/>
      </c>
      <c r="BB16" s="68">
        <f>IF(BB$59="X","",IF(BB$59&lt;&gt;"",BB$59,IF(IFERROR(INDEX(醫師週班表!$C$5:$T$44,$CU16,BB$57),"")=0,"",IF(MID(IFERROR(INDEX(醫師週班表!$C$5:$T$44,$CU16,BB$57),""),2,1)="/",MID(IFERROR(INDEX(醫師週班表!$C$5:$T$44,$CU16,BB$57),""),1+BB$58*2,1),IF(MID(IFERROR(INDEX(醫師週班表!$C$5:$T$44,$CU16,BB$57),""),3,1)="隔",IF(BB$58=0,LEFT(IFERROR(INDEX(醫師週班表!$C$5:$T$44,$CU16,BB$57),""),1),""),IF(MID(IFERROR(INDEX(醫師週班表!$C$5:$T$44,$CU16,BB$57),""),2,1)="(",LEFT(IFERROR(INDEX(醫師週班表!$C$5:$T$44,$CU16,BB$57),""),1),IFERROR(INDEX(醫師週班表!$C$5:$T$44,$CU16,BB$57),"")))))))</f>
        <v/>
      </c>
      <c r="BC16" s="68">
        <f>IF(BC$59="X","",IF(BC$59&lt;&gt;"",BC$59,IF(IFERROR(INDEX(醫師週班表!$C$5:$T$44,$CU16,BC$57),"")=0,"",IF(MID(IFERROR(INDEX(醫師週班表!$C$5:$T$44,$CU16,BC$57),""),2,1)="/",MID(IFERROR(INDEX(醫師週班表!$C$5:$T$44,$CU16,BC$57),""),1+BC$58*2,1),IF(MID(IFERROR(INDEX(醫師週班表!$C$5:$T$44,$CU16,BC$57),""),3,1)="隔",IF(BC$58=0,LEFT(IFERROR(INDEX(醫師週班表!$C$5:$T$44,$CU16,BC$57),""),1),""),IF(MID(IFERROR(INDEX(醫師週班表!$C$5:$T$44,$CU16,BC$57),""),2,1)="(",LEFT(IFERROR(INDEX(醫師週班表!$C$5:$T$44,$CU16,BC$57),""),1),IFERROR(INDEX(醫師週班表!$C$5:$T$44,$CU16,BC$57),"")))))))</f>
        <v/>
      </c>
      <c r="BD16" s="67">
        <f>IF(BD$59="X","",IF(BD$59&lt;&gt;"",BD$59,IF(IFERROR(INDEX(醫師週班表!$C$5:$T$44,$CU16,BD$57),"")=0,"",IF(MID(IFERROR(INDEX(醫師週班表!$C$5:$T$44,$CU16,BD$57),""),2,1)="/",MID(IFERROR(INDEX(醫師週班表!$C$5:$T$44,$CU16,BD$57),""),1+BD$58*2,1),IF(MID(IFERROR(INDEX(醫師週班表!$C$5:$T$44,$CU16,BD$57),""),3,1)="隔",IF(BD$58=0,LEFT(IFERROR(INDEX(醫師週班表!$C$5:$T$44,$CU16,BD$57),""),1),""),IF(MID(IFERROR(INDEX(醫師週班表!$C$5:$T$44,$CU16,BD$57),""),2,1)="(",LEFT(IFERROR(INDEX(醫師週班表!$C$5:$T$44,$CU16,BD$57),""),1),IFERROR(INDEX(醫師週班表!$C$5:$T$44,$CU16,BD$57),"")))))))</f>
        <v/>
      </c>
      <c r="BE16" s="68">
        <f>IF(BE$59="X","",IF(BE$59&lt;&gt;"",BE$59,IF(IFERROR(INDEX(醫師週班表!$C$5:$T$44,$CU16,BE$57),"")=0,"",IF(MID(IFERROR(INDEX(醫師週班表!$C$5:$T$44,$CU16,BE$57),""),2,1)="/",MID(IFERROR(INDEX(醫師週班表!$C$5:$T$44,$CU16,BE$57),""),1+BE$58*2,1),IF(MID(IFERROR(INDEX(醫師週班表!$C$5:$T$44,$CU16,BE$57),""),3,1)="隔",IF(BE$58=0,LEFT(IFERROR(INDEX(醫師週班表!$C$5:$T$44,$CU16,BE$57),""),1),""),IF(MID(IFERROR(INDEX(醫師週班表!$C$5:$T$44,$CU16,BE$57),""),2,1)="(",LEFT(IFERROR(INDEX(醫師週班表!$C$5:$T$44,$CU16,BE$57),""),1),IFERROR(INDEX(醫師週班表!$C$5:$T$44,$CU16,BE$57),"")))))))</f>
        <v/>
      </c>
      <c r="BF16" s="68">
        <f>IF(BF$59="X","",IF(BF$59&lt;&gt;"",BF$59,IF(IFERROR(INDEX(醫師週班表!$C$5:$T$44,$CU16,BF$57),"")=0,"",IF(MID(IFERROR(INDEX(醫師週班表!$C$5:$T$44,$CU16,BF$57),""),2,1)="/",MID(IFERROR(INDEX(醫師週班表!$C$5:$T$44,$CU16,BF$57),""),1+BF$58*2,1),IF(MID(IFERROR(INDEX(醫師週班表!$C$5:$T$44,$CU16,BF$57),""),3,1)="隔",IF(BF$58=0,LEFT(IFERROR(INDEX(醫師週班表!$C$5:$T$44,$CU16,BF$57),""),1),""),IF(MID(IFERROR(INDEX(醫師週班表!$C$5:$T$44,$CU16,BF$57),""),2,1)="(",LEFT(IFERROR(INDEX(醫師週班表!$C$5:$T$44,$CU16,BF$57),""),1),IFERROR(INDEX(醫師週班表!$C$5:$T$44,$CU16,BF$57),"")))))))</f>
        <v/>
      </c>
      <c r="BG16" s="67">
        <f>IF(BG$59="X","",IF(BG$59&lt;&gt;"",BG$59,IF(IFERROR(INDEX(醫師週班表!$C$5:$T$44,$CU16,BG$57),"")=0,"",IF(MID(IFERROR(INDEX(醫師週班表!$C$5:$T$44,$CU16,BG$57),""),2,1)="/",MID(IFERROR(INDEX(醫師週班表!$C$5:$T$44,$CU16,BG$57),""),1+BG$58*2,1),IF(MID(IFERROR(INDEX(醫師週班表!$C$5:$T$44,$CU16,BG$57),""),3,1)="隔",IF(BG$58=0,LEFT(IFERROR(INDEX(醫師週班表!$C$5:$T$44,$CU16,BG$57),""),1),""),IF(MID(IFERROR(INDEX(醫師週班表!$C$5:$T$44,$CU16,BG$57),""),2,1)="(",LEFT(IFERROR(INDEX(醫師週班表!$C$5:$T$44,$CU16,BG$57),""),1),IFERROR(INDEX(醫師週班表!$C$5:$T$44,$CU16,BG$57),"")))))))</f>
        <v/>
      </c>
      <c r="BH16" s="68">
        <f>IF(BH$59="X","",IF(BH$59&lt;&gt;"",BH$59,IF(IFERROR(INDEX(醫師週班表!$C$5:$T$44,$CU16,BH$57),"")=0,"",IF(MID(IFERROR(INDEX(醫師週班表!$C$5:$T$44,$CU16,BH$57),""),2,1)="/",MID(IFERROR(INDEX(醫師週班表!$C$5:$T$44,$CU16,BH$57),""),1+BH$58*2,1),IF(MID(IFERROR(INDEX(醫師週班表!$C$5:$T$44,$CU16,BH$57),""),3,1)="隔",IF(BH$58=0,LEFT(IFERROR(INDEX(醫師週班表!$C$5:$T$44,$CU16,BH$57),""),1),""),IF(MID(IFERROR(INDEX(醫師週班表!$C$5:$T$44,$CU16,BH$57),""),2,1)="(",LEFT(IFERROR(INDEX(醫師週班表!$C$5:$T$44,$CU16,BH$57),""),1),IFERROR(INDEX(醫師週班表!$C$5:$T$44,$CU16,BH$57),"")))))))</f>
        <v/>
      </c>
      <c r="BI16" s="68">
        <f>IF(BI$59="X","",IF(BI$59&lt;&gt;"",BI$59,IF(IFERROR(INDEX(醫師週班表!$C$5:$T$44,$CU16,BI$57),"")=0,"",IF(MID(IFERROR(INDEX(醫師週班表!$C$5:$T$44,$CU16,BI$57),""),2,1)="/",MID(IFERROR(INDEX(醫師週班表!$C$5:$T$44,$CU16,BI$57),""),1+BI$58*2,1),IF(MID(IFERROR(INDEX(醫師週班表!$C$5:$T$44,$CU16,BI$57),""),3,1)="隔",IF(BI$58=0,LEFT(IFERROR(INDEX(醫師週班表!$C$5:$T$44,$CU16,BI$57),""),1),""),IF(MID(IFERROR(INDEX(醫師週班表!$C$5:$T$44,$CU16,BI$57),""),2,1)="(",LEFT(IFERROR(INDEX(醫師週班表!$C$5:$T$44,$CU16,BI$57),""),1),IFERROR(INDEX(醫師週班表!$C$5:$T$44,$CU16,BI$57),"")))))))</f>
        <v/>
      </c>
      <c r="BJ16" s="67">
        <f>IF(BJ$59="X","",IF(BJ$59&lt;&gt;"",BJ$59,IF(IFERROR(INDEX(醫師週班表!$C$5:$T$44,$CU16,BJ$57),"")=0,"",IF(MID(IFERROR(INDEX(醫師週班表!$C$5:$T$44,$CU16,BJ$57),""),2,1)="/",MID(IFERROR(INDEX(醫師週班表!$C$5:$T$44,$CU16,BJ$57),""),1+BJ$58*2,1),IF(MID(IFERROR(INDEX(醫師週班表!$C$5:$T$44,$CU16,BJ$57),""),3,1)="隔",IF(BJ$58=0,LEFT(IFERROR(INDEX(醫師週班表!$C$5:$T$44,$CU16,BJ$57),""),1),""),IF(MID(IFERROR(INDEX(醫師週班表!$C$5:$T$44,$CU16,BJ$57),""),2,1)="(",LEFT(IFERROR(INDEX(醫師週班表!$C$5:$T$44,$CU16,BJ$57),""),1),IFERROR(INDEX(醫師週班表!$C$5:$T$44,$CU16,BJ$57),"")))))))</f>
        <v/>
      </c>
      <c r="BK16" s="68">
        <f>IF(BK$59="X","",IF(BK$59&lt;&gt;"",BK$59,IF(IFERROR(INDEX(醫師週班表!$C$5:$T$44,$CU16,BK$57),"")=0,"",IF(MID(IFERROR(INDEX(醫師週班表!$C$5:$T$44,$CU16,BK$57),""),2,1)="/",MID(IFERROR(INDEX(醫師週班表!$C$5:$T$44,$CU16,BK$57),""),1+BK$58*2,1),IF(MID(IFERROR(INDEX(醫師週班表!$C$5:$T$44,$CU16,BK$57),""),3,1)="隔",IF(BK$58=0,LEFT(IFERROR(INDEX(醫師週班表!$C$5:$T$44,$CU16,BK$57),""),1),""),IF(MID(IFERROR(INDEX(醫師週班表!$C$5:$T$44,$CU16,BK$57),""),2,1)="(",LEFT(IFERROR(INDEX(醫師週班表!$C$5:$T$44,$CU16,BK$57),""),1),IFERROR(INDEX(醫師週班表!$C$5:$T$44,$CU16,BK$57),"")))))))</f>
        <v/>
      </c>
      <c r="BL16" s="68">
        <f>IF(BL$59="X","",IF(BL$59&lt;&gt;"",BL$59,IF(IFERROR(INDEX(醫師週班表!$C$5:$T$44,$CU16,BL$57),"")=0,"",IF(MID(IFERROR(INDEX(醫師週班表!$C$5:$T$44,$CU16,BL$57),""),2,1)="/",MID(IFERROR(INDEX(醫師週班表!$C$5:$T$44,$CU16,BL$57),""),1+BL$58*2,1),IF(MID(IFERROR(INDEX(醫師週班表!$C$5:$T$44,$CU16,BL$57),""),3,1)="隔",IF(BL$58=0,LEFT(IFERROR(INDEX(醫師週班表!$C$5:$T$44,$CU16,BL$57),""),1),""),IF(MID(IFERROR(INDEX(醫師週班表!$C$5:$T$44,$CU16,BL$57),""),2,1)="(",LEFT(IFERROR(INDEX(醫師週班表!$C$5:$T$44,$CU16,BL$57),""),1),IFERROR(INDEX(醫師週班表!$C$5:$T$44,$CU16,BL$57),"")))))))</f>
        <v/>
      </c>
      <c r="BM16" s="67">
        <f>IF(BM$59="X","",IF(BM$59&lt;&gt;"",BM$59,IF(IFERROR(INDEX(醫師週班表!$C$5:$T$44,$CU16,BM$57),"")=0,"",IF(MID(IFERROR(INDEX(醫師週班表!$C$5:$T$44,$CU16,BM$57),""),2,1)="/",MID(IFERROR(INDEX(醫師週班表!$C$5:$T$44,$CU16,BM$57),""),1+BM$58*2,1),IF(MID(IFERROR(INDEX(醫師週班表!$C$5:$T$44,$CU16,BM$57),""),3,1)="隔",IF(BM$58=0,LEFT(IFERROR(INDEX(醫師週班表!$C$5:$T$44,$CU16,BM$57),""),1),""),IF(MID(IFERROR(INDEX(醫師週班表!$C$5:$T$44,$CU16,BM$57),""),2,1)="(",LEFT(IFERROR(INDEX(醫師週班表!$C$5:$T$44,$CU16,BM$57),""),1),IFERROR(INDEX(醫師週班表!$C$5:$T$44,$CU16,BM$57),"")))))))</f>
        <v/>
      </c>
      <c r="BN16" s="68">
        <f>IF(BN$59="X","",IF(BN$59&lt;&gt;"",BN$59,IF(IFERROR(INDEX(醫師週班表!$C$5:$T$44,$CU16,BN$57),"")=0,"",IF(MID(IFERROR(INDEX(醫師週班表!$C$5:$T$44,$CU16,BN$57),""),2,1)="/",MID(IFERROR(INDEX(醫師週班表!$C$5:$T$44,$CU16,BN$57),""),1+BN$58*2,1),IF(MID(IFERROR(INDEX(醫師週班表!$C$5:$T$44,$CU16,BN$57),""),3,1)="隔",IF(BN$58=0,LEFT(IFERROR(INDEX(醫師週班表!$C$5:$T$44,$CU16,BN$57),""),1),""),IF(MID(IFERROR(INDEX(醫師週班表!$C$5:$T$44,$CU16,BN$57),""),2,1)="(",LEFT(IFERROR(INDEX(醫師週班表!$C$5:$T$44,$CU16,BN$57),""),1),IFERROR(INDEX(醫師週班表!$C$5:$T$44,$CU16,BN$57),"")))))))</f>
        <v/>
      </c>
      <c r="BO16" s="68">
        <f>IF(BO$59="X","",IF(BO$59&lt;&gt;"",BO$59,IF(IFERROR(INDEX(醫師週班表!$C$5:$T$44,$CU16,BO$57),"")=0,"",IF(MID(IFERROR(INDEX(醫師週班表!$C$5:$T$44,$CU16,BO$57),""),2,1)="/",MID(IFERROR(INDEX(醫師週班表!$C$5:$T$44,$CU16,BO$57),""),1+BO$58*2,1),IF(MID(IFERROR(INDEX(醫師週班表!$C$5:$T$44,$CU16,BO$57),""),3,1)="隔",IF(BO$58=0,LEFT(IFERROR(INDEX(醫師週班表!$C$5:$T$44,$CU16,BO$57),""),1),""),IF(MID(IFERROR(INDEX(醫師週班表!$C$5:$T$44,$CU16,BO$57),""),2,1)="(",LEFT(IFERROR(INDEX(醫師週班表!$C$5:$T$44,$CU16,BO$57),""),1),IFERROR(INDEX(醫師週班表!$C$5:$T$44,$CU16,BO$57),"")))))))</f>
        <v/>
      </c>
      <c r="BP16" s="67">
        <f>IF(BP$59="X","",IF(BP$59&lt;&gt;"",BP$59,IF(IFERROR(INDEX(醫師週班表!$C$5:$T$44,$CU16,BP$57),"")=0,"",IF(MID(IFERROR(INDEX(醫師週班表!$C$5:$T$44,$CU16,BP$57),""),2,1)="/",MID(IFERROR(INDEX(醫師週班表!$C$5:$T$44,$CU16,BP$57),""),1+BP$58*2,1),IF(MID(IFERROR(INDEX(醫師週班表!$C$5:$T$44,$CU16,BP$57),""),3,1)="隔",IF(BP$58=0,LEFT(IFERROR(INDEX(醫師週班表!$C$5:$T$44,$CU16,BP$57),""),1),""),IF(MID(IFERROR(INDEX(醫師週班表!$C$5:$T$44,$CU16,BP$57),""),2,1)="(",LEFT(IFERROR(INDEX(醫師週班表!$C$5:$T$44,$CU16,BP$57),""),1),IFERROR(INDEX(醫師週班表!$C$5:$T$44,$CU16,BP$57),"")))))))</f>
        <v/>
      </c>
      <c r="BQ16" s="68">
        <f>IF(BQ$59="X","",IF(BQ$59&lt;&gt;"",BQ$59,IF(IFERROR(INDEX(醫師週班表!$C$5:$T$44,$CU16,BQ$57),"")=0,"",IF(MID(IFERROR(INDEX(醫師週班表!$C$5:$T$44,$CU16,BQ$57),""),2,1)="/",MID(IFERROR(INDEX(醫師週班表!$C$5:$T$44,$CU16,BQ$57),""),1+BQ$58*2,1),IF(MID(IFERROR(INDEX(醫師週班表!$C$5:$T$44,$CU16,BQ$57),""),3,1)="隔",IF(BQ$58=0,LEFT(IFERROR(INDEX(醫師週班表!$C$5:$T$44,$CU16,BQ$57),""),1),""),IF(MID(IFERROR(INDEX(醫師週班表!$C$5:$T$44,$CU16,BQ$57),""),2,1)="(",LEFT(IFERROR(INDEX(醫師週班表!$C$5:$T$44,$CU16,BQ$57),""),1),IFERROR(INDEX(醫師週班表!$C$5:$T$44,$CU16,BQ$57),"")))))))</f>
        <v/>
      </c>
      <c r="BR16" s="68">
        <f>IF(BR$59="X","",IF(BR$59&lt;&gt;"",BR$59,IF(IFERROR(INDEX(醫師週班表!$C$5:$T$44,$CU16,BR$57),"")=0,"",IF(MID(IFERROR(INDEX(醫師週班表!$C$5:$T$44,$CU16,BR$57),""),2,1)="/",MID(IFERROR(INDEX(醫師週班表!$C$5:$T$44,$CU16,BR$57),""),1+BR$58*2,1),IF(MID(IFERROR(INDEX(醫師週班表!$C$5:$T$44,$CU16,BR$57),""),3,1)="隔",IF(BR$58=0,LEFT(IFERROR(INDEX(醫師週班表!$C$5:$T$44,$CU16,BR$57),""),1),""),IF(MID(IFERROR(INDEX(醫師週班表!$C$5:$T$44,$CU16,BR$57),""),2,1)="(",LEFT(IFERROR(INDEX(醫師週班表!$C$5:$T$44,$CU16,BR$57),""),1),IFERROR(INDEX(醫師週班表!$C$5:$T$44,$CU16,BR$57),"")))))))</f>
        <v/>
      </c>
      <c r="BS16" s="67">
        <f>IF(BS$59="X","",IF(BS$59&lt;&gt;"",BS$59,IF(IFERROR(INDEX(醫師週班表!$C$5:$T$44,$CU16,BS$57),"")=0,"",IF(MID(IFERROR(INDEX(醫師週班表!$C$5:$T$44,$CU16,BS$57),""),2,1)="/",MID(IFERROR(INDEX(醫師週班表!$C$5:$T$44,$CU16,BS$57),""),1+BS$58*2,1),IF(MID(IFERROR(INDEX(醫師週班表!$C$5:$T$44,$CU16,BS$57),""),3,1)="隔",IF(BS$58=0,LEFT(IFERROR(INDEX(醫師週班表!$C$5:$T$44,$CU16,BS$57),""),1),""),IF(MID(IFERROR(INDEX(醫師週班表!$C$5:$T$44,$CU16,BS$57),""),2,1)="(",LEFT(IFERROR(INDEX(醫師週班表!$C$5:$T$44,$CU16,BS$57),""),1),IFERROR(INDEX(醫師週班表!$C$5:$T$44,$CU16,BS$57),"")))))))</f>
        <v/>
      </c>
      <c r="BT16" s="68">
        <f>IF(BT$59="X","",IF(BT$59&lt;&gt;"",BT$59,IF(IFERROR(INDEX(醫師週班表!$C$5:$T$44,$CU16,BT$57),"")=0,"",IF(MID(IFERROR(INDEX(醫師週班表!$C$5:$T$44,$CU16,BT$57),""),2,1)="/",MID(IFERROR(INDEX(醫師週班表!$C$5:$T$44,$CU16,BT$57),""),1+BT$58*2,1),IF(MID(IFERROR(INDEX(醫師週班表!$C$5:$T$44,$CU16,BT$57),""),3,1)="隔",IF(BT$58=0,LEFT(IFERROR(INDEX(醫師週班表!$C$5:$T$44,$CU16,BT$57),""),1),""),IF(MID(IFERROR(INDEX(醫師週班表!$C$5:$T$44,$CU16,BT$57),""),2,1)="(",LEFT(IFERROR(INDEX(醫師週班表!$C$5:$T$44,$CU16,BT$57),""),1),IFERROR(INDEX(醫師週班表!$C$5:$T$44,$CU16,BT$57),"")))))))</f>
        <v/>
      </c>
      <c r="BU16" s="68">
        <f>IF(BU$59="X","",IF(BU$59&lt;&gt;"",BU$59,IF(IFERROR(INDEX(醫師週班表!$C$5:$T$44,$CU16,BU$57),"")=0,"",IF(MID(IFERROR(INDEX(醫師週班表!$C$5:$T$44,$CU16,BU$57),""),2,1)="/",MID(IFERROR(INDEX(醫師週班表!$C$5:$T$44,$CU16,BU$57),""),1+BU$58*2,1),IF(MID(IFERROR(INDEX(醫師週班表!$C$5:$T$44,$CU16,BU$57),""),3,1)="隔",IF(BU$58=0,LEFT(IFERROR(INDEX(醫師週班表!$C$5:$T$44,$CU16,BU$57),""),1),""),IF(MID(IFERROR(INDEX(醫師週班表!$C$5:$T$44,$CU16,BU$57),""),2,1)="(",LEFT(IFERROR(INDEX(醫師週班表!$C$5:$T$44,$CU16,BU$57),""),1),IFERROR(INDEX(醫師週班表!$C$5:$T$44,$CU16,BU$57),"")))))))</f>
        <v/>
      </c>
      <c r="BV16" s="67">
        <f>IF(BV$59="X","",IF(BV$59&lt;&gt;"",BV$59,IF(IFERROR(INDEX(醫師週班表!$C$5:$T$44,$CU16,BV$57),"")=0,"",IF(MID(IFERROR(INDEX(醫師週班表!$C$5:$T$44,$CU16,BV$57),""),2,1)="/",MID(IFERROR(INDEX(醫師週班表!$C$5:$T$44,$CU16,BV$57),""),1+BV$58*2,1),IF(MID(IFERROR(INDEX(醫師週班表!$C$5:$T$44,$CU16,BV$57),""),3,1)="隔",IF(BV$58=0,LEFT(IFERROR(INDEX(醫師週班表!$C$5:$T$44,$CU16,BV$57),""),1),""),IF(MID(IFERROR(INDEX(醫師週班表!$C$5:$T$44,$CU16,BV$57),""),2,1)="(",LEFT(IFERROR(INDEX(醫師週班表!$C$5:$T$44,$CU16,BV$57),""),1),IFERROR(INDEX(醫師週班表!$C$5:$T$44,$CU16,BV$57),"")))))))</f>
        <v/>
      </c>
      <c r="BW16" s="68">
        <f>IF(BW$59="X","",IF(BW$59&lt;&gt;"",BW$59,IF(IFERROR(INDEX(醫師週班表!$C$5:$T$44,$CU16,BW$57),"")=0,"",IF(MID(IFERROR(INDEX(醫師週班表!$C$5:$T$44,$CU16,BW$57),""),2,1)="/",MID(IFERROR(INDEX(醫師週班表!$C$5:$T$44,$CU16,BW$57),""),1+BW$58*2,1),IF(MID(IFERROR(INDEX(醫師週班表!$C$5:$T$44,$CU16,BW$57),""),3,1)="隔",IF(BW$58=0,LEFT(IFERROR(INDEX(醫師週班表!$C$5:$T$44,$CU16,BW$57),""),1),""),IF(MID(IFERROR(INDEX(醫師週班表!$C$5:$T$44,$CU16,BW$57),""),2,1)="(",LEFT(IFERROR(INDEX(醫師週班表!$C$5:$T$44,$CU16,BW$57),""),1),IFERROR(INDEX(醫師週班表!$C$5:$T$44,$CU16,BW$57),"")))))))</f>
        <v/>
      </c>
      <c r="BX16" s="68">
        <f>IF(BX$59="X","",IF(BX$59&lt;&gt;"",BX$59,IF(IFERROR(INDEX(醫師週班表!$C$5:$T$44,$CU16,BX$57),"")=0,"",IF(MID(IFERROR(INDEX(醫師週班表!$C$5:$T$44,$CU16,BX$57),""),2,1)="/",MID(IFERROR(INDEX(醫師週班表!$C$5:$T$44,$CU16,BX$57),""),1+BX$58*2,1),IF(MID(IFERROR(INDEX(醫師週班表!$C$5:$T$44,$CU16,BX$57),""),3,1)="隔",IF(BX$58=0,LEFT(IFERROR(INDEX(醫師週班表!$C$5:$T$44,$CU16,BX$57),""),1),""),IF(MID(IFERROR(INDEX(醫師週班表!$C$5:$T$44,$CU16,BX$57),""),2,1)="(",LEFT(IFERROR(INDEX(醫師週班表!$C$5:$T$44,$CU16,BX$57),""),1),IFERROR(INDEX(醫師週班表!$C$5:$T$44,$CU16,BX$57),"")))))))</f>
        <v/>
      </c>
      <c r="BY16" s="67">
        <f>IF(BY$59="X","",IF(BY$59&lt;&gt;"",BY$59,IF(IFERROR(INDEX(醫師週班表!$C$5:$T$44,$CU16,BY$57),"")=0,"",IF(MID(IFERROR(INDEX(醫師週班表!$C$5:$T$44,$CU16,BY$57),""),2,1)="/",MID(IFERROR(INDEX(醫師週班表!$C$5:$T$44,$CU16,BY$57),""),1+BY$58*2,1),IF(MID(IFERROR(INDEX(醫師週班表!$C$5:$T$44,$CU16,BY$57),""),3,1)="隔",IF(BY$58=0,LEFT(IFERROR(INDEX(醫師週班表!$C$5:$T$44,$CU16,BY$57),""),1),""),IF(MID(IFERROR(INDEX(醫師週班表!$C$5:$T$44,$CU16,BY$57),""),2,1)="(",LEFT(IFERROR(INDEX(醫師週班表!$C$5:$T$44,$CU16,BY$57),""),1),IFERROR(INDEX(醫師週班表!$C$5:$T$44,$CU16,BY$57),"")))))))</f>
        <v/>
      </c>
      <c r="BZ16" s="68">
        <f>IF(BZ$59="X","",IF(BZ$59&lt;&gt;"",BZ$59,IF(IFERROR(INDEX(醫師週班表!$C$5:$T$44,$CU16,BZ$57),"")=0,"",IF(MID(IFERROR(INDEX(醫師週班表!$C$5:$T$44,$CU16,BZ$57),""),2,1)="/",MID(IFERROR(INDEX(醫師週班表!$C$5:$T$44,$CU16,BZ$57),""),1+BZ$58*2,1),IF(MID(IFERROR(INDEX(醫師週班表!$C$5:$T$44,$CU16,BZ$57),""),3,1)="隔",IF(BZ$58=0,LEFT(IFERROR(INDEX(醫師週班表!$C$5:$T$44,$CU16,BZ$57),""),1),""),IF(MID(IFERROR(INDEX(醫師週班表!$C$5:$T$44,$CU16,BZ$57),""),2,1)="(",LEFT(IFERROR(INDEX(醫師週班表!$C$5:$T$44,$CU16,BZ$57),""),1),IFERROR(INDEX(醫師週班表!$C$5:$T$44,$CU16,BZ$57),"")))))))</f>
        <v/>
      </c>
      <c r="CA16" s="68">
        <f>IF(CA$59="X","",IF(CA$59&lt;&gt;"",CA$59,IF(IFERROR(INDEX(醫師週班表!$C$5:$T$44,$CU16,CA$57),"")=0,"",IF(MID(IFERROR(INDEX(醫師週班表!$C$5:$T$44,$CU16,CA$57),""),2,1)="/",MID(IFERROR(INDEX(醫師週班表!$C$5:$T$44,$CU16,CA$57),""),1+CA$58*2,1),IF(MID(IFERROR(INDEX(醫師週班表!$C$5:$T$44,$CU16,CA$57),""),3,1)="隔",IF(CA$58=0,LEFT(IFERROR(INDEX(醫師週班表!$C$5:$T$44,$CU16,CA$57),""),1),""),IF(MID(IFERROR(INDEX(醫師週班表!$C$5:$T$44,$CU16,CA$57),""),2,1)="(",LEFT(IFERROR(INDEX(醫師週班表!$C$5:$T$44,$CU16,CA$57),""),1),IFERROR(INDEX(醫師週班表!$C$5:$T$44,$CU16,CA$57),"")))))))</f>
        <v/>
      </c>
      <c r="CB16" s="67">
        <f>IF(CB$59="X","",IF(CB$59&lt;&gt;"",CB$59,IF(IFERROR(INDEX(醫師週班表!$C$5:$T$44,$CU16,CB$57),"")=0,"",IF(MID(IFERROR(INDEX(醫師週班表!$C$5:$T$44,$CU16,CB$57),""),2,1)="/",MID(IFERROR(INDEX(醫師週班表!$C$5:$T$44,$CU16,CB$57),""),1+CB$58*2,1),IF(MID(IFERROR(INDEX(醫師週班表!$C$5:$T$44,$CU16,CB$57),""),3,1)="隔",IF(CB$58=0,LEFT(IFERROR(INDEX(醫師週班表!$C$5:$T$44,$CU16,CB$57),""),1),""),IF(MID(IFERROR(INDEX(醫師週班表!$C$5:$T$44,$CU16,CB$57),""),2,1)="(",LEFT(IFERROR(INDEX(醫師週班表!$C$5:$T$44,$CU16,CB$57),""),1),IFERROR(INDEX(醫師週班表!$C$5:$T$44,$CU16,CB$57),"")))))))</f>
        <v/>
      </c>
      <c r="CC16" s="68">
        <f>IF(CC$59="X","",IF(CC$59&lt;&gt;"",CC$59,IF(IFERROR(INDEX(醫師週班表!$C$5:$T$44,$CU16,CC$57),"")=0,"",IF(MID(IFERROR(INDEX(醫師週班表!$C$5:$T$44,$CU16,CC$57),""),2,1)="/",MID(IFERROR(INDEX(醫師週班表!$C$5:$T$44,$CU16,CC$57),""),1+CC$58*2,1),IF(MID(IFERROR(INDEX(醫師週班表!$C$5:$T$44,$CU16,CC$57),""),3,1)="隔",IF(CC$58=0,LEFT(IFERROR(INDEX(醫師週班表!$C$5:$T$44,$CU16,CC$57),""),1),""),IF(MID(IFERROR(INDEX(醫師週班表!$C$5:$T$44,$CU16,CC$57),""),2,1)="(",LEFT(IFERROR(INDEX(醫師週班表!$C$5:$T$44,$CU16,CC$57),""),1),IFERROR(INDEX(醫師週班表!$C$5:$T$44,$CU16,CC$57),"")))))))</f>
        <v/>
      </c>
      <c r="CD16" s="68">
        <f>IF(CD$59="X","",IF(CD$59&lt;&gt;"",CD$59,IF(IFERROR(INDEX(醫師週班表!$C$5:$T$44,$CU16,CD$57),"")=0,"",IF(MID(IFERROR(INDEX(醫師週班表!$C$5:$T$44,$CU16,CD$57),""),2,1)="/",MID(IFERROR(INDEX(醫師週班表!$C$5:$T$44,$CU16,CD$57),""),1+CD$58*2,1),IF(MID(IFERROR(INDEX(醫師週班表!$C$5:$T$44,$CU16,CD$57),""),3,1)="隔",IF(CD$58=0,LEFT(IFERROR(INDEX(醫師週班表!$C$5:$T$44,$CU16,CD$57),""),1),""),IF(MID(IFERROR(INDEX(醫師週班表!$C$5:$T$44,$CU16,CD$57),""),2,1)="(",LEFT(IFERROR(INDEX(醫師週班表!$C$5:$T$44,$CU16,CD$57),""),1),IFERROR(INDEX(醫師週班表!$C$5:$T$44,$CU16,CD$57),"")))))))</f>
        <v/>
      </c>
      <c r="CE16" s="67">
        <f>IF(CE$59="X","",IF(CE$59&lt;&gt;"",CE$59,IF(IFERROR(INDEX(醫師週班表!$C$5:$T$44,$CU16,CE$57),"")=0,"",IF(MID(IFERROR(INDEX(醫師週班表!$C$5:$T$44,$CU16,CE$57),""),2,1)="/",MID(IFERROR(INDEX(醫師週班表!$C$5:$T$44,$CU16,CE$57),""),1+CE$58*2,1),IF(MID(IFERROR(INDEX(醫師週班表!$C$5:$T$44,$CU16,CE$57),""),3,1)="隔",IF(CE$58=0,LEFT(IFERROR(INDEX(醫師週班表!$C$5:$T$44,$CU16,CE$57),""),1),""),IF(MID(IFERROR(INDEX(醫師週班表!$C$5:$T$44,$CU16,CE$57),""),2,1)="(",LEFT(IFERROR(INDEX(醫師週班表!$C$5:$T$44,$CU16,CE$57),""),1),IFERROR(INDEX(醫師週班表!$C$5:$T$44,$CU16,CE$57),"")))))))</f>
        <v/>
      </c>
      <c r="CF16" s="68">
        <f>IF(CF$59="X","",IF(CF$59&lt;&gt;"",CF$59,IF(IFERROR(INDEX(醫師週班表!$C$5:$T$44,$CU16,CF$57),"")=0,"",IF(MID(IFERROR(INDEX(醫師週班表!$C$5:$T$44,$CU16,CF$57),""),2,1)="/",MID(IFERROR(INDEX(醫師週班表!$C$5:$T$44,$CU16,CF$57),""),1+CF$58*2,1),IF(MID(IFERROR(INDEX(醫師週班表!$C$5:$T$44,$CU16,CF$57),""),3,1)="隔",IF(CF$58=0,LEFT(IFERROR(INDEX(醫師週班表!$C$5:$T$44,$CU16,CF$57),""),1),""),IF(MID(IFERROR(INDEX(醫師週班表!$C$5:$T$44,$CU16,CF$57),""),2,1)="(",LEFT(IFERROR(INDEX(醫師週班表!$C$5:$T$44,$CU16,CF$57),""),1),IFERROR(INDEX(醫師週班表!$C$5:$T$44,$CU16,CF$57),"")))))))</f>
        <v/>
      </c>
      <c r="CG16" s="68">
        <f>IF(CG$59="X","",IF(CG$59&lt;&gt;"",CG$59,IF(IFERROR(INDEX(醫師週班表!$C$5:$T$44,$CU16,CG$57),"")=0,"",IF(MID(IFERROR(INDEX(醫師週班表!$C$5:$T$44,$CU16,CG$57),""),2,1)="/",MID(IFERROR(INDEX(醫師週班表!$C$5:$T$44,$CU16,CG$57),""),1+CG$58*2,1),IF(MID(IFERROR(INDEX(醫師週班表!$C$5:$T$44,$CU16,CG$57),""),3,1)="隔",IF(CG$58=0,LEFT(IFERROR(INDEX(醫師週班表!$C$5:$T$44,$CU16,CG$57),""),1),""),IF(MID(IFERROR(INDEX(醫師週班表!$C$5:$T$44,$CU16,CG$57),""),2,1)="(",LEFT(IFERROR(INDEX(醫師週班表!$C$5:$T$44,$CU16,CG$57),""),1),IFERROR(INDEX(醫師週班表!$C$5:$T$44,$CU16,CG$57),"")))))))</f>
        <v/>
      </c>
      <c r="CH16" s="67">
        <f>IF(CH$59="X","",IF(CH$59&lt;&gt;"",CH$59,IF(IFERROR(INDEX(醫師週班表!$C$5:$T$44,$CU16,CH$57),"")=0,"",IF(MID(IFERROR(INDEX(醫師週班表!$C$5:$T$44,$CU16,CH$57),""),2,1)="/",MID(IFERROR(INDEX(醫師週班表!$C$5:$T$44,$CU16,CH$57),""),1+CH$58*2,1),IF(MID(IFERROR(INDEX(醫師週班表!$C$5:$T$44,$CU16,CH$57),""),3,1)="隔",IF(CH$58=0,LEFT(IFERROR(INDEX(醫師週班表!$C$5:$T$44,$CU16,CH$57),""),1),""),IF(MID(IFERROR(INDEX(醫師週班表!$C$5:$T$44,$CU16,CH$57),""),2,1)="(",LEFT(IFERROR(INDEX(醫師週班表!$C$5:$T$44,$CU16,CH$57),""),1),IFERROR(INDEX(醫師週班表!$C$5:$T$44,$CU16,CH$57),"")))))))</f>
        <v/>
      </c>
      <c r="CI16" s="68">
        <f>IF(CI$59="X","",IF(CI$59&lt;&gt;"",CI$59,IF(IFERROR(INDEX(醫師週班表!$C$5:$T$44,$CU16,CI$57),"")=0,"",IF(MID(IFERROR(INDEX(醫師週班表!$C$5:$T$44,$CU16,CI$57),""),2,1)="/",MID(IFERROR(INDEX(醫師週班表!$C$5:$T$44,$CU16,CI$57),""),1+CI$58*2,1),IF(MID(IFERROR(INDEX(醫師週班表!$C$5:$T$44,$CU16,CI$57),""),3,1)="隔",IF(CI$58=0,LEFT(IFERROR(INDEX(醫師週班表!$C$5:$T$44,$CU16,CI$57),""),1),""),IF(MID(IFERROR(INDEX(醫師週班表!$C$5:$T$44,$CU16,CI$57),""),2,1)="(",LEFT(IFERROR(INDEX(醫師週班表!$C$5:$T$44,$CU16,CI$57),""),1),IFERROR(INDEX(醫師週班表!$C$5:$T$44,$CU16,CI$57),"")))))))</f>
        <v/>
      </c>
      <c r="CJ16" s="68">
        <f>IF(CJ$59="X","",IF(CJ$59&lt;&gt;"",CJ$59,IF(IFERROR(INDEX(醫師週班表!$C$5:$T$44,$CU16,CJ$57),"")=0,"",IF(MID(IFERROR(INDEX(醫師週班表!$C$5:$T$44,$CU16,CJ$57),""),2,1)="/",MID(IFERROR(INDEX(醫師週班表!$C$5:$T$44,$CU16,CJ$57),""),1+CJ$58*2,1),IF(MID(IFERROR(INDEX(醫師週班表!$C$5:$T$44,$CU16,CJ$57),""),3,1)="隔",IF(CJ$58=0,LEFT(IFERROR(INDEX(醫師週班表!$C$5:$T$44,$CU16,CJ$57),""),1),""),IF(MID(IFERROR(INDEX(醫師週班表!$C$5:$T$44,$CU16,CJ$57),""),2,1)="(",LEFT(IFERROR(INDEX(醫師週班表!$C$5:$T$44,$CU16,CJ$57),""),1),IFERROR(INDEX(醫師週班表!$C$5:$T$44,$CU16,CJ$57),"")))))))</f>
        <v/>
      </c>
      <c r="CK16" s="67">
        <f>IF(CK$59="X","",IF(CK$59&lt;&gt;"",CK$59,IF(IFERROR(INDEX(醫師週班表!$C$5:$T$44,$CU16,CK$57),"")=0,"",IF(MID(IFERROR(INDEX(醫師週班表!$C$5:$T$44,$CU16,CK$57),""),2,1)="/",MID(IFERROR(INDEX(醫師週班表!$C$5:$T$44,$CU16,CK$57),""),1+CK$58*2,1),IF(MID(IFERROR(INDEX(醫師週班表!$C$5:$T$44,$CU16,CK$57),""),3,1)="隔",IF(CK$58=0,LEFT(IFERROR(INDEX(醫師週班表!$C$5:$T$44,$CU16,CK$57),""),1),""),IF(MID(IFERROR(INDEX(醫師週班表!$C$5:$T$44,$CU16,CK$57),""),2,1)="(",LEFT(IFERROR(INDEX(醫師週班表!$C$5:$T$44,$CU16,CK$57),""),1),IFERROR(INDEX(醫師週班表!$C$5:$T$44,$CU16,CK$57),"")))))))</f>
        <v/>
      </c>
      <c r="CL16" s="68">
        <f>IF(CL$59="X","",IF(CL$59&lt;&gt;"",CL$59,IF(IFERROR(INDEX(醫師週班表!$C$5:$T$44,$CU16,CL$57),"")=0,"",IF(MID(IFERROR(INDEX(醫師週班表!$C$5:$T$44,$CU16,CL$57),""),2,1)="/",MID(IFERROR(INDEX(醫師週班表!$C$5:$T$44,$CU16,CL$57),""),1+CL$58*2,1),IF(MID(IFERROR(INDEX(醫師週班表!$C$5:$T$44,$CU16,CL$57),""),3,1)="隔",IF(CL$58=0,LEFT(IFERROR(INDEX(醫師週班表!$C$5:$T$44,$CU16,CL$57),""),1),""),IF(MID(IFERROR(INDEX(醫師週班表!$C$5:$T$44,$CU16,CL$57),""),2,1)="(",LEFT(IFERROR(INDEX(醫師週班表!$C$5:$T$44,$CU16,CL$57),""),1),IFERROR(INDEX(醫師週班表!$C$5:$T$44,$CU16,CL$57),"")))))))</f>
        <v/>
      </c>
      <c r="CM16" s="68">
        <f>IF(CM$59="X","",IF(CM$59&lt;&gt;"",CM$59,IF(IFERROR(INDEX(醫師週班表!$C$5:$T$44,$CU16,CM$57),"")=0,"",IF(MID(IFERROR(INDEX(醫師週班表!$C$5:$T$44,$CU16,CM$57),""),2,1)="/",MID(IFERROR(INDEX(醫師週班表!$C$5:$T$44,$CU16,CM$57),""),1+CM$58*2,1),IF(MID(IFERROR(INDEX(醫師週班表!$C$5:$T$44,$CU16,CM$57),""),3,1)="隔",IF(CM$58=0,LEFT(IFERROR(INDEX(醫師週班表!$C$5:$T$44,$CU16,CM$57),""),1),""),IF(MID(IFERROR(INDEX(醫師週班表!$C$5:$T$44,$CU16,CM$57),""),2,1)="(",LEFT(IFERROR(INDEX(醫師週班表!$C$5:$T$44,$CU16,CM$57),""),1),IFERROR(INDEX(醫師週班表!$C$5:$T$44,$CU16,CM$57),"")))))))</f>
        <v/>
      </c>
      <c r="CN16" s="67">
        <f>IF(CN$59="X","",IF(CN$59&lt;&gt;"",CN$59,IF(IFERROR(INDEX(醫師週班表!$C$5:$T$44,$CU16,CN$57),"")=0,"",IF(MID(IFERROR(INDEX(醫師週班表!$C$5:$T$44,$CU16,CN$57),""),2,1)="/",MID(IFERROR(INDEX(醫師週班表!$C$5:$T$44,$CU16,CN$57),""),1+CN$58*2,1),IF(MID(IFERROR(INDEX(醫師週班表!$C$5:$T$44,$CU16,CN$57),""),3,1)="隔",IF(CN$58=0,LEFT(IFERROR(INDEX(醫師週班表!$C$5:$T$44,$CU16,CN$57),""),1),""),IF(MID(IFERROR(INDEX(醫師週班表!$C$5:$T$44,$CU16,CN$57),""),2,1)="(",LEFT(IFERROR(INDEX(醫師週班表!$C$5:$T$44,$CU16,CN$57),""),1),IFERROR(INDEX(醫師週班表!$C$5:$T$44,$CU16,CN$57),"")))))))</f>
        <v/>
      </c>
      <c r="CO16" s="68">
        <f>IF(CO$59="X","",IF(CO$59&lt;&gt;"",CO$59,IF(IFERROR(INDEX(醫師週班表!$C$5:$T$44,$CU16,CO$57),"")=0,"",IF(MID(IFERROR(INDEX(醫師週班表!$C$5:$T$44,$CU16,CO$57),""),2,1)="/",MID(IFERROR(INDEX(醫師週班表!$C$5:$T$44,$CU16,CO$57),""),1+CO$58*2,1),IF(MID(IFERROR(INDEX(醫師週班表!$C$5:$T$44,$CU16,CO$57),""),3,1)="隔",IF(CO$58=0,LEFT(IFERROR(INDEX(醫師週班表!$C$5:$T$44,$CU16,CO$57),""),1),""),IF(MID(IFERROR(INDEX(醫師週班表!$C$5:$T$44,$CU16,CO$57),""),2,1)="(",LEFT(IFERROR(INDEX(醫師週班表!$C$5:$T$44,$CU16,CO$57),""),1),IFERROR(INDEX(醫師週班表!$C$5:$T$44,$CU16,CO$57),"")))))))</f>
        <v/>
      </c>
      <c r="CP16" s="68">
        <f>IF(CP$59="X","",IF(CP$59&lt;&gt;"",CP$59,IF(IFERROR(INDEX(醫師週班表!$C$5:$T$44,$CU16,CP$57),"")=0,"",IF(MID(IFERROR(INDEX(醫師週班表!$C$5:$T$44,$CU16,CP$57),""),2,1)="/",MID(IFERROR(INDEX(醫師週班表!$C$5:$T$44,$CU16,CP$57),""),1+CP$58*2,1),IF(MID(IFERROR(INDEX(醫師週班表!$C$5:$T$44,$CU16,CP$57),""),3,1)="隔",IF(CP$58=0,LEFT(IFERROR(INDEX(醫師週班表!$C$5:$T$44,$CU16,CP$57),""),1),""),IF(MID(IFERROR(INDEX(醫師週班表!$C$5:$T$44,$CU16,CP$57),""),2,1)="(",LEFT(IFERROR(INDEX(醫師週班表!$C$5:$T$44,$CU16,CP$57),""),1),IFERROR(INDEX(醫師週班表!$C$5:$T$44,$CU16,CP$57),"")))))))</f>
        <v/>
      </c>
      <c r="CQ16" s="67">
        <f>IF(CQ$59="X","",IF(CQ$59&lt;&gt;"",CQ$59,IF(IFERROR(INDEX(醫師週班表!$C$5:$T$44,$CU16,CQ$57),"")=0,"",IF(MID(IFERROR(INDEX(醫師週班表!$C$5:$T$44,$CU16,CQ$57),""),2,1)="/",MID(IFERROR(INDEX(醫師週班表!$C$5:$T$44,$CU16,CQ$57),""),1+CQ$58*2,1),IF(MID(IFERROR(INDEX(醫師週班表!$C$5:$T$44,$CU16,CQ$57),""),3,1)="隔",IF(CQ$58=0,LEFT(IFERROR(INDEX(醫師週班表!$C$5:$T$44,$CU16,CQ$57),""),1),""),IF(MID(IFERROR(INDEX(醫師週班表!$C$5:$T$44,$CU16,CQ$57),""),2,1)="(",LEFT(IFERROR(INDEX(醫師週班表!$C$5:$T$44,$CU16,CQ$57),""),1),IFERROR(INDEX(醫師週班表!$C$5:$T$44,$CU16,CQ$57),"")))))))</f>
        <v/>
      </c>
      <c r="CR16" s="68">
        <f>IF(CR$59="X","",IF(CR$59&lt;&gt;"",CR$59,IF(IFERROR(INDEX(醫師週班表!$C$5:$T$44,$CU16,CR$57),"")=0,"",IF(MID(IFERROR(INDEX(醫師週班表!$C$5:$T$44,$CU16,CR$57),""),2,1)="/",MID(IFERROR(INDEX(醫師週班表!$C$5:$T$44,$CU16,CR$57),""),1+CR$58*2,1),IF(MID(IFERROR(INDEX(醫師週班表!$C$5:$T$44,$CU16,CR$57),""),3,1)="隔",IF(CR$58=0,LEFT(IFERROR(INDEX(醫師週班表!$C$5:$T$44,$CU16,CR$57),""),1),""),IF(MID(IFERROR(INDEX(醫師週班表!$C$5:$T$44,$CU16,CR$57),""),2,1)="(",LEFT(IFERROR(INDEX(醫師週班表!$C$5:$T$44,$CU16,CR$57),""),1),IFERROR(INDEX(醫師週班表!$C$5:$T$44,$CU16,CR$57),"")))))))</f>
        <v/>
      </c>
      <c r="CS16" s="68">
        <f>IF(CS$59="X","",IF(CS$59&lt;&gt;"",CS$59,IF(IFERROR(INDEX(醫師週班表!$C$5:$T$44,$CU16,CS$57),"")=0,"",IF(MID(IFERROR(INDEX(醫師週班表!$C$5:$T$44,$CU16,CS$57),""),2,1)="/",MID(IFERROR(INDEX(醫師週班表!$C$5:$T$44,$CU16,CS$57),""),1+CS$58*2,1),IF(MID(IFERROR(INDEX(醫師週班表!$C$5:$T$44,$CU16,CS$57),""),3,1)="隔",IF(CS$58=0,LEFT(IFERROR(INDEX(醫師週班表!$C$5:$T$44,$CU16,CS$57),""),1),""),IF(MID(IFERROR(INDEX(醫師週班表!$C$5:$T$44,$CU16,CS$57),""),2,1)="(",LEFT(IFERROR(INDEX(醫師週班表!$C$5:$T$44,$CU16,CS$57),""),1),IFERROR(INDEX(醫師週班表!$C$5:$T$44,$CU16,CS$57),"")))))))</f>
        <v/>
      </c>
      <c r="CU16" s="69">
        <f>IFERROR(MATCH($A16,醫師週班表!$A$5:$A$44,0),0)</f>
        <v/>
      </c>
    </row>
    <row r="17" ht="17" customHeight="1">
      <c r="A17" s="20" t="inlineStr">
        <is>
          <t>D012</t>
        </is>
      </c>
      <c r="B17" s="16" t="inlineStr">
        <is>
          <t>陳立軒</t>
        </is>
      </c>
      <c r="C17" s="66" t="inlineStr"/>
      <c r="D17" s="16" t="inlineStr"/>
      <c r="E17" s="67">
        <f>IF(E$59="X","",IF(E$59&lt;&gt;"",E$59,IF(IFERROR(INDEX(醫師週班表!$C$5:$T$44,$CU17,E$57),"")=0,"",IF(MID(IFERROR(INDEX(醫師週班表!$C$5:$T$44,$CU17,E$57),""),2,1)="/",MID(IFERROR(INDEX(醫師週班表!$C$5:$T$44,$CU17,E$57),""),1+E$58*2,1),IF(MID(IFERROR(INDEX(醫師週班表!$C$5:$T$44,$CU17,E$57),""),3,1)="隔",IF(E$58=0,LEFT(IFERROR(INDEX(醫師週班表!$C$5:$T$44,$CU17,E$57),""),1),""),IF(MID(IFERROR(INDEX(醫師週班表!$C$5:$T$44,$CU17,E$57),""),2,1)="(",LEFT(IFERROR(INDEX(醫師週班表!$C$5:$T$44,$CU17,E$57),""),1),IFERROR(INDEX(醫師週班表!$C$5:$T$44,$CU17,E$57),"")))))))</f>
        <v/>
      </c>
      <c r="F17" s="68">
        <f>IF(F$59="X","",IF(F$59&lt;&gt;"",F$59,IF(IFERROR(INDEX(醫師週班表!$C$5:$T$44,$CU17,F$57),"")=0,"",IF(MID(IFERROR(INDEX(醫師週班表!$C$5:$T$44,$CU17,F$57),""),2,1)="/",MID(IFERROR(INDEX(醫師週班表!$C$5:$T$44,$CU17,F$57),""),1+F$58*2,1),IF(MID(IFERROR(INDEX(醫師週班表!$C$5:$T$44,$CU17,F$57),""),3,1)="隔",IF(F$58=0,LEFT(IFERROR(INDEX(醫師週班表!$C$5:$T$44,$CU17,F$57),""),1),""),IF(MID(IFERROR(INDEX(醫師週班表!$C$5:$T$44,$CU17,F$57),""),2,1)="(",LEFT(IFERROR(INDEX(醫師週班表!$C$5:$T$44,$CU17,F$57),""),1),IFERROR(INDEX(醫師週班表!$C$5:$T$44,$CU17,F$57),"")))))))</f>
        <v/>
      </c>
      <c r="G17" s="68">
        <f>IF(G$59="X","",IF(G$59&lt;&gt;"",G$59,IF(IFERROR(INDEX(醫師週班表!$C$5:$T$44,$CU17,G$57),"")=0,"",IF(MID(IFERROR(INDEX(醫師週班表!$C$5:$T$44,$CU17,G$57),""),2,1)="/",MID(IFERROR(INDEX(醫師週班表!$C$5:$T$44,$CU17,G$57),""),1+G$58*2,1),IF(MID(IFERROR(INDEX(醫師週班表!$C$5:$T$44,$CU17,G$57),""),3,1)="隔",IF(G$58=0,LEFT(IFERROR(INDEX(醫師週班表!$C$5:$T$44,$CU17,G$57),""),1),""),IF(MID(IFERROR(INDEX(醫師週班表!$C$5:$T$44,$CU17,G$57),""),2,1)="(",LEFT(IFERROR(INDEX(醫師週班表!$C$5:$T$44,$CU17,G$57),""),1),IFERROR(INDEX(醫師週班表!$C$5:$T$44,$CU17,G$57),"")))))))</f>
        <v/>
      </c>
      <c r="H17" s="67">
        <f>IF(H$59="X","",IF(H$59&lt;&gt;"",H$59,IF(IFERROR(INDEX(醫師週班表!$C$5:$T$44,$CU17,H$57),"")=0,"",IF(MID(IFERROR(INDEX(醫師週班表!$C$5:$T$44,$CU17,H$57),""),2,1)="/",MID(IFERROR(INDEX(醫師週班表!$C$5:$T$44,$CU17,H$57),""),1+H$58*2,1),IF(MID(IFERROR(INDEX(醫師週班表!$C$5:$T$44,$CU17,H$57),""),3,1)="隔",IF(H$58=0,LEFT(IFERROR(INDEX(醫師週班表!$C$5:$T$44,$CU17,H$57),""),1),""),IF(MID(IFERROR(INDEX(醫師週班表!$C$5:$T$44,$CU17,H$57),""),2,1)="(",LEFT(IFERROR(INDEX(醫師週班表!$C$5:$T$44,$CU17,H$57),""),1),IFERROR(INDEX(醫師週班表!$C$5:$T$44,$CU17,H$57),"")))))))</f>
        <v/>
      </c>
      <c r="I17" s="68">
        <f>IF(I$59="X","",IF(I$59&lt;&gt;"",I$59,IF(IFERROR(INDEX(醫師週班表!$C$5:$T$44,$CU17,I$57),"")=0,"",IF(MID(IFERROR(INDEX(醫師週班表!$C$5:$T$44,$CU17,I$57),""),2,1)="/",MID(IFERROR(INDEX(醫師週班表!$C$5:$T$44,$CU17,I$57),""),1+I$58*2,1),IF(MID(IFERROR(INDEX(醫師週班表!$C$5:$T$44,$CU17,I$57),""),3,1)="隔",IF(I$58=0,LEFT(IFERROR(INDEX(醫師週班表!$C$5:$T$44,$CU17,I$57),""),1),""),IF(MID(IFERROR(INDEX(醫師週班表!$C$5:$T$44,$CU17,I$57),""),2,1)="(",LEFT(IFERROR(INDEX(醫師週班表!$C$5:$T$44,$CU17,I$57),""),1),IFERROR(INDEX(醫師週班表!$C$5:$T$44,$CU17,I$57),"")))))))</f>
        <v/>
      </c>
      <c r="J17" s="68">
        <f>IF(J$59="X","",IF(J$59&lt;&gt;"",J$59,IF(IFERROR(INDEX(醫師週班表!$C$5:$T$44,$CU17,J$57),"")=0,"",IF(MID(IFERROR(INDEX(醫師週班表!$C$5:$T$44,$CU17,J$57),""),2,1)="/",MID(IFERROR(INDEX(醫師週班表!$C$5:$T$44,$CU17,J$57),""),1+J$58*2,1),IF(MID(IFERROR(INDEX(醫師週班表!$C$5:$T$44,$CU17,J$57),""),3,1)="隔",IF(J$58=0,LEFT(IFERROR(INDEX(醫師週班表!$C$5:$T$44,$CU17,J$57),""),1),""),IF(MID(IFERROR(INDEX(醫師週班表!$C$5:$T$44,$CU17,J$57),""),2,1)="(",LEFT(IFERROR(INDEX(醫師週班表!$C$5:$T$44,$CU17,J$57),""),1),IFERROR(INDEX(醫師週班表!$C$5:$T$44,$CU17,J$57),"")))))))</f>
        <v/>
      </c>
      <c r="K17" s="67">
        <f>IF(K$59="X","",IF(K$59&lt;&gt;"",K$59,IF(IFERROR(INDEX(醫師週班表!$C$5:$T$44,$CU17,K$57),"")=0,"",IF(MID(IFERROR(INDEX(醫師週班表!$C$5:$T$44,$CU17,K$57),""),2,1)="/",MID(IFERROR(INDEX(醫師週班表!$C$5:$T$44,$CU17,K$57),""),1+K$58*2,1),IF(MID(IFERROR(INDEX(醫師週班表!$C$5:$T$44,$CU17,K$57),""),3,1)="隔",IF(K$58=0,LEFT(IFERROR(INDEX(醫師週班表!$C$5:$T$44,$CU17,K$57),""),1),""),IF(MID(IFERROR(INDEX(醫師週班表!$C$5:$T$44,$CU17,K$57),""),2,1)="(",LEFT(IFERROR(INDEX(醫師週班表!$C$5:$T$44,$CU17,K$57),""),1),IFERROR(INDEX(醫師週班表!$C$5:$T$44,$CU17,K$57),"")))))))</f>
        <v/>
      </c>
      <c r="L17" s="68">
        <f>IF(L$59="X","",IF(L$59&lt;&gt;"",L$59,IF(IFERROR(INDEX(醫師週班表!$C$5:$T$44,$CU17,L$57),"")=0,"",IF(MID(IFERROR(INDEX(醫師週班表!$C$5:$T$44,$CU17,L$57),""),2,1)="/",MID(IFERROR(INDEX(醫師週班表!$C$5:$T$44,$CU17,L$57),""),1+L$58*2,1),IF(MID(IFERROR(INDEX(醫師週班表!$C$5:$T$44,$CU17,L$57),""),3,1)="隔",IF(L$58=0,LEFT(IFERROR(INDEX(醫師週班表!$C$5:$T$44,$CU17,L$57),""),1),""),IF(MID(IFERROR(INDEX(醫師週班表!$C$5:$T$44,$CU17,L$57),""),2,1)="(",LEFT(IFERROR(INDEX(醫師週班表!$C$5:$T$44,$CU17,L$57),""),1),IFERROR(INDEX(醫師週班表!$C$5:$T$44,$CU17,L$57),"")))))))</f>
        <v/>
      </c>
      <c r="M17" s="68">
        <f>IF(M$59="X","",IF(M$59&lt;&gt;"",M$59,IF(IFERROR(INDEX(醫師週班表!$C$5:$T$44,$CU17,M$57),"")=0,"",IF(MID(IFERROR(INDEX(醫師週班表!$C$5:$T$44,$CU17,M$57),""),2,1)="/",MID(IFERROR(INDEX(醫師週班表!$C$5:$T$44,$CU17,M$57),""),1+M$58*2,1),IF(MID(IFERROR(INDEX(醫師週班表!$C$5:$T$44,$CU17,M$57),""),3,1)="隔",IF(M$58=0,LEFT(IFERROR(INDEX(醫師週班表!$C$5:$T$44,$CU17,M$57),""),1),""),IF(MID(IFERROR(INDEX(醫師週班表!$C$5:$T$44,$CU17,M$57),""),2,1)="(",LEFT(IFERROR(INDEX(醫師週班表!$C$5:$T$44,$CU17,M$57),""),1),IFERROR(INDEX(醫師週班表!$C$5:$T$44,$CU17,M$57),"")))))))</f>
        <v/>
      </c>
      <c r="N17" s="67">
        <f>IF(N$59="X","",IF(N$59&lt;&gt;"",N$59,IF(IFERROR(INDEX(醫師週班表!$C$5:$T$44,$CU17,N$57),"")=0,"",IF(MID(IFERROR(INDEX(醫師週班表!$C$5:$T$44,$CU17,N$57),""),2,1)="/",MID(IFERROR(INDEX(醫師週班表!$C$5:$T$44,$CU17,N$57),""),1+N$58*2,1),IF(MID(IFERROR(INDEX(醫師週班表!$C$5:$T$44,$CU17,N$57),""),3,1)="隔",IF(N$58=0,LEFT(IFERROR(INDEX(醫師週班表!$C$5:$T$44,$CU17,N$57),""),1),""),IF(MID(IFERROR(INDEX(醫師週班表!$C$5:$T$44,$CU17,N$57),""),2,1)="(",LEFT(IFERROR(INDEX(醫師週班表!$C$5:$T$44,$CU17,N$57),""),1),IFERROR(INDEX(醫師週班表!$C$5:$T$44,$CU17,N$57),"")))))))</f>
        <v/>
      </c>
      <c r="O17" s="68">
        <f>IF(O$59="X","",IF(O$59&lt;&gt;"",O$59,IF(IFERROR(INDEX(醫師週班表!$C$5:$T$44,$CU17,O$57),"")=0,"",IF(MID(IFERROR(INDEX(醫師週班表!$C$5:$T$44,$CU17,O$57),""),2,1)="/",MID(IFERROR(INDEX(醫師週班表!$C$5:$T$44,$CU17,O$57),""),1+O$58*2,1),IF(MID(IFERROR(INDEX(醫師週班表!$C$5:$T$44,$CU17,O$57),""),3,1)="隔",IF(O$58=0,LEFT(IFERROR(INDEX(醫師週班表!$C$5:$T$44,$CU17,O$57),""),1),""),IF(MID(IFERROR(INDEX(醫師週班表!$C$5:$T$44,$CU17,O$57),""),2,1)="(",LEFT(IFERROR(INDEX(醫師週班表!$C$5:$T$44,$CU17,O$57),""),1),IFERROR(INDEX(醫師週班表!$C$5:$T$44,$CU17,O$57),"")))))))</f>
        <v/>
      </c>
      <c r="P17" s="68">
        <f>IF(P$59="X","",IF(P$59&lt;&gt;"",P$59,IF(IFERROR(INDEX(醫師週班表!$C$5:$T$44,$CU17,P$57),"")=0,"",IF(MID(IFERROR(INDEX(醫師週班表!$C$5:$T$44,$CU17,P$57),""),2,1)="/",MID(IFERROR(INDEX(醫師週班表!$C$5:$T$44,$CU17,P$57),""),1+P$58*2,1),IF(MID(IFERROR(INDEX(醫師週班表!$C$5:$T$44,$CU17,P$57),""),3,1)="隔",IF(P$58=0,LEFT(IFERROR(INDEX(醫師週班表!$C$5:$T$44,$CU17,P$57),""),1),""),IF(MID(IFERROR(INDEX(醫師週班表!$C$5:$T$44,$CU17,P$57),""),2,1)="(",LEFT(IFERROR(INDEX(醫師週班表!$C$5:$T$44,$CU17,P$57),""),1),IFERROR(INDEX(醫師週班表!$C$5:$T$44,$CU17,P$57),"")))))))</f>
        <v/>
      </c>
      <c r="Q17" s="67">
        <f>IF(Q$59="X","",IF(Q$59&lt;&gt;"",Q$59,IF(IFERROR(INDEX(醫師週班表!$C$5:$T$44,$CU17,Q$57),"")=0,"",IF(MID(IFERROR(INDEX(醫師週班表!$C$5:$T$44,$CU17,Q$57),""),2,1)="/",MID(IFERROR(INDEX(醫師週班表!$C$5:$T$44,$CU17,Q$57),""),1+Q$58*2,1),IF(MID(IFERROR(INDEX(醫師週班表!$C$5:$T$44,$CU17,Q$57),""),3,1)="隔",IF(Q$58=0,LEFT(IFERROR(INDEX(醫師週班表!$C$5:$T$44,$CU17,Q$57),""),1),""),IF(MID(IFERROR(INDEX(醫師週班表!$C$5:$T$44,$CU17,Q$57),""),2,1)="(",LEFT(IFERROR(INDEX(醫師週班表!$C$5:$T$44,$CU17,Q$57),""),1),IFERROR(INDEX(醫師週班表!$C$5:$T$44,$CU17,Q$57),"")))))))</f>
        <v/>
      </c>
      <c r="R17" s="68">
        <f>IF(R$59="X","",IF(R$59&lt;&gt;"",R$59,IF(IFERROR(INDEX(醫師週班表!$C$5:$T$44,$CU17,R$57),"")=0,"",IF(MID(IFERROR(INDEX(醫師週班表!$C$5:$T$44,$CU17,R$57),""),2,1)="/",MID(IFERROR(INDEX(醫師週班表!$C$5:$T$44,$CU17,R$57),""),1+R$58*2,1),IF(MID(IFERROR(INDEX(醫師週班表!$C$5:$T$44,$CU17,R$57),""),3,1)="隔",IF(R$58=0,LEFT(IFERROR(INDEX(醫師週班表!$C$5:$T$44,$CU17,R$57),""),1),""),IF(MID(IFERROR(INDEX(醫師週班表!$C$5:$T$44,$CU17,R$57),""),2,1)="(",LEFT(IFERROR(INDEX(醫師週班表!$C$5:$T$44,$CU17,R$57),""),1),IFERROR(INDEX(醫師週班表!$C$5:$T$44,$CU17,R$57),"")))))))</f>
        <v/>
      </c>
      <c r="S17" s="68">
        <f>IF(S$59="X","",IF(S$59&lt;&gt;"",S$59,IF(IFERROR(INDEX(醫師週班表!$C$5:$T$44,$CU17,S$57),"")=0,"",IF(MID(IFERROR(INDEX(醫師週班表!$C$5:$T$44,$CU17,S$57),""),2,1)="/",MID(IFERROR(INDEX(醫師週班表!$C$5:$T$44,$CU17,S$57),""),1+S$58*2,1),IF(MID(IFERROR(INDEX(醫師週班表!$C$5:$T$44,$CU17,S$57),""),3,1)="隔",IF(S$58=0,LEFT(IFERROR(INDEX(醫師週班表!$C$5:$T$44,$CU17,S$57),""),1),""),IF(MID(IFERROR(INDEX(醫師週班表!$C$5:$T$44,$CU17,S$57),""),2,1)="(",LEFT(IFERROR(INDEX(醫師週班表!$C$5:$T$44,$CU17,S$57),""),1),IFERROR(INDEX(醫師週班表!$C$5:$T$44,$CU17,S$57),"")))))))</f>
        <v/>
      </c>
      <c r="T17" s="67">
        <f>IF(T$59="X","",IF(T$59&lt;&gt;"",T$59,IF(IFERROR(INDEX(醫師週班表!$C$5:$T$44,$CU17,T$57),"")=0,"",IF(MID(IFERROR(INDEX(醫師週班表!$C$5:$T$44,$CU17,T$57),""),2,1)="/",MID(IFERROR(INDEX(醫師週班表!$C$5:$T$44,$CU17,T$57),""),1+T$58*2,1),IF(MID(IFERROR(INDEX(醫師週班表!$C$5:$T$44,$CU17,T$57),""),3,1)="隔",IF(T$58=0,LEFT(IFERROR(INDEX(醫師週班表!$C$5:$T$44,$CU17,T$57),""),1),""),IF(MID(IFERROR(INDEX(醫師週班表!$C$5:$T$44,$CU17,T$57),""),2,1)="(",LEFT(IFERROR(INDEX(醫師週班表!$C$5:$T$44,$CU17,T$57),""),1),IFERROR(INDEX(醫師週班表!$C$5:$T$44,$CU17,T$57),"")))))))</f>
        <v/>
      </c>
      <c r="U17" s="68">
        <f>IF(U$59="X","",IF(U$59&lt;&gt;"",U$59,IF(IFERROR(INDEX(醫師週班表!$C$5:$T$44,$CU17,U$57),"")=0,"",IF(MID(IFERROR(INDEX(醫師週班表!$C$5:$T$44,$CU17,U$57),""),2,1)="/",MID(IFERROR(INDEX(醫師週班表!$C$5:$T$44,$CU17,U$57),""),1+U$58*2,1),IF(MID(IFERROR(INDEX(醫師週班表!$C$5:$T$44,$CU17,U$57),""),3,1)="隔",IF(U$58=0,LEFT(IFERROR(INDEX(醫師週班表!$C$5:$T$44,$CU17,U$57),""),1),""),IF(MID(IFERROR(INDEX(醫師週班表!$C$5:$T$44,$CU17,U$57),""),2,1)="(",LEFT(IFERROR(INDEX(醫師週班表!$C$5:$T$44,$CU17,U$57),""),1),IFERROR(INDEX(醫師週班表!$C$5:$T$44,$CU17,U$57),"")))))))</f>
        <v/>
      </c>
      <c r="V17" s="68">
        <f>IF(V$59="X","",IF(V$59&lt;&gt;"",V$59,IF(IFERROR(INDEX(醫師週班表!$C$5:$T$44,$CU17,V$57),"")=0,"",IF(MID(IFERROR(INDEX(醫師週班表!$C$5:$T$44,$CU17,V$57),""),2,1)="/",MID(IFERROR(INDEX(醫師週班表!$C$5:$T$44,$CU17,V$57),""),1+V$58*2,1),IF(MID(IFERROR(INDEX(醫師週班表!$C$5:$T$44,$CU17,V$57),""),3,1)="隔",IF(V$58=0,LEFT(IFERROR(INDEX(醫師週班表!$C$5:$T$44,$CU17,V$57),""),1),""),IF(MID(IFERROR(INDEX(醫師週班表!$C$5:$T$44,$CU17,V$57),""),2,1)="(",LEFT(IFERROR(INDEX(醫師週班表!$C$5:$T$44,$CU17,V$57),""),1),IFERROR(INDEX(醫師週班表!$C$5:$T$44,$CU17,V$57),"")))))))</f>
        <v/>
      </c>
      <c r="W17" s="67">
        <f>IF(W$59="X","",IF(W$59&lt;&gt;"",W$59,IF(IFERROR(INDEX(醫師週班表!$C$5:$T$44,$CU17,W$57),"")=0,"",IF(MID(IFERROR(INDEX(醫師週班表!$C$5:$T$44,$CU17,W$57),""),2,1)="/",MID(IFERROR(INDEX(醫師週班表!$C$5:$T$44,$CU17,W$57),""),1+W$58*2,1),IF(MID(IFERROR(INDEX(醫師週班表!$C$5:$T$44,$CU17,W$57),""),3,1)="隔",IF(W$58=0,LEFT(IFERROR(INDEX(醫師週班表!$C$5:$T$44,$CU17,W$57),""),1),""),IF(MID(IFERROR(INDEX(醫師週班表!$C$5:$T$44,$CU17,W$57),""),2,1)="(",LEFT(IFERROR(INDEX(醫師週班表!$C$5:$T$44,$CU17,W$57),""),1),IFERROR(INDEX(醫師週班表!$C$5:$T$44,$CU17,W$57),"")))))))</f>
        <v/>
      </c>
      <c r="X17" s="68">
        <f>IF(X$59="X","",IF(X$59&lt;&gt;"",X$59,IF(IFERROR(INDEX(醫師週班表!$C$5:$T$44,$CU17,X$57),"")=0,"",IF(MID(IFERROR(INDEX(醫師週班表!$C$5:$T$44,$CU17,X$57),""),2,1)="/",MID(IFERROR(INDEX(醫師週班表!$C$5:$T$44,$CU17,X$57),""),1+X$58*2,1),IF(MID(IFERROR(INDEX(醫師週班表!$C$5:$T$44,$CU17,X$57),""),3,1)="隔",IF(X$58=0,LEFT(IFERROR(INDEX(醫師週班表!$C$5:$T$44,$CU17,X$57),""),1),""),IF(MID(IFERROR(INDEX(醫師週班表!$C$5:$T$44,$CU17,X$57),""),2,1)="(",LEFT(IFERROR(INDEX(醫師週班表!$C$5:$T$44,$CU17,X$57),""),1),IFERROR(INDEX(醫師週班表!$C$5:$T$44,$CU17,X$57),"")))))))</f>
        <v/>
      </c>
      <c r="Y17" s="68">
        <f>IF(Y$59="X","",IF(Y$59&lt;&gt;"",Y$59,IF(IFERROR(INDEX(醫師週班表!$C$5:$T$44,$CU17,Y$57),"")=0,"",IF(MID(IFERROR(INDEX(醫師週班表!$C$5:$T$44,$CU17,Y$57),""),2,1)="/",MID(IFERROR(INDEX(醫師週班表!$C$5:$T$44,$CU17,Y$57),""),1+Y$58*2,1),IF(MID(IFERROR(INDEX(醫師週班表!$C$5:$T$44,$CU17,Y$57),""),3,1)="隔",IF(Y$58=0,LEFT(IFERROR(INDEX(醫師週班表!$C$5:$T$44,$CU17,Y$57),""),1),""),IF(MID(IFERROR(INDEX(醫師週班表!$C$5:$T$44,$CU17,Y$57),""),2,1)="(",LEFT(IFERROR(INDEX(醫師週班表!$C$5:$T$44,$CU17,Y$57),""),1),IFERROR(INDEX(醫師週班表!$C$5:$T$44,$CU17,Y$57),"")))))))</f>
        <v/>
      </c>
      <c r="Z17" s="67">
        <f>IF(Z$59="X","",IF(Z$59&lt;&gt;"",Z$59,IF(IFERROR(INDEX(醫師週班表!$C$5:$T$44,$CU17,Z$57),"")=0,"",IF(MID(IFERROR(INDEX(醫師週班表!$C$5:$T$44,$CU17,Z$57),""),2,1)="/",MID(IFERROR(INDEX(醫師週班表!$C$5:$T$44,$CU17,Z$57),""),1+Z$58*2,1),IF(MID(IFERROR(INDEX(醫師週班表!$C$5:$T$44,$CU17,Z$57),""),3,1)="隔",IF(Z$58=0,LEFT(IFERROR(INDEX(醫師週班表!$C$5:$T$44,$CU17,Z$57),""),1),""),IF(MID(IFERROR(INDEX(醫師週班表!$C$5:$T$44,$CU17,Z$57),""),2,1)="(",LEFT(IFERROR(INDEX(醫師週班表!$C$5:$T$44,$CU17,Z$57),""),1),IFERROR(INDEX(醫師週班表!$C$5:$T$44,$CU17,Z$57),"")))))))</f>
        <v/>
      </c>
      <c r="AA17" s="68">
        <f>IF(AA$59="X","",IF(AA$59&lt;&gt;"",AA$59,IF(IFERROR(INDEX(醫師週班表!$C$5:$T$44,$CU17,AA$57),"")=0,"",IF(MID(IFERROR(INDEX(醫師週班表!$C$5:$T$44,$CU17,AA$57),""),2,1)="/",MID(IFERROR(INDEX(醫師週班表!$C$5:$T$44,$CU17,AA$57),""),1+AA$58*2,1),IF(MID(IFERROR(INDEX(醫師週班表!$C$5:$T$44,$CU17,AA$57),""),3,1)="隔",IF(AA$58=0,LEFT(IFERROR(INDEX(醫師週班表!$C$5:$T$44,$CU17,AA$57),""),1),""),IF(MID(IFERROR(INDEX(醫師週班表!$C$5:$T$44,$CU17,AA$57),""),2,1)="(",LEFT(IFERROR(INDEX(醫師週班表!$C$5:$T$44,$CU17,AA$57),""),1),IFERROR(INDEX(醫師週班表!$C$5:$T$44,$CU17,AA$57),"")))))))</f>
        <v/>
      </c>
      <c r="AB17" s="68">
        <f>IF(AB$59="X","",IF(AB$59&lt;&gt;"",AB$59,IF(IFERROR(INDEX(醫師週班表!$C$5:$T$44,$CU17,AB$57),"")=0,"",IF(MID(IFERROR(INDEX(醫師週班表!$C$5:$T$44,$CU17,AB$57),""),2,1)="/",MID(IFERROR(INDEX(醫師週班表!$C$5:$T$44,$CU17,AB$57),""),1+AB$58*2,1),IF(MID(IFERROR(INDEX(醫師週班表!$C$5:$T$44,$CU17,AB$57),""),3,1)="隔",IF(AB$58=0,LEFT(IFERROR(INDEX(醫師週班表!$C$5:$T$44,$CU17,AB$57),""),1),""),IF(MID(IFERROR(INDEX(醫師週班表!$C$5:$T$44,$CU17,AB$57),""),2,1)="(",LEFT(IFERROR(INDEX(醫師週班表!$C$5:$T$44,$CU17,AB$57),""),1),IFERROR(INDEX(醫師週班表!$C$5:$T$44,$CU17,AB$57),"")))))))</f>
        <v/>
      </c>
      <c r="AC17" s="67">
        <f>IF(AC$59="X","",IF(AC$59&lt;&gt;"",AC$59,IF(IFERROR(INDEX(醫師週班表!$C$5:$T$44,$CU17,AC$57),"")=0,"",IF(MID(IFERROR(INDEX(醫師週班表!$C$5:$T$44,$CU17,AC$57),""),2,1)="/",MID(IFERROR(INDEX(醫師週班表!$C$5:$T$44,$CU17,AC$57),""),1+AC$58*2,1),IF(MID(IFERROR(INDEX(醫師週班表!$C$5:$T$44,$CU17,AC$57),""),3,1)="隔",IF(AC$58=0,LEFT(IFERROR(INDEX(醫師週班表!$C$5:$T$44,$CU17,AC$57),""),1),""),IF(MID(IFERROR(INDEX(醫師週班表!$C$5:$T$44,$CU17,AC$57),""),2,1)="(",LEFT(IFERROR(INDEX(醫師週班表!$C$5:$T$44,$CU17,AC$57),""),1),IFERROR(INDEX(醫師週班表!$C$5:$T$44,$CU17,AC$57),"")))))))</f>
        <v/>
      </c>
      <c r="AD17" s="68">
        <f>IF(AD$59="X","",IF(AD$59&lt;&gt;"",AD$59,IF(IFERROR(INDEX(醫師週班表!$C$5:$T$44,$CU17,AD$57),"")=0,"",IF(MID(IFERROR(INDEX(醫師週班表!$C$5:$T$44,$CU17,AD$57),""),2,1)="/",MID(IFERROR(INDEX(醫師週班表!$C$5:$T$44,$CU17,AD$57),""),1+AD$58*2,1),IF(MID(IFERROR(INDEX(醫師週班表!$C$5:$T$44,$CU17,AD$57),""),3,1)="隔",IF(AD$58=0,LEFT(IFERROR(INDEX(醫師週班表!$C$5:$T$44,$CU17,AD$57),""),1),""),IF(MID(IFERROR(INDEX(醫師週班表!$C$5:$T$44,$CU17,AD$57),""),2,1)="(",LEFT(IFERROR(INDEX(醫師週班表!$C$5:$T$44,$CU17,AD$57),""),1),IFERROR(INDEX(醫師週班表!$C$5:$T$44,$CU17,AD$57),"")))))))</f>
        <v/>
      </c>
      <c r="AE17" s="68">
        <f>IF(AE$59="X","",IF(AE$59&lt;&gt;"",AE$59,IF(IFERROR(INDEX(醫師週班表!$C$5:$T$44,$CU17,AE$57),"")=0,"",IF(MID(IFERROR(INDEX(醫師週班表!$C$5:$T$44,$CU17,AE$57),""),2,1)="/",MID(IFERROR(INDEX(醫師週班表!$C$5:$T$44,$CU17,AE$57),""),1+AE$58*2,1),IF(MID(IFERROR(INDEX(醫師週班表!$C$5:$T$44,$CU17,AE$57),""),3,1)="隔",IF(AE$58=0,LEFT(IFERROR(INDEX(醫師週班表!$C$5:$T$44,$CU17,AE$57),""),1),""),IF(MID(IFERROR(INDEX(醫師週班表!$C$5:$T$44,$CU17,AE$57),""),2,1)="(",LEFT(IFERROR(INDEX(醫師週班表!$C$5:$T$44,$CU17,AE$57),""),1),IFERROR(INDEX(醫師週班表!$C$5:$T$44,$CU17,AE$57),"")))))))</f>
        <v/>
      </c>
      <c r="AF17" s="67">
        <f>IF(AF$59="X","",IF(AF$59&lt;&gt;"",AF$59,IF(IFERROR(INDEX(醫師週班表!$C$5:$T$44,$CU17,AF$57),"")=0,"",IF(MID(IFERROR(INDEX(醫師週班表!$C$5:$T$44,$CU17,AF$57),""),2,1)="/",MID(IFERROR(INDEX(醫師週班表!$C$5:$T$44,$CU17,AF$57),""),1+AF$58*2,1),IF(MID(IFERROR(INDEX(醫師週班表!$C$5:$T$44,$CU17,AF$57),""),3,1)="隔",IF(AF$58=0,LEFT(IFERROR(INDEX(醫師週班表!$C$5:$T$44,$CU17,AF$57),""),1),""),IF(MID(IFERROR(INDEX(醫師週班表!$C$5:$T$44,$CU17,AF$57),""),2,1)="(",LEFT(IFERROR(INDEX(醫師週班表!$C$5:$T$44,$CU17,AF$57),""),1),IFERROR(INDEX(醫師週班表!$C$5:$T$44,$CU17,AF$57),"")))))))</f>
        <v/>
      </c>
      <c r="AG17" s="68">
        <f>IF(AG$59="X","",IF(AG$59&lt;&gt;"",AG$59,IF(IFERROR(INDEX(醫師週班表!$C$5:$T$44,$CU17,AG$57),"")=0,"",IF(MID(IFERROR(INDEX(醫師週班表!$C$5:$T$44,$CU17,AG$57),""),2,1)="/",MID(IFERROR(INDEX(醫師週班表!$C$5:$T$44,$CU17,AG$57),""),1+AG$58*2,1),IF(MID(IFERROR(INDEX(醫師週班表!$C$5:$T$44,$CU17,AG$57),""),3,1)="隔",IF(AG$58=0,LEFT(IFERROR(INDEX(醫師週班表!$C$5:$T$44,$CU17,AG$57),""),1),""),IF(MID(IFERROR(INDEX(醫師週班表!$C$5:$T$44,$CU17,AG$57),""),2,1)="(",LEFT(IFERROR(INDEX(醫師週班表!$C$5:$T$44,$CU17,AG$57),""),1),IFERROR(INDEX(醫師週班表!$C$5:$T$44,$CU17,AG$57),"")))))))</f>
        <v/>
      </c>
      <c r="AH17" s="68">
        <f>IF(AH$59="X","",IF(AH$59&lt;&gt;"",AH$59,IF(IFERROR(INDEX(醫師週班表!$C$5:$T$44,$CU17,AH$57),"")=0,"",IF(MID(IFERROR(INDEX(醫師週班表!$C$5:$T$44,$CU17,AH$57),""),2,1)="/",MID(IFERROR(INDEX(醫師週班表!$C$5:$T$44,$CU17,AH$57),""),1+AH$58*2,1),IF(MID(IFERROR(INDEX(醫師週班表!$C$5:$T$44,$CU17,AH$57),""),3,1)="隔",IF(AH$58=0,LEFT(IFERROR(INDEX(醫師週班表!$C$5:$T$44,$CU17,AH$57),""),1),""),IF(MID(IFERROR(INDEX(醫師週班表!$C$5:$T$44,$CU17,AH$57),""),2,1)="(",LEFT(IFERROR(INDEX(醫師週班表!$C$5:$T$44,$CU17,AH$57),""),1),IFERROR(INDEX(醫師週班表!$C$5:$T$44,$CU17,AH$57),"")))))))</f>
        <v/>
      </c>
      <c r="AI17" s="67">
        <f>IF(AI$59="X","",IF(AI$59&lt;&gt;"",AI$59,IF(IFERROR(INDEX(醫師週班表!$C$5:$T$44,$CU17,AI$57),"")=0,"",IF(MID(IFERROR(INDEX(醫師週班表!$C$5:$T$44,$CU17,AI$57),""),2,1)="/",MID(IFERROR(INDEX(醫師週班表!$C$5:$T$44,$CU17,AI$57),""),1+AI$58*2,1),IF(MID(IFERROR(INDEX(醫師週班表!$C$5:$T$44,$CU17,AI$57),""),3,1)="隔",IF(AI$58=0,LEFT(IFERROR(INDEX(醫師週班表!$C$5:$T$44,$CU17,AI$57),""),1),""),IF(MID(IFERROR(INDEX(醫師週班表!$C$5:$T$44,$CU17,AI$57),""),2,1)="(",LEFT(IFERROR(INDEX(醫師週班表!$C$5:$T$44,$CU17,AI$57),""),1),IFERROR(INDEX(醫師週班表!$C$5:$T$44,$CU17,AI$57),"")))))))</f>
        <v/>
      </c>
      <c r="AJ17" s="68">
        <f>IF(AJ$59="X","",IF(AJ$59&lt;&gt;"",AJ$59,IF(IFERROR(INDEX(醫師週班表!$C$5:$T$44,$CU17,AJ$57),"")=0,"",IF(MID(IFERROR(INDEX(醫師週班表!$C$5:$T$44,$CU17,AJ$57),""),2,1)="/",MID(IFERROR(INDEX(醫師週班表!$C$5:$T$44,$CU17,AJ$57),""),1+AJ$58*2,1),IF(MID(IFERROR(INDEX(醫師週班表!$C$5:$T$44,$CU17,AJ$57),""),3,1)="隔",IF(AJ$58=0,LEFT(IFERROR(INDEX(醫師週班表!$C$5:$T$44,$CU17,AJ$57),""),1),""),IF(MID(IFERROR(INDEX(醫師週班表!$C$5:$T$44,$CU17,AJ$57),""),2,1)="(",LEFT(IFERROR(INDEX(醫師週班表!$C$5:$T$44,$CU17,AJ$57),""),1),IFERROR(INDEX(醫師週班表!$C$5:$T$44,$CU17,AJ$57),"")))))))</f>
        <v/>
      </c>
      <c r="AK17" s="68">
        <f>IF(AK$59="X","",IF(AK$59&lt;&gt;"",AK$59,IF(IFERROR(INDEX(醫師週班表!$C$5:$T$44,$CU17,AK$57),"")=0,"",IF(MID(IFERROR(INDEX(醫師週班表!$C$5:$T$44,$CU17,AK$57),""),2,1)="/",MID(IFERROR(INDEX(醫師週班表!$C$5:$T$44,$CU17,AK$57),""),1+AK$58*2,1),IF(MID(IFERROR(INDEX(醫師週班表!$C$5:$T$44,$CU17,AK$57),""),3,1)="隔",IF(AK$58=0,LEFT(IFERROR(INDEX(醫師週班表!$C$5:$T$44,$CU17,AK$57),""),1),""),IF(MID(IFERROR(INDEX(醫師週班表!$C$5:$T$44,$CU17,AK$57),""),2,1)="(",LEFT(IFERROR(INDEX(醫師週班表!$C$5:$T$44,$CU17,AK$57),""),1),IFERROR(INDEX(醫師週班表!$C$5:$T$44,$CU17,AK$57),"")))))))</f>
        <v/>
      </c>
      <c r="AL17" s="67">
        <f>IF(AL$59="X","",IF(AL$59&lt;&gt;"",AL$59,IF(IFERROR(INDEX(醫師週班表!$C$5:$T$44,$CU17,AL$57),"")=0,"",IF(MID(IFERROR(INDEX(醫師週班表!$C$5:$T$44,$CU17,AL$57),""),2,1)="/",MID(IFERROR(INDEX(醫師週班表!$C$5:$T$44,$CU17,AL$57),""),1+AL$58*2,1),IF(MID(IFERROR(INDEX(醫師週班表!$C$5:$T$44,$CU17,AL$57),""),3,1)="隔",IF(AL$58=0,LEFT(IFERROR(INDEX(醫師週班表!$C$5:$T$44,$CU17,AL$57),""),1),""),IF(MID(IFERROR(INDEX(醫師週班表!$C$5:$T$44,$CU17,AL$57),""),2,1)="(",LEFT(IFERROR(INDEX(醫師週班表!$C$5:$T$44,$CU17,AL$57),""),1),IFERROR(INDEX(醫師週班表!$C$5:$T$44,$CU17,AL$57),"")))))))</f>
        <v/>
      </c>
      <c r="AM17" s="68">
        <f>IF(AM$59="X","",IF(AM$59&lt;&gt;"",AM$59,IF(IFERROR(INDEX(醫師週班表!$C$5:$T$44,$CU17,AM$57),"")=0,"",IF(MID(IFERROR(INDEX(醫師週班表!$C$5:$T$44,$CU17,AM$57),""),2,1)="/",MID(IFERROR(INDEX(醫師週班表!$C$5:$T$44,$CU17,AM$57),""),1+AM$58*2,1),IF(MID(IFERROR(INDEX(醫師週班表!$C$5:$T$44,$CU17,AM$57),""),3,1)="隔",IF(AM$58=0,LEFT(IFERROR(INDEX(醫師週班表!$C$5:$T$44,$CU17,AM$57),""),1),""),IF(MID(IFERROR(INDEX(醫師週班表!$C$5:$T$44,$CU17,AM$57),""),2,1)="(",LEFT(IFERROR(INDEX(醫師週班表!$C$5:$T$44,$CU17,AM$57),""),1),IFERROR(INDEX(醫師週班表!$C$5:$T$44,$CU17,AM$57),"")))))))</f>
        <v/>
      </c>
      <c r="AN17" s="68">
        <f>IF(AN$59="X","",IF(AN$59&lt;&gt;"",AN$59,IF(IFERROR(INDEX(醫師週班表!$C$5:$T$44,$CU17,AN$57),"")=0,"",IF(MID(IFERROR(INDEX(醫師週班表!$C$5:$T$44,$CU17,AN$57),""),2,1)="/",MID(IFERROR(INDEX(醫師週班表!$C$5:$T$44,$CU17,AN$57),""),1+AN$58*2,1),IF(MID(IFERROR(INDEX(醫師週班表!$C$5:$T$44,$CU17,AN$57),""),3,1)="隔",IF(AN$58=0,LEFT(IFERROR(INDEX(醫師週班表!$C$5:$T$44,$CU17,AN$57),""),1),""),IF(MID(IFERROR(INDEX(醫師週班表!$C$5:$T$44,$CU17,AN$57),""),2,1)="(",LEFT(IFERROR(INDEX(醫師週班表!$C$5:$T$44,$CU17,AN$57),""),1),IFERROR(INDEX(醫師週班表!$C$5:$T$44,$CU17,AN$57),"")))))))</f>
        <v/>
      </c>
      <c r="AO17" s="67">
        <f>IF(AO$59="X","",IF(AO$59&lt;&gt;"",AO$59,IF(IFERROR(INDEX(醫師週班表!$C$5:$T$44,$CU17,AO$57),"")=0,"",IF(MID(IFERROR(INDEX(醫師週班表!$C$5:$T$44,$CU17,AO$57),""),2,1)="/",MID(IFERROR(INDEX(醫師週班表!$C$5:$T$44,$CU17,AO$57),""),1+AO$58*2,1),IF(MID(IFERROR(INDEX(醫師週班表!$C$5:$T$44,$CU17,AO$57),""),3,1)="隔",IF(AO$58=0,LEFT(IFERROR(INDEX(醫師週班表!$C$5:$T$44,$CU17,AO$57),""),1),""),IF(MID(IFERROR(INDEX(醫師週班表!$C$5:$T$44,$CU17,AO$57),""),2,1)="(",LEFT(IFERROR(INDEX(醫師週班表!$C$5:$T$44,$CU17,AO$57),""),1),IFERROR(INDEX(醫師週班表!$C$5:$T$44,$CU17,AO$57),"")))))))</f>
        <v/>
      </c>
      <c r="AP17" s="68">
        <f>IF(AP$59="X","",IF(AP$59&lt;&gt;"",AP$59,IF(IFERROR(INDEX(醫師週班表!$C$5:$T$44,$CU17,AP$57),"")=0,"",IF(MID(IFERROR(INDEX(醫師週班表!$C$5:$T$44,$CU17,AP$57),""),2,1)="/",MID(IFERROR(INDEX(醫師週班表!$C$5:$T$44,$CU17,AP$57),""),1+AP$58*2,1),IF(MID(IFERROR(INDEX(醫師週班表!$C$5:$T$44,$CU17,AP$57),""),3,1)="隔",IF(AP$58=0,LEFT(IFERROR(INDEX(醫師週班表!$C$5:$T$44,$CU17,AP$57),""),1),""),IF(MID(IFERROR(INDEX(醫師週班表!$C$5:$T$44,$CU17,AP$57),""),2,1)="(",LEFT(IFERROR(INDEX(醫師週班表!$C$5:$T$44,$CU17,AP$57),""),1),IFERROR(INDEX(醫師週班表!$C$5:$T$44,$CU17,AP$57),"")))))))</f>
        <v/>
      </c>
      <c r="AQ17" s="68">
        <f>IF(AQ$59="X","",IF(AQ$59&lt;&gt;"",AQ$59,IF(IFERROR(INDEX(醫師週班表!$C$5:$T$44,$CU17,AQ$57),"")=0,"",IF(MID(IFERROR(INDEX(醫師週班表!$C$5:$T$44,$CU17,AQ$57),""),2,1)="/",MID(IFERROR(INDEX(醫師週班表!$C$5:$T$44,$CU17,AQ$57),""),1+AQ$58*2,1),IF(MID(IFERROR(INDEX(醫師週班表!$C$5:$T$44,$CU17,AQ$57),""),3,1)="隔",IF(AQ$58=0,LEFT(IFERROR(INDEX(醫師週班表!$C$5:$T$44,$CU17,AQ$57),""),1),""),IF(MID(IFERROR(INDEX(醫師週班表!$C$5:$T$44,$CU17,AQ$57),""),2,1)="(",LEFT(IFERROR(INDEX(醫師週班表!$C$5:$T$44,$CU17,AQ$57),""),1),IFERROR(INDEX(醫師週班表!$C$5:$T$44,$CU17,AQ$57),"")))))))</f>
        <v/>
      </c>
      <c r="AR17" s="67">
        <f>IF(AR$59="X","",IF(AR$59&lt;&gt;"",AR$59,IF(IFERROR(INDEX(醫師週班表!$C$5:$T$44,$CU17,AR$57),"")=0,"",IF(MID(IFERROR(INDEX(醫師週班表!$C$5:$T$44,$CU17,AR$57),""),2,1)="/",MID(IFERROR(INDEX(醫師週班表!$C$5:$T$44,$CU17,AR$57),""),1+AR$58*2,1),IF(MID(IFERROR(INDEX(醫師週班表!$C$5:$T$44,$CU17,AR$57),""),3,1)="隔",IF(AR$58=0,LEFT(IFERROR(INDEX(醫師週班表!$C$5:$T$44,$CU17,AR$57),""),1),""),IF(MID(IFERROR(INDEX(醫師週班表!$C$5:$T$44,$CU17,AR$57),""),2,1)="(",LEFT(IFERROR(INDEX(醫師週班表!$C$5:$T$44,$CU17,AR$57),""),1),IFERROR(INDEX(醫師週班表!$C$5:$T$44,$CU17,AR$57),"")))))))</f>
        <v/>
      </c>
      <c r="AS17" s="68">
        <f>IF(AS$59="X","",IF(AS$59&lt;&gt;"",AS$59,IF(IFERROR(INDEX(醫師週班表!$C$5:$T$44,$CU17,AS$57),"")=0,"",IF(MID(IFERROR(INDEX(醫師週班表!$C$5:$T$44,$CU17,AS$57),""),2,1)="/",MID(IFERROR(INDEX(醫師週班表!$C$5:$T$44,$CU17,AS$57),""),1+AS$58*2,1),IF(MID(IFERROR(INDEX(醫師週班表!$C$5:$T$44,$CU17,AS$57),""),3,1)="隔",IF(AS$58=0,LEFT(IFERROR(INDEX(醫師週班表!$C$5:$T$44,$CU17,AS$57),""),1),""),IF(MID(IFERROR(INDEX(醫師週班表!$C$5:$T$44,$CU17,AS$57),""),2,1)="(",LEFT(IFERROR(INDEX(醫師週班表!$C$5:$T$44,$CU17,AS$57),""),1),IFERROR(INDEX(醫師週班表!$C$5:$T$44,$CU17,AS$57),"")))))))</f>
        <v/>
      </c>
      <c r="AT17" s="68">
        <f>IF(AT$59="X","",IF(AT$59&lt;&gt;"",AT$59,IF(IFERROR(INDEX(醫師週班表!$C$5:$T$44,$CU17,AT$57),"")=0,"",IF(MID(IFERROR(INDEX(醫師週班表!$C$5:$T$44,$CU17,AT$57),""),2,1)="/",MID(IFERROR(INDEX(醫師週班表!$C$5:$T$44,$CU17,AT$57),""),1+AT$58*2,1),IF(MID(IFERROR(INDEX(醫師週班表!$C$5:$T$44,$CU17,AT$57),""),3,1)="隔",IF(AT$58=0,LEFT(IFERROR(INDEX(醫師週班表!$C$5:$T$44,$CU17,AT$57),""),1),""),IF(MID(IFERROR(INDEX(醫師週班表!$C$5:$T$44,$CU17,AT$57),""),2,1)="(",LEFT(IFERROR(INDEX(醫師週班表!$C$5:$T$44,$CU17,AT$57),""),1),IFERROR(INDEX(醫師週班表!$C$5:$T$44,$CU17,AT$57),"")))))))</f>
        <v/>
      </c>
      <c r="AU17" s="67">
        <f>IF(AU$59="X","",IF(AU$59&lt;&gt;"",AU$59,IF(IFERROR(INDEX(醫師週班表!$C$5:$T$44,$CU17,AU$57),"")=0,"",IF(MID(IFERROR(INDEX(醫師週班表!$C$5:$T$44,$CU17,AU$57),""),2,1)="/",MID(IFERROR(INDEX(醫師週班表!$C$5:$T$44,$CU17,AU$57),""),1+AU$58*2,1),IF(MID(IFERROR(INDEX(醫師週班表!$C$5:$T$44,$CU17,AU$57),""),3,1)="隔",IF(AU$58=0,LEFT(IFERROR(INDEX(醫師週班表!$C$5:$T$44,$CU17,AU$57),""),1),""),IF(MID(IFERROR(INDEX(醫師週班表!$C$5:$T$44,$CU17,AU$57),""),2,1)="(",LEFT(IFERROR(INDEX(醫師週班表!$C$5:$T$44,$CU17,AU$57),""),1),IFERROR(INDEX(醫師週班表!$C$5:$T$44,$CU17,AU$57),"")))))))</f>
        <v/>
      </c>
      <c r="AV17" s="68">
        <f>IF(AV$59="X","",IF(AV$59&lt;&gt;"",AV$59,IF(IFERROR(INDEX(醫師週班表!$C$5:$T$44,$CU17,AV$57),"")=0,"",IF(MID(IFERROR(INDEX(醫師週班表!$C$5:$T$44,$CU17,AV$57),""),2,1)="/",MID(IFERROR(INDEX(醫師週班表!$C$5:$T$44,$CU17,AV$57),""),1+AV$58*2,1),IF(MID(IFERROR(INDEX(醫師週班表!$C$5:$T$44,$CU17,AV$57),""),3,1)="隔",IF(AV$58=0,LEFT(IFERROR(INDEX(醫師週班表!$C$5:$T$44,$CU17,AV$57),""),1),""),IF(MID(IFERROR(INDEX(醫師週班表!$C$5:$T$44,$CU17,AV$57),""),2,1)="(",LEFT(IFERROR(INDEX(醫師週班表!$C$5:$T$44,$CU17,AV$57),""),1),IFERROR(INDEX(醫師週班表!$C$5:$T$44,$CU17,AV$57),"")))))))</f>
        <v/>
      </c>
      <c r="AW17" s="68">
        <f>IF(AW$59="X","",IF(AW$59&lt;&gt;"",AW$59,IF(IFERROR(INDEX(醫師週班表!$C$5:$T$44,$CU17,AW$57),"")=0,"",IF(MID(IFERROR(INDEX(醫師週班表!$C$5:$T$44,$CU17,AW$57),""),2,1)="/",MID(IFERROR(INDEX(醫師週班表!$C$5:$T$44,$CU17,AW$57),""),1+AW$58*2,1),IF(MID(IFERROR(INDEX(醫師週班表!$C$5:$T$44,$CU17,AW$57),""),3,1)="隔",IF(AW$58=0,LEFT(IFERROR(INDEX(醫師週班表!$C$5:$T$44,$CU17,AW$57),""),1),""),IF(MID(IFERROR(INDEX(醫師週班表!$C$5:$T$44,$CU17,AW$57),""),2,1)="(",LEFT(IFERROR(INDEX(醫師週班表!$C$5:$T$44,$CU17,AW$57),""),1),IFERROR(INDEX(醫師週班表!$C$5:$T$44,$CU17,AW$57),"")))))))</f>
        <v/>
      </c>
      <c r="AX17" s="67">
        <f>IF(AX$59="X","",IF(AX$59&lt;&gt;"",AX$59,IF(IFERROR(INDEX(醫師週班表!$C$5:$T$44,$CU17,AX$57),"")=0,"",IF(MID(IFERROR(INDEX(醫師週班表!$C$5:$T$44,$CU17,AX$57),""),2,1)="/",MID(IFERROR(INDEX(醫師週班表!$C$5:$T$44,$CU17,AX$57),""),1+AX$58*2,1),IF(MID(IFERROR(INDEX(醫師週班表!$C$5:$T$44,$CU17,AX$57),""),3,1)="隔",IF(AX$58=0,LEFT(IFERROR(INDEX(醫師週班表!$C$5:$T$44,$CU17,AX$57),""),1),""),IF(MID(IFERROR(INDEX(醫師週班表!$C$5:$T$44,$CU17,AX$57),""),2,1)="(",LEFT(IFERROR(INDEX(醫師週班表!$C$5:$T$44,$CU17,AX$57),""),1),IFERROR(INDEX(醫師週班表!$C$5:$T$44,$CU17,AX$57),"")))))))</f>
        <v/>
      </c>
      <c r="AY17" s="68">
        <f>IF(AY$59="X","",IF(AY$59&lt;&gt;"",AY$59,IF(IFERROR(INDEX(醫師週班表!$C$5:$T$44,$CU17,AY$57),"")=0,"",IF(MID(IFERROR(INDEX(醫師週班表!$C$5:$T$44,$CU17,AY$57),""),2,1)="/",MID(IFERROR(INDEX(醫師週班表!$C$5:$T$44,$CU17,AY$57),""),1+AY$58*2,1),IF(MID(IFERROR(INDEX(醫師週班表!$C$5:$T$44,$CU17,AY$57),""),3,1)="隔",IF(AY$58=0,LEFT(IFERROR(INDEX(醫師週班表!$C$5:$T$44,$CU17,AY$57),""),1),""),IF(MID(IFERROR(INDEX(醫師週班表!$C$5:$T$44,$CU17,AY$57),""),2,1)="(",LEFT(IFERROR(INDEX(醫師週班表!$C$5:$T$44,$CU17,AY$57),""),1),IFERROR(INDEX(醫師週班表!$C$5:$T$44,$CU17,AY$57),"")))))))</f>
        <v/>
      </c>
      <c r="AZ17" s="68">
        <f>IF(AZ$59="X","",IF(AZ$59&lt;&gt;"",AZ$59,IF(IFERROR(INDEX(醫師週班表!$C$5:$T$44,$CU17,AZ$57),"")=0,"",IF(MID(IFERROR(INDEX(醫師週班表!$C$5:$T$44,$CU17,AZ$57),""),2,1)="/",MID(IFERROR(INDEX(醫師週班表!$C$5:$T$44,$CU17,AZ$57),""),1+AZ$58*2,1),IF(MID(IFERROR(INDEX(醫師週班表!$C$5:$T$44,$CU17,AZ$57),""),3,1)="隔",IF(AZ$58=0,LEFT(IFERROR(INDEX(醫師週班表!$C$5:$T$44,$CU17,AZ$57),""),1),""),IF(MID(IFERROR(INDEX(醫師週班表!$C$5:$T$44,$CU17,AZ$57),""),2,1)="(",LEFT(IFERROR(INDEX(醫師週班表!$C$5:$T$44,$CU17,AZ$57),""),1),IFERROR(INDEX(醫師週班表!$C$5:$T$44,$CU17,AZ$57),"")))))))</f>
        <v/>
      </c>
      <c r="BA17" s="67">
        <f>IF(BA$59="X","",IF(BA$59&lt;&gt;"",BA$59,IF(IFERROR(INDEX(醫師週班表!$C$5:$T$44,$CU17,BA$57),"")=0,"",IF(MID(IFERROR(INDEX(醫師週班表!$C$5:$T$44,$CU17,BA$57),""),2,1)="/",MID(IFERROR(INDEX(醫師週班表!$C$5:$T$44,$CU17,BA$57),""),1+BA$58*2,1),IF(MID(IFERROR(INDEX(醫師週班表!$C$5:$T$44,$CU17,BA$57),""),3,1)="隔",IF(BA$58=0,LEFT(IFERROR(INDEX(醫師週班表!$C$5:$T$44,$CU17,BA$57),""),1),""),IF(MID(IFERROR(INDEX(醫師週班表!$C$5:$T$44,$CU17,BA$57),""),2,1)="(",LEFT(IFERROR(INDEX(醫師週班表!$C$5:$T$44,$CU17,BA$57),""),1),IFERROR(INDEX(醫師週班表!$C$5:$T$44,$CU17,BA$57),"")))))))</f>
        <v/>
      </c>
      <c r="BB17" s="68">
        <f>IF(BB$59="X","",IF(BB$59&lt;&gt;"",BB$59,IF(IFERROR(INDEX(醫師週班表!$C$5:$T$44,$CU17,BB$57),"")=0,"",IF(MID(IFERROR(INDEX(醫師週班表!$C$5:$T$44,$CU17,BB$57),""),2,1)="/",MID(IFERROR(INDEX(醫師週班表!$C$5:$T$44,$CU17,BB$57),""),1+BB$58*2,1),IF(MID(IFERROR(INDEX(醫師週班表!$C$5:$T$44,$CU17,BB$57),""),3,1)="隔",IF(BB$58=0,LEFT(IFERROR(INDEX(醫師週班表!$C$5:$T$44,$CU17,BB$57),""),1),""),IF(MID(IFERROR(INDEX(醫師週班表!$C$5:$T$44,$CU17,BB$57),""),2,1)="(",LEFT(IFERROR(INDEX(醫師週班表!$C$5:$T$44,$CU17,BB$57),""),1),IFERROR(INDEX(醫師週班表!$C$5:$T$44,$CU17,BB$57),"")))))))</f>
        <v/>
      </c>
      <c r="BC17" s="68">
        <f>IF(BC$59="X","",IF(BC$59&lt;&gt;"",BC$59,IF(IFERROR(INDEX(醫師週班表!$C$5:$T$44,$CU17,BC$57),"")=0,"",IF(MID(IFERROR(INDEX(醫師週班表!$C$5:$T$44,$CU17,BC$57),""),2,1)="/",MID(IFERROR(INDEX(醫師週班表!$C$5:$T$44,$CU17,BC$57),""),1+BC$58*2,1),IF(MID(IFERROR(INDEX(醫師週班表!$C$5:$T$44,$CU17,BC$57),""),3,1)="隔",IF(BC$58=0,LEFT(IFERROR(INDEX(醫師週班表!$C$5:$T$44,$CU17,BC$57),""),1),""),IF(MID(IFERROR(INDEX(醫師週班表!$C$5:$T$44,$CU17,BC$57),""),2,1)="(",LEFT(IFERROR(INDEX(醫師週班表!$C$5:$T$44,$CU17,BC$57),""),1),IFERROR(INDEX(醫師週班表!$C$5:$T$44,$CU17,BC$57),"")))))))</f>
        <v/>
      </c>
      <c r="BD17" s="67">
        <f>IF(BD$59="X","",IF(BD$59&lt;&gt;"",BD$59,IF(IFERROR(INDEX(醫師週班表!$C$5:$T$44,$CU17,BD$57),"")=0,"",IF(MID(IFERROR(INDEX(醫師週班表!$C$5:$T$44,$CU17,BD$57),""),2,1)="/",MID(IFERROR(INDEX(醫師週班表!$C$5:$T$44,$CU17,BD$57),""),1+BD$58*2,1),IF(MID(IFERROR(INDEX(醫師週班表!$C$5:$T$44,$CU17,BD$57),""),3,1)="隔",IF(BD$58=0,LEFT(IFERROR(INDEX(醫師週班表!$C$5:$T$44,$CU17,BD$57),""),1),""),IF(MID(IFERROR(INDEX(醫師週班表!$C$5:$T$44,$CU17,BD$57),""),2,1)="(",LEFT(IFERROR(INDEX(醫師週班表!$C$5:$T$44,$CU17,BD$57),""),1),IFERROR(INDEX(醫師週班表!$C$5:$T$44,$CU17,BD$57),"")))))))</f>
        <v/>
      </c>
      <c r="BE17" s="68">
        <f>IF(BE$59="X","",IF(BE$59&lt;&gt;"",BE$59,IF(IFERROR(INDEX(醫師週班表!$C$5:$T$44,$CU17,BE$57),"")=0,"",IF(MID(IFERROR(INDEX(醫師週班表!$C$5:$T$44,$CU17,BE$57),""),2,1)="/",MID(IFERROR(INDEX(醫師週班表!$C$5:$T$44,$CU17,BE$57),""),1+BE$58*2,1),IF(MID(IFERROR(INDEX(醫師週班表!$C$5:$T$44,$CU17,BE$57),""),3,1)="隔",IF(BE$58=0,LEFT(IFERROR(INDEX(醫師週班表!$C$5:$T$44,$CU17,BE$57),""),1),""),IF(MID(IFERROR(INDEX(醫師週班表!$C$5:$T$44,$CU17,BE$57),""),2,1)="(",LEFT(IFERROR(INDEX(醫師週班表!$C$5:$T$44,$CU17,BE$57),""),1),IFERROR(INDEX(醫師週班表!$C$5:$T$44,$CU17,BE$57),"")))))))</f>
        <v/>
      </c>
      <c r="BF17" s="68">
        <f>IF(BF$59="X","",IF(BF$59&lt;&gt;"",BF$59,IF(IFERROR(INDEX(醫師週班表!$C$5:$T$44,$CU17,BF$57),"")=0,"",IF(MID(IFERROR(INDEX(醫師週班表!$C$5:$T$44,$CU17,BF$57),""),2,1)="/",MID(IFERROR(INDEX(醫師週班表!$C$5:$T$44,$CU17,BF$57),""),1+BF$58*2,1),IF(MID(IFERROR(INDEX(醫師週班表!$C$5:$T$44,$CU17,BF$57),""),3,1)="隔",IF(BF$58=0,LEFT(IFERROR(INDEX(醫師週班表!$C$5:$T$44,$CU17,BF$57),""),1),""),IF(MID(IFERROR(INDEX(醫師週班表!$C$5:$T$44,$CU17,BF$57),""),2,1)="(",LEFT(IFERROR(INDEX(醫師週班表!$C$5:$T$44,$CU17,BF$57),""),1),IFERROR(INDEX(醫師週班表!$C$5:$T$44,$CU17,BF$57),"")))))))</f>
        <v/>
      </c>
      <c r="BG17" s="67">
        <f>IF(BG$59="X","",IF(BG$59&lt;&gt;"",BG$59,IF(IFERROR(INDEX(醫師週班表!$C$5:$T$44,$CU17,BG$57),"")=0,"",IF(MID(IFERROR(INDEX(醫師週班表!$C$5:$T$44,$CU17,BG$57),""),2,1)="/",MID(IFERROR(INDEX(醫師週班表!$C$5:$T$44,$CU17,BG$57),""),1+BG$58*2,1),IF(MID(IFERROR(INDEX(醫師週班表!$C$5:$T$44,$CU17,BG$57),""),3,1)="隔",IF(BG$58=0,LEFT(IFERROR(INDEX(醫師週班表!$C$5:$T$44,$CU17,BG$57),""),1),""),IF(MID(IFERROR(INDEX(醫師週班表!$C$5:$T$44,$CU17,BG$57),""),2,1)="(",LEFT(IFERROR(INDEX(醫師週班表!$C$5:$T$44,$CU17,BG$57),""),1),IFERROR(INDEX(醫師週班表!$C$5:$T$44,$CU17,BG$57),"")))))))</f>
        <v/>
      </c>
      <c r="BH17" s="68">
        <f>IF(BH$59="X","",IF(BH$59&lt;&gt;"",BH$59,IF(IFERROR(INDEX(醫師週班表!$C$5:$T$44,$CU17,BH$57),"")=0,"",IF(MID(IFERROR(INDEX(醫師週班表!$C$5:$T$44,$CU17,BH$57),""),2,1)="/",MID(IFERROR(INDEX(醫師週班表!$C$5:$T$44,$CU17,BH$57),""),1+BH$58*2,1),IF(MID(IFERROR(INDEX(醫師週班表!$C$5:$T$44,$CU17,BH$57),""),3,1)="隔",IF(BH$58=0,LEFT(IFERROR(INDEX(醫師週班表!$C$5:$T$44,$CU17,BH$57),""),1),""),IF(MID(IFERROR(INDEX(醫師週班表!$C$5:$T$44,$CU17,BH$57),""),2,1)="(",LEFT(IFERROR(INDEX(醫師週班表!$C$5:$T$44,$CU17,BH$57),""),1),IFERROR(INDEX(醫師週班表!$C$5:$T$44,$CU17,BH$57),"")))))))</f>
        <v/>
      </c>
      <c r="BI17" s="68">
        <f>IF(BI$59="X","",IF(BI$59&lt;&gt;"",BI$59,IF(IFERROR(INDEX(醫師週班表!$C$5:$T$44,$CU17,BI$57),"")=0,"",IF(MID(IFERROR(INDEX(醫師週班表!$C$5:$T$44,$CU17,BI$57),""),2,1)="/",MID(IFERROR(INDEX(醫師週班表!$C$5:$T$44,$CU17,BI$57),""),1+BI$58*2,1),IF(MID(IFERROR(INDEX(醫師週班表!$C$5:$T$44,$CU17,BI$57),""),3,1)="隔",IF(BI$58=0,LEFT(IFERROR(INDEX(醫師週班表!$C$5:$T$44,$CU17,BI$57),""),1),""),IF(MID(IFERROR(INDEX(醫師週班表!$C$5:$T$44,$CU17,BI$57),""),2,1)="(",LEFT(IFERROR(INDEX(醫師週班表!$C$5:$T$44,$CU17,BI$57),""),1),IFERROR(INDEX(醫師週班表!$C$5:$T$44,$CU17,BI$57),"")))))))</f>
        <v/>
      </c>
      <c r="BJ17" s="67">
        <f>IF(BJ$59="X","",IF(BJ$59&lt;&gt;"",BJ$59,IF(IFERROR(INDEX(醫師週班表!$C$5:$T$44,$CU17,BJ$57),"")=0,"",IF(MID(IFERROR(INDEX(醫師週班表!$C$5:$T$44,$CU17,BJ$57),""),2,1)="/",MID(IFERROR(INDEX(醫師週班表!$C$5:$T$44,$CU17,BJ$57),""),1+BJ$58*2,1),IF(MID(IFERROR(INDEX(醫師週班表!$C$5:$T$44,$CU17,BJ$57),""),3,1)="隔",IF(BJ$58=0,LEFT(IFERROR(INDEX(醫師週班表!$C$5:$T$44,$CU17,BJ$57),""),1),""),IF(MID(IFERROR(INDEX(醫師週班表!$C$5:$T$44,$CU17,BJ$57),""),2,1)="(",LEFT(IFERROR(INDEX(醫師週班表!$C$5:$T$44,$CU17,BJ$57),""),1),IFERROR(INDEX(醫師週班表!$C$5:$T$44,$CU17,BJ$57),"")))))))</f>
        <v/>
      </c>
      <c r="BK17" s="68">
        <f>IF(BK$59="X","",IF(BK$59&lt;&gt;"",BK$59,IF(IFERROR(INDEX(醫師週班表!$C$5:$T$44,$CU17,BK$57),"")=0,"",IF(MID(IFERROR(INDEX(醫師週班表!$C$5:$T$44,$CU17,BK$57),""),2,1)="/",MID(IFERROR(INDEX(醫師週班表!$C$5:$T$44,$CU17,BK$57),""),1+BK$58*2,1),IF(MID(IFERROR(INDEX(醫師週班表!$C$5:$T$44,$CU17,BK$57),""),3,1)="隔",IF(BK$58=0,LEFT(IFERROR(INDEX(醫師週班表!$C$5:$T$44,$CU17,BK$57),""),1),""),IF(MID(IFERROR(INDEX(醫師週班表!$C$5:$T$44,$CU17,BK$57),""),2,1)="(",LEFT(IFERROR(INDEX(醫師週班表!$C$5:$T$44,$CU17,BK$57),""),1),IFERROR(INDEX(醫師週班表!$C$5:$T$44,$CU17,BK$57),"")))))))</f>
        <v/>
      </c>
      <c r="BL17" s="68">
        <f>IF(BL$59="X","",IF(BL$59&lt;&gt;"",BL$59,IF(IFERROR(INDEX(醫師週班表!$C$5:$T$44,$CU17,BL$57),"")=0,"",IF(MID(IFERROR(INDEX(醫師週班表!$C$5:$T$44,$CU17,BL$57),""),2,1)="/",MID(IFERROR(INDEX(醫師週班表!$C$5:$T$44,$CU17,BL$57),""),1+BL$58*2,1),IF(MID(IFERROR(INDEX(醫師週班表!$C$5:$T$44,$CU17,BL$57),""),3,1)="隔",IF(BL$58=0,LEFT(IFERROR(INDEX(醫師週班表!$C$5:$T$44,$CU17,BL$57),""),1),""),IF(MID(IFERROR(INDEX(醫師週班表!$C$5:$T$44,$CU17,BL$57),""),2,1)="(",LEFT(IFERROR(INDEX(醫師週班表!$C$5:$T$44,$CU17,BL$57),""),1),IFERROR(INDEX(醫師週班表!$C$5:$T$44,$CU17,BL$57),"")))))))</f>
        <v/>
      </c>
      <c r="BM17" s="67">
        <f>IF(BM$59="X","",IF(BM$59&lt;&gt;"",BM$59,IF(IFERROR(INDEX(醫師週班表!$C$5:$T$44,$CU17,BM$57),"")=0,"",IF(MID(IFERROR(INDEX(醫師週班表!$C$5:$T$44,$CU17,BM$57),""),2,1)="/",MID(IFERROR(INDEX(醫師週班表!$C$5:$T$44,$CU17,BM$57),""),1+BM$58*2,1),IF(MID(IFERROR(INDEX(醫師週班表!$C$5:$T$44,$CU17,BM$57),""),3,1)="隔",IF(BM$58=0,LEFT(IFERROR(INDEX(醫師週班表!$C$5:$T$44,$CU17,BM$57),""),1),""),IF(MID(IFERROR(INDEX(醫師週班表!$C$5:$T$44,$CU17,BM$57),""),2,1)="(",LEFT(IFERROR(INDEX(醫師週班表!$C$5:$T$44,$CU17,BM$57),""),1),IFERROR(INDEX(醫師週班表!$C$5:$T$44,$CU17,BM$57),"")))))))</f>
        <v/>
      </c>
      <c r="BN17" s="68">
        <f>IF(BN$59="X","",IF(BN$59&lt;&gt;"",BN$59,IF(IFERROR(INDEX(醫師週班表!$C$5:$T$44,$CU17,BN$57),"")=0,"",IF(MID(IFERROR(INDEX(醫師週班表!$C$5:$T$44,$CU17,BN$57),""),2,1)="/",MID(IFERROR(INDEX(醫師週班表!$C$5:$T$44,$CU17,BN$57),""),1+BN$58*2,1),IF(MID(IFERROR(INDEX(醫師週班表!$C$5:$T$44,$CU17,BN$57),""),3,1)="隔",IF(BN$58=0,LEFT(IFERROR(INDEX(醫師週班表!$C$5:$T$44,$CU17,BN$57),""),1),""),IF(MID(IFERROR(INDEX(醫師週班表!$C$5:$T$44,$CU17,BN$57),""),2,1)="(",LEFT(IFERROR(INDEX(醫師週班表!$C$5:$T$44,$CU17,BN$57),""),1),IFERROR(INDEX(醫師週班表!$C$5:$T$44,$CU17,BN$57),"")))))))</f>
        <v/>
      </c>
      <c r="BO17" s="68">
        <f>IF(BO$59="X","",IF(BO$59&lt;&gt;"",BO$59,IF(IFERROR(INDEX(醫師週班表!$C$5:$T$44,$CU17,BO$57),"")=0,"",IF(MID(IFERROR(INDEX(醫師週班表!$C$5:$T$44,$CU17,BO$57),""),2,1)="/",MID(IFERROR(INDEX(醫師週班表!$C$5:$T$44,$CU17,BO$57),""),1+BO$58*2,1),IF(MID(IFERROR(INDEX(醫師週班表!$C$5:$T$44,$CU17,BO$57),""),3,1)="隔",IF(BO$58=0,LEFT(IFERROR(INDEX(醫師週班表!$C$5:$T$44,$CU17,BO$57),""),1),""),IF(MID(IFERROR(INDEX(醫師週班表!$C$5:$T$44,$CU17,BO$57),""),2,1)="(",LEFT(IFERROR(INDEX(醫師週班表!$C$5:$T$44,$CU17,BO$57),""),1),IFERROR(INDEX(醫師週班表!$C$5:$T$44,$CU17,BO$57),"")))))))</f>
        <v/>
      </c>
      <c r="BP17" s="67">
        <f>IF(BP$59="X","",IF(BP$59&lt;&gt;"",BP$59,IF(IFERROR(INDEX(醫師週班表!$C$5:$T$44,$CU17,BP$57),"")=0,"",IF(MID(IFERROR(INDEX(醫師週班表!$C$5:$T$44,$CU17,BP$57),""),2,1)="/",MID(IFERROR(INDEX(醫師週班表!$C$5:$T$44,$CU17,BP$57),""),1+BP$58*2,1),IF(MID(IFERROR(INDEX(醫師週班表!$C$5:$T$44,$CU17,BP$57),""),3,1)="隔",IF(BP$58=0,LEFT(IFERROR(INDEX(醫師週班表!$C$5:$T$44,$CU17,BP$57),""),1),""),IF(MID(IFERROR(INDEX(醫師週班表!$C$5:$T$44,$CU17,BP$57),""),2,1)="(",LEFT(IFERROR(INDEX(醫師週班表!$C$5:$T$44,$CU17,BP$57),""),1),IFERROR(INDEX(醫師週班表!$C$5:$T$44,$CU17,BP$57),"")))))))</f>
        <v/>
      </c>
      <c r="BQ17" s="68">
        <f>IF(BQ$59="X","",IF(BQ$59&lt;&gt;"",BQ$59,IF(IFERROR(INDEX(醫師週班表!$C$5:$T$44,$CU17,BQ$57),"")=0,"",IF(MID(IFERROR(INDEX(醫師週班表!$C$5:$T$44,$CU17,BQ$57),""),2,1)="/",MID(IFERROR(INDEX(醫師週班表!$C$5:$T$44,$CU17,BQ$57),""),1+BQ$58*2,1),IF(MID(IFERROR(INDEX(醫師週班表!$C$5:$T$44,$CU17,BQ$57),""),3,1)="隔",IF(BQ$58=0,LEFT(IFERROR(INDEX(醫師週班表!$C$5:$T$44,$CU17,BQ$57),""),1),""),IF(MID(IFERROR(INDEX(醫師週班表!$C$5:$T$44,$CU17,BQ$57),""),2,1)="(",LEFT(IFERROR(INDEX(醫師週班表!$C$5:$T$44,$CU17,BQ$57),""),1),IFERROR(INDEX(醫師週班表!$C$5:$T$44,$CU17,BQ$57),"")))))))</f>
        <v/>
      </c>
      <c r="BR17" s="68">
        <f>IF(BR$59="X","",IF(BR$59&lt;&gt;"",BR$59,IF(IFERROR(INDEX(醫師週班表!$C$5:$T$44,$CU17,BR$57),"")=0,"",IF(MID(IFERROR(INDEX(醫師週班表!$C$5:$T$44,$CU17,BR$57),""),2,1)="/",MID(IFERROR(INDEX(醫師週班表!$C$5:$T$44,$CU17,BR$57),""),1+BR$58*2,1),IF(MID(IFERROR(INDEX(醫師週班表!$C$5:$T$44,$CU17,BR$57),""),3,1)="隔",IF(BR$58=0,LEFT(IFERROR(INDEX(醫師週班表!$C$5:$T$44,$CU17,BR$57),""),1),""),IF(MID(IFERROR(INDEX(醫師週班表!$C$5:$T$44,$CU17,BR$57),""),2,1)="(",LEFT(IFERROR(INDEX(醫師週班表!$C$5:$T$44,$CU17,BR$57),""),1),IFERROR(INDEX(醫師週班表!$C$5:$T$44,$CU17,BR$57),"")))))))</f>
        <v/>
      </c>
      <c r="BS17" s="67">
        <f>IF(BS$59="X","",IF(BS$59&lt;&gt;"",BS$59,IF(IFERROR(INDEX(醫師週班表!$C$5:$T$44,$CU17,BS$57),"")=0,"",IF(MID(IFERROR(INDEX(醫師週班表!$C$5:$T$44,$CU17,BS$57),""),2,1)="/",MID(IFERROR(INDEX(醫師週班表!$C$5:$T$44,$CU17,BS$57),""),1+BS$58*2,1),IF(MID(IFERROR(INDEX(醫師週班表!$C$5:$T$44,$CU17,BS$57),""),3,1)="隔",IF(BS$58=0,LEFT(IFERROR(INDEX(醫師週班表!$C$5:$T$44,$CU17,BS$57),""),1),""),IF(MID(IFERROR(INDEX(醫師週班表!$C$5:$T$44,$CU17,BS$57),""),2,1)="(",LEFT(IFERROR(INDEX(醫師週班表!$C$5:$T$44,$CU17,BS$57),""),1),IFERROR(INDEX(醫師週班表!$C$5:$T$44,$CU17,BS$57),"")))))))</f>
        <v/>
      </c>
      <c r="BT17" s="68">
        <f>IF(BT$59="X","",IF(BT$59&lt;&gt;"",BT$59,IF(IFERROR(INDEX(醫師週班表!$C$5:$T$44,$CU17,BT$57),"")=0,"",IF(MID(IFERROR(INDEX(醫師週班表!$C$5:$T$44,$CU17,BT$57),""),2,1)="/",MID(IFERROR(INDEX(醫師週班表!$C$5:$T$44,$CU17,BT$57),""),1+BT$58*2,1),IF(MID(IFERROR(INDEX(醫師週班表!$C$5:$T$44,$CU17,BT$57),""),3,1)="隔",IF(BT$58=0,LEFT(IFERROR(INDEX(醫師週班表!$C$5:$T$44,$CU17,BT$57),""),1),""),IF(MID(IFERROR(INDEX(醫師週班表!$C$5:$T$44,$CU17,BT$57),""),2,1)="(",LEFT(IFERROR(INDEX(醫師週班表!$C$5:$T$44,$CU17,BT$57),""),1),IFERROR(INDEX(醫師週班表!$C$5:$T$44,$CU17,BT$57),"")))))))</f>
        <v/>
      </c>
      <c r="BU17" s="68">
        <f>IF(BU$59="X","",IF(BU$59&lt;&gt;"",BU$59,IF(IFERROR(INDEX(醫師週班表!$C$5:$T$44,$CU17,BU$57),"")=0,"",IF(MID(IFERROR(INDEX(醫師週班表!$C$5:$T$44,$CU17,BU$57),""),2,1)="/",MID(IFERROR(INDEX(醫師週班表!$C$5:$T$44,$CU17,BU$57),""),1+BU$58*2,1),IF(MID(IFERROR(INDEX(醫師週班表!$C$5:$T$44,$CU17,BU$57),""),3,1)="隔",IF(BU$58=0,LEFT(IFERROR(INDEX(醫師週班表!$C$5:$T$44,$CU17,BU$57),""),1),""),IF(MID(IFERROR(INDEX(醫師週班表!$C$5:$T$44,$CU17,BU$57),""),2,1)="(",LEFT(IFERROR(INDEX(醫師週班表!$C$5:$T$44,$CU17,BU$57),""),1),IFERROR(INDEX(醫師週班表!$C$5:$T$44,$CU17,BU$57),"")))))))</f>
        <v/>
      </c>
      <c r="BV17" s="67">
        <f>IF(BV$59="X","",IF(BV$59&lt;&gt;"",BV$59,IF(IFERROR(INDEX(醫師週班表!$C$5:$T$44,$CU17,BV$57),"")=0,"",IF(MID(IFERROR(INDEX(醫師週班表!$C$5:$T$44,$CU17,BV$57),""),2,1)="/",MID(IFERROR(INDEX(醫師週班表!$C$5:$T$44,$CU17,BV$57),""),1+BV$58*2,1),IF(MID(IFERROR(INDEX(醫師週班表!$C$5:$T$44,$CU17,BV$57),""),3,1)="隔",IF(BV$58=0,LEFT(IFERROR(INDEX(醫師週班表!$C$5:$T$44,$CU17,BV$57),""),1),""),IF(MID(IFERROR(INDEX(醫師週班表!$C$5:$T$44,$CU17,BV$57),""),2,1)="(",LEFT(IFERROR(INDEX(醫師週班表!$C$5:$T$44,$CU17,BV$57),""),1),IFERROR(INDEX(醫師週班表!$C$5:$T$44,$CU17,BV$57),"")))))))</f>
        <v/>
      </c>
      <c r="BW17" s="68">
        <f>IF(BW$59="X","",IF(BW$59&lt;&gt;"",BW$59,IF(IFERROR(INDEX(醫師週班表!$C$5:$T$44,$CU17,BW$57),"")=0,"",IF(MID(IFERROR(INDEX(醫師週班表!$C$5:$T$44,$CU17,BW$57),""),2,1)="/",MID(IFERROR(INDEX(醫師週班表!$C$5:$T$44,$CU17,BW$57),""),1+BW$58*2,1),IF(MID(IFERROR(INDEX(醫師週班表!$C$5:$T$44,$CU17,BW$57),""),3,1)="隔",IF(BW$58=0,LEFT(IFERROR(INDEX(醫師週班表!$C$5:$T$44,$CU17,BW$57),""),1),""),IF(MID(IFERROR(INDEX(醫師週班表!$C$5:$T$44,$CU17,BW$57),""),2,1)="(",LEFT(IFERROR(INDEX(醫師週班表!$C$5:$T$44,$CU17,BW$57),""),1),IFERROR(INDEX(醫師週班表!$C$5:$T$44,$CU17,BW$57),"")))))))</f>
        <v/>
      </c>
      <c r="BX17" s="68">
        <f>IF(BX$59="X","",IF(BX$59&lt;&gt;"",BX$59,IF(IFERROR(INDEX(醫師週班表!$C$5:$T$44,$CU17,BX$57),"")=0,"",IF(MID(IFERROR(INDEX(醫師週班表!$C$5:$T$44,$CU17,BX$57),""),2,1)="/",MID(IFERROR(INDEX(醫師週班表!$C$5:$T$44,$CU17,BX$57),""),1+BX$58*2,1),IF(MID(IFERROR(INDEX(醫師週班表!$C$5:$T$44,$CU17,BX$57),""),3,1)="隔",IF(BX$58=0,LEFT(IFERROR(INDEX(醫師週班表!$C$5:$T$44,$CU17,BX$57),""),1),""),IF(MID(IFERROR(INDEX(醫師週班表!$C$5:$T$44,$CU17,BX$57),""),2,1)="(",LEFT(IFERROR(INDEX(醫師週班表!$C$5:$T$44,$CU17,BX$57),""),1),IFERROR(INDEX(醫師週班表!$C$5:$T$44,$CU17,BX$57),"")))))))</f>
        <v/>
      </c>
      <c r="BY17" s="67">
        <f>IF(BY$59="X","",IF(BY$59&lt;&gt;"",BY$59,IF(IFERROR(INDEX(醫師週班表!$C$5:$T$44,$CU17,BY$57),"")=0,"",IF(MID(IFERROR(INDEX(醫師週班表!$C$5:$T$44,$CU17,BY$57),""),2,1)="/",MID(IFERROR(INDEX(醫師週班表!$C$5:$T$44,$CU17,BY$57),""),1+BY$58*2,1),IF(MID(IFERROR(INDEX(醫師週班表!$C$5:$T$44,$CU17,BY$57),""),3,1)="隔",IF(BY$58=0,LEFT(IFERROR(INDEX(醫師週班表!$C$5:$T$44,$CU17,BY$57),""),1),""),IF(MID(IFERROR(INDEX(醫師週班表!$C$5:$T$44,$CU17,BY$57),""),2,1)="(",LEFT(IFERROR(INDEX(醫師週班表!$C$5:$T$44,$CU17,BY$57),""),1),IFERROR(INDEX(醫師週班表!$C$5:$T$44,$CU17,BY$57),"")))))))</f>
        <v/>
      </c>
      <c r="BZ17" s="68">
        <f>IF(BZ$59="X","",IF(BZ$59&lt;&gt;"",BZ$59,IF(IFERROR(INDEX(醫師週班表!$C$5:$T$44,$CU17,BZ$57),"")=0,"",IF(MID(IFERROR(INDEX(醫師週班表!$C$5:$T$44,$CU17,BZ$57),""),2,1)="/",MID(IFERROR(INDEX(醫師週班表!$C$5:$T$44,$CU17,BZ$57),""),1+BZ$58*2,1),IF(MID(IFERROR(INDEX(醫師週班表!$C$5:$T$44,$CU17,BZ$57),""),3,1)="隔",IF(BZ$58=0,LEFT(IFERROR(INDEX(醫師週班表!$C$5:$T$44,$CU17,BZ$57),""),1),""),IF(MID(IFERROR(INDEX(醫師週班表!$C$5:$T$44,$CU17,BZ$57),""),2,1)="(",LEFT(IFERROR(INDEX(醫師週班表!$C$5:$T$44,$CU17,BZ$57),""),1),IFERROR(INDEX(醫師週班表!$C$5:$T$44,$CU17,BZ$57),"")))))))</f>
        <v/>
      </c>
      <c r="CA17" s="68">
        <f>IF(CA$59="X","",IF(CA$59&lt;&gt;"",CA$59,IF(IFERROR(INDEX(醫師週班表!$C$5:$T$44,$CU17,CA$57),"")=0,"",IF(MID(IFERROR(INDEX(醫師週班表!$C$5:$T$44,$CU17,CA$57),""),2,1)="/",MID(IFERROR(INDEX(醫師週班表!$C$5:$T$44,$CU17,CA$57),""),1+CA$58*2,1),IF(MID(IFERROR(INDEX(醫師週班表!$C$5:$T$44,$CU17,CA$57),""),3,1)="隔",IF(CA$58=0,LEFT(IFERROR(INDEX(醫師週班表!$C$5:$T$44,$CU17,CA$57),""),1),""),IF(MID(IFERROR(INDEX(醫師週班表!$C$5:$T$44,$CU17,CA$57),""),2,1)="(",LEFT(IFERROR(INDEX(醫師週班表!$C$5:$T$44,$CU17,CA$57),""),1),IFERROR(INDEX(醫師週班表!$C$5:$T$44,$CU17,CA$57),"")))))))</f>
        <v/>
      </c>
      <c r="CB17" s="67">
        <f>IF(CB$59="X","",IF(CB$59&lt;&gt;"",CB$59,IF(IFERROR(INDEX(醫師週班表!$C$5:$T$44,$CU17,CB$57),"")=0,"",IF(MID(IFERROR(INDEX(醫師週班表!$C$5:$T$44,$CU17,CB$57),""),2,1)="/",MID(IFERROR(INDEX(醫師週班表!$C$5:$T$44,$CU17,CB$57),""),1+CB$58*2,1),IF(MID(IFERROR(INDEX(醫師週班表!$C$5:$T$44,$CU17,CB$57),""),3,1)="隔",IF(CB$58=0,LEFT(IFERROR(INDEX(醫師週班表!$C$5:$T$44,$CU17,CB$57),""),1),""),IF(MID(IFERROR(INDEX(醫師週班表!$C$5:$T$44,$CU17,CB$57),""),2,1)="(",LEFT(IFERROR(INDEX(醫師週班表!$C$5:$T$44,$CU17,CB$57),""),1),IFERROR(INDEX(醫師週班表!$C$5:$T$44,$CU17,CB$57),"")))))))</f>
        <v/>
      </c>
      <c r="CC17" s="68">
        <f>IF(CC$59="X","",IF(CC$59&lt;&gt;"",CC$59,IF(IFERROR(INDEX(醫師週班表!$C$5:$T$44,$CU17,CC$57),"")=0,"",IF(MID(IFERROR(INDEX(醫師週班表!$C$5:$T$44,$CU17,CC$57),""),2,1)="/",MID(IFERROR(INDEX(醫師週班表!$C$5:$T$44,$CU17,CC$57),""),1+CC$58*2,1),IF(MID(IFERROR(INDEX(醫師週班表!$C$5:$T$44,$CU17,CC$57),""),3,1)="隔",IF(CC$58=0,LEFT(IFERROR(INDEX(醫師週班表!$C$5:$T$44,$CU17,CC$57),""),1),""),IF(MID(IFERROR(INDEX(醫師週班表!$C$5:$T$44,$CU17,CC$57),""),2,1)="(",LEFT(IFERROR(INDEX(醫師週班表!$C$5:$T$44,$CU17,CC$57),""),1),IFERROR(INDEX(醫師週班表!$C$5:$T$44,$CU17,CC$57),"")))))))</f>
        <v/>
      </c>
      <c r="CD17" s="68">
        <f>IF(CD$59="X","",IF(CD$59&lt;&gt;"",CD$59,IF(IFERROR(INDEX(醫師週班表!$C$5:$T$44,$CU17,CD$57),"")=0,"",IF(MID(IFERROR(INDEX(醫師週班表!$C$5:$T$44,$CU17,CD$57),""),2,1)="/",MID(IFERROR(INDEX(醫師週班表!$C$5:$T$44,$CU17,CD$57),""),1+CD$58*2,1),IF(MID(IFERROR(INDEX(醫師週班表!$C$5:$T$44,$CU17,CD$57),""),3,1)="隔",IF(CD$58=0,LEFT(IFERROR(INDEX(醫師週班表!$C$5:$T$44,$CU17,CD$57),""),1),""),IF(MID(IFERROR(INDEX(醫師週班表!$C$5:$T$44,$CU17,CD$57),""),2,1)="(",LEFT(IFERROR(INDEX(醫師週班表!$C$5:$T$44,$CU17,CD$57),""),1),IFERROR(INDEX(醫師週班表!$C$5:$T$44,$CU17,CD$57),"")))))))</f>
        <v/>
      </c>
      <c r="CE17" s="67">
        <f>IF(CE$59="X","",IF(CE$59&lt;&gt;"",CE$59,IF(IFERROR(INDEX(醫師週班表!$C$5:$T$44,$CU17,CE$57),"")=0,"",IF(MID(IFERROR(INDEX(醫師週班表!$C$5:$T$44,$CU17,CE$57),""),2,1)="/",MID(IFERROR(INDEX(醫師週班表!$C$5:$T$44,$CU17,CE$57),""),1+CE$58*2,1),IF(MID(IFERROR(INDEX(醫師週班表!$C$5:$T$44,$CU17,CE$57),""),3,1)="隔",IF(CE$58=0,LEFT(IFERROR(INDEX(醫師週班表!$C$5:$T$44,$CU17,CE$57),""),1),""),IF(MID(IFERROR(INDEX(醫師週班表!$C$5:$T$44,$CU17,CE$57),""),2,1)="(",LEFT(IFERROR(INDEX(醫師週班表!$C$5:$T$44,$CU17,CE$57),""),1),IFERROR(INDEX(醫師週班表!$C$5:$T$44,$CU17,CE$57),"")))))))</f>
        <v/>
      </c>
      <c r="CF17" s="68">
        <f>IF(CF$59="X","",IF(CF$59&lt;&gt;"",CF$59,IF(IFERROR(INDEX(醫師週班表!$C$5:$T$44,$CU17,CF$57),"")=0,"",IF(MID(IFERROR(INDEX(醫師週班表!$C$5:$T$44,$CU17,CF$57),""),2,1)="/",MID(IFERROR(INDEX(醫師週班表!$C$5:$T$44,$CU17,CF$57),""),1+CF$58*2,1),IF(MID(IFERROR(INDEX(醫師週班表!$C$5:$T$44,$CU17,CF$57),""),3,1)="隔",IF(CF$58=0,LEFT(IFERROR(INDEX(醫師週班表!$C$5:$T$44,$CU17,CF$57),""),1),""),IF(MID(IFERROR(INDEX(醫師週班表!$C$5:$T$44,$CU17,CF$57),""),2,1)="(",LEFT(IFERROR(INDEX(醫師週班表!$C$5:$T$44,$CU17,CF$57),""),1),IFERROR(INDEX(醫師週班表!$C$5:$T$44,$CU17,CF$57),"")))))))</f>
        <v/>
      </c>
      <c r="CG17" s="68">
        <f>IF(CG$59="X","",IF(CG$59&lt;&gt;"",CG$59,IF(IFERROR(INDEX(醫師週班表!$C$5:$T$44,$CU17,CG$57),"")=0,"",IF(MID(IFERROR(INDEX(醫師週班表!$C$5:$T$44,$CU17,CG$57),""),2,1)="/",MID(IFERROR(INDEX(醫師週班表!$C$5:$T$44,$CU17,CG$57),""),1+CG$58*2,1),IF(MID(IFERROR(INDEX(醫師週班表!$C$5:$T$44,$CU17,CG$57),""),3,1)="隔",IF(CG$58=0,LEFT(IFERROR(INDEX(醫師週班表!$C$5:$T$44,$CU17,CG$57),""),1),""),IF(MID(IFERROR(INDEX(醫師週班表!$C$5:$T$44,$CU17,CG$57),""),2,1)="(",LEFT(IFERROR(INDEX(醫師週班表!$C$5:$T$44,$CU17,CG$57),""),1),IFERROR(INDEX(醫師週班表!$C$5:$T$44,$CU17,CG$57),"")))))))</f>
        <v/>
      </c>
      <c r="CH17" s="67">
        <f>IF(CH$59="X","",IF(CH$59&lt;&gt;"",CH$59,IF(IFERROR(INDEX(醫師週班表!$C$5:$T$44,$CU17,CH$57),"")=0,"",IF(MID(IFERROR(INDEX(醫師週班表!$C$5:$T$44,$CU17,CH$57),""),2,1)="/",MID(IFERROR(INDEX(醫師週班表!$C$5:$T$44,$CU17,CH$57),""),1+CH$58*2,1),IF(MID(IFERROR(INDEX(醫師週班表!$C$5:$T$44,$CU17,CH$57),""),3,1)="隔",IF(CH$58=0,LEFT(IFERROR(INDEX(醫師週班表!$C$5:$T$44,$CU17,CH$57),""),1),""),IF(MID(IFERROR(INDEX(醫師週班表!$C$5:$T$44,$CU17,CH$57),""),2,1)="(",LEFT(IFERROR(INDEX(醫師週班表!$C$5:$T$44,$CU17,CH$57),""),1),IFERROR(INDEX(醫師週班表!$C$5:$T$44,$CU17,CH$57),"")))))))</f>
        <v/>
      </c>
      <c r="CI17" s="68">
        <f>IF(CI$59="X","",IF(CI$59&lt;&gt;"",CI$59,IF(IFERROR(INDEX(醫師週班表!$C$5:$T$44,$CU17,CI$57),"")=0,"",IF(MID(IFERROR(INDEX(醫師週班表!$C$5:$T$44,$CU17,CI$57),""),2,1)="/",MID(IFERROR(INDEX(醫師週班表!$C$5:$T$44,$CU17,CI$57),""),1+CI$58*2,1),IF(MID(IFERROR(INDEX(醫師週班表!$C$5:$T$44,$CU17,CI$57),""),3,1)="隔",IF(CI$58=0,LEFT(IFERROR(INDEX(醫師週班表!$C$5:$T$44,$CU17,CI$57),""),1),""),IF(MID(IFERROR(INDEX(醫師週班表!$C$5:$T$44,$CU17,CI$57),""),2,1)="(",LEFT(IFERROR(INDEX(醫師週班表!$C$5:$T$44,$CU17,CI$57),""),1),IFERROR(INDEX(醫師週班表!$C$5:$T$44,$CU17,CI$57),"")))))))</f>
        <v/>
      </c>
      <c r="CJ17" s="68">
        <f>IF(CJ$59="X","",IF(CJ$59&lt;&gt;"",CJ$59,IF(IFERROR(INDEX(醫師週班表!$C$5:$T$44,$CU17,CJ$57),"")=0,"",IF(MID(IFERROR(INDEX(醫師週班表!$C$5:$T$44,$CU17,CJ$57),""),2,1)="/",MID(IFERROR(INDEX(醫師週班表!$C$5:$T$44,$CU17,CJ$57),""),1+CJ$58*2,1),IF(MID(IFERROR(INDEX(醫師週班表!$C$5:$T$44,$CU17,CJ$57),""),3,1)="隔",IF(CJ$58=0,LEFT(IFERROR(INDEX(醫師週班表!$C$5:$T$44,$CU17,CJ$57),""),1),""),IF(MID(IFERROR(INDEX(醫師週班表!$C$5:$T$44,$CU17,CJ$57),""),2,1)="(",LEFT(IFERROR(INDEX(醫師週班表!$C$5:$T$44,$CU17,CJ$57),""),1),IFERROR(INDEX(醫師週班表!$C$5:$T$44,$CU17,CJ$57),"")))))))</f>
        <v/>
      </c>
      <c r="CK17" s="67">
        <f>IF(CK$59="X","",IF(CK$59&lt;&gt;"",CK$59,IF(IFERROR(INDEX(醫師週班表!$C$5:$T$44,$CU17,CK$57),"")=0,"",IF(MID(IFERROR(INDEX(醫師週班表!$C$5:$T$44,$CU17,CK$57),""),2,1)="/",MID(IFERROR(INDEX(醫師週班表!$C$5:$T$44,$CU17,CK$57),""),1+CK$58*2,1),IF(MID(IFERROR(INDEX(醫師週班表!$C$5:$T$44,$CU17,CK$57),""),3,1)="隔",IF(CK$58=0,LEFT(IFERROR(INDEX(醫師週班表!$C$5:$T$44,$CU17,CK$57),""),1),""),IF(MID(IFERROR(INDEX(醫師週班表!$C$5:$T$44,$CU17,CK$57),""),2,1)="(",LEFT(IFERROR(INDEX(醫師週班表!$C$5:$T$44,$CU17,CK$57),""),1),IFERROR(INDEX(醫師週班表!$C$5:$T$44,$CU17,CK$57),"")))))))</f>
        <v/>
      </c>
      <c r="CL17" s="68">
        <f>IF(CL$59="X","",IF(CL$59&lt;&gt;"",CL$59,IF(IFERROR(INDEX(醫師週班表!$C$5:$T$44,$CU17,CL$57),"")=0,"",IF(MID(IFERROR(INDEX(醫師週班表!$C$5:$T$44,$CU17,CL$57),""),2,1)="/",MID(IFERROR(INDEX(醫師週班表!$C$5:$T$44,$CU17,CL$57),""),1+CL$58*2,1),IF(MID(IFERROR(INDEX(醫師週班表!$C$5:$T$44,$CU17,CL$57),""),3,1)="隔",IF(CL$58=0,LEFT(IFERROR(INDEX(醫師週班表!$C$5:$T$44,$CU17,CL$57),""),1),""),IF(MID(IFERROR(INDEX(醫師週班表!$C$5:$T$44,$CU17,CL$57),""),2,1)="(",LEFT(IFERROR(INDEX(醫師週班表!$C$5:$T$44,$CU17,CL$57),""),1),IFERROR(INDEX(醫師週班表!$C$5:$T$44,$CU17,CL$57),"")))))))</f>
        <v/>
      </c>
      <c r="CM17" s="68">
        <f>IF(CM$59="X","",IF(CM$59&lt;&gt;"",CM$59,IF(IFERROR(INDEX(醫師週班表!$C$5:$T$44,$CU17,CM$57),"")=0,"",IF(MID(IFERROR(INDEX(醫師週班表!$C$5:$T$44,$CU17,CM$57),""),2,1)="/",MID(IFERROR(INDEX(醫師週班表!$C$5:$T$44,$CU17,CM$57),""),1+CM$58*2,1),IF(MID(IFERROR(INDEX(醫師週班表!$C$5:$T$44,$CU17,CM$57),""),3,1)="隔",IF(CM$58=0,LEFT(IFERROR(INDEX(醫師週班表!$C$5:$T$44,$CU17,CM$57),""),1),""),IF(MID(IFERROR(INDEX(醫師週班表!$C$5:$T$44,$CU17,CM$57),""),2,1)="(",LEFT(IFERROR(INDEX(醫師週班表!$C$5:$T$44,$CU17,CM$57),""),1),IFERROR(INDEX(醫師週班表!$C$5:$T$44,$CU17,CM$57),"")))))))</f>
        <v/>
      </c>
      <c r="CN17" s="67">
        <f>IF(CN$59="X","",IF(CN$59&lt;&gt;"",CN$59,IF(IFERROR(INDEX(醫師週班表!$C$5:$T$44,$CU17,CN$57),"")=0,"",IF(MID(IFERROR(INDEX(醫師週班表!$C$5:$T$44,$CU17,CN$57),""),2,1)="/",MID(IFERROR(INDEX(醫師週班表!$C$5:$T$44,$CU17,CN$57),""),1+CN$58*2,1),IF(MID(IFERROR(INDEX(醫師週班表!$C$5:$T$44,$CU17,CN$57),""),3,1)="隔",IF(CN$58=0,LEFT(IFERROR(INDEX(醫師週班表!$C$5:$T$44,$CU17,CN$57),""),1),""),IF(MID(IFERROR(INDEX(醫師週班表!$C$5:$T$44,$CU17,CN$57),""),2,1)="(",LEFT(IFERROR(INDEX(醫師週班表!$C$5:$T$44,$CU17,CN$57),""),1),IFERROR(INDEX(醫師週班表!$C$5:$T$44,$CU17,CN$57),"")))))))</f>
        <v/>
      </c>
      <c r="CO17" s="68">
        <f>IF(CO$59="X","",IF(CO$59&lt;&gt;"",CO$59,IF(IFERROR(INDEX(醫師週班表!$C$5:$T$44,$CU17,CO$57),"")=0,"",IF(MID(IFERROR(INDEX(醫師週班表!$C$5:$T$44,$CU17,CO$57),""),2,1)="/",MID(IFERROR(INDEX(醫師週班表!$C$5:$T$44,$CU17,CO$57),""),1+CO$58*2,1),IF(MID(IFERROR(INDEX(醫師週班表!$C$5:$T$44,$CU17,CO$57),""),3,1)="隔",IF(CO$58=0,LEFT(IFERROR(INDEX(醫師週班表!$C$5:$T$44,$CU17,CO$57),""),1),""),IF(MID(IFERROR(INDEX(醫師週班表!$C$5:$T$44,$CU17,CO$57),""),2,1)="(",LEFT(IFERROR(INDEX(醫師週班表!$C$5:$T$44,$CU17,CO$57),""),1),IFERROR(INDEX(醫師週班表!$C$5:$T$44,$CU17,CO$57),"")))))))</f>
        <v/>
      </c>
      <c r="CP17" s="68">
        <f>IF(CP$59="X","",IF(CP$59&lt;&gt;"",CP$59,IF(IFERROR(INDEX(醫師週班表!$C$5:$T$44,$CU17,CP$57),"")=0,"",IF(MID(IFERROR(INDEX(醫師週班表!$C$5:$T$44,$CU17,CP$57),""),2,1)="/",MID(IFERROR(INDEX(醫師週班表!$C$5:$T$44,$CU17,CP$57),""),1+CP$58*2,1),IF(MID(IFERROR(INDEX(醫師週班表!$C$5:$T$44,$CU17,CP$57),""),3,1)="隔",IF(CP$58=0,LEFT(IFERROR(INDEX(醫師週班表!$C$5:$T$44,$CU17,CP$57),""),1),""),IF(MID(IFERROR(INDEX(醫師週班表!$C$5:$T$44,$CU17,CP$57),""),2,1)="(",LEFT(IFERROR(INDEX(醫師週班表!$C$5:$T$44,$CU17,CP$57),""),1),IFERROR(INDEX(醫師週班表!$C$5:$T$44,$CU17,CP$57),"")))))))</f>
        <v/>
      </c>
      <c r="CQ17" s="67">
        <f>IF(CQ$59="X","",IF(CQ$59&lt;&gt;"",CQ$59,IF(IFERROR(INDEX(醫師週班表!$C$5:$T$44,$CU17,CQ$57),"")=0,"",IF(MID(IFERROR(INDEX(醫師週班表!$C$5:$T$44,$CU17,CQ$57),""),2,1)="/",MID(IFERROR(INDEX(醫師週班表!$C$5:$T$44,$CU17,CQ$57),""),1+CQ$58*2,1),IF(MID(IFERROR(INDEX(醫師週班表!$C$5:$T$44,$CU17,CQ$57),""),3,1)="隔",IF(CQ$58=0,LEFT(IFERROR(INDEX(醫師週班表!$C$5:$T$44,$CU17,CQ$57),""),1),""),IF(MID(IFERROR(INDEX(醫師週班表!$C$5:$T$44,$CU17,CQ$57),""),2,1)="(",LEFT(IFERROR(INDEX(醫師週班表!$C$5:$T$44,$CU17,CQ$57),""),1),IFERROR(INDEX(醫師週班表!$C$5:$T$44,$CU17,CQ$57),"")))))))</f>
        <v/>
      </c>
      <c r="CR17" s="68">
        <f>IF(CR$59="X","",IF(CR$59&lt;&gt;"",CR$59,IF(IFERROR(INDEX(醫師週班表!$C$5:$T$44,$CU17,CR$57),"")=0,"",IF(MID(IFERROR(INDEX(醫師週班表!$C$5:$T$44,$CU17,CR$57),""),2,1)="/",MID(IFERROR(INDEX(醫師週班表!$C$5:$T$44,$CU17,CR$57),""),1+CR$58*2,1),IF(MID(IFERROR(INDEX(醫師週班表!$C$5:$T$44,$CU17,CR$57),""),3,1)="隔",IF(CR$58=0,LEFT(IFERROR(INDEX(醫師週班表!$C$5:$T$44,$CU17,CR$57),""),1),""),IF(MID(IFERROR(INDEX(醫師週班表!$C$5:$T$44,$CU17,CR$57),""),2,1)="(",LEFT(IFERROR(INDEX(醫師週班表!$C$5:$T$44,$CU17,CR$57),""),1),IFERROR(INDEX(醫師週班表!$C$5:$T$44,$CU17,CR$57),"")))))))</f>
        <v/>
      </c>
      <c r="CS17" s="68">
        <f>IF(CS$59="X","",IF(CS$59&lt;&gt;"",CS$59,IF(IFERROR(INDEX(醫師週班表!$C$5:$T$44,$CU17,CS$57),"")=0,"",IF(MID(IFERROR(INDEX(醫師週班表!$C$5:$T$44,$CU17,CS$57),""),2,1)="/",MID(IFERROR(INDEX(醫師週班表!$C$5:$T$44,$CU17,CS$57),""),1+CS$58*2,1),IF(MID(IFERROR(INDEX(醫師週班表!$C$5:$T$44,$CU17,CS$57),""),3,1)="隔",IF(CS$58=0,LEFT(IFERROR(INDEX(醫師週班表!$C$5:$T$44,$CU17,CS$57),""),1),""),IF(MID(IFERROR(INDEX(醫師週班表!$C$5:$T$44,$CU17,CS$57),""),2,1)="(",LEFT(IFERROR(INDEX(醫師週班表!$C$5:$T$44,$CU17,CS$57),""),1),IFERROR(INDEX(醫師週班表!$C$5:$T$44,$CU17,CS$57),"")))))))</f>
        <v/>
      </c>
      <c r="CU17" s="69">
        <f>IFERROR(MATCH($A17,醫師週班表!$A$5:$A$44,0),0)</f>
        <v/>
      </c>
    </row>
    <row r="18" ht="17" customHeight="1">
      <c r="A18" s="20" t="inlineStr">
        <is>
          <t>D013</t>
        </is>
      </c>
      <c r="B18" s="16" t="inlineStr">
        <is>
          <t>朱柏非</t>
        </is>
      </c>
      <c r="C18" s="66" t="inlineStr"/>
      <c r="D18" s="16" t="inlineStr"/>
      <c r="E18" s="67">
        <f>IF(E$59="X","",IF(E$59&lt;&gt;"",E$59,IF(IFERROR(INDEX(醫師週班表!$C$5:$T$44,$CU18,E$57),"")=0,"",IF(MID(IFERROR(INDEX(醫師週班表!$C$5:$T$44,$CU18,E$57),""),2,1)="/",MID(IFERROR(INDEX(醫師週班表!$C$5:$T$44,$CU18,E$57),""),1+E$58*2,1),IF(MID(IFERROR(INDEX(醫師週班表!$C$5:$T$44,$CU18,E$57),""),3,1)="隔",IF(E$58=0,LEFT(IFERROR(INDEX(醫師週班表!$C$5:$T$44,$CU18,E$57),""),1),""),IF(MID(IFERROR(INDEX(醫師週班表!$C$5:$T$44,$CU18,E$57),""),2,1)="(",LEFT(IFERROR(INDEX(醫師週班表!$C$5:$T$44,$CU18,E$57),""),1),IFERROR(INDEX(醫師週班表!$C$5:$T$44,$CU18,E$57),"")))))))</f>
        <v/>
      </c>
      <c r="F18" s="68">
        <f>IF(F$59="X","",IF(F$59&lt;&gt;"",F$59,IF(IFERROR(INDEX(醫師週班表!$C$5:$T$44,$CU18,F$57),"")=0,"",IF(MID(IFERROR(INDEX(醫師週班表!$C$5:$T$44,$CU18,F$57),""),2,1)="/",MID(IFERROR(INDEX(醫師週班表!$C$5:$T$44,$CU18,F$57),""),1+F$58*2,1),IF(MID(IFERROR(INDEX(醫師週班表!$C$5:$T$44,$CU18,F$57),""),3,1)="隔",IF(F$58=0,LEFT(IFERROR(INDEX(醫師週班表!$C$5:$T$44,$CU18,F$57),""),1),""),IF(MID(IFERROR(INDEX(醫師週班表!$C$5:$T$44,$CU18,F$57),""),2,1)="(",LEFT(IFERROR(INDEX(醫師週班表!$C$5:$T$44,$CU18,F$57),""),1),IFERROR(INDEX(醫師週班表!$C$5:$T$44,$CU18,F$57),"")))))))</f>
        <v/>
      </c>
      <c r="G18" s="68">
        <f>IF(G$59="X","",IF(G$59&lt;&gt;"",G$59,IF(IFERROR(INDEX(醫師週班表!$C$5:$T$44,$CU18,G$57),"")=0,"",IF(MID(IFERROR(INDEX(醫師週班表!$C$5:$T$44,$CU18,G$57),""),2,1)="/",MID(IFERROR(INDEX(醫師週班表!$C$5:$T$44,$CU18,G$57),""),1+G$58*2,1),IF(MID(IFERROR(INDEX(醫師週班表!$C$5:$T$44,$CU18,G$57),""),3,1)="隔",IF(G$58=0,LEFT(IFERROR(INDEX(醫師週班表!$C$5:$T$44,$CU18,G$57),""),1),""),IF(MID(IFERROR(INDEX(醫師週班表!$C$5:$T$44,$CU18,G$57),""),2,1)="(",LEFT(IFERROR(INDEX(醫師週班表!$C$5:$T$44,$CU18,G$57),""),1),IFERROR(INDEX(醫師週班表!$C$5:$T$44,$CU18,G$57),"")))))))</f>
        <v/>
      </c>
      <c r="H18" s="67">
        <f>IF(H$59="X","",IF(H$59&lt;&gt;"",H$59,IF(IFERROR(INDEX(醫師週班表!$C$5:$T$44,$CU18,H$57),"")=0,"",IF(MID(IFERROR(INDEX(醫師週班表!$C$5:$T$44,$CU18,H$57),""),2,1)="/",MID(IFERROR(INDEX(醫師週班表!$C$5:$T$44,$CU18,H$57),""),1+H$58*2,1),IF(MID(IFERROR(INDEX(醫師週班表!$C$5:$T$44,$CU18,H$57),""),3,1)="隔",IF(H$58=0,LEFT(IFERROR(INDEX(醫師週班表!$C$5:$T$44,$CU18,H$57),""),1),""),IF(MID(IFERROR(INDEX(醫師週班表!$C$5:$T$44,$CU18,H$57),""),2,1)="(",LEFT(IFERROR(INDEX(醫師週班表!$C$5:$T$44,$CU18,H$57),""),1),IFERROR(INDEX(醫師週班表!$C$5:$T$44,$CU18,H$57),"")))))))</f>
        <v/>
      </c>
      <c r="I18" s="68">
        <f>IF(I$59="X","",IF(I$59&lt;&gt;"",I$59,IF(IFERROR(INDEX(醫師週班表!$C$5:$T$44,$CU18,I$57),"")=0,"",IF(MID(IFERROR(INDEX(醫師週班表!$C$5:$T$44,$CU18,I$57),""),2,1)="/",MID(IFERROR(INDEX(醫師週班表!$C$5:$T$44,$CU18,I$57),""),1+I$58*2,1),IF(MID(IFERROR(INDEX(醫師週班表!$C$5:$T$44,$CU18,I$57),""),3,1)="隔",IF(I$58=0,LEFT(IFERROR(INDEX(醫師週班表!$C$5:$T$44,$CU18,I$57),""),1),""),IF(MID(IFERROR(INDEX(醫師週班表!$C$5:$T$44,$CU18,I$57),""),2,1)="(",LEFT(IFERROR(INDEX(醫師週班表!$C$5:$T$44,$CU18,I$57),""),1),IFERROR(INDEX(醫師週班表!$C$5:$T$44,$CU18,I$57),"")))))))</f>
        <v/>
      </c>
      <c r="J18" s="68">
        <f>IF(J$59="X","",IF(J$59&lt;&gt;"",J$59,IF(IFERROR(INDEX(醫師週班表!$C$5:$T$44,$CU18,J$57),"")=0,"",IF(MID(IFERROR(INDEX(醫師週班表!$C$5:$T$44,$CU18,J$57),""),2,1)="/",MID(IFERROR(INDEX(醫師週班表!$C$5:$T$44,$CU18,J$57),""),1+J$58*2,1),IF(MID(IFERROR(INDEX(醫師週班表!$C$5:$T$44,$CU18,J$57),""),3,1)="隔",IF(J$58=0,LEFT(IFERROR(INDEX(醫師週班表!$C$5:$T$44,$CU18,J$57),""),1),""),IF(MID(IFERROR(INDEX(醫師週班表!$C$5:$T$44,$CU18,J$57),""),2,1)="(",LEFT(IFERROR(INDEX(醫師週班表!$C$5:$T$44,$CU18,J$57),""),1),IFERROR(INDEX(醫師週班表!$C$5:$T$44,$CU18,J$57),"")))))))</f>
        <v/>
      </c>
      <c r="K18" s="67">
        <f>IF(K$59="X","",IF(K$59&lt;&gt;"",K$59,IF(IFERROR(INDEX(醫師週班表!$C$5:$T$44,$CU18,K$57),"")=0,"",IF(MID(IFERROR(INDEX(醫師週班表!$C$5:$T$44,$CU18,K$57),""),2,1)="/",MID(IFERROR(INDEX(醫師週班表!$C$5:$T$44,$CU18,K$57),""),1+K$58*2,1),IF(MID(IFERROR(INDEX(醫師週班表!$C$5:$T$44,$CU18,K$57),""),3,1)="隔",IF(K$58=0,LEFT(IFERROR(INDEX(醫師週班表!$C$5:$T$44,$CU18,K$57),""),1),""),IF(MID(IFERROR(INDEX(醫師週班表!$C$5:$T$44,$CU18,K$57),""),2,1)="(",LEFT(IFERROR(INDEX(醫師週班表!$C$5:$T$44,$CU18,K$57),""),1),IFERROR(INDEX(醫師週班表!$C$5:$T$44,$CU18,K$57),"")))))))</f>
        <v/>
      </c>
      <c r="L18" s="68">
        <f>IF(L$59="X","",IF(L$59&lt;&gt;"",L$59,IF(IFERROR(INDEX(醫師週班表!$C$5:$T$44,$CU18,L$57),"")=0,"",IF(MID(IFERROR(INDEX(醫師週班表!$C$5:$T$44,$CU18,L$57),""),2,1)="/",MID(IFERROR(INDEX(醫師週班表!$C$5:$T$44,$CU18,L$57),""),1+L$58*2,1),IF(MID(IFERROR(INDEX(醫師週班表!$C$5:$T$44,$CU18,L$57),""),3,1)="隔",IF(L$58=0,LEFT(IFERROR(INDEX(醫師週班表!$C$5:$T$44,$CU18,L$57),""),1),""),IF(MID(IFERROR(INDEX(醫師週班表!$C$5:$T$44,$CU18,L$57),""),2,1)="(",LEFT(IFERROR(INDEX(醫師週班表!$C$5:$T$44,$CU18,L$57),""),1),IFERROR(INDEX(醫師週班表!$C$5:$T$44,$CU18,L$57),"")))))))</f>
        <v/>
      </c>
      <c r="M18" s="68">
        <f>IF(M$59="X","",IF(M$59&lt;&gt;"",M$59,IF(IFERROR(INDEX(醫師週班表!$C$5:$T$44,$CU18,M$57),"")=0,"",IF(MID(IFERROR(INDEX(醫師週班表!$C$5:$T$44,$CU18,M$57),""),2,1)="/",MID(IFERROR(INDEX(醫師週班表!$C$5:$T$44,$CU18,M$57),""),1+M$58*2,1),IF(MID(IFERROR(INDEX(醫師週班表!$C$5:$T$44,$CU18,M$57),""),3,1)="隔",IF(M$58=0,LEFT(IFERROR(INDEX(醫師週班表!$C$5:$T$44,$CU18,M$57),""),1),""),IF(MID(IFERROR(INDEX(醫師週班表!$C$5:$T$44,$CU18,M$57),""),2,1)="(",LEFT(IFERROR(INDEX(醫師週班表!$C$5:$T$44,$CU18,M$57),""),1),IFERROR(INDEX(醫師週班表!$C$5:$T$44,$CU18,M$57),"")))))))</f>
        <v/>
      </c>
      <c r="N18" s="67">
        <f>IF(N$59="X","",IF(N$59&lt;&gt;"",N$59,IF(IFERROR(INDEX(醫師週班表!$C$5:$T$44,$CU18,N$57),"")=0,"",IF(MID(IFERROR(INDEX(醫師週班表!$C$5:$T$44,$CU18,N$57),""),2,1)="/",MID(IFERROR(INDEX(醫師週班表!$C$5:$T$44,$CU18,N$57),""),1+N$58*2,1),IF(MID(IFERROR(INDEX(醫師週班表!$C$5:$T$44,$CU18,N$57),""),3,1)="隔",IF(N$58=0,LEFT(IFERROR(INDEX(醫師週班表!$C$5:$T$44,$CU18,N$57),""),1),""),IF(MID(IFERROR(INDEX(醫師週班表!$C$5:$T$44,$CU18,N$57),""),2,1)="(",LEFT(IFERROR(INDEX(醫師週班表!$C$5:$T$44,$CU18,N$57),""),1),IFERROR(INDEX(醫師週班表!$C$5:$T$44,$CU18,N$57),"")))))))</f>
        <v/>
      </c>
      <c r="O18" s="68">
        <f>IF(O$59="X","",IF(O$59&lt;&gt;"",O$59,IF(IFERROR(INDEX(醫師週班表!$C$5:$T$44,$CU18,O$57),"")=0,"",IF(MID(IFERROR(INDEX(醫師週班表!$C$5:$T$44,$CU18,O$57),""),2,1)="/",MID(IFERROR(INDEX(醫師週班表!$C$5:$T$44,$CU18,O$57),""),1+O$58*2,1),IF(MID(IFERROR(INDEX(醫師週班表!$C$5:$T$44,$CU18,O$57),""),3,1)="隔",IF(O$58=0,LEFT(IFERROR(INDEX(醫師週班表!$C$5:$T$44,$CU18,O$57),""),1),""),IF(MID(IFERROR(INDEX(醫師週班表!$C$5:$T$44,$CU18,O$57),""),2,1)="(",LEFT(IFERROR(INDEX(醫師週班表!$C$5:$T$44,$CU18,O$57),""),1),IFERROR(INDEX(醫師週班表!$C$5:$T$44,$CU18,O$57),"")))))))</f>
        <v/>
      </c>
      <c r="P18" s="68">
        <f>IF(P$59="X","",IF(P$59&lt;&gt;"",P$59,IF(IFERROR(INDEX(醫師週班表!$C$5:$T$44,$CU18,P$57),"")=0,"",IF(MID(IFERROR(INDEX(醫師週班表!$C$5:$T$44,$CU18,P$57),""),2,1)="/",MID(IFERROR(INDEX(醫師週班表!$C$5:$T$44,$CU18,P$57),""),1+P$58*2,1),IF(MID(IFERROR(INDEX(醫師週班表!$C$5:$T$44,$CU18,P$57),""),3,1)="隔",IF(P$58=0,LEFT(IFERROR(INDEX(醫師週班表!$C$5:$T$44,$CU18,P$57),""),1),""),IF(MID(IFERROR(INDEX(醫師週班表!$C$5:$T$44,$CU18,P$57),""),2,1)="(",LEFT(IFERROR(INDEX(醫師週班表!$C$5:$T$44,$CU18,P$57),""),1),IFERROR(INDEX(醫師週班表!$C$5:$T$44,$CU18,P$57),"")))))))</f>
        <v/>
      </c>
      <c r="Q18" s="67">
        <f>IF(Q$59="X","",IF(Q$59&lt;&gt;"",Q$59,IF(IFERROR(INDEX(醫師週班表!$C$5:$T$44,$CU18,Q$57),"")=0,"",IF(MID(IFERROR(INDEX(醫師週班表!$C$5:$T$44,$CU18,Q$57),""),2,1)="/",MID(IFERROR(INDEX(醫師週班表!$C$5:$T$44,$CU18,Q$57),""),1+Q$58*2,1),IF(MID(IFERROR(INDEX(醫師週班表!$C$5:$T$44,$CU18,Q$57),""),3,1)="隔",IF(Q$58=0,LEFT(IFERROR(INDEX(醫師週班表!$C$5:$T$44,$CU18,Q$57),""),1),""),IF(MID(IFERROR(INDEX(醫師週班表!$C$5:$T$44,$CU18,Q$57),""),2,1)="(",LEFT(IFERROR(INDEX(醫師週班表!$C$5:$T$44,$CU18,Q$57),""),1),IFERROR(INDEX(醫師週班表!$C$5:$T$44,$CU18,Q$57),"")))))))</f>
        <v/>
      </c>
      <c r="R18" s="68">
        <f>IF(R$59="X","",IF(R$59&lt;&gt;"",R$59,IF(IFERROR(INDEX(醫師週班表!$C$5:$T$44,$CU18,R$57),"")=0,"",IF(MID(IFERROR(INDEX(醫師週班表!$C$5:$T$44,$CU18,R$57),""),2,1)="/",MID(IFERROR(INDEX(醫師週班表!$C$5:$T$44,$CU18,R$57),""),1+R$58*2,1),IF(MID(IFERROR(INDEX(醫師週班表!$C$5:$T$44,$CU18,R$57),""),3,1)="隔",IF(R$58=0,LEFT(IFERROR(INDEX(醫師週班表!$C$5:$T$44,$CU18,R$57),""),1),""),IF(MID(IFERROR(INDEX(醫師週班表!$C$5:$T$44,$CU18,R$57),""),2,1)="(",LEFT(IFERROR(INDEX(醫師週班表!$C$5:$T$44,$CU18,R$57),""),1),IFERROR(INDEX(醫師週班表!$C$5:$T$44,$CU18,R$57),"")))))))</f>
        <v/>
      </c>
      <c r="S18" s="68">
        <f>IF(S$59="X","",IF(S$59&lt;&gt;"",S$59,IF(IFERROR(INDEX(醫師週班表!$C$5:$T$44,$CU18,S$57),"")=0,"",IF(MID(IFERROR(INDEX(醫師週班表!$C$5:$T$44,$CU18,S$57),""),2,1)="/",MID(IFERROR(INDEX(醫師週班表!$C$5:$T$44,$CU18,S$57),""),1+S$58*2,1),IF(MID(IFERROR(INDEX(醫師週班表!$C$5:$T$44,$CU18,S$57),""),3,1)="隔",IF(S$58=0,LEFT(IFERROR(INDEX(醫師週班表!$C$5:$T$44,$CU18,S$57),""),1),""),IF(MID(IFERROR(INDEX(醫師週班表!$C$5:$T$44,$CU18,S$57),""),2,1)="(",LEFT(IFERROR(INDEX(醫師週班表!$C$5:$T$44,$CU18,S$57),""),1),IFERROR(INDEX(醫師週班表!$C$5:$T$44,$CU18,S$57),"")))))))</f>
        <v/>
      </c>
      <c r="T18" s="67">
        <f>IF(T$59="X","",IF(T$59&lt;&gt;"",T$59,IF(IFERROR(INDEX(醫師週班表!$C$5:$T$44,$CU18,T$57),"")=0,"",IF(MID(IFERROR(INDEX(醫師週班表!$C$5:$T$44,$CU18,T$57),""),2,1)="/",MID(IFERROR(INDEX(醫師週班表!$C$5:$T$44,$CU18,T$57),""),1+T$58*2,1),IF(MID(IFERROR(INDEX(醫師週班表!$C$5:$T$44,$CU18,T$57),""),3,1)="隔",IF(T$58=0,LEFT(IFERROR(INDEX(醫師週班表!$C$5:$T$44,$CU18,T$57),""),1),""),IF(MID(IFERROR(INDEX(醫師週班表!$C$5:$T$44,$CU18,T$57),""),2,1)="(",LEFT(IFERROR(INDEX(醫師週班表!$C$5:$T$44,$CU18,T$57),""),1),IFERROR(INDEX(醫師週班表!$C$5:$T$44,$CU18,T$57),"")))))))</f>
        <v/>
      </c>
      <c r="U18" s="68">
        <f>IF(U$59="X","",IF(U$59&lt;&gt;"",U$59,IF(IFERROR(INDEX(醫師週班表!$C$5:$T$44,$CU18,U$57),"")=0,"",IF(MID(IFERROR(INDEX(醫師週班表!$C$5:$T$44,$CU18,U$57),""),2,1)="/",MID(IFERROR(INDEX(醫師週班表!$C$5:$T$44,$CU18,U$57),""),1+U$58*2,1),IF(MID(IFERROR(INDEX(醫師週班表!$C$5:$T$44,$CU18,U$57),""),3,1)="隔",IF(U$58=0,LEFT(IFERROR(INDEX(醫師週班表!$C$5:$T$44,$CU18,U$57),""),1),""),IF(MID(IFERROR(INDEX(醫師週班表!$C$5:$T$44,$CU18,U$57),""),2,1)="(",LEFT(IFERROR(INDEX(醫師週班表!$C$5:$T$44,$CU18,U$57),""),1),IFERROR(INDEX(醫師週班表!$C$5:$T$44,$CU18,U$57),"")))))))</f>
        <v/>
      </c>
      <c r="V18" s="68">
        <f>IF(V$59="X","",IF(V$59&lt;&gt;"",V$59,IF(IFERROR(INDEX(醫師週班表!$C$5:$T$44,$CU18,V$57),"")=0,"",IF(MID(IFERROR(INDEX(醫師週班表!$C$5:$T$44,$CU18,V$57),""),2,1)="/",MID(IFERROR(INDEX(醫師週班表!$C$5:$T$44,$CU18,V$57),""),1+V$58*2,1),IF(MID(IFERROR(INDEX(醫師週班表!$C$5:$T$44,$CU18,V$57),""),3,1)="隔",IF(V$58=0,LEFT(IFERROR(INDEX(醫師週班表!$C$5:$T$44,$CU18,V$57),""),1),""),IF(MID(IFERROR(INDEX(醫師週班表!$C$5:$T$44,$CU18,V$57),""),2,1)="(",LEFT(IFERROR(INDEX(醫師週班表!$C$5:$T$44,$CU18,V$57),""),1),IFERROR(INDEX(醫師週班表!$C$5:$T$44,$CU18,V$57),"")))))))</f>
        <v/>
      </c>
      <c r="W18" s="67">
        <f>IF(W$59="X","",IF(W$59&lt;&gt;"",W$59,IF(IFERROR(INDEX(醫師週班表!$C$5:$T$44,$CU18,W$57),"")=0,"",IF(MID(IFERROR(INDEX(醫師週班表!$C$5:$T$44,$CU18,W$57),""),2,1)="/",MID(IFERROR(INDEX(醫師週班表!$C$5:$T$44,$CU18,W$57),""),1+W$58*2,1),IF(MID(IFERROR(INDEX(醫師週班表!$C$5:$T$44,$CU18,W$57),""),3,1)="隔",IF(W$58=0,LEFT(IFERROR(INDEX(醫師週班表!$C$5:$T$44,$CU18,W$57),""),1),""),IF(MID(IFERROR(INDEX(醫師週班表!$C$5:$T$44,$CU18,W$57),""),2,1)="(",LEFT(IFERROR(INDEX(醫師週班表!$C$5:$T$44,$CU18,W$57),""),1),IFERROR(INDEX(醫師週班表!$C$5:$T$44,$CU18,W$57),"")))))))</f>
        <v/>
      </c>
      <c r="X18" s="68">
        <f>IF(X$59="X","",IF(X$59&lt;&gt;"",X$59,IF(IFERROR(INDEX(醫師週班表!$C$5:$T$44,$CU18,X$57),"")=0,"",IF(MID(IFERROR(INDEX(醫師週班表!$C$5:$T$44,$CU18,X$57),""),2,1)="/",MID(IFERROR(INDEX(醫師週班表!$C$5:$T$44,$CU18,X$57),""),1+X$58*2,1),IF(MID(IFERROR(INDEX(醫師週班表!$C$5:$T$44,$CU18,X$57),""),3,1)="隔",IF(X$58=0,LEFT(IFERROR(INDEX(醫師週班表!$C$5:$T$44,$CU18,X$57),""),1),""),IF(MID(IFERROR(INDEX(醫師週班表!$C$5:$T$44,$CU18,X$57),""),2,1)="(",LEFT(IFERROR(INDEX(醫師週班表!$C$5:$T$44,$CU18,X$57),""),1),IFERROR(INDEX(醫師週班表!$C$5:$T$44,$CU18,X$57),"")))))))</f>
        <v/>
      </c>
      <c r="Y18" s="68">
        <f>IF(Y$59="X","",IF(Y$59&lt;&gt;"",Y$59,IF(IFERROR(INDEX(醫師週班表!$C$5:$T$44,$CU18,Y$57),"")=0,"",IF(MID(IFERROR(INDEX(醫師週班表!$C$5:$T$44,$CU18,Y$57),""),2,1)="/",MID(IFERROR(INDEX(醫師週班表!$C$5:$T$44,$CU18,Y$57),""),1+Y$58*2,1),IF(MID(IFERROR(INDEX(醫師週班表!$C$5:$T$44,$CU18,Y$57),""),3,1)="隔",IF(Y$58=0,LEFT(IFERROR(INDEX(醫師週班表!$C$5:$T$44,$CU18,Y$57),""),1),""),IF(MID(IFERROR(INDEX(醫師週班表!$C$5:$T$44,$CU18,Y$57),""),2,1)="(",LEFT(IFERROR(INDEX(醫師週班表!$C$5:$T$44,$CU18,Y$57),""),1),IFERROR(INDEX(醫師週班表!$C$5:$T$44,$CU18,Y$57),"")))))))</f>
        <v/>
      </c>
      <c r="Z18" s="67">
        <f>IF(Z$59="X","",IF(Z$59&lt;&gt;"",Z$59,IF(IFERROR(INDEX(醫師週班表!$C$5:$T$44,$CU18,Z$57),"")=0,"",IF(MID(IFERROR(INDEX(醫師週班表!$C$5:$T$44,$CU18,Z$57),""),2,1)="/",MID(IFERROR(INDEX(醫師週班表!$C$5:$T$44,$CU18,Z$57),""),1+Z$58*2,1),IF(MID(IFERROR(INDEX(醫師週班表!$C$5:$T$44,$CU18,Z$57),""),3,1)="隔",IF(Z$58=0,LEFT(IFERROR(INDEX(醫師週班表!$C$5:$T$44,$CU18,Z$57),""),1),""),IF(MID(IFERROR(INDEX(醫師週班表!$C$5:$T$44,$CU18,Z$57),""),2,1)="(",LEFT(IFERROR(INDEX(醫師週班表!$C$5:$T$44,$CU18,Z$57),""),1),IFERROR(INDEX(醫師週班表!$C$5:$T$44,$CU18,Z$57),"")))))))</f>
        <v/>
      </c>
      <c r="AA18" s="68">
        <f>IF(AA$59="X","",IF(AA$59&lt;&gt;"",AA$59,IF(IFERROR(INDEX(醫師週班表!$C$5:$T$44,$CU18,AA$57),"")=0,"",IF(MID(IFERROR(INDEX(醫師週班表!$C$5:$T$44,$CU18,AA$57),""),2,1)="/",MID(IFERROR(INDEX(醫師週班表!$C$5:$T$44,$CU18,AA$57),""),1+AA$58*2,1),IF(MID(IFERROR(INDEX(醫師週班表!$C$5:$T$44,$CU18,AA$57),""),3,1)="隔",IF(AA$58=0,LEFT(IFERROR(INDEX(醫師週班表!$C$5:$T$44,$CU18,AA$57),""),1),""),IF(MID(IFERROR(INDEX(醫師週班表!$C$5:$T$44,$CU18,AA$57),""),2,1)="(",LEFT(IFERROR(INDEX(醫師週班表!$C$5:$T$44,$CU18,AA$57),""),1),IFERROR(INDEX(醫師週班表!$C$5:$T$44,$CU18,AA$57),"")))))))</f>
        <v/>
      </c>
      <c r="AB18" s="68">
        <f>IF(AB$59="X","",IF(AB$59&lt;&gt;"",AB$59,IF(IFERROR(INDEX(醫師週班表!$C$5:$T$44,$CU18,AB$57),"")=0,"",IF(MID(IFERROR(INDEX(醫師週班表!$C$5:$T$44,$CU18,AB$57),""),2,1)="/",MID(IFERROR(INDEX(醫師週班表!$C$5:$T$44,$CU18,AB$57),""),1+AB$58*2,1),IF(MID(IFERROR(INDEX(醫師週班表!$C$5:$T$44,$CU18,AB$57),""),3,1)="隔",IF(AB$58=0,LEFT(IFERROR(INDEX(醫師週班表!$C$5:$T$44,$CU18,AB$57),""),1),""),IF(MID(IFERROR(INDEX(醫師週班表!$C$5:$T$44,$CU18,AB$57),""),2,1)="(",LEFT(IFERROR(INDEX(醫師週班表!$C$5:$T$44,$CU18,AB$57),""),1),IFERROR(INDEX(醫師週班表!$C$5:$T$44,$CU18,AB$57),"")))))))</f>
        <v/>
      </c>
      <c r="AC18" s="67">
        <f>IF(AC$59="X","",IF(AC$59&lt;&gt;"",AC$59,IF(IFERROR(INDEX(醫師週班表!$C$5:$T$44,$CU18,AC$57),"")=0,"",IF(MID(IFERROR(INDEX(醫師週班表!$C$5:$T$44,$CU18,AC$57),""),2,1)="/",MID(IFERROR(INDEX(醫師週班表!$C$5:$T$44,$CU18,AC$57),""),1+AC$58*2,1),IF(MID(IFERROR(INDEX(醫師週班表!$C$5:$T$44,$CU18,AC$57),""),3,1)="隔",IF(AC$58=0,LEFT(IFERROR(INDEX(醫師週班表!$C$5:$T$44,$CU18,AC$57),""),1),""),IF(MID(IFERROR(INDEX(醫師週班表!$C$5:$T$44,$CU18,AC$57),""),2,1)="(",LEFT(IFERROR(INDEX(醫師週班表!$C$5:$T$44,$CU18,AC$57),""),1),IFERROR(INDEX(醫師週班表!$C$5:$T$44,$CU18,AC$57),"")))))))</f>
        <v/>
      </c>
      <c r="AD18" s="68">
        <f>IF(AD$59="X","",IF(AD$59&lt;&gt;"",AD$59,IF(IFERROR(INDEX(醫師週班表!$C$5:$T$44,$CU18,AD$57),"")=0,"",IF(MID(IFERROR(INDEX(醫師週班表!$C$5:$T$44,$CU18,AD$57),""),2,1)="/",MID(IFERROR(INDEX(醫師週班表!$C$5:$T$44,$CU18,AD$57),""),1+AD$58*2,1),IF(MID(IFERROR(INDEX(醫師週班表!$C$5:$T$44,$CU18,AD$57),""),3,1)="隔",IF(AD$58=0,LEFT(IFERROR(INDEX(醫師週班表!$C$5:$T$44,$CU18,AD$57),""),1),""),IF(MID(IFERROR(INDEX(醫師週班表!$C$5:$T$44,$CU18,AD$57),""),2,1)="(",LEFT(IFERROR(INDEX(醫師週班表!$C$5:$T$44,$CU18,AD$57),""),1),IFERROR(INDEX(醫師週班表!$C$5:$T$44,$CU18,AD$57),"")))))))</f>
        <v/>
      </c>
      <c r="AE18" s="68">
        <f>IF(AE$59="X","",IF(AE$59&lt;&gt;"",AE$59,IF(IFERROR(INDEX(醫師週班表!$C$5:$T$44,$CU18,AE$57),"")=0,"",IF(MID(IFERROR(INDEX(醫師週班表!$C$5:$T$44,$CU18,AE$57),""),2,1)="/",MID(IFERROR(INDEX(醫師週班表!$C$5:$T$44,$CU18,AE$57),""),1+AE$58*2,1),IF(MID(IFERROR(INDEX(醫師週班表!$C$5:$T$44,$CU18,AE$57),""),3,1)="隔",IF(AE$58=0,LEFT(IFERROR(INDEX(醫師週班表!$C$5:$T$44,$CU18,AE$57),""),1),""),IF(MID(IFERROR(INDEX(醫師週班表!$C$5:$T$44,$CU18,AE$57),""),2,1)="(",LEFT(IFERROR(INDEX(醫師週班表!$C$5:$T$44,$CU18,AE$57),""),1),IFERROR(INDEX(醫師週班表!$C$5:$T$44,$CU18,AE$57),"")))))))</f>
        <v/>
      </c>
      <c r="AF18" s="67">
        <f>IF(AF$59="X","",IF(AF$59&lt;&gt;"",AF$59,IF(IFERROR(INDEX(醫師週班表!$C$5:$T$44,$CU18,AF$57),"")=0,"",IF(MID(IFERROR(INDEX(醫師週班表!$C$5:$T$44,$CU18,AF$57),""),2,1)="/",MID(IFERROR(INDEX(醫師週班表!$C$5:$T$44,$CU18,AF$57),""),1+AF$58*2,1),IF(MID(IFERROR(INDEX(醫師週班表!$C$5:$T$44,$CU18,AF$57),""),3,1)="隔",IF(AF$58=0,LEFT(IFERROR(INDEX(醫師週班表!$C$5:$T$44,$CU18,AF$57),""),1),""),IF(MID(IFERROR(INDEX(醫師週班表!$C$5:$T$44,$CU18,AF$57),""),2,1)="(",LEFT(IFERROR(INDEX(醫師週班表!$C$5:$T$44,$CU18,AF$57),""),1),IFERROR(INDEX(醫師週班表!$C$5:$T$44,$CU18,AF$57),"")))))))</f>
        <v/>
      </c>
      <c r="AG18" s="68">
        <f>IF(AG$59="X","",IF(AG$59&lt;&gt;"",AG$59,IF(IFERROR(INDEX(醫師週班表!$C$5:$T$44,$CU18,AG$57),"")=0,"",IF(MID(IFERROR(INDEX(醫師週班表!$C$5:$T$44,$CU18,AG$57),""),2,1)="/",MID(IFERROR(INDEX(醫師週班表!$C$5:$T$44,$CU18,AG$57),""),1+AG$58*2,1),IF(MID(IFERROR(INDEX(醫師週班表!$C$5:$T$44,$CU18,AG$57),""),3,1)="隔",IF(AG$58=0,LEFT(IFERROR(INDEX(醫師週班表!$C$5:$T$44,$CU18,AG$57),""),1),""),IF(MID(IFERROR(INDEX(醫師週班表!$C$5:$T$44,$CU18,AG$57),""),2,1)="(",LEFT(IFERROR(INDEX(醫師週班表!$C$5:$T$44,$CU18,AG$57),""),1),IFERROR(INDEX(醫師週班表!$C$5:$T$44,$CU18,AG$57),"")))))))</f>
        <v/>
      </c>
      <c r="AH18" s="68">
        <f>IF(AH$59="X","",IF(AH$59&lt;&gt;"",AH$59,IF(IFERROR(INDEX(醫師週班表!$C$5:$T$44,$CU18,AH$57),"")=0,"",IF(MID(IFERROR(INDEX(醫師週班表!$C$5:$T$44,$CU18,AH$57),""),2,1)="/",MID(IFERROR(INDEX(醫師週班表!$C$5:$T$44,$CU18,AH$57),""),1+AH$58*2,1),IF(MID(IFERROR(INDEX(醫師週班表!$C$5:$T$44,$CU18,AH$57),""),3,1)="隔",IF(AH$58=0,LEFT(IFERROR(INDEX(醫師週班表!$C$5:$T$44,$CU18,AH$57),""),1),""),IF(MID(IFERROR(INDEX(醫師週班表!$C$5:$T$44,$CU18,AH$57),""),2,1)="(",LEFT(IFERROR(INDEX(醫師週班表!$C$5:$T$44,$CU18,AH$57),""),1),IFERROR(INDEX(醫師週班表!$C$5:$T$44,$CU18,AH$57),"")))))))</f>
        <v/>
      </c>
      <c r="AI18" s="67">
        <f>IF(AI$59="X","",IF(AI$59&lt;&gt;"",AI$59,IF(IFERROR(INDEX(醫師週班表!$C$5:$T$44,$CU18,AI$57),"")=0,"",IF(MID(IFERROR(INDEX(醫師週班表!$C$5:$T$44,$CU18,AI$57),""),2,1)="/",MID(IFERROR(INDEX(醫師週班表!$C$5:$T$44,$CU18,AI$57),""),1+AI$58*2,1),IF(MID(IFERROR(INDEX(醫師週班表!$C$5:$T$44,$CU18,AI$57),""),3,1)="隔",IF(AI$58=0,LEFT(IFERROR(INDEX(醫師週班表!$C$5:$T$44,$CU18,AI$57),""),1),""),IF(MID(IFERROR(INDEX(醫師週班表!$C$5:$T$44,$CU18,AI$57),""),2,1)="(",LEFT(IFERROR(INDEX(醫師週班表!$C$5:$T$44,$CU18,AI$57),""),1),IFERROR(INDEX(醫師週班表!$C$5:$T$44,$CU18,AI$57),"")))))))</f>
        <v/>
      </c>
      <c r="AJ18" s="68">
        <f>IF(AJ$59="X","",IF(AJ$59&lt;&gt;"",AJ$59,IF(IFERROR(INDEX(醫師週班表!$C$5:$T$44,$CU18,AJ$57),"")=0,"",IF(MID(IFERROR(INDEX(醫師週班表!$C$5:$T$44,$CU18,AJ$57),""),2,1)="/",MID(IFERROR(INDEX(醫師週班表!$C$5:$T$44,$CU18,AJ$57),""),1+AJ$58*2,1),IF(MID(IFERROR(INDEX(醫師週班表!$C$5:$T$44,$CU18,AJ$57),""),3,1)="隔",IF(AJ$58=0,LEFT(IFERROR(INDEX(醫師週班表!$C$5:$T$44,$CU18,AJ$57),""),1),""),IF(MID(IFERROR(INDEX(醫師週班表!$C$5:$T$44,$CU18,AJ$57),""),2,1)="(",LEFT(IFERROR(INDEX(醫師週班表!$C$5:$T$44,$CU18,AJ$57),""),1),IFERROR(INDEX(醫師週班表!$C$5:$T$44,$CU18,AJ$57),"")))))))</f>
        <v/>
      </c>
      <c r="AK18" s="68">
        <f>IF(AK$59="X","",IF(AK$59&lt;&gt;"",AK$59,IF(IFERROR(INDEX(醫師週班表!$C$5:$T$44,$CU18,AK$57),"")=0,"",IF(MID(IFERROR(INDEX(醫師週班表!$C$5:$T$44,$CU18,AK$57),""),2,1)="/",MID(IFERROR(INDEX(醫師週班表!$C$5:$T$44,$CU18,AK$57),""),1+AK$58*2,1),IF(MID(IFERROR(INDEX(醫師週班表!$C$5:$T$44,$CU18,AK$57),""),3,1)="隔",IF(AK$58=0,LEFT(IFERROR(INDEX(醫師週班表!$C$5:$T$44,$CU18,AK$57),""),1),""),IF(MID(IFERROR(INDEX(醫師週班表!$C$5:$T$44,$CU18,AK$57),""),2,1)="(",LEFT(IFERROR(INDEX(醫師週班表!$C$5:$T$44,$CU18,AK$57),""),1),IFERROR(INDEX(醫師週班表!$C$5:$T$44,$CU18,AK$57),"")))))))</f>
        <v/>
      </c>
      <c r="AL18" s="67">
        <f>IF(AL$59="X","",IF(AL$59&lt;&gt;"",AL$59,IF(IFERROR(INDEX(醫師週班表!$C$5:$T$44,$CU18,AL$57),"")=0,"",IF(MID(IFERROR(INDEX(醫師週班表!$C$5:$T$44,$CU18,AL$57),""),2,1)="/",MID(IFERROR(INDEX(醫師週班表!$C$5:$T$44,$CU18,AL$57),""),1+AL$58*2,1),IF(MID(IFERROR(INDEX(醫師週班表!$C$5:$T$44,$CU18,AL$57),""),3,1)="隔",IF(AL$58=0,LEFT(IFERROR(INDEX(醫師週班表!$C$5:$T$44,$CU18,AL$57),""),1),""),IF(MID(IFERROR(INDEX(醫師週班表!$C$5:$T$44,$CU18,AL$57),""),2,1)="(",LEFT(IFERROR(INDEX(醫師週班表!$C$5:$T$44,$CU18,AL$57),""),1),IFERROR(INDEX(醫師週班表!$C$5:$T$44,$CU18,AL$57),"")))))))</f>
        <v/>
      </c>
      <c r="AM18" s="68">
        <f>IF(AM$59="X","",IF(AM$59&lt;&gt;"",AM$59,IF(IFERROR(INDEX(醫師週班表!$C$5:$T$44,$CU18,AM$57),"")=0,"",IF(MID(IFERROR(INDEX(醫師週班表!$C$5:$T$44,$CU18,AM$57),""),2,1)="/",MID(IFERROR(INDEX(醫師週班表!$C$5:$T$44,$CU18,AM$57),""),1+AM$58*2,1),IF(MID(IFERROR(INDEX(醫師週班表!$C$5:$T$44,$CU18,AM$57),""),3,1)="隔",IF(AM$58=0,LEFT(IFERROR(INDEX(醫師週班表!$C$5:$T$44,$CU18,AM$57),""),1),""),IF(MID(IFERROR(INDEX(醫師週班表!$C$5:$T$44,$CU18,AM$57),""),2,1)="(",LEFT(IFERROR(INDEX(醫師週班表!$C$5:$T$44,$CU18,AM$57),""),1),IFERROR(INDEX(醫師週班表!$C$5:$T$44,$CU18,AM$57),"")))))))</f>
        <v/>
      </c>
      <c r="AN18" s="68">
        <f>IF(AN$59="X","",IF(AN$59&lt;&gt;"",AN$59,IF(IFERROR(INDEX(醫師週班表!$C$5:$T$44,$CU18,AN$57),"")=0,"",IF(MID(IFERROR(INDEX(醫師週班表!$C$5:$T$44,$CU18,AN$57),""),2,1)="/",MID(IFERROR(INDEX(醫師週班表!$C$5:$T$44,$CU18,AN$57),""),1+AN$58*2,1),IF(MID(IFERROR(INDEX(醫師週班表!$C$5:$T$44,$CU18,AN$57),""),3,1)="隔",IF(AN$58=0,LEFT(IFERROR(INDEX(醫師週班表!$C$5:$T$44,$CU18,AN$57),""),1),""),IF(MID(IFERROR(INDEX(醫師週班表!$C$5:$T$44,$CU18,AN$57),""),2,1)="(",LEFT(IFERROR(INDEX(醫師週班表!$C$5:$T$44,$CU18,AN$57),""),1),IFERROR(INDEX(醫師週班表!$C$5:$T$44,$CU18,AN$57),"")))))))</f>
        <v/>
      </c>
      <c r="AO18" s="67">
        <f>IF(AO$59="X","",IF(AO$59&lt;&gt;"",AO$59,IF(IFERROR(INDEX(醫師週班表!$C$5:$T$44,$CU18,AO$57),"")=0,"",IF(MID(IFERROR(INDEX(醫師週班表!$C$5:$T$44,$CU18,AO$57),""),2,1)="/",MID(IFERROR(INDEX(醫師週班表!$C$5:$T$44,$CU18,AO$57),""),1+AO$58*2,1),IF(MID(IFERROR(INDEX(醫師週班表!$C$5:$T$44,$CU18,AO$57),""),3,1)="隔",IF(AO$58=0,LEFT(IFERROR(INDEX(醫師週班表!$C$5:$T$44,$CU18,AO$57),""),1),""),IF(MID(IFERROR(INDEX(醫師週班表!$C$5:$T$44,$CU18,AO$57),""),2,1)="(",LEFT(IFERROR(INDEX(醫師週班表!$C$5:$T$44,$CU18,AO$57),""),1),IFERROR(INDEX(醫師週班表!$C$5:$T$44,$CU18,AO$57),"")))))))</f>
        <v/>
      </c>
      <c r="AP18" s="68">
        <f>IF(AP$59="X","",IF(AP$59&lt;&gt;"",AP$59,IF(IFERROR(INDEX(醫師週班表!$C$5:$T$44,$CU18,AP$57),"")=0,"",IF(MID(IFERROR(INDEX(醫師週班表!$C$5:$T$44,$CU18,AP$57),""),2,1)="/",MID(IFERROR(INDEX(醫師週班表!$C$5:$T$44,$CU18,AP$57),""),1+AP$58*2,1),IF(MID(IFERROR(INDEX(醫師週班表!$C$5:$T$44,$CU18,AP$57),""),3,1)="隔",IF(AP$58=0,LEFT(IFERROR(INDEX(醫師週班表!$C$5:$T$44,$CU18,AP$57),""),1),""),IF(MID(IFERROR(INDEX(醫師週班表!$C$5:$T$44,$CU18,AP$57),""),2,1)="(",LEFT(IFERROR(INDEX(醫師週班表!$C$5:$T$44,$CU18,AP$57),""),1),IFERROR(INDEX(醫師週班表!$C$5:$T$44,$CU18,AP$57),"")))))))</f>
        <v/>
      </c>
      <c r="AQ18" s="68">
        <f>IF(AQ$59="X","",IF(AQ$59&lt;&gt;"",AQ$59,IF(IFERROR(INDEX(醫師週班表!$C$5:$T$44,$CU18,AQ$57),"")=0,"",IF(MID(IFERROR(INDEX(醫師週班表!$C$5:$T$44,$CU18,AQ$57),""),2,1)="/",MID(IFERROR(INDEX(醫師週班表!$C$5:$T$44,$CU18,AQ$57),""),1+AQ$58*2,1),IF(MID(IFERROR(INDEX(醫師週班表!$C$5:$T$44,$CU18,AQ$57),""),3,1)="隔",IF(AQ$58=0,LEFT(IFERROR(INDEX(醫師週班表!$C$5:$T$44,$CU18,AQ$57),""),1),""),IF(MID(IFERROR(INDEX(醫師週班表!$C$5:$T$44,$CU18,AQ$57),""),2,1)="(",LEFT(IFERROR(INDEX(醫師週班表!$C$5:$T$44,$CU18,AQ$57),""),1),IFERROR(INDEX(醫師週班表!$C$5:$T$44,$CU18,AQ$57),"")))))))</f>
        <v/>
      </c>
      <c r="AR18" s="67">
        <f>IF(AR$59="X","",IF(AR$59&lt;&gt;"",AR$59,IF(IFERROR(INDEX(醫師週班表!$C$5:$T$44,$CU18,AR$57),"")=0,"",IF(MID(IFERROR(INDEX(醫師週班表!$C$5:$T$44,$CU18,AR$57),""),2,1)="/",MID(IFERROR(INDEX(醫師週班表!$C$5:$T$44,$CU18,AR$57),""),1+AR$58*2,1),IF(MID(IFERROR(INDEX(醫師週班表!$C$5:$T$44,$CU18,AR$57),""),3,1)="隔",IF(AR$58=0,LEFT(IFERROR(INDEX(醫師週班表!$C$5:$T$44,$CU18,AR$57),""),1),""),IF(MID(IFERROR(INDEX(醫師週班表!$C$5:$T$44,$CU18,AR$57),""),2,1)="(",LEFT(IFERROR(INDEX(醫師週班表!$C$5:$T$44,$CU18,AR$57),""),1),IFERROR(INDEX(醫師週班表!$C$5:$T$44,$CU18,AR$57),"")))))))</f>
        <v/>
      </c>
      <c r="AS18" s="68">
        <f>IF(AS$59="X","",IF(AS$59&lt;&gt;"",AS$59,IF(IFERROR(INDEX(醫師週班表!$C$5:$T$44,$CU18,AS$57),"")=0,"",IF(MID(IFERROR(INDEX(醫師週班表!$C$5:$T$44,$CU18,AS$57),""),2,1)="/",MID(IFERROR(INDEX(醫師週班表!$C$5:$T$44,$CU18,AS$57),""),1+AS$58*2,1),IF(MID(IFERROR(INDEX(醫師週班表!$C$5:$T$44,$CU18,AS$57),""),3,1)="隔",IF(AS$58=0,LEFT(IFERROR(INDEX(醫師週班表!$C$5:$T$44,$CU18,AS$57),""),1),""),IF(MID(IFERROR(INDEX(醫師週班表!$C$5:$T$44,$CU18,AS$57),""),2,1)="(",LEFT(IFERROR(INDEX(醫師週班表!$C$5:$T$44,$CU18,AS$57),""),1),IFERROR(INDEX(醫師週班表!$C$5:$T$44,$CU18,AS$57),"")))))))</f>
        <v/>
      </c>
      <c r="AT18" s="68">
        <f>IF(AT$59="X","",IF(AT$59&lt;&gt;"",AT$59,IF(IFERROR(INDEX(醫師週班表!$C$5:$T$44,$CU18,AT$57),"")=0,"",IF(MID(IFERROR(INDEX(醫師週班表!$C$5:$T$44,$CU18,AT$57),""),2,1)="/",MID(IFERROR(INDEX(醫師週班表!$C$5:$T$44,$CU18,AT$57),""),1+AT$58*2,1),IF(MID(IFERROR(INDEX(醫師週班表!$C$5:$T$44,$CU18,AT$57),""),3,1)="隔",IF(AT$58=0,LEFT(IFERROR(INDEX(醫師週班表!$C$5:$T$44,$CU18,AT$57),""),1),""),IF(MID(IFERROR(INDEX(醫師週班表!$C$5:$T$44,$CU18,AT$57),""),2,1)="(",LEFT(IFERROR(INDEX(醫師週班表!$C$5:$T$44,$CU18,AT$57),""),1),IFERROR(INDEX(醫師週班表!$C$5:$T$44,$CU18,AT$57),"")))))))</f>
        <v/>
      </c>
      <c r="AU18" s="67">
        <f>IF(AU$59="X","",IF(AU$59&lt;&gt;"",AU$59,IF(IFERROR(INDEX(醫師週班表!$C$5:$T$44,$CU18,AU$57),"")=0,"",IF(MID(IFERROR(INDEX(醫師週班表!$C$5:$T$44,$CU18,AU$57),""),2,1)="/",MID(IFERROR(INDEX(醫師週班表!$C$5:$T$44,$CU18,AU$57),""),1+AU$58*2,1),IF(MID(IFERROR(INDEX(醫師週班表!$C$5:$T$44,$CU18,AU$57),""),3,1)="隔",IF(AU$58=0,LEFT(IFERROR(INDEX(醫師週班表!$C$5:$T$44,$CU18,AU$57),""),1),""),IF(MID(IFERROR(INDEX(醫師週班表!$C$5:$T$44,$CU18,AU$57),""),2,1)="(",LEFT(IFERROR(INDEX(醫師週班表!$C$5:$T$44,$CU18,AU$57),""),1),IFERROR(INDEX(醫師週班表!$C$5:$T$44,$CU18,AU$57),"")))))))</f>
        <v/>
      </c>
      <c r="AV18" s="68">
        <f>IF(AV$59="X","",IF(AV$59&lt;&gt;"",AV$59,IF(IFERROR(INDEX(醫師週班表!$C$5:$T$44,$CU18,AV$57),"")=0,"",IF(MID(IFERROR(INDEX(醫師週班表!$C$5:$T$44,$CU18,AV$57),""),2,1)="/",MID(IFERROR(INDEX(醫師週班表!$C$5:$T$44,$CU18,AV$57),""),1+AV$58*2,1),IF(MID(IFERROR(INDEX(醫師週班表!$C$5:$T$44,$CU18,AV$57),""),3,1)="隔",IF(AV$58=0,LEFT(IFERROR(INDEX(醫師週班表!$C$5:$T$44,$CU18,AV$57),""),1),""),IF(MID(IFERROR(INDEX(醫師週班表!$C$5:$T$44,$CU18,AV$57),""),2,1)="(",LEFT(IFERROR(INDEX(醫師週班表!$C$5:$T$44,$CU18,AV$57),""),1),IFERROR(INDEX(醫師週班表!$C$5:$T$44,$CU18,AV$57),"")))))))</f>
        <v/>
      </c>
      <c r="AW18" s="68">
        <f>IF(AW$59="X","",IF(AW$59&lt;&gt;"",AW$59,IF(IFERROR(INDEX(醫師週班表!$C$5:$T$44,$CU18,AW$57),"")=0,"",IF(MID(IFERROR(INDEX(醫師週班表!$C$5:$T$44,$CU18,AW$57),""),2,1)="/",MID(IFERROR(INDEX(醫師週班表!$C$5:$T$44,$CU18,AW$57),""),1+AW$58*2,1),IF(MID(IFERROR(INDEX(醫師週班表!$C$5:$T$44,$CU18,AW$57),""),3,1)="隔",IF(AW$58=0,LEFT(IFERROR(INDEX(醫師週班表!$C$5:$T$44,$CU18,AW$57),""),1),""),IF(MID(IFERROR(INDEX(醫師週班表!$C$5:$T$44,$CU18,AW$57),""),2,1)="(",LEFT(IFERROR(INDEX(醫師週班表!$C$5:$T$44,$CU18,AW$57),""),1),IFERROR(INDEX(醫師週班表!$C$5:$T$44,$CU18,AW$57),"")))))))</f>
        <v/>
      </c>
      <c r="AX18" s="67">
        <f>IF(AX$59="X","",IF(AX$59&lt;&gt;"",AX$59,IF(IFERROR(INDEX(醫師週班表!$C$5:$T$44,$CU18,AX$57),"")=0,"",IF(MID(IFERROR(INDEX(醫師週班表!$C$5:$T$44,$CU18,AX$57),""),2,1)="/",MID(IFERROR(INDEX(醫師週班表!$C$5:$T$44,$CU18,AX$57),""),1+AX$58*2,1),IF(MID(IFERROR(INDEX(醫師週班表!$C$5:$T$44,$CU18,AX$57),""),3,1)="隔",IF(AX$58=0,LEFT(IFERROR(INDEX(醫師週班表!$C$5:$T$44,$CU18,AX$57),""),1),""),IF(MID(IFERROR(INDEX(醫師週班表!$C$5:$T$44,$CU18,AX$57),""),2,1)="(",LEFT(IFERROR(INDEX(醫師週班表!$C$5:$T$44,$CU18,AX$57),""),1),IFERROR(INDEX(醫師週班表!$C$5:$T$44,$CU18,AX$57),"")))))))</f>
        <v/>
      </c>
      <c r="AY18" s="68">
        <f>IF(AY$59="X","",IF(AY$59&lt;&gt;"",AY$59,IF(IFERROR(INDEX(醫師週班表!$C$5:$T$44,$CU18,AY$57),"")=0,"",IF(MID(IFERROR(INDEX(醫師週班表!$C$5:$T$44,$CU18,AY$57),""),2,1)="/",MID(IFERROR(INDEX(醫師週班表!$C$5:$T$44,$CU18,AY$57),""),1+AY$58*2,1),IF(MID(IFERROR(INDEX(醫師週班表!$C$5:$T$44,$CU18,AY$57),""),3,1)="隔",IF(AY$58=0,LEFT(IFERROR(INDEX(醫師週班表!$C$5:$T$44,$CU18,AY$57),""),1),""),IF(MID(IFERROR(INDEX(醫師週班表!$C$5:$T$44,$CU18,AY$57),""),2,1)="(",LEFT(IFERROR(INDEX(醫師週班表!$C$5:$T$44,$CU18,AY$57),""),1),IFERROR(INDEX(醫師週班表!$C$5:$T$44,$CU18,AY$57),"")))))))</f>
        <v/>
      </c>
      <c r="AZ18" s="68">
        <f>IF(AZ$59="X","",IF(AZ$59&lt;&gt;"",AZ$59,IF(IFERROR(INDEX(醫師週班表!$C$5:$T$44,$CU18,AZ$57),"")=0,"",IF(MID(IFERROR(INDEX(醫師週班表!$C$5:$T$44,$CU18,AZ$57),""),2,1)="/",MID(IFERROR(INDEX(醫師週班表!$C$5:$T$44,$CU18,AZ$57),""),1+AZ$58*2,1),IF(MID(IFERROR(INDEX(醫師週班表!$C$5:$T$44,$CU18,AZ$57),""),3,1)="隔",IF(AZ$58=0,LEFT(IFERROR(INDEX(醫師週班表!$C$5:$T$44,$CU18,AZ$57),""),1),""),IF(MID(IFERROR(INDEX(醫師週班表!$C$5:$T$44,$CU18,AZ$57),""),2,1)="(",LEFT(IFERROR(INDEX(醫師週班表!$C$5:$T$44,$CU18,AZ$57),""),1),IFERROR(INDEX(醫師週班表!$C$5:$T$44,$CU18,AZ$57),"")))))))</f>
        <v/>
      </c>
      <c r="BA18" s="67">
        <f>IF(BA$59="X","",IF(BA$59&lt;&gt;"",BA$59,IF(IFERROR(INDEX(醫師週班表!$C$5:$T$44,$CU18,BA$57),"")=0,"",IF(MID(IFERROR(INDEX(醫師週班表!$C$5:$T$44,$CU18,BA$57),""),2,1)="/",MID(IFERROR(INDEX(醫師週班表!$C$5:$T$44,$CU18,BA$57),""),1+BA$58*2,1),IF(MID(IFERROR(INDEX(醫師週班表!$C$5:$T$44,$CU18,BA$57),""),3,1)="隔",IF(BA$58=0,LEFT(IFERROR(INDEX(醫師週班表!$C$5:$T$44,$CU18,BA$57),""),1),""),IF(MID(IFERROR(INDEX(醫師週班表!$C$5:$T$44,$CU18,BA$57),""),2,1)="(",LEFT(IFERROR(INDEX(醫師週班表!$C$5:$T$44,$CU18,BA$57),""),1),IFERROR(INDEX(醫師週班表!$C$5:$T$44,$CU18,BA$57),"")))))))</f>
        <v/>
      </c>
      <c r="BB18" s="68">
        <f>IF(BB$59="X","",IF(BB$59&lt;&gt;"",BB$59,IF(IFERROR(INDEX(醫師週班表!$C$5:$T$44,$CU18,BB$57),"")=0,"",IF(MID(IFERROR(INDEX(醫師週班表!$C$5:$T$44,$CU18,BB$57),""),2,1)="/",MID(IFERROR(INDEX(醫師週班表!$C$5:$T$44,$CU18,BB$57),""),1+BB$58*2,1),IF(MID(IFERROR(INDEX(醫師週班表!$C$5:$T$44,$CU18,BB$57),""),3,1)="隔",IF(BB$58=0,LEFT(IFERROR(INDEX(醫師週班表!$C$5:$T$44,$CU18,BB$57),""),1),""),IF(MID(IFERROR(INDEX(醫師週班表!$C$5:$T$44,$CU18,BB$57),""),2,1)="(",LEFT(IFERROR(INDEX(醫師週班表!$C$5:$T$44,$CU18,BB$57),""),1),IFERROR(INDEX(醫師週班表!$C$5:$T$44,$CU18,BB$57),"")))))))</f>
        <v/>
      </c>
      <c r="BC18" s="68">
        <f>IF(BC$59="X","",IF(BC$59&lt;&gt;"",BC$59,IF(IFERROR(INDEX(醫師週班表!$C$5:$T$44,$CU18,BC$57),"")=0,"",IF(MID(IFERROR(INDEX(醫師週班表!$C$5:$T$44,$CU18,BC$57),""),2,1)="/",MID(IFERROR(INDEX(醫師週班表!$C$5:$T$44,$CU18,BC$57),""),1+BC$58*2,1),IF(MID(IFERROR(INDEX(醫師週班表!$C$5:$T$44,$CU18,BC$57),""),3,1)="隔",IF(BC$58=0,LEFT(IFERROR(INDEX(醫師週班表!$C$5:$T$44,$CU18,BC$57),""),1),""),IF(MID(IFERROR(INDEX(醫師週班表!$C$5:$T$44,$CU18,BC$57),""),2,1)="(",LEFT(IFERROR(INDEX(醫師週班表!$C$5:$T$44,$CU18,BC$57),""),1),IFERROR(INDEX(醫師週班表!$C$5:$T$44,$CU18,BC$57),"")))))))</f>
        <v/>
      </c>
      <c r="BD18" s="67">
        <f>IF(BD$59="X","",IF(BD$59&lt;&gt;"",BD$59,IF(IFERROR(INDEX(醫師週班表!$C$5:$T$44,$CU18,BD$57),"")=0,"",IF(MID(IFERROR(INDEX(醫師週班表!$C$5:$T$44,$CU18,BD$57),""),2,1)="/",MID(IFERROR(INDEX(醫師週班表!$C$5:$T$44,$CU18,BD$57),""),1+BD$58*2,1),IF(MID(IFERROR(INDEX(醫師週班表!$C$5:$T$44,$CU18,BD$57),""),3,1)="隔",IF(BD$58=0,LEFT(IFERROR(INDEX(醫師週班表!$C$5:$T$44,$CU18,BD$57),""),1),""),IF(MID(IFERROR(INDEX(醫師週班表!$C$5:$T$44,$CU18,BD$57),""),2,1)="(",LEFT(IFERROR(INDEX(醫師週班表!$C$5:$T$44,$CU18,BD$57),""),1),IFERROR(INDEX(醫師週班表!$C$5:$T$44,$CU18,BD$57),"")))))))</f>
        <v/>
      </c>
      <c r="BE18" s="68">
        <f>IF(BE$59="X","",IF(BE$59&lt;&gt;"",BE$59,IF(IFERROR(INDEX(醫師週班表!$C$5:$T$44,$CU18,BE$57),"")=0,"",IF(MID(IFERROR(INDEX(醫師週班表!$C$5:$T$44,$CU18,BE$57),""),2,1)="/",MID(IFERROR(INDEX(醫師週班表!$C$5:$T$44,$CU18,BE$57),""),1+BE$58*2,1),IF(MID(IFERROR(INDEX(醫師週班表!$C$5:$T$44,$CU18,BE$57),""),3,1)="隔",IF(BE$58=0,LEFT(IFERROR(INDEX(醫師週班表!$C$5:$T$44,$CU18,BE$57),""),1),""),IF(MID(IFERROR(INDEX(醫師週班表!$C$5:$T$44,$CU18,BE$57),""),2,1)="(",LEFT(IFERROR(INDEX(醫師週班表!$C$5:$T$44,$CU18,BE$57),""),1),IFERROR(INDEX(醫師週班表!$C$5:$T$44,$CU18,BE$57),"")))))))</f>
        <v/>
      </c>
      <c r="BF18" s="68">
        <f>IF(BF$59="X","",IF(BF$59&lt;&gt;"",BF$59,IF(IFERROR(INDEX(醫師週班表!$C$5:$T$44,$CU18,BF$57),"")=0,"",IF(MID(IFERROR(INDEX(醫師週班表!$C$5:$T$44,$CU18,BF$57),""),2,1)="/",MID(IFERROR(INDEX(醫師週班表!$C$5:$T$44,$CU18,BF$57),""),1+BF$58*2,1),IF(MID(IFERROR(INDEX(醫師週班表!$C$5:$T$44,$CU18,BF$57),""),3,1)="隔",IF(BF$58=0,LEFT(IFERROR(INDEX(醫師週班表!$C$5:$T$44,$CU18,BF$57),""),1),""),IF(MID(IFERROR(INDEX(醫師週班表!$C$5:$T$44,$CU18,BF$57),""),2,1)="(",LEFT(IFERROR(INDEX(醫師週班表!$C$5:$T$44,$CU18,BF$57),""),1),IFERROR(INDEX(醫師週班表!$C$5:$T$44,$CU18,BF$57),"")))))))</f>
        <v/>
      </c>
      <c r="BG18" s="67">
        <f>IF(BG$59="X","",IF(BG$59&lt;&gt;"",BG$59,IF(IFERROR(INDEX(醫師週班表!$C$5:$T$44,$CU18,BG$57),"")=0,"",IF(MID(IFERROR(INDEX(醫師週班表!$C$5:$T$44,$CU18,BG$57),""),2,1)="/",MID(IFERROR(INDEX(醫師週班表!$C$5:$T$44,$CU18,BG$57),""),1+BG$58*2,1),IF(MID(IFERROR(INDEX(醫師週班表!$C$5:$T$44,$CU18,BG$57),""),3,1)="隔",IF(BG$58=0,LEFT(IFERROR(INDEX(醫師週班表!$C$5:$T$44,$CU18,BG$57),""),1),""),IF(MID(IFERROR(INDEX(醫師週班表!$C$5:$T$44,$CU18,BG$57),""),2,1)="(",LEFT(IFERROR(INDEX(醫師週班表!$C$5:$T$44,$CU18,BG$57),""),1),IFERROR(INDEX(醫師週班表!$C$5:$T$44,$CU18,BG$57),"")))))))</f>
        <v/>
      </c>
      <c r="BH18" s="68">
        <f>IF(BH$59="X","",IF(BH$59&lt;&gt;"",BH$59,IF(IFERROR(INDEX(醫師週班表!$C$5:$T$44,$CU18,BH$57),"")=0,"",IF(MID(IFERROR(INDEX(醫師週班表!$C$5:$T$44,$CU18,BH$57),""),2,1)="/",MID(IFERROR(INDEX(醫師週班表!$C$5:$T$44,$CU18,BH$57),""),1+BH$58*2,1),IF(MID(IFERROR(INDEX(醫師週班表!$C$5:$T$44,$CU18,BH$57),""),3,1)="隔",IF(BH$58=0,LEFT(IFERROR(INDEX(醫師週班表!$C$5:$T$44,$CU18,BH$57),""),1),""),IF(MID(IFERROR(INDEX(醫師週班表!$C$5:$T$44,$CU18,BH$57),""),2,1)="(",LEFT(IFERROR(INDEX(醫師週班表!$C$5:$T$44,$CU18,BH$57),""),1),IFERROR(INDEX(醫師週班表!$C$5:$T$44,$CU18,BH$57),"")))))))</f>
        <v/>
      </c>
      <c r="BI18" s="68">
        <f>IF(BI$59="X","",IF(BI$59&lt;&gt;"",BI$59,IF(IFERROR(INDEX(醫師週班表!$C$5:$T$44,$CU18,BI$57),"")=0,"",IF(MID(IFERROR(INDEX(醫師週班表!$C$5:$T$44,$CU18,BI$57),""),2,1)="/",MID(IFERROR(INDEX(醫師週班表!$C$5:$T$44,$CU18,BI$57),""),1+BI$58*2,1),IF(MID(IFERROR(INDEX(醫師週班表!$C$5:$T$44,$CU18,BI$57),""),3,1)="隔",IF(BI$58=0,LEFT(IFERROR(INDEX(醫師週班表!$C$5:$T$44,$CU18,BI$57),""),1),""),IF(MID(IFERROR(INDEX(醫師週班表!$C$5:$T$44,$CU18,BI$57),""),2,1)="(",LEFT(IFERROR(INDEX(醫師週班表!$C$5:$T$44,$CU18,BI$57),""),1),IFERROR(INDEX(醫師週班表!$C$5:$T$44,$CU18,BI$57),"")))))))</f>
        <v/>
      </c>
      <c r="BJ18" s="67">
        <f>IF(BJ$59="X","",IF(BJ$59&lt;&gt;"",BJ$59,IF(IFERROR(INDEX(醫師週班表!$C$5:$T$44,$CU18,BJ$57),"")=0,"",IF(MID(IFERROR(INDEX(醫師週班表!$C$5:$T$44,$CU18,BJ$57),""),2,1)="/",MID(IFERROR(INDEX(醫師週班表!$C$5:$T$44,$CU18,BJ$57),""),1+BJ$58*2,1),IF(MID(IFERROR(INDEX(醫師週班表!$C$5:$T$44,$CU18,BJ$57),""),3,1)="隔",IF(BJ$58=0,LEFT(IFERROR(INDEX(醫師週班表!$C$5:$T$44,$CU18,BJ$57),""),1),""),IF(MID(IFERROR(INDEX(醫師週班表!$C$5:$T$44,$CU18,BJ$57),""),2,1)="(",LEFT(IFERROR(INDEX(醫師週班表!$C$5:$T$44,$CU18,BJ$57),""),1),IFERROR(INDEX(醫師週班表!$C$5:$T$44,$CU18,BJ$57),"")))))))</f>
        <v/>
      </c>
      <c r="BK18" s="68">
        <f>IF(BK$59="X","",IF(BK$59&lt;&gt;"",BK$59,IF(IFERROR(INDEX(醫師週班表!$C$5:$T$44,$CU18,BK$57),"")=0,"",IF(MID(IFERROR(INDEX(醫師週班表!$C$5:$T$44,$CU18,BK$57),""),2,1)="/",MID(IFERROR(INDEX(醫師週班表!$C$5:$T$44,$CU18,BK$57),""),1+BK$58*2,1),IF(MID(IFERROR(INDEX(醫師週班表!$C$5:$T$44,$CU18,BK$57),""),3,1)="隔",IF(BK$58=0,LEFT(IFERROR(INDEX(醫師週班表!$C$5:$T$44,$CU18,BK$57),""),1),""),IF(MID(IFERROR(INDEX(醫師週班表!$C$5:$T$44,$CU18,BK$57),""),2,1)="(",LEFT(IFERROR(INDEX(醫師週班表!$C$5:$T$44,$CU18,BK$57),""),1),IFERROR(INDEX(醫師週班表!$C$5:$T$44,$CU18,BK$57),"")))))))</f>
        <v/>
      </c>
      <c r="BL18" s="68">
        <f>IF(BL$59="X","",IF(BL$59&lt;&gt;"",BL$59,IF(IFERROR(INDEX(醫師週班表!$C$5:$T$44,$CU18,BL$57),"")=0,"",IF(MID(IFERROR(INDEX(醫師週班表!$C$5:$T$44,$CU18,BL$57),""),2,1)="/",MID(IFERROR(INDEX(醫師週班表!$C$5:$T$44,$CU18,BL$57),""),1+BL$58*2,1),IF(MID(IFERROR(INDEX(醫師週班表!$C$5:$T$44,$CU18,BL$57),""),3,1)="隔",IF(BL$58=0,LEFT(IFERROR(INDEX(醫師週班表!$C$5:$T$44,$CU18,BL$57),""),1),""),IF(MID(IFERROR(INDEX(醫師週班表!$C$5:$T$44,$CU18,BL$57),""),2,1)="(",LEFT(IFERROR(INDEX(醫師週班表!$C$5:$T$44,$CU18,BL$57),""),1),IFERROR(INDEX(醫師週班表!$C$5:$T$44,$CU18,BL$57),"")))))))</f>
        <v/>
      </c>
      <c r="BM18" s="67">
        <f>IF(BM$59="X","",IF(BM$59&lt;&gt;"",BM$59,IF(IFERROR(INDEX(醫師週班表!$C$5:$T$44,$CU18,BM$57),"")=0,"",IF(MID(IFERROR(INDEX(醫師週班表!$C$5:$T$44,$CU18,BM$57),""),2,1)="/",MID(IFERROR(INDEX(醫師週班表!$C$5:$T$44,$CU18,BM$57),""),1+BM$58*2,1),IF(MID(IFERROR(INDEX(醫師週班表!$C$5:$T$44,$CU18,BM$57),""),3,1)="隔",IF(BM$58=0,LEFT(IFERROR(INDEX(醫師週班表!$C$5:$T$44,$CU18,BM$57),""),1),""),IF(MID(IFERROR(INDEX(醫師週班表!$C$5:$T$44,$CU18,BM$57),""),2,1)="(",LEFT(IFERROR(INDEX(醫師週班表!$C$5:$T$44,$CU18,BM$57),""),1),IFERROR(INDEX(醫師週班表!$C$5:$T$44,$CU18,BM$57),"")))))))</f>
        <v/>
      </c>
      <c r="BN18" s="68">
        <f>IF(BN$59="X","",IF(BN$59&lt;&gt;"",BN$59,IF(IFERROR(INDEX(醫師週班表!$C$5:$T$44,$CU18,BN$57),"")=0,"",IF(MID(IFERROR(INDEX(醫師週班表!$C$5:$T$44,$CU18,BN$57),""),2,1)="/",MID(IFERROR(INDEX(醫師週班表!$C$5:$T$44,$CU18,BN$57),""),1+BN$58*2,1),IF(MID(IFERROR(INDEX(醫師週班表!$C$5:$T$44,$CU18,BN$57),""),3,1)="隔",IF(BN$58=0,LEFT(IFERROR(INDEX(醫師週班表!$C$5:$T$44,$CU18,BN$57),""),1),""),IF(MID(IFERROR(INDEX(醫師週班表!$C$5:$T$44,$CU18,BN$57),""),2,1)="(",LEFT(IFERROR(INDEX(醫師週班表!$C$5:$T$44,$CU18,BN$57),""),1),IFERROR(INDEX(醫師週班表!$C$5:$T$44,$CU18,BN$57),"")))))))</f>
        <v/>
      </c>
      <c r="BO18" s="68">
        <f>IF(BO$59="X","",IF(BO$59&lt;&gt;"",BO$59,IF(IFERROR(INDEX(醫師週班表!$C$5:$T$44,$CU18,BO$57),"")=0,"",IF(MID(IFERROR(INDEX(醫師週班表!$C$5:$T$44,$CU18,BO$57),""),2,1)="/",MID(IFERROR(INDEX(醫師週班表!$C$5:$T$44,$CU18,BO$57),""),1+BO$58*2,1),IF(MID(IFERROR(INDEX(醫師週班表!$C$5:$T$44,$CU18,BO$57),""),3,1)="隔",IF(BO$58=0,LEFT(IFERROR(INDEX(醫師週班表!$C$5:$T$44,$CU18,BO$57),""),1),""),IF(MID(IFERROR(INDEX(醫師週班表!$C$5:$T$44,$CU18,BO$57),""),2,1)="(",LEFT(IFERROR(INDEX(醫師週班表!$C$5:$T$44,$CU18,BO$57),""),1),IFERROR(INDEX(醫師週班表!$C$5:$T$44,$CU18,BO$57),"")))))))</f>
        <v/>
      </c>
      <c r="BP18" s="67">
        <f>IF(BP$59="X","",IF(BP$59&lt;&gt;"",BP$59,IF(IFERROR(INDEX(醫師週班表!$C$5:$T$44,$CU18,BP$57),"")=0,"",IF(MID(IFERROR(INDEX(醫師週班表!$C$5:$T$44,$CU18,BP$57),""),2,1)="/",MID(IFERROR(INDEX(醫師週班表!$C$5:$T$44,$CU18,BP$57),""),1+BP$58*2,1),IF(MID(IFERROR(INDEX(醫師週班表!$C$5:$T$44,$CU18,BP$57),""),3,1)="隔",IF(BP$58=0,LEFT(IFERROR(INDEX(醫師週班表!$C$5:$T$44,$CU18,BP$57),""),1),""),IF(MID(IFERROR(INDEX(醫師週班表!$C$5:$T$44,$CU18,BP$57),""),2,1)="(",LEFT(IFERROR(INDEX(醫師週班表!$C$5:$T$44,$CU18,BP$57),""),1),IFERROR(INDEX(醫師週班表!$C$5:$T$44,$CU18,BP$57),"")))))))</f>
        <v/>
      </c>
      <c r="BQ18" s="68">
        <f>IF(BQ$59="X","",IF(BQ$59&lt;&gt;"",BQ$59,IF(IFERROR(INDEX(醫師週班表!$C$5:$T$44,$CU18,BQ$57),"")=0,"",IF(MID(IFERROR(INDEX(醫師週班表!$C$5:$T$44,$CU18,BQ$57),""),2,1)="/",MID(IFERROR(INDEX(醫師週班表!$C$5:$T$44,$CU18,BQ$57),""),1+BQ$58*2,1),IF(MID(IFERROR(INDEX(醫師週班表!$C$5:$T$44,$CU18,BQ$57),""),3,1)="隔",IF(BQ$58=0,LEFT(IFERROR(INDEX(醫師週班表!$C$5:$T$44,$CU18,BQ$57),""),1),""),IF(MID(IFERROR(INDEX(醫師週班表!$C$5:$T$44,$CU18,BQ$57),""),2,1)="(",LEFT(IFERROR(INDEX(醫師週班表!$C$5:$T$44,$CU18,BQ$57),""),1),IFERROR(INDEX(醫師週班表!$C$5:$T$44,$CU18,BQ$57),"")))))))</f>
        <v/>
      </c>
      <c r="BR18" s="68">
        <f>IF(BR$59="X","",IF(BR$59&lt;&gt;"",BR$59,IF(IFERROR(INDEX(醫師週班表!$C$5:$T$44,$CU18,BR$57),"")=0,"",IF(MID(IFERROR(INDEX(醫師週班表!$C$5:$T$44,$CU18,BR$57),""),2,1)="/",MID(IFERROR(INDEX(醫師週班表!$C$5:$T$44,$CU18,BR$57),""),1+BR$58*2,1),IF(MID(IFERROR(INDEX(醫師週班表!$C$5:$T$44,$CU18,BR$57),""),3,1)="隔",IF(BR$58=0,LEFT(IFERROR(INDEX(醫師週班表!$C$5:$T$44,$CU18,BR$57),""),1),""),IF(MID(IFERROR(INDEX(醫師週班表!$C$5:$T$44,$CU18,BR$57),""),2,1)="(",LEFT(IFERROR(INDEX(醫師週班表!$C$5:$T$44,$CU18,BR$57),""),1),IFERROR(INDEX(醫師週班表!$C$5:$T$44,$CU18,BR$57),"")))))))</f>
        <v/>
      </c>
      <c r="BS18" s="67">
        <f>IF(BS$59="X","",IF(BS$59&lt;&gt;"",BS$59,IF(IFERROR(INDEX(醫師週班表!$C$5:$T$44,$CU18,BS$57),"")=0,"",IF(MID(IFERROR(INDEX(醫師週班表!$C$5:$T$44,$CU18,BS$57),""),2,1)="/",MID(IFERROR(INDEX(醫師週班表!$C$5:$T$44,$CU18,BS$57),""),1+BS$58*2,1),IF(MID(IFERROR(INDEX(醫師週班表!$C$5:$T$44,$CU18,BS$57),""),3,1)="隔",IF(BS$58=0,LEFT(IFERROR(INDEX(醫師週班表!$C$5:$T$44,$CU18,BS$57),""),1),""),IF(MID(IFERROR(INDEX(醫師週班表!$C$5:$T$44,$CU18,BS$57),""),2,1)="(",LEFT(IFERROR(INDEX(醫師週班表!$C$5:$T$44,$CU18,BS$57),""),1),IFERROR(INDEX(醫師週班表!$C$5:$T$44,$CU18,BS$57),"")))))))</f>
        <v/>
      </c>
      <c r="BT18" s="68">
        <f>IF(BT$59="X","",IF(BT$59&lt;&gt;"",BT$59,IF(IFERROR(INDEX(醫師週班表!$C$5:$T$44,$CU18,BT$57),"")=0,"",IF(MID(IFERROR(INDEX(醫師週班表!$C$5:$T$44,$CU18,BT$57),""),2,1)="/",MID(IFERROR(INDEX(醫師週班表!$C$5:$T$44,$CU18,BT$57),""),1+BT$58*2,1),IF(MID(IFERROR(INDEX(醫師週班表!$C$5:$T$44,$CU18,BT$57),""),3,1)="隔",IF(BT$58=0,LEFT(IFERROR(INDEX(醫師週班表!$C$5:$T$44,$CU18,BT$57),""),1),""),IF(MID(IFERROR(INDEX(醫師週班表!$C$5:$T$44,$CU18,BT$57),""),2,1)="(",LEFT(IFERROR(INDEX(醫師週班表!$C$5:$T$44,$CU18,BT$57),""),1),IFERROR(INDEX(醫師週班表!$C$5:$T$44,$CU18,BT$57),"")))))))</f>
        <v/>
      </c>
      <c r="BU18" s="68">
        <f>IF(BU$59="X","",IF(BU$59&lt;&gt;"",BU$59,IF(IFERROR(INDEX(醫師週班表!$C$5:$T$44,$CU18,BU$57),"")=0,"",IF(MID(IFERROR(INDEX(醫師週班表!$C$5:$T$44,$CU18,BU$57),""),2,1)="/",MID(IFERROR(INDEX(醫師週班表!$C$5:$T$44,$CU18,BU$57),""),1+BU$58*2,1),IF(MID(IFERROR(INDEX(醫師週班表!$C$5:$T$44,$CU18,BU$57),""),3,1)="隔",IF(BU$58=0,LEFT(IFERROR(INDEX(醫師週班表!$C$5:$T$44,$CU18,BU$57),""),1),""),IF(MID(IFERROR(INDEX(醫師週班表!$C$5:$T$44,$CU18,BU$57),""),2,1)="(",LEFT(IFERROR(INDEX(醫師週班表!$C$5:$T$44,$CU18,BU$57),""),1),IFERROR(INDEX(醫師週班表!$C$5:$T$44,$CU18,BU$57),"")))))))</f>
        <v/>
      </c>
      <c r="BV18" s="67">
        <f>IF(BV$59="X","",IF(BV$59&lt;&gt;"",BV$59,IF(IFERROR(INDEX(醫師週班表!$C$5:$T$44,$CU18,BV$57),"")=0,"",IF(MID(IFERROR(INDEX(醫師週班表!$C$5:$T$44,$CU18,BV$57),""),2,1)="/",MID(IFERROR(INDEX(醫師週班表!$C$5:$T$44,$CU18,BV$57),""),1+BV$58*2,1),IF(MID(IFERROR(INDEX(醫師週班表!$C$5:$T$44,$CU18,BV$57),""),3,1)="隔",IF(BV$58=0,LEFT(IFERROR(INDEX(醫師週班表!$C$5:$T$44,$CU18,BV$57),""),1),""),IF(MID(IFERROR(INDEX(醫師週班表!$C$5:$T$44,$CU18,BV$57),""),2,1)="(",LEFT(IFERROR(INDEX(醫師週班表!$C$5:$T$44,$CU18,BV$57),""),1),IFERROR(INDEX(醫師週班表!$C$5:$T$44,$CU18,BV$57),"")))))))</f>
        <v/>
      </c>
      <c r="BW18" s="68">
        <f>IF(BW$59="X","",IF(BW$59&lt;&gt;"",BW$59,IF(IFERROR(INDEX(醫師週班表!$C$5:$T$44,$CU18,BW$57),"")=0,"",IF(MID(IFERROR(INDEX(醫師週班表!$C$5:$T$44,$CU18,BW$57),""),2,1)="/",MID(IFERROR(INDEX(醫師週班表!$C$5:$T$44,$CU18,BW$57),""),1+BW$58*2,1),IF(MID(IFERROR(INDEX(醫師週班表!$C$5:$T$44,$CU18,BW$57),""),3,1)="隔",IF(BW$58=0,LEFT(IFERROR(INDEX(醫師週班表!$C$5:$T$44,$CU18,BW$57),""),1),""),IF(MID(IFERROR(INDEX(醫師週班表!$C$5:$T$44,$CU18,BW$57),""),2,1)="(",LEFT(IFERROR(INDEX(醫師週班表!$C$5:$T$44,$CU18,BW$57),""),1),IFERROR(INDEX(醫師週班表!$C$5:$T$44,$CU18,BW$57),"")))))))</f>
        <v/>
      </c>
      <c r="BX18" s="68">
        <f>IF(BX$59="X","",IF(BX$59&lt;&gt;"",BX$59,IF(IFERROR(INDEX(醫師週班表!$C$5:$T$44,$CU18,BX$57),"")=0,"",IF(MID(IFERROR(INDEX(醫師週班表!$C$5:$T$44,$CU18,BX$57),""),2,1)="/",MID(IFERROR(INDEX(醫師週班表!$C$5:$T$44,$CU18,BX$57),""),1+BX$58*2,1),IF(MID(IFERROR(INDEX(醫師週班表!$C$5:$T$44,$CU18,BX$57),""),3,1)="隔",IF(BX$58=0,LEFT(IFERROR(INDEX(醫師週班表!$C$5:$T$44,$CU18,BX$57),""),1),""),IF(MID(IFERROR(INDEX(醫師週班表!$C$5:$T$44,$CU18,BX$57),""),2,1)="(",LEFT(IFERROR(INDEX(醫師週班表!$C$5:$T$44,$CU18,BX$57),""),1),IFERROR(INDEX(醫師週班表!$C$5:$T$44,$CU18,BX$57),"")))))))</f>
        <v/>
      </c>
      <c r="BY18" s="67">
        <f>IF(BY$59="X","",IF(BY$59&lt;&gt;"",BY$59,IF(IFERROR(INDEX(醫師週班表!$C$5:$T$44,$CU18,BY$57),"")=0,"",IF(MID(IFERROR(INDEX(醫師週班表!$C$5:$T$44,$CU18,BY$57),""),2,1)="/",MID(IFERROR(INDEX(醫師週班表!$C$5:$T$44,$CU18,BY$57),""),1+BY$58*2,1),IF(MID(IFERROR(INDEX(醫師週班表!$C$5:$T$44,$CU18,BY$57),""),3,1)="隔",IF(BY$58=0,LEFT(IFERROR(INDEX(醫師週班表!$C$5:$T$44,$CU18,BY$57),""),1),""),IF(MID(IFERROR(INDEX(醫師週班表!$C$5:$T$44,$CU18,BY$57),""),2,1)="(",LEFT(IFERROR(INDEX(醫師週班表!$C$5:$T$44,$CU18,BY$57),""),1),IFERROR(INDEX(醫師週班表!$C$5:$T$44,$CU18,BY$57),"")))))))</f>
        <v/>
      </c>
      <c r="BZ18" s="68">
        <f>IF(BZ$59="X","",IF(BZ$59&lt;&gt;"",BZ$59,IF(IFERROR(INDEX(醫師週班表!$C$5:$T$44,$CU18,BZ$57),"")=0,"",IF(MID(IFERROR(INDEX(醫師週班表!$C$5:$T$44,$CU18,BZ$57),""),2,1)="/",MID(IFERROR(INDEX(醫師週班表!$C$5:$T$44,$CU18,BZ$57),""),1+BZ$58*2,1),IF(MID(IFERROR(INDEX(醫師週班表!$C$5:$T$44,$CU18,BZ$57),""),3,1)="隔",IF(BZ$58=0,LEFT(IFERROR(INDEX(醫師週班表!$C$5:$T$44,$CU18,BZ$57),""),1),""),IF(MID(IFERROR(INDEX(醫師週班表!$C$5:$T$44,$CU18,BZ$57),""),2,1)="(",LEFT(IFERROR(INDEX(醫師週班表!$C$5:$T$44,$CU18,BZ$57),""),1),IFERROR(INDEX(醫師週班表!$C$5:$T$44,$CU18,BZ$57),"")))))))</f>
        <v/>
      </c>
      <c r="CA18" s="68">
        <f>IF(CA$59="X","",IF(CA$59&lt;&gt;"",CA$59,IF(IFERROR(INDEX(醫師週班表!$C$5:$T$44,$CU18,CA$57),"")=0,"",IF(MID(IFERROR(INDEX(醫師週班表!$C$5:$T$44,$CU18,CA$57),""),2,1)="/",MID(IFERROR(INDEX(醫師週班表!$C$5:$T$44,$CU18,CA$57),""),1+CA$58*2,1),IF(MID(IFERROR(INDEX(醫師週班表!$C$5:$T$44,$CU18,CA$57),""),3,1)="隔",IF(CA$58=0,LEFT(IFERROR(INDEX(醫師週班表!$C$5:$T$44,$CU18,CA$57),""),1),""),IF(MID(IFERROR(INDEX(醫師週班表!$C$5:$T$44,$CU18,CA$57),""),2,1)="(",LEFT(IFERROR(INDEX(醫師週班表!$C$5:$T$44,$CU18,CA$57),""),1),IFERROR(INDEX(醫師週班表!$C$5:$T$44,$CU18,CA$57),"")))))))</f>
        <v/>
      </c>
      <c r="CB18" s="67">
        <f>IF(CB$59="X","",IF(CB$59&lt;&gt;"",CB$59,IF(IFERROR(INDEX(醫師週班表!$C$5:$T$44,$CU18,CB$57),"")=0,"",IF(MID(IFERROR(INDEX(醫師週班表!$C$5:$T$44,$CU18,CB$57),""),2,1)="/",MID(IFERROR(INDEX(醫師週班表!$C$5:$T$44,$CU18,CB$57),""),1+CB$58*2,1),IF(MID(IFERROR(INDEX(醫師週班表!$C$5:$T$44,$CU18,CB$57),""),3,1)="隔",IF(CB$58=0,LEFT(IFERROR(INDEX(醫師週班表!$C$5:$T$44,$CU18,CB$57),""),1),""),IF(MID(IFERROR(INDEX(醫師週班表!$C$5:$T$44,$CU18,CB$57),""),2,1)="(",LEFT(IFERROR(INDEX(醫師週班表!$C$5:$T$44,$CU18,CB$57),""),1),IFERROR(INDEX(醫師週班表!$C$5:$T$44,$CU18,CB$57),"")))))))</f>
        <v/>
      </c>
      <c r="CC18" s="68">
        <f>IF(CC$59="X","",IF(CC$59&lt;&gt;"",CC$59,IF(IFERROR(INDEX(醫師週班表!$C$5:$T$44,$CU18,CC$57),"")=0,"",IF(MID(IFERROR(INDEX(醫師週班表!$C$5:$T$44,$CU18,CC$57),""),2,1)="/",MID(IFERROR(INDEX(醫師週班表!$C$5:$T$44,$CU18,CC$57),""),1+CC$58*2,1),IF(MID(IFERROR(INDEX(醫師週班表!$C$5:$T$44,$CU18,CC$57),""),3,1)="隔",IF(CC$58=0,LEFT(IFERROR(INDEX(醫師週班表!$C$5:$T$44,$CU18,CC$57),""),1),""),IF(MID(IFERROR(INDEX(醫師週班表!$C$5:$T$44,$CU18,CC$57),""),2,1)="(",LEFT(IFERROR(INDEX(醫師週班表!$C$5:$T$44,$CU18,CC$57),""),1),IFERROR(INDEX(醫師週班表!$C$5:$T$44,$CU18,CC$57),"")))))))</f>
        <v/>
      </c>
      <c r="CD18" s="68">
        <f>IF(CD$59="X","",IF(CD$59&lt;&gt;"",CD$59,IF(IFERROR(INDEX(醫師週班表!$C$5:$T$44,$CU18,CD$57),"")=0,"",IF(MID(IFERROR(INDEX(醫師週班表!$C$5:$T$44,$CU18,CD$57),""),2,1)="/",MID(IFERROR(INDEX(醫師週班表!$C$5:$T$44,$CU18,CD$57),""),1+CD$58*2,1),IF(MID(IFERROR(INDEX(醫師週班表!$C$5:$T$44,$CU18,CD$57),""),3,1)="隔",IF(CD$58=0,LEFT(IFERROR(INDEX(醫師週班表!$C$5:$T$44,$CU18,CD$57),""),1),""),IF(MID(IFERROR(INDEX(醫師週班表!$C$5:$T$44,$CU18,CD$57),""),2,1)="(",LEFT(IFERROR(INDEX(醫師週班表!$C$5:$T$44,$CU18,CD$57),""),1),IFERROR(INDEX(醫師週班表!$C$5:$T$44,$CU18,CD$57),"")))))))</f>
        <v/>
      </c>
      <c r="CE18" s="67">
        <f>IF(CE$59="X","",IF(CE$59&lt;&gt;"",CE$59,IF(IFERROR(INDEX(醫師週班表!$C$5:$T$44,$CU18,CE$57),"")=0,"",IF(MID(IFERROR(INDEX(醫師週班表!$C$5:$T$44,$CU18,CE$57),""),2,1)="/",MID(IFERROR(INDEX(醫師週班表!$C$5:$T$44,$CU18,CE$57),""),1+CE$58*2,1),IF(MID(IFERROR(INDEX(醫師週班表!$C$5:$T$44,$CU18,CE$57),""),3,1)="隔",IF(CE$58=0,LEFT(IFERROR(INDEX(醫師週班表!$C$5:$T$44,$CU18,CE$57),""),1),""),IF(MID(IFERROR(INDEX(醫師週班表!$C$5:$T$44,$CU18,CE$57),""),2,1)="(",LEFT(IFERROR(INDEX(醫師週班表!$C$5:$T$44,$CU18,CE$57),""),1),IFERROR(INDEX(醫師週班表!$C$5:$T$44,$CU18,CE$57),"")))))))</f>
        <v/>
      </c>
      <c r="CF18" s="68">
        <f>IF(CF$59="X","",IF(CF$59&lt;&gt;"",CF$59,IF(IFERROR(INDEX(醫師週班表!$C$5:$T$44,$CU18,CF$57),"")=0,"",IF(MID(IFERROR(INDEX(醫師週班表!$C$5:$T$44,$CU18,CF$57),""),2,1)="/",MID(IFERROR(INDEX(醫師週班表!$C$5:$T$44,$CU18,CF$57),""),1+CF$58*2,1),IF(MID(IFERROR(INDEX(醫師週班表!$C$5:$T$44,$CU18,CF$57),""),3,1)="隔",IF(CF$58=0,LEFT(IFERROR(INDEX(醫師週班表!$C$5:$T$44,$CU18,CF$57),""),1),""),IF(MID(IFERROR(INDEX(醫師週班表!$C$5:$T$44,$CU18,CF$57),""),2,1)="(",LEFT(IFERROR(INDEX(醫師週班表!$C$5:$T$44,$CU18,CF$57),""),1),IFERROR(INDEX(醫師週班表!$C$5:$T$44,$CU18,CF$57),"")))))))</f>
        <v/>
      </c>
      <c r="CG18" s="68">
        <f>IF(CG$59="X","",IF(CG$59&lt;&gt;"",CG$59,IF(IFERROR(INDEX(醫師週班表!$C$5:$T$44,$CU18,CG$57),"")=0,"",IF(MID(IFERROR(INDEX(醫師週班表!$C$5:$T$44,$CU18,CG$57),""),2,1)="/",MID(IFERROR(INDEX(醫師週班表!$C$5:$T$44,$CU18,CG$57),""),1+CG$58*2,1),IF(MID(IFERROR(INDEX(醫師週班表!$C$5:$T$44,$CU18,CG$57),""),3,1)="隔",IF(CG$58=0,LEFT(IFERROR(INDEX(醫師週班表!$C$5:$T$44,$CU18,CG$57),""),1),""),IF(MID(IFERROR(INDEX(醫師週班表!$C$5:$T$44,$CU18,CG$57),""),2,1)="(",LEFT(IFERROR(INDEX(醫師週班表!$C$5:$T$44,$CU18,CG$57),""),1),IFERROR(INDEX(醫師週班表!$C$5:$T$44,$CU18,CG$57),"")))))))</f>
        <v/>
      </c>
      <c r="CH18" s="67">
        <f>IF(CH$59="X","",IF(CH$59&lt;&gt;"",CH$59,IF(IFERROR(INDEX(醫師週班表!$C$5:$T$44,$CU18,CH$57),"")=0,"",IF(MID(IFERROR(INDEX(醫師週班表!$C$5:$T$44,$CU18,CH$57),""),2,1)="/",MID(IFERROR(INDEX(醫師週班表!$C$5:$T$44,$CU18,CH$57),""),1+CH$58*2,1),IF(MID(IFERROR(INDEX(醫師週班表!$C$5:$T$44,$CU18,CH$57),""),3,1)="隔",IF(CH$58=0,LEFT(IFERROR(INDEX(醫師週班表!$C$5:$T$44,$CU18,CH$57),""),1),""),IF(MID(IFERROR(INDEX(醫師週班表!$C$5:$T$44,$CU18,CH$57),""),2,1)="(",LEFT(IFERROR(INDEX(醫師週班表!$C$5:$T$44,$CU18,CH$57),""),1),IFERROR(INDEX(醫師週班表!$C$5:$T$44,$CU18,CH$57),"")))))))</f>
        <v/>
      </c>
      <c r="CI18" s="68">
        <f>IF(CI$59="X","",IF(CI$59&lt;&gt;"",CI$59,IF(IFERROR(INDEX(醫師週班表!$C$5:$T$44,$CU18,CI$57),"")=0,"",IF(MID(IFERROR(INDEX(醫師週班表!$C$5:$T$44,$CU18,CI$57),""),2,1)="/",MID(IFERROR(INDEX(醫師週班表!$C$5:$T$44,$CU18,CI$57),""),1+CI$58*2,1),IF(MID(IFERROR(INDEX(醫師週班表!$C$5:$T$44,$CU18,CI$57),""),3,1)="隔",IF(CI$58=0,LEFT(IFERROR(INDEX(醫師週班表!$C$5:$T$44,$CU18,CI$57),""),1),""),IF(MID(IFERROR(INDEX(醫師週班表!$C$5:$T$44,$CU18,CI$57),""),2,1)="(",LEFT(IFERROR(INDEX(醫師週班表!$C$5:$T$44,$CU18,CI$57),""),1),IFERROR(INDEX(醫師週班表!$C$5:$T$44,$CU18,CI$57),"")))))))</f>
        <v/>
      </c>
      <c r="CJ18" s="68">
        <f>IF(CJ$59="X","",IF(CJ$59&lt;&gt;"",CJ$59,IF(IFERROR(INDEX(醫師週班表!$C$5:$T$44,$CU18,CJ$57),"")=0,"",IF(MID(IFERROR(INDEX(醫師週班表!$C$5:$T$44,$CU18,CJ$57),""),2,1)="/",MID(IFERROR(INDEX(醫師週班表!$C$5:$T$44,$CU18,CJ$57),""),1+CJ$58*2,1),IF(MID(IFERROR(INDEX(醫師週班表!$C$5:$T$44,$CU18,CJ$57),""),3,1)="隔",IF(CJ$58=0,LEFT(IFERROR(INDEX(醫師週班表!$C$5:$T$44,$CU18,CJ$57),""),1),""),IF(MID(IFERROR(INDEX(醫師週班表!$C$5:$T$44,$CU18,CJ$57),""),2,1)="(",LEFT(IFERROR(INDEX(醫師週班表!$C$5:$T$44,$CU18,CJ$57),""),1),IFERROR(INDEX(醫師週班表!$C$5:$T$44,$CU18,CJ$57),"")))))))</f>
        <v/>
      </c>
      <c r="CK18" s="67">
        <f>IF(CK$59="X","",IF(CK$59&lt;&gt;"",CK$59,IF(IFERROR(INDEX(醫師週班表!$C$5:$T$44,$CU18,CK$57),"")=0,"",IF(MID(IFERROR(INDEX(醫師週班表!$C$5:$T$44,$CU18,CK$57),""),2,1)="/",MID(IFERROR(INDEX(醫師週班表!$C$5:$T$44,$CU18,CK$57),""),1+CK$58*2,1),IF(MID(IFERROR(INDEX(醫師週班表!$C$5:$T$44,$CU18,CK$57),""),3,1)="隔",IF(CK$58=0,LEFT(IFERROR(INDEX(醫師週班表!$C$5:$T$44,$CU18,CK$57),""),1),""),IF(MID(IFERROR(INDEX(醫師週班表!$C$5:$T$44,$CU18,CK$57),""),2,1)="(",LEFT(IFERROR(INDEX(醫師週班表!$C$5:$T$44,$CU18,CK$57),""),1),IFERROR(INDEX(醫師週班表!$C$5:$T$44,$CU18,CK$57),"")))))))</f>
        <v/>
      </c>
      <c r="CL18" s="68">
        <f>IF(CL$59="X","",IF(CL$59&lt;&gt;"",CL$59,IF(IFERROR(INDEX(醫師週班表!$C$5:$T$44,$CU18,CL$57),"")=0,"",IF(MID(IFERROR(INDEX(醫師週班表!$C$5:$T$44,$CU18,CL$57),""),2,1)="/",MID(IFERROR(INDEX(醫師週班表!$C$5:$T$44,$CU18,CL$57),""),1+CL$58*2,1),IF(MID(IFERROR(INDEX(醫師週班表!$C$5:$T$44,$CU18,CL$57),""),3,1)="隔",IF(CL$58=0,LEFT(IFERROR(INDEX(醫師週班表!$C$5:$T$44,$CU18,CL$57),""),1),""),IF(MID(IFERROR(INDEX(醫師週班表!$C$5:$T$44,$CU18,CL$57),""),2,1)="(",LEFT(IFERROR(INDEX(醫師週班表!$C$5:$T$44,$CU18,CL$57),""),1),IFERROR(INDEX(醫師週班表!$C$5:$T$44,$CU18,CL$57),"")))))))</f>
        <v/>
      </c>
      <c r="CM18" s="68">
        <f>IF(CM$59="X","",IF(CM$59&lt;&gt;"",CM$59,IF(IFERROR(INDEX(醫師週班表!$C$5:$T$44,$CU18,CM$57),"")=0,"",IF(MID(IFERROR(INDEX(醫師週班表!$C$5:$T$44,$CU18,CM$57),""),2,1)="/",MID(IFERROR(INDEX(醫師週班表!$C$5:$T$44,$CU18,CM$57),""),1+CM$58*2,1),IF(MID(IFERROR(INDEX(醫師週班表!$C$5:$T$44,$CU18,CM$57),""),3,1)="隔",IF(CM$58=0,LEFT(IFERROR(INDEX(醫師週班表!$C$5:$T$44,$CU18,CM$57),""),1),""),IF(MID(IFERROR(INDEX(醫師週班表!$C$5:$T$44,$CU18,CM$57),""),2,1)="(",LEFT(IFERROR(INDEX(醫師週班表!$C$5:$T$44,$CU18,CM$57),""),1),IFERROR(INDEX(醫師週班表!$C$5:$T$44,$CU18,CM$57),"")))))))</f>
        <v/>
      </c>
      <c r="CN18" s="67">
        <f>IF(CN$59="X","",IF(CN$59&lt;&gt;"",CN$59,IF(IFERROR(INDEX(醫師週班表!$C$5:$T$44,$CU18,CN$57),"")=0,"",IF(MID(IFERROR(INDEX(醫師週班表!$C$5:$T$44,$CU18,CN$57),""),2,1)="/",MID(IFERROR(INDEX(醫師週班表!$C$5:$T$44,$CU18,CN$57),""),1+CN$58*2,1),IF(MID(IFERROR(INDEX(醫師週班表!$C$5:$T$44,$CU18,CN$57),""),3,1)="隔",IF(CN$58=0,LEFT(IFERROR(INDEX(醫師週班表!$C$5:$T$44,$CU18,CN$57),""),1),""),IF(MID(IFERROR(INDEX(醫師週班表!$C$5:$T$44,$CU18,CN$57),""),2,1)="(",LEFT(IFERROR(INDEX(醫師週班表!$C$5:$T$44,$CU18,CN$57),""),1),IFERROR(INDEX(醫師週班表!$C$5:$T$44,$CU18,CN$57),"")))))))</f>
        <v/>
      </c>
      <c r="CO18" s="68">
        <f>IF(CO$59="X","",IF(CO$59&lt;&gt;"",CO$59,IF(IFERROR(INDEX(醫師週班表!$C$5:$T$44,$CU18,CO$57),"")=0,"",IF(MID(IFERROR(INDEX(醫師週班表!$C$5:$T$44,$CU18,CO$57),""),2,1)="/",MID(IFERROR(INDEX(醫師週班表!$C$5:$T$44,$CU18,CO$57),""),1+CO$58*2,1),IF(MID(IFERROR(INDEX(醫師週班表!$C$5:$T$44,$CU18,CO$57),""),3,1)="隔",IF(CO$58=0,LEFT(IFERROR(INDEX(醫師週班表!$C$5:$T$44,$CU18,CO$57),""),1),""),IF(MID(IFERROR(INDEX(醫師週班表!$C$5:$T$44,$CU18,CO$57),""),2,1)="(",LEFT(IFERROR(INDEX(醫師週班表!$C$5:$T$44,$CU18,CO$57),""),1),IFERROR(INDEX(醫師週班表!$C$5:$T$44,$CU18,CO$57),"")))))))</f>
        <v/>
      </c>
      <c r="CP18" s="68">
        <f>IF(CP$59="X","",IF(CP$59&lt;&gt;"",CP$59,IF(IFERROR(INDEX(醫師週班表!$C$5:$T$44,$CU18,CP$57),"")=0,"",IF(MID(IFERROR(INDEX(醫師週班表!$C$5:$T$44,$CU18,CP$57),""),2,1)="/",MID(IFERROR(INDEX(醫師週班表!$C$5:$T$44,$CU18,CP$57),""),1+CP$58*2,1),IF(MID(IFERROR(INDEX(醫師週班表!$C$5:$T$44,$CU18,CP$57),""),3,1)="隔",IF(CP$58=0,LEFT(IFERROR(INDEX(醫師週班表!$C$5:$T$44,$CU18,CP$57),""),1),""),IF(MID(IFERROR(INDEX(醫師週班表!$C$5:$T$44,$CU18,CP$57),""),2,1)="(",LEFT(IFERROR(INDEX(醫師週班表!$C$5:$T$44,$CU18,CP$57),""),1),IFERROR(INDEX(醫師週班表!$C$5:$T$44,$CU18,CP$57),"")))))))</f>
        <v/>
      </c>
      <c r="CQ18" s="67">
        <f>IF(CQ$59="X","",IF(CQ$59&lt;&gt;"",CQ$59,IF(IFERROR(INDEX(醫師週班表!$C$5:$T$44,$CU18,CQ$57),"")=0,"",IF(MID(IFERROR(INDEX(醫師週班表!$C$5:$T$44,$CU18,CQ$57),""),2,1)="/",MID(IFERROR(INDEX(醫師週班表!$C$5:$T$44,$CU18,CQ$57),""),1+CQ$58*2,1),IF(MID(IFERROR(INDEX(醫師週班表!$C$5:$T$44,$CU18,CQ$57),""),3,1)="隔",IF(CQ$58=0,LEFT(IFERROR(INDEX(醫師週班表!$C$5:$T$44,$CU18,CQ$57),""),1),""),IF(MID(IFERROR(INDEX(醫師週班表!$C$5:$T$44,$CU18,CQ$57),""),2,1)="(",LEFT(IFERROR(INDEX(醫師週班表!$C$5:$T$44,$CU18,CQ$57),""),1),IFERROR(INDEX(醫師週班表!$C$5:$T$44,$CU18,CQ$57),"")))))))</f>
        <v/>
      </c>
      <c r="CR18" s="68">
        <f>IF(CR$59="X","",IF(CR$59&lt;&gt;"",CR$59,IF(IFERROR(INDEX(醫師週班表!$C$5:$T$44,$CU18,CR$57),"")=0,"",IF(MID(IFERROR(INDEX(醫師週班表!$C$5:$T$44,$CU18,CR$57),""),2,1)="/",MID(IFERROR(INDEX(醫師週班表!$C$5:$T$44,$CU18,CR$57),""),1+CR$58*2,1),IF(MID(IFERROR(INDEX(醫師週班表!$C$5:$T$44,$CU18,CR$57),""),3,1)="隔",IF(CR$58=0,LEFT(IFERROR(INDEX(醫師週班表!$C$5:$T$44,$CU18,CR$57),""),1),""),IF(MID(IFERROR(INDEX(醫師週班表!$C$5:$T$44,$CU18,CR$57),""),2,1)="(",LEFT(IFERROR(INDEX(醫師週班表!$C$5:$T$44,$CU18,CR$57),""),1),IFERROR(INDEX(醫師週班表!$C$5:$T$44,$CU18,CR$57),"")))))))</f>
        <v/>
      </c>
      <c r="CS18" s="68">
        <f>IF(CS$59="X","",IF(CS$59&lt;&gt;"",CS$59,IF(IFERROR(INDEX(醫師週班表!$C$5:$T$44,$CU18,CS$57),"")=0,"",IF(MID(IFERROR(INDEX(醫師週班表!$C$5:$T$44,$CU18,CS$57),""),2,1)="/",MID(IFERROR(INDEX(醫師週班表!$C$5:$T$44,$CU18,CS$57),""),1+CS$58*2,1),IF(MID(IFERROR(INDEX(醫師週班表!$C$5:$T$44,$CU18,CS$57),""),3,1)="隔",IF(CS$58=0,LEFT(IFERROR(INDEX(醫師週班表!$C$5:$T$44,$CU18,CS$57),""),1),""),IF(MID(IFERROR(INDEX(醫師週班表!$C$5:$T$44,$CU18,CS$57),""),2,1)="(",LEFT(IFERROR(INDEX(醫師週班表!$C$5:$T$44,$CU18,CS$57),""),1),IFERROR(INDEX(醫師週班表!$C$5:$T$44,$CU18,CS$57),"")))))))</f>
        <v/>
      </c>
      <c r="CU18" s="69">
        <f>IFERROR(MATCH($A18,醫師週班表!$A$5:$A$44,0),0)</f>
        <v/>
      </c>
    </row>
    <row r="19" ht="17" customHeight="1">
      <c r="A19" s="20" t="inlineStr">
        <is>
          <t>D014</t>
        </is>
      </c>
      <c r="B19" s="16" t="inlineStr">
        <is>
          <t>鄭漢賢</t>
        </is>
      </c>
      <c r="C19" s="66" t="inlineStr"/>
      <c r="D19" s="16" t="inlineStr"/>
      <c r="E19" s="67">
        <f>IF(E$59="X","",IF(E$59&lt;&gt;"",E$59,IF(IFERROR(INDEX(醫師週班表!$C$5:$T$44,$CU19,E$57),"")=0,"",IF(MID(IFERROR(INDEX(醫師週班表!$C$5:$T$44,$CU19,E$57),""),2,1)="/",MID(IFERROR(INDEX(醫師週班表!$C$5:$T$44,$CU19,E$57),""),1+E$58*2,1),IF(MID(IFERROR(INDEX(醫師週班表!$C$5:$T$44,$CU19,E$57),""),3,1)="隔",IF(E$58=0,LEFT(IFERROR(INDEX(醫師週班表!$C$5:$T$44,$CU19,E$57),""),1),""),IF(MID(IFERROR(INDEX(醫師週班表!$C$5:$T$44,$CU19,E$57),""),2,1)="(",LEFT(IFERROR(INDEX(醫師週班表!$C$5:$T$44,$CU19,E$57),""),1),IFERROR(INDEX(醫師週班表!$C$5:$T$44,$CU19,E$57),"")))))))</f>
        <v/>
      </c>
      <c r="F19" s="68">
        <f>IF(F$59="X","",IF(F$59&lt;&gt;"",F$59,IF(IFERROR(INDEX(醫師週班表!$C$5:$T$44,$CU19,F$57),"")=0,"",IF(MID(IFERROR(INDEX(醫師週班表!$C$5:$T$44,$CU19,F$57),""),2,1)="/",MID(IFERROR(INDEX(醫師週班表!$C$5:$T$44,$CU19,F$57),""),1+F$58*2,1),IF(MID(IFERROR(INDEX(醫師週班表!$C$5:$T$44,$CU19,F$57),""),3,1)="隔",IF(F$58=0,LEFT(IFERROR(INDEX(醫師週班表!$C$5:$T$44,$CU19,F$57),""),1),""),IF(MID(IFERROR(INDEX(醫師週班表!$C$5:$T$44,$CU19,F$57),""),2,1)="(",LEFT(IFERROR(INDEX(醫師週班表!$C$5:$T$44,$CU19,F$57),""),1),IFERROR(INDEX(醫師週班表!$C$5:$T$44,$CU19,F$57),"")))))))</f>
        <v/>
      </c>
      <c r="G19" s="68">
        <f>IF(G$59="X","",IF(G$59&lt;&gt;"",G$59,IF(IFERROR(INDEX(醫師週班表!$C$5:$T$44,$CU19,G$57),"")=0,"",IF(MID(IFERROR(INDEX(醫師週班表!$C$5:$T$44,$CU19,G$57),""),2,1)="/",MID(IFERROR(INDEX(醫師週班表!$C$5:$T$44,$CU19,G$57),""),1+G$58*2,1),IF(MID(IFERROR(INDEX(醫師週班表!$C$5:$T$44,$CU19,G$57),""),3,1)="隔",IF(G$58=0,LEFT(IFERROR(INDEX(醫師週班表!$C$5:$T$44,$CU19,G$57),""),1),""),IF(MID(IFERROR(INDEX(醫師週班表!$C$5:$T$44,$CU19,G$57),""),2,1)="(",LEFT(IFERROR(INDEX(醫師週班表!$C$5:$T$44,$CU19,G$57),""),1),IFERROR(INDEX(醫師週班表!$C$5:$T$44,$CU19,G$57),"")))))))</f>
        <v/>
      </c>
      <c r="H19" s="67">
        <f>IF(H$59="X","",IF(H$59&lt;&gt;"",H$59,IF(IFERROR(INDEX(醫師週班表!$C$5:$T$44,$CU19,H$57),"")=0,"",IF(MID(IFERROR(INDEX(醫師週班表!$C$5:$T$44,$CU19,H$57),""),2,1)="/",MID(IFERROR(INDEX(醫師週班表!$C$5:$T$44,$CU19,H$57),""),1+H$58*2,1),IF(MID(IFERROR(INDEX(醫師週班表!$C$5:$T$44,$CU19,H$57),""),3,1)="隔",IF(H$58=0,LEFT(IFERROR(INDEX(醫師週班表!$C$5:$T$44,$CU19,H$57),""),1),""),IF(MID(IFERROR(INDEX(醫師週班表!$C$5:$T$44,$CU19,H$57),""),2,1)="(",LEFT(IFERROR(INDEX(醫師週班表!$C$5:$T$44,$CU19,H$57),""),1),IFERROR(INDEX(醫師週班表!$C$5:$T$44,$CU19,H$57),"")))))))</f>
        <v/>
      </c>
      <c r="I19" s="68">
        <f>IF(I$59="X","",IF(I$59&lt;&gt;"",I$59,IF(IFERROR(INDEX(醫師週班表!$C$5:$T$44,$CU19,I$57),"")=0,"",IF(MID(IFERROR(INDEX(醫師週班表!$C$5:$T$44,$CU19,I$57),""),2,1)="/",MID(IFERROR(INDEX(醫師週班表!$C$5:$T$44,$CU19,I$57),""),1+I$58*2,1),IF(MID(IFERROR(INDEX(醫師週班表!$C$5:$T$44,$CU19,I$57),""),3,1)="隔",IF(I$58=0,LEFT(IFERROR(INDEX(醫師週班表!$C$5:$T$44,$CU19,I$57),""),1),""),IF(MID(IFERROR(INDEX(醫師週班表!$C$5:$T$44,$CU19,I$57),""),2,1)="(",LEFT(IFERROR(INDEX(醫師週班表!$C$5:$T$44,$CU19,I$57),""),1),IFERROR(INDEX(醫師週班表!$C$5:$T$44,$CU19,I$57),"")))))))</f>
        <v/>
      </c>
      <c r="J19" s="68">
        <f>IF(J$59="X","",IF(J$59&lt;&gt;"",J$59,IF(IFERROR(INDEX(醫師週班表!$C$5:$T$44,$CU19,J$57),"")=0,"",IF(MID(IFERROR(INDEX(醫師週班表!$C$5:$T$44,$CU19,J$57),""),2,1)="/",MID(IFERROR(INDEX(醫師週班表!$C$5:$T$44,$CU19,J$57),""),1+J$58*2,1),IF(MID(IFERROR(INDEX(醫師週班表!$C$5:$T$44,$CU19,J$57),""),3,1)="隔",IF(J$58=0,LEFT(IFERROR(INDEX(醫師週班表!$C$5:$T$44,$CU19,J$57),""),1),""),IF(MID(IFERROR(INDEX(醫師週班表!$C$5:$T$44,$CU19,J$57),""),2,1)="(",LEFT(IFERROR(INDEX(醫師週班表!$C$5:$T$44,$CU19,J$57),""),1),IFERROR(INDEX(醫師週班表!$C$5:$T$44,$CU19,J$57),"")))))))</f>
        <v/>
      </c>
      <c r="K19" s="67">
        <f>IF(K$59="X","",IF(K$59&lt;&gt;"",K$59,IF(IFERROR(INDEX(醫師週班表!$C$5:$T$44,$CU19,K$57),"")=0,"",IF(MID(IFERROR(INDEX(醫師週班表!$C$5:$T$44,$CU19,K$57),""),2,1)="/",MID(IFERROR(INDEX(醫師週班表!$C$5:$T$44,$CU19,K$57),""),1+K$58*2,1),IF(MID(IFERROR(INDEX(醫師週班表!$C$5:$T$44,$CU19,K$57),""),3,1)="隔",IF(K$58=0,LEFT(IFERROR(INDEX(醫師週班表!$C$5:$T$44,$CU19,K$57),""),1),""),IF(MID(IFERROR(INDEX(醫師週班表!$C$5:$T$44,$CU19,K$57),""),2,1)="(",LEFT(IFERROR(INDEX(醫師週班表!$C$5:$T$44,$CU19,K$57),""),1),IFERROR(INDEX(醫師週班表!$C$5:$T$44,$CU19,K$57),"")))))))</f>
        <v/>
      </c>
      <c r="L19" s="68">
        <f>IF(L$59="X","",IF(L$59&lt;&gt;"",L$59,IF(IFERROR(INDEX(醫師週班表!$C$5:$T$44,$CU19,L$57),"")=0,"",IF(MID(IFERROR(INDEX(醫師週班表!$C$5:$T$44,$CU19,L$57),""),2,1)="/",MID(IFERROR(INDEX(醫師週班表!$C$5:$T$44,$CU19,L$57),""),1+L$58*2,1),IF(MID(IFERROR(INDEX(醫師週班表!$C$5:$T$44,$CU19,L$57),""),3,1)="隔",IF(L$58=0,LEFT(IFERROR(INDEX(醫師週班表!$C$5:$T$44,$CU19,L$57),""),1),""),IF(MID(IFERROR(INDEX(醫師週班表!$C$5:$T$44,$CU19,L$57),""),2,1)="(",LEFT(IFERROR(INDEX(醫師週班表!$C$5:$T$44,$CU19,L$57),""),1),IFERROR(INDEX(醫師週班表!$C$5:$T$44,$CU19,L$57),"")))))))</f>
        <v/>
      </c>
      <c r="M19" s="68">
        <f>IF(M$59="X","",IF(M$59&lt;&gt;"",M$59,IF(IFERROR(INDEX(醫師週班表!$C$5:$T$44,$CU19,M$57),"")=0,"",IF(MID(IFERROR(INDEX(醫師週班表!$C$5:$T$44,$CU19,M$57),""),2,1)="/",MID(IFERROR(INDEX(醫師週班表!$C$5:$T$44,$CU19,M$57),""),1+M$58*2,1),IF(MID(IFERROR(INDEX(醫師週班表!$C$5:$T$44,$CU19,M$57),""),3,1)="隔",IF(M$58=0,LEFT(IFERROR(INDEX(醫師週班表!$C$5:$T$44,$CU19,M$57),""),1),""),IF(MID(IFERROR(INDEX(醫師週班表!$C$5:$T$44,$CU19,M$57),""),2,1)="(",LEFT(IFERROR(INDEX(醫師週班表!$C$5:$T$44,$CU19,M$57),""),1),IFERROR(INDEX(醫師週班表!$C$5:$T$44,$CU19,M$57),"")))))))</f>
        <v/>
      </c>
      <c r="N19" s="67">
        <f>IF(N$59="X","",IF(N$59&lt;&gt;"",N$59,IF(IFERROR(INDEX(醫師週班表!$C$5:$T$44,$CU19,N$57),"")=0,"",IF(MID(IFERROR(INDEX(醫師週班表!$C$5:$T$44,$CU19,N$57),""),2,1)="/",MID(IFERROR(INDEX(醫師週班表!$C$5:$T$44,$CU19,N$57),""),1+N$58*2,1),IF(MID(IFERROR(INDEX(醫師週班表!$C$5:$T$44,$CU19,N$57),""),3,1)="隔",IF(N$58=0,LEFT(IFERROR(INDEX(醫師週班表!$C$5:$T$44,$CU19,N$57),""),1),""),IF(MID(IFERROR(INDEX(醫師週班表!$C$5:$T$44,$CU19,N$57),""),2,1)="(",LEFT(IFERROR(INDEX(醫師週班表!$C$5:$T$44,$CU19,N$57),""),1),IFERROR(INDEX(醫師週班表!$C$5:$T$44,$CU19,N$57),"")))))))</f>
        <v/>
      </c>
      <c r="O19" s="68">
        <f>IF(O$59="X","",IF(O$59&lt;&gt;"",O$59,IF(IFERROR(INDEX(醫師週班表!$C$5:$T$44,$CU19,O$57),"")=0,"",IF(MID(IFERROR(INDEX(醫師週班表!$C$5:$T$44,$CU19,O$57),""),2,1)="/",MID(IFERROR(INDEX(醫師週班表!$C$5:$T$44,$CU19,O$57),""),1+O$58*2,1),IF(MID(IFERROR(INDEX(醫師週班表!$C$5:$T$44,$CU19,O$57),""),3,1)="隔",IF(O$58=0,LEFT(IFERROR(INDEX(醫師週班表!$C$5:$T$44,$CU19,O$57),""),1),""),IF(MID(IFERROR(INDEX(醫師週班表!$C$5:$T$44,$CU19,O$57),""),2,1)="(",LEFT(IFERROR(INDEX(醫師週班表!$C$5:$T$44,$CU19,O$57),""),1),IFERROR(INDEX(醫師週班表!$C$5:$T$44,$CU19,O$57),"")))))))</f>
        <v/>
      </c>
      <c r="P19" s="68">
        <f>IF(P$59="X","",IF(P$59&lt;&gt;"",P$59,IF(IFERROR(INDEX(醫師週班表!$C$5:$T$44,$CU19,P$57),"")=0,"",IF(MID(IFERROR(INDEX(醫師週班表!$C$5:$T$44,$CU19,P$57),""),2,1)="/",MID(IFERROR(INDEX(醫師週班表!$C$5:$T$44,$CU19,P$57),""),1+P$58*2,1),IF(MID(IFERROR(INDEX(醫師週班表!$C$5:$T$44,$CU19,P$57),""),3,1)="隔",IF(P$58=0,LEFT(IFERROR(INDEX(醫師週班表!$C$5:$T$44,$CU19,P$57),""),1),""),IF(MID(IFERROR(INDEX(醫師週班表!$C$5:$T$44,$CU19,P$57),""),2,1)="(",LEFT(IFERROR(INDEX(醫師週班表!$C$5:$T$44,$CU19,P$57),""),1),IFERROR(INDEX(醫師週班表!$C$5:$T$44,$CU19,P$57),"")))))))</f>
        <v/>
      </c>
      <c r="Q19" s="67">
        <f>IF(Q$59="X","",IF(Q$59&lt;&gt;"",Q$59,IF(IFERROR(INDEX(醫師週班表!$C$5:$T$44,$CU19,Q$57),"")=0,"",IF(MID(IFERROR(INDEX(醫師週班表!$C$5:$T$44,$CU19,Q$57),""),2,1)="/",MID(IFERROR(INDEX(醫師週班表!$C$5:$T$44,$CU19,Q$57),""),1+Q$58*2,1),IF(MID(IFERROR(INDEX(醫師週班表!$C$5:$T$44,$CU19,Q$57),""),3,1)="隔",IF(Q$58=0,LEFT(IFERROR(INDEX(醫師週班表!$C$5:$T$44,$CU19,Q$57),""),1),""),IF(MID(IFERROR(INDEX(醫師週班表!$C$5:$T$44,$CU19,Q$57),""),2,1)="(",LEFT(IFERROR(INDEX(醫師週班表!$C$5:$T$44,$CU19,Q$57),""),1),IFERROR(INDEX(醫師週班表!$C$5:$T$44,$CU19,Q$57),"")))))))</f>
        <v/>
      </c>
      <c r="R19" s="68">
        <f>IF(R$59="X","",IF(R$59&lt;&gt;"",R$59,IF(IFERROR(INDEX(醫師週班表!$C$5:$T$44,$CU19,R$57),"")=0,"",IF(MID(IFERROR(INDEX(醫師週班表!$C$5:$T$44,$CU19,R$57),""),2,1)="/",MID(IFERROR(INDEX(醫師週班表!$C$5:$T$44,$CU19,R$57),""),1+R$58*2,1),IF(MID(IFERROR(INDEX(醫師週班表!$C$5:$T$44,$CU19,R$57),""),3,1)="隔",IF(R$58=0,LEFT(IFERROR(INDEX(醫師週班表!$C$5:$T$44,$CU19,R$57),""),1),""),IF(MID(IFERROR(INDEX(醫師週班表!$C$5:$T$44,$CU19,R$57),""),2,1)="(",LEFT(IFERROR(INDEX(醫師週班表!$C$5:$T$44,$CU19,R$57),""),1),IFERROR(INDEX(醫師週班表!$C$5:$T$44,$CU19,R$57),"")))))))</f>
        <v/>
      </c>
      <c r="S19" s="68">
        <f>IF(S$59="X","",IF(S$59&lt;&gt;"",S$59,IF(IFERROR(INDEX(醫師週班表!$C$5:$T$44,$CU19,S$57),"")=0,"",IF(MID(IFERROR(INDEX(醫師週班表!$C$5:$T$44,$CU19,S$57),""),2,1)="/",MID(IFERROR(INDEX(醫師週班表!$C$5:$T$44,$CU19,S$57),""),1+S$58*2,1),IF(MID(IFERROR(INDEX(醫師週班表!$C$5:$T$44,$CU19,S$57),""),3,1)="隔",IF(S$58=0,LEFT(IFERROR(INDEX(醫師週班表!$C$5:$T$44,$CU19,S$57),""),1),""),IF(MID(IFERROR(INDEX(醫師週班表!$C$5:$T$44,$CU19,S$57),""),2,1)="(",LEFT(IFERROR(INDEX(醫師週班表!$C$5:$T$44,$CU19,S$57),""),1),IFERROR(INDEX(醫師週班表!$C$5:$T$44,$CU19,S$57),"")))))))</f>
        <v/>
      </c>
      <c r="T19" s="67">
        <f>IF(T$59="X","",IF(T$59&lt;&gt;"",T$59,IF(IFERROR(INDEX(醫師週班表!$C$5:$T$44,$CU19,T$57),"")=0,"",IF(MID(IFERROR(INDEX(醫師週班表!$C$5:$T$44,$CU19,T$57),""),2,1)="/",MID(IFERROR(INDEX(醫師週班表!$C$5:$T$44,$CU19,T$57),""),1+T$58*2,1),IF(MID(IFERROR(INDEX(醫師週班表!$C$5:$T$44,$CU19,T$57),""),3,1)="隔",IF(T$58=0,LEFT(IFERROR(INDEX(醫師週班表!$C$5:$T$44,$CU19,T$57),""),1),""),IF(MID(IFERROR(INDEX(醫師週班表!$C$5:$T$44,$CU19,T$57),""),2,1)="(",LEFT(IFERROR(INDEX(醫師週班表!$C$5:$T$44,$CU19,T$57),""),1),IFERROR(INDEX(醫師週班表!$C$5:$T$44,$CU19,T$57),"")))))))</f>
        <v/>
      </c>
      <c r="U19" s="68">
        <f>IF(U$59="X","",IF(U$59&lt;&gt;"",U$59,IF(IFERROR(INDEX(醫師週班表!$C$5:$T$44,$CU19,U$57),"")=0,"",IF(MID(IFERROR(INDEX(醫師週班表!$C$5:$T$44,$CU19,U$57),""),2,1)="/",MID(IFERROR(INDEX(醫師週班表!$C$5:$T$44,$CU19,U$57),""),1+U$58*2,1),IF(MID(IFERROR(INDEX(醫師週班表!$C$5:$T$44,$CU19,U$57),""),3,1)="隔",IF(U$58=0,LEFT(IFERROR(INDEX(醫師週班表!$C$5:$T$44,$CU19,U$57),""),1),""),IF(MID(IFERROR(INDEX(醫師週班表!$C$5:$T$44,$CU19,U$57),""),2,1)="(",LEFT(IFERROR(INDEX(醫師週班表!$C$5:$T$44,$CU19,U$57),""),1),IFERROR(INDEX(醫師週班表!$C$5:$T$44,$CU19,U$57),"")))))))</f>
        <v/>
      </c>
      <c r="V19" s="68">
        <f>IF(V$59="X","",IF(V$59&lt;&gt;"",V$59,IF(IFERROR(INDEX(醫師週班表!$C$5:$T$44,$CU19,V$57),"")=0,"",IF(MID(IFERROR(INDEX(醫師週班表!$C$5:$T$44,$CU19,V$57),""),2,1)="/",MID(IFERROR(INDEX(醫師週班表!$C$5:$T$44,$CU19,V$57),""),1+V$58*2,1),IF(MID(IFERROR(INDEX(醫師週班表!$C$5:$T$44,$CU19,V$57),""),3,1)="隔",IF(V$58=0,LEFT(IFERROR(INDEX(醫師週班表!$C$5:$T$44,$CU19,V$57),""),1),""),IF(MID(IFERROR(INDEX(醫師週班表!$C$5:$T$44,$CU19,V$57),""),2,1)="(",LEFT(IFERROR(INDEX(醫師週班表!$C$5:$T$44,$CU19,V$57),""),1),IFERROR(INDEX(醫師週班表!$C$5:$T$44,$CU19,V$57),"")))))))</f>
        <v/>
      </c>
      <c r="W19" s="67">
        <f>IF(W$59="X","",IF(W$59&lt;&gt;"",W$59,IF(IFERROR(INDEX(醫師週班表!$C$5:$T$44,$CU19,W$57),"")=0,"",IF(MID(IFERROR(INDEX(醫師週班表!$C$5:$T$44,$CU19,W$57),""),2,1)="/",MID(IFERROR(INDEX(醫師週班表!$C$5:$T$44,$CU19,W$57),""),1+W$58*2,1),IF(MID(IFERROR(INDEX(醫師週班表!$C$5:$T$44,$CU19,W$57),""),3,1)="隔",IF(W$58=0,LEFT(IFERROR(INDEX(醫師週班表!$C$5:$T$44,$CU19,W$57),""),1),""),IF(MID(IFERROR(INDEX(醫師週班表!$C$5:$T$44,$CU19,W$57),""),2,1)="(",LEFT(IFERROR(INDEX(醫師週班表!$C$5:$T$44,$CU19,W$57),""),1),IFERROR(INDEX(醫師週班表!$C$5:$T$44,$CU19,W$57),"")))))))</f>
        <v/>
      </c>
      <c r="X19" s="68">
        <f>IF(X$59="X","",IF(X$59&lt;&gt;"",X$59,IF(IFERROR(INDEX(醫師週班表!$C$5:$T$44,$CU19,X$57),"")=0,"",IF(MID(IFERROR(INDEX(醫師週班表!$C$5:$T$44,$CU19,X$57),""),2,1)="/",MID(IFERROR(INDEX(醫師週班表!$C$5:$T$44,$CU19,X$57),""),1+X$58*2,1),IF(MID(IFERROR(INDEX(醫師週班表!$C$5:$T$44,$CU19,X$57),""),3,1)="隔",IF(X$58=0,LEFT(IFERROR(INDEX(醫師週班表!$C$5:$T$44,$CU19,X$57),""),1),""),IF(MID(IFERROR(INDEX(醫師週班表!$C$5:$T$44,$CU19,X$57),""),2,1)="(",LEFT(IFERROR(INDEX(醫師週班表!$C$5:$T$44,$CU19,X$57),""),1),IFERROR(INDEX(醫師週班表!$C$5:$T$44,$CU19,X$57),"")))))))</f>
        <v/>
      </c>
      <c r="Y19" s="68">
        <f>IF(Y$59="X","",IF(Y$59&lt;&gt;"",Y$59,IF(IFERROR(INDEX(醫師週班表!$C$5:$T$44,$CU19,Y$57),"")=0,"",IF(MID(IFERROR(INDEX(醫師週班表!$C$5:$T$44,$CU19,Y$57),""),2,1)="/",MID(IFERROR(INDEX(醫師週班表!$C$5:$T$44,$CU19,Y$57),""),1+Y$58*2,1),IF(MID(IFERROR(INDEX(醫師週班表!$C$5:$T$44,$CU19,Y$57),""),3,1)="隔",IF(Y$58=0,LEFT(IFERROR(INDEX(醫師週班表!$C$5:$T$44,$CU19,Y$57),""),1),""),IF(MID(IFERROR(INDEX(醫師週班表!$C$5:$T$44,$CU19,Y$57),""),2,1)="(",LEFT(IFERROR(INDEX(醫師週班表!$C$5:$T$44,$CU19,Y$57),""),1),IFERROR(INDEX(醫師週班表!$C$5:$T$44,$CU19,Y$57),"")))))))</f>
        <v/>
      </c>
      <c r="Z19" s="67">
        <f>IF(Z$59="X","",IF(Z$59&lt;&gt;"",Z$59,IF(IFERROR(INDEX(醫師週班表!$C$5:$T$44,$CU19,Z$57),"")=0,"",IF(MID(IFERROR(INDEX(醫師週班表!$C$5:$T$44,$CU19,Z$57),""),2,1)="/",MID(IFERROR(INDEX(醫師週班表!$C$5:$T$44,$CU19,Z$57),""),1+Z$58*2,1),IF(MID(IFERROR(INDEX(醫師週班表!$C$5:$T$44,$CU19,Z$57),""),3,1)="隔",IF(Z$58=0,LEFT(IFERROR(INDEX(醫師週班表!$C$5:$T$44,$CU19,Z$57),""),1),""),IF(MID(IFERROR(INDEX(醫師週班表!$C$5:$T$44,$CU19,Z$57),""),2,1)="(",LEFT(IFERROR(INDEX(醫師週班表!$C$5:$T$44,$CU19,Z$57),""),1),IFERROR(INDEX(醫師週班表!$C$5:$T$44,$CU19,Z$57),"")))))))</f>
        <v/>
      </c>
      <c r="AA19" s="68">
        <f>IF(AA$59="X","",IF(AA$59&lt;&gt;"",AA$59,IF(IFERROR(INDEX(醫師週班表!$C$5:$T$44,$CU19,AA$57),"")=0,"",IF(MID(IFERROR(INDEX(醫師週班表!$C$5:$T$44,$CU19,AA$57),""),2,1)="/",MID(IFERROR(INDEX(醫師週班表!$C$5:$T$44,$CU19,AA$57),""),1+AA$58*2,1),IF(MID(IFERROR(INDEX(醫師週班表!$C$5:$T$44,$CU19,AA$57),""),3,1)="隔",IF(AA$58=0,LEFT(IFERROR(INDEX(醫師週班表!$C$5:$T$44,$CU19,AA$57),""),1),""),IF(MID(IFERROR(INDEX(醫師週班表!$C$5:$T$44,$CU19,AA$57),""),2,1)="(",LEFT(IFERROR(INDEX(醫師週班表!$C$5:$T$44,$CU19,AA$57),""),1),IFERROR(INDEX(醫師週班表!$C$5:$T$44,$CU19,AA$57),"")))))))</f>
        <v/>
      </c>
      <c r="AB19" s="68">
        <f>IF(AB$59="X","",IF(AB$59&lt;&gt;"",AB$59,IF(IFERROR(INDEX(醫師週班表!$C$5:$T$44,$CU19,AB$57),"")=0,"",IF(MID(IFERROR(INDEX(醫師週班表!$C$5:$T$44,$CU19,AB$57),""),2,1)="/",MID(IFERROR(INDEX(醫師週班表!$C$5:$T$44,$CU19,AB$57),""),1+AB$58*2,1),IF(MID(IFERROR(INDEX(醫師週班表!$C$5:$T$44,$CU19,AB$57),""),3,1)="隔",IF(AB$58=0,LEFT(IFERROR(INDEX(醫師週班表!$C$5:$T$44,$CU19,AB$57),""),1),""),IF(MID(IFERROR(INDEX(醫師週班表!$C$5:$T$44,$CU19,AB$57),""),2,1)="(",LEFT(IFERROR(INDEX(醫師週班表!$C$5:$T$44,$CU19,AB$57),""),1),IFERROR(INDEX(醫師週班表!$C$5:$T$44,$CU19,AB$57),"")))))))</f>
        <v/>
      </c>
      <c r="AC19" s="67">
        <f>IF(AC$59="X","",IF(AC$59&lt;&gt;"",AC$59,IF(IFERROR(INDEX(醫師週班表!$C$5:$T$44,$CU19,AC$57),"")=0,"",IF(MID(IFERROR(INDEX(醫師週班表!$C$5:$T$44,$CU19,AC$57),""),2,1)="/",MID(IFERROR(INDEX(醫師週班表!$C$5:$T$44,$CU19,AC$57),""),1+AC$58*2,1),IF(MID(IFERROR(INDEX(醫師週班表!$C$5:$T$44,$CU19,AC$57),""),3,1)="隔",IF(AC$58=0,LEFT(IFERROR(INDEX(醫師週班表!$C$5:$T$44,$CU19,AC$57),""),1),""),IF(MID(IFERROR(INDEX(醫師週班表!$C$5:$T$44,$CU19,AC$57),""),2,1)="(",LEFT(IFERROR(INDEX(醫師週班表!$C$5:$T$44,$CU19,AC$57),""),1),IFERROR(INDEX(醫師週班表!$C$5:$T$44,$CU19,AC$57),"")))))))</f>
        <v/>
      </c>
      <c r="AD19" s="68">
        <f>IF(AD$59="X","",IF(AD$59&lt;&gt;"",AD$59,IF(IFERROR(INDEX(醫師週班表!$C$5:$T$44,$CU19,AD$57),"")=0,"",IF(MID(IFERROR(INDEX(醫師週班表!$C$5:$T$44,$CU19,AD$57),""),2,1)="/",MID(IFERROR(INDEX(醫師週班表!$C$5:$T$44,$CU19,AD$57),""),1+AD$58*2,1),IF(MID(IFERROR(INDEX(醫師週班表!$C$5:$T$44,$CU19,AD$57),""),3,1)="隔",IF(AD$58=0,LEFT(IFERROR(INDEX(醫師週班表!$C$5:$T$44,$CU19,AD$57),""),1),""),IF(MID(IFERROR(INDEX(醫師週班表!$C$5:$T$44,$CU19,AD$57),""),2,1)="(",LEFT(IFERROR(INDEX(醫師週班表!$C$5:$T$44,$CU19,AD$57),""),1),IFERROR(INDEX(醫師週班表!$C$5:$T$44,$CU19,AD$57),"")))))))</f>
        <v/>
      </c>
      <c r="AE19" s="68">
        <f>IF(AE$59="X","",IF(AE$59&lt;&gt;"",AE$59,IF(IFERROR(INDEX(醫師週班表!$C$5:$T$44,$CU19,AE$57),"")=0,"",IF(MID(IFERROR(INDEX(醫師週班表!$C$5:$T$44,$CU19,AE$57),""),2,1)="/",MID(IFERROR(INDEX(醫師週班表!$C$5:$T$44,$CU19,AE$57),""),1+AE$58*2,1),IF(MID(IFERROR(INDEX(醫師週班表!$C$5:$T$44,$CU19,AE$57),""),3,1)="隔",IF(AE$58=0,LEFT(IFERROR(INDEX(醫師週班表!$C$5:$T$44,$CU19,AE$57),""),1),""),IF(MID(IFERROR(INDEX(醫師週班表!$C$5:$T$44,$CU19,AE$57),""),2,1)="(",LEFT(IFERROR(INDEX(醫師週班表!$C$5:$T$44,$CU19,AE$57),""),1),IFERROR(INDEX(醫師週班表!$C$5:$T$44,$CU19,AE$57),"")))))))</f>
        <v/>
      </c>
      <c r="AF19" s="67">
        <f>IF(AF$59="X","",IF(AF$59&lt;&gt;"",AF$59,IF(IFERROR(INDEX(醫師週班表!$C$5:$T$44,$CU19,AF$57),"")=0,"",IF(MID(IFERROR(INDEX(醫師週班表!$C$5:$T$44,$CU19,AF$57),""),2,1)="/",MID(IFERROR(INDEX(醫師週班表!$C$5:$T$44,$CU19,AF$57),""),1+AF$58*2,1),IF(MID(IFERROR(INDEX(醫師週班表!$C$5:$T$44,$CU19,AF$57),""),3,1)="隔",IF(AF$58=0,LEFT(IFERROR(INDEX(醫師週班表!$C$5:$T$44,$CU19,AF$57),""),1),""),IF(MID(IFERROR(INDEX(醫師週班表!$C$5:$T$44,$CU19,AF$57),""),2,1)="(",LEFT(IFERROR(INDEX(醫師週班表!$C$5:$T$44,$CU19,AF$57),""),1),IFERROR(INDEX(醫師週班表!$C$5:$T$44,$CU19,AF$57),"")))))))</f>
        <v/>
      </c>
      <c r="AG19" s="68">
        <f>IF(AG$59="X","",IF(AG$59&lt;&gt;"",AG$59,IF(IFERROR(INDEX(醫師週班表!$C$5:$T$44,$CU19,AG$57),"")=0,"",IF(MID(IFERROR(INDEX(醫師週班表!$C$5:$T$44,$CU19,AG$57),""),2,1)="/",MID(IFERROR(INDEX(醫師週班表!$C$5:$T$44,$CU19,AG$57),""),1+AG$58*2,1),IF(MID(IFERROR(INDEX(醫師週班表!$C$5:$T$44,$CU19,AG$57),""),3,1)="隔",IF(AG$58=0,LEFT(IFERROR(INDEX(醫師週班表!$C$5:$T$44,$CU19,AG$57),""),1),""),IF(MID(IFERROR(INDEX(醫師週班表!$C$5:$T$44,$CU19,AG$57),""),2,1)="(",LEFT(IFERROR(INDEX(醫師週班表!$C$5:$T$44,$CU19,AG$57),""),1),IFERROR(INDEX(醫師週班表!$C$5:$T$44,$CU19,AG$57),"")))))))</f>
        <v/>
      </c>
      <c r="AH19" s="68">
        <f>IF(AH$59="X","",IF(AH$59&lt;&gt;"",AH$59,IF(IFERROR(INDEX(醫師週班表!$C$5:$T$44,$CU19,AH$57),"")=0,"",IF(MID(IFERROR(INDEX(醫師週班表!$C$5:$T$44,$CU19,AH$57),""),2,1)="/",MID(IFERROR(INDEX(醫師週班表!$C$5:$T$44,$CU19,AH$57),""),1+AH$58*2,1),IF(MID(IFERROR(INDEX(醫師週班表!$C$5:$T$44,$CU19,AH$57),""),3,1)="隔",IF(AH$58=0,LEFT(IFERROR(INDEX(醫師週班表!$C$5:$T$44,$CU19,AH$57),""),1),""),IF(MID(IFERROR(INDEX(醫師週班表!$C$5:$T$44,$CU19,AH$57),""),2,1)="(",LEFT(IFERROR(INDEX(醫師週班表!$C$5:$T$44,$CU19,AH$57),""),1),IFERROR(INDEX(醫師週班表!$C$5:$T$44,$CU19,AH$57),"")))))))</f>
        <v/>
      </c>
      <c r="AI19" s="67">
        <f>IF(AI$59="X","",IF(AI$59&lt;&gt;"",AI$59,IF(IFERROR(INDEX(醫師週班表!$C$5:$T$44,$CU19,AI$57),"")=0,"",IF(MID(IFERROR(INDEX(醫師週班表!$C$5:$T$44,$CU19,AI$57),""),2,1)="/",MID(IFERROR(INDEX(醫師週班表!$C$5:$T$44,$CU19,AI$57),""),1+AI$58*2,1),IF(MID(IFERROR(INDEX(醫師週班表!$C$5:$T$44,$CU19,AI$57),""),3,1)="隔",IF(AI$58=0,LEFT(IFERROR(INDEX(醫師週班表!$C$5:$T$44,$CU19,AI$57),""),1),""),IF(MID(IFERROR(INDEX(醫師週班表!$C$5:$T$44,$CU19,AI$57),""),2,1)="(",LEFT(IFERROR(INDEX(醫師週班表!$C$5:$T$44,$CU19,AI$57),""),1),IFERROR(INDEX(醫師週班表!$C$5:$T$44,$CU19,AI$57),"")))))))</f>
        <v/>
      </c>
      <c r="AJ19" s="68">
        <f>IF(AJ$59="X","",IF(AJ$59&lt;&gt;"",AJ$59,IF(IFERROR(INDEX(醫師週班表!$C$5:$T$44,$CU19,AJ$57),"")=0,"",IF(MID(IFERROR(INDEX(醫師週班表!$C$5:$T$44,$CU19,AJ$57),""),2,1)="/",MID(IFERROR(INDEX(醫師週班表!$C$5:$T$44,$CU19,AJ$57),""),1+AJ$58*2,1),IF(MID(IFERROR(INDEX(醫師週班表!$C$5:$T$44,$CU19,AJ$57),""),3,1)="隔",IF(AJ$58=0,LEFT(IFERROR(INDEX(醫師週班表!$C$5:$T$44,$CU19,AJ$57),""),1),""),IF(MID(IFERROR(INDEX(醫師週班表!$C$5:$T$44,$CU19,AJ$57),""),2,1)="(",LEFT(IFERROR(INDEX(醫師週班表!$C$5:$T$44,$CU19,AJ$57),""),1),IFERROR(INDEX(醫師週班表!$C$5:$T$44,$CU19,AJ$57),"")))))))</f>
        <v/>
      </c>
      <c r="AK19" s="68">
        <f>IF(AK$59="X","",IF(AK$59&lt;&gt;"",AK$59,IF(IFERROR(INDEX(醫師週班表!$C$5:$T$44,$CU19,AK$57),"")=0,"",IF(MID(IFERROR(INDEX(醫師週班表!$C$5:$T$44,$CU19,AK$57),""),2,1)="/",MID(IFERROR(INDEX(醫師週班表!$C$5:$T$44,$CU19,AK$57),""),1+AK$58*2,1),IF(MID(IFERROR(INDEX(醫師週班表!$C$5:$T$44,$CU19,AK$57),""),3,1)="隔",IF(AK$58=0,LEFT(IFERROR(INDEX(醫師週班表!$C$5:$T$44,$CU19,AK$57),""),1),""),IF(MID(IFERROR(INDEX(醫師週班表!$C$5:$T$44,$CU19,AK$57),""),2,1)="(",LEFT(IFERROR(INDEX(醫師週班表!$C$5:$T$44,$CU19,AK$57),""),1),IFERROR(INDEX(醫師週班表!$C$5:$T$44,$CU19,AK$57),"")))))))</f>
        <v/>
      </c>
      <c r="AL19" s="67">
        <f>IF(AL$59="X","",IF(AL$59&lt;&gt;"",AL$59,IF(IFERROR(INDEX(醫師週班表!$C$5:$T$44,$CU19,AL$57),"")=0,"",IF(MID(IFERROR(INDEX(醫師週班表!$C$5:$T$44,$CU19,AL$57),""),2,1)="/",MID(IFERROR(INDEX(醫師週班表!$C$5:$T$44,$CU19,AL$57),""),1+AL$58*2,1),IF(MID(IFERROR(INDEX(醫師週班表!$C$5:$T$44,$CU19,AL$57),""),3,1)="隔",IF(AL$58=0,LEFT(IFERROR(INDEX(醫師週班表!$C$5:$T$44,$CU19,AL$57),""),1),""),IF(MID(IFERROR(INDEX(醫師週班表!$C$5:$T$44,$CU19,AL$57),""),2,1)="(",LEFT(IFERROR(INDEX(醫師週班表!$C$5:$T$44,$CU19,AL$57),""),1),IFERROR(INDEX(醫師週班表!$C$5:$T$44,$CU19,AL$57),"")))))))</f>
        <v/>
      </c>
      <c r="AM19" s="68">
        <f>IF(AM$59="X","",IF(AM$59&lt;&gt;"",AM$59,IF(IFERROR(INDEX(醫師週班表!$C$5:$T$44,$CU19,AM$57),"")=0,"",IF(MID(IFERROR(INDEX(醫師週班表!$C$5:$T$44,$CU19,AM$57),""),2,1)="/",MID(IFERROR(INDEX(醫師週班表!$C$5:$T$44,$CU19,AM$57),""),1+AM$58*2,1),IF(MID(IFERROR(INDEX(醫師週班表!$C$5:$T$44,$CU19,AM$57),""),3,1)="隔",IF(AM$58=0,LEFT(IFERROR(INDEX(醫師週班表!$C$5:$T$44,$CU19,AM$57),""),1),""),IF(MID(IFERROR(INDEX(醫師週班表!$C$5:$T$44,$CU19,AM$57),""),2,1)="(",LEFT(IFERROR(INDEX(醫師週班表!$C$5:$T$44,$CU19,AM$57),""),1),IFERROR(INDEX(醫師週班表!$C$5:$T$44,$CU19,AM$57),"")))))))</f>
        <v/>
      </c>
      <c r="AN19" s="68">
        <f>IF(AN$59="X","",IF(AN$59&lt;&gt;"",AN$59,IF(IFERROR(INDEX(醫師週班表!$C$5:$T$44,$CU19,AN$57),"")=0,"",IF(MID(IFERROR(INDEX(醫師週班表!$C$5:$T$44,$CU19,AN$57),""),2,1)="/",MID(IFERROR(INDEX(醫師週班表!$C$5:$T$44,$CU19,AN$57),""),1+AN$58*2,1),IF(MID(IFERROR(INDEX(醫師週班表!$C$5:$T$44,$CU19,AN$57),""),3,1)="隔",IF(AN$58=0,LEFT(IFERROR(INDEX(醫師週班表!$C$5:$T$44,$CU19,AN$57),""),1),""),IF(MID(IFERROR(INDEX(醫師週班表!$C$5:$T$44,$CU19,AN$57),""),2,1)="(",LEFT(IFERROR(INDEX(醫師週班表!$C$5:$T$44,$CU19,AN$57),""),1),IFERROR(INDEX(醫師週班表!$C$5:$T$44,$CU19,AN$57),"")))))))</f>
        <v/>
      </c>
      <c r="AO19" s="67">
        <f>IF(AO$59="X","",IF(AO$59&lt;&gt;"",AO$59,IF(IFERROR(INDEX(醫師週班表!$C$5:$T$44,$CU19,AO$57),"")=0,"",IF(MID(IFERROR(INDEX(醫師週班表!$C$5:$T$44,$CU19,AO$57),""),2,1)="/",MID(IFERROR(INDEX(醫師週班表!$C$5:$T$44,$CU19,AO$57),""),1+AO$58*2,1),IF(MID(IFERROR(INDEX(醫師週班表!$C$5:$T$44,$CU19,AO$57),""),3,1)="隔",IF(AO$58=0,LEFT(IFERROR(INDEX(醫師週班表!$C$5:$T$44,$CU19,AO$57),""),1),""),IF(MID(IFERROR(INDEX(醫師週班表!$C$5:$T$44,$CU19,AO$57),""),2,1)="(",LEFT(IFERROR(INDEX(醫師週班表!$C$5:$T$44,$CU19,AO$57),""),1),IFERROR(INDEX(醫師週班表!$C$5:$T$44,$CU19,AO$57),"")))))))</f>
        <v/>
      </c>
      <c r="AP19" s="68">
        <f>IF(AP$59="X","",IF(AP$59&lt;&gt;"",AP$59,IF(IFERROR(INDEX(醫師週班表!$C$5:$T$44,$CU19,AP$57),"")=0,"",IF(MID(IFERROR(INDEX(醫師週班表!$C$5:$T$44,$CU19,AP$57),""),2,1)="/",MID(IFERROR(INDEX(醫師週班表!$C$5:$T$44,$CU19,AP$57),""),1+AP$58*2,1),IF(MID(IFERROR(INDEX(醫師週班表!$C$5:$T$44,$CU19,AP$57),""),3,1)="隔",IF(AP$58=0,LEFT(IFERROR(INDEX(醫師週班表!$C$5:$T$44,$CU19,AP$57),""),1),""),IF(MID(IFERROR(INDEX(醫師週班表!$C$5:$T$44,$CU19,AP$57),""),2,1)="(",LEFT(IFERROR(INDEX(醫師週班表!$C$5:$T$44,$CU19,AP$57),""),1),IFERROR(INDEX(醫師週班表!$C$5:$T$44,$CU19,AP$57),"")))))))</f>
        <v/>
      </c>
      <c r="AQ19" s="68">
        <f>IF(AQ$59="X","",IF(AQ$59&lt;&gt;"",AQ$59,IF(IFERROR(INDEX(醫師週班表!$C$5:$T$44,$CU19,AQ$57),"")=0,"",IF(MID(IFERROR(INDEX(醫師週班表!$C$5:$T$44,$CU19,AQ$57),""),2,1)="/",MID(IFERROR(INDEX(醫師週班表!$C$5:$T$44,$CU19,AQ$57),""),1+AQ$58*2,1),IF(MID(IFERROR(INDEX(醫師週班表!$C$5:$T$44,$CU19,AQ$57),""),3,1)="隔",IF(AQ$58=0,LEFT(IFERROR(INDEX(醫師週班表!$C$5:$T$44,$CU19,AQ$57),""),1),""),IF(MID(IFERROR(INDEX(醫師週班表!$C$5:$T$44,$CU19,AQ$57),""),2,1)="(",LEFT(IFERROR(INDEX(醫師週班表!$C$5:$T$44,$CU19,AQ$57),""),1),IFERROR(INDEX(醫師週班表!$C$5:$T$44,$CU19,AQ$57),"")))))))</f>
        <v/>
      </c>
      <c r="AR19" s="67">
        <f>IF(AR$59="X","",IF(AR$59&lt;&gt;"",AR$59,IF(IFERROR(INDEX(醫師週班表!$C$5:$T$44,$CU19,AR$57),"")=0,"",IF(MID(IFERROR(INDEX(醫師週班表!$C$5:$T$44,$CU19,AR$57),""),2,1)="/",MID(IFERROR(INDEX(醫師週班表!$C$5:$T$44,$CU19,AR$57),""),1+AR$58*2,1),IF(MID(IFERROR(INDEX(醫師週班表!$C$5:$T$44,$CU19,AR$57),""),3,1)="隔",IF(AR$58=0,LEFT(IFERROR(INDEX(醫師週班表!$C$5:$T$44,$CU19,AR$57),""),1),""),IF(MID(IFERROR(INDEX(醫師週班表!$C$5:$T$44,$CU19,AR$57),""),2,1)="(",LEFT(IFERROR(INDEX(醫師週班表!$C$5:$T$44,$CU19,AR$57),""),1),IFERROR(INDEX(醫師週班表!$C$5:$T$44,$CU19,AR$57),"")))))))</f>
        <v/>
      </c>
      <c r="AS19" s="68">
        <f>IF(AS$59="X","",IF(AS$59&lt;&gt;"",AS$59,IF(IFERROR(INDEX(醫師週班表!$C$5:$T$44,$CU19,AS$57),"")=0,"",IF(MID(IFERROR(INDEX(醫師週班表!$C$5:$T$44,$CU19,AS$57),""),2,1)="/",MID(IFERROR(INDEX(醫師週班表!$C$5:$T$44,$CU19,AS$57),""),1+AS$58*2,1),IF(MID(IFERROR(INDEX(醫師週班表!$C$5:$T$44,$CU19,AS$57),""),3,1)="隔",IF(AS$58=0,LEFT(IFERROR(INDEX(醫師週班表!$C$5:$T$44,$CU19,AS$57),""),1),""),IF(MID(IFERROR(INDEX(醫師週班表!$C$5:$T$44,$CU19,AS$57),""),2,1)="(",LEFT(IFERROR(INDEX(醫師週班表!$C$5:$T$44,$CU19,AS$57),""),1),IFERROR(INDEX(醫師週班表!$C$5:$T$44,$CU19,AS$57),"")))))))</f>
        <v/>
      </c>
      <c r="AT19" s="68">
        <f>IF(AT$59="X","",IF(AT$59&lt;&gt;"",AT$59,IF(IFERROR(INDEX(醫師週班表!$C$5:$T$44,$CU19,AT$57),"")=0,"",IF(MID(IFERROR(INDEX(醫師週班表!$C$5:$T$44,$CU19,AT$57),""),2,1)="/",MID(IFERROR(INDEX(醫師週班表!$C$5:$T$44,$CU19,AT$57),""),1+AT$58*2,1),IF(MID(IFERROR(INDEX(醫師週班表!$C$5:$T$44,$CU19,AT$57),""),3,1)="隔",IF(AT$58=0,LEFT(IFERROR(INDEX(醫師週班表!$C$5:$T$44,$CU19,AT$57),""),1),""),IF(MID(IFERROR(INDEX(醫師週班表!$C$5:$T$44,$CU19,AT$57),""),2,1)="(",LEFT(IFERROR(INDEX(醫師週班表!$C$5:$T$44,$CU19,AT$57),""),1),IFERROR(INDEX(醫師週班表!$C$5:$T$44,$CU19,AT$57),"")))))))</f>
        <v/>
      </c>
      <c r="AU19" s="67">
        <f>IF(AU$59="X","",IF(AU$59&lt;&gt;"",AU$59,IF(IFERROR(INDEX(醫師週班表!$C$5:$T$44,$CU19,AU$57),"")=0,"",IF(MID(IFERROR(INDEX(醫師週班表!$C$5:$T$44,$CU19,AU$57),""),2,1)="/",MID(IFERROR(INDEX(醫師週班表!$C$5:$T$44,$CU19,AU$57),""),1+AU$58*2,1),IF(MID(IFERROR(INDEX(醫師週班表!$C$5:$T$44,$CU19,AU$57),""),3,1)="隔",IF(AU$58=0,LEFT(IFERROR(INDEX(醫師週班表!$C$5:$T$44,$CU19,AU$57),""),1),""),IF(MID(IFERROR(INDEX(醫師週班表!$C$5:$T$44,$CU19,AU$57),""),2,1)="(",LEFT(IFERROR(INDEX(醫師週班表!$C$5:$T$44,$CU19,AU$57),""),1),IFERROR(INDEX(醫師週班表!$C$5:$T$44,$CU19,AU$57),"")))))))</f>
        <v/>
      </c>
      <c r="AV19" s="68">
        <f>IF(AV$59="X","",IF(AV$59&lt;&gt;"",AV$59,IF(IFERROR(INDEX(醫師週班表!$C$5:$T$44,$CU19,AV$57),"")=0,"",IF(MID(IFERROR(INDEX(醫師週班表!$C$5:$T$44,$CU19,AV$57),""),2,1)="/",MID(IFERROR(INDEX(醫師週班表!$C$5:$T$44,$CU19,AV$57),""),1+AV$58*2,1),IF(MID(IFERROR(INDEX(醫師週班表!$C$5:$T$44,$CU19,AV$57),""),3,1)="隔",IF(AV$58=0,LEFT(IFERROR(INDEX(醫師週班表!$C$5:$T$44,$CU19,AV$57),""),1),""),IF(MID(IFERROR(INDEX(醫師週班表!$C$5:$T$44,$CU19,AV$57),""),2,1)="(",LEFT(IFERROR(INDEX(醫師週班表!$C$5:$T$44,$CU19,AV$57),""),1),IFERROR(INDEX(醫師週班表!$C$5:$T$44,$CU19,AV$57),"")))))))</f>
        <v/>
      </c>
      <c r="AW19" s="68">
        <f>IF(AW$59="X","",IF(AW$59&lt;&gt;"",AW$59,IF(IFERROR(INDEX(醫師週班表!$C$5:$T$44,$CU19,AW$57),"")=0,"",IF(MID(IFERROR(INDEX(醫師週班表!$C$5:$T$44,$CU19,AW$57),""),2,1)="/",MID(IFERROR(INDEX(醫師週班表!$C$5:$T$44,$CU19,AW$57),""),1+AW$58*2,1),IF(MID(IFERROR(INDEX(醫師週班表!$C$5:$T$44,$CU19,AW$57),""),3,1)="隔",IF(AW$58=0,LEFT(IFERROR(INDEX(醫師週班表!$C$5:$T$44,$CU19,AW$57),""),1),""),IF(MID(IFERROR(INDEX(醫師週班表!$C$5:$T$44,$CU19,AW$57),""),2,1)="(",LEFT(IFERROR(INDEX(醫師週班表!$C$5:$T$44,$CU19,AW$57),""),1),IFERROR(INDEX(醫師週班表!$C$5:$T$44,$CU19,AW$57),"")))))))</f>
        <v/>
      </c>
      <c r="AX19" s="67">
        <f>IF(AX$59="X","",IF(AX$59&lt;&gt;"",AX$59,IF(IFERROR(INDEX(醫師週班表!$C$5:$T$44,$CU19,AX$57),"")=0,"",IF(MID(IFERROR(INDEX(醫師週班表!$C$5:$T$44,$CU19,AX$57),""),2,1)="/",MID(IFERROR(INDEX(醫師週班表!$C$5:$T$44,$CU19,AX$57),""),1+AX$58*2,1),IF(MID(IFERROR(INDEX(醫師週班表!$C$5:$T$44,$CU19,AX$57),""),3,1)="隔",IF(AX$58=0,LEFT(IFERROR(INDEX(醫師週班表!$C$5:$T$44,$CU19,AX$57),""),1),""),IF(MID(IFERROR(INDEX(醫師週班表!$C$5:$T$44,$CU19,AX$57),""),2,1)="(",LEFT(IFERROR(INDEX(醫師週班表!$C$5:$T$44,$CU19,AX$57),""),1),IFERROR(INDEX(醫師週班表!$C$5:$T$44,$CU19,AX$57),"")))))))</f>
        <v/>
      </c>
      <c r="AY19" s="68">
        <f>IF(AY$59="X","",IF(AY$59&lt;&gt;"",AY$59,IF(IFERROR(INDEX(醫師週班表!$C$5:$T$44,$CU19,AY$57),"")=0,"",IF(MID(IFERROR(INDEX(醫師週班表!$C$5:$T$44,$CU19,AY$57),""),2,1)="/",MID(IFERROR(INDEX(醫師週班表!$C$5:$T$44,$CU19,AY$57),""),1+AY$58*2,1),IF(MID(IFERROR(INDEX(醫師週班表!$C$5:$T$44,$CU19,AY$57),""),3,1)="隔",IF(AY$58=0,LEFT(IFERROR(INDEX(醫師週班表!$C$5:$T$44,$CU19,AY$57),""),1),""),IF(MID(IFERROR(INDEX(醫師週班表!$C$5:$T$44,$CU19,AY$57),""),2,1)="(",LEFT(IFERROR(INDEX(醫師週班表!$C$5:$T$44,$CU19,AY$57),""),1),IFERROR(INDEX(醫師週班表!$C$5:$T$44,$CU19,AY$57),"")))))))</f>
        <v/>
      </c>
      <c r="AZ19" s="68">
        <f>IF(AZ$59="X","",IF(AZ$59&lt;&gt;"",AZ$59,IF(IFERROR(INDEX(醫師週班表!$C$5:$T$44,$CU19,AZ$57),"")=0,"",IF(MID(IFERROR(INDEX(醫師週班表!$C$5:$T$44,$CU19,AZ$57),""),2,1)="/",MID(IFERROR(INDEX(醫師週班表!$C$5:$T$44,$CU19,AZ$57),""),1+AZ$58*2,1),IF(MID(IFERROR(INDEX(醫師週班表!$C$5:$T$44,$CU19,AZ$57),""),3,1)="隔",IF(AZ$58=0,LEFT(IFERROR(INDEX(醫師週班表!$C$5:$T$44,$CU19,AZ$57),""),1),""),IF(MID(IFERROR(INDEX(醫師週班表!$C$5:$T$44,$CU19,AZ$57),""),2,1)="(",LEFT(IFERROR(INDEX(醫師週班表!$C$5:$T$44,$CU19,AZ$57),""),1),IFERROR(INDEX(醫師週班表!$C$5:$T$44,$CU19,AZ$57),"")))))))</f>
        <v/>
      </c>
      <c r="BA19" s="67">
        <f>IF(BA$59="X","",IF(BA$59&lt;&gt;"",BA$59,IF(IFERROR(INDEX(醫師週班表!$C$5:$T$44,$CU19,BA$57),"")=0,"",IF(MID(IFERROR(INDEX(醫師週班表!$C$5:$T$44,$CU19,BA$57),""),2,1)="/",MID(IFERROR(INDEX(醫師週班表!$C$5:$T$44,$CU19,BA$57),""),1+BA$58*2,1),IF(MID(IFERROR(INDEX(醫師週班表!$C$5:$T$44,$CU19,BA$57),""),3,1)="隔",IF(BA$58=0,LEFT(IFERROR(INDEX(醫師週班表!$C$5:$T$44,$CU19,BA$57),""),1),""),IF(MID(IFERROR(INDEX(醫師週班表!$C$5:$T$44,$CU19,BA$57),""),2,1)="(",LEFT(IFERROR(INDEX(醫師週班表!$C$5:$T$44,$CU19,BA$57),""),1),IFERROR(INDEX(醫師週班表!$C$5:$T$44,$CU19,BA$57),"")))))))</f>
        <v/>
      </c>
      <c r="BB19" s="68">
        <f>IF(BB$59="X","",IF(BB$59&lt;&gt;"",BB$59,IF(IFERROR(INDEX(醫師週班表!$C$5:$T$44,$CU19,BB$57),"")=0,"",IF(MID(IFERROR(INDEX(醫師週班表!$C$5:$T$44,$CU19,BB$57),""),2,1)="/",MID(IFERROR(INDEX(醫師週班表!$C$5:$T$44,$CU19,BB$57),""),1+BB$58*2,1),IF(MID(IFERROR(INDEX(醫師週班表!$C$5:$T$44,$CU19,BB$57),""),3,1)="隔",IF(BB$58=0,LEFT(IFERROR(INDEX(醫師週班表!$C$5:$T$44,$CU19,BB$57),""),1),""),IF(MID(IFERROR(INDEX(醫師週班表!$C$5:$T$44,$CU19,BB$57),""),2,1)="(",LEFT(IFERROR(INDEX(醫師週班表!$C$5:$T$44,$CU19,BB$57),""),1),IFERROR(INDEX(醫師週班表!$C$5:$T$44,$CU19,BB$57),"")))))))</f>
        <v/>
      </c>
      <c r="BC19" s="68">
        <f>IF(BC$59="X","",IF(BC$59&lt;&gt;"",BC$59,IF(IFERROR(INDEX(醫師週班表!$C$5:$T$44,$CU19,BC$57),"")=0,"",IF(MID(IFERROR(INDEX(醫師週班表!$C$5:$T$44,$CU19,BC$57),""),2,1)="/",MID(IFERROR(INDEX(醫師週班表!$C$5:$T$44,$CU19,BC$57),""),1+BC$58*2,1),IF(MID(IFERROR(INDEX(醫師週班表!$C$5:$T$44,$CU19,BC$57),""),3,1)="隔",IF(BC$58=0,LEFT(IFERROR(INDEX(醫師週班表!$C$5:$T$44,$CU19,BC$57),""),1),""),IF(MID(IFERROR(INDEX(醫師週班表!$C$5:$T$44,$CU19,BC$57),""),2,1)="(",LEFT(IFERROR(INDEX(醫師週班表!$C$5:$T$44,$CU19,BC$57),""),1),IFERROR(INDEX(醫師週班表!$C$5:$T$44,$CU19,BC$57),"")))))))</f>
        <v/>
      </c>
      <c r="BD19" s="67">
        <f>IF(BD$59="X","",IF(BD$59&lt;&gt;"",BD$59,IF(IFERROR(INDEX(醫師週班表!$C$5:$T$44,$CU19,BD$57),"")=0,"",IF(MID(IFERROR(INDEX(醫師週班表!$C$5:$T$44,$CU19,BD$57),""),2,1)="/",MID(IFERROR(INDEX(醫師週班表!$C$5:$T$44,$CU19,BD$57),""),1+BD$58*2,1),IF(MID(IFERROR(INDEX(醫師週班表!$C$5:$T$44,$CU19,BD$57),""),3,1)="隔",IF(BD$58=0,LEFT(IFERROR(INDEX(醫師週班表!$C$5:$T$44,$CU19,BD$57),""),1),""),IF(MID(IFERROR(INDEX(醫師週班表!$C$5:$T$44,$CU19,BD$57),""),2,1)="(",LEFT(IFERROR(INDEX(醫師週班表!$C$5:$T$44,$CU19,BD$57),""),1),IFERROR(INDEX(醫師週班表!$C$5:$T$44,$CU19,BD$57),"")))))))</f>
        <v/>
      </c>
      <c r="BE19" s="68">
        <f>IF(BE$59="X","",IF(BE$59&lt;&gt;"",BE$59,IF(IFERROR(INDEX(醫師週班表!$C$5:$T$44,$CU19,BE$57),"")=0,"",IF(MID(IFERROR(INDEX(醫師週班表!$C$5:$T$44,$CU19,BE$57),""),2,1)="/",MID(IFERROR(INDEX(醫師週班表!$C$5:$T$44,$CU19,BE$57),""),1+BE$58*2,1),IF(MID(IFERROR(INDEX(醫師週班表!$C$5:$T$44,$CU19,BE$57),""),3,1)="隔",IF(BE$58=0,LEFT(IFERROR(INDEX(醫師週班表!$C$5:$T$44,$CU19,BE$57),""),1),""),IF(MID(IFERROR(INDEX(醫師週班表!$C$5:$T$44,$CU19,BE$57),""),2,1)="(",LEFT(IFERROR(INDEX(醫師週班表!$C$5:$T$44,$CU19,BE$57),""),1),IFERROR(INDEX(醫師週班表!$C$5:$T$44,$CU19,BE$57),"")))))))</f>
        <v/>
      </c>
      <c r="BF19" s="68">
        <f>IF(BF$59="X","",IF(BF$59&lt;&gt;"",BF$59,IF(IFERROR(INDEX(醫師週班表!$C$5:$T$44,$CU19,BF$57),"")=0,"",IF(MID(IFERROR(INDEX(醫師週班表!$C$5:$T$44,$CU19,BF$57),""),2,1)="/",MID(IFERROR(INDEX(醫師週班表!$C$5:$T$44,$CU19,BF$57),""),1+BF$58*2,1),IF(MID(IFERROR(INDEX(醫師週班表!$C$5:$T$44,$CU19,BF$57),""),3,1)="隔",IF(BF$58=0,LEFT(IFERROR(INDEX(醫師週班表!$C$5:$T$44,$CU19,BF$57),""),1),""),IF(MID(IFERROR(INDEX(醫師週班表!$C$5:$T$44,$CU19,BF$57),""),2,1)="(",LEFT(IFERROR(INDEX(醫師週班表!$C$5:$T$44,$CU19,BF$57),""),1),IFERROR(INDEX(醫師週班表!$C$5:$T$44,$CU19,BF$57),"")))))))</f>
        <v/>
      </c>
      <c r="BG19" s="67">
        <f>IF(BG$59="X","",IF(BG$59&lt;&gt;"",BG$59,IF(IFERROR(INDEX(醫師週班表!$C$5:$T$44,$CU19,BG$57),"")=0,"",IF(MID(IFERROR(INDEX(醫師週班表!$C$5:$T$44,$CU19,BG$57),""),2,1)="/",MID(IFERROR(INDEX(醫師週班表!$C$5:$T$44,$CU19,BG$57),""),1+BG$58*2,1),IF(MID(IFERROR(INDEX(醫師週班表!$C$5:$T$44,$CU19,BG$57),""),3,1)="隔",IF(BG$58=0,LEFT(IFERROR(INDEX(醫師週班表!$C$5:$T$44,$CU19,BG$57),""),1),""),IF(MID(IFERROR(INDEX(醫師週班表!$C$5:$T$44,$CU19,BG$57),""),2,1)="(",LEFT(IFERROR(INDEX(醫師週班表!$C$5:$T$44,$CU19,BG$57),""),1),IFERROR(INDEX(醫師週班表!$C$5:$T$44,$CU19,BG$57),"")))))))</f>
        <v/>
      </c>
      <c r="BH19" s="68">
        <f>IF(BH$59="X","",IF(BH$59&lt;&gt;"",BH$59,IF(IFERROR(INDEX(醫師週班表!$C$5:$T$44,$CU19,BH$57),"")=0,"",IF(MID(IFERROR(INDEX(醫師週班表!$C$5:$T$44,$CU19,BH$57),""),2,1)="/",MID(IFERROR(INDEX(醫師週班表!$C$5:$T$44,$CU19,BH$57),""),1+BH$58*2,1),IF(MID(IFERROR(INDEX(醫師週班表!$C$5:$T$44,$CU19,BH$57),""),3,1)="隔",IF(BH$58=0,LEFT(IFERROR(INDEX(醫師週班表!$C$5:$T$44,$CU19,BH$57),""),1),""),IF(MID(IFERROR(INDEX(醫師週班表!$C$5:$T$44,$CU19,BH$57),""),2,1)="(",LEFT(IFERROR(INDEX(醫師週班表!$C$5:$T$44,$CU19,BH$57),""),1),IFERROR(INDEX(醫師週班表!$C$5:$T$44,$CU19,BH$57),"")))))))</f>
        <v/>
      </c>
      <c r="BI19" s="68">
        <f>IF(BI$59="X","",IF(BI$59&lt;&gt;"",BI$59,IF(IFERROR(INDEX(醫師週班表!$C$5:$T$44,$CU19,BI$57),"")=0,"",IF(MID(IFERROR(INDEX(醫師週班表!$C$5:$T$44,$CU19,BI$57),""),2,1)="/",MID(IFERROR(INDEX(醫師週班表!$C$5:$T$44,$CU19,BI$57),""),1+BI$58*2,1),IF(MID(IFERROR(INDEX(醫師週班表!$C$5:$T$44,$CU19,BI$57),""),3,1)="隔",IF(BI$58=0,LEFT(IFERROR(INDEX(醫師週班表!$C$5:$T$44,$CU19,BI$57),""),1),""),IF(MID(IFERROR(INDEX(醫師週班表!$C$5:$T$44,$CU19,BI$57),""),2,1)="(",LEFT(IFERROR(INDEX(醫師週班表!$C$5:$T$44,$CU19,BI$57),""),1),IFERROR(INDEX(醫師週班表!$C$5:$T$44,$CU19,BI$57),"")))))))</f>
        <v/>
      </c>
      <c r="BJ19" s="67">
        <f>IF(BJ$59="X","",IF(BJ$59&lt;&gt;"",BJ$59,IF(IFERROR(INDEX(醫師週班表!$C$5:$T$44,$CU19,BJ$57),"")=0,"",IF(MID(IFERROR(INDEX(醫師週班表!$C$5:$T$44,$CU19,BJ$57),""),2,1)="/",MID(IFERROR(INDEX(醫師週班表!$C$5:$T$44,$CU19,BJ$57),""),1+BJ$58*2,1),IF(MID(IFERROR(INDEX(醫師週班表!$C$5:$T$44,$CU19,BJ$57),""),3,1)="隔",IF(BJ$58=0,LEFT(IFERROR(INDEX(醫師週班表!$C$5:$T$44,$CU19,BJ$57),""),1),""),IF(MID(IFERROR(INDEX(醫師週班表!$C$5:$T$44,$CU19,BJ$57),""),2,1)="(",LEFT(IFERROR(INDEX(醫師週班表!$C$5:$T$44,$CU19,BJ$57),""),1),IFERROR(INDEX(醫師週班表!$C$5:$T$44,$CU19,BJ$57),"")))))))</f>
        <v/>
      </c>
      <c r="BK19" s="68">
        <f>IF(BK$59="X","",IF(BK$59&lt;&gt;"",BK$59,IF(IFERROR(INDEX(醫師週班表!$C$5:$T$44,$CU19,BK$57),"")=0,"",IF(MID(IFERROR(INDEX(醫師週班表!$C$5:$T$44,$CU19,BK$57),""),2,1)="/",MID(IFERROR(INDEX(醫師週班表!$C$5:$T$44,$CU19,BK$57),""),1+BK$58*2,1),IF(MID(IFERROR(INDEX(醫師週班表!$C$5:$T$44,$CU19,BK$57),""),3,1)="隔",IF(BK$58=0,LEFT(IFERROR(INDEX(醫師週班表!$C$5:$T$44,$CU19,BK$57),""),1),""),IF(MID(IFERROR(INDEX(醫師週班表!$C$5:$T$44,$CU19,BK$57),""),2,1)="(",LEFT(IFERROR(INDEX(醫師週班表!$C$5:$T$44,$CU19,BK$57),""),1),IFERROR(INDEX(醫師週班表!$C$5:$T$44,$CU19,BK$57),"")))))))</f>
        <v/>
      </c>
      <c r="BL19" s="68">
        <f>IF(BL$59="X","",IF(BL$59&lt;&gt;"",BL$59,IF(IFERROR(INDEX(醫師週班表!$C$5:$T$44,$CU19,BL$57),"")=0,"",IF(MID(IFERROR(INDEX(醫師週班表!$C$5:$T$44,$CU19,BL$57),""),2,1)="/",MID(IFERROR(INDEX(醫師週班表!$C$5:$T$44,$CU19,BL$57),""),1+BL$58*2,1),IF(MID(IFERROR(INDEX(醫師週班表!$C$5:$T$44,$CU19,BL$57),""),3,1)="隔",IF(BL$58=0,LEFT(IFERROR(INDEX(醫師週班表!$C$5:$T$44,$CU19,BL$57),""),1),""),IF(MID(IFERROR(INDEX(醫師週班表!$C$5:$T$44,$CU19,BL$57),""),2,1)="(",LEFT(IFERROR(INDEX(醫師週班表!$C$5:$T$44,$CU19,BL$57),""),1),IFERROR(INDEX(醫師週班表!$C$5:$T$44,$CU19,BL$57),"")))))))</f>
        <v/>
      </c>
      <c r="BM19" s="67">
        <f>IF(BM$59="X","",IF(BM$59&lt;&gt;"",BM$59,IF(IFERROR(INDEX(醫師週班表!$C$5:$T$44,$CU19,BM$57),"")=0,"",IF(MID(IFERROR(INDEX(醫師週班表!$C$5:$T$44,$CU19,BM$57),""),2,1)="/",MID(IFERROR(INDEX(醫師週班表!$C$5:$T$44,$CU19,BM$57),""),1+BM$58*2,1),IF(MID(IFERROR(INDEX(醫師週班表!$C$5:$T$44,$CU19,BM$57),""),3,1)="隔",IF(BM$58=0,LEFT(IFERROR(INDEX(醫師週班表!$C$5:$T$44,$CU19,BM$57),""),1),""),IF(MID(IFERROR(INDEX(醫師週班表!$C$5:$T$44,$CU19,BM$57),""),2,1)="(",LEFT(IFERROR(INDEX(醫師週班表!$C$5:$T$44,$CU19,BM$57),""),1),IFERROR(INDEX(醫師週班表!$C$5:$T$44,$CU19,BM$57),"")))))))</f>
        <v/>
      </c>
      <c r="BN19" s="68">
        <f>IF(BN$59="X","",IF(BN$59&lt;&gt;"",BN$59,IF(IFERROR(INDEX(醫師週班表!$C$5:$T$44,$CU19,BN$57),"")=0,"",IF(MID(IFERROR(INDEX(醫師週班表!$C$5:$T$44,$CU19,BN$57),""),2,1)="/",MID(IFERROR(INDEX(醫師週班表!$C$5:$T$44,$CU19,BN$57),""),1+BN$58*2,1),IF(MID(IFERROR(INDEX(醫師週班表!$C$5:$T$44,$CU19,BN$57),""),3,1)="隔",IF(BN$58=0,LEFT(IFERROR(INDEX(醫師週班表!$C$5:$T$44,$CU19,BN$57),""),1),""),IF(MID(IFERROR(INDEX(醫師週班表!$C$5:$T$44,$CU19,BN$57),""),2,1)="(",LEFT(IFERROR(INDEX(醫師週班表!$C$5:$T$44,$CU19,BN$57),""),1),IFERROR(INDEX(醫師週班表!$C$5:$T$44,$CU19,BN$57),"")))))))</f>
        <v/>
      </c>
      <c r="BO19" s="68">
        <f>IF(BO$59="X","",IF(BO$59&lt;&gt;"",BO$59,IF(IFERROR(INDEX(醫師週班表!$C$5:$T$44,$CU19,BO$57),"")=0,"",IF(MID(IFERROR(INDEX(醫師週班表!$C$5:$T$44,$CU19,BO$57),""),2,1)="/",MID(IFERROR(INDEX(醫師週班表!$C$5:$T$44,$CU19,BO$57),""),1+BO$58*2,1),IF(MID(IFERROR(INDEX(醫師週班表!$C$5:$T$44,$CU19,BO$57),""),3,1)="隔",IF(BO$58=0,LEFT(IFERROR(INDEX(醫師週班表!$C$5:$T$44,$CU19,BO$57),""),1),""),IF(MID(IFERROR(INDEX(醫師週班表!$C$5:$T$44,$CU19,BO$57),""),2,1)="(",LEFT(IFERROR(INDEX(醫師週班表!$C$5:$T$44,$CU19,BO$57),""),1),IFERROR(INDEX(醫師週班表!$C$5:$T$44,$CU19,BO$57),"")))))))</f>
        <v/>
      </c>
      <c r="BP19" s="67">
        <f>IF(BP$59="X","",IF(BP$59&lt;&gt;"",BP$59,IF(IFERROR(INDEX(醫師週班表!$C$5:$T$44,$CU19,BP$57),"")=0,"",IF(MID(IFERROR(INDEX(醫師週班表!$C$5:$T$44,$CU19,BP$57),""),2,1)="/",MID(IFERROR(INDEX(醫師週班表!$C$5:$T$44,$CU19,BP$57),""),1+BP$58*2,1),IF(MID(IFERROR(INDEX(醫師週班表!$C$5:$T$44,$CU19,BP$57),""),3,1)="隔",IF(BP$58=0,LEFT(IFERROR(INDEX(醫師週班表!$C$5:$T$44,$CU19,BP$57),""),1),""),IF(MID(IFERROR(INDEX(醫師週班表!$C$5:$T$44,$CU19,BP$57),""),2,1)="(",LEFT(IFERROR(INDEX(醫師週班表!$C$5:$T$44,$CU19,BP$57),""),1),IFERROR(INDEX(醫師週班表!$C$5:$T$44,$CU19,BP$57),"")))))))</f>
        <v/>
      </c>
      <c r="BQ19" s="68">
        <f>IF(BQ$59="X","",IF(BQ$59&lt;&gt;"",BQ$59,IF(IFERROR(INDEX(醫師週班表!$C$5:$T$44,$CU19,BQ$57),"")=0,"",IF(MID(IFERROR(INDEX(醫師週班表!$C$5:$T$44,$CU19,BQ$57),""),2,1)="/",MID(IFERROR(INDEX(醫師週班表!$C$5:$T$44,$CU19,BQ$57),""),1+BQ$58*2,1),IF(MID(IFERROR(INDEX(醫師週班表!$C$5:$T$44,$CU19,BQ$57),""),3,1)="隔",IF(BQ$58=0,LEFT(IFERROR(INDEX(醫師週班表!$C$5:$T$44,$CU19,BQ$57),""),1),""),IF(MID(IFERROR(INDEX(醫師週班表!$C$5:$T$44,$CU19,BQ$57),""),2,1)="(",LEFT(IFERROR(INDEX(醫師週班表!$C$5:$T$44,$CU19,BQ$57),""),1),IFERROR(INDEX(醫師週班表!$C$5:$T$44,$CU19,BQ$57),"")))))))</f>
        <v/>
      </c>
      <c r="BR19" s="68">
        <f>IF(BR$59="X","",IF(BR$59&lt;&gt;"",BR$59,IF(IFERROR(INDEX(醫師週班表!$C$5:$T$44,$CU19,BR$57),"")=0,"",IF(MID(IFERROR(INDEX(醫師週班表!$C$5:$T$44,$CU19,BR$57),""),2,1)="/",MID(IFERROR(INDEX(醫師週班表!$C$5:$T$44,$CU19,BR$57),""),1+BR$58*2,1),IF(MID(IFERROR(INDEX(醫師週班表!$C$5:$T$44,$CU19,BR$57),""),3,1)="隔",IF(BR$58=0,LEFT(IFERROR(INDEX(醫師週班表!$C$5:$T$44,$CU19,BR$57),""),1),""),IF(MID(IFERROR(INDEX(醫師週班表!$C$5:$T$44,$CU19,BR$57),""),2,1)="(",LEFT(IFERROR(INDEX(醫師週班表!$C$5:$T$44,$CU19,BR$57),""),1),IFERROR(INDEX(醫師週班表!$C$5:$T$44,$CU19,BR$57),"")))))))</f>
        <v/>
      </c>
      <c r="BS19" s="67">
        <f>IF(BS$59="X","",IF(BS$59&lt;&gt;"",BS$59,IF(IFERROR(INDEX(醫師週班表!$C$5:$T$44,$CU19,BS$57),"")=0,"",IF(MID(IFERROR(INDEX(醫師週班表!$C$5:$T$44,$CU19,BS$57),""),2,1)="/",MID(IFERROR(INDEX(醫師週班表!$C$5:$T$44,$CU19,BS$57),""),1+BS$58*2,1),IF(MID(IFERROR(INDEX(醫師週班表!$C$5:$T$44,$CU19,BS$57),""),3,1)="隔",IF(BS$58=0,LEFT(IFERROR(INDEX(醫師週班表!$C$5:$T$44,$CU19,BS$57),""),1),""),IF(MID(IFERROR(INDEX(醫師週班表!$C$5:$T$44,$CU19,BS$57),""),2,1)="(",LEFT(IFERROR(INDEX(醫師週班表!$C$5:$T$44,$CU19,BS$57),""),1),IFERROR(INDEX(醫師週班表!$C$5:$T$44,$CU19,BS$57),"")))))))</f>
        <v/>
      </c>
      <c r="BT19" s="68">
        <f>IF(BT$59="X","",IF(BT$59&lt;&gt;"",BT$59,IF(IFERROR(INDEX(醫師週班表!$C$5:$T$44,$CU19,BT$57),"")=0,"",IF(MID(IFERROR(INDEX(醫師週班表!$C$5:$T$44,$CU19,BT$57),""),2,1)="/",MID(IFERROR(INDEX(醫師週班表!$C$5:$T$44,$CU19,BT$57),""),1+BT$58*2,1),IF(MID(IFERROR(INDEX(醫師週班表!$C$5:$T$44,$CU19,BT$57),""),3,1)="隔",IF(BT$58=0,LEFT(IFERROR(INDEX(醫師週班表!$C$5:$T$44,$CU19,BT$57),""),1),""),IF(MID(IFERROR(INDEX(醫師週班表!$C$5:$T$44,$CU19,BT$57),""),2,1)="(",LEFT(IFERROR(INDEX(醫師週班表!$C$5:$T$44,$CU19,BT$57),""),1),IFERROR(INDEX(醫師週班表!$C$5:$T$44,$CU19,BT$57),"")))))))</f>
        <v/>
      </c>
      <c r="BU19" s="68">
        <f>IF(BU$59="X","",IF(BU$59&lt;&gt;"",BU$59,IF(IFERROR(INDEX(醫師週班表!$C$5:$T$44,$CU19,BU$57),"")=0,"",IF(MID(IFERROR(INDEX(醫師週班表!$C$5:$T$44,$CU19,BU$57),""),2,1)="/",MID(IFERROR(INDEX(醫師週班表!$C$5:$T$44,$CU19,BU$57),""),1+BU$58*2,1),IF(MID(IFERROR(INDEX(醫師週班表!$C$5:$T$44,$CU19,BU$57),""),3,1)="隔",IF(BU$58=0,LEFT(IFERROR(INDEX(醫師週班表!$C$5:$T$44,$CU19,BU$57),""),1),""),IF(MID(IFERROR(INDEX(醫師週班表!$C$5:$T$44,$CU19,BU$57),""),2,1)="(",LEFT(IFERROR(INDEX(醫師週班表!$C$5:$T$44,$CU19,BU$57),""),1),IFERROR(INDEX(醫師週班表!$C$5:$T$44,$CU19,BU$57),"")))))))</f>
        <v/>
      </c>
      <c r="BV19" s="67">
        <f>IF(BV$59="X","",IF(BV$59&lt;&gt;"",BV$59,IF(IFERROR(INDEX(醫師週班表!$C$5:$T$44,$CU19,BV$57),"")=0,"",IF(MID(IFERROR(INDEX(醫師週班表!$C$5:$T$44,$CU19,BV$57),""),2,1)="/",MID(IFERROR(INDEX(醫師週班表!$C$5:$T$44,$CU19,BV$57),""),1+BV$58*2,1),IF(MID(IFERROR(INDEX(醫師週班表!$C$5:$T$44,$CU19,BV$57),""),3,1)="隔",IF(BV$58=0,LEFT(IFERROR(INDEX(醫師週班表!$C$5:$T$44,$CU19,BV$57),""),1),""),IF(MID(IFERROR(INDEX(醫師週班表!$C$5:$T$44,$CU19,BV$57),""),2,1)="(",LEFT(IFERROR(INDEX(醫師週班表!$C$5:$T$44,$CU19,BV$57),""),1),IFERROR(INDEX(醫師週班表!$C$5:$T$44,$CU19,BV$57),"")))))))</f>
        <v/>
      </c>
      <c r="BW19" s="68">
        <f>IF(BW$59="X","",IF(BW$59&lt;&gt;"",BW$59,IF(IFERROR(INDEX(醫師週班表!$C$5:$T$44,$CU19,BW$57),"")=0,"",IF(MID(IFERROR(INDEX(醫師週班表!$C$5:$T$44,$CU19,BW$57),""),2,1)="/",MID(IFERROR(INDEX(醫師週班表!$C$5:$T$44,$CU19,BW$57),""),1+BW$58*2,1),IF(MID(IFERROR(INDEX(醫師週班表!$C$5:$T$44,$CU19,BW$57),""),3,1)="隔",IF(BW$58=0,LEFT(IFERROR(INDEX(醫師週班表!$C$5:$T$44,$CU19,BW$57),""),1),""),IF(MID(IFERROR(INDEX(醫師週班表!$C$5:$T$44,$CU19,BW$57),""),2,1)="(",LEFT(IFERROR(INDEX(醫師週班表!$C$5:$T$44,$CU19,BW$57),""),1),IFERROR(INDEX(醫師週班表!$C$5:$T$44,$CU19,BW$57),"")))))))</f>
        <v/>
      </c>
      <c r="BX19" s="68">
        <f>IF(BX$59="X","",IF(BX$59&lt;&gt;"",BX$59,IF(IFERROR(INDEX(醫師週班表!$C$5:$T$44,$CU19,BX$57),"")=0,"",IF(MID(IFERROR(INDEX(醫師週班表!$C$5:$T$44,$CU19,BX$57),""),2,1)="/",MID(IFERROR(INDEX(醫師週班表!$C$5:$T$44,$CU19,BX$57),""),1+BX$58*2,1),IF(MID(IFERROR(INDEX(醫師週班表!$C$5:$T$44,$CU19,BX$57),""),3,1)="隔",IF(BX$58=0,LEFT(IFERROR(INDEX(醫師週班表!$C$5:$T$44,$CU19,BX$57),""),1),""),IF(MID(IFERROR(INDEX(醫師週班表!$C$5:$T$44,$CU19,BX$57),""),2,1)="(",LEFT(IFERROR(INDEX(醫師週班表!$C$5:$T$44,$CU19,BX$57),""),1),IFERROR(INDEX(醫師週班表!$C$5:$T$44,$CU19,BX$57),"")))))))</f>
        <v/>
      </c>
      <c r="BY19" s="67">
        <f>IF(BY$59="X","",IF(BY$59&lt;&gt;"",BY$59,IF(IFERROR(INDEX(醫師週班表!$C$5:$T$44,$CU19,BY$57),"")=0,"",IF(MID(IFERROR(INDEX(醫師週班表!$C$5:$T$44,$CU19,BY$57),""),2,1)="/",MID(IFERROR(INDEX(醫師週班表!$C$5:$T$44,$CU19,BY$57),""),1+BY$58*2,1),IF(MID(IFERROR(INDEX(醫師週班表!$C$5:$T$44,$CU19,BY$57),""),3,1)="隔",IF(BY$58=0,LEFT(IFERROR(INDEX(醫師週班表!$C$5:$T$44,$CU19,BY$57),""),1),""),IF(MID(IFERROR(INDEX(醫師週班表!$C$5:$T$44,$CU19,BY$57),""),2,1)="(",LEFT(IFERROR(INDEX(醫師週班表!$C$5:$T$44,$CU19,BY$57),""),1),IFERROR(INDEX(醫師週班表!$C$5:$T$44,$CU19,BY$57),"")))))))</f>
        <v/>
      </c>
      <c r="BZ19" s="68">
        <f>IF(BZ$59="X","",IF(BZ$59&lt;&gt;"",BZ$59,IF(IFERROR(INDEX(醫師週班表!$C$5:$T$44,$CU19,BZ$57),"")=0,"",IF(MID(IFERROR(INDEX(醫師週班表!$C$5:$T$44,$CU19,BZ$57),""),2,1)="/",MID(IFERROR(INDEX(醫師週班表!$C$5:$T$44,$CU19,BZ$57),""),1+BZ$58*2,1),IF(MID(IFERROR(INDEX(醫師週班表!$C$5:$T$44,$CU19,BZ$57),""),3,1)="隔",IF(BZ$58=0,LEFT(IFERROR(INDEX(醫師週班表!$C$5:$T$44,$CU19,BZ$57),""),1),""),IF(MID(IFERROR(INDEX(醫師週班表!$C$5:$T$44,$CU19,BZ$57),""),2,1)="(",LEFT(IFERROR(INDEX(醫師週班表!$C$5:$T$44,$CU19,BZ$57),""),1),IFERROR(INDEX(醫師週班表!$C$5:$T$44,$CU19,BZ$57),"")))))))</f>
        <v/>
      </c>
      <c r="CA19" s="68">
        <f>IF(CA$59="X","",IF(CA$59&lt;&gt;"",CA$59,IF(IFERROR(INDEX(醫師週班表!$C$5:$T$44,$CU19,CA$57),"")=0,"",IF(MID(IFERROR(INDEX(醫師週班表!$C$5:$T$44,$CU19,CA$57),""),2,1)="/",MID(IFERROR(INDEX(醫師週班表!$C$5:$T$44,$CU19,CA$57),""),1+CA$58*2,1),IF(MID(IFERROR(INDEX(醫師週班表!$C$5:$T$44,$CU19,CA$57),""),3,1)="隔",IF(CA$58=0,LEFT(IFERROR(INDEX(醫師週班表!$C$5:$T$44,$CU19,CA$57),""),1),""),IF(MID(IFERROR(INDEX(醫師週班表!$C$5:$T$44,$CU19,CA$57),""),2,1)="(",LEFT(IFERROR(INDEX(醫師週班表!$C$5:$T$44,$CU19,CA$57),""),1),IFERROR(INDEX(醫師週班表!$C$5:$T$44,$CU19,CA$57),"")))))))</f>
        <v/>
      </c>
      <c r="CB19" s="67">
        <f>IF(CB$59="X","",IF(CB$59&lt;&gt;"",CB$59,IF(IFERROR(INDEX(醫師週班表!$C$5:$T$44,$CU19,CB$57),"")=0,"",IF(MID(IFERROR(INDEX(醫師週班表!$C$5:$T$44,$CU19,CB$57),""),2,1)="/",MID(IFERROR(INDEX(醫師週班表!$C$5:$T$44,$CU19,CB$57),""),1+CB$58*2,1),IF(MID(IFERROR(INDEX(醫師週班表!$C$5:$T$44,$CU19,CB$57),""),3,1)="隔",IF(CB$58=0,LEFT(IFERROR(INDEX(醫師週班表!$C$5:$T$44,$CU19,CB$57),""),1),""),IF(MID(IFERROR(INDEX(醫師週班表!$C$5:$T$44,$CU19,CB$57),""),2,1)="(",LEFT(IFERROR(INDEX(醫師週班表!$C$5:$T$44,$CU19,CB$57),""),1),IFERROR(INDEX(醫師週班表!$C$5:$T$44,$CU19,CB$57),"")))))))</f>
        <v/>
      </c>
      <c r="CC19" s="68">
        <f>IF(CC$59="X","",IF(CC$59&lt;&gt;"",CC$59,IF(IFERROR(INDEX(醫師週班表!$C$5:$T$44,$CU19,CC$57),"")=0,"",IF(MID(IFERROR(INDEX(醫師週班表!$C$5:$T$44,$CU19,CC$57),""),2,1)="/",MID(IFERROR(INDEX(醫師週班表!$C$5:$T$44,$CU19,CC$57),""),1+CC$58*2,1),IF(MID(IFERROR(INDEX(醫師週班表!$C$5:$T$44,$CU19,CC$57),""),3,1)="隔",IF(CC$58=0,LEFT(IFERROR(INDEX(醫師週班表!$C$5:$T$44,$CU19,CC$57),""),1),""),IF(MID(IFERROR(INDEX(醫師週班表!$C$5:$T$44,$CU19,CC$57),""),2,1)="(",LEFT(IFERROR(INDEX(醫師週班表!$C$5:$T$44,$CU19,CC$57),""),1),IFERROR(INDEX(醫師週班表!$C$5:$T$44,$CU19,CC$57),"")))))))</f>
        <v/>
      </c>
      <c r="CD19" s="68">
        <f>IF(CD$59="X","",IF(CD$59&lt;&gt;"",CD$59,IF(IFERROR(INDEX(醫師週班表!$C$5:$T$44,$CU19,CD$57),"")=0,"",IF(MID(IFERROR(INDEX(醫師週班表!$C$5:$T$44,$CU19,CD$57),""),2,1)="/",MID(IFERROR(INDEX(醫師週班表!$C$5:$T$44,$CU19,CD$57),""),1+CD$58*2,1),IF(MID(IFERROR(INDEX(醫師週班表!$C$5:$T$44,$CU19,CD$57),""),3,1)="隔",IF(CD$58=0,LEFT(IFERROR(INDEX(醫師週班表!$C$5:$T$44,$CU19,CD$57),""),1),""),IF(MID(IFERROR(INDEX(醫師週班表!$C$5:$T$44,$CU19,CD$57),""),2,1)="(",LEFT(IFERROR(INDEX(醫師週班表!$C$5:$T$44,$CU19,CD$57),""),1),IFERROR(INDEX(醫師週班表!$C$5:$T$44,$CU19,CD$57),"")))))))</f>
        <v/>
      </c>
      <c r="CE19" s="67">
        <f>IF(CE$59="X","",IF(CE$59&lt;&gt;"",CE$59,IF(IFERROR(INDEX(醫師週班表!$C$5:$T$44,$CU19,CE$57),"")=0,"",IF(MID(IFERROR(INDEX(醫師週班表!$C$5:$T$44,$CU19,CE$57),""),2,1)="/",MID(IFERROR(INDEX(醫師週班表!$C$5:$T$44,$CU19,CE$57),""),1+CE$58*2,1),IF(MID(IFERROR(INDEX(醫師週班表!$C$5:$T$44,$CU19,CE$57),""),3,1)="隔",IF(CE$58=0,LEFT(IFERROR(INDEX(醫師週班表!$C$5:$T$44,$CU19,CE$57),""),1),""),IF(MID(IFERROR(INDEX(醫師週班表!$C$5:$T$44,$CU19,CE$57),""),2,1)="(",LEFT(IFERROR(INDEX(醫師週班表!$C$5:$T$44,$CU19,CE$57),""),1),IFERROR(INDEX(醫師週班表!$C$5:$T$44,$CU19,CE$57),"")))))))</f>
        <v/>
      </c>
      <c r="CF19" s="68">
        <f>IF(CF$59="X","",IF(CF$59&lt;&gt;"",CF$59,IF(IFERROR(INDEX(醫師週班表!$C$5:$T$44,$CU19,CF$57),"")=0,"",IF(MID(IFERROR(INDEX(醫師週班表!$C$5:$T$44,$CU19,CF$57),""),2,1)="/",MID(IFERROR(INDEX(醫師週班表!$C$5:$T$44,$CU19,CF$57),""),1+CF$58*2,1),IF(MID(IFERROR(INDEX(醫師週班表!$C$5:$T$44,$CU19,CF$57),""),3,1)="隔",IF(CF$58=0,LEFT(IFERROR(INDEX(醫師週班表!$C$5:$T$44,$CU19,CF$57),""),1),""),IF(MID(IFERROR(INDEX(醫師週班表!$C$5:$T$44,$CU19,CF$57),""),2,1)="(",LEFT(IFERROR(INDEX(醫師週班表!$C$5:$T$44,$CU19,CF$57),""),1),IFERROR(INDEX(醫師週班表!$C$5:$T$44,$CU19,CF$57),"")))))))</f>
        <v/>
      </c>
      <c r="CG19" s="68">
        <f>IF(CG$59="X","",IF(CG$59&lt;&gt;"",CG$59,IF(IFERROR(INDEX(醫師週班表!$C$5:$T$44,$CU19,CG$57),"")=0,"",IF(MID(IFERROR(INDEX(醫師週班表!$C$5:$T$44,$CU19,CG$57),""),2,1)="/",MID(IFERROR(INDEX(醫師週班表!$C$5:$T$44,$CU19,CG$57),""),1+CG$58*2,1),IF(MID(IFERROR(INDEX(醫師週班表!$C$5:$T$44,$CU19,CG$57),""),3,1)="隔",IF(CG$58=0,LEFT(IFERROR(INDEX(醫師週班表!$C$5:$T$44,$CU19,CG$57),""),1),""),IF(MID(IFERROR(INDEX(醫師週班表!$C$5:$T$44,$CU19,CG$57),""),2,1)="(",LEFT(IFERROR(INDEX(醫師週班表!$C$5:$T$44,$CU19,CG$57),""),1),IFERROR(INDEX(醫師週班表!$C$5:$T$44,$CU19,CG$57),"")))))))</f>
        <v/>
      </c>
      <c r="CH19" s="67">
        <f>IF(CH$59="X","",IF(CH$59&lt;&gt;"",CH$59,IF(IFERROR(INDEX(醫師週班表!$C$5:$T$44,$CU19,CH$57),"")=0,"",IF(MID(IFERROR(INDEX(醫師週班表!$C$5:$T$44,$CU19,CH$57),""),2,1)="/",MID(IFERROR(INDEX(醫師週班表!$C$5:$T$44,$CU19,CH$57),""),1+CH$58*2,1),IF(MID(IFERROR(INDEX(醫師週班表!$C$5:$T$44,$CU19,CH$57),""),3,1)="隔",IF(CH$58=0,LEFT(IFERROR(INDEX(醫師週班表!$C$5:$T$44,$CU19,CH$57),""),1),""),IF(MID(IFERROR(INDEX(醫師週班表!$C$5:$T$44,$CU19,CH$57),""),2,1)="(",LEFT(IFERROR(INDEX(醫師週班表!$C$5:$T$44,$CU19,CH$57),""),1),IFERROR(INDEX(醫師週班表!$C$5:$T$44,$CU19,CH$57),"")))))))</f>
        <v/>
      </c>
      <c r="CI19" s="68">
        <f>IF(CI$59="X","",IF(CI$59&lt;&gt;"",CI$59,IF(IFERROR(INDEX(醫師週班表!$C$5:$T$44,$CU19,CI$57),"")=0,"",IF(MID(IFERROR(INDEX(醫師週班表!$C$5:$T$44,$CU19,CI$57),""),2,1)="/",MID(IFERROR(INDEX(醫師週班表!$C$5:$T$44,$CU19,CI$57),""),1+CI$58*2,1),IF(MID(IFERROR(INDEX(醫師週班表!$C$5:$T$44,$CU19,CI$57),""),3,1)="隔",IF(CI$58=0,LEFT(IFERROR(INDEX(醫師週班表!$C$5:$T$44,$CU19,CI$57),""),1),""),IF(MID(IFERROR(INDEX(醫師週班表!$C$5:$T$44,$CU19,CI$57),""),2,1)="(",LEFT(IFERROR(INDEX(醫師週班表!$C$5:$T$44,$CU19,CI$57),""),1),IFERROR(INDEX(醫師週班表!$C$5:$T$44,$CU19,CI$57),"")))))))</f>
        <v/>
      </c>
      <c r="CJ19" s="68">
        <f>IF(CJ$59="X","",IF(CJ$59&lt;&gt;"",CJ$59,IF(IFERROR(INDEX(醫師週班表!$C$5:$T$44,$CU19,CJ$57),"")=0,"",IF(MID(IFERROR(INDEX(醫師週班表!$C$5:$T$44,$CU19,CJ$57),""),2,1)="/",MID(IFERROR(INDEX(醫師週班表!$C$5:$T$44,$CU19,CJ$57),""),1+CJ$58*2,1),IF(MID(IFERROR(INDEX(醫師週班表!$C$5:$T$44,$CU19,CJ$57),""),3,1)="隔",IF(CJ$58=0,LEFT(IFERROR(INDEX(醫師週班表!$C$5:$T$44,$CU19,CJ$57),""),1),""),IF(MID(IFERROR(INDEX(醫師週班表!$C$5:$T$44,$CU19,CJ$57),""),2,1)="(",LEFT(IFERROR(INDEX(醫師週班表!$C$5:$T$44,$CU19,CJ$57),""),1),IFERROR(INDEX(醫師週班表!$C$5:$T$44,$CU19,CJ$57),"")))))))</f>
        <v/>
      </c>
      <c r="CK19" s="67">
        <f>IF(CK$59="X","",IF(CK$59&lt;&gt;"",CK$59,IF(IFERROR(INDEX(醫師週班表!$C$5:$T$44,$CU19,CK$57),"")=0,"",IF(MID(IFERROR(INDEX(醫師週班表!$C$5:$T$44,$CU19,CK$57),""),2,1)="/",MID(IFERROR(INDEX(醫師週班表!$C$5:$T$44,$CU19,CK$57),""),1+CK$58*2,1),IF(MID(IFERROR(INDEX(醫師週班表!$C$5:$T$44,$CU19,CK$57),""),3,1)="隔",IF(CK$58=0,LEFT(IFERROR(INDEX(醫師週班表!$C$5:$T$44,$CU19,CK$57),""),1),""),IF(MID(IFERROR(INDEX(醫師週班表!$C$5:$T$44,$CU19,CK$57),""),2,1)="(",LEFT(IFERROR(INDEX(醫師週班表!$C$5:$T$44,$CU19,CK$57),""),1),IFERROR(INDEX(醫師週班表!$C$5:$T$44,$CU19,CK$57),"")))))))</f>
        <v/>
      </c>
      <c r="CL19" s="68">
        <f>IF(CL$59="X","",IF(CL$59&lt;&gt;"",CL$59,IF(IFERROR(INDEX(醫師週班表!$C$5:$T$44,$CU19,CL$57),"")=0,"",IF(MID(IFERROR(INDEX(醫師週班表!$C$5:$T$44,$CU19,CL$57),""),2,1)="/",MID(IFERROR(INDEX(醫師週班表!$C$5:$T$44,$CU19,CL$57),""),1+CL$58*2,1),IF(MID(IFERROR(INDEX(醫師週班表!$C$5:$T$44,$CU19,CL$57),""),3,1)="隔",IF(CL$58=0,LEFT(IFERROR(INDEX(醫師週班表!$C$5:$T$44,$CU19,CL$57),""),1),""),IF(MID(IFERROR(INDEX(醫師週班表!$C$5:$T$44,$CU19,CL$57),""),2,1)="(",LEFT(IFERROR(INDEX(醫師週班表!$C$5:$T$44,$CU19,CL$57),""),1),IFERROR(INDEX(醫師週班表!$C$5:$T$44,$CU19,CL$57),"")))))))</f>
        <v/>
      </c>
      <c r="CM19" s="68">
        <f>IF(CM$59="X","",IF(CM$59&lt;&gt;"",CM$59,IF(IFERROR(INDEX(醫師週班表!$C$5:$T$44,$CU19,CM$57),"")=0,"",IF(MID(IFERROR(INDEX(醫師週班表!$C$5:$T$44,$CU19,CM$57),""),2,1)="/",MID(IFERROR(INDEX(醫師週班表!$C$5:$T$44,$CU19,CM$57),""),1+CM$58*2,1),IF(MID(IFERROR(INDEX(醫師週班表!$C$5:$T$44,$CU19,CM$57),""),3,1)="隔",IF(CM$58=0,LEFT(IFERROR(INDEX(醫師週班表!$C$5:$T$44,$CU19,CM$57),""),1),""),IF(MID(IFERROR(INDEX(醫師週班表!$C$5:$T$44,$CU19,CM$57),""),2,1)="(",LEFT(IFERROR(INDEX(醫師週班表!$C$5:$T$44,$CU19,CM$57),""),1),IFERROR(INDEX(醫師週班表!$C$5:$T$44,$CU19,CM$57),"")))))))</f>
        <v/>
      </c>
      <c r="CN19" s="67">
        <f>IF(CN$59="X","",IF(CN$59&lt;&gt;"",CN$59,IF(IFERROR(INDEX(醫師週班表!$C$5:$T$44,$CU19,CN$57),"")=0,"",IF(MID(IFERROR(INDEX(醫師週班表!$C$5:$T$44,$CU19,CN$57),""),2,1)="/",MID(IFERROR(INDEX(醫師週班表!$C$5:$T$44,$CU19,CN$57),""),1+CN$58*2,1),IF(MID(IFERROR(INDEX(醫師週班表!$C$5:$T$44,$CU19,CN$57),""),3,1)="隔",IF(CN$58=0,LEFT(IFERROR(INDEX(醫師週班表!$C$5:$T$44,$CU19,CN$57),""),1),""),IF(MID(IFERROR(INDEX(醫師週班表!$C$5:$T$44,$CU19,CN$57),""),2,1)="(",LEFT(IFERROR(INDEX(醫師週班表!$C$5:$T$44,$CU19,CN$57),""),1),IFERROR(INDEX(醫師週班表!$C$5:$T$44,$CU19,CN$57),"")))))))</f>
        <v/>
      </c>
      <c r="CO19" s="68">
        <f>IF(CO$59="X","",IF(CO$59&lt;&gt;"",CO$59,IF(IFERROR(INDEX(醫師週班表!$C$5:$T$44,$CU19,CO$57),"")=0,"",IF(MID(IFERROR(INDEX(醫師週班表!$C$5:$T$44,$CU19,CO$57),""),2,1)="/",MID(IFERROR(INDEX(醫師週班表!$C$5:$T$44,$CU19,CO$57),""),1+CO$58*2,1),IF(MID(IFERROR(INDEX(醫師週班表!$C$5:$T$44,$CU19,CO$57),""),3,1)="隔",IF(CO$58=0,LEFT(IFERROR(INDEX(醫師週班表!$C$5:$T$44,$CU19,CO$57),""),1),""),IF(MID(IFERROR(INDEX(醫師週班表!$C$5:$T$44,$CU19,CO$57),""),2,1)="(",LEFT(IFERROR(INDEX(醫師週班表!$C$5:$T$44,$CU19,CO$57),""),1),IFERROR(INDEX(醫師週班表!$C$5:$T$44,$CU19,CO$57),"")))))))</f>
        <v/>
      </c>
      <c r="CP19" s="68">
        <f>IF(CP$59="X","",IF(CP$59&lt;&gt;"",CP$59,IF(IFERROR(INDEX(醫師週班表!$C$5:$T$44,$CU19,CP$57),"")=0,"",IF(MID(IFERROR(INDEX(醫師週班表!$C$5:$T$44,$CU19,CP$57),""),2,1)="/",MID(IFERROR(INDEX(醫師週班表!$C$5:$T$44,$CU19,CP$57),""),1+CP$58*2,1),IF(MID(IFERROR(INDEX(醫師週班表!$C$5:$T$44,$CU19,CP$57),""),3,1)="隔",IF(CP$58=0,LEFT(IFERROR(INDEX(醫師週班表!$C$5:$T$44,$CU19,CP$57),""),1),""),IF(MID(IFERROR(INDEX(醫師週班表!$C$5:$T$44,$CU19,CP$57),""),2,1)="(",LEFT(IFERROR(INDEX(醫師週班表!$C$5:$T$44,$CU19,CP$57),""),1),IFERROR(INDEX(醫師週班表!$C$5:$T$44,$CU19,CP$57),"")))))))</f>
        <v/>
      </c>
      <c r="CQ19" s="67">
        <f>IF(CQ$59="X","",IF(CQ$59&lt;&gt;"",CQ$59,IF(IFERROR(INDEX(醫師週班表!$C$5:$T$44,$CU19,CQ$57),"")=0,"",IF(MID(IFERROR(INDEX(醫師週班表!$C$5:$T$44,$CU19,CQ$57),""),2,1)="/",MID(IFERROR(INDEX(醫師週班表!$C$5:$T$44,$CU19,CQ$57),""),1+CQ$58*2,1),IF(MID(IFERROR(INDEX(醫師週班表!$C$5:$T$44,$CU19,CQ$57),""),3,1)="隔",IF(CQ$58=0,LEFT(IFERROR(INDEX(醫師週班表!$C$5:$T$44,$CU19,CQ$57),""),1),""),IF(MID(IFERROR(INDEX(醫師週班表!$C$5:$T$44,$CU19,CQ$57),""),2,1)="(",LEFT(IFERROR(INDEX(醫師週班表!$C$5:$T$44,$CU19,CQ$57),""),1),IFERROR(INDEX(醫師週班表!$C$5:$T$44,$CU19,CQ$57),"")))))))</f>
        <v/>
      </c>
      <c r="CR19" s="68">
        <f>IF(CR$59="X","",IF(CR$59&lt;&gt;"",CR$59,IF(IFERROR(INDEX(醫師週班表!$C$5:$T$44,$CU19,CR$57),"")=0,"",IF(MID(IFERROR(INDEX(醫師週班表!$C$5:$T$44,$CU19,CR$57),""),2,1)="/",MID(IFERROR(INDEX(醫師週班表!$C$5:$T$44,$CU19,CR$57),""),1+CR$58*2,1),IF(MID(IFERROR(INDEX(醫師週班表!$C$5:$T$44,$CU19,CR$57),""),3,1)="隔",IF(CR$58=0,LEFT(IFERROR(INDEX(醫師週班表!$C$5:$T$44,$CU19,CR$57),""),1),""),IF(MID(IFERROR(INDEX(醫師週班表!$C$5:$T$44,$CU19,CR$57),""),2,1)="(",LEFT(IFERROR(INDEX(醫師週班表!$C$5:$T$44,$CU19,CR$57),""),1),IFERROR(INDEX(醫師週班表!$C$5:$T$44,$CU19,CR$57),"")))))))</f>
        <v/>
      </c>
      <c r="CS19" s="68">
        <f>IF(CS$59="X","",IF(CS$59&lt;&gt;"",CS$59,IF(IFERROR(INDEX(醫師週班表!$C$5:$T$44,$CU19,CS$57),"")=0,"",IF(MID(IFERROR(INDEX(醫師週班表!$C$5:$T$44,$CU19,CS$57),""),2,1)="/",MID(IFERROR(INDEX(醫師週班表!$C$5:$T$44,$CU19,CS$57),""),1+CS$58*2,1),IF(MID(IFERROR(INDEX(醫師週班表!$C$5:$T$44,$CU19,CS$57),""),3,1)="隔",IF(CS$58=0,LEFT(IFERROR(INDEX(醫師週班表!$C$5:$T$44,$CU19,CS$57),""),1),""),IF(MID(IFERROR(INDEX(醫師週班表!$C$5:$T$44,$CU19,CS$57),""),2,1)="(",LEFT(IFERROR(INDEX(醫師週班表!$C$5:$T$44,$CU19,CS$57),""),1),IFERROR(INDEX(醫師週班表!$C$5:$T$44,$CU19,CS$57),"")))))))</f>
        <v/>
      </c>
      <c r="CU19" s="69">
        <f>IFERROR(MATCH($A19,醫師週班表!$A$5:$A$44,0),0)</f>
        <v/>
      </c>
    </row>
    <row r="20" ht="17" customHeight="1">
      <c r="A20" s="20" t="inlineStr">
        <is>
          <t>D015</t>
        </is>
      </c>
      <c r="B20" s="16" t="inlineStr">
        <is>
          <t>徐平</t>
        </is>
      </c>
      <c r="C20" s="66" t="inlineStr"/>
      <c r="D20" s="16" t="inlineStr"/>
      <c r="E20" s="67">
        <f>IF(E$59="X","",IF(E$59&lt;&gt;"",E$59,IF(IFERROR(INDEX(醫師週班表!$C$5:$T$44,$CU20,E$57),"")=0,"",IF(MID(IFERROR(INDEX(醫師週班表!$C$5:$T$44,$CU20,E$57),""),2,1)="/",MID(IFERROR(INDEX(醫師週班表!$C$5:$T$44,$CU20,E$57),""),1+E$58*2,1),IF(MID(IFERROR(INDEX(醫師週班表!$C$5:$T$44,$CU20,E$57),""),3,1)="隔",IF(E$58=0,LEFT(IFERROR(INDEX(醫師週班表!$C$5:$T$44,$CU20,E$57),""),1),""),IF(MID(IFERROR(INDEX(醫師週班表!$C$5:$T$44,$CU20,E$57),""),2,1)="(",LEFT(IFERROR(INDEX(醫師週班表!$C$5:$T$44,$CU20,E$57),""),1),IFERROR(INDEX(醫師週班表!$C$5:$T$44,$CU20,E$57),"")))))))</f>
        <v/>
      </c>
      <c r="F20" s="68">
        <f>IF(F$59="X","",IF(F$59&lt;&gt;"",F$59,IF(IFERROR(INDEX(醫師週班表!$C$5:$T$44,$CU20,F$57),"")=0,"",IF(MID(IFERROR(INDEX(醫師週班表!$C$5:$T$44,$CU20,F$57),""),2,1)="/",MID(IFERROR(INDEX(醫師週班表!$C$5:$T$44,$CU20,F$57),""),1+F$58*2,1),IF(MID(IFERROR(INDEX(醫師週班表!$C$5:$T$44,$CU20,F$57),""),3,1)="隔",IF(F$58=0,LEFT(IFERROR(INDEX(醫師週班表!$C$5:$T$44,$CU20,F$57),""),1),""),IF(MID(IFERROR(INDEX(醫師週班表!$C$5:$T$44,$CU20,F$57),""),2,1)="(",LEFT(IFERROR(INDEX(醫師週班表!$C$5:$T$44,$CU20,F$57),""),1),IFERROR(INDEX(醫師週班表!$C$5:$T$44,$CU20,F$57),"")))))))</f>
        <v/>
      </c>
      <c r="G20" s="68">
        <f>IF(G$59="X","",IF(G$59&lt;&gt;"",G$59,IF(IFERROR(INDEX(醫師週班表!$C$5:$T$44,$CU20,G$57),"")=0,"",IF(MID(IFERROR(INDEX(醫師週班表!$C$5:$T$44,$CU20,G$57),""),2,1)="/",MID(IFERROR(INDEX(醫師週班表!$C$5:$T$44,$CU20,G$57),""),1+G$58*2,1),IF(MID(IFERROR(INDEX(醫師週班表!$C$5:$T$44,$CU20,G$57),""),3,1)="隔",IF(G$58=0,LEFT(IFERROR(INDEX(醫師週班表!$C$5:$T$44,$CU20,G$57),""),1),""),IF(MID(IFERROR(INDEX(醫師週班表!$C$5:$T$44,$CU20,G$57),""),2,1)="(",LEFT(IFERROR(INDEX(醫師週班表!$C$5:$T$44,$CU20,G$57),""),1),IFERROR(INDEX(醫師週班表!$C$5:$T$44,$CU20,G$57),"")))))))</f>
        <v/>
      </c>
      <c r="H20" s="67">
        <f>IF(H$59="X","",IF(H$59&lt;&gt;"",H$59,IF(IFERROR(INDEX(醫師週班表!$C$5:$T$44,$CU20,H$57),"")=0,"",IF(MID(IFERROR(INDEX(醫師週班表!$C$5:$T$44,$CU20,H$57),""),2,1)="/",MID(IFERROR(INDEX(醫師週班表!$C$5:$T$44,$CU20,H$57),""),1+H$58*2,1),IF(MID(IFERROR(INDEX(醫師週班表!$C$5:$T$44,$CU20,H$57),""),3,1)="隔",IF(H$58=0,LEFT(IFERROR(INDEX(醫師週班表!$C$5:$T$44,$CU20,H$57),""),1),""),IF(MID(IFERROR(INDEX(醫師週班表!$C$5:$T$44,$CU20,H$57),""),2,1)="(",LEFT(IFERROR(INDEX(醫師週班表!$C$5:$T$44,$CU20,H$57),""),1),IFERROR(INDEX(醫師週班表!$C$5:$T$44,$CU20,H$57),"")))))))</f>
        <v/>
      </c>
      <c r="I20" s="68">
        <f>IF(I$59="X","",IF(I$59&lt;&gt;"",I$59,IF(IFERROR(INDEX(醫師週班表!$C$5:$T$44,$CU20,I$57),"")=0,"",IF(MID(IFERROR(INDEX(醫師週班表!$C$5:$T$44,$CU20,I$57),""),2,1)="/",MID(IFERROR(INDEX(醫師週班表!$C$5:$T$44,$CU20,I$57),""),1+I$58*2,1),IF(MID(IFERROR(INDEX(醫師週班表!$C$5:$T$44,$CU20,I$57),""),3,1)="隔",IF(I$58=0,LEFT(IFERROR(INDEX(醫師週班表!$C$5:$T$44,$CU20,I$57),""),1),""),IF(MID(IFERROR(INDEX(醫師週班表!$C$5:$T$44,$CU20,I$57),""),2,1)="(",LEFT(IFERROR(INDEX(醫師週班表!$C$5:$T$44,$CU20,I$57),""),1),IFERROR(INDEX(醫師週班表!$C$5:$T$44,$CU20,I$57),"")))))))</f>
        <v/>
      </c>
      <c r="J20" s="68">
        <f>IF(J$59="X","",IF(J$59&lt;&gt;"",J$59,IF(IFERROR(INDEX(醫師週班表!$C$5:$T$44,$CU20,J$57),"")=0,"",IF(MID(IFERROR(INDEX(醫師週班表!$C$5:$T$44,$CU20,J$57),""),2,1)="/",MID(IFERROR(INDEX(醫師週班表!$C$5:$T$44,$CU20,J$57),""),1+J$58*2,1),IF(MID(IFERROR(INDEX(醫師週班表!$C$5:$T$44,$CU20,J$57),""),3,1)="隔",IF(J$58=0,LEFT(IFERROR(INDEX(醫師週班表!$C$5:$T$44,$CU20,J$57),""),1),""),IF(MID(IFERROR(INDEX(醫師週班表!$C$5:$T$44,$CU20,J$57),""),2,1)="(",LEFT(IFERROR(INDEX(醫師週班表!$C$5:$T$44,$CU20,J$57),""),1),IFERROR(INDEX(醫師週班表!$C$5:$T$44,$CU20,J$57),"")))))))</f>
        <v/>
      </c>
      <c r="K20" s="67">
        <f>IF(K$59="X","",IF(K$59&lt;&gt;"",K$59,IF(IFERROR(INDEX(醫師週班表!$C$5:$T$44,$CU20,K$57),"")=0,"",IF(MID(IFERROR(INDEX(醫師週班表!$C$5:$T$44,$CU20,K$57),""),2,1)="/",MID(IFERROR(INDEX(醫師週班表!$C$5:$T$44,$CU20,K$57),""),1+K$58*2,1),IF(MID(IFERROR(INDEX(醫師週班表!$C$5:$T$44,$CU20,K$57),""),3,1)="隔",IF(K$58=0,LEFT(IFERROR(INDEX(醫師週班表!$C$5:$T$44,$CU20,K$57),""),1),""),IF(MID(IFERROR(INDEX(醫師週班表!$C$5:$T$44,$CU20,K$57),""),2,1)="(",LEFT(IFERROR(INDEX(醫師週班表!$C$5:$T$44,$CU20,K$57),""),1),IFERROR(INDEX(醫師週班表!$C$5:$T$44,$CU20,K$57),"")))))))</f>
        <v/>
      </c>
      <c r="L20" s="68">
        <f>IF(L$59="X","",IF(L$59&lt;&gt;"",L$59,IF(IFERROR(INDEX(醫師週班表!$C$5:$T$44,$CU20,L$57),"")=0,"",IF(MID(IFERROR(INDEX(醫師週班表!$C$5:$T$44,$CU20,L$57),""),2,1)="/",MID(IFERROR(INDEX(醫師週班表!$C$5:$T$44,$CU20,L$57),""),1+L$58*2,1),IF(MID(IFERROR(INDEX(醫師週班表!$C$5:$T$44,$CU20,L$57),""),3,1)="隔",IF(L$58=0,LEFT(IFERROR(INDEX(醫師週班表!$C$5:$T$44,$CU20,L$57),""),1),""),IF(MID(IFERROR(INDEX(醫師週班表!$C$5:$T$44,$CU20,L$57),""),2,1)="(",LEFT(IFERROR(INDEX(醫師週班表!$C$5:$T$44,$CU20,L$57),""),1),IFERROR(INDEX(醫師週班表!$C$5:$T$44,$CU20,L$57),"")))))))</f>
        <v/>
      </c>
      <c r="M20" s="68">
        <f>IF(M$59="X","",IF(M$59&lt;&gt;"",M$59,IF(IFERROR(INDEX(醫師週班表!$C$5:$T$44,$CU20,M$57),"")=0,"",IF(MID(IFERROR(INDEX(醫師週班表!$C$5:$T$44,$CU20,M$57),""),2,1)="/",MID(IFERROR(INDEX(醫師週班表!$C$5:$T$44,$CU20,M$57),""),1+M$58*2,1),IF(MID(IFERROR(INDEX(醫師週班表!$C$5:$T$44,$CU20,M$57),""),3,1)="隔",IF(M$58=0,LEFT(IFERROR(INDEX(醫師週班表!$C$5:$T$44,$CU20,M$57),""),1),""),IF(MID(IFERROR(INDEX(醫師週班表!$C$5:$T$44,$CU20,M$57),""),2,1)="(",LEFT(IFERROR(INDEX(醫師週班表!$C$5:$T$44,$CU20,M$57),""),1),IFERROR(INDEX(醫師週班表!$C$5:$T$44,$CU20,M$57),"")))))))</f>
        <v/>
      </c>
      <c r="N20" s="67">
        <f>IF(N$59="X","",IF(N$59&lt;&gt;"",N$59,IF(IFERROR(INDEX(醫師週班表!$C$5:$T$44,$CU20,N$57),"")=0,"",IF(MID(IFERROR(INDEX(醫師週班表!$C$5:$T$44,$CU20,N$57),""),2,1)="/",MID(IFERROR(INDEX(醫師週班表!$C$5:$T$44,$CU20,N$57),""),1+N$58*2,1),IF(MID(IFERROR(INDEX(醫師週班表!$C$5:$T$44,$CU20,N$57),""),3,1)="隔",IF(N$58=0,LEFT(IFERROR(INDEX(醫師週班表!$C$5:$T$44,$CU20,N$57),""),1),""),IF(MID(IFERROR(INDEX(醫師週班表!$C$5:$T$44,$CU20,N$57),""),2,1)="(",LEFT(IFERROR(INDEX(醫師週班表!$C$5:$T$44,$CU20,N$57),""),1),IFERROR(INDEX(醫師週班表!$C$5:$T$44,$CU20,N$57),"")))))))</f>
        <v/>
      </c>
      <c r="O20" s="68">
        <f>IF(O$59="X","",IF(O$59&lt;&gt;"",O$59,IF(IFERROR(INDEX(醫師週班表!$C$5:$T$44,$CU20,O$57),"")=0,"",IF(MID(IFERROR(INDEX(醫師週班表!$C$5:$T$44,$CU20,O$57),""),2,1)="/",MID(IFERROR(INDEX(醫師週班表!$C$5:$T$44,$CU20,O$57),""),1+O$58*2,1),IF(MID(IFERROR(INDEX(醫師週班表!$C$5:$T$44,$CU20,O$57),""),3,1)="隔",IF(O$58=0,LEFT(IFERROR(INDEX(醫師週班表!$C$5:$T$44,$CU20,O$57),""),1),""),IF(MID(IFERROR(INDEX(醫師週班表!$C$5:$T$44,$CU20,O$57),""),2,1)="(",LEFT(IFERROR(INDEX(醫師週班表!$C$5:$T$44,$CU20,O$57),""),1),IFERROR(INDEX(醫師週班表!$C$5:$T$44,$CU20,O$57),"")))))))</f>
        <v/>
      </c>
      <c r="P20" s="68">
        <f>IF(P$59="X","",IF(P$59&lt;&gt;"",P$59,IF(IFERROR(INDEX(醫師週班表!$C$5:$T$44,$CU20,P$57),"")=0,"",IF(MID(IFERROR(INDEX(醫師週班表!$C$5:$T$44,$CU20,P$57),""),2,1)="/",MID(IFERROR(INDEX(醫師週班表!$C$5:$T$44,$CU20,P$57),""),1+P$58*2,1),IF(MID(IFERROR(INDEX(醫師週班表!$C$5:$T$44,$CU20,P$57),""),3,1)="隔",IF(P$58=0,LEFT(IFERROR(INDEX(醫師週班表!$C$5:$T$44,$CU20,P$57),""),1),""),IF(MID(IFERROR(INDEX(醫師週班表!$C$5:$T$44,$CU20,P$57),""),2,1)="(",LEFT(IFERROR(INDEX(醫師週班表!$C$5:$T$44,$CU20,P$57),""),1),IFERROR(INDEX(醫師週班表!$C$5:$T$44,$CU20,P$57),"")))))))</f>
        <v/>
      </c>
      <c r="Q20" s="67">
        <f>IF(Q$59="X","",IF(Q$59&lt;&gt;"",Q$59,IF(IFERROR(INDEX(醫師週班表!$C$5:$T$44,$CU20,Q$57),"")=0,"",IF(MID(IFERROR(INDEX(醫師週班表!$C$5:$T$44,$CU20,Q$57),""),2,1)="/",MID(IFERROR(INDEX(醫師週班表!$C$5:$T$44,$CU20,Q$57),""),1+Q$58*2,1),IF(MID(IFERROR(INDEX(醫師週班表!$C$5:$T$44,$CU20,Q$57),""),3,1)="隔",IF(Q$58=0,LEFT(IFERROR(INDEX(醫師週班表!$C$5:$T$44,$CU20,Q$57),""),1),""),IF(MID(IFERROR(INDEX(醫師週班表!$C$5:$T$44,$CU20,Q$57),""),2,1)="(",LEFT(IFERROR(INDEX(醫師週班表!$C$5:$T$44,$CU20,Q$57),""),1),IFERROR(INDEX(醫師週班表!$C$5:$T$44,$CU20,Q$57),"")))))))</f>
        <v/>
      </c>
      <c r="R20" s="68">
        <f>IF(R$59="X","",IF(R$59&lt;&gt;"",R$59,IF(IFERROR(INDEX(醫師週班表!$C$5:$T$44,$CU20,R$57),"")=0,"",IF(MID(IFERROR(INDEX(醫師週班表!$C$5:$T$44,$CU20,R$57),""),2,1)="/",MID(IFERROR(INDEX(醫師週班表!$C$5:$T$44,$CU20,R$57),""),1+R$58*2,1),IF(MID(IFERROR(INDEX(醫師週班表!$C$5:$T$44,$CU20,R$57),""),3,1)="隔",IF(R$58=0,LEFT(IFERROR(INDEX(醫師週班表!$C$5:$T$44,$CU20,R$57),""),1),""),IF(MID(IFERROR(INDEX(醫師週班表!$C$5:$T$44,$CU20,R$57),""),2,1)="(",LEFT(IFERROR(INDEX(醫師週班表!$C$5:$T$44,$CU20,R$57),""),1),IFERROR(INDEX(醫師週班表!$C$5:$T$44,$CU20,R$57),"")))))))</f>
        <v/>
      </c>
      <c r="S20" s="68">
        <f>IF(S$59="X","",IF(S$59&lt;&gt;"",S$59,IF(IFERROR(INDEX(醫師週班表!$C$5:$T$44,$CU20,S$57),"")=0,"",IF(MID(IFERROR(INDEX(醫師週班表!$C$5:$T$44,$CU20,S$57),""),2,1)="/",MID(IFERROR(INDEX(醫師週班表!$C$5:$T$44,$CU20,S$57),""),1+S$58*2,1),IF(MID(IFERROR(INDEX(醫師週班表!$C$5:$T$44,$CU20,S$57),""),3,1)="隔",IF(S$58=0,LEFT(IFERROR(INDEX(醫師週班表!$C$5:$T$44,$CU20,S$57),""),1),""),IF(MID(IFERROR(INDEX(醫師週班表!$C$5:$T$44,$CU20,S$57),""),2,1)="(",LEFT(IFERROR(INDEX(醫師週班表!$C$5:$T$44,$CU20,S$57),""),1),IFERROR(INDEX(醫師週班表!$C$5:$T$44,$CU20,S$57),"")))))))</f>
        <v/>
      </c>
      <c r="T20" s="67">
        <f>IF(T$59="X","",IF(T$59&lt;&gt;"",T$59,IF(IFERROR(INDEX(醫師週班表!$C$5:$T$44,$CU20,T$57),"")=0,"",IF(MID(IFERROR(INDEX(醫師週班表!$C$5:$T$44,$CU20,T$57),""),2,1)="/",MID(IFERROR(INDEX(醫師週班表!$C$5:$T$44,$CU20,T$57),""),1+T$58*2,1),IF(MID(IFERROR(INDEX(醫師週班表!$C$5:$T$44,$CU20,T$57),""),3,1)="隔",IF(T$58=0,LEFT(IFERROR(INDEX(醫師週班表!$C$5:$T$44,$CU20,T$57),""),1),""),IF(MID(IFERROR(INDEX(醫師週班表!$C$5:$T$44,$CU20,T$57),""),2,1)="(",LEFT(IFERROR(INDEX(醫師週班表!$C$5:$T$44,$CU20,T$57),""),1),IFERROR(INDEX(醫師週班表!$C$5:$T$44,$CU20,T$57),"")))))))</f>
        <v/>
      </c>
      <c r="U20" s="68">
        <f>IF(U$59="X","",IF(U$59&lt;&gt;"",U$59,IF(IFERROR(INDEX(醫師週班表!$C$5:$T$44,$CU20,U$57),"")=0,"",IF(MID(IFERROR(INDEX(醫師週班表!$C$5:$T$44,$CU20,U$57),""),2,1)="/",MID(IFERROR(INDEX(醫師週班表!$C$5:$T$44,$CU20,U$57),""),1+U$58*2,1),IF(MID(IFERROR(INDEX(醫師週班表!$C$5:$T$44,$CU20,U$57),""),3,1)="隔",IF(U$58=0,LEFT(IFERROR(INDEX(醫師週班表!$C$5:$T$44,$CU20,U$57),""),1),""),IF(MID(IFERROR(INDEX(醫師週班表!$C$5:$T$44,$CU20,U$57),""),2,1)="(",LEFT(IFERROR(INDEX(醫師週班表!$C$5:$T$44,$CU20,U$57),""),1),IFERROR(INDEX(醫師週班表!$C$5:$T$44,$CU20,U$57),"")))))))</f>
        <v/>
      </c>
      <c r="V20" s="68">
        <f>IF(V$59="X","",IF(V$59&lt;&gt;"",V$59,IF(IFERROR(INDEX(醫師週班表!$C$5:$T$44,$CU20,V$57),"")=0,"",IF(MID(IFERROR(INDEX(醫師週班表!$C$5:$T$44,$CU20,V$57),""),2,1)="/",MID(IFERROR(INDEX(醫師週班表!$C$5:$T$44,$CU20,V$57),""),1+V$58*2,1),IF(MID(IFERROR(INDEX(醫師週班表!$C$5:$T$44,$CU20,V$57),""),3,1)="隔",IF(V$58=0,LEFT(IFERROR(INDEX(醫師週班表!$C$5:$T$44,$CU20,V$57),""),1),""),IF(MID(IFERROR(INDEX(醫師週班表!$C$5:$T$44,$CU20,V$57),""),2,1)="(",LEFT(IFERROR(INDEX(醫師週班表!$C$5:$T$44,$CU20,V$57),""),1),IFERROR(INDEX(醫師週班表!$C$5:$T$44,$CU20,V$57),"")))))))</f>
        <v/>
      </c>
      <c r="W20" s="67">
        <f>IF(W$59="X","",IF(W$59&lt;&gt;"",W$59,IF(IFERROR(INDEX(醫師週班表!$C$5:$T$44,$CU20,W$57),"")=0,"",IF(MID(IFERROR(INDEX(醫師週班表!$C$5:$T$44,$CU20,W$57),""),2,1)="/",MID(IFERROR(INDEX(醫師週班表!$C$5:$T$44,$CU20,W$57),""),1+W$58*2,1),IF(MID(IFERROR(INDEX(醫師週班表!$C$5:$T$44,$CU20,W$57),""),3,1)="隔",IF(W$58=0,LEFT(IFERROR(INDEX(醫師週班表!$C$5:$T$44,$CU20,W$57),""),1),""),IF(MID(IFERROR(INDEX(醫師週班表!$C$5:$T$44,$CU20,W$57),""),2,1)="(",LEFT(IFERROR(INDEX(醫師週班表!$C$5:$T$44,$CU20,W$57),""),1),IFERROR(INDEX(醫師週班表!$C$5:$T$44,$CU20,W$57),"")))))))</f>
        <v/>
      </c>
      <c r="X20" s="68">
        <f>IF(X$59="X","",IF(X$59&lt;&gt;"",X$59,IF(IFERROR(INDEX(醫師週班表!$C$5:$T$44,$CU20,X$57),"")=0,"",IF(MID(IFERROR(INDEX(醫師週班表!$C$5:$T$44,$CU20,X$57),""),2,1)="/",MID(IFERROR(INDEX(醫師週班表!$C$5:$T$44,$CU20,X$57),""),1+X$58*2,1),IF(MID(IFERROR(INDEX(醫師週班表!$C$5:$T$44,$CU20,X$57),""),3,1)="隔",IF(X$58=0,LEFT(IFERROR(INDEX(醫師週班表!$C$5:$T$44,$CU20,X$57),""),1),""),IF(MID(IFERROR(INDEX(醫師週班表!$C$5:$T$44,$CU20,X$57),""),2,1)="(",LEFT(IFERROR(INDEX(醫師週班表!$C$5:$T$44,$CU20,X$57),""),1),IFERROR(INDEX(醫師週班表!$C$5:$T$44,$CU20,X$57),"")))))))</f>
        <v/>
      </c>
      <c r="Y20" s="68">
        <f>IF(Y$59="X","",IF(Y$59&lt;&gt;"",Y$59,IF(IFERROR(INDEX(醫師週班表!$C$5:$T$44,$CU20,Y$57),"")=0,"",IF(MID(IFERROR(INDEX(醫師週班表!$C$5:$T$44,$CU20,Y$57),""),2,1)="/",MID(IFERROR(INDEX(醫師週班表!$C$5:$T$44,$CU20,Y$57),""),1+Y$58*2,1),IF(MID(IFERROR(INDEX(醫師週班表!$C$5:$T$44,$CU20,Y$57),""),3,1)="隔",IF(Y$58=0,LEFT(IFERROR(INDEX(醫師週班表!$C$5:$T$44,$CU20,Y$57),""),1),""),IF(MID(IFERROR(INDEX(醫師週班表!$C$5:$T$44,$CU20,Y$57),""),2,1)="(",LEFT(IFERROR(INDEX(醫師週班表!$C$5:$T$44,$CU20,Y$57),""),1),IFERROR(INDEX(醫師週班表!$C$5:$T$44,$CU20,Y$57),"")))))))</f>
        <v/>
      </c>
      <c r="Z20" s="67">
        <f>IF(Z$59="X","",IF(Z$59&lt;&gt;"",Z$59,IF(IFERROR(INDEX(醫師週班表!$C$5:$T$44,$CU20,Z$57),"")=0,"",IF(MID(IFERROR(INDEX(醫師週班表!$C$5:$T$44,$CU20,Z$57),""),2,1)="/",MID(IFERROR(INDEX(醫師週班表!$C$5:$T$44,$CU20,Z$57),""),1+Z$58*2,1),IF(MID(IFERROR(INDEX(醫師週班表!$C$5:$T$44,$CU20,Z$57),""),3,1)="隔",IF(Z$58=0,LEFT(IFERROR(INDEX(醫師週班表!$C$5:$T$44,$CU20,Z$57),""),1),""),IF(MID(IFERROR(INDEX(醫師週班表!$C$5:$T$44,$CU20,Z$57),""),2,1)="(",LEFT(IFERROR(INDEX(醫師週班表!$C$5:$T$44,$CU20,Z$57),""),1),IFERROR(INDEX(醫師週班表!$C$5:$T$44,$CU20,Z$57),"")))))))</f>
        <v/>
      </c>
      <c r="AA20" s="68">
        <f>IF(AA$59="X","",IF(AA$59&lt;&gt;"",AA$59,IF(IFERROR(INDEX(醫師週班表!$C$5:$T$44,$CU20,AA$57),"")=0,"",IF(MID(IFERROR(INDEX(醫師週班表!$C$5:$T$44,$CU20,AA$57),""),2,1)="/",MID(IFERROR(INDEX(醫師週班表!$C$5:$T$44,$CU20,AA$57),""),1+AA$58*2,1),IF(MID(IFERROR(INDEX(醫師週班表!$C$5:$T$44,$CU20,AA$57),""),3,1)="隔",IF(AA$58=0,LEFT(IFERROR(INDEX(醫師週班表!$C$5:$T$44,$CU20,AA$57),""),1),""),IF(MID(IFERROR(INDEX(醫師週班表!$C$5:$T$44,$CU20,AA$57),""),2,1)="(",LEFT(IFERROR(INDEX(醫師週班表!$C$5:$T$44,$CU20,AA$57),""),1),IFERROR(INDEX(醫師週班表!$C$5:$T$44,$CU20,AA$57),"")))))))</f>
        <v/>
      </c>
      <c r="AB20" s="68">
        <f>IF(AB$59="X","",IF(AB$59&lt;&gt;"",AB$59,IF(IFERROR(INDEX(醫師週班表!$C$5:$T$44,$CU20,AB$57),"")=0,"",IF(MID(IFERROR(INDEX(醫師週班表!$C$5:$T$44,$CU20,AB$57),""),2,1)="/",MID(IFERROR(INDEX(醫師週班表!$C$5:$T$44,$CU20,AB$57),""),1+AB$58*2,1),IF(MID(IFERROR(INDEX(醫師週班表!$C$5:$T$44,$CU20,AB$57),""),3,1)="隔",IF(AB$58=0,LEFT(IFERROR(INDEX(醫師週班表!$C$5:$T$44,$CU20,AB$57),""),1),""),IF(MID(IFERROR(INDEX(醫師週班表!$C$5:$T$44,$CU20,AB$57),""),2,1)="(",LEFT(IFERROR(INDEX(醫師週班表!$C$5:$T$44,$CU20,AB$57),""),1),IFERROR(INDEX(醫師週班表!$C$5:$T$44,$CU20,AB$57),"")))))))</f>
        <v/>
      </c>
      <c r="AC20" s="67">
        <f>IF(AC$59="X","",IF(AC$59&lt;&gt;"",AC$59,IF(IFERROR(INDEX(醫師週班表!$C$5:$T$44,$CU20,AC$57),"")=0,"",IF(MID(IFERROR(INDEX(醫師週班表!$C$5:$T$44,$CU20,AC$57),""),2,1)="/",MID(IFERROR(INDEX(醫師週班表!$C$5:$T$44,$CU20,AC$57),""),1+AC$58*2,1),IF(MID(IFERROR(INDEX(醫師週班表!$C$5:$T$44,$CU20,AC$57),""),3,1)="隔",IF(AC$58=0,LEFT(IFERROR(INDEX(醫師週班表!$C$5:$T$44,$CU20,AC$57),""),1),""),IF(MID(IFERROR(INDEX(醫師週班表!$C$5:$T$44,$CU20,AC$57),""),2,1)="(",LEFT(IFERROR(INDEX(醫師週班表!$C$5:$T$44,$CU20,AC$57),""),1),IFERROR(INDEX(醫師週班表!$C$5:$T$44,$CU20,AC$57),"")))))))</f>
        <v/>
      </c>
      <c r="AD20" s="68">
        <f>IF(AD$59="X","",IF(AD$59&lt;&gt;"",AD$59,IF(IFERROR(INDEX(醫師週班表!$C$5:$T$44,$CU20,AD$57),"")=0,"",IF(MID(IFERROR(INDEX(醫師週班表!$C$5:$T$44,$CU20,AD$57),""),2,1)="/",MID(IFERROR(INDEX(醫師週班表!$C$5:$T$44,$CU20,AD$57),""),1+AD$58*2,1),IF(MID(IFERROR(INDEX(醫師週班表!$C$5:$T$44,$CU20,AD$57),""),3,1)="隔",IF(AD$58=0,LEFT(IFERROR(INDEX(醫師週班表!$C$5:$T$44,$CU20,AD$57),""),1),""),IF(MID(IFERROR(INDEX(醫師週班表!$C$5:$T$44,$CU20,AD$57),""),2,1)="(",LEFT(IFERROR(INDEX(醫師週班表!$C$5:$T$44,$CU20,AD$57),""),1),IFERROR(INDEX(醫師週班表!$C$5:$T$44,$CU20,AD$57),"")))))))</f>
        <v/>
      </c>
      <c r="AE20" s="68">
        <f>IF(AE$59="X","",IF(AE$59&lt;&gt;"",AE$59,IF(IFERROR(INDEX(醫師週班表!$C$5:$T$44,$CU20,AE$57),"")=0,"",IF(MID(IFERROR(INDEX(醫師週班表!$C$5:$T$44,$CU20,AE$57),""),2,1)="/",MID(IFERROR(INDEX(醫師週班表!$C$5:$T$44,$CU20,AE$57),""),1+AE$58*2,1),IF(MID(IFERROR(INDEX(醫師週班表!$C$5:$T$44,$CU20,AE$57),""),3,1)="隔",IF(AE$58=0,LEFT(IFERROR(INDEX(醫師週班表!$C$5:$T$44,$CU20,AE$57),""),1),""),IF(MID(IFERROR(INDEX(醫師週班表!$C$5:$T$44,$CU20,AE$57),""),2,1)="(",LEFT(IFERROR(INDEX(醫師週班表!$C$5:$T$44,$CU20,AE$57),""),1),IFERROR(INDEX(醫師週班表!$C$5:$T$44,$CU20,AE$57),"")))))))</f>
        <v/>
      </c>
      <c r="AF20" s="67">
        <f>IF(AF$59="X","",IF(AF$59&lt;&gt;"",AF$59,IF(IFERROR(INDEX(醫師週班表!$C$5:$T$44,$CU20,AF$57),"")=0,"",IF(MID(IFERROR(INDEX(醫師週班表!$C$5:$T$44,$CU20,AF$57),""),2,1)="/",MID(IFERROR(INDEX(醫師週班表!$C$5:$T$44,$CU20,AF$57),""),1+AF$58*2,1),IF(MID(IFERROR(INDEX(醫師週班表!$C$5:$T$44,$CU20,AF$57),""),3,1)="隔",IF(AF$58=0,LEFT(IFERROR(INDEX(醫師週班表!$C$5:$T$44,$CU20,AF$57),""),1),""),IF(MID(IFERROR(INDEX(醫師週班表!$C$5:$T$44,$CU20,AF$57),""),2,1)="(",LEFT(IFERROR(INDEX(醫師週班表!$C$5:$T$44,$CU20,AF$57),""),1),IFERROR(INDEX(醫師週班表!$C$5:$T$44,$CU20,AF$57),"")))))))</f>
        <v/>
      </c>
      <c r="AG20" s="68">
        <f>IF(AG$59="X","",IF(AG$59&lt;&gt;"",AG$59,IF(IFERROR(INDEX(醫師週班表!$C$5:$T$44,$CU20,AG$57),"")=0,"",IF(MID(IFERROR(INDEX(醫師週班表!$C$5:$T$44,$CU20,AG$57),""),2,1)="/",MID(IFERROR(INDEX(醫師週班表!$C$5:$T$44,$CU20,AG$57),""),1+AG$58*2,1),IF(MID(IFERROR(INDEX(醫師週班表!$C$5:$T$44,$CU20,AG$57),""),3,1)="隔",IF(AG$58=0,LEFT(IFERROR(INDEX(醫師週班表!$C$5:$T$44,$CU20,AG$57),""),1),""),IF(MID(IFERROR(INDEX(醫師週班表!$C$5:$T$44,$CU20,AG$57),""),2,1)="(",LEFT(IFERROR(INDEX(醫師週班表!$C$5:$T$44,$CU20,AG$57),""),1),IFERROR(INDEX(醫師週班表!$C$5:$T$44,$CU20,AG$57),"")))))))</f>
        <v/>
      </c>
      <c r="AH20" s="68">
        <f>IF(AH$59="X","",IF(AH$59&lt;&gt;"",AH$59,IF(IFERROR(INDEX(醫師週班表!$C$5:$T$44,$CU20,AH$57),"")=0,"",IF(MID(IFERROR(INDEX(醫師週班表!$C$5:$T$44,$CU20,AH$57),""),2,1)="/",MID(IFERROR(INDEX(醫師週班表!$C$5:$T$44,$CU20,AH$57),""),1+AH$58*2,1),IF(MID(IFERROR(INDEX(醫師週班表!$C$5:$T$44,$CU20,AH$57),""),3,1)="隔",IF(AH$58=0,LEFT(IFERROR(INDEX(醫師週班表!$C$5:$T$44,$CU20,AH$57),""),1),""),IF(MID(IFERROR(INDEX(醫師週班表!$C$5:$T$44,$CU20,AH$57),""),2,1)="(",LEFT(IFERROR(INDEX(醫師週班表!$C$5:$T$44,$CU20,AH$57),""),1),IFERROR(INDEX(醫師週班表!$C$5:$T$44,$CU20,AH$57),"")))))))</f>
        <v/>
      </c>
      <c r="AI20" s="67">
        <f>IF(AI$59="X","",IF(AI$59&lt;&gt;"",AI$59,IF(IFERROR(INDEX(醫師週班表!$C$5:$T$44,$CU20,AI$57),"")=0,"",IF(MID(IFERROR(INDEX(醫師週班表!$C$5:$T$44,$CU20,AI$57),""),2,1)="/",MID(IFERROR(INDEX(醫師週班表!$C$5:$T$44,$CU20,AI$57),""),1+AI$58*2,1),IF(MID(IFERROR(INDEX(醫師週班表!$C$5:$T$44,$CU20,AI$57),""),3,1)="隔",IF(AI$58=0,LEFT(IFERROR(INDEX(醫師週班表!$C$5:$T$44,$CU20,AI$57),""),1),""),IF(MID(IFERROR(INDEX(醫師週班表!$C$5:$T$44,$CU20,AI$57),""),2,1)="(",LEFT(IFERROR(INDEX(醫師週班表!$C$5:$T$44,$CU20,AI$57),""),1),IFERROR(INDEX(醫師週班表!$C$5:$T$44,$CU20,AI$57),"")))))))</f>
        <v/>
      </c>
      <c r="AJ20" s="68">
        <f>IF(AJ$59="X","",IF(AJ$59&lt;&gt;"",AJ$59,IF(IFERROR(INDEX(醫師週班表!$C$5:$T$44,$CU20,AJ$57),"")=0,"",IF(MID(IFERROR(INDEX(醫師週班表!$C$5:$T$44,$CU20,AJ$57),""),2,1)="/",MID(IFERROR(INDEX(醫師週班表!$C$5:$T$44,$CU20,AJ$57),""),1+AJ$58*2,1),IF(MID(IFERROR(INDEX(醫師週班表!$C$5:$T$44,$CU20,AJ$57),""),3,1)="隔",IF(AJ$58=0,LEFT(IFERROR(INDEX(醫師週班表!$C$5:$T$44,$CU20,AJ$57),""),1),""),IF(MID(IFERROR(INDEX(醫師週班表!$C$5:$T$44,$CU20,AJ$57),""),2,1)="(",LEFT(IFERROR(INDEX(醫師週班表!$C$5:$T$44,$CU20,AJ$57),""),1),IFERROR(INDEX(醫師週班表!$C$5:$T$44,$CU20,AJ$57),"")))))))</f>
        <v/>
      </c>
      <c r="AK20" s="68">
        <f>IF(AK$59="X","",IF(AK$59&lt;&gt;"",AK$59,IF(IFERROR(INDEX(醫師週班表!$C$5:$T$44,$CU20,AK$57),"")=0,"",IF(MID(IFERROR(INDEX(醫師週班表!$C$5:$T$44,$CU20,AK$57),""),2,1)="/",MID(IFERROR(INDEX(醫師週班表!$C$5:$T$44,$CU20,AK$57),""),1+AK$58*2,1),IF(MID(IFERROR(INDEX(醫師週班表!$C$5:$T$44,$CU20,AK$57),""),3,1)="隔",IF(AK$58=0,LEFT(IFERROR(INDEX(醫師週班表!$C$5:$T$44,$CU20,AK$57),""),1),""),IF(MID(IFERROR(INDEX(醫師週班表!$C$5:$T$44,$CU20,AK$57),""),2,1)="(",LEFT(IFERROR(INDEX(醫師週班表!$C$5:$T$44,$CU20,AK$57),""),1),IFERROR(INDEX(醫師週班表!$C$5:$T$44,$CU20,AK$57),"")))))))</f>
        <v/>
      </c>
      <c r="AL20" s="67">
        <f>IF(AL$59="X","",IF(AL$59&lt;&gt;"",AL$59,IF(IFERROR(INDEX(醫師週班表!$C$5:$T$44,$CU20,AL$57),"")=0,"",IF(MID(IFERROR(INDEX(醫師週班表!$C$5:$T$44,$CU20,AL$57),""),2,1)="/",MID(IFERROR(INDEX(醫師週班表!$C$5:$T$44,$CU20,AL$57),""),1+AL$58*2,1),IF(MID(IFERROR(INDEX(醫師週班表!$C$5:$T$44,$CU20,AL$57),""),3,1)="隔",IF(AL$58=0,LEFT(IFERROR(INDEX(醫師週班表!$C$5:$T$44,$CU20,AL$57),""),1),""),IF(MID(IFERROR(INDEX(醫師週班表!$C$5:$T$44,$CU20,AL$57),""),2,1)="(",LEFT(IFERROR(INDEX(醫師週班表!$C$5:$T$44,$CU20,AL$57),""),1),IFERROR(INDEX(醫師週班表!$C$5:$T$44,$CU20,AL$57),"")))))))</f>
        <v/>
      </c>
      <c r="AM20" s="68">
        <f>IF(AM$59="X","",IF(AM$59&lt;&gt;"",AM$59,IF(IFERROR(INDEX(醫師週班表!$C$5:$T$44,$CU20,AM$57),"")=0,"",IF(MID(IFERROR(INDEX(醫師週班表!$C$5:$T$44,$CU20,AM$57),""),2,1)="/",MID(IFERROR(INDEX(醫師週班表!$C$5:$T$44,$CU20,AM$57),""),1+AM$58*2,1),IF(MID(IFERROR(INDEX(醫師週班表!$C$5:$T$44,$CU20,AM$57),""),3,1)="隔",IF(AM$58=0,LEFT(IFERROR(INDEX(醫師週班表!$C$5:$T$44,$CU20,AM$57),""),1),""),IF(MID(IFERROR(INDEX(醫師週班表!$C$5:$T$44,$CU20,AM$57),""),2,1)="(",LEFT(IFERROR(INDEX(醫師週班表!$C$5:$T$44,$CU20,AM$57),""),1),IFERROR(INDEX(醫師週班表!$C$5:$T$44,$CU20,AM$57),"")))))))</f>
        <v/>
      </c>
      <c r="AN20" s="68">
        <f>IF(AN$59="X","",IF(AN$59&lt;&gt;"",AN$59,IF(IFERROR(INDEX(醫師週班表!$C$5:$T$44,$CU20,AN$57),"")=0,"",IF(MID(IFERROR(INDEX(醫師週班表!$C$5:$T$44,$CU20,AN$57),""),2,1)="/",MID(IFERROR(INDEX(醫師週班表!$C$5:$T$44,$CU20,AN$57),""),1+AN$58*2,1),IF(MID(IFERROR(INDEX(醫師週班表!$C$5:$T$44,$CU20,AN$57),""),3,1)="隔",IF(AN$58=0,LEFT(IFERROR(INDEX(醫師週班表!$C$5:$T$44,$CU20,AN$57),""),1),""),IF(MID(IFERROR(INDEX(醫師週班表!$C$5:$T$44,$CU20,AN$57),""),2,1)="(",LEFT(IFERROR(INDEX(醫師週班表!$C$5:$T$44,$CU20,AN$57),""),1),IFERROR(INDEX(醫師週班表!$C$5:$T$44,$CU20,AN$57),"")))))))</f>
        <v/>
      </c>
      <c r="AO20" s="67">
        <f>IF(AO$59="X","",IF(AO$59&lt;&gt;"",AO$59,IF(IFERROR(INDEX(醫師週班表!$C$5:$T$44,$CU20,AO$57),"")=0,"",IF(MID(IFERROR(INDEX(醫師週班表!$C$5:$T$44,$CU20,AO$57),""),2,1)="/",MID(IFERROR(INDEX(醫師週班表!$C$5:$T$44,$CU20,AO$57),""),1+AO$58*2,1),IF(MID(IFERROR(INDEX(醫師週班表!$C$5:$T$44,$CU20,AO$57),""),3,1)="隔",IF(AO$58=0,LEFT(IFERROR(INDEX(醫師週班表!$C$5:$T$44,$CU20,AO$57),""),1),""),IF(MID(IFERROR(INDEX(醫師週班表!$C$5:$T$44,$CU20,AO$57),""),2,1)="(",LEFT(IFERROR(INDEX(醫師週班表!$C$5:$T$44,$CU20,AO$57),""),1),IFERROR(INDEX(醫師週班表!$C$5:$T$44,$CU20,AO$57),"")))))))</f>
        <v/>
      </c>
      <c r="AP20" s="68">
        <f>IF(AP$59="X","",IF(AP$59&lt;&gt;"",AP$59,IF(IFERROR(INDEX(醫師週班表!$C$5:$T$44,$CU20,AP$57),"")=0,"",IF(MID(IFERROR(INDEX(醫師週班表!$C$5:$T$44,$CU20,AP$57),""),2,1)="/",MID(IFERROR(INDEX(醫師週班表!$C$5:$T$44,$CU20,AP$57),""),1+AP$58*2,1),IF(MID(IFERROR(INDEX(醫師週班表!$C$5:$T$44,$CU20,AP$57),""),3,1)="隔",IF(AP$58=0,LEFT(IFERROR(INDEX(醫師週班表!$C$5:$T$44,$CU20,AP$57),""),1),""),IF(MID(IFERROR(INDEX(醫師週班表!$C$5:$T$44,$CU20,AP$57),""),2,1)="(",LEFT(IFERROR(INDEX(醫師週班表!$C$5:$T$44,$CU20,AP$57),""),1),IFERROR(INDEX(醫師週班表!$C$5:$T$44,$CU20,AP$57),"")))))))</f>
        <v/>
      </c>
      <c r="AQ20" s="68">
        <f>IF(AQ$59="X","",IF(AQ$59&lt;&gt;"",AQ$59,IF(IFERROR(INDEX(醫師週班表!$C$5:$T$44,$CU20,AQ$57),"")=0,"",IF(MID(IFERROR(INDEX(醫師週班表!$C$5:$T$44,$CU20,AQ$57),""),2,1)="/",MID(IFERROR(INDEX(醫師週班表!$C$5:$T$44,$CU20,AQ$57),""),1+AQ$58*2,1),IF(MID(IFERROR(INDEX(醫師週班表!$C$5:$T$44,$CU20,AQ$57),""),3,1)="隔",IF(AQ$58=0,LEFT(IFERROR(INDEX(醫師週班表!$C$5:$T$44,$CU20,AQ$57),""),1),""),IF(MID(IFERROR(INDEX(醫師週班表!$C$5:$T$44,$CU20,AQ$57),""),2,1)="(",LEFT(IFERROR(INDEX(醫師週班表!$C$5:$T$44,$CU20,AQ$57),""),1),IFERROR(INDEX(醫師週班表!$C$5:$T$44,$CU20,AQ$57),"")))))))</f>
        <v/>
      </c>
      <c r="AR20" s="67">
        <f>IF(AR$59="X","",IF(AR$59&lt;&gt;"",AR$59,IF(IFERROR(INDEX(醫師週班表!$C$5:$T$44,$CU20,AR$57),"")=0,"",IF(MID(IFERROR(INDEX(醫師週班表!$C$5:$T$44,$CU20,AR$57),""),2,1)="/",MID(IFERROR(INDEX(醫師週班表!$C$5:$T$44,$CU20,AR$57),""),1+AR$58*2,1),IF(MID(IFERROR(INDEX(醫師週班表!$C$5:$T$44,$CU20,AR$57),""),3,1)="隔",IF(AR$58=0,LEFT(IFERROR(INDEX(醫師週班表!$C$5:$T$44,$CU20,AR$57),""),1),""),IF(MID(IFERROR(INDEX(醫師週班表!$C$5:$T$44,$CU20,AR$57),""),2,1)="(",LEFT(IFERROR(INDEX(醫師週班表!$C$5:$T$44,$CU20,AR$57),""),1),IFERROR(INDEX(醫師週班表!$C$5:$T$44,$CU20,AR$57),"")))))))</f>
        <v/>
      </c>
      <c r="AS20" s="68">
        <f>IF(AS$59="X","",IF(AS$59&lt;&gt;"",AS$59,IF(IFERROR(INDEX(醫師週班表!$C$5:$T$44,$CU20,AS$57),"")=0,"",IF(MID(IFERROR(INDEX(醫師週班表!$C$5:$T$44,$CU20,AS$57),""),2,1)="/",MID(IFERROR(INDEX(醫師週班表!$C$5:$T$44,$CU20,AS$57),""),1+AS$58*2,1),IF(MID(IFERROR(INDEX(醫師週班表!$C$5:$T$44,$CU20,AS$57),""),3,1)="隔",IF(AS$58=0,LEFT(IFERROR(INDEX(醫師週班表!$C$5:$T$44,$CU20,AS$57),""),1),""),IF(MID(IFERROR(INDEX(醫師週班表!$C$5:$T$44,$CU20,AS$57),""),2,1)="(",LEFT(IFERROR(INDEX(醫師週班表!$C$5:$T$44,$CU20,AS$57),""),1),IFERROR(INDEX(醫師週班表!$C$5:$T$44,$CU20,AS$57),"")))))))</f>
        <v/>
      </c>
      <c r="AT20" s="68">
        <f>IF(AT$59="X","",IF(AT$59&lt;&gt;"",AT$59,IF(IFERROR(INDEX(醫師週班表!$C$5:$T$44,$CU20,AT$57),"")=0,"",IF(MID(IFERROR(INDEX(醫師週班表!$C$5:$T$44,$CU20,AT$57),""),2,1)="/",MID(IFERROR(INDEX(醫師週班表!$C$5:$T$44,$CU20,AT$57),""),1+AT$58*2,1),IF(MID(IFERROR(INDEX(醫師週班表!$C$5:$T$44,$CU20,AT$57),""),3,1)="隔",IF(AT$58=0,LEFT(IFERROR(INDEX(醫師週班表!$C$5:$T$44,$CU20,AT$57),""),1),""),IF(MID(IFERROR(INDEX(醫師週班表!$C$5:$T$44,$CU20,AT$57),""),2,1)="(",LEFT(IFERROR(INDEX(醫師週班表!$C$5:$T$44,$CU20,AT$57),""),1),IFERROR(INDEX(醫師週班表!$C$5:$T$44,$CU20,AT$57),"")))))))</f>
        <v/>
      </c>
      <c r="AU20" s="67">
        <f>IF(AU$59="X","",IF(AU$59&lt;&gt;"",AU$59,IF(IFERROR(INDEX(醫師週班表!$C$5:$T$44,$CU20,AU$57),"")=0,"",IF(MID(IFERROR(INDEX(醫師週班表!$C$5:$T$44,$CU20,AU$57),""),2,1)="/",MID(IFERROR(INDEX(醫師週班表!$C$5:$T$44,$CU20,AU$57),""),1+AU$58*2,1),IF(MID(IFERROR(INDEX(醫師週班表!$C$5:$T$44,$CU20,AU$57),""),3,1)="隔",IF(AU$58=0,LEFT(IFERROR(INDEX(醫師週班表!$C$5:$T$44,$CU20,AU$57),""),1),""),IF(MID(IFERROR(INDEX(醫師週班表!$C$5:$T$44,$CU20,AU$57),""),2,1)="(",LEFT(IFERROR(INDEX(醫師週班表!$C$5:$T$44,$CU20,AU$57),""),1),IFERROR(INDEX(醫師週班表!$C$5:$T$44,$CU20,AU$57),"")))))))</f>
        <v/>
      </c>
      <c r="AV20" s="68">
        <f>IF(AV$59="X","",IF(AV$59&lt;&gt;"",AV$59,IF(IFERROR(INDEX(醫師週班表!$C$5:$T$44,$CU20,AV$57),"")=0,"",IF(MID(IFERROR(INDEX(醫師週班表!$C$5:$T$44,$CU20,AV$57),""),2,1)="/",MID(IFERROR(INDEX(醫師週班表!$C$5:$T$44,$CU20,AV$57),""),1+AV$58*2,1),IF(MID(IFERROR(INDEX(醫師週班表!$C$5:$T$44,$CU20,AV$57),""),3,1)="隔",IF(AV$58=0,LEFT(IFERROR(INDEX(醫師週班表!$C$5:$T$44,$CU20,AV$57),""),1),""),IF(MID(IFERROR(INDEX(醫師週班表!$C$5:$T$44,$CU20,AV$57),""),2,1)="(",LEFT(IFERROR(INDEX(醫師週班表!$C$5:$T$44,$CU20,AV$57),""),1),IFERROR(INDEX(醫師週班表!$C$5:$T$44,$CU20,AV$57),"")))))))</f>
        <v/>
      </c>
      <c r="AW20" s="68">
        <f>IF(AW$59="X","",IF(AW$59&lt;&gt;"",AW$59,IF(IFERROR(INDEX(醫師週班表!$C$5:$T$44,$CU20,AW$57),"")=0,"",IF(MID(IFERROR(INDEX(醫師週班表!$C$5:$T$44,$CU20,AW$57),""),2,1)="/",MID(IFERROR(INDEX(醫師週班表!$C$5:$T$44,$CU20,AW$57),""),1+AW$58*2,1),IF(MID(IFERROR(INDEX(醫師週班表!$C$5:$T$44,$CU20,AW$57),""),3,1)="隔",IF(AW$58=0,LEFT(IFERROR(INDEX(醫師週班表!$C$5:$T$44,$CU20,AW$57),""),1),""),IF(MID(IFERROR(INDEX(醫師週班表!$C$5:$T$44,$CU20,AW$57),""),2,1)="(",LEFT(IFERROR(INDEX(醫師週班表!$C$5:$T$44,$CU20,AW$57),""),1),IFERROR(INDEX(醫師週班表!$C$5:$T$44,$CU20,AW$57),"")))))))</f>
        <v/>
      </c>
      <c r="AX20" s="67">
        <f>IF(AX$59="X","",IF(AX$59&lt;&gt;"",AX$59,IF(IFERROR(INDEX(醫師週班表!$C$5:$T$44,$CU20,AX$57),"")=0,"",IF(MID(IFERROR(INDEX(醫師週班表!$C$5:$T$44,$CU20,AX$57),""),2,1)="/",MID(IFERROR(INDEX(醫師週班表!$C$5:$T$44,$CU20,AX$57),""),1+AX$58*2,1),IF(MID(IFERROR(INDEX(醫師週班表!$C$5:$T$44,$CU20,AX$57),""),3,1)="隔",IF(AX$58=0,LEFT(IFERROR(INDEX(醫師週班表!$C$5:$T$44,$CU20,AX$57),""),1),""),IF(MID(IFERROR(INDEX(醫師週班表!$C$5:$T$44,$CU20,AX$57),""),2,1)="(",LEFT(IFERROR(INDEX(醫師週班表!$C$5:$T$44,$CU20,AX$57),""),1),IFERROR(INDEX(醫師週班表!$C$5:$T$44,$CU20,AX$57),"")))))))</f>
        <v/>
      </c>
      <c r="AY20" s="68">
        <f>IF(AY$59="X","",IF(AY$59&lt;&gt;"",AY$59,IF(IFERROR(INDEX(醫師週班表!$C$5:$T$44,$CU20,AY$57),"")=0,"",IF(MID(IFERROR(INDEX(醫師週班表!$C$5:$T$44,$CU20,AY$57),""),2,1)="/",MID(IFERROR(INDEX(醫師週班表!$C$5:$T$44,$CU20,AY$57),""),1+AY$58*2,1),IF(MID(IFERROR(INDEX(醫師週班表!$C$5:$T$44,$CU20,AY$57),""),3,1)="隔",IF(AY$58=0,LEFT(IFERROR(INDEX(醫師週班表!$C$5:$T$44,$CU20,AY$57),""),1),""),IF(MID(IFERROR(INDEX(醫師週班表!$C$5:$T$44,$CU20,AY$57),""),2,1)="(",LEFT(IFERROR(INDEX(醫師週班表!$C$5:$T$44,$CU20,AY$57),""),1),IFERROR(INDEX(醫師週班表!$C$5:$T$44,$CU20,AY$57),"")))))))</f>
        <v/>
      </c>
      <c r="AZ20" s="68">
        <f>IF(AZ$59="X","",IF(AZ$59&lt;&gt;"",AZ$59,IF(IFERROR(INDEX(醫師週班表!$C$5:$T$44,$CU20,AZ$57),"")=0,"",IF(MID(IFERROR(INDEX(醫師週班表!$C$5:$T$44,$CU20,AZ$57),""),2,1)="/",MID(IFERROR(INDEX(醫師週班表!$C$5:$T$44,$CU20,AZ$57),""),1+AZ$58*2,1),IF(MID(IFERROR(INDEX(醫師週班表!$C$5:$T$44,$CU20,AZ$57),""),3,1)="隔",IF(AZ$58=0,LEFT(IFERROR(INDEX(醫師週班表!$C$5:$T$44,$CU20,AZ$57),""),1),""),IF(MID(IFERROR(INDEX(醫師週班表!$C$5:$T$44,$CU20,AZ$57),""),2,1)="(",LEFT(IFERROR(INDEX(醫師週班表!$C$5:$T$44,$CU20,AZ$57),""),1),IFERROR(INDEX(醫師週班表!$C$5:$T$44,$CU20,AZ$57),"")))))))</f>
        <v/>
      </c>
      <c r="BA20" s="67">
        <f>IF(BA$59="X","",IF(BA$59&lt;&gt;"",BA$59,IF(IFERROR(INDEX(醫師週班表!$C$5:$T$44,$CU20,BA$57),"")=0,"",IF(MID(IFERROR(INDEX(醫師週班表!$C$5:$T$44,$CU20,BA$57),""),2,1)="/",MID(IFERROR(INDEX(醫師週班表!$C$5:$T$44,$CU20,BA$57),""),1+BA$58*2,1),IF(MID(IFERROR(INDEX(醫師週班表!$C$5:$T$44,$CU20,BA$57),""),3,1)="隔",IF(BA$58=0,LEFT(IFERROR(INDEX(醫師週班表!$C$5:$T$44,$CU20,BA$57),""),1),""),IF(MID(IFERROR(INDEX(醫師週班表!$C$5:$T$44,$CU20,BA$57),""),2,1)="(",LEFT(IFERROR(INDEX(醫師週班表!$C$5:$T$44,$CU20,BA$57),""),1),IFERROR(INDEX(醫師週班表!$C$5:$T$44,$CU20,BA$57),"")))))))</f>
        <v/>
      </c>
      <c r="BB20" s="68">
        <f>IF(BB$59="X","",IF(BB$59&lt;&gt;"",BB$59,IF(IFERROR(INDEX(醫師週班表!$C$5:$T$44,$CU20,BB$57),"")=0,"",IF(MID(IFERROR(INDEX(醫師週班表!$C$5:$T$44,$CU20,BB$57),""),2,1)="/",MID(IFERROR(INDEX(醫師週班表!$C$5:$T$44,$CU20,BB$57),""),1+BB$58*2,1),IF(MID(IFERROR(INDEX(醫師週班表!$C$5:$T$44,$CU20,BB$57),""),3,1)="隔",IF(BB$58=0,LEFT(IFERROR(INDEX(醫師週班表!$C$5:$T$44,$CU20,BB$57),""),1),""),IF(MID(IFERROR(INDEX(醫師週班表!$C$5:$T$44,$CU20,BB$57),""),2,1)="(",LEFT(IFERROR(INDEX(醫師週班表!$C$5:$T$44,$CU20,BB$57),""),1),IFERROR(INDEX(醫師週班表!$C$5:$T$44,$CU20,BB$57),"")))))))</f>
        <v/>
      </c>
      <c r="BC20" s="68">
        <f>IF(BC$59="X","",IF(BC$59&lt;&gt;"",BC$59,IF(IFERROR(INDEX(醫師週班表!$C$5:$T$44,$CU20,BC$57),"")=0,"",IF(MID(IFERROR(INDEX(醫師週班表!$C$5:$T$44,$CU20,BC$57),""),2,1)="/",MID(IFERROR(INDEX(醫師週班表!$C$5:$T$44,$CU20,BC$57),""),1+BC$58*2,1),IF(MID(IFERROR(INDEX(醫師週班表!$C$5:$T$44,$CU20,BC$57),""),3,1)="隔",IF(BC$58=0,LEFT(IFERROR(INDEX(醫師週班表!$C$5:$T$44,$CU20,BC$57),""),1),""),IF(MID(IFERROR(INDEX(醫師週班表!$C$5:$T$44,$CU20,BC$57),""),2,1)="(",LEFT(IFERROR(INDEX(醫師週班表!$C$5:$T$44,$CU20,BC$57),""),1),IFERROR(INDEX(醫師週班表!$C$5:$T$44,$CU20,BC$57),"")))))))</f>
        <v/>
      </c>
      <c r="BD20" s="67">
        <f>IF(BD$59="X","",IF(BD$59&lt;&gt;"",BD$59,IF(IFERROR(INDEX(醫師週班表!$C$5:$T$44,$CU20,BD$57),"")=0,"",IF(MID(IFERROR(INDEX(醫師週班表!$C$5:$T$44,$CU20,BD$57),""),2,1)="/",MID(IFERROR(INDEX(醫師週班表!$C$5:$T$44,$CU20,BD$57),""),1+BD$58*2,1),IF(MID(IFERROR(INDEX(醫師週班表!$C$5:$T$44,$CU20,BD$57),""),3,1)="隔",IF(BD$58=0,LEFT(IFERROR(INDEX(醫師週班表!$C$5:$T$44,$CU20,BD$57),""),1),""),IF(MID(IFERROR(INDEX(醫師週班表!$C$5:$T$44,$CU20,BD$57),""),2,1)="(",LEFT(IFERROR(INDEX(醫師週班表!$C$5:$T$44,$CU20,BD$57),""),1),IFERROR(INDEX(醫師週班表!$C$5:$T$44,$CU20,BD$57),"")))))))</f>
        <v/>
      </c>
      <c r="BE20" s="68">
        <f>IF(BE$59="X","",IF(BE$59&lt;&gt;"",BE$59,IF(IFERROR(INDEX(醫師週班表!$C$5:$T$44,$CU20,BE$57),"")=0,"",IF(MID(IFERROR(INDEX(醫師週班表!$C$5:$T$44,$CU20,BE$57),""),2,1)="/",MID(IFERROR(INDEX(醫師週班表!$C$5:$T$44,$CU20,BE$57),""),1+BE$58*2,1),IF(MID(IFERROR(INDEX(醫師週班表!$C$5:$T$44,$CU20,BE$57),""),3,1)="隔",IF(BE$58=0,LEFT(IFERROR(INDEX(醫師週班表!$C$5:$T$44,$CU20,BE$57),""),1),""),IF(MID(IFERROR(INDEX(醫師週班表!$C$5:$T$44,$CU20,BE$57),""),2,1)="(",LEFT(IFERROR(INDEX(醫師週班表!$C$5:$T$44,$CU20,BE$57),""),1),IFERROR(INDEX(醫師週班表!$C$5:$T$44,$CU20,BE$57),"")))))))</f>
        <v/>
      </c>
      <c r="BF20" s="68">
        <f>IF(BF$59="X","",IF(BF$59&lt;&gt;"",BF$59,IF(IFERROR(INDEX(醫師週班表!$C$5:$T$44,$CU20,BF$57),"")=0,"",IF(MID(IFERROR(INDEX(醫師週班表!$C$5:$T$44,$CU20,BF$57),""),2,1)="/",MID(IFERROR(INDEX(醫師週班表!$C$5:$T$44,$CU20,BF$57),""),1+BF$58*2,1),IF(MID(IFERROR(INDEX(醫師週班表!$C$5:$T$44,$CU20,BF$57),""),3,1)="隔",IF(BF$58=0,LEFT(IFERROR(INDEX(醫師週班表!$C$5:$T$44,$CU20,BF$57),""),1),""),IF(MID(IFERROR(INDEX(醫師週班表!$C$5:$T$44,$CU20,BF$57),""),2,1)="(",LEFT(IFERROR(INDEX(醫師週班表!$C$5:$T$44,$CU20,BF$57),""),1),IFERROR(INDEX(醫師週班表!$C$5:$T$44,$CU20,BF$57),"")))))))</f>
        <v/>
      </c>
      <c r="BG20" s="67">
        <f>IF(BG$59="X","",IF(BG$59&lt;&gt;"",BG$59,IF(IFERROR(INDEX(醫師週班表!$C$5:$T$44,$CU20,BG$57),"")=0,"",IF(MID(IFERROR(INDEX(醫師週班表!$C$5:$T$44,$CU20,BG$57),""),2,1)="/",MID(IFERROR(INDEX(醫師週班表!$C$5:$T$44,$CU20,BG$57),""),1+BG$58*2,1),IF(MID(IFERROR(INDEX(醫師週班表!$C$5:$T$44,$CU20,BG$57),""),3,1)="隔",IF(BG$58=0,LEFT(IFERROR(INDEX(醫師週班表!$C$5:$T$44,$CU20,BG$57),""),1),""),IF(MID(IFERROR(INDEX(醫師週班表!$C$5:$T$44,$CU20,BG$57),""),2,1)="(",LEFT(IFERROR(INDEX(醫師週班表!$C$5:$T$44,$CU20,BG$57),""),1),IFERROR(INDEX(醫師週班表!$C$5:$T$44,$CU20,BG$57),"")))))))</f>
        <v/>
      </c>
      <c r="BH20" s="68">
        <f>IF(BH$59="X","",IF(BH$59&lt;&gt;"",BH$59,IF(IFERROR(INDEX(醫師週班表!$C$5:$T$44,$CU20,BH$57),"")=0,"",IF(MID(IFERROR(INDEX(醫師週班表!$C$5:$T$44,$CU20,BH$57),""),2,1)="/",MID(IFERROR(INDEX(醫師週班表!$C$5:$T$44,$CU20,BH$57),""),1+BH$58*2,1),IF(MID(IFERROR(INDEX(醫師週班表!$C$5:$T$44,$CU20,BH$57),""),3,1)="隔",IF(BH$58=0,LEFT(IFERROR(INDEX(醫師週班表!$C$5:$T$44,$CU20,BH$57),""),1),""),IF(MID(IFERROR(INDEX(醫師週班表!$C$5:$T$44,$CU20,BH$57),""),2,1)="(",LEFT(IFERROR(INDEX(醫師週班表!$C$5:$T$44,$CU20,BH$57),""),1),IFERROR(INDEX(醫師週班表!$C$5:$T$44,$CU20,BH$57),"")))))))</f>
        <v/>
      </c>
      <c r="BI20" s="68">
        <f>IF(BI$59="X","",IF(BI$59&lt;&gt;"",BI$59,IF(IFERROR(INDEX(醫師週班表!$C$5:$T$44,$CU20,BI$57),"")=0,"",IF(MID(IFERROR(INDEX(醫師週班表!$C$5:$T$44,$CU20,BI$57),""),2,1)="/",MID(IFERROR(INDEX(醫師週班表!$C$5:$T$44,$CU20,BI$57),""),1+BI$58*2,1),IF(MID(IFERROR(INDEX(醫師週班表!$C$5:$T$44,$CU20,BI$57),""),3,1)="隔",IF(BI$58=0,LEFT(IFERROR(INDEX(醫師週班表!$C$5:$T$44,$CU20,BI$57),""),1),""),IF(MID(IFERROR(INDEX(醫師週班表!$C$5:$T$44,$CU20,BI$57),""),2,1)="(",LEFT(IFERROR(INDEX(醫師週班表!$C$5:$T$44,$CU20,BI$57),""),1),IFERROR(INDEX(醫師週班表!$C$5:$T$44,$CU20,BI$57),"")))))))</f>
        <v/>
      </c>
      <c r="BJ20" s="67">
        <f>IF(BJ$59="X","",IF(BJ$59&lt;&gt;"",BJ$59,IF(IFERROR(INDEX(醫師週班表!$C$5:$T$44,$CU20,BJ$57),"")=0,"",IF(MID(IFERROR(INDEX(醫師週班表!$C$5:$T$44,$CU20,BJ$57),""),2,1)="/",MID(IFERROR(INDEX(醫師週班表!$C$5:$T$44,$CU20,BJ$57),""),1+BJ$58*2,1),IF(MID(IFERROR(INDEX(醫師週班表!$C$5:$T$44,$CU20,BJ$57),""),3,1)="隔",IF(BJ$58=0,LEFT(IFERROR(INDEX(醫師週班表!$C$5:$T$44,$CU20,BJ$57),""),1),""),IF(MID(IFERROR(INDEX(醫師週班表!$C$5:$T$44,$CU20,BJ$57),""),2,1)="(",LEFT(IFERROR(INDEX(醫師週班表!$C$5:$T$44,$CU20,BJ$57),""),1),IFERROR(INDEX(醫師週班表!$C$5:$T$44,$CU20,BJ$57),"")))))))</f>
        <v/>
      </c>
      <c r="BK20" s="68">
        <f>IF(BK$59="X","",IF(BK$59&lt;&gt;"",BK$59,IF(IFERROR(INDEX(醫師週班表!$C$5:$T$44,$CU20,BK$57),"")=0,"",IF(MID(IFERROR(INDEX(醫師週班表!$C$5:$T$44,$CU20,BK$57),""),2,1)="/",MID(IFERROR(INDEX(醫師週班表!$C$5:$T$44,$CU20,BK$57),""),1+BK$58*2,1),IF(MID(IFERROR(INDEX(醫師週班表!$C$5:$T$44,$CU20,BK$57),""),3,1)="隔",IF(BK$58=0,LEFT(IFERROR(INDEX(醫師週班表!$C$5:$T$44,$CU20,BK$57),""),1),""),IF(MID(IFERROR(INDEX(醫師週班表!$C$5:$T$44,$CU20,BK$57),""),2,1)="(",LEFT(IFERROR(INDEX(醫師週班表!$C$5:$T$44,$CU20,BK$57),""),1),IFERROR(INDEX(醫師週班表!$C$5:$T$44,$CU20,BK$57),"")))))))</f>
        <v/>
      </c>
      <c r="BL20" s="68">
        <f>IF(BL$59="X","",IF(BL$59&lt;&gt;"",BL$59,IF(IFERROR(INDEX(醫師週班表!$C$5:$T$44,$CU20,BL$57),"")=0,"",IF(MID(IFERROR(INDEX(醫師週班表!$C$5:$T$44,$CU20,BL$57),""),2,1)="/",MID(IFERROR(INDEX(醫師週班表!$C$5:$T$44,$CU20,BL$57),""),1+BL$58*2,1),IF(MID(IFERROR(INDEX(醫師週班表!$C$5:$T$44,$CU20,BL$57),""),3,1)="隔",IF(BL$58=0,LEFT(IFERROR(INDEX(醫師週班表!$C$5:$T$44,$CU20,BL$57),""),1),""),IF(MID(IFERROR(INDEX(醫師週班表!$C$5:$T$44,$CU20,BL$57),""),2,1)="(",LEFT(IFERROR(INDEX(醫師週班表!$C$5:$T$44,$CU20,BL$57),""),1),IFERROR(INDEX(醫師週班表!$C$5:$T$44,$CU20,BL$57),"")))))))</f>
        <v/>
      </c>
      <c r="BM20" s="67">
        <f>IF(BM$59="X","",IF(BM$59&lt;&gt;"",BM$59,IF(IFERROR(INDEX(醫師週班表!$C$5:$T$44,$CU20,BM$57),"")=0,"",IF(MID(IFERROR(INDEX(醫師週班表!$C$5:$T$44,$CU20,BM$57),""),2,1)="/",MID(IFERROR(INDEX(醫師週班表!$C$5:$T$44,$CU20,BM$57),""),1+BM$58*2,1),IF(MID(IFERROR(INDEX(醫師週班表!$C$5:$T$44,$CU20,BM$57),""),3,1)="隔",IF(BM$58=0,LEFT(IFERROR(INDEX(醫師週班表!$C$5:$T$44,$CU20,BM$57),""),1),""),IF(MID(IFERROR(INDEX(醫師週班表!$C$5:$T$44,$CU20,BM$57),""),2,1)="(",LEFT(IFERROR(INDEX(醫師週班表!$C$5:$T$44,$CU20,BM$57),""),1),IFERROR(INDEX(醫師週班表!$C$5:$T$44,$CU20,BM$57),"")))))))</f>
        <v/>
      </c>
      <c r="BN20" s="68">
        <f>IF(BN$59="X","",IF(BN$59&lt;&gt;"",BN$59,IF(IFERROR(INDEX(醫師週班表!$C$5:$T$44,$CU20,BN$57),"")=0,"",IF(MID(IFERROR(INDEX(醫師週班表!$C$5:$T$44,$CU20,BN$57),""),2,1)="/",MID(IFERROR(INDEX(醫師週班表!$C$5:$T$44,$CU20,BN$57),""),1+BN$58*2,1),IF(MID(IFERROR(INDEX(醫師週班表!$C$5:$T$44,$CU20,BN$57),""),3,1)="隔",IF(BN$58=0,LEFT(IFERROR(INDEX(醫師週班表!$C$5:$T$44,$CU20,BN$57),""),1),""),IF(MID(IFERROR(INDEX(醫師週班表!$C$5:$T$44,$CU20,BN$57),""),2,1)="(",LEFT(IFERROR(INDEX(醫師週班表!$C$5:$T$44,$CU20,BN$57),""),1),IFERROR(INDEX(醫師週班表!$C$5:$T$44,$CU20,BN$57),"")))))))</f>
        <v/>
      </c>
      <c r="BO20" s="68">
        <f>IF(BO$59="X","",IF(BO$59&lt;&gt;"",BO$59,IF(IFERROR(INDEX(醫師週班表!$C$5:$T$44,$CU20,BO$57),"")=0,"",IF(MID(IFERROR(INDEX(醫師週班表!$C$5:$T$44,$CU20,BO$57),""),2,1)="/",MID(IFERROR(INDEX(醫師週班表!$C$5:$T$44,$CU20,BO$57),""),1+BO$58*2,1),IF(MID(IFERROR(INDEX(醫師週班表!$C$5:$T$44,$CU20,BO$57),""),3,1)="隔",IF(BO$58=0,LEFT(IFERROR(INDEX(醫師週班表!$C$5:$T$44,$CU20,BO$57),""),1),""),IF(MID(IFERROR(INDEX(醫師週班表!$C$5:$T$44,$CU20,BO$57),""),2,1)="(",LEFT(IFERROR(INDEX(醫師週班表!$C$5:$T$44,$CU20,BO$57),""),1),IFERROR(INDEX(醫師週班表!$C$5:$T$44,$CU20,BO$57),"")))))))</f>
        <v/>
      </c>
      <c r="BP20" s="67">
        <f>IF(BP$59="X","",IF(BP$59&lt;&gt;"",BP$59,IF(IFERROR(INDEX(醫師週班表!$C$5:$T$44,$CU20,BP$57),"")=0,"",IF(MID(IFERROR(INDEX(醫師週班表!$C$5:$T$44,$CU20,BP$57),""),2,1)="/",MID(IFERROR(INDEX(醫師週班表!$C$5:$T$44,$CU20,BP$57),""),1+BP$58*2,1),IF(MID(IFERROR(INDEX(醫師週班表!$C$5:$T$44,$CU20,BP$57),""),3,1)="隔",IF(BP$58=0,LEFT(IFERROR(INDEX(醫師週班表!$C$5:$T$44,$CU20,BP$57),""),1),""),IF(MID(IFERROR(INDEX(醫師週班表!$C$5:$T$44,$CU20,BP$57),""),2,1)="(",LEFT(IFERROR(INDEX(醫師週班表!$C$5:$T$44,$CU20,BP$57),""),1),IFERROR(INDEX(醫師週班表!$C$5:$T$44,$CU20,BP$57),"")))))))</f>
        <v/>
      </c>
      <c r="BQ20" s="68">
        <f>IF(BQ$59="X","",IF(BQ$59&lt;&gt;"",BQ$59,IF(IFERROR(INDEX(醫師週班表!$C$5:$T$44,$CU20,BQ$57),"")=0,"",IF(MID(IFERROR(INDEX(醫師週班表!$C$5:$T$44,$CU20,BQ$57),""),2,1)="/",MID(IFERROR(INDEX(醫師週班表!$C$5:$T$44,$CU20,BQ$57),""),1+BQ$58*2,1),IF(MID(IFERROR(INDEX(醫師週班表!$C$5:$T$44,$CU20,BQ$57),""),3,1)="隔",IF(BQ$58=0,LEFT(IFERROR(INDEX(醫師週班表!$C$5:$T$44,$CU20,BQ$57),""),1),""),IF(MID(IFERROR(INDEX(醫師週班表!$C$5:$T$44,$CU20,BQ$57),""),2,1)="(",LEFT(IFERROR(INDEX(醫師週班表!$C$5:$T$44,$CU20,BQ$57),""),1),IFERROR(INDEX(醫師週班表!$C$5:$T$44,$CU20,BQ$57),"")))))))</f>
        <v/>
      </c>
      <c r="BR20" s="68">
        <f>IF(BR$59="X","",IF(BR$59&lt;&gt;"",BR$59,IF(IFERROR(INDEX(醫師週班表!$C$5:$T$44,$CU20,BR$57),"")=0,"",IF(MID(IFERROR(INDEX(醫師週班表!$C$5:$T$44,$CU20,BR$57),""),2,1)="/",MID(IFERROR(INDEX(醫師週班表!$C$5:$T$44,$CU20,BR$57),""),1+BR$58*2,1),IF(MID(IFERROR(INDEX(醫師週班表!$C$5:$T$44,$CU20,BR$57),""),3,1)="隔",IF(BR$58=0,LEFT(IFERROR(INDEX(醫師週班表!$C$5:$T$44,$CU20,BR$57),""),1),""),IF(MID(IFERROR(INDEX(醫師週班表!$C$5:$T$44,$CU20,BR$57),""),2,1)="(",LEFT(IFERROR(INDEX(醫師週班表!$C$5:$T$44,$CU20,BR$57),""),1),IFERROR(INDEX(醫師週班表!$C$5:$T$44,$CU20,BR$57),"")))))))</f>
        <v/>
      </c>
      <c r="BS20" s="67">
        <f>IF(BS$59="X","",IF(BS$59&lt;&gt;"",BS$59,IF(IFERROR(INDEX(醫師週班表!$C$5:$T$44,$CU20,BS$57),"")=0,"",IF(MID(IFERROR(INDEX(醫師週班表!$C$5:$T$44,$CU20,BS$57),""),2,1)="/",MID(IFERROR(INDEX(醫師週班表!$C$5:$T$44,$CU20,BS$57),""),1+BS$58*2,1),IF(MID(IFERROR(INDEX(醫師週班表!$C$5:$T$44,$CU20,BS$57),""),3,1)="隔",IF(BS$58=0,LEFT(IFERROR(INDEX(醫師週班表!$C$5:$T$44,$CU20,BS$57),""),1),""),IF(MID(IFERROR(INDEX(醫師週班表!$C$5:$T$44,$CU20,BS$57),""),2,1)="(",LEFT(IFERROR(INDEX(醫師週班表!$C$5:$T$44,$CU20,BS$57),""),1),IFERROR(INDEX(醫師週班表!$C$5:$T$44,$CU20,BS$57),"")))))))</f>
        <v/>
      </c>
      <c r="BT20" s="68">
        <f>IF(BT$59="X","",IF(BT$59&lt;&gt;"",BT$59,IF(IFERROR(INDEX(醫師週班表!$C$5:$T$44,$CU20,BT$57),"")=0,"",IF(MID(IFERROR(INDEX(醫師週班表!$C$5:$T$44,$CU20,BT$57),""),2,1)="/",MID(IFERROR(INDEX(醫師週班表!$C$5:$T$44,$CU20,BT$57),""),1+BT$58*2,1),IF(MID(IFERROR(INDEX(醫師週班表!$C$5:$T$44,$CU20,BT$57),""),3,1)="隔",IF(BT$58=0,LEFT(IFERROR(INDEX(醫師週班表!$C$5:$T$44,$CU20,BT$57),""),1),""),IF(MID(IFERROR(INDEX(醫師週班表!$C$5:$T$44,$CU20,BT$57),""),2,1)="(",LEFT(IFERROR(INDEX(醫師週班表!$C$5:$T$44,$CU20,BT$57),""),1),IFERROR(INDEX(醫師週班表!$C$5:$T$44,$CU20,BT$57),"")))))))</f>
        <v/>
      </c>
      <c r="BU20" s="68">
        <f>IF(BU$59="X","",IF(BU$59&lt;&gt;"",BU$59,IF(IFERROR(INDEX(醫師週班表!$C$5:$T$44,$CU20,BU$57),"")=0,"",IF(MID(IFERROR(INDEX(醫師週班表!$C$5:$T$44,$CU20,BU$57),""),2,1)="/",MID(IFERROR(INDEX(醫師週班表!$C$5:$T$44,$CU20,BU$57),""),1+BU$58*2,1),IF(MID(IFERROR(INDEX(醫師週班表!$C$5:$T$44,$CU20,BU$57),""),3,1)="隔",IF(BU$58=0,LEFT(IFERROR(INDEX(醫師週班表!$C$5:$T$44,$CU20,BU$57),""),1),""),IF(MID(IFERROR(INDEX(醫師週班表!$C$5:$T$44,$CU20,BU$57),""),2,1)="(",LEFT(IFERROR(INDEX(醫師週班表!$C$5:$T$44,$CU20,BU$57),""),1),IFERROR(INDEX(醫師週班表!$C$5:$T$44,$CU20,BU$57),"")))))))</f>
        <v/>
      </c>
      <c r="BV20" s="67">
        <f>IF(BV$59="X","",IF(BV$59&lt;&gt;"",BV$59,IF(IFERROR(INDEX(醫師週班表!$C$5:$T$44,$CU20,BV$57),"")=0,"",IF(MID(IFERROR(INDEX(醫師週班表!$C$5:$T$44,$CU20,BV$57),""),2,1)="/",MID(IFERROR(INDEX(醫師週班表!$C$5:$T$44,$CU20,BV$57),""),1+BV$58*2,1),IF(MID(IFERROR(INDEX(醫師週班表!$C$5:$T$44,$CU20,BV$57),""),3,1)="隔",IF(BV$58=0,LEFT(IFERROR(INDEX(醫師週班表!$C$5:$T$44,$CU20,BV$57),""),1),""),IF(MID(IFERROR(INDEX(醫師週班表!$C$5:$T$44,$CU20,BV$57),""),2,1)="(",LEFT(IFERROR(INDEX(醫師週班表!$C$5:$T$44,$CU20,BV$57),""),1),IFERROR(INDEX(醫師週班表!$C$5:$T$44,$CU20,BV$57),"")))))))</f>
        <v/>
      </c>
      <c r="BW20" s="68">
        <f>IF(BW$59="X","",IF(BW$59&lt;&gt;"",BW$59,IF(IFERROR(INDEX(醫師週班表!$C$5:$T$44,$CU20,BW$57),"")=0,"",IF(MID(IFERROR(INDEX(醫師週班表!$C$5:$T$44,$CU20,BW$57),""),2,1)="/",MID(IFERROR(INDEX(醫師週班表!$C$5:$T$44,$CU20,BW$57),""),1+BW$58*2,1),IF(MID(IFERROR(INDEX(醫師週班表!$C$5:$T$44,$CU20,BW$57),""),3,1)="隔",IF(BW$58=0,LEFT(IFERROR(INDEX(醫師週班表!$C$5:$T$44,$CU20,BW$57),""),1),""),IF(MID(IFERROR(INDEX(醫師週班表!$C$5:$T$44,$CU20,BW$57),""),2,1)="(",LEFT(IFERROR(INDEX(醫師週班表!$C$5:$T$44,$CU20,BW$57),""),1),IFERROR(INDEX(醫師週班表!$C$5:$T$44,$CU20,BW$57),"")))))))</f>
        <v/>
      </c>
      <c r="BX20" s="68">
        <f>IF(BX$59="X","",IF(BX$59&lt;&gt;"",BX$59,IF(IFERROR(INDEX(醫師週班表!$C$5:$T$44,$CU20,BX$57),"")=0,"",IF(MID(IFERROR(INDEX(醫師週班表!$C$5:$T$44,$CU20,BX$57),""),2,1)="/",MID(IFERROR(INDEX(醫師週班表!$C$5:$T$44,$CU20,BX$57),""),1+BX$58*2,1),IF(MID(IFERROR(INDEX(醫師週班表!$C$5:$T$44,$CU20,BX$57),""),3,1)="隔",IF(BX$58=0,LEFT(IFERROR(INDEX(醫師週班表!$C$5:$T$44,$CU20,BX$57),""),1),""),IF(MID(IFERROR(INDEX(醫師週班表!$C$5:$T$44,$CU20,BX$57),""),2,1)="(",LEFT(IFERROR(INDEX(醫師週班表!$C$5:$T$44,$CU20,BX$57),""),1),IFERROR(INDEX(醫師週班表!$C$5:$T$44,$CU20,BX$57),"")))))))</f>
        <v/>
      </c>
      <c r="BY20" s="67">
        <f>IF(BY$59="X","",IF(BY$59&lt;&gt;"",BY$59,IF(IFERROR(INDEX(醫師週班表!$C$5:$T$44,$CU20,BY$57),"")=0,"",IF(MID(IFERROR(INDEX(醫師週班表!$C$5:$T$44,$CU20,BY$57),""),2,1)="/",MID(IFERROR(INDEX(醫師週班表!$C$5:$T$44,$CU20,BY$57),""),1+BY$58*2,1),IF(MID(IFERROR(INDEX(醫師週班表!$C$5:$T$44,$CU20,BY$57),""),3,1)="隔",IF(BY$58=0,LEFT(IFERROR(INDEX(醫師週班表!$C$5:$T$44,$CU20,BY$57),""),1),""),IF(MID(IFERROR(INDEX(醫師週班表!$C$5:$T$44,$CU20,BY$57),""),2,1)="(",LEFT(IFERROR(INDEX(醫師週班表!$C$5:$T$44,$CU20,BY$57),""),1),IFERROR(INDEX(醫師週班表!$C$5:$T$44,$CU20,BY$57),"")))))))</f>
        <v/>
      </c>
      <c r="BZ20" s="68">
        <f>IF(BZ$59="X","",IF(BZ$59&lt;&gt;"",BZ$59,IF(IFERROR(INDEX(醫師週班表!$C$5:$T$44,$CU20,BZ$57),"")=0,"",IF(MID(IFERROR(INDEX(醫師週班表!$C$5:$T$44,$CU20,BZ$57),""),2,1)="/",MID(IFERROR(INDEX(醫師週班表!$C$5:$T$44,$CU20,BZ$57),""),1+BZ$58*2,1),IF(MID(IFERROR(INDEX(醫師週班表!$C$5:$T$44,$CU20,BZ$57),""),3,1)="隔",IF(BZ$58=0,LEFT(IFERROR(INDEX(醫師週班表!$C$5:$T$44,$CU20,BZ$57),""),1),""),IF(MID(IFERROR(INDEX(醫師週班表!$C$5:$T$44,$CU20,BZ$57),""),2,1)="(",LEFT(IFERROR(INDEX(醫師週班表!$C$5:$T$44,$CU20,BZ$57),""),1),IFERROR(INDEX(醫師週班表!$C$5:$T$44,$CU20,BZ$57),"")))))))</f>
        <v/>
      </c>
      <c r="CA20" s="68">
        <f>IF(CA$59="X","",IF(CA$59&lt;&gt;"",CA$59,IF(IFERROR(INDEX(醫師週班表!$C$5:$T$44,$CU20,CA$57),"")=0,"",IF(MID(IFERROR(INDEX(醫師週班表!$C$5:$T$44,$CU20,CA$57),""),2,1)="/",MID(IFERROR(INDEX(醫師週班表!$C$5:$T$44,$CU20,CA$57),""),1+CA$58*2,1),IF(MID(IFERROR(INDEX(醫師週班表!$C$5:$T$44,$CU20,CA$57),""),3,1)="隔",IF(CA$58=0,LEFT(IFERROR(INDEX(醫師週班表!$C$5:$T$44,$CU20,CA$57),""),1),""),IF(MID(IFERROR(INDEX(醫師週班表!$C$5:$T$44,$CU20,CA$57),""),2,1)="(",LEFT(IFERROR(INDEX(醫師週班表!$C$5:$T$44,$CU20,CA$57),""),1),IFERROR(INDEX(醫師週班表!$C$5:$T$44,$CU20,CA$57),"")))))))</f>
        <v/>
      </c>
      <c r="CB20" s="67">
        <f>IF(CB$59="X","",IF(CB$59&lt;&gt;"",CB$59,IF(IFERROR(INDEX(醫師週班表!$C$5:$T$44,$CU20,CB$57),"")=0,"",IF(MID(IFERROR(INDEX(醫師週班表!$C$5:$T$44,$CU20,CB$57),""),2,1)="/",MID(IFERROR(INDEX(醫師週班表!$C$5:$T$44,$CU20,CB$57),""),1+CB$58*2,1),IF(MID(IFERROR(INDEX(醫師週班表!$C$5:$T$44,$CU20,CB$57),""),3,1)="隔",IF(CB$58=0,LEFT(IFERROR(INDEX(醫師週班表!$C$5:$T$44,$CU20,CB$57),""),1),""),IF(MID(IFERROR(INDEX(醫師週班表!$C$5:$T$44,$CU20,CB$57),""),2,1)="(",LEFT(IFERROR(INDEX(醫師週班表!$C$5:$T$44,$CU20,CB$57),""),1),IFERROR(INDEX(醫師週班表!$C$5:$T$44,$CU20,CB$57),"")))))))</f>
        <v/>
      </c>
      <c r="CC20" s="68">
        <f>IF(CC$59="X","",IF(CC$59&lt;&gt;"",CC$59,IF(IFERROR(INDEX(醫師週班表!$C$5:$T$44,$CU20,CC$57),"")=0,"",IF(MID(IFERROR(INDEX(醫師週班表!$C$5:$T$44,$CU20,CC$57),""),2,1)="/",MID(IFERROR(INDEX(醫師週班表!$C$5:$T$44,$CU20,CC$57),""),1+CC$58*2,1),IF(MID(IFERROR(INDEX(醫師週班表!$C$5:$T$44,$CU20,CC$57),""),3,1)="隔",IF(CC$58=0,LEFT(IFERROR(INDEX(醫師週班表!$C$5:$T$44,$CU20,CC$57),""),1),""),IF(MID(IFERROR(INDEX(醫師週班表!$C$5:$T$44,$CU20,CC$57),""),2,1)="(",LEFT(IFERROR(INDEX(醫師週班表!$C$5:$T$44,$CU20,CC$57),""),1),IFERROR(INDEX(醫師週班表!$C$5:$T$44,$CU20,CC$57),"")))))))</f>
        <v/>
      </c>
      <c r="CD20" s="68">
        <f>IF(CD$59="X","",IF(CD$59&lt;&gt;"",CD$59,IF(IFERROR(INDEX(醫師週班表!$C$5:$T$44,$CU20,CD$57),"")=0,"",IF(MID(IFERROR(INDEX(醫師週班表!$C$5:$T$44,$CU20,CD$57),""),2,1)="/",MID(IFERROR(INDEX(醫師週班表!$C$5:$T$44,$CU20,CD$57),""),1+CD$58*2,1),IF(MID(IFERROR(INDEX(醫師週班表!$C$5:$T$44,$CU20,CD$57),""),3,1)="隔",IF(CD$58=0,LEFT(IFERROR(INDEX(醫師週班表!$C$5:$T$44,$CU20,CD$57),""),1),""),IF(MID(IFERROR(INDEX(醫師週班表!$C$5:$T$44,$CU20,CD$57),""),2,1)="(",LEFT(IFERROR(INDEX(醫師週班表!$C$5:$T$44,$CU20,CD$57),""),1),IFERROR(INDEX(醫師週班表!$C$5:$T$44,$CU20,CD$57),"")))))))</f>
        <v/>
      </c>
      <c r="CE20" s="67">
        <f>IF(CE$59="X","",IF(CE$59&lt;&gt;"",CE$59,IF(IFERROR(INDEX(醫師週班表!$C$5:$T$44,$CU20,CE$57),"")=0,"",IF(MID(IFERROR(INDEX(醫師週班表!$C$5:$T$44,$CU20,CE$57),""),2,1)="/",MID(IFERROR(INDEX(醫師週班表!$C$5:$T$44,$CU20,CE$57),""),1+CE$58*2,1),IF(MID(IFERROR(INDEX(醫師週班表!$C$5:$T$44,$CU20,CE$57),""),3,1)="隔",IF(CE$58=0,LEFT(IFERROR(INDEX(醫師週班表!$C$5:$T$44,$CU20,CE$57),""),1),""),IF(MID(IFERROR(INDEX(醫師週班表!$C$5:$T$44,$CU20,CE$57),""),2,1)="(",LEFT(IFERROR(INDEX(醫師週班表!$C$5:$T$44,$CU20,CE$57),""),1),IFERROR(INDEX(醫師週班表!$C$5:$T$44,$CU20,CE$57),"")))))))</f>
        <v/>
      </c>
      <c r="CF20" s="68">
        <f>IF(CF$59="X","",IF(CF$59&lt;&gt;"",CF$59,IF(IFERROR(INDEX(醫師週班表!$C$5:$T$44,$CU20,CF$57),"")=0,"",IF(MID(IFERROR(INDEX(醫師週班表!$C$5:$T$44,$CU20,CF$57),""),2,1)="/",MID(IFERROR(INDEX(醫師週班表!$C$5:$T$44,$CU20,CF$57),""),1+CF$58*2,1),IF(MID(IFERROR(INDEX(醫師週班表!$C$5:$T$44,$CU20,CF$57),""),3,1)="隔",IF(CF$58=0,LEFT(IFERROR(INDEX(醫師週班表!$C$5:$T$44,$CU20,CF$57),""),1),""),IF(MID(IFERROR(INDEX(醫師週班表!$C$5:$T$44,$CU20,CF$57),""),2,1)="(",LEFT(IFERROR(INDEX(醫師週班表!$C$5:$T$44,$CU20,CF$57),""),1),IFERROR(INDEX(醫師週班表!$C$5:$T$44,$CU20,CF$57),"")))))))</f>
        <v/>
      </c>
      <c r="CG20" s="68">
        <f>IF(CG$59="X","",IF(CG$59&lt;&gt;"",CG$59,IF(IFERROR(INDEX(醫師週班表!$C$5:$T$44,$CU20,CG$57),"")=0,"",IF(MID(IFERROR(INDEX(醫師週班表!$C$5:$T$44,$CU20,CG$57),""),2,1)="/",MID(IFERROR(INDEX(醫師週班表!$C$5:$T$44,$CU20,CG$57),""),1+CG$58*2,1),IF(MID(IFERROR(INDEX(醫師週班表!$C$5:$T$44,$CU20,CG$57),""),3,1)="隔",IF(CG$58=0,LEFT(IFERROR(INDEX(醫師週班表!$C$5:$T$44,$CU20,CG$57),""),1),""),IF(MID(IFERROR(INDEX(醫師週班表!$C$5:$T$44,$CU20,CG$57),""),2,1)="(",LEFT(IFERROR(INDEX(醫師週班表!$C$5:$T$44,$CU20,CG$57),""),1),IFERROR(INDEX(醫師週班表!$C$5:$T$44,$CU20,CG$57),"")))))))</f>
        <v/>
      </c>
      <c r="CH20" s="67">
        <f>IF(CH$59="X","",IF(CH$59&lt;&gt;"",CH$59,IF(IFERROR(INDEX(醫師週班表!$C$5:$T$44,$CU20,CH$57),"")=0,"",IF(MID(IFERROR(INDEX(醫師週班表!$C$5:$T$44,$CU20,CH$57),""),2,1)="/",MID(IFERROR(INDEX(醫師週班表!$C$5:$T$44,$CU20,CH$57),""),1+CH$58*2,1),IF(MID(IFERROR(INDEX(醫師週班表!$C$5:$T$44,$CU20,CH$57),""),3,1)="隔",IF(CH$58=0,LEFT(IFERROR(INDEX(醫師週班表!$C$5:$T$44,$CU20,CH$57),""),1),""),IF(MID(IFERROR(INDEX(醫師週班表!$C$5:$T$44,$CU20,CH$57),""),2,1)="(",LEFT(IFERROR(INDEX(醫師週班表!$C$5:$T$44,$CU20,CH$57),""),1),IFERROR(INDEX(醫師週班表!$C$5:$T$44,$CU20,CH$57),"")))))))</f>
        <v/>
      </c>
      <c r="CI20" s="68">
        <f>IF(CI$59="X","",IF(CI$59&lt;&gt;"",CI$59,IF(IFERROR(INDEX(醫師週班表!$C$5:$T$44,$CU20,CI$57),"")=0,"",IF(MID(IFERROR(INDEX(醫師週班表!$C$5:$T$44,$CU20,CI$57),""),2,1)="/",MID(IFERROR(INDEX(醫師週班表!$C$5:$T$44,$CU20,CI$57),""),1+CI$58*2,1),IF(MID(IFERROR(INDEX(醫師週班表!$C$5:$T$44,$CU20,CI$57),""),3,1)="隔",IF(CI$58=0,LEFT(IFERROR(INDEX(醫師週班表!$C$5:$T$44,$CU20,CI$57),""),1),""),IF(MID(IFERROR(INDEX(醫師週班表!$C$5:$T$44,$CU20,CI$57),""),2,1)="(",LEFT(IFERROR(INDEX(醫師週班表!$C$5:$T$44,$CU20,CI$57),""),1),IFERROR(INDEX(醫師週班表!$C$5:$T$44,$CU20,CI$57),"")))))))</f>
        <v/>
      </c>
      <c r="CJ20" s="68">
        <f>IF(CJ$59="X","",IF(CJ$59&lt;&gt;"",CJ$59,IF(IFERROR(INDEX(醫師週班表!$C$5:$T$44,$CU20,CJ$57),"")=0,"",IF(MID(IFERROR(INDEX(醫師週班表!$C$5:$T$44,$CU20,CJ$57),""),2,1)="/",MID(IFERROR(INDEX(醫師週班表!$C$5:$T$44,$CU20,CJ$57),""),1+CJ$58*2,1),IF(MID(IFERROR(INDEX(醫師週班表!$C$5:$T$44,$CU20,CJ$57),""),3,1)="隔",IF(CJ$58=0,LEFT(IFERROR(INDEX(醫師週班表!$C$5:$T$44,$CU20,CJ$57),""),1),""),IF(MID(IFERROR(INDEX(醫師週班表!$C$5:$T$44,$CU20,CJ$57),""),2,1)="(",LEFT(IFERROR(INDEX(醫師週班表!$C$5:$T$44,$CU20,CJ$57),""),1),IFERROR(INDEX(醫師週班表!$C$5:$T$44,$CU20,CJ$57),"")))))))</f>
        <v/>
      </c>
      <c r="CK20" s="67">
        <f>IF(CK$59="X","",IF(CK$59&lt;&gt;"",CK$59,IF(IFERROR(INDEX(醫師週班表!$C$5:$T$44,$CU20,CK$57),"")=0,"",IF(MID(IFERROR(INDEX(醫師週班表!$C$5:$T$44,$CU20,CK$57),""),2,1)="/",MID(IFERROR(INDEX(醫師週班表!$C$5:$T$44,$CU20,CK$57),""),1+CK$58*2,1),IF(MID(IFERROR(INDEX(醫師週班表!$C$5:$T$44,$CU20,CK$57),""),3,1)="隔",IF(CK$58=0,LEFT(IFERROR(INDEX(醫師週班表!$C$5:$T$44,$CU20,CK$57),""),1),""),IF(MID(IFERROR(INDEX(醫師週班表!$C$5:$T$44,$CU20,CK$57),""),2,1)="(",LEFT(IFERROR(INDEX(醫師週班表!$C$5:$T$44,$CU20,CK$57),""),1),IFERROR(INDEX(醫師週班表!$C$5:$T$44,$CU20,CK$57),"")))))))</f>
        <v/>
      </c>
      <c r="CL20" s="68">
        <f>IF(CL$59="X","",IF(CL$59&lt;&gt;"",CL$59,IF(IFERROR(INDEX(醫師週班表!$C$5:$T$44,$CU20,CL$57),"")=0,"",IF(MID(IFERROR(INDEX(醫師週班表!$C$5:$T$44,$CU20,CL$57),""),2,1)="/",MID(IFERROR(INDEX(醫師週班表!$C$5:$T$44,$CU20,CL$57),""),1+CL$58*2,1),IF(MID(IFERROR(INDEX(醫師週班表!$C$5:$T$44,$CU20,CL$57),""),3,1)="隔",IF(CL$58=0,LEFT(IFERROR(INDEX(醫師週班表!$C$5:$T$44,$CU20,CL$57),""),1),""),IF(MID(IFERROR(INDEX(醫師週班表!$C$5:$T$44,$CU20,CL$57),""),2,1)="(",LEFT(IFERROR(INDEX(醫師週班表!$C$5:$T$44,$CU20,CL$57),""),1),IFERROR(INDEX(醫師週班表!$C$5:$T$44,$CU20,CL$57),"")))))))</f>
        <v/>
      </c>
      <c r="CM20" s="68">
        <f>IF(CM$59="X","",IF(CM$59&lt;&gt;"",CM$59,IF(IFERROR(INDEX(醫師週班表!$C$5:$T$44,$CU20,CM$57),"")=0,"",IF(MID(IFERROR(INDEX(醫師週班表!$C$5:$T$44,$CU20,CM$57),""),2,1)="/",MID(IFERROR(INDEX(醫師週班表!$C$5:$T$44,$CU20,CM$57),""),1+CM$58*2,1),IF(MID(IFERROR(INDEX(醫師週班表!$C$5:$T$44,$CU20,CM$57),""),3,1)="隔",IF(CM$58=0,LEFT(IFERROR(INDEX(醫師週班表!$C$5:$T$44,$CU20,CM$57),""),1),""),IF(MID(IFERROR(INDEX(醫師週班表!$C$5:$T$44,$CU20,CM$57),""),2,1)="(",LEFT(IFERROR(INDEX(醫師週班表!$C$5:$T$44,$CU20,CM$57),""),1),IFERROR(INDEX(醫師週班表!$C$5:$T$44,$CU20,CM$57),"")))))))</f>
        <v/>
      </c>
      <c r="CN20" s="67">
        <f>IF(CN$59="X","",IF(CN$59&lt;&gt;"",CN$59,IF(IFERROR(INDEX(醫師週班表!$C$5:$T$44,$CU20,CN$57),"")=0,"",IF(MID(IFERROR(INDEX(醫師週班表!$C$5:$T$44,$CU20,CN$57),""),2,1)="/",MID(IFERROR(INDEX(醫師週班表!$C$5:$T$44,$CU20,CN$57),""),1+CN$58*2,1),IF(MID(IFERROR(INDEX(醫師週班表!$C$5:$T$44,$CU20,CN$57),""),3,1)="隔",IF(CN$58=0,LEFT(IFERROR(INDEX(醫師週班表!$C$5:$T$44,$CU20,CN$57),""),1),""),IF(MID(IFERROR(INDEX(醫師週班表!$C$5:$T$44,$CU20,CN$57),""),2,1)="(",LEFT(IFERROR(INDEX(醫師週班表!$C$5:$T$44,$CU20,CN$57),""),1),IFERROR(INDEX(醫師週班表!$C$5:$T$44,$CU20,CN$57),"")))))))</f>
        <v/>
      </c>
      <c r="CO20" s="68">
        <f>IF(CO$59="X","",IF(CO$59&lt;&gt;"",CO$59,IF(IFERROR(INDEX(醫師週班表!$C$5:$T$44,$CU20,CO$57),"")=0,"",IF(MID(IFERROR(INDEX(醫師週班表!$C$5:$T$44,$CU20,CO$57),""),2,1)="/",MID(IFERROR(INDEX(醫師週班表!$C$5:$T$44,$CU20,CO$57),""),1+CO$58*2,1),IF(MID(IFERROR(INDEX(醫師週班表!$C$5:$T$44,$CU20,CO$57),""),3,1)="隔",IF(CO$58=0,LEFT(IFERROR(INDEX(醫師週班表!$C$5:$T$44,$CU20,CO$57),""),1),""),IF(MID(IFERROR(INDEX(醫師週班表!$C$5:$T$44,$CU20,CO$57),""),2,1)="(",LEFT(IFERROR(INDEX(醫師週班表!$C$5:$T$44,$CU20,CO$57),""),1),IFERROR(INDEX(醫師週班表!$C$5:$T$44,$CU20,CO$57),"")))))))</f>
        <v/>
      </c>
      <c r="CP20" s="68">
        <f>IF(CP$59="X","",IF(CP$59&lt;&gt;"",CP$59,IF(IFERROR(INDEX(醫師週班表!$C$5:$T$44,$CU20,CP$57),"")=0,"",IF(MID(IFERROR(INDEX(醫師週班表!$C$5:$T$44,$CU20,CP$57),""),2,1)="/",MID(IFERROR(INDEX(醫師週班表!$C$5:$T$44,$CU20,CP$57),""),1+CP$58*2,1),IF(MID(IFERROR(INDEX(醫師週班表!$C$5:$T$44,$CU20,CP$57),""),3,1)="隔",IF(CP$58=0,LEFT(IFERROR(INDEX(醫師週班表!$C$5:$T$44,$CU20,CP$57),""),1),""),IF(MID(IFERROR(INDEX(醫師週班表!$C$5:$T$44,$CU20,CP$57),""),2,1)="(",LEFT(IFERROR(INDEX(醫師週班表!$C$5:$T$44,$CU20,CP$57),""),1),IFERROR(INDEX(醫師週班表!$C$5:$T$44,$CU20,CP$57),"")))))))</f>
        <v/>
      </c>
      <c r="CQ20" s="67">
        <f>IF(CQ$59="X","",IF(CQ$59&lt;&gt;"",CQ$59,IF(IFERROR(INDEX(醫師週班表!$C$5:$T$44,$CU20,CQ$57),"")=0,"",IF(MID(IFERROR(INDEX(醫師週班表!$C$5:$T$44,$CU20,CQ$57),""),2,1)="/",MID(IFERROR(INDEX(醫師週班表!$C$5:$T$44,$CU20,CQ$57),""),1+CQ$58*2,1),IF(MID(IFERROR(INDEX(醫師週班表!$C$5:$T$44,$CU20,CQ$57),""),3,1)="隔",IF(CQ$58=0,LEFT(IFERROR(INDEX(醫師週班表!$C$5:$T$44,$CU20,CQ$57),""),1),""),IF(MID(IFERROR(INDEX(醫師週班表!$C$5:$T$44,$CU20,CQ$57),""),2,1)="(",LEFT(IFERROR(INDEX(醫師週班表!$C$5:$T$44,$CU20,CQ$57),""),1),IFERROR(INDEX(醫師週班表!$C$5:$T$44,$CU20,CQ$57),"")))))))</f>
        <v/>
      </c>
      <c r="CR20" s="68">
        <f>IF(CR$59="X","",IF(CR$59&lt;&gt;"",CR$59,IF(IFERROR(INDEX(醫師週班表!$C$5:$T$44,$CU20,CR$57),"")=0,"",IF(MID(IFERROR(INDEX(醫師週班表!$C$5:$T$44,$CU20,CR$57),""),2,1)="/",MID(IFERROR(INDEX(醫師週班表!$C$5:$T$44,$CU20,CR$57),""),1+CR$58*2,1),IF(MID(IFERROR(INDEX(醫師週班表!$C$5:$T$44,$CU20,CR$57),""),3,1)="隔",IF(CR$58=0,LEFT(IFERROR(INDEX(醫師週班表!$C$5:$T$44,$CU20,CR$57),""),1),""),IF(MID(IFERROR(INDEX(醫師週班表!$C$5:$T$44,$CU20,CR$57),""),2,1)="(",LEFT(IFERROR(INDEX(醫師週班表!$C$5:$T$44,$CU20,CR$57),""),1),IFERROR(INDEX(醫師週班表!$C$5:$T$44,$CU20,CR$57),"")))))))</f>
        <v/>
      </c>
      <c r="CS20" s="68">
        <f>IF(CS$59="X","",IF(CS$59&lt;&gt;"",CS$59,IF(IFERROR(INDEX(醫師週班表!$C$5:$T$44,$CU20,CS$57),"")=0,"",IF(MID(IFERROR(INDEX(醫師週班表!$C$5:$T$44,$CU20,CS$57),""),2,1)="/",MID(IFERROR(INDEX(醫師週班表!$C$5:$T$44,$CU20,CS$57),""),1+CS$58*2,1),IF(MID(IFERROR(INDEX(醫師週班表!$C$5:$T$44,$CU20,CS$57),""),3,1)="隔",IF(CS$58=0,LEFT(IFERROR(INDEX(醫師週班表!$C$5:$T$44,$CU20,CS$57),""),1),""),IF(MID(IFERROR(INDEX(醫師週班表!$C$5:$T$44,$CU20,CS$57),""),2,1)="(",LEFT(IFERROR(INDEX(醫師週班表!$C$5:$T$44,$CU20,CS$57),""),1),IFERROR(INDEX(醫師週班表!$C$5:$T$44,$CU20,CS$57),"")))))))</f>
        <v/>
      </c>
      <c r="CU20" s="69">
        <f>IFERROR(MATCH($A20,醫師週班表!$A$5:$A$44,0),0)</f>
        <v/>
      </c>
    </row>
    <row r="21" ht="17" customHeight="1">
      <c r="A21" s="20" t="inlineStr">
        <is>
          <t>D016</t>
        </is>
      </c>
      <c r="B21" s="16" t="inlineStr">
        <is>
          <t>賴敏傑</t>
        </is>
      </c>
      <c r="C21" s="66" t="inlineStr"/>
      <c r="D21" s="16" t="inlineStr"/>
      <c r="E21" s="67">
        <f>IF(E$59="X","",IF(E$59&lt;&gt;"",E$59,IF(IFERROR(INDEX(醫師週班表!$C$5:$T$44,$CU21,E$57),"")=0,"",IF(MID(IFERROR(INDEX(醫師週班表!$C$5:$T$44,$CU21,E$57),""),2,1)="/",MID(IFERROR(INDEX(醫師週班表!$C$5:$T$44,$CU21,E$57),""),1+E$58*2,1),IF(MID(IFERROR(INDEX(醫師週班表!$C$5:$T$44,$CU21,E$57),""),3,1)="隔",IF(E$58=0,LEFT(IFERROR(INDEX(醫師週班表!$C$5:$T$44,$CU21,E$57),""),1),""),IF(MID(IFERROR(INDEX(醫師週班表!$C$5:$T$44,$CU21,E$57),""),2,1)="(",LEFT(IFERROR(INDEX(醫師週班表!$C$5:$T$44,$CU21,E$57),""),1),IFERROR(INDEX(醫師週班表!$C$5:$T$44,$CU21,E$57),"")))))))</f>
        <v/>
      </c>
      <c r="F21" s="68">
        <f>IF(F$59="X","",IF(F$59&lt;&gt;"",F$59,IF(IFERROR(INDEX(醫師週班表!$C$5:$T$44,$CU21,F$57),"")=0,"",IF(MID(IFERROR(INDEX(醫師週班表!$C$5:$T$44,$CU21,F$57),""),2,1)="/",MID(IFERROR(INDEX(醫師週班表!$C$5:$T$44,$CU21,F$57),""),1+F$58*2,1),IF(MID(IFERROR(INDEX(醫師週班表!$C$5:$T$44,$CU21,F$57),""),3,1)="隔",IF(F$58=0,LEFT(IFERROR(INDEX(醫師週班表!$C$5:$T$44,$CU21,F$57),""),1),""),IF(MID(IFERROR(INDEX(醫師週班表!$C$5:$T$44,$CU21,F$57),""),2,1)="(",LEFT(IFERROR(INDEX(醫師週班表!$C$5:$T$44,$CU21,F$57),""),1),IFERROR(INDEX(醫師週班表!$C$5:$T$44,$CU21,F$57),"")))))))</f>
        <v/>
      </c>
      <c r="G21" s="68">
        <f>IF(G$59="X","",IF(G$59&lt;&gt;"",G$59,IF(IFERROR(INDEX(醫師週班表!$C$5:$T$44,$CU21,G$57),"")=0,"",IF(MID(IFERROR(INDEX(醫師週班表!$C$5:$T$44,$CU21,G$57),""),2,1)="/",MID(IFERROR(INDEX(醫師週班表!$C$5:$T$44,$CU21,G$57),""),1+G$58*2,1),IF(MID(IFERROR(INDEX(醫師週班表!$C$5:$T$44,$CU21,G$57),""),3,1)="隔",IF(G$58=0,LEFT(IFERROR(INDEX(醫師週班表!$C$5:$T$44,$CU21,G$57),""),1),""),IF(MID(IFERROR(INDEX(醫師週班表!$C$5:$T$44,$CU21,G$57),""),2,1)="(",LEFT(IFERROR(INDEX(醫師週班表!$C$5:$T$44,$CU21,G$57),""),1),IFERROR(INDEX(醫師週班表!$C$5:$T$44,$CU21,G$57),"")))))))</f>
        <v/>
      </c>
      <c r="H21" s="67">
        <f>IF(H$59="X","",IF(H$59&lt;&gt;"",H$59,IF(IFERROR(INDEX(醫師週班表!$C$5:$T$44,$CU21,H$57),"")=0,"",IF(MID(IFERROR(INDEX(醫師週班表!$C$5:$T$44,$CU21,H$57),""),2,1)="/",MID(IFERROR(INDEX(醫師週班表!$C$5:$T$44,$CU21,H$57),""),1+H$58*2,1),IF(MID(IFERROR(INDEX(醫師週班表!$C$5:$T$44,$CU21,H$57),""),3,1)="隔",IF(H$58=0,LEFT(IFERROR(INDEX(醫師週班表!$C$5:$T$44,$CU21,H$57),""),1),""),IF(MID(IFERROR(INDEX(醫師週班表!$C$5:$T$44,$CU21,H$57),""),2,1)="(",LEFT(IFERROR(INDEX(醫師週班表!$C$5:$T$44,$CU21,H$57),""),1),IFERROR(INDEX(醫師週班表!$C$5:$T$44,$CU21,H$57),"")))))))</f>
        <v/>
      </c>
      <c r="I21" s="68">
        <f>IF(I$59="X","",IF(I$59&lt;&gt;"",I$59,IF(IFERROR(INDEX(醫師週班表!$C$5:$T$44,$CU21,I$57),"")=0,"",IF(MID(IFERROR(INDEX(醫師週班表!$C$5:$T$44,$CU21,I$57),""),2,1)="/",MID(IFERROR(INDEX(醫師週班表!$C$5:$T$44,$CU21,I$57),""),1+I$58*2,1),IF(MID(IFERROR(INDEX(醫師週班表!$C$5:$T$44,$CU21,I$57),""),3,1)="隔",IF(I$58=0,LEFT(IFERROR(INDEX(醫師週班表!$C$5:$T$44,$CU21,I$57),""),1),""),IF(MID(IFERROR(INDEX(醫師週班表!$C$5:$T$44,$CU21,I$57),""),2,1)="(",LEFT(IFERROR(INDEX(醫師週班表!$C$5:$T$44,$CU21,I$57),""),1),IFERROR(INDEX(醫師週班表!$C$5:$T$44,$CU21,I$57),"")))))))</f>
        <v/>
      </c>
      <c r="J21" s="68">
        <f>IF(J$59="X","",IF(J$59&lt;&gt;"",J$59,IF(IFERROR(INDEX(醫師週班表!$C$5:$T$44,$CU21,J$57),"")=0,"",IF(MID(IFERROR(INDEX(醫師週班表!$C$5:$T$44,$CU21,J$57),""),2,1)="/",MID(IFERROR(INDEX(醫師週班表!$C$5:$T$44,$CU21,J$57),""),1+J$58*2,1),IF(MID(IFERROR(INDEX(醫師週班表!$C$5:$T$44,$CU21,J$57),""),3,1)="隔",IF(J$58=0,LEFT(IFERROR(INDEX(醫師週班表!$C$5:$T$44,$CU21,J$57),""),1),""),IF(MID(IFERROR(INDEX(醫師週班表!$C$5:$T$44,$CU21,J$57),""),2,1)="(",LEFT(IFERROR(INDEX(醫師週班表!$C$5:$T$44,$CU21,J$57),""),1),IFERROR(INDEX(醫師週班表!$C$5:$T$44,$CU21,J$57),"")))))))</f>
        <v/>
      </c>
      <c r="K21" s="67">
        <f>IF(K$59="X","",IF(K$59&lt;&gt;"",K$59,IF(IFERROR(INDEX(醫師週班表!$C$5:$T$44,$CU21,K$57),"")=0,"",IF(MID(IFERROR(INDEX(醫師週班表!$C$5:$T$44,$CU21,K$57),""),2,1)="/",MID(IFERROR(INDEX(醫師週班表!$C$5:$T$44,$CU21,K$57),""),1+K$58*2,1),IF(MID(IFERROR(INDEX(醫師週班表!$C$5:$T$44,$CU21,K$57),""),3,1)="隔",IF(K$58=0,LEFT(IFERROR(INDEX(醫師週班表!$C$5:$T$44,$CU21,K$57),""),1),""),IF(MID(IFERROR(INDEX(醫師週班表!$C$5:$T$44,$CU21,K$57),""),2,1)="(",LEFT(IFERROR(INDEX(醫師週班表!$C$5:$T$44,$CU21,K$57),""),1),IFERROR(INDEX(醫師週班表!$C$5:$T$44,$CU21,K$57),"")))))))</f>
        <v/>
      </c>
      <c r="L21" s="68">
        <f>IF(L$59="X","",IF(L$59&lt;&gt;"",L$59,IF(IFERROR(INDEX(醫師週班表!$C$5:$T$44,$CU21,L$57),"")=0,"",IF(MID(IFERROR(INDEX(醫師週班表!$C$5:$T$44,$CU21,L$57),""),2,1)="/",MID(IFERROR(INDEX(醫師週班表!$C$5:$T$44,$CU21,L$57),""),1+L$58*2,1),IF(MID(IFERROR(INDEX(醫師週班表!$C$5:$T$44,$CU21,L$57),""),3,1)="隔",IF(L$58=0,LEFT(IFERROR(INDEX(醫師週班表!$C$5:$T$44,$CU21,L$57),""),1),""),IF(MID(IFERROR(INDEX(醫師週班表!$C$5:$T$44,$CU21,L$57),""),2,1)="(",LEFT(IFERROR(INDEX(醫師週班表!$C$5:$T$44,$CU21,L$57),""),1),IFERROR(INDEX(醫師週班表!$C$5:$T$44,$CU21,L$57),"")))))))</f>
        <v/>
      </c>
      <c r="M21" s="68">
        <f>IF(M$59="X","",IF(M$59&lt;&gt;"",M$59,IF(IFERROR(INDEX(醫師週班表!$C$5:$T$44,$CU21,M$57),"")=0,"",IF(MID(IFERROR(INDEX(醫師週班表!$C$5:$T$44,$CU21,M$57),""),2,1)="/",MID(IFERROR(INDEX(醫師週班表!$C$5:$T$44,$CU21,M$57),""),1+M$58*2,1),IF(MID(IFERROR(INDEX(醫師週班表!$C$5:$T$44,$CU21,M$57),""),3,1)="隔",IF(M$58=0,LEFT(IFERROR(INDEX(醫師週班表!$C$5:$T$44,$CU21,M$57),""),1),""),IF(MID(IFERROR(INDEX(醫師週班表!$C$5:$T$44,$CU21,M$57),""),2,1)="(",LEFT(IFERROR(INDEX(醫師週班表!$C$5:$T$44,$CU21,M$57),""),1),IFERROR(INDEX(醫師週班表!$C$5:$T$44,$CU21,M$57),"")))))))</f>
        <v/>
      </c>
      <c r="N21" s="67">
        <f>IF(N$59="X","",IF(N$59&lt;&gt;"",N$59,IF(IFERROR(INDEX(醫師週班表!$C$5:$T$44,$CU21,N$57),"")=0,"",IF(MID(IFERROR(INDEX(醫師週班表!$C$5:$T$44,$CU21,N$57),""),2,1)="/",MID(IFERROR(INDEX(醫師週班表!$C$5:$T$44,$CU21,N$57),""),1+N$58*2,1),IF(MID(IFERROR(INDEX(醫師週班表!$C$5:$T$44,$CU21,N$57),""),3,1)="隔",IF(N$58=0,LEFT(IFERROR(INDEX(醫師週班表!$C$5:$T$44,$CU21,N$57),""),1),""),IF(MID(IFERROR(INDEX(醫師週班表!$C$5:$T$44,$CU21,N$57),""),2,1)="(",LEFT(IFERROR(INDEX(醫師週班表!$C$5:$T$44,$CU21,N$57),""),1),IFERROR(INDEX(醫師週班表!$C$5:$T$44,$CU21,N$57),"")))))))</f>
        <v/>
      </c>
      <c r="O21" s="68">
        <f>IF(O$59="X","",IF(O$59&lt;&gt;"",O$59,IF(IFERROR(INDEX(醫師週班表!$C$5:$T$44,$CU21,O$57),"")=0,"",IF(MID(IFERROR(INDEX(醫師週班表!$C$5:$T$44,$CU21,O$57),""),2,1)="/",MID(IFERROR(INDEX(醫師週班表!$C$5:$T$44,$CU21,O$57),""),1+O$58*2,1),IF(MID(IFERROR(INDEX(醫師週班表!$C$5:$T$44,$CU21,O$57),""),3,1)="隔",IF(O$58=0,LEFT(IFERROR(INDEX(醫師週班表!$C$5:$T$44,$CU21,O$57),""),1),""),IF(MID(IFERROR(INDEX(醫師週班表!$C$5:$T$44,$CU21,O$57),""),2,1)="(",LEFT(IFERROR(INDEX(醫師週班表!$C$5:$T$44,$CU21,O$57),""),1),IFERROR(INDEX(醫師週班表!$C$5:$T$44,$CU21,O$57),"")))))))</f>
        <v/>
      </c>
      <c r="P21" s="68">
        <f>IF(P$59="X","",IF(P$59&lt;&gt;"",P$59,IF(IFERROR(INDEX(醫師週班表!$C$5:$T$44,$CU21,P$57),"")=0,"",IF(MID(IFERROR(INDEX(醫師週班表!$C$5:$T$44,$CU21,P$57),""),2,1)="/",MID(IFERROR(INDEX(醫師週班表!$C$5:$T$44,$CU21,P$57),""),1+P$58*2,1),IF(MID(IFERROR(INDEX(醫師週班表!$C$5:$T$44,$CU21,P$57),""),3,1)="隔",IF(P$58=0,LEFT(IFERROR(INDEX(醫師週班表!$C$5:$T$44,$CU21,P$57),""),1),""),IF(MID(IFERROR(INDEX(醫師週班表!$C$5:$T$44,$CU21,P$57),""),2,1)="(",LEFT(IFERROR(INDEX(醫師週班表!$C$5:$T$44,$CU21,P$57),""),1),IFERROR(INDEX(醫師週班表!$C$5:$T$44,$CU21,P$57),"")))))))</f>
        <v/>
      </c>
      <c r="Q21" s="67">
        <f>IF(Q$59="X","",IF(Q$59&lt;&gt;"",Q$59,IF(IFERROR(INDEX(醫師週班表!$C$5:$T$44,$CU21,Q$57),"")=0,"",IF(MID(IFERROR(INDEX(醫師週班表!$C$5:$T$44,$CU21,Q$57),""),2,1)="/",MID(IFERROR(INDEX(醫師週班表!$C$5:$T$44,$CU21,Q$57),""),1+Q$58*2,1),IF(MID(IFERROR(INDEX(醫師週班表!$C$5:$T$44,$CU21,Q$57),""),3,1)="隔",IF(Q$58=0,LEFT(IFERROR(INDEX(醫師週班表!$C$5:$T$44,$CU21,Q$57),""),1),""),IF(MID(IFERROR(INDEX(醫師週班表!$C$5:$T$44,$CU21,Q$57),""),2,1)="(",LEFT(IFERROR(INDEX(醫師週班表!$C$5:$T$44,$CU21,Q$57),""),1),IFERROR(INDEX(醫師週班表!$C$5:$T$44,$CU21,Q$57),"")))))))</f>
        <v/>
      </c>
      <c r="R21" s="68">
        <f>IF(R$59="X","",IF(R$59&lt;&gt;"",R$59,IF(IFERROR(INDEX(醫師週班表!$C$5:$T$44,$CU21,R$57),"")=0,"",IF(MID(IFERROR(INDEX(醫師週班表!$C$5:$T$44,$CU21,R$57),""),2,1)="/",MID(IFERROR(INDEX(醫師週班表!$C$5:$T$44,$CU21,R$57),""),1+R$58*2,1),IF(MID(IFERROR(INDEX(醫師週班表!$C$5:$T$44,$CU21,R$57),""),3,1)="隔",IF(R$58=0,LEFT(IFERROR(INDEX(醫師週班表!$C$5:$T$44,$CU21,R$57),""),1),""),IF(MID(IFERROR(INDEX(醫師週班表!$C$5:$T$44,$CU21,R$57),""),2,1)="(",LEFT(IFERROR(INDEX(醫師週班表!$C$5:$T$44,$CU21,R$57),""),1),IFERROR(INDEX(醫師週班表!$C$5:$T$44,$CU21,R$57),"")))))))</f>
        <v/>
      </c>
      <c r="S21" s="68">
        <f>IF(S$59="X","",IF(S$59&lt;&gt;"",S$59,IF(IFERROR(INDEX(醫師週班表!$C$5:$T$44,$CU21,S$57),"")=0,"",IF(MID(IFERROR(INDEX(醫師週班表!$C$5:$T$44,$CU21,S$57),""),2,1)="/",MID(IFERROR(INDEX(醫師週班表!$C$5:$T$44,$CU21,S$57),""),1+S$58*2,1),IF(MID(IFERROR(INDEX(醫師週班表!$C$5:$T$44,$CU21,S$57),""),3,1)="隔",IF(S$58=0,LEFT(IFERROR(INDEX(醫師週班表!$C$5:$T$44,$CU21,S$57),""),1),""),IF(MID(IFERROR(INDEX(醫師週班表!$C$5:$T$44,$CU21,S$57),""),2,1)="(",LEFT(IFERROR(INDEX(醫師週班表!$C$5:$T$44,$CU21,S$57),""),1),IFERROR(INDEX(醫師週班表!$C$5:$T$44,$CU21,S$57),"")))))))</f>
        <v/>
      </c>
      <c r="T21" s="67">
        <f>IF(T$59="X","",IF(T$59&lt;&gt;"",T$59,IF(IFERROR(INDEX(醫師週班表!$C$5:$T$44,$CU21,T$57),"")=0,"",IF(MID(IFERROR(INDEX(醫師週班表!$C$5:$T$44,$CU21,T$57),""),2,1)="/",MID(IFERROR(INDEX(醫師週班表!$C$5:$T$44,$CU21,T$57),""),1+T$58*2,1),IF(MID(IFERROR(INDEX(醫師週班表!$C$5:$T$44,$CU21,T$57),""),3,1)="隔",IF(T$58=0,LEFT(IFERROR(INDEX(醫師週班表!$C$5:$T$44,$CU21,T$57),""),1),""),IF(MID(IFERROR(INDEX(醫師週班表!$C$5:$T$44,$CU21,T$57),""),2,1)="(",LEFT(IFERROR(INDEX(醫師週班表!$C$5:$T$44,$CU21,T$57),""),1),IFERROR(INDEX(醫師週班表!$C$5:$T$44,$CU21,T$57),"")))))))</f>
        <v/>
      </c>
      <c r="U21" s="68">
        <f>IF(U$59="X","",IF(U$59&lt;&gt;"",U$59,IF(IFERROR(INDEX(醫師週班表!$C$5:$T$44,$CU21,U$57),"")=0,"",IF(MID(IFERROR(INDEX(醫師週班表!$C$5:$T$44,$CU21,U$57),""),2,1)="/",MID(IFERROR(INDEX(醫師週班表!$C$5:$T$44,$CU21,U$57),""),1+U$58*2,1),IF(MID(IFERROR(INDEX(醫師週班表!$C$5:$T$44,$CU21,U$57),""),3,1)="隔",IF(U$58=0,LEFT(IFERROR(INDEX(醫師週班表!$C$5:$T$44,$CU21,U$57),""),1),""),IF(MID(IFERROR(INDEX(醫師週班表!$C$5:$T$44,$CU21,U$57),""),2,1)="(",LEFT(IFERROR(INDEX(醫師週班表!$C$5:$T$44,$CU21,U$57),""),1),IFERROR(INDEX(醫師週班表!$C$5:$T$44,$CU21,U$57),"")))))))</f>
        <v/>
      </c>
      <c r="V21" s="68">
        <f>IF(V$59="X","",IF(V$59&lt;&gt;"",V$59,IF(IFERROR(INDEX(醫師週班表!$C$5:$T$44,$CU21,V$57),"")=0,"",IF(MID(IFERROR(INDEX(醫師週班表!$C$5:$T$44,$CU21,V$57),""),2,1)="/",MID(IFERROR(INDEX(醫師週班表!$C$5:$T$44,$CU21,V$57),""),1+V$58*2,1),IF(MID(IFERROR(INDEX(醫師週班表!$C$5:$T$44,$CU21,V$57),""),3,1)="隔",IF(V$58=0,LEFT(IFERROR(INDEX(醫師週班表!$C$5:$T$44,$CU21,V$57),""),1),""),IF(MID(IFERROR(INDEX(醫師週班表!$C$5:$T$44,$CU21,V$57),""),2,1)="(",LEFT(IFERROR(INDEX(醫師週班表!$C$5:$T$44,$CU21,V$57),""),1),IFERROR(INDEX(醫師週班表!$C$5:$T$44,$CU21,V$57),"")))))))</f>
        <v/>
      </c>
      <c r="W21" s="67">
        <f>IF(W$59="X","",IF(W$59&lt;&gt;"",W$59,IF(IFERROR(INDEX(醫師週班表!$C$5:$T$44,$CU21,W$57),"")=0,"",IF(MID(IFERROR(INDEX(醫師週班表!$C$5:$T$44,$CU21,W$57),""),2,1)="/",MID(IFERROR(INDEX(醫師週班表!$C$5:$T$44,$CU21,W$57),""),1+W$58*2,1),IF(MID(IFERROR(INDEX(醫師週班表!$C$5:$T$44,$CU21,W$57),""),3,1)="隔",IF(W$58=0,LEFT(IFERROR(INDEX(醫師週班表!$C$5:$T$44,$CU21,W$57),""),1),""),IF(MID(IFERROR(INDEX(醫師週班表!$C$5:$T$44,$CU21,W$57),""),2,1)="(",LEFT(IFERROR(INDEX(醫師週班表!$C$5:$T$44,$CU21,W$57),""),1),IFERROR(INDEX(醫師週班表!$C$5:$T$44,$CU21,W$57),"")))))))</f>
        <v/>
      </c>
      <c r="X21" s="68">
        <f>IF(X$59="X","",IF(X$59&lt;&gt;"",X$59,IF(IFERROR(INDEX(醫師週班表!$C$5:$T$44,$CU21,X$57),"")=0,"",IF(MID(IFERROR(INDEX(醫師週班表!$C$5:$T$44,$CU21,X$57),""),2,1)="/",MID(IFERROR(INDEX(醫師週班表!$C$5:$T$44,$CU21,X$57),""),1+X$58*2,1),IF(MID(IFERROR(INDEX(醫師週班表!$C$5:$T$44,$CU21,X$57),""),3,1)="隔",IF(X$58=0,LEFT(IFERROR(INDEX(醫師週班表!$C$5:$T$44,$CU21,X$57),""),1),""),IF(MID(IFERROR(INDEX(醫師週班表!$C$5:$T$44,$CU21,X$57),""),2,1)="(",LEFT(IFERROR(INDEX(醫師週班表!$C$5:$T$44,$CU21,X$57),""),1),IFERROR(INDEX(醫師週班表!$C$5:$T$44,$CU21,X$57),"")))))))</f>
        <v/>
      </c>
      <c r="Y21" s="68">
        <f>IF(Y$59="X","",IF(Y$59&lt;&gt;"",Y$59,IF(IFERROR(INDEX(醫師週班表!$C$5:$T$44,$CU21,Y$57),"")=0,"",IF(MID(IFERROR(INDEX(醫師週班表!$C$5:$T$44,$CU21,Y$57),""),2,1)="/",MID(IFERROR(INDEX(醫師週班表!$C$5:$T$44,$CU21,Y$57),""),1+Y$58*2,1),IF(MID(IFERROR(INDEX(醫師週班表!$C$5:$T$44,$CU21,Y$57),""),3,1)="隔",IF(Y$58=0,LEFT(IFERROR(INDEX(醫師週班表!$C$5:$T$44,$CU21,Y$57),""),1),""),IF(MID(IFERROR(INDEX(醫師週班表!$C$5:$T$44,$CU21,Y$57),""),2,1)="(",LEFT(IFERROR(INDEX(醫師週班表!$C$5:$T$44,$CU21,Y$57),""),1),IFERROR(INDEX(醫師週班表!$C$5:$T$44,$CU21,Y$57),"")))))))</f>
        <v/>
      </c>
      <c r="Z21" s="67">
        <f>IF(Z$59="X","",IF(Z$59&lt;&gt;"",Z$59,IF(IFERROR(INDEX(醫師週班表!$C$5:$T$44,$CU21,Z$57),"")=0,"",IF(MID(IFERROR(INDEX(醫師週班表!$C$5:$T$44,$CU21,Z$57),""),2,1)="/",MID(IFERROR(INDEX(醫師週班表!$C$5:$T$44,$CU21,Z$57),""),1+Z$58*2,1),IF(MID(IFERROR(INDEX(醫師週班表!$C$5:$T$44,$CU21,Z$57),""),3,1)="隔",IF(Z$58=0,LEFT(IFERROR(INDEX(醫師週班表!$C$5:$T$44,$CU21,Z$57),""),1),""),IF(MID(IFERROR(INDEX(醫師週班表!$C$5:$T$44,$CU21,Z$57),""),2,1)="(",LEFT(IFERROR(INDEX(醫師週班表!$C$5:$T$44,$CU21,Z$57),""),1),IFERROR(INDEX(醫師週班表!$C$5:$T$44,$CU21,Z$57),"")))))))</f>
        <v/>
      </c>
      <c r="AA21" s="68">
        <f>IF(AA$59="X","",IF(AA$59&lt;&gt;"",AA$59,IF(IFERROR(INDEX(醫師週班表!$C$5:$T$44,$CU21,AA$57),"")=0,"",IF(MID(IFERROR(INDEX(醫師週班表!$C$5:$T$44,$CU21,AA$57),""),2,1)="/",MID(IFERROR(INDEX(醫師週班表!$C$5:$T$44,$CU21,AA$57),""),1+AA$58*2,1),IF(MID(IFERROR(INDEX(醫師週班表!$C$5:$T$44,$CU21,AA$57),""),3,1)="隔",IF(AA$58=0,LEFT(IFERROR(INDEX(醫師週班表!$C$5:$T$44,$CU21,AA$57),""),1),""),IF(MID(IFERROR(INDEX(醫師週班表!$C$5:$T$44,$CU21,AA$57),""),2,1)="(",LEFT(IFERROR(INDEX(醫師週班表!$C$5:$T$44,$CU21,AA$57),""),1),IFERROR(INDEX(醫師週班表!$C$5:$T$44,$CU21,AA$57),"")))))))</f>
        <v/>
      </c>
      <c r="AB21" s="68">
        <f>IF(AB$59="X","",IF(AB$59&lt;&gt;"",AB$59,IF(IFERROR(INDEX(醫師週班表!$C$5:$T$44,$CU21,AB$57),"")=0,"",IF(MID(IFERROR(INDEX(醫師週班表!$C$5:$T$44,$CU21,AB$57),""),2,1)="/",MID(IFERROR(INDEX(醫師週班表!$C$5:$T$44,$CU21,AB$57),""),1+AB$58*2,1),IF(MID(IFERROR(INDEX(醫師週班表!$C$5:$T$44,$CU21,AB$57),""),3,1)="隔",IF(AB$58=0,LEFT(IFERROR(INDEX(醫師週班表!$C$5:$T$44,$CU21,AB$57),""),1),""),IF(MID(IFERROR(INDEX(醫師週班表!$C$5:$T$44,$CU21,AB$57),""),2,1)="(",LEFT(IFERROR(INDEX(醫師週班表!$C$5:$T$44,$CU21,AB$57),""),1),IFERROR(INDEX(醫師週班表!$C$5:$T$44,$CU21,AB$57),"")))))))</f>
        <v/>
      </c>
      <c r="AC21" s="67">
        <f>IF(AC$59="X","",IF(AC$59&lt;&gt;"",AC$59,IF(IFERROR(INDEX(醫師週班表!$C$5:$T$44,$CU21,AC$57),"")=0,"",IF(MID(IFERROR(INDEX(醫師週班表!$C$5:$T$44,$CU21,AC$57),""),2,1)="/",MID(IFERROR(INDEX(醫師週班表!$C$5:$T$44,$CU21,AC$57),""),1+AC$58*2,1),IF(MID(IFERROR(INDEX(醫師週班表!$C$5:$T$44,$CU21,AC$57),""),3,1)="隔",IF(AC$58=0,LEFT(IFERROR(INDEX(醫師週班表!$C$5:$T$44,$CU21,AC$57),""),1),""),IF(MID(IFERROR(INDEX(醫師週班表!$C$5:$T$44,$CU21,AC$57),""),2,1)="(",LEFT(IFERROR(INDEX(醫師週班表!$C$5:$T$44,$CU21,AC$57),""),1),IFERROR(INDEX(醫師週班表!$C$5:$T$44,$CU21,AC$57),"")))))))</f>
        <v/>
      </c>
      <c r="AD21" s="68">
        <f>IF(AD$59="X","",IF(AD$59&lt;&gt;"",AD$59,IF(IFERROR(INDEX(醫師週班表!$C$5:$T$44,$CU21,AD$57),"")=0,"",IF(MID(IFERROR(INDEX(醫師週班表!$C$5:$T$44,$CU21,AD$57),""),2,1)="/",MID(IFERROR(INDEX(醫師週班表!$C$5:$T$44,$CU21,AD$57),""),1+AD$58*2,1),IF(MID(IFERROR(INDEX(醫師週班表!$C$5:$T$44,$CU21,AD$57),""),3,1)="隔",IF(AD$58=0,LEFT(IFERROR(INDEX(醫師週班表!$C$5:$T$44,$CU21,AD$57),""),1),""),IF(MID(IFERROR(INDEX(醫師週班表!$C$5:$T$44,$CU21,AD$57),""),2,1)="(",LEFT(IFERROR(INDEX(醫師週班表!$C$5:$T$44,$CU21,AD$57),""),1),IFERROR(INDEX(醫師週班表!$C$5:$T$44,$CU21,AD$57),"")))))))</f>
        <v/>
      </c>
      <c r="AE21" s="68">
        <f>IF(AE$59="X","",IF(AE$59&lt;&gt;"",AE$59,IF(IFERROR(INDEX(醫師週班表!$C$5:$T$44,$CU21,AE$57),"")=0,"",IF(MID(IFERROR(INDEX(醫師週班表!$C$5:$T$44,$CU21,AE$57),""),2,1)="/",MID(IFERROR(INDEX(醫師週班表!$C$5:$T$44,$CU21,AE$57),""),1+AE$58*2,1),IF(MID(IFERROR(INDEX(醫師週班表!$C$5:$T$44,$CU21,AE$57),""),3,1)="隔",IF(AE$58=0,LEFT(IFERROR(INDEX(醫師週班表!$C$5:$T$44,$CU21,AE$57),""),1),""),IF(MID(IFERROR(INDEX(醫師週班表!$C$5:$T$44,$CU21,AE$57),""),2,1)="(",LEFT(IFERROR(INDEX(醫師週班表!$C$5:$T$44,$CU21,AE$57),""),1),IFERROR(INDEX(醫師週班表!$C$5:$T$44,$CU21,AE$57),"")))))))</f>
        <v/>
      </c>
      <c r="AF21" s="67">
        <f>IF(AF$59="X","",IF(AF$59&lt;&gt;"",AF$59,IF(IFERROR(INDEX(醫師週班表!$C$5:$T$44,$CU21,AF$57),"")=0,"",IF(MID(IFERROR(INDEX(醫師週班表!$C$5:$T$44,$CU21,AF$57),""),2,1)="/",MID(IFERROR(INDEX(醫師週班表!$C$5:$T$44,$CU21,AF$57),""),1+AF$58*2,1),IF(MID(IFERROR(INDEX(醫師週班表!$C$5:$T$44,$CU21,AF$57),""),3,1)="隔",IF(AF$58=0,LEFT(IFERROR(INDEX(醫師週班表!$C$5:$T$44,$CU21,AF$57),""),1),""),IF(MID(IFERROR(INDEX(醫師週班表!$C$5:$T$44,$CU21,AF$57),""),2,1)="(",LEFT(IFERROR(INDEX(醫師週班表!$C$5:$T$44,$CU21,AF$57),""),1),IFERROR(INDEX(醫師週班表!$C$5:$T$44,$CU21,AF$57),"")))))))</f>
        <v/>
      </c>
      <c r="AG21" s="68">
        <f>IF(AG$59="X","",IF(AG$59&lt;&gt;"",AG$59,IF(IFERROR(INDEX(醫師週班表!$C$5:$T$44,$CU21,AG$57),"")=0,"",IF(MID(IFERROR(INDEX(醫師週班表!$C$5:$T$44,$CU21,AG$57),""),2,1)="/",MID(IFERROR(INDEX(醫師週班表!$C$5:$T$44,$CU21,AG$57),""),1+AG$58*2,1),IF(MID(IFERROR(INDEX(醫師週班表!$C$5:$T$44,$CU21,AG$57),""),3,1)="隔",IF(AG$58=0,LEFT(IFERROR(INDEX(醫師週班表!$C$5:$T$44,$CU21,AG$57),""),1),""),IF(MID(IFERROR(INDEX(醫師週班表!$C$5:$T$44,$CU21,AG$57),""),2,1)="(",LEFT(IFERROR(INDEX(醫師週班表!$C$5:$T$44,$CU21,AG$57),""),1),IFERROR(INDEX(醫師週班表!$C$5:$T$44,$CU21,AG$57),"")))))))</f>
        <v/>
      </c>
      <c r="AH21" s="68">
        <f>IF(AH$59="X","",IF(AH$59&lt;&gt;"",AH$59,IF(IFERROR(INDEX(醫師週班表!$C$5:$T$44,$CU21,AH$57),"")=0,"",IF(MID(IFERROR(INDEX(醫師週班表!$C$5:$T$44,$CU21,AH$57),""),2,1)="/",MID(IFERROR(INDEX(醫師週班表!$C$5:$T$44,$CU21,AH$57),""),1+AH$58*2,1),IF(MID(IFERROR(INDEX(醫師週班表!$C$5:$T$44,$CU21,AH$57),""),3,1)="隔",IF(AH$58=0,LEFT(IFERROR(INDEX(醫師週班表!$C$5:$T$44,$CU21,AH$57),""),1),""),IF(MID(IFERROR(INDEX(醫師週班表!$C$5:$T$44,$CU21,AH$57),""),2,1)="(",LEFT(IFERROR(INDEX(醫師週班表!$C$5:$T$44,$CU21,AH$57),""),1),IFERROR(INDEX(醫師週班表!$C$5:$T$44,$CU21,AH$57),"")))))))</f>
        <v/>
      </c>
      <c r="AI21" s="67">
        <f>IF(AI$59="X","",IF(AI$59&lt;&gt;"",AI$59,IF(IFERROR(INDEX(醫師週班表!$C$5:$T$44,$CU21,AI$57),"")=0,"",IF(MID(IFERROR(INDEX(醫師週班表!$C$5:$T$44,$CU21,AI$57),""),2,1)="/",MID(IFERROR(INDEX(醫師週班表!$C$5:$T$44,$CU21,AI$57),""),1+AI$58*2,1),IF(MID(IFERROR(INDEX(醫師週班表!$C$5:$T$44,$CU21,AI$57),""),3,1)="隔",IF(AI$58=0,LEFT(IFERROR(INDEX(醫師週班表!$C$5:$T$44,$CU21,AI$57),""),1),""),IF(MID(IFERROR(INDEX(醫師週班表!$C$5:$T$44,$CU21,AI$57),""),2,1)="(",LEFT(IFERROR(INDEX(醫師週班表!$C$5:$T$44,$CU21,AI$57),""),1),IFERROR(INDEX(醫師週班表!$C$5:$T$44,$CU21,AI$57),"")))))))</f>
        <v/>
      </c>
      <c r="AJ21" s="68">
        <f>IF(AJ$59="X","",IF(AJ$59&lt;&gt;"",AJ$59,IF(IFERROR(INDEX(醫師週班表!$C$5:$T$44,$CU21,AJ$57),"")=0,"",IF(MID(IFERROR(INDEX(醫師週班表!$C$5:$T$44,$CU21,AJ$57),""),2,1)="/",MID(IFERROR(INDEX(醫師週班表!$C$5:$T$44,$CU21,AJ$57),""),1+AJ$58*2,1),IF(MID(IFERROR(INDEX(醫師週班表!$C$5:$T$44,$CU21,AJ$57),""),3,1)="隔",IF(AJ$58=0,LEFT(IFERROR(INDEX(醫師週班表!$C$5:$T$44,$CU21,AJ$57),""),1),""),IF(MID(IFERROR(INDEX(醫師週班表!$C$5:$T$44,$CU21,AJ$57),""),2,1)="(",LEFT(IFERROR(INDEX(醫師週班表!$C$5:$T$44,$CU21,AJ$57),""),1),IFERROR(INDEX(醫師週班表!$C$5:$T$44,$CU21,AJ$57),"")))))))</f>
        <v/>
      </c>
      <c r="AK21" s="68">
        <f>IF(AK$59="X","",IF(AK$59&lt;&gt;"",AK$59,IF(IFERROR(INDEX(醫師週班表!$C$5:$T$44,$CU21,AK$57),"")=0,"",IF(MID(IFERROR(INDEX(醫師週班表!$C$5:$T$44,$CU21,AK$57),""),2,1)="/",MID(IFERROR(INDEX(醫師週班表!$C$5:$T$44,$CU21,AK$57),""),1+AK$58*2,1),IF(MID(IFERROR(INDEX(醫師週班表!$C$5:$T$44,$CU21,AK$57),""),3,1)="隔",IF(AK$58=0,LEFT(IFERROR(INDEX(醫師週班表!$C$5:$T$44,$CU21,AK$57),""),1),""),IF(MID(IFERROR(INDEX(醫師週班表!$C$5:$T$44,$CU21,AK$57),""),2,1)="(",LEFT(IFERROR(INDEX(醫師週班表!$C$5:$T$44,$CU21,AK$57),""),1),IFERROR(INDEX(醫師週班表!$C$5:$T$44,$CU21,AK$57),"")))))))</f>
        <v/>
      </c>
      <c r="AL21" s="67">
        <f>IF(AL$59="X","",IF(AL$59&lt;&gt;"",AL$59,IF(IFERROR(INDEX(醫師週班表!$C$5:$T$44,$CU21,AL$57),"")=0,"",IF(MID(IFERROR(INDEX(醫師週班表!$C$5:$T$44,$CU21,AL$57),""),2,1)="/",MID(IFERROR(INDEX(醫師週班表!$C$5:$T$44,$CU21,AL$57),""),1+AL$58*2,1),IF(MID(IFERROR(INDEX(醫師週班表!$C$5:$T$44,$CU21,AL$57),""),3,1)="隔",IF(AL$58=0,LEFT(IFERROR(INDEX(醫師週班表!$C$5:$T$44,$CU21,AL$57),""),1),""),IF(MID(IFERROR(INDEX(醫師週班表!$C$5:$T$44,$CU21,AL$57),""),2,1)="(",LEFT(IFERROR(INDEX(醫師週班表!$C$5:$T$44,$CU21,AL$57),""),1),IFERROR(INDEX(醫師週班表!$C$5:$T$44,$CU21,AL$57),"")))))))</f>
        <v/>
      </c>
      <c r="AM21" s="68">
        <f>IF(AM$59="X","",IF(AM$59&lt;&gt;"",AM$59,IF(IFERROR(INDEX(醫師週班表!$C$5:$T$44,$CU21,AM$57),"")=0,"",IF(MID(IFERROR(INDEX(醫師週班表!$C$5:$T$44,$CU21,AM$57),""),2,1)="/",MID(IFERROR(INDEX(醫師週班表!$C$5:$T$44,$CU21,AM$57),""),1+AM$58*2,1),IF(MID(IFERROR(INDEX(醫師週班表!$C$5:$T$44,$CU21,AM$57),""),3,1)="隔",IF(AM$58=0,LEFT(IFERROR(INDEX(醫師週班表!$C$5:$T$44,$CU21,AM$57),""),1),""),IF(MID(IFERROR(INDEX(醫師週班表!$C$5:$T$44,$CU21,AM$57),""),2,1)="(",LEFT(IFERROR(INDEX(醫師週班表!$C$5:$T$44,$CU21,AM$57),""),1),IFERROR(INDEX(醫師週班表!$C$5:$T$44,$CU21,AM$57),"")))))))</f>
        <v/>
      </c>
      <c r="AN21" s="68">
        <f>IF(AN$59="X","",IF(AN$59&lt;&gt;"",AN$59,IF(IFERROR(INDEX(醫師週班表!$C$5:$T$44,$CU21,AN$57),"")=0,"",IF(MID(IFERROR(INDEX(醫師週班表!$C$5:$T$44,$CU21,AN$57),""),2,1)="/",MID(IFERROR(INDEX(醫師週班表!$C$5:$T$44,$CU21,AN$57),""),1+AN$58*2,1),IF(MID(IFERROR(INDEX(醫師週班表!$C$5:$T$44,$CU21,AN$57),""),3,1)="隔",IF(AN$58=0,LEFT(IFERROR(INDEX(醫師週班表!$C$5:$T$44,$CU21,AN$57),""),1),""),IF(MID(IFERROR(INDEX(醫師週班表!$C$5:$T$44,$CU21,AN$57),""),2,1)="(",LEFT(IFERROR(INDEX(醫師週班表!$C$5:$T$44,$CU21,AN$57),""),1),IFERROR(INDEX(醫師週班表!$C$5:$T$44,$CU21,AN$57),"")))))))</f>
        <v/>
      </c>
      <c r="AO21" s="67">
        <f>IF(AO$59="X","",IF(AO$59&lt;&gt;"",AO$59,IF(IFERROR(INDEX(醫師週班表!$C$5:$T$44,$CU21,AO$57),"")=0,"",IF(MID(IFERROR(INDEX(醫師週班表!$C$5:$T$44,$CU21,AO$57),""),2,1)="/",MID(IFERROR(INDEX(醫師週班表!$C$5:$T$44,$CU21,AO$57),""),1+AO$58*2,1),IF(MID(IFERROR(INDEX(醫師週班表!$C$5:$T$44,$CU21,AO$57),""),3,1)="隔",IF(AO$58=0,LEFT(IFERROR(INDEX(醫師週班表!$C$5:$T$44,$CU21,AO$57),""),1),""),IF(MID(IFERROR(INDEX(醫師週班表!$C$5:$T$44,$CU21,AO$57),""),2,1)="(",LEFT(IFERROR(INDEX(醫師週班表!$C$5:$T$44,$CU21,AO$57),""),1),IFERROR(INDEX(醫師週班表!$C$5:$T$44,$CU21,AO$57),"")))))))</f>
        <v/>
      </c>
      <c r="AP21" s="68">
        <f>IF(AP$59="X","",IF(AP$59&lt;&gt;"",AP$59,IF(IFERROR(INDEX(醫師週班表!$C$5:$T$44,$CU21,AP$57),"")=0,"",IF(MID(IFERROR(INDEX(醫師週班表!$C$5:$T$44,$CU21,AP$57),""),2,1)="/",MID(IFERROR(INDEX(醫師週班表!$C$5:$T$44,$CU21,AP$57),""),1+AP$58*2,1),IF(MID(IFERROR(INDEX(醫師週班表!$C$5:$T$44,$CU21,AP$57),""),3,1)="隔",IF(AP$58=0,LEFT(IFERROR(INDEX(醫師週班表!$C$5:$T$44,$CU21,AP$57),""),1),""),IF(MID(IFERROR(INDEX(醫師週班表!$C$5:$T$44,$CU21,AP$57),""),2,1)="(",LEFT(IFERROR(INDEX(醫師週班表!$C$5:$T$44,$CU21,AP$57),""),1),IFERROR(INDEX(醫師週班表!$C$5:$T$44,$CU21,AP$57),"")))))))</f>
        <v/>
      </c>
      <c r="AQ21" s="68">
        <f>IF(AQ$59="X","",IF(AQ$59&lt;&gt;"",AQ$59,IF(IFERROR(INDEX(醫師週班表!$C$5:$T$44,$CU21,AQ$57),"")=0,"",IF(MID(IFERROR(INDEX(醫師週班表!$C$5:$T$44,$CU21,AQ$57),""),2,1)="/",MID(IFERROR(INDEX(醫師週班表!$C$5:$T$44,$CU21,AQ$57),""),1+AQ$58*2,1),IF(MID(IFERROR(INDEX(醫師週班表!$C$5:$T$44,$CU21,AQ$57),""),3,1)="隔",IF(AQ$58=0,LEFT(IFERROR(INDEX(醫師週班表!$C$5:$T$44,$CU21,AQ$57),""),1),""),IF(MID(IFERROR(INDEX(醫師週班表!$C$5:$T$44,$CU21,AQ$57),""),2,1)="(",LEFT(IFERROR(INDEX(醫師週班表!$C$5:$T$44,$CU21,AQ$57),""),1),IFERROR(INDEX(醫師週班表!$C$5:$T$44,$CU21,AQ$57),"")))))))</f>
        <v/>
      </c>
      <c r="AR21" s="67">
        <f>IF(AR$59="X","",IF(AR$59&lt;&gt;"",AR$59,IF(IFERROR(INDEX(醫師週班表!$C$5:$T$44,$CU21,AR$57),"")=0,"",IF(MID(IFERROR(INDEX(醫師週班表!$C$5:$T$44,$CU21,AR$57),""),2,1)="/",MID(IFERROR(INDEX(醫師週班表!$C$5:$T$44,$CU21,AR$57),""),1+AR$58*2,1),IF(MID(IFERROR(INDEX(醫師週班表!$C$5:$T$44,$CU21,AR$57),""),3,1)="隔",IF(AR$58=0,LEFT(IFERROR(INDEX(醫師週班表!$C$5:$T$44,$CU21,AR$57),""),1),""),IF(MID(IFERROR(INDEX(醫師週班表!$C$5:$T$44,$CU21,AR$57),""),2,1)="(",LEFT(IFERROR(INDEX(醫師週班表!$C$5:$T$44,$CU21,AR$57),""),1),IFERROR(INDEX(醫師週班表!$C$5:$T$44,$CU21,AR$57),"")))))))</f>
        <v/>
      </c>
      <c r="AS21" s="68">
        <f>IF(AS$59="X","",IF(AS$59&lt;&gt;"",AS$59,IF(IFERROR(INDEX(醫師週班表!$C$5:$T$44,$CU21,AS$57),"")=0,"",IF(MID(IFERROR(INDEX(醫師週班表!$C$5:$T$44,$CU21,AS$57),""),2,1)="/",MID(IFERROR(INDEX(醫師週班表!$C$5:$T$44,$CU21,AS$57),""),1+AS$58*2,1),IF(MID(IFERROR(INDEX(醫師週班表!$C$5:$T$44,$CU21,AS$57),""),3,1)="隔",IF(AS$58=0,LEFT(IFERROR(INDEX(醫師週班表!$C$5:$T$44,$CU21,AS$57),""),1),""),IF(MID(IFERROR(INDEX(醫師週班表!$C$5:$T$44,$CU21,AS$57),""),2,1)="(",LEFT(IFERROR(INDEX(醫師週班表!$C$5:$T$44,$CU21,AS$57),""),1),IFERROR(INDEX(醫師週班表!$C$5:$T$44,$CU21,AS$57),"")))))))</f>
        <v/>
      </c>
      <c r="AT21" s="68">
        <f>IF(AT$59="X","",IF(AT$59&lt;&gt;"",AT$59,IF(IFERROR(INDEX(醫師週班表!$C$5:$T$44,$CU21,AT$57),"")=0,"",IF(MID(IFERROR(INDEX(醫師週班表!$C$5:$T$44,$CU21,AT$57),""),2,1)="/",MID(IFERROR(INDEX(醫師週班表!$C$5:$T$44,$CU21,AT$57),""),1+AT$58*2,1),IF(MID(IFERROR(INDEX(醫師週班表!$C$5:$T$44,$CU21,AT$57),""),3,1)="隔",IF(AT$58=0,LEFT(IFERROR(INDEX(醫師週班表!$C$5:$T$44,$CU21,AT$57),""),1),""),IF(MID(IFERROR(INDEX(醫師週班表!$C$5:$T$44,$CU21,AT$57),""),2,1)="(",LEFT(IFERROR(INDEX(醫師週班表!$C$5:$T$44,$CU21,AT$57),""),1),IFERROR(INDEX(醫師週班表!$C$5:$T$44,$CU21,AT$57),"")))))))</f>
        <v/>
      </c>
      <c r="AU21" s="67">
        <f>IF(AU$59="X","",IF(AU$59&lt;&gt;"",AU$59,IF(IFERROR(INDEX(醫師週班表!$C$5:$T$44,$CU21,AU$57),"")=0,"",IF(MID(IFERROR(INDEX(醫師週班表!$C$5:$T$44,$CU21,AU$57),""),2,1)="/",MID(IFERROR(INDEX(醫師週班表!$C$5:$T$44,$CU21,AU$57),""),1+AU$58*2,1),IF(MID(IFERROR(INDEX(醫師週班表!$C$5:$T$44,$CU21,AU$57),""),3,1)="隔",IF(AU$58=0,LEFT(IFERROR(INDEX(醫師週班表!$C$5:$T$44,$CU21,AU$57),""),1),""),IF(MID(IFERROR(INDEX(醫師週班表!$C$5:$T$44,$CU21,AU$57),""),2,1)="(",LEFT(IFERROR(INDEX(醫師週班表!$C$5:$T$44,$CU21,AU$57),""),1),IFERROR(INDEX(醫師週班表!$C$5:$T$44,$CU21,AU$57),"")))))))</f>
        <v/>
      </c>
      <c r="AV21" s="68">
        <f>IF(AV$59="X","",IF(AV$59&lt;&gt;"",AV$59,IF(IFERROR(INDEX(醫師週班表!$C$5:$T$44,$CU21,AV$57),"")=0,"",IF(MID(IFERROR(INDEX(醫師週班表!$C$5:$T$44,$CU21,AV$57),""),2,1)="/",MID(IFERROR(INDEX(醫師週班表!$C$5:$T$44,$CU21,AV$57),""),1+AV$58*2,1),IF(MID(IFERROR(INDEX(醫師週班表!$C$5:$T$44,$CU21,AV$57),""),3,1)="隔",IF(AV$58=0,LEFT(IFERROR(INDEX(醫師週班表!$C$5:$T$44,$CU21,AV$57),""),1),""),IF(MID(IFERROR(INDEX(醫師週班表!$C$5:$T$44,$CU21,AV$57),""),2,1)="(",LEFT(IFERROR(INDEX(醫師週班表!$C$5:$T$44,$CU21,AV$57),""),1),IFERROR(INDEX(醫師週班表!$C$5:$T$44,$CU21,AV$57),"")))))))</f>
        <v/>
      </c>
      <c r="AW21" s="68">
        <f>IF(AW$59="X","",IF(AW$59&lt;&gt;"",AW$59,IF(IFERROR(INDEX(醫師週班表!$C$5:$T$44,$CU21,AW$57),"")=0,"",IF(MID(IFERROR(INDEX(醫師週班表!$C$5:$T$44,$CU21,AW$57),""),2,1)="/",MID(IFERROR(INDEX(醫師週班表!$C$5:$T$44,$CU21,AW$57),""),1+AW$58*2,1),IF(MID(IFERROR(INDEX(醫師週班表!$C$5:$T$44,$CU21,AW$57),""),3,1)="隔",IF(AW$58=0,LEFT(IFERROR(INDEX(醫師週班表!$C$5:$T$44,$CU21,AW$57),""),1),""),IF(MID(IFERROR(INDEX(醫師週班表!$C$5:$T$44,$CU21,AW$57),""),2,1)="(",LEFT(IFERROR(INDEX(醫師週班表!$C$5:$T$44,$CU21,AW$57),""),1),IFERROR(INDEX(醫師週班表!$C$5:$T$44,$CU21,AW$57),"")))))))</f>
        <v/>
      </c>
      <c r="AX21" s="67">
        <f>IF(AX$59="X","",IF(AX$59&lt;&gt;"",AX$59,IF(IFERROR(INDEX(醫師週班表!$C$5:$T$44,$CU21,AX$57),"")=0,"",IF(MID(IFERROR(INDEX(醫師週班表!$C$5:$T$44,$CU21,AX$57),""),2,1)="/",MID(IFERROR(INDEX(醫師週班表!$C$5:$T$44,$CU21,AX$57),""),1+AX$58*2,1),IF(MID(IFERROR(INDEX(醫師週班表!$C$5:$T$44,$CU21,AX$57),""),3,1)="隔",IF(AX$58=0,LEFT(IFERROR(INDEX(醫師週班表!$C$5:$T$44,$CU21,AX$57),""),1),""),IF(MID(IFERROR(INDEX(醫師週班表!$C$5:$T$44,$CU21,AX$57),""),2,1)="(",LEFT(IFERROR(INDEX(醫師週班表!$C$5:$T$44,$CU21,AX$57),""),1),IFERROR(INDEX(醫師週班表!$C$5:$T$44,$CU21,AX$57),"")))))))</f>
        <v/>
      </c>
      <c r="AY21" s="68">
        <f>IF(AY$59="X","",IF(AY$59&lt;&gt;"",AY$59,IF(IFERROR(INDEX(醫師週班表!$C$5:$T$44,$CU21,AY$57),"")=0,"",IF(MID(IFERROR(INDEX(醫師週班表!$C$5:$T$44,$CU21,AY$57),""),2,1)="/",MID(IFERROR(INDEX(醫師週班表!$C$5:$T$44,$CU21,AY$57),""),1+AY$58*2,1),IF(MID(IFERROR(INDEX(醫師週班表!$C$5:$T$44,$CU21,AY$57),""),3,1)="隔",IF(AY$58=0,LEFT(IFERROR(INDEX(醫師週班表!$C$5:$T$44,$CU21,AY$57),""),1),""),IF(MID(IFERROR(INDEX(醫師週班表!$C$5:$T$44,$CU21,AY$57),""),2,1)="(",LEFT(IFERROR(INDEX(醫師週班表!$C$5:$T$44,$CU21,AY$57),""),1),IFERROR(INDEX(醫師週班表!$C$5:$T$44,$CU21,AY$57),"")))))))</f>
        <v/>
      </c>
      <c r="AZ21" s="68">
        <f>IF(AZ$59="X","",IF(AZ$59&lt;&gt;"",AZ$59,IF(IFERROR(INDEX(醫師週班表!$C$5:$T$44,$CU21,AZ$57),"")=0,"",IF(MID(IFERROR(INDEX(醫師週班表!$C$5:$T$44,$CU21,AZ$57),""),2,1)="/",MID(IFERROR(INDEX(醫師週班表!$C$5:$T$44,$CU21,AZ$57),""),1+AZ$58*2,1),IF(MID(IFERROR(INDEX(醫師週班表!$C$5:$T$44,$CU21,AZ$57),""),3,1)="隔",IF(AZ$58=0,LEFT(IFERROR(INDEX(醫師週班表!$C$5:$T$44,$CU21,AZ$57),""),1),""),IF(MID(IFERROR(INDEX(醫師週班表!$C$5:$T$44,$CU21,AZ$57),""),2,1)="(",LEFT(IFERROR(INDEX(醫師週班表!$C$5:$T$44,$CU21,AZ$57),""),1),IFERROR(INDEX(醫師週班表!$C$5:$T$44,$CU21,AZ$57),"")))))))</f>
        <v/>
      </c>
      <c r="BA21" s="67">
        <f>IF(BA$59="X","",IF(BA$59&lt;&gt;"",BA$59,IF(IFERROR(INDEX(醫師週班表!$C$5:$T$44,$CU21,BA$57),"")=0,"",IF(MID(IFERROR(INDEX(醫師週班表!$C$5:$T$44,$CU21,BA$57),""),2,1)="/",MID(IFERROR(INDEX(醫師週班表!$C$5:$T$44,$CU21,BA$57),""),1+BA$58*2,1),IF(MID(IFERROR(INDEX(醫師週班表!$C$5:$T$44,$CU21,BA$57),""),3,1)="隔",IF(BA$58=0,LEFT(IFERROR(INDEX(醫師週班表!$C$5:$T$44,$CU21,BA$57),""),1),""),IF(MID(IFERROR(INDEX(醫師週班表!$C$5:$T$44,$CU21,BA$57),""),2,1)="(",LEFT(IFERROR(INDEX(醫師週班表!$C$5:$T$44,$CU21,BA$57),""),1),IFERROR(INDEX(醫師週班表!$C$5:$T$44,$CU21,BA$57),"")))))))</f>
        <v/>
      </c>
      <c r="BB21" s="68">
        <f>IF(BB$59="X","",IF(BB$59&lt;&gt;"",BB$59,IF(IFERROR(INDEX(醫師週班表!$C$5:$T$44,$CU21,BB$57),"")=0,"",IF(MID(IFERROR(INDEX(醫師週班表!$C$5:$T$44,$CU21,BB$57),""),2,1)="/",MID(IFERROR(INDEX(醫師週班表!$C$5:$T$44,$CU21,BB$57),""),1+BB$58*2,1),IF(MID(IFERROR(INDEX(醫師週班表!$C$5:$T$44,$CU21,BB$57),""),3,1)="隔",IF(BB$58=0,LEFT(IFERROR(INDEX(醫師週班表!$C$5:$T$44,$CU21,BB$57),""),1),""),IF(MID(IFERROR(INDEX(醫師週班表!$C$5:$T$44,$CU21,BB$57),""),2,1)="(",LEFT(IFERROR(INDEX(醫師週班表!$C$5:$T$44,$CU21,BB$57),""),1),IFERROR(INDEX(醫師週班表!$C$5:$T$44,$CU21,BB$57),"")))))))</f>
        <v/>
      </c>
      <c r="BC21" s="68">
        <f>IF(BC$59="X","",IF(BC$59&lt;&gt;"",BC$59,IF(IFERROR(INDEX(醫師週班表!$C$5:$T$44,$CU21,BC$57),"")=0,"",IF(MID(IFERROR(INDEX(醫師週班表!$C$5:$T$44,$CU21,BC$57),""),2,1)="/",MID(IFERROR(INDEX(醫師週班表!$C$5:$T$44,$CU21,BC$57),""),1+BC$58*2,1),IF(MID(IFERROR(INDEX(醫師週班表!$C$5:$T$44,$CU21,BC$57),""),3,1)="隔",IF(BC$58=0,LEFT(IFERROR(INDEX(醫師週班表!$C$5:$T$44,$CU21,BC$57),""),1),""),IF(MID(IFERROR(INDEX(醫師週班表!$C$5:$T$44,$CU21,BC$57),""),2,1)="(",LEFT(IFERROR(INDEX(醫師週班表!$C$5:$T$44,$CU21,BC$57),""),1),IFERROR(INDEX(醫師週班表!$C$5:$T$44,$CU21,BC$57),"")))))))</f>
        <v/>
      </c>
      <c r="BD21" s="67">
        <f>IF(BD$59="X","",IF(BD$59&lt;&gt;"",BD$59,IF(IFERROR(INDEX(醫師週班表!$C$5:$T$44,$CU21,BD$57),"")=0,"",IF(MID(IFERROR(INDEX(醫師週班表!$C$5:$T$44,$CU21,BD$57),""),2,1)="/",MID(IFERROR(INDEX(醫師週班表!$C$5:$T$44,$CU21,BD$57),""),1+BD$58*2,1),IF(MID(IFERROR(INDEX(醫師週班表!$C$5:$T$44,$CU21,BD$57),""),3,1)="隔",IF(BD$58=0,LEFT(IFERROR(INDEX(醫師週班表!$C$5:$T$44,$CU21,BD$57),""),1),""),IF(MID(IFERROR(INDEX(醫師週班表!$C$5:$T$44,$CU21,BD$57),""),2,1)="(",LEFT(IFERROR(INDEX(醫師週班表!$C$5:$T$44,$CU21,BD$57),""),1),IFERROR(INDEX(醫師週班表!$C$5:$T$44,$CU21,BD$57),"")))))))</f>
        <v/>
      </c>
      <c r="BE21" s="68">
        <f>IF(BE$59="X","",IF(BE$59&lt;&gt;"",BE$59,IF(IFERROR(INDEX(醫師週班表!$C$5:$T$44,$CU21,BE$57),"")=0,"",IF(MID(IFERROR(INDEX(醫師週班表!$C$5:$T$44,$CU21,BE$57),""),2,1)="/",MID(IFERROR(INDEX(醫師週班表!$C$5:$T$44,$CU21,BE$57),""),1+BE$58*2,1),IF(MID(IFERROR(INDEX(醫師週班表!$C$5:$T$44,$CU21,BE$57),""),3,1)="隔",IF(BE$58=0,LEFT(IFERROR(INDEX(醫師週班表!$C$5:$T$44,$CU21,BE$57),""),1),""),IF(MID(IFERROR(INDEX(醫師週班表!$C$5:$T$44,$CU21,BE$57),""),2,1)="(",LEFT(IFERROR(INDEX(醫師週班表!$C$5:$T$44,$CU21,BE$57),""),1),IFERROR(INDEX(醫師週班表!$C$5:$T$44,$CU21,BE$57),"")))))))</f>
        <v/>
      </c>
      <c r="BF21" s="68">
        <f>IF(BF$59="X","",IF(BF$59&lt;&gt;"",BF$59,IF(IFERROR(INDEX(醫師週班表!$C$5:$T$44,$CU21,BF$57),"")=0,"",IF(MID(IFERROR(INDEX(醫師週班表!$C$5:$T$44,$CU21,BF$57),""),2,1)="/",MID(IFERROR(INDEX(醫師週班表!$C$5:$T$44,$CU21,BF$57),""),1+BF$58*2,1),IF(MID(IFERROR(INDEX(醫師週班表!$C$5:$T$44,$CU21,BF$57),""),3,1)="隔",IF(BF$58=0,LEFT(IFERROR(INDEX(醫師週班表!$C$5:$T$44,$CU21,BF$57),""),1),""),IF(MID(IFERROR(INDEX(醫師週班表!$C$5:$T$44,$CU21,BF$57),""),2,1)="(",LEFT(IFERROR(INDEX(醫師週班表!$C$5:$T$44,$CU21,BF$57),""),1),IFERROR(INDEX(醫師週班表!$C$5:$T$44,$CU21,BF$57),"")))))))</f>
        <v/>
      </c>
      <c r="BG21" s="67">
        <f>IF(BG$59="X","",IF(BG$59&lt;&gt;"",BG$59,IF(IFERROR(INDEX(醫師週班表!$C$5:$T$44,$CU21,BG$57),"")=0,"",IF(MID(IFERROR(INDEX(醫師週班表!$C$5:$T$44,$CU21,BG$57),""),2,1)="/",MID(IFERROR(INDEX(醫師週班表!$C$5:$T$44,$CU21,BG$57),""),1+BG$58*2,1),IF(MID(IFERROR(INDEX(醫師週班表!$C$5:$T$44,$CU21,BG$57),""),3,1)="隔",IF(BG$58=0,LEFT(IFERROR(INDEX(醫師週班表!$C$5:$T$44,$CU21,BG$57),""),1),""),IF(MID(IFERROR(INDEX(醫師週班表!$C$5:$T$44,$CU21,BG$57),""),2,1)="(",LEFT(IFERROR(INDEX(醫師週班表!$C$5:$T$44,$CU21,BG$57),""),1),IFERROR(INDEX(醫師週班表!$C$5:$T$44,$CU21,BG$57),"")))))))</f>
        <v/>
      </c>
      <c r="BH21" s="68">
        <f>IF(BH$59="X","",IF(BH$59&lt;&gt;"",BH$59,IF(IFERROR(INDEX(醫師週班表!$C$5:$T$44,$CU21,BH$57),"")=0,"",IF(MID(IFERROR(INDEX(醫師週班表!$C$5:$T$44,$CU21,BH$57),""),2,1)="/",MID(IFERROR(INDEX(醫師週班表!$C$5:$T$44,$CU21,BH$57),""),1+BH$58*2,1),IF(MID(IFERROR(INDEX(醫師週班表!$C$5:$T$44,$CU21,BH$57),""),3,1)="隔",IF(BH$58=0,LEFT(IFERROR(INDEX(醫師週班表!$C$5:$T$44,$CU21,BH$57),""),1),""),IF(MID(IFERROR(INDEX(醫師週班表!$C$5:$T$44,$CU21,BH$57),""),2,1)="(",LEFT(IFERROR(INDEX(醫師週班表!$C$5:$T$44,$CU21,BH$57),""),1),IFERROR(INDEX(醫師週班表!$C$5:$T$44,$CU21,BH$57),"")))))))</f>
        <v/>
      </c>
      <c r="BI21" s="68">
        <f>IF(BI$59="X","",IF(BI$59&lt;&gt;"",BI$59,IF(IFERROR(INDEX(醫師週班表!$C$5:$T$44,$CU21,BI$57),"")=0,"",IF(MID(IFERROR(INDEX(醫師週班表!$C$5:$T$44,$CU21,BI$57),""),2,1)="/",MID(IFERROR(INDEX(醫師週班表!$C$5:$T$44,$CU21,BI$57),""),1+BI$58*2,1),IF(MID(IFERROR(INDEX(醫師週班表!$C$5:$T$44,$CU21,BI$57),""),3,1)="隔",IF(BI$58=0,LEFT(IFERROR(INDEX(醫師週班表!$C$5:$T$44,$CU21,BI$57),""),1),""),IF(MID(IFERROR(INDEX(醫師週班表!$C$5:$T$44,$CU21,BI$57),""),2,1)="(",LEFT(IFERROR(INDEX(醫師週班表!$C$5:$T$44,$CU21,BI$57),""),1),IFERROR(INDEX(醫師週班表!$C$5:$T$44,$CU21,BI$57),"")))))))</f>
        <v/>
      </c>
      <c r="BJ21" s="67">
        <f>IF(BJ$59="X","",IF(BJ$59&lt;&gt;"",BJ$59,IF(IFERROR(INDEX(醫師週班表!$C$5:$T$44,$CU21,BJ$57),"")=0,"",IF(MID(IFERROR(INDEX(醫師週班表!$C$5:$T$44,$CU21,BJ$57),""),2,1)="/",MID(IFERROR(INDEX(醫師週班表!$C$5:$T$44,$CU21,BJ$57),""),1+BJ$58*2,1),IF(MID(IFERROR(INDEX(醫師週班表!$C$5:$T$44,$CU21,BJ$57),""),3,1)="隔",IF(BJ$58=0,LEFT(IFERROR(INDEX(醫師週班表!$C$5:$T$44,$CU21,BJ$57),""),1),""),IF(MID(IFERROR(INDEX(醫師週班表!$C$5:$T$44,$CU21,BJ$57),""),2,1)="(",LEFT(IFERROR(INDEX(醫師週班表!$C$5:$T$44,$CU21,BJ$57),""),1),IFERROR(INDEX(醫師週班表!$C$5:$T$44,$CU21,BJ$57),"")))))))</f>
        <v/>
      </c>
      <c r="BK21" s="68">
        <f>IF(BK$59="X","",IF(BK$59&lt;&gt;"",BK$59,IF(IFERROR(INDEX(醫師週班表!$C$5:$T$44,$CU21,BK$57),"")=0,"",IF(MID(IFERROR(INDEX(醫師週班表!$C$5:$T$44,$CU21,BK$57),""),2,1)="/",MID(IFERROR(INDEX(醫師週班表!$C$5:$T$44,$CU21,BK$57),""),1+BK$58*2,1),IF(MID(IFERROR(INDEX(醫師週班表!$C$5:$T$44,$CU21,BK$57),""),3,1)="隔",IF(BK$58=0,LEFT(IFERROR(INDEX(醫師週班表!$C$5:$T$44,$CU21,BK$57),""),1),""),IF(MID(IFERROR(INDEX(醫師週班表!$C$5:$T$44,$CU21,BK$57),""),2,1)="(",LEFT(IFERROR(INDEX(醫師週班表!$C$5:$T$44,$CU21,BK$57),""),1),IFERROR(INDEX(醫師週班表!$C$5:$T$44,$CU21,BK$57),"")))))))</f>
        <v/>
      </c>
      <c r="BL21" s="68">
        <f>IF(BL$59="X","",IF(BL$59&lt;&gt;"",BL$59,IF(IFERROR(INDEX(醫師週班表!$C$5:$T$44,$CU21,BL$57),"")=0,"",IF(MID(IFERROR(INDEX(醫師週班表!$C$5:$T$44,$CU21,BL$57),""),2,1)="/",MID(IFERROR(INDEX(醫師週班表!$C$5:$T$44,$CU21,BL$57),""),1+BL$58*2,1),IF(MID(IFERROR(INDEX(醫師週班表!$C$5:$T$44,$CU21,BL$57),""),3,1)="隔",IF(BL$58=0,LEFT(IFERROR(INDEX(醫師週班表!$C$5:$T$44,$CU21,BL$57),""),1),""),IF(MID(IFERROR(INDEX(醫師週班表!$C$5:$T$44,$CU21,BL$57),""),2,1)="(",LEFT(IFERROR(INDEX(醫師週班表!$C$5:$T$44,$CU21,BL$57),""),1),IFERROR(INDEX(醫師週班表!$C$5:$T$44,$CU21,BL$57),"")))))))</f>
        <v/>
      </c>
      <c r="BM21" s="67">
        <f>IF(BM$59="X","",IF(BM$59&lt;&gt;"",BM$59,IF(IFERROR(INDEX(醫師週班表!$C$5:$T$44,$CU21,BM$57),"")=0,"",IF(MID(IFERROR(INDEX(醫師週班表!$C$5:$T$44,$CU21,BM$57),""),2,1)="/",MID(IFERROR(INDEX(醫師週班表!$C$5:$T$44,$CU21,BM$57),""),1+BM$58*2,1),IF(MID(IFERROR(INDEX(醫師週班表!$C$5:$T$44,$CU21,BM$57),""),3,1)="隔",IF(BM$58=0,LEFT(IFERROR(INDEX(醫師週班表!$C$5:$T$44,$CU21,BM$57),""),1),""),IF(MID(IFERROR(INDEX(醫師週班表!$C$5:$T$44,$CU21,BM$57),""),2,1)="(",LEFT(IFERROR(INDEX(醫師週班表!$C$5:$T$44,$CU21,BM$57),""),1),IFERROR(INDEX(醫師週班表!$C$5:$T$44,$CU21,BM$57),"")))))))</f>
        <v/>
      </c>
      <c r="BN21" s="68">
        <f>IF(BN$59="X","",IF(BN$59&lt;&gt;"",BN$59,IF(IFERROR(INDEX(醫師週班表!$C$5:$T$44,$CU21,BN$57),"")=0,"",IF(MID(IFERROR(INDEX(醫師週班表!$C$5:$T$44,$CU21,BN$57),""),2,1)="/",MID(IFERROR(INDEX(醫師週班表!$C$5:$T$44,$CU21,BN$57),""),1+BN$58*2,1),IF(MID(IFERROR(INDEX(醫師週班表!$C$5:$T$44,$CU21,BN$57),""),3,1)="隔",IF(BN$58=0,LEFT(IFERROR(INDEX(醫師週班表!$C$5:$T$44,$CU21,BN$57),""),1),""),IF(MID(IFERROR(INDEX(醫師週班表!$C$5:$T$44,$CU21,BN$57),""),2,1)="(",LEFT(IFERROR(INDEX(醫師週班表!$C$5:$T$44,$CU21,BN$57),""),1),IFERROR(INDEX(醫師週班表!$C$5:$T$44,$CU21,BN$57),"")))))))</f>
        <v/>
      </c>
      <c r="BO21" s="68">
        <f>IF(BO$59="X","",IF(BO$59&lt;&gt;"",BO$59,IF(IFERROR(INDEX(醫師週班表!$C$5:$T$44,$CU21,BO$57),"")=0,"",IF(MID(IFERROR(INDEX(醫師週班表!$C$5:$T$44,$CU21,BO$57),""),2,1)="/",MID(IFERROR(INDEX(醫師週班表!$C$5:$T$44,$CU21,BO$57),""),1+BO$58*2,1),IF(MID(IFERROR(INDEX(醫師週班表!$C$5:$T$44,$CU21,BO$57),""),3,1)="隔",IF(BO$58=0,LEFT(IFERROR(INDEX(醫師週班表!$C$5:$T$44,$CU21,BO$57),""),1),""),IF(MID(IFERROR(INDEX(醫師週班表!$C$5:$T$44,$CU21,BO$57),""),2,1)="(",LEFT(IFERROR(INDEX(醫師週班表!$C$5:$T$44,$CU21,BO$57),""),1),IFERROR(INDEX(醫師週班表!$C$5:$T$44,$CU21,BO$57),"")))))))</f>
        <v/>
      </c>
      <c r="BP21" s="67">
        <f>IF(BP$59="X","",IF(BP$59&lt;&gt;"",BP$59,IF(IFERROR(INDEX(醫師週班表!$C$5:$T$44,$CU21,BP$57),"")=0,"",IF(MID(IFERROR(INDEX(醫師週班表!$C$5:$T$44,$CU21,BP$57),""),2,1)="/",MID(IFERROR(INDEX(醫師週班表!$C$5:$T$44,$CU21,BP$57),""),1+BP$58*2,1),IF(MID(IFERROR(INDEX(醫師週班表!$C$5:$T$44,$CU21,BP$57),""),3,1)="隔",IF(BP$58=0,LEFT(IFERROR(INDEX(醫師週班表!$C$5:$T$44,$CU21,BP$57),""),1),""),IF(MID(IFERROR(INDEX(醫師週班表!$C$5:$T$44,$CU21,BP$57),""),2,1)="(",LEFT(IFERROR(INDEX(醫師週班表!$C$5:$T$44,$CU21,BP$57),""),1),IFERROR(INDEX(醫師週班表!$C$5:$T$44,$CU21,BP$57),"")))))))</f>
        <v/>
      </c>
      <c r="BQ21" s="68">
        <f>IF(BQ$59="X","",IF(BQ$59&lt;&gt;"",BQ$59,IF(IFERROR(INDEX(醫師週班表!$C$5:$T$44,$CU21,BQ$57),"")=0,"",IF(MID(IFERROR(INDEX(醫師週班表!$C$5:$T$44,$CU21,BQ$57),""),2,1)="/",MID(IFERROR(INDEX(醫師週班表!$C$5:$T$44,$CU21,BQ$57),""),1+BQ$58*2,1),IF(MID(IFERROR(INDEX(醫師週班表!$C$5:$T$44,$CU21,BQ$57),""),3,1)="隔",IF(BQ$58=0,LEFT(IFERROR(INDEX(醫師週班表!$C$5:$T$44,$CU21,BQ$57),""),1),""),IF(MID(IFERROR(INDEX(醫師週班表!$C$5:$T$44,$CU21,BQ$57),""),2,1)="(",LEFT(IFERROR(INDEX(醫師週班表!$C$5:$T$44,$CU21,BQ$57),""),1),IFERROR(INDEX(醫師週班表!$C$5:$T$44,$CU21,BQ$57),"")))))))</f>
        <v/>
      </c>
      <c r="BR21" s="68">
        <f>IF(BR$59="X","",IF(BR$59&lt;&gt;"",BR$59,IF(IFERROR(INDEX(醫師週班表!$C$5:$T$44,$CU21,BR$57),"")=0,"",IF(MID(IFERROR(INDEX(醫師週班表!$C$5:$T$44,$CU21,BR$57),""),2,1)="/",MID(IFERROR(INDEX(醫師週班表!$C$5:$T$44,$CU21,BR$57),""),1+BR$58*2,1),IF(MID(IFERROR(INDEX(醫師週班表!$C$5:$T$44,$CU21,BR$57),""),3,1)="隔",IF(BR$58=0,LEFT(IFERROR(INDEX(醫師週班表!$C$5:$T$44,$CU21,BR$57),""),1),""),IF(MID(IFERROR(INDEX(醫師週班表!$C$5:$T$44,$CU21,BR$57),""),2,1)="(",LEFT(IFERROR(INDEX(醫師週班表!$C$5:$T$44,$CU21,BR$57),""),1),IFERROR(INDEX(醫師週班表!$C$5:$T$44,$CU21,BR$57),"")))))))</f>
        <v/>
      </c>
      <c r="BS21" s="67">
        <f>IF(BS$59="X","",IF(BS$59&lt;&gt;"",BS$59,IF(IFERROR(INDEX(醫師週班表!$C$5:$T$44,$CU21,BS$57),"")=0,"",IF(MID(IFERROR(INDEX(醫師週班表!$C$5:$T$44,$CU21,BS$57),""),2,1)="/",MID(IFERROR(INDEX(醫師週班表!$C$5:$T$44,$CU21,BS$57),""),1+BS$58*2,1),IF(MID(IFERROR(INDEX(醫師週班表!$C$5:$T$44,$CU21,BS$57),""),3,1)="隔",IF(BS$58=0,LEFT(IFERROR(INDEX(醫師週班表!$C$5:$T$44,$CU21,BS$57),""),1),""),IF(MID(IFERROR(INDEX(醫師週班表!$C$5:$T$44,$CU21,BS$57),""),2,1)="(",LEFT(IFERROR(INDEX(醫師週班表!$C$5:$T$44,$CU21,BS$57),""),1),IFERROR(INDEX(醫師週班表!$C$5:$T$44,$CU21,BS$57),"")))))))</f>
        <v/>
      </c>
      <c r="BT21" s="68">
        <f>IF(BT$59="X","",IF(BT$59&lt;&gt;"",BT$59,IF(IFERROR(INDEX(醫師週班表!$C$5:$T$44,$CU21,BT$57),"")=0,"",IF(MID(IFERROR(INDEX(醫師週班表!$C$5:$T$44,$CU21,BT$57),""),2,1)="/",MID(IFERROR(INDEX(醫師週班表!$C$5:$T$44,$CU21,BT$57),""),1+BT$58*2,1),IF(MID(IFERROR(INDEX(醫師週班表!$C$5:$T$44,$CU21,BT$57),""),3,1)="隔",IF(BT$58=0,LEFT(IFERROR(INDEX(醫師週班表!$C$5:$T$44,$CU21,BT$57),""),1),""),IF(MID(IFERROR(INDEX(醫師週班表!$C$5:$T$44,$CU21,BT$57),""),2,1)="(",LEFT(IFERROR(INDEX(醫師週班表!$C$5:$T$44,$CU21,BT$57),""),1),IFERROR(INDEX(醫師週班表!$C$5:$T$44,$CU21,BT$57),"")))))))</f>
        <v/>
      </c>
      <c r="BU21" s="68">
        <f>IF(BU$59="X","",IF(BU$59&lt;&gt;"",BU$59,IF(IFERROR(INDEX(醫師週班表!$C$5:$T$44,$CU21,BU$57),"")=0,"",IF(MID(IFERROR(INDEX(醫師週班表!$C$5:$T$44,$CU21,BU$57),""),2,1)="/",MID(IFERROR(INDEX(醫師週班表!$C$5:$T$44,$CU21,BU$57),""),1+BU$58*2,1),IF(MID(IFERROR(INDEX(醫師週班表!$C$5:$T$44,$CU21,BU$57),""),3,1)="隔",IF(BU$58=0,LEFT(IFERROR(INDEX(醫師週班表!$C$5:$T$44,$CU21,BU$57),""),1),""),IF(MID(IFERROR(INDEX(醫師週班表!$C$5:$T$44,$CU21,BU$57),""),2,1)="(",LEFT(IFERROR(INDEX(醫師週班表!$C$5:$T$44,$CU21,BU$57),""),1),IFERROR(INDEX(醫師週班表!$C$5:$T$44,$CU21,BU$57),"")))))))</f>
        <v/>
      </c>
      <c r="BV21" s="67">
        <f>IF(BV$59="X","",IF(BV$59&lt;&gt;"",BV$59,IF(IFERROR(INDEX(醫師週班表!$C$5:$T$44,$CU21,BV$57),"")=0,"",IF(MID(IFERROR(INDEX(醫師週班表!$C$5:$T$44,$CU21,BV$57),""),2,1)="/",MID(IFERROR(INDEX(醫師週班表!$C$5:$T$44,$CU21,BV$57),""),1+BV$58*2,1),IF(MID(IFERROR(INDEX(醫師週班表!$C$5:$T$44,$CU21,BV$57),""),3,1)="隔",IF(BV$58=0,LEFT(IFERROR(INDEX(醫師週班表!$C$5:$T$44,$CU21,BV$57),""),1),""),IF(MID(IFERROR(INDEX(醫師週班表!$C$5:$T$44,$CU21,BV$57),""),2,1)="(",LEFT(IFERROR(INDEX(醫師週班表!$C$5:$T$44,$CU21,BV$57),""),1),IFERROR(INDEX(醫師週班表!$C$5:$T$44,$CU21,BV$57),"")))))))</f>
        <v/>
      </c>
      <c r="BW21" s="68">
        <f>IF(BW$59="X","",IF(BW$59&lt;&gt;"",BW$59,IF(IFERROR(INDEX(醫師週班表!$C$5:$T$44,$CU21,BW$57),"")=0,"",IF(MID(IFERROR(INDEX(醫師週班表!$C$5:$T$44,$CU21,BW$57),""),2,1)="/",MID(IFERROR(INDEX(醫師週班表!$C$5:$T$44,$CU21,BW$57),""),1+BW$58*2,1),IF(MID(IFERROR(INDEX(醫師週班表!$C$5:$T$44,$CU21,BW$57),""),3,1)="隔",IF(BW$58=0,LEFT(IFERROR(INDEX(醫師週班表!$C$5:$T$44,$CU21,BW$57),""),1),""),IF(MID(IFERROR(INDEX(醫師週班表!$C$5:$T$44,$CU21,BW$57),""),2,1)="(",LEFT(IFERROR(INDEX(醫師週班表!$C$5:$T$44,$CU21,BW$57),""),1),IFERROR(INDEX(醫師週班表!$C$5:$T$44,$CU21,BW$57),"")))))))</f>
        <v/>
      </c>
      <c r="BX21" s="68">
        <f>IF(BX$59="X","",IF(BX$59&lt;&gt;"",BX$59,IF(IFERROR(INDEX(醫師週班表!$C$5:$T$44,$CU21,BX$57),"")=0,"",IF(MID(IFERROR(INDEX(醫師週班表!$C$5:$T$44,$CU21,BX$57),""),2,1)="/",MID(IFERROR(INDEX(醫師週班表!$C$5:$T$44,$CU21,BX$57),""),1+BX$58*2,1),IF(MID(IFERROR(INDEX(醫師週班表!$C$5:$T$44,$CU21,BX$57),""),3,1)="隔",IF(BX$58=0,LEFT(IFERROR(INDEX(醫師週班表!$C$5:$T$44,$CU21,BX$57),""),1),""),IF(MID(IFERROR(INDEX(醫師週班表!$C$5:$T$44,$CU21,BX$57),""),2,1)="(",LEFT(IFERROR(INDEX(醫師週班表!$C$5:$T$44,$CU21,BX$57),""),1),IFERROR(INDEX(醫師週班表!$C$5:$T$44,$CU21,BX$57),"")))))))</f>
        <v/>
      </c>
      <c r="BY21" s="67">
        <f>IF(BY$59="X","",IF(BY$59&lt;&gt;"",BY$59,IF(IFERROR(INDEX(醫師週班表!$C$5:$T$44,$CU21,BY$57),"")=0,"",IF(MID(IFERROR(INDEX(醫師週班表!$C$5:$T$44,$CU21,BY$57),""),2,1)="/",MID(IFERROR(INDEX(醫師週班表!$C$5:$T$44,$CU21,BY$57),""),1+BY$58*2,1),IF(MID(IFERROR(INDEX(醫師週班表!$C$5:$T$44,$CU21,BY$57),""),3,1)="隔",IF(BY$58=0,LEFT(IFERROR(INDEX(醫師週班表!$C$5:$T$44,$CU21,BY$57),""),1),""),IF(MID(IFERROR(INDEX(醫師週班表!$C$5:$T$44,$CU21,BY$57),""),2,1)="(",LEFT(IFERROR(INDEX(醫師週班表!$C$5:$T$44,$CU21,BY$57),""),1),IFERROR(INDEX(醫師週班表!$C$5:$T$44,$CU21,BY$57),"")))))))</f>
        <v/>
      </c>
      <c r="BZ21" s="68">
        <f>IF(BZ$59="X","",IF(BZ$59&lt;&gt;"",BZ$59,IF(IFERROR(INDEX(醫師週班表!$C$5:$T$44,$CU21,BZ$57),"")=0,"",IF(MID(IFERROR(INDEX(醫師週班表!$C$5:$T$44,$CU21,BZ$57),""),2,1)="/",MID(IFERROR(INDEX(醫師週班表!$C$5:$T$44,$CU21,BZ$57),""),1+BZ$58*2,1),IF(MID(IFERROR(INDEX(醫師週班表!$C$5:$T$44,$CU21,BZ$57),""),3,1)="隔",IF(BZ$58=0,LEFT(IFERROR(INDEX(醫師週班表!$C$5:$T$44,$CU21,BZ$57),""),1),""),IF(MID(IFERROR(INDEX(醫師週班表!$C$5:$T$44,$CU21,BZ$57),""),2,1)="(",LEFT(IFERROR(INDEX(醫師週班表!$C$5:$T$44,$CU21,BZ$57),""),1),IFERROR(INDEX(醫師週班表!$C$5:$T$44,$CU21,BZ$57),"")))))))</f>
        <v/>
      </c>
      <c r="CA21" s="68">
        <f>IF(CA$59="X","",IF(CA$59&lt;&gt;"",CA$59,IF(IFERROR(INDEX(醫師週班表!$C$5:$T$44,$CU21,CA$57),"")=0,"",IF(MID(IFERROR(INDEX(醫師週班表!$C$5:$T$44,$CU21,CA$57),""),2,1)="/",MID(IFERROR(INDEX(醫師週班表!$C$5:$T$44,$CU21,CA$57),""),1+CA$58*2,1),IF(MID(IFERROR(INDEX(醫師週班表!$C$5:$T$44,$CU21,CA$57),""),3,1)="隔",IF(CA$58=0,LEFT(IFERROR(INDEX(醫師週班表!$C$5:$T$44,$CU21,CA$57),""),1),""),IF(MID(IFERROR(INDEX(醫師週班表!$C$5:$T$44,$CU21,CA$57),""),2,1)="(",LEFT(IFERROR(INDEX(醫師週班表!$C$5:$T$44,$CU21,CA$57),""),1),IFERROR(INDEX(醫師週班表!$C$5:$T$44,$CU21,CA$57),"")))))))</f>
        <v/>
      </c>
      <c r="CB21" s="67">
        <f>IF(CB$59="X","",IF(CB$59&lt;&gt;"",CB$59,IF(IFERROR(INDEX(醫師週班表!$C$5:$T$44,$CU21,CB$57),"")=0,"",IF(MID(IFERROR(INDEX(醫師週班表!$C$5:$T$44,$CU21,CB$57),""),2,1)="/",MID(IFERROR(INDEX(醫師週班表!$C$5:$T$44,$CU21,CB$57),""),1+CB$58*2,1),IF(MID(IFERROR(INDEX(醫師週班表!$C$5:$T$44,$CU21,CB$57),""),3,1)="隔",IF(CB$58=0,LEFT(IFERROR(INDEX(醫師週班表!$C$5:$T$44,$CU21,CB$57),""),1),""),IF(MID(IFERROR(INDEX(醫師週班表!$C$5:$T$44,$CU21,CB$57),""),2,1)="(",LEFT(IFERROR(INDEX(醫師週班表!$C$5:$T$44,$CU21,CB$57),""),1),IFERROR(INDEX(醫師週班表!$C$5:$T$44,$CU21,CB$57),"")))))))</f>
        <v/>
      </c>
      <c r="CC21" s="68">
        <f>IF(CC$59="X","",IF(CC$59&lt;&gt;"",CC$59,IF(IFERROR(INDEX(醫師週班表!$C$5:$T$44,$CU21,CC$57),"")=0,"",IF(MID(IFERROR(INDEX(醫師週班表!$C$5:$T$44,$CU21,CC$57),""),2,1)="/",MID(IFERROR(INDEX(醫師週班表!$C$5:$T$44,$CU21,CC$57),""),1+CC$58*2,1),IF(MID(IFERROR(INDEX(醫師週班表!$C$5:$T$44,$CU21,CC$57),""),3,1)="隔",IF(CC$58=0,LEFT(IFERROR(INDEX(醫師週班表!$C$5:$T$44,$CU21,CC$57),""),1),""),IF(MID(IFERROR(INDEX(醫師週班表!$C$5:$T$44,$CU21,CC$57),""),2,1)="(",LEFT(IFERROR(INDEX(醫師週班表!$C$5:$T$44,$CU21,CC$57),""),1),IFERROR(INDEX(醫師週班表!$C$5:$T$44,$CU21,CC$57),"")))))))</f>
        <v/>
      </c>
      <c r="CD21" s="68">
        <f>IF(CD$59="X","",IF(CD$59&lt;&gt;"",CD$59,IF(IFERROR(INDEX(醫師週班表!$C$5:$T$44,$CU21,CD$57),"")=0,"",IF(MID(IFERROR(INDEX(醫師週班表!$C$5:$T$44,$CU21,CD$57),""),2,1)="/",MID(IFERROR(INDEX(醫師週班表!$C$5:$T$44,$CU21,CD$57),""),1+CD$58*2,1),IF(MID(IFERROR(INDEX(醫師週班表!$C$5:$T$44,$CU21,CD$57),""),3,1)="隔",IF(CD$58=0,LEFT(IFERROR(INDEX(醫師週班表!$C$5:$T$44,$CU21,CD$57),""),1),""),IF(MID(IFERROR(INDEX(醫師週班表!$C$5:$T$44,$CU21,CD$57),""),2,1)="(",LEFT(IFERROR(INDEX(醫師週班表!$C$5:$T$44,$CU21,CD$57),""),1),IFERROR(INDEX(醫師週班表!$C$5:$T$44,$CU21,CD$57),"")))))))</f>
        <v/>
      </c>
      <c r="CE21" s="67">
        <f>IF(CE$59="X","",IF(CE$59&lt;&gt;"",CE$59,IF(IFERROR(INDEX(醫師週班表!$C$5:$T$44,$CU21,CE$57),"")=0,"",IF(MID(IFERROR(INDEX(醫師週班表!$C$5:$T$44,$CU21,CE$57),""),2,1)="/",MID(IFERROR(INDEX(醫師週班表!$C$5:$T$44,$CU21,CE$57),""),1+CE$58*2,1),IF(MID(IFERROR(INDEX(醫師週班表!$C$5:$T$44,$CU21,CE$57),""),3,1)="隔",IF(CE$58=0,LEFT(IFERROR(INDEX(醫師週班表!$C$5:$T$44,$CU21,CE$57),""),1),""),IF(MID(IFERROR(INDEX(醫師週班表!$C$5:$T$44,$CU21,CE$57),""),2,1)="(",LEFT(IFERROR(INDEX(醫師週班表!$C$5:$T$44,$CU21,CE$57),""),1),IFERROR(INDEX(醫師週班表!$C$5:$T$44,$CU21,CE$57),"")))))))</f>
        <v/>
      </c>
      <c r="CF21" s="68">
        <f>IF(CF$59="X","",IF(CF$59&lt;&gt;"",CF$59,IF(IFERROR(INDEX(醫師週班表!$C$5:$T$44,$CU21,CF$57),"")=0,"",IF(MID(IFERROR(INDEX(醫師週班表!$C$5:$T$44,$CU21,CF$57),""),2,1)="/",MID(IFERROR(INDEX(醫師週班表!$C$5:$T$44,$CU21,CF$57),""),1+CF$58*2,1),IF(MID(IFERROR(INDEX(醫師週班表!$C$5:$T$44,$CU21,CF$57),""),3,1)="隔",IF(CF$58=0,LEFT(IFERROR(INDEX(醫師週班表!$C$5:$T$44,$CU21,CF$57),""),1),""),IF(MID(IFERROR(INDEX(醫師週班表!$C$5:$T$44,$CU21,CF$57),""),2,1)="(",LEFT(IFERROR(INDEX(醫師週班表!$C$5:$T$44,$CU21,CF$57),""),1),IFERROR(INDEX(醫師週班表!$C$5:$T$44,$CU21,CF$57),"")))))))</f>
        <v/>
      </c>
      <c r="CG21" s="68">
        <f>IF(CG$59="X","",IF(CG$59&lt;&gt;"",CG$59,IF(IFERROR(INDEX(醫師週班表!$C$5:$T$44,$CU21,CG$57),"")=0,"",IF(MID(IFERROR(INDEX(醫師週班表!$C$5:$T$44,$CU21,CG$57),""),2,1)="/",MID(IFERROR(INDEX(醫師週班表!$C$5:$T$44,$CU21,CG$57),""),1+CG$58*2,1),IF(MID(IFERROR(INDEX(醫師週班表!$C$5:$T$44,$CU21,CG$57),""),3,1)="隔",IF(CG$58=0,LEFT(IFERROR(INDEX(醫師週班表!$C$5:$T$44,$CU21,CG$57),""),1),""),IF(MID(IFERROR(INDEX(醫師週班表!$C$5:$T$44,$CU21,CG$57),""),2,1)="(",LEFT(IFERROR(INDEX(醫師週班表!$C$5:$T$44,$CU21,CG$57),""),1),IFERROR(INDEX(醫師週班表!$C$5:$T$44,$CU21,CG$57),"")))))))</f>
        <v/>
      </c>
      <c r="CH21" s="67">
        <f>IF(CH$59="X","",IF(CH$59&lt;&gt;"",CH$59,IF(IFERROR(INDEX(醫師週班表!$C$5:$T$44,$CU21,CH$57),"")=0,"",IF(MID(IFERROR(INDEX(醫師週班表!$C$5:$T$44,$CU21,CH$57),""),2,1)="/",MID(IFERROR(INDEX(醫師週班表!$C$5:$T$44,$CU21,CH$57),""),1+CH$58*2,1),IF(MID(IFERROR(INDEX(醫師週班表!$C$5:$T$44,$CU21,CH$57),""),3,1)="隔",IF(CH$58=0,LEFT(IFERROR(INDEX(醫師週班表!$C$5:$T$44,$CU21,CH$57),""),1),""),IF(MID(IFERROR(INDEX(醫師週班表!$C$5:$T$44,$CU21,CH$57),""),2,1)="(",LEFT(IFERROR(INDEX(醫師週班表!$C$5:$T$44,$CU21,CH$57),""),1),IFERROR(INDEX(醫師週班表!$C$5:$T$44,$CU21,CH$57),"")))))))</f>
        <v/>
      </c>
      <c r="CI21" s="68">
        <f>IF(CI$59="X","",IF(CI$59&lt;&gt;"",CI$59,IF(IFERROR(INDEX(醫師週班表!$C$5:$T$44,$CU21,CI$57),"")=0,"",IF(MID(IFERROR(INDEX(醫師週班表!$C$5:$T$44,$CU21,CI$57),""),2,1)="/",MID(IFERROR(INDEX(醫師週班表!$C$5:$T$44,$CU21,CI$57),""),1+CI$58*2,1),IF(MID(IFERROR(INDEX(醫師週班表!$C$5:$T$44,$CU21,CI$57),""),3,1)="隔",IF(CI$58=0,LEFT(IFERROR(INDEX(醫師週班表!$C$5:$T$44,$CU21,CI$57),""),1),""),IF(MID(IFERROR(INDEX(醫師週班表!$C$5:$T$44,$CU21,CI$57),""),2,1)="(",LEFT(IFERROR(INDEX(醫師週班表!$C$5:$T$44,$CU21,CI$57),""),1),IFERROR(INDEX(醫師週班表!$C$5:$T$44,$CU21,CI$57),"")))))))</f>
        <v/>
      </c>
      <c r="CJ21" s="68">
        <f>IF(CJ$59="X","",IF(CJ$59&lt;&gt;"",CJ$59,IF(IFERROR(INDEX(醫師週班表!$C$5:$T$44,$CU21,CJ$57),"")=0,"",IF(MID(IFERROR(INDEX(醫師週班表!$C$5:$T$44,$CU21,CJ$57),""),2,1)="/",MID(IFERROR(INDEX(醫師週班表!$C$5:$T$44,$CU21,CJ$57),""),1+CJ$58*2,1),IF(MID(IFERROR(INDEX(醫師週班表!$C$5:$T$44,$CU21,CJ$57),""),3,1)="隔",IF(CJ$58=0,LEFT(IFERROR(INDEX(醫師週班表!$C$5:$T$44,$CU21,CJ$57),""),1),""),IF(MID(IFERROR(INDEX(醫師週班表!$C$5:$T$44,$CU21,CJ$57),""),2,1)="(",LEFT(IFERROR(INDEX(醫師週班表!$C$5:$T$44,$CU21,CJ$57),""),1),IFERROR(INDEX(醫師週班表!$C$5:$T$44,$CU21,CJ$57),"")))))))</f>
        <v/>
      </c>
      <c r="CK21" s="67">
        <f>IF(CK$59="X","",IF(CK$59&lt;&gt;"",CK$59,IF(IFERROR(INDEX(醫師週班表!$C$5:$T$44,$CU21,CK$57),"")=0,"",IF(MID(IFERROR(INDEX(醫師週班表!$C$5:$T$44,$CU21,CK$57),""),2,1)="/",MID(IFERROR(INDEX(醫師週班表!$C$5:$T$44,$CU21,CK$57),""),1+CK$58*2,1),IF(MID(IFERROR(INDEX(醫師週班表!$C$5:$T$44,$CU21,CK$57),""),3,1)="隔",IF(CK$58=0,LEFT(IFERROR(INDEX(醫師週班表!$C$5:$T$44,$CU21,CK$57),""),1),""),IF(MID(IFERROR(INDEX(醫師週班表!$C$5:$T$44,$CU21,CK$57),""),2,1)="(",LEFT(IFERROR(INDEX(醫師週班表!$C$5:$T$44,$CU21,CK$57),""),1),IFERROR(INDEX(醫師週班表!$C$5:$T$44,$CU21,CK$57),"")))))))</f>
        <v/>
      </c>
      <c r="CL21" s="68">
        <f>IF(CL$59="X","",IF(CL$59&lt;&gt;"",CL$59,IF(IFERROR(INDEX(醫師週班表!$C$5:$T$44,$CU21,CL$57),"")=0,"",IF(MID(IFERROR(INDEX(醫師週班表!$C$5:$T$44,$CU21,CL$57),""),2,1)="/",MID(IFERROR(INDEX(醫師週班表!$C$5:$T$44,$CU21,CL$57),""),1+CL$58*2,1),IF(MID(IFERROR(INDEX(醫師週班表!$C$5:$T$44,$CU21,CL$57),""),3,1)="隔",IF(CL$58=0,LEFT(IFERROR(INDEX(醫師週班表!$C$5:$T$44,$CU21,CL$57),""),1),""),IF(MID(IFERROR(INDEX(醫師週班表!$C$5:$T$44,$CU21,CL$57),""),2,1)="(",LEFT(IFERROR(INDEX(醫師週班表!$C$5:$T$44,$CU21,CL$57),""),1),IFERROR(INDEX(醫師週班表!$C$5:$T$44,$CU21,CL$57),"")))))))</f>
        <v/>
      </c>
      <c r="CM21" s="68">
        <f>IF(CM$59="X","",IF(CM$59&lt;&gt;"",CM$59,IF(IFERROR(INDEX(醫師週班表!$C$5:$T$44,$CU21,CM$57),"")=0,"",IF(MID(IFERROR(INDEX(醫師週班表!$C$5:$T$44,$CU21,CM$57),""),2,1)="/",MID(IFERROR(INDEX(醫師週班表!$C$5:$T$44,$CU21,CM$57),""),1+CM$58*2,1),IF(MID(IFERROR(INDEX(醫師週班表!$C$5:$T$44,$CU21,CM$57),""),3,1)="隔",IF(CM$58=0,LEFT(IFERROR(INDEX(醫師週班表!$C$5:$T$44,$CU21,CM$57),""),1),""),IF(MID(IFERROR(INDEX(醫師週班表!$C$5:$T$44,$CU21,CM$57),""),2,1)="(",LEFT(IFERROR(INDEX(醫師週班表!$C$5:$T$44,$CU21,CM$57),""),1),IFERROR(INDEX(醫師週班表!$C$5:$T$44,$CU21,CM$57),"")))))))</f>
        <v/>
      </c>
      <c r="CN21" s="67">
        <f>IF(CN$59="X","",IF(CN$59&lt;&gt;"",CN$59,IF(IFERROR(INDEX(醫師週班表!$C$5:$T$44,$CU21,CN$57),"")=0,"",IF(MID(IFERROR(INDEX(醫師週班表!$C$5:$T$44,$CU21,CN$57),""),2,1)="/",MID(IFERROR(INDEX(醫師週班表!$C$5:$T$44,$CU21,CN$57),""),1+CN$58*2,1),IF(MID(IFERROR(INDEX(醫師週班表!$C$5:$T$44,$CU21,CN$57),""),3,1)="隔",IF(CN$58=0,LEFT(IFERROR(INDEX(醫師週班表!$C$5:$T$44,$CU21,CN$57),""),1),""),IF(MID(IFERROR(INDEX(醫師週班表!$C$5:$T$44,$CU21,CN$57),""),2,1)="(",LEFT(IFERROR(INDEX(醫師週班表!$C$5:$T$44,$CU21,CN$57),""),1),IFERROR(INDEX(醫師週班表!$C$5:$T$44,$CU21,CN$57),"")))))))</f>
        <v/>
      </c>
      <c r="CO21" s="68">
        <f>IF(CO$59="X","",IF(CO$59&lt;&gt;"",CO$59,IF(IFERROR(INDEX(醫師週班表!$C$5:$T$44,$CU21,CO$57),"")=0,"",IF(MID(IFERROR(INDEX(醫師週班表!$C$5:$T$44,$CU21,CO$57),""),2,1)="/",MID(IFERROR(INDEX(醫師週班表!$C$5:$T$44,$CU21,CO$57),""),1+CO$58*2,1),IF(MID(IFERROR(INDEX(醫師週班表!$C$5:$T$44,$CU21,CO$57),""),3,1)="隔",IF(CO$58=0,LEFT(IFERROR(INDEX(醫師週班表!$C$5:$T$44,$CU21,CO$57),""),1),""),IF(MID(IFERROR(INDEX(醫師週班表!$C$5:$T$44,$CU21,CO$57),""),2,1)="(",LEFT(IFERROR(INDEX(醫師週班表!$C$5:$T$44,$CU21,CO$57),""),1),IFERROR(INDEX(醫師週班表!$C$5:$T$44,$CU21,CO$57),"")))))))</f>
        <v/>
      </c>
      <c r="CP21" s="68">
        <f>IF(CP$59="X","",IF(CP$59&lt;&gt;"",CP$59,IF(IFERROR(INDEX(醫師週班表!$C$5:$T$44,$CU21,CP$57),"")=0,"",IF(MID(IFERROR(INDEX(醫師週班表!$C$5:$T$44,$CU21,CP$57),""),2,1)="/",MID(IFERROR(INDEX(醫師週班表!$C$5:$T$44,$CU21,CP$57),""),1+CP$58*2,1),IF(MID(IFERROR(INDEX(醫師週班表!$C$5:$T$44,$CU21,CP$57),""),3,1)="隔",IF(CP$58=0,LEFT(IFERROR(INDEX(醫師週班表!$C$5:$T$44,$CU21,CP$57),""),1),""),IF(MID(IFERROR(INDEX(醫師週班表!$C$5:$T$44,$CU21,CP$57),""),2,1)="(",LEFT(IFERROR(INDEX(醫師週班表!$C$5:$T$44,$CU21,CP$57),""),1),IFERROR(INDEX(醫師週班表!$C$5:$T$44,$CU21,CP$57),"")))))))</f>
        <v/>
      </c>
      <c r="CQ21" s="67">
        <f>IF(CQ$59="X","",IF(CQ$59&lt;&gt;"",CQ$59,IF(IFERROR(INDEX(醫師週班表!$C$5:$T$44,$CU21,CQ$57),"")=0,"",IF(MID(IFERROR(INDEX(醫師週班表!$C$5:$T$44,$CU21,CQ$57),""),2,1)="/",MID(IFERROR(INDEX(醫師週班表!$C$5:$T$44,$CU21,CQ$57),""),1+CQ$58*2,1),IF(MID(IFERROR(INDEX(醫師週班表!$C$5:$T$44,$CU21,CQ$57),""),3,1)="隔",IF(CQ$58=0,LEFT(IFERROR(INDEX(醫師週班表!$C$5:$T$44,$CU21,CQ$57),""),1),""),IF(MID(IFERROR(INDEX(醫師週班表!$C$5:$T$44,$CU21,CQ$57),""),2,1)="(",LEFT(IFERROR(INDEX(醫師週班表!$C$5:$T$44,$CU21,CQ$57),""),1),IFERROR(INDEX(醫師週班表!$C$5:$T$44,$CU21,CQ$57),"")))))))</f>
        <v/>
      </c>
      <c r="CR21" s="68">
        <f>IF(CR$59="X","",IF(CR$59&lt;&gt;"",CR$59,IF(IFERROR(INDEX(醫師週班表!$C$5:$T$44,$CU21,CR$57),"")=0,"",IF(MID(IFERROR(INDEX(醫師週班表!$C$5:$T$44,$CU21,CR$57),""),2,1)="/",MID(IFERROR(INDEX(醫師週班表!$C$5:$T$44,$CU21,CR$57),""),1+CR$58*2,1),IF(MID(IFERROR(INDEX(醫師週班表!$C$5:$T$44,$CU21,CR$57),""),3,1)="隔",IF(CR$58=0,LEFT(IFERROR(INDEX(醫師週班表!$C$5:$T$44,$CU21,CR$57),""),1),""),IF(MID(IFERROR(INDEX(醫師週班表!$C$5:$T$44,$CU21,CR$57),""),2,1)="(",LEFT(IFERROR(INDEX(醫師週班表!$C$5:$T$44,$CU21,CR$57),""),1),IFERROR(INDEX(醫師週班表!$C$5:$T$44,$CU21,CR$57),"")))))))</f>
        <v/>
      </c>
      <c r="CS21" s="68">
        <f>IF(CS$59="X","",IF(CS$59&lt;&gt;"",CS$59,IF(IFERROR(INDEX(醫師週班表!$C$5:$T$44,$CU21,CS$57),"")=0,"",IF(MID(IFERROR(INDEX(醫師週班表!$C$5:$T$44,$CU21,CS$57),""),2,1)="/",MID(IFERROR(INDEX(醫師週班表!$C$5:$T$44,$CU21,CS$57),""),1+CS$58*2,1),IF(MID(IFERROR(INDEX(醫師週班表!$C$5:$T$44,$CU21,CS$57),""),3,1)="隔",IF(CS$58=0,LEFT(IFERROR(INDEX(醫師週班表!$C$5:$T$44,$CU21,CS$57),""),1),""),IF(MID(IFERROR(INDEX(醫師週班表!$C$5:$T$44,$CU21,CS$57),""),2,1)="(",LEFT(IFERROR(INDEX(醫師週班表!$C$5:$T$44,$CU21,CS$57),""),1),IFERROR(INDEX(醫師週班表!$C$5:$T$44,$CU21,CS$57),"")))))))</f>
        <v/>
      </c>
      <c r="CU21" s="69">
        <f>IFERROR(MATCH($A21,醫師週班表!$A$5:$A$44,0),0)</f>
        <v/>
      </c>
    </row>
    <row r="22" ht="17" customHeight="1">
      <c r="A22" s="20" t="inlineStr">
        <is>
          <t>D017</t>
        </is>
      </c>
      <c r="B22" s="16" t="inlineStr">
        <is>
          <t>吳柏賢</t>
        </is>
      </c>
      <c r="C22" s="66" t="inlineStr"/>
      <c r="D22" s="16" t="inlineStr"/>
      <c r="E22" s="67">
        <f>IF(E$59="X","",IF(E$59&lt;&gt;"",E$59,IF(IFERROR(INDEX(醫師週班表!$C$5:$T$44,$CU22,E$57),"")=0,"",IF(MID(IFERROR(INDEX(醫師週班表!$C$5:$T$44,$CU22,E$57),""),2,1)="/",MID(IFERROR(INDEX(醫師週班表!$C$5:$T$44,$CU22,E$57),""),1+E$58*2,1),IF(MID(IFERROR(INDEX(醫師週班表!$C$5:$T$44,$CU22,E$57),""),3,1)="隔",IF(E$58=0,LEFT(IFERROR(INDEX(醫師週班表!$C$5:$T$44,$CU22,E$57),""),1),""),IF(MID(IFERROR(INDEX(醫師週班表!$C$5:$T$44,$CU22,E$57),""),2,1)="(",LEFT(IFERROR(INDEX(醫師週班表!$C$5:$T$44,$CU22,E$57),""),1),IFERROR(INDEX(醫師週班表!$C$5:$T$44,$CU22,E$57),"")))))))</f>
        <v/>
      </c>
      <c r="F22" s="68">
        <f>IF(F$59="X","",IF(F$59&lt;&gt;"",F$59,IF(IFERROR(INDEX(醫師週班表!$C$5:$T$44,$CU22,F$57),"")=0,"",IF(MID(IFERROR(INDEX(醫師週班表!$C$5:$T$44,$CU22,F$57),""),2,1)="/",MID(IFERROR(INDEX(醫師週班表!$C$5:$T$44,$CU22,F$57),""),1+F$58*2,1),IF(MID(IFERROR(INDEX(醫師週班表!$C$5:$T$44,$CU22,F$57),""),3,1)="隔",IF(F$58=0,LEFT(IFERROR(INDEX(醫師週班表!$C$5:$T$44,$CU22,F$57),""),1),""),IF(MID(IFERROR(INDEX(醫師週班表!$C$5:$T$44,$CU22,F$57),""),2,1)="(",LEFT(IFERROR(INDEX(醫師週班表!$C$5:$T$44,$CU22,F$57),""),1),IFERROR(INDEX(醫師週班表!$C$5:$T$44,$CU22,F$57),"")))))))</f>
        <v/>
      </c>
      <c r="G22" s="68">
        <f>IF(G$59="X","",IF(G$59&lt;&gt;"",G$59,IF(IFERROR(INDEX(醫師週班表!$C$5:$T$44,$CU22,G$57),"")=0,"",IF(MID(IFERROR(INDEX(醫師週班表!$C$5:$T$44,$CU22,G$57),""),2,1)="/",MID(IFERROR(INDEX(醫師週班表!$C$5:$T$44,$CU22,G$57),""),1+G$58*2,1),IF(MID(IFERROR(INDEX(醫師週班表!$C$5:$T$44,$CU22,G$57),""),3,1)="隔",IF(G$58=0,LEFT(IFERROR(INDEX(醫師週班表!$C$5:$T$44,$CU22,G$57),""),1),""),IF(MID(IFERROR(INDEX(醫師週班表!$C$5:$T$44,$CU22,G$57),""),2,1)="(",LEFT(IFERROR(INDEX(醫師週班表!$C$5:$T$44,$CU22,G$57),""),1),IFERROR(INDEX(醫師週班表!$C$5:$T$44,$CU22,G$57),"")))))))</f>
        <v/>
      </c>
      <c r="H22" s="67">
        <f>IF(H$59="X","",IF(H$59&lt;&gt;"",H$59,IF(IFERROR(INDEX(醫師週班表!$C$5:$T$44,$CU22,H$57),"")=0,"",IF(MID(IFERROR(INDEX(醫師週班表!$C$5:$T$44,$CU22,H$57),""),2,1)="/",MID(IFERROR(INDEX(醫師週班表!$C$5:$T$44,$CU22,H$57),""),1+H$58*2,1),IF(MID(IFERROR(INDEX(醫師週班表!$C$5:$T$44,$CU22,H$57),""),3,1)="隔",IF(H$58=0,LEFT(IFERROR(INDEX(醫師週班表!$C$5:$T$44,$CU22,H$57),""),1),""),IF(MID(IFERROR(INDEX(醫師週班表!$C$5:$T$44,$CU22,H$57),""),2,1)="(",LEFT(IFERROR(INDEX(醫師週班表!$C$5:$T$44,$CU22,H$57),""),1),IFERROR(INDEX(醫師週班表!$C$5:$T$44,$CU22,H$57),"")))))))</f>
        <v/>
      </c>
      <c r="I22" s="68">
        <f>IF(I$59="X","",IF(I$59&lt;&gt;"",I$59,IF(IFERROR(INDEX(醫師週班表!$C$5:$T$44,$CU22,I$57),"")=0,"",IF(MID(IFERROR(INDEX(醫師週班表!$C$5:$T$44,$CU22,I$57),""),2,1)="/",MID(IFERROR(INDEX(醫師週班表!$C$5:$T$44,$CU22,I$57),""),1+I$58*2,1),IF(MID(IFERROR(INDEX(醫師週班表!$C$5:$T$44,$CU22,I$57),""),3,1)="隔",IF(I$58=0,LEFT(IFERROR(INDEX(醫師週班表!$C$5:$T$44,$CU22,I$57),""),1),""),IF(MID(IFERROR(INDEX(醫師週班表!$C$5:$T$44,$CU22,I$57),""),2,1)="(",LEFT(IFERROR(INDEX(醫師週班表!$C$5:$T$44,$CU22,I$57),""),1),IFERROR(INDEX(醫師週班表!$C$5:$T$44,$CU22,I$57),"")))))))</f>
        <v/>
      </c>
      <c r="J22" s="68">
        <f>IF(J$59="X","",IF(J$59&lt;&gt;"",J$59,IF(IFERROR(INDEX(醫師週班表!$C$5:$T$44,$CU22,J$57),"")=0,"",IF(MID(IFERROR(INDEX(醫師週班表!$C$5:$T$44,$CU22,J$57),""),2,1)="/",MID(IFERROR(INDEX(醫師週班表!$C$5:$T$44,$CU22,J$57),""),1+J$58*2,1),IF(MID(IFERROR(INDEX(醫師週班表!$C$5:$T$44,$CU22,J$57),""),3,1)="隔",IF(J$58=0,LEFT(IFERROR(INDEX(醫師週班表!$C$5:$T$44,$CU22,J$57),""),1),""),IF(MID(IFERROR(INDEX(醫師週班表!$C$5:$T$44,$CU22,J$57),""),2,1)="(",LEFT(IFERROR(INDEX(醫師週班表!$C$5:$T$44,$CU22,J$57),""),1),IFERROR(INDEX(醫師週班表!$C$5:$T$44,$CU22,J$57),"")))))))</f>
        <v/>
      </c>
      <c r="K22" s="67">
        <f>IF(K$59="X","",IF(K$59&lt;&gt;"",K$59,IF(IFERROR(INDEX(醫師週班表!$C$5:$T$44,$CU22,K$57),"")=0,"",IF(MID(IFERROR(INDEX(醫師週班表!$C$5:$T$44,$CU22,K$57),""),2,1)="/",MID(IFERROR(INDEX(醫師週班表!$C$5:$T$44,$CU22,K$57),""),1+K$58*2,1),IF(MID(IFERROR(INDEX(醫師週班表!$C$5:$T$44,$CU22,K$57),""),3,1)="隔",IF(K$58=0,LEFT(IFERROR(INDEX(醫師週班表!$C$5:$T$44,$CU22,K$57),""),1),""),IF(MID(IFERROR(INDEX(醫師週班表!$C$5:$T$44,$CU22,K$57),""),2,1)="(",LEFT(IFERROR(INDEX(醫師週班表!$C$5:$T$44,$CU22,K$57),""),1),IFERROR(INDEX(醫師週班表!$C$5:$T$44,$CU22,K$57),"")))))))</f>
        <v/>
      </c>
      <c r="L22" s="68">
        <f>IF(L$59="X","",IF(L$59&lt;&gt;"",L$59,IF(IFERROR(INDEX(醫師週班表!$C$5:$T$44,$CU22,L$57),"")=0,"",IF(MID(IFERROR(INDEX(醫師週班表!$C$5:$T$44,$CU22,L$57),""),2,1)="/",MID(IFERROR(INDEX(醫師週班表!$C$5:$T$44,$CU22,L$57),""),1+L$58*2,1),IF(MID(IFERROR(INDEX(醫師週班表!$C$5:$T$44,$CU22,L$57),""),3,1)="隔",IF(L$58=0,LEFT(IFERROR(INDEX(醫師週班表!$C$5:$T$44,$CU22,L$57),""),1),""),IF(MID(IFERROR(INDEX(醫師週班表!$C$5:$T$44,$CU22,L$57),""),2,1)="(",LEFT(IFERROR(INDEX(醫師週班表!$C$5:$T$44,$CU22,L$57),""),1),IFERROR(INDEX(醫師週班表!$C$5:$T$44,$CU22,L$57),"")))))))</f>
        <v/>
      </c>
      <c r="M22" s="68">
        <f>IF(M$59="X","",IF(M$59&lt;&gt;"",M$59,IF(IFERROR(INDEX(醫師週班表!$C$5:$T$44,$CU22,M$57),"")=0,"",IF(MID(IFERROR(INDEX(醫師週班表!$C$5:$T$44,$CU22,M$57),""),2,1)="/",MID(IFERROR(INDEX(醫師週班表!$C$5:$T$44,$CU22,M$57),""),1+M$58*2,1),IF(MID(IFERROR(INDEX(醫師週班表!$C$5:$T$44,$CU22,M$57),""),3,1)="隔",IF(M$58=0,LEFT(IFERROR(INDEX(醫師週班表!$C$5:$T$44,$CU22,M$57),""),1),""),IF(MID(IFERROR(INDEX(醫師週班表!$C$5:$T$44,$CU22,M$57),""),2,1)="(",LEFT(IFERROR(INDEX(醫師週班表!$C$5:$T$44,$CU22,M$57),""),1),IFERROR(INDEX(醫師週班表!$C$5:$T$44,$CU22,M$57),"")))))))</f>
        <v/>
      </c>
      <c r="N22" s="67">
        <f>IF(N$59="X","",IF(N$59&lt;&gt;"",N$59,IF(IFERROR(INDEX(醫師週班表!$C$5:$T$44,$CU22,N$57),"")=0,"",IF(MID(IFERROR(INDEX(醫師週班表!$C$5:$T$44,$CU22,N$57),""),2,1)="/",MID(IFERROR(INDEX(醫師週班表!$C$5:$T$44,$CU22,N$57),""),1+N$58*2,1),IF(MID(IFERROR(INDEX(醫師週班表!$C$5:$T$44,$CU22,N$57),""),3,1)="隔",IF(N$58=0,LEFT(IFERROR(INDEX(醫師週班表!$C$5:$T$44,$CU22,N$57),""),1),""),IF(MID(IFERROR(INDEX(醫師週班表!$C$5:$T$44,$CU22,N$57),""),2,1)="(",LEFT(IFERROR(INDEX(醫師週班表!$C$5:$T$44,$CU22,N$57),""),1),IFERROR(INDEX(醫師週班表!$C$5:$T$44,$CU22,N$57),"")))))))</f>
        <v/>
      </c>
      <c r="O22" s="68">
        <f>IF(O$59="X","",IF(O$59&lt;&gt;"",O$59,IF(IFERROR(INDEX(醫師週班表!$C$5:$T$44,$CU22,O$57),"")=0,"",IF(MID(IFERROR(INDEX(醫師週班表!$C$5:$T$44,$CU22,O$57),""),2,1)="/",MID(IFERROR(INDEX(醫師週班表!$C$5:$T$44,$CU22,O$57),""),1+O$58*2,1),IF(MID(IFERROR(INDEX(醫師週班表!$C$5:$T$44,$CU22,O$57),""),3,1)="隔",IF(O$58=0,LEFT(IFERROR(INDEX(醫師週班表!$C$5:$T$44,$CU22,O$57),""),1),""),IF(MID(IFERROR(INDEX(醫師週班表!$C$5:$T$44,$CU22,O$57),""),2,1)="(",LEFT(IFERROR(INDEX(醫師週班表!$C$5:$T$44,$CU22,O$57),""),1),IFERROR(INDEX(醫師週班表!$C$5:$T$44,$CU22,O$57),"")))))))</f>
        <v/>
      </c>
      <c r="P22" s="68">
        <f>IF(P$59="X","",IF(P$59&lt;&gt;"",P$59,IF(IFERROR(INDEX(醫師週班表!$C$5:$T$44,$CU22,P$57),"")=0,"",IF(MID(IFERROR(INDEX(醫師週班表!$C$5:$T$44,$CU22,P$57),""),2,1)="/",MID(IFERROR(INDEX(醫師週班表!$C$5:$T$44,$CU22,P$57),""),1+P$58*2,1),IF(MID(IFERROR(INDEX(醫師週班表!$C$5:$T$44,$CU22,P$57),""),3,1)="隔",IF(P$58=0,LEFT(IFERROR(INDEX(醫師週班表!$C$5:$T$44,$CU22,P$57),""),1),""),IF(MID(IFERROR(INDEX(醫師週班表!$C$5:$T$44,$CU22,P$57),""),2,1)="(",LEFT(IFERROR(INDEX(醫師週班表!$C$5:$T$44,$CU22,P$57),""),1),IFERROR(INDEX(醫師週班表!$C$5:$T$44,$CU22,P$57),"")))))))</f>
        <v/>
      </c>
      <c r="Q22" s="67">
        <f>IF(Q$59="X","",IF(Q$59&lt;&gt;"",Q$59,IF(IFERROR(INDEX(醫師週班表!$C$5:$T$44,$CU22,Q$57),"")=0,"",IF(MID(IFERROR(INDEX(醫師週班表!$C$5:$T$44,$CU22,Q$57),""),2,1)="/",MID(IFERROR(INDEX(醫師週班表!$C$5:$T$44,$CU22,Q$57),""),1+Q$58*2,1),IF(MID(IFERROR(INDEX(醫師週班表!$C$5:$T$44,$CU22,Q$57),""),3,1)="隔",IF(Q$58=0,LEFT(IFERROR(INDEX(醫師週班表!$C$5:$T$44,$CU22,Q$57),""),1),""),IF(MID(IFERROR(INDEX(醫師週班表!$C$5:$T$44,$CU22,Q$57),""),2,1)="(",LEFT(IFERROR(INDEX(醫師週班表!$C$5:$T$44,$CU22,Q$57),""),1),IFERROR(INDEX(醫師週班表!$C$5:$T$44,$CU22,Q$57),"")))))))</f>
        <v/>
      </c>
      <c r="R22" s="68">
        <f>IF(R$59="X","",IF(R$59&lt;&gt;"",R$59,IF(IFERROR(INDEX(醫師週班表!$C$5:$T$44,$CU22,R$57),"")=0,"",IF(MID(IFERROR(INDEX(醫師週班表!$C$5:$T$44,$CU22,R$57),""),2,1)="/",MID(IFERROR(INDEX(醫師週班表!$C$5:$T$44,$CU22,R$57),""),1+R$58*2,1),IF(MID(IFERROR(INDEX(醫師週班表!$C$5:$T$44,$CU22,R$57),""),3,1)="隔",IF(R$58=0,LEFT(IFERROR(INDEX(醫師週班表!$C$5:$T$44,$CU22,R$57),""),1),""),IF(MID(IFERROR(INDEX(醫師週班表!$C$5:$T$44,$CU22,R$57),""),2,1)="(",LEFT(IFERROR(INDEX(醫師週班表!$C$5:$T$44,$CU22,R$57),""),1),IFERROR(INDEX(醫師週班表!$C$5:$T$44,$CU22,R$57),"")))))))</f>
        <v/>
      </c>
      <c r="S22" s="68">
        <f>IF(S$59="X","",IF(S$59&lt;&gt;"",S$59,IF(IFERROR(INDEX(醫師週班表!$C$5:$T$44,$CU22,S$57),"")=0,"",IF(MID(IFERROR(INDEX(醫師週班表!$C$5:$T$44,$CU22,S$57),""),2,1)="/",MID(IFERROR(INDEX(醫師週班表!$C$5:$T$44,$CU22,S$57),""),1+S$58*2,1),IF(MID(IFERROR(INDEX(醫師週班表!$C$5:$T$44,$CU22,S$57),""),3,1)="隔",IF(S$58=0,LEFT(IFERROR(INDEX(醫師週班表!$C$5:$T$44,$CU22,S$57),""),1),""),IF(MID(IFERROR(INDEX(醫師週班表!$C$5:$T$44,$CU22,S$57),""),2,1)="(",LEFT(IFERROR(INDEX(醫師週班表!$C$5:$T$44,$CU22,S$57),""),1),IFERROR(INDEX(醫師週班表!$C$5:$T$44,$CU22,S$57),"")))))))</f>
        <v/>
      </c>
      <c r="T22" s="67">
        <f>IF(T$59="X","",IF(T$59&lt;&gt;"",T$59,IF(IFERROR(INDEX(醫師週班表!$C$5:$T$44,$CU22,T$57),"")=0,"",IF(MID(IFERROR(INDEX(醫師週班表!$C$5:$T$44,$CU22,T$57),""),2,1)="/",MID(IFERROR(INDEX(醫師週班表!$C$5:$T$44,$CU22,T$57),""),1+T$58*2,1),IF(MID(IFERROR(INDEX(醫師週班表!$C$5:$T$44,$CU22,T$57),""),3,1)="隔",IF(T$58=0,LEFT(IFERROR(INDEX(醫師週班表!$C$5:$T$44,$CU22,T$57),""),1),""),IF(MID(IFERROR(INDEX(醫師週班表!$C$5:$T$44,$CU22,T$57),""),2,1)="(",LEFT(IFERROR(INDEX(醫師週班表!$C$5:$T$44,$CU22,T$57),""),1),IFERROR(INDEX(醫師週班表!$C$5:$T$44,$CU22,T$57),"")))))))</f>
        <v/>
      </c>
      <c r="U22" s="68">
        <f>IF(U$59="X","",IF(U$59&lt;&gt;"",U$59,IF(IFERROR(INDEX(醫師週班表!$C$5:$T$44,$CU22,U$57),"")=0,"",IF(MID(IFERROR(INDEX(醫師週班表!$C$5:$T$44,$CU22,U$57),""),2,1)="/",MID(IFERROR(INDEX(醫師週班表!$C$5:$T$44,$CU22,U$57),""),1+U$58*2,1),IF(MID(IFERROR(INDEX(醫師週班表!$C$5:$T$44,$CU22,U$57),""),3,1)="隔",IF(U$58=0,LEFT(IFERROR(INDEX(醫師週班表!$C$5:$T$44,$CU22,U$57),""),1),""),IF(MID(IFERROR(INDEX(醫師週班表!$C$5:$T$44,$CU22,U$57),""),2,1)="(",LEFT(IFERROR(INDEX(醫師週班表!$C$5:$T$44,$CU22,U$57),""),1),IFERROR(INDEX(醫師週班表!$C$5:$T$44,$CU22,U$57),"")))))))</f>
        <v/>
      </c>
      <c r="V22" s="68">
        <f>IF(V$59="X","",IF(V$59&lt;&gt;"",V$59,IF(IFERROR(INDEX(醫師週班表!$C$5:$T$44,$CU22,V$57),"")=0,"",IF(MID(IFERROR(INDEX(醫師週班表!$C$5:$T$44,$CU22,V$57),""),2,1)="/",MID(IFERROR(INDEX(醫師週班表!$C$5:$T$44,$CU22,V$57),""),1+V$58*2,1),IF(MID(IFERROR(INDEX(醫師週班表!$C$5:$T$44,$CU22,V$57),""),3,1)="隔",IF(V$58=0,LEFT(IFERROR(INDEX(醫師週班表!$C$5:$T$44,$CU22,V$57),""),1),""),IF(MID(IFERROR(INDEX(醫師週班表!$C$5:$T$44,$CU22,V$57),""),2,1)="(",LEFT(IFERROR(INDEX(醫師週班表!$C$5:$T$44,$CU22,V$57),""),1),IFERROR(INDEX(醫師週班表!$C$5:$T$44,$CU22,V$57),"")))))))</f>
        <v/>
      </c>
      <c r="W22" s="67">
        <f>IF(W$59="X","",IF(W$59&lt;&gt;"",W$59,IF(IFERROR(INDEX(醫師週班表!$C$5:$T$44,$CU22,W$57),"")=0,"",IF(MID(IFERROR(INDEX(醫師週班表!$C$5:$T$44,$CU22,W$57),""),2,1)="/",MID(IFERROR(INDEX(醫師週班表!$C$5:$T$44,$CU22,W$57),""),1+W$58*2,1),IF(MID(IFERROR(INDEX(醫師週班表!$C$5:$T$44,$CU22,W$57),""),3,1)="隔",IF(W$58=0,LEFT(IFERROR(INDEX(醫師週班表!$C$5:$T$44,$CU22,W$57),""),1),""),IF(MID(IFERROR(INDEX(醫師週班表!$C$5:$T$44,$CU22,W$57),""),2,1)="(",LEFT(IFERROR(INDEX(醫師週班表!$C$5:$T$44,$CU22,W$57),""),1),IFERROR(INDEX(醫師週班表!$C$5:$T$44,$CU22,W$57),"")))))))</f>
        <v/>
      </c>
      <c r="X22" s="68">
        <f>IF(X$59="X","",IF(X$59&lt;&gt;"",X$59,IF(IFERROR(INDEX(醫師週班表!$C$5:$T$44,$CU22,X$57),"")=0,"",IF(MID(IFERROR(INDEX(醫師週班表!$C$5:$T$44,$CU22,X$57),""),2,1)="/",MID(IFERROR(INDEX(醫師週班表!$C$5:$T$44,$CU22,X$57),""),1+X$58*2,1),IF(MID(IFERROR(INDEX(醫師週班表!$C$5:$T$44,$CU22,X$57),""),3,1)="隔",IF(X$58=0,LEFT(IFERROR(INDEX(醫師週班表!$C$5:$T$44,$CU22,X$57),""),1),""),IF(MID(IFERROR(INDEX(醫師週班表!$C$5:$T$44,$CU22,X$57),""),2,1)="(",LEFT(IFERROR(INDEX(醫師週班表!$C$5:$T$44,$CU22,X$57),""),1),IFERROR(INDEX(醫師週班表!$C$5:$T$44,$CU22,X$57),"")))))))</f>
        <v/>
      </c>
      <c r="Y22" s="68">
        <f>IF(Y$59="X","",IF(Y$59&lt;&gt;"",Y$59,IF(IFERROR(INDEX(醫師週班表!$C$5:$T$44,$CU22,Y$57),"")=0,"",IF(MID(IFERROR(INDEX(醫師週班表!$C$5:$T$44,$CU22,Y$57),""),2,1)="/",MID(IFERROR(INDEX(醫師週班表!$C$5:$T$44,$CU22,Y$57),""),1+Y$58*2,1),IF(MID(IFERROR(INDEX(醫師週班表!$C$5:$T$44,$CU22,Y$57),""),3,1)="隔",IF(Y$58=0,LEFT(IFERROR(INDEX(醫師週班表!$C$5:$T$44,$CU22,Y$57),""),1),""),IF(MID(IFERROR(INDEX(醫師週班表!$C$5:$T$44,$CU22,Y$57),""),2,1)="(",LEFT(IFERROR(INDEX(醫師週班表!$C$5:$T$44,$CU22,Y$57),""),1),IFERROR(INDEX(醫師週班表!$C$5:$T$44,$CU22,Y$57),"")))))))</f>
        <v/>
      </c>
      <c r="Z22" s="67">
        <f>IF(Z$59="X","",IF(Z$59&lt;&gt;"",Z$59,IF(IFERROR(INDEX(醫師週班表!$C$5:$T$44,$CU22,Z$57),"")=0,"",IF(MID(IFERROR(INDEX(醫師週班表!$C$5:$T$44,$CU22,Z$57),""),2,1)="/",MID(IFERROR(INDEX(醫師週班表!$C$5:$T$44,$CU22,Z$57),""),1+Z$58*2,1),IF(MID(IFERROR(INDEX(醫師週班表!$C$5:$T$44,$CU22,Z$57),""),3,1)="隔",IF(Z$58=0,LEFT(IFERROR(INDEX(醫師週班表!$C$5:$T$44,$CU22,Z$57),""),1),""),IF(MID(IFERROR(INDEX(醫師週班表!$C$5:$T$44,$CU22,Z$57),""),2,1)="(",LEFT(IFERROR(INDEX(醫師週班表!$C$5:$T$44,$CU22,Z$57),""),1),IFERROR(INDEX(醫師週班表!$C$5:$T$44,$CU22,Z$57),"")))))))</f>
        <v/>
      </c>
      <c r="AA22" s="68">
        <f>IF(AA$59="X","",IF(AA$59&lt;&gt;"",AA$59,IF(IFERROR(INDEX(醫師週班表!$C$5:$T$44,$CU22,AA$57),"")=0,"",IF(MID(IFERROR(INDEX(醫師週班表!$C$5:$T$44,$CU22,AA$57),""),2,1)="/",MID(IFERROR(INDEX(醫師週班表!$C$5:$T$44,$CU22,AA$57),""),1+AA$58*2,1),IF(MID(IFERROR(INDEX(醫師週班表!$C$5:$T$44,$CU22,AA$57),""),3,1)="隔",IF(AA$58=0,LEFT(IFERROR(INDEX(醫師週班表!$C$5:$T$44,$CU22,AA$57),""),1),""),IF(MID(IFERROR(INDEX(醫師週班表!$C$5:$T$44,$CU22,AA$57),""),2,1)="(",LEFT(IFERROR(INDEX(醫師週班表!$C$5:$T$44,$CU22,AA$57),""),1),IFERROR(INDEX(醫師週班表!$C$5:$T$44,$CU22,AA$57),"")))))))</f>
        <v/>
      </c>
      <c r="AB22" s="68">
        <f>IF(AB$59="X","",IF(AB$59&lt;&gt;"",AB$59,IF(IFERROR(INDEX(醫師週班表!$C$5:$T$44,$CU22,AB$57),"")=0,"",IF(MID(IFERROR(INDEX(醫師週班表!$C$5:$T$44,$CU22,AB$57),""),2,1)="/",MID(IFERROR(INDEX(醫師週班表!$C$5:$T$44,$CU22,AB$57),""),1+AB$58*2,1),IF(MID(IFERROR(INDEX(醫師週班表!$C$5:$T$44,$CU22,AB$57),""),3,1)="隔",IF(AB$58=0,LEFT(IFERROR(INDEX(醫師週班表!$C$5:$T$44,$CU22,AB$57),""),1),""),IF(MID(IFERROR(INDEX(醫師週班表!$C$5:$T$44,$CU22,AB$57),""),2,1)="(",LEFT(IFERROR(INDEX(醫師週班表!$C$5:$T$44,$CU22,AB$57),""),1),IFERROR(INDEX(醫師週班表!$C$5:$T$44,$CU22,AB$57),"")))))))</f>
        <v/>
      </c>
      <c r="AC22" s="67">
        <f>IF(AC$59="X","",IF(AC$59&lt;&gt;"",AC$59,IF(IFERROR(INDEX(醫師週班表!$C$5:$T$44,$CU22,AC$57),"")=0,"",IF(MID(IFERROR(INDEX(醫師週班表!$C$5:$T$44,$CU22,AC$57),""),2,1)="/",MID(IFERROR(INDEX(醫師週班表!$C$5:$T$44,$CU22,AC$57),""),1+AC$58*2,1),IF(MID(IFERROR(INDEX(醫師週班表!$C$5:$T$44,$CU22,AC$57),""),3,1)="隔",IF(AC$58=0,LEFT(IFERROR(INDEX(醫師週班表!$C$5:$T$44,$CU22,AC$57),""),1),""),IF(MID(IFERROR(INDEX(醫師週班表!$C$5:$T$44,$CU22,AC$57),""),2,1)="(",LEFT(IFERROR(INDEX(醫師週班表!$C$5:$T$44,$CU22,AC$57),""),1),IFERROR(INDEX(醫師週班表!$C$5:$T$44,$CU22,AC$57),"")))))))</f>
        <v/>
      </c>
      <c r="AD22" s="68">
        <f>IF(AD$59="X","",IF(AD$59&lt;&gt;"",AD$59,IF(IFERROR(INDEX(醫師週班表!$C$5:$T$44,$CU22,AD$57),"")=0,"",IF(MID(IFERROR(INDEX(醫師週班表!$C$5:$T$44,$CU22,AD$57),""),2,1)="/",MID(IFERROR(INDEX(醫師週班表!$C$5:$T$44,$CU22,AD$57),""),1+AD$58*2,1),IF(MID(IFERROR(INDEX(醫師週班表!$C$5:$T$44,$CU22,AD$57),""),3,1)="隔",IF(AD$58=0,LEFT(IFERROR(INDEX(醫師週班表!$C$5:$T$44,$CU22,AD$57),""),1),""),IF(MID(IFERROR(INDEX(醫師週班表!$C$5:$T$44,$CU22,AD$57),""),2,1)="(",LEFT(IFERROR(INDEX(醫師週班表!$C$5:$T$44,$CU22,AD$57),""),1),IFERROR(INDEX(醫師週班表!$C$5:$T$44,$CU22,AD$57),"")))))))</f>
        <v/>
      </c>
      <c r="AE22" s="68">
        <f>IF(AE$59="X","",IF(AE$59&lt;&gt;"",AE$59,IF(IFERROR(INDEX(醫師週班表!$C$5:$T$44,$CU22,AE$57),"")=0,"",IF(MID(IFERROR(INDEX(醫師週班表!$C$5:$T$44,$CU22,AE$57),""),2,1)="/",MID(IFERROR(INDEX(醫師週班表!$C$5:$T$44,$CU22,AE$57),""),1+AE$58*2,1),IF(MID(IFERROR(INDEX(醫師週班表!$C$5:$T$44,$CU22,AE$57),""),3,1)="隔",IF(AE$58=0,LEFT(IFERROR(INDEX(醫師週班表!$C$5:$T$44,$CU22,AE$57),""),1),""),IF(MID(IFERROR(INDEX(醫師週班表!$C$5:$T$44,$CU22,AE$57),""),2,1)="(",LEFT(IFERROR(INDEX(醫師週班表!$C$5:$T$44,$CU22,AE$57),""),1),IFERROR(INDEX(醫師週班表!$C$5:$T$44,$CU22,AE$57),"")))))))</f>
        <v/>
      </c>
      <c r="AF22" s="67">
        <f>IF(AF$59="X","",IF(AF$59&lt;&gt;"",AF$59,IF(IFERROR(INDEX(醫師週班表!$C$5:$T$44,$CU22,AF$57),"")=0,"",IF(MID(IFERROR(INDEX(醫師週班表!$C$5:$T$44,$CU22,AF$57),""),2,1)="/",MID(IFERROR(INDEX(醫師週班表!$C$5:$T$44,$CU22,AF$57),""),1+AF$58*2,1),IF(MID(IFERROR(INDEX(醫師週班表!$C$5:$T$44,$CU22,AF$57),""),3,1)="隔",IF(AF$58=0,LEFT(IFERROR(INDEX(醫師週班表!$C$5:$T$44,$CU22,AF$57),""),1),""),IF(MID(IFERROR(INDEX(醫師週班表!$C$5:$T$44,$CU22,AF$57),""),2,1)="(",LEFT(IFERROR(INDEX(醫師週班表!$C$5:$T$44,$CU22,AF$57),""),1),IFERROR(INDEX(醫師週班表!$C$5:$T$44,$CU22,AF$57),"")))))))</f>
        <v/>
      </c>
      <c r="AG22" s="68">
        <f>IF(AG$59="X","",IF(AG$59&lt;&gt;"",AG$59,IF(IFERROR(INDEX(醫師週班表!$C$5:$T$44,$CU22,AG$57),"")=0,"",IF(MID(IFERROR(INDEX(醫師週班表!$C$5:$T$44,$CU22,AG$57),""),2,1)="/",MID(IFERROR(INDEX(醫師週班表!$C$5:$T$44,$CU22,AG$57),""),1+AG$58*2,1),IF(MID(IFERROR(INDEX(醫師週班表!$C$5:$T$44,$CU22,AG$57),""),3,1)="隔",IF(AG$58=0,LEFT(IFERROR(INDEX(醫師週班表!$C$5:$T$44,$CU22,AG$57),""),1),""),IF(MID(IFERROR(INDEX(醫師週班表!$C$5:$T$44,$CU22,AG$57),""),2,1)="(",LEFT(IFERROR(INDEX(醫師週班表!$C$5:$T$44,$CU22,AG$57),""),1),IFERROR(INDEX(醫師週班表!$C$5:$T$44,$CU22,AG$57),"")))))))</f>
        <v/>
      </c>
      <c r="AH22" s="68">
        <f>IF(AH$59="X","",IF(AH$59&lt;&gt;"",AH$59,IF(IFERROR(INDEX(醫師週班表!$C$5:$T$44,$CU22,AH$57),"")=0,"",IF(MID(IFERROR(INDEX(醫師週班表!$C$5:$T$44,$CU22,AH$57),""),2,1)="/",MID(IFERROR(INDEX(醫師週班表!$C$5:$T$44,$CU22,AH$57),""),1+AH$58*2,1),IF(MID(IFERROR(INDEX(醫師週班表!$C$5:$T$44,$CU22,AH$57),""),3,1)="隔",IF(AH$58=0,LEFT(IFERROR(INDEX(醫師週班表!$C$5:$T$44,$CU22,AH$57),""),1),""),IF(MID(IFERROR(INDEX(醫師週班表!$C$5:$T$44,$CU22,AH$57),""),2,1)="(",LEFT(IFERROR(INDEX(醫師週班表!$C$5:$T$44,$CU22,AH$57),""),1),IFERROR(INDEX(醫師週班表!$C$5:$T$44,$CU22,AH$57),"")))))))</f>
        <v/>
      </c>
      <c r="AI22" s="67">
        <f>IF(AI$59="X","",IF(AI$59&lt;&gt;"",AI$59,IF(IFERROR(INDEX(醫師週班表!$C$5:$T$44,$CU22,AI$57),"")=0,"",IF(MID(IFERROR(INDEX(醫師週班表!$C$5:$T$44,$CU22,AI$57),""),2,1)="/",MID(IFERROR(INDEX(醫師週班表!$C$5:$T$44,$CU22,AI$57),""),1+AI$58*2,1),IF(MID(IFERROR(INDEX(醫師週班表!$C$5:$T$44,$CU22,AI$57),""),3,1)="隔",IF(AI$58=0,LEFT(IFERROR(INDEX(醫師週班表!$C$5:$T$44,$CU22,AI$57),""),1),""),IF(MID(IFERROR(INDEX(醫師週班表!$C$5:$T$44,$CU22,AI$57),""),2,1)="(",LEFT(IFERROR(INDEX(醫師週班表!$C$5:$T$44,$CU22,AI$57),""),1),IFERROR(INDEX(醫師週班表!$C$5:$T$44,$CU22,AI$57),"")))))))</f>
        <v/>
      </c>
      <c r="AJ22" s="68">
        <f>IF(AJ$59="X","",IF(AJ$59&lt;&gt;"",AJ$59,IF(IFERROR(INDEX(醫師週班表!$C$5:$T$44,$CU22,AJ$57),"")=0,"",IF(MID(IFERROR(INDEX(醫師週班表!$C$5:$T$44,$CU22,AJ$57),""),2,1)="/",MID(IFERROR(INDEX(醫師週班表!$C$5:$T$44,$CU22,AJ$57),""),1+AJ$58*2,1),IF(MID(IFERROR(INDEX(醫師週班表!$C$5:$T$44,$CU22,AJ$57),""),3,1)="隔",IF(AJ$58=0,LEFT(IFERROR(INDEX(醫師週班表!$C$5:$T$44,$CU22,AJ$57),""),1),""),IF(MID(IFERROR(INDEX(醫師週班表!$C$5:$T$44,$CU22,AJ$57),""),2,1)="(",LEFT(IFERROR(INDEX(醫師週班表!$C$5:$T$44,$CU22,AJ$57),""),1),IFERROR(INDEX(醫師週班表!$C$5:$T$44,$CU22,AJ$57),"")))))))</f>
        <v/>
      </c>
      <c r="AK22" s="68">
        <f>IF(AK$59="X","",IF(AK$59&lt;&gt;"",AK$59,IF(IFERROR(INDEX(醫師週班表!$C$5:$T$44,$CU22,AK$57),"")=0,"",IF(MID(IFERROR(INDEX(醫師週班表!$C$5:$T$44,$CU22,AK$57),""),2,1)="/",MID(IFERROR(INDEX(醫師週班表!$C$5:$T$44,$CU22,AK$57),""),1+AK$58*2,1),IF(MID(IFERROR(INDEX(醫師週班表!$C$5:$T$44,$CU22,AK$57),""),3,1)="隔",IF(AK$58=0,LEFT(IFERROR(INDEX(醫師週班表!$C$5:$T$44,$CU22,AK$57),""),1),""),IF(MID(IFERROR(INDEX(醫師週班表!$C$5:$T$44,$CU22,AK$57),""),2,1)="(",LEFT(IFERROR(INDEX(醫師週班表!$C$5:$T$44,$CU22,AK$57),""),1),IFERROR(INDEX(醫師週班表!$C$5:$T$44,$CU22,AK$57),"")))))))</f>
        <v/>
      </c>
      <c r="AL22" s="67">
        <f>IF(AL$59="X","",IF(AL$59&lt;&gt;"",AL$59,IF(IFERROR(INDEX(醫師週班表!$C$5:$T$44,$CU22,AL$57),"")=0,"",IF(MID(IFERROR(INDEX(醫師週班表!$C$5:$T$44,$CU22,AL$57),""),2,1)="/",MID(IFERROR(INDEX(醫師週班表!$C$5:$T$44,$CU22,AL$57),""),1+AL$58*2,1),IF(MID(IFERROR(INDEX(醫師週班表!$C$5:$T$44,$CU22,AL$57),""),3,1)="隔",IF(AL$58=0,LEFT(IFERROR(INDEX(醫師週班表!$C$5:$T$44,$CU22,AL$57),""),1),""),IF(MID(IFERROR(INDEX(醫師週班表!$C$5:$T$44,$CU22,AL$57),""),2,1)="(",LEFT(IFERROR(INDEX(醫師週班表!$C$5:$T$44,$CU22,AL$57),""),1),IFERROR(INDEX(醫師週班表!$C$5:$T$44,$CU22,AL$57),"")))))))</f>
        <v/>
      </c>
      <c r="AM22" s="68">
        <f>IF(AM$59="X","",IF(AM$59&lt;&gt;"",AM$59,IF(IFERROR(INDEX(醫師週班表!$C$5:$T$44,$CU22,AM$57),"")=0,"",IF(MID(IFERROR(INDEX(醫師週班表!$C$5:$T$44,$CU22,AM$57),""),2,1)="/",MID(IFERROR(INDEX(醫師週班表!$C$5:$T$44,$CU22,AM$57),""),1+AM$58*2,1),IF(MID(IFERROR(INDEX(醫師週班表!$C$5:$T$44,$CU22,AM$57),""),3,1)="隔",IF(AM$58=0,LEFT(IFERROR(INDEX(醫師週班表!$C$5:$T$44,$CU22,AM$57),""),1),""),IF(MID(IFERROR(INDEX(醫師週班表!$C$5:$T$44,$CU22,AM$57),""),2,1)="(",LEFT(IFERROR(INDEX(醫師週班表!$C$5:$T$44,$CU22,AM$57),""),1),IFERROR(INDEX(醫師週班表!$C$5:$T$44,$CU22,AM$57),"")))))))</f>
        <v/>
      </c>
      <c r="AN22" s="68">
        <f>IF(AN$59="X","",IF(AN$59&lt;&gt;"",AN$59,IF(IFERROR(INDEX(醫師週班表!$C$5:$T$44,$CU22,AN$57),"")=0,"",IF(MID(IFERROR(INDEX(醫師週班表!$C$5:$T$44,$CU22,AN$57),""),2,1)="/",MID(IFERROR(INDEX(醫師週班表!$C$5:$T$44,$CU22,AN$57),""),1+AN$58*2,1),IF(MID(IFERROR(INDEX(醫師週班表!$C$5:$T$44,$CU22,AN$57),""),3,1)="隔",IF(AN$58=0,LEFT(IFERROR(INDEX(醫師週班表!$C$5:$T$44,$CU22,AN$57),""),1),""),IF(MID(IFERROR(INDEX(醫師週班表!$C$5:$T$44,$CU22,AN$57),""),2,1)="(",LEFT(IFERROR(INDEX(醫師週班表!$C$5:$T$44,$CU22,AN$57),""),1),IFERROR(INDEX(醫師週班表!$C$5:$T$44,$CU22,AN$57),"")))))))</f>
        <v/>
      </c>
      <c r="AO22" s="67">
        <f>IF(AO$59="X","",IF(AO$59&lt;&gt;"",AO$59,IF(IFERROR(INDEX(醫師週班表!$C$5:$T$44,$CU22,AO$57),"")=0,"",IF(MID(IFERROR(INDEX(醫師週班表!$C$5:$T$44,$CU22,AO$57),""),2,1)="/",MID(IFERROR(INDEX(醫師週班表!$C$5:$T$44,$CU22,AO$57),""),1+AO$58*2,1),IF(MID(IFERROR(INDEX(醫師週班表!$C$5:$T$44,$CU22,AO$57),""),3,1)="隔",IF(AO$58=0,LEFT(IFERROR(INDEX(醫師週班表!$C$5:$T$44,$CU22,AO$57),""),1),""),IF(MID(IFERROR(INDEX(醫師週班表!$C$5:$T$44,$CU22,AO$57),""),2,1)="(",LEFT(IFERROR(INDEX(醫師週班表!$C$5:$T$44,$CU22,AO$57),""),1),IFERROR(INDEX(醫師週班表!$C$5:$T$44,$CU22,AO$57),"")))))))</f>
        <v/>
      </c>
      <c r="AP22" s="68">
        <f>IF(AP$59="X","",IF(AP$59&lt;&gt;"",AP$59,IF(IFERROR(INDEX(醫師週班表!$C$5:$T$44,$CU22,AP$57),"")=0,"",IF(MID(IFERROR(INDEX(醫師週班表!$C$5:$T$44,$CU22,AP$57),""),2,1)="/",MID(IFERROR(INDEX(醫師週班表!$C$5:$T$44,$CU22,AP$57),""),1+AP$58*2,1),IF(MID(IFERROR(INDEX(醫師週班表!$C$5:$T$44,$CU22,AP$57),""),3,1)="隔",IF(AP$58=0,LEFT(IFERROR(INDEX(醫師週班表!$C$5:$T$44,$CU22,AP$57),""),1),""),IF(MID(IFERROR(INDEX(醫師週班表!$C$5:$T$44,$CU22,AP$57),""),2,1)="(",LEFT(IFERROR(INDEX(醫師週班表!$C$5:$T$44,$CU22,AP$57),""),1),IFERROR(INDEX(醫師週班表!$C$5:$T$44,$CU22,AP$57),"")))))))</f>
        <v/>
      </c>
      <c r="AQ22" s="68">
        <f>IF(AQ$59="X","",IF(AQ$59&lt;&gt;"",AQ$59,IF(IFERROR(INDEX(醫師週班表!$C$5:$T$44,$CU22,AQ$57),"")=0,"",IF(MID(IFERROR(INDEX(醫師週班表!$C$5:$T$44,$CU22,AQ$57),""),2,1)="/",MID(IFERROR(INDEX(醫師週班表!$C$5:$T$44,$CU22,AQ$57),""),1+AQ$58*2,1),IF(MID(IFERROR(INDEX(醫師週班表!$C$5:$T$44,$CU22,AQ$57),""),3,1)="隔",IF(AQ$58=0,LEFT(IFERROR(INDEX(醫師週班表!$C$5:$T$44,$CU22,AQ$57),""),1),""),IF(MID(IFERROR(INDEX(醫師週班表!$C$5:$T$44,$CU22,AQ$57),""),2,1)="(",LEFT(IFERROR(INDEX(醫師週班表!$C$5:$T$44,$CU22,AQ$57),""),1),IFERROR(INDEX(醫師週班表!$C$5:$T$44,$CU22,AQ$57),"")))))))</f>
        <v/>
      </c>
      <c r="AR22" s="67">
        <f>IF(AR$59="X","",IF(AR$59&lt;&gt;"",AR$59,IF(IFERROR(INDEX(醫師週班表!$C$5:$T$44,$CU22,AR$57),"")=0,"",IF(MID(IFERROR(INDEX(醫師週班表!$C$5:$T$44,$CU22,AR$57),""),2,1)="/",MID(IFERROR(INDEX(醫師週班表!$C$5:$T$44,$CU22,AR$57),""),1+AR$58*2,1),IF(MID(IFERROR(INDEX(醫師週班表!$C$5:$T$44,$CU22,AR$57),""),3,1)="隔",IF(AR$58=0,LEFT(IFERROR(INDEX(醫師週班表!$C$5:$T$44,$CU22,AR$57),""),1),""),IF(MID(IFERROR(INDEX(醫師週班表!$C$5:$T$44,$CU22,AR$57),""),2,1)="(",LEFT(IFERROR(INDEX(醫師週班表!$C$5:$T$44,$CU22,AR$57),""),1),IFERROR(INDEX(醫師週班表!$C$5:$T$44,$CU22,AR$57),"")))))))</f>
        <v/>
      </c>
      <c r="AS22" s="68">
        <f>IF(AS$59="X","",IF(AS$59&lt;&gt;"",AS$59,IF(IFERROR(INDEX(醫師週班表!$C$5:$T$44,$CU22,AS$57),"")=0,"",IF(MID(IFERROR(INDEX(醫師週班表!$C$5:$T$44,$CU22,AS$57),""),2,1)="/",MID(IFERROR(INDEX(醫師週班表!$C$5:$T$44,$CU22,AS$57),""),1+AS$58*2,1),IF(MID(IFERROR(INDEX(醫師週班表!$C$5:$T$44,$CU22,AS$57),""),3,1)="隔",IF(AS$58=0,LEFT(IFERROR(INDEX(醫師週班表!$C$5:$T$44,$CU22,AS$57),""),1),""),IF(MID(IFERROR(INDEX(醫師週班表!$C$5:$T$44,$CU22,AS$57),""),2,1)="(",LEFT(IFERROR(INDEX(醫師週班表!$C$5:$T$44,$CU22,AS$57),""),1),IFERROR(INDEX(醫師週班表!$C$5:$T$44,$CU22,AS$57),"")))))))</f>
        <v/>
      </c>
      <c r="AT22" s="68">
        <f>IF(AT$59="X","",IF(AT$59&lt;&gt;"",AT$59,IF(IFERROR(INDEX(醫師週班表!$C$5:$T$44,$CU22,AT$57),"")=0,"",IF(MID(IFERROR(INDEX(醫師週班表!$C$5:$T$44,$CU22,AT$57),""),2,1)="/",MID(IFERROR(INDEX(醫師週班表!$C$5:$T$44,$CU22,AT$57),""),1+AT$58*2,1),IF(MID(IFERROR(INDEX(醫師週班表!$C$5:$T$44,$CU22,AT$57),""),3,1)="隔",IF(AT$58=0,LEFT(IFERROR(INDEX(醫師週班表!$C$5:$T$44,$CU22,AT$57),""),1),""),IF(MID(IFERROR(INDEX(醫師週班表!$C$5:$T$44,$CU22,AT$57),""),2,1)="(",LEFT(IFERROR(INDEX(醫師週班表!$C$5:$T$44,$CU22,AT$57),""),1),IFERROR(INDEX(醫師週班表!$C$5:$T$44,$CU22,AT$57),"")))))))</f>
        <v/>
      </c>
      <c r="AU22" s="67">
        <f>IF(AU$59="X","",IF(AU$59&lt;&gt;"",AU$59,IF(IFERROR(INDEX(醫師週班表!$C$5:$T$44,$CU22,AU$57),"")=0,"",IF(MID(IFERROR(INDEX(醫師週班表!$C$5:$T$44,$CU22,AU$57),""),2,1)="/",MID(IFERROR(INDEX(醫師週班表!$C$5:$T$44,$CU22,AU$57),""),1+AU$58*2,1),IF(MID(IFERROR(INDEX(醫師週班表!$C$5:$T$44,$CU22,AU$57),""),3,1)="隔",IF(AU$58=0,LEFT(IFERROR(INDEX(醫師週班表!$C$5:$T$44,$CU22,AU$57),""),1),""),IF(MID(IFERROR(INDEX(醫師週班表!$C$5:$T$44,$CU22,AU$57),""),2,1)="(",LEFT(IFERROR(INDEX(醫師週班表!$C$5:$T$44,$CU22,AU$57),""),1),IFERROR(INDEX(醫師週班表!$C$5:$T$44,$CU22,AU$57),"")))))))</f>
        <v/>
      </c>
      <c r="AV22" s="68">
        <f>IF(AV$59="X","",IF(AV$59&lt;&gt;"",AV$59,IF(IFERROR(INDEX(醫師週班表!$C$5:$T$44,$CU22,AV$57),"")=0,"",IF(MID(IFERROR(INDEX(醫師週班表!$C$5:$T$44,$CU22,AV$57),""),2,1)="/",MID(IFERROR(INDEX(醫師週班表!$C$5:$T$44,$CU22,AV$57),""),1+AV$58*2,1),IF(MID(IFERROR(INDEX(醫師週班表!$C$5:$T$44,$CU22,AV$57),""),3,1)="隔",IF(AV$58=0,LEFT(IFERROR(INDEX(醫師週班表!$C$5:$T$44,$CU22,AV$57),""),1),""),IF(MID(IFERROR(INDEX(醫師週班表!$C$5:$T$44,$CU22,AV$57),""),2,1)="(",LEFT(IFERROR(INDEX(醫師週班表!$C$5:$T$44,$CU22,AV$57),""),1),IFERROR(INDEX(醫師週班表!$C$5:$T$44,$CU22,AV$57),"")))))))</f>
        <v/>
      </c>
      <c r="AW22" s="68">
        <f>IF(AW$59="X","",IF(AW$59&lt;&gt;"",AW$59,IF(IFERROR(INDEX(醫師週班表!$C$5:$T$44,$CU22,AW$57),"")=0,"",IF(MID(IFERROR(INDEX(醫師週班表!$C$5:$T$44,$CU22,AW$57),""),2,1)="/",MID(IFERROR(INDEX(醫師週班表!$C$5:$T$44,$CU22,AW$57),""),1+AW$58*2,1),IF(MID(IFERROR(INDEX(醫師週班表!$C$5:$T$44,$CU22,AW$57),""),3,1)="隔",IF(AW$58=0,LEFT(IFERROR(INDEX(醫師週班表!$C$5:$T$44,$CU22,AW$57),""),1),""),IF(MID(IFERROR(INDEX(醫師週班表!$C$5:$T$44,$CU22,AW$57),""),2,1)="(",LEFT(IFERROR(INDEX(醫師週班表!$C$5:$T$44,$CU22,AW$57),""),1),IFERROR(INDEX(醫師週班表!$C$5:$T$44,$CU22,AW$57),"")))))))</f>
        <v/>
      </c>
      <c r="AX22" s="67">
        <f>IF(AX$59="X","",IF(AX$59&lt;&gt;"",AX$59,IF(IFERROR(INDEX(醫師週班表!$C$5:$T$44,$CU22,AX$57),"")=0,"",IF(MID(IFERROR(INDEX(醫師週班表!$C$5:$T$44,$CU22,AX$57),""),2,1)="/",MID(IFERROR(INDEX(醫師週班表!$C$5:$T$44,$CU22,AX$57),""),1+AX$58*2,1),IF(MID(IFERROR(INDEX(醫師週班表!$C$5:$T$44,$CU22,AX$57),""),3,1)="隔",IF(AX$58=0,LEFT(IFERROR(INDEX(醫師週班表!$C$5:$T$44,$CU22,AX$57),""),1),""),IF(MID(IFERROR(INDEX(醫師週班表!$C$5:$T$44,$CU22,AX$57),""),2,1)="(",LEFT(IFERROR(INDEX(醫師週班表!$C$5:$T$44,$CU22,AX$57),""),1),IFERROR(INDEX(醫師週班表!$C$5:$T$44,$CU22,AX$57),"")))))))</f>
        <v/>
      </c>
      <c r="AY22" s="68">
        <f>IF(AY$59="X","",IF(AY$59&lt;&gt;"",AY$59,IF(IFERROR(INDEX(醫師週班表!$C$5:$T$44,$CU22,AY$57),"")=0,"",IF(MID(IFERROR(INDEX(醫師週班表!$C$5:$T$44,$CU22,AY$57),""),2,1)="/",MID(IFERROR(INDEX(醫師週班表!$C$5:$T$44,$CU22,AY$57),""),1+AY$58*2,1),IF(MID(IFERROR(INDEX(醫師週班表!$C$5:$T$44,$CU22,AY$57),""),3,1)="隔",IF(AY$58=0,LEFT(IFERROR(INDEX(醫師週班表!$C$5:$T$44,$CU22,AY$57),""),1),""),IF(MID(IFERROR(INDEX(醫師週班表!$C$5:$T$44,$CU22,AY$57),""),2,1)="(",LEFT(IFERROR(INDEX(醫師週班表!$C$5:$T$44,$CU22,AY$57),""),1),IFERROR(INDEX(醫師週班表!$C$5:$T$44,$CU22,AY$57),"")))))))</f>
        <v/>
      </c>
      <c r="AZ22" s="68">
        <f>IF(AZ$59="X","",IF(AZ$59&lt;&gt;"",AZ$59,IF(IFERROR(INDEX(醫師週班表!$C$5:$T$44,$CU22,AZ$57),"")=0,"",IF(MID(IFERROR(INDEX(醫師週班表!$C$5:$T$44,$CU22,AZ$57),""),2,1)="/",MID(IFERROR(INDEX(醫師週班表!$C$5:$T$44,$CU22,AZ$57),""),1+AZ$58*2,1),IF(MID(IFERROR(INDEX(醫師週班表!$C$5:$T$44,$CU22,AZ$57),""),3,1)="隔",IF(AZ$58=0,LEFT(IFERROR(INDEX(醫師週班表!$C$5:$T$44,$CU22,AZ$57),""),1),""),IF(MID(IFERROR(INDEX(醫師週班表!$C$5:$T$44,$CU22,AZ$57),""),2,1)="(",LEFT(IFERROR(INDEX(醫師週班表!$C$5:$T$44,$CU22,AZ$57),""),1),IFERROR(INDEX(醫師週班表!$C$5:$T$44,$CU22,AZ$57),"")))))))</f>
        <v/>
      </c>
      <c r="BA22" s="67">
        <f>IF(BA$59="X","",IF(BA$59&lt;&gt;"",BA$59,IF(IFERROR(INDEX(醫師週班表!$C$5:$T$44,$CU22,BA$57),"")=0,"",IF(MID(IFERROR(INDEX(醫師週班表!$C$5:$T$44,$CU22,BA$57),""),2,1)="/",MID(IFERROR(INDEX(醫師週班表!$C$5:$T$44,$CU22,BA$57),""),1+BA$58*2,1),IF(MID(IFERROR(INDEX(醫師週班表!$C$5:$T$44,$CU22,BA$57),""),3,1)="隔",IF(BA$58=0,LEFT(IFERROR(INDEX(醫師週班表!$C$5:$T$44,$CU22,BA$57),""),1),""),IF(MID(IFERROR(INDEX(醫師週班表!$C$5:$T$44,$CU22,BA$57),""),2,1)="(",LEFT(IFERROR(INDEX(醫師週班表!$C$5:$T$44,$CU22,BA$57),""),1),IFERROR(INDEX(醫師週班表!$C$5:$T$44,$CU22,BA$57),"")))))))</f>
        <v/>
      </c>
      <c r="BB22" s="68">
        <f>IF(BB$59="X","",IF(BB$59&lt;&gt;"",BB$59,IF(IFERROR(INDEX(醫師週班表!$C$5:$T$44,$CU22,BB$57),"")=0,"",IF(MID(IFERROR(INDEX(醫師週班表!$C$5:$T$44,$CU22,BB$57),""),2,1)="/",MID(IFERROR(INDEX(醫師週班表!$C$5:$T$44,$CU22,BB$57),""),1+BB$58*2,1),IF(MID(IFERROR(INDEX(醫師週班表!$C$5:$T$44,$CU22,BB$57),""),3,1)="隔",IF(BB$58=0,LEFT(IFERROR(INDEX(醫師週班表!$C$5:$T$44,$CU22,BB$57),""),1),""),IF(MID(IFERROR(INDEX(醫師週班表!$C$5:$T$44,$CU22,BB$57),""),2,1)="(",LEFT(IFERROR(INDEX(醫師週班表!$C$5:$T$44,$CU22,BB$57),""),1),IFERROR(INDEX(醫師週班表!$C$5:$T$44,$CU22,BB$57),"")))))))</f>
        <v/>
      </c>
      <c r="BC22" s="68">
        <f>IF(BC$59="X","",IF(BC$59&lt;&gt;"",BC$59,IF(IFERROR(INDEX(醫師週班表!$C$5:$T$44,$CU22,BC$57),"")=0,"",IF(MID(IFERROR(INDEX(醫師週班表!$C$5:$T$44,$CU22,BC$57),""),2,1)="/",MID(IFERROR(INDEX(醫師週班表!$C$5:$T$44,$CU22,BC$57),""),1+BC$58*2,1),IF(MID(IFERROR(INDEX(醫師週班表!$C$5:$T$44,$CU22,BC$57),""),3,1)="隔",IF(BC$58=0,LEFT(IFERROR(INDEX(醫師週班表!$C$5:$T$44,$CU22,BC$57),""),1),""),IF(MID(IFERROR(INDEX(醫師週班表!$C$5:$T$44,$CU22,BC$57),""),2,1)="(",LEFT(IFERROR(INDEX(醫師週班表!$C$5:$T$44,$CU22,BC$57),""),1),IFERROR(INDEX(醫師週班表!$C$5:$T$44,$CU22,BC$57),"")))))))</f>
        <v/>
      </c>
      <c r="BD22" s="67">
        <f>IF(BD$59="X","",IF(BD$59&lt;&gt;"",BD$59,IF(IFERROR(INDEX(醫師週班表!$C$5:$T$44,$CU22,BD$57),"")=0,"",IF(MID(IFERROR(INDEX(醫師週班表!$C$5:$T$44,$CU22,BD$57),""),2,1)="/",MID(IFERROR(INDEX(醫師週班表!$C$5:$T$44,$CU22,BD$57),""),1+BD$58*2,1),IF(MID(IFERROR(INDEX(醫師週班表!$C$5:$T$44,$CU22,BD$57),""),3,1)="隔",IF(BD$58=0,LEFT(IFERROR(INDEX(醫師週班表!$C$5:$T$44,$CU22,BD$57),""),1),""),IF(MID(IFERROR(INDEX(醫師週班表!$C$5:$T$44,$CU22,BD$57),""),2,1)="(",LEFT(IFERROR(INDEX(醫師週班表!$C$5:$T$44,$CU22,BD$57),""),1),IFERROR(INDEX(醫師週班表!$C$5:$T$44,$CU22,BD$57),"")))))))</f>
        <v/>
      </c>
      <c r="BE22" s="68">
        <f>IF(BE$59="X","",IF(BE$59&lt;&gt;"",BE$59,IF(IFERROR(INDEX(醫師週班表!$C$5:$T$44,$CU22,BE$57),"")=0,"",IF(MID(IFERROR(INDEX(醫師週班表!$C$5:$T$44,$CU22,BE$57),""),2,1)="/",MID(IFERROR(INDEX(醫師週班表!$C$5:$T$44,$CU22,BE$57),""),1+BE$58*2,1),IF(MID(IFERROR(INDEX(醫師週班表!$C$5:$T$44,$CU22,BE$57),""),3,1)="隔",IF(BE$58=0,LEFT(IFERROR(INDEX(醫師週班表!$C$5:$T$44,$CU22,BE$57),""),1),""),IF(MID(IFERROR(INDEX(醫師週班表!$C$5:$T$44,$CU22,BE$57),""),2,1)="(",LEFT(IFERROR(INDEX(醫師週班表!$C$5:$T$44,$CU22,BE$57),""),1),IFERROR(INDEX(醫師週班表!$C$5:$T$44,$CU22,BE$57),"")))))))</f>
        <v/>
      </c>
      <c r="BF22" s="68">
        <f>IF(BF$59="X","",IF(BF$59&lt;&gt;"",BF$59,IF(IFERROR(INDEX(醫師週班表!$C$5:$T$44,$CU22,BF$57),"")=0,"",IF(MID(IFERROR(INDEX(醫師週班表!$C$5:$T$44,$CU22,BF$57),""),2,1)="/",MID(IFERROR(INDEX(醫師週班表!$C$5:$T$44,$CU22,BF$57),""),1+BF$58*2,1),IF(MID(IFERROR(INDEX(醫師週班表!$C$5:$T$44,$CU22,BF$57),""),3,1)="隔",IF(BF$58=0,LEFT(IFERROR(INDEX(醫師週班表!$C$5:$T$44,$CU22,BF$57),""),1),""),IF(MID(IFERROR(INDEX(醫師週班表!$C$5:$T$44,$CU22,BF$57),""),2,1)="(",LEFT(IFERROR(INDEX(醫師週班表!$C$5:$T$44,$CU22,BF$57),""),1),IFERROR(INDEX(醫師週班表!$C$5:$T$44,$CU22,BF$57),"")))))))</f>
        <v/>
      </c>
      <c r="BG22" s="67">
        <f>IF(BG$59="X","",IF(BG$59&lt;&gt;"",BG$59,IF(IFERROR(INDEX(醫師週班表!$C$5:$T$44,$CU22,BG$57),"")=0,"",IF(MID(IFERROR(INDEX(醫師週班表!$C$5:$T$44,$CU22,BG$57),""),2,1)="/",MID(IFERROR(INDEX(醫師週班表!$C$5:$T$44,$CU22,BG$57),""),1+BG$58*2,1),IF(MID(IFERROR(INDEX(醫師週班表!$C$5:$T$44,$CU22,BG$57),""),3,1)="隔",IF(BG$58=0,LEFT(IFERROR(INDEX(醫師週班表!$C$5:$T$44,$CU22,BG$57),""),1),""),IF(MID(IFERROR(INDEX(醫師週班表!$C$5:$T$44,$CU22,BG$57),""),2,1)="(",LEFT(IFERROR(INDEX(醫師週班表!$C$5:$T$44,$CU22,BG$57),""),1),IFERROR(INDEX(醫師週班表!$C$5:$T$44,$CU22,BG$57),"")))))))</f>
        <v/>
      </c>
      <c r="BH22" s="68">
        <f>IF(BH$59="X","",IF(BH$59&lt;&gt;"",BH$59,IF(IFERROR(INDEX(醫師週班表!$C$5:$T$44,$CU22,BH$57),"")=0,"",IF(MID(IFERROR(INDEX(醫師週班表!$C$5:$T$44,$CU22,BH$57),""),2,1)="/",MID(IFERROR(INDEX(醫師週班表!$C$5:$T$44,$CU22,BH$57),""),1+BH$58*2,1),IF(MID(IFERROR(INDEX(醫師週班表!$C$5:$T$44,$CU22,BH$57),""),3,1)="隔",IF(BH$58=0,LEFT(IFERROR(INDEX(醫師週班表!$C$5:$T$44,$CU22,BH$57),""),1),""),IF(MID(IFERROR(INDEX(醫師週班表!$C$5:$T$44,$CU22,BH$57),""),2,1)="(",LEFT(IFERROR(INDEX(醫師週班表!$C$5:$T$44,$CU22,BH$57),""),1),IFERROR(INDEX(醫師週班表!$C$5:$T$44,$CU22,BH$57),"")))))))</f>
        <v/>
      </c>
      <c r="BI22" s="68">
        <f>IF(BI$59="X","",IF(BI$59&lt;&gt;"",BI$59,IF(IFERROR(INDEX(醫師週班表!$C$5:$T$44,$CU22,BI$57),"")=0,"",IF(MID(IFERROR(INDEX(醫師週班表!$C$5:$T$44,$CU22,BI$57),""),2,1)="/",MID(IFERROR(INDEX(醫師週班表!$C$5:$T$44,$CU22,BI$57),""),1+BI$58*2,1),IF(MID(IFERROR(INDEX(醫師週班表!$C$5:$T$44,$CU22,BI$57),""),3,1)="隔",IF(BI$58=0,LEFT(IFERROR(INDEX(醫師週班表!$C$5:$T$44,$CU22,BI$57),""),1),""),IF(MID(IFERROR(INDEX(醫師週班表!$C$5:$T$44,$CU22,BI$57),""),2,1)="(",LEFT(IFERROR(INDEX(醫師週班表!$C$5:$T$44,$CU22,BI$57),""),1),IFERROR(INDEX(醫師週班表!$C$5:$T$44,$CU22,BI$57),"")))))))</f>
        <v/>
      </c>
      <c r="BJ22" s="67">
        <f>IF(BJ$59="X","",IF(BJ$59&lt;&gt;"",BJ$59,IF(IFERROR(INDEX(醫師週班表!$C$5:$T$44,$CU22,BJ$57),"")=0,"",IF(MID(IFERROR(INDEX(醫師週班表!$C$5:$T$44,$CU22,BJ$57),""),2,1)="/",MID(IFERROR(INDEX(醫師週班表!$C$5:$T$44,$CU22,BJ$57),""),1+BJ$58*2,1),IF(MID(IFERROR(INDEX(醫師週班表!$C$5:$T$44,$CU22,BJ$57),""),3,1)="隔",IF(BJ$58=0,LEFT(IFERROR(INDEX(醫師週班表!$C$5:$T$44,$CU22,BJ$57),""),1),""),IF(MID(IFERROR(INDEX(醫師週班表!$C$5:$T$44,$CU22,BJ$57),""),2,1)="(",LEFT(IFERROR(INDEX(醫師週班表!$C$5:$T$44,$CU22,BJ$57),""),1),IFERROR(INDEX(醫師週班表!$C$5:$T$44,$CU22,BJ$57),"")))))))</f>
        <v/>
      </c>
      <c r="BK22" s="68">
        <f>IF(BK$59="X","",IF(BK$59&lt;&gt;"",BK$59,IF(IFERROR(INDEX(醫師週班表!$C$5:$T$44,$CU22,BK$57),"")=0,"",IF(MID(IFERROR(INDEX(醫師週班表!$C$5:$T$44,$CU22,BK$57),""),2,1)="/",MID(IFERROR(INDEX(醫師週班表!$C$5:$T$44,$CU22,BK$57),""),1+BK$58*2,1),IF(MID(IFERROR(INDEX(醫師週班表!$C$5:$T$44,$CU22,BK$57),""),3,1)="隔",IF(BK$58=0,LEFT(IFERROR(INDEX(醫師週班表!$C$5:$T$44,$CU22,BK$57),""),1),""),IF(MID(IFERROR(INDEX(醫師週班表!$C$5:$T$44,$CU22,BK$57),""),2,1)="(",LEFT(IFERROR(INDEX(醫師週班表!$C$5:$T$44,$CU22,BK$57),""),1),IFERROR(INDEX(醫師週班表!$C$5:$T$44,$CU22,BK$57),"")))))))</f>
        <v/>
      </c>
      <c r="BL22" s="68">
        <f>IF(BL$59="X","",IF(BL$59&lt;&gt;"",BL$59,IF(IFERROR(INDEX(醫師週班表!$C$5:$T$44,$CU22,BL$57),"")=0,"",IF(MID(IFERROR(INDEX(醫師週班表!$C$5:$T$44,$CU22,BL$57),""),2,1)="/",MID(IFERROR(INDEX(醫師週班表!$C$5:$T$44,$CU22,BL$57),""),1+BL$58*2,1),IF(MID(IFERROR(INDEX(醫師週班表!$C$5:$T$44,$CU22,BL$57),""),3,1)="隔",IF(BL$58=0,LEFT(IFERROR(INDEX(醫師週班表!$C$5:$T$44,$CU22,BL$57),""),1),""),IF(MID(IFERROR(INDEX(醫師週班表!$C$5:$T$44,$CU22,BL$57),""),2,1)="(",LEFT(IFERROR(INDEX(醫師週班表!$C$5:$T$44,$CU22,BL$57),""),1),IFERROR(INDEX(醫師週班表!$C$5:$T$44,$CU22,BL$57),"")))))))</f>
        <v/>
      </c>
      <c r="BM22" s="67">
        <f>IF(BM$59="X","",IF(BM$59&lt;&gt;"",BM$59,IF(IFERROR(INDEX(醫師週班表!$C$5:$T$44,$CU22,BM$57),"")=0,"",IF(MID(IFERROR(INDEX(醫師週班表!$C$5:$T$44,$CU22,BM$57),""),2,1)="/",MID(IFERROR(INDEX(醫師週班表!$C$5:$T$44,$CU22,BM$57),""),1+BM$58*2,1),IF(MID(IFERROR(INDEX(醫師週班表!$C$5:$T$44,$CU22,BM$57),""),3,1)="隔",IF(BM$58=0,LEFT(IFERROR(INDEX(醫師週班表!$C$5:$T$44,$CU22,BM$57),""),1),""),IF(MID(IFERROR(INDEX(醫師週班表!$C$5:$T$44,$CU22,BM$57),""),2,1)="(",LEFT(IFERROR(INDEX(醫師週班表!$C$5:$T$44,$CU22,BM$57),""),1),IFERROR(INDEX(醫師週班表!$C$5:$T$44,$CU22,BM$57),"")))))))</f>
        <v/>
      </c>
      <c r="BN22" s="68">
        <f>IF(BN$59="X","",IF(BN$59&lt;&gt;"",BN$59,IF(IFERROR(INDEX(醫師週班表!$C$5:$T$44,$CU22,BN$57),"")=0,"",IF(MID(IFERROR(INDEX(醫師週班表!$C$5:$T$44,$CU22,BN$57),""),2,1)="/",MID(IFERROR(INDEX(醫師週班表!$C$5:$T$44,$CU22,BN$57),""),1+BN$58*2,1),IF(MID(IFERROR(INDEX(醫師週班表!$C$5:$T$44,$CU22,BN$57),""),3,1)="隔",IF(BN$58=0,LEFT(IFERROR(INDEX(醫師週班表!$C$5:$T$44,$CU22,BN$57),""),1),""),IF(MID(IFERROR(INDEX(醫師週班表!$C$5:$T$44,$CU22,BN$57),""),2,1)="(",LEFT(IFERROR(INDEX(醫師週班表!$C$5:$T$44,$CU22,BN$57),""),1),IFERROR(INDEX(醫師週班表!$C$5:$T$44,$CU22,BN$57),"")))))))</f>
        <v/>
      </c>
      <c r="BO22" s="68">
        <f>IF(BO$59="X","",IF(BO$59&lt;&gt;"",BO$59,IF(IFERROR(INDEX(醫師週班表!$C$5:$T$44,$CU22,BO$57),"")=0,"",IF(MID(IFERROR(INDEX(醫師週班表!$C$5:$T$44,$CU22,BO$57),""),2,1)="/",MID(IFERROR(INDEX(醫師週班表!$C$5:$T$44,$CU22,BO$57),""),1+BO$58*2,1),IF(MID(IFERROR(INDEX(醫師週班表!$C$5:$T$44,$CU22,BO$57),""),3,1)="隔",IF(BO$58=0,LEFT(IFERROR(INDEX(醫師週班表!$C$5:$T$44,$CU22,BO$57),""),1),""),IF(MID(IFERROR(INDEX(醫師週班表!$C$5:$T$44,$CU22,BO$57),""),2,1)="(",LEFT(IFERROR(INDEX(醫師週班表!$C$5:$T$44,$CU22,BO$57),""),1),IFERROR(INDEX(醫師週班表!$C$5:$T$44,$CU22,BO$57),"")))))))</f>
        <v/>
      </c>
      <c r="BP22" s="67">
        <f>IF(BP$59="X","",IF(BP$59&lt;&gt;"",BP$59,IF(IFERROR(INDEX(醫師週班表!$C$5:$T$44,$CU22,BP$57),"")=0,"",IF(MID(IFERROR(INDEX(醫師週班表!$C$5:$T$44,$CU22,BP$57),""),2,1)="/",MID(IFERROR(INDEX(醫師週班表!$C$5:$T$44,$CU22,BP$57),""),1+BP$58*2,1),IF(MID(IFERROR(INDEX(醫師週班表!$C$5:$T$44,$CU22,BP$57),""),3,1)="隔",IF(BP$58=0,LEFT(IFERROR(INDEX(醫師週班表!$C$5:$T$44,$CU22,BP$57),""),1),""),IF(MID(IFERROR(INDEX(醫師週班表!$C$5:$T$44,$CU22,BP$57),""),2,1)="(",LEFT(IFERROR(INDEX(醫師週班表!$C$5:$T$44,$CU22,BP$57),""),1),IFERROR(INDEX(醫師週班表!$C$5:$T$44,$CU22,BP$57),"")))))))</f>
        <v/>
      </c>
      <c r="BQ22" s="68">
        <f>IF(BQ$59="X","",IF(BQ$59&lt;&gt;"",BQ$59,IF(IFERROR(INDEX(醫師週班表!$C$5:$T$44,$CU22,BQ$57),"")=0,"",IF(MID(IFERROR(INDEX(醫師週班表!$C$5:$T$44,$CU22,BQ$57),""),2,1)="/",MID(IFERROR(INDEX(醫師週班表!$C$5:$T$44,$CU22,BQ$57),""),1+BQ$58*2,1),IF(MID(IFERROR(INDEX(醫師週班表!$C$5:$T$44,$CU22,BQ$57),""),3,1)="隔",IF(BQ$58=0,LEFT(IFERROR(INDEX(醫師週班表!$C$5:$T$44,$CU22,BQ$57),""),1),""),IF(MID(IFERROR(INDEX(醫師週班表!$C$5:$T$44,$CU22,BQ$57),""),2,1)="(",LEFT(IFERROR(INDEX(醫師週班表!$C$5:$T$44,$CU22,BQ$57),""),1),IFERROR(INDEX(醫師週班表!$C$5:$T$44,$CU22,BQ$57),"")))))))</f>
        <v/>
      </c>
      <c r="BR22" s="68">
        <f>IF(BR$59="X","",IF(BR$59&lt;&gt;"",BR$59,IF(IFERROR(INDEX(醫師週班表!$C$5:$T$44,$CU22,BR$57),"")=0,"",IF(MID(IFERROR(INDEX(醫師週班表!$C$5:$T$44,$CU22,BR$57),""),2,1)="/",MID(IFERROR(INDEX(醫師週班表!$C$5:$T$44,$CU22,BR$57),""),1+BR$58*2,1),IF(MID(IFERROR(INDEX(醫師週班表!$C$5:$T$44,$CU22,BR$57),""),3,1)="隔",IF(BR$58=0,LEFT(IFERROR(INDEX(醫師週班表!$C$5:$T$44,$CU22,BR$57),""),1),""),IF(MID(IFERROR(INDEX(醫師週班表!$C$5:$T$44,$CU22,BR$57),""),2,1)="(",LEFT(IFERROR(INDEX(醫師週班表!$C$5:$T$44,$CU22,BR$57),""),1),IFERROR(INDEX(醫師週班表!$C$5:$T$44,$CU22,BR$57),"")))))))</f>
        <v/>
      </c>
      <c r="BS22" s="67">
        <f>IF(BS$59="X","",IF(BS$59&lt;&gt;"",BS$59,IF(IFERROR(INDEX(醫師週班表!$C$5:$T$44,$CU22,BS$57),"")=0,"",IF(MID(IFERROR(INDEX(醫師週班表!$C$5:$T$44,$CU22,BS$57),""),2,1)="/",MID(IFERROR(INDEX(醫師週班表!$C$5:$T$44,$CU22,BS$57),""),1+BS$58*2,1),IF(MID(IFERROR(INDEX(醫師週班表!$C$5:$T$44,$CU22,BS$57),""),3,1)="隔",IF(BS$58=0,LEFT(IFERROR(INDEX(醫師週班表!$C$5:$T$44,$CU22,BS$57),""),1),""),IF(MID(IFERROR(INDEX(醫師週班表!$C$5:$T$44,$CU22,BS$57),""),2,1)="(",LEFT(IFERROR(INDEX(醫師週班表!$C$5:$T$44,$CU22,BS$57),""),1),IFERROR(INDEX(醫師週班表!$C$5:$T$44,$CU22,BS$57),"")))))))</f>
        <v/>
      </c>
      <c r="BT22" s="68">
        <f>IF(BT$59="X","",IF(BT$59&lt;&gt;"",BT$59,IF(IFERROR(INDEX(醫師週班表!$C$5:$T$44,$CU22,BT$57),"")=0,"",IF(MID(IFERROR(INDEX(醫師週班表!$C$5:$T$44,$CU22,BT$57),""),2,1)="/",MID(IFERROR(INDEX(醫師週班表!$C$5:$T$44,$CU22,BT$57),""),1+BT$58*2,1),IF(MID(IFERROR(INDEX(醫師週班表!$C$5:$T$44,$CU22,BT$57),""),3,1)="隔",IF(BT$58=0,LEFT(IFERROR(INDEX(醫師週班表!$C$5:$T$44,$CU22,BT$57),""),1),""),IF(MID(IFERROR(INDEX(醫師週班表!$C$5:$T$44,$CU22,BT$57),""),2,1)="(",LEFT(IFERROR(INDEX(醫師週班表!$C$5:$T$44,$CU22,BT$57),""),1),IFERROR(INDEX(醫師週班表!$C$5:$T$44,$CU22,BT$57),"")))))))</f>
        <v/>
      </c>
      <c r="BU22" s="68">
        <f>IF(BU$59="X","",IF(BU$59&lt;&gt;"",BU$59,IF(IFERROR(INDEX(醫師週班表!$C$5:$T$44,$CU22,BU$57),"")=0,"",IF(MID(IFERROR(INDEX(醫師週班表!$C$5:$T$44,$CU22,BU$57),""),2,1)="/",MID(IFERROR(INDEX(醫師週班表!$C$5:$T$44,$CU22,BU$57),""),1+BU$58*2,1),IF(MID(IFERROR(INDEX(醫師週班表!$C$5:$T$44,$CU22,BU$57),""),3,1)="隔",IF(BU$58=0,LEFT(IFERROR(INDEX(醫師週班表!$C$5:$T$44,$CU22,BU$57),""),1),""),IF(MID(IFERROR(INDEX(醫師週班表!$C$5:$T$44,$CU22,BU$57),""),2,1)="(",LEFT(IFERROR(INDEX(醫師週班表!$C$5:$T$44,$CU22,BU$57),""),1),IFERROR(INDEX(醫師週班表!$C$5:$T$44,$CU22,BU$57),"")))))))</f>
        <v/>
      </c>
      <c r="BV22" s="67">
        <f>IF(BV$59="X","",IF(BV$59&lt;&gt;"",BV$59,IF(IFERROR(INDEX(醫師週班表!$C$5:$T$44,$CU22,BV$57),"")=0,"",IF(MID(IFERROR(INDEX(醫師週班表!$C$5:$T$44,$CU22,BV$57),""),2,1)="/",MID(IFERROR(INDEX(醫師週班表!$C$5:$T$44,$CU22,BV$57),""),1+BV$58*2,1),IF(MID(IFERROR(INDEX(醫師週班表!$C$5:$T$44,$CU22,BV$57),""),3,1)="隔",IF(BV$58=0,LEFT(IFERROR(INDEX(醫師週班表!$C$5:$T$44,$CU22,BV$57),""),1),""),IF(MID(IFERROR(INDEX(醫師週班表!$C$5:$T$44,$CU22,BV$57),""),2,1)="(",LEFT(IFERROR(INDEX(醫師週班表!$C$5:$T$44,$CU22,BV$57),""),1),IFERROR(INDEX(醫師週班表!$C$5:$T$44,$CU22,BV$57),"")))))))</f>
        <v/>
      </c>
      <c r="BW22" s="68">
        <f>IF(BW$59="X","",IF(BW$59&lt;&gt;"",BW$59,IF(IFERROR(INDEX(醫師週班表!$C$5:$T$44,$CU22,BW$57),"")=0,"",IF(MID(IFERROR(INDEX(醫師週班表!$C$5:$T$44,$CU22,BW$57),""),2,1)="/",MID(IFERROR(INDEX(醫師週班表!$C$5:$T$44,$CU22,BW$57),""),1+BW$58*2,1),IF(MID(IFERROR(INDEX(醫師週班表!$C$5:$T$44,$CU22,BW$57),""),3,1)="隔",IF(BW$58=0,LEFT(IFERROR(INDEX(醫師週班表!$C$5:$T$44,$CU22,BW$57),""),1),""),IF(MID(IFERROR(INDEX(醫師週班表!$C$5:$T$44,$CU22,BW$57),""),2,1)="(",LEFT(IFERROR(INDEX(醫師週班表!$C$5:$T$44,$CU22,BW$57),""),1),IFERROR(INDEX(醫師週班表!$C$5:$T$44,$CU22,BW$57),"")))))))</f>
        <v/>
      </c>
      <c r="BX22" s="68">
        <f>IF(BX$59="X","",IF(BX$59&lt;&gt;"",BX$59,IF(IFERROR(INDEX(醫師週班表!$C$5:$T$44,$CU22,BX$57),"")=0,"",IF(MID(IFERROR(INDEX(醫師週班表!$C$5:$T$44,$CU22,BX$57),""),2,1)="/",MID(IFERROR(INDEX(醫師週班表!$C$5:$T$44,$CU22,BX$57),""),1+BX$58*2,1),IF(MID(IFERROR(INDEX(醫師週班表!$C$5:$T$44,$CU22,BX$57),""),3,1)="隔",IF(BX$58=0,LEFT(IFERROR(INDEX(醫師週班表!$C$5:$T$44,$CU22,BX$57),""),1),""),IF(MID(IFERROR(INDEX(醫師週班表!$C$5:$T$44,$CU22,BX$57),""),2,1)="(",LEFT(IFERROR(INDEX(醫師週班表!$C$5:$T$44,$CU22,BX$57),""),1),IFERROR(INDEX(醫師週班表!$C$5:$T$44,$CU22,BX$57),"")))))))</f>
        <v/>
      </c>
      <c r="BY22" s="67">
        <f>IF(BY$59="X","",IF(BY$59&lt;&gt;"",BY$59,IF(IFERROR(INDEX(醫師週班表!$C$5:$T$44,$CU22,BY$57),"")=0,"",IF(MID(IFERROR(INDEX(醫師週班表!$C$5:$T$44,$CU22,BY$57),""),2,1)="/",MID(IFERROR(INDEX(醫師週班表!$C$5:$T$44,$CU22,BY$57),""),1+BY$58*2,1),IF(MID(IFERROR(INDEX(醫師週班表!$C$5:$T$44,$CU22,BY$57),""),3,1)="隔",IF(BY$58=0,LEFT(IFERROR(INDEX(醫師週班表!$C$5:$T$44,$CU22,BY$57),""),1),""),IF(MID(IFERROR(INDEX(醫師週班表!$C$5:$T$44,$CU22,BY$57),""),2,1)="(",LEFT(IFERROR(INDEX(醫師週班表!$C$5:$T$44,$CU22,BY$57),""),1),IFERROR(INDEX(醫師週班表!$C$5:$T$44,$CU22,BY$57),"")))))))</f>
        <v/>
      </c>
      <c r="BZ22" s="68">
        <f>IF(BZ$59="X","",IF(BZ$59&lt;&gt;"",BZ$59,IF(IFERROR(INDEX(醫師週班表!$C$5:$T$44,$CU22,BZ$57),"")=0,"",IF(MID(IFERROR(INDEX(醫師週班表!$C$5:$T$44,$CU22,BZ$57),""),2,1)="/",MID(IFERROR(INDEX(醫師週班表!$C$5:$T$44,$CU22,BZ$57),""),1+BZ$58*2,1),IF(MID(IFERROR(INDEX(醫師週班表!$C$5:$T$44,$CU22,BZ$57),""),3,1)="隔",IF(BZ$58=0,LEFT(IFERROR(INDEX(醫師週班表!$C$5:$T$44,$CU22,BZ$57),""),1),""),IF(MID(IFERROR(INDEX(醫師週班表!$C$5:$T$44,$CU22,BZ$57),""),2,1)="(",LEFT(IFERROR(INDEX(醫師週班表!$C$5:$T$44,$CU22,BZ$57),""),1),IFERROR(INDEX(醫師週班表!$C$5:$T$44,$CU22,BZ$57),"")))))))</f>
        <v/>
      </c>
      <c r="CA22" s="68">
        <f>IF(CA$59="X","",IF(CA$59&lt;&gt;"",CA$59,IF(IFERROR(INDEX(醫師週班表!$C$5:$T$44,$CU22,CA$57),"")=0,"",IF(MID(IFERROR(INDEX(醫師週班表!$C$5:$T$44,$CU22,CA$57),""),2,1)="/",MID(IFERROR(INDEX(醫師週班表!$C$5:$T$44,$CU22,CA$57),""),1+CA$58*2,1),IF(MID(IFERROR(INDEX(醫師週班表!$C$5:$T$44,$CU22,CA$57),""),3,1)="隔",IF(CA$58=0,LEFT(IFERROR(INDEX(醫師週班表!$C$5:$T$44,$CU22,CA$57),""),1),""),IF(MID(IFERROR(INDEX(醫師週班表!$C$5:$T$44,$CU22,CA$57),""),2,1)="(",LEFT(IFERROR(INDEX(醫師週班表!$C$5:$T$44,$CU22,CA$57),""),1),IFERROR(INDEX(醫師週班表!$C$5:$T$44,$CU22,CA$57),"")))))))</f>
        <v/>
      </c>
      <c r="CB22" s="67">
        <f>IF(CB$59="X","",IF(CB$59&lt;&gt;"",CB$59,IF(IFERROR(INDEX(醫師週班表!$C$5:$T$44,$CU22,CB$57),"")=0,"",IF(MID(IFERROR(INDEX(醫師週班表!$C$5:$T$44,$CU22,CB$57),""),2,1)="/",MID(IFERROR(INDEX(醫師週班表!$C$5:$T$44,$CU22,CB$57),""),1+CB$58*2,1),IF(MID(IFERROR(INDEX(醫師週班表!$C$5:$T$44,$CU22,CB$57),""),3,1)="隔",IF(CB$58=0,LEFT(IFERROR(INDEX(醫師週班表!$C$5:$T$44,$CU22,CB$57),""),1),""),IF(MID(IFERROR(INDEX(醫師週班表!$C$5:$T$44,$CU22,CB$57),""),2,1)="(",LEFT(IFERROR(INDEX(醫師週班表!$C$5:$T$44,$CU22,CB$57),""),1),IFERROR(INDEX(醫師週班表!$C$5:$T$44,$CU22,CB$57),"")))))))</f>
        <v/>
      </c>
      <c r="CC22" s="68">
        <f>IF(CC$59="X","",IF(CC$59&lt;&gt;"",CC$59,IF(IFERROR(INDEX(醫師週班表!$C$5:$T$44,$CU22,CC$57),"")=0,"",IF(MID(IFERROR(INDEX(醫師週班表!$C$5:$T$44,$CU22,CC$57),""),2,1)="/",MID(IFERROR(INDEX(醫師週班表!$C$5:$T$44,$CU22,CC$57),""),1+CC$58*2,1),IF(MID(IFERROR(INDEX(醫師週班表!$C$5:$T$44,$CU22,CC$57),""),3,1)="隔",IF(CC$58=0,LEFT(IFERROR(INDEX(醫師週班表!$C$5:$T$44,$CU22,CC$57),""),1),""),IF(MID(IFERROR(INDEX(醫師週班表!$C$5:$T$44,$CU22,CC$57),""),2,1)="(",LEFT(IFERROR(INDEX(醫師週班表!$C$5:$T$44,$CU22,CC$57),""),1),IFERROR(INDEX(醫師週班表!$C$5:$T$44,$CU22,CC$57),"")))))))</f>
        <v/>
      </c>
      <c r="CD22" s="68">
        <f>IF(CD$59="X","",IF(CD$59&lt;&gt;"",CD$59,IF(IFERROR(INDEX(醫師週班表!$C$5:$T$44,$CU22,CD$57),"")=0,"",IF(MID(IFERROR(INDEX(醫師週班表!$C$5:$T$44,$CU22,CD$57),""),2,1)="/",MID(IFERROR(INDEX(醫師週班表!$C$5:$T$44,$CU22,CD$57),""),1+CD$58*2,1),IF(MID(IFERROR(INDEX(醫師週班表!$C$5:$T$44,$CU22,CD$57),""),3,1)="隔",IF(CD$58=0,LEFT(IFERROR(INDEX(醫師週班表!$C$5:$T$44,$CU22,CD$57),""),1),""),IF(MID(IFERROR(INDEX(醫師週班表!$C$5:$T$44,$CU22,CD$57),""),2,1)="(",LEFT(IFERROR(INDEX(醫師週班表!$C$5:$T$44,$CU22,CD$57),""),1),IFERROR(INDEX(醫師週班表!$C$5:$T$44,$CU22,CD$57),"")))))))</f>
        <v/>
      </c>
      <c r="CE22" s="67">
        <f>IF(CE$59="X","",IF(CE$59&lt;&gt;"",CE$59,IF(IFERROR(INDEX(醫師週班表!$C$5:$T$44,$CU22,CE$57),"")=0,"",IF(MID(IFERROR(INDEX(醫師週班表!$C$5:$T$44,$CU22,CE$57),""),2,1)="/",MID(IFERROR(INDEX(醫師週班表!$C$5:$T$44,$CU22,CE$57),""),1+CE$58*2,1),IF(MID(IFERROR(INDEX(醫師週班表!$C$5:$T$44,$CU22,CE$57),""),3,1)="隔",IF(CE$58=0,LEFT(IFERROR(INDEX(醫師週班表!$C$5:$T$44,$CU22,CE$57),""),1),""),IF(MID(IFERROR(INDEX(醫師週班表!$C$5:$T$44,$CU22,CE$57),""),2,1)="(",LEFT(IFERROR(INDEX(醫師週班表!$C$5:$T$44,$CU22,CE$57),""),1),IFERROR(INDEX(醫師週班表!$C$5:$T$44,$CU22,CE$57),"")))))))</f>
        <v/>
      </c>
      <c r="CF22" s="68">
        <f>IF(CF$59="X","",IF(CF$59&lt;&gt;"",CF$59,IF(IFERROR(INDEX(醫師週班表!$C$5:$T$44,$CU22,CF$57),"")=0,"",IF(MID(IFERROR(INDEX(醫師週班表!$C$5:$T$44,$CU22,CF$57),""),2,1)="/",MID(IFERROR(INDEX(醫師週班表!$C$5:$T$44,$CU22,CF$57),""),1+CF$58*2,1),IF(MID(IFERROR(INDEX(醫師週班表!$C$5:$T$44,$CU22,CF$57),""),3,1)="隔",IF(CF$58=0,LEFT(IFERROR(INDEX(醫師週班表!$C$5:$T$44,$CU22,CF$57),""),1),""),IF(MID(IFERROR(INDEX(醫師週班表!$C$5:$T$44,$CU22,CF$57),""),2,1)="(",LEFT(IFERROR(INDEX(醫師週班表!$C$5:$T$44,$CU22,CF$57),""),1),IFERROR(INDEX(醫師週班表!$C$5:$T$44,$CU22,CF$57),"")))))))</f>
        <v/>
      </c>
      <c r="CG22" s="68">
        <f>IF(CG$59="X","",IF(CG$59&lt;&gt;"",CG$59,IF(IFERROR(INDEX(醫師週班表!$C$5:$T$44,$CU22,CG$57),"")=0,"",IF(MID(IFERROR(INDEX(醫師週班表!$C$5:$T$44,$CU22,CG$57),""),2,1)="/",MID(IFERROR(INDEX(醫師週班表!$C$5:$T$44,$CU22,CG$57),""),1+CG$58*2,1),IF(MID(IFERROR(INDEX(醫師週班表!$C$5:$T$44,$CU22,CG$57),""),3,1)="隔",IF(CG$58=0,LEFT(IFERROR(INDEX(醫師週班表!$C$5:$T$44,$CU22,CG$57),""),1),""),IF(MID(IFERROR(INDEX(醫師週班表!$C$5:$T$44,$CU22,CG$57),""),2,1)="(",LEFT(IFERROR(INDEX(醫師週班表!$C$5:$T$44,$CU22,CG$57),""),1),IFERROR(INDEX(醫師週班表!$C$5:$T$44,$CU22,CG$57),"")))))))</f>
        <v/>
      </c>
      <c r="CH22" s="67">
        <f>IF(CH$59="X","",IF(CH$59&lt;&gt;"",CH$59,IF(IFERROR(INDEX(醫師週班表!$C$5:$T$44,$CU22,CH$57),"")=0,"",IF(MID(IFERROR(INDEX(醫師週班表!$C$5:$T$44,$CU22,CH$57),""),2,1)="/",MID(IFERROR(INDEX(醫師週班表!$C$5:$T$44,$CU22,CH$57),""),1+CH$58*2,1),IF(MID(IFERROR(INDEX(醫師週班表!$C$5:$T$44,$CU22,CH$57),""),3,1)="隔",IF(CH$58=0,LEFT(IFERROR(INDEX(醫師週班表!$C$5:$T$44,$CU22,CH$57),""),1),""),IF(MID(IFERROR(INDEX(醫師週班表!$C$5:$T$44,$CU22,CH$57),""),2,1)="(",LEFT(IFERROR(INDEX(醫師週班表!$C$5:$T$44,$CU22,CH$57),""),1),IFERROR(INDEX(醫師週班表!$C$5:$T$44,$CU22,CH$57),"")))))))</f>
        <v/>
      </c>
      <c r="CI22" s="68">
        <f>IF(CI$59="X","",IF(CI$59&lt;&gt;"",CI$59,IF(IFERROR(INDEX(醫師週班表!$C$5:$T$44,$CU22,CI$57),"")=0,"",IF(MID(IFERROR(INDEX(醫師週班表!$C$5:$T$44,$CU22,CI$57),""),2,1)="/",MID(IFERROR(INDEX(醫師週班表!$C$5:$T$44,$CU22,CI$57),""),1+CI$58*2,1),IF(MID(IFERROR(INDEX(醫師週班表!$C$5:$T$44,$CU22,CI$57),""),3,1)="隔",IF(CI$58=0,LEFT(IFERROR(INDEX(醫師週班表!$C$5:$T$44,$CU22,CI$57),""),1),""),IF(MID(IFERROR(INDEX(醫師週班表!$C$5:$T$44,$CU22,CI$57),""),2,1)="(",LEFT(IFERROR(INDEX(醫師週班表!$C$5:$T$44,$CU22,CI$57),""),1),IFERROR(INDEX(醫師週班表!$C$5:$T$44,$CU22,CI$57),"")))))))</f>
        <v/>
      </c>
      <c r="CJ22" s="68">
        <f>IF(CJ$59="X","",IF(CJ$59&lt;&gt;"",CJ$59,IF(IFERROR(INDEX(醫師週班表!$C$5:$T$44,$CU22,CJ$57),"")=0,"",IF(MID(IFERROR(INDEX(醫師週班表!$C$5:$T$44,$CU22,CJ$57),""),2,1)="/",MID(IFERROR(INDEX(醫師週班表!$C$5:$T$44,$CU22,CJ$57),""),1+CJ$58*2,1),IF(MID(IFERROR(INDEX(醫師週班表!$C$5:$T$44,$CU22,CJ$57),""),3,1)="隔",IF(CJ$58=0,LEFT(IFERROR(INDEX(醫師週班表!$C$5:$T$44,$CU22,CJ$57),""),1),""),IF(MID(IFERROR(INDEX(醫師週班表!$C$5:$T$44,$CU22,CJ$57),""),2,1)="(",LEFT(IFERROR(INDEX(醫師週班表!$C$5:$T$44,$CU22,CJ$57),""),1),IFERROR(INDEX(醫師週班表!$C$5:$T$44,$CU22,CJ$57),"")))))))</f>
        <v/>
      </c>
      <c r="CK22" s="67">
        <f>IF(CK$59="X","",IF(CK$59&lt;&gt;"",CK$59,IF(IFERROR(INDEX(醫師週班表!$C$5:$T$44,$CU22,CK$57),"")=0,"",IF(MID(IFERROR(INDEX(醫師週班表!$C$5:$T$44,$CU22,CK$57),""),2,1)="/",MID(IFERROR(INDEX(醫師週班表!$C$5:$T$44,$CU22,CK$57),""),1+CK$58*2,1),IF(MID(IFERROR(INDEX(醫師週班表!$C$5:$T$44,$CU22,CK$57),""),3,1)="隔",IF(CK$58=0,LEFT(IFERROR(INDEX(醫師週班表!$C$5:$T$44,$CU22,CK$57),""),1),""),IF(MID(IFERROR(INDEX(醫師週班表!$C$5:$T$44,$CU22,CK$57),""),2,1)="(",LEFT(IFERROR(INDEX(醫師週班表!$C$5:$T$44,$CU22,CK$57),""),1),IFERROR(INDEX(醫師週班表!$C$5:$T$44,$CU22,CK$57),"")))))))</f>
        <v/>
      </c>
      <c r="CL22" s="68">
        <f>IF(CL$59="X","",IF(CL$59&lt;&gt;"",CL$59,IF(IFERROR(INDEX(醫師週班表!$C$5:$T$44,$CU22,CL$57),"")=0,"",IF(MID(IFERROR(INDEX(醫師週班表!$C$5:$T$44,$CU22,CL$57),""),2,1)="/",MID(IFERROR(INDEX(醫師週班表!$C$5:$T$44,$CU22,CL$57),""),1+CL$58*2,1),IF(MID(IFERROR(INDEX(醫師週班表!$C$5:$T$44,$CU22,CL$57),""),3,1)="隔",IF(CL$58=0,LEFT(IFERROR(INDEX(醫師週班表!$C$5:$T$44,$CU22,CL$57),""),1),""),IF(MID(IFERROR(INDEX(醫師週班表!$C$5:$T$44,$CU22,CL$57),""),2,1)="(",LEFT(IFERROR(INDEX(醫師週班表!$C$5:$T$44,$CU22,CL$57),""),1),IFERROR(INDEX(醫師週班表!$C$5:$T$44,$CU22,CL$57),"")))))))</f>
        <v/>
      </c>
      <c r="CM22" s="68">
        <f>IF(CM$59="X","",IF(CM$59&lt;&gt;"",CM$59,IF(IFERROR(INDEX(醫師週班表!$C$5:$T$44,$CU22,CM$57),"")=0,"",IF(MID(IFERROR(INDEX(醫師週班表!$C$5:$T$44,$CU22,CM$57),""),2,1)="/",MID(IFERROR(INDEX(醫師週班表!$C$5:$T$44,$CU22,CM$57),""),1+CM$58*2,1),IF(MID(IFERROR(INDEX(醫師週班表!$C$5:$T$44,$CU22,CM$57),""),3,1)="隔",IF(CM$58=0,LEFT(IFERROR(INDEX(醫師週班表!$C$5:$T$44,$CU22,CM$57),""),1),""),IF(MID(IFERROR(INDEX(醫師週班表!$C$5:$T$44,$CU22,CM$57),""),2,1)="(",LEFT(IFERROR(INDEX(醫師週班表!$C$5:$T$44,$CU22,CM$57),""),1),IFERROR(INDEX(醫師週班表!$C$5:$T$44,$CU22,CM$57),"")))))))</f>
        <v/>
      </c>
      <c r="CN22" s="67">
        <f>IF(CN$59="X","",IF(CN$59&lt;&gt;"",CN$59,IF(IFERROR(INDEX(醫師週班表!$C$5:$T$44,$CU22,CN$57),"")=0,"",IF(MID(IFERROR(INDEX(醫師週班表!$C$5:$T$44,$CU22,CN$57),""),2,1)="/",MID(IFERROR(INDEX(醫師週班表!$C$5:$T$44,$CU22,CN$57),""),1+CN$58*2,1),IF(MID(IFERROR(INDEX(醫師週班表!$C$5:$T$44,$CU22,CN$57),""),3,1)="隔",IF(CN$58=0,LEFT(IFERROR(INDEX(醫師週班表!$C$5:$T$44,$CU22,CN$57),""),1),""),IF(MID(IFERROR(INDEX(醫師週班表!$C$5:$T$44,$CU22,CN$57),""),2,1)="(",LEFT(IFERROR(INDEX(醫師週班表!$C$5:$T$44,$CU22,CN$57),""),1),IFERROR(INDEX(醫師週班表!$C$5:$T$44,$CU22,CN$57),"")))))))</f>
        <v/>
      </c>
      <c r="CO22" s="68">
        <f>IF(CO$59="X","",IF(CO$59&lt;&gt;"",CO$59,IF(IFERROR(INDEX(醫師週班表!$C$5:$T$44,$CU22,CO$57),"")=0,"",IF(MID(IFERROR(INDEX(醫師週班表!$C$5:$T$44,$CU22,CO$57),""),2,1)="/",MID(IFERROR(INDEX(醫師週班表!$C$5:$T$44,$CU22,CO$57),""),1+CO$58*2,1),IF(MID(IFERROR(INDEX(醫師週班表!$C$5:$T$44,$CU22,CO$57),""),3,1)="隔",IF(CO$58=0,LEFT(IFERROR(INDEX(醫師週班表!$C$5:$T$44,$CU22,CO$57),""),1),""),IF(MID(IFERROR(INDEX(醫師週班表!$C$5:$T$44,$CU22,CO$57),""),2,1)="(",LEFT(IFERROR(INDEX(醫師週班表!$C$5:$T$44,$CU22,CO$57),""),1),IFERROR(INDEX(醫師週班表!$C$5:$T$44,$CU22,CO$57),"")))))))</f>
        <v/>
      </c>
      <c r="CP22" s="68">
        <f>IF(CP$59="X","",IF(CP$59&lt;&gt;"",CP$59,IF(IFERROR(INDEX(醫師週班表!$C$5:$T$44,$CU22,CP$57),"")=0,"",IF(MID(IFERROR(INDEX(醫師週班表!$C$5:$T$44,$CU22,CP$57),""),2,1)="/",MID(IFERROR(INDEX(醫師週班表!$C$5:$T$44,$CU22,CP$57),""),1+CP$58*2,1),IF(MID(IFERROR(INDEX(醫師週班表!$C$5:$T$44,$CU22,CP$57),""),3,1)="隔",IF(CP$58=0,LEFT(IFERROR(INDEX(醫師週班表!$C$5:$T$44,$CU22,CP$57),""),1),""),IF(MID(IFERROR(INDEX(醫師週班表!$C$5:$T$44,$CU22,CP$57),""),2,1)="(",LEFT(IFERROR(INDEX(醫師週班表!$C$5:$T$44,$CU22,CP$57),""),1),IFERROR(INDEX(醫師週班表!$C$5:$T$44,$CU22,CP$57),"")))))))</f>
        <v/>
      </c>
      <c r="CQ22" s="67">
        <f>IF(CQ$59="X","",IF(CQ$59&lt;&gt;"",CQ$59,IF(IFERROR(INDEX(醫師週班表!$C$5:$T$44,$CU22,CQ$57),"")=0,"",IF(MID(IFERROR(INDEX(醫師週班表!$C$5:$T$44,$CU22,CQ$57),""),2,1)="/",MID(IFERROR(INDEX(醫師週班表!$C$5:$T$44,$CU22,CQ$57),""),1+CQ$58*2,1),IF(MID(IFERROR(INDEX(醫師週班表!$C$5:$T$44,$CU22,CQ$57),""),3,1)="隔",IF(CQ$58=0,LEFT(IFERROR(INDEX(醫師週班表!$C$5:$T$44,$CU22,CQ$57),""),1),""),IF(MID(IFERROR(INDEX(醫師週班表!$C$5:$T$44,$CU22,CQ$57),""),2,1)="(",LEFT(IFERROR(INDEX(醫師週班表!$C$5:$T$44,$CU22,CQ$57),""),1),IFERROR(INDEX(醫師週班表!$C$5:$T$44,$CU22,CQ$57),"")))))))</f>
        <v/>
      </c>
      <c r="CR22" s="68">
        <f>IF(CR$59="X","",IF(CR$59&lt;&gt;"",CR$59,IF(IFERROR(INDEX(醫師週班表!$C$5:$T$44,$CU22,CR$57),"")=0,"",IF(MID(IFERROR(INDEX(醫師週班表!$C$5:$T$44,$CU22,CR$57),""),2,1)="/",MID(IFERROR(INDEX(醫師週班表!$C$5:$T$44,$CU22,CR$57),""),1+CR$58*2,1),IF(MID(IFERROR(INDEX(醫師週班表!$C$5:$T$44,$CU22,CR$57),""),3,1)="隔",IF(CR$58=0,LEFT(IFERROR(INDEX(醫師週班表!$C$5:$T$44,$CU22,CR$57),""),1),""),IF(MID(IFERROR(INDEX(醫師週班表!$C$5:$T$44,$CU22,CR$57),""),2,1)="(",LEFT(IFERROR(INDEX(醫師週班表!$C$5:$T$44,$CU22,CR$57),""),1),IFERROR(INDEX(醫師週班表!$C$5:$T$44,$CU22,CR$57),"")))))))</f>
        <v/>
      </c>
      <c r="CS22" s="68">
        <f>IF(CS$59="X","",IF(CS$59&lt;&gt;"",CS$59,IF(IFERROR(INDEX(醫師週班表!$C$5:$T$44,$CU22,CS$57),"")=0,"",IF(MID(IFERROR(INDEX(醫師週班表!$C$5:$T$44,$CU22,CS$57),""),2,1)="/",MID(IFERROR(INDEX(醫師週班表!$C$5:$T$44,$CU22,CS$57),""),1+CS$58*2,1),IF(MID(IFERROR(INDEX(醫師週班表!$C$5:$T$44,$CU22,CS$57),""),3,1)="隔",IF(CS$58=0,LEFT(IFERROR(INDEX(醫師週班表!$C$5:$T$44,$CU22,CS$57),""),1),""),IF(MID(IFERROR(INDEX(醫師週班表!$C$5:$T$44,$CU22,CS$57),""),2,1)="(",LEFT(IFERROR(INDEX(醫師週班表!$C$5:$T$44,$CU22,CS$57),""),1),IFERROR(INDEX(醫師週班表!$C$5:$T$44,$CU22,CS$57),"")))))))</f>
        <v/>
      </c>
      <c r="CU22" s="69">
        <f>IFERROR(MATCH($A22,醫師週班表!$A$5:$A$44,0),0)</f>
        <v/>
      </c>
    </row>
    <row r="23" ht="17" customHeight="1">
      <c r="A23" s="20" t="inlineStr">
        <is>
          <t>D018</t>
        </is>
      </c>
      <c r="B23" s="16" t="inlineStr">
        <is>
          <t>許博諺</t>
        </is>
      </c>
      <c r="C23" s="66" t="inlineStr"/>
      <c r="D23" s="16" t="inlineStr"/>
      <c r="E23" s="67">
        <f>IF(E$59="X","",IF(E$59&lt;&gt;"",E$59,IF(IFERROR(INDEX(醫師週班表!$C$5:$T$44,$CU23,E$57),"")=0,"",IF(MID(IFERROR(INDEX(醫師週班表!$C$5:$T$44,$CU23,E$57),""),2,1)="/",MID(IFERROR(INDEX(醫師週班表!$C$5:$T$44,$CU23,E$57),""),1+E$58*2,1),IF(MID(IFERROR(INDEX(醫師週班表!$C$5:$T$44,$CU23,E$57),""),3,1)="隔",IF(E$58=0,LEFT(IFERROR(INDEX(醫師週班表!$C$5:$T$44,$CU23,E$57),""),1),""),IF(MID(IFERROR(INDEX(醫師週班表!$C$5:$T$44,$CU23,E$57),""),2,1)="(",LEFT(IFERROR(INDEX(醫師週班表!$C$5:$T$44,$CU23,E$57),""),1),IFERROR(INDEX(醫師週班表!$C$5:$T$44,$CU23,E$57),"")))))))</f>
        <v/>
      </c>
      <c r="F23" s="68">
        <f>IF(F$59="X","",IF(F$59&lt;&gt;"",F$59,IF(IFERROR(INDEX(醫師週班表!$C$5:$T$44,$CU23,F$57),"")=0,"",IF(MID(IFERROR(INDEX(醫師週班表!$C$5:$T$44,$CU23,F$57),""),2,1)="/",MID(IFERROR(INDEX(醫師週班表!$C$5:$T$44,$CU23,F$57),""),1+F$58*2,1),IF(MID(IFERROR(INDEX(醫師週班表!$C$5:$T$44,$CU23,F$57),""),3,1)="隔",IF(F$58=0,LEFT(IFERROR(INDEX(醫師週班表!$C$5:$T$44,$CU23,F$57),""),1),""),IF(MID(IFERROR(INDEX(醫師週班表!$C$5:$T$44,$CU23,F$57),""),2,1)="(",LEFT(IFERROR(INDEX(醫師週班表!$C$5:$T$44,$CU23,F$57),""),1),IFERROR(INDEX(醫師週班表!$C$5:$T$44,$CU23,F$57),"")))))))</f>
        <v/>
      </c>
      <c r="G23" s="68">
        <f>IF(G$59="X","",IF(G$59&lt;&gt;"",G$59,IF(IFERROR(INDEX(醫師週班表!$C$5:$T$44,$CU23,G$57),"")=0,"",IF(MID(IFERROR(INDEX(醫師週班表!$C$5:$T$44,$CU23,G$57),""),2,1)="/",MID(IFERROR(INDEX(醫師週班表!$C$5:$T$44,$CU23,G$57),""),1+G$58*2,1),IF(MID(IFERROR(INDEX(醫師週班表!$C$5:$T$44,$CU23,G$57),""),3,1)="隔",IF(G$58=0,LEFT(IFERROR(INDEX(醫師週班表!$C$5:$T$44,$CU23,G$57),""),1),""),IF(MID(IFERROR(INDEX(醫師週班表!$C$5:$T$44,$CU23,G$57),""),2,1)="(",LEFT(IFERROR(INDEX(醫師週班表!$C$5:$T$44,$CU23,G$57),""),1),IFERROR(INDEX(醫師週班表!$C$5:$T$44,$CU23,G$57),"")))))))</f>
        <v/>
      </c>
      <c r="H23" s="67">
        <f>IF(H$59="X","",IF(H$59&lt;&gt;"",H$59,IF(IFERROR(INDEX(醫師週班表!$C$5:$T$44,$CU23,H$57),"")=0,"",IF(MID(IFERROR(INDEX(醫師週班表!$C$5:$T$44,$CU23,H$57),""),2,1)="/",MID(IFERROR(INDEX(醫師週班表!$C$5:$T$44,$CU23,H$57),""),1+H$58*2,1),IF(MID(IFERROR(INDEX(醫師週班表!$C$5:$T$44,$CU23,H$57),""),3,1)="隔",IF(H$58=0,LEFT(IFERROR(INDEX(醫師週班表!$C$5:$T$44,$CU23,H$57),""),1),""),IF(MID(IFERROR(INDEX(醫師週班表!$C$5:$T$44,$CU23,H$57),""),2,1)="(",LEFT(IFERROR(INDEX(醫師週班表!$C$5:$T$44,$CU23,H$57),""),1),IFERROR(INDEX(醫師週班表!$C$5:$T$44,$CU23,H$57),"")))))))</f>
        <v/>
      </c>
      <c r="I23" s="68">
        <f>IF(I$59="X","",IF(I$59&lt;&gt;"",I$59,IF(IFERROR(INDEX(醫師週班表!$C$5:$T$44,$CU23,I$57),"")=0,"",IF(MID(IFERROR(INDEX(醫師週班表!$C$5:$T$44,$CU23,I$57),""),2,1)="/",MID(IFERROR(INDEX(醫師週班表!$C$5:$T$44,$CU23,I$57),""),1+I$58*2,1),IF(MID(IFERROR(INDEX(醫師週班表!$C$5:$T$44,$CU23,I$57),""),3,1)="隔",IF(I$58=0,LEFT(IFERROR(INDEX(醫師週班表!$C$5:$T$44,$CU23,I$57),""),1),""),IF(MID(IFERROR(INDEX(醫師週班表!$C$5:$T$44,$CU23,I$57),""),2,1)="(",LEFT(IFERROR(INDEX(醫師週班表!$C$5:$T$44,$CU23,I$57),""),1),IFERROR(INDEX(醫師週班表!$C$5:$T$44,$CU23,I$57),"")))))))</f>
        <v/>
      </c>
      <c r="J23" s="68">
        <f>IF(J$59="X","",IF(J$59&lt;&gt;"",J$59,IF(IFERROR(INDEX(醫師週班表!$C$5:$T$44,$CU23,J$57),"")=0,"",IF(MID(IFERROR(INDEX(醫師週班表!$C$5:$T$44,$CU23,J$57),""),2,1)="/",MID(IFERROR(INDEX(醫師週班表!$C$5:$T$44,$CU23,J$57),""),1+J$58*2,1),IF(MID(IFERROR(INDEX(醫師週班表!$C$5:$T$44,$CU23,J$57),""),3,1)="隔",IF(J$58=0,LEFT(IFERROR(INDEX(醫師週班表!$C$5:$T$44,$CU23,J$57),""),1),""),IF(MID(IFERROR(INDEX(醫師週班表!$C$5:$T$44,$CU23,J$57),""),2,1)="(",LEFT(IFERROR(INDEX(醫師週班表!$C$5:$T$44,$CU23,J$57),""),1),IFERROR(INDEX(醫師週班表!$C$5:$T$44,$CU23,J$57),"")))))))</f>
        <v/>
      </c>
      <c r="K23" s="67">
        <f>IF(K$59="X","",IF(K$59&lt;&gt;"",K$59,IF(IFERROR(INDEX(醫師週班表!$C$5:$T$44,$CU23,K$57),"")=0,"",IF(MID(IFERROR(INDEX(醫師週班表!$C$5:$T$44,$CU23,K$57),""),2,1)="/",MID(IFERROR(INDEX(醫師週班表!$C$5:$T$44,$CU23,K$57),""),1+K$58*2,1),IF(MID(IFERROR(INDEX(醫師週班表!$C$5:$T$44,$CU23,K$57),""),3,1)="隔",IF(K$58=0,LEFT(IFERROR(INDEX(醫師週班表!$C$5:$T$44,$CU23,K$57),""),1),""),IF(MID(IFERROR(INDEX(醫師週班表!$C$5:$T$44,$CU23,K$57),""),2,1)="(",LEFT(IFERROR(INDEX(醫師週班表!$C$5:$T$44,$CU23,K$57),""),1),IFERROR(INDEX(醫師週班表!$C$5:$T$44,$CU23,K$57),"")))))))</f>
        <v/>
      </c>
      <c r="L23" s="68">
        <f>IF(L$59="X","",IF(L$59&lt;&gt;"",L$59,IF(IFERROR(INDEX(醫師週班表!$C$5:$T$44,$CU23,L$57),"")=0,"",IF(MID(IFERROR(INDEX(醫師週班表!$C$5:$T$44,$CU23,L$57),""),2,1)="/",MID(IFERROR(INDEX(醫師週班表!$C$5:$T$44,$CU23,L$57),""),1+L$58*2,1),IF(MID(IFERROR(INDEX(醫師週班表!$C$5:$T$44,$CU23,L$57),""),3,1)="隔",IF(L$58=0,LEFT(IFERROR(INDEX(醫師週班表!$C$5:$T$44,$CU23,L$57),""),1),""),IF(MID(IFERROR(INDEX(醫師週班表!$C$5:$T$44,$CU23,L$57),""),2,1)="(",LEFT(IFERROR(INDEX(醫師週班表!$C$5:$T$44,$CU23,L$57),""),1),IFERROR(INDEX(醫師週班表!$C$5:$T$44,$CU23,L$57),"")))))))</f>
        <v/>
      </c>
      <c r="M23" s="68">
        <f>IF(M$59="X","",IF(M$59&lt;&gt;"",M$59,IF(IFERROR(INDEX(醫師週班表!$C$5:$T$44,$CU23,M$57),"")=0,"",IF(MID(IFERROR(INDEX(醫師週班表!$C$5:$T$44,$CU23,M$57),""),2,1)="/",MID(IFERROR(INDEX(醫師週班表!$C$5:$T$44,$CU23,M$57),""),1+M$58*2,1),IF(MID(IFERROR(INDEX(醫師週班表!$C$5:$T$44,$CU23,M$57),""),3,1)="隔",IF(M$58=0,LEFT(IFERROR(INDEX(醫師週班表!$C$5:$T$44,$CU23,M$57),""),1),""),IF(MID(IFERROR(INDEX(醫師週班表!$C$5:$T$44,$CU23,M$57),""),2,1)="(",LEFT(IFERROR(INDEX(醫師週班表!$C$5:$T$44,$CU23,M$57),""),1),IFERROR(INDEX(醫師週班表!$C$5:$T$44,$CU23,M$57),"")))))))</f>
        <v/>
      </c>
      <c r="N23" s="67">
        <f>IF(N$59="X","",IF(N$59&lt;&gt;"",N$59,IF(IFERROR(INDEX(醫師週班表!$C$5:$T$44,$CU23,N$57),"")=0,"",IF(MID(IFERROR(INDEX(醫師週班表!$C$5:$T$44,$CU23,N$57),""),2,1)="/",MID(IFERROR(INDEX(醫師週班表!$C$5:$T$44,$CU23,N$57),""),1+N$58*2,1),IF(MID(IFERROR(INDEX(醫師週班表!$C$5:$T$44,$CU23,N$57),""),3,1)="隔",IF(N$58=0,LEFT(IFERROR(INDEX(醫師週班表!$C$5:$T$44,$CU23,N$57),""),1),""),IF(MID(IFERROR(INDEX(醫師週班表!$C$5:$T$44,$CU23,N$57),""),2,1)="(",LEFT(IFERROR(INDEX(醫師週班表!$C$5:$T$44,$CU23,N$57),""),1),IFERROR(INDEX(醫師週班表!$C$5:$T$44,$CU23,N$57),"")))))))</f>
        <v/>
      </c>
      <c r="O23" s="68">
        <f>IF(O$59="X","",IF(O$59&lt;&gt;"",O$59,IF(IFERROR(INDEX(醫師週班表!$C$5:$T$44,$CU23,O$57),"")=0,"",IF(MID(IFERROR(INDEX(醫師週班表!$C$5:$T$44,$CU23,O$57),""),2,1)="/",MID(IFERROR(INDEX(醫師週班表!$C$5:$T$44,$CU23,O$57),""),1+O$58*2,1),IF(MID(IFERROR(INDEX(醫師週班表!$C$5:$T$44,$CU23,O$57),""),3,1)="隔",IF(O$58=0,LEFT(IFERROR(INDEX(醫師週班表!$C$5:$T$44,$CU23,O$57),""),1),""),IF(MID(IFERROR(INDEX(醫師週班表!$C$5:$T$44,$CU23,O$57),""),2,1)="(",LEFT(IFERROR(INDEX(醫師週班表!$C$5:$T$44,$CU23,O$57),""),1),IFERROR(INDEX(醫師週班表!$C$5:$T$44,$CU23,O$57),"")))))))</f>
        <v/>
      </c>
      <c r="P23" s="68">
        <f>IF(P$59="X","",IF(P$59&lt;&gt;"",P$59,IF(IFERROR(INDEX(醫師週班表!$C$5:$T$44,$CU23,P$57),"")=0,"",IF(MID(IFERROR(INDEX(醫師週班表!$C$5:$T$44,$CU23,P$57),""),2,1)="/",MID(IFERROR(INDEX(醫師週班表!$C$5:$T$44,$CU23,P$57),""),1+P$58*2,1),IF(MID(IFERROR(INDEX(醫師週班表!$C$5:$T$44,$CU23,P$57),""),3,1)="隔",IF(P$58=0,LEFT(IFERROR(INDEX(醫師週班表!$C$5:$T$44,$CU23,P$57),""),1),""),IF(MID(IFERROR(INDEX(醫師週班表!$C$5:$T$44,$CU23,P$57),""),2,1)="(",LEFT(IFERROR(INDEX(醫師週班表!$C$5:$T$44,$CU23,P$57),""),1),IFERROR(INDEX(醫師週班表!$C$5:$T$44,$CU23,P$57),"")))))))</f>
        <v/>
      </c>
      <c r="Q23" s="67">
        <f>IF(Q$59="X","",IF(Q$59&lt;&gt;"",Q$59,IF(IFERROR(INDEX(醫師週班表!$C$5:$T$44,$CU23,Q$57),"")=0,"",IF(MID(IFERROR(INDEX(醫師週班表!$C$5:$T$44,$CU23,Q$57),""),2,1)="/",MID(IFERROR(INDEX(醫師週班表!$C$5:$T$44,$CU23,Q$57),""),1+Q$58*2,1),IF(MID(IFERROR(INDEX(醫師週班表!$C$5:$T$44,$CU23,Q$57),""),3,1)="隔",IF(Q$58=0,LEFT(IFERROR(INDEX(醫師週班表!$C$5:$T$44,$CU23,Q$57),""),1),""),IF(MID(IFERROR(INDEX(醫師週班表!$C$5:$T$44,$CU23,Q$57),""),2,1)="(",LEFT(IFERROR(INDEX(醫師週班表!$C$5:$T$44,$CU23,Q$57),""),1),IFERROR(INDEX(醫師週班表!$C$5:$T$44,$CU23,Q$57),"")))))))</f>
        <v/>
      </c>
      <c r="R23" s="68">
        <f>IF(R$59="X","",IF(R$59&lt;&gt;"",R$59,IF(IFERROR(INDEX(醫師週班表!$C$5:$T$44,$CU23,R$57),"")=0,"",IF(MID(IFERROR(INDEX(醫師週班表!$C$5:$T$44,$CU23,R$57),""),2,1)="/",MID(IFERROR(INDEX(醫師週班表!$C$5:$T$44,$CU23,R$57),""),1+R$58*2,1),IF(MID(IFERROR(INDEX(醫師週班表!$C$5:$T$44,$CU23,R$57),""),3,1)="隔",IF(R$58=0,LEFT(IFERROR(INDEX(醫師週班表!$C$5:$T$44,$CU23,R$57),""),1),""),IF(MID(IFERROR(INDEX(醫師週班表!$C$5:$T$44,$CU23,R$57),""),2,1)="(",LEFT(IFERROR(INDEX(醫師週班表!$C$5:$T$44,$CU23,R$57),""),1),IFERROR(INDEX(醫師週班表!$C$5:$T$44,$CU23,R$57),"")))))))</f>
        <v/>
      </c>
      <c r="S23" s="68">
        <f>IF(S$59="X","",IF(S$59&lt;&gt;"",S$59,IF(IFERROR(INDEX(醫師週班表!$C$5:$T$44,$CU23,S$57),"")=0,"",IF(MID(IFERROR(INDEX(醫師週班表!$C$5:$T$44,$CU23,S$57),""),2,1)="/",MID(IFERROR(INDEX(醫師週班表!$C$5:$T$44,$CU23,S$57),""),1+S$58*2,1),IF(MID(IFERROR(INDEX(醫師週班表!$C$5:$T$44,$CU23,S$57),""),3,1)="隔",IF(S$58=0,LEFT(IFERROR(INDEX(醫師週班表!$C$5:$T$44,$CU23,S$57),""),1),""),IF(MID(IFERROR(INDEX(醫師週班表!$C$5:$T$44,$CU23,S$57),""),2,1)="(",LEFT(IFERROR(INDEX(醫師週班表!$C$5:$T$44,$CU23,S$57),""),1),IFERROR(INDEX(醫師週班表!$C$5:$T$44,$CU23,S$57),"")))))))</f>
        <v/>
      </c>
      <c r="T23" s="67">
        <f>IF(T$59="X","",IF(T$59&lt;&gt;"",T$59,IF(IFERROR(INDEX(醫師週班表!$C$5:$T$44,$CU23,T$57),"")=0,"",IF(MID(IFERROR(INDEX(醫師週班表!$C$5:$T$44,$CU23,T$57),""),2,1)="/",MID(IFERROR(INDEX(醫師週班表!$C$5:$T$44,$CU23,T$57),""),1+T$58*2,1),IF(MID(IFERROR(INDEX(醫師週班表!$C$5:$T$44,$CU23,T$57),""),3,1)="隔",IF(T$58=0,LEFT(IFERROR(INDEX(醫師週班表!$C$5:$T$44,$CU23,T$57),""),1),""),IF(MID(IFERROR(INDEX(醫師週班表!$C$5:$T$44,$CU23,T$57),""),2,1)="(",LEFT(IFERROR(INDEX(醫師週班表!$C$5:$T$44,$CU23,T$57),""),1),IFERROR(INDEX(醫師週班表!$C$5:$T$44,$CU23,T$57),"")))))))</f>
        <v/>
      </c>
      <c r="U23" s="68">
        <f>IF(U$59="X","",IF(U$59&lt;&gt;"",U$59,IF(IFERROR(INDEX(醫師週班表!$C$5:$T$44,$CU23,U$57),"")=0,"",IF(MID(IFERROR(INDEX(醫師週班表!$C$5:$T$44,$CU23,U$57),""),2,1)="/",MID(IFERROR(INDEX(醫師週班表!$C$5:$T$44,$CU23,U$57),""),1+U$58*2,1),IF(MID(IFERROR(INDEX(醫師週班表!$C$5:$T$44,$CU23,U$57),""),3,1)="隔",IF(U$58=0,LEFT(IFERROR(INDEX(醫師週班表!$C$5:$T$44,$CU23,U$57),""),1),""),IF(MID(IFERROR(INDEX(醫師週班表!$C$5:$T$44,$CU23,U$57),""),2,1)="(",LEFT(IFERROR(INDEX(醫師週班表!$C$5:$T$44,$CU23,U$57),""),1),IFERROR(INDEX(醫師週班表!$C$5:$T$44,$CU23,U$57),"")))))))</f>
        <v/>
      </c>
      <c r="V23" s="68">
        <f>IF(V$59="X","",IF(V$59&lt;&gt;"",V$59,IF(IFERROR(INDEX(醫師週班表!$C$5:$T$44,$CU23,V$57),"")=0,"",IF(MID(IFERROR(INDEX(醫師週班表!$C$5:$T$44,$CU23,V$57),""),2,1)="/",MID(IFERROR(INDEX(醫師週班表!$C$5:$T$44,$CU23,V$57),""),1+V$58*2,1),IF(MID(IFERROR(INDEX(醫師週班表!$C$5:$T$44,$CU23,V$57),""),3,1)="隔",IF(V$58=0,LEFT(IFERROR(INDEX(醫師週班表!$C$5:$T$44,$CU23,V$57),""),1),""),IF(MID(IFERROR(INDEX(醫師週班表!$C$5:$T$44,$CU23,V$57),""),2,1)="(",LEFT(IFERROR(INDEX(醫師週班表!$C$5:$T$44,$CU23,V$57),""),1),IFERROR(INDEX(醫師週班表!$C$5:$T$44,$CU23,V$57),"")))))))</f>
        <v/>
      </c>
      <c r="W23" s="67">
        <f>IF(W$59="X","",IF(W$59&lt;&gt;"",W$59,IF(IFERROR(INDEX(醫師週班表!$C$5:$T$44,$CU23,W$57),"")=0,"",IF(MID(IFERROR(INDEX(醫師週班表!$C$5:$T$44,$CU23,W$57),""),2,1)="/",MID(IFERROR(INDEX(醫師週班表!$C$5:$T$44,$CU23,W$57),""),1+W$58*2,1),IF(MID(IFERROR(INDEX(醫師週班表!$C$5:$T$44,$CU23,W$57),""),3,1)="隔",IF(W$58=0,LEFT(IFERROR(INDEX(醫師週班表!$C$5:$T$44,$CU23,W$57),""),1),""),IF(MID(IFERROR(INDEX(醫師週班表!$C$5:$T$44,$CU23,W$57),""),2,1)="(",LEFT(IFERROR(INDEX(醫師週班表!$C$5:$T$44,$CU23,W$57),""),1),IFERROR(INDEX(醫師週班表!$C$5:$T$44,$CU23,W$57),"")))))))</f>
        <v/>
      </c>
      <c r="X23" s="68">
        <f>IF(X$59="X","",IF(X$59&lt;&gt;"",X$59,IF(IFERROR(INDEX(醫師週班表!$C$5:$T$44,$CU23,X$57),"")=0,"",IF(MID(IFERROR(INDEX(醫師週班表!$C$5:$T$44,$CU23,X$57),""),2,1)="/",MID(IFERROR(INDEX(醫師週班表!$C$5:$T$44,$CU23,X$57),""),1+X$58*2,1),IF(MID(IFERROR(INDEX(醫師週班表!$C$5:$T$44,$CU23,X$57),""),3,1)="隔",IF(X$58=0,LEFT(IFERROR(INDEX(醫師週班表!$C$5:$T$44,$CU23,X$57),""),1),""),IF(MID(IFERROR(INDEX(醫師週班表!$C$5:$T$44,$CU23,X$57),""),2,1)="(",LEFT(IFERROR(INDEX(醫師週班表!$C$5:$T$44,$CU23,X$57),""),1),IFERROR(INDEX(醫師週班表!$C$5:$T$44,$CU23,X$57),"")))))))</f>
        <v/>
      </c>
      <c r="Y23" s="68">
        <f>IF(Y$59="X","",IF(Y$59&lt;&gt;"",Y$59,IF(IFERROR(INDEX(醫師週班表!$C$5:$T$44,$CU23,Y$57),"")=0,"",IF(MID(IFERROR(INDEX(醫師週班表!$C$5:$T$44,$CU23,Y$57),""),2,1)="/",MID(IFERROR(INDEX(醫師週班表!$C$5:$T$44,$CU23,Y$57),""),1+Y$58*2,1),IF(MID(IFERROR(INDEX(醫師週班表!$C$5:$T$44,$CU23,Y$57),""),3,1)="隔",IF(Y$58=0,LEFT(IFERROR(INDEX(醫師週班表!$C$5:$T$44,$CU23,Y$57),""),1),""),IF(MID(IFERROR(INDEX(醫師週班表!$C$5:$T$44,$CU23,Y$57),""),2,1)="(",LEFT(IFERROR(INDEX(醫師週班表!$C$5:$T$44,$CU23,Y$57),""),1),IFERROR(INDEX(醫師週班表!$C$5:$T$44,$CU23,Y$57),"")))))))</f>
        <v/>
      </c>
      <c r="Z23" s="67">
        <f>IF(Z$59="X","",IF(Z$59&lt;&gt;"",Z$59,IF(IFERROR(INDEX(醫師週班表!$C$5:$T$44,$CU23,Z$57),"")=0,"",IF(MID(IFERROR(INDEX(醫師週班表!$C$5:$T$44,$CU23,Z$57),""),2,1)="/",MID(IFERROR(INDEX(醫師週班表!$C$5:$T$44,$CU23,Z$57),""),1+Z$58*2,1),IF(MID(IFERROR(INDEX(醫師週班表!$C$5:$T$44,$CU23,Z$57),""),3,1)="隔",IF(Z$58=0,LEFT(IFERROR(INDEX(醫師週班表!$C$5:$T$44,$CU23,Z$57),""),1),""),IF(MID(IFERROR(INDEX(醫師週班表!$C$5:$T$44,$CU23,Z$57),""),2,1)="(",LEFT(IFERROR(INDEX(醫師週班表!$C$5:$T$44,$CU23,Z$57),""),1),IFERROR(INDEX(醫師週班表!$C$5:$T$44,$CU23,Z$57),"")))))))</f>
        <v/>
      </c>
      <c r="AA23" s="68">
        <f>IF(AA$59="X","",IF(AA$59&lt;&gt;"",AA$59,IF(IFERROR(INDEX(醫師週班表!$C$5:$T$44,$CU23,AA$57),"")=0,"",IF(MID(IFERROR(INDEX(醫師週班表!$C$5:$T$44,$CU23,AA$57),""),2,1)="/",MID(IFERROR(INDEX(醫師週班表!$C$5:$T$44,$CU23,AA$57),""),1+AA$58*2,1),IF(MID(IFERROR(INDEX(醫師週班表!$C$5:$T$44,$CU23,AA$57),""),3,1)="隔",IF(AA$58=0,LEFT(IFERROR(INDEX(醫師週班表!$C$5:$T$44,$CU23,AA$57),""),1),""),IF(MID(IFERROR(INDEX(醫師週班表!$C$5:$T$44,$CU23,AA$57),""),2,1)="(",LEFT(IFERROR(INDEX(醫師週班表!$C$5:$T$44,$CU23,AA$57),""),1),IFERROR(INDEX(醫師週班表!$C$5:$T$44,$CU23,AA$57),"")))))))</f>
        <v/>
      </c>
      <c r="AB23" s="68">
        <f>IF(AB$59="X","",IF(AB$59&lt;&gt;"",AB$59,IF(IFERROR(INDEX(醫師週班表!$C$5:$T$44,$CU23,AB$57),"")=0,"",IF(MID(IFERROR(INDEX(醫師週班表!$C$5:$T$44,$CU23,AB$57),""),2,1)="/",MID(IFERROR(INDEX(醫師週班表!$C$5:$T$44,$CU23,AB$57),""),1+AB$58*2,1),IF(MID(IFERROR(INDEX(醫師週班表!$C$5:$T$44,$CU23,AB$57),""),3,1)="隔",IF(AB$58=0,LEFT(IFERROR(INDEX(醫師週班表!$C$5:$T$44,$CU23,AB$57),""),1),""),IF(MID(IFERROR(INDEX(醫師週班表!$C$5:$T$44,$CU23,AB$57),""),2,1)="(",LEFT(IFERROR(INDEX(醫師週班表!$C$5:$T$44,$CU23,AB$57),""),1),IFERROR(INDEX(醫師週班表!$C$5:$T$44,$CU23,AB$57),"")))))))</f>
        <v/>
      </c>
      <c r="AC23" s="67">
        <f>IF(AC$59="X","",IF(AC$59&lt;&gt;"",AC$59,IF(IFERROR(INDEX(醫師週班表!$C$5:$T$44,$CU23,AC$57),"")=0,"",IF(MID(IFERROR(INDEX(醫師週班表!$C$5:$T$44,$CU23,AC$57),""),2,1)="/",MID(IFERROR(INDEX(醫師週班表!$C$5:$T$44,$CU23,AC$57),""),1+AC$58*2,1),IF(MID(IFERROR(INDEX(醫師週班表!$C$5:$T$44,$CU23,AC$57),""),3,1)="隔",IF(AC$58=0,LEFT(IFERROR(INDEX(醫師週班表!$C$5:$T$44,$CU23,AC$57),""),1),""),IF(MID(IFERROR(INDEX(醫師週班表!$C$5:$T$44,$CU23,AC$57),""),2,1)="(",LEFT(IFERROR(INDEX(醫師週班表!$C$5:$T$44,$CU23,AC$57),""),1),IFERROR(INDEX(醫師週班表!$C$5:$T$44,$CU23,AC$57),"")))))))</f>
        <v/>
      </c>
      <c r="AD23" s="68">
        <f>IF(AD$59="X","",IF(AD$59&lt;&gt;"",AD$59,IF(IFERROR(INDEX(醫師週班表!$C$5:$T$44,$CU23,AD$57),"")=0,"",IF(MID(IFERROR(INDEX(醫師週班表!$C$5:$T$44,$CU23,AD$57),""),2,1)="/",MID(IFERROR(INDEX(醫師週班表!$C$5:$T$44,$CU23,AD$57),""),1+AD$58*2,1),IF(MID(IFERROR(INDEX(醫師週班表!$C$5:$T$44,$CU23,AD$57),""),3,1)="隔",IF(AD$58=0,LEFT(IFERROR(INDEX(醫師週班表!$C$5:$T$44,$CU23,AD$57),""),1),""),IF(MID(IFERROR(INDEX(醫師週班表!$C$5:$T$44,$CU23,AD$57),""),2,1)="(",LEFT(IFERROR(INDEX(醫師週班表!$C$5:$T$44,$CU23,AD$57),""),1),IFERROR(INDEX(醫師週班表!$C$5:$T$44,$CU23,AD$57),"")))))))</f>
        <v/>
      </c>
      <c r="AE23" s="68">
        <f>IF(AE$59="X","",IF(AE$59&lt;&gt;"",AE$59,IF(IFERROR(INDEX(醫師週班表!$C$5:$T$44,$CU23,AE$57),"")=0,"",IF(MID(IFERROR(INDEX(醫師週班表!$C$5:$T$44,$CU23,AE$57),""),2,1)="/",MID(IFERROR(INDEX(醫師週班表!$C$5:$T$44,$CU23,AE$57),""),1+AE$58*2,1),IF(MID(IFERROR(INDEX(醫師週班表!$C$5:$T$44,$CU23,AE$57),""),3,1)="隔",IF(AE$58=0,LEFT(IFERROR(INDEX(醫師週班表!$C$5:$T$44,$CU23,AE$57),""),1),""),IF(MID(IFERROR(INDEX(醫師週班表!$C$5:$T$44,$CU23,AE$57),""),2,1)="(",LEFT(IFERROR(INDEX(醫師週班表!$C$5:$T$44,$CU23,AE$57),""),1),IFERROR(INDEX(醫師週班表!$C$5:$T$44,$CU23,AE$57),"")))))))</f>
        <v/>
      </c>
      <c r="AF23" s="67">
        <f>IF(AF$59="X","",IF(AF$59&lt;&gt;"",AF$59,IF(IFERROR(INDEX(醫師週班表!$C$5:$T$44,$CU23,AF$57),"")=0,"",IF(MID(IFERROR(INDEX(醫師週班表!$C$5:$T$44,$CU23,AF$57),""),2,1)="/",MID(IFERROR(INDEX(醫師週班表!$C$5:$T$44,$CU23,AF$57),""),1+AF$58*2,1),IF(MID(IFERROR(INDEX(醫師週班表!$C$5:$T$44,$CU23,AF$57),""),3,1)="隔",IF(AF$58=0,LEFT(IFERROR(INDEX(醫師週班表!$C$5:$T$44,$CU23,AF$57),""),1),""),IF(MID(IFERROR(INDEX(醫師週班表!$C$5:$T$44,$CU23,AF$57),""),2,1)="(",LEFT(IFERROR(INDEX(醫師週班表!$C$5:$T$44,$CU23,AF$57),""),1),IFERROR(INDEX(醫師週班表!$C$5:$T$44,$CU23,AF$57),"")))))))</f>
        <v/>
      </c>
      <c r="AG23" s="68">
        <f>IF(AG$59="X","",IF(AG$59&lt;&gt;"",AG$59,IF(IFERROR(INDEX(醫師週班表!$C$5:$T$44,$CU23,AG$57),"")=0,"",IF(MID(IFERROR(INDEX(醫師週班表!$C$5:$T$44,$CU23,AG$57),""),2,1)="/",MID(IFERROR(INDEX(醫師週班表!$C$5:$T$44,$CU23,AG$57),""),1+AG$58*2,1),IF(MID(IFERROR(INDEX(醫師週班表!$C$5:$T$44,$CU23,AG$57),""),3,1)="隔",IF(AG$58=0,LEFT(IFERROR(INDEX(醫師週班表!$C$5:$T$44,$CU23,AG$57),""),1),""),IF(MID(IFERROR(INDEX(醫師週班表!$C$5:$T$44,$CU23,AG$57),""),2,1)="(",LEFT(IFERROR(INDEX(醫師週班表!$C$5:$T$44,$CU23,AG$57),""),1),IFERROR(INDEX(醫師週班表!$C$5:$T$44,$CU23,AG$57),"")))))))</f>
        <v/>
      </c>
      <c r="AH23" s="68">
        <f>IF(AH$59="X","",IF(AH$59&lt;&gt;"",AH$59,IF(IFERROR(INDEX(醫師週班表!$C$5:$T$44,$CU23,AH$57),"")=0,"",IF(MID(IFERROR(INDEX(醫師週班表!$C$5:$T$44,$CU23,AH$57),""),2,1)="/",MID(IFERROR(INDEX(醫師週班表!$C$5:$T$44,$CU23,AH$57),""),1+AH$58*2,1),IF(MID(IFERROR(INDEX(醫師週班表!$C$5:$T$44,$CU23,AH$57),""),3,1)="隔",IF(AH$58=0,LEFT(IFERROR(INDEX(醫師週班表!$C$5:$T$44,$CU23,AH$57),""),1),""),IF(MID(IFERROR(INDEX(醫師週班表!$C$5:$T$44,$CU23,AH$57),""),2,1)="(",LEFT(IFERROR(INDEX(醫師週班表!$C$5:$T$44,$CU23,AH$57),""),1),IFERROR(INDEX(醫師週班表!$C$5:$T$44,$CU23,AH$57),"")))))))</f>
        <v/>
      </c>
      <c r="AI23" s="67">
        <f>IF(AI$59="X","",IF(AI$59&lt;&gt;"",AI$59,IF(IFERROR(INDEX(醫師週班表!$C$5:$T$44,$CU23,AI$57),"")=0,"",IF(MID(IFERROR(INDEX(醫師週班表!$C$5:$T$44,$CU23,AI$57),""),2,1)="/",MID(IFERROR(INDEX(醫師週班表!$C$5:$T$44,$CU23,AI$57),""),1+AI$58*2,1),IF(MID(IFERROR(INDEX(醫師週班表!$C$5:$T$44,$CU23,AI$57),""),3,1)="隔",IF(AI$58=0,LEFT(IFERROR(INDEX(醫師週班表!$C$5:$T$44,$CU23,AI$57),""),1),""),IF(MID(IFERROR(INDEX(醫師週班表!$C$5:$T$44,$CU23,AI$57),""),2,1)="(",LEFT(IFERROR(INDEX(醫師週班表!$C$5:$T$44,$CU23,AI$57),""),1),IFERROR(INDEX(醫師週班表!$C$5:$T$44,$CU23,AI$57),"")))))))</f>
        <v/>
      </c>
      <c r="AJ23" s="68">
        <f>IF(AJ$59="X","",IF(AJ$59&lt;&gt;"",AJ$59,IF(IFERROR(INDEX(醫師週班表!$C$5:$T$44,$CU23,AJ$57),"")=0,"",IF(MID(IFERROR(INDEX(醫師週班表!$C$5:$T$44,$CU23,AJ$57),""),2,1)="/",MID(IFERROR(INDEX(醫師週班表!$C$5:$T$44,$CU23,AJ$57),""),1+AJ$58*2,1),IF(MID(IFERROR(INDEX(醫師週班表!$C$5:$T$44,$CU23,AJ$57),""),3,1)="隔",IF(AJ$58=0,LEFT(IFERROR(INDEX(醫師週班表!$C$5:$T$44,$CU23,AJ$57),""),1),""),IF(MID(IFERROR(INDEX(醫師週班表!$C$5:$T$44,$CU23,AJ$57),""),2,1)="(",LEFT(IFERROR(INDEX(醫師週班表!$C$5:$T$44,$CU23,AJ$57),""),1),IFERROR(INDEX(醫師週班表!$C$5:$T$44,$CU23,AJ$57),"")))))))</f>
        <v/>
      </c>
      <c r="AK23" s="68">
        <f>IF(AK$59="X","",IF(AK$59&lt;&gt;"",AK$59,IF(IFERROR(INDEX(醫師週班表!$C$5:$T$44,$CU23,AK$57),"")=0,"",IF(MID(IFERROR(INDEX(醫師週班表!$C$5:$T$44,$CU23,AK$57),""),2,1)="/",MID(IFERROR(INDEX(醫師週班表!$C$5:$T$44,$CU23,AK$57),""),1+AK$58*2,1),IF(MID(IFERROR(INDEX(醫師週班表!$C$5:$T$44,$CU23,AK$57),""),3,1)="隔",IF(AK$58=0,LEFT(IFERROR(INDEX(醫師週班表!$C$5:$T$44,$CU23,AK$57),""),1),""),IF(MID(IFERROR(INDEX(醫師週班表!$C$5:$T$44,$CU23,AK$57),""),2,1)="(",LEFT(IFERROR(INDEX(醫師週班表!$C$5:$T$44,$CU23,AK$57),""),1),IFERROR(INDEX(醫師週班表!$C$5:$T$44,$CU23,AK$57),"")))))))</f>
        <v/>
      </c>
      <c r="AL23" s="67">
        <f>IF(AL$59="X","",IF(AL$59&lt;&gt;"",AL$59,IF(IFERROR(INDEX(醫師週班表!$C$5:$T$44,$CU23,AL$57),"")=0,"",IF(MID(IFERROR(INDEX(醫師週班表!$C$5:$T$44,$CU23,AL$57),""),2,1)="/",MID(IFERROR(INDEX(醫師週班表!$C$5:$T$44,$CU23,AL$57),""),1+AL$58*2,1),IF(MID(IFERROR(INDEX(醫師週班表!$C$5:$T$44,$CU23,AL$57),""),3,1)="隔",IF(AL$58=0,LEFT(IFERROR(INDEX(醫師週班表!$C$5:$T$44,$CU23,AL$57),""),1),""),IF(MID(IFERROR(INDEX(醫師週班表!$C$5:$T$44,$CU23,AL$57),""),2,1)="(",LEFT(IFERROR(INDEX(醫師週班表!$C$5:$T$44,$CU23,AL$57),""),1),IFERROR(INDEX(醫師週班表!$C$5:$T$44,$CU23,AL$57),"")))))))</f>
        <v/>
      </c>
      <c r="AM23" s="68">
        <f>IF(AM$59="X","",IF(AM$59&lt;&gt;"",AM$59,IF(IFERROR(INDEX(醫師週班表!$C$5:$T$44,$CU23,AM$57),"")=0,"",IF(MID(IFERROR(INDEX(醫師週班表!$C$5:$T$44,$CU23,AM$57),""),2,1)="/",MID(IFERROR(INDEX(醫師週班表!$C$5:$T$44,$CU23,AM$57),""),1+AM$58*2,1),IF(MID(IFERROR(INDEX(醫師週班表!$C$5:$T$44,$CU23,AM$57),""),3,1)="隔",IF(AM$58=0,LEFT(IFERROR(INDEX(醫師週班表!$C$5:$T$44,$CU23,AM$57),""),1),""),IF(MID(IFERROR(INDEX(醫師週班表!$C$5:$T$44,$CU23,AM$57),""),2,1)="(",LEFT(IFERROR(INDEX(醫師週班表!$C$5:$T$44,$CU23,AM$57),""),1),IFERROR(INDEX(醫師週班表!$C$5:$T$44,$CU23,AM$57),"")))))))</f>
        <v/>
      </c>
      <c r="AN23" s="68">
        <f>IF(AN$59="X","",IF(AN$59&lt;&gt;"",AN$59,IF(IFERROR(INDEX(醫師週班表!$C$5:$T$44,$CU23,AN$57),"")=0,"",IF(MID(IFERROR(INDEX(醫師週班表!$C$5:$T$44,$CU23,AN$57),""),2,1)="/",MID(IFERROR(INDEX(醫師週班表!$C$5:$T$44,$CU23,AN$57),""),1+AN$58*2,1),IF(MID(IFERROR(INDEX(醫師週班表!$C$5:$T$44,$CU23,AN$57),""),3,1)="隔",IF(AN$58=0,LEFT(IFERROR(INDEX(醫師週班表!$C$5:$T$44,$CU23,AN$57),""),1),""),IF(MID(IFERROR(INDEX(醫師週班表!$C$5:$T$44,$CU23,AN$57),""),2,1)="(",LEFT(IFERROR(INDEX(醫師週班表!$C$5:$T$44,$CU23,AN$57),""),1),IFERROR(INDEX(醫師週班表!$C$5:$T$44,$CU23,AN$57),"")))))))</f>
        <v/>
      </c>
      <c r="AO23" s="67">
        <f>IF(AO$59="X","",IF(AO$59&lt;&gt;"",AO$59,IF(IFERROR(INDEX(醫師週班表!$C$5:$T$44,$CU23,AO$57),"")=0,"",IF(MID(IFERROR(INDEX(醫師週班表!$C$5:$T$44,$CU23,AO$57),""),2,1)="/",MID(IFERROR(INDEX(醫師週班表!$C$5:$T$44,$CU23,AO$57),""),1+AO$58*2,1),IF(MID(IFERROR(INDEX(醫師週班表!$C$5:$T$44,$CU23,AO$57),""),3,1)="隔",IF(AO$58=0,LEFT(IFERROR(INDEX(醫師週班表!$C$5:$T$44,$CU23,AO$57),""),1),""),IF(MID(IFERROR(INDEX(醫師週班表!$C$5:$T$44,$CU23,AO$57),""),2,1)="(",LEFT(IFERROR(INDEX(醫師週班表!$C$5:$T$44,$CU23,AO$57),""),1),IFERROR(INDEX(醫師週班表!$C$5:$T$44,$CU23,AO$57),"")))))))</f>
        <v/>
      </c>
      <c r="AP23" s="68">
        <f>IF(AP$59="X","",IF(AP$59&lt;&gt;"",AP$59,IF(IFERROR(INDEX(醫師週班表!$C$5:$T$44,$CU23,AP$57),"")=0,"",IF(MID(IFERROR(INDEX(醫師週班表!$C$5:$T$44,$CU23,AP$57),""),2,1)="/",MID(IFERROR(INDEX(醫師週班表!$C$5:$T$44,$CU23,AP$57),""),1+AP$58*2,1),IF(MID(IFERROR(INDEX(醫師週班表!$C$5:$T$44,$CU23,AP$57),""),3,1)="隔",IF(AP$58=0,LEFT(IFERROR(INDEX(醫師週班表!$C$5:$T$44,$CU23,AP$57),""),1),""),IF(MID(IFERROR(INDEX(醫師週班表!$C$5:$T$44,$CU23,AP$57),""),2,1)="(",LEFT(IFERROR(INDEX(醫師週班表!$C$5:$T$44,$CU23,AP$57),""),1),IFERROR(INDEX(醫師週班表!$C$5:$T$44,$CU23,AP$57),"")))))))</f>
        <v/>
      </c>
      <c r="AQ23" s="68">
        <f>IF(AQ$59="X","",IF(AQ$59&lt;&gt;"",AQ$59,IF(IFERROR(INDEX(醫師週班表!$C$5:$T$44,$CU23,AQ$57),"")=0,"",IF(MID(IFERROR(INDEX(醫師週班表!$C$5:$T$44,$CU23,AQ$57),""),2,1)="/",MID(IFERROR(INDEX(醫師週班表!$C$5:$T$44,$CU23,AQ$57),""),1+AQ$58*2,1),IF(MID(IFERROR(INDEX(醫師週班表!$C$5:$T$44,$CU23,AQ$57),""),3,1)="隔",IF(AQ$58=0,LEFT(IFERROR(INDEX(醫師週班表!$C$5:$T$44,$CU23,AQ$57),""),1),""),IF(MID(IFERROR(INDEX(醫師週班表!$C$5:$T$44,$CU23,AQ$57),""),2,1)="(",LEFT(IFERROR(INDEX(醫師週班表!$C$5:$T$44,$CU23,AQ$57),""),1),IFERROR(INDEX(醫師週班表!$C$5:$T$44,$CU23,AQ$57),"")))))))</f>
        <v/>
      </c>
      <c r="AR23" s="67">
        <f>IF(AR$59="X","",IF(AR$59&lt;&gt;"",AR$59,IF(IFERROR(INDEX(醫師週班表!$C$5:$T$44,$CU23,AR$57),"")=0,"",IF(MID(IFERROR(INDEX(醫師週班表!$C$5:$T$44,$CU23,AR$57),""),2,1)="/",MID(IFERROR(INDEX(醫師週班表!$C$5:$T$44,$CU23,AR$57),""),1+AR$58*2,1),IF(MID(IFERROR(INDEX(醫師週班表!$C$5:$T$44,$CU23,AR$57),""),3,1)="隔",IF(AR$58=0,LEFT(IFERROR(INDEX(醫師週班表!$C$5:$T$44,$CU23,AR$57),""),1),""),IF(MID(IFERROR(INDEX(醫師週班表!$C$5:$T$44,$CU23,AR$57),""),2,1)="(",LEFT(IFERROR(INDEX(醫師週班表!$C$5:$T$44,$CU23,AR$57),""),1),IFERROR(INDEX(醫師週班表!$C$5:$T$44,$CU23,AR$57),"")))))))</f>
        <v/>
      </c>
      <c r="AS23" s="68">
        <f>IF(AS$59="X","",IF(AS$59&lt;&gt;"",AS$59,IF(IFERROR(INDEX(醫師週班表!$C$5:$T$44,$CU23,AS$57),"")=0,"",IF(MID(IFERROR(INDEX(醫師週班表!$C$5:$T$44,$CU23,AS$57),""),2,1)="/",MID(IFERROR(INDEX(醫師週班表!$C$5:$T$44,$CU23,AS$57),""),1+AS$58*2,1),IF(MID(IFERROR(INDEX(醫師週班表!$C$5:$T$44,$CU23,AS$57),""),3,1)="隔",IF(AS$58=0,LEFT(IFERROR(INDEX(醫師週班表!$C$5:$T$44,$CU23,AS$57),""),1),""),IF(MID(IFERROR(INDEX(醫師週班表!$C$5:$T$44,$CU23,AS$57),""),2,1)="(",LEFT(IFERROR(INDEX(醫師週班表!$C$5:$T$44,$CU23,AS$57),""),1),IFERROR(INDEX(醫師週班表!$C$5:$T$44,$CU23,AS$57),"")))))))</f>
        <v/>
      </c>
      <c r="AT23" s="68">
        <f>IF(AT$59="X","",IF(AT$59&lt;&gt;"",AT$59,IF(IFERROR(INDEX(醫師週班表!$C$5:$T$44,$CU23,AT$57),"")=0,"",IF(MID(IFERROR(INDEX(醫師週班表!$C$5:$T$44,$CU23,AT$57),""),2,1)="/",MID(IFERROR(INDEX(醫師週班表!$C$5:$T$44,$CU23,AT$57),""),1+AT$58*2,1),IF(MID(IFERROR(INDEX(醫師週班表!$C$5:$T$44,$CU23,AT$57),""),3,1)="隔",IF(AT$58=0,LEFT(IFERROR(INDEX(醫師週班表!$C$5:$T$44,$CU23,AT$57),""),1),""),IF(MID(IFERROR(INDEX(醫師週班表!$C$5:$T$44,$CU23,AT$57),""),2,1)="(",LEFT(IFERROR(INDEX(醫師週班表!$C$5:$T$44,$CU23,AT$57),""),1),IFERROR(INDEX(醫師週班表!$C$5:$T$44,$CU23,AT$57),"")))))))</f>
        <v/>
      </c>
      <c r="AU23" s="67">
        <f>IF(AU$59="X","",IF(AU$59&lt;&gt;"",AU$59,IF(IFERROR(INDEX(醫師週班表!$C$5:$T$44,$CU23,AU$57),"")=0,"",IF(MID(IFERROR(INDEX(醫師週班表!$C$5:$T$44,$CU23,AU$57),""),2,1)="/",MID(IFERROR(INDEX(醫師週班表!$C$5:$T$44,$CU23,AU$57),""),1+AU$58*2,1),IF(MID(IFERROR(INDEX(醫師週班表!$C$5:$T$44,$CU23,AU$57),""),3,1)="隔",IF(AU$58=0,LEFT(IFERROR(INDEX(醫師週班表!$C$5:$T$44,$CU23,AU$57),""),1),""),IF(MID(IFERROR(INDEX(醫師週班表!$C$5:$T$44,$CU23,AU$57),""),2,1)="(",LEFT(IFERROR(INDEX(醫師週班表!$C$5:$T$44,$CU23,AU$57),""),1),IFERROR(INDEX(醫師週班表!$C$5:$T$44,$CU23,AU$57),"")))))))</f>
        <v/>
      </c>
      <c r="AV23" s="68">
        <f>IF(AV$59="X","",IF(AV$59&lt;&gt;"",AV$59,IF(IFERROR(INDEX(醫師週班表!$C$5:$T$44,$CU23,AV$57),"")=0,"",IF(MID(IFERROR(INDEX(醫師週班表!$C$5:$T$44,$CU23,AV$57),""),2,1)="/",MID(IFERROR(INDEX(醫師週班表!$C$5:$T$44,$CU23,AV$57),""),1+AV$58*2,1),IF(MID(IFERROR(INDEX(醫師週班表!$C$5:$T$44,$CU23,AV$57),""),3,1)="隔",IF(AV$58=0,LEFT(IFERROR(INDEX(醫師週班表!$C$5:$T$44,$CU23,AV$57),""),1),""),IF(MID(IFERROR(INDEX(醫師週班表!$C$5:$T$44,$CU23,AV$57),""),2,1)="(",LEFT(IFERROR(INDEX(醫師週班表!$C$5:$T$44,$CU23,AV$57),""),1),IFERROR(INDEX(醫師週班表!$C$5:$T$44,$CU23,AV$57),"")))))))</f>
        <v/>
      </c>
      <c r="AW23" s="68">
        <f>IF(AW$59="X","",IF(AW$59&lt;&gt;"",AW$59,IF(IFERROR(INDEX(醫師週班表!$C$5:$T$44,$CU23,AW$57),"")=0,"",IF(MID(IFERROR(INDEX(醫師週班表!$C$5:$T$44,$CU23,AW$57),""),2,1)="/",MID(IFERROR(INDEX(醫師週班表!$C$5:$T$44,$CU23,AW$57),""),1+AW$58*2,1),IF(MID(IFERROR(INDEX(醫師週班表!$C$5:$T$44,$CU23,AW$57),""),3,1)="隔",IF(AW$58=0,LEFT(IFERROR(INDEX(醫師週班表!$C$5:$T$44,$CU23,AW$57),""),1),""),IF(MID(IFERROR(INDEX(醫師週班表!$C$5:$T$44,$CU23,AW$57),""),2,1)="(",LEFT(IFERROR(INDEX(醫師週班表!$C$5:$T$44,$CU23,AW$57),""),1),IFERROR(INDEX(醫師週班表!$C$5:$T$44,$CU23,AW$57),"")))))))</f>
        <v/>
      </c>
      <c r="AX23" s="67">
        <f>IF(AX$59="X","",IF(AX$59&lt;&gt;"",AX$59,IF(IFERROR(INDEX(醫師週班表!$C$5:$T$44,$CU23,AX$57),"")=0,"",IF(MID(IFERROR(INDEX(醫師週班表!$C$5:$T$44,$CU23,AX$57),""),2,1)="/",MID(IFERROR(INDEX(醫師週班表!$C$5:$T$44,$CU23,AX$57),""),1+AX$58*2,1),IF(MID(IFERROR(INDEX(醫師週班表!$C$5:$T$44,$CU23,AX$57),""),3,1)="隔",IF(AX$58=0,LEFT(IFERROR(INDEX(醫師週班表!$C$5:$T$44,$CU23,AX$57),""),1),""),IF(MID(IFERROR(INDEX(醫師週班表!$C$5:$T$44,$CU23,AX$57),""),2,1)="(",LEFT(IFERROR(INDEX(醫師週班表!$C$5:$T$44,$CU23,AX$57),""),1),IFERROR(INDEX(醫師週班表!$C$5:$T$44,$CU23,AX$57),"")))))))</f>
        <v/>
      </c>
      <c r="AY23" s="68">
        <f>IF(AY$59="X","",IF(AY$59&lt;&gt;"",AY$59,IF(IFERROR(INDEX(醫師週班表!$C$5:$T$44,$CU23,AY$57),"")=0,"",IF(MID(IFERROR(INDEX(醫師週班表!$C$5:$T$44,$CU23,AY$57),""),2,1)="/",MID(IFERROR(INDEX(醫師週班表!$C$5:$T$44,$CU23,AY$57),""),1+AY$58*2,1),IF(MID(IFERROR(INDEX(醫師週班表!$C$5:$T$44,$CU23,AY$57),""),3,1)="隔",IF(AY$58=0,LEFT(IFERROR(INDEX(醫師週班表!$C$5:$T$44,$CU23,AY$57),""),1),""),IF(MID(IFERROR(INDEX(醫師週班表!$C$5:$T$44,$CU23,AY$57),""),2,1)="(",LEFT(IFERROR(INDEX(醫師週班表!$C$5:$T$44,$CU23,AY$57),""),1),IFERROR(INDEX(醫師週班表!$C$5:$T$44,$CU23,AY$57),"")))))))</f>
        <v/>
      </c>
      <c r="AZ23" s="68">
        <f>IF(AZ$59="X","",IF(AZ$59&lt;&gt;"",AZ$59,IF(IFERROR(INDEX(醫師週班表!$C$5:$T$44,$CU23,AZ$57),"")=0,"",IF(MID(IFERROR(INDEX(醫師週班表!$C$5:$T$44,$CU23,AZ$57),""),2,1)="/",MID(IFERROR(INDEX(醫師週班表!$C$5:$T$44,$CU23,AZ$57),""),1+AZ$58*2,1),IF(MID(IFERROR(INDEX(醫師週班表!$C$5:$T$44,$CU23,AZ$57),""),3,1)="隔",IF(AZ$58=0,LEFT(IFERROR(INDEX(醫師週班表!$C$5:$T$44,$CU23,AZ$57),""),1),""),IF(MID(IFERROR(INDEX(醫師週班表!$C$5:$T$44,$CU23,AZ$57),""),2,1)="(",LEFT(IFERROR(INDEX(醫師週班表!$C$5:$T$44,$CU23,AZ$57),""),1),IFERROR(INDEX(醫師週班表!$C$5:$T$44,$CU23,AZ$57),"")))))))</f>
        <v/>
      </c>
      <c r="BA23" s="67">
        <f>IF(BA$59="X","",IF(BA$59&lt;&gt;"",BA$59,IF(IFERROR(INDEX(醫師週班表!$C$5:$T$44,$CU23,BA$57),"")=0,"",IF(MID(IFERROR(INDEX(醫師週班表!$C$5:$T$44,$CU23,BA$57),""),2,1)="/",MID(IFERROR(INDEX(醫師週班表!$C$5:$T$44,$CU23,BA$57),""),1+BA$58*2,1),IF(MID(IFERROR(INDEX(醫師週班表!$C$5:$T$44,$CU23,BA$57),""),3,1)="隔",IF(BA$58=0,LEFT(IFERROR(INDEX(醫師週班表!$C$5:$T$44,$CU23,BA$57),""),1),""),IF(MID(IFERROR(INDEX(醫師週班表!$C$5:$T$44,$CU23,BA$57),""),2,1)="(",LEFT(IFERROR(INDEX(醫師週班表!$C$5:$T$44,$CU23,BA$57),""),1),IFERROR(INDEX(醫師週班表!$C$5:$T$44,$CU23,BA$57),"")))))))</f>
        <v/>
      </c>
      <c r="BB23" s="68">
        <f>IF(BB$59="X","",IF(BB$59&lt;&gt;"",BB$59,IF(IFERROR(INDEX(醫師週班表!$C$5:$T$44,$CU23,BB$57),"")=0,"",IF(MID(IFERROR(INDEX(醫師週班表!$C$5:$T$44,$CU23,BB$57),""),2,1)="/",MID(IFERROR(INDEX(醫師週班表!$C$5:$T$44,$CU23,BB$57),""),1+BB$58*2,1),IF(MID(IFERROR(INDEX(醫師週班表!$C$5:$T$44,$CU23,BB$57),""),3,1)="隔",IF(BB$58=0,LEFT(IFERROR(INDEX(醫師週班表!$C$5:$T$44,$CU23,BB$57),""),1),""),IF(MID(IFERROR(INDEX(醫師週班表!$C$5:$T$44,$CU23,BB$57),""),2,1)="(",LEFT(IFERROR(INDEX(醫師週班表!$C$5:$T$44,$CU23,BB$57),""),1),IFERROR(INDEX(醫師週班表!$C$5:$T$44,$CU23,BB$57),"")))))))</f>
        <v/>
      </c>
      <c r="BC23" s="68">
        <f>IF(BC$59="X","",IF(BC$59&lt;&gt;"",BC$59,IF(IFERROR(INDEX(醫師週班表!$C$5:$T$44,$CU23,BC$57),"")=0,"",IF(MID(IFERROR(INDEX(醫師週班表!$C$5:$T$44,$CU23,BC$57),""),2,1)="/",MID(IFERROR(INDEX(醫師週班表!$C$5:$T$44,$CU23,BC$57),""),1+BC$58*2,1),IF(MID(IFERROR(INDEX(醫師週班表!$C$5:$T$44,$CU23,BC$57),""),3,1)="隔",IF(BC$58=0,LEFT(IFERROR(INDEX(醫師週班表!$C$5:$T$44,$CU23,BC$57),""),1),""),IF(MID(IFERROR(INDEX(醫師週班表!$C$5:$T$44,$CU23,BC$57),""),2,1)="(",LEFT(IFERROR(INDEX(醫師週班表!$C$5:$T$44,$CU23,BC$57),""),1),IFERROR(INDEX(醫師週班表!$C$5:$T$44,$CU23,BC$57),"")))))))</f>
        <v/>
      </c>
      <c r="BD23" s="67">
        <f>IF(BD$59="X","",IF(BD$59&lt;&gt;"",BD$59,IF(IFERROR(INDEX(醫師週班表!$C$5:$T$44,$CU23,BD$57),"")=0,"",IF(MID(IFERROR(INDEX(醫師週班表!$C$5:$T$44,$CU23,BD$57),""),2,1)="/",MID(IFERROR(INDEX(醫師週班表!$C$5:$T$44,$CU23,BD$57),""),1+BD$58*2,1),IF(MID(IFERROR(INDEX(醫師週班表!$C$5:$T$44,$CU23,BD$57),""),3,1)="隔",IF(BD$58=0,LEFT(IFERROR(INDEX(醫師週班表!$C$5:$T$44,$CU23,BD$57),""),1),""),IF(MID(IFERROR(INDEX(醫師週班表!$C$5:$T$44,$CU23,BD$57),""),2,1)="(",LEFT(IFERROR(INDEX(醫師週班表!$C$5:$T$44,$CU23,BD$57),""),1),IFERROR(INDEX(醫師週班表!$C$5:$T$44,$CU23,BD$57),"")))))))</f>
        <v/>
      </c>
      <c r="BE23" s="68">
        <f>IF(BE$59="X","",IF(BE$59&lt;&gt;"",BE$59,IF(IFERROR(INDEX(醫師週班表!$C$5:$T$44,$CU23,BE$57),"")=0,"",IF(MID(IFERROR(INDEX(醫師週班表!$C$5:$T$44,$CU23,BE$57),""),2,1)="/",MID(IFERROR(INDEX(醫師週班表!$C$5:$T$44,$CU23,BE$57),""),1+BE$58*2,1),IF(MID(IFERROR(INDEX(醫師週班表!$C$5:$T$44,$CU23,BE$57),""),3,1)="隔",IF(BE$58=0,LEFT(IFERROR(INDEX(醫師週班表!$C$5:$T$44,$CU23,BE$57),""),1),""),IF(MID(IFERROR(INDEX(醫師週班表!$C$5:$T$44,$CU23,BE$57),""),2,1)="(",LEFT(IFERROR(INDEX(醫師週班表!$C$5:$T$44,$CU23,BE$57),""),1),IFERROR(INDEX(醫師週班表!$C$5:$T$44,$CU23,BE$57),"")))))))</f>
        <v/>
      </c>
      <c r="BF23" s="68">
        <f>IF(BF$59="X","",IF(BF$59&lt;&gt;"",BF$59,IF(IFERROR(INDEX(醫師週班表!$C$5:$T$44,$CU23,BF$57),"")=0,"",IF(MID(IFERROR(INDEX(醫師週班表!$C$5:$T$44,$CU23,BF$57),""),2,1)="/",MID(IFERROR(INDEX(醫師週班表!$C$5:$T$44,$CU23,BF$57),""),1+BF$58*2,1),IF(MID(IFERROR(INDEX(醫師週班表!$C$5:$T$44,$CU23,BF$57),""),3,1)="隔",IF(BF$58=0,LEFT(IFERROR(INDEX(醫師週班表!$C$5:$T$44,$CU23,BF$57),""),1),""),IF(MID(IFERROR(INDEX(醫師週班表!$C$5:$T$44,$CU23,BF$57),""),2,1)="(",LEFT(IFERROR(INDEX(醫師週班表!$C$5:$T$44,$CU23,BF$57),""),1),IFERROR(INDEX(醫師週班表!$C$5:$T$44,$CU23,BF$57),"")))))))</f>
        <v/>
      </c>
      <c r="BG23" s="67">
        <f>IF(BG$59="X","",IF(BG$59&lt;&gt;"",BG$59,IF(IFERROR(INDEX(醫師週班表!$C$5:$T$44,$CU23,BG$57),"")=0,"",IF(MID(IFERROR(INDEX(醫師週班表!$C$5:$T$44,$CU23,BG$57),""),2,1)="/",MID(IFERROR(INDEX(醫師週班表!$C$5:$T$44,$CU23,BG$57),""),1+BG$58*2,1),IF(MID(IFERROR(INDEX(醫師週班表!$C$5:$T$44,$CU23,BG$57),""),3,1)="隔",IF(BG$58=0,LEFT(IFERROR(INDEX(醫師週班表!$C$5:$T$44,$CU23,BG$57),""),1),""),IF(MID(IFERROR(INDEX(醫師週班表!$C$5:$T$44,$CU23,BG$57),""),2,1)="(",LEFT(IFERROR(INDEX(醫師週班表!$C$5:$T$44,$CU23,BG$57),""),1),IFERROR(INDEX(醫師週班表!$C$5:$T$44,$CU23,BG$57),"")))))))</f>
        <v/>
      </c>
      <c r="BH23" s="68">
        <f>IF(BH$59="X","",IF(BH$59&lt;&gt;"",BH$59,IF(IFERROR(INDEX(醫師週班表!$C$5:$T$44,$CU23,BH$57),"")=0,"",IF(MID(IFERROR(INDEX(醫師週班表!$C$5:$T$44,$CU23,BH$57),""),2,1)="/",MID(IFERROR(INDEX(醫師週班表!$C$5:$T$44,$CU23,BH$57),""),1+BH$58*2,1),IF(MID(IFERROR(INDEX(醫師週班表!$C$5:$T$44,$CU23,BH$57),""),3,1)="隔",IF(BH$58=0,LEFT(IFERROR(INDEX(醫師週班表!$C$5:$T$44,$CU23,BH$57),""),1),""),IF(MID(IFERROR(INDEX(醫師週班表!$C$5:$T$44,$CU23,BH$57),""),2,1)="(",LEFT(IFERROR(INDEX(醫師週班表!$C$5:$T$44,$CU23,BH$57),""),1),IFERROR(INDEX(醫師週班表!$C$5:$T$44,$CU23,BH$57),"")))))))</f>
        <v/>
      </c>
      <c r="BI23" s="68">
        <f>IF(BI$59="X","",IF(BI$59&lt;&gt;"",BI$59,IF(IFERROR(INDEX(醫師週班表!$C$5:$T$44,$CU23,BI$57),"")=0,"",IF(MID(IFERROR(INDEX(醫師週班表!$C$5:$T$44,$CU23,BI$57),""),2,1)="/",MID(IFERROR(INDEX(醫師週班表!$C$5:$T$44,$CU23,BI$57),""),1+BI$58*2,1),IF(MID(IFERROR(INDEX(醫師週班表!$C$5:$T$44,$CU23,BI$57),""),3,1)="隔",IF(BI$58=0,LEFT(IFERROR(INDEX(醫師週班表!$C$5:$T$44,$CU23,BI$57),""),1),""),IF(MID(IFERROR(INDEX(醫師週班表!$C$5:$T$44,$CU23,BI$57),""),2,1)="(",LEFT(IFERROR(INDEX(醫師週班表!$C$5:$T$44,$CU23,BI$57),""),1),IFERROR(INDEX(醫師週班表!$C$5:$T$44,$CU23,BI$57),"")))))))</f>
        <v/>
      </c>
      <c r="BJ23" s="67">
        <f>IF(BJ$59="X","",IF(BJ$59&lt;&gt;"",BJ$59,IF(IFERROR(INDEX(醫師週班表!$C$5:$T$44,$CU23,BJ$57),"")=0,"",IF(MID(IFERROR(INDEX(醫師週班表!$C$5:$T$44,$CU23,BJ$57),""),2,1)="/",MID(IFERROR(INDEX(醫師週班表!$C$5:$T$44,$CU23,BJ$57),""),1+BJ$58*2,1),IF(MID(IFERROR(INDEX(醫師週班表!$C$5:$T$44,$CU23,BJ$57),""),3,1)="隔",IF(BJ$58=0,LEFT(IFERROR(INDEX(醫師週班表!$C$5:$T$44,$CU23,BJ$57),""),1),""),IF(MID(IFERROR(INDEX(醫師週班表!$C$5:$T$44,$CU23,BJ$57),""),2,1)="(",LEFT(IFERROR(INDEX(醫師週班表!$C$5:$T$44,$CU23,BJ$57),""),1),IFERROR(INDEX(醫師週班表!$C$5:$T$44,$CU23,BJ$57),"")))))))</f>
        <v/>
      </c>
      <c r="BK23" s="68">
        <f>IF(BK$59="X","",IF(BK$59&lt;&gt;"",BK$59,IF(IFERROR(INDEX(醫師週班表!$C$5:$T$44,$CU23,BK$57),"")=0,"",IF(MID(IFERROR(INDEX(醫師週班表!$C$5:$T$44,$CU23,BK$57),""),2,1)="/",MID(IFERROR(INDEX(醫師週班表!$C$5:$T$44,$CU23,BK$57),""),1+BK$58*2,1),IF(MID(IFERROR(INDEX(醫師週班表!$C$5:$T$44,$CU23,BK$57),""),3,1)="隔",IF(BK$58=0,LEFT(IFERROR(INDEX(醫師週班表!$C$5:$T$44,$CU23,BK$57),""),1),""),IF(MID(IFERROR(INDEX(醫師週班表!$C$5:$T$44,$CU23,BK$57),""),2,1)="(",LEFT(IFERROR(INDEX(醫師週班表!$C$5:$T$44,$CU23,BK$57),""),1),IFERROR(INDEX(醫師週班表!$C$5:$T$44,$CU23,BK$57),"")))))))</f>
        <v/>
      </c>
      <c r="BL23" s="68">
        <f>IF(BL$59="X","",IF(BL$59&lt;&gt;"",BL$59,IF(IFERROR(INDEX(醫師週班表!$C$5:$T$44,$CU23,BL$57),"")=0,"",IF(MID(IFERROR(INDEX(醫師週班表!$C$5:$T$44,$CU23,BL$57),""),2,1)="/",MID(IFERROR(INDEX(醫師週班表!$C$5:$T$44,$CU23,BL$57),""),1+BL$58*2,1),IF(MID(IFERROR(INDEX(醫師週班表!$C$5:$T$44,$CU23,BL$57),""),3,1)="隔",IF(BL$58=0,LEFT(IFERROR(INDEX(醫師週班表!$C$5:$T$44,$CU23,BL$57),""),1),""),IF(MID(IFERROR(INDEX(醫師週班表!$C$5:$T$44,$CU23,BL$57),""),2,1)="(",LEFT(IFERROR(INDEX(醫師週班表!$C$5:$T$44,$CU23,BL$57),""),1),IFERROR(INDEX(醫師週班表!$C$5:$T$44,$CU23,BL$57),"")))))))</f>
        <v/>
      </c>
      <c r="BM23" s="67">
        <f>IF(BM$59="X","",IF(BM$59&lt;&gt;"",BM$59,IF(IFERROR(INDEX(醫師週班表!$C$5:$T$44,$CU23,BM$57),"")=0,"",IF(MID(IFERROR(INDEX(醫師週班表!$C$5:$T$44,$CU23,BM$57),""),2,1)="/",MID(IFERROR(INDEX(醫師週班表!$C$5:$T$44,$CU23,BM$57),""),1+BM$58*2,1),IF(MID(IFERROR(INDEX(醫師週班表!$C$5:$T$44,$CU23,BM$57),""),3,1)="隔",IF(BM$58=0,LEFT(IFERROR(INDEX(醫師週班表!$C$5:$T$44,$CU23,BM$57),""),1),""),IF(MID(IFERROR(INDEX(醫師週班表!$C$5:$T$44,$CU23,BM$57),""),2,1)="(",LEFT(IFERROR(INDEX(醫師週班表!$C$5:$T$44,$CU23,BM$57),""),1),IFERROR(INDEX(醫師週班表!$C$5:$T$44,$CU23,BM$57),"")))))))</f>
        <v/>
      </c>
      <c r="BN23" s="68">
        <f>IF(BN$59="X","",IF(BN$59&lt;&gt;"",BN$59,IF(IFERROR(INDEX(醫師週班表!$C$5:$T$44,$CU23,BN$57),"")=0,"",IF(MID(IFERROR(INDEX(醫師週班表!$C$5:$T$44,$CU23,BN$57),""),2,1)="/",MID(IFERROR(INDEX(醫師週班表!$C$5:$T$44,$CU23,BN$57),""),1+BN$58*2,1),IF(MID(IFERROR(INDEX(醫師週班表!$C$5:$T$44,$CU23,BN$57),""),3,1)="隔",IF(BN$58=0,LEFT(IFERROR(INDEX(醫師週班表!$C$5:$T$44,$CU23,BN$57),""),1),""),IF(MID(IFERROR(INDEX(醫師週班表!$C$5:$T$44,$CU23,BN$57),""),2,1)="(",LEFT(IFERROR(INDEX(醫師週班表!$C$5:$T$44,$CU23,BN$57),""),1),IFERROR(INDEX(醫師週班表!$C$5:$T$44,$CU23,BN$57),"")))))))</f>
        <v/>
      </c>
      <c r="BO23" s="68">
        <f>IF(BO$59="X","",IF(BO$59&lt;&gt;"",BO$59,IF(IFERROR(INDEX(醫師週班表!$C$5:$T$44,$CU23,BO$57),"")=0,"",IF(MID(IFERROR(INDEX(醫師週班表!$C$5:$T$44,$CU23,BO$57),""),2,1)="/",MID(IFERROR(INDEX(醫師週班表!$C$5:$T$44,$CU23,BO$57),""),1+BO$58*2,1),IF(MID(IFERROR(INDEX(醫師週班表!$C$5:$T$44,$CU23,BO$57),""),3,1)="隔",IF(BO$58=0,LEFT(IFERROR(INDEX(醫師週班表!$C$5:$T$44,$CU23,BO$57),""),1),""),IF(MID(IFERROR(INDEX(醫師週班表!$C$5:$T$44,$CU23,BO$57),""),2,1)="(",LEFT(IFERROR(INDEX(醫師週班表!$C$5:$T$44,$CU23,BO$57),""),1),IFERROR(INDEX(醫師週班表!$C$5:$T$44,$CU23,BO$57),"")))))))</f>
        <v/>
      </c>
      <c r="BP23" s="67">
        <f>IF(BP$59="X","",IF(BP$59&lt;&gt;"",BP$59,IF(IFERROR(INDEX(醫師週班表!$C$5:$T$44,$CU23,BP$57),"")=0,"",IF(MID(IFERROR(INDEX(醫師週班表!$C$5:$T$44,$CU23,BP$57),""),2,1)="/",MID(IFERROR(INDEX(醫師週班表!$C$5:$T$44,$CU23,BP$57),""),1+BP$58*2,1),IF(MID(IFERROR(INDEX(醫師週班表!$C$5:$T$44,$CU23,BP$57),""),3,1)="隔",IF(BP$58=0,LEFT(IFERROR(INDEX(醫師週班表!$C$5:$T$44,$CU23,BP$57),""),1),""),IF(MID(IFERROR(INDEX(醫師週班表!$C$5:$T$44,$CU23,BP$57),""),2,1)="(",LEFT(IFERROR(INDEX(醫師週班表!$C$5:$T$44,$CU23,BP$57),""),1),IFERROR(INDEX(醫師週班表!$C$5:$T$44,$CU23,BP$57),"")))))))</f>
        <v/>
      </c>
      <c r="BQ23" s="68">
        <f>IF(BQ$59="X","",IF(BQ$59&lt;&gt;"",BQ$59,IF(IFERROR(INDEX(醫師週班表!$C$5:$T$44,$CU23,BQ$57),"")=0,"",IF(MID(IFERROR(INDEX(醫師週班表!$C$5:$T$44,$CU23,BQ$57),""),2,1)="/",MID(IFERROR(INDEX(醫師週班表!$C$5:$T$44,$CU23,BQ$57),""),1+BQ$58*2,1),IF(MID(IFERROR(INDEX(醫師週班表!$C$5:$T$44,$CU23,BQ$57),""),3,1)="隔",IF(BQ$58=0,LEFT(IFERROR(INDEX(醫師週班表!$C$5:$T$44,$CU23,BQ$57),""),1),""),IF(MID(IFERROR(INDEX(醫師週班表!$C$5:$T$44,$CU23,BQ$57),""),2,1)="(",LEFT(IFERROR(INDEX(醫師週班表!$C$5:$T$44,$CU23,BQ$57),""),1),IFERROR(INDEX(醫師週班表!$C$5:$T$44,$CU23,BQ$57),"")))))))</f>
        <v/>
      </c>
      <c r="BR23" s="68">
        <f>IF(BR$59="X","",IF(BR$59&lt;&gt;"",BR$59,IF(IFERROR(INDEX(醫師週班表!$C$5:$T$44,$CU23,BR$57),"")=0,"",IF(MID(IFERROR(INDEX(醫師週班表!$C$5:$T$44,$CU23,BR$57),""),2,1)="/",MID(IFERROR(INDEX(醫師週班表!$C$5:$T$44,$CU23,BR$57),""),1+BR$58*2,1),IF(MID(IFERROR(INDEX(醫師週班表!$C$5:$T$44,$CU23,BR$57),""),3,1)="隔",IF(BR$58=0,LEFT(IFERROR(INDEX(醫師週班表!$C$5:$T$44,$CU23,BR$57),""),1),""),IF(MID(IFERROR(INDEX(醫師週班表!$C$5:$T$44,$CU23,BR$57),""),2,1)="(",LEFT(IFERROR(INDEX(醫師週班表!$C$5:$T$44,$CU23,BR$57),""),1),IFERROR(INDEX(醫師週班表!$C$5:$T$44,$CU23,BR$57),"")))))))</f>
        <v/>
      </c>
      <c r="BS23" s="67">
        <f>IF(BS$59="X","",IF(BS$59&lt;&gt;"",BS$59,IF(IFERROR(INDEX(醫師週班表!$C$5:$T$44,$CU23,BS$57),"")=0,"",IF(MID(IFERROR(INDEX(醫師週班表!$C$5:$T$44,$CU23,BS$57),""),2,1)="/",MID(IFERROR(INDEX(醫師週班表!$C$5:$T$44,$CU23,BS$57),""),1+BS$58*2,1),IF(MID(IFERROR(INDEX(醫師週班表!$C$5:$T$44,$CU23,BS$57),""),3,1)="隔",IF(BS$58=0,LEFT(IFERROR(INDEX(醫師週班表!$C$5:$T$44,$CU23,BS$57),""),1),""),IF(MID(IFERROR(INDEX(醫師週班表!$C$5:$T$44,$CU23,BS$57),""),2,1)="(",LEFT(IFERROR(INDEX(醫師週班表!$C$5:$T$44,$CU23,BS$57),""),1),IFERROR(INDEX(醫師週班表!$C$5:$T$44,$CU23,BS$57),"")))))))</f>
        <v/>
      </c>
      <c r="BT23" s="68">
        <f>IF(BT$59="X","",IF(BT$59&lt;&gt;"",BT$59,IF(IFERROR(INDEX(醫師週班表!$C$5:$T$44,$CU23,BT$57),"")=0,"",IF(MID(IFERROR(INDEX(醫師週班表!$C$5:$T$44,$CU23,BT$57),""),2,1)="/",MID(IFERROR(INDEX(醫師週班表!$C$5:$T$44,$CU23,BT$57),""),1+BT$58*2,1),IF(MID(IFERROR(INDEX(醫師週班表!$C$5:$T$44,$CU23,BT$57),""),3,1)="隔",IF(BT$58=0,LEFT(IFERROR(INDEX(醫師週班表!$C$5:$T$44,$CU23,BT$57),""),1),""),IF(MID(IFERROR(INDEX(醫師週班表!$C$5:$T$44,$CU23,BT$57),""),2,1)="(",LEFT(IFERROR(INDEX(醫師週班表!$C$5:$T$44,$CU23,BT$57),""),1),IFERROR(INDEX(醫師週班表!$C$5:$T$44,$CU23,BT$57),"")))))))</f>
        <v/>
      </c>
      <c r="BU23" s="68">
        <f>IF(BU$59="X","",IF(BU$59&lt;&gt;"",BU$59,IF(IFERROR(INDEX(醫師週班表!$C$5:$T$44,$CU23,BU$57),"")=0,"",IF(MID(IFERROR(INDEX(醫師週班表!$C$5:$T$44,$CU23,BU$57),""),2,1)="/",MID(IFERROR(INDEX(醫師週班表!$C$5:$T$44,$CU23,BU$57),""),1+BU$58*2,1),IF(MID(IFERROR(INDEX(醫師週班表!$C$5:$T$44,$CU23,BU$57),""),3,1)="隔",IF(BU$58=0,LEFT(IFERROR(INDEX(醫師週班表!$C$5:$T$44,$CU23,BU$57),""),1),""),IF(MID(IFERROR(INDEX(醫師週班表!$C$5:$T$44,$CU23,BU$57),""),2,1)="(",LEFT(IFERROR(INDEX(醫師週班表!$C$5:$T$44,$CU23,BU$57),""),1),IFERROR(INDEX(醫師週班表!$C$5:$T$44,$CU23,BU$57),"")))))))</f>
        <v/>
      </c>
      <c r="BV23" s="67">
        <f>IF(BV$59="X","",IF(BV$59&lt;&gt;"",BV$59,IF(IFERROR(INDEX(醫師週班表!$C$5:$T$44,$CU23,BV$57),"")=0,"",IF(MID(IFERROR(INDEX(醫師週班表!$C$5:$T$44,$CU23,BV$57),""),2,1)="/",MID(IFERROR(INDEX(醫師週班表!$C$5:$T$44,$CU23,BV$57),""),1+BV$58*2,1),IF(MID(IFERROR(INDEX(醫師週班表!$C$5:$T$44,$CU23,BV$57),""),3,1)="隔",IF(BV$58=0,LEFT(IFERROR(INDEX(醫師週班表!$C$5:$T$44,$CU23,BV$57),""),1),""),IF(MID(IFERROR(INDEX(醫師週班表!$C$5:$T$44,$CU23,BV$57),""),2,1)="(",LEFT(IFERROR(INDEX(醫師週班表!$C$5:$T$44,$CU23,BV$57),""),1),IFERROR(INDEX(醫師週班表!$C$5:$T$44,$CU23,BV$57),"")))))))</f>
        <v/>
      </c>
      <c r="BW23" s="68">
        <f>IF(BW$59="X","",IF(BW$59&lt;&gt;"",BW$59,IF(IFERROR(INDEX(醫師週班表!$C$5:$T$44,$CU23,BW$57),"")=0,"",IF(MID(IFERROR(INDEX(醫師週班表!$C$5:$T$44,$CU23,BW$57),""),2,1)="/",MID(IFERROR(INDEX(醫師週班表!$C$5:$T$44,$CU23,BW$57),""),1+BW$58*2,1),IF(MID(IFERROR(INDEX(醫師週班表!$C$5:$T$44,$CU23,BW$57),""),3,1)="隔",IF(BW$58=0,LEFT(IFERROR(INDEX(醫師週班表!$C$5:$T$44,$CU23,BW$57),""),1),""),IF(MID(IFERROR(INDEX(醫師週班表!$C$5:$T$44,$CU23,BW$57),""),2,1)="(",LEFT(IFERROR(INDEX(醫師週班表!$C$5:$T$44,$CU23,BW$57),""),1),IFERROR(INDEX(醫師週班表!$C$5:$T$44,$CU23,BW$57),"")))))))</f>
        <v/>
      </c>
      <c r="BX23" s="68">
        <f>IF(BX$59="X","",IF(BX$59&lt;&gt;"",BX$59,IF(IFERROR(INDEX(醫師週班表!$C$5:$T$44,$CU23,BX$57),"")=0,"",IF(MID(IFERROR(INDEX(醫師週班表!$C$5:$T$44,$CU23,BX$57),""),2,1)="/",MID(IFERROR(INDEX(醫師週班表!$C$5:$T$44,$CU23,BX$57),""),1+BX$58*2,1),IF(MID(IFERROR(INDEX(醫師週班表!$C$5:$T$44,$CU23,BX$57),""),3,1)="隔",IF(BX$58=0,LEFT(IFERROR(INDEX(醫師週班表!$C$5:$T$44,$CU23,BX$57),""),1),""),IF(MID(IFERROR(INDEX(醫師週班表!$C$5:$T$44,$CU23,BX$57),""),2,1)="(",LEFT(IFERROR(INDEX(醫師週班表!$C$5:$T$44,$CU23,BX$57),""),1),IFERROR(INDEX(醫師週班表!$C$5:$T$44,$CU23,BX$57),"")))))))</f>
        <v/>
      </c>
      <c r="BY23" s="67">
        <f>IF(BY$59="X","",IF(BY$59&lt;&gt;"",BY$59,IF(IFERROR(INDEX(醫師週班表!$C$5:$T$44,$CU23,BY$57),"")=0,"",IF(MID(IFERROR(INDEX(醫師週班表!$C$5:$T$44,$CU23,BY$57),""),2,1)="/",MID(IFERROR(INDEX(醫師週班表!$C$5:$T$44,$CU23,BY$57),""),1+BY$58*2,1),IF(MID(IFERROR(INDEX(醫師週班表!$C$5:$T$44,$CU23,BY$57),""),3,1)="隔",IF(BY$58=0,LEFT(IFERROR(INDEX(醫師週班表!$C$5:$T$44,$CU23,BY$57),""),1),""),IF(MID(IFERROR(INDEX(醫師週班表!$C$5:$T$44,$CU23,BY$57),""),2,1)="(",LEFT(IFERROR(INDEX(醫師週班表!$C$5:$T$44,$CU23,BY$57),""),1),IFERROR(INDEX(醫師週班表!$C$5:$T$44,$CU23,BY$57),"")))))))</f>
        <v/>
      </c>
      <c r="BZ23" s="68">
        <f>IF(BZ$59="X","",IF(BZ$59&lt;&gt;"",BZ$59,IF(IFERROR(INDEX(醫師週班表!$C$5:$T$44,$CU23,BZ$57),"")=0,"",IF(MID(IFERROR(INDEX(醫師週班表!$C$5:$T$44,$CU23,BZ$57),""),2,1)="/",MID(IFERROR(INDEX(醫師週班表!$C$5:$T$44,$CU23,BZ$57),""),1+BZ$58*2,1),IF(MID(IFERROR(INDEX(醫師週班表!$C$5:$T$44,$CU23,BZ$57),""),3,1)="隔",IF(BZ$58=0,LEFT(IFERROR(INDEX(醫師週班表!$C$5:$T$44,$CU23,BZ$57),""),1),""),IF(MID(IFERROR(INDEX(醫師週班表!$C$5:$T$44,$CU23,BZ$57),""),2,1)="(",LEFT(IFERROR(INDEX(醫師週班表!$C$5:$T$44,$CU23,BZ$57),""),1),IFERROR(INDEX(醫師週班表!$C$5:$T$44,$CU23,BZ$57),"")))))))</f>
        <v/>
      </c>
      <c r="CA23" s="68">
        <f>IF(CA$59="X","",IF(CA$59&lt;&gt;"",CA$59,IF(IFERROR(INDEX(醫師週班表!$C$5:$T$44,$CU23,CA$57),"")=0,"",IF(MID(IFERROR(INDEX(醫師週班表!$C$5:$T$44,$CU23,CA$57),""),2,1)="/",MID(IFERROR(INDEX(醫師週班表!$C$5:$T$44,$CU23,CA$57),""),1+CA$58*2,1),IF(MID(IFERROR(INDEX(醫師週班表!$C$5:$T$44,$CU23,CA$57),""),3,1)="隔",IF(CA$58=0,LEFT(IFERROR(INDEX(醫師週班表!$C$5:$T$44,$CU23,CA$57),""),1),""),IF(MID(IFERROR(INDEX(醫師週班表!$C$5:$T$44,$CU23,CA$57),""),2,1)="(",LEFT(IFERROR(INDEX(醫師週班表!$C$5:$T$44,$CU23,CA$57),""),1),IFERROR(INDEX(醫師週班表!$C$5:$T$44,$CU23,CA$57),"")))))))</f>
        <v/>
      </c>
      <c r="CB23" s="67">
        <f>IF(CB$59="X","",IF(CB$59&lt;&gt;"",CB$59,IF(IFERROR(INDEX(醫師週班表!$C$5:$T$44,$CU23,CB$57),"")=0,"",IF(MID(IFERROR(INDEX(醫師週班表!$C$5:$T$44,$CU23,CB$57),""),2,1)="/",MID(IFERROR(INDEX(醫師週班表!$C$5:$T$44,$CU23,CB$57),""),1+CB$58*2,1),IF(MID(IFERROR(INDEX(醫師週班表!$C$5:$T$44,$CU23,CB$57),""),3,1)="隔",IF(CB$58=0,LEFT(IFERROR(INDEX(醫師週班表!$C$5:$T$44,$CU23,CB$57),""),1),""),IF(MID(IFERROR(INDEX(醫師週班表!$C$5:$T$44,$CU23,CB$57),""),2,1)="(",LEFT(IFERROR(INDEX(醫師週班表!$C$5:$T$44,$CU23,CB$57),""),1),IFERROR(INDEX(醫師週班表!$C$5:$T$44,$CU23,CB$57),"")))))))</f>
        <v/>
      </c>
      <c r="CC23" s="68">
        <f>IF(CC$59="X","",IF(CC$59&lt;&gt;"",CC$59,IF(IFERROR(INDEX(醫師週班表!$C$5:$T$44,$CU23,CC$57),"")=0,"",IF(MID(IFERROR(INDEX(醫師週班表!$C$5:$T$44,$CU23,CC$57),""),2,1)="/",MID(IFERROR(INDEX(醫師週班表!$C$5:$T$44,$CU23,CC$57),""),1+CC$58*2,1),IF(MID(IFERROR(INDEX(醫師週班表!$C$5:$T$44,$CU23,CC$57),""),3,1)="隔",IF(CC$58=0,LEFT(IFERROR(INDEX(醫師週班表!$C$5:$T$44,$CU23,CC$57),""),1),""),IF(MID(IFERROR(INDEX(醫師週班表!$C$5:$T$44,$CU23,CC$57),""),2,1)="(",LEFT(IFERROR(INDEX(醫師週班表!$C$5:$T$44,$CU23,CC$57),""),1),IFERROR(INDEX(醫師週班表!$C$5:$T$44,$CU23,CC$57),"")))))))</f>
        <v/>
      </c>
      <c r="CD23" s="68">
        <f>IF(CD$59="X","",IF(CD$59&lt;&gt;"",CD$59,IF(IFERROR(INDEX(醫師週班表!$C$5:$T$44,$CU23,CD$57),"")=0,"",IF(MID(IFERROR(INDEX(醫師週班表!$C$5:$T$44,$CU23,CD$57),""),2,1)="/",MID(IFERROR(INDEX(醫師週班表!$C$5:$T$44,$CU23,CD$57),""),1+CD$58*2,1),IF(MID(IFERROR(INDEX(醫師週班表!$C$5:$T$44,$CU23,CD$57),""),3,1)="隔",IF(CD$58=0,LEFT(IFERROR(INDEX(醫師週班表!$C$5:$T$44,$CU23,CD$57),""),1),""),IF(MID(IFERROR(INDEX(醫師週班表!$C$5:$T$44,$CU23,CD$57),""),2,1)="(",LEFT(IFERROR(INDEX(醫師週班表!$C$5:$T$44,$CU23,CD$57),""),1),IFERROR(INDEX(醫師週班表!$C$5:$T$44,$CU23,CD$57),"")))))))</f>
        <v/>
      </c>
      <c r="CE23" s="67">
        <f>IF(CE$59="X","",IF(CE$59&lt;&gt;"",CE$59,IF(IFERROR(INDEX(醫師週班表!$C$5:$T$44,$CU23,CE$57),"")=0,"",IF(MID(IFERROR(INDEX(醫師週班表!$C$5:$T$44,$CU23,CE$57),""),2,1)="/",MID(IFERROR(INDEX(醫師週班表!$C$5:$T$44,$CU23,CE$57),""),1+CE$58*2,1),IF(MID(IFERROR(INDEX(醫師週班表!$C$5:$T$44,$CU23,CE$57),""),3,1)="隔",IF(CE$58=0,LEFT(IFERROR(INDEX(醫師週班表!$C$5:$T$44,$CU23,CE$57),""),1),""),IF(MID(IFERROR(INDEX(醫師週班表!$C$5:$T$44,$CU23,CE$57),""),2,1)="(",LEFT(IFERROR(INDEX(醫師週班表!$C$5:$T$44,$CU23,CE$57),""),1),IFERROR(INDEX(醫師週班表!$C$5:$T$44,$CU23,CE$57),"")))))))</f>
        <v/>
      </c>
      <c r="CF23" s="68">
        <f>IF(CF$59="X","",IF(CF$59&lt;&gt;"",CF$59,IF(IFERROR(INDEX(醫師週班表!$C$5:$T$44,$CU23,CF$57),"")=0,"",IF(MID(IFERROR(INDEX(醫師週班表!$C$5:$T$44,$CU23,CF$57),""),2,1)="/",MID(IFERROR(INDEX(醫師週班表!$C$5:$T$44,$CU23,CF$57),""),1+CF$58*2,1),IF(MID(IFERROR(INDEX(醫師週班表!$C$5:$T$44,$CU23,CF$57),""),3,1)="隔",IF(CF$58=0,LEFT(IFERROR(INDEX(醫師週班表!$C$5:$T$44,$CU23,CF$57),""),1),""),IF(MID(IFERROR(INDEX(醫師週班表!$C$5:$T$44,$CU23,CF$57),""),2,1)="(",LEFT(IFERROR(INDEX(醫師週班表!$C$5:$T$44,$CU23,CF$57),""),1),IFERROR(INDEX(醫師週班表!$C$5:$T$44,$CU23,CF$57),"")))))))</f>
        <v/>
      </c>
      <c r="CG23" s="68">
        <f>IF(CG$59="X","",IF(CG$59&lt;&gt;"",CG$59,IF(IFERROR(INDEX(醫師週班表!$C$5:$T$44,$CU23,CG$57),"")=0,"",IF(MID(IFERROR(INDEX(醫師週班表!$C$5:$T$44,$CU23,CG$57),""),2,1)="/",MID(IFERROR(INDEX(醫師週班表!$C$5:$T$44,$CU23,CG$57),""),1+CG$58*2,1),IF(MID(IFERROR(INDEX(醫師週班表!$C$5:$T$44,$CU23,CG$57),""),3,1)="隔",IF(CG$58=0,LEFT(IFERROR(INDEX(醫師週班表!$C$5:$T$44,$CU23,CG$57),""),1),""),IF(MID(IFERROR(INDEX(醫師週班表!$C$5:$T$44,$CU23,CG$57),""),2,1)="(",LEFT(IFERROR(INDEX(醫師週班表!$C$5:$T$44,$CU23,CG$57),""),1),IFERROR(INDEX(醫師週班表!$C$5:$T$44,$CU23,CG$57),"")))))))</f>
        <v/>
      </c>
      <c r="CH23" s="67">
        <f>IF(CH$59="X","",IF(CH$59&lt;&gt;"",CH$59,IF(IFERROR(INDEX(醫師週班表!$C$5:$T$44,$CU23,CH$57),"")=0,"",IF(MID(IFERROR(INDEX(醫師週班表!$C$5:$T$44,$CU23,CH$57),""),2,1)="/",MID(IFERROR(INDEX(醫師週班表!$C$5:$T$44,$CU23,CH$57),""),1+CH$58*2,1),IF(MID(IFERROR(INDEX(醫師週班表!$C$5:$T$44,$CU23,CH$57),""),3,1)="隔",IF(CH$58=0,LEFT(IFERROR(INDEX(醫師週班表!$C$5:$T$44,$CU23,CH$57),""),1),""),IF(MID(IFERROR(INDEX(醫師週班表!$C$5:$T$44,$CU23,CH$57),""),2,1)="(",LEFT(IFERROR(INDEX(醫師週班表!$C$5:$T$44,$CU23,CH$57),""),1),IFERROR(INDEX(醫師週班表!$C$5:$T$44,$CU23,CH$57),"")))))))</f>
        <v/>
      </c>
      <c r="CI23" s="68">
        <f>IF(CI$59="X","",IF(CI$59&lt;&gt;"",CI$59,IF(IFERROR(INDEX(醫師週班表!$C$5:$T$44,$CU23,CI$57),"")=0,"",IF(MID(IFERROR(INDEX(醫師週班表!$C$5:$T$44,$CU23,CI$57),""),2,1)="/",MID(IFERROR(INDEX(醫師週班表!$C$5:$T$44,$CU23,CI$57),""),1+CI$58*2,1),IF(MID(IFERROR(INDEX(醫師週班表!$C$5:$T$44,$CU23,CI$57),""),3,1)="隔",IF(CI$58=0,LEFT(IFERROR(INDEX(醫師週班表!$C$5:$T$44,$CU23,CI$57),""),1),""),IF(MID(IFERROR(INDEX(醫師週班表!$C$5:$T$44,$CU23,CI$57),""),2,1)="(",LEFT(IFERROR(INDEX(醫師週班表!$C$5:$T$44,$CU23,CI$57),""),1),IFERROR(INDEX(醫師週班表!$C$5:$T$44,$CU23,CI$57),"")))))))</f>
        <v/>
      </c>
      <c r="CJ23" s="68">
        <f>IF(CJ$59="X","",IF(CJ$59&lt;&gt;"",CJ$59,IF(IFERROR(INDEX(醫師週班表!$C$5:$T$44,$CU23,CJ$57),"")=0,"",IF(MID(IFERROR(INDEX(醫師週班表!$C$5:$T$44,$CU23,CJ$57),""),2,1)="/",MID(IFERROR(INDEX(醫師週班表!$C$5:$T$44,$CU23,CJ$57),""),1+CJ$58*2,1),IF(MID(IFERROR(INDEX(醫師週班表!$C$5:$T$44,$CU23,CJ$57),""),3,1)="隔",IF(CJ$58=0,LEFT(IFERROR(INDEX(醫師週班表!$C$5:$T$44,$CU23,CJ$57),""),1),""),IF(MID(IFERROR(INDEX(醫師週班表!$C$5:$T$44,$CU23,CJ$57),""),2,1)="(",LEFT(IFERROR(INDEX(醫師週班表!$C$5:$T$44,$CU23,CJ$57),""),1),IFERROR(INDEX(醫師週班表!$C$5:$T$44,$CU23,CJ$57),"")))))))</f>
        <v/>
      </c>
      <c r="CK23" s="67">
        <f>IF(CK$59="X","",IF(CK$59&lt;&gt;"",CK$59,IF(IFERROR(INDEX(醫師週班表!$C$5:$T$44,$CU23,CK$57),"")=0,"",IF(MID(IFERROR(INDEX(醫師週班表!$C$5:$T$44,$CU23,CK$57),""),2,1)="/",MID(IFERROR(INDEX(醫師週班表!$C$5:$T$44,$CU23,CK$57),""),1+CK$58*2,1),IF(MID(IFERROR(INDEX(醫師週班表!$C$5:$T$44,$CU23,CK$57),""),3,1)="隔",IF(CK$58=0,LEFT(IFERROR(INDEX(醫師週班表!$C$5:$T$44,$CU23,CK$57),""),1),""),IF(MID(IFERROR(INDEX(醫師週班表!$C$5:$T$44,$CU23,CK$57),""),2,1)="(",LEFT(IFERROR(INDEX(醫師週班表!$C$5:$T$44,$CU23,CK$57),""),1),IFERROR(INDEX(醫師週班表!$C$5:$T$44,$CU23,CK$57),"")))))))</f>
        <v/>
      </c>
      <c r="CL23" s="68">
        <f>IF(CL$59="X","",IF(CL$59&lt;&gt;"",CL$59,IF(IFERROR(INDEX(醫師週班表!$C$5:$T$44,$CU23,CL$57),"")=0,"",IF(MID(IFERROR(INDEX(醫師週班表!$C$5:$T$44,$CU23,CL$57),""),2,1)="/",MID(IFERROR(INDEX(醫師週班表!$C$5:$T$44,$CU23,CL$57),""),1+CL$58*2,1),IF(MID(IFERROR(INDEX(醫師週班表!$C$5:$T$44,$CU23,CL$57),""),3,1)="隔",IF(CL$58=0,LEFT(IFERROR(INDEX(醫師週班表!$C$5:$T$44,$CU23,CL$57),""),1),""),IF(MID(IFERROR(INDEX(醫師週班表!$C$5:$T$44,$CU23,CL$57),""),2,1)="(",LEFT(IFERROR(INDEX(醫師週班表!$C$5:$T$44,$CU23,CL$57),""),1),IFERROR(INDEX(醫師週班表!$C$5:$T$44,$CU23,CL$57),"")))))))</f>
        <v/>
      </c>
      <c r="CM23" s="68">
        <f>IF(CM$59="X","",IF(CM$59&lt;&gt;"",CM$59,IF(IFERROR(INDEX(醫師週班表!$C$5:$T$44,$CU23,CM$57),"")=0,"",IF(MID(IFERROR(INDEX(醫師週班表!$C$5:$T$44,$CU23,CM$57),""),2,1)="/",MID(IFERROR(INDEX(醫師週班表!$C$5:$T$44,$CU23,CM$57),""),1+CM$58*2,1),IF(MID(IFERROR(INDEX(醫師週班表!$C$5:$T$44,$CU23,CM$57),""),3,1)="隔",IF(CM$58=0,LEFT(IFERROR(INDEX(醫師週班表!$C$5:$T$44,$CU23,CM$57),""),1),""),IF(MID(IFERROR(INDEX(醫師週班表!$C$5:$T$44,$CU23,CM$57),""),2,1)="(",LEFT(IFERROR(INDEX(醫師週班表!$C$5:$T$44,$CU23,CM$57),""),1),IFERROR(INDEX(醫師週班表!$C$5:$T$44,$CU23,CM$57),"")))))))</f>
        <v/>
      </c>
      <c r="CN23" s="67">
        <f>IF(CN$59="X","",IF(CN$59&lt;&gt;"",CN$59,IF(IFERROR(INDEX(醫師週班表!$C$5:$T$44,$CU23,CN$57),"")=0,"",IF(MID(IFERROR(INDEX(醫師週班表!$C$5:$T$44,$CU23,CN$57),""),2,1)="/",MID(IFERROR(INDEX(醫師週班表!$C$5:$T$44,$CU23,CN$57),""),1+CN$58*2,1),IF(MID(IFERROR(INDEX(醫師週班表!$C$5:$T$44,$CU23,CN$57),""),3,1)="隔",IF(CN$58=0,LEFT(IFERROR(INDEX(醫師週班表!$C$5:$T$44,$CU23,CN$57),""),1),""),IF(MID(IFERROR(INDEX(醫師週班表!$C$5:$T$44,$CU23,CN$57),""),2,1)="(",LEFT(IFERROR(INDEX(醫師週班表!$C$5:$T$44,$CU23,CN$57),""),1),IFERROR(INDEX(醫師週班表!$C$5:$T$44,$CU23,CN$57),"")))))))</f>
        <v/>
      </c>
      <c r="CO23" s="68">
        <f>IF(CO$59="X","",IF(CO$59&lt;&gt;"",CO$59,IF(IFERROR(INDEX(醫師週班表!$C$5:$T$44,$CU23,CO$57),"")=0,"",IF(MID(IFERROR(INDEX(醫師週班表!$C$5:$T$44,$CU23,CO$57),""),2,1)="/",MID(IFERROR(INDEX(醫師週班表!$C$5:$T$44,$CU23,CO$57),""),1+CO$58*2,1),IF(MID(IFERROR(INDEX(醫師週班表!$C$5:$T$44,$CU23,CO$57),""),3,1)="隔",IF(CO$58=0,LEFT(IFERROR(INDEX(醫師週班表!$C$5:$T$44,$CU23,CO$57),""),1),""),IF(MID(IFERROR(INDEX(醫師週班表!$C$5:$T$44,$CU23,CO$57),""),2,1)="(",LEFT(IFERROR(INDEX(醫師週班表!$C$5:$T$44,$CU23,CO$57),""),1),IFERROR(INDEX(醫師週班表!$C$5:$T$44,$CU23,CO$57),"")))))))</f>
        <v/>
      </c>
      <c r="CP23" s="68">
        <f>IF(CP$59="X","",IF(CP$59&lt;&gt;"",CP$59,IF(IFERROR(INDEX(醫師週班表!$C$5:$T$44,$CU23,CP$57),"")=0,"",IF(MID(IFERROR(INDEX(醫師週班表!$C$5:$T$44,$CU23,CP$57),""),2,1)="/",MID(IFERROR(INDEX(醫師週班表!$C$5:$T$44,$CU23,CP$57),""),1+CP$58*2,1),IF(MID(IFERROR(INDEX(醫師週班表!$C$5:$T$44,$CU23,CP$57),""),3,1)="隔",IF(CP$58=0,LEFT(IFERROR(INDEX(醫師週班表!$C$5:$T$44,$CU23,CP$57),""),1),""),IF(MID(IFERROR(INDEX(醫師週班表!$C$5:$T$44,$CU23,CP$57),""),2,1)="(",LEFT(IFERROR(INDEX(醫師週班表!$C$5:$T$44,$CU23,CP$57),""),1),IFERROR(INDEX(醫師週班表!$C$5:$T$44,$CU23,CP$57),"")))))))</f>
        <v/>
      </c>
      <c r="CQ23" s="67">
        <f>IF(CQ$59="X","",IF(CQ$59&lt;&gt;"",CQ$59,IF(IFERROR(INDEX(醫師週班表!$C$5:$T$44,$CU23,CQ$57),"")=0,"",IF(MID(IFERROR(INDEX(醫師週班表!$C$5:$T$44,$CU23,CQ$57),""),2,1)="/",MID(IFERROR(INDEX(醫師週班表!$C$5:$T$44,$CU23,CQ$57),""),1+CQ$58*2,1),IF(MID(IFERROR(INDEX(醫師週班表!$C$5:$T$44,$CU23,CQ$57),""),3,1)="隔",IF(CQ$58=0,LEFT(IFERROR(INDEX(醫師週班表!$C$5:$T$44,$CU23,CQ$57),""),1),""),IF(MID(IFERROR(INDEX(醫師週班表!$C$5:$T$44,$CU23,CQ$57),""),2,1)="(",LEFT(IFERROR(INDEX(醫師週班表!$C$5:$T$44,$CU23,CQ$57),""),1),IFERROR(INDEX(醫師週班表!$C$5:$T$44,$CU23,CQ$57),"")))))))</f>
        <v/>
      </c>
      <c r="CR23" s="68">
        <f>IF(CR$59="X","",IF(CR$59&lt;&gt;"",CR$59,IF(IFERROR(INDEX(醫師週班表!$C$5:$T$44,$CU23,CR$57),"")=0,"",IF(MID(IFERROR(INDEX(醫師週班表!$C$5:$T$44,$CU23,CR$57),""),2,1)="/",MID(IFERROR(INDEX(醫師週班表!$C$5:$T$44,$CU23,CR$57),""),1+CR$58*2,1),IF(MID(IFERROR(INDEX(醫師週班表!$C$5:$T$44,$CU23,CR$57),""),3,1)="隔",IF(CR$58=0,LEFT(IFERROR(INDEX(醫師週班表!$C$5:$T$44,$CU23,CR$57),""),1),""),IF(MID(IFERROR(INDEX(醫師週班表!$C$5:$T$44,$CU23,CR$57),""),2,1)="(",LEFT(IFERROR(INDEX(醫師週班表!$C$5:$T$44,$CU23,CR$57),""),1),IFERROR(INDEX(醫師週班表!$C$5:$T$44,$CU23,CR$57),"")))))))</f>
        <v/>
      </c>
      <c r="CS23" s="68">
        <f>IF(CS$59="X","",IF(CS$59&lt;&gt;"",CS$59,IF(IFERROR(INDEX(醫師週班表!$C$5:$T$44,$CU23,CS$57),"")=0,"",IF(MID(IFERROR(INDEX(醫師週班表!$C$5:$T$44,$CU23,CS$57),""),2,1)="/",MID(IFERROR(INDEX(醫師週班表!$C$5:$T$44,$CU23,CS$57),""),1+CS$58*2,1),IF(MID(IFERROR(INDEX(醫師週班表!$C$5:$T$44,$CU23,CS$57),""),3,1)="隔",IF(CS$58=0,LEFT(IFERROR(INDEX(醫師週班表!$C$5:$T$44,$CU23,CS$57),""),1),""),IF(MID(IFERROR(INDEX(醫師週班表!$C$5:$T$44,$CU23,CS$57),""),2,1)="(",LEFT(IFERROR(INDEX(醫師週班表!$C$5:$T$44,$CU23,CS$57),""),1),IFERROR(INDEX(醫師週班表!$C$5:$T$44,$CU23,CS$57),"")))))))</f>
        <v/>
      </c>
      <c r="CU23" s="69">
        <f>IFERROR(MATCH($A23,醫師週班表!$A$5:$A$44,0),0)</f>
        <v/>
      </c>
    </row>
    <row r="24" ht="17" customHeight="1">
      <c r="A24" s="20" t="inlineStr">
        <is>
          <t>D019</t>
        </is>
      </c>
      <c r="B24" s="16" t="inlineStr">
        <is>
          <t>翁崎紘</t>
        </is>
      </c>
      <c r="C24" s="66" t="inlineStr"/>
      <c r="D24" s="16" t="inlineStr"/>
      <c r="E24" s="67">
        <f>IF(E$59="X","",IF(E$59&lt;&gt;"",E$59,IF(IFERROR(INDEX(醫師週班表!$C$5:$T$44,$CU24,E$57),"")=0,"",IF(MID(IFERROR(INDEX(醫師週班表!$C$5:$T$44,$CU24,E$57),""),2,1)="/",MID(IFERROR(INDEX(醫師週班表!$C$5:$T$44,$CU24,E$57),""),1+E$58*2,1),IF(MID(IFERROR(INDEX(醫師週班表!$C$5:$T$44,$CU24,E$57),""),3,1)="隔",IF(E$58=0,LEFT(IFERROR(INDEX(醫師週班表!$C$5:$T$44,$CU24,E$57),""),1),""),IF(MID(IFERROR(INDEX(醫師週班表!$C$5:$T$44,$CU24,E$57),""),2,1)="(",LEFT(IFERROR(INDEX(醫師週班表!$C$5:$T$44,$CU24,E$57),""),1),IFERROR(INDEX(醫師週班表!$C$5:$T$44,$CU24,E$57),"")))))))</f>
        <v/>
      </c>
      <c r="F24" s="68">
        <f>IF(F$59="X","",IF(F$59&lt;&gt;"",F$59,IF(IFERROR(INDEX(醫師週班表!$C$5:$T$44,$CU24,F$57),"")=0,"",IF(MID(IFERROR(INDEX(醫師週班表!$C$5:$T$44,$CU24,F$57),""),2,1)="/",MID(IFERROR(INDEX(醫師週班表!$C$5:$T$44,$CU24,F$57),""),1+F$58*2,1),IF(MID(IFERROR(INDEX(醫師週班表!$C$5:$T$44,$CU24,F$57),""),3,1)="隔",IF(F$58=0,LEFT(IFERROR(INDEX(醫師週班表!$C$5:$T$44,$CU24,F$57),""),1),""),IF(MID(IFERROR(INDEX(醫師週班表!$C$5:$T$44,$CU24,F$57),""),2,1)="(",LEFT(IFERROR(INDEX(醫師週班表!$C$5:$T$44,$CU24,F$57),""),1),IFERROR(INDEX(醫師週班表!$C$5:$T$44,$CU24,F$57),"")))))))</f>
        <v/>
      </c>
      <c r="G24" s="68">
        <f>IF(G$59="X","",IF(G$59&lt;&gt;"",G$59,IF(IFERROR(INDEX(醫師週班表!$C$5:$T$44,$CU24,G$57),"")=0,"",IF(MID(IFERROR(INDEX(醫師週班表!$C$5:$T$44,$CU24,G$57),""),2,1)="/",MID(IFERROR(INDEX(醫師週班表!$C$5:$T$44,$CU24,G$57),""),1+G$58*2,1),IF(MID(IFERROR(INDEX(醫師週班表!$C$5:$T$44,$CU24,G$57),""),3,1)="隔",IF(G$58=0,LEFT(IFERROR(INDEX(醫師週班表!$C$5:$T$44,$CU24,G$57),""),1),""),IF(MID(IFERROR(INDEX(醫師週班表!$C$5:$T$44,$CU24,G$57),""),2,1)="(",LEFT(IFERROR(INDEX(醫師週班表!$C$5:$T$44,$CU24,G$57),""),1),IFERROR(INDEX(醫師週班表!$C$5:$T$44,$CU24,G$57),"")))))))</f>
        <v/>
      </c>
      <c r="H24" s="67">
        <f>IF(H$59="X","",IF(H$59&lt;&gt;"",H$59,IF(IFERROR(INDEX(醫師週班表!$C$5:$T$44,$CU24,H$57),"")=0,"",IF(MID(IFERROR(INDEX(醫師週班表!$C$5:$T$44,$CU24,H$57),""),2,1)="/",MID(IFERROR(INDEX(醫師週班表!$C$5:$T$44,$CU24,H$57),""),1+H$58*2,1),IF(MID(IFERROR(INDEX(醫師週班表!$C$5:$T$44,$CU24,H$57),""),3,1)="隔",IF(H$58=0,LEFT(IFERROR(INDEX(醫師週班表!$C$5:$T$44,$CU24,H$57),""),1),""),IF(MID(IFERROR(INDEX(醫師週班表!$C$5:$T$44,$CU24,H$57),""),2,1)="(",LEFT(IFERROR(INDEX(醫師週班表!$C$5:$T$44,$CU24,H$57),""),1),IFERROR(INDEX(醫師週班表!$C$5:$T$44,$CU24,H$57),"")))))))</f>
        <v/>
      </c>
      <c r="I24" s="68">
        <f>IF(I$59="X","",IF(I$59&lt;&gt;"",I$59,IF(IFERROR(INDEX(醫師週班表!$C$5:$T$44,$CU24,I$57),"")=0,"",IF(MID(IFERROR(INDEX(醫師週班表!$C$5:$T$44,$CU24,I$57),""),2,1)="/",MID(IFERROR(INDEX(醫師週班表!$C$5:$T$44,$CU24,I$57),""),1+I$58*2,1),IF(MID(IFERROR(INDEX(醫師週班表!$C$5:$T$44,$CU24,I$57),""),3,1)="隔",IF(I$58=0,LEFT(IFERROR(INDEX(醫師週班表!$C$5:$T$44,$CU24,I$57),""),1),""),IF(MID(IFERROR(INDEX(醫師週班表!$C$5:$T$44,$CU24,I$57),""),2,1)="(",LEFT(IFERROR(INDEX(醫師週班表!$C$5:$T$44,$CU24,I$57),""),1),IFERROR(INDEX(醫師週班表!$C$5:$T$44,$CU24,I$57),"")))))))</f>
        <v/>
      </c>
      <c r="J24" s="68">
        <f>IF(J$59="X","",IF(J$59&lt;&gt;"",J$59,IF(IFERROR(INDEX(醫師週班表!$C$5:$T$44,$CU24,J$57),"")=0,"",IF(MID(IFERROR(INDEX(醫師週班表!$C$5:$T$44,$CU24,J$57),""),2,1)="/",MID(IFERROR(INDEX(醫師週班表!$C$5:$T$44,$CU24,J$57),""),1+J$58*2,1),IF(MID(IFERROR(INDEX(醫師週班表!$C$5:$T$44,$CU24,J$57),""),3,1)="隔",IF(J$58=0,LEFT(IFERROR(INDEX(醫師週班表!$C$5:$T$44,$CU24,J$57),""),1),""),IF(MID(IFERROR(INDEX(醫師週班表!$C$5:$T$44,$CU24,J$57),""),2,1)="(",LEFT(IFERROR(INDEX(醫師週班表!$C$5:$T$44,$CU24,J$57),""),1),IFERROR(INDEX(醫師週班表!$C$5:$T$44,$CU24,J$57),"")))))))</f>
        <v/>
      </c>
      <c r="K24" s="67">
        <f>IF(K$59="X","",IF(K$59&lt;&gt;"",K$59,IF(IFERROR(INDEX(醫師週班表!$C$5:$T$44,$CU24,K$57),"")=0,"",IF(MID(IFERROR(INDEX(醫師週班表!$C$5:$T$44,$CU24,K$57),""),2,1)="/",MID(IFERROR(INDEX(醫師週班表!$C$5:$T$44,$CU24,K$57),""),1+K$58*2,1),IF(MID(IFERROR(INDEX(醫師週班表!$C$5:$T$44,$CU24,K$57),""),3,1)="隔",IF(K$58=0,LEFT(IFERROR(INDEX(醫師週班表!$C$5:$T$44,$CU24,K$57),""),1),""),IF(MID(IFERROR(INDEX(醫師週班表!$C$5:$T$44,$CU24,K$57),""),2,1)="(",LEFT(IFERROR(INDEX(醫師週班表!$C$5:$T$44,$CU24,K$57),""),1),IFERROR(INDEX(醫師週班表!$C$5:$T$44,$CU24,K$57),"")))))))</f>
        <v/>
      </c>
      <c r="L24" s="68">
        <f>IF(L$59="X","",IF(L$59&lt;&gt;"",L$59,IF(IFERROR(INDEX(醫師週班表!$C$5:$T$44,$CU24,L$57),"")=0,"",IF(MID(IFERROR(INDEX(醫師週班表!$C$5:$T$44,$CU24,L$57),""),2,1)="/",MID(IFERROR(INDEX(醫師週班表!$C$5:$T$44,$CU24,L$57),""),1+L$58*2,1),IF(MID(IFERROR(INDEX(醫師週班表!$C$5:$T$44,$CU24,L$57),""),3,1)="隔",IF(L$58=0,LEFT(IFERROR(INDEX(醫師週班表!$C$5:$T$44,$CU24,L$57),""),1),""),IF(MID(IFERROR(INDEX(醫師週班表!$C$5:$T$44,$CU24,L$57),""),2,1)="(",LEFT(IFERROR(INDEX(醫師週班表!$C$5:$T$44,$CU24,L$57),""),1),IFERROR(INDEX(醫師週班表!$C$5:$T$44,$CU24,L$57),"")))))))</f>
        <v/>
      </c>
      <c r="M24" s="68">
        <f>IF(M$59="X","",IF(M$59&lt;&gt;"",M$59,IF(IFERROR(INDEX(醫師週班表!$C$5:$T$44,$CU24,M$57),"")=0,"",IF(MID(IFERROR(INDEX(醫師週班表!$C$5:$T$44,$CU24,M$57),""),2,1)="/",MID(IFERROR(INDEX(醫師週班表!$C$5:$T$44,$CU24,M$57),""),1+M$58*2,1),IF(MID(IFERROR(INDEX(醫師週班表!$C$5:$T$44,$CU24,M$57),""),3,1)="隔",IF(M$58=0,LEFT(IFERROR(INDEX(醫師週班表!$C$5:$T$44,$CU24,M$57),""),1),""),IF(MID(IFERROR(INDEX(醫師週班表!$C$5:$T$44,$CU24,M$57),""),2,1)="(",LEFT(IFERROR(INDEX(醫師週班表!$C$5:$T$44,$CU24,M$57),""),1),IFERROR(INDEX(醫師週班表!$C$5:$T$44,$CU24,M$57),"")))))))</f>
        <v/>
      </c>
      <c r="N24" s="67">
        <f>IF(N$59="X","",IF(N$59&lt;&gt;"",N$59,IF(IFERROR(INDEX(醫師週班表!$C$5:$T$44,$CU24,N$57),"")=0,"",IF(MID(IFERROR(INDEX(醫師週班表!$C$5:$T$44,$CU24,N$57),""),2,1)="/",MID(IFERROR(INDEX(醫師週班表!$C$5:$T$44,$CU24,N$57),""),1+N$58*2,1),IF(MID(IFERROR(INDEX(醫師週班表!$C$5:$T$44,$CU24,N$57),""),3,1)="隔",IF(N$58=0,LEFT(IFERROR(INDEX(醫師週班表!$C$5:$T$44,$CU24,N$57),""),1),""),IF(MID(IFERROR(INDEX(醫師週班表!$C$5:$T$44,$CU24,N$57),""),2,1)="(",LEFT(IFERROR(INDEX(醫師週班表!$C$5:$T$44,$CU24,N$57),""),1),IFERROR(INDEX(醫師週班表!$C$5:$T$44,$CU24,N$57),"")))))))</f>
        <v/>
      </c>
      <c r="O24" s="68">
        <f>IF(O$59="X","",IF(O$59&lt;&gt;"",O$59,IF(IFERROR(INDEX(醫師週班表!$C$5:$T$44,$CU24,O$57),"")=0,"",IF(MID(IFERROR(INDEX(醫師週班表!$C$5:$T$44,$CU24,O$57),""),2,1)="/",MID(IFERROR(INDEX(醫師週班表!$C$5:$T$44,$CU24,O$57),""),1+O$58*2,1),IF(MID(IFERROR(INDEX(醫師週班表!$C$5:$T$44,$CU24,O$57),""),3,1)="隔",IF(O$58=0,LEFT(IFERROR(INDEX(醫師週班表!$C$5:$T$44,$CU24,O$57),""),1),""),IF(MID(IFERROR(INDEX(醫師週班表!$C$5:$T$44,$CU24,O$57),""),2,1)="(",LEFT(IFERROR(INDEX(醫師週班表!$C$5:$T$44,$CU24,O$57),""),1),IFERROR(INDEX(醫師週班表!$C$5:$T$44,$CU24,O$57),"")))))))</f>
        <v/>
      </c>
      <c r="P24" s="68">
        <f>IF(P$59="X","",IF(P$59&lt;&gt;"",P$59,IF(IFERROR(INDEX(醫師週班表!$C$5:$T$44,$CU24,P$57),"")=0,"",IF(MID(IFERROR(INDEX(醫師週班表!$C$5:$T$44,$CU24,P$57),""),2,1)="/",MID(IFERROR(INDEX(醫師週班表!$C$5:$T$44,$CU24,P$57),""),1+P$58*2,1),IF(MID(IFERROR(INDEX(醫師週班表!$C$5:$T$44,$CU24,P$57),""),3,1)="隔",IF(P$58=0,LEFT(IFERROR(INDEX(醫師週班表!$C$5:$T$44,$CU24,P$57),""),1),""),IF(MID(IFERROR(INDEX(醫師週班表!$C$5:$T$44,$CU24,P$57),""),2,1)="(",LEFT(IFERROR(INDEX(醫師週班表!$C$5:$T$44,$CU24,P$57),""),1),IFERROR(INDEX(醫師週班表!$C$5:$T$44,$CU24,P$57),"")))))))</f>
        <v/>
      </c>
      <c r="Q24" s="67">
        <f>IF(Q$59="X","",IF(Q$59&lt;&gt;"",Q$59,IF(IFERROR(INDEX(醫師週班表!$C$5:$T$44,$CU24,Q$57),"")=0,"",IF(MID(IFERROR(INDEX(醫師週班表!$C$5:$T$44,$CU24,Q$57),""),2,1)="/",MID(IFERROR(INDEX(醫師週班表!$C$5:$T$44,$CU24,Q$57),""),1+Q$58*2,1),IF(MID(IFERROR(INDEX(醫師週班表!$C$5:$T$44,$CU24,Q$57),""),3,1)="隔",IF(Q$58=0,LEFT(IFERROR(INDEX(醫師週班表!$C$5:$T$44,$CU24,Q$57),""),1),""),IF(MID(IFERROR(INDEX(醫師週班表!$C$5:$T$44,$CU24,Q$57),""),2,1)="(",LEFT(IFERROR(INDEX(醫師週班表!$C$5:$T$44,$CU24,Q$57),""),1),IFERROR(INDEX(醫師週班表!$C$5:$T$44,$CU24,Q$57),"")))))))</f>
        <v/>
      </c>
      <c r="R24" s="68">
        <f>IF(R$59="X","",IF(R$59&lt;&gt;"",R$59,IF(IFERROR(INDEX(醫師週班表!$C$5:$T$44,$CU24,R$57),"")=0,"",IF(MID(IFERROR(INDEX(醫師週班表!$C$5:$T$44,$CU24,R$57),""),2,1)="/",MID(IFERROR(INDEX(醫師週班表!$C$5:$T$44,$CU24,R$57),""),1+R$58*2,1),IF(MID(IFERROR(INDEX(醫師週班表!$C$5:$T$44,$CU24,R$57),""),3,1)="隔",IF(R$58=0,LEFT(IFERROR(INDEX(醫師週班表!$C$5:$T$44,$CU24,R$57),""),1),""),IF(MID(IFERROR(INDEX(醫師週班表!$C$5:$T$44,$CU24,R$57),""),2,1)="(",LEFT(IFERROR(INDEX(醫師週班表!$C$5:$T$44,$CU24,R$57),""),1),IFERROR(INDEX(醫師週班表!$C$5:$T$44,$CU24,R$57),"")))))))</f>
        <v/>
      </c>
      <c r="S24" s="68">
        <f>IF(S$59="X","",IF(S$59&lt;&gt;"",S$59,IF(IFERROR(INDEX(醫師週班表!$C$5:$T$44,$CU24,S$57),"")=0,"",IF(MID(IFERROR(INDEX(醫師週班表!$C$5:$T$44,$CU24,S$57),""),2,1)="/",MID(IFERROR(INDEX(醫師週班表!$C$5:$T$44,$CU24,S$57),""),1+S$58*2,1),IF(MID(IFERROR(INDEX(醫師週班表!$C$5:$T$44,$CU24,S$57),""),3,1)="隔",IF(S$58=0,LEFT(IFERROR(INDEX(醫師週班表!$C$5:$T$44,$CU24,S$57),""),1),""),IF(MID(IFERROR(INDEX(醫師週班表!$C$5:$T$44,$CU24,S$57),""),2,1)="(",LEFT(IFERROR(INDEX(醫師週班表!$C$5:$T$44,$CU24,S$57),""),1),IFERROR(INDEX(醫師週班表!$C$5:$T$44,$CU24,S$57),"")))))))</f>
        <v/>
      </c>
      <c r="T24" s="67">
        <f>IF(T$59="X","",IF(T$59&lt;&gt;"",T$59,IF(IFERROR(INDEX(醫師週班表!$C$5:$T$44,$CU24,T$57),"")=0,"",IF(MID(IFERROR(INDEX(醫師週班表!$C$5:$T$44,$CU24,T$57),""),2,1)="/",MID(IFERROR(INDEX(醫師週班表!$C$5:$T$44,$CU24,T$57),""),1+T$58*2,1),IF(MID(IFERROR(INDEX(醫師週班表!$C$5:$T$44,$CU24,T$57),""),3,1)="隔",IF(T$58=0,LEFT(IFERROR(INDEX(醫師週班表!$C$5:$T$44,$CU24,T$57),""),1),""),IF(MID(IFERROR(INDEX(醫師週班表!$C$5:$T$44,$CU24,T$57),""),2,1)="(",LEFT(IFERROR(INDEX(醫師週班表!$C$5:$T$44,$CU24,T$57),""),1),IFERROR(INDEX(醫師週班表!$C$5:$T$44,$CU24,T$57),"")))))))</f>
        <v/>
      </c>
      <c r="U24" s="68">
        <f>IF(U$59="X","",IF(U$59&lt;&gt;"",U$59,IF(IFERROR(INDEX(醫師週班表!$C$5:$T$44,$CU24,U$57),"")=0,"",IF(MID(IFERROR(INDEX(醫師週班表!$C$5:$T$44,$CU24,U$57),""),2,1)="/",MID(IFERROR(INDEX(醫師週班表!$C$5:$T$44,$CU24,U$57),""),1+U$58*2,1),IF(MID(IFERROR(INDEX(醫師週班表!$C$5:$T$44,$CU24,U$57),""),3,1)="隔",IF(U$58=0,LEFT(IFERROR(INDEX(醫師週班表!$C$5:$T$44,$CU24,U$57),""),1),""),IF(MID(IFERROR(INDEX(醫師週班表!$C$5:$T$44,$CU24,U$57),""),2,1)="(",LEFT(IFERROR(INDEX(醫師週班表!$C$5:$T$44,$CU24,U$57),""),1),IFERROR(INDEX(醫師週班表!$C$5:$T$44,$CU24,U$57),"")))))))</f>
        <v/>
      </c>
      <c r="V24" s="68">
        <f>IF(V$59="X","",IF(V$59&lt;&gt;"",V$59,IF(IFERROR(INDEX(醫師週班表!$C$5:$T$44,$CU24,V$57),"")=0,"",IF(MID(IFERROR(INDEX(醫師週班表!$C$5:$T$44,$CU24,V$57),""),2,1)="/",MID(IFERROR(INDEX(醫師週班表!$C$5:$T$44,$CU24,V$57),""),1+V$58*2,1),IF(MID(IFERROR(INDEX(醫師週班表!$C$5:$T$44,$CU24,V$57),""),3,1)="隔",IF(V$58=0,LEFT(IFERROR(INDEX(醫師週班表!$C$5:$T$44,$CU24,V$57),""),1),""),IF(MID(IFERROR(INDEX(醫師週班表!$C$5:$T$44,$CU24,V$57),""),2,1)="(",LEFT(IFERROR(INDEX(醫師週班表!$C$5:$T$44,$CU24,V$57),""),1),IFERROR(INDEX(醫師週班表!$C$5:$T$44,$CU24,V$57),"")))))))</f>
        <v/>
      </c>
      <c r="W24" s="67">
        <f>IF(W$59="X","",IF(W$59&lt;&gt;"",W$59,IF(IFERROR(INDEX(醫師週班表!$C$5:$T$44,$CU24,W$57),"")=0,"",IF(MID(IFERROR(INDEX(醫師週班表!$C$5:$T$44,$CU24,W$57),""),2,1)="/",MID(IFERROR(INDEX(醫師週班表!$C$5:$T$44,$CU24,W$57),""),1+W$58*2,1),IF(MID(IFERROR(INDEX(醫師週班表!$C$5:$T$44,$CU24,W$57),""),3,1)="隔",IF(W$58=0,LEFT(IFERROR(INDEX(醫師週班表!$C$5:$T$44,$CU24,W$57),""),1),""),IF(MID(IFERROR(INDEX(醫師週班表!$C$5:$T$44,$CU24,W$57),""),2,1)="(",LEFT(IFERROR(INDEX(醫師週班表!$C$5:$T$44,$CU24,W$57),""),1),IFERROR(INDEX(醫師週班表!$C$5:$T$44,$CU24,W$57),"")))))))</f>
        <v/>
      </c>
      <c r="X24" s="68">
        <f>IF(X$59="X","",IF(X$59&lt;&gt;"",X$59,IF(IFERROR(INDEX(醫師週班表!$C$5:$T$44,$CU24,X$57),"")=0,"",IF(MID(IFERROR(INDEX(醫師週班表!$C$5:$T$44,$CU24,X$57),""),2,1)="/",MID(IFERROR(INDEX(醫師週班表!$C$5:$T$44,$CU24,X$57),""),1+X$58*2,1),IF(MID(IFERROR(INDEX(醫師週班表!$C$5:$T$44,$CU24,X$57),""),3,1)="隔",IF(X$58=0,LEFT(IFERROR(INDEX(醫師週班表!$C$5:$T$44,$CU24,X$57),""),1),""),IF(MID(IFERROR(INDEX(醫師週班表!$C$5:$T$44,$CU24,X$57),""),2,1)="(",LEFT(IFERROR(INDEX(醫師週班表!$C$5:$T$44,$CU24,X$57),""),1),IFERROR(INDEX(醫師週班表!$C$5:$T$44,$CU24,X$57),"")))))))</f>
        <v/>
      </c>
      <c r="Y24" s="68">
        <f>IF(Y$59="X","",IF(Y$59&lt;&gt;"",Y$59,IF(IFERROR(INDEX(醫師週班表!$C$5:$T$44,$CU24,Y$57),"")=0,"",IF(MID(IFERROR(INDEX(醫師週班表!$C$5:$T$44,$CU24,Y$57),""),2,1)="/",MID(IFERROR(INDEX(醫師週班表!$C$5:$T$44,$CU24,Y$57),""),1+Y$58*2,1),IF(MID(IFERROR(INDEX(醫師週班表!$C$5:$T$44,$CU24,Y$57),""),3,1)="隔",IF(Y$58=0,LEFT(IFERROR(INDEX(醫師週班表!$C$5:$T$44,$CU24,Y$57),""),1),""),IF(MID(IFERROR(INDEX(醫師週班表!$C$5:$T$44,$CU24,Y$57),""),2,1)="(",LEFT(IFERROR(INDEX(醫師週班表!$C$5:$T$44,$CU24,Y$57),""),1),IFERROR(INDEX(醫師週班表!$C$5:$T$44,$CU24,Y$57),"")))))))</f>
        <v/>
      </c>
      <c r="Z24" s="67">
        <f>IF(Z$59="X","",IF(Z$59&lt;&gt;"",Z$59,IF(IFERROR(INDEX(醫師週班表!$C$5:$T$44,$CU24,Z$57),"")=0,"",IF(MID(IFERROR(INDEX(醫師週班表!$C$5:$T$44,$CU24,Z$57),""),2,1)="/",MID(IFERROR(INDEX(醫師週班表!$C$5:$T$44,$CU24,Z$57),""),1+Z$58*2,1),IF(MID(IFERROR(INDEX(醫師週班表!$C$5:$T$44,$CU24,Z$57),""),3,1)="隔",IF(Z$58=0,LEFT(IFERROR(INDEX(醫師週班表!$C$5:$T$44,$CU24,Z$57),""),1),""),IF(MID(IFERROR(INDEX(醫師週班表!$C$5:$T$44,$CU24,Z$57),""),2,1)="(",LEFT(IFERROR(INDEX(醫師週班表!$C$5:$T$44,$CU24,Z$57),""),1),IFERROR(INDEX(醫師週班表!$C$5:$T$44,$CU24,Z$57),"")))))))</f>
        <v/>
      </c>
      <c r="AA24" s="68">
        <f>IF(AA$59="X","",IF(AA$59&lt;&gt;"",AA$59,IF(IFERROR(INDEX(醫師週班表!$C$5:$T$44,$CU24,AA$57),"")=0,"",IF(MID(IFERROR(INDEX(醫師週班表!$C$5:$T$44,$CU24,AA$57),""),2,1)="/",MID(IFERROR(INDEX(醫師週班表!$C$5:$T$44,$CU24,AA$57),""),1+AA$58*2,1),IF(MID(IFERROR(INDEX(醫師週班表!$C$5:$T$44,$CU24,AA$57),""),3,1)="隔",IF(AA$58=0,LEFT(IFERROR(INDEX(醫師週班表!$C$5:$T$44,$CU24,AA$57),""),1),""),IF(MID(IFERROR(INDEX(醫師週班表!$C$5:$T$44,$CU24,AA$57),""),2,1)="(",LEFT(IFERROR(INDEX(醫師週班表!$C$5:$T$44,$CU24,AA$57),""),1),IFERROR(INDEX(醫師週班表!$C$5:$T$44,$CU24,AA$57),"")))))))</f>
        <v/>
      </c>
      <c r="AB24" s="68">
        <f>IF(AB$59="X","",IF(AB$59&lt;&gt;"",AB$59,IF(IFERROR(INDEX(醫師週班表!$C$5:$T$44,$CU24,AB$57),"")=0,"",IF(MID(IFERROR(INDEX(醫師週班表!$C$5:$T$44,$CU24,AB$57),""),2,1)="/",MID(IFERROR(INDEX(醫師週班表!$C$5:$T$44,$CU24,AB$57),""),1+AB$58*2,1),IF(MID(IFERROR(INDEX(醫師週班表!$C$5:$T$44,$CU24,AB$57),""),3,1)="隔",IF(AB$58=0,LEFT(IFERROR(INDEX(醫師週班表!$C$5:$T$44,$CU24,AB$57),""),1),""),IF(MID(IFERROR(INDEX(醫師週班表!$C$5:$T$44,$CU24,AB$57),""),2,1)="(",LEFT(IFERROR(INDEX(醫師週班表!$C$5:$T$44,$CU24,AB$57),""),1),IFERROR(INDEX(醫師週班表!$C$5:$T$44,$CU24,AB$57),"")))))))</f>
        <v/>
      </c>
      <c r="AC24" s="67">
        <f>IF(AC$59="X","",IF(AC$59&lt;&gt;"",AC$59,IF(IFERROR(INDEX(醫師週班表!$C$5:$T$44,$CU24,AC$57),"")=0,"",IF(MID(IFERROR(INDEX(醫師週班表!$C$5:$T$44,$CU24,AC$57),""),2,1)="/",MID(IFERROR(INDEX(醫師週班表!$C$5:$T$44,$CU24,AC$57),""),1+AC$58*2,1),IF(MID(IFERROR(INDEX(醫師週班表!$C$5:$T$44,$CU24,AC$57),""),3,1)="隔",IF(AC$58=0,LEFT(IFERROR(INDEX(醫師週班表!$C$5:$T$44,$CU24,AC$57),""),1),""),IF(MID(IFERROR(INDEX(醫師週班表!$C$5:$T$44,$CU24,AC$57),""),2,1)="(",LEFT(IFERROR(INDEX(醫師週班表!$C$5:$T$44,$CU24,AC$57),""),1),IFERROR(INDEX(醫師週班表!$C$5:$T$44,$CU24,AC$57),"")))))))</f>
        <v/>
      </c>
      <c r="AD24" s="68">
        <f>IF(AD$59="X","",IF(AD$59&lt;&gt;"",AD$59,IF(IFERROR(INDEX(醫師週班表!$C$5:$T$44,$CU24,AD$57),"")=0,"",IF(MID(IFERROR(INDEX(醫師週班表!$C$5:$T$44,$CU24,AD$57),""),2,1)="/",MID(IFERROR(INDEX(醫師週班表!$C$5:$T$44,$CU24,AD$57),""),1+AD$58*2,1),IF(MID(IFERROR(INDEX(醫師週班表!$C$5:$T$44,$CU24,AD$57),""),3,1)="隔",IF(AD$58=0,LEFT(IFERROR(INDEX(醫師週班表!$C$5:$T$44,$CU24,AD$57),""),1),""),IF(MID(IFERROR(INDEX(醫師週班表!$C$5:$T$44,$CU24,AD$57),""),2,1)="(",LEFT(IFERROR(INDEX(醫師週班表!$C$5:$T$44,$CU24,AD$57),""),1),IFERROR(INDEX(醫師週班表!$C$5:$T$44,$CU24,AD$57),"")))))))</f>
        <v/>
      </c>
      <c r="AE24" s="68">
        <f>IF(AE$59="X","",IF(AE$59&lt;&gt;"",AE$59,IF(IFERROR(INDEX(醫師週班表!$C$5:$T$44,$CU24,AE$57),"")=0,"",IF(MID(IFERROR(INDEX(醫師週班表!$C$5:$T$44,$CU24,AE$57),""),2,1)="/",MID(IFERROR(INDEX(醫師週班表!$C$5:$T$44,$CU24,AE$57),""),1+AE$58*2,1),IF(MID(IFERROR(INDEX(醫師週班表!$C$5:$T$44,$CU24,AE$57),""),3,1)="隔",IF(AE$58=0,LEFT(IFERROR(INDEX(醫師週班表!$C$5:$T$44,$CU24,AE$57),""),1),""),IF(MID(IFERROR(INDEX(醫師週班表!$C$5:$T$44,$CU24,AE$57),""),2,1)="(",LEFT(IFERROR(INDEX(醫師週班表!$C$5:$T$44,$CU24,AE$57),""),1),IFERROR(INDEX(醫師週班表!$C$5:$T$44,$CU24,AE$57),"")))))))</f>
        <v/>
      </c>
      <c r="AF24" s="67">
        <f>IF(AF$59="X","",IF(AF$59&lt;&gt;"",AF$59,IF(IFERROR(INDEX(醫師週班表!$C$5:$T$44,$CU24,AF$57),"")=0,"",IF(MID(IFERROR(INDEX(醫師週班表!$C$5:$T$44,$CU24,AF$57),""),2,1)="/",MID(IFERROR(INDEX(醫師週班表!$C$5:$T$44,$CU24,AF$57),""),1+AF$58*2,1),IF(MID(IFERROR(INDEX(醫師週班表!$C$5:$T$44,$CU24,AF$57),""),3,1)="隔",IF(AF$58=0,LEFT(IFERROR(INDEX(醫師週班表!$C$5:$T$44,$CU24,AF$57),""),1),""),IF(MID(IFERROR(INDEX(醫師週班表!$C$5:$T$44,$CU24,AF$57),""),2,1)="(",LEFT(IFERROR(INDEX(醫師週班表!$C$5:$T$44,$CU24,AF$57),""),1),IFERROR(INDEX(醫師週班表!$C$5:$T$44,$CU24,AF$57),"")))))))</f>
        <v/>
      </c>
      <c r="AG24" s="68">
        <f>IF(AG$59="X","",IF(AG$59&lt;&gt;"",AG$59,IF(IFERROR(INDEX(醫師週班表!$C$5:$T$44,$CU24,AG$57),"")=0,"",IF(MID(IFERROR(INDEX(醫師週班表!$C$5:$T$44,$CU24,AG$57),""),2,1)="/",MID(IFERROR(INDEX(醫師週班表!$C$5:$T$44,$CU24,AG$57),""),1+AG$58*2,1),IF(MID(IFERROR(INDEX(醫師週班表!$C$5:$T$44,$CU24,AG$57),""),3,1)="隔",IF(AG$58=0,LEFT(IFERROR(INDEX(醫師週班表!$C$5:$T$44,$CU24,AG$57),""),1),""),IF(MID(IFERROR(INDEX(醫師週班表!$C$5:$T$44,$CU24,AG$57),""),2,1)="(",LEFT(IFERROR(INDEX(醫師週班表!$C$5:$T$44,$CU24,AG$57),""),1),IFERROR(INDEX(醫師週班表!$C$5:$T$44,$CU24,AG$57),"")))))))</f>
        <v/>
      </c>
      <c r="AH24" s="68">
        <f>IF(AH$59="X","",IF(AH$59&lt;&gt;"",AH$59,IF(IFERROR(INDEX(醫師週班表!$C$5:$T$44,$CU24,AH$57),"")=0,"",IF(MID(IFERROR(INDEX(醫師週班表!$C$5:$T$44,$CU24,AH$57),""),2,1)="/",MID(IFERROR(INDEX(醫師週班表!$C$5:$T$44,$CU24,AH$57),""),1+AH$58*2,1),IF(MID(IFERROR(INDEX(醫師週班表!$C$5:$T$44,$CU24,AH$57),""),3,1)="隔",IF(AH$58=0,LEFT(IFERROR(INDEX(醫師週班表!$C$5:$T$44,$CU24,AH$57),""),1),""),IF(MID(IFERROR(INDEX(醫師週班表!$C$5:$T$44,$CU24,AH$57),""),2,1)="(",LEFT(IFERROR(INDEX(醫師週班表!$C$5:$T$44,$CU24,AH$57),""),1),IFERROR(INDEX(醫師週班表!$C$5:$T$44,$CU24,AH$57),"")))))))</f>
        <v/>
      </c>
      <c r="AI24" s="67">
        <f>IF(AI$59="X","",IF(AI$59&lt;&gt;"",AI$59,IF(IFERROR(INDEX(醫師週班表!$C$5:$T$44,$CU24,AI$57),"")=0,"",IF(MID(IFERROR(INDEX(醫師週班表!$C$5:$T$44,$CU24,AI$57),""),2,1)="/",MID(IFERROR(INDEX(醫師週班表!$C$5:$T$44,$CU24,AI$57),""),1+AI$58*2,1),IF(MID(IFERROR(INDEX(醫師週班表!$C$5:$T$44,$CU24,AI$57),""),3,1)="隔",IF(AI$58=0,LEFT(IFERROR(INDEX(醫師週班表!$C$5:$T$44,$CU24,AI$57),""),1),""),IF(MID(IFERROR(INDEX(醫師週班表!$C$5:$T$44,$CU24,AI$57),""),2,1)="(",LEFT(IFERROR(INDEX(醫師週班表!$C$5:$T$44,$CU24,AI$57),""),1),IFERROR(INDEX(醫師週班表!$C$5:$T$44,$CU24,AI$57),"")))))))</f>
        <v/>
      </c>
      <c r="AJ24" s="68">
        <f>IF(AJ$59="X","",IF(AJ$59&lt;&gt;"",AJ$59,IF(IFERROR(INDEX(醫師週班表!$C$5:$T$44,$CU24,AJ$57),"")=0,"",IF(MID(IFERROR(INDEX(醫師週班表!$C$5:$T$44,$CU24,AJ$57),""),2,1)="/",MID(IFERROR(INDEX(醫師週班表!$C$5:$T$44,$CU24,AJ$57),""),1+AJ$58*2,1),IF(MID(IFERROR(INDEX(醫師週班表!$C$5:$T$44,$CU24,AJ$57),""),3,1)="隔",IF(AJ$58=0,LEFT(IFERROR(INDEX(醫師週班表!$C$5:$T$44,$CU24,AJ$57),""),1),""),IF(MID(IFERROR(INDEX(醫師週班表!$C$5:$T$44,$CU24,AJ$57),""),2,1)="(",LEFT(IFERROR(INDEX(醫師週班表!$C$5:$T$44,$CU24,AJ$57),""),1),IFERROR(INDEX(醫師週班表!$C$5:$T$44,$CU24,AJ$57),"")))))))</f>
        <v/>
      </c>
      <c r="AK24" s="68">
        <f>IF(AK$59="X","",IF(AK$59&lt;&gt;"",AK$59,IF(IFERROR(INDEX(醫師週班表!$C$5:$T$44,$CU24,AK$57),"")=0,"",IF(MID(IFERROR(INDEX(醫師週班表!$C$5:$T$44,$CU24,AK$57),""),2,1)="/",MID(IFERROR(INDEX(醫師週班表!$C$5:$T$44,$CU24,AK$57),""),1+AK$58*2,1),IF(MID(IFERROR(INDEX(醫師週班表!$C$5:$T$44,$CU24,AK$57),""),3,1)="隔",IF(AK$58=0,LEFT(IFERROR(INDEX(醫師週班表!$C$5:$T$44,$CU24,AK$57),""),1),""),IF(MID(IFERROR(INDEX(醫師週班表!$C$5:$T$44,$CU24,AK$57),""),2,1)="(",LEFT(IFERROR(INDEX(醫師週班表!$C$5:$T$44,$CU24,AK$57),""),1),IFERROR(INDEX(醫師週班表!$C$5:$T$44,$CU24,AK$57),"")))))))</f>
        <v/>
      </c>
      <c r="AL24" s="67">
        <f>IF(AL$59="X","",IF(AL$59&lt;&gt;"",AL$59,IF(IFERROR(INDEX(醫師週班表!$C$5:$T$44,$CU24,AL$57),"")=0,"",IF(MID(IFERROR(INDEX(醫師週班表!$C$5:$T$44,$CU24,AL$57),""),2,1)="/",MID(IFERROR(INDEX(醫師週班表!$C$5:$T$44,$CU24,AL$57),""),1+AL$58*2,1),IF(MID(IFERROR(INDEX(醫師週班表!$C$5:$T$44,$CU24,AL$57),""),3,1)="隔",IF(AL$58=0,LEFT(IFERROR(INDEX(醫師週班表!$C$5:$T$44,$CU24,AL$57),""),1),""),IF(MID(IFERROR(INDEX(醫師週班表!$C$5:$T$44,$CU24,AL$57),""),2,1)="(",LEFT(IFERROR(INDEX(醫師週班表!$C$5:$T$44,$CU24,AL$57),""),1),IFERROR(INDEX(醫師週班表!$C$5:$T$44,$CU24,AL$57),"")))))))</f>
        <v/>
      </c>
      <c r="AM24" s="68">
        <f>IF(AM$59="X","",IF(AM$59&lt;&gt;"",AM$59,IF(IFERROR(INDEX(醫師週班表!$C$5:$T$44,$CU24,AM$57),"")=0,"",IF(MID(IFERROR(INDEX(醫師週班表!$C$5:$T$44,$CU24,AM$57),""),2,1)="/",MID(IFERROR(INDEX(醫師週班表!$C$5:$T$44,$CU24,AM$57),""),1+AM$58*2,1),IF(MID(IFERROR(INDEX(醫師週班表!$C$5:$T$44,$CU24,AM$57),""),3,1)="隔",IF(AM$58=0,LEFT(IFERROR(INDEX(醫師週班表!$C$5:$T$44,$CU24,AM$57),""),1),""),IF(MID(IFERROR(INDEX(醫師週班表!$C$5:$T$44,$CU24,AM$57),""),2,1)="(",LEFT(IFERROR(INDEX(醫師週班表!$C$5:$T$44,$CU24,AM$57),""),1),IFERROR(INDEX(醫師週班表!$C$5:$T$44,$CU24,AM$57),"")))))))</f>
        <v/>
      </c>
      <c r="AN24" s="68">
        <f>IF(AN$59="X","",IF(AN$59&lt;&gt;"",AN$59,IF(IFERROR(INDEX(醫師週班表!$C$5:$T$44,$CU24,AN$57),"")=0,"",IF(MID(IFERROR(INDEX(醫師週班表!$C$5:$T$44,$CU24,AN$57),""),2,1)="/",MID(IFERROR(INDEX(醫師週班表!$C$5:$T$44,$CU24,AN$57),""),1+AN$58*2,1),IF(MID(IFERROR(INDEX(醫師週班表!$C$5:$T$44,$CU24,AN$57),""),3,1)="隔",IF(AN$58=0,LEFT(IFERROR(INDEX(醫師週班表!$C$5:$T$44,$CU24,AN$57),""),1),""),IF(MID(IFERROR(INDEX(醫師週班表!$C$5:$T$44,$CU24,AN$57),""),2,1)="(",LEFT(IFERROR(INDEX(醫師週班表!$C$5:$T$44,$CU24,AN$57),""),1),IFERROR(INDEX(醫師週班表!$C$5:$T$44,$CU24,AN$57),"")))))))</f>
        <v/>
      </c>
      <c r="AO24" s="67">
        <f>IF(AO$59="X","",IF(AO$59&lt;&gt;"",AO$59,IF(IFERROR(INDEX(醫師週班表!$C$5:$T$44,$CU24,AO$57),"")=0,"",IF(MID(IFERROR(INDEX(醫師週班表!$C$5:$T$44,$CU24,AO$57),""),2,1)="/",MID(IFERROR(INDEX(醫師週班表!$C$5:$T$44,$CU24,AO$57),""),1+AO$58*2,1),IF(MID(IFERROR(INDEX(醫師週班表!$C$5:$T$44,$CU24,AO$57),""),3,1)="隔",IF(AO$58=0,LEFT(IFERROR(INDEX(醫師週班表!$C$5:$T$44,$CU24,AO$57),""),1),""),IF(MID(IFERROR(INDEX(醫師週班表!$C$5:$T$44,$CU24,AO$57),""),2,1)="(",LEFT(IFERROR(INDEX(醫師週班表!$C$5:$T$44,$CU24,AO$57),""),1),IFERROR(INDEX(醫師週班表!$C$5:$T$44,$CU24,AO$57),"")))))))</f>
        <v/>
      </c>
      <c r="AP24" s="68">
        <f>IF(AP$59="X","",IF(AP$59&lt;&gt;"",AP$59,IF(IFERROR(INDEX(醫師週班表!$C$5:$T$44,$CU24,AP$57),"")=0,"",IF(MID(IFERROR(INDEX(醫師週班表!$C$5:$T$44,$CU24,AP$57),""),2,1)="/",MID(IFERROR(INDEX(醫師週班表!$C$5:$T$44,$CU24,AP$57),""),1+AP$58*2,1),IF(MID(IFERROR(INDEX(醫師週班表!$C$5:$T$44,$CU24,AP$57),""),3,1)="隔",IF(AP$58=0,LEFT(IFERROR(INDEX(醫師週班表!$C$5:$T$44,$CU24,AP$57),""),1),""),IF(MID(IFERROR(INDEX(醫師週班表!$C$5:$T$44,$CU24,AP$57),""),2,1)="(",LEFT(IFERROR(INDEX(醫師週班表!$C$5:$T$44,$CU24,AP$57),""),1),IFERROR(INDEX(醫師週班表!$C$5:$T$44,$CU24,AP$57),"")))))))</f>
        <v/>
      </c>
      <c r="AQ24" s="68">
        <f>IF(AQ$59="X","",IF(AQ$59&lt;&gt;"",AQ$59,IF(IFERROR(INDEX(醫師週班表!$C$5:$T$44,$CU24,AQ$57),"")=0,"",IF(MID(IFERROR(INDEX(醫師週班表!$C$5:$T$44,$CU24,AQ$57),""),2,1)="/",MID(IFERROR(INDEX(醫師週班表!$C$5:$T$44,$CU24,AQ$57),""),1+AQ$58*2,1),IF(MID(IFERROR(INDEX(醫師週班表!$C$5:$T$44,$CU24,AQ$57),""),3,1)="隔",IF(AQ$58=0,LEFT(IFERROR(INDEX(醫師週班表!$C$5:$T$44,$CU24,AQ$57),""),1),""),IF(MID(IFERROR(INDEX(醫師週班表!$C$5:$T$44,$CU24,AQ$57),""),2,1)="(",LEFT(IFERROR(INDEX(醫師週班表!$C$5:$T$44,$CU24,AQ$57),""),1),IFERROR(INDEX(醫師週班表!$C$5:$T$44,$CU24,AQ$57),"")))))))</f>
        <v/>
      </c>
      <c r="AR24" s="67">
        <f>IF(AR$59="X","",IF(AR$59&lt;&gt;"",AR$59,IF(IFERROR(INDEX(醫師週班表!$C$5:$T$44,$CU24,AR$57),"")=0,"",IF(MID(IFERROR(INDEX(醫師週班表!$C$5:$T$44,$CU24,AR$57),""),2,1)="/",MID(IFERROR(INDEX(醫師週班表!$C$5:$T$44,$CU24,AR$57),""),1+AR$58*2,1),IF(MID(IFERROR(INDEX(醫師週班表!$C$5:$T$44,$CU24,AR$57),""),3,1)="隔",IF(AR$58=0,LEFT(IFERROR(INDEX(醫師週班表!$C$5:$T$44,$CU24,AR$57),""),1),""),IF(MID(IFERROR(INDEX(醫師週班表!$C$5:$T$44,$CU24,AR$57),""),2,1)="(",LEFT(IFERROR(INDEX(醫師週班表!$C$5:$T$44,$CU24,AR$57),""),1),IFERROR(INDEX(醫師週班表!$C$5:$T$44,$CU24,AR$57),"")))))))</f>
        <v/>
      </c>
      <c r="AS24" s="68">
        <f>IF(AS$59="X","",IF(AS$59&lt;&gt;"",AS$59,IF(IFERROR(INDEX(醫師週班表!$C$5:$T$44,$CU24,AS$57),"")=0,"",IF(MID(IFERROR(INDEX(醫師週班表!$C$5:$T$44,$CU24,AS$57),""),2,1)="/",MID(IFERROR(INDEX(醫師週班表!$C$5:$T$44,$CU24,AS$57),""),1+AS$58*2,1),IF(MID(IFERROR(INDEX(醫師週班表!$C$5:$T$44,$CU24,AS$57),""),3,1)="隔",IF(AS$58=0,LEFT(IFERROR(INDEX(醫師週班表!$C$5:$T$44,$CU24,AS$57),""),1),""),IF(MID(IFERROR(INDEX(醫師週班表!$C$5:$T$44,$CU24,AS$57),""),2,1)="(",LEFT(IFERROR(INDEX(醫師週班表!$C$5:$T$44,$CU24,AS$57),""),1),IFERROR(INDEX(醫師週班表!$C$5:$T$44,$CU24,AS$57),"")))))))</f>
        <v/>
      </c>
      <c r="AT24" s="68">
        <f>IF(AT$59="X","",IF(AT$59&lt;&gt;"",AT$59,IF(IFERROR(INDEX(醫師週班表!$C$5:$T$44,$CU24,AT$57),"")=0,"",IF(MID(IFERROR(INDEX(醫師週班表!$C$5:$T$44,$CU24,AT$57),""),2,1)="/",MID(IFERROR(INDEX(醫師週班表!$C$5:$T$44,$CU24,AT$57),""),1+AT$58*2,1),IF(MID(IFERROR(INDEX(醫師週班表!$C$5:$T$44,$CU24,AT$57),""),3,1)="隔",IF(AT$58=0,LEFT(IFERROR(INDEX(醫師週班表!$C$5:$T$44,$CU24,AT$57),""),1),""),IF(MID(IFERROR(INDEX(醫師週班表!$C$5:$T$44,$CU24,AT$57),""),2,1)="(",LEFT(IFERROR(INDEX(醫師週班表!$C$5:$T$44,$CU24,AT$57),""),1),IFERROR(INDEX(醫師週班表!$C$5:$T$44,$CU24,AT$57),"")))))))</f>
        <v/>
      </c>
      <c r="AU24" s="67">
        <f>IF(AU$59="X","",IF(AU$59&lt;&gt;"",AU$59,IF(IFERROR(INDEX(醫師週班表!$C$5:$T$44,$CU24,AU$57),"")=0,"",IF(MID(IFERROR(INDEX(醫師週班表!$C$5:$T$44,$CU24,AU$57),""),2,1)="/",MID(IFERROR(INDEX(醫師週班表!$C$5:$T$44,$CU24,AU$57),""),1+AU$58*2,1),IF(MID(IFERROR(INDEX(醫師週班表!$C$5:$T$44,$CU24,AU$57),""),3,1)="隔",IF(AU$58=0,LEFT(IFERROR(INDEX(醫師週班表!$C$5:$T$44,$CU24,AU$57),""),1),""),IF(MID(IFERROR(INDEX(醫師週班表!$C$5:$T$44,$CU24,AU$57),""),2,1)="(",LEFT(IFERROR(INDEX(醫師週班表!$C$5:$T$44,$CU24,AU$57),""),1),IFERROR(INDEX(醫師週班表!$C$5:$T$44,$CU24,AU$57),"")))))))</f>
        <v/>
      </c>
      <c r="AV24" s="68">
        <f>IF(AV$59="X","",IF(AV$59&lt;&gt;"",AV$59,IF(IFERROR(INDEX(醫師週班表!$C$5:$T$44,$CU24,AV$57),"")=0,"",IF(MID(IFERROR(INDEX(醫師週班表!$C$5:$T$44,$CU24,AV$57),""),2,1)="/",MID(IFERROR(INDEX(醫師週班表!$C$5:$T$44,$CU24,AV$57),""),1+AV$58*2,1),IF(MID(IFERROR(INDEX(醫師週班表!$C$5:$T$44,$CU24,AV$57),""),3,1)="隔",IF(AV$58=0,LEFT(IFERROR(INDEX(醫師週班表!$C$5:$T$44,$CU24,AV$57),""),1),""),IF(MID(IFERROR(INDEX(醫師週班表!$C$5:$T$44,$CU24,AV$57),""),2,1)="(",LEFT(IFERROR(INDEX(醫師週班表!$C$5:$T$44,$CU24,AV$57),""),1),IFERROR(INDEX(醫師週班表!$C$5:$T$44,$CU24,AV$57),"")))))))</f>
        <v/>
      </c>
      <c r="AW24" s="68">
        <f>IF(AW$59="X","",IF(AW$59&lt;&gt;"",AW$59,IF(IFERROR(INDEX(醫師週班表!$C$5:$T$44,$CU24,AW$57),"")=0,"",IF(MID(IFERROR(INDEX(醫師週班表!$C$5:$T$44,$CU24,AW$57),""),2,1)="/",MID(IFERROR(INDEX(醫師週班表!$C$5:$T$44,$CU24,AW$57),""),1+AW$58*2,1),IF(MID(IFERROR(INDEX(醫師週班表!$C$5:$T$44,$CU24,AW$57),""),3,1)="隔",IF(AW$58=0,LEFT(IFERROR(INDEX(醫師週班表!$C$5:$T$44,$CU24,AW$57),""),1),""),IF(MID(IFERROR(INDEX(醫師週班表!$C$5:$T$44,$CU24,AW$57),""),2,1)="(",LEFT(IFERROR(INDEX(醫師週班表!$C$5:$T$44,$CU24,AW$57),""),1),IFERROR(INDEX(醫師週班表!$C$5:$T$44,$CU24,AW$57),"")))))))</f>
        <v/>
      </c>
      <c r="AX24" s="67">
        <f>IF(AX$59="X","",IF(AX$59&lt;&gt;"",AX$59,IF(IFERROR(INDEX(醫師週班表!$C$5:$T$44,$CU24,AX$57),"")=0,"",IF(MID(IFERROR(INDEX(醫師週班表!$C$5:$T$44,$CU24,AX$57),""),2,1)="/",MID(IFERROR(INDEX(醫師週班表!$C$5:$T$44,$CU24,AX$57),""),1+AX$58*2,1),IF(MID(IFERROR(INDEX(醫師週班表!$C$5:$T$44,$CU24,AX$57),""),3,1)="隔",IF(AX$58=0,LEFT(IFERROR(INDEX(醫師週班表!$C$5:$T$44,$CU24,AX$57),""),1),""),IF(MID(IFERROR(INDEX(醫師週班表!$C$5:$T$44,$CU24,AX$57),""),2,1)="(",LEFT(IFERROR(INDEX(醫師週班表!$C$5:$T$44,$CU24,AX$57),""),1),IFERROR(INDEX(醫師週班表!$C$5:$T$44,$CU24,AX$57),"")))))))</f>
        <v/>
      </c>
      <c r="AY24" s="68">
        <f>IF(AY$59="X","",IF(AY$59&lt;&gt;"",AY$59,IF(IFERROR(INDEX(醫師週班表!$C$5:$T$44,$CU24,AY$57),"")=0,"",IF(MID(IFERROR(INDEX(醫師週班表!$C$5:$T$44,$CU24,AY$57),""),2,1)="/",MID(IFERROR(INDEX(醫師週班表!$C$5:$T$44,$CU24,AY$57),""),1+AY$58*2,1),IF(MID(IFERROR(INDEX(醫師週班表!$C$5:$T$44,$CU24,AY$57),""),3,1)="隔",IF(AY$58=0,LEFT(IFERROR(INDEX(醫師週班表!$C$5:$T$44,$CU24,AY$57),""),1),""),IF(MID(IFERROR(INDEX(醫師週班表!$C$5:$T$44,$CU24,AY$57),""),2,1)="(",LEFT(IFERROR(INDEX(醫師週班表!$C$5:$T$44,$CU24,AY$57),""),1),IFERROR(INDEX(醫師週班表!$C$5:$T$44,$CU24,AY$57),"")))))))</f>
        <v/>
      </c>
      <c r="AZ24" s="68">
        <f>IF(AZ$59="X","",IF(AZ$59&lt;&gt;"",AZ$59,IF(IFERROR(INDEX(醫師週班表!$C$5:$T$44,$CU24,AZ$57),"")=0,"",IF(MID(IFERROR(INDEX(醫師週班表!$C$5:$T$44,$CU24,AZ$57),""),2,1)="/",MID(IFERROR(INDEX(醫師週班表!$C$5:$T$44,$CU24,AZ$57),""),1+AZ$58*2,1),IF(MID(IFERROR(INDEX(醫師週班表!$C$5:$T$44,$CU24,AZ$57),""),3,1)="隔",IF(AZ$58=0,LEFT(IFERROR(INDEX(醫師週班表!$C$5:$T$44,$CU24,AZ$57),""),1),""),IF(MID(IFERROR(INDEX(醫師週班表!$C$5:$T$44,$CU24,AZ$57),""),2,1)="(",LEFT(IFERROR(INDEX(醫師週班表!$C$5:$T$44,$CU24,AZ$57),""),1),IFERROR(INDEX(醫師週班表!$C$5:$T$44,$CU24,AZ$57),"")))))))</f>
        <v/>
      </c>
      <c r="BA24" s="67">
        <f>IF(BA$59="X","",IF(BA$59&lt;&gt;"",BA$59,IF(IFERROR(INDEX(醫師週班表!$C$5:$T$44,$CU24,BA$57),"")=0,"",IF(MID(IFERROR(INDEX(醫師週班表!$C$5:$T$44,$CU24,BA$57),""),2,1)="/",MID(IFERROR(INDEX(醫師週班表!$C$5:$T$44,$CU24,BA$57),""),1+BA$58*2,1),IF(MID(IFERROR(INDEX(醫師週班表!$C$5:$T$44,$CU24,BA$57),""),3,1)="隔",IF(BA$58=0,LEFT(IFERROR(INDEX(醫師週班表!$C$5:$T$44,$CU24,BA$57),""),1),""),IF(MID(IFERROR(INDEX(醫師週班表!$C$5:$T$44,$CU24,BA$57),""),2,1)="(",LEFT(IFERROR(INDEX(醫師週班表!$C$5:$T$44,$CU24,BA$57),""),1),IFERROR(INDEX(醫師週班表!$C$5:$T$44,$CU24,BA$57),"")))))))</f>
        <v/>
      </c>
      <c r="BB24" s="68">
        <f>IF(BB$59="X","",IF(BB$59&lt;&gt;"",BB$59,IF(IFERROR(INDEX(醫師週班表!$C$5:$T$44,$CU24,BB$57),"")=0,"",IF(MID(IFERROR(INDEX(醫師週班表!$C$5:$T$44,$CU24,BB$57),""),2,1)="/",MID(IFERROR(INDEX(醫師週班表!$C$5:$T$44,$CU24,BB$57),""),1+BB$58*2,1),IF(MID(IFERROR(INDEX(醫師週班表!$C$5:$T$44,$CU24,BB$57),""),3,1)="隔",IF(BB$58=0,LEFT(IFERROR(INDEX(醫師週班表!$C$5:$T$44,$CU24,BB$57),""),1),""),IF(MID(IFERROR(INDEX(醫師週班表!$C$5:$T$44,$CU24,BB$57),""),2,1)="(",LEFT(IFERROR(INDEX(醫師週班表!$C$5:$T$44,$CU24,BB$57),""),1),IFERROR(INDEX(醫師週班表!$C$5:$T$44,$CU24,BB$57),"")))))))</f>
        <v/>
      </c>
      <c r="BC24" s="68">
        <f>IF(BC$59="X","",IF(BC$59&lt;&gt;"",BC$59,IF(IFERROR(INDEX(醫師週班表!$C$5:$T$44,$CU24,BC$57),"")=0,"",IF(MID(IFERROR(INDEX(醫師週班表!$C$5:$T$44,$CU24,BC$57),""),2,1)="/",MID(IFERROR(INDEX(醫師週班表!$C$5:$T$44,$CU24,BC$57),""),1+BC$58*2,1),IF(MID(IFERROR(INDEX(醫師週班表!$C$5:$T$44,$CU24,BC$57),""),3,1)="隔",IF(BC$58=0,LEFT(IFERROR(INDEX(醫師週班表!$C$5:$T$44,$CU24,BC$57),""),1),""),IF(MID(IFERROR(INDEX(醫師週班表!$C$5:$T$44,$CU24,BC$57),""),2,1)="(",LEFT(IFERROR(INDEX(醫師週班表!$C$5:$T$44,$CU24,BC$57),""),1),IFERROR(INDEX(醫師週班表!$C$5:$T$44,$CU24,BC$57),"")))))))</f>
        <v/>
      </c>
      <c r="BD24" s="67">
        <f>IF(BD$59="X","",IF(BD$59&lt;&gt;"",BD$59,IF(IFERROR(INDEX(醫師週班表!$C$5:$T$44,$CU24,BD$57),"")=0,"",IF(MID(IFERROR(INDEX(醫師週班表!$C$5:$T$44,$CU24,BD$57),""),2,1)="/",MID(IFERROR(INDEX(醫師週班表!$C$5:$T$44,$CU24,BD$57),""),1+BD$58*2,1),IF(MID(IFERROR(INDEX(醫師週班表!$C$5:$T$44,$CU24,BD$57),""),3,1)="隔",IF(BD$58=0,LEFT(IFERROR(INDEX(醫師週班表!$C$5:$T$44,$CU24,BD$57),""),1),""),IF(MID(IFERROR(INDEX(醫師週班表!$C$5:$T$44,$CU24,BD$57),""),2,1)="(",LEFT(IFERROR(INDEX(醫師週班表!$C$5:$T$44,$CU24,BD$57),""),1),IFERROR(INDEX(醫師週班表!$C$5:$T$44,$CU24,BD$57),"")))))))</f>
        <v/>
      </c>
      <c r="BE24" s="68">
        <f>IF(BE$59="X","",IF(BE$59&lt;&gt;"",BE$59,IF(IFERROR(INDEX(醫師週班表!$C$5:$T$44,$CU24,BE$57),"")=0,"",IF(MID(IFERROR(INDEX(醫師週班表!$C$5:$T$44,$CU24,BE$57),""),2,1)="/",MID(IFERROR(INDEX(醫師週班表!$C$5:$T$44,$CU24,BE$57),""),1+BE$58*2,1),IF(MID(IFERROR(INDEX(醫師週班表!$C$5:$T$44,$CU24,BE$57),""),3,1)="隔",IF(BE$58=0,LEFT(IFERROR(INDEX(醫師週班表!$C$5:$T$44,$CU24,BE$57),""),1),""),IF(MID(IFERROR(INDEX(醫師週班表!$C$5:$T$44,$CU24,BE$57),""),2,1)="(",LEFT(IFERROR(INDEX(醫師週班表!$C$5:$T$44,$CU24,BE$57),""),1),IFERROR(INDEX(醫師週班表!$C$5:$T$44,$CU24,BE$57),"")))))))</f>
        <v/>
      </c>
      <c r="BF24" s="68">
        <f>IF(BF$59="X","",IF(BF$59&lt;&gt;"",BF$59,IF(IFERROR(INDEX(醫師週班表!$C$5:$T$44,$CU24,BF$57),"")=0,"",IF(MID(IFERROR(INDEX(醫師週班表!$C$5:$T$44,$CU24,BF$57),""),2,1)="/",MID(IFERROR(INDEX(醫師週班表!$C$5:$T$44,$CU24,BF$57),""),1+BF$58*2,1),IF(MID(IFERROR(INDEX(醫師週班表!$C$5:$T$44,$CU24,BF$57),""),3,1)="隔",IF(BF$58=0,LEFT(IFERROR(INDEX(醫師週班表!$C$5:$T$44,$CU24,BF$57),""),1),""),IF(MID(IFERROR(INDEX(醫師週班表!$C$5:$T$44,$CU24,BF$57),""),2,1)="(",LEFT(IFERROR(INDEX(醫師週班表!$C$5:$T$44,$CU24,BF$57),""),1),IFERROR(INDEX(醫師週班表!$C$5:$T$44,$CU24,BF$57),"")))))))</f>
        <v/>
      </c>
      <c r="BG24" s="67">
        <f>IF(BG$59="X","",IF(BG$59&lt;&gt;"",BG$59,IF(IFERROR(INDEX(醫師週班表!$C$5:$T$44,$CU24,BG$57),"")=0,"",IF(MID(IFERROR(INDEX(醫師週班表!$C$5:$T$44,$CU24,BG$57),""),2,1)="/",MID(IFERROR(INDEX(醫師週班表!$C$5:$T$44,$CU24,BG$57),""),1+BG$58*2,1),IF(MID(IFERROR(INDEX(醫師週班表!$C$5:$T$44,$CU24,BG$57),""),3,1)="隔",IF(BG$58=0,LEFT(IFERROR(INDEX(醫師週班表!$C$5:$T$44,$CU24,BG$57),""),1),""),IF(MID(IFERROR(INDEX(醫師週班表!$C$5:$T$44,$CU24,BG$57),""),2,1)="(",LEFT(IFERROR(INDEX(醫師週班表!$C$5:$T$44,$CU24,BG$57),""),1),IFERROR(INDEX(醫師週班表!$C$5:$T$44,$CU24,BG$57),"")))))))</f>
        <v/>
      </c>
      <c r="BH24" s="68">
        <f>IF(BH$59="X","",IF(BH$59&lt;&gt;"",BH$59,IF(IFERROR(INDEX(醫師週班表!$C$5:$T$44,$CU24,BH$57),"")=0,"",IF(MID(IFERROR(INDEX(醫師週班表!$C$5:$T$44,$CU24,BH$57),""),2,1)="/",MID(IFERROR(INDEX(醫師週班表!$C$5:$T$44,$CU24,BH$57),""),1+BH$58*2,1),IF(MID(IFERROR(INDEX(醫師週班表!$C$5:$T$44,$CU24,BH$57),""),3,1)="隔",IF(BH$58=0,LEFT(IFERROR(INDEX(醫師週班表!$C$5:$T$44,$CU24,BH$57),""),1),""),IF(MID(IFERROR(INDEX(醫師週班表!$C$5:$T$44,$CU24,BH$57),""),2,1)="(",LEFT(IFERROR(INDEX(醫師週班表!$C$5:$T$44,$CU24,BH$57),""),1),IFERROR(INDEX(醫師週班表!$C$5:$T$44,$CU24,BH$57),"")))))))</f>
        <v/>
      </c>
      <c r="BI24" s="68">
        <f>IF(BI$59="X","",IF(BI$59&lt;&gt;"",BI$59,IF(IFERROR(INDEX(醫師週班表!$C$5:$T$44,$CU24,BI$57),"")=0,"",IF(MID(IFERROR(INDEX(醫師週班表!$C$5:$T$44,$CU24,BI$57),""),2,1)="/",MID(IFERROR(INDEX(醫師週班表!$C$5:$T$44,$CU24,BI$57),""),1+BI$58*2,1),IF(MID(IFERROR(INDEX(醫師週班表!$C$5:$T$44,$CU24,BI$57),""),3,1)="隔",IF(BI$58=0,LEFT(IFERROR(INDEX(醫師週班表!$C$5:$T$44,$CU24,BI$57),""),1),""),IF(MID(IFERROR(INDEX(醫師週班表!$C$5:$T$44,$CU24,BI$57),""),2,1)="(",LEFT(IFERROR(INDEX(醫師週班表!$C$5:$T$44,$CU24,BI$57),""),1),IFERROR(INDEX(醫師週班表!$C$5:$T$44,$CU24,BI$57),"")))))))</f>
        <v/>
      </c>
      <c r="BJ24" s="67">
        <f>IF(BJ$59="X","",IF(BJ$59&lt;&gt;"",BJ$59,IF(IFERROR(INDEX(醫師週班表!$C$5:$T$44,$CU24,BJ$57),"")=0,"",IF(MID(IFERROR(INDEX(醫師週班表!$C$5:$T$44,$CU24,BJ$57),""),2,1)="/",MID(IFERROR(INDEX(醫師週班表!$C$5:$T$44,$CU24,BJ$57),""),1+BJ$58*2,1),IF(MID(IFERROR(INDEX(醫師週班表!$C$5:$T$44,$CU24,BJ$57),""),3,1)="隔",IF(BJ$58=0,LEFT(IFERROR(INDEX(醫師週班表!$C$5:$T$44,$CU24,BJ$57),""),1),""),IF(MID(IFERROR(INDEX(醫師週班表!$C$5:$T$44,$CU24,BJ$57),""),2,1)="(",LEFT(IFERROR(INDEX(醫師週班表!$C$5:$T$44,$CU24,BJ$57),""),1),IFERROR(INDEX(醫師週班表!$C$5:$T$44,$CU24,BJ$57),"")))))))</f>
        <v/>
      </c>
      <c r="BK24" s="68">
        <f>IF(BK$59="X","",IF(BK$59&lt;&gt;"",BK$59,IF(IFERROR(INDEX(醫師週班表!$C$5:$T$44,$CU24,BK$57),"")=0,"",IF(MID(IFERROR(INDEX(醫師週班表!$C$5:$T$44,$CU24,BK$57),""),2,1)="/",MID(IFERROR(INDEX(醫師週班表!$C$5:$T$44,$CU24,BK$57),""),1+BK$58*2,1),IF(MID(IFERROR(INDEX(醫師週班表!$C$5:$T$44,$CU24,BK$57),""),3,1)="隔",IF(BK$58=0,LEFT(IFERROR(INDEX(醫師週班表!$C$5:$T$44,$CU24,BK$57),""),1),""),IF(MID(IFERROR(INDEX(醫師週班表!$C$5:$T$44,$CU24,BK$57),""),2,1)="(",LEFT(IFERROR(INDEX(醫師週班表!$C$5:$T$44,$CU24,BK$57),""),1),IFERROR(INDEX(醫師週班表!$C$5:$T$44,$CU24,BK$57),"")))))))</f>
        <v/>
      </c>
      <c r="BL24" s="68">
        <f>IF(BL$59="X","",IF(BL$59&lt;&gt;"",BL$59,IF(IFERROR(INDEX(醫師週班表!$C$5:$T$44,$CU24,BL$57),"")=0,"",IF(MID(IFERROR(INDEX(醫師週班表!$C$5:$T$44,$CU24,BL$57),""),2,1)="/",MID(IFERROR(INDEX(醫師週班表!$C$5:$T$44,$CU24,BL$57),""),1+BL$58*2,1),IF(MID(IFERROR(INDEX(醫師週班表!$C$5:$T$44,$CU24,BL$57),""),3,1)="隔",IF(BL$58=0,LEFT(IFERROR(INDEX(醫師週班表!$C$5:$T$44,$CU24,BL$57),""),1),""),IF(MID(IFERROR(INDEX(醫師週班表!$C$5:$T$44,$CU24,BL$57),""),2,1)="(",LEFT(IFERROR(INDEX(醫師週班表!$C$5:$T$44,$CU24,BL$57),""),1),IFERROR(INDEX(醫師週班表!$C$5:$T$44,$CU24,BL$57),"")))))))</f>
        <v/>
      </c>
      <c r="BM24" s="67">
        <f>IF(BM$59="X","",IF(BM$59&lt;&gt;"",BM$59,IF(IFERROR(INDEX(醫師週班表!$C$5:$T$44,$CU24,BM$57),"")=0,"",IF(MID(IFERROR(INDEX(醫師週班表!$C$5:$T$44,$CU24,BM$57),""),2,1)="/",MID(IFERROR(INDEX(醫師週班表!$C$5:$T$44,$CU24,BM$57),""),1+BM$58*2,1),IF(MID(IFERROR(INDEX(醫師週班表!$C$5:$T$44,$CU24,BM$57),""),3,1)="隔",IF(BM$58=0,LEFT(IFERROR(INDEX(醫師週班表!$C$5:$T$44,$CU24,BM$57),""),1),""),IF(MID(IFERROR(INDEX(醫師週班表!$C$5:$T$44,$CU24,BM$57),""),2,1)="(",LEFT(IFERROR(INDEX(醫師週班表!$C$5:$T$44,$CU24,BM$57),""),1),IFERROR(INDEX(醫師週班表!$C$5:$T$44,$CU24,BM$57),"")))))))</f>
        <v/>
      </c>
      <c r="BN24" s="68">
        <f>IF(BN$59="X","",IF(BN$59&lt;&gt;"",BN$59,IF(IFERROR(INDEX(醫師週班表!$C$5:$T$44,$CU24,BN$57),"")=0,"",IF(MID(IFERROR(INDEX(醫師週班表!$C$5:$T$44,$CU24,BN$57),""),2,1)="/",MID(IFERROR(INDEX(醫師週班表!$C$5:$T$44,$CU24,BN$57),""),1+BN$58*2,1),IF(MID(IFERROR(INDEX(醫師週班表!$C$5:$T$44,$CU24,BN$57),""),3,1)="隔",IF(BN$58=0,LEFT(IFERROR(INDEX(醫師週班表!$C$5:$T$44,$CU24,BN$57),""),1),""),IF(MID(IFERROR(INDEX(醫師週班表!$C$5:$T$44,$CU24,BN$57),""),2,1)="(",LEFT(IFERROR(INDEX(醫師週班表!$C$5:$T$44,$CU24,BN$57),""),1),IFERROR(INDEX(醫師週班表!$C$5:$T$44,$CU24,BN$57),"")))))))</f>
        <v/>
      </c>
      <c r="BO24" s="68">
        <f>IF(BO$59="X","",IF(BO$59&lt;&gt;"",BO$59,IF(IFERROR(INDEX(醫師週班表!$C$5:$T$44,$CU24,BO$57),"")=0,"",IF(MID(IFERROR(INDEX(醫師週班表!$C$5:$T$44,$CU24,BO$57),""),2,1)="/",MID(IFERROR(INDEX(醫師週班表!$C$5:$T$44,$CU24,BO$57),""),1+BO$58*2,1),IF(MID(IFERROR(INDEX(醫師週班表!$C$5:$T$44,$CU24,BO$57),""),3,1)="隔",IF(BO$58=0,LEFT(IFERROR(INDEX(醫師週班表!$C$5:$T$44,$CU24,BO$57),""),1),""),IF(MID(IFERROR(INDEX(醫師週班表!$C$5:$T$44,$CU24,BO$57),""),2,1)="(",LEFT(IFERROR(INDEX(醫師週班表!$C$5:$T$44,$CU24,BO$57),""),1),IFERROR(INDEX(醫師週班表!$C$5:$T$44,$CU24,BO$57),"")))))))</f>
        <v/>
      </c>
      <c r="BP24" s="67">
        <f>IF(BP$59="X","",IF(BP$59&lt;&gt;"",BP$59,IF(IFERROR(INDEX(醫師週班表!$C$5:$T$44,$CU24,BP$57),"")=0,"",IF(MID(IFERROR(INDEX(醫師週班表!$C$5:$T$44,$CU24,BP$57),""),2,1)="/",MID(IFERROR(INDEX(醫師週班表!$C$5:$T$44,$CU24,BP$57),""),1+BP$58*2,1),IF(MID(IFERROR(INDEX(醫師週班表!$C$5:$T$44,$CU24,BP$57),""),3,1)="隔",IF(BP$58=0,LEFT(IFERROR(INDEX(醫師週班表!$C$5:$T$44,$CU24,BP$57),""),1),""),IF(MID(IFERROR(INDEX(醫師週班表!$C$5:$T$44,$CU24,BP$57),""),2,1)="(",LEFT(IFERROR(INDEX(醫師週班表!$C$5:$T$44,$CU24,BP$57),""),1),IFERROR(INDEX(醫師週班表!$C$5:$T$44,$CU24,BP$57),"")))))))</f>
        <v/>
      </c>
      <c r="BQ24" s="68">
        <f>IF(BQ$59="X","",IF(BQ$59&lt;&gt;"",BQ$59,IF(IFERROR(INDEX(醫師週班表!$C$5:$T$44,$CU24,BQ$57),"")=0,"",IF(MID(IFERROR(INDEX(醫師週班表!$C$5:$T$44,$CU24,BQ$57),""),2,1)="/",MID(IFERROR(INDEX(醫師週班表!$C$5:$T$44,$CU24,BQ$57),""),1+BQ$58*2,1),IF(MID(IFERROR(INDEX(醫師週班表!$C$5:$T$44,$CU24,BQ$57),""),3,1)="隔",IF(BQ$58=0,LEFT(IFERROR(INDEX(醫師週班表!$C$5:$T$44,$CU24,BQ$57),""),1),""),IF(MID(IFERROR(INDEX(醫師週班表!$C$5:$T$44,$CU24,BQ$57),""),2,1)="(",LEFT(IFERROR(INDEX(醫師週班表!$C$5:$T$44,$CU24,BQ$57),""),1),IFERROR(INDEX(醫師週班表!$C$5:$T$44,$CU24,BQ$57),"")))))))</f>
        <v/>
      </c>
      <c r="BR24" s="68">
        <f>IF(BR$59="X","",IF(BR$59&lt;&gt;"",BR$59,IF(IFERROR(INDEX(醫師週班表!$C$5:$T$44,$CU24,BR$57),"")=0,"",IF(MID(IFERROR(INDEX(醫師週班表!$C$5:$T$44,$CU24,BR$57),""),2,1)="/",MID(IFERROR(INDEX(醫師週班表!$C$5:$T$44,$CU24,BR$57),""),1+BR$58*2,1),IF(MID(IFERROR(INDEX(醫師週班表!$C$5:$T$44,$CU24,BR$57),""),3,1)="隔",IF(BR$58=0,LEFT(IFERROR(INDEX(醫師週班表!$C$5:$T$44,$CU24,BR$57),""),1),""),IF(MID(IFERROR(INDEX(醫師週班表!$C$5:$T$44,$CU24,BR$57),""),2,1)="(",LEFT(IFERROR(INDEX(醫師週班表!$C$5:$T$44,$CU24,BR$57),""),1),IFERROR(INDEX(醫師週班表!$C$5:$T$44,$CU24,BR$57),"")))))))</f>
        <v/>
      </c>
      <c r="BS24" s="67">
        <f>IF(BS$59="X","",IF(BS$59&lt;&gt;"",BS$59,IF(IFERROR(INDEX(醫師週班表!$C$5:$T$44,$CU24,BS$57),"")=0,"",IF(MID(IFERROR(INDEX(醫師週班表!$C$5:$T$44,$CU24,BS$57),""),2,1)="/",MID(IFERROR(INDEX(醫師週班表!$C$5:$T$44,$CU24,BS$57),""),1+BS$58*2,1),IF(MID(IFERROR(INDEX(醫師週班表!$C$5:$T$44,$CU24,BS$57),""),3,1)="隔",IF(BS$58=0,LEFT(IFERROR(INDEX(醫師週班表!$C$5:$T$44,$CU24,BS$57),""),1),""),IF(MID(IFERROR(INDEX(醫師週班表!$C$5:$T$44,$CU24,BS$57),""),2,1)="(",LEFT(IFERROR(INDEX(醫師週班表!$C$5:$T$44,$CU24,BS$57),""),1),IFERROR(INDEX(醫師週班表!$C$5:$T$44,$CU24,BS$57),"")))))))</f>
        <v/>
      </c>
      <c r="BT24" s="68">
        <f>IF(BT$59="X","",IF(BT$59&lt;&gt;"",BT$59,IF(IFERROR(INDEX(醫師週班表!$C$5:$T$44,$CU24,BT$57),"")=0,"",IF(MID(IFERROR(INDEX(醫師週班表!$C$5:$T$44,$CU24,BT$57),""),2,1)="/",MID(IFERROR(INDEX(醫師週班表!$C$5:$T$44,$CU24,BT$57),""),1+BT$58*2,1),IF(MID(IFERROR(INDEX(醫師週班表!$C$5:$T$44,$CU24,BT$57),""),3,1)="隔",IF(BT$58=0,LEFT(IFERROR(INDEX(醫師週班表!$C$5:$T$44,$CU24,BT$57),""),1),""),IF(MID(IFERROR(INDEX(醫師週班表!$C$5:$T$44,$CU24,BT$57),""),2,1)="(",LEFT(IFERROR(INDEX(醫師週班表!$C$5:$T$44,$CU24,BT$57),""),1),IFERROR(INDEX(醫師週班表!$C$5:$T$44,$CU24,BT$57),"")))))))</f>
        <v/>
      </c>
      <c r="BU24" s="68">
        <f>IF(BU$59="X","",IF(BU$59&lt;&gt;"",BU$59,IF(IFERROR(INDEX(醫師週班表!$C$5:$T$44,$CU24,BU$57),"")=0,"",IF(MID(IFERROR(INDEX(醫師週班表!$C$5:$T$44,$CU24,BU$57),""),2,1)="/",MID(IFERROR(INDEX(醫師週班表!$C$5:$T$44,$CU24,BU$57),""),1+BU$58*2,1),IF(MID(IFERROR(INDEX(醫師週班表!$C$5:$T$44,$CU24,BU$57),""),3,1)="隔",IF(BU$58=0,LEFT(IFERROR(INDEX(醫師週班表!$C$5:$T$44,$CU24,BU$57),""),1),""),IF(MID(IFERROR(INDEX(醫師週班表!$C$5:$T$44,$CU24,BU$57),""),2,1)="(",LEFT(IFERROR(INDEX(醫師週班表!$C$5:$T$44,$CU24,BU$57),""),1),IFERROR(INDEX(醫師週班表!$C$5:$T$44,$CU24,BU$57),"")))))))</f>
        <v/>
      </c>
      <c r="BV24" s="67">
        <f>IF(BV$59="X","",IF(BV$59&lt;&gt;"",BV$59,IF(IFERROR(INDEX(醫師週班表!$C$5:$T$44,$CU24,BV$57),"")=0,"",IF(MID(IFERROR(INDEX(醫師週班表!$C$5:$T$44,$CU24,BV$57),""),2,1)="/",MID(IFERROR(INDEX(醫師週班表!$C$5:$T$44,$CU24,BV$57),""),1+BV$58*2,1),IF(MID(IFERROR(INDEX(醫師週班表!$C$5:$T$44,$CU24,BV$57),""),3,1)="隔",IF(BV$58=0,LEFT(IFERROR(INDEX(醫師週班表!$C$5:$T$44,$CU24,BV$57),""),1),""),IF(MID(IFERROR(INDEX(醫師週班表!$C$5:$T$44,$CU24,BV$57),""),2,1)="(",LEFT(IFERROR(INDEX(醫師週班表!$C$5:$T$44,$CU24,BV$57),""),1),IFERROR(INDEX(醫師週班表!$C$5:$T$44,$CU24,BV$57),"")))))))</f>
        <v/>
      </c>
      <c r="BW24" s="68">
        <f>IF(BW$59="X","",IF(BW$59&lt;&gt;"",BW$59,IF(IFERROR(INDEX(醫師週班表!$C$5:$T$44,$CU24,BW$57),"")=0,"",IF(MID(IFERROR(INDEX(醫師週班表!$C$5:$T$44,$CU24,BW$57),""),2,1)="/",MID(IFERROR(INDEX(醫師週班表!$C$5:$T$44,$CU24,BW$57),""),1+BW$58*2,1),IF(MID(IFERROR(INDEX(醫師週班表!$C$5:$T$44,$CU24,BW$57),""),3,1)="隔",IF(BW$58=0,LEFT(IFERROR(INDEX(醫師週班表!$C$5:$T$44,$CU24,BW$57),""),1),""),IF(MID(IFERROR(INDEX(醫師週班表!$C$5:$T$44,$CU24,BW$57),""),2,1)="(",LEFT(IFERROR(INDEX(醫師週班表!$C$5:$T$44,$CU24,BW$57),""),1),IFERROR(INDEX(醫師週班表!$C$5:$T$44,$CU24,BW$57),"")))))))</f>
        <v/>
      </c>
      <c r="BX24" s="68">
        <f>IF(BX$59="X","",IF(BX$59&lt;&gt;"",BX$59,IF(IFERROR(INDEX(醫師週班表!$C$5:$T$44,$CU24,BX$57),"")=0,"",IF(MID(IFERROR(INDEX(醫師週班表!$C$5:$T$44,$CU24,BX$57),""),2,1)="/",MID(IFERROR(INDEX(醫師週班表!$C$5:$T$44,$CU24,BX$57),""),1+BX$58*2,1),IF(MID(IFERROR(INDEX(醫師週班表!$C$5:$T$44,$CU24,BX$57),""),3,1)="隔",IF(BX$58=0,LEFT(IFERROR(INDEX(醫師週班表!$C$5:$T$44,$CU24,BX$57),""),1),""),IF(MID(IFERROR(INDEX(醫師週班表!$C$5:$T$44,$CU24,BX$57),""),2,1)="(",LEFT(IFERROR(INDEX(醫師週班表!$C$5:$T$44,$CU24,BX$57),""),1),IFERROR(INDEX(醫師週班表!$C$5:$T$44,$CU24,BX$57),"")))))))</f>
        <v/>
      </c>
      <c r="BY24" s="67">
        <f>IF(BY$59="X","",IF(BY$59&lt;&gt;"",BY$59,IF(IFERROR(INDEX(醫師週班表!$C$5:$T$44,$CU24,BY$57),"")=0,"",IF(MID(IFERROR(INDEX(醫師週班表!$C$5:$T$44,$CU24,BY$57),""),2,1)="/",MID(IFERROR(INDEX(醫師週班表!$C$5:$T$44,$CU24,BY$57),""),1+BY$58*2,1),IF(MID(IFERROR(INDEX(醫師週班表!$C$5:$T$44,$CU24,BY$57),""),3,1)="隔",IF(BY$58=0,LEFT(IFERROR(INDEX(醫師週班表!$C$5:$T$44,$CU24,BY$57),""),1),""),IF(MID(IFERROR(INDEX(醫師週班表!$C$5:$T$44,$CU24,BY$57),""),2,1)="(",LEFT(IFERROR(INDEX(醫師週班表!$C$5:$T$44,$CU24,BY$57),""),1),IFERROR(INDEX(醫師週班表!$C$5:$T$44,$CU24,BY$57),"")))))))</f>
        <v/>
      </c>
      <c r="BZ24" s="68">
        <f>IF(BZ$59="X","",IF(BZ$59&lt;&gt;"",BZ$59,IF(IFERROR(INDEX(醫師週班表!$C$5:$T$44,$CU24,BZ$57),"")=0,"",IF(MID(IFERROR(INDEX(醫師週班表!$C$5:$T$44,$CU24,BZ$57),""),2,1)="/",MID(IFERROR(INDEX(醫師週班表!$C$5:$T$44,$CU24,BZ$57),""),1+BZ$58*2,1),IF(MID(IFERROR(INDEX(醫師週班表!$C$5:$T$44,$CU24,BZ$57),""),3,1)="隔",IF(BZ$58=0,LEFT(IFERROR(INDEX(醫師週班表!$C$5:$T$44,$CU24,BZ$57),""),1),""),IF(MID(IFERROR(INDEX(醫師週班表!$C$5:$T$44,$CU24,BZ$57),""),2,1)="(",LEFT(IFERROR(INDEX(醫師週班表!$C$5:$T$44,$CU24,BZ$57),""),1),IFERROR(INDEX(醫師週班表!$C$5:$T$44,$CU24,BZ$57),"")))))))</f>
        <v/>
      </c>
      <c r="CA24" s="68">
        <f>IF(CA$59="X","",IF(CA$59&lt;&gt;"",CA$59,IF(IFERROR(INDEX(醫師週班表!$C$5:$T$44,$CU24,CA$57),"")=0,"",IF(MID(IFERROR(INDEX(醫師週班表!$C$5:$T$44,$CU24,CA$57),""),2,1)="/",MID(IFERROR(INDEX(醫師週班表!$C$5:$T$44,$CU24,CA$57),""),1+CA$58*2,1),IF(MID(IFERROR(INDEX(醫師週班表!$C$5:$T$44,$CU24,CA$57),""),3,1)="隔",IF(CA$58=0,LEFT(IFERROR(INDEX(醫師週班表!$C$5:$T$44,$CU24,CA$57),""),1),""),IF(MID(IFERROR(INDEX(醫師週班表!$C$5:$T$44,$CU24,CA$57),""),2,1)="(",LEFT(IFERROR(INDEX(醫師週班表!$C$5:$T$44,$CU24,CA$57),""),1),IFERROR(INDEX(醫師週班表!$C$5:$T$44,$CU24,CA$57),"")))))))</f>
        <v/>
      </c>
      <c r="CB24" s="67">
        <f>IF(CB$59="X","",IF(CB$59&lt;&gt;"",CB$59,IF(IFERROR(INDEX(醫師週班表!$C$5:$T$44,$CU24,CB$57),"")=0,"",IF(MID(IFERROR(INDEX(醫師週班表!$C$5:$T$44,$CU24,CB$57),""),2,1)="/",MID(IFERROR(INDEX(醫師週班表!$C$5:$T$44,$CU24,CB$57),""),1+CB$58*2,1),IF(MID(IFERROR(INDEX(醫師週班表!$C$5:$T$44,$CU24,CB$57),""),3,1)="隔",IF(CB$58=0,LEFT(IFERROR(INDEX(醫師週班表!$C$5:$T$44,$CU24,CB$57),""),1),""),IF(MID(IFERROR(INDEX(醫師週班表!$C$5:$T$44,$CU24,CB$57),""),2,1)="(",LEFT(IFERROR(INDEX(醫師週班表!$C$5:$T$44,$CU24,CB$57),""),1),IFERROR(INDEX(醫師週班表!$C$5:$T$44,$CU24,CB$57),"")))))))</f>
        <v/>
      </c>
      <c r="CC24" s="68">
        <f>IF(CC$59="X","",IF(CC$59&lt;&gt;"",CC$59,IF(IFERROR(INDEX(醫師週班表!$C$5:$T$44,$CU24,CC$57),"")=0,"",IF(MID(IFERROR(INDEX(醫師週班表!$C$5:$T$44,$CU24,CC$57),""),2,1)="/",MID(IFERROR(INDEX(醫師週班表!$C$5:$T$44,$CU24,CC$57),""),1+CC$58*2,1),IF(MID(IFERROR(INDEX(醫師週班表!$C$5:$T$44,$CU24,CC$57),""),3,1)="隔",IF(CC$58=0,LEFT(IFERROR(INDEX(醫師週班表!$C$5:$T$44,$CU24,CC$57),""),1),""),IF(MID(IFERROR(INDEX(醫師週班表!$C$5:$T$44,$CU24,CC$57),""),2,1)="(",LEFT(IFERROR(INDEX(醫師週班表!$C$5:$T$44,$CU24,CC$57),""),1),IFERROR(INDEX(醫師週班表!$C$5:$T$44,$CU24,CC$57),"")))))))</f>
        <v/>
      </c>
      <c r="CD24" s="68">
        <f>IF(CD$59="X","",IF(CD$59&lt;&gt;"",CD$59,IF(IFERROR(INDEX(醫師週班表!$C$5:$T$44,$CU24,CD$57),"")=0,"",IF(MID(IFERROR(INDEX(醫師週班表!$C$5:$T$44,$CU24,CD$57),""),2,1)="/",MID(IFERROR(INDEX(醫師週班表!$C$5:$T$44,$CU24,CD$57),""),1+CD$58*2,1),IF(MID(IFERROR(INDEX(醫師週班表!$C$5:$T$44,$CU24,CD$57),""),3,1)="隔",IF(CD$58=0,LEFT(IFERROR(INDEX(醫師週班表!$C$5:$T$44,$CU24,CD$57),""),1),""),IF(MID(IFERROR(INDEX(醫師週班表!$C$5:$T$44,$CU24,CD$57),""),2,1)="(",LEFT(IFERROR(INDEX(醫師週班表!$C$5:$T$44,$CU24,CD$57),""),1),IFERROR(INDEX(醫師週班表!$C$5:$T$44,$CU24,CD$57),"")))))))</f>
        <v/>
      </c>
      <c r="CE24" s="67">
        <f>IF(CE$59="X","",IF(CE$59&lt;&gt;"",CE$59,IF(IFERROR(INDEX(醫師週班表!$C$5:$T$44,$CU24,CE$57),"")=0,"",IF(MID(IFERROR(INDEX(醫師週班表!$C$5:$T$44,$CU24,CE$57),""),2,1)="/",MID(IFERROR(INDEX(醫師週班表!$C$5:$T$44,$CU24,CE$57),""),1+CE$58*2,1),IF(MID(IFERROR(INDEX(醫師週班表!$C$5:$T$44,$CU24,CE$57),""),3,1)="隔",IF(CE$58=0,LEFT(IFERROR(INDEX(醫師週班表!$C$5:$T$44,$CU24,CE$57),""),1),""),IF(MID(IFERROR(INDEX(醫師週班表!$C$5:$T$44,$CU24,CE$57),""),2,1)="(",LEFT(IFERROR(INDEX(醫師週班表!$C$5:$T$44,$CU24,CE$57),""),1),IFERROR(INDEX(醫師週班表!$C$5:$T$44,$CU24,CE$57),"")))))))</f>
        <v/>
      </c>
      <c r="CF24" s="68">
        <f>IF(CF$59="X","",IF(CF$59&lt;&gt;"",CF$59,IF(IFERROR(INDEX(醫師週班表!$C$5:$T$44,$CU24,CF$57),"")=0,"",IF(MID(IFERROR(INDEX(醫師週班表!$C$5:$T$44,$CU24,CF$57),""),2,1)="/",MID(IFERROR(INDEX(醫師週班表!$C$5:$T$44,$CU24,CF$57),""),1+CF$58*2,1),IF(MID(IFERROR(INDEX(醫師週班表!$C$5:$T$44,$CU24,CF$57),""),3,1)="隔",IF(CF$58=0,LEFT(IFERROR(INDEX(醫師週班表!$C$5:$T$44,$CU24,CF$57),""),1),""),IF(MID(IFERROR(INDEX(醫師週班表!$C$5:$T$44,$CU24,CF$57),""),2,1)="(",LEFT(IFERROR(INDEX(醫師週班表!$C$5:$T$44,$CU24,CF$57),""),1),IFERROR(INDEX(醫師週班表!$C$5:$T$44,$CU24,CF$57),"")))))))</f>
        <v/>
      </c>
      <c r="CG24" s="68">
        <f>IF(CG$59="X","",IF(CG$59&lt;&gt;"",CG$59,IF(IFERROR(INDEX(醫師週班表!$C$5:$T$44,$CU24,CG$57),"")=0,"",IF(MID(IFERROR(INDEX(醫師週班表!$C$5:$T$44,$CU24,CG$57),""),2,1)="/",MID(IFERROR(INDEX(醫師週班表!$C$5:$T$44,$CU24,CG$57),""),1+CG$58*2,1),IF(MID(IFERROR(INDEX(醫師週班表!$C$5:$T$44,$CU24,CG$57),""),3,1)="隔",IF(CG$58=0,LEFT(IFERROR(INDEX(醫師週班表!$C$5:$T$44,$CU24,CG$57),""),1),""),IF(MID(IFERROR(INDEX(醫師週班表!$C$5:$T$44,$CU24,CG$57),""),2,1)="(",LEFT(IFERROR(INDEX(醫師週班表!$C$5:$T$44,$CU24,CG$57),""),1),IFERROR(INDEX(醫師週班表!$C$5:$T$44,$CU24,CG$57),"")))))))</f>
        <v/>
      </c>
      <c r="CH24" s="67">
        <f>IF(CH$59="X","",IF(CH$59&lt;&gt;"",CH$59,IF(IFERROR(INDEX(醫師週班表!$C$5:$T$44,$CU24,CH$57),"")=0,"",IF(MID(IFERROR(INDEX(醫師週班表!$C$5:$T$44,$CU24,CH$57),""),2,1)="/",MID(IFERROR(INDEX(醫師週班表!$C$5:$T$44,$CU24,CH$57),""),1+CH$58*2,1),IF(MID(IFERROR(INDEX(醫師週班表!$C$5:$T$44,$CU24,CH$57),""),3,1)="隔",IF(CH$58=0,LEFT(IFERROR(INDEX(醫師週班表!$C$5:$T$44,$CU24,CH$57),""),1),""),IF(MID(IFERROR(INDEX(醫師週班表!$C$5:$T$44,$CU24,CH$57),""),2,1)="(",LEFT(IFERROR(INDEX(醫師週班表!$C$5:$T$44,$CU24,CH$57),""),1),IFERROR(INDEX(醫師週班表!$C$5:$T$44,$CU24,CH$57),"")))))))</f>
        <v/>
      </c>
      <c r="CI24" s="68">
        <f>IF(CI$59="X","",IF(CI$59&lt;&gt;"",CI$59,IF(IFERROR(INDEX(醫師週班表!$C$5:$T$44,$CU24,CI$57),"")=0,"",IF(MID(IFERROR(INDEX(醫師週班表!$C$5:$T$44,$CU24,CI$57),""),2,1)="/",MID(IFERROR(INDEX(醫師週班表!$C$5:$T$44,$CU24,CI$57),""),1+CI$58*2,1),IF(MID(IFERROR(INDEX(醫師週班表!$C$5:$T$44,$CU24,CI$57),""),3,1)="隔",IF(CI$58=0,LEFT(IFERROR(INDEX(醫師週班表!$C$5:$T$44,$CU24,CI$57),""),1),""),IF(MID(IFERROR(INDEX(醫師週班表!$C$5:$T$44,$CU24,CI$57),""),2,1)="(",LEFT(IFERROR(INDEX(醫師週班表!$C$5:$T$44,$CU24,CI$57),""),1),IFERROR(INDEX(醫師週班表!$C$5:$T$44,$CU24,CI$57),"")))))))</f>
        <v/>
      </c>
      <c r="CJ24" s="68">
        <f>IF(CJ$59="X","",IF(CJ$59&lt;&gt;"",CJ$59,IF(IFERROR(INDEX(醫師週班表!$C$5:$T$44,$CU24,CJ$57),"")=0,"",IF(MID(IFERROR(INDEX(醫師週班表!$C$5:$T$44,$CU24,CJ$57),""),2,1)="/",MID(IFERROR(INDEX(醫師週班表!$C$5:$T$44,$CU24,CJ$57),""),1+CJ$58*2,1),IF(MID(IFERROR(INDEX(醫師週班表!$C$5:$T$44,$CU24,CJ$57),""),3,1)="隔",IF(CJ$58=0,LEFT(IFERROR(INDEX(醫師週班表!$C$5:$T$44,$CU24,CJ$57),""),1),""),IF(MID(IFERROR(INDEX(醫師週班表!$C$5:$T$44,$CU24,CJ$57),""),2,1)="(",LEFT(IFERROR(INDEX(醫師週班表!$C$5:$T$44,$CU24,CJ$57),""),1),IFERROR(INDEX(醫師週班表!$C$5:$T$44,$CU24,CJ$57),"")))))))</f>
        <v/>
      </c>
      <c r="CK24" s="67">
        <f>IF(CK$59="X","",IF(CK$59&lt;&gt;"",CK$59,IF(IFERROR(INDEX(醫師週班表!$C$5:$T$44,$CU24,CK$57),"")=0,"",IF(MID(IFERROR(INDEX(醫師週班表!$C$5:$T$44,$CU24,CK$57),""),2,1)="/",MID(IFERROR(INDEX(醫師週班表!$C$5:$T$44,$CU24,CK$57),""),1+CK$58*2,1),IF(MID(IFERROR(INDEX(醫師週班表!$C$5:$T$44,$CU24,CK$57),""),3,1)="隔",IF(CK$58=0,LEFT(IFERROR(INDEX(醫師週班表!$C$5:$T$44,$CU24,CK$57),""),1),""),IF(MID(IFERROR(INDEX(醫師週班表!$C$5:$T$44,$CU24,CK$57),""),2,1)="(",LEFT(IFERROR(INDEX(醫師週班表!$C$5:$T$44,$CU24,CK$57),""),1),IFERROR(INDEX(醫師週班表!$C$5:$T$44,$CU24,CK$57),"")))))))</f>
        <v/>
      </c>
      <c r="CL24" s="68">
        <f>IF(CL$59="X","",IF(CL$59&lt;&gt;"",CL$59,IF(IFERROR(INDEX(醫師週班表!$C$5:$T$44,$CU24,CL$57),"")=0,"",IF(MID(IFERROR(INDEX(醫師週班表!$C$5:$T$44,$CU24,CL$57),""),2,1)="/",MID(IFERROR(INDEX(醫師週班表!$C$5:$T$44,$CU24,CL$57),""),1+CL$58*2,1),IF(MID(IFERROR(INDEX(醫師週班表!$C$5:$T$44,$CU24,CL$57),""),3,1)="隔",IF(CL$58=0,LEFT(IFERROR(INDEX(醫師週班表!$C$5:$T$44,$CU24,CL$57),""),1),""),IF(MID(IFERROR(INDEX(醫師週班表!$C$5:$T$44,$CU24,CL$57),""),2,1)="(",LEFT(IFERROR(INDEX(醫師週班表!$C$5:$T$44,$CU24,CL$57),""),1),IFERROR(INDEX(醫師週班表!$C$5:$T$44,$CU24,CL$57),"")))))))</f>
        <v/>
      </c>
      <c r="CM24" s="68">
        <f>IF(CM$59="X","",IF(CM$59&lt;&gt;"",CM$59,IF(IFERROR(INDEX(醫師週班表!$C$5:$T$44,$CU24,CM$57),"")=0,"",IF(MID(IFERROR(INDEX(醫師週班表!$C$5:$T$44,$CU24,CM$57),""),2,1)="/",MID(IFERROR(INDEX(醫師週班表!$C$5:$T$44,$CU24,CM$57),""),1+CM$58*2,1),IF(MID(IFERROR(INDEX(醫師週班表!$C$5:$T$44,$CU24,CM$57),""),3,1)="隔",IF(CM$58=0,LEFT(IFERROR(INDEX(醫師週班表!$C$5:$T$44,$CU24,CM$57),""),1),""),IF(MID(IFERROR(INDEX(醫師週班表!$C$5:$T$44,$CU24,CM$57),""),2,1)="(",LEFT(IFERROR(INDEX(醫師週班表!$C$5:$T$44,$CU24,CM$57),""),1),IFERROR(INDEX(醫師週班表!$C$5:$T$44,$CU24,CM$57),"")))))))</f>
        <v/>
      </c>
      <c r="CN24" s="67">
        <f>IF(CN$59="X","",IF(CN$59&lt;&gt;"",CN$59,IF(IFERROR(INDEX(醫師週班表!$C$5:$T$44,$CU24,CN$57),"")=0,"",IF(MID(IFERROR(INDEX(醫師週班表!$C$5:$T$44,$CU24,CN$57),""),2,1)="/",MID(IFERROR(INDEX(醫師週班表!$C$5:$T$44,$CU24,CN$57),""),1+CN$58*2,1),IF(MID(IFERROR(INDEX(醫師週班表!$C$5:$T$44,$CU24,CN$57),""),3,1)="隔",IF(CN$58=0,LEFT(IFERROR(INDEX(醫師週班表!$C$5:$T$44,$CU24,CN$57),""),1),""),IF(MID(IFERROR(INDEX(醫師週班表!$C$5:$T$44,$CU24,CN$57),""),2,1)="(",LEFT(IFERROR(INDEX(醫師週班表!$C$5:$T$44,$CU24,CN$57),""),1),IFERROR(INDEX(醫師週班表!$C$5:$T$44,$CU24,CN$57),"")))))))</f>
        <v/>
      </c>
      <c r="CO24" s="68">
        <f>IF(CO$59="X","",IF(CO$59&lt;&gt;"",CO$59,IF(IFERROR(INDEX(醫師週班表!$C$5:$T$44,$CU24,CO$57),"")=0,"",IF(MID(IFERROR(INDEX(醫師週班表!$C$5:$T$44,$CU24,CO$57),""),2,1)="/",MID(IFERROR(INDEX(醫師週班表!$C$5:$T$44,$CU24,CO$57),""),1+CO$58*2,1),IF(MID(IFERROR(INDEX(醫師週班表!$C$5:$T$44,$CU24,CO$57),""),3,1)="隔",IF(CO$58=0,LEFT(IFERROR(INDEX(醫師週班表!$C$5:$T$44,$CU24,CO$57),""),1),""),IF(MID(IFERROR(INDEX(醫師週班表!$C$5:$T$44,$CU24,CO$57),""),2,1)="(",LEFT(IFERROR(INDEX(醫師週班表!$C$5:$T$44,$CU24,CO$57),""),1),IFERROR(INDEX(醫師週班表!$C$5:$T$44,$CU24,CO$57),"")))))))</f>
        <v/>
      </c>
      <c r="CP24" s="68">
        <f>IF(CP$59="X","",IF(CP$59&lt;&gt;"",CP$59,IF(IFERROR(INDEX(醫師週班表!$C$5:$T$44,$CU24,CP$57),"")=0,"",IF(MID(IFERROR(INDEX(醫師週班表!$C$5:$T$44,$CU24,CP$57),""),2,1)="/",MID(IFERROR(INDEX(醫師週班表!$C$5:$T$44,$CU24,CP$57),""),1+CP$58*2,1),IF(MID(IFERROR(INDEX(醫師週班表!$C$5:$T$44,$CU24,CP$57),""),3,1)="隔",IF(CP$58=0,LEFT(IFERROR(INDEX(醫師週班表!$C$5:$T$44,$CU24,CP$57),""),1),""),IF(MID(IFERROR(INDEX(醫師週班表!$C$5:$T$44,$CU24,CP$57),""),2,1)="(",LEFT(IFERROR(INDEX(醫師週班表!$C$5:$T$44,$CU24,CP$57),""),1),IFERROR(INDEX(醫師週班表!$C$5:$T$44,$CU24,CP$57),"")))))))</f>
        <v/>
      </c>
      <c r="CQ24" s="67">
        <f>IF(CQ$59="X","",IF(CQ$59&lt;&gt;"",CQ$59,IF(IFERROR(INDEX(醫師週班表!$C$5:$T$44,$CU24,CQ$57),"")=0,"",IF(MID(IFERROR(INDEX(醫師週班表!$C$5:$T$44,$CU24,CQ$57),""),2,1)="/",MID(IFERROR(INDEX(醫師週班表!$C$5:$T$44,$CU24,CQ$57),""),1+CQ$58*2,1),IF(MID(IFERROR(INDEX(醫師週班表!$C$5:$T$44,$CU24,CQ$57),""),3,1)="隔",IF(CQ$58=0,LEFT(IFERROR(INDEX(醫師週班表!$C$5:$T$44,$CU24,CQ$57),""),1),""),IF(MID(IFERROR(INDEX(醫師週班表!$C$5:$T$44,$CU24,CQ$57),""),2,1)="(",LEFT(IFERROR(INDEX(醫師週班表!$C$5:$T$44,$CU24,CQ$57),""),1),IFERROR(INDEX(醫師週班表!$C$5:$T$44,$CU24,CQ$57),"")))))))</f>
        <v/>
      </c>
      <c r="CR24" s="68">
        <f>IF(CR$59="X","",IF(CR$59&lt;&gt;"",CR$59,IF(IFERROR(INDEX(醫師週班表!$C$5:$T$44,$CU24,CR$57),"")=0,"",IF(MID(IFERROR(INDEX(醫師週班表!$C$5:$T$44,$CU24,CR$57),""),2,1)="/",MID(IFERROR(INDEX(醫師週班表!$C$5:$T$44,$CU24,CR$57),""),1+CR$58*2,1),IF(MID(IFERROR(INDEX(醫師週班表!$C$5:$T$44,$CU24,CR$57),""),3,1)="隔",IF(CR$58=0,LEFT(IFERROR(INDEX(醫師週班表!$C$5:$T$44,$CU24,CR$57),""),1),""),IF(MID(IFERROR(INDEX(醫師週班表!$C$5:$T$44,$CU24,CR$57),""),2,1)="(",LEFT(IFERROR(INDEX(醫師週班表!$C$5:$T$44,$CU24,CR$57),""),1),IFERROR(INDEX(醫師週班表!$C$5:$T$44,$CU24,CR$57),"")))))))</f>
        <v/>
      </c>
      <c r="CS24" s="68">
        <f>IF(CS$59="X","",IF(CS$59&lt;&gt;"",CS$59,IF(IFERROR(INDEX(醫師週班表!$C$5:$T$44,$CU24,CS$57),"")=0,"",IF(MID(IFERROR(INDEX(醫師週班表!$C$5:$T$44,$CU24,CS$57),""),2,1)="/",MID(IFERROR(INDEX(醫師週班表!$C$5:$T$44,$CU24,CS$57),""),1+CS$58*2,1),IF(MID(IFERROR(INDEX(醫師週班表!$C$5:$T$44,$CU24,CS$57),""),3,1)="隔",IF(CS$58=0,LEFT(IFERROR(INDEX(醫師週班表!$C$5:$T$44,$CU24,CS$57),""),1),""),IF(MID(IFERROR(INDEX(醫師週班表!$C$5:$T$44,$CU24,CS$57),""),2,1)="(",LEFT(IFERROR(INDEX(醫師週班表!$C$5:$T$44,$CU24,CS$57),""),1),IFERROR(INDEX(醫師週班表!$C$5:$T$44,$CU24,CS$57),"")))))))</f>
        <v/>
      </c>
      <c r="CU24" s="69">
        <f>IFERROR(MATCH($A24,醫師週班表!$A$5:$A$44,0),0)</f>
        <v/>
      </c>
    </row>
    <row r="25" ht="17" customHeight="1">
      <c r="A25" s="20" t="inlineStr">
        <is>
          <t>D020</t>
        </is>
      </c>
      <c r="B25" s="16" t="inlineStr">
        <is>
          <t>余柏萱</t>
        </is>
      </c>
      <c r="C25" s="66" t="inlineStr"/>
      <c r="D25" s="16" t="inlineStr"/>
      <c r="E25" s="67">
        <f>IF(E$59="X","",IF(E$59&lt;&gt;"",E$59,IF(IFERROR(INDEX(醫師週班表!$C$5:$T$44,$CU25,E$57),"")=0,"",IF(MID(IFERROR(INDEX(醫師週班表!$C$5:$T$44,$CU25,E$57),""),2,1)="/",MID(IFERROR(INDEX(醫師週班表!$C$5:$T$44,$CU25,E$57),""),1+E$58*2,1),IF(MID(IFERROR(INDEX(醫師週班表!$C$5:$T$44,$CU25,E$57),""),3,1)="隔",IF(E$58=0,LEFT(IFERROR(INDEX(醫師週班表!$C$5:$T$44,$CU25,E$57),""),1),""),IF(MID(IFERROR(INDEX(醫師週班表!$C$5:$T$44,$CU25,E$57),""),2,1)="(",LEFT(IFERROR(INDEX(醫師週班表!$C$5:$T$44,$CU25,E$57),""),1),IFERROR(INDEX(醫師週班表!$C$5:$T$44,$CU25,E$57),"")))))))</f>
        <v/>
      </c>
      <c r="F25" s="68">
        <f>IF(F$59="X","",IF(F$59&lt;&gt;"",F$59,IF(IFERROR(INDEX(醫師週班表!$C$5:$T$44,$CU25,F$57),"")=0,"",IF(MID(IFERROR(INDEX(醫師週班表!$C$5:$T$44,$CU25,F$57),""),2,1)="/",MID(IFERROR(INDEX(醫師週班表!$C$5:$T$44,$CU25,F$57),""),1+F$58*2,1),IF(MID(IFERROR(INDEX(醫師週班表!$C$5:$T$44,$CU25,F$57),""),3,1)="隔",IF(F$58=0,LEFT(IFERROR(INDEX(醫師週班表!$C$5:$T$44,$CU25,F$57),""),1),""),IF(MID(IFERROR(INDEX(醫師週班表!$C$5:$T$44,$CU25,F$57),""),2,1)="(",LEFT(IFERROR(INDEX(醫師週班表!$C$5:$T$44,$CU25,F$57),""),1),IFERROR(INDEX(醫師週班表!$C$5:$T$44,$CU25,F$57),"")))))))</f>
        <v/>
      </c>
      <c r="G25" s="68">
        <f>IF(G$59="X","",IF(G$59&lt;&gt;"",G$59,IF(IFERROR(INDEX(醫師週班表!$C$5:$T$44,$CU25,G$57),"")=0,"",IF(MID(IFERROR(INDEX(醫師週班表!$C$5:$T$44,$CU25,G$57),""),2,1)="/",MID(IFERROR(INDEX(醫師週班表!$C$5:$T$44,$CU25,G$57),""),1+G$58*2,1),IF(MID(IFERROR(INDEX(醫師週班表!$C$5:$T$44,$CU25,G$57),""),3,1)="隔",IF(G$58=0,LEFT(IFERROR(INDEX(醫師週班表!$C$5:$T$44,$CU25,G$57),""),1),""),IF(MID(IFERROR(INDEX(醫師週班表!$C$5:$T$44,$CU25,G$57),""),2,1)="(",LEFT(IFERROR(INDEX(醫師週班表!$C$5:$T$44,$CU25,G$57),""),1),IFERROR(INDEX(醫師週班表!$C$5:$T$44,$CU25,G$57),"")))))))</f>
        <v/>
      </c>
      <c r="H25" s="67">
        <f>IF(H$59="X","",IF(H$59&lt;&gt;"",H$59,IF(IFERROR(INDEX(醫師週班表!$C$5:$T$44,$CU25,H$57),"")=0,"",IF(MID(IFERROR(INDEX(醫師週班表!$C$5:$T$44,$CU25,H$57),""),2,1)="/",MID(IFERROR(INDEX(醫師週班表!$C$5:$T$44,$CU25,H$57),""),1+H$58*2,1),IF(MID(IFERROR(INDEX(醫師週班表!$C$5:$T$44,$CU25,H$57),""),3,1)="隔",IF(H$58=0,LEFT(IFERROR(INDEX(醫師週班表!$C$5:$T$44,$CU25,H$57),""),1),""),IF(MID(IFERROR(INDEX(醫師週班表!$C$5:$T$44,$CU25,H$57),""),2,1)="(",LEFT(IFERROR(INDEX(醫師週班表!$C$5:$T$44,$CU25,H$57),""),1),IFERROR(INDEX(醫師週班表!$C$5:$T$44,$CU25,H$57),"")))))))</f>
        <v/>
      </c>
      <c r="I25" s="68">
        <f>IF(I$59="X","",IF(I$59&lt;&gt;"",I$59,IF(IFERROR(INDEX(醫師週班表!$C$5:$T$44,$CU25,I$57),"")=0,"",IF(MID(IFERROR(INDEX(醫師週班表!$C$5:$T$44,$CU25,I$57),""),2,1)="/",MID(IFERROR(INDEX(醫師週班表!$C$5:$T$44,$CU25,I$57),""),1+I$58*2,1),IF(MID(IFERROR(INDEX(醫師週班表!$C$5:$T$44,$CU25,I$57),""),3,1)="隔",IF(I$58=0,LEFT(IFERROR(INDEX(醫師週班表!$C$5:$T$44,$CU25,I$57),""),1),""),IF(MID(IFERROR(INDEX(醫師週班表!$C$5:$T$44,$CU25,I$57),""),2,1)="(",LEFT(IFERROR(INDEX(醫師週班表!$C$5:$T$44,$CU25,I$57),""),1),IFERROR(INDEX(醫師週班表!$C$5:$T$44,$CU25,I$57),"")))))))</f>
        <v/>
      </c>
      <c r="J25" s="68">
        <f>IF(J$59="X","",IF(J$59&lt;&gt;"",J$59,IF(IFERROR(INDEX(醫師週班表!$C$5:$T$44,$CU25,J$57),"")=0,"",IF(MID(IFERROR(INDEX(醫師週班表!$C$5:$T$44,$CU25,J$57),""),2,1)="/",MID(IFERROR(INDEX(醫師週班表!$C$5:$T$44,$CU25,J$57),""),1+J$58*2,1),IF(MID(IFERROR(INDEX(醫師週班表!$C$5:$T$44,$CU25,J$57),""),3,1)="隔",IF(J$58=0,LEFT(IFERROR(INDEX(醫師週班表!$C$5:$T$44,$CU25,J$57),""),1),""),IF(MID(IFERROR(INDEX(醫師週班表!$C$5:$T$44,$CU25,J$57),""),2,1)="(",LEFT(IFERROR(INDEX(醫師週班表!$C$5:$T$44,$CU25,J$57),""),1),IFERROR(INDEX(醫師週班表!$C$5:$T$44,$CU25,J$57),"")))))))</f>
        <v/>
      </c>
      <c r="K25" s="67">
        <f>IF(K$59="X","",IF(K$59&lt;&gt;"",K$59,IF(IFERROR(INDEX(醫師週班表!$C$5:$T$44,$CU25,K$57),"")=0,"",IF(MID(IFERROR(INDEX(醫師週班表!$C$5:$T$44,$CU25,K$57),""),2,1)="/",MID(IFERROR(INDEX(醫師週班表!$C$5:$T$44,$CU25,K$57),""),1+K$58*2,1),IF(MID(IFERROR(INDEX(醫師週班表!$C$5:$T$44,$CU25,K$57),""),3,1)="隔",IF(K$58=0,LEFT(IFERROR(INDEX(醫師週班表!$C$5:$T$44,$CU25,K$57),""),1),""),IF(MID(IFERROR(INDEX(醫師週班表!$C$5:$T$44,$CU25,K$57),""),2,1)="(",LEFT(IFERROR(INDEX(醫師週班表!$C$5:$T$44,$CU25,K$57),""),1),IFERROR(INDEX(醫師週班表!$C$5:$T$44,$CU25,K$57),"")))))))</f>
        <v/>
      </c>
      <c r="L25" s="68">
        <f>IF(L$59="X","",IF(L$59&lt;&gt;"",L$59,IF(IFERROR(INDEX(醫師週班表!$C$5:$T$44,$CU25,L$57),"")=0,"",IF(MID(IFERROR(INDEX(醫師週班表!$C$5:$T$44,$CU25,L$57),""),2,1)="/",MID(IFERROR(INDEX(醫師週班表!$C$5:$T$44,$CU25,L$57),""),1+L$58*2,1),IF(MID(IFERROR(INDEX(醫師週班表!$C$5:$T$44,$CU25,L$57),""),3,1)="隔",IF(L$58=0,LEFT(IFERROR(INDEX(醫師週班表!$C$5:$T$44,$CU25,L$57),""),1),""),IF(MID(IFERROR(INDEX(醫師週班表!$C$5:$T$44,$CU25,L$57),""),2,1)="(",LEFT(IFERROR(INDEX(醫師週班表!$C$5:$T$44,$CU25,L$57),""),1),IFERROR(INDEX(醫師週班表!$C$5:$T$44,$CU25,L$57),"")))))))</f>
        <v/>
      </c>
      <c r="M25" s="68">
        <f>IF(M$59="X","",IF(M$59&lt;&gt;"",M$59,IF(IFERROR(INDEX(醫師週班表!$C$5:$T$44,$CU25,M$57),"")=0,"",IF(MID(IFERROR(INDEX(醫師週班表!$C$5:$T$44,$CU25,M$57),""),2,1)="/",MID(IFERROR(INDEX(醫師週班表!$C$5:$T$44,$CU25,M$57),""),1+M$58*2,1),IF(MID(IFERROR(INDEX(醫師週班表!$C$5:$T$44,$CU25,M$57),""),3,1)="隔",IF(M$58=0,LEFT(IFERROR(INDEX(醫師週班表!$C$5:$T$44,$CU25,M$57),""),1),""),IF(MID(IFERROR(INDEX(醫師週班表!$C$5:$T$44,$CU25,M$57),""),2,1)="(",LEFT(IFERROR(INDEX(醫師週班表!$C$5:$T$44,$CU25,M$57),""),1),IFERROR(INDEX(醫師週班表!$C$5:$T$44,$CU25,M$57),"")))))))</f>
        <v/>
      </c>
      <c r="N25" s="67">
        <f>IF(N$59="X","",IF(N$59&lt;&gt;"",N$59,IF(IFERROR(INDEX(醫師週班表!$C$5:$T$44,$CU25,N$57),"")=0,"",IF(MID(IFERROR(INDEX(醫師週班表!$C$5:$T$44,$CU25,N$57),""),2,1)="/",MID(IFERROR(INDEX(醫師週班表!$C$5:$T$44,$CU25,N$57),""),1+N$58*2,1),IF(MID(IFERROR(INDEX(醫師週班表!$C$5:$T$44,$CU25,N$57),""),3,1)="隔",IF(N$58=0,LEFT(IFERROR(INDEX(醫師週班表!$C$5:$T$44,$CU25,N$57),""),1),""),IF(MID(IFERROR(INDEX(醫師週班表!$C$5:$T$44,$CU25,N$57),""),2,1)="(",LEFT(IFERROR(INDEX(醫師週班表!$C$5:$T$44,$CU25,N$57),""),1),IFERROR(INDEX(醫師週班表!$C$5:$T$44,$CU25,N$57),"")))))))</f>
        <v/>
      </c>
      <c r="O25" s="68">
        <f>IF(O$59="X","",IF(O$59&lt;&gt;"",O$59,IF(IFERROR(INDEX(醫師週班表!$C$5:$T$44,$CU25,O$57),"")=0,"",IF(MID(IFERROR(INDEX(醫師週班表!$C$5:$T$44,$CU25,O$57),""),2,1)="/",MID(IFERROR(INDEX(醫師週班表!$C$5:$T$44,$CU25,O$57),""),1+O$58*2,1),IF(MID(IFERROR(INDEX(醫師週班表!$C$5:$T$44,$CU25,O$57),""),3,1)="隔",IF(O$58=0,LEFT(IFERROR(INDEX(醫師週班表!$C$5:$T$44,$CU25,O$57),""),1),""),IF(MID(IFERROR(INDEX(醫師週班表!$C$5:$T$44,$CU25,O$57),""),2,1)="(",LEFT(IFERROR(INDEX(醫師週班表!$C$5:$T$44,$CU25,O$57),""),1),IFERROR(INDEX(醫師週班表!$C$5:$T$44,$CU25,O$57),"")))))))</f>
        <v/>
      </c>
      <c r="P25" s="68">
        <f>IF(P$59="X","",IF(P$59&lt;&gt;"",P$59,IF(IFERROR(INDEX(醫師週班表!$C$5:$T$44,$CU25,P$57),"")=0,"",IF(MID(IFERROR(INDEX(醫師週班表!$C$5:$T$44,$CU25,P$57),""),2,1)="/",MID(IFERROR(INDEX(醫師週班表!$C$5:$T$44,$CU25,P$57),""),1+P$58*2,1),IF(MID(IFERROR(INDEX(醫師週班表!$C$5:$T$44,$CU25,P$57),""),3,1)="隔",IF(P$58=0,LEFT(IFERROR(INDEX(醫師週班表!$C$5:$T$44,$CU25,P$57),""),1),""),IF(MID(IFERROR(INDEX(醫師週班表!$C$5:$T$44,$CU25,P$57),""),2,1)="(",LEFT(IFERROR(INDEX(醫師週班表!$C$5:$T$44,$CU25,P$57),""),1),IFERROR(INDEX(醫師週班表!$C$5:$T$44,$CU25,P$57),"")))))))</f>
        <v/>
      </c>
      <c r="Q25" s="67">
        <f>IF(Q$59="X","",IF(Q$59&lt;&gt;"",Q$59,IF(IFERROR(INDEX(醫師週班表!$C$5:$T$44,$CU25,Q$57),"")=0,"",IF(MID(IFERROR(INDEX(醫師週班表!$C$5:$T$44,$CU25,Q$57),""),2,1)="/",MID(IFERROR(INDEX(醫師週班表!$C$5:$T$44,$CU25,Q$57),""),1+Q$58*2,1),IF(MID(IFERROR(INDEX(醫師週班表!$C$5:$T$44,$CU25,Q$57),""),3,1)="隔",IF(Q$58=0,LEFT(IFERROR(INDEX(醫師週班表!$C$5:$T$44,$CU25,Q$57),""),1),""),IF(MID(IFERROR(INDEX(醫師週班表!$C$5:$T$44,$CU25,Q$57),""),2,1)="(",LEFT(IFERROR(INDEX(醫師週班表!$C$5:$T$44,$CU25,Q$57),""),1),IFERROR(INDEX(醫師週班表!$C$5:$T$44,$CU25,Q$57),"")))))))</f>
        <v/>
      </c>
      <c r="R25" s="68">
        <f>IF(R$59="X","",IF(R$59&lt;&gt;"",R$59,IF(IFERROR(INDEX(醫師週班表!$C$5:$T$44,$CU25,R$57),"")=0,"",IF(MID(IFERROR(INDEX(醫師週班表!$C$5:$T$44,$CU25,R$57),""),2,1)="/",MID(IFERROR(INDEX(醫師週班表!$C$5:$T$44,$CU25,R$57),""),1+R$58*2,1),IF(MID(IFERROR(INDEX(醫師週班表!$C$5:$T$44,$CU25,R$57),""),3,1)="隔",IF(R$58=0,LEFT(IFERROR(INDEX(醫師週班表!$C$5:$T$44,$CU25,R$57),""),1),""),IF(MID(IFERROR(INDEX(醫師週班表!$C$5:$T$44,$CU25,R$57),""),2,1)="(",LEFT(IFERROR(INDEX(醫師週班表!$C$5:$T$44,$CU25,R$57),""),1),IFERROR(INDEX(醫師週班表!$C$5:$T$44,$CU25,R$57),"")))))))</f>
        <v/>
      </c>
      <c r="S25" s="68">
        <f>IF(S$59="X","",IF(S$59&lt;&gt;"",S$59,IF(IFERROR(INDEX(醫師週班表!$C$5:$T$44,$CU25,S$57),"")=0,"",IF(MID(IFERROR(INDEX(醫師週班表!$C$5:$T$44,$CU25,S$57),""),2,1)="/",MID(IFERROR(INDEX(醫師週班表!$C$5:$T$44,$CU25,S$57),""),1+S$58*2,1),IF(MID(IFERROR(INDEX(醫師週班表!$C$5:$T$44,$CU25,S$57),""),3,1)="隔",IF(S$58=0,LEFT(IFERROR(INDEX(醫師週班表!$C$5:$T$44,$CU25,S$57),""),1),""),IF(MID(IFERROR(INDEX(醫師週班表!$C$5:$T$44,$CU25,S$57),""),2,1)="(",LEFT(IFERROR(INDEX(醫師週班表!$C$5:$T$44,$CU25,S$57),""),1),IFERROR(INDEX(醫師週班表!$C$5:$T$44,$CU25,S$57),"")))))))</f>
        <v/>
      </c>
      <c r="T25" s="67">
        <f>IF(T$59="X","",IF(T$59&lt;&gt;"",T$59,IF(IFERROR(INDEX(醫師週班表!$C$5:$T$44,$CU25,T$57),"")=0,"",IF(MID(IFERROR(INDEX(醫師週班表!$C$5:$T$44,$CU25,T$57),""),2,1)="/",MID(IFERROR(INDEX(醫師週班表!$C$5:$T$44,$CU25,T$57),""),1+T$58*2,1),IF(MID(IFERROR(INDEX(醫師週班表!$C$5:$T$44,$CU25,T$57),""),3,1)="隔",IF(T$58=0,LEFT(IFERROR(INDEX(醫師週班表!$C$5:$T$44,$CU25,T$57),""),1),""),IF(MID(IFERROR(INDEX(醫師週班表!$C$5:$T$44,$CU25,T$57),""),2,1)="(",LEFT(IFERROR(INDEX(醫師週班表!$C$5:$T$44,$CU25,T$57),""),1),IFERROR(INDEX(醫師週班表!$C$5:$T$44,$CU25,T$57),"")))))))</f>
        <v/>
      </c>
      <c r="U25" s="68">
        <f>IF(U$59="X","",IF(U$59&lt;&gt;"",U$59,IF(IFERROR(INDEX(醫師週班表!$C$5:$T$44,$CU25,U$57),"")=0,"",IF(MID(IFERROR(INDEX(醫師週班表!$C$5:$T$44,$CU25,U$57),""),2,1)="/",MID(IFERROR(INDEX(醫師週班表!$C$5:$T$44,$CU25,U$57),""),1+U$58*2,1),IF(MID(IFERROR(INDEX(醫師週班表!$C$5:$T$44,$CU25,U$57),""),3,1)="隔",IF(U$58=0,LEFT(IFERROR(INDEX(醫師週班表!$C$5:$T$44,$CU25,U$57),""),1),""),IF(MID(IFERROR(INDEX(醫師週班表!$C$5:$T$44,$CU25,U$57),""),2,1)="(",LEFT(IFERROR(INDEX(醫師週班表!$C$5:$T$44,$CU25,U$57),""),1),IFERROR(INDEX(醫師週班表!$C$5:$T$44,$CU25,U$57),"")))))))</f>
        <v/>
      </c>
      <c r="V25" s="68">
        <f>IF(V$59="X","",IF(V$59&lt;&gt;"",V$59,IF(IFERROR(INDEX(醫師週班表!$C$5:$T$44,$CU25,V$57),"")=0,"",IF(MID(IFERROR(INDEX(醫師週班表!$C$5:$T$44,$CU25,V$57),""),2,1)="/",MID(IFERROR(INDEX(醫師週班表!$C$5:$T$44,$CU25,V$57),""),1+V$58*2,1),IF(MID(IFERROR(INDEX(醫師週班表!$C$5:$T$44,$CU25,V$57),""),3,1)="隔",IF(V$58=0,LEFT(IFERROR(INDEX(醫師週班表!$C$5:$T$44,$CU25,V$57),""),1),""),IF(MID(IFERROR(INDEX(醫師週班表!$C$5:$T$44,$CU25,V$57),""),2,1)="(",LEFT(IFERROR(INDEX(醫師週班表!$C$5:$T$44,$CU25,V$57),""),1),IFERROR(INDEX(醫師週班表!$C$5:$T$44,$CU25,V$57),"")))))))</f>
        <v/>
      </c>
      <c r="W25" s="67">
        <f>IF(W$59="X","",IF(W$59&lt;&gt;"",W$59,IF(IFERROR(INDEX(醫師週班表!$C$5:$T$44,$CU25,W$57),"")=0,"",IF(MID(IFERROR(INDEX(醫師週班表!$C$5:$T$44,$CU25,W$57),""),2,1)="/",MID(IFERROR(INDEX(醫師週班表!$C$5:$T$44,$CU25,W$57),""),1+W$58*2,1),IF(MID(IFERROR(INDEX(醫師週班表!$C$5:$T$44,$CU25,W$57),""),3,1)="隔",IF(W$58=0,LEFT(IFERROR(INDEX(醫師週班表!$C$5:$T$44,$CU25,W$57),""),1),""),IF(MID(IFERROR(INDEX(醫師週班表!$C$5:$T$44,$CU25,W$57),""),2,1)="(",LEFT(IFERROR(INDEX(醫師週班表!$C$5:$T$44,$CU25,W$57),""),1),IFERROR(INDEX(醫師週班表!$C$5:$T$44,$CU25,W$57),"")))))))</f>
        <v/>
      </c>
      <c r="X25" s="68">
        <f>IF(X$59="X","",IF(X$59&lt;&gt;"",X$59,IF(IFERROR(INDEX(醫師週班表!$C$5:$T$44,$CU25,X$57),"")=0,"",IF(MID(IFERROR(INDEX(醫師週班表!$C$5:$T$44,$CU25,X$57),""),2,1)="/",MID(IFERROR(INDEX(醫師週班表!$C$5:$T$44,$CU25,X$57),""),1+X$58*2,1),IF(MID(IFERROR(INDEX(醫師週班表!$C$5:$T$44,$CU25,X$57),""),3,1)="隔",IF(X$58=0,LEFT(IFERROR(INDEX(醫師週班表!$C$5:$T$44,$CU25,X$57),""),1),""),IF(MID(IFERROR(INDEX(醫師週班表!$C$5:$T$44,$CU25,X$57),""),2,1)="(",LEFT(IFERROR(INDEX(醫師週班表!$C$5:$T$44,$CU25,X$57),""),1),IFERROR(INDEX(醫師週班表!$C$5:$T$44,$CU25,X$57),"")))))))</f>
        <v/>
      </c>
      <c r="Y25" s="68">
        <f>IF(Y$59="X","",IF(Y$59&lt;&gt;"",Y$59,IF(IFERROR(INDEX(醫師週班表!$C$5:$T$44,$CU25,Y$57),"")=0,"",IF(MID(IFERROR(INDEX(醫師週班表!$C$5:$T$44,$CU25,Y$57),""),2,1)="/",MID(IFERROR(INDEX(醫師週班表!$C$5:$T$44,$CU25,Y$57),""),1+Y$58*2,1),IF(MID(IFERROR(INDEX(醫師週班表!$C$5:$T$44,$CU25,Y$57),""),3,1)="隔",IF(Y$58=0,LEFT(IFERROR(INDEX(醫師週班表!$C$5:$T$44,$CU25,Y$57),""),1),""),IF(MID(IFERROR(INDEX(醫師週班表!$C$5:$T$44,$CU25,Y$57),""),2,1)="(",LEFT(IFERROR(INDEX(醫師週班表!$C$5:$T$44,$CU25,Y$57),""),1),IFERROR(INDEX(醫師週班表!$C$5:$T$44,$CU25,Y$57),"")))))))</f>
        <v/>
      </c>
      <c r="Z25" s="67">
        <f>IF(Z$59="X","",IF(Z$59&lt;&gt;"",Z$59,IF(IFERROR(INDEX(醫師週班表!$C$5:$T$44,$CU25,Z$57),"")=0,"",IF(MID(IFERROR(INDEX(醫師週班表!$C$5:$T$44,$CU25,Z$57),""),2,1)="/",MID(IFERROR(INDEX(醫師週班表!$C$5:$T$44,$CU25,Z$57),""),1+Z$58*2,1),IF(MID(IFERROR(INDEX(醫師週班表!$C$5:$T$44,$CU25,Z$57),""),3,1)="隔",IF(Z$58=0,LEFT(IFERROR(INDEX(醫師週班表!$C$5:$T$44,$CU25,Z$57),""),1),""),IF(MID(IFERROR(INDEX(醫師週班表!$C$5:$T$44,$CU25,Z$57),""),2,1)="(",LEFT(IFERROR(INDEX(醫師週班表!$C$5:$T$44,$CU25,Z$57),""),1),IFERROR(INDEX(醫師週班表!$C$5:$T$44,$CU25,Z$57),"")))))))</f>
        <v/>
      </c>
      <c r="AA25" s="68">
        <f>IF(AA$59="X","",IF(AA$59&lt;&gt;"",AA$59,IF(IFERROR(INDEX(醫師週班表!$C$5:$T$44,$CU25,AA$57),"")=0,"",IF(MID(IFERROR(INDEX(醫師週班表!$C$5:$T$44,$CU25,AA$57),""),2,1)="/",MID(IFERROR(INDEX(醫師週班表!$C$5:$T$44,$CU25,AA$57),""),1+AA$58*2,1),IF(MID(IFERROR(INDEX(醫師週班表!$C$5:$T$44,$CU25,AA$57),""),3,1)="隔",IF(AA$58=0,LEFT(IFERROR(INDEX(醫師週班表!$C$5:$T$44,$CU25,AA$57),""),1),""),IF(MID(IFERROR(INDEX(醫師週班表!$C$5:$T$44,$CU25,AA$57),""),2,1)="(",LEFT(IFERROR(INDEX(醫師週班表!$C$5:$T$44,$CU25,AA$57),""),1),IFERROR(INDEX(醫師週班表!$C$5:$T$44,$CU25,AA$57),"")))))))</f>
        <v/>
      </c>
      <c r="AB25" s="68">
        <f>IF(AB$59="X","",IF(AB$59&lt;&gt;"",AB$59,IF(IFERROR(INDEX(醫師週班表!$C$5:$T$44,$CU25,AB$57),"")=0,"",IF(MID(IFERROR(INDEX(醫師週班表!$C$5:$T$44,$CU25,AB$57),""),2,1)="/",MID(IFERROR(INDEX(醫師週班表!$C$5:$T$44,$CU25,AB$57),""),1+AB$58*2,1),IF(MID(IFERROR(INDEX(醫師週班表!$C$5:$T$44,$CU25,AB$57),""),3,1)="隔",IF(AB$58=0,LEFT(IFERROR(INDEX(醫師週班表!$C$5:$T$44,$CU25,AB$57),""),1),""),IF(MID(IFERROR(INDEX(醫師週班表!$C$5:$T$44,$CU25,AB$57),""),2,1)="(",LEFT(IFERROR(INDEX(醫師週班表!$C$5:$T$44,$CU25,AB$57),""),1),IFERROR(INDEX(醫師週班表!$C$5:$T$44,$CU25,AB$57),"")))))))</f>
        <v/>
      </c>
      <c r="AC25" s="67">
        <f>IF(AC$59="X","",IF(AC$59&lt;&gt;"",AC$59,IF(IFERROR(INDEX(醫師週班表!$C$5:$T$44,$CU25,AC$57),"")=0,"",IF(MID(IFERROR(INDEX(醫師週班表!$C$5:$T$44,$CU25,AC$57),""),2,1)="/",MID(IFERROR(INDEX(醫師週班表!$C$5:$T$44,$CU25,AC$57),""),1+AC$58*2,1),IF(MID(IFERROR(INDEX(醫師週班表!$C$5:$T$44,$CU25,AC$57),""),3,1)="隔",IF(AC$58=0,LEFT(IFERROR(INDEX(醫師週班表!$C$5:$T$44,$CU25,AC$57),""),1),""),IF(MID(IFERROR(INDEX(醫師週班表!$C$5:$T$44,$CU25,AC$57),""),2,1)="(",LEFT(IFERROR(INDEX(醫師週班表!$C$5:$T$44,$CU25,AC$57),""),1),IFERROR(INDEX(醫師週班表!$C$5:$T$44,$CU25,AC$57),"")))))))</f>
        <v/>
      </c>
      <c r="AD25" s="68">
        <f>IF(AD$59="X","",IF(AD$59&lt;&gt;"",AD$59,IF(IFERROR(INDEX(醫師週班表!$C$5:$T$44,$CU25,AD$57),"")=0,"",IF(MID(IFERROR(INDEX(醫師週班表!$C$5:$T$44,$CU25,AD$57),""),2,1)="/",MID(IFERROR(INDEX(醫師週班表!$C$5:$T$44,$CU25,AD$57),""),1+AD$58*2,1),IF(MID(IFERROR(INDEX(醫師週班表!$C$5:$T$44,$CU25,AD$57),""),3,1)="隔",IF(AD$58=0,LEFT(IFERROR(INDEX(醫師週班表!$C$5:$T$44,$CU25,AD$57),""),1),""),IF(MID(IFERROR(INDEX(醫師週班表!$C$5:$T$44,$CU25,AD$57),""),2,1)="(",LEFT(IFERROR(INDEX(醫師週班表!$C$5:$T$44,$CU25,AD$57),""),1),IFERROR(INDEX(醫師週班表!$C$5:$T$44,$CU25,AD$57),"")))))))</f>
        <v/>
      </c>
      <c r="AE25" s="68">
        <f>IF(AE$59="X","",IF(AE$59&lt;&gt;"",AE$59,IF(IFERROR(INDEX(醫師週班表!$C$5:$T$44,$CU25,AE$57),"")=0,"",IF(MID(IFERROR(INDEX(醫師週班表!$C$5:$T$44,$CU25,AE$57),""),2,1)="/",MID(IFERROR(INDEX(醫師週班表!$C$5:$T$44,$CU25,AE$57),""),1+AE$58*2,1),IF(MID(IFERROR(INDEX(醫師週班表!$C$5:$T$44,$CU25,AE$57),""),3,1)="隔",IF(AE$58=0,LEFT(IFERROR(INDEX(醫師週班表!$C$5:$T$44,$CU25,AE$57),""),1),""),IF(MID(IFERROR(INDEX(醫師週班表!$C$5:$T$44,$CU25,AE$57),""),2,1)="(",LEFT(IFERROR(INDEX(醫師週班表!$C$5:$T$44,$CU25,AE$57),""),1),IFERROR(INDEX(醫師週班表!$C$5:$T$44,$CU25,AE$57),"")))))))</f>
        <v/>
      </c>
      <c r="AF25" s="67">
        <f>IF(AF$59="X","",IF(AF$59&lt;&gt;"",AF$59,IF(IFERROR(INDEX(醫師週班表!$C$5:$T$44,$CU25,AF$57),"")=0,"",IF(MID(IFERROR(INDEX(醫師週班表!$C$5:$T$44,$CU25,AF$57),""),2,1)="/",MID(IFERROR(INDEX(醫師週班表!$C$5:$T$44,$CU25,AF$57),""),1+AF$58*2,1),IF(MID(IFERROR(INDEX(醫師週班表!$C$5:$T$44,$CU25,AF$57),""),3,1)="隔",IF(AF$58=0,LEFT(IFERROR(INDEX(醫師週班表!$C$5:$T$44,$CU25,AF$57),""),1),""),IF(MID(IFERROR(INDEX(醫師週班表!$C$5:$T$44,$CU25,AF$57),""),2,1)="(",LEFT(IFERROR(INDEX(醫師週班表!$C$5:$T$44,$CU25,AF$57),""),1),IFERROR(INDEX(醫師週班表!$C$5:$T$44,$CU25,AF$57),"")))))))</f>
        <v/>
      </c>
      <c r="AG25" s="68">
        <f>IF(AG$59="X","",IF(AG$59&lt;&gt;"",AG$59,IF(IFERROR(INDEX(醫師週班表!$C$5:$T$44,$CU25,AG$57),"")=0,"",IF(MID(IFERROR(INDEX(醫師週班表!$C$5:$T$44,$CU25,AG$57),""),2,1)="/",MID(IFERROR(INDEX(醫師週班表!$C$5:$T$44,$CU25,AG$57),""),1+AG$58*2,1),IF(MID(IFERROR(INDEX(醫師週班表!$C$5:$T$44,$CU25,AG$57),""),3,1)="隔",IF(AG$58=0,LEFT(IFERROR(INDEX(醫師週班表!$C$5:$T$44,$CU25,AG$57),""),1),""),IF(MID(IFERROR(INDEX(醫師週班表!$C$5:$T$44,$CU25,AG$57),""),2,1)="(",LEFT(IFERROR(INDEX(醫師週班表!$C$5:$T$44,$CU25,AG$57),""),1),IFERROR(INDEX(醫師週班表!$C$5:$T$44,$CU25,AG$57),"")))))))</f>
        <v/>
      </c>
      <c r="AH25" s="68">
        <f>IF(AH$59="X","",IF(AH$59&lt;&gt;"",AH$59,IF(IFERROR(INDEX(醫師週班表!$C$5:$T$44,$CU25,AH$57),"")=0,"",IF(MID(IFERROR(INDEX(醫師週班表!$C$5:$T$44,$CU25,AH$57),""),2,1)="/",MID(IFERROR(INDEX(醫師週班表!$C$5:$T$44,$CU25,AH$57),""),1+AH$58*2,1),IF(MID(IFERROR(INDEX(醫師週班表!$C$5:$T$44,$CU25,AH$57),""),3,1)="隔",IF(AH$58=0,LEFT(IFERROR(INDEX(醫師週班表!$C$5:$T$44,$CU25,AH$57),""),1),""),IF(MID(IFERROR(INDEX(醫師週班表!$C$5:$T$44,$CU25,AH$57),""),2,1)="(",LEFT(IFERROR(INDEX(醫師週班表!$C$5:$T$44,$CU25,AH$57),""),1),IFERROR(INDEX(醫師週班表!$C$5:$T$44,$CU25,AH$57),"")))))))</f>
        <v/>
      </c>
      <c r="AI25" s="67">
        <f>IF(AI$59="X","",IF(AI$59&lt;&gt;"",AI$59,IF(IFERROR(INDEX(醫師週班表!$C$5:$T$44,$CU25,AI$57),"")=0,"",IF(MID(IFERROR(INDEX(醫師週班表!$C$5:$T$44,$CU25,AI$57),""),2,1)="/",MID(IFERROR(INDEX(醫師週班表!$C$5:$T$44,$CU25,AI$57),""),1+AI$58*2,1),IF(MID(IFERROR(INDEX(醫師週班表!$C$5:$T$44,$CU25,AI$57),""),3,1)="隔",IF(AI$58=0,LEFT(IFERROR(INDEX(醫師週班表!$C$5:$T$44,$CU25,AI$57),""),1),""),IF(MID(IFERROR(INDEX(醫師週班表!$C$5:$T$44,$CU25,AI$57),""),2,1)="(",LEFT(IFERROR(INDEX(醫師週班表!$C$5:$T$44,$CU25,AI$57),""),1),IFERROR(INDEX(醫師週班表!$C$5:$T$44,$CU25,AI$57),"")))))))</f>
        <v/>
      </c>
      <c r="AJ25" s="68">
        <f>IF(AJ$59="X","",IF(AJ$59&lt;&gt;"",AJ$59,IF(IFERROR(INDEX(醫師週班表!$C$5:$T$44,$CU25,AJ$57),"")=0,"",IF(MID(IFERROR(INDEX(醫師週班表!$C$5:$T$44,$CU25,AJ$57),""),2,1)="/",MID(IFERROR(INDEX(醫師週班表!$C$5:$T$44,$CU25,AJ$57),""),1+AJ$58*2,1),IF(MID(IFERROR(INDEX(醫師週班表!$C$5:$T$44,$CU25,AJ$57),""),3,1)="隔",IF(AJ$58=0,LEFT(IFERROR(INDEX(醫師週班表!$C$5:$T$44,$CU25,AJ$57),""),1),""),IF(MID(IFERROR(INDEX(醫師週班表!$C$5:$T$44,$CU25,AJ$57),""),2,1)="(",LEFT(IFERROR(INDEX(醫師週班表!$C$5:$T$44,$CU25,AJ$57),""),1),IFERROR(INDEX(醫師週班表!$C$5:$T$44,$CU25,AJ$57),"")))))))</f>
        <v/>
      </c>
      <c r="AK25" s="68">
        <f>IF(AK$59="X","",IF(AK$59&lt;&gt;"",AK$59,IF(IFERROR(INDEX(醫師週班表!$C$5:$T$44,$CU25,AK$57),"")=0,"",IF(MID(IFERROR(INDEX(醫師週班表!$C$5:$T$44,$CU25,AK$57),""),2,1)="/",MID(IFERROR(INDEX(醫師週班表!$C$5:$T$44,$CU25,AK$57),""),1+AK$58*2,1),IF(MID(IFERROR(INDEX(醫師週班表!$C$5:$T$44,$CU25,AK$57),""),3,1)="隔",IF(AK$58=0,LEFT(IFERROR(INDEX(醫師週班表!$C$5:$T$44,$CU25,AK$57),""),1),""),IF(MID(IFERROR(INDEX(醫師週班表!$C$5:$T$44,$CU25,AK$57),""),2,1)="(",LEFT(IFERROR(INDEX(醫師週班表!$C$5:$T$44,$CU25,AK$57),""),1),IFERROR(INDEX(醫師週班表!$C$5:$T$44,$CU25,AK$57),"")))))))</f>
        <v/>
      </c>
      <c r="AL25" s="67">
        <f>IF(AL$59="X","",IF(AL$59&lt;&gt;"",AL$59,IF(IFERROR(INDEX(醫師週班表!$C$5:$T$44,$CU25,AL$57),"")=0,"",IF(MID(IFERROR(INDEX(醫師週班表!$C$5:$T$44,$CU25,AL$57),""),2,1)="/",MID(IFERROR(INDEX(醫師週班表!$C$5:$T$44,$CU25,AL$57),""),1+AL$58*2,1),IF(MID(IFERROR(INDEX(醫師週班表!$C$5:$T$44,$CU25,AL$57),""),3,1)="隔",IF(AL$58=0,LEFT(IFERROR(INDEX(醫師週班表!$C$5:$T$44,$CU25,AL$57),""),1),""),IF(MID(IFERROR(INDEX(醫師週班表!$C$5:$T$44,$CU25,AL$57),""),2,1)="(",LEFT(IFERROR(INDEX(醫師週班表!$C$5:$T$44,$CU25,AL$57),""),1),IFERROR(INDEX(醫師週班表!$C$5:$T$44,$CU25,AL$57),"")))))))</f>
        <v/>
      </c>
      <c r="AM25" s="68">
        <f>IF(AM$59="X","",IF(AM$59&lt;&gt;"",AM$59,IF(IFERROR(INDEX(醫師週班表!$C$5:$T$44,$CU25,AM$57),"")=0,"",IF(MID(IFERROR(INDEX(醫師週班表!$C$5:$T$44,$CU25,AM$57),""),2,1)="/",MID(IFERROR(INDEX(醫師週班表!$C$5:$T$44,$CU25,AM$57),""),1+AM$58*2,1),IF(MID(IFERROR(INDEX(醫師週班表!$C$5:$T$44,$CU25,AM$57),""),3,1)="隔",IF(AM$58=0,LEFT(IFERROR(INDEX(醫師週班表!$C$5:$T$44,$CU25,AM$57),""),1),""),IF(MID(IFERROR(INDEX(醫師週班表!$C$5:$T$44,$CU25,AM$57),""),2,1)="(",LEFT(IFERROR(INDEX(醫師週班表!$C$5:$T$44,$CU25,AM$57),""),1),IFERROR(INDEX(醫師週班表!$C$5:$T$44,$CU25,AM$57),"")))))))</f>
        <v/>
      </c>
      <c r="AN25" s="68">
        <f>IF(AN$59="X","",IF(AN$59&lt;&gt;"",AN$59,IF(IFERROR(INDEX(醫師週班表!$C$5:$T$44,$CU25,AN$57),"")=0,"",IF(MID(IFERROR(INDEX(醫師週班表!$C$5:$T$44,$CU25,AN$57),""),2,1)="/",MID(IFERROR(INDEX(醫師週班表!$C$5:$T$44,$CU25,AN$57),""),1+AN$58*2,1),IF(MID(IFERROR(INDEX(醫師週班表!$C$5:$T$44,$CU25,AN$57),""),3,1)="隔",IF(AN$58=0,LEFT(IFERROR(INDEX(醫師週班表!$C$5:$T$44,$CU25,AN$57),""),1),""),IF(MID(IFERROR(INDEX(醫師週班表!$C$5:$T$44,$CU25,AN$57),""),2,1)="(",LEFT(IFERROR(INDEX(醫師週班表!$C$5:$T$44,$CU25,AN$57),""),1),IFERROR(INDEX(醫師週班表!$C$5:$T$44,$CU25,AN$57),"")))))))</f>
        <v/>
      </c>
      <c r="AO25" s="67">
        <f>IF(AO$59="X","",IF(AO$59&lt;&gt;"",AO$59,IF(IFERROR(INDEX(醫師週班表!$C$5:$T$44,$CU25,AO$57),"")=0,"",IF(MID(IFERROR(INDEX(醫師週班表!$C$5:$T$44,$CU25,AO$57),""),2,1)="/",MID(IFERROR(INDEX(醫師週班表!$C$5:$T$44,$CU25,AO$57),""),1+AO$58*2,1),IF(MID(IFERROR(INDEX(醫師週班表!$C$5:$T$44,$CU25,AO$57),""),3,1)="隔",IF(AO$58=0,LEFT(IFERROR(INDEX(醫師週班表!$C$5:$T$44,$CU25,AO$57),""),1),""),IF(MID(IFERROR(INDEX(醫師週班表!$C$5:$T$44,$CU25,AO$57),""),2,1)="(",LEFT(IFERROR(INDEX(醫師週班表!$C$5:$T$44,$CU25,AO$57),""),1),IFERROR(INDEX(醫師週班表!$C$5:$T$44,$CU25,AO$57),"")))))))</f>
        <v/>
      </c>
      <c r="AP25" s="68">
        <f>IF(AP$59="X","",IF(AP$59&lt;&gt;"",AP$59,IF(IFERROR(INDEX(醫師週班表!$C$5:$T$44,$CU25,AP$57),"")=0,"",IF(MID(IFERROR(INDEX(醫師週班表!$C$5:$T$44,$CU25,AP$57),""),2,1)="/",MID(IFERROR(INDEX(醫師週班表!$C$5:$T$44,$CU25,AP$57),""),1+AP$58*2,1),IF(MID(IFERROR(INDEX(醫師週班表!$C$5:$T$44,$CU25,AP$57),""),3,1)="隔",IF(AP$58=0,LEFT(IFERROR(INDEX(醫師週班表!$C$5:$T$44,$CU25,AP$57),""),1),""),IF(MID(IFERROR(INDEX(醫師週班表!$C$5:$T$44,$CU25,AP$57),""),2,1)="(",LEFT(IFERROR(INDEX(醫師週班表!$C$5:$T$44,$CU25,AP$57),""),1),IFERROR(INDEX(醫師週班表!$C$5:$T$44,$CU25,AP$57),"")))))))</f>
        <v/>
      </c>
      <c r="AQ25" s="68">
        <f>IF(AQ$59="X","",IF(AQ$59&lt;&gt;"",AQ$59,IF(IFERROR(INDEX(醫師週班表!$C$5:$T$44,$CU25,AQ$57),"")=0,"",IF(MID(IFERROR(INDEX(醫師週班表!$C$5:$T$44,$CU25,AQ$57),""),2,1)="/",MID(IFERROR(INDEX(醫師週班表!$C$5:$T$44,$CU25,AQ$57),""),1+AQ$58*2,1),IF(MID(IFERROR(INDEX(醫師週班表!$C$5:$T$44,$CU25,AQ$57),""),3,1)="隔",IF(AQ$58=0,LEFT(IFERROR(INDEX(醫師週班表!$C$5:$T$44,$CU25,AQ$57),""),1),""),IF(MID(IFERROR(INDEX(醫師週班表!$C$5:$T$44,$CU25,AQ$57),""),2,1)="(",LEFT(IFERROR(INDEX(醫師週班表!$C$5:$T$44,$CU25,AQ$57),""),1),IFERROR(INDEX(醫師週班表!$C$5:$T$44,$CU25,AQ$57),"")))))))</f>
        <v/>
      </c>
      <c r="AR25" s="67">
        <f>IF(AR$59="X","",IF(AR$59&lt;&gt;"",AR$59,IF(IFERROR(INDEX(醫師週班表!$C$5:$T$44,$CU25,AR$57),"")=0,"",IF(MID(IFERROR(INDEX(醫師週班表!$C$5:$T$44,$CU25,AR$57),""),2,1)="/",MID(IFERROR(INDEX(醫師週班表!$C$5:$T$44,$CU25,AR$57),""),1+AR$58*2,1),IF(MID(IFERROR(INDEX(醫師週班表!$C$5:$T$44,$CU25,AR$57),""),3,1)="隔",IF(AR$58=0,LEFT(IFERROR(INDEX(醫師週班表!$C$5:$T$44,$CU25,AR$57),""),1),""),IF(MID(IFERROR(INDEX(醫師週班表!$C$5:$T$44,$CU25,AR$57),""),2,1)="(",LEFT(IFERROR(INDEX(醫師週班表!$C$5:$T$44,$CU25,AR$57),""),1),IFERROR(INDEX(醫師週班表!$C$5:$T$44,$CU25,AR$57),"")))))))</f>
        <v/>
      </c>
      <c r="AS25" s="68">
        <f>IF(AS$59="X","",IF(AS$59&lt;&gt;"",AS$59,IF(IFERROR(INDEX(醫師週班表!$C$5:$T$44,$CU25,AS$57),"")=0,"",IF(MID(IFERROR(INDEX(醫師週班表!$C$5:$T$44,$CU25,AS$57),""),2,1)="/",MID(IFERROR(INDEX(醫師週班表!$C$5:$T$44,$CU25,AS$57),""),1+AS$58*2,1),IF(MID(IFERROR(INDEX(醫師週班表!$C$5:$T$44,$CU25,AS$57),""),3,1)="隔",IF(AS$58=0,LEFT(IFERROR(INDEX(醫師週班表!$C$5:$T$44,$CU25,AS$57),""),1),""),IF(MID(IFERROR(INDEX(醫師週班表!$C$5:$T$44,$CU25,AS$57),""),2,1)="(",LEFT(IFERROR(INDEX(醫師週班表!$C$5:$T$44,$CU25,AS$57),""),1),IFERROR(INDEX(醫師週班表!$C$5:$T$44,$CU25,AS$57),"")))))))</f>
        <v/>
      </c>
      <c r="AT25" s="68">
        <f>IF(AT$59="X","",IF(AT$59&lt;&gt;"",AT$59,IF(IFERROR(INDEX(醫師週班表!$C$5:$T$44,$CU25,AT$57),"")=0,"",IF(MID(IFERROR(INDEX(醫師週班表!$C$5:$T$44,$CU25,AT$57),""),2,1)="/",MID(IFERROR(INDEX(醫師週班表!$C$5:$T$44,$CU25,AT$57),""),1+AT$58*2,1),IF(MID(IFERROR(INDEX(醫師週班表!$C$5:$T$44,$CU25,AT$57),""),3,1)="隔",IF(AT$58=0,LEFT(IFERROR(INDEX(醫師週班表!$C$5:$T$44,$CU25,AT$57),""),1),""),IF(MID(IFERROR(INDEX(醫師週班表!$C$5:$T$44,$CU25,AT$57),""),2,1)="(",LEFT(IFERROR(INDEX(醫師週班表!$C$5:$T$44,$CU25,AT$57),""),1),IFERROR(INDEX(醫師週班表!$C$5:$T$44,$CU25,AT$57),"")))))))</f>
        <v/>
      </c>
      <c r="AU25" s="67">
        <f>IF(AU$59="X","",IF(AU$59&lt;&gt;"",AU$59,IF(IFERROR(INDEX(醫師週班表!$C$5:$T$44,$CU25,AU$57),"")=0,"",IF(MID(IFERROR(INDEX(醫師週班表!$C$5:$T$44,$CU25,AU$57),""),2,1)="/",MID(IFERROR(INDEX(醫師週班表!$C$5:$T$44,$CU25,AU$57),""),1+AU$58*2,1),IF(MID(IFERROR(INDEX(醫師週班表!$C$5:$T$44,$CU25,AU$57),""),3,1)="隔",IF(AU$58=0,LEFT(IFERROR(INDEX(醫師週班表!$C$5:$T$44,$CU25,AU$57),""),1),""),IF(MID(IFERROR(INDEX(醫師週班表!$C$5:$T$44,$CU25,AU$57),""),2,1)="(",LEFT(IFERROR(INDEX(醫師週班表!$C$5:$T$44,$CU25,AU$57),""),1),IFERROR(INDEX(醫師週班表!$C$5:$T$44,$CU25,AU$57),"")))))))</f>
        <v/>
      </c>
      <c r="AV25" s="68">
        <f>IF(AV$59="X","",IF(AV$59&lt;&gt;"",AV$59,IF(IFERROR(INDEX(醫師週班表!$C$5:$T$44,$CU25,AV$57),"")=0,"",IF(MID(IFERROR(INDEX(醫師週班表!$C$5:$T$44,$CU25,AV$57),""),2,1)="/",MID(IFERROR(INDEX(醫師週班表!$C$5:$T$44,$CU25,AV$57),""),1+AV$58*2,1),IF(MID(IFERROR(INDEX(醫師週班表!$C$5:$T$44,$CU25,AV$57),""),3,1)="隔",IF(AV$58=0,LEFT(IFERROR(INDEX(醫師週班表!$C$5:$T$44,$CU25,AV$57),""),1),""),IF(MID(IFERROR(INDEX(醫師週班表!$C$5:$T$44,$CU25,AV$57),""),2,1)="(",LEFT(IFERROR(INDEX(醫師週班表!$C$5:$T$44,$CU25,AV$57),""),1),IFERROR(INDEX(醫師週班表!$C$5:$T$44,$CU25,AV$57),"")))))))</f>
        <v/>
      </c>
      <c r="AW25" s="68">
        <f>IF(AW$59="X","",IF(AW$59&lt;&gt;"",AW$59,IF(IFERROR(INDEX(醫師週班表!$C$5:$T$44,$CU25,AW$57),"")=0,"",IF(MID(IFERROR(INDEX(醫師週班表!$C$5:$T$44,$CU25,AW$57),""),2,1)="/",MID(IFERROR(INDEX(醫師週班表!$C$5:$T$44,$CU25,AW$57),""),1+AW$58*2,1),IF(MID(IFERROR(INDEX(醫師週班表!$C$5:$T$44,$CU25,AW$57),""),3,1)="隔",IF(AW$58=0,LEFT(IFERROR(INDEX(醫師週班表!$C$5:$T$44,$CU25,AW$57),""),1),""),IF(MID(IFERROR(INDEX(醫師週班表!$C$5:$T$44,$CU25,AW$57),""),2,1)="(",LEFT(IFERROR(INDEX(醫師週班表!$C$5:$T$44,$CU25,AW$57),""),1),IFERROR(INDEX(醫師週班表!$C$5:$T$44,$CU25,AW$57),"")))))))</f>
        <v/>
      </c>
      <c r="AX25" s="67">
        <f>IF(AX$59="X","",IF(AX$59&lt;&gt;"",AX$59,IF(IFERROR(INDEX(醫師週班表!$C$5:$T$44,$CU25,AX$57),"")=0,"",IF(MID(IFERROR(INDEX(醫師週班表!$C$5:$T$44,$CU25,AX$57),""),2,1)="/",MID(IFERROR(INDEX(醫師週班表!$C$5:$T$44,$CU25,AX$57),""),1+AX$58*2,1),IF(MID(IFERROR(INDEX(醫師週班表!$C$5:$T$44,$CU25,AX$57),""),3,1)="隔",IF(AX$58=0,LEFT(IFERROR(INDEX(醫師週班表!$C$5:$T$44,$CU25,AX$57),""),1),""),IF(MID(IFERROR(INDEX(醫師週班表!$C$5:$T$44,$CU25,AX$57),""),2,1)="(",LEFT(IFERROR(INDEX(醫師週班表!$C$5:$T$44,$CU25,AX$57),""),1),IFERROR(INDEX(醫師週班表!$C$5:$T$44,$CU25,AX$57),"")))))))</f>
        <v/>
      </c>
      <c r="AY25" s="68">
        <f>IF(AY$59="X","",IF(AY$59&lt;&gt;"",AY$59,IF(IFERROR(INDEX(醫師週班表!$C$5:$T$44,$CU25,AY$57),"")=0,"",IF(MID(IFERROR(INDEX(醫師週班表!$C$5:$T$44,$CU25,AY$57),""),2,1)="/",MID(IFERROR(INDEX(醫師週班表!$C$5:$T$44,$CU25,AY$57),""),1+AY$58*2,1),IF(MID(IFERROR(INDEX(醫師週班表!$C$5:$T$44,$CU25,AY$57),""),3,1)="隔",IF(AY$58=0,LEFT(IFERROR(INDEX(醫師週班表!$C$5:$T$44,$CU25,AY$57),""),1),""),IF(MID(IFERROR(INDEX(醫師週班表!$C$5:$T$44,$CU25,AY$57),""),2,1)="(",LEFT(IFERROR(INDEX(醫師週班表!$C$5:$T$44,$CU25,AY$57),""),1),IFERROR(INDEX(醫師週班表!$C$5:$T$44,$CU25,AY$57),"")))))))</f>
        <v/>
      </c>
      <c r="AZ25" s="68">
        <f>IF(AZ$59="X","",IF(AZ$59&lt;&gt;"",AZ$59,IF(IFERROR(INDEX(醫師週班表!$C$5:$T$44,$CU25,AZ$57),"")=0,"",IF(MID(IFERROR(INDEX(醫師週班表!$C$5:$T$44,$CU25,AZ$57),""),2,1)="/",MID(IFERROR(INDEX(醫師週班表!$C$5:$T$44,$CU25,AZ$57),""),1+AZ$58*2,1),IF(MID(IFERROR(INDEX(醫師週班表!$C$5:$T$44,$CU25,AZ$57),""),3,1)="隔",IF(AZ$58=0,LEFT(IFERROR(INDEX(醫師週班表!$C$5:$T$44,$CU25,AZ$57),""),1),""),IF(MID(IFERROR(INDEX(醫師週班表!$C$5:$T$44,$CU25,AZ$57),""),2,1)="(",LEFT(IFERROR(INDEX(醫師週班表!$C$5:$T$44,$CU25,AZ$57),""),1),IFERROR(INDEX(醫師週班表!$C$5:$T$44,$CU25,AZ$57),"")))))))</f>
        <v/>
      </c>
      <c r="BA25" s="67">
        <f>IF(BA$59="X","",IF(BA$59&lt;&gt;"",BA$59,IF(IFERROR(INDEX(醫師週班表!$C$5:$T$44,$CU25,BA$57),"")=0,"",IF(MID(IFERROR(INDEX(醫師週班表!$C$5:$T$44,$CU25,BA$57),""),2,1)="/",MID(IFERROR(INDEX(醫師週班表!$C$5:$T$44,$CU25,BA$57),""),1+BA$58*2,1),IF(MID(IFERROR(INDEX(醫師週班表!$C$5:$T$44,$CU25,BA$57),""),3,1)="隔",IF(BA$58=0,LEFT(IFERROR(INDEX(醫師週班表!$C$5:$T$44,$CU25,BA$57),""),1),""),IF(MID(IFERROR(INDEX(醫師週班表!$C$5:$T$44,$CU25,BA$57),""),2,1)="(",LEFT(IFERROR(INDEX(醫師週班表!$C$5:$T$44,$CU25,BA$57),""),1),IFERROR(INDEX(醫師週班表!$C$5:$T$44,$CU25,BA$57),"")))))))</f>
        <v/>
      </c>
      <c r="BB25" s="68">
        <f>IF(BB$59="X","",IF(BB$59&lt;&gt;"",BB$59,IF(IFERROR(INDEX(醫師週班表!$C$5:$T$44,$CU25,BB$57),"")=0,"",IF(MID(IFERROR(INDEX(醫師週班表!$C$5:$T$44,$CU25,BB$57),""),2,1)="/",MID(IFERROR(INDEX(醫師週班表!$C$5:$T$44,$CU25,BB$57),""),1+BB$58*2,1),IF(MID(IFERROR(INDEX(醫師週班表!$C$5:$T$44,$CU25,BB$57),""),3,1)="隔",IF(BB$58=0,LEFT(IFERROR(INDEX(醫師週班表!$C$5:$T$44,$CU25,BB$57),""),1),""),IF(MID(IFERROR(INDEX(醫師週班表!$C$5:$T$44,$CU25,BB$57),""),2,1)="(",LEFT(IFERROR(INDEX(醫師週班表!$C$5:$T$44,$CU25,BB$57),""),1),IFERROR(INDEX(醫師週班表!$C$5:$T$44,$CU25,BB$57),"")))))))</f>
        <v/>
      </c>
      <c r="BC25" s="68">
        <f>IF(BC$59="X","",IF(BC$59&lt;&gt;"",BC$59,IF(IFERROR(INDEX(醫師週班表!$C$5:$T$44,$CU25,BC$57),"")=0,"",IF(MID(IFERROR(INDEX(醫師週班表!$C$5:$T$44,$CU25,BC$57),""),2,1)="/",MID(IFERROR(INDEX(醫師週班表!$C$5:$T$44,$CU25,BC$57),""),1+BC$58*2,1),IF(MID(IFERROR(INDEX(醫師週班表!$C$5:$T$44,$CU25,BC$57),""),3,1)="隔",IF(BC$58=0,LEFT(IFERROR(INDEX(醫師週班表!$C$5:$T$44,$CU25,BC$57),""),1),""),IF(MID(IFERROR(INDEX(醫師週班表!$C$5:$T$44,$CU25,BC$57),""),2,1)="(",LEFT(IFERROR(INDEX(醫師週班表!$C$5:$T$44,$CU25,BC$57),""),1),IFERROR(INDEX(醫師週班表!$C$5:$T$44,$CU25,BC$57),"")))))))</f>
        <v/>
      </c>
      <c r="BD25" s="67">
        <f>IF(BD$59="X","",IF(BD$59&lt;&gt;"",BD$59,IF(IFERROR(INDEX(醫師週班表!$C$5:$T$44,$CU25,BD$57),"")=0,"",IF(MID(IFERROR(INDEX(醫師週班表!$C$5:$T$44,$CU25,BD$57),""),2,1)="/",MID(IFERROR(INDEX(醫師週班表!$C$5:$T$44,$CU25,BD$57),""),1+BD$58*2,1),IF(MID(IFERROR(INDEX(醫師週班表!$C$5:$T$44,$CU25,BD$57),""),3,1)="隔",IF(BD$58=0,LEFT(IFERROR(INDEX(醫師週班表!$C$5:$T$44,$CU25,BD$57),""),1),""),IF(MID(IFERROR(INDEX(醫師週班表!$C$5:$T$44,$CU25,BD$57),""),2,1)="(",LEFT(IFERROR(INDEX(醫師週班表!$C$5:$T$44,$CU25,BD$57),""),1),IFERROR(INDEX(醫師週班表!$C$5:$T$44,$CU25,BD$57),"")))))))</f>
        <v/>
      </c>
      <c r="BE25" s="68">
        <f>IF(BE$59="X","",IF(BE$59&lt;&gt;"",BE$59,IF(IFERROR(INDEX(醫師週班表!$C$5:$T$44,$CU25,BE$57),"")=0,"",IF(MID(IFERROR(INDEX(醫師週班表!$C$5:$T$44,$CU25,BE$57),""),2,1)="/",MID(IFERROR(INDEX(醫師週班表!$C$5:$T$44,$CU25,BE$57),""),1+BE$58*2,1),IF(MID(IFERROR(INDEX(醫師週班表!$C$5:$T$44,$CU25,BE$57),""),3,1)="隔",IF(BE$58=0,LEFT(IFERROR(INDEX(醫師週班表!$C$5:$T$44,$CU25,BE$57),""),1),""),IF(MID(IFERROR(INDEX(醫師週班表!$C$5:$T$44,$CU25,BE$57),""),2,1)="(",LEFT(IFERROR(INDEX(醫師週班表!$C$5:$T$44,$CU25,BE$57),""),1),IFERROR(INDEX(醫師週班表!$C$5:$T$44,$CU25,BE$57),"")))))))</f>
        <v/>
      </c>
      <c r="BF25" s="68">
        <f>IF(BF$59="X","",IF(BF$59&lt;&gt;"",BF$59,IF(IFERROR(INDEX(醫師週班表!$C$5:$T$44,$CU25,BF$57),"")=0,"",IF(MID(IFERROR(INDEX(醫師週班表!$C$5:$T$44,$CU25,BF$57),""),2,1)="/",MID(IFERROR(INDEX(醫師週班表!$C$5:$T$44,$CU25,BF$57),""),1+BF$58*2,1),IF(MID(IFERROR(INDEX(醫師週班表!$C$5:$T$44,$CU25,BF$57),""),3,1)="隔",IF(BF$58=0,LEFT(IFERROR(INDEX(醫師週班表!$C$5:$T$44,$CU25,BF$57),""),1),""),IF(MID(IFERROR(INDEX(醫師週班表!$C$5:$T$44,$CU25,BF$57),""),2,1)="(",LEFT(IFERROR(INDEX(醫師週班表!$C$5:$T$44,$CU25,BF$57),""),1),IFERROR(INDEX(醫師週班表!$C$5:$T$44,$CU25,BF$57),"")))))))</f>
        <v/>
      </c>
      <c r="BG25" s="67">
        <f>IF(BG$59="X","",IF(BG$59&lt;&gt;"",BG$59,IF(IFERROR(INDEX(醫師週班表!$C$5:$T$44,$CU25,BG$57),"")=0,"",IF(MID(IFERROR(INDEX(醫師週班表!$C$5:$T$44,$CU25,BG$57),""),2,1)="/",MID(IFERROR(INDEX(醫師週班表!$C$5:$T$44,$CU25,BG$57),""),1+BG$58*2,1),IF(MID(IFERROR(INDEX(醫師週班表!$C$5:$T$44,$CU25,BG$57),""),3,1)="隔",IF(BG$58=0,LEFT(IFERROR(INDEX(醫師週班表!$C$5:$T$44,$CU25,BG$57),""),1),""),IF(MID(IFERROR(INDEX(醫師週班表!$C$5:$T$44,$CU25,BG$57),""),2,1)="(",LEFT(IFERROR(INDEX(醫師週班表!$C$5:$T$44,$CU25,BG$57),""),1),IFERROR(INDEX(醫師週班表!$C$5:$T$44,$CU25,BG$57),"")))))))</f>
        <v/>
      </c>
      <c r="BH25" s="68">
        <f>IF(BH$59="X","",IF(BH$59&lt;&gt;"",BH$59,IF(IFERROR(INDEX(醫師週班表!$C$5:$T$44,$CU25,BH$57),"")=0,"",IF(MID(IFERROR(INDEX(醫師週班表!$C$5:$T$44,$CU25,BH$57),""),2,1)="/",MID(IFERROR(INDEX(醫師週班表!$C$5:$T$44,$CU25,BH$57),""),1+BH$58*2,1),IF(MID(IFERROR(INDEX(醫師週班表!$C$5:$T$44,$CU25,BH$57),""),3,1)="隔",IF(BH$58=0,LEFT(IFERROR(INDEX(醫師週班表!$C$5:$T$44,$CU25,BH$57),""),1),""),IF(MID(IFERROR(INDEX(醫師週班表!$C$5:$T$44,$CU25,BH$57),""),2,1)="(",LEFT(IFERROR(INDEX(醫師週班表!$C$5:$T$44,$CU25,BH$57),""),1),IFERROR(INDEX(醫師週班表!$C$5:$T$44,$CU25,BH$57),"")))))))</f>
        <v/>
      </c>
      <c r="BI25" s="68">
        <f>IF(BI$59="X","",IF(BI$59&lt;&gt;"",BI$59,IF(IFERROR(INDEX(醫師週班表!$C$5:$T$44,$CU25,BI$57),"")=0,"",IF(MID(IFERROR(INDEX(醫師週班表!$C$5:$T$44,$CU25,BI$57),""),2,1)="/",MID(IFERROR(INDEX(醫師週班表!$C$5:$T$44,$CU25,BI$57),""),1+BI$58*2,1),IF(MID(IFERROR(INDEX(醫師週班表!$C$5:$T$44,$CU25,BI$57),""),3,1)="隔",IF(BI$58=0,LEFT(IFERROR(INDEX(醫師週班表!$C$5:$T$44,$CU25,BI$57),""),1),""),IF(MID(IFERROR(INDEX(醫師週班表!$C$5:$T$44,$CU25,BI$57),""),2,1)="(",LEFT(IFERROR(INDEX(醫師週班表!$C$5:$T$44,$CU25,BI$57),""),1),IFERROR(INDEX(醫師週班表!$C$5:$T$44,$CU25,BI$57),"")))))))</f>
        <v/>
      </c>
      <c r="BJ25" s="67">
        <f>IF(BJ$59="X","",IF(BJ$59&lt;&gt;"",BJ$59,IF(IFERROR(INDEX(醫師週班表!$C$5:$T$44,$CU25,BJ$57),"")=0,"",IF(MID(IFERROR(INDEX(醫師週班表!$C$5:$T$44,$CU25,BJ$57),""),2,1)="/",MID(IFERROR(INDEX(醫師週班表!$C$5:$T$44,$CU25,BJ$57),""),1+BJ$58*2,1),IF(MID(IFERROR(INDEX(醫師週班表!$C$5:$T$44,$CU25,BJ$57),""),3,1)="隔",IF(BJ$58=0,LEFT(IFERROR(INDEX(醫師週班表!$C$5:$T$44,$CU25,BJ$57),""),1),""),IF(MID(IFERROR(INDEX(醫師週班表!$C$5:$T$44,$CU25,BJ$57),""),2,1)="(",LEFT(IFERROR(INDEX(醫師週班表!$C$5:$T$44,$CU25,BJ$57),""),1),IFERROR(INDEX(醫師週班表!$C$5:$T$44,$CU25,BJ$57),"")))))))</f>
        <v/>
      </c>
      <c r="BK25" s="68">
        <f>IF(BK$59="X","",IF(BK$59&lt;&gt;"",BK$59,IF(IFERROR(INDEX(醫師週班表!$C$5:$T$44,$CU25,BK$57),"")=0,"",IF(MID(IFERROR(INDEX(醫師週班表!$C$5:$T$44,$CU25,BK$57),""),2,1)="/",MID(IFERROR(INDEX(醫師週班表!$C$5:$T$44,$CU25,BK$57),""),1+BK$58*2,1),IF(MID(IFERROR(INDEX(醫師週班表!$C$5:$T$44,$CU25,BK$57),""),3,1)="隔",IF(BK$58=0,LEFT(IFERROR(INDEX(醫師週班表!$C$5:$T$44,$CU25,BK$57),""),1),""),IF(MID(IFERROR(INDEX(醫師週班表!$C$5:$T$44,$CU25,BK$57),""),2,1)="(",LEFT(IFERROR(INDEX(醫師週班表!$C$5:$T$44,$CU25,BK$57),""),1),IFERROR(INDEX(醫師週班表!$C$5:$T$44,$CU25,BK$57),"")))))))</f>
        <v/>
      </c>
      <c r="BL25" s="68">
        <f>IF(BL$59="X","",IF(BL$59&lt;&gt;"",BL$59,IF(IFERROR(INDEX(醫師週班表!$C$5:$T$44,$CU25,BL$57),"")=0,"",IF(MID(IFERROR(INDEX(醫師週班表!$C$5:$T$44,$CU25,BL$57),""),2,1)="/",MID(IFERROR(INDEX(醫師週班表!$C$5:$T$44,$CU25,BL$57),""),1+BL$58*2,1),IF(MID(IFERROR(INDEX(醫師週班表!$C$5:$T$44,$CU25,BL$57),""),3,1)="隔",IF(BL$58=0,LEFT(IFERROR(INDEX(醫師週班表!$C$5:$T$44,$CU25,BL$57),""),1),""),IF(MID(IFERROR(INDEX(醫師週班表!$C$5:$T$44,$CU25,BL$57),""),2,1)="(",LEFT(IFERROR(INDEX(醫師週班表!$C$5:$T$44,$CU25,BL$57),""),1),IFERROR(INDEX(醫師週班表!$C$5:$T$44,$CU25,BL$57),"")))))))</f>
        <v/>
      </c>
      <c r="BM25" s="67">
        <f>IF(BM$59="X","",IF(BM$59&lt;&gt;"",BM$59,IF(IFERROR(INDEX(醫師週班表!$C$5:$T$44,$CU25,BM$57),"")=0,"",IF(MID(IFERROR(INDEX(醫師週班表!$C$5:$T$44,$CU25,BM$57),""),2,1)="/",MID(IFERROR(INDEX(醫師週班表!$C$5:$T$44,$CU25,BM$57),""),1+BM$58*2,1),IF(MID(IFERROR(INDEX(醫師週班表!$C$5:$T$44,$CU25,BM$57),""),3,1)="隔",IF(BM$58=0,LEFT(IFERROR(INDEX(醫師週班表!$C$5:$T$44,$CU25,BM$57),""),1),""),IF(MID(IFERROR(INDEX(醫師週班表!$C$5:$T$44,$CU25,BM$57),""),2,1)="(",LEFT(IFERROR(INDEX(醫師週班表!$C$5:$T$44,$CU25,BM$57),""),1),IFERROR(INDEX(醫師週班表!$C$5:$T$44,$CU25,BM$57),"")))))))</f>
        <v/>
      </c>
      <c r="BN25" s="68">
        <f>IF(BN$59="X","",IF(BN$59&lt;&gt;"",BN$59,IF(IFERROR(INDEX(醫師週班表!$C$5:$T$44,$CU25,BN$57),"")=0,"",IF(MID(IFERROR(INDEX(醫師週班表!$C$5:$T$44,$CU25,BN$57),""),2,1)="/",MID(IFERROR(INDEX(醫師週班表!$C$5:$T$44,$CU25,BN$57),""),1+BN$58*2,1),IF(MID(IFERROR(INDEX(醫師週班表!$C$5:$T$44,$CU25,BN$57),""),3,1)="隔",IF(BN$58=0,LEFT(IFERROR(INDEX(醫師週班表!$C$5:$T$44,$CU25,BN$57),""),1),""),IF(MID(IFERROR(INDEX(醫師週班表!$C$5:$T$44,$CU25,BN$57),""),2,1)="(",LEFT(IFERROR(INDEX(醫師週班表!$C$5:$T$44,$CU25,BN$57),""),1),IFERROR(INDEX(醫師週班表!$C$5:$T$44,$CU25,BN$57),"")))))))</f>
        <v/>
      </c>
      <c r="BO25" s="68">
        <f>IF(BO$59="X","",IF(BO$59&lt;&gt;"",BO$59,IF(IFERROR(INDEX(醫師週班表!$C$5:$T$44,$CU25,BO$57),"")=0,"",IF(MID(IFERROR(INDEX(醫師週班表!$C$5:$T$44,$CU25,BO$57),""),2,1)="/",MID(IFERROR(INDEX(醫師週班表!$C$5:$T$44,$CU25,BO$57),""),1+BO$58*2,1),IF(MID(IFERROR(INDEX(醫師週班表!$C$5:$T$44,$CU25,BO$57),""),3,1)="隔",IF(BO$58=0,LEFT(IFERROR(INDEX(醫師週班表!$C$5:$T$44,$CU25,BO$57),""),1),""),IF(MID(IFERROR(INDEX(醫師週班表!$C$5:$T$44,$CU25,BO$57),""),2,1)="(",LEFT(IFERROR(INDEX(醫師週班表!$C$5:$T$44,$CU25,BO$57),""),1),IFERROR(INDEX(醫師週班表!$C$5:$T$44,$CU25,BO$57),"")))))))</f>
        <v/>
      </c>
      <c r="BP25" s="67">
        <f>IF(BP$59="X","",IF(BP$59&lt;&gt;"",BP$59,IF(IFERROR(INDEX(醫師週班表!$C$5:$T$44,$CU25,BP$57),"")=0,"",IF(MID(IFERROR(INDEX(醫師週班表!$C$5:$T$44,$CU25,BP$57),""),2,1)="/",MID(IFERROR(INDEX(醫師週班表!$C$5:$T$44,$CU25,BP$57),""),1+BP$58*2,1),IF(MID(IFERROR(INDEX(醫師週班表!$C$5:$T$44,$CU25,BP$57),""),3,1)="隔",IF(BP$58=0,LEFT(IFERROR(INDEX(醫師週班表!$C$5:$T$44,$CU25,BP$57),""),1),""),IF(MID(IFERROR(INDEX(醫師週班表!$C$5:$T$44,$CU25,BP$57),""),2,1)="(",LEFT(IFERROR(INDEX(醫師週班表!$C$5:$T$44,$CU25,BP$57),""),1),IFERROR(INDEX(醫師週班表!$C$5:$T$44,$CU25,BP$57),"")))))))</f>
        <v/>
      </c>
      <c r="BQ25" s="68">
        <f>IF(BQ$59="X","",IF(BQ$59&lt;&gt;"",BQ$59,IF(IFERROR(INDEX(醫師週班表!$C$5:$T$44,$CU25,BQ$57),"")=0,"",IF(MID(IFERROR(INDEX(醫師週班表!$C$5:$T$44,$CU25,BQ$57),""),2,1)="/",MID(IFERROR(INDEX(醫師週班表!$C$5:$T$44,$CU25,BQ$57),""),1+BQ$58*2,1),IF(MID(IFERROR(INDEX(醫師週班表!$C$5:$T$44,$CU25,BQ$57),""),3,1)="隔",IF(BQ$58=0,LEFT(IFERROR(INDEX(醫師週班表!$C$5:$T$44,$CU25,BQ$57),""),1),""),IF(MID(IFERROR(INDEX(醫師週班表!$C$5:$T$44,$CU25,BQ$57),""),2,1)="(",LEFT(IFERROR(INDEX(醫師週班表!$C$5:$T$44,$CU25,BQ$57),""),1),IFERROR(INDEX(醫師週班表!$C$5:$T$44,$CU25,BQ$57),"")))))))</f>
        <v/>
      </c>
      <c r="BR25" s="68">
        <f>IF(BR$59="X","",IF(BR$59&lt;&gt;"",BR$59,IF(IFERROR(INDEX(醫師週班表!$C$5:$T$44,$CU25,BR$57),"")=0,"",IF(MID(IFERROR(INDEX(醫師週班表!$C$5:$T$44,$CU25,BR$57),""),2,1)="/",MID(IFERROR(INDEX(醫師週班表!$C$5:$T$44,$CU25,BR$57),""),1+BR$58*2,1),IF(MID(IFERROR(INDEX(醫師週班表!$C$5:$T$44,$CU25,BR$57),""),3,1)="隔",IF(BR$58=0,LEFT(IFERROR(INDEX(醫師週班表!$C$5:$T$44,$CU25,BR$57),""),1),""),IF(MID(IFERROR(INDEX(醫師週班表!$C$5:$T$44,$CU25,BR$57),""),2,1)="(",LEFT(IFERROR(INDEX(醫師週班表!$C$5:$T$44,$CU25,BR$57),""),1),IFERROR(INDEX(醫師週班表!$C$5:$T$44,$CU25,BR$57),"")))))))</f>
        <v/>
      </c>
      <c r="BS25" s="67">
        <f>IF(BS$59="X","",IF(BS$59&lt;&gt;"",BS$59,IF(IFERROR(INDEX(醫師週班表!$C$5:$T$44,$CU25,BS$57),"")=0,"",IF(MID(IFERROR(INDEX(醫師週班表!$C$5:$T$44,$CU25,BS$57),""),2,1)="/",MID(IFERROR(INDEX(醫師週班表!$C$5:$T$44,$CU25,BS$57),""),1+BS$58*2,1),IF(MID(IFERROR(INDEX(醫師週班表!$C$5:$T$44,$CU25,BS$57),""),3,1)="隔",IF(BS$58=0,LEFT(IFERROR(INDEX(醫師週班表!$C$5:$T$44,$CU25,BS$57),""),1),""),IF(MID(IFERROR(INDEX(醫師週班表!$C$5:$T$44,$CU25,BS$57),""),2,1)="(",LEFT(IFERROR(INDEX(醫師週班表!$C$5:$T$44,$CU25,BS$57),""),1),IFERROR(INDEX(醫師週班表!$C$5:$T$44,$CU25,BS$57),"")))))))</f>
        <v/>
      </c>
      <c r="BT25" s="68">
        <f>IF(BT$59="X","",IF(BT$59&lt;&gt;"",BT$59,IF(IFERROR(INDEX(醫師週班表!$C$5:$T$44,$CU25,BT$57),"")=0,"",IF(MID(IFERROR(INDEX(醫師週班表!$C$5:$T$44,$CU25,BT$57),""),2,1)="/",MID(IFERROR(INDEX(醫師週班表!$C$5:$T$44,$CU25,BT$57),""),1+BT$58*2,1),IF(MID(IFERROR(INDEX(醫師週班表!$C$5:$T$44,$CU25,BT$57),""),3,1)="隔",IF(BT$58=0,LEFT(IFERROR(INDEX(醫師週班表!$C$5:$T$44,$CU25,BT$57),""),1),""),IF(MID(IFERROR(INDEX(醫師週班表!$C$5:$T$44,$CU25,BT$57),""),2,1)="(",LEFT(IFERROR(INDEX(醫師週班表!$C$5:$T$44,$CU25,BT$57),""),1),IFERROR(INDEX(醫師週班表!$C$5:$T$44,$CU25,BT$57),"")))))))</f>
        <v/>
      </c>
      <c r="BU25" s="68">
        <f>IF(BU$59="X","",IF(BU$59&lt;&gt;"",BU$59,IF(IFERROR(INDEX(醫師週班表!$C$5:$T$44,$CU25,BU$57),"")=0,"",IF(MID(IFERROR(INDEX(醫師週班表!$C$5:$T$44,$CU25,BU$57),""),2,1)="/",MID(IFERROR(INDEX(醫師週班表!$C$5:$T$44,$CU25,BU$57),""),1+BU$58*2,1),IF(MID(IFERROR(INDEX(醫師週班表!$C$5:$T$44,$CU25,BU$57),""),3,1)="隔",IF(BU$58=0,LEFT(IFERROR(INDEX(醫師週班表!$C$5:$T$44,$CU25,BU$57),""),1),""),IF(MID(IFERROR(INDEX(醫師週班表!$C$5:$T$44,$CU25,BU$57),""),2,1)="(",LEFT(IFERROR(INDEX(醫師週班表!$C$5:$T$44,$CU25,BU$57),""),1),IFERROR(INDEX(醫師週班表!$C$5:$T$44,$CU25,BU$57),"")))))))</f>
        <v/>
      </c>
      <c r="BV25" s="67">
        <f>IF(BV$59="X","",IF(BV$59&lt;&gt;"",BV$59,IF(IFERROR(INDEX(醫師週班表!$C$5:$T$44,$CU25,BV$57),"")=0,"",IF(MID(IFERROR(INDEX(醫師週班表!$C$5:$T$44,$CU25,BV$57),""),2,1)="/",MID(IFERROR(INDEX(醫師週班表!$C$5:$T$44,$CU25,BV$57),""),1+BV$58*2,1),IF(MID(IFERROR(INDEX(醫師週班表!$C$5:$T$44,$CU25,BV$57),""),3,1)="隔",IF(BV$58=0,LEFT(IFERROR(INDEX(醫師週班表!$C$5:$T$44,$CU25,BV$57),""),1),""),IF(MID(IFERROR(INDEX(醫師週班表!$C$5:$T$44,$CU25,BV$57),""),2,1)="(",LEFT(IFERROR(INDEX(醫師週班表!$C$5:$T$44,$CU25,BV$57),""),1),IFERROR(INDEX(醫師週班表!$C$5:$T$44,$CU25,BV$57),"")))))))</f>
        <v/>
      </c>
      <c r="BW25" s="68">
        <f>IF(BW$59="X","",IF(BW$59&lt;&gt;"",BW$59,IF(IFERROR(INDEX(醫師週班表!$C$5:$T$44,$CU25,BW$57),"")=0,"",IF(MID(IFERROR(INDEX(醫師週班表!$C$5:$T$44,$CU25,BW$57),""),2,1)="/",MID(IFERROR(INDEX(醫師週班表!$C$5:$T$44,$CU25,BW$57),""),1+BW$58*2,1),IF(MID(IFERROR(INDEX(醫師週班表!$C$5:$T$44,$CU25,BW$57),""),3,1)="隔",IF(BW$58=0,LEFT(IFERROR(INDEX(醫師週班表!$C$5:$T$44,$CU25,BW$57),""),1),""),IF(MID(IFERROR(INDEX(醫師週班表!$C$5:$T$44,$CU25,BW$57),""),2,1)="(",LEFT(IFERROR(INDEX(醫師週班表!$C$5:$T$44,$CU25,BW$57),""),1),IFERROR(INDEX(醫師週班表!$C$5:$T$44,$CU25,BW$57),"")))))))</f>
        <v/>
      </c>
      <c r="BX25" s="68">
        <f>IF(BX$59="X","",IF(BX$59&lt;&gt;"",BX$59,IF(IFERROR(INDEX(醫師週班表!$C$5:$T$44,$CU25,BX$57),"")=0,"",IF(MID(IFERROR(INDEX(醫師週班表!$C$5:$T$44,$CU25,BX$57),""),2,1)="/",MID(IFERROR(INDEX(醫師週班表!$C$5:$T$44,$CU25,BX$57),""),1+BX$58*2,1),IF(MID(IFERROR(INDEX(醫師週班表!$C$5:$T$44,$CU25,BX$57),""),3,1)="隔",IF(BX$58=0,LEFT(IFERROR(INDEX(醫師週班表!$C$5:$T$44,$CU25,BX$57),""),1),""),IF(MID(IFERROR(INDEX(醫師週班表!$C$5:$T$44,$CU25,BX$57),""),2,1)="(",LEFT(IFERROR(INDEX(醫師週班表!$C$5:$T$44,$CU25,BX$57),""),1),IFERROR(INDEX(醫師週班表!$C$5:$T$44,$CU25,BX$57),"")))))))</f>
        <v/>
      </c>
      <c r="BY25" s="67">
        <f>IF(BY$59="X","",IF(BY$59&lt;&gt;"",BY$59,IF(IFERROR(INDEX(醫師週班表!$C$5:$T$44,$CU25,BY$57),"")=0,"",IF(MID(IFERROR(INDEX(醫師週班表!$C$5:$T$44,$CU25,BY$57),""),2,1)="/",MID(IFERROR(INDEX(醫師週班表!$C$5:$T$44,$CU25,BY$57),""),1+BY$58*2,1),IF(MID(IFERROR(INDEX(醫師週班表!$C$5:$T$44,$CU25,BY$57),""),3,1)="隔",IF(BY$58=0,LEFT(IFERROR(INDEX(醫師週班表!$C$5:$T$44,$CU25,BY$57),""),1),""),IF(MID(IFERROR(INDEX(醫師週班表!$C$5:$T$44,$CU25,BY$57),""),2,1)="(",LEFT(IFERROR(INDEX(醫師週班表!$C$5:$T$44,$CU25,BY$57),""),1),IFERROR(INDEX(醫師週班表!$C$5:$T$44,$CU25,BY$57),"")))))))</f>
        <v/>
      </c>
      <c r="BZ25" s="68">
        <f>IF(BZ$59="X","",IF(BZ$59&lt;&gt;"",BZ$59,IF(IFERROR(INDEX(醫師週班表!$C$5:$T$44,$CU25,BZ$57),"")=0,"",IF(MID(IFERROR(INDEX(醫師週班表!$C$5:$T$44,$CU25,BZ$57),""),2,1)="/",MID(IFERROR(INDEX(醫師週班表!$C$5:$T$44,$CU25,BZ$57),""),1+BZ$58*2,1),IF(MID(IFERROR(INDEX(醫師週班表!$C$5:$T$44,$CU25,BZ$57),""),3,1)="隔",IF(BZ$58=0,LEFT(IFERROR(INDEX(醫師週班表!$C$5:$T$44,$CU25,BZ$57),""),1),""),IF(MID(IFERROR(INDEX(醫師週班表!$C$5:$T$44,$CU25,BZ$57),""),2,1)="(",LEFT(IFERROR(INDEX(醫師週班表!$C$5:$T$44,$CU25,BZ$57),""),1),IFERROR(INDEX(醫師週班表!$C$5:$T$44,$CU25,BZ$57),"")))))))</f>
        <v/>
      </c>
      <c r="CA25" s="68">
        <f>IF(CA$59="X","",IF(CA$59&lt;&gt;"",CA$59,IF(IFERROR(INDEX(醫師週班表!$C$5:$T$44,$CU25,CA$57),"")=0,"",IF(MID(IFERROR(INDEX(醫師週班表!$C$5:$T$44,$CU25,CA$57),""),2,1)="/",MID(IFERROR(INDEX(醫師週班表!$C$5:$T$44,$CU25,CA$57),""),1+CA$58*2,1),IF(MID(IFERROR(INDEX(醫師週班表!$C$5:$T$44,$CU25,CA$57),""),3,1)="隔",IF(CA$58=0,LEFT(IFERROR(INDEX(醫師週班表!$C$5:$T$44,$CU25,CA$57),""),1),""),IF(MID(IFERROR(INDEX(醫師週班表!$C$5:$T$44,$CU25,CA$57),""),2,1)="(",LEFT(IFERROR(INDEX(醫師週班表!$C$5:$T$44,$CU25,CA$57),""),1),IFERROR(INDEX(醫師週班表!$C$5:$T$44,$CU25,CA$57),"")))))))</f>
        <v/>
      </c>
      <c r="CB25" s="67">
        <f>IF(CB$59="X","",IF(CB$59&lt;&gt;"",CB$59,IF(IFERROR(INDEX(醫師週班表!$C$5:$T$44,$CU25,CB$57),"")=0,"",IF(MID(IFERROR(INDEX(醫師週班表!$C$5:$T$44,$CU25,CB$57),""),2,1)="/",MID(IFERROR(INDEX(醫師週班表!$C$5:$T$44,$CU25,CB$57),""),1+CB$58*2,1),IF(MID(IFERROR(INDEX(醫師週班表!$C$5:$T$44,$CU25,CB$57),""),3,1)="隔",IF(CB$58=0,LEFT(IFERROR(INDEX(醫師週班表!$C$5:$T$44,$CU25,CB$57),""),1),""),IF(MID(IFERROR(INDEX(醫師週班表!$C$5:$T$44,$CU25,CB$57),""),2,1)="(",LEFT(IFERROR(INDEX(醫師週班表!$C$5:$T$44,$CU25,CB$57),""),1),IFERROR(INDEX(醫師週班表!$C$5:$T$44,$CU25,CB$57),"")))))))</f>
        <v/>
      </c>
      <c r="CC25" s="68">
        <f>IF(CC$59="X","",IF(CC$59&lt;&gt;"",CC$59,IF(IFERROR(INDEX(醫師週班表!$C$5:$T$44,$CU25,CC$57),"")=0,"",IF(MID(IFERROR(INDEX(醫師週班表!$C$5:$T$44,$CU25,CC$57),""),2,1)="/",MID(IFERROR(INDEX(醫師週班表!$C$5:$T$44,$CU25,CC$57),""),1+CC$58*2,1),IF(MID(IFERROR(INDEX(醫師週班表!$C$5:$T$44,$CU25,CC$57),""),3,1)="隔",IF(CC$58=0,LEFT(IFERROR(INDEX(醫師週班表!$C$5:$T$44,$CU25,CC$57),""),1),""),IF(MID(IFERROR(INDEX(醫師週班表!$C$5:$T$44,$CU25,CC$57),""),2,1)="(",LEFT(IFERROR(INDEX(醫師週班表!$C$5:$T$44,$CU25,CC$57),""),1),IFERROR(INDEX(醫師週班表!$C$5:$T$44,$CU25,CC$57),"")))))))</f>
        <v/>
      </c>
      <c r="CD25" s="68">
        <f>IF(CD$59="X","",IF(CD$59&lt;&gt;"",CD$59,IF(IFERROR(INDEX(醫師週班表!$C$5:$T$44,$CU25,CD$57),"")=0,"",IF(MID(IFERROR(INDEX(醫師週班表!$C$5:$T$44,$CU25,CD$57),""),2,1)="/",MID(IFERROR(INDEX(醫師週班表!$C$5:$T$44,$CU25,CD$57),""),1+CD$58*2,1),IF(MID(IFERROR(INDEX(醫師週班表!$C$5:$T$44,$CU25,CD$57),""),3,1)="隔",IF(CD$58=0,LEFT(IFERROR(INDEX(醫師週班表!$C$5:$T$44,$CU25,CD$57),""),1),""),IF(MID(IFERROR(INDEX(醫師週班表!$C$5:$T$44,$CU25,CD$57),""),2,1)="(",LEFT(IFERROR(INDEX(醫師週班表!$C$5:$T$44,$CU25,CD$57),""),1),IFERROR(INDEX(醫師週班表!$C$5:$T$44,$CU25,CD$57),"")))))))</f>
        <v/>
      </c>
      <c r="CE25" s="67">
        <f>IF(CE$59="X","",IF(CE$59&lt;&gt;"",CE$59,IF(IFERROR(INDEX(醫師週班表!$C$5:$T$44,$CU25,CE$57),"")=0,"",IF(MID(IFERROR(INDEX(醫師週班表!$C$5:$T$44,$CU25,CE$57),""),2,1)="/",MID(IFERROR(INDEX(醫師週班表!$C$5:$T$44,$CU25,CE$57),""),1+CE$58*2,1),IF(MID(IFERROR(INDEX(醫師週班表!$C$5:$T$44,$CU25,CE$57),""),3,1)="隔",IF(CE$58=0,LEFT(IFERROR(INDEX(醫師週班表!$C$5:$T$44,$CU25,CE$57),""),1),""),IF(MID(IFERROR(INDEX(醫師週班表!$C$5:$T$44,$CU25,CE$57),""),2,1)="(",LEFT(IFERROR(INDEX(醫師週班表!$C$5:$T$44,$CU25,CE$57),""),1),IFERROR(INDEX(醫師週班表!$C$5:$T$44,$CU25,CE$57),"")))))))</f>
        <v/>
      </c>
      <c r="CF25" s="68">
        <f>IF(CF$59="X","",IF(CF$59&lt;&gt;"",CF$59,IF(IFERROR(INDEX(醫師週班表!$C$5:$T$44,$CU25,CF$57),"")=0,"",IF(MID(IFERROR(INDEX(醫師週班表!$C$5:$T$44,$CU25,CF$57),""),2,1)="/",MID(IFERROR(INDEX(醫師週班表!$C$5:$T$44,$CU25,CF$57),""),1+CF$58*2,1),IF(MID(IFERROR(INDEX(醫師週班表!$C$5:$T$44,$CU25,CF$57),""),3,1)="隔",IF(CF$58=0,LEFT(IFERROR(INDEX(醫師週班表!$C$5:$T$44,$CU25,CF$57),""),1),""),IF(MID(IFERROR(INDEX(醫師週班表!$C$5:$T$44,$CU25,CF$57),""),2,1)="(",LEFT(IFERROR(INDEX(醫師週班表!$C$5:$T$44,$CU25,CF$57),""),1),IFERROR(INDEX(醫師週班表!$C$5:$T$44,$CU25,CF$57),"")))))))</f>
        <v/>
      </c>
      <c r="CG25" s="68">
        <f>IF(CG$59="X","",IF(CG$59&lt;&gt;"",CG$59,IF(IFERROR(INDEX(醫師週班表!$C$5:$T$44,$CU25,CG$57),"")=0,"",IF(MID(IFERROR(INDEX(醫師週班表!$C$5:$T$44,$CU25,CG$57),""),2,1)="/",MID(IFERROR(INDEX(醫師週班表!$C$5:$T$44,$CU25,CG$57),""),1+CG$58*2,1),IF(MID(IFERROR(INDEX(醫師週班表!$C$5:$T$44,$CU25,CG$57),""),3,1)="隔",IF(CG$58=0,LEFT(IFERROR(INDEX(醫師週班表!$C$5:$T$44,$CU25,CG$57),""),1),""),IF(MID(IFERROR(INDEX(醫師週班表!$C$5:$T$44,$CU25,CG$57),""),2,1)="(",LEFT(IFERROR(INDEX(醫師週班表!$C$5:$T$44,$CU25,CG$57),""),1),IFERROR(INDEX(醫師週班表!$C$5:$T$44,$CU25,CG$57),"")))))))</f>
        <v/>
      </c>
      <c r="CH25" s="67">
        <f>IF(CH$59="X","",IF(CH$59&lt;&gt;"",CH$59,IF(IFERROR(INDEX(醫師週班表!$C$5:$T$44,$CU25,CH$57),"")=0,"",IF(MID(IFERROR(INDEX(醫師週班表!$C$5:$T$44,$CU25,CH$57),""),2,1)="/",MID(IFERROR(INDEX(醫師週班表!$C$5:$T$44,$CU25,CH$57),""),1+CH$58*2,1),IF(MID(IFERROR(INDEX(醫師週班表!$C$5:$T$44,$CU25,CH$57),""),3,1)="隔",IF(CH$58=0,LEFT(IFERROR(INDEX(醫師週班表!$C$5:$T$44,$CU25,CH$57),""),1),""),IF(MID(IFERROR(INDEX(醫師週班表!$C$5:$T$44,$CU25,CH$57),""),2,1)="(",LEFT(IFERROR(INDEX(醫師週班表!$C$5:$T$44,$CU25,CH$57),""),1),IFERROR(INDEX(醫師週班表!$C$5:$T$44,$CU25,CH$57),"")))))))</f>
        <v/>
      </c>
      <c r="CI25" s="68">
        <f>IF(CI$59="X","",IF(CI$59&lt;&gt;"",CI$59,IF(IFERROR(INDEX(醫師週班表!$C$5:$T$44,$CU25,CI$57),"")=0,"",IF(MID(IFERROR(INDEX(醫師週班表!$C$5:$T$44,$CU25,CI$57),""),2,1)="/",MID(IFERROR(INDEX(醫師週班表!$C$5:$T$44,$CU25,CI$57),""),1+CI$58*2,1),IF(MID(IFERROR(INDEX(醫師週班表!$C$5:$T$44,$CU25,CI$57),""),3,1)="隔",IF(CI$58=0,LEFT(IFERROR(INDEX(醫師週班表!$C$5:$T$44,$CU25,CI$57),""),1),""),IF(MID(IFERROR(INDEX(醫師週班表!$C$5:$T$44,$CU25,CI$57),""),2,1)="(",LEFT(IFERROR(INDEX(醫師週班表!$C$5:$T$44,$CU25,CI$57),""),1),IFERROR(INDEX(醫師週班表!$C$5:$T$44,$CU25,CI$57),"")))))))</f>
        <v/>
      </c>
      <c r="CJ25" s="68">
        <f>IF(CJ$59="X","",IF(CJ$59&lt;&gt;"",CJ$59,IF(IFERROR(INDEX(醫師週班表!$C$5:$T$44,$CU25,CJ$57),"")=0,"",IF(MID(IFERROR(INDEX(醫師週班表!$C$5:$T$44,$CU25,CJ$57),""),2,1)="/",MID(IFERROR(INDEX(醫師週班表!$C$5:$T$44,$CU25,CJ$57),""),1+CJ$58*2,1),IF(MID(IFERROR(INDEX(醫師週班表!$C$5:$T$44,$CU25,CJ$57),""),3,1)="隔",IF(CJ$58=0,LEFT(IFERROR(INDEX(醫師週班表!$C$5:$T$44,$CU25,CJ$57),""),1),""),IF(MID(IFERROR(INDEX(醫師週班表!$C$5:$T$44,$CU25,CJ$57),""),2,1)="(",LEFT(IFERROR(INDEX(醫師週班表!$C$5:$T$44,$CU25,CJ$57),""),1),IFERROR(INDEX(醫師週班表!$C$5:$T$44,$CU25,CJ$57),"")))))))</f>
        <v/>
      </c>
      <c r="CK25" s="67">
        <f>IF(CK$59="X","",IF(CK$59&lt;&gt;"",CK$59,IF(IFERROR(INDEX(醫師週班表!$C$5:$T$44,$CU25,CK$57),"")=0,"",IF(MID(IFERROR(INDEX(醫師週班表!$C$5:$T$44,$CU25,CK$57),""),2,1)="/",MID(IFERROR(INDEX(醫師週班表!$C$5:$T$44,$CU25,CK$57),""),1+CK$58*2,1),IF(MID(IFERROR(INDEX(醫師週班表!$C$5:$T$44,$CU25,CK$57),""),3,1)="隔",IF(CK$58=0,LEFT(IFERROR(INDEX(醫師週班表!$C$5:$T$44,$CU25,CK$57),""),1),""),IF(MID(IFERROR(INDEX(醫師週班表!$C$5:$T$44,$CU25,CK$57),""),2,1)="(",LEFT(IFERROR(INDEX(醫師週班表!$C$5:$T$44,$CU25,CK$57),""),1),IFERROR(INDEX(醫師週班表!$C$5:$T$44,$CU25,CK$57),"")))))))</f>
        <v/>
      </c>
      <c r="CL25" s="68">
        <f>IF(CL$59="X","",IF(CL$59&lt;&gt;"",CL$59,IF(IFERROR(INDEX(醫師週班表!$C$5:$T$44,$CU25,CL$57),"")=0,"",IF(MID(IFERROR(INDEX(醫師週班表!$C$5:$T$44,$CU25,CL$57),""),2,1)="/",MID(IFERROR(INDEX(醫師週班表!$C$5:$T$44,$CU25,CL$57),""),1+CL$58*2,1),IF(MID(IFERROR(INDEX(醫師週班表!$C$5:$T$44,$CU25,CL$57),""),3,1)="隔",IF(CL$58=0,LEFT(IFERROR(INDEX(醫師週班表!$C$5:$T$44,$CU25,CL$57),""),1),""),IF(MID(IFERROR(INDEX(醫師週班表!$C$5:$T$44,$CU25,CL$57),""),2,1)="(",LEFT(IFERROR(INDEX(醫師週班表!$C$5:$T$44,$CU25,CL$57),""),1),IFERROR(INDEX(醫師週班表!$C$5:$T$44,$CU25,CL$57),"")))))))</f>
        <v/>
      </c>
      <c r="CM25" s="68">
        <f>IF(CM$59="X","",IF(CM$59&lt;&gt;"",CM$59,IF(IFERROR(INDEX(醫師週班表!$C$5:$T$44,$CU25,CM$57),"")=0,"",IF(MID(IFERROR(INDEX(醫師週班表!$C$5:$T$44,$CU25,CM$57),""),2,1)="/",MID(IFERROR(INDEX(醫師週班表!$C$5:$T$44,$CU25,CM$57),""),1+CM$58*2,1),IF(MID(IFERROR(INDEX(醫師週班表!$C$5:$T$44,$CU25,CM$57),""),3,1)="隔",IF(CM$58=0,LEFT(IFERROR(INDEX(醫師週班表!$C$5:$T$44,$CU25,CM$57),""),1),""),IF(MID(IFERROR(INDEX(醫師週班表!$C$5:$T$44,$CU25,CM$57),""),2,1)="(",LEFT(IFERROR(INDEX(醫師週班表!$C$5:$T$44,$CU25,CM$57),""),1),IFERROR(INDEX(醫師週班表!$C$5:$T$44,$CU25,CM$57),"")))))))</f>
        <v/>
      </c>
      <c r="CN25" s="67">
        <f>IF(CN$59="X","",IF(CN$59&lt;&gt;"",CN$59,IF(IFERROR(INDEX(醫師週班表!$C$5:$T$44,$CU25,CN$57),"")=0,"",IF(MID(IFERROR(INDEX(醫師週班表!$C$5:$T$44,$CU25,CN$57),""),2,1)="/",MID(IFERROR(INDEX(醫師週班表!$C$5:$T$44,$CU25,CN$57),""),1+CN$58*2,1),IF(MID(IFERROR(INDEX(醫師週班表!$C$5:$T$44,$CU25,CN$57),""),3,1)="隔",IF(CN$58=0,LEFT(IFERROR(INDEX(醫師週班表!$C$5:$T$44,$CU25,CN$57),""),1),""),IF(MID(IFERROR(INDEX(醫師週班表!$C$5:$T$44,$CU25,CN$57),""),2,1)="(",LEFT(IFERROR(INDEX(醫師週班表!$C$5:$T$44,$CU25,CN$57),""),1),IFERROR(INDEX(醫師週班表!$C$5:$T$44,$CU25,CN$57),"")))))))</f>
        <v/>
      </c>
      <c r="CO25" s="68">
        <f>IF(CO$59="X","",IF(CO$59&lt;&gt;"",CO$59,IF(IFERROR(INDEX(醫師週班表!$C$5:$T$44,$CU25,CO$57),"")=0,"",IF(MID(IFERROR(INDEX(醫師週班表!$C$5:$T$44,$CU25,CO$57),""),2,1)="/",MID(IFERROR(INDEX(醫師週班表!$C$5:$T$44,$CU25,CO$57),""),1+CO$58*2,1),IF(MID(IFERROR(INDEX(醫師週班表!$C$5:$T$44,$CU25,CO$57),""),3,1)="隔",IF(CO$58=0,LEFT(IFERROR(INDEX(醫師週班表!$C$5:$T$44,$CU25,CO$57),""),1),""),IF(MID(IFERROR(INDEX(醫師週班表!$C$5:$T$44,$CU25,CO$57),""),2,1)="(",LEFT(IFERROR(INDEX(醫師週班表!$C$5:$T$44,$CU25,CO$57),""),1),IFERROR(INDEX(醫師週班表!$C$5:$T$44,$CU25,CO$57),"")))))))</f>
        <v/>
      </c>
      <c r="CP25" s="68">
        <f>IF(CP$59="X","",IF(CP$59&lt;&gt;"",CP$59,IF(IFERROR(INDEX(醫師週班表!$C$5:$T$44,$CU25,CP$57),"")=0,"",IF(MID(IFERROR(INDEX(醫師週班表!$C$5:$T$44,$CU25,CP$57),""),2,1)="/",MID(IFERROR(INDEX(醫師週班表!$C$5:$T$44,$CU25,CP$57),""),1+CP$58*2,1),IF(MID(IFERROR(INDEX(醫師週班表!$C$5:$T$44,$CU25,CP$57),""),3,1)="隔",IF(CP$58=0,LEFT(IFERROR(INDEX(醫師週班表!$C$5:$T$44,$CU25,CP$57),""),1),""),IF(MID(IFERROR(INDEX(醫師週班表!$C$5:$T$44,$CU25,CP$57),""),2,1)="(",LEFT(IFERROR(INDEX(醫師週班表!$C$5:$T$44,$CU25,CP$57),""),1),IFERROR(INDEX(醫師週班表!$C$5:$T$44,$CU25,CP$57),"")))))))</f>
        <v/>
      </c>
      <c r="CQ25" s="67">
        <f>IF(CQ$59="X","",IF(CQ$59&lt;&gt;"",CQ$59,IF(IFERROR(INDEX(醫師週班表!$C$5:$T$44,$CU25,CQ$57),"")=0,"",IF(MID(IFERROR(INDEX(醫師週班表!$C$5:$T$44,$CU25,CQ$57),""),2,1)="/",MID(IFERROR(INDEX(醫師週班表!$C$5:$T$44,$CU25,CQ$57),""),1+CQ$58*2,1),IF(MID(IFERROR(INDEX(醫師週班表!$C$5:$T$44,$CU25,CQ$57),""),3,1)="隔",IF(CQ$58=0,LEFT(IFERROR(INDEX(醫師週班表!$C$5:$T$44,$CU25,CQ$57),""),1),""),IF(MID(IFERROR(INDEX(醫師週班表!$C$5:$T$44,$CU25,CQ$57),""),2,1)="(",LEFT(IFERROR(INDEX(醫師週班表!$C$5:$T$44,$CU25,CQ$57),""),1),IFERROR(INDEX(醫師週班表!$C$5:$T$44,$CU25,CQ$57),"")))))))</f>
        <v/>
      </c>
      <c r="CR25" s="68">
        <f>IF(CR$59="X","",IF(CR$59&lt;&gt;"",CR$59,IF(IFERROR(INDEX(醫師週班表!$C$5:$T$44,$CU25,CR$57),"")=0,"",IF(MID(IFERROR(INDEX(醫師週班表!$C$5:$T$44,$CU25,CR$57),""),2,1)="/",MID(IFERROR(INDEX(醫師週班表!$C$5:$T$44,$CU25,CR$57),""),1+CR$58*2,1),IF(MID(IFERROR(INDEX(醫師週班表!$C$5:$T$44,$CU25,CR$57),""),3,1)="隔",IF(CR$58=0,LEFT(IFERROR(INDEX(醫師週班表!$C$5:$T$44,$CU25,CR$57),""),1),""),IF(MID(IFERROR(INDEX(醫師週班表!$C$5:$T$44,$CU25,CR$57),""),2,1)="(",LEFT(IFERROR(INDEX(醫師週班表!$C$5:$T$44,$CU25,CR$57),""),1),IFERROR(INDEX(醫師週班表!$C$5:$T$44,$CU25,CR$57),"")))))))</f>
        <v/>
      </c>
      <c r="CS25" s="68">
        <f>IF(CS$59="X","",IF(CS$59&lt;&gt;"",CS$59,IF(IFERROR(INDEX(醫師週班表!$C$5:$T$44,$CU25,CS$57),"")=0,"",IF(MID(IFERROR(INDEX(醫師週班表!$C$5:$T$44,$CU25,CS$57),""),2,1)="/",MID(IFERROR(INDEX(醫師週班表!$C$5:$T$44,$CU25,CS$57),""),1+CS$58*2,1),IF(MID(IFERROR(INDEX(醫師週班表!$C$5:$T$44,$CU25,CS$57),""),3,1)="隔",IF(CS$58=0,LEFT(IFERROR(INDEX(醫師週班表!$C$5:$T$44,$CU25,CS$57),""),1),""),IF(MID(IFERROR(INDEX(醫師週班表!$C$5:$T$44,$CU25,CS$57),""),2,1)="(",LEFT(IFERROR(INDEX(醫師週班表!$C$5:$T$44,$CU25,CS$57),""),1),IFERROR(INDEX(醫師週班表!$C$5:$T$44,$CU25,CS$57),"")))))))</f>
        <v/>
      </c>
      <c r="CU25" s="69">
        <f>IFERROR(MATCH($A25,醫師週班表!$A$5:$A$44,0),0)</f>
        <v/>
      </c>
    </row>
    <row r="26" ht="17" customHeight="1">
      <c r="A26" s="20" t="inlineStr">
        <is>
          <t>D021</t>
        </is>
      </c>
      <c r="B26" s="16" t="inlineStr">
        <is>
          <t>鄭博文</t>
        </is>
      </c>
      <c r="C26" s="66" t="inlineStr"/>
      <c r="D26" s="16" t="inlineStr"/>
      <c r="E26" s="67">
        <f>IF(E$59="X","",IF(E$59&lt;&gt;"",E$59,IF(IFERROR(INDEX(醫師週班表!$C$5:$T$44,$CU26,E$57),"")=0,"",IF(MID(IFERROR(INDEX(醫師週班表!$C$5:$T$44,$CU26,E$57),""),2,1)="/",MID(IFERROR(INDEX(醫師週班表!$C$5:$T$44,$CU26,E$57),""),1+E$58*2,1),IF(MID(IFERROR(INDEX(醫師週班表!$C$5:$T$44,$CU26,E$57),""),3,1)="隔",IF(E$58=0,LEFT(IFERROR(INDEX(醫師週班表!$C$5:$T$44,$CU26,E$57),""),1),""),IF(MID(IFERROR(INDEX(醫師週班表!$C$5:$T$44,$CU26,E$57),""),2,1)="(",LEFT(IFERROR(INDEX(醫師週班表!$C$5:$T$44,$CU26,E$57),""),1),IFERROR(INDEX(醫師週班表!$C$5:$T$44,$CU26,E$57),"")))))))</f>
        <v/>
      </c>
      <c r="F26" s="68">
        <f>IF(F$59="X","",IF(F$59&lt;&gt;"",F$59,IF(IFERROR(INDEX(醫師週班表!$C$5:$T$44,$CU26,F$57),"")=0,"",IF(MID(IFERROR(INDEX(醫師週班表!$C$5:$T$44,$CU26,F$57),""),2,1)="/",MID(IFERROR(INDEX(醫師週班表!$C$5:$T$44,$CU26,F$57),""),1+F$58*2,1),IF(MID(IFERROR(INDEX(醫師週班表!$C$5:$T$44,$CU26,F$57),""),3,1)="隔",IF(F$58=0,LEFT(IFERROR(INDEX(醫師週班表!$C$5:$T$44,$CU26,F$57),""),1),""),IF(MID(IFERROR(INDEX(醫師週班表!$C$5:$T$44,$CU26,F$57),""),2,1)="(",LEFT(IFERROR(INDEX(醫師週班表!$C$5:$T$44,$CU26,F$57),""),1),IFERROR(INDEX(醫師週班表!$C$5:$T$44,$CU26,F$57),"")))))))</f>
        <v/>
      </c>
      <c r="G26" s="68">
        <f>IF(G$59="X","",IF(G$59&lt;&gt;"",G$59,IF(IFERROR(INDEX(醫師週班表!$C$5:$T$44,$CU26,G$57),"")=0,"",IF(MID(IFERROR(INDEX(醫師週班表!$C$5:$T$44,$CU26,G$57),""),2,1)="/",MID(IFERROR(INDEX(醫師週班表!$C$5:$T$44,$CU26,G$57),""),1+G$58*2,1),IF(MID(IFERROR(INDEX(醫師週班表!$C$5:$T$44,$CU26,G$57),""),3,1)="隔",IF(G$58=0,LEFT(IFERROR(INDEX(醫師週班表!$C$5:$T$44,$CU26,G$57),""),1),""),IF(MID(IFERROR(INDEX(醫師週班表!$C$5:$T$44,$CU26,G$57),""),2,1)="(",LEFT(IFERROR(INDEX(醫師週班表!$C$5:$T$44,$CU26,G$57),""),1),IFERROR(INDEX(醫師週班表!$C$5:$T$44,$CU26,G$57),"")))))))</f>
        <v/>
      </c>
      <c r="H26" s="67">
        <f>IF(H$59="X","",IF(H$59&lt;&gt;"",H$59,IF(IFERROR(INDEX(醫師週班表!$C$5:$T$44,$CU26,H$57),"")=0,"",IF(MID(IFERROR(INDEX(醫師週班表!$C$5:$T$44,$CU26,H$57),""),2,1)="/",MID(IFERROR(INDEX(醫師週班表!$C$5:$T$44,$CU26,H$57),""),1+H$58*2,1),IF(MID(IFERROR(INDEX(醫師週班表!$C$5:$T$44,$CU26,H$57),""),3,1)="隔",IF(H$58=0,LEFT(IFERROR(INDEX(醫師週班表!$C$5:$T$44,$CU26,H$57),""),1),""),IF(MID(IFERROR(INDEX(醫師週班表!$C$5:$T$44,$CU26,H$57),""),2,1)="(",LEFT(IFERROR(INDEX(醫師週班表!$C$5:$T$44,$CU26,H$57),""),1),IFERROR(INDEX(醫師週班表!$C$5:$T$44,$CU26,H$57),"")))))))</f>
        <v/>
      </c>
      <c r="I26" s="68">
        <f>IF(I$59="X","",IF(I$59&lt;&gt;"",I$59,IF(IFERROR(INDEX(醫師週班表!$C$5:$T$44,$CU26,I$57),"")=0,"",IF(MID(IFERROR(INDEX(醫師週班表!$C$5:$T$44,$CU26,I$57),""),2,1)="/",MID(IFERROR(INDEX(醫師週班表!$C$5:$T$44,$CU26,I$57),""),1+I$58*2,1),IF(MID(IFERROR(INDEX(醫師週班表!$C$5:$T$44,$CU26,I$57),""),3,1)="隔",IF(I$58=0,LEFT(IFERROR(INDEX(醫師週班表!$C$5:$T$44,$CU26,I$57),""),1),""),IF(MID(IFERROR(INDEX(醫師週班表!$C$5:$T$44,$CU26,I$57),""),2,1)="(",LEFT(IFERROR(INDEX(醫師週班表!$C$5:$T$44,$CU26,I$57),""),1),IFERROR(INDEX(醫師週班表!$C$5:$T$44,$CU26,I$57),"")))))))</f>
        <v/>
      </c>
      <c r="J26" s="68">
        <f>IF(J$59="X","",IF(J$59&lt;&gt;"",J$59,IF(IFERROR(INDEX(醫師週班表!$C$5:$T$44,$CU26,J$57),"")=0,"",IF(MID(IFERROR(INDEX(醫師週班表!$C$5:$T$44,$CU26,J$57),""),2,1)="/",MID(IFERROR(INDEX(醫師週班表!$C$5:$T$44,$CU26,J$57),""),1+J$58*2,1),IF(MID(IFERROR(INDEX(醫師週班表!$C$5:$T$44,$CU26,J$57),""),3,1)="隔",IF(J$58=0,LEFT(IFERROR(INDEX(醫師週班表!$C$5:$T$44,$CU26,J$57),""),1),""),IF(MID(IFERROR(INDEX(醫師週班表!$C$5:$T$44,$CU26,J$57),""),2,1)="(",LEFT(IFERROR(INDEX(醫師週班表!$C$5:$T$44,$CU26,J$57),""),1),IFERROR(INDEX(醫師週班表!$C$5:$T$44,$CU26,J$57),"")))))))</f>
        <v/>
      </c>
      <c r="K26" s="67">
        <f>IF(K$59="X","",IF(K$59&lt;&gt;"",K$59,IF(IFERROR(INDEX(醫師週班表!$C$5:$T$44,$CU26,K$57),"")=0,"",IF(MID(IFERROR(INDEX(醫師週班表!$C$5:$T$44,$CU26,K$57),""),2,1)="/",MID(IFERROR(INDEX(醫師週班表!$C$5:$T$44,$CU26,K$57),""),1+K$58*2,1),IF(MID(IFERROR(INDEX(醫師週班表!$C$5:$T$44,$CU26,K$57),""),3,1)="隔",IF(K$58=0,LEFT(IFERROR(INDEX(醫師週班表!$C$5:$T$44,$CU26,K$57),""),1),""),IF(MID(IFERROR(INDEX(醫師週班表!$C$5:$T$44,$CU26,K$57),""),2,1)="(",LEFT(IFERROR(INDEX(醫師週班表!$C$5:$T$44,$CU26,K$57),""),1),IFERROR(INDEX(醫師週班表!$C$5:$T$44,$CU26,K$57),"")))))))</f>
        <v/>
      </c>
      <c r="L26" s="68">
        <f>IF(L$59="X","",IF(L$59&lt;&gt;"",L$59,IF(IFERROR(INDEX(醫師週班表!$C$5:$T$44,$CU26,L$57),"")=0,"",IF(MID(IFERROR(INDEX(醫師週班表!$C$5:$T$44,$CU26,L$57),""),2,1)="/",MID(IFERROR(INDEX(醫師週班表!$C$5:$T$44,$CU26,L$57),""),1+L$58*2,1),IF(MID(IFERROR(INDEX(醫師週班表!$C$5:$T$44,$CU26,L$57),""),3,1)="隔",IF(L$58=0,LEFT(IFERROR(INDEX(醫師週班表!$C$5:$T$44,$CU26,L$57),""),1),""),IF(MID(IFERROR(INDEX(醫師週班表!$C$5:$T$44,$CU26,L$57),""),2,1)="(",LEFT(IFERROR(INDEX(醫師週班表!$C$5:$T$44,$CU26,L$57),""),1),IFERROR(INDEX(醫師週班表!$C$5:$T$44,$CU26,L$57),"")))))))</f>
        <v/>
      </c>
      <c r="M26" s="68">
        <f>IF(M$59="X","",IF(M$59&lt;&gt;"",M$59,IF(IFERROR(INDEX(醫師週班表!$C$5:$T$44,$CU26,M$57),"")=0,"",IF(MID(IFERROR(INDEX(醫師週班表!$C$5:$T$44,$CU26,M$57),""),2,1)="/",MID(IFERROR(INDEX(醫師週班表!$C$5:$T$44,$CU26,M$57),""),1+M$58*2,1),IF(MID(IFERROR(INDEX(醫師週班表!$C$5:$T$44,$CU26,M$57),""),3,1)="隔",IF(M$58=0,LEFT(IFERROR(INDEX(醫師週班表!$C$5:$T$44,$CU26,M$57),""),1),""),IF(MID(IFERROR(INDEX(醫師週班表!$C$5:$T$44,$CU26,M$57),""),2,1)="(",LEFT(IFERROR(INDEX(醫師週班表!$C$5:$T$44,$CU26,M$57),""),1),IFERROR(INDEX(醫師週班表!$C$5:$T$44,$CU26,M$57),"")))))))</f>
        <v/>
      </c>
      <c r="N26" s="67">
        <f>IF(N$59="X","",IF(N$59&lt;&gt;"",N$59,IF(IFERROR(INDEX(醫師週班表!$C$5:$T$44,$CU26,N$57),"")=0,"",IF(MID(IFERROR(INDEX(醫師週班表!$C$5:$T$44,$CU26,N$57),""),2,1)="/",MID(IFERROR(INDEX(醫師週班表!$C$5:$T$44,$CU26,N$57),""),1+N$58*2,1),IF(MID(IFERROR(INDEX(醫師週班表!$C$5:$T$44,$CU26,N$57),""),3,1)="隔",IF(N$58=0,LEFT(IFERROR(INDEX(醫師週班表!$C$5:$T$44,$CU26,N$57),""),1),""),IF(MID(IFERROR(INDEX(醫師週班表!$C$5:$T$44,$CU26,N$57),""),2,1)="(",LEFT(IFERROR(INDEX(醫師週班表!$C$5:$T$44,$CU26,N$57),""),1),IFERROR(INDEX(醫師週班表!$C$5:$T$44,$CU26,N$57),"")))))))</f>
        <v/>
      </c>
      <c r="O26" s="68">
        <f>IF(O$59="X","",IF(O$59&lt;&gt;"",O$59,IF(IFERROR(INDEX(醫師週班表!$C$5:$T$44,$CU26,O$57),"")=0,"",IF(MID(IFERROR(INDEX(醫師週班表!$C$5:$T$44,$CU26,O$57),""),2,1)="/",MID(IFERROR(INDEX(醫師週班表!$C$5:$T$44,$CU26,O$57),""),1+O$58*2,1),IF(MID(IFERROR(INDEX(醫師週班表!$C$5:$T$44,$CU26,O$57),""),3,1)="隔",IF(O$58=0,LEFT(IFERROR(INDEX(醫師週班表!$C$5:$T$44,$CU26,O$57),""),1),""),IF(MID(IFERROR(INDEX(醫師週班表!$C$5:$T$44,$CU26,O$57),""),2,1)="(",LEFT(IFERROR(INDEX(醫師週班表!$C$5:$T$44,$CU26,O$57),""),1),IFERROR(INDEX(醫師週班表!$C$5:$T$44,$CU26,O$57),"")))))))</f>
        <v/>
      </c>
      <c r="P26" s="68">
        <f>IF(P$59="X","",IF(P$59&lt;&gt;"",P$59,IF(IFERROR(INDEX(醫師週班表!$C$5:$T$44,$CU26,P$57),"")=0,"",IF(MID(IFERROR(INDEX(醫師週班表!$C$5:$T$44,$CU26,P$57),""),2,1)="/",MID(IFERROR(INDEX(醫師週班表!$C$5:$T$44,$CU26,P$57),""),1+P$58*2,1),IF(MID(IFERROR(INDEX(醫師週班表!$C$5:$T$44,$CU26,P$57),""),3,1)="隔",IF(P$58=0,LEFT(IFERROR(INDEX(醫師週班表!$C$5:$T$44,$CU26,P$57),""),1),""),IF(MID(IFERROR(INDEX(醫師週班表!$C$5:$T$44,$CU26,P$57),""),2,1)="(",LEFT(IFERROR(INDEX(醫師週班表!$C$5:$T$44,$CU26,P$57),""),1),IFERROR(INDEX(醫師週班表!$C$5:$T$44,$CU26,P$57),"")))))))</f>
        <v/>
      </c>
      <c r="Q26" s="67">
        <f>IF(Q$59="X","",IF(Q$59&lt;&gt;"",Q$59,IF(IFERROR(INDEX(醫師週班表!$C$5:$T$44,$CU26,Q$57),"")=0,"",IF(MID(IFERROR(INDEX(醫師週班表!$C$5:$T$44,$CU26,Q$57),""),2,1)="/",MID(IFERROR(INDEX(醫師週班表!$C$5:$T$44,$CU26,Q$57),""),1+Q$58*2,1),IF(MID(IFERROR(INDEX(醫師週班表!$C$5:$T$44,$CU26,Q$57),""),3,1)="隔",IF(Q$58=0,LEFT(IFERROR(INDEX(醫師週班表!$C$5:$T$44,$CU26,Q$57),""),1),""),IF(MID(IFERROR(INDEX(醫師週班表!$C$5:$T$44,$CU26,Q$57),""),2,1)="(",LEFT(IFERROR(INDEX(醫師週班表!$C$5:$T$44,$CU26,Q$57),""),1),IFERROR(INDEX(醫師週班表!$C$5:$T$44,$CU26,Q$57),"")))))))</f>
        <v/>
      </c>
      <c r="R26" s="68">
        <f>IF(R$59="X","",IF(R$59&lt;&gt;"",R$59,IF(IFERROR(INDEX(醫師週班表!$C$5:$T$44,$CU26,R$57),"")=0,"",IF(MID(IFERROR(INDEX(醫師週班表!$C$5:$T$44,$CU26,R$57),""),2,1)="/",MID(IFERROR(INDEX(醫師週班表!$C$5:$T$44,$CU26,R$57),""),1+R$58*2,1),IF(MID(IFERROR(INDEX(醫師週班表!$C$5:$T$44,$CU26,R$57),""),3,1)="隔",IF(R$58=0,LEFT(IFERROR(INDEX(醫師週班表!$C$5:$T$44,$CU26,R$57),""),1),""),IF(MID(IFERROR(INDEX(醫師週班表!$C$5:$T$44,$CU26,R$57),""),2,1)="(",LEFT(IFERROR(INDEX(醫師週班表!$C$5:$T$44,$CU26,R$57),""),1),IFERROR(INDEX(醫師週班表!$C$5:$T$44,$CU26,R$57),"")))))))</f>
        <v/>
      </c>
      <c r="S26" s="68">
        <f>IF(S$59="X","",IF(S$59&lt;&gt;"",S$59,IF(IFERROR(INDEX(醫師週班表!$C$5:$T$44,$CU26,S$57),"")=0,"",IF(MID(IFERROR(INDEX(醫師週班表!$C$5:$T$44,$CU26,S$57),""),2,1)="/",MID(IFERROR(INDEX(醫師週班表!$C$5:$T$44,$CU26,S$57),""),1+S$58*2,1),IF(MID(IFERROR(INDEX(醫師週班表!$C$5:$T$44,$CU26,S$57),""),3,1)="隔",IF(S$58=0,LEFT(IFERROR(INDEX(醫師週班表!$C$5:$T$44,$CU26,S$57),""),1),""),IF(MID(IFERROR(INDEX(醫師週班表!$C$5:$T$44,$CU26,S$57),""),2,1)="(",LEFT(IFERROR(INDEX(醫師週班表!$C$5:$T$44,$CU26,S$57),""),1),IFERROR(INDEX(醫師週班表!$C$5:$T$44,$CU26,S$57),"")))))))</f>
        <v/>
      </c>
      <c r="T26" s="67">
        <f>IF(T$59="X","",IF(T$59&lt;&gt;"",T$59,IF(IFERROR(INDEX(醫師週班表!$C$5:$T$44,$CU26,T$57),"")=0,"",IF(MID(IFERROR(INDEX(醫師週班表!$C$5:$T$44,$CU26,T$57),""),2,1)="/",MID(IFERROR(INDEX(醫師週班表!$C$5:$T$44,$CU26,T$57),""),1+T$58*2,1),IF(MID(IFERROR(INDEX(醫師週班表!$C$5:$T$44,$CU26,T$57),""),3,1)="隔",IF(T$58=0,LEFT(IFERROR(INDEX(醫師週班表!$C$5:$T$44,$CU26,T$57),""),1),""),IF(MID(IFERROR(INDEX(醫師週班表!$C$5:$T$44,$CU26,T$57),""),2,1)="(",LEFT(IFERROR(INDEX(醫師週班表!$C$5:$T$44,$CU26,T$57),""),1),IFERROR(INDEX(醫師週班表!$C$5:$T$44,$CU26,T$57),"")))))))</f>
        <v/>
      </c>
      <c r="U26" s="68">
        <f>IF(U$59="X","",IF(U$59&lt;&gt;"",U$59,IF(IFERROR(INDEX(醫師週班表!$C$5:$T$44,$CU26,U$57),"")=0,"",IF(MID(IFERROR(INDEX(醫師週班表!$C$5:$T$44,$CU26,U$57),""),2,1)="/",MID(IFERROR(INDEX(醫師週班表!$C$5:$T$44,$CU26,U$57),""),1+U$58*2,1),IF(MID(IFERROR(INDEX(醫師週班表!$C$5:$T$44,$CU26,U$57),""),3,1)="隔",IF(U$58=0,LEFT(IFERROR(INDEX(醫師週班表!$C$5:$T$44,$CU26,U$57),""),1),""),IF(MID(IFERROR(INDEX(醫師週班表!$C$5:$T$44,$CU26,U$57),""),2,1)="(",LEFT(IFERROR(INDEX(醫師週班表!$C$5:$T$44,$CU26,U$57),""),1),IFERROR(INDEX(醫師週班表!$C$5:$T$44,$CU26,U$57),"")))))))</f>
        <v/>
      </c>
      <c r="V26" s="68">
        <f>IF(V$59="X","",IF(V$59&lt;&gt;"",V$59,IF(IFERROR(INDEX(醫師週班表!$C$5:$T$44,$CU26,V$57),"")=0,"",IF(MID(IFERROR(INDEX(醫師週班表!$C$5:$T$44,$CU26,V$57),""),2,1)="/",MID(IFERROR(INDEX(醫師週班表!$C$5:$T$44,$CU26,V$57),""),1+V$58*2,1),IF(MID(IFERROR(INDEX(醫師週班表!$C$5:$T$44,$CU26,V$57),""),3,1)="隔",IF(V$58=0,LEFT(IFERROR(INDEX(醫師週班表!$C$5:$T$44,$CU26,V$57),""),1),""),IF(MID(IFERROR(INDEX(醫師週班表!$C$5:$T$44,$CU26,V$57),""),2,1)="(",LEFT(IFERROR(INDEX(醫師週班表!$C$5:$T$44,$CU26,V$57),""),1),IFERROR(INDEX(醫師週班表!$C$5:$T$44,$CU26,V$57),"")))))))</f>
        <v/>
      </c>
      <c r="W26" s="67">
        <f>IF(W$59="X","",IF(W$59&lt;&gt;"",W$59,IF(IFERROR(INDEX(醫師週班表!$C$5:$T$44,$CU26,W$57),"")=0,"",IF(MID(IFERROR(INDEX(醫師週班表!$C$5:$T$44,$CU26,W$57),""),2,1)="/",MID(IFERROR(INDEX(醫師週班表!$C$5:$T$44,$CU26,W$57),""),1+W$58*2,1),IF(MID(IFERROR(INDEX(醫師週班表!$C$5:$T$44,$CU26,W$57),""),3,1)="隔",IF(W$58=0,LEFT(IFERROR(INDEX(醫師週班表!$C$5:$T$44,$CU26,W$57),""),1),""),IF(MID(IFERROR(INDEX(醫師週班表!$C$5:$T$44,$CU26,W$57),""),2,1)="(",LEFT(IFERROR(INDEX(醫師週班表!$C$5:$T$44,$CU26,W$57),""),1),IFERROR(INDEX(醫師週班表!$C$5:$T$44,$CU26,W$57),"")))))))</f>
        <v/>
      </c>
      <c r="X26" s="68">
        <f>IF(X$59="X","",IF(X$59&lt;&gt;"",X$59,IF(IFERROR(INDEX(醫師週班表!$C$5:$T$44,$CU26,X$57),"")=0,"",IF(MID(IFERROR(INDEX(醫師週班表!$C$5:$T$44,$CU26,X$57),""),2,1)="/",MID(IFERROR(INDEX(醫師週班表!$C$5:$T$44,$CU26,X$57),""),1+X$58*2,1),IF(MID(IFERROR(INDEX(醫師週班表!$C$5:$T$44,$CU26,X$57),""),3,1)="隔",IF(X$58=0,LEFT(IFERROR(INDEX(醫師週班表!$C$5:$T$44,$CU26,X$57),""),1),""),IF(MID(IFERROR(INDEX(醫師週班表!$C$5:$T$44,$CU26,X$57),""),2,1)="(",LEFT(IFERROR(INDEX(醫師週班表!$C$5:$T$44,$CU26,X$57),""),1),IFERROR(INDEX(醫師週班表!$C$5:$T$44,$CU26,X$57),"")))))))</f>
        <v/>
      </c>
      <c r="Y26" s="68">
        <f>IF(Y$59="X","",IF(Y$59&lt;&gt;"",Y$59,IF(IFERROR(INDEX(醫師週班表!$C$5:$T$44,$CU26,Y$57),"")=0,"",IF(MID(IFERROR(INDEX(醫師週班表!$C$5:$T$44,$CU26,Y$57),""),2,1)="/",MID(IFERROR(INDEX(醫師週班表!$C$5:$T$44,$CU26,Y$57),""),1+Y$58*2,1),IF(MID(IFERROR(INDEX(醫師週班表!$C$5:$T$44,$CU26,Y$57),""),3,1)="隔",IF(Y$58=0,LEFT(IFERROR(INDEX(醫師週班表!$C$5:$T$44,$CU26,Y$57),""),1),""),IF(MID(IFERROR(INDEX(醫師週班表!$C$5:$T$44,$CU26,Y$57),""),2,1)="(",LEFT(IFERROR(INDEX(醫師週班表!$C$5:$T$44,$CU26,Y$57),""),1),IFERROR(INDEX(醫師週班表!$C$5:$T$44,$CU26,Y$57),"")))))))</f>
        <v/>
      </c>
      <c r="Z26" s="67">
        <f>IF(Z$59="X","",IF(Z$59&lt;&gt;"",Z$59,IF(IFERROR(INDEX(醫師週班表!$C$5:$T$44,$CU26,Z$57),"")=0,"",IF(MID(IFERROR(INDEX(醫師週班表!$C$5:$T$44,$CU26,Z$57),""),2,1)="/",MID(IFERROR(INDEX(醫師週班表!$C$5:$T$44,$CU26,Z$57),""),1+Z$58*2,1),IF(MID(IFERROR(INDEX(醫師週班表!$C$5:$T$44,$CU26,Z$57),""),3,1)="隔",IF(Z$58=0,LEFT(IFERROR(INDEX(醫師週班表!$C$5:$T$44,$CU26,Z$57),""),1),""),IF(MID(IFERROR(INDEX(醫師週班表!$C$5:$T$44,$CU26,Z$57),""),2,1)="(",LEFT(IFERROR(INDEX(醫師週班表!$C$5:$T$44,$CU26,Z$57),""),1),IFERROR(INDEX(醫師週班表!$C$5:$T$44,$CU26,Z$57),"")))))))</f>
        <v/>
      </c>
      <c r="AA26" s="68">
        <f>IF(AA$59="X","",IF(AA$59&lt;&gt;"",AA$59,IF(IFERROR(INDEX(醫師週班表!$C$5:$T$44,$CU26,AA$57),"")=0,"",IF(MID(IFERROR(INDEX(醫師週班表!$C$5:$T$44,$CU26,AA$57),""),2,1)="/",MID(IFERROR(INDEX(醫師週班表!$C$5:$T$44,$CU26,AA$57),""),1+AA$58*2,1),IF(MID(IFERROR(INDEX(醫師週班表!$C$5:$T$44,$CU26,AA$57),""),3,1)="隔",IF(AA$58=0,LEFT(IFERROR(INDEX(醫師週班表!$C$5:$T$44,$CU26,AA$57),""),1),""),IF(MID(IFERROR(INDEX(醫師週班表!$C$5:$T$44,$CU26,AA$57),""),2,1)="(",LEFT(IFERROR(INDEX(醫師週班表!$C$5:$T$44,$CU26,AA$57),""),1),IFERROR(INDEX(醫師週班表!$C$5:$T$44,$CU26,AA$57),"")))))))</f>
        <v/>
      </c>
      <c r="AB26" s="68">
        <f>IF(AB$59="X","",IF(AB$59&lt;&gt;"",AB$59,IF(IFERROR(INDEX(醫師週班表!$C$5:$T$44,$CU26,AB$57),"")=0,"",IF(MID(IFERROR(INDEX(醫師週班表!$C$5:$T$44,$CU26,AB$57),""),2,1)="/",MID(IFERROR(INDEX(醫師週班表!$C$5:$T$44,$CU26,AB$57),""),1+AB$58*2,1),IF(MID(IFERROR(INDEX(醫師週班表!$C$5:$T$44,$CU26,AB$57),""),3,1)="隔",IF(AB$58=0,LEFT(IFERROR(INDEX(醫師週班表!$C$5:$T$44,$CU26,AB$57),""),1),""),IF(MID(IFERROR(INDEX(醫師週班表!$C$5:$T$44,$CU26,AB$57),""),2,1)="(",LEFT(IFERROR(INDEX(醫師週班表!$C$5:$T$44,$CU26,AB$57),""),1),IFERROR(INDEX(醫師週班表!$C$5:$T$44,$CU26,AB$57),"")))))))</f>
        <v/>
      </c>
      <c r="AC26" s="67">
        <f>IF(AC$59="X","",IF(AC$59&lt;&gt;"",AC$59,IF(IFERROR(INDEX(醫師週班表!$C$5:$T$44,$CU26,AC$57),"")=0,"",IF(MID(IFERROR(INDEX(醫師週班表!$C$5:$T$44,$CU26,AC$57),""),2,1)="/",MID(IFERROR(INDEX(醫師週班表!$C$5:$T$44,$CU26,AC$57),""),1+AC$58*2,1),IF(MID(IFERROR(INDEX(醫師週班表!$C$5:$T$44,$CU26,AC$57),""),3,1)="隔",IF(AC$58=0,LEFT(IFERROR(INDEX(醫師週班表!$C$5:$T$44,$CU26,AC$57),""),1),""),IF(MID(IFERROR(INDEX(醫師週班表!$C$5:$T$44,$CU26,AC$57),""),2,1)="(",LEFT(IFERROR(INDEX(醫師週班表!$C$5:$T$44,$CU26,AC$57),""),1),IFERROR(INDEX(醫師週班表!$C$5:$T$44,$CU26,AC$57),"")))))))</f>
        <v/>
      </c>
      <c r="AD26" s="68">
        <f>IF(AD$59="X","",IF(AD$59&lt;&gt;"",AD$59,IF(IFERROR(INDEX(醫師週班表!$C$5:$T$44,$CU26,AD$57),"")=0,"",IF(MID(IFERROR(INDEX(醫師週班表!$C$5:$T$44,$CU26,AD$57),""),2,1)="/",MID(IFERROR(INDEX(醫師週班表!$C$5:$T$44,$CU26,AD$57),""),1+AD$58*2,1),IF(MID(IFERROR(INDEX(醫師週班表!$C$5:$T$44,$CU26,AD$57),""),3,1)="隔",IF(AD$58=0,LEFT(IFERROR(INDEX(醫師週班表!$C$5:$T$44,$CU26,AD$57),""),1),""),IF(MID(IFERROR(INDEX(醫師週班表!$C$5:$T$44,$CU26,AD$57),""),2,1)="(",LEFT(IFERROR(INDEX(醫師週班表!$C$5:$T$44,$CU26,AD$57),""),1),IFERROR(INDEX(醫師週班表!$C$5:$T$44,$CU26,AD$57),"")))))))</f>
        <v/>
      </c>
      <c r="AE26" s="68">
        <f>IF(AE$59="X","",IF(AE$59&lt;&gt;"",AE$59,IF(IFERROR(INDEX(醫師週班表!$C$5:$T$44,$CU26,AE$57),"")=0,"",IF(MID(IFERROR(INDEX(醫師週班表!$C$5:$T$44,$CU26,AE$57),""),2,1)="/",MID(IFERROR(INDEX(醫師週班表!$C$5:$T$44,$CU26,AE$57),""),1+AE$58*2,1),IF(MID(IFERROR(INDEX(醫師週班表!$C$5:$T$44,$CU26,AE$57),""),3,1)="隔",IF(AE$58=0,LEFT(IFERROR(INDEX(醫師週班表!$C$5:$T$44,$CU26,AE$57),""),1),""),IF(MID(IFERROR(INDEX(醫師週班表!$C$5:$T$44,$CU26,AE$57),""),2,1)="(",LEFT(IFERROR(INDEX(醫師週班表!$C$5:$T$44,$CU26,AE$57),""),1),IFERROR(INDEX(醫師週班表!$C$5:$T$44,$CU26,AE$57),"")))))))</f>
        <v/>
      </c>
      <c r="AF26" s="67">
        <f>IF(AF$59="X","",IF(AF$59&lt;&gt;"",AF$59,IF(IFERROR(INDEX(醫師週班表!$C$5:$T$44,$CU26,AF$57),"")=0,"",IF(MID(IFERROR(INDEX(醫師週班表!$C$5:$T$44,$CU26,AF$57),""),2,1)="/",MID(IFERROR(INDEX(醫師週班表!$C$5:$T$44,$CU26,AF$57),""),1+AF$58*2,1),IF(MID(IFERROR(INDEX(醫師週班表!$C$5:$T$44,$CU26,AF$57),""),3,1)="隔",IF(AF$58=0,LEFT(IFERROR(INDEX(醫師週班表!$C$5:$T$44,$CU26,AF$57),""),1),""),IF(MID(IFERROR(INDEX(醫師週班表!$C$5:$T$44,$CU26,AF$57),""),2,1)="(",LEFT(IFERROR(INDEX(醫師週班表!$C$5:$T$44,$CU26,AF$57),""),1),IFERROR(INDEX(醫師週班表!$C$5:$T$44,$CU26,AF$57),"")))))))</f>
        <v/>
      </c>
      <c r="AG26" s="68">
        <f>IF(AG$59="X","",IF(AG$59&lt;&gt;"",AG$59,IF(IFERROR(INDEX(醫師週班表!$C$5:$T$44,$CU26,AG$57),"")=0,"",IF(MID(IFERROR(INDEX(醫師週班表!$C$5:$T$44,$CU26,AG$57),""),2,1)="/",MID(IFERROR(INDEX(醫師週班表!$C$5:$T$44,$CU26,AG$57),""),1+AG$58*2,1),IF(MID(IFERROR(INDEX(醫師週班表!$C$5:$T$44,$CU26,AG$57),""),3,1)="隔",IF(AG$58=0,LEFT(IFERROR(INDEX(醫師週班表!$C$5:$T$44,$CU26,AG$57),""),1),""),IF(MID(IFERROR(INDEX(醫師週班表!$C$5:$T$44,$CU26,AG$57),""),2,1)="(",LEFT(IFERROR(INDEX(醫師週班表!$C$5:$T$44,$CU26,AG$57),""),1),IFERROR(INDEX(醫師週班表!$C$5:$T$44,$CU26,AG$57),"")))))))</f>
        <v/>
      </c>
      <c r="AH26" s="68">
        <f>IF(AH$59="X","",IF(AH$59&lt;&gt;"",AH$59,IF(IFERROR(INDEX(醫師週班表!$C$5:$T$44,$CU26,AH$57),"")=0,"",IF(MID(IFERROR(INDEX(醫師週班表!$C$5:$T$44,$CU26,AH$57),""),2,1)="/",MID(IFERROR(INDEX(醫師週班表!$C$5:$T$44,$CU26,AH$57),""),1+AH$58*2,1),IF(MID(IFERROR(INDEX(醫師週班表!$C$5:$T$44,$CU26,AH$57),""),3,1)="隔",IF(AH$58=0,LEFT(IFERROR(INDEX(醫師週班表!$C$5:$T$44,$CU26,AH$57),""),1),""),IF(MID(IFERROR(INDEX(醫師週班表!$C$5:$T$44,$CU26,AH$57),""),2,1)="(",LEFT(IFERROR(INDEX(醫師週班表!$C$5:$T$44,$CU26,AH$57),""),1),IFERROR(INDEX(醫師週班表!$C$5:$T$44,$CU26,AH$57),"")))))))</f>
        <v/>
      </c>
      <c r="AI26" s="67">
        <f>IF(AI$59="X","",IF(AI$59&lt;&gt;"",AI$59,IF(IFERROR(INDEX(醫師週班表!$C$5:$T$44,$CU26,AI$57),"")=0,"",IF(MID(IFERROR(INDEX(醫師週班表!$C$5:$T$44,$CU26,AI$57),""),2,1)="/",MID(IFERROR(INDEX(醫師週班表!$C$5:$T$44,$CU26,AI$57),""),1+AI$58*2,1),IF(MID(IFERROR(INDEX(醫師週班表!$C$5:$T$44,$CU26,AI$57),""),3,1)="隔",IF(AI$58=0,LEFT(IFERROR(INDEX(醫師週班表!$C$5:$T$44,$CU26,AI$57),""),1),""),IF(MID(IFERROR(INDEX(醫師週班表!$C$5:$T$44,$CU26,AI$57),""),2,1)="(",LEFT(IFERROR(INDEX(醫師週班表!$C$5:$T$44,$CU26,AI$57),""),1),IFERROR(INDEX(醫師週班表!$C$5:$T$44,$CU26,AI$57),"")))))))</f>
        <v/>
      </c>
      <c r="AJ26" s="68">
        <f>IF(AJ$59="X","",IF(AJ$59&lt;&gt;"",AJ$59,IF(IFERROR(INDEX(醫師週班表!$C$5:$T$44,$CU26,AJ$57),"")=0,"",IF(MID(IFERROR(INDEX(醫師週班表!$C$5:$T$44,$CU26,AJ$57),""),2,1)="/",MID(IFERROR(INDEX(醫師週班表!$C$5:$T$44,$CU26,AJ$57),""),1+AJ$58*2,1),IF(MID(IFERROR(INDEX(醫師週班表!$C$5:$T$44,$CU26,AJ$57),""),3,1)="隔",IF(AJ$58=0,LEFT(IFERROR(INDEX(醫師週班表!$C$5:$T$44,$CU26,AJ$57),""),1),""),IF(MID(IFERROR(INDEX(醫師週班表!$C$5:$T$44,$CU26,AJ$57),""),2,1)="(",LEFT(IFERROR(INDEX(醫師週班表!$C$5:$T$44,$CU26,AJ$57),""),1),IFERROR(INDEX(醫師週班表!$C$5:$T$44,$CU26,AJ$57),"")))))))</f>
        <v/>
      </c>
      <c r="AK26" s="68">
        <f>IF(AK$59="X","",IF(AK$59&lt;&gt;"",AK$59,IF(IFERROR(INDEX(醫師週班表!$C$5:$T$44,$CU26,AK$57),"")=0,"",IF(MID(IFERROR(INDEX(醫師週班表!$C$5:$T$44,$CU26,AK$57),""),2,1)="/",MID(IFERROR(INDEX(醫師週班表!$C$5:$T$44,$CU26,AK$57),""),1+AK$58*2,1),IF(MID(IFERROR(INDEX(醫師週班表!$C$5:$T$44,$CU26,AK$57),""),3,1)="隔",IF(AK$58=0,LEFT(IFERROR(INDEX(醫師週班表!$C$5:$T$44,$CU26,AK$57),""),1),""),IF(MID(IFERROR(INDEX(醫師週班表!$C$5:$T$44,$CU26,AK$57),""),2,1)="(",LEFT(IFERROR(INDEX(醫師週班表!$C$5:$T$44,$CU26,AK$57),""),1),IFERROR(INDEX(醫師週班表!$C$5:$T$44,$CU26,AK$57),"")))))))</f>
        <v/>
      </c>
      <c r="AL26" s="67">
        <f>IF(AL$59="X","",IF(AL$59&lt;&gt;"",AL$59,IF(IFERROR(INDEX(醫師週班表!$C$5:$T$44,$CU26,AL$57),"")=0,"",IF(MID(IFERROR(INDEX(醫師週班表!$C$5:$T$44,$CU26,AL$57),""),2,1)="/",MID(IFERROR(INDEX(醫師週班表!$C$5:$T$44,$CU26,AL$57),""),1+AL$58*2,1),IF(MID(IFERROR(INDEX(醫師週班表!$C$5:$T$44,$CU26,AL$57),""),3,1)="隔",IF(AL$58=0,LEFT(IFERROR(INDEX(醫師週班表!$C$5:$T$44,$CU26,AL$57),""),1),""),IF(MID(IFERROR(INDEX(醫師週班表!$C$5:$T$44,$CU26,AL$57),""),2,1)="(",LEFT(IFERROR(INDEX(醫師週班表!$C$5:$T$44,$CU26,AL$57),""),1),IFERROR(INDEX(醫師週班表!$C$5:$T$44,$CU26,AL$57),"")))))))</f>
        <v/>
      </c>
      <c r="AM26" s="68">
        <f>IF(AM$59="X","",IF(AM$59&lt;&gt;"",AM$59,IF(IFERROR(INDEX(醫師週班表!$C$5:$T$44,$CU26,AM$57),"")=0,"",IF(MID(IFERROR(INDEX(醫師週班表!$C$5:$T$44,$CU26,AM$57),""),2,1)="/",MID(IFERROR(INDEX(醫師週班表!$C$5:$T$44,$CU26,AM$57),""),1+AM$58*2,1),IF(MID(IFERROR(INDEX(醫師週班表!$C$5:$T$44,$CU26,AM$57),""),3,1)="隔",IF(AM$58=0,LEFT(IFERROR(INDEX(醫師週班表!$C$5:$T$44,$CU26,AM$57),""),1),""),IF(MID(IFERROR(INDEX(醫師週班表!$C$5:$T$44,$CU26,AM$57),""),2,1)="(",LEFT(IFERROR(INDEX(醫師週班表!$C$5:$T$44,$CU26,AM$57),""),1),IFERROR(INDEX(醫師週班表!$C$5:$T$44,$CU26,AM$57),"")))))))</f>
        <v/>
      </c>
      <c r="AN26" s="68">
        <f>IF(AN$59="X","",IF(AN$59&lt;&gt;"",AN$59,IF(IFERROR(INDEX(醫師週班表!$C$5:$T$44,$CU26,AN$57),"")=0,"",IF(MID(IFERROR(INDEX(醫師週班表!$C$5:$T$44,$CU26,AN$57),""),2,1)="/",MID(IFERROR(INDEX(醫師週班表!$C$5:$T$44,$CU26,AN$57),""),1+AN$58*2,1),IF(MID(IFERROR(INDEX(醫師週班表!$C$5:$T$44,$CU26,AN$57),""),3,1)="隔",IF(AN$58=0,LEFT(IFERROR(INDEX(醫師週班表!$C$5:$T$44,$CU26,AN$57),""),1),""),IF(MID(IFERROR(INDEX(醫師週班表!$C$5:$T$44,$CU26,AN$57),""),2,1)="(",LEFT(IFERROR(INDEX(醫師週班表!$C$5:$T$44,$CU26,AN$57),""),1),IFERROR(INDEX(醫師週班表!$C$5:$T$44,$CU26,AN$57),"")))))))</f>
        <v/>
      </c>
      <c r="AO26" s="67">
        <f>IF(AO$59="X","",IF(AO$59&lt;&gt;"",AO$59,IF(IFERROR(INDEX(醫師週班表!$C$5:$T$44,$CU26,AO$57),"")=0,"",IF(MID(IFERROR(INDEX(醫師週班表!$C$5:$T$44,$CU26,AO$57),""),2,1)="/",MID(IFERROR(INDEX(醫師週班表!$C$5:$T$44,$CU26,AO$57),""),1+AO$58*2,1),IF(MID(IFERROR(INDEX(醫師週班表!$C$5:$T$44,$CU26,AO$57),""),3,1)="隔",IF(AO$58=0,LEFT(IFERROR(INDEX(醫師週班表!$C$5:$T$44,$CU26,AO$57),""),1),""),IF(MID(IFERROR(INDEX(醫師週班表!$C$5:$T$44,$CU26,AO$57),""),2,1)="(",LEFT(IFERROR(INDEX(醫師週班表!$C$5:$T$44,$CU26,AO$57),""),1),IFERROR(INDEX(醫師週班表!$C$5:$T$44,$CU26,AO$57),"")))))))</f>
        <v/>
      </c>
      <c r="AP26" s="68">
        <f>IF(AP$59="X","",IF(AP$59&lt;&gt;"",AP$59,IF(IFERROR(INDEX(醫師週班表!$C$5:$T$44,$CU26,AP$57),"")=0,"",IF(MID(IFERROR(INDEX(醫師週班表!$C$5:$T$44,$CU26,AP$57),""),2,1)="/",MID(IFERROR(INDEX(醫師週班表!$C$5:$T$44,$CU26,AP$57),""),1+AP$58*2,1),IF(MID(IFERROR(INDEX(醫師週班表!$C$5:$T$44,$CU26,AP$57),""),3,1)="隔",IF(AP$58=0,LEFT(IFERROR(INDEX(醫師週班表!$C$5:$T$44,$CU26,AP$57),""),1),""),IF(MID(IFERROR(INDEX(醫師週班表!$C$5:$T$44,$CU26,AP$57),""),2,1)="(",LEFT(IFERROR(INDEX(醫師週班表!$C$5:$T$44,$CU26,AP$57),""),1),IFERROR(INDEX(醫師週班表!$C$5:$T$44,$CU26,AP$57),"")))))))</f>
        <v/>
      </c>
      <c r="AQ26" s="68">
        <f>IF(AQ$59="X","",IF(AQ$59&lt;&gt;"",AQ$59,IF(IFERROR(INDEX(醫師週班表!$C$5:$T$44,$CU26,AQ$57),"")=0,"",IF(MID(IFERROR(INDEX(醫師週班表!$C$5:$T$44,$CU26,AQ$57),""),2,1)="/",MID(IFERROR(INDEX(醫師週班表!$C$5:$T$44,$CU26,AQ$57),""),1+AQ$58*2,1),IF(MID(IFERROR(INDEX(醫師週班表!$C$5:$T$44,$CU26,AQ$57),""),3,1)="隔",IF(AQ$58=0,LEFT(IFERROR(INDEX(醫師週班表!$C$5:$T$44,$CU26,AQ$57),""),1),""),IF(MID(IFERROR(INDEX(醫師週班表!$C$5:$T$44,$CU26,AQ$57),""),2,1)="(",LEFT(IFERROR(INDEX(醫師週班表!$C$5:$T$44,$CU26,AQ$57),""),1),IFERROR(INDEX(醫師週班表!$C$5:$T$44,$CU26,AQ$57),"")))))))</f>
        <v/>
      </c>
      <c r="AR26" s="67">
        <f>IF(AR$59="X","",IF(AR$59&lt;&gt;"",AR$59,IF(IFERROR(INDEX(醫師週班表!$C$5:$T$44,$CU26,AR$57),"")=0,"",IF(MID(IFERROR(INDEX(醫師週班表!$C$5:$T$44,$CU26,AR$57),""),2,1)="/",MID(IFERROR(INDEX(醫師週班表!$C$5:$T$44,$CU26,AR$57),""),1+AR$58*2,1),IF(MID(IFERROR(INDEX(醫師週班表!$C$5:$T$44,$CU26,AR$57),""),3,1)="隔",IF(AR$58=0,LEFT(IFERROR(INDEX(醫師週班表!$C$5:$T$44,$CU26,AR$57),""),1),""),IF(MID(IFERROR(INDEX(醫師週班表!$C$5:$T$44,$CU26,AR$57),""),2,1)="(",LEFT(IFERROR(INDEX(醫師週班表!$C$5:$T$44,$CU26,AR$57),""),1),IFERROR(INDEX(醫師週班表!$C$5:$T$44,$CU26,AR$57),"")))))))</f>
        <v/>
      </c>
      <c r="AS26" s="68">
        <f>IF(AS$59="X","",IF(AS$59&lt;&gt;"",AS$59,IF(IFERROR(INDEX(醫師週班表!$C$5:$T$44,$CU26,AS$57),"")=0,"",IF(MID(IFERROR(INDEX(醫師週班表!$C$5:$T$44,$CU26,AS$57),""),2,1)="/",MID(IFERROR(INDEX(醫師週班表!$C$5:$T$44,$CU26,AS$57),""),1+AS$58*2,1),IF(MID(IFERROR(INDEX(醫師週班表!$C$5:$T$44,$CU26,AS$57),""),3,1)="隔",IF(AS$58=0,LEFT(IFERROR(INDEX(醫師週班表!$C$5:$T$44,$CU26,AS$57),""),1),""),IF(MID(IFERROR(INDEX(醫師週班表!$C$5:$T$44,$CU26,AS$57),""),2,1)="(",LEFT(IFERROR(INDEX(醫師週班表!$C$5:$T$44,$CU26,AS$57),""),1),IFERROR(INDEX(醫師週班表!$C$5:$T$44,$CU26,AS$57),"")))))))</f>
        <v/>
      </c>
      <c r="AT26" s="68">
        <f>IF(AT$59="X","",IF(AT$59&lt;&gt;"",AT$59,IF(IFERROR(INDEX(醫師週班表!$C$5:$T$44,$CU26,AT$57),"")=0,"",IF(MID(IFERROR(INDEX(醫師週班表!$C$5:$T$44,$CU26,AT$57),""),2,1)="/",MID(IFERROR(INDEX(醫師週班表!$C$5:$T$44,$CU26,AT$57),""),1+AT$58*2,1),IF(MID(IFERROR(INDEX(醫師週班表!$C$5:$T$44,$CU26,AT$57),""),3,1)="隔",IF(AT$58=0,LEFT(IFERROR(INDEX(醫師週班表!$C$5:$T$44,$CU26,AT$57),""),1),""),IF(MID(IFERROR(INDEX(醫師週班表!$C$5:$T$44,$CU26,AT$57),""),2,1)="(",LEFT(IFERROR(INDEX(醫師週班表!$C$5:$T$44,$CU26,AT$57),""),1),IFERROR(INDEX(醫師週班表!$C$5:$T$44,$CU26,AT$57),"")))))))</f>
        <v/>
      </c>
      <c r="AU26" s="67">
        <f>IF(AU$59="X","",IF(AU$59&lt;&gt;"",AU$59,IF(IFERROR(INDEX(醫師週班表!$C$5:$T$44,$CU26,AU$57),"")=0,"",IF(MID(IFERROR(INDEX(醫師週班表!$C$5:$T$44,$CU26,AU$57),""),2,1)="/",MID(IFERROR(INDEX(醫師週班表!$C$5:$T$44,$CU26,AU$57),""),1+AU$58*2,1),IF(MID(IFERROR(INDEX(醫師週班表!$C$5:$T$44,$CU26,AU$57),""),3,1)="隔",IF(AU$58=0,LEFT(IFERROR(INDEX(醫師週班表!$C$5:$T$44,$CU26,AU$57),""),1),""),IF(MID(IFERROR(INDEX(醫師週班表!$C$5:$T$44,$CU26,AU$57),""),2,1)="(",LEFT(IFERROR(INDEX(醫師週班表!$C$5:$T$44,$CU26,AU$57),""),1),IFERROR(INDEX(醫師週班表!$C$5:$T$44,$CU26,AU$57),"")))))))</f>
        <v/>
      </c>
      <c r="AV26" s="68">
        <f>IF(AV$59="X","",IF(AV$59&lt;&gt;"",AV$59,IF(IFERROR(INDEX(醫師週班表!$C$5:$T$44,$CU26,AV$57),"")=0,"",IF(MID(IFERROR(INDEX(醫師週班表!$C$5:$T$44,$CU26,AV$57),""),2,1)="/",MID(IFERROR(INDEX(醫師週班表!$C$5:$T$44,$CU26,AV$57),""),1+AV$58*2,1),IF(MID(IFERROR(INDEX(醫師週班表!$C$5:$T$44,$CU26,AV$57),""),3,1)="隔",IF(AV$58=0,LEFT(IFERROR(INDEX(醫師週班表!$C$5:$T$44,$CU26,AV$57),""),1),""),IF(MID(IFERROR(INDEX(醫師週班表!$C$5:$T$44,$CU26,AV$57),""),2,1)="(",LEFT(IFERROR(INDEX(醫師週班表!$C$5:$T$44,$CU26,AV$57),""),1),IFERROR(INDEX(醫師週班表!$C$5:$T$44,$CU26,AV$57),"")))))))</f>
        <v/>
      </c>
      <c r="AW26" s="68">
        <f>IF(AW$59="X","",IF(AW$59&lt;&gt;"",AW$59,IF(IFERROR(INDEX(醫師週班表!$C$5:$T$44,$CU26,AW$57),"")=0,"",IF(MID(IFERROR(INDEX(醫師週班表!$C$5:$T$44,$CU26,AW$57),""),2,1)="/",MID(IFERROR(INDEX(醫師週班表!$C$5:$T$44,$CU26,AW$57),""),1+AW$58*2,1),IF(MID(IFERROR(INDEX(醫師週班表!$C$5:$T$44,$CU26,AW$57),""),3,1)="隔",IF(AW$58=0,LEFT(IFERROR(INDEX(醫師週班表!$C$5:$T$44,$CU26,AW$57),""),1),""),IF(MID(IFERROR(INDEX(醫師週班表!$C$5:$T$44,$CU26,AW$57),""),2,1)="(",LEFT(IFERROR(INDEX(醫師週班表!$C$5:$T$44,$CU26,AW$57),""),1),IFERROR(INDEX(醫師週班表!$C$5:$T$44,$CU26,AW$57),"")))))))</f>
        <v/>
      </c>
      <c r="AX26" s="67">
        <f>IF(AX$59="X","",IF(AX$59&lt;&gt;"",AX$59,IF(IFERROR(INDEX(醫師週班表!$C$5:$T$44,$CU26,AX$57),"")=0,"",IF(MID(IFERROR(INDEX(醫師週班表!$C$5:$T$44,$CU26,AX$57),""),2,1)="/",MID(IFERROR(INDEX(醫師週班表!$C$5:$T$44,$CU26,AX$57),""),1+AX$58*2,1),IF(MID(IFERROR(INDEX(醫師週班表!$C$5:$T$44,$CU26,AX$57),""),3,1)="隔",IF(AX$58=0,LEFT(IFERROR(INDEX(醫師週班表!$C$5:$T$44,$CU26,AX$57),""),1),""),IF(MID(IFERROR(INDEX(醫師週班表!$C$5:$T$44,$CU26,AX$57),""),2,1)="(",LEFT(IFERROR(INDEX(醫師週班表!$C$5:$T$44,$CU26,AX$57),""),1),IFERROR(INDEX(醫師週班表!$C$5:$T$44,$CU26,AX$57),"")))))))</f>
        <v/>
      </c>
      <c r="AY26" s="68">
        <f>IF(AY$59="X","",IF(AY$59&lt;&gt;"",AY$59,IF(IFERROR(INDEX(醫師週班表!$C$5:$T$44,$CU26,AY$57),"")=0,"",IF(MID(IFERROR(INDEX(醫師週班表!$C$5:$T$44,$CU26,AY$57),""),2,1)="/",MID(IFERROR(INDEX(醫師週班表!$C$5:$T$44,$CU26,AY$57),""),1+AY$58*2,1),IF(MID(IFERROR(INDEX(醫師週班表!$C$5:$T$44,$CU26,AY$57),""),3,1)="隔",IF(AY$58=0,LEFT(IFERROR(INDEX(醫師週班表!$C$5:$T$44,$CU26,AY$57),""),1),""),IF(MID(IFERROR(INDEX(醫師週班表!$C$5:$T$44,$CU26,AY$57),""),2,1)="(",LEFT(IFERROR(INDEX(醫師週班表!$C$5:$T$44,$CU26,AY$57),""),1),IFERROR(INDEX(醫師週班表!$C$5:$T$44,$CU26,AY$57),"")))))))</f>
        <v/>
      </c>
      <c r="AZ26" s="68">
        <f>IF(AZ$59="X","",IF(AZ$59&lt;&gt;"",AZ$59,IF(IFERROR(INDEX(醫師週班表!$C$5:$T$44,$CU26,AZ$57),"")=0,"",IF(MID(IFERROR(INDEX(醫師週班表!$C$5:$T$44,$CU26,AZ$57),""),2,1)="/",MID(IFERROR(INDEX(醫師週班表!$C$5:$T$44,$CU26,AZ$57),""),1+AZ$58*2,1),IF(MID(IFERROR(INDEX(醫師週班表!$C$5:$T$44,$CU26,AZ$57),""),3,1)="隔",IF(AZ$58=0,LEFT(IFERROR(INDEX(醫師週班表!$C$5:$T$44,$CU26,AZ$57),""),1),""),IF(MID(IFERROR(INDEX(醫師週班表!$C$5:$T$44,$CU26,AZ$57),""),2,1)="(",LEFT(IFERROR(INDEX(醫師週班表!$C$5:$T$44,$CU26,AZ$57),""),1),IFERROR(INDEX(醫師週班表!$C$5:$T$44,$CU26,AZ$57),"")))))))</f>
        <v/>
      </c>
      <c r="BA26" s="67">
        <f>IF(BA$59="X","",IF(BA$59&lt;&gt;"",BA$59,IF(IFERROR(INDEX(醫師週班表!$C$5:$T$44,$CU26,BA$57),"")=0,"",IF(MID(IFERROR(INDEX(醫師週班表!$C$5:$T$44,$CU26,BA$57),""),2,1)="/",MID(IFERROR(INDEX(醫師週班表!$C$5:$T$44,$CU26,BA$57),""),1+BA$58*2,1),IF(MID(IFERROR(INDEX(醫師週班表!$C$5:$T$44,$CU26,BA$57),""),3,1)="隔",IF(BA$58=0,LEFT(IFERROR(INDEX(醫師週班表!$C$5:$T$44,$CU26,BA$57),""),1),""),IF(MID(IFERROR(INDEX(醫師週班表!$C$5:$T$44,$CU26,BA$57),""),2,1)="(",LEFT(IFERROR(INDEX(醫師週班表!$C$5:$T$44,$CU26,BA$57),""),1),IFERROR(INDEX(醫師週班表!$C$5:$T$44,$CU26,BA$57),"")))))))</f>
        <v/>
      </c>
      <c r="BB26" s="68">
        <f>IF(BB$59="X","",IF(BB$59&lt;&gt;"",BB$59,IF(IFERROR(INDEX(醫師週班表!$C$5:$T$44,$CU26,BB$57),"")=0,"",IF(MID(IFERROR(INDEX(醫師週班表!$C$5:$T$44,$CU26,BB$57),""),2,1)="/",MID(IFERROR(INDEX(醫師週班表!$C$5:$T$44,$CU26,BB$57),""),1+BB$58*2,1),IF(MID(IFERROR(INDEX(醫師週班表!$C$5:$T$44,$CU26,BB$57),""),3,1)="隔",IF(BB$58=0,LEFT(IFERROR(INDEX(醫師週班表!$C$5:$T$44,$CU26,BB$57),""),1),""),IF(MID(IFERROR(INDEX(醫師週班表!$C$5:$T$44,$CU26,BB$57),""),2,1)="(",LEFT(IFERROR(INDEX(醫師週班表!$C$5:$T$44,$CU26,BB$57),""),1),IFERROR(INDEX(醫師週班表!$C$5:$T$44,$CU26,BB$57),"")))))))</f>
        <v/>
      </c>
      <c r="BC26" s="68">
        <f>IF(BC$59="X","",IF(BC$59&lt;&gt;"",BC$59,IF(IFERROR(INDEX(醫師週班表!$C$5:$T$44,$CU26,BC$57),"")=0,"",IF(MID(IFERROR(INDEX(醫師週班表!$C$5:$T$44,$CU26,BC$57),""),2,1)="/",MID(IFERROR(INDEX(醫師週班表!$C$5:$T$44,$CU26,BC$57),""),1+BC$58*2,1),IF(MID(IFERROR(INDEX(醫師週班表!$C$5:$T$44,$CU26,BC$57),""),3,1)="隔",IF(BC$58=0,LEFT(IFERROR(INDEX(醫師週班表!$C$5:$T$44,$CU26,BC$57),""),1),""),IF(MID(IFERROR(INDEX(醫師週班表!$C$5:$T$44,$CU26,BC$57),""),2,1)="(",LEFT(IFERROR(INDEX(醫師週班表!$C$5:$T$44,$CU26,BC$57),""),1),IFERROR(INDEX(醫師週班表!$C$5:$T$44,$CU26,BC$57),"")))))))</f>
        <v/>
      </c>
      <c r="BD26" s="67">
        <f>IF(BD$59="X","",IF(BD$59&lt;&gt;"",BD$59,IF(IFERROR(INDEX(醫師週班表!$C$5:$T$44,$CU26,BD$57),"")=0,"",IF(MID(IFERROR(INDEX(醫師週班表!$C$5:$T$44,$CU26,BD$57),""),2,1)="/",MID(IFERROR(INDEX(醫師週班表!$C$5:$T$44,$CU26,BD$57),""),1+BD$58*2,1),IF(MID(IFERROR(INDEX(醫師週班表!$C$5:$T$44,$CU26,BD$57),""),3,1)="隔",IF(BD$58=0,LEFT(IFERROR(INDEX(醫師週班表!$C$5:$T$44,$CU26,BD$57),""),1),""),IF(MID(IFERROR(INDEX(醫師週班表!$C$5:$T$44,$CU26,BD$57),""),2,1)="(",LEFT(IFERROR(INDEX(醫師週班表!$C$5:$T$44,$CU26,BD$57),""),1),IFERROR(INDEX(醫師週班表!$C$5:$T$44,$CU26,BD$57),"")))))))</f>
        <v/>
      </c>
      <c r="BE26" s="68">
        <f>IF(BE$59="X","",IF(BE$59&lt;&gt;"",BE$59,IF(IFERROR(INDEX(醫師週班表!$C$5:$T$44,$CU26,BE$57),"")=0,"",IF(MID(IFERROR(INDEX(醫師週班表!$C$5:$T$44,$CU26,BE$57),""),2,1)="/",MID(IFERROR(INDEX(醫師週班表!$C$5:$T$44,$CU26,BE$57),""),1+BE$58*2,1),IF(MID(IFERROR(INDEX(醫師週班表!$C$5:$T$44,$CU26,BE$57),""),3,1)="隔",IF(BE$58=0,LEFT(IFERROR(INDEX(醫師週班表!$C$5:$T$44,$CU26,BE$57),""),1),""),IF(MID(IFERROR(INDEX(醫師週班表!$C$5:$T$44,$CU26,BE$57),""),2,1)="(",LEFT(IFERROR(INDEX(醫師週班表!$C$5:$T$44,$CU26,BE$57),""),1),IFERROR(INDEX(醫師週班表!$C$5:$T$44,$CU26,BE$57),"")))))))</f>
        <v/>
      </c>
      <c r="BF26" s="68">
        <f>IF(BF$59="X","",IF(BF$59&lt;&gt;"",BF$59,IF(IFERROR(INDEX(醫師週班表!$C$5:$T$44,$CU26,BF$57),"")=0,"",IF(MID(IFERROR(INDEX(醫師週班表!$C$5:$T$44,$CU26,BF$57),""),2,1)="/",MID(IFERROR(INDEX(醫師週班表!$C$5:$T$44,$CU26,BF$57),""),1+BF$58*2,1),IF(MID(IFERROR(INDEX(醫師週班表!$C$5:$T$44,$CU26,BF$57),""),3,1)="隔",IF(BF$58=0,LEFT(IFERROR(INDEX(醫師週班表!$C$5:$T$44,$CU26,BF$57),""),1),""),IF(MID(IFERROR(INDEX(醫師週班表!$C$5:$T$44,$CU26,BF$57),""),2,1)="(",LEFT(IFERROR(INDEX(醫師週班表!$C$5:$T$44,$CU26,BF$57),""),1),IFERROR(INDEX(醫師週班表!$C$5:$T$44,$CU26,BF$57),"")))))))</f>
        <v/>
      </c>
      <c r="BG26" s="67">
        <f>IF(BG$59="X","",IF(BG$59&lt;&gt;"",BG$59,IF(IFERROR(INDEX(醫師週班表!$C$5:$T$44,$CU26,BG$57),"")=0,"",IF(MID(IFERROR(INDEX(醫師週班表!$C$5:$T$44,$CU26,BG$57),""),2,1)="/",MID(IFERROR(INDEX(醫師週班表!$C$5:$T$44,$CU26,BG$57),""),1+BG$58*2,1),IF(MID(IFERROR(INDEX(醫師週班表!$C$5:$T$44,$CU26,BG$57),""),3,1)="隔",IF(BG$58=0,LEFT(IFERROR(INDEX(醫師週班表!$C$5:$T$44,$CU26,BG$57),""),1),""),IF(MID(IFERROR(INDEX(醫師週班表!$C$5:$T$44,$CU26,BG$57),""),2,1)="(",LEFT(IFERROR(INDEX(醫師週班表!$C$5:$T$44,$CU26,BG$57),""),1),IFERROR(INDEX(醫師週班表!$C$5:$T$44,$CU26,BG$57),"")))))))</f>
        <v/>
      </c>
      <c r="BH26" s="68">
        <f>IF(BH$59="X","",IF(BH$59&lt;&gt;"",BH$59,IF(IFERROR(INDEX(醫師週班表!$C$5:$T$44,$CU26,BH$57),"")=0,"",IF(MID(IFERROR(INDEX(醫師週班表!$C$5:$T$44,$CU26,BH$57),""),2,1)="/",MID(IFERROR(INDEX(醫師週班表!$C$5:$T$44,$CU26,BH$57),""),1+BH$58*2,1),IF(MID(IFERROR(INDEX(醫師週班表!$C$5:$T$44,$CU26,BH$57),""),3,1)="隔",IF(BH$58=0,LEFT(IFERROR(INDEX(醫師週班表!$C$5:$T$44,$CU26,BH$57),""),1),""),IF(MID(IFERROR(INDEX(醫師週班表!$C$5:$T$44,$CU26,BH$57),""),2,1)="(",LEFT(IFERROR(INDEX(醫師週班表!$C$5:$T$44,$CU26,BH$57),""),1),IFERROR(INDEX(醫師週班表!$C$5:$T$44,$CU26,BH$57),"")))))))</f>
        <v/>
      </c>
      <c r="BI26" s="68">
        <f>IF(BI$59="X","",IF(BI$59&lt;&gt;"",BI$59,IF(IFERROR(INDEX(醫師週班表!$C$5:$T$44,$CU26,BI$57),"")=0,"",IF(MID(IFERROR(INDEX(醫師週班表!$C$5:$T$44,$CU26,BI$57),""),2,1)="/",MID(IFERROR(INDEX(醫師週班表!$C$5:$T$44,$CU26,BI$57),""),1+BI$58*2,1),IF(MID(IFERROR(INDEX(醫師週班表!$C$5:$T$44,$CU26,BI$57),""),3,1)="隔",IF(BI$58=0,LEFT(IFERROR(INDEX(醫師週班表!$C$5:$T$44,$CU26,BI$57),""),1),""),IF(MID(IFERROR(INDEX(醫師週班表!$C$5:$T$44,$CU26,BI$57),""),2,1)="(",LEFT(IFERROR(INDEX(醫師週班表!$C$5:$T$44,$CU26,BI$57),""),1),IFERROR(INDEX(醫師週班表!$C$5:$T$44,$CU26,BI$57),"")))))))</f>
        <v/>
      </c>
      <c r="BJ26" s="67">
        <f>IF(BJ$59="X","",IF(BJ$59&lt;&gt;"",BJ$59,IF(IFERROR(INDEX(醫師週班表!$C$5:$T$44,$CU26,BJ$57),"")=0,"",IF(MID(IFERROR(INDEX(醫師週班表!$C$5:$T$44,$CU26,BJ$57),""),2,1)="/",MID(IFERROR(INDEX(醫師週班表!$C$5:$T$44,$CU26,BJ$57),""),1+BJ$58*2,1),IF(MID(IFERROR(INDEX(醫師週班表!$C$5:$T$44,$CU26,BJ$57),""),3,1)="隔",IF(BJ$58=0,LEFT(IFERROR(INDEX(醫師週班表!$C$5:$T$44,$CU26,BJ$57),""),1),""),IF(MID(IFERROR(INDEX(醫師週班表!$C$5:$T$44,$CU26,BJ$57),""),2,1)="(",LEFT(IFERROR(INDEX(醫師週班表!$C$5:$T$44,$CU26,BJ$57),""),1),IFERROR(INDEX(醫師週班表!$C$5:$T$44,$CU26,BJ$57),"")))))))</f>
        <v/>
      </c>
      <c r="BK26" s="68">
        <f>IF(BK$59="X","",IF(BK$59&lt;&gt;"",BK$59,IF(IFERROR(INDEX(醫師週班表!$C$5:$T$44,$CU26,BK$57),"")=0,"",IF(MID(IFERROR(INDEX(醫師週班表!$C$5:$T$44,$CU26,BK$57),""),2,1)="/",MID(IFERROR(INDEX(醫師週班表!$C$5:$T$44,$CU26,BK$57),""),1+BK$58*2,1),IF(MID(IFERROR(INDEX(醫師週班表!$C$5:$T$44,$CU26,BK$57),""),3,1)="隔",IF(BK$58=0,LEFT(IFERROR(INDEX(醫師週班表!$C$5:$T$44,$CU26,BK$57),""),1),""),IF(MID(IFERROR(INDEX(醫師週班表!$C$5:$T$44,$CU26,BK$57),""),2,1)="(",LEFT(IFERROR(INDEX(醫師週班表!$C$5:$T$44,$CU26,BK$57),""),1),IFERROR(INDEX(醫師週班表!$C$5:$T$44,$CU26,BK$57),"")))))))</f>
        <v/>
      </c>
      <c r="BL26" s="68">
        <f>IF(BL$59="X","",IF(BL$59&lt;&gt;"",BL$59,IF(IFERROR(INDEX(醫師週班表!$C$5:$T$44,$CU26,BL$57),"")=0,"",IF(MID(IFERROR(INDEX(醫師週班表!$C$5:$T$44,$CU26,BL$57),""),2,1)="/",MID(IFERROR(INDEX(醫師週班表!$C$5:$T$44,$CU26,BL$57),""),1+BL$58*2,1),IF(MID(IFERROR(INDEX(醫師週班表!$C$5:$T$44,$CU26,BL$57),""),3,1)="隔",IF(BL$58=0,LEFT(IFERROR(INDEX(醫師週班表!$C$5:$T$44,$CU26,BL$57),""),1),""),IF(MID(IFERROR(INDEX(醫師週班表!$C$5:$T$44,$CU26,BL$57),""),2,1)="(",LEFT(IFERROR(INDEX(醫師週班表!$C$5:$T$44,$CU26,BL$57),""),1),IFERROR(INDEX(醫師週班表!$C$5:$T$44,$CU26,BL$57),"")))))))</f>
        <v/>
      </c>
      <c r="BM26" s="67">
        <f>IF(BM$59="X","",IF(BM$59&lt;&gt;"",BM$59,IF(IFERROR(INDEX(醫師週班表!$C$5:$T$44,$CU26,BM$57),"")=0,"",IF(MID(IFERROR(INDEX(醫師週班表!$C$5:$T$44,$CU26,BM$57),""),2,1)="/",MID(IFERROR(INDEX(醫師週班表!$C$5:$T$44,$CU26,BM$57),""),1+BM$58*2,1),IF(MID(IFERROR(INDEX(醫師週班表!$C$5:$T$44,$CU26,BM$57),""),3,1)="隔",IF(BM$58=0,LEFT(IFERROR(INDEX(醫師週班表!$C$5:$T$44,$CU26,BM$57),""),1),""),IF(MID(IFERROR(INDEX(醫師週班表!$C$5:$T$44,$CU26,BM$57),""),2,1)="(",LEFT(IFERROR(INDEX(醫師週班表!$C$5:$T$44,$CU26,BM$57),""),1),IFERROR(INDEX(醫師週班表!$C$5:$T$44,$CU26,BM$57),"")))))))</f>
        <v/>
      </c>
      <c r="BN26" s="68">
        <f>IF(BN$59="X","",IF(BN$59&lt;&gt;"",BN$59,IF(IFERROR(INDEX(醫師週班表!$C$5:$T$44,$CU26,BN$57),"")=0,"",IF(MID(IFERROR(INDEX(醫師週班表!$C$5:$T$44,$CU26,BN$57),""),2,1)="/",MID(IFERROR(INDEX(醫師週班表!$C$5:$T$44,$CU26,BN$57),""),1+BN$58*2,1),IF(MID(IFERROR(INDEX(醫師週班表!$C$5:$T$44,$CU26,BN$57),""),3,1)="隔",IF(BN$58=0,LEFT(IFERROR(INDEX(醫師週班表!$C$5:$T$44,$CU26,BN$57),""),1),""),IF(MID(IFERROR(INDEX(醫師週班表!$C$5:$T$44,$CU26,BN$57),""),2,1)="(",LEFT(IFERROR(INDEX(醫師週班表!$C$5:$T$44,$CU26,BN$57),""),1),IFERROR(INDEX(醫師週班表!$C$5:$T$44,$CU26,BN$57),"")))))))</f>
        <v/>
      </c>
      <c r="BO26" s="68">
        <f>IF(BO$59="X","",IF(BO$59&lt;&gt;"",BO$59,IF(IFERROR(INDEX(醫師週班表!$C$5:$T$44,$CU26,BO$57),"")=0,"",IF(MID(IFERROR(INDEX(醫師週班表!$C$5:$T$44,$CU26,BO$57),""),2,1)="/",MID(IFERROR(INDEX(醫師週班表!$C$5:$T$44,$CU26,BO$57),""),1+BO$58*2,1),IF(MID(IFERROR(INDEX(醫師週班表!$C$5:$T$44,$CU26,BO$57),""),3,1)="隔",IF(BO$58=0,LEFT(IFERROR(INDEX(醫師週班表!$C$5:$T$44,$CU26,BO$57),""),1),""),IF(MID(IFERROR(INDEX(醫師週班表!$C$5:$T$44,$CU26,BO$57),""),2,1)="(",LEFT(IFERROR(INDEX(醫師週班表!$C$5:$T$44,$CU26,BO$57),""),1),IFERROR(INDEX(醫師週班表!$C$5:$T$44,$CU26,BO$57),"")))))))</f>
        <v/>
      </c>
      <c r="BP26" s="67">
        <f>IF(BP$59="X","",IF(BP$59&lt;&gt;"",BP$59,IF(IFERROR(INDEX(醫師週班表!$C$5:$T$44,$CU26,BP$57),"")=0,"",IF(MID(IFERROR(INDEX(醫師週班表!$C$5:$T$44,$CU26,BP$57),""),2,1)="/",MID(IFERROR(INDEX(醫師週班表!$C$5:$T$44,$CU26,BP$57),""),1+BP$58*2,1),IF(MID(IFERROR(INDEX(醫師週班表!$C$5:$T$44,$CU26,BP$57),""),3,1)="隔",IF(BP$58=0,LEFT(IFERROR(INDEX(醫師週班表!$C$5:$T$44,$CU26,BP$57),""),1),""),IF(MID(IFERROR(INDEX(醫師週班表!$C$5:$T$44,$CU26,BP$57),""),2,1)="(",LEFT(IFERROR(INDEX(醫師週班表!$C$5:$T$44,$CU26,BP$57),""),1),IFERROR(INDEX(醫師週班表!$C$5:$T$44,$CU26,BP$57),"")))))))</f>
        <v/>
      </c>
      <c r="BQ26" s="68">
        <f>IF(BQ$59="X","",IF(BQ$59&lt;&gt;"",BQ$59,IF(IFERROR(INDEX(醫師週班表!$C$5:$T$44,$CU26,BQ$57),"")=0,"",IF(MID(IFERROR(INDEX(醫師週班表!$C$5:$T$44,$CU26,BQ$57),""),2,1)="/",MID(IFERROR(INDEX(醫師週班表!$C$5:$T$44,$CU26,BQ$57),""),1+BQ$58*2,1),IF(MID(IFERROR(INDEX(醫師週班表!$C$5:$T$44,$CU26,BQ$57),""),3,1)="隔",IF(BQ$58=0,LEFT(IFERROR(INDEX(醫師週班表!$C$5:$T$44,$CU26,BQ$57),""),1),""),IF(MID(IFERROR(INDEX(醫師週班表!$C$5:$T$44,$CU26,BQ$57),""),2,1)="(",LEFT(IFERROR(INDEX(醫師週班表!$C$5:$T$44,$CU26,BQ$57),""),1),IFERROR(INDEX(醫師週班表!$C$5:$T$44,$CU26,BQ$57),"")))))))</f>
        <v/>
      </c>
      <c r="BR26" s="68">
        <f>IF(BR$59="X","",IF(BR$59&lt;&gt;"",BR$59,IF(IFERROR(INDEX(醫師週班表!$C$5:$T$44,$CU26,BR$57),"")=0,"",IF(MID(IFERROR(INDEX(醫師週班表!$C$5:$T$44,$CU26,BR$57),""),2,1)="/",MID(IFERROR(INDEX(醫師週班表!$C$5:$T$44,$CU26,BR$57),""),1+BR$58*2,1),IF(MID(IFERROR(INDEX(醫師週班表!$C$5:$T$44,$CU26,BR$57),""),3,1)="隔",IF(BR$58=0,LEFT(IFERROR(INDEX(醫師週班表!$C$5:$T$44,$CU26,BR$57),""),1),""),IF(MID(IFERROR(INDEX(醫師週班表!$C$5:$T$44,$CU26,BR$57),""),2,1)="(",LEFT(IFERROR(INDEX(醫師週班表!$C$5:$T$44,$CU26,BR$57),""),1),IFERROR(INDEX(醫師週班表!$C$5:$T$44,$CU26,BR$57),"")))))))</f>
        <v/>
      </c>
      <c r="BS26" s="67">
        <f>IF(BS$59="X","",IF(BS$59&lt;&gt;"",BS$59,IF(IFERROR(INDEX(醫師週班表!$C$5:$T$44,$CU26,BS$57),"")=0,"",IF(MID(IFERROR(INDEX(醫師週班表!$C$5:$T$44,$CU26,BS$57),""),2,1)="/",MID(IFERROR(INDEX(醫師週班表!$C$5:$T$44,$CU26,BS$57),""),1+BS$58*2,1),IF(MID(IFERROR(INDEX(醫師週班表!$C$5:$T$44,$CU26,BS$57),""),3,1)="隔",IF(BS$58=0,LEFT(IFERROR(INDEX(醫師週班表!$C$5:$T$44,$CU26,BS$57),""),1),""),IF(MID(IFERROR(INDEX(醫師週班表!$C$5:$T$44,$CU26,BS$57),""),2,1)="(",LEFT(IFERROR(INDEX(醫師週班表!$C$5:$T$44,$CU26,BS$57),""),1),IFERROR(INDEX(醫師週班表!$C$5:$T$44,$CU26,BS$57),"")))))))</f>
        <v/>
      </c>
      <c r="BT26" s="68">
        <f>IF(BT$59="X","",IF(BT$59&lt;&gt;"",BT$59,IF(IFERROR(INDEX(醫師週班表!$C$5:$T$44,$CU26,BT$57),"")=0,"",IF(MID(IFERROR(INDEX(醫師週班表!$C$5:$T$44,$CU26,BT$57),""),2,1)="/",MID(IFERROR(INDEX(醫師週班表!$C$5:$T$44,$CU26,BT$57),""),1+BT$58*2,1),IF(MID(IFERROR(INDEX(醫師週班表!$C$5:$T$44,$CU26,BT$57),""),3,1)="隔",IF(BT$58=0,LEFT(IFERROR(INDEX(醫師週班表!$C$5:$T$44,$CU26,BT$57),""),1),""),IF(MID(IFERROR(INDEX(醫師週班表!$C$5:$T$44,$CU26,BT$57),""),2,1)="(",LEFT(IFERROR(INDEX(醫師週班表!$C$5:$T$44,$CU26,BT$57),""),1),IFERROR(INDEX(醫師週班表!$C$5:$T$44,$CU26,BT$57),"")))))))</f>
        <v/>
      </c>
      <c r="BU26" s="68">
        <f>IF(BU$59="X","",IF(BU$59&lt;&gt;"",BU$59,IF(IFERROR(INDEX(醫師週班表!$C$5:$T$44,$CU26,BU$57),"")=0,"",IF(MID(IFERROR(INDEX(醫師週班表!$C$5:$T$44,$CU26,BU$57),""),2,1)="/",MID(IFERROR(INDEX(醫師週班表!$C$5:$T$44,$CU26,BU$57),""),1+BU$58*2,1),IF(MID(IFERROR(INDEX(醫師週班表!$C$5:$T$44,$CU26,BU$57),""),3,1)="隔",IF(BU$58=0,LEFT(IFERROR(INDEX(醫師週班表!$C$5:$T$44,$CU26,BU$57),""),1),""),IF(MID(IFERROR(INDEX(醫師週班表!$C$5:$T$44,$CU26,BU$57),""),2,1)="(",LEFT(IFERROR(INDEX(醫師週班表!$C$5:$T$44,$CU26,BU$57),""),1),IFERROR(INDEX(醫師週班表!$C$5:$T$44,$CU26,BU$57),"")))))))</f>
        <v/>
      </c>
      <c r="BV26" s="67">
        <f>IF(BV$59="X","",IF(BV$59&lt;&gt;"",BV$59,IF(IFERROR(INDEX(醫師週班表!$C$5:$T$44,$CU26,BV$57),"")=0,"",IF(MID(IFERROR(INDEX(醫師週班表!$C$5:$T$44,$CU26,BV$57),""),2,1)="/",MID(IFERROR(INDEX(醫師週班表!$C$5:$T$44,$CU26,BV$57),""),1+BV$58*2,1),IF(MID(IFERROR(INDEX(醫師週班表!$C$5:$T$44,$CU26,BV$57),""),3,1)="隔",IF(BV$58=0,LEFT(IFERROR(INDEX(醫師週班表!$C$5:$T$44,$CU26,BV$57),""),1),""),IF(MID(IFERROR(INDEX(醫師週班表!$C$5:$T$44,$CU26,BV$57),""),2,1)="(",LEFT(IFERROR(INDEX(醫師週班表!$C$5:$T$44,$CU26,BV$57),""),1),IFERROR(INDEX(醫師週班表!$C$5:$T$44,$CU26,BV$57),"")))))))</f>
        <v/>
      </c>
      <c r="BW26" s="68">
        <f>IF(BW$59="X","",IF(BW$59&lt;&gt;"",BW$59,IF(IFERROR(INDEX(醫師週班表!$C$5:$T$44,$CU26,BW$57),"")=0,"",IF(MID(IFERROR(INDEX(醫師週班表!$C$5:$T$44,$CU26,BW$57),""),2,1)="/",MID(IFERROR(INDEX(醫師週班表!$C$5:$T$44,$CU26,BW$57),""),1+BW$58*2,1),IF(MID(IFERROR(INDEX(醫師週班表!$C$5:$T$44,$CU26,BW$57),""),3,1)="隔",IF(BW$58=0,LEFT(IFERROR(INDEX(醫師週班表!$C$5:$T$44,$CU26,BW$57),""),1),""),IF(MID(IFERROR(INDEX(醫師週班表!$C$5:$T$44,$CU26,BW$57),""),2,1)="(",LEFT(IFERROR(INDEX(醫師週班表!$C$5:$T$44,$CU26,BW$57),""),1),IFERROR(INDEX(醫師週班表!$C$5:$T$44,$CU26,BW$57),"")))))))</f>
        <v/>
      </c>
      <c r="BX26" s="68">
        <f>IF(BX$59="X","",IF(BX$59&lt;&gt;"",BX$59,IF(IFERROR(INDEX(醫師週班表!$C$5:$T$44,$CU26,BX$57),"")=0,"",IF(MID(IFERROR(INDEX(醫師週班表!$C$5:$T$44,$CU26,BX$57),""),2,1)="/",MID(IFERROR(INDEX(醫師週班表!$C$5:$T$44,$CU26,BX$57),""),1+BX$58*2,1),IF(MID(IFERROR(INDEX(醫師週班表!$C$5:$T$44,$CU26,BX$57),""),3,1)="隔",IF(BX$58=0,LEFT(IFERROR(INDEX(醫師週班表!$C$5:$T$44,$CU26,BX$57),""),1),""),IF(MID(IFERROR(INDEX(醫師週班表!$C$5:$T$44,$CU26,BX$57),""),2,1)="(",LEFT(IFERROR(INDEX(醫師週班表!$C$5:$T$44,$CU26,BX$57),""),1),IFERROR(INDEX(醫師週班表!$C$5:$T$44,$CU26,BX$57),"")))))))</f>
        <v/>
      </c>
      <c r="BY26" s="67">
        <f>IF(BY$59="X","",IF(BY$59&lt;&gt;"",BY$59,IF(IFERROR(INDEX(醫師週班表!$C$5:$T$44,$CU26,BY$57),"")=0,"",IF(MID(IFERROR(INDEX(醫師週班表!$C$5:$T$44,$CU26,BY$57),""),2,1)="/",MID(IFERROR(INDEX(醫師週班表!$C$5:$T$44,$CU26,BY$57),""),1+BY$58*2,1),IF(MID(IFERROR(INDEX(醫師週班表!$C$5:$T$44,$CU26,BY$57),""),3,1)="隔",IF(BY$58=0,LEFT(IFERROR(INDEX(醫師週班表!$C$5:$T$44,$CU26,BY$57),""),1),""),IF(MID(IFERROR(INDEX(醫師週班表!$C$5:$T$44,$CU26,BY$57),""),2,1)="(",LEFT(IFERROR(INDEX(醫師週班表!$C$5:$T$44,$CU26,BY$57),""),1),IFERROR(INDEX(醫師週班表!$C$5:$T$44,$CU26,BY$57),"")))))))</f>
        <v/>
      </c>
      <c r="BZ26" s="68">
        <f>IF(BZ$59="X","",IF(BZ$59&lt;&gt;"",BZ$59,IF(IFERROR(INDEX(醫師週班表!$C$5:$T$44,$CU26,BZ$57),"")=0,"",IF(MID(IFERROR(INDEX(醫師週班表!$C$5:$T$44,$CU26,BZ$57),""),2,1)="/",MID(IFERROR(INDEX(醫師週班表!$C$5:$T$44,$CU26,BZ$57),""),1+BZ$58*2,1),IF(MID(IFERROR(INDEX(醫師週班表!$C$5:$T$44,$CU26,BZ$57),""),3,1)="隔",IF(BZ$58=0,LEFT(IFERROR(INDEX(醫師週班表!$C$5:$T$44,$CU26,BZ$57),""),1),""),IF(MID(IFERROR(INDEX(醫師週班表!$C$5:$T$44,$CU26,BZ$57),""),2,1)="(",LEFT(IFERROR(INDEX(醫師週班表!$C$5:$T$44,$CU26,BZ$57),""),1),IFERROR(INDEX(醫師週班表!$C$5:$T$44,$CU26,BZ$57),"")))))))</f>
        <v/>
      </c>
      <c r="CA26" s="68">
        <f>IF(CA$59="X","",IF(CA$59&lt;&gt;"",CA$59,IF(IFERROR(INDEX(醫師週班表!$C$5:$T$44,$CU26,CA$57),"")=0,"",IF(MID(IFERROR(INDEX(醫師週班表!$C$5:$T$44,$CU26,CA$57),""),2,1)="/",MID(IFERROR(INDEX(醫師週班表!$C$5:$T$44,$CU26,CA$57),""),1+CA$58*2,1),IF(MID(IFERROR(INDEX(醫師週班表!$C$5:$T$44,$CU26,CA$57),""),3,1)="隔",IF(CA$58=0,LEFT(IFERROR(INDEX(醫師週班表!$C$5:$T$44,$CU26,CA$57),""),1),""),IF(MID(IFERROR(INDEX(醫師週班表!$C$5:$T$44,$CU26,CA$57),""),2,1)="(",LEFT(IFERROR(INDEX(醫師週班表!$C$5:$T$44,$CU26,CA$57),""),1),IFERROR(INDEX(醫師週班表!$C$5:$T$44,$CU26,CA$57),"")))))))</f>
        <v/>
      </c>
      <c r="CB26" s="67">
        <f>IF(CB$59="X","",IF(CB$59&lt;&gt;"",CB$59,IF(IFERROR(INDEX(醫師週班表!$C$5:$T$44,$CU26,CB$57),"")=0,"",IF(MID(IFERROR(INDEX(醫師週班表!$C$5:$T$44,$CU26,CB$57),""),2,1)="/",MID(IFERROR(INDEX(醫師週班表!$C$5:$T$44,$CU26,CB$57),""),1+CB$58*2,1),IF(MID(IFERROR(INDEX(醫師週班表!$C$5:$T$44,$CU26,CB$57),""),3,1)="隔",IF(CB$58=0,LEFT(IFERROR(INDEX(醫師週班表!$C$5:$T$44,$CU26,CB$57),""),1),""),IF(MID(IFERROR(INDEX(醫師週班表!$C$5:$T$44,$CU26,CB$57),""),2,1)="(",LEFT(IFERROR(INDEX(醫師週班表!$C$5:$T$44,$CU26,CB$57),""),1),IFERROR(INDEX(醫師週班表!$C$5:$T$44,$CU26,CB$57),"")))))))</f>
        <v/>
      </c>
      <c r="CC26" s="68">
        <f>IF(CC$59="X","",IF(CC$59&lt;&gt;"",CC$59,IF(IFERROR(INDEX(醫師週班表!$C$5:$T$44,$CU26,CC$57),"")=0,"",IF(MID(IFERROR(INDEX(醫師週班表!$C$5:$T$44,$CU26,CC$57),""),2,1)="/",MID(IFERROR(INDEX(醫師週班表!$C$5:$T$44,$CU26,CC$57),""),1+CC$58*2,1),IF(MID(IFERROR(INDEX(醫師週班表!$C$5:$T$44,$CU26,CC$57),""),3,1)="隔",IF(CC$58=0,LEFT(IFERROR(INDEX(醫師週班表!$C$5:$T$44,$CU26,CC$57),""),1),""),IF(MID(IFERROR(INDEX(醫師週班表!$C$5:$T$44,$CU26,CC$57),""),2,1)="(",LEFT(IFERROR(INDEX(醫師週班表!$C$5:$T$44,$CU26,CC$57),""),1),IFERROR(INDEX(醫師週班表!$C$5:$T$44,$CU26,CC$57),"")))))))</f>
        <v/>
      </c>
      <c r="CD26" s="68">
        <f>IF(CD$59="X","",IF(CD$59&lt;&gt;"",CD$59,IF(IFERROR(INDEX(醫師週班表!$C$5:$T$44,$CU26,CD$57),"")=0,"",IF(MID(IFERROR(INDEX(醫師週班表!$C$5:$T$44,$CU26,CD$57),""),2,1)="/",MID(IFERROR(INDEX(醫師週班表!$C$5:$T$44,$CU26,CD$57),""),1+CD$58*2,1),IF(MID(IFERROR(INDEX(醫師週班表!$C$5:$T$44,$CU26,CD$57),""),3,1)="隔",IF(CD$58=0,LEFT(IFERROR(INDEX(醫師週班表!$C$5:$T$44,$CU26,CD$57),""),1),""),IF(MID(IFERROR(INDEX(醫師週班表!$C$5:$T$44,$CU26,CD$57),""),2,1)="(",LEFT(IFERROR(INDEX(醫師週班表!$C$5:$T$44,$CU26,CD$57),""),1),IFERROR(INDEX(醫師週班表!$C$5:$T$44,$CU26,CD$57),"")))))))</f>
        <v/>
      </c>
      <c r="CE26" s="67">
        <f>IF(CE$59="X","",IF(CE$59&lt;&gt;"",CE$59,IF(IFERROR(INDEX(醫師週班表!$C$5:$T$44,$CU26,CE$57),"")=0,"",IF(MID(IFERROR(INDEX(醫師週班表!$C$5:$T$44,$CU26,CE$57),""),2,1)="/",MID(IFERROR(INDEX(醫師週班表!$C$5:$T$44,$CU26,CE$57),""),1+CE$58*2,1),IF(MID(IFERROR(INDEX(醫師週班表!$C$5:$T$44,$CU26,CE$57),""),3,1)="隔",IF(CE$58=0,LEFT(IFERROR(INDEX(醫師週班表!$C$5:$T$44,$CU26,CE$57),""),1),""),IF(MID(IFERROR(INDEX(醫師週班表!$C$5:$T$44,$CU26,CE$57),""),2,1)="(",LEFT(IFERROR(INDEX(醫師週班表!$C$5:$T$44,$CU26,CE$57),""),1),IFERROR(INDEX(醫師週班表!$C$5:$T$44,$CU26,CE$57),"")))))))</f>
        <v/>
      </c>
      <c r="CF26" s="68">
        <f>IF(CF$59="X","",IF(CF$59&lt;&gt;"",CF$59,IF(IFERROR(INDEX(醫師週班表!$C$5:$T$44,$CU26,CF$57),"")=0,"",IF(MID(IFERROR(INDEX(醫師週班表!$C$5:$T$44,$CU26,CF$57),""),2,1)="/",MID(IFERROR(INDEX(醫師週班表!$C$5:$T$44,$CU26,CF$57),""),1+CF$58*2,1),IF(MID(IFERROR(INDEX(醫師週班表!$C$5:$T$44,$CU26,CF$57),""),3,1)="隔",IF(CF$58=0,LEFT(IFERROR(INDEX(醫師週班表!$C$5:$T$44,$CU26,CF$57),""),1),""),IF(MID(IFERROR(INDEX(醫師週班表!$C$5:$T$44,$CU26,CF$57),""),2,1)="(",LEFT(IFERROR(INDEX(醫師週班表!$C$5:$T$44,$CU26,CF$57),""),1),IFERROR(INDEX(醫師週班表!$C$5:$T$44,$CU26,CF$57),"")))))))</f>
        <v/>
      </c>
      <c r="CG26" s="68">
        <f>IF(CG$59="X","",IF(CG$59&lt;&gt;"",CG$59,IF(IFERROR(INDEX(醫師週班表!$C$5:$T$44,$CU26,CG$57),"")=0,"",IF(MID(IFERROR(INDEX(醫師週班表!$C$5:$T$44,$CU26,CG$57),""),2,1)="/",MID(IFERROR(INDEX(醫師週班表!$C$5:$T$44,$CU26,CG$57),""),1+CG$58*2,1),IF(MID(IFERROR(INDEX(醫師週班表!$C$5:$T$44,$CU26,CG$57),""),3,1)="隔",IF(CG$58=0,LEFT(IFERROR(INDEX(醫師週班表!$C$5:$T$44,$CU26,CG$57),""),1),""),IF(MID(IFERROR(INDEX(醫師週班表!$C$5:$T$44,$CU26,CG$57),""),2,1)="(",LEFT(IFERROR(INDEX(醫師週班表!$C$5:$T$44,$CU26,CG$57),""),1),IFERROR(INDEX(醫師週班表!$C$5:$T$44,$CU26,CG$57),"")))))))</f>
        <v/>
      </c>
      <c r="CH26" s="67">
        <f>IF(CH$59="X","",IF(CH$59&lt;&gt;"",CH$59,IF(IFERROR(INDEX(醫師週班表!$C$5:$T$44,$CU26,CH$57),"")=0,"",IF(MID(IFERROR(INDEX(醫師週班表!$C$5:$T$44,$CU26,CH$57),""),2,1)="/",MID(IFERROR(INDEX(醫師週班表!$C$5:$T$44,$CU26,CH$57),""),1+CH$58*2,1),IF(MID(IFERROR(INDEX(醫師週班表!$C$5:$T$44,$CU26,CH$57),""),3,1)="隔",IF(CH$58=0,LEFT(IFERROR(INDEX(醫師週班表!$C$5:$T$44,$CU26,CH$57),""),1),""),IF(MID(IFERROR(INDEX(醫師週班表!$C$5:$T$44,$CU26,CH$57),""),2,1)="(",LEFT(IFERROR(INDEX(醫師週班表!$C$5:$T$44,$CU26,CH$57),""),1),IFERROR(INDEX(醫師週班表!$C$5:$T$44,$CU26,CH$57),"")))))))</f>
        <v/>
      </c>
      <c r="CI26" s="68">
        <f>IF(CI$59="X","",IF(CI$59&lt;&gt;"",CI$59,IF(IFERROR(INDEX(醫師週班表!$C$5:$T$44,$CU26,CI$57),"")=0,"",IF(MID(IFERROR(INDEX(醫師週班表!$C$5:$T$44,$CU26,CI$57),""),2,1)="/",MID(IFERROR(INDEX(醫師週班表!$C$5:$T$44,$CU26,CI$57),""),1+CI$58*2,1),IF(MID(IFERROR(INDEX(醫師週班表!$C$5:$T$44,$CU26,CI$57),""),3,1)="隔",IF(CI$58=0,LEFT(IFERROR(INDEX(醫師週班表!$C$5:$T$44,$CU26,CI$57),""),1),""),IF(MID(IFERROR(INDEX(醫師週班表!$C$5:$T$44,$CU26,CI$57),""),2,1)="(",LEFT(IFERROR(INDEX(醫師週班表!$C$5:$T$44,$CU26,CI$57),""),1),IFERROR(INDEX(醫師週班表!$C$5:$T$44,$CU26,CI$57),"")))))))</f>
        <v/>
      </c>
      <c r="CJ26" s="68">
        <f>IF(CJ$59="X","",IF(CJ$59&lt;&gt;"",CJ$59,IF(IFERROR(INDEX(醫師週班表!$C$5:$T$44,$CU26,CJ$57),"")=0,"",IF(MID(IFERROR(INDEX(醫師週班表!$C$5:$T$44,$CU26,CJ$57),""),2,1)="/",MID(IFERROR(INDEX(醫師週班表!$C$5:$T$44,$CU26,CJ$57),""),1+CJ$58*2,1),IF(MID(IFERROR(INDEX(醫師週班表!$C$5:$T$44,$CU26,CJ$57),""),3,1)="隔",IF(CJ$58=0,LEFT(IFERROR(INDEX(醫師週班表!$C$5:$T$44,$CU26,CJ$57),""),1),""),IF(MID(IFERROR(INDEX(醫師週班表!$C$5:$T$44,$CU26,CJ$57),""),2,1)="(",LEFT(IFERROR(INDEX(醫師週班表!$C$5:$T$44,$CU26,CJ$57),""),1),IFERROR(INDEX(醫師週班表!$C$5:$T$44,$CU26,CJ$57),"")))))))</f>
        <v/>
      </c>
      <c r="CK26" s="67">
        <f>IF(CK$59="X","",IF(CK$59&lt;&gt;"",CK$59,IF(IFERROR(INDEX(醫師週班表!$C$5:$T$44,$CU26,CK$57),"")=0,"",IF(MID(IFERROR(INDEX(醫師週班表!$C$5:$T$44,$CU26,CK$57),""),2,1)="/",MID(IFERROR(INDEX(醫師週班表!$C$5:$T$44,$CU26,CK$57),""),1+CK$58*2,1),IF(MID(IFERROR(INDEX(醫師週班表!$C$5:$T$44,$CU26,CK$57),""),3,1)="隔",IF(CK$58=0,LEFT(IFERROR(INDEX(醫師週班表!$C$5:$T$44,$CU26,CK$57),""),1),""),IF(MID(IFERROR(INDEX(醫師週班表!$C$5:$T$44,$CU26,CK$57),""),2,1)="(",LEFT(IFERROR(INDEX(醫師週班表!$C$5:$T$44,$CU26,CK$57),""),1),IFERROR(INDEX(醫師週班表!$C$5:$T$44,$CU26,CK$57),"")))))))</f>
        <v/>
      </c>
      <c r="CL26" s="68">
        <f>IF(CL$59="X","",IF(CL$59&lt;&gt;"",CL$59,IF(IFERROR(INDEX(醫師週班表!$C$5:$T$44,$CU26,CL$57),"")=0,"",IF(MID(IFERROR(INDEX(醫師週班表!$C$5:$T$44,$CU26,CL$57),""),2,1)="/",MID(IFERROR(INDEX(醫師週班表!$C$5:$T$44,$CU26,CL$57),""),1+CL$58*2,1),IF(MID(IFERROR(INDEX(醫師週班表!$C$5:$T$44,$CU26,CL$57),""),3,1)="隔",IF(CL$58=0,LEFT(IFERROR(INDEX(醫師週班表!$C$5:$T$44,$CU26,CL$57),""),1),""),IF(MID(IFERROR(INDEX(醫師週班表!$C$5:$T$44,$CU26,CL$57),""),2,1)="(",LEFT(IFERROR(INDEX(醫師週班表!$C$5:$T$44,$CU26,CL$57),""),1),IFERROR(INDEX(醫師週班表!$C$5:$T$44,$CU26,CL$57),"")))))))</f>
        <v/>
      </c>
      <c r="CM26" s="68">
        <f>IF(CM$59="X","",IF(CM$59&lt;&gt;"",CM$59,IF(IFERROR(INDEX(醫師週班表!$C$5:$T$44,$CU26,CM$57),"")=0,"",IF(MID(IFERROR(INDEX(醫師週班表!$C$5:$T$44,$CU26,CM$57),""),2,1)="/",MID(IFERROR(INDEX(醫師週班表!$C$5:$T$44,$CU26,CM$57),""),1+CM$58*2,1),IF(MID(IFERROR(INDEX(醫師週班表!$C$5:$T$44,$CU26,CM$57),""),3,1)="隔",IF(CM$58=0,LEFT(IFERROR(INDEX(醫師週班表!$C$5:$T$44,$CU26,CM$57),""),1),""),IF(MID(IFERROR(INDEX(醫師週班表!$C$5:$T$44,$CU26,CM$57),""),2,1)="(",LEFT(IFERROR(INDEX(醫師週班表!$C$5:$T$44,$CU26,CM$57),""),1),IFERROR(INDEX(醫師週班表!$C$5:$T$44,$CU26,CM$57),"")))))))</f>
        <v/>
      </c>
      <c r="CN26" s="67">
        <f>IF(CN$59="X","",IF(CN$59&lt;&gt;"",CN$59,IF(IFERROR(INDEX(醫師週班表!$C$5:$T$44,$CU26,CN$57),"")=0,"",IF(MID(IFERROR(INDEX(醫師週班表!$C$5:$T$44,$CU26,CN$57),""),2,1)="/",MID(IFERROR(INDEX(醫師週班表!$C$5:$T$44,$CU26,CN$57),""),1+CN$58*2,1),IF(MID(IFERROR(INDEX(醫師週班表!$C$5:$T$44,$CU26,CN$57),""),3,1)="隔",IF(CN$58=0,LEFT(IFERROR(INDEX(醫師週班表!$C$5:$T$44,$CU26,CN$57),""),1),""),IF(MID(IFERROR(INDEX(醫師週班表!$C$5:$T$44,$CU26,CN$57),""),2,1)="(",LEFT(IFERROR(INDEX(醫師週班表!$C$5:$T$44,$CU26,CN$57),""),1),IFERROR(INDEX(醫師週班表!$C$5:$T$44,$CU26,CN$57),"")))))))</f>
        <v/>
      </c>
      <c r="CO26" s="68">
        <f>IF(CO$59="X","",IF(CO$59&lt;&gt;"",CO$59,IF(IFERROR(INDEX(醫師週班表!$C$5:$T$44,$CU26,CO$57),"")=0,"",IF(MID(IFERROR(INDEX(醫師週班表!$C$5:$T$44,$CU26,CO$57),""),2,1)="/",MID(IFERROR(INDEX(醫師週班表!$C$5:$T$44,$CU26,CO$57),""),1+CO$58*2,1),IF(MID(IFERROR(INDEX(醫師週班表!$C$5:$T$44,$CU26,CO$57),""),3,1)="隔",IF(CO$58=0,LEFT(IFERROR(INDEX(醫師週班表!$C$5:$T$44,$CU26,CO$57),""),1),""),IF(MID(IFERROR(INDEX(醫師週班表!$C$5:$T$44,$CU26,CO$57),""),2,1)="(",LEFT(IFERROR(INDEX(醫師週班表!$C$5:$T$44,$CU26,CO$57),""),1),IFERROR(INDEX(醫師週班表!$C$5:$T$44,$CU26,CO$57),"")))))))</f>
        <v/>
      </c>
      <c r="CP26" s="68">
        <f>IF(CP$59="X","",IF(CP$59&lt;&gt;"",CP$59,IF(IFERROR(INDEX(醫師週班表!$C$5:$T$44,$CU26,CP$57),"")=0,"",IF(MID(IFERROR(INDEX(醫師週班表!$C$5:$T$44,$CU26,CP$57),""),2,1)="/",MID(IFERROR(INDEX(醫師週班表!$C$5:$T$44,$CU26,CP$57),""),1+CP$58*2,1),IF(MID(IFERROR(INDEX(醫師週班表!$C$5:$T$44,$CU26,CP$57),""),3,1)="隔",IF(CP$58=0,LEFT(IFERROR(INDEX(醫師週班表!$C$5:$T$44,$CU26,CP$57),""),1),""),IF(MID(IFERROR(INDEX(醫師週班表!$C$5:$T$44,$CU26,CP$57),""),2,1)="(",LEFT(IFERROR(INDEX(醫師週班表!$C$5:$T$44,$CU26,CP$57),""),1),IFERROR(INDEX(醫師週班表!$C$5:$T$44,$CU26,CP$57),"")))))))</f>
        <v/>
      </c>
      <c r="CQ26" s="67">
        <f>IF(CQ$59="X","",IF(CQ$59&lt;&gt;"",CQ$59,IF(IFERROR(INDEX(醫師週班表!$C$5:$T$44,$CU26,CQ$57),"")=0,"",IF(MID(IFERROR(INDEX(醫師週班表!$C$5:$T$44,$CU26,CQ$57),""),2,1)="/",MID(IFERROR(INDEX(醫師週班表!$C$5:$T$44,$CU26,CQ$57),""),1+CQ$58*2,1),IF(MID(IFERROR(INDEX(醫師週班表!$C$5:$T$44,$CU26,CQ$57),""),3,1)="隔",IF(CQ$58=0,LEFT(IFERROR(INDEX(醫師週班表!$C$5:$T$44,$CU26,CQ$57),""),1),""),IF(MID(IFERROR(INDEX(醫師週班表!$C$5:$T$44,$CU26,CQ$57),""),2,1)="(",LEFT(IFERROR(INDEX(醫師週班表!$C$5:$T$44,$CU26,CQ$57),""),1),IFERROR(INDEX(醫師週班表!$C$5:$T$44,$CU26,CQ$57),"")))))))</f>
        <v/>
      </c>
      <c r="CR26" s="68">
        <f>IF(CR$59="X","",IF(CR$59&lt;&gt;"",CR$59,IF(IFERROR(INDEX(醫師週班表!$C$5:$T$44,$CU26,CR$57),"")=0,"",IF(MID(IFERROR(INDEX(醫師週班表!$C$5:$T$44,$CU26,CR$57),""),2,1)="/",MID(IFERROR(INDEX(醫師週班表!$C$5:$T$44,$CU26,CR$57),""),1+CR$58*2,1),IF(MID(IFERROR(INDEX(醫師週班表!$C$5:$T$44,$CU26,CR$57),""),3,1)="隔",IF(CR$58=0,LEFT(IFERROR(INDEX(醫師週班表!$C$5:$T$44,$CU26,CR$57),""),1),""),IF(MID(IFERROR(INDEX(醫師週班表!$C$5:$T$44,$CU26,CR$57),""),2,1)="(",LEFT(IFERROR(INDEX(醫師週班表!$C$5:$T$44,$CU26,CR$57),""),1),IFERROR(INDEX(醫師週班表!$C$5:$T$44,$CU26,CR$57),"")))))))</f>
        <v/>
      </c>
      <c r="CS26" s="68">
        <f>IF(CS$59="X","",IF(CS$59&lt;&gt;"",CS$59,IF(IFERROR(INDEX(醫師週班表!$C$5:$T$44,$CU26,CS$57),"")=0,"",IF(MID(IFERROR(INDEX(醫師週班表!$C$5:$T$44,$CU26,CS$57),""),2,1)="/",MID(IFERROR(INDEX(醫師週班表!$C$5:$T$44,$CU26,CS$57),""),1+CS$58*2,1),IF(MID(IFERROR(INDEX(醫師週班表!$C$5:$T$44,$CU26,CS$57),""),3,1)="隔",IF(CS$58=0,LEFT(IFERROR(INDEX(醫師週班表!$C$5:$T$44,$CU26,CS$57),""),1),""),IF(MID(IFERROR(INDEX(醫師週班表!$C$5:$T$44,$CU26,CS$57),""),2,1)="(",LEFT(IFERROR(INDEX(醫師週班表!$C$5:$T$44,$CU26,CS$57),""),1),IFERROR(INDEX(醫師週班表!$C$5:$T$44,$CU26,CS$57),"")))))))</f>
        <v/>
      </c>
      <c r="CU26" s="69">
        <f>IFERROR(MATCH($A26,醫師週班表!$A$5:$A$44,0),0)</f>
        <v/>
      </c>
    </row>
    <row r="27" ht="17" customHeight="1">
      <c r="A27" s="20" t="inlineStr">
        <is>
          <t>D022</t>
        </is>
      </c>
      <c r="B27" s="16" t="inlineStr">
        <is>
          <t>黃育亭</t>
        </is>
      </c>
      <c r="C27" s="66" t="inlineStr">
        <is>
          <t>兒童</t>
        </is>
      </c>
      <c r="D27" s="16" t="inlineStr">
        <is>
          <t>寶貝牙院長</t>
        </is>
      </c>
      <c r="E27" s="67">
        <f>IF(E$59="X","",IF(E$59&lt;&gt;"",E$59,IF(IFERROR(INDEX(醫師週班表!$C$5:$T$44,$CU27,E$57),"")=0,"",IF(MID(IFERROR(INDEX(醫師週班表!$C$5:$T$44,$CU27,E$57),""),2,1)="/",MID(IFERROR(INDEX(醫師週班表!$C$5:$T$44,$CU27,E$57),""),1+E$58*2,1),IF(MID(IFERROR(INDEX(醫師週班表!$C$5:$T$44,$CU27,E$57),""),3,1)="隔",IF(E$58=0,LEFT(IFERROR(INDEX(醫師週班表!$C$5:$T$44,$CU27,E$57),""),1),""),IF(MID(IFERROR(INDEX(醫師週班表!$C$5:$T$44,$CU27,E$57),""),2,1)="(",LEFT(IFERROR(INDEX(醫師週班表!$C$5:$T$44,$CU27,E$57),""),1),IFERROR(INDEX(醫師週班表!$C$5:$T$44,$CU27,E$57),"")))))))</f>
        <v/>
      </c>
      <c r="F27" s="68">
        <f>IF(F$59="X","",IF(F$59&lt;&gt;"",F$59,IF(IFERROR(INDEX(醫師週班表!$C$5:$T$44,$CU27,F$57),"")=0,"",IF(MID(IFERROR(INDEX(醫師週班表!$C$5:$T$44,$CU27,F$57),""),2,1)="/",MID(IFERROR(INDEX(醫師週班表!$C$5:$T$44,$CU27,F$57),""),1+F$58*2,1),IF(MID(IFERROR(INDEX(醫師週班表!$C$5:$T$44,$CU27,F$57),""),3,1)="隔",IF(F$58=0,LEFT(IFERROR(INDEX(醫師週班表!$C$5:$T$44,$CU27,F$57),""),1),""),IF(MID(IFERROR(INDEX(醫師週班表!$C$5:$T$44,$CU27,F$57),""),2,1)="(",LEFT(IFERROR(INDEX(醫師週班表!$C$5:$T$44,$CU27,F$57),""),1),IFERROR(INDEX(醫師週班表!$C$5:$T$44,$CU27,F$57),"")))))))</f>
        <v/>
      </c>
      <c r="G27" s="68">
        <f>IF(G$59="X","",IF(G$59&lt;&gt;"",G$59,IF(IFERROR(INDEX(醫師週班表!$C$5:$T$44,$CU27,G$57),"")=0,"",IF(MID(IFERROR(INDEX(醫師週班表!$C$5:$T$44,$CU27,G$57),""),2,1)="/",MID(IFERROR(INDEX(醫師週班表!$C$5:$T$44,$CU27,G$57),""),1+G$58*2,1),IF(MID(IFERROR(INDEX(醫師週班表!$C$5:$T$44,$CU27,G$57),""),3,1)="隔",IF(G$58=0,LEFT(IFERROR(INDEX(醫師週班表!$C$5:$T$44,$CU27,G$57),""),1),""),IF(MID(IFERROR(INDEX(醫師週班表!$C$5:$T$44,$CU27,G$57),""),2,1)="(",LEFT(IFERROR(INDEX(醫師週班表!$C$5:$T$44,$CU27,G$57),""),1),IFERROR(INDEX(醫師週班表!$C$5:$T$44,$CU27,G$57),"")))))))</f>
        <v/>
      </c>
      <c r="H27" s="67">
        <f>IF(H$59="X","",IF(H$59&lt;&gt;"",H$59,IF(IFERROR(INDEX(醫師週班表!$C$5:$T$44,$CU27,H$57),"")=0,"",IF(MID(IFERROR(INDEX(醫師週班表!$C$5:$T$44,$CU27,H$57),""),2,1)="/",MID(IFERROR(INDEX(醫師週班表!$C$5:$T$44,$CU27,H$57),""),1+H$58*2,1),IF(MID(IFERROR(INDEX(醫師週班表!$C$5:$T$44,$CU27,H$57),""),3,1)="隔",IF(H$58=0,LEFT(IFERROR(INDEX(醫師週班表!$C$5:$T$44,$CU27,H$57),""),1),""),IF(MID(IFERROR(INDEX(醫師週班表!$C$5:$T$44,$CU27,H$57),""),2,1)="(",LEFT(IFERROR(INDEX(醫師週班表!$C$5:$T$44,$CU27,H$57),""),1),IFERROR(INDEX(醫師週班表!$C$5:$T$44,$CU27,H$57),"")))))))</f>
        <v/>
      </c>
      <c r="I27" s="68">
        <f>IF(I$59="X","",IF(I$59&lt;&gt;"",I$59,IF(IFERROR(INDEX(醫師週班表!$C$5:$T$44,$CU27,I$57),"")=0,"",IF(MID(IFERROR(INDEX(醫師週班表!$C$5:$T$44,$CU27,I$57),""),2,1)="/",MID(IFERROR(INDEX(醫師週班表!$C$5:$T$44,$CU27,I$57),""),1+I$58*2,1),IF(MID(IFERROR(INDEX(醫師週班表!$C$5:$T$44,$CU27,I$57),""),3,1)="隔",IF(I$58=0,LEFT(IFERROR(INDEX(醫師週班表!$C$5:$T$44,$CU27,I$57),""),1),""),IF(MID(IFERROR(INDEX(醫師週班表!$C$5:$T$44,$CU27,I$57),""),2,1)="(",LEFT(IFERROR(INDEX(醫師週班表!$C$5:$T$44,$CU27,I$57),""),1),IFERROR(INDEX(醫師週班表!$C$5:$T$44,$CU27,I$57),"")))))))</f>
        <v/>
      </c>
      <c r="J27" s="68">
        <f>IF(J$59="X","",IF(J$59&lt;&gt;"",J$59,IF(IFERROR(INDEX(醫師週班表!$C$5:$T$44,$CU27,J$57),"")=0,"",IF(MID(IFERROR(INDEX(醫師週班表!$C$5:$T$44,$CU27,J$57),""),2,1)="/",MID(IFERROR(INDEX(醫師週班表!$C$5:$T$44,$CU27,J$57),""),1+J$58*2,1),IF(MID(IFERROR(INDEX(醫師週班表!$C$5:$T$44,$CU27,J$57),""),3,1)="隔",IF(J$58=0,LEFT(IFERROR(INDEX(醫師週班表!$C$5:$T$44,$CU27,J$57),""),1),""),IF(MID(IFERROR(INDEX(醫師週班表!$C$5:$T$44,$CU27,J$57),""),2,1)="(",LEFT(IFERROR(INDEX(醫師週班表!$C$5:$T$44,$CU27,J$57),""),1),IFERROR(INDEX(醫師週班表!$C$5:$T$44,$CU27,J$57),"")))))))</f>
        <v/>
      </c>
      <c r="K27" s="67">
        <f>IF(K$59="X","",IF(K$59&lt;&gt;"",K$59,IF(IFERROR(INDEX(醫師週班表!$C$5:$T$44,$CU27,K$57),"")=0,"",IF(MID(IFERROR(INDEX(醫師週班表!$C$5:$T$44,$CU27,K$57),""),2,1)="/",MID(IFERROR(INDEX(醫師週班表!$C$5:$T$44,$CU27,K$57),""),1+K$58*2,1),IF(MID(IFERROR(INDEX(醫師週班表!$C$5:$T$44,$CU27,K$57),""),3,1)="隔",IF(K$58=0,LEFT(IFERROR(INDEX(醫師週班表!$C$5:$T$44,$CU27,K$57),""),1),""),IF(MID(IFERROR(INDEX(醫師週班表!$C$5:$T$44,$CU27,K$57),""),2,1)="(",LEFT(IFERROR(INDEX(醫師週班表!$C$5:$T$44,$CU27,K$57),""),1),IFERROR(INDEX(醫師週班表!$C$5:$T$44,$CU27,K$57),"")))))))</f>
        <v/>
      </c>
      <c r="L27" s="68">
        <f>IF(L$59="X","",IF(L$59&lt;&gt;"",L$59,IF(IFERROR(INDEX(醫師週班表!$C$5:$T$44,$CU27,L$57),"")=0,"",IF(MID(IFERROR(INDEX(醫師週班表!$C$5:$T$44,$CU27,L$57),""),2,1)="/",MID(IFERROR(INDEX(醫師週班表!$C$5:$T$44,$CU27,L$57),""),1+L$58*2,1),IF(MID(IFERROR(INDEX(醫師週班表!$C$5:$T$44,$CU27,L$57),""),3,1)="隔",IF(L$58=0,LEFT(IFERROR(INDEX(醫師週班表!$C$5:$T$44,$CU27,L$57),""),1),""),IF(MID(IFERROR(INDEX(醫師週班表!$C$5:$T$44,$CU27,L$57),""),2,1)="(",LEFT(IFERROR(INDEX(醫師週班表!$C$5:$T$44,$CU27,L$57),""),1),IFERROR(INDEX(醫師週班表!$C$5:$T$44,$CU27,L$57),"")))))))</f>
        <v/>
      </c>
      <c r="M27" s="68">
        <f>IF(M$59="X","",IF(M$59&lt;&gt;"",M$59,IF(IFERROR(INDEX(醫師週班表!$C$5:$T$44,$CU27,M$57),"")=0,"",IF(MID(IFERROR(INDEX(醫師週班表!$C$5:$T$44,$CU27,M$57),""),2,1)="/",MID(IFERROR(INDEX(醫師週班表!$C$5:$T$44,$CU27,M$57),""),1+M$58*2,1),IF(MID(IFERROR(INDEX(醫師週班表!$C$5:$T$44,$CU27,M$57),""),3,1)="隔",IF(M$58=0,LEFT(IFERROR(INDEX(醫師週班表!$C$5:$T$44,$CU27,M$57),""),1),""),IF(MID(IFERROR(INDEX(醫師週班表!$C$5:$T$44,$CU27,M$57),""),2,1)="(",LEFT(IFERROR(INDEX(醫師週班表!$C$5:$T$44,$CU27,M$57),""),1),IFERROR(INDEX(醫師週班表!$C$5:$T$44,$CU27,M$57),"")))))))</f>
        <v/>
      </c>
      <c r="N27" s="67">
        <f>IF(N$59="X","",IF(N$59&lt;&gt;"",N$59,IF(IFERROR(INDEX(醫師週班表!$C$5:$T$44,$CU27,N$57),"")=0,"",IF(MID(IFERROR(INDEX(醫師週班表!$C$5:$T$44,$CU27,N$57),""),2,1)="/",MID(IFERROR(INDEX(醫師週班表!$C$5:$T$44,$CU27,N$57),""),1+N$58*2,1),IF(MID(IFERROR(INDEX(醫師週班表!$C$5:$T$44,$CU27,N$57),""),3,1)="隔",IF(N$58=0,LEFT(IFERROR(INDEX(醫師週班表!$C$5:$T$44,$CU27,N$57),""),1),""),IF(MID(IFERROR(INDEX(醫師週班表!$C$5:$T$44,$CU27,N$57),""),2,1)="(",LEFT(IFERROR(INDEX(醫師週班表!$C$5:$T$44,$CU27,N$57),""),1),IFERROR(INDEX(醫師週班表!$C$5:$T$44,$CU27,N$57),"")))))))</f>
        <v/>
      </c>
      <c r="O27" s="68">
        <f>IF(O$59="X","",IF(O$59&lt;&gt;"",O$59,IF(IFERROR(INDEX(醫師週班表!$C$5:$T$44,$CU27,O$57),"")=0,"",IF(MID(IFERROR(INDEX(醫師週班表!$C$5:$T$44,$CU27,O$57),""),2,1)="/",MID(IFERROR(INDEX(醫師週班表!$C$5:$T$44,$CU27,O$57),""),1+O$58*2,1),IF(MID(IFERROR(INDEX(醫師週班表!$C$5:$T$44,$CU27,O$57),""),3,1)="隔",IF(O$58=0,LEFT(IFERROR(INDEX(醫師週班表!$C$5:$T$44,$CU27,O$57),""),1),""),IF(MID(IFERROR(INDEX(醫師週班表!$C$5:$T$44,$CU27,O$57),""),2,1)="(",LEFT(IFERROR(INDEX(醫師週班表!$C$5:$T$44,$CU27,O$57),""),1),IFERROR(INDEX(醫師週班表!$C$5:$T$44,$CU27,O$57),"")))))))</f>
        <v/>
      </c>
      <c r="P27" s="68">
        <f>IF(P$59="X","",IF(P$59&lt;&gt;"",P$59,IF(IFERROR(INDEX(醫師週班表!$C$5:$T$44,$CU27,P$57),"")=0,"",IF(MID(IFERROR(INDEX(醫師週班表!$C$5:$T$44,$CU27,P$57),""),2,1)="/",MID(IFERROR(INDEX(醫師週班表!$C$5:$T$44,$CU27,P$57),""),1+P$58*2,1),IF(MID(IFERROR(INDEX(醫師週班表!$C$5:$T$44,$CU27,P$57),""),3,1)="隔",IF(P$58=0,LEFT(IFERROR(INDEX(醫師週班表!$C$5:$T$44,$CU27,P$57),""),1),""),IF(MID(IFERROR(INDEX(醫師週班表!$C$5:$T$44,$CU27,P$57),""),2,1)="(",LEFT(IFERROR(INDEX(醫師週班表!$C$5:$T$44,$CU27,P$57),""),1),IFERROR(INDEX(醫師週班表!$C$5:$T$44,$CU27,P$57),"")))))))</f>
        <v/>
      </c>
      <c r="Q27" s="67">
        <f>IF(Q$59="X","",IF(Q$59&lt;&gt;"",Q$59,IF(IFERROR(INDEX(醫師週班表!$C$5:$T$44,$CU27,Q$57),"")=0,"",IF(MID(IFERROR(INDEX(醫師週班表!$C$5:$T$44,$CU27,Q$57),""),2,1)="/",MID(IFERROR(INDEX(醫師週班表!$C$5:$T$44,$CU27,Q$57),""),1+Q$58*2,1),IF(MID(IFERROR(INDEX(醫師週班表!$C$5:$T$44,$CU27,Q$57),""),3,1)="隔",IF(Q$58=0,LEFT(IFERROR(INDEX(醫師週班表!$C$5:$T$44,$CU27,Q$57),""),1),""),IF(MID(IFERROR(INDEX(醫師週班表!$C$5:$T$44,$CU27,Q$57),""),2,1)="(",LEFT(IFERROR(INDEX(醫師週班表!$C$5:$T$44,$CU27,Q$57),""),1),IFERROR(INDEX(醫師週班表!$C$5:$T$44,$CU27,Q$57),"")))))))</f>
        <v/>
      </c>
      <c r="R27" s="68">
        <f>IF(R$59="X","",IF(R$59&lt;&gt;"",R$59,IF(IFERROR(INDEX(醫師週班表!$C$5:$T$44,$CU27,R$57),"")=0,"",IF(MID(IFERROR(INDEX(醫師週班表!$C$5:$T$44,$CU27,R$57),""),2,1)="/",MID(IFERROR(INDEX(醫師週班表!$C$5:$T$44,$CU27,R$57),""),1+R$58*2,1),IF(MID(IFERROR(INDEX(醫師週班表!$C$5:$T$44,$CU27,R$57),""),3,1)="隔",IF(R$58=0,LEFT(IFERROR(INDEX(醫師週班表!$C$5:$T$44,$CU27,R$57),""),1),""),IF(MID(IFERROR(INDEX(醫師週班表!$C$5:$T$44,$CU27,R$57),""),2,1)="(",LEFT(IFERROR(INDEX(醫師週班表!$C$5:$T$44,$CU27,R$57),""),1),IFERROR(INDEX(醫師週班表!$C$5:$T$44,$CU27,R$57),"")))))))</f>
        <v/>
      </c>
      <c r="S27" s="68">
        <f>IF(S$59="X","",IF(S$59&lt;&gt;"",S$59,IF(IFERROR(INDEX(醫師週班表!$C$5:$T$44,$CU27,S$57),"")=0,"",IF(MID(IFERROR(INDEX(醫師週班表!$C$5:$T$44,$CU27,S$57),""),2,1)="/",MID(IFERROR(INDEX(醫師週班表!$C$5:$T$44,$CU27,S$57),""),1+S$58*2,1),IF(MID(IFERROR(INDEX(醫師週班表!$C$5:$T$44,$CU27,S$57),""),3,1)="隔",IF(S$58=0,LEFT(IFERROR(INDEX(醫師週班表!$C$5:$T$44,$CU27,S$57),""),1),""),IF(MID(IFERROR(INDEX(醫師週班表!$C$5:$T$44,$CU27,S$57),""),2,1)="(",LEFT(IFERROR(INDEX(醫師週班表!$C$5:$T$44,$CU27,S$57),""),1),IFERROR(INDEX(醫師週班表!$C$5:$T$44,$CU27,S$57),"")))))))</f>
        <v/>
      </c>
      <c r="T27" s="67">
        <f>IF(T$59="X","",IF(T$59&lt;&gt;"",T$59,IF(IFERROR(INDEX(醫師週班表!$C$5:$T$44,$CU27,T$57),"")=0,"",IF(MID(IFERROR(INDEX(醫師週班表!$C$5:$T$44,$CU27,T$57),""),2,1)="/",MID(IFERROR(INDEX(醫師週班表!$C$5:$T$44,$CU27,T$57),""),1+T$58*2,1),IF(MID(IFERROR(INDEX(醫師週班表!$C$5:$T$44,$CU27,T$57),""),3,1)="隔",IF(T$58=0,LEFT(IFERROR(INDEX(醫師週班表!$C$5:$T$44,$CU27,T$57),""),1),""),IF(MID(IFERROR(INDEX(醫師週班表!$C$5:$T$44,$CU27,T$57),""),2,1)="(",LEFT(IFERROR(INDEX(醫師週班表!$C$5:$T$44,$CU27,T$57),""),1),IFERROR(INDEX(醫師週班表!$C$5:$T$44,$CU27,T$57),"")))))))</f>
        <v/>
      </c>
      <c r="U27" s="68">
        <f>IF(U$59="X","",IF(U$59&lt;&gt;"",U$59,IF(IFERROR(INDEX(醫師週班表!$C$5:$T$44,$CU27,U$57),"")=0,"",IF(MID(IFERROR(INDEX(醫師週班表!$C$5:$T$44,$CU27,U$57),""),2,1)="/",MID(IFERROR(INDEX(醫師週班表!$C$5:$T$44,$CU27,U$57),""),1+U$58*2,1),IF(MID(IFERROR(INDEX(醫師週班表!$C$5:$T$44,$CU27,U$57),""),3,1)="隔",IF(U$58=0,LEFT(IFERROR(INDEX(醫師週班表!$C$5:$T$44,$CU27,U$57),""),1),""),IF(MID(IFERROR(INDEX(醫師週班表!$C$5:$T$44,$CU27,U$57),""),2,1)="(",LEFT(IFERROR(INDEX(醫師週班表!$C$5:$T$44,$CU27,U$57),""),1),IFERROR(INDEX(醫師週班表!$C$5:$T$44,$CU27,U$57),"")))))))</f>
        <v/>
      </c>
      <c r="V27" s="68">
        <f>IF(V$59="X","",IF(V$59&lt;&gt;"",V$59,IF(IFERROR(INDEX(醫師週班表!$C$5:$T$44,$CU27,V$57),"")=0,"",IF(MID(IFERROR(INDEX(醫師週班表!$C$5:$T$44,$CU27,V$57),""),2,1)="/",MID(IFERROR(INDEX(醫師週班表!$C$5:$T$44,$CU27,V$57),""),1+V$58*2,1),IF(MID(IFERROR(INDEX(醫師週班表!$C$5:$T$44,$CU27,V$57),""),3,1)="隔",IF(V$58=0,LEFT(IFERROR(INDEX(醫師週班表!$C$5:$T$44,$CU27,V$57),""),1),""),IF(MID(IFERROR(INDEX(醫師週班表!$C$5:$T$44,$CU27,V$57),""),2,1)="(",LEFT(IFERROR(INDEX(醫師週班表!$C$5:$T$44,$CU27,V$57),""),1),IFERROR(INDEX(醫師週班表!$C$5:$T$44,$CU27,V$57),"")))))))</f>
        <v/>
      </c>
      <c r="W27" s="67">
        <f>IF(W$59="X","",IF(W$59&lt;&gt;"",W$59,IF(IFERROR(INDEX(醫師週班表!$C$5:$T$44,$CU27,W$57),"")=0,"",IF(MID(IFERROR(INDEX(醫師週班表!$C$5:$T$44,$CU27,W$57),""),2,1)="/",MID(IFERROR(INDEX(醫師週班表!$C$5:$T$44,$CU27,W$57),""),1+W$58*2,1),IF(MID(IFERROR(INDEX(醫師週班表!$C$5:$T$44,$CU27,W$57),""),3,1)="隔",IF(W$58=0,LEFT(IFERROR(INDEX(醫師週班表!$C$5:$T$44,$CU27,W$57),""),1),""),IF(MID(IFERROR(INDEX(醫師週班表!$C$5:$T$44,$CU27,W$57),""),2,1)="(",LEFT(IFERROR(INDEX(醫師週班表!$C$5:$T$44,$CU27,W$57),""),1),IFERROR(INDEX(醫師週班表!$C$5:$T$44,$CU27,W$57),"")))))))</f>
        <v/>
      </c>
      <c r="X27" s="68">
        <f>IF(X$59="X","",IF(X$59&lt;&gt;"",X$59,IF(IFERROR(INDEX(醫師週班表!$C$5:$T$44,$CU27,X$57),"")=0,"",IF(MID(IFERROR(INDEX(醫師週班表!$C$5:$T$44,$CU27,X$57),""),2,1)="/",MID(IFERROR(INDEX(醫師週班表!$C$5:$T$44,$CU27,X$57),""),1+X$58*2,1),IF(MID(IFERROR(INDEX(醫師週班表!$C$5:$T$44,$CU27,X$57),""),3,1)="隔",IF(X$58=0,LEFT(IFERROR(INDEX(醫師週班表!$C$5:$T$44,$CU27,X$57),""),1),""),IF(MID(IFERROR(INDEX(醫師週班表!$C$5:$T$44,$CU27,X$57),""),2,1)="(",LEFT(IFERROR(INDEX(醫師週班表!$C$5:$T$44,$CU27,X$57),""),1),IFERROR(INDEX(醫師週班表!$C$5:$T$44,$CU27,X$57),"")))))))</f>
        <v/>
      </c>
      <c r="Y27" s="68">
        <f>IF(Y$59="X","",IF(Y$59&lt;&gt;"",Y$59,IF(IFERROR(INDEX(醫師週班表!$C$5:$T$44,$CU27,Y$57),"")=0,"",IF(MID(IFERROR(INDEX(醫師週班表!$C$5:$T$44,$CU27,Y$57),""),2,1)="/",MID(IFERROR(INDEX(醫師週班表!$C$5:$T$44,$CU27,Y$57),""),1+Y$58*2,1),IF(MID(IFERROR(INDEX(醫師週班表!$C$5:$T$44,$CU27,Y$57),""),3,1)="隔",IF(Y$58=0,LEFT(IFERROR(INDEX(醫師週班表!$C$5:$T$44,$CU27,Y$57),""),1),""),IF(MID(IFERROR(INDEX(醫師週班表!$C$5:$T$44,$CU27,Y$57),""),2,1)="(",LEFT(IFERROR(INDEX(醫師週班表!$C$5:$T$44,$CU27,Y$57),""),1),IFERROR(INDEX(醫師週班表!$C$5:$T$44,$CU27,Y$57),"")))))))</f>
        <v/>
      </c>
      <c r="Z27" s="67">
        <f>IF(Z$59="X","",IF(Z$59&lt;&gt;"",Z$59,IF(IFERROR(INDEX(醫師週班表!$C$5:$T$44,$CU27,Z$57),"")=0,"",IF(MID(IFERROR(INDEX(醫師週班表!$C$5:$T$44,$CU27,Z$57),""),2,1)="/",MID(IFERROR(INDEX(醫師週班表!$C$5:$T$44,$CU27,Z$57),""),1+Z$58*2,1),IF(MID(IFERROR(INDEX(醫師週班表!$C$5:$T$44,$CU27,Z$57),""),3,1)="隔",IF(Z$58=0,LEFT(IFERROR(INDEX(醫師週班表!$C$5:$T$44,$CU27,Z$57),""),1),""),IF(MID(IFERROR(INDEX(醫師週班表!$C$5:$T$44,$CU27,Z$57),""),2,1)="(",LEFT(IFERROR(INDEX(醫師週班表!$C$5:$T$44,$CU27,Z$57),""),1),IFERROR(INDEX(醫師週班表!$C$5:$T$44,$CU27,Z$57),"")))))))</f>
        <v/>
      </c>
      <c r="AA27" s="68">
        <f>IF(AA$59="X","",IF(AA$59&lt;&gt;"",AA$59,IF(IFERROR(INDEX(醫師週班表!$C$5:$T$44,$CU27,AA$57),"")=0,"",IF(MID(IFERROR(INDEX(醫師週班表!$C$5:$T$44,$CU27,AA$57),""),2,1)="/",MID(IFERROR(INDEX(醫師週班表!$C$5:$T$44,$CU27,AA$57),""),1+AA$58*2,1),IF(MID(IFERROR(INDEX(醫師週班表!$C$5:$T$44,$CU27,AA$57),""),3,1)="隔",IF(AA$58=0,LEFT(IFERROR(INDEX(醫師週班表!$C$5:$T$44,$CU27,AA$57),""),1),""),IF(MID(IFERROR(INDEX(醫師週班表!$C$5:$T$44,$CU27,AA$57),""),2,1)="(",LEFT(IFERROR(INDEX(醫師週班表!$C$5:$T$44,$CU27,AA$57),""),1),IFERROR(INDEX(醫師週班表!$C$5:$T$44,$CU27,AA$57),"")))))))</f>
        <v/>
      </c>
      <c r="AB27" s="68">
        <f>IF(AB$59="X","",IF(AB$59&lt;&gt;"",AB$59,IF(IFERROR(INDEX(醫師週班表!$C$5:$T$44,$CU27,AB$57),"")=0,"",IF(MID(IFERROR(INDEX(醫師週班表!$C$5:$T$44,$CU27,AB$57),""),2,1)="/",MID(IFERROR(INDEX(醫師週班表!$C$5:$T$44,$CU27,AB$57),""),1+AB$58*2,1),IF(MID(IFERROR(INDEX(醫師週班表!$C$5:$T$44,$CU27,AB$57),""),3,1)="隔",IF(AB$58=0,LEFT(IFERROR(INDEX(醫師週班表!$C$5:$T$44,$CU27,AB$57),""),1),""),IF(MID(IFERROR(INDEX(醫師週班表!$C$5:$T$44,$CU27,AB$57),""),2,1)="(",LEFT(IFERROR(INDEX(醫師週班表!$C$5:$T$44,$CU27,AB$57),""),1),IFERROR(INDEX(醫師週班表!$C$5:$T$44,$CU27,AB$57),"")))))))</f>
        <v/>
      </c>
      <c r="AC27" s="67">
        <f>IF(AC$59="X","",IF(AC$59&lt;&gt;"",AC$59,IF(IFERROR(INDEX(醫師週班表!$C$5:$T$44,$CU27,AC$57),"")=0,"",IF(MID(IFERROR(INDEX(醫師週班表!$C$5:$T$44,$CU27,AC$57),""),2,1)="/",MID(IFERROR(INDEX(醫師週班表!$C$5:$T$44,$CU27,AC$57),""),1+AC$58*2,1),IF(MID(IFERROR(INDEX(醫師週班表!$C$5:$T$44,$CU27,AC$57),""),3,1)="隔",IF(AC$58=0,LEFT(IFERROR(INDEX(醫師週班表!$C$5:$T$44,$CU27,AC$57),""),1),""),IF(MID(IFERROR(INDEX(醫師週班表!$C$5:$T$44,$CU27,AC$57),""),2,1)="(",LEFT(IFERROR(INDEX(醫師週班表!$C$5:$T$44,$CU27,AC$57),""),1),IFERROR(INDEX(醫師週班表!$C$5:$T$44,$CU27,AC$57),"")))))))</f>
        <v/>
      </c>
      <c r="AD27" s="68">
        <f>IF(AD$59="X","",IF(AD$59&lt;&gt;"",AD$59,IF(IFERROR(INDEX(醫師週班表!$C$5:$T$44,$CU27,AD$57),"")=0,"",IF(MID(IFERROR(INDEX(醫師週班表!$C$5:$T$44,$CU27,AD$57),""),2,1)="/",MID(IFERROR(INDEX(醫師週班表!$C$5:$T$44,$CU27,AD$57),""),1+AD$58*2,1),IF(MID(IFERROR(INDEX(醫師週班表!$C$5:$T$44,$CU27,AD$57),""),3,1)="隔",IF(AD$58=0,LEFT(IFERROR(INDEX(醫師週班表!$C$5:$T$44,$CU27,AD$57),""),1),""),IF(MID(IFERROR(INDEX(醫師週班表!$C$5:$T$44,$CU27,AD$57),""),2,1)="(",LEFT(IFERROR(INDEX(醫師週班表!$C$5:$T$44,$CU27,AD$57),""),1),IFERROR(INDEX(醫師週班表!$C$5:$T$44,$CU27,AD$57),"")))))))</f>
        <v/>
      </c>
      <c r="AE27" s="68">
        <f>IF(AE$59="X","",IF(AE$59&lt;&gt;"",AE$59,IF(IFERROR(INDEX(醫師週班表!$C$5:$T$44,$CU27,AE$57),"")=0,"",IF(MID(IFERROR(INDEX(醫師週班表!$C$5:$T$44,$CU27,AE$57),""),2,1)="/",MID(IFERROR(INDEX(醫師週班表!$C$5:$T$44,$CU27,AE$57),""),1+AE$58*2,1),IF(MID(IFERROR(INDEX(醫師週班表!$C$5:$T$44,$CU27,AE$57),""),3,1)="隔",IF(AE$58=0,LEFT(IFERROR(INDEX(醫師週班表!$C$5:$T$44,$CU27,AE$57),""),1),""),IF(MID(IFERROR(INDEX(醫師週班表!$C$5:$T$44,$CU27,AE$57),""),2,1)="(",LEFT(IFERROR(INDEX(醫師週班表!$C$5:$T$44,$CU27,AE$57),""),1),IFERROR(INDEX(醫師週班表!$C$5:$T$44,$CU27,AE$57),"")))))))</f>
        <v/>
      </c>
      <c r="AF27" s="67">
        <f>IF(AF$59="X","",IF(AF$59&lt;&gt;"",AF$59,IF(IFERROR(INDEX(醫師週班表!$C$5:$T$44,$CU27,AF$57),"")=0,"",IF(MID(IFERROR(INDEX(醫師週班表!$C$5:$T$44,$CU27,AF$57),""),2,1)="/",MID(IFERROR(INDEX(醫師週班表!$C$5:$T$44,$CU27,AF$57),""),1+AF$58*2,1),IF(MID(IFERROR(INDEX(醫師週班表!$C$5:$T$44,$CU27,AF$57),""),3,1)="隔",IF(AF$58=0,LEFT(IFERROR(INDEX(醫師週班表!$C$5:$T$44,$CU27,AF$57),""),1),""),IF(MID(IFERROR(INDEX(醫師週班表!$C$5:$T$44,$CU27,AF$57),""),2,1)="(",LEFT(IFERROR(INDEX(醫師週班表!$C$5:$T$44,$CU27,AF$57),""),1),IFERROR(INDEX(醫師週班表!$C$5:$T$44,$CU27,AF$57),"")))))))</f>
        <v/>
      </c>
      <c r="AG27" s="68">
        <f>IF(AG$59="X","",IF(AG$59&lt;&gt;"",AG$59,IF(IFERROR(INDEX(醫師週班表!$C$5:$T$44,$CU27,AG$57),"")=0,"",IF(MID(IFERROR(INDEX(醫師週班表!$C$5:$T$44,$CU27,AG$57),""),2,1)="/",MID(IFERROR(INDEX(醫師週班表!$C$5:$T$44,$CU27,AG$57),""),1+AG$58*2,1),IF(MID(IFERROR(INDEX(醫師週班表!$C$5:$T$44,$CU27,AG$57),""),3,1)="隔",IF(AG$58=0,LEFT(IFERROR(INDEX(醫師週班表!$C$5:$T$44,$CU27,AG$57),""),1),""),IF(MID(IFERROR(INDEX(醫師週班表!$C$5:$T$44,$CU27,AG$57),""),2,1)="(",LEFT(IFERROR(INDEX(醫師週班表!$C$5:$T$44,$CU27,AG$57),""),1),IFERROR(INDEX(醫師週班表!$C$5:$T$44,$CU27,AG$57),"")))))))</f>
        <v/>
      </c>
      <c r="AH27" s="68">
        <f>IF(AH$59="X","",IF(AH$59&lt;&gt;"",AH$59,IF(IFERROR(INDEX(醫師週班表!$C$5:$T$44,$CU27,AH$57),"")=0,"",IF(MID(IFERROR(INDEX(醫師週班表!$C$5:$T$44,$CU27,AH$57),""),2,1)="/",MID(IFERROR(INDEX(醫師週班表!$C$5:$T$44,$CU27,AH$57),""),1+AH$58*2,1),IF(MID(IFERROR(INDEX(醫師週班表!$C$5:$T$44,$CU27,AH$57),""),3,1)="隔",IF(AH$58=0,LEFT(IFERROR(INDEX(醫師週班表!$C$5:$T$44,$CU27,AH$57),""),1),""),IF(MID(IFERROR(INDEX(醫師週班表!$C$5:$T$44,$CU27,AH$57),""),2,1)="(",LEFT(IFERROR(INDEX(醫師週班表!$C$5:$T$44,$CU27,AH$57),""),1),IFERROR(INDEX(醫師週班表!$C$5:$T$44,$CU27,AH$57),"")))))))</f>
        <v/>
      </c>
      <c r="AI27" s="67">
        <f>IF(AI$59="X","",IF(AI$59&lt;&gt;"",AI$59,IF(IFERROR(INDEX(醫師週班表!$C$5:$T$44,$CU27,AI$57),"")=0,"",IF(MID(IFERROR(INDEX(醫師週班表!$C$5:$T$44,$CU27,AI$57),""),2,1)="/",MID(IFERROR(INDEX(醫師週班表!$C$5:$T$44,$CU27,AI$57),""),1+AI$58*2,1),IF(MID(IFERROR(INDEX(醫師週班表!$C$5:$T$44,$CU27,AI$57),""),3,1)="隔",IF(AI$58=0,LEFT(IFERROR(INDEX(醫師週班表!$C$5:$T$44,$CU27,AI$57),""),1),""),IF(MID(IFERROR(INDEX(醫師週班表!$C$5:$T$44,$CU27,AI$57),""),2,1)="(",LEFT(IFERROR(INDEX(醫師週班表!$C$5:$T$44,$CU27,AI$57),""),1),IFERROR(INDEX(醫師週班表!$C$5:$T$44,$CU27,AI$57),"")))))))</f>
        <v/>
      </c>
      <c r="AJ27" s="68">
        <f>IF(AJ$59="X","",IF(AJ$59&lt;&gt;"",AJ$59,IF(IFERROR(INDEX(醫師週班表!$C$5:$T$44,$CU27,AJ$57),"")=0,"",IF(MID(IFERROR(INDEX(醫師週班表!$C$5:$T$44,$CU27,AJ$57),""),2,1)="/",MID(IFERROR(INDEX(醫師週班表!$C$5:$T$44,$CU27,AJ$57),""),1+AJ$58*2,1),IF(MID(IFERROR(INDEX(醫師週班表!$C$5:$T$44,$CU27,AJ$57),""),3,1)="隔",IF(AJ$58=0,LEFT(IFERROR(INDEX(醫師週班表!$C$5:$T$44,$CU27,AJ$57),""),1),""),IF(MID(IFERROR(INDEX(醫師週班表!$C$5:$T$44,$CU27,AJ$57),""),2,1)="(",LEFT(IFERROR(INDEX(醫師週班表!$C$5:$T$44,$CU27,AJ$57),""),1),IFERROR(INDEX(醫師週班表!$C$5:$T$44,$CU27,AJ$57),"")))))))</f>
        <v/>
      </c>
      <c r="AK27" s="68">
        <f>IF(AK$59="X","",IF(AK$59&lt;&gt;"",AK$59,IF(IFERROR(INDEX(醫師週班表!$C$5:$T$44,$CU27,AK$57),"")=0,"",IF(MID(IFERROR(INDEX(醫師週班表!$C$5:$T$44,$CU27,AK$57),""),2,1)="/",MID(IFERROR(INDEX(醫師週班表!$C$5:$T$44,$CU27,AK$57),""),1+AK$58*2,1),IF(MID(IFERROR(INDEX(醫師週班表!$C$5:$T$44,$CU27,AK$57),""),3,1)="隔",IF(AK$58=0,LEFT(IFERROR(INDEX(醫師週班表!$C$5:$T$44,$CU27,AK$57),""),1),""),IF(MID(IFERROR(INDEX(醫師週班表!$C$5:$T$44,$CU27,AK$57),""),2,1)="(",LEFT(IFERROR(INDEX(醫師週班表!$C$5:$T$44,$CU27,AK$57),""),1),IFERROR(INDEX(醫師週班表!$C$5:$T$44,$CU27,AK$57),"")))))))</f>
        <v/>
      </c>
      <c r="AL27" s="67">
        <f>IF(AL$59="X","",IF(AL$59&lt;&gt;"",AL$59,IF(IFERROR(INDEX(醫師週班表!$C$5:$T$44,$CU27,AL$57),"")=0,"",IF(MID(IFERROR(INDEX(醫師週班表!$C$5:$T$44,$CU27,AL$57),""),2,1)="/",MID(IFERROR(INDEX(醫師週班表!$C$5:$T$44,$CU27,AL$57),""),1+AL$58*2,1),IF(MID(IFERROR(INDEX(醫師週班表!$C$5:$T$44,$CU27,AL$57),""),3,1)="隔",IF(AL$58=0,LEFT(IFERROR(INDEX(醫師週班表!$C$5:$T$44,$CU27,AL$57),""),1),""),IF(MID(IFERROR(INDEX(醫師週班表!$C$5:$T$44,$CU27,AL$57),""),2,1)="(",LEFT(IFERROR(INDEX(醫師週班表!$C$5:$T$44,$CU27,AL$57),""),1),IFERROR(INDEX(醫師週班表!$C$5:$T$44,$CU27,AL$57),"")))))))</f>
        <v/>
      </c>
      <c r="AM27" s="68">
        <f>IF(AM$59="X","",IF(AM$59&lt;&gt;"",AM$59,IF(IFERROR(INDEX(醫師週班表!$C$5:$T$44,$CU27,AM$57),"")=0,"",IF(MID(IFERROR(INDEX(醫師週班表!$C$5:$T$44,$CU27,AM$57),""),2,1)="/",MID(IFERROR(INDEX(醫師週班表!$C$5:$T$44,$CU27,AM$57),""),1+AM$58*2,1),IF(MID(IFERROR(INDEX(醫師週班表!$C$5:$T$44,$CU27,AM$57),""),3,1)="隔",IF(AM$58=0,LEFT(IFERROR(INDEX(醫師週班表!$C$5:$T$44,$CU27,AM$57),""),1),""),IF(MID(IFERROR(INDEX(醫師週班表!$C$5:$T$44,$CU27,AM$57),""),2,1)="(",LEFT(IFERROR(INDEX(醫師週班表!$C$5:$T$44,$CU27,AM$57),""),1),IFERROR(INDEX(醫師週班表!$C$5:$T$44,$CU27,AM$57),"")))))))</f>
        <v/>
      </c>
      <c r="AN27" s="68">
        <f>IF(AN$59="X","",IF(AN$59&lt;&gt;"",AN$59,IF(IFERROR(INDEX(醫師週班表!$C$5:$T$44,$CU27,AN$57),"")=0,"",IF(MID(IFERROR(INDEX(醫師週班表!$C$5:$T$44,$CU27,AN$57),""),2,1)="/",MID(IFERROR(INDEX(醫師週班表!$C$5:$T$44,$CU27,AN$57),""),1+AN$58*2,1),IF(MID(IFERROR(INDEX(醫師週班表!$C$5:$T$44,$CU27,AN$57),""),3,1)="隔",IF(AN$58=0,LEFT(IFERROR(INDEX(醫師週班表!$C$5:$T$44,$CU27,AN$57),""),1),""),IF(MID(IFERROR(INDEX(醫師週班表!$C$5:$T$44,$CU27,AN$57),""),2,1)="(",LEFT(IFERROR(INDEX(醫師週班表!$C$5:$T$44,$CU27,AN$57),""),1),IFERROR(INDEX(醫師週班表!$C$5:$T$44,$CU27,AN$57),"")))))))</f>
        <v/>
      </c>
      <c r="AO27" s="67">
        <f>IF(AO$59="X","",IF(AO$59&lt;&gt;"",AO$59,IF(IFERROR(INDEX(醫師週班表!$C$5:$T$44,$CU27,AO$57),"")=0,"",IF(MID(IFERROR(INDEX(醫師週班表!$C$5:$T$44,$CU27,AO$57),""),2,1)="/",MID(IFERROR(INDEX(醫師週班表!$C$5:$T$44,$CU27,AO$57),""),1+AO$58*2,1),IF(MID(IFERROR(INDEX(醫師週班表!$C$5:$T$44,$CU27,AO$57),""),3,1)="隔",IF(AO$58=0,LEFT(IFERROR(INDEX(醫師週班表!$C$5:$T$44,$CU27,AO$57),""),1),""),IF(MID(IFERROR(INDEX(醫師週班表!$C$5:$T$44,$CU27,AO$57),""),2,1)="(",LEFT(IFERROR(INDEX(醫師週班表!$C$5:$T$44,$CU27,AO$57),""),1),IFERROR(INDEX(醫師週班表!$C$5:$T$44,$CU27,AO$57),"")))))))</f>
        <v/>
      </c>
      <c r="AP27" s="68">
        <f>IF(AP$59="X","",IF(AP$59&lt;&gt;"",AP$59,IF(IFERROR(INDEX(醫師週班表!$C$5:$T$44,$CU27,AP$57),"")=0,"",IF(MID(IFERROR(INDEX(醫師週班表!$C$5:$T$44,$CU27,AP$57),""),2,1)="/",MID(IFERROR(INDEX(醫師週班表!$C$5:$T$44,$CU27,AP$57),""),1+AP$58*2,1),IF(MID(IFERROR(INDEX(醫師週班表!$C$5:$T$44,$CU27,AP$57),""),3,1)="隔",IF(AP$58=0,LEFT(IFERROR(INDEX(醫師週班表!$C$5:$T$44,$CU27,AP$57),""),1),""),IF(MID(IFERROR(INDEX(醫師週班表!$C$5:$T$44,$CU27,AP$57),""),2,1)="(",LEFT(IFERROR(INDEX(醫師週班表!$C$5:$T$44,$CU27,AP$57),""),1),IFERROR(INDEX(醫師週班表!$C$5:$T$44,$CU27,AP$57),"")))))))</f>
        <v/>
      </c>
      <c r="AQ27" s="68">
        <f>IF(AQ$59="X","",IF(AQ$59&lt;&gt;"",AQ$59,IF(IFERROR(INDEX(醫師週班表!$C$5:$T$44,$CU27,AQ$57),"")=0,"",IF(MID(IFERROR(INDEX(醫師週班表!$C$5:$T$44,$CU27,AQ$57),""),2,1)="/",MID(IFERROR(INDEX(醫師週班表!$C$5:$T$44,$CU27,AQ$57),""),1+AQ$58*2,1),IF(MID(IFERROR(INDEX(醫師週班表!$C$5:$T$44,$CU27,AQ$57),""),3,1)="隔",IF(AQ$58=0,LEFT(IFERROR(INDEX(醫師週班表!$C$5:$T$44,$CU27,AQ$57),""),1),""),IF(MID(IFERROR(INDEX(醫師週班表!$C$5:$T$44,$CU27,AQ$57),""),2,1)="(",LEFT(IFERROR(INDEX(醫師週班表!$C$5:$T$44,$CU27,AQ$57),""),1),IFERROR(INDEX(醫師週班表!$C$5:$T$44,$CU27,AQ$57),"")))))))</f>
        <v/>
      </c>
      <c r="AR27" s="67">
        <f>IF(AR$59="X","",IF(AR$59&lt;&gt;"",AR$59,IF(IFERROR(INDEX(醫師週班表!$C$5:$T$44,$CU27,AR$57),"")=0,"",IF(MID(IFERROR(INDEX(醫師週班表!$C$5:$T$44,$CU27,AR$57),""),2,1)="/",MID(IFERROR(INDEX(醫師週班表!$C$5:$T$44,$CU27,AR$57),""),1+AR$58*2,1),IF(MID(IFERROR(INDEX(醫師週班表!$C$5:$T$44,$CU27,AR$57),""),3,1)="隔",IF(AR$58=0,LEFT(IFERROR(INDEX(醫師週班表!$C$5:$T$44,$CU27,AR$57),""),1),""),IF(MID(IFERROR(INDEX(醫師週班表!$C$5:$T$44,$CU27,AR$57),""),2,1)="(",LEFT(IFERROR(INDEX(醫師週班表!$C$5:$T$44,$CU27,AR$57),""),1),IFERROR(INDEX(醫師週班表!$C$5:$T$44,$CU27,AR$57),"")))))))</f>
        <v/>
      </c>
      <c r="AS27" s="68">
        <f>IF(AS$59="X","",IF(AS$59&lt;&gt;"",AS$59,IF(IFERROR(INDEX(醫師週班表!$C$5:$T$44,$CU27,AS$57),"")=0,"",IF(MID(IFERROR(INDEX(醫師週班表!$C$5:$T$44,$CU27,AS$57),""),2,1)="/",MID(IFERROR(INDEX(醫師週班表!$C$5:$T$44,$CU27,AS$57),""),1+AS$58*2,1),IF(MID(IFERROR(INDEX(醫師週班表!$C$5:$T$44,$CU27,AS$57),""),3,1)="隔",IF(AS$58=0,LEFT(IFERROR(INDEX(醫師週班表!$C$5:$T$44,$CU27,AS$57),""),1),""),IF(MID(IFERROR(INDEX(醫師週班表!$C$5:$T$44,$CU27,AS$57),""),2,1)="(",LEFT(IFERROR(INDEX(醫師週班表!$C$5:$T$44,$CU27,AS$57),""),1),IFERROR(INDEX(醫師週班表!$C$5:$T$44,$CU27,AS$57),"")))))))</f>
        <v/>
      </c>
      <c r="AT27" s="68">
        <f>IF(AT$59="X","",IF(AT$59&lt;&gt;"",AT$59,IF(IFERROR(INDEX(醫師週班表!$C$5:$T$44,$CU27,AT$57),"")=0,"",IF(MID(IFERROR(INDEX(醫師週班表!$C$5:$T$44,$CU27,AT$57),""),2,1)="/",MID(IFERROR(INDEX(醫師週班表!$C$5:$T$44,$CU27,AT$57),""),1+AT$58*2,1),IF(MID(IFERROR(INDEX(醫師週班表!$C$5:$T$44,$CU27,AT$57),""),3,1)="隔",IF(AT$58=0,LEFT(IFERROR(INDEX(醫師週班表!$C$5:$T$44,$CU27,AT$57),""),1),""),IF(MID(IFERROR(INDEX(醫師週班表!$C$5:$T$44,$CU27,AT$57),""),2,1)="(",LEFT(IFERROR(INDEX(醫師週班表!$C$5:$T$44,$CU27,AT$57),""),1),IFERROR(INDEX(醫師週班表!$C$5:$T$44,$CU27,AT$57),"")))))))</f>
        <v/>
      </c>
      <c r="AU27" s="67">
        <f>IF(AU$59="X","",IF(AU$59&lt;&gt;"",AU$59,IF(IFERROR(INDEX(醫師週班表!$C$5:$T$44,$CU27,AU$57),"")=0,"",IF(MID(IFERROR(INDEX(醫師週班表!$C$5:$T$44,$CU27,AU$57),""),2,1)="/",MID(IFERROR(INDEX(醫師週班表!$C$5:$T$44,$CU27,AU$57),""),1+AU$58*2,1),IF(MID(IFERROR(INDEX(醫師週班表!$C$5:$T$44,$CU27,AU$57),""),3,1)="隔",IF(AU$58=0,LEFT(IFERROR(INDEX(醫師週班表!$C$5:$T$44,$CU27,AU$57),""),1),""),IF(MID(IFERROR(INDEX(醫師週班表!$C$5:$T$44,$CU27,AU$57),""),2,1)="(",LEFT(IFERROR(INDEX(醫師週班表!$C$5:$T$44,$CU27,AU$57),""),1),IFERROR(INDEX(醫師週班表!$C$5:$T$44,$CU27,AU$57),"")))))))</f>
        <v/>
      </c>
      <c r="AV27" s="68">
        <f>IF(AV$59="X","",IF(AV$59&lt;&gt;"",AV$59,IF(IFERROR(INDEX(醫師週班表!$C$5:$T$44,$CU27,AV$57),"")=0,"",IF(MID(IFERROR(INDEX(醫師週班表!$C$5:$T$44,$CU27,AV$57),""),2,1)="/",MID(IFERROR(INDEX(醫師週班表!$C$5:$T$44,$CU27,AV$57),""),1+AV$58*2,1),IF(MID(IFERROR(INDEX(醫師週班表!$C$5:$T$44,$CU27,AV$57),""),3,1)="隔",IF(AV$58=0,LEFT(IFERROR(INDEX(醫師週班表!$C$5:$T$44,$CU27,AV$57),""),1),""),IF(MID(IFERROR(INDEX(醫師週班表!$C$5:$T$44,$CU27,AV$57),""),2,1)="(",LEFT(IFERROR(INDEX(醫師週班表!$C$5:$T$44,$CU27,AV$57),""),1),IFERROR(INDEX(醫師週班表!$C$5:$T$44,$CU27,AV$57),"")))))))</f>
        <v/>
      </c>
      <c r="AW27" s="68">
        <f>IF(AW$59="X","",IF(AW$59&lt;&gt;"",AW$59,IF(IFERROR(INDEX(醫師週班表!$C$5:$T$44,$CU27,AW$57),"")=0,"",IF(MID(IFERROR(INDEX(醫師週班表!$C$5:$T$44,$CU27,AW$57),""),2,1)="/",MID(IFERROR(INDEX(醫師週班表!$C$5:$T$44,$CU27,AW$57),""),1+AW$58*2,1),IF(MID(IFERROR(INDEX(醫師週班表!$C$5:$T$44,$CU27,AW$57),""),3,1)="隔",IF(AW$58=0,LEFT(IFERROR(INDEX(醫師週班表!$C$5:$T$44,$CU27,AW$57),""),1),""),IF(MID(IFERROR(INDEX(醫師週班表!$C$5:$T$44,$CU27,AW$57),""),2,1)="(",LEFT(IFERROR(INDEX(醫師週班表!$C$5:$T$44,$CU27,AW$57),""),1),IFERROR(INDEX(醫師週班表!$C$5:$T$44,$CU27,AW$57),"")))))))</f>
        <v/>
      </c>
      <c r="AX27" s="67">
        <f>IF(AX$59="X","",IF(AX$59&lt;&gt;"",AX$59,IF(IFERROR(INDEX(醫師週班表!$C$5:$T$44,$CU27,AX$57),"")=0,"",IF(MID(IFERROR(INDEX(醫師週班表!$C$5:$T$44,$CU27,AX$57),""),2,1)="/",MID(IFERROR(INDEX(醫師週班表!$C$5:$T$44,$CU27,AX$57),""),1+AX$58*2,1),IF(MID(IFERROR(INDEX(醫師週班表!$C$5:$T$44,$CU27,AX$57),""),3,1)="隔",IF(AX$58=0,LEFT(IFERROR(INDEX(醫師週班表!$C$5:$T$44,$CU27,AX$57),""),1),""),IF(MID(IFERROR(INDEX(醫師週班表!$C$5:$T$44,$CU27,AX$57),""),2,1)="(",LEFT(IFERROR(INDEX(醫師週班表!$C$5:$T$44,$CU27,AX$57),""),1),IFERROR(INDEX(醫師週班表!$C$5:$T$44,$CU27,AX$57),"")))))))</f>
        <v/>
      </c>
      <c r="AY27" s="68">
        <f>IF(AY$59="X","",IF(AY$59&lt;&gt;"",AY$59,IF(IFERROR(INDEX(醫師週班表!$C$5:$T$44,$CU27,AY$57),"")=0,"",IF(MID(IFERROR(INDEX(醫師週班表!$C$5:$T$44,$CU27,AY$57),""),2,1)="/",MID(IFERROR(INDEX(醫師週班表!$C$5:$T$44,$CU27,AY$57),""),1+AY$58*2,1),IF(MID(IFERROR(INDEX(醫師週班表!$C$5:$T$44,$CU27,AY$57),""),3,1)="隔",IF(AY$58=0,LEFT(IFERROR(INDEX(醫師週班表!$C$5:$T$44,$CU27,AY$57),""),1),""),IF(MID(IFERROR(INDEX(醫師週班表!$C$5:$T$44,$CU27,AY$57),""),2,1)="(",LEFT(IFERROR(INDEX(醫師週班表!$C$5:$T$44,$CU27,AY$57),""),1),IFERROR(INDEX(醫師週班表!$C$5:$T$44,$CU27,AY$57),"")))))))</f>
        <v/>
      </c>
      <c r="AZ27" s="68">
        <f>IF(AZ$59="X","",IF(AZ$59&lt;&gt;"",AZ$59,IF(IFERROR(INDEX(醫師週班表!$C$5:$T$44,$CU27,AZ$57),"")=0,"",IF(MID(IFERROR(INDEX(醫師週班表!$C$5:$T$44,$CU27,AZ$57),""),2,1)="/",MID(IFERROR(INDEX(醫師週班表!$C$5:$T$44,$CU27,AZ$57),""),1+AZ$58*2,1),IF(MID(IFERROR(INDEX(醫師週班表!$C$5:$T$44,$CU27,AZ$57),""),3,1)="隔",IF(AZ$58=0,LEFT(IFERROR(INDEX(醫師週班表!$C$5:$T$44,$CU27,AZ$57),""),1),""),IF(MID(IFERROR(INDEX(醫師週班表!$C$5:$T$44,$CU27,AZ$57),""),2,1)="(",LEFT(IFERROR(INDEX(醫師週班表!$C$5:$T$44,$CU27,AZ$57),""),1),IFERROR(INDEX(醫師週班表!$C$5:$T$44,$CU27,AZ$57),"")))))))</f>
        <v/>
      </c>
      <c r="BA27" s="67">
        <f>IF(BA$59="X","",IF(BA$59&lt;&gt;"",BA$59,IF(IFERROR(INDEX(醫師週班表!$C$5:$T$44,$CU27,BA$57),"")=0,"",IF(MID(IFERROR(INDEX(醫師週班表!$C$5:$T$44,$CU27,BA$57),""),2,1)="/",MID(IFERROR(INDEX(醫師週班表!$C$5:$T$44,$CU27,BA$57),""),1+BA$58*2,1),IF(MID(IFERROR(INDEX(醫師週班表!$C$5:$T$44,$CU27,BA$57),""),3,1)="隔",IF(BA$58=0,LEFT(IFERROR(INDEX(醫師週班表!$C$5:$T$44,$CU27,BA$57),""),1),""),IF(MID(IFERROR(INDEX(醫師週班表!$C$5:$T$44,$CU27,BA$57),""),2,1)="(",LEFT(IFERROR(INDEX(醫師週班表!$C$5:$T$44,$CU27,BA$57),""),1),IFERROR(INDEX(醫師週班表!$C$5:$T$44,$CU27,BA$57),"")))))))</f>
        <v/>
      </c>
      <c r="BB27" s="68">
        <f>IF(BB$59="X","",IF(BB$59&lt;&gt;"",BB$59,IF(IFERROR(INDEX(醫師週班表!$C$5:$T$44,$CU27,BB$57),"")=0,"",IF(MID(IFERROR(INDEX(醫師週班表!$C$5:$T$44,$CU27,BB$57),""),2,1)="/",MID(IFERROR(INDEX(醫師週班表!$C$5:$T$44,$CU27,BB$57),""),1+BB$58*2,1),IF(MID(IFERROR(INDEX(醫師週班表!$C$5:$T$44,$CU27,BB$57),""),3,1)="隔",IF(BB$58=0,LEFT(IFERROR(INDEX(醫師週班表!$C$5:$T$44,$CU27,BB$57),""),1),""),IF(MID(IFERROR(INDEX(醫師週班表!$C$5:$T$44,$CU27,BB$57),""),2,1)="(",LEFT(IFERROR(INDEX(醫師週班表!$C$5:$T$44,$CU27,BB$57),""),1),IFERROR(INDEX(醫師週班表!$C$5:$T$44,$CU27,BB$57),"")))))))</f>
        <v/>
      </c>
      <c r="BC27" s="68">
        <f>IF(BC$59="X","",IF(BC$59&lt;&gt;"",BC$59,IF(IFERROR(INDEX(醫師週班表!$C$5:$T$44,$CU27,BC$57),"")=0,"",IF(MID(IFERROR(INDEX(醫師週班表!$C$5:$T$44,$CU27,BC$57),""),2,1)="/",MID(IFERROR(INDEX(醫師週班表!$C$5:$T$44,$CU27,BC$57),""),1+BC$58*2,1),IF(MID(IFERROR(INDEX(醫師週班表!$C$5:$T$44,$CU27,BC$57),""),3,1)="隔",IF(BC$58=0,LEFT(IFERROR(INDEX(醫師週班表!$C$5:$T$44,$CU27,BC$57),""),1),""),IF(MID(IFERROR(INDEX(醫師週班表!$C$5:$T$44,$CU27,BC$57),""),2,1)="(",LEFT(IFERROR(INDEX(醫師週班表!$C$5:$T$44,$CU27,BC$57),""),1),IFERROR(INDEX(醫師週班表!$C$5:$T$44,$CU27,BC$57),"")))))))</f>
        <v/>
      </c>
      <c r="BD27" s="67">
        <f>IF(BD$59="X","",IF(BD$59&lt;&gt;"",BD$59,IF(IFERROR(INDEX(醫師週班表!$C$5:$T$44,$CU27,BD$57),"")=0,"",IF(MID(IFERROR(INDEX(醫師週班表!$C$5:$T$44,$CU27,BD$57),""),2,1)="/",MID(IFERROR(INDEX(醫師週班表!$C$5:$T$44,$CU27,BD$57),""),1+BD$58*2,1),IF(MID(IFERROR(INDEX(醫師週班表!$C$5:$T$44,$CU27,BD$57),""),3,1)="隔",IF(BD$58=0,LEFT(IFERROR(INDEX(醫師週班表!$C$5:$T$44,$CU27,BD$57),""),1),""),IF(MID(IFERROR(INDEX(醫師週班表!$C$5:$T$44,$CU27,BD$57),""),2,1)="(",LEFT(IFERROR(INDEX(醫師週班表!$C$5:$T$44,$CU27,BD$57),""),1),IFERROR(INDEX(醫師週班表!$C$5:$T$44,$CU27,BD$57),"")))))))</f>
        <v/>
      </c>
      <c r="BE27" s="68">
        <f>IF(BE$59="X","",IF(BE$59&lt;&gt;"",BE$59,IF(IFERROR(INDEX(醫師週班表!$C$5:$T$44,$CU27,BE$57),"")=0,"",IF(MID(IFERROR(INDEX(醫師週班表!$C$5:$T$44,$CU27,BE$57),""),2,1)="/",MID(IFERROR(INDEX(醫師週班表!$C$5:$T$44,$CU27,BE$57),""),1+BE$58*2,1),IF(MID(IFERROR(INDEX(醫師週班表!$C$5:$T$44,$CU27,BE$57),""),3,1)="隔",IF(BE$58=0,LEFT(IFERROR(INDEX(醫師週班表!$C$5:$T$44,$CU27,BE$57),""),1),""),IF(MID(IFERROR(INDEX(醫師週班表!$C$5:$T$44,$CU27,BE$57),""),2,1)="(",LEFT(IFERROR(INDEX(醫師週班表!$C$5:$T$44,$CU27,BE$57),""),1),IFERROR(INDEX(醫師週班表!$C$5:$T$44,$CU27,BE$57),"")))))))</f>
        <v/>
      </c>
      <c r="BF27" s="68">
        <f>IF(BF$59="X","",IF(BF$59&lt;&gt;"",BF$59,IF(IFERROR(INDEX(醫師週班表!$C$5:$T$44,$CU27,BF$57),"")=0,"",IF(MID(IFERROR(INDEX(醫師週班表!$C$5:$T$44,$CU27,BF$57),""),2,1)="/",MID(IFERROR(INDEX(醫師週班表!$C$5:$T$44,$CU27,BF$57),""),1+BF$58*2,1),IF(MID(IFERROR(INDEX(醫師週班表!$C$5:$T$44,$CU27,BF$57),""),3,1)="隔",IF(BF$58=0,LEFT(IFERROR(INDEX(醫師週班表!$C$5:$T$44,$CU27,BF$57),""),1),""),IF(MID(IFERROR(INDEX(醫師週班表!$C$5:$T$44,$CU27,BF$57),""),2,1)="(",LEFT(IFERROR(INDEX(醫師週班表!$C$5:$T$44,$CU27,BF$57),""),1),IFERROR(INDEX(醫師週班表!$C$5:$T$44,$CU27,BF$57),"")))))))</f>
        <v/>
      </c>
      <c r="BG27" s="67">
        <f>IF(BG$59="X","",IF(BG$59&lt;&gt;"",BG$59,IF(IFERROR(INDEX(醫師週班表!$C$5:$T$44,$CU27,BG$57),"")=0,"",IF(MID(IFERROR(INDEX(醫師週班表!$C$5:$T$44,$CU27,BG$57),""),2,1)="/",MID(IFERROR(INDEX(醫師週班表!$C$5:$T$44,$CU27,BG$57),""),1+BG$58*2,1),IF(MID(IFERROR(INDEX(醫師週班表!$C$5:$T$44,$CU27,BG$57),""),3,1)="隔",IF(BG$58=0,LEFT(IFERROR(INDEX(醫師週班表!$C$5:$T$44,$CU27,BG$57),""),1),""),IF(MID(IFERROR(INDEX(醫師週班表!$C$5:$T$44,$CU27,BG$57),""),2,1)="(",LEFT(IFERROR(INDEX(醫師週班表!$C$5:$T$44,$CU27,BG$57),""),1),IFERROR(INDEX(醫師週班表!$C$5:$T$44,$CU27,BG$57),"")))))))</f>
        <v/>
      </c>
      <c r="BH27" s="68">
        <f>IF(BH$59="X","",IF(BH$59&lt;&gt;"",BH$59,IF(IFERROR(INDEX(醫師週班表!$C$5:$T$44,$CU27,BH$57),"")=0,"",IF(MID(IFERROR(INDEX(醫師週班表!$C$5:$T$44,$CU27,BH$57),""),2,1)="/",MID(IFERROR(INDEX(醫師週班表!$C$5:$T$44,$CU27,BH$57),""),1+BH$58*2,1),IF(MID(IFERROR(INDEX(醫師週班表!$C$5:$T$44,$CU27,BH$57),""),3,1)="隔",IF(BH$58=0,LEFT(IFERROR(INDEX(醫師週班表!$C$5:$T$44,$CU27,BH$57),""),1),""),IF(MID(IFERROR(INDEX(醫師週班表!$C$5:$T$44,$CU27,BH$57),""),2,1)="(",LEFT(IFERROR(INDEX(醫師週班表!$C$5:$T$44,$CU27,BH$57),""),1),IFERROR(INDEX(醫師週班表!$C$5:$T$44,$CU27,BH$57),"")))))))</f>
        <v/>
      </c>
      <c r="BI27" s="68">
        <f>IF(BI$59="X","",IF(BI$59&lt;&gt;"",BI$59,IF(IFERROR(INDEX(醫師週班表!$C$5:$T$44,$CU27,BI$57),"")=0,"",IF(MID(IFERROR(INDEX(醫師週班表!$C$5:$T$44,$CU27,BI$57),""),2,1)="/",MID(IFERROR(INDEX(醫師週班表!$C$5:$T$44,$CU27,BI$57),""),1+BI$58*2,1),IF(MID(IFERROR(INDEX(醫師週班表!$C$5:$T$44,$CU27,BI$57),""),3,1)="隔",IF(BI$58=0,LEFT(IFERROR(INDEX(醫師週班表!$C$5:$T$44,$CU27,BI$57),""),1),""),IF(MID(IFERROR(INDEX(醫師週班表!$C$5:$T$44,$CU27,BI$57),""),2,1)="(",LEFT(IFERROR(INDEX(醫師週班表!$C$5:$T$44,$CU27,BI$57),""),1),IFERROR(INDEX(醫師週班表!$C$5:$T$44,$CU27,BI$57),"")))))))</f>
        <v/>
      </c>
      <c r="BJ27" s="67">
        <f>IF(BJ$59="X","",IF(BJ$59&lt;&gt;"",BJ$59,IF(IFERROR(INDEX(醫師週班表!$C$5:$T$44,$CU27,BJ$57),"")=0,"",IF(MID(IFERROR(INDEX(醫師週班表!$C$5:$T$44,$CU27,BJ$57),""),2,1)="/",MID(IFERROR(INDEX(醫師週班表!$C$5:$T$44,$CU27,BJ$57),""),1+BJ$58*2,1),IF(MID(IFERROR(INDEX(醫師週班表!$C$5:$T$44,$CU27,BJ$57),""),3,1)="隔",IF(BJ$58=0,LEFT(IFERROR(INDEX(醫師週班表!$C$5:$T$44,$CU27,BJ$57),""),1),""),IF(MID(IFERROR(INDEX(醫師週班表!$C$5:$T$44,$CU27,BJ$57),""),2,1)="(",LEFT(IFERROR(INDEX(醫師週班表!$C$5:$T$44,$CU27,BJ$57),""),1),IFERROR(INDEX(醫師週班表!$C$5:$T$44,$CU27,BJ$57),"")))))))</f>
        <v/>
      </c>
      <c r="BK27" s="68">
        <f>IF(BK$59="X","",IF(BK$59&lt;&gt;"",BK$59,IF(IFERROR(INDEX(醫師週班表!$C$5:$T$44,$CU27,BK$57),"")=0,"",IF(MID(IFERROR(INDEX(醫師週班表!$C$5:$T$44,$CU27,BK$57),""),2,1)="/",MID(IFERROR(INDEX(醫師週班表!$C$5:$T$44,$CU27,BK$57),""),1+BK$58*2,1),IF(MID(IFERROR(INDEX(醫師週班表!$C$5:$T$44,$CU27,BK$57),""),3,1)="隔",IF(BK$58=0,LEFT(IFERROR(INDEX(醫師週班表!$C$5:$T$44,$CU27,BK$57),""),1),""),IF(MID(IFERROR(INDEX(醫師週班表!$C$5:$T$44,$CU27,BK$57),""),2,1)="(",LEFT(IFERROR(INDEX(醫師週班表!$C$5:$T$44,$CU27,BK$57),""),1),IFERROR(INDEX(醫師週班表!$C$5:$T$44,$CU27,BK$57),"")))))))</f>
        <v/>
      </c>
      <c r="BL27" s="68">
        <f>IF(BL$59="X","",IF(BL$59&lt;&gt;"",BL$59,IF(IFERROR(INDEX(醫師週班表!$C$5:$T$44,$CU27,BL$57),"")=0,"",IF(MID(IFERROR(INDEX(醫師週班表!$C$5:$T$44,$CU27,BL$57),""),2,1)="/",MID(IFERROR(INDEX(醫師週班表!$C$5:$T$44,$CU27,BL$57),""),1+BL$58*2,1),IF(MID(IFERROR(INDEX(醫師週班表!$C$5:$T$44,$CU27,BL$57),""),3,1)="隔",IF(BL$58=0,LEFT(IFERROR(INDEX(醫師週班表!$C$5:$T$44,$CU27,BL$57),""),1),""),IF(MID(IFERROR(INDEX(醫師週班表!$C$5:$T$44,$CU27,BL$57),""),2,1)="(",LEFT(IFERROR(INDEX(醫師週班表!$C$5:$T$44,$CU27,BL$57),""),1),IFERROR(INDEX(醫師週班表!$C$5:$T$44,$CU27,BL$57),"")))))))</f>
        <v/>
      </c>
      <c r="BM27" s="67">
        <f>IF(BM$59="X","",IF(BM$59&lt;&gt;"",BM$59,IF(IFERROR(INDEX(醫師週班表!$C$5:$T$44,$CU27,BM$57),"")=0,"",IF(MID(IFERROR(INDEX(醫師週班表!$C$5:$T$44,$CU27,BM$57),""),2,1)="/",MID(IFERROR(INDEX(醫師週班表!$C$5:$T$44,$CU27,BM$57),""),1+BM$58*2,1),IF(MID(IFERROR(INDEX(醫師週班表!$C$5:$T$44,$CU27,BM$57),""),3,1)="隔",IF(BM$58=0,LEFT(IFERROR(INDEX(醫師週班表!$C$5:$T$44,$CU27,BM$57),""),1),""),IF(MID(IFERROR(INDEX(醫師週班表!$C$5:$T$44,$CU27,BM$57),""),2,1)="(",LEFT(IFERROR(INDEX(醫師週班表!$C$5:$T$44,$CU27,BM$57),""),1),IFERROR(INDEX(醫師週班表!$C$5:$T$44,$CU27,BM$57),"")))))))</f>
        <v/>
      </c>
      <c r="BN27" s="68">
        <f>IF(BN$59="X","",IF(BN$59&lt;&gt;"",BN$59,IF(IFERROR(INDEX(醫師週班表!$C$5:$T$44,$CU27,BN$57),"")=0,"",IF(MID(IFERROR(INDEX(醫師週班表!$C$5:$T$44,$CU27,BN$57),""),2,1)="/",MID(IFERROR(INDEX(醫師週班表!$C$5:$T$44,$CU27,BN$57),""),1+BN$58*2,1),IF(MID(IFERROR(INDEX(醫師週班表!$C$5:$T$44,$CU27,BN$57),""),3,1)="隔",IF(BN$58=0,LEFT(IFERROR(INDEX(醫師週班表!$C$5:$T$44,$CU27,BN$57),""),1),""),IF(MID(IFERROR(INDEX(醫師週班表!$C$5:$T$44,$CU27,BN$57),""),2,1)="(",LEFT(IFERROR(INDEX(醫師週班表!$C$5:$T$44,$CU27,BN$57),""),1),IFERROR(INDEX(醫師週班表!$C$5:$T$44,$CU27,BN$57),"")))))))</f>
        <v/>
      </c>
      <c r="BO27" s="68">
        <f>IF(BO$59="X","",IF(BO$59&lt;&gt;"",BO$59,IF(IFERROR(INDEX(醫師週班表!$C$5:$T$44,$CU27,BO$57),"")=0,"",IF(MID(IFERROR(INDEX(醫師週班表!$C$5:$T$44,$CU27,BO$57),""),2,1)="/",MID(IFERROR(INDEX(醫師週班表!$C$5:$T$44,$CU27,BO$57),""),1+BO$58*2,1),IF(MID(IFERROR(INDEX(醫師週班表!$C$5:$T$44,$CU27,BO$57),""),3,1)="隔",IF(BO$58=0,LEFT(IFERROR(INDEX(醫師週班表!$C$5:$T$44,$CU27,BO$57),""),1),""),IF(MID(IFERROR(INDEX(醫師週班表!$C$5:$T$44,$CU27,BO$57),""),2,1)="(",LEFT(IFERROR(INDEX(醫師週班表!$C$5:$T$44,$CU27,BO$57),""),1),IFERROR(INDEX(醫師週班表!$C$5:$T$44,$CU27,BO$57),"")))))))</f>
        <v/>
      </c>
      <c r="BP27" s="67">
        <f>IF(BP$59="X","",IF(BP$59&lt;&gt;"",BP$59,IF(IFERROR(INDEX(醫師週班表!$C$5:$T$44,$CU27,BP$57),"")=0,"",IF(MID(IFERROR(INDEX(醫師週班表!$C$5:$T$44,$CU27,BP$57),""),2,1)="/",MID(IFERROR(INDEX(醫師週班表!$C$5:$T$44,$CU27,BP$57),""),1+BP$58*2,1),IF(MID(IFERROR(INDEX(醫師週班表!$C$5:$T$44,$CU27,BP$57),""),3,1)="隔",IF(BP$58=0,LEFT(IFERROR(INDEX(醫師週班表!$C$5:$T$44,$CU27,BP$57),""),1),""),IF(MID(IFERROR(INDEX(醫師週班表!$C$5:$T$44,$CU27,BP$57),""),2,1)="(",LEFT(IFERROR(INDEX(醫師週班表!$C$5:$T$44,$CU27,BP$57),""),1),IFERROR(INDEX(醫師週班表!$C$5:$T$44,$CU27,BP$57),"")))))))</f>
        <v/>
      </c>
      <c r="BQ27" s="68">
        <f>IF(BQ$59="X","",IF(BQ$59&lt;&gt;"",BQ$59,IF(IFERROR(INDEX(醫師週班表!$C$5:$T$44,$CU27,BQ$57),"")=0,"",IF(MID(IFERROR(INDEX(醫師週班表!$C$5:$T$44,$CU27,BQ$57),""),2,1)="/",MID(IFERROR(INDEX(醫師週班表!$C$5:$T$44,$CU27,BQ$57),""),1+BQ$58*2,1),IF(MID(IFERROR(INDEX(醫師週班表!$C$5:$T$44,$CU27,BQ$57),""),3,1)="隔",IF(BQ$58=0,LEFT(IFERROR(INDEX(醫師週班表!$C$5:$T$44,$CU27,BQ$57),""),1),""),IF(MID(IFERROR(INDEX(醫師週班表!$C$5:$T$44,$CU27,BQ$57),""),2,1)="(",LEFT(IFERROR(INDEX(醫師週班表!$C$5:$T$44,$CU27,BQ$57),""),1),IFERROR(INDEX(醫師週班表!$C$5:$T$44,$CU27,BQ$57),"")))))))</f>
        <v/>
      </c>
      <c r="BR27" s="68">
        <f>IF(BR$59="X","",IF(BR$59&lt;&gt;"",BR$59,IF(IFERROR(INDEX(醫師週班表!$C$5:$T$44,$CU27,BR$57),"")=0,"",IF(MID(IFERROR(INDEX(醫師週班表!$C$5:$T$44,$CU27,BR$57),""),2,1)="/",MID(IFERROR(INDEX(醫師週班表!$C$5:$T$44,$CU27,BR$57),""),1+BR$58*2,1),IF(MID(IFERROR(INDEX(醫師週班表!$C$5:$T$44,$CU27,BR$57),""),3,1)="隔",IF(BR$58=0,LEFT(IFERROR(INDEX(醫師週班表!$C$5:$T$44,$CU27,BR$57),""),1),""),IF(MID(IFERROR(INDEX(醫師週班表!$C$5:$T$44,$CU27,BR$57),""),2,1)="(",LEFT(IFERROR(INDEX(醫師週班表!$C$5:$T$44,$CU27,BR$57),""),1),IFERROR(INDEX(醫師週班表!$C$5:$T$44,$CU27,BR$57),"")))))))</f>
        <v/>
      </c>
      <c r="BS27" s="67">
        <f>IF(BS$59="X","",IF(BS$59&lt;&gt;"",BS$59,IF(IFERROR(INDEX(醫師週班表!$C$5:$T$44,$CU27,BS$57),"")=0,"",IF(MID(IFERROR(INDEX(醫師週班表!$C$5:$T$44,$CU27,BS$57),""),2,1)="/",MID(IFERROR(INDEX(醫師週班表!$C$5:$T$44,$CU27,BS$57),""),1+BS$58*2,1),IF(MID(IFERROR(INDEX(醫師週班表!$C$5:$T$44,$CU27,BS$57),""),3,1)="隔",IF(BS$58=0,LEFT(IFERROR(INDEX(醫師週班表!$C$5:$T$44,$CU27,BS$57),""),1),""),IF(MID(IFERROR(INDEX(醫師週班表!$C$5:$T$44,$CU27,BS$57),""),2,1)="(",LEFT(IFERROR(INDEX(醫師週班表!$C$5:$T$44,$CU27,BS$57),""),1),IFERROR(INDEX(醫師週班表!$C$5:$T$44,$CU27,BS$57),"")))))))</f>
        <v/>
      </c>
      <c r="BT27" s="68">
        <f>IF(BT$59="X","",IF(BT$59&lt;&gt;"",BT$59,IF(IFERROR(INDEX(醫師週班表!$C$5:$T$44,$CU27,BT$57),"")=0,"",IF(MID(IFERROR(INDEX(醫師週班表!$C$5:$T$44,$CU27,BT$57),""),2,1)="/",MID(IFERROR(INDEX(醫師週班表!$C$5:$T$44,$CU27,BT$57),""),1+BT$58*2,1),IF(MID(IFERROR(INDEX(醫師週班表!$C$5:$T$44,$CU27,BT$57),""),3,1)="隔",IF(BT$58=0,LEFT(IFERROR(INDEX(醫師週班表!$C$5:$T$44,$CU27,BT$57),""),1),""),IF(MID(IFERROR(INDEX(醫師週班表!$C$5:$T$44,$CU27,BT$57),""),2,1)="(",LEFT(IFERROR(INDEX(醫師週班表!$C$5:$T$44,$CU27,BT$57),""),1),IFERROR(INDEX(醫師週班表!$C$5:$T$44,$CU27,BT$57),"")))))))</f>
        <v/>
      </c>
      <c r="BU27" s="68">
        <f>IF(BU$59="X","",IF(BU$59&lt;&gt;"",BU$59,IF(IFERROR(INDEX(醫師週班表!$C$5:$T$44,$CU27,BU$57),"")=0,"",IF(MID(IFERROR(INDEX(醫師週班表!$C$5:$T$44,$CU27,BU$57),""),2,1)="/",MID(IFERROR(INDEX(醫師週班表!$C$5:$T$44,$CU27,BU$57),""),1+BU$58*2,1),IF(MID(IFERROR(INDEX(醫師週班表!$C$5:$T$44,$CU27,BU$57),""),3,1)="隔",IF(BU$58=0,LEFT(IFERROR(INDEX(醫師週班表!$C$5:$T$44,$CU27,BU$57),""),1),""),IF(MID(IFERROR(INDEX(醫師週班表!$C$5:$T$44,$CU27,BU$57),""),2,1)="(",LEFT(IFERROR(INDEX(醫師週班表!$C$5:$T$44,$CU27,BU$57),""),1),IFERROR(INDEX(醫師週班表!$C$5:$T$44,$CU27,BU$57),"")))))))</f>
        <v/>
      </c>
      <c r="BV27" s="67">
        <f>IF(BV$59="X","",IF(BV$59&lt;&gt;"",BV$59,IF(IFERROR(INDEX(醫師週班表!$C$5:$T$44,$CU27,BV$57),"")=0,"",IF(MID(IFERROR(INDEX(醫師週班表!$C$5:$T$44,$CU27,BV$57),""),2,1)="/",MID(IFERROR(INDEX(醫師週班表!$C$5:$T$44,$CU27,BV$57),""),1+BV$58*2,1),IF(MID(IFERROR(INDEX(醫師週班表!$C$5:$T$44,$CU27,BV$57),""),3,1)="隔",IF(BV$58=0,LEFT(IFERROR(INDEX(醫師週班表!$C$5:$T$44,$CU27,BV$57),""),1),""),IF(MID(IFERROR(INDEX(醫師週班表!$C$5:$T$44,$CU27,BV$57),""),2,1)="(",LEFT(IFERROR(INDEX(醫師週班表!$C$5:$T$44,$CU27,BV$57),""),1),IFERROR(INDEX(醫師週班表!$C$5:$T$44,$CU27,BV$57),"")))))))</f>
        <v/>
      </c>
      <c r="BW27" s="68">
        <f>IF(BW$59="X","",IF(BW$59&lt;&gt;"",BW$59,IF(IFERROR(INDEX(醫師週班表!$C$5:$T$44,$CU27,BW$57),"")=0,"",IF(MID(IFERROR(INDEX(醫師週班表!$C$5:$T$44,$CU27,BW$57),""),2,1)="/",MID(IFERROR(INDEX(醫師週班表!$C$5:$T$44,$CU27,BW$57),""),1+BW$58*2,1),IF(MID(IFERROR(INDEX(醫師週班表!$C$5:$T$44,$CU27,BW$57),""),3,1)="隔",IF(BW$58=0,LEFT(IFERROR(INDEX(醫師週班表!$C$5:$T$44,$CU27,BW$57),""),1),""),IF(MID(IFERROR(INDEX(醫師週班表!$C$5:$T$44,$CU27,BW$57),""),2,1)="(",LEFT(IFERROR(INDEX(醫師週班表!$C$5:$T$44,$CU27,BW$57),""),1),IFERROR(INDEX(醫師週班表!$C$5:$T$44,$CU27,BW$57),"")))))))</f>
        <v/>
      </c>
      <c r="BX27" s="68">
        <f>IF(BX$59="X","",IF(BX$59&lt;&gt;"",BX$59,IF(IFERROR(INDEX(醫師週班表!$C$5:$T$44,$CU27,BX$57),"")=0,"",IF(MID(IFERROR(INDEX(醫師週班表!$C$5:$T$44,$CU27,BX$57),""),2,1)="/",MID(IFERROR(INDEX(醫師週班表!$C$5:$T$44,$CU27,BX$57),""),1+BX$58*2,1),IF(MID(IFERROR(INDEX(醫師週班表!$C$5:$T$44,$CU27,BX$57),""),3,1)="隔",IF(BX$58=0,LEFT(IFERROR(INDEX(醫師週班表!$C$5:$T$44,$CU27,BX$57),""),1),""),IF(MID(IFERROR(INDEX(醫師週班表!$C$5:$T$44,$CU27,BX$57),""),2,1)="(",LEFT(IFERROR(INDEX(醫師週班表!$C$5:$T$44,$CU27,BX$57),""),1),IFERROR(INDEX(醫師週班表!$C$5:$T$44,$CU27,BX$57),"")))))))</f>
        <v/>
      </c>
      <c r="BY27" s="67">
        <f>IF(BY$59="X","",IF(BY$59&lt;&gt;"",BY$59,IF(IFERROR(INDEX(醫師週班表!$C$5:$T$44,$CU27,BY$57),"")=0,"",IF(MID(IFERROR(INDEX(醫師週班表!$C$5:$T$44,$CU27,BY$57),""),2,1)="/",MID(IFERROR(INDEX(醫師週班表!$C$5:$T$44,$CU27,BY$57),""),1+BY$58*2,1),IF(MID(IFERROR(INDEX(醫師週班表!$C$5:$T$44,$CU27,BY$57),""),3,1)="隔",IF(BY$58=0,LEFT(IFERROR(INDEX(醫師週班表!$C$5:$T$44,$CU27,BY$57),""),1),""),IF(MID(IFERROR(INDEX(醫師週班表!$C$5:$T$44,$CU27,BY$57),""),2,1)="(",LEFT(IFERROR(INDEX(醫師週班表!$C$5:$T$44,$CU27,BY$57),""),1),IFERROR(INDEX(醫師週班表!$C$5:$T$44,$CU27,BY$57),"")))))))</f>
        <v/>
      </c>
      <c r="BZ27" s="68">
        <f>IF(BZ$59="X","",IF(BZ$59&lt;&gt;"",BZ$59,IF(IFERROR(INDEX(醫師週班表!$C$5:$T$44,$CU27,BZ$57),"")=0,"",IF(MID(IFERROR(INDEX(醫師週班表!$C$5:$T$44,$CU27,BZ$57),""),2,1)="/",MID(IFERROR(INDEX(醫師週班表!$C$5:$T$44,$CU27,BZ$57),""),1+BZ$58*2,1),IF(MID(IFERROR(INDEX(醫師週班表!$C$5:$T$44,$CU27,BZ$57),""),3,1)="隔",IF(BZ$58=0,LEFT(IFERROR(INDEX(醫師週班表!$C$5:$T$44,$CU27,BZ$57),""),1),""),IF(MID(IFERROR(INDEX(醫師週班表!$C$5:$T$44,$CU27,BZ$57),""),2,1)="(",LEFT(IFERROR(INDEX(醫師週班表!$C$5:$T$44,$CU27,BZ$57),""),1),IFERROR(INDEX(醫師週班表!$C$5:$T$44,$CU27,BZ$57),"")))))))</f>
        <v/>
      </c>
      <c r="CA27" s="68">
        <f>IF(CA$59="X","",IF(CA$59&lt;&gt;"",CA$59,IF(IFERROR(INDEX(醫師週班表!$C$5:$T$44,$CU27,CA$57),"")=0,"",IF(MID(IFERROR(INDEX(醫師週班表!$C$5:$T$44,$CU27,CA$57),""),2,1)="/",MID(IFERROR(INDEX(醫師週班表!$C$5:$T$44,$CU27,CA$57),""),1+CA$58*2,1),IF(MID(IFERROR(INDEX(醫師週班表!$C$5:$T$44,$CU27,CA$57),""),3,1)="隔",IF(CA$58=0,LEFT(IFERROR(INDEX(醫師週班表!$C$5:$T$44,$CU27,CA$57),""),1),""),IF(MID(IFERROR(INDEX(醫師週班表!$C$5:$T$44,$CU27,CA$57),""),2,1)="(",LEFT(IFERROR(INDEX(醫師週班表!$C$5:$T$44,$CU27,CA$57),""),1),IFERROR(INDEX(醫師週班表!$C$5:$T$44,$CU27,CA$57),"")))))))</f>
        <v/>
      </c>
      <c r="CB27" s="67">
        <f>IF(CB$59="X","",IF(CB$59&lt;&gt;"",CB$59,IF(IFERROR(INDEX(醫師週班表!$C$5:$T$44,$CU27,CB$57),"")=0,"",IF(MID(IFERROR(INDEX(醫師週班表!$C$5:$T$44,$CU27,CB$57),""),2,1)="/",MID(IFERROR(INDEX(醫師週班表!$C$5:$T$44,$CU27,CB$57),""),1+CB$58*2,1),IF(MID(IFERROR(INDEX(醫師週班表!$C$5:$T$44,$CU27,CB$57),""),3,1)="隔",IF(CB$58=0,LEFT(IFERROR(INDEX(醫師週班表!$C$5:$T$44,$CU27,CB$57),""),1),""),IF(MID(IFERROR(INDEX(醫師週班表!$C$5:$T$44,$CU27,CB$57),""),2,1)="(",LEFT(IFERROR(INDEX(醫師週班表!$C$5:$T$44,$CU27,CB$57),""),1),IFERROR(INDEX(醫師週班表!$C$5:$T$44,$CU27,CB$57),"")))))))</f>
        <v/>
      </c>
      <c r="CC27" s="68">
        <f>IF(CC$59="X","",IF(CC$59&lt;&gt;"",CC$59,IF(IFERROR(INDEX(醫師週班表!$C$5:$T$44,$CU27,CC$57),"")=0,"",IF(MID(IFERROR(INDEX(醫師週班表!$C$5:$T$44,$CU27,CC$57),""),2,1)="/",MID(IFERROR(INDEX(醫師週班表!$C$5:$T$44,$CU27,CC$57),""),1+CC$58*2,1),IF(MID(IFERROR(INDEX(醫師週班表!$C$5:$T$44,$CU27,CC$57),""),3,1)="隔",IF(CC$58=0,LEFT(IFERROR(INDEX(醫師週班表!$C$5:$T$44,$CU27,CC$57),""),1),""),IF(MID(IFERROR(INDEX(醫師週班表!$C$5:$T$44,$CU27,CC$57),""),2,1)="(",LEFT(IFERROR(INDEX(醫師週班表!$C$5:$T$44,$CU27,CC$57),""),1),IFERROR(INDEX(醫師週班表!$C$5:$T$44,$CU27,CC$57),"")))))))</f>
        <v/>
      </c>
      <c r="CD27" s="68">
        <f>IF(CD$59="X","",IF(CD$59&lt;&gt;"",CD$59,IF(IFERROR(INDEX(醫師週班表!$C$5:$T$44,$CU27,CD$57),"")=0,"",IF(MID(IFERROR(INDEX(醫師週班表!$C$5:$T$44,$CU27,CD$57),""),2,1)="/",MID(IFERROR(INDEX(醫師週班表!$C$5:$T$44,$CU27,CD$57),""),1+CD$58*2,1),IF(MID(IFERROR(INDEX(醫師週班表!$C$5:$T$44,$CU27,CD$57),""),3,1)="隔",IF(CD$58=0,LEFT(IFERROR(INDEX(醫師週班表!$C$5:$T$44,$CU27,CD$57),""),1),""),IF(MID(IFERROR(INDEX(醫師週班表!$C$5:$T$44,$CU27,CD$57),""),2,1)="(",LEFT(IFERROR(INDEX(醫師週班表!$C$5:$T$44,$CU27,CD$57),""),1),IFERROR(INDEX(醫師週班表!$C$5:$T$44,$CU27,CD$57),"")))))))</f>
        <v/>
      </c>
      <c r="CE27" s="67">
        <f>IF(CE$59="X","",IF(CE$59&lt;&gt;"",CE$59,IF(IFERROR(INDEX(醫師週班表!$C$5:$T$44,$CU27,CE$57),"")=0,"",IF(MID(IFERROR(INDEX(醫師週班表!$C$5:$T$44,$CU27,CE$57),""),2,1)="/",MID(IFERROR(INDEX(醫師週班表!$C$5:$T$44,$CU27,CE$57),""),1+CE$58*2,1),IF(MID(IFERROR(INDEX(醫師週班表!$C$5:$T$44,$CU27,CE$57),""),3,1)="隔",IF(CE$58=0,LEFT(IFERROR(INDEX(醫師週班表!$C$5:$T$44,$CU27,CE$57),""),1),""),IF(MID(IFERROR(INDEX(醫師週班表!$C$5:$T$44,$CU27,CE$57),""),2,1)="(",LEFT(IFERROR(INDEX(醫師週班表!$C$5:$T$44,$CU27,CE$57),""),1),IFERROR(INDEX(醫師週班表!$C$5:$T$44,$CU27,CE$57),"")))))))</f>
        <v/>
      </c>
      <c r="CF27" s="68">
        <f>IF(CF$59="X","",IF(CF$59&lt;&gt;"",CF$59,IF(IFERROR(INDEX(醫師週班表!$C$5:$T$44,$CU27,CF$57),"")=0,"",IF(MID(IFERROR(INDEX(醫師週班表!$C$5:$T$44,$CU27,CF$57),""),2,1)="/",MID(IFERROR(INDEX(醫師週班表!$C$5:$T$44,$CU27,CF$57),""),1+CF$58*2,1),IF(MID(IFERROR(INDEX(醫師週班表!$C$5:$T$44,$CU27,CF$57),""),3,1)="隔",IF(CF$58=0,LEFT(IFERROR(INDEX(醫師週班表!$C$5:$T$44,$CU27,CF$57),""),1),""),IF(MID(IFERROR(INDEX(醫師週班表!$C$5:$T$44,$CU27,CF$57),""),2,1)="(",LEFT(IFERROR(INDEX(醫師週班表!$C$5:$T$44,$CU27,CF$57),""),1),IFERROR(INDEX(醫師週班表!$C$5:$T$44,$CU27,CF$57),"")))))))</f>
        <v/>
      </c>
      <c r="CG27" s="68">
        <f>IF(CG$59="X","",IF(CG$59&lt;&gt;"",CG$59,IF(IFERROR(INDEX(醫師週班表!$C$5:$T$44,$CU27,CG$57),"")=0,"",IF(MID(IFERROR(INDEX(醫師週班表!$C$5:$T$44,$CU27,CG$57),""),2,1)="/",MID(IFERROR(INDEX(醫師週班表!$C$5:$T$44,$CU27,CG$57),""),1+CG$58*2,1),IF(MID(IFERROR(INDEX(醫師週班表!$C$5:$T$44,$CU27,CG$57),""),3,1)="隔",IF(CG$58=0,LEFT(IFERROR(INDEX(醫師週班表!$C$5:$T$44,$CU27,CG$57),""),1),""),IF(MID(IFERROR(INDEX(醫師週班表!$C$5:$T$44,$CU27,CG$57),""),2,1)="(",LEFT(IFERROR(INDEX(醫師週班表!$C$5:$T$44,$CU27,CG$57),""),1),IFERROR(INDEX(醫師週班表!$C$5:$T$44,$CU27,CG$57),"")))))))</f>
        <v/>
      </c>
      <c r="CH27" s="67">
        <f>IF(CH$59="X","",IF(CH$59&lt;&gt;"",CH$59,IF(IFERROR(INDEX(醫師週班表!$C$5:$T$44,$CU27,CH$57),"")=0,"",IF(MID(IFERROR(INDEX(醫師週班表!$C$5:$T$44,$CU27,CH$57),""),2,1)="/",MID(IFERROR(INDEX(醫師週班表!$C$5:$T$44,$CU27,CH$57),""),1+CH$58*2,1),IF(MID(IFERROR(INDEX(醫師週班表!$C$5:$T$44,$CU27,CH$57),""),3,1)="隔",IF(CH$58=0,LEFT(IFERROR(INDEX(醫師週班表!$C$5:$T$44,$CU27,CH$57),""),1),""),IF(MID(IFERROR(INDEX(醫師週班表!$C$5:$T$44,$CU27,CH$57),""),2,1)="(",LEFT(IFERROR(INDEX(醫師週班表!$C$5:$T$44,$CU27,CH$57),""),1),IFERROR(INDEX(醫師週班表!$C$5:$T$44,$CU27,CH$57),"")))))))</f>
        <v/>
      </c>
      <c r="CI27" s="68">
        <f>IF(CI$59="X","",IF(CI$59&lt;&gt;"",CI$59,IF(IFERROR(INDEX(醫師週班表!$C$5:$T$44,$CU27,CI$57),"")=0,"",IF(MID(IFERROR(INDEX(醫師週班表!$C$5:$T$44,$CU27,CI$57),""),2,1)="/",MID(IFERROR(INDEX(醫師週班表!$C$5:$T$44,$CU27,CI$57),""),1+CI$58*2,1),IF(MID(IFERROR(INDEX(醫師週班表!$C$5:$T$44,$CU27,CI$57),""),3,1)="隔",IF(CI$58=0,LEFT(IFERROR(INDEX(醫師週班表!$C$5:$T$44,$CU27,CI$57),""),1),""),IF(MID(IFERROR(INDEX(醫師週班表!$C$5:$T$44,$CU27,CI$57),""),2,1)="(",LEFT(IFERROR(INDEX(醫師週班表!$C$5:$T$44,$CU27,CI$57),""),1),IFERROR(INDEX(醫師週班表!$C$5:$T$44,$CU27,CI$57),"")))))))</f>
        <v/>
      </c>
      <c r="CJ27" s="68">
        <f>IF(CJ$59="X","",IF(CJ$59&lt;&gt;"",CJ$59,IF(IFERROR(INDEX(醫師週班表!$C$5:$T$44,$CU27,CJ$57),"")=0,"",IF(MID(IFERROR(INDEX(醫師週班表!$C$5:$T$44,$CU27,CJ$57),""),2,1)="/",MID(IFERROR(INDEX(醫師週班表!$C$5:$T$44,$CU27,CJ$57),""),1+CJ$58*2,1),IF(MID(IFERROR(INDEX(醫師週班表!$C$5:$T$44,$CU27,CJ$57),""),3,1)="隔",IF(CJ$58=0,LEFT(IFERROR(INDEX(醫師週班表!$C$5:$T$44,$CU27,CJ$57),""),1),""),IF(MID(IFERROR(INDEX(醫師週班表!$C$5:$T$44,$CU27,CJ$57),""),2,1)="(",LEFT(IFERROR(INDEX(醫師週班表!$C$5:$T$44,$CU27,CJ$57),""),1),IFERROR(INDEX(醫師週班表!$C$5:$T$44,$CU27,CJ$57),"")))))))</f>
        <v/>
      </c>
      <c r="CK27" s="67">
        <f>IF(CK$59="X","",IF(CK$59&lt;&gt;"",CK$59,IF(IFERROR(INDEX(醫師週班表!$C$5:$T$44,$CU27,CK$57),"")=0,"",IF(MID(IFERROR(INDEX(醫師週班表!$C$5:$T$44,$CU27,CK$57),""),2,1)="/",MID(IFERROR(INDEX(醫師週班表!$C$5:$T$44,$CU27,CK$57),""),1+CK$58*2,1),IF(MID(IFERROR(INDEX(醫師週班表!$C$5:$T$44,$CU27,CK$57),""),3,1)="隔",IF(CK$58=0,LEFT(IFERROR(INDEX(醫師週班表!$C$5:$T$44,$CU27,CK$57),""),1),""),IF(MID(IFERROR(INDEX(醫師週班表!$C$5:$T$44,$CU27,CK$57),""),2,1)="(",LEFT(IFERROR(INDEX(醫師週班表!$C$5:$T$44,$CU27,CK$57),""),1),IFERROR(INDEX(醫師週班表!$C$5:$T$44,$CU27,CK$57),"")))))))</f>
        <v/>
      </c>
      <c r="CL27" s="68">
        <f>IF(CL$59="X","",IF(CL$59&lt;&gt;"",CL$59,IF(IFERROR(INDEX(醫師週班表!$C$5:$T$44,$CU27,CL$57),"")=0,"",IF(MID(IFERROR(INDEX(醫師週班表!$C$5:$T$44,$CU27,CL$57),""),2,1)="/",MID(IFERROR(INDEX(醫師週班表!$C$5:$T$44,$CU27,CL$57),""),1+CL$58*2,1),IF(MID(IFERROR(INDEX(醫師週班表!$C$5:$T$44,$CU27,CL$57),""),3,1)="隔",IF(CL$58=0,LEFT(IFERROR(INDEX(醫師週班表!$C$5:$T$44,$CU27,CL$57),""),1),""),IF(MID(IFERROR(INDEX(醫師週班表!$C$5:$T$44,$CU27,CL$57),""),2,1)="(",LEFT(IFERROR(INDEX(醫師週班表!$C$5:$T$44,$CU27,CL$57),""),1),IFERROR(INDEX(醫師週班表!$C$5:$T$44,$CU27,CL$57),"")))))))</f>
        <v/>
      </c>
      <c r="CM27" s="68">
        <f>IF(CM$59="X","",IF(CM$59&lt;&gt;"",CM$59,IF(IFERROR(INDEX(醫師週班表!$C$5:$T$44,$CU27,CM$57),"")=0,"",IF(MID(IFERROR(INDEX(醫師週班表!$C$5:$T$44,$CU27,CM$57),""),2,1)="/",MID(IFERROR(INDEX(醫師週班表!$C$5:$T$44,$CU27,CM$57),""),1+CM$58*2,1),IF(MID(IFERROR(INDEX(醫師週班表!$C$5:$T$44,$CU27,CM$57),""),3,1)="隔",IF(CM$58=0,LEFT(IFERROR(INDEX(醫師週班表!$C$5:$T$44,$CU27,CM$57),""),1),""),IF(MID(IFERROR(INDEX(醫師週班表!$C$5:$T$44,$CU27,CM$57),""),2,1)="(",LEFT(IFERROR(INDEX(醫師週班表!$C$5:$T$44,$CU27,CM$57),""),1),IFERROR(INDEX(醫師週班表!$C$5:$T$44,$CU27,CM$57),"")))))))</f>
        <v/>
      </c>
      <c r="CN27" s="67">
        <f>IF(CN$59="X","",IF(CN$59&lt;&gt;"",CN$59,IF(IFERROR(INDEX(醫師週班表!$C$5:$T$44,$CU27,CN$57),"")=0,"",IF(MID(IFERROR(INDEX(醫師週班表!$C$5:$T$44,$CU27,CN$57),""),2,1)="/",MID(IFERROR(INDEX(醫師週班表!$C$5:$T$44,$CU27,CN$57),""),1+CN$58*2,1),IF(MID(IFERROR(INDEX(醫師週班表!$C$5:$T$44,$CU27,CN$57),""),3,1)="隔",IF(CN$58=0,LEFT(IFERROR(INDEX(醫師週班表!$C$5:$T$44,$CU27,CN$57),""),1),""),IF(MID(IFERROR(INDEX(醫師週班表!$C$5:$T$44,$CU27,CN$57),""),2,1)="(",LEFT(IFERROR(INDEX(醫師週班表!$C$5:$T$44,$CU27,CN$57),""),1),IFERROR(INDEX(醫師週班表!$C$5:$T$44,$CU27,CN$57),"")))))))</f>
        <v/>
      </c>
      <c r="CO27" s="68">
        <f>IF(CO$59="X","",IF(CO$59&lt;&gt;"",CO$59,IF(IFERROR(INDEX(醫師週班表!$C$5:$T$44,$CU27,CO$57),"")=0,"",IF(MID(IFERROR(INDEX(醫師週班表!$C$5:$T$44,$CU27,CO$57),""),2,1)="/",MID(IFERROR(INDEX(醫師週班表!$C$5:$T$44,$CU27,CO$57),""),1+CO$58*2,1),IF(MID(IFERROR(INDEX(醫師週班表!$C$5:$T$44,$CU27,CO$57),""),3,1)="隔",IF(CO$58=0,LEFT(IFERROR(INDEX(醫師週班表!$C$5:$T$44,$CU27,CO$57),""),1),""),IF(MID(IFERROR(INDEX(醫師週班表!$C$5:$T$44,$CU27,CO$57),""),2,1)="(",LEFT(IFERROR(INDEX(醫師週班表!$C$5:$T$44,$CU27,CO$57),""),1),IFERROR(INDEX(醫師週班表!$C$5:$T$44,$CU27,CO$57),"")))))))</f>
        <v/>
      </c>
      <c r="CP27" s="68">
        <f>IF(CP$59="X","",IF(CP$59&lt;&gt;"",CP$59,IF(IFERROR(INDEX(醫師週班表!$C$5:$T$44,$CU27,CP$57),"")=0,"",IF(MID(IFERROR(INDEX(醫師週班表!$C$5:$T$44,$CU27,CP$57),""),2,1)="/",MID(IFERROR(INDEX(醫師週班表!$C$5:$T$44,$CU27,CP$57),""),1+CP$58*2,1),IF(MID(IFERROR(INDEX(醫師週班表!$C$5:$T$44,$CU27,CP$57),""),3,1)="隔",IF(CP$58=0,LEFT(IFERROR(INDEX(醫師週班表!$C$5:$T$44,$CU27,CP$57),""),1),""),IF(MID(IFERROR(INDEX(醫師週班表!$C$5:$T$44,$CU27,CP$57),""),2,1)="(",LEFT(IFERROR(INDEX(醫師週班表!$C$5:$T$44,$CU27,CP$57),""),1),IFERROR(INDEX(醫師週班表!$C$5:$T$44,$CU27,CP$57),"")))))))</f>
        <v/>
      </c>
      <c r="CQ27" s="67">
        <f>IF(CQ$59="X","",IF(CQ$59&lt;&gt;"",CQ$59,IF(IFERROR(INDEX(醫師週班表!$C$5:$T$44,$CU27,CQ$57),"")=0,"",IF(MID(IFERROR(INDEX(醫師週班表!$C$5:$T$44,$CU27,CQ$57),""),2,1)="/",MID(IFERROR(INDEX(醫師週班表!$C$5:$T$44,$CU27,CQ$57),""),1+CQ$58*2,1),IF(MID(IFERROR(INDEX(醫師週班表!$C$5:$T$44,$CU27,CQ$57),""),3,1)="隔",IF(CQ$58=0,LEFT(IFERROR(INDEX(醫師週班表!$C$5:$T$44,$CU27,CQ$57),""),1),""),IF(MID(IFERROR(INDEX(醫師週班表!$C$5:$T$44,$CU27,CQ$57),""),2,1)="(",LEFT(IFERROR(INDEX(醫師週班表!$C$5:$T$44,$CU27,CQ$57),""),1),IFERROR(INDEX(醫師週班表!$C$5:$T$44,$CU27,CQ$57),"")))))))</f>
        <v/>
      </c>
      <c r="CR27" s="68">
        <f>IF(CR$59="X","",IF(CR$59&lt;&gt;"",CR$59,IF(IFERROR(INDEX(醫師週班表!$C$5:$T$44,$CU27,CR$57),"")=0,"",IF(MID(IFERROR(INDEX(醫師週班表!$C$5:$T$44,$CU27,CR$57),""),2,1)="/",MID(IFERROR(INDEX(醫師週班表!$C$5:$T$44,$CU27,CR$57),""),1+CR$58*2,1),IF(MID(IFERROR(INDEX(醫師週班表!$C$5:$T$44,$CU27,CR$57),""),3,1)="隔",IF(CR$58=0,LEFT(IFERROR(INDEX(醫師週班表!$C$5:$T$44,$CU27,CR$57),""),1),""),IF(MID(IFERROR(INDEX(醫師週班表!$C$5:$T$44,$CU27,CR$57),""),2,1)="(",LEFT(IFERROR(INDEX(醫師週班表!$C$5:$T$44,$CU27,CR$57),""),1),IFERROR(INDEX(醫師週班表!$C$5:$T$44,$CU27,CR$57),"")))))))</f>
        <v/>
      </c>
      <c r="CS27" s="68">
        <f>IF(CS$59="X","",IF(CS$59&lt;&gt;"",CS$59,IF(IFERROR(INDEX(醫師週班表!$C$5:$T$44,$CU27,CS$57),"")=0,"",IF(MID(IFERROR(INDEX(醫師週班表!$C$5:$T$44,$CU27,CS$57),""),2,1)="/",MID(IFERROR(INDEX(醫師週班表!$C$5:$T$44,$CU27,CS$57),""),1+CS$58*2,1),IF(MID(IFERROR(INDEX(醫師週班表!$C$5:$T$44,$CU27,CS$57),""),3,1)="隔",IF(CS$58=0,LEFT(IFERROR(INDEX(醫師週班表!$C$5:$T$44,$CU27,CS$57),""),1),""),IF(MID(IFERROR(INDEX(醫師週班表!$C$5:$T$44,$CU27,CS$57),""),2,1)="(",LEFT(IFERROR(INDEX(醫師週班表!$C$5:$T$44,$CU27,CS$57),""),1),IFERROR(INDEX(醫師週班表!$C$5:$T$44,$CU27,CS$57),"")))))))</f>
        <v/>
      </c>
      <c r="CU27" s="69">
        <f>IFERROR(MATCH($A27,醫師週班表!$A$5:$A$44,0),0)</f>
        <v/>
      </c>
    </row>
    <row r="28" ht="17" customHeight="1">
      <c r="A28" s="20" t="inlineStr">
        <is>
          <t>D023</t>
        </is>
      </c>
      <c r="B28" s="16" t="inlineStr">
        <is>
          <t>黃婷愉</t>
        </is>
      </c>
      <c r="C28" s="66" t="inlineStr">
        <is>
          <t>口外</t>
        </is>
      </c>
      <c r="D28" s="16" t="inlineStr"/>
      <c r="E28" s="67">
        <f>IF(E$59="X","",IF(E$59&lt;&gt;"",E$59,IF(IFERROR(INDEX(醫師週班表!$C$5:$T$44,$CU28,E$57),"")=0,"",IF(MID(IFERROR(INDEX(醫師週班表!$C$5:$T$44,$CU28,E$57),""),2,1)="/",MID(IFERROR(INDEX(醫師週班表!$C$5:$T$44,$CU28,E$57),""),1+E$58*2,1),IF(MID(IFERROR(INDEX(醫師週班表!$C$5:$T$44,$CU28,E$57),""),3,1)="隔",IF(E$58=0,LEFT(IFERROR(INDEX(醫師週班表!$C$5:$T$44,$CU28,E$57),""),1),""),IF(MID(IFERROR(INDEX(醫師週班表!$C$5:$T$44,$CU28,E$57),""),2,1)="(",LEFT(IFERROR(INDEX(醫師週班表!$C$5:$T$44,$CU28,E$57),""),1),IFERROR(INDEX(醫師週班表!$C$5:$T$44,$CU28,E$57),"")))))))</f>
        <v/>
      </c>
      <c r="F28" s="68">
        <f>IF(F$59="X","",IF(F$59&lt;&gt;"",F$59,IF(IFERROR(INDEX(醫師週班表!$C$5:$T$44,$CU28,F$57),"")=0,"",IF(MID(IFERROR(INDEX(醫師週班表!$C$5:$T$44,$CU28,F$57),""),2,1)="/",MID(IFERROR(INDEX(醫師週班表!$C$5:$T$44,$CU28,F$57),""),1+F$58*2,1),IF(MID(IFERROR(INDEX(醫師週班表!$C$5:$T$44,$CU28,F$57),""),3,1)="隔",IF(F$58=0,LEFT(IFERROR(INDEX(醫師週班表!$C$5:$T$44,$CU28,F$57),""),1),""),IF(MID(IFERROR(INDEX(醫師週班表!$C$5:$T$44,$CU28,F$57),""),2,1)="(",LEFT(IFERROR(INDEX(醫師週班表!$C$5:$T$44,$CU28,F$57),""),1),IFERROR(INDEX(醫師週班表!$C$5:$T$44,$CU28,F$57),"")))))))</f>
        <v/>
      </c>
      <c r="G28" s="68">
        <f>IF(G$59="X","",IF(G$59&lt;&gt;"",G$59,IF(IFERROR(INDEX(醫師週班表!$C$5:$T$44,$CU28,G$57),"")=0,"",IF(MID(IFERROR(INDEX(醫師週班表!$C$5:$T$44,$CU28,G$57),""),2,1)="/",MID(IFERROR(INDEX(醫師週班表!$C$5:$T$44,$CU28,G$57),""),1+G$58*2,1),IF(MID(IFERROR(INDEX(醫師週班表!$C$5:$T$44,$CU28,G$57),""),3,1)="隔",IF(G$58=0,LEFT(IFERROR(INDEX(醫師週班表!$C$5:$T$44,$CU28,G$57),""),1),""),IF(MID(IFERROR(INDEX(醫師週班表!$C$5:$T$44,$CU28,G$57),""),2,1)="(",LEFT(IFERROR(INDEX(醫師週班表!$C$5:$T$44,$CU28,G$57),""),1),IFERROR(INDEX(醫師週班表!$C$5:$T$44,$CU28,G$57),"")))))))</f>
        <v/>
      </c>
      <c r="H28" s="67">
        <f>IF(H$59="X","",IF(H$59&lt;&gt;"",H$59,IF(IFERROR(INDEX(醫師週班表!$C$5:$T$44,$CU28,H$57),"")=0,"",IF(MID(IFERROR(INDEX(醫師週班表!$C$5:$T$44,$CU28,H$57),""),2,1)="/",MID(IFERROR(INDEX(醫師週班表!$C$5:$T$44,$CU28,H$57),""),1+H$58*2,1),IF(MID(IFERROR(INDEX(醫師週班表!$C$5:$T$44,$CU28,H$57),""),3,1)="隔",IF(H$58=0,LEFT(IFERROR(INDEX(醫師週班表!$C$5:$T$44,$CU28,H$57),""),1),""),IF(MID(IFERROR(INDEX(醫師週班表!$C$5:$T$44,$CU28,H$57),""),2,1)="(",LEFT(IFERROR(INDEX(醫師週班表!$C$5:$T$44,$CU28,H$57),""),1),IFERROR(INDEX(醫師週班表!$C$5:$T$44,$CU28,H$57),"")))))))</f>
        <v/>
      </c>
      <c r="I28" s="68">
        <f>IF(I$59="X","",IF(I$59&lt;&gt;"",I$59,IF(IFERROR(INDEX(醫師週班表!$C$5:$T$44,$CU28,I$57),"")=0,"",IF(MID(IFERROR(INDEX(醫師週班表!$C$5:$T$44,$CU28,I$57),""),2,1)="/",MID(IFERROR(INDEX(醫師週班表!$C$5:$T$44,$CU28,I$57),""),1+I$58*2,1),IF(MID(IFERROR(INDEX(醫師週班表!$C$5:$T$44,$CU28,I$57),""),3,1)="隔",IF(I$58=0,LEFT(IFERROR(INDEX(醫師週班表!$C$5:$T$44,$CU28,I$57),""),1),""),IF(MID(IFERROR(INDEX(醫師週班表!$C$5:$T$44,$CU28,I$57),""),2,1)="(",LEFT(IFERROR(INDEX(醫師週班表!$C$5:$T$44,$CU28,I$57),""),1),IFERROR(INDEX(醫師週班表!$C$5:$T$44,$CU28,I$57),"")))))))</f>
        <v/>
      </c>
      <c r="J28" s="68">
        <f>IF(J$59="X","",IF(J$59&lt;&gt;"",J$59,IF(IFERROR(INDEX(醫師週班表!$C$5:$T$44,$CU28,J$57),"")=0,"",IF(MID(IFERROR(INDEX(醫師週班表!$C$5:$T$44,$CU28,J$57),""),2,1)="/",MID(IFERROR(INDEX(醫師週班表!$C$5:$T$44,$CU28,J$57),""),1+J$58*2,1),IF(MID(IFERROR(INDEX(醫師週班表!$C$5:$T$44,$CU28,J$57),""),3,1)="隔",IF(J$58=0,LEFT(IFERROR(INDEX(醫師週班表!$C$5:$T$44,$CU28,J$57),""),1),""),IF(MID(IFERROR(INDEX(醫師週班表!$C$5:$T$44,$CU28,J$57),""),2,1)="(",LEFT(IFERROR(INDEX(醫師週班表!$C$5:$T$44,$CU28,J$57),""),1),IFERROR(INDEX(醫師週班表!$C$5:$T$44,$CU28,J$57),"")))))))</f>
        <v/>
      </c>
      <c r="K28" s="67">
        <f>IF(K$59="X","",IF(K$59&lt;&gt;"",K$59,IF(IFERROR(INDEX(醫師週班表!$C$5:$T$44,$CU28,K$57),"")=0,"",IF(MID(IFERROR(INDEX(醫師週班表!$C$5:$T$44,$CU28,K$57),""),2,1)="/",MID(IFERROR(INDEX(醫師週班表!$C$5:$T$44,$CU28,K$57),""),1+K$58*2,1),IF(MID(IFERROR(INDEX(醫師週班表!$C$5:$T$44,$CU28,K$57),""),3,1)="隔",IF(K$58=0,LEFT(IFERROR(INDEX(醫師週班表!$C$5:$T$44,$CU28,K$57),""),1),""),IF(MID(IFERROR(INDEX(醫師週班表!$C$5:$T$44,$CU28,K$57),""),2,1)="(",LEFT(IFERROR(INDEX(醫師週班表!$C$5:$T$44,$CU28,K$57),""),1),IFERROR(INDEX(醫師週班表!$C$5:$T$44,$CU28,K$57),"")))))))</f>
        <v/>
      </c>
      <c r="L28" s="68">
        <f>IF(L$59="X","",IF(L$59&lt;&gt;"",L$59,IF(IFERROR(INDEX(醫師週班表!$C$5:$T$44,$CU28,L$57),"")=0,"",IF(MID(IFERROR(INDEX(醫師週班表!$C$5:$T$44,$CU28,L$57),""),2,1)="/",MID(IFERROR(INDEX(醫師週班表!$C$5:$T$44,$CU28,L$57),""),1+L$58*2,1),IF(MID(IFERROR(INDEX(醫師週班表!$C$5:$T$44,$CU28,L$57),""),3,1)="隔",IF(L$58=0,LEFT(IFERROR(INDEX(醫師週班表!$C$5:$T$44,$CU28,L$57),""),1),""),IF(MID(IFERROR(INDEX(醫師週班表!$C$5:$T$44,$CU28,L$57),""),2,1)="(",LEFT(IFERROR(INDEX(醫師週班表!$C$5:$T$44,$CU28,L$57),""),1),IFERROR(INDEX(醫師週班表!$C$5:$T$44,$CU28,L$57),"")))))))</f>
        <v/>
      </c>
      <c r="M28" s="68">
        <f>IF(M$59="X","",IF(M$59&lt;&gt;"",M$59,IF(IFERROR(INDEX(醫師週班表!$C$5:$T$44,$CU28,M$57),"")=0,"",IF(MID(IFERROR(INDEX(醫師週班表!$C$5:$T$44,$CU28,M$57),""),2,1)="/",MID(IFERROR(INDEX(醫師週班表!$C$5:$T$44,$CU28,M$57),""),1+M$58*2,1),IF(MID(IFERROR(INDEX(醫師週班表!$C$5:$T$44,$CU28,M$57),""),3,1)="隔",IF(M$58=0,LEFT(IFERROR(INDEX(醫師週班表!$C$5:$T$44,$CU28,M$57),""),1),""),IF(MID(IFERROR(INDEX(醫師週班表!$C$5:$T$44,$CU28,M$57),""),2,1)="(",LEFT(IFERROR(INDEX(醫師週班表!$C$5:$T$44,$CU28,M$57),""),1),IFERROR(INDEX(醫師週班表!$C$5:$T$44,$CU28,M$57),"")))))))</f>
        <v/>
      </c>
      <c r="N28" s="67">
        <f>IF(N$59="X","",IF(N$59&lt;&gt;"",N$59,IF(IFERROR(INDEX(醫師週班表!$C$5:$T$44,$CU28,N$57),"")=0,"",IF(MID(IFERROR(INDEX(醫師週班表!$C$5:$T$44,$CU28,N$57),""),2,1)="/",MID(IFERROR(INDEX(醫師週班表!$C$5:$T$44,$CU28,N$57),""),1+N$58*2,1),IF(MID(IFERROR(INDEX(醫師週班表!$C$5:$T$44,$CU28,N$57),""),3,1)="隔",IF(N$58=0,LEFT(IFERROR(INDEX(醫師週班表!$C$5:$T$44,$CU28,N$57),""),1),""),IF(MID(IFERROR(INDEX(醫師週班表!$C$5:$T$44,$CU28,N$57),""),2,1)="(",LEFT(IFERROR(INDEX(醫師週班表!$C$5:$T$44,$CU28,N$57),""),1),IFERROR(INDEX(醫師週班表!$C$5:$T$44,$CU28,N$57),"")))))))</f>
        <v/>
      </c>
      <c r="O28" s="68">
        <f>IF(O$59="X","",IF(O$59&lt;&gt;"",O$59,IF(IFERROR(INDEX(醫師週班表!$C$5:$T$44,$CU28,O$57),"")=0,"",IF(MID(IFERROR(INDEX(醫師週班表!$C$5:$T$44,$CU28,O$57),""),2,1)="/",MID(IFERROR(INDEX(醫師週班表!$C$5:$T$44,$CU28,O$57),""),1+O$58*2,1),IF(MID(IFERROR(INDEX(醫師週班表!$C$5:$T$44,$CU28,O$57),""),3,1)="隔",IF(O$58=0,LEFT(IFERROR(INDEX(醫師週班表!$C$5:$T$44,$CU28,O$57),""),1),""),IF(MID(IFERROR(INDEX(醫師週班表!$C$5:$T$44,$CU28,O$57),""),2,1)="(",LEFT(IFERROR(INDEX(醫師週班表!$C$5:$T$44,$CU28,O$57),""),1),IFERROR(INDEX(醫師週班表!$C$5:$T$44,$CU28,O$57),"")))))))</f>
        <v/>
      </c>
      <c r="P28" s="68">
        <f>IF(P$59="X","",IF(P$59&lt;&gt;"",P$59,IF(IFERROR(INDEX(醫師週班表!$C$5:$T$44,$CU28,P$57),"")=0,"",IF(MID(IFERROR(INDEX(醫師週班表!$C$5:$T$44,$CU28,P$57),""),2,1)="/",MID(IFERROR(INDEX(醫師週班表!$C$5:$T$44,$CU28,P$57),""),1+P$58*2,1),IF(MID(IFERROR(INDEX(醫師週班表!$C$5:$T$44,$CU28,P$57),""),3,1)="隔",IF(P$58=0,LEFT(IFERROR(INDEX(醫師週班表!$C$5:$T$44,$CU28,P$57),""),1),""),IF(MID(IFERROR(INDEX(醫師週班表!$C$5:$T$44,$CU28,P$57),""),2,1)="(",LEFT(IFERROR(INDEX(醫師週班表!$C$5:$T$44,$CU28,P$57),""),1),IFERROR(INDEX(醫師週班表!$C$5:$T$44,$CU28,P$57),"")))))))</f>
        <v/>
      </c>
      <c r="Q28" s="67">
        <f>IF(Q$59="X","",IF(Q$59&lt;&gt;"",Q$59,IF(IFERROR(INDEX(醫師週班表!$C$5:$T$44,$CU28,Q$57),"")=0,"",IF(MID(IFERROR(INDEX(醫師週班表!$C$5:$T$44,$CU28,Q$57),""),2,1)="/",MID(IFERROR(INDEX(醫師週班表!$C$5:$T$44,$CU28,Q$57),""),1+Q$58*2,1),IF(MID(IFERROR(INDEX(醫師週班表!$C$5:$T$44,$CU28,Q$57),""),3,1)="隔",IF(Q$58=0,LEFT(IFERROR(INDEX(醫師週班表!$C$5:$T$44,$CU28,Q$57),""),1),""),IF(MID(IFERROR(INDEX(醫師週班表!$C$5:$T$44,$CU28,Q$57),""),2,1)="(",LEFT(IFERROR(INDEX(醫師週班表!$C$5:$T$44,$CU28,Q$57),""),1),IFERROR(INDEX(醫師週班表!$C$5:$T$44,$CU28,Q$57),"")))))))</f>
        <v/>
      </c>
      <c r="R28" s="68">
        <f>IF(R$59="X","",IF(R$59&lt;&gt;"",R$59,IF(IFERROR(INDEX(醫師週班表!$C$5:$T$44,$CU28,R$57),"")=0,"",IF(MID(IFERROR(INDEX(醫師週班表!$C$5:$T$44,$CU28,R$57),""),2,1)="/",MID(IFERROR(INDEX(醫師週班表!$C$5:$T$44,$CU28,R$57),""),1+R$58*2,1),IF(MID(IFERROR(INDEX(醫師週班表!$C$5:$T$44,$CU28,R$57),""),3,1)="隔",IF(R$58=0,LEFT(IFERROR(INDEX(醫師週班表!$C$5:$T$44,$CU28,R$57),""),1),""),IF(MID(IFERROR(INDEX(醫師週班表!$C$5:$T$44,$CU28,R$57),""),2,1)="(",LEFT(IFERROR(INDEX(醫師週班表!$C$5:$T$44,$CU28,R$57),""),1),IFERROR(INDEX(醫師週班表!$C$5:$T$44,$CU28,R$57),"")))))))</f>
        <v/>
      </c>
      <c r="S28" s="68">
        <f>IF(S$59="X","",IF(S$59&lt;&gt;"",S$59,IF(IFERROR(INDEX(醫師週班表!$C$5:$T$44,$CU28,S$57),"")=0,"",IF(MID(IFERROR(INDEX(醫師週班表!$C$5:$T$44,$CU28,S$57),""),2,1)="/",MID(IFERROR(INDEX(醫師週班表!$C$5:$T$44,$CU28,S$57),""),1+S$58*2,1),IF(MID(IFERROR(INDEX(醫師週班表!$C$5:$T$44,$CU28,S$57),""),3,1)="隔",IF(S$58=0,LEFT(IFERROR(INDEX(醫師週班表!$C$5:$T$44,$CU28,S$57),""),1),""),IF(MID(IFERROR(INDEX(醫師週班表!$C$5:$T$44,$CU28,S$57),""),2,1)="(",LEFT(IFERROR(INDEX(醫師週班表!$C$5:$T$44,$CU28,S$57),""),1),IFERROR(INDEX(醫師週班表!$C$5:$T$44,$CU28,S$57),"")))))))</f>
        <v/>
      </c>
      <c r="T28" s="67">
        <f>IF(T$59="X","",IF(T$59&lt;&gt;"",T$59,IF(IFERROR(INDEX(醫師週班表!$C$5:$T$44,$CU28,T$57),"")=0,"",IF(MID(IFERROR(INDEX(醫師週班表!$C$5:$T$44,$CU28,T$57),""),2,1)="/",MID(IFERROR(INDEX(醫師週班表!$C$5:$T$44,$CU28,T$57),""),1+T$58*2,1),IF(MID(IFERROR(INDEX(醫師週班表!$C$5:$T$44,$CU28,T$57),""),3,1)="隔",IF(T$58=0,LEFT(IFERROR(INDEX(醫師週班表!$C$5:$T$44,$CU28,T$57),""),1),""),IF(MID(IFERROR(INDEX(醫師週班表!$C$5:$T$44,$CU28,T$57),""),2,1)="(",LEFT(IFERROR(INDEX(醫師週班表!$C$5:$T$44,$CU28,T$57),""),1),IFERROR(INDEX(醫師週班表!$C$5:$T$44,$CU28,T$57),"")))))))</f>
        <v/>
      </c>
      <c r="U28" s="68">
        <f>IF(U$59="X","",IF(U$59&lt;&gt;"",U$59,IF(IFERROR(INDEX(醫師週班表!$C$5:$T$44,$CU28,U$57),"")=0,"",IF(MID(IFERROR(INDEX(醫師週班表!$C$5:$T$44,$CU28,U$57),""),2,1)="/",MID(IFERROR(INDEX(醫師週班表!$C$5:$T$44,$CU28,U$57),""),1+U$58*2,1),IF(MID(IFERROR(INDEX(醫師週班表!$C$5:$T$44,$CU28,U$57),""),3,1)="隔",IF(U$58=0,LEFT(IFERROR(INDEX(醫師週班表!$C$5:$T$44,$CU28,U$57),""),1),""),IF(MID(IFERROR(INDEX(醫師週班表!$C$5:$T$44,$CU28,U$57),""),2,1)="(",LEFT(IFERROR(INDEX(醫師週班表!$C$5:$T$44,$CU28,U$57),""),1),IFERROR(INDEX(醫師週班表!$C$5:$T$44,$CU28,U$57),"")))))))</f>
        <v/>
      </c>
      <c r="V28" s="68">
        <f>IF(V$59="X","",IF(V$59&lt;&gt;"",V$59,IF(IFERROR(INDEX(醫師週班表!$C$5:$T$44,$CU28,V$57),"")=0,"",IF(MID(IFERROR(INDEX(醫師週班表!$C$5:$T$44,$CU28,V$57),""),2,1)="/",MID(IFERROR(INDEX(醫師週班表!$C$5:$T$44,$CU28,V$57),""),1+V$58*2,1),IF(MID(IFERROR(INDEX(醫師週班表!$C$5:$T$44,$CU28,V$57),""),3,1)="隔",IF(V$58=0,LEFT(IFERROR(INDEX(醫師週班表!$C$5:$T$44,$CU28,V$57),""),1),""),IF(MID(IFERROR(INDEX(醫師週班表!$C$5:$T$44,$CU28,V$57),""),2,1)="(",LEFT(IFERROR(INDEX(醫師週班表!$C$5:$T$44,$CU28,V$57),""),1),IFERROR(INDEX(醫師週班表!$C$5:$T$44,$CU28,V$57),"")))))))</f>
        <v/>
      </c>
      <c r="W28" s="67">
        <f>IF(W$59="X","",IF(W$59&lt;&gt;"",W$59,IF(IFERROR(INDEX(醫師週班表!$C$5:$T$44,$CU28,W$57),"")=0,"",IF(MID(IFERROR(INDEX(醫師週班表!$C$5:$T$44,$CU28,W$57),""),2,1)="/",MID(IFERROR(INDEX(醫師週班表!$C$5:$T$44,$CU28,W$57),""),1+W$58*2,1),IF(MID(IFERROR(INDEX(醫師週班表!$C$5:$T$44,$CU28,W$57),""),3,1)="隔",IF(W$58=0,LEFT(IFERROR(INDEX(醫師週班表!$C$5:$T$44,$CU28,W$57),""),1),""),IF(MID(IFERROR(INDEX(醫師週班表!$C$5:$T$44,$CU28,W$57),""),2,1)="(",LEFT(IFERROR(INDEX(醫師週班表!$C$5:$T$44,$CU28,W$57),""),1),IFERROR(INDEX(醫師週班表!$C$5:$T$44,$CU28,W$57),"")))))))</f>
        <v/>
      </c>
      <c r="X28" s="68">
        <f>IF(X$59="X","",IF(X$59&lt;&gt;"",X$59,IF(IFERROR(INDEX(醫師週班表!$C$5:$T$44,$CU28,X$57),"")=0,"",IF(MID(IFERROR(INDEX(醫師週班表!$C$5:$T$44,$CU28,X$57),""),2,1)="/",MID(IFERROR(INDEX(醫師週班表!$C$5:$T$44,$CU28,X$57),""),1+X$58*2,1),IF(MID(IFERROR(INDEX(醫師週班表!$C$5:$T$44,$CU28,X$57),""),3,1)="隔",IF(X$58=0,LEFT(IFERROR(INDEX(醫師週班表!$C$5:$T$44,$CU28,X$57),""),1),""),IF(MID(IFERROR(INDEX(醫師週班表!$C$5:$T$44,$CU28,X$57),""),2,1)="(",LEFT(IFERROR(INDEX(醫師週班表!$C$5:$T$44,$CU28,X$57),""),1),IFERROR(INDEX(醫師週班表!$C$5:$T$44,$CU28,X$57),"")))))))</f>
        <v/>
      </c>
      <c r="Y28" s="68">
        <f>IF(Y$59="X","",IF(Y$59&lt;&gt;"",Y$59,IF(IFERROR(INDEX(醫師週班表!$C$5:$T$44,$CU28,Y$57),"")=0,"",IF(MID(IFERROR(INDEX(醫師週班表!$C$5:$T$44,$CU28,Y$57),""),2,1)="/",MID(IFERROR(INDEX(醫師週班表!$C$5:$T$44,$CU28,Y$57),""),1+Y$58*2,1),IF(MID(IFERROR(INDEX(醫師週班表!$C$5:$T$44,$CU28,Y$57),""),3,1)="隔",IF(Y$58=0,LEFT(IFERROR(INDEX(醫師週班表!$C$5:$T$44,$CU28,Y$57),""),1),""),IF(MID(IFERROR(INDEX(醫師週班表!$C$5:$T$44,$CU28,Y$57),""),2,1)="(",LEFT(IFERROR(INDEX(醫師週班表!$C$5:$T$44,$CU28,Y$57),""),1),IFERROR(INDEX(醫師週班表!$C$5:$T$44,$CU28,Y$57),"")))))))</f>
        <v/>
      </c>
      <c r="Z28" s="67">
        <f>IF(Z$59="X","",IF(Z$59&lt;&gt;"",Z$59,IF(IFERROR(INDEX(醫師週班表!$C$5:$T$44,$CU28,Z$57),"")=0,"",IF(MID(IFERROR(INDEX(醫師週班表!$C$5:$T$44,$CU28,Z$57),""),2,1)="/",MID(IFERROR(INDEX(醫師週班表!$C$5:$T$44,$CU28,Z$57),""),1+Z$58*2,1),IF(MID(IFERROR(INDEX(醫師週班表!$C$5:$T$44,$CU28,Z$57),""),3,1)="隔",IF(Z$58=0,LEFT(IFERROR(INDEX(醫師週班表!$C$5:$T$44,$CU28,Z$57),""),1),""),IF(MID(IFERROR(INDEX(醫師週班表!$C$5:$T$44,$CU28,Z$57),""),2,1)="(",LEFT(IFERROR(INDEX(醫師週班表!$C$5:$T$44,$CU28,Z$57),""),1),IFERROR(INDEX(醫師週班表!$C$5:$T$44,$CU28,Z$57),"")))))))</f>
        <v/>
      </c>
      <c r="AA28" s="68">
        <f>IF(AA$59="X","",IF(AA$59&lt;&gt;"",AA$59,IF(IFERROR(INDEX(醫師週班表!$C$5:$T$44,$CU28,AA$57),"")=0,"",IF(MID(IFERROR(INDEX(醫師週班表!$C$5:$T$44,$CU28,AA$57),""),2,1)="/",MID(IFERROR(INDEX(醫師週班表!$C$5:$T$44,$CU28,AA$57),""),1+AA$58*2,1),IF(MID(IFERROR(INDEX(醫師週班表!$C$5:$T$44,$CU28,AA$57),""),3,1)="隔",IF(AA$58=0,LEFT(IFERROR(INDEX(醫師週班表!$C$5:$T$44,$CU28,AA$57),""),1),""),IF(MID(IFERROR(INDEX(醫師週班表!$C$5:$T$44,$CU28,AA$57),""),2,1)="(",LEFT(IFERROR(INDEX(醫師週班表!$C$5:$T$44,$CU28,AA$57),""),1),IFERROR(INDEX(醫師週班表!$C$5:$T$44,$CU28,AA$57),"")))))))</f>
        <v/>
      </c>
      <c r="AB28" s="68">
        <f>IF(AB$59="X","",IF(AB$59&lt;&gt;"",AB$59,IF(IFERROR(INDEX(醫師週班表!$C$5:$T$44,$CU28,AB$57),"")=0,"",IF(MID(IFERROR(INDEX(醫師週班表!$C$5:$T$44,$CU28,AB$57),""),2,1)="/",MID(IFERROR(INDEX(醫師週班表!$C$5:$T$44,$CU28,AB$57),""),1+AB$58*2,1),IF(MID(IFERROR(INDEX(醫師週班表!$C$5:$T$44,$CU28,AB$57),""),3,1)="隔",IF(AB$58=0,LEFT(IFERROR(INDEX(醫師週班表!$C$5:$T$44,$CU28,AB$57),""),1),""),IF(MID(IFERROR(INDEX(醫師週班表!$C$5:$T$44,$CU28,AB$57),""),2,1)="(",LEFT(IFERROR(INDEX(醫師週班表!$C$5:$T$44,$CU28,AB$57),""),1),IFERROR(INDEX(醫師週班表!$C$5:$T$44,$CU28,AB$57),"")))))))</f>
        <v/>
      </c>
      <c r="AC28" s="67">
        <f>IF(AC$59="X","",IF(AC$59&lt;&gt;"",AC$59,IF(IFERROR(INDEX(醫師週班表!$C$5:$T$44,$CU28,AC$57),"")=0,"",IF(MID(IFERROR(INDEX(醫師週班表!$C$5:$T$44,$CU28,AC$57),""),2,1)="/",MID(IFERROR(INDEX(醫師週班表!$C$5:$T$44,$CU28,AC$57),""),1+AC$58*2,1),IF(MID(IFERROR(INDEX(醫師週班表!$C$5:$T$44,$CU28,AC$57),""),3,1)="隔",IF(AC$58=0,LEFT(IFERROR(INDEX(醫師週班表!$C$5:$T$44,$CU28,AC$57),""),1),""),IF(MID(IFERROR(INDEX(醫師週班表!$C$5:$T$44,$CU28,AC$57),""),2,1)="(",LEFT(IFERROR(INDEX(醫師週班表!$C$5:$T$44,$CU28,AC$57),""),1),IFERROR(INDEX(醫師週班表!$C$5:$T$44,$CU28,AC$57),"")))))))</f>
        <v/>
      </c>
      <c r="AD28" s="68">
        <f>IF(AD$59="X","",IF(AD$59&lt;&gt;"",AD$59,IF(IFERROR(INDEX(醫師週班表!$C$5:$T$44,$CU28,AD$57),"")=0,"",IF(MID(IFERROR(INDEX(醫師週班表!$C$5:$T$44,$CU28,AD$57),""),2,1)="/",MID(IFERROR(INDEX(醫師週班表!$C$5:$T$44,$CU28,AD$57),""),1+AD$58*2,1),IF(MID(IFERROR(INDEX(醫師週班表!$C$5:$T$44,$CU28,AD$57),""),3,1)="隔",IF(AD$58=0,LEFT(IFERROR(INDEX(醫師週班表!$C$5:$T$44,$CU28,AD$57),""),1),""),IF(MID(IFERROR(INDEX(醫師週班表!$C$5:$T$44,$CU28,AD$57),""),2,1)="(",LEFT(IFERROR(INDEX(醫師週班表!$C$5:$T$44,$CU28,AD$57),""),1),IFERROR(INDEX(醫師週班表!$C$5:$T$44,$CU28,AD$57),"")))))))</f>
        <v/>
      </c>
      <c r="AE28" s="68">
        <f>IF(AE$59="X","",IF(AE$59&lt;&gt;"",AE$59,IF(IFERROR(INDEX(醫師週班表!$C$5:$T$44,$CU28,AE$57),"")=0,"",IF(MID(IFERROR(INDEX(醫師週班表!$C$5:$T$44,$CU28,AE$57),""),2,1)="/",MID(IFERROR(INDEX(醫師週班表!$C$5:$T$44,$CU28,AE$57),""),1+AE$58*2,1),IF(MID(IFERROR(INDEX(醫師週班表!$C$5:$T$44,$CU28,AE$57),""),3,1)="隔",IF(AE$58=0,LEFT(IFERROR(INDEX(醫師週班表!$C$5:$T$44,$CU28,AE$57),""),1),""),IF(MID(IFERROR(INDEX(醫師週班表!$C$5:$T$44,$CU28,AE$57),""),2,1)="(",LEFT(IFERROR(INDEX(醫師週班表!$C$5:$T$44,$CU28,AE$57),""),1),IFERROR(INDEX(醫師週班表!$C$5:$T$44,$CU28,AE$57),"")))))))</f>
        <v/>
      </c>
      <c r="AF28" s="67">
        <f>IF(AF$59="X","",IF(AF$59&lt;&gt;"",AF$59,IF(IFERROR(INDEX(醫師週班表!$C$5:$T$44,$CU28,AF$57),"")=0,"",IF(MID(IFERROR(INDEX(醫師週班表!$C$5:$T$44,$CU28,AF$57),""),2,1)="/",MID(IFERROR(INDEX(醫師週班表!$C$5:$T$44,$CU28,AF$57),""),1+AF$58*2,1),IF(MID(IFERROR(INDEX(醫師週班表!$C$5:$T$44,$CU28,AF$57),""),3,1)="隔",IF(AF$58=0,LEFT(IFERROR(INDEX(醫師週班表!$C$5:$T$44,$CU28,AF$57),""),1),""),IF(MID(IFERROR(INDEX(醫師週班表!$C$5:$T$44,$CU28,AF$57),""),2,1)="(",LEFT(IFERROR(INDEX(醫師週班表!$C$5:$T$44,$CU28,AF$57),""),1),IFERROR(INDEX(醫師週班表!$C$5:$T$44,$CU28,AF$57),"")))))))</f>
        <v/>
      </c>
      <c r="AG28" s="68">
        <f>IF(AG$59="X","",IF(AG$59&lt;&gt;"",AG$59,IF(IFERROR(INDEX(醫師週班表!$C$5:$T$44,$CU28,AG$57),"")=0,"",IF(MID(IFERROR(INDEX(醫師週班表!$C$5:$T$44,$CU28,AG$57),""),2,1)="/",MID(IFERROR(INDEX(醫師週班表!$C$5:$T$44,$CU28,AG$57),""),1+AG$58*2,1),IF(MID(IFERROR(INDEX(醫師週班表!$C$5:$T$44,$CU28,AG$57),""),3,1)="隔",IF(AG$58=0,LEFT(IFERROR(INDEX(醫師週班表!$C$5:$T$44,$CU28,AG$57),""),1),""),IF(MID(IFERROR(INDEX(醫師週班表!$C$5:$T$44,$CU28,AG$57),""),2,1)="(",LEFT(IFERROR(INDEX(醫師週班表!$C$5:$T$44,$CU28,AG$57),""),1),IFERROR(INDEX(醫師週班表!$C$5:$T$44,$CU28,AG$57),"")))))))</f>
        <v/>
      </c>
      <c r="AH28" s="68">
        <f>IF(AH$59="X","",IF(AH$59&lt;&gt;"",AH$59,IF(IFERROR(INDEX(醫師週班表!$C$5:$T$44,$CU28,AH$57),"")=0,"",IF(MID(IFERROR(INDEX(醫師週班表!$C$5:$T$44,$CU28,AH$57),""),2,1)="/",MID(IFERROR(INDEX(醫師週班表!$C$5:$T$44,$CU28,AH$57),""),1+AH$58*2,1),IF(MID(IFERROR(INDEX(醫師週班表!$C$5:$T$44,$CU28,AH$57),""),3,1)="隔",IF(AH$58=0,LEFT(IFERROR(INDEX(醫師週班表!$C$5:$T$44,$CU28,AH$57),""),1),""),IF(MID(IFERROR(INDEX(醫師週班表!$C$5:$T$44,$CU28,AH$57),""),2,1)="(",LEFT(IFERROR(INDEX(醫師週班表!$C$5:$T$44,$CU28,AH$57),""),1),IFERROR(INDEX(醫師週班表!$C$5:$T$44,$CU28,AH$57),"")))))))</f>
        <v/>
      </c>
      <c r="AI28" s="67">
        <f>IF(AI$59="X","",IF(AI$59&lt;&gt;"",AI$59,IF(IFERROR(INDEX(醫師週班表!$C$5:$T$44,$CU28,AI$57),"")=0,"",IF(MID(IFERROR(INDEX(醫師週班表!$C$5:$T$44,$CU28,AI$57),""),2,1)="/",MID(IFERROR(INDEX(醫師週班表!$C$5:$T$44,$CU28,AI$57),""),1+AI$58*2,1),IF(MID(IFERROR(INDEX(醫師週班表!$C$5:$T$44,$CU28,AI$57),""),3,1)="隔",IF(AI$58=0,LEFT(IFERROR(INDEX(醫師週班表!$C$5:$T$44,$CU28,AI$57),""),1),""),IF(MID(IFERROR(INDEX(醫師週班表!$C$5:$T$44,$CU28,AI$57),""),2,1)="(",LEFT(IFERROR(INDEX(醫師週班表!$C$5:$T$44,$CU28,AI$57),""),1),IFERROR(INDEX(醫師週班表!$C$5:$T$44,$CU28,AI$57),"")))))))</f>
        <v/>
      </c>
      <c r="AJ28" s="68">
        <f>IF(AJ$59="X","",IF(AJ$59&lt;&gt;"",AJ$59,IF(IFERROR(INDEX(醫師週班表!$C$5:$T$44,$CU28,AJ$57),"")=0,"",IF(MID(IFERROR(INDEX(醫師週班表!$C$5:$T$44,$CU28,AJ$57),""),2,1)="/",MID(IFERROR(INDEX(醫師週班表!$C$5:$T$44,$CU28,AJ$57),""),1+AJ$58*2,1),IF(MID(IFERROR(INDEX(醫師週班表!$C$5:$T$44,$CU28,AJ$57),""),3,1)="隔",IF(AJ$58=0,LEFT(IFERROR(INDEX(醫師週班表!$C$5:$T$44,$CU28,AJ$57),""),1),""),IF(MID(IFERROR(INDEX(醫師週班表!$C$5:$T$44,$CU28,AJ$57),""),2,1)="(",LEFT(IFERROR(INDEX(醫師週班表!$C$5:$T$44,$CU28,AJ$57),""),1),IFERROR(INDEX(醫師週班表!$C$5:$T$44,$CU28,AJ$57),"")))))))</f>
        <v/>
      </c>
      <c r="AK28" s="68">
        <f>IF(AK$59="X","",IF(AK$59&lt;&gt;"",AK$59,IF(IFERROR(INDEX(醫師週班表!$C$5:$T$44,$CU28,AK$57),"")=0,"",IF(MID(IFERROR(INDEX(醫師週班表!$C$5:$T$44,$CU28,AK$57),""),2,1)="/",MID(IFERROR(INDEX(醫師週班表!$C$5:$T$44,$CU28,AK$57),""),1+AK$58*2,1),IF(MID(IFERROR(INDEX(醫師週班表!$C$5:$T$44,$CU28,AK$57),""),3,1)="隔",IF(AK$58=0,LEFT(IFERROR(INDEX(醫師週班表!$C$5:$T$44,$CU28,AK$57),""),1),""),IF(MID(IFERROR(INDEX(醫師週班表!$C$5:$T$44,$CU28,AK$57),""),2,1)="(",LEFT(IFERROR(INDEX(醫師週班表!$C$5:$T$44,$CU28,AK$57),""),1),IFERROR(INDEX(醫師週班表!$C$5:$T$44,$CU28,AK$57),"")))))))</f>
        <v/>
      </c>
      <c r="AL28" s="67">
        <f>IF(AL$59="X","",IF(AL$59&lt;&gt;"",AL$59,IF(IFERROR(INDEX(醫師週班表!$C$5:$T$44,$CU28,AL$57),"")=0,"",IF(MID(IFERROR(INDEX(醫師週班表!$C$5:$T$44,$CU28,AL$57),""),2,1)="/",MID(IFERROR(INDEX(醫師週班表!$C$5:$T$44,$CU28,AL$57),""),1+AL$58*2,1),IF(MID(IFERROR(INDEX(醫師週班表!$C$5:$T$44,$CU28,AL$57),""),3,1)="隔",IF(AL$58=0,LEFT(IFERROR(INDEX(醫師週班表!$C$5:$T$44,$CU28,AL$57),""),1),""),IF(MID(IFERROR(INDEX(醫師週班表!$C$5:$T$44,$CU28,AL$57),""),2,1)="(",LEFT(IFERROR(INDEX(醫師週班表!$C$5:$T$44,$CU28,AL$57),""),1),IFERROR(INDEX(醫師週班表!$C$5:$T$44,$CU28,AL$57),"")))))))</f>
        <v/>
      </c>
      <c r="AM28" s="68">
        <f>IF(AM$59="X","",IF(AM$59&lt;&gt;"",AM$59,IF(IFERROR(INDEX(醫師週班表!$C$5:$T$44,$CU28,AM$57),"")=0,"",IF(MID(IFERROR(INDEX(醫師週班表!$C$5:$T$44,$CU28,AM$57),""),2,1)="/",MID(IFERROR(INDEX(醫師週班表!$C$5:$T$44,$CU28,AM$57),""),1+AM$58*2,1),IF(MID(IFERROR(INDEX(醫師週班表!$C$5:$T$44,$CU28,AM$57),""),3,1)="隔",IF(AM$58=0,LEFT(IFERROR(INDEX(醫師週班表!$C$5:$T$44,$CU28,AM$57),""),1),""),IF(MID(IFERROR(INDEX(醫師週班表!$C$5:$T$44,$CU28,AM$57),""),2,1)="(",LEFT(IFERROR(INDEX(醫師週班表!$C$5:$T$44,$CU28,AM$57),""),1),IFERROR(INDEX(醫師週班表!$C$5:$T$44,$CU28,AM$57),"")))))))</f>
        <v/>
      </c>
      <c r="AN28" s="68">
        <f>IF(AN$59="X","",IF(AN$59&lt;&gt;"",AN$59,IF(IFERROR(INDEX(醫師週班表!$C$5:$T$44,$CU28,AN$57),"")=0,"",IF(MID(IFERROR(INDEX(醫師週班表!$C$5:$T$44,$CU28,AN$57),""),2,1)="/",MID(IFERROR(INDEX(醫師週班表!$C$5:$T$44,$CU28,AN$57),""),1+AN$58*2,1),IF(MID(IFERROR(INDEX(醫師週班表!$C$5:$T$44,$CU28,AN$57),""),3,1)="隔",IF(AN$58=0,LEFT(IFERROR(INDEX(醫師週班表!$C$5:$T$44,$CU28,AN$57),""),1),""),IF(MID(IFERROR(INDEX(醫師週班表!$C$5:$T$44,$CU28,AN$57),""),2,1)="(",LEFT(IFERROR(INDEX(醫師週班表!$C$5:$T$44,$CU28,AN$57),""),1),IFERROR(INDEX(醫師週班表!$C$5:$T$44,$CU28,AN$57),"")))))))</f>
        <v/>
      </c>
      <c r="AO28" s="67">
        <f>IF(AO$59="X","",IF(AO$59&lt;&gt;"",AO$59,IF(IFERROR(INDEX(醫師週班表!$C$5:$T$44,$CU28,AO$57),"")=0,"",IF(MID(IFERROR(INDEX(醫師週班表!$C$5:$T$44,$CU28,AO$57),""),2,1)="/",MID(IFERROR(INDEX(醫師週班表!$C$5:$T$44,$CU28,AO$57),""),1+AO$58*2,1),IF(MID(IFERROR(INDEX(醫師週班表!$C$5:$T$44,$CU28,AO$57),""),3,1)="隔",IF(AO$58=0,LEFT(IFERROR(INDEX(醫師週班表!$C$5:$T$44,$CU28,AO$57),""),1),""),IF(MID(IFERROR(INDEX(醫師週班表!$C$5:$T$44,$CU28,AO$57),""),2,1)="(",LEFT(IFERROR(INDEX(醫師週班表!$C$5:$T$44,$CU28,AO$57),""),1),IFERROR(INDEX(醫師週班表!$C$5:$T$44,$CU28,AO$57),"")))))))</f>
        <v/>
      </c>
      <c r="AP28" s="68">
        <f>IF(AP$59="X","",IF(AP$59&lt;&gt;"",AP$59,IF(IFERROR(INDEX(醫師週班表!$C$5:$T$44,$CU28,AP$57),"")=0,"",IF(MID(IFERROR(INDEX(醫師週班表!$C$5:$T$44,$CU28,AP$57),""),2,1)="/",MID(IFERROR(INDEX(醫師週班表!$C$5:$T$44,$CU28,AP$57),""),1+AP$58*2,1),IF(MID(IFERROR(INDEX(醫師週班表!$C$5:$T$44,$CU28,AP$57),""),3,1)="隔",IF(AP$58=0,LEFT(IFERROR(INDEX(醫師週班表!$C$5:$T$44,$CU28,AP$57),""),1),""),IF(MID(IFERROR(INDEX(醫師週班表!$C$5:$T$44,$CU28,AP$57),""),2,1)="(",LEFT(IFERROR(INDEX(醫師週班表!$C$5:$T$44,$CU28,AP$57),""),1),IFERROR(INDEX(醫師週班表!$C$5:$T$44,$CU28,AP$57),"")))))))</f>
        <v/>
      </c>
      <c r="AQ28" s="68">
        <f>IF(AQ$59="X","",IF(AQ$59&lt;&gt;"",AQ$59,IF(IFERROR(INDEX(醫師週班表!$C$5:$T$44,$CU28,AQ$57),"")=0,"",IF(MID(IFERROR(INDEX(醫師週班表!$C$5:$T$44,$CU28,AQ$57),""),2,1)="/",MID(IFERROR(INDEX(醫師週班表!$C$5:$T$44,$CU28,AQ$57),""),1+AQ$58*2,1),IF(MID(IFERROR(INDEX(醫師週班表!$C$5:$T$44,$CU28,AQ$57),""),3,1)="隔",IF(AQ$58=0,LEFT(IFERROR(INDEX(醫師週班表!$C$5:$T$44,$CU28,AQ$57),""),1),""),IF(MID(IFERROR(INDEX(醫師週班表!$C$5:$T$44,$CU28,AQ$57),""),2,1)="(",LEFT(IFERROR(INDEX(醫師週班表!$C$5:$T$44,$CU28,AQ$57),""),1),IFERROR(INDEX(醫師週班表!$C$5:$T$44,$CU28,AQ$57),"")))))))</f>
        <v/>
      </c>
      <c r="AR28" s="67">
        <f>IF(AR$59="X","",IF(AR$59&lt;&gt;"",AR$59,IF(IFERROR(INDEX(醫師週班表!$C$5:$T$44,$CU28,AR$57),"")=0,"",IF(MID(IFERROR(INDEX(醫師週班表!$C$5:$T$44,$CU28,AR$57),""),2,1)="/",MID(IFERROR(INDEX(醫師週班表!$C$5:$T$44,$CU28,AR$57),""),1+AR$58*2,1),IF(MID(IFERROR(INDEX(醫師週班表!$C$5:$T$44,$CU28,AR$57),""),3,1)="隔",IF(AR$58=0,LEFT(IFERROR(INDEX(醫師週班表!$C$5:$T$44,$CU28,AR$57),""),1),""),IF(MID(IFERROR(INDEX(醫師週班表!$C$5:$T$44,$CU28,AR$57),""),2,1)="(",LEFT(IFERROR(INDEX(醫師週班表!$C$5:$T$44,$CU28,AR$57),""),1),IFERROR(INDEX(醫師週班表!$C$5:$T$44,$CU28,AR$57),"")))))))</f>
        <v/>
      </c>
      <c r="AS28" s="68">
        <f>IF(AS$59="X","",IF(AS$59&lt;&gt;"",AS$59,IF(IFERROR(INDEX(醫師週班表!$C$5:$T$44,$CU28,AS$57),"")=0,"",IF(MID(IFERROR(INDEX(醫師週班表!$C$5:$T$44,$CU28,AS$57),""),2,1)="/",MID(IFERROR(INDEX(醫師週班表!$C$5:$T$44,$CU28,AS$57),""),1+AS$58*2,1),IF(MID(IFERROR(INDEX(醫師週班表!$C$5:$T$44,$CU28,AS$57),""),3,1)="隔",IF(AS$58=0,LEFT(IFERROR(INDEX(醫師週班表!$C$5:$T$44,$CU28,AS$57),""),1),""),IF(MID(IFERROR(INDEX(醫師週班表!$C$5:$T$44,$CU28,AS$57),""),2,1)="(",LEFT(IFERROR(INDEX(醫師週班表!$C$5:$T$44,$CU28,AS$57),""),1),IFERROR(INDEX(醫師週班表!$C$5:$T$44,$CU28,AS$57),"")))))))</f>
        <v/>
      </c>
      <c r="AT28" s="68">
        <f>IF(AT$59="X","",IF(AT$59&lt;&gt;"",AT$59,IF(IFERROR(INDEX(醫師週班表!$C$5:$T$44,$CU28,AT$57),"")=0,"",IF(MID(IFERROR(INDEX(醫師週班表!$C$5:$T$44,$CU28,AT$57),""),2,1)="/",MID(IFERROR(INDEX(醫師週班表!$C$5:$T$44,$CU28,AT$57),""),1+AT$58*2,1),IF(MID(IFERROR(INDEX(醫師週班表!$C$5:$T$44,$CU28,AT$57),""),3,1)="隔",IF(AT$58=0,LEFT(IFERROR(INDEX(醫師週班表!$C$5:$T$44,$CU28,AT$57),""),1),""),IF(MID(IFERROR(INDEX(醫師週班表!$C$5:$T$44,$CU28,AT$57),""),2,1)="(",LEFT(IFERROR(INDEX(醫師週班表!$C$5:$T$44,$CU28,AT$57),""),1),IFERROR(INDEX(醫師週班表!$C$5:$T$44,$CU28,AT$57),"")))))))</f>
        <v/>
      </c>
      <c r="AU28" s="67">
        <f>IF(AU$59="X","",IF(AU$59&lt;&gt;"",AU$59,IF(IFERROR(INDEX(醫師週班表!$C$5:$T$44,$CU28,AU$57),"")=0,"",IF(MID(IFERROR(INDEX(醫師週班表!$C$5:$T$44,$CU28,AU$57),""),2,1)="/",MID(IFERROR(INDEX(醫師週班表!$C$5:$T$44,$CU28,AU$57),""),1+AU$58*2,1),IF(MID(IFERROR(INDEX(醫師週班表!$C$5:$T$44,$CU28,AU$57),""),3,1)="隔",IF(AU$58=0,LEFT(IFERROR(INDEX(醫師週班表!$C$5:$T$44,$CU28,AU$57),""),1),""),IF(MID(IFERROR(INDEX(醫師週班表!$C$5:$T$44,$CU28,AU$57),""),2,1)="(",LEFT(IFERROR(INDEX(醫師週班表!$C$5:$T$44,$CU28,AU$57),""),1),IFERROR(INDEX(醫師週班表!$C$5:$T$44,$CU28,AU$57),"")))))))</f>
        <v/>
      </c>
      <c r="AV28" s="68">
        <f>IF(AV$59="X","",IF(AV$59&lt;&gt;"",AV$59,IF(IFERROR(INDEX(醫師週班表!$C$5:$T$44,$CU28,AV$57),"")=0,"",IF(MID(IFERROR(INDEX(醫師週班表!$C$5:$T$44,$CU28,AV$57),""),2,1)="/",MID(IFERROR(INDEX(醫師週班表!$C$5:$T$44,$CU28,AV$57),""),1+AV$58*2,1),IF(MID(IFERROR(INDEX(醫師週班表!$C$5:$T$44,$CU28,AV$57),""),3,1)="隔",IF(AV$58=0,LEFT(IFERROR(INDEX(醫師週班表!$C$5:$T$44,$CU28,AV$57),""),1),""),IF(MID(IFERROR(INDEX(醫師週班表!$C$5:$T$44,$CU28,AV$57),""),2,1)="(",LEFT(IFERROR(INDEX(醫師週班表!$C$5:$T$44,$CU28,AV$57),""),1),IFERROR(INDEX(醫師週班表!$C$5:$T$44,$CU28,AV$57),"")))))))</f>
        <v/>
      </c>
      <c r="AW28" s="68">
        <f>IF(AW$59="X","",IF(AW$59&lt;&gt;"",AW$59,IF(IFERROR(INDEX(醫師週班表!$C$5:$T$44,$CU28,AW$57),"")=0,"",IF(MID(IFERROR(INDEX(醫師週班表!$C$5:$T$44,$CU28,AW$57),""),2,1)="/",MID(IFERROR(INDEX(醫師週班表!$C$5:$T$44,$CU28,AW$57),""),1+AW$58*2,1),IF(MID(IFERROR(INDEX(醫師週班表!$C$5:$T$44,$CU28,AW$57),""),3,1)="隔",IF(AW$58=0,LEFT(IFERROR(INDEX(醫師週班表!$C$5:$T$44,$CU28,AW$57),""),1),""),IF(MID(IFERROR(INDEX(醫師週班表!$C$5:$T$44,$CU28,AW$57),""),2,1)="(",LEFT(IFERROR(INDEX(醫師週班表!$C$5:$T$44,$CU28,AW$57),""),1),IFERROR(INDEX(醫師週班表!$C$5:$T$44,$CU28,AW$57),"")))))))</f>
        <v/>
      </c>
      <c r="AX28" s="67">
        <f>IF(AX$59="X","",IF(AX$59&lt;&gt;"",AX$59,IF(IFERROR(INDEX(醫師週班表!$C$5:$T$44,$CU28,AX$57),"")=0,"",IF(MID(IFERROR(INDEX(醫師週班表!$C$5:$T$44,$CU28,AX$57),""),2,1)="/",MID(IFERROR(INDEX(醫師週班表!$C$5:$T$44,$CU28,AX$57),""),1+AX$58*2,1),IF(MID(IFERROR(INDEX(醫師週班表!$C$5:$T$44,$CU28,AX$57),""),3,1)="隔",IF(AX$58=0,LEFT(IFERROR(INDEX(醫師週班表!$C$5:$T$44,$CU28,AX$57),""),1),""),IF(MID(IFERROR(INDEX(醫師週班表!$C$5:$T$44,$CU28,AX$57),""),2,1)="(",LEFT(IFERROR(INDEX(醫師週班表!$C$5:$T$44,$CU28,AX$57),""),1),IFERROR(INDEX(醫師週班表!$C$5:$T$44,$CU28,AX$57),"")))))))</f>
        <v/>
      </c>
      <c r="AY28" s="68">
        <f>IF(AY$59="X","",IF(AY$59&lt;&gt;"",AY$59,IF(IFERROR(INDEX(醫師週班表!$C$5:$T$44,$CU28,AY$57),"")=0,"",IF(MID(IFERROR(INDEX(醫師週班表!$C$5:$T$44,$CU28,AY$57),""),2,1)="/",MID(IFERROR(INDEX(醫師週班表!$C$5:$T$44,$CU28,AY$57),""),1+AY$58*2,1),IF(MID(IFERROR(INDEX(醫師週班表!$C$5:$T$44,$CU28,AY$57),""),3,1)="隔",IF(AY$58=0,LEFT(IFERROR(INDEX(醫師週班表!$C$5:$T$44,$CU28,AY$57),""),1),""),IF(MID(IFERROR(INDEX(醫師週班表!$C$5:$T$44,$CU28,AY$57),""),2,1)="(",LEFT(IFERROR(INDEX(醫師週班表!$C$5:$T$44,$CU28,AY$57),""),1),IFERROR(INDEX(醫師週班表!$C$5:$T$44,$CU28,AY$57),"")))))))</f>
        <v/>
      </c>
      <c r="AZ28" s="68">
        <f>IF(AZ$59="X","",IF(AZ$59&lt;&gt;"",AZ$59,IF(IFERROR(INDEX(醫師週班表!$C$5:$T$44,$CU28,AZ$57),"")=0,"",IF(MID(IFERROR(INDEX(醫師週班表!$C$5:$T$44,$CU28,AZ$57),""),2,1)="/",MID(IFERROR(INDEX(醫師週班表!$C$5:$T$44,$CU28,AZ$57),""),1+AZ$58*2,1),IF(MID(IFERROR(INDEX(醫師週班表!$C$5:$T$44,$CU28,AZ$57),""),3,1)="隔",IF(AZ$58=0,LEFT(IFERROR(INDEX(醫師週班表!$C$5:$T$44,$CU28,AZ$57),""),1),""),IF(MID(IFERROR(INDEX(醫師週班表!$C$5:$T$44,$CU28,AZ$57),""),2,1)="(",LEFT(IFERROR(INDEX(醫師週班表!$C$5:$T$44,$CU28,AZ$57),""),1),IFERROR(INDEX(醫師週班表!$C$5:$T$44,$CU28,AZ$57),"")))))))</f>
        <v/>
      </c>
      <c r="BA28" s="67">
        <f>IF(BA$59="X","",IF(BA$59&lt;&gt;"",BA$59,IF(IFERROR(INDEX(醫師週班表!$C$5:$T$44,$CU28,BA$57),"")=0,"",IF(MID(IFERROR(INDEX(醫師週班表!$C$5:$T$44,$CU28,BA$57),""),2,1)="/",MID(IFERROR(INDEX(醫師週班表!$C$5:$T$44,$CU28,BA$57),""),1+BA$58*2,1),IF(MID(IFERROR(INDEX(醫師週班表!$C$5:$T$44,$CU28,BA$57),""),3,1)="隔",IF(BA$58=0,LEFT(IFERROR(INDEX(醫師週班表!$C$5:$T$44,$CU28,BA$57),""),1),""),IF(MID(IFERROR(INDEX(醫師週班表!$C$5:$T$44,$CU28,BA$57),""),2,1)="(",LEFT(IFERROR(INDEX(醫師週班表!$C$5:$T$44,$CU28,BA$57),""),1),IFERROR(INDEX(醫師週班表!$C$5:$T$44,$CU28,BA$57),"")))))))</f>
        <v/>
      </c>
      <c r="BB28" s="68">
        <f>IF(BB$59="X","",IF(BB$59&lt;&gt;"",BB$59,IF(IFERROR(INDEX(醫師週班表!$C$5:$T$44,$CU28,BB$57),"")=0,"",IF(MID(IFERROR(INDEX(醫師週班表!$C$5:$T$44,$CU28,BB$57),""),2,1)="/",MID(IFERROR(INDEX(醫師週班表!$C$5:$T$44,$CU28,BB$57),""),1+BB$58*2,1),IF(MID(IFERROR(INDEX(醫師週班表!$C$5:$T$44,$CU28,BB$57),""),3,1)="隔",IF(BB$58=0,LEFT(IFERROR(INDEX(醫師週班表!$C$5:$T$44,$CU28,BB$57),""),1),""),IF(MID(IFERROR(INDEX(醫師週班表!$C$5:$T$44,$CU28,BB$57),""),2,1)="(",LEFT(IFERROR(INDEX(醫師週班表!$C$5:$T$44,$CU28,BB$57),""),1),IFERROR(INDEX(醫師週班表!$C$5:$T$44,$CU28,BB$57),"")))))))</f>
        <v/>
      </c>
      <c r="BC28" s="68">
        <f>IF(BC$59="X","",IF(BC$59&lt;&gt;"",BC$59,IF(IFERROR(INDEX(醫師週班表!$C$5:$T$44,$CU28,BC$57),"")=0,"",IF(MID(IFERROR(INDEX(醫師週班表!$C$5:$T$44,$CU28,BC$57),""),2,1)="/",MID(IFERROR(INDEX(醫師週班表!$C$5:$T$44,$CU28,BC$57),""),1+BC$58*2,1),IF(MID(IFERROR(INDEX(醫師週班表!$C$5:$T$44,$CU28,BC$57),""),3,1)="隔",IF(BC$58=0,LEFT(IFERROR(INDEX(醫師週班表!$C$5:$T$44,$CU28,BC$57),""),1),""),IF(MID(IFERROR(INDEX(醫師週班表!$C$5:$T$44,$CU28,BC$57),""),2,1)="(",LEFT(IFERROR(INDEX(醫師週班表!$C$5:$T$44,$CU28,BC$57),""),1),IFERROR(INDEX(醫師週班表!$C$5:$T$44,$CU28,BC$57),"")))))))</f>
        <v/>
      </c>
      <c r="BD28" s="67">
        <f>IF(BD$59="X","",IF(BD$59&lt;&gt;"",BD$59,IF(IFERROR(INDEX(醫師週班表!$C$5:$T$44,$CU28,BD$57),"")=0,"",IF(MID(IFERROR(INDEX(醫師週班表!$C$5:$T$44,$CU28,BD$57),""),2,1)="/",MID(IFERROR(INDEX(醫師週班表!$C$5:$T$44,$CU28,BD$57),""),1+BD$58*2,1),IF(MID(IFERROR(INDEX(醫師週班表!$C$5:$T$44,$CU28,BD$57),""),3,1)="隔",IF(BD$58=0,LEFT(IFERROR(INDEX(醫師週班表!$C$5:$T$44,$CU28,BD$57),""),1),""),IF(MID(IFERROR(INDEX(醫師週班表!$C$5:$T$44,$CU28,BD$57),""),2,1)="(",LEFT(IFERROR(INDEX(醫師週班表!$C$5:$T$44,$CU28,BD$57),""),1),IFERROR(INDEX(醫師週班表!$C$5:$T$44,$CU28,BD$57),"")))))))</f>
        <v/>
      </c>
      <c r="BE28" s="68">
        <f>IF(BE$59="X","",IF(BE$59&lt;&gt;"",BE$59,IF(IFERROR(INDEX(醫師週班表!$C$5:$T$44,$CU28,BE$57),"")=0,"",IF(MID(IFERROR(INDEX(醫師週班表!$C$5:$T$44,$CU28,BE$57),""),2,1)="/",MID(IFERROR(INDEX(醫師週班表!$C$5:$T$44,$CU28,BE$57),""),1+BE$58*2,1),IF(MID(IFERROR(INDEX(醫師週班表!$C$5:$T$44,$CU28,BE$57),""),3,1)="隔",IF(BE$58=0,LEFT(IFERROR(INDEX(醫師週班表!$C$5:$T$44,$CU28,BE$57),""),1),""),IF(MID(IFERROR(INDEX(醫師週班表!$C$5:$T$44,$CU28,BE$57),""),2,1)="(",LEFT(IFERROR(INDEX(醫師週班表!$C$5:$T$44,$CU28,BE$57),""),1),IFERROR(INDEX(醫師週班表!$C$5:$T$44,$CU28,BE$57),"")))))))</f>
        <v/>
      </c>
      <c r="BF28" s="68">
        <f>IF(BF$59="X","",IF(BF$59&lt;&gt;"",BF$59,IF(IFERROR(INDEX(醫師週班表!$C$5:$T$44,$CU28,BF$57),"")=0,"",IF(MID(IFERROR(INDEX(醫師週班表!$C$5:$T$44,$CU28,BF$57),""),2,1)="/",MID(IFERROR(INDEX(醫師週班表!$C$5:$T$44,$CU28,BF$57),""),1+BF$58*2,1),IF(MID(IFERROR(INDEX(醫師週班表!$C$5:$T$44,$CU28,BF$57),""),3,1)="隔",IF(BF$58=0,LEFT(IFERROR(INDEX(醫師週班表!$C$5:$T$44,$CU28,BF$57),""),1),""),IF(MID(IFERROR(INDEX(醫師週班表!$C$5:$T$44,$CU28,BF$57),""),2,1)="(",LEFT(IFERROR(INDEX(醫師週班表!$C$5:$T$44,$CU28,BF$57),""),1),IFERROR(INDEX(醫師週班表!$C$5:$T$44,$CU28,BF$57),"")))))))</f>
        <v/>
      </c>
      <c r="BG28" s="67">
        <f>IF(BG$59="X","",IF(BG$59&lt;&gt;"",BG$59,IF(IFERROR(INDEX(醫師週班表!$C$5:$T$44,$CU28,BG$57),"")=0,"",IF(MID(IFERROR(INDEX(醫師週班表!$C$5:$T$44,$CU28,BG$57),""),2,1)="/",MID(IFERROR(INDEX(醫師週班表!$C$5:$T$44,$CU28,BG$57),""),1+BG$58*2,1),IF(MID(IFERROR(INDEX(醫師週班表!$C$5:$T$44,$CU28,BG$57),""),3,1)="隔",IF(BG$58=0,LEFT(IFERROR(INDEX(醫師週班表!$C$5:$T$44,$CU28,BG$57),""),1),""),IF(MID(IFERROR(INDEX(醫師週班表!$C$5:$T$44,$CU28,BG$57),""),2,1)="(",LEFT(IFERROR(INDEX(醫師週班表!$C$5:$T$44,$CU28,BG$57),""),1),IFERROR(INDEX(醫師週班表!$C$5:$T$44,$CU28,BG$57),"")))))))</f>
        <v/>
      </c>
      <c r="BH28" s="68">
        <f>IF(BH$59="X","",IF(BH$59&lt;&gt;"",BH$59,IF(IFERROR(INDEX(醫師週班表!$C$5:$T$44,$CU28,BH$57),"")=0,"",IF(MID(IFERROR(INDEX(醫師週班表!$C$5:$T$44,$CU28,BH$57),""),2,1)="/",MID(IFERROR(INDEX(醫師週班表!$C$5:$T$44,$CU28,BH$57),""),1+BH$58*2,1),IF(MID(IFERROR(INDEX(醫師週班表!$C$5:$T$44,$CU28,BH$57),""),3,1)="隔",IF(BH$58=0,LEFT(IFERROR(INDEX(醫師週班表!$C$5:$T$44,$CU28,BH$57),""),1),""),IF(MID(IFERROR(INDEX(醫師週班表!$C$5:$T$44,$CU28,BH$57),""),2,1)="(",LEFT(IFERROR(INDEX(醫師週班表!$C$5:$T$44,$CU28,BH$57),""),1),IFERROR(INDEX(醫師週班表!$C$5:$T$44,$CU28,BH$57),"")))))))</f>
        <v/>
      </c>
      <c r="BI28" s="68">
        <f>IF(BI$59="X","",IF(BI$59&lt;&gt;"",BI$59,IF(IFERROR(INDEX(醫師週班表!$C$5:$T$44,$CU28,BI$57),"")=0,"",IF(MID(IFERROR(INDEX(醫師週班表!$C$5:$T$44,$CU28,BI$57),""),2,1)="/",MID(IFERROR(INDEX(醫師週班表!$C$5:$T$44,$CU28,BI$57),""),1+BI$58*2,1),IF(MID(IFERROR(INDEX(醫師週班表!$C$5:$T$44,$CU28,BI$57),""),3,1)="隔",IF(BI$58=0,LEFT(IFERROR(INDEX(醫師週班表!$C$5:$T$44,$CU28,BI$57),""),1),""),IF(MID(IFERROR(INDEX(醫師週班表!$C$5:$T$44,$CU28,BI$57),""),2,1)="(",LEFT(IFERROR(INDEX(醫師週班表!$C$5:$T$44,$CU28,BI$57),""),1),IFERROR(INDEX(醫師週班表!$C$5:$T$44,$CU28,BI$57),"")))))))</f>
        <v/>
      </c>
      <c r="BJ28" s="67">
        <f>IF(BJ$59="X","",IF(BJ$59&lt;&gt;"",BJ$59,IF(IFERROR(INDEX(醫師週班表!$C$5:$T$44,$CU28,BJ$57),"")=0,"",IF(MID(IFERROR(INDEX(醫師週班表!$C$5:$T$44,$CU28,BJ$57),""),2,1)="/",MID(IFERROR(INDEX(醫師週班表!$C$5:$T$44,$CU28,BJ$57),""),1+BJ$58*2,1),IF(MID(IFERROR(INDEX(醫師週班表!$C$5:$T$44,$CU28,BJ$57),""),3,1)="隔",IF(BJ$58=0,LEFT(IFERROR(INDEX(醫師週班表!$C$5:$T$44,$CU28,BJ$57),""),1),""),IF(MID(IFERROR(INDEX(醫師週班表!$C$5:$T$44,$CU28,BJ$57),""),2,1)="(",LEFT(IFERROR(INDEX(醫師週班表!$C$5:$T$44,$CU28,BJ$57),""),1),IFERROR(INDEX(醫師週班表!$C$5:$T$44,$CU28,BJ$57),"")))))))</f>
        <v/>
      </c>
      <c r="BK28" s="68">
        <f>IF(BK$59="X","",IF(BK$59&lt;&gt;"",BK$59,IF(IFERROR(INDEX(醫師週班表!$C$5:$T$44,$CU28,BK$57),"")=0,"",IF(MID(IFERROR(INDEX(醫師週班表!$C$5:$T$44,$CU28,BK$57),""),2,1)="/",MID(IFERROR(INDEX(醫師週班表!$C$5:$T$44,$CU28,BK$57),""),1+BK$58*2,1),IF(MID(IFERROR(INDEX(醫師週班表!$C$5:$T$44,$CU28,BK$57),""),3,1)="隔",IF(BK$58=0,LEFT(IFERROR(INDEX(醫師週班表!$C$5:$T$44,$CU28,BK$57),""),1),""),IF(MID(IFERROR(INDEX(醫師週班表!$C$5:$T$44,$CU28,BK$57),""),2,1)="(",LEFT(IFERROR(INDEX(醫師週班表!$C$5:$T$44,$CU28,BK$57),""),1),IFERROR(INDEX(醫師週班表!$C$5:$T$44,$CU28,BK$57),"")))))))</f>
        <v/>
      </c>
      <c r="BL28" s="68">
        <f>IF(BL$59="X","",IF(BL$59&lt;&gt;"",BL$59,IF(IFERROR(INDEX(醫師週班表!$C$5:$T$44,$CU28,BL$57),"")=0,"",IF(MID(IFERROR(INDEX(醫師週班表!$C$5:$T$44,$CU28,BL$57),""),2,1)="/",MID(IFERROR(INDEX(醫師週班表!$C$5:$T$44,$CU28,BL$57),""),1+BL$58*2,1),IF(MID(IFERROR(INDEX(醫師週班表!$C$5:$T$44,$CU28,BL$57),""),3,1)="隔",IF(BL$58=0,LEFT(IFERROR(INDEX(醫師週班表!$C$5:$T$44,$CU28,BL$57),""),1),""),IF(MID(IFERROR(INDEX(醫師週班表!$C$5:$T$44,$CU28,BL$57),""),2,1)="(",LEFT(IFERROR(INDEX(醫師週班表!$C$5:$T$44,$CU28,BL$57),""),1),IFERROR(INDEX(醫師週班表!$C$5:$T$44,$CU28,BL$57),"")))))))</f>
        <v/>
      </c>
      <c r="BM28" s="67">
        <f>IF(BM$59="X","",IF(BM$59&lt;&gt;"",BM$59,IF(IFERROR(INDEX(醫師週班表!$C$5:$T$44,$CU28,BM$57),"")=0,"",IF(MID(IFERROR(INDEX(醫師週班表!$C$5:$T$44,$CU28,BM$57),""),2,1)="/",MID(IFERROR(INDEX(醫師週班表!$C$5:$T$44,$CU28,BM$57),""),1+BM$58*2,1),IF(MID(IFERROR(INDEX(醫師週班表!$C$5:$T$44,$CU28,BM$57),""),3,1)="隔",IF(BM$58=0,LEFT(IFERROR(INDEX(醫師週班表!$C$5:$T$44,$CU28,BM$57),""),1),""),IF(MID(IFERROR(INDEX(醫師週班表!$C$5:$T$44,$CU28,BM$57),""),2,1)="(",LEFT(IFERROR(INDEX(醫師週班表!$C$5:$T$44,$CU28,BM$57),""),1),IFERROR(INDEX(醫師週班表!$C$5:$T$44,$CU28,BM$57),"")))))))</f>
        <v/>
      </c>
      <c r="BN28" s="68">
        <f>IF(BN$59="X","",IF(BN$59&lt;&gt;"",BN$59,IF(IFERROR(INDEX(醫師週班表!$C$5:$T$44,$CU28,BN$57),"")=0,"",IF(MID(IFERROR(INDEX(醫師週班表!$C$5:$T$44,$CU28,BN$57),""),2,1)="/",MID(IFERROR(INDEX(醫師週班表!$C$5:$T$44,$CU28,BN$57),""),1+BN$58*2,1),IF(MID(IFERROR(INDEX(醫師週班表!$C$5:$T$44,$CU28,BN$57),""),3,1)="隔",IF(BN$58=0,LEFT(IFERROR(INDEX(醫師週班表!$C$5:$T$44,$CU28,BN$57),""),1),""),IF(MID(IFERROR(INDEX(醫師週班表!$C$5:$T$44,$CU28,BN$57),""),2,1)="(",LEFT(IFERROR(INDEX(醫師週班表!$C$5:$T$44,$CU28,BN$57),""),1),IFERROR(INDEX(醫師週班表!$C$5:$T$44,$CU28,BN$57),"")))))))</f>
        <v/>
      </c>
      <c r="BO28" s="68">
        <f>IF(BO$59="X","",IF(BO$59&lt;&gt;"",BO$59,IF(IFERROR(INDEX(醫師週班表!$C$5:$T$44,$CU28,BO$57),"")=0,"",IF(MID(IFERROR(INDEX(醫師週班表!$C$5:$T$44,$CU28,BO$57),""),2,1)="/",MID(IFERROR(INDEX(醫師週班表!$C$5:$T$44,$CU28,BO$57),""),1+BO$58*2,1),IF(MID(IFERROR(INDEX(醫師週班表!$C$5:$T$44,$CU28,BO$57),""),3,1)="隔",IF(BO$58=0,LEFT(IFERROR(INDEX(醫師週班表!$C$5:$T$44,$CU28,BO$57),""),1),""),IF(MID(IFERROR(INDEX(醫師週班表!$C$5:$T$44,$CU28,BO$57),""),2,1)="(",LEFT(IFERROR(INDEX(醫師週班表!$C$5:$T$44,$CU28,BO$57),""),1),IFERROR(INDEX(醫師週班表!$C$5:$T$44,$CU28,BO$57),"")))))))</f>
        <v/>
      </c>
      <c r="BP28" s="67">
        <f>IF(BP$59="X","",IF(BP$59&lt;&gt;"",BP$59,IF(IFERROR(INDEX(醫師週班表!$C$5:$T$44,$CU28,BP$57),"")=0,"",IF(MID(IFERROR(INDEX(醫師週班表!$C$5:$T$44,$CU28,BP$57),""),2,1)="/",MID(IFERROR(INDEX(醫師週班表!$C$5:$T$44,$CU28,BP$57),""),1+BP$58*2,1),IF(MID(IFERROR(INDEX(醫師週班表!$C$5:$T$44,$CU28,BP$57),""),3,1)="隔",IF(BP$58=0,LEFT(IFERROR(INDEX(醫師週班表!$C$5:$T$44,$CU28,BP$57),""),1),""),IF(MID(IFERROR(INDEX(醫師週班表!$C$5:$T$44,$CU28,BP$57),""),2,1)="(",LEFT(IFERROR(INDEX(醫師週班表!$C$5:$T$44,$CU28,BP$57),""),1),IFERROR(INDEX(醫師週班表!$C$5:$T$44,$CU28,BP$57),"")))))))</f>
        <v/>
      </c>
      <c r="BQ28" s="68">
        <f>IF(BQ$59="X","",IF(BQ$59&lt;&gt;"",BQ$59,IF(IFERROR(INDEX(醫師週班表!$C$5:$T$44,$CU28,BQ$57),"")=0,"",IF(MID(IFERROR(INDEX(醫師週班表!$C$5:$T$44,$CU28,BQ$57),""),2,1)="/",MID(IFERROR(INDEX(醫師週班表!$C$5:$T$44,$CU28,BQ$57),""),1+BQ$58*2,1),IF(MID(IFERROR(INDEX(醫師週班表!$C$5:$T$44,$CU28,BQ$57),""),3,1)="隔",IF(BQ$58=0,LEFT(IFERROR(INDEX(醫師週班表!$C$5:$T$44,$CU28,BQ$57),""),1),""),IF(MID(IFERROR(INDEX(醫師週班表!$C$5:$T$44,$CU28,BQ$57),""),2,1)="(",LEFT(IFERROR(INDEX(醫師週班表!$C$5:$T$44,$CU28,BQ$57),""),1),IFERROR(INDEX(醫師週班表!$C$5:$T$44,$CU28,BQ$57),"")))))))</f>
        <v/>
      </c>
      <c r="BR28" s="68">
        <f>IF(BR$59="X","",IF(BR$59&lt;&gt;"",BR$59,IF(IFERROR(INDEX(醫師週班表!$C$5:$T$44,$CU28,BR$57),"")=0,"",IF(MID(IFERROR(INDEX(醫師週班表!$C$5:$T$44,$CU28,BR$57),""),2,1)="/",MID(IFERROR(INDEX(醫師週班表!$C$5:$T$44,$CU28,BR$57),""),1+BR$58*2,1),IF(MID(IFERROR(INDEX(醫師週班表!$C$5:$T$44,$CU28,BR$57),""),3,1)="隔",IF(BR$58=0,LEFT(IFERROR(INDEX(醫師週班表!$C$5:$T$44,$CU28,BR$57),""),1),""),IF(MID(IFERROR(INDEX(醫師週班表!$C$5:$T$44,$CU28,BR$57),""),2,1)="(",LEFT(IFERROR(INDEX(醫師週班表!$C$5:$T$44,$CU28,BR$57),""),1),IFERROR(INDEX(醫師週班表!$C$5:$T$44,$CU28,BR$57),"")))))))</f>
        <v/>
      </c>
      <c r="BS28" s="67">
        <f>IF(BS$59="X","",IF(BS$59&lt;&gt;"",BS$59,IF(IFERROR(INDEX(醫師週班表!$C$5:$T$44,$CU28,BS$57),"")=0,"",IF(MID(IFERROR(INDEX(醫師週班表!$C$5:$T$44,$CU28,BS$57),""),2,1)="/",MID(IFERROR(INDEX(醫師週班表!$C$5:$T$44,$CU28,BS$57),""),1+BS$58*2,1),IF(MID(IFERROR(INDEX(醫師週班表!$C$5:$T$44,$CU28,BS$57),""),3,1)="隔",IF(BS$58=0,LEFT(IFERROR(INDEX(醫師週班表!$C$5:$T$44,$CU28,BS$57),""),1),""),IF(MID(IFERROR(INDEX(醫師週班表!$C$5:$T$44,$CU28,BS$57),""),2,1)="(",LEFT(IFERROR(INDEX(醫師週班表!$C$5:$T$44,$CU28,BS$57),""),1),IFERROR(INDEX(醫師週班表!$C$5:$T$44,$CU28,BS$57),"")))))))</f>
        <v/>
      </c>
      <c r="BT28" s="68">
        <f>IF(BT$59="X","",IF(BT$59&lt;&gt;"",BT$59,IF(IFERROR(INDEX(醫師週班表!$C$5:$T$44,$CU28,BT$57),"")=0,"",IF(MID(IFERROR(INDEX(醫師週班表!$C$5:$T$44,$CU28,BT$57),""),2,1)="/",MID(IFERROR(INDEX(醫師週班表!$C$5:$T$44,$CU28,BT$57),""),1+BT$58*2,1),IF(MID(IFERROR(INDEX(醫師週班表!$C$5:$T$44,$CU28,BT$57),""),3,1)="隔",IF(BT$58=0,LEFT(IFERROR(INDEX(醫師週班表!$C$5:$T$44,$CU28,BT$57),""),1),""),IF(MID(IFERROR(INDEX(醫師週班表!$C$5:$T$44,$CU28,BT$57),""),2,1)="(",LEFT(IFERROR(INDEX(醫師週班表!$C$5:$T$44,$CU28,BT$57),""),1),IFERROR(INDEX(醫師週班表!$C$5:$T$44,$CU28,BT$57),"")))))))</f>
        <v/>
      </c>
      <c r="BU28" s="68">
        <f>IF(BU$59="X","",IF(BU$59&lt;&gt;"",BU$59,IF(IFERROR(INDEX(醫師週班表!$C$5:$T$44,$CU28,BU$57),"")=0,"",IF(MID(IFERROR(INDEX(醫師週班表!$C$5:$T$44,$CU28,BU$57),""),2,1)="/",MID(IFERROR(INDEX(醫師週班表!$C$5:$T$44,$CU28,BU$57),""),1+BU$58*2,1),IF(MID(IFERROR(INDEX(醫師週班表!$C$5:$T$44,$CU28,BU$57),""),3,1)="隔",IF(BU$58=0,LEFT(IFERROR(INDEX(醫師週班表!$C$5:$T$44,$CU28,BU$57),""),1),""),IF(MID(IFERROR(INDEX(醫師週班表!$C$5:$T$44,$CU28,BU$57),""),2,1)="(",LEFT(IFERROR(INDEX(醫師週班表!$C$5:$T$44,$CU28,BU$57),""),1),IFERROR(INDEX(醫師週班表!$C$5:$T$44,$CU28,BU$57),"")))))))</f>
        <v/>
      </c>
      <c r="BV28" s="67">
        <f>IF(BV$59="X","",IF(BV$59&lt;&gt;"",BV$59,IF(IFERROR(INDEX(醫師週班表!$C$5:$T$44,$CU28,BV$57),"")=0,"",IF(MID(IFERROR(INDEX(醫師週班表!$C$5:$T$44,$CU28,BV$57),""),2,1)="/",MID(IFERROR(INDEX(醫師週班表!$C$5:$T$44,$CU28,BV$57),""),1+BV$58*2,1),IF(MID(IFERROR(INDEX(醫師週班表!$C$5:$T$44,$CU28,BV$57),""),3,1)="隔",IF(BV$58=0,LEFT(IFERROR(INDEX(醫師週班表!$C$5:$T$44,$CU28,BV$57),""),1),""),IF(MID(IFERROR(INDEX(醫師週班表!$C$5:$T$44,$CU28,BV$57),""),2,1)="(",LEFT(IFERROR(INDEX(醫師週班表!$C$5:$T$44,$CU28,BV$57),""),1),IFERROR(INDEX(醫師週班表!$C$5:$T$44,$CU28,BV$57),"")))))))</f>
        <v/>
      </c>
      <c r="BW28" s="68">
        <f>IF(BW$59="X","",IF(BW$59&lt;&gt;"",BW$59,IF(IFERROR(INDEX(醫師週班表!$C$5:$T$44,$CU28,BW$57),"")=0,"",IF(MID(IFERROR(INDEX(醫師週班表!$C$5:$T$44,$CU28,BW$57),""),2,1)="/",MID(IFERROR(INDEX(醫師週班表!$C$5:$T$44,$CU28,BW$57),""),1+BW$58*2,1),IF(MID(IFERROR(INDEX(醫師週班表!$C$5:$T$44,$CU28,BW$57),""),3,1)="隔",IF(BW$58=0,LEFT(IFERROR(INDEX(醫師週班表!$C$5:$T$44,$CU28,BW$57),""),1),""),IF(MID(IFERROR(INDEX(醫師週班表!$C$5:$T$44,$CU28,BW$57),""),2,1)="(",LEFT(IFERROR(INDEX(醫師週班表!$C$5:$T$44,$CU28,BW$57),""),1),IFERROR(INDEX(醫師週班表!$C$5:$T$44,$CU28,BW$57),"")))))))</f>
        <v/>
      </c>
      <c r="BX28" s="68">
        <f>IF(BX$59="X","",IF(BX$59&lt;&gt;"",BX$59,IF(IFERROR(INDEX(醫師週班表!$C$5:$T$44,$CU28,BX$57),"")=0,"",IF(MID(IFERROR(INDEX(醫師週班表!$C$5:$T$44,$CU28,BX$57),""),2,1)="/",MID(IFERROR(INDEX(醫師週班表!$C$5:$T$44,$CU28,BX$57),""),1+BX$58*2,1),IF(MID(IFERROR(INDEX(醫師週班表!$C$5:$T$44,$CU28,BX$57),""),3,1)="隔",IF(BX$58=0,LEFT(IFERROR(INDEX(醫師週班表!$C$5:$T$44,$CU28,BX$57),""),1),""),IF(MID(IFERROR(INDEX(醫師週班表!$C$5:$T$44,$CU28,BX$57),""),2,1)="(",LEFT(IFERROR(INDEX(醫師週班表!$C$5:$T$44,$CU28,BX$57),""),1),IFERROR(INDEX(醫師週班表!$C$5:$T$44,$CU28,BX$57),"")))))))</f>
        <v/>
      </c>
      <c r="BY28" s="67">
        <f>IF(BY$59="X","",IF(BY$59&lt;&gt;"",BY$59,IF(IFERROR(INDEX(醫師週班表!$C$5:$T$44,$CU28,BY$57),"")=0,"",IF(MID(IFERROR(INDEX(醫師週班表!$C$5:$T$44,$CU28,BY$57),""),2,1)="/",MID(IFERROR(INDEX(醫師週班表!$C$5:$T$44,$CU28,BY$57),""),1+BY$58*2,1),IF(MID(IFERROR(INDEX(醫師週班表!$C$5:$T$44,$CU28,BY$57),""),3,1)="隔",IF(BY$58=0,LEFT(IFERROR(INDEX(醫師週班表!$C$5:$T$44,$CU28,BY$57),""),1),""),IF(MID(IFERROR(INDEX(醫師週班表!$C$5:$T$44,$CU28,BY$57),""),2,1)="(",LEFT(IFERROR(INDEX(醫師週班表!$C$5:$T$44,$CU28,BY$57),""),1),IFERROR(INDEX(醫師週班表!$C$5:$T$44,$CU28,BY$57),"")))))))</f>
        <v/>
      </c>
      <c r="BZ28" s="68">
        <f>IF(BZ$59="X","",IF(BZ$59&lt;&gt;"",BZ$59,IF(IFERROR(INDEX(醫師週班表!$C$5:$T$44,$CU28,BZ$57),"")=0,"",IF(MID(IFERROR(INDEX(醫師週班表!$C$5:$T$44,$CU28,BZ$57),""),2,1)="/",MID(IFERROR(INDEX(醫師週班表!$C$5:$T$44,$CU28,BZ$57),""),1+BZ$58*2,1),IF(MID(IFERROR(INDEX(醫師週班表!$C$5:$T$44,$CU28,BZ$57),""),3,1)="隔",IF(BZ$58=0,LEFT(IFERROR(INDEX(醫師週班表!$C$5:$T$44,$CU28,BZ$57),""),1),""),IF(MID(IFERROR(INDEX(醫師週班表!$C$5:$T$44,$CU28,BZ$57),""),2,1)="(",LEFT(IFERROR(INDEX(醫師週班表!$C$5:$T$44,$CU28,BZ$57),""),1),IFERROR(INDEX(醫師週班表!$C$5:$T$44,$CU28,BZ$57),"")))))))</f>
        <v/>
      </c>
      <c r="CA28" s="68">
        <f>IF(CA$59="X","",IF(CA$59&lt;&gt;"",CA$59,IF(IFERROR(INDEX(醫師週班表!$C$5:$T$44,$CU28,CA$57),"")=0,"",IF(MID(IFERROR(INDEX(醫師週班表!$C$5:$T$44,$CU28,CA$57),""),2,1)="/",MID(IFERROR(INDEX(醫師週班表!$C$5:$T$44,$CU28,CA$57),""),1+CA$58*2,1),IF(MID(IFERROR(INDEX(醫師週班表!$C$5:$T$44,$CU28,CA$57),""),3,1)="隔",IF(CA$58=0,LEFT(IFERROR(INDEX(醫師週班表!$C$5:$T$44,$CU28,CA$57),""),1),""),IF(MID(IFERROR(INDEX(醫師週班表!$C$5:$T$44,$CU28,CA$57),""),2,1)="(",LEFT(IFERROR(INDEX(醫師週班表!$C$5:$T$44,$CU28,CA$57),""),1),IFERROR(INDEX(醫師週班表!$C$5:$T$44,$CU28,CA$57),"")))))))</f>
        <v/>
      </c>
      <c r="CB28" s="67">
        <f>IF(CB$59="X","",IF(CB$59&lt;&gt;"",CB$59,IF(IFERROR(INDEX(醫師週班表!$C$5:$T$44,$CU28,CB$57),"")=0,"",IF(MID(IFERROR(INDEX(醫師週班表!$C$5:$T$44,$CU28,CB$57),""),2,1)="/",MID(IFERROR(INDEX(醫師週班表!$C$5:$T$44,$CU28,CB$57),""),1+CB$58*2,1),IF(MID(IFERROR(INDEX(醫師週班表!$C$5:$T$44,$CU28,CB$57),""),3,1)="隔",IF(CB$58=0,LEFT(IFERROR(INDEX(醫師週班表!$C$5:$T$44,$CU28,CB$57),""),1),""),IF(MID(IFERROR(INDEX(醫師週班表!$C$5:$T$44,$CU28,CB$57),""),2,1)="(",LEFT(IFERROR(INDEX(醫師週班表!$C$5:$T$44,$CU28,CB$57),""),1),IFERROR(INDEX(醫師週班表!$C$5:$T$44,$CU28,CB$57),"")))))))</f>
        <v/>
      </c>
      <c r="CC28" s="68">
        <f>IF(CC$59="X","",IF(CC$59&lt;&gt;"",CC$59,IF(IFERROR(INDEX(醫師週班表!$C$5:$T$44,$CU28,CC$57),"")=0,"",IF(MID(IFERROR(INDEX(醫師週班表!$C$5:$T$44,$CU28,CC$57),""),2,1)="/",MID(IFERROR(INDEX(醫師週班表!$C$5:$T$44,$CU28,CC$57),""),1+CC$58*2,1),IF(MID(IFERROR(INDEX(醫師週班表!$C$5:$T$44,$CU28,CC$57),""),3,1)="隔",IF(CC$58=0,LEFT(IFERROR(INDEX(醫師週班表!$C$5:$T$44,$CU28,CC$57),""),1),""),IF(MID(IFERROR(INDEX(醫師週班表!$C$5:$T$44,$CU28,CC$57),""),2,1)="(",LEFT(IFERROR(INDEX(醫師週班表!$C$5:$T$44,$CU28,CC$57),""),1),IFERROR(INDEX(醫師週班表!$C$5:$T$44,$CU28,CC$57),"")))))))</f>
        <v/>
      </c>
      <c r="CD28" s="68">
        <f>IF(CD$59="X","",IF(CD$59&lt;&gt;"",CD$59,IF(IFERROR(INDEX(醫師週班表!$C$5:$T$44,$CU28,CD$57),"")=0,"",IF(MID(IFERROR(INDEX(醫師週班表!$C$5:$T$44,$CU28,CD$57),""),2,1)="/",MID(IFERROR(INDEX(醫師週班表!$C$5:$T$44,$CU28,CD$57),""),1+CD$58*2,1),IF(MID(IFERROR(INDEX(醫師週班表!$C$5:$T$44,$CU28,CD$57),""),3,1)="隔",IF(CD$58=0,LEFT(IFERROR(INDEX(醫師週班表!$C$5:$T$44,$CU28,CD$57),""),1),""),IF(MID(IFERROR(INDEX(醫師週班表!$C$5:$T$44,$CU28,CD$57),""),2,1)="(",LEFT(IFERROR(INDEX(醫師週班表!$C$5:$T$44,$CU28,CD$57),""),1),IFERROR(INDEX(醫師週班表!$C$5:$T$44,$CU28,CD$57),"")))))))</f>
        <v/>
      </c>
      <c r="CE28" s="67">
        <f>IF(CE$59="X","",IF(CE$59&lt;&gt;"",CE$59,IF(IFERROR(INDEX(醫師週班表!$C$5:$T$44,$CU28,CE$57),"")=0,"",IF(MID(IFERROR(INDEX(醫師週班表!$C$5:$T$44,$CU28,CE$57),""),2,1)="/",MID(IFERROR(INDEX(醫師週班表!$C$5:$T$44,$CU28,CE$57),""),1+CE$58*2,1),IF(MID(IFERROR(INDEX(醫師週班表!$C$5:$T$44,$CU28,CE$57),""),3,1)="隔",IF(CE$58=0,LEFT(IFERROR(INDEX(醫師週班表!$C$5:$T$44,$CU28,CE$57),""),1),""),IF(MID(IFERROR(INDEX(醫師週班表!$C$5:$T$44,$CU28,CE$57),""),2,1)="(",LEFT(IFERROR(INDEX(醫師週班表!$C$5:$T$44,$CU28,CE$57),""),1),IFERROR(INDEX(醫師週班表!$C$5:$T$44,$CU28,CE$57),"")))))))</f>
        <v/>
      </c>
      <c r="CF28" s="68">
        <f>IF(CF$59="X","",IF(CF$59&lt;&gt;"",CF$59,IF(IFERROR(INDEX(醫師週班表!$C$5:$T$44,$CU28,CF$57),"")=0,"",IF(MID(IFERROR(INDEX(醫師週班表!$C$5:$T$44,$CU28,CF$57),""),2,1)="/",MID(IFERROR(INDEX(醫師週班表!$C$5:$T$44,$CU28,CF$57),""),1+CF$58*2,1),IF(MID(IFERROR(INDEX(醫師週班表!$C$5:$T$44,$CU28,CF$57),""),3,1)="隔",IF(CF$58=0,LEFT(IFERROR(INDEX(醫師週班表!$C$5:$T$44,$CU28,CF$57),""),1),""),IF(MID(IFERROR(INDEX(醫師週班表!$C$5:$T$44,$CU28,CF$57),""),2,1)="(",LEFT(IFERROR(INDEX(醫師週班表!$C$5:$T$44,$CU28,CF$57),""),1),IFERROR(INDEX(醫師週班表!$C$5:$T$44,$CU28,CF$57),"")))))))</f>
        <v/>
      </c>
      <c r="CG28" s="68">
        <f>IF(CG$59="X","",IF(CG$59&lt;&gt;"",CG$59,IF(IFERROR(INDEX(醫師週班表!$C$5:$T$44,$CU28,CG$57),"")=0,"",IF(MID(IFERROR(INDEX(醫師週班表!$C$5:$T$44,$CU28,CG$57),""),2,1)="/",MID(IFERROR(INDEX(醫師週班表!$C$5:$T$44,$CU28,CG$57),""),1+CG$58*2,1),IF(MID(IFERROR(INDEX(醫師週班表!$C$5:$T$44,$CU28,CG$57),""),3,1)="隔",IF(CG$58=0,LEFT(IFERROR(INDEX(醫師週班表!$C$5:$T$44,$CU28,CG$57),""),1),""),IF(MID(IFERROR(INDEX(醫師週班表!$C$5:$T$44,$CU28,CG$57),""),2,1)="(",LEFT(IFERROR(INDEX(醫師週班表!$C$5:$T$44,$CU28,CG$57),""),1),IFERROR(INDEX(醫師週班表!$C$5:$T$44,$CU28,CG$57),"")))))))</f>
        <v/>
      </c>
      <c r="CH28" s="67">
        <f>IF(CH$59="X","",IF(CH$59&lt;&gt;"",CH$59,IF(IFERROR(INDEX(醫師週班表!$C$5:$T$44,$CU28,CH$57),"")=0,"",IF(MID(IFERROR(INDEX(醫師週班表!$C$5:$T$44,$CU28,CH$57),""),2,1)="/",MID(IFERROR(INDEX(醫師週班表!$C$5:$T$44,$CU28,CH$57),""),1+CH$58*2,1),IF(MID(IFERROR(INDEX(醫師週班表!$C$5:$T$44,$CU28,CH$57),""),3,1)="隔",IF(CH$58=0,LEFT(IFERROR(INDEX(醫師週班表!$C$5:$T$44,$CU28,CH$57),""),1),""),IF(MID(IFERROR(INDEX(醫師週班表!$C$5:$T$44,$CU28,CH$57),""),2,1)="(",LEFT(IFERROR(INDEX(醫師週班表!$C$5:$T$44,$CU28,CH$57),""),1),IFERROR(INDEX(醫師週班表!$C$5:$T$44,$CU28,CH$57),"")))))))</f>
        <v/>
      </c>
      <c r="CI28" s="68">
        <f>IF(CI$59="X","",IF(CI$59&lt;&gt;"",CI$59,IF(IFERROR(INDEX(醫師週班表!$C$5:$T$44,$CU28,CI$57),"")=0,"",IF(MID(IFERROR(INDEX(醫師週班表!$C$5:$T$44,$CU28,CI$57),""),2,1)="/",MID(IFERROR(INDEX(醫師週班表!$C$5:$T$44,$CU28,CI$57),""),1+CI$58*2,1),IF(MID(IFERROR(INDEX(醫師週班表!$C$5:$T$44,$CU28,CI$57),""),3,1)="隔",IF(CI$58=0,LEFT(IFERROR(INDEX(醫師週班表!$C$5:$T$44,$CU28,CI$57),""),1),""),IF(MID(IFERROR(INDEX(醫師週班表!$C$5:$T$44,$CU28,CI$57),""),2,1)="(",LEFT(IFERROR(INDEX(醫師週班表!$C$5:$T$44,$CU28,CI$57),""),1),IFERROR(INDEX(醫師週班表!$C$5:$T$44,$CU28,CI$57),"")))))))</f>
        <v/>
      </c>
      <c r="CJ28" s="68">
        <f>IF(CJ$59="X","",IF(CJ$59&lt;&gt;"",CJ$59,IF(IFERROR(INDEX(醫師週班表!$C$5:$T$44,$CU28,CJ$57),"")=0,"",IF(MID(IFERROR(INDEX(醫師週班表!$C$5:$T$44,$CU28,CJ$57),""),2,1)="/",MID(IFERROR(INDEX(醫師週班表!$C$5:$T$44,$CU28,CJ$57),""),1+CJ$58*2,1),IF(MID(IFERROR(INDEX(醫師週班表!$C$5:$T$44,$CU28,CJ$57),""),3,1)="隔",IF(CJ$58=0,LEFT(IFERROR(INDEX(醫師週班表!$C$5:$T$44,$CU28,CJ$57),""),1),""),IF(MID(IFERROR(INDEX(醫師週班表!$C$5:$T$44,$CU28,CJ$57),""),2,1)="(",LEFT(IFERROR(INDEX(醫師週班表!$C$5:$T$44,$CU28,CJ$57),""),1),IFERROR(INDEX(醫師週班表!$C$5:$T$44,$CU28,CJ$57),"")))))))</f>
        <v/>
      </c>
      <c r="CK28" s="67">
        <f>IF(CK$59="X","",IF(CK$59&lt;&gt;"",CK$59,IF(IFERROR(INDEX(醫師週班表!$C$5:$T$44,$CU28,CK$57),"")=0,"",IF(MID(IFERROR(INDEX(醫師週班表!$C$5:$T$44,$CU28,CK$57),""),2,1)="/",MID(IFERROR(INDEX(醫師週班表!$C$5:$T$44,$CU28,CK$57),""),1+CK$58*2,1),IF(MID(IFERROR(INDEX(醫師週班表!$C$5:$T$44,$CU28,CK$57),""),3,1)="隔",IF(CK$58=0,LEFT(IFERROR(INDEX(醫師週班表!$C$5:$T$44,$CU28,CK$57),""),1),""),IF(MID(IFERROR(INDEX(醫師週班表!$C$5:$T$44,$CU28,CK$57),""),2,1)="(",LEFT(IFERROR(INDEX(醫師週班表!$C$5:$T$44,$CU28,CK$57),""),1),IFERROR(INDEX(醫師週班表!$C$5:$T$44,$CU28,CK$57),"")))))))</f>
        <v/>
      </c>
      <c r="CL28" s="68">
        <f>IF(CL$59="X","",IF(CL$59&lt;&gt;"",CL$59,IF(IFERROR(INDEX(醫師週班表!$C$5:$T$44,$CU28,CL$57),"")=0,"",IF(MID(IFERROR(INDEX(醫師週班表!$C$5:$T$44,$CU28,CL$57),""),2,1)="/",MID(IFERROR(INDEX(醫師週班表!$C$5:$T$44,$CU28,CL$57),""),1+CL$58*2,1),IF(MID(IFERROR(INDEX(醫師週班表!$C$5:$T$44,$CU28,CL$57),""),3,1)="隔",IF(CL$58=0,LEFT(IFERROR(INDEX(醫師週班表!$C$5:$T$44,$CU28,CL$57),""),1),""),IF(MID(IFERROR(INDEX(醫師週班表!$C$5:$T$44,$CU28,CL$57),""),2,1)="(",LEFT(IFERROR(INDEX(醫師週班表!$C$5:$T$44,$CU28,CL$57),""),1),IFERROR(INDEX(醫師週班表!$C$5:$T$44,$CU28,CL$57),"")))))))</f>
        <v/>
      </c>
      <c r="CM28" s="68">
        <f>IF(CM$59="X","",IF(CM$59&lt;&gt;"",CM$59,IF(IFERROR(INDEX(醫師週班表!$C$5:$T$44,$CU28,CM$57),"")=0,"",IF(MID(IFERROR(INDEX(醫師週班表!$C$5:$T$44,$CU28,CM$57),""),2,1)="/",MID(IFERROR(INDEX(醫師週班表!$C$5:$T$44,$CU28,CM$57),""),1+CM$58*2,1),IF(MID(IFERROR(INDEX(醫師週班表!$C$5:$T$44,$CU28,CM$57),""),3,1)="隔",IF(CM$58=0,LEFT(IFERROR(INDEX(醫師週班表!$C$5:$T$44,$CU28,CM$57),""),1),""),IF(MID(IFERROR(INDEX(醫師週班表!$C$5:$T$44,$CU28,CM$57),""),2,1)="(",LEFT(IFERROR(INDEX(醫師週班表!$C$5:$T$44,$CU28,CM$57),""),1),IFERROR(INDEX(醫師週班表!$C$5:$T$44,$CU28,CM$57),"")))))))</f>
        <v/>
      </c>
      <c r="CN28" s="67">
        <f>IF(CN$59="X","",IF(CN$59&lt;&gt;"",CN$59,IF(IFERROR(INDEX(醫師週班表!$C$5:$T$44,$CU28,CN$57),"")=0,"",IF(MID(IFERROR(INDEX(醫師週班表!$C$5:$T$44,$CU28,CN$57),""),2,1)="/",MID(IFERROR(INDEX(醫師週班表!$C$5:$T$44,$CU28,CN$57),""),1+CN$58*2,1),IF(MID(IFERROR(INDEX(醫師週班表!$C$5:$T$44,$CU28,CN$57),""),3,1)="隔",IF(CN$58=0,LEFT(IFERROR(INDEX(醫師週班表!$C$5:$T$44,$CU28,CN$57),""),1),""),IF(MID(IFERROR(INDEX(醫師週班表!$C$5:$T$44,$CU28,CN$57),""),2,1)="(",LEFT(IFERROR(INDEX(醫師週班表!$C$5:$T$44,$CU28,CN$57),""),1),IFERROR(INDEX(醫師週班表!$C$5:$T$44,$CU28,CN$57),"")))))))</f>
        <v/>
      </c>
      <c r="CO28" s="68">
        <f>IF(CO$59="X","",IF(CO$59&lt;&gt;"",CO$59,IF(IFERROR(INDEX(醫師週班表!$C$5:$T$44,$CU28,CO$57),"")=0,"",IF(MID(IFERROR(INDEX(醫師週班表!$C$5:$T$44,$CU28,CO$57),""),2,1)="/",MID(IFERROR(INDEX(醫師週班表!$C$5:$T$44,$CU28,CO$57),""),1+CO$58*2,1),IF(MID(IFERROR(INDEX(醫師週班表!$C$5:$T$44,$CU28,CO$57),""),3,1)="隔",IF(CO$58=0,LEFT(IFERROR(INDEX(醫師週班表!$C$5:$T$44,$CU28,CO$57),""),1),""),IF(MID(IFERROR(INDEX(醫師週班表!$C$5:$T$44,$CU28,CO$57),""),2,1)="(",LEFT(IFERROR(INDEX(醫師週班表!$C$5:$T$44,$CU28,CO$57),""),1),IFERROR(INDEX(醫師週班表!$C$5:$T$44,$CU28,CO$57),"")))))))</f>
        <v/>
      </c>
      <c r="CP28" s="68">
        <f>IF(CP$59="X","",IF(CP$59&lt;&gt;"",CP$59,IF(IFERROR(INDEX(醫師週班表!$C$5:$T$44,$CU28,CP$57),"")=0,"",IF(MID(IFERROR(INDEX(醫師週班表!$C$5:$T$44,$CU28,CP$57),""),2,1)="/",MID(IFERROR(INDEX(醫師週班表!$C$5:$T$44,$CU28,CP$57),""),1+CP$58*2,1),IF(MID(IFERROR(INDEX(醫師週班表!$C$5:$T$44,$CU28,CP$57),""),3,1)="隔",IF(CP$58=0,LEFT(IFERROR(INDEX(醫師週班表!$C$5:$T$44,$CU28,CP$57),""),1),""),IF(MID(IFERROR(INDEX(醫師週班表!$C$5:$T$44,$CU28,CP$57),""),2,1)="(",LEFT(IFERROR(INDEX(醫師週班表!$C$5:$T$44,$CU28,CP$57),""),1),IFERROR(INDEX(醫師週班表!$C$5:$T$44,$CU28,CP$57),"")))))))</f>
        <v/>
      </c>
      <c r="CQ28" s="67">
        <f>IF(CQ$59="X","",IF(CQ$59&lt;&gt;"",CQ$59,IF(IFERROR(INDEX(醫師週班表!$C$5:$T$44,$CU28,CQ$57),"")=0,"",IF(MID(IFERROR(INDEX(醫師週班表!$C$5:$T$44,$CU28,CQ$57),""),2,1)="/",MID(IFERROR(INDEX(醫師週班表!$C$5:$T$44,$CU28,CQ$57),""),1+CQ$58*2,1),IF(MID(IFERROR(INDEX(醫師週班表!$C$5:$T$44,$CU28,CQ$57),""),3,1)="隔",IF(CQ$58=0,LEFT(IFERROR(INDEX(醫師週班表!$C$5:$T$44,$CU28,CQ$57),""),1),""),IF(MID(IFERROR(INDEX(醫師週班表!$C$5:$T$44,$CU28,CQ$57),""),2,1)="(",LEFT(IFERROR(INDEX(醫師週班表!$C$5:$T$44,$CU28,CQ$57),""),1),IFERROR(INDEX(醫師週班表!$C$5:$T$44,$CU28,CQ$57),"")))))))</f>
        <v/>
      </c>
      <c r="CR28" s="68">
        <f>IF(CR$59="X","",IF(CR$59&lt;&gt;"",CR$59,IF(IFERROR(INDEX(醫師週班表!$C$5:$T$44,$CU28,CR$57),"")=0,"",IF(MID(IFERROR(INDEX(醫師週班表!$C$5:$T$44,$CU28,CR$57),""),2,1)="/",MID(IFERROR(INDEX(醫師週班表!$C$5:$T$44,$CU28,CR$57),""),1+CR$58*2,1),IF(MID(IFERROR(INDEX(醫師週班表!$C$5:$T$44,$CU28,CR$57),""),3,1)="隔",IF(CR$58=0,LEFT(IFERROR(INDEX(醫師週班表!$C$5:$T$44,$CU28,CR$57),""),1),""),IF(MID(IFERROR(INDEX(醫師週班表!$C$5:$T$44,$CU28,CR$57),""),2,1)="(",LEFT(IFERROR(INDEX(醫師週班表!$C$5:$T$44,$CU28,CR$57),""),1),IFERROR(INDEX(醫師週班表!$C$5:$T$44,$CU28,CR$57),"")))))))</f>
        <v/>
      </c>
      <c r="CS28" s="68">
        <f>IF(CS$59="X","",IF(CS$59&lt;&gt;"",CS$59,IF(IFERROR(INDEX(醫師週班表!$C$5:$T$44,$CU28,CS$57),"")=0,"",IF(MID(IFERROR(INDEX(醫師週班表!$C$5:$T$44,$CU28,CS$57),""),2,1)="/",MID(IFERROR(INDEX(醫師週班表!$C$5:$T$44,$CU28,CS$57),""),1+CS$58*2,1),IF(MID(IFERROR(INDEX(醫師週班表!$C$5:$T$44,$CU28,CS$57),""),3,1)="隔",IF(CS$58=0,LEFT(IFERROR(INDEX(醫師週班表!$C$5:$T$44,$CU28,CS$57),""),1),""),IF(MID(IFERROR(INDEX(醫師週班表!$C$5:$T$44,$CU28,CS$57),""),2,1)="(",LEFT(IFERROR(INDEX(醫師週班表!$C$5:$T$44,$CU28,CS$57),""),1),IFERROR(INDEX(醫師週班表!$C$5:$T$44,$CU28,CS$57),"")))))))</f>
        <v/>
      </c>
      <c r="CU28" s="69">
        <f>IFERROR(MATCH($A28,醫師週班表!$A$5:$A$44,0),0)</f>
        <v/>
      </c>
    </row>
    <row r="29" ht="17" customHeight="1">
      <c r="A29" s="20" t="inlineStr">
        <is>
          <t>D024</t>
        </is>
      </c>
      <c r="B29" s="16" t="inlineStr">
        <is>
          <t>林紓安</t>
        </is>
      </c>
      <c r="C29" s="66" t="inlineStr">
        <is>
          <t>兒童</t>
        </is>
      </c>
      <c r="D29" s="16" t="inlineStr"/>
      <c r="E29" s="67">
        <f>IF(E$59="X","",IF(E$59&lt;&gt;"",E$59,IF(IFERROR(INDEX(醫師週班表!$C$5:$T$44,$CU29,E$57),"")=0,"",IF(MID(IFERROR(INDEX(醫師週班表!$C$5:$T$44,$CU29,E$57),""),2,1)="/",MID(IFERROR(INDEX(醫師週班表!$C$5:$T$44,$CU29,E$57),""),1+E$58*2,1),IF(MID(IFERROR(INDEX(醫師週班表!$C$5:$T$44,$CU29,E$57),""),3,1)="隔",IF(E$58=0,LEFT(IFERROR(INDEX(醫師週班表!$C$5:$T$44,$CU29,E$57),""),1),""),IF(MID(IFERROR(INDEX(醫師週班表!$C$5:$T$44,$CU29,E$57),""),2,1)="(",LEFT(IFERROR(INDEX(醫師週班表!$C$5:$T$44,$CU29,E$57),""),1),IFERROR(INDEX(醫師週班表!$C$5:$T$44,$CU29,E$57),"")))))))</f>
        <v/>
      </c>
      <c r="F29" s="68">
        <f>IF(F$59="X","",IF(F$59&lt;&gt;"",F$59,IF(IFERROR(INDEX(醫師週班表!$C$5:$T$44,$CU29,F$57),"")=0,"",IF(MID(IFERROR(INDEX(醫師週班表!$C$5:$T$44,$CU29,F$57),""),2,1)="/",MID(IFERROR(INDEX(醫師週班表!$C$5:$T$44,$CU29,F$57),""),1+F$58*2,1),IF(MID(IFERROR(INDEX(醫師週班表!$C$5:$T$44,$CU29,F$57),""),3,1)="隔",IF(F$58=0,LEFT(IFERROR(INDEX(醫師週班表!$C$5:$T$44,$CU29,F$57),""),1),""),IF(MID(IFERROR(INDEX(醫師週班表!$C$5:$T$44,$CU29,F$57),""),2,1)="(",LEFT(IFERROR(INDEX(醫師週班表!$C$5:$T$44,$CU29,F$57),""),1),IFERROR(INDEX(醫師週班表!$C$5:$T$44,$CU29,F$57),"")))))))</f>
        <v/>
      </c>
      <c r="G29" s="68">
        <f>IF(G$59="X","",IF(G$59&lt;&gt;"",G$59,IF(IFERROR(INDEX(醫師週班表!$C$5:$T$44,$CU29,G$57),"")=0,"",IF(MID(IFERROR(INDEX(醫師週班表!$C$5:$T$44,$CU29,G$57),""),2,1)="/",MID(IFERROR(INDEX(醫師週班表!$C$5:$T$44,$CU29,G$57),""),1+G$58*2,1),IF(MID(IFERROR(INDEX(醫師週班表!$C$5:$T$44,$CU29,G$57),""),3,1)="隔",IF(G$58=0,LEFT(IFERROR(INDEX(醫師週班表!$C$5:$T$44,$CU29,G$57),""),1),""),IF(MID(IFERROR(INDEX(醫師週班表!$C$5:$T$44,$CU29,G$57),""),2,1)="(",LEFT(IFERROR(INDEX(醫師週班表!$C$5:$T$44,$CU29,G$57),""),1),IFERROR(INDEX(醫師週班表!$C$5:$T$44,$CU29,G$57),"")))))))</f>
        <v/>
      </c>
      <c r="H29" s="67">
        <f>IF(H$59="X","",IF(H$59&lt;&gt;"",H$59,IF(IFERROR(INDEX(醫師週班表!$C$5:$T$44,$CU29,H$57),"")=0,"",IF(MID(IFERROR(INDEX(醫師週班表!$C$5:$T$44,$CU29,H$57),""),2,1)="/",MID(IFERROR(INDEX(醫師週班表!$C$5:$T$44,$CU29,H$57),""),1+H$58*2,1),IF(MID(IFERROR(INDEX(醫師週班表!$C$5:$T$44,$CU29,H$57),""),3,1)="隔",IF(H$58=0,LEFT(IFERROR(INDEX(醫師週班表!$C$5:$T$44,$CU29,H$57),""),1),""),IF(MID(IFERROR(INDEX(醫師週班表!$C$5:$T$44,$CU29,H$57),""),2,1)="(",LEFT(IFERROR(INDEX(醫師週班表!$C$5:$T$44,$CU29,H$57),""),1),IFERROR(INDEX(醫師週班表!$C$5:$T$44,$CU29,H$57),"")))))))</f>
        <v/>
      </c>
      <c r="I29" s="68">
        <f>IF(I$59="X","",IF(I$59&lt;&gt;"",I$59,IF(IFERROR(INDEX(醫師週班表!$C$5:$T$44,$CU29,I$57),"")=0,"",IF(MID(IFERROR(INDEX(醫師週班表!$C$5:$T$44,$CU29,I$57),""),2,1)="/",MID(IFERROR(INDEX(醫師週班表!$C$5:$T$44,$CU29,I$57),""),1+I$58*2,1),IF(MID(IFERROR(INDEX(醫師週班表!$C$5:$T$44,$CU29,I$57),""),3,1)="隔",IF(I$58=0,LEFT(IFERROR(INDEX(醫師週班表!$C$5:$T$44,$CU29,I$57),""),1),""),IF(MID(IFERROR(INDEX(醫師週班表!$C$5:$T$44,$CU29,I$57),""),2,1)="(",LEFT(IFERROR(INDEX(醫師週班表!$C$5:$T$44,$CU29,I$57),""),1),IFERROR(INDEX(醫師週班表!$C$5:$T$44,$CU29,I$57),"")))))))</f>
        <v/>
      </c>
      <c r="J29" s="68">
        <f>IF(J$59="X","",IF(J$59&lt;&gt;"",J$59,IF(IFERROR(INDEX(醫師週班表!$C$5:$T$44,$CU29,J$57),"")=0,"",IF(MID(IFERROR(INDEX(醫師週班表!$C$5:$T$44,$CU29,J$57),""),2,1)="/",MID(IFERROR(INDEX(醫師週班表!$C$5:$T$44,$CU29,J$57),""),1+J$58*2,1),IF(MID(IFERROR(INDEX(醫師週班表!$C$5:$T$44,$CU29,J$57),""),3,1)="隔",IF(J$58=0,LEFT(IFERROR(INDEX(醫師週班表!$C$5:$T$44,$CU29,J$57),""),1),""),IF(MID(IFERROR(INDEX(醫師週班表!$C$5:$T$44,$CU29,J$57),""),2,1)="(",LEFT(IFERROR(INDEX(醫師週班表!$C$5:$T$44,$CU29,J$57),""),1),IFERROR(INDEX(醫師週班表!$C$5:$T$44,$CU29,J$57),"")))))))</f>
        <v/>
      </c>
      <c r="K29" s="67">
        <f>IF(K$59="X","",IF(K$59&lt;&gt;"",K$59,IF(IFERROR(INDEX(醫師週班表!$C$5:$T$44,$CU29,K$57),"")=0,"",IF(MID(IFERROR(INDEX(醫師週班表!$C$5:$T$44,$CU29,K$57),""),2,1)="/",MID(IFERROR(INDEX(醫師週班表!$C$5:$T$44,$CU29,K$57),""),1+K$58*2,1),IF(MID(IFERROR(INDEX(醫師週班表!$C$5:$T$44,$CU29,K$57),""),3,1)="隔",IF(K$58=0,LEFT(IFERROR(INDEX(醫師週班表!$C$5:$T$44,$CU29,K$57),""),1),""),IF(MID(IFERROR(INDEX(醫師週班表!$C$5:$T$44,$CU29,K$57),""),2,1)="(",LEFT(IFERROR(INDEX(醫師週班表!$C$5:$T$44,$CU29,K$57),""),1),IFERROR(INDEX(醫師週班表!$C$5:$T$44,$CU29,K$57),"")))))))</f>
        <v/>
      </c>
      <c r="L29" s="68">
        <f>IF(L$59="X","",IF(L$59&lt;&gt;"",L$59,IF(IFERROR(INDEX(醫師週班表!$C$5:$T$44,$CU29,L$57),"")=0,"",IF(MID(IFERROR(INDEX(醫師週班表!$C$5:$T$44,$CU29,L$57),""),2,1)="/",MID(IFERROR(INDEX(醫師週班表!$C$5:$T$44,$CU29,L$57),""),1+L$58*2,1),IF(MID(IFERROR(INDEX(醫師週班表!$C$5:$T$44,$CU29,L$57),""),3,1)="隔",IF(L$58=0,LEFT(IFERROR(INDEX(醫師週班表!$C$5:$T$44,$CU29,L$57),""),1),""),IF(MID(IFERROR(INDEX(醫師週班表!$C$5:$T$44,$CU29,L$57),""),2,1)="(",LEFT(IFERROR(INDEX(醫師週班表!$C$5:$T$44,$CU29,L$57),""),1),IFERROR(INDEX(醫師週班表!$C$5:$T$44,$CU29,L$57),"")))))))</f>
        <v/>
      </c>
      <c r="M29" s="68">
        <f>IF(M$59="X","",IF(M$59&lt;&gt;"",M$59,IF(IFERROR(INDEX(醫師週班表!$C$5:$T$44,$CU29,M$57),"")=0,"",IF(MID(IFERROR(INDEX(醫師週班表!$C$5:$T$44,$CU29,M$57),""),2,1)="/",MID(IFERROR(INDEX(醫師週班表!$C$5:$T$44,$CU29,M$57),""),1+M$58*2,1),IF(MID(IFERROR(INDEX(醫師週班表!$C$5:$T$44,$CU29,M$57),""),3,1)="隔",IF(M$58=0,LEFT(IFERROR(INDEX(醫師週班表!$C$5:$T$44,$CU29,M$57),""),1),""),IF(MID(IFERROR(INDEX(醫師週班表!$C$5:$T$44,$CU29,M$57),""),2,1)="(",LEFT(IFERROR(INDEX(醫師週班表!$C$5:$T$44,$CU29,M$57),""),1),IFERROR(INDEX(醫師週班表!$C$5:$T$44,$CU29,M$57),"")))))))</f>
        <v/>
      </c>
      <c r="N29" s="67">
        <f>IF(N$59="X","",IF(N$59&lt;&gt;"",N$59,IF(IFERROR(INDEX(醫師週班表!$C$5:$T$44,$CU29,N$57),"")=0,"",IF(MID(IFERROR(INDEX(醫師週班表!$C$5:$T$44,$CU29,N$57),""),2,1)="/",MID(IFERROR(INDEX(醫師週班表!$C$5:$T$44,$CU29,N$57),""),1+N$58*2,1),IF(MID(IFERROR(INDEX(醫師週班表!$C$5:$T$44,$CU29,N$57),""),3,1)="隔",IF(N$58=0,LEFT(IFERROR(INDEX(醫師週班表!$C$5:$T$44,$CU29,N$57),""),1),""),IF(MID(IFERROR(INDEX(醫師週班表!$C$5:$T$44,$CU29,N$57),""),2,1)="(",LEFT(IFERROR(INDEX(醫師週班表!$C$5:$T$44,$CU29,N$57),""),1),IFERROR(INDEX(醫師週班表!$C$5:$T$44,$CU29,N$57),"")))))))</f>
        <v/>
      </c>
      <c r="O29" s="68">
        <f>IF(O$59="X","",IF(O$59&lt;&gt;"",O$59,IF(IFERROR(INDEX(醫師週班表!$C$5:$T$44,$CU29,O$57),"")=0,"",IF(MID(IFERROR(INDEX(醫師週班表!$C$5:$T$44,$CU29,O$57),""),2,1)="/",MID(IFERROR(INDEX(醫師週班表!$C$5:$T$44,$CU29,O$57),""),1+O$58*2,1),IF(MID(IFERROR(INDEX(醫師週班表!$C$5:$T$44,$CU29,O$57),""),3,1)="隔",IF(O$58=0,LEFT(IFERROR(INDEX(醫師週班表!$C$5:$T$44,$CU29,O$57),""),1),""),IF(MID(IFERROR(INDEX(醫師週班表!$C$5:$T$44,$CU29,O$57),""),2,1)="(",LEFT(IFERROR(INDEX(醫師週班表!$C$5:$T$44,$CU29,O$57),""),1),IFERROR(INDEX(醫師週班表!$C$5:$T$44,$CU29,O$57),"")))))))</f>
        <v/>
      </c>
      <c r="P29" s="68">
        <f>IF(P$59="X","",IF(P$59&lt;&gt;"",P$59,IF(IFERROR(INDEX(醫師週班表!$C$5:$T$44,$CU29,P$57),"")=0,"",IF(MID(IFERROR(INDEX(醫師週班表!$C$5:$T$44,$CU29,P$57),""),2,1)="/",MID(IFERROR(INDEX(醫師週班表!$C$5:$T$44,$CU29,P$57),""),1+P$58*2,1),IF(MID(IFERROR(INDEX(醫師週班表!$C$5:$T$44,$CU29,P$57),""),3,1)="隔",IF(P$58=0,LEFT(IFERROR(INDEX(醫師週班表!$C$5:$T$44,$CU29,P$57),""),1),""),IF(MID(IFERROR(INDEX(醫師週班表!$C$5:$T$44,$CU29,P$57),""),2,1)="(",LEFT(IFERROR(INDEX(醫師週班表!$C$5:$T$44,$CU29,P$57),""),1),IFERROR(INDEX(醫師週班表!$C$5:$T$44,$CU29,P$57),"")))))))</f>
        <v/>
      </c>
      <c r="Q29" s="67">
        <f>IF(Q$59="X","",IF(Q$59&lt;&gt;"",Q$59,IF(IFERROR(INDEX(醫師週班表!$C$5:$T$44,$CU29,Q$57),"")=0,"",IF(MID(IFERROR(INDEX(醫師週班表!$C$5:$T$44,$CU29,Q$57),""),2,1)="/",MID(IFERROR(INDEX(醫師週班表!$C$5:$T$44,$CU29,Q$57),""),1+Q$58*2,1),IF(MID(IFERROR(INDEX(醫師週班表!$C$5:$T$44,$CU29,Q$57),""),3,1)="隔",IF(Q$58=0,LEFT(IFERROR(INDEX(醫師週班表!$C$5:$T$44,$CU29,Q$57),""),1),""),IF(MID(IFERROR(INDEX(醫師週班表!$C$5:$T$44,$CU29,Q$57),""),2,1)="(",LEFT(IFERROR(INDEX(醫師週班表!$C$5:$T$44,$CU29,Q$57),""),1),IFERROR(INDEX(醫師週班表!$C$5:$T$44,$CU29,Q$57),"")))))))</f>
        <v/>
      </c>
      <c r="R29" s="68">
        <f>IF(R$59="X","",IF(R$59&lt;&gt;"",R$59,IF(IFERROR(INDEX(醫師週班表!$C$5:$T$44,$CU29,R$57),"")=0,"",IF(MID(IFERROR(INDEX(醫師週班表!$C$5:$T$44,$CU29,R$57),""),2,1)="/",MID(IFERROR(INDEX(醫師週班表!$C$5:$T$44,$CU29,R$57),""),1+R$58*2,1),IF(MID(IFERROR(INDEX(醫師週班表!$C$5:$T$44,$CU29,R$57),""),3,1)="隔",IF(R$58=0,LEFT(IFERROR(INDEX(醫師週班表!$C$5:$T$44,$CU29,R$57),""),1),""),IF(MID(IFERROR(INDEX(醫師週班表!$C$5:$T$44,$CU29,R$57),""),2,1)="(",LEFT(IFERROR(INDEX(醫師週班表!$C$5:$T$44,$CU29,R$57),""),1),IFERROR(INDEX(醫師週班表!$C$5:$T$44,$CU29,R$57),"")))))))</f>
        <v/>
      </c>
      <c r="S29" s="68">
        <f>IF(S$59="X","",IF(S$59&lt;&gt;"",S$59,IF(IFERROR(INDEX(醫師週班表!$C$5:$T$44,$CU29,S$57),"")=0,"",IF(MID(IFERROR(INDEX(醫師週班表!$C$5:$T$44,$CU29,S$57),""),2,1)="/",MID(IFERROR(INDEX(醫師週班表!$C$5:$T$44,$CU29,S$57),""),1+S$58*2,1),IF(MID(IFERROR(INDEX(醫師週班表!$C$5:$T$44,$CU29,S$57),""),3,1)="隔",IF(S$58=0,LEFT(IFERROR(INDEX(醫師週班表!$C$5:$T$44,$CU29,S$57),""),1),""),IF(MID(IFERROR(INDEX(醫師週班表!$C$5:$T$44,$CU29,S$57),""),2,1)="(",LEFT(IFERROR(INDEX(醫師週班表!$C$5:$T$44,$CU29,S$57),""),1),IFERROR(INDEX(醫師週班表!$C$5:$T$44,$CU29,S$57),"")))))))</f>
        <v/>
      </c>
      <c r="T29" s="67">
        <f>IF(T$59="X","",IF(T$59&lt;&gt;"",T$59,IF(IFERROR(INDEX(醫師週班表!$C$5:$T$44,$CU29,T$57),"")=0,"",IF(MID(IFERROR(INDEX(醫師週班表!$C$5:$T$44,$CU29,T$57),""),2,1)="/",MID(IFERROR(INDEX(醫師週班表!$C$5:$T$44,$CU29,T$57),""),1+T$58*2,1),IF(MID(IFERROR(INDEX(醫師週班表!$C$5:$T$44,$CU29,T$57),""),3,1)="隔",IF(T$58=0,LEFT(IFERROR(INDEX(醫師週班表!$C$5:$T$44,$CU29,T$57),""),1),""),IF(MID(IFERROR(INDEX(醫師週班表!$C$5:$T$44,$CU29,T$57),""),2,1)="(",LEFT(IFERROR(INDEX(醫師週班表!$C$5:$T$44,$CU29,T$57),""),1),IFERROR(INDEX(醫師週班表!$C$5:$T$44,$CU29,T$57),"")))))))</f>
        <v/>
      </c>
      <c r="U29" s="68">
        <f>IF(U$59="X","",IF(U$59&lt;&gt;"",U$59,IF(IFERROR(INDEX(醫師週班表!$C$5:$T$44,$CU29,U$57),"")=0,"",IF(MID(IFERROR(INDEX(醫師週班表!$C$5:$T$44,$CU29,U$57),""),2,1)="/",MID(IFERROR(INDEX(醫師週班表!$C$5:$T$44,$CU29,U$57),""),1+U$58*2,1),IF(MID(IFERROR(INDEX(醫師週班表!$C$5:$T$44,$CU29,U$57),""),3,1)="隔",IF(U$58=0,LEFT(IFERROR(INDEX(醫師週班表!$C$5:$T$44,$CU29,U$57),""),1),""),IF(MID(IFERROR(INDEX(醫師週班表!$C$5:$T$44,$CU29,U$57),""),2,1)="(",LEFT(IFERROR(INDEX(醫師週班表!$C$5:$T$44,$CU29,U$57),""),1),IFERROR(INDEX(醫師週班表!$C$5:$T$44,$CU29,U$57),"")))))))</f>
        <v/>
      </c>
      <c r="V29" s="68">
        <f>IF(V$59="X","",IF(V$59&lt;&gt;"",V$59,IF(IFERROR(INDEX(醫師週班表!$C$5:$T$44,$CU29,V$57),"")=0,"",IF(MID(IFERROR(INDEX(醫師週班表!$C$5:$T$44,$CU29,V$57),""),2,1)="/",MID(IFERROR(INDEX(醫師週班表!$C$5:$T$44,$CU29,V$57),""),1+V$58*2,1),IF(MID(IFERROR(INDEX(醫師週班表!$C$5:$T$44,$CU29,V$57),""),3,1)="隔",IF(V$58=0,LEFT(IFERROR(INDEX(醫師週班表!$C$5:$T$44,$CU29,V$57),""),1),""),IF(MID(IFERROR(INDEX(醫師週班表!$C$5:$T$44,$CU29,V$57),""),2,1)="(",LEFT(IFERROR(INDEX(醫師週班表!$C$5:$T$44,$CU29,V$57),""),1),IFERROR(INDEX(醫師週班表!$C$5:$T$44,$CU29,V$57),"")))))))</f>
        <v/>
      </c>
      <c r="W29" s="67">
        <f>IF(W$59="X","",IF(W$59&lt;&gt;"",W$59,IF(IFERROR(INDEX(醫師週班表!$C$5:$T$44,$CU29,W$57),"")=0,"",IF(MID(IFERROR(INDEX(醫師週班表!$C$5:$T$44,$CU29,W$57),""),2,1)="/",MID(IFERROR(INDEX(醫師週班表!$C$5:$T$44,$CU29,W$57),""),1+W$58*2,1),IF(MID(IFERROR(INDEX(醫師週班表!$C$5:$T$44,$CU29,W$57),""),3,1)="隔",IF(W$58=0,LEFT(IFERROR(INDEX(醫師週班表!$C$5:$T$44,$CU29,W$57),""),1),""),IF(MID(IFERROR(INDEX(醫師週班表!$C$5:$T$44,$CU29,W$57),""),2,1)="(",LEFT(IFERROR(INDEX(醫師週班表!$C$5:$T$44,$CU29,W$57),""),1),IFERROR(INDEX(醫師週班表!$C$5:$T$44,$CU29,W$57),"")))))))</f>
        <v/>
      </c>
      <c r="X29" s="68">
        <f>IF(X$59="X","",IF(X$59&lt;&gt;"",X$59,IF(IFERROR(INDEX(醫師週班表!$C$5:$T$44,$CU29,X$57),"")=0,"",IF(MID(IFERROR(INDEX(醫師週班表!$C$5:$T$44,$CU29,X$57),""),2,1)="/",MID(IFERROR(INDEX(醫師週班表!$C$5:$T$44,$CU29,X$57),""),1+X$58*2,1),IF(MID(IFERROR(INDEX(醫師週班表!$C$5:$T$44,$CU29,X$57),""),3,1)="隔",IF(X$58=0,LEFT(IFERROR(INDEX(醫師週班表!$C$5:$T$44,$CU29,X$57),""),1),""),IF(MID(IFERROR(INDEX(醫師週班表!$C$5:$T$44,$CU29,X$57),""),2,1)="(",LEFT(IFERROR(INDEX(醫師週班表!$C$5:$T$44,$CU29,X$57),""),1),IFERROR(INDEX(醫師週班表!$C$5:$T$44,$CU29,X$57),"")))))))</f>
        <v/>
      </c>
      <c r="Y29" s="68">
        <f>IF(Y$59="X","",IF(Y$59&lt;&gt;"",Y$59,IF(IFERROR(INDEX(醫師週班表!$C$5:$T$44,$CU29,Y$57),"")=0,"",IF(MID(IFERROR(INDEX(醫師週班表!$C$5:$T$44,$CU29,Y$57),""),2,1)="/",MID(IFERROR(INDEX(醫師週班表!$C$5:$T$44,$CU29,Y$57),""),1+Y$58*2,1),IF(MID(IFERROR(INDEX(醫師週班表!$C$5:$T$44,$CU29,Y$57),""),3,1)="隔",IF(Y$58=0,LEFT(IFERROR(INDEX(醫師週班表!$C$5:$T$44,$CU29,Y$57),""),1),""),IF(MID(IFERROR(INDEX(醫師週班表!$C$5:$T$44,$CU29,Y$57),""),2,1)="(",LEFT(IFERROR(INDEX(醫師週班表!$C$5:$T$44,$CU29,Y$57),""),1),IFERROR(INDEX(醫師週班表!$C$5:$T$44,$CU29,Y$57),"")))))))</f>
        <v/>
      </c>
      <c r="Z29" s="67">
        <f>IF(Z$59="X","",IF(Z$59&lt;&gt;"",Z$59,IF(IFERROR(INDEX(醫師週班表!$C$5:$T$44,$CU29,Z$57),"")=0,"",IF(MID(IFERROR(INDEX(醫師週班表!$C$5:$T$44,$CU29,Z$57),""),2,1)="/",MID(IFERROR(INDEX(醫師週班表!$C$5:$T$44,$CU29,Z$57),""),1+Z$58*2,1),IF(MID(IFERROR(INDEX(醫師週班表!$C$5:$T$44,$CU29,Z$57),""),3,1)="隔",IF(Z$58=0,LEFT(IFERROR(INDEX(醫師週班表!$C$5:$T$44,$CU29,Z$57),""),1),""),IF(MID(IFERROR(INDEX(醫師週班表!$C$5:$T$44,$CU29,Z$57),""),2,1)="(",LEFT(IFERROR(INDEX(醫師週班表!$C$5:$T$44,$CU29,Z$57),""),1),IFERROR(INDEX(醫師週班表!$C$5:$T$44,$CU29,Z$57),"")))))))</f>
        <v/>
      </c>
      <c r="AA29" s="68">
        <f>IF(AA$59="X","",IF(AA$59&lt;&gt;"",AA$59,IF(IFERROR(INDEX(醫師週班表!$C$5:$T$44,$CU29,AA$57),"")=0,"",IF(MID(IFERROR(INDEX(醫師週班表!$C$5:$T$44,$CU29,AA$57),""),2,1)="/",MID(IFERROR(INDEX(醫師週班表!$C$5:$T$44,$CU29,AA$57),""),1+AA$58*2,1),IF(MID(IFERROR(INDEX(醫師週班表!$C$5:$T$44,$CU29,AA$57),""),3,1)="隔",IF(AA$58=0,LEFT(IFERROR(INDEX(醫師週班表!$C$5:$T$44,$CU29,AA$57),""),1),""),IF(MID(IFERROR(INDEX(醫師週班表!$C$5:$T$44,$CU29,AA$57),""),2,1)="(",LEFT(IFERROR(INDEX(醫師週班表!$C$5:$T$44,$CU29,AA$57),""),1),IFERROR(INDEX(醫師週班表!$C$5:$T$44,$CU29,AA$57),"")))))))</f>
        <v/>
      </c>
      <c r="AB29" s="68">
        <f>IF(AB$59="X","",IF(AB$59&lt;&gt;"",AB$59,IF(IFERROR(INDEX(醫師週班表!$C$5:$T$44,$CU29,AB$57),"")=0,"",IF(MID(IFERROR(INDEX(醫師週班表!$C$5:$T$44,$CU29,AB$57),""),2,1)="/",MID(IFERROR(INDEX(醫師週班表!$C$5:$T$44,$CU29,AB$57),""),1+AB$58*2,1),IF(MID(IFERROR(INDEX(醫師週班表!$C$5:$T$44,$CU29,AB$57),""),3,1)="隔",IF(AB$58=0,LEFT(IFERROR(INDEX(醫師週班表!$C$5:$T$44,$CU29,AB$57),""),1),""),IF(MID(IFERROR(INDEX(醫師週班表!$C$5:$T$44,$CU29,AB$57),""),2,1)="(",LEFT(IFERROR(INDEX(醫師週班表!$C$5:$T$44,$CU29,AB$57),""),1),IFERROR(INDEX(醫師週班表!$C$5:$T$44,$CU29,AB$57),"")))))))</f>
        <v/>
      </c>
      <c r="AC29" s="67">
        <f>IF(AC$59="X","",IF(AC$59&lt;&gt;"",AC$59,IF(IFERROR(INDEX(醫師週班表!$C$5:$T$44,$CU29,AC$57),"")=0,"",IF(MID(IFERROR(INDEX(醫師週班表!$C$5:$T$44,$CU29,AC$57),""),2,1)="/",MID(IFERROR(INDEX(醫師週班表!$C$5:$T$44,$CU29,AC$57),""),1+AC$58*2,1),IF(MID(IFERROR(INDEX(醫師週班表!$C$5:$T$44,$CU29,AC$57),""),3,1)="隔",IF(AC$58=0,LEFT(IFERROR(INDEX(醫師週班表!$C$5:$T$44,$CU29,AC$57),""),1),""),IF(MID(IFERROR(INDEX(醫師週班表!$C$5:$T$44,$CU29,AC$57),""),2,1)="(",LEFT(IFERROR(INDEX(醫師週班表!$C$5:$T$44,$CU29,AC$57),""),1),IFERROR(INDEX(醫師週班表!$C$5:$T$44,$CU29,AC$57),"")))))))</f>
        <v/>
      </c>
      <c r="AD29" s="68">
        <f>IF(AD$59="X","",IF(AD$59&lt;&gt;"",AD$59,IF(IFERROR(INDEX(醫師週班表!$C$5:$T$44,$CU29,AD$57),"")=0,"",IF(MID(IFERROR(INDEX(醫師週班表!$C$5:$T$44,$CU29,AD$57),""),2,1)="/",MID(IFERROR(INDEX(醫師週班表!$C$5:$T$44,$CU29,AD$57),""),1+AD$58*2,1),IF(MID(IFERROR(INDEX(醫師週班表!$C$5:$T$44,$CU29,AD$57),""),3,1)="隔",IF(AD$58=0,LEFT(IFERROR(INDEX(醫師週班表!$C$5:$T$44,$CU29,AD$57),""),1),""),IF(MID(IFERROR(INDEX(醫師週班表!$C$5:$T$44,$CU29,AD$57),""),2,1)="(",LEFT(IFERROR(INDEX(醫師週班表!$C$5:$T$44,$CU29,AD$57),""),1),IFERROR(INDEX(醫師週班表!$C$5:$T$44,$CU29,AD$57),"")))))))</f>
        <v/>
      </c>
      <c r="AE29" s="68">
        <f>IF(AE$59="X","",IF(AE$59&lt;&gt;"",AE$59,IF(IFERROR(INDEX(醫師週班表!$C$5:$T$44,$CU29,AE$57),"")=0,"",IF(MID(IFERROR(INDEX(醫師週班表!$C$5:$T$44,$CU29,AE$57),""),2,1)="/",MID(IFERROR(INDEX(醫師週班表!$C$5:$T$44,$CU29,AE$57),""),1+AE$58*2,1),IF(MID(IFERROR(INDEX(醫師週班表!$C$5:$T$44,$CU29,AE$57),""),3,1)="隔",IF(AE$58=0,LEFT(IFERROR(INDEX(醫師週班表!$C$5:$T$44,$CU29,AE$57),""),1),""),IF(MID(IFERROR(INDEX(醫師週班表!$C$5:$T$44,$CU29,AE$57),""),2,1)="(",LEFT(IFERROR(INDEX(醫師週班表!$C$5:$T$44,$CU29,AE$57),""),1),IFERROR(INDEX(醫師週班表!$C$5:$T$44,$CU29,AE$57),"")))))))</f>
        <v/>
      </c>
      <c r="AF29" s="67">
        <f>IF(AF$59="X","",IF(AF$59&lt;&gt;"",AF$59,IF(IFERROR(INDEX(醫師週班表!$C$5:$T$44,$CU29,AF$57),"")=0,"",IF(MID(IFERROR(INDEX(醫師週班表!$C$5:$T$44,$CU29,AF$57),""),2,1)="/",MID(IFERROR(INDEX(醫師週班表!$C$5:$T$44,$CU29,AF$57),""),1+AF$58*2,1),IF(MID(IFERROR(INDEX(醫師週班表!$C$5:$T$44,$CU29,AF$57),""),3,1)="隔",IF(AF$58=0,LEFT(IFERROR(INDEX(醫師週班表!$C$5:$T$44,$CU29,AF$57),""),1),""),IF(MID(IFERROR(INDEX(醫師週班表!$C$5:$T$44,$CU29,AF$57),""),2,1)="(",LEFT(IFERROR(INDEX(醫師週班表!$C$5:$T$44,$CU29,AF$57),""),1),IFERROR(INDEX(醫師週班表!$C$5:$T$44,$CU29,AF$57),"")))))))</f>
        <v/>
      </c>
      <c r="AG29" s="68">
        <f>IF(AG$59="X","",IF(AG$59&lt;&gt;"",AG$59,IF(IFERROR(INDEX(醫師週班表!$C$5:$T$44,$CU29,AG$57),"")=0,"",IF(MID(IFERROR(INDEX(醫師週班表!$C$5:$T$44,$CU29,AG$57),""),2,1)="/",MID(IFERROR(INDEX(醫師週班表!$C$5:$T$44,$CU29,AG$57),""),1+AG$58*2,1),IF(MID(IFERROR(INDEX(醫師週班表!$C$5:$T$44,$CU29,AG$57),""),3,1)="隔",IF(AG$58=0,LEFT(IFERROR(INDEX(醫師週班表!$C$5:$T$44,$CU29,AG$57),""),1),""),IF(MID(IFERROR(INDEX(醫師週班表!$C$5:$T$44,$CU29,AG$57),""),2,1)="(",LEFT(IFERROR(INDEX(醫師週班表!$C$5:$T$44,$CU29,AG$57),""),1),IFERROR(INDEX(醫師週班表!$C$5:$T$44,$CU29,AG$57),"")))))))</f>
        <v/>
      </c>
      <c r="AH29" s="68">
        <f>IF(AH$59="X","",IF(AH$59&lt;&gt;"",AH$59,IF(IFERROR(INDEX(醫師週班表!$C$5:$T$44,$CU29,AH$57),"")=0,"",IF(MID(IFERROR(INDEX(醫師週班表!$C$5:$T$44,$CU29,AH$57),""),2,1)="/",MID(IFERROR(INDEX(醫師週班表!$C$5:$T$44,$CU29,AH$57),""),1+AH$58*2,1),IF(MID(IFERROR(INDEX(醫師週班表!$C$5:$T$44,$CU29,AH$57),""),3,1)="隔",IF(AH$58=0,LEFT(IFERROR(INDEX(醫師週班表!$C$5:$T$44,$CU29,AH$57),""),1),""),IF(MID(IFERROR(INDEX(醫師週班表!$C$5:$T$44,$CU29,AH$57),""),2,1)="(",LEFT(IFERROR(INDEX(醫師週班表!$C$5:$T$44,$CU29,AH$57),""),1),IFERROR(INDEX(醫師週班表!$C$5:$T$44,$CU29,AH$57),"")))))))</f>
        <v/>
      </c>
      <c r="AI29" s="67">
        <f>IF(AI$59="X","",IF(AI$59&lt;&gt;"",AI$59,IF(IFERROR(INDEX(醫師週班表!$C$5:$T$44,$CU29,AI$57),"")=0,"",IF(MID(IFERROR(INDEX(醫師週班表!$C$5:$T$44,$CU29,AI$57),""),2,1)="/",MID(IFERROR(INDEX(醫師週班表!$C$5:$T$44,$CU29,AI$57),""),1+AI$58*2,1),IF(MID(IFERROR(INDEX(醫師週班表!$C$5:$T$44,$CU29,AI$57),""),3,1)="隔",IF(AI$58=0,LEFT(IFERROR(INDEX(醫師週班表!$C$5:$T$44,$CU29,AI$57),""),1),""),IF(MID(IFERROR(INDEX(醫師週班表!$C$5:$T$44,$CU29,AI$57),""),2,1)="(",LEFT(IFERROR(INDEX(醫師週班表!$C$5:$T$44,$CU29,AI$57),""),1),IFERROR(INDEX(醫師週班表!$C$5:$T$44,$CU29,AI$57),"")))))))</f>
        <v/>
      </c>
      <c r="AJ29" s="68">
        <f>IF(AJ$59="X","",IF(AJ$59&lt;&gt;"",AJ$59,IF(IFERROR(INDEX(醫師週班表!$C$5:$T$44,$CU29,AJ$57),"")=0,"",IF(MID(IFERROR(INDEX(醫師週班表!$C$5:$T$44,$CU29,AJ$57),""),2,1)="/",MID(IFERROR(INDEX(醫師週班表!$C$5:$T$44,$CU29,AJ$57),""),1+AJ$58*2,1),IF(MID(IFERROR(INDEX(醫師週班表!$C$5:$T$44,$CU29,AJ$57),""),3,1)="隔",IF(AJ$58=0,LEFT(IFERROR(INDEX(醫師週班表!$C$5:$T$44,$CU29,AJ$57),""),1),""),IF(MID(IFERROR(INDEX(醫師週班表!$C$5:$T$44,$CU29,AJ$57),""),2,1)="(",LEFT(IFERROR(INDEX(醫師週班表!$C$5:$T$44,$CU29,AJ$57),""),1),IFERROR(INDEX(醫師週班表!$C$5:$T$44,$CU29,AJ$57),"")))))))</f>
        <v/>
      </c>
      <c r="AK29" s="68">
        <f>IF(AK$59="X","",IF(AK$59&lt;&gt;"",AK$59,IF(IFERROR(INDEX(醫師週班表!$C$5:$T$44,$CU29,AK$57),"")=0,"",IF(MID(IFERROR(INDEX(醫師週班表!$C$5:$T$44,$CU29,AK$57),""),2,1)="/",MID(IFERROR(INDEX(醫師週班表!$C$5:$T$44,$CU29,AK$57),""),1+AK$58*2,1),IF(MID(IFERROR(INDEX(醫師週班表!$C$5:$T$44,$CU29,AK$57),""),3,1)="隔",IF(AK$58=0,LEFT(IFERROR(INDEX(醫師週班表!$C$5:$T$44,$CU29,AK$57),""),1),""),IF(MID(IFERROR(INDEX(醫師週班表!$C$5:$T$44,$CU29,AK$57),""),2,1)="(",LEFT(IFERROR(INDEX(醫師週班表!$C$5:$T$44,$CU29,AK$57),""),1),IFERROR(INDEX(醫師週班表!$C$5:$T$44,$CU29,AK$57),"")))))))</f>
        <v/>
      </c>
      <c r="AL29" s="67">
        <f>IF(AL$59="X","",IF(AL$59&lt;&gt;"",AL$59,IF(IFERROR(INDEX(醫師週班表!$C$5:$T$44,$CU29,AL$57),"")=0,"",IF(MID(IFERROR(INDEX(醫師週班表!$C$5:$T$44,$CU29,AL$57),""),2,1)="/",MID(IFERROR(INDEX(醫師週班表!$C$5:$T$44,$CU29,AL$57),""),1+AL$58*2,1),IF(MID(IFERROR(INDEX(醫師週班表!$C$5:$T$44,$CU29,AL$57),""),3,1)="隔",IF(AL$58=0,LEFT(IFERROR(INDEX(醫師週班表!$C$5:$T$44,$CU29,AL$57),""),1),""),IF(MID(IFERROR(INDEX(醫師週班表!$C$5:$T$44,$CU29,AL$57),""),2,1)="(",LEFT(IFERROR(INDEX(醫師週班表!$C$5:$T$44,$CU29,AL$57),""),1),IFERROR(INDEX(醫師週班表!$C$5:$T$44,$CU29,AL$57),"")))))))</f>
        <v/>
      </c>
      <c r="AM29" s="68">
        <f>IF(AM$59="X","",IF(AM$59&lt;&gt;"",AM$59,IF(IFERROR(INDEX(醫師週班表!$C$5:$T$44,$CU29,AM$57),"")=0,"",IF(MID(IFERROR(INDEX(醫師週班表!$C$5:$T$44,$CU29,AM$57),""),2,1)="/",MID(IFERROR(INDEX(醫師週班表!$C$5:$T$44,$CU29,AM$57),""),1+AM$58*2,1),IF(MID(IFERROR(INDEX(醫師週班表!$C$5:$T$44,$CU29,AM$57),""),3,1)="隔",IF(AM$58=0,LEFT(IFERROR(INDEX(醫師週班表!$C$5:$T$44,$CU29,AM$57),""),1),""),IF(MID(IFERROR(INDEX(醫師週班表!$C$5:$T$44,$CU29,AM$57),""),2,1)="(",LEFT(IFERROR(INDEX(醫師週班表!$C$5:$T$44,$CU29,AM$57),""),1),IFERROR(INDEX(醫師週班表!$C$5:$T$44,$CU29,AM$57),"")))))))</f>
        <v/>
      </c>
      <c r="AN29" s="68">
        <f>IF(AN$59="X","",IF(AN$59&lt;&gt;"",AN$59,IF(IFERROR(INDEX(醫師週班表!$C$5:$T$44,$CU29,AN$57),"")=0,"",IF(MID(IFERROR(INDEX(醫師週班表!$C$5:$T$44,$CU29,AN$57),""),2,1)="/",MID(IFERROR(INDEX(醫師週班表!$C$5:$T$44,$CU29,AN$57),""),1+AN$58*2,1),IF(MID(IFERROR(INDEX(醫師週班表!$C$5:$T$44,$CU29,AN$57),""),3,1)="隔",IF(AN$58=0,LEFT(IFERROR(INDEX(醫師週班表!$C$5:$T$44,$CU29,AN$57),""),1),""),IF(MID(IFERROR(INDEX(醫師週班表!$C$5:$T$44,$CU29,AN$57),""),2,1)="(",LEFT(IFERROR(INDEX(醫師週班表!$C$5:$T$44,$CU29,AN$57),""),1),IFERROR(INDEX(醫師週班表!$C$5:$T$44,$CU29,AN$57),"")))))))</f>
        <v/>
      </c>
      <c r="AO29" s="67">
        <f>IF(AO$59="X","",IF(AO$59&lt;&gt;"",AO$59,IF(IFERROR(INDEX(醫師週班表!$C$5:$T$44,$CU29,AO$57),"")=0,"",IF(MID(IFERROR(INDEX(醫師週班表!$C$5:$T$44,$CU29,AO$57),""),2,1)="/",MID(IFERROR(INDEX(醫師週班表!$C$5:$T$44,$CU29,AO$57),""),1+AO$58*2,1),IF(MID(IFERROR(INDEX(醫師週班表!$C$5:$T$44,$CU29,AO$57),""),3,1)="隔",IF(AO$58=0,LEFT(IFERROR(INDEX(醫師週班表!$C$5:$T$44,$CU29,AO$57),""),1),""),IF(MID(IFERROR(INDEX(醫師週班表!$C$5:$T$44,$CU29,AO$57),""),2,1)="(",LEFT(IFERROR(INDEX(醫師週班表!$C$5:$T$44,$CU29,AO$57),""),1),IFERROR(INDEX(醫師週班表!$C$5:$T$44,$CU29,AO$57),"")))))))</f>
        <v/>
      </c>
      <c r="AP29" s="68">
        <f>IF(AP$59="X","",IF(AP$59&lt;&gt;"",AP$59,IF(IFERROR(INDEX(醫師週班表!$C$5:$T$44,$CU29,AP$57),"")=0,"",IF(MID(IFERROR(INDEX(醫師週班表!$C$5:$T$44,$CU29,AP$57),""),2,1)="/",MID(IFERROR(INDEX(醫師週班表!$C$5:$T$44,$CU29,AP$57),""),1+AP$58*2,1),IF(MID(IFERROR(INDEX(醫師週班表!$C$5:$T$44,$CU29,AP$57),""),3,1)="隔",IF(AP$58=0,LEFT(IFERROR(INDEX(醫師週班表!$C$5:$T$44,$CU29,AP$57),""),1),""),IF(MID(IFERROR(INDEX(醫師週班表!$C$5:$T$44,$CU29,AP$57),""),2,1)="(",LEFT(IFERROR(INDEX(醫師週班表!$C$5:$T$44,$CU29,AP$57),""),1),IFERROR(INDEX(醫師週班表!$C$5:$T$44,$CU29,AP$57),"")))))))</f>
        <v/>
      </c>
      <c r="AQ29" s="68">
        <f>IF(AQ$59="X","",IF(AQ$59&lt;&gt;"",AQ$59,IF(IFERROR(INDEX(醫師週班表!$C$5:$T$44,$CU29,AQ$57),"")=0,"",IF(MID(IFERROR(INDEX(醫師週班表!$C$5:$T$44,$CU29,AQ$57),""),2,1)="/",MID(IFERROR(INDEX(醫師週班表!$C$5:$T$44,$CU29,AQ$57),""),1+AQ$58*2,1),IF(MID(IFERROR(INDEX(醫師週班表!$C$5:$T$44,$CU29,AQ$57),""),3,1)="隔",IF(AQ$58=0,LEFT(IFERROR(INDEX(醫師週班表!$C$5:$T$44,$CU29,AQ$57),""),1),""),IF(MID(IFERROR(INDEX(醫師週班表!$C$5:$T$44,$CU29,AQ$57),""),2,1)="(",LEFT(IFERROR(INDEX(醫師週班表!$C$5:$T$44,$CU29,AQ$57),""),1),IFERROR(INDEX(醫師週班表!$C$5:$T$44,$CU29,AQ$57),"")))))))</f>
        <v/>
      </c>
      <c r="AR29" s="67">
        <f>IF(AR$59="X","",IF(AR$59&lt;&gt;"",AR$59,IF(IFERROR(INDEX(醫師週班表!$C$5:$T$44,$CU29,AR$57),"")=0,"",IF(MID(IFERROR(INDEX(醫師週班表!$C$5:$T$44,$CU29,AR$57),""),2,1)="/",MID(IFERROR(INDEX(醫師週班表!$C$5:$T$44,$CU29,AR$57),""),1+AR$58*2,1),IF(MID(IFERROR(INDEX(醫師週班表!$C$5:$T$44,$CU29,AR$57),""),3,1)="隔",IF(AR$58=0,LEFT(IFERROR(INDEX(醫師週班表!$C$5:$T$44,$CU29,AR$57),""),1),""),IF(MID(IFERROR(INDEX(醫師週班表!$C$5:$T$44,$CU29,AR$57),""),2,1)="(",LEFT(IFERROR(INDEX(醫師週班表!$C$5:$T$44,$CU29,AR$57),""),1),IFERROR(INDEX(醫師週班表!$C$5:$T$44,$CU29,AR$57),"")))))))</f>
        <v/>
      </c>
      <c r="AS29" s="68">
        <f>IF(AS$59="X","",IF(AS$59&lt;&gt;"",AS$59,IF(IFERROR(INDEX(醫師週班表!$C$5:$T$44,$CU29,AS$57),"")=0,"",IF(MID(IFERROR(INDEX(醫師週班表!$C$5:$T$44,$CU29,AS$57),""),2,1)="/",MID(IFERROR(INDEX(醫師週班表!$C$5:$T$44,$CU29,AS$57),""),1+AS$58*2,1),IF(MID(IFERROR(INDEX(醫師週班表!$C$5:$T$44,$CU29,AS$57),""),3,1)="隔",IF(AS$58=0,LEFT(IFERROR(INDEX(醫師週班表!$C$5:$T$44,$CU29,AS$57),""),1),""),IF(MID(IFERROR(INDEX(醫師週班表!$C$5:$T$44,$CU29,AS$57),""),2,1)="(",LEFT(IFERROR(INDEX(醫師週班表!$C$5:$T$44,$CU29,AS$57),""),1),IFERROR(INDEX(醫師週班表!$C$5:$T$44,$CU29,AS$57),"")))))))</f>
        <v/>
      </c>
      <c r="AT29" s="68">
        <f>IF(AT$59="X","",IF(AT$59&lt;&gt;"",AT$59,IF(IFERROR(INDEX(醫師週班表!$C$5:$T$44,$CU29,AT$57),"")=0,"",IF(MID(IFERROR(INDEX(醫師週班表!$C$5:$T$44,$CU29,AT$57),""),2,1)="/",MID(IFERROR(INDEX(醫師週班表!$C$5:$T$44,$CU29,AT$57),""),1+AT$58*2,1),IF(MID(IFERROR(INDEX(醫師週班表!$C$5:$T$44,$CU29,AT$57),""),3,1)="隔",IF(AT$58=0,LEFT(IFERROR(INDEX(醫師週班表!$C$5:$T$44,$CU29,AT$57),""),1),""),IF(MID(IFERROR(INDEX(醫師週班表!$C$5:$T$44,$CU29,AT$57),""),2,1)="(",LEFT(IFERROR(INDEX(醫師週班表!$C$5:$T$44,$CU29,AT$57),""),1),IFERROR(INDEX(醫師週班表!$C$5:$T$44,$CU29,AT$57),"")))))))</f>
        <v/>
      </c>
      <c r="AU29" s="67">
        <f>IF(AU$59="X","",IF(AU$59&lt;&gt;"",AU$59,IF(IFERROR(INDEX(醫師週班表!$C$5:$T$44,$CU29,AU$57),"")=0,"",IF(MID(IFERROR(INDEX(醫師週班表!$C$5:$T$44,$CU29,AU$57),""),2,1)="/",MID(IFERROR(INDEX(醫師週班表!$C$5:$T$44,$CU29,AU$57),""),1+AU$58*2,1),IF(MID(IFERROR(INDEX(醫師週班表!$C$5:$T$44,$CU29,AU$57),""),3,1)="隔",IF(AU$58=0,LEFT(IFERROR(INDEX(醫師週班表!$C$5:$T$44,$CU29,AU$57),""),1),""),IF(MID(IFERROR(INDEX(醫師週班表!$C$5:$T$44,$CU29,AU$57),""),2,1)="(",LEFT(IFERROR(INDEX(醫師週班表!$C$5:$T$44,$CU29,AU$57),""),1),IFERROR(INDEX(醫師週班表!$C$5:$T$44,$CU29,AU$57),"")))))))</f>
        <v/>
      </c>
      <c r="AV29" s="68">
        <f>IF(AV$59="X","",IF(AV$59&lt;&gt;"",AV$59,IF(IFERROR(INDEX(醫師週班表!$C$5:$T$44,$CU29,AV$57),"")=0,"",IF(MID(IFERROR(INDEX(醫師週班表!$C$5:$T$44,$CU29,AV$57),""),2,1)="/",MID(IFERROR(INDEX(醫師週班表!$C$5:$T$44,$CU29,AV$57),""),1+AV$58*2,1),IF(MID(IFERROR(INDEX(醫師週班表!$C$5:$T$44,$CU29,AV$57),""),3,1)="隔",IF(AV$58=0,LEFT(IFERROR(INDEX(醫師週班表!$C$5:$T$44,$CU29,AV$57),""),1),""),IF(MID(IFERROR(INDEX(醫師週班表!$C$5:$T$44,$CU29,AV$57),""),2,1)="(",LEFT(IFERROR(INDEX(醫師週班表!$C$5:$T$44,$CU29,AV$57),""),1),IFERROR(INDEX(醫師週班表!$C$5:$T$44,$CU29,AV$57),"")))))))</f>
        <v/>
      </c>
      <c r="AW29" s="68">
        <f>IF(AW$59="X","",IF(AW$59&lt;&gt;"",AW$59,IF(IFERROR(INDEX(醫師週班表!$C$5:$T$44,$CU29,AW$57),"")=0,"",IF(MID(IFERROR(INDEX(醫師週班表!$C$5:$T$44,$CU29,AW$57),""),2,1)="/",MID(IFERROR(INDEX(醫師週班表!$C$5:$T$44,$CU29,AW$57),""),1+AW$58*2,1),IF(MID(IFERROR(INDEX(醫師週班表!$C$5:$T$44,$CU29,AW$57),""),3,1)="隔",IF(AW$58=0,LEFT(IFERROR(INDEX(醫師週班表!$C$5:$T$44,$CU29,AW$57),""),1),""),IF(MID(IFERROR(INDEX(醫師週班表!$C$5:$T$44,$CU29,AW$57),""),2,1)="(",LEFT(IFERROR(INDEX(醫師週班表!$C$5:$T$44,$CU29,AW$57),""),1),IFERROR(INDEX(醫師週班表!$C$5:$T$44,$CU29,AW$57),"")))))))</f>
        <v/>
      </c>
      <c r="AX29" s="67">
        <f>IF(AX$59="X","",IF(AX$59&lt;&gt;"",AX$59,IF(IFERROR(INDEX(醫師週班表!$C$5:$T$44,$CU29,AX$57),"")=0,"",IF(MID(IFERROR(INDEX(醫師週班表!$C$5:$T$44,$CU29,AX$57),""),2,1)="/",MID(IFERROR(INDEX(醫師週班表!$C$5:$T$44,$CU29,AX$57),""),1+AX$58*2,1),IF(MID(IFERROR(INDEX(醫師週班表!$C$5:$T$44,$CU29,AX$57),""),3,1)="隔",IF(AX$58=0,LEFT(IFERROR(INDEX(醫師週班表!$C$5:$T$44,$CU29,AX$57),""),1),""),IF(MID(IFERROR(INDEX(醫師週班表!$C$5:$T$44,$CU29,AX$57),""),2,1)="(",LEFT(IFERROR(INDEX(醫師週班表!$C$5:$T$44,$CU29,AX$57),""),1),IFERROR(INDEX(醫師週班表!$C$5:$T$44,$CU29,AX$57),"")))))))</f>
        <v/>
      </c>
      <c r="AY29" s="68">
        <f>IF(AY$59="X","",IF(AY$59&lt;&gt;"",AY$59,IF(IFERROR(INDEX(醫師週班表!$C$5:$T$44,$CU29,AY$57),"")=0,"",IF(MID(IFERROR(INDEX(醫師週班表!$C$5:$T$44,$CU29,AY$57),""),2,1)="/",MID(IFERROR(INDEX(醫師週班表!$C$5:$T$44,$CU29,AY$57),""),1+AY$58*2,1),IF(MID(IFERROR(INDEX(醫師週班表!$C$5:$T$44,$CU29,AY$57),""),3,1)="隔",IF(AY$58=0,LEFT(IFERROR(INDEX(醫師週班表!$C$5:$T$44,$CU29,AY$57),""),1),""),IF(MID(IFERROR(INDEX(醫師週班表!$C$5:$T$44,$CU29,AY$57),""),2,1)="(",LEFT(IFERROR(INDEX(醫師週班表!$C$5:$T$44,$CU29,AY$57),""),1),IFERROR(INDEX(醫師週班表!$C$5:$T$44,$CU29,AY$57),"")))))))</f>
        <v/>
      </c>
      <c r="AZ29" s="68">
        <f>IF(AZ$59="X","",IF(AZ$59&lt;&gt;"",AZ$59,IF(IFERROR(INDEX(醫師週班表!$C$5:$T$44,$CU29,AZ$57),"")=0,"",IF(MID(IFERROR(INDEX(醫師週班表!$C$5:$T$44,$CU29,AZ$57),""),2,1)="/",MID(IFERROR(INDEX(醫師週班表!$C$5:$T$44,$CU29,AZ$57),""),1+AZ$58*2,1),IF(MID(IFERROR(INDEX(醫師週班表!$C$5:$T$44,$CU29,AZ$57),""),3,1)="隔",IF(AZ$58=0,LEFT(IFERROR(INDEX(醫師週班表!$C$5:$T$44,$CU29,AZ$57),""),1),""),IF(MID(IFERROR(INDEX(醫師週班表!$C$5:$T$44,$CU29,AZ$57),""),2,1)="(",LEFT(IFERROR(INDEX(醫師週班表!$C$5:$T$44,$CU29,AZ$57),""),1),IFERROR(INDEX(醫師週班表!$C$5:$T$44,$CU29,AZ$57),"")))))))</f>
        <v/>
      </c>
      <c r="BA29" s="67">
        <f>IF(BA$59="X","",IF(BA$59&lt;&gt;"",BA$59,IF(IFERROR(INDEX(醫師週班表!$C$5:$T$44,$CU29,BA$57),"")=0,"",IF(MID(IFERROR(INDEX(醫師週班表!$C$5:$T$44,$CU29,BA$57),""),2,1)="/",MID(IFERROR(INDEX(醫師週班表!$C$5:$T$44,$CU29,BA$57),""),1+BA$58*2,1),IF(MID(IFERROR(INDEX(醫師週班表!$C$5:$T$44,$CU29,BA$57),""),3,1)="隔",IF(BA$58=0,LEFT(IFERROR(INDEX(醫師週班表!$C$5:$T$44,$CU29,BA$57),""),1),""),IF(MID(IFERROR(INDEX(醫師週班表!$C$5:$T$44,$CU29,BA$57),""),2,1)="(",LEFT(IFERROR(INDEX(醫師週班表!$C$5:$T$44,$CU29,BA$57),""),1),IFERROR(INDEX(醫師週班表!$C$5:$T$44,$CU29,BA$57),"")))))))</f>
        <v/>
      </c>
      <c r="BB29" s="68">
        <f>IF(BB$59="X","",IF(BB$59&lt;&gt;"",BB$59,IF(IFERROR(INDEX(醫師週班表!$C$5:$T$44,$CU29,BB$57),"")=0,"",IF(MID(IFERROR(INDEX(醫師週班表!$C$5:$T$44,$CU29,BB$57),""),2,1)="/",MID(IFERROR(INDEX(醫師週班表!$C$5:$T$44,$CU29,BB$57),""),1+BB$58*2,1),IF(MID(IFERROR(INDEX(醫師週班表!$C$5:$T$44,$CU29,BB$57),""),3,1)="隔",IF(BB$58=0,LEFT(IFERROR(INDEX(醫師週班表!$C$5:$T$44,$CU29,BB$57),""),1),""),IF(MID(IFERROR(INDEX(醫師週班表!$C$5:$T$44,$CU29,BB$57),""),2,1)="(",LEFT(IFERROR(INDEX(醫師週班表!$C$5:$T$44,$CU29,BB$57),""),1),IFERROR(INDEX(醫師週班表!$C$5:$T$44,$CU29,BB$57),"")))))))</f>
        <v/>
      </c>
      <c r="BC29" s="68">
        <f>IF(BC$59="X","",IF(BC$59&lt;&gt;"",BC$59,IF(IFERROR(INDEX(醫師週班表!$C$5:$T$44,$CU29,BC$57),"")=0,"",IF(MID(IFERROR(INDEX(醫師週班表!$C$5:$T$44,$CU29,BC$57),""),2,1)="/",MID(IFERROR(INDEX(醫師週班表!$C$5:$T$44,$CU29,BC$57),""),1+BC$58*2,1),IF(MID(IFERROR(INDEX(醫師週班表!$C$5:$T$44,$CU29,BC$57),""),3,1)="隔",IF(BC$58=0,LEFT(IFERROR(INDEX(醫師週班表!$C$5:$T$44,$CU29,BC$57),""),1),""),IF(MID(IFERROR(INDEX(醫師週班表!$C$5:$T$44,$CU29,BC$57),""),2,1)="(",LEFT(IFERROR(INDEX(醫師週班表!$C$5:$T$44,$CU29,BC$57),""),1),IFERROR(INDEX(醫師週班表!$C$5:$T$44,$CU29,BC$57),"")))))))</f>
        <v/>
      </c>
      <c r="BD29" s="67">
        <f>IF(BD$59="X","",IF(BD$59&lt;&gt;"",BD$59,IF(IFERROR(INDEX(醫師週班表!$C$5:$T$44,$CU29,BD$57),"")=0,"",IF(MID(IFERROR(INDEX(醫師週班表!$C$5:$T$44,$CU29,BD$57),""),2,1)="/",MID(IFERROR(INDEX(醫師週班表!$C$5:$T$44,$CU29,BD$57),""),1+BD$58*2,1),IF(MID(IFERROR(INDEX(醫師週班表!$C$5:$T$44,$CU29,BD$57),""),3,1)="隔",IF(BD$58=0,LEFT(IFERROR(INDEX(醫師週班表!$C$5:$T$44,$CU29,BD$57),""),1),""),IF(MID(IFERROR(INDEX(醫師週班表!$C$5:$T$44,$CU29,BD$57),""),2,1)="(",LEFT(IFERROR(INDEX(醫師週班表!$C$5:$T$44,$CU29,BD$57),""),1),IFERROR(INDEX(醫師週班表!$C$5:$T$44,$CU29,BD$57),"")))))))</f>
        <v/>
      </c>
      <c r="BE29" s="68">
        <f>IF(BE$59="X","",IF(BE$59&lt;&gt;"",BE$59,IF(IFERROR(INDEX(醫師週班表!$C$5:$T$44,$CU29,BE$57),"")=0,"",IF(MID(IFERROR(INDEX(醫師週班表!$C$5:$T$44,$CU29,BE$57),""),2,1)="/",MID(IFERROR(INDEX(醫師週班表!$C$5:$T$44,$CU29,BE$57),""),1+BE$58*2,1),IF(MID(IFERROR(INDEX(醫師週班表!$C$5:$T$44,$CU29,BE$57),""),3,1)="隔",IF(BE$58=0,LEFT(IFERROR(INDEX(醫師週班表!$C$5:$T$44,$CU29,BE$57),""),1),""),IF(MID(IFERROR(INDEX(醫師週班表!$C$5:$T$44,$CU29,BE$57),""),2,1)="(",LEFT(IFERROR(INDEX(醫師週班表!$C$5:$T$44,$CU29,BE$57),""),1),IFERROR(INDEX(醫師週班表!$C$5:$T$44,$CU29,BE$57),"")))))))</f>
        <v/>
      </c>
      <c r="BF29" s="68">
        <f>IF(BF$59="X","",IF(BF$59&lt;&gt;"",BF$59,IF(IFERROR(INDEX(醫師週班表!$C$5:$T$44,$CU29,BF$57),"")=0,"",IF(MID(IFERROR(INDEX(醫師週班表!$C$5:$T$44,$CU29,BF$57),""),2,1)="/",MID(IFERROR(INDEX(醫師週班表!$C$5:$T$44,$CU29,BF$57),""),1+BF$58*2,1),IF(MID(IFERROR(INDEX(醫師週班表!$C$5:$T$44,$CU29,BF$57),""),3,1)="隔",IF(BF$58=0,LEFT(IFERROR(INDEX(醫師週班表!$C$5:$T$44,$CU29,BF$57),""),1),""),IF(MID(IFERROR(INDEX(醫師週班表!$C$5:$T$44,$CU29,BF$57),""),2,1)="(",LEFT(IFERROR(INDEX(醫師週班表!$C$5:$T$44,$CU29,BF$57),""),1),IFERROR(INDEX(醫師週班表!$C$5:$T$44,$CU29,BF$57),"")))))))</f>
        <v/>
      </c>
      <c r="BG29" s="67">
        <f>IF(BG$59="X","",IF(BG$59&lt;&gt;"",BG$59,IF(IFERROR(INDEX(醫師週班表!$C$5:$T$44,$CU29,BG$57),"")=0,"",IF(MID(IFERROR(INDEX(醫師週班表!$C$5:$T$44,$CU29,BG$57),""),2,1)="/",MID(IFERROR(INDEX(醫師週班表!$C$5:$T$44,$CU29,BG$57),""),1+BG$58*2,1),IF(MID(IFERROR(INDEX(醫師週班表!$C$5:$T$44,$CU29,BG$57),""),3,1)="隔",IF(BG$58=0,LEFT(IFERROR(INDEX(醫師週班表!$C$5:$T$44,$CU29,BG$57),""),1),""),IF(MID(IFERROR(INDEX(醫師週班表!$C$5:$T$44,$CU29,BG$57),""),2,1)="(",LEFT(IFERROR(INDEX(醫師週班表!$C$5:$T$44,$CU29,BG$57),""),1),IFERROR(INDEX(醫師週班表!$C$5:$T$44,$CU29,BG$57),"")))))))</f>
        <v/>
      </c>
      <c r="BH29" s="68">
        <f>IF(BH$59="X","",IF(BH$59&lt;&gt;"",BH$59,IF(IFERROR(INDEX(醫師週班表!$C$5:$T$44,$CU29,BH$57),"")=0,"",IF(MID(IFERROR(INDEX(醫師週班表!$C$5:$T$44,$CU29,BH$57),""),2,1)="/",MID(IFERROR(INDEX(醫師週班表!$C$5:$T$44,$CU29,BH$57),""),1+BH$58*2,1),IF(MID(IFERROR(INDEX(醫師週班表!$C$5:$T$44,$CU29,BH$57),""),3,1)="隔",IF(BH$58=0,LEFT(IFERROR(INDEX(醫師週班表!$C$5:$T$44,$CU29,BH$57),""),1),""),IF(MID(IFERROR(INDEX(醫師週班表!$C$5:$T$44,$CU29,BH$57),""),2,1)="(",LEFT(IFERROR(INDEX(醫師週班表!$C$5:$T$44,$CU29,BH$57),""),1),IFERROR(INDEX(醫師週班表!$C$5:$T$44,$CU29,BH$57),"")))))))</f>
        <v/>
      </c>
      <c r="BI29" s="68">
        <f>IF(BI$59="X","",IF(BI$59&lt;&gt;"",BI$59,IF(IFERROR(INDEX(醫師週班表!$C$5:$T$44,$CU29,BI$57),"")=0,"",IF(MID(IFERROR(INDEX(醫師週班表!$C$5:$T$44,$CU29,BI$57),""),2,1)="/",MID(IFERROR(INDEX(醫師週班表!$C$5:$T$44,$CU29,BI$57),""),1+BI$58*2,1),IF(MID(IFERROR(INDEX(醫師週班表!$C$5:$T$44,$CU29,BI$57),""),3,1)="隔",IF(BI$58=0,LEFT(IFERROR(INDEX(醫師週班表!$C$5:$T$44,$CU29,BI$57),""),1),""),IF(MID(IFERROR(INDEX(醫師週班表!$C$5:$T$44,$CU29,BI$57),""),2,1)="(",LEFT(IFERROR(INDEX(醫師週班表!$C$5:$T$44,$CU29,BI$57),""),1),IFERROR(INDEX(醫師週班表!$C$5:$T$44,$CU29,BI$57),"")))))))</f>
        <v/>
      </c>
      <c r="BJ29" s="67">
        <f>IF(BJ$59="X","",IF(BJ$59&lt;&gt;"",BJ$59,IF(IFERROR(INDEX(醫師週班表!$C$5:$T$44,$CU29,BJ$57),"")=0,"",IF(MID(IFERROR(INDEX(醫師週班表!$C$5:$T$44,$CU29,BJ$57),""),2,1)="/",MID(IFERROR(INDEX(醫師週班表!$C$5:$T$44,$CU29,BJ$57),""),1+BJ$58*2,1),IF(MID(IFERROR(INDEX(醫師週班表!$C$5:$T$44,$CU29,BJ$57),""),3,1)="隔",IF(BJ$58=0,LEFT(IFERROR(INDEX(醫師週班表!$C$5:$T$44,$CU29,BJ$57),""),1),""),IF(MID(IFERROR(INDEX(醫師週班表!$C$5:$T$44,$CU29,BJ$57),""),2,1)="(",LEFT(IFERROR(INDEX(醫師週班表!$C$5:$T$44,$CU29,BJ$57),""),1),IFERROR(INDEX(醫師週班表!$C$5:$T$44,$CU29,BJ$57),"")))))))</f>
        <v/>
      </c>
      <c r="BK29" s="68">
        <f>IF(BK$59="X","",IF(BK$59&lt;&gt;"",BK$59,IF(IFERROR(INDEX(醫師週班表!$C$5:$T$44,$CU29,BK$57),"")=0,"",IF(MID(IFERROR(INDEX(醫師週班表!$C$5:$T$44,$CU29,BK$57),""),2,1)="/",MID(IFERROR(INDEX(醫師週班表!$C$5:$T$44,$CU29,BK$57),""),1+BK$58*2,1),IF(MID(IFERROR(INDEX(醫師週班表!$C$5:$T$44,$CU29,BK$57),""),3,1)="隔",IF(BK$58=0,LEFT(IFERROR(INDEX(醫師週班表!$C$5:$T$44,$CU29,BK$57),""),1),""),IF(MID(IFERROR(INDEX(醫師週班表!$C$5:$T$44,$CU29,BK$57),""),2,1)="(",LEFT(IFERROR(INDEX(醫師週班表!$C$5:$T$44,$CU29,BK$57),""),1),IFERROR(INDEX(醫師週班表!$C$5:$T$44,$CU29,BK$57),"")))))))</f>
        <v/>
      </c>
      <c r="BL29" s="68">
        <f>IF(BL$59="X","",IF(BL$59&lt;&gt;"",BL$59,IF(IFERROR(INDEX(醫師週班表!$C$5:$T$44,$CU29,BL$57),"")=0,"",IF(MID(IFERROR(INDEX(醫師週班表!$C$5:$T$44,$CU29,BL$57),""),2,1)="/",MID(IFERROR(INDEX(醫師週班表!$C$5:$T$44,$CU29,BL$57),""),1+BL$58*2,1),IF(MID(IFERROR(INDEX(醫師週班表!$C$5:$T$44,$CU29,BL$57),""),3,1)="隔",IF(BL$58=0,LEFT(IFERROR(INDEX(醫師週班表!$C$5:$T$44,$CU29,BL$57),""),1),""),IF(MID(IFERROR(INDEX(醫師週班表!$C$5:$T$44,$CU29,BL$57),""),2,1)="(",LEFT(IFERROR(INDEX(醫師週班表!$C$5:$T$44,$CU29,BL$57),""),1),IFERROR(INDEX(醫師週班表!$C$5:$T$44,$CU29,BL$57),"")))))))</f>
        <v/>
      </c>
      <c r="BM29" s="67">
        <f>IF(BM$59="X","",IF(BM$59&lt;&gt;"",BM$59,IF(IFERROR(INDEX(醫師週班表!$C$5:$T$44,$CU29,BM$57),"")=0,"",IF(MID(IFERROR(INDEX(醫師週班表!$C$5:$T$44,$CU29,BM$57),""),2,1)="/",MID(IFERROR(INDEX(醫師週班表!$C$5:$T$44,$CU29,BM$57),""),1+BM$58*2,1),IF(MID(IFERROR(INDEX(醫師週班表!$C$5:$T$44,$CU29,BM$57),""),3,1)="隔",IF(BM$58=0,LEFT(IFERROR(INDEX(醫師週班表!$C$5:$T$44,$CU29,BM$57),""),1),""),IF(MID(IFERROR(INDEX(醫師週班表!$C$5:$T$44,$CU29,BM$57),""),2,1)="(",LEFT(IFERROR(INDEX(醫師週班表!$C$5:$T$44,$CU29,BM$57),""),1),IFERROR(INDEX(醫師週班表!$C$5:$T$44,$CU29,BM$57),"")))))))</f>
        <v/>
      </c>
      <c r="BN29" s="68">
        <f>IF(BN$59="X","",IF(BN$59&lt;&gt;"",BN$59,IF(IFERROR(INDEX(醫師週班表!$C$5:$T$44,$CU29,BN$57),"")=0,"",IF(MID(IFERROR(INDEX(醫師週班表!$C$5:$T$44,$CU29,BN$57),""),2,1)="/",MID(IFERROR(INDEX(醫師週班表!$C$5:$T$44,$CU29,BN$57),""),1+BN$58*2,1),IF(MID(IFERROR(INDEX(醫師週班表!$C$5:$T$44,$CU29,BN$57),""),3,1)="隔",IF(BN$58=0,LEFT(IFERROR(INDEX(醫師週班表!$C$5:$T$44,$CU29,BN$57),""),1),""),IF(MID(IFERROR(INDEX(醫師週班表!$C$5:$T$44,$CU29,BN$57),""),2,1)="(",LEFT(IFERROR(INDEX(醫師週班表!$C$5:$T$44,$CU29,BN$57),""),1),IFERROR(INDEX(醫師週班表!$C$5:$T$44,$CU29,BN$57),"")))))))</f>
        <v/>
      </c>
      <c r="BO29" s="68">
        <f>IF(BO$59="X","",IF(BO$59&lt;&gt;"",BO$59,IF(IFERROR(INDEX(醫師週班表!$C$5:$T$44,$CU29,BO$57),"")=0,"",IF(MID(IFERROR(INDEX(醫師週班表!$C$5:$T$44,$CU29,BO$57),""),2,1)="/",MID(IFERROR(INDEX(醫師週班表!$C$5:$T$44,$CU29,BO$57),""),1+BO$58*2,1),IF(MID(IFERROR(INDEX(醫師週班表!$C$5:$T$44,$CU29,BO$57),""),3,1)="隔",IF(BO$58=0,LEFT(IFERROR(INDEX(醫師週班表!$C$5:$T$44,$CU29,BO$57),""),1),""),IF(MID(IFERROR(INDEX(醫師週班表!$C$5:$T$44,$CU29,BO$57),""),2,1)="(",LEFT(IFERROR(INDEX(醫師週班表!$C$5:$T$44,$CU29,BO$57),""),1),IFERROR(INDEX(醫師週班表!$C$5:$T$44,$CU29,BO$57),"")))))))</f>
        <v/>
      </c>
      <c r="BP29" s="67">
        <f>IF(BP$59="X","",IF(BP$59&lt;&gt;"",BP$59,IF(IFERROR(INDEX(醫師週班表!$C$5:$T$44,$CU29,BP$57),"")=0,"",IF(MID(IFERROR(INDEX(醫師週班表!$C$5:$T$44,$CU29,BP$57),""),2,1)="/",MID(IFERROR(INDEX(醫師週班表!$C$5:$T$44,$CU29,BP$57),""),1+BP$58*2,1),IF(MID(IFERROR(INDEX(醫師週班表!$C$5:$T$44,$CU29,BP$57),""),3,1)="隔",IF(BP$58=0,LEFT(IFERROR(INDEX(醫師週班表!$C$5:$T$44,$CU29,BP$57),""),1),""),IF(MID(IFERROR(INDEX(醫師週班表!$C$5:$T$44,$CU29,BP$57),""),2,1)="(",LEFT(IFERROR(INDEX(醫師週班表!$C$5:$T$44,$CU29,BP$57),""),1),IFERROR(INDEX(醫師週班表!$C$5:$T$44,$CU29,BP$57),"")))))))</f>
        <v/>
      </c>
      <c r="BQ29" s="68">
        <f>IF(BQ$59="X","",IF(BQ$59&lt;&gt;"",BQ$59,IF(IFERROR(INDEX(醫師週班表!$C$5:$T$44,$CU29,BQ$57),"")=0,"",IF(MID(IFERROR(INDEX(醫師週班表!$C$5:$T$44,$CU29,BQ$57),""),2,1)="/",MID(IFERROR(INDEX(醫師週班表!$C$5:$T$44,$CU29,BQ$57),""),1+BQ$58*2,1),IF(MID(IFERROR(INDEX(醫師週班表!$C$5:$T$44,$CU29,BQ$57),""),3,1)="隔",IF(BQ$58=0,LEFT(IFERROR(INDEX(醫師週班表!$C$5:$T$44,$CU29,BQ$57),""),1),""),IF(MID(IFERROR(INDEX(醫師週班表!$C$5:$T$44,$CU29,BQ$57),""),2,1)="(",LEFT(IFERROR(INDEX(醫師週班表!$C$5:$T$44,$CU29,BQ$57),""),1),IFERROR(INDEX(醫師週班表!$C$5:$T$44,$CU29,BQ$57),"")))))))</f>
        <v/>
      </c>
      <c r="BR29" s="68">
        <f>IF(BR$59="X","",IF(BR$59&lt;&gt;"",BR$59,IF(IFERROR(INDEX(醫師週班表!$C$5:$T$44,$CU29,BR$57),"")=0,"",IF(MID(IFERROR(INDEX(醫師週班表!$C$5:$T$44,$CU29,BR$57),""),2,1)="/",MID(IFERROR(INDEX(醫師週班表!$C$5:$T$44,$CU29,BR$57),""),1+BR$58*2,1),IF(MID(IFERROR(INDEX(醫師週班表!$C$5:$T$44,$CU29,BR$57),""),3,1)="隔",IF(BR$58=0,LEFT(IFERROR(INDEX(醫師週班表!$C$5:$T$44,$CU29,BR$57),""),1),""),IF(MID(IFERROR(INDEX(醫師週班表!$C$5:$T$44,$CU29,BR$57),""),2,1)="(",LEFT(IFERROR(INDEX(醫師週班表!$C$5:$T$44,$CU29,BR$57),""),1),IFERROR(INDEX(醫師週班表!$C$5:$T$44,$CU29,BR$57),"")))))))</f>
        <v/>
      </c>
      <c r="BS29" s="67">
        <f>IF(BS$59="X","",IF(BS$59&lt;&gt;"",BS$59,IF(IFERROR(INDEX(醫師週班表!$C$5:$T$44,$CU29,BS$57),"")=0,"",IF(MID(IFERROR(INDEX(醫師週班表!$C$5:$T$44,$CU29,BS$57),""),2,1)="/",MID(IFERROR(INDEX(醫師週班表!$C$5:$T$44,$CU29,BS$57),""),1+BS$58*2,1),IF(MID(IFERROR(INDEX(醫師週班表!$C$5:$T$44,$CU29,BS$57),""),3,1)="隔",IF(BS$58=0,LEFT(IFERROR(INDEX(醫師週班表!$C$5:$T$44,$CU29,BS$57),""),1),""),IF(MID(IFERROR(INDEX(醫師週班表!$C$5:$T$44,$CU29,BS$57),""),2,1)="(",LEFT(IFERROR(INDEX(醫師週班表!$C$5:$T$44,$CU29,BS$57),""),1),IFERROR(INDEX(醫師週班表!$C$5:$T$44,$CU29,BS$57),"")))))))</f>
        <v/>
      </c>
      <c r="BT29" s="68">
        <f>IF(BT$59="X","",IF(BT$59&lt;&gt;"",BT$59,IF(IFERROR(INDEX(醫師週班表!$C$5:$T$44,$CU29,BT$57),"")=0,"",IF(MID(IFERROR(INDEX(醫師週班表!$C$5:$T$44,$CU29,BT$57),""),2,1)="/",MID(IFERROR(INDEX(醫師週班表!$C$5:$T$44,$CU29,BT$57),""),1+BT$58*2,1),IF(MID(IFERROR(INDEX(醫師週班表!$C$5:$T$44,$CU29,BT$57),""),3,1)="隔",IF(BT$58=0,LEFT(IFERROR(INDEX(醫師週班表!$C$5:$T$44,$CU29,BT$57),""),1),""),IF(MID(IFERROR(INDEX(醫師週班表!$C$5:$T$44,$CU29,BT$57),""),2,1)="(",LEFT(IFERROR(INDEX(醫師週班表!$C$5:$T$44,$CU29,BT$57),""),1),IFERROR(INDEX(醫師週班表!$C$5:$T$44,$CU29,BT$57),"")))))))</f>
        <v/>
      </c>
      <c r="BU29" s="68">
        <f>IF(BU$59="X","",IF(BU$59&lt;&gt;"",BU$59,IF(IFERROR(INDEX(醫師週班表!$C$5:$T$44,$CU29,BU$57),"")=0,"",IF(MID(IFERROR(INDEX(醫師週班表!$C$5:$T$44,$CU29,BU$57),""),2,1)="/",MID(IFERROR(INDEX(醫師週班表!$C$5:$T$44,$CU29,BU$57),""),1+BU$58*2,1),IF(MID(IFERROR(INDEX(醫師週班表!$C$5:$T$44,$CU29,BU$57),""),3,1)="隔",IF(BU$58=0,LEFT(IFERROR(INDEX(醫師週班表!$C$5:$T$44,$CU29,BU$57),""),1),""),IF(MID(IFERROR(INDEX(醫師週班表!$C$5:$T$44,$CU29,BU$57),""),2,1)="(",LEFT(IFERROR(INDEX(醫師週班表!$C$5:$T$44,$CU29,BU$57),""),1),IFERROR(INDEX(醫師週班表!$C$5:$T$44,$CU29,BU$57),"")))))))</f>
        <v/>
      </c>
      <c r="BV29" s="67">
        <f>IF(BV$59="X","",IF(BV$59&lt;&gt;"",BV$59,IF(IFERROR(INDEX(醫師週班表!$C$5:$T$44,$CU29,BV$57),"")=0,"",IF(MID(IFERROR(INDEX(醫師週班表!$C$5:$T$44,$CU29,BV$57),""),2,1)="/",MID(IFERROR(INDEX(醫師週班表!$C$5:$T$44,$CU29,BV$57),""),1+BV$58*2,1),IF(MID(IFERROR(INDEX(醫師週班表!$C$5:$T$44,$CU29,BV$57),""),3,1)="隔",IF(BV$58=0,LEFT(IFERROR(INDEX(醫師週班表!$C$5:$T$44,$CU29,BV$57),""),1),""),IF(MID(IFERROR(INDEX(醫師週班表!$C$5:$T$44,$CU29,BV$57),""),2,1)="(",LEFT(IFERROR(INDEX(醫師週班表!$C$5:$T$44,$CU29,BV$57),""),1),IFERROR(INDEX(醫師週班表!$C$5:$T$44,$CU29,BV$57),"")))))))</f>
        <v/>
      </c>
      <c r="BW29" s="68">
        <f>IF(BW$59="X","",IF(BW$59&lt;&gt;"",BW$59,IF(IFERROR(INDEX(醫師週班表!$C$5:$T$44,$CU29,BW$57),"")=0,"",IF(MID(IFERROR(INDEX(醫師週班表!$C$5:$T$44,$CU29,BW$57),""),2,1)="/",MID(IFERROR(INDEX(醫師週班表!$C$5:$T$44,$CU29,BW$57),""),1+BW$58*2,1),IF(MID(IFERROR(INDEX(醫師週班表!$C$5:$T$44,$CU29,BW$57),""),3,1)="隔",IF(BW$58=0,LEFT(IFERROR(INDEX(醫師週班表!$C$5:$T$44,$CU29,BW$57),""),1),""),IF(MID(IFERROR(INDEX(醫師週班表!$C$5:$T$44,$CU29,BW$57),""),2,1)="(",LEFT(IFERROR(INDEX(醫師週班表!$C$5:$T$44,$CU29,BW$57),""),1),IFERROR(INDEX(醫師週班表!$C$5:$T$44,$CU29,BW$57),"")))))))</f>
        <v/>
      </c>
      <c r="BX29" s="68">
        <f>IF(BX$59="X","",IF(BX$59&lt;&gt;"",BX$59,IF(IFERROR(INDEX(醫師週班表!$C$5:$T$44,$CU29,BX$57),"")=0,"",IF(MID(IFERROR(INDEX(醫師週班表!$C$5:$T$44,$CU29,BX$57),""),2,1)="/",MID(IFERROR(INDEX(醫師週班表!$C$5:$T$44,$CU29,BX$57),""),1+BX$58*2,1),IF(MID(IFERROR(INDEX(醫師週班表!$C$5:$T$44,$CU29,BX$57),""),3,1)="隔",IF(BX$58=0,LEFT(IFERROR(INDEX(醫師週班表!$C$5:$T$44,$CU29,BX$57),""),1),""),IF(MID(IFERROR(INDEX(醫師週班表!$C$5:$T$44,$CU29,BX$57),""),2,1)="(",LEFT(IFERROR(INDEX(醫師週班表!$C$5:$T$44,$CU29,BX$57),""),1),IFERROR(INDEX(醫師週班表!$C$5:$T$44,$CU29,BX$57),"")))))))</f>
        <v/>
      </c>
      <c r="BY29" s="67">
        <f>IF(BY$59="X","",IF(BY$59&lt;&gt;"",BY$59,IF(IFERROR(INDEX(醫師週班表!$C$5:$T$44,$CU29,BY$57),"")=0,"",IF(MID(IFERROR(INDEX(醫師週班表!$C$5:$T$44,$CU29,BY$57),""),2,1)="/",MID(IFERROR(INDEX(醫師週班表!$C$5:$T$44,$CU29,BY$57),""),1+BY$58*2,1),IF(MID(IFERROR(INDEX(醫師週班表!$C$5:$T$44,$CU29,BY$57),""),3,1)="隔",IF(BY$58=0,LEFT(IFERROR(INDEX(醫師週班表!$C$5:$T$44,$CU29,BY$57),""),1),""),IF(MID(IFERROR(INDEX(醫師週班表!$C$5:$T$44,$CU29,BY$57),""),2,1)="(",LEFT(IFERROR(INDEX(醫師週班表!$C$5:$T$44,$CU29,BY$57),""),1),IFERROR(INDEX(醫師週班表!$C$5:$T$44,$CU29,BY$57),"")))))))</f>
        <v/>
      </c>
      <c r="BZ29" s="68">
        <f>IF(BZ$59="X","",IF(BZ$59&lt;&gt;"",BZ$59,IF(IFERROR(INDEX(醫師週班表!$C$5:$T$44,$CU29,BZ$57),"")=0,"",IF(MID(IFERROR(INDEX(醫師週班表!$C$5:$T$44,$CU29,BZ$57),""),2,1)="/",MID(IFERROR(INDEX(醫師週班表!$C$5:$T$44,$CU29,BZ$57),""),1+BZ$58*2,1),IF(MID(IFERROR(INDEX(醫師週班表!$C$5:$T$44,$CU29,BZ$57),""),3,1)="隔",IF(BZ$58=0,LEFT(IFERROR(INDEX(醫師週班表!$C$5:$T$44,$CU29,BZ$57),""),1),""),IF(MID(IFERROR(INDEX(醫師週班表!$C$5:$T$44,$CU29,BZ$57),""),2,1)="(",LEFT(IFERROR(INDEX(醫師週班表!$C$5:$T$44,$CU29,BZ$57),""),1),IFERROR(INDEX(醫師週班表!$C$5:$T$44,$CU29,BZ$57),"")))))))</f>
        <v/>
      </c>
      <c r="CA29" s="68">
        <f>IF(CA$59="X","",IF(CA$59&lt;&gt;"",CA$59,IF(IFERROR(INDEX(醫師週班表!$C$5:$T$44,$CU29,CA$57),"")=0,"",IF(MID(IFERROR(INDEX(醫師週班表!$C$5:$T$44,$CU29,CA$57),""),2,1)="/",MID(IFERROR(INDEX(醫師週班表!$C$5:$T$44,$CU29,CA$57),""),1+CA$58*2,1),IF(MID(IFERROR(INDEX(醫師週班表!$C$5:$T$44,$CU29,CA$57),""),3,1)="隔",IF(CA$58=0,LEFT(IFERROR(INDEX(醫師週班表!$C$5:$T$44,$CU29,CA$57),""),1),""),IF(MID(IFERROR(INDEX(醫師週班表!$C$5:$T$44,$CU29,CA$57),""),2,1)="(",LEFT(IFERROR(INDEX(醫師週班表!$C$5:$T$44,$CU29,CA$57),""),1),IFERROR(INDEX(醫師週班表!$C$5:$T$44,$CU29,CA$57),"")))))))</f>
        <v/>
      </c>
      <c r="CB29" s="67">
        <f>IF(CB$59="X","",IF(CB$59&lt;&gt;"",CB$59,IF(IFERROR(INDEX(醫師週班表!$C$5:$T$44,$CU29,CB$57),"")=0,"",IF(MID(IFERROR(INDEX(醫師週班表!$C$5:$T$44,$CU29,CB$57),""),2,1)="/",MID(IFERROR(INDEX(醫師週班表!$C$5:$T$44,$CU29,CB$57),""),1+CB$58*2,1),IF(MID(IFERROR(INDEX(醫師週班表!$C$5:$T$44,$CU29,CB$57),""),3,1)="隔",IF(CB$58=0,LEFT(IFERROR(INDEX(醫師週班表!$C$5:$T$44,$CU29,CB$57),""),1),""),IF(MID(IFERROR(INDEX(醫師週班表!$C$5:$T$44,$CU29,CB$57),""),2,1)="(",LEFT(IFERROR(INDEX(醫師週班表!$C$5:$T$44,$CU29,CB$57),""),1),IFERROR(INDEX(醫師週班表!$C$5:$T$44,$CU29,CB$57),"")))))))</f>
        <v/>
      </c>
      <c r="CC29" s="68">
        <f>IF(CC$59="X","",IF(CC$59&lt;&gt;"",CC$59,IF(IFERROR(INDEX(醫師週班表!$C$5:$T$44,$CU29,CC$57),"")=0,"",IF(MID(IFERROR(INDEX(醫師週班表!$C$5:$T$44,$CU29,CC$57),""),2,1)="/",MID(IFERROR(INDEX(醫師週班表!$C$5:$T$44,$CU29,CC$57),""),1+CC$58*2,1),IF(MID(IFERROR(INDEX(醫師週班表!$C$5:$T$44,$CU29,CC$57),""),3,1)="隔",IF(CC$58=0,LEFT(IFERROR(INDEX(醫師週班表!$C$5:$T$44,$CU29,CC$57),""),1),""),IF(MID(IFERROR(INDEX(醫師週班表!$C$5:$T$44,$CU29,CC$57),""),2,1)="(",LEFT(IFERROR(INDEX(醫師週班表!$C$5:$T$44,$CU29,CC$57),""),1),IFERROR(INDEX(醫師週班表!$C$5:$T$44,$CU29,CC$57),"")))))))</f>
        <v/>
      </c>
      <c r="CD29" s="68">
        <f>IF(CD$59="X","",IF(CD$59&lt;&gt;"",CD$59,IF(IFERROR(INDEX(醫師週班表!$C$5:$T$44,$CU29,CD$57),"")=0,"",IF(MID(IFERROR(INDEX(醫師週班表!$C$5:$T$44,$CU29,CD$57),""),2,1)="/",MID(IFERROR(INDEX(醫師週班表!$C$5:$T$44,$CU29,CD$57),""),1+CD$58*2,1),IF(MID(IFERROR(INDEX(醫師週班表!$C$5:$T$44,$CU29,CD$57),""),3,1)="隔",IF(CD$58=0,LEFT(IFERROR(INDEX(醫師週班表!$C$5:$T$44,$CU29,CD$57),""),1),""),IF(MID(IFERROR(INDEX(醫師週班表!$C$5:$T$44,$CU29,CD$57),""),2,1)="(",LEFT(IFERROR(INDEX(醫師週班表!$C$5:$T$44,$CU29,CD$57),""),1),IFERROR(INDEX(醫師週班表!$C$5:$T$44,$CU29,CD$57),"")))))))</f>
        <v/>
      </c>
      <c r="CE29" s="67">
        <f>IF(CE$59="X","",IF(CE$59&lt;&gt;"",CE$59,IF(IFERROR(INDEX(醫師週班表!$C$5:$T$44,$CU29,CE$57),"")=0,"",IF(MID(IFERROR(INDEX(醫師週班表!$C$5:$T$44,$CU29,CE$57),""),2,1)="/",MID(IFERROR(INDEX(醫師週班表!$C$5:$T$44,$CU29,CE$57),""),1+CE$58*2,1),IF(MID(IFERROR(INDEX(醫師週班表!$C$5:$T$44,$CU29,CE$57),""),3,1)="隔",IF(CE$58=0,LEFT(IFERROR(INDEX(醫師週班表!$C$5:$T$44,$CU29,CE$57),""),1),""),IF(MID(IFERROR(INDEX(醫師週班表!$C$5:$T$44,$CU29,CE$57),""),2,1)="(",LEFT(IFERROR(INDEX(醫師週班表!$C$5:$T$44,$CU29,CE$57),""),1),IFERROR(INDEX(醫師週班表!$C$5:$T$44,$CU29,CE$57),"")))))))</f>
        <v/>
      </c>
      <c r="CF29" s="68">
        <f>IF(CF$59="X","",IF(CF$59&lt;&gt;"",CF$59,IF(IFERROR(INDEX(醫師週班表!$C$5:$T$44,$CU29,CF$57),"")=0,"",IF(MID(IFERROR(INDEX(醫師週班表!$C$5:$T$44,$CU29,CF$57),""),2,1)="/",MID(IFERROR(INDEX(醫師週班表!$C$5:$T$44,$CU29,CF$57),""),1+CF$58*2,1),IF(MID(IFERROR(INDEX(醫師週班表!$C$5:$T$44,$CU29,CF$57),""),3,1)="隔",IF(CF$58=0,LEFT(IFERROR(INDEX(醫師週班表!$C$5:$T$44,$CU29,CF$57),""),1),""),IF(MID(IFERROR(INDEX(醫師週班表!$C$5:$T$44,$CU29,CF$57),""),2,1)="(",LEFT(IFERROR(INDEX(醫師週班表!$C$5:$T$44,$CU29,CF$57),""),1),IFERROR(INDEX(醫師週班表!$C$5:$T$44,$CU29,CF$57),"")))))))</f>
        <v/>
      </c>
      <c r="CG29" s="68">
        <f>IF(CG$59="X","",IF(CG$59&lt;&gt;"",CG$59,IF(IFERROR(INDEX(醫師週班表!$C$5:$T$44,$CU29,CG$57),"")=0,"",IF(MID(IFERROR(INDEX(醫師週班表!$C$5:$T$44,$CU29,CG$57),""),2,1)="/",MID(IFERROR(INDEX(醫師週班表!$C$5:$T$44,$CU29,CG$57),""),1+CG$58*2,1),IF(MID(IFERROR(INDEX(醫師週班表!$C$5:$T$44,$CU29,CG$57),""),3,1)="隔",IF(CG$58=0,LEFT(IFERROR(INDEX(醫師週班表!$C$5:$T$44,$CU29,CG$57),""),1),""),IF(MID(IFERROR(INDEX(醫師週班表!$C$5:$T$44,$CU29,CG$57),""),2,1)="(",LEFT(IFERROR(INDEX(醫師週班表!$C$5:$T$44,$CU29,CG$57),""),1),IFERROR(INDEX(醫師週班表!$C$5:$T$44,$CU29,CG$57),"")))))))</f>
        <v/>
      </c>
      <c r="CH29" s="67">
        <f>IF(CH$59="X","",IF(CH$59&lt;&gt;"",CH$59,IF(IFERROR(INDEX(醫師週班表!$C$5:$T$44,$CU29,CH$57),"")=0,"",IF(MID(IFERROR(INDEX(醫師週班表!$C$5:$T$44,$CU29,CH$57),""),2,1)="/",MID(IFERROR(INDEX(醫師週班表!$C$5:$T$44,$CU29,CH$57),""),1+CH$58*2,1),IF(MID(IFERROR(INDEX(醫師週班表!$C$5:$T$44,$CU29,CH$57),""),3,1)="隔",IF(CH$58=0,LEFT(IFERROR(INDEX(醫師週班表!$C$5:$T$44,$CU29,CH$57),""),1),""),IF(MID(IFERROR(INDEX(醫師週班表!$C$5:$T$44,$CU29,CH$57),""),2,1)="(",LEFT(IFERROR(INDEX(醫師週班表!$C$5:$T$44,$CU29,CH$57),""),1),IFERROR(INDEX(醫師週班表!$C$5:$T$44,$CU29,CH$57),"")))))))</f>
        <v/>
      </c>
      <c r="CI29" s="68">
        <f>IF(CI$59="X","",IF(CI$59&lt;&gt;"",CI$59,IF(IFERROR(INDEX(醫師週班表!$C$5:$T$44,$CU29,CI$57),"")=0,"",IF(MID(IFERROR(INDEX(醫師週班表!$C$5:$T$44,$CU29,CI$57),""),2,1)="/",MID(IFERROR(INDEX(醫師週班表!$C$5:$T$44,$CU29,CI$57),""),1+CI$58*2,1),IF(MID(IFERROR(INDEX(醫師週班表!$C$5:$T$44,$CU29,CI$57),""),3,1)="隔",IF(CI$58=0,LEFT(IFERROR(INDEX(醫師週班表!$C$5:$T$44,$CU29,CI$57),""),1),""),IF(MID(IFERROR(INDEX(醫師週班表!$C$5:$T$44,$CU29,CI$57),""),2,1)="(",LEFT(IFERROR(INDEX(醫師週班表!$C$5:$T$44,$CU29,CI$57),""),1),IFERROR(INDEX(醫師週班表!$C$5:$T$44,$CU29,CI$57),"")))))))</f>
        <v/>
      </c>
      <c r="CJ29" s="68">
        <f>IF(CJ$59="X","",IF(CJ$59&lt;&gt;"",CJ$59,IF(IFERROR(INDEX(醫師週班表!$C$5:$T$44,$CU29,CJ$57),"")=0,"",IF(MID(IFERROR(INDEX(醫師週班表!$C$5:$T$44,$CU29,CJ$57),""),2,1)="/",MID(IFERROR(INDEX(醫師週班表!$C$5:$T$44,$CU29,CJ$57),""),1+CJ$58*2,1),IF(MID(IFERROR(INDEX(醫師週班表!$C$5:$T$44,$CU29,CJ$57),""),3,1)="隔",IF(CJ$58=0,LEFT(IFERROR(INDEX(醫師週班表!$C$5:$T$44,$CU29,CJ$57),""),1),""),IF(MID(IFERROR(INDEX(醫師週班表!$C$5:$T$44,$CU29,CJ$57),""),2,1)="(",LEFT(IFERROR(INDEX(醫師週班表!$C$5:$T$44,$CU29,CJ$57),""),1),IFERROR(INDEX(醫師週班表!$C$5:$T$44,$CU29,CJ$57),"")))))))</f>
        <v/>
      </c>
      <c r="CK29" s="67">
        <f>IF(CK$59="X","",IF(CK$59&lt;&gt;"",CK$59,IF(IFERROR(INDEX(醫師週班表!$C$5:$T$44,$CU29,CK$57),"")=0,"",IF(MID(IFERROR(INDEX(醫師週班表!$C$5:$T$44,$CU29,CK$57),""),2,1)="/",MID(IFERROR(INDEX(醫師週班表!$C$5:$T$44,$CU29,CK$57),""),1+CK$58*2,1),IF(MID(IFERROR(INDEX(醫師週班表!$C$5:$T$44,$CU29,CK$57),""),3,1)="隔",IF(CK$58=0,LEFT(IFERROR(INDEX(醫師週班表!$C$5:$T$44,$CU29,CK$57),""),1),""),IF(MID(IFERROR(INDEX(醫師週班表!$C$5:$T$44,$CU29,CK$57),""),2,1)="(",LEFT(IFERROR(INDEX(醫師週班表!$C$5:$T$44,$CU29,CK$57),""),1),IFERROR(INDEX(醫師週班表!$C$5:$T$44,$CU29,CK$57),"")))))))</f>
        <v/>
      </c>
      <c r="CL29" s="68">
        <f>IF(CL$59="X","",IF(CL$59&lt;&gt;"",CL$59,IF(IFERROR(INDEX(醫師週班表!$C$5:$T$44,$CU29,CL$57),"")=0,"",IF(MID(IFERROR(INDEX(醫師週班表!$C$5:$T$44,$CU29,CL$57),""),2,1)="/",MID(IFERROR(INDEX(醫師週班表!$C$5:$T$44,$CU29,CL$57),""),1+CL$58*2,1),IF(MID(IFERROR(INDEX(醫師週班表!$C$5:$T$44,$CU29,CL$57),""),3,1)="隔",IF(CL$58=0,LEFT(IFERROR(INDEX(醫師週班表!$C$5:$T$44,$CU29,CL$57),""),1),""),IF(MID(IFERROR(INDEX(醫師週班表!$C$5:$T$44,$CU29,CL$57),""),2,1)="(",LEFT(IFERROR(INDEX(醫師週班表!$C$5:$T$44,$CU29,CL$57),""),1),IFERROR(INDEX(醫師週班表!$C$5:$T$44,$CU29,CL$57),"")))))))</f>
        <v/>
      </c>
      <c r="CM29" s="68">
        <f>IF(CM$59="X","",IF(CM$59&lt;&gt;"",CM$59,IF(IFERROR(INDEX(醫師週班表!$C$5:$T$44,$CU29,CM$57),"")=0,"",IF(MID(IFERROR(INDEX(醫師週班表!$C$5:$T$44,$CU29,CM$57),""),2,1)="/",MID(IFERROR(INDEX(醫師週班表!$C$5:$T$44,$CU29,CM$57),""),1+CM$58*2,1),IF(MID(IFERROR(INDEX(醫師週班表!$C$5:$T$44,$CU29,CM$57),""),3,1)="隔",IF(CM$58=0,LEFT(IFERROR(INDEX(醫師週班表!$C$5:$T$44,$CU29,CM$57),""),1),""),IF(MID(IFERROR(INDEX(醫師週班表!$C$5:$T$44,$CU29,CM$57),""),2,1)="(",LEFT(IFERROR(INDEX(醫師週班表!$C$5:$T$44,$CU29,CM$57),""),1),IFERROR(INDEX(醫師週班表!$C$5:$T$44,$CU29,CM$57),"")))))))</f>
        <v/>
      </c>
      <c r="CN29" s="67">
        <f>IF(CN$59="X","",IF(CN$59&lt;&gt;"",CN$59,IF(IFERROR(INDEX(醫師週班表!$C$5:$T$44,$CU29,CN$57),"")=0,"",IF(MID(IFERROR(INDEX(醫師週班表!$C$5:$T$44,$CU29,CN$57),""),2,1)="/",MID(IFERROR(INDEX(醫師週班表!$C$5:$T$44,$CU29,CN$57),""),1+CN$58*2,1),IF(MID(IFERROR(INDEX(醫師週班表!$C$5:$T$44,$CU29,CN$57),""),3,1)="隔",IF(CN$58=0,LEFT(IFERROR(INDEX(醫師週班表!$C$5:$T$44,$CU29,CN$57),""),1),""),IF(MID(IFERROR(INDEX(醫師週班表!$C$5:$T$44,$CU29,CN$57),""),2,1)="(",LEFT(IFERROR(INDEX(醫師週班表!$C$5:$T$44,$CU29,CN$57),""),1),IFERROR(INDEX(醫師週班表!$C$5:$T$44,$CU29,CN$57),"")))))))</f>
        <v/>
      </c>
      <c r="CO29" s="68">
        <f>IF(CO$59="X","",IF(CO$59&lt;&gt;"",CO$59,IF(IFERROR(INDEX(醫師週班表!$C$5:$T$44,$CU29,CO$57),"")=0,"",IF(MID(IFERROR(INDEX(醫師週班表!$C$5:$T$44,$CU29,CO$57),""),2,1)="/",MID(IFERROR(INDEX(醫師週班表!$C$5:$T$44,$CU29,CO$57),""),1+CO$58*2,1),IF(MID(IFERROR(INDEX(醫師週班表!$C$5:$T$44,$CU29,CO$57),""),3,1)="隔",IF(CO$58=0,LEFT(IFERROR(INDEX(醫師週班表!$C$5:$T$44,$CU29,CO$57),""),1),""),IF(MID(IFERROR(INDEX(醫師週班表!$C$5:$T$44,$CU29,CO$57),""),2,1)="(",LEFT(IFERROR(INDEX(醫師週班表!$C$5:$T$44,$CU29,CO$57),""),1),IFERROR(INDEX(醫師週班表!$C$5:$T$44,$CU29,CO$57),"")))))))</f>
        <v/>
      </c>
      <c r="CP29" s="68">
        <f>IF(CP$59="X","",IF(CP$59&lt;&gt;"",CP$59,IF(IFERROR(INDEX(醫師週班表!$C$5:$T$44,$CU29,CP$57),"")=0,"",IF(MID(IFERROR(INDEX(醫師週班表!$C$5:$T$44,$CU29,CP$57),""),2,1)="/",MID(IFERROR(INDEX(醫師週班表!$C$5:$T$44,$CU29,CP$57),""),1+CP$58*2,1),IF(MID(IFERROR(INDEX(醫師週班表!$C$5:$T$44,$CU29,CP$57),""),3,1)="隔",IF(CP$58=0,LEFT(IFERROR(INDEX(醫師週班表!$C$5:$T$44,$CU29,CP$57),""),1),""),IF(MID(IFERROR(INDEX(醫師週班表!$C$5:$T$44,$CU29,CP$57),""),2,1)="(",LEFT(IFERROR(INDEX(醫師週班表!$C$5:$T$44,$CU29,CP$57),""),1),IFERROR(INDEX(醫師週班表!$C$5:$T$44,$CU29,CP$57),"")))))))</f>
        <v/>
      </c>
      <c r="CQ29" s="67">
        <f>IF(CQ$59="X","",IF(CQ$59&lt;&gt;"",CQ$59,IF(IFERROR(INDEX(醫師週班表!$C$5:$T$44,$CU29,CQ$57),"")=0,"",IF(MID(IFERROR(INDEX(醫師週班表!$C$5:$T$44,$CU29,CQ$57),""),2,1)="/",MID(IFERROR(INDEX(醫師週班表!$C$5:$T$44,$CU29,CQ$57),""),1+CQ$58*2,1),IF(MID(IFERROR(INDEX(醫師週班表!$C$5:$T$44,$CU29,CQ$57),""),3,1)="隔",IF(CQ$58=0,LEFT(IFERROR(INDEX(醫師週班表!$C$5:$T$44,$CU29,CQ$57),""),1),""),IF(MID(IFERROR(INDEX(醫師週班表!$C$5:$T$44,$CU29,CQ$57),""),2,1)="(",LEFT(IFERROR(INDEX(醫師週班表!$C$5:$T$44,$CU29,CQ$57),""),1),IFERROR(INDEX(醫師週班表!$C$5:$T$44,$CU29,CQ$57),"")))))))</f>
        <v/>
      </c>
      <c r="CR29" s="68">
        <f>IF(CR$59="X","",IF(CR$59&lt;&gt;"",CR$59,IF(IFERROR(INDEX(醫師週班表!$C$5:$T$44,$CU29,CR$57),"")=0,"",IF(MID(IFERROR(INDEX(醫師週班表!$C$5:$T$44,$CU29,CR$57),""),2,1)="/",MID(IFERROR(INDEX(醫師週班表!$C$5:$T$44,$CU29,CR$57),""),1+CR$58*2,1),IF(MID(IFERROR(INDEX(醫師週班表!$C$5:$T$44,$CU29,CR$57),""),3,1)="隔",IF(CR$58=0,LEFT(IFERROR(INDEX(醫師週班表!$C$5:$T$44,$CU29,CR$57),""),1),""),IF(MID(IFERROR(INDEX(醫師週班表!$C$5:$T$44,$CU29,CR$57),""),2,1)="(",LEFT(IFERROR(INDEX(醫師週班表!$C$5:$T$44,$CU29,CR$57),""),1),IFERROR(INDEX(醫師週班表!$C$5:$T$44,$CU29,CR$57),"")))))))</f>
        <v/>
      </c>
      <c r="CS29" s="68">
        <f>IF(CS$59="X","",IF(CS$59&lt;&gt;"",CS$59,IF(IFERROR(INDEX(醫師週班表!$C$5:$T$44,$CU29,CS$57),"")=0,"",IF(MID(IFERROR(INDEX(醫師週班表!$C$5:$T$44,$CU29,CS$57),""),2,1)="/",MID(IFERROR(INDEX(醫師週班表!$C$5:$T$44,$CU29,CS$57),""),1+CS$58*2,1),IF(MID(IFERROR(INDEX(醫師週班表!$C$5:$T$44,$CU29,CS$57),""),3,1)="隔",IF(CS$58=0,LEFT(IFERROR(INDEX(醫師週班表!$C$5:$T$44,$CU29,CS$57),""),1),""),IF(MID(IFERROR(INDEX(醫師週班表!$C$5:$T$44,$CU29,CS$57),""),2,1)="(",LEFT(IFERROR(INDEX(醫師週班表!$C$5:$T$44,$CU29,CS$57),""),1),IFERROR(INDEX(醫師週班表!$C$5:$T$44,$CU29,CS$57),"")))))))</f>
        <v/>
      </c>
      <c r="CU29" s="69">
        <f>IFERROR(MATCH($A29,醫師週班表!$A$5:$A$44,0),0)</f>
        <v/>
      </c>
    </row>
    <row r="30" ht="17" customHeight="1">
      <c r="A30" s="20" t="inlineStr">
        <is>
          <t>D025</t>
        </is>
      </c>
      <c r="B30" s="16" t="inlineStr">
        <is>
          <t>陳爵安</t>
        </is>
      </c>
      <c r="C30" s="66" t="inlineStr"/>
      <c r="D30" s="16" t="inlineStr"/>
      <c r="E30" s="67">
        <f>IF(E$59="X","",IF(E$59&lt;&gt;"",E$59,IF(IFERROR(INDEX(醫師週班表!$C$5:$T$44,$CU30,E$57),"")=0,"",IF(MID(IFERROR(INDEX(醫師週班表!$C$5:$T$44,$CU30,E$57),""),2,1)="/",MID(IFERROR(INDEX(醫師週班表!$C$5:$T$44,$CU30,E$57),""),1+E$58*2,1),IF(MID(IFERROR(INDEX(醫師週班表!$C$5:$T$44,$CU30,E$57),""),3,1)="隔",IF(E$58=0,LEFT(IFERROR(INDEX(醫師週班表!$C$5:$T$44,$CU30,E$57),""),1),""),IF(MID(IFERROR(INDEX(醫師週班表!$C$5:$T$44,$CU30,E$57),""),2,1)="(",LEFT(IFERROR(INDEX(醫師週班表!$C$5:$T$44,$CU30,E$57),""),1),IFERROR(INDEX(醫師週班表!$C$5:$T$44,$CU30,E$57),"")))))))</f>
        <v/>
      </c>
      <c r="F30" s="68">
        <f>IF(F$59="X","",IF(F$59&lt;&gt;"",F$59,IF(IFERROR(INDEX(醫師週班表!$C$5:$T$44,$CU30,F$57),"")=0,"",IF(MID(IFERROR(INDEX(醫師週班表!$C$5:$T$44,$CU30,F$57),""),2,1)="/",MID(IFERROR(INDEX(醫師週班表!$C$5:$T$44,$CU30,F$57),""),1+F$58*2,1),IF(MID(IFERROR(INDEX(醫師週班表!$C$5:$T$44,$CU30,F$57),""),3,1)="隔",IF(F$58=0,LEFT(IFERROR(INDEX(醫師週班表!$C$5:$T$44,$CU30,F$57),""),1),""),IF(MID(IFERROR(INDEX(醫師週班表!$C$5:$T$44,$CU30,F$57),""),2,1)="(",LEFT(IFERROR(INDEX(醫師週班表!$C$5:$T$44,$CU30,F$57),""),1),IFERROR(INDEX(醫師週班表!$C$5:$T$44,$CU30,F$57),"")))))))</f>
        <v/>
      </c>
      <c r="G30" s="68">
        <f>IF(G$59="X","",IF(G$59&lt;&gt;"",G$59,IF(IFERROR(INDEX(醫師週班表!$C$5:$T$44,$CU30,G$57),"")=0,"",IF(MID(IFERROR(INDEX(醫師週班表!$C$5:$T$44,$CU30,G$57),""),2,1)="/",MID(IFERROR(INDEX(醫師週班表!$C$5:$T$44,$CU30,G$57),""),1+G$58*2,1),IF(MID(IFERROR(INDEX(醫師週班表!$C$5:$T$44,$CU30,G$57),""),3,1)="隔",IF(G$58=0,LEFT(IFERROR(INDEX(醫師週班表!$C$5:$T$44,$CU30,G$57),""),1),""),IF(MID(IFERROR(INDEX(醫師週班表!$C$5:$T$44,$CU30,G$57),""),2,1)="(",LEFT(IFERROR(INDEX(醫師週班表!$C$5:$T$44,$CU30,G$57),""),1),IFERROR(INDEX(醫師週班表!$C$5:$T$44,$CU30,G$57),"")))))))</f>
        <v/>
      </c>
      <c r="H30" s="67">
        <f>IF(H$59="X","",IF(H$59&lt;&gt;"",H$59,IF(IFERROR(INDEX(醫師週班表!$C$5:$T$44,$CU30,H$57),"")=0,"",IF(MID(IFERROR(INDEX(醫師週班表!$C$5:$T$44,$CU30,H$57),""),2,1)="/",MID(IFERROR(INDEX(醫師週班表!$C$5:$T$44,$CU30,H$57),""),1+H$58*2,1),IF(MID(IFERROR(INDEX(醫師週班表!$C$5:$T$44,$CU30,H$57),""),3,1)="隔",IF(H$58=0,LEFT(IFERROR(INDEX(醫師週班表!$C$5:$T$44,$CU30,H$57),""),1),""),IF(MID(IFERROR(INDEX(醫師週班表!$C$5:$T$44,$CU30,H$57),""),2,1)="(",LEFT(IFERROR(INDEX(醫師週班表!$C$5:$T$44,$CU30,H$57),""),1),IFERROR(INDEX(醫師週班表!$C$5:$T$44,$CU30,H$57),"")))))))</f>
        <v/>
      </c>
      <c r="I30" s="68">
        <f>IF(I$59="X","",IF(I$59&lt;&gt;"",I$59,IF(IFERROR(INDEX(醫師週班表!$C$5:$T$44,$CU30,I$57),"")=0,"",IF(MID(IFERROR(INDEX(醫師週班表!$C$5:$T$44,$CU30,I$57),""),2,1)="/",MID(IFERROR(INDEX(醫師週班表!$C$5:$T$44,$CU30,I$57),""),1+I$58*2,1),IF(MID(IFERROR(INDEX(醫師週班表!$C$5:$T$44,$CU30,I$57),""),3,1)="隔",IF(I$58=0,LEFT(IFERROR(INDEX(醫師週班表!$C$5:$T$44,$CU30,I$57),""),1),""),IF(MID(IFERROR(INDEX(醫師週班表!$C$5:$T$44,$CU30,I$57),""),2,1)="(",LEFT(IFERROR(INDEX(醫師週班表!$C$5:$T$44,$CU30,I$57),""),1),IFERROR(INDEX(醫師週班表!$C$5:$T$44,$CU30,I$57),"")))))))</f>
        <v/>
      </c>
      <c r="J30" s="68">
        <f>IF(J$59="X","",IF(J$59&lt;&gt;"",J$59,IF(IFERROR(INDEX(醫師週班表!$C$5:$T$44,$CU30,J$57),"")=0,"",IF(MID(IFERROR(INDEX(醫師週班表!$C$5:$T$44,$CU30,J$57),""),2,1)="/",MID(IFERROR(INDEX(醫師週班表!$C$5:$T$44,$CU30,J$57),""),1+J$58*2,1),IF(MID(IFERROR(INDEX(醫師週班表!$C$5:$T$44,$CU30,J$57),""),3,1)="隔",IF(J$58=0,LEFT(IFERROR(INDEX(醫師週班表!$C$5:$T$44,$CU30,J$57),""),1),""),IF(MID(IFERROR(INDEX(醫師週班表!$C$5:$T$44,$CU30,J$57),""),2,1)="(",LEFT(IFERROR(INDEX(醫師週班表!$C$5:$T$44,$CU30,J$57),""),1),IFERROR(INDEX(醫師週班表!$C$5:$T$44,$CU30,J$57),"")))))))</f>
        <v/>
      </c>
      <c r="K30" s="67">
        <f>IF(K$59="X","",IF(K$59&lt;&gt;"",K$59,IF(IFERROR(INDEX(醫師週班表!$C$5:$T$44,$CU30,K$57),"")=0,"",IF(MID(IFERROR(INDEX(醫師週班表!$C$5:$T$44,$CU30,K$57),""),2,1)="/",MID(IFERROR(INDEX(醫師週班表!$C$5:$T$44,$CU30,K$57),""),1+K$58*2,1),IF(MID(IFERROR(INDEX(醫師週班表!$C$5:$T$44,$CU30,K$57),""),3,1)="隔",IF(K$58=0,LEFT(IFERROR(INDEX(醫師週班表!$C$5:$T$44,$CU30,K$57),""),1),""),IF(MID(IFERROR(INDEX(醫師週班表!$C$5:$T$44,$CU30,K$57),""),2,1)="(",LEFT(IFERROR(INDEX(醫師週班表!$C$5:$T$44,$CU30,K$57),""),1),IFERROR(INDEX(醫師週班表!$C$5:$T$44,$CU30,K$57),"")))))))</f>
        <v/>
      </c>
      <c r="L30" s="68">
        <f>IF(L$59="X","",IF(L$59&lt;&gt;"",L$59,IF(IFERROR(INDEX(醫師週班表!$C$5:$T$44,$CU30,L$57),"")=0,"",IF(MID(IFERROR(INDEX(醫師週班表!$C$5:$T$44,$CU30,L$57),""),2,1)="/",MID(IFERROR(INDEX(醫師週班表!$C$5:$T$44,$CU30,L$57),""),1+L$58*2,1),IF(MID(IFERROR(INDEX(醫師週班表!$C$5:$T$44,$CU30,L$57),""),3,1)="隔",IF(L$58=0,LEFT(IFERROR(INDEX(醫師週班表!$C$5:$T$44,$CU30,L$57),""),1),""),IF(MID(IFERROR(INDEX(醫師週班表!$C$5:$T$44,$CU30,L$57),""),2,1)="(",LEFT(IFERROR(INDEX(醫師週班表!$C$5:$T$44,$CU30,L$57),""),1),IFERROR(INDEX(醫師週班表!$C$5:$T$44,$CU30,L$57),"")))))))</f>
        <v/>
      </c>
      <c r="M30" s="68">
        <f>IF(M$59="X","",IF(M$59&lt;&gt;"",M$59,IF(IFERROR(INDEX(醫師週班表!$C$5:$T$44,$CU30,M$57),"")=0,"",IF(MID(IFERROR(INDEX(醫師週班表!$C$5:$T$44,$CU30,M$57),""),2,1)="/",MID(IFERROR(INDEX(醫師週班表!$C$5:$T$44,$CU30,M$57),""),1+M$58*2,1),IF(MID(IFERROR(INDEX(醫師週班表!$C$5:$T$44,$CU30,M$57),""),3,1)="隔",IF(M$58=0,LEFT(IFERROR(INDEX(醫師週班表!$C$5:$T$44,$CU30,M$57),""),1),""),IF(MID(IFERROR(INDEX(醫師週班表!$C$5:$T$44,$CU30,M$57),""),2,1)="(",LEFT(IFERROR(INDEX(醫師週班表!$C$5:$T$44,$CU30,M$57),""),1),IFERROR(INDEX(醫師週班表!$C$5:$T$44,$CU30,M$57),"")))))))</f>
        <v/>
      </c>
      <c r="N30" s="67">
        <f>IF(N$59="X","",IF(N$59&lt;&gt;"",N$59,IF(IFERROR(INDEX(醫師週班表!$C$5:$T$44,$CU30,N$57),"")=0,"",IF(MID(IFERROR(INDEX(醫師週班表!$C$5:$T$44,$CU30,N$57),""),2,1)="/",MID(IFERROR(INDEX(醫師週班表!$C$5:$T$44,$CU30,N$57),""),1+N$58*2,1),IF(MID(IFERROR(INDEX(醫師週班表!$C$5:$T$44,$CU30,N$57),""),3,1)="隔",IF(N$58=0,LEFT(IFERROR(INDEX(醫師週班表!$C$5:$T$44,$CU30,N$57),""),1),""),IF(MID(IFERROR(INDEX(醫師週班表!$C$5:$T$44,$CU30,N$57),""),2,1)="(",LEFT(IFERROR(INDEX(醫師週班表!$C$5:$T$44,$CU30,N$57),""),1),IFERROR(INDEX(醫師週班表!$C$5:$T$44,$CU30,N$57),"")))))))</f>
        <v/>
      </c>
      <c r="O30" s="68">
        <f>IF(O$59="X","",IF(O$59&lt;&gt;"",O$59,IF(IFERROR(INDEX(醫師週班表!$C$5:$T$44,$CU30,O$57),"")=0,"",IF(MID(IFERROR(INDEX(醫師週班表!$C$5:$T$44,$CU30,O$57),""),2,1)="/",MID(IFERROR(INDEX(醫師週班表!$C$5:$T$44,$CU30,O$57),""),1+O$58*2,1),IF(MID(IFERROR(INDEX(醫師週班表!$C$5:$T$44,$CU30,O$57),""),3,1)="隔",IF(O$58=0,LEFT(IFERROR(INDEX(醫師週班表!$C$5:$T$44,$CU30,O$57),""),1),""),IF(MID(IFERROR(INDEX(醫師週班表!$C$5:$T$44,$CU30,O$57),""),2,1)="(",LEFT(IFERROR(INDEX(醫師週班表!$C$5:$T$44,$CU30,O$57),""),1),IFERROR(INDEX(醫師週班表!$C$5:$T$44,$CU30,O$57),"")))))))</f>
        <v/>
      </c>
      <c r="P30" s="68">
        <f>IF(P$59="X","",IF(P$59&lt;&gt;"",P$59,IF(IFERROR(INDEX(醫師週班表!$C$5:$T$44,$CU30,P$57),"")=0,"",IF(MID(IFERROR(INDEX(醫師週班表!$C$5:$T$44,$CU30,P$57),""),2,1)="/",MID(IFERROR(INDEX(醫師週班表!$C$5:$T$44,$CU30,P$57),""),1+P$58*2,1),IF(MID(IFERROR(INDEX(醫師週班表!$C$5:$T$44,$CU30,P$57),""),3,1)="隔",IF(P$58=0,LEFT(IFERROR(INDEX(醫師週班表!$C$5:$T$44,$CU30,P$57),""),1),""),IF(MID(IFERROR(INDEX(醫師週班表!$C$5:$T$44,$CU30,P$57),""),2,1)="(",LEFT(IFERROR(INDEX(醫師週班表!$C$5:$T$44,$CU30,P$57),""),1),IFERROR(INDEX(醫師週班表!$C$5:$T$44,$CU30,P$57),"")))))))</f>
        <v/>
      </c>
      <c r="Q30" s="67">
        <f>IF(Q$59="X","",IF(Q$59&lt;&gt;"",Q$59,IF(IFERROR(INDEX(醫師週班表!$C$5:$T$44,$CU30,Q$57),"")=0,"",IF(MID(IFERROR(INDEX(醫師週班表!$C$5:$T$44,$CU30,Q$57),""),2,1)="/",MID(IFERROR(INDEX(醫師週班表!$C$5:$T$44,$CU30,Q$57),""),1+Q$58*2,1),IF(MID(IFERROR(INDEX(醫師週班表!$C$5:$T$44,$CU30,Q$57),""),3,1)="隔",IF(Q$58=0,LEFT(IFERROR(INDEX(醫師週班表!$C$5:$T$44,$CU30,Q$57),""),1),""),IF(MID(IFERROR(INDEX(醫師週班表!$C$5:$T$44,$CU30,Q$57),""),2,1)="(",LEFT(IFERROR(INDEX(醫師週班表!$C$5:$T$44,$CU30,Q$57),""),1),IFERROR(INDEX(醫師週班表!$C$5:$T$44,$CU30,Q$57),"")))))))</f>
        <v/>
      </c>
      <c r="R30" s="68">
        <f>IF(R$59="X","",IF(R$59&lt;&gt;"",R$59,IF(IFERROR(INDEX(醫師週班表!$C$5:$T$44,$CU30,R$57),"")=0,"",IF(MID(IFERROR(INDEX(醫師週班表!$C$5:$T$44,$CU30,R$57),""),2,1)="/",MID(IFERROR(INDEX(醫師週班表!$C$5:$T$44,$CU30,R$57),""),1+R$58*2,1),IF(MID(IFERROR(INDEX(醫師週班表!$C$5:$T$44,$CU30,R$57),""),3,1)="隔",IF(R$58=0,LEFT(IFERROR(INDEX(醫師週班表!$C$5:$T$44,$CU30,R$57),""),1),""),IF(MID(IFERROR(INDEX(醫師週班表!$C$5:$T$44,$CU30,R$57),""),2,1)="(",LEFT(IFERROR(INDEX(醫師週班表!$C$5:$T$44,$CU30,R$57),""),1),IFERROR(INDEX(醫師週班表!$C$5:$T$44,$CU30,R$57),"")))))))</f>
        <v/>
      </c>
      <c r="S30" s="68">
        <f>IF(S$59="X","",IF(S$59&lt;&gt;"",S$59,IF(IFERROR(INDEX(醫師週班表!$C$5:$T$44,$CU30,S$57),"")=0,"",IF(MID(IFERROR(INDEX(醫師週班表!$C$5:$T$44,$CU30,S$57),""),2,1)="/",MID(IFERROR(INDEX(醫師週班表!$C$5:$T$44,$CU30,S$57),""),1+S$58*2,1),IF(MID(IFERROR(INDEX(醫師週班表!$C$5:$T$44,$CU30,S$57),""),3,1)="隔",IF(S$58=0,LEFT(IFERROR(INDEX(醫師週班表!$C$5:$T$44,$CU30,S$57),""),1),""),IF(MID(IFERROR(INDEX(醫師週班表!$C$5:$T$44,$CU30,S$57),""),2,1)="(",LEFT(IFERROR(INDEX(醫師週班表!$C$5:$T$44,$CU30,S$57),""),1),IFERROR(INDEX(醫師週班表!$C$5:$T$44,$CU30,S$57),"")))))))</f>
        <v/>
      </c>
      <c r="T30" s="67">
        <f>IF(T$59="X","",IF(T$59&lt;&gt;"",T$59,IF(IFERROR(INDEX(醫師週班表!$C$5:$T$44,$CU30,T$57),"")=0,"",IF(MID(IFERROR(INDEX(醫師週班表!$C$5:$T$44,$CU30,T$57),""),2,1)="/",MID(IFERROR(INDEX(醫師週班表!$C$5:$T$44,$CU30,T$57),""),1+T$58*2,1),IF(MID(IFERROR(INDEX(醫師週班表!$C$5:$T$44,$CU30,T$57),""),3,1)="隔",IF(T$58=0,LEFT(IFERROR(INDEX(醫師週班表!$C$5:$T$44,$CU30,T$57),""),1),""),IF(MID(IFERROR(INDEX(醫師週班表!$C$5:$T$44,$CU30,T$57),""),2,1)="(",LEFT(IFERROR(INDEX(醫師週班表!$C$5:$T$44,$CU30,T$57),""),1),IFERROR(INDEX(醫師週班表!$C$5:$T$44,$CU30,T$57),"")))))))</f>
        <v/>
      </c>
      <c r="U30" s="68">
        <f>IF(U$59="X","",IF(U$59&lt;&gt;"",U$59,IF(IFERROR(INDEX(醫師週班表!$C$5:$T$44,$CU30,U$57),"")=0,"",IF(MID(IFERROR(INDEX(醫師週班表!$C$5:$T$44,$CU30,U$57),""),2,1)="/",MID(IFERROR(INDEX(醫師週班表!$C$5:$T$44,$CU30,U$57),""),1+U$58*2,1),IF(MID(IFERROR(INDEX(醫師週班表!$C$5:$T$44,$CU30,U$57),""),3,1)="隔",IF(U$58=0,LEFT(IFERROR(INDEX(醫師週班表!$C$5:$T$44,$CU30,U$57),""),1),""),IF(MID(IFERROR(INDEX(醫師週班表!$C$5:$T$44,$CU30,U$57),""),2,1)="(",LEFT(IFERROR(INDEX(醫師週班表!$C$5:$T$44,$CU30,U$57),""),1),IFERROR(INDEX(醫師週班表!$C$5:$T$44,$CU30,U$57),"")))))))</f>
        <v/>
      </c>
      <c r="V30" s="68">
        <f>IF(V$59="X","",IF(V$59&lt;&gt;"",V$59,IF(IFERROR(INDEX(醫師週班表!$C$5:$T$44,$CU30,V$57),"")=0,"",IF(MID(IFERROR(INDEX(醫師週班表!$C$5:$T$44,$CU30,V$57),""),2,1)="/",MID(IFERROR(INDEX(醫師週班表!$C$5:$T$44,$CU30,V$57),""),1+V$58*2,1),IF(MID(IFERROR(INDEX(醫師週班表!$C$5:$T$44,$CU30,V$57),""),3,1)="隔",IF(V$58=0,LEFT(IFERROR(INDEX(醫師週班表!$C$5:$T$44,$CU30,V$57),""),1),""),IF(MID(IFERROR(INDEX(醫師週班表!$C$5:$T$44,$CU30,V$57),""),2,1)="(",LEFT(IFERROR(INDEX(醫師週班表!$C$5:$T$44,$CU30,V$57),""),1),IFERROR(INDEX(醫師週班表!$C$5:$T$44,$CU30,V$57),"")))))))</f>
        <v/>
      </c>
      <c r="W30" s="67">
        <f>IF(W$59="X","",IF(W$59&lt;&gt;"",W$59,IF(IFERROR(INDEX(醫師週班表!$C$5:$T$44,$CU30,W$57),"")=0,"",IF(MID(IFERROR(INDEX(醫師週班表!$C$5:$T$44,$CU30,W$57),""),2,1)="/",MID(IFERROR(INDEX(醫師週班表!$C$5:$T$44,$CU30,W$57),""),1+W$58*2,1),IF(MID(IFERROR(INDEX(醫師週班表!$C$5:$T$44,$CU30,W$57),""),3,1)="隔",IF(W$58=0,LEFT(IFERROR(INDEX(醫師週班表!$C$5:$T$44,$CU30,W$57),""),1),""),IF(MID(IFERROR(INDEX(醫師週班表!$C$5:$T$44,$CU30,W$57),""),2,1)="(",LEFT(IFERROR(INDEX(醫師週班表!$C$5:$T$44,$CU30,W$57),""),1),IFERROR(INDEX(醫師週班表!$C$5:$T$44,$CU30,W$57),"")))))))</f>
        <v/>
      </c>
      <c r="X30" s="68">
        <f>IF(X$59="X","",IF(X$59&lt;&gt;"",X$59,IF(IFERROR(INDEX(醫師週班表!$C$5:$T$44,$CU30,X$57),"")=0,"",IF(MID(IFERROR(INDEX(醫師週班表!$C$5:$T$44,$CU30,X$57),""),2,1)="/",MID(IFERROR(INDEX(醫師週班表!$C$5:$T$44,$CU30,X$57),""),1+X$58*2,1),IF(MID(IFERROR(INDEX(醫師週班表!$C$5:$T$44,$CU30,X$57),""),3,1)="隔",IF(X$58=0,LEFT(IFERROR(INDEX(醫師週班表!$C$5:$T$44,$CU30,X$57),""),1),""),IF(MID(IFERROR(INDEX(醫師週班表!$C$5:$T$44,$CU30,X$57),""),2,1)="(",LEFT(IFERROR(INDEX(醫師週班表!$C$5:$T$44,$CU30,X$57),""),1),IFERROR(INDEX(醫師週班表!$C$5:$T$44,$CU30,X$57),"")))))))</f>
        <v/>
      </c>
      <c r="Y30" s="68">
        <f>IF(Y$59="X","",IF(Y$59&lt;&gt;"",Y$59,IF(IFERROR(INDEX(醫師週班表!$C$5:$T$44,$CU30,Y$57),"")=0,"",IF(MID(IFERROR(INDEX(醫師週班表!$C$5:$T$44,$CU30,Y$57),""),2,1)="/",MID(IFERROR(INDEX(醫師週班表!$C$5:$T$44,$CU30,Y$57),""),1+Y$58*2,1),IF(MID(IFERROR(INDEX(醫師週班表!$C$5:$T$44,$CU30,Y$57),""),3,1)="隔",IF(Y$58=0,LEFT(IFERROR(INDEX(醫師週班表!$C$5:$T$44,$CU30,Y$57),""),1),""),IF(MID(IFERROR(INDEX(醫師週班表!$C$5:$T$44,$CU30,Y$57),""),2,1)="(",LEFT(IFERROR(INDEX(醫師週班表!$C$5:$T$44,$CU30,Y$57),""),1),IFERROR(INDEX(醫師週班表!$C$5:$T$44,$CU30,Y$57),"")))))))</f>
        <v/>
      </c>
      <c r="Z30" s="67">
        <f>IF(Z$59="X","",IF(Z$59&lt;&gt;"",Z$59,IF(IFERROR(INDEX(醫師週班表!$C$5:$T$44,$CU30,Z$57),"")=0,"",IF(MID(IFERROR(INDEX(醫師週班表!$C$5:$T$44,$CU30,Z$57),""),2,1)="/",MID(IFERROR(INDEX(醫師週班表!$C$5:$T$44,$CU30,Z$57),""),1+Z$58*2,1),IF(MID(IFERROR(INDEX(醫師週班表!$C$5:$T$44,$CU30,Z$57),""),3,1)="隔",IF(Z$58=0,LEFT(IFERROR(INDEX(醫師週班表!$C$5:$T$44,$CU30,Z$57),""),1),""),IF(MID(IFERROR(INDEX(醫師週班表!$C$5:$T$44,$CU30,Z$57),""),2,1)="(",LEFT(IFERROR(INDEX(醫師週班表!$C$5:$T$44,$CU30,Z$57),""),1),IFERROR(INDEX(醫師週班表!$C$5:$T$44,$CU30,Z$57),"")))))))</f>
        <v/>
      </c>
      <c r="AA30" s="68">
        <f>IF(AA$59="X","",IF(AA$59&lt;&gt;"",AA$59,IF(IFERROR(INDEX(醫師週班表!$C$5:$T$44,$CU30,AA$57),"")=0,"",IF(MID(IFERROR(INDEX(醫師週班表!$C$5:$T$44,$CU30,AA$57),""),2,1)="/",MID(IFERROR(INDEX(醫師週班表!$C$5:$T$44,$CU30,AA$57),""),1+AA$58*2,1),IF(MID(IFERROR(INDEX(醫師週班表!$C$5:$T$44,$CU30,AA$57),""),3,1)="隔",IF(AA$58=0,LEFT(IFERROR(INDEX(醫師週班表!$C$5:$T$44,$CU30,AA$57),""),1),""),IF(MID(IFERROR(INDEX(醫師週班表!$C$5:$T$44,$CU30,AA$57),""),2,1)="(",LEFT(IFERROR(INDEX(醫師週班表!$C$5:$T$44,$CU30,AA$57),""),1),IFERROR(INDEX(醫師週班表!$C$5:$T$44,$CU30,AA$57),"")))))))</f>
        <v/>
      </c>
      <c r="AB30" s="68">
        <f>IF(AB$59="X","",IF(AB$59&lt;&gt;"",AB$59,IF(IFERROR(INDEX(醫師週班表!$C$5:$T$44,$CU30,AB$57),"")=0,"",IF(MID(IFERROR(INDEX(醫師週班表!$C$5:$T$44,$CU30,AB$57),""),2,1)="/",MID(IFERROR(INDEX(醫師週班表!$C$5:$T$44,$CU30,AB$57),""),1+AB$58*2,1),IF(MID(IFERROR(INDEX(醫師週班表!$C$5:$T$44,$CU30,AB$57),""),3,1)="隔",IF(AB$58=0,LEFT(IFERROR(INDEX(醫師週班表!$C$5:$T$44,$CU30,AB$57),""),1),""),IF(MID(IFERROR(INDEX(醫師週班表!$C$5:$T$44,$CU30,AB$57),""),2,1)="(",LEFT(IFERROR(INDEX(醫師週班表!$C$5:$T$44,$CU30,AB$57),""),1),IFERROR(INDEX(醫師週班表!$C$5:$T$44,$CU30,AB$57),"")))))))</f>
        <v/>
      </c>
      <c r="AC30" s="67">
        <f>IF(AC$59="X","",IF(AC$59&lt;&gt;"",AC$59,IF(IFERROR(INDEX(醫師週班表!$C$5:$T$44,$CU30,AC$57),"")=0,"",IF(MID(IFERROR(INDEX(醫師週班表!$C$5:$T$44,$CU30,AC$57),""),2,1)="/",MID(IFERROR(INDEX(醫師週班表!$C$5:$T$44,$CU30,AC$57),""),1+AC$58*2,1),IF(MID(IFERROR(INDEX(醫師週班表!$C$5:$T$44,$CU30,AC$57),""),3,1)="隔",IF(AC$58=0,LEFT(IFERROR(INDEX(醫師週班表!$C$5:$T$44,$CU30,AC$57),""),1),""),IF(MID(IFERROR(INDEX(醫師週班表!$C$5:$T$44,$CU30,AC$57),""),2,1)="(",LEFT(IFERROR(INDEX(醫師週班表!$C$5:$T$44,$CU30,AC$57),""),1),IFERROR(INDEX(醫師週班表!$C$5:$T$44,$CU30,AC$57),"")))))))</f>
        <v/>
      </c>
      <c r="AD30" s="68">
        <f>IF(AD$59="X","",IF(AD$59&lt;&gt;"",AD$59,IF(IFERROR(INDEX(醫師週班表!$C$5:$T$44,$CU30,AD$57),"")=0,"",IF(MID(IFERROR(INDEX(醫師週班表!$C$5:$T$44,$CU30,AD$57),""),2,1)="/",MID(IFERROR(INDEX(醫師週班表!$C$5:$T$44,$CU30,AD$57),""),1+AD$58*2,1),IF(MID(IFERROR(INDEX(醫師週班表!$C$5:$T$44,$CU30,AD$57),""),3,1)="隔",IF(AD$58=0,LEFT(IFERROR(INDEX(醫師週班表!$C$5:$T$44,$CU30,AD$57),""),1),""),IF(MID(IFERROR(INDEX(醫師週班表!$C$5:$T$44,$CU30,AD$57),""),2,1)="(",LEFT(IFERROR(INDEX(醫師週班表!$C$5:$T$44,$CU30,AD$57),""),1),IFERROR(INDEX(醫師週班表!$C$5:$T$44,$CU30,AD$57),"")))))))</f>
        <v/>
      </c>
      <c r="AE30" s="68">
        <f>IF(AE$59="X","",IF(AE$59&lt;&gt;"",AE$59,IF(IFERROR(INDEX(醫師週班表!$C$5:$T$44,$CU30,AE$57),"")=0,"",IF(MID(IFERROR(INDEX(醫師週班表!$C$5:$T$44,$CU30,AE$57),""),2,1)="/",MID(IFERROR(INDEX(醫師週班表!$C$5:$T$44,$CU30,AE$57),""),1+AE$58*2,1),IF(MID(IFERROR(INDEX(醫師週班表!$C$5:$T$44,$CU30,AE$57),""),3,1)="隔",IF(AE$58=0,LEFT(IFERROR(INDEX(醫師週班表!$C$5:$T$44,$CU30,AE$57),""),1),""),IF(MID(IFERROR(INDEX(醫師週班表!$C$5:$T$44,$CU30,AE$57),""),2,1)="(",LEFT(IFERROR(INDEX(醫師週班表!$C$5:$T$44,$CU30,AE$57),""),1),IFERROR(INDEX(醫師週班表!$C$5:$T$44,$CU30,AE$57),"")))))))</f>
        <v/>
      </c>
      <c r="AF30" s="67">
        <f>IF(AF$59="X","",IF(AF$59&lt;&gt;"",AF$59,IF(IFERROR(INDEX(醫師週班表!$C$5:$T$44,$CU30,AF$57),"")=0,"",IF(MID(IFERROR(INDEX(醫師週班表!$C$5:$T$44,$CU30,AF$57),""),2,1)="/",MID(IFERROR(INDEX(醫師週班表!$C$5:$T$44,$CU30,AF$57),""),1+AF$58*2,1),IF(MID(IFERROR(INDEX(醫師週班表!$C$5:$T$44,$CU30,AF$57),""),3,1)="隔",IF(AF$58=0,LEFT(IFERROR(INDEX(醫師週班表!$C$5:$T$44,$CU30,AF$57),""),1),""),IF(MID(IFERROR(INDEX(醫師週班表!$C$5:$T$44,$CU30,AF$57),""),2,1)="(",LEFT(IFERROR(INDEX(醫師週班表!$C$5:$T$44,$CU30,AF$57),""),1),IFERROR(INDEX(醫師週班表!$C$5:$T$44,$CU30,AF$57),"")))))))</f>
        <v/>
      </c>
      <c r="AG30" s="68">
        <f>IF(AG$59="X","",IF(AG$59&lt;&gt;"",AG$59,IF(IFERROR(INDEX(醫師週班表!$C$5:$T$44,$CU30,AG$57),"")=0,"",IF(MID(IFERROR(INDEX(醫師週班表!$C$5:$T$44,$CU30,AG$57),""),2,1)="/",MID(IFERROR(INDEX(醫師週班表!$C$5:$T$44,$CU30,AG$57),""),1+AG$58*2,1),IF(MID(IFERROR(INDEX(醫師週班表!$C$5:$T$44,$CU30,AG$57),""),3,1)="隔",IF(AG$58=0,LEFT(IFERROR(INDEX(醫師週班表!$C$5:$T$44,$CU30,AG$57),""),1),""),IF(MID(IFERROR(INDEX(醫師週班表!$C$5:$T$44,$CU30,AG$57),""),2,1)="(",LEFT(IFERROR(INDEX(醫師週班表!$C$5:$T$44,$CU30,AG$57),""),1),IFERROR(INDEX(醫師週班表!$C$5:$T$44,$CU30,AG$57),"")))))))</f>
        <v/>
      </c>
      <c r="AH30" s="68">
        <f>IF(AH$59="X","",IF(AH$59&lt;&gt;"",AH$59,IF(IFERROR(INDEX(醫師週班表!$C$5:$T$44,$CU30,AH$57),"")=0,"",IF(MID(IFERROR(INDEX(醫師週班表!$C$5:$T$44,$CU30,AH$57),""),2,1)="/",MID(IFERROR(INDEX(醫師週班表!$C$5:$T$44,$CU30,AH$57),""),1+AH$58*2,1),IF(MID(IFERROR(INDEX(醫師週班表!$C$5:$T$44,$CU30,AH$57),""),3,1)="隔",IF(AH$58=0,LEFT(IFERROR(INDEX(醫師週班表!$C$5:$T$44,$CU30,AH$57),""),1),""),IF(MID(IFERROR(INDEX(醫師週班表!$C$5:$T$44,$CU30,AH$57),""),2,1)="(",LEFT(IFERROR(INDEX(醫師週班表!$C$5:$T$44,$CU30,AH$57),""),1),IFERROR(INDEX(醫師週班表!$C$5:$T$44,$CU30,AH$57),"")))))))</f>
        <v/>
      </c>
      <c r="AI30" s="67">
        <f>IF(AI$59="X","",IF(AI$59&lt;&gt;"",AI$59,IF(IFERROR(INDEX(醫師週班表!$C$5:$T$44,$CU30,AI$57),"")=0,"",IF(MID(IFERROR(INDEX(醫師週班表!$C$5:$T$44,$CU30,AI$57),""),2,1)="/",MID(IFERROR(INDEX(醫師週班表!$C$5:$T$44,$CU30,AI$57),""),1+AI$58*2,1),IF(MID(IFERROR(INDEX(醫師週班表!$C$5:$T$44,$CU30,AI$57),""),3,1)="隔",IF(AI$58=0,LEFT(IFERROR(INDEX(醫師週班表!$C$5:$T$44,$CU30,AI$57),""),1),""),IF(MID(IFERROR(INDEX(醫師週班表!$C$5:$T$44,$CU30,AI$57),""),2,1)="(",LEFT(IFERROR(INDEX(醫師週班表!$C$5:$T$44,$CU30,AI$57),""),1),IFERROR(INDEX(醫師週班表!$C$5:$T$44,$CU30,AI$57),"")))))))</f>
        <v/>
      </c>
      <c r="AJ30" s="68">
        <f>IF(AJ$59="X","",IF(AJ$59&lt;&gt;"",AJ$59,IF(IFERROR(INDEX(醫師週班表!$C$5:$T$44,$CU30,AJ$57),"")=0,"",IF(MID(IFERROR(INDEX(醫師週班表!$C$5:$T$44,$CU30,AJ$57),""),2,1)="/",MID(IFERROR(INDEX(醫師週班表!$C$5:$T$44,$CU30,AJ$57),""),1+AJ$58*2,1),IF(MID(IFERROR(INDEX(醫師週班表!$C$5:$T$44,$CU30,AJ$57),""),3,1)="隔",IF(AJ$58=0,LEFT(IFERROR(INDEX(醫師週班表!$C$5:$T$44,$CU30,AJ$57),""),1),""),IF(MID(IFERROR(INDEX(醫師週班表!$C$5:$T$44,$CU30,AJ$57),""),2,1)="(",LEFT(IFERROR(INDEX(醫師週班表!$C$5:$T$44,$CU30,AJ$57),""),1),IFERROR(INDEX(醫師週班表!$C$5:$T$44,$CU30,AJ$57),"")))))))</f>
        <v/>
      </c>
      <c r="AK30" s="68">
        <f>IF(AK$59="X","",IF(AK$59&lt;&gt;"",AK$59,IF(IFERROR(INDEX(醫師週班表!$C$5:$T$44,$CU30,AK$57),"")=0,"",IF(MID(IFERROR(INDEX(醫師週班表!$C$5:$T$44,$CU30,AK$57),""),2,1)="/",MID(IFERROR(INDEX(醫師週班表!$C$5:$T$44,$CU30,AK$57),""),1+AK$58*2,1),IF(MID(IFERROR(INDEX(醫師週班表!$C$5:$T$44,$CU30,AK$57),""),3,1)="隔",IF(AK$58=0,LEFT(IFERROR(INDEX(醫師週班表!$C$5:$T$44,$CU30,AK$57),""),1),""),IF(MID(IFERROR(INDEX(醫師週班表!$C$5:$T$44,$CU30,AK$57),""),2,1)="(",LEFT(IFERROR(INDEX(醫師週班表!$C$5:$T$44,$CU30,AK$57),""),1),IFERROR(INDEX(醫師週班表!$C$5:$T$44,$CU30,AK$57),"")))))))</f>
        <v/>
      </c>
      <c r="AL30" s="67">
        <f>IF(AL$59="X","",IF(AL$59&lt;&gt;"",AL$59,IF(IFERROR(INDEX(醫師週班表!$C$5:$T$44,$CU30,AL$57),"")=0,"",IF(MID(IFERROR(INDEX(醫師週班表!$C$5:$T$44,$CU30,AL$57),""),2,1)="/",MID(IFERROR(INDEX(醫師週班表!$C$5:$T$44,$CU30,AL$57),""),1+AL$58*2,1),IF(MID(IFERROR(INDEX(醫師週班表!$C$5:$T$44,$CU30,AL$57),""),3,1)="隔",IF(AL$58=0,LEFT(IFERROR(INDEX(醫師週班表!$C$5:$T$44,$CU30,AL$57),""),1),""),IF(MID(IFERROR(INDEX(醫師週班表!$C$5:$T$44,$CU30,AL$57),""),2,1)="(",LEFT(IFERROR(INDEX(醫師週班表!$C$5:$T$44,$CU30,AL$57),""),1),IFERROR(INDEX(醫師週班表!$C$5:$T$44,$CU30,AL$57),"")))))))</f>
        <v/>
      </c>
      <c r="AM30" s="68">
        <f>IF(AM$59="X","",IF(AM$59&lt;&gt;"",AM$59,IF(IFERROR(INDEX(醫師週班表!$C$5:$T$44,$CU30,AM$57),"")=0,"",IF(MID(IFERROR(INDEX(醫師週班表!$C$5:$T$44,$CU30,AM$57),""),2,1)="/",MID(IFERROR(INDEX(醫師週班表!$C$5:$T$44,$CU30,AM$57),""),1+AM$58*2,1),IF(MID(IFERROR(INDEX(醫師週班表!$C$5:$T$44,$CU30,AM$57),""),3,1)="隔",IF(AM$58=0,LEFT(IFERROR(INDEX(醫師週班表!$C$5:$T$44,$CU30,AM$57),""),1),""),IF(MID(IFERROR(INDEX(醫師週班表!$C$5:$T$44,$CU30,AM$57),""),2,1)="(",LEFT(IFERROR(INDEX(醫師週班表!$C$5:$T$44,$CU30,AM$57),""),1),IFERROR(INDEX(醫師週班表!$C$5:$T$44,$CU30,AM$57),"")))))))</f>
        <v/>
      </c>
      <c r="AN30" s="68">
        <f>IF(AN$59="X","",IF(AN$59&lt;&gt;"",AN$59,IF(IFERROR(INDEX(醫師週班表!$C$5:$T$44,$CU30,AN$57),"")=0,"",IF(MID(IFERROR(INDEX(醫師週班表!$C$5:$T$44,$CU30,AN$57),""),2,1)="/",MID(IFERROR(INDEX(醫師週班表!$C$5:$T$44,$CU30,AN$57),""),1+AN$58*2,1),IF(MID(IFERROR(INDEX(醫師週班表!$C$5:$T$44,$CU30,AN$57),""),3,1)="隔",IF(AN$58=0,LEFT(IFERROR(INDEX(醫師週班表!$C$5:$T$44,$CU30,AN$57),""),1),""),IF(MID(IFERROR(INDEX(醫師週班表!$C$5:$T$44,$CU30,AN$57),""),2,1)="(",LEFT(IFERROR(INDEX(醫師週班表!$C$5:$T$44,$CU30,AN$57),""),1),IFERROR(INDEX(醫師週班表!$C$5:$T$44,$CU30,AN$57),"")))))))</f>
        <v/>
      </c>
      <c r="AO30" s="67">
        <f>IF(AO$59="X","",IF(AO$59&lt;&gt;"",AO$59,IF(IFERROR(INDEX(醫師週班表!$C$5:$T$44,$CU30,AO$57),"")=0,"",IF(MID(IFERROR(INDEX(醫師週班表!$C$5:$T$44,$CU30,AO$57),""),2,1)="/",MID(IFERROR(INDEX(醫師週班表!$C$5:$T$44,$CU30,AO$57),""),1+AO$58*2,1),IF(MID(IFERROR(INDEX(醫師週班表!$C$5:$T$44,$CU30,AO$57),""),3,1)="隔",IF(AO$58=0,LEFT(IFERROR(INDEX(醫師週班表!$C$5:$T$44,$CU30,AO$57),""),1),""),IF(MID(IFERROR(INDEX(醫師週班表!$C$5:$T$44,$CU30,AO$57),""),2,1)="(",LEFT(IFERROR(INDEX(醫師週班表!$C$5:$T$44,$CU30,AO$57),""),1),IFERROR(INDEX(醫師週班表!$C$5:$T$44,$CU30,AO$57),"")))))))</f>
        <v/>
      </c>
      <c r="AP30" s="68">
        <f>IF(AP$59="X","",IF(AP$59&lt;&gt;"",AP$59,IF(IFERROR(INDEX(醫師週班表!$C$5:$T$44,$CU30,AP$57),"")=0,"",IF(MID(IFERROR(INDEX(醫師週班表!$C$5:$T$44,$CU30,AP$57),""),2,1)="/",MID(IFERROR(INDEX(醫師週班表!$C$5:$T$44,$CU30,AP$57),""),1+AP$58*2,1),IF(MID(IFERROR(INDEX(醫師週班表!$C$5:$T$44,$CU30,AP$57),""),3,1)="隔",IF(AP$58=0,LEFT(IFERROR(INDEX(醫師週班表!$C$5:$T$44,$CU30,AP$57),""),1),""),IF(MID(IFERROR(INDEX(醫師週班表!$C$5:$T$44,$CU30,AP$57),""),2,1)="(",LEFT(IFERROR(INDEX(醫師週班表!$C$5:$T$44,$CU30,AP$57),""),1),IFERROR(INDEX(醫師週班表!$C$5:$T$44,$CU30,AP$57),"")))))))</f>
        <v/>
      </c>
      <c r="AQ30" s="68">
        <f>IF(AQ$59="X","",IF(AQ$59&lt;&gt;"",AQ$59,IF(IFERROR(INDEX(醫師週班表!$C$5:$T$44,$CU30,AQ$57),"")=0,"",IF(MID(IFERROR(INDEX(醫師週班表!$C$5:$T$44,$CU30,AQ$57),""),2,1)="/",MID(IFERROR(INDEX(醫師週班表!$C$5:$T$44,$CU30,AQ$57),""),1+AQ$58*2,1),IF(MID(IFERROR(INDEX(醫師週班表!$C$5:$T$44,$CU30,AQ$57),""),3,1)="隔",IF(AQ$58=0,LEFT(IFERROR(INDEX(醫師週班表!$C$5:$T$44,$CU30,AQ$57),""),1),""),IF(MID(IFERROR(INDEX(醫師週班表!$C$5:$T$44,$CU30,AQ$57),""),2,1)="(",LEFT(IFERROR(INDEX(醫師週班表!$C$5:$T$44,$CU30,AQ$57),""),1),IFERROR(INDEX(醫師週班表!$C$5:$T$44,$CU30,AQ$57),"")))))))</f>
        <v/>
      </c>
      <c r="AR30" s="67">
        <f>IF(AR$59="X","",IF(AR$59&lt;&gt;"",AR$59,IF(IFERROR(INDEX(醫師週班表!$C$5:$T$44,$CU30,AR$57),"")=0,"",IF(MID(IFERROR(INDEX(醫師週班表!$C$5:$T$44,$CU30,AR$57),""),2,1)="/",MID(IFERROR(INDEX(醫師週班表!$C$5:$T$44,$CU30,AR$57),""),1+AR$58*2,1),IF(MID(IFERROR(INDEX(醫師週班表!$C$5:$T$44,$CU30,AR$57),""),3,1)="隔",IF(AR$58=0,LEFT(IFERROR(INDEX(醫師週班表!$C$5:$T$44,$CU30,AR$57),""),1),""),IF(MID(IFERROR(INDEX(醫師週班表!$C$5:$T$44,$CU30,AR$57),""),2,1)="(",LEFT(IFERROR(INDEX(醫師週班表!$C$5:$T$44,$CU30,AR$57),""),1),IFERROR(INDEX(醫師週班表!$C$5:$T$44,$CU30,AR$57),"")))))))</f>
        <v/>
      </c>
      <c r="AS30" s="68">
        <f>IF(AS$59="X","",IF(AS$59&lt;&gt;"",AS$59,IF(IFERROR(INDEX(醫師週班表!$C$5:$T$44,$CU30,AS$57),"")=0,"",IF(MID(IFERROR(INDEX(醫師週班表!$C$5:$T$44,$CU30,AS$57),""),2,1)="/",MID(IFERROR(INDEX(醫師週班表!$C$5:$T$44,$CU30,AS$57),""),1+AS$58*2,1),IF(MID(IFERROR(INDEX(醫師週班表!$C$5:$T$44,$CU30,AS$57),""),3,1)="隔",IF(AS$58=0,LEFT(IFERROR(INDEX(醫師週班表!$C$5:$T$44,$CU30,AS$57),""),1),""),IF(MID(IFERROR(INDEX(醫師週班表!$C$5:$T$44,$CU30,AS$57),""),2,1)="(",LEFT(IFERROR(INDEX(醫師週班表!$C$5:$T$44,$CU30,AS$57),""),1),IFERROR(INDEX(醫師週班表!$C$5:$T$44,$CU30,AS$57),"")))))))</f>
        <v/>
      </c>
      <c r="AT30" s="68">
        <f>IF(AT$59="X","",IF(AT$59&lt;&gt;"",AT$59,IF(IFERROR(INDEX(醫師週班表!$C$5:$T$44,$CU30,AT$57),"")=0,"",IF(MID(IFERROR(INDEX(醫師週班表!$C$5:$T$44,$CU30,AT$57),""),2,1)="/",MID(IFERROR(INDEX(醫師週班表!$C$5:$T$44,$CU30,AT$57),""),1+AT$58*2,1),IF(MID(IFERROR(INDEX(醫師週班表!$C$5:$T$44,$CU30,AT$57),""),3,1)="隔",IF(AT$58=0,LEFT(IFERROR(INDEX(醫師週班表!$C$5:$T$44,$CU30,AT$57),""),1),""),IF(MID(IFERROR(INDEX(醫師週班表!$C$5:$T$44,$CU30,AT$57),""),2,1)="(",LEFT(IFERROR(INDEX(醫師週班表!$C$5:$T$44,$CU30,AT$57),""),1),IFERROR(INDEX(醫師週班表!$C$5:$T$44,$CU30,AT$57),"")))))))</f>
        <v/>
      </c>
      <c r="AU30" s="67">
        <f>IF(AU$59="X","",IF(AU$59&lt;&gt;"",AU$59,IF(IFERROR(INDEX(醫師週班表!$C$5:$T$44,$CU30,AU$57),"")=0,"",IF(MID(IFERROR(INDEX(醫師週班表!$C$5:$T$44,$CU30,AU$57),""),2,1)="/",MID(IFERROR(INDEX(醫師週班表!$C$5:$T$44,$CU30,AU$57),""),1+AU$58*2,1),IF(MID(IFERROR(INDEX(醫師週班表!$C$5:$T$44,$CU30,AU$57),""),3,1)="隔",IF(AU$58=0,LEFT(IFERROR(INDEX(醫師週班表!$C$5:$T$44,$CU30,AU$57),""),1),""),IF(MID(IFERROR(INDEX(醫師週班表!$C$5:$T$44,$CU30,AU$57),""),2,1)="(",LEFT(IFERROR(INDEX(醫師週班表!$C$5:$T$44,$CU30,AU$57),""),1),IFERROR(INDEX(醫師週班表!$C$5:$T$44,$CU30,AU$57),"")))))))</f>
        <v/>
      </c>
      <c r="AV30" s="68">
        <f>IF(AV$59="X","",IF(AV$59&lt;&gt;"",AV$59,IF(IFERROR(INDEX(醫師週班表!$C$5:$T$44,$CU30,AV$57),"")=0,"",IF(MID(IFERROR(INDEX(醫師週班表!$C$5:$T$44,$CU30,AV$57),""),2,1)="/",MID(IFERROR(INDEX(醫師週班表!$C$5:$T$44,$CU30,AV$57),""),1+AV$58*2,1),IF(MID(IFERROR(INDEX(醫師週班表!$C$5:$T$44,$CU30,AV$57),""),3,1)="隔",IF(AV$58=0,LEFT(IFERROR(INDEX(醫師週班表!$C$5:$T$44,$CU30,AV$57),""),1),""),IF(MID(IFERROR(INDEX(醫師週班表!$C$5:$T$44,$CU30,AV$57),""),2,1)="(",LEFT(IFERROR(INDEX(醫師週班表!$C$5:$T$44,$CU30,AV$57),""),1),IFERROR(INDEX(醫師週班表!$C$5:$T$44,$CU30,AV$57),"")))))))</f>
        <v/>
      </c>
      <c r="AW30" s="68">
        <f>IF(AW$59="X","",IF(AW$59&lt;&gt;"",AW$59,IF(IFERROR(INDEX(醫師週班表!$C$5:$T$44,$CU30,AW$57),"")=0,"",IF(MID(IFERROR(INDEX(醫師週班表!$C$5:$T$44,$CU30,AW$57),""),2,1)="/",MID(IFERROR(INDEX(醫師週班表!$C$5:$T$44,$CU30,AW$57),""),1+AW$58*2,1),IF(MID(IFERROR(INDEX(醫師週班表!$C$5:$T$44,$CU30,AW$57),""),3,1)="隔",IF(AW$58=0,LEFT(IFERROR(INDEX(醫師週班表!$C$5:$T$44,$CU30,AW$57),""),1),""),IF(MID(IFERROR(INDEX(醫師週班表!$C$5:$T$44,$CU30,AW$57),""),2,1)="(",LEFT(IFERROR(INDEX(醫師週班表!$C$5:$T$44,$CU30,AW$57),""),1),IFERROR(INDEX(醫師週班表!$C$5:$T$44,$CU30,AW$57),"")))))))</f>
        <v/>
      </c>
      <c r="AX30" s="67">
        <f>IF(AX$59="X","",IF(AX$59&lt;&gt;"",AX$59,IF(IFERROR(INDEX(醫師週班表!$C$5:$T$44,$CU30,AX$57),"")=0,"",IF(MID(IFERROR(INDEX(醫師週班表!$C$5:$T$44,$CU30,AX$57),""),2,1)="/",MID(IFERROR(INDEX(醫師週班表!$C$5:$T$44,$CU30,AX$57),""),1+AX$58*2,1),IF(MID(IFERROR(INDEX(醫師週班表!$C$5:$T$44,$CU30,AX$57),""),3,1)="隔",IF(AX$58=0,LEFT(IFERROR(INDEX(醫師週班表!$C$5:$T$44,$CU30,AX$57),""),1),""),IF(MID(IFERROR(INDEX(醫師週班表!$C$5:$T$44,$CU30,AX$57),""),2,1)="(",LEFT(IFERROR(INDEX(醫師週班表!$C$5:$T$44,$CU30,AX$57),""),1),IFERROR(INDEX(醫師週班表!$C$5:$T$44,$CU30,AX$57),"")))))))</f>
        <v/>
      </c>
      <c r="AY30" s="68">
        <f>IF(AY$59="X","",IF(AY$59&lt;&gt;"",AY$59,IF(IFERROR(INDEX(醫師週班表!$C$5:$T$44,$CU30,AY$57),"")=0,"",IF(MID(IFERROR(INDEX(醫師週班表!$C$5:$T$44,$CU30,AY$57),""),2,1)="/",MID(IFERROR(INDEX(醫師週班表!$C$5:$T$44,$CU30,AY$57),""),1+AY$58*2,1),IF(MID(IFERROR(INDEX(醫師週班表!$C$5:$T$44,$CU30,AY$57),""),3,1)="隔",IF(AY$58=0,LEFT(IFERROR(INDEX(醫師週班表!$C$5:$T$44,$CU30,AY$57),""),1),""),IF(MID(IFERROR(INDEX(醫師週班表!$C$5:$T$44,$CU30,AY$57),""),2,1)="(",LEFT(IFERROR(INDEX(醫師週班表!$C$5:$T$44,$CU30,AY$57),""),1),IFERROR(INDEX(醫師週班表!$C$5:$T$44,$CU30,AY$57),"")))))))</f>
        <v/>
      </c>
      <c r="AZ30" s="68">
        <f>IF(AZ$59="X","",IF(AZ$59&lt;&gt;"",AZ$59,IF(IFERROR(INDEX(醫師週班表!$C$5:$T$44,$CU30,AZ$57),"")=0,"",IF(MID(IFERROR(INDEX(醫師週班表!$C$5:$T$44,$CU30,AZ$57),""),2,1)="/",MID(IFERROR(INDEX(醫師週班表!$C$5:$T$44,$CU30,AZ$57),""),1+AZ$58*2,1),IF(MID(IFERROR(INDEX(醫師週班表!$C$5:$T$44,$CU30,AZ$57),""),3,1)="隔",IF(AZ$58=0,LEFT(IFERROR(INDEX(醫師週班表!$C$5:$T$44,$CU30,AZ$57),""),1),""),IF(MID(IFERROR(INDEX(醫師週班表!$C$5:$T$44,$CU30,AZ$57),""),2,1)="(",LEFT(IFERROR(INDEX(醫師週班表!$C$5:$T$44,$CU30,AZ$57),""),1),IFERROR(INDEX(醫師週班表!$C$5:$T$44,$CU30,AZ$57),"")))))))</f>
        <v/>
      </c>
      <c r="BA30" s="67">
        <f>IF(BA$59="X","",IF(BA$59&lt;&gt;"",BA$59,IF(IFERROR(INDEX(醫師週班表!$C$5:$T$44,$CU30,BA$57),"")=0,"",IF(MID(IFERROR(INDEX(醫師週班表!$C$5:$T$44,$CU30,BA$57),""),2,1)="/",MID(IFERROR(INDEX(醫師週班表!$C$5:$T$44,$CU30,BA$57),""),1+BA$58*2,1),IF(MID(IFERROR(INDEX(醫師週班表!$C$5:$T$44,$CU30,BA$57),""),3,1)="隔",IF(BA$58=0,LEFT(IFERROR(INDEX(醫師週班表!$C$5:$T$44,$CU30,BA$57),""),1),""),IF(MID(IFERROR(INDEX(醫師週班表!$C$5:$T$44,$CU30,BA$57),""),2,1)="(",LEFT(IFERROR(INDEX(醫師週班表!$C$5:$T$44,$CU30,BA$57),""),1),IFERROR(INDEX(醫師週班表!$C$5:$T$44,$CU30,BA$57),"")))))))</f>
        <v/>
      </c>
      <c r="BB30" s="68">
        <f>IF(BB$59="X","",IF(BB$59&lt;&gt;"",BB$59,IF(IFERROR(INDEX(醫師週班表!$C$5:$T$44,$CU30,BB$57),"")=0,"",IF(MID(IFERROR(INDEX(醫師週班表!$C$5:$T$44,$CU30,BB$57),""),2,1)="/",MID(IFERROR(INDEX(醫師週班表!$C$5:$T$44,$CU30,BB$57),""),1+BB$58*2,1),IF(MID(IFERROR(INDEX(醫師週班表!$C$5:$T$44,$CU30,BB$57),""),3,1)="隔",IF(BB$58=0,LEFT(IFERROR(INDEX(醫師週班表!$C$5:$T$44,$CU30,BB$57),""),1),""),IF(MID(IFERROR(INDEX(醫師週班表!$C$5:$T$44,$CU30,BB$57),""),2,1)="(",LEFT(IFERROR(INDEX(醫師週班表!$C$5:$T$44,$CU30,BB$57),""),1),IFERROR(INDEX(醫師週班表!$C$5:$T$44,$CU30,BB$57),"")))))))</f>
        <v/>
      </c>
      <c r="BC30" s="68">
        <f>IF(BC$59="X","",IF(BC$59&lt;&gt;"",BC$59,IF(IFERROR(INDEX(醫師週班表!$C$5:$T$44,$CU30,BC$57),"")=0,"",IF(MID(IFERROR(INDEX(醫師週班表!$C$5:$T$44,$CU30,BC$57),""),2,1)="/",MID(IFERROR(INDEX(醫師週班表!$C$5:$T$44,$CU30,BC$57),""),1+BC$58*2,1),IF(MID(IFERROR(INDEX(醫師週班表!$C$5:$T$44,$CU30,BC$57),""),3,1)="隔",IF(BC$58=0,LEFT(IFERROR(INDEX(醫師週班表!$C$5:$T$44,$CU30,BC$57),""),1),""),IF(MID(IFERROR(INDEX(醫師週班表!$C$5:$T$44,$CU30,BC$57),""),2,1)="(",LEFT(IFERROR(INDEX(醫師週班表!$C$5:$T$44,$CU30,BC$57),""),1),IFERROR(INDEX(醫師週班表!$C$5:$T$44,$CU30,BC$57),"")))))))</f>
        <v/>
      </c>
      <c r="BD30" s="67">
        <f>IF(BD$59="X","",IF(BD$59&lt;&gt;"",BD$59,IF(IFERROR(INDEX(醫師週班表!$C$5:$T$44,$CU30,BD$57),"")=0,"",IF(MID(IFERROR(INDEX(醫師週班表!$C$5:$T$44,$CU30,BD$57),""),2,1)="/",MID(IFERROR(INDEX(醫師週班表!$C$5:$T$44,$CU30,BD$57),""),1+BD$58*2,1),IF(MID(IFERROR(INDEX(醫師週班表!$C$5:$T$44,$CU30,BD$57),""),3,1)="隔",IF(BD$58=0,LEFT(IFERROR(INDEX(醫師週班表!$C$5:$T$44,$CU30,BD$57),""),1),""),IF(MID(IFERROR(INDEX(醫師週班表!$C$5:$T$44,$CU30,BD$57),""),2,1)="(",LEFT(IFERROR(INDEX(醫師週班表!$C$5:$T$44,$CU30,BD$57),""),1),IFERROR(INDEX(醫師週班表!$C$5:$T$44,$CU30,BD$57),"")))))))</f>
        <v/>
      </c>
      <c r="BE30" s="68">
        <f>IF(BE$59="X","",IF(BE$59&lt;&gt;"",BE$59,IF(IFERROR(INDEX(醫師週班表!$C$5:$T$44,$CU30,BE$57),"")=0,"",IF(MID(IFERROR(INDEX(醫師週班表!$C$5:$T$44,$CU30,BE$57),""),2,1)="/",MID(IFERROR(INDEX(醫師週班表!$C$5:$T$44,$CU30,BE$57),""),1+BE$58*2,1),IF(MID(IFERROR(INDEX(醫師週班表!$C$5:$T$44,$CU30,BE$57),""),3,1)="隔",IF(BE$58=0,LEFT(IFERROR(INDEX(醫師週班表!$C$5:$T$44,$CU30,BE$57),""),1),""),IF(MID(IFERROR(INDEX(醫師週班表!$C$5:$T$44,$CU30,BE$57),""),2,1)="(",LEFT(IFERROR(INDEX(醫師週班表!$C$5:$T$44,$CU30,BE$57),""),1),IFERROR(INDEX(醫師週班表!$C$5:$T$44,$CU30,BE$57),"")))))))</f>
        <v/>
      </c>
      <c r="BF30" s="68">
        <f>IF(BF$59="X","",IF(BF$59&lt;&gt;"",BF$59,IF(IFERROR(INDEX(醫師週班表!$C$5:$T$44,$CU30,BF$57),"")=0,"",IF(MID(IFERROR(INDEX(醫師週班表!$C$5:$T$44,$CU30,BF$57),""),2,1)="/",MID(IFERROR(INDEX(醫師週班表!$C$5:$T$44,$CU30,BF$57),""),1+BF$58*2,1),IF(MID(IFERROR(INDEX(醫師週班表!$C$5:$T$44,$CU30,BF$57),""),3,1)="隔",IF(BF$58=0,LEFT(IFERROR(INDEX(醫師週班表!$C$5:$T$44,$CU30,BF$57),""),1),""),IF(MID(IFERROR(INDEX(醫師週班表!$C$5:$T$44,$CU30,BF$57),""),2,1)="(",LEFT(IFERROR(INDEX(醫師週班表!$C$5:$T$44,$CU30,BF$57),""),1),IFERROR(INDEX(醫師週班表!$C$5:$T$44,$CU30,BF$57),"")))))))</f>
        <v/>
      </c>
      <c r="BG30" s="67">
        <f>IF(BG$59="X","",IF(BG$59&lt;&gt;"",BG$59,IF(IFERROR(INDEX(醫師週班表!$C$5:$T$44,$CU30,BG$57),"")=0,"",IF(MID(IFERROR(INDEX(醫師週班表!$C$5:$T$44,$CU30,BG$57),""),2,1)="/",MID(IFERROR(INDEX(醫師週班表!$C$5:$T$44,$CU30,BG$57),""),1+BG$58*2,1),IF(MID(IFERROR(INDEX(醫師週班表!$C$5:$T$44,$CU30,BG$57),""),3,1)="隔",IF(BG$58=0,LEFT(IFERROR(INDEX(醫師週班表!$C$5:$T$44,$CU30,BG$57),""),1),""),IF(MID(IFERROR(INDEX(醫師週班表!$C$5:$T$44,$CU30,BG$57),""),2,1)="(",LEFT(IFERROR(INDEX(醫師週班表!$C$5:$T$44,$CU30,BG$57),""),1),IFERROR(INDEX(醫師週班表!$C$5:$T$44,$CU30,BG$57),"")))))))</f>
        <v/>
      </c>
      <c r="BH30" s="68">
        <f>IF(BH$59="X","",IF(BH$59&lt;&gt;"",BH$59,IF(IFERROR(INDEX(醫師週班表!$C$5:$T$44,$CU30,BH$57),"")=0,"",IF(MID(IFERROR(INDEX(醫師週班表!$C$5:$T$44,$CU30,BH$57),""),2,1)="/",MID(IFERROR(INDEX(醫師週班表!$C$5:$T$44,$CU30,BH$57),""),1+BH$58*2,1),IF(MID(IFERROR(INDEX(醫師週班表!$C$5:$T$44,$CU30,BH$57),""),3,1)="隔",IF(BH$58=0,LEFT(IFERROR(INDEX(醫師週班表!$C$5:$T$44,$CU30,BH$57),""),1),""),IF(MID(IFERROR(INDEX(醫師週班表!$C$5:$T$44,$CU30,BH$57),""),2,1)="(",LEFT(IFERROR(INDEX(醫師週班表!$C$5:$T$44,$CU30,BH$57),""),1),IFERROR(INDEX(醫師週班表!$C$5:$T$44,$CU30,BH$57),"")))))))</f>
        <v/>
      </c>
      <c r="BI30" s="68">
        <f>IF(BI$59="X","",IF(BI$59&lt;&gt;"",BI$59,IF(IFERROR(INDEX(醫師週班表!$C$5:$T$44,$CU30,BI$57),"")=0,"",IF(MID(IFERROR(INDEX(醫師週班表!$C$5:$T$44,$CU30,BI$57),""),2,1)="/",MID(IFERROR(INDEX(醫師週班表!$C$5:$T$44,$CU30,BI$57),""),1+BI$58*2,1),IF(MID(IFERROR(INDEX(醫師週班表!$C$5:$T$44,$CU30,BI$57),""),3,1)="隔",IF(BI$58=0,LEFT(IFERROR(INDEX(醫師週班表!$C$5:$T$44,$CU30,BI$57),""),1),""),IF(MID(IFERROR(INDEX(醫師週班表!$C$5:$T$44,$CU30,BI$57),""),2,1)="(",LEFT(IFERROR(INDEX(醫師週班表!$C$5:$T$44,$CU30,BI$57),""),1),IFERROR(INDEX(醫師週班表!$C$5:$T$44,$CU30,BI$57),"")))))))</f>
        <v/>
      </c>
      <c r="BJ30" s="67">
        <f>IF(BJ$59="X","",IF(BJ$59&lt;&gt;"",BJ$59,IF(IFERROR(INDEX(醫師週班表!$C$5:$T$44,$CU30,BJ$57),"")=0,"",IF(MID(IFERROR(INDEX(醫師週班表!$C$5:$T$44,$CU30,BJ$57),""),2,1)="/",MID(IFERROR(INDEX(醫師週班表!$C$5:$T$44,$CU30,BJ$57),""),1+BJ$58*2,1),IF(MID(IFERROR(INDEX(醫師週班表!$C$5:$T$44,$CU30,BJ$57),""),3,1)="隔",IF(BJ$58=0,LEFT(IFERROR(INDEX(醫師週班表!$C$5:$T$44,$CU30,BJ$57),""),1),""),IF(MID(IFERROR(INDEX(醫師週班表!$C$5:$T$44,$CU30,BJ$57),""),2,1)="(",LEFT(IFERROR(INDEX(醫師週班表!$C$5:$T$44,$CU30,BJ$57),""),1),IFERROR(INDEX(醫師週班表!$C$5:$T$44,$CU30,BJ$57),"")))))))</f>
        <v/>
      </c>
      <c r="BK30" s="68">
        <f>IF(BK$59="X","",IF(BK$59&lt;&gt;"",BK$59,IF(IFERROR(INDEX(醫師週班表!$C$5:$T$44,$CU30,BK$57),"")=0,"",IF(MID(IFERROR(INDEX(醫師週班表!$C$5:$T$44,$CU30,BK$57),""),2,1)="/",MID(IFERROR(INDEX(醫師週班表!$C$5:$T$44,$CU30,BK$57),""),1+BK$58*2,1),IF(MID(IFERROR(INDEX(醫師週班表!$C$5:$T$44,$CU30,BK$57),""),3,1)="隔",IF(BK$58=0,LEFT(IFERROR(INDEX(醫師週班表!$C$5:$T$44,$CU30,BK$57),""),1),""),IF(MID(IFERROR(INDEX(醫師週班表!$C$5:$T$44,$CU30,BK$57),""),2,1)="(",LEFT(IFERROR(INDEX(醫師週班表!$C$5:$T$44,$CU30,BK$57),""),1),IFERROR(INDEX(醫師週班表!$C$5:$T$44,$CU30,BK$57),"")))))))</f>
        <v/>
      </c>
      <c r="BL30" s="68">
        <f>IF(BL$59="X","",IF(BL$59&lt;&gt;"",BL$59,IF(IFERROR(INDEX(醫師週班表!$C$5:$T$44,$CU30,BL$57),"")=0,"",IF(MID(IFERROR(INDEX(醫師週班表!$C$5:$T$44,$CU30,BL$57),""),2,1)="/",MID(IFERROR(INDEX(醫師週班表!$C$5:$T$44,$CU30,BL$57),""),1+BL$58*2,1),IF(MID(IFERROR(INDEX(醫師週班表!$C$5:$T$44,$CU30,BL$57),""),3,1)="隔",IF(BL$58=0,LEFT(IFERROR(INDEX(醫師週班表!$C$5:$T$44,$CU30,BL$57),""),1),""),IF(MID(IFERROR(INDEX(醫師週班表!$C$5:$T$44,$CU30,BL$57),""),2,1)="(",LEFT(IFERROR(INDEX(醫師週班表!$C$5:$T$44,$CU30,BL$57),""),1),IFERROR(INDEX(醫師週班表!$C$5:$T$44,$CU30,BL$57),"")))))))</f>
        <v/>
      </c>
      <c r="BM30" s="67">
        <f>IF(BM$59="X","",IF(BM$59&lt;&gt;"",BM$59,IF(IFERROR(INDEX(醫師週班表!$C$5:$T$44,$CU30,BM$57),"")=0,"",IF(MID(IFERROR(INDEX(醫師週班表!$C$5:$T$44,$CU30,BM$57),""),2,1)="/",MID(IFERROR(INDEX(醫師週班表!$C$5:$T$44,$CU30,BM$57),""),1+BM$58*2,1),IF(MID(IFERROR(INDEX(醫師週班表!$C$5:$T$44,$CU30,BM$57),""),3,1)="隔",IF(BM$58=0,LEFT(IFERROR(INDEX(醫師週班表!$C$5:$T$44,$CU30,BM$57),""),1),""),IF(MID(IFERROR(INDEX(醫師週班表!$C$5:$T$44,$CU30,BM$57),""),2,1)="(",LEFT(IFERROR(INDEX(醫師週班表!$C$5:$T$44,$CU30,BM$57),""),1),IFERROR(INDEX(醫師週班表!$C$5:$T$44,$CU30,BM$57),"")))))))</f>
        <v/>
      </c>
      <c r="BN30" s="68">
        <f>IF(BN$59="X","",IF(BN$59&lt;&gt;"",BN$59,IF(IFERROR(INDEX(醫師週班表!$C$5:$T$44,$CU30,BN$57),"")=0,"",IF(MID(IFERROR(INDEX(醫師週班表!$C$5:$T$44,$CU30,BN$57),""),2,1)="/",MID(IFERROR(INDEX(醫師週班表!$C$5:$T$44,$CU30,BN$57),""),1+BN$58*2,1),IF(MID(IFERROR(INDEX(醫師週班表!$C$5:$T$44,$CU30,BN$57),""),3,1)="隔",IF(BN$58=0,LEFT(IFERROR(INDEX(醫師週班表!$C$5:$T$44,$CU30,BN$57),""),1),""),IF(MID(IFERROR(INDEX(醫師週班表!$C$5:$T$44,$CU30,BN$57),""),2,1)="(",LEFT(IFERROR(INDEX(醫師週班表!$C$5:$T$44,$CU30,BN$57),""),1),IFERROR(INDEX(醫師週班表!$C$5:$T$44,$CU30,BN$57),"")))))))</f>
        <v/>
      </c>
      <c r="BO30" s="68">
        <f>IF(BO$59="X","",IF(BO$59&lt;&gt;"",BO$59,IF(IFERROR(INDEX(醫師週班表!$C$5:$T$44,$CU30,BO$57),"")=0,"",IF(MID(IFERROR(INDEX(醫師週班表!$C$5:$T$44,$CU30,BO$57),""),2,1)="/",MID(IFERROR(INDEX(醫師週班表!$C$5:$T$44,$CU30,BO$57),""),1+BO$58*2,1),IF(MID(IFERROR(INDEX(醫師週班表!$C$5:$T$44,$CU30,BO$57),""),3,1)="隔",IF(BO$58=0,LEFT(IFERROR(INDEX(醫師週班表!$C$5:$T$44,$CU30,BO$57),""),1),""),IF(MID(IFERROR(INDEX(醫師週班表!$C$5:$T$44,$CU30,BO$57),""),2,1)="(",LEFT(IFERROR(INDEX(醫師週班表!$C$5:$T$44,$CU30,BO$57),""),1),IFERROR(INDEX(醫師週班表!$C$5:$T$44,$CU30,BO$57),"")))))))</f>
        <v/>
      </c>
      <c r="BP30" s="67">
        <f>IF(BP$59="X","",IF(BP$59&lt;&gt;"",BP$59,IF(IFERROR(INDEX(醫師週班表!$C$5:$T$44,$CU30,BP$57),"")=0,"",IF(MID(IFERROR(INDEX(醫師週班表!$C$5:$T$44,$CU30,BP$57),""),2,1)="/",MID(IFERROR(INDEX(醫師週班表!$C$5:$T$44,$CU30,BP$57),""),1+BP$58*2,1),IF(MID(IFERROR(INDEX(醫師週班表!$C$5:$T$44,$CU30,BP$57),""),3,1)="隔",IF(BP$58=0,LEFT(IFERROR(INDEX(醫師週班表!$C$5:$T$44,$CU30,BP$57),""),1),""),IF(MID(IFERROR(INDEX(醫師週班表!$C$5:$T$44,$CU30,BP$57),""),2,1)="(",LEFT(IFERROR(INDEX(醫師週班表!$C$5:$T$44,$CU30,BP$57),""),1),IFERROR(INDEX(醫師週班表!$C$5:$T$44,$CU30,BP$57),"")))))))</f>
        <v/>
      </c>
      <c r="BQ30" s="68">
        <f>IF(BQ$59="X","",IF(BQ$59&lt;&gt;"",BQ$59,IF(IFERROR(INDEX(醫師週班表!$C$5:$T$44,$CU30,BQ$57),"")=0,"",IF(MID(IFERROR(INDEX(醫師週班表!$C$5:$T$44,$CU30,BQ$57),""),2,1)="/",MID(IFERROR(INDEX(醫師週班表!$C$5:$T$44,$CU30,BQ$57),""),1+BQ$58*2,1),IF(MID(IFERROR(INDEX(醫師週班表!$C$5:$T$44,$CU30,BQ$57),""),3,1)="隔",IF(BQ$58=0,LEFT(IFERROR(INDEX(醫師週班表!$C$5:$T$44,$CU30,BQ$57),""),1),""),IF(MID(IFERROR(INDEX(醫師週班表!$C$5:$T$44,$CU30,BQ$57),""),2,1)="(",LEFT(IFERROR(INDEX(醫師週班表!$C$5:$T$44,$CU30,BQ$57),""),1),IFERROR(INDEX(醫師週班表!$C$5:$T$44,$CU30,BQ$57),"")))))))</f>
        <v/>
      </c>
      <c r="BR30" s="68">
        <f>IF(BR$59="X","",IF(BR$59&lt;&gt;"",BR$59,IF(IFERROR(INDEX(醫師週班表!$C$5:$T$44,$CU30,BR$57),"")=0,"",IF(MID(IFERROR(INDEX(醫師週班表!$C$5:$T$44,$CU30,BR$57),""),2,1)="/",MID(IFERROR(INDEX(醫師週班表!$C$5:$T$44,$CU30,BR$57),""),1+BR$58*2,1),IF(MID(IFERROR(INDEX(醫師週班表!$C$5:$T$44,$CU30,BR$57),""),3,1)="隔",IF(BR$58=0,LEFT(IFERROR(INDEX(醫師週班表!$C$5:$T$44,$CU30,BR$57),""),1),""),IF(MID(IFERROR(INDEX(醫師週班表!$C$5:$T$44,$CU30,BR$57),""),2,1)="(",LEFT(IFERROR(INDEX(醫師週班表!$C$5:$T$44,$CU30,BR$57),""),1),IFERROR(INDEX(醫師週班表!$C$5:$T$44,$CU30,BR$57),"")))))))</f>
        <v/>
      </c>
      <c r="BS30" s="67">
        <f>IF(BS$59="X","",IF(BS$59&lt;&gt;"",BS$59,IF(IFERROR(INDEX(醫師週班表!$C$5:$T$44,$CU30,BS$57),"")=0,"",IF(MID(IFERROR(INDEX(醫師週班表!$C$5:$T$44,$CU30,BS$57),""),2,1)="/",MID(IFERROR(INDEX(醫師週班表!$C$5:$T$44,$CU30,BS$57),""),1+BS$58*2,1),IF(MID(IFERROR(INDEX(醫師週班表!$C$5:$T$44,$CU30,BS$57),""),3,1)="隔",IF(BS$58=0,LEFT(IFERROR(INDEX(醫師週班表!$C$5:$T$44,$CU30,BS$57),""),1),""),IF(MID(IFERROR(INDEX(醫師週班表!$C$5:$T$44,$CU30,BS$57),""),2,1)="(",LEFT(IFERROR(INDEX(醫師週班表!$C$5:$T$44,$CU30,BS$57),""),1),IFERROR(INDEX(醫師週班表!$C$5:$T$44,$CU30,BS$57),"")))))))</f>
        <v/>
      </c>
      <c r="BT30" s="68">
        <f>IF(BT$59="X","",IF(BT$59&lt;&gt;"",BT$59,IF(IFERROR(INDEX(醫師週班表!$C$5:$T$44,$CU30,BT$57),"")=0,"",IF(MID(IFERROR(INDEX(醫師週班表!$C$5:$T$44,$CU30,BT$57),""),2,1)="/",MID(IFERROR(INDEX(醫師週班表!$C$5:$T$44,$CU30,BT$57),""),1+BT$58*2,1),IF(MID(IFERROR(INDEX(醫師週班表!$C$5:$T$44,$CU30,BT$57),""),3,1)="隔",IF(BT$58=0,LEFT(IFERROR(INDEX(醫師週班表!$C$5:$T$44,$CU30,BT$57),""),1),""),IF(MID(IFERROR(INDEX(醫師週班表!$C$5:$T$44,$CU30,BT$57),""),2,1)="(",LEFT(IFERROR(INDEX(醫師週班表!$C$5:$T$44,$CU30,BT$57),""),1),IFERROR(INDEX(醫師週班表!$C$5:$T$44,$CU30,BT$57),"")))))))</f>
        <v/>
      </c>
      <c r="BU30" s="68">
        <f>IF(BU$59="X","",IF(BU$59&lt;&gt;"",BU$59,IF(IFERROR(INDEX(醫師週班表!$C$5:$T$44,$CU30,BU$57),"")=0,"",IF(MID(IFERROR(INDEX(醫師週班表!$C$5:$T$44,$CU30,BU$57),""),2,1)="/",MID(IFERROR(INDEX(醫師週班表!$C$5:$T$44,$CU30,BU$57),""),1+BU$58*2,1),IF(MID(IFERROR(INDEX(醫師週班表!$C$5:$T$44,$CU30,BU$57),""),3,1)="隔",IF(BU$58=0,LEFT(IFERROR(INDEX(醫師週班表!$C$5:$T$44,$CU30,BU$57),""),1),""),IF(MID(IFERROR(INDEX(醫師週班表!$C$5:$T$44,$CU30,BU$57),""),2,1)="(",LEFT(IFERROR(INDEX(醫師週班表!$C$5:$T$44,$CU30,BU$57),""),1),IFERROR(INDEX(醫師週班表!$C$5:$T$44,$CU30,BU$57),"")))))))</f>
        <v/>
      </c>
      <c r="BV30" s="67">
        <f>IF(BV$59="X","",IF(BV$59&lt;&gt;"",BV$59,IF(IFERROR(INDEX(醫師週班表!$C$5:$T$44,$CU30,BV$57),"")=0,"",IF(MID(IFERROR(INDEX(醫師週班表!$C$5:$T$44,$CU30,BV$57),""),2,1)="/",MID(IFERROR(INDEX(醫師週班表!$C$5:$T$44,$CU30,BV$57),""),1+BV$58*2,1),IF(MID(IFERROR(INDEX(醫師週班表!$C$5:$T$44,$CU30,BV$57),""),3,1)="隔",IF(BV$58=0,LEFT(IFERROR(INDEX(醫師週班表!$C$5:$T$44,$CU30,BV$57),""),1),""),IF(MID(IFERROR(INDEX(醫師週班表!$C$5:$T$44,$CU30,BV$57),""),2,1)="(",LEFT(IFERROR(INDEX(醫師週班表!$C$5:$T$44,$CU30,BV$57),""),1),IFERROR(INDEX(醫師週班表!$C$5:$T$44,$CU30,BV$57),"")))))))</f>
        <v/>
      </c>
      <c r="BW30" s="68">
        <f>IF(BW$59="X","",IF(BW$59&lt;&gt;"",BW$59,IF(IFERROR(INDEX(醫師週班表!$C$5:$T$44,$CU30,BW$57),"")=0,"",IF(MID(IFERROR(INDEX(醫師週班表!$C$5:$T$44,$CU30,BW$57),""),2,1)="/",MID(IFERROR(INDEX(醫師週班表!$C$5:$T$44,$CU30,BW$57),""),1+BW$58*2,1),IF(MID(IFERROR(INDEX(醫師週班表!$C$5:$T$44,$CU30,BW$57),""),3,1)="隔",IF(BW$58=0,LEFT(IFERROR(INDEX(醫師週班表!$C$5:$T$44,$CU30,BW$57),""),1),""),IF(MID(IFERROR(INDEX(醫師週班表!$C$5:$T$44,$CU30,BW$57),""),2,1)="(",LEFT(IFERROR(INDEX(醫師週班表!$C$5:$T$44,$CU30,BW$57),""),1),IFERROR(INDEX(醫師週班表!$C$5:$T$44,$CU30,BW$57),"")))))))</f>
        <v/>
      </c>
      <c r="BX30" s="68">
        <f>IF(BX$59="X","",IF(BX$59&lt;&gt;"",BX$59,IF(IFERROR(INDEX(醫師週班表!$C$5:$T$44,$CU30,BX$57),"")=0,"",IF(MID(IFERROR(INDEX(醫師週班表!$C$5:$T$44,$CU30,BX$57),""),2,1)="/",MID(IFERROR(INDEX(醫師週班表!$C$5:$T$44,$CU30,BX$57),""),1+BX$58*2,1),IF(MID(IFERROR(INDEX(醫師週班表!$C$5:$T$44,$CU30,BX$57),""),3,1)="隔",IF(BX$58=0,LEFT(IFERROR(INDEX(醫師週班表!$C$5:$T$44,$CU30,BX$57),""),1),""),IF(MID(IFERROR(INDEX(醫師週班表!$C$5:$T$44,$CU30,BX$57),""),2,1)="(",LEFT(IFERROR(INDEX(醫師週班表!$C$5:$T$44,$CU30,BX$57),""),1),IFERROR(INDEX(醫師週班表!$C$5:$T$44,$CU30,BX$57),"")))))))</f>
        <v/>
      </c>
      <c r="BY30" s="67">
        <f>IF(BY$59="X","",IF(BY$59&lt;&gt;"",BY$59,IF(IFERROR(INDEX(醫師週班表!$C$5:$T$44,$CU30,BY$57),"")=0,"",IF(MID(IFERROR(INDEX(醫師週班表!$C$5:$T$44,$CU30,BY$57),""),2,1)="/",MID(IFERROR(INDEX(醫師週班表!$C$5:$T$44,$CU30,BY$57),""),1+BY$58*2,1),IF(MID(IFERROR(INDEX(醫師週班表!$C$5:$T$44,$CU30,BY$57),""),3,1)="隔",IF(BY$58=0,LEFT(IFERROR(INDEX(醫師週班表!$C$5:$T$44,$CU30,BY$57),""),1),""),IF(MID(IFERROR(INDEX(醫師週班表!$C$5:$T$44,$CU30,BY$57),""),2,1)="(",LEFT(IFERROR(INDEX(醫師週班表!$C$5:$T$44,$CU30,BY$57),""),1),IFERROR(INDEX(醫師週班表!$C$5:$T$44,$CU30,BY$57),"")))))))</f>
        <v/>
      </c>
      <c r="BZ30" s="68">
        <f>IF(BZ$59="X","",IF(BZ$59&lt;&gt;"",BZ$59,IF(IFERROR(INDEX(醫師週班表!$C$5:$T$44,$CU30,BZ$57),"")=0,"",IF(MID(IFERROR(INDEX(醫師週班表!$C$5:$T$44,$CU30,BZ$57),""),2,1)="/",MID(IFERROR(INDEX(醫師週班表!$C$5:$T$44,$CU30,BZ$57),""),1+BZ$58*2,1),IF(MID(IFERROR(INDEX(醫師週班表!$C$5:$T$44,$CU30,BZ$57),""),3,1)="隔",IF(BZ$58=0,LEFT(IFERROR(INDEX(醫師週班表!$C$5:$T$44,$CU30,BZ$57),""),1),""),IF(MID(IFERROR(INDEX(醫師週班表!$C$5:$T$44,$CU30,BZ$57),""),2,1)="(",LEFT(IFERROR(INDEX(醫師週班表!$C$5:$T$44,$CU30,BZ$57),""),1),IFERROR(INDEX(醫師週班表!$C$5:$T$44,$CU30,BZ$57),"")))))))</f>
        <v/>
      </c>
      <c r="CA30" s="68">
        <f>IF(CA$59="X","",IF(CA$59&lt;&gt;"",CA$59,IF(IFERROR(INDEX(醫師週班表!$C$5:$T$44,$CU30,CA$57),"")=0,"",IF(MID(IFERROR(INDEX(醫師週班表!$C$5:$T$44,$CU30,CA$57),""),2,1)="/",MID(IFERROR(INDEX(醫師週班表!$C$5:$T$44,$CU30,CA$57),""),1+CA$58*2,1),IF(MID(IFERROR(INDEX(醫師週班表!$C$5:$T$44,$CU30,CA$57),""),3,1)="隔",IF(CA$58=0,LEFT(IFERROR(INDEX(醫師週班表!$C$5:$T$44,$CU30,CA$57),""),1),""),IF(MID(IFERROR(INDEX(醫師週班表!$C$5:$T$44,$CU30,CA$57),""),2,1)="(",LEFT(IFERROR(INDEX(醫師週班表!$C$5:$T$44,$CU30,CA$57),""),1),IFERROR(INDEX(醫師週班表!$C$5:$T$44,$CU30,CA$57),"")))))))</f>
        <v/>
      </c>
      <c r="CB30" s="67">
        <f>IF(CB$59="X","",IF(CB$59&lt;&gt;"",CB$59,IF(IFERROR(INDEX(醫師週班表!$C$5:$T$44,$CU30,CB$57),"")=0,"",IF(MID(IFERROR(INDEX(醫師週班表!$C$5:$T$44,$CU30,CB$57),""),2,1)="/",MID(IFERROR(INDEX(醫師週班表!$C$5:$T$44,$CU30,CB$57),""),1+CB$58*2,1),IF(MID(IFERROR(INDEX(醫師週班表!$C$5:$T$44,$CU30,CB$57),""),3,1)="隔",IF(CB$58=0,LEFT(IFERROR(INDEX(醫師週班表!$C$5:$T$44,$CU30,CB$57),""),1),""),IF(MID(IFERROR(INDEX(醫師週班表!$C$5:$T$44,$CU30,CB$57),""),2,1)="(",LEFT(IFERROR(INDEX(醫師週班表!$C$5:$T$44,$CU30,CB$57),""),1),IFERROR(INDEX(醫師週班表!$C$5:$T$44,$CU30,CB$57),"")))))))</f>
        <v/>
      </c>
      <c r="CC30" s="68">
        <f>IF(CC$59="X","",IF(CC$59&lt;&gt;"",CC$59,IF(IFERROR(INDEX(醫師週班表!$C$5:$T$44,$CU30,CC$57),"")=0,"",IF(MID(IFERROR(INDEX(醫師週班表!$C$5:$T$44,$CU30,CC$57),""),2,1)="/",MID(IFERROR(INDEX(醫師週班表!$C$5:$T$44,$CU30,CC$57),""),1+CC$58*2,1),IF(MID(IFERROR(INDEX(醫師週班表!$C$5:$T$44,$CU30,CC$57),""),3,1)="隔",IF(CC$58=0,LEFT(IFERROR(INDEX(醫師週班表!$C$5:$T$44,$CU30,CC$57),""),1),""),IF(MID(IFERROR(INDEX(醫師週班表!$C$5:$T$44,$CU30,CC$57),""),2,1)="(",LEFT(IFERROR(INDEX(醫師週班表!$C$5:$T$44,$CU30,CC$57),""),1),IFERROR(INDEX(醫師週班表!$C$5:$T$44,$CU30,CC$57),"")))))))</f>
        <v/>
      </c>
      <c r="CD30" s="68">
        <f>IF(CD$59="X","",IF(CD$59&lt;&gt;"",CD$59,IF(IFERROR(INDEX(醫師週班表!$C$5:$T$44,$CU30,CD$57),"")=0,"",IF(MID(IFERROR(INDEX(醫師週班表!$C$5:$T$44,$CU30,CD$57),""),2,1)="/",MID(IFERROR(INDEX(醫師週班表!$C$5:$T$44,$CU30,CD$57),""),1+CD$58*2,1),IF(MID(IFERROR(INDEX(醫師週班表!$C$5:$T$44,$CU30,CD$57),""),3,1)="隔",IF(CD$58=0,LEFT(IFERROR(INDEX(醫師週班表!$C$5:$T$44,$CU30,CD$57),""),1),""),IF(MID(IFERROR(INDEX(醫師週班表!$C$5:$T$44,$CU30,CD$57),""),2,1)="(",LEFT(IFERROR(INDEX(醫師週班表!$C$5:$T$44,$CU30,CD$57),""),1),IFERROR(INDEX(醫師週班表!$C$5:$T$44,$CU30,CD$57),"")))))))</f>
        <v/>
      </c>
      <c r="CE30" s="67">
        <f>IF(CE$59="X","",IF(CE$59&lt;&gt;"",CE$59,IF(IFERROR(INDEX(醫師週班表!$C$5:$T$44,$CU30,CE$57),"")=0,"",IF(MID(IFERROR(INDEX(醫師週班表!$C$5:$T$44,$CU30,CE$57),""),2,1)="/",MID(IFERROR(INDEX(醫師週班表!$C$5:$T$44,$CU30,CE$57),""),1+CE$58*2,1),IF(MID(IFERROR(INDEX(醫師週班表!$C$5:$T$44,$CU30,CE$57),""),3,1)="隔",IF(CE$58=0,LEFT(IFERROR(INDEX(醫師週班表!$C$5:$T$44,$CU30,CE$57),""),1),""),IF(MID(IFERROR(INDEX(醫師週班表!$C$5:$T$44,$CU30,CE$57),""),2,1)="(",LEFT(IFERROR(INDEX(醫師週班表!$C$5:$T$44,$CU30,CE$57),""),1),IFERROR(INDEX(醫師週班表!$C$5:$T$44,$CU30,CE$57),"")))))))</f>
        <v/>
      </c>
      <c r="CF30" s="68">
        <f>IF(CF$59="X","",IF(CF$59&lt;&gt;"",CF$59,IF(IFERROR(INDEX(醫師週班表!$C$5:$T$44,$CU30,CF$57),"")=0,"",IF(MID(IFERROR(INDEX(醫師週班表!$C$5:$T$44,$CU30,CF$57),""),2,1)="/",MID(IFERROR(INDEX(醫師週班表!$C$5:$T$44,$CU30,CF$57),""),1+CF$58*2,1),IF(MID(IFERROR(INDEX(醫師週班表!$C$5:$T$44,$CU30,CF$57),""),3,1)="隔",IF(CF$58=0,LEFT(IFERROR(INDEX(醫師週班表!$C$5:$T$44,$CU30,CF$57),""),1),""),IF(MID(IFERROR(INDEX(醫師週班表!$C$5:$T$44,$CU30,CF$57),""),2,1)="(",LEFT(IFERROR(INDEX(醫師週班表!$C$5:$T$44,$CU30,CF$57),""),1),IFERROR(INDEX(醫師週班表!$C$5:$T$44,$CU30,CF$57),"")))))))</f>
        <v/>
      </c>
      <c r="CG30" s="68">
        <f>IF(CG$59="X","",IF(CG$59&lt;&gt;"",CG$59,IF(IFERROR(INDEX(醫師週班表!$C$5:$T$44,$CU30,CG$57),"")=0,"",IF(MID(IFERROR(INDEX(醫師週班表!$C$5:$T$44,$CU30,CG$57),""),2,1)="/",MID(IFERROR(INDEX(醫師週班表!$C$5:$T$44,$CU30,CG$57),""),1+CG$58*2,1),IF(MID(IFERROR(INDEX(醫師週班表!$C$5:$T$44,$CU30,CG$57),""),3,1)="隔",IF(CG$58=0,LEFT(IFERROR(INDEX(醫師週班表!$C$5:$T$44,$CU30,CG$57),""),1),""),IF(MID(IFERROR(INDEX(醫師週班表!$C$5:$T$44,$CU30,CG$57),""),2,1)="(",LEFT(IFERROR(INDEX(醫師週班表!$C$5:$T$44,$CU30,CG$57),""),1),IFERROR(INDEX(醫師週班表!$C$5:$T$44,$CU30,CG$57),"")))))))</f>
        <v/>
      </c>
      <c r="CH30" s="67">
        <f>IF(CH$59="X","",IF(CH$59&lt;&gt;"",CH$59,IF(IFERROR(INDEX(醫師週班表!$C$5:$T$44,$CU30,CH$57),"")=0,"",IF(MID(IFERROR(INDEX(醫師週班表!$C$5:$T$44,$CU30,CH$57),""),2,1)="/",MID(IFERROR(INDEX(醫師週班表!$C$5:$T$44,$CU30,CH$57),""),1+CH$58*2,1),IF(MID(IFERROR(INDEX(醫師週班表!$C$5:$T$44,$CU30,CH$57),""),3,1)="隔",IF(CH$58=0,LEFT(IFERROR(INDEX(醫師週班表!$C$5:$T$44,$CU30,CH$57),""),1),""),IF(MID(IFERROR(INDEX(醫師週班表!$C$5:$T$44,$CU30,CH$57),""),2,1)="(",LEFT(IFERROR(INDEX(醫師週班表!$C$5:$T$44,$CU30,CH$57),""),1),IFERROR(INDEX(醫師週班表!$C$5:$T$44,$CU30,CH$57),"")))))))</f>
        <v/>
      </c>
      <c r="CI30" s="68">
        <f>IF(CI$59="X","",IF(CI$59&lt;&gt;"",CI$59,IF(IFERROR(INDEX(醫師週班表!$C$5:$T$44,$CU30,CI$57),"")=0,"",IF(MID(IFERROR(INDEX(醫師週班表!$C$5:$T$44,$CU30,CI$57),""),2,1)="/",MID(IFERROR(INDEX(醫師週班表!$C$5:$T$44,$CU30,CI$57),""),1+CI$58*2,1),IF(MID(IFERROR(INDEX(醫師週班表!$C$5:$T$44,$CU30,CI$57),""),3,1)="隔",IF(CI$58=0,LEFT(IFERROR(INDEX(醫師週班表!$C$5:$T$44,$CU30,CI$57),""),1),""),IF(MID(IFERROR(INDEX(醫師週班表!$C$5:$T$44,$CU30,CI$57),""),2,1)="(",LEFT(IFERROR(INDEX(醫師週班表!$C$5:$T$44,$CU30,CI$57),""),1),IFERROR(INDEX(醫師週班表!$C$5:$T$44,$CU30,CI$57),"")))))))</f>
        <v/>
      </c>
      <c r="CJ30" s="68">
        <f>IF(CJ$59="X","",IF(CJ$59&lt;&gt;"",CJ$59,IF(IFERROR(INDEX(醫師週班表!$C$5:$T$44,$CU30,CJ$57),"")=0,"",IF(MID(IFERROR(INDEX(醫師週班表!$C$5:$T$44,$CU30,CJ$57),""),2,1)="/",MID(IFERROR(INDEX(醫師週班表!$C$5:$T$44,$CU30,CJ$57),""),1+CJ$58*2,1),IF(MID(IFERROR(INDEX(醫師週班表!$C$5:$T$44,$CU30,CJ$57),""),3,1)="隔",IF(CJ$58=0,LEFT(IFERROR(INDEX(醫師週班表!$C$5:$T$44,$CU30,CJ$57),""),1),""),IF(MID(IFERROR(INDEX(醫師週班表!$C$5:$T$44,$CU30,CJ$57),""),2,1)="(",LEFT(IFERROR(INDEX(醫師週班表!$C$5:$T$44,$CU30,CJ$57),""),1),IFERROR(INDEX(醫師週班表!$C$5:$T$44,$CU30,CJ$57),"")))))))</f>
        <v/>
      </c>
      <c r="CK30" s="67">
        <f>IF(CK$59="X","",IF(CK$59&lt;&gt;"",CK$59,IF(IFERROR(INDEX(醫師週班表!$C$5:$T$44,$CU30,CK$57),"")=0,"",IF(MID(IFERROR(INDEX(醫師週班表!$C$5:$T$44,$CU30,CK$57),""),2,1)="/",MID(IFERROR(INDEX(醫師週班表!$C$5:$T$44,$CU30,CK$57),""),1+CK$58*2,1),IF(MID(IFERROR(INDEX(醫師週班表!$C$5:$T$44,$CU30,CK$57),""),3,1)="隔",IF(CK$58=0,LEFT(IFERROR(INDEX(醫師週班表!$C$5:$T$44,$CU30,CK$57),""),1),""),IF(MID(IFERROR(INDEX(醫師週班表!$C$5:$T$44,$CU30,CK$57),""),2,1)="(",LEFT(IFERROR(INDEX(醫師週班表!$C$5:$T$44,$CU30,CK$57),""),1),IFERROR(INDEX(醫師週班表!$C$5:$T$44,$CU30,CK$57),"")))))))</f>
        <v/>
      </c>
      <c r="CL30" s="68">
        <f>IF(CL$59="X","",IF(CL$59&lt;&gt;"",CL$59,IF(IFERROR(INDEX(醫師週班表!$C$5:$T$44,$CU30,CL$57),"")=0,"",IF(MID(IFERROR(INDEX(醫師週班表!$C$5:$T$44,$CU30,CL$57),""),2,1)="/",MID(IFERROR(INDEX(醫師週班表!$C$5:$T$44,$CU30,CL$57),""),1+CL$58*2,1),IF(MID(IFERROR(INDEX(醫師週班表!$C$5:$T$44,$CU30,CL$57),""),3,1)="隔",IF(CL$58=0,LEFT(IFERROR(INDEX(醫師週班表!$C$5:$T$44,$CU30,CL$57),""),1),""),IF(MID(IFERROR(INDEX(醫師週班表!$C$5:$T$44,$CU30,CL$57),""),2,1)="(",LEFT(IFERROR(INDEX(醫師週班表!$C$5:$T$44,$CU30,CL$57),""),1),IFERROR(INDEX(醫師週班表!$C$5:$T$44,$CU30,CL$57),"")))))))</f>
        <v/>
      </c>
      <c r="CM30" s="68">
        <f>IF(CM$59="X","",IF(CM$59&lt;&gt;"",CM$59,IF(IFERROR(INDEX(醫師週班表!$C$5:$T$44,$CU30,CM$57),"")=0,"",IF(MID(IFERROR(INDEX(醫師週班表!$C$5:$T$44,$CU30,CM$57),""),2,1)="/",MID(IFERROR(INDEX(醫師週班表!$C$5:$T$44,$CU30,CM$57),""),1+CM$58*2,1),IF(MID(IFERROR(INDEX(醫師週班表!$C$5:$T$44,$CU30,CM$57),""),3,1)="隔",IF(CM$58=0,LEFT(IFERROR(INDEX(醫師週班表!$C$5:$T$44,$CU30,CM$57),""),1),""),IF(MID(IFERROR(INDEX(醫師週班表!$C$5:$T$44,$CU30,CM$57),""),2,1)="(",LEFT(IFERROR(INDEX(醫師週班表!$C$5:$T$44,$CU30,CM$57),""),1),IFERROR(INDEX(醫師週班表!$C$5:$T$44,$CU30,CM$57),"")))))))</f>
        <v/>
      </c>
      <c r="CN30" s="67">
        <f>IF(CN$59="X","",IF(CN$59&lt;&gt;"",CN$59,IF(IFERROR(INDEX(醫師週班表!$C$5:$T$44,$CU30,CN$57),"")=0,"",IF(MID(IFERROR(INDEX(醫師週班表!$C$5:$T$44,$CU30,CN$57),""),2,1)="/",MID(IFERROR(INDEX(醫師週班表!$C$5:$T$44,$CU30,CN$57),""),1+CN$58*2,1),IF(MID(IFERROR(INDEX(醫師週班表!$C$5:$T$44,$CU30,CN$57),""),3,1)="隔",IF(CN$58=0,LEFT(IFERROR(INDEX(醫師週班表!$C$5:$T$44,$CU30,CN$57),""),1),""),IF(MID(IFERROR(INDEX(醫師週班表!$C$5:$T$44,$CU30,CN$57),""),2,1)="(",LEFT(IFERROR(INDEX(醫師週班表!$C$5:$T$44,$CU30,CN$57),""),1),IFERROR(INDEX(醫師週班表!$C$5:$T$44,$CU30,CN$57),"")))))))</f>
        <v/>
      </c>
      <c r="CO30" s="68">
        <f>IF(CO$59="X","",IF(CO$59&lt;&gt;"",CO$59,IF(IFERROR(INDEX(醫師週班表!$C$5:$T$44,$CU30,CO$57),"")=0,"",IF(MID(IFERROR(INDEX(醫師週班表!$C$5:$T$44,$CU30,CO$57),""),2,1)="/",MID(IFERROR(INDEX(醫師週班表!$C$5:$T$44,$CU30,CO$57),""),1+CO$58*2,1),IF(MID(IFERROR(INDEX(醫師週班表!$C$5:$T$44,$CU30,CO$57),""),3,1)="隔",IF(CO$58=0,LEFT(IFERROR(INDEX(醫師週班表!$C$5:$T$44,$CU30,CO$57),""),1),""),IF(MID(IFERROR(INDEX(醫師週班表!$C$5:$T$44,$CU30,CO$57),""),2,1)="(",LEFT(IFERROR(INDEX(醫師週班表!$C$5:$T$44,$CU30,CO$57),""),1),IFERROR(INDEX(醫師週班表!$C$5:$T$44,$CU30,CO$57),"")))))))</f>
        <v/>
      </c>
      <c r="CP30" s="68">
        <f>IF(CP$59="X","",IF(CP$59&lt;&gt;"",CP$59,IF(IFERROR(INDEX(醫師週班表!$C$5:$T$44,$CU30,CP$57),"")=0,"",IF(MID(IFERROR(INDEX(醫師週班表!$C$5:$T$44,$CU30,CP$57),""),2,1)="/",MID(IFERROR(INDEX(醫師週班表!$C$5:$T$44,$CU30,CP$57),""),1+CP$58*2,1),IF(MID(IFERROR(INDEX(醫師週班表!$C$5:$T$44,$CU30,CP$57),""),3,1)="隔",IF(CP$58=0,LEFT(IFERROR(INDEX(醫師週班表!$C$5:$T$44,$CU30,CP$57),""),1),""),IF(MID(IFERROR(INDEX(醫師週班表!$C$5:$T$44,$CU30,CP$57),""),2,1)="(",LEFT(IFERROR(INDEX(醫師週班表!$C$5:$T$44,$CU30,CP$57),""),1),IFERROR(INDEX(醫師週班表!$C$5:$T$44,$CU30,CP$57),"")))))))</f>
        <v/>
      </c>
      <c r="CQ30" s="67">
        <f>IF(CQ$59="X","",IF(CQ$59&lt;&gt;"",CQ$59,IF(IFERROR(INDEX(醫師週班表!$C$5:$T$44,$CU30,CQ$57),"")=0,"",IF(MID(IFERROR(INDEX(醫師週班表!$C$5:$T$44,$CU30,CQ$57),""),2,1)="/",MID(IFERROR(INDEX(醫師週班表!$C$5:$T$44,$CU30,CQ$57),""),1+CQ$58*2,1),IF(MID(IFERROR(INDEX(醫師週班表!$C$5:$T$44,$CU30,CQ$57),""),3,1)="隔",IF(CQ$58=0,LEFT(IFERROR(INDEX(醫師週班表!$C$5:$T$44,$CU30,CQ$57),""),1),""),IF(MID(IFERROR(INDEX(醫師週班表!$C$5:$T$44,$CU30,CQ$57),""),2,1)="(",LEFT(IFERROR(INDEX(醫師週班表!$C$5:$T$44,$CU30,CQ$57),""),1),IFERROR(INDEX(醫師週班表!$C$5:$T$44,$CU30,CQ$57),"")))))))</f>
        <v/>
      </c>
      <c r="CR30" s="68">
        <f>IF(CR$59="X","",IF(CR$59&lt;&gt;"",CR$59,IF(IFERROR(INDEX(醫師週班表!$C$5:$T$44,$CU30,CR$57),"")=0,"",IF(MID(IFERROR(INDEX(醫師週班表!$C$5:$T$44,$CU30,CR$57),""),2,1)="/",MID(IFERROR(INDEX(醫師週班表!$C$5:$T$44,$CU30,CR$57),""),1+CR$58*2,1),IF(MID(IFERROR(INDEX(醫師週班表!$C$5:$T$44,$CU30,CR$57),""),3,1)="隔",IF(CR$58=0,LEFT(IFERROR(INDEX(醫師週班表!$C$5:$T$44,$CU30,CR$57),""),1),""),IF(MID(IFERROR(INDEX(醫師週班表!$C$5:$T$44,$CU30,CR$57),""),2,1)="(",LEFT(IFERROR(INDEX(醫師週班表!$C$5:$T$44,$CU30,CR$57),""),1),IFERROR(INDEX(醫師週班表!$C$5:$T$44,$CU30,CR$57),"")))))))</f>
        <v/>
      </c>
      <c r="CS30" s="68">
        <f>IF(CS$59="X","",IF(CS$59&lt;&gt;"",CS$59,IF(IFERROR(INDEX(醫師週班表!$C$5:$T$44,$CU30,CS$57),"")=0,"",IF(MID(IFERROR(INDEX(醫師週班表!$C$5:$T$44,$CU30,CS$57),""),2,1)="/",MID(IFERROR(INDEX(醫師週班表!$C$5:$T$44,$CU30,CS$57),""),1+CS$58*2,1),IF(MID(IFERROR(INDEX(醫師週班表!$C$5:$T$44,$CU30,CS$57),""),3,1)="隔",IF(CS$58=0,LEFT(IFERROR(INDEX(醫師週班表!$C$5:$T$44,$CU30,CS$57),""),1),""),IF(MID(IFERROR(INDEX(醫師週班表!$C$5:$T$44,$CU30,CS$57),""),2,1)="(",LEFT(IFERROR(INDEX(醫師週班表!$C$5:$T$44,$CU30,CS$57),""),1),IFERROR(INDEX(醫師週班表!$C$5:$T$44,$CU30,CS$57),"")))))))</f>
        <v/>
      </c>
      <c r="CU30" s="69">
        <f>IFERROR(MATCH($A30,醫師週班表!$A$5:$A$44,0),0)</f>
        <v/>
      </c>
    </row>
    <row r="31" ht="17" customHeight="1">
      <c r="A31" s="20" t="inlineStr">
        <is>
          <t>D026</t>
        </is>
      </c>
      <c r="B31" s="16" t="inlineStr">
        <is>
          <t>吳冠廷</t>
        </is>
      </c>
      <c r="C31" s="66" t="inlineStr"/>
      <c r="D31" s="16" t="inlineStr"/>
      <c r="E31" s="67">
        <f>IF(E$59="X","",IF(E$59&lt;&gt;"",E$59,IF(IFERROR(INDEX(醫師週班表!$C$5:$T$44,$CU31,E$57),"")=0,"",IF(MID(IFERROR(INDEX(醫師週班表!$C$5:$T$44,$CU31,E$57),""),2,1)="/",MID(IFERROR(INDEX(醫師週班表!$C$5:$T$44,$CU31,E$57),""),1+E$58*2,1),IF(MID(IFERROR(INDEX(醫師週班表!$C$5:$T$44,$CU31,E$57),""),3,1)="隔",IF(E$58=0,LEFT(IFERROR(INDEX(醫師週班表!$C$5:$T$44,$CU31,E$57),""),1),""),IF(MID(IFERROR(INDEX(醫師週班表!$C$5:$T$44,$CU31,E$57),""),2,1)="(",LEFT(IFERROR(INDEX(醫師週班表!$C$5:$T$44,$CU31,E$57),""),1),IFERROR(INDEX(醫師週班表!$C$5:$T$44,$CU31,E$57),"")))))))</f>
        <v/>
      </c>
      <c r="F31" s="68">
        <f>IF(F$59="X","",IF(F$59&lt;&gt;"",F$59,IF(IFERROR(INDEX(醫師週班表!$C$5:$T$44,$CU31,F$57),"")=0,"",IF(MID(IFERROR(INDEX(醫師週班表!$C$5:$T$44,$CU31,F$57),""),2,1)="/",MID(IFERROR(INDEX(醫師週班表!$C$5:$T$44,$CU31,F$57),""),1+F$58*2,1),IF(MID(IFERROR(INDEX(醫師週班表!$C$5:$T$44,$CU31,F$57),""),3,1)="隔",IF(F$58=0,LEFT(IFERROR(INDEX(醫師週班表!$C$5:$T$44,$CU31,F$57),""),1),""),IF(MID(IFERROR(INDEX(醫師週班表!$C$5:$T$44,$CU31,F$57),""),2,1)="(",LEFT(IFERROR(INDEX(醫師週班表!$C$5:$T$44,$CU31,F$57),""),1),IFERROR(INDEX(醫師週班表!$C$5:$T$44,$CU31,F$57),"")))))))</f>
        <v/>
      </c>
      <c r="G31" s="68">
        <f>IF(G$59="X","",IF(G$59&lt;&gt;"",G$59,IF(IFERROR(INDEX(醫師週班表!$C$5:$T$44,$CU31,G$57),"")=0,"",IF(MID(IFERROR(INDEX(醫師週班表!$C$5:$T$44,$CU31,G$57),""),2,1)="/",MID(IFERROR(INDEX(醫師週班表!$C$5:$T$44,$CU31,G$57),""),1+G$58*2,1),IF(MID(IFERROR(INDEX(醫師週班表!$C$5:$T$44,$CU31,G$57),""),3,1)="隔",IF(G$58=0,LEFT(IFERROR(INDEX(醫師週班表!$C$5:$T$44,$CU31,G$57),""),1),""),IF(MID(IFERROR(INDEX(醫師週班表!$C$5:$T$44,$CU31,G$57),""),2,1)="(",LEFT(IFERROR(INDEX(醫師週班表!$C$5:$T$44,$CU31,G$57),""),1),IFERROR(INDEX(醫師週班表!$C$5:$T$44,$CU31,G$57),"")))))))</f>
        <v/>
      </c>
      <c r="H31" s="67">
        <f>IF(H$59="X","",IF(H$59&lt;&gt;"",H$59,IF(IFERROR(INDEX(醫師週班表!$C$5:$T$44,$CU31,H$57),"")=0,"",IF(MID(IFERROR(INDEX(醫師週班表!$C$5:$T$44,$CU31,H$57),""),2,1)="/",MID(IFERROR(INDEX(醫師週班表!$C$5:$T$44,$CU31,H$57),""),1+H$58*2,1),IF(MID(IFERROR(INDEX(醫師週班表!$C$5:$T$44,$CU31,H$57),""),3,1)="隔",IF(H$58=0,LEFT(IFERROR(INDEX(醫師週班表!$C$5:$T$44,$CU31,H$57),""),1),""),IF(MID(IFERROR(INDEX(醫師週班表!$C$5:$T$44,$CU31,H$57),""),2,1)="(",LEFT(IFERROR(INDEX(醫師週班表!$C$5:$T$44,$CU31,H$57),""),1),IFERROR(INDEX(醫師週班表!$C$5:$T$44,$CU31,H$57),"")))))))</f>
        <v/>
      </c>
      <c r="I31" s="68">
        <f>IF(I$59="X","",IF(I$59&lt;&gt;"",I$59,IF(IFERROR(INDEX(醫師週班表!$C$5:$T$44,$CU31,I$57),"")=0,"",IF(MID(IFERROR(INDEX(醫師週班表!$C$5:$T$44,$CU31,I$57),""),2,1)="/",MID(IFERROR(INDEX(醫師週班表!$C$5:$T$44,$CU31,I$57),""),1+I$58*2,1),IF(MID(IFERROR(INDEX(醫師週班表!$C$5:$T$44,$CU31,I$57),""),3,1)="隔",IF(I$58=0,LEFT(IFERROR(INDEX(醫師週班表!$C$5:$T$44,$CU31,I$57),""),1),""),IF(MID(IFERROR(INDEX(醫師週班表!$C$5:$T$44,$CU31,I$57),""),2,1)="(",LEFT(IFERROR(INDEX(醫師週班表!$C$5:$T$44,$CU31,I$57),""),1),IFERROR(INDEX(醫師週班表!$C$5:$T$44,$CU31,I$57),"")))))))</f>
        <v/>
      </c>
      <c r="J31" s="68">
        <f>IF(J$59="X","",IF(J$59&lt;&gt;"",J$59,IF(IFERROR(INDEX(醫師週班表!$C$5:$T$44,$CU31,J$57),"")=0,"",IF(MID(IFERROR(INDEX(醫師週班表!$C$5:$T$44,$CU31,J$57),""),2,1)="/",MID(IFERROR(INDEX(醫師週班表!$C$5:$T$44,$CU31,J$57),""),1+J$58*2,1),IF(MID(IFERROR(INDEX(醫師週班表!$C$5:$T$44,$CU31,J$57),""),3,1)="隔",IF(J$58=0,LEFT(IFERROR(INDEX(醫師週班表!$C$5:$T$44,$CU31,J$57),""),1),""),IF(MID(IFERROR(INDEX(醫師週班表!$C$5:$T$44,$CU31,J$57),""),2,1)="(",LEFT(IFERROR(INDEX(醫師週班表!$C$5:$T$44,$CU31,J$57),""),1),IFERROR(INDEX(醫師週班表!$C$5:$T$44,$CU31,J$57),"")))))))</f>
        <v/>
      </c>
      <c r="K31" s="67">
        <f>IF(K$59="X","",IF(K$59&lt;&gt;"",K$59,IF(IFERROR(INDEX(醫師週班表!$C$5:$T$44,$CU31,K$57),"")=0,"",IF(MID(IFERROR(INDEX(醫師週班表!$C$5:$T$44,$CU31,K$57),""),2,1)="/",MID(IFERROR(INDEX(醫師週班表!$C$5:$T$44,$CU31,K$57),""),1+K$58*2,1),IF(MID(IFERROR(INDEX(醫師週班表!$C$5:$T$44,$CU31,K$57),""),3,1)="隔",IF(K$58=0,LEFT(IFERROR(INDEX(醫師週班表!$C$5:$T$44,$CU31,K$57),""),1),""),IF(MID(IFERROR(INDEX(醫師週班表!$C$5:$T$44,$CU31,K$57),""),2,1)="(",LEFT(IFERROR(INDEX(醫師週班表!$C$5:$T$44,$CU31,K$57),""),1),IFERROR(INDEX(醫師週班表!$C$5:$T$44,$CU31,K$57),"")))))))</f>
        <v/>
      </c>
      <c r="L31" s="68">
        <f>IF(L$59="X","",IF(L$59&lt;&gt;"",L$59,IF(IFERROR(INDEX(醫師週班表!$C$5:$T$44,$CU31,L$57),"")=0,"",IF(MID(IFERROR(INDEX(醫師週班表!$C$5:$T$44,$CU31,L$57),""),2,1)="/",MID(IFERROR(INDEX(醫師週班表!$C$5:$T$44,$CU31,L$57),""),1+L$58*2,1),IF(MID(IFERROR(INDEX(醫師週班表!$C$5:$T$44,$CU31,L$57),""),3,1)="隔",IF(L$58=0,LEFT(IFERROR(INDEX(醫師週班表!$C$5:$T$44,$CU31,L$57),""),1),""),IF(MID(IFERROR(INDEX(醫師週班表!$C$5:$T$44,$CU31,L$57),""),2,1)="(",LEFT(IFERROR(INDEX(醫師週班表!$C$5:$T$44,$CU31,L$57),""),1),IFERROR(INDEX(醫師週班表!$C$5:$T$44,$CU31,L$57),"")))))))</f>
        <v/>
      </c>
      <c r="M31" s="68">
        <f>IF(M$59="X","",IF(M$59&lt;&gt;"",M$59,IF(IFERROR(INDEX(醫師週班表!$C$5:$T$44,$CU31,M$57),"")=0,"",IF(MID(IFERROR(INDEX(醫師週班表!$C$5:$T$44,$CU31,M$57),""),2,1)="/",MID(IFERROR(INDEX(醫師週班表!$C$5:$T$44,$CU31,M$57),""),1+M$58*2,1),IF(MID(IFERROR(INDEX(醫師週班表!$C$5:$T$44,$CU31,M$57),""),3,1)="隔",IF(M$58=0,LEFT(IFERROR(INDEX(醫師週班表!$C$5:$T$44,$CU31,M$57),""),1),""),IF(MID(IFERROR(INDEX(醫師週班表!$C$5:$T$44,$CU31,M$57),""),2,1)="(",LEFT(IFERROR(INDEX(醫師週班表!$C$5:$T$44,$CU31,M$57),""),1),IFERROR(INDEX(醫師週班表!$C$5:$T$44,$CU31,M$57),"")))))))</f>
        <v/>
      </c>
      <c r="N31" s="67">
        <f>IF(N$59="X","",IF(N$59&lt;&gt;"",N$59,IF(IFERROR(INDEX(醫師週班表!$C$5:$T$44,$CU31,N$57),"")=0,"",IF(MID(IFERROR(INDEX(醫師週班表!$C$5:$T$44,$CU31,N$57),""),2,1)="/",MID(IFERROR(INDEX(醫師週班表!$C$5:$T$44,$CU31,N$57),""),1+N$58*2,1),IF(MID(IFERROR(INDEX(醫師週班表!$C$5:$T$44,$CU31,N$57),""),3,1)="隔",IF(N$58=0,LEFT(IFERROR(INDEX(醫師週班表!$C$5:$T$44,$CU31,N$57),""),1),""),IF(MID(IFERROR(INDEX(醫師週班表!$C$5:$T$44,$CU31,N$57),""),2,1)="(",LEFT(IFERROR(INDEX(醫師週班表!$C$5:$T$44,$CU31,N$57),""),1),IFERROR(INDEX(醫師週班表!$C$5:$T$44,$CU31,N$57),"")))))))</f>
        <v/>
      </c>
      <c r="O31" s="68">
        <f>IF(O$59="X","",IF(O$59&lt;&gt;"",O$59,IF(IFERROR(INDEX(醫師週班表!$C$5:$T$44,$CU31,O$57),"")=0,"",IF(MID(IFERROR(INDEX(醫師週班表!$C$5:$T$44,$CU31,O$57),""),2,1)="/",MID(IFERROR(INDEX(醫師週班表!$C$5:$T$44,$CU31,O$57),""),1+O$58*2,1),IF(MID(IFERROR(INDEX(醫師週班表!$C$5:$T$44,$CU31,O$57),""),3,1)="隔",IF(O$58=0,LEFT(IFERROR(INDEX(醫師週班表!$C$5:$T$44,$CU31,O$57),""),1),""),IF(MID(IFERROR(INDEX(醫師週班表!$C$5:$T$44,$CU31,O$57),""),2,1)="(",LEFT(IFERROR(INDEX(醫師週班表!$C$5:$T$44,$CU31,O$57),""),1),IFERROR(INDEX(醫師週班表!$C$5:$T$44,$CU31,O$57),"")))))))</f>
        <v/>
      </c>
      <c r="P31" s="68">
        <f>IF(P$59="X","",IF(P$59&lt;&gt;"",P$59,IF(IFERROR(INDEX(醫師週班表!$C$5:$T$44,$CU31,P$57),"")=0,"",IF(MID(IFERROR(INDEX(醫師週班表!$C$5:$T$44,$CU31,P$57),""),2,1)="/",MID(IFERROR(INDEX(醫師週班表!$C$5:$T$44,$CU31,P$57),""),1+P$58*2,1),IF(MID(IFERROR(INDEX(醫師週班表!$C$5:$T$44,$CU31,P$57),""),3,1)="隔",IF(P$58=0,LEFT(IFERROR(INDEX(醫師週班表!$C$5:$T$44,$CU31,P$57),""),1),""),IF(MID(IFERROR(INDEX(醫師週班表!$C$5:$T$44,$CU31,P$57),""),2,1)="(",LEFT(IFERROR(INDEX(醫師週班表!$C$5:$T$44,$CU31,P$57),""),1),IFERROR(INDEX(醫師週班表!$C$5:$T$44,$CU31,P$57),"")))))))</f>
        <v/>
      </c>
      <c r="Q31" s="67">
        <f>IF(Q$59="X","",IF(Q$59&lt;&gt;"",Q$59,IF(IFERROR(INDEX(醫師週班表!$C$5:$T$44,$CU31,Q$57),"")=0,"",IF(MID(IFERROR(INDEX(醫師週班表!$C$5:$T$44,$CU31,Q$57),""),2,1)="/",MID(IFERROR(INDEX(醫師週班表!$C$5:$T$44,$CU31,Q$57),""),1+Q$58*2,1),IF(MID(IFERROR(INDEX(醫師週班表!$C$5:$T$44,$CU31,Q$57),""),3,1)="隔",IF(Q$58=0,LEFT(IFERROR(INDEX(醫師週班表!$C$5:$T$44,$CU31,Q$57),""),1),""),IF(MID(IFERROR(INDEX(醫師週班表!$C$5:$T$44,$CU31,Q$57),""),2,1)="(",LEFT(IFERROR(INDEX(醫師週班表!$C$5:$T$44,$CU31,Q$57),""),1),IFERROR(INDEX(醫師週班表!$C$5:$T$44,$CU31,Q$57),"")))))))</f>
        <v/>
      </c>
      <c r="R31" s="68">
        <f>IF(R$59="X","",IF(R$59&lt;&gt;"",R$59,IF(IFERROR(INDEX(醫師週班表!$C$5:$T$44,$CU31,R$57),"")=0,"",IF(MID(IFERROR(INDEX(醫師週班表!$C$5:$T$44,$CU31,R$57),""),2,1)="/",MID(IFERROR(INDEX(醫師週班表!$C$5:$T$44,$CU31,R$57),""),1+R$58*2,1),IF(MID(IFERROR(INDEX(醫師週班表!$C$5:$T$44,$CU31,R$57),""),3,1)="隔",IF(R$58=0,LEFT(IFERROR(INDEX(醫師週班表!$C$5:$T$44,$CU31,R$57),""),1),""),IF(MID(IFERROR(INDEX(醫師週班表!$C$5:$T$44,$CU31,R$57),""),2,1)="(",LEFT(IFERROR(INDEX(醫師週班表!$C$5:$T$44,$CU31,R$57),""),1),IFERROR(INDEX(醫師週班表!$C$5:$T$44,$CU31,R$57),"")))))))</f>
        <v/>
      </c>
      <c r="S31" s="68">
        <f>IF(S$59="X","",IF(S$59&lt;&gt;"",S$59,IF(IFERROR(INDEX(醫師週班表!$C$5:$T$44,$CU31,S$57),"")=0,"",IF(MID(IFERROR(INDEX(醫師週班表!$C$5:$T$44,$CU31,S$57),""),2,1)="/",MID(IFERROR(INDEX(醫師週班表!$C$5:$T$44,$CU31,S$57),""),1+S$58*2,1),IF(MID(IFERROR(INDEX(醫師週班表!$C$5:$T$44,$CU31,S$57),""),3,1)="隔",IF(S$58=0,LEFT(IFERROR(INDEX(醫師週班表!$C$5:$T$44,$CU31,S$57),""),1),""),IF(MID(IFERROR(INDEX(醫師週班表!$C$5:$T$44,$CU31,S$57),""),2,1)="(",LEFT(IFERROR(INDEX(醫師週班表!$C$5:$T$44,$CU31,S$57),""),1),IFERROR(INDEX(醫師週班表!$C$5:$T$44,$CU31,S$57),"")))))))</f>
        <v/>
      </c>
      <c r="T31" s="67">
        <f>IF(T$59="X","",IF(T$59&lt;&gt;"",T$59,IF(IFERROR(INDEX(醫師週班表!$C$5:$T$44,$CU31,T$57),"")=0,"",IF(MID(IFERROR(INDEX(醫師週班表!$C$5:$T$44,$CU31,T$57),""),2,1)="/",MID(IFERROR(INDEX(醫師週班表!$C$5:$T$44,$CU31,T$57),""),1+T$58*2,1),IF(MID(IFERROR(INDEX(醫師週班表!$C$5:$T$44,$CU31,T$57),""),3,1)="隔",IF(T$58=0,LEFT(IFERROR(INDEX(醫師週班表!$C$5:$T$44,$CU31,T$57),""),1),""),IF(MID(IFERROR(INDEX(醫師週班表!$C$5:$T$44,$CU31,T$57),""),2,1)="(",LEFT(IFERROR(INDEX(醫師週班表!$C$5:$T$44,$CU31,T$57),""),1),IFERROR(INDEX(醫師週班表!$C$5:$T$44,$CU31,T$57),"")))))))</f>
        <v/>
      </c>
      <c r="U31" s="68">
        <f>IF(U$59="X","",IF(U$59&lt;&gt;"",U$59,IF(IFERROR(INDEX(醫師週班表!$C$5:$T$44,$CU31,U$57),"")=0,"",IF(MID(IFERROR(INDEX(醫師週班表!$C$5:$T$44,$CU31,U$57),""),2,1)="/",MID(IFERROR(INDEX(醫師週班表!$C$5:$T$44,$CU31,U$57),""),1+U$58*2,1),IF(MID(IFERROR(INDEX(醫師週班表!$C$5:$T$44,$CU31,U$57),""),3,1)="隔",IF(U$58=0,LEFT(IFERROR(INDEX(醫師週班表!$C$5:$T$44,$CU31,U$57),""),1),""),IF(MID(IFERROR(INDEX(醫師週班表!$C$5:$T$44,$CU31,U$57),""),2,1)="(",LEFT(IFERROR(INDEX(醫師週班表!$C$5:$T$44,$CU31,U$57),""),1),IFERROR(INDEX(醫師週班表!$C$5:$T$44,$CU31,U$57),"")))))))</f>
        <v/>
      </c>
      <c r="V31" s="68">
        <f>IF(V$59="X","",IF(V$59&lt;&gt;"",V$59,IF(IFERROR(INDEX(醫師週班表!$C$5:$T$44,$CU31,V$57),"")=0,"",IF(MID(IFERROR(INDEX(醫師週班表!$C$5:$T$44,$CU31,V$57),""),2,1)="/",MID(IFERROR(INDEX(醫師週班表!$C$5:$T$44,$CU31,V$57),""),1+V$58*2,1),IF(MID(IFERROR(INDEX(醫師週班表!$C$5:$T$44,$CU31,V$57),""),3,1)="隔",IF(V$58=0,LEFT(IFERROR(INDEX(醫師週班表!$C$5:$T$44,$CU31,V$57),""),1),""),IF(MID(IFERROR(INDEX(醫師週班表!$C$5:$T$44,$CU31,V$57),""),2,1)="(",LEFT(IFERROR(INDEX(醫師週班表!$C$5:$T$44,$CU31,V$57),""),1),IFERROR(INDEX(醫師週班表!$C$5:$T$44,$CU31,V$57),"")))))))</f>
        <v/>
      </c>
      <c r="W31" s="67">
        <f>IF(W$59="X","",IF(W$59&lt;&gt;"",W$59,IF(IFERROR(INDEX(醫師週班表!$C$5:$T$44,$CU31,W$57),"")=0,"",IF(MID(IFERROR(INDEX(醫師週班表!$C$5:$T$44,$CU31,W$57),""),2,1)="/",MID(IFERROR(INDEX(醫師週班表!$C$5:$T$44,$CU31,W$57),""),1+W$58*2,1),IF(MID(IFERROR(INDEX(醫師週班表!$C$5:$T$44,$CU31,W$57),""),3,1)="隔",IF(W$58=0,LEFT(IFERROR(INDEX(醫師週班表!$C$5:$T$44,$CU31,W$57),""),1),""),IF(MID(IFERROR(INDEX(醫師週班表!$C$5:$T$44,$CU31,W$57),""),2,1)="(",LEFT(IFERROR(INDEX(醫師週班表!$C$5:$T$44,$CU31,W$57),""),1),IFERROR(INDEX(醫師週班表!$C$5:$T$44,$CU31,W$57),"")))))))</f>
        <v/>
      </c>
      <c r="X31" s="68">
        <f>IF(X$59="X","",IF(X$59&lt;&gt;"",X$59,IF(IFERROR(INDEX(醫師週班表!$C$5:$T$44,$CU31,X$57),"")=0,"",IF(MID(IFERROR(INDEX(醫師週班表!$C$5:$T$44,$CU31,X$57),""),2,1)="/",MID(IFERROR(INDEX(醫師週班表!$C$5:$T$44,$CU31,X$57),""),1+X$58*2,1),IF(MID(IFERROR(INDEX(醫師週班表!$C$5:$T$44,$CU31,X$57),""),3,1)="隔",IF(X$58=0,LEFT(IFERROR(INDEX(醫師週班表!$C$5:$T$44,$CU31,X$57),""),1),""),IF(MID(IFERROR(INDEX(醫師週班表!$C$5:$T$44,$CU31,X$57),""),2,1)="(",LEFT(IFERROR(INDEX(醫師週班表!$C$5:$T$44,$CU31,X$57),""),1),IFERROR(INDEX(醫師週班表!$C$5:$T$44,$CU31,X$57),"")))))))</f>
        <v/>
      </c>
      <c r="Y31" s="68">
        <f>IF(Y$59="X","",IF(Y$59&lt;&gt;"",Y$59,IF(IFERROR(INDEX(醫師週班表!$C$5:$T$44,$CU31,Y$57),"")=0,"",IF(MID(IFERROR(INDEX(醫師週班表!$C$5:$T$44,$CU31,Y$57),""),2,1)="/",MID(IFERROR(INDEX(醫師週班表!$C$5:$T$44,$CU31,Y$57),""),1+Y$58*2,1),IF(MID(IFERROR(INDEX(醫師週班表!$C$5:$T$44,$CU31,Y$57),""),3,1)="隔",IF(Y$58=0,LEFT(IFERROR(INDEX(醫師週班表!$C$5:$T$44,$CU31,Y$57),""),1),""),IF(MID(IFERROR(INDEX(醫師週班表!$C$5:$T$44,$CU31,Y$57),""),2,1)="(",LEFT(IFERROR(INDEX(醫師週班表!$C$5:$T$44,$CU31,Y$57),""),1),IFERROR(INDEX(醫師週班表!$C$5:$T$44,$CU31,Y$57),"")))))))</f>
        <v/>
      </c>
      <c r="Z31" s="67">
        <f>IF(Z$59="X","",IF(Z$59&lt;&gt;"",Z$59,IF(IFERROR(INDEX(醫師週班表!$C$5:$T$44,$CU31,Z$57),"")=0,"",IF(MID(IFERROR(INDEX(醫師週班表!$C$5:$T$44,$CU31,Z$57),""),2,1)="/",MID(IFERROR(INDEX(醫師週班表!$C$5:$T$44,$CU31,Z$57),""),1+Z$58*2,1),IF(MID(IFERROR(INDEX(醫師週班表!$C$5:$T$44,$CU31,Z$57),""),3,1)="隔",IF(Z$58=0,LEFT(IFERROR(INDEX(醫師週班表!$C$5:$T$44,$CU31,Z$57),""),1),""),IF(MID(IFERROR(INDEX(醫師週班表!$C$5:$T$44,$CU31,Z$57),""),2,1)="(",LEFT(IFERROR(INDEX(醫師週班表!$C$5:$T$44,$CU31,Z$57),""),1),IFERROR(INDEX(醫師週班表!$C$5:$T$44,$CU31,Z$57),"")))))))</f>
        <v/>
      </c>
      <c r="AA31" s="68">
        <f>IF(AA$59="X","",IF(AA$59&lt;&gt;"",AA$59,IF(IFERROR(INDEX(醫師週班表!$C$5:$T$44,$CU31,AA$57),"")=0,"",IF(MID(IFERROR(INDEX(醫師週班表!$C$5:$T$44,$CU31,AA$57),""),2,1)="/",MID(IFERROR(INDEX(醫師週班表!$C$5:$T$44,$CU31,AA$57),""),1+AA$58*2,1),IF(MID(IFERROR(INDEX(醫師週班表!$C$5:$T$44,$CU31,AA$57),""),3,1)="隔",IF(AA$58=0,LEFT(IFERROR(INDEX(醫師週班表!$C$5:$T$44,$CU31,AA$57),""),1),""),IF(MID(IFERROR(INDEX(醫師週班表!$C$5:$T$44,$CU31,AA$57),""),2,1)="(",LEFT(IFERROR(INDEX(醫師週班表!$C$5:$T$44,$CU31,AA$57),""),1),IFERROR(INDEX(醫師週班表!$C$5:$T$44,$CU31,AA$57),"")))))))</f>
        <v/>
      </c>
      <c r="AB31" s="68">
        <f>IF(AB$59="X","",IF(AB$59&lt;&gt;"",AB$59,IF(IFERROR(INDEX(醫師週班表!$C$5:$T$44,$CU31,AB$57),"")=0,"",IF(MID(IFERROR(INDEX(醫師週班表!$C$5:$T$44,$CU31,AB$57),""),2,1)="/",MID(IFERROR(INDEX(醫師週班表!$C$5:$T$44,$CU31,AB$57),""),1+AB$58*2,1),IF(MID(IFERROR(INDEX(醫師週班表!$C$5:$T$44,$CU31,AB$57),""),3,1)="隔",IF(AB$58=0,LEFT(IFERROR(INDEX(醫師週班表!$C$5:$T$44,$CU31,AB$57),""),1),""),IF(MID(IFERROR(INDEX(醫師週班表!$C$5:$T$44,$CU31,AB$57),""),2,1)="(",LEFT(IFERROR(INDEX(醫師週班表!$C$5:$T$44,$CU31,AB$57),""),1),IFERROR(INDEX(醫師週班表!$C$5:$T$44,$CU31,AB$57),"")))))))</f>
        <v/>
      </c>
      <c r="AC31" s="67">
        <f>IF(AC$59="X","",IF(AC$59&lt;&gt;"",AC$59,IF(IFERROR(INDEX(醫師週班表!$C$5:$T$44,$CU31,AC$57),"")=0,"",IF(MID(IFERROR(INDEX(醫師週班表!$C$5:$T$44,$CU31,AC$57),""),2,1)="/",MID(IFERROR(INDEX(醫師週班表!$C$5:$T$44,$CU31,AC$57),""),1+AC$58*2,1),IF(MID(IFERROR(INDEX(醫師週班表!$C$5:$T$44,$CU31,AC$57),""),3,1)="隔",IF(AC$58=0,LEFT(IFERROR(INDEX(醫師週班表!$C$5:$T$44,$CU31,AC$57),""),1),""),IF(MID(IFERROR(INDEX(醫師週班表!$C$5:$T$44,$CU31,AC$57),""),2,1)="(",LEFT(IFERROR(INDEX(醫師週班表!$C$5:$T$44,$CU31,AC$57),""),1),IFERROR(INDEX(醫師週班表!$C$5:$T$44,$CU31,AC$57),"")))))))</f>
        <v/>
      </c>
      <c r="AD31" s="68">
        <f>IF(AD$59="X","",IF(AD$59&lt;&gt;"",AD$59,IF(IFERROR(INDEX(醫師週班表!$C$5:$T$44,$CU31,AD$57),"")=0,"",IF(MID(IFERROR(INDEX(醫師週班表!$C$5:$T$44,$CU31,AD$57),""),2,1)="/",MID(IFERROR(INDEX(醫師週班表!$C$5:$T$44,$CU31,AD$57),""),1+AD$58*2,1),IF(MID(IFERROR(INDEX(醫師週班表!$C$5:$T$44,$CU31,AD$57),""),3,1)="隔",IF(AD$58=0,LEFT(IFERROR(INDEX(醫師週班表!$C$5:$T$44,$CU31,AD$57),""),1),""),IF(MID(IFERROR(INDEX(醫師週班表!$C$5:$T$44,$CU31,AD$57),""),2,1)="(",LEFT(IFERROR(INDEX(醫師週班表!$C$5:$T$44,$CU31,AD$57),""),1),IFERROR(INDEX(醫師週班表!$C$5:$T$44,$CU31,AD$57),"")))))))</f>
        <v/>
      </c>
      <c r="AE31" s="68">
        <f>IF(AE$59="X","",IF(AE$59&lt;&gt;"",AE$59,IF(IFERROR(INDEX(醫師週班表!$C$5:$T$44,$CU31,AE$57),"")=0,"",IF(MID(IFERROR(INDEX(醫師週班表!$C$5:$T$44,$CU31,AE$57),""),2,1)="/",MID(IFERROR(INDEX(醫師週班表!$C$5:$T$44,$CU31,AE$57),""),1+AE$58*2,1),IF(MID(IFERROR(INDEX(醫師週班表!$C$5:$T$44,$CU31,AE$57),""),3,1)="隔",IF(AE$58=0,LEFT(IFERROR(INDEX(醫師週班表!$C$5:$T$44,$CU31,AE$57),""),1),""),IF(MID(IFERROR(INDEX(醫師週班表!$C$5:$T$44,$CU31,AE$57),""),2,1)="(",LEFT(IFERROR(INDEX(醫師週班表!$C$5:$T$44,$CU31,AE$57),""),1),IFERROR(INDEX(醫師週班表!$C$5:$T$44,$CU31,AE$57),"")))))))</f>
        <v/>
      </c>
      <c r="AF31" s="67">
        <f>IF(AF$59="X","",IF(AF$59&lt;&gt;"",AF$59,IF(IFERROR(INDEX(醫師週班表!$C$5:$T$44,$CU31,AF$57),"")=0,"",IF(MID(IFERROR(INDEX(醫師週班表!$C$5:$T$44,$CU31,AF$57),""),2,1)="/",MID(IFERROR(INDEX(醫師週班表!$C$5:$T$44,$CU31,AF$57),""),1+AF$58*2,1),IF(MID(IFERROR(INDEX(醫師週班表!$C$5:$T$44,$CU31,AF$57),""),3,1)="隔",IF(AF$58=0,LEFT(IFERROR(INDEX(醫師週班表!$C$5:$T$44,$CU31,AF$57),""),1),""),IF(MID(IFERROR(INDEX(醫師週班表!$C$5:$T$44,$CU31,AF$57),""),2,1)="(",LEFT(IFERROR(INDEX(醫師週班表!$C$5:$T$44,$CU31,AF$57),""),1),IFERROR(INDEX(醫師週班表!$C$5:$T$44,$CU31,AF$57),"")))))))</f>
        <v/>
      </c>
      <c r="AG31" s="68">
        <f>IF(AG$59="X","",IF(AG$59&lt;&gt;"",AG$59,IF(IFERROR(INDEX(醫師週班表!$C$5:$T$44,$CU31,AG$57),"")=0,"",IF(MID(IFERROR(INDEX(醫師週班表!$C$5:$T$44,$CU31,AG$57),""),2,1)="/",MID(IFERROR(INDEX(醫師週班表!$C$5:$T$44,$CU31,AG$57),""),1+AG$58*2,1),IF(MID(IFERROR(INDEX(醫師週班表!$C$5:$T$44,$CU31,AG$57),""),3,1)="隔",IF(AG$58=0,LEFT(IFERROR(INDEX(醫師週班表!$C$5:$T$44,$CU31,AG$57),""),1),""),IF(MID(IFERROR(INDEX(醫師週班表!$C$5:$T$44,$CU31,AG$57),""),2,1)="(",LEFT(IFERROR(INDEX(醫師週班表!$C$5:$T$44,$CU31,AG$57),""),1),IFERROR(INDEX(醫師週班表!$C$5:$T$44,$CU31,AG$57),"")))))))</f>
        <v/>
      </c>
      <c r="AH31" s="68">
        <f>IF(AH$59="X","",IF(AH$59&lt;&gt;"",AH$59,IF(IFERROR(INDEX(醫師週班表!$C$5:$T$44,$CU31,AH$57),"")=0,"",IF(MID(IFERROR(INDEX(醫師週班表!$C$5:$T$44,$CU31,AH$57),""),2,1)="/",MID(IFERROR(INDEX(醫師週班表!$C$5:$T$44,$CU31,AH$57),""),1+AH$58*2,1),IF(MID(IFERROR(INDEX(醫師週班表!$C$5:$T$44,$CU31,AH$57),""),3,1)="隔",IF(AH$58=0,LEFT(IFERROR(INDEX(醫師週班表!$C$5:$T$44,$CU31,AH$57),""),1),""),IF(MID(IFERROR(INDEX(醫師週班表!$C$5:$T$44,$CU31,AH$57),""),2,1)="(",LEFT(IFERROR(INDEX(醫師週班表!$C$5:$T$44,$CU31,AH$57),""),1),IFERROR(INDEX(醫師週班表!$C$5:$T$44,$CU31,AH$57),"")))))))</f>
        <v/>
      </c>
      <c r="AI31" s="67">
        <f>IF(AI$59="X","",IF(AI$59&lt;&gt;"",AI$59,IF(IFERROR(INDEX(醫師週班表!$C$5:$T$44,$CU31,AI$57),"")=0,"",IF(MID(IFERROR(INDEX(醫師週班表!$C$5:$T$44,$CU31,AI$57),""),2,1)="/",MID(IFERROR(INDEX(醫師週班表!$C$5:$T$44,$CU31,AI$57),""),1+AI$58*2,1),IF(MID(IFERROR(INDEX(醫師週班表!$C$5:$T$44,$CU31,AI$57),""),3,1)="隔",IF(AI$58=0,LEFT(IFERROR(INDEX(醫師週班表!$C$5:$T$44,$CU31,AI$57),""),1),""),IF(MID(IFERROR(INDEX(醫師週班表!$C$5:$T$44,$CU31,AI$57),""),2,1)="(",LEFT(IFERROR(INDEX(醫師週班表!$C$5:$T$44,$CU31,AI$57),""),1),IFERROR(INDEX(醫師週班表!$C$5:$T$44,$CU31,AI$57),"")))))))</f>
        <v/>
      </c>
      <c r="AJ31" s="68">
        <f>IF(AJ$59="X","",IF(AJ$59&lt;&gt;"",AJ$59,IF(IFERROR(INDEX(醫師週班表!$C$5:$T$44,$CU31,AJ$57),"")=0,"",IF(MID(IFERROR(INDEX(醫師週班表!$C$5:$T$44,$CU31,AJ$57),""),2,1)="/",MID(IFERROR(INDEX(醫師週班表!$C$5:$T$44,$CU31,AJ$57),""),1+AJ$58*2,1),IF(MID(IFERROR(INDEX(醫師週班表!$C$5:$T$44,$CU31,AJ$57),""),3,1)="隔",IF(AJ$58=0,LEFT(IFERROR(INDEX(醫師週班表!$C$5:$T$44,$CU31,AJ$57),""),1),""),IF(MID(IFERROR(INDEX(醫師週班表!$C$5:$T$44,$CU31,AJ$57),""),2,1)="(",LEFT(IFERROR(INDEX(醫師週班表!$C$5:$T$44,$CU31,AJ$57),""),1),IFERROR(INDEX(醫師週班表!$C$5:$T$44,$CU31,AJ$57),"")))))))</f>
        <v/>
      </c>
      <c r="AK31" s="68">
        <f>IF(AK$59="X","",IF(AK$59&lt;&gt;"",AK$59,IF(IFERROR(INDEX(醫師週班表!$C$5:$T$44,$CU31,AK$57),"")=0,"",IF(MID(IFERROR(INDEX(醫師週班表!$C$5:$T$44,$CU31,AK$57),""),2,1)="/",MID(IFERROR(INDEX(醫師週班表!$C$5:$T$44,$CU31,AK$57),""),1+AK$58*2,1),IF(MID(IFERROR(INDEX(醫師週班表!$C$5:$T$44,$CU31,AK$57),""),3,1)="隔",IF(AK$58=0,LEFT(IFERROR(INDEX(醫師週班表!$C$5:$T$44,$CU31,AK$57),""),1),""),IF(MID(IFERROR(INDEX(醫師週班表!$C$5:$T$44,$CU31,AK$57),""),2,1)="(",LEFT(IFERROR(INDEX(醫師週班表!$C$5:$T$44,$CU31,AK$57),""),1),IFERROR(INDEX(醫師週班表!$C$5:$T$44,$CU31,AK$57),"")))))))</f>
        <v/>
      </c>
      <c r="AL31" s="67">
        <f>IF(AL$59="X","",IF(AL$59&lt;&gt;"",AL$59,IF(IFERROR(INDEX(醫師週班表!$C$5:$T$44,$CU31,AL$57),"")=0,"",IF(MID(IFERROR(INDEX(醫師週班表!$C$5:$T$44,$CU31,AL$57),""),2,1)="/",MID(IFERROR(INDEX(醫師週班表!$C$5:$T$44,$CU31,AL$57),""),1+AL$58*2,1),IF(MID(IFERROR(INDEX(醫師週班表!$C$5:$T$44,$CU31,AL$57),""),3,1)="隔",IF(AL$58=0,LEFT(IFERROR(INDEX(醫師週班表!$C$5:$T$44,$CU31,AL$57),""),1),""),IF(MID(IFERROR(INDEX(醫師週班表!$C$5:$T$44,$CU31,AL$57),""),2,1)="(",LEFT(IFERROR(INDEX(醫師週班表!$C$5:$T$44,$CU31,AL$57),""),1),IFERROR(INDEX(醫師週班表!$C$5:$T$44,$CU31,AL$57),"")))))))</f>
        <v/>
      </c>
      <c r="AM31" s="68">
        <f>IF(AM$59="X","",IF(AM$59&lt;&gt;"",AM$59,IF(IFERROR(INDEX(醫師週班表!$C$5:$T$44,$CU31,AM$57),"")=0,"",IF(MID(IFERROR(INDEX(醫師週班表!$C$5:$T$44,$CU31,AM$57),""),2,1)="/",MID(IFERROR(INDEX(醫師週班表!$C$5:$T$44,$CU31,AM$57),""),1+AM$58*2,1),IF(MID(IFERROR(INDEX(醫師週班表!$C$5:$T$44,$CU31,AM$57),""),3,1)="隔",IF(AM$58=0,LEFT(IFERROR(INDEX(醫師週班表!$C$5:$T$44,$CU31,AM$57),""),1),""),IF(MID(IFERROR(INDEX(醫師週班表!$C$5:$T$44,$CU31,AM$57),""),2,1)="(",LEFT(IFERROR(INDEX(醫師週班表!$C$5:$T$44,$CU31,AM$57),""),1),IFERROR(INDEX(醫師週班表!$C$5:$T$44,$CU31,AM$57),"")))))))</f>
        <v/>
      </c>
      <c r="AN31" s="68">
        <f>IF(AN$59="X","",IF(AN$59&lt;&gt;"",AN$59,IF(IFERROR(INDEX(醫師週班表!$C$5:$T$44,$CU31,AN$57),"")=0,"",IF(MID(IFERROR(INDEX(醫師週班表!$C$5:$T$44,$CU31,AN$57),""),2,1)="/",MID(IFERROR(INDEX(醫師週班表!$C$5:$T$44,$CU31,AN$57),""),1+AN$58*2,1),IF(MID(IFERROR(INDEX(醫師週班表!$C$5:$T$44,$CU31,AN$57),""),3,1)="隔",IF(AN$58=0,LEFT(IFERROR(INDEX(醫師週班表!$C$5:$T$44,$CU31,AN$57),""),1),""),IF(MID(IFERROR(INDEX(醫師週班表!$C$5:$T$44,$CU31,AN$57),""),2,1)="(",LEFT(IFERROR(INDEX(醫師週班表!$C$5:$T$44,$CU31,AN$57),""),1),IFERROR(INDEX(醫師週班表!$C$5:$T$44,$CU31,AN$57),"")))))))</f>
        <v/>
      </c>
      <c r="AO31" s="67">
        <f>IF(AO$59="X","",IF(AO$59&lt;&gt;"",AO$59,IF(IFERROR(INDEX(醫師週班表!$C$5:$T$44,$CU31,AO$57),"")=0,"",IF(MID(IFERROR(INDEX(醫師週班表!$C$5:$T$44,$CU31,AO$57),""),2,1)="/",MID(IFERROR(INDEX(醫師週班表!$C$5:$T$44,$CU31,AO$57),""),1+AO$58*2,1),IF(MID(IFERROR(INDEX(醫師週班表!$C$5:$T$44,$CU31,AO$57),""),3,1)="隔",IF(AO$58=0,LEFT(IFERROR(INDEX(醫師週班表!$C$5:$T$44,$CU31,AO$57),""),1),""),IF(MID(IFERROR(INDEX(醫師週班表!$C$5:$T$44,$CU31,AO$57),""),2,1)="(",LEFT(IFERROR(INDEX(醫師週班表!$C$5:$T$44,$CU31,AO$57),""),1),IFERROR(INDEX(醫師週班表!$C$5:$T$44,$CU31,AO$57),"")))))))</f>
        <v/>
      </c>
      <c r="AP31" s="68">
        <f>IF(AP$59="X","",IF(AP$59&lt;&gt;"",AP$59,IF(IFERROR(INDEX(醫師週班表!$C$5:$T$44,$CU31,AP$57),"")=0,"",IF(MID(IFERROR(INDEX(醫師週班表!$C$5:$T$44,$CU31,AP$57),""),2,1)="/",MID(IFERROR(INDEX(醫師週班表!$C$5:$T$44,$CU31,AP$57),""),1+AP$58*2,1),IF(MID(IFERROR(INDEX(醫師週班表!$C$5:$T$44,$CU31,AP$57),""),3,1)="隔",IF(AP$58=0,LEFT(IFERROR(INDEX(醫師週班表!$C$5:$T$44,$CU31,AP$57),""),1),""),IF(MID(IFERROR(INDEX(醫師週班表!$C$5:$T$44,$CU31,AP$57),""),2,1)="(",LEFT(IFERROR(INDEX(醫師週班表!$C$5:$T$44,$CU31,AP$57),""),1),IFERROR(INDEX(醫師週班表!$C$5:$T$44,$CU31,AP$57),"")))))))</f>
        <v/>
      </c>
      <c r="AQ31" s="68">
        <f>IF(AQ$59="X","",IF(AQ$59&lt;&gt;"",AQ$59,IF(IFERROR(INDEX(醫師週班表!$C$5:$T$44,$CU31,AQ$57),"")=0,"",IF(MID(IFERROR(INDEX(醫師週班表!$C$5:$T$44,$CU31,AQ$57),""),2,1)="/",MID(IFERROR(INDEX(醫師週班表!$C$5:$T$44,$CU31,AQ$57),""),1+AQ$58*2,1),IF(MID(IFERROR(INDEX(醫師週班表!$C$5:$T$44,$CU31,AQ$57),""),3,1)="隔",IF(AQ$58=0,LEFT(IFERROR(INDEX(醫師週班表!$C$5:$T$44,$CU31,AQ$57),""),1),""),IF(MID(IFERROR(INDEX(醫師週班表!$C$5:$T$44,$CU31,AQ$57),""),2,1)="(",LEFT(IFERROR(INDEX(醫師週班表!$C$5:$T$44,$CU31,AQ$57),""),1),IFERROR(INDEX(醫師週班表!$C$5:$T$44,$CU31,AQ$57),"")))))))</f>
        <v/>
      </c>
      <c r="AR31" s="67">
        <f>IF(AR$59="X","",IF(AR$59&lt;&gt;"",AR$59,IF(IFERROR(INDEX(醫師週班表!$C$5:$T$44,$CU31,AR$57),"")=0,"",IF(MID(IFERROR(INDEX(醫師週班表!$C$5:$T$44,$CU31,AR$57),""),2,1)="/",MID(IFERROR(INDEX(醫師週班表!$C$5:$T$44,$CU31,AR$57),""),1+AR$58*2,1),IF(MID(IFERROR(INDEX(醫師週班表!$C$5:$T$44,$CU31,AR$57),""),3,1)="隔",IF(AR$58=0,LEFT(IFERROR(INDEX(醫師週班表!$C$5:$T$44,$CU31,AR$57),""),1),""),IF(MID(IFERROR(INDEX(醫師週班表!$C$5:$T$44,$CU31,AR$57),""),2,1)="(",LEFT(IFERROR(INDEX(醫師週班表!$C$5:$T$44,$CU31,AR$57),""),1),IFERROR(INDEX(醫師週班表!$C$5:$T$44,$CU31,AR$57),"")))))))</f>
        <v/>
      </c>
      <c r="AS31" s="68">
        <f>IF(AS$59="X","",IF(AS$59&lt;&gt;"",AS$59,IF(IFERROR(INDEX(醫師週班表!$C$5:$T$44,$CU31,AS$57),"")=0,"",IF(MID(IFERROR(INDEX(醫師週班表!$C$5:$T$44,$CU31,AS$57),""),2,1)="/",MID(IFERROR(INDEX(醫師週班表!$C$5:$T$44,$CU31,AS$57),""),1+AS$58*2,1),IF(MID(IFERROR(INDEX(醫師週班表!$C$5:$T$44,$CU31,AS$57),""),3,1)="隔",IF(AS$58=0,LEFT(IFERROR(INDEX(醫師週班表!$C$5:$T$44,$CU31,AS$57),""),1),""),IF(MID(IFERROR(INDEX(醫師週班表!$C$5:$T$44,$CU31,AS$57),""),2,1)="(",LEFT(IFERROR(INDEX(醫師週班表!$C$5:$T$44,$CU31,AS$57),""),1),IFERROR(INDEX(醫師週班表!$C$5:$T$44,$CU31,AS$57),"")))))))</f>
        <v/>
      </c>
      <c r="AT31" s="68">
        <f>IF(AT$59="X","",IF(AT$59&lt;&gt;"",AT$59,IF(IFERROR(INDEX(醫師週班表!$C$5:$T$44,$CU31,AT$57),"")=0,"",IF(MID(IFERROR(INDEX(醫師週班表!$C$5:$T$44,$CU31,AT$57),""),2,1)="/",MID(IFERROR(INDEX(醫師週班表!$C$5:$T$44,$CU31,AT$57),""),1+AT$58*2,1),IF(MID(IFERROR(INDEX(醫師週班表!$C$5:$T$44,$CU31,AT$57),""),3,1)="隔",IF(AT$58=0,LEFT(IFERROR(INDEX(醫師週班表!$C$5:$T$44,$CU31,AT$57),""),1),""),IF(MID(IFERROR(INDEX(醫師週班表!$C$5:$T$44,$CU31,AT$57),""),2,1)="(",LEFT(IFERROR(INDEX(醫師週班表!$C$5:$T$44,$CU31,AT$57),""),1),IFERROR(INDEX(醫師週班表!$C$5:$T$44,$CU31,AT$57),"")))))))</f>
        <v/>
      </c>
      <c r="AU31" s="67">
        <f>IF(AU$59="X","",IF(AU$59&lt;&gt;"",AU$59,IF(IFERROR(INDEX(醫師週班表!$C$5:$T$44,$CU31,AU$57),"")=0,"",IF(MID(IFERROR(INDEX(醫師週班表!$C$5:$T$44,$CU31,AU$57),""),2,1)="/",MID(IFERROR(INDEX(醫師週班表!$C$5:$T$44,$CU31,AU$57),""),1+AU$58*2,1),IF(MID(IFERROR(INDEX(醫師週班表!$C$5:$T$44,$CU31,AU$57),""),3,1)="隔",IF(AU$58=0,LEFT(IFERROR(INDEX(醫師週班表!$C$5:$T$44,$CU31,AU$57),""),1),""),IF(MID(IFERROR(INDEX(醫師週班表!$C$5:$T$44,$CU31,AU$57),""),2,1)="(",LEFT(IFERROR(INDEX(醫師週班表!$C$5:$T$44,$CU31,AU$57),""),1),IFERROR(INDEX(醫師週班表!$C$5:$T$44,$CU31,AU$57),"")))))))</f>
        <v/>
      </c>
      <c r="AV31" s="68">
        <f>IF(AV$59="X","",IF(AV$59&lt;&gt;"",AV$59,IF(IFERROR(INDEX(醫師週班表!$C$5:$T$44,$CU31,AV$57),"")=0,"",IF(MID(IFERROR(INDEX(醫師週班表!$C$5:$T$44,$CU31,AV$57),""),2,1)="/",MID(IFERROR(INDEX(醫師週班表!$C$5:$T$44,$CU31,AV$57),""),1+AV$58*2,1),IF(MID(IFERROR(INDEX(醫師週班表!$C$5:$T$44,$CU31,AV$57),""),3,1)="隔",IF(AV$58=0,LEFT(IFERROR(INDEX(醫師週班表!$C$5:$T$44,$CU31,AV$57),""),1),""),IF(MID(IFERROR(INDEX(醫師週班表!$C$5:$T$44,$CU31,AV$57),""),2,1)="(",LEFT(IFERROR(INDEX(醫師週班表!$C$5:$T$44,$CU31,AV$57),""),1),IFERROR(INDEX(醫師週班表!$C$5:$T$44,$CU31,AV$57),"")))))))</f>
        <v/>
      </c>
      <c r="AW31" s="68">
        <f>IF(AW$59="X","",IF(AW$59&lt;&gt;"",AW$59,IF(IFERROR(INDEX(醫師週班表!$C$5:$T$44,$CU31,AW$57),"")=0,"",IF(MID(IFERROR(INDEX(醫師週班表!$C$5:$T$44,$CU31,AW$57),""),2,1)="/",MID(IFERROR(INDEX(醫師週班表!$C$5:$T$44,$CU31,AW$57),""),1+AW$58*2,1),IF(MID(IFERROR(INDEX(醫師週班表!$C$5:$T$44,$CU31,AW$57),""),3,1)="隔",IF(AW$58=0,LEFT(IFERROR(INDEX(醫師週班表!$C$5:$T$44,$CU31,AW$57),""),1),""),IF(MID(IFERROR(INDEX(醫師週班表!$C$5:$T$44,$CU31,AW$57),""),2,1)="(",LEFT(IFERROR(INDEX(醫師週班表!$C$5:$T$44,$CU31,AW$57),""),1),IFERROR(INDEX(醫師週班表!$C$5:$T$44,$CU31,AW$57),"")))))))</f>
        <v/>
      </c>
      <c r="AX31" s="67">
        <f>IF(AX$59="X","",IF(AX$59&lt;&gt;"",AX$59,IF(IFERROR(INDEX(醫師週班表!$C$5:$T$44,$CU31,AX$57),"")=0,"",IF(MID(IFERROR(INDEX(醫師週班表!$C$5:$T$44,$CU31,AX$57),""),2,1)="/",MID(IFERROR(INDEX(醫師週班表!$C$5:$T$44,$CU31,AX$57),""),1+AX$58*2,1),IF(MID(IFERROR(INDEX(醫師週班表!$C$5:$T$44,$CU31,AX$57),""),3,1)="隔",IF(AX$58=0,LEFT(IFERROR(INDEX(醫師週班表!$C$5:$T$44,$CU31,AX$57),""),1),""),IF(MID(IFERROR(INDEX(醫師週班表!$C$5:$T$44,$CU31,AX$57),""),2,1)="(",LEFT(IFERROR(INDEX(醫師週班表!$C$5:$T$44,$CU31,AX$57),""),1),IFERROR(INDEX(醫師週班表!$C$5:$T$44,$CU31,AX$57),"")))))))</f>
        <v/>
      </c>
      <c r="AY31" s="68">
        <f>IF(AY$59="X","",IF(AY$59&lt;&gt;"",AY$59,IF(IFERROR(INDEX(醫師週班表!$C$5:$T$44,$CU31,AY$57),"")=0,"",IF(MID(IFERROR(INDEX(醫師週班表!$C$5:$T$44,$CU31,AY$57),""),2,1)="/",MID(IFERROR(INDEX(醫師週班表!$C$5:$T$44,$CU31,AY$57),""),1+AY$58*2,1),IF(MID(IFERROR(INDEX(醫師週班表!$C$5:$T$44,$CU31,AY$57),""),3,1)="隔",IF(AY$58=0,LEFT(IFERROR(INDEX(醫師週班表!$C$5:$T$44,$CU31,AY$57),""),1),""),IF(MID(IFERROR(INDEX(醫師週班表!$C$5:$T$44,$CU31,AY$57),""),2,1)="(",LEFT(IFERROR(INDEX(醫師週班表!$C$5:$T$44,$CU31,AY$57),""),1),IFERROR(INDEX(醫師週班表!$C$5:$T$44,$CU31,AY$57),"")))))))</f>
        <v/>
      </c>
      <c r="AZ31" s="68">
        <f>IF(AZ$59="X","",IF(AZ$59&lt;&gt;"",AZ$59,IF(IFERROR(INDEX(醫師週班表!$C$5:$T$44,$CU31,AZ$57),"")=0,"",IF(MID(IFERROR(INDEX(醫師週班表!$C$5:$T$44,$CU31,AZ$57),""),2,1)="/",MID(IFERROR(INDEX(醫師週班表!$C$5:$T$44,$CU31,AZ$57),""),1+AZ$58*2,1),IF(MID(IFERROR(INDEX(醫師週班表!$C$5:$T$44,$CU31,AZ$57),""),3,1)="隔",IF(AZ$58=0,LEFT(IFERROR(INDEX(醫師週班表!$C$5:$T$44,$CU31,AZ$57),""),1),""),IF(MID(IFERROR(INDEX(醫師週班表!$C$5:$T$44,$CU31,AZ$57),""),2,1)="(",LEFT(IFERROR(INDEX(醫師週班表!$C$5:$T$44,$CU31,AZ$57),""),1),IFERROR(INDEX(醫師週班表!$C$5:$T$44,$CU31,AZ$57),"")))))))</f>
        <v/>
      </c>
      <c r="BA31" s="67">
        <f>IF(BA$59="X","",IF(BA$59&lt;&gt;"",BA$59,IF(IFERROR(INDEX(醫師週班表!$C$5:$T$44,$CU31,BA$57),"")=0,"",IF(MID(IFERROR(INDEX(醫師週班表!$C$5:$T$44,$CU31,BA$57),""),2,1)="/",MID(IFERROR(INDEX(醫師週班表!$C$5:$T$44,$CU31,BA$57),""),1+BA$58*2,1),IF(MID(IFERROR(INDEX(醫師週班表!$C$5:$T$44,$CU31,BA$57),""),3,1)="隔",IF(BA$58=0,LEFT(IFERROR(INDEX(醫師週班表!$C$5:$T$44,$CU31,BA$57),""),1),""),IF(MID(IFERROR(INDEX(醫師週班表!$C$5:$T$44,$CU31,BA$57),""),2,1)="(",LEFT(IFERROR(INDEX(醫師週班表!$C$5:$T$44,$CU31,BA$57),""),1),IFERROR(INDEX(醫師週班表!$C$5:$T$44,$CU31,BA$57),"")))))))</f>
        <v/>
      </c>
      <c r="BB31" s="68">
        <f>IF(BB$59="X","",IF(BB$59&lt;&gt;"",BB$59,IF(IFERROR(INDEX(醫師週班表!$C$5:$T$44,$CU31,BB$57),"")=0,"",IF(MID(IFERROR(INDEX(醫師週班表!$C$5:$T$44,$CU31,BB$57),""),2,1)="/",MID(IFERROR(INDEX(醫師週班表!$C$5:$T$44,$CU31,BB$57),""),1+BB$58*2,1),IF(MID(IFERROR(INDEX(醫師週班表!$C$5:$T$44,$CU31,BB$57),""),3,1)="隔",IF(BB$58=0,LEFT(IFERROR(INDEX(醫師週班表!$C$5:$T$44,$CU31,BB$57),""),1),""),IF(MID(IFERROR(INDEX(醫師週班表!$C$5:$T$44,$CU31,BB$57),""),2,1)="(",LEFT(IFERROR(INDEX(醫師週班表!$C$5:$T$44,$CU31,BB$57),""),1),IFERROR(INDEX(醫師週班表!$C$5:$T$44,$CU31,BB$57),"")))))))</f>
        <v/>
      </c>
      <c r="BC31" s="68">
        <f>IF(BC$59="X","",IF(BC$59&lt;&gt;"",BC$59,IF(IFERROR(INDEX(醫師週班表!$C$5:$T$44,$CU31,BC$57),"")=0,"",IF(MID(IFERROR(INDEX(醫師週班表!$C$5:$T$44,$CU31,BC$57),""),2,1)="/",MID(IFERROR(INDEX(醫師週班表!$C$5:$T$44,$CU31,BC$57),""),1+BC$58*2,1),IF(MID(IFERROR(INDEX(醫師週班表!$C$5:$T$44,$CU31,BC$57),""),3,1)="隔",IF(BC$58=0,LEFT(IFERROR(INDEX(醫師週班表!$C$5:$T$44,$CU31,BC$57),""),1),""),IF(MID(IFERROR(INDEX(醫師週班表!$C$5:$T$44,$CU31,BC$57),""),2,1)="(",LEFT(IFERROR(INDEX(醫師週班表!$C$5:$T$44,$CU31,BC$57),""),1),IFERROR(INDEX(醫師週班表!$C$5:$T$44,$CU31,BC$57),"")))))))</f>
        <v/>
      </c>
      <c r="BD31" s="67">
        <f>IF(BD$59="X","",IF(BD$59&lt;&gt;"",BD$59,IF(IFERROR(INDEX(醫師週班表!$C$5:$T$44,$CU31,BD$57),"")=0,"",IF(MID(IFERROR(INDEX(醫師週班表!$C$5:$T$44,$CU31,BD$57),""),2,1)="/",MID(IFERROR(INDEX(醫師週班表!$C$5:$T$44,$CU31,BD$57),""),1+BD$58*2,1),IF(MID(IFERROR(INDEX(醫師週班表!$C$5:$T$44,$CU31,BD$57),""),3,1)="隔",IF(BD$58=0,LEFT(IFERROR(INDEX(醫師週班表!$C$5:$T$44,$CU31,BD$57),""),1),""),IF(MID(IFERROR(INDEX(醫師週班表!$C$5:$T$44,$CU31,BD$57),""),2,1)="(",LEFT(IFERROR(INDEX(醫師週班表!$C$5:$T$44,$CU31,BD$57),""),1),IFERROR(INDEX(醫師週班表!$C$5:$T$44,$CU31,BD$57),"")))))))</f>
        <v/>
      </c>
      <c r="BE31" s="68">
        <f>IF(BE$59="X","",IF(BE$59&lt;&gt;"",BE$59,IF(IFERROR(INDEX(醫師週班表!$C$5:$T$44,$CU31,BE$57),"")=0,"",IF(MID(IFERROR(INDEX(醫師週班表!$C$5:$T$44,$CU31,BE$57),""),2,1)="/",MID(IFERROR(INDEX(醫師週班表!$C$5:$T$44,$CU31,BE$57),""),1+BE$58*2,1),IF(MID(IFERROR(INDEX(醫師週班表!$C$5:$T$44,$CU31,BE$57),""),3,1)="隔",IF(BE$58=0,LEFT(IFERROR(INDEX(醫師週班表!$C$5:$T$44,$CU31,BE$57),""),1),""),IF(MID(IFERROR(INDEX(醫師週班表!$C$5:$T$44,$CU31,BE$57),""),2,1)="(",LEFT(IFERROR(INDEX(醫師週班表!$C$5:$T$44,$CU31,BE$57),""),1),IFERROR(INDEX(醫師週班表!$C$5:$T$44,$CU31,BE$57),"")))))))</f>
        <v/>
      </c>
      <c r="BF31" s="68">
        <f>IF(BF$59="X","",IF(BF$59&lt;&gt;"",BF$59,IF(IFERROR(INDEX(醫師週班表!$C$5:$T$44,$CU31,BF$57),"")=0,"",IF(MID(IFERROR(INDEX(醫師週班表!$C$5:$T$44,$CU31,BF$57),""),2,1)="/",MID(IFERROR(INDEX(醫師週班表!$C$5:$T$44,$CU31,BF$57),""),1+BF$58*2,1),IF(MID(IFERROR(INDEX(醫師週班表!$C$5:$T$44,$CU31,BF$57),""),3,1)="隔",IF(BF$58=0,LEFT(IFERROR(INDEX(醫師週班表!$C$5:$T$44,$CU31,BF$57),""),1),""),IF(MID(IFERROR(INDEX(醫師週班表!$C$5:$T$44,$CU31,BF$57),""),2,1)="(",LEFT(IFERROR(INDEX(醫師週班表!$C$5:$T$44,$CU31,BF$57),""),1),IFERROR(INDEX(醫師週班表!$C$5:$T$44,$CU31,BF$57),"")))))))</f>
        <v/>
      </c>
      <c r="BG31" s="67">
        <f>IF(BG$59="X","",IF(BG$59&lt;&gt;"",BG$59,IF(IFERROR(INDEX(醫師週班表!$C$5:$T$44,$CU31,BG$57),"")=0,"",IF(MID(IFERROR(INDEX(醫師週班表!$C$5:$T$44,$CU31,BG$57),""),2,1)="/",MID(IFERROR(INDEX(醫師週班表!$C$5:$T$44,$CU31,BG$57),""),1+BG$58*2,1),IF(MID(IFERROR(INDEX(醫師週班表!$C$5:$T$44,$CU31,BG$57),""),3,1)="隔",IF(BG$58=0,LEFT(IFERROR(INDEX(醫師週班表!$C$5:$T$44,$CU31,BG$57),""),1),""),IF(MID(IFERROR(INDEX(醫師週班表!$C$5:$T$44,$CU31,BG$57),""),2,1)="(",LEFT(IFERROR(INDEX(醫師週班表!$C$5:$T$44,$CU31,BG$57),""),1),IFERROR(INDEX(醫師週班表!$C$5:$T$44,$CU31,BG$57),"")))))))</f>
        <v/>
      </c>
      <c r="BH31" s="68">
        <f>IF(BH$59="X","",IF(BH$59&lt;&gt;"",BH$59,IF(IFERROR(INDEX(醫師週班表!$C$5:$T$44,$CU31,BH$57),"")=0,"",IF(MID(IFERROR(INDEX(醫師週班表!$C$5:$T$44,$CU31,BH$57),""),2,1)="/",MID(IFERROR(INDEX(醫師週班表!$C$5:$T$44,$CU31,BH$57),""),1+BH$58*2,1),IF(MID(IFERROR(INDEX(醫師週班表!$C$5:$T$44,$CU31,BH$57),""),3,1)="隔",IF(BH$58=0,LEFT(IFERROR(INDEX(醫師週班表!$C$5:$T$44,$CU31,BH$57),""),1),""),IF(MID(IFERROR(INDEX(醫師週班表!$C$5:$T$44,$CU31,BH$57),""),2,1)="(",LEFT(IFERROR(INDEX(醫師週班表!$C$5:$T$44,$CU31,BH$57),""),1),IFERROR(INDEX(醫師週班表!$C$5:$T$44,$CU31,BH$57),"")))))))</f>
        <v/>
      </c>
      <c r="BI31" s="68">
        <f>IF(BI$59="X","",IF(BI$59&lt;&gt;"",BI$59,IF(IFERROR(INDEX(醫師週班表!$C$5:$T$44,$CU31,BI$57),"")=0,"",IF(MID(IFERROR(INDEX(醫師週班表!$C$5:$T$44,$CU31,BI$57),""),2,1)="/",MID(IFERROR(INDEX(醫師週班表!$C$5:$T$44,$CU31,BI$57),""),1+BI$58*2,1),IF(MID(IFERROR(INDEX(醫師週班表!$C$5:$T$44,$CU31,BI$57),""),3,1)="隔",IF(BI$58=0,LEFT(IFERROR(INDEX(醫師週班表!$C$5:$T$44,$CU31,BI$57),""),1),""),IF(MID(IFERROR(INDEX(醫師週班表!$C$5:$T$44,$CU31,BI$57),""),2,1)="(",LEFT(IFERROR(INDEX(醫師週班表!$C$5:$T$44,$CU31,BI$57),""),1),IFERROR(INDEX(醫師週班表!$C$5:$T$44,$CU31,BI$57),"")))))))</f>
        <v/>
      </c>
      <c r="BJ31" s="67">
        <f>IF(BJ$59="X","",IF(BJ$59&lt;&gt;"",BJ$59,IF(IFERROR(INDEX(醫師週班表!$C$5:$T$44,$CU31,BJ$57),"")=0,"",IF(MID(IFERROR(INDEX(醫師週班表!$C$5:$T$44,$CU31,BJ$57),""),2,1)="/",MID(IFERROR(INDEX(醫師週班表!$C$5:$T$44,$CU31,BJ$57),""),1+BJ$58*2,1),IF(MID(IFERROR(INDEX(醫師週班表!$C$5:$T$44,$CU31,BJ$57),""),3,1)="隔",IF(BJ$58=0,LEFT(IFERROR(INDEX(醫師週班表!$C$5:$T$44,$CU31,BJ$57),""),1),""),IF(MID(IFERROR(INDEX(醫師週班表!$C$5:$T$44,$CU31,BJ$57),""),2,1)="(",LEFT(IFERROR(INDEX(醫師週班表!$C$5:$T$44,$CU31,BJ$57),""),1),IFERROR(INDEX(醫師週班表!$C$5:$T$44,$CU31,BJ$57),"")))))))</f>
        <v/>
      </c>
      <c r="BK31" s="68">
        <f>IF(BK$59="X","",IF(BK$59&lt;&gt;"",BK$59,IF(IFERROR(INDEX(醫師週班表!$C$5:$T$44,$CU31,BK$57),"")=0,"",IF(MID(IFERROR(INDEX(醫師週班表!$C$5:$T$44,$CU31,BK$57),""),2,1)="/",MID(IFERROR(INDEX(醫師週班表!$C$5:$T$44,$CU31,BK$57),""),1+BK$58*2,1),IF(MID(IFERROR(INDEX(醫師週班表!$C$5:$T$44,$CU31,BK$57),""),3,1)="隔",IF(BK$58=0,LEFT(IFERROR(INDEX(醫師週班表!$C$5:$T$44,$CU31,BK$57),""),1),""),IF(MID(IFERROR(INDEX(醫師週班表!$C$5:$T$44,$CU31,BK$57),""),2,1)="(",LEFT(IFERROR(INDEX(醫師週班表!$C$5:$T$44,$CU31,BK$57),""),1),IFERROR(INDEX(醫師週班表!$C$5:$T$44,$CU31,BK$57),"")))))))</f>
        <v/>
      </c>
      <c r="BL31" s="68">
        <f>IF(BL$59="X","",IF(BL$59&lt;&gt;"",BL$59,IF(IFERROR(INDEX(醫師週班表!$C$5:$T$44,$CU31,BL$57),"")=0,"",IF(MID(IFERROR(INDEX(醫師週班表!$C$5:$T$44,$CU31,BL$57),""),2,1)="/",MID(IFERROR(INDEX(醫師週班表!$C$5:$T$44,$CU31,BL$57),""),1+BL$58*2,1),IF(MID(IFERROR(INDEX(醫師週班表!$C$5:$T$44,$CU31,BL$57),""),3,1)="隔",IF(BL$58=0,LEFT(IFERROR(INDEX(醫師週班表!$C$5:$T$44,$CU31,BL$57),""),1),""),IF(MID(IFERROR(INDEX(醫師週班表!$C$5:$T$44,$CU31,BL$57),""),2,1)="(",LEFT(IFERROR(INDEX(醫師週班表!$C$5:$T$44,$CU31,BL$57),""),1),IFERROR(INDEX(醫師週班表!$C$5:$T$44,$CU31,BL$57),"")))))))</f>
        <v/>
      </c>
      <c r="BM31" s="67">
        <f>IF(BM$59="X","",IF(BM$59&lt;&gt;"",BM$59,IF(IFERROR(INDEX(醫師週班表!$C$5:$T$44,$CU31,BM$57),"")=0,"",IF(MID(IFERROR(INDEX(醫師週班表!$C$5:$T$44,$CU31,BM$57),""),2,1)="/",MID(IFERROR(INDEX(醫師週班表!$C$5:$T$44,$CU31,BM$57),""),1+BM$58*2,1),IF(MID(IFERROR(INDEX(醫師週班表!$C$5:$T$44,$CU31,BM$57),""),3,1)="隔",IF(BM$58=0,LEFT(IFERROR(INDEX(醫師週班表!$C$5:$T$44,$CU31,BM$57),""),1),""),IF(MID(IFERROR(INDEX(醫師週班表!$C$5:$T$44,$CU31,BM$57),""),2,1)="(",LEFT(IFERROR(INDEX(醫師週班表!$C$5:$T$44,$CU31,BM$57),""),1),IFERROR(INDEX(醫師週班表!$C$5:$T$44,$CU31,BM$57),"")))))))</f>
        <v/>
      </c>
      <c r="BN31" s="68">
        <f>IF(BN$59="X","",IF(BN$59&lt;&gt;"",BN$59,IF(IFERROR(INDEX(醫師週班表!$C$5:$T$44,$CU31,BN$57),"")=0,"",IF(MID(IFERROR(INDEX(醫師週班表!$C$5:$T$44,$CU31,BN$57),""),2,1)="/",MID(IFERROR(INDEX(醫師週班表!$C$5:$T$44,$CU31,BN$57),""),1+BN$58*2,1),IF(MID(IFERROR(INDEX(醫師週班表!$C$5:$T$44,$CU31,BN$57),""),3,1)="隔",IF(BN$58=0,LEFT(IFERROR(INDEX(醫師週班表!$C$5:$T$44,$CU31,BN$57),""),1),""),IF(MID(IFERROR(INDEX(醫師週班表!$C$5:$T$44,$CU31,BN$57),""),2,1)="(",LEFT(IFERROR(INDEX(醫師週班表!$C$5:$T$44,$CU31,BN$57),""),1),IFERROR(INDEX(醫師週班表!$C$5:$T$44,$CU31,BN$57),"")))))))</f>
        <v/>
      </c>
      <c r="BO31" s="68">
        <f>IF(BO$59="X","",IF(BO$59&lt;&gt;"",BO$59,IF(IFERROR(INDEX(醫師週班表!$C$5:$T$44,$CU31,BO$57),"")=0,"",IF(MID(IFERROR(INDEX(醫師週班表!$C$5:$T$44,$CU31,BO$57),""),2,1)="/",MID(IFERROR(INDEX(醫師週班表!$C$5:$T$44,$CU31,BO$57),""),1+BO$58*2,1),IF(MID(IFERROR(INDEX(醫師週班表!$C$5:$T$44,$CU31,BO$57),""),3,1)="隔",IF(BO$58=0,LEFT(IFERROR(INDEX(醫師週班表!$C$5:$T$44,$CU31,BO$57),""),1),""),IF(MID(IFERROR(INDEX(醫師週班表!$C$5:$T$44,$CU31,BO$57),""),2,1)="(",LEFT(IFERROR(INDEX(醫師週班表!$C$5:$T$44,$CU31,BO$57),""),1),IFERROR(INDEX(醫師週班表!$C$5:$T$44,$CU31,BO$57),"")))))))</f>
        <v/>
      </c>
      <c r="BP31" s="67">
        <f>IF(BP$59="X","",IF(BP$59&lt;&gt;"",BP$59,IF(IFERROR(INDEX(醫師週班表!$C$5:$T$44,$CU31,BP$57),"")=0,"",IF(MID(IFERROR(INDEX(醫師週班表!$C$5:$T$44,$CU31,BP$57),""),2,1)="/",MID(IFERROR(INDEX(醫師週班表!$C$5:$T$44,$CU31,BP$57),""),1+BP$58*2,1),IF(MID(IFERROR(INDEX(醫師週班表!$C$5:$T$44,$CU31,BP$57),""),3,1)="隔",IF(BP$58=0,LEFT(IFERROR(INDEX(醫師週班表!$C$5:$T$44,$CU31,BP$57),""),1),""),IF(MID(IFERROR(INDEX(醫師週班表!$C$5:$T$44,$CU31,BP$57),""),2,1)="(",LEFT(IFERROR(INDEX(醫師週班表!$C$5:$T$44,$CU31,BP$57),""),1),IFERROR(INDEX(醫師週班表!$C$5:$T$44,$CU31,BP$57),"")))))))</f>
        <v/>
      </c>
      <c r="BQ31" s="68">
        <f>IF(BQ$59="X","",IF(BQ$59&lt;&gt;"",BQ$59,IF(IFERROR(INDEX(醫師週班表!$C$5:$T$44,$CU31,BQ$57),"")=0,"",IF(MID(IFERROR(INDEX(醫師週班表!$C$5:$T$44,$CU31,BQ$57),""),2,1)="/",MID(IFERROR(INDEX(醫師週班表!$C$5:$T$44,$CU31,BQ$57),""),1+BQ$58*2,1),IF(MID(IFERROR(INDEX(醫師週班表!$C$5:$T$44,$CU31,BQ$57),""),3,1)="隔",IF(BQ$58=0,LEFT(IFERROR(INDEX(醫師週班表!$C$5:$T$44,$CU31,BQ$57),""),1),""),IF(MID(IFERROR(INDEX(醫師週班表!$C$5:$T$44,$CU31,BQ$57),""),2,1)="(",LEFT(IFERROR(INDEX(醫師週班表!$C$5:$T$44,$CU31,BQ$57),""),1),IFERROR(INDEX(醫師週班表!$C$5:$T$44,$CU31,BQ$57),"")))))))</f>
        <v/>
      </c>
      <c r="BR31" s="68">
        <f>IF(BR$59="X","",IF(BR$59&lt;&gt;"",BR$59,IF(IFERROR(INDEX(醫師週班表!$C$5:$T$44,$CU31,BR$57),"")=0,"",IF(MID(IFERROR(INDEX(醫師週班表!$C$5:$T$44,$CU31,BR$57),""),2,1)="/",MID(IFERROR(INDEX(醫師週班表!$C$5:$T$44,$CU31,BR$57),""),1+BR$58*2,1),IF(MID(IFERROR(INDEX(醫師週班表!$C$5:$T$44,$CU31,BR$57),""),3,1)="隔",IF(BR$58=0,LEFT(IFERROR(INDEX(醫師週班表!$C$5:$T$44,$CU31,BR$57),""),1),""),IF(MID(IFERROR(INDEX(醫師週班表!$C$5:$T$44,$CU31,BR$57),""),2,1)="(",LEFT(IFERROR(INDEX(醫師週班表!$C$5:$T$44,$CU31,BR$57),""),1),IFERROR(INDEX(醫師週班表!$C$5:$T$44,$CU31,BR$57),"")))))))</f>
        <v/>
      </c>
      <c r="BS31" s="67">
        <f>IF(BS$59="X","",IF(BS$59&lt;&gt;"",BS$59,IF(IFERROR(INDEX(醫師週班表!$C$5:$T$44,$CU31,BS$57),"")=0,"",IF(MID(IFERROR(INDEX(醫師週班表!$C$5:$T$44,$CU31,BS$57),""),2,1)="/",MID(IFERROR(INDEX(醫師週班表!$C$5:$T$44,$CU31,BS$57),""),1+BS$58*2,1),IF(MID(IFERROR(INDEX(醫師週班表!$C$5:$T$44,$CU31,BS$57),""),3,1)="隔",IF(BS$58=0,LEFT(IFERROR(INDEX(醫師週班表!$C$5:$T$44,$CU31,BS$57),""),1),""),IF(MID(IFERROR(INDEX(醫師週班表!$C$5:$T$44,$CU31,BS$57),""),2,1)="(",LEFT(IFERROR(INDEX(醫師週班表!$C$5:$T$44,$CU31,BS$57),""),1),IFERROR(INDEX(醫師週班表!$C$5:$T$44,$CU31,BS$57),"")))))))</f>
        <v/>
      </c>
      <c r="BT31" s="68">
        <f>IF(BT$59="X","",IF(BT$59&lt;&gt;"",BT$59,IF(IFERROR(INDEX(醫師週班表!$C$5:$T$44,$CU31,BT$57),"")=0,"",IF(MID(IFERROR(INDEX(醫師週班表!$C$5:$T$44,$CU31,BT$57),""),2,1)="/",MID(IFERROR(INDEX(醫師週班表!$C$5:$T$44,$CU31,BT$57),""),1+BT$58*2,1),IF(MID(IFERROR(INDEX(醫師週班表!$C$5:$T$44,$CU31,BT$57),""),3,1)="隔",IF(BT$58=0,LEFT(IFERROR(INDEX(醫師週班表!$C$5:$T$44,$CU31,BT$57),""),1),""),IF(MID(IFERROR(INDEX(醫師週班表!$C$5:$T$44,$CU31,BT$57),""),2,1)="(",LEFT(IFERROR(INDEX(醫師週班表!$C$5:$T$44,$CU31,BT$57),""),1),IFERROR(INDEX(醫師週班表!$C$5:$T$44,$CU31,BT$57),"")))))))</f>
        <v/>
      </c>
      <c r="BU31" s="68">
        <f>IF(BU$59="X","",IF(BU$59&lt;&gt;"",BU$59,IF(IFERROR(INDEX(醫師週班表!$C$5:$T$44,$CU31,BU$57),"")=0,"",IF(MID(IFERROR(INDEX(醫師週班表!$C$5:$T$44,$CU31,BU$57),""),2,1)="/",MID(IFERROR(INDEX(醫師週班表!$C$5:$T$44,$CU31,BU$57),""),1+BU$58*2,1),IF(MID(IFERROR(INDEX(醫師週班表!$C$5:$T$44,$CU31,BU$57),""),3,1)="隔",IF(BU$58=0,LEFT(IFERROR(INDEX(醫師週班表!$C$5:$T$44,$CU31,BU$57),""),1),""),IF(MID(IFERROR(INDEX(醫師週班表!$C$5:$T$44,$CU31,BU$57),""),2,1)="(",LEFT(IFERROR(INDEX(醫師週班表!$C$5:$T$44,$CU31,BU$57),""),1),IFERROR(INDEX(醫師週班表!$C$5:$T$44,$CU31,BU$57),"")))))))</f>
        <v/>
      </c>
      <c r="BV31" s="67">
        <f>IF(BV$59="X","",IF(BV$59&lt;&gt;"",BV$59,IF(IFERROR(INDEX(醫師週班表!$C$5:$T$44,$CU31,BV$57),"")=0,"",IF(MID(IFERROR(INDEX(醫師週班表!$C$5:$T$44,$CU31,BV$57),""),2,1)="/",MID(IFERROR(INDEX(醫師週班表!$C$5:$T$44,$CU31,BV$57),""),1+BV$58*2,1),IF(MID(IFERROR(INDEX(醫師週班表!$C$5:$T$44,$CU31,BV$57),""),3,1)="隔",IF(BV$58=0,LEFT(IFERROR(INDEX(醫師週班表!$C$5:$T$44,$CU31,BV$57),""),1),""),IF(MID(IFERROR(INDEX(醫師週班表!$C$5:$T$44,$CU31,BV$57),""),2,1)="(",LEFT(IFERROR(INDEX(醫師週班表!$C$5:$T$44,$CU31,BV$57),""),1),IFERROR(INDEX(醫師週班表!$C$5:$T$44,$CU31,BV$57),"")))))))</f>
        <v/>
      </c>
      <c r="BW31" s="68">
        <f>IF(BW$59="X","",IF(BW$59&lt;&gt;"",BW$59,IF(IFERROR(INDEX(醫師週班表!$C$5:$T$44,$CU31,BW$57),"")=0,"",IF(MID(IFERROR(INDEX(醫師週班表!$C$5:$T$44,$CU31,BW$57),""),2,1)="/",MID(IFERROR(INDEX(醫師週班表!$C$5:$T$44,$CU31,BW$57),""),1+BW$58*2,1),IF(MID(IFERROR(INDEX(醫師週班表!$C$5:$T$44,$CU31,BW$57),""),3,1)="隔",IF(BW$58=0,LEFT(IFERROR(INDEX(醫師週班表!$C$5:$T$44,$CU31,BW$57),""),1),""),IF(MID(IFERROR(INDEX(醫師週班表!$C$5:$T$44,$CU31,BW$57),""),2,1)="(",LEFT(IFERROR(INDEX(醫師週班表!$C$5:$T$44,$CU31,BW$57),""),1),IFERROR(INDEX(醫師週班表!$C$5:$T$44,$CU31,BW$57),"")))))))</f>
        <v/>
      </c>
      <c r="BX31" s="68">
        <f>IF(BX$59="X","",IF(BX$59&lt;&gt;"",BX$59,IF(IFERROR(INDEX(醫師週班表!$C$5:$T$44,$CU31,BX$57),"")=0,"",IF(MID(IFERROR(INDEX(醫師週班表!$C$5:$T$44,$CU31,BX$57),""),2,1)="/",MID(IFERROR(INDEX(醫師週班表!$C$5:$T$44,$CU31,BX$57),""),1+BX$58*2,1),IF(MID(IFERROR(INDEX(醫師週班表!$C$5:$T$44,$CU31,BX$57),""),3,1)="隔",IF(BX$58=0,LEFT(IFERROR(INDEX(醫師週班表!$C$5:$T$44,$CU31,BX$57),""),1),""),IF(MID(IFERROR(INDEX(醫師週班表!$C$5:$T$44,$CU31,BX$57),""),2,1)="(",LEFT(IFERROR(INDEX(醫師週班表!$C$5:$T$44,$CU31,BX$57),""),1),IFERROR(INDEX(醫師週班表!$C$5:$T$44,$CU31,BX$57),"")))))))</f>
        <v/>
      </c>
      <c r="BY31" s="67">
        <f>IF(BY$59="X","",IF(BY$59&lt;&gt;"",BY$59,IF(IFERROR(INDEX(醫師週班表!$C$5:$T$44,$CU31,BY$57),"")=0,"",IF(MID(IFERROR(INDEX(醫師週班表!$C$5:$T$44,$CU31,BY$57),""),2,1)="/",MID(IFERROR(INDEX(醫師週班表!$C$5:$T$44,$CU31,BY$57),""),1+BY$58*2,1),IF(MID(IFERROR(INDEX(醫師週班表!$C$5:$T$44,$CU31,BY$57),""),3,1)="隔",IF(BY$58=0,LEFT(IFERROR(INDEX(醫師週班表!$C$5:$T$44,$CU31,BY$57),""),1),""),IF(MID(IFERROR(INDEX(醫師週班表!$C$5:$T$44,$CU31,BY$57),""),2,1)="(",LEFT(IFERROR(INDEX(醫師週班表!$C$5:$T$44,$CU31,BY$57),""),1),IFERROR(INDEX(醫師週班表!$C$5:$T$44,$CU31,BY$57),"")))))))</f>
        <v/>
      </c>
      <c r="BZ31" s="68">
        <f>IF(BZ$59="X","",IF(BZ$59&lt;&gt;"",BZ$59,IF(IFERROR(INDEX(醫師週班表!$C$5:$T$44,$CU31,BZ$57),"")=0,"",IF(MID(IFERROR(INDEX(醫師週班表!$C$5:$T$44,$CU31,BZ$57),""),2,1)="/",MID(IFERROR(INDEX(醫師週班表!$C$5:$T$44,$CU31,BZ$57),""),1+BZ$58*2,1),IF(MID(IFERROR(INDEX(醫師週班表!$C$5:$T$44,$CU31,BZ$57),""),3,1)="隔",IF(BZ$58=0,LEFT(IFERROR(INDEX(醫師週班表!$C$5:$T$44,$CU31,BZ$57),""),1),""),IF(MID(IFERROR(INDEX(醫師週班表!$C$5:$T$44,$CU31,BZ$57),""),2,1)="(",LEFT(IFERROR(INDEX(醫師週班表!$C$5:$T$44,$CU31,BZ$57),""),1),IFERROR(INDEX(醫師週班表!$C$5:$T$44,$CU31,BZ$57),"")))))))</f>
        <v/>
      </c>
      <c r="CA31" s="68">
        <f>IF(CA$59="X","",IF(CA$59&lt;&gt;"",CA$59,IF(IFERROR(INDEX(醫師週班表!$C$5:$T$44,$CU31,CA$57),"")=0,"",IF(MID(IFERROR(INDEX(醫師週班表!$C$5:$T$44,$CU31,CA$57),""),2,1)="/",MID(IFERROR(INDEX(醫師週班表!$C$5:$T$44,$CU31,CA$57),""),1+CA$58*2,1),IF(MID(IFERROR(INDEX(醫師週班表!$C$5:$T$44,$CU31,CA$57),""),3,1)="隔",IF(CA$58=0,LEFT(IFERROR(INDEX(醫師週班表!$C$5:$T$44,$CU31,CA$57),""),1),""),IF(MID(IFERROR(INDEX(醫師週班表!$C$5:$T$44,$CU31,CA$57),""),2,1)="(",LEFT(IFERROR(INDEX(醫師週班表!$C$5:$T$44,$CU31,CA$57),""),1),IFERROR(INDEX(醫師週班表!$C$5:$T$44,$CU31,CA$57),"")))))))</f>
        <v/>
      </c>
      <c r="CB31" s="67">
        <f>IF(CB$59="X","",IF(CB$59&lt;&gt;"",CB$59,IF(IFERROR(INDEX(醫師週班表!$C$5:$T$44,$CU31,CB$57),"")=0,"",IF(MID(IFERROR(INDEX(醫師週班表!$C$5:$T$44,$CU31,CB$57),""),2,1)="/",MID(IFERROR(INDEX(醫師週班表!$C$5:$T$44,$CU31,CB$57),""),1+CB$58*2,1),IF(MID(IFERROR(INDEX(醫師週班表!$C$5:$T$44,$CU31,CB$57),""),3,1)="隔",IF(CB$58=0,LEFT(IFERROR(INDEX(醫師週班表!$C$5:$T$44,$CU31,CB$57),""),1),""),IF(MID(IFERROR(INDEX(醫師週班表!$C$5:$T$44,$CU31,CB$57),""),2,1)="(",LEFT(IFERROR(INDEX(醫師週班表!$C$5:$T$44,$CU31,CB$57),""),1),IFERROR(INDEX(醫師週班表!$C$5:$T$44,$CU31,CB$57),"")))))))</f>
        <v/>
      </c>
      <c r="CC31" s="68">
        <f>IF(CC$59="X","",IF(CC$59&lt;&gt;"",CC$59,IF(IFERROR(INDEX(醫師週班表!$C$5:$T$44,$CU31,CC$57),"")=0,"",IF(MID(IFERROR(INDEX(醫師週班表!$C$5:$T$44,$CU31,CC$57),""),2,1)="/",MID(IFERROR(INDEX(醫師週班表!$C$5:$T$44,$CU31,CC$57),""),1+CC$58*2,1),IF(MID(IFERROR(INDEX(醫師週班表!$C$5:$T$44,$CU31,CC$57),""),3,1)="隔",IF(CC$58=0,LEFT(IFERROR(INDEX(醫師週班表!$C$5:$T$44,$CU31,CC$57),""),1),""),IF(MID(IFERROR(INDEX(醫師週班表!$C$5:$T$44,$CU31,CC$57),""),2,1)="(",LEFT(IFERROR(INDEX(醫師週班表!$C$5:$T$44,$CU31,CC$57),""),1),IFERROR(INDEX(醫師週班表!$C$5:$T$44,$CU31,CC$57),"")))))))</f>
        <v/>
      </c>
      <c r="CD31" s="68">
        <f>IF(CD$59="X","",IF(CD$59&lt;&gt;"",CD$59,IF(IFERROR(INDEX(醫師週班表!$C$5:$T$44,$CU31,CD$57),"")=0,"",IF(MID(IFERROR(INDEX(醫師週班表!$C$5:$T$44,$CU31,CD$57),""),2,1)="/",MID(IFERROR(INDEX(醫師週班表!$C$5:$T$44,$CU31,CD$57),""),1+CD$58*2,1),IF(MID(IFERROR(INDEX(醫師週班表!$C$5:$T$44,$CU31,CD$57),""),3,1)="隔",IF(CD$58=0,LEFT(IFERROR(INDEX(醫師週班表!$C$5:$T$44,$CU31,CD$57),""),1),""),IF(MID(IFERROR(INDEX(醫師週班表!$C$5:$T$44,$CU31,CD$57),""),2,1)="(",LEFT(IFERROR(INDEX(醫師週班表!$C$5:$T$44,$CU31,CD$57),""),1),IFERROR(INDEX(醫師週班表!$C$5:$T$44,$CU31,CD$57),"")))))))</f>
        <v/>
      </c>
      <c r="CE31" s="67">
        <f>IF(CE$59="X","",IF(CE$59&lt;&gt;"",CE$59,IF(IFERROR(INDEX(醫師週班表!$C$5:$T$44,$CU31,CE$57),"")=0,"",IF(MID(IFERROR(INDEX(醫師週班表!$C$5:$T$44,$CU31,CE$57),""),2,1)="/",MID(IFERROR(INDEX(醫師週班表!$C$5:$T$44,$CU31,CE$57),""),1+CE$58*2,1),IF(MID(IFERROR(INDEX(醫師週班表!$C$5:$T$44,$CU31,CE$57),""),3,1)="隔",IF(CE$58=0,LEFT(IFERROR(INDEX(醫師週班表!$C$5:$T$44,$CU31,CE$57),""),1),""),IF(MID(IFERROR(INDEX(醫師週班表!$C$5:$T$44,$CU31,CE$57),""),2,1)="(",LEFT(IFERROR(INDEX(醫師週班表!$C$5:$T$44,$CU31,CE$57),""),1),IFERROR(INDEX(醫師週班表!$C$5:$T$44,$CU31,CE$57),"")))))))</f>
        <v/>
      </c>
      <c r="CF31" s="68">
        <f>IF(CF$59="X","",IF(CF$59&lt;&gt;"",CF$59,IF(IFERROR(INDEX(醫師週班表!$C$5:$T$44,$CU31,CF$57),"")=0,"",IF(MID(IFERROR(INDEX(醫師週班表!$C$5:$T$44,$CU31,CF$57),""),2,1)="/",MID(IFERROR(INDEX(醫師週班表!$C$5:$T$44,$CU31,CF$57),""),1+CF$58*2,1),IF(MID(IFERROR(INDEX(醫師週班表!$C$5:$T$44,$CU31,CF$57),""),3,1)="隔",IF(CF$58=0,LEFT(IFERROR(INDEX(醫師週班表!$C$5:$T$44,$CU31,CF$57),""),1),""),IF(MID(IFERROR(INDEX(醫師週班表!$C$5:$T$44,$CU31,CF$57),""),2,1)="(",LEFT(IFERROR(INDEX(醫師週班表!$C$5:$T$44,$CU31,CF$57),""),1),IFERROR(INDEX(醫師週班表!$C$5:$T$44,$CU31,CF$57),"")))))))</f>
        <v/>
      </c>
      <c r="CG31" s="68">
        <f>IF(CG$59="X","",IF(CG$59&lt;&gt;"",CG$59,IF(IFERROR(INDEX(醫師週班表!$C$5:$T$44,$CU31,CG$57),"")=0,"",IF(MID(IFERROR(INDEX(醫師週班表!$C$5:$T$44,$CU31,CG$57),""),2,1)="/",MID(IFERROR(INDEX(醫師週班表!$C$5:$T$44,$CU31,CG$57),""),1+CG$58*2,1),IF(MID(IFERROR(INDEX(醫師週班表!$C$5:$T$44,$CU31,CG$57),""),3,1)="隔",IF(CG$58=0,LEFT(IFERROR(INDEX(醫師週班表!$C$5:$T$44,$CU31,CG$57),""),1),""),IF(MID(IFERROR(INDEX(醫師週班表!$C$5:$T$44,$CU31,CG$57),""),2,1)="(",LEFT(IFERROR(INDEX(醫師週班表!$C$5:$T$44,$CU31,CG$57),""),1),IFERROR(INDEX(醫師週班表!$C$5:$T$44,$CU31,CG$57),"")))))))</f>
        <v/>
      </c>
      <c r="CH31" s="67">
        <f>IF(CH$59="X","",IF(CH$59&lt;&gt;"",CH$59,IF(IFERROR(INDEX(醫師週班表!$C$5:$T$44,$CU31,CH$57),"")=0,"",IF(MID(IFERROR(INDEX(醫師週班表!$C$5:$T$44,$CU31,CH$57),""),2,1)="/",MID(IFERROR(INDEX(醫師週班表!$C$5:$T$44,$CU31,CH$57),""),1+CH$58*2,1),IF(MID(IFERROR(INDEX(醫師週班表!$C$5:$T$44,$CU31,CH$57),""),3,1)="隔",IF(CH$58=0,LEFT(IFERROR(INDEX(醫師週班表!$C$5:$T$44,$CU31,CH$57),""),1),""),IF(MID(IFERROR(INDEX(醫師週班表!$C$5:$T$44,$CU31,CH$57),""),2,1)="(",LEFT(IFERROR(INDEX(醫師週班表!$C$5:$T$44,$CU31,CH$57),""),1),IFERROR(INDEX(醫師週班表!$C$5:$T$44,$CU31,CH$57),"")))))))</f>
        <v/>
      </c>
      <c r="CI31" s="68">
        <f>IF(CI$59="X","",IF(CI$59&lt;&gt;"",CI$59,IF(IFERROR(INDEX(醫師週班表!$C$5:$T$44,$CU31,CI$57),"")=0,"",IF(MID(IFERROR(INDEX(醫師週班表!$C$5:$T$44,$CU31,CI$57),""),2,1)="/",MID(IFERROR(INDEX(醫師週班表!$C$5:$T$44,$CU31,CI$57),""),1+CI$58*2,1),IF(MID(IFERROR(INDEX(醫師週班表!$C$5:$T$44,$CU31,CI$57),""),3,1)="隔",IF(CI$58=0,LEFT(IFERROR(INDEX(醫師週班表!$C$5:$T$44,$CU31,CI$57),""),1),""),IF(MID(IFERROR(INDEX(醫師週班表!$C$5:$T$44,$CU31,CI$57),""),2,1)="(",LEFT(IFERROR(INDEX(醫師週班表!$C$5:$T$44,$CU31,CI$57),""),1),IFERROR(INDEX(醫師週班表!$C$5:$T$44,$CU31,CI$57),"")))))))</f>
        <v/>
      </c>
      <c r="CJ31" s="68">
        <f>IF(CJ$59="X","",IF(CJ$59&lt;&gt;"",CJ$59,IF(IFERROR(INDEX(醫師週班表!$C$5:$T$44,$CU31,CJ$57),"")=0,"",IF(MID(IFERROR(INDEX(醫師週班表!$C$5:$T$44,$CU31,CJ$57),""),2,1)="/",MID(IFERROR(INDEX(醫師週班表!$C$5:$T$44,$CU31,CJ$57),""),1+CJ$58*2,1),IF(MID(IFERROR(INDEX(醫師週班表!$C$5:$T$44,$CU31,CJ$57),""),3,1)="隔",IF(CJ$58=0,LEFT(IFERROR(INDEX(醫師週班表!$C$5:$T$44,$CU31,CJ$57),""),1),""),IF(MID(IFERROR(INDEX(醫師週班表!$C$5:$T$44,$CU31,CJ$57),""),2,1)="(",LEFT(IFERROR(INDEX(醫師週班表!$C$5:$T$44,$CU31,CJ$57),""),1),IFERROR(INDEX(醫師週班表!$C$5:$T$44,$CU31,CJ$57),"")))))))</f>
        <v/>
      </c>
      <c r="CK31" s="67">
        <f>IF(CK$59="X","",IF(CK$59&lt;&gt;"",CK$59,IF(IFERROR(INDEX(醫師週班表!$C$5:$T$44,$CU31,CK$57),"")=0,"",IF(MID(IFERROR(INDEX(醫師週班表!$C$5:$T$44,$CU31,CK$57),""),2,1)="/",MID(IFERROR(INDEX(醫師週班表!$C$5:$T$44,$CU31,CK$57),""),1+CK$58*2,1),IF(MID(IFERROR(INDEX(醫師週班表!$C$5:$T$44,$CU31,CK$57),""),3,1)="隔",IF(CK$58=0,LEFT(IFERROR(INDEX(醫師週班表!$C$5:$T$44,$CU31,CK$57),""),1),""),IF(MID(IFERROR(INDEX(醫師週班表!$C$5:$T$44,$CU31,CK$57),""),2,1)="(",LEFT(IFERROR(INDEX(醫師週班表!$C$5:$T$44,$CU31,CK$57),""),1),IFERROR(INDEX(醫師週班表!$C$5:$T$44,$CU31,CK$57),"")))))))</f>
        <v/>
      </c>
      <c r="CL31" s="68">
        <f>IF(CL$59="X","",IF(CL$59&lt;&gt;"",CL$59,IF(IFERROR(INDEX(醫師週班表!$C$5:$T$44,$CU31,CL$57),"")=0,"",IF(MID(IFERROR(INDEX(醫師週班表!$C$5:$T$44,$CU31,CL$57),""),2,1)="/",MID(IFERROR(INDEX(醫師週班表!$C$5:$T$44,$CU31,CL$57),""),1+CL$58*2,1),IF(MID(IFERROR(INDEX(醫師週班表!$C$5:$T$44,$CU31,CL$57),""),3,1)="隔",IF(CL$58=0,LEFT(IFERROR(INDEX(醫師週班表!$C$5:$T$44,$CU31,CL$57),""),1),""),IF(MID(IFERROR(INDEX(醫師週班表!$C$5:$T$44,$CU31,CL$57),""),2,1)="(",LEFT(IFERROR(INDEX(醫師週班表!$C$5:$T$44,$CU31,CL$57),""),1),IFERROR(INDEX(醫師週班表!$C$5:$T$44,$CU31,CL$57),"")))))))</f>
        <v/>
      </c>
      <c r="CM31" s="68">
        <f>IF(CM$59="X","",IF(CM$59&lt;&gt;"",CM$59,IF(IFERROR(INDEX(醫師週班表!$C$5:$T$44,$CU31,CM$57),"")=0,"",IF(MID(IFERROR(INDEX(醫師週班表!$C$5:$T$44,$CU31,CM$57),""),2,1)="/",MID(IFERROR(INDEX(醫師週班表!$C$5:$T$44,$CU31,CM$57),""),1+CM$58*2,1),IF(MID(IFERROR(INDEX(醫師週班表!$C$5:$T$44,$CU31,CM$57),""),3,1)="隔",IF(CM$58=0,LEFT(IFERROR(INDEX(醫師週班表!$C$5:$T$44,$CU31,CM$57),""),1),""),IF(MID(IFERROR(INDEX(醫師週班表!$C$5:$T$44,$CU31,CM$57),""),2,1)="(",LEFT(IFERROR(INDEX(醫師週班表!$C$5:$T$44,$CU31,CM$57),""),1),IFERROR(INDEX(醫師週班表!$C$5:$T$44,$CU31,CM$57),"")))))))</f>
        <v/>
      </c>
      <c r="CN31" s="67">
        <f>IF(CN$59="X","",IF(CN$59&lt;&gt;"",CN$59,IF(IFERROR(INDEX(醫師週班表!$C$5:$T$44,$CU31,CN$57),"")=0,"",IF(MID(IFERROR(INDEX(醫師週班表!$C$5:$T$44,$CU31,CN$57),""),2,1)="/",MID(IFERROR(INDEX(醫師週班表!$C$5:$T$44,$CU31,CN$57),""),1+CN$58*2,1),IF(MID(IFERROR(INDEX(醫師週班表!$C$5:$T$44,$CU31,CN$57),""),3,1)="隔",IF(CN$58=0,LEFT(IFERROR(INDEX(醫師週班表!$C$5:$T$44,$CU31,CN$57),""),1),""),IF(MID(IFERROR(INDEX(醫師週班表!$C$5:$T$44,$CU31,CN$57),""),2,1)="(",LEFT(IFERROR(INDEX(醫師週班表!$C$5:$T$44,$CU31,CN$57),""),1),IFERROR(INDEX(醫師週班表!$C$5:$T$44,$CU31,CN$57),"")))))))</f>
        <v/>
      </c>
      <c r="CO31" s="68">
        <f>IF(CO$59="X","",IF(CO$59&lt;&gt;"",CO$59,IF(IFERROR(INDEX(醫師週班表!$C$5:$T$44,$CU31,CO$57),"")=0,"",IF(MID(IFERROR(INDEX(醫師週班表!$C$5:$T$44,$CU31,CO$57),""),2,1)="/",MID(IFERROR(INDEX(醫師週班表!$C$5:$T$44,$CU31,CO$57),""),1+CO$58*2,1),IF(MID(IFERROR(INDEX(醫師週班表!$C$5:$T$44,$CU31,CO$57),""),3,1)="隔",IF(CO$58=0,LEFT(IFERROR(INDEX(醫師週班表!$C$5:$T$44,$CU31,CO$57),""),1),""),IF(MID(IFERROR(INDEX(醫師週班表!$C$5:$T$44,$CU31,CO$57),""),2,1)="(",LEFT(IFERROR(INDEX(醫師週班表!$C$5:$T$44,$CU31,CO$57),""),1),IFERROR(INDEX(醫師週班表!$C$5:$T$44,$CU31,CO$57),"")))))))</f>
        <v/>
      </c>
      <c r="CP31" s="68">
        <f>IF(CP$59="X","",IF(CP$59&lt;&gt;"",CP$59,IF(IFERROR(INDEX(醫師週班表!$C$5:$T$44,$CU31,CP$57),"")=0,"",IF(MID(IFERROR(INDEX(醫師週班表!$C$5:$T$44,$CU31,CP$57),""),2,1)="/",MID(IFERROR(INDEX(醫師週班表!$C$5:$T$44,$CU31,CP$57),""),1+CP$58*2,1),IF(MID(IFERROR(INDEX(醫師週班表!$C$5:$T$44,$CU31,CP$57),""),3,1)="隔",IF(CP$58=0,LEFT(IFERROR(INDEX(醫師週班表!$C$5:$T$44,$CU31,CP$57),""),1),""),IF(MID(IFERROR(INDEX(醫師週班表!$C$5:$T$44,$CU31,CP$57),""),2,1)="(",LEFT(IFERROR(INDEX(醫師週班表!$C$5:$T$44,$CU31,CP$57),""),1),IFERROR(INDEX(醫師週班表!$C$5:$T$44,$CU31,CP$57),"")))))))</f>
        <v/>
      </c>
      <c r="CQ31" s="67">
        <f>IF(CQ$59="X","",IF(CQ$59&lt;&gt;"",CQ$59,IF(IFERROR(INDEX(醫師週班表!$C$5:$T$44,$CU31,CQ$57),"")=0,"",IF(MID(IFERROR(INDEX(醫師週班表!$C$5:$T$44,$CU31,CQ$57),""),2,1)="/",MID(IFERROR(INDEX(醫師週班表!$C$5:$T$44,$CU31,CQ$57),""),1+CQ$58*2,1),IF(MID(IFERROR(INDEX(醫師週班表!$C$5:$T$44,$CU31,CQ$57),""),3,1)="隔",IF(CQ$58=0,LEFT(IFERROR(INDEX(醫師週班表!$C$5:$T$44,$CU31,CQ$57),""),1),""),IF(MID(IFERROR(INDEX(醫師週班表!$C$5:$T$44,$CU31,CQ$57),""),2,1)="(",LEFT(IFERROR(INDEX(醫師週班表!$C$5:$T$44,$CU31,CQ$57),""),1),IFERROR(INDEX(醫師週班表!$C$5:$T$44,$CU31,CQ$57),"")))))))</f>
        <v/>
      </c>
      <c r="CR31" s="68">
        <f>IF(CR$59="X","",IF(CR$59&lt;&gt;"",CR$59,IF(IFERROR(INDEX(醫師週班表!$C$5:$T$44,$CU31,CR$57),"")=0,"",IF(MID(IFERROR(INDEX(醫師週班表!$C$5:$T$44,$CU31,CR$57),""),2,1)="/",MID(IFERROR(INDEX(醫師週班表!$C$5:$T$44,$CU31,CR$57),""),1+CR$58*2,1),IF(MID(IFERROR(INDEX(醫師週班表!$C$5:$T$44,$CU31,CR$57),""),3,1)="隔",IF(CR$58=0,LEFT(IFERROR(INDEX(醫師週班表!$C$5:$T$44,$CU31,CR$57),""),1),""),IF(MID(IFERROR(INDEX(醫師週班表!$C$5:$T$44,$CU31,CR$57),""),2,1)="(",LEFT(IFERROR(INDEX(醫師週班表!$C$5:$T$44,$CU31,CR$57),""),1),IFERROR(INDEX(醫師週班表!$C$5:$T$44,$CU31,CR$57),"")))))))</f>
        <v/>
      </c>
      <c r="CS31" s="68">
        <f>IF(CS$59="X","",IF(CS$59&lt;&gt;"",CS$59,IF(IFERROR(INDEX(醫師週班表!$C$5:$T$44,$CU31,CS$57),"")=0,"",IF(MID(IFERROR(INDEX(醫師週班表!$C$5:$T$44,$CU31,CS$57),""),2,1)="/",MID(IFERROR(INDEX(醫師週班表!$C$5:$T$44,$CU31,CS$57),""),1+CS$58*2,1),IF(MID(IFERROR(INDEX(醫師週班表!$C$5:$T$44,$CU31,CS$57),""),3,1)="隔",IF(CS$58=0,LEFT(IFERROR(INDEX(醫師週班表!$C$5:$T$44,$CU31,CS$57),""),1),""),IF(MID(IFERROR(INDEX(醫師週班表!$C$5:$T$44,$CU31,CS$57),""),2,1)="(",LEFT(IFERROR(INDEX(醫師週班表!$C$5:$T$44,$CU31,CS$57),""),1),IFERROR(INDEX(醫師週班表!$C$5:$T$44,$CU31,CS$57),"")))))))</f>
        <v/>
      </c>
      <c r="CU31" s="69">
        <f>IFERROR(MATCH($A31,醫師週班表!$A$5:$A$44,0),0)</f>
        <v/>
      </c>
    </row>
    <row r="32" ht="17" customHeight="1">
      <c r="A32" s="20" t="inlineStr">
        <is>
          <t>D027</t>
        </is>
      </c>
      <c r="B32" s="16" t="inlineStr">
        <is>
          <t>楊孟庭</t>
        </is>
      </c>
      <c r="C32" s="66" t="inlineStr"/>
      <c r="D32" s="16" t="inlineStr"/>
      <c r="E32" s="67">
        <f>IF(E$59="X","",IF(E$59&lt;&gt;"",E$59,IF(IFERROR(INDEX(醫師週班表!$C$5:$T$44,$CU32,E$57),"")=0,"",IF(MID(IFERROR(INDEX(醫師週班表!$C$5:$T$44,$CU32,E$57),""),2,1)="/",MID(IFERROR(INDEX(醫師週班表!$C$5:$T$44,$CU32,E$57),""),1+E$58*2,1),IF(MID(IFERROR(INDEX(醫師週班表!$C$5:$T$44,$CU32,E$57),""),3,1)="隔",IF(E$58=0,LEFT(IFERROR(INDEX(醫師週班表!$C$5:$T$44,$CU32,E$57),""),1),""),IF(MID(IFERROR(INDEX(醫師週班表!$C$5:$T$44,$CU32,E$57),""),2,1)="(",LEFT(IFERROR(INDEX(醫師週班表!$C$5:$T$44,$CU32,E$57),""),1),IFERROR(INDEX(醫師週班表!$C$5:$T$44,$CU32,E$57),"")))))))</f>
        <v/>
      </c>
      <c r="F32" s="68">
        <f>IF(F$59="X","",IF(F$59&lt;&gt;"",F$59,IF(IFERROR(INDEX(醫師週班表!$C$5:$T$44,$CU32,F$57),"")=0,"",IF(MID(IFERROR(INDEX(醫師週班表!$C$5:$T$44,$CU32,F$57),""),2,1)="/",MID(IFERROR(INDEX(醫師週班表!$C$5:$T$44,$CU32,F$57),""),1+F$58*2,1),IF(MID(IFERROR(INDEX(醫師週班表!$C$5:$T$44,$CU32,F$57),""),3,1)="隔",IF(F$58=0,LEFT(IFERROR(INDEX(醫師週班表!$C$5:$T$44,$CU32,F$57),""),1),""),IF(MID(IFERROR(INDEX(醫師週班表!$C$5:$T$44,$CU32,F$57),""),2,1)="(",LEFT(IFERROR(INDEX(醫師週班表!$C$5:$T$44,$CU32,F$57),""),1),IFERROR(INDEX(醫師週班表!$C$5:$T$44,$CU32,F$57),"")))))))</f>
        <v/>
      </c>
      <c r="G32" s="68">
        <f>IF(G$59="X","",IF(G$59&lt;&gt;"",G$59,IF(IFERROR(INDEX(醫師週班表!$C$5:$T$44,$CU32,G$57),"")=0,"",IF(MID(IFERROR(INDEX(醫師週班表!$C$5:$T$44,$CU32,G$57),""),2,1)="/",MID(IFERROR(INDEX(醫師週班表!$C$5:$T$44,$CU32,G$57),""),1+G$58*2,1),IF(MID(IFERROR(INDEX(醫師週班表!$C$5:$T$44,$CU32,G$57),""),3,1)="隔",IF(G$58=0,LEFT(IFERROR(INDEX(醫師週班表!$C$5:$T$44,$CU32,G$57),""),1),""),IF(MID(IFERROR(INDEX(醫師週班表!$C$5:$T$44,$CU32,G$57),""),2,1)="(",LEFT(IFERROR(INDEX(醫師週班表!$C$5:$T$44,$CU32,G$57),""),1),IFERROR(INDEX(醫師週班表!$C$5:$T$44,$CU32,G$57),"")))))))</f>
        <v/>
      </c>
      <c r="H32" s="67">
        <f>IF(H$59="X","",IF(H$59&lt;&gt;"",H$59,IF(IFERROR(INDEX(醫師週班表!$C$5:$T$44,$CU32,H$57),"")=0,"",IF(MID(IFERROR(INDEX(醫師週班表!$C$5:$T$44,$CU32,H$57),""),2,1)="/",MID(IFERROR(INDEX(醫師週班表!$C$5:$T$44,$CU32,H$57),""),1+H$58*2,1),IF(MID(IFERROR(INDEX(醫師週班表!$C$5:$T$44,$CU32,H$57),""),3,1)="隔",IF(H$58=0,LEFT(IFERROR(INDEX(醫師週班表!$C$5:$T$44,$CU32,H$57),""),1),""),IF(MID(IFERROR(INDEX(醫師週班表!$C$5:$T$44,$CU32,H$57),""),2,1)="(",LEFT(IFERROR(INDEX(醫師週班表!$C$5:$T$44,$CU32,H$57),""),1),IFERROR(INDEX(醫師週班表!$C$5:$T$44,$CU32,H$57),"")))))))</f>
        <v/>
      </c>
      <c r="I32" s="68">
        <f>IF(I$59="X","",IF(I$59&lt;&gt;"",I$59,IF(IFERROR(INDEX(醫師週班表!$C$5:$T$44,$CU32,I$57),"")=0,"",IF(MID(IFERROR(INDEX(醫師週班表!$C$5:$T$44,$CU32,I$57),""),2,1)="/",MID(IFERROR(INDEX(醫師週班表!$C$5:$T$44,$CU32,I$57),""),1+I$58*2,1),IF(MID(IFERROR(INDEX(醫師週班表!$C$5:$T$44,$CU32,I$57),""),3,1)="隔",IF(I$58=0,LEFT(IFERROR(INDEX(醫師週班表!$C$5:$T$44,$CU32,I$57),""),1),""),IF(MID(IFERROR(INDEX(醫師週班表!$C$5:$T$44,$CU32,I$57),""),2,1)="(",LEFT(IFERROR(INDEX(醫師週班表!$C$5:$T$44,$CU32,I$57),""),1),IFERROR(INDEX(醫師週班表!$C$5:$T$44,$CU32,I$57),"")))))))</f>
        <v/>
      </c>
      <c r="J32" s="68">
        <f>IF(J$59="X","",IF(J$59&lt;&gt;"",J$59,IF(IFERROR(INDEX(醫師週班表!$C$5:$T$44,$CU32,J$57),"")=0,"",IF(MID(IFERROR(INDEX(醫師週班表!$C$5:$T$44,$CU32,J$57),""),2,1)="/",MID(IFERROR(INDEX(醫師週班表!$C$5:$T$44,$CU32,J$57),""),1+J$58*2,1),IF(MID(IFERROR(INDEX(醫師週班表!$C$5:$T$44,$CU32,J$57),""),3,1)="隔",IF(J$58=0,LEFT(IFERROR(INDEX(醫師週班表!$C$5:$T$44,$CU32,J$57),""),1),""),IF(MID(IFERROR(INDEX(醫師週班表!$C$5:$T$44,$CU32,J$57),""),2,1)="(",LEFT(IFERROR(INDEX(醫師週班表!$C$5:$T$44,$CU32,J$57),""),1),IFERROR(INDEX(醫師週班表!$C$5:$T$44,$CU32,J$57),"")))))))</f>
        <v/>
      </c>
      <c r="K32" s="67">
        <f>IF(K$59="X","",IF(K$59&lt;&gt;"",K$59,IF(IFERROR(INDEX(醫師週班表!$C$5:$T$44,$CU32,K$57),"")=0,"",IF(MID(IFERROR(INDEX(醫師週班表!$C$5:$T$44,$CU32,K$57),""),2,1)="/",MID(IFERROR(INDEX(醫師週班表!$C$5:$T$44,$CU32,K$57),""),1+K$58*2,1),IF(MID(IFERROR(INDEX(醫師週班表!$C$5:$T$44,$CU32,K$57),""),3,1)="隔",IF(K$58=0,LEFT(IFERROR(INDEX(醫師週班表!$C$5:$T$44,$CU32,K$57),""),1),""),IF(MID(IFERROR(INDEX(醫師週班表!$C$5:$T$44,$CU32,K$57),""),2,1)="(",LEFT(IFERROR(INDEX(醫師週班表!$C$5:$T$44,$CU32,K$57),""),1),IFERROR(INDEX(醫師週班表!$C$5:$T$44,$CU32,K$57),"")))))))</f>
        <v/>
      </c>
      <c r="L32" s="68">
        <f>IF(L$59="X","",IF(L$59&lt;&gt;"",L$59,IF(IFERROR(INDEX(醫師週班表!$C$5:$T$44,$CU32,L$57),"")=0,"",IF(MID(IFERROR(INDEX(醫師週班表!$C$5:$T$44,$CU32,L$57),""),2,1)="/",MID(IFERROR(INDEX(醫師週班表!$C$5:$T$44,$CU32,L$57),""),1+L$58*2,1),IF(MID(IFERROR(INDEX(醫師週班表!$C$5:$T$44,$CU32,L$57),""),3,1)="隔",IF(L$58=0,LEFT(IFERROR(INDEX(醫師週班表!$C$5:$T$44,$CU32,L$57),""),1),""),IF(MID(IFERROR(INDEX(醫師週班表!$C$5:$T$44,$CU32,L$57),""),2,1)="(",LEFT(IFERROR(INDEX(醫師週班表!$C$5:$T$44,$CU32,L$57),""),1),IFERROR(INDEX(醫師週班表!$C$5:$T$44,$CU32,L$57),"")))))))</f>
        <v/>
      </c>
      <c r="M32" s="68">
        <f>IF(M$59="X","",IF(M$59&lt;&gt;"",M$59,IF(IFERROR(INDEX(醫師週班表!$C$5:$T$44,$CU32,M$57),"")=0,"",IF(MID(IFERROR(INDEX(醫師週班表!$C$5:$T$44,$CU32,M$57),""),2,1)="/",MID(IFERROR(INDEX(醫師週班表!$C$5:$T$44,$CU32,M$57),""),1+M$58*2,1),IF(MID(IFERROR(INDEX(醫師週班表!$C$5:$T$44,$CU32,M$57),""),3,1)="隔",IF(M$58=0,LEFT(IFERROR(INDEX(醫師週班表!$C$5:$T$44,$CU32,M$57),""),1),""),IF(MID(IFERROR(INDEX(醫師週班表!$C$5:$T$44,$CU32,M$57),""),2,1)="(",LEFT(IFERROR(INDEX(醫師週班表!$C$5:$T$44,$CU32,M$57),""),1),IFERROR(INDEX(醫師週班表!$C$5:$T$44,$CU32,M$57),"")))))))</f>
        <v/>
      </c>
      <c r="N32" s="67">
        <f>IF(N$59="X","",IF(N$59&lt;&gt;"",N$59,IF(IFERROR(INDEX(醫師週班表!$C$5:$T$44,$CU32,N$57),"")=0,"",IF(MID(IFERROR(INDEX(醫師週班表!$C$5:$T$44,$CU32,N$57),""),2,1)="/",MID(IFERROR(INDEX(醫師週班表!$C$5:$T$44,$CU32,N$57),""),1+N$58*2,1),IF(MID(IFERROR(INDEX(醫師週班表!$C$5:$T$44,$CU32,N$57),""),3,1)="隔",IF(N$58=0,LEFT(IFERROR(INDEX(醫師週班表!$C$5:$T$44,$CU32,N$57),""),1),""),IF(MID(IFERROR(INDEX(醫師週班表!$C$5:$T$44,$CU32,N$57),""),2,1)="(",LEFT(IFERROR(INDEX(醫師週班表!$C$5:$T$44,$CU32,N$57),""),1),IFERROR(INDEX(醫師週班表!$C$5:$T$44,$CU32,N$57),"")))))))</f>
        <v/>
      </c>
      <c r="O32" s="68">
        <f>IF(O$59="X","",IF(O$59&lt;&gt;"",O$59,IF(IFERROR(INDEX(醫師週班表!$C$5:$T$44,$CU32,O$57),"")=0,"",IF(MID(IFERROR(INDEX(醫師週班表!$C$5:$T$44,$CU32,O$57),""),2,1)="/",MID(IFERROR(INDEX(醫師週班表!$C$5:$T$44,$CU32,O$57),""),1+O$58*2,1),IF(MID(IFERROR(INDEX(醫師週班表!$C$5:$T$44,$CU32,O$57),""),3,1)="隔",IF(O$58=0,LEFT(IFERROR(INDEX(醫師週班表!$C$5:$T$44,$CU32,O$57),""),1),""),IF(MID(IFERROR(INDEX(醫師週班表!$C$5:$T$44,$CU32,O$57),""),2,1)="(",LEFT(IFERROR(INDEX(醫師週班表!$C$5:$T$44,$CU32,O$57),""),1),IFERROR(INDEX(醫師週班表!$C$5:$T$44,$CU32,O$57),"")))))))</f>
        <v/>
      </c>
      <c r="P32" s="68">
        <f>IF(P$59="X","",IF(P$59&lt;&gt;"",P$59,IF(IFERROR(INDEX(醫師週班表!$C$5:$T$44,$CU32,P$57),"")=0,"",IF(MID(IFERROR(INDEX(醫師週班表!$C$5:$T$44,$CU32,P$57),""),2,1)="/",MID(IFERROR(INDEX(醫師週班表!$C$5:$T$44,$CU32,P$57),""),1+P$58*2,1),IF(MID(IFERROR(INDEX(醫師週班表!$C$5:$T$44,$CU32,P$57),""),3,1)="隔",IF(P$58=0,LEFT(IFERROR(INDEX(醫師週班表!$C$5:$T$44,$CU32,P$57),""),1),""),IF(MID(IFERROR(INDEX(醫師週班表!$C$5:$T$44,$CU32,P$57),""),2,1)="(",LEFT(IFERROR(INDEX(醫師週班表!$C$5:$T$44,$CU32,P$57),""),1),IFERROR(INDEX(醫師週班表!$C$5:$T$44,$CU32,P$57),"")))))))</f>
        <v/>
      </c>
      <c r="Q32" s="67">
        <f>IF(Q$59="X","",IF(Q$59&lt;&gt;"",Q$59,IF(IFERROR(INDEX(醫師週班表!$C$5:$T$44,$CU32,Q$57),"")=0,"",IF(MID(IFERROR(INDEX(醫師週班表!$C$5:$T$44,$CU32,Q$57),""),2,1)="/",MID(IFERROR(INDEX(醫師週班表!$C$5:$T$44,$CU32,Q$57),""),1+Q$58*2,1),IF(MID(IFERROR(INDEX(醫師週班表!$C$5:$T$44,$CU32,Q$57),""),3,1)="隔",IF(Q$58=0,LEFT(IFERROR(INDEX(醫師週班表!$C$5:$T$44,$CU32,Q$57),""),1),""),IF(MID(IFERROR(INDEX(醫師週班表!$C$5:$T$44,$CU32,Q$57),""),2,1)="(",LEFT(IFERROR(INDEX(醫師週班表!$C$5:$T$44,$CU32,Q$57),""),1),IFERROR(INDEX(醫師週班表!$C$5:$T$44,$CU32,Q$57),"")))))))</f>
        <v/>
      </c>
      <c r="R32" s="68">
        <f>IF(R$59="X","",IF(R$59&lt;&gt;"",R$59,IF(IFERROR(INDEX(醫師週班表!$C$5:$T$44,$CU32,R$57),"")=0,"",IF(MID(IFERROR(INDEX(醫師週班表!$C$5:$T$44,$CU32,R$57),""),2,1)="/",MID(IFERROR(INDEX(醫師週班表!$C$5:$T$44,$CU32,R$57),""),1+R$58*2,1),IF(MID(IFERROR(INDEX(醫師週班表!$C$5:$T$44,$CU32,R$57),""),3,1)="隔",IF(R$58=0,LEFT(IFERROR(INDEX(醫師週班表!$C$5:$T$44,$CU32,R$57),""),1),""),IF(MID(IFERROR(INDEX(醫師週班表!$C$5:$T$44,$CU32,R$57),""),2,1)="(",LEFT(IFERROR(INDEX(醫師週班表!$C$5:$T$44,$CU32,R$57),""),1),IFERROR(INDEX(醫師週班表!$C$5:$T$44,$CU32,R$57),"")))))))</f>
        <v/>
      </c>
      <c r="S32" s="68">
        <f>IF(S$59="X","",IF(S$59&lt;&gt;"",S$59,IF(IFERROR(INDEX(醫師週班表!$C$5:$T$44,$CU32,S$57),"")=0,"",IF(MID(IFERROR(INDEX(醫師週班表!$C$5:$T$44,$CU32,S$57),""),2,1)="/",MID(IFERROR(INDEX(醫師週班表!$C$5:$T$44,$CU32,S$57),""),1+S$58*2,1),IF(MID(IFERROR(INDEX(醫師週班表!$C$5:$T$44,$CU32,S$57),""),3,1)="隔",IF(S$58=0,LEFT(IFERROR(INDEX(醫師週班表!$C$5:$T$44,$CU32,S$57),""),1),""),IF(MID(IFERROR(INDEX(醫師週班表!$C$5:$T$44,$CU32,S$57),""),2,1)="(",LEFT(IFERROR(INDEX(醫師週班表!$C$5:$T$44,$CU32,S$57),""),1),IFERROR(INDEX(醫師週班表!$C$5:$T$44,$CU32,S$57),"")))))))</f>
        <v/>
      </c>
      <c r="T32" s="67">
        <f>IF(T$59="X","",IF(T$59&lt;&gt;"",T$59,IF(IFERROR(INDEX(醫師週班表!$C$5:$T$44,$CU32,T$57),"")=0,"",IF(MID(IFERROR(INDEX(醫師週班表!$C$5:$T$44,$CU32,T$57),""),2,1)="/",MID(IFERROR(INDEX(醫師週班表!$C$5:$T$44,$CU32,T$57),""),1+T$58*2,1),IF(MID(IFERROR(INDEX(醫師週班表!$C$5:$T$44,$CU32,T$57),""),3,1)="隔",IF(T$58=0,LEFT(IFERROR(INDEX(醫師週班表!$C$5:$T$44,$CU32,T$57),""),1),""),IF(MID(IFERROR(INDEX(醫師週班表!$C$5:$T$44,$CU32,T$57),""),2,1)="(",LEFT(IFERROR(INDEX(醫師週班表!$C$5:$T$44,$CU32,T$57),""),1),IFERROR(INDEX(醫師週班表!$C$5:$T$44,$CU32,T$57),"")))))))</f>
        <v/>
      </c>
      <c r="U32" s="68">
        <f>IF(U$59="X","",IF(U$59&lt;&gt;"",U$59,IF(IFERROR(INDEX(醫師週班表!$C$5:$T$44,$CU32,U$57),"")=0,"",IF(MID(IFERROR(INDEX(醫師週班表!$C$5:$T$44,$CU32,U$57),""),2,1)="/",MID(IFERROR(INDEX(醫師週班表!$C$5:$T$44,$CU32,U$57),""),1+U$58*2,1),IF(MID(IFERROR(INDEX(醫師週班表!$C$5:$T$44,$CU32,U$57),""),3,1)="隔",IF(U$58=0,LEFT(IFERROR(INDEX(醫師週班表!$C$5:$T$44,$CU32,U$57),""),1),""),IF(MID(IFERROR(INDEX(醫師週班表!$C$5:$T$44,$CU32,U$57),""),2,1)="(",LEFT(IFERROR(INDEX(醫師週班表!$C$5:$T$44,$CU32,U$57),""),1),IFERROR(INDEX(醫師週班表!$C$5:$T$44,$CU32,U$57),"")))))))</f>
        <v/>
      </c>
      <c r="V32" s="68">
        <f>IF(V$59="X","",IF(V$59&lt;&gt;"",V$59,IF(IFERROR(INDEX(醫師週班表!$C$5:$T$44,$CU32,V$57),"")=0,"",IF(MID(IFERROR(INDEX(醫師週班表!$C$5:$T$44,$CU32,V$57),""),2,1)="/",MID(IFERROR(INDEX(醫師週班表!$C$5:$T$44,$CU32,V$57),""),1+V$58*2,1),IF(MID(IFERROR(INDEX(醫師週班表!$C$5:$T$44,$CU32,V$57),""),3,1)="隔",IF(V$58=0,LEFT(IFERROR(INDEX(醫師週班表!$C$5:$T$44,$CU32,V$57),""),1),""),IF(MID(IFERROR(INDEX(醫師週班表!$C$5:$T$44,$CU32,V$57),""),2,1)="(",LEFT(IFERROR(INDEX(醫師週班表!$C$5:$T$44,$CU32,V$57),""),1),IFERROR(INDEX(醫師週班表!$C$5:$T$44,$CU32,V$57),"")))))))</f>
        <v/>
      </c>
      <c r="W32" s="67">
        <f>IF(W$59="X","",IF(W$59&lt;&gt;"",W$59,IF(IFERROR(INDEX(醫師週班表!$C$5:$T$44,$CU32,W$57),"")=0,"",IF(MID(IFERROR(INDEX(醫師週班表!$C$5:$T$44,$CU32,W$57),""),2,1)="/",MID(IFERROR(INDEX(醫師週班表!$C$5:$T$44,$CU32,W$57),""),1+W$58*2,1),IF(MID(IFERROR(INDEX(醫師週班表!$C$5:$T$44,$CU32,W$57),""),3,1)="隔",IF(W$58=0,LEFT(IFERROR(INDEX(醫師週班表!$C$5:$T$44,$CU32,W$57),""),1),""),IF(MID(IFERROR(INDEX(醫師週班表!$C$5:$T$44,$CU32,W$57),""),2,1)="(",LEFT(IFERROR(INDEX(醫師週班表!$C$5:$T$44,$CU32,W$57),""),1),IFERROR(INDEX(醫師週班表!$C$5:$T$44,$CU32,W$57),"")))))))</f>
        <v/>
      </c>
      <c r="X32" s="68">
        <f>IF(X$59="X","",IF(X$59&lt;&gt;"",X$59,IF(IFERROR(INDEX(醫師週班表!$C$5:$T$44,$CU32,X$57),"")=0,"",IF(MID(IFERROR(INDEX(醫師週班表!$C$5:$T$44,$CU32,X$57),""),2,1)="/",MID(IFERROR(INDEX(醫師週班表!$C$5:$T$44,$CU32,X$57),""),1+X$58*2,1),IF(MID(IFERROR(INDEX(醫師週班表!$C$5:$T$44,$CU32,X$57),""),3,1)="隔",IF(X$58=0,LEFT(IFERROR(INDEX(醫師週班表!$C$5:$T$44,$CU32,X$57),""),1),""),IF(MID(IFERROR(INDEX(醫師週班表!$C$5:$T$44,$CU32,X$57),""),2,1)="(",LEFT(IFERROR(INDEX(醫師週班表!$C$5:$T$44,$CU32,X$57),""),1),IFERROR(INDEX(醫師週班表!$C$5:$T$44,$CU32,X$57),"")))))))</f>
        <v/>
      </c>
      <c r="Y32" s="68">
        <f>IF(Y$59="X","",IF(Y$59&lt;&gt;"",Y$59,IF(IFERROR(INDEX(醫師週班表!$C$5:$T$44,$CU32,Y$57),"")=0,"",IF(MID(IFERROR(INDEX(醫師週班表!$C$5:$T$44,$CU32,Y$57),""),2,1)="/",MID(IFERROR(INDEX(醫師週班表!$C$5:$T$44,$CU32,Y$57),""),1+Y$58*2,1),IF(MID(IFERROR(INDEX(醫師週班表!$C$5:$T$44,$CU32,Y$57),""),3,1)="隔",IF(Y$58=0,LEFT(IFERROR(INDEX(醫師週班表!$C$5:$T$44,$CU32,Y$57),""),1),""),IF(MID(IFERROR(INDEX(醫師週班表!$C$5:$T$44,$CU32,Y$57),""),2,1)="(",LEFT(IFERROR(INDEX(醫師週班表!$C$5:$T$44,$CU32,Y$57),""),1),IFERROR(INDEX(醫師週班表!$C$5:$T$44,$CU32,Y$57),"")))))))</f>
        <v/>
      </c>
      <c r="Z32" s="67">
        <f>IF(Z$59="X","",IF(Z$59&lt;&gt;"",Z$59,IF(IFERROR(INDEX(醫師週班表!$C$5:$T$44,$CU32,Z$57),"")=0,"",IF(MID(IFERROR(INDEX(醫師週班表!$C$5:$T$44,$CU32,Z$57),""),2,1)="/",MID(IFERROR(INDEX(醫師週班表!$C$5:$T$44,$CU32,Z$57),""),1+Z$58*2,1),IF(MID(IFERROR(INDEX(醫師週班表!$C$5:$T$44,$CU32,Z$57),""),3,1)="隔",IF(Z$58=0,LEFT(IFERROR(INDEX(醫師週班表!$C$5:$T$44,$CU32,Z$57),""),1),""),IF(MID(IFERROR(INDEX(醫師週班表!$C$5:$T$44,$CU32,Z$57),""),2,1)="(",LEFT(IFERROR(INDEX(醫師週班表!$C$5:$T$44,$CU32,Z$57),""),1),IFERROR(INDEX(醫師週班表!$C$5:$T$44,$CU32,Z$57),"")))))))</f>
        <v/>
      </c>
      <c r="AA32" s="68">
        <f>IF(AA$59="X","",IF(AA$59&lt;&gt;"",AA$59,IF(IFERROR(INDEX(醫師週班表!$C$5:$T$44,$CU32,AA$57),"")=0,"",IF(MID(IFERROR(INDEX(醫師週班表!$C$5:$T$44,$CU32,AA$57),""),2,1)="/",MID(IFERROR(INDEX(醫師週班表!$C$5:$T$44,$CU32,AA$57),""),1+AA$58*2,1),IF(MID(IFERROR(INDEX(醫師週班表!$C$5:$T$44,$CU32,AA$57),""),3,1)="隔",IF(AA$58=0,LEFT(IFERROR(INDEX(醫師週班表!$C$5:$T$44,$CU32,AA$57),""),1),""),IF(MID(IFERROR(INDEX(醫師週班表!$C$5:$T$44,$CU32,AA$57),""),2,1)="(",LEFT(IFERROR(INDEX(醫師週班表!$C$5:$T$44,$CU32,AA$57),""),1),IFERROR(INDEX(醫師週班表!$C$5:$T$44,$CU32,AA$57),"")))))))</f>
        <v/>
      </c>
      <c r="AB32" s="68">
        <f>IF(AB$59="X","",IF(AB$59&lt;&gt;"",AB$59,IF(IFERROR(INDEX(醫師週班表!$C$5:$T$44,$CU32,AB$57),"")=0,"",IF(MID(IFERROR(INDEX(醫師週班表!$C$5:$T$44,$CU32,AB$57),""),2,1)="/",MID(IFERROR(INDEX(醫師週班表!$C$5:$T$44,$CU32,AB$57),""),1+AB$58*2,1),IF(MID(IFERROR(INDEX(醫師週班表!$C$5:$T$44,$CU32,AB$57),""),3,1)="隔",IF(AB$58=0,LEFT(IFERROR(INDEX(醫師週班表!$C$5:$T$44,$CU32,AB$57),""),1),""),IF(MID(IFERROR(INDEX(醫師週班表!$C$5:$T$44,$CU32,AB$57),""),2,1)="(",LEFT(IFERROR(INDEX(醫師週班表!$C$5:$T$44,$CU32,AB$57),""),1),IFERROR(INDEX(醫師週班表!$C$5:$T$44,$CU32,AB$57),"")))))))</f>
        <v/>
      </c>
      <c r="AC32" s="67">
        <f>IF(AC$59="X","",IF(AC$59&lt;&gt;"",AC$59,IF(IFERROR(INDEX(醫師週班表!$C$5:$T$44,$CU32,AC$57),"")=0,"",IF(MID(IFERROR(INDEX(醫師週班表!$C$5:$T$44,$CU32,AC$57),""),2,1)="/",MID(IFERROR(INDEX(醫師週班表!$C$5:$T$44,$CU32,AC$57),""),1+AC$58*2,1),IF(MID(IFERROR(INDEX(醫師週班表!$C$5:$T$44,$CU32,AC$57),""),3,1)="隔",IF(AC$58=0,LEFT(IFERROR(INDEX(醫師週班表!$C$5:$T$44,$CU32,AC$57),""),1),""),IF(MID(IFERROR(INDEX(醫師週班表!$C$5:$T$44,$CU32,AC$57),""),2,1)="(",LEFT(IFERROR(INDEX(醫師週班表!$C$5:$T$44,$CU32,AC$57),""),1),IFERROR(INDEX(醫師週班表!$C$5:$T$44,$CU32,AC$57),"")))))))</f>
        <v/>
      </c>
      <c r="AD32" s="68">
        <f>IF(AD$59="X","",IF(AD$59&lt;&gt;"",AD$59,IF(IFERROR(INDEX(醫師週班表!$C$5:$T$44,$CU32,AD$57),"")=0,"",IF(MID(IFERROR(INDEX(醫師週班表!$C$5:$T$44,$CU32,AD$57),""),2,1)="/",MID(IFERROR(INDEX(醫師週班表!$C$5:$T$44,$CU32,AD$57),""),1+AD$58*2,1),IF(MID(IFERROR(INDEX(醫師週班表!$C$5:$T$44,$CU32,AD$57),""),3,1)="隔",IF(AD$58=0,LEFT(IFERROR(INDEX(醫師週班表!$C$5:$T$44,$CU32,AD$57),""),1),""),IF(MID(IFERROR(INDEX(醫師週班表!$C$5:$T$44,$CU32,AD$57),""),2,1)="(",LEFT(IFERROR(INDEX(醫師週班表!$C$5:$T$44,$CU32,AD$57),""),1),IFERROR(INDEX(醫師週班表!$C$5:$T$44,$CU32,AD$57),"")))))))</f>
        <v/>
      </c>
      <c r="AE32" s="68">
        <f>IF(AE$59="X","",IF(AE$59&lt;&gt;"",AE$59,IF(IFERROR(INDEX(醫師週班表!$C$5:$T$44,$CU32,AE$57),"")=0,"",IF(MID(IFERROR(INDEX(醫師週班表!$C$5:$T$44,$CU32,AE$57),""),2,1)="/",MID(IFERROR(INDEX(醫師週班表!$C$5:$T$44,$CU32,AE$57),""),1+AE$58*2,1),IF(MID(IFERROR(INDEX(醫師週班表!$C$5:$T$44,$CU32,AE$57),""),3,1)="隔",IF(AE$58=0,LEFT(IFERROR(INDEX(醫師週班表!$C$5:$T$44,$CU32,AE$57),""),1),""),IF(MID(IFERROR(INDEX(醫師週班表!$C$5:$T$44,$CU32,AE$57),""),2,1)="(",LEFT(IFERROR(INDEX(醫師週班表!$C$5:$T$44,$CU32,AE$57),""),1),IFERROR(INDEX(醫師週班表!$C$5:$T$44,$CU32,AE$57),"")))))))</f>
        <v/>
      </c>
      <c r="AF32" s="67">
        <f>IF(AF$59="X","",IF(AF$59&lt;&gt;"",AF$59,IF(IFERROR(INDEX(醫師週班表!$C$5:$T$44,$CU32,AF$57),"")=0,"",IF(MID(IFERROR(INDEX(醫師週班表!$C$5:$T$44,$CU32,AF$57),""),2,1)="/",MID(IFERROR(INDEX(醫師週班表!$C$5:$T$44,$CU32,AF$57),""),1+AF$58*2,1),IF(MID(IFERROR(INDEX(醫師週班表!$C$5:$T$44,$CU32,AF$57),""),3,1)="隔",IF(AF$58=0,LEFT(IFERROR(INDEX(醫師週班表!$C$5:$T$44,$CU32,AF$57),""),1),""),IF(MID(IFERROR(INDEX(醫師週班表!$C$5:$T$44,$CU32,AF$57),""),2,1)="(",LEFT(IFERROR(INDEX(醫師週班表!$C$5:$T$44,$CU32,AF$57),""),1),IFERROR(INDEX(醫師週班表!$C$5:$T$44,$CU32,AF$57),"")))))))</f>
        <v/>
      </c>
      <c r="AG32" s="68">
        <f>IF(AG$59="X","",IF(AG$59&lt;&gt;"",AG$59,IF(IFERROR(INDEX(醫師週班表!$C$5:$T$44,$CU32,AG$57),"")=0,"",IF(MID(IFERROR(INDEX(醫師週班表!$C$5:$T$44,$CU32,AG$57),""),2,1)="/",MID(IFERROR(INDEX(醫師週班表!$C$5:$T$44,$CU32,AG$57),""),1+AG$58*2,1),IF(MID(IFERROR(INDEX(醫師週班表!$C$5:$T$44,$CU32,AG$57),""),3,1)="隔",IF(AG$58=0,LEFT(IFERROR(INDEX(醫師週班表!$C$5:$T$44,$CU32,AG$57),""),1),""),IF(MID(IFERROR(INDEX(醫師週班表!$C$5:$T$44,$CU32,AG$57),""),2,1)="(",LEFT(IFERROR(INDEX(醫師週班表!$C$5:$T$44,$CU32,AG$57),""),1),IFERROR(INDEX(醫師週班表!$C$5:$T$44,$CU32,AG$57),"")))))))</f>
        <v/>
      </c>
      <c r="AH32" s="68">
        <f>IF(AH$59="X","",IF(AH$59&lt;&gt;"",AH$59,IF(IFERROR(INDEX(醫師週班表!$C$5:$T$44,$CU32,AH$57),"")=0,"",IF(MID(IFERROR(INDEX(醫師週班表!$C$5:$T$44,$CU32,AH$57),""),2,1)="/",MID(IFERROR(INDEX(醫師週班表!$C$5:$T$44,$CU32,AH$57),""),1+AH$58*2,1),IF(MID(IFERROR(INDEX(醫師週班表!$C$5:$T$44,$CU32,AH$57),""),3,1)="隔",IF(AH$58=0,LEFT(IFERROR(INDEX(醫師週班表!$C$5:$T$44,$CU32,AH$57),""),1),""),IF(MID(IFERROR(INDEX(醫師週班表!$C$5:$T$44,$CU32,AH$57),""),2,1)="(",LEFT(IFERROR(INDEX(醫師週班表!$C$5:$T$44,$CU32,AH$57),""),1),IFERROR(INDEX(醫師週班表!$C$5:$T$44,$CU32,AH$57),"")))))))</f>
        <v/>
      </c>
      <c r="AI32" s="67">
        <f>IF(AI$59="X","",IF(AI$59&lt;&gt;"",AI$59,IF(IFERROR(INDEX(醫師週班表!$C$5:$T$44,$CU32,AI$57),"")=0,"",IF(MID(IFERROR(INDEX(醫師週班表!$C$5:$T$44,$CU32,AI$57),""),2,1)="/",MID(IFERROR(INDEX(醫師週班表!$C$5:$T$44,$CU32,AI$57),""),1+AI$58*2,1),IF(MID(IFERROR(INDEX(醫師週班表!$C$5:$T$44,$CU32,AI$57),""),3,1)="隔",IF(AI$58=0,LEFT(IFERROR(INDEX(醫師週班表!$C$5:$T$44,$CU32,AI$57),""),1),""),IF(MID(IFERROR(INDEX(醫師週班表!$C$5:$T$44,$CU32,AI$57),""),2,1)="(",LEFT(IFERROR(INDEX(醫師週班表!$C$5:$T$44,$CU32,AI$57),""),1),IFERROR(INDEX(醫師週班表!$C$5:$T$44,$CU32,AI$57),"")))))))</f>
        <v/>
      </c>
      <c r="AJ32" s="68">
        <f>IF(AJ$59="X","",IF(AJ$59&lt;&gt;"",AJ$59,IF(IFERROR(INDEX(醫師週班表!$C$5:$T$44,$CU32,AJ$57),"")=0,"",IF(MID(IFERROR(INDEX(醫師週班表!$C$5:$T$44,$CU32,AJ$57),""),2,1)="/",MID(IFERROR(INDEX(醫師週班表!$C$5:$T$44,$CU32,AJ$57),""),1+AJ$58*2,1),IF(MID(IFERROR(INDEX(醫師週班表!$C$5:$T$44,$CU32,AJ$57),""),3,1)="隔",IF(AJ$58=0,LEFT(IFERROR(INDEX(醫師週班表!$C$5:$T$44,$CU32,AJ$57),""),1),""),IF(MID(IFERROR(INDEX(醫師週班表!$C$5:$T$44,$CU32,AJ$57),""),2,1)="(",LEFT(IFERROR(INDEX(醫師週班表!$C$5:$T$44,$CU32,AJ$57),""),1),IFERROR(INDEX(醫師週班表!$C$5:$T$44,$CU32,AJ$57),"")))))))</f>
        <v/>
      </c>
      <c r="AK32" s="68">
        <f>IF(AK$59="X","",IF(AK$59&lt;&gt;"",AK$59,IF(IFERROR(INDEX(醫師週班表!$C$5:$T$44,$CU32,AK$57),"")=0,"",IF(MID(IFERROR(INDEX(醫師週班表!$C$5:$T$44,$CU32,AK$57),""),2,1)="/",MID(IFERROR(INDEX(醫師週班表!$C$5:$T$44,$CU32,AK$57),""),1+AK$58*2,1),IF(MID(IFERROR(INDEX(醫師週班表!$C$5:$T$44,$CU32,AK$57),""),3,1)="隔",IF(AK$58=0,LEFT(IFERROR(INDEX(醫師週班表!$C$5:$T$44,$CU32,AK$57),""),1),""),IF(MID(IFERROR(INDEX(醫師週班表!$C$5:$T$44,$CU32,AK$57),""),2,1)="(",LEFT(IFERROR(INDEX(醫師週班表!$C$5:$T$44,$CU32,AK$57),""),1),IFERROR(INDEX(醫師週班表!$C$5:$T$44,$CU32,AK$57),"")))))))</f>
        <v/>
      </c>
      <c r="AL32" s="67">
        <f>IF(AL$59="X","",IF(AL$59&lt;&gt;"",AL$59,IF(IFERROR(INDEX(醫師週班表!$C$5:$T$44,$CU32,AL$57),"")=0,"",IF(MID(IFERROR(INDEX(醫師週班表!$C$5:$T$44,$CU32,AL$57),""),2,1)="/",MID(IFERROR(INDEX(醫師週班表!$C$5:$T$44,$CU32,AL$57),""),1+AL$58*2,1),IF(MID(IFERROR(INDEX(醫師週班表!$C$5:$T$44,$CU32,AL$57),""),3,1)="隔",IF(AL$58=0,LEFT(IFERROR(INDEX(醫師週班表!$C$5:$T$44,$CU32,AL$57),""),1),""),IF(MID(IFERROR(INDEX(醫師週班表!$C$5:$T$44,$CU32,AL$57),""),2,1)="(",LEFT(IFERROR(INDEX(醫師週班表!$C$5:$T$44,$CU32,AL$57),""),1),IFERROR(INDEX(醫師週班表!$C$5:$T$44,$CU32,AL$57),"")))))))</f>
        <v/>
      </c>
      <c r="AM32" s="68">
        <f>IF(AM$59="X","",IF(AM$59&lt;&gt;"",AM$59,IF(IFERROR(INDEX(醫師週班表!$C$5:$T$44,$CU32,AM$57),"")=0,"",IF(MID(IFERROR(INDEX(醫師週班表!$C$5:$T$44,$CU32,AM$57),""),2,1)="/",MID(IFERROR(INDEX(醫師週班表!$C$5:$T$44,$CU32,AM$57),""),1+AM$58*2,1),IF(MID(IFERROR(INDEX(醫師週班表!$C$5:$T$44,$CU32,AM$57),""),3,1)="隔",IF(AM$58=0,LEFT(IFERROR(INDEX(醫師週班表!$C$5:$T$44,$CU32,AM$57),""),1),""),IF(MID(IFERROR(INDEX(醫師週班表!$C$5:$T$44,$CU32,AM$57),""),2,1)="(",LEFT(IFERROR(INDEX(醫師週班表!$C$5:$T$44,$CU32,AM$57),""),1),IFERROR(INDEX(醫師週班表!$C$5:$T$44,$CU32,AM$57),"")))))))</f>
        <v/>
      </c>
      <c r="AN32" s="68">
        <f>IF(AN$59="X","",IF(AN$59&lt;&gt;"",AN$59,IF(IFERROR(INDEX(醫師週班表!$C$5:$T$44,$CU32,AN$57),"")=0,"",IF(MID(IFERROR(INDEX(醫師週班表!$C$5:$T$44,$CU32,AN$57),""),2,1)="/",MID(IFERROR(INDEX(醫師週班表!$C$5:$T$44,$CU32,AN$57),""),1+AN$58*2,1),IF(MID(IFERROR(INDEX(醫師週班表!$C$5:$T$44,$CU32,AN$57),""),3,1)="隔",IF(AN$58=0,LEFT(IFERROR(INDEX(醫師週班表!$C$5:$T$44,$CU32,AN$57),""),1),""),IF(MID(IFERROR(INDEX(醫師週班表!$C$5:$T$44,$CU32,AN$57),""),2,1)="(",LEFT(IFERROR(INDEX(醫師週班表!$C$5:$T$44,$CU32,AN$57),""),1),IFERROR(INDEX(醫師週班表!$C$5:$T$44,$CU32,AN$57),"")))))))</f>
        <v/>
      </c>
      <c r="AO32" s="67">
        <f>IF(AO$59="X","",IF(AO$59&lt;&gt;"",AO$59,IF(IFERROR(INDEX(醫師週班表!$C$5:$T$44,$CU32,AO$57),"")=0,"",IF(MID(IFERROR(INDEX(醫師週班表!$C$5:$T$44,$CU32,AO$57),""),2,1)="/",MID(IFERROR(INDEX(醫師週班表!$C$5:$T$44,$CU32,AO$57),""),1+AO$58*2,1),IF(MID(IFERROR(INDEX(醫師週班表!$C$5:$T$44,$CU32,AO$57),""),3,1)="隔",IF(AO$58=0,LEFT(IFERROR(INDEX(醫師週班表!$C$5:$T$44,$CU32,AO$57),""),1),""),IF(MID(IFERROR(INDEX(醫師週班表!$C$5:$T$44,$CU32,AO$57),""),2,1)="(",LEFT(IFERROR(INDEX(醫師週班表!$C$5:$T$44,$CU32,AO$57),""),1),IFERROR(INDEX(醫師週班表!$C$5:$T$44,$CU32,AO$57),"")))))))</f>
        <v/>
      </c>
      <c r="AP32" s="68">
        <f>IF(AP$59="X","",IF(AP$59&lt;&gt;"",AP$59,IF(IFERROR(INDEX(醫師週班表!$C$5:$T$44,$CU32,AP$57),"")=0,"",IF(MID(IFERROR(INDEX(醫師週班表!$C$5:$T$44,$CU32,AP$57),""),2,1)="/",MID(IFERROR(INDEX(醫師週班表!$C$5:$T$44,$CU32,AP$57),""),1+AP$58*2,1),IF(MID(IFERROR(INDEX(醫師週班表!$C$5:$T$44,$CU32,AP$57),""),3,1)="隔",IF(AP$58=0,LEFT(IFERROR(INDEX(醫師週班表!$C$5:$T$44,$CU32,AP$57),""),1),""),IF(MID(IFERROR(INDEX(醫師週班表!$C$5:$T$44,$CU32,AP$57),""),2,1)="(",LEFT(IFERROR(INDEX(醫師週班表!$C$5:$T$44,$CU32,AP$57),""),1),IFERROR(INDEX(醫師週班表!$C$5:$T$44,$CU32,AP$57),"")))))))</f>
        <v/>
      </c>
      <c r="AQ32" s="68">
        <f>IF(AQ$59="X","",IF(AQ$59&lt;&gt;"",AQ$59,IF(IFERROR(INDEX(醫師週班表!$C$5:$T$44,$CU32,AQ$57),"")=0,"",IF(MID(IFERROR(INDEX(醫師週班表!$C$5:$T$44,$CU32,AQ$57),""),2,1)="/",MID(IFERROR(INDEX(醫師週班表!$C$5:$T$44,$CU32,AQ$57),""),1+AQ$58*2,1),IF(MID(IFERROR(INDEX(醫師週班表!$C$5:$T$44,$CU32,AQ$57),""),3,1)="隔",IF(AQ$58=0,LEFT(IFERROR(INDEX(醫師週班表!$C$5:$T$44,$CU32,AQ$57),""),1),""),IF(MID(IFERROR(INDEX(醫師週班表!$C$5:$T$44,$CU32,AQ$57),""),2,1)="(",LEFT(IFERROR(INDEX(醫師週班表!$C$5:$T$44,$CU32,AQ$57),""),1),IFERROR(INDEX(醫師週班表!$C$5:$T$44,$CU32,AQ$57),"")))))))</f>
        <v/>
      </c>
      <c r="AR32" s="67">
        <f>IF(AR$59="X","",IF(AR$59&lt;&gt;"",AR$59,IF(IFERROR(INDEX(醫師週班表!$C$5:$T$44,$CU32,AR$57),"")=0,"",IF(MID(IFERROR(INDEX(醫師週班表!$C$5:$T$44,$CU32,AR$57),""),2,1)="/",MID(IFERROR(INDEX(醫師週班表!$C$5:$T$44,$CU32,AR$57),""),1+AR$58*2,1),IF(MID(IFERROR(INDEX(醫師週班表!$C$5:$T$44,$CU32,AR$57),""),3,1)="隔",IF(AR$58=0,LEFT(IFERROR(INDEX(醫師週班表!$C$5:$T$44,$CU32,AR$57),""),1),""),IF(MID(IFERROR(INDEX(醫師週班表!$C$5:$T$44,$CU32,AR$57),""),2,1)="(",LEFT(IFERROR(INDEX(醫師週班表!$C$5:$T$44,$CU32,AR$57),""),1),IFERROR(INDEX(醫師週班表!$C$5:$T$44,$CU32,AR$57),"")))))))</f>
        <v/>
      </c>
      <c r="AS32" s="68">
        <f>IF(AS$59="X","",IF(AS$59&lt;&gt;"",AS$59,IF(IFERROR(INDEX(醫師週班表!$C$5:$T$44,$CU32,AS$57),"")=0,"",IF(MID(IFERROR(INDEX(醫師週班表!$C$5:$T$44,$CU32,AS$57),""),2,1)="/",MID(IFERROR(INDEX(醫師週班表!$C$5:$T$44,$CU32,AS$57),""),1+AS$58*2,1),IF(MID(IFERROR(INDEX(醫師週班表!$C$5:$T$44,$CU32,AS$57),""),3,1)="隔",IF(AS$58=0,LEFT(IFERROR(INDEX(醫師週班表!$C$5:$T$44,$CU32,AS$57),""),1),""),IF(MID(IFERROR(INDEX(醫師週班表!$C$5:$T$44,$CU32,AS$57),""),2,1)="(",LEFT(IFERROR(INDEX(醫師週班表!$C$5:$T$44,$CU32,AS$57),""),1),IFERROR(INDEX(醫師週班表!$C$5:$T$44,$CU32,AS$57),"")))))))</f>
        <v/>
      </c>
      <c r="AT32" s="68">
        <f>IF(AT$59="X","",IF(AT$59&lt;&gt;"",AT$59,IF(IFERROR(INDEX(醫師週班表!$C$5:$T$44,$CU32,AT$57),"")=0,"",IF(MID(IFERROR(INDEX(醫師週班表!$C$5:$T$44,$CU32,AT$57),""),2,1)="/",MID(IFERROR(INDEX(醫師週班表!$C$5:$T$44,$CU32,AT$57),""),1+AT$58*2,1),IF(MID(IFERROR(INDEX(醫師週班表!$C$5:$T$44,$CU32,AT$57),""),3,1)="隔",IF(AT$58=0,LEFT(IFERROR(INDEX(醫師週班表!$C$5:$T$44,$CU32,AT$57),""),1),""),IF(MID(IFERROR(INDEX(醫師週班表!$C$5:$T$44,$CU32,AT$57),""),2,1)="(",LEFT(IFERROR(INDEX(醫師週班表!$C$5:$T$44,$CU32,AT$57),""),1),IFERROR(INDEX(醫師週班表!$C$5:$T$44,$CU32,AT$57),"")))))))</f>
        <v/>
      </c>
      <c r="AU32" s="67">
        <f>IF(AU$59="X","",IF(AU$59&lt;&gt;"",AU$59,IF(IFERROR(INDEX(醫師週班表!$C$5:$T$44,$CU32,AU$57),"")=0,"",IF(MID(IFERROR(INDEX(醫師週班表!$C$5:$T$44,$CU32,AU$57),""),2,1)="/",MID(IFERROR(INDEX(醫師週班表!$C$5:$T$44,$CU32,AU$57),""),1+AU$58*2,1),IF(MID(IFERROR(INDEX(醫師週班表!$C$5:$T$44,$CU32,AU$57),""),3,1)="隔",IF(AU$58=0,LEFT(IFERROR(INDEX(醫師週班表!$C$5:$T$44,$CU32,AU$57),""),1),""),IF(MID(IFERROR(INDEX(醫師週班表!$C$5:$T$44,$CU32,AU$57),""),2,1)="(",LEFT(IFERROR(INDEX(醫師週班表!$C$5:$T$44,$CU32,AU$57),""),1),IFERROR(INDEX(醫師週班表!$C$5:$T$44,$CU32,AU$57),"")))))))</f>
        <v/>
      </c>
      <c r="AV32" s="68">
        <f>IF(AV$59="X","",IF(AV$59&lt;&gt;"",AV$59,IF(IFERROR(INDEX(醫師週班表!$C$5:$T$44,$CU32,AV$57),"")=0,"",IF(MID(IFERROR(INDEX(醫師週班表!$C$5:$T$44,$CU32,AV$57),""),2,1)="/",MID(IFERROR(INDEX(醫師週班表!$C$5:$T$44,$CU32,AV$57),""),1+AV$58*2,1),IF(MID(IFERROR(INDEX(醫師週班表!$C$5:$T$44,$CU32,AV$57),""),3,1)="隔",IF(AV$58=0,LEFT(IFERROR(INDEX(醫師週班表!$C$5:$T$44,$CU32,AV$57),""),1),""),IF(MID(IFERROR(INDEX(醫師週班表!$C$5:$T$44,$CU32,AV$57),""),2,1)="(",LEFT(IFERROR(INDEX(醫師週班表!$C$5:$T$44,$CU32,AV$57),""),1),IFERROR(INDEX(醫師週班表!$C$5:$T$44,$CU32,AV$57),"")))))))</f>
        <v/>
      </c>
      <c r="AW32" s="68">
        <f>IF(AW$59="X","",IF(AW$59&lt;&gt;"",AW$59,IF(IFERROR(INDEX(醫師週班表!$C$5:$T$44,$CU32,AW$57),"")=0,"",IF(MID(IFERROR(INDEX(醫師週班表!$C$5:$T$44,$CU32,AW$57),""),2,1)="/",MID(IFERROR(INDEX(醫師週班表!$C$5:$T$44,$CU32,AW$57),""),1+AW$58*2,1),IF(MID(IFERROR(INDEX(醫師週班表!$C$5:$T$44,$CU32,AW$57),""),3,1)="隔",IF(AW$58=0,LEFT(IFERROR(INDEX(醫師週班表!$C$5:$T$44,$CU32,AW$57),""),1),""),IF(MID(IFERROR(INDEX(醫師週班表!$C$5:$T$44,$CU32,AW$57),""),2,1)="(",LEFT(IFERROR(INDEX(醫師週班表!$C$5:$T$44,$CU32,AW$57),""),1),IFERROR(INDEX(醫師週班表!$C$5:$T$44,$CU32,AW$57),"")))))))</f>
        <v/>
      </c>
      <c r="AX32" s="67">
        <f>IF(AX$59="X","",IF(AX$59&lt;&gt;"",AX$59,IF(IFERROR(INDEX(醫師週班表!$C$5:$T$44,$CU32,AX$57),"")=0,"",IF(MID(IFERROR(INDEX(醫師週班表!$C$5:$T$44,$CU32,AX$57),""),2,1)="/",MID(IFERROR(INDEX(醫師週班表!$C$5:$T$44,$CU32,AX$57),""),1+AX$58*2,1),IF(MID(IFERROR(INDEX(醫師週班表!$C$5:$T$44,$CU32,AX$57),""),3,1)="隔",IF(AX$58=0,LEFT(IFERROR(INDEX(醫師週班表!$C$5:$T$44,$CU32,AX$57),""),1),""),IF(MID(IFERROR(INDEX(醫師週班表!$C$5:$T$44,$CU32,AX$57),""),2,1)="(",LEFT(IFERROR(INDEX(醫師週班表!$C$5:$T$44,$CU32,AX$57),""),1),IFERROR(INDEX(醫師週班表!$C$5:$T$44,$CU32,AX$57),"")))))))</f>
        <v/>
      </c>
      <c r="AY32" s="68">
        <f>IF(AY$59="X","",IF(AY$59&lt;&gt;"",AY$59,IF(IFERROR(INDEX(醫師週班表!$C$5:$T$44,$CU32,AY$57),"")=0,"",IF(MID(IFERROR(INDEX(醫師週班表!$C$5:$T$44,$CU32,AY$57),""),2,1)="/",MID(IFERROR(INDEX(醫師週班表!$C$5:$T$44,$CU32,AY$57),""),1+AY$58*2,1),IF(MID(IFERROR(INDEX(醫師週班表!$C$5:$T$44,$CU32,AY$57),""),3,1)="隔",IF(AY$58=0,LEFT(IFERROR(INDEX(醫師週班表!$C$5:$T$44,$CU32,AY$57),""),1),""),IF(MID(IFERROR(INDEX(醫師週班表!$C$5:$T$44,$CU32,AY$57),""),2,1)="(",LEFT(IFERROR(INDEX(醫師週班表!$C$5:$T$44,$CU32,AY$57),""),1),IFERROR(INDEX(醫師週班表!$C$5:$T$44,$CU32,AY$57),"")))))))</f>
        <v/>
      </c>
      <c r="AZ32" s="68">
        <f>IF(AZ$59="X","",IF(AZ$59&lt;&gt;"",AZ$59,IF(IFERROR(INDEX(醫師週班表!$C$5:$T$44,$CU32,AZ$57),"")=0,"",IF(MID(IFERROR(INDEX(醫師週班表!$C$5:$T$44,$CU32,AZ$57),""),2,1)="/",MID(IFERROR(INDEX(醫師週班表!$C$5:$T$44,$CU32,AZ$57),""),1+AZ$58*2,1),IF(MID(IFERROR(INDEX(醫師週班表!$C$5:$T$44,$CU32,AZ$57),""),3,1)="隔",IF(AZ$58=0,LEFT(IFERROR(INDEX(醫師週班表!$C$5:$T$44,$CU32,AZ$57),""),1),""),IF(MID(IFERROR(INDEX(醫師週班表!$C$5:$T$44,$CU32,AZ$57),""),2,1)="(",LEFT(IFERROR(INDEX(醫師週班表!$C$5:$T$44,$CU32,AZ$57),""),1),IFERROR(INDEX(醫師週班表!$C$5:$T$44,$CU32,AZ$57),"")))))))</f>
        <v/>
      </c>
      <c r="BA32" s="67">
        <f>IF(BA$59="X","",IF(BA$59&lt;&gt;"",BA$59,IF(IFERROR(INDEX(醫師週班表!$C$5:$T$44,$CU32,BA$57),"")=0,"",IF(MID(IFERROR(INDEX(醫師週班表!$C$5:$T$44,$CU32,BA$57),""),2,1)="/",MID(IFERROR(INDEX(醫師週班表!$C$5:$T$44,$CU32,BA$57),""),1+BA$58*2,1),IF(MID(IFERROR(INDEX(醫師週班表!$C$5:$T$44,$CU32,BA$57),""),3,1)="隔",IF(BA$58=0,LEFT(IFERROR(INDEX(醫師週班表!$C$5:$T$44,$CU32,BA$57),""),1),""),IF(MID(IFERROR(INDEX(醫師週班表!$C$5:$T$44,$CU32,BA$57),""),2,1)="(",LEFT(IFERROR(INDEX(醫師週班表!$C$5:$T$44,$CU32,BA$57),""),1),IFERROR(INDEX(醫師週班表!$C$5:$T$44,$CU32,BA$57),"")))))))</f>
        <v/>
      </c>
      <c r="BB32" s="68">
        <f>IF(BB$59="X","",IF(BB$59&lt;&gt;"",BB$59,IF(IFERROR(INDEX(醫師週班表!$C$5:$T$44,$CU32,BB$57),"")=0,"",IF(MID(IFERROR(INDEX(醫師週班表!$C$5:$T$44,$CU32,BB$57),""),2,1)="/",MID(IFERROR(INDEX(醫師週班表!$C$5:$T$44,$CU32,BB$57),""),1+BB$58*2,1),IF(MID(IFERROR(INDEX(醫師週班表!$C$5:$T$44,$CU32,BB$57),""),3,1)="隔",IF(BB$58=0,LEFT(IFERROR(INDEX(醫師週班表!$C$5:$T$44,$CU32,BB$57),""),1),""),IF(MID(IFERROR(INDEX(醫師週班表!$C$5:$T$44,$CU32,BB$57),""),2,1)="(",LEFT(IFERROR(INDEX(醫師週班表!$C$5:$T$44,$CU32,BB$57),""),1),IFERROR(INDEX(醫師週班表!$C$5:$T$44,$CU32,BB$57),"")))))))</f>
        <v/>
      </c>
      <c r="BC32" s="68">
        <f>IF(BC$59="X","",IF(BC$59&lt;&gt;"",BC$59,IF(IFERROR(INDEX(醫師週班表!$C$5:$T$44,$CU32,BC$57),"")=0,"",IF(MID(IFERROR(INDEX(醫師週班表!$C$5:$T$44,$CU32,BC$57),""),2,1)="/",MID(IFERROR(INDEX(醫師週班表!$C$5:$T$44,$CU32,BC$57),""),1+BC$58*2,1),IF(MID(IFERROR(INDEX(醫師週班表!$C$5:$T$44,$CU32,BC$57),""),3,1)="隔",IF(BC$58=0,LEFT(IFERROR(INDEX(醫師週班表!$C$5:$T$44,$CU32,BC$57),""),1),""),IF(MID(IFERROR(INDEX(醫師週班表!$C$5:$T$44,$CU32,BC$57),""),2,1)="(",LEFT(IFERROR(INDEX(醫師週班表!$C$5:$T$44,$CU32,BC$57),""),1),IFERROR(INDEX(醫師週班表!$C$5:$T$44,$CU32,BC$57),"")))))))</f>
        <v/>
      </c>
      <c r="BD32" s="67">
        <f>IF(BD$59="X","",IF(BD$59&lt;&gt;"",BD$59,IF(IFERROR(INDEX(醫師週班表!$C$5:$T$44,$CU32,BD$57),"")=0,"",IF(MID(IFERROR(INDEX(醫師週班表!$C$5:$T$44,$CU32,BD$57),""),2,1)="/",MID(IFERROR(INDEX(醫師週班表!$C$5:$T$44,$CU32,BD$57),""),1+BD$58*2,1),IF(MID(IFERROR(INDEX(醫師週班表!$C$5:$T$44,$CU32,BD$57),""),3,1)="隔",IF(BD$58=0,LEFT(IFERROR(INDEX(醫師週班表!$C$5:$T$44,$CU32,BD$57),""),1),""),IF(MID(IFERROR(INDEX(醫師週班表!$C$5:$T$44,$CU32,BD$57),""),2,1)="(",LEFT(IFERROR(INDEX(醫師週班表!$C$5:$T$44,$CU32,BD$57),""),1),IFERROR(INDEX(醫師週班表!$C$5:$T$44,$CU32,BD$57),"")))))))</f>
        <v/>
      </c>
      <c r="BE32" s="68">
        <f>IF(BE$59="X","",IF(BE$59&lt;&gt;"",BE$59,IF(IFERROR(INDEX(醫師週班表!$C$5:$T$44,$CU32,BE$57),"")=0,"",IF(MID(IFERROR(INDEX(醫師週班表!$C$5:$T$44,$CU32,BE$57),""),2,1)="/",MID(IFERROR(INDEX(醫師週班表!$C$5:$T$44,$CU32,BE$57),""),1+BE$58*2,1),IF(MID(IFERROR(INDEX(醫師週班表!$C$5:$T$44,$CU32,BE$57),""),3,1)="隔",IF(BE$58=0,LEFT(IFERROR(INDEX(醫師週班表!$C$5:$T$44,$CU32,BE$57),""),1),""),IF(MID(IFERROR(INDEX(醫師週班表!$C$5:$T$44,$CU32,BE$57),""),2,1)="(",LEFT(IFERROR(INDEX(醫師週班表!$C$5:$T$44,$CU32,BE$57),""),1),IFERROR(INDEX(醫師週班表!$C$5:$T$44,$CU32,BE$57),"")))))))</f>
        <v/>
      </c>
      <c r="BF32" s="68">
        <f>IF(BF$59="X","",IF(BF$59&lt;&gt;"",BF$59,IF(IFERROR(INDEX(醫師週班表!$C$5:$T$44,$CU32,BF$57),"")=0,"",IF(MID(IFERROR(INDEX(醫師週班表!$C$5:$T$44,$CU32,BF$57),""),2,1)="/",MID(IFERROR(INDEX(醫師週班表!$C$5:$T$44,$CU32,BF$57),""),1+BF$58*2,1),IF(MID(IFERROR(INDEX(醫師週班表!$C$5:$T$44,$CU32,BF$57),""),3,1)="隔",IF(BF$58=0,LEFT(IFERROR(INDEX(醫師週班表!$C$5:$T$44,$CU32,BF$57),""),1),""),IF(MID(IFERROR(INDEX(醫師週班表!$C$5:$T$44,$CU32,BF$57),""),2,1)="(",LEFT(IFERROR(INDEX(醫師週班表!$C$5:$T$44,$CU32,BF$57),""),1),IFERROR(INDEX(醫師週班表!$C$5:$T$44,$CU32,BF$57),"")))))))</f>
        <v/>
      </c>
      <c r="BG32" s="67">
        <f>IF(BG$59="X","",IF(BG$59&lt;&gt;"",BG$59,IF(IFERROR(INDEX(醫師週班表!$C$5:$T$44,$CU32,BG$57),"")=0,"",IF(MID(IFERROR(INDEX(醫師週班表!$C$5:$T$44,$CU32,BG$57),""),2,1)="/",MID(IFERROR(INDEX(醫師週班表!$C$5:$T$44,$CU32,BG$57),""),1+BG$58*2,1),IF(MID(IFERROR(INDEX(醫師週班表!$C$5:$T$44,$CU32,BG$57),""),3,1)="隔",IF(BG$58=0,LEFT(IFERROR(INDEX(醫師週班表!$C$5:$T$44,$CU32,BG$57),""),1),""),IF(MID(IFERROR(INDEX(醫師週班表!$C$5:$T$44,$CU32,BG$57),""),2,1)="(",LEFT(IFERROR(INDEX(醫師週班表!$C$5:$T$44,$CU32,BG$57),""),1),IFERROR(INDEX(醫師週班表!$C$5:$T$44,$CU32,BG$57),"")))))))</f>
        <v/>
      </c>
      <c r="BH32" s="68">
        <f>IF(BH$59="X","",IF(BH$59&lt;&gt;"",BH$59,IF(IFERROR(INDEX(醫師週班表!$C$5:$T$44,$CU32,BH$57),"")=0,"",IF(MID(IFERROR(INDEX(醫師週班表!$C$5:$T$44,$CU32,BH$57),""),2,1)="/",MID(IFERROR(INDEX(醫師週班表!$C$5:$T$44,$CU32,BH$57),""),1+BH$58*2,1),IF(MID(IFERROR(INDEX(醫師週班表!$C$5:$T$44,$CU32,BH$57),""),3,1)="隔",IF(BH$58=0,LEFT(IFERROR(INDEX(醫師週班表!$C$5:$T$44,$CU32,BH$57),""),1),""),IF(MID(IFERROR(INDEX(醫師週班表!$C$5:$T$44,$CU32,BH$57),""),2,1)="(",LEFT(IFERROR(INDEX(醫師週班表!$C$5:$T$44,$CU32,BH$57),""),1),IFERROR(INDEX(醫師週班表!$C$5:$T$44,$CU32,BH$57),"")))))))</f>
        <v/>
      </c>
      <c r="BI32" s="68">
        <f>IF(BI$59="X","",IF(BI$59&lt;&gt;"",BI$59,IF(IFERROR(INDEX(醫師週班表!$C$5:$T$44,$CU32,BI$57),"")=0,"",IF(MID(IFERROR(INDEX(醫師週班表!$C$5:$T$44,$CU32,BI$57),""),2,1)="/",MID(IFERROR(INDEX(醫師週班表!$C$5:$T$44,$CU32,BI$57),""),1+BI$58*2,1),IF(MID(IFERROR(INDEX(醫師週班表!$C$5:$T$44,$CU32,BI$57),""),3,1)="隔",IF(BI$58=0,LEFT(IFERROR(INDEX(醫師週班表!$C$5:$T$44,$CU32,BI$57),""),1),""),IF(MID(IFERROR(INDEX(醫師週班表!$C$5:$T$44,$CU32,BI$57),""),2,1)="(",LEFT(IFERROR(INDEX(醫師週班表!$C$5:$T$44,$CU32,BI$57),""),1),IFERROR(INDEX(醫師週班表!$C$5:$T$44,$CU32,BI$57),"")))))))</f>
        <v/>
      </c>
      <c r="BJ32" s="67">
        <f>IF(BJ$59="X","",IF(BJ$59&lt;&gt;"",BJ$59,IF(IFERROR(INDEX(醫師週班表!$C$5:$T$44,$CU32,BJ$57),"")=0,"",IF(MID(IFERROR(INDEX(醫師週班表!$C$5:$T$44,$CU32,BJ$57),""),2,1)="/",MID(IFERROR(INDEX(醫師週班表!$C$5:$T$44,$CU32,BJ$57),""),1+BJ$58*2,1),IF(MID(IFERROR(INDEX(醫師週班表!$C$5:$T$44,$CU32,BJ$57),""),3,1)="隔",IF(BJ$58=0,LEFT(IFERROR(INDEX(醫師週班表!$C$5:$T$44,$CU32,BJ$57),""),1),""),IF(MID(IFERROR(INDEX(醫師週班表!$C$5:$T$44,$CU32,BJ$57),""),2,1)="(",LEFT(IFERROR(INDEX(醫師週班表!$C$5:$T$44,$CU32,BJ$57),""),1),IFERROR(INDEX(醫師週班表!$C$5:$T$44,$CU32,BJ$57),"")))))))</f>
        <v/>
      </c>
      <c r="BK32" s="68">
        <f>IF(BK$59="X","",IF(BK$59&lt;&gt;"",BK$59,IF(IFERROR(INDEX(醫師週班表!$C$5:$T$44,$CU32,BK$57),"")=0,"",IF(MID(IFERROR(INDEX(醫師週班表!$C$5:$T$44,$CU32,BK$57),""),2,1)="/",MID(IFERROR(INDEX(醫師週班表!$C$5:$T$44,$CU32,BK$57),""),1+BK$58*2,1),IF(MID(IFERROR(INDEX(醫師週班表!$C$5:$T$44,$CU32,BK$57),""),3,1)="隔",IF(BK$58=0,LEFT(IFERROR(INDEX(醫師週班表!$C$5:$T$44,$CU32,BK$57),""),1),""),IF(MID(IFERROR(INDEX(醫師週班表!$C$5:$T$44,$CU32,BK$57),""),2,1)="(",LEFT(IFERROR(INDEX(醫師週班表!$C$5:$T$44,$CU32,BK$57),""),1),IFERROR(INDEX(醫師週班表!$C$5:$T$44,$CU32,BK$57),"")))))))</f>
        <v/>
      </c>
      <c r="BL32" s="68">
        <f>IF(BL$59="X","",IF(BL$59&lt;&gt;"",BL$59,IF(IFERROR(INDEX(醫師週班表!$C$5:$T$44,$CU32,BL$57),"")=0,"",IF(MID(IFERROR(INDEX(醫師週班表!$C$5:$T$44,$CU32,BL$57),""),2,1)="/",MID(IFERROR(INDEX(醫師週班表!$C$5:$T$44,$CU32,BL$57),""),1+BL$58*2,1),IF(MID(IFERROR(INDEX(醫師週班表!$C$5:$T$44,$CU32,BL$57),""),3,1)="隔",IF(BL$58=0,LEFT(IFERROR(INDEX(醫師週班表!$C$5:$T$44,$CU32,BL$57),""),1),""),IF(MID(IFERROR(INDEX(醫師週班表!$C$5:$T$44,$CU32,BL$57),""),2,1)="(",LEFT(IFERROR(INDEX(醫師週班表!$C$5:$T$44,$CU32,BL$57),""),1),IFERROR(INDEX(醫師週班表!$C$5:$T$44,$CU32,BL$57),"")))))))</f>
        <v/>
      </c>
      <c r="BM32" s="67">
        <f>IF(BM$59="X","",IF(BM$59&lt;&gt;"",BM$59,IF(IFERROR(INDEX(醫師週班表!$C$5:$T$44,$CU32,BM$57),"")=0,"",IF(MID(IFERROR(INDEX(醫師週班表!$C$5:$T$44,$CU32,BM$57),""),2,1)="/",MID(IFERROR(INDEX(醫師週班表!$C$5:$T$44,$CU32,BM$57),""),1+BM$58*2,1),IF(MID(IFERROR(INDEX(醫師週班表!$C$5:$T$44,$CU32,BM$57),""),3,1)="隔",IF(BM$58=0,LEFT(IFERROR(INDEX(醫師週班表!$C$5:$T$44,$CU32,BM$57),""),1),""),IF(MID(IFERROR(INDEX(醫師週班表!$C$5:$T$44,$CU32,BM$57),""),2,1)="(",LEFT(IFERROR(INDEX(醫師週班表!$C$5:$T$44,$CU32,BM$57),""),1),IFERROR(INDEX(醫師週班表!$C$5:$T$44,$CU32,BM$57),"")))))))</f>
        <v/>
      </c>
      <c r="BN32" s="68">
        <f>IF(BN$59="X","",IF(BN$59&lt;&gt;"",BN$59,IF(IFERROR(INDEX(醫師週班表!$C$5:$T$44,$CU32,BN$57),"")=0,"",IF(MID(IFERROR(INDEX(醫師週班表!$C$5:$T$44,$CU32,BN$57),""),2,1)="/",MID(IFERROR(INDEX(醫師週班表!$C$5:$T$44,$CU32,BN$57),""),1+BN$58*2,1),IF(MID(IFERROR(INDEX(醫師週班表!$C$5:$T$44,$CU32,BN$57),""),3,1)="隔",IF(BN$58=0,LEFT(IFERROR(INDEX(醫師週班表!$C$5:$T$44,$CU32,BN$57),""),1),""),IF(MID(IFERROR(INDEX(醫師週班表!$C$5:$T$44,$CU32,BN$57),""),2,1)="(",LEFT(IFERROR(INDEX(醫師週班表!$C$5:$T$44,$CU32,BN$57),""),1),IFERROR(INDEX(醫師週班表!$C$5:$T$44,$CU32,BN$57),"")))))))</f>
        <v/>
      </c>
      <c r="BO32" s="68">
        <f>IF(BO$59="X","",IF(BO$59&lt;&gt;"",BO$59,IF(IFERROR(INDEX(醫師週班表!$C$5:$T$44,$CU32,BO$57),"")=0,"",IF(MID(IFERROR(INDEX(醫師週班表!$C$5:$T$44,$CU32,BO$57),""),2,1)="/",MID(IFERROR(INDEX(醫師週班表!$C$5:$T$44,$CU32,BO$57),""),1+BO$58*2,1),IF(MID(IFERROR(INDEX(醫師週班表!$C$5:$T$44,$CU32,BO$57),""),3,1)="隔",IF(BO$58=0,LEFT(IFERROR(INDEX(醫師週班表!$C$5:$T$44,$CU32,BO$57),""),1),""),IF(MID(IFERROR(INDEX(醫師週班表!$C$5:$T$44,$CU32,BO$57),""),2,1)="(",LEFT(IFERROR(INDEX(醫師週班表!$C$5:$T$44,$CU32,BO$57),""),1),IFERROR(INDEX(醫師週班表!$C$5:$T$44,$CU32,BO$57),"")))))))</f>
        <v/>
      </c>
      <c r="BP32" s="67">
        <f>IF(BP$59="X","",IF(BP$59&lt;&gt;"",BP$59,IF(IFERROR(INDEX(醫師週班表!$C$5:$T$44,$CU32,BP$57),"")=0,"",IF(MID(IFERROR(INDEX(醫師週班表!$C$5:$T$44,$CU32,BP$57),""),2,1)="/",MID(IFERROR(INDEX(醫師週班表!$C$5:$T$44,$CU32,BP$57),""),1+BP$58*2,1),IF(MID(IFERROR(INDEX(醫師週班表!$C$5:$T$44,$CU32,BP$57),""),3,1)="隔",IF(BP$58=0,LEFT(IFERROR(INDEX(醫師週班表!$C$5:$T$44,$CU32,BP$57),""),1),""),IF(MID(IFERROR(INDEX(醫師週班表!$C$5:$T$44,$CU32,BP$57),""),2,1)="(",LEFT(IFERROR(INDEX(醫師週班表!$C$5:$T$44,$CU32,BP$57),""),1),IFERROR(INDEX(醫師週班表!$C$5:$T$44,$CU32,BP$57),"")))))))</f>
        <v/>
      </c>
      <c r="BQ32" s="68">
        <f>IF(BQ$59="X","",IF(BQ$59&lt;&gt;"",BQ$59,IF(IFERROR(INDEX(醫師週班表!$C$5:$T$44,$CU32,BQ$57),"")=0,"",IF(MID(IFERROR(INDEX(醫師週班表!$C$5:$T$44,$CU32,BQ$57),""),2,1)="/",MID(IFERROR(INDEX(醫師週班表!$C$5:$T$44,$CU32,BQ$57),""),1+BQ$58*2,1),IF(MID(IFERROR(INDEX(醫師週班表!$C$5:$T$44,$CU32,BQ$57),""),3,1)="隔",IF(BQ$58=0,LEFT(IFERROR(INDEX(醫師週班表!$C$5:$T$44,$CU32,BQ$57),""),1),""),IF(MID(IFERROR(INDEX(醫師週班表!$C$5:$T$44,$CU32,BQ$57),""),2,1)="(",LEFT(IFERROR(INDEX(醫師週班表!$C$5:$T$44,$CU32,BQ$57),""),1),IFERROR(INDEX(醫師週班表!$C$5:$T$44,$CU32,BQ$57),"")))))))</f>
        <v/>
      </c>
      <c r="BR32" s="68">
        <f>IF(BR$59="X","",IF(BR$59&lt;&gt;"",BR$59,IF(IFERROR(INDEX(醫師週班表!$C$5:$T$44,$CU32,BR$57),"")=0,"",IF(MID(IFERROR(INDEX(醫師週班表!$C$5:$T$44,$CU32,BR$57),""),2,1)="/",MID(IFERROR(INDEX(醫師週班表!$C$5:$T$44,$CU32,BR$57),""),1+BR$58*2,1),IF(MID(IFERROR(INDEX(醫師週班表!$C$5:$T$44,$CU32,BR$57),""),3,1)="隔",IF(BR$58=0,LEFT(IFERROR(INDEX(醫師週班表!$C$5:$T$44,$CU32,BR$57),""),1),""),IF(MID(IFERROR(INDEX(醫師週班表!$C$5:$T$44,$CU32,BR$57),""),2,1)="(",LEFT(IFERROR(INDEX(醫師週班表!$C$5:$T$44,$CU32,BR$57),""),1),IFERROR(INDEX(醫師週班表!$C$5:$T$44,$CU32,BR$57),"")))))))</f>
        <v/>
      </c>
      <c r="BS32" s="67">
        <f>IF(BS$59="X","",IF(BS$59&lt;&gt;"",BS$59,IF(IFERROR(INDEX(醫師週班表!$C$5:$T$44,$CU32,BS$57),"")=0,"",IF(MID(IFERROR(INDEX(醫師週班表!$C$5:$T$44,$CU32,BS$57),""),2,1)="/",MID(IFERROR(INDEX(醫師週班表!$C$5:$T$44,$CU32,BS$57),""),1+BS$58*2,1),IF(MID(IFERROR(INDEX(醫師週班表!$C$5:$T$44,$CU32,BS$57),""),3,1)="隔",IF(BS$58=0,LEFT(IFERROR(INDEX(醫師週班表!$C$5:$T$44,$CU32,BS$57),""),1),""),IF(MID(IFERROR(INDEX(醫師週班表!$C$5:$T$44,$CU32,BS$57),""),2,1)="(",LEFT(IFERROR(INDEX(醫師週班表!$C$5:$T$44,$CU32,BS$57),""),1),IFERROR(INDEX(醫師週班表!$C$5:$T$44,$CU32,BS$57),"")))))))</f>
        <v/>
      </c>
      <c r="BT32" s="68">
        <f>IF(BT$59="X","",IF(BT$59&lt;&gt;"",BT$59,IF(IFERROR(INDEX(醫師週班表!$C$5:$T$44,$CU32,BT$57),"")=0,"",IF(MID(IFERROR(INDEX(醫師週班表!$C$5:$T$44,$CU32,BT$57),""),2,1)="/",MID(IFERROR(INDEX(醫師週班表!$C$5:$T$44,$CU32,BT$57),""),1+BT$58*2,1),IF(MID(IFERROR(INDEX(醫師週班表!$C$5:$T$44,$CU32,BT$57),""),3,1)="隔",IF(BT$58=0,LEFT(IFERROR(INDEX(醫師週班表!$C$5:$T$44,$CU32,BT$57),""),1),""),IF(MID(IFERROR(INDEX(醫師週班表!$C$5:$T$44,$CU32,BT$57),""),2,1)="(",LEFT(IFERROR(INDEX(醫師週班表!$C$5:$T$44,$CU32,BT$57),""),1),IFERROR(INDEX(醫師週班表!$C$5:$T$44,$CU32,BT$57),"")))))))</f>
        <v/>
      </c>
      <c r="BU32" s="68">
        <f>IF(BU$59="X","",IF(BU$59&lt;&gt;"",BU$59,IF(IFERROR(INDEX(醫師週班表!$C$5:$T$44,$CU32,BU$57),"")=0,"",IF(MID(IFERROR(INDEX(醫師週班表!$C$5:$T$44,$CU32,BU$57),""),2,1)="/",MID(IFERROR(INDEX(醫師週班表!$C$5:$T$44,$CU32,BU$57),""),1+BU$58*2,1),IF(MID(IFERROR(INDEX(醫師週班表!$C$5:$T$44,$CU32,BU$57),""),3,1)="隔",IF(BU$58=0,LEFT(IFERROR(INDEX(醫師週班表!$C$5:$T$44,$CU32,BU$57),""),1),""),IF(MID(IFERROR(INDEX(醫師週班表!$C$5:$T$44,$CU32,BU$57),""),2,1)="(",LEFT(IFERROR(INDEX(醫師週班表!$C$5:$T$44,$CU32,BU$57),""),1),IFERROR(INDEX(醫師週班表!$C$5:$T$44,$CU32,BU$57),"")))))))</f>
        <v/>
      </c>
      <c r="BV32" s="67">
        <f>IF(BV$59="X","",IF(BV$59&lt;&gt;"",BV$59,IF(IFERROR(INDEX(醫師週班表!$C$5:$T$44,$CU32,BV$57),"")=0,"",IF(MID(IFERROR(INDEX(醫師週班表!$C$5:$T$44,$CU32,BV$57),""),2,1)="/",MID(IFERROR(INDEX(醫師週班表!$C$5:$T$44,$CU32,BV$57),""),1+BV$58*2,1),IF(MID(IFERROR(INDEX(醫師週班表!$C$5:$T$44,$CU32,BV$57),""),3,1)="隔",IF(BV$58=0,LEFT(IFERROR(INDEX(醫師週班表!$C$5:$T$44,$CU32,BV$57),""),1),""),IF(MID(IFERROR(INDEX(醫師週班表!$C$5:$T$44,$CU32,BV$57),""),2,1)="(",LEFT(IFERROR(INDEX(醫師週班表!$C$5:$T$44,$CU32,BV$57),""),1),IFERROR(INDEX(醫師週班表!$C$5:$T$44,$CU32,BV$57),"")))))))</f>
        <v/>
      </c>
      <c r="BW32" s="68">
        <f>IF(BW$59="X","",IF(BW$59&lt;&gt;"",BW$59,IF(IFERROR(INDEX(醫師週班表!$C$5:$T$44,$CU32,BW$57),"")=0,"",IF(MID(IFERROR(INDEX(醫師週班表!$C$5:$T$44,$CU32,BW$57),""),2,1)="/",MID(IFERROR(INDEX(醫師週班表!$C$5:$T$44,$CU32,BW$57),""),1+BW$58*2,1),IF(MID(IFERROR(INDEX(醫師週班表!$C$5:$T$44,$CU32,BW$57),""),3,1)="隔",IF(BW$58=0,LEFT(IFERROR(INDEX(醫師週班表!$C$5:$T$44,$CU32,BW$57),""),1),""),IF(MID(IFERROR(INDEX(醫師週班表!$C$5:$T$44,$CU32,BW$57),""),2,1)="(",LEFT(IFERROR(INDEX(醫師週班表!$C$5:$T$44,$CU32,BW$57),""),1),IFERROR(INDEX(醫師週班表!$C$5:$T$44,$CU32,BW$57),"")))))))</f>
        <v/>
      </c>
      <c r="BX32" s="68">
        <f>IF(BX$59="X","",IF(BX$59&lt;&gt;"",BX$59,IF(IFERROR(INDEX(醫師週班表!$C$5:$T$44,$CU32,BX$57),"")=0,"",IF(MID(IFERROR(INDEX(醫師週班表!$C$5:$T$44,$CU32,BX$57),""),2,1)="/",MID(IFERROR(INDEX(醫師週班表!$C$5:$T$44,$CU32,BX$57),""),1+BX$58*2,1),IF(MID(IFERROR(INDEX(醫師週班表!$C$5:$T$44,$CU32,BX$57),""),3,1)="隔",IF(BX$58=0,LEFT(IFERROR(INDEX(醫師週班表!$C$5:$T$44,$CU32,BX$57),""),1),""),IF(MID(IFERROR(INDEX(醫師週班表!$C$5:$T$44,$CU32,BX$57),""),2,1)="(",LEFT(IFERROR(INDEX(醫師週班表!$C$5:$T$44,$CU32,BX$57),""),1),IFERROR(INDEX(醫師週班表!$C$5:$T$44,$CU32,BX$57),"")))))))</f>
        <v/>
      </c>
      <c r="BY32" s="67">
        <f>IF(BY$59="X","",IF(BY$59&lt;&gt;"",BY$59,IF(IFERROR(INDEX(醫師週班表!$C$5:$T$44,$CU32,BY$57),"")=0,"",IF(MID(IFERROR(INDEX(醫師週班表!$C$5:$T$44,$CU32,BY$57),""),2,1)="/",MID(IFERROR(INDEX(醫師週班表!$C$5:$T$44,$CU32,BY$57),""),1+BY$58*2,1),IF(MID(IFERROR(INDEX(醫師週班表!$C$5:$T$44,$CU32,BY$57),""),3,1)="隔",IF(BY$58=0,LEFT(IFERROR(INDEX(醫師週班表!$C$5:$T$44,$CU32,BY$57),""),1),""),IF(MID(IFERROR(INDEX(醫師週班表!$C$5:$T$44,$CU32,BY$57),""),2,1)="(",LEFT(IFERROR(INDEX(醫師週班表!$C$5:$T$44,$CU32,BY$57),""),1),IFERROR(INDEX(醫師週班表!$C$5:$T$44,$CU32,BY$57),"")))))))</f>
        <v/>
      </c>
      <c r="BZ32" s="68">
        <f>IF(BZ$59="X","",IF(BZ$59&lt;&gt;"",BZ$59,IF(IFERROR(INDEX(醫師週班表!$C$5:$T$44,$CU32,BZ$57),"")=0,"",IF(MID(IFERROR(INDEX(醫師週班表!$C$5:$T$44,$CU32,BZ$57),""),2,1)="/",MID(IFERROR(INDEX(醫師週班表!$C$5:$T$44,$CU32,BZ$57),""),1+BZ$58*2,1),IF(MID(IFERROR(INDEX(醫師週班表!$C$5:$T$44,$CU32,BZ$57),""),3,1)="隔",IF(BZ$58=0,LEFT(IFERROR(INDEX(醫師週班表!$C$5:$T$44,$CU32,BZ$57),""),1),""),IF(MID(IFERROR(INDEX(醫師週班表!$C$5:$T$44,$CU32,BZ$57),""),2,1)="(",LEFT(IFERROR(INDEX(醫師週班表!$C$5:$T$44,$CU32,BZ$57),""),1),IFERROR(INDEX(醫師週班表!$C$5:$T$44,$CU32,BZ$57),"")))))))</f>
        <v/>
      </c>
      <c r="CA32" s="68">
        <f>IF(CA$59="X","",IF(CA$59&lt;&gt;"",CA$59,IF(IFERROR(INDEX(醫師週班表!$C$5:$T$44,$CU32,CA$57),"")=0,"",IF(MID(IFERROR(INDEX(醫師週班表!$C$5:$T$44,$CU32,CA$57),""),2,1)="/",MID(IFERROR(INDEX(醫師週班表!$C$5:$T$44,$CU32,CA$57),""),1+CA$58*2,1),IF(MID(IFERROR(INDEX(醫師週班表!$C$5:$T$44,$CU32,CA$57),""),3,1)="隔",IF(CA$58=0,LEFT(IFERROR(INDEX(醫師週班表!$C$5:$T$44,$CU32,CA$57),""),1),""),IF(MID(IFERROR(INDEX(醫師週班表!$C$5:$T$44,$CU32,CA$57),""),2,1)="(",LEFT(IFERROR(INDEX(醫師週班表!$C$5:$T$44,$CU32,CA$57),""),1),IFERROR(INDEX(醫師週班表!$C$5:$T$44,$CU32,CA$57),"")))))))</f>
        <v/>
      </c>
      <c r="CB32" s="67">
        <f>IF(CB$59="X","",IF(CB$59&lt;&gt;"",CB$59,IF(IFERROR(INDEX(醫師週班表!$C$5:$T$44,$CU32,CB$57),"")=0,"",IF(MID(IFERROR(INDEX(醫師週班表!$C$5:$T$44,$CU32,CB$57),""),2,1)="/",MID(IFERROR(INDEX(醫師週班表!$C$5:$T$44,$CU32,CB$57),""),1+CB$58*2,1),IF(MID(IFERROR(INDEX(醫師週班表!$C$5:$T$44,$CU32,CB$57),""),3,1)="隔",IF(CB$58=0,LEFT(IFERROR(INDEX(醫師週班表!$C$5:$T$44,$CU32,CB$57),""),1),""),IF(MID(IFERROR(INDEX(醫師週班表!$C$5:$T$44,$CU32,CB$57),""),2,1)="(",LEFT(IFERROR(INDEX(醫師週班表!$C$5:$T$44,$CU32,CB$57),""),1),IFERROR(INDEX(醫師週班表!$C$5:$T$44,$CU32,CB$57),"")))))))</f>
        <v/>
      </c>
      <c r="CC32" s="68">
        <f>IF(CC$59="X","",IF(CC$59&lt;&gt;"",CC$59,IF(IFERROR(INDEX(醫師週班表!$C$5:$T$44,$CU32,CC$57),"")=0,"",IF(MID(IFERROR(INDEX(醫師週班表!$C$5:$T$44,$CU32,CC$57),""),2,1)="/",MID(IFERROR(INDEX(醫師週班表!$C$5:$T$44,$CU32,CC$57),""),1+CC$58*2,1),IF(MID(IFERROR(INDEX(醫師週班表!$C$5:$T$44,$CU32,CC$57),""),3,1)="隔",IF(CC$58=0,LEFT(IFERROR(INDEX(醫師週班表!$C$5:$T$44,$CU32,CC$57),""),1),""),IF(MID(IFERROR(INDEX(醫師週班表!$C$5:$T$44,$CU32,CC$57),""),2,1)="(",LEFT(IFERROR(INDEX(醫師週班表!$C$5:$T$44,$CU32,CC$57),""),1),IFERROR(INDEX(醫師週班表!$C$5:$T$44,$CU32,CC$57),"")))))))</f>
        <v/>
      </c>
      <c r="CD32" s="68">
        <f>IF(CD$59="X","",IF(CD$59&lt;&gt;"",CD$59,IF(IFERROR(INDEX(醫師週班表!$C$5:$T$44,$CU32,CD$57),"")=0,"",IF(MID(IFERROR(INDEX(醫師週班表!$C$5:$T$44,$CU32,CD$57),""),2,1)="/",MID(IFERROR(INDEX(醫師週班表!$C$5:$T$44,$CU32,CD$57),""),1+CD$58*2,1),IF(MID(IFERROR(INDEX(醫師週班表!$C$5:$T$44,$CU32,CD$57),""),3,1)="隔",IF(CD$58=0,LEFT(IFERROR(INDEX(醫師週班表!$C$5:$T$44,$CU32,CD$57),""),1),""),IF(MID(IFERROR(INDEX(醫師週班表!$C$5:$T$44,$CU32,CD$57),""),2,1)="(",LEFT(IFERROR(INDEX(醫師週班表!$C$5:$T$44,$CU32,CD$57),""),1),IFERROR(INDEX(醫師週班表!$C$5:$T$44,$CU32,CD$57),"")))))))</f>
        <v/>
      </c>
      <c r="CE32" s="67">
        <f>IF(CE$59="X","",IF(CE$59&lt;&gt;"",CE$59,IF(IFERROR(INDEX(醫師週班表!$C$5:$T$44,$CU32,CE$57),"")=0,"",IF(MID(IFERROR(INDEX(醫師週班表!$C$5:$T$44,$CU32,CE$57),""),2,1)="/",MID(IFERROR(INDEX(醫師週班表!$C$5:$T$44,$CU32,CE$57),""),1+CE$58*2,1),IF(MID(IFERROR(INDEX(醫師週班表!$C$5:$T$44,$CU32,CE$57),""),3,1)="隔",IF(CE$58=0,LEFT(IFERROR(INDEX(醫師週班表!$C$5:$T$44,$CU32,CE$57),""),1),""),IF(MID(IFERROR(INDEX(醫師週班表!$C$5:$T$44,$CU32,CE$57),""),2,1)="(",LEFT(IFERROR(INDEX(醫師週班表!$C$5:$T$44,$CU32,CE$57),""),1),IFERROR(INDEX(醫師週班表!$C$5:$T$44,$CU32,CE$57),"")))))))</f>
        <v/>
      </c>
      <c r="CF32" s="68">
        <f>IF(CF$59="X","",IF(CF$59&lt;&gt;"",CF$59,IF(IFERROR(INDEX(醫師週班表!$C$5:$T$44,$CU32,CF$57),"")=0,"",IF(MID(IFERROR(INDEX(醫師週班表!$C$5:$T$44,$CU32,CF$57),""),2,1)="/",MID(IFERROR(INDEX(醫師週班表!$C$5:$T$44,$CU32,CF$57),""),1+CF$58*2,1),IF(MID(IFERROR(INDEX(醫師週班表!$C$5:$T$44,$CU32,CF$57),""),3,1)="隔",IF(CF$58=0,LEFT(IFERROR(INDEX(醫師週班表!$C$5:$T$44,$CU32,CF$57),""),1),""),IF(MID(IFERROR(INDEX(醫師週班表!$C$5:$T$44,$CU32,CF$57),""),2,1)="(",LEFT(IFERROR(INDEX(醫師週班表!$C$5:$T$44,$CU32,CF$57),""),1),IFERROR(INDEX(醫師週班表!$C$5:$T$44,$CU32,CF$57),"")))))))</f>
        <v/>
      </c>
      <c r="CG32" s="68">
        <f>IF(CG$59="X","",IF(CG$59&lt;&gt;"",CG$59,IF(IFERROR(INDEX(醫師週班表!$C$5:$T$44,$CU32,CG$57),"")=0,"",IF(MID(IFERROR(INDEX(醫師週班表!$C$5:$T$44,$CU32,CG$57),""),2,1)="/",MID(IFERROR(INDEX(醫師週班表!$C$5:$T$44,$CU32,CG$57),""),1+CG$58*2,1),IF(MID(IFERROR(INDEX(醫師週班表!$C$5:$T$44,$CU32,CG$57),""),3,1)="隔",IF(CG$58=0,LEFT(IFERROR(INDEX(醫師週班表!$C$5:$T$44,$CU32,CG$57),""),1),""),IF(MID(IFERROR(INDEX(醫師週班表!$C$5:$T$44,$CU32,CG$57),""),2,1)="(",LEFT(IFERROR(INDEX(醫師週班表!$C$5:$T$44,$CU32,CG$57),""),1),IFERROR(INDEX(醫師週班表!$C$5:$T$44,$CU32,CG$57),"")))))))</f>
        <v/>
      </c>
      <c r="CH32" s="67">
        <f>IF(CH$59="X","",IF(CH$59&lt;&gt;"",CH$59,IF(IFERROR(INDEX(醫師週班表!$C$5:$T$44,$CU32,CH$57),"")=0,"",IF(MID(IFERROR(INDEX(醫師週班表!$C$5:$T$44,$CU32,CH$57),""),2,1)="/",MID(IFERROR(INDEX(醫師週班表!$C$5:$T$44,$CU32,CH$57),""),1+CH$58*2,1),IF(MID(IFERROR(INDEX(醫師週班表!$C$5:$T$44,$CU32,CH$57),""),3,1)="隔",IF(CH$58=0,LEFT(IFERROR(INDEX(醫師週班表!$C$5:$T$44,$CU32,CH$57),""),1),""),IF(MID(IFERROR(INDEX(醫師週班表!$C$5:$T$44,$CU32,CH$57),""),2,1)="(",LEFT(IFERROR(INDEX(醫師週班表!$C$5:$T$44,$CU32,CH$57),""),1),IFERROR(INDEX(醫師週班表!$C$5:$T$44,$CU32,CH$57),"")))))))</f>
        <v/>
      </c>
      <c r="CI32" s="68">
        <f>IF(CI$59="X","",IF(CI$59&lt;&gt;"",CI$59,IF(IFERROR(INDEX(醫師週班表!$C$5:$T$44,$CU32,CI$57),"")=0,"",IF(MID(IFERROR(INDEX(醫師週班表!$C$5:$T$44,$CU32,CI$57),""),2,1)="/",MID(IFERROR(INDEX(醫師週班表!$C$5:$T$44,$CU32,CI$57),""),1+CI$58*2,1),IF(MID(IFERROR(INDEX(醫師週班表!$C$5:$T$44,$CU32,CI$57),""),3,1)="隔",IF(CI$58=0,LEFT(IFERROR(INDEX(醫師週班表!$C$5:$T$44,$CU32,CI$57),""),1),""),IF(MID(IFERROR(INDEX(醫師週班表!$C$5:$T$44,$CU32,CI$57),""),2,1)="(",LEFT(IFERROR(INDEX(醫師週班表!$C$5:$T$44,$CU32,CI$57),""),1),IFERROR(INDEX(醫師週班表!$C$5:$T$44,$CU32,CI$57),"")))))))</f>
        <v/>
      </c>
      <c r="CJ32" s="68">
        <f>IF(CJ$59="X","",IF(CJ$59&lt;&gt;"",CJ$59,IF(IFERROR(INDEX(醫師週班表!$C$5:$T$44,$CU32,CJ$57),"")=0,"",IF(MID(IFERROR(INDEX(醫師週班表!$C$5:$T$44,$CU32,CJ$57),""),2,1)="/",MID(IFERROR(INDEX(醫師週班表!$C$5:$T$44,$CU32,CJ$57),""),1+CJ$58*2,1),IF(MID(IFERROR(INDEX(醫師週班表!$C$5:$T$44,$CU32,CJ$57),""),3,1)="隔",IF(CJ$58=0,LEFT(IFERROR(INDEX(醫師週班表!$C$5:$T$44,$CU32,CJ$57),""),1),""),IF(MID(IFERROR(INDEX(醫師週班表!$C$5:$T$44,$CU32,CJ$57),""),2,1)="(",LEFT(IFERROR(INDEX(醫師週班表!$C$5:$T$44,$CU32,CJ$57),""),1),IFERROR(INDEX(醫師週班表!$C$5:$T$44,$CU32,CJ$57),"")))))))</f>
        <v/>
      </c>
      <c r="CK32" s="67">
        <f>IF(CK$59="X","",IF(CK$59&lt;&gt;"",CK$59,IF(IFERROR(INDEX(醫師週班表!$C$5:$T$44,$CU32,CK$57),"")=0,"",IF(MID(IFERROR(INDEX(醫師週班表!$C$5:$T$44,$CU32,CK$57),""),2,1)="/",MID(IFERROR(INDEX(醫師週班表!$C$5:$T$44,$CU32,CK$57),""),1+CK$58*2,1),IF(MID(IFERROR(INDEX(醫師週班表!$C$5:$T$44,$CU32,CK$57),""),3,1)="隔",IF(CK$58=0,LEFT(IFERROR(INDEX(醫師週班表!$C$5:$T$44,$CU32,CK$57),""),1),""),IF(MID(IFERROR(INDEX(醫師週班表!$C$5:$T$44,$CU32,CK$57),""),2,1)="(",LEFT(IFERROR(INDEX(醫師週班表!$C$5:$T$44,$CU32,CK$57),""),1),IFERROR(INDEX(醫師週班表!$C$5:$T$44,$CU32,CK$57),"")))))))</f>
        <v/>
      </c>
      <c r="CL32" s="68">
        <f>IF(CL$59="X","",IF(CL$59&lt;&gt;"",CL$59,IF(IFERROR(INDEX(醫師週班表!$C$5:$T$44,$CU32,CL$57),"")=0,"",IF(MID(IFERROR(INDEX(醫師週班表!$C$5:$T$44,$CU32,CL$57),""),2,1)="/",MID(IFERROR(INDEX(醫師週班表!$C$5:$T$44,$CU32,CL$57),""),1+CL$58*2,1),IF(MID(IFERROR(INDEX(醫師週班表!$C$5:$T$44,$CU32,CL$57),""),3,1)="隔",IF(CL$58=0,LEFT(IFERROR(INDEX(醫師週班表!$C$5:$T$44,$CU32,CL$57),""),1),""),IF(MID(IFERROR(INDEX(醫師週班表!$C$5:$T$44,$CU32,CL$57),""),2,1)="(",LEFT(IFERROR(INDEX(醫師週班表!$C$5:$T$44,$CU32,CL$57),""),1),IFERROR(INDEX(醫師週班表!$C$5:$T$44,$CU32,CL$57),"")))))))</f>
        <v/>
      </c>
      <c r="CM32" s="68">
        <f>IF(CM$59="X","",IF(CM$59&lt;&gt;"",CM$59,IF(IFERROR(INDEX(醫師週班表!$C$5:$T$44,$CU32,CM$57),"")=0,"",IF(MID(IFERROR(INDEX(醫師週班表!$C$5:$T$44,$CU32,CM$57),""),2,1)="/",MID(IFERROR(INDEX(醫師週班表!$C$5:$T$44,$CU32,CM$57),""),1+CM$58*2,1),IF(MID(IFERROR(INDEX(醫師週班表!$C$5:$T$44,$CU32,CM$57),""),3,1)="隔",IF(CM$58=0,LEFT(IFERROR(INDEX(醫師週班表!$C$5:$T$44,$CU32,CM$57),""),1),""),IF(MID(IFERROR(INDEX(醫師週班表!$C$5:$T$44,$CU32,CM$57),""),2,1)="(",LEFT(IFERROR(INDEX(醫師週班表!$C$5:$T$44,$CU32,CM$57),""),1),IFERROR(INDEX(醫師週班表!$C$5:$T$44,$CU32,CM$57),"")))))))</f>
        <v/>
      </c>
      <c r="CN32" s="67">
        <f>IF(CN$59="X","",IF(CN$59&lt;&gt;"",CN$59,IF(IFERROR(INDEX(醫師週班表!$C$5:$T$44,$CU32,CN$57),"")=0,"",IF(MID(IFERROR(INDEX(醫師週班表!$C$5:$T$44,$CU32,CN$57),""),2,1)="/",MID(IFERROR(INDEX(醫師週班表!$C$5:$T$44,$CU32,CN$57),""),1+CN$58*2,1),IF(MID(IFERROR(INDEX(醫師週班表!$C$5:$T$44,$CU32,CN$57),""),3,1)="隔",IF(CN$58=0,LEFT(IFERROR(INDEX(醫師週班表!$C$5:$T$44,$CU32,CN$57),""),1),""),IF(MID(IFERROR(INDEX(醫師週班表!$C$5:$T$44,$CU32,CN$57),""),2,1)="(",LEFT(IFERROR(INDEX(醫師週班表!$C$5:$T$44,$CU32,CN$57),""),1),IFERROR(INDEX(醫師週班表!$C$5:$T$44,$CU32,CN$57),"")))))))</f>
        <v/>
      </c>
      <c r="CO32" s="68">
        <f>IF(CO$59="X","",IF(CO$59&lt;&gt;"",CO$59,IF(IFERROR(INDEX(醫師週班表!$C$5:$T$44,$CU32,CO$57),"")=0,"",IF(MID(IFERROR(INDEX(醫師週班表!$C$5:$T$44,$CU32,CO$57),""),2,1)="/",MID(IFERROR(INDEX(醫師週班表!$C$5:$T$44,$CU32,CO$57),""),1+CO$58*2,1),IF(MID(IFERROR(INDEX(醫師週班表!$C$5:$T$44,$CU32,CO$57),""),3,1)="隔",IF(CO$58=0,LEFT(IFERROR(INDEX(醫師週班表!$C$5:$T$44,$CU32,CO$57),""),1),""),IF(MID(IFERROR(INDEX(醫師週班表!$C$5:$T$44,$CU32,CO$57),""),2,1)="(",LEFT(IFERROR(INDEX(醫師週班表!$C$5:$T$44,$CU32,CO$57),""),1),IFERROR(INDEX(醫師週班表!$C$5:$T$44,$CU32,CO$57),"")))))))</f>
        <v/>
      </c>
      <c r="CP32" s="68">
        <f>IF(CP$59="X","",IF(CP$59&lt;&gt;"",CP$59,IF(IFERROR(INDEX(醫師週班表!$C$5:$T$44,$CU32,CP$57),"")=0,"",IF(MID(IFERROR(INDEX(醫師週班表!$C$5:$T$44,$CU32,CP$57),""),2,1)="/",MID(IFERROR(INDEX(醫師週班表!$C$5:$T$44,$CU32,CP$57),""),1+CP$58*2,1),IF(MID(IFERROR(INDEX(醫師週班表!$C$5:$T$44,$CU32,CP$57),""),3,1)="隔",IF(CP$58=0,LEFT(IFERROR(INDEX(醫師週班表!$C$5:$T$44,$CU32,CP$57),""),1),""),IF(MID(IFERROR(INDEX(醫師週班表!$C$5:$T$44,$CU32,CP$57),""),2,1)="(",LEFT(IFERROR(INDEX(醫師週班表!$C$5:$T$44,$CU32,CP$57),""),1),IFERROR(INDEX(醫師週班表!$C$5:$T$44,$CU32,CP$57),"")))))))</f>
        <v/>
      </c>
      <c r="CQ32" s="67">
        <f>IF(CQ$59="X","",IF(CQ$59&lt;&gt;"",CQ$59,IF(IFERROR(INDEX(醫師週班表!$C$5:$T$44,$CU32,CQ$57),"")=0,"",IF(MID(IFERROR(INDEX(醫師週班表!$C$5:$T$44,$CU32,CQ$57),""),2,1)="/",MID(IFERROR(INDEX(醫師週班表!$C$5:$T$44,$CU32,CQ$57),""),1+CQ$58*2,1),IF(MID(IFERROR(INDEX(醫師週班表!$C$5:$T$44,$CU32,CQ$57),""),3,1)="隔",IF(CQ$58=0,LEFT(IFERROR(INDEX(醫師週班表!$C$5:$T$44,$CU32,CQ$57),""),1),""),IF(MID(IFERROR(INDEX(醫師週班表!$C$5:$T$44,$CU32,CQ$57),""),2,1)="(",LEFT(IFERROR(INDEX(醫師週班表!$C$5:$T$44,$CU32,CQ$57),""),1),IFERROR(INDEX(醫師週班表!$C$5:$T$44,$CU32,CQ$57),"")))))))</f>
        <v/>
      </c>
      <c r="CR32" s="68">
        <f>IF(CR$59="X","",IF(CR$59&lt;&gt;"",CR$59,IF(IFERROR(INDEX(醫師週班表!$C$5:$T$44,$CU32,CR$57),"")=0,"",IF(MID(IFERROR(INDEX(醫師週班表!$C$5:$T$44,$CU32,CR$57),""),2,1)="/",MID(IFERROR(INDEX(醫師週班表!$C$5:$T$44,$CU32,CR$57),""),1+CR$58*2,1),IF(MID(IFERROR(INDEX(醫師週班表!$C$5:$T$44,$CU32,CR$57),""),3,1)="隔",IF(CR$58=0,LEFT(IFERROR(INDEX(醫師週班表!$C$5:$T$44,$CU32,CR$57),""),1),""),IF(MID(IFERROR(INDEX(醫師週班表!$C$5:$T$44,$CU32,CR$57),""),2,1)="(",LEFT(IFERROR(INDEX(醫師週班表!$C$5:$T$44,$CU32,CR$57),""),1),IFERROR(INDEX(醫師週班表!$C$5:$T$44,$CU32,CR$57),"")))))))</f>
        <v/>
      </c>
      <c r="CS32" s="68">
        <f>IF(CS$59="X","",IF(CS$59&lt;&gt;"",CS$59,IF(IFERROR(INDEX(醫師週班表!$C$5:$T$44,$CU32,CS$57),"")=0,"",IF(MID(IFERROR(INDEX(醫師週班表!$C$5:$T$44,$CU32,CS$57),""),2,1)="/",MID(IFERROR(INDEX(醫師週班表!$C$5:$T$44,$CU32,CS$57),""),1+CS$58*2,1),IF(MID(IFERROR(INDEX(醫師週班表!$C$5:$T$44,$CU32,CS$57),""),3,1)="隔",IF(CS$58=0,LEFT(IFERROR(INDEX(醫師週班表!$C$5:$T$44,$CU32,CS$57),""),1),""),IF(MID(IFERROR(INDEX(醫師週班表!$C$5:$T$44,$CU32,CS$57),""),2,1)="(",LEFT(IFERROR(INDEX(醫師週班表!$C$5:$T$44,$CU32,CS$57),""),1),IFERROR(INDEX(醫師週班表!$C$5:$T$44,$CU32,CS$57),"")))))))</f>
        <v/>
      </c>
      <c r="CU32" s="69">
        <f>IFERROR(MATCH($A32,醫師週班表!$A$5:$A$44,0),0)</f>
        <v/>
      </c>
    </row>
    <row r="33" ht="17" customHeight="1">
      <c r="A33" s="20" t="n"/>
      <c r="B33" s="16">
        <f>IFERROR(INDEX(設定!$C$62:$C$201,MATCH($A33,設定!$B$62:$B$201,0)),"")</f>
        <v/>
      </c>
      <c r="C33" s="66">
        <f>IFERROR(INDEX(設定!$E$62:$E$201,MATCH($A33,設定!$B$62:$B$201,0)),"")</f>
        <v/>
      </c>
      <c r="D33" s="16">
        <f>IFERROR(INDEX(設定!$F$62:$F$201,MATCH($A33,設定!$B$62:$B$201,0)),"")</f>
        <v/>
      </c>
      <c r="E33" s="67">
        <f>IF(E$59="X","",IF(E$59&lt;&gt;"",E$59,IF(IFERROR(INDEX(醫師週班表!$C$5:$T$44,$CU33,E$57),"")=0,"",IF(MID(IFERROR(INDEX(醫師週班表!$C$5:$T$44,$CU33,E$57),""),2,1)="/",MID(IFERROR(INDEX(醫師週班表!$C$5:$T$44,$CU33,E$57),""),1+E$58*2,1),IF(MID(IFERROR(INDEX(醫師週班表!$C$5:$T$44,$CU33,E$57),""),3,1)="隔",IF(E$58=0,LEFT(IFERROR(INDEX(醫師週班表!$C$5:$T$44,$CU33,E$57),""),1),""),IF(MID(IFERROR(INDEX(醫師週班表!$C$5:$T$44,$CU33,E$57),""),2,1)="(",LEFT(IFERROR(INDEX(醫師週班表!$C$5:$T$44,$CU33,E$57),""),1),IFERROR(INDEX(醫師週班表!$C$5:$T$44,$CU33,E$57),"")))))))</f>
        <v/>
      </c>
      <c r="F33" s="68">
        <f>IF(F$59="X","",IF(F$59&lt;&gt;"",F$59,IF(IFERROR(INDEX(醫師週班表!$C$5:$T$44,$CU33,F$57),"")=0,"",IF(MID(IFERROR(INDEX(醫師週班表!$C$5:$T$44,$CU33,F$57),""),2,1)="/",MID(IFERROR(INDEX(醫師週班表!$C$5:$T$44,$CU33,F$57),""),1+F$58*2,1),IF(MID(IFERROR(INDEX(醫師週班表!$C$5:$T$44,$CU33,F$57),""),3,1)="隔",IF(F$58=0,LEFT(IFERROR(INDEX(醫師週班表!$C$5:$T$44,$CU33,F$57),""),1),""),IF(MID(IFERROR(INDEX(醫師週班表!$C$5:$T$44,$CU33,F$57),""),2,1)="(",LEFT(IFERROR(INDEX(醫師週班表!$C$5:$T$44,$CU33,F$57),""),1),IFERROR(INDEX(醫師週班表!$C$5:$T$44,$CU33,F$57),"")))))))</f>
        <v/>
      </c>
      <c r="G33" s="68">
        <f>IF(G$59="X","",IF(G$59&lt;&gt;"",G$59,IF(IFERROR(INDEX(醫師週班表!$C$5:$T$44,$CU33,G$57),"")=0,"",IF(MID(IFERROR(INDEX(醫師週班表!$C$5:$T$44,$CU33,G$57),""),2,1)="/",MID(IFERROR(INDEX(醫師週班表!$C$5:$T$44,$CU33,G$57),""),1+G$58*2,1),IF(MID(IFERROR(INDEX(醫師週班表!$C$5:$T$44,$CU33,G$57),""),3,1)="隔",IF(G$58=0,LEFT(IFERROR(INDEX(醫師週班表!$C$5:$T$44,$CU33,G$57),""),1),""),IF(MID(IFERROR(INDEX(醫師週班表!$C$5:$T$44,$CU33,G$57),""),2,1)="(",LEFT(IFERROR(INDEX(醫師週班表!$C$5:$T$44,$CU33,G$57),""),1),IFERROR(INDEX(醫師週班表!$C$5:$T$44,$CU33,G$57),"")))))))</f>
        <v/>
      </c>
      <c r="H33" s="67">
        <f>IF(H$59="X","",IF(H$59&lt;&gt;"",H$59,IF(IFERROR(INDEX(醫師週班表!$C$5:$T$44,$CU33,H$57),"")=0,"",IF(MID(IFERROR(INDEX(醫師週班表!$C$5:$T$44,$CU33,H$57),""),2,1)="/",MID(IFERROR(INDEX(醫師週班表!$C$5:$T$44,$CU33,H$57),""),1+H$58*2,1),IF(MID(IFERROR(INDEX(醫師週班表!$C$5:$T$44,$CU33,H$57),""),3,1)="隔",IF(H$58=0,LEFT(IFERROR(INDEX(醫師週班表!$C$5:$T$44,$CU33,H$57),""),1),""),IF(MID(IFERROR(INDEX(醫師週班表!$C$5:$T$44,$CU33,H$57),""),2,1)="(",LEFT(IFERROR(INDEX(醫師週班表!$C$5:$T$44,$CU33,H$57),""),1),IFERROR(INDEX(醫師週班表!$C$5:$T$44,$CU33,H$57),"")))))))</f>
        <v/>
      </c>
      <c r="I33" s="68">
        <f>IF(I$59="X","",IF(I$59&lt;&gt;"",I$59,IF(IFERROR(INDEX(醫師週班表!$C$5:$T$44,$CU33,I$57),"")=0,"",IF(MID(IFERROR(INDEX(醫師週班表!$C$5:$T$44,$CU33,I$57),""),2,1)="/",MID(IFERROR(INDEX(醫師週班表!$C$5:$T$44,$CU33,I$57),""),1+I$58*2,1),IF(MID(IFERROR(INDEX(醫師週班表!$C$5:$T$44,$CU33,I$57),""),3,1)="隔",IF(I$58=0,LEFT(IFERROR(INDEX(醫師週班表!$C$5:$T$44,$CU33,I$57),""),1),""),IF(MID(IFERROR(INDEX(醫師週班表!$C$5:$T$44,$CU33,I$57),""),2,1)="(",LEFT(IFERROR(INDEX(醫師週班表!$C$5:$T$44,$CU33,I$57),""),1),IFERROR(INDEX(醫師週班表!$C$5:$T$44,$CU33,I$57),"")))))))</f>
        <v/>
      </c>
      <c r="J33" s="68">
        <f>IF(J$59="X","",IF(J$59&lt;&gt;"",J$59,IF(IFERROR(INDEX(醫師週班表!$C$5:$T$44,$CU33,J$57),"")=0,"",IF(MID(IFERROR(INDEX(醫師週班表!$C$5:$T$44,$CU33,J$57),""),2,1)="/",MID(IFERROR(INDEX(醫師週班表!$C$5:$T$44,$CU33,J$57),""),1+J$58*2,1),IF(MID(IFERROR(INDEX(醫師週班表!$C$5:$T$44,$CU33,J$57),""),3,1)="隔",IF(J$58=0,LEFT(IFERROR(INDEX(醫師週班表!$C$5:$T$44,$CU33,J$57),""),1),""),IF(MID(IFERROR(INDEX(醫師週班表!$C$5:$T$44,$CU33,J$57),""),2,1)="(",LEFT(IFERROR(INDEX(醫師週班表!$C$5:$T$44,$CU33,J$57),""),1),IFERROR(INDEX(醫師週班表!$C$5:$T$44,$CU33,J$57),"")))))))</f>
        <v/>
      </c>
      <c r="K33" s="67">
        <f>IF(K$59="X","",IF(K$59&lt;&gt;"",K$59,IF(IFERROR(INDEX(醫師週班表!$C$5:$T$44,$CU33,K$57),"")=0,"",IF(MID(IFERROR(INDEX(醫師週班表!$C$5:$T$44,$CU33,K$57),""),2,1)="/",MID(IFERROR(INDEX(醫師週班表!$C$5:$T$44,$CU33,K$57),""),1+K$58*2,1),IF(MID(IFERROR(INDEX(醫師週班表!$C$5:$T$44,$CU33,K$57),""),3,1)="隔",IF(K$58=0,LEFT(IFERROR(INDEX(醫師週班表!$C$5:$T$44,$CU33,K$57),""),1),""),IF(MID(IFERROR(INDEX(醫師週班表!$C$5:$T$44,$CU33,K$57),""),2,1)="(",LEFT(IFERROR(INDEX(醫師週班表!$C$5:$T$44,$CU33,K$57),""),1),IFERROR(INDEX(醫師週班表!$C$5:$T$44,$CU33,K$57),"")))))))</f>
        <v/>
      </c>
      <c r="L33" s="68">
        <f>IF(L$59="X","",IF(L$59&lt;&gt;"",L$59,IF(IFERROR(INDEX(醫師週班表!$C$5:$T$44,$CU33,L$57),"")=0,"",IF(MID(IFERROR(INDEX(醫師週班表!$C$5:$T$44,$CU33,L$57),""),2,1)="/",MID(IFERROR(INDEX(醫師週班表!$C$5:$T$44,$CU33,L$57),""),1+L$58*2,1),IF(MID(IFERROR(INDEX(醫師週班表!$C$5:$T$44,$CU33,L$57),""),3,1)="隔",IF(L$58=0,LEFT(IFERROR(INDEX(醫師週班表!$C$5:$T$44,$CU33,L$57),""),1),""),IF(MID(IFERROR(INDEX(醫師週班表!$C$5:$T$44,$CU33,L$57),""),2,1)="(",LEFT(IFERROR(INDEX(醫師週班表!$C$5:$T$44,$CU33,L$57),""),1),IFERROR(INDEX(醫師週班表!$C$5:$T$44,$CU33,L$57),"")))))))</f>
        <v/>
      </c>
      <c r="M33" s="68">
        <f>IF(M$59="X","",IF(M$59&lt;&gt;"",M$59,IF(IFERROR(INDEX(醫師週班表!$C$5:$T$44,$CU33,M$57),"")=0,"",IF(MID(IFERROR(INDEX(醫師週班表!$C$5:$T$44,$CU33,M$57),""),2,1)="/",MID(IFERROR(INDEX(醫師週班表!$C$5:$T$44,$CU33,M$57),""),1+M$58*2,1),IF(MID(IFERROR(INDEX(醫師週班表!$C$5:$T$44,$CU33,M$57),""),3,1)="隔",IF(M$58=0,LEFT(IFERROR(INDEX(醫師週班表!$C$5:$T$44,$CU33,M$57),""),1),""),IF(MID(IFERROR(INDEX(醫師週班表!$C$5:$T$44,$CU33,M$57),""),2,1)="(",LEFT(IFERROR(INDEX(醫師週班表!$C$5:$T$44,$CU33,M$57),""),1),IFERROR(INDEX(醫師週班表!$C$5:$T$44,$CU33,M$57),"")))))))</f>
        <v/>
      </c>
      <c r="N33" s="67">
        <f>IF(N$59="X","",IF(N$59&lt;&gt;"",N$59,IF(IFERROR(INDEX(醫師週班表!$C$5:$T$44,$CU33,N$57),"")=0,"",IF(MID(IFERROR(INDEX(醫師週班表!$C$5:$T$44,$CU33,N$57),""),2,1)="/",MID(IFERROR(INDEX(醫師週班表!$C$5:$T$44,$CU33,N$57),""),1+N$58*2,1),IF(MID(IFERROR(INDEX(醫師週班表!$C$5:$T$44,$CU33,N$57),""),3,1)="隔",IF(N$58=0,LEFT(IFERROR(INDEX(醫師週班表!$C$5:$T$44,$CU33,N$57),""),1),""),IF(MID(IFERROR(INDEX(醫師週班表!$C$5:$T$44,$CU33,N$57),""),2,1)="(",LEFT(IFERROR(INDEX(醫師週班表!$C$5:$T$44,$CU33,N$57),""),1),IFERROR(INDEX(醫師週班表!$C$5:$T$44,$CU33,N$57),"")))))))</f>
        <v/>
      </c>
      <c r="O33" s="68">
        <f>IF(O$59="X","",IF(O$59&lt;&gt;"",O$59,IF(IFERROR(INDEX(醫師週班表!$C$5:$T$44,$CU33,O$57),"")=0,"",IF(MID(IFERROR(INDEX(醫師週班表!$C$5:$T$44,$CU33,O$57),""),2,1)="/",MID(IFERROR(INDEX(醫師週班表!$C$5:$T$44,$CU33,O$57),""),1+O$58*2,1),IF(MID(IFERROR(INDEX(醫師週班表!$C$5:$T$44,$CU33,O$57),""),3,1)="隔",IF(O$58=0,LEFT(IFERROR(INDEX(醫師週班表!$C$5:$T$44,$CU33,O$57),""),1),""),IF(MID(IFERROR(INDEX(醫師週班表!$C$5:$T$44,$CU33,O$57),""),2,1)="(",LEFT(IFERROR(INDEX(醫師週班表!$C$5:$T$44,$CU33,O$57),""),1),IFERROR(INDEX(醫師週班表!$C$5:$T$44,$CU33,O$57),"")))))))</f>
        <v/>
      </c>
      <c r="P33" s="68">
        <f>IF(P$59="X","",IF(P$59&lt;&gt;"",P$59,IF(IFERROR(INDEX(醫師週班表!$C$5:$T$44,$CU33,P$57),"")=0,"",IF(MID(IFERROR(INDEX(醫師週班表!$C$5:$T$44,$CU33,P$57),""),2,1)="/",MID(IFERROR(INDEX(醫師週班表!$C$5:$T$44,$CU33,P$57),""),1+P$58*2,1),IF(MID(IFERROR(INDEX(醫師週班表!$C$5:$T$44,$CU33,P$57),""),3,1)="隔",IF(P$58=0,LEFT(IFERROR(INDEX(醫師週班表!$C$5:$T$44,$CU33,P$57),""),1),""),IF(MID(IFERROR(INDEX(醫師週班表!$C$5:$T$44,$CU33,P$57),""),2,1)="(",LEFT(IFERROR(INDEX(醫師週班表!$C$5:$T$44,$CU33,P$57),""),1),IFERROR(INDEX(醫師週班表!$C$5:$T$44,$CU33,P$57),"")))))))</f>
        <v/>
      </c>
      <c r="Q33" s="67">
        <f>IF(Q$59="X","",IF(Q$59&lt;&gt;"",Q$59,IF(IFERROR(INDEX(醫師週班表!$C$5:$T$44,$CU33,Q$57),"")=0,"",IF(MID(IFERROR(INDEX(醫師週班表!$C$5:$T$44,$CU33,Q$57),""),2,1)="/",MID(IFERROR(INDEX(醫師週班表!$C$5:$T$44,$CU33,Q$57),""),1+Q$58*2,1),IF(MID(IFERROR(INDEX(醫師週班表!$C$5:$T$44,$CU33,Q$57),""),3,1)="隔",IF(Q$58=0,LEFT(IFERROR(INDEX(醫師週班表!$C$5:$T$44,$CU33,Q$57),""),1),""),IF(MID(IFERROR(INDEX(醫師週班表!$C$5:$T$44,$CU33,Q$57),""),2,1)="(",LEFT(IFERROR(INDEX(醫師週班表!$C$5:$T$44,$CU33,Q$57),""),1),IFERROR(INDEX(醫師週班表!$C$5:$T$44,$CU33,Q$57),"")))))))</f>
        <v/>
      </c>
      <c r="R33" s="68">
        <f>IF(R$59="X","",IF(R$59&lt;&gt;"",R$59,IF(IFERROR(INDEX(醫師週班表!$C$5:$T$44,$CU33,R$57),"")=0,"",IF(MID(IFERROR(INDEX(醫師週班表!$C$5:$T$44,$CU33,R$57),""),2,1)="/",MID(IFERROR(INDEX(醫師週班表!$C$5:$T$44,$CU33,R$57),""),1+R$58*2,1),IF(MID(IFERROR(INDEX(醫師週班表!$C$5:$T$44,$CU33,R$57),""),3,1)="隔",IF(R$58=0,LEFT(IFERROR(INDEX(醫師週班表!$C$5:$T$44,$CU33,R$57),""),1),""),IF(MID(IFERROR(INDEX(醫師週班表!$C$5:$T$44,$CU33,R$57),""),2,1)="(",LEFT(IFERROR(INDEX(醫師週班表!$C$5:$T$44,$CU33,R$57),""),1),IFERROR(INDEX(醫師週班表!$C$5:$T$44,$CU33,R$57),"")))))))</f>
        <v/>
      </c>
      <c r="S33" s="68">
        <f>IF(S$59="X","",IF(S$59&lt;&gt;"",S$59,IF(IFERROR(INDEX(醫師週班表!$C$5:$T$44,$CU33,S$57),"")=0,"",IF(MID(IFERROR(INDEX(醫師週班表!$C$5:$T$44,$CU33,S$57),""),2,1)="/",MID(IFERROR(INDEX(醫師週班表!$C$5:$T$44,$CU33,S$57),""),1+S$58*2,1),IF(MID(IFERROR(INDEX(醫師週班表!$C$5:$T$44,$CU33,S$57),""),3,1)="隔",IF(S$58=0,LEFT(IFERROR(INDEX(醫師週班表!$C$5:$T$44,$CU33,S$57),""),1),""),IF(MID(IFERROR(INDEX(醫師週班表!$C$5:$T$44,$CU33,S$57),""),2,1)="(",LEFT(IFERROR(INDEX(醫師週班表!$C$5:$T$44,$CU33,S$57),""),1),IFERROR(INDEX(醫師週班表!$C$5:$T$44,$CU33,S$57),"")))))))</f>
        <v/>
      </c>
      <c r="T33" s="67">
        <f>IF(T$59="X","",IF(T$59&lt;&gt;"",T$59,IF(IFERROR(INDEX(醫師週班表!$C$5:$T$44,$CU33,T$57),"")=0,"",IF(MID(IFERROR(INDEX(醫師週班表!$C$5:$T$44,$CU33,T$57),""),2,1)="/",MID(IFERROR(INDEX(醫師週班表!$C$5:$T$44,$CU33,T$57),""),1+T$58*2,1),IF(MID(IFERROR(INDEX(醫師週班表!$C$5:$T$44,$CU33,T$57),""),3,1)="隔",IF(T$58=0,LEFT(IFERROR(INDEX(醫師週班表!$C$5:$T$44,$CU33,T$57),""),1),""),IF(MID(IFERROR(INDEX(醫師週班表!$C$5:$T$44,$CU33,T$57),""),2,1)="(",LEFT(IFERROR(INDEX(醫師週班表!$C$5:$T$44,$CU33,T$57),""),1),IFERROR(INDEX(醫師週班表!$C$5:$T$44,$CU33,T$57),"")))))))</f>
        <v/>
      </c>
      <c r="U33" s="68">
        <f>IF(U$59="X","",IF(U$59&lt;&gt;"",U$59,IF(IFERROR(INDEX(醫師週班表!$C$5:$T$44,$CU33,U$57),"")=0,"",IF(MID(IFERROR(INDEX(醫師週班表!$C$5:$T$44,$CU33,U$57),""),2,1)="/",MID(IFERROR(INDEX(醫師週班表!$C$5:$T$44,$CU33,U$57),""),1+U$58*2,1),IF(MID(IFERROR(INDEX(醫師週班表!$C$5:$T$44,$CU33,U$57),""),3,1)="隔",IF(U$58=0,LEFT(IFERROR(INDEX(醫師週班表!$C$5:$T$44,$CU33,U$57),""),1),""),IF(MID(IFERROR(INDEX(醫師週班表!$C$5:$T$44,$CU33,U$57),""),2,1)="(",LEFT(IFERROR(INDEX(醫師週班表!$C$5:$T$44,$CU33,U$57),""),1),IFERROR(INDEX(醫師週班表!$C$5:$T$44,$CU33,U$57),"")))))))</f>
        <v/>
      </c>
      <c r="V33" s="68">
        <f>IF(V$59="X","",IF(V$59&lt;&gt;"",V$59,IF(IFERROR(INDEX(醫師週班表!$C$5:$T$44,$CU33,V$57),"")=0,"",IF(MID(IFERROR(INDEX(醫師週班表!$C$5:$T$44,$CU33,V$57),""),2,1)="/",MID(IFERROR(INDEX(醫師週班表!$C$5:$T$44,$CU33,V$57),""),1+V$58*2,1),IF(MID(IFERROR(INDEX(醫師週班表!$C$5:$T$44,$CU33,V$57),""),3,1)="隔",IF(V$58=0,LEFT(IFERROR(INDEX(醫師週班表!$C$5:$T$44,$CU33,V$57),""),1),""),IF(MID(IFERROR(INDEX(醫師週班表!$C$5:$T$44,$CU33,V$57),""),2,1)="(",LEFT(IFERROR(INDEX(醫師週班表!$C$5:$T$44,$CU33,V$57),""),1),IFERROR(INDEX(醫師週班表!$C$5:$T$44,$CU33,V$57),"")))))))</f>
        <v/>
      </c>
      <c r="W33" s="67">
        <f>IF(W$59="X","",IF(W$59&lt;&gt;"",W$59,IF(IFERROR(INDEX(醫師週班表!$C$5:$T$44,$CU33,W$57),"")=0,"",IF(MID(IFERROR(INDEX(醫師週班表!$C$5:$T$44,$CU33,W$57),""),2,1)="/",MID(IFERROR(INDEX(醫師週班表!$C$5:$T$44,$CU33,W$57),""),1+W$58*2,1),IF(MID(IFERROR(INDEX(醫師週班表!$C$5:$T$44,$CU33,W$57),""),3,1)="隔",IF(W$58=0,LEFT(IFERROR(INDEX(醫師週班表!$C$5:$T$44,$CU33,W$57),""),1),""),IF(MID(IFERROR(INDEX(醫師週班表!$C$5:$T$44,$CU33,W$57),""),2,1)="(",LEFT(IFERROR(INDEX(醫師週班表!$C$5:$T$44,$CU33,W$57),""),1),IFERROR(INDEX(醫師週班表!$C$5:$T$44,$CU33,W$57),"")))))))</f>
        <v/>
      </c>
      <c r="X33" s="68">
        <f>IF(X$59="X","",IF(X$59&lt;&gt;"",X$59,IF(IFERROR(INDEX(醫師週班表!$C$5:$T$44,$CU33,X$57),"")=0,"",IF(MID(IFERROR(INDEX(醫師週班表!$C$5:$T$44,$CU33,X$57),""),2,1)="/",MID(IFERROR(INDEX(醫師週班表!$C$5:$T$44,$CU33,X$57),""),1+X$58*2,1),IF(MID(IFERROR(INDEX(醫師週班表!$C$5:$T$44,$CU33,X$57),""),3,1)="隔",IF(X$58=0,LEFT(IFERROR(INDEX(醫師週班表!$C$5:$T$44,$CU33,X$57),""),1),""),IF(MID(IFERROR(INDEX(醫師週班表!$C$5:$T$44,$CU33,X$57),""),2,1)="(",LEFT(IFERROR(INDEX(醫師週班表!$C$5:$T$44,$CU33,X$57),""),1),IFERROR(INDEX(醫師週班表!$C$5:$T$44,$CU33,X$57),"")))))))</f>
        <v/>
      </c>
      <c r="Y33" s="68">
        <f>IF(Y$59="X","",IF(Y$59&lt;&gt;"",Y$59,IF(IFERROR(INDEX(醫師週班表!$C$5:$T$44,$CU33,Y$57),"")=0,"",IF(MID(IFERROR(INDEX(醫師週班表!$C$5:$T$44,$CU33,Y$57),""),2,1)="/",MID(IFERROR(INDEX(醫師週班表!$C$5:$T$44,$CU33,Y$57),""),1+Y$58*2,1),IF(MID(IFERROR(INDEX(醫師週班表!$C$5:$T$44,$CU33,Y$57),""),3,1)="隔",IF(Y$58=0,LEFT(IFERROR(INDEX(醫師週班表!$C$5:$T$44,$CU33,Y$57),""),1),""),IF(MID(IFERROR(INDEX(醫師週班表!$C$5:$T$44,$CU33,Y$57),""),2,1)="(",LEFT(IFERROR(INDEX(醫師週班表!$C$5:$T$44,$CU33,Y$57),""),1),IFERROR(INDEX(醫師週班表!$C$5:$T$44,$CU33,Y$57),"")))))))</f>
        <v/>
      </c>
      <c r="Z33" s="67">
        <f>IF(Z$59="X","",IF(Z$59&lt;&gt;"",Z$59,IF(IFERROR(INDEX(醫師週班表!$C$5:$T$44,$CU33,Z$57),"")=0,"",IF(MID(IFERROR(INDEX(醫師週班表!$C$5:$T$44,$CU33,Z$57),""),2,1)="/",MID(IFERROR(INDEX(醫師週班表!$C$5:$T$44,$CU33,Z$57),""),1+Z$58*2,1),IF(MID(IFERROR(INDEX(醫師週班表!$C$5:$T$44,$CU33,Z$57),""),3,1)="隔",IF(Z$58=0,LEFT(IFERROR(INDEX(醫師週班表!$C$5:$T$44,$CU33,Z$57),""),1),""),IF(MID(IFERROR(INDEX(醫師週班表!$C$5:$T$44,$CU33,Z$57),""),2,1)="(",LEFT(IFERROR(INDEX(醫師週班表!$C$5:$T$44,$CU33,Z$57),""),1),IFERROR(INDEX(醫師週班表!$C$5:$T$44,$CU33,Z$57),"")))))))</f>
        <v/>
      </c>
      <c r="AA33" s="68">
        <f>IF(AA$59="X","",IF(AA$59&lt;&gt;"",AA$59,IF(IFERROR(INDEX(醫師週班表!$C$5:$T$44,$CU33,AA$57),"")=0,"",IF(MID(IFERROR(INDEX(醫師週班表!$C$5:$T$44,$CU33,AA$57),""),2,1)="/",MID(IFERROR(INDEX(醫師週班表!$C$5:$T$44,$CU33,AA$57),""),1+AA$58*2,1),IF(MID(IFERROR(INDEX(醫師週班表!$C$5:$T$44,$CU33,AA$57),""),3,1)="隔",IF(AA$58=0,LEFT(IFERROR(INDEX(醫師週班表!$C$5:$T$44,$CU33,AA$57),""),1),""),IF(MID(IFERROR(INDEX(醫師週班表!$C$5:$T$44,$CU33,AA$57),""),2,1)="(",LEFT(IFERROR(INDEX(醫師週班表!$C$5:$T$44,$CU33,AA$57),""),1),IFERROR(INDEX(醫師週班表!$C$5:$T$44,$CU33,AA$57),"")))))))</f>
        <v/>
      </c>
      <c r="AB33" s="68">
        <f>IF(AB$59="X","",IF(AB$59&lt;&gt;"",AB$59,IF(IFERROR(INDEX(醫師週班表!$C$5:$T$44,$CU33,AB$57),"")=0,"",IF(MID(IFERROR(INDEX(醫師週班表!$C$5:$T$44,$CU33,AB$57),""),2,1)="/",MID(IFERROR(INDEX(醫師週班表!$C$5:$T$44,$CU33,AB$57),""),1+AB$58*2,1),IF(MID(IFERROR(INDEX(醫師週班表!$C$5:$T$44,$CU33,AB$57),""),3,1)="隔",IF(AB$58=0,LEFT(IFERROR(INDEX(醫師週班表!$C$5:$T$44,$CU33,AB$57),""),1),""),IF(MID(IFERROR(INDEX(醫師週班表!$C$5:$T$44,$CU33,AB$57),""),2,1)="(",LEFT(IFERROR(INDEX(醫師週班表!$C$5:$T$44,$CU33,AB$57),""),1),IFERROR(INDEX(醫師週班表!$C$5:$T$44,$CU33,AB$57),"")))))))</f>
        <v/>
      </c>
      <c r="AC33" s="67">
        <f>IF(AC$59="X","",IF(AC$59&lt;&gt;"",AC$59,IF(IFERROR(INDEX(醫師週班表!$C$5:$T$44,$CU33,AC$57),"")=0,"",IF(MID(IFERROR(INDEX(醫師週班表!$C$5:$T$44,$CU33,AC$57),""),2,1)="/",MID(IFERROR(INDEX(醫師週班表!$C$5:$T$44,$CU33,AC$57),""),1+AC$58*2,1),IF(MID(IFERROR(INDEX(醫師週班表!$C$5:$T$44,$CU33,AC$57),""),3,1)="隔",IF(AC$58=0,LEFT(IFERROR(INDEX(醫師週班表!$C$5:$T$44,$CU33,AC$57),""),1),""),IF(MID(IFERROR(INDEX(醫師週班表!$C$5:$T$44,$CU33,AC$57),""),2,1)="(",LEFT(IFERROR(INDEX(醫師週班表!$C$5:$T$44,$CU33,AC$57),""),1),IFERROR(INDEX(醫師週班表!$C$5:$T$44,$CU33,AC$57),"")))))))</f>
        <v/>
      </c>
      <c r="AD33" s="68">
        <f>IF(AD$59="X","",IF(AD$59&lt;&gt;"",AD$59,IF(IFERROR(INDEX(醫師週班表!$C$5:$T$44,$CU33,AD$57),"")=0,"",IF(MID(IFERROR(INDEX(醫師週班表!$C$5:$T$44,$CU33,AD$57),""),2,1)="/",MID(IFERROR(INDEX(醫師週班表!$C$5:$T$44,$CU33,AD$57),""),1+AD$58*2,1),IF(MID(IFERROR(INDEX(醫師週班表!$C$5:$T$44,$CU33,AD$57),""),3,1)="隔",IF(AD$58=0,LEFT(IFERROR(INDEX(醫師週班表!$C$5:$T$44,$CU33,AD$57),""),1),""),IF(MID(IFERROR(INDEX(醫師週班表!$C$5:$T$44,$CU33,AD$57),""),2,1)="(",LEFT(IFERROR(INDEX(醫師週班表!$C$5:$T$44,$CU33,AD$57),""),1),IFERROR(INDEX(醫師週班表!$C$5:$T$44,$CU33,AD$57),"")))))))</f>
        <v/>
      </c>
      <c r="AE33" s="68">
        <f>IF(AE$59="X","",IF(AE$59&lt;&gt;"",AE$59,IF(IFERROR(INDEX(醫師週班表!$C$5:$T$44,$CU33,AE$57),"")=0,"",IF(MID(IFERROR(INDEX(醫師週班表!$C$5:$T$44,$CU33,AE$57),""),2,1)="/",MID(IFERROR(INDEX(醫師週班表!$C$5:$T$44,$CU33,AE$57),""),1+AE$58*2,1),IF(MID(IFERROR(INDEX(醫師週班表!$C$5:$T$44,$CU33,AE$57),""),3,1)="隔",IF(AE$58=0,LEFT(IFERROR(INDEX(醫師週班表!$C$5:$T$44,$CU33,AE$57),""),1),""),IF(MID(IFERROR(INDEX(醫師週班表!$C$5:$T$44,$CU33,AE$57),""),2,1)="(",LEFT(IFERROR(INDEX(醫師週班表!$C$5:$T$44,$CU33,AE$57),""),1),IFERROR(INDEX(醫師週班表!$C$5:$T$44,$CU33,AE$57),"")))))))</f>
        <v/>
      </c>
      <c r="AF33" s="67">
        <f>IF(AF$59="X","",IF(AF$59&lt;&gt;"",AF$59,IF(IFERROR(INDEX(醫師週班表!$C$5:$T$44,$CU33,AF$57),"")=0,"",IF(MID(IFERROR(INDEX(醫師週班表!$C$5:$T$44,$CU33,AF$57),""),2,1)="/",MID(IFERROR(INDEX(醫師週班表!$C$5:$T$44,$CU33,AF$57),""),1+AF$58*2,1),IF(MID(IFERROR(INDEX(醫師週班表!$C$5:$T$44,$CU33,AF$57),""),3,1)="隔",IF(AF$58=0,LEFT(IFERROR(INDEX(醫師週班表!$C$5:$T$44,$CU33,AF$57),""),1),""),IF(MID(IFERROR(INDEX(醫師週班表!$C$5:$T$44,$CU33,AF$57),""),2,1)="(",LEFT(IFERROR(INDEX(醫師週班表!$C$5:$T$44,$CU33,AF$57),""),1),IFERROR(INDEX(醫師週班表!$C$5:$T$44,$CU33,AF$57),"")))))))</f>
        <v/>
      </c>
      <c r="AG33" s="68">
        <f>IF(AG$59="X","",IF(AG$59&lt;&gt;"",AG$59,IF(IFERROR(INDEX(醫師週班表!$C$5:$T$44,$CU33,AG$57),"")=0,"",IF(MID(IFERROR(INDEX(醫師週班表!$C$5:$T$44,$CU33,AG$57),""),2,1)="/",MID(IFERROR(INDEX(醫師週班表!$C$5:$T$44,$CU33,AG$57),""),1+AG$58*2,1),IF(MID(IFERROR(INDEX(醫師週班表!$C$5:$T$44,$CU33,AG$57),""),3,1)="隔",IF(AG$58=0,LEFT(IFERROR(INDEX(醫師週班表!$C$5:$T$44,$CU33,AG$57),""),1),""),IF(MID(IFERROR(INDEX(醫師週班表!$C$5:$T$44,$CU33,AG$57),""),2,1)="(",LEFT(IFERROR(INDEX(醫師週班表!$C$5:$T$44,$CU33,AG$57),""),1),IFERROR(INDEX(醫師週班表!$C$5:$T$44,$CU33,AG$57),"")))))))</f>
        <v/>
      </c>
      <c r="AH33" s="68">
        <f>IF(AH$59="X","",IF(AH$59&lt;&gt;"",AH$59,IF(IFERROR(INDEX(醫師週班表!$C$5:$T$44,$CU33,AH$57),"")=0,"",IF(MID(IFERROR(INDEX(醫師週班表!$C$5:$T$44,$CU33,AH$57),""),2,1)="/",MID(IFERROR(INDEX(醫師週班表!$C$5:$T$44,$CU33,AH$57),""),1+AH$58*2,1),IF(MID(IFERROR(INDEX(醫師週班表!$C$5:$T$44,$CU33,AH$57),""),3,1)="隔",IF(AH$58=0,LEFT(IFERROR(INDEX(醫師週班表!$C$5:$T$44,$CU33,AH$57),""),1),""),IF(MID(IFERROR(INDEX(醫師週班表!$C$5:$T$44,$CU33,AH$57),""),2,1)="(",LEFT(IFERROR(INDEX(醫師週班表!$C$5:$T$44,$CU33,AH$57),""),1),IFERROR(INDEX(醫師週班表!$C$5:$T$44,$CU33,AH$57),"")))))))</f>
        <v/>
      </c>
      <c r="AI33" s="67">
        <f>IF(AI$59="X","",IF(AI$59&lt;&gt;"",AI$59,IF(IFERROR(INDEX(醫師週班表!$C$5:$T$44,$CU33,AI$57),"")=0,"",IF(MID(IFERROR(INDEX(醫師週班表!$C$5:$T$44,$CU33,AI$57),""),2,1)="/",MID(IFERROR(INDEX(醫師週班表!$C$5:$T$44,$CU33,AI$57),""),1+AI$58*2,1),IF(MID(IFERROR(INDEX(醫師週班表!$C$5:$T$44,$CU33,AI$57),""),3,1)="隔",IF(AI$58=0,LEFT(IFERROR(INDEX(醫師週班表!$C$5:$T$44,$CU33,AI$57),""),1),""),IF(MID(IFERROR(INDEX(醫師週班表!$C$5:$T$44,$CU33,AI$57),""),2,1)="(",LEFT(IFERROR(INDEX(醫師週班表!$C$5:$T$44,$CU33,AI$57),""),1),IFERROR(INDEX(醫師週班表!$C$5:$T$44,$CU33,AI$57),"")))))))</f>
        <v/>
      </c>
      <c r="AJ33" s="68">
        <f>IF(AJ$59="X","",IF(AJ$59&lt;&gt;"",AJ$59,IF(IFERROR(INDEX(醫師週班表!$C$5:$T$44,$CU33,AJ$57),"")=0,"",IF(MID(IFERROR(INDEX(醫師週班表!$C$5:$T$44,$CU33,AJ$57),""),2,1)="/",MID(IFERROR(INDEX(醫師週班表!$C$5:$T$44,$CU33,AJ$57),""),1+AJ$58*2,1),IF(MID(IFERROR(INDEX(醫師週班表!$C$5:$T$44,$CU33,AJ$57),""),3,1)="隔",IF(AJ$58=0,LEFT(IFERROR(INDEX(醫師週班表!$C$5:$T$44,$CU33,AJ$57),""),1),""),IF(MID(IFERROR(INDEX(醫師週班表!$C$5:$T$44,$CU33,AJ$57),""),2,1)="(",LEFT(IFERROR(INDEX(醫師週班表!$C$5:$T$44,$CU33,AJ$57),""),1),IFERROR(INDEX(醫師週班表!$C$5:$T$44,$CU33,AJ$57),"")))))))</f>
        <v/>
      </c>
      <c r="AK33" s="68">
        <f>IF(AK$59="X","",IF(AK$59&lt;&gt;"",AK$59,IF(IFERROR(INDEX(醫師週班表!$C$5:$T$44,$CU33,AK$57),"")=0,"",IF(MID(IFERROR(INDEX(醫師週班表!$C$5:$T$44,$CU33,AK$57),""),2,1)="/",MID(IFERROR(INDEX(醫師週班表!$C$5:$T$44,$CU33,AK$57),""),1+AK$58*2,1),IF(MID(IFERROR(INDEX(醫師週班表!$C$5:$T$44,$CU33,AK$57),""),3,1)="隔",IF(AK$58=0,LEFT(IFERROR(INDEX(醫師週班表!$C$5:$T$44,$CU33,AK$57),""),1),""),IF(MID(IFERROR(INDEX(醫師週班表!$C$5:$T$44,$CU33,AK$57),""),2,1)="(",LEFT(IFERROR(INDEX(醫師週班表!$C$5:$T$44,$CU33,AK$57),""),1),IFERROR(INDEX(醫師週班表!$C$5:$T$44,$CU33,AK$57),"")))))))</f>
        <v/>
      </c>
      <c r="AL33" s="67">
        <f>IF(AL$59="X","",IF(AL$59&lt;&gt;"",AL$59,IF(IFERROR(INDEX(醫師週班表!$C$5:$T$44,$CU33,AL$57),"")=0,"",IF(MID(IFERROR(INDEX(醫師週班表!$C$5:$T$44,$CU33,AL$57),""),2,1)="/",MID(IFERROR(INDEX(醫師週班表!$C$5:$T$44,$CU33,AL$57),""),1+AL$58*2,1),IF(MID(IFERROR(INDEX(醫師週班表!$C$5:$T$44,$CU33,AL$57),""),3,1)="隔",IF(AL$58=0,LEFT(IFERROR(INDEX(醫師週班表!$C$5:$T$44,$CU33,AL$57),""),1),""),IF(MID(IFERROR(INDEX(醫師週班表!$C$5:$T$44,$CU33,AL$57),""),2,1)="(",LEFT(IFERROR(INDEX(醫師週班表!$C$5:$T$44,$CU33,AL$57),""),1),IFERROR(INDEX(醫師週班表!$C$5:$T$44,$CU33,AL$57),"")))))))</f>
        <v/>
      </c>
      <c r="AM33" s="68">
        <f>IF(AM$59="X","",IF(AM$59&lt;&gt;"",AM$59,IF(IFERROR(INDEX(醫師週班表!$C$5:$T$44,$CU33,AM$57),"")=0,"",IF(MID(IFERROR(INDEX(醫師週班表!$C$5:$T$44,$CU33,AM$57),""),2,1)="/",MID(IFERROR(INDEX(醫師週班表!$C$5:$T$44,$CU33,AM$57),""),1+AM$58*2,1),IF(MID(IFERROR(INDEX(醫師週班表!$C$5:$T$44,$CU33,AM$57),""),3,1)="隔",IF(AM$58=0,LEFT(IFERROR(INDEX(醫師週班表!$C$5:$T$44,$CU33,AM$57),""),1),""),IF(MID(IFERROR(INDEX(醫師週班表!$C$5:$T$44,$CU33,AM$57),""),2,1)="(",LEFT(IFERROR(INDEX(醫師週班表!$C$5:$T$44,$CU33,AM$57),""),1),IFERROR(INDEX(醫師週班表!$C$5:$T$44,$CU33,AM$57),"")))))))</f>
        <v/>
      </c>
      <c r="AN33" s="68">
        <f>IF(AN$59="X","",IF(AN$59&lt;&gt;"",AN$59,IF(IFERROR(INDEX(醫師週班表!$C$5:$T$44,$CU33,AN$57),"")=0,"",IF(MID(IFERROR(INDEX(醫師週班表!$C$5:$T$44,$CU33,AN$57),""),2,1)="/",MID(IFERROR(INDEX(醫師週班表!$C$5:$T$44,$CU33,AN$57),""),1+AN$58*2,1),IF(MID(IFERROR(INDEX(醫師週班表!$C$5:$T$44,$CU33,AN$57),""),3,1)="隔",IF(AN$58=0,LEFT(IFERROR(INDEX(醫師週班表!$C$5:$T$44,$CU33,AN$57),""),1),""),IF(MID(IFERROR(INDEX(醫師週班表!$C$5:$T$44,$CU33,AN$57),""),2,1)="(",LEFT(IFERROR(INDEX(醫師週班表!$C$5:$T$44,$CU33,AN$57),""),1),IFERROR(INDEX(醫師週班表!$C$5:$T$44,$CU33,AN$57),"")))))))</f>
        <v/>
      </c>
      <c r="AO33" s="67">
        <f>IF(AO$59="X","",IF(AO$59&lt;&gt;"",AO$59,IF(IFERROR(INDEX(醫師週班表!$C$5:$T$44,$CU33,AO$57),"")=0,"",IF(MID(IFERROR(INDEX(醫師週班表!$C$5:$T$44,$CU33,AO$57),""),2,1)="/",MID(IFERROR(INDEX(醫師週班表!$C$5:$T$44,$CU33,AO$57),""),1+AO$58*2,1),IF(MID(IFERROR(INDEX(醫師週班表!$C$5:$T$44,$CU33,AO$57),""),3,1)="隔",IF(AO$58=0,LEFT(IFERROR(INDEX(醫師週班表!$C$5:$T$44,$CU33,AO$57),""),1),""),IF(MID(IFERROR(INDEX(醫師週班表!$C$5:$T$44,$CU33,AO$57),""),2,1)="(",LEFT(IFERROR(INDEX(醫師週班表!$C$5:$T$44,$CU33,AO$57),""),1),IFERROR(INDEX(醫師週班表!$C$5:$T$44,$CU33,AO$57),"")))))))</f>
        <v/>
      </c>
      <c r="AP33" s="68">
        <f>IF(AP$59="X","",IF(AP$59&lt;&gt;"",AP$59,IF(IFERROR(INDEX(醫師週班表!$C$5:$T$44,$CU33,AP$57),"")=0,"",IF(MID(IFERROR(INDEX(醫師週班表!$C$5:$T$44,$CU33,AP$57),""),2,1)="/",MID(IFERROR(INDEX(醫師週班表!$C$5:$T$44,$CU33,AP$57),""),1+AP$58*2,1),IF(MID(IFERROR(INDEX(醫師週班表!$C$5:$T$44,$CU33,AP$57),""),3,1)="隔",IF(AP$58=0,LEFT(IFERROR(INDEX(醫師週班表!$C$5:$T$44,$CU33,AP$57),""),1),""),IF(MID(IFERROR(INDEX(醫師週班表!$C$5:$T$44,$CU33,AP$57),""),2,1)="(",LEFT(IFERROR(INDEX(醫師週班表!$C$5:$T$44,$CU33,AP$57),""),1),IFERROR(INDEX(醫師週班表!$C$5:$T$44,$CU33,AP$57),"")))))))</f>
        <v/>
      </c>
      <c r="AQ33" s="68">
        <f>IF(AQ$59="X","",IF(AQ$59&lt;&gt;"",AQ$59,IF(IFERROR(INDEX(醫師週班表!$C$5:$T$44,$CU33,AQ$57),"")=0,"",IF(MID(IFERROR(INDEX(醫師週班表!$C$5:$T$44,$CU33,AQ$57),""),2,1)="/",MID(IFERROR(INDEX(醫師週班表!$C$5:$T$44,$CU33,AQ$57),""),1+AQ$58*2,1),IF(MID(IFERROR(INDEX(醫師週班表!$C$5:$T$44,$CU33,AQ$57),""),3,1)="隔",IF(AQ$58=0,LEFT(IFERROR(INDEX(醫師週班表!$C$5:$T$44,$CU33,AQ$57),""),1),""),IF(MID(IFERROR(INDEX(醫師週班表!$C$5:$T$44,$CU33,AQ$57),""),2,1)="(",LEFT(IFERROR(INDEX(醫師週班表!$C$5:$T$44,$CU33,AQ$57),""),1),IFERROR(INDEX(醫師週班表!$C$5:$T$44,$CU33,AQ$57),"")))))))</f>
        <v/>
      </c>
      <c r="AR33" s="67">
        <f>IF(AR$59="X","",IF(AR$59&lt;&gt;"",AR$59,IF(IFERROR(INDEX(醫師週班表!$C$5:$T$44,$CU33,AR$57),"")=0,"",IF(MID(IFERROR(INDEX(醫師週班表!$C$5:$T$44,$CU33,AR$57),""),2,1)="/",MID(IFERROR(INDEX(醫師週班表!$C$5:$T$44,$CU33,AR$57),""),1+AR$58*2,1),IF(MID(IFERROR(INDEX(醫師週班表!$C$5:$T$44,$CU33,AR$57),""),3,1)="隔",IF(AR$58=0,LEFT(IFERROR(INDEX(醫師週班表!$C$5:$T$44,$CU33,AR$57),""),1),""),IF(MID(IFERROR(INDEX(醫師週班表!$C$5:$T$44,$CU33,AR$57),""),2,1)="(",LEFT(IFERROR(INDEX(醫師週班表!$C$5:$T$44,$CU33,AR$57),""),1),IFERROR(INDEX(醫師週班表!$C$5:$T$44,$CU33,AR$57),"")))))))</f>
        <v/>
      </c>
      <c r="AS33" s="68">
        <f>IF(AS$59="X","",IF(AS$59&lt;&gt;"",AS$59,IF(IFERROR(INDEX(醫師週班表!$C$5:$T$44,$CU33,AS$57),"")=0,"",IF(MID(IFERROR(INDEX(醫師週班表!$C$5:$T$44,$CU33,AS$57),""),2,1)="/",MID(IFERROR(INDEX(醫師週班表!$C$5:$T$44,$CU33,AS$57),""),1+AS$58*2,1),IF(MID(IFERROR(INDEX(醫師週班表!$C$5:$T$44,$CU33,AS$57),""),3,1)="隔",IF(AS$58=0,LEFT(IFERROR(INDEX(醫師週班表!$C$5:$T$44,$CU33,AS$57),""),1),""),IF(MID(IFERROR(INDEX(醫師週班表!$C$5:$T$44,$CU33,AS$57),""),2,1)="(",LEFT(IFERROR(INDEX(醫師週班表!$C$5:$T$44,$CU33,AS$57),""),1),IFERROR(INDEX(醫師週班表!$C$5:$T$44,$CU33,AS$57),"")))))))</f>
        <v/>
      </c>
      <c r="AT33" s="68">
        <f>IF(AT$59="X","",IF(AT$59&lt;&gt;"",AT$59,IF(IFERROR(INDEX(醫師週班表!$C$5:$T$44,$CU33,AT$57),"")=0,"",IF(MID(IFERROR(INDEX(醫師週班表!$C$5:$T$44,$CU33,AT$57),""),2,1)="/",MID(IFERROR(INDEX(醫師週班表!$C$5:$T$44,$CU33,AT$57),""),1+AT$58*2,1),IF(MID(IFERROR(INDEX(醫師週班表!$C$5:$T$44,$CU33,AT$57),""),3,1)="隔",IF(AT$58=0,LEFT(IFERROR(INDEX(醫師週班表!$C$5:$T$44,$CU33,AT$57),""),1),""),IF(MID(IFERROR(INDEX(醫師週班表!$C$5:$T$44,$CU33,AT$57),""),2,1)="(",LEFT(IFERROR(INDEX(醫師週班表!$C$5:$T$44,$CU33,AT$57),""),1),IFERROR(INDEX(醫師週班表!$C$5:$T$44,$CU33,AT$57),"")))))))</f>
        <v/>
      </c>
      <c r="AU33" s="67">
        <f>IF(AU$59="X","",IF(AU$59&lt;&gt;"",AU$59,IF(IFERROR(INDEX(醫師週班表!$C$5:$T$44,$CU33,AU$57),"")=0,"",IF(MID(IFERROR(INDEX(醫師週班表!$C$5:$T$44,$CU33,AU$57),""),2,1)="/",MID(IFERROR(INDEX(醫師週班表!$C$5:$T$44,$CU33,AU$57),""),1+AU$58*2,1),IF(MID(IFERROR(INDEX(醫師週班表!$C$5:$T$44,$CU33,AU$57),""),3,1)="隔",IF(AU$58=0,LEFT(IFERROR(INDEX(醫師週班表!$C$5:$T$44,$CU33,AU$57),""),1),""),IF(MID(IFERROR(INDEX(醫師週班表!$C$5:$T$44,$CU33,AU$57),""),2,1)="(",LEFT(IFERROR(INDEX(醫師週班表!$C$5:$T$44,$CU33,AU$57),""),1),IFERROR(INDEX(醫師週班表!$C$5:$T$44,$CU33,AU$57),"")))))))</f>
        <v/>
      </c>
      <c r="AV33" s="68">
        <f>IF(AV$59="X","",IF(AV$59&lt;&gt;"",AV$59,IF(IFERROR(INDEX(醫師週班表!$C$5:$T$44,$CU33,AV$57),"")=0,"",IF(MID(IFERROR(INDEX(醫師週班表!$C$5:$T$44,$CU33,AV$57),""),2,1)="/",MID(IFERROR(INDEX(醫師週班表!$C$5:$T$44,$CU33,AV$57),""),1+AV$58*2,1),IF(MID(IFERROR(INDEX(醫師週班表!$C$5:$T$44,$CU33,AV$57),""),3,1)="隔",IF(AV$58=0,LEFT(IFERROR(INDEX(醫師週班表!$C$5:$T$44,$CU33,AV$57),""),1),""),IF(MID(IFERROR(INDEX(醫師週班表!$C$5:$T$44,$CU33,AV$57),""),2,1)="(",LEFT(IFERROR(INDEX(醫師週班表!$C$5:$T$44,$CU33,AV$57),""),1),IFERROR(INDEX(醫師週班表!$C$5:$T$44,$CU33,AV$57),"")))))))</f>
        <v/>
      </c>
      <c r="AW33" s="68">
        <f>IF(AW$59="X","",IF(AW$59&lt;&gt;"",AW$59,IF(IFERROR(INDEX(醫師週班表!$C$5:$T$44,$CU33,AW$57),"")=0,"",IF(MID(IFERROR(INDEX(醫師週班表!$C$5:$T$44,$CU33,AW$57),""),2,1)="/",MID(IFERROR(INDEX(醫師週班表!$C$5:$T$44,$CU33,AW$57),""),1+AW$58*2,1),IF(MID(IFERROR(INDEX(醫師週班表!$C$5:$T$44,$CU33,AW$57),""),3,1)="隔",IF(AW$58=0,LEFT(IFERROR(INDEX(醫師週班表!$C$5:$T$44,$CU33,AW$57),""),1),""),IF(MID(IFERROR(INDEX(醫師週班表!$C$5:$T$44,$CU33,AW$57),""),2,1)="(",LEFT(IFERROR(INDEX(醫師週班表!$C$5:$T$44,$CU33,AW$57),""),1),IFERROR(INDEX(醫師週班表!$C$5:$T$44,$CU33,AW$57),"")))))))</f>
        <v/>
      </c>
      <c r="AX33" s="67">
        <f>IF(AX$59="X","",IF(AX$59&lt;&gt;"",AX$59,IF(IFERROR(INDEX(醫師週班表!$C$5:$T$44,$CU33,AX$57),"")=0,"",IF(MID(IFERROR(INDEX(醫師週班表!$C$5:$T$44,$CU33,AX$57),""),2,1)="/",MID(IFERROR(INDEX(醫師週班表!$C$5:$T$44,$CU33,AX$57),""),1+AX$58*2,1),IF(MID(IFERROR(INDEX(醫師週班表!$C$5:$T$44,$CU33,AX$57),""),3,1)="隔",IF(AX$58=0,LEFT(IFERROR(INDEX(醫師週班表!$C$5:$T$44,$CU33,AX$57),""),1),""),IF(MID(IFERROR(INDEX(醫師週班表!$C$5:$T$44,$CU33,AX$57),""),2,1)="(",LEFT(IFERROR(INDEX(醫師週班表!$C$5:$T$44,$CU33,AX$57),""),1),IFERROR(INDEX(醫師週班表!$C$5:$T$44,$CU33,AX$57),"")))))))</f>
        <v/>
      </c>
      <c r="AY33" s="68">
        <f>IF(AY$59="X","",IF(AY$59&lt;&gt;"",AY$59,IF(IFERROR(INDEX(醫師週班表!$C$5:$T$44,$CU33,AY$57),"")=0,"",IF(MID(IFERROR(INDEX(醫師週班表!$C$5:$T$44,$CU33,AY$57),""),2,1)="/",MID(IFERROR(INDEX(醫師週班表!$C$5:$T$44,$CU33,AY$57),""),1+AY$58*2,1),IF(MID(IFERROR(INDEX(醫師週班表!$C$5:$T$44,$CU33,AY$57),""),3,1)="隔",IF(AY$58=0,LEFT(IFERROR(INDEX(醫師週班表!$C$5:$T$44,$CU33,AY$57),""),1),""),IF(MID(IFERROR(INDEX(醫師週班表!$C$5:$T$44,$CU33,AY$57),""),2,1)="(",LEFT(IFERROR(INDEX(醫師週班表!$C$5:$T$44,$CU33,AY$57),""),1),IFERROR(INDEX(醫師週班表!$C$5:$T$44,$CU33,AY$57),"")))))))</f>
        <v/>
      </c>
      <c r="AZ33" s="68">
        <f>IF(AZ$59="X","",IF(AZ$59&lt;&gt;"",AZ$59,IF(IFERROR(INDEX(醫師週班表!$C$5:$T$44,$CU33,AZ$57),"")=0,"",IF(MID(IFERROR(INDEX(醫師週班表!$C$5:$T$44,$CU33,AZ$57),""),2,1)="/",MID(IFERROR(INDEX(醫師週班表!$C$5:$T$44,$CU33,AZ$57),""),1+AZ$58*2,1),IF(MID(IFERROR(INDEX(醫師週班表!$C$5:$T$44,$CU33,AZ$57),""),3,1)="隔",IF(AZ$58=0,LEFT(IFERROR(INDEX(醫師週班表!$C$5:$T$44,$CU33,AZ$57),""),1),""),IF(MID(IFERROR(INDEX(醫師週班表!$C$5:$T$44,$CU33,AZ$57),""),2,1)="(",LEFT(IFERROR(INDEX(醫師週班表!$C$5:$T$44,$CU33,AZ$57),""),1),IFERROR(INDEX(醫師週班表!$C$5:$T$44,$CU33,AZ$57),"")))))))</f>
        <v/>
      </c>
      <c r="BA33" s="67">
        <f>IF(BA$59="X","",IF(BA$59&lt;&gt;"",BA$59,IF(IFERROR(INDEX(醫師週班表!$C$5:$T$44,$CU33,BA$57),"")=0,"",IF(MID(IFERROR(INDEX(醫師週班表!$C$5:$T$44,$CU33,BA$57),""),2,1)="/",MID(IFERROR(INDEX(醫師週班表!$C$5:$T$44,$CU33,BA$57),""),1+BA$58*2,1),IF(MID(IFERROR(INDEX(醫師週班表!$C$5:$T$44,$CU33,BA$57),""),3,1)="隔",IF(BA$58=0,LEFT(IFERROR(INDEX(醫師週班表!$C$5:$T$44,$CU33,BA$57),""),1),""),IF(MID(IFERROR(INDEX(醫師週班表!$C$5:$T$44,$CU33,BA$57),""),2,1)="(",LEFT(IFERROR(INDEX(醫師週班表!$C$5:$T$44,$CU33,BA$57),""),1),IFERROR(INDEX(醫師週班表!$C$5:$T$44,$CU33,BA$57),"")))))))</f>
        <v/>
      </c>
      <c r="BB33" s="68">
        <f>IF(BB$59="X","",IF(BB$59&lt;&gt;"",BB$59,IF(IFERROR(INDEX(醫師週班表!$C$5:$T$44,$CU33,BB$57),"")=0,"",IF(MID(IFERROR(INDEX(醫師週班表!$C$5:$T$44,$CU33,BB$57),""),2,1)="/",MID(IFERROR(INDEX(醫師週班表!$C$5:$T$44,$CU33,BB$57),""),1+BB$58*2,1),IF(MID(IFERROR(INDEX(醫師週班表!$C$5:$T$44,$CU33,BB$57),""),3,1)="隔",IF(BB$58=0,LEFT(IFERROR(INDEX(醫師週班表!$C$5:$T$44,$CU33,BB$57),""),1),""),IF(MID(IFERROR(INDEX(醫師週班表!$C$5:$T$44,$CU33,BB$57),""),2,1)="(",LEFT(IFERROR(INDEX(醫師週班表!$C$5:$T$44,$CU33,BB$57),""),1),IFERROR(INDEX(醫師週班表!$C$5:$T$44,$CU33,BB$57),"")))))))</f>
        <v/>
      </c>
      <c r="BC33" s="68">
        <f>IF(BC$59="X","",IF(BC$59&lt;&gt;"",BC$59,IF(IFERROR(INDEX(醫師週班表!$C$5:$T$44,$CU33,BC$57),"")=0,"",IF(MID(IFERROR(INDEX(醫師週班表!$C$5:$T$44,$CU33,BC$57),""),2,1)="/",MID(IFERROR(INDEX(醫師週班表!$C$5:$T$44,$CU33,BC$57),""),1+BC$58*2,1),IF(MID(IFERROR(INDEX(醫師週班表!$C$5:$T$44,$CU33,BC$57),""),3,1)="隔",IF(BC$58=0,LEFT(IFERROR(INDEX(醫師週班表!$C$5:$T$44,$CU33,BC$57),""),1),""),IF(MID(IFERROR(INDEX(醫師週班表!$C$5:$T$44,$CU33,BC$57),""),2,1)="(",LEFT(IFERROR(INDEX(醫師週班表!$C$5:$T$44,$CU33,BC$57),""),1),IFERROR(INDEX(醫師週班表!$C$5:$T$44,$CU33,BC$57),"")))))))</f>
        <v/>
      </c>
      <c r="BD33" s="67">
        <f>IF(BD$59="X","",IF(BD$59&lt;&gt;"",BD$59,IF(IFERROR(INDEX(醫師週班表!$C$5:$T$44,$CU33,BD$57),"")=0,"",IF(MID(IFERROR(INDEX(醫師週班表!$C$5:$T$44,$CU33,BD$57),""),2,1)="/",MID(IFERROR(INDEX(醫師週班表!$C$5:$T$44,$CU33,BD$57),""),1+BD$58*2,1),IF(MID(IFERROR(INDEX(醫師週班表!$C$5:$T$44,$CU33,BD$57),""),3,1)="隔",IF(BD$58=0,LEFT(IFERROR(INDEX(醫師週班表!$C$5:$T$44,$CU33,BD$57),""),1),""),IF(MID(IFERROR(INDEX(醫師週班表!$C$5:$T$44,$CU33,BD$57),""),2,1)="(",LEFT(IFERROR(INDEX(醫師週班表!$C$5:$T$44,$CU33,BD$57),""),1),IFERROR(INDEX(醫師週班表!$C$5:$T$44,$CU33,BD$57),"")))))))</f>
        <v/>
      </c>
      <c r="BE33" s="68">
        <f>IF(BE$59="X","",IF(BE$59&lt;&gt;"",BE$59,IF(IFERROR(INDEX(醫師週班表!$C$5:$T$44,$CU33,BE$57),"")=0,"",IF(MID(IFERROR(INDEX(醫師週班表!$C$5:$T$44,$CU33,BE$57),""),2,1)="/",MID(IFERROR(INDEX(醫師週班表!$C$5:$T$44,$CU33,BE$57),""),1+BE$58*2,1),IF(MID(IFERROR(INDEX(醫師週班表!$C$5:$T$44,$CU33,BE$57),""),3,1)="隔",IF(BE$58=0,LEFT(IFERROR(INDEX(醫師週班表!$C$5:$T$44,$CU33,BE$57),""),1),""),IF(MID(IFERROR(INDEX(醫師週班表!$C$5:$T$44,$CU33,BE$57),""),2,1)="(",LEFT(IFERROR(INDEX(醫師週班表!$C$5:$T$44,$CU33,BE$57),""),1),IFERROR(INDEX(醫師週班表!$C$5:$T$44,$CU33,BE$57),"")))))))</f>
        <v/>
      </c>
      <c r="BF33" s="68">
        <f>IF(BF$59="X","",IF(BF$59&lt;&gt;"",BF$59,IF(IFERROR(INDEX(醫師週班表!$C$5:$T$44,$CU33,BF$57),"")=0,"",IF(MID(IFERROR(INDEX(醫師週班表!$C$5:$T$44,$CU33,BF$57),""),2,1)="/",MID(IFERROR(INDEX(醫師週班表!$C$5:$T$44,$CU33,BF$57),""),1+BF$58*2,1),IF(MID(IFERROR(INDEX(醫師週班表!$C$5:$T$44,$CU33,BF$57),""),3,1)="隔",IF(BF$58=0,LEFT(IFERROR(INDEX(醫師週班表!$C$5:$T$44,$CU33,BF$57),""),1),""),IF(MID(IFERROR(INDEX(醫師週班表!$C$5:$T$44,$CU33,BF$57),""),2,1)="(",LEFT(IFERROR(INDEX(醫師週班表!$C$5:$T$44,$CU33,BF$57),""),1),IFERROR(INDEX(醫師週班表!$C$5:$T$44,$CU33,BF$57),"")))))))</f>
        <v/>
      </c>
      <c r="BG33" s="67">
        <f>IF(BG$59="X","",IF(BG$59&lt;&gt;"",BG$59,IF(IFERROR(INDEX(醫師週班表!$C$5:$T$44,$CU33,BG$57),"")=0,"",IF(MID(IFERROR(INDEX(醫師週班表!$C$5:$T$44,$CU33,BG$57),""),2,1)="/",MID(IFERROR(INDEX(醫師週班表!$C$5:$T$44,$CU33,BG$57),""),1+BG$58*2,1),IF(MID(IFERROR(INDEX(醫師週班表!$C$5:$T$44,$CU33,BG$57),""),3,1)="隔",IF(BG$58=0,LEFT(IFERROR(INDEX(醫師週班表!$C$5:$T$44,$CU33,BG$57),""),1),""),IF(MID(IFERROR(INDEX(醫師週班表!$C$5:$T$44,$CU33,BG$57),""),2,1)="(",LEFT(IFERROR(INDEX(醫師週班表!$C$5:$T$44,$CU33,BG$57),""),1),IFERROR(INDEX(醫師週班表!$C$5:$T$44,$CU33,BG$57),"")))))))</f>
        <v/>
      </c>
      <c r="BH33" s="68">
        <f>IF(BH$59="X","",IF(BH$59&lt;&gt;"",BH$59,IF(IFERROR(INDEX(醫師週班表!$C$5:$T$44,$CU33,BH$57),"")=0,"",IF(MID(IFERROR(INDEX(醫師週班表!$C$5:$T$44,$CU33,BH$57),""),2,1)="/",MID(IFERROR(INDEX(醫師週班表!$C$5:$T$44,$CU33,BH$57),""),1+BH$58*2,1),IF(MID(IFERROR(INDEX(醫師週班表!$C$5:$T$44,$CU33,BH$57),""),3,1)="隔",IF(BH$58=0,LEFT(IFERROR(INDEX(醫師週班表!$C$5:$T$44,$CU33,BH$57),""),1),""),IF(MID(IFERROR(INDEX(醫師週班表!$C$5:$T$44,$CU33,BH$57),""),2,1)="(",LEFT(IFERROR(INDEX(醫師週班表!$C$5:$T$44,$CU33,BH$57),""),1),IFERROR(INDEX(醫師週班表!$C$5:$T$44,$CU33,BH$57),"")))))))</f>
        <v/>
      </c>
      <c r="BI33" s="68">
        <f>IF(BI$59="X","",IF(BI$59&lt;&gt;"",BI$59,IF(IFERROR(INDEX(醫師週班表!$C$5:$T$44,$CU33,BI$57),"")=0,"",IF(MID(IFERROR(INDEX(醫師週班表!$C$5:$T$44,$CU33,BI$57),""),2,1)="/",MID(IFERROR(INDEX(醫師週班表!$C$5:$T$44,$CU33,BI$57),""),1+BI$58*2,1),IF(MID(IFERROR(INDEX(醫師週班表!$C$5:$T$44,$CU33,BI$57),""),3,1)="隔",IF(BI$58=0,LEFT(IFERROR(INDEX(醫師週班表!$C$5:$T$44,$CU33,BI$57),""),1),""),IF(MID(IFERROR(INDEX(醫師週班表!$C$5:$T$44,$CU33,BI$57),""),2,1)="(",LEFT(IFERROR(INDEX(醫師週班表!$C$5:$T$44,$CU33,BI$57),""),1),IFERROR(INDEX(醫師週班表!$C$5:$T$44,$CU33,BI$57),"")))))))</f>
        <v/>
      </c>
      <c r="BJ33" s="67">
        <f>IF(BJ$59="X","",IF(BJ$59&lt;&gt;"",BJ$59,IF(IFERROR(INDEX(醫師週班表!$C$5:$T$44,$CU33,BJ$57),"")=0,"",IF(MID(IFERROR(INDEX(醫師週班表!$C$5:$T$44,$CU33,BJ$57),""),2,1)="/",MID(IFERROR(INDEX(醫師週班表!$C$5:$T$44,$CU33,BJ$57),""),1+BJ$58*2,1),IF(MID(IFERROR(INDEX(醫師週班表!$C$5:$T$44,$CU33,BJ$57),""),3,1)="隔",IF(BJ$58=0,LEFT(IFERROR(INDEX(醫師週班表!$C$5:$T$44,$CU33,BJ$57),""),1),""),IF(MID(IFERROR(INDEX(醫師週班表!$C$5:$T$44,$CU33,BJ$57),""),2,1)="(",LEFT(IFERROR(INDEX(醫師週班表!$C$5:$T$44,$CU33,BJ$57),""),1),IFERROR(INDEX(醫師週班表!$C$5:$T$44,$CU33,BJ$57),"")))))))</f>
        <v/>
      </c>
      <c r="BK33" s="68">
        <f>IF(BK$59="X","",IF(BK$59&lt;&gt;"",BK$59,IF(IFERROR(INDEX(醫師週班表!$C$5:$T$44,$CU33,BK$57),"")=0,"",IF(MID(IFERROR(INDEX(醫師週班表!$C$5:$T$44,$CU33,BK$57),""),2,1)="/",MID(IFERROR(INDEX(醫師週班表!$C$5:$T$44,$CU33,BK$57),""),1+BK$58*2,1),IF(MID(IFERROR(INDEX(醫師週班表!$C$5:$T$44,$CU33,BK$57),""),3,1)="隔",IF(BK$58=0,LEFT(IFERROR(INDEX(醫師週班表!$C$5:$T$44,$CU33,BK$57),""),1),""),IF(MID(IFERROR(INDEX(醫師週班表!$C$5:$T$44,$CU33,BK$57),""),2,1)="(",LEFT(IFERROR(INDEX(醫師週班表!$C$5:$T$44,$CU33,BK$57),""),1),IFERROR(INDEX(醫師週班表!$C$5:$T$44,$CU33,BK$57),"")))))))</f>
        <v/>
      </c>
      <c r="BL33" s="68">
        <f>IF(BL$59="X","",IF(BL$59&lt;&gt;"",BL$59,IF(IFERROR(INDEX(醫師週班表!$C$5:$T$44,$CU33,BL$57),"")=0,"",IF(MID(IFERROR(INDEX(醫師週班表!$C$5:$T$44,$CU33,BL$57),""),2,1)="/",MID(IFERROR(INDEX(醫師週班表!$C$5:$T$44,$CU33,BL$57),""),1+BL$58*2,1),IF(MID(IFERROR(INDEX(醫師週班表!$C$5:$T$44,$CU33,BL$57),""),3,1)="隔",IF(BL$58=0,LEFT(IFERROR(INDEX(醫師週班表!$C$5:$T$44,$CU33,BL$57),""),1),""),IF(MID(IFERROR(INDEX(醫師週班表!$C$5:$T$44,$CU33,BL$57),""),2,1)="(",LEFT(IFERROR(INDEX(醫師週班表!$C$5:$T$44,$CU33,BL$57),""),1),IFERROR(INDEX(醫師週班表!$C$5:$T$44,$CU33,BL$57),"")))))))</f>
        <v/>
      </c>
      <c r="BM33" s="67">
        <f>IF(BM$59="X","",IF(BM$59&lt;&gt;"",BM$59,IF(IFERROR(INDEX(醫師週班表!$C$5:$T$44,$CU33,BM$57),"")=0,"",IF(MID(IFERROR(INDEX(醫師週班表!$C$5:$T$44,$CU33,BM$57),""),2,1)="/",MID(IFERROR(INDEX(醫師週班表!$C$5:$T$44,$CU33,BM$57),""),1+BM$58*2,1),IF(MID(IFERROR(INDEX(醫師週班表!$C$5:$T$44,$CU33,BM$57),""),3,1)="隔",IF(BM$58=0,LEFT(IFERROR(INDEX(醫師週班表!$C$5:$T$44,$CU33,BM$57),""),1),""),IF(MID(IFERROR(INDEX(醫師週班表!$C$5:$T$44,$CU33,BM$57),""),2,1)="(",LEFT(IFERROR(INDEX(醫師週班表!$C$5:$T$44,$CU33,BM$57),""),1),IFERROR(INDEX(醫師週班表!$C$5:$T$44,$CU33,BM$57),"")))))))</f>
        <v/>
      </c>
      <c r="BN33" s="68">
        <f>IF(BN$59="X","",IF(BN$59&lt;&gt;"",BN$59,IF(IFERROR(INDEX(醫師週班表!$C$5:$T$44,$CU33,BN$57),"")=0,"",IF(MID(IFERROR(INDEX(醫師週班表!$C$5:$T$44,$CU33,BN$57),""),2,1)="/",MID(IFERROR(INDEX(醫師週班表!$C$5:$T$44,$CU33,BN$57),""),1+BN$58*2,1),IF(MID(IFERROR(INDEX(醫師週班表!$C$5:$T$44,$CU33,BN$57),""),3,1)="隔",IF(BN$58=0,LEFT(IFERROR(INDEX(醫師週班表!$C$5:$T$44,$CU33,BN$57),""),1),""),IF(MID(IFERROR(INDEX(醫師週班表!$C$5:$T$44,$CU33,BN$57),""),2,1)="(",LEFT(IFERROR(INDEX(醫師週班表!$C$5:$T$44,$CU33,BN$57),""),1),IFERROR(INDEX(醫師週班表!$C$5:$T$44,$CU33,BN$57),"")))))))</f>
        <v/>
      </c>
      <c r="BO33" s="68">
        <f>IF(BO$59="X","",IF(BO$59&lt;&gt;"",BO$59,IF(IFERROR(INDEX(醫師週班表!$C$5:$T$44,$CU33,BO$57),"")=0,"",IF(MID(IFERROR(INDEX(醫師週班表!$C$5:$T$44,$CU33,BO$57),""),2,1)="/",MID(IFERROR(INDEX(醫師週班表!$C$5:$T$44,$CU33,BO$57),""),1+BO$58*2,1),IF(MID(IFERROR(INDEX(醫師週班表!$C$5:$T$44,$CU33,BO$57),""),3,1)="隔",IF(BO$58=0,LEFT(IFERROR(INDEX(醫師週班表!$C$5:$T$44,$CU33,BO$57),""),1),""),IF(MID(IFERROR(INDEX(醫師週班表!$C$5:$T$44,$CU33,BO$57),""),2,1)="(",LEFT(IFERROR(INDEX(醫師週班表!$C$5:$T$44,$CU33,BO$57),""),1),IFERROR(INDEX(醫師週班表!$C$5:$T$44,$CU33,BO$57),"")))))))</f>
        <v/>
      </c>
      <c r="BP33" s="67">
        <f>IF(BP$59="X","",IF(BP$59&lt;&gt;"",BP$59,IF(IFERROR(INDEX(醫師週班表!$C$5:$T$44,$CU33,BP$57),"")=0,"",IF(MID(IFERROR(INDEX(醫師週班表!$C$5:$T$44,$CU33,BP$57),""),2,1)="/",MID(IFERROR(INDEX(醫師週班表!$C$5:$T$44,$CU33,BP$57),""),1+BP$58*2,1),IF(MID(IFERROR(INDEX(醫師週班表!$C$5:$T$44,$CU33,BP$57),""),3,1)="隔",IF(BP$58=0,LEFT(IFERROR(INDEX(醫師週班表!$C$5:$T$44,$CU33,BP$57),""),1),""),IF(MID(IFERROR(INDEX(醫師週班表!$C$5:$T$44,$CU33,BP$57),""),2,1)="(",LEFT(IFERROR(INDEX(醫師週班表!$C$5:$T$44,$CU33,BP$57),""),1),IFERROR(INDEX(醫師週班表!$C$5:$T$44,$CU33,BP$57),"")))))))</f>
        <v/>
      </c>
      <c r="BQ33" s="68">
        <f>IF(BQ$59="X","",IF(BQ$59&lt;&gt;"",BQ$59,IF(IFERROR(INDEX(醫師週班表!$C$5:$T$44,$CU33,BQ$57),"")=0,"",IF(MID(IFERROR(INDEX(醫師週班表!$C$5:$T$44,$CU33,BQ$57),""),2,1)="/",MID(IFERROR(INDEX(醫師週班表!$C$5:$T$44,$CU33,BQ$57),""),1+BQ$58*2,1),IF(MID(IFERROR(INDEX(醫師週班表!$C$5:$T$44,$CU33,BQ$57),""),3,1)="隔",IF(BQ$58=0,LEFT(IFERROR(INDEX(醫師週班表!$C$5:$T$44,$CU33,BQ$57),""),1),""),IF(MID(IFERROR(INDEX(醫師週班表!$C$5:$T$44,$CU33,BQ$57),""),2,1)="(",LEFT(IFERROR(INDEX(醫師週班表!$C$5:$T$44,$CU33,BQ$57),""),1),IFERROR(INDEX(醫師週班表!$C$5:$T$44,$CU33,BQ$57),"")))))))</f>
        <v/>
      </c>
      <c r="BR33" s="68">
        <f>IF(BR$59="X","",IF(BR$59&lt;&gt;"",BR$59,IF(IFERROR(INDEX(醫師週班表!$C$5:$T$44,$CU33,BR$57),"")=0,"",IF(MID(IFERROR(INDEX(醫師週班表!$C$5:$T$44,$CU33,BR$57),""),2,1)="/",MID(IFERROR(INDEX(醫師週班表!$C$5:$T$44,$CU33,BR$57),""),1+BR$58*2,1),IF(MID(IFERROR(INDEX(醫師週班表!$C$5:$T$44,$CU33,BR$57),""),3,1)="隔",IF(BR$58=0,LEFT(IFERROR(INDEX(醫師週班表!$C$5:$T$44,$CU33,BR$57),""),1),""),IF(MID(IFERROR(INDEX(醫師週班表!$C$5:$T$44,$CU33,BR$57),""),2,1)="(",LEFT(IFERROR(INDEX(醫師週班表!$C$5:$T$44,$CU33,BR$57),""),1),IFERROR(INDEX(醫師週班表!$C$5:$T$44,$CU33,BR$57),"")))))))</f>
        <v/>
      </c>
      <c r="BS33" s="67">
        <f>IF(BS$59="X","",IF(BS$59&lt;&gt;"",BS$59,IF(IFERROR(INDEX(醫師週班表!$C$5:$T$44,$CU33,BS$57),"")=0,"",IF(MID(IFERROR(INDEX(醫師週班表!$C$5:$T$44,$CU33,BS$57),""),2,1)="/",MID(IFERROR(INDEX(醫師週班表!$C$5:$T$44,$CU33,BS$57),""),1+BS$58*2,1),IF(MID(IFERROR(INDEX(醫師週班表!$C$5:$T$44,$CU33,BS$57),""),3,1)="隔",IF(BS$58=0,LEFT(IFERROR(INDEX(醫師週班表!$C$5:$T$44,$CU33,BS$57),""),1),""),IF(MID(IFERROR(INDEX(醫師週班表!$C$5:$T$44,$CU33,BS$57),""),2,1)="(",LEFT(IFERROR(INDEX(醫師週班表!$C$5:$T$44,$CU33,BS$57),""),1),IFERROR(INDEX(醫師週班表!$C$5:$T$44,$CU33,BS$57),"")))))))</f>
        <v/>
      </c>
      <c r="BT33" s="68">
        <f>IF(BT$59="X","",IF(BT$59&lt;&gt;"",BT$59,IF(IFERROR(INDEX(醫師週班表!$C$5:$T$44,$CU33,BT$57),"")=0,"",IF(MID(IFERROR(INDEX(醫師週班表!$C$5:$T$44,$CU33,BT$57),""),2,1)="/",MID(IFERROR(INDEX(醫師週班表!$C$5:$T$44,$CU33,BT$57),""),1+BT$58*2,1),IF(MID(IFERROR(INDEX(醫師週班表!$C$5:$T$44,$CU33,BT$57),""),3,1)="隔",IF(BT$58=0,LEFT(IFERROR(INDEX(醫師週班表!$C$5:$T$44,$CU33,BT$57),""),1),""),IF(MID(IFERROR(INDEX(醫師週班表!$C$5:$T$44,$CU33,BT$57),""),2,1)="(",LEFT(IFERROR(INDEX(醫師週班表!$C$5:$T$44,$CU33,BT$57),""),1),IFERROR(INDEX(醫師週班表!$C$5:$T$44,$CU33,BT$57),"")))))))</f>
        <v/>
      </c>
      <c r="BU33" s="68">
        <f>IF(BU$59="X","",IF(BU$59&lt;&gt;"",BU$59,IF(IFERROR(INDEX(醫師週班表!$C$5:$T$44,$CU33,BU$57),"")=0,"",IF(MID(IFERROR(INDEX(醫師週班表!$C$5:$T$44,$CU33,BU$57),""),2,1)="/",MID(IFERROR(INDEX(醫師週班表!$C$5:$T$44,$CU33,BU$57),""),1+BU$58*2,1),IF(MID(IFERROR(INDEX(醫師週班表!$C$5:$T$44,$CU33,BU$57),""),3,1)="隔",IF(BU$58=0,LEFT(IFERROR(INDEX(醫師週班表!$C$5:$T$44,$CU33,BU$57),""),1),""),IF(MID(IFERROR(INDEX(醫師週班表!$C$5:$T$44,$CU33,BU$57),""),2,1)="(",LEFT(IFERROR(INDEX(醫師週班表!$C$5:$T$44,$CU33,BU$57),""),1),IFERROR(INDEX(醫師週班表!$C$5:$T$44,$CU33,BU$57),"")))))))</f>
        <v/>
      </c>
      <c r="BV33" s="67">
        <f>IF(BV$59="X","",IF(BV$59&lt;&gt;"",BV$59,IF(IFERROR(INDEX(醫師週班表!$C$5:$T$44,$CU33,BV$57),"")=0,"",IF(MID(IFERROR(INDEX(醫師週班表!$C$5:$T$44,$CU33,BV$57),""),2,1)="/",MID(IFERROR(INDEX(醫師週班表!$C$5:$T$44,$CU33,BV$57),""),1+BV$58*2,1),IF(MID(IFERROR(INDEX(醫師週班表!$C$5:$T$44,$CU33,BV$57),""),3,1)="隔",IF(BV$58=0,LEFT(IFERROR(INDEX(醫師週班表!$C$5:$T$44,$CU33,BV$57),""),1),""),IF(MID(IFERROR(INDEX(醫師週班表!$C$5:$T$44,$CU33,BV$57),""),2,1)="(",LEFT(IFERROR(INDEX(醫師週班表!$C$5:$T$44,$CU33,BV$57),""),1),IFERROR(INDEX(醫師週班表!$C$5:$T$44,$CU33,BV$57),"")))))))</f>
        <v/>
      </c>
      <c r="BW33" s="68">
        <f>IF(BW$59="X","",IF(BW$59&lt;&gt;"",BW$59,IF(IFERROR(INDEX(醫師週班表!$C$5:$T$44,$CU33,BW$57),"")=0,"",IF(MID(IFERROR(INDEX(醫師週班表!$C$5:$T$44,$CU33,BW$57),""),2,1)="/",MID(IFERROR(INDEX(醫師週班表!$C$5:$T$44,$CU33,BW$57),""),1+BW$58*2,1),IF(MID(IFERROR(INDEX(醫師週班表!$C$5:$T$44,$CU33,BW$57),""),3,1)="隔",IF(BW$58=0,LEFT(IFERROR(INDEX(醫師週班表!$C$5:$T$44,$CU33,BW$57),""),1),""),IF(MID(IFERROR(INDEX(醫師週班表!$C$5:$T$44,$CU33,BW$57),""),2,1)="(",LEFT(IFERROR(INDEX(醫師週班表!$C$5:$T$44,$CU33,BW$57),""),1),IFERROR(INDEX(醫師週班表!$C$5:$T$44,$CU33,BW$57),"")))))))</f>
        <v/>
      </c>
      <c r="BX33" s="68">
        <f>IF(BX$59="X","",IF(BX$59&lt;&gt;"",BX$59,IF(IFERROR(INDEX(醫師週班表!$C$5:$T$44,$CU33,BX$57),"")=0,"",IF(MID(IFERROR(INDEX(醫師週班表!$C$5:$T$44,$CU33,BX$57),""),2,1)="/",MID(IFERROR(INDEX(醫師週班表!$C$5:$T$44,$CU33,BX$57),""),1+BX$58*2,1),IF(MID(IFERROR(INDEX(醫師週班表!$C$5:$T$44,$CU33,BX$57),""),3,1)="隔",IF(BX$58=0,LEFT(IFERROR(INDEX(醫師週班表!$C$5:$T$44,$CU33,BX$57),""),1),""),IF(MID(IFERROR(INDEX(醫師週班表!$C$5:$T$44,$CU33,BX$57),""),2,1)="(",LEFT(IFERROR(INDEX(醫師週班表!$C$5:$T$44,$CU33,BX$57),""),1),IFERROR(INDEX(醫師週班表!$C$5:$T$44,$CU33,BX$57),"")))))))</f>
        <v/>
      </c>
      <c r="BY33" s="67">
        <f>IF(BY$59="X","",IF(BY$59&lt;&gt;"",BY$59,IF(IFERROR(INDEX(醫師週班表!$C$5:$T$44,$CU33,BY$57),"")=0,"",IF(MID(IFERROR(INDEX(醫師週班表!$C$5:$T$44,$CU33,BY$57),""),2,1)="/",MID(IFERROR(INDEX(醫師週班表!$C$5:$T$44,$CU33,BY$57),""),1+BY$58*2,1),IF(MID(IFERROR(INDEX(醫師週班表!$C$5:$T$44,$CU33,BY$57),""),3,1)="隔",IF(BY$58=0,LEFT(IFERROR(INDEX(醫師週班表!$C$5:$T$44,$CU33,BY$57),""),1),""),IF(MID(IFERROR(INDEX(醫師週班表!$C$5:$T$44,$CU33,BY$57),""),2,1)="(",LEFT(IFERROR(INDEX(醫師週班表!$C$5:$T$44,$CU33,BY$57),""),1),IFERROR(INDEX(醫師週班表!$C$5:$T$44,$CU33,BY$57),"")))))))</f>
        <v/>
      </c>
      <c r="BZ33" s="68">
        <f>IF(BZ$59="X","",IF(BZ$59&lt;&gt;"",BZ$59,IF(IFERROR(INDEX(醫師週班表!$C$5:$T$44,$CU33,BZ$57),"")=0,"",IF(MID(IFERROR(INDEX(醫師週班表!$C$5:$T$44,$CU33,BZ$57),""),2,1)="/",MID(IFERROR(INDEX(醫師週班表!$C$5:$T$44,$CU33,BZ$57),""),1+BZ$58*2,1),IF(MID(IFERROR(INDEX(醫師週班表!$C$5:$T$44,$CU33,BZ$57),""),3,1)="隔",IF(BZ$58=0,LEFT(IFERROR(INDEX(醫師週班表!$C$5:$T$44,$CU33,BZ$57),""),1),""),IF(MID(IFERROR(INDEX(醫師週班表!$C$5:$T$44,$CU33,BZ$57),""),2,1)="(",LEFT(IFERROR(INDEX(醫師週班表!$C$5:$T$44,$CU33,BZ$57),""),1),IFERROR(INDEX(醫師週班表!$C$5:$T$44,$CU33,BZ$57),"")))))))</f>
        <v/>
      </c>
      <c r="CA33" s="68">
        <f>IF(CA$59="X","",IF(CA$59&lt;&gt;"",CA$59,IF(IFERROR(INDEX(醫師週班表!$C$5:$T$44,$CU33,CA$57),"")=0,"",IF(MID(IFERROR(INDEX(醫師週班表!$C$5:$T$44,$CU33,CA$57),""),2,1)="/",MID(IFERROR(INDEX(醫師週班表!$C$5:$T$44,$CU33,CA$57),""),1+CA$58*2,1),IF(MID(IFERROR(INDEX(醫師週班表!$C$5:$T$44,$CU33,CA$57),""),3,1)="隔",IF(CA$58=0,LEFT(IFERROR(INDEX(醫師週班表!$C$5:$T$44,$CU33,CA$57),""),1),""),IF(MID(IFERROR(INDEX(醫師週班表!$C$5:$T$44,$CU33,CA$57),""),2,1)="(",LEFT(IFERROR(INDEX(醫師週班表!$C$5:$T$44,$CU33,CA$57),""),1),IFERROR(INDEX(醫師週班表!$C$5:$T$44,$CU33,CA$57),"")))))))</f>
        <v/>
      </c>
      <c r="CB33" s="67">
        <f>IF(CB$59="X","",IF(CB$59&lt;&gt;"",CB$59,IF(IFERROR(INDEX(醫師週班表!$C$5:$T$44,$CU33,CB$57),"")=0,"",IF(MID(IFERROR(INDEX(醫師週班表!$C$5:$T$44,$CU33,CB$57),""),2,1)="/",MID(IFERROR(INDEX(醫師週班表!$C$5:$T$44,$CU33,CB$57),""),1+CB$58*2,1),IF(MID(IFERROR(INDEX(醫師週班表!$C$5:$T$44,$CU33,CB$57),""),3,1)="隔",IF(CB$58=0,LEFT(IFERROR(INDEX(醫師週班表!$C$5:$T$44,$CU33,CB$57),""),1),""),IF(MID(IFERROR(INDEX(醫師週班表!$C$5:$T$44,$CU33,CB$57),""),2,1)="(",LEFT(IFERROR(INDEX(醫師週班表!$C$5:$T$44,$CU33,CB$57),""),1),IFERROR(INDEX(醫師週班表!$C$5:$T$44,$CU33,CB$57),"")))))))</f>
        <v/>
      </c>
      <c r="CC33" s="68">
        <f>IF(CC$59="X","",IF(CC$59&lt;&gt;"",CC$59,IF(IFERROR(INDEX(醫師週班表!$C$5:$T$44,$CU33,CC$57),"")=0,"",IF(MID(IFERROR(INDEX(醫師週班表!$C$5:$T$44,$CU33,CC$57),""),2,1)="/",MID(IFERROR(INDEX(醫師週班表!$C$5:$T$44,$CU33,CC$57),""),1+CC$58*2,1),IF(MID(IFERROR(INDEX(醫師週班表!$C$5:$T$44,$CU33,CC$57),""),3,1)="隔",IF(CC$58=0,LEFT(IFERROR(INDEX(醫師週班表!$C$5:$T$44,$CU33,CC$57),""),1),""),IF(MID(IFERROR(INDEX(醫師週班表!$C$5:$T$44,$CU33,CC$57),""),2,1)="(",LEFT(IFERROR(INDEX(醫師週班表!$C$5:$T$44,$CU33,CC$57),""),1),IFERROR(INDEX(醫師週班表!$C$5:$T$44,$CU33,CC$57),"")))))))</f>
        <v/>
      </c>
      <c r="CD33" s="68">
        <f>IF(CD$59="X","",IF(CD$59&lt;&gt;"",CD$59,IF(IFERROR(INDEX(醫師週班表!$C$5:$T$44,$CU33,CD$57),"")=0,"",IF(MID(IFERROR(INDEX(醫師週班表!$C$5:$T$44,$CU33,CD$57),""),2,1)="/",MID(IFERROR(INDEX(醫師週班表!$C$5:$T$44,$CU33,CD$57),""),1+CD$58*2,1),IF(MID(IFERROR(INDEX(醫師週班表!$C$5:$T$44,$CU33,CD$57),""),3,1)="隔",IF(CD$58=0,LEFT(IFERROR(INDEX(醫師週班表!$C$5:$T$44,$CU33,CD$57),""),1),""),IF(MID(IFERROR(INDEX(醫師週班表!$C$5:$T$44,$CU33,CD$57),""),2,1)="(",LEFT(IFERROR(INDEX(醫師週班表!$C$5:$T$44,$CU33,CD$57),""),1),IFERROR(INDEX(醫師週班表!$C$5:$T$44,$CU33,CD$57),"")))))))</f>
        <v/>
      </c>
      <c r="CE33" s="67">
        <f>IF(CE$59="X","",IF(CE$59&lt;&gt;"",CE$59,IF(IFERROR(INDEX(醫師週班表!$C$5:$T$44,$CU33,CE$57),"")=0,"",IF(MID(IFERROR(INDEX(醫師週班表!$C$5:$T$44,$CU33,CE$57),""),2,1)="/",MID(IFERROR(INDEX(醫師週班表!$C$5:$T$44,$CU33,CE$57),""),1+CE$58*2,1),IF(MID(IFERROR(INDEX(醫師週班表!$C$5:$T$44,$CU33,CE$57),""),3,1)="隔",IF(CE$58=0,LEFT(IFERROR(INDEX(醫師週班表!$C$5:$T$44,$CU33,CE$57),""),1),""),IF(MID(IFERROR(INDEX(醫師週班表!$C$5:$T$44,$CU33,CE$57),""),2,1)="(",LEFT(IFERROR(INDEX(醫師週班表!$C$5:$T$44,$CU33,CE$57),""),1),IFERROR(INDEX(醫師週班表!$C$5:$T$44,$CU33,CE$57),"")))))))</f>
        <v/>
      </c>
      <c r="CF33" s="68">
        <f>IF(CF$59="X","",IF(CF$59&lt;&gt;"",CF$59,IF(IFERROR(INDEX(醫師週班表!$C$5:$T$44,$CU33,CF$57),"")=0,"",IF(MID(IFERROR(INDEX(醫師週班表!$C$5:$T$44,$CU33,CF$57),""),2,1)="/",MID(IFERROR(INDEX(醫師週班表!$C$5:$T$44,$CU33,CF$57),""),1+CF$58*2,1),IF(MID(IFERROR(INDEX(醫師週班表!$C$5:$T$44,$CU33,CF$57),""),3,1)="隔",IF(CF$58=0,LEFT(IFERROR(INDEX(醫師週班表!$C$5:$T$44,$CU33,CF$57),""),1),""),IF(MID(IFERROR(INDEX(醫師週班表!$C$5:$T$44,$CU33,CF$57),""),2,1)="(",LEFT(IFERROR(INDEX(醫師週班表!$C$5:$T$44,$CU33,CF$57),""),1),IFERROR(INDEX(醫師週班表!$C$5:$T$44,$CU33,CF$57),"")))))))</f>
        <v/>
      </c>
      <c r="CG33" s="68">
        <f>IF(CG$59="X","",IF(CG$59&lt;&gt;"",CG$59,IF(IFERROR(INDEX(醫師週班表!$C$5:$T$44,$CU33,CG$57),"")=0,"",IF(MID(IFERROR(INDEX(醫師週班表!$C$5:$T$44,$CU33,CG$57),""),2,1)="/",MID(IFERROR(INDEX(醫師週班表!$C$5:$T$44,$CU33,CG$57),""),1+CG$58*2,1),IF(MID(IFERROR(INDEX(醫師週班表!$C$5:$T$44,$CU33,CG$57),""),3,1)="隔",IF(CG$58=0,LEFT(IFERROR(INDEX(醫師週班表!$C$5:$T$44,$CU33,CG$57),""),1),""),IF(MID(IFERROR(INDEX(醫師週班表!$C$5:$T$44,$CU33,CG$57),""),2,1)="(",LEFT(IFERROR(INDEX(醫師週班表!$C$5:$T$44,$CU33,CG$57),""),1),IFERROR(INDEX(醫師週班表!$C$5:$T$44,$CU33,CG$57),"")))))))</f>
        <v/>
      </c>
      <c r="CH33" s="67">
        <f>IF(CH$59="X","",IF(CH$59&lt;&gt;"",CH$59,IF(IFERROR(INDEX(醫師週班表!$C$5:$T$44,$CU33,CH$57),"")=0,"",IF(MID(IFERROR(INDEX(醫師週班表!$C$5:$T$44,$CU33,CH$57),""),2,1)="/",MID(IFERROR(INDEX(醫師週班表!$C$5:$T$44,$CU33,CH$57),""),1+CH$58*2,1),IF(MID(IFERROR(INDEX(醫師週班表!$C$5:$T$44,$CU33,CH$57),""),3,1)="隔",IF(CH$58=0,LEFT(IFERROR(INDEX(醫師週班表!$C$5:$T$44,$CU33,CH$57),""),1),""),IF(MID(IFERROR(INDEX(醫師週班表!$C$5:$T$44,$CU33,CH$57),""),2,1)="(",LEFT(IFERROR(INDEX(醫師週班表!$C$5:$T$44,$CU33,CH$57),""),1),IFERROR(INDEX(醫師週班表!$C$5:$T$44,$CU33,CH$57),"")))))))</f>
        <v/>
      </c>
      <c r="CI33" s="68">
        <f>IF(CI$59="X","",IF(CI$59&lt;&gt;"",CI$59,IF(IFERROR(INDEX(醫師週班表!$C$5:$T$44,$CU33,CI$57),"")=0,"",IF(MID(IFERROR(INDEX(醫師週班表!$C$5:$T$44,$CU33,CI$57),""),2,1)="/",MID(IFERROR(INDEX(醫師週班表!$C$5:$T$44,$CU33,CI$57),""),1+CI$58*2,1),IF(MID(IFERROR(INDEX(醫師週班表!$C$5:$T$44,$CU33,CI$57),""),3,1)="隔",IF(CI$58=0,LEFT(IFERROR(INDEX(醫師週班表!$C$5:$T$44,$CU33,CI$57),""),1),""),IF(MID(IFERROR(INDEX(醫師週班表!$C$5:$T$44,$CU33,CI$57),""),2,1)="(",LEFT(IFERROR(INDEX(醫師週班表!$C$5:$T$44,$CU33,CI$57),""),1),IFERROR(INDEX(醫師週班表!$C$5:$T$44,$CU33,CI$57),"")))))))</f>
        <v/>
      </c>
      <c r="CJ33" s="68">
        <f>IF(CJ$59="X","",IF(CJ$59&lt;&gt;"",CJ$59,IF(IFERROR(INDEX(醫師週班表!$C$5:$T$44,$CU33,CJ$57),"")=0,"",IF(MID(IFERROR(INDEX(醫師週班表!$C$5:$T$44,$CU33,CJ$57),""),2,1)="/",MID(IFERROR(INDEX(醫師週班表!$C$5:$T$44,$CU33,CJ$57),""),1+CJ$58*2,1),IF(MID(IFERROR(INDEX(醫師週班表!$C$5:$T$44,$CU33,CJ$57),""),3,1)="隔",IF(CJ$58=0,LEFT(IFERROR(INDEX(醫師週班表!$C$5:$T$44,$CU33,CJ$57),""),1),""),IF(MID(IFERROR(INDEX(醫師週班表!$C$5:$T$44,$CU33,CJ$57),""),2,1)="(",LEFT(IFERROR(INDEX(醫師週班表!$C$5:$T$44,$CU33,CJ$57),""),1),IFERROR(INDEX(醫師週班表!$C$5:$T$44,$CU33,CJ$57),"")))))))</f>
        <v/>
      </c>
      <c r="CK33" s="67">
        <f>IF(CK$59="X","",IF(CK$59&lt;&gt;"",CK$59,IF(IFERROR(INDEX(醫師週班表!$C$5:$T$44,$CU33,CK$57),"")=0,"",IF(MID(IFERROR(INDEX(醫師週班表!$C$5:$T$44,$CU33,CK$57),""),2,1)="/",MID(IFERROR(INDEX(醫師週班表!$C$5:$T$44,$CU33,CK$57),""),1+CK$58*2,1),IF(MID(IFERROR(INDEX(醫師週班表!$C$5:$T$44,$CU33,CK$57),""),3,1)="隔",IF(CK$58=0,LEFT(IFERROR(INDEX(醫師週班表!$C$5:$T$44,$CU33,CK$57),""),1),""),IF(MID(IFERROR(INDEX(醫師週班表!$C$5:$T$44,$CU33,CK$57),""),2,1)="(",LEFT(IFERROR(INDEX(醫師週班表!$C$5:$T$44,$CU33,CK$57),""),1),IFERROR(INDEX(醫師週班表!$C$5:$T$44,$CU33,CK$57),"")))))))</f>
        <v/>
      </c>
      <c r="CL33" s="68">
        <f>IF(CL$59="X","",IF(CL$59&lt;&gt;"",CL$59,IF(IFERROR(INDEX(醫師週班表!$C$5:$T$44,$CU33,CL$57),"")=0,"",IF(MID(IFERROR(INDEX(醫師週班表!$C$5:$T$44,$CU33,CL$57),""),2,1)="/",MID(IFERROR(INDEX(醫師週班表!$C$5:$T$44,$CU33,CL$57),""),1+CL$58*2,1),IF(MID(IFERROR(INDEX(醫師週班表!$C$5:$T$44,$CU33,CL$57),""),3,1)="隔",IF(CL$58=0,LEFT(IFERROR(INDEX(醫師週班表!$C$5:$T$44,$CU33,CL$57),""),1),""),IF(MID(IFERROR(INDEX(醫師週班表!$C$5:$T$44,$CU33,CL$57),""),2,1)="(",LEFT(IFERROR(INDEX(醫師週班表!$C$5:$T$44,$CU33,CL$57),""),1),IFERROR(INDEX(醫師週班表!$C$5:$T$44,$CU33,CL$57),"")))))))</f>
        <v/>
      </c>
      <c r="CM33" s="68">
        <f>IF(CM$59="X","",IF(CM$59&lt;&gt;"",CM$59,IF(IFERROR(INDEX(醫師週班表!$C$5:$T$44,$CU33,CM$57),"")=0,"",IF(MID(IFERROR(INDEX(醫師週班表!$C$5:$T$44,$CU33,CM$57),""),2,1)="/",MID(IFERROR(INDEX(醫師週班表!$C$5:$T$44,$CU33,CM$57),""),1+CM$58*2,1),IF(MID(IFERROR(INDEX(醫師週班表!$C$5:$T$44,$CU33,CM$57),""),3,1)="隔",IF(CM$58=0,LEFT(IFERROR(INDEX(醫師週班表!$C$5:$T$44,$CU33,CM$57),""),1),""),IF(MID(IFERROR(INDEX(醫師週班表!$C$5:$T$44,$CU33,CM$57),""),2,1)="(",LEFT(IFERROR(INDEX(醫師週班表!$C$5:$T$44,$CU33,CM$57),""),1),IFERROR(INDEX(醫師週班表!$C$5:$T$44,$CU33,CM$57),"")))))))</f>
        <v/>
      </c>
      <c r="CN33" s="67">
        <f>IF(CN$59="X","",IF(CN$59&lt;&gt;"",CN$59,IF(IFERROR(INDEX(醫師週班表!$C$5:$T$44,$CU33,CN$57),"")=0,"",IF(MID(IFERROR(INDEX(醫師週班表!$C$5:$T$44,$CU33,CN$57),""),2,1)="/",MID(IFERROR(INDEX(醫師週班表!$C$5:$T$44,$CU33,CN$57),""),1+CN$58*2,1),IF(MID(IFERROR(INDEX(醫師週班表!$C$5:$T$44,$CU33,CN$57),""),3,1)="隔",IF(CN$58=0,LEFT(IFERROR(INDEX(醫師週班表!$C$5:$T$44,$CU33,CN$57),""),1),""),IF(MID(IFERROR(INDEX(醫師週班表!$C$5:$T$44,$CU33,CN$57),""),2,1)="(",LEFT(IFERROR(INDEX(醫師週班表!$C$5:$T$44,$CU33,CN$57),""),1),IFERROR(INDEX(醫師週班表!$C$5:$T$44,$CU33,CN$57),"")))))))</f>
        <v/>
      </c>
      <c r="CO33" s="68">
        <f>IF(CO$59="X","",IF(CO$59&lt;&gt;"",CO$59,IF(IFERROR(INDEX(醫師週班表!$C$5:$T$44,$CU33,CO$57),"")=0,"",IF(MID(IFERROR(INDEX(醫師週班表!$C$5:$T$44,$CU33,CO$57),""),2,1)="/",MID(IFERROR(INDEX(醫師週班表!$C$5:$T$44,$CU33,CO$57),""),1+CO$58*2,1),IF(MID(IFERROR(INDEX(醫師週班表!$C$5:$T$44,$CU33,CO$57),""),3,1)="隔",IF(CO$58=0,LEFT(IFERROR(INDEX(醫師週班表!$C$5:$T$44,$CU33,CO$57),""),1),""),IF(MID(IFERROR(INDEX(醫師週班表!$C$5:$T$44,$CU33,CO$57),""),2,1)="(",LEFT(IFERROR(INDEX(醫師週班表!$C$5:$T$44,$CU33,CO$57),""),1),IFERROR(INDEX(醫師週班表!$C$5:$T$44,$CU33,CO$57),"")))))))</f>
        <v/>
      </c>
      <c r="CP33" s="68">
        <f>IF(CP$59="X","",IF(CP$59&lt;&gt;"",CP$59,IF(IFERROR(INDEX(醫師週班表!$C$5:$T$44,$CU33,CP$57),"")=0,"",IF(MID(IFERROR(INDEX(醫師週班表!$C$5:$T$44,$CU33,CP$57),""),2,1)="/",MID(IFERROR(INDEX(醫師週班表!$C$5:$T$44,$CU33,CP$57),""),1+CP$58*2,1),IF(MID(IFERROR(INDEX(醫師週班表!$C$5:$T$44,$CU33,CP$57),""),3,1)="隔",IF(CP$58=0,LEFT(IFERROR(INDEX(醫師週班表!$C$5:$T$44,$CU33,CP$57),""),1),""),IF(MID(IFERROR(INDEX(醫師週班表!$C$5:$T$44,$CU33,CP$57),""),2,1)="(",LEFT(IFERROR(INDEX(醫師週班表!$C$5:$T$44,$CU33,CP$57),""),1),IFERROR(INDEX(醫師週班表!$C$5:$T$44,$CU33,CP$57),"")))))))</f>
        <v/>
      </c>
      <c r="CQ33" s="67">
        <f>IF(CQ$59="X","",IF(CQ$59&lt;&gt;"",CQ$59,IF(IFERROR(INDEX(醫師週班表!$C$5:$T$44,$CU33,CQ$57),"")=0,"",IF(MID(IFERROR(INDEX(醫師週班表!$C$5:$T$44,$CU33,CQ$57),""),2,1)="/",MID(IFERROR(INDEX(醫師週班表!$C$5:$T$44,$CU33,CQ$57),""),1+CQ$58*2,1),IF(MID(IFERROR(INDEX(醫師週班表!$C$5:$T$44,$CU33,CQ$57),""),3,1)="隔",IF(CQ$58=0,LEFT(IFERROR(INDEX(醫師週班表!$C$5:$T$44,$CU33,CQ$57),""),1),""),IF(MID(IFERROR(INDEX(醫師週班表!$C$5:$T$44,$CU33,CQ$57),""),2,1)="(",LEFT(IFERROR(INDEX(醫師週班表!$C$5:$T$44,$CU33,CQ$57),""),1),IFERROR(INDEX(醫師週班表!$C$5:$T$44,$CU33,CQ$57),"")))))))</f>
        <v/>
      </c>
      <c r="CR33" s="68">
        <f>IF(CR$59="X","",IF(CR$59&lt;&gt;"",CR$59,IF(IFERROR(INDEX(醫師週班表!$C$5:$T$44,$CU33,CR$57),"")=0,"",IF(MID(IFERROR(INDEX(醫師週班表!$C$5:$T$44,$CU33,CR$57),""),2,1)="/",MID(IFERROR(INDEX(醫師週班表!$C$5:$T$44,$CU33,CR$57),""),1+CR$58*2,1),IF(MID(IFERROR(INDEX(醫師週班表!$C$5:$T$44,$CU33,CR$57),""),3,1)="隔",IF(CR$58=0,LEFT(IFERROR(INDEX(醫師週班表!$C$5:$T$44,$CU33,CR$57),""),1),""),IF(MID(IFERROR(INDEX(醫師週班表!$C$5:$T$44,$CU33,CR$57),""),2,1)="(",LEFT(IFERROR(INDEX(醫師週班表!$C$5:$T$44,$CU33,CR$57),""),1),IFERROR(INDEX(醫師週班表!$C$5:$T$44,$CU33,CR$57),"")))))))</f>
        <v/>
      </c>
      <c r="CS33" s="68">
        <f>IF(CS$59="X","",IF(CS$59&lt;&gt;"",CS$59,IF(IFERROR(INDEX(醫師週班表!$C$5:$T$44,$CU33,CS$57),"")=0,"",IF(MID(IFERROR(INDEX(醫師週班表!$C$5:$T$44,$CU33,CS$57),""),2,1)="/",MID(IFERROR(INDEX(醫師週班表!$C$5:$T$44,$CU33,CS$57),""),1+CS$58*2,1),IF(MID(IFERROR(INDEX(醫師週班表!$C$5:$T$44,$CU33,CS$57),""),3,1)="隔",IF(CS$58=0,LEFT(IFERROR(INDEX(醫師週班表!$C$5:$T$44,$CU33,CS$57),""),1),""),IF(MID(IFERROR(INDEX(醫師週班表!$C$5:$T$44,$CU33,CS$57),""),2,1)="(",LEFT(IFERROR(INDEX(醫師週班表!$C$5:$T$44,$CU33,CS$57),""),1),IFERROR(INDEX(醫師週班表!$C$5:$T$44,$CU33,CS$57),"")))))))</f>
        <v/>
      </c>
      <c r="CU33" s="69">
        <f>IFERROR(MATCH($A33,醫師週班表!$A$5:$A$44,0),0)</f>
        <v/>
      </c>
    </row>
    <row r="34" ht="17" customHeight="1">
      <c r="A34" s="20" t="n"/>
      <c r="B34" s="16">
        <f>IFERROR(INDEX(設定!$C$62:$C$201,MATCH($A34,設定!$B$62:$B$201,0)),"")</f>
        <v/>
      </c>
      <c r="C34" s="66">
        <f>IFERROR(INDEX(設定!$E$62:$E$201,MATCH($A34,設定!$B$62:$B$201,0)),"")</f>
        <v/>
      </c>
      <c r="D34" s="16">
        <f>IFERROR(INDEX(設定!$F$62:$F$201,MATCH($A34,設定!$B$62:$B$201,0)),"")</f>
        <v/>
      </c>
      <c r="E34" s="67">
        <f>IF(E$59="X","",IF(E$59&lt;&gt;"",E$59,IF(IFERROR(INDEX(醫師週班表!$C$5:$T$44,$CU34,E$57),"")=0,"",IF(MID(IFERROR(INDEX(醫師週班表!$C$5:$T$44,$CU34,E$57),""),2,1)="/",MID(IFERROR(INDEX(醫師週班表!$C$5:$T$44,$CU34,E$57),""),1+E$58*2,1),IF(MID(IFERROR(INDEX(醫師週班表!$C$5:$T$44,$CU34,E$57),""),3,1)="隔",IF(E$58=0,LEFT(IFERROR(INDEX(醫師週班表!$C$5:$T$44,$CU34,E$57),""),1),""),IF(MID(IFERROR(INDEX(醫師週班表!$C$5:$T$44,$CU34,E$57),""),2,1)="(",LEFT(IFERROR(INDEX(醫師週班表!$C$5:$T$44,$CU34,E$57),""),1),IFERROR(INDEX(醫師週班表!$C$5:$T$44,$CU34,E$57),"")))))))</f>
        <v/>
      </c>
      <c r="F34" s="68">
        <f>IF(F$59="X","",IF(F$59&lt;&gt;"",F$59,IF(IFERROR(INDEX(醫師週班表!$C$5:$T$44,$CU34,F$57),"")=0,"",IF(MID(IFERROR(INDEX(醫師週班表!$C$5:$T$44,$CU34,F$57),""),2,1)="/",MID(IFERROR(INDEX(醫師週班表!$C$5:$T$44,$CU34,F$57),""),1+F$58*2,1),IF(MID(IFERROR(INDEX(醫師週班表!$C$5:$T$44,$CU34,F$57),""),3,1)="隔",IF(F$58=0,LEFT(IFERROR(INDEX(醫師週班表!$C$5:$T$44,$CU34,F$57),""),1),""),IF(MID(IFERROR(INDEX(醫師週班表!$C$5:$T$44,$CU34,F$57),""),2,1)="(",LEFT(IFERROR(INDEX(醫師週班表!$C$5:$T$44,$CU34,F$57),""),1),IFERROR(INDEX(醫師週班表!$C$5:$T$44,$CU34,F$57),"")))))))</f>
        <v/>
      </c>
      <c r="G34" s="68">
        <f>IF(G$59="X","",IF(G$59&lt;&gt;"",G$59,IF(IFERROR(INDEX(醫師週班表!$C$5:$T$44,$CU34,G$57),"")=0,"",IF(MID(IFERROR(INDEX(醫師週班表!$C$5:$T$44,$CU34,G$57),""),2,1)="/",MID(IFERROR(INDEX(醫師週班表!$C$5:$T$44,$CU34,G$57),""),1+G$58*2,1),IF(MID(IFERROR(INDEX(醫師週班表!$C$5:$T$44,$CU34,G$57),""),3,1)="隔",IF(G$58=0,LEFT(IFERROR(INDEX(醫師週班表!$C$5:$T$44,$CU34,G$57),""),1),""),IF(MID(IFERROR(INDEX(醫師週班表!$C$5:$T$44,$CU34,G$57),""),2,1)="(",LEFT(IFERROR(INDEX(醫師週班表!$C$5:$T$44,$CU34,G$57),""),1),IFERROR(INDEX(醫師週班表!$C$5:$T$44,$CU34,G$57),"")))))))</f>
        <v/>
      </c>
      <c r="H34" s="67">
        <f>IF(H$59="X","",IF(H$59&lt;&gt;"",H$59,IF(IFERROR(INDEX(醫師週班表!$C$5:$T$44,$CU34,H$57),"")=0,"",IF(MID(IFERROR(INDEX(醫師週班表!$C$5:$T$44,$CU34,H$57),""),2,1)="/",MID(IFERROR(INDEX(醫師週班表!$C$5:$T$44,$CU34,H$57),""),1+H$58*2,1),IF(MID(IFERROR(INDEX(醫師週班表!$C$5:$T$44,$CU34,H$57),""),3,1)="隔",IF(H$58=0,LEFT(IFERROR(INDEX(醫師週班表!$C$5:$T$44,$CU34,H$57),""),1),""),IF(MID(IFERROR(INDEX(醫師週班表!$C$5:$T$44,$CU34,H$57),""),2,1)="(",LEFT(IFERROR(INDEX(醫師週班表!$C$5:$T$44,$CU34,H$57),""),1),IFERROR(INDEX(醫師週班表!$C$5:$T$44,$CU34,H$57),"")))))))</f>
        <v/>
      </c>
      <c r="I34" s="68">
        <f>IF(I$59="X","",IF(I$59&lt;&gt;"",I$59,IF(IFERROR(INDEX(醫師週班表!$C$5:$T$44,$CU34,I$57),"")=0,"",IF(MID(IFERROR(INDEX(醫師週班表!$C$5:$T$44,$CU34,I$57),""),2,1)="/",MID(IFERROR(INDEX(醫師週班表!$C$5:$T$44,$CU34,I$57),""),1+I$58*2,1),IF(MID(IFERROR(INDEX(醫師週班表!$C$5:$T$44,$CU34,I$57),""),3,1)="隔",IF(I$58=0,LEFT(IFERROR(INDEX(醫師週班表!$C$5:$T$44,$CU34,I$57),""),1),""),IF(MID(IFERROR(INDEX(醫師週班表!$C$5:$T$44,$CU34,I$57),""),2,1)="(",LEFT(IFERROR(INDEX(醫師週班表!$C$5:$T$44,$CU34,I$57),""),1),IFERROR(INDEX(醫師週班表!$C$5:$T$44,$CU34,I$57),"")))))))</f>
        <v/>
      </c>
      <c r="J34" s="68">
        <f>IF(J$59="X","",IF(J$59&lt;&gt;"",J$59,IF(IFERROR(INDEX(醫師週班表!$C$5:$T$44,$CU34,J$57),"")=0,"",IF(MID(IFERROR(INDEX(醫師週班表!$C$5:$T$44,$CU34,J$57),""),2,1)="/",MID(IFERROR(INDEX(醫師週班表!$C$5:$T$44,$CU34,J$57),""),1+J$58*2,1),IF(MID(IFERROR(INDEX(醫師週班表!$C$5:$T$44,$CU34,J$57),""),3,1)="隔",IF(J$58=0,LEFT(IFERROR(INDEX(醫師週班表!$C$5:$T$44,$CU34,J$57),""),1),""),IF(MID(IFERROR(INDEX(醫師週班表!$C$5:$T$44,$CU34,J$57),""),2,1)="(",LEFT(IFERROR(INDEX(醫師週班表!$C$5:$T$44,$CU34,J$57),""),1),IFERROR(INDEX(醫師週班表!$C$5:$T$44,$CU34,J$57),"")))))))</f>
        <v/>
      </c>
      <c r="K34" s="67">
        <f>IF(K$59="X","",IF(K$59&lt;&gt;"",K$59,IF(IFERROR(INDEX(醫師週班表!$C$5:$T$44,$CU34,K$57),"")=0,"",IF(MID(IFERROR(INDEX(醫師週班表!$C$5:$T$44,$CU34,K$57),""),2,1)="/",MID(IFERROR(INDEX(醫師週班表!$C$5:$T$44,$CU34,K$57),""),1+K$58*2,1),IF(MID(IFERROR(INDEX(醫師週班表!$C$5:$T$44,$CU34,K$57),""),3,1)="隔",IF(K$58=0,LEFT(IFERROR(INDEX(醫師週班表!$C$5:$T$44,$CU34,K$57),""),1),""),IF(MID(IFERROR(INDEX(醫師週班表!$C$5:$T$44,$CU34,K$57),""),2,1)="(",LEFT(IFERROR(INDEX(醫師週班表!$C$5:$T$44,$CU34,K$57),""),1),IFERROR(INDEX(醫師週班表!$C$5:$T$44,$CU34,K$57),"")))))))</f>
        <v/>
      </c>
      <c r="L34" s="68">
        <f>IF(L$59="X","",IF(L$59&lt;&gt;"",L$59,IF(IFERROR(INDEX(醫師週班表!$C$5:$T$44,$CU34,L$57),"")=0,"",IF(MID(IFERROR(INDEX(醫師週班表!$C$5:$T$44,$CU34,L$57),""),2,1)="/",MID(IFERROR(INDEX(醫師週班表!$C$5:$T$44,$CU34,L$57),""),1+L$58*2,1),IF(MID(IFERROR(INDEX(醫師週班表!$C$5:$T$44,$CU34,L$57),""),3,1)="隔",IF(L$58=0,LEFT(IFERROR(INDEX(醫師週班表!$C$5:$T$44,$CU34,L$57),""),1),""),IF(MID(IFERROR(INDEX(醫師週班表!$C$5:$T$44,$CU34,L$57),""),2,1)="(",LEFT(IFERROR(INDEX(醫師週班表!$C$5:$T$44,$CU34,L$57),""),1),IFERROR(INDEX(醫師週班表!$C$5:$T$44,$CU34,L$57),"")))))))</f>
        <v/>
      </c>
      <c r="M34" s="68">
        <f>IF(M$59="X","",IF(M$59&lt;&gt;"",M$59,IF(IFERROR(INDEX(醫師週班表!$C$5:$T$44,$CU34,M$57),"")=0,"",IF(MID(IFERROR(INDEX(醫師週班表!$C$5:$T$44,$CU34,M$57),""),2,1)="/",MID(IFERROR(INDEX(醫師週班表!$C$5:$T$44,$CU34,M$57),""),1+M$58*2,1),IF(MID(IFERROR(INDEX(醫師週班表!$C$5:$T$44,$CU34,M$57),""),3,1)="隔",IF(M$58=0,LEFT(IFERROR(INDEX(醫師週班表!$C$5:$T$44,$CU34,M$57),""),1),""),IF(MID(IFERROR(INDEX(醫師週班表!$C$5:$T$44,$CU34,M$57),""),2,1)="(",LEFT(IFERROR(INDEX(醫師週班表!$C$5:$T$44,$CU34,M$57),""),1),IFERROR(INDEX(醫師週班表!$C$5:$T$44,$CU34,M$57),"")))))))</f>
        <v/>
      </c>
      <c r="N34" s="67">
        <f>IF(N$59="X","",IF(N$59&lt;&gt;"",N$59,IF(IFERROR(INDEX(醫師週班表!$C$5:$T$44,$CU34,N$57),"")=0,"",IF(MID(IFERROR(INDEX(醫師週班表!$C$5:$T$44,$CU34,N$57),""),2,1)="/",MID(IFERROR(INDEX(醫師週班表!$C$5:$T$44,$CU34,N$57),""),1+N$58*2,1),IF(MID(IFERROR(INDEX(醫師週班表!$C$5:$T$44,$CU34,N$57),""),3,1)="隔",IF(N$58=0,LEFT(IFERROR(INDEX(醫師週班表!$C$5:$T$44,$CU34,N$57),""),1),""),IF(MID(IFERROR(INDEX(醫師週班表!$C$5:$T$44,$CU34,N$57),""),2,1)="(",LEFT(IFERROR(INDEX(醫師週班表!$C$5:$T$44,$CU34,N$57),""),1),IFERROR(INDEX(醫師週班表!$C$5:$T$44,$CU34,N$57),"")))))))</f>
        <v/>
      </c>
      <c r="O34" s="68">
        <f>IF(O$59="X","",IF(O$59&lt;&gt;"",O$59,IF(IFERROR(INDEX(醫師週班表!$C$5:$T$44,$CU34,O$57),"")=0,"",IF(MID(IFERROR(INDEX(醫師週班表!$C$5:$T$44,$CU34,O$57),""),2,1)="/",MID(IFERROR(INDEX(醫師週班表!$C$5:$T$44,$CU34,O$57),""),1+O$58*2,1),IF(MID(IFERROR(INDEX(醫師週班表!$C$5:$T$44,$CU34,O$57),""),3,1)="隔",IF(O$58=0,LEFT(IFERROR(INDEX(醫師週班表!$C$5:$T$44,$CU34,O$57),""),1),""),IF(MID(IFERROR(INDEX(醫師週班表!$C$5:$T$44,$CU34,O$57),""),2,1)="(",LEFT(IFERROR(INDEX(醫師週班表!$C$5:$T$44,$CU34,O$57),""),1),IFERROR(INDEX(醫師週班表!$C$5:$T$44,$CU34,O$57),"")))))))</f>
        <v/>
      </c>
      <c r="P34" s="68">
        <f>IF(P$59="X","",IF(P$59&lt;&gt;"",P$59,IF(IFERROR(INDEX(醫師週班表!$C$5:$T$44,$CU34,P$57),"")=0,"",IF(MID(IFERROR(INDEX(醫師週班表!$C$5:$T$44,$CU34,P$57),""),2,1)="/",MID(IFERROR(INDEX(醫師週班表!$C$5:$T$44,$CU34,P$57),""),1+P$58*2,1),IF(MID(IFERROR(INDEX(醫師週班表!$C$5:$T$44,$CU34,P$57),""),3,1)="隔",IF(P$58=0,LEFT(IFERROR(INDEX(醫師週班表!$C$5:$T$44,$CU34,P$57),""),1),""),IF(MID(IFERROR(INDEX(醫師週班表!$C$5:$T$44,$CU34,P$57),""),2,1)="(",LEFT(IFERROR(INDEX(醫師週班表!$C$5:$T$44,$CU34,P$57),""),1),IFERROR(INDEX(醫師週班表!$C$5:$T$44,$CU34,P$57),"")))))))</f>
        <v/>
      </c>
      <c r="Q34" s="67">
        <f>IF(Q$59="X","",IF(Q$59&lt;&gt;"",Q$59,IF(IFERROR(INDEX(醫師週班表!$C$5:$T$44,$CU34,Q$57),"")=0,"",IF(MID(IFERROR(INDEX(醫師週班表!$C$5:$T$44,$CU34,Q$57),""),2,1)="/",MID(IFERROR(INDEX(醫師週班表!$C$5:$T$44,$CU34,Q$57),""),1+Q$58*2,1),IF(MID(IFERROR(INDEX(醫師週班表!$C$5:$T$44,$CU34,Q$57),""),3,1)="隔",IF(Q$58=0,LEFT(IFERROR(INDEX(醫師週班表!$C$5:$T$44,$CU34,Q$57),""),1),""),IF(MID(IFERROR(INDEX(醫師週班表!$C$5:$T$44,$CU34,Q$57),""),2,1)="(",LEFT(IFERROR(INDEX(醫師週班表!$C$5:$T$44,$CU34,Q$57),""),1),IFERROR(INDEX(醫師週班表!$C$5:$T$44,$CU34,Q$57),"")))))))</f>
        <v/>
      </c>
      <c r="R34" s="68">
        <f>IF(R$59="X","",IF(R$59&lt;&gt;"",R$59,IF(IFERROR(INDEX(醫師週班表!$C$5:$T$44,$CU34,R$57),"")=0,"",IF(MID(IFERROR(INDEX(醫師週班表!$C$5:$T$44,$CU34,R$57),""),2,1)="/",MID(IFERROR(INDEX(醫師週班表!$C$5:$T$44,$CU34,R$57),""),1+R$58*2,1),IF(MID(IFERROR(INDEX(醫師週班表!$C$5:$T$44,$CU34,R$57),""),3,1)="隔",IF(R$58=0,LEFT(IFERROR(INDEX(醫師週班表!$C$5:$T$44,$CU34,R$57),""),1),""),IF(MID(IFERROR(INDEX(醫師週班表!$C$5:$T$44,$CU34,R$57),""),2,1)="(",LEFT(IFERROR(INDEX(醫師週班表!$C$5:$T$44,$CU34,R$57),""),1),IFERROR(INDEX(醫師週班表!$C$5:$T$44,$CU34,R$57),"")))))))</f>
        <v/>
      </c>
      <c r="S34" s="68">
        <f>IF(S$59="X","",IF(S$59&lt;&gt;"",S$59,IF(IFERROR(INDEX(醫師週班表!$C$5:$T$44,$CU34,S$57),"")=0,"",IF(MID(IFERROR(INDEX(醫師週班表!$C$5:$T$44,$CU34,S$57),""),2,1)="/",MID(IFERROR(INDEX(醫師週班表!$C$5:$T$44,$CU34,S$57),""),1+S$58*2,1),IF(MID(IFERROR(INDEX(醫師週班表!$C$5:$T$44,$CU34,S$57),""),3,1)="隔",IF(S$58=0,LEFT(IFERROR(INDEX(醫師週班表!$C$5:$T$44,$CU34,S$57),""),1),""),IF(MID(IFERROR(INDEX(醫師週班表!$C$5:$T$44,$CU34,S$57),""),2,1)="(",LEFT(IFERROR(INDEX(醫師週班表!$C$5:$T$44,$CU34,S$57),""),1),IFERROR(INDEX(醫師週班表!$C$5:$T$44,$CU34,S$57),"")))))))</f>
        <v/>
      </c>
      <c r="T34" s="67">
        <f>IF(T$59="X","",IF(T$59&lt;&gt;"",T$59,IF(IFERROR(INDEX(醫師週班表!$C$5:$T$44,$CU34,T$57),"")=0,"",IF(MID(IFERROR(INDEX(醫師週班表!$C$5:$T$44,$CU34,T$57),""),2,1)="/",MID(IFERROR(INDEX(醫師週班表!$C$5:$T$44,$CU34,T$57),""),1+T$58*2,1),IF(MID(IFERROR(INDEX(醫師週班表!$C$5:$T$44,$CU34,T$57),""),3,1)="隔",IF(T$58=0,LEFT(IFERROR(INDEX(醫師週班表!$C$5:$T$44,$CU34,T$57),""),1),""),IF(MID(IFERROR(INDEX(醫師週班表!$C$5:$T$44,$CU34,T$57),""),2,1)="(",LEFT(IFERROR(INDEX(醫師週班表!$C$5:$T$44,$CU34,T$57),""),1),IFERROR(INDEX(醫師週班表!$C$5:$T$44,$CU34,T$57),"")))))))</f>
        <v/>
      </c>
      <c r="U34" s="68">
        <f>IF(U$59="X","",IF(U$59&lt;&gt;"",U$59,IF(IFERROR(INDEX(醫師週班表!$C$5:$T$44,$CU34,U$57),"")=0,"",IF(MID(IFERROR(INDEX(醫師週班表!$C$5:$T$44,$CU34,U$57),""),2,1)="/",MID(IFERROR(INDEX(醫師週班表!$C$5:$T$44,$CU34,U$57),""),1+U$58*2,1),IF(MID(IFERROR(INDEX(醫師週班表!$C$5:$T$44,$CU34,U$57),""),3,1)="隔",IF(U$58=0,LEFT(IFERROR(INDEX(醫師週班表!$C$5:$T$44,$CU34,U$57),""),1),""),IF(MID(IFERROR(INDEX(醫師週班表!$C$5:$T$44,$CU34,U$57),""),2,1)="(",LEFT(IFERROR(INDEX(醫師週班表!$C$5:$T$44,$CU34,U$57),""),1),IFERROR(INDEX(醫師週班表!$C$5:$T$44,$CU34,U$57),"")))))))</f>
        <v/>
      </c>
      <c r="V34" s="68">
        <f>IF(V$59="X","",IF(V$59&lt;&gt;"",V$59,IF(IFERROR(INDEX(醫師週班表!$C$5:$T$44,$CU34,V$57),"")=0,"",IF(MID(IFERROR(INDEX(醫師週班表!$C$5:$T$44,$CU34,V$57),""),2,1)="/",MID(IFERROR(INDEX(醫師週班表!$C$5:$T$44,$CU34,V$57),""),1+V$58*2,1),IF(MID(IFERROR(INDEX(醫師週班表!$C$5:$T$44,$CU34,V$57),""),3,1)="隔",IF(V$58=0,LEFT(IFERROR(INDEX(醫師週班表!$C$5:$T$44,$CU34,V$57),""),1),""),IF(MID(IFERROR(INDEX(醫師週班表!$C$5:$T$44,$CU34,V$57),""),2,1)="(",LEFT(IFERROR(INDEX(醫師週班表!$C$5:$T$44,$CU34,V$57),""),1),IFERROR(INDEX(醫師週班表!$C$5:$T$44,$CU34,V$57),"")))))))</f>
        <v/>
      </c>
      <c r="W34" s="67">
        <f>IF(W$59="X","",IF(W$59&lt;&gt;"",W$59,IF(IFERROR(INDEX(醫師週班表!$C$5:$T$44,$CU34,W$57),"")=0,"",IF(MID(IFERROR(INDEX(醫師週班表!$C$5:$T$44,$CU34,W$57),""),2,1)="/",MID(IFERROR(INDEX(醫師週班表!$C$5:$T$44,$CU34,W$57),""),1+W$58*2,1),IF(MID(IFERROR(INDEX(醫師週班表!$C$5:$T$44,$CU34,W$57),""),3,1)="隔",IF(W$58=0,LEFT(IFERROR(INDEX(醫師週班表!$C$5:$T$44,$CU34,W$57),""),1),""),IF(MID(IFERROR(INDEX(醫師週班表!$C$5:$T$44,$CU34,W$57),""),2,1)="(",LEFT(IFERROR(INDEX(醫師週班表!$C$5:$T$44,$CU34,W$57),""),1),IFERROR(INDEX(醫師週班表!$C$5:$T$44,$CU34,W$57),"")))))))</f>
        <v/>
      </c>
      <c r="X34" s="68">
        <f>IF(X$59="X","",IF(X$59&lt;&gt;"",X$59,IF(IFERROR(INDEX(醫師週班表!$C$5:$T$44,$CU34,X$57),"")=0,"",IF(MID(IFERROR(INDEX(醫師週班表!$C$5:$T$44,$CU34,X$57),""),2,1)="/",MID(IFERROR(INDEX(醫師週班表!$C$5:$T$44,$CU34,X$57),""),1+X$58*2,1),IF(MID(IFERROR(INDEX(醫師週班表!$C$5:$T$44,$CU34,X$57),""),3,1)="隔",IF(X$58=0,LEFT(IFERROR(INDEX(醫師週班表!$C$5:$T$44,$CU34,X$57),""),1),""),IF(MID(IFERROR(INDEX(醫師週班表!$C$5:$T$44,$CU34,X$57),""),2,1)="(",LEFT(IFERROR(INDEX(醫師週班表!$C$5:$T$44,$CU34,X$57),""),1),IFERROR(INDEX(醫師週班表!$C$5:$T$44,$CU34,X$57),"")))))))</f>
        <v/>
      </c>
      <c r="Y34" s="68">
        <f>IF(Y$59="X","",IF(Y$59&lt;&gt;"",Y$59,IF(IFERROR(INDEX(醫師週班表!$C$5:$T$44,$CU34,Y$57),"")=0,"",IF(MID(IFERROR(INDEX(醫師週班表!$C$5:$T$44,$CU34,Y$57),""),2,1)="/",MID(IFERROR(INDEX(醫師週班表!$C$5:$T$44,$CU34,Y$57),""),1+Y$58*2,1),IF(MID(IFERROR(INDEX(醫師週班表!$C$5:$T$44,$CU34,Y$57),""),3,1)="隔",IF(Y$58=0,LEFT(IFERROR(INDEX(醫師週班表!$C$5:$T$44,$CU34,Y$57),""),1),""),IF(MID(IFERROR(INDEX(醫師週班表!$C$5:$T$44,$CU34,Y$57),""),2,1)="(",LEFT(IFERROR(INDEX(醫師週班表!$C$5:$T$44,$CU34,Y$57),""),1),IFERROR(INDEX(醫師週班表!$C$5:$T$44,$CU34,Y$57),"")))))))</f>
        <v/>
      </c>
      <c r="Z34" s="67">
        <f>IF(Z$59="X","",IF(Z$59&lt;&gt;"",Z$59,IF(IFERROR(INDEX(醫師週班表!$C$5:$T$44,$CU34,Z$57),"")=0,"",IF(MID(IFERROR(INDEX(醫師週班表!$C$5:$T$44,$CU34,Z$57),""),2,1)="/",MID(IFERROR(INDEX(醫師週班表!$C$5:$T$44,$CU34,Z$57),""),1+Z$58*2,1),IF(MID(IFERROR(INDEX(醫師週班表!$C$5:$T$44,$CU34,Z$57),""),3,1)="隔",IF(Z$58=0,LEFT(IFERROR(INDEX(醫師週班表!$C$5:$T$44,$CU34,Z$57),""),1),""),IF(MID(IFERROR(INDEX(醫師週班表!$C$5:$T$44,$CU34,Z$57),""),2,1)="(",LEFT(IFERROR(INDEX(醫師週班表!$C$5:$T$44,$CU34,Z$57),""),1),IFERROR(INDEX(醫師週班表!$C$5:$T$44,$CU34,Z$57),"")))))))</f>
        <v/>
      </c>
      <c r="AA34" s="68">
        <f>IF(AA$59="X","",IF(AA$59&lt;&gt;"",AA$59,IF(IFERROR(INDEX(醫師週班表!$C$5:$T$44,$CU34,AA$57),"")=0,"",IF(MID(IFERROR(INDEX(醫師週班表!$C$5:$T$44,$CU34,AA$57),""),2,1)="/",MID(IFERROR(INDEX(醫師週班表!$C$5:$T$44,$CU34,AA$57),""),1+AA$58*2,1),IF(MID(IFERROR(INDEX(醫師週班表!$C$5:$T$44,$CU34,AA$57),""),3,1)="隔",IF(AA$58=0,LEFT(IFERROR(INDEX(醫師週班表!$C$5:$T$44,$CU34,AA$57),""),1),""),IF(MID(IFERROR(INDEX(醫師週班表!$C$5:$T$44,$CU34,AA$57),""),2,1)="(",LEFT(IFERROR(INDEX(醫師週班表!$C$5:$T$44,$CU34,AA$57),""),1),IFERROR(INDEX(醫師週班表!$C$5:$T$44,$CU34,AA$57),"")))))))</f>
        <v/>
      </c>
      <c r="AB34" s="68">
        <f>IF(AB$59="X","",IF(AB$59&lt;&gt;"",AB$59,IF(IFERROR(INDEX(醫師週班表!$C$5:$T$44,$CU34,AB$57),"")=0,"",IF(MID(IFERROR(INDEX(醫師週班表!$C$5:$T$44,$CU34,AB$57),""),2,1)="/",MID(IFERROR(INDEX(醫師週班表!$C$5:$T$44,$CU34,AB$57),""),1+AB$58*2,1),IF(MID(IFERROR(INDEX(醫師週班表!$C$5:$T$44,$CU34,AB$57),""),3,1)="隔",IF(AB$58=0,LEFT(IFERROR(INDEX(醫師週班表!$C$5:$T$44,$CU34,AB$57),""),1),""),IF(MID(IFERROR(INDEX(醫師週班表!$C$5:$T$44,$CU34,AB$57),""),2,1)="(",LEFT(IFERROR(INDEX(醫師週班表!$C$5:$T$44,$CU34,AB$57),""),1),IFERROR(INDEX(醫師週班表!$C$5:$T$44,$CU34,AB$57),"")))))))</f>
        <v/>
      </c>
      <c r="AC34" s="67">
        <f>IF(AC$59="X","",IF(AC$59&lt;&gt;"",AC$59,IF(IFERROR(INDEX(醫師週班表!$C$5:$T$44,$CU34,AC$57),"")=0,"",IF(MID(IFERROR(INDEX(醫師週班表!$C$5:$T$44,$CU34,AC$57),""),2,1)="/",MID(IFERROR(INDEX(醫師週班表!$C$5:$T$44,$CU34,AC$57),""),1+AC$58*2,1),IF(MID(IFERROR(INDEX(醫師週班表!$C$5:$T$44,$CU34,AC$57),""),3,1)="隔",IF(AC$58=0,LEFT(IFERROR(INDEX(醫師週班表!$C$5:$T$44,$CU34,AC$57),""),1),""),IF(MID(IFERROR(INDEX(醫師週班表!$C$5:$T$44,$CU34,AC$57),""),2,1)="(",LEFT(IFERROR(INDEX(醫師週班表!$C$5:$T$44,$CU34,AC$57),""),1),IFERROR(INDEX(醫師週班表!$C$5:$T$44,$CU34,AC$57),"")))))))</f>
        <v/>
      </c>
      <c r="AD34" s="68">
        <f>IF(AD$59="X","",IF(AD$59&lt;&gt;"",AD$59,IF(IFERROR(INDEX(醫師週班表!$C$5:$T$44,$CU34,AD$57),"")=0,"",IF(MID(IFERROR(INDEX(醫師週班表!$C$5:$T$44,$CU34,AD$57),""),2,1)="/",MID(IFERROR(INDEX(醫師週班表!$C$5:$T$44,$CU34,AD$57),""),1+AD$58*2,1),IF(MID(IFERROR(INDEX(醫師週班表!$C$5:$T$44,$CU34,AD$57),""),3,1)="隔",IF(AD$58=0,LEFT(IFERROR(INDEX(醫師週班表!$C$5:$T$44,$CU34,AD$57),""),1),""),IF(MID(IFERROR(INDEX(醫師週班表!$C$5:$T$44,$CU34,AD$57),""),2,1)="(",LEFT(IFERROR(INDEX(醫師週班表!$C$5:$T$44,$CU34,AD$57),""),1),IFERROR(INDEX(醫師週班表!$C$5:$T$44,$CU34,AD$57),"")))))))</f>
        <v/>
      </c>
      <c r="AE34" s="68">
        <f>IF(AE$59="X","",IF(AE$59&lt;&gt;"",AE$59,IF(IFERROR(INDEX(醫師週班表!$C$5:$T$44,$CU34,AE$57),"")=0,"",IF(MID(IFERROR(INDEX(醫師週班表!$C$5:$T$44,$CU34,AE$57),""),2,1)="/",MID(IFERROR(INDEX(醫師週班表!$C$5:$T$44,$CU34,AE$57),""),1+AE$58*2,1),IF(MID(IFERROR(INDEX(醫師週班表!$C$5:$T$44,$CU34,AE$57),""),3,1)="隔",IF(AE$58=0,LEFT(IFERROR(INDEX(醫師週班表!$C$5:$T$44,$CU34,AE$57),""),1),""),IF(MID(IFERROR(INDEX(醫師週班表!$C$5:$T$44,$CU34,AE$57),""),2,1)="(",LEFT(IFERROR(INDEX(醫師週班表!$C$5:$T$44,$CU34,AE$57),""),1),IFERROR(INDEX(醫師週班表!$C$5:$T$44,$CU34,AE$57),"")))))))</f>
        <v/>
      </c>
      <c r="AF34" s="67">
        <f>IF(AF$59="X","",IF(AF$59&lt;&gt;"",AF$59,IF(IFERROR(INDEX(醫師週班表!$C$5:$T$44,$CU34,AF$57),"")=0,"",IF(MID(IFERROR(INDEX(醫師週班表!$C$5:$T$44,$CU34,AF$57),""),2,1)="/",MID(IFERROR(INDEX(醫師週班表!$C$5:$T$44,$CU34,AF$57),""),1+AF$58*2,1),IF(MID(IFERROR(INDEX(醫師週班表!$C$5:$T$44,$CU34,AF$57),""),3,1)="隔",IF(AF$58=0,LEFT(IFERROR(INDEX(醫師週班表!$C$5:$T$44,$CU34,AF$57),""),1),""),IF(MID(IFERROR(INDEX(醫師週班表!$C$5:$T$44,$CU34,AF$57),""),2,1)="(",LEFT(IFERROR(INDEX(醫師週班表!$C$5:$T$44,$CU34,AF$57),""),1),IFERROR(INDEX(醫師週班表!$C$5:$T$44,$CU34,AF$57),"")))))))</f>
        <v/>
      </c>
      <c r="AG34" s="68">
        <f>IF(AG$59="X","",IF(AG$59&lt;&gt;"",AG$59,IF(IFERROR(INDEX(醫師週班表!$C$5:$T$44,$CU34,AG$57),"")=0,"",IF(MID(IFERROR(INDEX(醫師週班表!$C$5:$T$44,$CU34,AG$57),""),2,1)="/",MID(IFERROR(INDEX(醫師週班表!$C$5:$T$44,$CU34,AG$57),""),1+AG$58*2,1),IF(MID(IFERROR(INDEX(醫師週班表!$C$5:$T$44,$CU34,AG$57),""),3,1)="隔",IF(AG$58=0,LEFT(IFERROR(INDEX(醫師週班表!$C$5:$T$44,$CU34,AG$57),""),1),""),IF(MID(IFERROR(INDEX(醫師週班表!$C$5:$T$44,$CU34,AG$57),""),2,1)="(",LEFT(IFERROR(INDEX(醫師週班表!$C$5:$T$44,$CU34,AG$57),""),1),IFERROR(INDEX(醫師週班表!$C$5:$T$44,$CU34,AG$57),"")))))))</f>
        <v/>
      </c>
      <c r="AH34" s="68">
        <f>IF(AH$59="X","",IF(AH$59&lt;&gt;"",AH$59,IF(IFERROR(INDEX(醫師週班表!$C$5:$T$44,$CU34,AH$57),"")=0,"",IF(MID(IFERROR(INDEX(醫師週班表!$C$5:$T$44,$CU34,AH$57),""),2,1)="/",MID(IFERROR(INDEX(醫師週班表!$C$5:$T$44,$CU34,AH$57),""),1+AH$58*2,1),IF(MID(IFERROR(INDEX(醫師週班表!$C$5:$T$44,$CU34,AH$57),""),3,1)="隔",IF(AH$58=0,LEFT(IFERROR(INDEX(醫師週班表!$C$5:$T$44,$CU34,AH$57),""),1),""),IF(MID(IFERROR(INDEX(醫師週班表!$C$5:$T$44,$CU34,AH$57),""),2,1)="(",LEFT(IFERROR(INDEX(醫師週班表!$C$5:$T$44,$CU34,AH$57),""),1),IFERROR(INDEX(醫師週班表!$C$5:$T$44,$CU34,AH$57),"")))))))</f>
        <v/>
      </c>
      <c r="AI34" s="67">
        <f>IF(AI$59="X","",IF(AI$59&lt;&gt;"",AI$59,IF(IFERROR(INDEX(醫師週班表!$C$5:$T$44,$CU34,AI$57),"")=0,"",IF(MID(IFERROR(INDEX(醫師週班表!$C$5:$T$44,$CU34,AI$57),""),2,1)="/",MID(IFERROR(INDEX(醫師週班表!$C$5:$T$44,$CU34,AI$57),""),1+AI$58*2,1),IF(MID(IFERROR(INDEX(醫師週班表!$C$5:$T$44,$CU34,AI$57),""),3,1)="隔",IF(AI$58=0,LEFT(IFERROR(INDEX(醫師週班表!$C$5:$T$44,$CU34,AI$57),""),1),""),IF(MID(IFERROR(INDEX(醫師週班表!$C$5:$T$44,$CU34,AI$57),""),2,1)="(",LEFT(IFERROR(INDEX(醫師週班表!$C$5:$T$44,$CU34,AI$57),""),1),IFERROR(INDEX(醫師週班表!$C$5:$T$44,$CU34,AI$57),"")))))))</f>
        <v/>
      </c>
      <c r="AJ34" s="68">
        <f>IF(AJ$59="X","",IF(AJ$59&lt;&gt;"",AJ$59,IF(IFERROR(INDEX(醫師週班表!$C$5:$T$44,$CU34,AJ$57),"")=0,"",IF(MID(IFERROR(INDEX(醫師週班表!$C$5:$T$44,$CU34,AJ$57),""),2,1)="/",MID(IFERROR(INDEX(醫師週班表!$C$5:$T$44,$CU34,AJ$57),""),1+AJ$58*2,1),IF(MID(IFERROR(INDEX(醫師週班表!$C$5:$T$44,$CU34,AJ$57),""),3,1)="隔",IF(AJ$58=0,LEFT(IFERROR(INDEX(醫師週班表!$C$5:$T$44,$CU34,AJ$57),""),1),""),IF(MID(IFERROR(INDEX(醫師週班表!$C$5:$T$44,$CU34,AJ$57),""),2,1)="(",LEFT(IFERROR(INDEX(醫師週班表!$C$5:$T$44,$CU34,AJ$57),""),1),IFERROR(INDEX(醫師週班表!$C$5:$T$44,$CU34,AJ$57),"")))))))</f>
        <v/>
      </c>
      <c r="AK34" s="68">
        <f>IF(AK$59="X","",IF(AK$59&lt;&gt;"",AK$59,IF(IFERROR(INDEX(醫師週班表!$C$5:$T$44,$CU34,AK$57),"")=0,"",IF(MID(IFERROR(INDEX(醫師週班表!$C$5:$T$44,$CU34,AK$57),""),2,1)="/",MID(IFERROR(INDEX(醫師週班表!$C$5:$T$44,$CU34,AK$57),""),1+AK$58*2,1),IF(MID(IFERROR(INDEX(醫師週班表!$C$5:$T$44,$CU34,AK$57),""),3,1)="隔",IF(AK$58=0,LEFT(IFERROR(INDEX(醫師週班表!$C$5:$T$44,$CU34,AK$57),""),1),""),IF(MID(IFERROR(INDEX(醫師週班表!$C$5:$T$44,$CU34,AK$57),""),2,1)="(",LEFT(IFERROR(INDEX(醫師週班表!$C$5:$T$44,$CU34,AK$57),""),1),IFERROR(INDEX(醫師週班表!$C$5:$T$44,$CU34,AK$57),"")))))))</f>
        <v/>
      </c>
      <c r="AL34" s="67">
        <f>IF(AL$59="X","",IF(AL$59&lt;&gt;"",AL$59,IF(IFERROR(INDEX(醫師週班表!$C$5:$T$44,$CU34,AL$57),"")=0,"",IF(MID(IFERROR(INDEX(醫師週班表!$C$5:$T$44,$CU34,AL$57),""),2,1)="/",MID(IFERROR(INDEX(醫師週班表!$C$5:$T$44,$CU34,AL$57),""),1+AL$58*2,1),IF(MID(IFERROR(INDEX(醫師週班表!$C$5:$T$44,$CU34,AL$57),""),3,1)="隔",IF(AL$58=0,LEFT(IFERROR(INDEX(醫師週班表!$C$5:$T$44,$CU34,AL$57),""),1),""),IF(MID(IFERROR(INDEX(醫師週班表!$C$5:$T$44,$CU34,AL$57),""),2,1)="(",LEFT(IFERROR(INDEX(醫師週班表!$C$5:$T$44,$CU34,AL$57),""),1),IFERROR(INDEX(醫師週班表!$C$5:$T$44,$CU34,AL$57),"")))))))</f>
        <v/>
      </c>
      <c r="AM34" s="68">
        <f>IF(AM$59="X","",IF(AM$59&lt;&gt;"",AM$59,IF(IFERROR(INDEX(醫師週班表!$C$5:$T$44,$CU34,AM$57),"")=0,"",IF(MID(IFERROR(INDEX(醫師週班表!$C$5:$T$44,$CU34,AM$57),""),2,1)="/",MID(IFERROR(INDEX(醫師週班表!$C$5:$T$44,$CU34,AM$57),""),1+AM$58*2,1),IF(MID(IFERROR(INDEX(醫師週班表!$C$5:$T$44,$CU34,AM$57),""),3,1)="隔",IF(AM$58=0,LEFT(IFERROR(INDEX(醫師週班表!$C$5:$T$44,$CU34,AM$57),""),1),""),IF(MID(IFERROR(INDEX(醫師週班表!$C$5:$T$44,$CU34,AM$57),""),2,1)="(",LEFT(IFERROR(INDEX(醫師週班表!$C$5:$T$44,$CU34,AM$57),""),1),IFERROR(INDEX(醫師週班表!$C$5:$T$44,$CU34,AM$57),"")))))))</f>
        <v/>
      </c>
      <c r="AN34" s="68">
        <f>IF(AN$59="X","",IF(AN$59&lt;&gt;"",AN$59,IF(IFERROR(INDEX(醫師週班表!$C$5:$T$44,$CU34,AN$57),"")=0,"",IF(MID(IFERROR(INDEX(醫師週班表!$C$5:$T$44,$CU34,AN$57),""),2,1)="/",MID(IFERROR(INDEX(醫師週班表!$C$5:$T$44,$CU34,AN$57),""),1+AN$58*2,1),IF(MID(IFERROR(INDEX(醫師週班表!$C$5:$T$44,$CU34,AN$57),""),3,1)="隔",IF(AN$58=0,LEFT(IFERROR(INDEX(醫師週班表!$C$5:$T$44,$CU34,AN$57),""),1),""),IF(MID(IFERROR(INDEX(醫師週班表!$C$5:$T$44,$CU34,AN$57),""),2,1)="(",LEFT(IFERROR(INDEX(醫師週班表!$C$5:$T$44,$CU34,AN$57),""),1),IFERROR(INDEX(醫師週班表!$C$5:$T$44,$CU34,AN$57),"")))))))</f>
        <v/>
      </c>
      <c r="AO34" s="67">
        <f>IF(AO$59="X","",IF(AO$59&lt;&gt;"",AO$59,IF(IFERROR(INDEX(醫師週班表!$C$5:$T$44,$CU34,AO$57),"")=0,"",IF(MID(IFERROR(INDEX(醫師週班表!$C$5:$T$44,$CU34,AO$57),""),2,1)="/",MID(IFERROR(INDEX(醫師週班表!$C$5:$T$44,$CU34,AO$57),""),1+AO$58*2,1),IF(MID(IFERROR(INDEX(醫師週班表!$C$5:$T$44,$CU34,AO$57),""),3,1)="隔",IF(AO$58=0,LEFT(IFERROR(INDEX(醫師週班表!$C$5:$T$44,$CU34,AO$57),""),1),""),IF(MID(IFERROR(INDEX(醫師週班表!$C$5:$T$44,$CU34,AO$57),""),2,1)="(",LEFT(IFERROR(INDEX(醫師週班表!$C$5:$T$44,$CU34,AO$57),""),1),IFERROR(INDEX(醫師週班表!$C$5:$T$44,$CU34,AO$57),"")))))))</f>
        <v/>
      </c>
      <c r="AP34" s="68">
        <f>IF(AP$59="X","",IF(AP$59&lt;&gt;"",AP$59,IF(IFERROR(INDEX(醫師週班表!$C$5:$T$44,$CU34,AP$57),"")=0,"",IF(MID(IFERROR(INDEX(醫師週班表!$C$5:$T$44,$CU34,AP$57),""),2,1)="/",MID(IFERROR(INDEX(醫師週班表!$C$5:$T$44,$CU34,AP$57),""),1+AP$58*2,1),IF(MID(IFERROR(INDEX(醫師週班表!$C$5:$T$44,$CU34,AP$57),""),3,1)="隔",IF(AP$58=0,LEFT(IFERROR(INDEX(醫師週班表!$C$5:$T$44,$CU34,AP$57),""),1),""),IF(MID(IFERROR(INDEX(醫師週班表!$C$5:$T$44,$CU34,AP$57),""),2,1)="(",LEFT(IFERROR(INDEX(醫師週班表!$C$5:$T$44,$CU34,AP$57),""),1),IFERROR(INDEX(醫師週班表!$C$5:$T$44,$CU34,AP$57),"")))))))</f>
        <v/>
      </c>
      <c r="AQ34" s="68">
        <f>IF(AQ$59="X","",IF(AQ$59&lt;&gt;"",AQ$59,IF(IFERROR(INDEX(醫師週班表!$C$5:$T$44,$CU34,AQ$57),"")=0,"",IF(MID(IFERROR(INDEX(醫師週班表!$C$5:$T$44,$CU34,AQ$57),""),2,1)="/",MID(IFERROR(INDEX(醫師週班表!$C$5:$T$44,$CU34,AQ$57),""),1+AQ$58*2,1),IF(MID(IFERROR(INDEX(醫師週班表!$C$5:$T$44,$CU34,AQ$57),""),3,1)="隔",IF(AQ$58=0,LEFT(IFERROR(INDEX(醫師週班表!$C$5:$T$44,$CU34,AQ$57),""),1),""),IF(MID(IFERROR(INDEX(醫師週班表!$C$5:$T$44,$CU34,AQ$57),""),2,1)="(",LEFT(IFERROR(INDEX(醫師週班表!$C$5:$T$44,$CU34,AQ$57),""),1),IFERROR(INDEX(醫師週班表!$C$5:$T$44,$CU34,AQ$57),"")))))))</f>
        <v/>
      </c>
      <c r="AR34" s="67">
        <f>IF(AR$59="X","",IF(AR$59&lt;&gt;"",AR$59,IF(IFERROR(INDEX(醫師週班表!$C$5:$T$44,$CU34,AR$57),"")=0,"",IF(MID(IFERROR(INDEX(醫師週班表!$C$5:$T$44,$CU34,AR$57),""),2,1)="/",MID(IFERROR(INDEX(醫師週班表!$C$5:$T$44,$CU34,AR$57),""),1+AR$58*2,1),IF(MID(IFERROR(INDEX(醫師週班表!$C$5:$T$44,$CU34,AR$57),""),3,1)="隔",IF(AR$58=0,LEFT(IFERROR(INDEX(醫師週班表!$C$5:$T$44,$CU34,AR$57),""),1),""),IF(MID(IFERROR(INDEX(醫師週班表!$C$5:$T$44,$CU34,AR$57),""),2,1)="(",LEFT(IFERROR(INDEX(醫師週班表!$C$5:$T$44,$CU34,AR$57),""),1),IFERROR(INDEX(醫師週班表!$C$5:$T$44,$CU34,AR$57),"")))))))</f>
        <v/>
      </c>
      <c r="AS34" s="68">
        <f>IF(AS$59="X","",IF(AS$59&lt;&gt;"",AS$59,IF(IFERROR(INDEX(醫師週班表!$C$5:$T$44,$CU34,AS$57),"")=0,"",IF(MID(IFERROR(INDEX(醫師週班表!$C$5:$T$44,$CU34,AS$57),""),2,1)="/",MID(IFERROR(INDEX(醫師週班表!$C$5:$T$44,$CU34,AS$57),""),1+AS$58*2,1),IF(MID(IFERROR(INDEX(醫師週班表!$C$5:$T$44,$CU34,AS$57),""),3,1)="隔",IF(AS$58=0,LEFT(IFERROR(INDEX(醫師週班表!$C$5:$T$44,$CU34,AS$57),""),1),""),IF(MID(IFERROR(INDEX(醫師週班表!$C$5:$T$44,$CU34,AS$57),""),2,1)="(",LEFT(IFERROR(INDEX(醫師週班表!$C$5:$T$44,$CU34,AS$57),""),1),IFERROR(INDEX(醫師週班表!$C$5:$T$44,$CU34,AS$57),"")))))))</f>
        <v/>
      </c>
      <c r="AT34" s="68">
        <f>IF(AT$59="X","",IF(AT$59&lt;&gt;"",AT$59,IF(IFERROR(INDEX(醫師週班表!$C$5:$T$44,$CU34,AT$57),"")=0,"",IF(MID(IFERROR(INDEX(醫師週班表!$C$5:$T$44,$CU34,AT$57),""),2,1)="/",MID(IFERROR(INDEX(醫師週班表!$C$5:$T$44,$CU34,AT$57),""),1+AT$58*2,1),IF(MID(IFERROR(INDEX(醫師週班表!$C$5:$T$44,$CU34,AT$57),""),3,1)="隔",IF(AT$58=0,LEFT(IFERROR(INDEX(醫師週班表!$C$5:$T$44,$CU34,AT$57),""),1),""),IF(MID(IFERROR(INDEX(醫師週班表!$C$5:$T$44,$CU34,AT$57),""),2,1)="(",LEFT(IFERROR(INDEX(醫師週班表!$C$5:$T$44,$CU34,AT$57),""),1),IFERROR(INDEX(醫師週班表!$C$5:$T$44,$CU34,AT$57),"")))))))</f>
        <v/>
      </c>
      <c r="AU34" s="67">
        <f>IF(AU$59="X","",IF(AU$59&lt;&gt;"",AU$59,IF(IFERROR(INDEX(醫師週班表!$C$5:$T$44,$CU34,AU$57),"")=0,"",IF(MID(IFERROR(INDEX(醫師週班表!$C$5:$T$44,$CU34,AU$57),""),2,1)="/",MID(IFERROR(INDEX(醫師週班表!$C$5:$T$44,$CU34,AU$57),""),1+AU$58*2,1),IF(MID(IFERROR(INDEX(醫師週班表!$C$5:$T$44,$CU34,AU$57),""),3,1)="隔",IF(AU$58=0,LEFT(IFERROR(INDEX(醫師週班表!$C$5:$T$44,$CU34,AU$57),""),1),""),IF(MID(IFERROR(INDEX(醫師週班表!$C$5:$T$44,$CU34,AU$57),""),2,1)="(",LEFT(IFERROR(INDEX(醫師週班表!$C$5:$T$44,$CU34,AU$57),""),1),IFERROR(INDEX(醫師週班表!$C$5:$T$44,$CU34,AU$57),"")))))))</f>
        <v/>
      </c>
      <c r="AV34" s="68">
        <f>IF(AV$59="X","",IF(AV$59&lt;&gt;"",AV$59,IF(IFERROR(INDEX(醫師週班表!$C$5:$T$44,$CU34,AV$57),"")=0,"",IF(MID(IFERROR(INDEX(醫師週班表!$C$5:$T$44,$CU34,AV$57),""),2,1)="/",MID(IFERROR(INDEX(醫師週班表!$C$5:$T$44,$CU34,AV$57),""),1+AV$58*2,1),IF(MID(IFERROR(INDEX(醫師週班表!$C$5:$T$44,$CU34,AV$57),""),3,1)="隔",IF(AV$58=0,LEFT(IFERROR(INDEX(醫師週班表!$C$5:$T$44,$CU34,AV$57),""),1),""),IF(MID(IFERROR(INDEX(醫師週班表!$C$5:$T$44,$CU34,AV$57),""),2,1)="(",LEFT(IFERROR(INDEX(醫師週班表!$C$5:$T$44,$CU34,AV$57),""),1),IFERROR(INDEX(醫師週班表!$C$5:$T$44,$CU34,AV$57),"")))))))</f>
        <v/>
      </c>
      <c r="AW34" s="68">
        <f>IF(AW$59="X","",IF(AW$59&lt;&gt;"",AW$59,IF(IFERROR(INDEX(醫師週班表!$C$5:$T$44,$CU34,AW$57),"")=0,"",IF(MID(IFERROR(INDEX(醫師週班表!$C$5:$T$44,$CU34,AW$57),""),2,1)="/",MID(IFERROR(INDEX(醫師週班表!$C$5:$T$44,$CU34,AW$57),""),1+AW$58*2,1),IF(MID(IFERROR(INDEX(醫師週班表!$C$5:$T$44,$CU34,AW$57),""),3,1)="隔",IF(AW$58=0,LEFT(IFERROR(INDEX(醫師週班表!$C$5:$T$44,$CU34,AW$57),""),1),""),IF(MID(IFERROR(INDEX(醫師週班表!$C$5:$T$44,$CU34,AW$57),""),2,1)="(",LEFT(IFERROR(INDEX(醫師週班表!$C$5:$T$44,$CU34,AW$57),""),1),IFERROR(INDEX(醫師週班表!$C$5:$T$44,$CU34,AW$57),"")))))))</f>
        <v/>
      </c>
      <c r="AX34" s="67">
        <f>IF(AX$59="X","",IF(AX$59&lt;&gt;"",AX$59,IF(IFERROR(INDEX(醫師週班表!$C$5:$T$44,$CU34,AX$57),"")=0,"",IF(MID(IFERROR(INDEX(醫師週班表!$C$5:$T$44,$CU34,AX$57),""),2,1)="/",MID(IFERROR(INDEX(醫師週班表!$C$5:$T$44,$CU34,AX$57),""),1+AX$58*2,1),IF(MID(IFERROR(INDEX(醫師週班表!$C$5:$T$44,$CU34,AX$57),""),3,1)="隔",IF(AX$58=0,LEFT(IFERROR(INDEX(醫師週班表!$C$5:$T$44,$CU34,AX$57),""),1),""),IF(MID(IFERROR(INDEX(醫師週班表!$C$5:$T$44,$CU34,AX$57),""),2,1)="(",LEFT(IFERROR(INDEX(醫師週班表!$C$5:$T$44,$CU34,AX$57),""),1),IFERROR(INDEX(醫師週班表!$C$5:$T$44,$CU34,AX$57),"")))))))</f>
        <v/>
      </c>
      <c r="AY34" s="68">
        <f>IF(AY$59="X","",IF(AY$59&lt;&gt;"",AY$59,IF(IFERROR(INDEX(醫師週班表!$C$5:$T$44,$CU34,AY$57),"")=0,"",IF(MID(IFERROR(INDEX(醫師週班表!$C$5:$T$44,$CU34,AY$57),""),2,1)="/",MID(IFERROR(INDEX(醫師週班表!$C$5:$T$44,$CU34,AY$57),""),1+AY$58*2,1),IF(MID(IFERROR(INDEX(醫師週班表!$C$5:$T$44,$CU34,AY$57),""),3,1)="隔",IF(AY$58=0,LEFT(IFERROR(INDEX(醫師週班表!$C$5:$T$44,$CU34,AY$57),""),1),""),IF(MID(IFERROR(INDEX(醫師週班表!$C$5:$T$44,$CU34,AY$57),""),2,1)="(",LEFT(IFERROR(INDEX(醫師週班表!$C$5:$T$44,$CU34,AY$57),""),1),IFERROR(INDEX(醫師週班表!$C$5:$T$44,$CU34,AY$57),"")))))))</f>
        <v/>
      </c>
      <c r="AZ34" s="68">
        <f>IF(AZ$59="X","",IF(AZ$59&lt;&gt;"",AZ$59,IF(IFERROR(INDEX(醫師週班表!$C$5:$T$44,$CU34,AZ$57),"")=0,"",IF(MID(IFERROR(INDEX(醫師週班表!$C$5:$T$44,$CU34,AZ$57),""),2,1)="/",MID(IFERROR(INDEX(醫師週班表!$C$5:$T$44,$CU34,AZ$57),""),1+AZ$58*2,1),IF(MID(IFERROR(INDEX(醫師週班表!$C$5:$T$44,$CU34,AZ$57),""),3,1)="隔",IF(AZ$58=0,LEFT(IFERROR(INDEX(醫師週班表!$C$5:$T$44,$CU34,AZ$57),""),1),""),IF(MID(IFERROR(INDEX(醫師週班表!$C$5:$T$44,$CU34,AZ$57),""),2,1)="(",LEFT(IFERROR(INDEX(醫師週班表!$C$5:$T$44,$CU34,AZ$57),""),1),IFERROR(INDEX(醫師週班表!$C$5:$T$44,$CU34,AZ$57),"")))))))</f>
        <v/>
      </c>
      <c r="BA34" s="67">
        <f>IF(BA$59="X","",IF(BA$59&lt;&gt;"",BA$59,IF(IFERROR(INDEX(醫師週班表!$C$5:$T$44,$CU34,BA$57),"")=0,"",IF(MID(IFERROR(INDEX(醫師週班表!$C$5:$T$44,$CU34,BA$57),""),2,1)="/",MID(IFERROR(INDEX(醫師週班表!$C$5:$T$44,$CU34,BA$57),""),1+BA$58*2,1),IF(MID(IFERROR(INDEX(醫師週班表!$C$5:$T$44,$CU34,BA$57),""),3,1)="隔",IF(BA$58=0,LEFT(IFERROR(INDEX(醫師週班表!$C$5:$T$44,$CU34,BA$57),""),1),""),IF(MID(IFERROR(INDEX(醫師週班表!$C$5:$T$44,$CU34,BA$57),""),2,1)="(",LEFT(IFERROR(INDEX(醫師週班表!$C$5:$T$44,$CU34,BA$57),""),1),IFERROR(INDEX(醫師週班表!$C$5:$T$44,$CU34,BA$57),"")))))))</f>
        <v/>
      </c>
      <c r="BB34" s="68">
        <f>IF(BB$59="X","",IF(BB$59&lt;&gt;"",BB$59,IF(IFERROR(INDEX(醫師週班表!$C$5:$T$44,$CU34,BB$57),"")=0,"",IF(MID(IFERROR(INDEX(醫師週班表!$C$5:$T$44,$CU34,BB$57),""),2,1)="/",MID(IFERROR(INDEX(醫師週班表!$C$5:$T$44,$CU34,BB$57),""),1+BB$58*2,1),IF(MID(IFERROR(INDEX(醫師週班表!$C$5:$T$44,$CU34,BB$57),""),3,1)="隔",IF(BB$58=0,LEFT(IFERROR(INDEX(醫師週班表!$C$5:$T$44,$CU34,BB$57),""),1),""),IF(MID(IFERROR(INDEX(醫師週班表!$C$5:$T$44,$CU34,BB$57),""),2,1)="(",LEFT(IFERROR(INDEX(醫師週班表!$C$5:$T$44,$CU34,BB$57),""),1),IFERROR(INDEX(醫師週班表!$C$5:$T$44,$CU34,BB$57),"")))))))</f>
        <v/>
      </c>
      <c r="BC34" s="68">
        <f>IF(BC$59="X","",IF(BC$59&lt;&gt;"",BC$59,IF(IFERROR(INDEX(醫師週班表!$C$5:$T$44,$CU34,BC$57),"")=0,"",IF(MID(IFERROR(INDEX(醫師週班表!$C$5:$T$44,$CU34,BC$57),""),2,1)="/",MID(IFERROR(INDEX(醫師週班表!$C$5:$T$44,$CU34,BC$57),""),1+BC$58*2,1),IF(MID(IFERROR(INDEX(醫師週班表!$C$5:$T$44,$CU34,BC$57),""),3,1)="隔",IF(BC$58=0,LEFT(IFERROR(INDEX(醫師週班表!$C$5:$T$44,$CU34,BC$57),""),1),""),IF(MID(IFERROR(INDEX(醫師週班表!$C$5:$T$44,$CU34,BC$57),""),2,1)="(",LEFT(IFERROR(INDEX(醫師週班表!$C$5:$T$44,$CU34,BC$57),""),1),IFERROR(INDEX(醫師週班表!$C$5:$T$44,$CU34,BC$57),"")))))))</f>
        <v/>
      </c>
      <c r="BD34" s="67">
        <f>IF(BD$59="X","",IF(BD$59&lt;&gt;"",BD$59,IF(IFERROR(INDEX(醫師週班表!$C$5:$T$44,$CU34,BD$57),"")=0,"",IF(MID(IFERROR(INDEX(醫師週班表!$C$5:$T$44,$CU34,BD$57),""),2,1)="/",MID(IFERROR(INDEX(醫師週班表!$C$5:$T$44,$CU34,BD$57),""),1+BD$58*2,1),IF(MID(IFERROR(INDEX(醫師週班表!$C$5:$T$44,$CU34,BD$57),""),3,1)="隔",IF(BD$58=0,LEFT(IFERROR(INDEX(醫師週班表!$C$5:$T$44,$CU34,BD$57),""),1),""),IF(MID(IFERROR(INDEX(醫師週班表!$C$5:$T$44,$CU34,BD$57),""),2,1)="(",LEFT(IFERROR(INDEX(醫師週班表!$C$5:$T$44,$CU34,BD$57),""),1),IFERROR(INDEX(醫師週班表!$C$5:$T$44,$CU34,BD$57),"")))))))</f>
        <v/>
      </c>
      <c r="BE34" s="68">
        <f>IF(BE$59="X","",IF(BE$59&lt;&gt;"",BE$59,IF(IFERROR(INDEX(醫師週班表!$C$5:$T$44,$CU34,BE$57),"")=0,"",IF(MID(IFERROR(INDEX(醫師週班表!$C$5:$T$44,$CU34,BE$57),""),2,1)="/",MID(IFERROR(INDEX(醫師週班表!$C$5:$T$44,$CU34,BE$57),""),1+BE$58*2,1),IF(MID(IFERROR(INDEX(醫師週班表!$C$5:$T$44,$CU34,BE$57),""),3,1)="隔",IF(BE$58=0,LEFT(IFERROR(INDEX(醫師週班表!$C$5:$T$44,$CU34,BE$57),""),1),""),IF(MID(IFERROR(INDEX(醫師週班表!$C$5:$T$44,$CU34,BE$57),""),2,1)="(",LEFT(IFERROR(INDEX(醫師週班表!$C$5:$T$44,$CU34,BE$57),""),1),IFERROR(INDEX(醫師週班表!$C$5:$T$44,$CU34,BE$57),"")))))))</f>
        <v/>
      </c>
      <c r="BF34" s="68">
        <f>IF(BF$59="X","",IF(BF$59&lt;&gt;"",BF$59,IF(IFERROR(INDEX(醫師週班表!$C$5:$T$44,$CU34,BF$57),"")=0,"",IF(MID(IFERROR(INDEX(醫師週班表!$C$5:$T$44,$CU34,BF$57),""),2,1)="/",MID(IFERROR(INDEX(醫師週班表!$C$5:$T$44,$CU34,BF$57),""),1+BF$58*2,1),IF(MID(IFERROR(INDEX(醫師週班表!$C$5:$T$44,$CU34,BF$57),""),3,1)="隔",IF(BF$58=0,LEFT(IFERROR(INDEX(醫師週班表!$C$5:$T$44,$CU34,BF$57),""),1),""),IF(MID(IFERROR(INDEX(醫師週班表!$C$5:$T$44,$CU34,BF$57),""),2,1)="(",LEFT(IFERROR(INDEX(醫師週班表!$C$5:$T$44,$CU34,BF$57),""),1),IFERROR(INDEX(醫師週班表!$C$5:$T$44,$CU34,BF$57),"")))))))</f>
        <v/>
      </c>
      <c r="BG34" s="67">
        <f>IF(BG$59="X","",IF(BG$59&lt;&gt;"",BG$59,IF(IFERROR(INDEX(醫師週班表!$C$5:$T$44,$CU34,BG$57),"")=0,"",IF(MID(IFERROR(INDEX(醫師週班表!$C$5:$T$44,$CU34,BG$57),""),2,1)="/",MID(IFERROR(INDEX(醫師週班表!$C$5:$T$44,$CU34,BG$57),""),1+BG$58*2,1),IF(MID(IFERROR(INDEX(醫師週班表!$C$5:$T$44,$CU34,BG$57),""),3,1)="隔",IF(BG$58=0,LEFT(IFERROR(INDEX(醫師週班表!$C$5:$T$44,$CU34,BG$57),""),1),""),IF(MID(IFERROR(INDEX(醫師週班表!$C$5:$T$44,$CU34,BG$57),""),2,1)="(",LEFT(IFERROR(INDEX(醫師週班表!$C$5:$T$44,$CU34,BG$57),""),1),IFERROR(INDEX(醫師週班表!$C$5:$T$44,$CU34,BG$57),"")))))))</f>
        <v/>
      </c>
      <c r="BH34" s="68">
        <f>IF(BH$59="X","",IF(BH$59&lt;&gt;"",BH$59,IF(IFERROR(INDEX(醫師週班表!$C$5:$T$44,$CU34,BH$57),"")=0,"",IF(MID(IFERROR(INDEX(醫師週班表!$C$5:$T$44,$CU34,BH$57),""),2,1)="/",MID(IFERROR(INDEX(醫師週班表!$C$5:$T$44,$CU34,BH$57),""),1+BH$58*2,1),IF(MID(IFERROR(INDEX(醫師週班表!$C$5:$T$44,$CU34,BH$57),""),3,1)="隔",IF(BH$58=0,LEFT(IFERROR(INDEX(醫師週班表!$C$5:$T$44,$CU34,BH$57),""),1),""),IF(MID(IFERROR(INDEX(醫師週班表!$C$5:$T$44,$CU34,BH$57),""),2,1)="(",LEFT(IFERROR(INDEX(醫師週班表!$C$5:$T$44,$CU34,BH$57),""),1),IFERROR(INDEX(醫師週班表!$C$5:$T$44,$CU34,BH$57),"")))))))</f>
        <v/>
      </c>
      <c r="BI34" s="68">
        <f>IF(BI$59="X","",IF(BI$59&lt;&gt;"",BI$59,IF(IFERROR(INDEX(醫師週班表!$C$5:$T$44,$CU34,BI$57),"")=0,"",IF(MID(IFERROR(INDEX(醫師週班表!$C$5:$T$44,$CU34,BI$57),""),2,1)="/",MID(IFERROR(INDEX(醫師週班表!$C$5:$T$44,$CU34,BI$57),""),1+BI$58*2,1),IF(MID(IFERROR(INDEX(醫師週班表!$C$5:$T$44,$CU34,BI$57),""),3,1)="隔",IF(BI$58=0,LEFT(IFERROR(INDEX(醫師週班表!$C$5:$T$44,$CU34,BI$57),""),1),""),IF(MID(IFERROR(INDEX(醫師週班表!$C$5:$T$44,$CU34,BI$57),""),2,1)="(",LEFT(IFERROR(INDEX(醫師週班表!$C$5:$T$44,$CU34,BI$57),""),1),IFERROR(INDEX(醫師週班表!$C$5:$T$44,$CU34,BI$57),"")))))))</f>
        <v/>
      </c>
      <c r="BJ34" s="67">
        <f>IF(BJ$59="X","",IF(BJ$59&lt;&gt;"",BJ$59,IF(IFERROR(INDEX(醫師週班表!$C$5:$T$44,$CU34,BJ$57),"")=0,"",IF(MID(IFERROR(INDEX(醫師週班表!$C$5:$T$44,$CU34,BJ$57),""),2,1)="/",MID(IFERROR(INDEX(醫師週班表!$C$5:$T$44,$CU34,BJ$57),""),1+BJ$58*2,1),IF(MID(IFERROR(INDEX(醫師週班表!$C$5:$T$44,$CU34,BJ$57),""),3,1)="隔",IF(BJ$58=0,LEFT(IFERROR(INDEX(醫師週班表!$C$5:$T$44,$CU34,BJ$57),""),1),""),IF(MID(IFERROR(INDEX(醫師週班表!$C$5:$T$44,$CU34,BJ$57),""),2,1)="(",LEFT(IFERROR(INDEX(醫師週班表!$C$5:$T$44,$CU34,BJ$57),""),1),IFERROR(INDEX(醫師週班表!$C$5:$T$44,$CU34,BJ$57),"")))))))</f>
        <v/>
      </c>
      <c r="BK34" s="68">
        <f>IF(BK$59="X","",IF(BK$59&lt;&gt;"",BK$59,IF(IFERROR(INDEX(醫師週班表!$C$5:$T$44,$CU34,BK$57),"")=0,"",IF(MID(IFERROR(INDEX(醫師週班表!$C$5:$T$44,$CU34,BK$57),""),2,1)="/",MID(IFERROR(INDEX(醫師週班表!$C$5:$T$44,$CU34,BK$57),""),1+BK$58*2,1),IF(MID(IFERROR(INDEX(醫師週班表!$C$5:$T$44,$CU34,BK$57),""),3,1)="隔",IF(BK$58=0,LEFT(IFERROR(INDEX(醫師週班表!$C$5:$T$44,$CU34,BK$57),""),1),""),IF(MID(IFERROR(INDEX(醫師週班表!$C$5:$T$44,$CU34,BK$57),""),2,1)="(",LEFT(IFERROR(INDEX(醫師週班表!$C$5:$T$44,$CU34,BK$57),""),1),IFERROR(INDEX(醫師週班表!$C$5:$T$44,$CU34,BK$57),"")))))))</f>
        <v/>
      </c>
      <c r="BL34" s="68">
        <f>IF(BL$59="X","",IF(BL$59&lt;&gt;"",BL$59,IF(IFERROR(INDEX(醫師週班表!$C$5:$T$44,$CU34,BL$57),"")=0,"",IF(MID(IFERROR(INDEX(醫師週班表!$C$5:$T$44,$CU34,BL$57),""),2,1)="/",MID(IFERROR(INDEX(醫師週班表!$C$5:$T$44,$CU34,BL$57),""),1+BL$58*2,1),IF(MID(IFERROR(INDEX(醫師週班表!$C$5:$T$44,$CU34,BL$57),""),3,1)="隔",IF(BL$58=0,LEFT(IFERROR(INDEX(醫師週班表!$C$5:$T$44,$CU34,BL$57),""),1),""),IF(MID(IFERROR(INDEX(醫師週班表!$C$5:$T$44,$CU34,BL$57),""),2,1)="(",LEFT(IFERROR(INDEX(醫師週班表!$C$5:$T$44,$CU34,BL$57),""),1),IFERROR(INDEX(醫師週班表!$C$5:$T$44,$CU34,BL$57),"")))))))</f>
        <v/>
      </c>
      <c r="BM34" s="67">
        <f>IF(BM$59="X","",IF(BM$59&lt;&gt;"",BM$59,IF(IFERROR(INDEX(醫師週班表!$C$5:$T$44,$CU34,BM$57),"")=0,"",IF(MID(IFERROR(INDEX(醫師週班表!$C$5:$T$44,$CU34,BM$57),""),2,1)="/",MID(IFERROR(INDEX(醫師週班表!$C$5:$T$44,$CU34,BM$57),""),1+BM$58*2,1),IF(MID(IFERROR(INDEX(醫師週班表!$C$5:$T$44,$CU34,BM$57),""),3,1)="隔",IF(BM$58=0,LEFT(IFERROR(INDEX(醫師週班表!$C$5:$T$44,$CU34,BM$57),""),1),""),IF(MID(IFERROR(INDEX(醫師週班表!$C$5:$T$44,$CU34,BM$57),""),2,1)="(",LEFT(IFERROR(INDEX(醫師週班表!$C$5:$T$44,$CU34,BM$57),""),1),IFERROR(INDEX(醫師週班表!$C$5:$T$44,$CU34,BM$57),"")))))))</f>
        <v/>
      </c>
      <c r="BN34" s="68">
        <f>IF(BN$59="X","",IF(BN$59&lt;&gt;"",BN$59,IF(IFERROR(INDEX(醫師週班表!$C$5:$T$44,$CU34,BN$57),"")=0,"",IF(MID(IFERROR(INDEX(醫師週班表!$C$5:$T$44,$CU34,BN$57),""),2,1)="/",MID(IFERROR(INDEX(醫師週班表!$C$5:$T$44,$CU34,BN$57),""),1+BN$58*2,1),IF(MID(IFERROR(INDEX(醫師週班表!$C$5:$T$44,$CU34,BN$57),""),3,1)="隔",IF(BN$58=0,LEFT(IFERROR(INDEX(醫師週班表!$C$5:$T$44,$CU34,BN$57),""),1),""),IF(MID(IFERROR(INDEX(醫師週班表!$C$5:$T$44,$CU34,BN$57),""),2,1)="(",LEFT(IFERROR(INDEX(醫師週班表!$C$5:$T$44,$CU34,BN$57),""),1),IFERROR(INDEX(醫師週班表!$C$5:$T$44,$CU34,BN$57),"")))))))</f>
        <v/>
      </c>
      <c r="BO34" s="68">
        <f>IF(BO$59="X","",IF(BO$59&lt;&gt;"",BO$59,IF(IFERROR(INDEX(醫師週班表!$C$5:$T$44,$CU34,BO$57),"")=0,"",IF(MID(IFERROR(INDEX(醫師週班表!$C$5:$T$44,$CU34,BO$57),""),2,1)="/",MID(IFERROR(INDEX(醫師週班表!$C$5:$T$44,$CU34,BO$57),""),1+BO$58*2,1),IF(MID(IFERROR(INDEX(醫師週班表!$C$5:$T$44,$CU34,BO$57),""),3,1)="隔",IF(BO$58=0,LEFT(IFERROR(INDEX(醫師週班表!$C$5:$T$44,$CU34,BO$57),""),1),""),IF(MID(IFERROR(INDEX(醫師週班表!$C$5:$T$44,$CU34,BO$57),""),2,1)="(",LEFT(IFERROR(INDEX(醫師週班表!$C$5:$T$44,$CU34,BO$57),""),1),IFERROR(INDEX(醫師週班表!$C$5:$T$44,$CU34,BO$57),"")))))))</f>
        <v/>
      </c>
      <c r="BP34" s="67">
        <f>IF(BP$59="X","",IF(BP$59&lt;&gt;"",BP$59,IF(IFERROR(INDEX(醫師週班表!$C$5:$T$44,$CU34,BP$57),"")=0,"",IF(MID(IFERROR(INDEX(醫師週班表!$C$5:$T$44,$CU34,BP$57),""),2,1)="/",MID(IFERROR(INDEX(醫師週班表!$C$5:$T$44,$CU34,BP$57),""),1+BP$58*2,1),IF(MID(IFERROR(INDEX(醫師週班表!$C$5:$T$44,$CU34,BP$57),""),3,1)="隔",IF(BP$58=0,LEFT(IFERROR(INDEX(醫師週班表!$C$5:$T$44,$CU34,BP$57),""),1),""),IF(MID(IFERROR(INDEX(醫師週班表!$C$5:$T$44,$CU34,BP$57),""),2,1)="(",LEFT(IFERROR(INDEX(醫師週班表!$C$5:$T$44,$CU34,BP$57),""),1),IFERROR(INDEX(醫師週班表!$C$5:$T$44,$CU34,BP$57),"")))))))</f>
        <v/>
      </c>
      <c r="BQ34" s="68">
        <f>IF(BQ$59="X","",IF(BQ$59&lt;&gt;"",BQ$59,IF(IFERROR(INDEX(醫師週班表!$C$5:$T$44,$CU34,BQ$57),"")=0,"",IF(MID(IFERROR(INDEX(醫師週班表!$C$5:$T$44,$CU34,BQ$57),""),2,1)="/",MID(IFERROR(INDEX(醫師週班表!$C$5:$T$44,$CU34,BQ$57),""),1+BQ$58*2,1),IF(MID(IFERROR(INDEX(醫師週班表!$C$5:$T$44,$CU34,BQ$57),""),3,1)="隔",IF(BQ$58=0,LEFT(IFERROR(INDEX(醫師週班表!$C$5:$T$44,$CU34,BQ$57),""),1),""),IF(MID(IFERROR(INDEX(醫師週班表!$C$5:$T$44,$CU34,BQ$57),""),2,1)="(",LEFT(IFERROR(INDEX(醫師週班表!$C$5:$T$44,$CU34,BQ$57),""),1),IFERROR(INDEX(醫師週班表!$C$5:$T$44,$CU34,BQ$57),"")))))))</f>
        <v/>
      </c>
      <c r="BR34" s="68">
        <f>IF(BR$59="X","",IF(BR$59&lt;&gt;"",BR$59,IF(IFERROR(INDEX(醫師週班表!$C$5:$T$44,$CU34,BR$57),"")=0,"",IF(MID(IFERROR(INDEX(醫師週班表!$C$5:$T$44,$CU34,BR$57),""),2,1)="/",MID(IFERROR(INDEX(醫師週班表!$C$5:$T$44,$CU34,BR$57),""),1+BR$58*2,1),IF(MID(IFERROR(INDEX(醫師週班表!$C$5:$T$44,$CU34,BR$57),""),3,1)="隔",IF(BR$58=0,LEFT(IFERROR(INDEX(醫師週班表!$C$5:$T$44,$CU34,BR$57),""),1),""),IF(MID(IFERROR(INDEX(醫師週班表!$C$5:$T$44,$CU34,BR$57),""),2,1)="(",LEFT(IFERROR(INDEX(醫師週班表!$C$5:$T$44,$CU34,BR$57),""),1),IFERROR(INDEX(醫師週班表!$C$5:$T$44,$CU34,BR$57),"")))))))</f>
        <v/>
      </c>
      <c r="BS34" s="67">
        <f>IF(BS$59="X","",IF(BS$59&lt;&gt;"",BS$59,IF(IFERROR(INDEX(醫師週班表!$C$5:$T$44,$CU34,BS$57),"")=0,"",IF(MID(IFERROR(INDEX(醫師週班表!$C$5:$T$44,$CU34,BS$57),""),2,1)="/",MID(IFERROR(INDEX(醫師週班表!$C$5:$T$44,$CU34,BS$57),""),1+BS$58*2,1),IF(MID(IFERROR(INDEX(醫師週班表!$C$5:$T$44,$CU34,BS$57),""),3,1)="隔",IF(BS$58=0,LEFT(IFERROR(INDEX(醫師週班表!$C$5:$T$44,$CU34,BS$57),""),1),""),IF(MID(IFERROR(INDEX(醫師週班表!$C$5:$T$44,$CU34,BS$57),""),2,1)="(",LEFT(IFERROR(INDEX(醫師週班表!$C$5:$T$44,$CU34,BS$57),""),1),IFERROR(INDEX(醫師週班表!$C$5:$T$44,$CU34,BS$57),"")))))))</f>
        <v/>
      </c>
      <c r="BT34" s="68">
        <f>IF(BT$59="X","",IF(BT$59&lt;&gt;"",BT$59,IF(IFERROR(INDEX(醫師週班表!$C$5:$T$44,$CU34,BT$57),"")=0,"",IF(MID(IFERROR(INDEX(醫師週班表!$C$5:$T$44,$CU34,BT$57),""),2,1)="/",MID(IFERROR(INDEX(醫師週班表!$C$5:$T$44,$CU34,BT$57),""),1+BT$58*2,1),IF(MID(IFERROR(INDEX(醫師週班表!$C$5:$T$44,$CU34,BT$57),""),3,1)="隔",IF(BT$58=0,LEFT(IFERROR(INDEX(醫師週班表!$C$5:$T$44,$CU34,BT$57),""),1),""),IF(MID(IFERROR(INDEX(醫師週班表!$C$5:$T$44,$CU34,BT$57),""),2,1)="(",LEFT(IFERROR(INDEX(醫師週班表!$C$5:$T$44,$CU34,BT$57),""),1),IFERROR(INDEX(醫師週班表!$C$5:$T$44,$CU34,BT$57),"")))))))</f>
        <v/>
      </c>
      <c r="BU34" s="68">
        <f>IF(BU$59="X","",IF(BU$59&lt;&gt;"",BU$59,IF(IFERROR(INDEX(醫師週班表!$C$5:$T$44,$CU34,BU$57),"")=0,"",IF(MID(IFERROR(INDEX(醫師週班表!$C$5:$T$44,$CU34,BU$57),""),2,1)="/",MID(IFERROR(INDEX(醫師週班表!$C$5:$T$44,$CU34,BU$57),""),1+BU$58*2,1),IF(MID(IFERROR(INDEX(醫師週班表!$C$5:$T$44,$CU34,BU$57),""),3,1)="隔",IF(BU$58=0,LEFT(IFERROR(INDEX(醫師週班表!$C$5:$T$44,$CU34,BU$57),""),1),""),IF(MID(IFERROR(INDEX(醫師週班表!$C$5:$T$44,$CU34,BU$57),""),2,1)="(",LEFT(IFERROR(INDEX(醫師週班表!$C$5:$T$44,$CU34,BU$57),""),1),IFERROR(INDEX(醫師週班表!$C$5:$T$44,$CU34,BU$57),"")))))))</f>
        <v/>
      </c>
      <c r="BV34" s="67">
        <f>IF(BV$59="X","",IF(BV$59&lt;&gt;"",BV$59,IF(IFERROR(INDEX(醫師週班表!$C$5:$T$44,$CU34,BV$57),"")=0,"",IF(MID(IFERROR(INDEX(醫師週班表!$C$5:$T$44,$CU34,BV$57),""),2,1)="/",MID(IFERROR(INDEX(醫師週班表!$C$5:$T$44,$CU34,BV$57),""),1+BV$58*2,1),IF(MID(IFERROR(INDEX(醫師週班表!$C$5:$T$44,$CU34,BV$57),""),3,1)="隔",IF(BV$58=0,LEFT(IFERROR(INDEX(醫師週班表!$C$5:$T$44,$CU34,BV$57),""),1),""),IF(MID(IFERROR(INDEX(醫師週班表!$C$5:$T$44,$CU34,BV$57),""),2,1)="(",LEFT(IFERROR(INDEX(醫師週班表!$C$5:$T$44,$CU34,BV$57),""),1),IFERROR(INDEX(醫師週班表!$C$5:$T$44,$CU34,BV$57),"")))))))</f>
        <v/>
      </c>
      <c r="BW34" s="68">
        <f>IF(BW$59="X","",IF(BW$59&lt;&gt;"",BW$59,IF(IFERROR(INDEX(醫師週班表!$C$5:$T$44,$CU34,BW$57),"")=0,"",IF(MID(IFERROR(INDEX(醫師週班表!$C$5:$T$44,$CU34,BW$57),""),2,1)="/",MID(IFERROR(INDEX(醫師週班表!$C$5:$T$44,$CU34,BW$57),""),1+BW$58*2,1),IF(MID(IFERROR(INDEX(醫師週班表!$C$5:$T$44,$CU34,BW$57),""),3,1)="隔",IF(BW$58=0,LEFT(IFERROR(INDEX(醫師週班表!$C$5:$T$44,$CU34,BW$57),""),1),""),IF(MID(IFERROR(INDEX(醫師週班表!$C$5:$T$44,$CU34,BW$57),""),2,1)="(",LEFT(IFERROR(INDEX(醫師週班表!$C$5:$T$44,$CU34,BW$57),""),1),IFERROR(INDEX(醫師週班表!$C$5:$T$44,$CU34,BW$57),"")))))))</f>
        <v/>
      </c>
      <c r="BX34" s="68">
        <f>IF(BX$59="X","",IF(BX$59&lt;&gt;"",BX$59,IF(IFERROR(INDEX(醫師週班表!$C$5:$T$44,$CU34,BX$57),"")=0,"",IF(MID(IFERROR(INDEX(醫師週班表!$C$5:$T$44,$CU34,BX$57),""),2,1)="/",MID(IFERROR(INDEX(醫師週班表!$C$5:$T$44,$CU34,BX$57),""),1+BX$58*2,1),IF(MID(IFERROR(INDEX(醫師週班表!$C$5:$T$44,$CU34,BX$57),""),3,1)="隔",IF(BX$58=0,LEFT(IFERROR(INDEX(醫師週班表!$C$5:$T$44,$CU34,BX$57),""),1),""),IF(MID(IFERROR(INDEX(醫師週班表!$C$5:$T$44,$CU34,BX$57),""),2,1)="(",LEFT(IFERROR(INDEX(醫師週班表!$C$5:$T$44,$CU34,BX$57),""),1),IFERROR(INDEX(醫師週班表!$C$5:$T$44,$CU34,BX$57),"")))))))</f>
        <v/>
      </c>
      <c r="BY34" s="67">
        <f>IF(BY$59="X","",IF(BY$59&lt;&gt;"",BY$59,IF(IFERROR(INDEX(醫師週班表!$C$5:$T$44,$CU34,BY$57),"")=0,"",IF(MID(IFERROR(INDEX(醫師週班表!$C$5:$T$44,$CU34,BY$57),""),2,1)="/",MID(IFERROR(INDEX(醫師週班表!$C$5:$T$44,$CU34,BY$57),""),1+BY$58*2,1),IF(MID(IFERROR(INDEX(醫師週班表!$C$5:$T$44,$CU34,BY$57),""),3,1)="隔",IF(BY$58=0,LEFT(IFERROR(INDEX(醫師週班表!$C$5:$T$44,$CU34,BY$57),""),1),""),IF(MID(IFERROR(INDEX(醫師週班表!$C$5:$T$44,$CU34,BY$57),""),2,1)="(",LEFT(IFERROR(INDEX(醫師週班表!$C$5:$T$44,$CU34,BY$57),""),1),IFERROR(INDEX(醫師週班表!$C$5:$T$44,$CU34,BY$57),"")))))))</f>
        <v/>
      </c>
      <c r="BZ34" s="68">
        <f>IF(BZ$59="X","",IF(BZ$59&lt;&gt;"",BZ$59,IF(IFERROR(INDEX(醫師週班表!$C$5:$T$44,$CU34,BZ$57),"")=0,"",IF(MID(IFERROR(INDEX(醫師週班表!$C$5:$T$44,$CU34,BZ$57),""),2,1)="/",MID(IFERROR(INDEX(醫師週班表!$C$5:$T$44,$CU34,BZ$57),""),1+BZ$58*2,1),IF(MID(IFERROR(INDEX(醫師週班表!$C$5:$T$44,$CU34,BZ$57),""),3,1)="隔",IF(BZ$58=0,LEFT(IFERROR(INDEX(醫師週班表!$C$5:$T$44,$CU34,BZ$57),""),1),""),IF(MID(IFERROR(INDEX(醫師週班表!$C$5:$T$44,$CU34,BZ$57),""),2,1)="(",LEFT(IFERROR(INDEX(醫師週班表!$C$5:$T$44,$CU34,BZ$57),""),1),IFERROR(INDEX(醫師週班表!$C$5:$T$44,$CU34,BZ$57),"")))))))</f>
        <v/>
      </c>
      <c r="CA34" s="68">
        <f>IF(CA$59="X","",IF(CA$59&lt;&gt;"",CA$59,IF(IFERROR(INDEX(醫師週班表!$C$5:$T$44,$CU34,CA$57),"")=0,"",IF(MID(IFERROR(INDEX(醫師週班表!$C$5:$T$44,$CU34,CA$57),""),2,1)="/",MID(IFERROR(INDEX(醫師週班表!$C$5:$T$44,$CU34,CA$57),""),1+CA$58*2,1),IF(MID(IFERROR(INDEX(醫師週班表!$C$5:$T$44,$CU34,CA$57),""),3,1)="隔",IF(CA$58=0,LEFT(IFERROR(INDEX(醫師週班表!$C$5:$T$44,$CU34,CA$57),""),1),""),IF(MID(IFERROR(INDEX(醫師週班表!$C$5:$T$44,$CU34,CA$57),""),2,1)="(",LEFT(IFERROR(INDEX(醫師週班表!$C$5:$T$44,$CU34,CA$57),""),1),IFERROR(INDEX(醫師週班表!$C$5:$T$44,$CU34,CA$57),"")))))))</f>
        <v/>
      </c>
      <c r="CB34" s="67">
        <f>IF(CB$59="X","",IF(CB$59&lt;&gt;"",CB$59,IF(IFERROR(INDEX(醫師週班表!$C$5:$T$44,$CU34,CB$57),"")=0,"",IF(MID(IFERROR(INDEX(醫師週班表!$C$5:$T$44,$CU34,CB$57),""),2,1)="/",MID(IFERROR(INDEX(醫師週班表!$C$5:$T$44,$CU34,CB$57),""),1+CB$58*2,1),IF(MID(IFERROR(INDEX(醫師週班表!$C$5:$T$44,$CU34,CB$57),""),3,1)="隔",IF(CB$58=0,LEFT(IFERROR(INDEX(醫師週班表!$C$5:$T$44,$CU34,CB$57),""),1),""),IF(MID(IFERROR(INDEX(醫師週班表!$C$5:$T$44,$CU34,CB$57),""),2,1)="(",LEFT(IFERROR(INDEX(醫師週班表!$C$5:$T$44,$CU34,CB$57),""),1),IFERROR(INDEX(醫師週班表!$C$5:$T$44,$CU34,CB$57),"")))))))</f>
        <v/>
      </c>
      <c r="CC34" s="68">
        <f>IF(CC$59="X","",IF(CC$59&lt;&gt;"",CC$59,IF(IFERROR(INDEX(醫師週班表!$C$5:$T$44,$CU34,CC$57),"")=0,"",IF(MID(IFERROR(INDEX(醫師週班表!$C$5:$T$44,$CU34,CC$57),""),2,1)="/",MID(IFERROR(INDEX(醫師週班表!$C$5:$T$44,$CU34,CC$57),""),1+CC$58*2,1),IF(MID(IFERROR(INDEX(醫師週班表!$C$5:$T$44,$CU34,CC$57),""),3,1)="隔",IF(CC$58=0,LEFT(IFERROR(INDEX(醫師週班表!$C$5:$T$44,$CU34,CC$57),""),1),""),IF(MID(IFERROR(INDEX(醫師週班表!$C$5:$T$44,$CU34,CC$57),""),2,1)="(",LEFT(IFERROR(INDEX(醫師週班表!$C$5:$T$44,$CU34,CC$57),""),1),IFERROR(INDEX(醫師週班表!$C$5:$T$44,$CU34,CC$57),"")))))))</f>
        <v/>
      </c>
      <c r="CD34" s="68">
        <f>IF(CD$59="X","",IF(CD$59&lt;&gt;"",CD$59,IF(IFERROR(INDEX(醫師週班表!$C$5:$T$44,$CU34,CD$57),"")=0,"",IF(MID(IFERROR(INDEX(醫師週班表!$C$5:$T$44,$CU34,CD$57),""),2,1)="/",MID(IFERROR(INDEX(醫師週班表!$C$5:$T$44,$CU34,CD$57),""),1+CD$58*2,1),IF(MID(IFERROR(INDEX(醫師週班表!$C$5:$T$44,$CU34,CD$57),""),3,1)="隔",IF(CD$58=0,LEFT(IFERROR(INDEX(醫師週班表!$C$5:$T$44,$CU34,CD$57),""),1),""),IF(MID(IFERROR(INDEX(醫師週班表!$C$5:$T$44,$CU34,CD$57),""),2,1)="(",LEFT(IFERROR(INDEX(醫師週班表!$C$5:$T$44,$CU34,CD$57),""),1),IFERROR(INDEX(醫師週班表!$C$5:$T$44,$CU34,CD$57),"")))))))</f>
        <v/>
      </c>
      <c r="CE34" s="67">
        <f>IF(CE$59="X","",IF(CE$59&lt;&gt;"",CE$59,IF(IFERROR(INDEX(醫師週班表!$C$5:$T$44,$CU34,CE$57),"")=0,"",IF(MID(IFERROR(INDEX(醫師週班表!$C$5:$T$44,$CU34,CE$57),""),2,1)="/",MID(IFERROR(INDEX(醫師週班表!$C$5:$T$44,$CU34,CE$57),""),1+CE$58*2,1),IF(MID(IFERROR(INDEX(醫師週班表!$C$5:$T$44,$CU34,CE$57),""),3,1)="隔",IF(CE$58=0,LEFT(IFERROR(INDEX(醫師週班表!$C$5:$T$44,$CU34,CE$57),""),1),""),IF(MID(IFERROR(INDEX(醫師週班表!$C$5:$T$44,$CU34,CE$57),""),2,1)="(",LEFT(IFERROR(INDEX(醫師週班表!$C$5:$T$44,$CU34,CE$57),""),1),IFERROR(INDEX(醫師週班表!$C$5:$T$44,$CU34,CE$57),"")))))))</f>
        <v/>
      </c>
      <c r="CF34" s="68">
        <f>IF(CF$59="X","",IF(CF$59&lt;&gt;"",CF$59,IF(IFERROR(INDEX(醫師週班表!$C$5:$T$44,$CU34,CF$57),"")=0,"",IF(MID(IFERROR(INDEX(醫師週班表!$C$5:$T$44,$CU34,CF$57),""),2,1)="/",MID(IFERROR(INDEX(醫師週班表!$C$5:$T$44,$CU34,CF$57),""),1+CF$58*2,1),IF(MID(IFERROR(INDEX(醫師週班表!$C$5:$T$44,$CU34,CF$57),""),3,1)="隔",IF(CF$58=0,LEFT(IFERROR(INDEX(醫師週班表!$C$5:$T$44,$CU34,CF$57),""),1),""),IF(MID(IFERROR(INDEX(醫師週班表!$C$5:$T$44,$CU34,CF$57),""),2,1)="(",LEFT(IFERROR(INDEX(醫師週班表!$C$5:$T$44,$CU34,CF$57),""),1),IFERROR(INDEX(醫師週班表!$C$5:$T$44,$CU34,CF$57),"")))))))</f>
        <v/>
      </c>
      <c r="CG34" s="68">
        <f>IF(CG$59="X","",IF(CG$59&lt;&gt;"",CG$59,IF(IFERROR(INDEX(醫師週班表!$C$5:$T$44,$CU34,CG$57),"")=0,"",IF(MID(IFERROR(INDEX(醫師週班表!$C$5:$T$44,$CU34,CG$57),""),2,1)="/",MID(IFERROR(INDEX(醫師週班表!$C$5:$T$44,$CU34,CG$57),""),1+CG$58*2,1),IF(MID(IFERROR(INDEX(醫師週班表!$C$5:$T$44,$CU34,CG$57),""),3,1)="隔",IF(CG$58=0,LEFT(IFERROR(INDEX(醫師週班表!$C$5:$T$44,$CU34,CG$57),""),1),""),IF(MID(IFERROR(INDEX(醫師週班表!$C$5:$T$44,$CU34,CG$57),""),2,1)="(",LEFT(IFERROR(INDEX(醫師週班表!$C$5:$T$44,$CU34,CG$57),""),1),IFERROR(INDEX(醫師週班表!$C$5:$T$44,$CU34,CG$57),"")))))))</f>
        <v/>
      </c>
      <c r="CH34" s="67">
        <f>IF(CH$59="X","",IF(CH$59&lt;&gt;"",CH$59,IF(IFERROR(INDEX(醫師週班表!$C$5:$T$44,$CU34,CH$57),"")=0,"",IF(MID(IFERROR(INDEX(醫師週班表!$C$5:$T$44,$CU34,CH$57),""),2,1)="/",MID(IFERROR(INDEX(醫師週班表!$C$5:$T$44,$CU34,CH$57),""),1+CH$58*2,1),IF(MID(IFERROR(INDEX(醫師週班表!$C$5:$T$44,$CU34,CH$57),""),3,1)="隔",IF(CH$58=0,LEFT(IFERROR(INDEX(醫師週班表!$C$5:$T$44,$CU34,CH$57),""),1),""),IF(MID(IFERROR(INDEX(醫師週班表!$C$5:$T$44,$CU34,CH$57),""),2,1)="(",LEFT(IFERROR(INDEX(醫師週班表!$C$5:$T$44,$CU34,CH$57),""),1),IFERROR(INDEX(醫師週班表!$C$5:$T$44,$CU34,CH$57),"")))))))</f>
        <v/>
      </c>
      <c r="CI34" s="68">
        <f>IF(CI$59="X","",IF(CI$59&lt;&gt;"",CI$59,IF(IFERROR(INDEX(醫師週班表!$C$5:$T$44,$CU34,CI$57),"")=0,"",IF(MID(IFERROR(INDEX(醫師週班表!$C$5:$T$44,$CU34,CI$57),""),2,1)="/",MID(IFERROR(INDEX(醫師週班表!$C$5:$T$44,$CU34,CI$57),""),1+CI$58*2,1),IF(MID(IFERROR(INDEX(醫師週班表!$C$5:$T$44,$CU34,CI$57),""),3,1)="隔",IF(CI$58=0,LEFT(IFERROR(INDEX(醫師週班表!$C$5:$T$44,$CU34,CI$57),""),1),""),IF(MID(IFERROR(INDEX(醫師週班表!$C$5:$T$44,$CU34,CI$57),""),2,1)="(",LEFT(IFERROR(INDEX(醫師週班表!$C$5:$T$44,$CU34,CI$57),""),1),IFERROR(INDEX(醫師週班表!$C$5:$T$44,$CU34,CI$57),"")))))))</f>
        <v/>
      </c>
      <c r="CJ34" s="68">
        <f>IF(CJ$59="X","",IF(CJ$59&lt;&gt;"",CJ$59,IF(IFERROR(INDEX(醫師週班表!$C$5:$T$44,$CU34,CJ$57),"")=0,"",IF(MID(IFERROR(INDEX(醫師週班表!$C$5:$T$44,$CU34,CJ$57),""),2,1)="/",MID(IFERROR(INDEX(醫師週班表!$C$5:$T$44,$CU34,CJ$57),""),1+CJ$58*2,1),IF(MID(IFERROR(INDEX(醫師週班表!$C$5:$T$44,$CU34,CJ$57),""),3,1)="隔",IF(CJ$58=0,LEFT(IFERROR(INDEX(醫師週班表!$C$5:$T$44,$CU34,CJ$57),""),1),""),IF(MID(IFERROR(INDEX(醫師週班表!$C$5:$T$44,$CU34,CJ$57),""),2,1)="(",LEFT(IFERROR(INDEX(醫師週班表!$C$5:$T$44,$CU34,CJ$57),""),1),IFERROR(INDEX(醫師週班表!$C$5:$T$44,$CU34,CJ$57),"")))))))</f>
        <v/>
      </c>
      <c r="CK34" s="67">
        <f>IF(CK$59="X","",IF(CK$59&lt;&gt;"",CK$59,IF(IFERROR(INDEX(醫師週班表!$C$5:$T$44,$CU34,CK$57),"")=0,"",IF(MID(IFERROR(INDEX(醫師週班表!$C$5:$T$44,$CU34,CK$57),""),2,1)="/",MID(IFERROR(INDEX(醫師週班表!$C$5:$T$44,$CU34,CK$57),""),1+CK$58*2,1),IF(MID(IFERROR(INDEX(醫師週班表!$C$5:$T$44,$CU34,CK$57),""),3,1)="隔",IF(CK$58=0,LEFT(IFERROR(INDEX(醫師週班表!$C$5:$T$44,$CU34,CK$57),""),1),""),IF(MID(IFERROR(INDEX(醫師週班表!$C$5:$T$44,$CU34,CK$57),""),2,1)="(",LEFT(IFERROR(INDEX(醫師週班表!$C$5:$T$44,$CU34,CK$57),""),1),IFERROR(INDEX(醫師週班表!$C$5:$T$44,$CU34,CK$57),"")))))))</f>
        <v/>
      </c>
      <c r="CL34" s="68">
        <f>IF(CL$59="X","",IF(CL$59&lt;&gt;"",CL$59,IF(IFERROR(INDEX(醫師週班表!$C$5:$T$44,$CU34,CL$57),"")=0,"",IF(MID(IFERROR(INDEX(醫師週班表!$C$5:$T$44,$CU34,CL$57),""),2,1)="/",MID(IFERROR(INDEX(醫師週班表!$C$5:$T$44,$CU34,CL$57),""),1+CL$58*2,1),IF(MID(IFERROR(INDEX(醫師週班表!$C$5:$T$44,$CU34,CL$57),""),3,1)="隔",IF(CL$58=0,LEFT(IFERROR(INDEX(醫師週班表!$C$5:$T$44,$CU34,CL$57),""),1),""),IF(MID(IFERROR(INDEX(醫師週班表!$C$5:$T$44,$CU34,CL$57),""),2,1)="(",LEFT(IFERROR(INDEX(醫師週班表!$C$5:$T$44,$CU34,CL$57),""),1),IFERROR(INDEX(醫師週班表!$C$5:$T$44,$CU34,CL$57),"")))))))</f>
        <v/>
      </c>
      <c r="CM34" s="68">
        <f>IF(CM$59="X","",IF(CM$59&lt;&gt;"",CM$59,IF(IFERROR(INDEX(醫師週班表!$C$5:$T$44,$CU34,CM$57),"")=0,"",IF(MID(IFERROR(INDEX(醫師週班表!$C$5:$T$44,$CU34,CM$57),""),2,1)="/",MID(IFERROR(INDEX(醫師週班表!$C$5:$T$44,$CU34,CM$57),""),1+CM$58*2,1),IF(MID(IFERROR(INDEX(醫師週班表!$C$5:$T$44,$CU34,CM$57),""),3,1)="隔",IF(CM$58=0,LEFT(IFERROR(INDEX(醫師週班表!$C$5:$T$44,$CU34,CM$57),""),1),""),IF(MID(IFERROR(INDEX(醫師週班表!$C$5:$T$44,$CU34,CM$57),""),2,1)="(",LEFT(IFERROR(INDEX(醫師週班表!$C$5:$T$44,$CU34,CM$57),""),1),IFERROR(INDEX(醫師週班表!$C$5:$T$44,$CU34,CM$57),"")))))))</f>
        <v/>
      </c>
      <c r="CN34" s="67">
        <f>IF(CN$59="X","",IF(CN$59&lt;&gt;"",CN$59,IF(IFERROR(INDEX(醫師週班表!$C$5:$T$44,$CU34,CN$57),"")=0,"",IF(MID(IFERROR(INDEX(醫師週班表!$C$5:$T$44,$CU34,CN$57),""),2,1)="/",MID(IFERROR(INDEX(醫師週班表!$C$5:$T$44,$CU34,CN$57),""),1+CN$58*2,1),IF(MID(IFERROR(INDEX(醫師週班表!$C$5:$T$44,$CU34,CN$57),""),3,1)="隔",IF(CN$58=0,LEFT(IFERROR(INDEX(醫師週班表!$C$5:$T$44,$CU34,CN$57),""),1),""),IF(MID(IFERROR(INDEX(醫師週班表!$C$5:$T$44,$CU34,CN$57),""),2,1)="(",LEFT(IFERROR(INDEX(醫師週班表!$C$5:$T$44,$CU34,CN$57),""),1),IFERROR(INDEX(醫師週班表!$C$5:$T$44,$CU34,CN$57),"")))))))</f>
        <v/>
      </c>
      <c r="CO34" s="68">
        <f>IF(CO$59="X","",IF(CO$59&lt;&gt;"",CO$59,IF(IFERROR(INDEX(醫師週班表!$C$5:$T$44,$CU34,CO$57),"")=0,"",IF(MID(IFERROR(INDEX(醫師週班表!$C$5:$T$44,$CU34,CO$57),""),2,1)="/",MID(IFERROR(INDEX(醫師週班表!$C$5:$T$44,$CU34,CO$57),""),1+CO$58*2,1),IF(MID(IFERROR(INDEX(醫師週班表!$C$5:$T$44,$CU34,CO$57),""),3,1)="隔",IF(CO$58=0,LEFT(IFERROR(INDEX(醫師週班表!$C$5:$T$44,$CU34,CO$57),""),1),""),IF(MID(IFERROR(INDEX(醫師週班表!$C$5:$T$44,$CU34,CO$57),""),2,1)="(",LEFT(IFERROR(INDEX(醫師週班表!$C$5:$T$44,$CU34,CO$57),""),1),IFERROR(INDEX(醫師週班表!$C$5:$T$44,$CU34,CO$57),"")))))))</f>
        <v/>
      </c>
      <c r="CP34" s="68">
        <f>IF(CP$59="X","",IF(CP$59&lt;&gt;"",CP$59,IF(IFERROR(INDEX(醫師週班表!$C$5:$T$44,$CU34,CP$57),"")=0,"",IF(MID(IFERROR(INDEX(醫師週班表!$C$5:$T$44,$CU34,CP$57),""),2,1)="/",MID(IFERROR(INDEX(醫師週班表!$C$5:$T$44,$CU34,CP$57),""),1+CP$58*2,1),IF(MID(IFERROR(INDEX(醫師週班表!$C$5:$T$44,$CU34,CP$57),""),3,1)="隔",IF(CP$58=0,LEFT(IFERROR(INDEX(醫師週班表!$C$5:$T$44,$CU34,CP$57),""),1),""),IF(MID(IFERROR(INDEX(醫師週班表!$C$5:$T$44,$CU34,CP$57),""),2,1)="(",LEFT(IFERROR(INDEX(醫師週班表!$C$5:$T$44,$CU34,CP$57),""),1),IFERROR(INDEX(醫師週班表!$C$5:$T$44,$CU34,CP$57),"")))))))</f>
        <v/>
      </c>
      <c r="CQ34" s="67">
        <f>IF(CQ$59="X","",IF(CQ$59&lt;&gt;"",CQ$59,IF(IFERROR(INDEX(醫師週班表!$C$5:$T$44,$CU34,CQ$57),"")=0,"",IF(MID(IFERROR(INDEX(醫師週班表!$C$5:$T$44,$CU34,CQ$57),""),2,1)="/",MID(IFERROR(INDEX(醫師週班表!$C$5:$T$44,$CU34,CQ$57),""),1+CQ$58*2,1),IF(MID(IFERROR(INDEX(醫師週班表!$C$5:$T$44,$CU34,CQ$57),""),3,1)="隔",IF(CQ$58=0,LEFT(IFERROR(INDEX(醫師週班表!$C$5:$T$44,$CU34,CQ$57),""),1),""),IF(MID(IFERROR(INDEX(醫師週班表!$C$5:$T$44,$CU34,CQ$57),""),2,1)="(",LEFT(IFERROR(INDEX(醫師週班表!$C$5:$T$44,$CU34,CQ$57),""),1),IFERROR(INDEX(醫師週班表!$C$5:$T$44,$CU34,CQ$57),"")))))))</f>
        <v/>
      </c>
      <c r="CR34" s="68">
        <f>IF(CR$59="X","",IF(CR$59&lt;&gt;"",CR$59,IF(IFERROR(INDEX(醫師週班表!$C$5:$T$44,$CU34,CR$57),"")=0,"",IF(MID(IFERROR(INDEX(醫師週班表!$C$5:$T$44,$CU34,CR$57),""),2,1)="/",MID(IFERROR(INDEX(醫師週班表!$C$5:$T$44,$CU34,CR$57),""),1+CR$58*2,1),IF(MID(IFERROR(INDEX(醫師週班表!$C$5:$T$44,$CU34,CR$57),""),3,1)="隔",IF(CR$58=0,LEFT(IFERROR(INDEX(醫師週班表!$C$5:$T$44,$CU34,CR$57),""),1),""),IF(MID(IFERROR(INDEX(醫師週班表!$C$5:$T$44,$CU34,CR$57),""),2,1)="(",LEFT(IFERROR(INDEX(醫師週班表!$C$5:$T$44,$CU34,CR$57),""),1),IFERROR(INDEX(醫師週班表!$C$5:$T$44,$CU34,CR$57),"")))))))</f>
        <v/>
      </c>
      <c r="CS34" s="68">
        <f>IF(CS$59="X","",IF(CS$59&lt;&gt;"",CS$59,IF(IFERROR(INDEX(醫師週班表!$C$5:$T$44,$CU34,CS$57),"")=0,"",IF(MID(IFERROR(INDEX(醫師週班表!$C$5:$T$44,$CU34,CS$57),""),2,1)="/",MID(IFERROR(INDEX(醫師週班表!$C$5:$T$44,$CU34,CS$57),""),1+CS$58*2,1),IF(MID(IFERROR(INDEX(醫師週班表!$C$5:$T$44,$CU34,CS$57),""),3,1)="隔",IF(CS$58=0,LEFT(IFERROR(INDEX(醫師週班表!$C$5:$T$44,$CU34,CS$57),""),1),""),IF(MID(IFERROR(INDEX(醫師週班表!$C$5:$T$44,$CU34,CS$57),""),2,1)="(",LEFT(IFERROR(INDEX(醫師週班表!$C$5:$T$44,$CU34,CS$57),""),1),IFERROR(INDEX(醫師週班表!$C$5:$T$44,$CU34,CS$57),"")))))))</f>
        <v/>
      </c>
      <c r="CU34" s="69">
        <f>IFERROR(MATCH($A34,醫師週班表!$A$5:$A$44,0),0)</f>
        <v/>
      </c>
    </row>
    <row r="35" ht="17" customHeight="1">
      <c r="A35" s="20" t="n"/>
      <c r="B35" s="16">
        <f>IFERROR(INDEX(設定!$C$62:$C$201,MATCH($A35,設定!$B$62:$B$201,0)),"")</f>
        <v/>
      </c>
      <c r="C35" s="66">
        <f>IFERROR(INDEX(設定!$E$62:$E$201,MATCH($A35,設定!$B$62:$B$201,0)),"")</f>
        <v/>
      </c>
      <c r="D35" s="16">
        <f>IFERROR(INDEX(設定!$F$62:$F$201,MATCH($A35,設定!$B$62:$B$201,0)),"")</f>
        <v/>
      </c>
      <c r="E35" s="67">
        <f>IF(E$59="X","",IF(E$59&lt;&gt;"",E$59,IF(IFERROR(INDEX(醫師週班表!$C$5:$T$44,$CU35,E$57),"")=0,"",IF(MID(IFERROR(INDEX(醫師週班表!$C$5:$T$44,$CU35,E$57),""),2,1)="/",MID(IFERROR(INDEX(醫師週班表!$C$5:$T$44,$CU35,E$57),""),1+E$58*2,1),IF(MID(IFERROR(INDEX(醫師週班表!$C$5:$T$44,$CU35,E$57),""),3,1)="隔",IF(E$58=0,LEFT(IFERROR(INDEX(醫師週班表!$C$5:$T$44,$CU35,E$57),""),1),""),IF(MID(IFERROR(INDEX(醫師週班表!$C$5:$T$44,$CU35,E$57),""),2,1)="(",LEFT(IFERROR(INDEX(醫師週班表!$C$5:$T$44,$CU35,E$57),""),1),IFERROR(INDEX(醫師週班表!$C$5:$T$44,$CU35,E$57),"")))))))</f>
        <v/>
      </c>
      <c r="F35" s="68">
        <f>IF(F$59="X","",IF(F$59&lt;&gt;"",F$59,IF(IFERROR(INDEX(醫師週班表!$C$5:$T$44,$CU35,F$57),"")=0,"",IF(MID(IFERROR(INDEX(醫師週班表!$C$5:$T$44,$CU35,F$57),""),2,1)="/",MID(IFERROR(INDEX(醫師週班表!$C$5:$T$44,$CU35,F$57),""),1+F$58*2,1),IF(MID(IFERROR(INDEX(醫師週班表!$C$5:$T$44,$CU35,F$57),""),3,1)="隔",IF(F$58=0,LEFT(IFERROR(INDEX(醫師週班表!$C$5:$T$44,$CU35,F$57),""),1),""),IF(MID(IFERROR(INDEX(醫師週班表!$C$5:$T$44,$CU35,F$57),""),2,1)="(",LEFT(IFERROR(INDEX(醫師週班表!$C$5:$T$44,$CU35,F$57),""),1),IFERROR(INDEX(醫師週班表!$C$5:$T$44,$CU35,F$57),"")))))))</f>
        <v/>
      </c>
      <c r="G35" s="68">
        <f>IF(G$59="X","",IF(G$59&lt;&gt;"",G$59,IF(IFERROR(INDEX(醫師週班表!$C$5:$T$44,$CU35,G$57),"")=0,"",IF(MID(IFERROR(INDEX(醫師週班表!$C$5:$T$44,$CU35,G$57),""),2,1)="/",MID(IFERROR(INDEX(醫師週班表!$C$5:$T$44,$CU35,G$57),""),1+G$58*2,1),IF(MID(IFERROR(INDEX(醫師週班表!$C$5:$T$44,$CU35,G$57),""),3,1)="隔",IF(G$58=0,LEFT(IFERROR(INDEX(醫師週班表!$C$5:$T$44,$CU35,G$57),""),1),""),IF(MID(IFERROR(INDEX(醫師週班表!$C$5:$T$44,$CU35,G$57),""),2,1)="(",LEFT(IFERROR(INDEX(醫師週班表!$C$5:$T$44,$CU35,G$57),""),1),IFERROR(INDEX(醫師週班表!$C$5:$T$44,$CU35,G$57),"")))))))</f>
        <v/>
      </c>
      <c r="H35" s="67">
        <f>IF(H$59="X","",IF(H$59&lt;&gt;"",H$59,IF(IFERROR(INDEX(醫師週班表!$C$5:$T$44,$CU35,H$57),"")=0,"",IF(MID(IFERROR(INDEX(醫師週班表!$C$5:$T$44,$CU35,H$57),""),2,1)="/",MID(IFERROR(INDEX(醫師週班表!$C$5:$T$44,$CU35,H$57),""),1+H$58*2,1),IF(MID(IFERROR(INDEX(醫師週班表!$C$5:$T$44,$CU35,H$57),""),3,1)="隔",IF(H$58=0,LEFT(IFERROR(INDEX(醫師週班表!$C$5:$T$44,$CU35,H$57),""),1),""),IF(MID(IFERROR(INDEX(醫師週班表!$C$5:$T$44,$CU35,H$57),""),2,1)="(",LEFT(IFERROR(INDEX(醫師週班表!$C$5:$T$44,$CU35,H$57),""),1),IFERROR(INDEX(醫師週班表!$C$5:$T$44,$CU35,H$57),"")))))))</f>
        <v/>
      </c>
      <c r="I35" s="68">
        <f>IF(I$59="X","",IF(I$59&lt;&gt;"",I$59,IF(IFERROR(INDEX(醫師週班表!$C$5:$T$44,$CU35,I$57),"")=0,"",IF(MID(IFERROR(INDEX(醫師週班表!$C$5:$T$44,$CU35,I$57),""),2,1)="/",MID(IFERROR(INDEX(醫師週班表!$C$5:$T$44,$CU35,I$57),""),1+I$58*2,1),IF(MID(IFERROR(INDEX(醫師週班表!$C$5:$T$44,$CU35,I$57),""),3,1)="隔",IF(I$58=0,LEFT(IFERROR(INDEX(醫師週班表!$C$5:$T$44,$CU35,I$57),""),1),""),IF(MID(IFERROR(INDEX(醫師週班表!$C$5:$T$44,$CU35,I$57),""),2,1)="(",LEFT(IFERROR(INDEX(醫師週班表!$C$5:$T$44,$CU35,I$57),""),1),IFERROR(INDEX(醫師週班表!$C$5:$T$44,$CU35,I$57),"")))))))</f>
        <v/>
      </c>
      <c r="J35" s="68">
        <f>IF(J$59="X","",IF(J$59&lt;&gt;"",J$59,IF(IFERROR(INDEX(醫師週班表!$C$5:$T$44,$CU35,J$57),"")=0,"",IF(MID(IFERROR(INDEX(醫師週班表!$C$5:$T$44,$CU35,J$57),""),2,1)="/",MID(IFERROR(INDEX(醫師週班表!$C$5:$T$44,$CU35,J$57),""),1+J$58*2,1),IF(MID(IFERROR(INDEX(醫師週班表!$C$5:$T$44,$CU35,J$57),""),3,1)="隔",IF(J$58=0,LEFT(IFERROR(INDEX(醫師週班表!$C$5:$T$44,$CU35,J$57),""),1),""),IF(MID(IFERROR(INDEX(醫師週班表!$C$5:$T$44,$CU35,J$57),""),2,1)="(",LEFT(IFERROR(INDEX(醫師週班表!$C$5:$T$44,$CU35,J$57),""),1),IFERROR(INDEX(醫師週班表!$C$5:$T$44,$CU35,J$57),"")))))))</f>
        <v/>
      </c>
      <c r="K35" s="67">
        <f>IF(K$59="X","",IF(K$59&lt;&gt;"",K$59,IF(IFERROR(INDEX(醫師週班表!$C$5:$T$44,$CU35,K$57),"")=0,"",IF(MID(IFERROR(INDEX(醫師週班表!$C$5:$T$44,$CU35,K$57),""),2,1)="/",MID(IFERROR(INDEX(醫師週班表!$C$5:$T$44,$CU35,K$57),""),1+K$58*2,1),IF(MID(IFERROR(INDEX(醫師週班表!$C$5:$T$44,$CU35,K$57),""),3,1)="隔",IF(K$58=0,LEFT(IFERROR(INDEX(醫師週班表!$C$5:$T$44,$CU35,K$57),""),1),""),IF(MID(IFERROR(INDEX(醫師週班表!$C$5:$T$44,$CU35,K$57),""),2,1)="(",LEFT(IFERROR(INDEX(醫師週班表!$C$5:$T$44,$CU35,K$57),""),1),IFERROR(INDEX(醫師週班表!$C$5:$T$44,$CU35,K$57),"")))))))</f>
        <v/>
      </c>
      <c r="L35" s="68">
        <f>IF(L$59="X","",IF(L$59&lt;&gt;"",L$59,IF(IFERROR(INDEX(醫師週班表!$C$5:$T$44,$CU35,L$57),"")=0,"",IF(MID(IFERROR(INDEX(醫師週班表!$C$5:$T$44,$CU35,L$57),""),2,1)="/",MID(IFERROR(INDEX(醫師週班表!$C$5:$T$44,$CU35,L$57),""),1+L$58*2,1),IF(MID(IFERROR(INDEX(醫師週班表!$C$5:$T$44,$CU35,L$57),""),3,1)="隔",IF(L$58=0,LEFT(IFERROR(INDEX(醫師週班表!$C$5:$T$44,$CU35,L$57),""),1),""),IF(MID(IFERROR(INDEX(醫師週班表!$C$5:$T$44,$CU35,L$57),""),2,1)="(",LEFT(IFERROR(INDEX(醫師週班表!$C$5:$T$44,$CU35,L$57),""),1),IFERROR(INDEX(醫師週班表!$C$5:$T$44,$CU35,L$57),"")))))))</f>
        <v/>
      </c>
      <c r="M35" s="68">
        <f>IF(M$59="X","",IF(M$59&lt;&gt;"",M$59,IF(IFERROR(INDEX(醫師週班表!$C$5:$T$44,$CU35,M$57),"")=0,"",IF(MID(IFERROR(INDEX(醫師週班表!$C$5:$T$44,$CU35,M$57),""),2,1)="/",MID(IFERROR(INDEX(醫師週班表!$C$5:$T$44,$CU35,M$57),""),1+M$58*2,1),IF(MID(IFERROR(INDEX(醫師週班表!$C$5:$T$44,$CU35,M$57),""),3,1)="隔",IF(M$58=0,LEFT(IFERROR(INDEX(醫師週班表!$C$5:$T$44,$CU35,M$57),""),1),""),IF(MID(IFERROR(INDEX(醫師週班表!$C$5:$T$44,$CU35,M$57),""),2,1)="(",LEFT(IFERROR(INDEX(醫師週班表!$C$5:$T$44,$CU35,M$57),""),1),IFERROR(INDEX(醫師週班表!$C$5:$T$44,$CU35,M$57),"")))))))</f>
        <v/>
      </c>
      <c r="N35" s="67">
        <f>IF(N$59="X","",IF(N$59&lt;&gt;"",N$59,IF(IFERROR(INDEX(醫師週班表!$C$5:$T$44,$CU35,N$57),"")=0,"",IF(MID(IFERROR(INDEX(醫師週班表!$C$5:$T$44,$CU35,N$57),""),2,1)="/",MID(IFERROR(INDEX(醫師週班表!$C$5:$T$44,$CU35,N$57),""),1+N$58*2,1),IF(MID(IFERROR(INDEX(醫師週班表!$C$5:$T$44,$CU35,N$57),""),3,1)="隔",IF(N$58=0,LEFT(IFERROR(INDEX(醫師週班表!$C$5:$T$44,$CU35,N$57),""),1),""),IF(MID(IFERROR(INDEX(醫師週班表!$C$5:$T$44,$CU35,N$57),""),2,1)="(",LEFT(IFERROR(INDEX(醫師週班表!$C$5:$T$44,$CU35,N$57),""),1),IFERROR(INDEX(醫師週班表!$C$5:$T$44,$CU35,N$57),"")))))))</f>
        <v/>
      </c>
      <c r="O35" s="68">
        <f>IF(O$59="X","",IF(O$59&lt;&gt;"",O$59,IF(IFERROR(INDEX(醫師週班表!$C$5:$T$44,$CU35,O$57),"")=0,"",IF(MID(IFERROR(INDEX(醫師週班表!$C$5:$T$44,$CU35,O$57),""),2,1)="/",MID(IFERROR(INDEX(醫師週班表!$C$5:$T$44,$CU35,O$57),""),1+O$58*2,1),IF(MID(IFERROR(INDEX(醫師週班表!$C$5:$T$44,$CU35,O$57),""),3,1)="隔",IF(O$58=0,LEFT(IFERROR(INDEX(醫師週班表!$C$5:$T$44,$CU35,O$57),""),1),""),IF(MID(IFERROR(INDEX(醫師週班表!$C$5:$T$44,$CU35,O$57),""),2,1)="(",LEFT(IFERROR(INDEX(醫師週班表!$C$5:$T$44,$CU35,O$57),""),1),IFERROR(INDEX(醫師週班表!$C$5:$T$44,$CU35,O$57),"")))))))</f>
        <v/>
      </c>
      <c r="P35" s="68">
        <f>IF(P$59="X","",IF(P$59&lt;&gt;"",P$59,IF(IFERROR(INDEX(醫師週班表!$C$5:$T$44,$CU35,P$57),"")=0,"",IF(MID(IFERROR(INDEX(醫師週班表!$C$5:$T$44,$CU35,P$57),""),2,1)="/",MID(IFERROR(INDEX(醫師週班表!$C$5:$T$44,$CU35,P$57),""),1+P$58*2,1),IF(MID(IFERROR(INDEX(醫師週班表!$C$5:$T$44,$CU35,P$57),""),3,1)="隔",IF(P$58=0,LEFT(IFERROR(INDEX(醫師週班表!$C$5:$T$44,$CU35,P$57),""),1),""),IF(MID(IFERROR(INDEX(醫師週班表!$C$5:$T$44,$CU35,P$57),""),2,1)="(",LEFT(IFERROR(INDEX(醫師週班表!$C$5:$T$44,$CU35,P$57),""),1),IFERROR(INDEX(醫師週班表!$C$5:$T$44,$CU35,P$57),"")))))))</f>
        <v/>
      </c>
      <c r="Q35" s="67">
        <f>IF(Q$59="X","",IF(Q$59&lt;&gt;"",Q$59,IF(IFERROR(INDEX(醫師週班表!$C$5:$T$44,$CU35,Q$57),"")=0,"",IF(MID(IFERROR(INDEX(醫師週班表!$C$5:$T$44,$CU35,Q$57),""),2,1)="/",MID(IFERROR(INDEX(醫師週班表!$C$5:$T$44,$CU35,Q$57),""),1+Q$58*2,1),IF(MID(IFERROR(INDEX(醫師週班表!$C$5:$T$44,$CU35,Q$57),""),3,1)="隔",IF(Q$58=0,LEFT(IFERROR(INDEX(醫師週班表!$C$5:$T$44,$CU35,Q$57),""),1),""),IF(MID(IFERROR(INDEX(醫師週班表!$C$5:$T$44,$CU35,Q$57),""),2,1)="(",LEFT(IFERROR(INDEX(醫師週班表!$C$5:$T$44,$CU35,Q$57),""),1),IFERROR(INDEX(醫師週班表!$C$5:$T$44,$CU35,Q$57),"")))))))</f>
        <v/>
      </c>
      <c r="R35" s="68">
        <f>IF(R$59="X","",IF(R$59&lt;&gt;"",R$59,IF(IFERROR(INDEX(醫師週班表!$C$5:$T$44,$CU35,R$57),"")=0,"",IF(MID(IFERROR(INDEX(醫師週班表!$C$5:$T$44,$CU35,R$57),""),2,1)="/",MID(IFERROR(INDEX(醫師週班表!$C$5:$T$44,$CU35,R$57),""),1+R$58*2,1),IF(MID(IFERROR(INDEX(醫師週班表!$C$5:$T$44,$CU35,R$57),""),3,1)="隔",IF(R$58=0,LEFT(IFERROR(INDEX(醫師週班表!$C$5:$T$44,$CU35,R$57),""),1),""),IF(MID(IFERROR(INDEX(醫師週班表!$C$5:$T$44,$CU35,R$57),""),2,1)="(",LEFT(IFERROR(INDEX(醫師週班表!$C$5:$T$44,$CU35,R$57),""),1),IFERROR(INDEX(醫師週班表!$C$5:$T$44,$CU35,R$57),"")))))))</f>
        <v/>
      </c>
      <c r="S35" s="68">
        <f>IF(S$59="X","",IF(S$59&lt;&gt;"",S$59,IF(IFERROR(INDEX(醫師週班表!$C$5:$T$44,$CU35,S$57),"")=0,"",IF(MID(IFERROR(INDEX(醫師週班表!$C$5:$T$44,$CU35,S$57),""),2,1)="/",MID(IFERROR(INDEX(醫師週班表!$C$5:$T$44,$CU35,S$57),""),1+S$58*2,1),IF(MID(IFERROR(INDEX(醫師週班表!$C$5:$T$44,$CU35,S$57),""),3,1)="隔",IF(S$58=0,LEFT(IFERROR(INDEX(醫師週班表!$C$5:$T$44,$CU35,S$57),""),1),""),IF(MID(IFERROR(INDEX(醫師週班表!$C$5:$T$44,$CU35,S$57),""),2,1)="(",LEFT(IFERROR(INDEX(醫師週班表!$C$5:$T$44,$CU35,S$57),""),1),IFERROR(INDEX(醫師週班表!$C$5:$T$44,$CU35,S$57),"")))))))</f>
        <v/>
      </c>
      <c r="T35" s="67">
        <f>IF(T$59="X","",IF(T$59&lt;&gt;"",T$59,IF(IFERROR(INDEX(醫師週班表!$C$5:$T$44,$CU35,T$57),"")=0,"",IF(MID(IFERROR(INDEX(醫師週班表!$C$5:$T$44,$CU35,T$57),""),2,1)="/",MID(IFERROR(INDEX(醫師週班表!$C$5:$T$44,$CU35,T$57),""),1+T$58*2,1),IF(MID(IFERROR(INDEX(醫師週班表!$C$5:$T$44,$CU35,T$57),""),3,1)="隔",IF(T$58=0,LEFT(IFERROR(INDEX(醫師週班表!$C$5:$T$44,$CU35,T$57),""),1),""),IF(MID(IFERROR(INDEX(醫師週班表!$C$5:$T$44,$CU35,T$57),""),2,1)="(",LEFT(IFERROR(INDEX(醫師週班表!$C$5:$T$44,$CU35,T$57),""),1),IFERROR(INDEX(醫師週班表!$C$5:$T$44,$CU35,T$57),"")))))))</f>
        <v/>
      </c>
      <c r="U35" s="68">
        <f>IF(U$59="X","",IF(U$59&lt;&gt;"",U$59,IF(IFERROR(INDEX(醫師週班表!$C$5:$T$44,$CU35,U$57),"")=0,"",IF(MID(IFERROR(INDEX(醫師週班表!$C$5:$T$44,$CU35,U$57),""),2,1)="/",MID(IFERROR(INDEX(醫師週班表!$C$5:$T$44,$CU35,U$57),""),1+U$58*2,1),IF(MID(IFERROR(INDEX(醫師週班表!$C$5:$T$44,$CU35,U$57),""),3,1)="隔",IF(U$58=0,LEFT(IFERROR(INDEX(醫師週班表!$C$5:$T$44,$CU35,U$57),""),1),""),IF(MID(IFERROR(INDEX(醫師週班表!$C$5:$T$44,$CU35,U$57),""),2,1)="(",LEFT(IFERROR(INDEX(醫師週班表!$C$5:$T$44,$CU35,U$57),""),1),IFERROR(INDEX(醫師週班表!$C$5:$T$44,$CU35,U$57),"")))))))</f>
        <v/>
      </c>
      <c r="V35" s="68">
        <f>IF(V$59="X","",IF(V$59&lt;&gt;"",V$59,IF(IFERROR(INDEX(醫師週班表!$C$5:$T$44,$CU35,V$57),"")=0,"",IF(MID(IFERROR(INDEX(醫師週班表!$C$5:$T$44,$CU35,V$57),""),2,1)="/",MID(IFERROR(INDEX(醫師週班表!$C$5:$T$44,$CU35,V$57),""),1+V$58*2,1),IF(MID(IFERROR(INDEX(醫師週班表!$C$5:$T$44,$CU35,V$57),""),3,1)="隔",IF(V$58=0,LEFT(IFERROR(INDEX(醫師週班表!$C$5:$T$44,$CU35,V$57),""),1),""),IF(MID(IFERROR(INDEX(醫師週班表!$C$5:$T$44,$CU35,V$57),""),2,1)="(",LEFT(IFERROR(INDEX(醫師週班表!$C$5:$T$44,$CU35,V$57),""),1),IFERROR(INDEX(醫師週班表!$C$5:$T$44,$CU35,V$57),"")))))))</f>
        <v/>
      </c>
      <c r="W35" s="67">
        <f>IF(W$59="X","",IF(W$59&lt;&gt;"",W$59,IF(IFERROR(INDEX(醫師週班表!$C$5:$T$44,$CU35,W$57),"")=0,"",IF(MID(IFERROR(INDEX(醫師週班表!$C$5:$T$44,$CU35,W$57),""),2,1)="/",MID(IFERROR(INDEX(醫師週班表!$C$5:$T$44,$CU35,W$57),""),1+W$58*2,1),IF(MID(IFERROR(INDEX(醫師週班表!$C$5:$T$44,$CU35,W$57),""),3,1)="隔",IF(W$58=0,LEFT(IFERROR(INDEX(醫師週班表!$C$5:$T$44,$CU35,W$57),""),1),""),IF(MID(IFERROR(INDEX(醫師週班表!$C$5:$T$44,$CU35,W$57),""),2,1)="(",LEFT(IFERROR(INDEX(醫師週班表!$C$5:$T$44,$CU35,W$57),""),1),IFERROR(INDEX(醫師週班表!$C$5:$T$44,$CU35,W$57),"")))))))</f>
        <v/>
      </c>
      <c r="X35" s="68">
        <f>IF(X$59="X","",IF(X$59&lt;&gt;"",X$59,IF(IFERROR(INDEX(醫師週班表!$C$5:$T$44,$CU35,X$57),"")=0,"",IF(MID(IFERROR(INDEX(醫師週班表!$C$5:$T$44,$CU35,X$57),""),2,1)="/",MID(IFERROR(INDEX(醫師週班表!$C$5:$T$44,$CU35,X$57),""),1+X$58*2,1),IF(MID(IFERROR(INDEX(醫師週班表!$C$5:$T$44,$CU35,X$57),""),3,1)="隔",IF(X$58=0,LEFT(IFERROR(INDEX(醫師週班表!$C$5:$T$44,$CU35,X$57),""),1),""),IF(MID(IFERROR(INDEX(醫師週班表!$C$5:$T$44,$CU35,X$57),""),2,1)="(",LEFT(IFERROR(INDEX(醫師週班表!$C$5:$T$44,$CU35,X$57),""),1),IFERROR(INDEX(醫師週班表!$C$5:$T$44,$CU35,X$57),"")))))))</f>
        <v/>
      </c>
      <c r="Y35" s="68">
        <f>IF(Y$59="X","",IF(Y$59&lt;&gt;"",Y$59,IF(IFERROR(INDEX(醫師週班表!$C$5:$T$44,$CU35,Y$57),"")=0,"",IF(MID(IFERROR(INDEX(醫師週班表!$C$5:$T$44,$CU35,Y$57),""),2,1)="/",MID(IFERROR(INDEX(醫師週班表!$C$5:$T$44,$CU35,Y$57),""),1+Y$58*2,1),IF(MID(IFERROR(INDEX(醫師週班表!$C$5:$T$44,$CU35,Y$57),""),3,1)="隔",IF(Y$58=0,LEFT(IFERROR(INDEX(醫師週班表!$C$5:$T$44,$CU35,Y$57),""),1),""),IF(MID(IFERROR(INDEX(醫師週班表!$C$5:$T$44,$CU35,Y$57),""),2,1)="(",LEFT(IFERROR(INDEX(醫師週班表!$C$5:$T$44,$CU35,Y$57),""),1),IFERROR(INDEX(醫師週班表!$C$5:$T$44,$CU35,Y$57),"")))))))</f>
        <v/>
      </c>
      <c r="Z35" s="67">
        <f>IF(Z$59="X","",IF(Z$59&lt;&gt;"",Z$59,IF(IFERROR(INDEX(醫師週班表!$C$5:$T$44,$CU35,Z$57),"")=0,"",IF(MID(IFERROR(INDEX(醫師週班表!$C$5:$T$44,$CU35,Z$57),""),2,1)="/",MID(IFERROR(INDEX(醫師週班表!$C$5:$T$44,$CU35,Z$57),""),1+Z$58*2,1),IF(MID(IFERROR(INDEX(醫師週班表!$C$5:$T$44,$CU35,Z$57),""),3,1)="隔",IF(Z$58=0,LEFT(IFERROR(INDEX(醫師週班表!$C$5:$T$44,$CU35,Z$57),""),1),""),IF(MID(IFERROR(INDEX(醫師週班表!$C$5:$T$44,$CU35,Z$57),""),2,1)="(",LEFT(IFERROR(INDEX(醫師週班表!$C$5:$T$44,$CU35,Z$57),""),1),IFERROR(INDEX(醫師週班表!$C$5:$T$44,$CU35,Z$57),"")))))))</f>
        <v/>
      </c>
      <c r="AA35" s="68">
        <f>IF(AA$59="X","",IF(AA$59&lt;&gt;"",AA$59,IF(IFERROR(INDEX(醫師週班表!$C$5:$T$44,$CU35,AA$57),"")=0,"",IF(MID(IFERROR(INDEX(醫師週班表!$C$5:$T$44,$CU35,AA$57),""),2,1)="/",MID(IFERROR(INDEX(醫師週班表!$C$5:$T$44,$CU35,AA$57),""),1+AA$58*2,1),IF(MID(IFERROR(INDEX(醫師週班表!$C$5:$T$44,$CU35,AA$57),""),3,1)="隔",IF(AA$58=0,LEFT(IFERROR(INDEX(醫師週班表!$C$5:$T$44,$CU35,AA$57),""),1),""),IF(MID(IFERROR(INDEX(醫師週班表!$C$5:$T$44,$CU35,AA$57),""),2,1)="(",LEFT(IFERROR(INDEX(醫師週班表!$C$5:$T$44,$CU35,AA$57),""),1),IFERROR(INDEX(醫師週班表!$C$5:$T$44,$CU35,AA$57),"")))))))</f>
        <v/>
      </c>
      <c r="AB35" s="68">
        <f>IF(AB$59="X","",IF(AB$59&lt;&gt;"",AB$59,IF(IFERROR(INDEX(醫師週班表!$C$5:$T$44,$CU35,AB$57),"")=0,"",IF(MID(IFERROR(INDEX(醫師週班表!$C$5:$T$44,$CU35,AB$57),""),2,1)="/",MID(IFERROR(INDEX(醫師週班表!$C$5:$T$44,$CU35,AB$57),""),1+AB$58*2,1),IF(MID(IFERROR(INDEX(醫師週班表!$C$5:$T$44,$CU35,AB$57),""),3,1)="隔",IF(AB$58=0,LEFT(IFERROR(INDEX(醫師週班表!$C$5:$T$44,$CU35,AB$57),""),1),""),IF(MID(IFERROR(INDEX(醫師週班表!$C$5:$T$44,$CU35,AB$57),""),2,1)="(",LEFT(IFERROR(INDEX(醫師週班表!$C$5:$T$44,$CU35,AB$57),""),1),IFERROR(INDEX(醫師週班表!$C$5:$T$44,$CU35,AB$57),"")))))))</f>
        <v/>
      </c>
      <c r="AC35" s="67">
        <f>IF(AC$59="X","",IF(AC$59&lt;&gt;"",AC$59,IF(IFERROR(INDEX(醫師週班表!$C$5:$T$44,$CU35,AC$57),"")=0,"",IF(MID(IFERROR(INDEX(醫師週班表!$C$5:$T$44,$CU35,AC$57),""),2,1)="/",MID(IFERROR(INDEX(醫師週班表!$C$5:$T$44,$CU35,AC$57),""),1+AC$58*2,1),IF(MID(IFERROR(INDEX(醫師週班表!$C$5:$T$44,$CU35,AC$57),""),3,1)="隔",IF(AC$58=0,LEFT(IFERROR(INDEX(醫師週班表!$C$5:$T$44,$CU35,AC$57),""),1),""),IF(MID(IFERROR(INDEX(醫師週班表!$C$5:$T$44,$CU35,AC$57),""),2,1)="(",LEFT(IFERROR(INDEX(醫師週班表!$C$5:$T$44,$CU35,AC$57),""),1),IFERROR(INDEX(醫師週班表!$C$5:$T$44,$CU35,AC$57),"")))))))</f>
        <v/>
      </c>
      <c r="AD35" s="68">
        <f>IF(AD$59="X","",IF(AD$59&lt;&gt;"",AD$59,IF(IFERROR(INDEX(醫師週班表!$C$5:$T$44,$CU35,AD$57),"")=0,"",IF(MID(IFERROR(INDEX(醫師週班表!$C$5:$T$44,$CU35,AD$57),""),2,1)="/",MID(IFERROR(INDEX(醫師週班表!$C$5:$T$44,$CU35,AD$57),""),1+AD$58*2,1),IF(MID(IFERROR(INDEX(醫師週班表!$C$5:$T$44,$CU35,AD$57),""),3,1)="隔",IF(AD$58=0,LEFT(IFERROR(INDEX(醫師週班表!$C$5:$T$44,$CU35,AD$57),""),1),""),IF(MID(IFERROR(INDEX(醫師週班表!$C$5:$T$44,$CU35,AD$57),""),2,1)="(",LEFT(IFERROR(INDEX(醫師週班表!$C$5:$T$44,$CU35,AD$57),""),1),IFERROR(INDEX(醫師週班表!$C$5:$T$44,$CU35,AD$57),"")))))))</f>
        <v/>
      </c>
      <c r="AE35" s="68">
        <f>IF(AE$59="X","",IF(AE$59&lt;&gt;"",AE$59,IF(IFERROR(INDEX(醫師週班表!$C$5:$T$44,$CU35,AE$57),"")=0,"",IF(MID(IFERROR(INDEX(醫師週班表!$C$5:$T$44,$CU35,AE$57),""),2,1)="/",MID(IFERROR(INDEX(醫師週班表!$C$5:$T$44,$CU35,AE$57),""),1+AE$58*2,1),IF(MID(IFERROR(INDEX(醫師週班表!$C$5:$T$44,$CU35,AE$57),""),3,1)="隔",IF(AE$58=0,LEFT(IFERROR(INDEX(醫師週班表!$C$5:$T$44,$CU35,AE$57),""),1),""),IF(MID(IFERROR(INDEX(醫師週班表!$C$5:$T$44,$CU35,AE$57),""),2,1)="(",LEFT(IFERROR(INDEX(醫師週班表!$C$5:$T$44,$CU35,AE$57),""),1),IFERROR(INDEX(醫師週班表!$C$5:$T$44,$CU35,AE$57),"")))))))</f>
        <v/>
      </c>
      <c r="AF35" s="67">
        <f>IF(AF$59="X","",IF(AF$59&lt;&gt;"",AF$59,IF(IFERROR(INDEX(醫師週班表!$C$5:$T$44,$CU35,AF$57),"")=0,"",IF(MID(IFERROR(INDEX(醫師週班表!$C$5:$T$44,$CU35,AF$57),""),2,1)="/",MID(IFERROR(INDEX(醫師週班表!$C$5:$T$44,$CU35,AF$57),""),1+AF$58*2,1),IF(MID(IFERROR(INDEX(醫師週班表!$C$5:$T$44,$CU35,AF$57),""),3,1)="隔",IF(AF$58=0,LEFT(IFERROR(INDEX(醫師週班表!$C$5:$T$44,$CU35,AF$57),""),1),""),IF(MID(IFERROR(INDEX(醫師週班表!$C$5:$T$44,$CU35,AF$57),""),2,1)="(",LEFT(IFERROR(INDEX(醫師週班表!$C$5:$T$44,$CU35,AF$57),""),1),IFERROR(INDEX(醫師週班表!$C$5:$T$44,$CU35,AF$57),"")))))))</f>
        <v/>
      </c>
      <c r="AG35" s="68">
        <f>IF(AG$59="X","",IF(AG$59&lt;&gt;"",AG$59,IF(IFERROR(INDEX(醫師週班表!$C$5:$T$44,$CU35,AG$57),"")=0,"",IF(MID(IFERROR(INDEX(醫師週班表!$C$5:$T$44,$CU35,AG$57),""),2,1)="/",MID(IFERROR(INDEX(醫師週班表!$C$5:$T$44,$CU35,AG$57),""),1+AG$58*2,1),IF(MID(IFERROR(INDEX(醫師週班表!$C$5:$T$44,$CU35,AG$57),""),3,1)="隔",IF(AG$58=0,LEFT(IFERROR(INDEX(醫師週班表!$C$5:$T$44,$CU35,AG$57),""),1),""),IF(MID(IFERROR(INDEX(醫師週班表!$C$5:$T$44,$CU35,AG$57),""),2,1)="(",LEFT(IFERROR(INDEX(醫師週班表!$C$5:$T$44,$CU35,AG$57),""),1),IFERROR(INDEX(醫師週班表!$C$5:$T$44,$CU35,AG$57),"")))))))</f>
        <v/>
      </c>
      <c r="AH35" s="68">
        <f>IF(AH$59="X","",IF(AH$59&lt;&gt;"",AH$59,IF(IFERROR(INDEX(醫師週班表!$C$5:$T$44,$CU35,AH$57),"")=0,"",IF(MID(IFERROR(INDEX(醫師週班表!$C$5:$T$44,$CU35,AH$57),""),2,1)="/",MID(IFERROR(INDEX(醫師週班表!$C$5:$T$44,$CU35,AH$57),""),1+AH$58*2,1),IF(MID(IFERROR(INDEX(醫師週班表!$C$5:$T$44,$CU35,AH$57),""),3,1)="隔",IF(AH$58=0,LEFT(IFERROR(INDEX(醫師週班表!$C$5:$T$44,$CU35,AH$57),""),1),""),IF(MID(IFERROR(INDEX(醫師週班表!$C$5:$T$44,$CU35,AH$57),""),2,1)="(",LEFT(IFERROR(INDEX(醫師週班表!$C$5:$T$44,$CU35,AH$57),""),1),IFERROR(INDEX(醫師週班表!$C$5:$T$44,$CU35,AH$57),"")))))))</f>
        <v/>
      </c>
      <c r="AI35" s="67">
        <f>IF(AI$59="X","",IF(AI$59&lt;&gt;"",AI$59,IF(IFERROR(INDEX(醫師週班表!$C$5:$T$44,$CU35,AI$57),"")=0,"",IF(MID(IFERROR(INDEX(醫師週班表!$C$5:$T$44,$CU35,AI$57),""),2,1)="/",MID(IFERROR(INDEX(醫師週班表!$C$5:$T$44,$CU35,AI$57),""),1+AI$58*2,1),IF(MID(IFERROR(INDEX(醫師週班表!$C$5:$T$44,$CU35,AI$57),""),3,1)="隔",IF(AI$58=0,LEFT(IFERROR(INDEX(醫師週班表!$C$5:$T$44,$CU35,AI$57),""),1),""),IF(MID(IFERROR(INDEX(醫師週班表!$C$5:$T$44,$CU35,AI$57),""),2,1)="(",LEFT(IFERROR(INDEX(醫師週班表!$C$5:$T$44,$CU35,AI$57),""),1),IFERROR(INDEX(醫師週班表!$C$5:$T$44,$CU35,AI$57),"")))))))</f>
        <v/>
      </c>
      <c r="AJ35" s="68">
        <f>IF(AJ$59="X","",IF(AJ$59&lt;&gt;"",AJ$59,IF(IFERROR(INDEX(醫師週班表!$C$5:$T$44,$CU35,AJ$57),"")=0,"",IF(MID(IFERROR(INDEX(醫師週班表!$C$5:$T$44,$CU35,AJ$57),""),2,1)="/",MID(IFERROR(INDEX(醫師週班表!$C$5:$T$44,$CU35,AJ$57),""),1+AJ$58*2,1),IF(MID(IFERROR(INDEX(醫師週班表!$C$5:$T$44,$CU35,AJ$57),""),3,1)="隔",IF(AJ$58=0,LEFT(IFERROR(INDEX(醫師週班表!$C$5:$T$44,$CU35,AJ$57),""),1),""),IF(MID(IFERROR(INDEX(醫師週班表!$C$5:$T$44,$CU35,AJ$57),""),2,1)="(",LEFT(IFERROR(INDEX(醫師週班表!$C$5:$T$44,$CU35,AJ$57),""),1),IFERROR(INDEX(醫師週班表!$C$5:$T$44,$CU35,AJ$57),"")))))))</f>
        <v/>
      </c>
      <c r="AK35" s="68">
        <f>IF(AK$59="X","",IF(AK$59&lt;&gt;"",AK$59,IF(IFERROR(INDEX(醫師週班表!$C$5:$T$44,$CU35,AK$57),"")=0,"",IF(MID(IFERROR(INDEX(醫師週班表!$C$5:$T$44,$CU35,AK$57),""),2,1)="/",MID(IFERROR(INDEX(醫師週班表!$C$5:$T$44,$CU35,AK$57),""),1+AK$58*2,1),IF(MID(IFERROR(INDEX(醫師週班表!$C$5:$T$44,$CU35,AK$57),""),3,1)="隔",IF(AK$58=0,LEFT(IFERROR(INDEX(醫師週班表!$C$5:$T$44,$CU35,AK$57),""),1),""),IF(MID(IFERROR(INDEX(醫師週班表!$C$5:$T$44,$CU35,AK$57),""),2,1)="(",LEFT(IFERROR(INDEX(醫師週班表!$C$5:$T$44,$CU35,AK$57),""),1),IFERROR(INDEX(醫師週班表!$C$5:$T$44,$CU35,AK$57),"")))))))</f>
        <v/>
      </c>
      <c r="AL35" s="67">
        <f>IF(AL$59="X","",IF(AL$59&lt;&gt;"",AL$59,IF(IFERROR(INDEX(醫師週班表!$C$5:$T$44,$CU35,AL$57),"")=0,"",IF(MID(IFERROR(INDEX(醫師週班表!$C$5:$T$44,$CU35,AL$57),""),2,1)="/",MID(IFERROR(INDEX(醫師週班表!$C$5:$T$44,$CU35,AL$57),""),1+AL$58*2,1),IF(MID(IFERROR(INDEX(醫師週班表!$C$5:$T$44,$CU35,AL$57),""),3,1)="隔",IF(AL$58=0,LEFT(IFERROR(INDEX(醫師週班表!$C$5:$T$44,$CU35,AL$57),""),1),""),IF(MID(IFERROR(INDEX(醫師週班表!$C$5:$T$44,$CU35,AL$57),""),2,1)="(",LEFT(IFERROR(INDEX(醫師週班表!$C$5:$T$44,$CU35,AL$57),""),1),IFERROR(INDEX(醫師週班表!$C$5:$T$44,$CU35,AL$57),"")))))))</f>
        <v/>
      </c>
      <c r="AM35" s="68">
        <f>IF(AM$59="X","",IF(AM$59&lt;&gt;"",AM$59,IF(IFERROR(INDEX(醫師週班表!$C$5:$T$44,$CU35,AM$57),"")=0,"",IF(MID(IFERROR(INDEX(醫師週班表!$C$5:$T$44,$CU35,AM$57),""),2,1)="/",MID(IFERROR(INDEX(醫師週班表!$C$5:$T$44,$CU35,AM$57),""),1+AM$58*2,1),IF(MID(IFERROR(INDEX(醫師週班表!$C$5:$T$44,$CU35,AM$57),""),3,1)="隔",IF(AM$58=0,LEFT(IFERROR(INDEX(醫師週班表!$C$5:$T$44,$CU35,AM$57),""),1),""),IF(MID(IFERROR(INDEX(醫師週班表!$C$5:$T$44,$CU35,AM$57),""),2,1)="(",LEFT(IFERROR(INDEX(醫師週班表!$C$5:$T$44,$CU35,AM$57),""),1),IFERROR(INDEX(醫師週班表!$C$5:$T$44,$CU35,AM$57),"")))))))</f>
        <v/>
      </c>
      <c r="AN35" s="68">
        <f>IF(AN$59="X","",IF(AN$59&lt;&gt;"",AN$59,IF(IFERROR(INDEX(醫師週班表!$C$5:$T$44,$CU35,AN$57),"")=0,"",IF(MID(IFERROR(INDEX(醫師週班表!$C$5:$T$44,$CU35,AN$57),""),2,1)="/",MID(IFERROR(INDEX(醫師週班表!$C$5:$T$44,$CU35,AN$57),""),1+AN$58*2,1),IF(MID(IFERROR(INDEX(醫師週班表!$C$5:$T$44,$CU35,AN$57),""),3,1)="隔",IF(AN$58=0,LEFT(IFERROR(INDEX(醫師週班表!$C$5:$T$44,$CU35,AN$57),""),1),""),IF(MID(IFERROR(INDEX(醫師週班表!$C$5:$T$44,$CU35,AN$57),""),2,1)="(",LEFT(IFERROR(INDEX(醫師週班表!$C$5:$T$44,$CU35,AN$57),""),1),IFERROR(INDEX(醫師週班表!$C$5:$T$44,$CU35,AN$57),"")))))))</f>
        <v/>
      </c>
      <c r="AO35" s="67">
        <f>IF(AO$59="X","",IF(AO$59&lt;&gt;"",AO$59,IF(IFERROR(INDEX(醫師週班表!$C$5:$T$44,$CU35,AO$57),"")=0,"",IF(MID(IFERROR(INDEX(醫師週班表!$C$5:$T$44,$CU35,AO$57),""),2,1)="/",MID(IFERROR(INDEX(醫師週班表!$C$5:$T$44,$CU35,AO$57),""),1+AO$58*2,1),IF(MID(IFERROR(INDEX(醫師週班表!$C$5:$T$44,$CU35,AO$57),""),3,1)="隔",IF(AO$58=0,LEFT(IFERROR(INDEX(醫師週班表!$C$5:$T$44,$CU35,AO$57),""),1),""),IF(MID(IFERROR(INDEX(醫師週班表!$C$5:$T$44,$CU35,AO$57),""),2,1)="(",LEFT(IFERROR(INDEX(醫師週班表!$C$5:$T$44,$CU35,AO$57),""),1),IFERROR(INDEX(醫師週班表!$C$5:$T$44,$CU35,AO$57),"")))))))</f>
        <v/>
      </c>
      <c r="AP35" s="68">
        <f>IF(AP$59="X","",IF(AP$59&lt;&gt;"",AP$59,IF(IFERROR(INDEX(醫師週班表!$C$5:$T$44,$CU35,AP$57),"")=0,"",IF(MID(IFERROR(INDEX(醫師週班表!$C$5:$T$44,$CU35,AP$57),""),2,1)="/",MID(IFERROR(INDEX(醫師週班表!$C$5:$T$44,$CU35,AP$57),""),1+AP$58*2,1),IF(MID(IFERROR(INDEX(醫師週班表!$C$5:$T$44,$CU35,AP$57),""),3,1)="隔",IF(AP$58=0,LEFT(IFERROR(INDEX(醫師週班表!$C$5:$T$44,$CU35,AP$57),""),1),""),IF(MID(IFERROR(INDEX(醫師週班表!$C$5:$T$44,$CU35,AP$57),""),2,1)="(",LEFT(IFERROR(INDEX(醫師週班表!$C$5:$T$44,$CU35,AP$57),""),1),IFERROR(INDEX(醫師週班表!$C$5:$T$44,$CU35,AP$57),"")))))))</f>
        <v/>
      </c>
      <c r="AQ35" s="68">
        <f>IF(AQ$59="X","",IF(AQ$59&lt;&gt;"",AQ$59,IF(IFERROR(INDEX(醫師週班表!$C$5:$T$44,$CU35,AQ$57),"")=0,"",IF(MID(IFERROR(INDEX(醫師週班表!$C$5:$T$44,$CU35,AQ$57),""),2,1)="/",MID(IFERROR(INDEX(醫師週班表!$C$5:$T$44,$CU35,AQ$57),""),1+AQ$58*2,1),IF(MID(IFERROR(INDEX(醫師週班表!$C$5:$T$44,$CU35,AQ$57),""),3,1)="隔",IF(AQ$58=0,LEFT(IFERROR(INDEX(醫師週班表!$C$5:$T$44,$CU35,AQ$57),""),1),""),IF(MID(IFERROR(INDEX(醫師週班表!$C$5:$T$44,$CU35,AQ$57),""),2,1)="(",LEFT(IFERROR(INDEX(醫師週班表!$C$5:$T$44,$CU35,AQ$57),""),1),IFERROR(INDEX(醫師週班表!$C$5:$T$44,$CU35,AQ$57),"")))))))</f>
        <v/>
      </c>
      <c r="AR35" s="67">
        <f>IF(AR$59="X","",IF(AR$59&lt;&gt;"",AR$59,IF(IFERROR(INDEX(醫師週班表!$C$5:$T$44,$CU35,AR$57),"")=0,"",IF(MID(IFERROR(INDEX(醫師週班表!$C$5:$T$44,$CU35,AR$57),""),2,1)="/",MID(IFERROR(INDEX(醫師週班表!$C$5:$T$44,$CU35,AR$57),""),1+AR$58*2,1),IF(MID(IFERROR(INDEX(醫師週班表!$C$5:$T$44,$CU35,AR$57),""),3,1)="隔",IF(AR$58=0,LEFT(IFERROR(INDEX(醫師週班表!$C$5:$T$44,$CU35,AR$57),""),1),""),IF(MID(IFERROR(INDEX(醫師週班表!$C$5:$T$44,$CU35,AR$57),""),2,1)="(",LEFT(IFERROR(INDEX(醫師週班表!$C$5:$T$44,$CU35,AR$57),""),1),IFERROR(INDEX(醫師週班表!$C$5:$T$44,$CU35,AR$57),"")))))))</f>
        <v/>
      </c>
      <c r="AS35" s="68">
        <f>IF(AS$59="X","",IF(AS$59&lt;&gt;"",AS$59,IF(IFERROR(INDEX(醫師週班表!$C$5:$T$44,$CU35,AS$57),"")=0,"",IF(MID(IFERROR(INDEX(醫師週班表!$C$5:$T$44,$CU35,AS$57),""),2,1)="/",MID(IFERROR(INDEX(醫師週班表!$C$5:$T$44,$CU35,AS$57),""),1+AS$58*2,1),IF(MID(IFERROR(INDEX(醫師週班表!$C$5:$T$44,$CU35,AS$57),""),3,1)="隔",IF(AS$58=0,LEFT(IFERROR(INDEX(醫師週班表!$C$5:$T$44,$CU35,AS$57),""),1),""),IF(MID(IFERROR(INDEX(醫師週班表!$C$5:$T$44,$CU35,AS$57),""),2,1)="(",LEFT(IFERROR(INDEX(醫師週班表!$C$5:$T$44,$CU35,AS$57),""),1),IFERROR(INDEX(醫師週班表!$C$5:$T$44,$CU35,AS$57),"")))))))</f>
        <v/>
      </c>
      <c r="AT35" s="68">
        <f>IF(AT$59="X","",IF(AT$59&lt;&gt;"",AT$59,IF(IFERROR(INDEX(醫師週班表!$C$5:$T$44,$CU35,AT$57),"")=0,"",IF(MID(IFERROR(INDEX(醫師週班表!$C$5:$T$44,$CU35,AT$57),""),2,1)="/",MID(IFERROR(INDEX(醫師週班表!$C$5:$T$44,$CU35,AT$57),""),1+AT$58*2,1),IF(MID(IFERROR(INDEX(醫師週班表!$C$5:$T$44,$CU35,AT$57),""),3,1)="隔",IF(AT$58=0,LEFT(IFERROR(INDEX(醫師週班表!$C$5:$T$44,$CU35,AT$57),""),1),""),IF(MID(IFERROR(INDEX(醫師週班表!$C$5:$T$44,$CU35,AT$57),""),2,1)="(",LEFT(IFERROR(INDEX(醫師週班表!$C$5:$T$44,$CU35,AT$57),""),1),IFERROR(INDEX(醫師週班表!$C$5:$T$44,$CU35,AT$57),"")))))))</f>
        <v/>
      </c>
      <c r="AU35" s="67">
        <f>IF(AU$59="X","",IF(AU$59&lt;&gt;"",AU$59,IF(IFERROR(INDEX(醫師週班表!$C$5:$T$44,$CU35,AU$57),"")=0,"",IF(MID(IFERROR(INDEX(醫師週班表!$C$5:$T$44,$CU35,AU$57),""),2,1)="/",MID(IFERROR(INDEX(醫師週班表!$C$5:$T$44,$CU35,AU$57),""),1+AU$58*2,1),IF(MID(IFERROR(INDEX(醫師週班表!$C$5:$T$44,$CU35,AU$57),""),3,1)="隔",IF(AU$58=0,LEFT(IFERROR(INDEX(醫師週班表!$C$5:$T$44,$CU35,AU$57),""),1),""),IF(MID(IFERROR(INDEX(醫師週班表!$C$5:$T$44,$CU35,AU$57),""),2,1)="(",LEFT(IFERROR(INDEX(醫師週班表!$C$5:$T$44,$CU35,AU$57),""),1),IFERROR(INDEX(醫師週班表!$C$5:$T$44,$CU35,AU$57),"")))))))</f>
        <v/>
      </c>
      <c r="AV35" s="68">
        <f>IF(AV$59="X","",IF(AV$59&lt;&gt;"",AV$59,IF(IFERROR(INDEX(醫師週班表!$C$5:$T$44,$CU35,AV$57),"")=0,"",IF(MID(IFERROR(INDEX(醫師週班表!$C$5:$T$44,$CU35,AV$57),""),2,1)="/",MID(IFERROR(INDEX(醫師週班表!$C$5:$T$44,$CU35,AV$57),""),1+AV$58*2,1),IF(MID(IFERROR(INDEX(醫師週班表!$C$5:$T$44,$CU35,AV$57),""),3,1)="隔",IF(AV$58=0,LEFT(IFERROR(INDEX(醫師週班表!$C$5:$T$44,$CU35,AV$57),""),1),""),IF(MID(IFERROR(INDEX(醫師週班表!$C$5:$T$44,$CU35,AV$57),""),2,1)="(",LEFT(IFERROR(INDEX(醫師週班表!$C$5:$T$44,$CU35,AV$57),""),1),IFERROR(INDEX(醫師週班表!$C$5:$T$44,$CU35,AV$57),"")))))))</f>
        <v/>
      </c>
      <c r="AW35" s="68">
        <f>IF(AW$59="X","",IF(AW$59&lt;&gt;"",AW$59,IF(IFERROR(INDEX(醫師週班表!$C$5:$T$44,$CU35,AW$57),"")=0,"",IF(MID(IFERROR(INDEX(醫師週班表!$C$5:$T$44,$CU35,AW$57),""),2,1)="/",MID(IFERROR(INDEX(醫師週班表!$C$5:$T$44,$CU35,AW$57),""),1+AW$58*2,1),IF(MID(IFERROR(INDEX(醫師週班表!$C$5:$T$44,$CU35,AW$57),""),3,1)="隔",IF(AW$58=0,LEFT(IFERROR(INDEX(醫師週班表!$C$5:$T$44,$CU35,AW$57),""),1),""),IF(MID(IFERROR(INDEX(醫師週班表!$C$5:$T$44,$CU35,AW$57),""),2,1)="(",LEFT(IFERROR(INDEX(醫師週班表!$C$5:$T$44,$CU35,AW$57),""),1),IFERROR(INDEX(醫師週班表!$C$5:$T$44,$CU35,AW$57),"")))))))</f>
        <v/>
      </c>
      <c r="AX35" s="67">
        <f>IF(AX$59="X","",IF(AX$59&lt;&gt;"",AX$59,IF(IFERROR(INDEX(醫師週班表!$C$5:$T$44,$CU35,AX$57),"")=0,"",IF(MID(IFERROR(INDEX(醫師週班表!$C$5:$T$44,$CU35,AX$57),""),2,1)="/",MID(IFERROR(INDEX(醫師週班表!$C$5:$T$44,$CU35,AX$57),""),1+AX$58*2,1),IF(MID(IFERROR(INDEX(醫師週班表!$C$5:$T$44,$CU35,AX$57),""),3,1)="隔",IF(AX$58=0,LEFT(IFERROR(INDEX(醫師週班表!$C$5:$T$44,$CU35,AX$57),""),1),""),IF(MID(IFERROR(INDEX(醫師週班表!$C$5:$T$44,$CU35,AX$57),""),2,1)="(",LEFT(IFERROR(INDEX(醫師週班表!$C$5:$T$44,$CU35,AX$57),""),1),IFERROR(INDEX(醫師週班表!$C$5:$T$44,$CU35,AX$57),"")))))))</f>
        <v/>
      </c>
      <c r="AY35" s="68">
        <f>IF(AY$59="X","",IF(AY$59&lt;&gt;"",AY$59,IF(IFERROR(INDEX(醫師週班表!$C$5:$T$44,$CU35,AY$57),"")=0,"",IF(MID(IFERROR(INDEX(醫師週班表!$C$5:$T$44,$CU35,AY$57),""),2,1)="/",MID(IFERROR(INDEX(醫師週班表!$C$5:$T$44,$CU35,AY$57),""),1+AY$58*2,1),IF(MID(IFERROR(INDEX(醫師週班表!$C$5:$T$44,$CU35,AY$57),""),3,1)="隔",IF(AY$58=0,LEFT(IFERROR(INDEX(醫師週班表!$C$5:$T$44,$CU35,AY$57),""),1),""),IF(MID(IFERROR(INDEX(醫師週班表!$C$5:$T$44,$CU35,AY$57),""),2,1)="(",LEFT(IFERROR(INDEX(醫師週班表!$C$5:$T$44,$CU35,AY$57),""),1),IFERROR(INDEX(醫師週班表!$C$5:$T$44,$CU35,AY$57),"")))))))</f>
        <v/>
      </c>
      <c r="AZ35" s="68">
        <f>IF(AZ$59="X","",IF(AZ$59&lt;&gt;"",AZ$59,IF(IFERROR(INDEX(醫師週班表!$C$5:$T$44,$CU35,AZ$57),"")=0,"",IF(MID(IFERROR(INDEX(醫師週班表!$C$5:$T$44,$CU35,AZ$57),""),2,1)="/",MID(IFERROR(INDEX(醫師週班表!$C$5:$T$44,$CU35,AZ$57),""),1+AZ$58*2,1),IF(MID(IFERROR(INDEX(醫師週班表!$C$5:$T$44,$CU35,AZ$57),""),3,1)="隔",IF(AZ$58=0,LEFT(IFERROR(INDEX(醫師週班表!$C$5:$T$44,$CU35,AZ$57),""),1),""),IF(MID(IFERROR(INDEX(醫師週班表!$C$5:$T$44,$CU35,AZ$57),""),2,1)="(",LEFT(IFERROR(INDEX(醫師週班表!$C$5:$T$44,$CU35,AZ$57),""),1),IFERROR(INDEX(醫師週班表!$C$5:$T$44,$CU35,AZ$57),"")))))))</f>
        <v/>
      </c>
      <c r="BA35" s="67">
        <f>IF(BA$59="X","",IF(BA$59&lt;&gt;"",BA$59,IF(IFERROR(INDEX(醫師週班表!$C$5:$T$44,$CU35,BA$57),"")=0,"",IF(MID(IFERROR(INDEX(醫師週班表!$C$5:$T$44,$CU35,BA$57),""),2,1)="/",MID(IFERROR(INDEX(醫師週班表!$C$5:$T$44,$CU35,BA$57),""),1+BA$58*2,1),IF(MID(IFERROR(INDEX(醫師週班表!$C$5:$T$44,$CU35,BA$57),""),3,1)="隔",IF(BA$58=0,LEFT(IFERROR(INDEX(醫師週班表!$C$5:$T$44,$CU35,BA$57),""),1),""),IF(MID(IFERROR(INDEX(醫師週班表!$C$5:$T$44,$CU35,BA$57),""),2,1)="(",LEFT(IFERROR(INDEX(醫師週班表!$C$5:$T$44,$CU35,BA$57),""),1),IFERROR(INDEX(醫師週班表!$C$5:$T$44,$CU35,BA$57),"")))))))</f>
        <v/>
      </c>
      <c r="BB35" s="68">
        <f>IF(BB$59="X","",IF(BB$59&lt;&gt;"",BB$59,IF(IFERROR(INDEX(醫師週班表!$C$5:$T$44,$CU35,BB$57),"")=0,"",IF(MID(IFERROR(INDEX(醫師週班表!$C$5:$T$44,$CU35,BB$57),""),2,1)="/",MID(IFERROR(INDEX(醫師週班表!$C$5:$T$44,$CU35,BB$57),""),1+BB$58*2,1),IF(MID(IFERROR(INDEX(醫師週班表!$C$5:$T$44,$CU35,BB$57),""),3,1)="隔",IF(BB$58=0,LEFT(IFERROR(INDEX(醫師週班表!$C$5:$T$44,$CU35,BB$57),""),1),""),IF(MID(IFERROR(INDEX(醫師週班表!$C$5:$T$44,$CU35,BB$57),""),2,1)="(",LEFT(IFERROR(INDEX(醫師週班表!$C$5:$T$44,$CU35,BB$57),""),1),IFERROR(INDEX(醫師週班表!$C$5:$T$44,$CU35,BB$57),"")))))))</f>
        <v/>
      </c>
      <c r="BC35" s="68">
        <f>IF(BC$59="X","",IF(BC$59&lt;&gt;"",BC$59,IF(IFERROR(INDEX(醫師週班表!$C$5:$T$44,$CU35,BC$57),"")=0,"",IF(MID(IFERROR(INDEX(醫師週班表!$C$5:$T$44,$CU35,BC$57),""),2,1)="/",MID(IFERROR(INDEX(醫師週班表!$C$5:$T$44,$CU35,BC$57),""),1+BC$58*2,1),IF(MID(IFERROR(INDEX(醫師週班表!$C$5:$T$44,$CU35,BC$57),""),3,1)="隔",IF(BC$58=0,LEFT(IFERROR(INDEX(醫師週班表!$C$5:$T$44,$CU35,BC$57),""),1),""),IF(MID(IFERROR(INDEX(醫師週班表!$C$5:$T$44,$CU35,BC$57),""),2,1)="(",LEFT(IFERROR(INDEX(醫師週班表!$C$5:$T$44,$CU35,BC$57),""),1),IFERROR(INDEX(醫師週班表!$C$5:$T$44,$CU35,BC$57),"")))))))</f>
        <v/>
      </c>
      <c r="BD35" s="67">
        <f>IF(BD$59="X","",IF(BD$59&lt;&gt;"",BD$59,IF(IFERROR(INDEX(醫師週班表!$C$5:$T$44,$CU35,BD$57),"")=0,"",IF(MID(IFERROR(INDEX(醫師週班表!$C$5:$T$44,$CU35,BD$57),""),2,1)="/",MID(IFERROR(INDEX(醫師週班表!$C$5:$T$44,$CU35,BD$57),""),1+BD$58*2,1),IF(MID(IFERROR(INDEX(醫師週班表!$C$5:$T$44,$CU35,BD$57),""),3,1)="隔",IF(BD$58=0,LEFT(IFERROR(INDEX(醫師週班表!$C$5:$T$44,$CU35,BD$57),""),1),""),IF(MID(IFERROR(INDEX(醫師週班表!$C$5:$T$44,$CU35,BD$57),""),2,1)="(",LEFT(IFERROR(INDEX(醫師週班表!$C$5:$T$44,$CU35,BD$57),""),1),IFERROR(INDEX(醫師週班表!$C$5:$T$44,$CU35,BD$57),"")))))))</f>
        <v/>
      </c>
      <c r="BE35" s="68">
        <f>IF(BE$59="X","",IF(BE$59&lt;&gt;"",BE$59,IF(IFERROR(INDEX(醫師週班表!$C$5:$T$44,$CU35,BE$57),"")=0,"",IF(MID(IFERROR(INDEX(醫師週班表!$C$5:$T$44,$CU35,BE$57),""),2,1)="/",MID(IFERROR(INDEX(醫師週班表!$C$5:$T$44,$CU35,BE$57),""),1+BE$58*2,1),IF(MID(IFERROR(INDEX(醫師週班表!$C$5:$T$44,$CU35,BE$57),""),3,1)="隔",IF(BE$58=0,LEFT(IFERROR(INDEX(醫師週班表!$C$5:$T$44,$CU35,BE$57),""),1),""),IF(MID(IFERROR(INDEX(醫師週班表!$C$5:$T$44,$CU35,BE$57),""),2,1)="(",LEFT(IFERROR(INDEX(醫師週班表!$C$5:$T$44,$CU35,BE$57),""),1),IFERROR(INDEX(醫師週班表!$C$5:$T$44,$CU35,BE$57),"")))))))</f>
        <v/>
      </c>
      <c r="BF35" s="68">
        <f>IF(BF$59="X","",IF(BF$59&lt;&gt;"",BF$59,IF(IFERROR(INDEX(醫師週班表!$C$5:$T$44,$CU35,BF$57),"")=0,"",IF(MID(IFERROR(INDEX(醫師週班表!$C$5:$T$44,$CU35,BF$57),""),2,1)="/",MID(IFERROR(INDEX(醫師週班表!$C$5:$T$44,$CU35,BF$57),""),1+BF$58*2,1),IF(MID(IFERROR(INDEX(醫師週班表!$C$5:$T$44,$CU35,BF$57),""),3,1)="隔",IF(BF$58=0,LEFT(IFERROR(INDEX(醫師週班表!$C$5:$T$44,$CU35,BF$57),""),1),""),IF(MID(IFERROR(INDEX(醫師週班表!$C$5:$T$44,$CU35,BF$57),""),2,1)="(",LEFT(IFERROR(INDEX(醫師週班表!$C$5:$T$44,$CU35,BF$57),""),1),IFERROR(INDEX(醫師週班表!$C$5:$T$44,$CU35,BF$57),"")))))))</f>
        <v/>
      </c>
      <c r="BG35" s="67">
        <f>IF(BG$59="X","",IF(BG$59&lt;&gt;"",BG$59,IF(IFERROR(INDEX(醫師週班表!$C$5:$T$44,$CU35,BG$57),"")=0,"",IF(MID(IFERROR(INDEX(醫師週班表!$C$5:$T$44,$CU35,BG$57),""),2,1)="/",MID(IFERROR(INDEX(醫師週班表!$C$5:$T$44,$CU35,BG$57),""),1+BG$58*2,1),IF(MID(IFERROR(INDEX(醫師週班表!$C$5:$T$44,$CU35,BG$57),""),3,1)="隔",IF(BG$58=0,LEFT(IFERROR(INDEX(醫師週班表!$C$5:$T$44,$CU35,BG$57),""),1),""),IF(MID(IFERROR(INDEX(醫師週班表!$C$5:$T$44,$CU35,BG$57),""),2,1)="(",LEFT(IFERROR(INDEX(醫師週班表!$C$5:$T$44,$CU35,BG$57),""),1),IFERROR(INDEX(醫師週班表!$C$5:$T$44,$CU35,BG$57),"")))))))</f>
        <v/>
      </c>
      <c r="BH35" s="68">
        <f>IF(BH$59="X","",IF(BH$59&lt;&gt;"",BH$59,IF(IFERROR(INDEX(醫師週班表!$C$5:$T$44,$CU35,BH$57),"")=0,"",IF(MID(IFERROR(INDEX(醫師週班表!$C$5:$T$44,$CU35,BH$57),""),2,1)="/",MID(IFERROR(INDEX(醫師週班表!$C$5:$T$44,$CU35,BH$57),""),1+BH$58*2,1),IF(MID(IFERROR(INDEX(醫師週班表!$C$5:$T$44,$CU35,BH$57),""),3,1)="隔",IF(BH$58=0,LEFT(IFERROR(INDEX(醫師週班表!$C$5:$T$44,$CU35,BH$57),""),1),""),IF(MID(IFERROR(INDEX(醫師週班表!$C$5:$T$44,$CU35,BH$57),""),2,1)="(",LEFT(IFERROR(INDEX(醫師週班表!$C$5:$T$44,$CU35,BH$57),""),1),IFERROR(INDEX(醫師週班表!$C$5:$T$44,$CU35,BH$57),"")))))))</f>
        <v/>
      </c>
      <c r="BI35" s="68">
        <f>IF(BI$59="X","",IF(BI$59&lt;&gt;"",BI$59,IF(IFERROR(INDEX(醫師週班表!$C$5:$T$44,$CU35,BI$57),"")=0,"",IF(MID(IFERROR(INDEX(醫師週班表!$C$5:$T$44,$CU35,BI$57),""),2,1)="/",MID(IFERROR(INDEX(醫師週班表!$C$5:$T$44,$CU35,BI$57),""),1+BI$58*2,1),IF(MID(IFERROR(INDEX(醫師週班表!$C$5:$T$44,$CU35,BI$57),""),3,1)="隔",IF(BI$58=0,LEFT(IFERROR(INDEX(醫師週班表!$C$5:$T$44,$CU35,BI$57),""),1),""),IF(MID(IFERROR(INDEX(醫師週班表!$C$5:$T$44,$CU35,BI$57),""),2,1)="(",LEFT(IFERROR(INDEX(醫師週班表!$C$5:$T$44,$CU35,BI$57),""),1),IFERROR(INDEX(醫師週班表!$C$5:$T$44,$CU35,BI$57),"")))))))</f>
        <v/>
      </c>
      <c r="BJ35" s="67">
        <f>IF(BJ$59="X","",IF(BJ$59&lt;&gt;"",BJ$59,IF(IFERROR(INDEX(醫師週班表!$C$5:$T$44,$CU35,BJ$57),"")=0,"",IF(MID(IFERROR(INDEX(醫師週班表!$C$5:$T$44,$CU35,BJ$57),""),2,1)="/",MID(IFERROR(INDEX(醫師週班表!$C$5:$T$44,$CU35,BJ$57),""),1+BJ$58*2,1),IF(MID(IFERROR(INDEX(醫師週班表!$C$5:$T$44,$CU35,BJ$57),""),3,1)="隔",IF(BJ$58=0,LEFT(IFERROR(INDEX(醫師週班表!$C$5:$T$44,$CU35,BJ$57),""),1),""),IF(MID(IFERROR(INDEX(醫師週班表!$C$5:$T$44,$CU35,BJ$57),""),2,1)="(",LEFT(IFERROR(INDEX(醫師週班表!$C$5:$T$44,$CU35,BJ$57),""),1),IFERROR(INDEX(醫師週班表!$C$5:$T$44,$CU35,BJ$57),"")))))))</f>
        <v/>
      </c>
      <c r="BK35" s="68">
        <f>IF(BK$59="X","",IF(BK$59&lt;&gt;"",BK$59,IF(IFERROR(INDEX(醫師週班表!$C$5:$T$44,$CU35,BK$57),"")=0,"",IF(MID(IFERROR(INDEX(醫師週班表!$C$5:$T$44,$CU35,BK$57),""),2,1)="/",MID(IFERROR(INDEX(醫師週班表!$C$5:$T$44,$CU35,BK$57),""),1+BK$58*2,1),IF(MID(IFERROR(INDEX(醫師週班表!$C$5:$T$44,$CU35,BK$57),""),3,1)="隔",IF(BK$58=0,LEFT(IFERROR(INDEX(醫師週班表!$C$5:$T$44,$CU35,BK$57),""),1),""),IF(MID(IFERROR(INDEX(醫師週班表!$C$5:$T$44,$CU35,BK$57),""),2,1)="(",LEFT(IFERROR(INDEX(醫師週班表!$C$5:$T$44,$CU35,BK$57),""),1),IFERROR(INDEX(醫師週班表!$C$5:$T$44,$CU35,BK$57),"")))))))</f>
        <v/>
      </c>
      <c r="BL35" s="68">
        <f>IF(BL$59="X","",IF(BL$59&lt;&gt;"",BL$59,IF(IFERROR(INDEX(醫師週班表!$C$5:$T$44,$CU35,BL$57),"")=0,"",IF(MID(IFERROR(INDEX(醫師週班表!$C$5:$T$44,$CU35,BL$57),""),2,1)="/",MID(IFERROR(INDEX(醫師週班表!$C$5:$T$44,$CU35,BL$57),""),1+BL$58*2,1),IF(MID(IFERROR(INDEX(醫師週班表!$C$5:$T$44,$CU35,BL$57),""),3,1)="隔",IF(BL$58=0,LEFT(IFERROR(INDEX(醫師週班表!$C$5:$T$44,$CU35,BL$57),""),1),""),IF(MID(IFERROR(INDEX(醫師週班表!$C$5:$T$44,$CU35,BL$57),""),2,1)="(",LEFT(IFERROR(INDEX(醫師週班表!$C$5:$T$44,$CU35,BL$57),""),1),IFERROR(INDEX(醫師週班表!$C$5:$T$44,$CU35,BL$57),"")))))))</f>
        <v/>
      </c>
      <c r="BM35" s="67">
        <f>IF(BM$59="X","",IF(BM$59&lt;&gt;"",BM$59,IF(IFERROR(INDEX(醫師週班表!$C$5:$T$44,$CU35,BM$57),"")=0,"",IF(MID(IFERROR(INDEX(醫師週班表!$C$5:$T$44,$CU35,BM$57),""),2,1)="/",MID(IFERROR(INDEX(醫師週班表!$C$5:$T$44,$CU35,BM$57),""),1+BM$58*2,1),IF(MID(IFERROR(INDEX(醫師週班表!$C$5:$T$44,$CU35,BM$57),""),3,1)="隔",IF(BM$58=0,LEFT(IFERROR(INDEX(醫師週班表!$C$5:$T$44,$CU35,BM$57),""),1),""),IF(MID(IFERROR(INDEX(醫師週班表!$C$5:$T$44,$CU35,BM$57),""),2,1)="(",LEFT(IFERROR(INDEX(醫師週班表!$C$5:$T$44,$CU35,BM$57),""),1),IFERROR(INDEX(醫師週班表!$C$5:$T$44,$CU35,BM$57),"")))))))</f>
        <v/>
      </c>
      <c r="BN35" s="68">
        <f>IF(BN$59="X","",IF(BN$59&lt;&gt;"",BN$59,IF(IFERROR(INDEX(醫師週班表!$C$5:$T$44,$CU35,BN$57),"")=0,"",IF(MID(IFERROR(INDEX(醫師週班表!$C$5:$T$44,$CU35,BN$57),""),2,1)="/",MID(IFERROR(INDEX(醫師週班表!$C$5:$T$44,$CU35,BN$57),""),1+BN$58*2,1),IF(MID(IFERROR(INDEX(醫師週班表!$C$5:$T$44,$CU35,BN$57),""),3,1)="隔",IF(BN$58=0,LEFT(IFERROR(INDEX(醫師週班表!$C$5:$T$44,$CU35,BN$57),""),1),""),IF(MID(IFERROR(INDEX(醫師週班表!$C$5:$T$44,$CU35,BN$57),""),2,1)="(",LEFT(IFERROR(INDEX(醫師週班表!$C$5:$T$44,$CU35,BN$57),""),1),IFERROR(INDEX(醫師週班表!$C$5:$T$44,$CU35,BN$57),"")))))))</f>
        <v/>
      </c>
      <c r="BO35" s="68">
        <f>IF(BO$59="X","",IF(BO$59&lt;&gt;"",BO$59,IF(IFERROR(INDEX(醫師週班表!$C$5:$T$44,$CU35,BO$57),"")=0,"",IF(MID(IFERROR(INDEX(醫師週班表!$C$5:$T$44,$CU35,BO$57),""),2,1)="/",MID(IFERROR(INDEX(醫師週班表!$C$5:$T$44,$CU35,BO$57),""),1+BO$58*2,1),IF(MID(IFERROR(INDEX(醫師週班表!$C$5:$T$44,$CU35,BO$57),""),3,1)="隔",IF(BO$58=0,LEFT(IFERROR(INDEX(醫師週班表!$C$5:$T$44,$CU35,BO$57),""),1),""),IF(MID(IFERROR(INDEX(醫師週班表!$C$5:$T$44,$CU35,BO$57),""),2,1)="(",LEFT(IFERROR(INDEX(醫師週班表!$C$5:$T$44,$CU35,BO$57),""),1),IFERROR(INDEX(醫師週班表!$C$5:$T$44,$CU35,BO$57),"")))))))</f>
        <v/>
      </c>
      <c r="BP35" s="67">
        <f>IF(BP$59="X","",IF(BP$59&lt;&gt;"",BP$59,IF(IFERROR(INDEX(醫師週班表!$C$5:$T$44,$CU35,BP$57),"")=0,"",IF(MID(IFERROR(INDEX(醫師週班表!$C$5:$T$44,$CU35,BP$57),""),2,1)="/",MID(IFERROR(INDEX(醫師週班表!$C$5:$T$44,$CU35,BP$57),""),1+BP$58*2,1),IF(MID(IFERROR(INDEX(醫師週班表!$C$5:$T$44,$CU35,BP$57),""),3,1)="隔",IF(BP$58=0,LEFT(IFERROR(INDEX(醫師週班表!$C$5:$T$44,$CU35,BP$57),""),1),""),IF(MID(IFERROR(INDEX(醫師週班表!$C$5:$T$44,$CU35,BP$57),""),2,1)="(",LEFT(IFERROR(INDEX(醫師週班表!$C$5:$T$44,$CU35,BP$57),""),1),IFERROR(INDEX(醫師週班表!$C$5:$T$44,$CU35,BP$57),"")))))))</f>
        <v/>
      </c>
      <c r="BQ35" s="68">
        <f>IF(BQ$59="X","",IF(BQ$59&lt;&gt;"",BQ$59,IF(IFERROR(INDEX(醫師週班表!$C$5:$T$44,$CU35,BQ$57),"")=0,"",IF(MID(IFERROR(INDEX(醫師週班表!$C$5:$T$44,$CU35,BQ$57),""),2,1)="/",MID(IFERROR(INDEX(醫師週班表!$C$5:$T$44,$CU35,BQ$57),""),1+BQ$58*2,1),IF(MID(IFERROR(INDEX(醫師週班表!$C$5:$T$44,$CU35,BQ$57),""),3,1)="隔",IF(BQ$58=0,LEFT(IFERROR(INDEX(醫師週班表!$C$5:$T$44,$CU35,BQ$57),""),1),""),IF(MID(IFERROR(INDEX(醫師週班表!$C$5:$T$44,$CU35,BQ$57),""),2,1)="(",LEFT(IFERROR(INDEX(醫師週班表!$C$5:$T$44,$CU35,BQ$57),""),1),IFERROR(INDEX(醫師週班表!$C$5:$T$44,$CU35,BQ$57),"")))))))</f>
        <v/>
      </c>
      <c r="BR35" s="68">
        <f>IF(BR$59="X","",IF(BR$59&lt;&gt;"",BR$59,IF(IFERROR(INDEX(醫師週班表!$C$5:$T$44,$CU35,BR$57),"")=0,"",IF(MID(IFERROR(INDEX(醫師週班表!$C$5:$T$44,$CU35,BR$57),""),2,1)="/",MID(IFERROR(INDEX(醫師週班表!$C$5:$T$44,$CU35,BR$57),""),1+BR$58*2,1),IF(MID(IFERROR(INDEX(醫師週班表!$C$5:$T$44,$CU35,BR$57),""),3,1)="隔",IF(BR$58=0,LEFT(IFERROR(INDEX(醫師週班表!$C$5:$T$44,$CU35,BR$57),""),1),""),IF(MID(IFERROR(INDEX(醫師週班表!$C$5:$T$44,$CU35,BR$57),""),2,1)="(",LEFT(IFERROR(INDEX(醫師週班表!$C$5:$T$44,$CU35,BR$57),""),1),IFERROR(INDEX(醫師週班表!$C$5:$T$44,$CU35,BR$57),"")))))))</f>
        <v/>
      </c>
      <c r="BS35" s="67">
        <f>IF(BS$59="X","",IF(BS$59&lt;&gt;"",BS$59,IF(IFERROR(INDEX(醫師週班表!$C$5:$T$44,$CU35,BS$57),"")=0,"",IF(MID(IFERROR(INDEX(醫師週班表!$C$5:$T$44,$CU35,BS$57),""),2,1)="/",MID(IFERROR(INDEX(醫師週班表!$C$5:$T$44,$CU35,BS$57),""),1+BS$58*2,1),IF(MID(IFERROR(INDEX(醫師週班表!$C$5:$T$44,$CU35,BS$57),""),3,1)="隔",IF(BS$58=0,LEFT(IFERROR(INDEX(醫師週班表!$C$5:$T$44,$CU35,BS$57),""),1),""),IF(MID(IFERROR(INDEX(醫師週班表!$C$5:$T$44,$CU35,BS$57),""),2,1)="(",LEFT(IFERROR(INDEX(醫師週班表!$C$5:$T$44,$CU35,BS$57),""),1),IFERROR(INDEX(醫師週班表!$C$5:$T$44,$CU35,BS$57),"")))))))</f>
        <v/>
      </c>
      <c r="BT35" s="68">
        <f>IF(BT$59="X","",IF(BT$59&lt;&gt;"",BT$59,IF(IFERROR(INDEX(醫師週班表!$C$5:$T$44,$CU35,BT$57),"")=0,"",IF(MID(IFERROR(INDEX(醫師週班表!$C$5:$T$44,$CU35,BT$57),""),2,1)="/",MID(IFERROR(INDEX(醫師週班表!$C$5:$T$44,$CU35,BT$57),""),1+BT$58*2,1),IF(MID(IFERROR(INDEX(醫師週班表!$C$5:$T$44,$CU35,BT$57),""),3,1)="隔",IF(BT$58=0,LEFT(IFERROR(INDEX(醫師週班表!$C$5:$T$44,$CU35,BT$57),""),1),""),IF(MID(IFERROR(INDEX(醫師週班表!$C$5:$T$44,$CU35,BT$57),""),2,1)="(",LEFT(IFERROR(INDEX(醫師週班表!$C$5:$T$44,$CU35,BT$57),""),1),IFERROR(INDEX(醫師週班表!$C$5:$T$44,$CU35,BT$57),"")))))))</f>
        <v/>
      </c>
      <c r="BU35" s="68">
        <f>IF(BU$59="X","",IF(BU$59&lt;&gt;"",BU$59,IF(IFERROR(INDEX(醫師週班表!$C$5:$T$44,$CU35,BU$57),"")=0,"",IF(MID(IFERROR(INDEX(醫師週班表!$C$5:$T$44,$CU35,BU$57),""),2,1)="/",MID(IFERROR(INDEX(醫師週班表!$C$5:$T$44,$CU35,BU$57),""),1+BU$58*2,1),IF(MID(IFERROR(INDEX(醫師週班表!$C$5:$T$44,$CU35,BU$57),""),3,1)="隔",IF(BU$58=0,LEFT(IFERROR(INDEX(醫師週班表!$C$5:$T$44,$CU35,BU$57),""),1),""),IF(MID(IFERROR(INDEX(醫師週班表!$C$5:$T$44,$CU35,BU$57),""),2,1)="(",LEFT(IFERROR(INDEX(醫師週班表!$C$5:$T$44,$CU35,BU$57),""),1),IFERROR(INDEX(醫師週班表!$C$5:$T$44,$CU35,BU$57),"")))))))</f>
        <v/>
      </c>
      <c r="BV35" s="67">
        <f>IF(BV$59="X","",IF(BV$59&lt;&gt;"",BV$59,IF(IFERROR(INDEX(醫師週班表!$C$5:$T$44,$CU35,BV$57),"")=0,"",IF(MID(IFERROR(INDEX(醫師週班表!$C$5:$T$44,$CU35,BV$57),""),2,1)="/",MID(IFERROR(INDEX(醫師週班表!$C$5:$T$44,$CU35,BV$57),""),1+BV$58*2,1),IF(MID(IFERROR(INDEX(醫師週班表!$C$5:$T$44,$CU35,BV$57),""),3,1)="隔",IF(BV$58=0,LEFT(IFERROR(INDEX(醫師週班表!$C$5:$T$44,$CU35,BV$57),""),1),""),IF(MID(IFERROR(INDEX(醫師週班表!$C$5:$T$44,$CU35,BV$57),""),2,1)="(",LEFT(IFERROR(INDEX(醫師週班表!$C$5:$T$44,$CU35,BV$57),""),1),IFERROR(INDEX(醫師週班表!$C$5:$T$44,$CU35,BV$57),"")))))))</f>
        <v/>
      </c>
      <c r="BW35" s="68">
        <f>IF(BW$59="X","",IF(BW$59&lt;&gt;"",BW$59,IF(IFERROR(INDEX(醫師週班表!$C$5:$T$44,$CU35,BW$57),"")=0,"",IF(MID(IFERROR(INDEX(醫師週班表!$C$5:$T$44,$CU35,BW$57),""),2,1)="/",MID(IFERROR(INDEX(醫師週班表!$C$5:$T$44,$CU35,BW$57),""),1+BW$58*2,1),IF(MID(IFERROR(INDEX(醫師週班表!$C$5:$T$44,$CU35,BW$57),""),3,1)="隔",IF(BW$58=0,LEFT(IFERROR(INDEX(醫師週班表!$C$5:$T$44,$CU35,BW$57),""),1),""),IF(MID(IFERROR(INDEX(醫師週班表!$C$5:$T$44,$CU35,BW$57),""),2,1)="(",LEFT(IFERROR(INDEX(醫師週班表!$C$5:$T$44,$CU35,BW$57),""),1),IFERROR(INDEX(醫師週班表!$C$5:$T$44,$CU35,BW$57),"")))))))</f>
        <v/>
      </c>
      <c r="BX35" s="68">
        <f>IF(BX$59="X","",IF(BX$59&lt;&gt;"",BX$59,IF(IFERROR(INDEX(醫師週班表!$C$5:$T$44,$CU35,BX$57),"")=0,"",IF(MID(IFERROR(INDEX(醫師週班表!$C$5:$T$44,$CU35,BX$57),""),2,1)="/",MID(IFERROR(INDEX(醫師週班表!$C$5:$T$44,$CU35,BX$57),""),1+BX$58*2,1),IF(MID(IFERROR(INDEX(醫師週班表!$C$5:$T$44,$CU35,BX$57),""),3,1)="隔",IF(BX$58=0,LEFT(IFERROR(INDEX(醫師週班表!$C$5:$T$44,$CU35,BX$57),""),1),""),IF(MID(IFERROR(INDEX(醫師週班表!$C$5:$T$44,$CU35,BX$57),""),2,1)="(",LEFT(IFERROR(INDEX(醫師週班表!$C$5:$T$44,$CU35,BX$57),""),1),IFERROR(INDEX(醫師週班表!$C$5:$T$44,$CU35,BX$57),"")))))))</f>
        <v/>
      </c>
      <c r="BY35" s="67">
        <f>IF(BY$59="X","",IF(BY$59&lt;&gt;"",BY$59,IF(IFERROR(INDEX(醫師週班表!$C$5:$T$44,$CU35,BY$57),"")=0,"",IF(MID(IFERROR(INDEX(醫師週班表!$C$5:$T$44,$CU35,BY$57),""),2,1)="/",MID(IFERROR(INDEX(醫師週班表!$C$5:$T$44,$CU35,BY$57),""),1+BY$58*2,1),IF(MID(IFERROR(INDEX(醫師週班表!$C$5:$T$44,$CU35,BY$57),""),3,1)="隔",IF(BY$58=0,LEFT(IFERROR(INDEX(醫師週班表!$C$5:$T$44,$CU35,BY$57),""),1),""),IF(MID(IFERROR(INDEX(醫師週班表!$C$5:$T$44,$CU35,BY$57),""),2,1)="(",LEFT(IFERROR(INDEX(醫師週班表!$C$5:$T$44,$CU35,BY$57),""),1),IFERROR(INDEX(醫師週班表!$C$5:$T$44,$CU35,BY$57),"")))))))</f>
        <v/>
      </c>
      <c r="BZ35" s="68">
        <f>IF(BZ$59="X","",IF(BZ$59&lt;&gt;"",BZ$59,IF(IFERROR(INDEX(醫師週班表!$C$5:$T$44,$CU35,BZ$57),"")=0,"",IF(MID(IFERROR(INDEX(醫師週班表!$C$5:$T$44,$CU35,BZ$57),""),2,1)="/",MID(IFERROR(INDEX(醫師週班表!$C$5:$T$44,$CU35,BZ$57),""),1+BZ$58*2,1),IF(MID(IFERROR(INDEX(醫師週班表!$C$5:$T$44,$CU35,BZ$57),""),3,1)="隔",IF(BZ$58=0,LEFT(IFERROR(INDEX(醫師週班表!$C$5:$T$44,$CU35,BZ$57),""),1),""),IF(MID(IFERROR(INDEX(醫師週班表!$C$5:$T$44,$CU35,BZ$57),""),2,1)="(",LEFT(IFERROR(INDEX(醫師週班表!$C$5:$T$44,$CU35,BZ$57),""),1),IFERROR(INDEX(醫師週班表!$C$5:$T$44,$CU35,BZ$57),"")))))))</f>
        <v/>
      </c>
      <c r="CA35" s="68">
        <f>IF(CA$59="X","",IF(CA$59&lt;&gt;"",CA$59,IF(IFERROR(INDEX(醫師週班表!$C$5:$T$44,$CU35,CA$57),"")=0,"",IF(MID(IFERROR(INDEX(醫師週班表!$C$5:$T$44,$CU35,CA$57),""),2,1)="/",MID(IFERROR(INDEX(醫師週班表!$C$5:$T$44,$CU35,CA$57),""),1+CA$58*2,1),IF(MID(IFERROR(INDEX(醫師週班表!$C$5:$T$44,$CU35,CA$57),""),3,1)="隔",IF(CA$58=0,LEFT(IFERROR(INDEX(醫師週班表!$C$5:$T$44,$CU35,CA$57),""),1),""),IF(MID(IFERROR(INDEX(醫師週班表!$C$5:$T$44,$CU35,CA$57),""),2,1)="(",LEFT(IFERROR(INDEX(醫師週班表!$C$5:$T$44,$CU35,CA$57),""),1),IFERROR(INDEX(醫師週班表!$C$5:$T$44,$CU35,CA$57),"")))))))</f>
        <v/>
      </c>
      <c r="CB35" s="67">
        <f>IF(CB$59="X","",IF(CB$59&lt;&gt;"",CB$59,IF(IFERROR(INDEX(醫師週班表!$C$5:$T$44,$CU35,CB$57),"")=0,"",IF(MID(IFERROR(INDEX(醫師週班表!$C$5:$T$44,$CU35,CB$57),""),2,1)="/",MID(IFERROR(INDEX(醫師週班表!$C$5:$T$44,$CU35,CB$57),""),1+CB$58*2,1),IF(MID(IFERROR(INDEX(醫師週班表!$C$5:$T$44,$CU35,CB$57),""),3,1)="隔",IF(CB$58=0,LEFT(IFERROR(INDEX(醫師週班表!$C$5:$T$44,$CU35,CB$57),""),1),""),IF(MID(IFERROR(INDEX(醫師週班表!$C$5:$T$44,$CU35,CB$57),""),2,1)="(",LEFT(IFERROR(INDEX(醫師週班表!$C$5:$T$44,$CU35,CB$57),""),1),IFERROR(INDEX(醫師週班表!$C$5:$T$44,$CU35,CB$57),"")))))))</f>
        <v/>
      </c>
      <c r="CC35" s="68">
        <f>IF(CC$59="X","",IF(CC$59&lt;&gt;"",CC$59,IF(IFERROR(INDEX(醫師週班表!$C$5:$T$44,$CU35,CC$57),"")=0,"",IF(MID(IFERROR(INDEX(醫師週班表!$C$5:$T$44,$CU35,CC$57),""),2,1)="/",MID(IFERROR(INDEX(醫師週班表!$C$5:$T$44,$CU35,CC$57),""),1+CC$58*2,1),IF(MID(IFERROR(INDEX(醫師週班表!$C$5:$T$44,$CU35,CC$57),""),3,1)="隔",IF(CC$58=0,LEFT(IFERROR(INDEX(醫師週班表!$C$5:$T$44,$CU35,CC$57),""),1),""),IF(MID(IFERROR(INDEX(醫師週班表!$C$5:$T$44,$CU35,CC$57),""),2,1)="(",LEFT(IFERROR(INDEX(醫師週班表!$C$5:$T$44,$CU35,CC$57),""),1),IFERROR(INDEX(醫師週班表!$C$5:$T$44,$CU35,CC$57),"")))))))</f>
        <v/>
      </c>
      <c r="CD35" s="68">
        <f>IF(CD$59="X","",IF(CD$59&lt;&gt;"",CD$59,IF(IFERROR(INDEX(醫師週班表!$C$5:$T$44,$CU35,CD$57),"")=0,"",IF(MID(IFERROR(INDEX(醫師週班表!$C$5:$T$44,$CU35,CD$57),""),2,1)="/",MID(IFERROR(INDEX(醫師週班表!$C$5:$T$44,$CU35,CD$57),""),1+CD$58*2,1),IF(MID(IFERROR(INDEX(醫師週班表!$C$5:$T$44,$CU35,CD$57),""),3,1)="隔",IF(CD$58=0,LEFT(IFERROR(INDEX(醫師週班表!$C$5:$T$44,$CU35,CD$57),""),1),""),IF(MID(IFERROR(INDEX(醫師週班表!$C$5:$T$44,$CU35,CD$57),""),2,1)="(",LEFT(IFERROR(INDEX(醫師週班表!$C$5:$T$44,$CU35,CD$57),""),1),IFERROR(INDEX(醫師週班表!$C$5:$T$44,$CU35,CD$57),"")))))))</f>
        <v/>
      </c>
      <c r="CE35" s="67">
        <f>IF(CE$59="X","",IF(CE$59&lt;&gt;"",CE$59,IF(IFERROR(INDEX(醫師週班表!$C$5:$T$44,$CU35,CE$57),"")=0,"",IF(MID(IFERROR(INDEX(醫師週班表!$C$5:$T$44,$CU35,CE$57),""),2,1)="/",MID(IFERROR(INDEX(醫師週班表!$C$5:$T$44,$CU35,CE$57),""),1+CE$58*2,1),IF(MID(IFERROR(INDEX(醫師週班表!$C$5:$T$44,$CU35,CE$57),""),3,1)="隔",IF(CE$58=0,LEFT(IFERROR(INDEX(醫師週班表!$C$5:$T$44,$CU35,CE$57),""),1),""),IF(MID(IFERROR(INDEX(醫師週班表!$C$5:$T$44,$CU35,CE$57),""),2,1)="(",LEFT(IFERROR(INDEX(醫師週班表!$C$5:$T$44,$CU35,CE$57),""),1),IFERROR(INDEX(醫師週班表!$C$5:$T$44,$CU35,CE$57),"")))))))</f>
        <v/>
      </c>
      <c r="CF35" s="68">
        <f>IF(CF$59="X","",IF(CF$59&lt;&gt;"",CF$59,IF(IFERROR(INDEX(醫師週班表!$C$5:$T$44,$CU35,CF$57),"")=0,"",IF(MID(IFERROR(INDEX(醫師週班表!$C$5:$T$44,$CU35,CF$57),""),2,1)="/",MID(IFERROR(INDEX(醫師週班表!$C$5:$T$44,$CU35,CF$57),""),1+CF$58*2,1),IF(MID(IFERROR(INDEX(醫師週班表!$C$5:$T$44,$CU35,CF$57),""),3,1)="隔",IF(CF$58=0,LEFT(IFERROR(INDEX(醫師週班表!$C$5:$T$44,$CU35,CF$57),""),1),""),IF(MID(IFERROR(INDEX(醫師週班表!$C$5:$T$44,$CU35,CF$57),""),2,1)="(",LEFT(IFERROR(INDEX(醫師週班表!$C$5:$T$44,$CU35,CF$57),""),1),IFERROR(INDEX(醫師週班表!$C$5:$T$44,$CU35,CF$57),"")))))))</f>
        <v/>
      </c>
      <c r="CG35" s="68">
        <f>IF(CG$59="X","",IF(CG$59&lt;&gt;"",CG$59,IF(IFERROR(INDEX(醫師週班表!$C$5:$T$44,$CU35,CG$57),"")=0,"",IF(MID(IFERROR(INDEX(醫師週班表!$C$5:$T$44,$CU35,CG$57),""),2,1)="/",MID(IFERROR(INDEX(醫師週班表!$C$5:$T$44,$CU35,CG$57),""),1+CG$58*2,1),IF(MID(IFERROR(INDEX(醫師週班表!$C$5:$T$44,$CU35,CG$57),""),3,1)="隔",IF(CG$58=0,LEFT(IFERROR(INDEX(醫師週班表!$C$5:$T$44,$CU35,CG$57),""),1),""),IF(MID(IFERROR(INDEX(醫師週班表!$C$5:$T$44,$CU35,CG$57),""),2,1)="(",LEFT(IFERROR(INDEX(醫師週班表!$C$5:$T$44,$CU35,CG$57),""),1),IFERROR(INDEX(醫師週班表!$C$5:$T$44,$CU35,CG$57),"")))))))</f>
        <v/>
      </c>
      <c r="CH35" s="67">
        <f>IF(CH$59="X","",IF(CH$59&lt;&gt;"",CH$59,IF(IFERROR(INDEX(醫師週班表!$C$5:$T$44,$CU35,CH$57),"")=0,"",IF(MID(IFERROR(INDEX(醫師週班表!$C$5:$T$44,$CU35,CH$57),""),2,1)="/",MID(IFERROR(INDEX(醫師週班表!$C$5:$T$44,$CU35,CH$57),""),1+CH$58*2,1),IF(MID(IFERROR(INDEX(醫師週班表!$C$5:$T$44,$CU35,CH$57),""),3,1)="隔",IF(CH$58=0,LEFT(IFERROR(INDEX(醫師週班表!$C$5:$T$44,$CU35,CH$57),""),1),""),IF(MID(IFERROR(INDEX(醫師週班表!$C$5:$T$44,$CU35,CH$57),""),2,1)="(",LEFT(IFERROR(INDEX(醫師週班表!$C$5:$T$44,$CU35,CH$57),""),1),IFERROR(INDEX(醫師週班表!$C$5:$T$44,$CU35,CH$57),"")))))))</f>
        <v/>
      </c>
      <c r="CI35" s="68">
        <f>IF(CI$59="X","",IF(CI$59&lt;&gt;"",CI$59,IF(IFERROR(INDEX(醫師週班表!$C$5:$T$44,$CU35,CI$57),"")=0,"",IF(MID(IFERROR(INDEX(醫師週班表!$C$5:$T$44,$CU35,CI$57),""),2,1)="/",MID(IFERROR(INDEX(醫師週班表!$C$5:$T$44,$CU35,CI$57),""),1+CI$58*2,1),IF(MID(IFERROR(INDEX(醫師週班表!$C$5:$T$44,$CU35,CI$57),""),3,1)="隔",IF(CI$58=0,LEFT(IFERROR(INDEX(醫師週班表!$C$5:$T$44,$CU35,CI$57),""),1),""),IF(MID(IFERROR(INDEX(醫師週班表!$C$5:$T$44,$CU35,CI$57),""),2,1)="(",LEFT(IFERROR(INDEX(醫師週班表!$C$5:$T$44,$CU35,CI$57),""),1),IFERROR(INDEX(醫師週班表!$C$5:$T$44,$CU35,CI$57),"")))))))</f>
        <v/>
      </c>
      <c r="CJ35" s="68">
        <f>IF(CJ$59="X","",IF(CJ$59&lt;&gt;"",CJ$59,IF(IFERROR(INDEX(醫師週班表!$C$5:$T$44,$CU35,CJ$57),"")=0,"",IF(MID(IFERROR(INDEX(醫師週班表!$C$5:$T$44,$CU35,CJ$57),""),2,1)="/",MID(IFERROR(INDEX(醫師週班表!$C$5:$T$44,$CU35,CJ$57),""),1+CJ$58*2,1),IF(MID(IFERROR(INDEX(醫師週班表!$C$5:$T$44,$CU35,CJ$57),""),3,1)="隔",IF(CJ$58=0,LEFT(IFERROR(INDEX(醫師週班表!$C$5:$T$44,$CU35,CJ$57),""),1),""),IF(MID(IFERROR(INDEX(醫師週班表!$C$5:$T$44,$CU35,CJ$57),""),2,1)="(",LEFT(IFERROR(INDEX(醫師週班表!$C$5:$T$44,$CU35,CJ$57),""),1),IFERROR(INDEX(醫師週班表!$C$5:$T$44,$CU35,CJ$57),"")))))))</f>
        <v/>
      </c>
      <c r="CK35" s="67">
        <f>IF(CK$59="X","",IF(CK$59&lt;&gt;"",CK$59,IF(IFERROR(INDEX(醫師週班表!$C$5:$T$44,$CU35,CK$57),"")=0,"",IF(MID(IFERROR(INDEX(醫師週班表!$C$5:$T$44,$CU35,CK$57),""),2,1)="/",MID(IFERROR(INDEX(醫師週班表!$C$5:$T$44,$CU35,CK$57),""),1+CK$58*2,1),IF(MID(IFERROR(INDEX(醫師週班表!$C$5:$T$44,$CU35,CK$57),""),3,1)="隔",IF(CK$58=0,LEFT(IFERROR(INDEX(醫師週班表!$C$5:$T$44,$CU35,CK$57),""),1),""),IF(MID(IFERROR(INDEX(醫師週班表!$C$5:$T$44,$CU35,CK$57),""),2,1)="(",LEFT(IFERROR(INDEX(醫師週班表!$C$5:$T$44,$CU35,CK$57),""),1),IFERROR(INDEX(醫師週班表!$C$5:$T$44,$CU35,CK$57),"")))))))</f>
        <v/>
      </c>
      <c r="CL35" s="68">
        <f>IF(CL$59="X","",IF(CL$59&lt;&gt;"",CL$59,IF(IFERROR(INDEX(醫師週班表!$C$5:$T$44,$CU35,CL$57),"")=0,"",IF(MID(IFERROR(INDEX(醫師週班表!$C$5:$T$44,$CU35,CL$57),""),2,1)="/",MID(IFERROR(INDEX(醫師週班表!$C$5:$T$44,$CU35,CL$57),""),1+CL$58*2,1),IF(MID(IFERROR(INDEX(醫師週班表!$C$5:$T$44,$CU35,CL$57),""),3,1)="隔",IF(CL$58=0,LEFT(IFERROR(INDEX(醫師週班表!$C$5:$T$44,$CU35,CL$57),""),1),""),IF(MID(IFERROR(INDEX(醫師週班表!$C$5:$T$44,$CU35,CL$57),""),2,1)="(",LEFT(IFERROR(INDEX(醫師週班表!$C$5:$T$44,$CU35,CL$57),""),1),IFERROR(INDEX(醫師週班表!$C$5:$T$44,$CU35,CL$57),"")))))))</f>
        <v/>
      </c>
      <c r="CM35" s="68">
        <f>IF(CM$59="X","",IF(CM$59&lt;&gt;"",CM$59,IF(IFERROR(INDEX(醫師週班表!$C$5:$T$44,$CU35,CM$57),"")=0,"",IF(MID(IFERROR(INDEX(醫師週班表!$C$5:$T$44,$CU35,CM$57),""),2,1)="/",MID(IFERROR(INDEX(醫師週班表!$C$5:$T$44,$CU35,CM$57),""),1+CM$58*2,1),IF(MID(IFERROR(INDEX(醫師週班表!$C$5:$T$44,$CU35,CM$57),""),3,1)="隔",IF(CM$58=0,LEFT(IFERROR(INDEX(醫師週班表!$C$5:$T$44,$CU35,CM$57),""),1),""),IF(MID(IFERROR(INDEX(醫師週班表!$C$5:$T$44,$CU35,CM$57),""),2,1)="(",LEFT(IFERROR(INDEX(醫師週班表!$C$5:$T$44,$CU35,CM$57),""),1),IFERROR(INDEX(醫師週班表!$C$5:$T$44,$CU35,CM$57),"")))))))</f>
        <v/>
      </c>
      <c r="CN35" s="67">
        <f>IF(CN$59="X","",IF(CN$59&lt;&gt;"",CN$59,IF(IFERROR(INDEX(醫師週班表!$C$5:$T$44,$CU35,CN$57),"")=0,"",IF(MID(IFERROR(INDEX(醫師週班表!$C$5:$T$44,$CU35,CN$57),""),2,1)="/",MID(IFERROR(INDEX(醫師週班表!$C$5:$T$44,$CU35,CN$57),""),1+CN$58*2,1),IF(MID(IFERROR(INDEX(醫師週班表!$C$5:$T$44,$CU35,CN$57),""),3,1)="隔",IF(CN$58=0,LEFT(IFERROR(INDEX(醫師週班表!$C$5:$T$44,$CU35,CN$57),""),1),""),IF(MID(IFERROR(INDEX(醫師週班表!$C$5:$T$44,$CU35,CN$57),""),2,1)="(",LEFT(IFERROR(INDEX(醫師週班表!$C$5:$T$44,$CU35,CN$57),""),1),IFERROR(INDEX(醫師週班表!$C$5:$T$44,$CU35,CN$57),"")))))))</f>
        <v/>
      </c>
      <c r="CO35" s="68">
        <f>IF(CO$59="X","",IF(CO$59&lt;&gt;"",CO$59,IF(IFERROR(INDEX(醫師週班表!$C$5:$T$44,$CU35,CO$57),"")=0,"",IF(MID(IFERROR(INDEX(醫師週班表!$C$5:$T$44,$CU35,CO$57),""),2,1)="/",MID(IFERROR(INDEX(醫師週班表!$C$5:$T$44,$CU35,CO$57),""),1+CO$58*2,1),IF(MID(IFERROR(INDEX(醫師週班表!$C$5:$T$44,$CU35,CO$57),""),3,1)="隔",IF(CO$58=0,LEFT(IFERROR(INDEX(醫師週班表!$C$5:$T$44,$CU35,CO$57),""),1),""),IF(MID(IFERROR(INDEX(醫師週班表!$C$5:$T$44,$CU35,CO$57),""),2,1)="(",LEFT(IFERROR(INDEX(醫師週班表!$C$5:$T$44,$CU35,CO$57),""),1),IFERROR(INDEX(醫師週班表!$C$5:$T$44,$CU35,CO$57),"")))))))</f>
        <v/>
      </c>
      <c r="CP35" s="68">
        <f>IF(CP$59="X","",IF(CP$59&lt;&gt;"",CP$59,IF(IFERROR(INDEX(醫師週班表!$C$5:$T$44,$CU35,CP$57),"")=0,"",IF(MID(IFERROR(INDEX(醫師週班表!$C$5:$T$44,$CU35,CP$57),""),2,1)="/",MID(IFERROR(INDEX(醫師週班表!$C$5:$T$44,$CU35,CP$57),""),1+CP$58*2,1),IF(MID(IFERROR(INDEX(醫師週班表!$C$5:$T$44,$CU35,CP$57),""),3,1)="隔",IF(CP$58=0,LEFT(IFERROR(INDEX(醫師週班表!$C$5:$T$44,$CU35,CP$57),""),1),""),IF(MID(IFERROR(INDEX(醫師週班表!$C$5:$T$44,$CU35,CP$57),""),2,1)="(",LEFT(IFERROR(INDEX(醫師週班表!$C$5:$T$44,$CU35,CP$57),""),1),IFERROR(INDEX(醫師週班表!$C$5:$T$44,$CU35,CP$57),"")))))))</f>
        <v/>
      </c>
      <c r="CQ35" s="67">
        <f>IF(CQ$59="X","",IF(CQ$59&lt;&gt;"",CQ$59,IF(IFERROR(INDEX(醫師週班表!$C$5:$T$44,$CU35,CQ$57),"")=0,"",IF(MID(IFERROR(INDEX(醫師週班表!$C$5:$T$44,$CU35,CQ$57),""),2,1)="/",MID(IFERROR(INDEX(醫師週班表!$C$5:$T$44,$CU35,CQ$57),""),1+CQ$58*2,1),IF(MID(IFERROR(INDEX(醫師週班表!$C$5:$T$44,$CU35,CQ$57),""),3,1)="隔",IF(CQ$58=0,LEFT(IFERROR(INDEX(醫師週班表!$C$5:$T$44,$CU35,CQ$57),""),1),""),IF(MID(IFERROR(INDEX(醫師週班表!$C$5:$T$44,$CU35,CQ$57),""),2,1)="(",LEFT(IFERROR(INDEX(醫師週班表!$C$5:$T$44,$CU35,CQ$57),""),1),IFERROR(INDEX(醫師週班表!$C$5:$T$44,$CU35,CQ$57),"")))))))</f>
        <v/>
      </c>
      <c r="CR35" s="68">
        <f>IF(CR$59="X","",IF(CR$59&lt;&gt;"",CR$59,IF(IFERROR(INDEX(醫師週班表!$C$5:$T$44,$CU35,CR$57),"")=0,"",IF(MID(IFERROR(INDEX(醫師週班表!$C$5:$T$44,$CU35,CR$57),""),2,1)="/",MID(IFERROR(INDEX(醫師週班表!$C$5:$T$44,$CU35,CR$57),""),1+CR$58*2,1),IF(MID(IFERROR(INDEX(醫師週班表!$C$5:$T$44,$CU35,CR$57),""),3,1)="隔",IF(CR$58=0,LEFT(IFERROR(INDEX(醫師週班表!$C$5:$T$44,$CU35,CR$57),""),1),""),IF(MID(IFERROR(INDEX(醫師週班表!$C$5:$T$44,$CU35,CR$57),""),2,1)="(",LEFT(IFERROR(INDEX(醫師週班表!$C$5:$T$44,$CU35,CR$57),""),1),IFERROR(INDEX(醫師週班表!$C$5:$T$44,$CU35,CR$57),"")))))))</f>
        <v/>
      </c>
      <c r="CS35" s="68">
        <f>IF(CS$59="X","",IF(CS$59&lt;&gt;"",CS$59,IF(IFERROR(INDEX(醫師週班表!$C$5:$T$44,$CU35,CS$57),"")=0,"",IF(MID(IFERROR(INDEX(醫師週班表!$C$5:$T$44,$CU35,CS$57),""),2,1)="/",MID(IFERROR(INDEX(醫師週班表!$C$5:$T$44,$CU35,CS$57),""),1+CS$58*2,1),IF(MID(IFERROR(INDEX(醫師週班表!$C$5:$T$44,$CU35,CS$57),""),3,1)="隔",IF(CS$58=0,LEFT(IFERROR(INDEX(醫師週班表!$C$5:$T$44,$CU35,CS$57),""),1),""),IF(MID(IFERROR(INDEX(醫師週班表!$C$5:$T$44,$CU35,CS$57),""),2,1)="(",LEFT(IFERROR(INDEX(醫師週班表!$C$5:$T$44,$CU35,CS$57),""),1),IFERROR(INDEX(醫師週班表!$C$5:$T$44,$CU35,CS$57),"")))))))</f>
        <v/>
      </c>
      <c r="CU35" s="69">
        <f>IFERROR(MATCH($A35,醫師週班表!$A$5:$A$44,0),0)</f>
        <v/>
      </c>
    </row>
    <row r="36" ht="17" customHeight="1">
      <c r="A36" s="20" t="n"/>
      <c r="B36" s="16">
        <f>IFERROR(INDEX(設定!$C$62:$C$201,MATCH($A36,設定!$B$62:$B$201,0)),"")</f>
        <v/>
      </c>
      <c r="C36" s="66">
        <f>IFERROR(INDEX(設定!$E$62:$E$201,MATCH($A36,設定!$B$62:$B$201,0)),"")</f>
        <v/>
      </c>
      <c r="D36" s="16">
        <f>IFERROR(INDEX(設定!$F$62:$F$201,MATCH($A36,設定!$B$62:$B$201,0)),"")</f>
        <v/>
      </c>
      <c r="E36" s="67">
        <f>IF(E$59="X","",IF(E$59&lt;&gt;"",E$59,IF(IFERROR(INDEX(醫師週班表!$C$5:$T$44,$CU36,E$57),"")=0,"",IF(MID(IFERROR(INDEX(醫師週班表!$C$5:$T$44,$CU36,E$57),""),2,1)="/",MID(IFERROR(INDEX(醫師週班表!$C$5:$T$44,$CU36,E$57),""),1+E$58*2,1),IF(MID(IFERROR(INDEX(醫師週班表!$C$5:$T$44,$CU36,E$57),""),3,1)="隔",IF(E$58=0,LEFT(IFERROR(INDEX(醫師週班表!$C$5:$T$44,$CU36,E$57),""),1),""),IF(MID(IFERROR(INDEX(醫師週班表!$C$5:$T$44,$CU36,E$57),""),2,1)="(",LEFT(IFERROR(INDEX(醫師週班表!$C$5:$T$44,$CU36,E$57),""),1),IFERROR(INDEX(醫師週班表!$C$5:$T$44,$CU36,E$57),"")))))))</f>
        <v/>
      </c>
      <c r="F36" s="68">
        <f>IF(F$59="X","",IF(F$59&lt;&gt;"",F$59,IF(IFERROR(INDEX(醫師週班表!$C$5:$T$44,$CU36,F$57),"")=0,"",IF(MID(IFERROR(INDEX(醫師週班表!$C$5:$T$44,$CU36,F$57),""),2,1)="/",MID(IFERROR(INDEX(醫師週班表!$C$5:$T$44,$CU36,F$57),""),1+F$58*2,1),IF(MID(IFERROR(INDEX(醫師週班表!$C$5:$T$44,$CU36,F$57),""),3,1)="隔",IF(F$58=0,LEFT(IFERROR(INDEX(醫師週班表!$C$5:$T$44,$CU36,F$57),""),1),""),IF(MID(IFERROR(INDEX(醫師週班表!$C$5:$T$44,$CU36,F$57),""),2,1)="(",LEFT(IFERROR(INDEX(醫師週班表!$C$5:$T$44,$CU36,F$57),""),1),IFERROR(INDEX(醫師週班表!$C$5:$T$44,$CU36,F$57),"")))))))</f>
        <v/>
      </c>
      <c r="G36" s="68">
        <f>IF(G$59="X","",IF(G$59&lt;&gt;"",G$59,IF(IFERROR(INDEX(醫師週班表!$C$5:$T$44,$CU36,G$57),"")=0,"",IF(MID(IFERROR(INDEX(醫師週班表!$C$5:$T$44,$CU36,G$57),""),2,1)="/",MID(IFERROR(INDEX(醫師週班表!$C$5:$T$44,$CU36,G$57),""),1+G$58*2,1),IF(MID(IFERROR(INDEX(醫師週班表!$C$5:$T$44,$CU36,G$57),""),3,1)="隔",IF(G$58=0,LEFT(IFERROR(INDEX(醫師週班表!$C$5:$T$44,$CU36,G$57),""),1),""),IF(MID(IFERROR(INDEX(醫師週班表!$C$5:$T$44,$CU36,G$57),""),2,1)="(",LEFT(IFERROR(INDEX(醫師週班表!$C$5:$T$44,$CU36,G$57),""),1),IFERROR(INDEX(醫師週班表!$C$5:$T$44,$CU36,G$57),"")))))))</f>
        <v/>
      </c>
      <c r="H36" s="67">
        <f>IF(H$59="X","",IF(H$59&lt;&gt;"",H$59,IF(IFERROR(INDEX(醫師週班表!$C$5:$T$44,$CU36,H$57),"")=0,"",IF(MID(IFERROR(INDEX(醫師週班表!$C$5:$T$44,$CU36,H$57),""),2,1)="/",MID(IFERROR(INDEX(醫師週班表!$C$5:$T$44,$CU36,H$57),""),1+H$58*2,1),IF(MID(IFERROR(INDEX(醫師週班表!$C$5:$T$44,$CU36,H$57),""),3,1)="隔",IF(H$58=0,LEFT(IFERROR(INDEX(醫師週班表!$C$5:$T$44,$CU36,H$57),""),1),""),IF(MID(IFERROR(INDEX(醫師週班表!$C$5:$T$44,$CU36,H$57),""),2,1)="(",LEFT(IFERROR(INDEX(醫師週班表!$C$5:$T$44,$CU36,H$57),""),1),IFERROR(INDEX(醫師週班表!$C$5:$T$44,$CU36,H$57),"")))))))</f>
        <v/>
      </c>
      <c r="I36" s="68">
        <f>IF(I$59="X","",IF(I$59&lt;&gt;"",I$59,IF(IFERROR(INDEX(醫師週班表!$C$5:$T$44,$CU36,I$57),"")=0,"",IF(MID(IFERROR(INDEX(醫師週班表!$C$5:$T$44,$CU36,I$57),""),2,1)="/",MID(IFERROR(INDEX(醫師週班表!$C$5:$T$44,$CU36,I$57),""),1+I$58*2,1),IF(MID(IFERROR(INDEX(醫師週班表!$C$5:$T$44,$CU36,I$57),""),3,1)="隔",IF(I$58=0,LEFT(IFERROR(INDEX(醫師週班表!$C$5:$T$44,$CU36,I$57),""),1),""),IF(MID(IFERROR(INDEX(醫師週班表!$C$5:$T$44,$CU36,I$57),""),2,1)="(",LEFT(IFERROR(INDEX(醫師週班表!$C$5:$T$44,$CU36,I$57),""),1),IFERROR(INDEX(醫師週班表!$C$5:$T$44,$CU36,I$57),"")))))))</f>
        <v/>
      </c>
      <c r="J36" s="68">
        <f>IF(J$59="X","",IF(J$59&lt;&gt;"",J$59,IF(IFERROR(INDEX(醫師週班表!$C$5:$T$44,$CU36,J$57),"")=0,"",IF(MID(IFERROR(INDEX(醫師週班表!$C$5:$T$44,$CU36,J$57),""),2,1)="/",MID(IFERROR(INDEX(醫師週班表!$C$5:$T$44,$CU36,J$57),""),1+J$58*2,1),IF(MID(IFERROR(INDEX(醫師週班表!$C$5:$T$44,$CU36,J$57),""),3,1)="隔",IF(J$58=0,LEFT(IFERROR(INDEX(醫師週班表!$C$5:$T$44,$CU36,J$57),""),1),""),IF(MID(IFERROR(INDEX(醫師週班表!$C$5:$T$44,$CU36,J$57),""),2,1)="(",LEFT(IFERROR(INDEX(醫師週班表!$C$5:$T$44,$CU36,J$57),""),1),IFERROR(INDEX(醫師週班表!$C$5:$T$44,$CU36,J$57),"")))))))</f>
        <v/>
      </c>
      <c r="K36" s="67">
        <f>IF(K$59="X","",IF(K$59&lt;&gt;"",K$59,IF(IFERROR(INDEX(醫師週班表!$C$5:$T$44,$CU36,K$57),"")=0,"",IF(MID(IFERROR(INDEX(醫師週班表!$C$5:$T$44,$CU36,K$57),""),2,1)="/",MID(IFERROR(INDEX(醫師週班表!$C$5:$T$44,$CU36,K$57),""),1+K$58*2,1),IF(MID(IFERROR(INDEX(醫師週班表!$C$5:$T$44,$CU36,K$57),""),3,1)="隔",IF(K$58=0,LEFT(IFERROR(INDEX(醫師週班表!$C$5:$T$44,$CU36,K$57),""),1),""),IF(MID(IFERROR(INDEX(醫師週班表!$C$5:$T$44,$CU36,K$57),""),2,1)="(",LEFT(IFERROR(INDEX(醫師週班表!$C$5:$T$44,$CU36,K$57),""),1),IFERROR(INDEX(醫師週班表!$C$5:$T$44,$CU36,K$57),"")))))))</f>
        <v/>
      </c>
      <c r="L36" s="68">
        <f>IF(L$59="X","",IF(L$59&lt;&gt;"",L$59,IF(IFERROR(INDEX(醫師週班表!$C$5:$T$44,$CU36,L$57),"")=0,"",IF(MID(IFERROR(INDEX(醫師週班表!$C$5:$T$44,$CU36,L$57),""),2,1)="/",MID(IFERROR(INDEX(醫師週班表!$C$5:$T$44,$CU36,L$57),""),1+L$58*2,1),IF(MID(IFERROR(INDEX(醫師週班表!$C$5:$T$44,$CU36,L$57),""),3,1)="隔",IF(L$58=0,LEFT(IFERROR(INDEX(醫師週班表!$C$5:$T$44,$CU36,L$57),""),1),""),IF(MID(IFERROR(INDEX(醫師週班表!$C$5:$T$44,$CU36,L$57),""),2,1)="(",LEFT(IFERROR(INDEX(醫師週班表!$C$5:$T$44,$CU36,L$57),""),1),IFERROR(INDEX(醫師週班表!$C$5:$T$44,$CU36,L$57),"")))))))</f>
        <v/>
      </c>
      <c r="M36" s="68">
        <f>IF(M$59="X","",IF(M$59&lt;&gt;"",M$59,IF(IFERROR(INDEX(醫師週班表!$C$5:$T$44,$CU36,M$57),"")=0,"",IF(MID(IFERROR(INDEX(醫師週班表!$C$5:$T$44,$CU36,M$57),""),2,1)="/",MID(IFERROR(INDEX(醫師週班表!$C$5:$T$44,$CU36,M$57),""),1+M$58*2,1),IF(MID(IFERROR(INDEX(醫師週班表!$C$5:$T$44,$CU36,M$57),""),3,1)="隔",IF(M$58=0,LEFT(IFERROR(INDEX(醫師週班表!$C$5:$T$44,$CU36,M$57),""),1),""),IF(MID(IFERROR(INDEX(醫師週班表!$C$5:$T$44,$CU36,M$57),""),2,1)="(",LEFT(IFERROR(INDEX(醫師週班表!$C$5:$T$44,$CU36,M$57),""),1),IFERROR(INDEX(醫師週班表!$C$5:$T$44,$CU36,M$57),"")))))))</f>
        <v/>
      </c>
      <c r="N36" s="67">
        <f>IF(N$59="X","",IF(N$59&lt;&gt;"",N$59,IF(IFERROR(INDEX(醫師週班表!$C$5:$T$44,$CU36,N$57),"")=0,"",IF(MID(IFERROR(INDEX(醫師週班表!$C$5:$T$44,$CU36,N$57),""),2,1)="/",MID(IFERROR(INDEX(醫師週班表!$C$5:$T$44,$CU36,N$57),""),1+N$58*2,1),IF(MID(IFERROR(INDEX(醫師週班表!$C$5:$T$44,$CU36,N$57),""),3,1)="隔",IF(N$58=0,LEFT(IFERROR(INDEX(醫師週班表!$C$5:$T$44,$CU36,N$57),""),1),""),IF(MID(IFERROR(INDEX(醫師週班表!$C$5:$T$44,$CU36,N$57),""),2,1)="(",LEFT(IFERROR(INDEX(醫師週班表!$C$5:$T$44,$CU36,N$57),""),1),IFERROR(INDEX(醫師週班表!$C$5:$T$44,$CU36,N$57),"")))))))</f>
        <v/>
      </c>
      <c r="O36" s="68">
        <f>IF(O$59="X","",IF(O$59&lt;&gt;"",O$59,IF(IFERROR(INDEX(醫師週班表!$C$5:$T$44,$CU36,O$57),"")=0,"",IF(MID(IFERROR(INDEX(醫師週班表!$C$5:$T$44,$CU36,O$57),""),2,1)="/",MID(IFERROR(INDEX(醫師週班表!$C$5:$T$44,$CU36,O$57),""),1+O$58*2,1),IF(MID(IFERROR(INDEX(醫師週班表!$C$5:$T$44,$CU36,O$57),""),3,1)="隔",IF(O$58=0,LEFT(IFERROR(INDEX(醫師週班表!$C$5:$T$44,$CU36,O$57),""),1),""),IF(MID(IFERROR(INDEX(醫師週班表!$C$5:$T$44,$CU36,O$57),""),2,1)="(",LEFT(IFERROR(INDEX(醫師週班表!$C$5:$T$44,$CU36,O$57),""),1),IFERROR(INDEX(醫師週班表!$C$5:$T$44,$CU36,O$57),"")))))))</f>
        <v/>
      </c>
      <c r="P36" s="68">
        <f>IF(P$59="X","",IF(P$59&lt;&gt;"",P$59,IF(IFERROR(INDEX(醫師週班表!$C$5:$T$44,$CU36,P$57),"")=0,"",IF(MID(IFERROR(INDEX(醫師週班表!$C$5:$T$44,$CU36,P$57),""),2,1)="/",MID(IFERROR(INDEX(醫師週班表!$C$5:$T$44,$CU36,P$57),""),1+P$58*2,1),IF(MID(IFERROR(INDEX(醫師週班表!$C$5:$T$44,$CU36,P$57),""),3,1)="隔",IF(P$58=0,LEFT(IFERROR(INDEX(醫師週班表!$C$5:$T$44,$CU36,P$57),""),1),""),IF(MID(IFERROR(INDEX(醫師週班表!$C$5:$T$44,$CU36,P$57),""),2,1)="(",LEFT(IFERROR(INDEX(醫師週班表!$C$5:$T$44,$CU36,P$57),""),1),IFERROR(INDEX(醫師週班表!$C$5:$T$44,$CU36,P$57),"")))))))</f>
        <v/>
      </c>
      <c r="Q36" s="67">
        <f>IF(Q$59="X","",IF(Q$59&lt;&gt;"",Q$59,IF(IFERROR(INDEX(醫師週班表!$C$5:$T$44,$CU36,Q$57),"")=0,"",IF(MID(IFERROR(INDEX(醫師週班表!$C$5:$T$44,$CU36,Q$57),""),2,1)="/",MID(IFERROR(INDEX(醫師週班表!$C$5:$T$44,$CU36,Q$57),""),1+Q$58*2,1),IF(MID(IFERROR(INDEX(醫師週班表!$C$5:$T$44,$CU36,Q$57),""),3,1)="隔",IF(Q$58=0,LEFT(IFERROR(INDEX(醫師週班表!$C$5:$T$44,$CU36,Q$57),""),1),""),IF(MID(IFERROR(INDEX(醫師週班表!$C$5:$T$44,$CU36,Q$57),""),2,1)="(",LEFT(IFERROR(INDEX(醫師週班表!$C$5:$T$44,$CU36,Q$57),""),1),IFERROR(INDEX(醫師週班表!$C$5:$T$44,$CU36,Q$57),"")))))))</f>
        <v/>
      </c>
      <c r="R36" s="68">
        <f>IF(R$59="X","",IF(R$59&lt;&gt;"",R$59,IF(IFERROR(INDEX(醫師週班表!$C$5:$T$44,$CU36,R$57),"")=0,"",IF(MID(IFERROR(INDEX(醫師週班表!$C$5:$T$44,$CU36,R$57),""),2,1)="/",MID(IFERROR(INDEX(醫師週班表!$C$5:$T$44,$CU36,R$57),""),1+R$58*2,1),IF(MID(IFERROR(INDEX(醫師週班表!$C$5:$T$44,$CU36,R$57),""),3,1)="隔",IF(R$58=0,LEFT(IFERROR(INDEX(醫師週班表!$C$5:$T$44,$CU36,R$57),""),1),""),IF(MID(IFERROR(INDEX(醫師週班表!$C$5:$T$44,$CU36,R$57),""),2,1)="(",LEFT(IFERROR(INDEX(醫師週班表!$C$5:$T$44,$CU36,R$57),""),1),IFERROR(INDEX(醫師週班表!$C$5:$T$44,$CU36,R$57),"")))))))</f>
        <v/>
      </c>
      <c r="S36" s="68">
        <f>IF(S$59="X","",IF(S$59&lt;&gt;"",S$59,IF(IFERROR(INDEX(醫師週班表!$C$5:$T$44,$CU36,S$57),"")=0,"",IF(MID(IFERROR(INDEX(醫師週班表!$C$5:$T$44,$CU36,S$57),""),2,1)="/",MID(IFERROR(INDEX(醫師週班表!$C$5:$T$44,$CU36,S$57),""),1+S$58*2,1),IF(MID(IFERROR(INDEX(醫師週班表!$C$5:$T$44,$CU36,S$57),""),3,1)="隔",IF(S$58=0,LEFT(IFERROR(INDEX(醫師週班表!$C$5:$T$44,$CU36,S$57),""),1),""),IF(MID(IFERROR(INDEX(醫師週班表!$C$5:$T$44,$CU36,S$57),""),2,1)="(",LEFT(IFERROR(INDEX(醫師週班表!$C$5:$T$44,$CU36,S$57),""),1),IFERROR(INDEX(醫師週班表!$C$5:$T$44,$CU36,S$57),"")))))))</f>
        <v/>
      </c>
      <c r="T36" s="67">
        <f>IF(T$59="X","",IF(T$59&lt;&gt;"",T$59,IF(IFERROR(INDEX(醫師週班表!$C$5:$T$44,$CU36,T$57),"")=0,"",IF(MID(IFERROR(INDEX(醫師週班表!$C$5:$T$44,$CU36,T$57),""),2,1)="/",MID(IFERROR(INDEX(醫師週班表!$C$5:$T$44,$CU36,T$57),""),1+T$58*2,1),IF(MID(IFERROR(INDEX(醫師週班表!$C$5:$T$44,$CU36,T$57),""),3,1)="隔",IF(T$58=0,LEFT(IFERROR(INDEX(醫師週班表!$C$5:$T$44,$CU36,T$57),""),1),""),IF(MID(IFERROR(INDEX(醫師週班表!$C$5:$T$44,$CU36,T$57),""),2,1)="(",LEFT(IFERROR(INDEX(醫師週班表!$C$5:$T$44,$CU36,T$57),""),1),IFERROR(INDEX(醫師週班表!$C$5:$T$44,$CU36,T$57),"")))))))</f>
        <v/>
      </c>
      <c r="U36" s="68">
        <f>IF(U$59="X","",IF(U$59&lt;&gt;"",U$59,IF(IFERROR(INDEX(醫師週班表!$C$5:$T$44,$CU36,U$57),"")=0,"",IF(MID(IFERROR(INDEX(醫師週班表!$C$5:$T$44,$CU36,U$57),""),2,1)="/",MID(IFERROR(INDEX(醫師週班表!$C$5:$T$44,$CU36,U$57),""),1+U$58*2,1),IF(MID(IFERROR(INDEX(醫師週班表!$C$5:$T$44,$CU36,U$57),""),3,1)="隔",IF(U$58=0,LEFT(IFERROR(INDEX(醫師週班表!$C$5:$T$44,$CU36,U$57),""),1),""),IF(MID(IFERROR(INDEX(醫師週班表!$C$5:$T$44,$CU36,U$57),""),2,1)="(",LEFT(IFERROR(INDEX(醫師週班表!$C$5:$T$44,$CU36,U$57),""),1),IFERROR(INDEX(醫師週班表!$C$5:$T$44,$CU36,U$57),"")))))))</f>
        <v/>
      </c>
      <c r="V36" s="68">
        <f>IF(V$59="X","",IF(V$59&lt;&gt;"",V$59,IF(IFERROR(INDEX(醫師週班表!$C$5:$T$44,$CU36,V$57),"")=0,"",IF(MID(IFERROR(INDEX(醫師週班表!$C$5:$T$44,$CU36,V$57),""),2,1)="/",MID(IFERROR(INDEX(醫師週班表!$C$5:$T$44,$CU36,V$57),""),1+V$58*2,1),IF(MID(IFERROR(INDEX(醫師週班表!$C$5:$T$44,$CU36,V$57),""),3,1)="隔",IF(V$58=0,LEFT(IFERROR(INDEX(醫師週班表!$C$5:$T$44,$CU36,V$57),""),1),""),IF(MID(IFERROR(INDEX(醫師週班表!$C$5:$T$44,$CU36,V$57),""),2,1)="(",LEFT(IFERROR(INDEX(醫師週班表!$C$5:$T$44,$CU36,V$57),""),1),IFERROR(INDEX(醫師週班表!$C$5:$T$44,$CU36,V$57),"")))))))</f>
        <v/>
      </c>
      <c r="W36" s="67">
        <f>IF(W$59="X","",IF(W$59&lt;&gt;"",W$59,IF(IFERROR(INDEX(醫師週班表!$C$5:$T$44,$CU36,W$57),"")=0,"",IF(MID(IFERROR(INDEX(醫師週班表!$C$5:$T$44,$CU36,W$57),""),2,1)="/",MID(IFERROR(INDEX(醫師週班表!$C$5:$T$44,$CU36,W$57),""),1+W$58*2,1),IF(MID(IFERROR(INDEX(醫師週班表!$C$5:$T$44,$CU36,W$57),""),3,1)="隔",IF(W$58=0,LEFT(IFERROR(INDEX(醫師週班表!$C$5:$T$44,$CU36,W$57),""),1),""),IF(MID(IFERROR(INDEX(醫師週班表!$C$5:$T$44,$CU36,W$57),""),2,1)="(",LEFT(IFERROR(INDEX(醫師週班表!$C$5:$T$44,$CU36,W$57),""),1),IFERROR(INDEX(醫師週班表!$C$5:$T$44,$CU36,W$57),"")))))))</f>
        <v/>
      </c>
      <c r="X36" s="68">
        <f>IF(X$59="X","",IF(X$59&lt;&gt;"",X$59,IF(IFERROR(INDEX(醫師週班表!$C$5:$T$44,$CU36,X$57),"")=0,"",IF(MID(IFERROR(INDEX(醫師週班表!$C$5:$T$44,$CU36,X$57),""),2,1)="/",MID(IFERROR(INDEX(醫師週班表!$C$5:$T$44,$CU36,X$57),""),1+X$58*2,1),IF(MID(IFERROR(INDEX(醫師週班表!$C$5:$T$44,$CU36,X$57),""),3,1)="隔",IF(X$58=0,LEFT(IFERROR(INDEX(醫師週班表!$C$5:$T$44,$CU36,X$57),""),1),""),IF(MID(IFERROR(INDEX(醫師週班表!$C$5:$T$44,$CU36,X$57),""),2,1)="(",LEFT(IFERROR(INDEX(醫師週班表!$C$5:$T$44,$CU36,X$57),""),1),IFERROR(INDEX(醫師週班表!$C$5:$T$44,$CU36,X$57),"")))))))</f>
        <v/>
      </c>
      <c r="Y36" s="68">
        <f>IF(Y$59="X","",IF(Y$59&lt;&gt;"",Y$59,IF(IFERROR(INDEX(醫師週班表!$C$5:$T$44,$CU36,Y$57),"")=0,"",IF(MID(IFERROR(INDEX(醫師週班表!$C$5:$T$44,$CU36,Y$57),""),2,1)="/",MID(IFERROR(INDEX(醫師週班表!$C$5:$T$44,$CU36,Y$57),""),1+Y$58*2,1),IF(MID(IFERROR(INDEX(醫師週班表!$C$5:$T$44,$CU36,Y$57),""),3,1)="隔",IF(Y$58=0,LEFT(IFERROR(INDEX(醫師週班表!$C$5:$T$44,$CU36,Y$57),""),1),""),IF(MID(IFERROR(INDEX(醫師週班表!$C$5:$T$44,$CU36,Y$57),""),2,1)="(",LEFT(IFERROR(INDEX(醫師週班表!$C$5:$T$44,$CU36,Y$57),""),1),IFERROR(INDEX(醫師週班表!$C$5:$T$44,$CU36,Y$57),"")))))))</f>
        <v/>
      </c>
      <c r="Z36" s="67">
        <f>IF(Z$59="X","",IF(Z$59&lt;&gt;"",Z$59,IF(IFERROR(INDEX(醫師週班表!$C$5:$T$44,$CU36,Z$57),"")=0,"",IF(MID(IFERROR(INDEX(醫師週班表!$C$5:$T$44,$CU36,Z$57),""),2,1)="/",MID(IFERROR(INDEX(醫師週班表!$C$5:$T$44,$CU36,Z$57),""),1+Z$58*2,1),IF(MID(IFERROR(INDEX(醫師週班表!$C$5:$T$44,$CU36,Z$57),""),3,1)="隔",IF(Z$58=0,LEFT(IFERROR(INDEX(醫師週班表!$C$5:$T$44,$CU36,Z$57),""),1),""),IF(MID(IFERROR(INDEX(醫師週班表!$C$5:$T$44,$CU36,Z$57),""),2,1)="(",LEFT(IFERROR(INDEX(醫師週班表!$C$5:$T$44,$CU36,Z$57),""),1),IFERROR(INDEX(醫師週班表!$C$5:$T$44,$CU36,Z$57),"")))))))</f>
        <v/>
      </c>
      <c r="AA36" s="68">
        <f>IF(AA$59="X","",IF(AA$59&lt;&gt;"",AA$59,IF(IFERROR(INDEX(醫師週班表!$C$5:$T$44,$CU36,AA$57),"")=0,"",IF(MID(IFERROR(INDEX(醫師週班表!$C$5:$T$44,$CU36,AA$57),""),2,1)="/",MID(IFERROR(INDEX(醫師週班表!$C$5:$T$44,$CU36,AA$57),""),1+AA$58*2,1),IF(MID(IFERROR(INDEX(醫師週班表!$C$5:$T$44,$CU36,AA$57),""),3,1)="隔",IF(AA$58=0,LEFT(IFERROR(INDEX(醫師週班表!$C$5:$T$44,$CU36,AA$57),""),1),""),IF(MID(IFERROR(INDEX(醫師週班表!$C$5:$T$44,$CU36,AA$57),""),2,1)="(",LEFT(IFERROR(INDEX(醫師週班表!$C$5:$T$44,$CU36,AA$57),""),1),IFERROR(INDEX(醫師週班表!$C$5:$T$44,$CU36,AA$57),"")))))))</f>
        <v/>
      </c>
      <c r="AB36" s="68">
        <f>IF(AB$59="X","",IF(AB$59&lt;&gt;"",AB$59,IF(IFERROR(INDEX(醫師週班表!$C$5:$T$44,$CU36,AB$57),"")=0,"",IF(MID(IFERROR(INDEX(醫師週班表!$C$5:$T$44,$CU36,AB$57),""),2,1)="/",MID(IFERROR(INDEX(醫師週班表!$C$5:$T$44,$CU36,AB$57),""),1+AB$58*2,1),IF(MID(IFERROR(INDEX(醫師週班表!$C$5:$T$44,$CU36,AB$57),""),3,1)="隔",IF(AB$58=0,LEFT(IFERROR(INDEX(醫師週班表!$C$5:$T$44,$CU36,AB$57),""),1),""),IF(MID(IFERROR(INDEX(醫師週班表!$C$5:$T$44,$CU36,AB$57),""),2,1)="(",LEFT(IFERROR(INDEX(醫師週班表!$C$5:$T$44,$CU36,AB$57),""),1),IFERROR(INDEX(醫師週班表!$C$5:$T$44,$CU36,AB$57),"")))))))</f>
        <v/>
      </c>
      <c r="AC36" s="67">
        <f>IF(AC$59="X","",IF(AC$59&lt;&gt;"",AC$59,IF(IFERROR(INDEX(醫師週班表!$C$5:$T$44,$CU36,AC$57),"")=0,"",IF(MID(IFERROR(INDEX(醫師週班表!$C$5:$T$44,$CU36,AC$57),""),2,1)="/",MID(IFERROR(INDEX(醫師週班表!$C$5:$T$44,$CU36,AC$57),""),1+AC$58*2,1),IF(MID(IFERROR(INDEX(醫師週班表!$C$5:$T$44,$CU36,AC$57),""),3,1)="隔",IF(AC$58=0,LEFT(IFERROR(INDEX(醫師週班表!$C$5:$T$44,$CU36,AC$57),""),1),""),IF(MID(IFERROR(INDEX(醫師週班表!$C$5:$T$44,$CU36,AC$57),""),2,1)="(",LEFT(IFERROR(INDEX(醫師週班表!$C$5:$T$44,$CU36,AC$57),""),1),IFERROR(INDEX(醫師週班表!$C$5:$T$44,$CU36,AC$57),"")))))))</f>
        <v/>
      </c>
      <c r="AD36" s="68">
        <f>IF(AD$59="X","",IF(AD$59&lt;&gt;"",AD$59,IF(IFERROR(INDEX(醫師週班表!$C$5:$T$44,$CU36,AD$57),"")=0,"",IF(MID(IFERROR(INDEX(醫師週班表!$C$5:$T$44,$CU36,AD$57),""),2,1)="/",MID(IFERROR(INDEX(醫師週班表!$C$5:$T$44,$CU36,AD$57),""),1+AD$58*2,1),IF(MID(IFERROR(INDEX(醫師週班表!$C$5:$T$44,$CU36,AD$57),""),3,1)="隔",IF(AD$58=0,LEFT(IFERROR(INDEX(醫師週班表!$C$5:$T$44,$CU36,AD$57),""),1),""),IF(MID(IFERROR(INDEX(醫師週班表!$C$5:$T$44,$CU36,AD$57),""),2,1)="(",LEFT(IFERROR(INDEX(醫師週班表!$C$5:$T$44,$CU36,AD$57),""),1),IFERROR(INDEX(醫師週班表!$C$5:$T$44,$CU36,AD$57),"")))))))</f>
        <v/>
      </c>
      <c r="AE36" s="68">
        <f>IF(AE$59="X","",IF(AE$59&lt;&gt;"",AE$59,IF(IFERROR(INDEX(醫師週班表!$C$5:$T$44,$CU36,AE$57),"")=0,"",IF(MID(IFERROR(INDEX(醫師週班表!$C$5:$T$44,$CU36,AE$57),""),2,1)="/",MID(IFERROR(INDEX(醫師週班表!$C$5:$T$44,$CU36,AE$57),""),1+AE$58*2,1),IF(MID(IFERROR(INDEX(醫師週班表!$C$5:$T$44,$CU36,AE$57),""),3,1)="隔",IF(AE$58=0,LEFT(IFERROR(INDEX(醫師週班表!$C$5:$T$44,$CU36,AE$57),""),1),""),IF(MID(IFERROR(INDEX(醫師週班表!$C$5:$T$44,$CU36,AE$57),""),2,1)="(",LEFT(IFERROR(INDEX(醫師週班表!$C$5:$T$44,$CU36,AE$57),""),1),IFERROR(INDEX(醫師週班表!$C$5:$T$44,$CU36,AE$57),"")))))))</f>
        <v/>
      </c>
      <c r="AF36" s="67">
        <f>IF(AF$59="X","",IF(AF$59&lt;&gt;"",AF$59,IF(IFERROR(INDEX(醫師週班表!$C$5:$T$44,$CU36,AF$57),"")=0,"",IF(MID(IFERROR(INDEX(醫師週班表!$C$5:$T$44,$CU36,AF$57),""),2,1)="/",MID(IFERROR(INDEX(醫師週班表!$C$5:$T$44,$CU36,AF$57),""),1+AF$58*2,1),IF(MID(IFERROR(INDEX(醫師週班表!$C$5:$T$44,$CU36,AF$57),""),3,1)="隔",IF(AF$58=0,LEFT(IFERROR(INDEX(醫師週班表!$C$5:$T$44,$CU36,AF$57),""),1),""),IF(MID(IFERROR(INDEX(醫師週班表!$C$5:$T$44,$CU36,AF$57),""),2,1)="(",LEFT(IFERROR(INDEX(醫師週班表!$C$5:$T$44,$CU36,AF$57),""),1),IFERROR(INDEX(醫師週班表!$C$5:$T$44,$CU36,AF$57),"")))))))</f>
        <v/>
      </c>
      <c r="AG36" s="68">
        <f>IF(AG$59="X","",IF(AG$59&lt;&gt;"",AG$59,IF(IFERROR(INDEX(醫師週班表!$C$5:$T$44,$CU36,AG$57),"")=0,"",IF(MID(IFERROR(INDEX(醫師週班表!$C$5:$T$44,$CU36,AG$57),""),2,1)="/",MID(IFERROR(INDEX(醫師週班表!$C$5:$T$44,$CU36,AG$57),""),1+AG$58*2,1),IF(MID(IFERROR(INDEX(醫師週班表!$C$5:$T$44,$CU36,AG$57),""),3,1)="隔",IF(AG$58=0,LEFT(IFERROR(INDEX(醫師週班表!$C$5:$T$44,$CU36,AG$57),""),1),""),IF(MID(IFERROR(INDEX(醫師週班表!$C$5:$T$44,$CU36,AG$57),""),2,1)="(",LEFT(IFERROR(INDEX(醫師週班表!$C$5:$T$44,$CU36,AG$57),""),1),IFERROR(INDEX(醫師週班表!$C$5:$T$44,$CU36,AG$57),"")))))))</f>
        <v/>
      </c>
      <c r="AH36" s="68">
        <f>IF(AH$59="X","",IF(AH$59&lt;&gt;"",AH$59,IF(IFERROR(INDEX(醫師週班表!$C$5:$T$44,$CU36,AH$57),"")=0,"",IF(MID(IFERROR(INDEX(醫師週班表!$C$5:$T$44,$CU36,AH$57),""),2,1)="/",MID(IFERROR(INDEX(醫師週班表!$C$5:$T$44,$CU36,AH$57),""),1+AH$58*2,1),IF(MID(IFERROR(INDEX(醫師週班表!$C$5:$T$44,$CU36,AH$57),""),3,1)="隔",IF(AH$58=0,LEFT(IFERROR(INDEX(醫師週班表!$C$5:$T$44,$CU36,AH$57),""),1),""),IF(MID(IFERROR(INDEX(醫師週班表!$C$5:$T$44,$CU36,AH$57),""),2,1)="(",LEFT(IFERROR(INDEX(醫師週班表!$C$5:$T$44,$CU36,AH$57),""),1),IFERROR(INDEX(醫師週班表!$C$5:$T$44,$CU36,AH$57),"")))))))</f>
        <v/>
      </c>
      <c r="AI36" s="67">
        <f>IF(AI$59="X","",IF(AI$59&lt;&gt;"",AI$59,IF(IFERROR(INDEX(醫師週班表!$C$5:$T$44,$CU36,AI$57),"")=0,"",IF(MID(IFERROR(INDEX(醫師週班表!$C$5:$T$44,$CU36,AI$57),""),2,1)="/",MID(IFERROR(INDEX(醫師週班表!$C$5:$T$44,$CU36,AI$57),""),1+AI$58*2,1),IF(MID(IFERROR(INDEX(醫師週班表!$C$5:$T$44,$CU36,AI$57),""),3,1)="隔",IF(AI$58=0,LEFT(IFERROR(INDEX(醫師週班表!$C$5:$T$44,$CU36,AI$57),""),1),""),IF(MID(IFERROR(INDEX(醫師週班表!$C$5:$T$44,$CU36,AI$57),""),2,1)="(",LEFT(IFERROR(INDEX(醫師週班表!$C$5:$T$44,$CU36,AI$57),""),1),IFERROR(INDEX(醫師週班表!$C$5:$T$44,$CU36,AI$57),"")))))))</f>
        <v/>
      </c>
      <c r="AJ36" s="68">
        <f>IF(AJ$59="X","",IF(AJ$59&lt;&gt;"",AJ$59,IF(IFERROR(INDEX(醫師週班表!$C$5:$T$44,$CU36,AJ$57),"")=0,"",IF(MID(IFERROR(INDEX(醫師週班表!$C$5:$T$44,$CU36,AJ$57),""),2,1)="/",MID(IFERROR(INDEX(醫師週班表!$C$5:$T$44,$CU36,AJ$57),""),1+AJ$58*2,1),IF(MID(IFERROR(INDEX(醫師週班表!$C$5:$T$44,$CU36,AJ$57),""),3,1)="隔",IF(AJ$58=0,LEFT(IFERROR(INDEX(醫師週班表!$C$5:$T$44,$CU36,AJ$57),""),1),""),IF(MID(IFERROR(INDEX(醫師週班表!$C$5:$T$44,$CU36,AJ$57),""),2,1)="(",LEFT(IFERROR(INDEX(醫師週班表!$C$5:$T$44,$CU36,AJ$57),""),1),IFERROR(INDEX(醫師週班表!$C$5:$T$44,$CU36,AJ$57),"")))))))</f>
        <v/>
      </c>
      <c r="AK36" s="68">
        <f>IF(AK$59="X","",IF(AK$59&lt;&gt;"",AK$59,IF(IFERROR(INDEX(醫師週班表!$C$5:$T$44,$CU36,AK$57),"")=0,"",IF(MID(IFERROR(INDEX(醫師週班表!$C$5:$T$44,$CU36,AK$57),""),2,1)="/",MID(IFERROR(INDEX(醫師週班表!$C$5:$T$44,$CU36,AK$57),""),1+AK$58*2,1),IF(MID(IFERROR(INDEX(醫師週班表!$C$5:$T$44,$CU36,AK$57),""),3,1)="隔",IF(AK$58=0,LEFT(IFERROR(INDEX(醫師週班表!$C$5:$T$44,$CU36,AK$57),""),1),""),IF(MID(IFERROR(INDEX(醫師週班表!$C$5:$T$44,$CU36,AK$57),""),2,1)="(",LEFT(IFERROR(INDEX(醫師週班表!$C$5:$T$44,$CU36,AK$57),""),1),IFERROR(INDEX(醫師週班表!$C$5:$T$44,$CU36,AK$57),"")))))))</f>
        <v/>
      </c>
      <c r="AL36" s="67">
        <f>IF(AL$59="X","",IF(AL$59&lt;&gt;"",AL$59,IF(IFERROR(INDEX(醫師週班表!$C$5:$T$44,$CU36,AL$57),"")=0,"",IF(MID(IFERROR(INDEX(醫師週班表!$C$5:$T$44,$CU36,AL$57),""),2,1)="/",MID(IFERROR(INDEX(醫師週班表!$C$5:$T$44,$CU36,AL$57),""),1+AL$58*2,1),IF(MID(IFERROR(INDEX(醫師週班表!$C$5:$T$44,$CU36,AL$57),""),3,1)="隔",IF(AL$58=0,LEFT(IFERROR(INDEX(醫師週班表!$C$5:$T$44,$CU36,AL$57),""),1),""),IF(MID(IFERROR(INDEX(醫師週班表!$C$5:$T$44,$CU36,AL$57),""),2,1)="(",LEFT(IFERROR(INDEX(醫師週班表!$C$5:$T$44,$CU36,AL$57),""),1),IFERROR(INDEX(醫師週班表!$C$5:$T$44,$CU36,AL$57),"")))))))</f>
        <v/>
      </c>
      <c r="AM36" s="68">
        <f>IF(AM$59="X","",IF(AM$59&lt;&gt;"",AM$59,IF(IFERROR(INDEX(醫師週班表!$C$5:$T$44,$CU36,AM$57),"")=0,"",IF(MID(IFERROR(INDEX(醫師週班表!$C$5:$T$44,$CU36,AM$57),""),2,1)="/",MID(IFERROR(INDEX(醫師週班表!$C$5:$T$44,$CU36,AM$57),""),1+AM$58*2,1),IF(MID(IFERROR(INDEX(醫師週班表!$C$5:$T$44,$CU36,AM$57),""),3,1)="隔",IF(AM$58=0,LEFT(IFERROR(INDEX(醫師週班表!$C$5:$T$44,$CU36,AM$57),""),1),""),IF(MID(IFERROR(INDEX(醫師週班表!$C$5:$T$44,$CU36,AM$57),""),2,1)="(",LEFT(IFERROR(INDEX(醫師週班表!$C$5:$T$44,$CU36,AM$57),""),1),IFERROR(INDEX(醫師週班表!$C$5:$T$44,$CU36,AM$57),"")))))))</f>
        <v/>
      </c>
      <c r="AN36" s="68">
        <f>IF(AN$59="X","",IF(AN$59&lt;&gt;"",AN$59,IF(IFERROR(INDEX(醫師週班表!$C$5:$T$44,$CU36,AN$57),"")=0,"",IF(MID(IFERROR(INDEX(醫師週班表!$C$5:$T$44,$CU36,AN$57),""),2,1)="/",MID(IFERROR(INDEX(醫師週班表!$C$5:$T$44,$CU36,AN$57),""),1+AN$58*2,1),IF(MID(IFERROR(INDEX(醫師週班表!$C$5:$T$44,$CU36,AN$57),""),3,1)="隔",IF(AN$58=0,LEFT(IFERROR(INDEX(醫師週班表!$C$5:$T$44,$CU36,AN$57),""),1),""),IF(MID(IFERROR(INDEX(醫師週班表!$C$5:$T$44,$CU36,AN$57),""),2,1)="(",LEFT(IFERROR(INDEX(醫師週班表!$C$5:$T$44,$CU36,AN$57),""),1),IFERROR(INDEX(醫師週班表!$C$5:$T$44,$CU36,AN$57),"")))))))</f>
        <v/>
      </c>
      <c r="AO36" s="67">
        <f>IF(AO$59="X","",IF(AO$59&lt;&gt;"",AO$59,IF(IFERROR(INDEX(醫師週班表!$C$5:$T$44,$CU36,AO$57),"")=0,"",IF(MID(IFERROR(INDEX(醫師週班表!$C$5:$T$44,$CU36,AO$57),""),2,1)="/",MID(IFERROR(INDEX(醫師週班表!$C$5:$T$44,$CU36,AO$57),""),1+AO$58*2,1),IF(MID(IFERROR(INDEX(醫師週班表!$C$5:$T$44,$CU36,AO$57),""),3,1)="隔",IF(AO$58=0,LEFT(IFERROR(INDEX(醫師週班表!$C$5:$T$44,$CU36,AO$57),""),1),""),IF(MID(IFERROR(INDEX(醫師週班表!$C$5:$T$44,$CU36,AO$57),""),2,1)="(",LEFT(IFERROR(INDEX(醫師週班表!$C$5:$T$44,$CU36,AO$57),""),1),IFERROR(INDEX(醫師週班表!$C$5:$T$44,$CU36,AO$57),"")))))))</f>
        <v/>
      </c>
      <c r="AP36" s="68">
        <f>IF(AP$59="X","",IF(AP$59&lt;&gt;"",AP$59,IF(IFERROR(INDEX(醫師週班表!$C$5:$T$44,$CU36,AP$57),"")=0,"",IF(MID(IFERROR(INDEX(醫師週班表!$C$5:$T$44,$CU36,AP$57),""),2,1)="/",MID(IFERROR(INDEX(醫師週班表!$C$5:$T$44,$CU36,AP$57),""),1+AP$58*2,1),IF(MID(IFERROR(INDEX(醫師週班表!$C$5:$T$44,$CU36,AP$57),""),3,1)="隔",IF(AP$58=0,LEFT(IFERROR(INDEX(醫師週班表!$C$5:$T$44,$CU36,AP$57),""),1),""),IF(MID(IFERROR(INDEX(醫師週班表!$C$5:$T$44,$CU36,AP$57),""),2,1)="(",LEFT(IFERROR(INDEX(醫師週班表!$C$5:$T$44,$CU36,AP$57),""),1),IFERROR(INDEX(醫師週班表!$C$5:$T$44,$CU36,AP$57),"")))))))</f>
        <v/>
      </c>
      <c r="AQ36" s="68">
        <f>IF(AQ$59="X","",IF(AQ$59&lt;&gt;"",AQ$59,IF(IFERROR(INDEX(醫師週班表!$C$5:$T$44,$CU36,AQ$57),"")=0,"",IF(MID(IFERROR(INDEX(醫師週班表!$C$5:$T$44,$CU36,AQ$57),""),2,1)="/",MID(IFERROR(INDEX(醫師週班表!$C$5:$T$44,$CU36,AQ$57),""),1+AQ$58*2,1),IF(MID(IFERROR(INDEX(醫師週班表!$C$5:$T$44,$CU36,AQ$57),""),3,1)="隔",IF(AQ$58=0,LEFT(IFERROR(INDEX(醫師週班表!$C$5:$T$44,$CU36,AQ$57),""),1),""),IF(MID(IFERROR(INDEX(醫師週班表!$C$5:$T$44,$CU36,AQ$57),""),2,1)="(",LEFT(IFERROR(INDEX(醫師週班表!$C$5:$T$44,$CU36,AQ$57),""),1),IFERROR(INDEX(醫師週班表!$C$5:$T$44,$CU36,AQ$57),"")))))))</f>
        <v/>
      </c>
      <c r="AR36" s="67">
        <f>IF(AR$59="X","",IF(AR$59&lt;&gt;"",AR$59,IF(IFERROR(INDEX(醫師週班表!$C$5:$T$44,$CU36,AR$57),"")=0,"",IF(MID(IFERROR(INDEX(醫師週班表!$C$5:$T$44,$CU36,AR$57),""),2,1)="/",MID(IFERROR(INDEX(醫師週班表!$C$5:$T$44,$CU36,AR$57),""),1+AR$58*2,1),IF(MID(IFERROR(INDEX(醫師週班表!$C$5:$T$44,$CU36,AR$57),""),3,1)="隔",IF(AR$58=0,LEFT(IFERROR(INDEX(醫師週班表!$C$5:$T$44,$CU36,AR$57),""),1),""),IF(MID(IFERROR(INDEX(醫師週班表!$C$5:$T$44,$CU36,AR$57),""),2,1)="(",LEFT(IFERROR(INDEX(醫師週班表!$C$5:$T$44,$CU36,AR$57),""),1),IFERROR(INDEX(醫師週班表!$C$5:$T$44,$CU36,AR$57),"")))))))</f>
        <v/>
      </c>
      <c r="AS36" s="68">
        <f>IF(AS$59="X","",IF(AS$59&lt;&gt;"",AS$59,IF(IFERROR(INDEX(醫師週班表!$C$5:$T$44,$CU36,AS$57),"")=0,"",IF(MID(IFERROR(INDEX(醫師週班表!$C$5:$T$44,$CU36,AS$57),""),2,1)="/",MID(IFERROR(INDEX(醫師週班表!$C$5:$T$44,$CU36,AS$57),""),1+AS$58*2,1),IF(MID(IFERROR(INDEX(醫師週班表!$C$5:$T$44,$CU36,AS$57),""),3,1)="隔",IF(AS$58=0,LEFT(IFERROR(INDEX(醫師週班表!$C$5:$T$44,$CU36,AS$57),""),1),""),IF(MID(IFERROR(INDEX(醫師週班表!$C$5:$T$44,$CU36,AS$57),""),2,1)="(",LEFT(IFERROR(INDEX(醫師週班表!$C$5:$T$44,$CU36,AS$57),""),1),IFERROR(INDEX(醫師週班表!$C$5:$T$44,$CU36,AS$57),"")))))))</f>
        <v/>
      </c>
      <c r="AT36" s="68">
        <f>IF(AT$59="X","",IF(AT$59&lt;&gt;"",AT$59,IF(IFERROR(INDEX(醫師週班表!$C$5:$T$44,$CU36,AT$57),"")=0,"",IF(MID(IFERROR(INDEX(醫師週班表!$C$5:$T$44,$CU36,AT$57),""),2,1)="/",MID(IFERROR(INDEX(醫師週班表!$C$5:$T$44,$CU36,AT$57),""),1+AT$58*2,1),IF(MID(IFERROR(INDEX(醫師週班表!$C$5:$T$44,$CU36,AT$57),""),3,1)="隔",IF(AT$58=0,LEFT(IFERROR(INDEX(醫師週班表!$C$5:$T$44,$CU36,AT$57),""),1),""),IF(MID(IFERROR(INDEX(醫師週班表!$C$5:$T$44,$CU36,AT$57),""),2,1)="(",LEFT(IFERROR(INDEX(醫師週班表!$C$5:$T$44,$CU36,AT$57),""),1),IFERROR(INDEX(醫師週班表!$C$5:$T$44,$CU36,AT$57),"")))))))</f>
        <v/>
      </c>
      <c r="AU36" s="67">
        <f>IF(AU$59="X","",IF(AU$59&lt;&gt;"",AU$59,IF(IFERROR(INDEX(醫師週班表!$C$5:$T$44,$CU36,AU$57),"")=0,"",IF(MID(IFERROR(INDEX(醫師週班表!$C$5:$T$44,$CU36,AU$57),""),2,1)="/",MID(IFERROR(INDEX(醫師週班表!$C$5:$T$44,$CU36,AU$57),""),1+AU$58*2,1),IF(MID(IFERROR(INDEX(醫師週班表!$C$5:$T$44,$CU36,AU$57),""),3,1)="隔",IF(AU$58=0,LEFT(IFERROR(INDEX(醫師週班表!$C$5:$T$44,$CU36,AU$57),""),1),""),IF(MID(IFERROR(INDEX(醫師週班表!$C$5:$T$44,$CU36,AU$57),""),2,1)="(",LEFT(IFERROR(INDEX(醫師週班表!$C$5:$T$44,$CU36,AU$57),""),1),IFERROR(INDEX(醫師週班表!$C$5:$T$44,$CU36,AU$57),"")))))))</f>
        <v/>
      </c>
      <c r="AV36" s="68">
        <f>IF(AV$59="X","",IF(AV$59&lt;&gt;"",AV$59,IF(IFERROR(INDEX(醫師週班表!$C$5:$T$44,$CU36,AV$57),"")=0,"",IF(MID(IFERROR(INDEX(醫師週班表!$C$5:$T$44,$CU36,AV$57),""),2,1)="/",MID(IFERROR(INDEX(醫師週班表!$C$5:$T$44,$CU36,AV$57),""),1+AV$58*2,1),IF(MID(IFERROR(INDEX(醫師週班表!$C$5:$T$44,$CU36,AV$57),""),3,1)="隔",IF(AV$58=0,LEFT(IFERROR(INDEX(醫師週班表!$C$5:$T$44,$CU36,AV$57),""),1),""),IF(MID(IFERROR(INDEX(醫師週班表!$C$5:$T$44,$CU36,AV$57),""),2,1)="(",LEFT(IFERROR(INDEX(醫師週班表!$C$5:$T$44,$CU36,AV$57),""),1),IFERROR(INDEX(醫師週班表!$C$5:$T$44,$CU36,AV$57),"")))))))</f>
        <v/>
      </c>
      <c r="AW36" s="68">
        <f>IF(AW$59="X","",IF(AW$59&lt;&gt;"",AW$59,IF(IFERROR(INDEX(醫師週班表!$C$5:$T$44,$CU36,AW$57),"")=0,"",IF(MID(IFERROR(INDEX(醫師週班表!$C$5:$T$44,$CU36,AW$57),""),2,1)="/",MID(IFERROR(INDEX(醫師週班表!$C$5:$T$44,$CU36,AW$57),""),1+AW$58*2,1),IF(MID(IFERROR(INDEX(醫師週班表!$C$5:$T$44,$CU36,AW$57),""),3,1)="隔",IF(AW$58=0,LEFT(IFERROR(INDEX(醫師週班表!$C$5:$T$44,$CU36,AW$57),""),1),""),IF(MID(IFERROR(INDEX(醫師週班表!$C$5:$T$44,$CU36,AW$57),""),2,1)="(",LEFT(IFERROR(INDEX(醫師週班表!$C$5:$T$44,$CU36,AW$57),""),1),IFERROR(INDEX(醫師週班表!$C$5:$T$44,$CU36,AW$57),"")))))))</f>
        <v/>
      </c>
      <c r="AX36" s="67">
        <f>IF(AX$59="X","",IF(AX$59&lt;&gt;"",AX$59,IF(IFERROR(INDEX(醫師週班表!$C$5:$T$44,$CU36,AX$57),"")=0,"",IF(MID(IFERROR(INDEX(醫師週班表!$C$5:$T$44,$CU36,AX$57),""),2,1)="/",MID(IFERROR(INDEX(醫師週班表!$C$5:$T$44,$CU36,AX$57),""),1+AX$58*2,1),IF(MID(IFERROR(INDEX(醫師週班表!$C$5:$T$44,$CU36,AX$57),""),3,1)="隔",IF(AX$58=0,LEFT(IFERROR(INDEX(醫師週班表!$C$5:$T$44,$CU36,AX$57),""),1),""),IF(MID(IFERROR(INDEX(醫師週班表!$C$5:$T$44,$CU36,AX$57),""),2,1)="(",LEFT(IFERROR(INDEX(醫師週班表!$C$5:$T$44,$CU36,AX$57),""),1),IFERROR(INDEX(醫師週班表!$C$5:$T$44,$CU36,AX$57),"")))))))</f>
        <v/>
      </c>
      <c r="AY36" s="68">
        <f>IF(AY$59="X","",IF(AY$59&lt;&gt;"",AY$59,IF(IFERROR(INDEX(醫師週班表!$C$5:$T$44,$CU36,AY$57),"")=0,"",IF(MID(IFERROR(INDEX(醫師週班表!$C$5:$T$44,$CU36,AY$57),""),2,1)="/",MID(IFERROR(INDEX(醫師週班表!$C$5:$T$44,$CU36,AY$57),""),1+AY$58*2,1),IF(MID(IFERROR(INDEX(醫師週班表!$C$5:$T$44,$CU36,AY$57),""),3,1)="隔",IF(AY$58=0,LEFT(IFERROR(INDEX(醫師週班表!$C$5:$T$44,$CU36,AY$57),""),1),""),IF(MID(IFERROR(INDEX(醫師週班表!$C$5:$T$44,$CU36,AY$57),""),2,1)="(",LEFT(IFERROR(INDEX(醫師週班表!$C$5:$T$44,$CU36,AY$57),""),1),IFERROR(INDEX(醫師週班表!$C$5:$T$44,$CU36,AY$57),"")))))))</f>
        <v/>
      </c>
      <c r="AZ36" s="68">
        <f>IF(AZ$59="X","",IF(AZ$59&lt;&gt;"",AZ$59,IF(IFERROR(INDEX(醫師週班表!$C$5:$T$44,$CU36,AZ$57),"")=0,"",IF(MID(IFERROR(INDEX(醫師週班表!$C$5:$T$44,$CU36,AZ$57),""),2,1)="/",MID(IFERROR(INDEX(醫師週班表!$C$5:$T$44,$CU36,AZ$57),""),1+AZ$58*2,1),IF(MID(IFERROR(INDEX(醫師週班表!$C$5:$T$44,$CU36,AZ$57),""),3,1)="隔",IF(AZ$58=0,LEFT(IFERROR(INDEX(醫師週班表!$C$5:$T$44,$CU36,AZ$57),""),1),""),IF(MID(IFERROR(INDEX(醫師週班表!$C$5:$T$44,$CU36,AZ$57),""),2,1)="(",LEFT(IFERROR(INDEX(醫師週班表!$C$5:$T$44,$CU36,AZ$57),""),1),IFERROR(INDEX(醫師週班表!$C$5:$T$44,$CU36,AZ$57),"")))))))</f>
        <v/>
      </c>
      <c r="BA36" s="67">
        <f>IF(BA$59="X","",IF(BA$59&lt;&gt;"",BA$59,IF(IFERROR(INDEX(醫師週班表!$C$5:$T$44,$CU36,BA$57),"")=0,"",IF(MID(IFERROR(INDEX(醫師週班表!$C$5:$T$44,$CU36,BA$57),""),2,1)="/",MID(IFERROR(INDEX(醫師週班表!$C$5:$T$44,$CU36,BA$57),""),1+BA$58*2,1),IF(MID(IFERROR(INDEX(醫師週班表!$C$5:$T$44,$CU36,BA$57),""),3,1)="隔",IF(BA$58=0,LEFT(IFERROR(INDEX(醫師週班表!$C$5:$T$44,$CU36,BA$57),""),1),""),IF(MID(IFERROR(INDEX(醫師週班表!$C$5:$T$44,$CU36,BA$57),""),2,1)="(",LEFT(IFERROR(INDEX(醫師週班表!$C$5:$T$44,$CU36,BA$57),""),1),IFERROR(INDEX(醫師週班表!$C$5:$T$44,$CU36,BA$57),"")))))))</f>
        <v/>
      </c>
      <c r="BB36" s="68">
        <f>IF(BB$59="X","",IF(BB$59&lt;&gt;"",BB$59,IF(IFERROR(INDEX(醫師週班表!$C$5:$T$44,$CU36,BB$57),"")=0,"",IF(MID(IFERROR(INDEX(醫師週班表!$C$5:$T$44,$CU36,BB$57),""),2,1)="/",MID(IFERROR(INDEX(醫師週班表!$C$5:$T$44,$CU36,BB$57),""),1+BB$58*2,1),IF(MID(IFERROR(INDEX(醫師週班表!$C$5:$T$44,$CU36,BB$57),""),3,1)="隔",IF(BB$58=0,LEFT(IFERROR(INDEX(醫師週班表!$C$5:$T$44,$CU36,BB$57),""),1),""),IF(MID(IFERROR(INDEX(醫師週班表!$C$5:$T$44,$CU36,BB$57),""),2,1)="(",LEFT(IFERROR(INDEX(醫師週班表!$C$5:$T$44,$CU36,BB$57),""),1),IFERROR(INDEX(醫師週班表!$C$5:$T$44,$CU36,BB$57),"")))))))</f>
        <v/>
      </c>
      <c r="BC36" s="68">
        <f>IF(BC$59="X","",IF(BC$59&lt;&gt;"",BC$59,IF(IFERROR(INDEX(醫師週班表!$C$5:$T$44,$CU36,BC$57),"")=0,"",IF(MID(IFERROR(INDEX(醫師週班表!$C$5:$T$44,$CU36,BC$57),""),2,1)="/",MID(IFERROR(INDEX(醫師週班表!$C$5:$T$44,$CU36,BC$57),""),1+BC$58*2,1),IF(MID(IFERROR(INDEX(醫師週班表!$C$5:$T$44,$CU36,BC$57),""),3,1)="隔",IF(BC$58=0,LEFT(IFERROR(INDEX(醫師週班表!$C$5:$T$44,$CU36,BC$57),""),1),""),IF(MID(IFERROR(INDEX(醫師週班表!$C$5:$T$44,$CU36,BC$57),""),2,1)="(",LEFT(IFERROR(INDEX(醫師週班表!$C$5:$T$44,$CU36,BC$57),""),1),IFERROR(INDEX(醫師週班表!$C$5:$T$44,$CU36,BC$57),"")))))))</f>
        <v/>
      </c>
      <c r="BD36" s="67">
        <f>IF(BD$59="X","",IF(BD$59&lt;&gt;"",BD$59,IF(IFERROR(INDEX(醫師週班表!$C$5:$T$44,$CU36,BD$57),"")=0,"",IF(MID(IFERROR(INDEX(醫師週班表!$C$5:$T$44,$CU36,BD$57),""),2,1)="/",MID(IFERROR(INDEX(醫師週班表!$C$5:$T$44,$CU36,BD$57),""),1+BD$58*2,1),IF(MID(IFERROR(INDEX(醫師週班表!$C$5:$T$44,$CU36,BD$57),""),3,1)="隔",IF(BD$58=0,LEFT(IFERROR(INDEX(醫師週班表!$C$5:$T$44,$CU36,BD$57),""),1),""),IF(MID(IFERROR(INDEX(醫師週班表!$C$5:$T$44,$CU36,BD$57),""),2,1)="(",LEFT(IFERROR(INDEX(醫師週班表!$C$5:$T$44,$CU36,BD$57),""),1),IFERROR(INDEX(醫師週班表!$C$5:$T$44,$CU36,BD$57),"")))))))</f>
        <v/>
      </c>
      <c r="BE36" s="68">
        <f>IF(BE$59="X","",IF(BE$59&lt;&gt;"",BE$59,IF(IFERROR(INDEX(醫師週班表!$C$5:$T$44,$CU36,BE$57),"")=0,"",IF(MID(IFERROR(INDEX(醫師週班表!$C$5:$T$44,$CU36,BE$57),""),2,1)="/",MID(IFERROR(INDEX(醫師週班表!$C$5:$T$44,$CU36,BE$57),""),1+BE$58*2,1),IF(MID(IFERROR(INDEX(醫師週班表!$C$5:$T$44,$CU36,BE$57),""),3,1)="隔",IF(BE$58=0,LEFT(IFERROR(INDEX(醫師週班表!$C$5:$T$44,$CU36,BE$57),""),1),""),IF(MID(IFERROR(INDEX(醫師週班表!$C$5:$T$44,$CU36,BE$57),""),2,1)="(",LEFT(IFERROR(INDEX(醫師週班表!$C$5:$T$44,$CU36,BE$57),""),1),IFERROR(INDEX(醫師週班表!$C$5:$T$44,$CU36,BE$57),"")))))))</f>
        <v/>
      </c>
      <c r="BF36" s="68">
        <f>IF(BF$59="X","",IF(BF$59&lt;&gt;"",BF$59,IF(IFERROR(INDEX(醫師週班表!$C$5:$T$44,$CU36,BF$57),"")=0,"",IF(MID(IFERROR(INDEX(醫師週班表!$C$5:$T$44,$CU36,BF$57),""),2,1)="/",MID(IFERROR(INDEX(醫師週班表!$C$5:$T$44,$CU36,BF$57),""),1+BF$58*2,1),IF(MID(IFERROR(INDEX(醫師週班表!$C$5:$T$44,$CU36,BF$57),""),3,1)="隔",IF(BF$58=0,LEFT(IFERROR(INDEX(醫師週班表!$C$5:$T$44,$CU36,BF$57),""),1),""),IF(MID(IFERROR(INDEX(醫師週班表!$C$5:$T$44,$CU36,BF$57),""),2,1)="(",LEFT(IFERROR(INDEX(醫師週班表!$C$5:$T$44,$CU36,BF$57),""),1),IFERROR(INDEX(醫師週班表!$C$5:$T$44,$CU36,BF$57),"")))))))</f>
        <v/>
      </c>
      <c r="BG36" s="67">
        <f>IF(BG$59="X","",IF(BG$59&lt;&gt;"",BG$59,IF(IFERROR(INDEX(醫師週班表!$C$5:$T$44,$CU36,BG$57),"")=0,"",IF(MID(IFERROR(INDEX(醫師週班表!$C$5:$T$44,$CU36,BG$57),""),2,1)="/",MID(IFERROR(INDEX(醫師週班表!$C$5:$T$44,$CU36,BG$57),""),1+BG$58*2,1),IF(MID(IFERROR(INDEX(醫師週班表!$C$5:$T$44,$CU36,BG$57),""),3,1)="隔",IF(BG$58=0,LEFT(IFERROR(INDEX(醫師週班表!$C$5:$T$44,$CU36,BG$57),""),1),""),IF(MID(IFERROR(INDEX(醫師週班表!$C$5:$T$44,$CU36,BG$57),""),2,1)="(",LEFT(IFERROR(INDEX(醫師週班表!$C$5:$T$44,$CU36,BG$57),""),1),IFERROR(INDEX(醫師週班表!$C$5:$T$44,$CU36,BG$57),"")))))))</f>
        <v/>
      </c>
      <c r="BH36" s="68">
        <f>IF(BH$59="X","",IF(BH$59&lt;&gt;"",BH$59,IF(IFERROR(INDEX(醫師週班表!$C$5:$T$44,$CU36,BH$57),"")=0,"",IF(MID(IFERROR(INDEX(醫師週班表!$C$5:$T$44,$CU36,BH$57),""),2,1)="/",MID(IFERROR(INDEX(醫師週班表!$C$5:$T$44,$CU36,BH$57),""),1+BH$58*2,1),IF(MID(IFERROR(INDEX(醫師週班表!$C$5:$T$44,$CU36,BH$57),""),3,1)="隔",IF(BH$58=0,LEFT(IFERROR(INDEX(醫師週班表!$C$5:$T$44,$CU36,BH$57),""),1),""),IF(MID(IFERROR(INDEX(醫師週班表!$C$5:$T$44,$CU36,BH$57),""),2,1)="(",LEFT(IFERROR(INDEX(醫師週班表!$C$5:$T$44,$CU36,BH$57),""),1),IFERROR(INDEX(醫師週班表!$C$5:$T$44,$CU36,BH$57),"")))))))</f>
        <v/>
      </c>
      <c r="BI36" s="68">
        <f>IF(BI$59="X","",IF(BI$59&lt;&gt;"",BI$59,IF(IFERROR(INDEX(醫師週班表!$C$5:$T$44,$CU36,BI$57),"")=0,"",IF(MID(IFERROR(INDEX(醫師週班表!$C$5:$T$44,$CU36,BI$57),""),2,1)="/",MID(IFERROR(INDEX(醫師週班表!$C$5:$T$44,$CU36,BI$57),""),1+BI$58*2,1),IF(MID(IFERROR(INDEX(醫師週班表!$C$5:$T$44,$CU36,BI$57),""),3,1)="隔",IF(BI$58=0,LEFT(IFERROR(INDEX(醫師週班表!$C$5:$T$44,$CU36,BI$57),""),1),""),IF(MID(IFERROR(INDEX(醫師週班表!$C$5:$T$44,$CU36,BI$57),""),2,1)="(",LEFT(IFERROR(INDEX(醫師週班表!$C$5:$T$44,$CU36,BI$57),""),1),IFERROR(INDEX(醫師週班表!$C$5:$T$44,$CU36,BI$57),"")))))))</f>
        <v/>
      </c>
      <c r="BJ36" s="67">
        <f>IF(BJ$59="X","",IF(BJ$59&lt;&gt;"",BJ$59,IF(IFERROR(INDEX(醫師週班表!$C$5:$T$44,$CU36,BJ$57),"")=0,"",IF(MID(IFERROR(INDEX(醫師週班表!$C$5:$T$44,$CU36,BJ$57),""),2,1)="/",MID(IFERROR(INDEX(醫師週班表!$C$5:$T$44,$CU36,BJ$57),""),1+BJ$58*2,1),IF(MID(IFERROR(INDEX(醫師週班表!$C$5:$T$44,$CU36,BJ$57),""),3,1)="隔",IF(BJ$58=0,LEFT(IFERROR(INDEX(醫師週班表!$C$5:$T$44,$CU36,BJ$57),""),1),""),IF(MID(IFERROR(INDEX(醫師週班表!$C$5:$T$44,$CU36,BJ$57),""),2,1)="(",LEFT(IFERROR(INDEX(醫師週班表!$C$5:$T$44,$CU36,BJ$57),""),1),IFERROR(INDEX(醫師週班表!$C$5:$T$44,$CU36,BJ$57),"")))))))</f>
        <v/>
      </c>
      <c r="BK36" s="68">
        <f>IF(BK$59="X","",IF(BK$59&lt;&gt;"",BK$59,IF(IFERROR(INDEX(醫師週班表!$C$5:$T$44,$CU36,BK$57),"")=0,"",IF(MID(IFERROR(INDEX(醫師週班表!$C$5:$T$44,$CU36,BK$57),""),2,1)="/",MID(IFERROR(INDEX(醫師週班表!$C$5:$T$44,$CU36,BK$57),""),1+BK$58*2,1),IF(MID(IFERROR(INDEX(醫師週班表!$C$5:$T$44,$CU36,BK$57),""),3,1)="隔",IF(BK$58=0,LEFT(IFERROR(INDEX(醫師週班表!$C$5:$T$44,$CU36,BK$57),""),1),""),IF(MID(IFERROR(INDEX(醫師週班表!$C$5:$T$44,$CU36,BK$57),""),2,1)="(",LEFT(IFERROR(INDEX(醫師週班表!$C$5:$T$44,$CU36,BK$57),""),1),IFERROR(INDEX(醫師週班表!$C$5:$T$44,$CU36,BK$57),"")))))))</f>
        <v/>
      </c>
      <c r="BL36" s="68">
        <f>IF(BL$59="X","",IF(BL$59&lt;&gt;"",BL$59,IF(IFERROR(INDEX(醫師週班表!$C$5:$T$44,$CU36,BL$57),"")=0,"",IF(MID(IFERROR(INDEX(醫師週班表!$C$5:$T$44,$CU36,BL$57),""),2,1)="/",MID(IFERROR(INDEX(醫師週班表!$C$5:$T$44,$CU36,BL$57),""),1+BL$58*2,1),IF(MID(IFERROR(INDEX(醫師週班表!$C$5:$T$44,$CU36,BL$57),""),3,1)="隔",IF(BL$58=0,LEFT(IFERROR(INDEX(醫師週班表!$C$5:$T$44,$CU36,BL$57),""),1),""),IF(MID(IFERROR(INDEX(醫師週班表!$C$5:$T$44,$CU36,BL$57),""),2,1)="(",LEFT(IFERROR(INDEX(醫師週班表!$C$5:$T$44,$CU36,BL$57),""),1),IFERROR(INDEX(醫師週班表!$C$5:$T$44,$CU36,BL$57),"")))))))</f>
        <v/>
      </c>
      <c r="BM36" s="67">
        <f>IF(BM$59="X","",IF(BM$59&lt;&gt;"",BM$59,IF(IFERROR(INDEX(醫師週班表!$C$5:$T$44,$CU36,BM$57),"")=0,"",IF(MID(IFERROR(INDEX(醫師週班表!$C$5:$T$44,$CU36,BM$57),""),2,1)="/",MID(IFERROR(INDEX(醫師週班表!$C$5:$T$44,$CU36,BM$57),""),1+BM$58*2,1),IF(MID(IFERROR(INDEX(醫師週班表!$C$5:$T$44,$CU36,BM$57),""),3,1)="隔",IF(BM$58=0,LEFT(IFERROR(INDEX(醫師週班表!$C$5:$T$44,$CU36,BM$57),""),1),""),IF(MID(IFERROR(INDEX(醫師週班表!$C$5:$T$44,$CU36,BM$57),""),2,1)="(",LEFT(IFERROR(INDEX(醫師週班表!$C$5:$T$44,$CU36,BM$57),""),1),IFERROR(INDEX(醫師週班表!$C$5:$T$44,$CU36,BM$57),"")))))))</f>
        <v/>
      </c>
      <c r="BN36" s="68">
        <f>IF(BN$59="X","",IF(BN$59&lt;&gt;"",BN$59,IF(IFERROR(INDEX(醫師週班表!$C$5:$T$44,$CU36,BN$57),"")=0,"",IF(MID(IFERROR(INDEX(醫師週班表!$C$5:$T$44,$CU36,BN$57),""),2,1)="/",MID(IFERROR(INDEX(醫師週班表!$C$5:$T$44,$CU36,BN$57),""),1+BN$58*2,1),IF(MID(IFERROR(INDEX(醫師週班表!$C$5:$T$44,$CU36,BN$57),""),3,1)="隔",IF(BN$58=0,LEFT(IFERROR(INDEX(醫師週班表!$C$5:$T$44,$CU36,BN$57),""),1),""),IF(MID(IFERROR(INDEX(醫師週班表!$C$5:$T$44,$CU36,BN$57),""),2,1)="(",LEFT(IFERROR(INDEX(醫師週班表!$C$5:$T$44,$CU36,BN$57),""),1),IFERROR(INDEX(醫師週班表!$C$5:$T$44,$CU36,BN$57),"")))))))</f>
        <v/>
      </c>
      <c r="BO36" s="68">
        <f>IF(BO$59="X","",IF(BO$59&lt;&gt;"",BO$59,IF(IFERROR(INDEX(醫師週班表!$C$5:$T$44,$CU36,BO$57),"")=0,"",IF(MID(IFERROR(INDEX(醫師週班表!$C$5:$T$44,$CU36,BO$57),""),2,1)="/",MID(IFERROR(INDEX(醫師週班表!$C$5:$T$44,$CU36,BO$57),""),1+BO$58*2,1),IF(MID(IFERROR(INDEX(醫師週班表!$C$5:$T$44,$CU36,BO$57),""),3,1)="隔",IF(BO$58=0,LEFT(IFERROR(INDEX(醫師週班表!$C$5:$T$44,$CU36,BO$57),""),1),""),IF(MID(IFERROR(INDEX(醫師週班表!$C$5:$T$44,$CU36,BO$57),""),2,1)="(",LEFT(IFERROR(INDEX(醫師週班表!$C$5:$T$44,$CU36,BO$57),""),1),IFERROR(INDEX(醫師週班表!$C$5:$T$44,$CU36,BO$57),"")))))))</f>
        <v/>
      </c>
      <c r="BP36" s="67">
        <f>IF(BP$59="X","",IF(BP$59&lt;&gt;"",BP$59,IF(IFERROR(INDEX(醫師週班表!$C$5:$T$44,$CU36,BP$57),"")=0,"",IF(MID(IFERROR(INDEX(醫師週班表!$C$5:$T$44,$CU36,BP$57),""),2,1)="/",MID(IFERROR(INDEX(醫師週班表!$C$5:$T$44,$CU36,BP$57),""),1+BP$58*2,1),IF(MID(IFERROR(INDEX(醫師週班表!$C$5:$T$44,$CU36,BP$57),""),3,1)="隔",IF(BP$58=0,LEFT(IFERROR(INDEX(醫師週班表!$C$5:$T$44,$CU36,BP$57),""),1),""),IF(MID(IFERROR(INDEX(醫師週班表!$C$5:$T$44,$CU36,BP$57),""),2,1)="(",LEFT(IFERROR(INDEX(醫師週班表!$C$5:$T$44,$CU36,BP$57),""),1),IFERROR(INDEX(醫師週班表!$C$5:$T$44,$CU36,BP$57),"")))))))</f>
        <v/>
      </c>
      <c r="BQ36" s="68">
        <f>IF(BQ$59="X","",IF(BQ$59&lt;&gt;"",BQ$59,IF(IFERROR(INDEX(醫師週班表!$C$5:$T$44,$CU36,BQ$57),"")=0,"",IF(MID(IFERROR(INDEX(醫師週班表!$C$5:$T$44,$CU36,BQ$57),""),2,1)="/",MID(IFERROR(INDEX(醫師週班表!$C$5:$T$44,$CU36,BQ$57),""),1+BQ$58*2,1),IF(MID(IFERROR(INDEX(醫師週班表!$C$5:$T$44,$CU36,BQ$57),""),3,1)="隔",IF(BQ$58=0,LEFT(IFERROR(INDEX(醫師週班表!$C$5:$T$44,$CU36,BQ$57),""),1),""),IF(MID(IFERROR(INDEX(醫師週班表!$C$5:$T$44,$CU36,BQ$57),""),2,1)="(",LEFT(IFERROR(INDEX(醫師週班表!$C$5:$T$44,$CU36,BQ$57),""),1),IFERROR(INDEX(醫師週班表!$C$5:$T$44,$CU36,BQ$57),"")))))))</f>
        <v/>
      </c>
      <c r="BR36" s="68">
        <f>IF(BR$59="X","",IF(BR$59&lt;&gt;"",BR$59,IF(IFERROR(INDEX(醫師週班表!$C$5:$T$44,$CU36,BR$57),"")=0,"",IF(MID(IFERROR(INDEX(醫師週班表!$C$5:$T$44,$CU36,BR$57),""),2,1)="/",MID(IFERROR(INDEX(醫師週班表!$C$5:$T$44,$CU36,BR$57),""),1+BR$58*2,1),IF(MID(IFERROR(INDEX(醫師週班表!$C$5:$T$44,$CU36,BR$57),""),3,1)="隔",IF(BR$58=0,LEFT(IFERROR(INDEX(醫師週班表!$C$5:$T$44,$CU36,BR$57),""),1),""),IF(MID(IFERROR(INDEX(醫師週班表!$C$5:$T$44,$CU36,BR$57),""),2,1)="(",LEFT(IFERROR(INDEX(醫師週班表!$C$5:$T$44,$CU36,BR$57),""),1),IFERROR(INDEX(醫師週班表!$C$5:$T$44,$CU36,BR$57),"")))))))</f>
        <v/>
      </c>
      <c r="BS36" s="67">
        <f>IF(BS$59="X","",IF(BS$59&lt;&gt;"",BS$59,IF(IFERROR(INDEX(醫師週班表!$C$5:$T$44,$CU36,BS$57),"")=0,"",IF(MID(IFERROR(INDEX(醫師週班表!$C$5:$T$44,$CU36,BS$57),""),2,1)="/",MID(IFERROR(INDEX(醫師週班表!$C$5:$T$44,$CU36,BS$57),""),1+BS$58*2,1),IF(MID(IFERROR(INDEX(醫師週班表!$C$5:$T$44,$CU36,BS$57),""),3,1)="隔",IF(BS$58=0,LEFT(IFERROR(INDEX(醫師週班表!$C$5:$T$44,$CU36,BS$57),""),1),""),IF(MID(IFERROR(INDEX(醫師週班表!$C$5:$T$44,$CU36,BS$57),""),2,1)="(",LEFT(IFERROR(INDEX(醫師週班表!$C$5:$T$44,$CU36,BS$57),""),1),IFERROR(INDEX(醫師週班表!$C$5:$T$44,$CU36,BS$57),"")))))))</f>
        <v/>
      </c>
      <c r="BT36" s="68">
        <f>IF(BT$59="X","",IF(BT$59&lt;&gt;"",BT$59,IF(IFERROR(INDEX(醫師週班表!$C$5:$T$44,$CU36,BT$57),"")=0,"",IF(MID(IFERROR(INDEX(醫師週班表!$C$5:$T$44,$CU36,BT$57),""),2,1)="/",MID(IFERROR(INDEX(醫師週班表!$C$5:$T$44,$CU36,BT$57),""),1+BT$58*2,1),IF(MID(IFERROR(INDEX(醫師週班表!$C$5:$T$44,$CU36,BT$57),""),3,1)="隔",IF(BT$58=0,LEFT(IFERROR(INDEX(醫師週班表!$C$5:$T$44,$CU36,BT$57),""),1),""),IF(MID(IFERROR(INDEX(醫師週班表!$C$5:$T$44,$CU36,BT$57),""),2,1)="(",LEFT(IFERROR(INDEX(醫師週班表!$C$5:$T$44,$CU36,BT$57),""),1),IFERROR(INDEX(醫師週班表!$C$5:$T$44,$CU36,BT$57),"")))))))</f>
        <v/>
      </c>
      <c r="BU36" s="68">
        <f>IF(BU$59="X","",IF(BU$59&lt;&gt;"",BU$59,IF(IFERROR(INDEX(醫師週班表!$C$5:$T$44,$CU36,BU$57),"")=0,"",IF(MID(IFERROR(INDEX(醫師週班表!$C$5:$T$44,$CU36,BU$57),""),2,1)="/",MID(IFERROR(INDEX(醫師週班表!$C$5:$T$44,$CU36,BU$57),""),1+BU$58*2,1),IF(MID(IFERROR(INDEX(醫師週班表!$C$5:$T$44,$CU36,BU$57),""),3,1)="隔",IF(BU$58=0,LEFT(IFERROR(INDEX(醫師週班表!$C$5:$T$44,$CU36,BU$57),""),1),""),IF(MID(IFERROR(INDEX(醫師週班表!$C$5:$T$44,$CU36,BU$57),""),2,1)="(",LEFT(IFERROR(INDEX(醫師週班表!$C$5:$T$44,$CU36,BU$57),""),1),IFERROR(INDEX(醫師週班表!$C$5:$T$44,$CU36,BU$57),"")))))))</f>
        <v/>
      </c>
      <c r="BV36" s="67">
        <f>IF(BV$59="X","",IF(BV$59&lt;&gt;"",BV$59,IF(IFERROR(INDEX(醫師週班表!$C$5:$T$44,$CU36,BV$57),"")=0,"",IF(MID(IFERROR(INDEX(醫師週班表!$C$5:$T$44,$CU36,BV$57),""),2,1)="/",MID(IFERROR(INDEX(醫師週班表!$C$5:$T$44,$CU36,BV$57),""),1+BV$58*2,1),IF(MID(IFERROR(INDEX(醫師週班表!$C$5:$T$44,$CU36,BV$57),""),3,1)="隔",IF(BV$58=0,LEFT(IFERROR(INDEX(醫師週班表!$C$5:$T$44,$CU36,BV$57),""),1),""),IF(MID(IFERROR(INDEX(醫師週班表!$C$5:$T$44,$CU36,BV$57),""),2,1)="(",LEFT(IFERROR(INDEX(醫師週班表!$C$5:$T$44,$CU36,BV$57),""),1),IFERROR(INDEX(醫師週班表!$C$5:$T$44,$CU36,BV$57),"")))))))</f>
        <v/>
      </c>
      <c r="BW36" s="68">
        <f>IF(BW$59="X","",IF(BW$59&lt;&gt;"",BW$59,IF(IFERROR(INDEX(醫師週班表!$C$5:$T$44,$CU36,BW$57),"")=0,"",IF(MID(IFERROR(INDEX(醫師週班表!$C$5:$T$44,$CU36,BW$57),""),2,1)="/",MID(IFERROR(INDEX(醫師週班表!$C$5:$T$44,$CU36,BW$57),""),1+BW$58*2,1),IF(MID(IFERROR(INDEX(醫師週班表!$C$5:$T$44,$CU36,BW$57),""),3,1)="隔",IF(BW$58=0,LEFT(IFERROR(INDEX(醫師週班表!$C$5:$T$44,$CU36,BW$57),""),1),""),IF(MID(IFERROR(INDEX(醫師週班表!$C$5:$T$44,$CU36,BW$57),""),2,1)="(",LEFT(IFERROR(INDEX(醫師週班表!$C$5:$T$44,$CU36,BW$57),""),1),IFERROR(INDEX(醫師週班表!$C$5:$T$44,$CU36,BW$57),"")))))))</f>
        <v/>
      </c>
      <c r="BX36" s="68">
        <f>IF(BX$59="X","",IF(BX$59&lt;&gt;"",BX$59,IF(IFERROR(INDEX(醫師週班表!$C$5:$T$44,$CU36,BX$57),"")=0,"",IF(MID(IFERROR(INDEX(醫師週班表!$C$5:$T$44,$CU36,BX$57),""),2,1)="/",MID(IFERROR(INDEX(醫師週班表!$C$5:$T$44,$CU36,BX$57),""),1+BX$58*2,1),IF(MID(IFERROR(INDEX(醫師週班表!$C$5:$T$44,$CU36,BX$57),""),3,1)="隔",IF(BX$58=0,LEFT(IFERROR(INDEX(醫師週班表!$C$5:$T$44,$CU36,BX$57),""),1),""),IF(MID(IFERROR(INDEX(醫師週班表!$C$5:$T$44,$CU36,BX$57),""),2,1)="(",LEFT(IFERROR(INDEX(醫師週班表!$C$5:$T$44,$CU36,BX$57),""),1),IFERROR(INDEX(醫師週班表!$C$5:$T$44,$CU36,BX$57),"")))))))</f>
        <v/>
      </c>
      <c r="BY36" s="67">
        <f>IF(BY$59="X","",IF(BY$59&lt;&gt;"",BY$59,IF(IFERROR(INDEX(醫師週班表!$C$5:$T$44,$CU36,BY$57),"")=0,"",IF(MID(IFERROR(INDEX(醫師週班表!$C$5:$T$44,$CU36,BY$57),""),2,1)="/",MID(IFERROR(INDEX(醫師週班表!$C$5:$T$44,$CU36,BY$57),""),1+BY$58*2,1),IF(MID(IFERROR(INDEX(醫師週班表!$C$5:$T$44,$CU36,BY$57),""),3,1)="隔",IF(BY$58=0,LEFT(IFERROR(INDEX(醫師週班表!$C$5:$T$44,$CU36,BY$57),""),1),""),IF(MID(IFERROR(INDEX(醫師週班表!$C$5:$T$44,$CU36,BY$57),""),2,1)="(",LEFT(IFERROR(INDEX(醫師週班表!$C$5:$T$44,$CU36,BY$57),""),1),IFERROR(INDEX(醫師週班表!$C$5:$T$44,$CU36,BY$57),"")))))))</f>
        <v/>
      </c>
      <c r="BZ36" s="68">
        <f>IF(BZ$59="X","",IF(BZ$59&lt;&gt;"",BZ$59,IF(IFERROR(INDEX(醫師週班表!$C$5:$T$44,$CU36,BZ$57),"")=0,"",IF(MID(IFERROR(INDEX(醫師週班表!$C$5:$T$44,$CU36,BZ$57),""),2,1)="/",MID(IFERROR(INDEX(醫師週班表!$C$5:$T$44,$CU36,BZ$57),""),1+BZ$58*2,1),IF(MID(IFERROR(INDEX(醫師週班表!$C$5:$T$44,$CU36,BZ$57),""),3,1)="隔",IF(BZ$58=0,LEFT(IFERROR(INDEX(醫師週班表!$C$5:$T$44,$CU36,BZ$57),""),1),""),IF(MID(IFERROR(INDEX(醫師週班表!$C$5:$T$44,$CU36,BZ$57),""),2,1)="(",LEFT(IFERROR(INDEX(醫師週班表!$C$5:$T$44,$CU36,BZ$57),""),1),IFERROR(INDEX(醫師週班表!$C$5:$T$44,$CU36,BZ$57),"")))))))</f>
        <v/>
      </c>
      <c r="CA36" s="68">
        <f>IF(CA$59="X","",IF(CA$59&lt;&gt;"",CA$59,IF(IFERROR(INDEX(醫師週班表!$C$5:$T$44,$CU36,CA$57),"")=0,"",IF(MID(IFERROR(INDEX(醫師週班表!$C$5:$T$44,$CU36,CA$57),""),2,1)="/",MID(IFERROR(INDEX(醫師週班表!$C$5:$T$44,$CU36,CA$57),""),1+CA$58*2,1),IF(MID(IFERROR(INDEX(醫師週班表!$C$5:$T$44,$CU36,CA$57),""),3,1)="隔",IF(CA$58=0,LEFT(IFERROR(INDEX(醫師週班表!$C$5:$T$44,$CU36,CA$57),""),1),""),IF(MID(IFERROR(INDEX(醫師週班表!$C$5:$T$44,$CU36,CA$57),""),2,1)="(",LEFT(IFERROR(INDEX(醫師週班表!$C$5:$T$44,$CU36,CA$57),""),1),IFERROR(INDEX(醫師週班表!$C$5:$T$44,$CU36,CA$57),"")))))))</f>
        <v/>
      </c>
      <c r="CB36" s="67">
        <f>IF(CB$59="X","",IF(CB$59&lt;&gt;"",CB$59,IF(IFERROR(INDEX(醫師週班表!$C$5:$T$44,$CU36,CB$57),"")=0,"",IF(MID(IFERROR(INDEX(醫師週班表!$C$5:$T$44,$CU36,CB$57),""),2,1)="/",MID(IFERROR(INDEX(醫師週班表!$C$5:$T$44,$CU36,CB$57),""),1+CB$58*2,1),IF(MID(IFERROR(INDEX(醫師週班表!$C$5:$T$44,$CU36,CB$57),""),3,1)="隔",IF(CB$58=0,LEFT(IFERROR(INDEX(醫師週班表!$C$5:$T$44,$CU36,CB$57),""),1),""),IF(MID(IFERROR(INDEX(醫師週班表!$C$5:$T$44,$CU36,CB$57),""),2,1)="(",LEFT(IFERROR(INDEX(醫師週班表!$C$5:$T$44,$CU36,CB$57),""),1),IFERROR(INDEX(醫師週班表!$C$5:$T$44,$CU36,CB$57),"")))))))</f>
        <v/>
      </c>
      <c r="CC36" s="68">
        <f>IF(CC$59="X","",IF(CC$59&lt;&gt;"",CC$59,IF(IFERROR(INDEX(醫師週班表!$C$5:$T$44,$CU36,CC$57),"")=0,"",IF(MID(IFERROR(INDEX(醫師週班表!$C$5:$T$44,$CU36,CC$57),""),2,1)="/",MID(IFERROR(INDEX(醫師週班表!$C$5:$T$44,$CU36,CC$57),""),1+CC$58*2,1),IF(MID(IFERROR(INDEX(醫師週班表!$C$5:$T$44,$CU36,CC$57),""),3,1)="隔",IF(CC$58=0,LEFT(IFERROR(INDEX(醫師週班表!$C$5:$T$44,$CU36,CC$57),""),1),""),IF(MID(IFERROR(INDEX(醫師週班表!$C$5:$T$44,$CU36,CC$57),""),2,1)="(",LEFT(IFERROR(INDEX(醫師週班表!$C$5:$T$44,$CU36,CC$57),""),1),IFERROR(INDEX(醫師週班表!$C$5:$T$44,$CU36,CC$57),"")))))))</f>
        <v/>
      </c>
      <c r="CD36" s="68">
        <f>IF(CD$59="X","",IF(CD$59&lt;&gt;"",CD$59,IF(IFERROR(INDEX(醫師週班表!$C$5:$T$44,$CU36,CD$57),"")=0,"",IF(MID(IFERROR(INDEX(醫師週班表!$C$5:$T$44,$CU36,CD$57),""),2,1)="/",MID(IFERROR(INDEX(醫師週班表!$C$5:$T$44,$CU36,CD$57),""),1+CD$58*2,1),IF(MID(IFERROR(INDEX(醫師週班表!$C$5:$T$44,$CU36,CD$57),""),3,1)="隔",IF(CD$58=0,LEFT(IFERROR(INDEX(醫師週班表!$C$5:$T$44,$CU36,CD$57),""),1),""),IF(MID(IFERROR(INDEX(醫師週班表!$C$5:$T$44,$CU36,CD$57),""),2,1)="(",LEFT(IFERROR(INDEX(醫師週班表!$C$5:$T$44,$CU36,CD$57),""),1),IFERROR(INDEX(醫師週班表!$C$5:$T$44,$CU36,CD$57),"")))))))</f>
        <v/>
      </c>
      <c r="CE36" s="67">
        <f>IF(CE$59="X","",IF(CE$59&lt;&gt;"",CE$59,IF(IFERROR(INDEX(醫師週班表!$C$5:$T$44,$CU36,CE$57),"")=0,"",IF(MID(IFERROR(INDEX(醫師週班表!$C$5:$T$44,$CU36,CE$57),""),2,1)="/",MID(IFERROR(INDEX(醫師週班表!$C$5:$T$44,$CU36,CE$57),""),1+CE$58*2,1),IF(MID(IFERROR(INDEX(醫師週班表!$C$5:$T$44,$CU36,CE$57),""),3,1)="隔",IF(CE$58=0,LEFT(IFERROR(INDEX(醫師週班表!$C$5:$T$44,$CU36,CE$57),""),1),""),IF(MID(IFERROR(INDEX(醫師週班表!$C$5:$T$44,$CU36,CE$57),""),2,1)="(",LEFT(IFERROR(INDEX(醫師週班表!$C$5:$T$44,$CU36,CE$57),""),1),IFERROR(INDEX(醫師週班表!$C$5:$T$44,$CU36,CE$57),"")))))))</f>
        <v/>
      </c>
      <c r="CF36" s="68">
        <f>IF(CF$59="X","",IF(CF$59&lt;&gt;"",CF$59,IF(IFERROR(INDEX(醫師週班表!$C$5:$T$44,$CU36,CF$57),"")=0,"",IF(MID(IFERROR(INDEX(醫師週班表!$C$5:$T$44,$CU36,CF$57),""),2,1)="/",MID(IFERROR(INDEX(醫師週班表!$C$5:$T$44,$CU36,CF$57),""),1+CF$58*2,1),IF(MID(IFERROR(INDEX(醫師週班表!$C$5:$T$44,$CU36,CF$57),""),3,1)="隔",IF(CF$58=0,LEFT(IFERROR(INDEX(醫師週班表!$C$5:$T$44,$CU36,CF$57),""),1),""),IF(MID(IFERROR(INDEX(醫師週班表!$C$5:$T$44,$CU36,CF$57),""),2,1)="(",LEFT(IFERROR(INDEX(醫師週班表!$C$5:$T$44,$CU36,CF$57),""),1),IFERROR(INDEX(醫師週班表!$C$5:$T$44,$CU36,CF$57),"")))))))</f>
        <v/>
      </c>
      <c r="CG36" s="68">
        <f>IF(CG$59="X","",IF(CG$59&lt;&gt;"",CG$59,IF(IFERROR(INDEX(醫師週班表!$C$5:$T$44,$CU36,CG$57),"")=0,"",IF(MID(IFERROR(INDEX(醫師週班表!$C$5:$T$44,$CU36,CG$57),""),2,1)="/",MID(IFERROR(INDEX(醫師週班表!$C$5:$T$44,$CU36,CG$57),""),1+CG$58*2,1),IF(MID(IFERROR(INDEX(醫師週班表!$C$5:$T$44,$CU36,CG$57),""),3,1)="隔",IF(CG$58=0,LEFT(IFERROR(INDEX(醫師週班表!$C$5:$T$44,$CU36,CG$57),""),1),""),IF(MID(IFERROR(INDEX(醫師週班表!$C$5:$T$44,$CU36,CG$57),""),2,1)="(",LEFT(IFERROR(INDEX(醫師週班表!$C$5:$T$44,$CU36,CG$57),""),1),IFERROR(INDEX(醫師週班表!$C$5:$T$44,$CU36,CG$57),"")))))))</f>
        <v/>
      </c>
      <c r="CH36" s="67">
        <f>IF(CH$59="X","",IF(CH$59&lt;&gt;"",CH$59,IF(IFERROR(INDEX(醫師週班表!$C$5:$T$44,$CU36,CH$57),"")=0,"",IF(MID(IFERROR(INDEX(醫師週班表!$C$5:$T$44,$CU36,CH$57),""),2,1)="/",MID(IFERROR(INDEX(醫師週班表!$C$5:$T$44,$CU36,CH$57),""),1+CH$58*2,1),IF(MID(IFERROR(INDEX(醫師週班表!$C$5:$T$44,$CU36,CH$57),""),3,1)="隔",IF(CH$58=0,LEFT(IFERROR(INDEX(醫師週班表!$C$5:$T$44,$CU36,CH$57),""),1),""),IF(MID(IFERROR(INDEX(醫師週班表!$C$5:$T$44,$CU36,CH$57),""),2,1)="(",LEFT(IFERROR(INDEX(醫師週班表!$C$5:$T$44,$CU36,CH$57),""),1),IFERROR(INDEX(醫師週班表!$C$5:$T$44,$CU36,CH$57),"")))))))</f>
        <v/>
      </c>
      <c r="CI36" s="68">
        <f>IF(CI$59="X","",IF(CI$59&lt;&gt;"",CI$59,IF(IFERROR(INDEX(醫師週班表!$C$5:$T$44,$CU36,CI$57),"")=0,"",IF(MID(IFERROR(INDEX(醫師週班表!$C$5:$T$44,$CU36,CI$57),""),2,1)="/",MID(IFERROR(INDEX(醫師週班表!$C$5:$T$44,$CU36,CI$57),""),1+CI$58*2,1),IF(MID(IFERROR(INDEX(醫師週班表!$C$5:$T$44,$CU36,CI$57),""),3,1)="隔",IF(CI$58=0,LEFT(IFERROR(INDEX(醫師週班表!$C$5:$T$44,$CU36,CI$57),""),1),""),IF(MID(IFERROR(INDEX(醫師週班表!$C$5:$T$44,$CU36,CI$57),""),2,1)="(",LEFT(IFERROR(INDEX(醫師週班表!$C$5:$T$44,$CU36,CI$57),""),1),IFERROR(INDEX(醫師週班表!$C$5:$T$44,$CU36,CI$57),"")))))))</f>
        <v/>
      </c>
      <c r="CJ36" s="68">
        <f>IF(CJ$59="X","",IF(CJ$59&lt;&gt;"",CJ$59,IF(IFERROR(INDEX(醫師週班表!$C$5:$T$44,$CU36,CJ$57),"")=0,"",IF(MID(IFERROR(INDEX(醫師週班表!$C$5:$T$44,$CU36,CJ$57),""),2,1)="/",MID(IFERROR(INDEX(醫師週班表!$C$5:$T$44,$CU36,CJ$57),""),1+CJ$58*2,1),IF(MID(IFERROR(INDEX(醫師週班表!$C$5:$T$44,$CU36,CJ$57),""),3,1)="隔",IF(CJ$58=0,LEFT(IFERROR(INDEX(醫師週班表!$C$5:$T$44,$CU36,CJ$57),""),1),""),IF(MID(IFERROR(INDEX(醫師週班表!$C$5:$T$44,$CU36,CJ$57),""),2,1)="(",LEFT(IFERROR(INDEX(醫師週班表!$C$5:$T$44,$CU36,CJ$57),""),1),IFERROR(INDEX(醫師週班表!$C$5:$T$44,$CU36,CJ$57),"")))))))</f>
        <v/>
      </c>
      <c r="CK36" s="67">
        <f>IF(CK$59="X","",IF(CK$59&lt;&gt;"",CK$59,IF(IFERROR(INDEX(醫師週班表!$C$5:$T$44,$CU36,CK$57),"")=0,"",IF(MID(IFERROR(INDEX(醫師週班表!$C$5:$T$44,$CU36,CK$57),""),2,1)="/",MID(IFERROR(INDEX(醫師週班表!$C$5:$T$44,$CU36,CK$57),""),1+CK$58*2,1),IF(MID(IFERROR(INDEX(醫師週班表!$C$5:$T$44,$CU36,CK$57),""),3,1)="隔",IF(CK$58=0,LEFT(IFERROR(INDEX(醫師週班表!$C$5:$T$44,$CU36,CK$57),""),1),""),IF(MID(IFERROR(INDEX(醫師週班表!$C$5:$T$44,$CU36,CK$57),""),2,1)="(",LEFT(IFERROR(INDEX(醫師週班表!$C$5:$T$44,$CU36,CK$57),""),1),IFERROR(INDEX(醫師週班表!$C$5:$T$44,$CU36,CK$57),"")))))))</f>
        <v/>
      </c>
      <c r="CL36" s="68">
        <f>IF(CL$59="X","",IF(CL$59&lt;&gt;"",CL$59,IF(IFERROR(INDEX(醫師週班表!$C$5:$T$44,$CU36,CL$57),"")=0,"",IF(MID(IFERROR(INDEX(醫師週班表!$C$5:$T$44,$CU36,CL$57),""),2,1)="/",MID(IFERROR(INDEX(醫師週班表!$C$5:$T$44,$CU36,CL$57),""),1+CL$58*2,1),IF(MID(IFERROR(INDEX(醫師週班表!$C$5:$T$44,$CU36,CL$57),""),3,1)="隔",IF(CL$58=0,LEFT(IFERROR(INDEX(醫師週班表!$C$5:$T$44,$CU36,CL$57),""),1),""),IF(MID(IFERROR(INDEX(醫師週班表!$C$5:$T$44,$CU36,CL$57),""),2,1)="(",LEFT(IFERROR(INDEX(醫師週班表!$C$5:$T$44,$CU36,CL$57),""),1),IFERROR(INDEX(醫師週班表!$C$5:$T$44,$CU36,CL$57),"")))))))</f>
        <v/>
      </c>
      <c r="CM36" s="68">
        <f>IF(CM$59="X","",IF(CM$59&lt;&gt;"",CM$59,IF(IFERROR(INDEX(醫師週班表!$C$5:$T$44,$CU36,CM$57),"")=0,"",IF(MID(IFERROR(INDEX(醫師週班表!$C$5:$T$44,$CU36,CM$57),""),2,1)="/",MID(IFERROR(INDEX(醫師週班表!$C$5:$T$44,$CU36,CM$57),""),1+CM$58*2,1),IF(MID(IFERROR(INDEX(醫師週班表!$C$5:$T$44,$CU36,CM$57),""),3,1)="隔",IF(CM$58=0,LEFT(IFERROR(INDEX(醫師週班表!$C$5:$T$44,$CU36,CM$57),""),1),""),IF(MID(IFERROR(INDEX(醫師週班表!$C$5:$T$44,$CU36,CM$57),""),2,1)="(",LEFT(IFERROR(INDEX(醫師週班表!$C$5:$T$44,$CU36,CM$57),""),1),IFERROR(INDEX(醫師週班表!$C$5:$T$44,$CU36,CM$57),"")))))))</f>
        <v/>
      </c>
      <c r="CN36" s="67">
        <f>IF(CN$59="X","",IF(CN$59&lt;&gt;"",CN$59,IF(IFERROR(INDEX(醫師週班表!$C$5:$T$44,$CU36,CN$57),"")=0,"",IF(MID(IFERROR(INDEX(醫師週班表!$C$5:$T$44,$CU36,CN$57),""),2,1)="/",MID(IFERROR(INDEX(醫師週班表!$C$5:$T$44,$CU36,CN$57),""),1+CN$58*2,1),IF(MID(IFERROR(INDEX(醫師週班表!$C$5:$T$44,$CU36,CN$57),""),3,1)="隔",IF(CN$58=0,LEFT(IFERROR(INDEX(醫師週班表!$C$5:$T$44,$CU36,CN$57),""),1),""),IF(MID(IFERROR(INDEX(醫師週班表!$C$5:$T$44,$CU36,CN$57),""),2,1)="(",LEFT(IFERROR(INDEX(醫師週班表!$C$5:$T$44,$CU36,CN$57),""),1),IFERROR(INDEX(醫師週班表!$C$5:$T$44,$CU36,CN$57),"")))))))</f>
        <v/>
      </c>
      <c r="CO36" s="68">
        <f>IF(CO$59="X","",IF(CO$59&lt;&gt;"",CO$59,IF(IFERROR(INDEX(醫師週班表!$C$5:$T$44,$CU36,CO$57),"")=0,"",IF(MID(IFERROR(INDEX(醫師週班表!$C$5:$T$44,$CU36,CO$57),""),2,1)="/",MID(IFERROR(INDEX(醫師週班表!$C$5:$T$44,$CU36,CO$57),""),1+CO$58*2,1),IF(MID(IFERROR(INDEX(醫師週班表!$C$5:$T$44,$CU36,CO$57),""),3,1)="隔",IF(CO$58=0,LEFT(IFERROR(INDEX(醫師週班表!$C$5:$T$44,$CU36,CO$57),""),1),""),IF(MID(IFERROR(INDEX(醫師週班表!$C$5:$T$44,$CU36,CO$57),""),2,1)="(",LEFT(IFERROR(INDEX(醫師週班表!$C$5:$T$44,$CU36,CO$57),""),1),IFERROR(INDEX(醫師週班表!$C$5:$T$44,$CU36,CO$57),"")))))))</f>
        <v/>
      </c>
      <c r="CP36" s="68">
        <f>IF(CP$59="X","",IF(CP$59&lt;&gt;"",CP$59,IF(IFERROR(INDEX(醫師週班表!$C$5:$T$44,$CU36,CP$57),"")=0,"",IF(MID(IFERROR(INDEX(醫師週班表!$C$5:$T$44,$CU36,CP$57),""),2,1)="/",MID(IFERROR(INDEX(醫師週班表!$C$5:$T$44,$CU36,CP$57),""),1+CP$58*2,1),IF(MID(IFERROR(INDEX(醫師週班表!$C$5:$T$44,$CU36,CP$57),""),3,1)="隔",IF(CP$58=0,LEFT(IFERROR(INDEX(醫師週班表!$C$5:$T$44,$CU36,CP$57),""),1),""),IF(MID(IFERROR(INDEX(醫師週班表!$C$5:$T$44,$CU36,CP$57),""),2,1)="(",LEFT(IFERROR(INDEX(醫師週班表!$C$5:$T$44,$CU36,CP$57),""),1),IFERROR(INDEX(醫師週班表!$C$5:$T$44,$CU36,CP$57),"")))))))</f>
        <v/>
      </c>
      <c r="CQ36" s="67">
        <f>IF(CQ$59="X","",IF(CQ$59&lt;&gt;"",CQ$59,IF(IFERROR(INDEX(醫師週班表!$C$5:$T$44,$CU36,CQ$57),"")=0,"",IF(MID(IFERROR(INDEX(醫師週班表!$C$5:$T$44,$CU36,CQ$57),""),2,1)="/",MID(IFERROR(INDEX(醫師週班表!$C$5:$T$44,$CU36,CQ$57),""),1+CQ$58*2,1),IF(MID(IFERROR(INDEX(醫師週班表!$C$5:$T$44,$CU36,CQ$57),""),3,1)="隔",IF(CQ$58=0,LEFT(IFERROR(INDEX(醫師週班表!$C$5:$T$44,$CU36,CQ$57),""),1),""),IF(MID(IFERROR(INDEX(醫師週班表!$C$5:$T$44,$CU36,CQ$57),""),2,1)="(",LEFT(IFERROR(INDEX(醫師週班表!$C$5:$T$44,$CU36,CQ$57),""),1),IFERROR(INDEX(醫師週班表!$C$5:$T$44,$CU36,CQ$57),"")))))))</f>
        <v/>
      </c>
      <c r="CR36" s="68">
        <f>IF(CR$59="X","",IF(CR$59&lt;&gt;"",CR$59,IF(IFERROR(INDEX(醫師週班表!$C$5:$T$44,$CU36,CR$57),"")=0,"",IF(MID(IFERROR(INDEX(醫師週班表!$C$5:$T$44,$CU36,CR$57),""),2,1)="/",MID(IFERROR(INDEX(醫師週班表!$C$5:$T$44,$CU36,CR$57),""),1+CR$58*2,1),IF(MID(IFERROR(INDEX(醫師週班表!$C$5:$T$44,$CU36,CR$57),""),3,1)="隔",IF(CR$58=0,LEFT(IFERROR(INDEX(醫師週班表!$C$5:$T$44,$CU36,CR$57),""),1),""),IF(MID(IFERROR(INDEX(醫師週班表!$C$5:$T$44,$CU36,CR$57),""),2,1)="(",LEFT(IFERROR(INDEX(醫師週班表!$C$5:$T$44,$CU36,CR$57),""),1),IFERROR(INDEX(醫師週班表!$C$5:$T$44,$CU36,CR$57),"")))))))</f>
        <v/>
      </c>
      <c r="CS36" s="68">
        <f>IF(CS$59="X","",IF(CS$59&lt;&gt;"",CS$59,IF(IFERROR(INDEX(醫師週班表!$C$5:$T$44,$CU36,CS$57),"")=0,"",IF(MID(IFERROR(INDEX(醫師週班表!$C$5:$T$44,$CU36,CS$57),""),2,1)="/",MID(IFERROR(INDEX(醫師週班表!$C$5:$T$44,$CU36,CS$57),""),1+CS$58*2,1),IF(MID(IFERROR(INDEX(醫師週班表!$C$5:$T$44,$CU36,CS$57),""),3,1)="隔",IF(CS$58=0,LEFT(IFERROR(INDEX(醫師週班表!$C$5:$T$44,$CU36,CS$57),""),1),""),IF(MID(IFERROR(INDEX(醫師週班表!$C$5:$T$44,$CU36,CS$57),""),2,1)="(",LEFT(IFERROR(INDEX(醫師週班表!$C$5:$T$44,$CU36,CS$57),""),1),IFERROR(INDEX(醫師週班表!$C$5:$T$44,$CU36,CS$57),"")))))))</f>
        <v/>
      </c>
      <c r="CU36" s="69">
        <f>IFERROR(MATCH($A36,醫師週班表!$A$5:$A$44,0),0)</f>
        <v/>
      </c>
    </row>
    <row r="37" ht="17" customHeight="1">
      <c r="A37" s="20" t="n"/>
      <c r="B37" s="16">
        <f>IFERROR(INDEX(設定!$C$62:$C$201,MATCH($A37,設定!$B$62:$B$201,0)),"")</f>
        <v/>
      </c>
      <c r="C37" s="66">
        <f>IFERROR(INDEX(設定!$E$62:$E$201,MATCH($A37,設定!$B$62:$B$201,0)),"")</f>
        <v/>
      </c>
      <c r="D37" s="16">
        <f>IFERROR(INDEX(設定!$F$62:$F$201,MATCH($A37,設定!$B$62:$B$201,0)),"")</f>
        <v/>
      </c>
      <c r="E37" s="67">
        <f>IF(E$59="X","",IF(E$59&lt;&gt;"",E$59,IF(IFERROR(INDEX(醫師週班表!$C$5:$T$44,$CU37,E$57),"")=0,"",IF(MID(IFERROR(INDEX(醫師週班表!$C$5:$T$44,$CU37,E$57),""),2,1)="/",MID(IFERROR(INDEX(醫師週班表!$C$5:$T$44,$CU37,E$57),""),1+E$58*2,1),IF(MID(IFERROR(INDEX(醫師週班表!$C$5:$T$44,$CU37,E$57),""),3,1)="隔",IF(E$58=0,LEFT(IFERROR(INDEX(醫師週班表!$C$5:$T$44,$CU37,E$57),""),1),""),IF(MID(IFERROR(INDEX(醫師週班表!$C$5:$T$44,$CU37,E$57),""),2,1)="(",LEFT(IFERROR(INDEX(醫師週班表!$C$5:$T$44,$CU37,E$57),""),1),IFERROR(INDEX(醫師週班表!$C$5:$T$44,$CU37,E$57),"")))))))</f>
        <v/>
      </c>
      <c r="F37" s="68">
        <f>IF(F$59="X","",IF(F$59&lt;&gt;"",F$59,IF(IFERROR(INDEX(醫師週班表!$C$5:$T$44,$CU37,F$57),"")=0,"",IF(MID(IFERROR(INDEX(醫師週班表!$C$5:$T$44,$CU37,F$57),""),2,1)="/",MID(IFERROR(INDEX(醫師週班表!$C$5:$T$44,$CU37,F$57),""),1+F$58*2,1),IF(MID(IFERROR(INDEX(醫師週班表!$C$5:$T$44,$CU37,F$57),""),3,1)="隔",IF(F$58=0,LEFT(IFERROR(INDEX(醫師週班表!$C$5:$T$44,$CU37,F$57),""),1),""),IF(MID(IFERROR(INDEX(醫師週班表!$C$5:$T$44,$CU37,F$57),""),2,1)="(",LEFT(IFERROR(INDEX(醫師週班表!$C$5:$T$44,$CU37,F$57),""),1),IFERROR(INDEX(醫師週班表!$C$5:$T$44,$CU37,F$57),"")))))))</f>
        <v/>
      </c>
      <c r="G37" s="68">
        <f>IF(G$59="X","",IF(G$59&lt;&gt;"",G$59,IF(IFERROR(INDEX(醫師週班表!$C$5:$T$44,$CU37,G$57),"")=0,"",IF(MID(IFERROR(INDEX(醫師週班表!$C$5:$T$44,$CU37,G$57),""),2,1)="/",MID(IFERROR(INDEX(醫師週班表!$C$5:$T$44,$CU37,G$57),""),1+G$58*2,1),IF(MID(IFERROR(INDEX(醫師週班表!$C$5:$T$44,$CU37,G$57),""),3,1)="隔",IF(G$58=0,LEFT(IFERROR(INDEX(醫師週班表!$C$5:$T$44,$CU37,G$57),""),1),""),IF(MID(IFERROR(INDEX(醫師週班表!$C$5:$T$44,$CU37,G$57),""),2,1)="(",LEFT(IFERROR(INDEX(醫師週班表!$C$5:$T$44,$CU37,G$57),""),1),IFERROR(INDEX(醫師週班表!$C$5:$T$44,$CU37,G$57),"")))))))</f>
        <v/>
      </c>
      <c r="H37" s="67">
        <f>IF(H$59="X","",IF(H$59&lt;&gt;"",H$59,IF(IFERROR(INDEX(醫師週班表!$C$5:$T$44,$CU37,H$57),"")=0,"",IF(MID(IFERROR(INDEX(醫師週班表!$C$5:$T$44,$CU37,H$57),""),2,1)="/",MID(IFERROR(INDEX(醫師週班表!$C$5:$T$44,$CU37,H$57),""),1+H$58*2,1),IF(MID(IFERROR(INDEX(醫師週班表!$C$5:$T$44,$CU37,H$57),""),3,1)="隔",IF(H$58=0,LEFT(IFERROR(INDEX(醫師週班表!$C$5:$T$44,$CU37,H$57),""),1),""),IF(MID(IFERROR(INDEX(醫師週班表!$C$5:$T$44,$CU37,H$57),""),2,1)="(",LEFT(IFERROR(INDEX(醫師週班表!$C$5:$T$44,$CU37,H$57),""),1),IFERROR(INDEX(醫師週班表!$C$5:$T$44,$CU37,H$57),"")))))))</f>
        <v/>
      </c>
      <c r="I37" s="68">
        <f>IF(I$59="X","",IF(I$59&lt;&gt;"",I$59,IF(IFERROR(INDEX(醫師週班表!$C$5:$T$44,$CU37,I$57),"")=0,"",IF(MID(IFERROR(INDEX(醫師週班表!$C$5:$T$44,$CU37,I$57),""),2,1)="/",MID(IFERROR(INDEX(醫師週班表!$C$5:$T$44,$CU37,I$57),""),1+I$58*2,1),IF(MID(IFERROR(INDEX(醫師週班表!$C$5:$T$44,$CU37,I$57),""),3,1)="隔",IF(I$58=0,LEFT(IFERROR(INDEX(醫師週班表!$C$5:$T$44,$CU37,I$57),""),1),""),IF(MID(IFERROR(INDEX(醫師週班表!$C$5:$T$44,$CU37,I$57),""),2,1)="(",LEFT(IFERROR(INDEX(醫師週班表!$C$5:$T$44,$CU37,I$57),""),1),IFERROR(INDEX(醫師週班表!$C$5:$T$44,$CU37,I$57),"")))))))</f>
        <v/>
      </c>
      <c r="J37" s="68">
        <f>IF(J$59="X","",IF(J$59&lt;&gt;"",J$59,IF(IFERROR(INDEX(醫師週班表!$C$5:$T$44,$CU37,J$57),"")=0,"",IF(MID(IFERROR(INDEX(醫師週班表!$C$5:$T$44,$CU37,J$57),""),2,1)="/",MID(IFERROR(INDEX(醫師週班表!$C$5:$T$44,$CU37,J$57),""),1+J$58*2,1),IF(MID(IFERROR(INDEX(醫師週班表!$C$5:$T$44,$CU37,J$57),""),3,1)="隔",IF(J$58=0,LEFT(IFERROR(INDEX(醫師週班表!$C$5:$T$44,$CU37,J$57),""),1),""),IF(MID(IFERROR(INDEX(醫師週班表!$C$5:$T$44,$CU37,J$57),""),2,1)="(",LEFT(IFERROR(INDEX(醫師週班表!$C$5:$T$44,$CU37,J$57),""),1),IFERROR(INDEX(醫師週班表!$C$5:$T$44,$CU37,J$57),"")))))))</f>
        <v/>
      </c>
      <c r="K37" s="67">
        <f>IF(K$59="X","",IF(K$59&lt;&gt;"",K$59,IF(IFERROR(INDEX(醫師週班表!$C$5:$T$44,$CU37,K$57),"")=0,"",IF(MID(IFERROR(INDEX(醫師週班表!$C$5:$T$44,$CU37,K$57),""),2,1)="/",MID(IFERROR(INDEX(醫師週班表!$C$5:$T$44,$CU37,K$57),""),1+K$58*2,1),IF(MID(IFERROR(INDEX(醫師週班表!$C$5:$T$44,$CU37,K$57),""),3,1)="隔",IF(K$58=0,LEFT(IFERROR(INDEX(醫師週班表!$C$5:$T$44,$CU37,K$57),""),1),""),IF(MID(IFERROR(INDEX(醫師週班表!$C$5:$T$44,$CU37,K$57),""),2,1)="(",LEFT(IFERROR(INDEX(醫師週班表!$C$5:$T$44,$CU37,K$57),""),1),IFERROR(INDEX(醫師週班表!$C$5:$T$44,$CU37,K$57),"")))))))</f>
        <v/>
      </c>
      <c r="L37" s="68">
        <f>IF(L$59="X","",IF(L$59&lt;&gt;"",L$59,IF(IFERROR(INDEX(醫師週班表!$C$5:$T$44,$CU37,L$57),"")=0,"",IF(MID(IFERROR(INDEX(醫師週班表!$C$5:$T$44,$CU37,L$57),""),2,1)="/",MID(IFERROR(INDEX(醫師週班表!$C$5:$T$44,$CU37,L$57),""),1+L$58*2,1),IF(MID(IFERROR(INDEX(醫師週班表!$C$5:$T$44,$CU37,L$57),""),3,1)="隔",IF(L$58=0,LEFT(IFERROR(INDEX(醫師週班表!$C$5:$T$44,$CU37,L$57),""),1),""),IF(MID(IFERROR(INDEX(醫師週班表!$C$5:$T$44,$CU37,L$57),""),2,1)="(",LEFT(IFERROR(INDEX(醫師週班表!$C$5:$T$44,$CU37,L$57),""),1),IFERROR(INDEX(醫師週班表!$C$5:$T$44,$CU37,L$57),"")))))))</f>
        <v/>
      </c>
      <c r="M37" s="68">
        <f>IF(M$59="X","",IF(M$59&lt;&gt;"",M$59,IF(IFERROR(INDEX(醫師週班表!$C$5:$T$44,$CU37,M$57),"")=0,"",IF(MID(IFERROR(INDEX(醫師週班表!$C$5:$T$44,$CU37,M$57),""),2,1)="/",MID(IFERROR(INDEX(醫師週班表!$C$5:$T$44,$CU37,M$57),""),1+M$58*2,1),IF(MID(IFERROR(INDEX(醫師週班表!$C$5:$T$44,$CU37,M$57),""),3,1)="隔",IF(M$58=0,LEFT(IFERROR(INDEX(醫師週班表!$C$5:$T$44,$CU37,M$57),""),1),""),IF(MID(IFERROR(INDEX(醫師週班表!$C$5:$T$44,$CU37,M$57),""),2,1)="(",LEFT(IFERROR(INDEX(醫師週班表!$C$5:$T$44,$CU37,M$57),""),1),IFERROR(INDEX(醫師週班表!$C$5:$T$44,$CU37,M$57),"")))))))</f>
        <v/>
      </c>
      <c r="N37" s="67">
        <f>IF(N$59="X","",IF(N$59&lt;&gt;"",N$59,IF(IFERROR(INDEX(醫師週班表!$C$5:$T$44,$CU37,N$57),"")=0,"",IF(MID(IFERROR(INDEX(醫師週班表!$C$5:$T$44,$CU37,N$57),""),2,1)="/",MID(IFERROR(INDEX(醫師週班表!$C$5:$T$44,$CU37,N$57),""),1+N$58*2,1),IF(MID(IFERROR(INDEX(醫師週班表!$C$5:$T$44,$CU37,N$57),""),3,1)="隔",IF(N$58=0,LEFT(IFERROR(INDEX(醫師週班表!$C$5:$T$44,$CU37,N$57),""),1),""),IF(MID(IFERROR(INDEX(醫師週班表!$C$5:$T$44,$CU37,N$57),""),2,1)="(",LEFT(IFERROR(INDEX(醫師週班表!$C$5:$T$44,$CU37,N$57),""),1),IFERROR(INDEX(醫師週班表!$C$5:$T$44,$CU37,N$57),"")))))))</f>
        <v/>
      </c>
      <c r="O37" s="68">
        <f>IF(O$59="X","",IF(O$59&lt;&gt;"",O$59,IF(IFERROR(INDEX(醫師週班表!$C$5:$T$44,$CU37,O$57),"")=0,"",IF(MID(IFERROR(INDEX(醫師週班表!$C$5:$T$44,$CU37,O$57),""),2,1)="/",MID(IFERROR(INDEX(醫師週班表!$C$5:$T$44,$CU37,O$57),""),1+O$58*2,1),IF(MID(IFERROR(INDEX(醫師週班表!$C$5:$T$44,$CU37,O$57),""),3,1)="隔",IF(O$58=0,LEFT(IFERROR(INDEX(醫師週班表!$C$5:$T$44,$CU37,O$57),""),1),""),IF(MID(IFERROR(INDEX(醫師週班表!$C$5:$T$44,$CU37,O$57),""),2,1)="(",LEFT(IFERROR(INDEX(醫師週班表!$C$5:$T$44,$CU37,O$57),""),1),IFERROR(INDEX(醫師週班表!$C$5:$T$44,$CU37,O$57),"")))))))</f>
        <v/>
      </c>
      <c r="P37" s="68">
        <f>IF(P$59="X","",IF(P$59&lt;&gt;"",P$59,IF(IFERROR(INDEX(醫師週班表!$C$5:$T$44,$CU37,P$57),"")=0,"",IF(MID(IFERROR(INDEX(醫師週班表!$C$5:$T$44,$CU37,P$57),""),2,1)="/",MID(IFERROR(INDEX(醫師週班表!$C$5:$T$44,$CU37,P$57),""),1+P$58*2,1),IF(MID(IFERROR(INDEX(醫師週班表!$C$5:$T$44,$CU37,P$57),""),3,1)="隔",IF(P$58=0,LEFT(IFERROR(INDEX(醫師週班表!$C$5:$T$44,$CU37,P$57),""),1),""),IF(MID(IFERROR(INDEX(醫師週班表!$C$5:$T$44,$CU37,P$57),""),2,1)="(",LEFT(IFERROR(INDEX(醫師週班表!$C$5:$T$44,$CU37,P$57),""),1),IFERROR(INDEX(醫師週班表!$C$5:$T$44,$CU37,P$57),"")))))))</f>
        <v/>
      </c>
      <c r="Q37" s="67">
        <f>IF(Q$59="X","",IF(Q$59&lt;&gt;"",Q$59,IF(IFERROR(INDEX(醫師週班表!$C$5:$T$44,$CU37,Q$57),"")=0,"",IF(MID(IFERROR(INDEX(醫師週班表!$C$5:$T$44,$CU37,Q$57),""),2,1)="/",MID(IFERROR(INDEX(醫師週班表!$C$5:$T$44,$CU37,Q$57),""),1+Q$58*2,1),IF(MID(IFERROR(INDEX(醫師週班表!$C$5:$T$44,$CU37,Q$57),""),3,1)="隔",IF(Q$58=0,LEFT(IFERROR(INDEX(醫師週班表!$C$5:$T$44,$CU37,Q$57),""),1),""),IF(MID(IFERROR(INDEX(醫師週班表!$C$5:$T$44,$CU37,Q$57),""),2,1)="(",LEFT(IFERROR(INDEX(醫師週班表!$C$5:$T$44,$CU37,Q$57),""),1),IFERROR(INDEX(醫師週班表!$C$5:$T$44,$CU37,Q$57),"")))))))</f>
        <v/>
      </c>
      <c r="R37" s="68">
        <f>IF(R$59="X","",IF(R$59&lt;&gt;"",R$59,IF(IFERROR(INDEX(醫師週班表!$C$5:$T$44,$CU37,R$57),"")=0,"",IF(MID(IFERROR(INDEX(醫師週班表!$C$5:$T$44,$CU37,R$57),""),2,1)="/",MID(IFERROR(INDEX(醫師週班表!$C$5:$T$44,$CU37,R$57),""),1+R$58*2,1),IF(MID(IFERROR(INDEX(醫師週班表!$C$5:$T$44,$CU37,R$57),""),3,1)="隔",IF(R$58=0,LEFT(IFERROR(INDEX(醫師週班表!$C$5:$T$44,$CU37,R$57),""),1),""),IF(MID(IFERROR(INDEX(醫師週班表!$C$5:$T$44,$CU37,R$57),""),2,1)="(",LEFT(IFERROR(INDEX(醫師週班表!$C$5:$T$44,$CU37,R$57),""),1),IFERROR(INDEX(醫師週班表!$C$5:$T$44,$CU37,R$57),"")))))))</f>
        <v/>
      </c>
      <c r="S37" s="68">
        <f>IF(S$59="X","",IF(S$59&lt;&gt;"",S$59,IF(IFERROR(INDEX(醫師週班表!$C$5:$T$44,$CU37,S$57),"")=0,"",IF(MID(IFERROR(INDEX(醫師週班表!$C$5:$T$44,$CU37,S$57),""),2,1)="/",MID(IFERROR(INDEX(醫師週班表!$C$5:$T$44,$CU37,S$57),""),1+S$58*2,1),IF(MID(IFERROR(INDEX(醫師週班表!$C$5:$T$44,$CU37,S$57),""),3,1)="隔",IF(S$58=0,LEFT(IFERROR(INDEX(醫師週班表!$C$5:$T$44,$CU37,S$57),""),1),""),IF(MID(IFERROR(INDEX(醫師週班表!$C$5:$T$44,$CU37,S$57),""),2,1)="(",LEFT(IFERROR(INDEX(醫師週班表!$C$5:$T$44,$CU37,S$57),""),1),IFERROR(INDEX(醫師週班表!$C$5:$T$44,$CU37,S$57),"")))))))</f>
        <v/>
      </c>
      <c r="T37" s="67">
        <f>IF(T$59="X","",IF(T$59&lt;&gt;"",T$59,IF(IFERROR(INDEX(醫師週班表!$C$5:$T$44,$CU37,T$57),"")=0,"",IF(MID(IFERROR(INDEX(醫師週班表!$C$5:$T$44,$CU37,T$57),""),2,1)="/",MID(IFERROR(INDEX(醫師週班表!$C$5:$T$44,$CU37,T$57),""),1+T$58*2,1),IF(MID(IFERROR(INDEX(醫師週班表!$C$5:$T$44,$CU37,T$57),""),3,1)="隔",IF(T$58=0,LEFT(IFERROR(INDEX(醫師週班表!$C$5:$T$44,$CU37,T$57),""),1),""),IF(MID(IFERROR(INDEX(醫師週班表!$C$5:$T$44,$CU37,T$57),""),2,1)="(",LEFT(IFERROR(INDEX(醫師週班表!$C$5:$T$44,$CU37,T$57),""),1),IFERROR(INDEX(醫師週班表!$C$5:$T$44,$CU37,T$57),"")))))))</f>
        <v/>
      </c>
      <c r="U37" s="68">
        <f>IF(U$59="X","",IF(U$59&lt;&gt;"",U$59,IF(IFERROR(INDEX(醫師週班表!$C$5:$T$44,$CU37,U$57),"")=0,"",IF(MID(IFERROR(INDEX(醫師週班表!$C$5:$T$44,$CU37,U$57),""),2,1)="/",MID(IFERROR(INDEX(醫師週班表!$C$5:$T$44,$CU37,U$57),""),1+U$58*2,1),IF(MID(IFERROR(INDEX(醫師週班表!$C$5:$T$44,$CU37,U$57),""),3,1)="隔",IF(U$58=0,LEFT(IFERROR(INDEX(醫師週班表!$C$5:$T$44,$CU37,U$57),""),1),""),IF(MID(IFERROR(INDEX(醫師週班表!$C$5:$T$44,$CU37,U$57),""),2,1)="(",LEFT(IFERROR(INDEX(醫師週班表!$C$5:$T$44,$CU37,U$57),""),1),IFERROR(INDEX(醫師週班表!$C$5:$T$44,$CU37,U$57),"")))))))</f>
        <v/>
      </c>
      <c r="V37" s="68">
        <f>IF(V$59="X","",IF(V$59&lt;&gt;"",V$59,IF(IFERROR(INDEX(醫師週班表!$C$5:$T$44,$CU37,V$57),"")=0,"",IF(MID(IFERROR(INDEX(醫師週班表!$C$5:$T$44,$CU37,V$57),""),2,1)="/",MID(IFERROR(INDEX(醫師週班表!$C$5:$T$44,$CU37,V$57),""),1+V$58*2,1),IF(MID(IFERROR(INDEX(醫師週班表!$C$5:$T$44,$CU37,V$57),""),3,1)="隔",IF(V$58=0,LEFT(IFERROR(INDEX(醫師週班表!$C$5:$T$44,$CU37,V$57),""),1),""),IF(MID(IFERROR(INDEX(醫師週班表!$C$5:$T$44,$CU37,V$57),""),2,1)="(",LEFT(IFERROR(INDEX(醫師週班表!$C$5:$T$44,$CU37,V$57),""),1),IFERROR(INDEX(醫師週班表!$C$5:$T$44,$CU37,V$57),"")))))))</f>
        <v/>
      </c>
      <c r="W37" s="67">
        <f>IF(W$59="X","",IF(W$59&lt;&gt;"",W$59,IF(IFERROR(INDEX(醫師週班表!$C$5:$T$44,$CU37,W$57),"")=0,"",IF(MID(IFERROR(INDEX(醫師週班表!$C$5:$T$44,$CU37,W$57),""),2,1)="/",MID(IFERROR(INDEX(醫師週班表!$C$5:$T$44,$CU37,W$57),""),1+W$58*2,1),IF(MID(IFERROR(INDEX(醫師週班表!$C$5:$T$44,$CU37,W$57),""),3,1)="隔",IF(W$58=0,LEFT(IFERROR(INDEX(醫師週班表!$C$5:$T$44,$CU37,W$57),""),1),""),IF(MID(IFERROR(INDEX(醫師週班表!$C$5:$T$44,$CU37,W$57),""),2,1)="(",LEFT(IFERROR(INDEX(醫師週班表!$C$5:$T$44,$CU37,W$57),""),1),IFERROR(INDEX(醫師週班表!$C$5:$T$44,$CU37,W$57),"")))))))</f>
        <v/>
      </c>
      <c r="X37" s="68">
        <f>IF(X$59="X","",IF(X$59&lt;&gt;"",X$59,IF(IFERROR(INDEX(醫師週班表!$C$5:$T$44,$CU37,X$57),"")=0,"",IF(MID(IFERROR(INDEX(醫師週班表!$C$5:$T$44,$CU37,X$57),""),2,1)="/",MID(IFERROR(INDEX(醫師週班表!$C$5:$T$44,$CU37,X$57),""),1+X$58*2,1),IF(MID(IFERROR(INDEX(醫師週班表!$C$5:$T$44,$CU37,X$57),""),3,1)="隔",IF(X$58=0,LEFT(IFERROR(INDEX(醫師週班表!$C$5:$T$44,$CU37,X$57),""),1),""),IF(MID(IFERROR(INDEX(醫師週班表!$C$5:$T$44,$CU37,X$57),""),2,1)="(",LEFT(IFERROR(INDEX(醫師週班表!$C$5:$T$44,$CU37,X$57),""),1),IFERROR(INDEX(醫師週班表!$C$5:$T$44,$CU37,X$57),"")))))))</f>
        <v/>
      </c>
      <c r="Y37" s="68">
        <f>IF(Y$59="X","",IF(Y$59&lt;&gt;"",Y$59,IF(IFERROR(INDEX(醫師週班表!$C$5:$T$44,$CU37,Y$57),"")=0,"",IF(MID(IFERROR(INDEX(醫師週班表!$C$5:$T$44,$CU37,Y$57),""),2,1)="/",MID(IFERROR(INDEX(醫師週班表!$C$5:$T$44,$CU37,Y$57),""),1+Y$58*2,1),IF(MID(IFERROR(INDEX(醫師週班表!$C$5:$T$44,$CU37,Y$57),""),3,1)="隔",IF(Y$58=0,LEFT(IFERROR(INDEX(醫師週班表!$C$5:$T$44,$CU37,Y$57),""),1),""),IF(MID(IFERROR(INDEX(醫師週班表!$C$5:$T$44,$CU37,Y$57),""),2,1)="(",LEFT(IFERROR(INDEX(醫師週班表!$C$5:$T$44,$CU37,Y$57),""),1),IFERROR(INDEX(醫師週班表!$C$5:$T$44,$CU37,Y$57),"")))))))</f>
        <v/>
      </c>
      <c r="Z37" s="67">
        <f>IF(Z$59="X","",IF(Z$59&lt;&gt;"",Z$59,IF(IFERROR(INDEX(醫師週班表!$C$5:$T$44,$CU37,Z$57),"")=0,"",IF(MID(IFERROR(INDEX(醫師週班表!$C$5:$T$44,$CU37,Z$57),""),2,1)="/",MID(IFERROR(INDEX(醫師週班表!$C$5:$T$44,$CU37,Z$57),""),1+Z$58*2,1),IF(MID(IFERROR(INDEX(醫師週班表!$C$5:$T$44,$CU37,Z$57),""),3,1)="隔",IF(Z$58=0,LEFT(IFERROR(INDEX(醫師週班表!$C$5:$T$44,$CU37,Z$57),""),1),""),IF(MID(IFERROR(INDEX(醫師週班表!$C$5:$T$44,$CU37,Z$57),""),2,1)="(",LEFT(IFERROR(INDEX(醫師週班表!$C$5:$T$44,$CU37,Z$57),""),1),IFERROR(INDEX(醫師週班表!$C$5:$T$44,$CU37,Z$57),"")))))))</f>
        <v/>
      </c>
      <c r="AA37" s="68">
        <f>IF(AA$59="X","",IF(AA$59&lt;&gt;"",AA$59,IF(IFERROR(INDEX(醫師週班表!$C$5:$T$44,$CU37,AA$57),"")=0,"",IF(MID(IFERROR(INDEX(醫師週班表!$C$5:$T$44,$CU37,AA$57),""),2,1)="/",MID(IFERROR(INDEX(醫師週班表!$C$5:$T$44,$CU37,AA$57),""),1+AA$58*2,1),IF(MID(IFERROR(INDEX(醫師週班表!$C$5:$T$44,$CU37,AA$57),""),3,1)="隔",IF(AA$58=0,LEFT(IFERROR(INDEX(醫師週班表!$C$5:$T$44,$CU37,AA$57),""),1),""),IF(MID(IFERROR(INDEX(醫師週班表!$C$5:$T$44,$CU37,AA$57),""),2,1)="(",LEFT(IFERROR(INDEX(醫師週班表!$C$5:$T$44,$CU37,AA$57),""),1),IFERROR(INDEX(醫師週班表!$C$5:$T$44,$CU37,AA$57),"")))))))</f>
        <v/>
      </c>
      <c r="AB37" s="68">
        <f>IF(AB$59="X","",IF(AB$59&lt;&gt;"",AB$59,IF(IFERROR(INDEX(醫師週班表!$C$5:$T$44,$CU37,AB$57),"")=0,"",IF(MID(IFERROR(INDEX(醫師週班表!$C$5:$T$44,$CU37,AB$57),""),2,1)="/",MID(IFERROR(INDEX(醫師週班表!$C$5:$T$44,$CU37,AB$57),""),1+AB$58*2,1),IF(MID(IFERROR(INDEX(醫師週班表!$C$5:$T$44,$CU37,AB$57),""),3,1)="隔",IF(AB$58=0,LEFT(IFERROR(INDEX(醫師週班表!$C$5:$T$44,$CU37,AB$57),""),1),""),IF(MID(IFERROR(INDEX(醫師週班表!$C$5:$T$44,$CU37,AB$57),""),2,1)="(",LEFT(IFERROR(INDEX(醫師週班表!$C$5:$T$44,$CU37,AB$57),""),1),IFERROR(INDEX(醫師週班表!$C$5:$T$44,$CU37,AB$57),"")))))))</f>
        <v/>
      </c>
      <c r="AC37" s="67">
        <f>IF(AC$59="X","",IF(AC$59&lt;&gt;"",AC$59,IF(IFERROR(INDEX(醫師週班表!$C$5:$T$44,$CU37,AC$57),"")=0,"",IF(MID(IFERROR(INDEX(醫師週班表!$C$5:$T$44,$CU37,AC$57),""),2,1)="/",MID(IFERROR(INDEX(醫師週班表!$C$5:$T$44,$CU37,AC$57),""),1+AC$58*2,1),IF(MID(IFERROR(INDEX(醫師週班表!$C$5:$T$44,$CU37,AC$57),""),3,1)="隔",IF(AC$58=0,LEFT(IFERROR(INDEX(醫師週班表!$C$5:$T$44,$CU37,AC$57),""),1),""),IF(MID(IFERROR(INDEX(醫師週班表!$C$5:$T$44,$CU37,AC$57),""),2,1)="(",LEFT(IFERROR(INDEX(醫師週班表!$C$5:$T$44,$CU37,AC$57),""),1),IFERROR(INDEX(醫師週班表!$C$5:$T$44,$CU37,AC$57),"")))))))</f>
        <v/>
      </c>
      <c r="AD37" s="68">
        <f>IF(AD$59="X","",IF(AD$59&lt;&gt;"",AD$59,IF(IFERROR(INDEX(醫師週班表!$C$5:$T$44,$CU37,AD$57),"")=0,"",IF(MID(IFERROR(INDEX(醫師週班表!$C$5:$T$44,$CU37,AD$57),""),2,1)="/",MID(IFERROR(INDEX(醫師週班表!$C$5:$T$44,$CU37,AD$57),""),1+AD$58*2,1),IF(MID(IFERROR(INDEX(醫師週班表!$C$5:$T$44,$CU37,AD$57),""),3,1)="隔",IF(AD$58=0,LEFT(IFERROR(INDEX(醫師週班表!$C$5:$T$44,$CU37,AD$57),""),1),""),IF(MID(IFERROR(INDEX(醫師週班表!$C$5:$T$44,$CU37,AD$57),""),2,1)="(",LEFT(IFERROR(INDEX(醫師週班表!$C$5:$T$44,$CU37,AD$57),""),1),IFERROR(INDEX(醫師週班表!$C$5:$T$44,$CU37,AD$57),"")))))))</f>
        <v/>
      </c>
      <c r="AE37" s="68">
        <f>IF(AE$59="X","",IF(AE$59&lt;&gt;"",AE$59,IF(IFERROR(INDEX(醫師週班表!$C$5:$T$44,$CU37,AE$57),"")=0,"",IF(MID(IFERROR(INDEX(醫師週班表!$C$5:$T$44,$CU37,AE$57),""),2,1)="/",MID(IFERROR(INDEX(醫師週班表!$C$5:$T$44,$CU37,AE$57),""),1+AE$58*2,1),IF(MID(IFERROR(INDEX(醫師週班表!$C$5:$T$44,$CU37,AE$57),""),3,1)="隔",IF(AE$58=0,LEFT(IFERROR(INDEX(醫師週班表!$C$5:$T$44,$CU37,AE$57),""),1),""),IF(MID(IFERROR(INDEX(醫師週班表!$C$5:$T$44,$CU37,AE$57),""),2,1)="(",LEFT(IFERROR(INDEX(醫師週班表!$C$5:$T$44,$CU37,AE$57),""),1),IFERROR(INDEX(醫師週班表!$C$5:$T$44,$CU37,AE$57),"")))))))</f>
        <v/>
      </c>
      <c r="AF37" s="67">
        <f>IF(AF$59="X","",IF(AF$59&lt;&gt;"",AF$59,IF(IFERROR(INDEX(醫師週班表!$C$5:$T$44,$CU37,AF$57),"")=0,"",IF(MID(IFERROR(INDEX(醫師週班表!$C$5:$T$44,$CU37,AF$57),""),2,1)="/",MID(IFERROR(INDEX(醫師週班表!$C$5:$T$44,$CU37,AF$57),""),1+AF$58*2,1),IF(MID(IFERROR(INDEX(醫師週班表!$C$5:$T$44,$CU37,AF$57),""),3,1)="隔",IF(AF$58=0,LEFT(IFERROR(INDEX(醫師週班表!$C$5:$T$44,$CU37,AF$57),""),1),""),IF(MID(IFERROR(INDEX(醫師週班表!$C$5:$T$44,$CU37,AF$57),""),2,1)="(",LEFT(IFERROR(INDEX(醫師週班表!$C$5:$T$44,$CU37,AF$57),""),1),IFERROR(INDEX(醫師週班表!$C$5:$T$44,$CU37,AF$57),"")))))))</f>
        <v/>
      </c>
      <c r="AG37" s="68">
        <f>IF(AG$59="X","",IF(AG$59&lt;&gt;"",AG$59,IF(IFERROR(INDEX(醫師週班表!$C$5:$T$44,$CU37,AG$57),"")=0,"",IF(MID(IFERROR(INDEX(醫師週班表!$C$5:$T$44,$CU37,AG$57),""),2,1)="/",MID(IFERROR(INDEX(醫師週班表!$C$5:$T$44,$CU37,AG$57),""),1+AG$58*2,1),IF(MID(IFERROR(INDEX(醫師週班表!$C$5:$T$44,$CU37,AG$57),""),3,1)="隔",IF(AG$58=0,LEFT(IFERROR(INDEX(醫師週班表!$C$5:$T$44,$CU37,AG$57),""),1),""),IF(MID(IFERROR(INDEX(醫師週班表!$C$5:$T$44,$CU37,AG$57),""),2,1)="(",LEFT(IFERROR(INDEX(醫師週班表!$C$5:$T$44,$CU37,AG$57),""),1),IFERROR(INDEX(醫師週班表!$C$5:$T$44,$CU37,AG$57),"")))))))</f>
        <v/>
      </c>
      <c r="AH37" s="68">
        <f>IF(AH$59="X","",IF(AH$59&lt;&gt;"",AH$59,IF(IFERROR(INDEX(醫師週班表!$C$5:$T$44,$CU37,AH$57),"")=0,"",IF(MID(IFERROR(INDEX(醫師週班表!$C$5:$T$44,$CU37,AH$57),""),2,1)="/",MID(IFERROR(INDEX(醫師週班表!$C$5:$T$44,$CU37,AH$57),""),1+AH$58*2,1),IF(MID(IFERROR(INDEX(醫師週班表!$C$5:$T$44,$CU37,AH$57),""),3,1)="隔",IF(AH$58=0,LEFT(IFERROR(INDEX(醫師週班表!$C$5:$T$44,$CU37,AH$57),""),1),""),IF(MID(IFERROR(INDEX(醫師週班表!$C$5:$T$44,$CU37,AH$57),""),2,1)="(",LEFT(IFERROR(INDEX(醫師週班表!$C$5:$T$44,$CU37,AH$57),""),1),IFERROR(INDEX(醫師週班表!$C$5:$T$44,$CU37,AH$57),"")))))))</f>
        <v/>
      </c>
      <c r="AI37" s="67">
        <f>IF(AI$59="X","",IF(AI$59&lt;&gt;"",AI$59,IF(IFERROR(INDEX(醫師週班表!$C$5:$T$44,$CU37,AI$57),"")=0,"",IF(MID(IFERROR(INDEX(醫師週班表!$C$5:$T$44,$CU37,AI$57),""),2,1)="/",MID(IFERROR(INDEX(醫師週班表!$C$5:$T$44,$CU37,AI$57),""),1+AI$58*2,1),IF(MID(IFERROR(INDEX(醫師週班表!$C$5:$T$44,$CU37,AI$57),""),3,1)="隔",IF(AI$58=0,LEFT(IFERROR(INDEX(醫師週班表!$C$5:$T$44,$CU37,AI$57),""),1),""),IF(MID(IFERROR(INDEX(醫師週班表!$C$5:$T$44,$CU37,AI$57),""),2,1)="(",LEFT(IFERROR(INDEX(醫師週班表!$C$5:$T$44,$CU37,AI$57),""),1),IFERROR(INDEX(醫師週班表!$C$5:$T$44,$CU37,AI$57),"")))))))</f>
        <v/>
      </c>
      <c r="AJ37" s="68">
        <f>IF(AJ$59="X","",IF(AJ$59&lt;&gt;"",AJ$59,IF(IFERROR(INDEX(醫師週班表!$C$5:$T$44,$CU37,AJ$57),"")=0,"",IF(MID(IFERROR(INDEX(醫師週班表!$C$5:$T$44,$CU37,AJ$57),""),2,1)="/",MID(IFERROR(INDEX(醫師週班表!$C$5:$T$44,$CU37,AJ$57),""),1+AJ$58*2,1),IF(MID(IFERROR(INDEX(醫師週班表!$C$5:$T$44,$CU37,AJ$57),""),3,1)="隔",IF(AJ$58=0,LEFT(IFERROR(INDEX(醫師週班表!$C$5:$T$44,$CU37,AJ$57),""),1),""),IF(MID(IFERROR(INDEX(醫師週班表!$C$5:$T$44,$CU37,AJ$57),""),2,1)="(",LEFT(IFERROR(INDEX(醫師週班表!$C$5:$T$44,$CU37,AJ$57),""),1),IFERROR(INDEX(醫師週班表!$C$5:$T$44,$CU37,AJ$57),"")))))))</f>
        <v/>
      </c>
      <c r="AK37" s="68">
        <f>IF(AK$59="X","",IF(AK$59&lt;&gt;"",AK$59,IF(IFERROR(INDEX(醫師週班表!$C$5:$T$44,$CU37,AK$57),"")=0,"",IF(MID(IFERROR(INDEX(醫師週班表!$C$5:$T$44,$CU37,AK$57),""),2,1)="/",MID(IFERROR(INDEX(醫師週班表!$C$5:$T$44,$CU37,AK$57),""),1+AK$58*2,1),IF(MID(IFERROR(INDEX(醫師週班表!$C$5:$T$44,$CU37,AK$57),""),3,1)="隔",IF(AK$58=0,LEFT(IFERROR(INDEX(醫師週班表!$C$5:$T$44,$CU37,AK$57),""),1),""),IF(MID(IFERROR(INDEX(醫師週班表!$C$5:$T$44,$CU37,AK$57),""),2,1)="(",LEFT(IFERROR(INDEX(醫師週班表!$C$5:$T$44,$CU37,AK$57),""),1),IFERROR(INDEX(醫師週班表!$C$5:$T$44,$CU37,AK$57),"")))))))</f>
        <v/>
      </c>
      <c r="AL37" s="67">
        <f>IF(AL$59="X","",IF(AL$59&lt;&gt;"",AL$59,IF(IFERROR(INDEX(醫師週班表!$C$5:$T$44,$CU37,AL$57),"")=0,"",IF(MID(IFERROR(INDEX(醫師週班表!$C$5:$T$44,$CU37,AL$57),""),2,1)="/",MID(IFERROR(INDEX(醫師週班表!$C$5:$T$44,$CU37,AL$57),""),1+AL$58*2,1),IF(MID(IFERROR(INDEX(醫師週班表!$C$5:$T$44,$CU37,AL$57),""),3,1)="隔",IF(AL$58=0,LEFT(IFERROR(INDEX(醫師週班表!$C$5:$T$44,$CU37,AL$57),""),1),""),IF(MID(IFERROR(INDEX(醫師週班表!$C$5:$T$44,$CU37,AL$57),""),2,1)="(",LEFT(IFERROR(INDEX(醫師週班表!$C$5:$T$44,$CU37,AL$57),""),1),IFERROR(INDEX(醫師週班表!$C$5:$T$44,$CU37,AL$57),"")))))))</f>
        <v/>
      </c>
      <c r="AM37" s="68">
        <f>IF(AM$59="X","",IF(AM$59&lt;&gt;"",AM$59,IF(IFERROR(INDEX(醫師週班表!$C$5:$T$44,$CU37,AM$57),"")=0,"",IF(MID(IFERROR(INDEX(醫師週班表!$C$5:$T$44,$CU37,AM$57),""),2,1)="/",MID(IFERROR(INDEX(醫師週班表!$C$5:$T$44,$CU37,AM$57),""),1+AM$58*2,1),IF(MID(IFERROR(INDEX(醫師週班表!$C$5:$T$44,$CU37,AM$57),""),3,1)="隔",IF(AM$58=0,LEFT(IFERROR(INDEX(醫師週班表!$C$5:$T$44,$CU37,AM$57),""),1),""),IF(MID(IFERROR(INDEX(醫師週班表!$C$5:$T$44,$CU37,AM$57),""),2,1)="(",LEFT(IFERROR(INDEX(醫師週班表!$C$5:$T$44,$CU37,AM$57),""),1),IFERROR(INDEX(醫師週班表!$C$5:$T$44,$CU37,AM$57),"")))))))</f>
        <v/>
      </c>
      <c r="AN37" s="68">
        <f>IF(AN$59="X","",IF(AN$59&lt;&gt;"",AN$59,IF(IFERROR(INDEX(醫師週班表!$C$5:$T$44,$CU37,AN$57),"")=0,"",IF(MID(IFERROR(INDEX(醫師週班表!$C$5:$T$44,$CU37,AN$57),""),2,1)="/",MID(IFERROR(INDEX(醫師週班表!$C$5:$T$44,$CU37,AN$57),""),1+AN$58*2,1),IF(MID(IFERROR(INDEX(醫師週班表!$C$5:$T$44,$CU37,AN$57),""),3,1)="隔",IF(AN$58=0,LEFT(IFERROR(INDEX(醫師週班表!$C$5:$T$44,$CU37,AN$57),""),1),""),IF(MID(IFERROR(INDEX(醫師週班表!$C$5:$T$44,$CU37,AN$57),""),2,1)="(",LEFT(IFERROR(INDEX(醫師週班表!$C$5:$T$44,$CU37,AN$57),""),1),IFERROR(INDEX(醫師週班表!$C$5:$T$44,$CU37,AN$57),"")))))))</f>
        <v/>
      </c>
      <c r="AO37" s="67">
        <f>IF(AO$59="X","",IF(AO$59&lt;&gt;"",AO$59,IF(IFERROR(INDEX(醫師週班表!$C$5:$T$44,$CU37,AO$57),"")=0,"",IF(MID(IFERROR(INDEX(醫師週班表!$C$5:$T$44,$CU37,AO$57),""),2,1)="/",MID(IFERROR(INDEX(醫師週班表!$C$5:$T$44,$CU37,AO$57),""),1+AO$58*2,1),IF(MID(IFERROR(INDEX(醫師週班表!$C$5:$T$44,$CU37,AO$57),""),3,1)="隔",IF(AO$58=0,LEFT(IFERROR(INDEX(醫師週班表!$C$5:$T$44,$CU37,AO$57),""),1),""),IF(MID(IFERROR(INDEX(醫師週班表!$C$5:$T$44,$CU37,AO$57),""),2,1)="(",LEFT(IFERROR(INDEX(醫師週班表!$C$5:$T$44,$CU37,AO$57),""),1),IFERROR(INDEX(醫師週班表!$C$5:$T$44,$CU37,AO$57),"")))))))</f>
        <v/>
      </c>
      <c r="AP37" s="68">
        <f>IF(AP$59="X","",IF(AP$59&lt;&gt;"",AP$59,IF(IFERROR(INDEX(醫師週班表!$C$5:$T$44,$CU37,AP$57),"")=0,"",IF(MID(IFERROR(INDEX(醫師週班表!$C$5:$T$44,$CU37,AP$57),""),2,1)="/",MID(IFERROR(INDEX(醫師週班表!$C$5:$T$44,$CU37,AP$57),""),1+AP$58*2,1),IF(MID(IFERROR(INDEX(醫師週班表!$C$5:$T$44,$CU37,AP$57),""),3,1)="隔",IF(AP$58=0,LEFT(IFERROR(INDEX(醫師週班表!$C$5:$T$44,$CU37,AP$57),""),1),""),IF(MID(IFERROR(INDEX(醫師週班表!$C$5:$T$44,$CU37,AP$57),""),2,1)="(",LEFT(IFERROR(INDEX(醫師週班表!$C$5:$T$44,$CU37,AP$57),""),1),IFERROR(INDEX(醫師週班表!$C$5:$T$44,$CU37,AP$57),"")))))))</f>
        <v/>
      </c>
      <c r="AQ37" s="68">
        <f>IF(AQ$59="X","",IF(AQ$59&lt;&gt;"",AQ$59,IF(IFERROR(INDEX(醫師週班表!$C$5:$T$44,$CU37,AQ$57),"")=0,"",IF(MID(IFERROR(INDEX(醫師週班表!$C$5:$T$44,$CU37,AQ$57),""),2,1)="/",MID(IFERROR(INDEX(醫師週班表!$C$5:$T$44,$CU37,AQ$57),""),1+AQ$58*2,1),IF(MID(IFERROR(INDEX(醫師週班表!$C$5:$T$44,$CU37,AQ$57),""),3,1)="隔",IF(AQ$58=0,LEFT(IFERROR(INDEX(醫師週班表!$C$5:$T$44,$CU37,AQ$57),""),1),""),IF(MID(IFERROR(INDEX(醫師週班表!$C$5:$T$44,$CU37,AQ$57),""),2,1)="(",LEFT(IFERROR(INDEX(醫師週班表!$C$5:$T$44,$CU37,AQ$57),""),1),IFERROR(INDEX(醫師週班表!$C$5:$T$44,$CU37,AQ$57),"")))))))</f>
        <v/>
      </c>
      <c r="AR37" s="67">
        <f>IF(AR$59="X","",IF(AR$59&lt;&gt;"",AR$59,IF(IFERROR(INDEX(醫師週班表!$C$5:$T$44,$CU37,AR$57),"")=0,"",IF(MID(IFERROR(INDEX(醫師週班表!$C$5:$T$44,$CU37,AR$57),""),2,1)="/",MID(IFERROR(INDEX(醫師週班表!$C$5:$T$44,$CU37,AR$57),""),1+AR$58*2,1),IF(MID(IFERROR(INDEX(醫師週班表!$C$5:$T$44,$CU37,AR$57),""),3,1)="隔",IF(AR$58=0,LEFT(IFERROR(INDEX(醫師週班表!$C$5:$T$44,$CU37,AR$57),""),1),""),IF(MID(IFERROR(INDEX(醫師週班表!$C$5:$T$44,$CU37,AR$57),""),2,1)="(",LEFT(IFERROR(INDEX(醫師週班表!$C$5:$T$44,$CU37,AR$57),""),1),IFERROR(INDEX(醫師週班表!$C$5:$T$44,$CU37,AR$57),"")))))))</f>
        <v/>
      </c>
      <c r="AS37" s="68">
        <f>IF(AS$59="X","",IF(AS$59&lt;&gt;"",AS$59,IF(IFERROR(INDEX(醫師週班表!$C$5:$T$44,$CU37,AS$57),"")=0,"",IF(MID(IFERROR(INDEX(醫師週班表!$C$5:$T$44,$CU37,AS$57),""),2,1)="/",MID(IFERROR(INDEX(醫師週班表!$C$5:$T$44,$CU37,AS$57),""),1+AS$58*2,1),IF(MID(IFERROR(INDEX(醫師週班表!$C$5:$T$44,$CU37,AS$57),""),3,1)="隔",IF(AS$58=0,LEFT(IFERROR(INDEX(醫師週班表!$C$5:$T$44,$CU37,AS$57),""),1),""),IF(MID(IFERROR(INDEX(醫師週班表!$C$5:$T$44,$CU37,AS$57),""),2,1)="(",LEFT(IFERROR(INDEX(醫師週班表!$C$5:$T$44,$CU37,AS$57),""),1),IFERROR(INDEX(醫師週班表!$C$5:$T$44,$CU37,AS$57),"")))))))</f>
        <v/>
      </c>
      <c r="AT37" s="68">
        <f>IF(AT$59="X","",IF(AT$59&lt;&gt;"",AT$59,IF(IFERROR(INDEX(醫師週班表!$C$5:$T$44,$CU37,AT$57),"")=0,"",IF(MID(IFERROR(INDEX(醫師週班表!$C$5:$T$44,$CU37,AT$57),""),2,1)="/",MID(IFERROR(INDEX(醫師週班表!$C$5:$T$44,$CU37,AT$57),""),1+AT$58*2,1),IF(MID(IFERROR(INDEX(醫師週班表!$C$5:$T$44,$CU37,AT$57),""),3,1)="隔",IF(AT$58=0,LEFT(IFERROR(INDEX(醫師週班表!$C$5:$T$44,$CU37,AT$57),""),1),""),IF(MID(IFERROR(INDEX(醫師週班表!$C$5:$T$44,$CU37,AT$57),""),2,1)="(",LEFT(IFERROR(INDEX(醫師週班表!$C$5:$T$44,$CU37,AT$57),""),1),IFERROR(INDEX(醫師週班表!$C$5:$T$44,$CU37,AT$57),"")))))))</f>
        <v/>
      </c>
      <c r="AU37" s="67">
        <f>IF(AU$59="X","",IF(AU$59&lt;&gt;"",AU$59,IF(IFERROR(INDEX(醫師週班表!$C$5:$T$44,$CU37,AU$57),"")=0,"",IF(MID(IFERROR(INDEX(醫師週班表!$C$5:$T$44,$CU37,AU$57),""),2,1)="/",MID(IFERROR(INDEX(醫師週班表!$C$5:$T$44,$CU37,AU$57),""),1+AU$58*2,1),IF(MID(IFERROR(INDEX(醫師週班表!$C$5:$T$44,$CU37,AU$57),""),3,1)="隔",IF(AU$58=0,LEFT(IFERROR(INDEX(醫師週班表!$C$5:$T$44,$CU37,AU$57),""),1),""),IF(MID(IFERROR(INDEX(醫師週班表!$C$5:$T$44,$CU37,AU$57),""),2,1)="(",LEFT(IFERROR(INDEX(醫師週班表!$C$5:$T$44,$CU37,AU$57),""),1),IFERROR(INDEX(醫師週班表!$C$5:$T$44,$CU37,AU$57),"")))))))</f>
        <v/>
      </c>
      <c r="AV37" s="68">
        <f>IF(AV$59="X","",IF(AV$59&lt;&gt;"",AV$59,IF(IFERROR(INDEX(醫師週班表!$C$5:$T$44,$CU37,AV$57),"")=0,"",IF(MID(IFERROR(INDEX(醫師週班表!$C$5:$T$44,$CU37,AV$57),""),2,1)="/",MID(IFERROR(INDEX(醫師週班表!$C$5:$T$44,$CU37,AV$57),""),1+AV$58*2,1),IF(MID(IFERROR(INDEX(醫師週班表!$C$5:$T$44,$CU37,AV$57),""),3,1)="隔",IF(AV$58=0,LEFT(IFERROR(INDEX(醫師週班表!$C$5:$T$44,$CU37,AV$57),""),1),""),IF(MID(IFERROR(INDEX(醫師週班表!$C$5:$T$44,$CU37,AV$57),""),2,1)="(",LEFT(IFERROR(INDEX(醫師週班表!$C$5:$T$44,$CU37,AV$57),""),1),IFERROR(INDEX(醫師週班表!$C$5:$T$44,$CU37,AV$57),"")))))))</f>
        <v/>
      </c>
      <c r="AW37" s="68">
        <f>IF(AW$59="X","",IF(AW$59&lt;&gt;"",AW$59,IF(IFERROR(INDEX(醫師週班表!$C$5:$T$44,$CU37,AW$57),"")=0,"",IF(MID(IFERROR(INDEX(醫師週班表!$C$5:$T$44,$CU37,AW$57),""),2,1)="/",MID(IFERROR(INDEX(醫師週班表!$C$5:$T$44,$CU37,AW$57),""),1+AW$58*2,1),IF(MID(IFERROR(INDEX(醫師週班表!$C$5:$T$44,$CU37,AW$57),""),3,1)="隔",IF(AW$58=0,LEFT(IFERROR(INDEX(醫師週班表!$C$5:$T$44,$CU37,AW$57),""),1),""),IF(MID(IFERROR(INDEX(醫師週班表!$C$5:$T$44,$CU37,AW$57),""),2,1)="(",LEFT(IFERROR(INDEX(醫師週班表!$C$5:$T$44,$CU37,AW$57),""),1),IFERROR(INDEX(醫師週班表!$C$5:$T$44,$CU37,AW$57),"")))))))</f>
        <v/>
      </c>
      <c r="AX37" s="67">
        <f>IF(AX$59="X","",IF(AX$59&lt;&gt;"",AX$59,IF(IFERROR(INDEX(醫師週班表!$C$5:$T$44,$CU37,AX$57),"")=0,"",IF(MID(IFERROR(INDEX(醫師週班表!$C$5:$T$44,$CU37,AX$57),""),2,1)="/",MID(IFERROR(INDEX(醫師週班表!$C$5:$T$44,$CU37,AX$57),""),1+AX$58*2,1),IF(MID(IFERROR(INDEX(醫師週班表!$C$5:$T$44,$CU37,AX$57),""),3,1)="隔",IF(AX$58=0,LEFT(IFERROR(INDEX(醫師週班表!$C$5:$T$44,$CU37,AX$57),""),1),""),IF(MID(IFERROR(INDEX(醫師週班表!$C$5:$T$44,$CU37,AX$57),""),2,1)="(",LEFT(IFERROR(INDEX(醫師週班表!$C$5:$T$44,$CU37,AX$57),""),1),IFERROR(INDEX(醫師週班表!$C$5:$T$44,$CU37,AX$57),"")))))))</f>
        <v/>
      </c>
      <c r="AY37" s="68">
        <f>IF(AY$59="X","",IF(AY$59&lt;&gt;"",AY$59,IF(IFERROR(INDEX(醫師週班表!$C$5:$T$44,$CU37,AY$57),"")=0,"",IF(MID(IFERROR(INDEX(醫師週班表!$C$5:$T$44,$CU37,AY$57),""),2,1)="/",MID(IFERROR(INDEX(醫師週班表!$C$5:$T$44,$CU37,AY$57),""),1+AY$58*2,1),IF(MID(IFERROR(INDEX(醫師週班表!$C$5:$T$44,$CU37,AY$57),""),3,1)="隔",IF(AY$58=0,LEFT(IFERROR(INDEX(醫師週班表!$C$5:$T$44,$CU37,AY$57),""),1),""),IF(MID(IFERROR(INDEX(醫師週班表!$C$5:$T$44,$CU37,AY$57),""),2,1)="(",LEFT(IFERROR(INDEX(醫師週班表!$C$5:$T$44,$CU37,AY$57),""),1),IFERROR(INDEX(醫師週班表!$C$5:$T$44,$CU37,AY$57),"")))))))</f>
        <v/>
      </c>
      <c r="AZ37" s="68">
        <f>IF(AZ$59="X","",IF(AZ$59&lt;&gt;"",AZ$59,IF(IFERROR(INDEX(醫師週班表!$C$5:$T$44,$CU37,AZ$57),"")=0,"",IF(MID(IFERROR(INDEX(醫師週班表!$C$5:$T$44,$CU37,AZ$57),""),2,1)="/",MID(IFERROR(INDEX(醫師週班表!$C$5:$T$44,$CU37,AZ$57),""),1+AZ$58*2,1),IF(MID(IFERROR(INDEX(醫師週班表!$C$5:$T$44,$CU37,AZ$57),""),3,1)="隔",IF(AZ$58=0,LEFT(IFERROR(INDEX(醫師週班表!$C$5:$T$44,$CU37,AZ$57),""),1),""),IF(MID(IFERROR(INDEX(醫師週班表!$C$5:$T$44,$CU37,AZ$57),""),2,1)="(",LEFT(IFERROR(INDEX(醫師週班表!$C$5:$T$44,$CU37,AZ$57),""),1),IFERROR(INDEX(醫師週班表!$C$5:$T$44,$CU37,AZ$57),"")))))))</f>
        <v/>
      </c>
      <c r="BA37" s="67">
        <f>IF(BA$59="X","",IF(BA$59&lt;&gt;"",BA$59,IF(IFERROR(INDEX(醫師週班表!$C$5:$T$44,$CU37,BA$57),"")=0,"",IF(MID(IFERROR(INDEX(醫師週班表!$C$5:$T$44,$CU37,BA$57),""),2,1)="/",MID(IFERROR(INDEX(醫師週班表!$C$5:$T$44,$CU37,BA$57),""),1+BA$58*2,1),IF(MID(IFERROR(INDEX(醫師週班表!$C$5:$T$44,$CU37,BA$57),""),3,1)="隔",IF(BA$58=0,LEFT(IFERROR(INDEX(醫師週班表!$C$5:$T$44,$CU37,BA$57),""),1),""),IF(MID(IFERROR(INDEX(醫師週班表!$C$5:$T$44,$CU37,BA$57),""),2,1)="(",LEFT(IFERROR(INDEX(醫師週班表!$C$5:$T$44,$CU37,BA$57),""),1),IFERROR(INDEX(醫師週班表!$C$5:$T$44,$CU37,BA$57),"")))))))</f>
        <v/>
      </c>
      <c r="BB37" s="68">
        <f>IF(BB$59="X","",IF(BB$59&lt;&gt;"",BB$59,IF(IFERROR(INDEX(醫師週班表!$C$5:$T$44,$CU37,BB$57),"")=0,"",IF(MID(IFERROR(INDEX(醫師週班表!$C$5:$T$44,$CU37,BB$57),""),2,1)="/",MID(IFERROR(INDEX(醫師週班表!$C$5:$T$44,$CU37,BB$57),""),1+BB$58*2,1),IF(MID(IFERROR(INDEX(醫師週班表!$C$5:$T$44,$CU37,BB$57),""),3,1)="隔",IF(BB$58=0,LEFT(IFERROR(INDEX(醫師週班表!$C$5:$T$44,$CU37,BB$57),""),1),""),IF(MID(IFERROR(INDEX(醫師週班表!$C$5:$T$44,$CU37,BB$57),""),2,1)="(",LEFT(IFERROR(INDEX(醫師週班表!$C$5:$T$44,$CU37,BB$57),""),1),IFERROR(INDEX(醫師週班表!$C$5:$T$44,$CU37,BB$57),"")))))))</f>
        <v/>
      </c>
      <c r="BC37" s="68">
        <f>IF(BC$59="X","",IF(BC$59&lt;&gt;"",BC$59,IF(IFERROR(INDEX(醫師週班表!$C$5:$T$44,$CU37,BC$57),"")=0,"",IF(MID(IFERROR(INDEX(醫師週班表!$C$5:$T$44,$CU37,BC$57),""),2,1)="/",MID(IFERROR(INDEX(醫師週班表!$C$5:$T$44,$CU37,BC$57),""),1+BC$58*2,1),IF(MID(IFERROR(INDEX(醫師週班表!$C$5:$T$44,$CU37,BC$57),""),3,1)="隔",IF(BC$58=0,LEFT(IFERROR(INDEX(醫師週班表!$C$5:$T$44,$CU37,BC$57),""),1),""),IF(MID(IFERROR(INDEX(醫師週班表!$C$5:$T$44,$CU37,BC$57),""),2,1)="(",LEFT(IFERROR(INDEX(醫師週班表!$C$5:$T$44,$CU37,BC$57),""),1),IFERROR(INDEX(醫師週班表!$C$5:$T$44,$CU37,BC$57),"")))))))</f>
        <v/>
      </c>
      <c r="BD37" s="67">
        <f>IF(BD$59="X","",IF(BD$59&lt;&gt;"",BD$59,IF(IFERROR(INDEX(醫師週班表!$C$5:$T$44,$CU37,BD$57),"")=0,"",IF(MID(IFERROR(INDEX(醫師週班表!$C$5:$T$44,$CU37,BD$57),""),2,1)="/",MID(IFERROR(INDEX(醫師週班表!$C$5:$T$44,$CU37,BD$57),""),1+BD$58*2,1),IF(MID(IFERROR(INDEX(醫師週班表!$C$5:$T$44,$CU37,BD$57),""),3,1)="隔",IF(BD$58=0,LEFT(IFERROR(INDEX(醫師週班表!$C$5:$T$44,$CU37,BD$57),""),1),""),IF(MID(IFERROR(INDEX(醫師週班表!$C$5:$T$44,$CU37,BD$57),""),2,1)="(",LEFT(IFERROR(INDEX(醫師週班表!$C$5:$T$44,$CU37,BD$57),""),1),IFERROR(INDEX(醫師週班表!$C$5:$T$44,$CU37,BD$57),"")))))))</f>
        <v/>
      </c>
      <c r="BE37" s="68">
        <f>IF(BE$59="X","",IF(BE$59&lt;&gt;"",BE$59,IF(IFERROR(INDEX(醫師週班表!$C$5:$T$44,$CU37,BE$57),"")=0,"",IF(MID(IFERROR(INDEX(醫師週班表!$C$5:$T$44,$CU37,BE$57),""),2,1)="/",MID(IFERROR(INDEX(醫師週班表!$C$5:$T$44,$CU37,BE$57),""),1+BE$58*2,1),IF(MID(IFERROR(INDEX(醫師週班表!$C$5:$T$44,$CU37,BE$57),""),3,1)="隔",IF(BE$58=0,LEFT(IFERROR(INDEX(醫師週班表!$C$5:$T$44,$CU37,BE$57),""),1),""),IF(MID(IFERROR(INDEX(醫師週班表!$C$5:$T$44,$CU37,BE$57),""),2,1)="(",LEFT(IFERROR(INDEX(醫師週班表!$C$5:$T$44,$CU37,BE$57),""),1),IFERROR(INDEX(醫師週班表!$C$5:$T$44,$CU37,BE$57),"")))))))</f>
        <v/>
      </c>
      <c r="BF37" s="68">
        <f>IF(BF$59="X","",IF(BF$59&lt;&gt;"",BF$59,IF(IFERROR(INDEX(醫師週班表!$C$5:$T$44,$CU37,BF$57),"")=0,"",IF(MID(IFERROR(INDEX(醫師週班表!$C$5:$T$44,$CU37,BF$57),""),2,1)="/",MID(IFERROR(INDEX(醫師週班表!$C$5:$T$44,$CU37,BF$57),""),1+BF$58*2,1),IF(MID(IFERROR(INDEX(醫師週班表!$C$5:$T$44,$CU37,BF$57),""),3,1)="隔",IF(BF$58=0,LEFT(IFERROR(INDEX(醫師週班表!$C$5:$T$44,$CU37,BF$57),""),1),""),IF(MID(IFERROR(INDEX(醫師週班表!$C$5:$T$44,$CU37,BF$57),""),2,1)="(",LEFT(IFERROR(INDEX(醫師週班表!$C$5:$T$44,$CU37,BF$57),""),1),IFERROR(INDEX(醫師週班表!$C$5:$T$44,$CU37,BF$57),"")))))))</f>
        <v/>
      </c>
      <c r="BG37" s="67">
        <f>IF(BG$59="X","",IF(BG$59&lt;&gt;"",BG$59,IF(IFERROR(INDEX(醫師週班表!$C$5:$T$44,$CU37,BG$57),"")=0,"",IF(MID(IFERROR(INDEX(醫師週班表!$C$5:$T$44,$CU37,BG$57),""),2,1)="/",MID(IFERROR(INDEX(醫師週班表!$C$5:$T$44,$CU37,BG$57),""),1+BG$58*2,1),IF(MID(IFERROR(INDEX(醫師週班表!$C$5:$T$44,$CU37,BG$57),""),3,1)="隔",IF(BG$58=0,LEFT(IFERROR(INDEX(醫師週班表!$C$5:$T$44,$CU37,BG$57),""),1),""),IF(MID(IFERROR(INDEX(醫師週班表!$C$5:$T$44,$CU37,BG$57),""),2,1)="(",LEFT(IFERROR(INDEX(醫師週班表!$C$5:$T$44,$CU37,BG$57),""),1),IFERROR(INDEX(醫師週班表!$C$5:$T$44,$CU37,BG$57),"")))))))</f>
        <v/>
      </c>
      <c r="BH37" s="68">
        <f>IF(BH$59="X","",IF(BH$59&lt;&gt;"",BH$59,IF(IFERROR(INDEX(醫師週班表!$C$5:$T$44,$CU37,BH$57),"")=0,"",IF(MID(IFERROR(INDEX(醫師週班表!$C$5:$T$44,$CU37,BH$57),""),2,1)="/",MID(IFERROR(INDEX(醫師週班表!$C$5:$T$44,$CU37,BH$57),""),1+BH$58*2,1),IF(MID(IFERROR(INDEX(醫師週班表!$C$5:$T$44,$CU37,BH$57),""),3,1)="隔",IF(BH$58=0,LEFT(IFERROR(INDEX(醫師週班表!$C$5:$T$44,$CU37,BH$57),""),1),""),IF(MID(IFERROR(INDEX(醫師週班表!$C$5:$T$44,$CU37,BH$57),""),2,1)="(",LEFT(IFERROR(INDEX(醫師週班表!$C$5:$T$44,$CU37,BH$57),""),1),IFERROR(INDEX(醫師週班表!$C$5:$T$44,$CU37,BH$57),"")))))))</f>
        <v/>
      </c>
      <c r="BI37" s="68">
        <f>IF(BI$59="X","",IF(BI$59&lt;&gt;"",BI$59,IF(IFERROR(INDEX(醫師週班表!$C$5:$T$44,$CU37,BI$57),"")=0,"",IF(MID(IFERROR(INDEX(醫師週班表!$C$5:$T$44,$CU37,BI$57),""),2,1)="/",MID(IFERROR(INDEX(醫師週班表!$C$5:$T$44,$CU37,BI$57),""),1+BI$58*2,1),IF(MID(IFERROR(INDEX(醫師週班表!$C$5:$T$44,$CU37,BI$57),""),3,1)="隔",IF(BI$58=0,LEFT(IFERROR(INDEX(醫師週班表!$C$5:$T$44,$CU37,BI$57),""),1),""),IF(MID(IFERROR(INDEX(醫師週班表!$C$5:$T$44,$CU37,BI$57),""),2,1)="(",LEFT(IFERROR(INDEX(醫師週班表!$C$5:$T$44,$CU37,BI$57),""),1),IFERROR(INDEX(醫師週班表!$C$5:$T$44,$CU37,BI$57),"")))))))</f>
        <v/>
      </c>
      <c r="BJ37" s="67">
        <f>IF(BJ$59="X","",IF(BJ$59&lt;&gt;"",BJ$59,IF(IFERROR(INDEX(醫師週班表!$C$5:$T$44,$CU37,BJ$57),"")=0,"",IF(MID(IFERROR(INDEX(醫師週班表!$C$5:$T$44,$CU37,BJ$57),""),2,1)="/",MID(IFERROR(INDEX(醫師週班表!$C$5:$T$44,$CU37,BJ$57),""),1+BJ$58*2,1),IF(MID(IFERROR(INDEX(醫師週班表!$C$5:$T$44,$CU37,BJ$57),""),3,1)="隔",IF(BJ$58=0,LEFT(IFERROR(INDEX(醫師週班表!$C$5:$T$44,$CU37,BJ$57),""),1),""),IF(MID(IFERROR(INDEX(醫師週班表!$C$5:$T$44,$CU37,BJ$57),""),2,1)="(",LEFT(IFERROR(INDEX(醫師週班表!$C$5:$T$44,$CU37,BJ$57),""),1),IFERROR(INDEX(醫師週班表!$C$5:$T$44,$CU37,BJ$57),"")))))))</f>
        <v/>
      </c>
      <c r="BK37" s="68">
        <f>IF(BK$59="X","",IF(BK$59&lt;&gt;"",BK$59,IF(IFERROR(INDEX(醫師週班表!$C$5:$T$44,$CU37,BK$57),"")=0,"",IF(MID(IFERROR(INDEX(醫師週班表!$C$5:$T$44,$CU37,BK$57),""),2,1)="/",MID(IFERROR(INDEX(醫師週班表!$C$5:$T$44,$CU37,BK$57),""),1+BK$58*2,1),IF(MID(IFERROR(INDEX(醫師週班表!$C$5:$T$44,$CU37,BK$57),""),3,1)="隔",IF(BK$58=0,LEFT(IFERROR(INDEX(醫師週班表!$C$5:$T$44,$CU37,BK$57),""),1),""),IF(MID(IFERROR(INDEX(醫師週班表!$C$5:$T$44,$CU37,BK$57),""),2,1)="(",LEFT(IFERROR(INDEX(醫師週班表!$C$5:$T$44,$CU37,BK$57),""),1),IFERROR(INDEX(醫師週班表!$C$5:$T$44,$CU37,BK$57),"")))))))</f>
        <v/>
      </c>
      <c r="BL37" s="68">
        <f>IF(BL$59="X","",IF(BL$59&lt;&gt;"",BL$59,IF(IFERROR(INDEX(醫師週班表!$C$5:$T$44,$CU37,BL$57),"")=0,"",IF(MID(IFERROR(INDEX(醫師週班表!$C$5:$T$44,$CU37,BL$57),""),2,1)="/",MID(IFERROR(INDEX(醫師週班表!$C$5:$T$44,$CU37,BL$57),""),1+BL$58*2,1),IF(MID(IFERROR(INDEX(醫師週班表!$C$5:$T$44,$CU37,BL$57),""),3,1)="隔",IF(BL$58=0,LEFT(IFERROR(INDEX(醫師週班表!$C$5:$T$44,$CU37,BL$57),""),1),""),IF(MID(IFERROR(INDEX(醫師週班表!$C$5:$T$44,$CU37,BL$57),""),2,1)="(",LEFT(IFERROR(INDEX(醫師週班表!$C$5:$T$44,$CU37,BL$57),""),1),IFERROR(INDEX(醫師週班表!$C$5:$T$44,$CU37,BL$57),"")))))))</f>
        <v/>
      </c>
      <c r="BM37" s="67">
        <f>IF(BM$59="X","",IF(BM$59&lt;&gt;"",BM$59,IF(IFERROR(INDEX(醫師週班表!$C$5:$T$44,$CU37,BM$57),"")=0,"",IF(MID(IFERROR(INDEX(醫師週班表!$C$5:$T$44,$CU37,BM$57),""),2,1)="/",MID(IFERROR(INDEX(醫師週班表!$C$5:$T$44,$CU37,BM$57),""),1+BM$58*2,1),IF(MID(IFERROR(INDEX(醫師週班表!$C$5:$T$44,$CU37,BM$57),""),3,1)="隔",IF(BM$58=0,LEFT(IFERROR(INDEX(醫師週班表!$C$5:$T$44,$CU37,BM$57),""),1),""),IF(MID(IFERROR(INDEX(醫師週班表!$C$5:$T$44,$CU37,BM$57),""),2,1)="(",LEFT(IFERROR(INDEX(醫師週班表!$C$5:$T$44,$CU37,BM$57),""),1),IFERROR(INDEX(醫師週班表!$C$5:$T$44,$CU37,BM$57),"")))))))</f>
        <v/>
      </c>
      <c r="BN37" s="68">
        <f>IF(BN$59="X","",IF(BN$59&lt;&gt;"",BN$59,IF(IFERROR(INDEX(醫師週班表!$C$5:$T$44,$CU37,BN$57),"")=0,"",IF(MID(IFERROR(INDEX(醫師週班表!$C$5:$T$44,$CU37,BN$57),""),2,1)="/",MID(IFERROR(INDEX(醫師週班表!$C$5:$T$44,$CU37,BN$57),""),1+BN$58*2,1),IF(MID(IFERROR(INDEX(醫師週班表!$C$5:$T$44,$CU37,BN$57),""),3,1)="隔",IF(BN$58=0,LEFT(IFERROR(INDEX(醫師週班表!$C$5:$T$44,$CU37,BN$57),""),1),""),IF(MID(IFERROR(INDEX(醫師週班表!$C$5:$T$44,$CU37,BN$57),""),2,1)="(",LEFT(IFERROR(INDEX(醫師週班表!$C$5:$T$44,$CU37,BN$57),""),1),IFERROR(INDEX(醫師週班表!$C$5:$T$44,$CU37,BN$57),"")))))))</f>
        <v/>
      </c>
      <c r="BO37" s="68">
        <f>IF(BO$59="X","",IF(BO$59&lt;&gt;"",BO$59,IF(IFERROR(INDEX(醫師週班表!$C$5:$T$44,$CU37,BO$57),"")=0,"",IF(MID(IFERROR(INDEX(醫師週班表!$C$5:$T$44,$CU37,BO$57),""),2,1)="/",MID(IFERROR(INDEX(醫師週班表!$C$5:$T$44,$CU37,BO$57),""),1+BO$58*2,1),IF(MID(IFERROR(INDEX(醫師週班表!$C$5:$T$44,$CU37,BO$57),""),3,1)="隔",IF(BO$58=0,LEFT(IFERROR(INDEX(醫師週班表!$C$5:$T$44,$CU37,BO$57),""),1),""),IF(MID(IFERROR(INDEX(醫師週班表!$C$5:$T$44,$CU37,BO$57),""),2,1)="(",LEFT(IFERROR(INDEX(醫師週班表!$C$5:$T$44,$CU37,BO$57),""),1),IFERROR(INDEX(醫師週班表!$C$5:$T$44,$CU37,BO$57),"")))))))</f>
        <v/>
      </c>
      <c r="BP37" s="67">
        <f>IF(BP$59="X","",IF(BP$59&lt;&gt;"",BP$59,IF(IFERROR(INDEX(醫師週班表!$C$5:$T$44,$CU37,BP$57),"")=0,"",IF(MID(IFERROR(INDEX(醫師週班表!$C$5:$T$44,$CU37,BP$57),""),2,1)="/",MID(IFERROR(INDEX(醫師週班表!$C$5:$T$44,$CU37,BP$57),""),1+BP$58*2,1),IF(MID(IFERROR(INDEX(醫師週班表!$C$5:$T$44,$CU37,BP$57),""),3,1)="隔",IF(BP$58=0,LEFT(IFERROR(INDEX(醫師週班表!$C$5:$T$44,$CU37,BP$57),""),1),""),IF(MID(IFERROR(INDEX(醫師週班表!$C$5:$T$44,$CU37,BP$57),""),2,1)="(",LEFT(IFERROR(INDEX(醫師週班表!$C$5:$T$44,$CU37,BP$57),""),1),IFERROR(INDEX(醫師週班表!$C$5:$T$44,$CU37,BP$57),"")))))))</f>
        <v/>
      </c>
      <c r="BQ37" s="68">
        <f>IF(BQ$59="X","",IF(BQ$59&lt;&gt;"",BQ$59,IF(IFERROR(INDEX(醫師週班表!$C$5:$T$44,$CU37,BQ$57),"")=0,"",IF(MID(IFERROR(INDEX(醫師週班表!$C$5:$T$44,$CU37,BQ$57),""),2,1)="/",MID(IFERROR(INDEX(醫師週班表!$C$5:$T$44,$CU37,BQ$57),""),1+BQ$58*2,1),IF(MID(IFERROR(INDEX(醫師週班表!$C$5:$T$44,$CU37,BQ$57),""),3,1)="隔",IF(BQ$58=0,LEFT(IFERROR(INDEX(醫師週班表!$C$5:$T$44,$CU37,BQ$57),""),1),""),IF(MID(IFERROR(INDEX(醫師週班表!$C$5:$T$44,$CU37,BQ$57),""),2,1)="(",LEFT(IFERROR(INDEX(醫師週班表!$C$5:$T$44,$CU37,BQ$57),""),1),IFERROR(INDEX(醫師週班表!$C$5:$T$44,$CU37,BQ$57),"")))))))</f>
        <v/>
      </c>
      <c r="BR37" s="68">
        <f>IF(BR$59="X","",IF(BR$59&lt;&gt;"",BR$59,IF(IFERROR(INDEX(醫師週班表!$C$5:$T$44,$CU37,BR$57),"")=0,"",IF(MID(IFERROR(INDEX(醫師週班表!$C$5:$T$44,$CU37,BR$57),""),2,1)="/",MID(IFERROR(INDEX(醫師週班表!$C$5:$T$44,$CU37,BR$57),""),1+BR$58*2,1),IF(MID(IFERROR(INDEX(醫師週班表!$C$5:$T$44,$CU37,BR$57),""),3,1)="隔",IF(BR$58=0,LEFT(IFERROR(INDEX(醫師週班表!$C$5:$T$44,$CU37,BR$57),""),1),""),IF(MID(IFERROR(INDEX(醫師週班表!$C$5:$T$44,$CU37,BR$57),""),2,1)="(",LEFT(IFERROR(INDEX(醫師週班表!$C$5:$T$44,$CU37,BR$57),""),1),IFERROR(INDEX(醫師週班表!$C$5:$T$44,$CU37,BR$57),"")))))))</f>
        <v/>
      </c>
      <c r="BS37" s="67">
        <f>IF(BS$59="X","",IF(BS$59&lt;&gt;"",BS$59,IF(IFERROR(INDEX(醫師週班表!$C$5:$T$44,$CU37,BS$57),"")=0,"",IF(MID(IFERROR(INDEX(醫師週班表!$C$5:$T$44,$CU37,BS$57),""),2,1)="/",MID(IFERROR(INDEX(醫師週班表!$C$5:$T$44,$CU37,BS$57),""),1+BS$58*2,1),IF(MID(IFERROR(INDEX(醫師週班表!$C$5:$T$44,$CU37,BS$57),""),3,1)="隔",IF(BS$58=0,LEFT(IFERROR(INDEX(醫師週班表!$C$5:$T$44,$CU37,BS$57),""),1),""),IF(MID(IFERROR(INDEX(醫師週班表!$C$5:$T$44,$CU37,BS$57),""),2,1)="(",LEFT(IFERROR(INDEX(醫師週班表!$C$5:$T$44,$CU37,BS$57),""),1),IFERROR(INDEX(醫師週班表!$C$5:$T$44,$CU37,BS$57),"")))))))</f>
        <v/>
      </c>
      <c r="BT37" s="68">
        <f>IF(BT$59="X","",IF(BT$59&lt;&gt;"",BT$59,IF(IFERROR(INDEX(醫師週班表!$C$5:$T$44,$CU37,BT$57),"")=0,"",IF(MID(IFERROR(INDEX(醫師週班表!$C$5:$T$44,$CU37,BT$57),""),2,1)="/",MID(IFERROR(INDEX(醫師週班表!$C$5:$T$44,$CU37,BT$57),""),1+BT$58*2,1),IF(MID(IFERROR(INDEX(醫師週班表!$C$5:$T$44,$CU37,BT$57),""),3,1)="隔",IF(BT$58=0,LEFT(IFERROR(INDEX(醫師週班表!$C$5:$T$44,$CU37,BT$57),""),1),""),IF(MID(IFERROR(INDEX(醫師週班表!$C$5:$T$44,$CU37,BT$57),""),2,1)="(",LEFT(IFERROR(INDEX(醫師週班表!$C$5:$T$44,$CU37,BT$57),""),1),IFERROR(INDEX(醫師週班表!$C$5:$T$44,$CU37,BT$57),"")))))))</f>
        <v/>
      </c>
      <c r="BU37" s="68">
        <f>IF(BU$59="X","",IF(BU$59&lt;&gt;"",BU$59,IF(IFERROR(INDEX(醫師週班表!$C$5:$T$44,$CU37,BU$57),"")=0,"",IF(MID(IFERROR(INDEX(醫師週班表!$C$5:$T$44,$CU37,BU$57),""),2,1)="/",MID(IFERROR(INDEX(醫師週班表!$C$5:$T$44,$CU37,BU$57),""),1+BU$58*2,1),IF(MID(IFERROR(INDEX(醫師週班表!$C$5:$T$44,$CU37,BU$57),""),3,1)="隔",IF(BU$58=0,LEFT(IFERROR(INDEX(醫師週班表!$C$5:$T$44,$CU37,BU$57),""),1),""),IF(MID(IFERROR(INDEX(醫師週班表!$C$5:$T$44,$CU37,BU$57),""),2,1)="(",LEFT(IFERROR(INDEX(醫師週班表!$C$5:$T$44,$CU37,BU$57),""),1),IFERROR(INDEX(醫師週班表!$C$5:$T$44,$CU37,BU$57),"")))))))</f>
        <v/>
      </c>
      <c r="BV37" s="67">
        <f>IF(BV$59="X","",IF(BV$59&lt;&gt;"",BV$59,IF(IFERROR(INDEX(醫師週班表!$C$5:$T$44,$CU37,BV$57),"")=0,"",IF(MID(IFERROR(INDEX(醫師週班表!$C$5:$T$44,$CU37,BV$57),""),2,1)="/",MID(IFERROR(INDEX(醫師週班表!$C$5:$T$44,$CU37,BV$57),""),1+BV$58*2,1),IF(MID(IFERROR(INDEX(醫師週班表!$C$5:$T$44,$CU37,BV$57),""),3,1)="隔",IF(BV$58=0,LEFT(IFERROR(INDEX(醫師週班表!$C$5:$T$44,$CU37,BV$57),""),1),""),IF(MID(IFERROR(INDEX(醫師週班表!$C$5:$T$44,$CU37,BV$57),""),2,1)="(",LEFT(IFERROR(INDEX(醫師週班表!$C$5:$T$44,$CU37,BV$57),""),1),IFERROR(INDEX(醫師週班表!$C$5:$T$44,$CU37,BV$57),"")))))))</f>
        <v/>
      </c>
      <c r="BW37" s="68">
        <f>IF(BW$59="X","",IF(BW$59&lt;&gt;"",BW$59,IF(IFERROR(INDEX(醫師週班表!$C$5:$T$44,$CU37,BW$57),"")=0,"",IF(MID(IFERROR(INDEX(醫師週班表!$C$5:$T$44,$CU37,BW$57),""),2,1)="/",MID(IFERROR(INDEX(醫師週班表!$C$5:$T$44,$CU37,BW$57),""),1+BW$58*2,1),IF(MID(IFERROR(INDEX(醫師週班表!$C$5:$T$44,$CU37,BW$57),""),3,1)="隔",IF(BW$58=0,LEFT(IFERROR(INDEX(醫師週班表!$C$5:$T$44,$CU37,BW$57),""),1),""),IF(MID(IFERROR(INDEX(醫師週班表!$C$5:$T$44,$CU37,BW$57),""),2,1)="(",LEFT(IFERROR(INDEX(醫師週班表!$C$5:$T$44,$CU37,BW$57),""),1),IFERROR(INDEX(醫師週班表!$C$5:$T$44,$CU37,BW$57),"")))))))</f>
        <v/>
      </c>
      <c r="BX37" s="68">
        <f>IF(BX$59="X","",IF(BX$59&lt;&gt;"",BX$59,IF(IFERROR(INDEX(醫師週班表!$C$5:$T$44,$CU37,BX$57),"")=0,"",IF(MID(IFERROR(INDEX(醫師週班表!$C$5:$T$44,$CU37,BX$57),""),2,1)="/",MID(IFERROR(INDEX(醫師週班表!$C$5:$T$44,$CU37,BX$57),""),1+BX$58*2,1),IF(MID(IFERROR(INDEX(醫師週班表!$C$5:$T$44,$CU37,BX$57),""),3,1)="隔",IF(BX$58=0,LEFT(IFERROR(INDEX(醫師週班表!$C$5:$T$44,$CU37,BX$57),""),1),""),IF(MID(IFERROR(INDEX(醫師週班表!$C$5:$T$44,$CU37,BX$57),""),2,1)="(",LEFT(IFERROR(INDEX(醫師週班表!$C$5:$T$44,$CU37,BX$57),""),1),IFERROR(INDEX(醫師週班表!$C$5:$T$44,$CU37,BX$57),"")))))))</f>
        <v/>
      </c>
      <c r="BY37" s="67">
        <f>IF(BY$59="X","",IF(BY$59&lt;&gt;"",BY$59,IF(IFERROR(INDEX(醫師週班表!$C$5:$T$44,$CU37,BY$57),"")=0,"",IF(MID(IFERROR(INDEX(醫師週班表!$C$5:$T$44,$CU37,BY$57),""),2,1)="/",MID(IFERROR(INDEX(醫師週班表!$C$5:$T$44,$CU37,BY$57),""),1+BY$58*2,1),IF(MID(IFERROR(INDEX(醫師週班表!$C$5:$T$44,$CU37,BY$57),""),3,1)="隔",IF(BY$58=0,LEFT(IFERROR(INDEX(醫師週班表!$C$5:$T$44,$CU37,BY$57),""),1),""),IF(MID(IFERROR(INDEX(醫師週班表!$C$5:$T$44,$CU37,BY$57),""),2,1)="(",LEFT(IFERROR(INDEX(醫師週班表!$C$5:$T$44,$CU37,BY$57),""),1),IFERROR(INDEX(醫師週班表!$C$5:$T$44,$CU37,BY$57),"")))))))</f>
        <v/>
      </c>
      <c r="BZ37" s="68">
        <f>IF(BZ$59="X","",IF(BZ$59&lt;&gt;"",BZ$59,IF(IFERROR(INDEX(醫師週班表!$C$5:$T$44,$CU37,BZ$57),"")=0,"",IF(MID(IFERROR(INDEX(醫師週班表!$C$5:$T$44,$CU37,BZ$57),""),2,1)="/",MID(IFERROR(INDEX(醫師週班表!$C$5:$T$44,$CU37,BZ$57),""),1+BZ$58*2,1),IF(MID(IFERROR(INDEX(醫師週班表!$C$5:$T$44,$CU37,BZ$57),""),3,1)="隔",IF(BZ$58=0,LEFT(IFERROR(INDEX(醫師週班表!$C$5:$T$44,$CU37,BZ$57),""),1),""),IF(MID(IFERROR(INDEX(醫師週班表!$C$5:$T$44,$CU37,BZ$57),""),2,1)="(",LEFT(IFERROR(INDEX(醫師週班表!$C$5:$T$44,$CU37,BZ$57),""),1),IFERROR(INDEX(醫師週班表!$C$5:$T$44,$CU37,BZ$57),"")))))))</f>
        <v/>
      </c>
      <c r="CA37" s="68">
        <f>IF(CA$59="X","",IF(CA$59&lt;&gt;"",CA$59,IF(IFERROR(INDEX(醫師週班表!$C$5:$T$44,$CU37,CA$57),"")=0,"",IF(MID(IFERROR(INDEX(醫師週班表!$C$5:$T$44,$CU37,CA$57),""),2,1)="/",MID(IFERROR(INDEX(醫師週班表!$C$5:$T$44,$CU37,CA$57),""),1+CA$58*2,1),IF(MID(IFERROR(INDEX(醫師週班表!$C$5:$T$44,$CU37,CA$57),""),3,1)="隔",IF(CA$58=0,LEFT(IFERROR(INDEX(醫師週班表!$C$5:$T$44,$CU37,CA$57),""),1),""),IF(MID(IFERROR(INDEX(醫師週班表!$C$5:$T$44,$CU37,CA$57),""),2,1)="(",LEFT(IFERROR(INDEX(醫師週班表!$C$5:$T$44,$CU37,CA$57),""),1),IFERROR(INDEX(醫師週班表!$C$5:$T$44,$CU37,CA$57),"")))))))</f>
        <v/>
      </c>
      <c r="CB37" s="67">
        <f>IF(CB$59="X","",IF(CB$59&lt;&gt;"",CB$59,IF(IFERROR(INDEX(醫師週班表!$C$5:$T$44,$CU37,CB$57),"")=0,"",IF(MID(IFERROR(INDEX(醫師週班表!$C$5:$T$44,$CU37,CB$57),""),2,1)="/",MID(IFERROR(INDEX(醫師週班表!$C$5:$T$44,$CU37,CB$57),""),1+CB$58*2,1),IF(MID(IFERROR(INDEX(醫師週班表!$C$5:$T$44,$CU37,CB$57),""),3,1)="隔",IF(CB$58=0,LEFT(IFERROR(INDEX(醫師週班表!$C$5:$T$44,$CU37,CB$57),""),1),""),IF(MID(IFERROR(INDEX(醫師週班表!$C$5:$T$44,$CU37,CB$57),""),2,1)="(",LEFT(IFERROR(INDEX(醫師週班表!$C$5:$T$44,$CU37,CB$57),""),1),IFERROR(INDEX(醫師週班表!$C$5:$T$44,$CU37,CB$57),"")))))))</f>
        <v/>
      </c>
      <c r="CC37" s="68">
        <f>IF(CC$59="X","",IF(CC$59&lt;&gt;"",CC$59,IF(IFERROR(INDEX(醫師週班表!$C$5:$T$44,$CU37,CC$57),"")=0,"",IF(MID(IFERROR(INDEX(醫師週班表!$C$5:$T$44,$CU37,CC$57),""),2,1)="/",MID(IFERROR(INDEX(醫師週班表!$C$5:$T$44,$CU37,CC$57),""),1+CC$58*2,1),IF(MID(IFERROR(INDEX(醫師週班表!$C$5:$T$44,$CU37,CC$57),""),3,1)="隔",IF(CC$58=0,LEFT(IFERROR(INDEX(醫師週班表!$C$5:$T$44,$CU37,CC$57),""),1),""),IF(MID(IFERROR(INDEX(醫師週班表!$C$5:$T$44,$CU37,CC$57),""),2,1)="(",LEFT(IFERROR(INDEX(醫師週班表!$C$5:$T$44,$CU37,CC$57),""),1),IFERROR(INDEX(醫師週班表!$C$5:$T$44,$CU37,CC$57),"")))))))</f>
        <v/>
      </c>
      <c r="CD37" s="68">
        <f>IF(CD$59="X","",IF(CD$59&lt;&gt;"",CD$59,IF(IFERROR(INDEX(醫師週班表!$C$5:$T$44,$CU37,CD$57),"")=0,"",IF(MID(IFERROR(INDEX(醫師週班表!$C$5:$T$44,$CU37,CD$57),""),2,1)="/",MID(IFERROR(INDEX(醫師週班表!$C$5:$T$44,$CU37,CD$57),""),1+CD$58*2,1),IF(MID(IFERROR(INDEX(醫師週班表!$C$5:$T$44,$CU37,CD$57),""),3,1)="隔",IF(CD$58=0,LEFT(IFERROR(INDEX(醫師週班表!$C$5:$T$44,$CU37,CD$57),""),1),""),IF(MID(IFERROR(INDEX(醫師週班表!$C$5:$T$44,$CU37,CD$57),""),2,1)="(",LEFT(IFERROR(INDEX(醫師週班表!$C$5:$T$44,$CU37,CD$57),""),1),IFERROR(INDEX(醫師週班表!$C$5:$T$44,$CU37,CD$57),"")))))))</f>
        <v/>
      </c>
      <c r="CE37" s="67">
        <f>IF(CE$59="X","",IF(CE$59&lt;&gt;"",CE$59,IF(IFERROR(INDEX(醫師週班表!$C$5:$T$44,$CU37,CE$57),"")=0,"",IF(MID(IFERROR(INDEX(醫師週班表!$C$5:$T$44,$CU37,CE$57),""),2,1)="/",MID(IFERROR(INDEX(醫師週班表!$C$5:$T$44,$CU37,CE$57),""),1+CE$58*2,1),IF(MID(IFERROR(INDEX(醫師週班表!$C$5:$T$44,$CU37,CE$57),""),3,1)="隔",IF(CE$58=0,LEFT(IFERROR(INDEX(醫師週班表!$C$5:$T$44,$CU37,CE$57),""),1),""),IF(MID(IFERROR(INDEX(醫師週班表!$C$5:$T$44,$CU37,CE$57),""),2,1)="(",LEFT(IFERROR(INDEX(醫師週班表!$C$5:$T$44,$CU37,CE$57),""),1),IFERROR(INDEX(醫師週班表!$C$5:$T$44,$CU37,CE$57),"")))))))</f>
        <v/>
      </c>
      <c r="CF37" s="68">
        <f>IF(CF$59="X","",IF(CF$59&lt;&gt;"",CF$59,IF(IFERROR(INDEX(醫師週班表!$C$5:$T$44,$CU37,CF$57),"")=0,"",IF(MID(IFERROR(INDEX(醫師週班表!$C$5:$T$44,$CU37,CF$57),""),2,1)="/",MID(IFERROR(INDEX(醫師週班表!$C$5:$T$44,$CU37,CF$57),""),1+CF$58*2,1),IF(MID(IFERROR(INDEX(醫師週班表!$C$5:$T$44,$CU37,CF$57),""),3,1)="隔",IF(CF$58=0,LEFT(IFERROR(INDEX(醫師週班表!$C$5:$T$44,$CU37,CF$57),""),1),""),IF(MID(IFERROR(INDEX(醫師週班表!$C$5:$T$44,$CU37,CF$57),""),2,1)="(",LEFT(IFERROR(INDEX(醫師週班表!$C$5:$T$44,$CU37,CF$57),""),1),IFERROR(INDEX(醫師週班表!$C$5:$T$44,$CU37,CF$57),"")))))))</f>
        <v/>
      </c>
      <c r="CG37" s="68">
        <f>IF(CG$59="X","",IF(CG$59&lt;&gt;"",CG$59,IF(IFERROR(INDEX(醫師週班表!$C$5:$T$44,$CU37,CG$57),"")=0,"",IF(MID(IFERROR(INDEX(醫師週班表!$C$5:$T$44,$CU37,CG$57),""),2,1)="/",MID(IFERROR(INDEX(醫師週班表!$C$5:$T$44,$CU37,CG$57),""),1+CG$58*2,1),IF(MID(IFERROR(INDEX(醫師週班表!$C$5:$T$44,$CU37,CG$57),""),3,1)="隔",IF(CG$58=0,LEFT(IFERROR(INDEX(醫師週班表!$C$5:$T$44,$CU37,CG$57),""),1),""),IF(MID(IFERROR(INDEX(醫師週班表!$C$5:$T$44,$CU37,CG$57),""),2,1)="(",LEFT(IFERROR(INDEX(醫師週班表!$C$5:$T$44,$CU37,CG$57),""),1),IFERROR(INDEX(醫師週班表!$C$5:$T$44,$CU37,CG$57),"")))))))</f>
        <v/>
      </c>
      <c r="CH37" s="67">
        <f>IF(CH$59="X","",IF(CH$59&lt;&gt;"",CH$59,IF(IFERROR(INDEX(醫師週班表!$C$5:$T$44,$CU37,CH$57),"")=0,"",IF(MID(IFERROR(INDEX(醫師週班表!$C$5:$T$44,$CU37,CH$57),""),2,1)="/",MID(IFERROR(INDEX(醫師週班表!$C$5:$T$44,$CU37,CH$57),""),1+CH$58*2,1),IF(MID(IFERROR(INDEX(醫師週班表!$C$5:$T$44,$CU37,CH$57),""),3,1)="隔",IF(CH$58=0,LEFT(IFERROR(INDEX(醫師週班表!$C$5:$T$44,$CU37,CH$57),""),1),""),IF(MID(IFERROR(INDEX(醫師週班表!$C$5:$T$44,$CU37,CH$57),""),2,1)="(",LEFT(IFERROR(INDEX(醫師週班表!$C$5:$T$44,$CU37,CH$57),""),1),IFERROR(INDEX(醫師週班表!$C$5:$T$44,$CU37,CH$57),"")))))))</f>
        <v/>
      </c>
      <c r="CI37" s="68">
        <f>IF(CI$59="X","",IF(CI$59&lt;&gt;"",CI$59,IF(IFERROR(INDEX(醫師週班表!$C$5:$T$44,$CU37,CI$57),"")=0,"",IF(MID(IFERROR(INDEX(醫師週班表!$C$5:$T$44,$CU37,CI$57),""),2,1)="/",MID(IFERROR(INDEX(醫師週班表!$C$5:$T$44,$CU37,CI$57),""),1+CI$58*2,1),IF(MID(IFERROR(INDEX(醫師週班表!$C$5:$T$44,$CU37,CI$57),""),3,1)="隔",IF(CI$58=0,LEFT(IFERROR(INDEX(醫師週班表!$C$5:$T$44,$CU37,CI$57),""),1),""),IF(MID(IFERROR(INDEX(醫師週班表!$C$5:$T$44,$CU37,CI$57),""),2,1)="(",LEFT(IFERROR(INDEX(醫師週班表!$C$5:$T$44,$CU37,CI$57),""),1),IFERROR(INDEX(醫師週班表!$C$5:$T$44,$CU37,CI$57),"")))))))</f>
        <v/>
      </c>
      <c r="CJ37" s="68">
        <f>IF(CJ$59="X","",IF(CJ$59&lt;&gt;"",CJ$59,IF(IFERROR(INDEX(醫師週班表!$C$5:$T$44,$CU37,CJ$57),"")=0,"",IF(MID(IFERROR(INDEX(醫師週班表!$C$5:$T$44,$CU37,CJ$57),""),2,1)="/",MID(IFERROR(INDEX(醫師週班表!$C$5:$T$44,$CU37,CJ$57),""),1+CJ$58*2,1),IF(MID(IFERROR(INDEX(醫師週班表!$C$5:$T$44,$CU37,CJ$57),""),3,1)="隔",IF(CJ$58=0,LEFT(IFERROR(INDEX(醫師週班表!$C$5:$T$44,$CU37,CJ$57),""),1),""),IF(MID(IFERROR(INDEX(醫師週班表!$C$5:$T$44,$CU37,CJ$57),""),2,1)="(",LEFT(IFERROR(INDEX(醫師週班表!$C$5:$T$44,$CU37,CJ$57),""),1),IFERROR(INDEX(醫師週班表!$C$5:$T$44,$CU37,CJ$57),"")))))))</f>
        <v/>
      </c>
      <c r="CK37" s="67">
        <f>IF(CK$59="X","",IF(CK$59&lt;&gt;"",CK$59,IF(IFERROR(INDEX(醫師週班表!$C$5:$T$44,$CU37,CK$57),"")=0,"",IF(MID(IFERROR(INDEX(醫師週班表!$C$5:$T$44,$CU37,CK$57),""),2,1)="/",MID(IFERROR(INDEX(醫師週班表!$C$5:$T$44,$CU37,CK$57),""),1+CK$58*2,1),IF(MID(IFERROR(INDEX(醫師週班表!$C$5:$T$44,$CU37,CK$57),""),3,1)="隔",IF(CK$58=0,LEFT(IFERROR(INDEX(醫師週班表!$C$5:$T$44,$CU37,CK$57),""),1),""),IF(MID(IFERROR(INDEX(醫師週班表!$C$5:$T$44,$CU37,CK$57),""),2,1)="(",LEFT(IFERROR(INDEX(醫師週班表!$C$5:$T$44,$CU37,CK$57),""),1),IFERROR(INDEX(醫師週班表!$C$5:$T$44,$CU37,CK$57),"")))))))</f>
        <v/>
      </c>
      <c r="CL37" s="68">
        <f>IF(CL$59="X","",IF(CL$59&lt;&gt;"",CL$59,IF(IFERROR(INDEX(醫師週班表!$C$5:$T$44,$CU37,CL$57),"")=0,"",IF(MID(IFERROR(INDEX(醫師週班表!$C$5:$T$44,$CU37,CL$57),""),2,1)="/",MID(IFERROR(INDEX(醫師週班表!$C$5:$T$44,$CU37,CL$57),""),1+CL$58*2,1),IF(MID(IFERROR(INDEX(醫師週班表!$C$5:$T$44,$CU37,CL$57),""),3,1)="隔",IF(CL$58=0,LEFT(IFERROR(INDEX(醫師週班表!$C$5:$T$44,$CU37,CL$57),""),1),""),IF(MID(IFERROR(INDEX(醫師週班表!$C$5:$T$44,$CU37,CL$57),""),2,1)="(",LEFT(IFERROR(INDEX(醫師週班表!$C$5:$T$44,$CU37,CL$57),""),1),IFERROR(INDEX(醫師週班表!$C$5:$T$44,$CU37,CL$57),"")))))))</f>
        <v/>
      </c>
      <c r="CM37" s="68">
        <f>IF(CM$59="X","",IF(CM$59&lt;&gt;"",CM$59,IF(IFERROR(INDEX(醫師週班表!$C$5:$T$44,$CU37,CM$57),"")=0,"",IF(MID(IFERROR(INDEX(醫師週班表!$C$5:$T$44,$CU37,CM$57),""),2,1)="/",MID(IFERROR(INDEX(醫師週班表!$C$5:$T$44,$CU37,CM$57),""),1+CM$58*2,1),IF(MID(IFERROR(INDEX(醫師週班表!$C$5:$T$44,$CU37,CM$57),""),3,1)="隔",IF(CM$58=0,LEFT(IFERROR(INDEX(醫師週班表!$C$5:$T$44,$CU37,CM$57),""),1),""),IF(MID(IFERROR(INDEX(醫師週班表!$C$5:$T$44,$CU37,CM$57),""),2,1)="(",LEFT(IFERROR(INDEX(醫師週班表!$C$5:$T$44,$CU37,CM$57),""),1),IFERROR(INDEX(醫師週班表!$C$5:$T$44,$CU37,CM$57),"")))))))</f>
        <v/>
      </c>
      <c r="CN37" s="67">
        <f>IF(CN$59="X","",IF(CN$59&lt;&gt;"",CN$59,IF(IFERROR(INDEX(醫師週班表!$C$5:$T$44,$CU37,CN$57),"")=0,"",IF(MID(IFERROR(INDEX(醫師週班表!$C$5:$T$44,$CU37,CN$57),""),2,1)="/",MID(IFERROR(INDEX(醫師週班表!$C$5:$T$44,$CU37,CN$57),""),1+CN$58*2,1),IF(MID(IFERROR(INDEX(醫師週班表!$C$5:$T$44,$CU37,CN$57),""),3,1)="隔",IF(CN$58=0,LEFT(IFERROR(INDEX(醫師週班表!$C$5:$T$44,$CU37,CN$57),""),1),""),IF(MID(IFERROR(INDEX(醫師週班表!$C$5:$T$44,$CU37,CN$57),""),2,1)="(",LEFT(IFERROR(INDEX(醫師週班表!$C$5:$T$44,$CU37,CN$57),""),1),IFERROR(INDEX(醫師週班表!$C$5:$T$44,$CU37,CN$57),"")))))))</f>
        <v/>
      </c>
      <c r="CO37" s="68">
        <f>IF(CO$59="X","",IF(CO$59&lt;&gt;"",CO$59,IF(IFERROR(INDEX(醫師週班表!$C$5:$T$44,$CU37,CO$57),"")=0,"",IF(MID(IFERROR(INDEX(醫師週班表!$C$5:$T$44,$CU37,CO$57),""),2,1)="/",MID(IFERROR(INDEX(醫師週班表!$C$5:$T$44,$CU37,CO$57),""),1+CO$58*2,1),IF(MID(IFERROR(INDEX(醫師週班表!$C$5:$T$44,$CU37,CO$57),""),3,1)="隔",IF(CO$58=0,LEFT(IFERROR(INDEX(醫師週班表!$C$5:$T$44,$CU37,CO$57),""),1),""),IF(MID(IFERROR(INDEX(醫師週班表!$C$5:$T$44,$CU37,CO$57),""),2,1)="(",LEFT(IFERROR(INDEX(醫師週班表!$C$5:$T$44,$CU37,CO$57),""),1),IFERROR(INDEX(醫師週班表!$C$5:$T$44,$CU37,CO$57),"")))))))</f>
        <v/>
      </c>
      <c r="CP37" s="68">
        <f>IF(CP$59="X","",IF(CP$59&lt;&gt;"",CP$59,IF(IFERROR(INDEX(醫師週班表!$C$5:$T$44,$CU37,CP$57),"")=0,"",IF(MID(IFERROR(INDEX(醫師週班表!$C$5:$T$44,$CU37,CP$57),""),2,1)="/",MID(IFERROR(INDEX(醫師週班表!$C$5:$T$44,$CU37,CP$57),""),1+CP$58*2,1),IF(MID(IFERROR(INDEX(醫師週班表!$C$5:$T$44,$CU37,CP$57),""),3,1)="隔",IF(CP$58=0,LEFT(IFERROR(INDEX(醫師週班表!$C$5:$T$44,$CU37,CP$57),""),1),""),IF(MID(IFERROR(INDEX(醫師週班表!$C$5:$T$44,$CU37,CP$57),""),2,1)="(",LEFT(IFERROR(INDEX(醫師週班表!$C$5:$T$44,$CU37,CP$57),""),1),IFERROR(INDEX(醫師週班表!$C$5:$T$44,$CU37,CP$57),"")))))))</f>
        <v/>
      </c>
      <c r="CQ37" s="67">
        <f>IF(CQ$59="X","",IF(CQ$59&lt;&gt;"",CQ$59,IF(IFERROR(INDEX(醫師週班表!$C$5:$T$44,$CU37,CQ$57),"")=0,"",IF(MID(IFERROR(INDEX(醫師週班表!$C$5:$T$44,$CU37,CQ$57),""),2,1)="/",MID(IFERROR(INDEX(醫師週班表!$C$5:$T$44,$CU37,CQ$57),""),1+CQ$58*2,1),IF(MID(IFERROR(INDEX(醫師週班表!$C$5:$T$44,$CU37,CQ$57),""),3,1)="隔",IF(CQ$58=0,LEFT(IFERROR(INDEX(醫師週班表!$C$5:$T$44,$CU37,CQ$57),""),1),""),IF(MID(IFERROR(INDEX(醫師週班表!$C$5:$T$44,$CU37,CQ$57),""),2,1)="(",LEFT(IFERROR(INDEX(醫師週班表!$C$5:$T$44,$CU37,CQ$57),""),1),IFERROR(INDEX(醫師週班表!$C$5:$T$44,$CU37,CQ$57),"")))))))</f>
        <v/>
      </c>
      <c r="CR37" s="68">
        <f>IF(CR$59="X","",IF(CR$59&lt;&gt;"",CR$59,IF(IFERROR(INDEX(醫師週班表!$C$5:$T$44,$CU37,CR$57),"")=0,"",IF(MID(IFERROR(INDEX(醫師週班表!$C$5:$T$44,$CU37,CR$57),""),2,1)="/",MID(IFERROR(INDEX(醫師週班表!$C$5:$T$44,$CU37,CR$57),""),1+CR$58*2,1),IF(MID(IFERROR(INDEX(醫師週班表!$C$5:$T$44,$CU37,CR$57),""),3,1)="隔",IF(CR$58=0,LEFT(IFERROR(INDEX(醫師週班表!$C$5:$T$44,$CU37,CR$57),""),1),""),IF(MID(IFERROR(INDEX(醫師週班表!$C$5:$T$44,$CU37,CR$57),""),2,1)="(",LEFT(IFERROR(INDEX(醫師週班表!$C$5:$T$44,$CU37,CR$57),""),1),IFERROR(INDEX(醫師週班表!$C$5:$T$44,$CU37,CR$57),"")))))))</f>
        <v/>
      </c>
      <c r="CS37" s="68">
        <f>IF(CS$59="X","",IF(CS$59&lt;&gt;"",CS$59,IF(IFERROR(INDEX(醫師週班表!$C$5:$T$44,$CU37,CS$57),"")=0,"",IF(MID(IFERROR(INDEX(醫師週班表!$C$5:$T$44,$CU37,CS$57),""),2,1)="/",MID(IFERROR(INDEX(醫師週班表!$C$5:$T$44,$CU37,CS$57),""),1+CS$58*2,1),IF(MID(IFERROR(INDEX(醫師週班表!$C$5:$T$44,$CU37,CS$57),""),3,1)="隔",IF(CS$58=0,LEFT(IFERROR(INDEX(醫師週班表!$C$5:$T$44,$CU37,CS$57),""),1),""),IF(MID(IFERROR(INDEX(醫師週班表!$C$5:$T$44,$CU37,CS$57),""),2,1)="(",LEFT(IFERROR(INDEX(醫師週班表!$C$5:$T$44,$CU37,CS$57),""),1),IFERROR(INDEX(醫師週班表!$C$5:$T$44,$CU37,CS$57),"")))))))</f>
        <v/>
      </c>
      <c r="CU37" s="69">
        <f>IFERROR(MATCH($A37,醫師週班表!$A$5:$A$44,0),0)</f>
        <v/>
      </c>
    </row>
    <row r="38" ht="17" customHeight="1">
      <c r="A38" s="20" t="n"/>
      <c r="B38" s="16">
        <f>IFERROR(INDEX(設定!$C$62:$C$201,MATCH($A38,設定!$B$62:$B$201,0)),"")</f>
        <v/>
      </c>
      <c r="C38" s="66">
        <f>IFERROR(INDEX(設定!$E$62:$E$201,MATCH($A38,設定!$B$62:$B$201,0)),"")</f>
        <v/>
      </c>
      <c r="D38" s="16">
        <f>IFERROR(INDEX(設定!$F$62:$F$201,MATCH($A38,設定!$B$62:$B$201,0)),"")</f>
        <v/>
      </c>
      <c r="E38" s="67">
        <f>IF(E$59="X","",IF(E$59&lt;&gt;"",E$59,IF(IFERROR(INDEX(醫師週班表!$C$5:$T$44,$CU38,E$57),"")=0,"",IF(MID(IFERROR(INDEX(醫師週班表!$C$5:$T$44,$CU38,E$57),""),2,1)="/",MID(IFERROR(INDEX(醫師週班表!$C$5:$T$44,$CU38,E$57),""),1+E$58*2,1),IF(MID(IFERROR(INDEX(醫師週班表!$C$5:$T$44,$CU38,E$57),""),3,1)="隔",IF(E$58=0,LEFT(IFERROR(INDEX(醫師週班表!$C$5:$T$44,$CU38,E$57),""),1),""),IF(MID(IFERROR(INDEX(醫師週班表!$C$5:$T$44,$CU38,E$57),""),2,1)="(",LEFT(IFERROR(INDEX(醫師週班表!$C$5:$T$44,$CU38,E$57),""),1),IFERROR(INDEX(醫師週班表!$C$5:$T$44,$CU38,E$57),"")))))))</f>
        <v/>
      </c>
      <c r="F38" s="68">
        <f>IF(F$59="X","",IF(F$59&lt;&gt;"",F$59,IF(IFERROR(INDEX(醫師週班表!$C$5:$T$44,$CU38,F$57),"")=0,"",IF(MID(IFERROR(INDEX(醫師週班表!$C$5:$T$44,$CU38,F$57),""),2,1)="/",MID(IFERROR(INDEX(醫師週班表!$C$5:$T$44,$CU38,F$57),""),1+F$58*2,1),IF(MID(IFERROR(INDEX(醫師週班表!$C$5:$T$44,$CU38,F$57),""),3,1)="隔",IF(F$58=0,LEFT(IFERROR(INDEX(醫師週班表!$C$5:$T$44,$CU38,F$57),""),1),""),IF(MID(IFERROR(INDEX(醫師週班表!$C$5:$T$44,$CU38,F$57),""),2,1)="(",LEFT(IFERROR(INDEX(醫師週班表!$C$5:$T$44,$CU38,F$57),""),1),IFERROR(INDEX(醫師週班表!$C$5:$T$44,$CU38,F$57),"")))))))</f>
        <v/>
      </c>
      <c r="G38" s="68">
        <f>IF(G$59="X","",IF(G$59&lt;&gt;"",G$59,IF(IFERROR(INDEX(醫師週班表!$C$5:$T$44,$CU38,G$57),"")=0,"",IF(MID(IFERROR(INDEX(醫師週班表!$C$5:$T$44,$CU38,G$57),""),2,1)="/",MID(IFERROR(INDEX(醫師週班表!$C$5:$T$44,$CU38,G$57),""),1+G$58*2,1),IF(MID(IFERROR(INDEX(醫師週班表!$C$5:$T$44,$CU38,G$57),""),3,1)="隔",IF(G$58=0,LEFT(IFERROR(INDEX(醫師週班表!$C$5:$T$44,$CU38,G$57),""),1),""),IF(MID(IFERROR(INDEX(醫師週班表!$C$5:$T$44,$CU38,G$57),""),2,1)="(",LEFT(IFERROR(INDEX(醫師週班表!$C$5:$T$44,$CU38,G$57),""),1),IFERROR(INDEX(醫師週班表!$C$5:$T$44,$CU38,G$57),"")))))))</f>
        <v/>
      </c>
      <c r="H38" s="67">
        <f>IF(H$59="X","",IF(H$59&lt;&gt;"",H$59,IF(IFERROR(INDEX(醫師週班表!$C$5:$T$44,$CU38,H$57),"")=0,"",IF(MID(IFERROR(INDEX(醫師週班表!$C$5:$T$44,$CU38,H$57),""),2,1)="/",MID(IFERROR(INDEX(醫師週班表!$C$5:$T$44,$CU38,H$57),""),1+H$58*2,1),IF(MID(IFERROR(INDEX(醫師週班表!$C$5:$T$44,$CU38,H$57),""),3,1)="隔",IF(H$58=0,LEFT(IFERROR(INDEX(醫師週班表!$C$5:$T$44,$CU38,H$57),""),1),""),IF(MID(IFERROR(INDEX(醫師週班表!$C$5:$T$44,$CU38,H$57),""),2,1)="(",LEFT(IFERROR(INDEX(醫師週班表!$C$5:$T$44,$CU38,H$57),""),1),IFERROR(INDEX(醫師週班表!$C$5:$T$44,$CU38,H$57),"")))))))</f>
        <v/>
      </c>
      <c r="I38" s="68">
        <f>IF(I$59="X","",IF(I$59&lt;&gt;"",I$59,IF(IFERROR(INDEX(醫師週班表!$C$5:$T$44,$CU38,I$57),"")=0,"",IF(MID(IFERROR(INDEX(醫師週班表!$C$5:$T$44,$CU38,I$57),""),2,1)="/",MID(IFERROR(INDEX(醫師週班表!$C$5:$T$44,$CU38,I$57),""),1+I$58*2,1),IF(MID(IFERROR(INDEX(醫師週班表!$C$5:$T$44,$CU38,I$57),""),3,1)="隔",IF(I$58=0,LEFT(IFERROR(INDEX(醫師週班表!$C$5:$T$44,$CU38,I$57),""),1),""),IF(MID(IFERROR(INDEX(醫師週班表!$C$5:$T$44,$CU38,I$57),""),2,1)="(",LEFT(IFERROR(INDEX(醫師週班表!$C$5:$T$44,$CU38,I$57),""),1),IFERROR(INDEX(醫師週班表!$C$5:$T$44,$CU38,I$57),"")))))))</f>
        <v/>
      </c>
      <c r="J38" s="68">
        <f>IF(J$59="X","",IF(J$59&lt;&gt;"",J$59,IF(IFERROR(INDEX(醫師週班表!$C$5:$T$44,$CU38,J$57),"")=0,"",IF(MID(IFERROR(INDEX(醫師週班表!$C$5:$T$44,$CU38,J$57),""),2,1)="/",MID(IFERROR(INDEX(醫師週班表!$C$5:$T$44,$CU38,J$57),""),1+J$58*2,1),IF(MID(IFERROR(INDEX(醫師週班表!$C$5:$T$44,$CU38,J$57),""),3,1)="隔",IF(J$58=0,LEFT(IFERROR(INDEX(醫師週班表!$C$5:$T$44,$CU38,J$57),""),1),""),IF(MID(IFERROR(INDEX(醫師週班表!$C$5:$T$44,$CU38,J$57),""),2,1)="(",LEFT(IFERROR(INDEX(醫師週班表!$C$5:$T$44,$CU38,J$57),""),1),IFERROR(INDEX(醫師週班表!$C$5:$T$44,$CU38,J$57),"")))))))</f>
        <v/>
      </c>
      <c r="K38" s="67">
        <f>IF(K$59="X","",IF(K$59&lt;&gt;"",K$59,IF(IFERROR(INDEX(醫師週班表!$C$5:$T$44,$CU38,K$57),"")=0,"",IF(MID(IFERROR(INDEX(醫師週班表!$C$5:$T$44,$CU38,K$57),""),2,1)="/",MID(IFERROR(INDEX(醫師週班表!$C$5:$T$44,$CU38,K$57),""),1+K$58*2,1),IF(MID(IFERROR(INDEX(醫師週班表!$C$5:$T$44,$CU38,K$57),""),3,1)="隔",IF(K$58=0,LEFT(IFERROR(INDEX(醫師週班表!$C$5:$T$44,$CU38,K$57),""),1),""),IF(MID(IFERROR(INDEX(醫師週班表!$C$5:$T$44,$CU38,K$57),""),2,1)="(",LEFT(IFERROR(INDEX(醫師週班表!$C$5:$T$44,$CU38,K$57),""),1),IFERROR(INDEX(醫師週班表!$C$5:$T$44,$CU38,K$57),"")))))))</f>
        <v/>
      </c>
      <c r="L38" s="68">
        <f>IF(L$59="X","",IF(L$59&lt;&gt;"",L$59,IF(IFERROR(INDEX(醫師週班表!$C$5:$T$44,$CU38,L$57),"")=0,"",IF(MID(IFERROR(INDEX(醫師週班表!$C$5:$T$44,$CU38,L$57),""),2,1)="/",MID(IFERROR(INDEX(醫師週班表!$C$5:$T$44,$CU38,L$57),""),1+L$58*2,1),IF(MID(IFERROR(INDEX(醫師週班表!$C$5:$T$44,$CU38,L$57),""),3,1)="隔",IF(L$58=0,LEFT(IFERROR(INDEX(醫師週班表!$C$5:$T$44,$CU38,L$57),""),1),""),IF(MID(IFERROR(INDEX(醫師週班表!$C$5:$T$44,$CU38,L$57),""),2,1)="(",LEFT(IFERROR(INDEX(醫師週班表!$C$5:$T$44,$CU38,L$57),""),1),IFERROR(INDEX(醫師週班表!$C$5:$T$44,$CU38,L$57),"")))))))</f>
        <v/>
      </c>
      <c r="M38" s="68">
        <f>IF(M$59="X","",IF(M$59&lt;&gt;"",M$59,IF(IFERROR(INDEX(醫師週班表!$C$5:$T$44,$CU38,M$57),"")=0,"",IF(MID(IFERROR(INDEX(醫師週班表!$C$5:$T$44,$CU38,M$57),""),2,1)="/",MID(IFERROR(INDEX(醫師週班表!$C$5:$T$44,$CU38,M$57),""),1+M$58*2,1),IF(MID(IFERROR(INDEX(醫師週班表!$C$5:$T$44,$CU38,M$57),""),3,1)="隔",IF(M$58=0,LEFT(IFERROR(INDEX(醫師週班表!$C$5:$T$44,$CU38,M$57),""),1),""),IF(MID(IFERROR(INDEX(醫師週班表!$C$5:$T$44,$CU38,M$57),""),2,1)="(",LEFT(IFERROR(INDEX(醫師週班表!$C$5:$T$44,$CU38,M$57),""),1),IFERROR(INDEX(醫師週班表!$C$5:$T$44,$CU38,M$57),"")))))))</f>
        <v/>
      </c>
      <c r="N38" s="67">
        <f>IF(N$59="X","",IF(N$59&lt;&gt;"",N$59,IF(IFERROR(INDEX(醫師週班表!$C$5:$T$44,$CU38,N$57),"")=0,"",IF(MID(IFERROR(INDEX(醫師週班表!$C$5:$T$44,$CU38,N$57),""),2,1)="/",MID(IFERROR(INDEX(醫師週班表!$C$5:$T$44,$CU38,N$57),""),1+N$58*2,1),IF(MID(IFERROR(INDEX(醫師週班表!$C$5:$T$44,$CU38,N$57),""),3,1)="隔",IF(N$58=0,LEFT(IFERROR(INDEX(醫師週班表!$C$5:$T$44,$CU38,N$57),""),1),""),IF(MID(IFERROR(INDEX(醫師週班表!$C$5:$T$44,$CU38,N$57),""),2,1)="(",LEFT(IFERROR(INDEX(醫師週班表!$C$5:$T$44,$CU38,N$57),""),1),IFERROR(INDEX(醫師週班表!$C$5:$T$44,$CU38,N$57),"")))))))</f>
        <v/>
      </c>
      <c r="O38" s="68">
        <f>IF(O$59="X","",IF(O$59&lt;&gt;"",O$59,IF(IFERROR(INDEX(醫師週班表!$C$5:$T$44,$CU38,O$57),"")=0,"",IF(MID(IFERROR(INDEX(醫師週班表!$C$5:$T$44,$CU38,O$57),""),2,1)="/",MID(IFERROR(INDEX(醫師週班表!$C$5:$T$44,$CU38,O$57),""),1+O$58*2,1),IF(MID(IFERROR(INDEX(醫師週班表!$C$5:$T$44,$CU38,O$57),""),3,1)="隔",IF(O$58=0,LEFT(IFERROR(INDEX(醫師週班表!$C$5:$T$44,$CU38,O$57),""),1),""),IF(MID(IFERROR(INDEX(醫師週班表!$C$5:$T$44,$CU38,O$57),""),2,1)="(",LEFT(IFERROR(INDEX(醫師週班表!$C$5:$T$44,$CU38,O$57),""),1),IFERROR(INDEX(醫師週班表!$C$5:$T$44,$CU38,O$57),"")))))))</f>
        <v/>
      </c>
      <c r="P38" s="68">
        <f>IF(P$59="X","",IF(P$59&lt;&gt;"",P$59,IF(IFERROR(INDEX(醫師週班表!$C$5:$T$44,$CU38,P$57),"")=0,"",IF(MID(IFERROR(INDEX(醫師週班表!$C$5:$T$44,$CU38,P$57),""),2,1)="/",MID(IFERROR(INDEX(醫師週班表!$C$5:$T$44,$CU38,P$57),""),1+P$58*2,1),IF(MID(IFERROR(INDEX(醫師週班表!$C$5:$T$44,$CU38,P$57),""),3,1)="隔",IF(P$58=0,LEFT(IFERROR(INDEX(醫師週班表!$C$5:$T$44,$CU38,P$57),""),1),""),IF(MID(IFERROR(INDEX(醫師週班表!$C$5:$T$44,$CU38,P$57),""),2,1)="(",LEFT(IFERROR(INDEX(醫師週班表!$C$5:$T$44,$CU38,P$57),""),1),IFERROR(INDEX(醫師週班表!$C$5:$T$44,$CU38,P$57),"")))))))</f>
        <v/>
      </c>
      <c r="Q38" s="67">
        <f>IF(Q$59="X","",IF(Q$59&lt;&gt;"",Q$59,IF(IFERROR(INDEX(醫師週班表!$C$5:$T$44,$CU38,Q$57),"")=0,"",IF(MID(IFERROR(INDEX(醫師週班表!$C$5:$T$44,$CU38,Q$57),""),2,1)="/",MID(IFERROR(INDEX(醫師週班表!$C$5:$T$44,$CU38,Q$57),""),1+Q$58*2,1),IF(MID(IFERROR(INDEX(醫師週班表!$C$5:$T$44,$CU38,Q$57),""),3,1)="隔",IF(Q$58=0,LEFT(IFERROR(INDEX(醫師週班表!$C$5:$T$44,$CU38,Q$57),""),1),""),IF(MID(IFERROR(INDEX(醫師週班表!$C$5:$T$44,$CU38,Q$57),""),2,1)="(",LEFT(IFERROR(INDEX(醫師週班表!$C$5:$T$44,$CU38,Q$57),""),1),IFERROR(INDEX(醫師週班表!$C$5:$T$44,$CU38,Q$57),"")))))))</f>
        <v/>
      </c>
      <c r="R38" s="68">
        <f>IF(R$59="X","",IF(R$59&lt;&gt;"",R$59,IF(IFERROR(INDEX(醫師週班表!$C$5:$T$44,$CU38,R$57),"")=0,"",IF(MID(IFERROR(INDEX(醫師週班表!$C$5:$T$44,$CU38,R$57),""),2,1)="/",MID(IFERROR(INDEX(醫師週班表!$C$5:$T$44,$CU38,R$57),""),1+R$58*2,1),IF(MID(IFERROR(INDEX(醫師週班表!$C$5:$T$44,$CU38,R$57),""),3,1)="隔",IF(R$58=0,LEFT(IFERROR(INDEX(醫師週班表!$C$5:$T$44,$CU38,R$57),""),1),""),IF(MID(IFERROR(INDEX(醫師週班表!$C$5:$T$44,$CU38,R$57),""),2,1)="(",LEFT(IFERROR(INDEX(醫師週班表!$C$5:$T$44,$CU38,R$57),""),1),IFERROR(INDEX(醫師週班表!$C$5:$T$44,$CU38,R$57),"")))))))</f>
        <v/>
      </c>
      <c r="S38" s="68">
        <f>IF(S$59="X","",IF(S$59&lt;&gt;"",S$59,IF(IFERROR(INDEX(醫師週班表!$C$5:$T$44,$CU38,S$57),"")=0,"",IF(MID(IFERROR(INDEX(醫師週班表!$C$5:$T$44,$CU38,S$57),""),2,1)="/",MID(IFERROR(INDEX(醫師週班表!$C$5:$T$44,$CU38,S$57),""),1+S$58*2,1),IF(MID(IFERROR(INDEX(醫師週班表!$C$5:$T$44,$CU38,S$57),""),3,1)="隔",IF(S$58=0,LEFT(IFERROR(INDEX(醫師週班表!$C$5:$T$44,$CU38,S$57),""),1),""),IF(MID(IFERROR(INDEX(醫師週班表!$C$5:$T$44,$CU38,S$57),""),2,1)="(",LEFT(IFERROR(INDEX(醫師週班表!$C$5:$T$44,$CU38,S$57),""),1),IFERROR(INDEX(醫師週班表!$C$5:$T$44,$CU38,S$57),"")))))))</f>
        <v/>
      </c>
      <c r="T38" s="67">
        <f>IF(T$59="X","",IF(T$59&lt;&gt;"",T$59,IF(IFERROR(INDEX(醫師週班表!$C$5:$T$44,$CU38,T$57),"")=0,"",IF(MID(IFERROR(INDEX(醫師週班表!$C$5:$T$44,$CU38,T$57),""),2,1)="/",MID(IFERROR(INDEX(醫師週班表!$C$5:$T$44,$CU38,T$57),""),1+T$58*2,1),IF(MID(IFERROR(INDEX(醫師週班表!$C$5:$T$44,$CU38,T$57),""),3,1)="隔",IF(T$58=0,LEFT(IFERROR(INDEX(醫師週班表!$C$5:$T$44,$CU38,T$57),""),1),""),IF(MID(IFERROR(INDEX(醫師週班表!$C$5:$T$44,$CU38,T$57),""),2,1)="(",LEFT(IFERROR(INDEX(醫師週班表!$C$5:$T$44,$CU38,T$57),""),1),IFERROR(INDEX(醫師週班表!$C$5:$T$44,$CU38,T$57),"")))))))</f>
        <v/>
      </c>
      <c r="U38" s="68">
        <f>IF(U$59="X","",IF(U$59&lt;&gt;"",U$59,IF(IFERROR(INDEX(醫師週班表!$C$5:$T$44,$CU38,U$57),"")=0,"",IF(MID(IFERROR(INDEX(醫師週班表!$C$5:$T$44,$CU38,U$57),""),2,1)="/",MID(IFERROR(INDEX(醫師週班表!$C$5:$T$44,$CU38,U$57),""),1+U$58*2,1),IF(MID(IFERROR(INDEX(醫師週班表!$C$5:$T$44,$CU38,U$57),""),3,1)="隔",IF(U$58=0,LEFT(IFERROR(INDEX(醫師週班表!$C$5:$T$44,$CU38,U$57),""),1),""),IF(MID(IFERROR(INDEX(醫師週班表!$C$5:$T$44,$CU38,U$57),""),2,1)="(",LEFT(IFERROR(INDEX(醫師週班表!$C$5:$T$44,$CU38,U$57),""),1),IFERROR(INDEX(醫師週班表!$C$5:$T$44,$CU38,U$57),"")))))))</f>
        <v/>
      </c>
      <c r="V38" s="68">
        <f>IF(V$59="X","",IF(V$59&lt;&gt;"",V$59,IF(IFERROR(INDEX(醫師週班表!$C$5:$T$44,$CU38,V$57),"")=0,"",IF(MID(IFERROR(INDEX(醫師週班表!$C$5:$T$44,$CU38,V$57),""),2,1)="/",MID(IFERROR(INDEX(醫師週班表!$C$5:$T$44,$CU38,V$57),""),1+V$58*2,1),IF(MID(IFERROR(INDEX(醫師週班表!$C$5:$T$44,$CU38,V$57),""),3,1)="隔",IF(V$58=0,LEFT(IFERROR(INDEX(醫師週班表!$C$5:$T$44,$CU38,V$57),""),1),""),IF(MID(IFERROR(INDEX(醫師週班表!$C$5:$T$44,$CU38,V$57),""),2,1)="(",LEFT(IFERROR(INDEX(醫師週班表!$C$5:$T$44,$CU38,V$57),""),1),IFERROR(INDEX(醫師週班表!$C$5:$T$44,$CU38,V$57),"")))))))</f>
        <v/>
      </c>
      <c r="W38" s="67">
        <f>IF(W$59="X","",IF(W$59&lt;&gt;"",W$59,IF(IFERROR(INDEX(醫師週班表!$C$5:$T$44,$CU38,W$57),"")=0,"",IF(MID(IFERROR(INDEX(醫師週班表!$C$5:$T$44,$CU38,W$57),""),2,1)="/",MID(IFERROR(INDEX(醫師週班表!$C$5:$T$44,$CU38,W$57),""),1+W$58*2,1),IF(MID(IFERROR(INDEX(醫師週班表!$C$5:$T$44,$CU38,W$57),""),3,1)="隔",IF(W$58=0,LEFT(IFERROR(INDEX(醫師週班表!$C$5:$T$44,$CU38,W$57),""),1),""),IF(MID(IFERROR(INDEX(醫師週班表!$C$5:$T$44,$CU38,W$57),""),2,1)="(",LEFT(IFERROR(INDEX(醫師週班表!$C$5:$T$44,$CU38,W$57),""),1),IFERROR(INDEX(醫師週班表!$C$5:$T$44,$CU38,W$57),"")))))))</f>
        <v/>
      </c>
      <c r="X38" s="68">
        <f>IF(X$59="X","",IF(X$59&lt;&gt;"",X$59,IF(IFERROR(INDEX(醫師週班表!$C$5:$T$44,$CU38,X$57),"")=0,"",IF(MID(IFERROR(INDEX(醫師週班表!$C$5:$T$44,$CU38,X$57),""),2,1)="/",MID(IFERROR(INDEX(醫師週班表!$C$5:$T$44,$CU38,X$57),""),1+X$58*2,1),IF(MID(IFERROR(INDEX(醫師週班表!$C$5:$T$44,$CU38,X$57),""),3,1)="隔",IF(X$58=0,LEFT(IFERROR(INDEX(醫師週班表!$C$5:$T$44,$CU38,X$57),""),1),""),IF(MID(IFERROR(INDEX(醫師週班表!$C$5:$T$44,$CU38,X$57),""),2,1)="(",LEFT(IFERROR(INDEX(醫師週班表!$C$5:$T$44,$CU38,X$57),""),1),IFERROR(INDEX(醫師週班表!$C$5:$T$44,$CU38,X$57),"")))))))</f>
        <v/>
      </c>
      <c r="Y38" s="68">
        <f>IF(Y$59="X","",IF(Y$59&lt;&gt;"",Y$59,IF(IFERROR(INDEX(醫師週班表!$C$5:$T$44,$CU38,Y$57),"")=0,"",IF(MID(IFERROR(INDEX(醫師週班表!$C$5:$T$44,$CU38,Y$57),""),2,1)="/",MID(IFERROR(INDEX(醫師週班表!$C$5:$T$44,$CU38,Y$57),""),1+Y$58*2,1),IF(MID(IFERROR(INDEX(醫師週班表!$C$5:$T$44,$CU38,Y$57),""),3,1)="隔",IF(Y$58=0,LEFT(IFERROR(INDEX(醫師週班表!$C$5:$T$44,$CU38,Y$57),""),1),""),IF(MID(IFERROR(INDEX(醫師週班表!$C$5:$T$44,$CU38,Y$57),""),2,1)="(",LEFT(IFERROR(INDEX(醫師週班表!$C$5:$T$44,$CU38,Y$57),""),1),IFERROR(INDEX(醫師週班表!$C$5:$T$44,$CU38,Y$57),"")))))))</f>
        <v/>
      </c>
      <c r="Z38" s="67">
        <f>IF(Z$59="X","",IF(Z$59&lt;&gt;"",Z$59,IF(IFERROR(INDEX(醫師週班表!$C$5:$T$44,$CU38,Z$57),"")=0,"",IF(MID(IFERROR(INDEX(醫師週班表!$C$5:$T$44,$CU38,Z$57),""),2,1)="/",MID(IFERROR(INDEX(醫師週班表!$C$5:$T$44,$CU38,Z$57),""),1+Z$58*2,1),IF(MID(IFERROR(INDEX(醫師週班表!$C$5:$T$44,$CU38,Z$57),""),3,1)="隔",IF(Z$58=0,LEFT(IFERROR(INDEX(醫師週班表!$C$5:$T$44,$CU38,Z$57),""),1),""),IF(MID(IFERROR(INDEX(醫師週班表!$C$5:$T$44,$CU38,Z$57),""),2,1)="(",LEFT(IFERROR(INDEX(醫師週班表!$C$5:$T$44,$CU38,Z$57),""),1),IFERROR(INDEX(醫師週班表!$C$5:$T$44,$CU38,Z$57),"")))))))</f>
        <v/>
      </c>
      <c r="AA38" s="68">
        <f>IF(AA$59="X","",IF(AA$59&lt;&gt;"",AA$59,IF(IFERROR(INDEX(醫師週班表!$C$5:$T$44,$CU38,AA$57),"")=0,"",IF(MID(IFERROR(INDEX(醫師週班表!$C$5:$T$44,$CU38,AA$57),""),2,1)="/",MID(IFERROR(INDEX(醫師週班表!$C$5:$T$44,$CU38,AA$57),""),1+AA$58*2,1),IF(MID(IFERROR(INDEX(醫師週班表!$C$5:$T$44,$CU38,AA$57),""),3,1)="隔",IF(AA$58=0,LEFT(IFERROR(INDEX(醫師週班表!$C$5:$T$44,$CU38,AA$57),""),1),""),IF(MID(IFERROR(INDEX(醫師週班表!$C$5:$T$44,$CU38,AA$57),""),2,1)="(",LEFT(IFERROR(INDEX(醫師週班表!$C$5:$T$44,$CU38,AA$57),""),1),IFERROR(INDEX(醫師週班表!$C$5:$T$44,$CU38,AA$57),"")))))))</f>
        <v/>
      </c>
      <c r="AB38" s="68">
        <f>IF(AB$59="X","",IF(AB$59&lt;&gt;"",AB$59,IF(IFERROR(INDEX(醫師週班表!$C$5:$T$44,$CU38,AB$57),"")=0,"",IF(MID(IFERROR(INDEX(醫師週班表!$C$5:$T$44,$CU38,AB$57),""),2,1)="/",MID(IFERROR(INDEX(醫師週班表!$C$5:$T$44,$CU38,AB$57),""),1+AB$58*2,1),IF(MID(IFERROR(INDEX(醫師週班表!$C$5:$T$44,$CU38,AB$57),""),3,1)="隔",IF(AB$58=0,LEFT(IFERROR(INDEX(醫師週班表!$C$5:$T$44,$CU38,AB$57),""),1),""),IF(MID(IFERROR(INDEX(醫師週班表!$C$5:$T$44,$CU38,AB$57),""),2,1)="(",LEFT(IFERROR(INDEX(醫師週班表!$C$5:$T$44,$CU38,AB$57),""),1),IFERROR(INDEX(醫師週班表!$C$5:$T$44,$CU38,AB$57),"")))))))</f>
        <v/>
      </c>
      <c r="AC38" s="67">
        <f>IF(AC$59="X","",IF(AC$59&lt;&gt;"",AC$59,IF(IFERROR(INDEX(醫師週班表!$C$5:$T$44,$CU38,AC$57),"")=0,"",IF(MID(IFERROR(INDEX(醫師週班表!$C$5:$T$44,$CU38,AC$57),""),2,1)="/",MID(IFERROR(INDEX(醫師週班表!$C$5:$T$44,$CU38,AC$57),""),1+AC$58*2,1),IF(MID(IFERROR(INDEX(醫師週班表!$C$5:$T$44,$CU38,AC$57),""),3,1)="隔",IF(AC$58=0,LEFT(IFERROR(INDEX(醫師週班表!$C$5:$T$44,$CU38,AC$57),""),1),""),IF(MID(IFERROR(INDEX(醫師週班表!$C$5:$T$44,$CU38,AC$57),""),2,1)="(",LEFT(IFERROR(INDEX(醫師週班表!$C$5:$T$44,$CU38,AC$57),""),1),IFERROR(INDEX(醫師週班表!$C$5:$T$44,$CU38,AC$57),"")))))))</f>
        <v/>
      </c>
      <c r="AD38" s="68">
        <f>IF(AD$59="X","",IF(AD$59&lt;&gt;"",AD$59,IF(IFERROR(INDEX(醫師週班表!$C$5:$T$44,$CU38,AD$57),"")=0,"",IF(MID(IFERROR(INDEX(醫師週班表!$C$5:$T$44,$CU38,AD$57),""),2,1)="/",MID(IFERROR(INDEX(醫師週班表!$C$5:$T$44,$CU38,AD$57),""),1+AD$58*2,1),IF(MID(IFERROR(INDEX(醫師週班表!$C$5:$T$44,$CU38,AD$57),""),3,1)="隔",IF(AD$58=0,LEFT(IFERROR(INDEX(醫師週班表!$C$5:$T$44,$CU38,AD$57),""),1),""),IF(MID(IFERROR(INDEX(醫師週班表!$C$5:$T$44,$CU38,AD$57),""),2,1)="(",LEFT(IFERROR(INDEX(醫師週班表!$C$5:$T$44,$CU38,AD$57),""),1),IFERROR(INDEX(醫師週班表!$C$5:$T$44,$CU38,AD$57),"")))))))</f>
        <v/>
      </c>
      <c r="AE38" s="68">
        <f>IF(AE$59="X","",IF(AE$59&lt;&gt;"",AE$59,IF(IFERROR(INDEX(醫師週班表!$C$5:$T$44,$CU38,AE$57),"")=0,"",IF(MID(IFERROR(INDEX(醫師週班表!$C$5:$T$44,$CU38,AE$57),""),2,1)="/",MID(IFERROR(INDEX(醫師週班表!$C$5:$T$44,$CU38,AE$57),""),1+AE$58*2,1),IF(MID(IFERROR(INDEX(醫師週班表!$C$5:$T$44,$CU38,AE$57),""),3,1)="隔",IF(AE$58=0,LEFT(IFERROR(INDEX(醫師週班表!$C$5:$T$44,$CU38,AE$57),""),1),""),IF(MID(IFERROR(INDEX(醫師週班表!$C$5:$T$44,$CU38,AE$57),""),2,1)="(",LEFT(IFERROR(INDEX(醫師週班表!$C$5:$T$44,$CU38,AE$57),""),1),IFERROR(INDEX(醫師週班表!$C$5:$T$44,$CU38,AE$57),"")))))))</f>
        <v/>
      </c>
      <c r="AF38" s="67">
        <f>IF(AF$59="X","",IF(AF$59&lt;&gt;"",AF$59,IF(IFERROR(INDEX(醫師週班表!$C$5:$T$44,$CU38,AF$57),"")=0,"",IF(MID(IFERROR(INDEX(醫師週班表!$C$5:$T$44,$CU38,AF$57),""),2,1)="/",MID(IFERROR(INDEX(醫師週班表!$C$5:$T$44,$CU38,AF$57),""),1+AF$58*2,1),IF(MID(IFERROR(INDEX(醫師週班表!$C$5:$T$44,$CU38,AF$57),""),3,1)="隔",IF(AF$58=0,LEFT(IFERROR(INDEX(醫師週班表!$C$5:$T$44,$CU38,AF$57),""),1),""),IF(MID(IFERROR(INDEX(醫師週班表!$C$5:$T$44,$CU38,AF$57),""),2,1)="(",LEFT(IFERROR(INDEX(醫師週班表!$C$5:$T$44,$CU38,AF$57),""),1),IFERROR(INDEX(醫師週班表!$C$5:$T$44,$CU38,AF$57),"")))))))</f>
        <v/>
      </c>
      <c r="AG38" s="68">
        <f>IF(AG$59="X","",IF(AG$59&lt;&gt;"",AG$59,IF(IFERROR(INDEX(醫師週班表!$C$5:$T$44,$CU38,AG$57),"")=0,"",IF(MID(IFERROR(INDEX(醫師週班表!$C$5:$T$44,$CU38,AG$57),""),2,1)="/",MID(IFERROR(INDEX(醫師週班表!$C$5:$T$44,$CU38,AG$57),""),1+AG$58*2,1),IF(MID(IFERROR(INDEX(醫師週班表!$C$5:$T$44,$CU38,AG$57),""),3,1)="隔",IF(AG$58=0,LEFT(IFERROR(INDEX(醫師週班表!$C$5:$T$44,$CU38,AG$57),""),1),""),IF(MID(IFERROR(INDEX(醫師週班表!$C$5:$T$44,$CU38,AG$57),""),2,1)="(",LEFT(IFERROR(INDEX(醫師週班表!$C$5:$T$44,$CU38,AG$57),""),1),IFERROR(INDEX(醫師週班表!$C$5:$T$44,$CU38,AG$57),"")))))))</f>
        <v/>
      </c>
      <c r="AH38" s="68">
        <f>IF(AH$59="X","",IF(AH$59&lt;&gt;"",AH$59,IF(IFERROR(INDEX(醫師週班表!$C$5:$T$44,$CU38,AH$57),"")=0,"",IF(MID(IFERROR(INDEX(醫師週班表!$C$5:$T$44,$CU38,AH$57),""),2,1)="/",MID(IFERROR(INDEX(醫師週班表!$C$5:$T$44,$CU38,AH$57),""),1+AH$58*2,1),IF(MID(IFERROR(INDEX(醫師週班表!$C$5:$T$44,$CU38,AH$57),""),3,1)="隔",IF(AH$58=0,LEFT(IFERROR(INDEX(醫師週班表!$C$5:$T$44,$CU38,AH$57),""),1),""),IF(MID(IFERROR(INDEX(醫師週班表!$C$5:$T$44,$CU38,AH$57),""),2,1)="(",LEFT(IFERROR(INDEX(醫師週班表!$C$5:$T$44,$CU38,AH$57),""),1),IFERROR(INDEX(醫師週班表!$C$5:$T$44,$CU38,AH$57),"")))))))</f>
        <v/>
      </c>
      <c r="AI38" s="67">
        <f>IF(AI$59="X","",IF(AI$59&lt;&gt;"",AI$59,IF(IFERROR(INDEX(醫師週班表!$C$5:$T$44,$CU38,AI$57),"")=0,"",IF(MID(IFERROR(INDEX(醫師週班表!$C$5:$T$44,$CU38,AI$57),""),2,1)="/",MID(IFERROR(INDEX(醫師週班表!$C$5:$T$44,$CU38,AI$57),""),1+AI$58*2,1),IF(MID(IFERROR(INDEX(醫師週班表!$C$5:$T$44,$CU38,AI$57),""),3,1)="隔",IF(AI$58=0,LEFT(IFERROR(INDEX(醫師週班表!$C$5:$T$44,$CU38,AI$57),""),1),""),IF(MID(IFERROR(INDEX(醫師週班表!$C$5:$T$44,$CU38,AI$57),""),2,1)="(",LEFT(IFERROR(INDEX(醫師週班表!$C$5:$T$44,$CU38,AI$57),""),1),IFERROR(INDEX(醫師週班表!$C$5:$T$44,$CU38,AI$57),"")))))))</f>
        <v/>
      </c>
      <c r="AJ38" s="68">
        <f>IF(AJ$59="X","",IF(AJ$59&lt;&gt;"",AJ$59,IF(IFERROR(INDEX(醫師週班表!$C$5:$T$44,$CU38,AJ$57),"")=0,"",IF(MID(IFERROR(INDEX(醫師週班表!$C$5:$T$44,$CU38,AJ$57),""),2,1)="/",MID(IFERROR(INDEX(醫師週班表!$C$5:$T$44,$CU38,AJ$57),""),1+AJ$58*2,1),IF(MID(IFERROR(INDEX(醫師週班表!$C$5:$T$44,$CU38,AJ$57),""),3,1)="隔",IF(AJ$58=0,LEFT(IFERROR(INDEX(醫師週班表!$C$5:$T$44,$CU38,AJ$57),""),1),""),IF(MID(IFERROR(INDEX(醫師週班表!$C$5:$T$44,$CU38,AJ$57),""),2,1)="(",LEFT(IFERROR(INDEX(醫師週班表!$C$5:$T$44,$CU38,AJ$57),""),1),IFERROR(INDEX(醫師週班表!$C$5:$T$44,$CU38,AJ$57),"")))))))</f>
        <v/>
      </c>
      <c r="AK38" s="68">
        <f>IF(AK$59="X","",IF(AK$59&lt;&gt;"",AK$59,IF(IFERROR(INDEX(醫師週班表!$C$5:$T$44,$CU38,AK$57),"")=0,"",IF(MID(IFERROR(INDEX(醫師週班表!$C$5:$T$44,$CU38,AK$57),""),2,1)="/",MID(IFERROR(INDEX(醫師週班表!$C$5:$T$44,$CU38,AK$57),""),1+AK$58*2,1),IF(MID(IFERROR(INDEX(醫師週班表!$C$5:$T$44,$CU38,AK$57),""),3,1)="隔",IF(AK$58=0,LEFT(IFERROR(INDEX(醫師週班表!$C$5:$T$44,$CU38,AK$57),""),1),""),IF(MID(IFERROR(INDEX(醫師週班表!$C$5:$T$44,$CU38,AK$57),""),2,1)="(",LEFT(IFERROR(INDEX(醫師週班表!$C$5:$T$44,$CU38,AK$57),""),1),IFERROR(INDEX(醫師週班表!$C$5:$T$44,$CU38,AK$57),"")))))))</f>
        <v/>
      </c>
      <c r="AL38" s="67">
        <f>IF(AL$59="X","",IF(AL$59&lt;&gt;"",AL$59,IF(IFERROR(INDEX(醫師週班表!$C$5:$T$44,$CU38,AL$57),"")=0,"",IF(MID(IFERROR(INDEX(醫師週班表!$C$5:$T$44,$CU38,AL$57),""),2,1)="/",MID(IFERROR(INDEX(醫師週班表!$C$5:$T$44,$CU38,AL$57),""),1+AL$58*2,1),IF(MID(IFERROR(INDEX(醫師週班表!$C$5:$T$44,$CU38,AL$57),""),3,1)="隔",IF(AL$58=0,LEFT(IFERROR(INDEX(醫師週班表!$C$5:$T$44,$CU38,AL$57),""),1),""),IF(MID(IFERROR(INDEX(醫師週班表!$C$5:$T$44,$CU38,AL$57),""),2,1)="(",LEFT(IFERROR(INDEX(醫師週班表!$C$5:$T$44,$CU38,AL$57),""),1),IFERROR(INDEX(醫師週班表!$C$5:$T$44,$CU38,AL$57),"")))))))</f>
        <v/>
      </c>
      <c r="AM38" s="68">
        <f>IF(AM$59="X","",IF(AM$59&lt;&gt;"",AM$59,IF(IFERROR(INDEX(醫師週班表!$C$5:$T$44,$CU38,AM$57),"")=0,"",IF(MID(IFERROR(INDEX(醫師週班表!$C$5:$T$44,$CU38,AM$57),""),2,1)="/",MID(IFERROR(INDEX(醫師週班表!$C$5:$T$44,$CU38,AM$57),""),1+AM$58*2,1),IF(MID(IFERROR(INDEX(醫師週班表!$C$5:$T$44,$CU38,AM$57),""),3,1)="隔",IF(AM$58=0,LEFT(IFERROR(INDEX(醫師週班表!$C$5:$T$44,$CU38,AM$57),""),1),""),IF(MID(IFERROR(INDEX(醫師週班表!$C$5:$T$44,$CU38,AM$57),""),2,1)="(",LEFT(IFERROR(INDEX(醫師週班表!$C$5:$T$44,$CU38,AM$57),""),1),IFERROR(INDEX(醫師週班表!$C$5:$T$44,$CU38,AM$57),"")))))))</f>
        <v/>
      </c>
      <c r="AN38" s="68">
        <f>IF(AN$59="X","",IF(AN$59&lt;&gt;"",AN$59,IF(IFERROR(INDEX(醫師週班表!$C$5:$T$44,$CU38,AN$57),"")=0,"",IF(MID(IFERROR(INDEX(醫師週班表!$C$5:$T$44,$CU38,AN$57),""),2,1)="/",MID(IFERROR(INDEX(醫師週班表!$C$5:$T$44,$CU38,AN$57),""),1+AN$58*2,1),IF(MID(IFERROR(INDEX(醫師週班表!$C$5:$T$44,$CU38,AN$57),""),3,1)="隔",IF(AN$58=0,LEFT(IFERROR(INDEX(醫師週班表!$C$5:$T$44,$CU38,AN$57),""),1),""),IF(MID(IFERROR(INDEX(醫師週班表!$C$5:$T$44,$CU38,AN$57),""),2,1)="(",LEFT(IFERROR(INDEX(醫師週班表!$C$5:$T$44,$CU38,AN$57),""),1),IFERROR(INDEX(醫師週班表!$C$5:$T$44,$CU38,AN$57),"")))))))</f>
        <v/>
      </c>
      <c r="AO38" s="67">
        <f>IF(AO$59="X","",IF(AO$59&lt;&gt;"",AO$59,IF(IFERROR(INDEX(醫師週班表!$C$5:$T$44,$CU38,AO$57),"")=0,"",IF(MID(IFERROR(INDEX(醫師週班表!$C$5:$T$44,$CU38,AO$57),""),2,1)="/",MID(IFERROR(INDEX(醫師週班表!$C$5:$T$44,$CU38,AO$57),""),1+AO$58*2,1),IF(MID(IFERROR(INDEX(醫師週班表!$C$5:$T$44,$CU38,AO$57),""),3,1)="隔",IF(AO$58=0,LEFT(IFERROR(INDEX(醫師週班表!$C$5:$T$44,$CU38,AO$57),""),1),""),IF(MID(IFERROR(INDEX(醫師週班表!$C$5:$T$44,$CU38,AO$57),""),2,1)="(",LEFT(IFERROR(INDEX(醫師週班表!$C$5:$T$44,$CU38,AO$57),""),1),IFERROR(INDEX(醫師週班表!$C$5:$T$44,$CU38,AO$57),"")))))))</f>
        <v/>
      </c>
      <c r="AP38" s="68">
        <f>IF(AP$59="X","",IF(AP$59&lt;&gt;"",AP$59,IF(IFERROR(INDEX(醫師週班表!$C$5:$T$44,$CU38,AP$57),"")=0,"",IF(MID(IFERROR(INDEX(醫師週班表!$C$5:$T$44,$CU38,AP$57),""),2,1)="/",MID(IFERROR(INDEX(醫師週班表!$C$5:$T$44,$CU38,AP$57),""),1+AP$58*2,1),IF(MID(IFERROR(INDEX(醫師週班表!$C$5:$T$44,$CU38,AP$57),""),3,1)="隔",IF(AP$58=0,LEFT(IFERROR(INDEX(醫師週班表!$C$5:$T$44,$CU38,AP$57),""),1),""),IF(MID(IFERROR(INDEX(醫師週班表!$C$5:$T$44,$CU38,AP$57),""),2,1)="(",LEFT(IFERROR(INDEX(醫師週班表!$C$5:$T$44,$CU38,AP$57),""),1),IFERROR(INDEX(醫師週班表!$C$5:$T$44,$CU38,AP$57),"")))))))</f>
        <v/>
      </c>
      <c r="AQ38" s="68">
        <f>IF(AQ$59="X","",IF(AQ$59&lt;&gt;"",AQ$59,IF(IFERROR(INDEX(醫師週班表!$C$5:$T$44,$CU38,AQ$57),"")=0,"",IF(MID(IFERROR(INDEX(醫師週班表!$C$5:$T$44,$CU38,AQ$57),""),2,1)="/",MID(IFERROR(INDEX(醫師週班表!$C$5:$T$44,$CU38,AQ$57),""),1+AQ$58*2,1),IF(MID(IFERROR(INDEX(醫師週班表!$C$5:$T$44,$CU38,AQ$57),""),3,1)="隔",IF(AQ$58=0,LEFT(IFERROR(INDEX(醫師週班表!$C$5:$T$44,$CU38,AQ$57),""),1),""),IF(MID(IFERROR(INDEX(醫師週班表!$C$5:$T$44,$CU38,AQ$57),""),2,1)="(",LEFT(IFERROR(INDEX(醫師週班表!$C$5:$T$44,$CU38,AQ$57),""),1),IFERROR(INDEX(醫師週班表!$C$5:$T$44,$CU38,AQ$57),"")))))))</f>
        <v/>
      </c>
      <c r="AR38" s="67">
        <f>IF(AR$59="X","",IF(AR$59&lt;&gt;"",AR$59,IF(IFERROR(INDEX(醫師週班表!$C$5:$T$44,$CU38,AR$57),"")=0,"",IF(MID(IFERROR(INDEX(醫師週班表!$C$5:$T$44,$CU38,AR$57),""),2,1)="/",MID(IFERROR(INDEX(醫師週班表!$C$5:$T$44,$CU38,AR$57),""),1+AR$58*2,1),IF(MID(IFERROR(INDEX(醫師週班表!$C$5:$T$44,$CU38,AR$57),""),3,1)="隔",IF(AR$58=0,LEFT(IFERROR(INDEX(醫師週班表!$C$5:$T$44,$CU38,AR$57),""),1),""),IF(MID(IFERROR(INDEX(醫師週班表!$C$5:$T$44,$CU38,AR$57),""),2,1)="(",LEFT(IFERROR(INDEX(醫師週班表!$C$5:$T$44,$CU38,AR$57),""),1),IFERROR(INDEX(醫師週班表!$C$5:$T$44,$CU38,AR$57),"")))))))</f>
        <v/>
      </c>
      <c r="AS38" s="68">
        <f>IF(AS$59="X","",IF(AS$59&lt;&gt;"",AS$59,IF(IFERROR(INDEX(醫師週班表!$C$5:$T$44,$CU38,AS$57),"")=0,"",IF(MID(IFERROR(INDEX(醫師週班表!$C$5:$T$44,$CU38,AS$57),""),2,1)="/",MID(IFERROR(INDEX(醫師週班表!$C$5:$T$44,$CU38,AS$57),""),1+AS$58*2,1),IF(MID(IFERROR(INDEX(醫師週班表!$C$5:$T$44,$CU38,AS$57),""),3,1)="隔",IF(AS$58=0,LEFT(IFERROR(INDEX(醫師週班表!$C$5:$T$44,$CU38,AS$57),""),1),""),IF(MID(IFERROR(INDEX(醫師週班表!$C$5:$T$44,$CU38,AS$57),""),2,1)="(",LEFT(IFERROR(INDEX(醫師週班表!$C$5:$T$44,$CU38,AS$57),""),1),IFERROR(INDEX(醫師週班表!$C$5:$T$44,$CU38,AS$57),"")))))))</f>
        <v/>
      </c>
      <c r="AT38" s="68">
        <f>IF(AT$59="X","",IF(AT$59&lt;&gt;"",AT$59,IF(IFERROR(INDEX(醫師週班表!$C$5:$T$44,$CU38,AT$57),"")=0,"",IF(MID(IFERROR(INDEX(醫師週班表!$C$5:$T$44,$CU38,AT$57),""),2,1)="/",MID(IFERROR(INDEX(醫師週班表!$C$5:$T$44,$CU38,AT$57),""),1+AT$58*2,1),IF(MID(IFERROR(INDEX(醫師週班表!$C$5:$T$44,$CU38,AT$57),""),3,1)="隔",IF(AT$58=0,LEFT(IFERROR(INDEX(醫師週班表!$C$5:$T$44,$CU38,AT$57),""),1),""),IF(MID(IFERROR(INDEX(醫師週班表!$C$5:$T$44,$CU38,AT$57),""),2,1)="(",LEFT(IFERROR(INDEX(醫師週班表!$C$5:$T$44,$CU38,AT$57),""),1),IFERROR(INDEX(醫師週班表!$C$5:$T$44,$CU38,AT$57),"")))))))</f>
        <v/>
      </c>
      <c r="AU38" s="67">
        <f>IF(AU$59="X","",IF(AU$59&lt;&gt;"",AU$59,IF(IFERROR(INDEX(醫師週班表!$C$5:$T$44,$CU38,AU$57),"")=0,"",IF(MID(IFERROR(INDEX(醫師週班表!$C$5:$T$44,$CU38,AU$57),""),2,1)="/",MID(IFERROR(INDEX(醫師週班表!$C$5:$T$44,$CU38,AU$57),""),1+AU$58*2,1),IF(MID(IFERROR(INDEX(醫師週班表!$C$5:$T$44,$CU38,AU$57),""),3,1)="隔",IF(AU$58=0,LEFT(IFERROR(INDEX(醫師週班表!$C$5:$T$44,$CU38,AU$57),""),1),""),IF(MID(IFERROR(INDEX(醫師週班表!$C$5:$T$44,$CU38,AU$57),""),2,1)="(",LEFT(IFERROR(INDEX(醫師週班表!$C$5:$T$44,$CU38,AU$57),""),1),IFERROR(INDEX(醫師週班表!$C$5:$T$44,$CU38,AU$57),"")))))))</f>
        <v/>
      </c>
      <c r="AV38" s="68">
        <f>IF(AV$59="X","",IF(AV$59&lt;&gt;"",AV$59,IF(IFERROR(INDEX(醫師週班表!$C$5:$T$44,$CU38,AV$57),"")=0,"",IF(MID(IFERROR(INDEX(醫師週班表!$C$5:$T$44,$CU38,AV$57),""),2,1)="/",MID(IFERROR(INDEX(醫師週班表!$C$5:$T$44,$CU38,AV$57),""),1+AV$58*2,1),IF(MID(IFERROR(INDEX(醫師週班表!$C$5:$T$44,$CU38,AV$57),""),3,1)="隔",IF(AV$58=0,LEFT(IFERROR(INDEX(醫師週班表!$C$5:$T$44,$CU38,AV$57),""),1),""),IF(MID(IFERROR(INDEX(醫師週班表!$C$5:$T$44,$CU38,AV$57),""),2,1)="(",LEFT(IFERROR(INDEX(醫師週班表!$C$5:$T$44,$CU38,AV$57),""),1),IFERROR(INDEX(醫師週班表!$C$5:$T$44,$CU38,AV$57),"")))))))</f>
        <v/>
      </c>
      <c r="AW38" s="68">
        <f>IF(AW$59="X","",IF(AW$59&lt;&gt;"",AW$59,IF(IFERROR(INDEX(醫師週班表!$C$5:$T$44,$CU38,AW$57),"")=0,"",IF(MID(IFERROR(INDEX(醫師週班表!$C$5:$T$44,$CU38,AW$57),""),2,1)="/",MID(IFERROR(INDEX(醫師週班表!$C$5:$T$44,$CU38,AW$57),""),1+AW$58*2,1),IF(MID(IFERROR(INDEX(醫師週班表!$C$5:$T$44,$CU38,AW$57),""),3,1)="隔",IF(AW$58=0,LEFT(IFERROR(INDEX(醫師週班表!$C$5:$T$44,$CU38,AW$57),""),1),""),IF(MID(IFERROR(INDEX(醫師週班表!$C$5:$T$44,$CU38,AW$57),""),2,1)="(",LEFT(IFERROR(INDEX(醫師週班表!$C$5:$T$44,$CU38,AW$57),""),1),IFERROR(INDEX(醫師週班表!$C$5:$T$44,$CU38,AW$57),"")))))))</f>
        <v/>
      </c>
      <c r="AX38" s="67">
        <f>IF(AX$59="X","",IF(AX$59&lt;&gt;"",AX$59,IF(IFERROR(INDEX(醫師週班表!$C$5:$T$44,$CU38,AX$57),"")=0,"",IF(MID(IFERROR(INDEX(醫師週班表!$C$5:$T$44,$CU38,AX$57),""),2,1)="/",MID(IFERROR(INDEX(醫師週班表!$C$5:$T$44,$CU38,AX$57),""),1+AX$58*2,1),IF(MID(IFERROR(INDEX(醫師週班表!$C$5:$T$44,$CU38,AX$57),""),3,1)="隔",IF(AX$58=0,LEFT(IFERROR(INDEX(醫師週班表!$C$5:$T$44,$CU38,AX$57),""),1),""),IF(MID(IFERROR(INDEX(醫師週班表!$C$5:$T$44,$CU38,AX$57),""),2,1)="(",LEFT(IFERROR(INDEX(醫師週班表!$C$5:$T$44,$CU38,AX$57),""),1),IFERROR(INDEX(醫師週班表!$C$5:$T$44,$CU38,AX$57),"")))))))</f>
        <v/>
      </c>
      <c r="AY38" s="68">
        <f>IF(AY$59="X","",IF(AY$59&lt;&gt;"",AY$59,IF(IFERROR(INDEX(醫師週班表!$C$5:$T$44,$CU38,AY$57),"")=0,"",IF(MID(IFERROR(INDEX(醫師週班表!$C$5:$T$44,$CU38,AY$57),""),2,1)="/",MID(IFERROR(INDEX(醫師週班表!$C$5:$T$44,$CU38,AY$57),""),1+AY$58*2,1),IF(MID(IFERROR(INDEX(醫師週班表!$C$5:$T$44,$CU38,AY$57),""),3,1)="隔",IF(AY$58=0,LEFT(IFERROR(INDEX(醫師週班表!$C$5:$T$44,$CU38,AY$57),""),1),""),IF(MID(IFERROR(INDEX(醫師週班表!$C$5:$T$44,$CU38,AY$57),""),2,1)="(",LEFT(IFERROR(INDEX(醫師週班表!$C$5:$T$44,$CU38,AY$57),""),1),IFERROR(INDEX(醫師週班表!$C$5:$T$44,$CU38,AY$57),"")))))))</f>
        <v/>
      </c>
      <c r="AZ38" s="68">
        <f>IF(AZ$59="X","",IF(AZ$59&lt;&gt;"",AZ$59,IF(IFERROR(INDEX(醫師週班表!$C$5:$T$44,$CU38,AZ$57),"")=0,"",IF(MID(IFERROR(INDEX(醫師週班表!$C$5:$T$44,$CU38,AZ$57),""),2,1)="/",MID(IFERROR(INDEX(醫師週班表!$C$5:$T$44,$CU38,AZ$57),""),1+AZ$58*2,1),IF(MID(IFERROR(INDEX(醫師週班表!$C$5:$T$44,$CU38,AZ$57),""),3,1)="隔",IF(AZ$58=0,LEFT(IFERROR(INDEX(醫師週班表!$C$5:$T$44,$CU38,AZ$57),""),1),""),IF(MID(IFERROR(INDEX(醫師週班表!$C$5:$T$44,$CU38,AZ$57),""),2,1)="(",LEFT(IFERROR(INDEX(醫師週班表!$C$5:$T$44,$CU38,AZ$57),""),1),IFERROR(INDEX(醫師週班表!$C$5:$T$44,$CU38,AZ$57),"")))))))</f>
        <v/>
      </c>
      <c r="BA38" s="67">
        <f>IF(BA$59="X","",IF(BA$59&lt;&gt;"",BA$59,IF(IFERROR(INDEX(醫師週班表!$C$5:$T$44,$CU38,BA$57),"")=0,"",IF(MID(IFERROR(INDEX(醫師週班表!$C$5:$T$44,$CU38,BA$57),""),2,1)="/",MID(IFERROR(INDEX(醫師週班表!$C$5:$T$44,$CU38,BA$57),""),1+BA$58*2,1),IF(MID(IFERROR(INDEX(醫師週班表!$C$5:$T$44,$CU38,BA$57),""),3,1)="隔",IF(BA$58=0,LEFT(IFERROR(INDEX(醫師週班表!$C$5:$T$44,$CU38,BA$57),""),1),""),IF(MID(IFERROR(INDEX(醫師週班表!$C$5:$T$44,$CU38,BA$57),""),2,1)="(",LEFT(IFERROR(INDEX(醫師週班表!$C$5:$T$44,$CU38,BA$57),""),1),IFERROR(INDEX(醫師週班表!$C$5:$T$44,$CU38,BA$57),"")))))))</f>
        <v/>
      </c>
      <c r="BB38" s="68">
        <f>IF(BB$59="X","",IF(BB$59&lt;&gt;"",BB$59,IF(IFERROR(INDEX(醫師週班表!$C$5:$T$44,$CU38,BB$57),"")=0,"",IF(MID(IFERROR(INDEX(醫師週班表!$C$5:$T$44,$CU38,BB$57),""),2,1)="/",MID(IFERROR(INDEX(醫師週班表!$C$5:$T$44,$CU38,BB$57),""),1+BB$58*2,1),IF(MID(IFERROR(INDEX(醫師週班表!$C$5:$T$44,$CU38,BB$57),""),3,1)="隔",IF(BB$58=0,LEFT(IFERROR(INDEX(醫師週班表!$C$5:$T$44,$CU38,BB$57),""),1),""),IF(MID(IFERROR(INDEX(醫師週班表!$C$5:$T$44,$CU38,BB$57),""),2,1)="(",LEFT(IFERROR(INDEX(醫師週班表!$C$5:$T$44,$CU38,BB$57),""),1),IFERROR(INDEX(醫師週班表!$C$5:$T$44,$CU38,BB$57),"")))))))</f>
        <v/>
      </c>
      <c r="BC38" s="68">
        <f>IF(BC$59="X","",IF(BC$59&lt;&gt;"",BC$59,IF(IFERROR(INDEX(醫師週班表!$C$5:$T$44,$CU38,BC$57),"")=0,"",IF(MID(IFERROR(INDEX(醫師週班表!$C$5:$T$44,$CU38,BC$57),""),2,1)="/",MID(IFERROR(INDEX(醫師週班表!$C$5:$T$44,$CU38,BC$57),""),1+BC$58*2,1),IF(MID(IFERROR(INDEX(醫師週班表!$C$5:$T$44,$CU38,BC$57),""),3,1)="隔",IF(BC$58=0,LEFT(IFERROR(INDEX(醫師週班表!$C$5:$T$44,$CU38,BC$57),""),1),""),IF(MID(IFERROR(INDEX(醫師週班表!$C$5:$T$44,$CU38,BC$57),""),2,1)="(",LEFT(IFERROR(INDEX(醫師週班表!$C$5:$T$44,$CU38,BC$57),""),1),IFERROR(INDEX(醫師週班表!$C$5:$T$44,$CU38,BC$57),"")))))))</f>
        <v/>
      </c>
      <c r="BD38" s="67">
        <f>IF(BD$59="X","",IF(BD$59&lt;&gt;"",BD$59,IF(IFERROR(INDEX(醫師週班表!$C$5:$T$44,$CU38,BD$57),"")=0,"",IF(MID(IFERROR(INDEX(醫師週班表!$C$5:$T$44,$CU38,BD$57),""),2,1)="/",MID(IFERROR(INDEX(醫師週班表!$C$5:$T$44,$CU38,BD$57),""),1+BD$58*2,1),IF(MID(IFERROR(INDEX(醫師週班表!$C$5:$T$44,$CU38,BD$57),""),3,1)="隔",IF(BD$58=0,LEFT(IFERROR(INDEX(醫師週班表!$C$5:$T$44,$CU38,BD$57),""),1),""),IF(MID(IFERROR(INDEX(醫師週班表!$C$5:$T$44,$CU38,BD$57),""),2,1)="(",LEFT(IFERROR(INDEX(醫師週班表!$C$5:$T$44,$CU38,BD$57),""),1),IFERROR(INDEX(醫師週班表!$C$5:$T$44,$CU38,BD$57),"")))))))</f>
        <v/>
      </c>
      <c r="BE38" s="68">
        <f>IF(BE$59="X","",IF(BE$59&lt;&gt;"",BE$59,IF(IFERROR(INDEX(醫師週班表!$C$5:$T$44,$CU38,BE$57),"")=0,"",IF(MID(IFERROR(INDEX(醫師週班表!$C$5:$T$44,$CU38,BE$57),""),2,1)="/",MID(IFERROR(INDEX(醫師週班表!$C$5:$T$44,$CU38,BE$57),""),1+BE$58*2,1),IF(MID(IFERROR(INDEX(醫師週班表!$C$5:$T$44,$CU38,BE$57),""),3,1)="隔",IF(BE$58=0,LEFT(IFERROR(INDEX(醫師週班表!$C$5:$T$44,$CU38,BE$57),""),1),""),IF(MID(IFERROR(INDEX(醫師週班表!$C$5:$T$44,$CU38,BE$57),""),2,1)="(",LEFT(IFERROR(INDEX(醫師週班表!$C$5:$T$44,$CU38,BE$57),""),1),IFERROR(INDEX(醫師週班表!$C$5:$T$44,$CU38,BE$57),"")))))))</f>
        <v/>
      </c>
      <c r="BF38" s="68">
        <f>IF(BF$59="X","",IF(BF$59&lt;&gt;"",BF$59,IF(IFERROR(INDEX(醫師週班表!$C$5:$T$44,$CU38,BF$57),"")=0,"",IF(MID(IFERROR(INDEX(醫師週班表!$C$5:$T$44,$CU38,BF$57),""),2,1)="/",MID(IFERROR(INDEX(醫師週班表!$C$5:$T$44,$CU38,BF$57),""),1+BF$58*2,1),IF(MID(IFERROR(INDEX(醫師週班表!$C$5:$T$44,$CU38,BF$57),""),3,1)="隔",IF(BF$58=0,LEFT(IFERROR(INDEX(醫師週班表!$C$5:$T$44,$CU38,BF$57),""),1),""),IF(MID(IFERROR(INDEX(醫師週班表!$C$5:$T$44,$CU38,BF$57),""),2,1)="(",LEFT(IFERROR(INDEX(醫師週班表!$C$5:$T$44,$CU38,BF$57),""),1),IFERROR(INDEX(醫師週班表!$C$5:$T$44,$CU38,BF$57),"")))))))</f>
        <v/>
      </c>
      <c r="BG38" s="67">
        <f>IF(BG$59="X","",IF(BG$59&lt;&gt;"",BG$59,IF(IFERROR(INDEX(醫師週班表!$C$5:$T$44,$CU38,BG$57),"")=0,"",IF(MID(IFERROR(INDEX(醫師週班表!$C$5:$T$44,$CU38,BG$57),""),2,1)="/",MID(IFERROR(INDEX(醫師週班表!$C$5:$T$44,$CU38,BG$57),""),1+BG$58*2,1),IF(MID(IFERROR(INDEX(醫師週班表!$C$5:$T$44,$CU38,BG$57),""),3,1)="隔",IF(BG$58=0,LEFT(IFERROR(INDEX(醫師週班表!$C$5:$T$44,$CU38,BG$57),""),1),""),IF(MID(IFERROR(INDEX(醫師週班表!$C$5:$T$44,$CU38,BG$57),""),2,1)="(",LEFT(IFERROR(INDEX(醫師週班表!$C$5:$T$44,$CU38,BG$57),""),1),IFERROR(INDEX(醫師週班表!$C$5:$T$44,$CU38,BG$57),"")))))))</f>
        <v/>
      </c>
      <c r="BH38" s="68">
        <f>IF(BH$59="X","",IF(BH$59&lt;&gt;"",BH$59,IF(IFERROR(INDEX(醫師週班表!$C$5:$T$44,$CU38,BH$57),"")=0,"",IF(MID(IFERROR(INDEX(醫師週班表!$C$5:$T$44,$CU38,BH$57),""),2,1)="/",MID(IFERROR(INDEX(醫師週班表!$C$5:$T$44,$CU38,BH$57),""),1+BH$58*2,1),IF(MID(IFERROR(INDEX(醫師週班表!$C$5:$T$44,$CU38,BH$57),""),3,1)="隔",IF(BH$58=0,LEFT(IFERROR(INDEX(醫師週班表!$C$5:$T$44,$CU38,BH$57),""),1),""),IF(MID(IFERROR(INDEX(醫師週班表!$C$5:$T$44,$CU38,BH$57),""),2,1)="(",LEFT(IFERROR(INDEX(醫師週班表!$C$5:$T$44,$CU38,BH$57),""),1),IFERROR(INDEX(醫師週班表!$C$5:$T$44,$CU38,BH$57),"")))))))</f>
        <v/>
      </c>
      <c r="BI38" s="68">
        <f>IF(BI$59="X","",IF(BI$59&lt;&gt;"",BI$59,IF(IFERROR(INDEX(醫師週班表!$C$5:$T$44,$CU38,BI$57),"")=0,"",IF(MID(IFERROR(INDEX(醫師週班表!$C$5:$T$44,$CU38,BI$57),""),2,1)="/",MID(IFERROR(INDEX(醫師週班表!$C$5:$T$44,$CU38,BI$57),""),1+BI$58*2,1),IF(MID(IFERROR(INDEX(醫師週班表!$C$5:$T$44,$CU38,BI$57),""),3,1)="隔",IF(BI$58=0,LEFT(IFERROR(INDEX(醫師週班表!$C$5:$T$44,$CU38,BI$57),""),1),""),IF(MID(IFERROR(INDEX(醫師週班表!$C$5:$T$44,$CU38,BI$57),""),2,1)="(",LEFT(IFERROR(INDEX(醫師週班表!$C$5:$T$44,$CU38,BI$57),""),1),IFERROR(INDEX(醫師週班表!$C$5:$T$44,$CU38,BI$57),"")))))))</f>
        <v/>
      </c>
      <c r="BJ38" s="67">
        <f>IF(BJ$59="X","",IF(BJ$59&lt;&gt;"",BJ$59,IF(IFERROR(INDEX(醫師週班表!$C$5:$T$44,$CU38,BJ$57),"")=0,"",IF(MID(IFERROR(INDEX(醫師週班表!$C$5:$T$44,$CU38,BJ$57),""),2,1)="/",MID(IFERROR(INDEX(醫師週班表!$C$5:$T$44,$CU38,BJ$57),""),1+BJ$58*2,1),IF(MID(IFERROR(INDEX(醫師週班表!$C$5:$T$44,$CU38,BJ$57),""),3,1)="隔",IF(BJ$58=0,LEFT(IFERROR(INDEX(醫師週班表!$C$5:$T$44,$CU38,BJ$57),""),1),""),IF(MID(IFERROR(INDEX(醫師週班表!$C$5:$T$44,$CU38,BJ$57),""),2,1)="(",LEFT(IFERROR(INDEX(醫師週班表!$C$5:$T$44,$CU38,BJ$57),""),1),IFERROR(INDEX(醫師週班表!$C$5:$T$44,$CU38,BJ$57),"")))))))</f>
        <v/>
      </c>
      <c r="BK38" s="68">
        <f>IF(BK$59="X","",IF(BK$59&lt;&gt;"",BK$59,IF(IFERROR(INDEX(醫師週班表!$C$5:$T$44,$CU38,BK$57),"")=0,"",IF(MID(IFERROR(INDEX(醫師週班表!$C$5:$T$44,$CU38,BK$57),""),2,1)="/",MID(IFERROR(INDEX(醫師週班表!$C$5:$T$44,$CU38,BK$57),""),1+BK$58*2,1),IF(MID(IFERROR(INDEX(醫師週班表!$C$5:$T$44,$CU38,BK$57),""),3,1)="隔",IF(BK$58=0,LEFT(IFERROR(INDEX(醫師週班表!$C$5:$T$44,$CU38,BK$57),""),1),""),IF(MID(IFERROR(INDEX(醫師週班表!$C$5:$T$44,$CU38,BK$57),""),2,1)="(",LEFT(IFERROR(INDEX(醫師週班表!$C$5:$T$44,$CU38,BK$57),""),1),IFERROR(INDEX(醫師週班表!$C$5:$T$44,$CU38,BK$57),"")))))))</f>
        <v/>
      </c>
      <c r="BL38" s="68">
        <f>IF(BL$59="X","",IF(BL$59&lt;&gt;"",BL$59,IF(IFERROR(INDEX(醫師週班表!$C$5:$T$44,$CU38,BL$57),"")=0,"",IF(MID(IFERROR(INDEX(醫師週班表!$C$5:$T$44,$CU38,BL$57),""),2,1)="/",MID(IFERROR(INDEX(醫師週班表!$C$5:$T$44,$CU38,BL$57),""),1+BL$58*2,1),IF(MID(IFERROR(INDEX(醫師週班表!$C$5:$T$44,$CU38,BL$57),""),3,1)="隔",IF(BL$58=0,LEFT(IFERROR(INDEX(醫師週班表!$C$5:$T$44,$CU38,BL$57),""),1),""),IF(MID(IFERROR(INDEX(醫師週班表!$C$5:$T$44,$CU38,BL$57),""),2,1)="(",LEFT(IFERROR(INDEX(醫師週班表!$C$5:$T$44,$CU38,BL$57),""),1),IFERROR(INDEX(醫師週班表!$C$5:$T$44,$CU38,BL$57),"")))))))</f>
        <v/>
      </c>
      <c r="BM38" s="67">
        <f>IF(BM$59="X","",IF(BM$59&lt;&gt;"",BM$59,IF(IFERROR(INDEX(醫師週班表!$C$5:$T$44,$CU38,BM$57),"")=0,"",IF(MID(IFERROR(INDEX(醫師週班表!$C$5:$T$44,$CU38,BM$57),""),2,1)="/",MID(IFERROR(INDEX(醫師週班表!$C$5:$T$44,$CU38,BM$57),""),1+BM$58*2,1),IF(MID(IFERROR(INDEX(醫師週班表!$C$5:$T$44,$CU38,BM$57),""),3,1)="隔",IF(BM$58=0,LEFT(IFERROR(INDEX(醫師週班表!$C$5:$T$44,$CU38,BM$57),""),1),""),IF(MID(IFERROR(INDEX(醫師週班表!$C$5:$T$44,$CU38,BM$57),""),2,1)="(",LEFT(IFERROR(INDEX(醫師週班表!$C$5:$T$44,$CU38,BM$57),""),1),IFERROR(INDEX(醫師週班表!$C$5:$T$44,$CU38,BM$57),"")))))))</f>
        <v/>
      </c>
      <c r="BN38" s="68">
        <f>IF(BN$59="X","",IF(BN$59&lt;&gt;"",BN$59,IF(IFERROR(INDEX(醫師週班表!$C$5:$T$44,$CU38,BN$57),"")=0,"",IF(MID(IFERROR(INDEX(醫師週班表!$C$5:$T$44,$CU38,BN$57),""),2,1)="/",MID(IFERROR(INDEX(醫師週班表!$C$5:$T$44,$CU38,BN$57),""),1+BN$58*2,1),IF(MID(IFERROR(INDEX(醫師週班表!$C$5:$T$44,$CU38,BN$57),""),3,1)="隔",IF(BN$58=0,LEFT(IFERROR(INDEX(醫師週班表!$C$5:$T$44,$CU38,BN$57),""),1),""),IF(MID(IFERROR(INDEX(醫師週班表!$C$5:$T$44,$CU38,BN$57),""),2,1)="(",LEFT(IFERROR(INDEX(醫師週班表!$C$5:$T$44,$CU38,BN$57),""),1),IFERROR(INDEX(醫師週班表!$C$5:$T$44,$CU38,BN$57),"")))))))</f>
        <v/>
      </c>
      <c r="BO38" s="68">
        <f>IF(BO$59="X","",IF(BO$59&lt;&gt;"",BO$59,IF(IFERROR(INDEX(醫師週班表!$C$5:$T$44,$CU38,BO$57),"")=0,"",IF(MID(IFERROR(INDEX(醫師週班表!$C$5:$T$44,$CU38,BO$57),""),2,1)="/",MID(IFERROR(INDEX(醫師週班表!$C$5:$T$44,$CU38,BO$57),""),1+BO$58*2,1),IF(MID(IFERROR(INDEX(醫師週班表!$C$5:$T$44,$CU38,BO$57),""),3,1)="隔",IF(BO$58=0,LEFT(IFERROR(INDEX(醫師週班表!$C$5:$T$44,$CU38,BO$57),""),1),""),IF(MID(IFERROR(INDEX(醫師週班表!$C$5:$T$44,$CU38,BO$57),""),2,1)="(",LEFT(IFERROR(INDEX(醫師週班表!$C$5:$T$44,$CU38,BO$57),""),1),IFERROR(INDEX(醫師週班表!$C$5:$T$44,$CU38,BO$57),"")))))))</f>
        <v/>
      </c>
      <c r="BP38" s="67">
        <f>IF(BP$59="X","",IF(BP$59&lt;&gt;"",BP$59,IF(IFERROR(INDEX(醫師週班表!$C$5:$T$44,$CU38,BP$57),"")=0,"",IF(MID(IFERROR(INDEX(醫師週班表!$C$5:$T$44,$CU38,BP$57),""),2,1)="/",MID(IFERROR(INDEX(醫師週班表!$C$5:$T$44,$CU38,BP$57),""),1+BP$58*2,1),IF(MID(IFERROR(INDEX(醫師週班表!$C$5:$T$44,$CU38,BP$57),""),3,1)="隔",IF(BP$58=0,LEFT(IFERROR(INDEX(醫師週班表!$C$5:$T$44,$CU38,BP$57),""),1),""),IF(MID(IFERROR(INDEX(醫師週班表!$C$5:$T$44,$CU38,BP$57),""),2,1)="(",LEFT(IFERROR(INDEX(醫師週班表!$C$5:$T$44,$CU38,BP$57),""),1),IFERROR(INDEX(醫師週班表!$C$5:$T$44,$CU38,BP$57),"")))))))</f>
        <v/>
      </c>
      <c r="BQ38" s="68">
        <f>IF(BQ$59="X","",IF(BQ$59&lt;&gt;"",BQ$59,IF(IFERROR(INDEX(醫師週班表!$C$5:$T$44,$CU38,BQ$57),"")=0,"",IF(MID(IFERROR(INDEX(醫師週班表!$C$5:$T$44,$CU38,BQ$57),""),2,1)="/",MID(IFERROR(INDEX(醫師週班表!$C$5:$T$44,$CU38,BQ$57),""),1+BQ$58*2,1),IF(MID(IFERROR(INDEX(醫師週班表!$C$5:$T$44,$CU38,BQ$57),""),3,1)="隔",IF(BQ$58=0,LEFT(IFERROR(INDEX(醫師週班表!$C$5:$T$44,$CU38,BQ$57),""),1),""),IF(MID(IFERROR(INDEX(醫師週班表!$C$5:$T$44,$CU38,BQ$57),""),2,1)="(",LEFT(IFERROR(INDEX(醫師週班表!$C$5:$T$44,$CU38,BQ$57),""),1),IFERROR(INDEX(醫師週班表!$C$5:$T$44,$CU38,BQ$57),"")))))))</f>
        <v/>
      </c>
      <c r="BR38" s="68">
        <f>IF(BR$59="X","",IF(BR$59&lt;&gt;"",BR$59,IF(IFERROR(INDEX(醫師週班表!$C$5:$T$44,$CU38,BR$57),"")=0,"",IF(MID(IFERROR(INDEX(醫師週班表!$C$5:$T$44,$CU38,BR$57),""),2,1)="/",MID(IFERROR(INDEX(醫師週班表!$C$5:$T$44,$CU38,BR$57),""),1+BR$58*2,1),IF(MID(IFERROR(INDEX(醫師週班表!$C$5:$T$44,$CU38,BR$57),""),3,1)="隔",IF(BR$58=0,LEFT(IFERROR(INDEX(醫師週班表!$C$5:$T$44,$CU38,BR$57),""),1),""),IF(MID(IFERROR(INDEX(醫師週班表!$C$5:$T$44,$CU38,BR$57),""),2,1)="(",LEFT(IFERROR(INDEX(醫師週班表!$C$5:$T$44,$CU38,BR$57),""),1),IFERROR(INDEX(醫師週班表!$C$5:$T$44,$CU38,BR$57),"")))))))</f>
        <v/>
      </c>
      <c r="BS38" s="67">
        <f>IF(BS$59="X","",IF(BS$59&lt;&gt;"",BS$59,IF(IFERROR(INDEX(醫師週班表!$C$5:$T$44,$CU38,BS$57),"")=0,"",IF(MID(IFERROR(INDEX(醫師週班表!$C$5:$T$44,$CU38,BS$57),""),2,1)="/",MID(IFERROR(INDEX(醫師週班表!$C$5:$T$44,$CU38,BS$57),""),1+BS$58*2,1),IF(MID(IFERROR(INDEX(醫師週班表!$C$5:$T$44,$CU38,BS$57),""),3,1)="隔",IF(BS$58=0,LEFT(IFERROR(INDEX(醫師週班表!$C$5:$T$44,$CU38,BS$57),""),1),""),IF(MID(IFERROR(INDEX(醫師週班表!$C$5:$T$44,$CU38,BS$57),""),2,1)="(",LEFT(IFERROR(INDEX(醫師週班表!$C$5:$T$44,$CU38,BS$57),""),1),IFERROR(INDEX(醫師週班表!$C$5:$T$44,$CU38,BS$57),"")))))))</f>
        <v/>
      </c>
      <c r="BT38" s="68">
        <f>IF(BT$59="X","",IF(BT$59&lt;&gt;"",BT$59,IF(IFERROR(INDEX(醫師週班表!$C$5:$T$44,$CU38,BT$57),"")=0,"",IF(MID(IFERROR(INDEX(醫師週班表!$C$5:$T$44,$CU38,BT$57),""),2,1)="/",MID(IFERROR(INDEX(醫師週班表!$C$5:$T$44,$CU38,BT$57),""),1+BT$58*2,1),IF(MID(IFERROR(INDEX(醫師週班表!$C$5:$T$44,$CU38,BT$57),""),3,1)="隔",IF(BT$58=0,LEFT(IFERROR(INDEX(醫師週班表!$C$5:$T$44,$CU38,BT$57),""),1),""),IF(MID(IFERROR(INDEX(醫師週班表!$C$5:$T$44,$CU38,BT$57),""),2,1)="(",LEFT(IFERROR(INDEX(醫師週班表!$C$5:$T$44,$CU38,BT$57),""),1),IFERROR(INDEX(醫師週班表!$C$5:$T$44,$CU38,BT$57),"")))))))</f>
        <v/>
      </c>
      <c r="BU38" s="68">
        <f>IF(BU$59="X","",IF(BU$59&lt;&gt;"",BU$59,IF(IFERROR(INDEX(醫師週班表!$C$5:$T$44,$CU38,BU$57),"")=0,"",IF(MID(IFERROR(INDEX(醫師週班表!$C$5:$T$44,$CU38,BU$57),""),2,1)="/",MID(IFERROR(INDEX(醫師週班表!$C$5:$T$44,$CU38,BU$57),""),1+BU$58*2,1),IF(MID(IFERROR(INDEX(醫師週班表!$C$5:$T$44,$CU38,BU$57),""),3,1)="隔",IF(BU$58=0,LEFT(IFERROR(INDEX(醫師週班表!$C$5:$T$44,$CU38,BU$57),""),1),""),IF(MID(IFERROR(INDEX(醫師週班表!$C$5:$T$44,$CU38,BU$57),""),2,1)="(",LEFT(IFERROR(INDEX(醫師週班表!$C$5:$T$44,$CU38,BU$57),""),1),IFERROR(INDEX(醫師週班表!$C$5:$T$44,$CU38,BU$57),"")))))))</f>
        <v/>
      </c>
      <c r="BV38" s="67">
        <f>IF(BV$59="X","",IF(BV$59&lt;&gt;"",BV$59,IF(IFERROR(INDEX(醫師週班表!$C$5:$T$44,$CU38,BV$57),"")=0,"",IF(MID(IFERROR(INDEX(醫師週班表!$C$5:$T$44,$CU38,BV$57),""),2,1)="/",MID(IFERROR(INDEX(醫師週班表!$C$5:$T$44,$CU38,BV$57),""),1+BV$58*2,1),IF(MID(IFERROR(INDEX(醫師週班表!$C$5:$T$44,$CU38,BV$57),""),3,1)="隔",IF(BV$58=0,LEFT(IFERROR(INDEX(醫師週班表!$C$5:$T$44,$CU38,BV$57),""),1),""),IF(MID(IFERROR(INDEX(醫師週班表!$C$5:$T$44,$CU38,BV$57),""),2,1)="(",LEFT(IFERROR(INDEX(醫師週班表!$C$5:$T$44,$CU38,BV$57),""),1),IFERROR(INDEX(醫師週班表!$C$5:$T$44,$CU38,BV$57),"")))))))</f>
        <v/>
      </c>
      <c r="BW38" s="68">
        <f>IF(BW$59="X","",IF(BW$59&lt;&gt;"",BW$59,IF(IFERROR(INDEX(醫師週班表!$C$5:$T$44,$CU38,BW$57),"")=0,"",IF(MID(IFERROR(INDEX(醫師週班表!$C$5:$T$44,$CU38,BW$57),""),2,1)="/",MID(IFERROR(INDEX(醫師週班表!$C$5:$T$44,$CU38,BW$57),""),1+BW$58*2,1),IF(MID(IFERROR(INDEX(醫師週班表!$C$5:$T$44,$CU38,BW$57),""),3,1)="隔",IF(BW$58=0,LEFT(IFERROR(INDEX(醫師週班表!$C$5:$T$44,$CU38,BW$57),""),1),""),IF(MID(IFERROR(INDEX(醫師週班表!$C$5:$T$44,$CU38,BW$57),""),2,1)="(",LEFT(IFERROR(INDEX(醫師週班表!$C$5:$T$44,$CU38,BW$57),""),1),IFERROR(INDEX(醫師週班表!$C$5:$T$44,$CU38,BW$57),"")))))))</f>
        <v/>
      </c>
      <c r="BX38" s="68">
        <f>IF(BX$59="X","",IF(BX$59&lt;&gt;"",BX$59,IF(IFERROR(INDEX(醫師週班表!$C$5:$T$44,$CU38,BX$57),"")=0,"",IF(MID(IFERROR(INDEX(醫師週班表!$C$5:$T$44,$CU38,BX$57),""),2,1)="/",MID(IFERROR(INDEX(醫師週班表!$C$5:$T$44,$CU38,BX$57),""),1+BX$58*2,1),IF(MID(IFERROR(INDEX(醫師週班表!$C$5:$T$44,$CU38,BX$57),""),3,1)="隔",IF(BX$58=0,LEFT(IFERROR(INDEX(醫師週班表!$C$5:$T$44,$CU38,BX$57),""),1),""),IF(MID(IFERROR(INDEX(醫師週班表!$C$5:$T$44,$CU38,BX$57),""),2,1)="(",LEFT(IFERROR(INDEX(醫師週班表!$C$5:$T$44,$CU38,BX$57),""),1),IFERROR(INDEX(醫師週班表!$C$5:$T$44,$CU38,BX$57),"")))))))</f>
        <v/>
      </c>
      <c r="BY38" s="67">
        <f>IF(BY$59="X","",IF(BY$59&lt;&gt;"",BY$59,IF(IFERROR(INDEX(醫師週班表!$C$5:$T$44,$CU38,BY$57),"")=0,"",IF(MID(IFERROR(INDEX(醫師週班表!$C$5:$T$44,$CU38,BY$57),""),2,1)="/",MID(IFERROR(INDEX(醫師週班表!$C$5:$T$44,$CU38,BY$57),""),1+BY$58*2,1),IF(MID(IFERROR(INDEX(醫師週班表!$C$5:$T$44,$CU38,BY$57),""),3,1)="隔",IF(BY$58=0,LEFT(IFERROR(INDEX(醫師週班表!$C$5:$T$44,$CU38,BY$57),""),1),""),IF(MID(IFERROR(INDEX(醫師週班表!$C$5:$T$44,$CU38,BY$57),""),2,1)="(",LEFT(IFERROR(INDEX(醫師週班表!$C$5:$T$44,$CU38,BY$57),""),1),IFERROR(INDEX(醫師週班表!$C$5:$T$44,$CU38,BY$57),"")))))))</f>
        <v/>
      </c>
      <c r="BZ38" s="68">
        <f>IF(BZ$59="X","",IF(BZ$59&lt;&gt;"",BZ$59,IF(IFERROR(INDEX(醫師週班表!$C$5:$T$44,$CU38,BZ$57),"")=0,"",IF(MID(IFERROR(INDEX(醫師週班表!$C$5:$T$44,$CU38,BZ$57),""),2,1)="/",MID(IFERROR(INDEX(醫師週班表!$C$5:$T$44,$CU38,BZ$57),""),1+BZ$58*2,1),IF(MID(IFERROR(INDEX(醫師週班表!$C$5:$T$44,$CU38,BZ$57),""),3,1)="隔",IF(BZ$58=0,LEFT(IFERROR(INDEX(醫師週班表!$C$5:$T$44,$CU38,BZ$57),""),1),""),IF(MID(IFERROR(INDEX(醫師週班表!$C$5:$T$44,$CU38,BZ$57),""),2,1)="(",LEFT(IFERROR(INDEX(醫師週班表!$C$5:$T$44,$CU38,BZ$57),""),1),IFERROR(INDEX(醫師週班表!$C$5:$T$44,$CU38,BZ$57),"")))))))</f>
        <v/>
      </c>
      <c r="CA38" s="68">
        <f>IF(CA$59="X","",IF(CA$59&lt;&gt;"",CA$59,IF(IFERROR(INDEX(醫師週班表!$C$5:$T$44,$CU38,CA$57),"")=0,"",IF(MID(IFERROR(INDEX(醫師週班表!$C$5:$T$44,$CU38,CA$57),""),2,1)="/",MID(IFERROR(INDEX(醫師週班表!$C$5:$T$44,$CU38,CA$57),""),1+CA$58*2,1),IF(MID(IFERROR(INDEX(醫師週班表!$C$5:$T$44,$CU38,CA$57),""),3,1)="隔",IF(CA$58=0,LEFT(IFERROR(INDEX(醫師週班表!$C$5:$T$44,$CU38,CA$57),""),1),""),IF(MID(IFERROR(INDEX(醫師週班表!$C$5:$T$44,$CU38,CA$57),""),2,1)="(",LEFT(IFERROR(INDEX(醫師週班表!$C$5:$T$44,$CU38,CA$57),""),1),IFERROR(INDEX(醫師週班表!$C$5:$T$44,$CU38,CA$57),"")))))))</f>
        <v/>
      </c>
      <c r="CB38" s="67">
        <f>IF(CB$59="X","",IF(CB$59&lt;&gt;"",CB$59,IF(IFERROR(INDEX(醫師週班表!$C$5:$T$44,$CU38,CB$57),"")=0,"",IF(MID(IFERROR(INDEX(醫師週班表!$C$5:$T$44,$CU38,CB$57),""),2,1)="/",MID(IFERROR(INDEX(醫師週班表!$C$5:$T$44,$CU38,CB$57),""),1+CB$58*2,1),IF(MID(IFERROR(INDEX(醫師週班表!$C$5:$T$44,$CU38,CB$57),""),3,1)="隔",IF(CB$58=0,LEFT(IFERROR(INDEX(醫師週班表!$C$5:$T$44,$CU38,CB$57),""),1),""),IF(MID(IFERROR(INDEX(醫師週班表!$C$5:$T$44,$CU38,CB$57),""),2,1)="(",LEFT(IFERROR(INDEX(醫師週班表!$C$5:$T$44,$CU38,CB$57),""),1),IFERROR(INDEX(醫師週班表!$C$5:$T$44,$CU38,CB$57),"")))))))</f>
        <v/>
      </c>
      <c r="CC38" s="68">
        <f>IF(CC$59="X","",IF(CC$59&lt;&gt;"",CC$59,IF(IFERROR(INDEX(醫師週班表!$C$5:$T$44,$CU38,CC$57),"")=0,"",IF(MID(IFERROR(INDEX(醫師週班表!$C$5:$T$44,$CU38,CC$57),""),2,1)="/",MID(IFERROR(INDEX(醫師週班表!$C$5:$T$44,$CU38,CC$57),""),1+CC$58*2,1),IF(MID(IFERROR(INDEX(醫師週班表!$C$5:$T$44,$CU38,CC$57),""),3,1)="隔",IF(CC$58=0,LEFT(IFERROR(INDEX(醫師週班表!$C$5:$T$44,$CU38,CC$57),""),1),""),IF(MID(IFERROR(INDEX(醫師週班表!$C$5:$T$44,$CU38,CC$57),""),2,1)="(",LEFT(IFERROR(INDEX(醫師週班表!$C$5:$T$44,$CU38,CC$57),""),1),IFERROR(INDEX(醫師週班表!$C$5:$T$44,$CU38,CC$57),"")))))))</f>
        <v/>
      </c>
      <c r="CD38" s="68">
        <f>IF(CD$59="X","",IF(CD$59&lt;&gt;"",CD$59,IF(IFERROR(INDEX(醫師週班表!$C$5:$T$44,$CU38,CD$57),"")=0,"",IF(MID(IFERROR(INDEX(醫師週班表!$C$5:$T$44,$CU38,CD$57),""),2,1)="/",MID(IFERROR(INDEX(醫師週班表!$C$5:$T$44,$CU38,CD$57),""),1+CD$58*2,1),IF(MID(IFERROR(INDEX(醫師週班表!$C$5:$T$44,$CU38,CD$57),""),3,1)="隔",IF(CD$58=0,LEFT(IFERROR(INDEX(醫師週班表!$C$5:$T$44,$CU38,CD$57),""),1),""),IF(MID(IFERROR(INDEX(醫師週班表!$C$5:$T$44,$CU38,CD$57),""),2,1)="(",LEFT(IFERROR(INDEX(醫師週班表!$C$5:$T$44,$CU38,CD$57),""),1),IFERROR(INDEX(醫師週班表!$C$5:$T$44,$CU38,CD$57),"")))))))</f>
        <v/>
      </c>
      <c r="CE38" s="67">
        <f>IF(CE$59="X","",IF(CE$59&lt;&gt;"",CE$59,IF(IFERROR(INDEX(醫師週班表!$C$5:$T$44,$CU38,CE$57),"")=0,"",IF(MID(IFERROR(INDEX(醫師週班表!$C$5:$T$44,$CU38,CE$57),""),2,1)="/",MID(IFERROR(INDEX(醫師週班表!$C$5:$T$44,$CU38,CE$57),""),1+CE$58*2,1),IF(MID(IFERROR(INDEX(醫師週班表!$C$5:$T$44,$CU38,CE$57),""),3,1)="隔",IF(CE$58=0,LEFT(IFERROR(INDEX(醫師週班表!$C$5:$T$44,$CU38,CE$57),""),1),""),IF(MID(IFERROR(INDEX(醫師週班表!$C$5:$T$44,$CU38,CE$57),""),2,1)="(",LEFT(IFERROR(INDEX(醫師週班表!$C$5:$T$44,$CU38,CE$57),""),1),IFERROR(INDEX(醫師週班表!$C$5:$T$44,$CU38,CE$57),"")))))))</f>
        <v/>
      </c>
      <c r="CF38" s="68">
        <f>IF(CF$59="X","",IF(CF$59&lt;&gt;"",CF$59,IF(IFERROR(INDEX(醫師週班表!$C$5:$T$44,$CU38,CF$57),"")=0,"",IF(MID(IFERROR(INDEX(醫師週班表!$C$5:$T$44,$CU38,CF$57),""),2,1)="/",MID(IFERROR(INDEX(醫師週班表!$C$5:$T$44,$CU38,CF$57),""),1+CF$58*2,1),IF(MID(IFERROR(INDEX(醫師週班表!$C$5:$T$44,$CU38,CF$57),""),3,1)="隔",IF(CF$58=0,LEFT(IFERROR(INDEX(醫師週班表!$C$5:$T$44,$CU38,CF$57),""),1),""),IF(MID(IFERROR(INDEX(醫師週班表!$C$5:$T$44,$CU38,CF$57),""),2,1)="(",LEFT(IFERROR(INDEX(醫師週班表!$C$5:$T$44,$CU38,CF$57),""),1),IFERROR(INDEX(醫師週班表!$C$5:$T$44,$CU38,CF$57),"")))))))</f>
        <v/>
      </c>
      <c r="CG38" s="68">
        <f>IF(CG$59="X","",IF(CG$59&lt;&gt;"",CG$59,IF(IFERROR(INDEX(醫師週班表!$C$5:$T$44,$CU38,CG$57),"")=0,"",IF(MID(IFERROR(INDEX(醫師週班表!$C$5:$T$44,$CU38,CG$57),""),2,1)="/",MID(IFERROR(INDEX(醫師週班表!$C$5:$T$44,$CU38,CG$57),""),1+CG$58*2,1),IF(MID(IFERROR(INDEX(醫師週班表!$C$5:$T$44,$CU38,CG$57),""),3,1)="隔",IF(CG$58=0,LEFT(IFERROR(INDEX(醫師週班表!$C$5:$T$44,$CU38,CG$57),""),1),""),IF(MID(IFERROR(INDEX(醫師週班表!$C$5:$T$44,$CU38,CG$57),""),2,1)="(",LEFT(IFERROR(INDEX(醫師週班表!$C$5:$T$44,$CU38,CG$57),""),1),IFERROR(INDEX(醫師週班表!$C$5:$T$44,$CU38,CG$57),"")))))))</f>
        <v/>
      </c>
      <c r="CH38" s="67">
        <f>IF(CH$59="X","",IF(CH$59&lt;&gt;"",CH$59,IF(IFERROR(INDEX(醫師週班表!$C$5:$T$44,$CU38,CH$57),"")=0,"",IF(MID(IFERROR(INDEX(醫師週班表!$C$5:$T$44,$CU38,CH$57),""),2,1)="/",MID(IFERROR(INDEX(醫師週班表!$C$5:$T$44,$CU38,CH$57),""),1+CH$58*2,1),IF(MID(IFERROR(INDEX(醫師週班表!$C$5:$T$44,$CU38,CH$57),""),3,1)="隔",IF(CH$58=0,LEFT(IFERROR(INDEX(醫師週班表!$C$5:$T$44,$CU38,CH$57),""),1),""),IF(MID(IFERROR(INDEX(醫師週班表!$C$5:$T$44,$CU38,CH$57),""),2,1)="(",LEFT(IFERROR(INDEX(醫師週班表!$C$5:$T$44,$CU38,CH$57),""),1),IFERROR(INDEX(醫師週班表!$C$5:$T$44,$CU38,CH$57),"")))))))</f>
        <v/>
      </c>
      <c r="CI38" s="68">
        <f>IF(CI$59="X","",IF(CI$59&lt;&gt;"",CI$59,IF(IFERROR(INDEX(醫師週班表!$C$5:$T$44,$CU38,CI$57),"")=0,"",IF(MID(IFERROR(INDEX(醫師週班表!$C$5:$T$44,$CU38,CI$57),""),2,1)="/",MID(IFERROR(INDEX(醫師週班表!$C$5:$T$44,$CU38,CI$57),""),1+CI$58*2,1),IF(MID(IFERROR(INDEX(醫師週班表!$C$5:$T$44,$CU38,CI$57),""),3,1)="隔",IF(CI$58=0,LEFT(IFERROR(INDEX(醫師週班表!$C$5:$T$44,$CU38,CI$57),""),1),""),IF(MID(IFERROR(INDEX(醫師週班表!$C$5:$T$44,$CU38,CI$57),""),2,1)="(",LEFT(IFERROR(INDEX(醫師週班表!$C$5:$T$44,$CU38,CI$57),""),1),IFERROR(INDEX(醫師週班表!$C$5:$T$44,$CU38,CI$57),"")))))))</f>
        <v/>
      </c>
      <c r="CJ38" s="68">
        <f>IF(CJ$59="X","",IF(CJ$59&lt;&gt;"",CJ$59,IF(IFERROR(INDEX(醫師週班表!$C$5:$T$44,$CU38,CJ$57),"")=0,"",IF(MID(IFERROR(INDEX(醫師週班表!$C$5:$T$44,$CU38,CJ$57),""),2,1)="/",MID(IFERROR(INDEX(醫師週班表!$C$5:$T$44,$CU38,CJ$57),""),1+CJ$58*2,1),IF(MID(IFERROR(INDEX(醫師週班表!$C$5:$T$44,$CU38,CJ$57),""),3,1)="隔",IF(CJ$58=0,LEFT(IFERROR(INDEX(醫師週班表!$C$5:$T$44,$CU38,CJ$57),""),1),""),IF(MID(IFERROR(INDEX(醫師週班表!$C$5:$T$44,$CU38,CJ$57),""),2,1)="(",LEFT(IFERROR(INDEX(醫師週班表!$C$5:$T$44,$CU38,CJ$57),""),1),IFERROR(INDEX(醫師週班表!$C$5:$T$44,$CU38,CJ$57),"")))))))</f>
        <v/>
      </c>
      <c r="CK38" s="67">
        <f>IF(CK$59="X","",IF(CK$59&lt;&gt;"",CK$59,IF(IFERROR(INDEX(醫師週班表!$C$5:$T$44,$CU38,CK$57),"")=0,"",IF(MID(IFERROR(INDEX(醫師週班表!$C$5:$T$44,$CU38,CK$57),""),2,1)="/",MID(IFERROR(INDEX(醫師週班表!$C$5:$T$44,$CU38,CK$57),""),1+CK$58*2,1),IF(MID(IFERROR(INDEX(醫師週班表!$C$5:$T$44,$CU38,CK$57),""),3,1)="隔",IF(CK$58=0,LEFT(IFERROR(INDEX(醫師週班表!$C$5:$T$44,$CU38,CK$57),""),1),""),IF(MID(IFERROR(INDEX(醫師週班表!$C$5:$T$44,$CU38,CK$57),""),2,1)="(",LEFT(IFERROR(INDEX(醫師週班表!$C$5:$T$44,$CU38,CK$57),""),1),IFERROR(INDEX(醫師週班表!$C$5:$T$44,$CU38,CK$57),"")))))))</f>
        <v/>
      </c>
      <c r="CL38" s="68">
        <f>IF(CL$59="X","",IF(CL$59&lt;&gt;"",CL$59,IF(IFERROR(INDEX(醫師週班表!$C$5:$T$44,$CU38,CL$57),"")=0,"",IF(MID(IFERROR(INDEX(醫師週班表!$C$5:$T$44,$CU38,CL$57),""),2,1)="/",MID(IFERROR(INDEX(醫師週班表!$C$5:$T$44,$CU38,CL$57),""),1+CL$58*2,1),IF(MID(IFERROR(INDEX(醫師週班表!$C$5:$T$44,$CU38,CL$57),""),3,1)="隔",IF(CL$58=0,LEFT(IFERROR(INDEX(醫師週班表!$C$5:$T$44,$CU38,CL$57),""),1),""),IF(MID(IFERROR(INDEX(醫師週班表!$C$5:$T$44,$CU38,CL$57),""),2,1)="(",LEFT(IFERROR(INDEX(醫師週班表!$C$5:$T$44,$CU38,CL$57),""),1),IFERROR(INDEX(醫師週班表!$C$5:$T$44,$CU38,CL$57),"")))))))</f>
        <v/>
      </c>
      <c r="CM38" s="68">
        <f>IF(CM$59="X","",IF(CM$59&lt;&gt;"",CM$59,IF(IFERROR(INDEX(醫師週班表!$C$5:$T$44,$CU38,CM$57),"")=0,"",IF(MID(IFERROR(INDEX(醫師週班表!$C$5:$T$44,$CU38,CM$57),""),2,1)="/",MID(IFERROR(INDEX(醫師週班表!$C$5:$T$44,$CU38,CM$57),""),1+CM$58*2,1),IF(MID(IFERROR(INDEX(醫師週班表!$C$5:$T$44,$CU38,CM$57),""),3,1)="隔",IF(CM$58=0,LEFT(IFERROR(INDEX(醫師週班表!$C$5:$T$44,$CU38,CM$57),""),1),""),IF(MID(IFERROR(INDEX(醫師週班表!$C$5:$T$44,$CU38,CM$57),""),2,1)="(",LEFT(IFERROR(INDEX(醫師週班表!$C$5:$T$44,$CU38,CM$57),""),1),IFERROR(INDEX(醫師週班表!$C$5:$T$44,$CU38,CM$57),"")))))))</f>
        <v/>
      </c>
      <c r="CN38" s="67">
        <f>IF(CN$59="X","",IF(CN$59&lt;&gt;"",CN$59,IF(IFERROR(INDEX(醫師週班表!$C$5:$T$44,$CU38,CN$57),"")=0,"",IF(MID(IFERROR(INDEX(醫師週班表!$C$5:$T$44,$CU38,CN$57),""),2,1)="/",MID(IFERROR(INDEX(醫師週班表!$C$5:$T$44,$CU38,CN$57),""),1+CN$58*2,1),IF(MID(IFERROR(INDEX(醫師週班表!$C$5:$T$44,$CU38,CN$57),""),3,1)="隔",IF(CN$58=0,LEFT(IFERROR(INDEX(醫師週班表!$C$5:$T$44,$CU38,CN$57),""),1),""),IF(MID(IFERROR(INDEX(醫師週班表!$C$5:$T$44,$CU38,CN$57),""),2,1)="(",LEFT(IFERROR(INDEX(醫師週班表!$C$5:$T$44,$CU38,CN$57),""),1),IFERROR(INDEX(醫師週班表!$C$5:$T$44,$CU38,CN$57),"")))))))</f>
        <v/>
      </c>
      <c r="CO38" s="68">
        <f>IF(CO$59="X","",IF(CO$59&lt;&gt;"",CO$59,IF(IFERROR(INDEX(醫師週班表!$C$5:$T$44,$CU38,CO$57),"")=0,"",IF(MID(IFERROR(INDEX(醫師週班表!$C$5:$T$44,$CU38,CO$57),""),2,1)="/",MID(IFERROR(INDEX(醫師週班表!$C$5:$T$44,$CU38,CO$57),""),1+CO$58*2,1),IF(MID(IFERROR(INDEX(醫師週班表!$C$5:$T$44,$CU38,CO$57),""),3,1)="隔",IF(CO$58=0,LEFT(IFERROR(INDEX(醫師週班表!$C$5:$T$44,$CU38,CO$57),""),1),""),IF(MID(IFERROR(INDEX(醫師週班表!$C$5:$T$44,$CU38,CO$57),""),2,1)="(",LEFT(IFERROR(INDEX(醫師週班表!$C$5:$T$44,$CU38,CO$57),""),1),IFERROR(INDEX(醫師週班表!$C$5:$T$44,$CU38,CO$57),"")))))))</f>
        <v/>
      </c>
      <c r="CP38" s="68">
        <f>IF(CP$59="X","",IF(CP$59&lt;&gt;"",CP$59,IF(IFERROR(INDEX(醫師週班表!$C$5:$T$44,$CU38,CP$57),"")=0,"",IF(MID(IFERROR(INDEX(醫師週班表!$C$5:$T$44,$CU38,CP$57),""),2,1)="/",MID(IFERROR(INDEX(醫師週班表!$C$5:$T$44,$CU38,CP$57),""),1+CP$58*2,1),IF(MID(IFERROR(INDEX(醫師週班表!$C$5:$T$44,$CU38,CP$57),""),3,1)="隔",IF(CP$58=0,LEFT(IFERROR(INDEX(醫師週班表!$C$5:$T$44,$CU38,CP$57),""),1),""),IF(MID(IFERROR(INDEX(醫師週班表!$C$5:$T$44,$CU38,CP$57),""),2,1)="(",LEFT(IFERROR(INDEX(醫師週班表!$C$5:$T$44,$CU38,CP$57),""),1),IFERROR(INDEX(醫師週班表!$C$5:$T$44,$CU38,CP$57),"")))))))</f>
        <v/>
      </c>
      <c r="CQ38" s="67">
        <f>IF(CQ$59="X","",IF(CQ$59&lt;&gt;"",CQ$59,IF(IFERROR(INDEX(醫師週班表!$C$5:$T$44,$CU38,CQ$57),"")=0,"",IF(MID(IFERROR(INDEX(醫師週班表!$C$5:$T$44,$CU38,CQ$57),""),2,1)="/",MID(IFERROR(INDEX(醫師週班表!$C$5:$T$44,$CU38,CQ$57),""),1+CQ$58*2,1),IF(MID(IFERROR(INDEX(醫師週班表!$C$5:$T$44,$CU38,CQ$57),""),3,1)="隔",IF(CQ$58=0,LEFT(IFERROR(INDEX(醫師週班表!$C$5:$T$44,$CU38,CQ$57),""),1),""),IF(MID(IFERROR(INDEX(醫師週班表!$C$5:$T$44,$CU38,CQ$57),""),2,1)="(",LEFT(IFERROR(INDEX(醫師週班表!$C$5:$T$44,$CU38,CQ$57),""),1),IFERROR(INDEX(醫師週班表!$C$5:$T$44,$CU38,CQ$57),"")))))))</f>
        <v/>
      </c>
      <c r="CR38" s="68">
        <f>IF(CR$59="X","",IF(CR$59&lt;&gt;"",CR$59,IF(IFERROR(INDEX(醫師週班表!$C$5:$T$44,$CU38,CR$57),"")=0,"",IF(MID(IFERROR(INDEX(醫師週班表!$C$5:$T$44,$CU38,CR$57),""),2,1)="/",MID(IFERROR(INDEX(醫師週班表!$C$5:$T$44,$CU38,CR$57),""),1+CR$58*2,1),IF(MID(IFERROR(INDEX(醫師週班表!$C$5:$T$44,$CU38,CR$57),""),3,1)="隔",IF(CR$58=0,LEFT(IFERROR(INDEX(醫師週班表!$C$5:$T$44,$CU38,CR$57),""),1),""),IF(MID(IFERROR(INDEX(醫師週班表!$C$5:$T$44,$CU38,CR$57),""),2,1)="(",LEFT(IFERROR(INDEX(醫師週班表!$C$5:$T$44,$CU38,CR$57),""),1),IFERROR(INDEX(醫師週班表!$C$5:$T$44,$CU38,CR$57),"")))))))</f>
        <v/>
      </c>
      <c r="CS38" s="68">
        <f>IF(CS$59="X","",IF(CS$59&lt;&gt;"",CS$59,IF(IFERROR(INDEX(醫師週班表!$C$5:$T$44,$CU38,CS$57),"")=0,"",IF(MID(IFERROR(INDEX(醫師週班表!$C$5:$T$44,$CU38,CS$57),""),2,1)="/",MID(IFERROR(INDEX(醫師週班表!$C$5:$T$44,$CU38,CS$57),""),1+CS$58*2,1),IF(MID(IFERROR(INDEX(醫師週班表!$C$5:$T$44,$CU38,CS$57),""),3,1)="隔",IF(CS$58=0,LEFT(IFERROR(INDEX(醫師週班表!$C$5:$T$44,$CU38,CS$57),""),1),""),IF(MID(IFERROR(INDEX(醫師週班表!$C$5:$T$44,$CU38,CS$57),""),2,1)="(",LEFT(IFERROR(INDEX(醫師週班表!$C$5:$T$44,$CU38,CS$57),""),1),IFERROR(INDEX(醫師週班表!$C$5:$T$44,$CU38,CS$57),"")))))))</f>
        <v/>
      </c>
      <c r="CU38" s="69">
        <f>IFERROR(MATCH($A38,醫師週班表!$A$5:$A$44,0),0)</f>
        <v/>
      </c>
    </row>
    <row r="39" ht="17" customHeight="1">
      <c r="A39" s="20" t="n"/>
      <c r="B39" s="16">
        <f>IFERROR(INDEX(設定!$C$62:$C$201,MATCH($A39,設定!$B$62:$B$201,0)),"")</f>
        <v/>
      </c>
      <c r="C39" s="66">
        <f>IFERROR(INDEX(設定!$E$62:$E$201,MATCH($A39,設定!$B$62:$B$201,0)),"")</f>
        <v/>
      </c>
      <c r="D39" s="16">
        <f>IFERROR(INDEX(設定!$F$62:$F$201,MATCH($A39,設定!$B$62:$B$201,0)),"")</f>
        <v/>
      </c>
      <c r="E39" s="67">
        <f>IF(E$59="X","",IF(E$59&lt;&gt;"",E$59,IF(IFERROR(INDEX(醫師週班表!$C$5:$T$44,$CU39,E$57),"")=0,"",IF(MID(IFERROR(INDEX(醫師週班表!$C$5:$T$44,$CU39,E$57),""),2,1)="/",MID(IFERROR(INDEX(醫師週班表!$C$5:$T$44,$CU39,E$57),""),1+E$58*2,1),IF(MID(IFERROR(INDEX(醫師週班表!$C$5:$T$44,$CU39,E$57),""),3,1)="隔",IF(E$58=0,LEFT(IFERROR(INDEX(醫師週班表!$C$5:$T$44,$CU39,E$57),""),1),""),IF(MID(IFERROR(INDEX(醫師週班表!$C$5:$T$44,$CU39,E$57),""),2,1)="(",LEFT(IFERROR(INDEX(醫師週班表!$C$5:$T$44,$CU39,E$57),""),1),IFERROR(INDEX(醫師週班表!$C$5:$T$44,$CU39,E$57),"")))))))</f>
        <v/>
      </c>
      <c r="F39" s="68">
        <f>IF(F$59="X","",IF(F$59&lt;&gt;"",F$59,IF(IFERROR(INDEX(醫師週班表!$C$5:$T$44,$CU39,F$57),"")=0,"",IF(MID(IFERROR(INDEX(醫師週班表!$C$5:$T$44,$CU39,F$57),""),2,1)="/",MID(IFERROR(INDEX(醫師週班表!$C$5:$T$44,$CU39,F$57),""),1+F$58*2,1),IF(MID(IFERROR(INDEX(醫師週班表!$C$5:$T$44,$CU39,F$57),""),3,1)="隔",IF(F$58=0,LEFT(IFERROR(INDEX(醫師週班表!$C$5:$T$44,$CU39,F$57),""),1),""),IF(MID(IFERROR(INDEX(醫師週班表!$C$5:$T$44,$CU39,F$57),""),2,1)="(",LEFT(IFERROR(INDEX(醫師週班表!$C$5:$T$44,$CU39,F$57),""),1),IFERROR(INDEX(醫師週班表!$C$5:$T$44,$CU39,F$57),"")))))))</f>
        <v/>
      </c>
      <c r="G39" s="68">
        <f>IF(G$59="X","",IF(G$59&lt;&gt;"",G$59,IF(IFERROR(INDEX(醫師週班表!$C$5:$T$44,$CU39,G$57),"")=0,"",IF(MID(IFERROR(INDEX(醫師週班表!$C$5:$T$44,$CU39,G$57),""),2,1)="/",MID(IFERROR(INDEX(醫師週班表!$C$5:$T$44,$CU39,G$57),""),1+G$58*2,1),IF(MID(IFERROR(INDEX(醫師週班表!$C$5:$T$44,$CU39,G$57),""),3,1)="隔",IF(G$58=0,LEFT(IFERROR(INDEX(醫師週班表!$C$5:$T$44,$CU39,G$57),""),1),""),IF(MID(IFERROR(INDEX(醫師週班表!$C$5:$T$44,$CU39,G$57),""),2,1)="(",LEFT(IFERROR(INDEX(醫師週班表!$C$5:$T$44,$CU39,G$57),""),1),IFERROR(INDEX(醫師週班表!$C$5:$T$44,$CU39,G$57),"")))))))</f>
        <v/>
      </c>
      <c r="H39" s="67">
        <f>IF(H$59="X","",IF(H$59&lt;&gt;"",H$59,IF(IFERROR(INDEX(醫師週班表!$C$5:$T$44,$CU39,H$57),"")=0,"",IF(MID(IFERROR(INDEX(醫師週班表!$C$5:$T$44,$CU39,H$57),""),2,1)="/",MID(IFERROR(INDEX(醫師週班表!$C$5:$T$44,$CU39,H$57),""),1+H$58*2,1),IF(MID(IFERROR(INDEX(醫師週班表!$C$5:$T$44,$CU39,H$57),""),3,1)="隔",IF(H$58=0,LEFT(IFERROR(INDEX(醫師週班表!$C$5:$T$44,$CU39,H$57),""),1),""),IF(MID(IFERROR(INDEX(醫師週班表!$C$5:$T$44,$CU39,H$57),""),2,1)="(",LEFT(IFERROR(INDEX(醫師週班表!$C$5:$T$44,$CU39,H$57),""),1),IFERROR(INDEX(醫師週班表!$C$5:$T$44,$CU39,H$57),"")))))))</f>
        <v/>
      </c>
      <c r="I39" s="68">
        <f>IF(I$59="X","",IF(I$59&lt;&gt;"",I$59,IF(IFERROR(INDEX(醫師週班表!$C$5:$T$44,$CU39,I$57),"")=0,"",IF(MID(IFERROR(INDEX(醫師週班表!$C$5:$T$44,$CU39,I$57),""),2,1)="/",MID(IFERROR(INDEX(醫師週班表!$C$5:$T$44,$CU39,I$57),""),1+I$58*2,1),IF(MID(IFERROR(INDEX(醫師週班表!$C$5:$T$44,$CU39,I$57),""),3,1)="隔",IF(I$58=0,LEFT(IFERROR(INDEX(醫師週班表!$C$5:$T$44,$CU39,I$57),""),1),""),IF(MID(IFERROR(INDEX(醫師週班表!$C$5:$T$44,$CU39,I$57),""),2,1)="(",LEFT(IFERROR(INDEX(醫師週班表!$C$5:$T$44,$CU39,I$57),""),1),IFERROR(INDEX(醫師週班表!$C$5:$T$44,$CU39,I$57),"")))))))</f>
        <v/>
      </c>
      <c r="J39" s="68">
        <f>IF(J$59="X","",IF(J$59&lt;&gt;"",J$59,IF(IFERROR(INDEX(醫師週班表!$C$5:$T$44,$CU39,J$57),"")=0,"",IF(MID(IFERROR(INDEX(醫師週班表!$C$5:$T$44,$CU39,J$57),""),2,1)="/",MID(IFERROR(INDEX(醫師週班表!$C$5:$T$44,$CU39,J$57),""),1+J$58*2,1),IF(MID(IFERROR(INDEX(醫師週班表!$C$5:$T$44,$CU39,J$57),""),3,1)="隔",IF(J$58=0,LEFT(IFERROR(INDEX(醫師週班表!$C$5:$T$44,$CU39,J$57),""),1),""),IF(MID(IFERROR(INDEX(醫師週班表!$C$5:$T$44,$CU39,J$57),""),2,1)="(",LEFT(IFERROR(INDEX(醫師週班表!$C$5:$T$44,$CU39,J$57),""),1),IFERROR(INDEX(醫師週班表!$C$5:$T$44,$CU39,J$57),"")))))))</f>
        <v/>
      </c>
      <c r="K39" s="67">
        <f>IF(K$59="X","",IF(K$59&lt;&gt;"",K$59,IF(IFERROR(INDEX(醫師週班表!$C$5:$T$44,$CU39,K$57),"")=0,"",IF(MID(IFERROR(INDEX(醫師週班表!$C$5:$T$44,$CU39,K$57),""),2,1)="/",MID(IFERROR(INDEX(醫師週班表!$C$5:$T$44,$CU39,K$57),""),1+K$58*2,1),IF(MID(IFERROR(INDEX(醫師週班表!$C$5:$T$44,$CU39,K$57),""),3,1)="隔",IF(K$58=0,LEFT(IFERROR(INDEX(醫師週班表!$C$5:$T$44,$CU39,K$57),""),1),""),IF(MID(IFERROR(INDEX(醫師週班表!$C$5:$T$44,$CU39,K$57),""),2,1)="(",LEFT(IFERROR(INDEX(醫師週班表!$C$5:$T$44,$CU39,K$57),""),1),IFERROR(INDEX(醫師週班表!$C$5:$T$44,$CU39,K$57),"")))))))</f>
        <v/>
      </c>
      <c r="L39" s="68">
        <f>IF(L$59="X","",IF(L$59&lt;&gt;"",L$59,IF(IFERROR(INDEX(醫師週班表!$C$5:$T$44,$CU39,L$57),"")=0,"",IF(MID(IFERROR(INDEX(醫師週班表!$C$5:$T$44,$CU39,L$57),""),2,1)="/",MID(IFERROR(INDEX(醫師週班表!$C$5:$T$44,$CU39,L$57),""),1+L$58*2,1),IF(MID(IFERROR(INDEX(醫師週班表!$C$5:$T$44,$CU39,L$57),""),3,1)="隔",IF(L$58=0,LEFT(IFERROR(INDEX(醫師週班表!$C$5:$T$44,$CU39,L$57),""),1),""),IF(MID(IFERROR(INDEX(醫師週班表!$C$5:$T$44,$CU39,L$57),""),2,1)="(",LEFT(IFERROR(INDEX(醫師週班表!$C$5:$T$44,$CU39,L$57),""),1),IFERROR(INDEX(醫師週班表!$C$5:$T$44,$CU39,L$57),"")))))))</f>
        <v/>
      </c>
      <c r="M39" s="68">
        <f>IF(M$59="X","",IF(M$59&lt;&gt;"",M$59,IF(IFERROR(INDEX(醫師週班表!$C$5:$T$44,$CU39,M$57),"")=0,"",IF(MID(IFERROR(INDEX(醫師週班表!$C$5:$T$44,$CU39,M$57),""),2,1)="/",MID(IFERROR(INDEX(醫師週班表!$C$5:$T$44,$CU39,M$57),""),1+M$58*2,1),IF(MID(IFERROR(INDEX(醫師週班表!$C$5:$T$44,$CU39,M$57),""),3,1)="隔",IF(M$58=0,LEFT(IFERROR(INDEX(醫師週班表!$C$5:$T$44,$CU39,M$57),""),1),""),IF(MID(IFERROR(INDEX(醫師週班表!$C$5:$T$44,$CU39,M$57),""),2,1)="(",LEFT(IFERROR(INDEX(醫師週班表!$C$5:$T$44,$CU39,M$57),""),1),IFERROR(INDEX(醫師週班表!$C$5:$T$44,$CU39,M$57),"")))))))</f>
        <v/>
      </c>
      <c r="N39" s="67">
        <f>IF(N$59="X","",IF(N$59&lt;&gt;"",N$59,IF(IFERROR(INDEX(醫師週班表!$C$5:$T$44,$CU39,N$57),"")=0,"",IF(MID(IFERROR(INDEX(醫師週班表!$C$5:$T$44,$CU39,N$57),""),2,1)="/",MID(IFERROR(INDEX(醫師週班表!$C$5:$T$44,$CU39,N$57),""),1+N$58*2,1),IF(MID(IFERROR(INDEX(醫師週班表!$C$5:$T$44,$CU39,N$57),""),3,1)="隔",IF(N$58=0,LEFT(IFERROR(INDEX(醫師週班表!$C$5:$T$44,$CU39,N$57),""),1),""),IF(MID(IFERROR(INDEX(醫師週班表!$C$5:$T$44,$CU39,N$57),""),2,1)="(",LEFT(IFERROR(INDEX(醫師週班表!$C$5:$T$44,$CU39,N$57),""),1),IFERROR(INDEX(醫師週班表!$C$5:$T$44,$CU39,N$57),"")))))))</f>
        <v/>
      </c>
      <c r="O39" s="68">
        <f>IF(O$59="X","",IF(O$59&lt;&gt;"",O$59,IF(IFERROR(INDEX(醫師週班表!$C$5:$T$44,$CU39,O$57),"")=0,"",IF(MID(IFERROR(INDEX(醫師週班表!$C$5:$T$44,$CU39,O$57),""),2,1)="/",MID(IFERROR(INDEX(醫師週班表!$C$5:$T$44,$CU39,O$57),""),1+O$58*2,1),IF(MID(IFERROR(INDEX(醫師週班表!$C$5:$T$44,$CU39,O$57),""),3,1)="隔",IF(O$58=0,LEFT(IFERROR(INDEX(醫師週班表!$C$5:$T$44,$CU39,O$57),""),1),""),IF(MID(IFERROR(INDEX(醫師週班表!$C$5:$T$44,$CU39,O$57),""),2,1)="(",LEFT(IFERROR(INDEX(醫師週班表!$C$5:$T$44,$CU39,O$57),""),1),IFERROR(INDEX(醫師週班表!$C$5:$T$44,$CU39,O$57),"")))))))</f>
        <v/>
      </c>
      <c r="P39" s="68">
        <f>IF(P$59="X","",IF(P$59&lt;&gt;"",P$59,IF(IFERROR(INDEX(醫師週班表!$C$5:$T$44,$CU39,P$57),"")=0,"",IF(MID(IFERROR(INDEX(醫師週班表!$C$5:$T$44,$CU39,P$57),""),2,1)="/",MID(IFERROR(INDEX(醫師週班表!$C$5:$T$44,$CU39,P$57),""),1+P$58*2,1),IF(MID(IFERROR(INDEX(醫師週班表!$C$5:$T$44,$CU39,P$57),""),3,1)="隔",IF(P$58=0,LEFT(IFERROR(INDEX(醫師週班表!$C$5:$T$44,$CU39,P$57),""),1),""),IF(MID(IFERROR(INDEX(醫師週班表!$C$5:$T$44,$CU39,P$57),""),2,1)="(",LEFT(IFERROR(INDEX(醫師週班表!$C$5:$T$44,$CU39,P$57),""),1),IFERROR(INDEX(醫師週班表!$C$5:$T$44,$CU39,P$57),"")))))))</f>
        <v/>
      </c>
      <c r="Q39" s="67">
        <f>IF(Q$59="X","",IF(Q$59&lt;&gt;"",Q$59,IF(IFERROR(INDEX(醫師週班表!$C$5:$T$44,$CU39,Q$57),"")=0,"",IF(MID(IFERROR(INDEX(醫師週班表!$C$5:$T$44,$CU39,Q$57),""),2,1)="/",MID(IFERROR(INDEX(醫師週班表!$C$5:$T$44,$CU39,Q$57),""),1+Q$58*2,1),IF(MID(IFERROR(INDEX(醫師週班表!$C$5:$T$44,$CU39,Q$57),""),3,1)="隔",IF(Q$58=0,LEFT(IFERROR(INDEX(醫師週班表!$C$5:$T$44,$CU39,Q$57),""),1),""),IF(MID(IFERROR(INDEX(醫師週班表!$C$5:$T$44,$CU39,Q$57),""),2,1)="(",LEFT(IFERROR(INDEX(醫師週班表!$C$5:$T$44,$CU39,Q$57),""),1),IFERROR(INDEX(醫師週班表!$C$5:$T$44,$CU39,Q$57),"")))))))</f>
        <v/>
      </c>
      <c r="R39" s="68">
        <f>IF(R$59="X","",IF(R$59&lt;&gt;"",R$59,IF(IFERROR(INDEX(醫師週班表!$C$5:$T$44,$CU39,R$57),"")=0,"",IF(MID(IFERROR(INDEX(醫師週班表!$C$5:$T$44,$CU39,R$57),""),2,1)="/",MID(IFERROR(INDEX(醫師週班表!$C$5:$T$44,$CU39,R$57),""),1+R$58*2,1),IF(MID(IFERROR(INDEX(醫師週班表!$C$5:$T$44,$CU39,R$57),""),3,1)="隔",IF(R$58=0,LEFT(IFERROR(INDEX(醫師週班表!$C$5:$T$44,$CU39,R$57),""),1),""),IF(MID(IFERROR(INDEX(醫師週班表!$C$5:$T$44,$CU39,R$57),""),2,1)="(",LEFT(IFERROR(INDEX(醫師週班表!$C$5:$T$44,$CU39,R$57),""),1),IFERROR(INDEX(醫師週班表!$C$5:$T$44,$CU39,R$57),"")))))))</f>
        <v/>
      </c>
      <c r="S39" s="68">
        <f>IF(S$59="X","",IF(S$59&lt;&gt;"",S$59,IF(IFERROR(INDEX(醫師週班表!$C$5:$T$44,$CU39,S$57),"")=0,"",IF(MID(IFERROR(INDEX(醫師週班表!$C$5:$T$44,$CU39,S$57),""),2,1)="/",MID(IFERROR(INDEX(醫師週班表!$C$5:$T$44,$CU39,S$57),""),1+S$58*2,1),IF(MID(IFERROR(INDEX(醫師週班表!$C$5:$T$44,$CU39,S$57),""),3,1)="隔",IF(S$58=0,LEFT(IFERROR(INDEX(醫師週班表!$C$5:$T$44,$CU39,S$57),""),1),""),IF(MID(IFERROR(INDEX(醫師週班表!$C$5:$T$44,$CU39,S$57),""),2,1)="(",LEFT(IFERROR(INDEX(醫師週班表!$C$5:$T$44,$CU39,S$57),""),1),IFERROR(INDEX(醫師週班表!$C$5:$T$44,$CU39,S$57),"")))))))</f>
        <v/>
      </c>
      <c r="T39" s="67">
        <f>IF(T$59="X","",IF(T$59&lt;&gt;"",T$59,IF(IFERROR(INDEX(醫師週班表!$C$5:$T$44,$CU39,T$57),"")=0,"",IF(MID(IFERROR(INDEX(醫師週班表!$C$5:$T$44,$CU39,T$57),""),2,1)="/",MID(IFERROR(INDEX(醫師週班表!$C$5:$T$44,$CU39,T$57),""),1+T$58*2,1),IF(MID(IFERROR(INDEX(醫師週班表!$C$5:$T$44,$CU39,T$57),""),3,1)="隔",IF(T$58=0,LEFT(IFERROR(INDEX(醫師週班表!$C$5:$T$44,$CU39,T$57),""),1),""),IF(MID(IFERROR(INDEX(醫師週班表!$C$5:$T$44,$CU39,T$57),""),2,1)="(",LEFT(IFERROR(INDEX(醫師週班表!$C$5:$T$44,$CU39,T$57),""),1),IFERROR(INDEX(醫師週班表!$C$5:$T$44,$CU39,T$57),"")))))))</f>
        <v/>
      </c>
      <c r="U39" s="68">
        <f>IF(U$59="X","",IF(U$59&lt;&gt;"",U$59,IF(IFERROR(INDEX(醫師週班表!$C$5:$T$44,$CU39,U$57),"")=0,"",IF(MID(IFERROR(INDEX(醫師週班表!$C$5:$T$44,$CU39,U$57),""),2,1)="/",MID(IFERROR(INDEX(醫師週班表!$C$5:$T$44,$CU39,U$57),""),1+U$58*2,1),IF(MID(IFERROR(INDEX(醫師週班表!$C$5:$T$44,$CU39,U$57),""),3,1)="隔",IF(U$58=0,LEFT(IFERROR(INDEX(醫師週班表!$C$5:$T$44,$CU39,U$57),""),1),""),IF(MID(IFERROR(INDEX(醫師週班表!$C$5:$T$44,$CU39,U$57),""),2,1)="(",LEFT(IFERROR(INDEX(醫師週班表!$C$5:$T$44,$CU39,U$57),""),1),IFERROR(INDEX(醫師週班表!$C$5:$T$44,$CU39,U$57),"")))))))</f>
        <v/>
      </c>
      <c r="V39" s="68">
        <f>IF(V$59="X","",IF(V$59&lt;&gt;"",V$59,IF(IFERROR(INDEX(醫師週班表!$C$5:$T$44,$CU39,V$57),"")=0,"",IF(MID(IFERROR(INDEX(醫師週班表!$C$5:$T$44,$CU39,V$57),""),2,1)="/",MID(IFERROR(INDEX(醫師週班表!$C$5:$T$44,$CU39,V$57),""),1+V$58*2,1),IF(MID(IFERROR(INDEX(醫師週班表!$C$5:$T$44,$CU39,V$57),""),3,1)="隔",IF(V$58=0,LEFT(IFERROR(INDEX(醫師週班表!$C$5:$T$44,$CU39,V$57),""),1),""),IF(MID(IFERROR(INDEX(醫師週班表!$C$5:$T$44,$CU39,V$57),""),2,1)="(",LEFT(IFERROR(INDEX(醫師週班表!$C$5:$T$44,$CU39,V$57),""),1),IFERROR(INDEX(醫師週班表!$C$5:$T$44,$CU39,V$57),"")))))))</f>
        <v/>
      </c>
      <c r="W39" s="67">
        <f>IF(W$59="X","",IF(W$59&lt;&gt;"",W$59,IF(IFERROR(INDEX(醫師週班表!$C$5:$T$44,$CU39,W$57),"")=0,"",IF(MID(IFERROR(INDEX(醫師週班表!$C$5:$T$44,$CU39,W$57),""),2,1)="/",MID(IFERROR(INDEX(醫師週班表!$C$5:$T$44,$CU39,W$57),""),1+W$58*2,1),IF(MID(IFERROR(INDEX(醫師週班表!$C$5:$T$44,$CU39,W$57),""),3,1)="隔",IF(W$58=0,LEFT(IFERROR(INDEX(醫師週班表!$C$5:$T$44,$CU39,W$57),""),1),""),IF(MID(IFERROR(INDEX(醫師週班表!$C$5:$T$44,$CU39,W$57),""),2,1)="(",LEFT(IFERROR(INDEX(醫師週班表!$C$5:$T$44,$CU39,W$57),""),1),IFERROR(INDEX(醫師週班表!$C$5:$T$44,$CU39,W$57),"")))))))</f>
        <v/>
      </c>
      <c r="X39" s="68">
        <f>IF(X$59="X","",IF(X$59&lt;&gt;"",X$59,IF(IFERROR(INDEX(醫師週班表!$C$5:$T$44,$CU39,X$57),"")=0,"",IF(MID(IFERROR(INDEX(醫師週班表!$C$5:$T$44,$CU39,X$57),""),2,1)="/",MID(IFERROR(INDEX(醫師週班表!$C$5:$T$44,$CU39,X$57),""),1+X$58*2,1),IF(MID(IFERROR(INDEX(醫師週班表!$C$5:$T$44,$CU39,X$57),""),3,1)="隔",IF(X$58=0,LEFT(IFERROR(INDEX(醫師週班表!$C$5:$T$44,$CU39,X$57),""),1),""),IF(MID(IFERROR(INDEX(醫師週班表!$C$5:$T$44,$CU39,X$57),""),2,1)="(",LEFT(IFERROR(INDEX(醫師週班表!$C$5:$T$44,$CU39,X$57),""),1),IFERROR(INDEX(醫師週班表!$C$5:$T$44,$CU39,X$57),"")))))))</f>
        <v/>
      </c>
      <c r="Y39" s="68">
        <f>IF(Y$59="X","",IF(Y$59&lt;&gt;"",Y$59,IF(IFERROR(INDEX(醫師週班表!$C$5:$T$44,$CU39,Y$57),"")=0,"",IF(MID(IFERROR(INDEX(醫師週班表!$C$5:$T$44,$CU39,Y$57),""),2,1)="/",MID(IFERROR(INDEX(醫師週班表!$C$5:$T$44,$CU39,Y$57),""),1+Y$58*2,1),IF(MID(IFERROR(INDEX(醫師週班表!$C$5:$T$44,$CU39,Y$57),""),3,1)="隔",IF(Y$58=0,LEFT(IFERROR(INDEX(醫師週班表!$C$5:$T$44,$CU39,Y$57),""),1),""),IF(MID(IFERROR(INDEX(醫師週班表!$C$5:$T$44,$CU39,Y$57),""),2,1)="(",LEFT(IFERROR(INDEX(醫師週班表!$C$5:$T$44,$CU39,Y$57),""),1),IFERROR(INDEX(醫師週班表!$C$5:$T$44,$CU39,Y$57),"")))))))</f>
        <v/>
      </c>
      <c r="Z39" s="67">
        <f>IF(Z$59="X","",IF(Z$59&lt;&gt;"",Z$59,IF(IFERROR(INDEX(醫師週班表!$C$5:$T$44,$CU39,Z$57),"")=0,"",IF(MID(IFERROR(INDEX(醫師週班表!$C$5:$T$44,$CU39,Z$57),""),2,1)="/",MID(IFERROR(INDEX(醫師週班表!$C$5:$T$44,$CU39,Z$57),""),1+Z$58*2,1),IF(MID(IFERROR(INDEX(醫師週班表!$C$5:$T$44,$CU39,Z$57),""),3,1)="隔",IF(Z$58=0,LEFT(IFERROR(INDEX(醫師週班表!$C$5:$T$44,$CU39,Z$57),""),1),""),IF(MID(IFERROR(INDEX(醫師週班表!$C$5:$T$44,$CU39,Z$57),""),2,1)="(",LEFT(IFERROR(INDEX(醫師週班表!$C$5:$T$44,$CU39,Z$57),""),1),IFERROR(INDEX(醫師週班表!$C$5:$T$44,$CU39,Z$57),"")))))))</f>
        <v/>
      </c>
      <c r="AA39" s="68">
        <f>IF(AA$59="X","",IF(AA$59&lt;&gt;"",AA$59,IF(IFERROR(INDEX(醫師週班表!$C$5:$T$44,$CU39,AA$57),"")=0,"",IF(MID(IFERROR(INDEX(醫師週班表!$C$5:$T$44,$CU39,AA$57),""),2,1)="/",MID(IFERROR(INDEX(醫師週班表!$C$5:$T$44,$CU39,AA$57),""),1+AA$58*2,1),IF(MID(IFERROR(INDEX(醫師週班表!$C$5:$T$44,$CU39,AA$57),""),3,1)="隔",IF(AA$58=0,LEFT(IFERROR(INDEX(醫師週班表!$C$5:$T$44,$CU39,AA$57),""),1),""),IF(MID(IFERROR(INDEX(醫師週班表!$C$5:$T$44,$CU39,AA$57),""),2,1)="(",LEFT(IFERROR(INDEX(醫師週班表!$C$5:$T$44,$CU39,AA$57),""),1),IFERROR(INDEX(醫師週班表!$C$5:$T$44,$CU39,AA$57),"")))))))</f>
        <v/>
      </c>
      <c r="AB39" s="68">
        <f>IF(AB$59="X","",IF(AB$59&lt;&gt;"",AB$59,IF(IFERROR(INDEX(醫師週班表!$C$5:$T$44,$CU39,AB$57),"")=0,"",IF(MID(IFERROR(INDEX(醫師週班表!$C$5:$T$44,$CU39,AB$57),""),2,1)="/",MID(IFERROR(INDEX(醫師週班表!$C$5:$T$44,$CU39,AB$57),""),1+AB$58*2,1),IF(MID(IFERROR(INDEX(醫師週班表!$C$5:$T$44,$CU39,AB$57),""),3,1)="隔",IF(AB$58=0,LEFT(IFERROR(INDEX(醫師週班表!$C$5:$T$44,$CU39,AB$57),""),1),""),IF(MID(IFERROR(INDEX(醫師週班表!$C$5:$T$44,$CU39,AB$57),""),2,1)="(",LEFT(IFERROR(INDEX(醫師週班表!$C$5:$T$44,$CU39,AB$57),""),1),IFERROR(INDEX(醫師週班表!$C$5:$T$44,$CU39,AB$57),"")))))))</f>
        <v/>
      </c>
      <c r="AC39" s="67">
        <f>IF(AC$59="X","",IF(AC$59&lt;&gt;"",AC$59,IF(IFERROR(INDEX(醫師週班表!$C$5:$T$44,$CU39,AC$57),"")=0,"",IF(MID(IFERROR(INDEX(醫師週班表!$C$5:$T$44,$CU39,AC$57),""),2,1)="/",MID(IFERROR(INDEX(醫師週班表!$C$5:$T$44,$CU39,AC$57),""),1+AC$58*2,1),IF(MID(IFERROR(INDEX(醫師週班表!$C$5:$T$44,$CU39,AC$57),""),3,1)="隔",IF(AC$58=0,LEFT(IFERROR(INDEX(醫師週班表!$C$5:$T$44,$CU39,AC$57),""),1),""),IF(MID(IFERROR(INDEX(醫師週班表!$C$5:$T$44,$CU39,AC$57),""),2,1)="(",LEFT(IFERROR(INDEX(醫師週班表!$C$5:$T$44,$CU39,AC$57),""),1),IFERROR(INDEX(醫師週班表!$C$5:$T$44,$CU39,AC$57),"")))))))</f>
        <v/>
      </c>
      <c r="AD39" s="68">
        <f>IF(AD$59="X","",IF(AD$59&lt;&gt;"",AD$59,IF(IFERROR(INDEX(醫師週班表!$C$5:$T$44,$CU39,AD$57),"")=0,"",IF(MID(IFERROR(INDEX(醫師週班表!$C$5:$T$44,$CU39,AD$57),""),2,1)="/",MID(IFERROR(INDEX(醫師週班表!$C$5:$T$44,$CU39,AD$57),""),1+AD$58*2,1),IF(MID(IFERROR(INDEX(醫師週班表!$C$5:$T$44,$CU39,AD$57),""),3,1)="隔",IF(AD$58=0,LEFT(IFERROR(INDEX(醫師週班表!$C$5:$T$44,$CU39,AD$57),""),1),""),IF(MID(IFERROR(INDEX(醫師週班表!$C$5:$T$44,$CU39,AD$57),""),2,1)="(",LEFT(IFERROR(INDEX(醫師週班表!$C$5:$T$44,$CU39,AD$57),""),1),IFERROR(INDEX(醫師週班表!$C$5:$T$44,$CU39,AD$57),"")))))))</f>
        <v/>
      </c>
      <c r="AE39" s="68">
        <f>IF(AE$59="X","",IF(AE$59&lt;&gt;"",AE$59,IF(IFERROR(INDEX(醫師週班表!$C$5:$T$44,$CU39,AE$57),"")=0,"",IF(MID(IFERROR(INDEX(醫師週班表!$C$5:$T$44,$CU39,AE$57),""),2,1)="/",MID(IFERROR(INDEX(醫師週班表!$C$5:$T$44,$CU39,AE$57),""),1+AE$58*2,1),IF(MID(IFERROR(INDEX(醫師週班表!$C$5:$T$44,$CU39,AE$57),""),3,1)="隔",IF(AE$58=0,LEFT(IFERROR(INDEX(醫師週班表!$C$5:$T$44,$CU39,AE$57),""),1),""),IF(MID(IFERROR(INDEX(醫師週班表!$C$5:$T$44,$CU39,AE$57),""),2,1)="(",LEFT(IFERROR(INDEX(醫師週班表!$C$5:$T$44,$CU39,AE$57),""),1),IFERROR(INDEX(醫師週班表!$C$5:$T$44,$CU39,AE$57),"")))))))</f>
        <v/>
      </c>
      <c r="AF39" s="67">
        <f>IF(AF$59="X","",IF(AF$59&lt;&gt;"",AF$59,IF(IFERROR(INDEX(醫師週班表!$C$5:$T$44,$CU39,AF$57),"")=0,"",IF(MID(IFERROR(INDEX(醫師週班表!$C$5:$T$44,$CU39,AF$57),""),2,1)="/",MID(IFERROR(INDEX(醫師週班表!$C$5:$T$44,$CU39,AF$57),""),1+AF$58*2,1),IF(MID(IFERROR(INDEX(醫師週班表!$C$5:$T$44,$CU39,AF$57),""),3,1)="隔",IF(AF$58=0,LEFT(IFERROR(INDEX(醫師週班表!$C$5:$T$44,$CU39,AF$57),""),1),""),IF(MID(IFERROR(INDEX(醫師週班表!$C$5:$T$44,$CU39,AF$57),""),2,1)="(",LEFT(IFERROR(INDEX(醫師週班表!$C$5:$T$44,$CU39,AF$57),""),1),IFERROR(INDEX(醫師週班表!$C$5:$T$44,$CU39,AF$57),"")))))))</f>
        <v/>
      </c>
      <c r="AG39" s="68">
        <f>IF(AG$59="X","",IF(AG$59&lt;&gt;"",AG$59,IF(IFERROR(INDEX(醫師週班表!$C$5:$T$44,$CU39,AG$57),"")=0,"",IF(MID(IFERROR(INDEX(醫師週班表!$C$5:$T$44,$CU39,AG$57),""),2,1)="/",MID(IFERROR(INDEX(醫師週班表!$C$5:$T$44,$CU39,AG$57),""),1+AG$58*2,1),IF(MID(IFERROR(INDEX(醫師週班表!$C$5:$T$44,$CU39,AG$57),""),3,1)="隔",IF(AG$58=0,LEFT(IFERROR(INDEX(醫師週班表!$C$5:$T$44,$CU39,AG$57),""),1),""),IF(MID(IFERROR(INDEX(醫師週班表!$C$5:$T$44,$CU39,AG$57),""),2,1)="(",LEFT(IFERROR(INDEX(醫師週班表!$C$5:$T$44,$CU39,AG$57),""),1),IFERROR(INDEX(醫師週班表!$C$5:$T$44,$CU39,AG$57),"")))))))</f>
        <v/>
      </c>
      <c r="AH39" s="68">
        <f>IF(AH$59="X","",IF(AH$59&lt;&gt;"",AH$59,IF(IFERROR(INDEX(醫師週班表!$C$5:$T$44,$CU39,AH$57),"")=0,"",IF(MID(IFERROR(INDEX(醫師週班表!$C$5:$T$44,$CU39,AH$57),""),2,1)="/",MID(IFERROR(INDEX(醫師週班表!$C$5:$T$44,$CU39,AH$57),""),1+AH$58*2,1),IF(MID(IFERROR(INDEX(醫師週班表!$C$5:$T$44,$CU39,AH$57),""),3,1)="隔",IF(AH$58=0,LEFT(IFERROR(INDEX(醫師週班表!$C$5:$T$44,$CU39,AH$57),""),1),""),IF(MID(IFERROR(INDEX(醫師週班表!$C$5:$T$44,$CU39,AH$57),""),2,1)="(",LEFT(IFERROR(INDEX(醫師週班表!$C$5:$T$44,$CU39,AH$57),""),1),IFERROR(INDEX(醫師週班表!$C$5:$T$44,$CU39,AH$57),"")))))))</f>
        <v/>
      </c>
      <c r="AI39" s="67">
        <f>IF(AI$59="X","",IF(AI$59&lt;&gt;"",AI$59,IF(IFERROR(INDEX(醫師週班表!$C$5:$T$44,$CU39,AI$57),"")=0,"",IF(MID(IFERROR(INDEX(醫師週班表!$C$5:$T$44,$CU39,AI$57),""),2,1)="/",MID(IFERROR(INDEX(醫師週班表!$C$5:$T$44,$CU39,AI$57),""),1+AI$58*2,1),IF(MID(IFERROR(INDEX(醫師週班表!$C$5:$T$44,$CU39,AI$57),""),3,1)="隔",IF(AI$58=0,LEFT(IFERROR(INDEX(醫師週班表!$C$5:$T$44,$CU39,AI$57),""),1),""),IF(MID(IFERROR(INDEX(醫師週班表!$C$5:$T$44,$CU39,AI$57),""),2,1)="(",LEFT(IFERROR(INDEX(醫師週班表!$C$5:$T$44,$CU39,AI$57),""),1),IFERROR(INDEX(醫師週班表!$C$5:$T$44,$CU39,AI$57),"")))))))</f>
        <v/>
      </c>
      <c r="AJ39" s="68">
        <f>IF(AJ$59="X","",IF(AJ$59&lt;&gt;"",AJ$59,IF(IFERROR(INDEX(醫師週班表!$C$5:$T$44,$CU39,AJ$57),"")=0,"",IF(MID(IFERROR(INDEX(醫師週班表!$C$5:$T$44,$CU39,AJ$57),""),2,1)="/",MID(IFERROR(INDEX(醫師週班表!$C$5:$T$44,$CU39,AJ$57),""),1+AJ$58*2,1),IF(MID(IFERROR(INDEX(醫師週班表!$C$5:$T$44,$CU39,AJ$57),""),3,1)="隔",IF(AJ$58=0,LEFT(IFERROR(INDEX(醫師週班表!$C$5:$T$44,$CU39,AJ$57),""),1),""),IF(MID(IFERROR(INDEX(醫師週班表!$C$5:$T$44,$CU39,AJ$57),""),2,1)="(",LEFT(IFERROR(INDEX(醫師週班表!$C$5:$T$44,$CU39,AJ$57),""),1),IFERROR(INDEX(醫師週班表!$C$5:$T$44,$CU39,AJ$57),"")))))))</f>
        <v/>
      </c>
      <c r="AK39" s="68">
        <f>IF(AK$59="X","",IF(AK$59&lt;&gt;"",AK$59,IF(IFERROR(INDEX(醫師週班表!$C$5:$T$44,$CU39,AK$57),"")=0,"",IF(MID(IFERROR(INDEX(醫師週班表!$C$5:$T$44,$CU39,AK$57),""),2,1)="/",MID(IFERROR(INDEX(醫師週班表!$C$5:$T$44,$CU39,AK$57),""),1+AK$58*2,1),IF(MID(IFERROR(INDEX(醫師週班表!$C$5:$T$44,$CU39,AK$57),""),3,1)="隔",IF(AK$58=0,LEFT(IFERROR(INDEX(醫師週班表!$C$5:$T$44,$CU39,AK$57),""),1),""),IF(MID(IFERROR(INDEX(醫師週班表!$C$5:$T$44,$CU39,AK$57),""),2,1)="(",LEFT(IFERROR(INDEX(醫師週班表!$C$5:$T$44,$CU39,AK$57),""),1),IFERROR(INDEX(醫師週班表!$C$5:$T$44,$CU39,AK$57),"")))))))</f>
        <v/>
      </c>
      <c r="AL39" s="67">
        <f>IF(AL$59="X","",IF(AL$59&lt;&gt;"",AL$59,IF(IFERROR(INDEX(醫師週班表!$C$5:$T$44,$CU39,AL$57),"")=0,"",IF(MID(IFERROR(INDEX(醫師週班表!$C$5:$T$44,$CU39,AL$57),""),2,1)="/",MID(IFERROR(INDEX(醫師週班表!$C$5:$T$44,$CU39,AL$57),""),1+AL$58*2,1),IF(MID(IFERROR(INDEX(醫師週班表!$C$5:$T$44,$CU39,AL$57),""),3,1)="隔",IF(AL$58=0,LEFT(IFERROR(INDEX(醫師週班表!$C$5:$T$44,$CU39,AL$57),""),1),""),IF(MID(IFERROR(INDEX(醫師週班表!$C$5:$T$44,$CU39,AL$57),""),2,1)="(",LEFT(IFERROR(INDEX(醫師週班表!$C$5:$T$44,$CU39,AL$57),""),1),IFERROR(INDEX(醫師週班表!$C$5:$T$44,$CU39,AL$57),"")))))))</f>
        <v/>
      </c>
      <c r="AM39" s="68">
        <f>IF(AM$59="X","",IF(AM$59&lt;&gt;"",AM$59,IF(IFERROR(INDEX(醫師週班表!$C$5:$T$44,$CU39,AM$57),"")=0,"",IF(MID(IFERROR(INDEX(醫師週班表!$C$5:$T$44,$CU39,AM$57),""),2,1)="/",MID(IFERROR(INDEX(醫師週班表!$C$5:$T$44,$CU39,AM$57),""),1+AM$58*2,1),IF(MID(IFERROR(INDEX(醫師週班表!$C$5:$T$44,$CU39,AM$57),""),3,1)="隔",IF(AM$58=0,LEFT(IFERROR(INDEX(醫師週班表!$C$5:$T$44,$CU39,AM$57),""),1),""),IF(MID(IFERROR(INDEX(醫師週班表!$C$5:$T$44,$CU39,AM$57),""),2,1)="(",LEFT(IFERROR(INDEX(醫師週班表!$C$5:$T$44,$CU39,AM$57),""),1),IFERROR(INDEX(醫師週班表!$C$5:$T$44,$CU39,AM$57),"")))))))</f>
        <v/>
      </c>
      <c r="AN39" s="68">
        <f>IF(AN$59="X","",IF(AN$59&lt;&gt;"",AN$59,IF(IFERROR(INDEX(醫師週班表!$C$5:$T$44,$CU39,AN$57),"")=0,"",IF(MID(IFERROR(INDEX(醫師週班表!$C$5:$T$44,$CU39,AN$57),""),2,1)="/",MID(IFERROR(INDEX(醫師週班表!$C$5:$T$44,$CU39,AN$57),""),1+AN$58*2,1),IF(MID(IFERROR(INDEX(醫師週班表!$C$5:$T$44,$CU39,AN$57),""),3,1)="隔",IF(AN$58=0,LEFT(IFERROR(INDEX(醫師週班表!$C$5:$T$44,$CU39,AN$57),""),1),""),IF(MID(IFERROR(INDEX(醫師週班表!$C$5:$T$44,$CU39,AN$57),""),2,1)="(",LEFT(IFERROR(INDEX(醫師週班表!$C$5:$T$44,$CU39,AN$57),""),1),IFERROR(INDEX(醫師週班表!$C$5:$T$44,$CU39,AN$57),"")))))))</f>
        <v/>
      </c>
      <c r="AO39" s="67">
        <f>IF(AO$59="X","",IF(AO$59&lt;&gt;"",AO$59,IF(IFERROR(INDEX(醫師週班表!$C$5:$T$44,$CU39,AO$57),"")=0,"",IF(MID(IFERROR(INDEX(醫師週班表!$C$5:$T$44,$CU39,AO$57),""),2,1)="/",MID(IFERROR(INDEX(醫師週班表!$C$5:$T$44,$CU39,AO$57),""),1+AO$58*2,1),IF(MID(IFERROR(INDEX(醫師週班表!$C$5:$T$44,$CU39,AO$57),""),3,1)="隔",IF(AO$58=0,LEFT(IFERROR(INDEX(醫師週班表!$C$5:$T$44,$CU39,AO$57),""),1),""),IF(MID(IFERROR(INDEX(醫師週班表!$C$5:$T$44,$CU39,AO$57),""),2,1)="(",LEFT(IFERROR(INDEX(醫師週班表!$C$5:$T$44,$CU39,AO$57),""),1),IFERROR(INDEX(醫師週班表!$C$5:$T$44,$CU39,AO$57),"")))))))</f>
        <v/>
      </c>
      <c r="AP39" s="68">
        <f>IF(AP$59="X","",IF(AP$59&lt;&gt;"",AP$59,IF(IFERROR(INDEX(醫師週班表!$C$5:$T$44,$CU39,AP$57),"")=0,"",IF(MID(IFERROR(INDEX(醫師週班表!$C$5:$T$44,$CU39,AP$57),""),2,1)="/",MID(IFERROR(INDEX(醫師週班表!$C$5:$T$44,$CU39,AP$57),""),1+AP$58*2,1),IF(MID(IFERROR(INDEX(醫師週班表!$C$5:$T$44,$CU39,AP$57),""),3,1)="隔",IF(AP$58=0,LEFT(IFERROR(INDEX(醫師週班表!$C$5:$T$44,$CU39,AP$57),""),1),""),IF(MID(IFERROR(INDEX(醫師週班表!$C$5:$T$44,$CU39,AP$57),""),2,1)="(",LEFT(IFERROR(INDEX(醫師週班表!$C$5:$T$44,$CU39,AP$57),""),1),IFERROR(INDEX(醫師週班表!$C$5:$T$44,$CU39,AP$57),"")))))))</f>
        <v/>
      </c>
      <c r="AQ39" s="68">
        <f>IF(AQ$59="X","",IF(AQ$59&lt;&gt;"",AQ$59,IF(IFERROR(INDEX(醫師週班表!$C$5:$T$44,$CU39,AQ$57),"")=0,"",IF(MID(IFERROR(INDEX(醫師週班表!$C$5:$T$44,$CU39,AQ$57),""),2,1)="/",MID(IFERROR(INDEX(醫師週班表!$C$5:$T$44,$CU39,AQ$57),""),1+AQ$58*2,1),IF(MID(IFERROR(INDEX(醫師週班表!$C$5:$T$44,$CU39,AQ$57),""),3,1)="隔",IF(AQ$58=0,LEFT(IFERROR(INDEX(醫師週班表!$C$5:$T$44,$CU39,AQ$57),""),1),""),IF(MID(IFERROR(INDEX(醫師週班表!$C$5:$T$44,$CU39,AQ$57),""),2,1)="(",LEFT(IFERROR(INDEX(醫師週班表!$C$5:$T$44,$CU39,AQ$57),""),1),IFERROR(INDEX(醫師週班表!$C$5:$T$44,$CU39,AQ$57),"")))))))</f>
        <v/>
      </c>
      <c r="AR39" s="67">
        <f>IF(AR$59="X","",IF(AR$59&lt;&gt;"",AR$59,IF(IFERROR(INDEX(醫師週班表!$C$5:$T$44,$CU39,AR$57),"")=0,"",IF(MID(IFERROR(INDEX(醫師週班表!$C$5:$T$44,$CU39,AR$57),""),2,1)="/",MID(IFERROR(INDEX(醫師週班表!$C$5:$T$44,$CU39,AR$57),""),1+AR$58*2,1),IF(MID(IFERROR(INDEX(醫師週班表!$C$5:$T$44,$CU39,AR$57),""),3,1)="隔",IF(AR$58=0,LEFT(IFERROR(INDEX(醫師週班表!$C$5:$T$44,$CU39,AR$57),""),1),""),IF(MID(IFERROR(INDEX(醫師週班表!$C$5:$T$44,$CU39,AR$57),""),2,1)="(",LEFT(IFERROR(INDEX(醫師週班表!$C$5:$T$44,$CU39,AR$57),""),1),IFERROR(INDEX(醫師週班表!$C$5:$T$44,$CU39,AR$57),"")))))))</f>
        <v/>
      </c>
      <c r="AS39" s="68">
        <f>IF(AS$59="X","",IF(AS$59&lt;&gt;"",AS$59,IF(IFERROR(INDEX(醫師週班表!$C$5:$T$44,$CU39,AS$57),"")=0,"",IF(MID(IFERROR(INDEX(醫師週班表!$C$5:$T$44,$CU39,AS$57),""),2,1)="/",MID(IFERROR(INDEX(醫師週班表!$C$5:$T$44,$CU39,AS$57),""),1+AS$58*2,1),IF(MID(IFERROR(INDEX(醫師週班表!$C$5:$T$44,$CU39,AS$57),""),3,1)="隔",IF(AS$58=0,LEFT(IFERROR(INDEX(醫師週班表!$C$5:$T$44,$CU39,AS$57),""),1),""),IF(MID(IFERROR(INDEX(醫師週班表!$C$5:$T$44,$CU39,AS$57),""),2,1)="(",LEFT(IFERROR(INDEX(醫師週班表!$C$5:$T$44,$CU39,AS$57),""),1),IFERROR(INDEX(醫師週班表!$C$5:$T$44,$CU39,AS$57),"")))))))</f>
        <v/>
      </c>
      <c r="AT39" s="68">
        <f>IF(AT$59="X","",IF(AT$59&lt;&gt;"",AT$59,IF(IFERROR(INDEX(醫師週班表!$C$5:$T$44,$CU39,AT$57),"")=0,"",IF(MID(IFERROR(INDEX(醫師週班表!$C$5:$T$44,$CU39,AT$57),""),2,1)="/",MID(IFERROR(INDEX(醫師週班表!$C$5:$T$44,$CU39,AT$57),""),1+AT$58*2,1),IF(MID(IFERROR(INDEX(醫師週班表!$C$5:$T$44,$CU39,AT$57),""),3,1)="隔",IF(AT$58=0,LEFT(IFERROR(INDEX(醫師週班表!$C$5:$T$44,$CU39,AT$57),""),1),""),IF(MID(IFERROR(INDEX(醫師週班表!$C$5:$T$44,$CU39,AT$57),""),2,1)="(",LEFT(IFERROR(INDEX(醫師週班表!$C$5:$T$44,$CU39,AT$57),""),1),IFERROR(INDEX(醫師週班表!$C$5:$T$44,$CU39,AT$57),"")))))))</f>
        <v/>
      </c>
      <c r="AU39" s="67">
        <f>IF(AU$59="X","",IF(AU$59&lt;&gt;"",AU$59,IF(IFERROR(INDEX(醫師週班表!$C$5:$T$44,$CU39,AU$57),"")=0,"",IF(MID(IFERROR(INDEX(醫師週班表!$C$5:$T$44,$CU39,AU$57),""),2,1)="/",MID(IFERROR(INDEX(醫師週班表!$C$5:$T$44,$CU39,AU$57),""),1+AU$58*2,1),IF(MID(IFERROR(INDEX(醫師週班表!$C$5:$T$44,$CU39,AU$57),""),3,1)="隔",IF(AU$58=0,LEFT(IFERROR(INDEX(醫師週班表!$C$5:$T$44,$CU39,AU$57),""),1),""),IF(MID(IFERROR(INDEX(醫師週班表!$C$5:$T$44,$CU39,AU$57),""),2,1)="(",LEFT(IFERROR(INDEX(醫師週班表!$C$5:$T$44,$CU39,AU$57),""),1),IFERROR(INDEX(醫師週班表!$C$5:$T$44,$CU39,AU$57),"")))))))</f>
        <v/>
      </c>
      <c r="AV39" s="68">
        <f>IF(AV$59="X","",IF(AV$59&lt;&gt;"",AV$59,IF(IFERROR(INDEX(醫師週班表!$C$5:$T$44,$CU39,AV$57),"")=0,"",IF(MID(IFERROR(INDEX(醫師週班表!$C$5:$T$44,$CU39,AV$57),""),2,1)="/",MID(IFERROR(INDEX(醫師週班表!$C$5:$T$44,$CU39,AV$57),""),1+AV$58*2,1),IF(MID(IFERROR(INDEX(醫師週班表!$C$5:$T$44,$CU39,AV$57),""),3,1)="隔",IF(AV$58=0,LEFT(IFERROR(INDEX(醫師週班表!$C$5:$T$44,$CU39,AV$57),""),1),""),IF(MID(IFERROR(INDEX(醫師週班表!$C$5:$T$44,$CU39,AV$57),""),2,1)="(",LEFT(IFERROR(INDEX(醫師週班表!$C$5:$T$44,$CU39,AV$57),""),1),IFERROR(INDEX(醫師週班表!$C$5:$T$44,$CU39,AV$57),"")))))))</f>
        <v/>
      </c>
      <c r="AW39" s="68">
        <f>IF(AW$59="X","",IF(AW$59&lt;&gt;"",AW$59,IF(IFERROR(INDEX(醫師週班表!$C$5:$T$44,$CU39,AW$57),"")=0,"",IF(MID(IFERROR(INDEX(醫師週班表!$C$5:$T$44,$CU39,AW$57),""),2,1)="/",MID(IFERROR(INDEX(醫師週班表!$C$5:$T$44,$CU39,AW$57),""),1+AW$58*2,1),IF(MID(IFERROR(INDEX(醫師週班表!$C$5:$T$44,$CU39,AW$57),""),3,1)="隔",IF(AW$58=0,LEFT(IFERROR(INDEX(醫師週班表!$C$5:$T$44,$CU39,AW$57),""),1),""),IF(MID(IFERROR(INDEX(醫師週班表!$C$5:$T$44,$CU39,AW$57),""),2,1)="(",LEFT(IFERROR(INDEX(醫師週班表!$C$5:$T$44,$CU39,AW$57),""),1),IFERROR(INDEX(醫師週班表!$C$5:$T$44,$CU39,AW$57),"")))))))</f>
        <v/>
      </c>
      <c r="AX39" s="67">
        <f>IF(AX$59="X","",IF(AX$59&lt;&gt;"",AX$59,IF(IFERROR(INDEX(醫師週班表!$C$5:$T$44,$CU39,AX$57),"")=0,"",IF(MID(IFERROR(INDEX(醫師週班表!$C$5:$T$44,$CU39,AX$57),""),2,1)="/",MID(IFERROR(INDEX(醫師週班表!$C$5:$T$44,$CU39,AX$57),""),1+AX$58*2,1),IF(MID(IFERROR(INDEX(醫師週班表!$C$5:$T$44,$CU39,AX$57),""),3,1)="隔",IF(AX$58=0,LEFT(IFERROR(INDEX(醫師週班表!$C$5:$T$44,$CU39,AX$57),""),1),""),IF(MID(IFERROR(INDEX(醫師週班表!$C$5:$T$44,$CU39,AX$57),""),2,1)="(",LEFT(IFERROR(INDEX(醫師週班表!$C$5:$T$44,$CU39,AX$57),""),1),IFERROR(INDEX(醫師週班表!$C$5:$T$44,$CU39,AX$57),"")))))))</f>
        <v/>
      </c>
      <c r="AY39" s="68">
        <f>IF(AY$59="X","",IF(AY$59&lt;&gt;"",AY$59,IF(IFERROR(INDEX(醫師週班表!$C$5:$T$44,$CU39,AY$57),"")=0,"",IF(MID(IFERROR(INDEX(醫師週班表!$C$5:$T$44,$CU39,AY$57),""),2,1)="/",MID(IFERROR(INDEX(醫師週班表!$C$5:$T$44,$CU39,AY$57),""),1+AY$58*2,1),IF(MID(IFERROR(INDEX(醫師週班表!$C$5:$T$44,$CU39,AY$57),""),3,1)="隔",IF(AY$58=0,LEFT(IFERROR(INDEX(醫師週班表!$C$5:$T$44,$CU39,AY$57),""),1),""),IF(MID(IFERROR(INDEX(醫師週班表!$C$5:$T$44,$CU39,AY$57),""),2,1)="(",LEFT(IFERROR(INDEX(醫師週班表!$C$5:$T$44,$CU39,AY$57),""),1),IFERROR(INDEX(醫師週班表!$C$5:$T$44,$CU39,AY$57),"")))))))</f>
        <v/>
      </c>
      <c r="AZ39" s="68">
        <f>IF(AZ$59="X","",IF(AZ$59&lt;&gt;"",AZ$59,IF(IFERROR(INDEX(醫師週班表!$C$5:$T$44,$CU39,AZ$57),"")=0,"",IF(MID(IFERROR(INDEX(醫師週班表!$C$5:$T$44,$CU39,AZ$57),""),2,1)="/",MID(IFERROR(INDEX(醫師週班表!$C$5:$T$44,$CU39,AZ$57),""),1+AZ$58*2,1),IF(MID(IFERROR(INDEX(醫師週班表!$C$5:$T$44,$CU39,AZ$57),""),3,1)="隔",IF(AZ$58=0,LEFT(IFERROR(INDEX(醫師週班表!$C$5:$T$44,$CU39,AZ$57),""),1),""),IF(MID(IFERROR(INDEX(醫師週班表!$C$5:$T$44,$CU39,AZ$57),""),2,1)="(",LEFT(IFERROR(INDEX(醫師週班表!$C$5:$T$44,$CU39,AZ$57),""),1),IFERROR(INDEX(醫師週班表!$C$5:$T$44,$CU39,AZ$57),"")))))))</f>
        <v/>
      </c>
      <c r="BA39" s="67">
        <f>IF(BA$59="X","",IF(BA$59&lt;&gt;"",BA$59,IF(IFERROR(INDEX(醫師週班表!$C$5:$T$44,$CU39,BA$57),"")=0,"",IF(MID(IFERROR(INDEX(醫師週班表!$C$5:$T$44,$CU39,BA$57),""),2,1)="/",MID(IFERROR(INDEX(醫師週班表!$C$5:$T$44,$CU39,BA$57),""),1+BA$58*2,1),IF(MID(IFERROR(INDEX(醫師週班表!$C$5:$T$44,$CU39,BA$57),""),3,1)="隔",IF(BA$58=0,LEFT(IFERROR(INDEX(醫師週班表!$C$5:$T$44,$CU39,BA$57),""),1),""),IF(MID(IFERROR(INDEX(醫師週班表!$C$5:$T$44,$CU39,BA$57),""),2,1)="(",LEFT(IFERROR(INDEX(醫師週班表!$C$5:$T$44,$CU39,BA$57),""),1),IFERROR(INDEX(醫師週班表!$C$5:$T$44,$CU39,BA$57),"")))))))</f>
        <v/>
      </c>
      <c r="BB39" s="68">
        <f>IF(BB$59="X","",IF(BB$59&lt;&gt;"",BB$59,IF(IFERROR(INDEX(醫師週班表!$C$5:$T$44,$CU39,BB$57),"")=0,"",IF(MID(IFERROR(INDEX(醫師週班表!$C$5:$T$44,$CU39,BB$57),""),2,1)="/",MID(IFERROR(INDEX(醫師週班表!$C$5:$T$44,$CU39,BB$57),""),1+BB$58*2,1),IF(MID(IFERROR(INDEX(醫師週班表!$C$5:$T$44,$CU39,BB$57),""),3,1)="隔",IF(BB$58=0,LEFT(IFERROR(INDEX(醫師週班表!$C$5:$T$44,$CU39,BB$57),""),1),""),IF(MID(IFERROR(INDEX(醫師週班表!$C$5:$T$44,$CU39,BB$57),""),2,1)="(",LEFT(IFERROR(INDEX(醫師週班表!$C$5:$T$44,$CU39,BB$57),""),1),IFERROR(INDEX(醫師週班表!$C$5:$T$44,$CU39,BB$57),"")))))))</f>
        <v/>
      </c>
      <c r="BC39" s="68">
        <f>IF(BC$59="X","",IF(BC$59&lt;&gt;"",BC$59,IF(IFERROR(INDEX(醫師週班表!$C$5:$T$44,$CU39,BC$57),"")=0,"",IF(MID(IFERROR(INDEX(醫師週班表!$C$5:$T$44,$CU39,BC$57),""),2,1)="/",MID(IFERROR(INDEX(醫師週班表!$C$5:$T$44,$CU39,BC$57),""),1+BC$58*2,1),IF(MID(IFERROR(INDEX(醫師週班表!$C$5:$T$44,$CU39,BC$57),""),3,1)="隔",IF(BC$58=0,LEFT(IFERROR(INDEX(醫師週班表!$C$5:$T$44,$CU39,BC$57),""),1),""),IF(MID(IFERROR(INDEX(醫師週班表!$C$5:$T$44,$CU39,BC$57),""),2,1)="(",LEFT(IFERROR(INDEX(醫師週班表!$C$5:$T$44,$CU39,BC$57),""),1),IFERROR(INDEX(醫師週班表!$C$5:$T$44,$CU39,BC$57),"")))))))</f>
        <v/>
      </c>
      <c r="BD39" s="67">
        <f>IF(BD$59="X","",IF(BD$59&lt;&gt;"",BD$59,IF(IFERROR(INDEX(醫師週班表!$C$5:$T$44,$CU39,BD$57),"")=0,"",IF(MID(IFERROR(INDEX(醫師週班表!$C$5:$T$44,$CU39,BD$57),""),2,1)="/",MID(IFERROR(INDEX(醫師週班表!$C$5:$T$44,$CU39,BD$57),""),1+BD$58*2,1),IF(MID(IFERROR(INDEX(醫師週班表!$C$5:$T$44,$CU39,BD$57),""),3,1)="隔",IF(BD$58=0,LEFT(IFERROR(INDEX(醫師週班表!$C$5:$T$44,$CU39,BD$57),""),1),""),IF(MID(IFERROR(INDEX(醫師週班表!$C$5:$T$44,$CU39,BD$57),""),2,1)="(",LEFT(IFERROR(INDEX(醫師週班表!$C$5:$T$44,$CU39,BD$57),""),1),IFERROR(INDEX(醫師週班表!$C$5:$T$44,$CU39,BD$57),"")))))))</f>
        <v/>
      </c>
      <c r="BE39" s="68">
        <f>IF(BE$59="X","",IF(BE$59&lt;&gt;"",BE$59,IF(IFERROR(INDEX(醫師週班表!$C$5:$T$44,$CU39,BE$57),"")=0,"",IF(MID(IFERROR(INDEX(醫師週班表!$C$5:$T$44,$CU39,BE$57),""),2,1)="/",MID(IFERROR(INDEX(醫師週班表!$C$5:$T$44,$CU39,BE$57),""),1+BE$58*2,1),IF(MID(IFERROR(INDEX(醫師週班表!$C$5:$T$44,$CU39,BE$57),""),3,1)="隔",IF(BE$58=0,LEFT(IFERROR(INDEX(醫師週班表!$C$5:$T$44,$CU39,BE$57),""),1),""),IF(MID(IFERROR(INDEX(醫師週班表!$C$5:$T$44,$CU39,BE$57),""),2,1)="(",LEFT(IFERROR(INDEX(醫師週班表!$C$5:$T$44,$CU39,BE$57),""),1),IFERROR(INDEX(醫師週班表!$C$5:$T$44,$CU39,BE$57),"")))))))</f>
        <v/>
      </c>
      <c r="BF39" s="68">
        <f>IF(BF$59="X","",IF(BF$59&lt;&gt;"",BF$59,IF(IFERROR(INDEX(醫師週班表!$C$5:$T$44,$CU39,BF$57),"")=0,"",IF(MID(IFERROR(INDEX(醫師週班表!$C$5:$T$44,$CU39,BF$57),""),2,1)="/",MID(IFERROR(INDEX(醫師週班表!$C$5:$T$44,$CU39,BF$57),""),1+BF$58*2,1),IF(MID(IFERROR(INDEX(醫師週班表!$C$5:$T$44,$CU39,BF$57),""),3,1)="隔",IF(BF$58=0,LEFT(IFERROR(INDEX(醫師週班表!$C$5:$T$44,$CU39,BF$57),""),1),""),IF(MID(IFERROR(INDEX(醫師週班表!$C$5:$T$44,$CU39,BF$57),""),2,1)="(",LEFT(IFERROR(INDEX(醫師週班表!$C$5:$T$44,$CU39,BF$57),""),1),IFERROR(INDEX(醫師週班表!$C$5:$T$44,$CU39,BF$57),"")))))))</f>
        <v/>
      </c>
      <c r="BG39" s="67">
        <f>IF(BG$59="X","",IF(BG$59&lt;&gt;"",BG$59,IF(IFERROR(INDEX(醫師週班表!$C$5:$T$44,$CU39,BG$57),"")=0,"",IF(MID(IFERROR(INDEX(醫師週班表!$C$5:$T$44,$CU39,BG$57),""),2,1)="/",MID(IFERROR(INDEX(醫師週班表!$C$5:$T$44,$CU39,BG$57),""),1+BG$58*2,1),IF(MID(IFERROR(INDEX(醫師週班表!$C$5:$T$44,$CU39,BG$57),""),3,1)="隔",IF(BG$58=0,LEFT(IFERROR(INDEX(醫師週班表!$C$5:$T$44,$CU39,BG$57),""),1),""),IF(MID(IFERROR(INDEX(醫師週班表!$C$5:$T$44,$CU39,BG$57),""),2,1)="(",LEFT(IFERROR(INDEX(醫師週班表!$C$5:$T$44,$CU39,BG$57),""),1),IFERROR(INDEX(醫師週班表!$C$5:$T$44,$CU39,BG$57),"")))))))</f>
        <v/>
      </c>
      <c r="BH39" s="68">
        <f>IF(BH$59="X","",IF(BH$59&lt;&gt;"",BH$59,IF(IFERROR(INDEX(醫師週班表!$C$5:$T$44,$CU39,BH$57),"")=0,"",IF(MID(IFERROR(INDEX(醫師週班表!$C$5:$T$44,$CU39,BH$57),""),2,1)="/",MID(IFERROR(INDEX(醫師週班表!$C$5:$T$44,$CU39,BH$57),""),1+BH$58*2,1),IF(MID(IFERROR(INDEX(醫師週班表!$C$5:$T$44,$CU39,BH$57),""),3,1)="隔",IF(BH$58=0,LEFT(IFERROR(INDEX(醫師週班表!$C$5:$T$44,$CU39,BH$57),""),1),""),IF(MID(IFERROR(INDEX(醫師週班表!$C$5:$T$44,$CU39,BH$57),""),2,1)="(",LEFT(IFERROR(INDEX(醫師週班表!$C$5:$T$44,$CU39,BH$57),""),1),IFERROR(INDEX(醫師週班表!$C$5:$T$44,$CU39,BH$57),"")))))))</f>
        <v/>
      </c>
      <c r="BI39" s="68">
        <f>IF(BI$59="X","",IF(BI$59&lt;&gt;"",BI$59,IF(IFERROR(INDEX(醫師週班表!$C$5:$T$44,$CU39,BI$57),"")=0,"",IF(MID(IFERROR(INDEX(醫師週班表!$C$5:$T$44,$CU39,BI$57),""),2,1)="/",MID(IFERROR(INDEX(醫師週班表!$C$5:$T$44,$CU39,BI$57),""),1+BI$58*2,1),IF(MID(IFERROR(INDEX(醫師週班表!$C$5:$T$44,$CU39,BI$57),""),3,1)="隔",IF(BI$58=0,LEFT(IFERROR(INDEX(醫師週班表!$C$5:$T$44,$CU39,BI$57),""),1),""),IF(MID(IFERROR(INDEX(醫師週班表!$C$5:$T$44,$CU39,BI$57),""),2,1)="(",LEFT(IFERROR(INDEX(醫師週班表!$C$5:$T$44,$CU39,BI$57),""),1),IFERROR(INDEX(醫師週班表!$C$5:$T$44,$CU39,BI$57),"")))))))</f>
        <v/>
      </c>
      <c r="BJ39" s="67">
        <f>IF(BJ$59="X","",IF(BJ$59&lt;&gt;"",BJ$59,IF(IFERROR(INDEX(醫師週班表!$C$5:$T$44,$CU39,BJ$57),"")=0,"",IF(MID(IFERROR(INDEX(醫師週班表!$C$5:$T$44,$CU39,BJ$57),""),2,1)="/",MID(IFERROR(INDEX(醫師週班表!$C$5:$T$44,$CU39,BJ$57),""),1+BJ$58*2,1),IF(MID(IFERROR(INDEX(醫師週班表!$C$5:$T$44,$CU39,BJ$57),""),3,1)="隔",IF(BJ$58=0,LEFT(IFERROR(INDEX(醫師週班表!$C$5:$T$44,$CU39,BJ$57),""),1),""),IF(MID(IFERROR(INDEX(醫師週班表!$C$5:$T$44,$CU39,BJ$57),""),2,1)="(",LEFT(IFERROR(INDEX(醫師週班表!$C$5:$T$44,$CU39,BJ$57),""),1),IFERROR(INDEX(醫師週班表!$C$5:$T$44,$CU39,BJ$57),"")))))))</f>
        <v/>
      </c>
      <c r="BK39" s="68">
        <f>IF(BK$59="X","",IF(BK$59&lt;&gt;"",BK$59,IF(IFERROR(INDEX(醫師週班表!$C$5:$T$44,$CU39,BK$57),"")=0,"",IF(MID(IFERROR(INDEX(醫師週班表!$C$5:$T$44,$CU39,BK$57),""),2,1)="/",MID(IFERROR(INDEX(醫師週班表!$C$5:$T$44,$CU39,BK$57),""),1+BK$58*2,1),IF(MID(IFERROR(INDEX(醫師週班表!$C$5:$T$44,$CU39,BK$57),""),3,1)="隔",IF(BK$58=0,LEFT(IFERROR(INDEX(醫師週班表!$C$5:$T$44,$CU39,BK$57),""),1),""),IF(MID(IFERROR(INDEX(醫師週班表!$C$5:$T$44,$CU39,BK$57),""),2,1)="(",LEFT(IFERROR(INDEX(醫師週班表!$C$5:$T$44,$CU39,BK$57),""),1),IFERROR(INDEX(醫師週班表!$C$5:$T$44,$CU39,BK$57),"")))))))</f>
        <v/>
      </c>
      <c r="BL39" s="68">
        <f>IF(BL$59="X","",IF(BL$59&lt;&gt;"",BL$59,IF(IFERROR(INDEX(醫師週班表!$C$5:$T$44,$CU39,BL$57),"")=0,"",IF(MID(IFERROR(INDEX(醫師週班表!$C$5:$T$44,$CU39,BL$57),""),2,1)="/",MID(IFERROR(INDEX(醫師週班表!$C$5:$T$44,$CU39,BL$57),""),1+BL$58*2,1),IF(MID(IFERROR(INDEX(醫師週班表!$C$5:$T$44,$CU39,BL$57),""),3,1)="隔",IF(BL$58=0,LEFT(IFERROR(INDEX(醫師週班表!$C$5:$T$44,$CU39,BL$57),""),1),""),IF(MID(IFERROR(INDEX(醫師週班表!$C$5:$T$44,$CU39,BL$57),""),2,1)="(",LEFT(IFERROR(INDEX(醫師週班表!$C$5:$T$44,$CU39,BL$57),""),1),IFERROR(INDEX(醫師週班表!$C$5:$T$44,$CU39,BL$57),"")))))))</f>
        <v/>
      </c>
      <c r="BM39" s="67">
        <f>IF(BM$59="X","",IF(BM$59&lt;&gt;"",BM$59,IF(IFERROR(INDEX(醫師週班表!$C$5:$T$44,$CU39,BM$57),"")=0,"",IF(MID(IFERROR(INDEX(醫師週班表!$C$5:$T$44,$CU39,BM$57),""),2,1)="/",MID(IFERROR(INDEX(醫師週班表!$C$5:$T$44,$CU39,BM$57),""),1+BM$58*2,1),IF(MID(IFERROR(INDEX(醫師週班表!$C$5:$T$44,$CU39,BM$57),""),3,1)="隔",IF(BM$58=0,LEFT(IFERROR(INDEX(醫師週班表!$C$5:$T$44,$CU39,BM$57),""),1),""),IF(MID(IFERROR(INDEX(醫師週班表!$C$5:$T$44,$CU39,BM$57),""),2,1)="(",LEFT(IFERROR(INDEX(醫師週班表!$C$5:$T$44,$CU39,BM$57),""),1),IFERROR(INDEX(醫師週班表!$C$5:$T$44,$CU39,BM$57),"")))))))</f>
        <v/>
      </c>
      <c r="BN39" s="68">
        <f>IF(BN$59="X","",IF(BN$59&lt;&gt;"",BN$59,IF(IFERROR(INDEX(醫師週班表!$C$5:$T$44,$CU39,BN$57),"")=0,"",IF(MID(IFERROR(INDEX(醫師週班表!$C$5:$T$44,$CU39,BN$57),""),2,1)="/",MID(IFERROR(INDEX(醫師週班表!$C$5:$T$44,$CU39,BN$57),""),1+BN$58*2,1),IF(MID(IFERROR(INDEX(醫師週班表!$C$5:$T$44,$CU39,BN$57),""),3,1)="隔",IF(BN$58=0,LEFT(IFERROR(INDEX(醫師週班表!$C$5:$T$44,$CU39,BN$57),""),1),""),IF(MID(IFERROR(INDEX(醫師週班表!$C$5:$T$44,$CU39,BN$57),""),2,1)="(",LEFT(IFERROR(INDEX(醫師週班表!$C$5:$T$44,$CU39,BN$57),""),1),IFERROR(INDEX(醫師週班表!$C$5:$T$44,$CU39,BN$57),"")))))))</f>
        <v/>
      </c>
      <c r="BO39" s="68">
        <f>IF(BO$59="X","",IF(BO$59&lt;&gt;"",BO$59,IF(IFERROR(INDEX(醫師週班表!$C$5:$T$44,$CU39,BO$57),"")=0,"",IF(MID(IFERROR(INDEX(醫師週班表!$C$5:$T$44,$CU39,BO$57),""),2,1)="/",MID(IFERROR(INDEX(醫師週班表!$C$5:$T$44,$CU39,BO$57),""),1+BO$58*2,1),IF(MID(IFERROR(INDEX(醫師週班表!$C$5:$T$44,$CU39,BO$57),""),3,1)="隔",IF(BO$58=0,LEFT(IFERROR(INDEX(醫師週班表!$C$5:$T$44,$CU39,BO$57),""),1),""),IF(MID(IFERROR(INDEX(醫師週班表!$C$5:$T$44,$CU39,BO$57),""),2,1)="(",LEFT(IFERROR(INDEX(醫師週班表!$C$5:$T$44,$CU39,BO$57),""),1),IFERROR(INDEX(醫師週班表!$C$5:$T$44,$CU39,BO$57),"")))))))</f>
        <v/>
      </c>
      <c r="BP39" s="67">
        <f>IF(BP$59="X","",IF(BP$59&lt;&gt;"",BP$59,IF(IFERROR(INDEX(醫師週班表!$C$5:$T$44,$CU39,BP$57),"")=0,"",IF(MID(IFERROR(INDEX(醫師週班表!$C$5:$T$44,$CU39,BP$57),""),2,1)="/",MID(IFERROR(INDEX(醫師週班表!$C$5:$T$44,$CU39,BP$57),""),1+BP$58*2,1),IF(MID(IFERROR(INDEX(醫師週班表!$C$5:$T$44,$CU39,BP$57),""),3,1)="隔",IF(BP$58=0,LEFT(IFERROR(INDEX(醫師週班表!$C$5:$T$44,$CU39,BP$57),""),1),""),IF(MID(IFERROR(INDEX(醫師週班表!$C$5:$T$44,$CU39,BP$57),""),2,1)="(",LEFT(IFERROR(INDEX(醫師週班表!$C$5:$T$44,$CU39,BP$57),""),1),IFERROR(INDEX(醫師週班表!$C$5:$T$44,$CU39,BP$57),"")))))))</f>
        <v/>
      </c>
      <c r="BQ39" s="68">
        <f>IF(BQ$59="X","",IF(BQ$59&lt;&gt;"",BQ$59,IF(IFERROR(INDEX(醫師週班表!$C$5:$T$44,$CU39,BQ$57),"")=0,"",IF(MID(IFERROR(INDEX(醫師週班表!$C$5:$T$44,$CU39,BQ$57),""),2,1)="/",MID(IFERROR(INDEX(醫師週班表!$C$5:$T$44,$CU39,BQ$57),""),1+BQ$58*2,1),IF(MID(IFERROR(INDEX(醫師週班表!$C$5:$T$44,$CU39,BQ$57),""),3,1)="隔",IF(BQ$58=0,LEFT(IFERROR(INDEX(醫師週班表!$C$5:$T$44,$CU39,BQ$57),""),1),""),IF(MID(IFERROR(INDEX(醫師週班表!$C$5:$T$44,$CU39,BQ$57),""),2,1)="(",LEFT(IFERROR(INDEX(醫師週班表!$C$5:$T$44,$CU39,BQ$57),""),1),IFERROR(INDEX(醫師週班表!$C$5:$T$44,$CU39,BQ$57),"")))))))</f>
        <v/>
      </c>
      <c r="BR39" s="68">
        <f>IF(BR$59="X","",IF(BR$59&lt;&gt;"",BR$59,IF(IFERROR(INDEX(醫師週班表!$C$5:$T$44,$CU39,BR$57),"")=0,"",IF(MID(IFERROR(INDEX(醫師週班表!$C$5:$T$44,$CU39,BR$57),""),2,1)="/",MID(IFERROR(INDEX(醫師週班表!$C$5:$T$44,$CU39,BR$57),""),1+BR$58*2,1),IF(MID(IFERROR(INDEX(醫師週班表!$C$5:$T$44,$CU39,BR$57),""),3,1)="隔",IF(BR$58=0,LEFT(IFERROR(INDEX(醫師週班表!$C$5:$T$44,$CU39,BR$57),""),1),""),IF(MID(IFERROR(INDEX(醫師週班表!$C$5:$T$44,$CU39,BR$57),""),2,1)="(",LEFT(IFERROR(INDEX(醫師週班表!$C$5:$T$44,$CU39,BR$57),""),1),IFERROR(INDEX(醫師週班表!$C$5:$T$44,$CU39,BR$57),"")))))))</f>
        <v/>
      </c>
      <c r="BS39" s="67">
        <f>IF(BS$59="X","",IF(BS$59&lt;&gt;"",BS$59,IF(IFERROR(INDEX(醫師週班表!$C$5:$T$44,$CU39,BS$57),"")=0,"",IF(MID(IFERROR(INDEX(醫師週班表!$C$5:$T$44,$CU39,BS$57),""),2,1)="/",MID(IFERROR(INDEX(醫師週班表!$C$5:$T$44,$CU39,BS$57),""),1+BS$58*2,1),IF(MID(IFERROR(INDEX(醫師週班表!$C$5:$T$44,$CU39,BS$57),""),3,1)="隔",IF(BS$58=0,LEFT(IFERROR(INDEX(醫師週班表!$C$5:$T$44,$CU39,BS$57),""),1),""),IF(MID(IFERROR(INDEX(醫師週班表!$C$5:$T$44,$CU39,BS$57),""),2,1)="(",LEFT(IFERROR(INDEX(醫師週班表!$C$5:$T$44,$CU39,BS$57),""),1),IFERROR(INDEX(醫師週班表!$C$5:$T$44,$CU39,BS$57),"")))))))</f>
        <v/>
      </c>
      <c r="BT39" s="68">
        <f>IF(BT$59="X","",IF(BT$59&lt;&gt;"",BT$59,IF(IFERROR(INDEX(醫師週班表!$C$5:$T$44,$CU39,BT$57),"")=0,"",IF(MID(IFERROR(INDEX(醫師週班表!$C$5:$T$44,$CU39,BT$57),""),2,1)="/",MID(IFERROR(INDEX(醫師週班表!$C$5:$T$44,$CU39,BT$57),""),1+BT$58*2,1),IF(MID(IFERROR(INDEX(醫師週班表!$C$5:$T$44,$CU39,BT$57),""),3,1)="隔",IF(BT$58=0,LEFT(IFERROR(INDEX(醫師週班表!$C$5:$T$44,$CU39,BT$57),""),1),""),IF(MID(IFERROR(INDEX(醫師週班表!$C$5:$T$44,$CU39,BT$57),""),2,1)="(",LEFT(IFERROR(INDEX(醫師週班表!$C$5:$T$44,$CU39,BT$57),""),1),IFERROR(INDEX(醫師週班表!$C$5:$T$44,$CU39,BT$57),"")))))))</f>
        <v/>
      </c>
      <c r="BU39" s="68">
        <f>IF(BU$59="X","",IF(BU$59&lt;&gt;"",BU$59,IF(IFERROR(INDEX(醫師週班表!$C$5:$T$44,$CU39,BU$57),"")=0,"",IF(MID(IFERROR(INDEX(醫師週班表!$C$5:$T$44,$CU39,BU$57),""),2,1)="/",MID(IFERROR(INDEX(醫師週班表!$C$5:$T$44,$CU39,BU$57),""),1+BU$58*2,1),IF(MID(IFERROR(INDEX(醫師週班表!$C$5:$T$44,$CU39,BU$57),""),3,1)="隔",IF(BU$58=0,LEFT(IFERROR(INDEX(醫師週班表!$C$5:$T$44,$CU39,BU$57),""),1),""),IF(MID(IFERROR(INDEX(醫師週班表!$C$5:$T$44,$CU39,BU$57),""),2,1)="(",LEFT(IFERROR(INDEX(醫師週班表!$C$5:$T$44,$CU39,BU$57),""),1),IFERROR(INDEX(醫師週班表!$C$5:$T$44,$CU39,BU$57),"")))))))</f>
        <v/>
      </c>
      <c r="BV39" s="67">
        <f>IF(BV$59="X","",IF(BV$59&lt;&gt;"",BV$59,IF(IFERROR(INDEX(醫師週班表!$C$5:$T$44,$CU39,BV$57),"")=0,"",IF(MID(IFERROR(INDEX(醫師週班表!$C$5:$T$44,$CU39,BV$57),""),2,1)="/",MID(IFERROR(INDEX(醫師週班表!$C$5:$T$44,$CU39,BV$57),""),1+BV$58*2,1),IF(MID(IFERROR(INDEX(醫師週班表!$C$5:$T$44,$CU39,BV$57),""),3,1)="隔",IF(BV$58=0,LEFT(IFERROR(INDEX(醫師週班表!$C$5:$T$44,$CU39,BV$57),""),1),""),IF(MID(IFERROR(INDEX(醫師週班表!$C$5:$T$44,$CU39,BV$57),""),2,1)="(",LEFT(IFERROR(INDEX(醫師週班表!$C$5:$T$44,$CU39,BV$57),""),1),IFERROR(INDEX(醫師週班表!$C$5:$T$44,$CU39,BV$57),"")))))))</f>
        <v/>
      </c>
      <c r="BW39" s="68">
        <f>IF(BW$59="X","",IF(BW$59&lt;&gt;"",BW$59,IF(IFERROR(INDEX(醫師週班表!$C$5:$T$44,$CU39,BW$57),"")=0,"",IF(MID(IFERROR(INDEX(醫師週班表!$C$5:$T$44,$CU39,BW$57),""),2,1)="/",MID(IFERROR(INDEX(醫師週班表!$C$5:$T$44,$CU39,BW$57),""),1+BW$58*2,1),IF(MID(IFERROR(INDEX(醫師週班表!$C$5:$T$44,$CU39,BW$57),""),3,1)="隔",IF(BW$58=0,LEFT(IFERROR(INDEX(醫師週班表!$C$5:$T$44,$CU39,BW$57),""),1),""),IF(MID(IFERROR(INDEX(醫師週班表!$C$5:$T$44,$CU39,BW$57),""),2,1)="(",LEFT(IFERROR(INDEX(醫師週班表!$C$5:$T$44,$CU39,BW$57),""),1),IFERROR(INDEX(醫師週班表!$C$5:$T$44,$CU39,BW$57),"")))))))</f>
        <v/>
      </c>
      <c r="BX39" s="68">
        <f>IF(BX$59="X","",IF(BX$59&lt;&gt;"",BX$59,IF(IFERROR(INDEX(醫師週班表!$C$5:$T$44,$CU39,BX$57),"")=0,"",IF(MID(IFERROR(INDEX(醫師週班表!$C$5:$T$44,$CU39,BX$57),""),2,1)="/",MID(IFERROR(INDEX(醫師週班表!$C$5:$T$44,$CU39,BX$57),""),1+BX$58*2,1),IF(MID(IFERROR(INDEX(醫師週班表!$C$5:$T$44,$CU39,BX$57),""),3,1)="隔",IF(BX$58=0,LEFT(IFERROR(INDEX(醫師週班表!$C$5:$T$44,$CU39,BX$57),""),1),""),IF(MID(IFERROR(INDEX(醫師週班表!$C$5:$T$44,$CU39,BX$57),""),2,1)="(",LEFT(IFERROR(INDEX(醫師週班表!$C$5:$T$44,$CU39,BX$57),""),1),IFERROR(INDEX(醫師週班表!$C$5:$T$44,$CU39,BX$57),"")))))))</f>
        <v/>
      </c>
      <c r="BY39" s="67">
        <f>IF(BY$59="X","",IF(BY$59&lt;&gt;"",BY$59,IF(IFERROR(INDEX(醫師週班表!$C$5:$T$44,$CU39,BY$57),"")=0,"",IF(MID(IFERROR(INDEX(醫師週班表!$C$5:$T$44,$CU39,BY$57),""),2,1)="/",MID(IFERROR(INDEX(醫師週班表!$C$5:$T$44,$CU39,BY$57),""),1+BY$58*2,1),IF(MID(IFERROR(INDEX(醫師週班表!$C$5:$T$44,$CU39,BY$57),""),3,1)="隔",IF(BY$58=0,LEFT(IFERROR(INDEX(醫師週班表!$C$5:$T$44,$CU39,BY$57),""),1),""),IF(MID(IFERROR(INDEX(醫師週班表!$C$5:$T$44,$CU39,BY$57),""),2,1)="(",LEFT(IFERROR(INDEX(醫師週班表!$C$5:$T$44,$CU39,BY$57),""),1),IFERROR(INDEX(醫師週班表!$C$5:$T$44,$CU39,BY$57),"")))))))</f>
        <v/>
      </c>
      <c r="BZ39" s="68">
        <f>IF(BZ$59="X","",IF(BZ$59&lt;&gt;"",BZ$59,IF(IFERROR(INDEX(醫師週班表!$C$5:$T$44,$CU39,BZ$57),"")=0,"",IF(MID(IFERROR(INDEX(醫師週班表!$C$5:$T$44,$CU39,BZ$57),""),2,1)="/",MID(IFERROR(INDEX(醫師週班表!$C$5:$T$44,$CU39,BZ$57),""),1+BZ$58*2,1),IF(MID(IFERROR(INDEX(醫師週班表!$C$5:$T$44,$CU39,BZ$57),""),3,1)="隔",IF(BZ$58=0,LEFT(IFERROR(INDEX(醫師週班表!$C$5:$T$44,$CU39,BZ$57),""),1),""),IF(MID(IFERROR(INDEX(醫師週班表!$C$5:$T$44,$CU39,BZ$57),""),2,1)="(",LEFT(IFERROR(INDEX(醫師週班表!$C$5:$T$44,$CU39,BZ$57),""),1),IFERROR(INDEX(醫師週班表!$C$5:$T$44,$CU39,BZ$57),"")))))))</f>
        <v/>
      </c>
      <c r="CA39" s="68">
        <f>IF(CA$59="X","",IF(CA$59&lt;&gt;"",CA$59,IF(IFERROR(INDEX(醫師週班表!$C$5:$T$44,$CU39,CA$57),"")=0,"",IF(MID(IFERROR(INDEX(醫師週班表!$C$5:$T$44,$CU39,CA$57),""),2,1)="/",MID(IFERROR(INDEX(醫師週班表!$C$5:$T$44,$CU39,CA$57),""),1+CA$58*2,1),IF(MID(IFERROR(INDEX(醫師週班表!$C$5:$T$44,$CU39,CA$57),""),3,1)="隔",IF(CA$58=0,LEFT(IFERROR(INDEX(醫師週班表!$C$5:$T$44,$CU39,CA$57),""),1),""),IF(MID(IFERROR(INDEX(醫師週班表!$C$5:$T$44,$CU39,CA$57),""),2,1)="(",LEFT(IFERROR(INDEX(醫師週班表!$C$5:$T$44,$CU39,CA$57),""),1),IFERROR(INDEX(醫師週班表!$C$5:$T$44,$CU39,CA$57),"")))))))</f>
        <v/>
      </c>
      <c r="CB39" s="67">
        <f>IF(CB$59="X","",IF(CB$59&lt;&gt;"",CB$59,IF(IFERROR(INDEX(醫師週班表!$C$5:$T$44,$CU39,CB$57),"")=0,"",IF(MID(IFERROR(INDEX(醫師週班表!$C$5:$T$44,$CU39,CB$57),""),2,1)="/",MID(IFERROR(INDEX(醫師週班表!$C$5:$T$44,$CU39,CB$57),""),1+CB$58*2,1),IF(MID(IFERROR(INDEX(醫師週班表!$C$5:$T$44,$CU39,CB$57),""),3,1)="隔",IF(CB$58=0,LEFT(IFERROR(INDEX(醫師週班表!$C$5:$T$44,$CU39,CB$57),""),1),""),IF(MID(IFERROR(INDEX(醫師週班表!$C$5:$T$44,$CU39,CB$57),""),2,1)="(",LEFT(IFERROR(INDEX(醫師週班表!$C$5:$T$44,$CU39,CB$57),""),1),IFERROR(INDEX(醫師週班表!$C$5:$T$44,$CU39,CB$57),"")))))))</f>
        <v/>
      </c>
      <c r="CC39" s="68">
        <f>IF(CC$59="X","",IF(CC$59&lt;&gt;"",CC$59,IF(IFERROR(INDEX(醫師週班表!$C$5:$T$44,$CU39,CC$57),"")=0,"",IF(MID(IFERROR(INDEX(醫師週班表!$C$5:$T$44,$CU39,CC$57),""),2,1)="/",MID(IFERROR(INDEX(醫師週班表!$C$5:$T$44,$CU39,CC$57),""),1+CC$58*2,1),IF(MID(IFERROR(INDEX(醫師週班表!$C$5:$T$44,$CU39,CC$57),""),3,1)="隔",IF(CC$58=0,LEFT(IFERROR(INDEX(醫師週班表!$C$5:$T$44,$CU39,CC$57),""),1),""),IF(MID(IFERROR(INDEX(醫師週班表!$C$5:$T$44,$CU39,CC$57),""),2,1)="(",LEFT(IFERROR(INDEX(醫師週班表!$C$5:$T$44,$CU39,CC$57),""),1),IFERROR(INDEX(醫師週班表!$C$5:$T$44,$CU39,CC$57),"")))))))</f>
        <v/>
      </c>
      <c r="CD39" s="68">
        <f>IF(CD$59="X","",IF(CD$59&lt;&gt;"",CD$59,IF(IFERROR(INDEX(醫師週班表!$C$5:$T$44,$CU39,CD$57),"")=0,"",IF(MID(IFERROR(INDEX(醫師週班表!$C$5:$T$44,$CU39,CD$57),""),2,1)="/",MID(IFERROR(INDEX(醫師週班表!$C$5:$T$44,$CU39,CD$57),""),1+CD$58*2,1),IF(MID(IFERROR(INDEX(醫師週班表!$C$5:$T$44,$CU39,CD$57),""),3,1)="隔",IF(CD$58=0,LEFT(IFERROR(INDEX(醫師週班表!$C$5:$T$44,$CU39,CD$57),""),1),""),IF(MID(IFERROR(INDEX(醫師週班表!$C$5:$T$44,$CU39,CD$57),""),2,1)="(",LEFT(IFERROR(INDEX(醫師週班表!$C$5:$T$44,$CU39,CD$57),""),1),IFERROR(INDEX(醫師週班表!$C$5:$T$44,$CU39,CD$57),"")))))))</f>
        <v/>
      </c>
      <c r="CE39" s="67">
        <f>IF(CE$59="X","",IF(CE$59&lt;&gt;"",CE$59,IF(IFERROR(INDEX(醫師週班表!$C$5:$T$44,$CU39,CE$57),"")=0,"",IF(MID(IFERROR(INDEX(醫師週班表!$C$5:$T$44,$CU39,CE$57),""),2,1)="/",MID(IFERROR(INDEX(醫師週班表!$C$5:$T$44,$CU39,CE$57),""),1+CE$58*2,1),IF(MID(IFERROR(INDEX(醫師週班表!$C$5:$T$44,$CU39,CE$57),""),3,1)="隔",IF(CE$58=0,LEFT(IFERROR(INDEX(醫師週班表!$C$5:$T$44,$CU39,CE$57),""),1),""),IF(MID(IFERROR(INDEX(醫師週班表!$C$5:$T$44,$CU39,CE$57),""),2,1)="(",LEFT(IFERROR(INDEX(醫師週班表!$C$5:$T$44,$CU39,CE$57),""),1),IFERROR(INDEX(醫師週班表!$C$5:$T$44,$CU39,CE$57),"")))))))</f>
        <v/>
      </c>
      <c r="CF39" s="68">
        <f>IF(CF$59="X","",IF(CF$59&lt;&gt;"",CF$59,IF(IFERROR(INDEX(醫師週班表!$C$5:$T$44,$CU39,CF$57),"")=0,"",IF(MID(IFERROR(INDEX(醫師週班表!$C$5:$T$44,$CU39,CF$57),""),2,1)="/",MID(IFERROR(INDEX(醫師週班表!$C$5:$T$44,$CU39,CF$57),""),1+CF$58*2,1),IF(MID(IFERROR(INDEX(醫師週班表!$C$5:$T$44,$CU39,CF$57),""),3,1)="隔",IF(CF$58=0,LEFT(IFERROR(INDEX(醫師週班表!$C$5:$T$44,$CU39,CF$57),""),1),""),IF(MID(IFERROR(INDEX(醫師週班表!$C$5:$T$44,$CU39,CF$57),""),2,1)="(",LEFT(IFERROR(INDEX(醫師週班表!$C$5:$T$44,$CU39,CF$57),""),1),IFERROR(INDEX(醫師週班表!$C$5:$T$44,$CU39,CF$57),"")))))))</f>
        <v/>
      </c>
      <c r="CG39" s="68">
        <f>IF(CG$59="X","",IF(CG$59&lt;&gt;"",CG$59,IF(IFERROR(INDEX(醫師週班表!$C$5:$T$44,$CU39,CG$57),"")=0,"",IF(MID(IFERROR(INDEX(醫師週班表!$C$5:$T$44,$CU39,CG$57),""),2,1)="/",MID(IFERROR(INDEX(醫師週班表!$C$5:$T$44,$CU39,CG$57),""),1+CG$58*2,1),IF(MID(IFERROR(INDEX(醫師週班表!$C$5:$T$44,$CU39,CG$57),""),3,1)="隔",IF(CG$58=0,LEFT(IFERROR(INDEX(醫師週班表!$C$5:$T$44,$CU39,CG$57),""),1),""),IF(MID(IFERROR(INDEX(醫師週班表!$C$5:$T$44,$CU39,CG$57),""),2,1)="(",LEFT(IFERROR(INDEX(醫師週班表!$C$5:$T$44,$CU39,CG$57),""),1),IFERROR(INDEX(醫師週班表!$C$5:$T$44,$CU39,CG$57),"")))))))</f>
        <v/>
      </c>
      <c r="CH39" s="67">
        <f>IF(CH$59="X","",IF(CH$59&lt;&gt;"",CH$59,IF(IFERROR(INDEX(醫師週班表!$C$5:$T$44,$CU39,CH$57),"")=0,"",IF(MID(IFERROR(INDEX(醫師週班表!$C$5:$T$44,$CU39,CH$57),""),2,1)="/",MID(IFERROR(INDEX(醫師週班表!$C$5:$T$44,$CU39,CH$57),""),1+CH$58*2,1),IF(MID(IFERROR(INDEX(醫師週班表!$C$5:$T$44,$CU39,CH$57),""),3,1)="隔",IF(CH$58=0,LEFT(IFERROR(INDEX(醫師週班表!$C$5:$T$44,$CU39,CH$57),""),1),""),IF(MID(IFERROR(INDEX(醫師週班表!$C$5:$T$44,$CU39,CH$57),""),2,1)="(",LEFT(IFERROR(INDEX(醫師週班表!$C$5:$T$44,$CU39,CH$57),""),1),IFERROR(INDEX(醫師週班表!$C$5:$T$44,$CU39,CH$57),"")))))))</f>
        <v/>
      </c>
      <c r="CI39" s="68">
        <f>IF(CI$59="X","",IF(CI$59&lt;&gt;"",CI$59,IF(IFERROR(INDEX(醫師週班表!$C$5:$T$44,$CU39,CI$57),"")=0,"",IF(MID(IFERROR(INDEX(醫師週班表!$C$5:$T$44,$CU39,CI$57),""),2,1)="/",MID(IFERROR(INDEX(醫師週班表!$C$5:$T$44,$CU39,CI$57),""),1+CI$58*2,1),IF(MID(IFERROR(INDEX(醫師週班表!$C$5:$T$44,$CU39,CI$57),""),3,1)="隔",IF(CI$58=0,LEFT(IFERROR(INDEX(醫師週班表!$C$5:$T$44,$CU39,CI$57),""),1),""),IF(MID(IFERROR(INDEX(醫師週班表!$C$5:$T$44,$CU39,CI$57),""),2,1)="(",LEFT(IFERROR(INDEX(醫師週班表!$C$5:$T$44,$CU39,CI$57),""),1),IFERROR(INDEX(醫師週班表!$C$5:$T$44,$CU39,CI$57),"")))))))</f>
        <v/>
      </c>
      <c r="CJ39" s="68">
        <f>IF(CJ$59="X","",IF(CJ$59&lt;&gt;"",CJ$59,IF(IFERROR(INDEX(醫師週班表!$C$5:$T$44,$CU39,CJ$57),"")=0,"",IF(MID(IFERROR(INDEX(醫師週班表!$C$5:$T$44,$CU39,CJ$57),""),2,1)="/",MID(IFERROR(INDEX(醫師週班表!$C$5:$T$44,$CU39,CJ$57),""),1+CJ$58*2,1),IF(MID(IFERROR(INDEX(醫師週班表!$C$5:$T$44,$CU39,CJ$57),""),3,1)="隔",IF(CJ$58=0,LEFT(IFERROR(INDEX(醫師週班表!$C$5:$T$44,$CU39,CJ$57),""),1),""),IF(MID(IFERROR(INDEX(醫師週班表!$C$5:$T$44,$CU39,CJ$57),""),2,1)="(",LEFT(IFERROR(INDEX(醫師週班表!$C$5:$T$44,$CU39,CJ$57),""),1),IFERROR(INDEX(醫師週班表!$C$5:$T$44,$CU39,CJ$57),"")))))))</f>
        <v/>
      </c>
      <c r="CK39" s="67">
        <f>IF(CK$59="X","",IF(CK$59&lt;&gt;"",CK$59,IF(IFERROR(INDEX(醫師週班表!$C$5:$T$44,$CU39,CK$57),"")=0,"",IF(MID(IFERROR(INDEX(醫師週班表!$C$5:$T$44,$CU39,CK$57),""),2,1)="/",MID(IFERROR(INDEX(醫師週班表!$C$5:$T$44,$CU39,CK$57),""),1+CK$58*2,1),IF(MID(IFERROR(INDEX(醫師週班表!$C$5:$T$44,$CU39,CK$57),""),3,1)="隔",IF(CK$58=0,LEFT(IFERROR(INDEX(醫師週班表!$C$5:$T$44,$CU39,CK$57),""),1),""),IF(MID(IFERROR(INDEX(醫師週班表!$C$5:$T$44,$CU39,CK$57),""),2,1)="(",LEFT(IFERROR(INDEX(醫師週班表!$C$5:$T$44,$CU39,CK$57),""),1),IFERROR(INDEX(醫師週班表!$C$5:$T$44,$CU39,CK$57),"")))))))</f>
        <v/>
      </c>
      <c r="CL39" s="68">
        <f>IF(CL$59="X","",IF(CL$59&lt;&gt;"",CL$59,IF(IFERROR(INDEX(醫師週班表!$C$5:$T$44,$CU39,CL$57),"")=0,"",IF(MID(IFERROR(INDEX(醫師週班表!$C$5:$T$44,$CU39,CL$57),""),2,1)="/",MID(IFERROR(INDEX(醫師週班表!$C$5:$T$44,$CU39,CL$57),""),1+CL$58*2,1),IF(MID(IFERROR(INDEX(醫師週班表!$C$5:$T$44,$CU39,CL$57),""),3,1)="隔",IF(CL$58=0,LEFT(IFERROR(INDEX(醫師週班表!$C$5:$T$44,$CU39,CL$57),""),1),""),IF(MID(IFERROR(INDEX(醫師週班表!$C$5:$T$44,$CU39,CL$57),""),2,1)="(",LEFT(IFERROR(INDEX(醫師週班表!$C$5:$T$44,$CU39,CL$57),""),1),IFERROR(INDEX(醫師週班表!$C$5:$T$44,$CU39,CL$57),"")))))))</f>
        <v/>
      </c>
      <c r="CM39" s="68">
        <f>IF(CM$59="X","",IF(CM$59&lt;&gt;"",CM$59,IF(IFERROR(INDEX(醫師週班表!$C$5:$T$44,$CU39,CM$57),"")=0,"",IF(MID(IFERROR(INDEX(醫師週班表!$C$5:$T$44,$CU39,CM$57),""),2,1)="/",MID(IFERROR(INDEX(醫師週班表!$C$5:$T$44,$CU39,CM$57),""),1+CM$58*2,1),IF(MID(IFERROR(INDEX(醫師週班表!$C$5:$T$44,$CU39,CM$57),""),3,1)="隔",IF(CM$58=0,LEFT(IFERROR(INDEX(醫師週班表!$C$5:$T$44,$CU39,CM$57),""),1),""),IF(MID(IFERROR(INDEX(醫師週班表!$C$5:$T$44,$CU39,CM$57),""),2,1)="(",LEFT(IFERROR(INDEX(醫師週班表!$C$5:$T$44,$CU39,CM$57),""),1),IFERROR(INDEX(醫師週班表!$C$5:$T$44,$CU39,CM$57),"")))))))</f>
        <v/>
      </c>
      <c r="CN39" s="67">
        <f>IF(CN$59="X","",IF(CN$59&lt;&gt;"",CN$59,IF(IFERROR(INDEX(醫師週班表!$C$5:$T$44,$CU39,CN$57),"")=0,"",IF(MID(IFERROR(INDEX(醫師週班表!$C$5:$T$44,$CU39,CN$57),""),2,1)="/",MID(IFERROR(INDEX(醫師週班表!$C$5:$T$44,$CU39,CN$57),""),1+CN$58*2,1),IF(MID(IFERROR(INDEX(醫師週班表!$C$5:$T$44,$CU39,CN$57),""),3,1)="隔",IF(CN$58=0,LEFT(IFERROR(INDEX(醫師週班表!$C$5:$T$44,$CU39,CN$57),""),1),""),IF(MID(IFERROR(INDEX(醫師週班表!$C$5:$T$44,$CU39,CN$57),""),2,1)="(",LEFT(IFERROR(INDEX(醫師週班表!$C$5:$T$44,$CU39,CN$57),""),1),IFERROR(INDEX(醫師週班表!$C$5:$T$44,$CU39,CN$57),"")))))))</f>
        <v/>
      </c>
      <c r="CO39" s="68">
        <f>IF(CO$59="X","",IF(CO$59&lt;&gt;"",CO$59,IF(IFERROR(INDEX(醫師週班表!$C$5:$T$44,$CU39,CO$57),"")=0,"",IF(MID(IFERROR(INDEX(醫師週班表!$C$5:$T$44,$CU39,CO$57),""),2,1)="/",MID(IFERROR(INDEX(醫師週班表!$C$5:$T$44,$CU39,CO$57),""),1+CO$58*2,1),IF(MID(IFERROR(INDEX(醫師週班表!$C$5:$T$44,$CU39,CO$57),""),3,1)="隔",IF(CO$58=0,LEFT(IFERROR(INDEX(醫師週班表!$C$5:$T$44,$CU39,CO$57),""),1),""),IF(MID(IFERROR(INDEX(醫師週班表!$C$5:$T$44,$CU39,CO$57),""),2,1)="(",LEFT(IFERROR(INDEX(醫師週班表!$C$5:$T$44,$CU39,CO$57),""),1),IFERROR(INDEX(醫師週班表!$C$5:$T$44,$CU39,CO$57),"")))))))</f>
        <v/>
      </c>
      <c r="CP39" s="68">
        <f>IF(CP$59="X","",IF(CP$59&lt;&gt;"",CP$59,IF(IFERROR(INDEX(醫師週班表!$C$5:$T$44,$CU39,CP$57),"")=0,"",IF(MID(IFERROR(INDEX(醫師週班表!$C$5:$T$44,$CU39,CP$57),""),2,1)="/",MID(IFERROR(INDEX(醫師週班表!$C$5:$T$44,$CU39,CP$57),""),1+CP$58*2,1),IF(MID(IFERROR(INDEX(醫師週班表!$C$5:$T$44,$CU39,CP$57),""),3,1)="隔",IF(CP$58=0,LEFT(IFERROR(INDEX(醫師週班表!$C$5:$T$44,$CU39,CP$57),""),1),""),IF(MID(IFERROR(INDEX(醫師週班表!$C$5:$T$44,$CU39,CP$57),""),2,1)="(",LEFT(IFERROR(INDEX(醫師週班表!$C$5:$T$44,$CU39,CP$57),""),1),IFERROR(INDEX(醫師週班表!$C$5:$T$44,$CU39,CP$57),"")))))))</f>
        <v/>
      </c>
      <c r="CQ39" s="67">
        <f>IF(CQ$59="X","",IF(CQ$59&lt;&gt;"",CQ$59,IF(IFERROR(INDEX(醫師週班表!$C$5:$T$44,$CU39,CQ$57),"")=0,"",IF(MID(IFERROR(INDEX(醫師週班表!$C$5:$T$44,$CU39,CQ$57),""),2,1)="/",MID(IFERROR(INDEX(醫師週班表!$C$5:$T$44,$CU39,CQ$57),""),1+CQ$58*2,1),IF(MID(IFERROR(INDEX(醫師週班表!$C$5:$T$44,$CU39,CQ$57),""),3,1)="隔",IF(CQ$58=0,LEFT(IFERROR(INDEX(醫師週班表!$C$5:$T$44,$CU39,CQ$57),""),1),""),IF(MID(IFERROR(INDEX(醫師週班表!$C$5:$T$44,$CU39,CQ$57),""),2,1)="(",LEFT(IFERROR(INDEX(醫師週班表!$C$5:$T$44,$CU39,CQ$57),""),1),IFERROR(INDEX(醫師週班表!$C$5:$T$44,$CU39,CQ$57),"")))))))</f>
        <v/>
      </c>
      <c r="CR39" s="68">
        <f>IF(CR$59="X","",IF(CR$59&lt;&gt;"",CR$59,IF(IFERROR(INDEX(醫師週班表!$C$5:$T$44,$CU39,CR$57),"")=0,"",IF(MID(IFERROR(INDEX(醫師週班表!$C$5:$T$44,$CU39,CR$57),""),2,1)="/",MID(IFERROR(INDEX(醫師週班表!$C$5:$T$44,$CU39,CR$57),""),1+CR$58*2,1),IF(MID(IFERROR(INDEX(醫師週班表!$C$5:$T$44,$CU39,CR$57),""),3,1)="隔",IF(CR$58=0,LEFT(IFERROR(INDEX(醫師週班表!$C$5:$T$44,$CU39,CR$57),""),1),""),IF(MID(IFERROR(INDEX(醫師週班表!$C$5:$T$44,$CU39,CR$57),""),2,1)="(",LEFT(IFERROR(INDEX(醫師週班表!$C$5:$T$44,$CU39,CR$57),""),1),IFERROR(INDEX(醫師週班表!$C$5:$T$44,$CU39,CR$57),"")))))))</f>
        <v/>
      </c>
      <c r="CS39" s="68">
        <f>IF(CS$59="X","",IF(CS$59&lt;&gt;"",CS$59,IF(IFERROR(INDEX(醫師週班表!$C$5:$T$44,$CU39,CS$57),"")=0,"",IF(MID(IFERROR(INDEX(醫師週班表!$C$5:$T$44,$CU39,CS$57),""),2,1)="/",MID(IFERROR(INDEX(醫師週班表!$C$5:$T$44,$CU39,CS$57),""),1+CS$58*2,1),IF(MID(IFERROR(INDEX(醫師週班表!$C$5:$T$44,$CU39,CS$57),""),3,1)="隔",IF(CS$58=0,LEFT(IFERROR(INDEX(醫師週班表!$C$5:$T$44,$CU39,CS$57),""),1),""),IF(MID(IFERROR(INDEX(醫師週班表!$C$5:$T$44,$CU39,CS$57),""),2,1)="(",LEFT(IFERROR(INDEX(醫師週班表!$C$5:$T$44,$CU39,CS$57),""),1),IFERROR(INDEX(醫師週班表!$C$5:$T$44,$CU39,CS$57),"")))))))</f>
        <v/>
      </c>
      <c r="CU39" s="69">
        <f>IFERROR(MATCH($A39,醫師週班表!$A$5:$A$44,0),0)</f>
        <v/>
      </c>
    </row>
    <row r="40" ht="17" customHeight="1">
      <c r="A40" s="20" t="n"/>
      <c r="B40" s="16">
        <f>IFERROR(INDEX(設定!$C$62:$C$201,MATCH($A40,設定!$B$62:$B$201,0)),"")</f>
        <v/>
      </c>
      <c r="C40" s="66">
        <f>IFERROR(INDEX(設定!$E$62:$E$201,MATCH($A40,設定!$B$62:$B$201,0)),"")</f>
        <v/>
      </c>
      <c r="D40" s="16">
        <f>IFERROR(INDEX(設定!$F$62:$F$201,MATCH($A40,設定!$B$62:$B$201,0)),"")</f>
        <v/>
      </c>
      <c r="E40" s="67">
        <f>IF(E$59="X","",IF(E$59&lt;&gt;"",E$59,IF(IFERROR(INDEX(醫師週班表!$C$5:$T$44,$CU40,E$57),"")=0,"",IF(MID(IFERROR(INDEX(醫師週班表!$C$5:$T$44,$CU40,E$57),""),2,1)="/",MID(IFERROR(INDEX(醫師週班表!$C$5:$T$44,$CU40,E$57),""),1+E$58*2,1),IF(MID(IFERROR(INDEX(醫師週班表!$C$5:$T$44,$CU40,E$57),""),3,1)="隔",IF(E$58=0,LEFT(IFERROR(INDEX(醫師週班表!$C$5:$T$44,$CU40,E$57),""),1),""),IF(MID(IFERROR(INDEX(醫師週班表!$C$5:$T$44,$CU40,E$57),""),2,1)="(",LEFT(IFERROR(INDEX(醫師週班表!$C$5:$T$44,$CU40,E$57),""),1),IFERROR(INDEX(醫師週班表!$C$5:$T$44,$CU40,E$57),"")))))))</f>
        <v/>
      </c>
      <c r="F40" s="68">
        <f>IF(F$59="X","",IF(F$59&lt;&gt;"",F$59,IF(IFERROR(INDEX(醫師週班表!$C$5:$T$44,$CU40,F$57),"")=0,"",IF(MID(IFERROR(INDEX(醫師週班表!$C$5:$T$44,$CU40,F$57),""),2,1)="/",MID(IFERROR(INDEX(醫師週班表!$C$5:$T$44,$CU40,F$57),""),1+F$58*2,1),IF(MID(IFERROR(INDEX(醫師週班表!$C$5:$T$44,$CU40,F$57),""),3,1)="隔",IF(F$58=0,LEFT(IFERROR(INDEX(醫師週班表!$C$5:$T$44,$CU40,F$57),""),1),""),IF(MID(IFERROR(INDEX(醫師週班表!$C$5:$T$44,$CU40,F$57),""),2,1)="(",LEFT(IFERROR(INDEX(醫師週班表!$C$5:$T$44,$CU40,F$57),""),1),IFERROR(INDEX(醫師週班表!$C$5:$T$44,$CU40,F$57),"")))))))</f>
        <v/>
      </c>
      <c r="G40" s="68">
        <f>IF(G$59="X","",IF(G$59&lt;&gt;"",G$59,IF(IFERROR(INDEX(醫師週班表!$C$5:$T$44,$CU40,G$57),"")=0,"",IF(MID(IFERROR(INDEX(醫師週班表!$C$5:$T$44,$CU40,G$57),""),2,1)="/",MID(IFERROR(INDEX(醫師週班表!$C$5:$T$44,$CU40,G$57),""),1+G$58*2,1),IF(MID(IFERROR(INDEX(醫師週班表!$C$5:$T$44,$CU40,G$57),""),3,1)="隔",IF(G$58=0,LEFT(IFERROR(INDEX(醫師週班表!$C$5:$T$44,$CU40,G$57),""),1),""),IF(MID(IFERROR(INDEX(醫師週班表!$C$5:$T$44,$CU40,G$57),""),2,1)="(",LEFT(IFERROR(INDEX(醫師週班表!$C$5:$T$44,$CU40,G$57),""),1),IFERROR(INDEX(醫師週班表!$C$5:$T$44,$CU40,G$57),"")))))))</f>
        <v/>
      </c>
      <c r="H40" s="67">
        <f>IF(H$59="X","",IF(H$59&lt;&gt;"",H$59,IF(IFERROR(INDEX(醫師週班表!$C$5:$T$44,$CU40,H$57),"")=0,"",IF(MID(IFERROR(INDEX(醫師週班表!$C$5:$T$44,$CU40,H$57),""),2,1)="/",MID(IFERROR(INDEX(醫師週班表!$C$5:$T$44,$CU40,H$57),""),1+H$58*2,1),IF(MID(IFERROR(INDEX(醫師週班表!$C$5:$T$44,$CU40,H$57),""),3,1)="隔",IF(H$58=0,LEFT(IFERROR(INDEX(醫師週班表!$C$5:$T$44,$CU40,H$57),""),1),""),IF(MID(IFERROR(INDEX(醫師週班表!$C$5:$T$44,$CU40,H$57),""),2,1)="(",LEFT(IFERROR(INDEX(醫師週班表!$C$5:$T$44,$CU40,H$57),""),1),IFERROR(INDEX(醫師週班表!$C$5:$T$44,$CU40,H$57),"")))))))</f>
        <v/>
      </c>
      <c r="I40" s="68">
        <f>IF(I$59="X","",IF(I$59&lt;&gt;"",I$59,IF(IFERROR(INDEX(醫師週班表!$C$5:$T$44,$CU40,I$57),"")=0,"",IF(MID(IFERROR(INDEX(醫師週班表!$C$5:$T$44,$CU40,I$57),""),2,1)="/",MID(IFERROR(INDEX(醫師週班表!$C$5:$T$44,$CU40,I$57),""),1+I$58*2,1),IF(MID(IFERROR(INDEX(醫師週班表!$C$5:$T$44,$CU40,I$57),""),3,1)="隔",IF(I$58=0,LEFT(IFERROR(INDEX(醫師週班表!$C$5:$T$44,$CU40,I$57),""),1),""),IF(MID(IFERROR(INDEX(醫師週班表!$C$5:$T$44,$CU40,I$57),""),2,1)="(",LEFT(IFERROR(INDEX(醫師週班表!$C$5:$T$44,$CU40,I$57),""),1),IFERROR(INDEX(醫師週班表!$C$5:$T$44,$CU40,I$57),"")))))))</f>
        <v/>
      </c>
      <c r="J40" s="68">
        <f>IF(J$59="X","",IF(J$59&lt;&gt;"",J$59,IF(IFERROR(INDEX(醫師週班表!$C$5:$T$44,$CU40,J$57),"")=0,"",IF(MID(IFERROR(INDEX(醫師週班表!$C$5:$T$44,$CU40,J$57),""),2,1)="/",MID(IFERROR(INDEX(醫師週班表!$C$5:$T$44,$CU40,J$57),""),1+J$58*2,1),IF(MID(IFERROR(INDEX(醫師週班表!$C$5:$T$44,$CU40,J$57),""),3,1)="隔",IF(J$58=0,LEFT(IFERROR(INDEX(醫師週班表!$C$5:$T$44,$CU40,J$57),""),1),""),IF(MID(IFERROR(INDEX(醫師週班表!$C$5:$T$44,$CU40,J$57),""),2,1)="(",LEFT(IFERROR(INDEX(醫師週班表!$C$5:$T$44,$CU40,J$57),""),1),IFERROR(INDEX(醫師週班表!$C$5:$T$44,$CU40,J$57),"")))))))</f>
        <v/>
      </c>
      <c r="K40" s="67">
        <f>IF(K$59="X","",IF(K$59&lt;&gt;"",K$59,IF(IFERROR(INDEX(醫師週班表!$C$5:$T$44,$CU40,K$57),"")=0,"",IF(MID(IFERROR(INDEX(醫師週班表!$C$5:$T$44,$CU40,K$57),""),2,1)="/",MID(IFERROR(INDEX(醫師週班表!$C$5:$T$44,$CU40,K$57),""),1+K$58*2,1),IF(MID(IFERROR(INDEX(醫師週班表!$C$5:$T$44,$CU40,K$57),""),3,1)="隔",IF(K$58=0,LEFT(IFERROR(INDEX(醫師週班表!$C$5:$T$44,$CU40,K$57),""),1),""),IF(MID(IFERROR(INDEX(醫師週班表!$C$5:$T$44,$CU40,K$57),""),2,1)="(",LEFT(IFERROR(INDEX(醫師週班表!$C$5:$T$44,$CU40,K$57),""),1),IFERROR(INDEX(醫師週班表!$C$5:$T$44,$CU40,K$57),"")))))))</f>
        <v/>
      </c>
      <c r="L40" s="68">
        <f>IF(L$59="X","",IF(L$59&lt;&gt;"",L$59,IF(IFERROR(INDEX(醫師週班表!$C$5:$T$44,$CU40,L$57),"")=0,"",IF(MID(IFERROR(INDEX(醫師週班表!$C$5:$T$44,$CU40,L$57),""),2,1)="/",MID(IFERROR(INDEX(醫師週班表!$C$5:$T$44,$CU40,L$57),""),1+L$58*2,1),IF(MID(IFERROR(INDEX(醫師週班表!$C$5:$T$44,$CU40,L$57),""),3,1)="隔",IF(L$58=0,LEFT(IFERROR(INDEX(醫師週班表!$C$5:$T$44,$CU40,L$57),""),1),""),IF(MID(IFERROR(INDEX(醫師週班表!$C$5:$T$44,$CU40,L$57),""),2,1)="(",LEFT(IFERROR(INDEX(醫師週班表!$C$5:$T$44,$CU40,L$57),""),1),IFERROR(INDEX(醫師週班表!$C$5:$T$44,$CU40,L$57),"")))))))</f>
        <v/>
      </c>
      <c r="M40" s="68">
        <f>IF(M$59="X","",IF(M$59&lt;&gt;"",M$59,IF(IFERROR(INDEX(醫師週班表!$C$5:$T$44,$CU40,M$57),"")=0,"",IF(MID(IFERROR(INDEX(醫師週班表!$C$5:$T$44,$CU40,M$57),""),2,1)="/",MID(IFERROR(INDEX(醫師週班表!$C$5:$T$44,$CU40,M$57),""),1+M$58*2,1),IF(MID(IFERROR(INDEX(醫師週班表!$C$5:$T$44,$CU40,M$57),""),3,1)="隔",IF(M$58=0,LEFT(IFERROR(INDEX(醫師週班表!$C$5:$T$44,$CU40,M$57),""),1),""),IF(MID(IFERROR(INDEX(醫師週班表!$C$5:$T$44,$CU40,M$57),""),2,1)="(",LEFT(IFERROR(INDEX(醫師週班表!$C$5:$T$44,$CU40,M$57),""),1),IFERROR(INDEX(醫師週班表!$C$5:$T$44,$CU40,M$57),"")))))))</f>
        <v/>
      </c>
      <c r="N40" s="67">
        <f>IF(N$59="X","",IF(N$59&lt;&gt;"",N$59,IF(IFERROR(INDEX(醫師週班表!$C$5:$T$44,$CU40,N$57),"")=0,"",IF(MID(IFERROR(INDEX(醫師週班表!$C$5:$T$44,$CU40,N$57),""),2,1)="/",MID(IFERROR(INDEX(醫師週班表!$C$5:$T$44,$CU40,N$57),""),1+N$58*2,1),IF(MID(IFERROR(INDEX(醫師週班表!$C$5:$T$44,$CU40,N$57),""),3,1)="隔",IF(N$58=0,LEFT(IFERROR(INDEX(醫師週班表!$C$5:$T$44,$CU40,N$57),""),1),""),IF(MID(IFERROR(INDEX(醫師週班表!$C$5:$T$44,$CU40,N$57),""),2,1)="(",LEFT(IFERROR(INDEX(醫師週班表!$C$5:$T$44,$CU40,N$57),""),1),IFERROR(INDEX(醫師週班表!$C$5:$T$44,$CU40,N$57),"")))))))</f>
        <v/>
      </c>
      <c r="O40" s="68">
        <f>IF(O$59="X","",IF(O$59&lt;&gt;"",O$59,IF(IFERROR(INDEX(醫師週班表!$C$5:$T$44,$CU40,O$57),"")=0,"",IF(MID(IFERROR(INDEX(醫師週班表!$C$5:$T$44,$CU40,O$57),""),2,1)="/",MID(IFERROR(INDEX(醫師週班表!$C$5:$T$44,$CU40,O$57),""),1+O$58*2,1),IF(MID(IFERROR(INDEX(醫師週班表!$C$5:$T$44,$CU40,O$57),""),3,1)="隔",IF(O$58=0,LEFT(IFERROR(INDEX(醫師週班表!$C$5:$T$44,$CU40,O$57),""),1),""),IF(MID(IFERROR(INDEX(醫師週班表!$C$5:$T$44,$CU40,O$57),""),2,1)="(",LEFT(IFERROR(INDEX(醫師週班表!$C$5:$T$44,$CU40,O$57),""),1),IFERROR(INDEX(醫師週班表!$C$5:$T$44,$CU40,O$57),"")))))))</f>
        <v/>
      </c>
      <c r="P40" s="68">
        <f>IF(P$59="X","",IF(P$59&lt;&gt;"",P$59,IF(IFERROR(INDEX(醫師週班表!$C$5:$T$44,$CU40,P$57),"")=0,"",IF(MID(IFERROR(INDEX(醫師週班表!$C$5:$T$44,$CU40,P$57),""),2,1)="/",MID(IFERROR(INDEX(醫師週班表!$C$5:$T$44,$CU40,P$57),""),1+P$58*2,1),IF(MID(IFERROR(INDEX(醫師週班表!$C$5:$T$44,$CU40,P$57),""),3,1)="隔",IF(P$58=0,LEFT(IFERROR(INDEX(醫師週班表!$C$5:$T$44,$CU40,P$57),""),1),""),IF(MID(IFERROR(INDEX(醫師週班表!$C$5:$T$44,$CU40,P$57),""),2,1)="(",LEFT(IFERROR(INDEX(醫師週班表!$C$5:$T$44,$CU40,P$57),""),1),IFERROR(INDEX(醫師週班表!$C$5:$T$44,$CU40,P$57),"")))))))</f>
        <v/>
      </c>
      <c r="Q40" s="67">
        <f>IF(Q$59="X","",IF(Q$59&lt;&gt;"",Q$59,IF(IFERROR(INDEX(醫師週班表!$C$5:$T$44,$CU40,Q$57),"")=0,"",IF(MID(IFERROR(INDEX(醫師週班表!$C$5:$T$44,$CU40,Q$57),""),2,1)="/",MID(IFERROR(INDEX(醫師週班表!$C$5:$T$44,$CU40,Q$57),""),1+Q$58*2,1),IF(MID(IFERROR(INDEX(醫師週班表!$C$5:$T$44,$CU40,Q$57),""),3,1)="隔",IF(Q$58=0,LEFT(IFERROR(INDEX(醫師週班表!$C$5:$T$44,$CU40,Q$57),""),1),""),IF(MID(IFERROR(INDEX(醫師週班表!$C$5:$T$44,$CU40,Q$57),""),2,1)="(",LEFT(IFERROR(INDEX(醫師週班表!$C$5:$T$44,$CU40,Q$57),""),1),IFERROR(INDEX(醫師週班表!$C$5:$T$44,$CU40,Q$57),"")))))))</f>
        <v/>
      </c>
      <c r="R40" s="68">
        <f>IF(R$59="X","",IF(R$59&lt;&gt;"",R$59,IF(IFERROR(INDEX(醫師週班表!$C$5:$T$44,$CU40,R$57),"")=0,"",IF(MID(IFERROR(INDEX(醫師週班表!$C$5:$T$44,$CU40,R$57),""),2,1)="/",MID(IFERROR(INDEX(醫師週班表!$C$5:$T$44,$CU40,R$57),""),1+R$58*2,1),IF(MID(IFERROR(INDEX(醫師週班表!$C$5:$T$44,$CU40,R$57),""),3,1)="隔",IF(R$58=0,LEFT(IFERROR(INDEX(醫師週班表!$C$5:$T$44,$CU40,R$57),""),1),""),IF(MID(IFERROR(INDEX(醫師週班表!$C$5:$T$44,$CU40,R$57),""),2,1)="(",LEFT(IFERROR(INDEX(醫師週班表!$C$5:$T$44,$CU40,R$57),""),1),IFERROR(INDEX(醫師週班表!$C$5:$T$44,$CU40,R$57),"")))))))</f>
        <v/>
      </c>
      <c r="S40" s="68">
        <f>IF(S$59="X","",IF(S$59&lt;&gt;"",S$59,IF(IFERROR(INDEX(醫師週班表!$C$5:$T$44,$CU40,S$57),"")=0,"",IF(MID(IFERROR(INDEX(醫師週班表!$C$5:$T$44,$CU40,S$57),""),2,1)="/",MID(IFERROR(INDEX(醫師週班表!$C$5:$T$44,$CU40,S$57),""),1+S$58*2,1),IF(MID(IFERROR(INDEX(醫師週班表!$C$5:$T$44,$CU40,S$57),""),3,1)="隔",IF(S$58=0,LEFT(IFERROR(INDEX(醫師週班表!$C$5:$T$44,$CU40,S$57),""),1),""),IF(MID(IFERROR(INDEX(醫師週班表!$C$5:$T$44,$CU40,S$57),""),2,1)="(",LEFT(IFERROR(INDEX(醫師週班表!$C$5:$T$44,$CU40,S$57),""),1),IFERROR(INDEX(醫師週班表!$C$5:$T$44,$CU40,S$57),"")))))))</f>
        <v/>
      </c>
      <c r="T40" s="67">
        <f>IF(T$59="X","",IF(T$59&lt;&gt;"",T$59,IF(IFERROR(INDEX(醫師週班表!$C$5:$T$44,$CU40,T$57),"")=0,"",IF(MID(IFERROR(INDEX(醫師週班表!$C$5:$T$44,$CU40,T$57),""),2,1)="/",MID(IFERROR(INDEX(醫師週班表!$C$5:$T$44,$CU40,T$57),""),1+T$58*2,1),IF(MID(IFERROR(INDEX(醫師週班表!$C$5:$T$44,$CU40,T$57),""),3,1)="隔",IF(T$58=0,LEFT(IFERROR(INDEX(醫師週班表!$C$5:$T$44,$CU40,T$57),""),1),""),IF(MID(IFERROR(INDEX(醫師週班表!$C$5:$T$44,$CU40,T$57),""),2,1)="(",LEFT(IFERROR(INDEX(醫師週班表!$C$5:$T$44,$CU40,T$57),""),1),IFERROR(INDEX(醫師週班表!$C$5:$T$44,$CU40,T$57),"")))))))</f>
        <v/>
      </c>
      <c r="U40" s="68">
        <f>IF(U$59="X","",IF(U$59&lt;&gt;"",U$59,IF(IFERROR(INDEX(醫師週班表!$C$5:$T$44,$CU40,U$57),"")=0,"",IF(MID(IFERROR(INDEX(醫師週班表!$C$5:$T$44,$CU40,U$57),""),2,1)="/",MID(IFERROR(INDEX(醫師週班表!$C$5:$T$44,$CU40,U$57),""),1+U$58*2,1),IF(MID(IFERROR(INDEX(醫師週班表!$C$5:$T$44,$CU40,U$57),""),3,1)="隔",IF(U$58=0,LEFT(IFERROR(INDEX(醫師週班表!$C$5:$T$44,$CU40,U$57),""),1),""),IF(MID(IFERROR(INDEX(醫師週班表!$C$5:$T$44,$CU40,U$57),""),2,1)="(",LEFT(IFERROR(INDEX(醫師週班表!$C$5:$T$44,$CU40,U$57),""),1),IFERROR(INDEX(醫師週班表!$C$5:$T$44,$CU40,U$57),"")))))))</f>
        <v/>
      </c>
      <c r="V40" s="68">
        <f>IF(V$59="X","",IF(V$59&lt;&gt;"",V$59,IF(IFERROR(INDEX(醫師週班表!$C$5:$T$44,$CU40,V$57),"")=0,"",IF(MID(IFERROR(INDEX(醫師週班表!$C$5:$T$44,$CU40,V$57),""),2,1)="/",MID(IFERROR(INDEX(醫師週班表!$C$5:$T$44,$CU40,V$57),""),1+V$58*2,1),IF(MID(IFERROR(INDEX(醫師週班表!$C$5:$T$44,$CU40,V$57),""),3,1)="隔",IF(V$58=0,LEFT(IFERROR(INDEX(醫師週班表!$C$5:$T$44,$CU40,V$57),""),1),""),IF(MID(IFERROR(INDEX(醫師週班表!$C$5:$T$44,$CU40,V$57),""),2,1)="(",LEFT(IFERROR(INDEX(醫師週班表!$C$5:$T$44,$CU40,V$57),""),1),IFERROR(INDEX(醫師週班表!$C$5:$T$44,$CU40,V$57),"")))))))</f>
        <v/>
      </c>
      <c r="W40" s="67">
        <f>IF(W$59="X","",IF(W$59&lt;&gt;"",W$59,IF(IFERROR(INDEX(醫師週班表!$C$5:$T$44,$CU40,W$57),"")=0,"",IF(MID(IFERROR(INDEX(醫師週班表!$C$5:$T$44,$CU40,W$57),""),2,1)="/",MID(IFERROR(INDEX(醫師週班表!$C$5:$T$44,$CU40,W$57),""),1+W$58*2,1),IF(MID(IFERROR(INDEX(醫師週班表!$C$5:$T$44,$CU40,W$57),""),3,1)="隔",IF(W$58=0,LEFT(IFERROR(INDEX(醫師週班表!$C$5:$T$44,$CU40,W$57),""),1),""),IF(MID(IFERROR(INDEX(醫師週班表!$C$5:$T$44,$CU40,W$57),""),2,1)="(",LEFT(IFERROR(INDEX(醫師週班表!$C$5:$T$44,$CU40,W$57),""),1),IFERROR(INDEX(醫師週班表!$C$5:$T$44,$CU40,W$57),"")))))))</f>
        <v/>
      </c>
      <c r="X40" s="68">
        <f>IF(X$59="X","",IF(X$59&lt;&gt;"",X$59,IF(IFERROR(INDEX(醫師週班表!$C$5:$T$44,$CU40,X$57),"")=0,"",IF(MID(IFERROR(INDEX(醫師週班表!$C$5:$T$44,$CU40,X$57),""),2,1)="/",MID(IFERROR(INDEX(醫師週班表!$C$5:$T$44,$CU40,X$57),""),1+X$58*2,1),IF(MID(IFERROR(INDEX(醫師週班表!$C$5:$T$44,$CU40,X$57),""),3,1)="隔",IF(X$58=0,LEFT(IFERROR(INDEX(醫師週班表!$C$5:$T$44,$CU40,X$57),""),1),""),IF(MID(IFERROR(INDEX(醫師週班表!$C$5:$T$44,$CU40,X$57),""),2,1)="(",LEFT(IFERROR(INDEX(醫師週班表!$C$5:$T$44,$CU40,X$57),""),1),IFERROR(INDEX(醫師週班表!$C$5:$T$44,$CU40,X$57),"")))))))</f>
        <v/>
      </c>
      <c r="Y40" s="68">
        <f>IF(Y$59="X","",IF(Y$59&lt;&gt;"",Y$59,IF(IFERROR(INDEX(醫師週班表!$C$5:$T$44,$CU40,Y$57),"")=0,"",IF(MID(IFERROR(INDEX(醫師週班表!$C$5:$T$44,$CU40,Y$57),""),2,1)="/",MID(IFERROR(INDEX(醫師週班表!$C$5:$T$44,$CU40,Y$57),""),1+Y$58*2,1),IF(MID(IFERROR(INDEX(醫師週班表!$C$5:$T$44,$CU40,Y$57),""),3,1)="隔",IF(Y$58=0,LEFT(IFERROR(INDEX(醫師週班表!$C$5:$T$44,$CU40,Y$57),""),1),""),IF(MID(IFERROR(INDEX(醫師週班表!$C$5:$T$44,$CU40,Y$57),""),2,1)="(",LEFT(IFERROR(INDEX(醫師週班表!$C$5:$T$44,$CU40,Y$57),""),1),IFERROR(INDEX(醫師週班表!$C$5:$T$44,$CU40,Y$57),"")))))))</f>
        <v/>
      </c>
      <c r="Z40" s="67">
        <f>IF(Z$59="X","",IF(Z$59&lt;&gt;"",Z$59,IF(IFERROR(INDEX(醫師週班表!$C$5:$T$44,$CU40,Z$57),"")=0,"",IF(MID(IFERROR(INDEX(醫師週班表!$C$5:$T$44,$CU40,Z$57),""),2,1)="/",MID(IFERROR(INDEX(醫師週班表!$C$5:$T$44,$CU40,Z$57),""),1+Z$58*2,1),IF(MID(IFERROR(INDEX(醫師週班表!$C$5:$T$44,$CU40,Z$57),""),3,1)="隔",IF(Z$58=0,LEFT(IFERROR(INDEX(醫師週班表!$C$5:$T$44,$CU40,Z$57),""),1),""),IF(MID(IFERROR(INDEX(醫師週班表!$C$5:$T$44,$CU40,Z$57),""),2,1)="(",LEFT(IFERROR(INDEX(醫師週班表!$C$5:$T$44,$CU40,Z$57),""),1),IFERROR(INDEX(醫師週班表!$C$5:$T$44,$CU40,Z$57),"")))))))</f>
        <v/>
      </c>
      <c r="AA40" s="68">
        <f>IF(AA$59="X","",IF(AA$59&lt;&gt;"",AA$59,IF(IFERROR(INDEX(醫師週班表!$C$5:$T$44,$CU40,AA$57),"")=0,"",IF(MID(IFERROR(INDEX(醫師週班表!$C$5:$T$44,$CU40,AA$57),""),2,1)="/",MID(IFERROR(INDEX(醫師週班表!$C$5:$T$44,$CU40,AA$57),""),1+AA$58*2,1),IF(MID(IFERROR(INDEX(醫師週班表!$C$5:$T$44,$CU40,AA$57),""),3,1)="隔",IF(AA$58=0,LEFT(IFERROR(INDEX(醫師週班表!$C$5:$T$44,$CU40,AA$57),""),1),""),IF(MID(IFERROR(INDEX(醫師週班表!$C$5:$T$44,$CU40,AA$57),""),2,1)="(",LEFT(IFERROR(INDEX(醫師週班表!$C$5:$T$44,$CU40,AA$57),""),1),IFERROR(INDEX(醫師週班表!$C$5:$T$44,$CU40,AA$57),"")))))))</f>
        <v/>
      </c>
      <c r="AB40" s="68">
        <f>IF(AB$59="X","",IF(AB$59&lt;&gt;"",AB$59,IF(IFERROR(INDEX(醫師週班表!$C$5:$T$44,$CU40,AB$57),"")=0,"",IF(MID(IFERROR(INDEX(醫師週班表!$C$5:$T$44,$CU40,AB$57),""),2,1)="/",MID(IFERROR(INDEX(醫師週班表!$C$5:$T$44,$CU40,AB$57),""),1+AB$58*2,1),IF(MID(IFERROR(INDEX(醫師週班表!$C$5:$T$44,$CU40,AB$57),""),3,1)="隔",IF(AB$58=0,LEFT(IFERROR(INDEX(醫師週班表!$C$5:$T$44,$CU40,AB$57),""),1),""),IF(MID(IFERROR(INDEX(醫師週班表!$C$5:$T$44,$CU40,AB$57),""),2,1)="(",LEFT(IFERROR(INDEX(醫師週班表!$C$5:$T$44,$CU40,AB$57),""),1),IFERROR(INDEX(醫師週班表!$C$5:$T$44,$CU40,AB$57),"")))))))</f>
        <v/>
      </c>
      <c r="AC40" s="67">
        <f>IF(AC$59="X","",IF(AC$59&lt;&gt;"",AC$59,IF(IFERROR(INDEX(醫師週班表!$C$5:$T$44,$CU40,AC$57),"")=0,"",IF(MID(IFERROR(INDEX(醫師週班表!$C$5:$T$44,$CU40,AC$57),""),2,1)="/",MID(IFERROR(INDEX(醫師週班表!$C$5:$T$44,$CU40,AC$57),""),1+AC$58*2,1),IF(MID(IFERROR(INDEX(醫師週班表!$C$5:$T$44,$CU40,AC$57),""),3,1)="隔",IF(AC$58=0,LEFT(IFERROR(INDEX(醫師週班表!$C$5:$T$44,$CU40,AC$57),""),1),""),IF(MID(IFERROR(INDEX(醫師週班表!$C$5:$T$44,$CU40,AC$57),""),2,1)="(",LEFT(IFERROR(INDEX(醫師週班表!$C$5:$T$44,$CU40,AC$57),""),1),IFERROR(INDEX(醫師週班表!$C$5:$T$44,$CU40,AC$57),"")))))))</f>
        <v/>
      </c>
      <c r="AD40" s="68">
        <f>IF(AD$59="X","",IF(AD$59&lt;&gt;"",AD$59,IF(IFERROR(INDEX(醫師週班表!$C$5:$T$44,$CU40,AD$57),"")=0,"",IF(MID(IFERROR(INDEX(醫師週班表!$C$5:$T$44,$CU40,AD$57),""),2,1)="/",MID(IFERROR(INDEX(醫師週班表!$C$5:$T$44,$CU40,AD$57),""),1+AD$58*2,1),IF(MID(IFERROR(INDEX(醫師週班表!$C$5:$T$44,$CU40,AD$57),""),3,1)="隔",IF(AD$58=0,LEFT(IFERROR(INDEX(醫師週班表!$C$5:$T$44,$CU40,AD$57),""),1),""),IF(MID(IFERROR(INDEX(醫師週班表!$C$5:$T$44,$CU40,AD$57),""),2,1)="(",LEFT(IFERROR(INDEX(醫師週班表!$C$5:$T$44,$CU40,AD$57),""),1),IFERROR(INDEX(醫師週班表!$C$5:$T$44,$CU40,AD$57),"")))))))</f>
        <v/>
      </c>
      <c r="AE40" s="68">
        <f>IF(AE$59="X","",IF(AE$59&lt;&gt;"",AE$59,IF(IFERROR(INDEX(醫師週班表!$C$5:$T$44,$CU40,AE$57),"")=0,"",IF(MID(IFERROR(INDEX(醫師週班表!$C$5:$T$44,$CU40,AE$57),""),2,1)="/",MID(IFERROR(INDEX(醫師週班表!$C$5:$T$44,$CU40,AE$57),""),1+AE$58*2,1),IF(MID(IFERROR(INDEX(醫師週班表!$C$5:$T$44,$CU40,AE$57),""),3,1)="隔",IF(AE$58=0,LEFT(IFERROR(INDEX(醫師週班表!$C$5:$T$44,$CU40,AE$57),""),1),""),IF(MID(IFERROR(INDEX(醫師週班表!$C$5:$T$44,$CU40,AE$57),""),2,1)="(",LEFT(IFERROR(INDEX(醫師週班表!$C$5:$T$44,$CU40,AE$57),""),1),IFERROR(INDEX(醫師週班表!$C$5:$T$44,$CU40,AE$57),"")))))))</f>
        <v/>
      </c>
      <c r="AF40" s="67">
        <f>IF(AF$59="X","",IF(AF$59&lt;&gt;"",AF$59,IF(IFERROR(INDEX(醫師週班表!$C$5:$T$44,$CU40,AF$57),"")=0,"",IF(MID(IFERROR(INDEX(醫師週班表!$C$5:$T$44,$CU40,AF$57),""),2,1)="/",MID(IFERROR(INDEX(醫師週班表!$C$5:$T$44,$CU40,AF$57),""),1+AF$58*2,1),IF(MID(IFERROR(INDEX(醫師週班表!$C$5:$T$44,$CU40,AF$57),""),3,1)="隔",IF(AF$58=0,LEFT(IFERROR(INDEX(醫師週班表!$C$5:$T$44,$CU40,AF$57),""),1),""),IF(MID(IFERROR(INDEX(醫師週班表!$C$5:$T$44,$CU40,AF$57),""),2,1)="(",LEFT(IFERROR(INDEX(醫師週班表!$C$5:$T$44,$CU40,AF$57),""),1),IFERROR(INDEX(醫師週班表!$C$5:$T$44,$CU40,AF$57),"")))))))</f>
        <v/>
      </c>
      <c r="AG40" s="68">
        <f>IF(AG$59="X","",IF(AG$59&lt;&gt;"",AG$59,IF(IFERROR(INDEX(醫師週班表!$C$5:$T$44,$CU40,AG$57),"")=0,"",IF(MID(IFERROR(INDEX(醫師週班表!$C$5:$T$44,$CU40,AG$57),""),2,1)="/",MID(IFERROR(INDEX(醫師週班表!$C$5:$T$44,$CU40,AG$57),""),1+AG$58*2,1),IF(MID(IFERROR(INDEX(醫師週班表!$C$5:$T$44,$CU40,AG$57),""),3,1)="隔",IF(AG$58=0,LEFT(IFERROR(INDEX(醫師週班表!$C$5:$T$44,$CU40,AG$57),""),1),""),IF(MID(IFERROR(INDEX(醫師週班表!$C$5:$T$44,$CU40,AG$57),""),2,1)="(",LEFT(IFERROR(INDEX(醫師週班表!$C$5:$T$44,$CU40,AG$57),""),1),IFERROR(INDEX(醫師週班表!$C$5:$T$44,$CU40,AG$57),"")))))))</f>
        <v/>
      </c>
      <c r="AH40" s="68">
        <f>IF(AH$59="X","",IF(AH$59&lt;&gt;"",AH$59,IF(IFERROR(INDEX(醫師週班表!$C$5:$T$44,$CU40,AH$57),"")=0,"",IF(MID(IFERROR(INDEX(醫師週班表!$C$5:$T$44,$CU40,AH$57),""),2,1)="/",MID(IFERROR(INDEX(醫師週班表!$C$5:$T$44,$CU40,AH$57),""),1+AH$58*2,1),IF(MID(IFERROR(INDEX(醫師週班表!$C$5:$T$44,$CU40,AH$57),""),3,1)="隔",IF(AH$58=0,LEFT(IFERROR(INDEX(醫師週班表!$C$5:$T$44,$CU40,AH$57),""),1),""),IF(MID(IFERROR(INDEX(醫師週班表!$C$5:$T$44,$CU40,AH$57),""),2,1)="(",LEFT(IFERROR(INDEX(醫師週班表!$C$5:$T$44,$CU40,AH$57),""),1),IFERROR(INDEX(醫師週班表!$C$5:$T$44,$CU40,AH$57),"")))))))</f>
        <v/>
      </c>
      <c r="AI40" s="67">
        <f>IF(AI$59="X","",IF(AI$59&lt;&gt;"",AI$59,IF(IFERROR(INDEX(醫師週班表!$C$5:$T$44,$CU40,AI$57),"")=0,"",IF(MID(IFERROR(INDEX(醫師週班表!$C$5:$T$44,$CU40,AI$57),""),2,1)="/",MID(IFERROR(INDEX(醫師週班表!$C$5:$T$44,$CU40,AI$57),""),1+AI$58*2,1),IF(MID(IFERROR(INDEX(醫師週班表!$C$5:$T$44,$CU40,AI$57),""),3,1)="隔",IF(AI$58=0,LEFT(IFERROR(INDEX(醫師週班表!$C$5:$T$44,$CU40,AI$57),""),1),""),IF(MID(IFERROR(INDEX(醫師週班表!$C$5:$T$44,$CU40,AI$57),""),2,1)="(",LEFT(IFERROR(INDEX(醫師週班表!$C$5:$T$44,$CU40,AI$57),""),1),IFERROR(INDEX(醫師週班表!$C$5:$T$44,$CU40,AI$57),"")))))))</f>
        <v/>
      </c>
      <c r="AJ40" s="68">
        <f>IF(AJ$59="X","",IF(AJ$59&lt;&gt;"",AJ$59,IF(IFERROR(INDEX(醫師週班表!$C$5:$T$44,$CU40,AJ$57),"")=0,"",IF(MID(IFERROR(INDEX(醫師週班表!$C$5:$T$44,$CU40,AJ$57),""),2,1)="/",MID(IFERROR(INDEX(醫師週班表!$C$5:$T$44,$CU40,AJ$57),""),1+AJ$58*2,1),IF(MID(IFERROR(INDEX(醫師週班表!$C$5:$T$44,$CU40,AJ$57),""),3,1)="隔",IF(AJ$58=0,LEFT(IFERROR(INDEX(醫師週班表!$C$5:$T$44,$CU40,AJ$57),""),1),""),IF(MID(IFERROR(INDEX(醫師週班表!$C$5:$T$44,$CU40,AJ$57),""),2,1)="(",LEFT(IFERROR(INDEX(醫師週班表!$C$5:$T$44,$CU40,AJ$57),""),1),IFERROR(INDEX(醫師週班表!$C$5:$T$44,$CU40,AJ$57),"")))))))</f>
        <v/>
      </c>
      <c r="AK40" s="68">
        <f>IF(AK$59="X","",IF(AK$59&lt;&gt;"",AK$59,IF(IFERROR(INDEX(醫師週班表!$C$5:$T$44,$CU40,AK$57),"")=0,"",IF(MID(IFERROR(INDEX(醫師週班表!$C$5:$T$44,$CU40,AK$57),""),2,1)="/",MID(IFERROR(INDEX(醫師週班表!$C$5:$T$44,$CU40,AK$57),""),1+AK$58*2,1),IF(MID(IFERROR(INDEX(醫師週班表!$C$5:$T$44,$CU40,AK$57),""),3,1)="隔",IF(AK$58=0,LEFT(IFERROR(INDEX(醫師週班表!$C$5:$T$44,$CU40,AK$57),""),1),""),IF(MID(IFERROR(INDEX(醫師週班表!$C$5:$T$44,$CU40,AK$57),""),2,1)="(",LEFT(IFERROR(INDEX(醫師週班表!$C$5:$T$44,$CU40,AK$57),""),1),IFERROR(INDEX(醫師週班表!$C$5:$T$44,$CU40,AK$57),"")))))))</f>
        <v/>
      </c>
      <c r="AL40" s="67">
        <f>IF(AL$59="X","",IF(AL$59&lt;&gt;"",AL$59,IF(IFERROR(INDEX(醫師週班表!$C$5:$T$44,$CU40,AL$57),"")=0,"",IF(MID(IFERROR(INDEX(醫師週班表!$C$5:$T$44,$CU40,AL$57),""),2,1)="/",MID(IFERROR(INDEX(醫師週班表!$C$5:$T$44,$CU40,AL$57),""),1+AL$58*2,1),IF(MID(IFERROR(INDEX(醫師週班表!$C$5:$T$44,$CU40,AL$57),""),3,1)="隔",IF(AL$58=0,LEFT(IFERROR(INDEX(醫師週班表!$C$5:$T$44,$CU40,AL$57),""),1),""),IF(MID(IFERROR(INDEX(醫師週班表!$C$5:$T$44,$CU40,AL$57),""),2,1)="(",LEFT(IFERROR(INDEX(醫師週班表!$C$5:$T$44,$CU40,AL$57),""),1),IFERROR(INDEX(醫師週班表!$C$5:$T$44,$CU40,AL$57),"")))))))</f>
        <v/>
      </c>
      <c r="AM40" s="68">
        <f>IF(AM$59="X","",IF(AM$59&lt;&gt;"",AM$59,IF(IFERROR(INDEX(醫師週班表!$C$5:$T$44,$CU40,AM$57),"")=0,"",IF(MID(IFERROR(INDEX(醫師週班表!$C$5:$T$44,$CU40,AM$57),""),2,1)="/",MID(IFERROR(INDEX(醫師週班表!$C$5:$T$44,$CU40,AM$57),""),1+AM$58*2,1),IF(MID(IFERROR(INDEX(醫師週班表!$C$5:$T$44,$CU40,AM$57),""),3,1)="隔",IF(AM$58=0,LEFT(IFERROR(INDEX(醫師週班表!$C$5:$T$44,$CU40,AM$57),""),1),""),IF(MID(IFERROR(INDEX(醫師週班表!$C$5:$T$44,$CU40,AM$57),""),2,1)="(",LEFT(IFERROR(INDEX(醫師週班表!$C$5:$T$44,$CU40,AM$57),""),1),IFERROR(INDEX(醫師週班表!$C$5:$T$44,$CU40,AM$57),"")))))))</f>
        <v/>
      </c>
      <c r="AN40" s="68">
        <f>IF(AN$59="X","",IF(AN$59&lt;&gt;"",AN$59,IF(IFERROR(INDEX(醫師週班表!$C$5:$T$44,$CU40,AN$57),"")=0,"",IF(MID(IFERROR(INDEX(醫師週班表!$C$5:$T$44,$CU40,AN$57),""),2,1)="/",MID(IFERROR(INDEX(醫師週班表!$C$5:$T$44,$CU40,AN$57),""),1+AN$58*2,1),IF(MID(IFERROR(INDEX(醫師週班表!$C$5:$T$44,$CU40,AN$57),""),3,1)="隔",IF(AN$58=0,LEFT(IFERROR(INDEX(醫師週班表!$C$5:$T$44,$CU40,AN$57),""),1),""),IF(MID(IFERROR(INDEX(醫師週班表!$C$5:$T$44,$CU40,AN$57),""),2,1)="(",LEFT(IFERROR(INDEX(醫師週班表!$C$5:$T$44,$CU40,AN$57),""),1),IFERROR(INDEX(醫師週班表!$C$5:$T$44,$CU40,AN$57),"")))))))</f>
        <v/>
      </c>
      <c r="AO40" s="67">
        <f>IF(AO$59="X","",IF(AO$59&lt;&gt;"",AO$59,IF(IFERROR(INDEX(醫師週班表!$C$5:$T$44,$CU40,AO$57),"")=0,"",IF(MID(IFERROR(INDEX(醫師週班表!$C$5:$T$44,$CU40,AO$57),""),2,1)="/",MID(IFERROR(INDEX(醫師週班表!$C$5:$T$44,$CU40,AO$57),""),1+AO$58*2,1),IF(MID(IFERROR(INDEX(醫師週班表!$C$5:$T$44,$CU40,AO$57),""),3,1)="隔",IF(AO$58=0,LEFT(IFERROR(INDEX(醫師週班表!$C$5:$T$44,$CU40,AO$57),""),1),""),IF(MID(IFERROR(INDEX(醫師週班表!$C$5:$T$44,$CU40,AO$57),""),2,1)="(",LEFT(IFERROR(INDEX(醫師週班表!$C$5:$T$44,$CU40,AO$57),""),1),IFERROR(INDEX(醫師週班表!$C$5:$T$44,$CU40,AO$57),"")))))))</f>
        <v/>
      </c>
      <c r="AP40" s="68">
        <f>IF(AP$59="X","",IF(AP$59&lt;&gt;"",AP$59,IF(IFERROR(INDEX(醫師週班表!$C$5:$T$44,$CU40,AP$57),"")=0,"",IF(MID(IFERROR(INDEX(醫師週班表!$C$5:$T$44,$CU40,AP$57),""),2,1)="/",MID(IFERROR(INDEX(醫師週班表!$C$5:$T$44,$CU40,AP$57),""),1+AP$58*2,1),IF(MID(IFERROR(INDEX(醫師週班表!$C$5:$T$44,$CU40,AP$57),""),3,1)="隔",IF(AP$58=0,LEFT(IFERROR(INDEX(醫師週班表!$C$5:$T$44,$CU40,AP$57),""),1),""),IF(MID(IFERROR(INDEX(醫師週班表!$C$5:$T$44,$CU40,AP$57),""),2,1)="(",LEFT(IFERROR(INDEX(醫師週班表!$C$5:$T$44,$CU40,AP$57),""),1),IFERROR(INDEX(醫師週班表!$C$5:$T$44,$CU40,AP$57),"")))))))</f>
        <v/>
      </c>
      <c r="AQ40" s="68">
        <f>IF(AQ$59="X","",IF(AQ$59&lt;&gt;"",AQ$59,IF(IFERROR(INDEX(醫師週班表!$C$5:$T$44,$CU40,AQ$57),"")=0,"",IF(MID(IFERROR(INDEX(醫師週班表!$C$5:$T$44,$CU40,AQ$57),""),2,1)="/",MID(IFERROR(INDEX(醫師週班表!$C$5:$T$44,$CU40,AQ$57),""),1+AQ$58*2,1),IF(MID(IFERROR(INDEX(醫師週班表!$C$5:$T$44,$CU40,AQ$57),""),3,1)="隔",IF(AQ$58=0,LEFT(IFERROR(INDEX(醫師週班表!$C$5:$T$44,$CU40,AQ$57),""),1),""),IF(MID(IFERROR(INDEX(醫師週班表!$C$5:$T$44,$CU40,AQ$57),""),2,1)="(",LEFT(IFERROR(INDEX(醫師週班表!$C$5:$T$44,$CU40,AQ$57),""),1),IFERROR(INDEX(醫師週班表!$C$5:$T$44,$CU40,AQ$57),"")))))))</f>
        <v/>
      </c>
      <c r="AR40" s="67">
        <f>IF(AR$59="X","",IF(AR$59&lt;&gt;"",AR$59,IF(IFERROR(INDEX(醫師週班表!$C$5:$T$44,$CU40,AR$57),"")=0,"",IF(MID(IFERROR(INDEX(醫師週班表!$C$5:$T$44,$CU40,AR$57),""),2,1)="/",MID(IFERROR(INDEX(醫師週班表!$C$5:$T$44,$CU40,AR$57),""),1+AR$58*2,1),IF(MID(IFERROR(INDEX(醫師週班表!$C$5:$T$44,$CU40,AR$57),""),3,1)="隔",IF(AR$58=0,LEFT(IFERROR(INDEX(醫師週班表!$C$5:$T$44,$CU40,AR$57),""),1),""),IF(MID(IFERROR(INDEX(醫師週班表!$C$5:$T$44,$CU40,AR$57),""),2,1)="(",LEFT(IFERROR(INDEX(醫師週班表!$C$5:$T$44,$CU40,AR$57),""),1),IFERROR(INDEX(醫師週班表!$C$5:$T$44,$CU40,AR$57),"")))))))</f>
        <v/>
      </c>
      <c r="AS40" s="68">
        <f>IF(AS$59="X","",IF(AS$59&lt;&gt;"",AS$59,IF(IFERROR(INDEX(醫師週班表!$C$5:$T$44,$CU40,AS$57),"")=0,"",IF(MID(IFERROR(INDEX(醫師週班表!$C$5:$T$44,$CU40,AS$57),""),2,1)="/",MID(IFERROR(INDEX(醫師週班表!$C$5:$T$44,$CU40,AS$57),""),1+AS$58*2,1),IF(MID(IFERROR(INDEX(醫師週班表!$C$5:$T$44,$CU40,AS$57),""),3,1)="隔",IF(AS$58=0,LEFT(IFERROR(INDEX(醫師週班表!$C$5:$T$44,$CU40,AS$57),""),1),""),IF(MID(IFERROR(INDEX(醫師週班表!$C$5:$T$44,$CU40,AS$57),""),2,1)="(",LEFT(IFERROR(INDEX(醫師週班表!$C$5:$T$44,$CU40,AS$57),""),1),IFERROR(INDEX(醫師週班表!$C$5:$T$44,$CU40,AS$57),"")))))))</f>
        <v/>
      </c>
      <c r="AT40" s="68">
        <f>IF(AT$59="X","",IF(AT$59&lt;&gt;"",AT$59,IF(IFERROR(INDEX(醫師週班表!$C$5:$T$44,$CU40,AT$57),"")=0,"",IF(MID(IFERROR(INDEX(醫師週班表!$C$5:$T$44,$CU40,AT$57),""),2,1)="/",MID(IFERROR(INDEX(醫師週班表!$C$5:$T$44,$CU40,AT$57),""),1+AT$58*2,1),IF(MID(IFERROR(INDEX(醫師週班表!$C$5:$T$44,$CU40,AT$57),""),3,1)="隔",IF(AT$58=0,LEFT(IFERROR(INDEX(醫師週班表!$C$5:$T$44,$CU40,AT$57),""),1),""),IF(MID(IFERROR(INDEX(醫師週班表!$C$5:$T$44,$CU40,AT$57),""),2,1)="(",LEFT(IFERROR(INDEX(醫師週班表!$C$5:$T$44,$CU40,AT$57),""),1),IFERROR(INDEX(醫師週班表!$C$5:$T$44,$CU40,AT$57),"")))))))</f>
        <v/>
      </c>
      <c r="AU40" s="67">
        <f>IF(AU$59="X","",IF(AU$59&lt;&gt;"",AU$59,IF(IFERROR(INDEX(醫師週班表!$C$5:$T$44,$CU40,AU$57),"")=0,"",IF(MID(IFERROR(INDEX(醫師週班表!$C$5:$T$44,$CU40,AU$57),""),2,1)="/",MID(IFERROR(INDEX(醫師週班表!$C$5:$T$44,$CU40,AU$57),""),1+AU$58*2,1),IF(MID(IFERROR(INDEX(醫師週班表!$C$5:$T$44,$CU40,AU$57),""),3,1)="隔",IF(AU$58=0,LEFT(IFERROR(INDEX(醫師週班表!$C$5:$T$44,$CU40,AU$57),""),1),""),IF(MID(IFERROR(INDEX(醫師週班表!$C$5:$T$44,$CU40,AU$57),""),2,1)="(",LEFT(IFERROR(INDEX(醫師週班表!$C$5:$T$44,$CU40,AU$57),""),1),IFERROR(INDEX(醫師週班表!$C$5:$T$44,$CU40,AU$57),"")))))))</f>
        <v/>
      </c>
      <c r="AV40" s="68">
        <f>IF(AV$59="X","",IF(AV$59&lt;&gt;"",AV$59,IF(IFERROR(INDEX(醫師週班表!$C$5:$T$44,$CU40,AV$57),"")=0,"",IF(MID(IFERROR(INDEX(醫師週班表!$C$5:$T$44,$CU40,AV$57),""),2,1)="/",MID(IFERROR(INDEX(醫師週班表!$C$5:$T$44,$CU40,AV$57),""),1+AV$58*2,1),IF(MID(IFERROR(INDEX(醫師週班表!$C$5:$T$44,$CU40,AV$57),""),3,1)="隔",IF(AV$58=0,LEFT(IFERROR(INDEX(醫師週班表!$C$5:$T$44,$CU40,AV$57),""),1),""),IF(MID(IFERROR(INDEX(醫師週班表!$C$5:$T$44,$CU40,AV$57),""),2,1)="(",LEFT(IFERROR(INDEX(醫師週班表!$C$5:$T$44,$CU40,AV$57),""),1),IFERROR(INDEX(醫師週班表!$C$5:$T$44,$CU40,AV$57),"")))))))</f>
        <v/>
      </c>
      <c r="AW40" s="68">
        <f>IF(AW$59="X","",IF(AW$59&lt;&gt;"",AW$59,IF(IFERROR(INDEX(醫師週班表!$C$5:$T$44,$CU40,AW$57),"")=0,"",IF(MID(IFERROR(INDEX(醫師週班表!$C$5:$T$44,$CU40,AW$57),""),2,1)="/",MID(IFERROR(INDEX(醫師週班表!$C$5:$T$44,$CU40,AW$57),""),1+AW$58*2,1),IF(MID(IFERROR(INDEX(醫師週班表!$C$5:$T$44,$CU40,AW$57),""),3,1)="隔",IF(AW$58=0,LEFT(IFERROR(INDEX(醫師週班表!$C$5:$T$44,$CU40,AW$57),""),1),""),IF(MID(IFERROR(INDEX(醫師週班表!$C$5:$T$44,$CU40,AW$57),""),2,1)="(",LEFT(IFERROR(INDEX(醫師週班表!$C$5:$T$44,$CU40,AW$57),""),1),IFERROR(INDEX(醫師週班表!$C$5:$T$44,$CU40,AW$57),"")))))))</f>
        <v/>
      </c>
      <c r="AX40" s="67">
        <f>IF(AX$59="X","",IF(AX$59&lt;&gt;"",AX$59,IF(IFERROR(INDEX(醫師週班表!$C$5:$T$44,$CU40,AX$57),"")=0,"",IF(MID(IFERROR(INDEX(醫師週班表!$C$5:$T$44,$CU40,AX$57),""),2,1)="/",MID(IFERROR(INDEX(醫師週班表!$C$5:$T$44,$CU40,AX$57),""),1+AX$58*2,1),IF(MID(IFERROR(INDEX(醫師週班表!$C$5:$T$44,$CU40,AX$57),""),3,1)="隔",IF(AX$58=0,LEFT(IFERROR(INDEX(醫師週班表!$C$5:$T$44,$CU40,AX$57),""),1),""),IF(MID(IFERROR(INDEX(醫師週班表!$C$5:$T$44,$CU40,AX$57),""),2,1)="(",LEFT(IFERROR(INDEX(醫師週班表!$C$5:$T$44,$CU40,AX$57),""),1),IFERROR(INDEX(醫師週班表!$C$5:$T$44,$CU40,AX$57),"")))))))</f>
        <v/>
      </c>
      <c r="AY40" s="68">
        <f>IF(AY$59="X","",IF(AY$59&lt;&gt;"",AY$59,IF(IFERROR(INDEX(醫師週班表!$C$5:$T$44,$CU40,AY$57),"")=0,"",IF(MID(IFERROR(INDEX(醫師週班表!$C$5:$T$44,$CU40,AY$57),""),2,1)="/",MID(IFERROR(INDEX(醫師週班表!$C$5:$T$44,$CU40,AY$57),""),1+AY$58*2,1),IF(MID(IFERROR(INDEX(醫師週班表!$C$5:$T$44,$CU40,AY$57),""),3,1)="隔",IF(AY$58=0,LEFT(IFERROR(INDEX(醫師週班表!$C$5:$T$44,$CU40,AY$57),""),1),""),IF(MID(IFERROR(INDEX(醫師週班表!$C$5:$T$44,$CU40,AY$57),""),2,1)="(",LEFT(IFERROR(INDEX(醫師週班表!$C$5:$T$44,$CU40,AY$57),""),1),IFERROR(INDEX(醫師週班表!$C$5:$T$44,$CU40,AY$57),"")))))))</f>
        <v/>
      </c>
      <c r="AZ40" s="68">
        <f>IF(AZ$59="X","",IF(AZ$59&lt;&gt;"",AZ$59,IF(IFERROR(INDEX(醫師週班表!$C$5:$T$44,$CU40,AZ$57),"")=0,"",IF(MID(IFERROR(INDEX(醫師週班表!$C$5:$T$44,$CU40,AZ$57),""),2,1)="/",MID(IFERROR(INDEX(醫師週班表!$C$5:$T$44,$CU40,AZ$57),""),1+AZ$58*2,1),IF(MID(IFERROR(INDEX(醫師週班表!$C$5:$T$44,$CU40,AZ$57),""),3,1)="隔",IF(AZ$58=0,LEFT(IFERROR(INDEX(醫師週班表!$C$5:$T$44,$CU40,AZ$57),""),1),""),IF(MID(IFERROR(INDEX(醫師週班表!$C$5:$T$44,$CU40,AZ$57),""),2,1)="(",LEFT(IFERROR(INDEX(醫師週班表!$C$5:$T$44,$CU40,AZ$57),""),1),IFERROR(INDEX(醫師週班表!$C$5:$T$44,$CU40,AZ$57),"")))))))</f>
        <v/>
      </c>
      <c r="BA40" s="67">
        <f>IF(BA$59="X","",IF(BA$59&lt;&gt;"",BA$59,IF(IFERROR(INDEX(醫師週班表!$C$5:$T$44,$CU40,BA$57),"")=0,"",IF(MID(IFERROR(INDEX(醫師週班表!$C$5:$T$44,$CU40,BA$57),""),2,1)="/",MID(IFERROR(INDEX(醫師週班表!$C$5:$T$44,$CU40,BA$57),""),1+BA$58*2,1),IF(MID(IFERROR(INDEX(醫師週班表!$C$5:$T$44,$CU40,BA$57),""),3,1)="隔",IF(BA$58=0,LEFT(IFERROR(INDEX(醫師週班表!$C$5:$T$44,$CU40,BA$57),""),1),""),IF(MID(IFERROR(INDEX(醫師週班表!$C$5:$T$44,$CU40,BA$57),""),2,1)="(",LEFT(IFERROR(INDEX(醫師週班表!$C$5:$T$44,$CU40,BA$57),""),1),IFERROR(INDEX(醫師週班表!$C$5:$T$44,$CU40,BA$57),"")))))))</f>
        <v/>
      </c>
      <c r="BB40" s="68">
        <f>IF(BB$59="X","",IF(BB$59&lt;&gt;"",BB$59,IF(IFERROR(INDEX(醫師週班表!$C$5:$T$44,$CU40,BB$57),"")=0,"",IF(MID(IFERROR(INDEX(醫師週班表!$C$5:$T$44,$CU40,BB$57),""),2,1)="/",MID(IFERROR(INDEX(醫師週班表!$C$5:$T$44,$CU40,BB$57),""),1+BB$58*2,1),IF(MID(IFERROR(INDEX(醫師週班表!$C$5:$T$44,$CU40,BB$57),""),3,1)="隔",IF(BB$58=0,LEFT(IFERROR(INDEX(醫師週班表!$C$5:$T$44,$CU40,BB$57),""),1),""),IF(MID(IFERROR(INDEX(醫師週班表!$C$5:$T$44,$CU40,BB$57),""),2,1)="(",LEFT(IFERROR(INDEX(醫師週班表!$C$5:$T$44,$CU40,BB$57),""),1),IFERROR(INDEX(醫師週班表!$C$5:$T$44,$CU40,BB$57),"")))))))</f>
        <v/>
      </c>
      <c r="BC40" s="68">
        <f>IF(BC$59="X","",IF(BC$59&lt;&gt;"",BC$59,IF(IFERROR(INDEX(醫師週班表!$C$5:$T$44,$CU40,BC$57),"")=0,"",IF(MID(IFERROR(INDEX(醫師週班表!$C$5:$T$44,$CU40,BC$57),""),2,1)="/",MID(IFERROR(INDEX(醫師週班表!$C$5:$T$44,$CU40,BC$57),""),1+BC$58*2,1),IF(MID(IFERROR(INDEX(醫師週班表!$C$5:$T$44,$CU40,BC$57),""),3,1)="隔",IF(BC$58=0,LEFT(IFERROR(INDEX(醫師週班表!$C$5:$T$44,$CU40,BC$57),""),1),""),IF(MID(IFERROR(INDEX(醫師週班表!$C$5:$T$44,$CU40,BC$57),""),2,1)="(",LEFT(IFERROR(INDEX(醫師週班表!$C$5:$T$44,$CU40,BC$57),""),1),IFERROR(INDEX(醫師週班表!$C$5:$T$44,$CU40,BC$57),"")))))))</f>
        <v/>
      </c>
      <c r="BD40" s="67">
        <f>IF(BD$59="X","",IF(BD$59&lt;&gt;"",BD$59,IF(IFERROR(INDEX(醫師週班表!$C$5:$T$44,$CU40,BD$57),"")=0,"",IF(MID(IFERROR(INDEX(醫師週班表!$C$5:$T$44,$CU40,BD$57),""),2,1)="/",MID(IFERROR(INDEX(醫師週班表!$C$5:$T$44,$CU40,BD$57),""),1+BD$58*2,1),IF(MID(IFERROR(INDEX(醫師週班表!$C$5:$T$44,$CU40,BD$57),""),3,1)="隔",IF(BD$58=0,LEFT(IFERROR(INDEX(醫師週班表!$C$5:$T$44,$CU40,BD$57),""),1),""),IF(MID(IFERROR(INDEX(醫師週班表!$C$5:$T$44,$CU40,BD$57),""),2,1)="(",LEFT(IFERROR(INDEX(醫師週班表!$C$5:$T$44,$CU40,BD$57),""),1),IFERROR(INDEX(醫師週班表!$C$5:$T$44,$CU40,BD$57),"")))))))</f>
        <v/>
      </c>
      <c r="BE40" s="68">
        <f>IF(BE$59="X","",IF(BE$59&lt;&gt;"",BE$59,IF(IFERROR(INDEX(醫師週班表!$C$5:$T$44,$CU40,BE$57),"")=0,"",IF(MID(IFERROR(INDEX(醫師週班表!$C$5:$T$44,$CU40,BE$57),""),2,1)="/",MID(IFERROR(INDEX(醫師週班表!$C$5:$T$44,$CU40,BE$57),""),1+BE$58*2,1),IF(MID(IFERROR(INDEX(醫師週班表!$C$5:$T$44,$CU40,BE$57),""),3,1)="隔",IF(BE$58=0,LEFT(IFERROR(INDEX(醫師週班表!$C$5:$T$44,$CU40,BE$57),""),1),""),IF(MID(IFERROR(INDEX(醫師週班表!$C$5:$T$44,$CU40,BE$57),""),2,1)="(",LEFT(IFERROR(INDEX(醫師週班表!$C$5:$T$44,$CU40,BE$57),""),1),IFERROR(INDEX(醫師週班表!$C$5:$T$44,$CU40,BE$57),"")))))))</f>
        <v/>
      </c>
      <c r="BF40" s="68">
        <f>IF(BF$59="X","",IF(BF$59&lt;&gt;"",BF$59,IF(IFERROR(INDEX(醫師週班表!$C$5:$T$44,$CU40,BF$57),"")=0,"",IF(MID(IFERROR(INDEX(醫師週班表!$C$5:$T$44,$CU40,BF$57),""),2,1)="/",MID(IFERROR(INDEX(醫師週班表!$C$5:$T$44,$CU40,BF$57),""),1+BF$58*2,1),IF(MID(IFERROR(INDEX(醫師週班表!$C$5:$T$44,$CU40,BF$57),""),3,1)="隔",IF(BF$58=0,LEFT(IFERROR(INDEX(醫師週班表!$C$5:$T$44,$CU40,BF$57),""),1),""),IF(MID(IFERROR(INDEX(醫師週班表!$C$5:$T$44,$CU40,BF$57),""),2,1)="(",LEFT(IFERROR(INDEX(醫師週班表!$C$5:$T$44,$CU40,BF$57),""),1),IFERROR(INDEX(醫師週班表!$C$5:$T$44,$CU40,BF$57),"")))))))</f>
        <v/>
      </c>
      <c r="BG40" s="67">
        <f>IF(BG$59="X","",IF(BG$59&lt;&gt;"",BG$59,IF(IFERROR(INDEX(醫師週班表!$C$5:$T$44,$CU40,BG$57),"")=0,"",IF(MID(IFERROR(INDEX(醫師週班表!$C$5:$T$44,$CU40,BG$57),""),2,1)="/",MID(IFERROR(INDEX(醫師週班表!$C$5:$T$44,$CU40,BG$57),""),1+BG$58*2,1),IF(MID(IFERROR(INDEX(醫師週班表!$C$5:$T$44,$CU40,BG$57),""),3,1)="隔",IF(BG$58=0,LEFT(IFERROR(INDEX(醫師週班表!$C$5:$T$44,$CU40,BG$57),""),1),""),IF(MID(IFERROR(INDEX(醫師週班表!$C$5:$T$44,$CU40,BG$57),""),2,1)="(",LEFT(IFERROR(INDEX(醫師週班表!$C$5:$T$44,$CU40,BG$57),""),1),IFERROR(INDEX(醫師週班表!$C$5:$T$44,$CU40,BG$57),"")))))))</f>
        <v/>
      </c>
      <c r="BH40" s="68">
        <f>IF(BH$59="X","",IF(BH$59&lt;&gt;"",BH$59,IF(IFERROR(INDEX(醫師週班表!$C$5:$T$44,$CU40,BH$57),"")=0,"",IF(MID(IFERROR(INDEX(醫師週班表!$C$5:$T$44,$CU40,BH$57),""),2,1)="/",MID(IFERROR(INDEX(醫師週班表!$C$5:$T$44,$CU40,BH$57),""),1+BH$58*2,1),IF(MID(IFERROR(INDEX(醫師週班表!$C$5:$T$44,$CU40,BH$57),""),3,1)="隔",IF(BH$58=0,LEFT(IFERROR(INDEX(醫師週班表!$C$5:$T$44,$CU40,BH$57),""),1),""),IF(MID(IFERROR(INDEX(醫師週班表!$C$5:$T$44,$CU40,BH$57),""),2,1)="(",LEFT(IFERROR(INDEX(醫師週班表!$C$5:$T$44,$CU40,BH$57),""),1),IFERROR(INDEX(醫師週班表!$C$5:$T$44,$CU40,BH$57),"")))))))</f>
        <v/>
      </c>
      <c r="BI40" s="68">
        <f>IF(BI$59="X","",IF(BI$59&lt;&gt;"",BI$59,IF(IFERROR(INDEX(醫師週班表!$C$5:$T$44,$CU40,BI$57),"")=0,"",IF(MID(IFERROR(INDEX(醫師週班表!$C$5:$T$44,$CU40,BI$57),""),2,1)="/",MID(IFERROR(INDEX(醫師週班表!$C$5:$T$44,$CU40,BI$57),""),1+BI$58*2,1),IF(MID(IFERROR(INDEX(醫師週班表!$C$5:$T$44,$CU40,BI$57),""),3,1)="隔",IF(BI$58=0,LEFT(IFERROR(INDEX(醫師週班表!$C$5:$T$44,$CU40,BI$57),""),1),""),IF(MID(IFERROR(INDEX(醫師週班表!$C$5:$T$44,$CU40,BI$57),""),2,1)="(",LEFT(IFERROR(INDEX(醫師週班表!$C$5:$T$44,$CU40,BI$57),""),1),IFERROR(INDEX(醫師週班表!$C$5:$T$44,$CU40,BI$57),"")))))))</f>
        <v/>
      </c>
      <c r="BJ40" s="67">
        <f>IF(BJ$59="X","",IF(BJ$59&lt;&gt;"",BJ$59,IF(IFERROR(INDEX(醫師週班表!$C$5:$T$44,$CU40,BJ$57),"")=0,"",IF(MID(IFERROR(INDEX(醫師週班表!$C$5:$T$44,$CU40,BJ$57),""),2,1)="/",MID(IFERROR(INDEX(醫師週班表!$C$5:$T$44,$CU40,BJ$57),""),1+BJ$58*2,1),IF(MID(IFERROR(INDEX(醫師週班表!$C$5:$T$44,$CU40,BJ$57),""),3,1)="隔",IF(BJ$58=0,LEFT(IFERROR(INDEX(醫師週班表!$C$5:$T$44,$CU40,BJ$57),""),1),""),IF(MID(IFERROR(INDEX(醫師週班表!$C$5:$T$44,$CU40,BJ$57),""),2,1)="(",LEFT(IFERROR(INDEX(醫師週班表!$C$5:$T$44,$CU40,BJ$57),""),1),IFERROR(INDEX(醫師週班表!$C$5:$T$44,$CU40,BJ$57),"")))))))</f>
        <v/>
      </c>
      <c r="BK40" s="68">
        <f>IF(BK$59="X","",IF(BK$59&lt;&gt;"",BK$59,IF(IFERROR(INDEX(醫師週班表!$C$5:$T$44,$CU40,BK$57),"")=0,"",IF(MID(IFERROR(INDEX(醫師週班表!$C$5:$T$44,$CU40,BK$57),""),2,1)="/",MID(IFERROR(INDEX(醫師週班表!$C$5:$T$44,$CU40,BK$57),""),1+BK$58*2,1),IF(MID(IFERROR(INDEX(醫師週班表!$C$5:$T$44,$CU40,BK$57),""),3,1)="隔",IF(BK$58=0,LEFT(IFERROR(INDEX(醫師週班表!$C$5:$T$44,$CU40,BK$57),""),1),""),IF(MID(IFERROR(INDEX(醫師週班表!$C$5:$T$44,$CU40,BK$57),""),2,1)="(",LEFT(IFERROR(INDEX(醫師週班表!$C$5:$T$44,$CU40,BK$57),""),1),IFERROR(INDEX(醫師週班表!$C$5:$T$44,$CU40,BK$57),"")))))))</f>
        <v/>
      </c>
      <c r="BL40" s="68">
        <f>IF(BL$59="X","",IF(BL$59&lt;&gt;"",BL$59,IF(IFERROR(INDEX(醫師週班表!$C$5:$T$44,$CU40,BL$57),"")=0,"",IF(MID(IFERROR(INDEX(醫師週班表!$C$5:$T$44,$CU40,BL$57),""),2,1)="/",MID(IFERROR(INDEX(醫師週班表!$C$5:$T$44,$CU40,BL$57),""),1+BL$58*2,1),IF(MID(IFERROR(INDEX(醫師週班表!$C$5:$T$44,$CU40,BL$57),""),3,1)="隔",IF(BL$58=0,LEFT(IFERROR(INDEX(醫師週班表!$C$5:$T$44,$CU40,BL$57),""),1),""),IF(MID(IFERROR(INDEX(醫師週班表!$C$5:$T$44,$CU40,BL$57),""),2,1)="(",LEFT(IFERROR(INDEX(醫師週班表!$C$5:$T$44,$CU40,BL$57),""),1),IFERROR(INDEX(醫師週班表!$C$5:$T$44,$CU40,BL$57),"")))))))</f>
        <v/>
      </c>
      <c r="BM40" s="67">
        <f>IF(BM$59="X","",IF(BM$59&lt;&gt;"",BM$59,IF(IFERROR(INDEX(醫師週班表!$C$5:$T$44,$CU40,BM$57),"")=0,"",IF(MID(IFERROR(INDEX(醫師週班表!$C$5:$T$44,$CU40,BM$57),""),2,1)="/",MID(IFERROR(INDEX(醫師週班表!$C$5:$T$44,$CU40,BM$57),""),1+BM$58*2,1),IF(MID(IFERROR(INDEX(醫師週班表!$C$5:$T$44,$CU40,BM$57),""),3,1)="隔",IF(BM$58=0,LEFT(IFERROR(INDEX(醫師週班表!$C$5:$T$44,$CU40,BM$57),""),1),""),IF(MID(IFERROR(INDEX(醫師週班表!$C$5:$T$44,$CU40,BM$57),""),2,1)="(",LEFT(IFERROR(INDEX(醫師週班表!$C$5:$T$44,$CU40,BM$57),""),1),IFERROR(INDEX(醫師週班表!$C$5:$T$44,$CU40,BM$57),"")))))))</f>
        <v/>
      </c>
      <c r="BN40" s="68">
        <f>IF(BN$59="X","",IF(BN$59&lt;&gt;"",BN$59,IF(IFERROR(INDEX(醫師週班表!$C$5:$T$44,$CU40,BN$57),"")=0,"",IF(MID(IFERROR(INDEX(醫師週班表!$C$5:$T$44,$CU40,BN$57),""),2,1)="/",MID(IFERROR(INDEX(醫師週班表!$C$5:$T$44,$CU40,BN$57),""),1+BN$58*2,1),IF(MID(IFERROR(INDEX(醫師週班表!$C$5:$T$44,$CU40,BN$57),""),3,1)="隔",IF(BN$58=0,LEFT(IFERROR(INDEX(醫師週班表!$C$5:$T$44,$CU40,BN$57),""),1),""),IF(MID(IFERROR(INDEX(醫師週班表!$C$5:$T$44,$CU40,BN$57),""),2,1)="(",LEFT(IFERROR(INDEX(醫師週班表!$C$5:$T$44,$CU40,BN$57),""),1),IFERROR(INDEX(醫師週班表!$C$5:$T$44,$CU40,BN$57),"")))))))</f>
        <v/>
      </c>
      <c r="BO40" s="68">
        <f>IF(BO$59="X","",IF(BO$59&lt;&gt;"",BO$59,IF(IFERROR(INDEX(醫師週班表!$C$5:$T$44,$CU40,BO$57),"")=0,"",IF(MID(IFERROR(INDEX(醫師週班表!$C$5:$T$44,$CU40,BO$57),""),2,1)="/",MID(IFERROR(INDEX(醫師週班表!$C$5:$T$44,$CU40,BO$57),""),1+BO$58*2,1),IF(MID(IFERROR(INDEX(醫師週班表!$C$5:$T$44,$CU40,BO$57),""),3,1)="隔",IF(BO$58=0,LEFT(IFERROR(INDEX(醫師週班表!$C$5:$T$44,$CU40,BO$57),""),1),""),IF(MID(IFERROR(INDEX(醫師週班表!$C$5:$T$44,$CU40,BO$57),""),2,1)="(",LEFT(IFERROR(INDEX(醫師週班表!$C$5:$T$44,$CU40,BO$57),""),1),IFERROR(INDEX(醫師週班表!$C$5:$T$44,$CU40,BO$57),"")))))))</f>
        <v/>
      </c>
      <c r="BP40" s="67">
        <f>IF(BP$59="X","",IF(BP$59&lt;&gt;"",BP$59,IF(IFERROR(INDEX(醫師週班表!$C$5:$T$44,$CU40,BP$57),"")=0,"",IF(MID(IFERROR(INDEX(醫師週班表!$C$5:$T$44,$CU40,BP$57),""),2,1)="/",MID(IFERROR(INDEX(醫師週班表!$C$5:$T$44,$CU40,BP$57),""),1+BP$58*2,1),IF(MID(IFERROR(INDEX(醫師週班表!$C$5:$T$44,$CU40,BP$57),""),3,1)="隔",IF(BP$58=0,LEFT(IFERROR(INDEX(醫師週班表!$C$5:$T$44,$CU40,BP$57),""),1),""),IF(MID(IFERROR(INDEX(醫師週班表!$C$5:$T$44,$CU40,BP$57),""),2,1)="(",LEFT(IFERROR(INDEX(醫師週班表!$C$5:$T$44,$CU40,BP$57),""),1),IFERROR(INDEX(醫師週班表!$C$5:$T$44,$CU40,BP$57),"")))))))</f>
        <v/>
      </c>
      <c r="BQ40" s="68">
        <f>IF(BQ$59="X","",IF(BQ$59&lt;&gt;"",BQ$59,IF(IFERROR(INDEX(醫師週班表!$C$5:$T$44,$CU40,BQ$57),"")=0,"",IF(MID(IFERROR(INDEX(醫師週班表!$C$5:$T$44,$CU40,BQ$57),""),2,1)="/",MID(IFERROR(INDEX(醫師週班表!$C$5:$T$44,$CU40,BQ$57),""),1+BQ$58*2,1),IF(MID(IFERROR(INDEX(醫師週班表!$C$5:$T$44,$CU40,BQ$57),""),3,1)="隔",IF(BQ$58=0,LEFT(IFERROR(INDEX(醫師週班表!$C$5:$T$44,$CU40,BQ$57),""),1),""),IF(MID(IFERROR(INDEX(醫師週班表!$C$5:$T$44,$CU40,BQ$57),""),2,1)="(",LEFT(IFERROR(INDEX(醫師週班表!$C$5:$T$44,$CU40,BQ$57),""),1),IFERROR(INDEX(醫師週班表!$C$5:$T$44,$CU40,BQ$57),"")))))))</f>
        <v/>
      </c>
      <c r="BR40" s="68">
        <f>IF(BR$59="X","",IF(BR$59&lt;&gt;"",BR$59,IF(IFERROR(INDEX(醫師週班表!$C$5:$T$44,$CU40,BR$57),"")=0,"",IF(MID(IFERROR(INDEX(醫師週班表!$C$5:$T$44,$CU40,BR$57),""),2,1)="/",MID(IFERROR(INDEX(醫師週班表!$C$5:$T$44,$CU40,BR$57),""),1+BR$58*2,1),IF(MID(IFERROR(INDEX(醫師週班表!$C$5:$T$44,$CU40,BR$57),""),3,1)="隔",IF(BR$58=0,LEFT(IFERROR(INDEX(醫師週班表!$C$5:$T$44,$CU40,BR$57),""),1),""),IF(MID(IFERROR(INDEX(醫師週班表!$C$5:$T$44,$CU40,BR$57),""),2,1)="(",LEFT(IFERROR(INDEX(醫師週班表!$C$5:$T$44,$CU40,BR$57),""),1),IFERROR(INDEX(醫師週班表!$C$5:$T$44,$CU40,BR$57),"")))))))</f>
        <v/>
      </c>
      <c r="BS40" s="67">
        <f>IF(BS$59="X","",IF(BS$59&lt;&gt;"",BS$59,IF(IFERROR(INDEX(醫師週班表!$C$5:$T$44,$CU40,BS$57),"")=0,"",IF(MID(IFERROR(INDEX(醫師週班表!$C$5:$T$44,$CU40,BS$57),""),2,1)="/",MID(IFERROR(INDEX(醫師週班表!$C$5:$T$44,$CU40,BS$57),""),1+BS$58*2,1),IF(MID(IFERROR(INDEX(醫師週班表!$C$5:$T$44,$CU40,BS$57),""),3,1)="隔",IF(BS$58=0,LEFT(IFERROR(INDEX(醫師週班表!$C$5:$T$44,$CU40,BS$57),""),1),""),IF(MID(IFERROR(INDEX(醫師週班表!$C$5:$T$44,$CU40,BS$57),""),2,1)="(",LEFT(IFERROR(INDEX(醫師週班表!$C$5:$T$44,$CU40,BS$57),""),1),IFERROR(INDEX(醫師週班表!$C$5:$T$44,$CU40,BS$57),"")))))))</f>
        <v/>
      </c>
      <c r="BT40" s="68">
        <f>IF(BT$59="X","",IF(BT$59&lt;&gt;"",BT$59,IF(IFERROR(INDEX(醫師週班表!$C$5:$T$44,$CU40,BT$57),"")=0,"",IF(MID(IFERROR(INDEX(醫師週班表!$C$5:$T$44,$CU40,BT$57),""),2,1)="/",MID(IFERROR(INDEX(醫師週班表!$C$5:$T$44,$CU40,BT$57),""),1+BT$58*2,1),IF(MID(IFERROR(INDEX(醫師週班表!$C$5:$T$44,$CU40,BT$57),""),3,1)="隔",IF(BT$58=0,LEFT(IFERROR(INDEX(醫師週班表!$C$5:$T$44,$CU40,BT$57),""),1),""),IF(MID(IFERROR(INDEX(醫師週班表!$C$5:$T$44,$CU40,BT$57),""),2,1)="(",LEFT(IFERROR(INDEX(醫師週班表!$C$5:$T$44,$CU40,BT$57),""),1),IFERROR(INDEX(醫師週班表!$C$5:$T$44,$CU40,BT$57),"")))))))</f>
        <v/>
      </c>
      <c r="BU40" s="68">
        <f>IF(BU$59="X","",IF(BU$59&lt;&gt;"",BU$59,IF(IFERROR(INDEX(醫師週班表!$C$5:$T$44,$CU40,BU$57),"")=0,"",IF(MID(IFERROR(INDEX(醫師週班表!$C$5:$T$44,$CU40,BU$57),""),2,1)="/",MID(IFERROR(INDEX(醫師週班表!$C$5:$T$44,$CU40,BU$57),""),1+BU$58*2,1),IF(MID(IFERROR(INDEX(醫師週班表!$C$5:$T$44,$CU40,BU$57),""),3,1)="隔",IF(BU$58=0,LEFT(IFERROR(INDEX(醫師週班表!$C$5:$T$44,$CU40,BU$57),""),1),""),IF(MID(IFERROR(INDEX(醫師週班表!$C$5:$T$44,$CU40,BU$57),""),2,1)="(",LEFT(IFERROR(INDEX(醫師週班表!$C$5:$T$44,$CU40,BU$57),""),1),IFERROR(INDEX(醫師週班表!$C$5:$T$44,$CU40,BU$57),"")))))))</f>
        <v/>
      </c>
      <c r="BV40" s="67">
        <f>IF(BV$59="X","",IF(BV$59&lt;&gt;"",BV$59,IF(IFERROR(INDEX(醫師週班表!$C$5:$T$44,$CU40,BV$57),"")=0,"",IF(MID(IFERROR(INDEX(醫師週班表!$C$5:$T$44,$CU40,BV$57),""),2,1)="/",MID(IFERROR(INDEX(醫師週班表!$C$5:$T$44,$CU40,BV$57),""),1+BV$58*2,1),IF(MID(IFERROR(INDEX(醫師週班表!$C$5:$T$44,$CU40,BV$57),""),3,1)="隔",IF(BV$58=0,LEFT(IFERROR(INDEX(醫師週班表!$C$5:$T$44,$CU40,BV$57),""),1),""),IF(MID(IFERROR(INDEX(醫師週班表!$C$5:$T$44,$CU40,BV$57),""),2,1)="(",LEFT(IFERROR(INDEX(醫師週班表!$C$5:$T$44,$CU40,BV$57),""),1),IFERROR(INDEX(醫師週班表!$C$5:$T$44,$CU40,BV$57),"")))))))</f>
        <v/>
      </c>
      <c r="BW40" s="68">
        <f>IF(BW$59="X","",IF(BW$59&lt;&gt;"",BW$59,IF(IFERROR(INDEX(醫師週班表!$C$5:$T$44,$CU40,BW$57),"")=0,"",IF(MID(IFERROR(INDEX(醫師週班表!$C$5:$T$44,$CU40,BW$57),""),2,1)="/",MID(IFERROR(INDEX(醫師週班表!$C$5:$T$44,$CU40,BW$57),""),1+BW$58*2,1),IF(MID(IFERROR(INDEX(醫師週班表!$C$5:$T$44,$CU40,BW$57),""),3,1)="隔",IF(BW$58=0,LEFT(IFERROR(INDEX(醫師週班表!$C$5:$T$44,$CU40,BW$57),""),1),""),IF(MID(IFERROR(INDEX(醫師週班表!$C$5:$T$44,$CU40,BW$57),""),2,1)="(",LEFT(IFERROR(INDEX(醫師週班表!$C$5:$T$44,$CU40,BW$57),""),1),IFERROR(INDEX(醫師週班表!$C$5:$T$44,$CU40,BW$57),"")))))))</f>
        <v/>
      </c>
      <c r="BX40" s="68">
        <f>IF(BX$59="X","",IF(BX$59&lt;&gt;"",BX$59,IF(IFERROR(INDEX(醫師週班表!$C$5:$T$44,$CU40,BX$57),"")=0,"",IF(MID(IFERROR(INDEX(醫師週班表!$C$5:$T$44,$CU40,BX$57),""),2,1)="/",MID(IFERROR(INDEX(醫師週班表!$C$5:$T$44,$CU40,BX$57),""),1+BX$58*2,1),IF(MID(IFERROR(INDEX(醫師週班表!$C$5:$T$44,$CU40,BX$57),""),3,1)="隔",IF(BX$58=0,LEFT(IFERROR(INDEX(醫師週班表!$C$5:$T$44,$CU40,BX$57),""),1),""),IF(MID(IFERROR(INDEX(醫師週班表!$C$5:$T$44,$CU40,BX$57),""),2,1)="(",LEFT(IFERROR(INDEX(醫師週班表!$C$5:$T$44,$CU40,BX$57),""),1),IFERROR(INDEX(醫師週班表!$C$5:$T$44,$CU40,BX$57),"")))))))</f>
        <v/>
      </c>
      <c r="BY40" s="67">
        <f>IF(BY$59="X","",IF(BY$59&lt;&gt;"",BY$59,IF(IFERROR(INDEX(醫師週班表!$C$5:$T$44,$CU40,BY$57),"")=0,"",IF(MID(IFERROR(INDEX(醫師週班表!$C$5:$T$44,$CU40,BY$57),""),2,1)="/",MID(IFERROR(INDEX(醫師週班表!$C$5:$T$44,$CU40,BY$57),""),1+BY$58*2,1),IF(MID(IFERROR(INDEX(醫師週班表!$C$5:$T$44,$CU40,BY$57),""),3,1)="隔",IF(BY$58=0,LEFT(IFERROR(INDEX(醫師週班表!$C$5:$T$44,$CU40,BY$57),""),1),""),IF(MID(IFERROR(INDEX(醫師週班表!$C$5:$T$44,$CU40,BY$57),""),2,1)="(",LEFT(IFERROR(INDEX(醫師週班表!$C$5:$T$44,$CU40,BY$57),""),1),IFERROR(INDEX(醫師週班表!$C$5:$T$44,$CU40,BY$57),"")))))))</f>
        <v/>
      </c>
      <c r="BZ40" s="68">
        <f>IF(BZ$59="X","",IF(BZ$59&lt;&gt;"",BZ$59,IF(IFERROR(INDEX(醫師週班表!$C$5:$T$44,$CU40,BZ$57),"")=0,"",IF(MID(IFERROR(INDEX(醫師週班表!$C$5:$T$44,$CU40,BZ$57),""),2,1)="/",MID(IFERROR(INDEX(醫師週班表!$C$5:$T$44,$CU40,BZ$57),""),1+BZ$58*2,1),IF(MID(IFERROR(INDEX(醫師週班表!$C$5:$T$44,$CU40,BZ$57),""),3,1)="隔",IF(BZ$58=0,LEFT(IFERROR(INDEX(醫師週班表!$C$5:$T$44,$CU40,BZ$57),""),1),""),IF(MID(IFERROR(INDEX(醫師週班表!$C$5:$T$44,$CU40,BZ$57),""),2,1)="(",LEFT(IFERROR(INDEX(醫師週班表!$C$5:$T$44,$CU40,BZ$57),""),1),IFERROR(INDEX(醫師週班表!$C$5:$T$44,$CU40,BZ$57),"")))))))</f>
        <v/>
      </c>
      <c r="CA40" s="68">
        <f>IF(CA$59="X","",IF(CA$59&lt;&gt;"",CA$59,IF(IFERROR(INDEX(醫師週班表!$C$5:$T$44,$CU40,CA$57),"")=0,"",IF(MID(IFERROR(INDEX(醫師週班表!$C$5:$T$44,$CU40,CA$57),""),2,1)="/",MID(IFERROR(INDEX(醫師週班表!$C$5:$T$44,$CU40,CA$57),""),1+CA$58*2,1),IF(MID(IFERROR(INDEX(醫師週班表!$C$5:$T$44,$CU40,CA$57),""),3,1)="隔",IF(CA$58=0,LEFT(IFERROR(INDEX(醫師週班表!$C$5:$T$44,$CU40,CA$57),""),1),""),IF(MID(IFERROR(INDEX(醫師週班表!$C$5:$T$44,$CU40,CA$57),""),2,1)="(",LEFT(IFERROR(INDEX(醫師週班表!$C$5:$T$44,$CU40,CA$57),""),1),IFERROR(INDEX(醫師週班表!$C$5:$T$44,$CU40,CA$57),"")))))))</f>
        <v/>
      </c>
      <c r="CB40" s="67">
        <f>IF(CB$59="X","",IF(CB$59&lt;&gt;"",CB$59,IF(IFERROR(INDEX(醫師週班表!$C$5:$T$44,$CU40,CB$57),"")=0,"",IF(MID(IFERROR(INDEX(醫師週班表!$C$5:$T$44,$CU40,CB$57),""),2,1)="/",MID(IFERROR(INDEX(醫師週班表!$C$5:$T$44,$CU40,CB$57),""),1+CB$58*2,1),IF(MID(IFERROR(INDEX(醫師週班表!$C$5:$T$44,$CU40,CB$57),""),3,1)="隔",IF(CB$58=0,LEFT(IFERROR(INDEX(醫師週班表!$C$5:$T$44,$CU40,CB$57),""),1),""),IF(MID(IFERROR(INDEX(醫師週班表!$C$5:$T$44,$CU40,CB$57),""),2,1)="(",LEFT(IFERROR(INDEX(醫師週班表!$C$5:$T$44,$CU40,CB$57),""),1),IFERROR(INDEX(醫師週班表!$C$5:$T$44,$CU40,CB$57),"")))))))</f>
        <v/>
      </c>
      <c r="CC40" s="68">
        <f>IF(CC$59="X","",IF(CC$59&lt;&gt;"",CC$59,IF(IFERROR(INDEX(醫師週班表!$C$5:$T$44,$CU40,CC$57),"")=0,"",IF(MID(IFERROR(INDEX(醫師週班表!$C$5:$T$44,$CU40,CC$57),""),2,1)="/",MID(IFERROR(INDEX(醫師週班表!$C$5:$T$44,$CU40,CC$57),""),1+CC$58*2,1),IF(MID(IFERROR(INDEX(醫師週班表!$C$5:$T$44,$CU40,CC$57),""),3,1)="隔",IF(CC$58=0,LEFT(IFERROR(INDEX(醫師週班表!$C$5:$T$44,$CU40,CC$57),""),1),""),IF(MID(IFERROR(INDEX(醫師週班表!$C$5:$T$44,$CU40,CC$57),""),2,1)="(",LEFT(IFERROR(INDEX(醫師週班表!$C$5:$T$44,$CU40,CC$57),""),1),IFERROR(INDEX(醫師週班表!$C$5:$T$44,$CU40,CC$57),"")))))))</f>
        <v/>
      </c>
      <c r="CD40" s="68">
        <f>IF(CD$59="X","",IF(CD$59&lt;&gt;"",CD$59,IF(IFERROR(INDEX(醫師週班表!$C$5:$T$44,$CU40,CD$57),"")=0,"",IF(MID(IFERROR(INDEX(醫師週班表!$C$5:$T$44,$CU40,CD$57),""),2,1)="/",MID(IFERROR(INDEX(醫師週班表!$C$5:$T$44,$CU40,CD$57),""),1+CD$58*2,1),IF(MID(IFERROR(INDEX(醫師週班表!$C$5:$T$44,$CU40,CD$57),""),3,1)="隔",IF(CD$58=0,LEFT(IFERROR(INDEX(醫師週班表!$C$5:$T$44,$CU40,CD$57),""),1),""),IF(MID(IFERROR(INDEX(醫師週班表!$C$5:$T$44,$CU40,CD$57),""),2,1)="(",LEFT(IFERROR(INDEX(醫師週班表!$C$5:$T$44,$CU40,CD$57),""),1),IFERROR(INDEX(醫師週班表!$C$5:$T$44,$CU40,CD$57),"")))))))</f>
        <v/>
      </c>
      <c r="CE40" s="67">
        <f>IF(CE$59="X","",IF(CE$59&lt;&gt;"",CE$59,IF(IFERROR(INDEX(醫師週班表!$C$5:$T$44,$CU40,CE$57),"")=0,"",IF(MID(IFERROR(INDEX(醫師週班表!$C$5:$T$44,$CU40,CE$57),""),2,1)="/",MID(IFERROR(INDEX(醫師週班表!$C$5:$T$44,$CU40,CE$57),""),1+CE$58*2,1),IF(MID(IFERROR(INDEX(醫師週班表!$C$5:$T$44,$CU40,CE$57),""),3,1)="隔",IF(CE$58=0,LEFT(IFERROR(INDEX(醫師週班表!$C$5:$T$44,$CU40,CE$57),""),1),""),IF(MID(IFERROR(INDEX(醫師週班表!$C$5:$T$44,$CU40,CE$57),""),2,1)="(",LEFT(IFERROR(INDEX(醫師週班表!$C$5:$T$44,$CU40,CE$57),""),1),IFERROR(INDEX(醫師週班表!$C$5:$T$44,$CU40,CE$57),"")))))))</f>
        <v/>
      </c>
      <c r="CF40" s="68">
        <f>IF(CF$59="X","",IF(CF$59&lt;&gt;"",CF$59,IF(IFERROR(INDEX(醫師週班表!$C$5:$T$44,$CU40,CF$57),"")=0,"",IF(MID(IFERROR(INDEX(醫師週班表!$C$5:$T$44,$CU40,CF$57),""),2,1)="/",MID(IFERROR(INDEX(醫師週班表!$C$5:$T$44,$CU40,CF$57),""),1+CF$58*2,1),IF(MID(IFERROR(INDEX(醫師週班表!$C$5:$T$44,$CU40,CF$57),""),3,1)="隔",IF(CF$58=0,LEFT(IFERROR(INDEX(醫師週班表!$C$5:$T$44,$CU40,CF$57),""),1),""),IF(MID(IFERROR(INDEX(醫師週班表!$C$5:$T$44,$CU40,CF$57),""),2,1)="(",LEFT(IFERROR(INDEX(醫師週班表!$C$5:$T$44,$CU40,CF$57),""),1),IFERROR(INDEX(醫師週班表!$C$5:$T$44,$CU40,CF$57),"")))))))</f>
        <v/>
      </c>
      <c r="CG40" s="68">
        <f>IF(CG$59="X","",IF(CG$59&lt;&gt;"",CG$59,IF(IFERROR(INDEX(醫師週班表!$C$5:$T$44,$CU40,CG$57),"")=0,"",IF(MID(IFERROR(INDEX(醫師週班表!$C$5:$T$44,$CU40,CG$57),""),2,1)="/",MID(IFERROR(INDEX(醫師週班表!$C$5:$T$44,$CU40,CG$57),""),1+CG$58*2,1),IF(MID(IFERROR(INDEX(醫師週班表!$C$5:$T$44,$CU40,CG$57),""),3,1)="隔",IF(CG$58=0,LEFT(IFERROR(INDEX(醫師週班表!$C$5:$T$44,$CU40,CG$57),""),1),""),IF(MID(IFERROR(INDEX(醫師週班表!$C$5:$T$44,$CU40,CG$57),""),2,1)="(",LEFT(IFERROR(INDEX(醫師週班表!$C$5:$T$44,$CU40,CG$57),""),1),IFERROR(INDEX(醫師週班表!$C$5:$T$44,$CU40,CG$57),"")))))))</f>
        <v/>
      </c>
      <c r="CH40" s="67">
        <f>IF(CH$59="X","",IF(CH$59&lt;&gt;"",CH$59,IF(IFERROR(INDEX(醫師週班表!$C$5:$T$44,$CU40,CH$57),"")=0,"",IF(MID(IFERROR(INDEX(醫師週班表!$C$5:$T$44,$CU40,CH$57),""),2,1)="/",MID(IFERROR(INDEX(醫師週班表!$C$5:$T$44,$CU40,CH$57),""),1+CH$58*2,1),IF(MID(IFERROR(INDEX(醫師週班表!$C$5:$T$44,$CU40,CH$57),""),3,1)="隔",IF(CH$58=0,LEFT(IFERROR(INDEX(醫師週班表!$C$5:$T$44,$CU40,CH$57),""),1),""),IF(MID(IFERROR(INDEX(醫師週班表!$C$5:$T$44,$CU40,CH$57),""),2,1)="(",LEFT(IFERROR(INDEX(醫師週班表!$C$5:$T$44,$CU40,CH$57),""),1),IFERROR(INDEX(醫師週班表!$C$5:$T$44,$CU40,CH$57),"")))))))</f>
        <v/>
      </c>
      <c r="CI40" s="68">
        <f>IF(CI$59="X","",IF(CI$59&lt;&gt;"",CI$59,IF(IFERROR(INDEX(醫師週班表!$C$5:$T$44,$CU40,CI$57),"")=0,"",IF(MID(IFERROR(INDEX(醫師週班表!$C$5:$T$44,$CU40,CI$57),""),2,1)="/",MID(IFERROR(INDEX(醫師週班表!$C$5:$T$44,$CU40,CI$57),""),1+CI$58*2,1),IF(MID(IFERROR(INDEX(醫師週班表!$C$5:$T$44,$CU40,CI$57),""),3,1)="隔",IF(CI$58=0,LEFT(IFERROR(INDEX(醫師週班表!$C$5:$T$44,$CU40,CI$57),""),1),""),IF(MID(IFERROR(INDEX(醫師週班表!$C$5:$T$44,$CU40,CI$57),""),2,1)="(",LEFT(IFERROR(INDEX(醫師週班表!$C$5:$T$44,$CU40,CI$57),""),1),IFERROR(INDEX(醫師週班表!$C$5:$T$44,$CU40,CI$57),"")))))))</f>
        <v/>
      </c>
      <c r="CJ40" s="68">
        <f>IF(CJ$59="X","",IF(CJ$59&lt;&gt;"",CJ$59,IF(IFERROR(INDEX(醫師週班表!$C$5:$T$44,$CU40,CJ$57),"")=0,"",IF(MID(IFERROR(INDEX(醫師週班表!$C$5:$T$44,$CU40,CJ$57),""),2,1)="/",MID(IFERROR(INDEX(醫師週班表!$C$5:$T$44,$CU40,CJ$57),""),1+CJ$58*2,1),IF(MID(IFERROR(INDEX(醫師週班表!$C$5:$T$44,$CU40,CJ$57),""),3,1)="隔",IF(CJ$58=0,LEFT(IFERROR(INDEX(醫師週班表!$C$5:$T$44,$CU40,CJ$57),""),1),""),IF(MID(IFERROR(INDEX(醫師週班表!$C$5:$T$44,$CU40,CJ$57),""),2,1)="(",LEFT(IFERROR(INDEX(醫師週班表!$C$5:$T$44,$CU40,CJ$57),""),1),IFERROR(INDEX(醫師週班表!$C$5:$T$44,$CU40,CJ$57),"")))))))</f>
        <v/>
      </c>
      <c r="CK40" s="67">
        <f>IF(CK$59="X","",IF(CK$59&lt;&gt;"",CK$59,IF(IFERROR(INDEX(醫師週班表!$C$5:$T$44,$CU40,CK$57),"")=0,"",IF(MID(IFERROR(INDEX(醫師週班表!$C$5:$T$44,$CU40,CK$57),""),2,1)="/",MID(IFERROR(INDEX(醫師週班表!$C$5:$T$44,$CU40,CK$57),""),1+CK$58*2,1),IF(MID(IFERROR(INDEX(醫師週班表!$C$5:$T$44,$CU40,CK$57),""),3,1)="隔",IF(CK$58=0,LEFT(IFERROR(INDEX(醫師週班表!$C$5:$T$44,$CU40,CK$57),""),1),""),IF(MID(IFERROR(INDEX(醫師週班表!$C$5:$T$44,$CU40,CK$57),""),2,1)="(",LEFT(IFERROR(INDEX(醫師週班表!$C$5:$T$44,$CU40,CK$57),""),1),IFERROR(INDEX(醫師週班表!$C$5:$T$44,$CU40,CK$57),"")))))))</f>
        <v/>
      </c>
      <c r="CL40" s="68">
        <f>IF(CL$59="X","",IF(CL$59&lt;&gt;"",CL$59,IF(IFERROR(INDEX(醫師週班表!$C$5:$T$44,$CU40,CL$57),"")=0,"",IF(MID(IFERROR(INDEX(醫師週班表!$C$5:$T$44,$CU40,CL$57),""),2,1)="/",MID(IFERROR(INDEX(醫師週班表!$C$5:$T$44,$CU40,CL$57),""),1+CL$58*2,1),IF(MID(IFERROR(INDEX(醫師週班表!$C$5:$T$44,$CU40,CL$57),""),3,1)="隔",IF(CL$58=0,LEFT(IFERROR(INDEX(醫師週班表!$C$5:$T$44,$CU40,CL$57),""),1),""),IF(MID(IFERROR(INDEX(醫師週班表!$C$5:$T$44,$CU40,CL$57),""),2,1)="(",LEFT(IFERROR(INDEX(醫師週班表!$C$5:$T$44,$CU40,CL$57),""),1),IFERROR(INDEX(醫師週班表!$C$5:$T$44,$CU40,CL$57),"")))))))</f>
        <v/>
      </c>
      <c r="CM40" s="68">
        <f>IF(CM$59="X","",IF(CM$59&lt;&gt;"",CM$59,IF(IFERROR(INDEX(醫師週班表!$C$5:$T$44,$CU40,CM$57),"")=0,"",IF(MID(IFERROR(INDEX(醫師週班表!$C$5:$T$44,$CU40,CM$57),""),2,1)="/",MID(IFERROR(INDEX(醫師週班表!$C$5:$T$44,$CU40,CM$57),""),1+CM$58*2,1),IF(MID(IFERROR(INDEX(醫師週班表!$C$5:$T$44,$CU40,CM$57),""),3,1)="隔",IF(CM$58=0,LEFT(IFERROR(INDEX(醫師週班表!$C$5:$T$44,$CU40,CM$57),""),1),""),IF(MID(IFERROR(INDEX(醫師週班表!$C$5:$T$44,$CU40,CM$57),""),2,1)="(",LEFT(IFERROR(INDEX(醫師週班表!$C$5:$T$44,$CU40,CM$57),""),1),IFERROR(INDEX(醫師週班表!$C$5:$T$44,$CU40,CM$57),"")))))))</f>
        <v/>
      </c>
      <c r="CN40" s="67">
        <f>IF(CN$59="X","",IF(CN$59&lt;&gt;"",CN$59,IF(IFERROR(INDEX(醫師週班表!$C$5:$T$44,$CU40,CN$57),"")=0,"",IF(MID(IFERROR(INDEX(醫師週班表!$C$5:$T$44,$CU40,CN$57),""),2,1)="/",MID(IFERROR(INDEX(醫師週班表!$C$5:$T$44,$CU40,CN$57),""),1+CN$58*2,1),IF(MID(IFERROR(INDEX(醫師週班表!$C$5:$T$44,$CU40,CN$57),""),3,1)="隔",IF(CN$58=0,LEFT(IFERROR(INDEX(醫師週班表!$C$5:$T$44,$CU40,CN$57),""),1),""),IF(MID(IFERROR(INDEX(醫師週班表!$C$5:$T$44,$CU40,CN$57),""),2,1)="(",LEFT(IFERROR(INDEX(醫師週班表!$C$5:$T$44,$CU40,CN$57),""),1),IFERROR(INDEX(醫師週班表!$C$5:$T$44,$CU40,CN$57),"")))))))</f>
        <v/>
      </c>
      <c r="CO40" s="68">
        <f>IF(CO$59="X","",IF(CO$59&lt;&gt;"",CO$59,IF(IFERROR(INDEX(醫師週班表!$C$5:$T$44,$CU40,CO$57),"")=0,"",IF(MID(IFERROR(INDEX(醫師週班表!$C$5:$T$44,$CU40,CO$57),""),2,1)="/",MID(IFERROR(INDEX(醫師週班表!$C$5:$T$44,$CU40,CO$57),""),1+CO$58*2,1),IF(MID(IFERROR(INDEX(醫師週班表!$C$5:$T$44,$CU40,CO$57),""),3,1)="隔",IF(CO$58=0,LEFT(IFERROR(INDEX(醫師週班表!$C$5:$T$44,$CU40,CO$57),""),1),""),IF(MID(IFERROR(INDEX(醫師週班表!$C$5:$T$44,$CU40,CO$57),""),2,1)="(",LEFT(IFERROR(INDEX(醫師週班表!$C$5:$T$44,$CU40,CO$57),""),1),IFERROR(INDEX(醫師週班表!$C$5:$T$44,$CU40,CO$57),"")))))))</f>
        <v/>
      </c>
      <c r="CP40" s="68">
        <f>IF(CP$59="X","",IF(CP$59&lt;&gt;"",CP$59,IF(IFERROR(INDEX(醫師週班表!$C$5:$T$44,$CU40,CP$57),"")=0,"",IF(MID(IFERROR(INDEX(醫師週班表!$C$5:$T$44,$CU40,CP$57),""),2,1)="/",MID(IFERROR(INDEX(醫師週班表!$C$5:$T$44,$CU40,CP$57),""),1+CP$58*2,1),IF(MID(IFERROR(INDEX(醫師週班表!$C$5:$T$44,$CU40,CP$57),""),3,1)="隔",IF(CP$58=0,LEFT(IFERROR(INDEX(醫師週班表!$C$5:$T$44,$CU40,CP$57),""),1),""),IF(MID(IFERROR(INDEX(醫師週班表!$C$5:$T$44,$CU40,CP$57),""),2,1)="(",LEFT(IFERROR(INDEX(醫師週班表!$C$5:$T$44,$CU40,CP$57),""),1),IFERROR(INDEX(醫師週班表!$C$5:$T$44,$CU40,CP$57),"")))))))</f>
        <v/>
      </c>
      <c r="CQ40" s="67">
        <f>IF(CQ$59="X","",IF(CQ$59&lt;&gt;"",CQ$59,IF(IFERROR(INDEX(醫師週班表!$C$5:$T$44,$CU40,CQ$57),"")=0,"",IF(MID(IFERROR(INDEX(醫師週班表!$C$5:$T$44,$CU40,CQ$57),""),2,1)="/",MID(IFERROR(INDEX(醫師週班表!$C$5:$T$44,$CU40,CQ$57),""),1+CQ$58*2,1),IF(MID(IFERROR(INDEX(醫師週班表!$C$5:$T$44,$CU40,CQ$57),""),3,1)="隔",IF(CQ$58=0,LEFT(IFERROR(INDEX(醫師週班表!$C$5:$T$44,$CU40,CQ$57),""),1),""),IF(MID(IFERROR(INDEX(醫師週班表!$C$5:$T$44,$CU40,CQ$57),""),2,1)="(",LEFT(IFERROR(INDEX(醫師週班表!$C$5:$T$44,$CU40,CQ$57),""),1),IFERROR(INDEX(醫師週班表!$C$5:$T$44,$CU40,CQ$57),"")))))))</f>
        <v/>
      </c>
      <c r="CR40" s="68">
        <f>IF(CR$59="X","",IF(CR$59&lt;&gt;"",CR$59,IF(IFERROR(INDEX(醫師週班表!$C$5:$T$44,$CU40,CR$57),"")=0,"",IF(MID(IFERROR(INDEX(醫師週班表!$C$5:$T$44,$CU40,CR$57),""),2,1)="/",MID(IFERROR(INDEX(醫師週班表!$C$5:$T$44,$CU40,CR$57),""),1+CR$58*2,1),IF(MID(IFERROR(INDEX(醫師週班表!$C$5:$T$44,$CU40,CR$57),""),3,1)="隔",IF(CR$58=0,LEFT(IFERROR(INDEX(醫師週班表!$C$5:$T$44,$CU40,CR$57),""),1),""),IF(MID(IFERROR(INDEX(醫師週班表!$C$5:$T$44,$CU40,CR$57),""),2,1)="(",LEFT(IFERROR(INDEX(醫師週班表!$C$5:$T$44,$CU40,CR$57),""),1),IFERROR(INDEX(醫師週班表!$C$5:$T$44,$CU40,CR$57),"")))))))</f>
        <v/>
      </c>
      <c r="CS40" s="68">
        <f>IF(CS$59="X","",IF(CS$59&lt;&gt;"",CS$59,IF(IFERROR(INDEX(醫師週班表!$C$5:$T$44,$CU40,CS$57),"")=0,"",IF(MID(IFERROR(INDEX(醫師週班表!$C$5:$T$44,$CU40,CS$57),""),2,1)="/",MID(IFERROR(INDEX(醫師週班表!$C$5:$T$44,$CU40,CS$57),""),1+CS$58*2,1),IF(MID(IFERROR(INDEX(醫師週班表!$C$5:$T$44,$CU40,CS$57),""),3,1)="隔",IF(CS$58=0,LEFT(IFERROR(INDEX(醫師週班表!$C$5:$T$44,$CU40,CS$57),""),1),""),IF(MID(IFERROR(INDEX(醫師週班表!$C$5:$T$44,$CU40,CS$57),""),2,1)="(",LEFT(IFERROR(INDEX(醫師週班表!$C$5:$T$44,$CU40,CS$57),""),1),IFERROR(INDEX(醫師週班表!$C$5:$T$44,$CU40,CS$57),"")))))))</f>
        <v/>
      </c>
      <c r="CU40" s="69">
        <f>IFERROR(MATCH($A40,醫師週班表!$A$5:$A$44,0),0)</f>
        <v/>
      </c>
    </row>
    <row r="41" ht="17" customHeight="1">
      <c r="A41" s="20" t="n"/>
      <c r="B41" s="16">
        <f>IFERROR(INDEX(設定!$C$62:$C$201,MATCH($A41,設定!$B$62:$B$201,0)),"")</f>
        <v/>
      </c>
      <c r="C41" s="66">
        <f>IFERROR(INDEX(設定!$E$62:$E$201,MATCH($A41,設定!$B$62:$B$201,0)),"")</f>
        <v/>
      </c>
      <c r="D41" s="16">
        <f>IFERROR(INDEX(設定!$F$62:$F$201,MATCH($A41,設定!$B$62:$B$201,0)),"")</f>
        <v/>
      </c>
      <c r="E41" s="67">
        <f>IF(E$59="X","",IF(E$59&lt;&gt;"",E$59,IF(IFERROR(INDEX(醫師週班表!$C$5:$T$44,$CU41,E$57),"")=0,"",IF(MID(IFERROR(INDEX(醫師週班表!$C$5:$T$44,$CU41,E$57),""),2,1)="/",MID(IFERROR(INDEX(醫師週班表!$C$5:$T$44,$CU41,E$57),""),1+E$58*2,1),IF(MID(IFERROR(INDEX(醫師週班表!$C$5:$T$44,$CU41,E$57),""),3,1)="隔",IF(E$58=0,LEFT(IFERROR(INDEX(醫師週班表!$C$5:$T$44,$CU41,E$57),""),1),""),IF(MID(IFERROR(INDEX(醫師週班表!$C$5:$T$44,$CU41,E$57),""),2,1)="(",LEFT(IFERROR(INDEX(醫師週班表!$C$5:$T$44,$CU41,E$57),""),1),IFERROR(INDEX(醫師週班表!$C$5:$T$44,$CU41,E$57),"")))))))</f>
        <v/>
      </c>
      <c r="F41" s="68">
        <f>IF(F$59="X","",IF(F$59&lt;&gt;"",F$59,IF(IFERROR(INDEX(醫師週班表!$C$5:$T$44,$CU41,F$57),"")=0,"",IF(MID(IFERROR(INDEX(醫師週班表!$C$5:$T$44,$CU41,F$57),""),2,1)="/",MID(IFERROR(INDEX(醫師週班表!$C$5:$T$44,$CU41,F$57),""),1+F$58*2,1),IF(MID(IFERROR(INDEX(醫師週班表!$C$5:$T$44,$CU41,F$57),""),3,1)="隔",IF(F$58=0,LEFT(IFERROR(INDEX(醫師週班表!$C$5:$T$44,$CU41,F$57),""),1),""),IF(MID(IFERROR(INDEX(醫師週班表!$C$5:$T$44,$CU41,F$57),""),2,1)="(",LEFT(IFERROR(INDEX(醫師週班表!$C$5:$T$44,$CU41,F$57),""),1),IFERROR(INDEX(醫師週班表!$C$5:$T$44,$CU41,F$57),"")))))))</f>
        <v/>
      </c>
      <c r="G41" s="68">
        <f>IF(G$59="X","",IF(G$59&lt;&gt;"",G$59,IF(IFERROR(INDEX(醫師週班表!$C$5:$T$44,$CU41,G$57),"")=0,"",IF(MID(IFERROR(INDEX(醫師週班表!$C$5:$T$44,$CU41,G$57),""),2,1)="/",MID(IFERROR(INDEX(醫師週班表!$C$5:$T$44,$CU41,G$57),""),1+G$58*2,1),IF(MID(IFERROR(INDEX(醫師週班表!$C$5:$T$44,$CU41,G$57),""),3,1)="隔",IF(G$58=0,LEFT(IFERROR(INDEX(醫師週班表!$C$5:$T$44,$CU41,G$57),""),1),""),IF(MID(IFERROR(INDEX(醫師週班表!$C$5:$T$44,$CU41,G$57),""),2,1)="(",LEFT(IFERROR(INDEX(醫師週班表!$C$5:$T$44,$CU41,G$57),""),1),IFERROR(INDEX(醫師週班表!$C$5:$T$44,$CU41,G$57),"")))))))</f>
        <v/>
      </c>
      <c r="H41" s="67">
        <f>IF(H$59="X","",IF(H$59&lt;&gt;"",H$59,IF(IFERROR(INDEX(醫師週班表!$C$5:$T$44,$CU41,H$57),"")=0,"",IF(MID(IFERROR(INDEX(醫師週班表!$C$5:$T$44,$CU41,H$57),""),2,1)="/",MID(IFERROR(INDEX(醫師週班表!$C$5:$T$44,$CU41,H$57),""),1+H$58*2,1),IF(MID(IFERROR(INDEX(醫師週班表!$C$5:$T$44,$CU41,H$57),""),3,1)="隔",IF(H$58=0,LEFT(IFERROR(INDEX(醫師週班表!$C$5:$T$44,$CU41,H$57),""),1),""),IF(MID(IFERROR(INDEX(醫師週班表!$C$5:$T$44,$CU41,H$57),""),2,1)="(",LEFT(IFERROR(INDEX(醫師週班表!$C$5:$T$44,$CU41,H$57),""),1),IFERROR(INDEX(醫師週班表!$C$5:$T$44,$CU41,H$57),"")))))))</f>
        <v/>
      </c>
      <c r="I41" s="68">
        <f>IF(I$59="X","",IF(I$59&lt;&gt;"",I$59,IF(IFERROR(INDEX(醫師週班表!$C$5:$T$44,$CU41,I$57),"")=0,"",IF(MID(IFERROR(INDEX(醫師週班表!$C$5:$T$44,$CU41,I$57),""),2,1)="/",MID(IFERROR(INDEX(醫師週班表!$C$5:$T$44,$CU41,I$57),""),1+I$58*2,1),IF(MID(IFERROR(INDEX(醫師週班表!$C$5:$T$44,$CU41,I$57),""),3,1)="隔",IF(I$58=0,LEFT(IFERROR(INDEX(醫師週班表!$C$5:$T$44,$CU41,I$57),""),1),""),IF(MID(IFERROR(INDEX(醫師週班表!$C$5:$T$44,$CU41,I$57),""),2,1)="(",LEFT(IFERROR(INDEX(醫師週班表!$C$5:$T$44,$CU41,I$57),""),1),IFERROR(INDEX(醫師週班表!$C$5:$T$44,$CU41,I$57),"")))))))</f>
        <v/>
      </c>
      <c r="J41" s="68">
        <f>IF(J$59="X","",IF(J$59&lt;&gt;"",J$59,IF(IFERROR(INDEX(醫師週班表!$C$5:$T$44,$CU41,J$57),"")=0,"",IF(MID(IFERROR(INDEX(醫師週班表!$C$5:$T$44,$CU41,J$57),""),2,1)="/",MID(IFERROR(INDEX(醫師週班表!$C$5:$T$44,$CU41,J$57),""),1+J$58*2,1),IF(MID(IFERROR(INDEX(醫師週班表!$C$5:$T$44,$CU41,J$57),""),3,1)="隔",IF(J$58=0,LEFT(IFERROR(INDEX(醫師週班表!$C$5:$T$44,$CU41,J$57),""),1),""),IF(MID(IFERROR(INDEX(醫師週班表!$C$5:$T$44,$CU41,J$57),""),2,1)="(",LEFT(IFERROR(INDEX(醫師週班表!$C$5:$T$44,$CU41,J$57),""),1),IFERROR(INDEX(醫師週班表!$C$5:$T$44,$CU41,J$57),"")))))))</f>
        <v/>
      </c>
      <c r="K41" s="67">
        <f>IF(K$59="X","",IF(K$59&lt;&gt;"",K$59,IF(IFERROR(INDEX(醫師週班表!$C$5:$T$44,$CU41,K$57),"")=0,"",IF(MID(IFERROR(INDEX(醫師週班表!$C$5:$T$44,$CU41,K$57),""),2,1)="/",MID(IFERROR(INDEX(醫師週班表!$C$5:$T$44,$CU41,K$57),""),1+K$58*2,1),IF(MID(IFERROR(INDEX(醫師週班表!$C$5:$T$44,$CU41,K$57),""),3,1)="隔",IF(K$58=0,LEFT(IFERROR(INDEX(醫師週班表!$C$5:$T$44,$CU41,K$57),""),1),""),IF(MID(IFERROR(INDEX(醫師週班表!$C$5:$T$44,$CU41,K$57),""),2,1)="(",LEFT(IFERROR(INDEX(醫師週班表!$C$5:$T$44,$CU41,K$57),""),1),IFERROR(INDEX(醫師週班表!$C$5:$T$44,$CU41,K$57),"")))))))</f>
        <v/>
      </c>
      <c r="L41" s="68">
        <f>IF(L$59="X","",IF(L$59&lt;&gt;"",L$59,IF(IFERROR(INDEX(醫師週班表!$C$5:$T$44,$CU41,L$57),"")=0,"",IF(MID(IFERROR(INDEX(醫師週班表!$C$5:$T$44,$CU41,L$57),""),2,1)="/",MID(IFERROR(INDEX(醫師週班表!$C$5:$T$44,$CU41,L$57),""),1+L$58*2,1),IF(MID(IFERROR(INDEX(醫師週班表!$C$5:$T$44,$CU41,L$57),""),3,1)="隔",IF(L$58=0,LEFT(IFERROR(INDEX(醫師週班表!$C$5:$T$44,$CU41,L$57),""),1),""),IF(MID(IFERROR(INDEX(醫師週班表!$C$5:$T$44,$CU41,L$57),""),2,1)="(",LEFT(IFERROR(INDEX(醫師週班表!$C$5:$T$44,$CU41,L$57),""),1),IFERROR(INDEX(醫師週班表!$C$5:$T$44,$CU41,L$57),"")))))))</f>
        <v/>
      </c>
      <c r="M41" s="68">
        <f>IF(M$59="X","",IF(M$59&lt;&gt;"",M$59,IF(IFERROR(INDEX(醫師週班表!$C$5:$T$44,$CU41,M$57),"")=0,"",IF(MID(IFERROR(INDEX(醫師週班表!$C$5:$T$44,$CU41,M$57),""),2,1)="/",MID(IFERROR(INDEX(醫師週班表!$C$5:$T$44,$CU41,M$57),""),1+M$58*2,1),IF(MID(IFERROR(INDEX(醫師週班表!$C$5:$T$44,$CU41,M$57),""),3,1)="隔",IF(M$58=0,LEFT(IFERROR(INDEX(醫師週班表!$C$5:$T$44,$CU41,M$57),""),1),""),IF(MID(IFERROR(INDEX(醫師週班表!$C$5:$T$44,$CU41,M$57),""),2,1)="(",LEFT(IFERROR(INDEX(醫師週班表!$C$5:$T$44,$CU41,M$57),""),1),IFERROR(INDEX(醫師週班表!$C$5:$T$44,$CU41,M$57),"")))))))</f>
        <v/>
      </c>
      <c r="N41" s="67">
        <f>IF(N$59="X","",IF(N$59&lt;&gt;"",N$59,IF(IFERROR(INDEX(醫師週班表!$C$5:$T$44,$CU41,N$57),"")=0,"",IF(MID(IFERROR(INDEX(醫師週班表!$C$5:$T$44,$CU41,N$57),""),2,1)="/",MID(IFERROR(INDEX(醫師週班表!$C$5:$T$44,$CU41,N$57),""),1+N$58*2,1),IF(MID(IFERROR(INDEX(醫師週班表!$C$5:$T$44,$CU41,N$57),""),3,1)="隔",IF(N$58=0,LEFT(IFERROR(INDEX(醫師週班表!$C$5:$T$44,$CU41,N$57),""),1),""),IF(MID(IFERROR(INDEX(醫師週班表!$C$5:$T$44,$CU41,N$57),""),2,1)="(",LEFT(IFERROR(INDEX(醫師週班表!$C$5:$T$44,$CU41,N$57),""),1),IFERROR(INDEX(醫師週班表!$C$5:$T$44,$CU41,N$57),"")))))))</f>
        <v/>
      </c>
      <c r="O41" s="68">
        <f>IF(O$59="X","",IF(O$59&lt;&gt;"",O$59,IF(IFERROR(INDEX(醫師週班表!$C$5:$T$44,$CU41,O$57),"")=0,"",IF(MID(IFERROR(INDEX(醫師週班表!$C$5:$T$44,$CU41,O$57),""),2,1)="/",MID(IFERROR(INDEX(醫師週班表!$C$5:$T$44,$CU41,O$57),""),1+O$58*2,1),IF(MID(IFERROR(INDEX(醫師週班表!$C$5:$T$44,$CU41,O$57),""),3,1)="隔",IF(O$58=0,LEFT(IFERROR(INDEX(醫師週班表!$C$5:$T$44,$CU41,O$57),""),1),""),IF(MID(IFERROR(INDEX(醫師週班表!$C$5:$T$44,$CU41,O$57),""),2,1)="(",LEFT(IFERROR(INDEX(醫師週班表!$C$5:$T$44,$CU41,O$57),""),1),IFERROR(INDEX(醫師週班表!$C$5:$T$44,$CU41,O$57),"")))))))</f>
        <v/>
      </c>
      <c r="P41" s="68">
        <f>IF(P$59="X","",IF(P$59&lt;&gt;"",P$59,IF(IFERROR(INDEX(醫師週班表!$C$5:$T$44,$CU41,P$57),"")=0,"",IF(MID(IFERROR(INDEX(醫師週班表!$C$5:$T$44,$CU41,P$57),""),2,1)="/",MID(IFERROR(INDEX(醫師週班表!$C$5:$T$44,$CU41,P$57),""),1+P$58*2,1),IF(MID(IFERROR(INDEX(醫師週班表!$C$5:$T$44,$CU41,P$57),""),3,1)="隔",IF(P$58=0,LEFT(IFERROR(INDEX(醫師週班表!$C$5:$T$44,$CU41,P$57),""),1),""),IF(MID(IFERROR(INDEX(醫師週班表!$C$5:$T$44,$CU41,P$57),""),2,1)="(",LEFT(IFERROR(INDEX(醫師週班表!$C$5:$T$44,$CU41,P$57),""),1),IFERROR(INDEX(醫師週班表!$C$5:$T$44,$CU41,P$57),"")))))))</f>
        <v/>
      </c>
      <c r="Q41" s="67">
        <f>IF(Q$59="X","",IF(Q$59&lt;&gt;"",Q$59,IF(IFERROR(INDEX(醫師週班表!$C$5:$T$44,$CU41,Q$57),"")=0,"",IF(MID(IFERROR(INDEX(醫師週班表!$C$5:$T$44,$CU41,Q$57),""),2,1)="/",MID(IFERROR(INDEX(醫師週班表!$C$5:$T$44,$CU41,Q$57),""),1+Q$58*2,1),IF(MID(IFERROR(INDEX(醫師週班表!$C$5:$T$44,$CU41,Q$57),""),3,1)="隔",IF(Q$58=0,LEFT(IFERROR(INDEX(醫師週班表!$C$5:$T$44,$CU41,Q$57),""),1),""),IF(MID(IFERROR(INDEX(醫師週班表!$C$5:$T$44,$CU41,Q$57),""),2,1)="(",LEFT(IFERROR(INDEX(醫師週班表!$C$5:$T$44,$CU41,Q$57),""),1),IFERROR(INDEX(醫師週班表!$C$5:$T$44,$CU41,Q$57),"")))))))</f>
        <v/>
      </c>
      <c r="R41" s="68">
        <f>IF(R$59="X","",IF(R$59&lt;&gt;"",R$59,IF(IFERROR(INDEX(醫師週班表!$C$5:$T$44,$CU41,R$57),"")=0,"",IF(MID(IFERROR(INDEX(醫師週班表!$C$5:$T$44,$CU41,R$57),""),2,1)="/",MID(IFERROR(INDEX(醫師週班表!$C$5:$T$44,$CU41,R$57),""),1+R$58*2,1),IF(MID(IFERROR(INDEX(醫師週班表!$C$5:$T$44,$CU41,R$57),""),3,1)="隔",IF(R$58=0,LEFT(IFERROR(INDEX(醫師週班表!$C$5:$T$44,$CU41,R$57),""),1),""),IF(MID(IFERROR(INDEX(醫師週班表!$C$5:$T$44,$CU41,R$57),""),2,1)="(",LEFT(IFERROR(INDEX(醫師週班表!$C$5:$T$44,$CU41,R$57),""),1),IFERROR(INDEX(醫師週班表!$C$5:$T$44,$CU41,R$57),"")))))))</f>
        <v/>
      </c>
      <c r="S41" s="68">
        <f>IF(S$59="X","",IF(S$59&lt;&gt;"",S$59,IF(IFERROR(INDEX(醫師週班表!$C$5:$T$44,$CU41,S$57),"")=0,"",IF(MID(IFERROR(INDEX(醫師週班表!$C$5:$T$44,$CU41,S$57),""),2,1)="/",MID(IFERROR(INDEX(醫師週班表!$C$5:$T$44,$CU41,S$57),""),1+S$58*2,1),IF(MID(IFERROR(INDEX(醫師週班表!$C$5:$T$44,$CU41,S$57),""),3,1)="隔",IF(S$58=0,LEFT(IFERROR(INDEX(醫師週班表!$C$5:$T$44,$CU41,S$57),""),1),""),IF(MID(IFERROR(INDEX(醫師週班表!$C$5:$T$44,$CU41,S$57),""),2,1)="(",LEFT(IFERROR(INDEX(醫師週班表!$C$5:$T$44,$CU41,S$57),""),1),IFERROR(INDEX(醫師週班表!$C$5:$T$44,$CU41,S$57),"")))))))</f>
        <v/>
      </c>
      <c r="T41" s="67">
        <f>IF(T$59="X","",IF(T$59&lt;&gt;"",T$59,IF(IFERROR(INDEX(醫師週班表!$C$5:$T$44,$CU41,T$57),"")=0,"",IF(MID(IFERROR(INDEX(醫師週班表!$C$5:$T$44,$CU41,T$57),""),2,1)="/",MID(IFERROR(INDEX(醫師週班表!$C$5:$T$44,$CU41,T$57),""),1+T$58*2,1),IF(MID(IFERROR(INDEX(醫師週班表!$C$5:$T$44,$CU41,T$57),""),3,1)="隔",IF(T$58=0,LEFT(IFERROR(INDEX(醫師週班表!$C$5:$T$44,$CU41,T$57),""),1),""),IF(MID(IFERROR(INDEX(醫師週班表!$C$5:$T$44,$CU41,T$57),""),2,1)="(",LEFT(IFERROR(INDEX(醫師週班表!$C$5:$T$44,$CU41,T$57),""),1),IFERROR(INDEX(醫師週班表!$C$5:$T$44,$CU41,T$57),"")))))))</f>
        <v/>
      </c>
      <c r="U41" s="68">
        <f>IF(U$59="X","",IF(U$59&lt;&gt;"",U$59,IF(IFERROR(INDEX(醫師週班表!$C$5:$T$44,$CU41,U$57),"")=0,"",IF(MID(IFERROR(INDEX(醫師週班表!$C$5:$T$44,$CU41,U$57),""),2,1)="/",MID(IFERROR(INDEX(醫師週班表!$C$5:$T$44,$CU41,U$57),""),1+U$58*2,1),IF(MID(IFERROR(INDEX(醫師週班表!$C$5:$T$44,$CU41,U$57),""),3,1)="隔",IF(U$58=0,LEFT(IFERROR(INDEX(醫師週班表!$C$5:$T$44,$CU41,U$57),""),1),""),IF(MID(IFERROR(INDEX(醫師週班表!$C$5:$T$44,$CU41,U$57),""),2,1)="(",LEFT(IFERROR(INDEX(醫師週班表!$C$5:$T$44,$CU41,U$57),""),1),IFERROR(INDEX(醫師週班表!$C$5:$T$44,$CU41,U$57),"")))))))</f>
        <v/>
      </c>
      <c r="V41" s="68">
        <f>IF(V$59="X","",IF(V$59&lt;&gt;"",V$59,IF(IFERROR(INDEX(醫師週班表!$C$5:$T$44,$CU41,V$57),"")=0,"",IF(MID(IFERROR(INDEX(醫師週班表!$C$5:$T$44,$CU41,V$57),""),2,1)="/",MID(IFERROR(INDEX(醫師週班表!$C$5:$T$44,$CU41,V$57),""),1+V$58*2,1),IF(MID(IFERROR(INDEX(醫師週班表!$C$5:$T$44,$CU41,V$57),""),3,1)="隔",IF(V$58=0,LEFT(IFERROR(INDEX(醫師週班表!$C$5:$T$44,$CU41,V$57),""),1),""),IF(MID(IFERROR(INDEX(醫師週班表!$C$5:$T$44,$CU41,V$57),""),2,1)="(",LEFT(IFERROR(INDEX(醫師週班表!$C$5:$T$44,$CU41,V$57),""),1),IFERROR(INDEX(醫師週班表!$C$5:$T$44,$CU41,V$57),"")))))))</f>
        <v/>
      </c>
      <c r="W41" s="67">
        <f>IF(W$59="X","",IF(W$59&lt;&gt;"",W$59,IF(IFERROR(INDEX(醫師週班表!$C$5:$T$44,$CU41,W$57),"")=0,"",IF(MID(IFERROR(INDEX(醫師週班表!$C$5:$T$44,$CU41,W$57),""),2,1)="/",MID(IFERROR(INDEX(醫師週班表!$C$5:$T$44,$CU41,W$57),""),1+W$58*2,1),IF(MID(IFERROR(INDEX(醫師週班表!$C$5:$T$44,$CU41,W$57),""),3,1)="隔",IF(W$58=0,LEFT(IFERROR(INDEX(醫師週班表!$C$5:$T$44,$CU41,W$57),""),1),""),IF(MID(IFERROR(INDEX(醫師週班表!$C$5:$T$44,$CU41,W$57),""),2,1)="(",LEFT(IFERROR(INDEX(醫師週班表!$C$5:$T$44,$CU41,W$57),""),1),IFERROR(INDEX(醫師週班表!$C$5:$T$44,$CU41,W$57),"")))))))</f>
        <v/>
      </c>
      <c r="X41" s="68">
        <f>IF(X$59="X","",IF(X$59&lt;&gt;"",X$59,IF(IFERROR(INDEX(醫師週班表!$C$5:$T$44,$CU41,X$57),"")=0,"",IF(MID(IFERROR(INDEX(醫師週班表!$C$5:$T$44,$CU41,X$57),""),2,1)="/",MID(IFERROR(INDEX(醫師週班表!$C$5:$T$44,$CU41,X$57),""),1+X$58*2,1),IF(MID(IFERROR(INDEX(醫師週班表!$C$5:$T$44,$CU41,X$57),""),3,1)="隔",IF(X$58=0,LEFT(IFERROR(INDEX(醫師週班表!$C$5:$T$44,$CU41,X$57),""),1),""),IF(MID(IFERROR(INDEX(醫師週班表!$C$5:$T$44,$CU41,X$57),""),2,1)="(",LEFT(IFERROR(INDEX(醫師週班表!$C$5:$T$44,$CU41,X$57),""),1),IFERROR(INDEX(醫師週班表!$C$5:$T$44,$CU41,X$57),"")))))))</f>
        <v/>
      </c>
      <c r="Y41" s="68">
        <f>IF(Y$59="X","",IF(Y$59&lt;&gt;"",Y$59,IF(IFERROR(INDEX(醫師週班表!$C$5:$T$44,$CU41,Y$57),"")=0,"",IF(MID(IFERROR(INDEX(醫師週班表!$C$5:$T$44,$CU41,Y$57),""),2,1)="/",MID(IFERROR(INDEX(醫師週班表!$C$5:$T$44,$CU41,Y$57),""),1+Y$58*2,1),IF(MID(IFERROR(INDEX(醫師週班表!$C$5:$T$44,$CU41,Y$57),""),3,1)="隔",IF(Y$58=0,LEFT(IFERROR(INDEX(醫師週班表!$C$5:$T$44,$CU41,Y$57),""),1),""),IF(MID(IFERROR(INDEX(醫師週班表!$C$5:$T$44,$CU41,Y$57),""),2,1)="(",LEFT(IFERROR(INDEX(醫師週班表!$C$5:$T$44,$CU41,Y$57),""),1),IFERROR(INDEX(醫師週班表!$C$5:$T$44,$CU41,Y$57),"")))))))</f>
        <v/>
      </c>
      <c r="Z41" s="67">
        <f>IF(Z$59="X","",IF(Z$59&lt;&gt;"",Z$59,IF(IFERROR(INDEX(醫師週班表!$C$5:$T$44,$CU41,Z$57),"")=0,"",IF(MID(IFERROR(INDEX(醫師週班表!$C$5:$T$44,$CU41,Z$57),""),2,1)="/",MID(IFERROR(INDEX(醫師週班表!$C$5:$T$44,$CU41,Z$57),""),1+Z$58*2,1),IF(MID(IFERROR(INDEX(醫師週班表!$C$5:$T$44,$CU41,Z$57),""),3,1)="隔",IF(Z$58=0,LEFT(IFERROR(INDEX(醫師週班表!$C$5:$T$44,$CU41,Z$57),""),1),""),IF(MID(IFERROR(INDEX(醫師週班表!$C$5:$T$44,$CU41,Z$57),""),2,1)="(",LEFT(IFERROR(INDEX(醫師週班表!$C$5:$T$44,$CU41,Z$57),""),1),IFERROR(INDEX(醫師週班表!$C$5:$T$44,$CU41,Z$57),"")))))))</f>
        <v/>
      </c>
      <c r="AA41" s="68">
        <f>IF(AA$59="X","",IF(AA$59&lt;&gt;"",AA$59,IF(IFERROR(INDEX(醫師週班表!$C$5:$T$44,$CU41,AA$57),"")=0,"",IF(MID(IFERROR(INDEX(醫師週班表!$C$5:$T$44,$CU41,AA$57),""),2,1)="/",MID(IFERROR(INDEX(醫師週班表!$C$5:$T$44,$CU41,AA$57),""),1+AA$58*2,1),IF(MID(IFERROR(INDEX(醫師週班表!$C$5:$T$44,$CU41,AA$57),""),3,1)="隔",IF(AA$58=0,LEFT(IFERROR(INDEX(醫師週班表!$C$5:$T$44,$CU41,AA$57),""),1),""),IF(MID(IFERROR(INDEX(醫師週班表!$C$5:$T$44,$CU41,AA$57),""),2,1)="(",LEFT(IFERROR(INDEX(醫師週班表!$C$5:$T$44,$CU41,AA$57),""),1),IFERROR(INDEX(醫師週班表!$C$5:$T$44,$CU41,AA$57),"")))))))</f>
        <v/>
      </c>
      <c r="AB41" s="68">
        <f>IF(AB$59="X","",IF(AB$59&lt;&gt;"",AB$59,IF(IFERROR(INDEX(醫師週班表!$C$5:$T$44,$CU41,AB$57),"")=0,"",IF(MID(IFERROR(INDEX(醫師週班表!$C$5:$T$44,$CU41,AB$57),""),2,1)="/",MID(IFERROR(INDEX(醫師週班表!$C$5:$T$44,$CU41,AB$57),""),1+AB$58*2,1),IF(MID(IFERROR(INDEX(醫師週班表!$C$5:$T$44,$CU41,AB$57),""),3,1)="隔",IF(AB$58=0,LEFT(IFERROR(INDEX(醫師週班表!$C$5:$T$44,$CU41,AB$57),""),1),""),IF(MID(IFERROR(INDEX(醫師週班表!$C$5:$T$44,$CU41,AB$57),""),2,1)="(",LEFT(IFERROR(INDEX(醫師週班表!$C$5:$T$44,$CU41,AB$57),""),1),IFERROR(INDEX(醫師週班表!$C$5:$T$44,$CU41,AB$57),"")))))))</f>
        <v/>
      </c>
      <c r="AC41" s="67">
        <f>IF(AC$59="X","",IF(AC$59&lt;&gt;"",AC$59,IF(IFERROR(INDEX(醫師週班表!$C$5:$T$44,$CU41,AC$57),"")=0,"",IF(MID(IFERROR(INDEX(醫師週班表!$C$5:$T$44,$CU41,AC$57),""),2,1)="/",MID(IFERROR(INDEX(醫師週班表!$C$5:$T$44,$CU41,AC$57),""),1+AC$58*2,1),IF(MID(IFERROR(INDEX(醫師週班表!$C$5:$T$44,$CU41,AC$57),""),3,1)="隔",IF(AC$58=0,LEFT(IFERROR(INDEX(醫師週班表!$C$5:$T$44,$CU41,AC$57),""),1),""),IF(MID(IFERROR(INDEX(醫師週班表!$C$5:$T$44,$CU41,AC$57),""),2,1)="(",LEFT(IFERROR(INDEX(醫師週班表!$C$5:$T$44,$CU41,AC$57),""),1),IFERROR(INDEX(醫師週班表!$C$5:$T$44,$CU41,AC$57),"")))))))</f>
        <v/>
      </c>
      <c r="AD41" s="68">
        <f>IF(AD$59="X","",IF(AD$59&lt;&gt;"",AD$59,IF(IFERROR(INDEX(醫師週班表!$C$5:$T$44,$CU41,AD$57),"")=0,"",IF(MID(IFERROR(INDEX(醫師週班表!$C$5:$T$44,$CU41,AD$57),""),2,1)="/",MID(IFERROR(INDEX(醫師週班表!$C$5:$T$44,$CU41,AD$57),""),1+AD$58*2,1),IF(MID(IFERROR(INDEX(醫師週班表!$C$5:$T$44,$CU41,AD$57),""),3,1)="隔",IF(AD$58=0,LEFT(IFERROR(INDEX(醫師週班表!$C$5:$T$44,$CU41,AD$57),""),1),""),IF(MID(IFERROR(INDEX(醫師週班表!$C$5:$T$44,$CU41,AD$57),""),2,1)="(",LEFT(IFERROR(INDEX(醫師週班表!$C$5:$T$44,$CU41,AD$57),""),1),IFERROR(INDEX(醫師週班表!$C$5:$T$44,$CU41,AD$57),"")))))))</f>
        <v/>
      </c>
      <c r="AE41" s="68">
        <f>IF(AE$59="X","",IF(AE$59&lt;&gt;"",AE$59,IF(IFERROR(INDEX(醫師週班表!$C$5:$T$44,$CU41,AE$57),"")=0,"",IF(MID(IFERROR(INDEX(醫師週班表!$C$5:$T$44,$CU41,AE$57),""),2,1)="/",MID(IFERROR(INDEX(醫師週班表!$C$5:$T$44,$CU41,AE$57),""),1+AE$58*2,1),IF(MID(IFERROR(INDEX(醫師週班表!$C$5:$T$44,$CU41,AE$57),""),3,1)="隔",IF(AE$58=0,LEFT(IFERROR(INDEX(醫師週班表!$C$5:$T$44,$CU41,AE$57),""),1),""),IF(MID(IFERROR(INDEX(醫師週班表!$C$5:$T$44,$CU41,AE$57),""),2,1)="(",LEFT(IFERROR(INDEX(醫師週班表!$C$5:$T$44,$CU41,AE$57),""),1),IFERROR(INDEX(醫師週班表!$C$5:$T$44,$CU41,AE$57),"")))))))</f>
        <v/>
      </c>
      <c r="AF41" s="67">
        <f>IF(AF$59="X","",IF(AF$59&lt;&gt;"",AF$59,IF(IFERROR(INDEX(醫師週班表!$C$5:$T$44,$CU41,AF$57),"")=0,"",IF(MID(IFERROR(INDEX(醫師週班表!$C$5:$T$44,$CU41,AF$57),""),2,1)="/",MID(IFERROR(INDEX(醫師週班表!$C$5:$T$44,$CU41,AF$57),""),1+AF$58*2,1),IF(MID(IFERROR(INDEX(醫師週班表!$C$5:$T$44,$CU41,AF$57),""),3,1)="隔",IF(AF$58=0,LEFT(IFERROR(INDEX(醫師週班表!$C$5:$T$44,$CU41,AF$57),""),1),""),IF(MID(IFERROR(INDEX(醫師週班表!$C$5:$T$44,$CU41,AF$57),""),2,1)="(",LEFT(IFERROR(INDEX(醫師週班表!$C$5:$T$44,$CU41,AF$57),""),1),IFERROR(INDEX(醫師週班表!$C$5:$T$44,$CU41,AF$57),"")))))))</f>
        <v/>
      </c>
      <c r="AG41" s="68">
        <f>IF(AG$59="X","",IF(AG$59&lt;&gt;"",AG$59,IF(IFERROR(INDEX(醫師週班表!$C$5:$T$44,$CU41,AG$57),"")=0,"",IF(MID(IFERROR(INDEX(醫師週班表!$C$5:$T$44,$CU41,AG$57),""),2,1)="/",MID(IFERROR(INDEX(醫師週班表!$C$5:$T$44,$CU41,AG$57),""),1+AG$58*2,1),IF(MID(IFERROR(INDEX(醫師週班表!$C$5:$T$44,$CU41,AG$57),""),3,1)="隔",IF(AG$58=0,LEFT(IFERROR(INDEX(醫師週班表!$C$5:$T$44,$CU41,AG$57),""),1),""),IF(MID(IFERROR(INDEX(醫師週班表!$C$5:$T$44,$CU41,AG$57),""),2,1)="(",LEFT(IFERROR(INDEX(醫師週班表!$C$5:$T$44,$CU41,AG$57),""),1),IFERROR(INDEX(醫師週班表!$C$5:$T$44,$CU41,AG$57),"")))))))</f>
        <v/>
      </c>
      <c r="AH41" s="68">
        <f>IF(AH$59="X","",IF(AH$59&lt;&gt;"",AH$59,IF(IFERROR(INDEX(醫師週班表!$C$5:$T$44,$CU41,AH$57),"")=0,"",IF(MID(IFERROR(INDEX(醫師週班表!$C$5:$T$44,$CU41,AH$57),""),2,1)="/",MID(IFERROR(INDEX(醫師週班表!$C$5:$T$44,$CU41,AH$57),""),1+AH$58*2,1),IF(MID(IFERROR(INDEX(醫師週班表!$C$5:$T$44,$CU41,AH$57),""),3,1)="隔",IF(AH$58=0,LEFT(IFERROR(INDEX(醫師週班表!$C$5:$T$44,$CU41,AH$57),""),1),""),IF(MID(IFERROR(INDEX(醫師週班表!$C$5:$T$44,$CU41,AH$57),""),2,1)="(",LEFT(IFERROR(INDEX(醫師週班表!$C$5:$T$44,$CU41,AH$57),""),1),IFERROR(INDEX(醫師週班表!$C$5:$T$44,$CU41,AH$57),"")))))))</f>
        <v/>
      </c>
      <c r="AI41" s="67">
        <f>IF(AI$59="X","",IF(AI$59&lt;&gt;"",AI$59,IF(IFERROR(INDEX(醫師週班表!$C$5:$T$44,$CU41,AI$57),"")=0,"",IF(MID(IFERROR(INDEX(醫師週班表!$C$5:$T$44,$CU41,AI$57),""),2,1)="/",MID(IFERROR(INDEX(醫師週班表!$C$5:$T$44,$CU41,AI$57),""),1+AI$58*2,1),IF(MID(IFERROR(INDEX(醫師週班表!$C$5:$T$44,$CU41,AI$57),""),3,1)="隔",IF(AI$58=0,LEFT(IFERROR(INDEX(醫師週班表!$C$5:$T$44,$CU41,AI$57),""),1),""),IF(MID(IFERROR(INDEX(醫師週班表!$C$5:$T$44,$CU41,AI$57),""),2,1)="(",LEFT(IFERROR(INDEX(醫師週班表!$C$5:$T$44,$CU41,AI$57),""),1),IFERROR(INDEX(醫師週班表!$C$5:$T$44,$CU41,AI$57),"")))))))</f>
        <v/>
      </c>
      <c r="AJ41" s="68">
        <f>IF(AJ$59="X","",IF(AJ$59&lt;&gt;"",AJ$59,IF(IFERROR(INDEX(醫師週班表!$C$5:$T$44,$CU41,AJ$57),"")=0,"",IF(MID(IFERROR(INDEX(醫師週班表!$C$5:$T$44,$CU41,AJ$57),""),2,1)="/",MID(IFERROR(INDEX(醫師週班表!$C$5:$T$44,$CU41,AJ$57),""),1+AJ$58*2,1),IF(MID(IFERROR(INDEX(醫師週班表!$C$5:$T$44,$CU41,AJ$57),""),3,1)="隔",IF(AJ$58=0,LEFT(IFERROR(INDEX(醫師週班表!$C$5:$T$44,$CU41,AJ$57),""),1),""),IF(MID(IFERROR(INDEX(醫師週班表!$C$5:$T$44,$CU41,AJ$57),""),2,1)="(",LEFT(IFERROR(INDEX(醫師週班表!$C$5:$T$44,$CU41,AJ$57),""),1),IFERROR(INDEX(醫師週班表!$C$5:$T$44,$CU41,AJ$57),"")))))))</f>
        <v/>
      </c>
      <c r="AK41" s="68">
        <f>IF(AK$59="X","",IF(AK$59&lt;&gt;"",AK$59,IF(IFERROR(INDEX(醫師週班表!$C$5:$T$44,$CU41,AK$57),"")=0,"",IF(MID(IFERROR(INDEX(醫師週班表!$C$5:$T$44,$CU41,AK$57),""),2,1)="/",MID(IFERROR(INDEX(醫師週班表!$C$5:$T$44,$CU41,AK$57),""),1+AK$58*2,1),IF(MID(IFERROR(INDEX(醫師週班表!$C$5:$T$44,$CU41,AK$57),""),3,1)="隔",IF(AK$58=0,LEFT(IFERROR(INDEX(醫師週班表!$C$5:$T$44,$CU41,AK$57),""),1),""),IF(MID(IFERROR(INDEX(醫師週班表!$C$5:$T$44,$CU41,AK$57),""),2,1)="(",LEFT(IFERROR(INDEX(醫師週班表!$C$5:$T$44,$CU41,AK$57),""),1),IFERROR(INDEX(醫師週班表!$C$5:$T$44,$CU41,AK$57),"")))))))</f>
        <v/>
      </c>
      <c r="AL41" s="67">
        <f>IF(AL$59="X","",IF(AL$59&lt;&gt;"",AL$59,IF(IFERROR(INDEX(醫師週班表!$C$5:$T$44,$CU41,AL$57),"")=0,"",IF(MID(IFERROR(INDEX(醫師週班表!$C$5:$T$44,$CU41,AL$57),""),2,1)="/",MID(IFERROR(INDEX(醫師週班表!$C$5:$T$44,$CU41,AL$57),""),1+AL$58*2,1),IF(MID(IFERROR(INDEX(醫師週班表!$C$5:$T$44,$CU41,AL$57),""),3,1)="隔",IF(AL$58=0,LEFT(IFERROR(INDEX(醫師週班表!$C$5:$T$44,$CU41,AL$57),""),1),""),IF(MID(IFERROR(INDEX(醫師週班表!$C$5:$T$44,$CU41,AL$57),""),2,1)="(",LEFT(IFERROR(INDEX(醫師週班表!$C$5:$T$44,$CU41,AL$57),""),1),IFERROR(INDEX(醫師週班表!$C$5:$T$44,$CU41,AL$57),"")))))))</f>
        <v/>
      </c>
      <c r="AM41" s="68">
        <f>IF(AM$59="X","",IF(AM$59&lt;&gt;"",AM$59,IF(IFERROR(INDEX(醫師週班表!$C$5:$T$44,$CU41,AM$57),"")=0,"",IF(MID(IFERROR(INDEX(醫師週班表!$C$5:$T$44,$CU41,AM$57),""),2,1)="/",MID(IFERROR(INDEX(醫師週班表!$C$5:$T$44,$CU41,AM$57),""),1+AM$58*2,1),IF(MID(IFERROR(INDEX(醫師週班表!$C$5:$T$44,$CU41,AM$57),""),3,1)="隔",IF(AM$58=0,LEFT(IFERROR(INDEX(醫師週班表!$C$5:$T$44,$CU41,AM$57),""),1),""),IF(MID(IFERROR(INDEX(醫師週班表!$C$5:$T$44,$CU41,AM$57),""),2,1)="(",LEFT(IFERROR(INDEX(醫師週班表!$C$5:$T$44,$CU41,AM$57),""),1),IFERROR(INDEX(醫師週班表!$C$5:$T$44,$CU41,AM$57),"")))))))</f>
        <v/>
      </c>
      <c r="AN41" s="68">
        <f>IF(AN$59="X","",IF(AN$59&lt;&gt;"",AN$59,IF(IFERROR(INDEX(醫師週班表!$C$5:$T$44,$CU41,AN$57),"")=0,"",IF(MID(IFERROR(INDEX(醫師週班表!$C$5:$T$44,$CU41,AN$57),""),2,1)="/",MID(IFERROR(INDEX(醫師週班表!$C$5:$T$44,$CU41,AN$57),""),1+AN$58*2,1),IF(MID(IFERROR(INDEX(醫師週班表!$C$5:$T$44,$CU41,AN$57),""),3,1)="隔",IF(AN$58=0,LEFT(IFERROR(INDEX(醫師週班表!$C$5:$T$44,$CU41,AN$57),""),1),""),IF(MID(IFERROR(INDEX(醫師週班表!$C$5:$T$44,$CU41,AN$57),""),2,1)="(",LEFT(IFERROR(INDEX(醫師週班表!$C$5:$T$44,$CU41,AN$57),""),1),IFERROR(INDEX(醫師週班表!$C$5:$T$44,$CU41,AN$57),"")))))))</f>
        <v/>
      </c>
      <c r="AO41" s="67">
        <f>IF(AO$59="X","",IF(AO$59&lt;&gt;"",AO$59,IF(IFERROR(INDEX(醫師週班表!$C$5:$T$44,$CU41,AO$57),"")=0,"",IF(MID(IFERROR(INDEX(醫師週班表!$C$5:$T$44,$CU41,AO$57),""),2,1)="/",MID(IFERROR(INDEX(醫師週班表!$C$5:$T$44,$CU41,AO$57),""),1+AO$58*2,1),IF(MID(IFERROR(INDEX(醫師週班表!$C$5:$T$44,$CU41,AO$57),""),3,1)="隔",IF(AO$58=0,LEFT(IFERROR(INDEX(醫師週班表!$C$5:$T$44,$CU41,AO$57),""),1),""),IF(MID(IFERROR(INDEX(醫師週班表!$C$5:$T$44,$CU41,AO$57),""),2,1)="(",LEFT(IFERROR(INDEX(醫師週班表!$C$5:$T$44,$CU41,AO$57),""),1),IFERROR(INDEX(醫師週班表!$C$5:$T$44,$CU41,AO$57),"")))))))</f>
        <v/>
      </c>
      <c r="AP41" s="68">
        <f>IF(AP$59="X","",IF(AP$59&lt;&gt;"",AP$59,IF(IFERROR(INDEX(醫師週班表!$C$5:$T$44,$CU41,AP$57),"")=0,"",IF(MID(IFERROR(INDEX(醫師週班表!$C$5:$T$44,$CU41,AP$57),""),2,1)="/",MID(IFERROR(INDEX(醫師週班表!$C$5:$T$44,$CU41,AP$57),""),1+AP$58*2,1),IF(MID(IFERROR(INDEX(醫師週班表!$C$5:$T$44,$CU41,AP$57),""),3,1)="隔",IF(AP$58=0,LEFT(IFERROR(INDEX(醫師週班表!$C$5:$T$44,$CU41,AP$57),""),1),""),IF(MID(IFERROR(INDEX(醫師週班表!$C$5:$T$44,$CU41,AP$57),""),2,1)="(",LEFT(IFERROR(INDEX(醫師週班表!$C$5:$T$44,$CU41,AP$57),""),1),IFERROR(INDEX(醫師週班表!$C$5:$T$44,$CU41,AP$57),"")))))))</f>
        <v/>
      </c>
      <c r="AQ41" s="68">
        <f>IF(AQ$59="X","",IF(AQ$59&lt;&gt;"",AQ$59,IF(IFERROR(INDEX(醫師週班表!$C$5:$T$44,$CU41,AQ$57),"")=0,"",IF(MID(IFERROR(INDEX(醫師週班表!$C$5:$T$44,$CU41,AQ$57),""),2,1)="/",MID(IFERROR(INDEX(醫師週班表!$C$5:$T$44,$CU41,AQ$57),""),1+AQ$58*2,1),IF(MID(IFERROR(INDEX(醫師週班表!$C$5:$T$44,$CU41,AQ$57),""),3,1)="隔",IF(AQ$58=0,LEFT(IFERROR(INDEX(醫師週班表!$C$5:$T$44,$CU41,AQ$57),""),1),""),IF(MID(IFERROR(INDEX(醫師週班表!$C$5:$T$44,$CU41,AQ$57),""),2,1)="(",LEFT(IFERROR(INDEX(醫師週班表!$C$5:$T$44,$CU41,AQ$57),""),1),IFERROR(INDEX(醫師週班表!$C$5:$T$44,$CU41,AQ$57),"")))))))</f>
        <v/>
      </c>
      <c r="AR41" s="67">
        <f>IF(AR$59="X","",IF(AR$59&lt;&gt;"",AR$59,IF(IFERROR(INDEX(醫師週班表!$C$5:$T$44,$CU41,AR$57),"")=0,"",IF(MID(IFERROR(INDEX(醫師週班表!$C$5:$T$44,$CU41,AR$57),""),2,1)="/",MID(IFERROR(INDEX(醫師週班表!$C$5:$T$44,$CU41,AR$57),""),1+AR$58*2,1),IF(MID(IFERROR(INDEX(醫師週班表!$C$5:$T$44,$CU41,AR$57),""),3,1)="隔",IF(AR$58=0,LEFT(IFERROR(INDEX(醫師週班表!$C$5:$T$44,$CU41,AR$57),""),1),""),IF(MID(IFERROR(INDEX(醫師週班表!$C$5:$T$44,$CU41,AR$57),""),2,1)="(",LEFT(IFERROR(INDEX(醫師週班表!$C$5:$T$44,$CU41,AR$57),""),1),IFERROR(INDEX(醫師週班表!$C$5:$T$44,$CU41,AR$57),"")))))))</f>
        <v/>
      </c>
      <c r="AS41" s="68">
        <f>IF(AS$59="X","",IF(AS$59&lt;&gt;"",AS$59,IF(IFERROR(INDEX(醫師週班表!$C$5:$T$44,$CU41,AS$57),"")=0,"",IF(MID(IFERROR(INDEX(醫師週班表!$C$5:$T$44,$CU41,AS$57),""),2,1)="/",MID(IFERROR(INDEX(醫師週班表!$C$5:$T$44,$CU41,AS$57),""),1+AS$58*2,1),IF(MID(IFERROR(INDEX(醫師週班表!$C$5:$T$44,$CU41,AS$57),""),3,1)="隔",IF(AS$58=0,LEFT(IFERROR(INDEX(醫師週班表!$C$5:$T$44,$CU41,AS$57),""),1),""),IF(MID(IFERROR(INDEX(醫師週班表!$C$5:$T$44,$CU41,AS$57),""),2,1)="(",LEFT(IFERROR(INDEX(醫師週班表!$C$5:$T$44,$CU41,AS$57),""),1),IFERROR(INDEX(醫師週班表!$C$5:$T$44,$CU41,AS$57),"")))))))</f>
        <v/>
      </c>
      <c r="AT41" s="68">
        <f>IF(AT$59="X","",IF(AT$59&lt;&gt;"",AT$59,IF(IFERROR(INDEX(醫師週班表!$C$5:$T$44,$CU41,AT$57),"")=0,"",IF(MID(IFERROR(INDEX(醫師週班表!$C$5:$T$44,$CU41,AT$57),""),2,1)="/",MID(IFERROR(INDEX(醫師週班表!$C$5:$T$44,$CU41,AT$57),""),1+AT$58*2,1),IF(MID(IFERROR(INDEX(醫師週班表!$C$5:$T$44,$CU41,AT$57),""),3,1)="隔",IF(AT$58=0,LEFT(IFERROR(INDEX(醫師週班表!$C$5:$T$44,$CU41,AT$57),""),1),""),IF(MID(IFERROR(INDEX(醫師週班表!$C$5:$T$44,$CU41,AT$57),""),2,1)="(",LEFT(IFERROR(INDEX(醫師週班表!$C$5:$T$44,$CU41,AT$57),""),1),IFERROR(INDEX(醫師週班表!$C$5:$T$44,$CU41,AT$57),"")))))))</f>
        <v/>
      </c>
      <c r="AU41" s="67">
        <f>IF(AU$59="X","",IF(AU$59&lt;&gt;"",AU$59,IF(IFERROR(INDEX(醫師週班表!$C$5:$T$44,$CU41,AU$57),"")=0,"",IF(MID(IFERROR(INDEX(醫師週班表!$C$5:$T$44,$CU41,AU$57),""),2,1)="/",MID(IFERROR(INDEX(醫師週班表!$C$5:$T$44,$CU41,AU$57),""),1+AU$58*2,1),IF(MID(IFERROR(INDEX(醫師週班表!$C$5:$T$44,$CU41,AU$57),""),3,1)="隔",IF(AU$58=0,LEFT(IFERROR(INDEX(醫師週班表!$C$5:$T$44,$CU41,AU$57),""),1),""),IF(MID(IFERROR(INDEX(醫師週班表!$C$5:$T$44,$CU41,AU$57),""),2,1)="(",LEFT(IFERROR(INDEX(醫師週班表!$C$5:$T$44,$CU41,AU$57),""),1),IFERROR(INDEX(醫師週班表!$C$5:$T$44,$CU41,AU$57),"")))))))</f>
        <v/>
      </c>
      <c r="AV41" s="68">
        <f>IF(AV$59="X","",IF(AV$59&lt;&gt;"",AV$59,IF(IFERROR(INDEX(醫師週班表!$C$5:$T$44,$CU41,AV$57),"")=0,"",IF(MID(IFERROR(INDEX(醫師週班表!$C$5:$T$44,$CU41,AV$57),""),2,1)="/",MID(IFERROR(INDEX(醫師週班表!$C$5:$T$44,$CU41,AV$57),""),1+AV$58*2,1),IF(MID(IFERROR(INDEX(醫師週班表!$C$5:$T$44,$CU41,AV$57),""),3,1)="隔",IF(AV$58=0,LEFT(IFERROR(INDEX(醫師週班表!$C$5:$T$44,$CU41,AV$57),""),1),""),IF(MID(IFERROR(INDEX(醫師週班表!$C$5:$T$44,$CU41,AV$57),""),2,1)="(",LEFT(IFERROR(INDEX(醫師週班表!$C$5:$T$44,$CU41,AV$57),""),1),IFERROR(INDEX(醫師週班表!$C$5:$T$44,$CU41,AV$57),"")))))))</f>
        <v/>
      </c>
      <c r="AW41" s="68">
        <f>IF(AW$59="X","",IF(AW$59&lt;&gt;"",AW$59,IF(IFERROR(INDEX(醫師週班表!$C$5:$T$44,$CU41,AW$57),"")=0,"",IF(MID(IFERROR(INDEX(醫師週班表!$C$5:$T$44,$CU41,AW$57),""),2,1)="/",MID(IFERROR(INDEX(醫師週班表!$C$5:$T$44,$CU41,AW$57),""),1+AW$58*2,1),IF(MID(IFERROR(INDEX(醫師週班表!$C$5:$T$44,$CU41,AW$57),""),3,1)="隔",IF(AW$58=0,LEFT(IFERROR(INDEX(醫師週班表!$C$5:$T$44,$CU41,AW$57),""),1),""),IF(MID(IFERROR(INDEX(醫師週班表!$C$5:$T$44,$CU41,AW$57),""),2,1)="(",LEFT(IFERROR(INDEX(醫師週班表!$C$5:$T$44,$CU41,AW$57),""),1),IFERROR(INDEX(醫師週班表!$C$5:$T$44,$CU41,AW$57),"")))))))</f>
        <v/>
      </c>
      <c r="AX41" s="67">
        <f>IF(AX$59="X","",IF(AX$59&lt;&gt;"",AX$59,IF(IFERROR(INDEX(醫師週班表!$C$5:$T$44,$CU41,AX$57),"")=0,"",IF(MID(IFERROR(INDEX(醫師週班表!$C$5:$T$44,$CU41,AX$57),""),2,1)="/",MID(IFERROR(INDEX(醫師週班表!$C$5:$T$44,$CU41,AX$57),""),1+AX$58*2,1),IF(MID(IFERROR(INDEX(醫師週班表!$C$5:$T$44,$CU41,AX$57),""),3,1)="隔",IF(AX$58=0,LEFT(IFERROR(INDEX(醫師週班表!$C$5:$T$44,$CU41,AX$57),""),1),""),IF(MID(IFERROR(INDEX(醫師週班表!$C$5:$T$44,$CU41,AX$57),""),2,1)="(",LEFT(IFERROR(INDEX(醫師週班表!$C$5:$T$44,$CU41,AX$57),""),1),IFERROR(INDEX(醫師週班表!$C$5:$T$44,$CU41,AX$57),"")))))))</f>
        <v/>
      </c>
      <c r="AY41" s="68">
        <f>IF(AY$59="X","",IF(AY$59&lt;&gt;"",AY$59,IF(IFERROR(INDEX(醫師週班表!$C$5:$T$44,$CU41,AY$57),"")=0,"",IF(MID(IFERROR(INDEX(醫師週班表!$C$5:$T$44,$CU41,AY$57),""),2,1)="/",MID(IFERROR(INDEX(醫師週班表!$C$5:$T$44,$CU41,AY$57),""),1+AY$58*2,1),IF(MID(IFERROR(INDEX(醫師週班表!$C$5:$T$44,$CU41,AY$57),""),3,1)="隔",IF(AY$58=0,LEFT(IFERROR(INDEX(醫師週班表!$C$5:$T$44,$CU41,AY$57),""),1),""),IF(MID(IFERROR(INDEX(醫師週班表!$C$5:$T$44,$CU41,AY$57),""),2,1)="(",LEFT(IFERROR(INDEX(醫師週班表!$C$5:$T$44,$CU41,AY$57),""),1),IFERROR(INDEX(醫師週班表!$C$5:$T$44,$CU41,AY$57),"")))))))</f>
        <v/>
      </c>
      <c r="AZ41" s="68">
        <f>IF(AZ$59="X","",IF(AZ$59&lt;&gt;"",AZ$59,IF(IFERROR(INDEX(醫師週班表!$C$5:$T$44,$CU41,AZ$57),"")=0,"",IF(MID(IFERROR(INDEX(醫師週班表!$C$5:$T$44,$CU41,AZ$57),""),2,1)="/",MID(IFERROR(INDEX(醫師週班表!$C$5:$T$44,$CU41,AZ$57),""),1+AZ$58*2,1),IF(MID(IFERROR(INDEX(醫師週班表!$C$5:$T$44,$CU41,AZ$57),""),3,1)="隔",IF(AZ$58=0,LEFT(IFERROR(INDEX(醫師週班表!$C$5:$T$44,$CU41,AZ$57),""),1),""),IF(MID(IFERROR(INDEX(醫師週班表!$C$5:$T$44,$CU41,AZ$57),""),2,1)="(",LEFT(IFERROR(INDEX(醫師週班表!$C$5:$T$44,$CU41,AZ$57),""),1),IFERROR(INDEX(醫師週班表!$C$5:$T$44,$CU41,AZ$57),"")))))))</f>
        <v/>
      </c>
      <c r="BA41" s="67">
        <f>IF(BA$59="X","",IF(BA$59&lt;&gt;"",BA$59,IF(IFERROR(INDEX(醫師週班表!$C$5:$T$44,$CU41,BA$57),"")=0,"",IF(MID(IFERROR(INDEX(醫師週班表!$C$5:$T$44,$CU41,BA$57),""),2,1)="/",MID(IFERROR(INDEX(醫師週班表!$C$5:$T$44,$CU41,BA$57),""),1+BA$58*2,1),IF(MID(IFERROR(INDEX(醫師週班表!$C$5:$T$44,$CU41,BA$57),""),3,1)="隔",IF(BA$58=0,LEFT(IFERROR(INDEX(醫師週班表!$C$5:$T$44,$CU41,BA$57),""),1),""),IF(MID(IFERROR(INDEX(醫師週班表!$C$5:$T$44,$CU41,BA$57),""),2,1)="(",LEFT(IFERROR(INDEX(醫師週班表!$C$5:$T$44,$CU41,BA$57),""),1),IFERROR(INDEX(醫師週班表!$C$5:$T$44,$CU41,BA$57),"")))))))</f>
        <v/>
      </c>
      <c r="BB41" s="68">
        <f>IF(BB$59="X","",IF(BB$59&lt;&gt;"",BB$59,IF(IFERROR(INDEX(醫師週班表!$C$5:$T$44,$CU41,BB$57),"")=0,"",IF(MID(IFERROR(INDEX(醫師週班表!$C$5:$T$44,$CU41,BB$57),""),2,1)="/",MID(IFERROR(INDEX(醫師週班表!$C$5:$T$44,$CU41,BB$57),""),1+BB$58*2,1),IF(MID(IFERROR(INDEX(醫師週班表!$C$5:$T$44,$CU41,BB$57),""),3,1)="隔",IF(BB$58=0,LEFT(IFERROR(INDEX(醫師週班表!$C$5:$T$44,$CU41,BB$57),""),1),""),IF(MID(IFERROR(INDEX(醫師週班表!$C$5:$T$44,$CU41,BB$57),""),2,1)="(",LEFT(IFERROR(INDEX(醫師週班表!$C$5:$T$44,$CU41,BB$57),""),1),IFERROR(INDEX(醫師週班表!$C$5:$T$44,$CU41,BB$57),"")))))))</f>
        <v/>
      </c>
      <c r="BC41" s="68">
        <f>IF(BC$59="X","",IF(BC$59&lt;&gt;"",BC$59,IF(IFERROR(INDEX(醫師週班表!$C$5:$T$44,$CU41,BC$57),"")=0,"",IF(MID(IFERROR(INDEX(醫師週班表!$C$5:$T$44,$CU41,BC$57),""),2,1)="/",MID(IFERROR(INDEX(醫師週班表!$C$5:$T$44,$CU41,BC$57),""),1+BC$58*2,1),IF(MID(IFERROR(INDEX(醫師週班表!$C$5:$T$44,$CU41,BC$57),""),3,1)="隔",IF(BC$58=0,LEFT(IFERROR(INDEX(醫師週班表!$C$5:$T$44,$CU41,BC$57),""),1),""),IF(MID(IFERROR(INDEX(醫師週班表!$C$5:$T$44,$CU41,BC$57),""),2,1)="(",LEFT(IFERROR(INDEX(醫師週班表!$C$5:$T$44,$CU41,BC$57),""),1),IFERROR(INDEX(醫師週班表!$C$5:$T$44,$CU41,BC$57),"")))))))</f>
        <v/>
      </c>
      <c r="BD41" s="67">
        <f>IF(BD$59="X","",IF(BD$59&lt;&gt;"",BD$59,IF(IFERROR(INDEX(醫師週班表!$C$5:$T$44,$CU41,BD$57),"")=0,"",IF(MID(IFERROR(INDEX(醫師週班表!$C$5:$T$44,$CU41,BD$57),""),2,1)="/",MID(IFERROR(INDEX(醫師週班表!$C$5:$T$44,$CU41,BD$57),""),1+BD$58*2,1),IF(MID(IFERROR(INDEX(醫師週班表!$C$5:$T$44,$CU41,BD$57),""),3,1)="隔",IF(BD$58=0,LEFT(IFERROR(INDEX(醫師週班表!$C$5:$T$44,$CU41,BD$57),""),1),""),IF(MID(IFERROR(INDEX(醫師週班表!$C$5:$T$44,$CU41,BD$57),""),2,1)="(",LEFT(IFERROR(INDEX(醫師週班表!$C$5:$T$44,$CU41,BD$57),""),1),IFERROR(INDEX(醫師週班表!$C$5:$T$44,$CU41,BD$57),"")))))))</f>
        <v/>
      </c>
      <c r="BE41" s="68">
        <f>IF(BE$59="X","",IF(BE$59&lt;&gt;"",BE$59,IF(IFERROR(INDEX(醫師週班表!$C$5:$T$44,$CU41,BE$57),"")=0,"",IF(MID(IFERROR(INDEX(醫師週班表!$C$5:$T$44,$CU41,BE$57),""),2,1)="/",MID(IFERROR(INDEX(醫師週班表!$C$5:$T$44,$CU41,BE$57),""),1+BE$58*2,1),IF(MID(IFERROR(INDEX(醫師週班表!$C$5:$T$44,$CU41,BE$57),""),3,1)="隔",IF(BE$58=0,LEFT(IFERROR(INDEX(醫師週班表!$C$5:$T$44,$CU41,BE$57),""),1),""),IF(MID(IFERROR(INDEX(醫師週班表!$C$5:$T$44,$CU41,BE$57),""),2,1)="(",LEFT(IFERROR(INDEX(醫師週班表!$C$5:$T$44,$CU41,BE$57),""),1),IFERROR(INDEX(醫師週班表!$C$5:$T$44,$CU41,BE$57),"")))))))</f>
        <v/>
      </c>
      <c r="BF41" s="68">
        <f>IF(BF$59="X","",IF(BF$59&lt;&gt;"",BF$59,IF(IFERROR(INDEX(醫師週班表!$C$5:$T$44,$CU41,BF$57),"")=0,"",IF(MID(IFERROR(INDEX(醫師週班表!$C$5:$T$44,$CU41,BF$57),""),2,1)="/",MID(IFERROR(INDEX(醫師週班表!$C$5:$T$44,$CU41,BF$57),""),1+BF$58*2,1),IF(MID(IFERROR(INDEX(醫師週班表!$C$5:$T$44,$CU41,BF$57),""),3,1)="隔",IF(BF$58=0,LEFT(IFERROR(INDEX(醫師週班表!$C$5:$T$44,$CU41,BF$57),""),1),""),IF(MID(IFERROR(INDEX(醫師週班表!$C$5:$T$44,$CU41,BF$57),""),2,1)="(",LEFT(IFERROR(INDEX(醫師週班表!$C$5:$T$44,$CU41,BF$57),""),1),IFERROR(INDEX(醫師週班表!$C$5:$T$44,$CU41,BF$57),"")))))))</f>
        <v/>
      </c>
      <c r="BG41" s="67">
        <f>IF(BG$59="X","",IF(BG$59&lt;&gt;"",BG$59,IF(IFERROR(INDEX(醫師週班表!$C$5:$T$44,$CU41,BG$57),"")=0,"",IF(MID(IFERROR(INDEX(醫師週班表!$C$5:$T$44,$CU41,BG$57),""),2,1)="/",MID(IFERROR(INDEX(醫師週班表!$C$5:$T$44,$CU41,BG$57),""),1+BG$58*2,1),IF(MID(IFERROR(INDEX(醫師週班表!$C$5:$T$44,$CU41,BG$57),""),3,1)="隔",IF(BG$58=0,LEFT(IFERROR(INDEX(醫師週班表!$C$5:$T$44,$CU41,BG$57),""),1),""),IF(MID(IFERROR(INDEX(醫師週班表!$C$5:$T$44,$CU41,BG$57),""),2,1)="(",LEFT(IFERROR(INDEX(醫師週班表!$C$5:$T$44,$CU41,BG$57),""),1),IFERROR(INDEX(醫師週班表!$C$5:$T$44,$CU41,BG$57),"")))))))</f>
        <v/>
      </c>
      <c r="BH41" s="68">
        <f>IF(BH$59="X","",IF(BH$59&lt;&gt;"",BH$59,IF(IFERROR(INDEX(醫師週班表!$C$5:$T$44,$CU41,BH$57),"")=0,"",IF(MID(IFERROR(INDEX(醫師週班表!$C$5:$T$44,$CU41,BH$57),""),2,1)="/",MID(IFERROR(INDEX(醫師週班表!$C$5:$T$44,$CU41,BH$57),""),1+BH$58*2,1),IF(MID(IFERROR(INDEX(醫師週班表!$C$5:$T$44,$CU41,BH$57),""),3,1)="隔",IF(BH$58=0,LEFT(IFERROR(INDEX(醫師週班表!$C$5:$T$44,$CU41,BH$57),""),1),""),IF(MID(IFERROR(INDEX(醫師週班表!$C$5:$T$44,$CU41,BH$57),""),2,1)="(",LEFT(IFERROR(INDEX(醫師週班表!$C$5:$T$44,$CU41,BH$57),""),1),IFERROR(INDEX(醫師週班表!$C$5:$T$44,$CU41,BH$57),"")))))))</f>
        <v/>
      </c>
      <c r="BI41" s="68">
        <f>IF(BI$59="X","",IF(BI$59&lt;&gt;"",BI$59,IF(IFERROR(INDEX(醫師週班表!$C$5:$T$44,$CU41,BI$57),"")=0,"",IF(MID(IFERROR(INDEX(醫師週班表!$C$5:$T$44,$CU41,BI$57),""),2,1)="/",MID(IFERROR(INDEX(醫師週班表!$C$5:$T$44,$CU41,BI$57),""),1+BI$58*2,1),IF(MID(IFERROR(INDEX(醫師週班表!$C$5:$T$44,$CU41,BI$57),""),3,1)="隔",IF(BI$58=0,LEFT(IFERROR(INDEX(醫師週班表!$C$5:$T$44,$CU41,BI$57),""),1),""),IF(MID(IFERROR(INDEX(醫師週班表!$C$5:$T$44,$CU41,BI$57),""),2,1)="(",LEFT(IFERROR(INDEX(醫師週班表!$C$5:$T$44,$CU41,BI$57),""),1),IFERROR(INDEX(醫師週班表!$C$5:$T$44,$CU41,BI$57),"")))))))</f>
        <v/>
      </c>
      <c r="BJ41" s="67">
        <f>IF(BJ$59="X","",IF(BJ$59&lt;&gt;"",BJ$59,IF(IFERROR(INDEX(醫師週班表!$C$5:$T$44,$CU41,BJ$57),"")=0,"",IF(MID(IFERROR(INDEX(醫師週班表!$C$5:$T$44,$CU41,BJ$57),""),2,1)="/",MID(IFERROR(INDEX(醫師週班表!$C$5:$T$44,$CU41,BJ$57),""),1+BJ$58*2,1),IF(MID(IFERROR(INDEX(醫師週班表!$C$5:$T$44,$CU41,BJ$57),""),3,1)="隔",IF(BJ$58=0,LEFT(IFERROR(INDEX(醫師週班表!$C$5:$T$44,$CU41,BJ$57),""),1),""),IF(MID(IFERROR(INDEX(醫師週班表!$C$5:$T$44,$CU41,BJ$57),""),2,1)="(",LEFT(IFERROR(INDEX(醫師週班表!$C$5:$T$44,$CU41,BJ$57),""),1),IFERROR(INDEX(醫師週班表!$C$5:$T$44,$CU41,BJ$57),"")))))))</f>
        <v/>
      </c>
      <c r="BK41" s="68">
        <f>IF(BK$59="X","",IF(BK$59&lt;&gt;"",BK$59,IF(IFERROR(INDEX(醫師週班表!$C$5:$T$44,$CU41,BK$57),"")=0,"",IF(MID(IFERROR(INDEX(醫師週班表!$C$5:$T$44,$CU41,BK$57),""),2,1)="/",MID(IFERROR(INDEX(醫師週班表!$C$5:$T$44,$CU41,BK$57),""),1+BK$58*2,1),IF(MID(IFERROR(INDEX(醫師週班表!$C$5:$T$44,$CU41,BK$57),""),3,1)="隔",IF(BK$58=0,LEFT(IFERROR(INDEX(醫師週班表!$C$5:$T$44,$CU41,BK$57),""),1),""),IF(MID(IFERROR(INDEX(醫師週班表!$C$5:$T$44,$CU41,BK$57),""),2,1)="(",LEFT(IFERROR(INDEX(醫師週班表!$C$5:$T$44,$CU41,BK$57),""),1),IFERROR(INDEX(醫師週班表!$C$5:$T$44,$CU41,BK$57),"")))))))</f>
        <v/>
      </c>
      <c r="BL41" s="68">
        <f>IF(BL$59="X","",IF(BL$59&lt;&gt;"",BL$59,IF(IFERROR(INDEX(醫師週班表!$C$5:$T$44,$CU41,BL$57),"")=0,"",IF(MID(IFERROR(INDEX(醫師週班表!$C$5:$T$44,$CU41,BL$57),""),2,1)="/",MID(IFERROR(INDEX(醫師週班表!$C$5:$T$44,$CU41,BL$57),""),1+BL$58*2,1),IF(MID(IFERROR(INDEX(醫師週班表!$C$5:$T$44,$CU41,BL$57),""),3,1)="隔",IF(BL$58=0,LEFT(IFERROR(INDEX(醫師週班表!$C$5:$T$44,$CU41,BL$57),""),1),""),IF(MID(IFERROR(INDEX(醫師週班表!$C$5:$T$44,$CU41,BL$57),""),2,1)="(",LEFT(IFERROR(INDEX(醫師週班表!$C$5:$T$44,$CU41,BL$57),""),1),IFERROR(INDEX(醫師週班表!$C$5:$T$44,$CU41,BL$57),"")))))))</f>
        <v/>
      </c>
      <c r="BM41" s="67">
        <f>IF(BM$59="X","",IF(BM$59&lt;&gt;"",BM$59,IF(IFERROR(INDEX(醫師週班表!$C$5:$T$44,$CU41,BM$57),"")=0,"",IF(MID(IFERROR(INDEX(醫師週班表!$C$5:$T$44,$CU41,BM$57),""),2,1)="/",MID(IFERROR(INDEX(醫師週班表!$C$5:$T$44,$CU41,BM$57),""),1+BM$58*2,1),IF(MID(IFERROR(INDEX(醫師週班表!$C$5:$T$44,$CU41,BM$57),""),3,1)="隔",IF(BM$58=0,LEFT(IFERROR(INDEX(醫師週班表!$C$5:$T$44,$CU41,BM$57),""),1),""),IF(MID(IFERROR(INDEX(醫師週班表!$C$5:$T$44,$CU41,BM$57),""),2,1)="(",LEFT(IFERROR(INDEX(醫師週班表!$C$5:$T$44,$CU41,BM$57),""),1),IFERROR(INDEX(醫師週班表!$C$5:$T$44,$CU41,BM$57),"")))))))</f>
        <v/>
      </c>
      <c r="BN41" s="68">
        <f>IF(BN$59="X","",IF(BN$59&lt;&gt;"",BN$59,IF(IFERROR(INDEX(醫師週班表!$C$5:$T$44,$CU41,BN$57),"")=0,"",IF(MID(IFERROR(INDEX(醫師週班表!$C$5:$T$44,$CU41,BN$57),""),2,1)="/",MID(IFERROR(INDEX(醫師週班表!$C$5:$T$44,$CU41,BN$57),""),1+BN$58*2,1),IF(MID(IFERROR(INDEX(醫師週班表!$C$5:$T$44,$CU41,BN$57),""),3,1)="隔",IF(BN$58=0,LEFT(IFERROR(INDEX(醫師週班表!$C$5:$T$44,$CU41,BN$57),""),1),""),IF(MID(IFERROR(INDEX(醫師週班表!$C$5:$T$44,$CU41,BN$57),""),2,1)="(",LEFT(IFERROR(INDEX(醫師週班表!$C$5:$T$44,$CU41,BN$57),""),1),IFERROR(INDEX(醫師週班表!$C$5:$T$44,$CU41,BN$57),"")))))))</f>
        <v/>
      </c>
      <c r="BO41" s="68">
        <f>IF(BO$59="X","",IF(BO$59&lt;&gt;"",BO$59,IF(IFERROR(INDEX(醫師週班表!$C$5:$T$44,$CU41,BO$57),"")=0,"",IF(MID(IFERROR(INDEX(醫師週班表!$C$5:$T$44,$CU41,BO$57),""),2,1)="/",MID(IFERROR(INDEX(醫師週班表!$C$5:$T$44,$CU41,BO$57),""),1+BO$58*2,1),IF(MID(IFERROR(INDEX(醫師週班表!$C$5:$T$44,$CU41,BO$57),""),3,1)="隔",IF(BO$58=0,LEFT(IFERROR(INDEX(醫師週班表!$C$5:$T$44,$CU41,BO$57),""),1),""),IF(MID(IFERROR(INDEX(醫師週班表!$C$5:$T$44,$CU41,BO$57),""),2,1)="(",LEFT(IFERROR(INDEX(醫師週班表!$C$5:$T$44,$CU41,BO$57),""),1),IFERROR(INDEX(醫師週班表!$C$5:$T$44,$CU41,BO$57),"")))))))</f>
        <v/>
      </c>
      <c r="BP41" s="67">
        <f>IF(BP$59="X","",IF(BP$59&lt;&gt;"",BP$59,IF(IFERROR(INDEX(醫師週班表!$C$5:$T$44,$CU41,BP$57),"")=0,"",IF(MID(IFERROR(INDEX(醫師週班表!$C$5:$T$44,$CU41,BP$57),""),2,1)="/",MID(IFERROR(INDEX(醫師週班表!$C$5:$T$44,$CU41,BP$57),""),1+BP$58*2,1),IF(MID(IFERROR(INDEX(醫師週班表!$C$5:$T$44,$CU41,BP$57),""),3,1)="隔",IF(BP$58=0,LEFT(IFERROR(INDEX(醫師週班表!$C$5:$T$44,$CU41,BP$57),""),1),""),IF(MID(IFERROR(INDEX(醫師週班表!$C$5:$T$44,$CU41,BP$57),""),2,1)="(",LEFT(IFERROR(INDEX(醫師週班表!$C$5:$T$44,$CU41,BP$57),""),1),IFERROR(INDEX(醫師週班表!$C$5:$T$44,$CU41,BP$57),"")))))))</f>
        <v/>
      </c>
      <c r="BQ41" s="68">
        <f>IF(BQ$59="X","",IF(BQ$59&lt;&gt;"",BQ$59,IF(IFERROR(INDEX(醫師週班表!$C$5:$T$44,$CU41,BQ$57),"")=0,"",IF(MID(IFERROR(INDEX(醫師週班表!$C$5:$T$44,$CU41,BQ$57),""),2,1)="/",MID(IFERROR(INDEX(醫師週班表!$C$5:$T$44,$CU41,BQ$57),""),1+BQ$58*2,1),IF(MID(IFERROR(INDEX(醫師週班表!$C$5:$T$44,$CU41,BQ$57),""),3,1)="隔",IF(BQ$58=0,LEFT(IFERROR(INDEX(醫師週班表!$C$5:$T$44,$CU41,BQ$57),""),1),""),IF(MID(IFERROR(INDEX(醫師週班表!$C$5:$T$44,$CU41,BQ$57),""),2,1)="(",LEFT(IFERROR(INDEX(醫師週班表!$C$5:$T$44,$CU41,BQ$57),""),1),IFERROR(INDEX(醫師週班表!$C$5:$T$44,$CU41,BQ$57),"")))))))</f>
        <v/>
      </c>
      <c r="BR41" s="68">
        <f>IF(BR$59="X","",IF(BR$59&lt;&gt;"",BR$59,IF(IFERROR(INDEX(醫師週班表!$C$5:$T$44,$CU41,BR$57),"")=0,"",IF(MID(IFERROR(INDEX(醫師週班表!$C$5:$T$44,$CU41,BR$57),""),2,1)="/",MID(IFERROR(INDEX(醫師週班表!$C$5:$T$44,$CU41,BR$57),""),1+BR$58*2,1),IF(MID(IFERROR(INDEX(醫師週班表!$C$5:$T$44,$CU41,BR$57),""),3,1)="隔",IF(BR$58=0,LEFT(IFERROR(INDEX(醫師週班表!$C$5:$T$44,$CU41,BR$57),""),1),""),IF(MID(IFERROR(INDEX(醫師週班表!$C$5:$T$44,$CU41,BR$57),""),2,1)="(",LEFT(IFERROR(INDEX(醫師週班表!$C$5:$T$44,$CU41,BR$57),""),1),IFERROR(INDEX(醫師週班表!$C$5:$T$44,$CU41,BR$57),"")))))))</f>
        <v/>
      </c>
      <c r="BS41" s="67">
        <f>IF(BS$59="X","",IF(BS$59&lt;&gt;"",BS$59,IF(IFERROR(INDEX(醫師週班表!$C$5:$T$44,$CU41,BS$57),"")=0,"",IF(MID(IFERROR(INDEX(醫師週班表!$C$5:$T$44,$CU41,BS$57),""),2,1)="/",MID(IFERROR(INDEX(醫師週班表!$C$5:$T$44,$CU41,BS$57),""),1+BS$58*2,1),IF(MID(IFERROR(INDEX(醫師週班表!$C$5:$T$44,$CU41,BS$57),""),3,1)="隔",IF(BS$58=0,LEFT(IFERROR(INDEX(醫師週班表!$C$5:$T$44,$CU41,BS$57),""),1),""),IF(MID(IFERROR(INDEX(醫師週班表!$C$5:$T$44,$CU41,BS$57),""),2,1)="(",LEFT(IFERROR(INDEX(醫師週班表!$C$5:$T$44,$CU41,BS$57),""),1),IFERROR(INDEX(醫師週班表!$C$5:$T$44,$CU41,BS$57),"")))))))</f>
        <v/>
      </c>
      <c r="BT41" s="68">
        <f>IF(BT$59="X","",IF(BT$59&lt;&gt;"",BT$59,IF(IFERROR(INDEX(醫師週班表!$C$5:$T$44,$CU41,BT$57),"")=0,"",IF(MID(IFERROR(INDEX(醫師週班表!$C$5:$T$44,$CU41,BT$57),""),2,1)="/",MID(IFERROR(INDEX(醫師週班表!$C$5:$T$44,$CU41,BT$57),""),1+BT$58*2,1),IF(MID(IFERROR(INDEX(醫師週班表!$C$5:$T$44,$CU41,BT$57),""),3,1)="隔",IF(BT$58=0,LEFT(IFERROR(INDEX(醫師週班表!$C$5:$T$44,$CU41,BT$57),""),1),""),IF(MID(IFERROR(INDEX(醫師週班表!$C$5:$T$44,$CU41,BT$57),""),2,1)="(",LEFT(IFERROR(INDEX(醫師週班表!$C$5:$T$44,$CU41,BT$57),""),1),IFERROR(INDEX(醫師週班表!$C$5:$T$44,$CU41,BT$57),"")))))))</f>
        <v/>
      </c>
      <c r="BU41" s="68">
        <f>IF(BU$59="X","",IF(BU$59&lt;&gt;"",BU$59,IF(IFERROR(INDEX(醫師週班表!$C$5:$T$44,$CU41,BU$57),"")=0,"",IF(MID(IFERROR(INDEX(醫師週班表!$C$5:$T$44,$CU41,BU$57),""),2,1)="/",MID(IFERROR(INDEX(醫師週班表!$C$5:$T$44,$CU41,BU$57),""),1+BU$58*2,1),IF(MID(IFERROR(INDEX(醫師週班表!$C$5:$T$44,$CU41,BU$57),""),3,1)="隔",IF(BU$58=0,LEFT(IFERROR(INDEX(醫師週班表!$C$5:$T$44,$CU41,BU$57),""),1),""),IF(MID(IFERROR(INDEX(醫師週班表!$C$5:$T$44,$CU41,BU$57),""),2,1)="(",LEFT(IFERROR(INDEX(醫師週班表!$C$5:$T$44,$CU41,BU$57),""),1),IFERROR(INDEX(醫師週班表!$C$5:$T$44,$CU41,BU$57),"")))))))</f>
        <v/>
      </c>
      <c r="BV41" s="67">
        <f>IF(BV$59="X","",IF(BV$59&lt;&gt;"",BV$59,IF(IFERROR(INDEX(醫師週班表!$C$5:$T$44,$CU41,BV$57),"")=0,"",IF(MID(IFERROR(INDEX(醫師週班表!$C$5:$T$44,$CU41,BV$57),""),2,1)="/",MID(IFERROR(INDEX(醫師週班表!$C$5:$T$44,$CU41,BV$57),""),1+BV$58*2,1),IF(MID(IFERROR(INDEX(醫師週班表!$C$5:$T$44,$CU41,BV$57),""),3,1)="隔",IF(BV$58=0,LEFT(IFERROR(INDEX(醫師週班表!$C$5:$T$44,$CU41,BV$57),""),1),""),IF(MID(IFERROR(INDEX(醫師週班表!$C$5:$T$44,$CU41,BV$57),""),2,1)="(",LEFT(IFERROR(INDEX(醫師週班表!$C$5:$T$44,$CU41,BV$57),""),1),IFERROR(INDEX(醫師週班表!$C$5:$T$44,$CU41,BV$57),"")))))))</f>
        <v/>
      </c>
      <c r="BW41" s="68">
        <f>IF(BW$59="X","",IF(BW$59&lt;&gt;"",BW$59,IF(IFERROR(INDEX(醫師週班表!$C$5:$T$44,$CU41,BW$57),"")=0,"",IF(MID(IFERROR(INDEX(醫師週班表!$C$5:$T$44,$CU41,BW$57),""),2,1)="/",MID(IFERROR(INDEX(醫師週班表!$C$5:$T$44,$CU41,BW$57),""),1+BW$58*2,1),IF(MID(IFERROR(INDEX(醫師週班表!$C$5:$T$44,$CU41,BW$57),""),3,1)="隔",IF(BW$58=0,LEFT(IFERROR(INDEX(醫師週班表!$C$5:$T$44,$CU41,BW$57),""),1),""),IF(MID(IFERROR(INDEX(醫師週班表!$C$5:$T$44,$CU41,BW$57),""),2,1)="(",LEFT(IFERROR(INDEX(醫師週班表!$C$5:$T$44,$CU41,BW$57),""),1),IFERROR(INDEX(醫師週班表!$C$5:$T$44,$CU41,BW$57),"")))))))</f>
        <v/>
      </c>
      <c r="BX41" s="68">
        <f>IF(BX$59="X","",IF(BX$59&lt;&gt;"",BX$59,IF(IFERROR(INDEX(醫師週班表!$C$5:$T$44,$CU41,BX$57),"")=0,"",IF(MID(IFERROR(INDEX(醫師週班表!$C$5:$T$44,$CU41,BX$57),""),2,1)="/",MID(IFERROR(INDEX(醫師週班表!$C$5:$T$44,$CU41,BX$57),""),1+BX$58*2,1),IF(MID(IFERROR(INDEX(醫師週班表!$C$5:$T$44,$CU41,BX$57),""),3,1)="隔",IF(BX$58=0,LEFT(IFERROR(INDEX(醫師週班表!$C$5:$T$44,$CU41,BX$57),""),1),""),IF(MID(IFERROR(INDEX(醫師週班表!$C$5:$T$44,$CU41,BX$57),""),2,1)="(",LEFT(IFERROR(INDEX(醫師週班表!$C$5:$T$44,$CU41,BX$57),""),1),IFERROR(INDEX(醫師週班表!$C$5:$T$44,$CU41,BX$57),"")))))))</f>
        <v/>
      </c>
      <c r="BY41" s="67">
        <f>IF(BY$59="X","",IF(BY$59&lt;&gt;"",BY$59,IF(IFERROR(INDEX(醫師週班表!$C$5:$T$44,$CU41,BY$57),"")=0,"",IF(MID(IFERROR(INDEX(醫師週班表!$C$5:$T$44,$CU41,BY$57),""),2,1)="/",MID(IFERROR(INDEX(醫師週班表!$C$5:$T$44,$CU41,BY$57),""),1+BY$58*2,1),IF(MID(IFERROR(INDEX(醫師週班表!$C$5:$T$44,$CU41,BY$57),""),3,1)="隔",IF(BY$58=0,LEFT(IFERROR(INDEX(醫師週班表!$C$5:$T$44,$CU41,BY$57),""),1),""),IF(MID(IFERROR(INDEX(醫師週班表!$C$5:$T$44,$CU41,BY$57),""),2,1)="(",LEFT(IFERROR(INDEX(醫師週班表!$C$5:$T$44,$CU41,BY$57),""),1),IFERROR(INDEX(醫師週班表!$C$5:$T$44,$CU41,BY$57),"")))))))</f>
        <v/>
      </c>
      <c r="BZ41" s="68">
        <f>IF(BZ$59="X","",IF(BZ$59&lt;&gt;"",BZ$59,IF(IFERROR(INDEX(醫師週班表!$C$5:$T$44,$CU41,BZ$57),"")=0,"",IF(MID(IFERROR(INDEX(醫師週班表!$C$5:$T$44,$CU41,BZ$57),""),2,1)="/",MID(IFERROR(INDEX(醫師週班表!$C$5:$T$44,$CU41,BZ$57),""),1+BZ$58*2,1),IF(MID(IFERROR(INDEX(醫師週班表!$C$5:$T$44,$CU41,BZ$57),""),3,1)="隔",IF(BZ$58=0,LEFT(IFERROR(INDEX(醫師週班表!$C$5:$T$44,$CU41,BZ$57),""),1),""),IF(MID(IFERROR(INDEX(醫師週班表!$C$5:$T$44,$CU41,BZ$57),""),2,1)="(",LEFT(IFERROR(INDEX(醫師週班表!$C$5:$T$44,$CU41,BZ$57),""),1),IFERROR(INDEX(醫師週班表!$C$5:$T$44,$CU41,BZ$57),"")))))))</f>
        <v/>
      </c>
      <c r="CA41" s="68">
        <f>IF(CA$59="X","",IF(CA$59&lt;&gt;"",CA$59,IF(IFERROR(INDEX(醫師週班表!$C$5:$T$44,$CU41,CA$57),"")=0,"",IF(MID(IFERROR(INDEX(醫師週班表!$C$5:$T$44,$CU41,CA$57),""),2,1)="/",MID(IFERROR(INDEX(醫師週班表!$C$5:$T$44,$CU41,CA$57),""),1+CA$58*2,1),IF(MID(IFERROR(INDEX(醫師週班表!$C$5:$T$44,$CU41,CA$57),""),3,1)="隔",IF(CA$58=0,LEFT(IFERROR(INDEX(醫師週班表!$C$5:$T$44,$CU41,CA$57),""),1),""),IF(MID(IFERROR(INDEX(醫師週班表!$C$5:$T$44,$CU41,CA$57),""),2,1)="(",LEFT(IFERROR(INDEX(醫師週班表!$C$5:$T$44,$CU41,CA$57),""),1),IFERROR(INDEX(醫師週班表!$C$5:$T$44,$CU41,CA$57),"")))))))</f>
        <v/>
      </c>
      <c r="CB41" s="67">
        <f>IF(CB$59="X","",IF(CB$59&lt;&gt;"",CB$59,IF(IFERROR(INDEX(醫師週班表!$C$5:$T$44,$CU41,CB$57),"")=0,"",IF(MID(IFERROR(INDEX(醫師週班表!$C$5:$T$44,$CU41,CB$57),""),2,1)="/",MID(IFERROR(INDEX(醫師週班表!$C$5:$T$44,$CU41,CB$57),""),1+CB$58*2,1),IF(MID(IFERROR(INDEX(醫師週班表!$C$5:$T$44,$CU41,CB$57),""),3,1)="隔",IF(CB$58=0,LEFT(IFERROR(INDEX(醫師週班表!$C$5:$T$44,$CU41,CB$57),""),1),""),IF(MID(IFERROR(INDEX(醫師週班表!$C$5:$T$44,$CU41,CB$57),""),2,1)="(",LEFT(IFERROR(INDEX(醫師週班表!$C$5:$T$44,$CU41,CB$57),""),1),IFERROR(INDEX(醫師週班表!$C$5:$T$44,$CU41,CB$57),"")))))))</f>
        <v/>
      </c>
      <c r="CC41" s="68">
        <f>IF(CC$59="X","",IF(CC$59&lt;&gt;"",CC$59,IF(IFERROR(INDEX(醫師週班表!$C$5:$T$44,$CU41,CC$57),"")=0,"",IF(MID(IFERROR(INDEX(醫師週班表!$C$5:$T$44,$CU41,CC$57),""),2,1)="/",MID(IFERROR(INDEX(醫師週班表!$C$5:$T$44,$CU41,CC$57),""),1+CC$58*2,1),IF(MID(IFERROR(INDEX(醫師週班表!$C$5:$T$44,$CU41,CC$57),""),3,1)="隔",IF(CC$58=0,LEFT(IFERROR(INDEX(醫師週班表!$C$5:$T$44,$CU41,CC$57),""),1),""),IF(MID(IFERROR(INDEX(醫師週班表!$C$5:$T$44,$CU41,CC$57),""),2,1)="(",LEFT(IFERROR(INDEX(醫師週班表!$C$5:$T$44,$CU41,CC$57),""),1),IFERROR(INDEX(醫師週班表!$C$5:$T$44,$CU41,CC$57),"")))))))</f>
        <v/>
      </c>
      <c r="CD41" s="68">
        <f>IF(CD$59="X","",IF(CD$59&lt;&gt;"",CD$59,IF(IFERROR(INDEX(醫師週班表!$C$5:$T$44,$CU41,CD$57),"")=0,"",IF(MID(IFERROR(INDEX(醫師週班表!$C$5:$T$44,$CU41,CD$57),""),2,1)="/",MID(IFERROR(INDEX(醫師週班表!$C$5:$T$44,$CU41,CD$57),""),1+CD$58*2,1),IF(MID(IFERROR(INDEX(醫師週班表!$C$5:$T$44,$CU41,CD$57),""),3,1)="隔",IF(CD$58=0,LEFT(IFERROR(INDEX(醫師週班表!$C$5:$T$44,$CU41,CD$57),""),1),""),IF(MID(IFERROR(INDEX(醫師週班表!$C$5:$T$44,$CU41,CD$57),""),2,1)="(",LEFT(IFERROR(INDEX(醫師週班表!$C$5:$T$44,$CU41,CD$57),""),1),IFERROR(INDEX(醫師週班表!$C$5:$T$44,$CU41,CD$57),"")))))))</f>
        <v/>
      </c>
      <c r="CE41" s="67">
        <f>IF(CE$59="X","",IF(CE$59&lt;&gt;"",CE$59,IF(IFERROR(INDEX(醫師週班表!$C$5:$T$44,$CU41,CE$57),"")=0,"",IF(MID(IFERROR(INDEX(醫師週班表!$C$5:$T$44,$CU41,CE$57),""),2,1)="/",MID(IFERROR(INDEX(醫師週班表!$C$5:$T$44,$CU41,CE$57),""),1+CE$58*2,1),IF(MID(IFERROR(INDEX(醫師週班表!$C$5:$T$44,$CU41,CE$57),""),3,1)="隔",IF(CE$58=0,LEFT(IFERROR(INDEX(醫師週班表!$C$5:$T$44,$CU41,CE$57),""),1),""),IF(MID(IFERROR(INDEX(醫師週班表!$C$5:$T$44,$CU41,CE$57),""),2,1)="(",LEFT(IFERROR(INDEX(醫師週班表!$C$5:$T$44,$CU41,CE$57),""),1),IFERROR(INDEX(醫師週班表!$C$5:$T$44,$CU41,CE$57),"")))))))</f>
        <v/>
      </c>
      <c r="CF41" s="68">
        <f>IF(CF$59="X","",IF(CF$59&lt;&gt;"",CF$59,IF(IFERROR(INDEX(醫師週班表!$C$5:$T$44,$CU41,CF$57),"")=0,"",IF(MID(IFERROR(INDEX(醫師週班表!$C$5:$T$44,$CU41,CF$57),""),2,1)="/",MID(IFERROR(INDEX(醫師週班表!$C$5:$T$44,$CU41,CF$57),""),1+CF$58*2,1),IF(MID(IFERROR(INDEX(醫師週班表!$C$5:$T$44,$CU41,CF$57),""),3,1)="隔",IF(CF$58=0,LEFT(IFERROR(INDEX(醫師週班表!$C$5:$T$44,$CU41,CF$57),""),1),""),IF(MID(IFERROR(INDEX(醫師週班表!$C$5:$T$44,$CU41,CF$57),""),2,1)="(",LEFT(IFERROR(INDEX(醫師週班表!$C$5:$T$44,$CU41,CF$57),""),1),IFERROR(INDEX(醫師週班表!$C$5:$T$44,$CU41,CF$57),"")))))))</f>
        <v/>
      </c>
      <c r="CG41" s="68">
        <f>IF(CG$59="X","",IF(CG$59&lt;&gt;"",CG$59,IF(IFERROR(INDEX(醫師週班表!$C$5:$T$44,$CU41,CG$57),"")=0,"",IF(MID(IFERROR(INDEX(醫師週班表!$C$5:$T$44,$CU41,CG$57),""),2,1)="/",MID(IFERROR(INDEX(醫師週班表!$C$5:$T$44,$CU41,CG$57),""),1+CG$58*2,1),IF(MID(IFERROR(INDEX(醫師週班表!$C$5:$T$44,$CU41,CG$57),""),3,1)="隔",IF(CG$58=0,LEFT(IFERROR(INDEX(醫師週班表!$C$5:$T$44,$CU41,CG$57),""),1),""),IF(MID(IFERROR(INDEX(醫師週班表!$C$5:$T$44,$CU41,CG$57),""),2,1)="(",LEFT(IFERROR(INDEX(醫師週班表!$C$5:$T$44,$CU41,CG$57),""),1),IFERROR(INDEX(醫師週班表!$C$5:$T$44,$CU41,CG$57),"")))))))</f>
        <v/>
      </c>
      <c r="CH41" s="67">
        <f>IF(CH$59="X","",IF(CH$59&lt;&gt;"",CH$59,IF(IFERROR(INDEX(醫師週班表!$C$5:$T$44,$CU41,CH$57),"")=0,"",IF(MID(IFERROR(INDEX(醫師週班表!$C$5:$T$44,$CU41,CH$57),""),2,1)="/",MID(IFERROR(INDEX(醫師週班表!$C$5:$T$44,$CU41,CH$57),""),1+CH$58*2,1),IF(MID(IFERROR(INDEX(醫師週班表!$C$5:$T$44,$CU41,CH$57),""),3,1)="隔",IF(CH$58=0,LEFT(IFERROR(INDEX(醫師週班表!$C$5:$T$44,$CU41,CH$57),""),1),""),IF(MID(IFERROR(INDEX(醫師週班表!$C$5:$T$44,$CU41,CH$57),""),2,1)="(",LEFT(IFERROR(INDEX(醫師週班表!$C$5:$T$44,$CU41,CH$57),""),1),IFERROR(INDEX(醫師週班表!$C$5:$T$44,$CU41,CH$57),"")))))))</f>
        <v/>
      </c>
      <c r="CI41" s="68">
        <f>IF(CI$59="X","",IF(CI$59&lt;&gt;"",CI$59,IF(IFERROR(INDEX(醫師週班表!$C$5:$T$44,$CU41,CI$57),"")=0,"",IF(MID(IFERROR(INDEX(醫師週班表!$C$5:$T$44,$CU41,CI$57),""),2,1)="/",MID(IFERROR(INDEX(醫師週班表!$C$5:$T$44,$CU41,CI$57),""),1+CI$58*2,1),IF(MID(IFERROR(INDEX(醫師週班表!$C$5:$T$44,$CU41,CI$57),""),3,1)="隔",IF(CI$58=0,LEFT(IFERROR(INDEX(醫師週班表!$C$5:$T$44,$CU41,CI$57),""),1),""),IF(MID(IFERROR(INDEX(醫師週班表!$C$5:$T$44,$CU41,CI$57),""),2,1)="(",LEFT(IFERROR(INDEX(醫師週班表!$C$5:$T$44,$CU41,CI$57),""),1),IFERROR(INDEX(醫師週班表!$C$5:$T$44,$CU41,CI$57),"")))))))</f>
        <v/>
      </c>
      <c r="CJ41" s="68">
        <f>IF(CJ$59="X","",IF(CJ$59&lt;&gt;"",CJ$59,IF(IFERROR(INDEX(醫師週班表!$C$5:$T$44,$CU41,CJ$57),"")=0,"",IF(MID(IFERROR(INDEX(醫師週班表!$C$5:$T$44,$CU41,CJ$57),""),2,1)="/",MID(IFERROR(INDEX(醫師週班表!$C$5:$T$44,$CU41,CJ$57),""),1+CJ$58*2,1),IF(MID(IFERROR(INDEX(醫師週班表!$C$5:$T$44,$CU41,CJ$57),""),3,1)="隔",IF(CJ$58=0,LEFT(IFERROR(INDEX(醫師週班表!$C$5:$T$44,$CU41,CJ$57),""),1),""),IF(MID(IFERROR(INDEX(醫師週班表!$C$5:$T$44,$CU41,CJ$57),""),2,1)="(",LEFT(IFERROR(INDEX(醫師週班表!$C$5:$T$44,$CU41,CJ$57),""),1),IFERROR(INDEX(醫師週班表!$C$5:$T$44,$CU41,CJ$57),"")))))))</f>
        <v/>
      </c>
      <c r="CK41" s="67">
        <f>IF(CK$59="X","",IF(CK$59&lt;&gt;"",CK$59,IF(IFERROR(INDEX(醫師週班表!$C$5:$T$44,$CU41,CK$57),"")=0,"",IF(MID(IFERROR(INDEX(醫師週班表!$C$5:$T$44,$CU41,CK$57),""),2,1)="/",MID(IFERROR(INDEX(醫師週班表!$C$5:$T$44,$CU41,CK$57),""),1+CK$58*2,1),IF(MID(IFERROR(INDEX(醫師週班表!$C$5:$T$44,$CU41,CK$57),""),3,1)="隔",IF(CK$58=0,LEFT(IFERROR(INDEX(醫師週班表!$C$5:$T$44,$CU41,CK$57),""),1),""),IF(MID(IFERROR(INDEX(醫師週班表!$C$5:$T$44,$CU41,CK$57),""),2,1)="(",LEFT(IFERROR(INDEX(醫師週班表!$C$5:$T$44,$CU41,CK$57),""),1),IFERROR(INDEX(醫師週班表!$C$5:$T$44,$CU41,CK$57),"")))))))</f>
        <v/>
      </c>
      <c r="CL41" s="68">
        <f>IF(CL$59="X","",IF(CL$59&lt;&gt;"",CL$59,IF(IFERROR(INDEX(醫師週班表!$C$5:$T$44,$CU41,CL$57),"")=0,"",IF(MID(IFERROR(INDEX(醫師週班表!$C$5:$T$44,$CU41,CL$57),""),2,1)="/",MID(IFERROR(INDEX(醫師週班表!$C$5:$T$44,$CU41,CL$57),""),1+CL$58*2,1),IF(MID(IFERROR(INDEX(醫師週班表!$C$5:$T$44,$CU41,CL$57),""),3,1)="隔",IF(CL$58=0,LEFT(IFERROR(INDEX(醫師週班表!$C$5:$T$44,$CU41,CL$57),""),1),""),IF(MID(IFERROR(INDEX(醫師週班表!$C$5:$T$44,$CU41,CL$57),""),2,1)="(",LEFT(IFERROR(INDEX(醫師週班表!$C$5:$T$44,$CU41,CL$57),""),1),IFERROR(INDEX(醫師週班表!$C$5:$T$44,$CU41,CL$57),"")))))))</f>
        <v/>
      </c>
      <c r="CM41" s="68">
        <f>IF(CM$59="X","",IF(CM$59&lt;&gt;"",CM$59,IF(IFERROR(INDEX(醫師週班表!$C$5:$T$44,$CU41,CM$57),"")=0,"",IF(MID(IFERROR(INDEX(醫師週班表!$C$5:$T$44,$CU41,CM$57),""),2,1)="/",MID(IFERROR(INDEX(醫師週班表!$C$5:$T$44,$CU41,CM$57),""),1+CM$58*2,1),IF(MID(IFERROR(INDEX(醫師週班表!$C$5:$T$44,$CU41,CM$57),""),3,1)="隔",IF(CM$58=0,LEFT(IFERROR(INDEX(醫師週班表!$C$5:$T$44,$CU41,CM$57),""),1),""),IF(MID(IFERROR(INDEX(醫師週班表!$C$5:$T$44,$CU41,CM$57),""),2,1)="(",LEFT(IFERROR(INDEX(醫師週班表!$C$5:$T$44,$CU41,CM$57),""),1),IFERROR(INDEX(醫師週班表!$C$5:$T$44,$CU41,CM$57),"")))))))</f>
        <v/>
      </c>
      <c r="CN41" s="67">
        <f>IF(CN$59="X","",IF(CN$59&lt;&gt;"",CN$59,IF(IFERROR(INDEX(醫師週班表!$C$5:$T$44,$CU41,CN$57),"")=0,"",IF(MID(IFERROR(INDEX(醫師週班表!$C$5:$T$44,$CU41,CN$57),""),2,1)="/",MID(IFERROR(INDEX(醫師週班表!$C$5:$T$44,$CU41,CN$57),""),1+CN$58*2,1),IF(MID(IFERROR(INDEX(醫師週班表!$C$5:$T$44,$CU41,CN$57),""),3,1)="隔",IF(CN$58=0,LEFT(IFERROR(INDEX(醫師週班表!$C$5:$T$44,$CU41,CN$57),""),1),""),IF(MID(IFERROR(INDEX(醫師週班表!$C$5:$T$44,$CU41,CN$57),""),2,1)="(",LEFT(IFERROR(INDEX(醫師週班表!$C$5:$T$44,$CU41,CN$57),""),1),IFERROR(INDEX(醫師週班表!$C$5:$T$44,$CU41,CN$57),"")))))))</f>
        <v/>
      </c>
      <c r="CO41" s="68">
        <f>IF(CO$59="X","",IF(CO$59&lt;&gt;"",CO$59,IF(IFERROR(INDEX(醫師週班表!$C$5:$T$44,$CU41,CO$57),"")=0,"",IF(MID(IFERROR(INDEX(醫師週班表!$C$5:$T$44,$CU41,CO$57),""),2,1)="/",MID(IFERROR(INDEX(醫師週班表!$C$5:$T$44,$CU41,CO$57),""),1+CO$58*2,1),IF(MID(IFERROR(INDEX(醫師週班表!$C$5:$T$44,$CU41,CO$57),""),3,1)="隔",IF(CO$58=0,LEFT(IFERROR(INDEX(醫師週班表!$C$5:$T$44,$CU41,CO$57),""),1),""),IF(MID(IFERROR(INDEX(醫師週班表!$C$5:$T$44,$CU41,CO$57),""),2,1)="(",LEFT(IFERROR(INDEX(醫師週班表!$C$5:$T$44,$CU41,CO$57),""),1),IFERROR(INDEX(醫師週班表!$C$5:$T$44,$CU41,CO$57),"")))))))</f>
        <v/>
      </c>
      <c r="CP41" s="68">
        <f>IF(CP$59="X","",IF(CP$59&lt;&gt;"",CP$59,IF(IFERROR(INDEX(醫師週班表!$C$5:$T$44,$CU41,CP$57),"")=0,"",IF(MID(IFERROR(INDEX(醫師週班表!$C$5:$T$44,$CU41,CP$57),""),2,1)="/",MID(IFERROR(INDEX(醫師週班表!$C$5:$T$44,$CU41,CP$57),""),1+CP$58*2,1),IF(MID(IFERROR(INDEX(醫師週班表!$C$5:$T$44,$CU41,CP$57),""),3,1)="隔",IF(CP$58=0,LEFT(IFERROR(INDEX(醫師週班表!$C$5:$T$44,$CU41,CP$57),""),1),""),IF(MID(IFERROR(INDEX(醫師週班表!$C$5:$T$44,$CU41,CP$57),""),2,1)="(",LEFT(IFERROR(INDEX(醫師週班表!$C$5:$T$44,$CU41,CP$57),""),1),IFERROR(INDEX(醫師週班表!$C$5:$T$44,$CU41,CP$57),"")))))))</f>
        <v/>
      </c>
      <c r="CQ41" s="67">
        <f>IF(CQ$59="X","",IF(CQ$59&lt;&gt;"",CQ$59,IF(IFERROR(INDEX(醫師週班表!$C$5:$T$44,$CU41,CQ$57),"")=0,"",IF(MID(IFERROR(INDEX(醫師週班表!$C$5:$T$44,$CU41,CQ$57),""),2,1)="/",MID(IFERROR(INDEX(醫師週班表!$C$5:$T$44,$CU41,CQ$57),""),1+CQ$58*2,1),IF(MID(IFERROR(INDEX(醫師週班表!$C$5:$T$44,$CU41,CQ$57),""),3,1)="隔",IF(CQ$58=0,LEFT(IFERROR(INDEX(醫師週班表!$C$5:$T$44,$CU41,CQ$57),""),1),""),IF(MID(IFERROR(INDEX(醫師週班表!$C$5:$T$44,$CU41,CQ$57),""),2,1)="(",LEFT(IFERROR(INDEX(醫師週班表!$C$5:$T$44,$CU41,CQ$57),""),1),IFERROR(INDEX(醫師週班表!$C$5:$T$44,$CU41,CQ$57),"")))))))</f>
        <v/>
      </c>
      <c r="CR41" s="68">
        <f>IF(CR$59="X","",IF(CR$59&lt;&gt;"",CR$59,IF(IFERROR(INDEX(醫師週班表!$C$5:$T$44,$CU41,CR$57),"")=0,"",IF(MID(IFERROR(INDEX(醫師週班表!$C$5:$T$44,$CU41,CR$57),""),2,1)="/",MID(IFERROR(INDEX(醫師週班表!$C$5:$T$44,$CU41,CR$57),""),1+CR$58*2,1),IF(MID(IFERROR(INDEX(醫師週班表!$C$5:$T$44,$CU41,CR$57),""),3,1)="隔",IF(CR$58=0,LEFT(IFERROR(INDEX(醫師週班表!$C$5:$T$44,$CU41,CR$57),""),1),""),IF(MID(IFERROR(INDEX(醫師週班表!$C$5:$T$44,$CU41,CR$57),""),2,1)="(",LEFT(IFERROR(INDEX(醫師週班表!$C$5:$T$44,$CU41,CR$57),""),1),IFERROR(INDEX(醫師週班表!$C$5:$T$44,$CU41,CR$57),"")))))))</f>
        <v/>
      </c>
      <c r="CS41" s="68">
        <f>IF(CS$59="X","",IF(CS$59&lt;&gt;"",CS$59,IF(IFERROR(INDEX(醫師週班表!$C$5:$T$44,$CU41,CS$57),"")=0,"",IF(MID(IFERROR(INDEX(醫師週班表!$C$5:$T$44,$CU41,CS$57),""),2,1)="/",MID(IFERROR(INDEX(醫師週班表!$C$5:$T$44,$CU41,CS$57),""),1+CS$58*2,1),IF(MID(IFERROR(INDEX(醫師週班表!$C$5:$T$44,$CU41,CS$57),""),3,1)="隔",IF(CS$58=0,LEFT(IFERROR(INDEX(醫師週班表!$C$5:$T$44,$CU41,CS$57),""),1),""),IF(MID(IFERROR(INDEX(醫師週班表!$C$5:$T$44,$CU41,CS$57),""),2,1)="(",LEFT(IFERROR(INDEX(醫師週班表!$C$5:$T$44,$CU41,CS$57),""),1),IFERROR(INDEX(醫師週班表!$C$5:$T$44,$CU41,CS$57),"")))))))</f>
        <v/>
      </c>
      <c r="CU41" s="69">
        <f>IFERROR(MATCH($A41,醫師週班表!$A$5:$A$44,0),0)</f>
        <v/>
      </c>
    </row>
    <row r="42" ht="17" customHeight="1">
      <c r="A42" s="20" t="n"/>
      <c r="B42" s="16">
        <f>IFERROR(INDEX(設定!$C$62:$C$201,MATCH($A42,設定!$B$62:$B$201,0)),"")</f>
        <v/>
      </c>
      <c r="C42" s="66">
        <f>IFERROR(INDEX(設定!$E$62:$E$201,MATCH($A42,設定!$B$62:$B$201,0)),"")</f>
        <v/>
      </c>
      <c r="D42" s="16">
        <f>IFERROR(INDEX(設定!$F$62:$F$201,MATCH($A42,設定!$B$62:$B$201,0)),"")</f>
        <v/>
      </c>
      <c r="E42" s="67">
        <f>IF(E$59="X","",IF(E$59&lt;&gt;"",E$59,IF(IFERROR(INDEX(醫師週班表!$C$5:$T$44,$CU42,E$57),"")=0,"",IF(MID(IFERROR(INDEX(醫師週班表!$C$5:$T$44,$CU42,E$57),""),2,1)="/",MID(IFERROR(INDEX(醫師週班表!$C$5:$T$44,$CU42,E$57),""),1+E$58*2,1),IF(MID(IFERROR(INDEX(醫師週班表!$C$5:$T$44,$CU42,E$57),""),3,1)="隔",IF(E$58=0,LEFT(IFERROR(INDEX(醫師週班表!$C$5:$T$44,$CU42,E$57),""),1),""),IF(MID(IFERROR(INDEX(醫師週班表!$C$5:$T$44,$CU42,E$57),""),2,1)="(",LEFT(IFERROR(INDEX(醫師週班表!$C$5:$T$44,$CU42,E$57),""),1),IFERROR(INDEX(醫師週班表!$C$5:$T$44,$CU42,E$57),"")))))))</f>
        <v/>
      </c>
      <c r="F42" s="68">
        <f>IF(F$59="X","",IF(F$59&lt;&gt;"",F$59,IF(IFERROR(INDEX(醫師週班表!$C$5:$T$44,$CU42,F$57),"")=0,"",IF(MID(IFERROR(INDEX(醫師週班表!$C$5:$T$44,$CU42,F$57),""),2,1)="/",MID(IFERROR(INDEX(醫師週班表!$C$5:$T$44,$CU42,F$57),""),1+F$58*2,1),IF(MID(IFERROR(INDEX(醫師週班表!$C$5:$T$44,$CU42,F$57),""),3,1)="隔",IF(F$58=0,LEFT(IFERROR(INDEX(醫師週班表!$C$5:$T$44,$CU42,F$57),""),1),""),IF(MID(IFERROR(INDEX(醫師週班表!$C$5:$T$44,$CU42,F$57),""),2,1)="(",LEFT(IFERROR(INDEX(醫師週班表!$C$5:$T$44,$CU42,F$57),""),1),IFERROR(INDEX(醫師週班表!$C$5:$T$44,$CU42,F$57),"")))))))</f>
        <v/>
      </c>
      <c r="G42" s="68">
        <f>IF(G$59="X","",IF(G$59&lt;&gt;"",G$59,IF(IFERROR(INDEX(醫師週班表!$C$5:$T$44,$CU42,G$57),"")=0,"",IF(MID(IFERROR(INDEX(醫師週班表!$C$5:$T$44,$CU42,G$57),""),2,1)="/",MID(IFERROR(INDEX(醫師週班表!$C$5:$T$44,$CU42,G$57),""),1+G$58*2,1),IF(MID(IFERROR(INDEX(醫師週班表!$C$5:$T$44,$CU42,G$57),""),3,1)="隔",IF(G$58=0,LEFT(IFERROR(INDEX(醫師週班表!$C$5:$T$44,$CU42,G$57),""),1),""),IF(MID(IFERROR(INDEX(醫師週班表!$C$5:$T$44,$CU42,G$57),""),2,1)="(",LEFT(IFERROR(INDEX(醫師週班表!$C$5:$T$44,$CU42,G$57),""),1),IFERROR(INDEX(醫師週班表!$C$5:$T$44,$CU42,G$57),"")))))))</f>
        <v/>
      </c>
      <c r="H42" s="67">
        <f>IF(H$59="X","",IF(H$59&lt;&gt;"",H$59,IF(IFERROR(INDEX(醫師週班表!$C$5:$T$44,$CU42,H$57),"")=0,"",IF(MID(IFERROR(INDEX(醫師週班表!$C$5:$T$44,$CU42,H$57),""),2,1)="/",MID(IFERROR(INDEX(醫師週班表!$C$5:$T$44,$CU42,H$57),""),1+H$58*2,1),IF(MID(IFERROR(INDEX(醫師週班表!$C$5:$T$44,$CU42,H$57),""),3,1)="隔",IF(H$58=0,LEFT(IFERROR(INDEX(醫師週班表!$C$5:$T$44,$CU42,H$57),""),1),""),IF(MID(IFERROR(INDEX(醫師週班表!$C$5:$T$44,$CU42,H$57),""),2,1)="(",LEFT(IFERROR(INDEX(醫師週班表!$C$5:$T$44,$CU42,H$57),""),1),IFERROR(INDEX(醫師週班表!$C$5:$T$44,$CU42,H$57),"")))))))</f>
        <v/>
      </c>
      <c r="I42" s="68">
        <f>IF(I$59="X","",IF(I$59&lt;&gt;"",I$59,IF(IFERROR(INDEX(醫師週班表!$C$5:$T$44,$CU42,I$57),"")=0,"",IF(MID(IFERROR(INDEX(醫師週班表!$C$5:$T$44,$CU42,I$57),""),2,1)="/",MID(IFERROR(INDEX(醫師週班表!$C$5:$T$44,$CU42,I$57),""),1+I$58*2,1),IF(MID(IFERROR(INDEX(醫師週班表!$C$5:$T$44,$CU42,I$57),""),3,1)="隔",IF(I$58=0,LEFT(IFERROR(INDEX(醫師週班表!$C$5:$T$44,$CU42,I$57),""),1),""),IF(MID(IFERROR(INDEX(醫師週班表!$C$5:$T$44,$CU42,I$57),""),2,1)="(",LEFT(IFERROR(INDEX(醫師週班表!$C$5:$T$44,$CU42,I$57),""),1),IFERROR(INDEX(醫師週班表!$C$5:$T$44,$CU42,I$57),"")))))))</f>
        <v/>
      </c>
      <c r="J42" s="68">
        <f>IF(J$59="X","",IF(J$59&lt;&gt;"",J$59,IF(IFERROR(INDEX(醫師週班表!$C$5:$T$44,$CU42,J$57),"")=0,"",IF(MID(IFERROR(INDEX(醫師週班表!$C$5:$T$44,$CU42,J$57),""),2,1)="/",MID(IFERROR(INDEX(醫師週班表!$C$5:$T$44,$CU42,J$57),""),1+J$58*2,1),IF(MID(IFERROR(INDEX(醫師週班表!$C$5:$T$44,$CU42,J$57),""),3,1)="隔",IF(J$58=0,LEFT(IFERROR(INDEX(醫師週班表!$C$5:$T$44,$CU42,J$57),""),1),""),IF(MID(IFERROR(INDEX(醫師週班表!$C$5:$T$44,$CU42,J$57),""),2,1)="(",LEFT(IFERROR(INDEX(醫師週班表!$C$5:$T$44,$CU42,J$57),""),1),IFERROR(INDEX(醫師週班表!$C$5:$T$44,$CU42,J$57),"")))))))</f>
        <v/>
      </c>
      <c r="K42" s="67">
        <f>IF(K$59="X","",IF(K$59&lt;&gt;"",K$59,IF(IFERROR(INDEX(醫師週班表!$C$5:$T$44,$CU42,K$57),"")=0,"",IF(MID(IFERROR(INDEX(醫師週班表!$C$5:$T$44,$CU42,K$57),""),2,1)="/",MID(IFERROR(INDEX(醫師週班表!$C$5:$T$44,$CU42,K$57),""),1+K$58*2,1),IF(MID(IFERROR(INDEX(醫師週班表!$C$5:$T$44,$CU42,K$57),""),3,1)="隔",IF(K$58=0,LEFT(IFERROR(INDEX(醫師週班表!$C$5:$T$44,$CU42,K$57),""),1),""),IF(MID(IFERROR(INDEX(醫師週班表!$C$5:$T$44,$CU42,K$57),""),2,1)="(",LEFT(IFERROR(INDEX(醫師週班表!$C$5:$T$44,$CU42,K$57),""),1),IFERROR(INDEX(醫師週班表!$C$5:$T$44,$CU42,K$57),"")))))))</f>
        <v/>
      </c>
      <c r="L42" s="68">
        <f>IF(L$59="X","",IF(L$59&lt;&gt;"",L$59,IF(IFERROR(INDEX(醫師週班表!$C$5:$T$44,$CU42,L$57),"")=0,"",IF(MID(IFERROR(INDEX(醫師週班表!$C$5:$T$44,$CU42,L$57),""),2,1)="/",MID(IFERROR(INDEX(醫師週班表!$C$5:$T$44,$CU42,L$57),""),1+L$58*2,1),IF(MID(IFERROR(INDEX(醫師週班表!$C$5:$T$44,$CU42,L$57),""),3,1)="隔",IF(L$58=0,LEFT(IFERROR(INDEX(醫師週班表!$C$5:$T$44,$CU42,L$57),""),1),""),IF(MID(IFERROR(INDEX(醫師週班表!$C$5:$T$44,$CU42,L$57),""),2,1)="(",LEFT(IFERROR(INDEX(醫師週班表!$C$5:$T$44,$CU42,L$57),""),1),IFERROR(INDEX(醫師週班表!$C$5:$T$44,$CU42,L$57),"")))))))</f>
        <v/>
      </c>
      <c r="M42" s="68">
        <f>IF(M$59="X","",IF(M$59&lt;&gt;"",M$59,IF(IFERROR(INDEX(醫師週班表!$C$5:$T$44,$CU42,M$57),"")=0,"",IF(MID(IFERROR(INDEX(醫師週班表!$C$5:$T$44,$CU42,M$57),""),2,1)="/",MID(IFERROR(INDEX(醫師週班表!$C$5:$T$44,$CU42,M$57),""),1+M$58*2,1),IF(MID(IFERROR(INDEX(醫師週班表!$C$5:$T$44,$CU42,M$57),""),3,1)="隔",IF(M$58=0,LEFT(IFERROR(INDEX(醫師週班表!$C$5:$T$44,$CU42,M$57),""),1),""),IF(MID(IFERROR(INDEX(醫師週班表!$C$5:$T$44,$CU42,M$57),""),2,1)="(",LEFT(IFERROR(INDEX(醫師週班表!$C$5:$T$44,$CU42,M$57),""),1),IFERROR(INDEX(醫師週班表!$C$5:$T$44,$CU42,M$57),"")))))))</f>
        <v/>
      </c>
      <c r="N42" s="67">
        <f>IF(N$59="X","",IF(N$59&lt;&gt;"",N$59,IF(IFERROR(INDEX(醫師週班表!$C$5:$T$44,$CU42,N$57),"")=0,"",IF(MID(IFERROR(INDEX(醫師週班表!$C$5:$T$44,$CU42,N$57),""),2,1)="/",MID(IFERROR(INDEX(醫師週班表!$C$5:$T$44,$CU42,N$57),""),1+N$58*2,1),IF(MID(IFERROR(INDEX(醫師週班表!$C$5:$T$44,$CU42,N$57),""),3,1)="隔",IF(N$58=0,LEFT(IFERROR(INDEX(醫師週班表!$C$5:$T$44,$CU42,N$57),""),1),""),IF(MID(IFERROR(INDEX(醫師週班表!$C$5:$T$44,$CU42,N$57),""),2,1)="(",LEFT(IFERROR(INDEX(醫師週班表!$C$5:$T$44,$CU42,N$57),""),1),IFERROR(INDEX(醫師週班表!$C$5:$T$44,$CU42,N$57),"")))))))</f>
        <v/>
      </c>
      <c r="O42" s="68">
        <f>IF(O$59="X","",IF(O$59&lt;&gt;"",O$59,IF(IFERROR(INDEX(醫師週班表!$C$5:$T$44,$CU42,O$57),"")=0,"",IF(MID(IFERROR(INDEX(醫師週班表!$C$5:$T$44,$CU42,O$57),""),2,1)="/",MID(IFERROR(INDEX(醫師週班表!$C$5:$T$44,$CU42,O$57),""),1+O$58*2,1),IF(MID(IFERROR(INDEX(醫師週班表!$C$5:$T$44,$CU42,O$57),""),3,1)="隔",IF(O$58=0,LEFT(IFERROR(INDEX(醫師週班表!$C$5:$T$44,$CU42,O$57),""),1),""),IF(MID(IFERROR(INDEX(醫師週班表!$C$5:$T$44,$CU42,O$57),""),2,1)="(",LEFT(IFERROR(INDEX(醫師週班表!$C$5:$T$44,$CU42,O$57),""),1),IFERROR(INDEX(醫師週班表!$C$5:$T$44,$CU42,O$57),"")))))))</f>
        <v/>
      </c>
      <c r="P42" s="68">
        <f>IF(P$59="X","",IF(P$59&lt;&gt;"",P$59,IF(IFERROR(INDEX(醫師週班表!$C$5:$T$44,$CU42,P$57),"")=0,"",IF(MID(IFERROR(INDEX(醫師週班表!$C$5:$T$44,$CU42,P$57),""),2,1)="/",MID(IFERROR(INDEX(醫師週班表!$C$5:$T$44,$CU42,P$57),""),1+P$58*2,1),IF(MID(IFERROR(INDEX(醫師週班表!$C$5:$T$44,$CU42,P$57),""),3,1)="隔",IF(P$58=0,LEFT(IFERROR(INDEX(醫師週班表!$C$5:$T$44,$CU42,P$57),""),1),""),IF(MID(IFERROR(INDEX(醫師週班表!$C$5:$T$44,$CU42,P$57),""),2,1)="(",LEFT(IFERROR(INDEX(醫師週班表!$C$5:$T$44,$CU42,P$57),""),1),IFERROR(INDEX(醫師週班表!$C$5:$T$44,$CU42,P$57),"")))))))</f>
        <v/>
      </c>
      <c r="Q42" s="67">
        <f>IF(Q$59="X","",IF(Q$59&lt;&gt;"",Q$59,IF(IFERROR(INDEX(醫師週班表!$C$5:$T$44,$CU42,Q$57),"")=0,"",IF(MID(IFERROR(INDEX(醫師週班表!$C$5:$T$44,$CU42,Q$57),""),2,1)="/",MID(IFERROR(INDEX(醫師週班表!$C$5:$T$44,$CU42,Q$57),""),1+Q$58*2,1),IF(MID(IFERROR(INDEX(醫師週班表!$C$5:$T$44,$CU42,Q$57),""),3,1)="隔",IF(Q$58=0,LEFT(IFERROR(INDEX(醫師週班表!$C$5:$T$44,$CU42,Q$57),""),1),""),IF(MID(IFERROR(INDEX(醫師週班表!$C$5:$T$44,$CU42,Q$57),""),2,1)="(",LEFT(IFERROR(INDEX(醫師週班表!$C$5:$T$44,$CU42,Q$57),""),1),IFERROR(INDEX(醫師週班表!$C$5:$T$44,$CU42,Q$57),"")))))))</f>
        <v/>
      </c>
      <c r="R42" s="68">
        <f>IF(R$59="X","",IF(R$59&lt;&gt;"",R$59,IF(IFERROR(INDEX(醫師週班表!$C$5:$T$44,$CU42,R$57),"")=0,"",IF(MID(IFERROR(INDEX(醫師週班表!$C$5:$T$44,$CU42,R$57),""),2,1)="/",MID(IFERROR(INDEX(醫師週班表!$C$5:$T$44,$CU42,R$57),""),1+R$58*2,1),IF(MID(IFERROR(INDEX(醫師週班表!$C$5:$T$44,$CU42,R$57),""),3,1)="隔",IF(R$58=0,LEFT(IFERROR(INDEX(醫師週班表!$C$5:$T$44,$CU42,R$57),""),1),""),IF(MID(IFERROR(INDEX(醫師週班表!$C$5:$T$44,$CU42,R$57),""),2,1)="(",LEFT(IFERROR(INDEX(醫師週班表!$C$5:$T$44,$CU42,R$57),""),1),IFERROR(INDEX(醫師週班表!$C$5:$T$44,$CU42,R$57),"")))))))</f>
        <v/>
      </c>
      <c r="S42" s="68">
        <f>IF(S$59="X","",IF(S$59&lt;&gt;"",S$59,IF(IFERROR(INDEX(醫師週班表!$C$5:$T$44,$CU42,S$57),"")=0,"",IF(MID(IFERROR(INDEX(醫師週班表!$C$5:$T$44,$CU42,S$57),""),2,1)="/",MID(IFERROR(INDEX(醫師週班表!$C$5:$T$44,$CU42,S$57),""),1+S$58*2,1),IF(MID(IFERROR(INDEX(醫師週班表!$C$5:$T$44,$CU42,S$57),""),3,1)="隔",IF(S$58=0,LEFT(IFERROR(INDEX(醫師週班表!$C$5:$T$44,$CU42,S$57),""),1),""),IF(MID(IFERROR(INDEX(醫師週班表!$C$5:$T$44,$CU42,S$57),""),2,1)="(",LEFT(IFERROR(INDEX(醫師週班表!$C$5:$T$44,$CU42,S$57),""),1),IFERROR(INDEX(醫師週班表!$C$5:$T$44,$CU42,S$57),"")))))))</f>
        <v/>
      </c>
      <c r="T42" s="67">
        <f>IF(T$59="X","",IF(T$59&lt;&gt;"",T$59,IF(IFERROR(INDEX(醫師週班表!$C$5:$T$44,$CU42,T$57),"")=0,"",IF(MID(IFERROR(INDEX(醫師週班表!$C$5:$T$44,$CU42,T$57),""),2,1)="/",MID(IFERROR(INDEX(醫師週班表!$C$5:$T$44,$CU42,T$57),""),1+T$58*2,1),IF(MID(IFERROR(INDEX(醫師週班表!$C$5:$T$44,$CU42,T$57),""),3,1)="隔",IF(T$58=0,LEFT(IFERROR(INDEX(醫師週班表!$C$5:$T$44,$CU42,T$57),""),1),""),IF(MID(IFERROR(INDEX(醫師週班表!$C$5:$T$44,$CU42,T$57),""),2,1)="(",LEFT(IFERROR(INDEX(醫師週班表!$C$5:$T$44,$CU42,T$57),""),1),IFERROR(INDEX(醫師週班表!$C$5:$T$44,$CU42,T$57),"")))))))</f>
        <v/>
      </c>
      <c r="U42" s="68">
        <f>IF(U$59="X","",IF(U$59&lt;&gt;"",U$59,IF(IFERROR(INDEX(醫師週班表!$C$5:$T$44,$CU42,U$57),"")=0,"",IF(MID(IFERROR(INDEX(醫師週班表!$C$5:$T$44,$CU42,U$57),""),2,1)="/",MID(IFERROR(INDEX(醫師週班表!$C$5:$T$44,$CU42,U$57),""),1+U$58*2,1),IF(MID(IFERROR(INDEX(醫師週班表!$C$5:$T$44,$CU42,U$57),""),3,1)="隔",IF(U$58=0,LEFT(IFERROR(INDEX(醫師週班表!$C$5:$T$44,$CU42,U$57),""),1),""),IF(MID(IFERROR(INDEX(醫師週班表!$C$5:$T$44,$CU42,U$57),""),2,1)="(",LEFT(IFERROR(INDEX(醫師週班表!$C$5:$T$44,$CU42,U$57),""),1),IFERROR(INDEX(醫師週班表!$C$5:$T$44,$CU42,U$57),"")))))))</f>
        <v/>
      </c>
      <c r="V42" s="68">
        <f>IF(V$59="X","",IF(V$59&lt;&gt;"",V$59,IF(IFERROR(INDEX(醫師週班表!$C$5:$T$44,$CU42,V$57),"")=0,"",IF(MID(IFERROR(INDEX(醫師週班表!$C$5:$T$44,$CU42,V$57),""),2,1)="/",MID(IFERROR(INDEX(醫師週班表!$C$5:$T$44,$CU42,V$57),""),1+V$58*2,1),IF(MID(IFERROR(INDEX(醫師週班表!$C$5:$T$44,$CU42,V$57),""),3,1)="隔",IF(V$58=0,LEFT(IFERROR(INDEX(醫師週班表!$C$5:$T$44,$CU42,V$57),""),1),""),IF(MID(IFERROR(INDEX(醫師週班表!$C$5:$T$44,$CU42,V$57),""),2,1)="(",LEFT(IFERROR(INDEX(醫師週班表!$C$5:$T$44,$CU42,V$57),""),1),IFERROR(INDEX(醫師週班表!$C$5:$T$44,$CU42,V$57),"")))))))</f>
        <v/>
      </c>
      <c r="W42" s="67">
        <f>IF(W$59="X","",IF(W$59&lt;&gt;"",W$59,IF(IFERROR(INDEX(醫師週班表!$C$5:$T$44,$CU42,W$57),"")=0,"",IF(MID(IFERROR(INDEX(醫師週班表!$C$5:$T$44,$CU42,W$57),""),2,1)="/",MID(IFERROR(INDEX(醫師週班表!$C$5:$T$44,$CU42,W$57),""),1+W$58*2,1),IF(MID(IFERROR(INDEX(醫師週班表!$C$5:$T$44,$CU42,W$57),""),3,1)="隔",IF(W$58=0,LEFT(IFERROR(INDEX(醫師週班表!$C$5:$T$44,$CU42,W$57),""),1),""),IF(MID(IFERROR(INDEX(醫師週班表!$C$5:$T$44,$CU42,W$57),""),2,1)="(",LEFT(IFERROR(INDEX(醫師週班表!$C$5:$T$44,$CU42,W$57),""),1),IFERROR(INDEX(醫師週班表!$C$5:$T$44,$CU42,W$57),"")))))))</f>
        <v/>
      </c>
      <c r="X42" s="68">
        <f>IF(X$59="X","",IF(X$59&lt;&gt;"",X$59,IF(IFERROR(INDEX(醫師週班表!$C$5:$T$44,$CU42,X$57),"")=0,"",IF(MID(IFERROR(INDEX(醫師週班表!$C$5:$T$44,$CU42,X$57),""),2,1)="/",MID(IFERROR(INDEX(醫師週班表!$C$5:$T$44,$CU42,X$57),""),1+X$58*2,1),IF(MID(IFERROR(INDEX(醫師週班表!$C$5:$T$44,$CU42,X$57),""),3,1)="隔",IF(X$58=0,LEFT(IFERROR(INDEX(醫師週班表!$C$5:$T$44,$CU42,X$57),""),1),""),IF(MID(IFERROR(INDEX(醫師週班表!$C$5:$T$44,$CU42,X$57),""),2,1)="(",LEFT(IFERROR(INDEX(醫師週班表!$C$5:$T$44,$CU42,X$57),""),1),IFERROR(INDEX(醫師週班表!$C$5:$T$44,$CU42,X$57),"")))))))</f>
        <v/>
      </c>
      <c r="Y42" s="68">
        <f>IF(Y$59="X","",IF(Y$59&lt;&gt;"",Y$59,IF(IFERROR(INDEX(醫師週班表!$C$5:$T$44,$CU42,Y$57),"")=0,"",IF(MID(IFERROR(INDEX(醫師週班表!$C$5:$T$44,$CU42,Y$57),""),2,1)="/",MID(IFERROR(INDEX(醫師週班表!$C$5:$T$44,$CU42,Y$57),""),1+Y$58*2,1),IF(MID(IFERROR(INDEX(醫師週班表!$C$5:$T$44,$CU42,Y$57),""),3,1)="隔",IF(Y$58=0,LEFT(IFERROR(INDEX(醫師週班表!$C$5:$T$44,$CU42,Y$57),""),1),""),IF(MID(IFERROR(INDEX(醫師週班表!$C$5:$T$44,$CU42,Y$57),""),2,1)="(",LEFT(IFERROR(INDEX(醫師週班表!$C$5:$T$44,$CU42,Y$57),""),1),IFERROR(INDEX(醫師週班表!$C$5:$T$44,$CU42,Y$57),"")))))))</f>
        <v/>
      </c>
      <c r="Z42" s="67">
        <f>IF(Z$59="X","",IF(Z$59&lt;&gt;"",Z$59,IF(IFERROR(INDEX(醫師週班表!$C$5:$T$44,$CU42,Z$57),"")=0,"",IF(MID(IFERROR(INDEX(醫師週班表!$C$5:$T$44,$CU42,Z$57),""),2,1)="/",MID(IFERROR(INDEX(醫師週班表!$C$5:$T$44,$CU42,Z$57),""),1+Z$58*2,1),IF(MID(IFERROR(INDEX(醫師週班表!$C$5:$T$44,$CU42,Z$57),""),3,1)="隔",IF(Z$58=0,LEFT(IFERROR(INDEX(醫師週班表!$C$5:$T$44,$CU42,Z$57),""),1),""),IF(MID(IFERROR(INDEX(醫師週班表!$C$5:$T$44,$CU42,Z$57),""),2,1)="(",LEFT(IFERROR(INDEX(醫師週班表!$C$5:$T$44,$CU42,Z$57),""),1),IFERROR(INDEX(醫師週班表!$C$5:$T$44,$CU42,Z$57),"")))))))</f>
        <v/>
      </c>
      <c r="AA42" s="68">
        <f>IF(AA$59="X","",IF(AA$59&lt;&gt;"",AA$59,IF(IFERROR(INDEX(醫師週班表!$C$5:$T$44,$CU42,AA$57),"")=0,"",IF(MID(IFERROR(INDEX(醫師週班表!$C$5:$T$44,$CU42,AA$57),""),2,1)="/",MID(IFERROR(INDEX(醫師週班表!$C$5:$T$44,$CU42,AA$57),""),1+AA$58*2,1),IF(MID(IFERROR(INDEX(醫師週班表!$C$5:$T$44,$CU42,AA$57),""),3,1)="隔",IF(AA$58=0,LEFT(IFERROR(INDEX(醫師週班表!$C$5:$T$44,$CU42,AA$57),""),1),""),IF(MID(IFERROR(INDEX(醫師週班表!$C$5:$T$44,$CU42,AA$57),""),2,1)="(",LEFT(IFERROR(INDEX(醫師週班表!$C$5:$T$44,$CU42,AA$57),""),1),IFERROR(INDEX(醫師週班表!$C$5:$T$44,$CU42,AA$57),"")))))))</f>
        <v/>
      </c>
      <c r="AB42" s="68">
        <f>IF(AB$59="X","",IF(AB$59&lt;&gt;"",AB$59,IF(IFERROR(INDEX(醫師週班表!$C$5:$T$44,$CU42,AB$57),"")=0,"",IF(MID(IFERROR(INDEX(醫師週班表!$C$5:$T$44,$CU42,AB$57),""),2,1)="/",MID(IFERROR(INDEX(醫師週班表!$C$5:$T$44,$CU42,AB$57),""),1+AB$58*2,1),IF(MID(IFERROR(INDEX(醫師週班表!$C$5:$T$44,$CU42,AB$57),""),3,1)="隔",IF(AB$58=0,LEFT(IFERROR(INDEX(醫師週班表!$C$5:$T$44,$CU42,AB$57),""),1),""),IF(MID(IFERROR(INDEX(醫師週班表!$C$5:$T$44,$CU42,AB$57),""),2,1)="(",LEFT(IFERROR(INDEX(醫師週班表!$C$5:$T$44,$CU42,AB$57),""),1),IFERROR(INDEX(醫師週班表!$C$5:$T$44,$CU42,AB$57),"")))))))</f>
        <v/>
      </c>
      <c r="AC42" s="67">
        <f>IF(AC$59="X","",IF(AC$59&lt;&gt;"",AC$59,IF(IFERROR(INDEX(醫師週班表!$C$5:$T$44,$CU42,AC$57),"")=0,"",IF(MID(IFERROR(INDEX(醫師週班表!$C$5:$T$44,$CU42,AC$57),""),2,1)="/",MID(IFERROR(INDEX(醫師週班表!$C$5:$T$44,$CU42,AC$57),""),1+AC$58*2,1),IF(MID(IFERROR(INDEX(醫師週班表!$C$5:$T$44,$CU42,AC$57),""),3,1)="隔",IF(AC$58=0,LEFT(IFERROR(INDEX(醫師週班表!$C$5:$T$44,$CU42,AC$57),""),1),""),IF(MID(IFERROR(INDEX(醫師週班表!$C$5:$T$44,$CU42,AC$57),""),2,1)="(",LEFT(IFERROR(INDEX(醫師週班表!$C$5:$T$44,$CU42,AC$57),""),1),IFERROR(INDEX(醫師週班表!$C$5:$T$44,$CU42,AC$57),"")))))))</f>
        <v/>
      </c>
      <c r="AD42" s="68">
        <f>IF(AD$59="X","",IF(AD$59&lt;&gt;"",AD$59,IF(IFERROR(INDEX(醫師週班表!$C$5:$T$44,$CU42,AD$57),"")=0,"",IF(MID(IFERROR(INDEX(醫師週班表!$C$5:$T$44,$CU42,AD$57),""),2,1)="/",MID(IFERROR(INDEX(醫師週班表!$C$5:$T$44,$CU42,AD$57),""),1+AD$58*2,1),IF(MID(IFERROR(INDEX(醫師週班表!$C$5:$T$44,$CU42,AD$57),""),3,1)="隔",IF(AD$58=0,LEFT(IFERROR(INDEX(醫師週班表!$C$5:$T$44,$CU42,AD$57),""),1),""),IF(MID(IFERROR(INDEX(醫師週班表!$C$5:$T$44,$CU42,AD$57),""),2,1)="(",LEFT(IFERROR(INDEX(醫師週班表!$C$5:$T$44,$CU42,AD$57),""),1),IFERROR(INDEX(醫師週班表!$C$5:$T$44,$CU42,AD$57),"")))))))</f>
        <v/>
      </c>
      <c r="AE42" s="68">
        <f>IF(AE$59="X","",IF(AE$59&lt;&gt;"",AE$59,IF(IFERROR(INDEX(醫師週班表!$C$5:$T$44,$CU42,AE$57),"")=0,"",IF(MID(IFERROR(INDEX(醫師週班表!$C$5:$T$44,$CU42,AE$57),""),2,1)="/",MID(IFERROR(INDEX(醫師週班表!$C$5:$T$44,$CU42,AE$57),""),1+AE$58*2,1),IF(MID(IFERROR(INDEX(醫師週班表!$C$5:$T$44,$CU42,AE$57),""),3,1)="隔",IF(AE$58=0,LEFT(IFERROR(INDEX(醫師週班表!$C$5:$T$44,$CU42,AE$57),""),1),""),IF(MID(IFERROR(INDEX(醫師週班表!$C$5:$T$44,$CU42,AE$57),""),2,1)="(",LEFT(IFERROR(INDEX(醫師週班表!$C$5:$T$44,$CU42,AE$57),""),1),IFERROR(INDEX(醫師週班表!$C$5:$T$44,$CU42,AE$57),"")))))))</f>
        <v/>
      </c>
      <c r="AF42" s="67">
        <f>IF(AF$59="X","",IF(AF$59&lt;&gt;"",AF$59,IF(IFERROR(INDEX(醫師週班表!$C$5:$T$44,$CU42,AF$57),"")=0,"",IF(MID(IFERROR(INDEX(醫師週班表!$C$5:$T$44,$CU42,AF$57),""),2,1)="/",MID(IFERROR(INDEX(醫師週班表!$C$5:$T$44,$CU42,AF$57),""),1+AF$58*2,1),IF(MID(IFERROR(INDEX(醫師週班表!$C$5:$T$44,$CU42,AF$57),""),3,1)="隔",IF(AF$58=0,LEFT(IFERROR(INDEX(醫師週班表!$C$5:$T$44,$CU42,AF$57),""),1),""),IF(MID(IFERROR(INDEX(醫師週班表!$C$5:$T$44,$CU42,AF$57),""),2,1)="(",LEFT(IFERROR(INDEX(醫師週班表!$C$5:$T$44,$CU42,AF$57),""),1),IFERROR(INDEX(醫師週班表!$C$5:$T$44,$CU42,AF$57),"")))))))</f>
        <v/>
      </c>
      <c r="AG42" s="68">
        <f>IF(AG$59="X","",IF(AG$59&lt;&gt;"",AG$59,IF(IFERROR(INDEX(醫師週班表!$C$5:$T$44,$CU42,AG$57),"")=0,"",IF(MID(IFERROR(INDEX(醫師週班表!$C$5:$T$44,$CU42,AG$57),""),2,1)="/",MID(IFERROR(INDEX(醫師週班表!$C$5:$T$44,$CU42,AG$57),""),1+AG$58*2,1),IF(MID(IFERROR(INDEX(醫師週班表!$C$5:$T$44,$CU42,AG$57),""),3,1)="隔",IF(AG$58=0,LEFT(IFERROR(INDEX(醫師週班表!$C$5:$T$44,$CU42,AG$57),""),1),""),IF(MID(IFERROR(INDEX(醫師週班表!$C$5:$T$44,$CU42,AG$57),""),2,1)="(",LEFT(IFERROR(INDEX(醫師週班表!$C$5:$T$44,$CU42,AG$57),""),1),IFERROR(INDEX(醫師週班表!$C$5:$T$44,$CU42,AG$57),"")))))))</f>
        <v/>
      </c>
      <c r="AH42" s="68">
        <f>IF(AH$59="X","",IF(AH$59&lt;&gt;"",AH$59,IF(IFERROR(INDEX(醫師週班表!$C$5:$T$44,$CU42,AH$57),"")=0,"",IF(MID(IFERROR(INDEX(醫師週班表!$C$5:$T$44,$CU42,AH$57),""),2,1)="/",MID(IFERROR(INDEX(醫師週班表!$C$5:$T$44,$CU42,AH$57),""),1+AH$58*2,1),IF(MID(IFERROR(INDEX(醫師週班表!$C$5:$T$44,$CU42,AH$57),""),3,1)="隔",IF(AH$58=0,LEFT(IFERROR(INDEX(醫師週班表!$C$5:$T$44,$CU42,AH$57),""),1),""),IF(MID(IFERROR(INDEX(醫師週班表!$C$5:$T$44,$CU42,AH$57),""),2,1)="(",LEFT(IFERROR(INDEX(醫師週班表!$C$5:$T$44,$CU42,AH$57),""),1),IFERROR(INDEX(醫師週班表!$C$5:$T$44,$CU42,AH$57),"")))))))</f>
        <v/>
      </c>
      <c r="AI42" s="67">
        <f>IF(AI$59="X","",IF(AI$59&lt;&gt;"",AI$59,IF(IFERROR(INDEX(醫師週班表!$C$5:$T$44,$CU42,AI$57),"")=0,"",IF(MID(IFERROR(INDEX(醫師週班表!$C$5:$T$44,$CU42,AI$57),""),2,1)="/",MID(IFERROR(INDEX(醫師週班表!$C$5:$T$44,$CU42,AI$57),""),1+AI$58*2,1),IF(MID(IFERROR(INDEX(醫師週班表!$C$5:$T$44,$CU42,AI$57),""),3,1)="隔",IF(AI$58=0,LEFT(IFERROR(INDEX(醫師週班表!$C$5:$T$44,$CU42,AI$57),""),1),""),IF(MID(IFERROR(INDEX(醫師週班表!$C$5:$T$44,$CU42,AI$57),""),2,1)="(",LEFT(IFERROR(INDEX(醫師週班表!$C$5:$T$44,$CU42,AI$57),""),1),IFERROR(INDEX(醫師週班表!$C$5:$T$44,$CU42,AI$57),"")))))))</f>
        <v/>
      </c>
      <c r="AJ42" s="68">
        <f>IF(AJ$59="X","",IF(AJ$59&lt;&gt;"",AJ$59,IF(IFERROR(INDEX(醫師週班表!$C$5:$T$44,$CU42,AJ$57),"")=0,"",IF(MID(IFERROR(INDEX(醫師週班表!$C$5:$T$44,$CU42,AJ$57),""),2,1)="/",MID(IFERROR(INDEX(醫師週班表!$C$5:$T$44,$CU42,AJ$57),""),1+AJ$58*2,1),IF(MID(IFERROR(INDEX(醫師週班表!$C$5:$T$44,$CU42,AJ$57),""),3,1)="隔",IF(AJ$58=0,LEFT(IFERROR(INDEX(醫師週班表!$C$5:$T$44,$CU42,AJ$57),""),1),""),IF(MID(IFERROR(INDEX(醫師週班表!$C$5:$T$44,$CU42,AJ$57),""),2,1)="(",LEFT(IFERROR(INDEX(醫師週班表!$C$5:$T$44,$CU42,AJ$57),""),1),IFERROR(INDEX(醫師週班表!$C$5:$T$44,$CU42,AJ$57),"")))))))</f>
        <v/>
      </c>
      <c r="AK42" s="68">
        <f>IF(AK$59="X","",IF(AK$59&lt;&gt;"",AK$59,IF(IFERROR(INDEX(醫師週班表!$C$5:$T$44,$CU42,AK$57),"")=0,"",IF(MID(IFERROR(INDEX(醫師週班表!$C$5:$T$44,$CU42,AK$57),""),2,1)="/",MID(IFERROR(INDEX(醫師週班表!$C$5:$T$44,$CU42,AK$57),""),1+AK$58*2,1),IF(MID(IFERROR(INDEX(醫師週班表!$C$5:$T$44,$CU42,AK$57),""),3,1)="隔",IF(AK$58=0,LEFT(IFERROR(INDEX(醫師週班表!$C$5:$T$44,$CU42,AK$57),""),1),""),IF(MID(IFERROR(INDEX(醫師週班表!$C$5:$T$44,$CU42,AK$57),""),2,1)="(",LEFT(IFERROR(INDEX(醫師週班表!$C$5:$T$44,$CU42,AK$57),""),1),IFERROR(INDEX(醫師週班表!$C$5:$T$44,$CU42,AK$57),"")))))))</f>
        <v/>
      </c>
      <c r="AL42" s="67">
        <f>IF(AL$59="X","",IF(AL$59&lt;&gt;"",AL$59,IF(IFERROR(INDEX(醫師週班表!$C$5:$T$44,$CU42,AL$57),"")=0,"",IF(MID(IFERROR(INDEX(醫師週班表!$C$5:$T$44,$CU42,AL$57),""),2,1)="/",MID(IFERROR(INDEX(醫師週班表!$C$5:$T$44,$CU42,AL$57),""),1+AL$58*2,1),IF(MID(IFERROR(INDEX(醫師週班表!$C$5:$T$44,$CU42,AL$57),""),3,1)="隔",IF(AL$58=0,LEFT(IFERROR(INDEX(醫師週班表!$C$5:$T$44,$CU42,AL$57),""),1),""),IF(MID(IFERROR(INDEX(醫師週班表!$C$5:$T$44,$CU42,AL$57),""),2,1)="(",LEFT(IFERROR(INDEX(醫師週班表!$C$5:$T$44,$CU42,AL$57),""),1),IFERROR(INDEX(醫師週班表!$C$5:$T$44,$CU42,AL$57),"")))))))</f>
        <v/>
      </c>
      <c r="AM42" s="68">
        <f>IF(AM$59="X","",IF(AM$59&lt;&gt;"",AM$59,IF(IFERROR(INDEX(醫師週班表!$C$5:$T$44,$CU42,AM$57),"")=0,"",IF(MID(IFERROR(INDEX(醫師週班表!$C$5:$T$44,$CU42,AM$57),""),2,1)="/",MID(IFERROR(INDEX(醫師週班表!$C$5:$T$44,$CU42,AM$57),""),1+AM$58*2,1),IF(MID(IFERROR(INDEX(醫師週班表!$C$5:$T$44,$CU42,AM$57),""),3,1)="隔",IF(AM$58=0,LEFT(IFERROR(INDEX(醫師週班表!$C$5:$T$44,$CU42,AM$57),""),1),""),IF(MID(IFERROR(INDEX(醫師週班表!$C$5:$T$44,$CU42,AM$57),""),2,1)="(",LEFT(IFERROR(INDEX(醫師週班表!$C$5:$T$44,$CU42,AM$57),""),1),IFERROR(INDEX(醫師週班表!$C$5:$T$44,$CU42,AM$57),"")))))))</f>
        <v/>
      </c>
      <c r="AN42" s="68">
        <f>IF(AN$59="X","",IF(AN$59&lt;&gt;"",AN$59,IF(IFERROR(INDEX(醫師週班表!$C$5:$T$44,$CU42,AN$57),"")=0,"",IF(MID(IFERROR(INDEX(醫師週班表!$C$5:$T$44,$CU42,AN$57),""),2,1)="/",MID(IFERROR(INDEX(醫師週班表!$C$5:$T$44,$CU42,AN$57),""),1+AN$58*2,1),IF(MID(IFERROR(INDEX(醫師週班表!$C$5:$T$44,$CU42,AN$57),""),3,1)="隔",IF(AN$58=0,LEFT(IFERROR(INDEX(醫師週班表!$C$5:$T$44,$CU42,AN$57),""),1),""),IF(MID(IFERROR(INDEX(醫師週班表!$C$5:$T$44,$CU42,AN$57),""),2,1)="(",LEFT(IFERROR(INDEX(醫師週班表!$C$5:$T$44,$CU42,AN$57),""),1),IFERROR(INDEX(醫師週班表!$C$5:$T$44,$CU42,AN$57),"")))))))</f>
        <v/>
      </c>
      <c r="AO42" s="67">
        <f>IF(AO$59="X","",IF(AO$59&lt;&gt;"",AO$59,IF(IFERROR(INDEX(醫師週班表!$C$5:$T$44,$CU42,AO$57),"")=0,"",IF(MID(IFERROR(INDEX(醫師週班表!$C$5:$T$44,$CU42,AO$57),""),2,1)="/",MID(IFERROR(INDEX(醫師週班表!$C$5:$T$44,$CU42,AO$57),""),1+AO$58*2,1),IF(MID(IFERROR(INDEX(醫師週班表!$C$5:$T$44,$CU42,AO$57),""),3,1)="隔",IF(AO$58=0,LEFT(IFERROR(INDEX(醫師週班表!$C$5:$T$44,$CU42,AO$57),""),1),""),IF(MID(IFERROR(INDEX(醫師週班表!$C$5:$T$44,$CU42,AO$57),""),2,1)="(",LEFT(IFERROR(INDEX(醫師週班表!$C$5:$T$44,$CU42,AO$57),""),1),IFERROR(INDEX(醫師週班表!$C$5:$T$44,$CU42,AO$57),"")))))))</f>
        <v/>
      </c>
      <c r="AP42" s="68">
        <f>IF(AP$59="X","",IF(AP$59&lt;&gt;"",AP$59,IF(IFERROR(INDEX(醫師週班表!$C$5:$T$44,$CU42,AP$57),"")=0,"",IF(MID(IFERROR(INDEX(醫師週班表!$C$5:$T$44,$CU42,AP$57),""),2,1)="/",MID(IFERROR(INDEX(醫師週班表!$C$5:$T$44,$CU42,AP$57),""),1+AP$58*2,1),IF(MID(IFERROR(INDEX(醫師週班表!$C$5:$T$44,$CU42,AP$57),""),3,1)="隔",IF(AP$58=0,LEFT(IFERROR(INDEX(醫師週班表!$C$5:$T$44,$CU42,AP$57),""),1),""),IF(MID(IFERROR(INDEX(醫師週班表!$C$5:$T$44,$CU42,AP$57),""),2,1)="(",LEFT(IFERROR(INDEX(醫師週班表!$C$5:$T$44,$CU42,AP$57),""),1),IFERROR(INDEX(醫師週班表!$C$5:$T$44,$CU42,AP$57),"")))))))</f>
        <v/>
      </c>
      <c r="AQ42" s="68">
        <f>IF(AQ$59="X","",IF(AQ$59&lt;&gt;"",AQ$59,IF(IFERROR(INDEX(醫師週班表!$C$5:$T$44,$CU42,AQ$57),"")=0,"",IF(MID(IFERROR(INDEX(醫師週班表!$C$5:$T$44,$CU42,AQ$57),""),2,1)="/",MID(IFERROR(INDEX(醫師週班表!$C$5:$T$44,$CU42,AQ$57),""),1+AQ$58*2,1),IF(MID(IFERROR(INDEX(醫師週班表!$C$5:$T$44,$CU42,AQ$57),""),3,1)="隔",IF(AQ$58=0,LEFT(IFERROR(INDEX(醫師週班表!$C$5:$T$44,$CU42,AQ$57),""),1),""),IF(MID(IFERROR(INDEX(醫師週班表!$C$5:$T$44,$CU42,AQ$57),""),2,1)="(",LEFT(IFERROR(INDEX(醫師週班表!$C$5:$T$44,$CU42,AQ$57),""),1),IFERROR(INDEX(醫師週班表!$C$5:$T$44,$CU42,AQ$57),"")))))))</f>
        <v/>
      </c>
      <c r="AR42" s="67">
        <f>IF(AR$59="X","",IF(AR$59&lt;&gt;"",AR$59,IF(IFERROR(INDEX(醫師週班表!$C$5:$T$44,$CU42,AR$57),"")=0,"",IF(MID(IFERROR(INDEX(醫師週班表!$C$5:$T$44,$CU42,AR$57),""),2,1)="/",MID(IFERROR(INDEX(醫師週班表!$C$5:$T$44,$CU42,AR$57),""),1+AR$58*2,1),IF(MID(IFERROR(INDEX(醫師週班表!$C$5:$T$44,$CU42,AR$57),""),3,1)="隔",IF(AR$58=0,LEFT(IFERROR(INDEX(醫師週班表!$C$5:$T$44,$CU42,AR$57),""),1),""),IF(MID(IFERROR(INDEX(醫師週班表!$C$5:$T$44,$CU42,AR$57),""),2,1)="(",LEFT(IFERROR(INDEX(醫師週班表!$C$5:$T$44,$CU42,AR$57),""),1),IFERROR(INDEX(醫師週班表!$C$5:$T$44,$CU42,AR$57),"")))))))</f>
        <v/>
      </c>
      <c r="AS42" s="68">
        <f>IF(AS$59="X","",IF(AS$59&lt;&gt;"",AS$59,IF(IFERROR(INDEX(醫師週班表!$C$5:$T$44,$CU42,AS$57),"")=0,"",IF(MID(IFERROR(INDEX(醫師週班表!$C$5:$T$44,$CU42,AS$57),""),2,1)="/",MID(IFERROR(INDEX(醫師週班表!$C$5:$T$44,$CU42,AS$57),""),1+AS$58*2,1),IF(MID(IFERROR(INDEX(醫師週班表!$C$5:$T$44,$CU42,AS$57),""),3,1)="隔",IF(AS$58=0,LEFT(IFERROR(INDEX(醫師週班表!$C$5:$T$44,$CU42,AS$57),""),1),""),IF(MID(IFERROR(INDEX(醫師週班表!$C$5:$T$44,$CU42,AS$57),""),2,1)="(",LEFT(IFERROR(INDEX(醫師週班表!$C$5:$T$44,$CU42,AS$57),""),1),IFERROR(INDEX(醫師週班表!$C$5:$T$44,$CU42,AS$57),"")))))))</f>
        <v/>
      </c>
      <c r="AT42" s="68">
        <f>IF(AT$59="X","",IF(AT$59&lt;&gt;"",AT$59,IF(IFERROR(INDEX(醫師週班表!$C$5:$T$44,$CU42,AT$57),"")=0,"",IF(MID(IFERROR(INDEX(醫師週班表!$C$5:$T$44,$CU42,AT$57),""),2,1)="/",MID(IFERROR(INDEX(醫師週班表!$C$5:$T$44,$CU42,AT$57),""),1+AT$58*2,1),IF(MID(IFERROR(INDEX(醫師週班表!$C$5:$T$44,$CU42,AT$57),""),3,1)="隔",IF(AT$58=0,LEFT(IFERROR(INDEX(醫師週班表!$C$5:$T$44,$CU42,AT$57),""),1),""),IF(MID(IFERROR(INDEX(醫師週班表!$C$5:$T$44,$CU42,AT$57),""),2,1)="(",LEFT(IFERROR(INDEX(醫師週班表!$C$5:$T$44,$CU42,AT$57),""),1),IFERROR(INDEX(醫師週班表!$C$5:$T$44,$CU42,AT$57),"")))))))</f>
        <v/>
      </c>
      <c r="AU42" s="67">
        <f>IF(AU$59="X","",IF(AU$59&lt;&gt;"",AU$59,IF(IFERROR(INDEX(醫師週班表!$C$5:$T$44,$CU42,AU$57),"")=0,"",IF(MID(IFERROR(INDEX(醫師週班表!$C$5:$T$44,$CU42,AU$57),""),2,1)="/",MID(IFERROR(INDEX(醫師週班表!$C$5:$T$44,$CU42,AU$57),""),1+AU$58*2,1),IF(MID(IFERROR(INDEX(醫師週班表!$C$5:$T$44,$CU42,AU$57),""),3,1)="隔",IF(AU$58=0,LEFT(IFERROR(INDEX(醫師週班表!$C$5:$T$44,$CU42,AU$57),""),1),""),IF(MID(IFERROR(INDEX(醫師週班表!$C$5:$T$44,$CU42,AU$57),""),2,1)="(",LEFT(IFERROR(INDEX(醫師週班表!$C$5:$T$44,$CU42,AU$57),""),1),IFERROR(INDEX(醫師週班表!$C$5:$T$44,$CU42,AU$57),"")))))))</f>
        <v/>
      </c>
      <c r="AV42" s="68">
        <f>IF(AV$59="X","",IF(AV$59&lt;&gt;"",AV$59,IF(IFERROR(INDEX(醫師週班表!$C$5:$T$44,$CU42,AV$57),"")=0,"",IF(MID(IFERROR(INDEX(醫師週班表!$C$5:$T$44,$CU42,AV$57),""),2,1)="/",MID(IFERROR(INDEX(醫師週班表!$C$5:$T$44,$CU42,AV$57),""),1+AV$58*2,1),IF(MID(IFERROR(INDEX(醫師週班表!$C$5:$T$44,$CU42,AV$57),""),3,1)="隔",IF(AV$58=0,LEFT(IFERROR(INDEX(醫師週班表!$C$5:$T$44,$CU42,AV$57),""),1),""),IF(MID(IFERROR(INDEX(醫師週班表!$C$5:$T$44,$CU42,AV$57),""),2,1)="(",LEFT(IFERROR(INDEX(醫師週班表!$C$5:$T$44,$CU42,AV$57),""),1),IFERROR(INDEX(醫師週班表!$C$5:$T$44,$CU42,AV$57),"")))))))</f>
        <v/>
      </c>
      <c r="AW42" s="68">
        <f>IF(AW$59="X","",IF(AW$59&lt;&gt;"",AW$59,IF(IFERROR(INDEX(醫師週班表!$C$5:$T$44,$CU42,AW$57),"")=0,"",IF(MID(IFERROR(INDEX(醫師週班表!$C$5:$T$44,$CU42,AW$57),""),2,1)="/",MID(IFERROR(INDEX(醫師週班表!$C$5:$T$44,$CU42,AW$57),""),1+AW$58*2,1),IF(MID(IFERROR(INDEX(醫師週班表!$C$5:$T$44,$CU42,AW$57),""),3,1)="隔",IF(AW$58=0,LEFT(IFERROR(INDEX(醫師週班表!$C$5:$T$44,$CU42,AW$57),""),1),""),IF(MID(IFERROR(INDEX(醫師週班表!$C$5:$T$44,$CU42,AW$57),""),2,1)="(",LEFT(IFERROR(INDEX(醫師週班表!$C$5:$T$44,$CU42,AW$57),""),1),IFERROR(INDEX(醫師週班表!$C$5:$T$44,$CU42,AW$57),"")))))))</f>
        <v/>
      </c>
      <c r="AX42" s="67">
        <f>IF(AX$59="X","",IF(AX$59&lt;&gt;"",AX$59,IF(IFERROR(INDEX(醫師週班表!$C$5:$T$44,$CU42,AX$57),"")=0,"",IF(MID(IFERROR(INDEX(醫師週班表!$C$5:$T$44,$CU42,AX$57),""),2,1)="/",MID(IFERROR(INDEX(醫師週班表!$C$5:$T$44,$CU42,AX$57),""),1+AX$58*2,1),IF(MID(IFERROR(INDEX(醫師週班表!$C$5:$T$44,$CU42,AX$57),""),3,1)="隔",IF(AX$58=0,LEFT(IFERROR(INDEX(醫師週班表!$C$5:$T$44,$CU42,AX$57),""),1),""),IF(MID(IFERROR(INDEX(醫師週班表!$C$5:$T$44,$CU42,AX$57),""),2,1)="(",LEFT(IFERROR(INDEX(醫師週班表!$C$5:$T$44,$CU42,AX$57),""),1),IFERROR(INDEX(醫師週班表!$C$5:$T$44,$CU42,AX$57),"")))))))</f>
        <v/>
      </c>
      <c r="AY42" s="68">
        <f>IF(AY$59="X","",IF(AY$59&lt;&gt;"",AY$59,IF(IFERROR(INDEX(醫師週班表!$C$5:$T$44,$CU42,AY$57),"")=0,"",IF(MID(IFERROR(INDEX(醫師週班表!$C$5:$T$44,$CU42,AY$57),""),2,1)="/",MID(IFERROR(INDEX(醫師週班表!$C$5:$T$44,$CU42,AY$57),""),1+AY$58*2,1),IF(MID(IFERROR(INDEX(醫師週班表!$C$5:$T$44,$CU42,AY$57),""),3,1)="隔",IF(AY$58=0,LEFT(IFERROR(INDEX(醫師週班表!$C$5:$T$44,$CU42,AY$57),""),1),""),IF(MID(IFERROR(INDEX(醫師週班表!$C$5:$T$44,$CU42,AY$57),""),2,1)="(",LEFT(IFERROR(INDEX(醫師週班表!$C$5:$T$44,$CU42,AY$57),""),1),IFERROR(INDEX(醫師週班表!$C$5:$T$44,$CU42,AY$57),"")))))))</f>
        <v/>
      </c>
      <c r="AZ42" s="68">
        <f>IF(AZ$59="X","",IF(AZ$59&lt;&gt;"",AZ$59,IF(IFERROR(INDEX(醫師週班表!$C$5:$T$44,$CU42,AZ$57),"")=0,"",IF(MID(IFERROR(INDEX(醫師週班表!$C$5:$T$44,$CU42,AZ$57),""),2,1)="/",MID(IFERROR(INDEX(醫師週班表!$C$5:$T$44,$CU42,AZ$57),""),1+AZ$58*2,1),IF(MID(IFERROR(INDEX(醫師週班表!$C$5:$T$44,$CU42,AZ$57),""),3,1)="隔",IF(AZ$58=0,LEFT(IFERROR(INDEX(醫師週班表!$C$5:$T$44,$CU42,AZ$57),""),1),""),IF(MID(IFERROR(INDEX(醫師週班表!$C$5:$T$44,$CU42,AZ$57),""),2,1)="(",LEFT(IFERROR(INDEX(醫師週班表!$C$5:$T$44,$CU42,AZ$57),""),1),IFERROR(INDEX(醫師週班表!$C$5:$T$44,$CU42,AZ$57),"")))))))</f>
        <v/>
      </c>
      <c r="BA42" s="67">
        <f>IF(BA$59="X","",IF(BA$59&lt;&gt;"",BA$59,IF(IFERROR(INDEX(醫師週班表!$C$5:$T$44,$CU42,BA$57),"")=0,"",IF(MID(IFERROR(INDEX(醫師週班表!$C$5:$T$44,$CU42,BA$57),""),2,1)="/",MID(IFERROR(INDEX(醫師週班表!$C$5:$T$44,$CU42,BA$57),""),1+BA$58*2,1),IF(MID(IFERROR(INDEX(醫師週班表!$C$5:$T$44,$CU42,BA$57),""),3,1)="隔",IF(BA$58=0,LEFT(IFERROR(INDEX(醫師週班表!$C$5:$T$44,$CU42,BA$57),""),1),""),IF(MID(IFERROR(INDEX(醫師週班表!$C$5:$T$44,$CU42,BA$57),""),2,1)="(",LEFT(IFERROR(INDEX(醫師週班表!$C$5:$T$44,$CU42,BA$57),""),1),IFERROR(INDEX(醫師週班表!$C$5:$T$44,$CU42,BA$57),"")))))))</f>
        <v/>
      </c>
      <c r="BB42" s="68">
        <f>IF(BB$59="X","",IF(BB$59&lt;&gt;"",BB$59,IF(IFERROR(INDEX(醫師週班表!$C$5:$T$44,$CU42,BB$57),"")=0,"",IF(MID(IFERROR(INDEX(醫師週班表!$C$5:$T$44,$CU42,BB$57),""),2,1)="/",MID(IFERROR(INDEX(醫師週班表!$C$5:$T$44,$CU42,BB$57),""),1+BB$58*2,1),IF(MID(IFERROR(INDEX(醫師週班表!$C$5:$T$44,$CU42,BB$57),""),3,1)="隔",IF(BB$58=0,LEFT(IFERROR(INDEX(醫師週班表!$C$5:$T$44,$CU42,BB$57),""),1),""),IF(MID(IFERROR(INDEX(醫師週班表!$C$5:$T$44,$CU42,BB$57),""),2,1)="(",LEFT(IFERROR(INDEX(醫師週班表!$C$5:$T$44,$CU42,BB$57),""),1),IFERROR(INDEX(醫師週班表!$C$5:$T$44,$CU42,BB$57),"")))))))</f>
        <v/>
      </c>
      <c r="BC42" s="68">
        <f>IF(BC$59="X","",IF(BC$59&lt;&gt;"",BC$59,IF(IFERROR(INDEX(醫師週班表!$C$5:$T$44,$CU42,BC$57),"")=0,"",IF(MID(IFERROR(INDEX(醫師週班表!$C$5:$T$44,$CU42,BC$57),""),2,1)="/",MID(IFERROR(INDEX(醫師週班表!$C$5:$T$44,$CU42,BC$57),""),1+BC$58*2,1),IF(MID(IFERROR(INDEX(醫師週班表!$C$5:$T$44,$CU42,BC$57),""),3,1)="隔",IF(BC$58=0,LEFT(IFERROR(INDEX(醫師週班表!$C$5:$T$44,$CU42,BC$57),""),1),""),IF(MID(IFERROR(INDEX(醫師週班表!$C$5:$T$44,$CU42,BC$57),""),2,1)="(",LEFT(IFERROR(INDEX(醫師週班表!$C$5:$T$44,$CU42,BC$57),""),1),IFERROR(INDEX(醫師週班表!$C$5:$T$44,$CU42,BC$57),"")))))))</f>
        <v/>
      </c>
      <c r="BD42" s="67">
        <f>IF(BD$59="X","",IF(BD$59&lt;&gt;"",BD$59,IF(IFERROR(INDEX(醫師週班表!$C$5:$T$44,$CU42,BD$57),"")=0,"",IF(MID(IFERROR(INDEX(醫師週班表!$C$5:$T$44,$CU42,BD$57),""),2,1)="/",MID(IFERROR(INDEX(醫師週班表!$C$5:$T$44,$CU42,BD$57),""),1+BD$58*2,1),IF(MID(IFERROR(INDEX(醫師週班表!$C$5:$T$44,$CU42,BD$57),""),3,1)="隔",IF(BD$58=0,LEFT(IFERROR(INDEX(醫師週班表!$C$5:$T$44,$CU42,BD$57),""),1),""),IF(MID(IFERROR(INDEX(醫師週班表!$C$5:$T$44,$CU42,BD$57),""),2,1)="(",LEFT(IFERROR(INDEX(醫師週班表!$C$5:$T$44,$CU42,BD$57),""),1),IFERROR(INDEX(醫師週班表!$C$5:$T$44,$CU42,BD$57),"")))))))</f>
        <v/>
      </c>
      <c r="BE42" s="68">
        <f>IF(BE$59="X","",IF(BE$59&lt;&gt;"",BE$59,IF(IFERROR(INDEX(醫師週班表!$C$5:$T$44,$CU42,BE$57),"")=0,"",IF(MID(IFERROR(INDEX(醫師週班表!$C$5:$T$44,$CU42,BE$57),""),2,1)="/",MID(IFERROR(INDEX(醫師週班表!$C$5:$T$44,$CU42,BE$57),""),1+BE$58*2,1),IF(MID(IFERROR(INDEX(醫師週班表!$C$5:$T$44,$CU42,BE$57),""),3,1)="隔",IF(BE$58=0,LEFT(IFERROR(INDEX(醫師週班表!$C$5:$T$44,$CU42,BE$57),""),1),""),IF(MID(IFERROR(INDEX(醫師週班表!$C$5:$T$44,$CU42,BE$57),""),2,1)="(",LEFT(IFERROR(INDEX(醫師週班表!$C$5:$T$44,$CU42,BE$57),""),1),IFERROR(INDEX(醫師週班表!$C$5:$T$44,$CU42,BE$57),"")))))))</f>
        <v/>
      </c>
      <c r="BF42" s="68">
        <f>IF(BF$59="X","",IF(BF$59&lt;&gt;"",BF$59,IF(IFERROR(INDEX(醫師週班表!$C$5:$T$44,$CU42,BF$57),"")=0,"",IF(MID(IFERROR(INDEX(醫師週班表!$C$5:$T$44,$CU42,BF$57),""),2,1)="/",MID(IFERROR(INDEX(醫師週班表!$C$5:$T$44,$CU42,BF$57),""),1+BF$58*2,1),IF(MID(IFERROR(INDEX(醫師週班表!$C$5:$T$44,$CU42,BF$57),""),3,1)="隔",IF(BF$58=0,LEFT(IFERROR(INDEX(醫師週班表!$C$5:$T$44,$CU42,BF$57),""),1),""),IF(MID(IFERROR(INDEX(醫師週班表!$C$5:$T$44,$CU42,BF$57),""),2,1)="(",LEFT(IFERROR(INDEX(醫師週班表!$C$5:$T$44,$CU42,BF$57),""),1),IFERROR(INDEX(醫師週班表!$C$5:$T$44,$CU42,BF$57),"")))))))</f>
        <v/>
      </c>
      <c r="BG42" s="67">
        <f>IF(BG$59="X","",IF(BG$59&lt;&gt;"",BG$59,IF(IFERROR(INDEX(醫師週班表!$C$5:$T$44,$CU42,BG$57),"")=0,"",IF(MID(IFERROR(INDEX(醫師週班表!$C$5:$T$44,$CU42,BG$57),""),2,1)="/",MID(IFERROR(INDEX(醫師週班表!$C$5:$T$44,$CU42,BG$57),""),1+BG$58*2,1),IF(MID(IFERROR(INDEX(醫師週班表!$C$5:$T$44,$CU42,BG$57),""),3,1)="隔",IF(BG$58=0,LEFT(IFERROR(INDEX(醫師週班表!$C$5:$T$44,$CU42,BG$57),""),1),""),IF(MID(IFERROR(INDEX(醫師週班表!$C$5:$T$44,$CU42,BG$57),""),2,1)="(",LEFT(IFERROR(INDEX(醫師週班表!$C$5:$T$44,$CU42,BG$57),""),1),IFERROR(INDEX(醫師週班表!$C$5:$T$44,$CU42,BG$57),"")))))))</f>
        <v/>
      </c>
      <c r="BH42" s="68">
        <f>IF(BH$59="X","",IF(BH$59&lt;&gt;"",BH$59,IF(IFERROR(INDEX(醫師週班表!$C$5:$T$44,$CU42,BH$57),"")=0,"",IF(MID(IFERROR(INDEX(醫師週班表!$C$5:$T$44,$CU42,BH$57),""),2,1)="/",MID(IFERROR(INDEX(醫師週班表!$C$5:$T$44,$CU42,BH$57),""),1+BH$58*2,1),IF(MID(IFERROR(INDEX(醫師週班表!$C$5:$T$44,$CU42,BH$57),""),3,1)="隔",IF(BH$58=0,LEFT(IFERROR(INDEX(醫師週班表!$C$5:$T$44,$CU42,BH$57),""),1),""),IF(MID(IFERROR(INDEX(醫師週班表!$C$5:$T$44,$CU42,BH$57),""),2,1)="(",LEFT(IFERROR(INDEX(醫師週班表!$C$5:$T$44,$CU42,BH$57),""),1),IFERROR(INDEX(醫師週班表!$C$5:$T$44,$CU42,BH$57),"")))))))</f>
        <v/>
      </c>
      <c r="BI42" s="68">
        <f>IF(BI$59="X","",IF(BI$59&lt;&gt;"",BI$59,IF(IFERROR(INDEX(醫師週班表!$C$5:$T$44,$CU42,BI$57),"")=0,"",IF(MID(IFERROR(INDEX(醫師週班表!$C$5:$T$44,$CU42,BI$57),""),2,1)="/",MID(IFERROR(INDEX(醫師週班表!$C$5:$T$44,$CU42,BI$57),""),1+BI$58*2,1),IF(MID(IFERROR(INDEX(醫師週班表!$C$5:$T$44,$CU42,BI$57),""),3,1)="隔",IF(BI$58=0,LEFT(IFERROR(INDEX(醫師週班表!$C$5:$T$44,$CU42,BI$57),""),1),""),IF(MID(IFERROR(INDEX(醫師週班表!$C$5:$T$44,$CU42,BI$57),""),2,1)="(",LEFT(IFERROR(INDEX(醫師週班表!$C$5:$T$44,$CU42,BI$57),""),1),IFERROR(INDEX(醫師週班表!$C$5:$T$44,$CU42,BI$57),"")))))))</f>
        <v/>
      </c>
      <c r="BJ42" s="67">
        <f>IF(BJ$59="X","",IF(BJ$59&lt;&gt;"",BJ$59,IF(IFERROR(INDEX(醫師週班表!$C$5:$T$44,$CU42,BJ$57),"")=0,"",IF(MID(IFERROR(INDEX(醫師週班表!$C$5:$T$44,$CU42,BJ$57),""),2,1)="/",MID(IFERROR(INDEX(醫師週班表!$C$5:$T$44,$CU42,BJ$57),""),1+BJ$58*2,1),IF(MID(IFERROR(INDEX(醫師週班表!$C$5:$T$44,$CU42,BJ$57),""),3,1)="隔",IF(BJ$58=0,LEFT(IFERROR(INDEX(醫師週班表!$C$5:$T$44,$CU42,BJ$57),""),1),""),IF(MID(IFERROR(INDEX(醫師週班表!$C$5:$T$44,$CU42,BJ$57),""),2,1)="(",LEFT(IFERROR(INDEX(醫師週班表!$C$5:$T$44,$CU42,BJ$57),""),1),IFERROR(INDEX(醫師週班表!$C$5:$T$44,$CU42,BJ$57),"")))))))</f>
        <v/>
      </c>
      <c r="BK42" s="68">
        <f>IF(BK$59="X","",IF(BK$59&lt;&gt;"",BK$59,IF(IFERROR(INDEX(醫師週班表!$C$5:$T$44,$CU42,BK$57),"")=0,"",IF(MID(IFERROR(INDEX(醫師週班表!$C$5:$T$44,$CU42,BK$57),""),2,1)="/",MID(IFERROR(INDEX(醫師週班表!$C$5:$T$44,$CU42,BK$57),""),1+BK$58*2,1),IF(MID(IFERROR(INDEX(醫師週班表!$C$5:$T$44,$CU42,BK$57),""),3,1)="隔",IF(BK$58=0,LEFT(IFERROR(INDEX(醫師週班表!$C$5:$T$44,$CU42,BK$57),""),1),""),IF(MID(IFERROR(INDEX(醫師週班表!$C$5:$T$44,$CU42,BK$57),""),2,1)="(",LEFT(IFERROR(INDEX(醫師週班表!$C$5:$T$44,$CU42,BK$57),""),1),IFERROR(INDEX(醫師週班表!$C$5:$T$44,$CU42,BK$57),"")))))))</f>
        <v/>
      </c>
      <c r="BL42" s="68">
        <f>IF(BL$59="X","",IF(BL$59&lt;&gt;"",BL$59,IF(IFERROR(INDEX(醫師週班表!$C$5:$T$44,$CU42,BL$57),"")=0,"",IF(MID(IFERROR(INDEX(醫師週班表!$C$5:$T$44,$CU42,BL$57),""),2,1)="/",MID(IFERROR(INDEX(醫師週班表!$C$5:$T$44,$CU42,BL$57),""),1+BL$58*2,1),IF(MID(IFERROR(INDEX(醫師週班表!$C$5:$T$44,$CU42,BL$57),""),3,1)="隔",IF(BL$58=0,LEFT(IFERROR(INDEX(醫師週班表!$C$5:$T$44,$CU42,BL$57),""),1),""),IF(MID(IFERROR(INDEX(醫師週班表!$C$5:$T$44,$CU42,BL$57),""),2,1)="(",LEFT(IFERROR(INDEX(醫師週班表!$C$5:$T$44,$CU42,BL$57),""),1),IFERROR(INDEX(醫師週班表!$C$5:$T$44,$CU42,BL$57),"")))))))</f>
        <v/>
      </c>
      <c r="BM42" s="67">
        <f>IF(BM$59="X","",IF(BM$59&lt;&gt;"",BM$59,IF(IFERROR(INDEX(醫師週班表!$C$5:$T$44,$CU42,BM$57),"")=0,"",IF(MID(IFERROR(INDEX(醫師週班表!$C$5:$T$44,$CU42,BM$57),""),2,1)="/",MID(IFERROR(INDEX(醫師週班表!$C$5:$T$44,$CU42,BM$57),""),1+BM$58*2,1),IF(MID(IFERROR(INDEX(醫師週班表!$C$5:$T$44,$CU42,BM$57),""),3,1)="隔",IF(BM$58=0,LEFT(IFERROR(INDEX(醫師週班表!$C$5:$T$44,$CU42,BM$57),""),1),""),IF(MID(IFERROR(INDEX(醫師週班表!$C$5:$T$44,$CU42,BM$57),""),2,1)="(",LEFT(IFERROR(INDEX(醫師週班表!$C$5:$T$44,$CU42,BM$57),""),1),IFERROR(INDEX(醫師週班表!$C$5:$T$44,$CU42,BM$57),"")))))))</f>
        <v/>
      </c>
      <c r="BN42" s="68">
        <f>IF(BN$59="X","",IF(BN$59&lt;&gt;"",BN$59,IF(IFERROR(INDEX(醫師週班表!$C$5:$T$44,$CU42,BN$57),"")=0,"",IF(MID(IFERROR(INDEX(醫師週班表!$C$5:$T$44,$CU42,BN$57),""),2,1)="/",MID(IFERROR(INDEX(醫師週班表!$C$5:$T$44,$CU42,BN$57),""),1+BN$58*2,1),IF(MID(IFERROR(INDEX(醫師週班表!$C$5:$T$44,$CU42,BN$57),""),3,1)="隔",IF(BN$58=0,LEFT(IFERROR(INDEX(醫師週班表!$C$5:$T$44,$CU42,BN$57),""),1),""),IF(MID(IFERROR(INDEX(醫師週班表!$C$5:$T$44,$CU42,BN$57),""),2,1)="(",LEFT(IFERROR(INDEX(醫師週班表!$C$5:$T$44,$CU42,BN$57),""),1),IFERROR(INDEX(醫師週班表!$C$5:$T$44,$CU42,BN$57),"")))))))</f>
        <v/>
      </c>
      <c r="BO42" s="68">
        <f>IF(BO$59="X","",IF(BO$59&lt;&gt;"",BO$59,IF(IFERROR(INDEX(醫師週班表!$C$5:$T$44,$CU42,BO$57),"")=0,"",IF(MID(IFERROR(INDEX(醫師週班表!$C$5:$T$44,$CU42,BO$57),""),2,1)="/",MID(IFERROR(INDEX(醫師週班表!$C$5:$T$44,$CU42,BO$57),""),1+BO$58*2,1),IF(MID(IFERROR(INDEX(醫師週班表!$C$5:$T$44,$CU42,BO$57),""),3,1)="隔",IF(BO$58=0,LEFT(IFERROR(INDEX(醫師週班表!$C$5:$T$44,$CU42,BO$57),""),1),""),IF(MID(IFERROR(INDEX(醫師週班表!$C$5:$T$44,$CU42,BO$57),""),2,1)="(",LEFT(IFERROR(INDEX(醫師週班表!$C$5:$T$44,$CU42,BO$57),""),1),IFERROR(INDEX(醫師週班表!$C$5:$T$44,$CU42,BO$57),"")))))))</f>
        <v/>
      </c>
      <c r="BP42" s="67">
        <f>IF(BP$59="X","",IF(BP$59&lt;&gt;"",BP$59,IF(IFERROR(INDEX(醫師週班表!$C$5:$T$44,$CU42,BP$57),"")=0,"",IF(MID(IFERROR(INDEX(醫師週班表!$C$5:$T$44,$CU42,BP$57),""),2,1)="/",MID(IFERROR(INDEX(醫師週班表!$C$5:$T$44,$CU42,BP$57),""),1+BP$58*2,1),IF(MID(IFERROR(INDEX(醫師週班表!$C$5:$T$44,$CU42,BP$57),""),3,1)="隔",IF(BP$58=0,LEFT(IFERROR(INDEX(醫師週班表!$C$5:$T$44,$CU42,BP$57),""),1),""),IF(MID(IFERROR(INDEX(醫師週班表!$C$5:$T$44,$CU42,BP$57),""),2,1)="(",LEFT(IFERROR(INDEX(醫師週班表!$C$5:$T$44,$CU42,BP$57),""),1),IFERROR(INDEX(醫師週班表!$C$5:$T$44,$CU42,BP$57),"")))))))</f>
        <v/>
      </c>
      <c r="BQ42" s="68">
        <f>IF(BQ$59="X","",IF(BQ$59&lt;&gt;"",BQ$59,IF(IFERROR(INDEX(醫師週班表!$C$5:$T$44,$CU42,BQ$57),"")=0,"",IF(MID(IFERROR(INDEX(醫師週班表!$C$5:$T$44,$CU42,BQ$57),""),2,1)="/",MID(IFERROR(INDEX(醫師週班表!$C$5:$T$44,$CU42,BQ$57),""),1+BQ$58*2,1),IF(MID(IFERROR(INDEX(醫師週班表!$C$5:$T$44,$CU42,BQ$57),""),3,1)="隔",IF(BQ$58=0,LEFT(IFERROR(INDEX(醫師週班表!$C$5:$T$44,$CU42,BQ$57),""),1),""),IF(MID(IFERROR(INDEX(醫師週班表!$C$5:$T$44,$CU42,BQ$57),""),2,1)="(",LEFT(IFERROR(INDEX(醫師週班表!$C$5:$T$44,$CU42,BQ$57),""),1),IFERROR(INDEX(醫師週班表!$C$5:$T$44,$CU42,BQ$57),"")))))))</f>
        <v/>
      </c>
      <c r="BR42" s="68">
        <f>IF(BR$59="X","",IF(BR$59&lt;&gt;"",BR$59,IF(IFERROR(INDEX(醫師週班表!$C$5:$T$44,$CU42,BR$57),"")=0,"",IF(MID(IFERROR(INDEX(醫師週班表!$C$5:$T$44,$CU42,BR$57),""),2,1)="/",MID(IFERROR(INDEX(醫師週班表!$C$5:$T$44,$CU42,BR$57),""),1+BR$58*2,1),IF(MID(IFERROR(INDEX(醫師週班表!$C$5:$T$44,$CU42,BR$57),""),3,1)="隔",IF(BR$58=0,LEFT(IFERROR(INDEX(醫師週班表!$C$5:$T$44,$CU42,BR$57),""),1),""),IF(MID(IFERROR(INDEX(醫師週班表!$C$5:$T$44,$CU42,BR$57),""),2,1)="(",LEFT(IFERROR(INDEX(醫師週班表!$C$5:$T$44,$CU42,BR$57),""),1),IFERROR(INDEX(醫師週班表!$C$5:$T$44,$CU42,BR$57),"")))))))</f>
        <v/>
      </c>
      <c r="BS42" s="67">
        <f>IF(BS$59="X","",IF(BS$59&lt;&gt;"",BS$59,IF(IFERROR(INDEX(醫師週班表!$C$5:$T$44,$CU42,BS$57),"")=0,"",IF(MID(IFERROR(INDEX(醫師週班表!$C$5:$T$44,$CU42,BS$57),""),2,1)="/",MID(IFERROR(INDEX(醫師週班表!$C$5:$T$44,$CU42,BS$57),""),1+BS$58*2,1),IF(MID(IFERROR(INDEX(醫師週班表!$C$5:$T$44,$CU42,BS$57),""),3,1)="隔",IF(BS$58=0,LEFT(IFERROR(INDEX(醫師週班表!$C$5:$T$44,$CU42,BS$57),""),1),""),IF(MID(IFERROR(INDEX(醫師週班表!$C$5:$T$44,$CU42,BS$57),""),2,1)="(",LEFT(IFERROR(INDEX(醫師週班表!$C$5:$T$44,$CU42,BS$57),""),1),IFERROR(INDEX(醫師週班表!$C$5:$T$44,$CU42,BS$57),"")))))))</f>
        <v/>
      </c>
      <c r="BT42" s="68">
        <f>IF(BT$59="X","",IF(BT$59&lt;&gt;"",BT$59,IF(IFERROR(INDEX(醫師週班表!$C$5:$T$44,$CU42,BT$57),"")=0,"",IF(MID(IFERROR(INDEX(醫師週班表!$C$5:$T$44,$CU42,BT$57),""),2,1)="/",MID(IFERROR(INDEX(醫師週班表!$C$5:$T$44,$CU42,BT$57),""),1+BT$58*2,1),IF(MID(IFERROR(INDEX(醫師週班表!$C$5:$T$44,$CU42,BT$57),""),3,1)="隔",IF(BT$58=0,LEFT(IFERROR(INDEX(醫師週班表!$C$5:$T$44,$CU42,BT$57),""),1),""),IF(MID(IFERROR(INDEX(醫師週班表!$C$5:$T$44,$CU42,BT$57),""),2,1)="(",LEFT(IFERROR(INDEX(醫師週班表!$C$5:$T$44,$CU42,BT$57),""),1),IFERROR(INDEX(醫師週班表!$C$5:$T$44,$CU42,BT$57),"")))))))</f>
        <v/>
      </c>
      <c r="BU42" s="68">
        <f>IF(BU$59="X","",IF(BU$59&lt;&gt;"",BU$59,IF(IFERROR(INDEX(醫師週班表!$C$5:$T$44,$CU42,BU$57),"")=0,"",IF(MID(IFERROR(INDEX(醫師週班表!$C$5:$T$44,$CU42,BU$57),""),2,1)="/",MID(IFERROR(INDEX(醫師週班表!$C$5:$T$44,$CU42,BU$57),""),1+BU$58*2,1),IF(MID(IFERROR(INDEX(醫師週班表!$C$5:$T$44,$CU42,BU$57),""),3,1)="隔",IF(BU$58=0,LEFT(IFERROR(INDEX(醫師週班表!$C$5:$T$44,$CU42,BU$57),""),1),""),IF(MID(IFERROR(INDEX(醫師週班表!$C$5:$T$44,$CU42,BU$57),""),2,1)="(",LEFT(IFERROR(INDEX(醫師週班表!$C$5:$T$44,$CU42,BU$57),""),1),IFERROR(INDEX(醫師週班表!$C$5:$T$44,$CU42,BU$57),"")))))))</f>
        <v/>
      </c>
      <c r="BV42" s="67">
        <f>IF(BV$59="X","",IF(BV$59&lt;&gt;"",BV$59,IF(IFERROR(INDEX(醫師週班表!$C$5:$T$44,$CU42,BV$57),"")=0,"",IF(MID(IFERROR(INDEX(醫師週班表!$C$5:$T$44,$CU42,BV$57),""),2,1)="/",MID(IFERROR(INDEX(醫師週班表!$C$5:$T$44,$CU42,BV$57),""),1+BV$58*2,1),IF(MID(IFERROR(INDEX(醫師週班表!$C$5:$T$44,$CU42,BV$57),""),3,1)="隔",IF(BV$58=0,LEFT(IFERROR(INDEX(醫師週班表!$C$5:$T$44,$CU42,BV$57),""),1),""),IF(MID(IFERROR(INDEX(醫師週班表!$C$5:$T$44,$CU42,BV$57),""),2,1)="(",LEFT(IFERROR(INDEX(醫師週班表!$C$5:$T$44,$CU42,BV$57),""),1),IFERROR(INDEX(醫師週班表!$C$5:$T$44,$CU42,BV$57),"")))))))</f>
        <v/>
      </c>
      <c r="BW42" s="68">
        <f>IF(BW$59="X","",IF(BW$59&lt;&gt;"",BW$59,IF(IFERROR(INDEX(醫師週班表!$C$5:$T$44,$CU42,BW$57),"")=0,"",IF(MID(IFERROR(INDEX(醫師週班表!$C$5:$T$44,$CU42,BW$57),""),2,1)="/",MID(IFERROR(INDEX(醫師週班表!$C$5:$T$44,$CU42,BW$57),""),1+BW$58*2,1),IF(MID(IFERROR(INDEX(醫師週班表!$C$5:$T$44,$CU42,BW$57),""),3,1)="隔",IF(BW$58=0,LEFT(IFERROR(INDEX(醫師週班表!$C$5:$T$44,$CU42,BW$57),""),1),""),IF(MID(IFERROR(INDEX(醫師週班表!$C$5:$T$44,$CU42,BW$57),""),2,1)="(",LEFT(IFERROR(INDEX(醫師週班表!$C$5:$T$44,$CU42,BW$57),""),1),IFERROR(INDEX(醫師週班表!$C$5:$T$44,$CU42,BW$57),"")))))))</f>
        <v/>
      </c>
      <c r="BX42" s="68">
        <f>IF(BX$59="X","",IF(BX$59&lt;&gt;"",BX$59,IF(IFERROR(INDEX(醫師週班表!$C$5:$T$44,$CU42,BX$57),"")=0,"",IF(MID(IFERROR(INDEX(醫師週班表!$C$5:$T$44,$CU42,BX$57),""),2,1)="/",MID(IFERROR(INDEX(醫師週班表!$C$5:$T$44,$CU42,BX$57),""),1+BX$58*2,1),IF(MID(IFERROR(INDEX(醫師週班表!$C$5:$T$44,$CU42,BX$57),""),3,1)="隔",IF(BX$58=0,LEFT(IFERROR(INDEX(醫師週班表!$C$5:$T$44,$CU42,BX$57),""),1),""),IF(MID(IFERROR(INDEX(醫師週班表!$C$5:$T$44,$CU42,BX$57),""),2,1)="(",LEFT(IFERROR(INDEX(醫師週班表!$C$5:$T$44,$CU42,BX$57),""),1),IFERROR(INDEX(醫師週班表!$C$5:$T$44,$CU42,BX$57),"")))))))</f>
        <v/>
      </c>
      <c r="BY42" s="67">
        <f>IF(BY$59="X","",IF(BY$59&lt;&gt;"",BY$59,IF(IFERROR(INDEX(醫師週班表!$C$5:$T$44,$CU42,BY$57),"")=0,"",IF(MID(IFERROR(INDEX(醫師週班表!$C$5:$T$44,$CU42,BY$57),""),2,1)="/",MID(IFERROR(INDEX(醫師週班表!$C$5:$T$44,$CU42,BY$57),""),1+BY$58*2,1),IF(MID(IFERROR(INDEX(醫師週班表!$C$5:$T$44,$CU42,BY$57),""),3,1)="隔",IF(BY$58=0,LEFT(IFERROR(INDEX(醫師週班表!$C$5:$T$44,$CU42,BY$57),""),1),""),IF(MID(IFERROR(INDEX(醫師週班表!$C$5:$T$44,$CU42,BY$57),""),2,1)="(",LEFT(IFERROR(INDEX(醫師週班表!$C$5:$T$44,$CU42,BY$57),""),1),IFERROR(INDEX(醫師週班表!$C$5:$T$44,$CU42,BY$57),"")))))))</f>
        <v/>
      </c>
      <c r="BZ42" s="68">
        <f>IF(BZ$59="X","",IF(BZ$59&lt;&gt;"",BZ$59,IF(IFERROR(INDEX(醫師週班表!$C$5:$T$44,$CU42,BZ$57),"")=0,"",IF(MID(IFERROR(INDEX(醫師週班表!$C$5:$T$44,$CU42,BZ$57),""),2,1)="/",MID(IFERROR(INDEX(醫師週班表!$C$5:$T$44,$CU42,BZ$57),""),1+BZ$58*2,1),IF(MID(IFERROR(INDEX(醫師週班表!$C$5:$T$44,$CU42,BZ$57),""),3,1)="隔",IF(BZ$58=0,LEFT(IFERROR(INDEX(醫師週班表!$C$5:$T$44,$CU42,BZ$57),""),1),""),IF(MID(IFERROR(INDEX(醫師週班表!$C$5:$T$44,$CU42,BZ$57),""),2,1)="(",LEFT(IFERROR(INDEX(醫師週班表!$C$5:$T$44,$CU42,BZ$57),""),1),IFERROR(INDEX(醫師週班表!$C$5:$T$44,$CU42,BZ$57),"")))))))</f>
        <v/>
      </c>
      <c r="CA42" s="68">
        <f>IF(CA$59="X","",IF(CA$59&lt;&gt;"",CA$59,IF(IFERROR(INDEX(醫師週班表!$C$5:$T$44,$CU42,CA$57),"")=0,"",IF(MID(IFERROR(INDEX(醫師週班表!$C$5:$T$44,$CU42,CA$57),""),2,1)="/",MID(IFERROR(INDEX(醫師週班表!$C$5:$T$44,$CU42,CA$57),""),1+CA$58*2,1),IF(MID(IFERROR(INDEX(醫師週班表!$C$5:$T$44,$CU42,CA$57),""),3,1)="隔",IF(CA$58=0,LEFT(IFERROR(INDEX(醫師週班表!$C$5:$T$44,$CU42,CA$57),""),1),""),IF(MID(IFERROR(INDEX(醫師週班表!$C$5:$T$44,$CU42,CA$57),""),2,1)="(",LEFT(IFERROR(INDEX(醫師週班表!$C$5:$T$44,$CU42,CA$57),""),1),IFERROR(INDEX(醫師週班表!$C$5:$T$44,$CU42,CA$57),"")))))))</f>
        <v/>
      </c>
      <c r="CB42" s="67">
        <f>IF(CB$59="X","",IF(CB$59&lt;&gt;"",CB$59,IF(IFERROR(INDEX(醫師週班表!$C$5:$T$44,$CU42,CB$57),"")=0,"",IF(MID(IFERROR(INDEX(醫師週班表!$C$5:$T$44,$CU42,CB$57),""),2,1)="/",MID(IFERROR(INDEX(醫師週班表!$C$5:$T$44,$CU42,CB$57),""),1+CB$58*2,1),IF(MID(IFERROR(INDEX(醫師週班表!$C$5:$T$44,$CU42,CB$57),""),3,1)="隔",IF(CB$58=0,LEFT(IFERROR(INDEX(醫師週班表!$C$5:$T$44,$CU42,CB$57),""),1),""),IF(MID(IFERROR(INDEX(醫師週班表!$C$5:$T$44,$CU42,CB$57),""),2,1)="(",LEFT(IFERROR(INDEX(醫師週班表!$C$5:$T$44,$CU42,CB$57),""),1),IFERROR(INDEX(醫師週班表!$C$5:$T$44,$CU42,CB$57),"")))))))</f>
        <v/>
      </c>
      <c r="CC42" s="68">
        <f>IF(CC$59="X","",IF(CC$59&lt;&gt;"",CC$59,IF(IFERROR(INDEX(醫師週班表!$C$5:$T$44,$CU42,CC$57),"")=0,"",IF(MID(IFERROR(INDEX(醫師週班表!$C$5:$T$44,$CU42,CC$57),""),2,1)="/",MID(IFERROR(INDEX(醫師週班表!$C$5:$T$44,$CU42,CC$57),""),1+CC$58*2,1),IF(MID(IFERROR(INDEX(醫師週班表!$C$5:$T$44,$CU42,CC$57),""),3,1)="隔",IF(CC$58=0,LEFT(IFERROR(INDEX(醫師週班表!$C$5:$T$44,$CU42,CC$57),""),1),""),IF(MID(IFERROR(INDEX(醫師週班表!$C$5:$T$44,$CU42,CC$57),""),2,1)="(",LEFT(IFERROR(INDEX(醫師週班表!$C$5:$T$44,$CU42,CC$57),""),1),IFERROR(INDEX(醫師週班表!$C$5:$T$44,$CU42,CC$57),"")))))))</f>
        <v/>
      </c>
      <c r="CD42" s="68">
        <f>IF(CD$59="X","",IF(CD$59&lt;&gt;"",CD$59,IF(IFERROR(INDEX(醫師週班表!$C$5:$T$44,$CU42,CD$57),"")=0,"",IF(MID(IFERROR(INDEX(醫師週班表!$C$5:$T$44,$CU42,CD$57),""),2,1)="/",MID(IFERROR(INDEX(醫師週班表!$C$5:$T$44,$CU42,CD$57),""),1+CD$58*2,1),IF(MID(IFERROR(INDEX(醫師週班表!$C$5:$T$44,$CU42,CD$57),""),3,1)="隔",IF(CD$58=0,LEFT(IFERROR(INDEX(醫師週班表!$C$5:$T$44,$CU42,CD$57),""),1),""),IF(MID(IFERROR(INDEX(醫師週班表!$C$5:$T$44,$CU42,CD$57),""),2,1)="(",LEFT(IFERROR(INDEX(醫師週班表!$C$5:$T$44,$CU42,CD$57),""),1),IFERROR(INDEX(醫師週班表!$C$5:$T$44,$CU42,CD$57),"")))))))</f>
        <v/>
      </c>
      <c r="CE42" s="67">
        <f>IF(CE$59="X","",IF(CE$59&lt;&gt;"",CE$59,IF(IFERROR(INDEX(醫師週班表!$C$5:$T$44,$CU42,CE$57),"")=0,"",IF(MID(IFERROR(INDEX(醫師週班表!$C$5:$T$44,$CU42,CE$57),""),2,1)="/",MID(IFERROR(INDEX(醫師週班表!$C$5:$T$44,$CU42,CE$57),""),1+CE$58*2,1),IF(MID(IFERROR(INDEX(醫師週班表!$C$5:$T$44,$CU42,CE$57),""),3,1)="隔",IF(CE$58=0,LEFT(IFERROR(INDEX(醫師週班表!$C$5:$T$44,$CU42,CE$57),""),1),""),IF(MID(IFERROR(INDEX(醫師週班表!$C$5:$T$44,$CU42,CE$57),""),2,1)="(",LEFT(IFERROR(INDEX(醫師週班表!$C$5:$T$44,$CU42,CE$57),""),1),IFERROR(INDEX(醫師週班表!$C$5:$T$44,$CU42,CE$57),"")))))))</f>
        <v/>
      </c>
      <c r="CF42" s="68">
        <f>IF(CF$59="X","",IF(CF$59&lt;&gt;"",CF$59,IF(IFERROR(INDEX(醫師週班表!$C$5:$T$44,$CU42,CF$57),"")=0,"",IF(MID(IFERROR(INDEX(醫師週班表!$C$5:$T$44,$CU42,CF$57),""),2,1)="/",MID(IFERROR(INDEX(醫師週班表!$C$5:$T$44,$CU42,CF$57),""),1+CF$58*2,1),IF(MID(IFERROR(INDEX(醫師週班表!$C$5:$T$44,$CU42,CF$57),""),3,1)="隔",IF(CF$58=0,LEFT(IFERROR(INDEX(醫師週班表!$C$5:$T$44,$CU42,CF$57),""),1),""),IF(MID(IFERROR(INDEX(醫師週班表!$C$5:$T$44,$CU42,CF$57),""),2,1)="(",LEFT(IFERROR(INDEX(醫師週班表!$C$5:$T$44,$CU42,CF$57),""),1),IFERROR(INDEX(醫師週班表!$C$5:$T$44,$CU42,CF$57),"")))))))</f>
        <v/>
      </c>
      <c r="CG42" s="68">
        <f>IF(CG$59="X","",IF(CG$59&lt;&gt;"",CG$59,IF(IFERROR(INDEX(醫師週班表!$C$5:$T$44,$CU42,CG$57),"")=0,"",IF(MID(IFERROR(INDEX(醫師週班表!$C$5:$T$44,$CU42,CG$57),""),2,1)="/",MID(IFERROR(INDEX(醫師週班表!$C$5:$T$44,$CU42,CG$57),""),1+CG$58*2,1),IF(MID(IFERROR(INDEX(醫師週班表!$C$5:$T$44,$CU42,CG$57),""),3,1)="隔",IF(CG$58=0,LEFT(IFERROR(INDEX(醫師週班表!$C$5:$T$44,$CU42,CG$57),""),1),""),IF(MID(IFERROR(INDEX(醫師週班表!$C$5:$T$44,$CU42,CG$57),""),2,1)="(",LEFT(IFERROR(INDEX(醫師週班表!$C$5:$T$44,$CU42,CG$57),""),1),IFERROR(INDEX(醫師週班表!$C$5:$T$44,$CU42,CG$57),"")))))))</f>
        <v/>
      </c>
      <c r="CH42" s="67">
        <f>IF(CH$59="X","",IF(CH$59&lt;&gt;"",CH$59,IF(IFERROR(INDEX(醫師週班表!$C$5:$T$44,$CU42,CH$57),"")=0,"",IF(MID(IFERROR(INDEX(醫師週班表!$C$5:$T$44,$CU42,CH$57),""),2,1)="/",MID(IFERROR(INDEX(醫師週班表!$C$5:$T$44,$CU42,CH$57),""),1+CH$58*2,1),IF(MID(IFERROR(INDEX(醫師週班表!$C$5:$T$44,$CU42,CH$57),""),3,1)="隔",IF(CH$58=0,LEFT(IFERROR(INDEX(醫師週班表!$C$5:$T$44,$CU42,CH$57),""),1),""),IF(MID(IFERROR(INDEX(醫師週班表!$C$5:$T$44,$CU42,CH$57),""),2,1)="(",LEFT(IFERROR(INDEX(醫師週班表!$C$5:$T$44,$CU42,CH$57),""),1),IFERROR(INDEX(醫師週班表!$C$5:$T$44,$CU42,CH$57),"")))))))</f>
        <v/>
      </c>
      <c r="CI42" s="68">
        <f>IF(CI$59="X","",IF(CI$59&lt;&gt;"",CI$59,IF(IFERROR(INDEX(醫師週班表!$C$5:$T$44,$CU42,CI$57),"")=0,"",IF(MID(IFERROR(INDEX(醫師週班表!$C$5:$T$44,$CU42,CI$57),""),2,1)="/",MID(IFERROR(INDEX(醫師週班表!$C$5:$T$44,$CU42,CI$57),""),1+CI$58*2,1),IF(MID(IFERROR(INDEX(醫師週班表!$C$5:$T$44,$CU42,CI$57),""),3,1)="隔",IF(CI$58=0,LEFT(IFERROR(INDEX(醫師週班表!$C$5:$T$44,$CU42,CI$57),""),1),""),IF(MID(IFERROR(INDEX(醫師週班表!$C$5:$T$44,$CU42,CI$57),""),2,1)="(",LEFT(IFERROR(INDEX(醫師週班表!$C$5:$T$44,$CU42,CI$57),""),1),IFERROR(INDEX(醫師週班表!$C$5:$T$44,$CU42,CI$57),"")))))))</f>
        <v/>
      </c>
      <c r="CJ42" s="68">
        <f>IF(CJ$59="X","",IF(CJ$59&lt;&gt;"",CJ$59,IF(IFERROR(INDEX(醫師週班表!$C$5:$T$44,$CU42,CJ$57),"")=0,"",IF(MID(IFERROR(INDEX(醫師週班表!$C$5:$T$44,$CU42,CJ$57),""),2,1)="/",MID(IFERROR(INDEX(醫師週班表!$C$5:$T$44,$CU42,CJ$57),""),1+CJ$58*2,1),IF(MID(IFERROR(INDEX(醫師週班表!$C$5:$T$44,$CU42,CJ$57),""),3,1)="隔",IF(CJ$58=0,LEFT(IFERROR(INDEX(醫師週班表!$C$5:$T$44,$CU42,CJ$57),""),1),""),IF(MID(IFERROR(INDEX(醫師週班表!$C$5:$T$44,$CU42,CJ$57),""),2,1)="(",LEFT(IFERROR(INDEX(醫師週班表!$C$5:$T$44,$CU42,CJ$57),""),1),IFERROR(INDEX(醫師週班表!$C$5:$T$44,$CU42,CJ$57),"")))))))</f>
        <v/>
      </c>
      <c r="CK42" s="67">
        <f>IF(CK$59="X","",IF(CK$59&lt;&gt;"",CK$59,IF(IFERROR(INDEX(醫師週班表!$C$5:$T$44,$CU42,CK$57),"")=0,"",IF(MID(IFERROR(INDEX(醫師週班表!$C$5:$T$44,$CU42,CK$57),""),2,1)="/",MID(IFERROR(INDEX(醫師週班表!$C$5:$T$44,$CU42,CK$57),""),1+CK$58*2,1),IF(MID(IFERROR(INDEX(醫師週班表!$C$5:$T$44,$CU42,CK$57),""),3,1)="隔",IF(CK$58=0,LEFT(IFERROR(INDEX(醫師週班表!$C$5:$T$44,$CU42,CK$57),""),1),""),IF(MID(IFERROR(INDEX(醫師週班表!$C$5:$T$44,$CU42,CK$57),""),2,1)="(",LEFT(IFERROR(INDEX(醫師週班表!$C$5:$T$44,$CU42,CK$57),""),1),IFERROR(INDEX(醫師週班表!$C$5:$T$44,$CU42,CK$57),"")))))))</f>
        <v/>
      </c>
      <c r="CL42" s="68">
        <f>IF(CL$59="X","",IF(CL$59&lt;&gt;"",CL$59,IF(IFERROR(INDEX(醫師週班表!$C$5:$T$44,$CU42,CL$57),"")=0,"",IF(MID(IFERROR(INDEX(醫師週班表!$C$5:$T$44,$CU42,CL$57),""),2,1)="/",MID(IFERROR(INDEX(醫師週班表!$C$5:$T$44,$CU42,CL$57),""),1+CL$58*2,1),IF(MID(IFERROR(INDEX(醫師週班表!$C$5:$T$44,$CU42,CL$57),""),3,1)="隔",IF(CL$58=0,LEFT(IFERROR(INDEX(醫師週班表!$C$5:$T$44,$CU42,CL$57),""),1),""),IF(MID(IFERROR(INDEX(醫師週班表!$C$5:$T$44,$CU42,CL$57),""),2,1)="(",LEFT(IFERROR(INDEX(醫師週班表!$C$5:$T$44,$CU42,CL$57),""),1),IFERROR(INDEX(醫師週班表!$C$5:$T$44,$CU42,CL$57),"")))))))</f>
        <v/>
      </c>
      <c r="CM42" s="68">
        <f>IF(CM$59="X","",IF(CM$59&lt;&gt;"",CM$59,IF(IFERROR(INDEX(醫師週班表!$C$5:$T$44,$CU42,CM$57),"")=0,"",IF(MID(IFERROR(INDEX(醫師週班表!$C$5:$T$44,$CU42,CM$57),""),2,1)="/",MID(IFERROR(INDEX(醫師週班表!$C$5:$T$44,$CU42,CM$57),""),1+CM$58*2,1),IF(MID(IFERROR(INDEX(醫師週班表!$C$5:$T$44,$CU42,CM$57),""),3,1)="隔",IF(CM$58=0,LEFT(IFERROR(INDEX(醫師週班表!$C$5:$T$44,$CU42,CM$57),""),1),""),IF(MID(IFERROR(INDEX(醫師週班表!$C$5:$T$44,$CU42,CM$57),""),2,1)="(",LEFT(IFERROR(INDEX(醫師週班表!$C$5:$T$44,$CU42,CM$57),""),1),IFERROR(INDEX(醫師週班表!$C$5:$T$44,$CU42,CM$57),"")))))))</f>
        <v/>
      </c>
      <c r="CN42" s="67">
        <f>IF(CN$59="X","",IF(CN$59&lt;&gt;"",CN$59,IF(IFERROR(INDEX(醫師週班表!$C$5:$T$44,$CU42,CN$57),"")=0,"",IF(MID(IFERROR(INDEX(醫師週班表!$C$5:$T$44,$CU42,CN$57),""),2,1)="/",MID(IFERROR(INDEX(醫師週班表!$C$5:$T$44,$CU42,CN$57),""),1+CN$58*2,1),IF(MID(IFERROR(INDEX(醫師週班表!$C$5:$T$44,$CU42,CN$57),""),3,1)="隔",IF(CN$58=0,LEFT(IFERROR(INDEX(醫師週班表!$C$5:$T$44,$CU42,CN$57),""),1),""),IF(MID(IFERROR(INDEX(醫師週班表!$C$5:$T$44,$CU42,CN$57),""),2,1)="(",LEFT(IFERROR(INDEX(醫師週班表!$C$5:$T$44,$CU42,CN$57),""),1),IFERROR(INDEX(醫師週班表!$C$5:$T$44,$CU42,CN$57),"")))))))</f>
        <v/>
      </c>
      <c r="CO42" s="68">
        <f>IF(CO$59="X","",IF(CO$59&lt;&gt;"",CO$59,IF(IFERROR(INDEX(醫師週班表!$C$5:$T$44,$CU42,CO$57),"")=0,"",IF(MID(IFERROR(INDEX(醫師週班表!$C$5:$T$44,$CU42,CO$57),""),2,1)="/",MID(IFERROR(INDEX(醫師週班表!$C$5:$T$44,$CU42,CO$57),""),1+CO$58*2,1),IF(MID(IFERROR(INDEX(醫師週班表!$C$5:$T$44,$CU42,CO$57),""),3,1)="隔",IF(CO$58=0,LEFT(IFERROR(INDEX(醫師週班表!$C$5:$T$44,$CU42,CO$57),""),1),""),IF(MID(IFERROR(INDEX(醫師週班表!$C$5:$T$44,$CU42,CO$57),""),2,1)="(",LEFT(IFERROR(INDEX(醫師週班表!$C$5:$T$44,$CU42,CO$57),""),1),IFERROR(INDEX(醫師週班表!$C$5:$T$44,$CU42,CO$57),"")))))))</f>
        <v/>
      </c>
      <c r="CP42" s="68">
        <f>IF(CP$59="X","",IF(CP$59&lt;&gt;"",CP$59,IF(IFERROR(INDEX(醫師週班表!$C$5:$T$44,$CU42,CP$57),"")=0,"",IF(MID(IFERROR(INDEX(醫師週班表!$C$5:$T$44,$CU42,CP$57),""),2,1)="/",MID(IFERROR(INDEX(醫師週班表!$C$5:$T$44,$CU42,CP$57),""),1+CP$58*2,1),IF(MID(IFERROR(INDEX(醫師週班表!$C$5:$T$44,$CU42,CP$57),""),3,1)="隔",IF(CP$58=0,LEFT(IFERROR(INDEX(醫師週班表!$C$5:$T$44,$CU42,CP$57),""),1),""),IF(MID(IFERROR(INDEX(醫師週班表!$C$5:$T$44,$CU42,CP$57),""),2,1)="(",LEFT(IFERROR(INDEX(醫師週班表!$C$5:$T$44,$CU42,CP$57),""),1),IFERROR(INDEX(醫師週班表!$C$5:$T$44,$CU42,CP$57),"")))))))</f>
        <v/>
      </c>
      <c r="CQ42" s="67">
        <f>IF(CQ$59="X","",IF(CQ$59&lt;&gt;"",CQ$59,IF(IFERROR(INDEX(醫師週班表!$C$5:$T$44,$CU42,CQ$57),"")=0,"",IF(MID(IFERROR(INDEX(醫師週班表!$C$5:$T$44,$CU42,CQ$57),""),2,1)="/",MID(IFERROR(INDEX(醫師週班表!$C$5:$T$44,$CU42,CQ$57),""),1+CQ$58*2,1),IF(MID(IFERROR(INDEX(醫師週班表!$C$5:$T$44,$CU42,CQ$57),""),3,1)="隔",IF(CQ$58=0,LEFT(IFERROR(INDEX(醫師週班表!$C$5:$T$44,$CU42,CQ$57),""),1),""),IF(MID(IFERROR(INDEX(醫師週班表!$C$5:$T$44,$CU42,CQ$57),""),2,1)="(",LEFT(IFERROR(INDEX(醫師週班表!$C$5:$T$44,$CU42,CQ$57),""),1),IFERROR(INDEX(醫師週班表!$C$5:$T$44,$CU42,CQ$57),"")))))))</f>
        <v/>
      </c>
      <c r="CR42" s="68">
        <f>IF(CR$59="X","",IF(CR$59&lt;&gt;"",CR$59,IF(IFERROR(INDEX(醫師週班表!$C$5:$T$44,$CU42,CR$57),"")=0,"",IF(MID(IFERROR(INDEX(醫師週班表!$C$5:$T$44,$CU42,CR$57),""),2,1)="/",MID(IFERROR(INDEX(醫師週班表!$C$5:$T$44,$CU42,CR$57),""),1+CR$58*2,1),IF(MID(IFERROR(INDEX(醫師週班表!$C$5:$T$44,$CU42,CR$57),""),3,1)="隔",IF(CR$58=0,LEFT(IFERROR(INDEX(醫師週班表!$C$5:$T$44,$CU42,CR$57),""),1),""),IF(MID(IFERROR(INDEX(醫師週班表!$C$5:$T$44,$CU42,CR$57),""),2,1)="(",LEFT(IFERROR(INDEX(醫師週班表!$C$5:$T$44,$CU42,CR$57),""),1),IFERROR(INDEX(醫師週班表!$C$5:$T$44,$CU42,CR$57),"")))))))</f>
        <v/>
      </c>
      <c r="CS42" s="68">
        <f>IF(CS$59="X","",IF(CS$59&lt;&gt;"",CS$59,IF(IFERROR(INDEX(醫師週班表!$C$5:$T$44,$CU42,CS$57),"")=0,"",IF(MID(IFERROR(INDEX(醫師週班表!$C$5:$T$44,$CU42,CS$57),""),2,1)="/",MID(IFERROR(INDEX(醫師週班表!$C$5:$T$44,$CU42,CS$57),""),1+CS$58*2,1),IF(MID(IFERROR(INDEX(醫師週班表!$C$5:$T$44,$CU42,CS$57),""),3,1)="隔",IF(CS$58=0,LEFT(IFERROR(INDEX(醫師週班表!$C$5:$T$44,$CU42,CS$57),""),1),""),IF(MID(IFERROR(INDEX(醫師週班表!$C$5:$T$44,$CU42,CS$57),""),2,1)="(",LEFT(IFERROR(INDEX(醫師週班表!$C$5:$T$44,$CU42,CS$57),""),1),IFERROR(INDEX(醫師週班表!$C$5:$T$44,$CU42,CS$57),"")))))))</f>
        <v/>
      </c>
      <c r="CU42" s="69">
        <f>IFERROR(MATCH($A42,醫師週班表!$A$5:$A$44,0),0)</f>
        <v/>
      </c>
    </row>
    <row r="43" ht="17" customHeight="1">
      <c r="A43" s="20" t="n"/>
      <c r="B43" s="16">
        <f>IFERROR(INDEX(設定!$C$62:$C$201,MATCH($A43,設定!$B$62:$B$201,0)),"")</f>
        <v/>
      </c>
      <c r="C43" s="66">
        <f>IFERROR(INDEX(設定!$E$62:$E$201,MATCH($A43,設定!$B$62:$B$201,0)),"")</f>
        <v/>
      </c>
      <c r="D43" s="16">
        <f>IFERROR(INDEX(設定!$F$62:$F$201,MATCH($A43,設定!$B$62:$B$201,0)),"")</f>
        <v/>
      </c>
      <c r="E43" s="67">
        <f>IF(E$59="X","",IF(E$59&lt;&gt;"",E$59,IF(IFERROR(INDEX(醫師週班表!$C$5:$T$44,$CU43,E$57),"")=0,"",IF(MID(IFERROR(INDEX(醫師週班表!$C$5:$T$44,$CU43,E$57),""),2,1)="/",MID(IFERROR(INDEX(醫師週班表!$C$5:$T$44,$CU43,E$57),""),1+E$58*2,1),IF(MID(IFERROR(INDEX(醫師週班表!$C$5:$T$44,$CU43,E$57),""),3,1)="隔",IF(E$58=0,LEFT(IFERROR(INDEX(醫師週班表!$C$5:$T$44,$CU43,E$57),""),1),""),IF(MID(IFERROR(INDEX(醫師週班表!$C$5:$T$44,$CU43,E$57),""),2,1)="(",LEFT(IFERROR(INDEX(醫師週班表!$C$5:$T$44,$CU43,E$57),""),1),IFERROR(INDEX(醫師週班表!$C$5:$T$44,$CU43,E$57),"")))))))</f>
        <v/>
      </c>
      <c r="F43" s="68">
        <f>IF(F$59="X","",IF(F$59&lt;&gt;"",F$59,IF(IFERROR(INDEX(醫師週班表!$C$5:$T$44,$CU43,F$57),"")=0,"",IF(MID(IFERROR(INDEX(醫師週班表!$C$5:$T$44,$CU43,F$57),""),2,1)="/",MID(IFERROR(INDEX(醫師週班表!$C$5:$T$44,$CU43,F$57),""),1+F$58*2,1),IF(MID(IFERROR(INDEX(醫師週班表!$C$5:$T$44,$CU43,F$57),""),3,1)="隔",IF(F$58=0,LEFT(IFERROR(INDEX(醫師週班表!$C$5:$T$44,$CU43,F$57),""),1),""),IF(MID(IFERROR(INDEX(醫師週班表!$C$5:$T$44,$CU43,F$57),""),2,1)="(",LEFT(IFERROR(INDEX(醫師週班表!$C$5:$T$44,$CU43,F$57),""),1),IFERROR(INDEX(醫師週班表!$C$5:$T$44,$CU43,F$57),"")))))))</f>
        <v/>
      </c>
      <c r="G43" s="68">
        <f>IF(G$59="X","",IF(G$59&lt;&gt;"",G$59,IF(IFERROR(INDEX(醫師週班表!$C$5:$T$44,$CU43,G$57),"")=0,"",IF(MID(IFERROR(INDEX(醫師週班表!$C$5:$T$44,$CU43,G$57),""),2,1)="/",MID(IFERROR(INDEX(醫師週班表!$C$5:$T$44,$CU43,G$57),""),1+G$58*2,1),IF(MID(IFERROR(INDEX(醫師週班表!$C$5:$T$44,$CU43,G$57),""),3,1)="隔",IF(G$58=0,LEFT(IFERROR(INDEX(醫師週班表!$C$5:$T$44,$CU43,G$57),""),1),""),IF(MID(IFERROR(INDEX(醫師週班表!$C$5:$T$44,$CU43,G$57),""),2,1)="(",LEFT(IFERROR(INDEX(醫師週班表!$C$5:$T$44,$CU43,G$57),""),1),IFERROR(INDEX(醫師週班表!$C$5:$T$44,$CU43,G$57),"")))))))</f>
        <v/>
      </c>
      <c r="H43" s="67">
        <f>IF(H$59="X","",IF(H$59&lt;&gt;"",H$59,IF(IFERROR(INDEX(醫師週班表!$C$5:$T$44,$CU43,H$57),"")=0,"",IF(MID(IFERROR(INDEX(醫師週班表!$C$5:$T$44,$CU43,H$57),""),2,1)="/",MID(IFERROR(INDEX(醫師週班表!$C$5:$T$44,$CU43,H$57),""),1+H$58*2,1),IF(MID(IFERROR(INDEX(醫師週班表!$C$5:$T$44,$CU43,H$57),""),3,1)="隔",IF(H$58=0,LEFT(IFERROR(INDEX(醫師週班表!$C$5:$T$44,$CU43,H$57),""),1),""),IF(MID(IFERROR(INDEX(醫師週班表!$C$5:$T$44,$CU43,H$57),""),2,1)="(",LEFT(IFERROR(INDEX(醫師週班表!$C$5:$T$44,$CU43,H$57),""),1),IFERROR(INDEX(醫師週班表!$C$5:$T$44,$CU43,H$57),"")))))))</f>
        <v/>
      </c>
      <c r="I43" s="68">
        <f>IF(I$59="X","",IF(I$59&lt;&gt;"",I$59,IF(IFERROR(INDEX(醫師週班表!$C$5:$T$44,$CU43,I$57),"")=0,"",IF(MID(IFERROR(INDEX(醫師週班表!$C$5:$T$44,$CU43,I$57),""),2,1)="/",MID(IFERROR(INDEX(醫師週班表!$C$5:$T$44,$CU43,I$57),""),1+I$58*2,1),IF(MID(IFERROR(INDEX(醫師週班表!$C$5:$T$44,$CU43,I$57),""),3,1)="隔",IF(I$58=0,LEFT(IFERROR(INDEX(醫師週班表!$C$5:$T$44,$CU43,I$57),""),1),""),IF(MID(IFERROR(INDEX(醫師週班表!$C$5:$T$44,$CU43,I$57),""),2,1)="(",LEFT(IFERROR(INDEX(醫師週班表!$C$5:$T$44,$CU43,I$57),""),1),IFERROR(INDEX(醫師週班表!$C$5:$T$44,$CU43,I$57),"")))))))</f>
        <v/>
      </c>
      <c r="J43" s="68">
        <f>IF(J$59="X","",IF(J$59&lt;&gt;"",J$59,IF(IFERROR(INDEX(醫師週班表!$C$5:$T$44,$CU43,J$57),"")=0,"",IF(MID(IFERROR(INDEX(醫師週班表!$C$5:$T$44,$CU43,J$57),""),2,1)="/",MID(IFERROR(INDEX(醫師週班表!$C$5:$T$44,$CU43,J$57),""),1+J$58*2,1),IF(MID(IFERROR(INDEX(醫師週班表!$C$5:$T$44,$CU43,J$57),""),3,1)="隔",IF(J$58=0,LEFT(IFERROR(INDEX(醫師週班表!$C$5:$T$44,$CU43,J$57),""),1),""),IF(MID(IFERROR(INDEX(醫師週班表!$C$5:$T$44,$CU43,J$57),""),2,1)="(",LEFT(IFERROR(INDEX(醫師週班表!$C$5:$T$44,$CU43,J$57),""),1),IFERROR(INDEX(醫師週班表!$C$5:$T$44,$CU43,J$57),"")))))))</f>
        <v/>
      </c>
      <c r="K43" s="67">
        <f>IF(K$59="X","",IF(K$59&lt;&gt;"",K$59,IF(IFERROR(INDEX(醫師週班表!$C$5:$T$44,$CU43,K$57),"")=0,"",IF(MID(IFERROR(INDEX(醫師週班表!$C$5:$T$44,$CU43,K$57),""),2,1)="/",MID(IFERROR(INDEX(醫師週班表!$C$5:$T$44,$CU43,K$57),""),1+K$58*2,1),IF(MID(IFERROR(INDEX(醫師週班表!$C$5:$T$44,$CU43,K$57),""),3,1)="隔",IF(K$58=0,LEFT(IFERROR(INDEX(醫師週班表!$C$5:$T$44,$CU43,K$57),""),1),""),IF(MID(IFERROR(INDEX(醫師週班表!$C$5:$T$44,$CU43,K$57),""),2,1)="(",LEFT(IFERROR(INDEX(醫師週班表!$C$5:$T$44,$CU43,K$57),""),1),IFERROR(INDEX(醫師週班表!$C$5:$T$44,$CU43,K$57),"")))))))</f>
        <v/>
      </c>
      <c r="L43" s="68">
        <f>IF(L$59="X","",IF(L$59&lt;&gt;"",L$59,IF(IFERROR(INDEX(醫師週班表!$C$5:$T$44,$CU43,L$57),"")=0,"",IF(MID(IFERROR(INDEX(醫師週班表!$C$5:$T$44,$CU43,L$57),""),2,1)="/",MID(IFERROR(INDEX(醫師週班表!$C$5:$T$44,$CU43,L$57),""),1+L$58*2,1),IF(MID(IFERROR(INDEX(醫師週班表!$C$5:$T$44,$CU43,L$57),""),3,1)="隔",IF(L$58=0,LEFT(IFERROR(INDEX(醫師週班表!$C$5:$T$44,$CU43,L$57),""),1),""),IF(MID(IFERROR(INDEX(醫師週班表!$C$5:$T$44,$CU43,L$57),""),2,1)="(",LEFT(IFERROR(INDEX(醫師週班表!$C$5:$T$44,$CU43,L$57),""),1),IFERROR(INDEX(醫師週班表!$C$5:$T$44,$CU43,L$57),"")))))))</f>
        <v/>
      </c>
      <c r="M43" s="68">
        <f>IF(M$59="X","",IF(M$59&lt;&gt;"",M$59,IF(IFERROR(INDEX(醫師週班表!$C$5:$T$44,$CU43,M$57),"")=0,"",IF(MID(IFERROR(INDEX(醫師週班表!$C$5:$T$44,$CU43,M$57),""),2,1)="/",MID(IFERROR(INDEX(醫師週班表!$C$5:$T$44,$CU43,M$57),""),1+M$58*2,1),IF(MID(IFERROR(INDEX(醫師週班表!$C$5:$T$44,$CU43,M$57),""),3,1)="隔",IF(M$58=0,LEFT(IFERROR(INDEX(醫師週班表!$C$5:$T$44,$CU43,M$57),""),1),""),IF(MID(IFERROR(INDEX(醫師週班表!$C$5:$T$44,$CU43,M$57),""),2,1)="(",LEFT(IFERROR(INDEX(醫師週班表!$C$5:$T$44,$CU43,M$57),""),1),IFERROR(INDEX(醫師週班表!$C$5:$T$44,$CU43,M$57),"")))))))</f>
        <v/>
      </c>
      <c r="N43" s="67">
        <f>IF(N$59="X","",IF(N$59&lt;&gt;"",N$59,IF(IFERROR(INDEX(醫師週班表!$C$5:$T$44,$CU43,N$57),"")=0,"",IF(MID(IFERROR(INDEX(醫師週班表!$C$5:$T$44,$CU43,N$57),""),2,1)="/",MID(IFERROR(INDEX(醫師週班表!$C$5:$T$44,$CU43,N$57),""),1+N$58*2,1),IF(MID(IFERROR(INDEX(醫師週班表!$C$5:$T$44,$CU43,N$57),""),3,1)="隔",IF(N$58=0,LEFT(IFERROR(INDEX(醫師週班表!$C$5:$T$44,$CU43,N$57),""),1),""),IF(MID(IFERROR(INDEX(醫師週班表!$C$5:$T$44,$CU43,N$57),""),2,1)="(",LEFT(IFERROR(INDEX(醫師週班表!$C$5:$T$44,$CU43,N$57),""),1),IFERROR(INDEX(醫師週班表!$C$5:$T$44,$CU43,N$57),"")))))))</f>
        <v/>
      </c>
      <c r="O43" s="68">
        <f>IF(O$59="X","",IF(O$59&lt;&gt;"",O$59,IF(IFERROR(INDEX(醫師週班表!$C$5:$T$44,$CU43,O$57),"")=0,"",IF(MID(IFERROR(INDEX(醫師週班表!$C$5:$T$44,$CU43,O$57),""),2,1)="/",MID(IFERROR(INDEX(醫師週班表!$C$5:$T$44,$CU43,O$57),""),1+O$58*2,1),IF(MID(IFERROR(INDEX(醫師週班表!$C$5:$T$44,$CU43,O$57),""),3,1)="隔",IF(O$58=0,LEFT(IFERROR(INDEX(醫師週班表!$C$5:$T$44,$CU43,O$57),""),1),""),IF(MID(IFERROR(INDEX(醫師週班表!$C$5:$T$44,$CU43,O$57),""),2,1)="(",LEFT(IFERROR(INDEX(醫師週班表!$C$5:$T$44,$CU43,O$57),""),1),IFERROR(INDEX(醫師週班表!$C$5:$T$44,$CU43,O$57),"")))))))</f>
        <v/>
      </c>
      <c r="P43" s="68">
        <f>IF(P$59="X","",IF(P$59&lt;&gt;"",P$59,IF(IFERROR(INDEX(醫師週班表!$C$5:$T$44,$CU43,P$57),"")=0,"",IF(MID(IFERROR(INDEX(醫師週班表!$C$5:$T$44,$CU43,P$57),""),2,1)="/",MID(IFERROR(INDEX(醫師週班表!$C$5:$T$44,$CU43,P$57),""),1+P$58*2,1),IF(MID(IFERROR(INDEX(醫師週班表!$C$5:$T$44,$CU43,P$57),""),3,1)="隔",IF(P$58=0,LEFT(IFERROR(INDEX(醫師週班表!$C$5:$T$44,$CU43,P$57),""),1),""),IF(MID(IFERROR(INDEX(醫師週班表!$C$5:$T$44,$CU43,P$57),""),2,1)="(",LEFT(IFERROR(INDEX(醫師週班表!$C$5:$T$44,$CU43,P$57),""),1),IFERROR(INDEX(醫師週班表!$C$5:$T$44,$CU43,P$57),"")))))))</f>
        <v/>
      </c>
      <c r="Q43" s="67">
        <f>IF(Q$59="X","",IF(Q$59&lt;&gt;"",Q$59,IF(IFERROR(INDEX(醫師週班表!$C$5:$T$44,$CU43,Q$57),"")=0,"",IF(MID(IFERROR(INDEX(醫師週班表!$C$5:$T$44,$CU43,Q$57),""),2,1)="/",MID(IFERROR(INDEX(醫師週班表!$C$5:$T$44,$CU43,Q$57),""),1+Q$58*2,1),IF(MID(IFERROR(INDEX(醫師週班表!$C$5:$T$44,$CU43,Q$57),""),3,1)="隔",IF(Q$58=0,LEFT(IFERROR(INDEX(醫師週班表!$C$5:$T$44,$CU43,Q$57),""),1),""),IF(MID(IFERROR(INDEX(醫師週班表!$C$5:$T$44,$CU43,Q$57),""),2,1)="(",LEFT(IFERROR(INDEX(醫師週班表!$C$5:$T$44,$CU43,Q$57),""),1),IFERROR(INDEX(醫師週班表!$C$5:$T$44,$CU43,Q$57),"")))))))</f>
        <v/>
      </c>
      <c r="R43" s="68">
        <f>IF(R$59="X","",IF(R$59&lt;&gt;"",R$59,IF(IFERROR(INDEX(醫師週班表!$C$5:$T$44,$CU43,R$57),"")=0,"",IF(MID(IFERROR(INDEX(醫師週班表!$C$5:$T$44,$CU43,R$57),""),2,1)="/",MID(IFERROR(INDEX(醫師週班表!$C$5:$T$44,$CU43,R$57),""),1+R$58*2,1),IF(MID(IFERROR(INDEX(醫師週班表!$C$5:$T$44,$CU43,R$57),""),3,1)="隔",IF(R$58=0,LEFT(IFERROR(INDEX(醫師週班表!$C$5:$T$44,$CU43,R$57),""),1),""),IF(MID(IFERROR(INDEX(醫師週班表!$C$5:$T$44,$CU43,R$57),""),2,1)="(",LEFT(IFERROR(INDEX(醫師週班表!$C$5:$T$44,$CU43,R$57),""),1),IFERROR(INDEX(醫師週班表!$C$5:$T$44,$CU43,R$57),"")))))))</f>
        <v/>
      </c>
      <c r="S43" s="68">
        <f>IF(S$59="X","",IF(S$59&lt;&gt;"",S$59,IF(IFERROR(INDEX(醫師週班表!$C$5:$T$44,$CU43,S$57),"")=0,"",IF(MID(IFERROR(INDEX(醫師週班表!$C$5:$T$44,$CU43,S$57),""),2,1)="/",MID(IFERROR(INDEX(醫師週班表!$C$5:$T$44,$CU43,S$57),""),1+S$58*2,1),IF(MID(IFERROR(INDEX(醫師週班表!$C$5:$T$44,$CU43,S$57),""),3,1)="隔",IF(S$58=0,LEFT(IFERROR(INDEX(醫師週班表!$C$5:$T$44,$CU43,S$57),""),1),""),IF(MID(IFERROR(INDEX(醫師週班表!$C$5:$T$44,$CU43,S$57),""),2,1)="(",LEFT(IFERROR(INDEX(醫師週班表!$C$5:$T$44,$CU43,S$57),""),1),IFERROR(INDEX(醫師週班表!$C$5:$T$44,$CU43,S$57),"")))))))</f>
        <v/>
      </c>
      <c r="T43" s="67">
        <f>IF(T$59="X","",IF(T$59&lt;&gt;"",T$59,IF(IFERROR(INDEX(醫師週班表!$C$5:$T$44,$CU43,T$57),"")=0,"",IF(MID(IFERROR(INDEX(醫師週班表!$C$5:$T$44,$CU43,T$57),""),2,1)="/",MID(IFERROR(INDEX(醫師週班表!$C$5:$T$44,$CU43,T$57),""),1+T$58*2,1),IF(MID(IFERROR(INDEX(醫師週班表!$C$5:$T$44,$CU43,T$57),""),3,1)="隔",IF(T$58=0,LEFT(IFERROR(INDEX(醫師週班表!$C$5:$T$44,$CU43,T$57),""),1),""),IF(MID(IFERROR(INDEX(醫師週班表!$C$5:$T$44,$CU43,T$57),""),2,1)="(",LEFT(IFERROR(INDEX(醫師週班表!$C$5:$T$44,$CU43,T$57),""),1),IFERROR(INDEX(醫師週班表!$C$5:$T$44,$CU43,T$57),"")))))))</f>
        <v/>
      </c>
      <c r="U43" s="68">
        <f>IF(U$59="X","",IF(U$59&lt;&gt;"",U$59,IF(IFERROR(INDEX(醫師週班表!$C$5:$T$44,$CU43,U$57),"")=0,"",IF(MID(IFERROR(INDEX(醫師週班表!$C$5:$T$44,$CU43,U$57),""),2,1)="/",MID(IFERROR(INDEX(醫師週班表!$C$5:$T$44,$CU43,U$57),""),1+U$58*2,1),IF(MID(IFERROR(INDEX(醫師週班表!$C$5:$T$44,$CU43,U$57),""),3,1)="隔",IF(U$58=0,LEFT(IFERROR(INDEX(醫師週班表!$C$5:$T$44,$CU43,U$57),""),1),""),IF(MID(IFERROR(INDEX(醫師週班表!$C$5:$T$44,$CU43,U$57),""),2,1)="(",LEFT(IFERROR(INDEX(醫師週班表!$C$5:$T$44,$CU43,U$57),""),1),IFERROR(INDEX(醫師週班表!$C$5:$T$44,$CU43,U$57),"")))))))</f>
        <v/>
      </c>
      <c r="V43" s="68">
        <f>IF(V$59="X","",IF(V$59&lt;&gt;"",V$59,IF(IFERROR(INDEX(醫師週班表!$C$5:$T$44,$CU43,V$57),"")=0,"",IF(MID(IFERROR(INDEX(醫師週班表!$C$5:$T$44,$CU43,V$57),""),2,1)="/",MID(IFERROR(INDEX(醫師週班表!$C$5:$T$44,$CU43,V$57),""),1+V$58*2,1),IF(MID(IFERROR(INDEX(醫師週班表!$C$5:$T$44,$CU43,V$57),""),3,1)="隔",IF(V$58=0,LEFT(IFERROR(INDEX(醫師週班表!$C$5:$T$44,$CU43,V$57),""),1),""),IF(MID(IFERROR(INDEX(醫師週班表!$C$5:$T$44,$CU43,V$57),""),2,1)="(",LEFT(IFERROR(INDEX(醫師週班表!$C$5:$T$44,$CU43,V$57),""),1),IFERROR(INDEX(醫師週班表!$C$5:$T$44,$CU43,V$57),"")))))))</f>
        <v/>
      </c>
      <c r="W43" s="67">
        <f>IF(W$59="X","",IF(W$59&lt;&gt;"",W$59,IF(IFERROR(INDEX(醫師週班表!$C$5:$T$44,$CU43,W$57),"")=0,"",IF(MID(IFERROR(INDEX(醫師週班表!$C$5:$T$44,$CU43,W$57),""),2,1)="/",MID(IFERROR(INDEX(醫師週班表!$C$5:$T$44,$CU43,W$57),""),1+W$58*2,1),IF(MID(IFERROR(INDEX(醫師週班表!$C$5:$T$44,$CU43,W$57),""),3,1)="隔",IF(W$58=0,LEFT(IFERROR(INDEX(醫師週班表!$C$5:$T$44,$CU43,W$57),""),1),""),IF(MID(IFERROR(INDEX(醫師週班表!$C$5:$T$44,$CU43,W$57),""),2,1)="(",LEFT(IFERROR(INDEX(醫師週班表!$C$5:$T$44,$CU43,W$57),""),1),IFERROR(INDEX(醫師週班表!$C$5:$T$44,$CU43,W$57),"")))))))</f>
        <v/>
      </c>
      <c r="X43" s="68">
        <f>IF(X$59="X","",IF(X$59&lt;&gt;"",X$59,IF(IFERROR(INDEX(醫師週班表!$C$5:$T$44,$CU43,X$57),"")=0,"",IF(MID(IFERROR(INDEX(醫師週班表!$C$5:$T$44,$CU43,X$57),""),2,1)="/",MID(IFERROR(INDEX(醫師週班表!$C$5:$T$44,$CU43,X$57),""),1+X$58*2,1),IF(MID(IFERROR(INDEX(醫師週班表!$C$5:$T$44,$CU43,X$57),""),3,1)="隔",IF(X$58=0,LEFT(IFERROR(INDEX(醫師週班表!$C$5:$T$44,$CU43,X$57),""),1),""),IF(MID(IFERROR(INDEX(醫師週班表!$C$5:$T$44,$CU43,X$57),""),2,1)="(",LEFT(IFERROR(INDEX(醫師週班表!$C$5:$T$44,$CU43,X$57),""),1),IFERROR(INDEX(醫師週班表!$C$5:$T$44,$CU43,X$57),"")))))))</f>
        <v/>
      </c>
      <c r="Y43" s="68">
        <f>IF(Y$59="X","",IF(Y$59&lt;&gt;"",Y$59,IF(IFERROR(INDEX(醫師週班表!$C$5:$T$44,$CU43,Y$57),"")=0,"",IF(MID(IFERROR(INDEX(醫師週班表!$C$5:$T$44,$CU43,Y$57),""),2,1)="/",MID(IFERROR(INDEX(醫師週班表!$C$5:$T$44,$CU43,Y$57),""),1+Y$58*2,1),IF(MID(IFERROR(INDEX(醫師週班表!$C$5:$T$44,$CU43,Y$57),""),3,1)="隔",IF(Y$58=0,LEFT(IFERROR(INDEX(醫師週班表!$C$5:$T$44,$CU43,Y$57),""),1),""),IF(MID(IFERROR(INDEX(醫師週班表!$C$5:$T$44,$CU43,Y$57),""),2,1)="(",LEFT(IFERROR(INDEX(醫師週班表!$C$5:$T$44,$CU43,Y$57),""),1),IFERROR(INDEX(醫師週班表!$C$5:$T$44,$CU43,Y$57),"")))))))</f>
        <v/>
      </c>
      <c r="Z43" s="67">
        <f>IF(Z$59="X","",IF(Z$59&lt;&gt;"",Z$59,IF(IFERROR(INDEX(醫師週班表!$C$5:$T$44,$CU43,Z$57),"")=0,"",IF(MID(IFERROR(INDEX(醫師週班表!$C$5:$T$44,$CU43,Z$57),""),2,1)="/",MID(IFERROR(INDEX(醫師週班表!$C$5:$T$44,$CU43,Z$57),""),1+Z$58*2,1),IF(MID(IFERROR(INDEX(醫師週班表!$C$5:$T$44,$CU43,Z$57),""),3,1)="隔",IF(Z$58=0,LEFT(IFERROR(INDEX(醫師週班表!$C$5:$T$44,$CU43,Z$57),""),1),""),IF(MID(IFERROR(INDEX(醫師週班表!$C$5:$T$44,$CU43,Z$57),""),2,1)="(",LEFT(IFERROR(INDEX(醫師週班表!$C$5:$T$44,$CU43,Z$57),""),1),IFERROR(INDEX(醫師週班表!$C$5:$T$44,$CU43,Z$57),"")))))))</f>
        <v/>
      </c>
      <c r="AA43" s="68">
        <f>IF(AA$59="X","",IF(AA$59&lt;&gt;"",AA$59,IF(IFERROR(INDEX(醫師週班表!$C$5:$T$44,$CU43,AA$57),"")=0,"",IF(MID(IFERROR(INDEX(醫師週班表!$C$5:$T$44,$CU43,AA$57),""),2,1)="/",MID(IFERROR(INDEX(醫師週班表!$C$5:$T$44,$CU43,AA$57),""),1+AA$58*2,1),IF(MID(IFERROR(INDEX(醫師週班表!$C$5:$T$44,$CU43,AA$57),""),3,1)="隔",IF(AA$58=0,LEFT(IFERROR(INDEX(醫師週班表!$C$5:$T$44,$CU43,AA$57),""),1),""),IF(MID(IFERROR(INDEX(醫師週班表!$C$5:$T$44,$CU43,AA$57),""),2,1)="(",LEFT(IFERROR(INDEX(醫師週班表!$C$5:$T$44,$CU43,AA$57),""),1),IFERROR(INDEX(醫師週班表!$C$5:$T$44,$CU43,AA$57),"")))))))</f>
        <v/>
      </c>
      <c r="AB43" s="68">
        <f>IF(AB$59="X","",IF(AB$59&lt;&gt;"",AB$59,IF(IFERROR(INDEX(醫師週班表!$C$5:$T$44,$CU43,AB$57),"")=0,"",IF(MID(IFERROR(INDEX(醫師週班表!$C$5:$T$44,$CU43,AB$57),""),2,1)="/",MID(IFERROR(INDEX(醫師週班表!$C$5:$T$44,$CU43,AB$57),""),1+AB$58*2,1),IF(MID(IFERROR(INDEX(醫師週班表!$C$5:$T$44,$CU43,AB$57),""),3,1)="隔",IF(AB$58=0,LEFT(IFERROR(INDEX(醫師週班表!$C$5:$T$44,$CU43,AB$57),""),1),""),IF(MID(IFERROR(INDEX(醫師週班表!$C$5:$T$44,$CU43,AB$57),""),2,1)="(",LEFT(IFERROR(INDEX(醫師週班表!$C$5:$T$44,$CU43,AB$57),""),1),IFERROR(INDEX(醫師週班表!$C$5:$T$44,$CU43,AB$57),"")))))))</f>
        <v/>
      </c>
      <c r="AC43" s="67">
        <f>IF(AC$59="X","",IF(AC$59&lt;&gt;"",AC$59,IF(IFERROR(INDEX(醫師週班表!$C$5:$T$44,$CU43,AC$57),"")=0,"",IF(MID(IFERROR(INDEX(醫師週班表!$C$5:$T$44,$CU43,AC$57),""),2,1)="/",MID(IFERROR(INDEX(醫師週班表!$C$5:$T$44,$CU43,AC$57),""),1+AC$58*2,1),IF(MID(IFERROR(INDEX(醫師週班表!$C$5:$T$44,$CU43,AC$57),""),3,1)="隔",IF(AC$58=0,LEFT(IFERROR(INDEX(醫師週班表!$C$5:$T$44,$CU43,AC$57),""),1),""),IF(MID(IFERROR(INDEX(醫師週班表!$C$5:$T$44,$CU43,AC$57),""),2,1)="(",LEFT(IFERROR(INDEX(醫師週班表!$C$5:$T$44,$CU43,AC$57),""),1),IFERROR(INDEX(醫師週班表!$C$5:$T$44,$CU43,AC$57),"")))))))</f>
        <v/>
      </c>
      <c r="AD43" s="68">
        <f>IF(AD$59="X","",IF(AD$59&lt;&gt;"",AD$59,IF(IFERROR(INDEX(醫師週班表!$C$5:$T$44,$CU43,AD$57),"")=0,"",IF(MID(IFERROR(INDEX(醫師週班表!$C$5:$T$44,$CU43,AD$57),""),2,1)="/",MID(IFERROR(INDEX(醫師週班表!$C$5:$T$44,$CU43,AD$57),""),1+AD$58*2,1),IF(MID(IFERROR(INDEX(醫師週班表!$C$5:$T$44,$CU43,AD$57),""),3,1)="隔",IF(AD$58=0,LEFT(IFERROR(INDEX(醫師週班表!$C$5:$T$44,$CU43,AD$57),""),1),""),IF(MID(IFERROR(INDEX(醫師週班表!$C$5:$T$44,$CU43,AD$57),""),2,1)="(",LEFT(IFERROR(INDEX(醫師週班表!$C$5:$T$44,$CU43,AD$57),""),1),IFERROR(INDEX(醫師週班表!$C$5:$T$44,$CU43,AD$57),"")))))))</f>
        <v/>
      </c>
      <c r="AE43" s="68">
        <f>IF(AE$59="X","",IF(AE$59&lt;&gt;"",AE$59,IF(IFERROR(INDEX(醫師週班表!$C$5:$T$44,$CU43,AE$57),"")=0,"",IF(MID(IFERROR(INDEX(醫師週班表!$C$5:$T$44,$CU43,AE$57),""),2,1)="/",MID(IFERROR(INDEX(醫師週班表!$C$5:$T$44,$CU43,AE$57),""),1+AE$58*2,1),IF(MID(IFERROR(INDEX(醫師週班表!$C$5:$T$44,$CU43,AE$57),""),3,1)="隔",IF(AE$58=0,LEFT(IFERROR(INDEX(醫師週班表!$C$5:$T$44,$CU43,AE$57),""),1),""),IF(MID(IFERROR(INDEX(醫師週班表!$C$5:$T$44,$CU43,AE$57),""),2,1)="(",LEFT(IFERROR(INDEX(醫師週班表!$C$5:$T$44,$CU43,AE$57),""),1),IFERROR(INDEX(醫師週班表!$C$5:$T$44,$CU43,AE$57),"")))))))</f>
        <v/>
      </c>
      <c r="AF43" s="67">
        <f>IF(AF$59="X","",IF(AF$59&lt;&gt;"",AF$59,IF(IFERROR(INDEX(醫師週班表!$C$5:$T$44,$CU43,AF$57),"")=0,"",IF(MID(IFERROR(INDEX(醫師週班表!$C$5:$T$44,$CU43,AF$57),""),2,1)="/",MID(IFERROR(INDEX(醫師週班表!$C$5:$T$44,$CU43,AF$57),""),1+AF$58*2,1),IF(MID(IFERROR(INDEX(醫師週班表!$C$5:$T$44,$CU43,AF$57),""),3,1)="隔",IF(AF$58=0,LEFT(IFERROR(INDEX(醫師週班表!$C$5:$T$44,$CU43,AF$57),""),1),""),IF(MID(IFERROR(INDEX(醫師週班表!$C$5:$T$44,$CU43,AF$57),""),2,1)="(",LEFT(IFERROR(INDEX(醫師週班表!$C$5:$T$44,$CU43,AF$57),""),1),IFERROR(INDEX(醫師週班表!$C$5:$T$44,$CU43,AF$57),"")))))))</f>
        <v/>
      </c>
      <c r="AG43" s="68">
        <f>IF(AG$59="X","",IF(AG$59&lt;&gt;"",AG$59,IF(IFERROR(INDEX(醫師週班表!$C$5:$T$44,$CU43,AG$57),"")=0,"",IF(MID(IFERROR(INDEX(醫師週班表!$C$5:$T$44,$CU43,AG$57),""),2,1)="/",MID(IFERROR(INDEX(醫師週班表!$C$5:$T$44,$CU43,AG$57),""),1+AG$58*2,1),IF(MID(IFERROR(INDEX(醫師週班表!$C$5:$T$44,$CU43,AG$57),""),3,1)="隔",IF(AG$58=0,LEFT(IFERROR(INDEX(醫師週班表!$C$5:$T$44,$CU43,AG$57),""),1),""),IF(MID(IFERROR(INDEX(醫師週班表!$C$5:$T$44,$CU43,AG$57),""),2,1)="(",LEFT(IFERROR(INDEX(醫師週班表!$C$5:$T$44,$CU43,AG$57),""),1),IFERROR(INDEX(醫師週班表!$C$5:$T$44,$CU43,AG$57),"")))))))</f>
        <v/>
      </c>
      <c r="AH43" s="68">
        <f>IF(AH$59="X","",IF(AH$59&lt;&gt;"",AH$59,IF(IFERROR(INDEX(醫師週班表!$C$5:$T$44,$CU43,AH$57),"")=0,"",IF(MID(IFERROR(INDEX(醫師週班表!$C$5:$T$44,$CU43,AH$57),""),2,1)="/",MID(IFERROR(INDEX(醫師週班表!$C$5:$T$44,$CU43,AH$57),""),1+AH$58*2,1),IF(MID(IFERROR(INDEX(醫師週班表!$C$5:$T$44,$CU43,AH$57),""),3,1)="隔",IF(AH$58=0,LEFT(IFERROR(INDEX(醫師週班表!$C$5:$T$44,$CU43,AH$57),""),1),""),IF(MID(IFERROR(INDEX(醫師週班表!$C$5:$T$44,$CU43,AH$57),""),2,1)="(",LEFT(IFERROR(INDEX(醫師週班表!$C$5:$T$44,$CU43,AH$57),""),1),IFERROR(INDEX(醫師週班表!$C$5:$T$44,$CU43,AH$57),"")))))))</f>
        <v/>
      </c>
      <c r="AI43" s="67">
        <f>IF(AI$59="X","",IF(AI$59&lt;&gt;"",AI$59,IF(IFERROR(INDEX(醫師週班表!$C$5:$T$44,$CU43,AI$57),"")=0,"",IF(MID(IFERROR(INDEX(醫師週班表!$C$5:$T$44,$CU43,AI$57),""),2,1)="/",MID(IFERROR(INDEX(醫師週班表!$C$5:$T$44,$CU43,AI$57),""),1+AI$58*2,1),IF(MID(IFERROR(INDEX(醫師週班表!$C$5:$T$44,$CU43,AI$57),""),3,1)="隔",IF(AI$58=0,LEFT(IFERROR(INDEX(醫師週班表!$C$5:$T$44,$CU43,AI$57),""),1),""),IF(MID(IFERROR(INDEX(醫師週班表!$C$5:$T$44,$CU43,AI$57),""),2,1)="(",LEFT(IFERROR(INDEX(醫師週班表!$C$5:$T$44,$CU43,AI$57),""),1),IFERROR(INDEX(醫師週班表!$C$5:$T$44,$CU43,AI$57),"")))))))</f>
        <v/>
      </c>
      <c r="AJ43" s="68">
        <f>IF(AJ$59="X","",IF(AJ$59&lt;&gt;"",AJ$59,IF(IFERROR(INDEX(醫師週班表!$C$5:$T$44,$CU43,AJ$57),"")=0,"",IF(MID(IFERROR(INDEX(醫師週班表!$C$5:$T$44,$CU43,AJ$57),""),2,1)="/",MID(IFERROR(INDEX(醫師週班表!$C$5:$T$44,$CU43,AJ$57),""),1+AJ$58*2,1),IF(MID(IFERROR(INDEX(醫師週班表!$C$5:$T$44,$CU43,AJ$57),""),3,1)="隔",IF(AJ$58=0,LEFT(IFERROR(INDEX(醫師週班表!$C$5:$T$44,$CU43,AJ$57),""),1),""),IF(MID(IFERROR(INDEX(醫師週班表!$C$5:$T$44,$CU43,AJ$57),""),2,1)="(",LEFT(IFERROR(INDEX(醫師週班表!$C$5:$T$44,$CU43,AJ$57),""),1),IFERROR(INDEX(醫師週班表!$C$5:$T$44,$CU43,AJ$57),"")))))))</f>
        <v/>
      </c>
      <c r="AK43" s="68">
        <f>IF(AK$59="X","",IF(AK$59&lt;&gt;"",AK$59,IF(IFERROR(INDEX(醫師週班表!$C$5:$T$44,$CU43,AK$57),"")=0,"",IF(MID(IFERROR(INDEX(醫師週班表!$C$5:$T$44,$CU43,AK$57),""),2,1)="/",MID(IFERROR(INDEX(醫師週班表!$C$5:$T$44,$CU43,AK$57),""),1+AK$58*2,1),IF(MID(IFERROR(INDEX(醫師週班表!$C$5:$T$44,$CU43,AK$57),""),3,1)="隔",IF(AK$58=0,LEFT(IFERROR(INDEX(醫師週班表!$C$5:$T$44,$CU43,AK$57),""),1),""),IF(MID(IFERROR(INDEX(醫師週班表!$C$5:$T$44,$CU43,AK$57),""),2,1)="(",LEFT(IFERROR(INDEX(醫師週班表!$C$5:$T$44,$CU43,AK$57),""),1),IFERROR(INDEX(醫師週班表!$C$5:$T$44,$CU43,AK$57),"")))))))</f>
        <v/>
      </c>
      <c r="AL43" s="67">
        <f>IF(AL$59="X","",IF(AL$59&lt;&gt;"",AL$59,IF(IFERROR(INDEX(醫師週班表!$C$5:$T$44,$CU43,AL$57),"")=0,"",IF(MID(IFERROR(INDEX(醫師週班表!$C$5:$T$44,$CU43,AL$57),""),2,1)="/",MID(IFERROR(INDEX(醫師週班表!$C$5:$T$44,$CU43,AL$57),""),1+AL$58*2,1),IF(MID(IFERROR(INDEX(醫師週班表!$C$5:$T$44,$CU43,AL$57),""),3,1)="隔",IF(AL$58=0,LEFT(IFERROR(INDEX(醫師週班表!$C$5:$T$44,$CU43,AL$57),""),1),""),IF(MID(IFERROR(INDEX(醫師週班表!$C$5:$T$44,$CU43,AL$57),""),2,1)="(",LEFT(IFERROR(INDEX(醫師週班表!$C$5:$T$44,$CU43,AL$57),""),1),IFERROR(INDEX(醫師週班表!$C$5:$T$44,$CU43,AL$57),"")))))))</f>
        <v/>
      </c>
      <c r="AM43" s="68">
        <f>IF(AM$59="X","",IF(AM$59&lt;&gt;"",AM$59,IF(IFERROR(INDEX(醫師週班表!$C$5:$T$44,$CU43,AM$57),"")=0,"",IF(MID(IFERROR(INDEX(醫師週班表!$C$5:$T$44,$CU43,AM$57),""),2,1)="/",MID(IFERROR(INDEX(醫師週班表!$C$5:$T$44,$CU43,AM$57),""),1+AM$58*2,1),IF(MID(IFERROR(INDEX(醫師週班表!$C$5:$T$44,$CU43,AM$57),""),3,1)="隔",IF(AM$58=0,LEFT(IFERROR(INDEX(醫師週班表!$C$5:$T$44,$CU43,AM$57),""),1),""),IF(MID(IFERROR(INDEX(醫師週班表!$C$5:$T$44,$CU43,AM$57),""),2,1)="(",LEFT(IFERROR(INDEX(醫師週班表!$C$5:$T$44,$CU43,AM$57),""),1),IFERROR(INDEX(醫師週班表!$C$5:$T$44,$CU43,AM$57),"")))))))</f>
        <v/>
      </c>
      <c r="AN43" s="68">
        <f>IF(AN$59="X","",IF(AN$59&lt;&gt;"",AN$59,IF(IFERROR(INDEX(醫師週班表!$C$5:$T$44,$CU43,AN$57),"")=0,"",IF(MID(IFERROR(INDEX(醫師週班表!$C$5:$T$44,$CU43,AN$57),""),2,1)="/",MID(IFERROR(INDEX(醫師週班表!$C$5:$T$44,$CU43,AN$57),""),1+AN$58*2,1),IF(MID(IFERROR(INDEX(醫師週班表!$C$5:$T$44,$CU43,AN$57),""),3,1)="隔",IF(AN$58=0,LEFT(IFERROR(INDEX(醫師週班表!$C$5:$T$44,$CU43,AN$57),""),1),""),IF(MID(IFERROR(INDEX(醫師週班表!$C$5:$T$44,$CU43,AN$57),""),2,1)="(",LEFT(IFERROR(INDEX(醫師週班表!$C$5:$T$44,$CU43,AN$57),""),1),IFERROR(INDEX(醫師週班表!$C$5:$T$44,$CU43,AN$57),"")))))))</f>
        <v/>
      </c>
      <c r="AO43" s="67">
        <f>IF(AO$59="X","",IF(AO$59&lt;&gt;"",AO$59,IF(IFERROR(INDEX(醫師週班表!$C$5:$T$44,$CU43,AO$57),"")=0,"",IF(MID(IFERROR(INDEX(醫師週班表!$C$5:$T$44,$CU43,AO$57),""),2,1)="/",MID(IFERROR(INDEX(醫師週班表!$C$5:$T$44,$CU43,AO$57),""),1+AO$58*2,1),IF(MID(IFERROR(INDEX(醫師週班表!$C$5:$T$44,$CU43,AO$57),""),3,1)="隔",IF(AO$58=0,LEFT(IFERROR(INDEX(醫師週班表!$C$5:$T$44,$CU43,AO$57),""),1),""),IF(MID(IFERROR(INDEX(醫師週班表!$C$5:$T$44,$CU43,AO$57),""),2,1)="(",LEFT(IFERROR(INDEX(醫師週班表!$C$5:$T$44,$CU43,AO$57),""),1),IFERROR(INDEX(醫師週班表!$C$5:$T$44,$CU43,AO$57),"")))))))</f>
        <v/>
      </c>
      <c r="AP43" s="68">
        <f>IF(AP$59="X","",IF(AP$59&lt;&gt;"",AP$59,IF(IFERROR(INDEX(醫師週班表!$C$5:$T$44,$CU43,AP$57),"")=0,"",IF(MID(IFERROR(INDEX(醫師週班表!$C$5:$T$44,$CU43,AP$57),""),2,1)="/",MID(IFERROR(INDEX(醫師週班表!$C$5:$T$44,$CU43,AP$57),""),1+AP$58*2,1),IF(MID(IFERROR(INDEX(醫師週班表!$C$5:$T$44,$CU43,AP$57),""),3,1)="隔",IF(AP$58=0,LEFT(IFERROR(INDEX(醫師週班表!$C$5:$T$44,$CU43,AP$57),""),1),""),IF(MID(IFERROR(INDEX(醫師週班表!$C$5:$T$44,$CU43,AP$57),""),2,1)="(",LEFT(IFERROR(INDEX(醫師週班表!$C$5:$T$44,$CU43,AP$57),""),1),IFERROR(INDEX(醫師週班表!$C$5:$T$44,$CU43,AP$57),"")))))))</f>
        <v/>
      </c>
      <c r="AQ43" s="68">
        <f>IF(AQ$59="X","",IF(AQ$59&lt;&gt;"",AQ$59,IF(IFERROR(INDEX(醫師週班表!$C$5:$T$44,$CU43,AQ$57),"")=0,"",IF(MID(IFERROR(INDEX(醫師週班表!$C$5:$T$44,$CU43,AQ$57),""),2,1)="/",MID(IFERROR(INDEX(醫師週班表!$C$5:$T$44,$CU43,AQ$57),""),1+AQ$58*2,1),IF(MID(IFERROR(INDEX(醫師週班表!$C$5:$T$44,$CU43,AQ$57),""),3,1)="隔",IF(AQ$58=0,LEFT(IFERROR(INDEX(醫師週班表!$C$5:$T$44,$CU43,AQ$57),""),1),""),IF(MID(IFERROR(INDEX(醫師週班表!$C$5:$T$44,$CU43,AQ$57),""),2,1)="(",LEFT(IFERROR(INDEX(醫師週班表!$C$5:$T$44,$CU43,AQ$57),""),1),IFERROR(INDEX(醫師週班表!$C$5:$T$44,$CU43,AQ$57),"")))))))</f>
        <v/>
      </c>
      <c r="AR43" s="67">
        <f>IF(AR$59="X","",IF(AR$59&lt;&gt;"",AR$59,IF(IFERROR(INDEX(醫師週班表!$C$5:$T$44,$CU43,AR$57),"")=0,"",IF(MID(IFERROR(INDEX(醫師週班表!$C$5:$T$44,$CU43,AR$57),""),2,1)="/",MID(IFERROR(INDEX(醫師週班表!$C$5:$T$44,$CU43,AR$57),""),1+AR$58*2,1),IF(MID(IFERROR(INDEX(醫師週班表!$C$5:$T$44,$CU43,AR$57),""),3,1)="隔",IF(AR$58=0,LEFT(IFERROR(INDEX(醫師週班表!$C$5:$T$44,$CU43,AR$57),""),1),""),IF(MID(IFERROR(INDEX(醫師週班表!$C$5:$T$44,$CU43,AR$57),""),2,1)="(",LEFT(IFERROR(INDEX(醫師週班表!$C$5:$T$44,$CU43,AR$57),""),1),IFERROR(INDEX(醫師週班表!$C$5:$T$44,$CU43,AR$57),"")))))))</f>
        <v/>
      </c>
      <c r="AS43" s="68">
        <f>IF(AS$59="X","",IF(AS$59&lt;&gt;"",AS$59,IF(IFERROR(INDEX(醫師週班表!$C$5:$T$44,$CU43,AS$57),"")=0,"",IF(MID(IFERROR(INDEX(醫師週班表!$C$5:$T$44,$CU43,AS$57),""),2,1)="/",MID(IFERROR(INDEX(醫師週班表!$C$5:$T$44,$CU43,AS$57),""),1+AS$58*2,1),IF(MID(IFERROR(INDEX(醫師週班表!$C$5:$T$44,$CU43,AS$57),""),3,1)="隔",IF(AS$58=0,LEFT(IFERROR(INDEX(醫師週班表!$C$5:$T$44,$CU43,AS$57),""),1),""),IF(MID(IFERROR(INDEX(醫師週班表!$C$5:$T$44,$CU43,AS$57),""),2,1)="(",LEFT(IFERROR(INDEX(醫師週班表!$C$5:$T$44,$CU43,AS$57),""),1),IFERROR(INDEX(醫師週班表!$C$5:$T$44,$CU43,AS$57),"")))))))</f>
        <v/>
      </c>
      <c r="AT43" s="68">
        <f>IF(AT$59="X","",IF(AT$59&lt;&gt;"",AT$59,IF(IFERROR(INDEX(醫師週班表!$C$5:$T$44,$CU43,AT$57),"")=0,"",IF(MID(IFERROR(INDEX(醫師週班表!$C$5:$T$44,$CU43,AT$57),""),2,1)="/",MID(IFERROR(INDEX(醫師週班表!$C$5:$T$44,$CU43,AT$57),""),1+AT$58*2,1),IF(MID(IFERROR(INDEX(醫師週班表!$C$5:$T$44,$CU43,AT$57),""),3,1)="隔",IF(AT$58=0,LEFT(IFERROR(INDEX(醫師週班表!$C$5:$T$44,$CU43,AT$57),""),1),""),IF(MID(IFERROR(INDEX(醫師週班表!$C$5:$T$44,$CU43,AT$57),""),2,1)="(",LEFT(IFERROR(INDEX(醫師週班表!$C$5:$T$44,$CU43,AT$57),""),1),IFERROR(INDEX(醫師週班表!$C$5:$T$44,$CU43,AT$57),"")))))))</f>
        <v/>
      </c>
      <c r="AU43" s="67">
        <f>IF(AU$59="X","",IF(AU$59&lt;&gt;"",AU$59,IF(IFERROR(INDEX(醫師週班表!$C$5:$T$44,$CU43,AU$57),"")=0,"",IF(MID(IFERROR(INDEX(醫師週班表!$C$5:$T$44,$CU43,AU$57),""),2,1)="/",MID(IFERROR(INDEX(醫師週班表!$C$5:$T$44,$CU43,AU$57),""),1+AU$58*2,1),IF(MID(IFERROR(INDEX(醫師週班表!$C$5:$T$44,$CU43,AU$57),""),3,1)="隔",IF(AU$58=0,LEFT(IFERROR(INDEX(醫師週班表!$C$5:$T$44,$CU43,AU$57),""),1),""),IF(MID(IFERROR(INDEX(醫師週班表!$C$5:$T$44,$CU43,AU$57),""),2,1)="(",LEFT(IFERROR(INDEX(醫師週班表!$C$5:$T$44,$CU43,AU$57),""),1),IFERROR(INDEX(醫師週班表!$C$5:$T$44,$CU43,AU$57),"")))))))</f>
        <v/>
      </c>
      <c r="AV43" s="68">
        <f>IF(AV$59="X","",IF(AV$59&lt;&gt;"",AV$59,IF(IFERROR(INDEX(醫師週班表!$C$5:$T$44,$CU43,AV$57),"")=0,"",IF(MID(IFERROR(INDEX(醫師週班表!$C$5:$T$44,$CU43,AV$57),""),2,1)="/",MID(IFERROR(INDEX(醫師週班表!$C$5:$T$44,$CU43,AV$57),""),1+AV$58*2,1),IF(MID(IFERROR(INDEX(醫師週班表!$C$5:$T$44,$CU43,AV$57),""),3,1)="隔",IF(AV$58=0,LEFT(IFERROR(INDEX(醫師週班表!$C$5:$T$44,$CU43,AV$57),""),1),""),IF(MID(IFERROR(INDEX(醫師週班表!$C$5:$T$44,$CU43,AV$57),""),2,1)="(",LEFT(IFERROR(INDEX(醫師週班表!$C$5:$T$44,$CU43,AV$57),""),1),IFERROR(INDEX(醫師週班表!$C$5:$T$44,$CU43,AV$57),"")))))))</f>
        <v/>
      </c>
      <c r="AW43" s="68">
        <f>IF(AW$59="X","",IF(AW$59&lt;&gt;"",AW$59,IF(IFERROR(INDEX(醫師週班表!$C$5:$T$44,$CU43,AW$57),"")=0,"",IF(MID(IFERROR(INDEX(醫師週班表!$C$5:$T$44,$CU43,AW$57),""),2,1)="/",MID(IFERROR(INDEX(醫師週班表!$C$5:$T$44,$CU43,AW$57),""),1+AW$58*2,1),IF(MID(IFERROR(INDEX(醫師週班表!$C$5:$T$44,$CU43,AW$57),""),3,1)="隔",IF(AW$58=0,LEFT(IFERROR(INDEX(醫師週班表!$C$5:$T$44,$CU43,AW$57),""),1),""),IF(MID(IFERROR(INDEX(醫師週班表!$C$5:$T$44,$CU43,AW$57),""),2,1)="(",LEFT(IFERROR(INDEX(醫師週班表!$C$5:$T$44,$CU43,AW$57),""),1),IFERROR(INDEX(醫師週班表!$C$5:$T$44,$CU43,AW$57),"")))))))</f>
        <v/>
      </c>
      <c r="AX43" s="67">
        <f>IF(AX$59="X","",IF(AX$59&lt;&gt;"",AX$59,IF(IFERROR(INDEX(醫師週班表!$C$5:$T$44,$CU43,AX$57),"")=0,"",IF(MID(IFERROR(INDEX(醫師週班表!$C$5:$T$44,$CU43,AX$57),""),2,1)="/",MID(IFERROR(INDEX(醫師週班表!$C$5:$T$44,$CU43,AX$57),""),1+AX$58*2,1),IF(MID(IFERROR(INDEX(醫師週班表!$C$5:$T$44,$CU43,AX$57),""),3,1)="隔",IF(AX$58=0,LEFT(IFERROR(INDEX(醫師週班表!$C$5:$T$44,$CU43,AX$57),""),1),""),IF(MID(IFERROR(INDEX(醫師週班表!$C$5:$T$44,$CU43,AX$57),""),2,1)="(",LEFT(IFERROR(INDEX(醫師週班表!$C$5:$T$44,$CU43,AX$57),""),1),IFERROR(INDEX(醫師週班表!$C$5:$T$44,$CU43,AX$57),"")))))))</f>
        <v/>
      </c>
      <c r="AY43" s="68">
        <f>IF(AY$59="X","",IF(AY$59&lt;&gt;"",AY$59,IF(IFERROR(INDEX(醫師週班表!$C$5:$T$44,$CU43,AY$57),"")=0,"",IF(MID(IFERROR(INDEX(醫師週班表!$C$5:$T$44,$CU43,AY$57),""),2,1)="/",MID(IFERROR(INDEX(醫師週班表!$C$5:$T$44,$CU43,AY$57),""),1+AY$58*2,1),IF(MID(IFERROR(INDEX(醫師週班表!$C$5:$T$44,$CU43,AY$57),""),3,1)="隔",IF(AY$58=0,LEFT(IFERROR(INDEX(醫師週班表!$C$5:$T$44,$CU43,AY$57),""),1),""),IF(MID(IFERROR(INDEX(醫師週班表!$C$5:$T$44,$CU43,AY$57),""),2,1)="(",LEFT(IFERROR(INDEX(醫師週班表!$C$5:$T$44,$CU43,AY$57),""),1),IFERROR(INDEX(醫師週班表!$C$5:$T$44,$CU43,AY$57),"")))))))</f>
        <v/>
      </c>
      <c r="AZ43" s="68">
        <f>IF(AZ$59="X","",IF(AZ$59&lt;&gt;"",AZ$59,IF(IFERROR(INDEX(醫師週班表!$C$5:$T$44,$CU43,AZ$57),"")=0,"",IF(MID(IFERROR(INDEX(醫師週班表!$C$5:$T$44,$CU43,AZ$57),""),2,1)="/",MID(IFERROR(INDEX(醫師週班表!$C$5:$T$44,$CU43,AZ$57),""),1+AZ$58*2,1),IF(MID(IFERROR(INDEX(醫師週班表!$C$5:$T$44,$CU43,AZ$57),""),3,1)="隔",IF(AZ$58=0,LEFT(IFERROR(INDEX(醫師週班表!$C$5:$T$44,$CU43,AZ$57),""),1),""),IF(MID(IFERROR(INDEX(醫師週班表!$C$5:$T$44,$CU43,AZ$57),""),2,1)="(",LEFT(IFERROR(INDEX(醫師週班表!$C$5:$T$44,$CU43,AZ$57),""),1),IFERROR(INDEX(醫師週班表!$C$5:$T$44,$CU43,AZ$57),"")))))))</f>
        <v/>
      </c>
      <c r="BA43" s="67">
        <f>IF(BA$59="X","",IF(BA$59&lt;&gt;"",BA$59,IF(IFERROR(INDEX(醫師週班表!$C$5:$T$44,$CU43,BA$57),"")=0,"",IF(MID(IFERROR(INDEX(醫師週班表!$C$5:$T$44,$CU43,BA$57),""),2,1)="/",MID(IFERROR(INDEX(醫師週班表!$C$5:$T$44,$CU43,BA$57),""),1+BA$58*2,1),IF(MID(IFERROR(INDEX(醫師週班表!$C$5:$T$44,$CU43,BA$57),""),3,1)="隔",IF(BA$58=0,LEFT(IFERROR(INDEX(醫師週班表!$C$5:$T$44,$CU43,BA$57),""),1),""),IF(MID(IFERROR(INDEX(醫師週班表!$C$5:$T$44,$CU43,BA$57),""),2,1)="(",LEFT(IFERROR(INDEX(醫師週班表!$C$5:$T$44,$CU43,BA$57),""),1),IFERROR(INDEX(醫師週班表!$C$5:$T$44,$CU43,BA$57),"")))))))</f>
        <v/>
      </c>
      <c r="BB43" s="68">
        <f>IF(BB$59="X","",IF(BB$59&lt;&gt;"",BB$59,IF(IFERROR(INDEX(醫師週班表!$C$5:$T$44,$CU43,BB$57),"")=0,"",IF(MID(IFERROR(INDEX(醫師週班表!$C$5:$T$44,$CU43,BB$57),""),2,1)="/",MID(IFERROR(INDEX(醫師週班表!$C$5:$T$44,$CU43,BB$57),""),1+BB$58*2,1),IF(MID(IFERROR(INDEX(醫師週班表!$C$5:$T$44,$CU43,BB$57),""),3,1)="隔",IF(BB$58=0,LEFT(IFERROR(INDEX(醫師週班表!$C$5:$T$44,$CU43,BB$57),""),1),""),IF(MID(IFERROR(INDEX(醫師週班表!$C$5:$T$44,$CU43,BB$57),""),2,1)="(",LEFT(IFERROR(INDEX(醫師週班表!$C$5:$T$44,$CU43,BB$57),""),1),IFERROR(INDEX(醫師週班表!$C$5:$T$44,$CU43,BB$57),"")))))))</f>
        <v/>
      </c>
      <c r="BC43" s="68">
        <f>IF(BC$59="X","",IF(BC$59&lt;&gt;"",BC$59,IF(IFERROR(INDEX(醫師週班表!$C$5:$T$44,$CU43,BC$57),"")=0,"",IF(MID(IFERROR(INDEX(醫師週班表!$C$5:$T$44,$CU43,BC$57),""),2,1)="/",MID(IFERROR(INDEX(醫師週班表!$C$5:$T$44,$CU43,BC$57),""),1+BC$58*2,1),IF(MID(IFERROR(INDEX(醫師週班表!$C$5:$T$44,$CU43,BC$57),""),3,1)="隔",IF(BC$58=0,LEFT(IFERROR(INDEX(醫師週班表!$C$5:$T$44,$CU43,BC$57),""),1),""),IF(MID(IFERROR(INDEX(醫師週班表!$C$5:$T$44,$CU43,BC$57),""),2,1)="(",LEFT(IFERROR(INDEX(醫師週班表!$C$5:$T$44,$CU43,BC$57),""),1),IFERROR(INDEX(醫師週班表!$C$5:$T$44,$CU43,BC$57),"")))))))</f>
        <v/>
      </c>
      <c r="BD43" s="67">
        <f>IF(BD$59="X","",IF(BD$59&lt;&gt;"",BD$59,IF(IFERROR(INDEX(醫師週班表!$C$5:$T$44,$CU43,BD$57),"")=0,"",IF(MID(IFERROR(INDEX(醫師週班表!$C$5:$T$44,$CU43,BD$57),""),2,1)="/",MID(IFERROR(INDEX(醫師週班表!$C$5:$T$44,$CU43,BD$57),""),1+BD$58*2,1),IF(MID(IFERROR(INDEX(醫師週班表!$C$5:$T$44,$CU43,BD$57),""),3,1)="隔",IF(BD$58=0,LEFT(IFERROR(INDEX(醫師週班表!$C$5:$T$44,$CU43,BD$57),""),1),""),IF(MID(IFERROR(INDEX(醫師週班表!$C$5:$T$44,$CU43,BD$57),""),2,1)="(",LEFT(IFERROR(INDEX(醫師週班表!$C$5:$T$44,$CU43,BD$57),""),1),IFERROR(INDEX(醫師週班表!$C$5:$T$44,$CU43,BD$57),"")))))))</f>
        <v/>
      </c>
      <c r="BE43" s="68">
        <f>IF(BE$59="X","",IF(BE$59&lt;&gt;"",BE$59,IF(IFERROR(INDEX(醫師週班表!$C$5:$T$44,$CU43,BE$57),"")=0,"",IF(MID(IFERROR(INDEX(醫師週班表!$C$5:$T$44,$CU43,BE$57),""),2,1)="/",MID(IFERROR(INDEX(醫師週班表!$C$5:$T$44,$CU43,BE$57),""),1+BE$58*2,1),IF(MID(IFERROR(INDEX(醫師週班表!$C$5:$T$44,$CU43,BE$57),""),3,1)="隔",IF(BE$58=0,LEFT(IFERROR(INDEX(醫師週班表!$C$5:$T$44,$CU43,BE$57),""),1),""),IF(MID(IFERROR(INDEX(醫師週班表!$C$5:$T$44,$CU43,BE$57),""),2,1)="(",LEFT(IFERROR(INDEX(醫師週班表!$C$5:$T$44,$CU43,BE$57),""),1),IFERROR(INDEX(醫師週班表!$C$5:$T$44,$CU43,BE$57),"")))))))</f>
        <v/>
      </c>
      <c r="BF43" s="68">
        <f>IF(BF$59="X","",IF(BF$59&lt;&gt;"",BF$59,IF(IFERROR(INDEX(醫師週班表!$C$5:$T$44,$CU43,BF$57),"")=0,"",IF(MID(IFERROR(INDEX(醫師週班表!$C$5:$T$44,$CU43,BF$57),""),2,1)="/",MID(IFERROR(INDEX(醫師週班表!$C$5:$T$44,$CU43,BF$57),""),1+BF$58*2,1),IF(MID(IFERROR(INDEX(醫師週班表!$C$5:$T$44,$CU43,BF$57),""),3,1)="隔",IF(BF$58=0,LEFT(IFERROR(INDEX(醫師週班表!$C$5:$T$44,$CU43,BF$57),""),1),""),IF(MID(IFERROR(INDEX(醫師週班表!$C$5:$T$44,$CU43,BF$57),""),2,1)="(",LEFT(IFERROR(INDEX(醫師週班表!$C$5:$T$44,$CU43,BF$57),""),1),IFERROR(INDEX(醫師週班表!$C$5:$T$44,$CU43,BF$57),"")))))))</f>
        <v/>
      </c>
      <c r="BG43" s="67">
        <f>IF(BG$59="X","",IF(BG$59&lt;&gt;"",BG$59,IF(IFERROR(INDEX(醫師週班表!$C$5:$T$44,$CU43,BG$57),"")=0,"",IF(MID(IFERROR(INDEX(醫師週班表!$C$5:$T$44,$CU43,BG$57),""),2,1)="/",MID(IFERROR(INDEX(醫師週班表!$C$5:$T$44,$CU43,BG$57),""),1+BG$58*2,1),IF(MID(IFERROR(INDEX(醫師週班表!$C$5:$T$44,$CU43,BG$57),""),3,1)="隔",IF(BG$58=0,LEFT(IFERROR(INDEX(醫師週班表!$C$5:$T$44,$CU43,BG$57),""),1),""),IF(MID(IFERROR(INDEX(醫師週班表!$C$5:$T$44,$CU43,BG$57),""),2,1)="(",LEFT(IFERROR(INDEX(醫師週班表!$C$5:$T$44,$CU43,BG$57),""),1),IFERROR(INDEX(醫師週班表!$C$5:$T$44,$CU43,BG$57),"")))))))</f>
        <v/>
      </c>
      <c r="BH43" s="68">
        <f>IF(BH$59="X","",IF(BH$59&lt;&gt;"",BH$59,IF(IFERROR(INDEX(醫師週班表!$C$5:$T$44,$CU43,BH$57),"")=0,"",IF(MID(IFERROR(INDEX(醫師週班表!$C$5:$T$44,$CU43,BH$57),""),2,1)="/",MID(IFERROR(INDEX(醫師週班表!$C$5:$T$44,$CU43,BH$57),""),1+BH$58*2,1),IF(MID(IFERROR(INDEX(醫師週班表!$C$5:$T$44,$CU43,BH$57),""),3,1)="隔",IF(BH$58=0,LEFT(IFERROR(INDEX(醫師週班表!$C$5:$T$44,$CU43,BH$57),""),1),""),IF(MID(IFERROR(INDEX(醫師週班表!$C$5:$T$44,$CU43,BH$57),""),2,1)="(",LEFT(IFERROR(INDEX(醫師週班表!$C$5:$T$44,$CU43,BH$57),""),1),IFERROR(INDEX(醫師週班表!$C$5:$T$44,$CU43,BH$57),"")))))))</f>
        <v/>
      </c>
      <c r="BI43" s="68">
        <f>IF(BI$59="X","",IF(BI$59&lt;&gt;"",BI$59,IF(IFERROR(INDEX(醫師週班表!$C$5:$T$44,$CU43,BI$57),"")=0,"",IF(MID(IFERROR(INDEX(醫師週班表!$C$5:$T$44,$CU43,BI$57),""),2,1)="/",MID(IFERROR(INDEX(醫師週班表!$C$5:$T$44,$CU43,BI$57),""),1+BI$58*2,1),IF(MID(IFERROR(INDEX(醫師週班表!$C$5:$T$44,$CU43,BI$57),""),3,1)="隔",IF(BI$58=0,LEFT(IFERROR(INDEX(醫師週班表!$C$5:$T$44,$CU43,BI$57),""),1),""),IF(MID(IFERROR(INDEX(醫師週班表!$C$5:$T$44,$CU43,BI$57),""),2,1)="(",LEFT(IFERROR(INDEX(醫師週班表!$C$5:$T$44,$CU43,BI$57),""),1),IFERROR(INDEX(醫師週班表!$C$5:$T$44,$CU43,BI$57),"")))))))</f>
        <v/>
      </c>
      <c r="BJ43" s="67">
        <f>IF(BJ$59="X","",IF(BJ$59&lt;&gt;"",BJ$59,IF(IFERROR(INDEX(醫師週班表!$C$5:$T$44,$CU43,BJ$57),"")=0,"",IF(MID(IFERROR(INDEX(醫師週班表!$C$5:$T$44,$CU43,BJ$57),""),2,1)="/",MID(IFERROR(INDEX(醫師週班表!$C$5:$T$44,$CU43,BJ$57),""),1+BJ$58*2,1),IF(MID(IFERROR(INDEX(醫師週班表!$C$5:$T$44,$CU43,BJ$57),""),3,1)="隔",IF(BJ$58=0,LEFT(IFERROR(INDEX(醫師週班表!$C$5:$T$44,$CU43,BJ$57),""),1),""),IF(MID(IFERROR(INDEX(醫師週班表!$C$5:$T$44,$CU43,BJ$57),""),2,1)="(",LEFT(IFERROR(INDEX(醫師週班表!$C$5:$T$44,$CU43,BJ$57),""),1),IFERROR(INDEX(醫師週班表!$C$5:$T$44,$CU43,BJ$57),"")))))))</f>
        <v/>
      </c>
      <c r="BK43" s="68">
        <f>IF(BK$59="X","",IF(BK$59&lt;&gt;"",BK$59,IF(IFERROR(INDEX(醫師週班表!$C$5:$T$44,$CU43,BK$57),"")=0,"",IF(MID(IFERROR(INDEX(醫師週班表!$C$5:$T$44,$CU43,BK$57),""),2,1)="/",MID(IFERROR(INDEX(醫師週班表!$C$5:$T$44,$CU43,BK$57),""),1+BK$58*2,1),IF(MID(IFERROR(INDEX(醫師週班表!$C$5:$T$44,$CU43,BK$57),""),3,1)="隔",IF(BK$58=0,LEFT(IFERROR(INDEX(醫師週班表!$C$5:$T$44,$CU43,BK$57),""),1),""),IF(MID(IFERROR(INDEX(醫師週班表!$C$5:$T$44,$CU43,BK$57),""),2,1)="(",LEFT(IFERROR(INDEX(醫師週班表!$C$5:$T$44,$CU43,BK$57),""),1),IFERROR(INDEX(醫師週班表!$C$5:$T$44,$CU43,BK$57),"")))))))</f>
        <v/>
      </c>
      <c r="BL43" s="68">
        <f>IF(BL$59="X","",IF(BL$59&lt;&gt;"",BL$59,IF(IFERROR(INDEX(醫師週班表!$C$5:$T$44,$CU43,BL$57),"")=0,"",IF(MID(IFERROR(INDEX(醫師週班表!$C$5:$T$44,$CU43,BL$57),""),2,1)="/",MID(IFERROR(INDEX(醫師週班表!$C$5:$T$44,$CU43,BL$57),""),1+BL$58*2,1),IF(MID(IFERROR(INDEX(醫師週班表!$C$5:$T$44,$CU43,BL$57),""),3,1)="隔",IF(BL$58=0,LEFT(IFERROR(INDEX(醫師週班表!$C$5:$T$44,$CU43,BL$57),""),1),""),IF(MID(IFERROR(INDEX(醫師週班表!$C$5:$T$44,$CU43,BL$57),""),2,1)="(",LEFT(IFERROR(INDEX(醫師週班表!$C$5:$T$44,$CU43,BL$57),""),1),IFERROR(INDEX(醫師週班表!$C$5:$T$44,$CU43,BL$57),"")))))))</f>
        <v/>
      </c>
      <c r="BM43" s="67">
        <f>IF(BM$59="X","",IF(BM$59&lt;&gt;"",BM$59,IF(IFERROR(INDEX(醫師週班表!$C$5:$T$44,$CU43,BM$57),"")=0,"",IF(MID(IFERROR(INDEX(醫師週班表!$C$5:$T$44,$CU43,BM$57),""),2,1)="/",MID(IFERROR(INDEX(醫師週班表!$C$5:$T$44,$CU43,BM$57),""),1+BM$58*2,1),IF(MID(IFERROR(INDEX(醫師週班表!$C$5:$T$44,$CU43,BM$57),""),3,1)="隔",IF(BM$58=0,LEFT(IFERROR(INDEX(醫師週班表!$C$5:$T$44,$CU43,BM$57),""),1),""),IF(MID(IFERROR(INDEX(醫師週班表!$C$5:$T$44,$CU43,BM$57),""),2,1)="(",LEFT(IFERROR(INDEX(醫師週班表!$C$5:$T$44,$CU43,BM$57),""),1),IFERROR(INDEX(醫師週班表!$C$5:$T$44,$CU43,BM$57),"")))))))</f>
        <v/>
      </c>
      <c r="BN43" s="68">
        <f>IF(BN$59="X","",IF(BN$59&lt;&gt;"",BN$59,IF(IFERROR(INDEX(醫師週班表!$C$5:$T$44,$CU43,BN$57),"")=0,"",IF(MID(IFERROR(INDEX(醫師週班表!$C$5:$T$44,$CU43,BN$57),""),2,1)="/",MID(IFERROR(INDEX(醫師週班表!$C$5:$T$44,$CU43,BN$57),""),1+BN$58*2,1),IF(MID(IFERROR(INDEX(醫師週班表!$C$5:$T$44,$CU43,BN$57),""),3,1)="隔",IF(BN$58=0,LEFT(IFERROR(INDEX(醫師週班表!$C$5:$T$44,$CU43,BN$57),""),1),""),IF(MID(IFERROR(INDEX(醫師週班表!$C$5:$T$44,$CU43,BN$57),""),2,1)="(",LEFT(IFERROR(INDEX(醫師週班表!$C$5:$T$44,$CU43,BN$57),""),1),IFERROR(INDEX(醫師週班表!$C$5:$T$44,$CU43,BN$57),"")))))))</f>
        <v/>
      </c>
      <c r="BO43" s="68">
        <f>IF(BO$59="X","",IF(BO$59&lt;&gt;"",BO$59,IF(IFERROR(INDEX(醫師週班表!$C$5:$T$44,$CU43,BO$57),"")=0,"",IF(MID(IFERROR(INDEX(醫師週班表!$C$5:$T$44,$CU43,BO$57),""),2,1)="/",MID(IFERROR(INDEX(醫師週班表!$C$5:$T$44,$CU43,BO$57),""),1+BO$58*2,1),IF(MID(IFERROR(INDEX(醫師週班表!$C$5:$T$44,$CU43,BO$57),""),3,1)="隔",IF(BO$58=0,LEFT(IFERROR(INDEX(醫師週班表!$C$5:$T$44,$CU43,BO$57),""),1),""),IF(MID(IFERROR(INDEX(醫師週班表!$C$5:$T$44,$CU43,BO$57),""),2,1)="(",LEFT(IFERROR(INDEX(醫師週班表!$C$5:$T$44,$CU43,BO$57),""),1),IFERROR(INDEX(醫師週班表!$C$5:$T$44,$CU43,BO$57),"")))))))</f>
        <v/>
      </c>
      <c r="BP43" s="67">
        <f>IF(BP$59="X","",IF(BP$59&lt;&gt;"",BP$59,IF(IFERROR(INDEX(醫師週班表!$C$5:$T$44,$CU43,BP$57),"")=0,"",IF(MID(IFERROR(INDEX(醫師週班表!$C$5:$T$44,$CU43,BP$57),""),2,1)="/",MID(IFERROR(INDEX(醫師週班表!$C$5:$T$44,$CU43,BP$57),""),1+BP$58*2,1),IF(MID(IFERROR(INDEX(醫師週班表!$C$5:$T$44,$CU43,BP$57),""),3,1)="隔",IF(BP$58=0,LEFT(IFERROR(INDEX(醫師週班表!$C$5:$T$44,$CU43,BP$57),""),1),""),IF(MID(IFERROR(INDEX(醫師週班表!$C$5:$T$44,$CU43,BP$57),""),2,1)="(",LEFT(IFERROR(INDEX(醫師週班表!$C$5:$T$44,$CU43,BP$57),""),1),IFERROR(INDEX(醫師週班表!$C$5:$T$44,$CU43,BP$57),"")))))))</f>
        <v/>
      </c>
      <c r="BQ43" s="68">
        <f>IF(BQ$59="X","",IF(BQ$59&lt;&gt;"",BQ$59,IF(IFERROR(INDEX(醫師週班表!$C$5:$T$44,$CU43,BQ$57),"")=0,"",IF(MID(IFERROR(INDEX(醫師週班表!$C$5:$T$44,$CU43,BQ$57),""),2,1)="/",MID(IFERROR(INDEX(醫師週班表!$C$5:$T$44,$CU43,BQ$57),""),1+BQ$58*2,1),IF(MID(IFERROR(INDEX(醫師週班表!$C$5:$T$44,$CU43,BQ$57),""),3,1)="隔",IF(BQ$58=0,LEFT(IFERROR(INDEX(醫師週班表!$C$5:$T$44,$CU43,BQ$57),""),1),""),IF(MID(IFERROR(INDEX(醫師週班表!$C$5:$T$44,$CU43,BQ$57),""),2,1)="(",LEFT(IFERROR(INDEX(醫師週班表!$C$5:$T$44,$CU43,BQ$57),""),1),IFERROR(INDEX(醫師週班表!$C$5:$T$44,$CU43,BQ$57),"")))))))</f>
        <v/>
      </c>
      <c r="BR43" s="68">
        <f>IF(BR$59="X","",IF(BR$59&lt;&gt;"",BR$59,IF(IFERROR(INDEX(醫師週班表!$C$5:$T$44,$CU43,BR$57),"")=0,"",IF(MID(IFERROR(INDEX(醫師週班表!$C$5:$T$44,$CU43,BR$57),""),2,1)="/",MID(IFERROR(INDEX(醫師週班表!$C$5:$T$44,$CU43,BR$57),""),1+BR$58*2,1),IF(MID(IFERROR(INDEX(醫師週班表!$C$5:$T$44,$CU43,BR$57),""),3,1)="隔",IF(BR$58=0,LEFT(IFERROR(INDEX(醫師週班表!$C$5:$T$44,$CU43,BR$57),""),1),""),IF(MID(IFERROR(INDEX(醫師週班表!$C$5:$T$44,$CU43,BR$57),""),2,1)="(",LEFT(IFERROR(INDEX(醫師週班表!$C$5:$T$44,$CU43,BR$57),""),1),IFERROR(INDEX(醫師週班表!$C$5:$T$44,$CU43,BR$57),"")))))))</f>
        <v/>
      </c>
      <c r="BS43" s="67">
        <f>IF(BS$59="X","",IF(BS$59&lt;&gt;"",BS$59,IF(IFERROR(INDEX(醫師週班表!$C$5:$T$44,$CU43,BS$57),"")=0,"",IF(MID(IFERROR(INDEX(醫師週班表!$C$5:$T$44,$CU43,BS$57),""),2,1)="/",MID(IFERROR(INDEX(醫師週班表!$C$5:$T$44,$CU43,BS$57),""),1+BS$58*2,1),IF(MID(IFERROR(INDEX(醫師週班表!$C$5:$T$44,$CU43,BS$57),""),3,1)="隔",IF(BS$58=0,LEFT(IFERROR(INDEX(醫師週班表!$C$5:$T$44,$CU43,BS$57),""),1),""),IF(MID(IFERROR(INDEX(醫師週班表!$C$5:$T$44,$CU43,BS$57),""),2,1)="(",LEFT(IFERROR(INDEX(醫師週班表!$C$5:$T$44,$CU43,BS$57),""),1),IFERROR(INDEX(醫師週班表!$C$5:$T$44,$CU43,BS$57),"")))))))</f>
        <v/>
      </c>
      <c r="BT43" s="68">
        <f>IF(BT$59="X","",IF(BT$59&lt;&gt;"",BT$59,IF(IFERROR(INDEX(醫師週班表!$C$5:$T$44,$CU43,BT$57),"")=0,"",IF(MID(IFERROR(INDEX(醫師週班表!$C$5:$T$44,$CU43,BT$57),""),2,1)="/",MID(IFERROR(INDEX(醫師週班表!$C$5:$T$44,$CU43,BT$57),""),1+BT$58*2,1),IF(MID(IFERROR(INDEX(醫師週班表!$C$5:$T$44,$CU43,BT$57),""),3,1)="隔",IF(BT$58=0,LEFT(IFERROR(INDEX(醫師週班表!$C$5:$T$44,$CU43,BT$57),""),1),""),IF(MID(IFERROR(INDEX(醫師週班表!$C$5:$T$44,$CU43,BT$57),""),2,1)="(",LEFT(IFERROR(INDEX(醫師週班表!$C$5:$T$44,$CU43,BT$57),""),1),IFERROR(INDEX(醫師週班表!$C$5:$T$44,$CU43,BT$57),"")))))))</f>
        <v/>
      </c>
      <c r="BU43" s="68">
        <f>IF(BU$59="X","",IF(BU$59&lt;&gt;"",BU$59,IF(IFERROR(INDEX(醫師週班表!$C$5:$T$44,$CU43,BU$57),"")=0,"",IF(MID(IFERROR(INDEX(醫師週班表!$C$5:$T$44,$CU43,BU$57),""),2,1)="/",MID(IFERROR(INDEX(醫師週班表!$C$5:$T$44,$CU43,BU$57),""),1+BU$58*2,1),IF(MID(IFERROR(INDEX(醫師週班表!$C$5:$T$44,$CU43,BU$57),""),3,1)="隔",IF(BU$58=0,LEFT(IFERROR(INDEX(醫師週班表!$C$5:$T$44,$CU43,BU$57),""),1),""),IF(MID(IFERROR(INDEX(醫師週班表!$C$5:$T$44,$CU43,BU$57),""),2,1)="(",LEFT(IFERROR(INDEX(醫師週班表!$C$5:$T$44,$CU43,BU$57),""),1),IFERROR(INDEX(醫師週班表!$C$5:$T$44,$CU43,BU$57),"")))))))</f>
        <v/>
      </c>
      <c r="BV43" s="67">
        <f>IF(BV$59="X","",IF(BV$59&lt;&gt;"",BV$59,IF(IFERROR(INDEX(醫師週班表!$C$5:$T$44,$CU43,BV$57),"")=0,"",IF(MID(IFERROR(INDEX(醫師週班表!$C$5:$T$44,$CU43,BV$57),""),2,1)="/",MID(IFERROR(INDEX(醫師週班表!$C$5:$T$44,$CU43,BV$57),""),1+BV$58*2,1),IF(MID(IFERROR(INDEX(醫師週班表!$C$5:$T$44,$CU43,BV$57),""),3,1)="隔",IF(BV$58=0,LEFT(IFERROR(INDEX(醫師週班表!$C$5:$T$44,$CU43,BV$57),""),1),""),IF(MID(IFERROR(INDEX(醫師週班表!$C$5:$T$44,$CU43,BV$57),""),2,1)="(",LEFT(IFERROR(INDEX(醫師週班表!$C$5:$T$44,$CU43,BV$57),""),1),IFERROR(INDEX(醫師週班表!$C$5:$T$44,$CU43,BV$57),"")))))))</f>
        <v/>
      </c>
      <c r="BW43" s="68">
        <f>IF(BW$59="X","",IF(BW$59&lt;&gt;"",BW$59,IF(IFERROR(INDEX(醫師週班表!$C$5:$T$44,$CU43,BW$57),"")=0,"",IF(MID(IFERROR(INDEX(醫師週班表!$C$5:$T$44,$CU43,BW$57),""),2,1)="/",MID(IFERROR(INDEX(醫師週班表!$C$5:$T$44,$CU43,BW$57),""),1+BW$58*2,1),IF(MID(IFERROR(INDEX(醫師週班表!$C$5:$T$44,$CU43,BW$57),""),3,1)="隔",IF(BW$58=0,LEFT(IFERROR(INDEX(醫師週班表!$C$5:$T$44,$CU43,BW$57),""),1),""),IF(MID(IFERROR(INDEX(醫師週班表!$C$5:$T$44,$CU43,BW$57),""),2,1)="(",LEFT(IFERROR(INDEX(醫師週班表!$C$5:$T$44,$CU43,BW$57),""),1),IFERROR(INDEX(醫師週班表!$C$5:$T$44,$CU43,BW$57),"")))))))</f>
        <v/>
      </c>
      <c r="BX43" s="68">
        <f>IF(BX$59="X","",IF(BX$59&lt;&gt;"",BX$59,IF(IFERROR(INDEX(醫師週班表!$C$5:$T$44,$CU43,BX$57),"")=0,"",IF(MID(IFERROR(INDEX(醫師週班表!$C$5:$T$44,$CU43,BX$57),""),2,1)="/",MID(IFERROR(INDEX(醫師週班表!$C$5:$T$44,$CU43,BX$57),""),1+BX$58*2,1),IF(MID(IFERROR(INDEX(醫師週班表!$C$5:$T$44,$CU43,BX$57),""),3,1)="隔",IF(BX$58=0,LEFT(IFERROR(INDEX(醫師週班表!$C$5:$T$44,$CU43,BX$57),""),1),""),IF(MID(IFERROR(INDEX(醫師週班表!$C$5:$T$44,$CU43,BX$57),""),2,1)="(",LEFT(IFERROR(INDEX(醫師週班表!$C$5:$T$44,$CU43,BX$57),""),1),IFERROR(INDEX(醫師週班表!$C$5:$T$44,$CU43,BX$57),"")))))))</f>
        <v/>
      </c>
      <c r="BY43" s="67">
        <f>IF(BY$59="X","",IF(BY$59&lt;&gt;"",BY$59,IF(IFERROR(INDEX(醫師週班表!$C$5:$T$44,$CU43,BY$57),"")=0,"",IF(MID(IFERROR(INDEX(醫師週班表!$C$5:$T$44,$CU43,BY$57),""),2,1)="/",MID(IFERROR(INDEX(醫師週班表!$C$5:$T$44,$CU43,BY$57),""),1+BY$58*2,1),IF(MID(IFERROR(INDEX(醫師週班表!$C$5:$T$44,$CU43,BY$57),""),3,1)="隔",IF(BY$58=0,LEFT(IFERROR(INDEX(醫師週班表!$C$5:$T$44,$CU43,BY$57),""),1),""),IF(MID(IFERROR(INDEX(醫師週班表!$C$5:$T$44,$CU43,BY$57),""),2,1)="(",LEFT(IFERROR(INDEX(醫師週班表!$C$5:$T$44,$CU43,BY$57),""),1),IFERROR(INDEX(醫師週班表!$C$5:$T$44,$CU43,BY$57),"")))))))</f>
        <v/>
      </c>
      <c r="BZ43" s="68">
        <f>IF(BZ$59="X","",IF(BZ$59&lt;&gt;"",BZ$59,IF(IFERROR(INDEX(醫師週班表!$C$5:$T$44,$CU43,BZ$57),"")=0,"",IF(MID(IFERROR(INDEX(醫師週班表!$C$5:$T$44,$CU43,BZ$57),""),2,1)="/",MID(IFERROR(INDEX(醫師週班表!$C$5:$T$44,$CU43,BZ$57),""),1+BZ$58*2,1),IF(MID(IFERROR(INDEX(醫師週班表!$C$5:$T$44,$CU43,BZ$57),""),3,1)="隔",IF(BZ$58=0,LEFT(IFERROR(INDEX(醫師週班表!$C$5:$T$44,$CU43,BZ$57),""),1),""),IF(MID(IFERROR(INDEX(醫師週班表!$C$5:$T$44,$CU43,BZ$57),""),2,1)="(",LEFT(IFERROR(INDEX(醫師週班表!$C$5:$T$44,$CU43,BZ$57),""),1),IFERROR(INDEX(醫師週班表!$C$5:$T$44,$CU43,BZ$57),"")))))))</f>
        <v/>
      </c>
      <c r="CA43" s="68">
        <f>IF(CA$59="X","",IF(CA$59&lt;&gt;"",CA$59,IF(IFERROR(INDEX(醫師週班表!$C$5:$T$44,$CU43,CA$57),"")=0,"",IF(MID(IFERROR(INDEX(醫師週班表!$C$5:$T$44,$CU43,CA$57),""),2,1)="/",MID(IFERROR(INDEX(醫師週班表!$C$5:$T$44,$CU43,CA$57),""),1+CA$58*2,1),IF(MID(IFERROR(INDEX(醫師週班表!$C$5:$T$44,$CU43,CA$57),""),3,1)="隔",IF(CA$58=0,LEFT(IFERROR(INDEX(醫師週班表!$C$5:$T$44,$CU43,CA$57),""),1),""),IF(MID(IFERROR(INDEX(醫師週班表!$C$5:$T$44,$CU43,CA$57),""),2,1)="(",LEFT(IFERROR(INDEX(醫師週班表!$C$5:$T$44,$CU43,CA$57),""),1),IFERROR(INDEX(醫師週班表!$C$5:$T$44,$CU43,CA$57),"")))))))</f>
        <v/>
      </c>
      <c r="CB43" s="67">
        <f>IF(CB$59="X","",IF(CB$59&lt;&gt;"",CB$59,IF(IFERROR(INDEX(醫師週班表!$C$5:$T$44,$CU43,CB$57),"")=0,"",IF(MID(IFERROR(INDEX(醫師週班表!$C$5:$T$44,$CU43,CB$57),""),2,1)="/",MID(IFERROR(INDEX(醫師週班表!$C$5:$T$44,$CU43,CB$57),""),1+CB$58*2,1),IF(MID(IFERROR(INDEX(醫師週班表!$C$5:$T$44,$CU43,CB$57),""),3,1)="隔",IF(CB$58=0,LEFT(IFERROR(INDEX(醫師週班表!$C$5:$T$44,$CU43,CB$57),""),1),""),IF(MID(IFERROR(INDEX(醫師週班表!$C$5:$T$44,$CU43,CB$57),""),2,1)="(",LEFT(IFERROR(INDEX(醫師週班表!$C$5:$T$44,$CU43,CB$57),""),1),IFERROR(INDEX(醫師週班表!$C$5:$T$44,$CU43,CB$57),"")))))))</f>
        <v/>
      </c>
      <c r="CC43" s="68">
        <f>IF(CC$59="X","",IF(CC$59&lt;&gt;"",CC$59,IF(IFERROR(INDEX(醫師週班表!$C$5:$T$44,$CU43,CC$57),"")=0,"",IF(MID(IFERROR(INDEX(醫師週班表!$C$5:$T$44,$CU43,CC$57),""),2,1)="/",MID(IFERROR(INDEX(醫師週班表!$C$5:$T$44,$CU43,CC$57),""),1+CC$58*2,1),IF(MID(IFERROR(INDEX(醫師週班表!$C$5:$T$44,$CU43,CC$57),""),3,1)="隔",IF(CC$58=0,LEFT(IFERROR(INDEX(醫師週班表!$C$5:$T$44,$CU43,CC$57),""),1),""),IF(MID(IFERROR(INDEX(醫師週班表!$C$5:$T$44,$CU43,CC$57),""),2,1)="(",LEFT(IFERROR(INDEX(醫師週班表!$C$5:$T$44,$CU43,CC$57),""),1),IFERROR(INDEX(醫師週班表!$C$5:$T$44,$CU43,CC$57),"")))))))</f>
        <v/>
      </c>
      <c r="CD43" s="68">
        <f>IF(CD$59="X","",IF(CD$59&lt;&gt;"",CD$59,IF(IFERROR(INDEX(醫師週班表!$C$5:$T$44,$CU43,CD$57),"")=0,"",IF(MID(IFERROR(INDEX(醫師週班表!$C$5:$T$44,$CU43,CD$57),""),2,1)="/",MID(IFERROR(INDEX(醫師週班表!$C$5:$T$44,$CU43,CD$57),""),1+CD$58*2,1),IF(MID(IFERROR(INDEX(醫師週班表!$C$5:$T$44,$CU43,CD$57),""),3,1)="隔",IF(CD$58=0,LEFT(IFERROR(INDEX(醫師週班表!$C$5:$T$44,$CU43,CD$57),""),1),""),IF(MID(IFERROR(INDEX(醫師週班表!$C$5:$T$44,$CU43,CD$57),""),2,1)="(",LEFT(IFERROR(INDEX(醫師週班表!$C$5:$T$44,$CU43,CD$57),""),1),IFERROR(INDEX(醫師週班表!$C$5:$T$44,$CU43,CD$57),"")))))))</f>
        <v/>
      </c>
      <c r="CE43" s="67">
        <f>IF(CE$59="X","",IF(CE$59&lt;&gt;"",CE$59,IF(IFERROR(INDEX(醫師週班表!$C$5:$T$44,$CU43,CE$57),"")=0,"",IF(MID(IFERROR(INDEX(醫師週班表!$C$5:$T$44,$CU43,CE$57),""),2,1)="/",MID(IFERROR(INDEX(醫師週班表!$C$5:$T$44,$CU43,CE$57),""),1+CE$58*2,1),IF(MID(IFERROR(INDEX(醫師週班表!$C$5:$T$44,$CU43,CE$57),""),3,1)="隔",IF(CE$58=0,LEFT(IFERROR(INDEX(醫師週班表!$C$5:$T$44,$CU43,CE$57),""),1),""),IF(MID(IFERROR(INDEX(醫師週班表!$C$5:$T$44,$CU43,CE$57),""),2,1)="(",LEFT(IFERROR(INDEX(醫師週班表!$C$5:$T$44,$CU43,CE$57),""),1),IFERROR(INDEX(醫師週班表!$C$5:$T$44,$CU43,CE$57),"")))))))</f>
        <v/>
      </c>
      <c r="CF43" s="68">
        <f>IF(CF$59="X","",IF(CF$59&lt;&gt;"",CF$59,IF(IFERROR(INDEX(醫師週班表!$C$5:$T$44,$CU43,CF$57),"")=0,"",IF(MID(IFERROR(INDEX(醫師週班表!$C$5:$T$44,$CU43,CF$57),""),2,1)="/",MID(IFERROR(INDEX(醫師週班表!$C$5:$T$44,$CU43,CF$57),""),1+CF$58*2,1),IF(MID(IFERROR(INDEX(醫師週班表!$C$5:$T$44,$CU43,CF$57),""),3,1)="隔",IF(CF$58=0,LEFT(IFERROR(INDEX(醫師週班表!$C$5:$T$44,$CU43,CF$57),""),1),""),IF(MID(IFERROR(INDEX(醫師週班表!$C$5:$T$44,$CU43,CF$57),""),2,1)="(",LEFT(IFERROR(INDEX(醫師週班表!$C$5:$T$44,$CU43,CF$57),""),1),IFERROR(INDEX(醫師週班表!$C$5:$T$44,$CU43,CF$57),"")))))))</f>
        <v/>
      </c>
      <c r="CG43" s="68">
        <f>IF(CG$59="X","",IF(CG$59&lt;&gt;"",CG$59,IF(IFERROR(INDEX(醫師週班表!$C$5:$T$44,$CU43,CG$57),"")=0,"",IF(MID(IFERROR(INDEX(醫師週班表!$C$5:$T$44,$CU43,CG$57),""),2,1)="/",MID(IFERROR(INDEX(醫師週班表!$C$5:$T$44,$CU43,CG$57),""),1+CG$58*2,1),IF(MID(IFERROR(INDEX(醫師週班表!$C$5:$T$44,$CU43,CG$57),""),3,1)="隔",IF(CG$58=0,LEFT(IFERROR(INDEX(醫師週班表!$C$5:$T$44,$CU43,CG$57),""),1),""),IF(MID(IFERROR(INDEX(醫師週班表!$C$5:$T$44,$CU43,CG$57),""),2,1)="(",LEFT(IFERROR(INDEX(醫師週班表!$C$5:$T$44,$CU43,CG$57),""),1),IFERROR(INDEX(醫師週班表!$C$5:$T$44,$CU43,CG$57),"")))))))</f>
        <v/>
      </c>
      <c r="CH43" s="67">
        <f>IF(CH$59="X","",IF(CH$59&lt;&gt;"",CH$59,IF(IFERROR(INDEX(醫師週班表!$C$5:$T$44,$CU43,CH$57),"")=0,"",IF(MID(IFERROR(INDEX(醫師週班表!$C$5:$T$44,$CU43,CH$57),""),2,1)="/",MID(IFERROR(INDEX(醫師週班表!$C$5:$T$44,$CU43,CH$57),""),1+CH$58*2,1),IF(MID(IFERROR(INDEX(醫師週班表!$C$5:$T$44,$CU43,CH$57),""),3,1)="隔",IF(CH$58=0,LEFT(IFERROR(INDEX(醫師週班表!$C$5:$T$44,$CU43,CH$57),""),1),""),IF(MID(IFERROR(INDEX(醫師週班表!$C$5:$T$44,$CU43,CH$57),""),2,1)="(",LEFT(IFERROR(INDEX(醫師週班表!$C$5:$T$44,$CU43,CH$57),""),1),IFERROR(INDEX(醫師週班表!$C$5:$T$44,$CU43,CH$57),"")))))))</f>
        <v/>
      </c>
      <c r="CI43" s="68">
        <f>IF(CI$59="X","",IF(CI$59&lt;&gt;"",CI$59,IF(IFERROR(INDEX(醫師週班表!$C$5:$T$44,$CU43,CI$57),"")=0,"",IF(MID(IFERROR(INDEX(醫師週班表!$C$5:$T$44,$CU43,CI$57),""),2,1)="/",MID(IFERROR(INDEX(醫師週班表!$C$5:$T$44,$CU43,CI$57),""),1+CI$58*2,1),IF(MID(IFERROR(INDEX(醫師週班表!$C$5:$T$44,$CU43,CI$57),""),3,1)="隔",IF(CI$58=0,LEFT(IFERROR(INDEX(醫師週班表!$C$5:$T$44,$CU43,CI$57),""),1),""),IF(MID(IFERROR(INDEX(醫師週班表!$C$5:$T$44,$CU43,CI$57),""),2,1)="(",LEFT(IFERROR(INDEX(醫師週班表!$C$5:$T$44,$CU43,CI$57),""),1),IFERROR(INDEX(醫師週班表!$C$5:$T$44,$CU43,CI$57),"")))))))</f>
        <v/>
      </c>
      <c r="CJ43" s="68">
        <f>IF(CJ$59="X","",IF(CJ$59&lt;&gt;"",CJ$59,IF(IFERROR(INDEX(醫師週班表!$C$5:$T$44,$CU43,CJ$57),"")=0,"",IF(MID(IFERROR(INDEX(醫師週班表!$C$5:$T$44,$CU43,CJ$57),""),2,1)="/",MID(IFERROR(INDEX(醫師週班表!$C$5:$T$44,$CU43,CJ$57),""),1+CJ$58*2,1),IF(MID(IFERROR(INDEX(醫師週班表!$C$5:$T$44,$CU43,CJ$57),""),3,1)="隔",IF(CJ$58=0,LEFT(IFERROR(INDEX(醫師週班表!$C$5:$T$44,$CU43,CJ$57),""),1),""),IF(MID(IFERROR(INDEX(醫師週班表!$C$5:$T$44,$CU43,CJ$57),""),2,1)="(",LEFT(IFERROR(INDEX(醫師週班表!$C$5:$T$44,$CU43,CJ$57),""),1),IFERROR(INDEX(醫師週班表!$C$5:$T$44,$CU43,CJ$57),"")))))))</f>
        <v/>
      </c>
      <c r="CK43" s="67">
        <f>IF(CK$59="X","",IF(CK$59&lt;&gt;"",CK$59,IF(IFERROR(INDEX(醫師週班表!$C$5:$T$44,$CU43,CK$57),"")=0,"",IF(MID(IFERROR(INDEX(醫師週班表!$C$5:$T$44,$CU43,CK$57),""),2,1)="/",MID(IFERROR(INDEX(醫師週班表!$C$5:$T$44,$CU43,CK$57),""),1+CK$58*2,1),IF(MID(IFERROR(INDEX(醫師週班表!$C$5:$T$44,$CU43,CK$57),""),3,1)="隔",IF(CK$58=0,LEFT(IFERROR(INDEX(醫師週班表!$C$5:$T$44,$CU43,CK$57),""),1),""),IF(MID(IFERROR(INDEX(醫師週班表!$C$5:$T$44,$CU43,CK$57),""),2,1)="(",LEFT(IFERROR(INDEX(醫師週班表!$C$5:$T$44,$CU43,CK$57),""),1),IFERROR(INDEX(醫師週班表!$C$5:$T$44,$CU43,CK$57),"")))))))</f>
        <v/>
      </c>
      <c r="CL43" s="68">
        <f>IF(CL$59="X","",IF(CL$59&lt;&gt;"",CL$59,IF(IFERROR(INDEX(醫師週班表!$C$5:$T$44,$CU43,CL$57),"")=0,"",IF(MID(IFERROR(INDEX(醫師週班表!$C$5:$T$44,$CU43,CL$57),""),2,1)="/",MID(IFERROR(INDEX(醫師週班表!$C$5:$T$44,$CU43,CL$57),""),1+CL$58*2,1),IF(MID(IFERROR(INDEX(醫師週班表!$C$5:$T$44,$CU43,CL$57),""),3,1)="隔",IF(CL$58=0,LEFT(IFERROR(INDEX(醫師週班表!$C$5:$T$44,$CU43,CL$57),""),1),""),IF(MID(IFERROR(INDEX(醫師週班表!$C$5:$T$44,$CU43,CL$57),""),2,1)="(",LEFT(IFERROR(INDEX(醫師週班表!$C$5:$T$44,$CU43,CL$57),""),1),IFERROR(INDEX(醫師週班表!$C$5:$T$44,$CU43,CL$57),"")))))))</f>
        <v/>
      </c>
      <c r="CM43" s="68">
        <f>IF(CM$59="X","",IF(CM$59&lt;&gt;"",CM$59,IF(IFERROR(INDEX(醫師週班表!$C$5:$T$44,$CU43,CM$57),"")=0,"",IF(MID(IFERROR(INDEX(醫師週班表!$C$5:$T$44,$CU43,CM$57),""),2,1)="/",MID(IFERROR(INDEX(醫師週班表!$C$5:$T$44,$CU43,CM$57),""),1+CM$58*2,1),IF(MID(IFERROR(INDEX(醫師週班表!$C$5:$T$44,$CU43,CM$57),""),3,1)="隔",IF(CM$58=0,LEFT(IFERROR(INDEX(醫師週班表!$C$5:$T$44,$CU43,CM$57),""),1),""),IF(MID(IFERROR(INDEX(醫師週班表!$C$5:$T$44,$CU43,CM$57),""),2,1)="(",LEFT(IFERROR(INDEX(醫師週班表!$C$5:$T$44,$CU43,CM$57),""),1),IFERROR(INDEX(醫師週班表!$C$5:$T$44,$CU43,CM$57),"")))))))</f>
        <v/>
      </c>
      <c r="CN43" s="67">
        <f>IF(CN$59="X","",IF(CN$59&lt;&gt;"",CN$59,IF(IFERROR(INDEX(醫師週班表!$C$5:$T$44,$CU43,CN$57),"")=0,"",IF(MID(IFERROR(INDEX(醫師週班表!$C$5:$T$44,$CU43,CN$57),""),2,1)="/",MID(IFERROR(INDEX(醫師週班表!$C$5:$T$44,$CU43,CN$57),""),1+CN$58*2,1),IF(MID(IFERROR(INDEX(醫師週班表!$C$5:$T$44,$CU43,CN$57),""),3,1)="隔",IF(CN$58=0,LEFT(IFERROR(INDEX(醫師週班表!$C$5:$T$44,$CU43,CN$57),""),1),""),IF(MID(IFERROR(INDEX(醫師週班表!$C$5:$T$44,$CU43,CN$57),""),2,1)="(",LEFT(IFERROR(INDEX(醫師週班表!$C$5:$T$44,$CU43,CN$57),""),1),IFERROR(INDEX(醫師週班表!$C$5:$T$44,$CU43,CN$57),"")))))))</f>
        <v/>
      </c>
      <c r="CO43" s="68">
        <f>IF(CO$59="X","",IF(CO$59&lt;&gt;"",CO$59,IF(IFERROR(INDEX(醫師週班表!$C$5:$T$44,$CU43,CO$57),"")=0,"",IF(MID(IFERROR(INDEX(醫師週班表!$C$5:$T$44,$CU43,CO$57),""),2,1)="/",MID(IFERROR(INDEX(醫師週班表!$C$5:$T$44,$CU43,CO$57),""),1+CO$58*2,1),IF(MID(IFERROR(INDEX(醫師週班表!$C$5:$T$44,$CU43,CO$57),""),3,1)="隔",IF(CO$58=0,LEFT(IFERROR(INDEX(醫師週班表!$C$5:$T$44,$CU43,CO$57),""),1),""),IF(MID(IFERROR(INDEX(醫師週班表!$C$5:$T$44,$CU43,CO$57),""),2,1)="(",LEFT(IFERROR(INDEX(醫師週班表!$C$5:$T$44,$CU43,CO$57),""),1),IFERROR(INDEX(醫師週班表!$C$5:$T$44,$CU43,CO$57),"")))))))</f>
        <v/>
      </c>
      <c r="CP43" s="68">
        <f>IF(CP$59="X","",IF(CP$59&lt;&gt;"",CP$59,IF(IFERROR(INDEX(醫師週班表!$C$5:$T$44,$CU43,CP$57),"")=0,"",IF(MID(IFERROR(INDEX(醫師週班表!$C$5:$T$44,$CU43,CP$57),""),2,1)="/",MID(IFERROR(INDEX(醫師週班表!$C$5:$T$44,$CU43,CP$57),""),1+CP$58*2,1),IF(MID(IFERROR(INDEX(醫師週班表!$C$5:$T$44,$CU43,CP$57),""),3,1)="隔",IF(CP$58=0,LEFT(IFERROR(INDEX(醫師週班表!$C$5:$T$44,$CU43,CP$57),""),1),""),IF(MID(IFERROR(INDEX(醫師週班表!$C$5:$T$44,$CU43,CP$57),""),2,1)="(",LEFT(IFERROR(INDEX(醫師週班表!$C$5:$T$44,$CU43,CP$57),""),1),IFERROR(INDEX(醫師週班表!$C$5:$T$44,$CU43,CP$57),"")))))))</f>
        <v/>
      </c>
      <c r="CQ43" s="67">
        <f>IF(CQ$59="X","",IF(CQ$59&lt;&gt;"",CQ$59,IF(IFERROR(INDEX(醫師週班表!$C$5:$T$44,$CU43,CQ$57),"")=0,"",IF(MID(IFERROR(INDEX(醫師週班表!$C$5:$T$44,$CU43,CQ$57),""),2,1)="/",MID(IFERROR(INDEX(醫師週班表!$C$5:$T$44,$CU43,CQ$57),""),1+CQ$58*2,1),IF(MID(IFERROR(INDEX(醫師週班表!$C$5:$T$44,$CU43,CQ$57),""),3,1)="隔",IF(CQ$58=0,LEFT(IFERROR(INDEX(醫師週班表!$C$5:$T$44,$CU43,CQ$57),""),1),""),IF(MID(IFERROR(INDEX(醫師週班表!$C$5:$T$44,$CU43,CQ$57),""),2,1)="(",LEFT(IFERROR(INDEX(醫師週班表!$C$5:$T$44,$CU43,CQ$57),""),1),IFERROR(INDEX(醫師週班表!$C$5:$T$44,$CU43,CQ$57),"")))))))</f>
        <v/>
      </c>
      <c r="CR43" s="68">
        <f>IF(CR$59="X","",IF(CR$59&lt;&gt;"",CR$59,IF(IFERROR(INDEX(醫師週班表!$C$5:$T$44,$CU43,CR$57),"")=0,"",IF(MID(IFERROR(INDEX(醫師週班表!$C$5:$T$44,$CU43,CR$57),""),2,1)="/",MID(IFERROR(INDEX(醫師週班表!$C$5:$T$44,$CU43,CR$57),""),1+CR$58*2,1),IF(MID(IFERROR(INDEX(醫師週班表!$C$5:$T$44,$CU43,CR$57),""),3,1)="隔",IF(CR$58=0,LEFT(IFERROR(INDEX(醫師週班表!$C$5:$T$44,$CU43,CR$57),""),1),""),IF(MID(IFERROR(INDEX(醫師週班表!$C$5:$T$44,$CU43,CR$57),""),2,1)="(",LEFT(IFERROR(INDEX(醫師週班表!$C$5:$T$44,$CU43,CR$57),""),1),IFERROR(INDEX(醫師週班表!$C$5:$T$44,$CU43,CR$57),"")))))))</f>
        <v/>
      </c>
      <c r="CS43" s="68">
        <f>IF(CS$59="X","",IF(CS$59&lt;&gt;"",CS$59,IF(IFERROR(INDEX(醫師週班表!$C$5:$T$44,$CU43,CS$57),"")=0,"",IF(MID(IFERROR(INDEX(醫師週班表!$C$5:$T$44,$CU43,CS$57),""),2,1)="/",MID(IFERROR(INDEX(醫師週班表!$C$5:$T$44,$CU43,CS$57),""),1+CS$58*2,1),IF(MID(IFERROR(INDEX(醫師週班表!$C$5:$T$44,$CU43,CS$57),""),3,1)="隔",IF(CS$58=0,LEFT(IFERROR(INDEX(醫師週班表!$C$5:$T$44,$CU43,CS$57),""),1),""),IF(MID(IFERROR(INDEX(醫師週班表!$C$5:$T$44,$CU43,CS$57),""),2,1)="(",LEFT(IFERROR(INDEX(醫師週班表!$C$5:$T$44,$CU43,CS$57),""),1),IFERROR(INDEX(醫師週班表!$C$5:$T$44,$CU43,CS$57),"")))))))</f>
        <v/>
      </c>
      <c r="CU43" s="69">
        <f>IFERROR(MATCH($A43,醫師週班表!$A$5:$A$44,0),0)</f>
        <v/>
      </c>
    </row>
    <row r="44" ht="17" customHeight="1">
      <c r="A44" s="20" t="n"/>
      <c r="B44" s="16">
        <f>IFERROR(INDEX(設定!$C$62:$C$201,MATCH($A44,設定!$B$62:$B$201,0)),"")</f>
        <v/>
      </c>
      <c r="C44" s="66">
        <f>IFERROR(INDEX(設定!$E$62:$E$201,MATCH($A44,設定!$B$62:$B$201,0)),"")</f>
        <v/>
      </c>
      <c r="D44" s="16">
        <f>IFERROR(INDEX(設定!$F$62:$F$201,MATCH($A44,設定!$B$62:$B$201,0)),"")</f>
        <v/>
      </c>
      <c r="E44" s="67">
        <f>IF(E$59="X","",IF(E$59&lt;&gt;"",E$59,IF(IFERROR(INDEX(醫師週班表!$C$5:$T$44,$CU44,E$57),"")=0,"",IF(MID(IFERROR(INDEX(醫師週班表!$C$5:$T$44,$CU44,E$57),""),2,1)="/",MID(IFERROR(INDEX(醫師週班表!$C$5:$T$44,$CU44,E$57),""),1+E$58*2,1),IF(MID(IFERROR(INDEX(醫師週班表!$C$5:$T$44,$CU44,E$57),""),3,1)="隔",IF(E$58=0,LEFT(IFERROR(INDEX(醫師週班表!$C$5:$T$44,$CU44,E$57),""),1),""),IF(MID(IFERROR(INDEX(醫師週班表!$C$5:$T$44,$CU44,E$57),""),2,1)="(",LEFT(IFERROR(INDEX(醫師週班表!$C$5:$T$44,$CU44,E$57),""),1),IFERROR(INDEX(醫師週班表!$C$5:$T$44,$CU44,E$57),"")))))))</f>
        <v/>
      </c>
      <c r="F44" s="68">
        <f>IF(F$59="X","",IF(F$59&lt;&gt;"",F$59,IF(IFERROR(INDEX(醫師週班表!$C$5:$T$44,$CU44,F$57),"")=0,"",IF(MID(IFERROR(INDEX(醫師週班表!$C$5:$T$44,$CU44,F$57),""),2,1)="/",MID(IFERROR(INDEX(醫師週班表!$C$5:$T$44,$CU44,F$57),""),1+F$58*2,1),IF(MID(IFERROR(INDEX(醫師週班表!$C$5:$T$44,$CU44,F$57),""),3,1)="隔",IF(F$58=0,LEFT(IFERROR(INDEX(醫師週班表!$C$5:$T$44,$CU44,F$57),""),1),""),IF(MID(IFERROR(INDEX(醫師週班表!$C$5:$T$44,$CU44,F$57),""),2,1)="(",LEFT(IFERROR(INDEX(醫師週班表!$C$5:$T$44,$CU44,F$57),""),1),IFERROR(INDEX(醫師週班表!$C$5:$T$44,$CU44,F$57),"")))))))</f>
        <v/>
      </c>
      <c r="G44" s="68">
        <f>IF(G$59="X","",IF(G$59&lt;&gt;"",G$59,IF(IFERROR(INDEX(醫師週班表!$C$5:$T$44,$CU44,G$57),"")=0,"",IF(MID(IFERROR(INDEX(醫師週班表!$C$5:$T$44,$CU44,G$57),""),2,1)="/",MID(IFERROR(INDEX(醫師週班表!$C$5:$T$44,$CU44,G$57),""),1+G$58*2,1),IF(MID(IFERROR(INDEX(醫師週班表!$C$5:$T$44,$CU44,G$57),""),3,1)="隔",IF(G$58=0,LEFT(IFERROR(INDEX(醫師週班表!$C$5:$T$44,$CU44,G$57),""),1),""),IF(MID(IFERROR(INDEX(醫師週班表!$C$5:$T$44,$CU44,G$57),""),2,1)="(",LEFT(IFERROR(INDEX(醫師週班表!$C$5:$T$44,$CU44,G$57),""),1),IFERROR(INDEX(醫師週班表!$C$5:$T$44,$CU44,G$57),"")))))))</f>
        <v/>
      </c>
      <c r="H44" s="67">
        <f>IF(H$59="X","",IF(H$59&lt;&gt;"",H$59,IF(IFERROR(INDEX(醫師週班表!$C$5:$T$44,$CU44,H$57),"")=0,"",IF(MID(IFERROR(INDEX(醫師週班表!$C$5:$T$44,$CU44,H$57),""),2,1)="/",MID(IFERROR(INDEX(醫師週班表!$C$5:$T$44,$CU44,H$57),""),1+H$58*2,1),IF(MID(IFERROR(INDEX(醫師週班表!$C$5:$T$44,$CU44,H$57),""),3,1)="隔",IF(H$58=0,LEFT(IFERROR(INDEX(醫師週班表!$C$5:$T$44,$CU44,H$57),""),1),""),IF(MID(IFERROR(INDEX(醫師週班表!$C$5:$T$44,$CU44,H$57),""),2,1)="(",LEFT(IFERROR(INDEX(醫師週班表!$C$5:$T$44,$CU44,H$57),""),1),IFERROR(INDEX(醫師週班表!$C$5:$T$44,$CU44,H$57),"")))))))</f>
        <v/>
      </c>
      <c r="I44" s="68">
        <f>IF(I$59="X","",IF(I$59&lt;&gt;"",I$59,IF(IFERROR(INDEX(醫師週班表!$C$5:$T$44,$CU44,I$57),"")=0,"",IF(MID(IFERROR(INDEX(醫師週班表!$C$5:$T$44,$CU44,I$57),""),2,1)="/",MID(IFERROR(INDEX(醫師週班表!$C$5:$T$44,$CU44,I$57),""),1+I$58*2,1),IF(MID(IFERROR(INDEX(醫師週班表!$C$5:$T$44,$CU44,I$57),""),3,1)="隔",IF(I$58=0,LEFT(IFERROR(INDEX(醫師週班表!$C$5:$T$44,$CU44,I$57),""),1),""),IF(MID(IFERROR(INDEX(醫師週班表!$C$5:$T$44,$CU44,I$57),""),2,1)="(",LEFT(IFERROR(INDEX(醫師週班表!$C$5:$T$44,$CU44,I$57),""),1),IFERROR(INDEX(醫師週班表!$C$5:$T$44,$CU44,I$57),"")))))))</f>
        <v/>
      </c>
      <c r="J44" s="68">
        <f>IF(J$59="X","",IF(J$59&lt;&gt;"",J$59,IF(IFERROR(INDEX(醫師週班表!$C$5:$T$44,$CU44,J$57),"")=0,"",IF(MID(IFERROR(INDEX(醫師週班表!$C$5:$T$44,$CU44,J$57),""),2,1)="/",MID(IFERROR(INDEX(醫師週班表!$C$5:$T$44,$CU44,J$57),""),1+J$58*2,1),IF(MID(IFERROR(INDEX(醫師週班表!$C$5:$T$44,$CU44,J$57),""),3,1)="隔",IF(J$58=0,LEFT(IFERROR(INDEX(醫師週班表!$C$5:$T$44,$CU44,J$57),""),1),""),IF(MID(IFERROR(INDEX(醫師週班表!$C$5:$T$44,$CU44,J$57),""),2,1)="(",LEFT(IFERROR(INDEX(醫師週班表!$C$5:$T$44,$CU44,J$57),""),1),IFERROR(INDEX(醫師週班表!$C$5:$T$44,$CU44,J$57),"")))))))</f>
        <v/>
      </c>
      <c r="K44" s="67">
        <f>IF(K$59="X","",IF(K$59&lt;&gt;"",K$59,IF(IFERROR(INDEX(醫師週班表!$C$5:$T$44,$CU44,K$57),"")=0,"",IF(MID(IFERROR(INDEX(醫師週班表!$C$5:$T$44,$CU44,K$57),""),2,1)="/",MID(IFERROR(INDEX(醫師週班表!$C$5:$T$44,$CU44,K$57),""),1+K$58*2,1),IF(MID(IFERROR(INDEX(醫師週班表!$C$5:$T$44,$CU44,K$57),""),3,1)="隔",IF(K$58=0,LEFT(IFERROR(INDEX(醫師週班表!$C$5:$T$44,$CU44,K$57),""),1),""),IF(MID(IFERROR(INDEX(醫師週班表!$C$5:$T$44,$CU44,K$57),""),2,1)="(",LEFT(IFERROR(INDEX(醫師週班表!$C$5:$T$44,$CU44,K$57),""),1),IFERROR(INDEX(醫師週班表!$C$5:$T$44,$CU44,K$57),"")))))))</f>
        <v/>
      </c>
      <c r="L44" s="68">
        <f>IF(L$59="X","",IF(L$59&lt;&gt;"",L$59,IF(IFERROR(INDEX(醫師週班表!$C$5:$T$44,$CU44,L$57),"")=0,"",IF(MID(IFERROR(INDEX(醫師週班表!$C$5:$T$44,$CU44,L$57),""),2,1)="/",MID(IFERROR(INDEX(醫師週班表!$C$5:$T$44,$CU44,L$57),""),1+L$58*2,1),IF(MID(IFERROR(INDEX(醫師週班表!$C$5:$T$44,$CU44,L$57),""),3,1)="隔",IF(L$58=0,LEFT(IFERROR(INDEX(醫師週班表!$C$5:$T$44,$CU44,L$57),""),1),""),IF(MID(IFERROR(INDEX(醫師週班表!$C$5:$T$44,$CU44,L$57),""),2,1)="(",LEFT(IFERROR(INDEX(醫師週班表!$C$5:$T$44,$CU44,L$57),""),1),IFERROR(INDEX(醫師週班表!$C$5:$T$44,$CU44,L$57),"")))))))</f>
        <v/>
      </c>
      <c r="M44" s="68">
        <f>IF(M$59="X","",IF(M$59&lt;&gt;"",M$59,IF(IFERROR(INDEX(醫師週班表!$C$5:$T$44,$CU44,M$57),"")=0,"",IF(MID(IFERROR(INDEX(醫師週班表!$C$5:$T$44,$CU44,M$57),""),2,1)="/",MID(IFERROR(INDEX(醫師週班表!$C$5:$T$44,$CU44,M$57),""),1+M$58*2,1),IF(MID(IFERROR(INDEX(醫師週班表!$C$5:$T$44,$CU44,M$57),""),3,1)="隔",IF(M$58=0,LEFT(IFERROR(INDEX(醫師週班表!$C$5:$T$44,$CU44,M$57),""),1),""),IF(MID(IFERROR(INDEX(醫師週班表!$C$5:$T$44,$CU44,M$57),""),2,1)="(",LEFT(IFERROR(INDEX(醫師週班表!$C$5:$T$44,$CU44,M$57),""),1),IFERROR(INDEX(醫師週班表!$C$5:$T$44,$CU44,M$57),"")))))))</f>
        <v/>
      </c>
      <c r="N44" s="67">
        <f>IF(N$59="X","",IF(N$59&lt;&gt;"",N$59,IF(IFERROR(INDEX(醫師週班表!$C$5:$T$44,$CU44,N$57),"")=0,"",IF(MID(IFERROR(INDEX(醫師週班表!$C$5:$T$44,$CU44,N$57),""),2,1)="/",MID(IFERROR(INDEX(醫師週班表!$C$5:$T$44,$CU44,N$57),""),1+N$58*2,1),IF(MID(IFERROR(INDEX(醫師週班表!$C$5:$T$44,$CU44,N$57),""),3,1)="隔",IF(N$58=0,LEFT(IFERROR(INDEX(醫師週班表!$C$5:$T$44,$CU44,N$57),""),1),""),IF(MID(IFERROR(INDEX(醫師週班表!$C$5:$T$44,$CU44,N$57),""),2,1)="(",LEFT(IFERROR(INDEX(醫師週班表!$C$5:$T$44,$CU44,N$57),""),1),IFERROR(INDEX(醫師週班表!$C$5:$T$44,$CU44,N$57),"")))))))</f>
        <v/>
      </c>
      <c r="O44" s="68">
        <f>IF(O$59="X","",IF(O$59&lt;&gt;"",O$59,IF(IFERROR(INDEX(醫師週班表!$C$5:$T$44,$CU44,O$57),"")=0,"",IF(MID(IFERROR(INDEX(醫師週班表!$C$5:$T$44,$CU44,O$57),""),2,1)="/",MID(IFERROR(INDEX(醫師週班表!$C$5:$T$44,$CU44,O$57),""),1+O$58*2,1),IF(MID(IFERROR(INDEX(醫師週班表!$C$5:$T$44,$CU44,O$57),""),3,1)="隔",IF(O$58=0,LEFT(IFERROR(INDEX(醫師週班表!$C$5:$T$44,$CU44,O$57),""),1),""),IF(MID(IFERROR(INDEX(醫師週班表!$C$5:$T$44,$CU44,O$57),""),2,1)="(",LEFT(IFERROR(INDEX(醫師週班表!$C$5:$T$44,$CU44,O$57),""),1),IFERROR(INDEX(醫師週班表!$C$5:$T$44,$CU44,O$57),"")))))))</f>
        <v/>
      </c>
      <c r="P44" s="68">
        <f>IF(P$59="X","",IF(P$59&lt;&gt;"",P$59,IF(IFERROR(INDEX(醫師週班表!$C$5:$T$44,$CU44,P$57),"")=0,"",IF(MID(IFERROR(INDEX(醫師週班表!$C$5:$T$44,$CU44,P$57),""),2,1)="/",MID(IFERROR(INDEX(醫師週班表!$C$5:$T$44,$CU44,P$57),""),1+P$58*2,1),IF(MID(IFERROR(INDEX(醫師週班表!$C$5:$T$44,$CU44,P$57),""),3,1)="隔",IF(P$58=0,LEFT(IFERROR(INDEX(醫師週班表!$C$5:$T$44,$CU44,P$57),""),1),""),IF(MID(IFERROR(INDEX(醫師週班表!$C$5:$T$44,$CU44,P$57),""),2,1)="(",LEFT(IFERROR(INDEX(醫師週班表!$C$5:$T$44,$CU44,P$57),""),1),IFERROR(INDEX(醫師週班表!$C$5:$T$44,$CU44,P$57),"")))))))</f>
        <v/>
      </c>
      <c r="Q44" s="67">
        <f>IF(Q$59="X","",IF(Q$59&lt;&gt;"",Q$59,IF(IFERROR(INDEX(醫師週班表!$C$5:$T$44,$CU44,Q$57),"")=0,"",IF(MID(IFERROR(INDEX(醫師週班表!$C$5:$T$44,$CU44,Q$57),""),2,1)="/",MID(IFERROR(INDEX(醫師週班表!$C$5:$T$44,$CU44,Q$57),""),1+Q$58*2,1),IF(MID(IFERROR(INDEX(醫師週班表!$C$5:$T$44,$CU44,Q$57),""),3,1)="隔",IF(Q$58=0,LEFT(IFERROR(INDEX(醫師週班表!$C$5:$T$44,$CU44,Q$57),""),1),""),IF(MID(IFERROR(INDEX(醫師週班表!$C$5:$T$44,$CU44,Q$57),""),2,1)="(",LEFT(IFERROR(INDEX(醫師週班表!$C$5:$T$44,$CU44,Q$57),""),1),IFERROR(INDEX(醫師週班表!$C$5:$T$44,$CU44,Q$57),"")))))))</f>
        <v/>
      </c>
      <c r="R44" s="68">
        <f>IF(R$59="X","",IF(R$59&lt;&gt;"",R$59,IF(IFERROR(INDEX(醫師週班表!$C$5:$T$44,$CU44,R$57),"")=0,"",IF(MID(IFERROR(INDEX(醫師週班表!$C$5:$T$44,$CU44,R$57),""),2,1)="/",MID(IFERROR(INDEX(醫師週班表!$C$5:$T$44,$CU44,R$57),""),1+R$58*2,1),IF(MID(IFERROR(INDEX(醫師週班表!$C$5:$T$44,$CU44,R$57),""),3,1)="隔",IF(R$58=0,LEFT(IFERROR(INDEX(醫師週班表!$C$5:$T$44,$CU44,R$57),""),1),""),IF(MID(IFERROR(INDEX(醫師週班表!$C$5:$T$44,$CU44,R$57),""),2,1)="(",LEFT(IFERROR(INDEX(醫師週班表!$C$5:$T$44,$CU44,R$57),""),1),IFERROR(INDEX(醫師週班表!$C$5:$T$44,$CU44,R$57),"")))))))</f>
        <v/>
      </c>
      <c r="S44" s="68">
        <f>IF(S$59="X","",IF(S$59&lt;&gt;"",S$59,IF(IFERROR(INDEX(醫師週班表!$C$5:$T$44,$CU44,S$57),"")=0,"",IF(MID(IFERROR(INDEX(醫師週班表!$C$5:$T$44,$CU44,S$57),""),2,1)="/",MID(IFERROR(INDEX(醫師週班表!$C$5:$T$44,$CU44,S$57),""),1+S$58*2,1),IF(MID(IFERROR(INDEX(醫師週班表!$C$5:$T$44,$CU44,S$57),""),3,1)="隔",IF(S$58=0,LEFT(IFERROR(INDEX(醫師週班表!$C$5:$T$44,$CU44,S$57),""),1),""),IF(MID(IFERROR(INDEX(醫師週班表!$C$5:$T$44,$CU44,S$57),""),2,1)="(",LEFT(IFERROR(INDEX(醫師週班表!$C$5:$T$44,$CU44,S$57),""),1),IFERROR(INDEX(醫師週班表!$C$5:$T$44,$CU44,S$57),"")))))))</f>
        <v/>
      </c>
      <c r="T44" s="67">
        <f>IF(T$59="X","",IF(T$59&lt;&gt;"",T$59,IF(IFERROR(INDEX(醫師週班表!$C$5:$T$44,$CU44,T$57),"")=0,"",IF(MID(IFERROR(INDEX(醫師週班表!$C$5:$T$44,$CU44,T$57),""),2,1)="/",MID(IFERROR(INDEX(醫師週班表!$C$5:$T$44,$CU44,T$57),""),1+T$58*2,1),IF(MID(IFERROR(INDEX(醫師週班表!$C$5:$T$44,$CU44,T$57),""),3,1)="隔",IF(T$58=0,LEFT(IFERROR(INDEX(醫師週班表!$C$5:$T$44,$CU44,T$57),""),1),""),IF(MID(IFERROR(INDEX(醫師週班表!$C$5:$T$44,$CU44,T$57),""),2,1)="(",LEFT(IFERROR(INDEX(醫師週班表!$C$5:$T$44,$CU44,T$57),""),1),IFERROR(INDEX(醫師週班表!$C$5:$T$44,$CU44,T$57),"")))))))</f>
        <v/>
      </c>
      <c r="U44" s="68">
        <f>IF(U$59="X","",IF(U$59&lt;&gt;"",U$59,IF(IFERROR(INDEX(醫師週班表!$C$5:$T$44,$CU44,U$57),"")=0,"",IF(MID(IFERROR(INDEX(醫師週班表!$C$5:$T$44,$CU44,U$57),""),2,1)="/",MID(IFERROR(INDEX(醫師週班表!$C$5:$T$44,$CU44,U$57),""),1+U$58*2,1),IF(MID(IFERROR(INDEX(醫師週班表!$C$5:$T$44,$CU44,U$57),""),3,1)="隔",IF(U$58=0,LEFT(IFERROR(INDEX(醫師週班表!$C$5:$T$44,$CU44,U$57),""),1),""),IF(MID(IFERROR(INDEX(醫師週班表!$C$5:$T$44,$CU44,U$57),""),2,1)="(",LEFT(IFERROR(INDEX(醫師週班表!$C$5:$T$44,$CU44,U$57),""),1),IFERROR(INDEX(醫師週班表!$C$5:$T$44,$CU44,U$57),"")))))))</f>
        <v/>
      </c>
      <c r="V44" s="68">
        <f>IF(V$59="X","",IF(V$59&lt;&gt;"",V$59,IF(IFERROR(INDEX(醫師週班表!$C$5:$T$44,$CU44,V$57),"")=0,"",IF(MID(IFERROR(INDEX(醫師週班表!$C$5:$T$44,$CU44,V$57),""),2,1)="/",MID(IFERROR(INDEX(醫師週班表!$C$5:$T$44,$CU44,V$57),""),1+V$58*2,1),IF(MID(IFERROR(INDEX(醫師週班表!$C$5:$T$44,$CU44,V$57),""),3,1)="隔",IF(V$58=0,LEFT(IFERROR(INDEX(醫師週班表!$C$5:$T$44,$CU44,V$57),""),1),""),IF(MID(IFERROR(INDEX(醫師週班表!$C$5:$T$44,$CU44,V$57),""),2,1)="(",LEFT(IFERROR(INDEX(醫師週班表!$C$5:$T$44,$CU44,V$57),""),1),IFERROR(INDEX(醫師週班表!$C$5:$T$44,$CU44,V$57),"")))))))</f>
        <v/>
      </c>
      <c r="W44" s="67">
        <f>IF(W$59="X","",IF(W$59&lt;&gt;"",W$59,IF(IFERROR(INDEX(醫師週班表!$C$5:$T$44,$CU44,W$57),"")=0,"",IF(MID(IFERROR(INDEX(醫師週班表!$C$5:$T$44,$CU44,W$57),""),2,1)="/",MID(IFERROR(INDEX(醫師週班表!$C$5:$T$44,$CU44,W$57),""),1+W$58*2,1),IF(MID(IFERROR(INDEX(醫師週班表!$C$5:$T$44,$CU44,W$57),""),3,1)="隔",IF(W$58=0,LEFT(IFERROR(INDEX(醫師週班表!$C$5:$T$44,$CU44,W$57),""),1),""),IF(MID(IFERROR(INDEX(醫師週班表!$C$5:$T$44,$CU44,W$57),""),2,1)="(",LEFT(IFERROR(INDEX(醫師週班表!$C$5:$T$44,$CU44,W$57),""),1),IFERROR(INDEX(醫師週班表!$C$5:$T$44,$CU44,W$57),"")))))))</f>
        <v/>
      </c>
      <c r="X44" s="68">
        <f>IF(X$59="X","",IF(X$59&lt;&gt;"",X$59,IF(IFERROR(INDEX(醫師週班表!$C$5:$T$44,$CU44,X$57),"")=0,"",IF(MID(IFERROR(INDEX(醫師週班表!$C$5:$T$44,$CU44,X$57),""),2,1)="/",MID(IFERROR(INDEX(醫師週班表!$C$5:$T$44,$CU44,X$57),""),1+X$58*2,1),IF(MID(IFERROR(INDEX(醫師週班表!$C$5:$T$44,$CU44,X$57),""),3,1)="隔",IF(X$58=0,LEFT(IFERROR(INDEX(醫師週班表!$C$5:$T$44,$CU44,X$57),""),1),""),IF(MID(IFERROR(INDEX(醫師週班表!$C$5:$T$44,$CU44,X$57),""),2,1)="(",LEFT(IFERROR(INDEX(醫師週班表!$C$5:$T$44,$CU44,X$57),""),1),IFERROR(INDEX(醫師週班表!$C$5:$T$44,$CU44,X$57),"")))))))</f>
        <v/>
      </c>
      <c r="Y44" s="68">
        <f>IF(Y$59="X","",IF(Y$59&lt;&gt;"",Y$59,IF(IFERROR(INDEX(醫師週班表!$C$5:$T$44,$CU44,Y$57),"")=0,"",IF(MID(IFERROR(INDEX(醫師週班表!$C$5:$T$44,$CU44,Y$57),""),2,1)="/",MID(IFERROR(INDEX(醫師週班表!$C$5:$T$44,$CU44,Y$57),""),1+Y$58*2,1),IF(MID(IFERROR(INDEX(醫師週班表!$C$5:$T$44,$CU44,Y$57),""),3,1)="隔",IF(Y$58=0,LEFT(IFERROR(INDEX(醫師週班表!$C$5:$T$44,$CU44,Y$57),""),1),""),IF(MID(IFERROR(INDEX(醫師週班表!$C$5:$T$44,$CU44,Y$57),""),2,1)="(",LEFT(IFERROR(INDEX(醫師週班表!$C$5:$T$44,$CU44,Y$57),""),1),IFERROR(INDEX(醫師週班表!$C$5:$T$44,$CU44,Y$57),"")))))))</f>
        <v/>
      </c>
      <c r="Z44" s="67">
        <f>IF(Z$59="X","",IF(Z$59&lt;&gt;"",Z$59,IF(IFERROR(INDEX(醫師週班表!$C$5:$T$44,$CU44,Z$57),"")=0,"",IF(MID(IFERROR(INDEX(醫師週班表!$C$5:$T$44,$CU44,Z$57),""),2,1)="/",MID(IFERROR(INDEX(醫師週班表!$C$5:$T$44,$CU44,Z$57),""),1+Z$58*2,1),IF(MID(IFERROR(INDEX(醫師週班表!$C$5:$T$44,$CU44,Z$57),""),3,1)="隔",IF(Z$58=0,LEFT(IFERROR(INDEX(醫師週班表!$C$5:$T$44,$CU44,Z$57),""),1),""),IF(MID(IFERROR(INDEX(醫師週班表!$C$5:$T$44,$CU44,Z$57),""),2,1)="(",LEFT(IFERROR(INDEX(醫師週班表!$C$5:$T$44,$CU44,Z$57),""),1),IFERROR(INDEX(醫師週班表!$C$5:$T$44,$CU44,Z$57),"")))))))</f>
        <v/>
      </c>
      <c r="AA44" s="68">
        <f>IF(AA$59="X","",IF(AA$59&lt;&gt;"",AA$59,IF(IFERROR(INDEX(醫師週班表!$C$5:$T$44,$CU44,AA$57),"")=0,"",IF(MID(IFERROR(INDEX(醫師週班表!$C$5:$T$44,$CU44,AA$57),""),2,1)="/",MID(IFERROR(INDEX(醫師週班表!$C$5:$T$44,$CU44,AA$57),""),1+AA$58*2,1),IF(MID(IFERROR(INDEX(醫師週班表!$C$5:$T$44,$CU44,AA$57),""),3,1)="隔",IF(AA$58=0,LEFT(IFERROR(INDEX(醫師週班表!$C$5:$T$44,$CU44,AA$57),""),1),""),IF(MID(IFERROR(INDEX(醫師週班表!$C$5:$T$44,$CU44,AA$57),""),2,1)="(",LEFT(IFERROR(INDEX(醫師週班表!$C$5:$T$44,$CU44,AA$57),""),1),IFERROR(INDEX(醫師週班表!$C$5:$T$44,$CU44,AA$57),"")))))))</f>
        <v/>
      </c>
      <c r="AB44" s="68">
        <f>IF(AB$59="X","",IF(AB$59&lt;&gt;"",AB$59,IF(IFERROR(INDEX(醫師週班表!$C$5:$T$44,$CU44,AB$57),"")=0,"",IF(MID(IFERROR(INDEX(醫師週班表!$C$5:$T$44,$CU44,AB$57),""),2,1)="/",MID(IFERROR(INDEX(醫師週班表!$C$5:$T$44,$CU44,AB$57),""),1+AB$58*2,1),IF(MID(IFERROR(INDEX(醫師週班表!$C$5:$T$44,$CU44,AB$57),""),3,1)="隔",IF(AB$58=0,LEFT(IFERROR(INDEX(醫師週班表!$C$5:$T$44,$CU44,AB$57),""),1),""),IF(MID(IFERROR(INDEX(醫師週班表!$C$5:$T$44,$CU44,AB$57),""),2,1)="(",LEFT(IFERROR(INDEX(醫師週班表!$C$5:$T$44,$CU44,AB$57),""),1),IFERROR(INDEX(醫師週班表!$C$5:$T$44,$CU44,AB$57),"")))))))</f>
        <v/>
      </c>
      <c r="AC44" s="67">
        <f>IF(AC$59="X","",IF(AC$59&lt;&gt;"",AC$59,IF(IFERROR(INDEX(醫師週班表!$C$5:$T$44,$CU44,AC$57),"")=0,"",IF(MID(IFERROR(INDEX(醫師週班表!$C$5:$T$44,$CU44,AC$57),""),2,1)="/",MID(IFERROR(INDEX(醫師週班表!$C$5:$T$44,$CU44,AC$57),""),1+AC$58*2,1),IF(MID(IFERROR(INDEX(醫師週班表!$C$5:$T$44,$CU44,AC$57),""),3,1)="隔",IF(AC$58=0,LEFT(IFERROR(INDEX(醫師週班表!$C$5:$T$44,$CU44,AC$57),""),1),""),IF(MID(IFERROR(INDEX(醫師週班表!$C$5:$T$44,$CU44,AC$57),""),2,1)="(",LEFT(IFERROR(INDEX(醫師週班表!$C$5:$T$44,$CU44,AC$57),""),1),IFERROR(INDEX(醫師週班表!$C$5:$T$44,$CU44,AC$57),"")))))))</f>
        <v/>
      </c>
      <c r="AD44" s="68">
        <f>IF(AD$59="X","",IF(AD$59&lt;&gt;"",AD$59,IF(IFERROR(INDEX(醫師週班表!$C$5:$T$44,$CU44,AD$57),"")=0,"",IF(MID(IFERROR(INDEX(醫師週班表!$C$5:$T$44,$CU44,AD$57),""),2,1)="/",MID(IFERROR(INDEX(醫師週班表!$C$5:$T$44,$CU44,AD$57),""),1+AD$58*2,1),IF(MID(IFERROR(INDEX(醫師週班表!$C$5:$T$44,$CU44,AD$57),""),3,1)="隔",IF(AD$58=0,LEFT(IFERROR(INDEX(醫師週班表!$C$5:$T$44,$CU44,AD$57),""),1),""),IF(MID(IFERROR(INDEX(醫師週班表!$C$5:$T$44,$CU44,AD$57),""),2,1)="(",LEFT(IFERROR(INDEX(醫師週班表!$C$5:$T$44,$CU44,AD$57),""),1),IFERROR(INDEX(醫師週班表!$C$5:$T$44,$CU44,AD$57),"")))))))</f>
        <v/>
      </c>
      <c r="AE44" s="68">
        <f>IF(AE$59="X","",IF(AE$59&lt;&gt;"",AE$59,IF(IFERROR(INDEX(醫師週班表!$C$5:$T$44,$CU44,AE$57),"")=0,"",IF(MID(IFERROR(INDEX(醫師週班表!$C$5:$T$44,$CU44,AE$57),""),2,1)="/",MID(IFERROR(INDEX(醫師週班表!$C$5:$T$44,$CU44,AE$57),""),1+AE$58*2,1),IF(MID(IFERROR(INDEX(醫師週班表!$C$5:$T$44,$CU44,AE$57),""),3,1)="隔",IF(AE$58=0,LEFT(IFERROR(INDEX(醫師週班表!$C$5:$T$44,$CU44,AE$57),""),1),""),IF(MID(IFERROR(INDEX(醫師週班表!$C$5:$T$44,$CU44,AE$57),""),2,1)="(",LEFT(IFERROR(INDEX(醫師週班表!$C$5:$T$44,$CU44,AE$57),""),1),IFERROR(INDEX(醫師週班表!$C$5:$T$44,$CU44,AE$57),"")))))))</f>
        <v/>
      </c>
      <c r="AF44" s="67">
        <f>IF(AF$59="X","",IF(AF$59&lt;&gt;"",AF$59,IF(IFERROR(INDEX(醫師週班表!$C$5:$T$44,$CU44,AF$57),"")=0,"",IF(MID(IFERROR(INDEX(醫師週班表!$C$5:$T$44,$CU44,AF$57),""),2,1)="/",MID(IFERROR(INDEX(醫師週班表!$C$5:$T$44,$CU44,AF$57),""),1+AF$58*2,1),IF(MID(IFERROR(INDEX(醫師週班表!$C$5:$T$44,$CU44,AF$57),""),3,1)="隔",IF(AF$58=0,LEFT(IFERROR(INDEX(醫師週班表!$C$5:$T$44,$CU44,AF$57),""),1),""),IF(MID(IFERROR(INDEX(醫師週班表!$C$5:$T$44,$CU44,AF$57),""),2,1)="(",LEFT(IFERROR(INDEX(醫師週班表!$C$5:$T$44,$CU44,AF$57),""),1),IFERROR(INDEX(醫師週班表!$C$5:$T$44,$CU44,AF$57),"")))))))</f>
        <v/>
      </c>
      <c r="AG44" s="68">
        <f>IF(AG$59="X","",IF(AG$59&lt;&gt;"",AG$59,IF(IFERROR(INDEX(醫師週班表!$C$5:$T$44,$CU44,AG$57),"")=0,"",IF(MID(IFERROR(INDEX(醫師週班表!$C$5:$T$44,$CU44,AG$57),""),2,1)="/",MID(IFERROR(INDEX(醫師週班表!$C$5:$T$44,$CU44,AG$57),""),1+AG$58*2,1),IF(MID(IFERROR(INDEX(醫師週班表!$C$5:$T$44,$CU44,AG$57),""),3,1)="隔",IF(AG$58=0,LEFT(IFERROR(INDEX(醫師週班表!$C$5:$T$44,$CU44,AG$57),""),1),""),IF(MID(IFERROR(INDEX(醫師週班表!$C$5:$T$44,$CU44,AG$57),""),2,1)="(",LEFT(IFERROR(INDEX(醫師週班表!$C$5:$T$44,$CU44,AG$57),""),1),IFERROR(INDEX(醫師週班表!$C$5:$T$44,$CU44,AG$57),"")))))))</f>
        <v/>
      </c>
      <c r="AH44" s="68">
        <f>IF(AH$59="X","",IF(AH$59&lt;&gt;"",AH$59,IF(IFERROR(INDEX(醫師週班表!$C$5:$T$44,$CU44,AH$57),"")=0,"",IF(MID(IFERROR(INDEX(醫師週班表!$C$5:$T$44,$CU44,AH$57),""),2,1)="/",MID(IFERROR(INDEX(醫師週班表!$C$5:$T$44,$CU44,AH$57),""),1+AH$58*2,1),IF(MID(IFERROR(INDEX(醫師週班表!$C$5:$T$44,$CU44,AH$57),""),3,1)="隔",IF(AH$58=0,LEFT(IFERROR(INDEX(醫師週班表!$C$5:$T$44,$CU44,AH$57),""),1),""),IF(MID(IFERROR(INDEX(醫師週班表!$C$5:$T$44,$CU44,AH$57),""),2,1)="(",LEFT(IFERROR(INDEX(醫師週班表!$C$5:$T$44,$CU44,AH$57),""),1),IFERROR(INDEX(醫師週班表!$C$5:$T$44,$CU44,AH$57),"")))))))</f>
        <v/>
      </c>
      <c r="AI44" s="67">
        <f>IF(AI$59="X","",IF(AI$59&lt;&gt;"",AI$59,IF(IFERROR(INDEX(醫師週班表!$C$5:$T$44,$CU44,AI$57),"")=0,"",IF(MID(IFERROR(INDEX(醫師週班表!$C$5:$T$44,$CU44,AI$57),""),2,1)="/",MID(IFERROR(INDEX(醫師週班表!$C$5:$T$44,$CU44,AI$57),""),1+AI$58*2,1),IF(MID(IFERROR(INDEX(醫師週班表!$C$5:$T$44,$CU44,AI$57),""),3,1)="隔",IF(AI$58=0,LEFT(IFERROR(INDEX(醫師週班表!$C$5:$T$44,$CU44,AI$57),""),1),""),IF(MID(IFERROR(INDEX(醫師週班表!$C$5:$T$44,$CU44,AI$57),""),2,1)="(",LEFT(IFERROR(INDEX(醫師週班表!$C$5:$T$44,$CU44,AI$57),""),1),IFERROR(INDEX(醫師週班表!$C$5:$T$44,$CU44,AI$57),"")))))))</f>
        <v/>
      </c>
      <c r="AJ44" s="68">
        <f>IF(AJ$59="X","",IF(AJ$59&lt;&gt;"",AJ$59,IF(IFERROR(INDEX(醫師週班表!$C$5:$T$44,$CU44,AJ$57),"")=0,"",IF(MID(IFERROR(INDEX(醫師週班表!$C$5:$T$44,$CU44,AJ$57),""),2,1)="/",MID(IFERROR(INDEX(醫師週班表!$C$5:$T$44,$CU44,AJ$57),""),1+AJ$58*2,1),IF(MID(IFERROR(INDEX(醫師週班表!$C$5:$T$44,$CU44,AJ$57),""),3,1)="隔",IF(AJ$58=0,LEFT(IFERROR(INDEX(醫師週班表!$C$5:$T$44,$CU44,AJ$57),""),1),""),IF(MID(IFERROR(INDEX(醫師週班表!$C$5:$T$44,$CU44,AJ$57),""),2,1)="(",LEFT(IFERROR(INDEX(醫師週班表!$C$5:$T$44,$CU44,AJ$57),""),1),IFERROR(INDEX(醫師週班表!$C$5:$T$44,$CU44,AJ$57),"")))))))</f>
        <v/>
      </c>
      <c r="AK44" s="68">
        <f>IF(AK$59="X","",IF(AK$59&lt;&gt;"",AK$59,IF(IFERROR(INDEX(醫師週班表!$C$5:$T$44,$CU44,AK$57),"")=0,"",IF(MID(IFERROR(INDEX(醫師週班表!$C$5:$T$44,$CU44,AK$57),""),2,1)="/",MID(IFERROR(INDEX(醫師週班表!$C$5:$T$44,$CU44,AK$57),""),1+AK$58*2,1),IF(MID(IFERROR(INDEX(醫師週班表!$C$5:$T$44,$CU44,AK$57),""),3,1)="隔",IF(AK$58=0,LEFT(IFERROR(INDEX(醫師週班表!$C$5:$T$44,$CU44,AK$57),""),1),""),IF(MID(IFERROR(INDEX(醫師週班表!$C$5:$T$44,$CU44,AK$57),""),2,1)="(",LEFT(IFERROR(INDEX(醫師週班表!$C$5:$T$44,$CU44,AK$57),""),1),IFERROR(INDEX(醫師週班表!$C$5:$T$44,$CU44,AK$57),"")))))))</f>
        <v/>
      </c>
      <c r="AL44" s="67">
        <f>IF(AL$59="X","",IF(AL$59&lt;&gt;"",AL$59,IF(IFERROR(INDEX(醫師週班表!$C$5:$T$44,$CU44,AL$57),"")=0,"",IF(MID(IFERROR(INDEX(醫師週班表!$C$5:$T$44,$CU44,AL$57),""),2,1)="/",MID(IFERROR(INDEX(醫師週班表!$C$5:$T$44,$CU44,AL$57),""),1+AL$58*2,1),IF(MID(IFERROR(INDEX(醫師週班表!$C$5:$T$44,$CU44,AL$57),""),3,1)="隔",IF(AL$58=0,LEFT(IFERROR(INDEX(醫師週班表!$C$5:$T$44,$CU44,AL$57),""),1),""),IF(MID(IFERROR(INDEX(醫師週班表!$C$5:$T$44,$CU44,AL$57),""),2,1)="(",LEFT(IFERROR(INDEX(醫師週班表!$C$5:$T$44,$CU44,AL$57),""),1),IFERROR(INDEX(醫師週班表!$C$5:$T$44,$CU44,AL$57),"")))))))</f>
        <v/>
      </c>
      <c r="AM44" s="68">
        <f>IF(AM$59="X","",IF(AM$59&lt;&gt;"",AM$59,IF(IFERROR(INDEX(醫師週班表!$C$5:$T$44,$CU44,AM$57),"")=0,"",IF(MID(IFERROR(INDEX(醫師週班表!$C$5:$T$44,$CU44,AM$57),""),2,1)="/",MID(IFERROR(INDEX(醫師週班表!$C$5:$T$44,$CU44,AM$57),""),1+AM$58*2,1),IF(MID(IFERROR(INDEX(醫師週班表!$C$5:$T$44,$CU44,AM$57),""),3,1)="隔",IF(AM$58=0,LEFT(IFERROR(INDEX(醫師週班表!$C$5:$T$44,$CU44,AM$57),""),1),""),IF(MID(IFERROR(INDEX(醫師週班表!$C$5:$T$44,$CU44,AM$57),""),2,1)="(",LEFT(IFERROR(INDEX(醫師週班表!$C$5:$T$44,$CU44,AM$57),""),1),IFERROR(INDEX(醫師週班表!$C$5:$T$44,$CU44,AM$57),"")))))))</f>
        <v/>
      </c>
      <c r="AN44" s="68">
        <f>IF(AN$59="X","",IF(AN$59&lt;&gt;"",AN$59,IF(IFERROR(INDEX(醫師週班表!$C$5:$T$44,$CU44,AN$57),"")=0,"",IF(MID(IFERROR(INDEX(醫師週班表!$C$5:$T$44,$CU44,AN$57),""),2,1)="/",MID(IFERROR(INDEX(醫師週班表!$C$5:$T$44,$CU44,AN$57),""),1+AN$58*2,1),IF(MID(IFERROR(INDEX(醫師週班表!$C$5:$T$44,$CU44,AN$57),""),3,1)="隔",IF(AN$58=0,LEFT(IFERROR(INDEX(醫師週班表!$C$5:$T$44,$CU44,AN$57),""),1),""),IF(MID(IFERROR(INDEX(醫師週班表!$C$5:$T$44,$CU44,AN$57),""),2,1)="(",LEFT(IFERROR(INDEX(醫師週班表!$C$5:$T$44,$CU44,AN$57),""),1),IFERROR(INDEX(醫師週班表!$C$5:$T$44,$CU44,AN$57),"")))))))</f>
        <v/>
      </c>
      <c r="AO44" s="67">
        <f>IF(AO$59="X","",IF(AO$59&lt;&gt;"",AO$59,IF(IFERROR(INDEX(醫師週班表!$C$5:$T$44,$CU44,AO$57),"")=0,"",IF(MID(IFERROR(INDEX(醫師週班表!$C$5:$T$44,$CU44,AO$57),""),2,1)="/",MID(IFERROR(INDEX(醫師週班表!$C$5:$T$44,$CU44,AO$57),""),1+AO$58*2,1),IF(MID(IFERROR(INDEX(醫師週班表!$C$5:$T$44,$CU44,AO$57),""),3,1)="隔",IF(AO$58=0,LEFT(IFERROR(INDEX(醫師週班表!$C$5:$T$44,$CU44,AO$57),""),1),""),IF(MID(IFERROR(INDEX(醫師週班表!$C$5:$T$44,$CU44,AO$57),""),2,1)="(",LEFT(IFERROR(INDEX(醫師週班表!$C$5:$T$44,$CU44,AO$57),""),1),IFERROR(INDEX(醫師週班表!$C$5:$T$44,$CU44,AO$57),"")))))))</f>
        <v/>
      </c>
      <c r="AP44" s="68">
        <f>IF(AP$59="X","",IF(AP$59&lt;&gt;"",AP$59,IF(IFERROR(INDEX(醫師週班表!$C$5:$T$44,$CU44,AP$57),"")=0,"",IF(MID(IFERROR(INDEX(醫師週班表!$C$5:$T$44,$CU44,AP$57),""),2,1)="/",MID(IFERROR(INDEX(醫師週班表!$C$5:$T$44,$CU44,AP$57),""),1+AP$58*2,1),IF(MID(IFERROR(INDEX(醫師週班表!$C$5:$T$44,$CU44,AP$57),""),3,1)="隔",IF(AP$58=0,LEFT(IFERROR(INDEX(醫師週班表!$C$5:$T$44,$CU44,AP$57),""),1),""),IF(MID(IFERROR(INDEX(醫師週班表!$C$5:$T$44,$CU44,AP$57),""),2,1)="(",LEFT(IFERROR(INDEX(醫師週班表!$C$5:$T$44,$CU44,AP$57),""),1),IFERROR(INDEX(醫師週班表!$C$5:$T$44,$CU44,AP$57),"")))))))</f>
        <v/>
      </c>
      <c r="AQ44" s="68">
        <f>IF(AQ$59="X","",IF(AQ$59&lt;&gt;"",AQ$59,IF(IFERROR(INDEX(醫師週班表!$C$5:$T$44,$CU44,AQ$57),"")=0,"",IF(MID(IFERROR(INDEX(醫師週班表!$C$5:$T$44,$CU44,AQ$57),""),2,1)="/",MID(IFERROR(INDEX(醫師週班表!$C$5:$T$44,$CU44,AQ$57),""),1+AQ$58*2,1),IF(MID(IFERROR(INDEX(醫師週班表!$C$5:$T$44,$CU44,AQ$57),""),3,1)="隔",IF(AQ$58=0,LEFT(IFERROR(INDEX(醫師週班表!$C$5:$T$44,$CU44,AQ$57),""),1),""),IF(MID(IFERROR(INDEX(醫師週班表!$C$5:$T$44,$CU44,AQ$57),""),2,1)="(",LEFT(IFERROR(INDEX(醫師週班表!$C$5:$T$44,$CU44,AQ$57),""),1),IFERROR(INDEX(醫師週班表!$C$5:$T$44,$CU44,AQ$57),"")))))))</f>
        <v/>
      </c>
      <c r="AR44" s="67">
        <f>IF(AR$59="X","",IF(AR$59&lt;&gt;"",AR$59,IF(IFERROR(INDEX(醫師週班表!$C$5:$T$44,$CU44,AR$57),"")=0,"",IF(MID(IFERROR(INDEX(醫師週班表!$C$5:$T$44,$CU44,AR$57),""),2,1)="/",MID(IFERROR(INDEX(醫師週班表!$C$5:$T$44,$CU44,AR$57),""),1+AR$58*2,1),IF(MID(IFERROR(INDEX(醫師週班表!$C$5:$T$44,$CU44,AR$57),""),3,1)="隔",IF(AR$58=0,LEFT(IFERROR(INDEX(醫師週班表!$C$5:$T$44,$CU44,AR$57),""),1),""),IF(MID(IFERROR(INDEX(醫師週班表!$C$5:$T$44,$CU44,AR$57),""),2,1)="(",LEFT(IFERROR(INDEX(醫師週班表!$C$5:$T$44,$CU44,AR$57),""),1),IFERROR(INDEX(醫師週班表!$C$5:$T$44,$CU44,AR$57),"")))))))</f>
        <v/>
      </c>
      <c r="AS44" s="68">
        <f>IF(AS$59="X","",IF(AS$59&lt;&gt;"",AS$59,IF(IFERROR(INDEX(醫師週班表!$C$5:$T$44,$CU44,AS$57),"")=0,"",IF(MID(IFERROR(INDEX(醫師週班表!$C$5:$T$44,$CU44,AS$57),""),2,1)="/",MID(IFERROR(INDEX(醫師週班表!$C$5:$T$44,$CU44,AS$57),""),1+AS$58*2,1),IF(MID(IFERROR(INDEX(醫師週班表!$C$5:$T$44,$CU44,AS$57),""),3,1)="隔",IF(AS$58=0,LEFT(IFERROR(INDEX(醫師週班表!$C$5:$T$44,$CU44,AS$57),""),1),""),IF(MID(IFERROR(INDEX(醫師週班表!$C$5:$T$44,$CU44,AS$57),""),2,1)="(",LEFT(IFERROR(INDEX(醫師週班表!$C$5:$T$44,$CU44,AS$57),""),1),IFERROR(INDEX(醫師週班表!$C$5:$T$44,$CU44,AS$57),"")))))))</f>
        <v/>
      </c>
      <c r="AT44" s="68">
        <f>IF(AT$59="X","",IF(AT$59&lt;&gt;"",AT$59,IF(IFERROR(INDEX(醫師週班表!$C$5:$T$44,$CU44,AT$57),"")=0,"",IF(MID(IFERROR(INDEX(醫師週班表!$C$5:$T$44,$CU44,AT$57),""),2,1)="/",MID(IFERROR(INDEX(醫師週班表!$C$5:$T$44,$CU44,AT$57),""),1+AT$58*2,1),IF(MID(IFERROR(INDEX(醫師週班表!$C$5:$T$44,$CU44,AT$57),""),3,1)="隔",IF(AT$58=0,LEFT(IFERROR(INDEX(醫師週班表!$C$5:$T$44,$CU44,AT$57),""),1),""),IF(MID(IFERROR(INDEX(醫師週班表!$C$5:$T$44,$CU44,AT$57),""),2,1)="(",LEFT(IFERROR(INDEX(醫師週班表!$C$5:$T$44,$CU44,AT$57),""),1),IFERROR(INDEX(醫師週班表!$C$5:$T$44,$CU44,AT$57),"")))))))</f>
        <v/>
      </c>
      <c r="AU44" s="67">
        <f>IF(AU$59="X","",IF(AU$59&lt;&gt;"",AU$59,IF(IFERROR(INDEX(醫師週班表!$C$5:$T$44,$CU44,AU$57),"")=0,"",IF(MID(IFERROR(INDEX(醫師週班表!$C$5:$T$44,$CU44,AU$57),""),2,1)="/",MID(IFERROR(INDEX(醫師週班表!$C$5:$T$44,$CU44,AU$57),""),1+AU$58*2,1),IF(MID(IFERROR(INDEX(醫師週班表!$C$5:$T$44,$CU44,AU$57),""),3,1)="隔",IF(AU$58=0,LEFT(IFERROR(INDEX(醫師週班表!$C$5:$T$44,$CU44,AU$57),""),1),""),IF(MID(IFERROR(INDEX(醫師週班表!$C$5:$T$44,$CU44,AU$57),""),2,1)="(",LEFT(IFERROR(INDEX(醫師週班表!$C$5:$T$44,$CU44,AU$57),""),1),IFERROR(INDEX(醫師週班表!$C$5:$T$44,$CU44,AU$57),"")))))))</f>
        <v/>
      </c>
      <c r="AV44" s="68">
        <f>IF(AV$59="X","",IF(AV$59&lt;&gt;"",AV$59,IF(IFERROR(INDEX(醫師週班表!$C$5:$T$44,$CU44,AV$57),"")=0,"",IF(MID(IFERROR(INDEX(醫師週班表!$C$5:$T$44,$CU44,AV$57),""),2,1)="/",MID(IFERROR(INDEX(醫師週班表!$C$5:$T$44,$CU44,AV$57),""),1+AV$58*2,1),IF(MID(IFERROR(INDEX(醫師週班表!$C$5:$T$44,$CU44,AV$57),""),3,1)="隔",IF(AV$58=0,LEFT(IFERROR(INDEX(醫師週班表!$C$5:$T$44,$CU44,AV$57),""),1),""),IF(MID(IFERROR(INDEX(醫師週班表!$C$5:$T$44,$CU44,AV$57),""),2,1)="(",LEFT(IFERROR(INDEX(醫師週班表!$C$5:$T$44,$CU44,AV$57),""),1),IFERROR(INDEX(醫師週班表!$C$5:$T$44,$CU44,AV$57),"")))))))</f>
        <v/>
      </c>
      <c r="AW44" s="68">
        <f>IF(AW$59="X","",IF(AW$59&lt;&gt;"",AW$59,IF(IFERROR(INDEX(醫師週班表!$C$5:$T$44,$CU44,AW$57),"")=0,"",IF(MID(IFERROR(INDEX(醫師週班表!$C$5:$T$44,$CU44,AW$57),""),2,1)="/",MID(IFERROR(INDEX(醫師週班表!$C$5:$T$44,$CU44,AW$57),""),1+AW$58*2,1),IF(MID(IFERROR(INDEX(醫師週班表!$C$5:$T$44,$CU44,AW$57),""),3,1)="隔",IF(AW$58=0,LEFT(IFERROR(INDEX(醫師週班表!$C$5:$T$44,$CU44,AW$57),""),1),""),IF(MID(IFERROR(INDEX(醫師週班表!$C$5:$T$44,$CU44,AW$57),""),2,1)="(",LEFT(IFERROR(INDEX(醫師週班表!$C$5:$T$44,$CU44,AW$57),""),1),IFERROR(INDEX(醫師週班表!$C$5:$T$44,$CU44,AW$57),"")))))))</f>
        <v/>
      </c>
      <c r="AX44" s="67">
        <f>IF(AX$59="X","",IF(AX$59&lt;&gt;"",AX$59,IF(IFERROR(INDEX(醫師週班表!$C$5:$T$44,$CU44,AX$57),"")=0,"",IF(MID(IFERROR(INDEX(醫師週班表!$C$5:$T$44,$CU44,AX$57),""),2,1)="/",MID(IFERROR(INDEX(醫師週班表!$C$5:$T$44,$CU44,AX$57),""),1+AX$58*2,1),IF(MID(IFERROR(INDEX(醫師週班表!$C$5:$T$44,$CU44,AX$57),""),3,1)="隔",IF(AX$58=0,LEFT(IFERROR(INDEX(醫師週班表!$C$5:$T$44,$CU44,AX$57),""),1),""),IF(MID(IFERROR(INDEX(醫師週班表!$C$5:$T$44,$CU44,AX$57),""),2,1)="(",LEFT(IFERROR(INDEX(醫師週班表!$C$5:$T$44,$CU44,AX$57),""),1),IFERROR(INDEX(醫師週班表!$C$5:$T$44,$CU44,AX$57),"")))))))</f>
        <v/>
      </c>
      <c r="AY44" s="68">
        <f>IF(AY$59="X","",IF(AY$59&lt;&gt;"",AY$59,IF(IFERROR(INDEX(醫師週班表!$C$5:$T$44,$CU44,AY$57),"")=0,"",IF(MID(IFERROR(INDEX(醫師週班表!$C$5:$T$44,$CU44,AY$57),""),2,1)="/",MID(IFERROR(INDEX(醫師週班表!$C$5:$T$44,$CU44,AY$57),""),1+AY$58*2,1),IF(MID(IFERROR(INDEX(醫師週班表!$C$5:$T$44,$CU44,AY$57),""),3,1)="隔",IF(AY$58=0,LEFT(IFERROR(INDEX(醫師週班表!$C$5:$T$44,$CU44,AY$57),""),1),""),IF(MID(IFERROR(INDEX(醫師週班表!$C$5:$T$44,$CU44,AY$57),""),2,1)="(",LEFT(IFERROR(INDEX(醫師週班表!$C$5:$T$44,$CU44,AY$57),""),1),IFERROR(INDEX(醫師週班表!$C$5:$T$44,$CU44,AY$57),"")))))))</f>
        <v/>
      </c>
      <c r="AZ44" s="68">
        <f>IF(AZ$59="X","",IF(AZ$59&lt;&gt;"",AZ$59,IF(IFERROR(INDEX(醫師週班表!$C$5:$T$44,$CU44,AZ$57),"")=0,"",IF(MID(IFERROR(INDEX(醫師週班表!$C$5:$T$44,$CU44,AZ$57),""),2,1)="/",MID(IFERROR(INDEX(醫師週班表!$C$5:$T$44,$CU44,AZ$57),""),1+AZ$58*2,1),IF(MID(IFERROR(INDEX(醫師週班表!$C$5:$T$44,$CU44,AZ$57),""),3,1)="隔",IF(AZ$58=0,LEFT(IFERROR(INDEX(醫師週班表!$C$5:$T$44,$CU44,AZ$57),""),1),""),IF(MID(IFERROR(INDEX(醫師週班表!$C$5:$T$44,$CU44,AZ$57),""),2,1)="(",LEFT(IFERROR(INDEX(醫師週班表!$C$5:$T$44,$CU44,AZ$57),""),1),IFERROR(INDEX(醫師週班表!$C$5:$T$44,$CU44,AZ$57),"")))))))</f>
        <v/>
      </c>
      <c r="BA44" s="67">
        <f>IF(BA$59="X","",IF(BA$59&lt;&gt;"",BA$59,IF(IFERROR(INDEX(醫師週班表!$C$5:$T$44,$CU44,BA$57),"")=0,"",IF(MID(IFERROR(INDEX(醫師週班表!$C$5:$T$44,$CU44,BA$57),""),2,1)="/",MID(IFERROR(INDEX(醫師週班表!$C$5:$T$44,$CU44,BA$57),""),1+BA$58*2,1),IF(MID(IFERROR(INDEX(醫師週班表!$C$5:$T$44,$CU44,BA$57),""),3,1)="隔",IF(BA$58=0,LEFT(IFERROR(INDEX(醫師週班表!$C$5:$T$44,$CU44,BA$57),""),1),""),IF(MID(IFERROR(INDEX(醫師週班表!$C$5:$T$44,$CU44,BA$57),""),2,1)="(",LEFT(IFERROR(INDEX(醫師週班表!$C$5:$T$44,$CU44,BA$57),""),1),IFERROR(INDEX(醫師週班表!$C$5:$T$44,$CU44,BA$57),"")))))))</f>
        <v/>
      </c>
      <c r="BB44" s="68">
        <f>IF(BB$59="X","",IF(BB$59&lt;&gt;"",BB$59,IF(IFERROR(INDEX(醫師週班表!$C$5:$T$44,$CU44,BB$57),"")=0,"",IF(MID(IFERROR(INDEX(醫師週班表!$C$5:$T$44,$CU44,BB$57),""),2,1)="/",MID(IFERROR(INDEX(醫師週班表!$C$5:$T$44,$CU44,BB$57),""),1+BB$58*2,1),IF(MID(IFERROR(INDEX(醫師週班表!$C$5:$T$44,$CU44,BB$57),""),3,1)="隔",IF(BB$58=0,LEFT(IFERROR(INDEX(醫師週班表!$C$5:$T$44,$CU44,BB$57),""),1),""),IF(MID(IFERROR(INDEX(醫師週班表!$C$5:$T$44,$CU44,BB$57),""),2,1)="(",LEFT(IFERROR(INDEX(醫師週班表!$C$5:$T$44,$CU44,BB$57),""),1),IFERROR(INDEX(醫師週班表!$C$5:$T$44,$CU44,BB$57),"")))))))</f>
        <v/>
      </c>
      <c r="BC44" s="68">
        <f>IF(BC$59="X","",IF(BC$59&lt;&gt;"",BC$59,IF(IFERROR(INDEX(醫師週班表!$C$5:$T$44,$CU44,BC$57),"")=0,"",IF(MID(IFERROR(INDEX(醫師週班表!$C$5:$T$44,$CU44,BC$57),""),2,1)="/",MID(IFERROR(INDEX(醫師週班表!$C$5:$T$44,$CU44,BC$57),""),1+BC$58*2,1),IF(MID(IFERROR(INDEX(醫師週班表!$C$5:$T$44,$CU44,BC$57),""),3,1)="隔",IF(BC$58=0,LEFT(IFERROR(INDEX(醫師週班表!$C$5:$T$44,$CU44,BC$57),""),1),""),IF(MID(IFERROR(INDEX(醫師週班表!$C$5:$T$44,$CU44,BC$57),""),2,1)="(",LEFT(IFERROR(INDEX(醫師週班表!$C$5:$T$44,$CU44,BC$57),""),1),IFERROR(INDEX(醫師週班表!$C$5:$T$44,$CU44,BC$57),"")))))))</f>
        <v/>
      </c>
      <c r="BD44" s="67">
        <f>IF(BD$59="X","",IF(BD$59&lt;&gt;"",BD$59,IF(IFERROR(INDEX(醫師週班表!$C$5:$T$44,$CU44,BD$57),"")=0,"",IF(MID(IFERROR(INDEX(醫師週班表!$C$5:$T$44,$CU44,BD$57),""),2,1)="/",MID(IFERROR(INDEX(醫師週班表!$C$5:$T$44,$CU44,BD$57),""),1+BD$58*2,1),IF(MID(IFERROR(INDEX(醫師週班表!$C$5:$T$44,$CU44,BD$57),""),3,1)="隔",IF(BD$58=0,LEFT(IFERROR(INDEX(醫師週班表!$C$5:$T$44,$CU44,BD$57),""),1),""),IF(MID(IFERROR(INDEX(醫師週班表!$C$5:$T$44,$CU44,BD$57),""),2,1)="(",LEFT(IFERROR(INDEX(醫師週班表!$C$5:$T$44,$CU44,BD$57),""),1),IFERROR(INDEX(醫師週班表!$C$5:$T$44,$CU44,BD$57),"")))))))</f>
        <v/>
      </c>
      <c r="BE44" s="68">
        <f>IF(BE$59="X","",IF(BE$59&lt;&gt;"",BE$59,IF(IFERROR(INDEX(醫師週班表!$C$5:$T$44,$CU44,BE$57),"")=0,"",IF(MID(IFERROR(INDEX(醫師週班表!$C$5:$T$44,$CU44,BE$57),""),2,1)="/",MID(IFERROR(INDEX(醫師週班表!$C$5:$T$44,$CU44,BE$57),""),1+BE$58*2,1),IF(MID(IFERROR(INDEX(醫師週班表!$C$5:$T$44,$CU44,BE$57),""),3,1)="隔",IF(BE$58=0,LEFT(IFERROR(INDEX(醫師週班表!$C$5:$T$44,$CU44,BE$57),""),1),""),IF(MID(IFERROR(INDEX(醫師週班表!$C$5:$T$44,$CU44,BE$57),""),2,1)="(",LEFT(IFERROR(INDEX(醫師週班表!$C$5:$T$44,$CU44,BE$57),""),1),IFERROR(INDEX(醫師週班表!$C$5:$T$44,$CU44,BE$57),"")))))))</f>
        <v/>
      </c>
      <c r="BF44" s="68">
        <f>IF(BF$59="X","",IF(BF$59&lt;&gt;"",BF$59,IF(IFERROR(INDEX(醫師週班表!$C$5:$T$44,$CU44,BF$57),"")=0,"",IF(MID(IFERROR(INDEX(醫師週班表!$C$5:$T$44,$CU44,BF$57),""),2,1)="/",MID(IFERROR(INDEX(醫師週班表!$C$5:$T$44,$CU44,BF$57),""),1+BF$58*2,1),IF(MID(IFERROR(INDEX(醫師週班表!$C$5:$T$44,$CU44,BF$57),""),3,1)="隔",IF(BF$58=0,LEFT(IFERROR(INDEX(醫師週班表!$C$5:$T$44,$CU44,BF$57),""),1),""),IF(MID(IFERROR(INDEX(醫師週班表!$C$5:$T$44,$CU44,BF$57),""),2,1)="(",LEFT(IFERROR(INDEX(醫師週班表!$C$5:$T$44,$CU44,BF$57),""),1),IFERROR(INDEX(醫師週班表!$C$5:$T$44,$CU44,BF$57),"")))))))</f>
        <v/>
      </c>
      <c r="BG44" s="67">
        <f>IF(BG$59="X","",IF(BG$59&lt;&gt;"",BG$59,IF(IFERROR(INDEX(醫師週班表!$C$5:$T$44,$CU44,BG$57),"")=0,"",IF(MID(IFERROR(INDEX(醫師週班表!$C$5:$T$44,$CU44,BG$57),""),2,1)="/",MID(IFERROR(INDEX(醫師週班表!$C$5:$T$44,$CU44,BG$57),""),1+BG$58*2,1),IF(MID(IFERROR(INDEX(醫師週班表!$C$5:$T$44,$CU44,BG$57),""),3,1)="隔",IF(BG$58=0,LEFT(IFERROR(INDEX(醫師週班表!$C$5:$T$44,$CU44,BG$57),""),1),""),IF(MID(IFERROR(INDEX(醫師週班表!$C$5:$T$44,$CU44,BG$57),""),2,1)="(",LEFT(IFERROR(INDEX(醫師週班表!$C$5:$T$44,$CU44,BG$57),""),1),IFERROR(INDEX(醫師週班表!$C$5:$T$44,$CU44,BG$57),"")))))))</f>
        <v/>
      </c>
      <c r="BH44" s="68">
        <f>IF(BH$59="X","",IF(BH$59&lt;&gt;"",BH$59,IF(IFERROR(INDEX(醫師週班表!$C$5:$T$44,$CU44,BH$57),"")=0,"",IF(MID(IFERROR(INDEX(醫師週班表!$C$5:$T$44,$CU44,BH$57),""),2,1)="/",MID(IFERROR(INDEX(醫師週班表!$C$5:$T$44,$CU44,BH$57),""),1+BH$58*2,1),IF(MID(IFERROR(INDEX(醫師週班表!$C$5:$T$44,$CU44,BH$57),""),3,1)="隔",IF(BH$58=0,LEFT(IFERROR(INDEX(醫師週班表!$C$5:$T$44,$CU44,BH$57),""),1),""),IF(MID(IFERROR(INDEX(醫師週班表!$C$5:$T$44,$CU44,BH$57),""),2,1)="(",LEFT(IFERROR(INDEX(醫師週班表!$C$5:$T$44,$CU44,BH$57),""),1),IFERROR(INDEX(醫師週班表!$C$5:$T$44,$CU44,BH$57),"")))))))</f>
        <v/>
      </c>
      <c r="BI44" s="68">
        <f>IF(BI$59="X","",IF(BI$59&lt;&gt;"",BI$59,IF(IFERROR(INDEX(醫師週班表!$C$5:$T$44,$CU44,BI$57),"")=0,"",IF(MID(IFERROR(INDEX(醫師週班表!$C$5:$T$44,$CU44,BI$57),""),2,1)="/",MID(IFERROR(INDEX(醫師週班表!$C$5:$T$44,$CU44,BI$57),""),1+BI$58*2,1),IF(MID(IFERROR(INDEX(醫師週班表!$C$5:$T$44,$CU44,BI$57),""),3,1)="隔",IF(BI$58=0,LEFT(IFERROR(INDEX(醫師週班表!$C$5:$T$44,$CU44,BI$57),""),1),""),IF(MID(IFERROR(INDEX(醫師週班表!$C$5:$T$44,$CU44,BI$57),""),2,1)="(",LEFT(IFERROR(INDEX(醫師週班表!$C$5:$T$44,$CU44,BI$57),""),1),IFERROR(INDEX(醫師週班表!$C$5:$T$44,$CU44,BI$57),"")))))))</f>
        <v/>
      </c>
      <c r="BJ44" s="67">
        <f>IF(BJ$59="X","",IF(BJ$59&lt;&gt;"",BJ$59,IF(IFERROR(INDEX(醫師週班表!$C$5:$T$44,$CU44,BJ$57),"")=0,"",IF(MID(IFERROR(INDEX(醫師週班表!$C$5:$T$44,$CU44,BJ$57),""),2,1)="/",MID(IFERROR(INDEX(醫師週班表!$C$5:$T$44,$CU44,BJ$57),""),1+BJ$58*2,1),IF(MID(IFERROR(INDEX(醫師週班表!$C$5:$T$44,$CU44,BJ$57),""),3,1)="隔",IF(BJ$58=0,LEFT(IFERROR(INDEX(醫師週班表!$C$5:$T$44,$CU44,BJ$57),""),1),""),IF(MID(IFERROR(INDEX(醫師週班表!$C$5:$T$44,$CU44,BJ$57),""),2,1)="(",LEFT(IFERROR(INDEX(醫師週班表!$C$5:$T$44,$CU44,BJ$57),""),1),IFERROR(INDEX(醫師週班表!$C$5:$T$44,$CU44,BJ$57),"")))))))</f>
        <v/>
      </c>
      <c r="BK44" s="68">
        <f>IF(BK$59="X","",IF(BK$59&lt;&gt;"",BK$59,IF(IFERROR(INDEX(醫師週班表!$C$5:$T$44,$CU44,BK$57),"")=0,"",IF(MID(IFERROR(INDEX(醫師週班表!$C$5:$T$44,$CU44,BK$57),""),2,1)="/",MID(IFERROR(INDEX(醫師週班表!$C$5:$T$44,$CU44,BK$57),""),1+BK$58*2,1),IF(MID(IFERROR(INDEX(醫師週班表!$C$5:$T$44,$CU44,BK$57),""),3,1)="隔",IF(BK$58=0,LEFT(IFERROR(INDEX(醫師週班表!$C$5:$T$44,$CU44,BK$57),""),1),""),IF(MID(IFERROR(INDEX(醫師週班表!$C$5:$T$44,$CU44,BK$57),""),2,1)="(",LEFT(IFERROR(INDEX(醫師週班表!$C$5:$T$44,$CU44,BK$57),""),1),IFERROR(INDEX(醫師週班表!$C$5:$T$44,$CU44,BK$57),"")))))))</f>
        <v/>
      </c>
      <c r="BL44" s="68">
        <f>IF(BL$59="X","",IF(BL$59&lt;&gt;"",BL$59,IF(IFERROR(INDEX(醫師週班表!$C$5:$T$44,$CU44,BL$57),"")=0,"",IF(MID(IFERROR(INDEX(醫師週班表!$C$5:$T$44,$CU44,BL$57),""),2,1)="/",MID(IFERROR(INDEX(醫師週班表!$C$5:$T$44,$CU44,BL$57),""),1+BL$58*2,1),IF(MID(IFERROR(INDEX(醫師週班表!$C$5:$T$44,$CU44,BL$57),""),3,1)="隔",IF(BL$58=0,LEFT(IFERROR(INDEX(醫師週班表!$C$5:$T$44,$CU44,BL$57),""),1),""),IF(MID(IFERROR(INDEX(醫師週班表!$C$5:$T$44,$CU44,BL$57),""),2,1)="(",LEFT(IFERROR(INDEX(醫師週班表!$C$5:$T$44,$CU44,BL$57),""),1),IFERROR(INDEX(醫師週班表!$C$5:$T$44,$CU44,BL$57),"")))))))</f>
        <v/>
      </c>
      <c r="BM44" s="67">
        <f>IF(BM$59="X","",IF(BM$59&lt;&gt;"",BM$59,IF(IFERROR(INDEX(醫師週班表!$C$5:$T$44,$CU44,BM$57),"")=0,"",IF(MID(IFERROR(INDEX(醫師週班表!$C$5:$T$44,$CU44,BM$57),""),2,1)="/",MID(IFERROR(INDEX(醫師週班表!$C$5:$T$44,$CU44,BM$57),""),1+BM$58*2,1),IF(MID(IFERROR(INDEX(醫師週班表!$C$5:$T$44,$CU44,BM$57),""),3,1)="隔",IF(BM$58=0,LEFT(IFERROR(INDEX(醫師週班表!$C$5:$T$44,$CU44,BM$57),""),1),""),IF(MID(IFERROR(INDEX(醫師週班表!$C$5:$T$44,$CU44,BM$57),""),2,1)="(",LEFT(IFERROR(INDEX(醫師週班表!$C$5:$T$44,$CU44,BM$57),""),1),IFERROR(INDEX(醫師週班表!$C$5:$T$44,$CU44,BM$57),"")))))))</f>
        <v/>
      </c>
      <c r="BN44" s="68">
        <f>IF(BN$59="X","",IF(BN$59&lt;&gt;"",BN$59,IF(IFERROR(INDEX(醫師週班表!$C$5:$T$44,$CU44,BN$57),"")=0,"",IF(MID(IFERROR(INDEX(醫師週班表!$C$5:$T$44,$CU44,BN$57),""),2,1)="/",MID(IFERROR(INDEX(醫師週班表!$C$5:$T$44,$CU44,BN$57),""),1+BN$58*2,1),IF(MID(IFERROR(INDEX(醫師週班表!$C$5:$T$44,$CU44,BN$57),""),3,1)="隔",IF(BN$58=0,LEFT(IFERROR(INDEX(醫師週班表!$C$5:$T$44,$CU44,BN$57),""),1),""),IF(MID(IFERROR(INDEX(醫師週班表!$C$5:$T$44,$CU44,BN$57),""),2,1)="(",LEFT(IFERROR(INDEX(醫師週班表!$C$5:$T$44,$CU44,BN$57),""),1),IFERROR(INDEX(醫師週班表!$C$5:$T$44,$CU44,BN$57),"")))))))</f>
        <v/>
      </c>
      <c r="BO44" s="68">
        <f>IF(BO$59="X","",IF(BO$59&lt;&gt;"",BO$59,IF(IFERROR(INDEX(醫師週班表!$C$5:$T$44,$CU44,BO$57),"")=0,"",IF(MID(IFERROR(INDEX(醫師週班表!$C$5:$T$44,$CU44,BO$57),""),2,1)="/",MID(IFERROR(INDEX(醫師週班表!$C$5:$T$44,$CU44,BO$57),""),1+BO$58*2,1),IF(MID(IFERROR(INDEX(醫師週班表!$C$5:$T$44,$CU44,BO$57),""),3,1)="隔",IF(BO$58=0,LEFT(IFERROR(INDEX(醫師週班表!$C$5:$T$44,$CU44,BO$57),""),1),""),IF(MID(IFERROR(INDEX(醫師週班表!$C$5:$T$44,$CU44,BO$57),""),2,1)="(",LEFT(IFERROR(INDEX(醫師週班表!$C$5:$T$44,$CU44,BO$57),""),1),IFERROR(INDEX(醫師週班表!$C$5:$T$44,$CU44,BO$57),"")))))))</f>
        <v/>
      </c>
      <c r="BP44" s="67">
        <f>IF(BP$59="X","",IF(BP$59&lt;&gt;"",BP$59,IF(IFERROR(INDEX(醫師週班表!$C$5:$T$44,$CU44,BP$57),"")=0,"",IF(MID(IFERROR(INDEX(醫師週班表!$C$5:$T$44,$CU44,BP$57),""),2,1)="/",MID(IFERROR(INDEX(醫師週班表!$C$5:$T$44,$CU44,BP$57),""),1+BP$58*2,1),IF(MID(IFERROR(INDEX(醫師週班表!$C$5:$T$44,$CU44,BP$57),""),3,1)="隔",IF(BP$58=0,LEFT(IFERROR(INDEX(醫師週班表!$C$5:$T$44,$CU44,BP$57),""),1),""),IF(MID(IFERROR(INDEX(醫師週班表!$C$5:$T$44,$CU44,BP$57),""),2,1)="(",LEFT(IFERROR(INDEX(醫師週班表!$C$5:$T$44,$CU44,BP$57),""),1),IFERROR(INDEX(醫師週班表!$C$5:$T$44,$CU44,BP$57),"")))))))</f>
        <v/>
      </c>
      <c r="BQ44" s="68">
        <f>IF(BQ$59="X","",IF(BQ$59&lt;&gt;"",BQ$59,IF(IFERROR(INDEX(醫師週班表!$C$5:$T$44,$CU44,BQ$57),"")=0,"",IF(MID(IFERROR(INDEX(醫師週班表!$C$5:$T$44,$CU44,BQ$57),""),2,1)="/",MID(IFERROR(INDEX(醫師週班表!$C$5:$T$44,$CU44,BQ$57),""),1+BQ$58*2,1),IF(MID(IFERROR(INDEX(醫師週班表!$C$5:$T$44,$CU44,BQ$57),""),3,1)="隔",IF(BQ$58=0,LEFT(IFERROR(INDEX(醫師週班表!$C$5:$T$44,$CU44,BQ$57),""),1),""),IF(MID(IFERROR(INDEX(醫師週班表!$C$5:$T$44,$CU44,BQ$57),""),2,1)="(",LEFT(IFERROR(INDEX(醫師週班表!$C$5:$T$44,$CU44,BQ$57),""),1),IFERROR(INDEX(醫師週班表!$C$5:$T$44,$CU44,BQ$57),"")))))))</f>
        <v/>
      </c>
      <c r="BR44" s="68">
        <f>IF(BR$59="X","",IF(BR$59&lt;&gt;"",BR$59,IF(IFERROR(INDEX(醫師週班表!$C$5:$T$44,$CU44,BR$57),"")=0,"",IF(MID(IFERROR(INDEX(醫師週班表!$C$5:$T$44,$CU44,BR$57),""),2,1)="/",MID(IFERROR(INDEX(醫師週班表!$C$5:$T$44,$CU44,BR$57),""),1+BR$58*2,1),IF(MID(IFERROR(INDEX(醫師週班表!$C$5:$T$44,$CU44,BR$57),""),3,1)="隔",IF(BR$58=0,LEFT(IFERROR(INDEX(醫師週班表!$C$5:$T$44,$CU44,BR$57),""),1),""),IF(MID(IFERROR(INDEX(醫師週班表!$C$5:$T$44,$CU44,BR$57),""),2,1)="(",LEFT(IFERROR(INDEX(醫師週班表!$C$5:$T$44,$CU44,BR$57),""),1),IFERROR(INDEX(醫師週班表!$C$5:$T$44,$CU44,BR$57),"")))))))</f>
        <v/>
      </c>
      <c r="BS44" s="67">
        <f>IF(BS$59="X","",IF(BS$59&lt;&gt;"",BS$59,IF(IFERROR(INDEX(醫師週班表!$C$5:$T$44,$CU44,BS$57),"")=0,"",IF(MID(IFERROR(INDEX(醫師週班表!$C$5:$T$44,$CU44,BS$57),""),2,1)="/",MID(IFERROR(INDEX(醫師週班表!$C$5:$T$44,$CU44,BS$57),""),1+BS$58*2,1),IF(MID(IFERROR(INDEX(醫師週班表!$C$5:$T$44,$CU44,BS$57),""),3,1)="隔",IF(BS$58=0,LEFT(IFERROR(INDEX(醫師週班表!$C$5:$T$44,$CU44,BS$57),""),1),""),IF(MID(IFERROR(INDEX(醫師週班表!$C$5:$T$44,$CU44,BS$57),""),2,1)="(",LEFT(IFERROR(INDEX(醫師週班表!$C$5:$T$44,$CU44,BS$57),""),1),IFERROR(INDEX(醫師週班表!$C$5:$T$44,$CU44,BS$57),"")))))))</f>
        <v/>
      </c>
      <c r="BT44" s="68">
        <f>IF(BT$59="X","",IF(BT$59&lt;&gt;"",BT$59,IF(IFERROR(INDEX(醫師週班表!$C$5:$T$44,$CU44,BT$57),"")=0,"",IF(MID(IFERROR(INDEX(醫師週班表!$C$5:$T$44,$CU44,BT$57),""),2,1)="/",MID(IFERROR(INDEX(醫師週班表!$C$5:$T$44,$CU44,BT$57),""),1+BT$58*2,1),IF(MID(IFERROR(INDEX(醫師週班表!$C$5:$T$44,$CU44,BT$57),""),3,1)="隔",IF(BT$58=0,LEFT(IFERROR(INDEX(醫師週班表!$C$5:$T$44,$CU44,BT$57),""),1),""),IF(MID(IFERROR(INDEX(醫師週班表!$C$5:$T$44,$CU44,BT$57),""),2,1)="(",LEFT(IFERROR(INDEX(醫師週班表!$C$5:$T$44,$CU44,BT$57),""),1),IFERROR(INDEX(醫師週班表!$C$5:$T$44,$CU44,BT$57),"")))))))</f>
        <v/>
      </c>
      <c r="BU44" s="68">
        <f>IF(BU$59="X","",IF(BU$59&lt;&gt;"",BU$59,IF(IFERROR(INDEX(醫師週班表!$C$5:$T$44,$CU44,BU$57),"")=0,"",IF(MID(IFERROR(INDEX(醫師週班表!$C$5:$T$44,$CU44,BU$57),""),2,1)="/",MID(IFERROR(INDEX(醫師週班表!$C$5:$T$44,$CU44,BU$57),""),1+BU$58*2,1),IF(MID(IFERROR(INDEX(醫師週班表!$C$5:$T$44,$CU44,BU$57),""),3,1)="隔",IF(BU$58=0,LEFT(IFERROR(INDEX(醫師週班表!$C$5:$T$44,$CU44,BU$57),""),1),""),IF(MID(IFERROR(INDEX(醫師週班表!$C$5:$T$44,$CU44,BU$57),""),2,1)="(",LEFT(IFERROR(INDEX(醫師週班表!$C$5:$T$44,$CU44,BU$57),""),1),IFERROR(INDEX(醫師週班表!$C$5:$T$44,$CU44,BU$57),"")))))))</f>
        <v/>
      </c>
      <c r="BV44" s="67">
        <f>IF(BV$59="X","",IF(BV$59&lt;&gt;"",BV$59,IF(IFERROR(INDEX(醫師週班表!$C$5:$T$44,$CU44,BV$57),"")=0,"",IF(MID(IFERROR(INDEX(醫師週班表!$C$5:$T$44,$CU44,BV$57),""),2,1)="/",MID(IFERROR(INDEX(醫師週班表!$C$5:$T$44,$CU44,BV$57),""),1+BV$58*2,1),IF(MID(IFERROR(INDEX(醫師週班表!$C$5:$T$44,$CU44,BV$57),""),3,1)="隔",IF(BV$58=0,LEFT(IFERROR(INDEX(醫師週班表!$C$5:$T$44,$CU44,BV$57),""),1),""),IF(MID(IFERROR(INDEX(醫師週班表!$C$5:$T$44,$CU44,BV$57),""),2,1)="(",LEFT(IFERROR(INDEX(醫師週班表!$C$5:$T$44,$CU44,BV$57),""),1),IFERROR(INDEX(醫師週班表!$C$5:$T$44,$CU44,BV$57),"")))))))</f>
        <v/>
      </c>
      <c r="BW44" s="68">
        <f>IF(BW$59="X","",IF(BW$59&lt;&gt;"",BW$59,IF(IFERROR(INDEX(醫師週班表!$C$5:$T$44,$CU44,BW$57),"")=0,"",IF(MID(IFERROR(INDEX(醫師週班表!$C$5:$T$44,$CU44,BW$57),""),2,1)="/",MID(IFERROR(INDEX(醫師週班表!$C$5:$T$44,$CU44,BW$57),""),1+BW$58*2,1),IF(MID(IFERROR(INDEX(醫師週班表!$C$5:$T$44,$CU44,BW$57),""),3,1)="隔",IF(BW$58=0,LEFT(IFERROR(INDEX(醫師週班表!$C$5:$T$44,$CU44,BW$57),""),1),""),IF(MID(IFERROR(INDEX(醫師週班表!$C$5:$T$44,$CU44,BW$57),""),2,1)="(",LEFT(IFERROR(INDEX(醫師週班表!$C$5:$T$44,$CU44,BW$57),""),1),IFERROR(INDEX(醫師週班表!$C$5:$T$44,$CU44,BW$57),"")))))))</f>
        <v/>
      </c>
      <c r="BX44" s="68">
        <f>IF(BX$59="X","",IF(BX$59&lt;&gt;"",BX$59,IF(IFERROR(INDEX(醫師週班表!$C$5:$T$44,$CU44,BX$57),"")=0,"",IF(MID(IFERROR(INDEX(醫師週班表!$C$5:$T$44,$CU44,BX$57),""),2,1)="/",MID(IFERROR(INDEX(醫師週班表!$C$5:$T$44,$CU44,BX$57),""),1+BX$58*2,1),IF(MID(IFERROR(INDEX(醫師週班表!$C$5:$T$44,$CU44,BX$57),""),3,1)="隔",IF(BX$58=0,LEFT(IFERROR(INDEX(醫師週班表!$C$5:$T$44,$CU44,BX$57),""),1),""),IF(MID(IFERROR(INDEX(醫師週班表!$C$5:$T$44,$CU44,BX$57),""),2,1)="(",LEFT(IFERROR(INDEX(醫師週班表!$C$5:$T$44,$CU44,BX$57),""),1),IFERROR(INDEX(醫師週班表!$C$5:$T$44,$CU44,BX$57),"")))))))</f>
        <v/>
      </c>
      <c r="BY44" s="67">
        <f>IF(BY$59="X","",IF(BY$59&lt;&gt;"",BY$59,IF(IFERROR(INDEX(醫師週班表!$C$5:$T$44,$CU44,BY$57),"")=0,"",IF(MID(IFERROR(INDEX(醫師週班表!$C$5:$T$44,$CU44,BY$57),""),2,1)="/",MID(IFERROR(INDEX(醫師週班表!$C$5:$T$44,$CU44,BY$57),""),1+BY$58*2,1),IF(MID(IFERROR(INDEX(醫師週班表!$C$5:$T$44,$CU44,BY$57),""),3,1)="隔",IF(BY$58=0,LEFT(IFERROR(INDEX(醫師週班表!$C$5:$T$44,$CU44,BY$57),""),1),""),IF(MID(IFERROR(INDEX(醫師週班表!$C$5:$T$44,$CU44,BY$57),""),2,1)="(",LEFT(IFERROR(INDEX(醫師週班表!$C$5:$T$44,$CU44,BY$57),""),1),IFERROR(INDEX(醫師週班表!$C$5:$T$44,$CU44,BY$57),"")))))))</f>
        <v/>
      </c>
      <c r="BZ44" s="68">
        <f>IF(BZ$59="X","",IF(BZ$59&lt;&gt;"",BZ$59,IF(IFERROR(INDEX(醫師週班表!$C$5:$T$44,$CU44,BZ$57),"")=0,"",IF(MID(IFERROR(INDEX(醫師週班表!$C$5:$T$44,$CU44,BZ$57),""),2,1)="/",MID(IFERROR(INDEX(醫師週班表!$C$5:$T$44,$CU44,BZ$57),""),1+BZ$58*2,1),IF(MID(IFERROR(INDEX(醫師週班表!$C$5:$T$44,$CU44,BZ$57),""),3,1)="隔",IF(BZ$58=0,LEFT(IFERROR(INDEX(醫師週班表!$C$5:$T$44,$CU44,BZ$57),""),1),""),IF(MID(IFERROR(INDEX(醫師週班表!$C$5:$T$44,$CU44,BZ$57),""),2,1)="(",LEFT(IFERROR(INDEX(醫師週班表!$C$5:$T$44,$CU44,BZ$57),""),1),IFERROR(INDEX(醫師週班表!$C$5:$T$44,$CU44,BZ$57),"")))))))</f>
        <v/>
      </c>
      <c r="CA44" s="68">
        <f>IF(CA$59="X","",IF(CA$59&lt;&gt;"",CA$59,IF(IFERROR(INDEX(醫師週班表!$C$5:$T$44,$CU44,CA$57),"")=0,"",IF(MID(IFERROR(INDEX(醫師週班表!$C$5:$T$44,$CU44,CA$57),""),2,1)="/",MID(IFERROR(INDEX(醫師週班表!$C$5:$T$44,$CU44,CA$57),""),1+CA$58*2,1),IF(MID(IFERROR(INDEX(醫師週班表!$C$5:$T$44,$CU44,CA$57),""),3,1)="隔",IF(CA$58=0,LEFT(IFERROR(INDEX(醫師週班表!$C$5:$T$44,$CU44,CA$57),""),1),""),IF(MID(IFERROR(INDEX(醫師週班表!$C$5:$T$44,$CU44,CA$57),""),2,1)="(",LEFT(IFERROR(INDEX(醫師週班表!$C$5:$T$44,$CU44,CA$57),""),1),IFERROR(INDEX(醫師週班表!$C$5:$T$44,$CU44,CA$57),"")))))))</f>
        <v/>
      </c>
      <c r="CB44" s="67">
        <f>IF(CB$59="X","",IF(CB$59&lt;&gt;"",CB$59,IF(IFERROR(INDEX(醫師週班表!$C$5:$T$44,$CU44,CB$57),"")=0,"",IF(MID(IFERROR(INDEX(醫師週班表!$C$5:$T$44,$CU44,CB$57),""),2,1)="/",MID(IFERROR(INDEX(醫師週班表!$C$5:$T$44,$CU44,CB$57),""),1+CB$58*2,1),IF(MID(IFERROR(INDEX(醫師週班表!$C$5:$T$44,$CU44,CB$57),""),3,1)="隔",IF(CB$58=0,LEFT(IFERROR(INDEX(醫師週班表!$C$5:$T$44,$CU44,CB$57),""),1),""),IF(MID(IFERROR(INDEX(醫師週班表!$C$5:$T$44,$CU44,CB$57),""),2,1)="(",LEFT(IFERROR(INDEX(醫師週班表!$C$5:$T$44,$CU44,CB$57),""),1),IFERROR(INDEX(醫師週班表!$C$5:$T$44,$CU44,CB$57),"")))))))</f>
        <v/>
      </c>
      <c r="CC44" s="68">
        <f>IF(CC$59="X","",IF(CC$59&lt;&gt;"",CC$59,IF(IFERROR(INDEX(醫師週班表!$C$5:$T$44,$CU44,CC$57),"")=0,"",IF(MID(IFERROR(INDEX(醫師週班表!$C$5:$T$44,$CU44,CC$57),""),2,1)="/",MID(IFERROR(INDEX(醫師週班表!$C$5:$T$44,$CU44,CC$57),""),1+CC$58*2,1),IF(MID(IFERROR(INDEX(醫師週班表!$C$5:$T$44,$CU44,CC$57),""),3,1)="隔",IF(CC$58=0,LEFT(IFERROR(INDEX(醫師週班表!$C$5:$T$44,$CU44,CC$57),""),1),""),IF(MID(IFERROR(INDEX(醫師週班表!$C$5:$T$44,$CU44,CC$57),""),2,1)="(",LEFT(IFERROR(INDEX(醫師週班表!$C$5:$T$44,$CU44,CC$57),""),1),IFERROR(INDEX(醫師週班表!$C$5:$T$44,$CU44,CC$57),"")))))))</f>
        <v/>
      </c>
      <c r="CD44" s="68">
        <f>IF(CD$59="X","",IF(CD$59&lt;&gt;"",CD$59,IF(IFERROR(INDEX(醫師週班表!$C$5:$T$44,$CU44,CD$57),"")=0,"",IF(MID(IFERROR(INDEX(醫師週班表!$C$5:$T$44,$CU44,CD$57),""),2,1)="/",MID(IFERROR(INDEX(醫師週班表!$C$5:$T$44,$CU44,CD$57),""),1+CD$58*2,1),IF(MID(IFERROR(INDEX(醫師週班表!$C$5:$T$44,$CU44,CD$57),""),3,1)="隔",IF(CD$58=0,LEFT(IFERROR(INDEX(醫師週班表!$C$5:$T$44,$CU44,CD$57),""),1),""),IF(MID(IFERROR(INDEX(醫師週班表!$C$5:$T$44,$CU44,CD$57),""),2,1)="(",LEFT(IFERROR(INDEX(醫師週班表!$C$5:$T$44,$CU44,CD$57),""),1),IFERROR(INDEX(醫師週班表!$C$5:$T$44,$CU44,CD$57),"")))))))</f>
        <v/>
      </c>
      <c r="CE44" s="67">
        <f>IF(CE$59="X","",IF(CE$59&lt;&gt;"",CE$59,IF(IFERROR(INDEX(醫師週班表!$C$5:$T$44,$CU44,CE$57),"")=0,"",IF(MID(IFERROR(INDEX(醫師週班表!$C$5:$T$44,$CU44,CE$57),""),2,1)="/",MID(IFERROR(INDEX(醫師週班表!$C$5:$T$44,$CU44,CE$57),""),1+CE$58*2,1),IF(MID(IFERROR(INDEX(醫師週班表!$C$5:$T$44,$CU44,CE$57),""),3,1)="隔",IF(CE$58=0,LEFT(IFERROR(INDEX(醫師週班表!$C$5:$T$44,$CU44,CE$57),""),1),""),IF(MID(IFERROR(INDEX(醫師週班表!$C$5:$T$44,$CU44,CE$57),""),2,1)="(",LEFT(IFERROR(INDEX(醫師週班表!$C$5:$T$44,$CU44,CE$57),""),1),IFERROR(INDEX(醫師週班表!$C$5:$T$44,$CU44,CE$57),"")))))))</f>
        <v/>
      </c>
      <c r="CF44" s="68">
        <f>IF(CF$59="X","",IF(CF$59&lt;&gt;"",CF$59,IF(IFERROR(INDEX(醫師週班表!$C$5:$T$44,$CU44,CF$57),"")=0,"",IF(MID(IFERROR(INDEX(醫師週班表!$C$5:$T$44,$CU44,CF$57),""),2,1)="/",MID(IFERROR(INDEX(醫師週班表!$C$5:$T$44,$CU44,CF$57),""),1+CF$58*2,1),IF(MID(IFERROR(INDEX(醫師週班表!$C$5:$T$44,$CU44,CF$57),""),3,1)="隔",IF(CF$58=0,LEFT(IFERROR(INDEX(醫師週班表!$C$5:$T$44,$CU44,CF$57),""),1),""),IF(MID(IFERROR(INDEX(醫師週班表!$C$5:$T$44,$CU44,CF$57),""),2,1)="(",LEFT(IFERROR(INDEX(醫師週班表!$C$5:$T$44,$CU44,CF$57),""),1),IFERROR(INDEX(醫師週班表!$C$5:$T$44,$CU44,CF$57),"")))))))</f>
        <v/>
      </c>
      <c r="CG44" s="68">
        <f>IF(CG$59="X","",IF(CG$59&lt;&gt;"",CG$59,IF(IFERROR(INDEX(醫師週班表!$C$5:$T$44,$CU44,CG$57),"")=0,"",IF(MID(IFERROR(INDEX(醫師週班表!$C$5:$T$44,$CU44,CG$57),""),2,1)="/",MID(IFERROR(INDEX(醫師週班表!$C$5:$T$44,$CU44,CG$57),""),1+CG$58*2,1),IF(MID(IFERROR(INDEX(醫師週班表!$C$5:$T$44,$CU44,CG$57),""),3,1)="隔",IF(CG$58=0,LEFT(IFERROR(INDEX(醫師週班表!$C$5:$T$44,$CU44,CG$57),""),1),""),IF(MID(IFERROR(INDEX(醫師週班表!$C$5:$T$44,$CU44,CG$57),""),2,1)="(",LEFT(IFERROR(INDEX(醫師週班表!$C$5:$T$44,$CU44,CG$57),""),1),IFERROR(INDEX(醫師週班表!$C$5:$T$44,$CU44,CG$57),"")))))))</f>
        <v/>
      </c>
      <c r="CH44" s="67">
        <f>IF(CH$59="X","",IF(CH$59&lt;&gt;"",CH$59,IF(IFERROR(INDEX(醫師週班表!$C$5:$T$44,$CU44,CH$57),"")=0,"",IF(MID(IFERROR(INDEX(醫師週班表!$C$5:$T$44,$CU44,CH$57),""),2,1)="/",MID(IFERROR(INDEX(醫師週班表!$C$5:$T$44,$CU44,CH$57),""),1+CH$58*2,1),IF(MID(IFERROR(INDEX(醫師週班表!$C$5:$T$44,$CU44,CH$57),""),3,1)="隔",IF(CH$58=0,LEFT(IFERROR(INDEX(醫師週班表!$C$5:$T$44,$CU44,CH$57),""),1),""),IF(MID(IFERROR(INDEX(醫師週班表!$C$5:$T$44,$CU44,CH$57),""),2,1)="(",LEFT(IFERROR(INDEX(醫師週班表!$C$5:$T$44,$CU44,CH$57),""),1),IFERROR(INDEX(醫師週班表!$C$5:$T$44,$CU44,CH$57),"")))))))</f>
        <v/>
      </c>
      <c r="CI44" s="68">
        <f>IF(CI$59="X","",IF(CI$59&lt;&gt;"",CI$59,IF(IFERROR(INDEX(醫師週班表!$C$5:$T$44,$CU44,CI$57),"")=0,"",IF(MID(IFERROR(INDEX(醫師週班表!$C$5:$T$44,$CU44,CI$57),""),2,1)="/",MID(IFERROR(INDEX(醫師週班表!$C$5:$T$44,$CU44,CI$57),""),1+CI$58*2,1),IF(MID(IFERROR(INDEX(醫師週班表!$C$5:$T$44,$CU44,CI$57),""),3,1)="隔",IF(CI$58=0,LEFT(IFERROR(INDEX(醫師週班表!$C$5:$T$44,$CU44,CI$57),""),1),""),IF(MID(IFERROR(INDEX(醫師週班表!$C$5:$T$44,$CU44,CI$57),""),2,1)="(",LEFT(IFERROR(INDEX(醫師週班表!$C$5:$T$44,$CU44,CI$57),""),1),IFERROR(INDEX(醫師週班表!$C$5:$T$44,$CU44,CI$57),"")))))))</f>
        <v/>
      </c>
      <c r="CJ44" s="68">
        <f>IF(CJ$59="X","",IF(CJ$59&lt;&gt;"",CJ$59,IF(IFERROR(INDEX(醫師週班表!$C$5:$T$44,$CU44,CJ$57),"")=0,"",IF(MID(IFERROR(INDEX(醫師週班表!$C$5:$T$44,$CU44,CJ$57),""),2,1)="/",MID(IFERROR(INDEX(醫師週班表!$C$5:$T$44,$CU44,CJ$57),""),1+CJ$58*2,1),IF(MID(IFERROR(INDEX(醫師週班表!$C$5:$T$44,$CU44,CJ$57),""),3,1)="隔",IF(CJ$58=0,LEFT(IFERROR(INDEX(醫師週班表!$C$5:$T$44,$CU44,CJ$57),""),1),""),IF(MID(IFERROR(INDEX(醫師週班表!$C$5:$T$44,$CU44,CJ$57),""),2,1)="(",LEFT(IFERROR(INDEX(醫師週班表!$C$5:$T$44,$CU44,CJ$57),""),1),IFERROR(INDEX(醫師週班表!$C$5:$T$44,$CU44,CJ$57),"")))))))</f>
        <v/>
      </c>
      <c r="CK44" s="67">
        <f>IF(CK$59="X","",IF(CK$59&lt;&gt;"",CK$59,IF(IFERROR(INDEX(醫師週班表!$C$5:$T$44,$CU44,CK$57),"")=0,"",IF(MID(IFERROR(INDEX(醫師週班表!$C$5:$T$44,$CU44,CK$57),""),2,1)="/",MID(IFERROR(INDEX(醫師週班表!$C$5:$T$44,$CU44,CK$57),""),1+CK$58*2,1),IF(MID(IFERROR(INDEX(醫師週班表!$C$5:$T$44,$CU44,CK$57),""),3,1)="隔",IF(CK$58=0,LEFT(IFERROR(INDEX(醫師週班表!$C$5:$T$44,$CU44,CK$57),""),1),""),IF(MID(IFERROR(INDEX(醫師週班表!$C$5:$T$44,$CU44,CK$57),""),2,1)="(",LEFT(IFERROR(INDEX(醫師週班表!$C$5:$T$44,$CU44,CK$57),""),1),IFERROR(INDEX(醫師週班表!$C$5:$T$44,$CU44,CK$57),"")))))))</f>
        <v/>
      </c>
      <c r="CL44" s="68">
        <f>IF(CL$59="X","",IF(CL$59&lt;&gt;"",CL$59,IF(IFERROR(INDEX(醫師週班表!$C$5:$T$44,$CU44,CL$57),"")=0,"",IF(MID(IFERROR(INDEX(醫師週班表!$C$5:$T$44,$CU44,CL$57),""),2,1)="/",MID(IFERROR(INDEX(醫師週班表!$C$5:$T$44,$CU44,CL$57),""),1+CL$58*2,1),IF(MID(IFERROR(INDEX(醫師週班表!$C$5:$T$44,$CU44,CL$57),""),3,1)="隔",IF(CL$58=0,LEFT(IFERROR(INDEX(醫師週班表!$C$5:$T$44,$CU44,CL$57),""),1),""),IF(MID(IFERROR(INDEX(醫師週班表!$C$5:$T$44,$CU44,CL$57),""),2,1)="(",LEFT(IFERROR(INDEX(醫師週班表!$C$5:$T$44,$CU44,CL$57),""),1),IFERROR(INDEX(醫師週班表!$C$5:$T$44,$CU44,CL$57),"")))))))</f>
        <v/>
      </c>
      <c r="CM44" s="68">
        <f>IF(CM$59="X","",IF(CM$59&lt;&gt;"",CM$59,IF(IFERROR(INDEX(醫師週班表!$C$5:$T$44,$CU44,CM$57),"")=0,"",IF(MID(IFERROR(INDEX(醫師週班表!$C$5:$T$44,$CU44,CM$57),""),2,1)="/",MID(IFERROR(INDEX(醫師週班表!$C$5:$T$44,$CU44,CM$57),""),1+CM$58*2,1),IF(MID(IFERROR(INDEX(醫師週班表!$C$5:$T$44,$CU44,CM$57),""),3,1)="隔",IF(CM$58=0,LEFT(IFERROR(INDEX(醫師週班表!$C$5:$T$44,$CU44,CM$57),""),1),""),IF(MID(IFERROR(INDEX(醫師週班表!$C$5:$T$44,$CU44,CM$57),""),2,1)="(",LEFT(IFERROR(INDEX(醫師週班表!$C$5:$T$44,$CU44,CM$57),""),1),IFERROR(INDEX(醫師週班表!$C$5:$T$44,$CU44,CM$57),"")))))))</f>
        <v/>
      </c>
      <c r="CN44" s="67">
        <f>IF(CN$59="X","",IF(CN$59&lt;&gt;"",CN$59,IF(IFERROR(INDEX(醫師週班表!$C$5:$T$44,$CU44,CN$57),"")=0,"",IF(MID(IFERROR(INDEX(醫師週班表!$C$5:$T$44,$CU44,CN$57),""),2,1)="/",MID(IFERROR(INDEX(醫師週班表!$C$5:$T$44,$CU44,CN$57),""),1+CN$58*2,1),IF(MID(IFERROR(INDEX(醫師週班表!$C$5:$T$44,$CU44,CN$57),""),3,1)="隔",IF(CN$58=0,LEFT(IFERROR(INDEX(醫師週班表!$C$5:$T$44,$CU44,CN$57),""),1),""),IF(MID(IFERROR(INDEX(醫師週班表!$C$5:$T$44,$CU44,CN$57),""),2,1)="(",LEFT(IFERROR(INDEX(醫師週班表!$C$5:$T$44,$CU44,CN$57),""),1),IFERROR(INDEX(醫師週班表!$C$5:$T$44,$CU44,CN$57),"")))))))</f>
        <v/>
      </c>
      <c r="CO44" s="68">
        <f>IF(CO$59="X","",IF(CO$59&lt;&gt;"",CO$59,IF(IFERROR(INDEX(醫師週班表!$C$5:$T$44,$CU44,CO$57),"")=0,"",IF(MID(IFERROR(INDEX(醫師週班表!$C$5:$T$44,$CU44,CO$57),""),2,1)="/",MID(IFERROR(INDEX(醫師週班表!$C$5:$T$44,$CU44,CO$57),""),1+CO$58*2,1),IF(MID(IFERROR(INDEX(醫師週班表!$C$5:$T$44,$CU44,CO$57),""),3,1)="隔",IF(CO$58=0,LEFT(IFERROR(INDEX(醫師週班表!$C$5:$T$44,$CU44,CO$57),""),1),""),IF(MID(IFERROR(INDEX(醫師週班表!$C$5:$T$44,$CU44,CO$57),""),2,1)="(",LEFT(IFERROR(INDEX(醫師週班表!$C$5:$T$44,$CU44,CO$57),""),1),IFERROR(INDEX(醫師週班表!$C$5:$T$44,$CU44,CO$57),"")))))))</f>
        <v/>
      </c>
      <c r="CP44" s="68">
        <f>IF(CP$59="X","",IF(CP$59&lt;&gt;"",CP$59,IF(IFERROR(INDEX(醫師週班表!$C$5:$T$44,$CU44,CP$57),"")=0,"",IF(MID(IFERROR(INDEX(醫師週班表!$C$5:$T$44,$CU44,CP$57),""),2,1)="/",MID(IFERROR(INDEX(醫師週班表!$C$5:$T$44,$CU44,CP$57),""),1+CP$58*2,1),IF(MID(IFERROR(INDEX(醫師週班表!$C$5:$T$44,$CU44,CP$57),""),3,1)="隔",IF(CP$58=0,LEFT(IFERROR(INDEX(醫師週班表!$C$5:$T$44,$CU44,CP$57),""),1),""),IF(MID(IFERROR(INDEX(醫師週班表!$C$5:$T$44,$CU44,CP$57),""),2,1)="(",LEFT(IFERROR(INDEX(醫師週班表!$C$5:$T$44,$CU44,CP$57),""),1),IFERROR(INDEX(醫師週班表!$C$5:$T$44,$CU44,CP$57),"")))))))</f>
        <v/>
      </c>
      <c r="CQ44" s="67">
        <f>IF(CQ$59="X","",IF(CQ$59&lt;&gt;"",CQ$59,IF(IFERROR(INDEX(醫師週班表!$C$5:$T$44,$CU44,CQ$57),"")=0,"",IF(MID(IFERROR(INDEX(醫師週班表!$C$5:$T$44,$CU44,CQ$57),""),2,1)="/",MID(IFERROR(INDEX(醫師週班表!$C$5:$T$44,$CU44,CQ$57),""),1+CQ$58*2,1),IF(MID(IFERROR(INDEX(醫師週班表!$C$5:$T$44,$CU44,CQ$57),""),3,1)="隔",IF(CQ$58=0,LEFT(IFERROR(INDEX(醫師週班表!$C$5:$T$44,$CU44,CQ$57),""),1),""),IF(MID(IFERROR(INDEX(醫師週班表!$C$5:$T$44,$CU44,CQ$57),""),2,1)="(",LEFT(IFERROR(INDEX(醫師週班表!$C$5:$T$44,$CU44,CQ$57),""),1),IFERROR(INDEX(醫師週班表!$C$5:$T$44,$CU44,CQ$57),"")))))))</f>
        <v/>
      </c>
      <c r="CR44" s="68">
        <f>IF(CR$59="X","",IF(CR$59&lt;&gt;"",CR$59,IF(IFERROR(INDEX(醫師週班表!$C$5:$T$44,$CU44,CR$57),"")=0,"",IF(MID(IFERROR(INDEX(醫師週班表!$C$5:$T$44,$CU44,CR$57),""),2,1)="/",MID(IFERROR(INDEX(醫師週班表!$C$5:$T$44,$CU44,CR$57),""),1+CR$58*2,1),IF(MID(IFERROR(INDEX(醫師週班表!$C$5:$T$44,$CU44,CR$57),""),3,1)="隔",IF(CR$58=0,LEFT(IFERROR(INDEX(醫師週班表!$C$5:$T$44,$CU44,CR$57),""),1),""),IF(MID(IFERROR(INDEX(醫師週班表!$C$5:$T$44,$CU44,CR$57),""),2,1)="(",LEFT(IFERROR(INDEX(醫師週班表!$C$5:$T$44,$CU44,CR$57),""),1),IFERROR(INDEX(醫師週班表!$C$5:$T$44,$CU44,CR$57),"")))))))</f>
        <v/>
      </c>
      <c r="CS44" s="68">
        <f>IF(CS$59="X","",IF(CS$59&lt;&gt;"",CS$59,IF(IFERROR(INDEX(醫師週班表!$C$5:$T$44,$CU44,CS$57),"")=0,"",IF(MID(IFERROR(INDEX(醫師週班表!$C$5:$T$44,$CU44,CS$57),""),2,1)="/",MID(IFERROR(INDEX(醫師週班表!$C$5:$T$44,$CU44,CS$57),""),1+CS$58*2,1),IF(MID(IFERROR(INDEX(醫師週班表!$C$5:$T$44,$CU44,CS$57),""),3,1)="隔",IF(CS$58=0,LEFT(IFERROR(INDEX(醫師週班表!$C$5:$T$44,$CU44,CS$57),""),1),""),IF(MID(IFERROR(INDEX(醫師週班表!$C$5:$T$44,$CU44,CS$57),""),2,1)="(",LEFT(IFERROR(INDEX(醫師週班表!$C$5:$T$44,$CU44,CS$57),""),1),IFERROR(INDEX(醫師週班表!$C$5:$T$44,$CU44,CS$57),"")))))))</f>
        <v/>
      </c>
      <c r="CU44" s="69">
        <f>IFERROR(MATCH($A44,醫師週班表!$A$5:$A$44,0),0)</f>
        <v/>
      </c>
    </row>
    <row r="45" ht="17" customHeight="1">
      <c r="A45" s="20" t="n"/>
      <c r="B45" s="16">
        <f>IFERROR(INDEX(設定!$C$62:$C$201,MATCH($A45,設定!$B$62:$B$201,0)),"")</f>
        <v/>
      </c>
      <c r="C45" s="66">
        <f>IFERROR(INDEX(設定!$E$62:$E$201,MATCH($A45,設定!$B$62:$B$201,0)),"")</f>
        <v/>
      </c>
      <c r="D45" s="16">
        <f>IFERROR(INDEX(設定!$F$62:$F$201,MATCH($A45,設定!$B$62:$B$201,0)),"")</f>
        <v/>
      </c>
      <c r="E45" s="67">
        <f>IF(E$59="X","",IF(E$59&lt;&gt;"",E$59,IF(IFERROR(INDEX(醫師週班表!$C$5:$T$44,$CU45,E$57),"")=0,"",IF(MID(IFERROR(INDEX(醫師週班表!$C$5:$T$44,$CU45,E$57),""),2,1)="/",MID(IFERROR(INDEX(醫師週班表!$C$5:$T$44,$CU45,E$57),""),1+E$58*2,1),IF(MID(IFERROR(INDEX(醫師週班表!$C$5:$T$44,$CU45,E$57),""),3,1)="隔",IF(E$58=0,LEFT(IFERROR(INDEX(醫師週班表!$C$5:$T$44,$CU45,E$57),""),1),""),IF(MID(IFERROR(INDEX(醫師週班表!$C$5:$T$44,$CU45,E$57),""),2,1)="(",LEFT(IFERROR(INDEX(醫師週班表!$C$5:$T$44,$CU45,E$57),""),1),IFERROR(INDEX(醫師週班表!$C$5:$T$44,$CU45,E$57),"")))))))</f>
        <v/>
      </c>
      <c r="F45" s="68">
        <f>IF(F$59="X","",IF(F$59&lt;&gt;"",F$59,IF(IFERROR(INDEX(醫師週班表!$C$5:$T$44,$CU45,F$57),"")=0,"",IF(MID(IFERROR(INDEX(醫師週班表!$C$5:$T$44,$CU45,F$57),""),2,1)="/",MID(IFERROR(INDEX(醫師週班表!$C$5:$T$44,$CU45,F$57),""),1+F$58*2,1),IF(MID(IFERROR(INDEX(醫師週班表!$C$5:$T$44,$CU45,F$57),""),3,1)="隔",IF(F$58=0,LEFT(IFERROR(INDEX(醫師週班表!$C$5:$T$44,$CU45,F$57),""),1),""),IF(MID(IFERROR(INDEX(醫師週班表!$C$5:$T$44,$CU45,F$57),""),2,1)="(",LEFT(IFERROR(INDEX(醫師週班表!$C$5:$T$44,$CU45,F$57),""),1),IFERROR(INDEX(醫師週班表!$C$5:$T$44,$CU45,F$57),"")))))))</f>
        <v/>
      </c>
      <c r="G45" s="68">
        <f>IF(G$59="X","",IF(G$59&lt;&gt;"",G$59,IF(IFERROR(INDEX(醫師週班表!$C$5:$T$44,$CU45,G$57),"")=0,"",IF(MID(IFERROR(INDEX(醫師週班表!$C$5:$T$44,$CU45,G$57),""),2,1)="/",MID(IFERROR(INDEX(醫師週班表!$C$5:$T$44,$CU45,G$57),""),1+G$58*2,1),IF(MID(IFERROR(INDEX(醫師週班表!$C$5:$T$44,$CU45,G$57),""),3,1)="隔",IF(G$58=0,LEFT(IFERROR(INDEX(醫師週班表!$C$5:$T$44,$CU45,G$57),""),1),""),IF(MID(IFERROR(INDEX(醫師週班表!$C$5:$T$44,$CU45,G$57),""),2,1)="(",LEFT(IFERROR(INDEX(醫師週班表!$C$5:$T$44,$CU45,G$57),""),1),IFERROR(INDEX(醫師週班表!$C$5:$T$44,$CU45,G$57),"")))))))</f>
        <v/>
      </c>
      <c r="H45" s="67">
        <f>IF(H$59="X","",IF(H$59&lt;&gt;"",H$59,IF(IFERROR(INDEX(醫師週班表!$C$5:$T$44,$CU45,H$57),"")=0,"",IF(MID(IFERROR(INDEX(醫師週班表!$C$5:$T$44,$CU45,H$57),""),2,1)="/",MID(IFERROR(INDEX(醫師週班表!$C$5:$T$44,$CU45,H$57),""),1+H$58*2,1),IF(MID(IFERROR(INDEX(醫師週班表!$C$5:$T$44,$CU45,H$57),""),3,1)="隔",IF(H$58=0,LEFT(IFERROR(INDEX(醫師週班表!$C$5:$T$44,$CU45,H$57),""),1),""),IF(MID(IFERROR(INDEX(醫師週班表!$C$5:$T$44,$CU45,H$57),""),2,1)="(",LEFT(IFERROR(INDEX(醫師週班表!$C$5:$T$44,$CU45,H$57),""),1),IFERROR(INDEX(醫師週班表!$C$5:$T$44,$CU45,H$57),"")))))))</f>
        <v/>
      </c>
      <c r="I45" s="68">
        <f>IF(I$59="X","",IF(I$59&lt;&gt;"",I$59,IF(IFERROR(INDEX(醫師週班表!$C$5:$T$44,$CU45,I$57),"")=0,"",IF(MID(IFERROR(INDEX(醫師週班表!$C$5:$T$44,$CU45,I$57),""),2,1)="/",MID(IFERROR(INDEX(醫師週班表!$C$5:$T$44,$CU45,I$57),""),1+I$58*2,1),IF(MID(IFERROR(INDEX(醫師週班表!$C$5:$T$44,$CU45,I$57),""),3,1)="隔",IF(I$58=0,LEFT(IFERROR(INDEX(醫師週班表!$C$5:$T$44,$CU45,I$57),""),1),""),IF(MID(IFERROR(INDEX(醫師週班表!$C$5:$T$44,$CU45,I$57),""),2,1)="(",LEFT(IFERROR(INDEX(醫師週班表!$C$5:$T$44,$CU45,I$57),""),1),IFERROR(INDEX(醫師週班表!$C$5:$T$44,$CU45,I$57),"")))))))</f>
        <v/>
      </c>
      <c r="J45" s="68">
        <f>IF(J$59="X","",IF(J$59&lt;&gt;"",J$59,IF(IFERROR(INDEX(醫師週班表!$C$5:$T$44,$CU45,J$57),"")=0,"",IF(MID(IFERROR(INDEX(醫師週班表!$C$5:$T$44,$CU45,J$57),""),2,1)="/",MID(IFERROR(INDEX(醫師週班表!$C$5:$T$44,$CU45,J$57),""),1+J$58*2,1),IF(MID(IFERROR(INDEX(醫師週班表!$C$5:$T$44,$CU45,J$57),""),3,1)="隔",IF(J$58=0,LEFT(IFERROR(INDEX(醫師週班表!$C$5:$T$44,$CU45,J$57),""),1),""),IF(MID(IFERROR(INDEX(醫師週班表!$C$5:$T$44,$CU45,J$57),""),2,1)="(",LEFT(IFERROR(INDEX(醫師週班表!$C$5:$T$44,$CU45,J$57),""),1),IFERROR(INDEX(醫師週班表!$C$5:$T$44,$CU45,J$57),"")))))))</f>
        <v/>
      </c>
      <c r="K45" s="67">
        <f>IF(K$59="X","",IF(K$59&lt;&gt;"",K$59,IF(IFERROR(INDEX(醫師週班表!$C$5:$T$44,$CU45,K$57),"")=0,"",IF(MID(IFERROR(INDEX(醫師週班表!$C$5:$T$44,$CU45,K$57),""),2,1)="/",MID(IFERROR(INDEX(醫師週班表!$C$5:$T$44,$CU45,K$57),""),1+K$58*2,1),IF(MID(IFERROR(INDEX(醫師週班表!$C$5:$T$44,$CU45,K$57),""),3,1)="隔",IF(K$58=0,LEFT(IFERROR(INDEX(醫師週班表!$C$5:$T$44,$CU45,K$57),""),1),""),IF(MID(IFERROR(INDEX(醫師週班表!$C$5:$T$44,$CU45,K$57),""),2,1)="(",LEFT(IFERROR(INDEX(醫師週班表!$C$5:$T$44,$CU45,K$57),""),1),IFERROR(INDEX(醫師週班表!$C$5:$T$44,$CU45,K$57),"")))))))</f>
        <v/>
      </c>
      <c r="L45" s="68">
        <f>IF(L$59="X","",IF(L$59&lt;&gt;"",L$59,IF(IFERROR(INDEX(醫師週班表!$C$5:$T$44,$CU45,L$57),"")=0,"",IF(MID(IFERROR(INDEX(醫師週班表!$C$5:$T$44,$CU45,L$57),""),2,1)="/",MID(IFERROR(INDEX(醫師週班表!$C$5:$T$44,$CU45,L$57),""),1+L$58*2,1),IF(MID(IFERROR(INDEX(醫師週班表!$C$5:$T$44,$CU45,L$57),""),3,1)="隔",IF(L$58=0,LEFT(IFERROR(INDEX(醫師週班表!$C$5:$T$44,$CU45,L$57),""),1),""),IF(MID(IFERROR(INDEX(醫師週班表!$C$5:$T$44,$CU45,L$57),""),2,1)="(",LEFT(IFERROR(INDEX(醫師週班表!$C$5:$T$44,$CU45,L$57),""),1),IFERROR(INDEX(醫師週班表!$C$5:$T$44,$CU45,L$57),"")))))))</f>
        <v/>
      </c>
      <c r="M45" s="68">
        <f>IF(M$59="X","",IF(M$59&lt;&gt;"",M$59,IF(IFERROR(INDEX(醫師週班表!$C$5:$T$44,$CU45,M$57),"")=0,"",IF(MID(IFERROR(INDEX(醫師週班表!$C$5:$T$44,$CU45,M$57),""),2,1)="/",MID(IFERROR(INDEX(醫師週班表!$C$5:$T$44,$CU45,M$57),""),1+M$58*2,1),IF(MID(IFERROR(INDEX(醫師週班表!$C$5:$T$44,$CU45,M$57),""),3,1)="隔",IF(M$58=0,LEFT(IFERROR(INDEX(醫師週班表!$C$5:$T$44,$CU45,M$57),""),1),""),IF(MID(IFERROR(INDEX(醫師週班表!$C$5:$T$44,$CU45,M$57),""),2,1)="(",LEFT(IFERROR(INDEX(醫師週班表!$C$5:$T$44,$CU45,M$57),""),1),IFERROR(INDEX(醫師週班表!$C$5:$T$44,$CU45,M$57),"")))))))</f>
        <v/>
      </c>
      <c r="N45" s="67">
        <f>IF(N$59="X","",IF(N$59&lt;&gt;"",N$59,IF(IFERROR(INDEX(醫師週班表!$C$5:$T$44,$CU45,N$57),"")=0,"",IF(MID(IFERROR(INDEX(醫師週班表!$C$5:$T$44,$CU45,N$57),""),2,1)="/",MID(IFERROR(INDEX(醫師週班表!$C$5:$T$44,$CU45,N$57),""),1+N$58*2,1),IF(MID(IFERROR(INDEX(醫師週班表!$C$5:$T$44,$CU45,N$57),""),3,1)="隔",IF(N$58=0,LEFT(IFERROR(INDEX(醫師週班表!$C$5:$T$44,$CU45,N$57),""),1),""),IF(MID(IFERROR(INDEX(醫師週班表!$C$5:$T$44,$CU45,N$57),""),2,1)="(",LEFT(IFERROR(INDEX(醫師週班表!$C$5:$T$44,$CU45,N$57),""),1),IFERROR(INDEX(醫師週班表!$C$5:$T$44,$CU45,N$57),"")))))))</f>
        <v/>
      </c>
      <c r="O45" s="68">
        <f>IF(O$59="X","",IF(O$59&lt;&gt;"",O$59,IF(IFERROR(INDEX(醫師週班表!$C$5:$T$44,$CU45,O$57),"")=0,"",IF(MID(IFERROR(INDEX(醫師週班表!$C$5:$T$44,$CU45,O$57),""),2,1)="/",MID(IFERROR(INDEX(醫師週班表!$C$5:$T$44,$CU45,O$57),""),1+O$58*2,1),IF(MID(IFERROR(INDEX(醫師週班表!$C$5:$T$44,$CU45,O$57),""),3,1)="隔",IF(O$58=0,LEFT(IFERROR(INDEX(醫師週班表!$C$5:$T$44,$CU45,O$57),""),1),""),IF(MID(IFERROR(INDEX(醫師週班表!$C$5:$T$44,$CU45,O$57),""),2,1)="(",LEFT(IFERROR(INDEX(醫師週班表!$C$5:$T$44,$CU45,O$57),""),1),IFERROR(INDEX(醫師週班表!$C$5:$T$44,$CU45,O$57),"")))))))</f>
        <v/>
      </c>
      <c r="P45" s="68">
        <f>IF(P$59="X","",IF(P$59&lt;&gt;"",P$59,IF(IFERROR(INDEX(醫師週班表!$C$5:$T$44,$CU45,P$57),"")=0,"",IF(MID(IFERROR(INDEX(醫師週班表!$C$5:$T$44,$CU45,P$57),""),2,1)="/",MID(IFERROR(INDEX(醫師週班表!$C$5:$T$44,$CU45,P$57),""),1+P$58*2,1),IF(MID(IFERROR(INDEX(醫師週班表!$C$5:$T$44,$CU45,P$57),""),3,1)="隔",IF(P$58=0,LEFT(IFERROR(INDEX(醫師週班表!$C$5:$T$44,$CU45,P$57),""),1),""),IF(MID(IFERROR(INDEX(醫師週班表!$C$5:$T$44,$CU45,P$57),""),2,1)="(",LEFT(IFERROR(INDEX(醫師週班表!$C$5:$T$44,$CU45,P$57),""),1),IFERROR(INDEX(醫師週班表!$C$5:$T$44,$CU45,P$57),"")))))))</f>
        <v/>
      </c>
      <c r="Q45" s="67">
        <f>IF(Q$59="X","",IF(Q$59&lt;&gt;"",Q$59,IF(IFERROR(INDEX(醫師週班表!$C$5:$T$44,$CU45,Q$57),"")=0,"",IF(MID(IFERROR(INDEX(醫師週班表!$C$5:$T$44,$CU45,Q$57),""),2,1)="/",MID(IFERROR(INDEX(醫師週班表!$C$5:$T$44,$CU45,Q$57),""),1+Q$58*2,1),IF(MID(IFERROR(INDEX(醫師週班表!$C$5:$T$44,$CU45,Q$57),""),3,1)="隔",IF(Q$58=0,LEFT(IFERROR(INDEX(醫師週班表!$C$5:$T$44,$CU45,Q$57),""),1),""),IF(MID(IFERROR(INDEX(醫師週班表!$C$5:$T$44,$CU45,Q$57),""),2,1)="(",LEFT(IFERROR(INDEX(醫師週班表!$C$5:$T$44,$CU45,Q$57),""),1),IFERROR(INDEX(醫師週班表!$C$5:$T$44,$CU45,Q$57),"")))))))</f>
        <v/>
      </c>
      <c r="R45" s="68">
        <f>IF(R$59="X","",IF(R$59&lt;&gt;"",R$59,IF(IFERROR(INDEX(醫師週班表!$C$5:$T$44,$CU45,R$57),"")=0,"",IF(MID(IFERROR(INDEX(醫師週班表!$C$5:$T$44,$CU45,R$57),""),2,1)="/",MID(IFERROR(INDEX(醫師週班表!$C$5:$T$44,$CU45,R$57),""),1+R$58*2,1),IF(MID(IFERROR(INDEX(醫師週班表!$C$5:$T$44,$CU45,R$57),""),3,1)="隔",IF(R$58=0,LEFT(IFERROR(INDEX(醫師週班表!$C$5:$T$44,$CU45,R$57),""),1),""),IF(MID(IFERROR(INDEX(醫師週班表!$C$5:$T$44,$CU45,R$57),""),2,1)="(",LEFT(IFERROR(INDEX(醫師週班表!$C$5:$T$44,$CU45,R$57),""),1),IFERROR(INDEX(醫師週班表!$C$5:$T$44,$CU45,R$57),"")))))))</f>
        <v/>
      </c>
      <c r="S45" s="68">
        <f>IF(S$59="X","",IF(S$59&lt;&gt;"",S$59,IF(IFERROR(INDEX(醫師週班表!$C$5:$T$44,$CU45,S$57),"")=0,"",IF(MID(IFERROR(INDEX(醫師週班表!$C$5:$T$44,$CU45,S$57),""),2,1)="/",MID(IFERROR(INDEX(醫師週班表!$C$5:$T$44,$CU45,S$57),""),1+S$58*2,1),IF(MID(IFERROR(INDEX(醫師週班表!$C$5:$T$44,$CU45,S$57),""),3,1)="隔",IF(S$58=0,LEFT(IFERROR(INDEX(醫師週班表!$C$5:$T$44,$CU45,S$57),""),1),""),IF(MID(IFERROR(INDEX(醫師週班表!$C$5:$T$44,$CU45,S$57),""),2,1)="(",LEFT(IFERROR(INDEX(醫師週班表!$C$5:$T$44,$CU45,S$57),""),1),IFERROR(INDEX(醫師週班表!$C$5:$T$44,$CU45,S$57),"")))))))</f>
        <v/>
      </c>
      <c r="T45" s="67">
        <f>IF(T$59="X","",IF(T$59&lt;&gt;"",T$59,IF(IFERROR(INDEX(醫師週班表!$C$5:$T$44,$CU45,T$57),"")=0,"",IF(MID(IFERROR(INDEX(醫師週班表!$C$5:$T$44,$CU45,T$57),""),2,1)="/",MID(IFERROR(INDEX(醫師週班表!$C$5:$T$44,$CU45,T$57),""),1+T$58*2,1),IF(MID(IFERROR(INDEX(醫師週班表!$C$5:$T$44,$CU45,T$57),""),3,1)="隔",IF(T$58=0,LEFT(IFERROR(INDEX(醫師週班表!$C$5:$T$44,$CU45,T$57),""),1),""),IF(MID(IFERROR(INDEX(醫師週班表!$C$5:$T$44,$CU45,T$57),""),2,1)="(",LEFT(IFERROR(INDEX(醫師週班表!$C$5:$T$44,$CU45,T$57),""),1),IFERROR(INDEX(醫師週班表!$C$5:$T$44,$CU45,T$57),"")))))))</f>
        <v/>
      </c>
      <c r="U45" s="68">
        <f>IF(U$59="X","",IF(U$59&lt;&gt;"",U$59,IF(IFERROR(INDEX(醫師週班表!$C$5:$T$44,$CU45,U$57),"")=0,"",IF(MID(IFERROR(INDEX(醫師週班表!$C$5:$T$44,$CU45,U$57),""),2,1)="/",MID(IFERROR(INDEX(醫師週班表!$C$5:$T$44,$CU45,U$57),""),1+U$58*2,1),IF(MID(IFERROR(INDEX(醫師週班表!$C$5:$T$44,$CU45,U$57),""),3,1)="隔",IF(U$58=0,LEFT(IFERROR(INDEX(醫師週班表!$C$5:$T$44,$CU45,U$57),""),1),""),IF(MID(IFERROR(INDEX(醫師週班表!$C$5:$T$44,$CU45,U$57),""),2,1)="(",LEFT(IFERROR(INDEX(醫師週班表!$C$5:$T$44,$CU45,U$57),""),1),IFERROR(INDEX(醫師週班表!$C$5:$T$44,$CU45,U$57),"")))))))</f>
        <v/>
      </c>
      <c r="V45" s="68">
        <f>IF(V$59="X","",IF(V$59&lt;&gt;"",V$59,IF(IFERROR(INDEX(醫師週班表!$C$5:$T$44,$CU45,V$57),"")=0,"",IF(MID(IFERROR(INDEX(醫師週班表!$C$5:$T$44,$CU45,V$57),""),2,1)="/",MID(IFERROR(INDEX(醫師週班表!$C$5:$T$44,$CU45,V$57),""),1+V$58*2,1),IF(MID(IFERROR(INDEX(醫師週班表!$C$5:$T$44,$CU45,V$57),""),3,1)="隔",IF(V$58=0,LEFT(IFERROR(INDEX(醫師週班表!$C$5:$T$44,$CU45,V$57),""),1),""),IF(MID(IFERROR(INDEX(醫師週班表!$C$5:$T$44,$CU45,V$57),""),2,1)="(",LEFT(IFERROR(INDEX(醫師週班表!$C$5:$T$44,$CU45,V$57),""),1),IFERROR(INDEX(醫師週班表!$C$5:$T$44,$CU45,V$57),"")))))))</f>
        <v/>
      </c>
      <c r="W45" s="67">
        <f>IF(W$59="X","",IF(W$59&lt;&gt;"",W$59,IF(IFERROR(INDEX(醫師週班表!$C$5:$T$44,$CU45,W$57),"")=0,"",IF(MID(IFERROR(INDEX(醫師週班表!$C$5:$T$44,$CU45,W$57),""),2,1)="/",MID(IFERROR(INDEX(醫師週班表!$C$5:$T$44,$CU45,W$57),""),1+W$58*2,1),IF(MID(IFERROR(INDEX(醫師週班表!$C$5:$T$44,$CU45,W$57),""),3,1)="隔",IF(W$58=0,LEFT(IFERROR(INDEX(醫師週班表!$C$5:$T$44,$CU45,W$57),""),1),""),IF(MID(IFERROR(INDEX(醫師週班表!$C$5:$T$44,$CU45,W$57),""),2,1)="(",LEFT(IFERROR(INDEX(醫師週班表!$C$5:$T$44,$CU45,W$57),""),1),IFERROR(INDEX(醫師週班表!$C$5:$T$44,$CU45,W$57),"")))))))</f>
        <v/>
      </c>
      <c r="X45" s="68">
        <f>IF(X$59="X","",IF(X$59&lt;&gt;"",X$59,IF(IFERROR(INDEX(醫師週班表!$C$5:$T$44,$CU45,X$57),"")=0,"",IF(MID(IFERROR(INDEX(醫師週班表!$C$5:$T$44,$CU45,X$57),""),2,1)="/",MID(IFERROR(INDEX(醫師週班表!$C$5:$T$44,$CU45,X$57),""),1+X$58*2,1),IF(MID(IFERROR(INDEX(醫師週班表!$C$5:$T$44,$CU45,X$57),""),3,1)="隔",IF(X$58=0,LEFT(IFERROR(INDEX(醫師週班表!$C$5:$T$44,$CU45,X$57),""),1),""),IF(MID(IFERROR(INDEX(醫師週班表!$C$5:$T$44,$CU45,X$57),""),2,1)="(",LEFT(IFERROR(INDEX(醫師週班表!$C$5:$T$44,$CU45,X$57),""),1),IFERROR(INDEX(醫師週班表!$C$5:$T$44,$CU45,X$57),"")))))))</f>
        <v/>
      </c>
      <c r="Y45" s="68">
        <f>IF(Y$59="X","",IF(Y$59&lt;&gt;"",Y$59,IF(IFERROR(INDEX(醫師週班表!$C$5:$T$44,$CU45,Y$57),"")=0,"",IF(MID(IFERROR(INDEX(醫師週班表!$C$5:$T$44,$CU45,Y$57),""),2,1)="/",MID(IFERROR(INDEX(醫師週班表!$C$5:$T$44,$CU45,Y$57),""),1+Y$58*2,1),IF(MID(IFERROR(INDEX(醫師週班表!$C$5:$T$44,$CU45,Y$57),""),3,1)="隔",IF(Y$58=0,LEFT(IFERROR(INDEX(醫師週班表!$C$5:$T$44,$CU45,Y$57),""),1),""),IF(MID(IFERROR(INDEX(醫師週班表!$C$5:$T$44,$CU45,Y$57),""),2,1)="(",LEFT(IFERROR(INDEX(醫師週班表!$C$5:$T$44,$CU45,Y$57),""),1),IFERROR(INDEX(醫師週班表!$C$5:$T$44,$CU45,Y$57),"")))))))</f>
        <v/>
      </c>
      <c r="Z45" s="67">
        <f>IF(Z$59="X","",IF(Z$59&lt;&gt;"",Z$59,IF(IFERROR(INDEX(醫師週班表!$C$5:$T$44,$CU45,Z$57),"")=0,"",IF(MID(IFERROR(INDEX(醫師週班表!$C$5:$T$44,$CU45,Z$57),""),2,1)="/",MID(IFERROR(INDEX(醫師週班表!$C$5:$T$44,$CU45,Z$57),""),1+Z$58*2,1),IF(MID(IFERROR(INDEX(醫師週班表!$C$5:$T$44,$CU45,Z$57),""),3,1)="隔",IF(Z$58=0,LEFT(IFERROR(INDEX(醫師週班表!$C$5:$T$44,$CU45,Z$57),""),1),""),IF(MID(IFERROR(INDEX(醫師週班表!$C$5:$T$44,$CU45,Z$57),""),2,1)="(",LEFT(IFERROR(INDEX(醫師週班表!$C$5:$T$44,$CU45,Z$57),""),1),IFERROR(INDEX(醫師週班表!$C$5:$T$44,$CU45,Z$57),"")))))))</f>
        <v/>
      </c>
      <c r="AA45" s="68">
        <f>IF(AA$59="X","",IF(AA$59&lt;&gt;"",AA$59,IF(IFERROR(INDEX(醫師週班表!$C$5:$T$44,$CU45,AA$57),"")=0,"",IF(MID(IFERROR(INDEX(醫師週班表!$C$5:$T$44,$CU45,AA$57),""),2,1)="/",MID(IFERROR(INDEX(醫師週班表!$C$5:$T$44,$CU45,AA$57),""),1+AA$58*2,1),IF(MID(IFERROR(INDEX(醫師週班表!$C$5:$T$44,$CU45,AA$57),""),3,1)="隔",IF(AA$58=0,LEFT(IFERROR(INDEX(醫師週班表!$C$5:$T$44,$CU45,AA$57),""),1),""),IF(MID(IFERROR(INDEX(醫師週班表!$C$5:$T$44,$CU45,AA$57),""),2,1)="(",LEFT(IFERROR(INDEX(醫師週班表!$C$5:$T$44,$CU45,AA$57),""),1),IFERROR(INDEX(醫師週班表!$C$5:$T$44,$CU45,AA$57),"")))))))</f>
        <v/>
      </c>
      <c r="AB45" s="68">
        <f>IF(AB$59="X","",IF(AB$59&lt;&gt;"",AB$59,IF(IFERROR(INDEX(醫師週班表!$C$5:$T$44,$CU45,AB$57),"")=0,"",IF(MID(IFERROR(INDEX(醫師週班表!$C$5:$T$44,$CU45,AB$57),""),2,1)="/",MID(IFERROR(INDEX(醫師週班表!$C$5:$T$44,$CU45,AB$57),""),1+AB$58*2,1),IF(MID(IFERROR(INDEX(醫師週班表!$C$5:$T$44,$CU45,AB$57),""),3,1)="隔",IF(AB$58=0,LEFT(IFERROR(INDEX(醫師週班表!$C$5:$T$44,$CU45,AB$57),""),1),""),IF(MID(IFERROR(INDEX(醫師週班表!$C$5:$T$44,$CU45,AB$57),""),2,1)="(",LEFT(IFERROR(INDEX(醫師週班表!$C$5:$T$44,$CU45,AB$57),""),1),IFERROR(INDEX(醫師週班表!$C$5:$T$44,$CU45,AB$57),"")))))))</f>
        <v/>
      </c>
      <c r="AC45" s="67">
        <f>IF(AC$59="X","",IF(AC$59&lt;&gt;"",AC$59,IF(IFERROR(INDEX(醫師週班表!$C$5:$T$44,$CU45,AC$57),"")=0,"",IF(MID(IFERROR(INDEX(醫師週班表!$C$5:$T$44,$CU45,AC$57),""),2,1)="/",MID(IFERROR(INDEX(醫師週班表!$C$5:$T$44,$CU45,AC$57),""),1+AC$58*2,1),IF(MID(IFERROR(INDEX(醫師週班表!$C$5:$T$44,$CU45,AC$57),""),3,1)="隔",IF(AC$58=0,LEFT(IFERROR(INDEX(醫師週班表!$C$5:$T$44,$CU45,AC$57),""),1),""),IF(MID(IFERROR(INDEX(醫師週班表!$C$5:$T$44,$CU45,AC$57),""),2,1)="(",LEFT(IFERROR(INDEX(醫師週班表!$C$5:$T$44,$CU45,AC$57),""),1),IFERROR(INDEX(醫師週班表!$C$5:$T$44,$CU45,AC$57),"")))))))</f>
        <v/>
      </c>
      <c r="AD45" s="68">
        <f>IF(AD$59="X","",IF(AD$59&lt;&gt;"",AD$59,IF(IFERROR(INDEX(醫師週班表!$C$5:$T$44,$CU45,AD$57),"")=0,"",IF(MID(IFERROR(INDEX(醫師週班表!$C$5:$T$44,$CU45,AD$57),""),2,1)="/",MID(IFERROR(INDEX(醫師週班表!$C$5:$T$44,$CU45,AD$57),""),1+AD$58*2,1),IF(MID(IFERROR(INDEX(醫師週班表!$C$5:$T$44,$CU45,AD$57),""),3,1)="隔",IF(AD$58=0,LEFT(IFERROR(INDEX(醫師週班表!$C$5:$T$44,$CU45,AD$57),""),1),""),IF(MID(IFERROR(INDEX(醫師週班表!$C$5:$T$44,$CU45,AD$57),""),2,1)="(",LEFT(IFERROR(INDEX(醫師週班表!$C$5:$T$44,$CU45,AD$57),""),1),IFERROR(INDEX(醫師週班表!$C$5:$T$44,$CU45,AD$57),"")))))))</f>
        <v/>
      </c>
      <c r="AE45" s="68">
        <f>IF(AE$59="X","",IF(AE$59&lt;&gt;"",AE$59,IF(IFERROR(INDEX(醫師週班表!$C$5:$T$44,$CU45,AE$57),"")=0,"",IF(MID(IFERROR(INDEX(醫師週班表!$C$5:$T$44,$CU45,AE$57),""),2,1)="/",MID(IFERROR(INDEX(醫師週班表!$C$5:$T$44,$CU45,AE$57),""),1+AE$58*2,1),IF(MID(IFERROR(INDEX(醫師週班表!$C$5:$T$44,$CU45,AE$57),""),3,1)="隔",IF(AE$58=0,LEFT(IFERROR(INDEX(醫師週班表!$C$5:$T$44,$CU45,AE$57),""),1),""),IF(MID(IFERROR(INDEX(醫師週班表!$C$5:$T$44,$CU45,AE$57),""),2,1)="(",LEFT(IFERROR(INDEX(醫師週班表!$C$5:$T$44,$CU45,AE$57),""),1),IFERROR(INDEX(醫師週班表!$C$5:$T$44,$CU45,AE$57),"")))))))</f>
        <v/>
      </c>
      <c r="AF45" s="67">
        <f>IF(AF$59="X","",IF(AF$59&lt;&gt;"",AF$59,IF(IFERROR(INDEX(醫師週班表!$C$5:$T$44,$CU45,AF$57),"")=0,"",IF(MID(IFERROR(INDEX(醫師週班表!$C$5:$T$44,$CU45,AF$57),""),2,1)="/",MID(IFERROR(INDEX(醫師週班表!$C$5:$T$44,$CU45,AF$57),""),1+AF$58*2,1),IF(MID(IFERROR(INDEX(醫師週班表!$C$5:$T$44,$CU45,AF$57),""),3,1)="隔",IF(AF$58=0,LEFT(IFERROR(INDEX(醫師週班表!$C$5:$T$44,$CU45,AF$57),""),1),""),IF(MID(IFERROR(INDEX(醫師週班表!$C$5:$T$44,$CU45,AF$57),""),2,1)="(",LEFT(IFERROR(INDEX(醫師週班表!$C$5:$T$44,$CU45,AF$57),""),1),IFERROR(INDEX(醫師週班表!$C$5:$T$44,$CU45,AF$57),"")))))))</f>
        <v/>
      </c>
      <c r="AG45" s="68">
        <f>IF(AG$59="X","",IF(AG$59&lt;&gt;"",AG$59,IF(IFERROR(INDEX(醫師週班表!$C$5:$T$44,$CU45,AG$57),"")=0,"",IF(MID(IFERROR(INDEX(醫師週班表!$C$5:$T$44,$CU45,AG$57),""),2,1)="/",MID(IFERROR(INDEX(醫師週班表!$C$5:$T$44,$CU45,AG$57),""),1+AG$58*2,1),IF(MID(IFERROR(INDEX(醫師週班表!$C$5:$T$44,$CU45,AG$57),""),3,1)="隔",IF(AG$58=0,LEFT(IFERROR(INDEX(醫師週班表!$C$5:$T$44,$CU45,AG$57),""),1),""),IF(MID(IFERROR(INDEX(醫師週班表!$C$5:$T$44,$CU45,AG$57),""),2,1)="(",LEFT(IFERROR(INDEX(醫師週班表!$C$5:$T$44,$CU45,AG$57),""),1),IFERROR(INDEX(醫師週班表!$C$5:$T$44,$CU45,AG$57),"")))))))</f>
        <v/>
      </c>
      <c r="AH45" s="68">
        <f>IF(AH$59="X","",IF(AH$59&lt;&gt;"",AH$59,IF(IFERROR(INDEX(醫師週班表!$C$5:$T$44,$CU45,AH$57),"")=0,"",IF(MID(IFERROR(INDEX(醫師週班表!$C$5:$T$44,$CU45,AH$57),""),2,1)="/",MID(IFERROR(INDEX(醫師週班表!$C$5:$T$44,$CU45,AH$57),""),1+AH$58*2,1),IF(MID(IFERROR(INDEX(醫師週班表!$C$5:$T$44,$CU45,AH$57),""),3,1)="隔",IF(AH$58=0,LEFT(IFERROR(INDEX(醫師週班表!$C$5:$T$44,$CU45,AH$57),""),1),""),IF(MID(IFERROR(INDEX(醫師週班表!$C$5:$T$44,$CU45,AH$57),""),2,1)="(",LEFT(IFERROR(INDEX(醫師週班表!$C$5:$T$44,$CU45,AH$57),""),1),IFERROR(INDEX(醫師週班表!$C$5:$T$44,$CU45,AH$57),"")))))))</f>
        <v/>
      </c>
      <c r="AI45" s="67">
        <f>IF(AI$59="X","",IF(AI$59&lt;&gt;"",AI$59,IF(IFERROR(INDEX(醫師週班表!$C$5:$T$44,$CU45,AI$57),"")=0,"",IF(MID(IFERROR(INDEX(醫師週班表!$C$5:$T$44,$CU45,AI$57),""),2,1)="/",MID(IFERROR(INDEX(醫師週班表!$C$5:$T$44,$CU45,AI$57),""),1+AI$58*2,1),IF(MID(IFERROR(INDEX(醫師週班表!$C$5:$T$44,$CU45,AI$57),""),3,1)="隔",IF(AI$58=0,LEFT(IFERROR(INDEX(醫師週班表!$C$5:$T$44,$CU45,AI$57),""),1),""),IF(MID(IFERROR(INDEX(醫師週班表!$C$5:$T$44,$CU45,AI$57),""),2,1)="(",LEFT(IFERROR(INDEX(醫師週班表!$C$5:$T$44,$CU45,AI$57),""),1),IFERROR(INDEX(醫師週班表!$C$5:$T$44,$CU45,AI$57),"")))))))</f>
        <v/>
      </c>
      <c r="AJ45" s="68">
        <f>IF(AJ$59="X","",IF(AJ$59&lt;&gt;"",AJ$59,IF(IFERROR(INDEX(醫師週班表!$C$5:$T$44,$CU45,AJ$57),"")=0,"",IF(MID(IFERROR(INDEX(醫師週班表!$C$5:$T$44,$CU45,AJ$57),""),2,1)="/",MID(IFERROR(INDEX(醫師週班表!$C$5:$T$44,$CU45,AJ$57),""),1+AJ$58*2,1),IF(MID(IFERROR(INDEX(醫師週班表!$C$5:$T$44,$CU45,AJ$57),""),3,1)="隔",IF(AJ$58=0,LEFT(IFERROR(INDEX(醫師週班表!$C$5:$T$44,$CU45,AJ$57),""),1),""),IF(MID(IFERROR(INDEX(醫師週班表!$C$5:$T$44,$CU45,AJ$57),""),2,1)="(",LEFT(IFERROR(INDEX(醫師週班表!$C$5:$T$44,$CU45,AJ$57),""),1),IFERROR(INDEX(醫師週班表!$C$5:$T$44,$CU45,AJ$57),"")))))))</f>
        <v/>
      </c>
      <c r="AK45" s="68">
        <f>IF(AK$59="X","",IF(AK$59&lt;&gt;"",AK$59,IF(IFERROR(INDEX(醫師週班表!$C$5:$T$44,$CU45,AK$57),"")=0,"",IF(MID(IFERROR(INDEX(醫師週班表!$C$5:$T$44,$CU45,AK$57),""),2,1)="/",MID(IFERROR(INDEX(醫師週班表!$C$5:$T$44,$CU45,AK$57),""),1+AK$58*2,1),IF(MID(IFERROR(INDEX(醫師週班表!$C$5:$T$44,$CU45,AK$57),""),3,1)="隔",IF(AK$58=0,LEFT(IFERROR(INDEX(醫師週班表!$C$5:$T$44,$CU45,AK$57),""),1),""),IF(MID(IFERROR(INDEX(醫師週班表!$C$5:$T$44,$CU45,AK$57),""),2,1)="(",LEFT(IFERROR(INDEX(醫師週班表!$C$5:$T$44,$CU45,AK$57),""),1),IFERROR(INDEX(醫師週班表!$C$5:$T$44,$CU45,AK$57),"")))))))</f>
        <v/>
      </c>
      <c r="AL45" s="67">
        <f>IF(AL$59="X","",IF(AL$59&lt;&gt;"",AL$59,IF(IFERROR(INDEX(醫師週班表!$C$5:$T$44,$CU45,AL$57),"")=0,"",IF(MID(IFERROR(INDEX(醫師週班表!$C$5:$T$44,$CU45,AL$57),""),2,1)="/",MID(IFERROR(INDEX(醫師週班表!$C$5:$T$44,$CU45,AL$57),""),1+AL$58*2,1),IF(MID(IFERROR(INDEX(醫師週班表!$C$5:$T$44,$CU45,AL$57),""),3,1)="隔",IF(AL$58=0,LEFT(IFERROR(INDEX(醫師週班表!$C$5:$T$44,$CU45,AL$57),""),1),""),IF(MID(IFERROR(INDEX(醫師週班表!$C$5:$T$44,$CU45,AL$57),""),2,1)="(",LEFT(IFERROR(INDEX(醫師週班表!$C$5:$T$44,$CU45,AL$57),""),1),IFERROR(INDEX(醫師週班表!$C$5:$T$44,$CU45,AL$57),"")))))))</f>
        <v/>
      </c>
      <c r="AM45" s="68">
        <f>IF(AM$59="X","",IF(AM$59&lt;&gt;"",AM$59,IF(IFERROR(INDEX(醫師週班表!$C$5:$T$44,$CU45,AM$57),"")=0,"",IF(MID(IFERROR(INDEX(醫師週班表!$C$5:$T$44,$CU45,AM$57),""),2,1)="/",MID(IFERROR(INDEX(醫師週班表!$C$5:$T$44,$CU45,AM$57),""),1+AM$58*2,1),IF(MID(IFERROR(INDEX(醫師週班表!$C$5:$T$44,$CU45,AM$57),""),3,1)="隔",IF(AM$58=0,LEFT(IFERROR(INDEX(醫師週班表!$C$5:$T$44,$CU45,AM$57),""),1),""),IF(MID(IFERROR(INDEX(醫師週班表!$C$5:$T$44,$CU45,AM$57),""),2,1)="(",LEFT(IFERROR(INDEX(醫師週班表!$C$5:$T$44,$CU45,AM$57),""),1),IFERROR(INDEX(醫師週班表!$C$5:$T$44,$CU45,AM$57),"")))))))</f>
        <v/>
      </c>
      <c r="AN45" s="68">
        <f>IF(AN$59="X","",IF(AN$59&lt;&gt;"",AN$59,IF(IFERROR(INDEX(醫師週班表!$C$5:$T$44,$CU45,AN$57),"")=0,"",IF(MID(IFERROR(INDEX(醫師週班表!$C$5:$T$44,$CU45,AN$57),""),2,1)="/",MID(IFERROR(INDEX(醫師週班表!$C$5:$T$44,$CU45,AN$57),""),1+AN$58*2,1),IF(MID(IFERROR(INDEX(醫師週班表!$C$5:$T$44,$CU45,AN$57),""),3,1)="隔",IF(AN$58=0,LEFT(IFERROR(INDEX(醫師週班表!$C$5:$T$44,$CU45,AN$57),""),1),""),IF(MID(IFERROR(INDEX(醫師週班表!$C$5:$T$44,$CU45,AN$57),""),2,1)="(",LEFT(IFERROR(INDEX(醫師週班表!$C$5:$T$44,$CU45,AN$57),""),1),IFERROR(INDEX(醫師週班表!$C$5:$T$44,$CU45,AN$57),"")))))))</f>
        <v/>
      </c>
      <c r="AO45" s="67">
        <f>IF(AO$59="X","",IF(AO$59&lt;&gt;"",AO$59,IF(IFERROR(INDEX(醫師週班表!$C$5:$T$44,$CU45,AO$57),"")=0,"",IF(MID(IFERROR(INDEX(醫師週班表!$C$5:$T$44,$CU45,AO$57),""),2,1)="/",MID(IFERROR(INDEX(醫師週班表!$C$5:$T$44,$CU45,AO$57),""),1+AO$58*2,1),IF(MID(IFERROR(INDEX(醫師週班表!$C$5:$T$44,$CU45,AO$57),""),3,1)="隔",IF(AO$58=0,LEFT(IFERROR(INDEX(醫師週班表!$C$5:$T$44,$CU45,AO$57),""),1),""),IF(MID(IFERROR(INDEX(醫師週班表!$C$5:$T$44,$CU45,AO$57),""),2,1)="(",LEFT(IFERROR(INDEX(醫師週班表!$C$5:$T$44,$CU45,AO$57),""),1),IFERROR(INDEX(醫師週班表!$C$5:$T$44,$CU45,AO$57),"")))))))</f>
        <v/>
      </c>
      <c r="AP45" s="68">
        <f>IF(AP$59="X","",IF(AP$59&lt;&gt;"",AP$59,IF(IFERROR(INDEX(醫師週班表!$C$5:$T$44,$CU45,AP$57),"")=0,"",IF(MID(IFERROR(INDEX(醫師週班表!$C$5:$T$44,$CU45,AP$57),""),2,1)="/",MID(IFERROR(INDEX(醫師週班表!$C$5:$T$44,$CU45,AP$57),""),1+AP$58*2,1),IF(MID(IFERROR(INDEX(醫師週班表!$C$5:$T$44,$CU45,AP$57),""),3,1)="隔",IF(AP$58=0,LEFT(IFERROR(INDEX(醫師週班表!$C$5:$T$44,$CU45,AP$57),""),1),""),IF(MID(IFERROR(INDEX(醫師週班表!$C$5:$T$44,$CU45,AP$57),""),2,1)="(",LEFT(IFERROR(INDEX(醫師週班表!$C$5:$T$44,$CU45,AP$57),""),1),IFERROR(INDEX(醫師週班表!$C$5:$T$44,$CU45,AP$57),"")))))))</f>
        <v/>
      </c>
      <c r="AQ45" s="68">
        <f>IF(AQ$59="X","",IF(AQ$59&lt;&gt;"",AQ$59,IF(IFERROR(INDEX(醫師週班表!$C$5:$T$44,$CU45,AQ$57),"")=0,"",IF(MID(IFERROR(INDEX(醫師週班表!$C$5:$T$44,$CU45,AQ$57),""),2,1)="/",MID(IFERROR(INDEX(醫師週班表!$C$5:$T$44,$CU45,AQ$57),""),1+AQ$58*2,1),IF(MID(IFERROR(INDEX(醫師週班表!$C$5:$T$44,$CU45,AQ$57),""),3,1)="隔",IF(AQ$58=0,LEFT(IFERROR(INDEX(醫師週班表!$C$5:$T$44,$CU45,AQ$57),""),1),""),IF(MID(IFERROR(INDEX(醫師週班表!$C$5:$T$44,$CU45,AQ$57),""),2,1)="(",LEFT(IFERROR(INDEX(醫師週班表!$C$5:$T$44,$CU45,AQ$57),""),1),IFERROR(INDEX(醫師週班表!$C$5:$T$44,$CU45,AQ$57),"")))))))</f>
        <v/>
      </c>
      <c r="AR45" s="67">
        <f>IF(AR$59="X","",IF(AR$59&lt;&gt;"",AR$59,IF(IFERROR(INDEX(醫師週班表!$C$5:$T$44,$CU45,AR$57),"")=0,"",IF(MID(IFERROR(INDEX(醫師週班表!$C$5:$T$44,$CU45,AR$57),""),2,1)="/",MID(IFERROR(INDEX(醫師週班表!$C$5:$T$44,$CU45,AR$57),""),1+AR$58*2,1),IF(MID(IFERROR(INDEX(醫師週班表!$C$5:$T$44,$CU45,AR$57),""),3,1)="隔",IF(AR$58=0,LEFT(IFERROR(INDEX(醫師週班表!$C$5:$T$44,$CU45,AR$57),""),1),""),IF(MID(IFERROR(INDEX(醫師週班表!$C$5:$T$44,$CU45,AR$57),""),2,1)="(",LEFT(IFERROR(INDEX(醫師週班表!$C$5:$T$44,$CU45,AR$57),""),1),IFERROR(INDEX(醫師週班表!$C$5:$T$44,$CU45,AR$57),"")))))))</f>
        <v/>
      </c>
      <c r="AS45" s="68">
        <f>IF(AS$59="X","",IF(AS$59&lt;&gt;"",AS$59,IF(IFERROR(INDEX(醫師週班表!$C$5:$T$44,$CU45,AS$57),"")=0,"",IF(MID(IFERROR(INDEX(醫師週班表!$C$5:$T$44,$CU45,AS$57),""),2,1)="/",MID(IFERROR(INDEX(醫師週班表!$C$5:$T$44,$CU45,AS$57),""),1+AS$58*2,1),IF(MID(IFERROR(INDEX(醫師週班表!$C$5:$T$44,$CU45,AS$57),""),3,1)="隔",IF(AS$58=0,LEFT(IFERROR(INDEX(醫師週班表!$C$5:$T$44,$CU45,AS$57),""),1),""),IF(MID(IFERROR(INDEX(醫師週班表!$C$5:$T$44,$CU45,AS$57),""),2,1)="(",LEFT(IFERROR(INDEX(醫師週班表!$C$5:$T$44,$CU45,AS$57),""),1),IFERROR(INDEX(醫師週班表!$C$5:$T$44,$CU45,AS$57),"")))))))</f>
        <v/>
      </c>
      <c r="AT45" s="68">
        <f>IF(AT$59="X","",IF(AT$59&lt;&gt;"",AT$59,IF(IFERROR(INDEX(醫師週班表!$C$5:$T$44,$CU45,AT$57),"")=0,"",IF(MID(IFERROR(INDEX(醫師週班表!$C$5:$T$44,$CU45,AT$57),""),2,1)="/",MID(IFERROR(INDEX(醫師週班表!$C$5:$T$44,$CU45,AT$57),""),1+AT$58*2,1),IF(MID(IFERROR(INDEX(醫師週班表!$C$5:$T$44,$CU45,AT$57),""),3,1)="隔",IF(AT$58=0,LEFT(IFERROR(INDEX(醫師週班表!$C$5:$T$44,$CU45,AT$57),""),1),""),IF(MID(IFERROR(INDEX(醫師週班表!$C$5:$T$44,$CU45,AT$57),""),2,1)="(",LEFT(IFERROR(INDEX(醫師週班表!$C$5:$T$44,$CU45,AT$57),""),1),IFERROR(INDEX(醫師週班表!$C$5:$T$44,$CU45,AT$57),"")))))))</f>
        <v/>
      </c>
      <c r="AU45" s="67">
        <f>IF(AU$59="X","",IF(AU$59&lt;&gt;"",AU$59,IF(IFERROR(INDEX(醫師週班表!$C$5:$T$44,$CU45,AU$57),"")=0,"",IF(MID(IFERROR(INDEX(醫師週班表!$C$5:$T$44,$CU45,AU$57),""),2,1)="/",MID(IFERROR(INDEX(醫師週班表!$C$5:$T$44,$CU45,AU$57),""),1+AU$58*2,1),IF(MID(IFERROR(INDEX(醫師週班表!$C$5:$T$44,$CU45,AU$57),""),3,1)="隔",IF(AU$58=0,LEFT(IFERROR(INDEX(醫師週班表!$C$5:$T$44,$CU45,AU$57),""),1),""),IF(MID(IFERROR(INDEX(醫師週班表!$C$5:$T$44,$CU45,AU$57),""),2,1)="(",LEFT(IFERROR(INDEX(醫師週班表!$C$5:$T$44,$CU45,AU$57),""),1),IFERROR(INDEX(醫師週班表!$C$5:$T$44,$CU45,AU$57),"")))))))</f>
        <v/>
      </c>
      <c r="AV45" s="68">
        <f>IF(AV$59="X","",IF(AV$59&lt;&gt;"",AV$59,IF(IFERROR(INDEX(醫師週班表!$C$5:$T$44,$CU45,AV$57),"")=0,"",IF(MID(IFERROR(INDEX(醫師週班表!$C$5:$T$44,$CU45,AV$57),""),2,1)="/",MID(IFERROR(INDEX(醫師週班表!$C$5:$T$44,$CU45,AV$57),""),1+AV$58*2,1),IF(MID(IFERROR(INDEX(醫師週班表!$C$5:$T$44,$CU45,AV$57),""),3,1)="隔",IF(AV$58=0,LEFT(IFERROR(INDEX(醫師週班表!$C$5:$T$44,$CU45,AV$57),""),1),""),IF(MID(IFERROR(INDEX(醫師週班表!$C$5:$T$44,$CU45,AV$57),""),2,1)="(",LEFT(IFERROR(INDEX(醫師週班表!$C$5:$T$44,$CU45,AV$57),""),1),IFERROR(INDEX(醫師週班表!$C$5:$T$44,$CU45,AV$57),"")))))))</f>
        <v/>
      </c>
      <c r="AW45" s="68">
        <f>IF(AW$59="X","",IF(AW$59&lt;&gt;"",AW$59,IF(IFERROR(INDEX(醫師週班表!$C$5:$T$44,$CU45,AW$57),"")=0,"",IF(MID(IFERROR(INDEX(醫師週班表!$C$5:$T$44,$CU45,AW$57),""),2,1)="/",MID(IFERROR(INDEX(醫師週班表!$C$5:$T$44,$CU45,AW$57),""),1+AW$58*2,1),IF(MID(IFERROR(INDEX(醫師週班表!$C$5:$T$44,$CU45,AW$57),""),3,1)="隔",IF(AW$58=0,LEFT(IFERROR(INDEX(醫師週班表!$C$5:$T$44,$CU45,AW$57),""),1),""),IF(MID(IFERROR(INDEX(醫師週班表!$C$5:$T$44,$CU45,AW$57),""),2,1)="(",LEFT(IFERROR(INDEX(醫師週班表!$C$5:$T$44,$CU45,AW$57),""),1),IFERROR(INDEX(醫師週班表!$C$5:$T$44,$CU45,AW$57),"")))))))</f>
        <v/>
      </c>
      <c r="AX45" s="67">
        <f>IF(AX$59="X","",IF(AX$59&lt;&gt;"",AX$59,IF(IFERROR(INDEX(醫師週班表!$C$5:$T$44,$CU45,AX$57),"")=0,"",IF(MID(IFERROR(INDEX(醫師週班表!$C$5:$T$44,$CU45,AX$57),""),2,1)="/",MID(IFERROR(INDEX(醫師週班表!$C$5:$T$44,$CU45,AX$57),""),1+AX$58*2,1),IF(MID(IFERROR(INDEX(醫師週班表!$C$5:$T$44,$CU45,AX$57),""),3,1)="隔",IF(AX$58=0,LEFT(IFERROR(INDEX(醫師週班表!$C$5:$T$44,$CU45,AX$57),""),1),""),IF(MID(IFERROR(INDEX(醫師週班表!$C$5:$T$44,$CU45,AX$57),""),2,1)="(",LEFT(IFERROR(INDEX(醫師週班表!$C$5:$T$44,$CU45,AX$57),""),1),IFERROR(INDEX(醫師週班表!$C$5:$T$44,$CU45,AX$57),"")))))))</f>
        <v/>
      </c>
      <c r="AY45" s="68">
        <f>IF(AY$59="X","",IF(AY$59&lt;&gt;"",AY$59,IF(IFERROR(INDEX(醫師週班表!$C$5:$T$44,$CU45,AY$57),"")=0,"",IF(MID(IFERROR(INDEX(醫師週班表!$C$5:$T$44,$CU45,AY$57),""),2,1)="/",MID(IFERROR(INDEX(醫師週班表!$C$5:$T$44,$CU45,AY$57),""),1+AY$58*2,1),IF(MID(IFERROR(INDEX(醫師週班表!$C$5:$T$44,$CU45,AY$57),""),3,1)="隔",IF(AY$58=0,LEFT(IFERROR(INDEX(醫師週班表!$C$5:$T$44,$CU45,AY$57),""),1),""),IF(MID(IFERROR(INDEX(醫師週班表!$C$5:$T$44,$CU45,AY$57),""),2,1)="(",LEFT(IFERROR(INDEX(醫師週班表!$C$5:$T$44,$CU45,AY$57),""),1),IFERROR(INDEX(醫師週班表!$C$5:$T$44,$CU45,AY$57),"")))))))</f>
        <v/>
      </c>
      <c r="AZ45" s="68">
        <f>IF(AZ$59="X","",IF(AZ$59&lt;&gt;"",AZ$59,IF(IFERROR(INDEX(醫師週班表!$C$5:$T$44,$CU45,AZ$57),"")=0,"",IF(MID(IFERROR(INDEX(醫師週班表!$C$5:$T$44,$CU45,AZ$57),""),2,1)="/",MID(IFERROR(INDEX(醫師週班表!$C$5:$T$44,$CU45,AZ$57),""),1+AZ$58*2,1),IF(MID(IFERROR(INDEX(醫師週班表!$C$5:$T$44,$CU45,AZ$57),""),3,1)="隔",IF(AZ$58=0,LEFT(IFERROR(INDEX(醫師週班表!$C$5:$T$44,$CU45,AZ$57),""),1),""),IF(MID(IFERROR(INDEX(醫師週班表!$C$5:$T$44,$CU45,AZ$57),""),2,1)="(",LEFT(IFERROR(INDEX(醫師週班表!$C$5:$T$44,$CU45,AZ$57),""),1),IFERROR(INDEX(醫師週班表!$C$5:$T$44,$CU45,AZ$57),"")))))))</f>
        <v/>
      </c>
      <c r="BA45" s="67">
        <f>IF(BA$59="X","",IF(BA$59&lt;&gt;"",BA$59,IF(IFERROR(INDEX(醫師週班表!$C$5:$T$44,$CU45,BA$57),"")=0,"",IF(MID(IFERROR(INDEX(醫師週班表!$C$5:$T$44,$CU45,BA$57),""),2,1)="/",MID(IFERROR(INDEX(醫師週班表!$C$5:$T$44,$CU45,BA$57),""),1+BA$58*2,1),IF(MID(IFERROR(INDEX(醫師週班表!$C$5:$T$44,$CU45,BA$57),""),3,1)="隔",IF(BA$58=0,LEFT(IFERROR(INDEX(醫師週班表!$C$5:$T$44,$CU45,BA$57),""),1),""),IF(MID(IFERROR(INDEX(醫師週班表!$C$5:$T$44,$CU45,BA$57),""),2,1)="(",LEFT(IFERROR(INDEX(醫師週班表!$C$5:$T$44,$CU45,BA$57),""),1),IFERROR(INDEX(醫師週班表!$C$5:$T$44,$CU45,BA$57),"")))))))</f>
        <v/>
      </c>
      <c r="BB45" s="68">
        <f>IF(BB$59="X","",IF(BB$59&lt;&gt;"",BB$59,IF(IFERROR(INDEX(醫師週班表!$C$5:$T$44,$CU45,BB$57),"")=0,"",IF(MID(IFERROR(INDEX(醫師週班表!$C$5:$T$44,$CU45,BB$57),""),2,1)="/",MID(IFERROR(INDEX(醫師週班表!$C$5:$T$44,$CU45,BB$57),""),1+BB$58*2,1),IF(MID(IFERROR(INDEX(醫師週班表!$C$5:$T$44,$CU45,BB$57),""),3,1)="隔",IF(BB$58=0,LEFT(IFERROR(INDEX(醫師週班表!$C$5:$T$44,$CU45,BB$57),""),1),""),IF(MID(IFERROR(INDEX(醫師週班表!$C$5:$T$44,$CU45,BB$57),""),2,1)="(",LEFT(IFERROR(INDEX(醫師週班表!$C$5:$T$44,$CU45,BB$57),""),1),IFERROR(INDEX(醫師週班表!$C$5:$T$44,$CU45,BB$57),"")))))))</f>
        <v/>
      </c>
      <c r="BC45" s="68">
        <f>IF(BC$59="X","",IF(BC$59&lt;&gt;"",BC$59,IF(IFERROR(INDEX(醫師週班表!$C$5:$T$44,$CU45,BC$57),"")=0,"",IF(MID(IFERROR(INDEX(醫師週班表!$C$5:$T$44,$CU45,BC$57),""),2,1)="/",MID(IFERROR(INDEX(醫師週班表!$C$5:$T$44,$CU45,BC$57),""),1+BC$58*2,1),IF(MID(IFERROR(INDEX(醫師週班表!$C$5:$T$44,$CU45,BC$57),""),3,1)="隔",IF(BC$58=0,LEFT(IFERROR(INDEX(醫師週班表!$C$5:$T$44,$CU45,BC$57),""),1),""),IF(MID(IFERROR(INDEX(醫師週班表!$C$5:$T$44,$CU45,BC$57),""),2,1)="(",LEFT(IFERROR(INDEX(醫師週班表!$C$5:$T$44,$CU45,BC$57),""),1),IFERROR(INDEX(醫師週班表!$C$5:$T$44,$CU45,BC$57),"")))))))</f>
        <v/>
      </c>
      <c r="BD45" s="67">
        <f>IF(BD$59="X","",IF(BD$59&lt;&gt;"",BD$59,IF(IFERROR(INDEX(醫師週班表!$C$5:$T$44,$CU45,BD$57),"")=0,"",IF(MID(IFERROR(INDEX(醫師週班表!$C$5:$T$44,$CU45,BD$57),""),2,1)="/",MID(IFERROR(INDEX(醫師週班表!$C$5:$T$44,$CU45,BD$57),""),1+BD$58*2,1),IF(MID(IFERROR(INDEX(醫師週班表!$C$5:$T$44,$CU45,BD$57),""),3,1)="隔",IF(BD$58=0,LEFT(IFERROR(INDEX(醫師週班表!$C$5:$T$44,$CU45,BD$57),""),1),""),IF(MID(IFERROR(INDEX(醫師週班表!$C$5:$T$44,$CU45,BD$57),""),2,1)="(",LEFT(IFERROR(INDEX(醫師週班表!$C$5:$T$44,$CU45,BD$57),""),1),IFERROR(INDEX(醫師週班表!$C$5:$T$44,$CU45,BD$57),"")))))))</f>
        <v/>
      </c>
      <c r="BE45" s="68">
        <f>IF(BE$59="X","",IF(BE$59&lt;&gt;"",BE$59,IF(IFERROR(INDEX(醫師週班表!$C$5:$T$44,$CU45,BE$57),"")=0,"",IF(MID(IFERROR(INDEX(醫師週班表!$C$5:$T$44,$CU45,BE$57),""),2,1)="/",MID(IFERROR(INDEX(醫師週班表!$C$5:$T$44,$CU45,BE$57),""),1+BE$58*2,1),IF(MID(IFERROR(INDEX(醫師週班表!$C$5:$T$44,$CU45,BE$57),""),3,1)="隔",IF(BE$58=0,LEFT(IFERROR(INDEX(醫師週班表!$C$5:$T$44,$CU45,BE$57),""),1),""),IF(MID(IFERROR(INDEX(醫師週班表!$C$5:$T$44,$CU45,BE$57),""),2,1)="(",LEFT(IFERROR(INDEX(醫師週班表!$C$5:$T$44,$CU45,BE$57),""),1),IFERROR(INDEX(醫師週班表!$C$5:$T$44,$CU45,BE$57),"")))))))</f>
        <v/>
      </c>
      <c r="BF45" s="68">
        <f>IF(BF$59="X","",IF(BF$59&lt;&gt;"",BF$59,IF(IFERROR(INDEX(醫師週班表!$C$5:$T$44,$CU45,BF$57),"")=0,"",IF(MID(IFERROR(INDEX(醫師週班表!$C$5:$T$44,$CU45,BF$57),""),2,1)="/",MID(IFERROR(INDEX(醫師週班表!$C$5:$T$44,$CU45,BF$57),""),1+BF$58*2,1),IF(MID(IFERROR(INDEX(醫師週班表!$C$5:$T$44,$CU45,BF$57),""),3,1)="隔",IF(BF$58=0,LEFT(IFERROR(INDEX(醫師週班表!$C$5:$T$44,$CU45,BF$57),""),1),""),IF(MID(IFERROR(INDEX(醫師週班表!$C$5:$T$44,$CU45,BF$57),""),2,1)="(",LEFT(IFERROR(INDEX(醫師週班表!$C$5:$T$44,$CU45,BF$57),""),1),IFERROR(INDEX(醫師週班表!$C$5:$T$44,$CU45,BF$57),"")))))))</f>
        <v/>
      </c>
      <c r="BG45" s="67">
        <f>IF(BG$59="X","",IF(BG$59&lt;&gt;"",BG$59,IF(IFERROR(INDEX(醫師週班表!$C$5:$T$44,$CU45,BG$57),"")=0,"",IF(MID(IFERROR(INDEX(醫師週班表!$C$5:$T$44,$CU45,BG$57),""),2,1)="/",MID(IFERROR(INDEX(醫師週班表!$C$5:$T$44,$CU45,BG$57),""),1+BG$58*2,1),IF(MID(IFERROR(INDEX(醫師週班表!$C$5:$T$44,$CU45,BG$57),""),3,1)="隔",IF(BG$58=0,LEFT(IFERROR(INDEX(醫師週班表!$C$5:$T$44,$CU45,BG$57),""),1),""),IF(MID(IFERROR(INDEX(醫師週班表!$C$5:$T$44,$CU45,BG$57),""),2,1)="(",LEFT(IFERROR(INDEX(醫師週班表!$C$5:$T$44,$CU45,BG$57),""),1),IFERROR(INDEX(醫師週班表!$C$5:$T$44,$CU45,BG$57),"")))))))</f>
        <v/>
      </c>
      <c r="BH45" s="68">
        <f>IF(BH$59="X","",IF(BH$59&lt;&gt;"",BH$59,IF(IFERROR(INDEX(醫師週班表!$C$5:$T$44,$CU45,BH$57),"")=0,"",IF(MID(IFERROR(INDEX(醫師週班表!$C$5:$T$44,$CU45,BH$57),""),2,1)="/",MID(IFERROR(INDEX(醫師週班表!$C$5:$T$44,$CU45,BH$57),""),1+BH$58*2,1),IF(MID(IFERROR(INDEX(醫師週班表!$C$5:$T$44,$CU45,BH$57),""),3,1)="隔",IF(BH$58=0,LEFT(IFERROR(INDEX(醫師週班表!$C$5:$T$44,$CU45,BH$57),""),1),""),IF(MID(IFERROR(INDEX(醫師週班表!$C$5:$T$44,$CU45,BH$57),""),2,1)="(",LEFT(IFERROR(INDEX(醫師週班表!$C$5:$T$44,$CU45,BH$57),""),1),IFERROR(INDEX(醫師週班表!$C$5:$T$44,$CU45,BH$57),"")))))))</f>
        <v/>
      </c>
      <c r="BI45" s="68">
        <f>IF(BI$59="X","",IF(BI$59&lt;&gt;"",BI$59,IF(IFERROR(INDEX(醫師週班表!$C$5:$T$44,$CU45,BI$57),"")=0,"",IF(MID(IFERROR(INDEX(醫師週班表!$C$5:$T$44,$CU45,BI$57),""),2,1)="/",MID(IFERROR(INDEX(醫師週班表!$C$5:$T$44,$CU45,BI$57),""),1+BI$58*2,1),IF(MID(IFERROR(INDEX(醫師週班表!$C$5:$T$44,$CU45,BI$57),""),3,1)="隔",IF(BI$58=0,LEFT(IFERROR(INDEX(醫師週班表!$C$5:$T$44,$CU45,BI$57),""),1),""),IF(MID(IFERROR(INDEX(醫師週班表!$C$5:$T$44,$CU45,BI$57),""),2,1)="(",LEFT(IFERROR(INDEX(醫師週班表!$C$5:$T$44,$CU45,BI$57),""),1),IFERROR(INDEX(醫師週班表!$C$5:$T$44,$CU45,BI$57),"")))))))</f>
        <v/>
      </c>
      <c r="BJ45" s="67">
        <f>IF(BJ$59="X","",IF(BJ$59&lt;&gt;"",BJ$59,IF(IFERROR(INDEX(醫師週班表!$C$5:$T$44,$CU45,BJ$57),"")=0,"",IF(MID(IFERROR(INDEX(醫師週班表!$C$5:$T$44,$CU45,BJ$57),""),2,1)="/",MID(IFERROR(INDEX(醫師週班表!$C$5:$T$44,$CU45,BJ$57),""),1+BJ$58*2,1),IF(MID(IFERROR(INDEX(醫師週班表!$C$5:$T$44,$CU45,BJ$57),""),3,1)="隔",IF(BJ$58=0,LEFT(IFERROR(INDEX(醫師週班表!$C$5:$T$44,$CU45,BJ$57),""),1),""),IF(MID(IFERROR(INDEX(醫師週班表!$C$5:$T$44,$CU45,BJ$57),""),2,1)="(",LEFT(IFERROR(INDEX(醫師週班表!$C$5:$T$44,$CU45,BJ$57),""),1),IFERROR(INDEX(醫師週班表!$C$5:$T$44,$CU45,BJ$57),"")))))))</f>
        <v/>
      </c>
      <c r="BK45" s="68">
        <f>IF(BK$59="X","",IF(BK$59&lt;&gt;"",BK$59,IF(IFERROR(INDEX(醫師週班表!$C$5:$T$44,$CU45,BK$57),"")=0,"",IF(MID(IFERROR(INDEX(醫師週班表!$C$5:$T$44,$CU45,BK$57),""),2,1)="/",MID(IFERROR(INDEX(醫師週班表!$C$5:$T$44,$CU45,BK$57),""),1+BK$58*2,1),IF(MID(IFERROR(INDEX(醫師週班表!$C$5:$T$44,$CU45,BK$57),""),3,1)="隔",IF(BK$58=0,LEFT(IFERROR(INDEX(醫師週班表!$C$5:$T$44,$CU45,BK$57),""),1),""),IF(MID(IFERROR(INDEX(醫師週班表!$C$5:$T$44,$CU45,BK$57),""),2,1)="(",LEFT(IFERROR(INDEX(醫師週班表!$C$5:$T$44,$CU45,BK$57),""),1),IFERROR(INDEX(醫師週班表!$C$5:$T$44,$CU45,BK$57),"")))))))</f>
        <v/>
      </c>
      <c r="BL45" s="68">
        <f>IF(BL$59="X","",IF(BL$59&lt;&gt;"",BL$59,IF(IFERROR(INDEX(醫師週班表!$C$5:$T$44,$CU45,BL$57),"")=0,"",IF(MID(IFERROR(INDEX(醫師週班表!$C$5:$T$44,$CU45,BL$57),""),2,1)="/",MID(IFERROR(INDEX(醫師週班表!$C$5:$T$44,$CU45,BL$57),""),1+BL$58*2,1),IF(MID(IFERROR(INDEX(醫師週班表!$C$5:$T$44,$CU45,BL$57),""),3,1)="隔",IF(BL$58=0,LEFT(IFERROR(INDEX(醫師週班表!$C$5:$T$44,$CU45,BL$57),""),1),""),IF(MID(IFERROR(INDEX(醫師週班表!$C$5:$T$44,$CU45,BL$57),""),2,1)="(",LEFT(IFERROR(INDEX(醫師週班表!$C$5:$T$44,$CU45,BL$57),""),1),IFERROR(INDEX(醫師週班表!$C$5:$T$44,$CU45,BL$57),"")))))))</f>
        <v/>
      </c>
      <c r="BM45" s="67">
        <f>IF(BM$59="X","",IF(BM$59&lt;&gt;"",BM$59,IF(IFERROR(INDEX(醫師週班表!$C$5:$T$44,$CU45,BM$57),"")=0,"",IF(MID(IFERROR(INDEX(醫師週班表!$C$5:$T$44,$CU45,BM$57),""),2,1)="/",MID(IFERROR(INDEX(醫師週班表!$C$5:$T$44,$CU45,BM$57),""),1+BM$58*2,1),IF(MID(IFERROR(INDEX(醫師週班表!$C$5:$T$44,$CU45,BM$57),""),3,1)="隔",IF(BM$58=0,LEFT(IFERROR(INDEX(醫師週班表!$C$5:$T$44,$CU45,BM$57),""),1),""),IF(MID(IFERROR(INDEX(醫師週班表!$C$5:$T$44,$CU45,BM$57),""),2,1)="(",LEFT(IFERROR(INDEX(醫師週班表!$C$5:$T$44,$CU45,BM$57),""),1),IFERROR(INDEX(醫師週班表!$C$5:$T$44,$CU45,BM$57),"")))))))</f>
        <v/>
      </c>
      <c r="BN45" s="68">
        <f>IF(BN$59="X","",IF(BN$59&lt;&gt;"",BN$59,IF(IFERROR(INDEX(醫師週班表!$C$5:$T$44,$CU45,BN$57),"")=0,"",IF(MID(IFERROR(INDEX(醫師週班表!$C$5:$T$44,$CU45,BN$57),""),2,1)="/",MID(IFERROR(INDEX(醫師週班表!$C$5:$T$44,$CU45,BN$57),""),1+BN$58*2,1),IF(MID(IFERROR(INDEX(醫師週班表!$C$5:$T$44,$CU45,BN$57),""),3,1)="隔",IF(BN$58=0,LEFT(IFERROR(INDEX(醫師週班表!$C$5:$T$44,$CU45,BN$57),""),1),""),IF(MID(IFERROR(INDEX(醫師週班表!$C$5:$T$44,$CU45,BN$57),""),2,1)="(",LEFT(IFERROR(INDEX(醫師週班表!$C$5:$T$44,$CU45,BN$57),""),1),IFERROR(INDEX(醫師週班表!$C$5:$T$44,$CU45,BN$57),"")))))))</f>
        <v/>
      </c>
      <c r="BO45" s="68">
        <f>IF(BO$59="X","",IF(BO$59&lt;&gt;"",BO$59,IF(IFERROR(INDEX(醫師週班表!$C$5:$T$44,$CU45,BO$57),"")=0,"",IF(MID(IFERROR(INDEX(醫師週班表!$C$5:$T$44,$CU45,BO$57),""),2,1)="/",MID(IFERROR(INDEX(醫師週班表!$C$5:$T$44,$CU45,BO$57),""),1+BO$58*2,1),IF(MID(IFERROR(INDEX(醫師週班表!$C$5:$T$44,$CU45,BO$57),""),3,1)="隔",IF(BO$58=0,LEFT(IFERROR(INDEX(醫師週班表!$C$5:$T$44,$CU45,BO$57),""),1),""),IF(MID(IFERROR(INDEX(醫師週班表!$C$5:$T$44,$CU45,BO$57),""),2,1)="(",LEFT(IFERROR(INDEX(醫師週班表!$C$5:$T$44,$CU45,BO$57),""),1),IFERROR(INDEX(醫師週班表!$C$5:$T$44,$CU45,BO$57),"")))))))</f>
        <v/>
      </c>
      <c r="BP45" s="67">
        <f>IF(BP$59="X","",IF(BP$59&lt;&gt;"",BP$59,IF(IFERROR(INDEX(醫師週班表!$C$5:$T$44,$CU45,BP$57),"")=0,"",IF(MID(IFERROR(INDEX(醫師週班表!$C$5:$T$44,$CU45,BP$57),""),2,1)="/",MID(IFERROR(INDEX(醫師週班表!$C$5:$T$44,$CU45,BP$57),""),1+BP$58*2,1),IF(MID(IFERROR(INDEX(醫師週班表!$C$5:$T$44,$CU45,BP$57),""),3,1)="隔",IF(BP$58=0,LEFT(IFERROR(INDEX(醫師週班表!$C$5:$T$44,$CU45,BP$57),""),1),""),IF(MID(IFERROR(INDEX(醫師週班表!$C$5:$T$44,$CU45,BP$57),""),2,1)="(",LEFT(IFERROR(INDEX(醫師週班表!$C$5:$T$44,$CU45,BP$57),""),1),IFERROR(INDEX(醫師週班表!$C$5:$T$44,$CU45,BP$57),"")))))))</f>
        <v/>
      </c>
      <c r="BQ45" s="68">
        <f>IF(BQ$59="X","",IF(BQ$59&lt;&gt;"",BQ$59,IF(IFERROR(INDEX(醫師週班表!$C$5:$T$44,$CU45,BQ$57),"")=0,"",IF(MID(IFERROR(INDEX(醫師週班表!$C$5:$T$44,$CU45,BQ$57),""),2,1)="/",MID(IFERROR(INDEX(醫師週班表!$C$5:$T$44,$CU45,BQ$57),""),1+BQ$58*2,1),IF(MID(IFERROR(INDEX(醫師週班表!$C$5:$T$44,$CU45,BQ$57),""),3,1)="隔",IF(BQ$58=0,LEFT(IFERROR(INDEX(醫師週班表!$C$5:$T$44,$CU45,BQ$57),""),1),""),IF(MID(IFERROR(INDEX(醫師週班表!$C$5:$T$44,$CU45,BQ$57),""),2,1)="(",LEFT(IFERROR(INDEX(醫師週班表!$C$5:$T$44,$CU45,BQ$57),""),1),IFERROR(INDEX(醫師週班表!$C$5:$T$44,$CU45,BQ$57),"")))))))</f>
        <v/>
      </c>
      <c r="BR45" s="68">
        <f>IF(BR$59="X","",IF(BR$59&lt;&gt;"",BR$59,IF(IFERROR(INDEX(醫師週班表!$C$5:$T$44,$CU45,BR$57),"")=0,"",IF(MID(IFERROR(INDEX(醫師週班表!$C$5:$T$44,$CU45,BR$57),""),2,1)="/",MID(IFERROR(INDEX(醫師週班表!$C$5:$T$44,$CU45,BR$57),""),1+BR$58*2,1),IF(MID(IFERROR(INDEX(醫師週班表!$C$5:$T$44,$CU45,BR$57),""),3,1)="隔",IF(BR$58=0,LEFT(IFERROR(INDEX(醫師週班表!$C$5:$T$44,$CU45,BR$57),""),1),""),IF(MID(IFERROR(INDEX(醫師週班表!$C$5:$T$44,$CU45,BR$57),""),2,1)="(",LEFT(IFERROR(INDEX(醫師週班表!$C$5:$T$44,$CU45,BR$57),""),1),IFERROR(INDEX(醫師週班表!$C$5:$T$44,$CU45,BR$57),"")))))))</f>
        <v/>
      </c>
      <c r="BS45" s="67">
        <f>IF(BS$59="X","",IF(BS$59&lt;&gt;"",BS$59,IF(IFERROR(INDEX(醫師週班表!$C$5:$T$44,$CU45,BS$57),"")=0,"",IF(MID(IFERROR(INDEX(醫師週班表!$C$5:$T$44,$CU45,BS$57),""),2,1)="/",MID(IFERROR(INDEX(醫師週班表!$C$5:$T$44,$CU45,BS$57),""),1+BS$58*2,1),IF(MID(IFERROR(INDEX(醫師週班表!$C$5:$T$44,$CU45,BS$57),""),3,1)="隔",IF(BS$58=0,LEFT(IFERROR(INDEX(醫師週班表!$C$5:$T$44,$CU45,BS$57),""),1),""),IF(MID(IFERROR(INDEX(醫師週班表!$C$5:$T$44,$CU45,BS$57),""),2,1)="(",LEFT(IFERROR(INDEX(醫師週班表!$C$5:$T$44,$CU45,BS$57),""),1),IFERROR(INDEX(醫師週班表!$C$5:$T$44,$CU45,BS$57),"")))))))</f>
        <v/>
      </c>
      <c r="BT45" s="68">
        <f>IF(BT$59="X","",IF(BT$59&lt;&gt;"",BT$59,IF(IFERROR(INDEX(醫師週班表!$C$5:$T$44,$CU45,BT$57),"")=0,"",IF(MID(IFERROR(INDEX(醫師週班表!$C$5:$T$44,$CU45,BT$57),""),2,1)="/",MID(IFERROR(INDEX(醫師週班表!$C$5:$T$44,$CU45,BT$57),""),1+BT$58*2,1),IF(MID(IFERROR(INDEX(醫師週班表!$C$5:$T$44,$CU45,BT$57),""),3,1)="隔",IF(BT$58=0,LEFT(IFERROR(INDEX(醫師週班表!$C$5:$T$44,$CU45,BT$57),""),1),""),IF(MID(IFERROR(INDEX(醫師週班表!$C$5:$T$44,$CU45,BT$57),""),2,1)="(",LEFT(IFERROR(INDEX(醫師週班表!$C$5:$T$44,$CU45,BT$57),""),1),IFERROR(INDEX(醫師週班表!$C$5:$T$44,$CU45,BT$57),"")))))))</f>
        <v/>
      </c>
      <c r="BU45" s="68">
        <f>IF(BU$59="X","",IF(BU$59&lt;&gt;"",BU$59,IF(IFERROR(INDEX(醫師週班表!$C$5:$T$44,$CU45,BU$57),"")=0,"",IF(MID(IFERROR(INDEX(醫師週班表!$C$5:$T$44,$CU45,BU$57),""),2,1)="/",MID(IFERROR(INDEX(醫師週班表!$C$5:$T$44,$CU45,BU$57),""),1+BU$58*2,1),IF(MID(IFERROR(INDEX(醫師週班表!$C$5:$T$44,$CU45,BU$57),""),3,1)="隔",IF(BU$58=0,LEFT(IFERROR(INDEX(醫師週班表!$C$5:$T$44,$CU45,BU$57),""),1),""),IF(MID(IFERROR(INDEX(醫師週班表!$C$5:$T$44,$CU45,BU$57),""),2,1)="(",LEFT(IFERROR(INDEX(醫師週班表!$C$5:$T$44,$CU45,BU$57),""),1),IFERROR(INDEX(醫師週班表!$C$5:$T$44,$CU45,BU$57),"")))))))</f>
        <v/>
      </c>
      <c r="BV45" s="67">
        <f>IF(BV$59="X","",IF(BV$59&lt;&gt;"",BV$59,IF(IFERROR(INDEX(醫師週班表!$C$5:$T$44,$CU45,BV$57),"")=0,"",IF(MID(IFERROR(INDEX(醫師週班表!$C$5:$T$44,$CU45,BV$57),""),2,1)="/",MID(IFERROR(INDEX(醫師週班表!$C$5:$T$44,$CU45,BV$57),""),1+BV$58*2,1),IF(MID(IFERROR(INDEX(醫師週班表!$C$5:$T$44,$CU45,BV$57),""),3,1)="隔",IF(BV$58=0,LEFT(IFERROR(INDEX(醫師週班表!$C$5:$T$44,$CU45,BV$57),""),1),""),IF(MID(IFERROR(INDEX(醫師週班表!$C$5:$T$44,$CU45,BV$57),""),2,1)="(",LEFT(IFERROR(INDEX(醫師週班表!$C$5:$T$44,$CU45,BV$57),""),1),IFERROR(INDEX(醫師週班表!$C$5:$T$44,$CU45,BV$57),"")))))))</f>
        <v/>
      </c>
      <c r="BW45" s="68">
        <f>IF(BW$59="X","",IF(BW$59&lt;&gt;"",BW$59,IF(IFERROR(INDEX(醫師週班表!$C$5:$T$44,$CU45,BW$57),"")=0,"",IF(MID(IFERROR(INDEX(醫師週班表!$C$5:$T$44,$CU45,BW$57),""),2,1)="/",MID(IFERROR(INDEX(醫師週班表!$C$5:$T$44,$CU45,BW$57),""),1+BW$58*2,1),IF(MID(IFERROR(INDEX(醫師週班表!$C$5:$T$44,$CU45,BW$57),""),3,1)="隔",IF(BW$58=0,LEFT(IFERROR(INDEX(醫師週班表!$C$5:$T$44,$CU45,BW$57),""),1),""),IF(MID(IFERROR(INDEX(醫師週班表!$C$5:$T$44,$CU45,BW$57),""),2,1)="(",LEFT(IFERROR(INDEX(醫師週班表!$C$5:$T$44,$CU45,BW$57),""),1),IFERROR(INDEX(醫師週班表!$C$5:$T$44,$CU45,BW$57),"")))))))</f>
        <v/>
      </c>
      <c r="BX45" s="68">
        <f>IF(BX$59="X","",IF(BX$59&lt;&gt;"",BX$59,IF(IFERROR(INDEX(醫師週班表!$C$5:$T$44,$CU45,BX$57),"")=0,"",IF(MID(IFERROR(INDEX(醫師週班表!$C$5:$T$44,$CU45,BX$57),""),2,1)="/",MID(IFERROR(INDEX(醫師週班表!$C$5:$T$44,$CU45,BX$57),""),1+BX$58*2,1),IF(MID(IFERROR(INDEX(醫師週班表!$C$5:$T$44,$CU45,BX$57),""),3,1)="隔",IF(BX$58=0,LEFT(IFERROR(INDEX(醫師週班表!$C$5:$T$44,$CU45,BX$57),""),1),""),IF(MID(IFERROR(INDEX(醫師週班表!$C$5:$T$44,$CU45,BX$57),""),2,1)="(",LEFT(IFERROR(INDEX(醫師週班表!$C$5:$T$44,$CU45,BX$57),""),1),IFERROR(INDEX(醫師週班表!$C$5:$T$44,$CU45,BX$57),"")))))))</f>
        <v/>
      </c>
      <c r="BY45" s="67">
        <f>IF(BY$59="X","",IF(BY$59&lt;&gt;"",BY$59,IF(IFERROR(INDEX(醫師週班表!$C$5:$T$44,$CU45,BY$57),"")=0,"",IF(MID(IFERROR(INDEX(醫師週班表!$C$5:$T$44,$CU45,BY$57),""),2,1)="/",MID(IFERROR(INDEX(醫師週班表!$C$5:$T$44,$CU45,BY$57),""),1+BY$58*2,1),IF(MID(IFERROR(INDEX(醫師週班表!$C$5:$T$44,$CU45,BY$57),""),3,1)="隔",IF(BY$58=0,LEFT(IFERROR(INDEX(醫師週班表!$C$5:$T$44,$CU45,BY$57),""),1),""),IF(MID(IFERROR(INDEX(醫師週班表!$C$5:$T$44,$CU45,BY$57),""),2,1)="(",LEFT(IFERROR(INDEX(醫師週班表!$C$5:$T$44,$CU45,BY$57),""),1),IFERROR(INDEX(醫師週班表!$C$5:$T$44,$CU45,BY$57),"")))))))</f>
        <v/>
      </c>
      <c r="BZ45" s="68">
        <f>IF(BZ$59="X","",IF(BZ$59&lt;&gt;"",BZ$59,IF(IFERROR(INDEX(醫師週班表!$C$5:$T$44,$CU45,BZ$57),"")=0,"",IF(MID(IFERROR(INDEX(醫師週班表!$C$5:$T$44,$CU45,BZ$57),""),2,1)="/",MID(IFERROR(INDEX(醫師週班表!$C$5:$T$44,$CU45,BZ$57),""),1+BZ$58*2,1),IF(MID(IFERROR(INDEX(醫師週班表!$C$5:$T$44,$CU45,BZ$57),""),3,1)="隔",IF(BZ$58=0,LEFT(IFERROR(INDEX(醫師週班表!$C$5:$T$44,$CU45,BZ$57),""),1),""),IF(MID(IFERROR(INDEX(醫師週班表!$C$5:$T$44,$CU45,BZ$57),""),2,1)="(",LEFT(IFERROR(INDEX(醫師週班表!$C$5:$T$44,$CU45,BZ$57),""),1),IFERROR(INDEX(醫師週班表!$C$5:$T$44,$CU45,BZ$57),"")))))))</f>
        <v/>
      </c>
      <c r="CA45" s="68">
        <f>IF(CA$59="X","",IF(CA$59&lt;&gt;"",CA$59,IF(IFERROR(INDEX(醫師週班表!$C$5:$T$44,$CU45,CA$57),"")=0,"",IF(MID(IFERROR(INDEX(醫師週班表!$C$5:$T$44,$CU45,CA$57),""),2,1)="/",MID(IFERROR(INDEX(醫師週班表!$C$5:$T$44,$CU45,CA$57),""),1+CA$58*2,1),IF(MID(IFERROR(INDEX(醫師週班表!$C$5:$T$44,$CU45,CA$57),""),3,1)="隔",IF(CA$58=0,LEFT(IFERROR(INDEX(醫師週班表!$C$5:$T$44,$CU45,CA$57),""),1),""),IF(MID(IFERROR(INDEX(醫師週班表!$C$5:$T$44,$CU45,CA$57),""),2,1)="(",LEFT(IFERROR(INDEX(醫師週班表!$C$5:$T$44,$CU45,CA$57),""),1),IFERROR(INDEX(醫師週班表!$C$5:$T$44,$CU45,CA$57),"")))))))</f>
        <v/>
      </c>
      <c r="CB45" s="67">
        <f>IF(CB$59="X","",IF(CB$59&lt;&gt;"",CB$59,IF(IFERROR(INDEX(醫師週班表!$C$5:$T$44,$CU45,CB$57),"")=0,"",IF(MID(IFERROR(INDEX(醫師週班表!$C$5:$T$44,$CU45,CB$57),""),2,1)="/",MID(IFERROR(INDEX(醫師週班表!$C$5:$T$44,$CU45,CB$57),""),1+CB$58*2,1),IF(MID(IFERROR(INDEX(醫師週班表!$C$5:$T$44,$CU45,CB$57),""),3,1)="隔",IF(CB$58=0,LEFT(IFERROR(INDEX(醫師週班表!$C$5:$T$44,$CU45,CB$57),""),1),""),IF(MID(IFERROR(INDEX(醫師週班表!$C$5:$T$44,$CU45,CB$57),""),2,1)="(",LEFT(IFERROR(INDEX(醫師週班表!$C$5:$T$44,$CU45,CB$57),""),1),IFERROR(INDEX(醫師週班表!$C$5:$T$44,$CU45,CB$57),"")))))))</f>
        <v/>
      </c>
      <c r="CC45" s="68">
        <f>IF(CC$59="X","",IF(CC$59&lt;&gt;"",CC$59,IF(IFERROR(INDEX(醫師週班表!$C$5:$T$44,$CU45,CC$57),"")=0,"",IF(MID(IFERROR(INDEX(醫師週班表!$C$5:$T$44,$CU45,CC$57),""),2,1)="/",MID(IFERROR(INDEX(醫師週班表!$C$5:$T$44,$CU45,CC$57),""),1+CC$58*2,1),IF(MID(IFERROR(INDEX(醫師週班表!$C$5:$T$44,$CU45,CC$57),""),3,1)="隔",IF(CC$58=0,LEFT(IFERROR(INDEX(醫師週班表!$C$5:$T$44,$CU45,CC$57),""),1),""),IF(MID(IFERROR(INDEX(醫師週班表!$C$5:$T$44,$CU45,CC$57),""),2,1)="(",LEFT(IFERROR(INDEX(醫師週班表!$C$5:$T$44,$CU45,CC$57),""),1),IFERROR(INDEX(醫師週班表!$C$5:$T$44,$CU45,CC$57),"")))))))</f>
        <v/>
      </c>
      <c r="CD45" s="68">
        <f>IF(CD$59="X","",IF(CD$59&lt;&gt;"",CD$59,IF(IFERROR(INDEX(醫師週班表!$C$5:$T$44,$CU45,CD$57),"")=0,"",IF(MID(IFERROR(INDEX(醫師週班表!$C$5:$T$44,$CU45,CD$57),""),2,1)="/",MID(IFERROR(INDEX(醫師週班表!$C$5:$T$44,$CU45,CD$57),""),1+CD$58*2,1),IF(MID(IFERROR(INDEX(醫師週班表!$C$5:$T$44,$CU45,CD$57),""),3,1)="隔",IF(CD$58=0,LEFT(IFERROR(INDEX(醫師週班表!$C$5:$T$44,$CU45,CD$57),""),1),""),IF(MID(IFERROR(INDEX(醫師週班表!$C$5:$T$44,$CU45,CD$57),""),2,1)="(",LEFT(IFERROR(INDEX(醫師週班表!$C$5:$T$44,$CU45,CD$57),""),1),IFERROR(INDEX(醫師週班表!$C$5:$T$44,$CU45,CD$57),"")))))))</f>
        <v/>
      </c>
      <c r="CE45" s="67">
        <f>IF(CE$59="X","",IF(CE$59&lt;&gt;"",CE$59,IF(IFERROR(INDEX(醫師週班表!$C$5:$T$44,$CU45,CE$57),"")=0,"",IF(MID(IFERROR(INDEX(醫師週班表!$C$5:$T$44,$CU45,CE$57),""),2,1)="/",MID(IFERROR(INDEX(醫師週班表!$C$5:$T$44,$CU45,CE$57),""),1+CE$58*2,1),IF(MID(IFERROR(INDEX(醫師週班表!$C$5:$T$44,$CU45,CE$57),""),3,1)="隔",IF(CE$58=0,LEFT(IFERROR(INDEX(醫師週班表!$C$5:$T$44,$CU45,CE$57),""),1),""),IF(MID(IFERROR(INDEX(醫師週班表!$C$5:$T$44,$CU45,CE$57),""),2,1)="(",LEFT(IFERROR(INDEX(醫師週班表!$C$5:$T$44,$CU45,CE$57),""),1),IFERROR(INDEX(醫師週班表!$C$5:$T$44,$CU45,CE$57),"")))))))</f>
        <v/>
      </c>
      <c r="CF45" s="68">
        <f>IF(CF$59="X","",IF(CF$59&lt;&gt;"",CF$59,IF(IFERROR(INDEX(醫師週班表!$C$5:$T$44,$CU45,CF$57),"")=0,"",IF(MID(IFERROR(INDEX(醫師週班表!$C$5:$T$44,$CU45,CF$57),""),2,1)="/",MID(IFERROR(INDEX(醫師週班表!$C$5:$T$44,$CU45,CF$57),""),1+CF$58*2,1),IF(MID(IFERROR(INDEX(醫師週班表!$C$5:$T$44,$CU45,CF$57),""),3,1)="隔",IF(CF$58=0,LEFT(IFERROR(INDEX(醫師週班表!$C$5:$T$44,$CU45,CF$57),""),1),""),IF(MID(IFERROR(INDEX(醫師週班表!$C$5:$T$44,$CU45,CF$57),""),2,1)="(",LEFT(IFERROR(INDEX(醫師週班表!$C$5:$T$44,$CU45,CF$57),""),1),IFERROR(INDEX(醫師週班表!$C$5:$T$44,$CU45,CF$57),"")))))))</f>
        <v/>
      </c>
      <c r="CG45" s="68">
        <f>IF(CG$59="X","",IF(CG$59&lt;&gt;"",CG$59,IF(IFERROR(INDEX(醫師週班表!$C$5:$T$44,$CU45,CG$57),"")=0,"",IF(MID(IFERROR(INDEX(醫師週班表!$C$5:$T$44,$CU45,CG$57),""),2,1)="/",MID(IFERROR(INDEX(醫師週班表!$C$5:$T$44,$CU45,CG$57),""),1+CG$58*2,1),IF(MID(IFERROR(INDEX(醫師週班表!$C$5:$T$44,$CU45,CG$57),""),3,1)="隔",IF(CG$58=0,LEFT(IFERROR(INDEX(醫師週班表!$C$5:$T$44,$CU45,CG$57),""),1),""),IF(MID(IFERROR(INDEX(醫師週班表!$C$5:$T$44,$CU45,CG$57),""),2,1)="(",LEFT(IFERROR(INDEX(醫師週班表!$C$5:$T$44,$CU45,CG$57),""),1),IFERROR(INDEX(醫師週班表!$C$5:$T$44,$CU45,CG$57),"")))))))</f>
        <v/>
      </c>
      <c r="CH45" s="67">
        <f>IF(CH$59="X","",IF(CH$59&lt;&gt;"",CH$59,IF(IFERROR(INDEX(醫師週班表!$C$5:$T$44,$CU45,CH$57),"")=0,"",IF(MID(IFERROR(INDEX(醫師週班表!$C$5:$T$44,$CU45,CH$57),""),2,1)="/",MID(IFERROR(INDEX(醫師週班表!$C$5:$T$44,$CU45,CH$57),""),1+CH$58*2,1),IF(MID(IFERROR(INDEX(醫師週班表!$C$5:$T$44,$CU45,CH$57),""),3,1)="隔",IF(CH$58=0,LEFT(IFERROR(INDEX(醫師週班表!$C$5:$T$44,$CU45,CH$57),""),1),""),IF(MID(IFERROR(INDEX(醫師週班表!$C$5:$T$44,$CU45,CH$57),""),2,1)="(",LEFT(IFERROR(INDEX(醫師週班表!$C$5:$T$44,$CU45,CH$57),""),1),IFERROR(INDEX(醫師週班表!$C$5:$T$44,$CU45,CH$57),"")))))))</f>
        <v/>
      </c>
      <c r="CI45" s="68">
        <f>IF(CI$59="X","",IF(CI$59&lt;&gt;"",CI$59,IF(IFERROR(INDEX(醫師週班表!$C$5:$T$44,$CU45,CI$57),"")=0,"",IF(MID(IFERROR(INDEX(醫師週班表!$C$5:$T$44,$CU45,CI$57),""),2,1)="/",MID(IFERROR(INDEX(醫師週班表!$C$5:$T$44,$CU45,CI$57),""),1+CI$58*2,1),IF(MID(IFERROR(INDEX(醫師週班表!$C$5:$T$44,$CU45,CI$57),""),3,1)="隔",IF(CI$58=0,LEFT(IFERROR(INDEX(醫師週班表!$C$5:$T$44,$CU45,CI$57),""),1),""),IF(MID(IFERROR(INDEX(醫師週班表!$C$5:$T$44,$CU45,CI$57),""),2,1)="(",LEFT(IFERROR(INDEX(醫師週班表!$C$5:$T$44,$CU45,CI$57),""),1),IFERROR(INDEX(醫師週班表!$C$5:$T$44,$CU45,CI$57),"")))))))</f>
        <v/>
      </c>
      <c r="CJ45" s="68">
        <f>IF(CJ$59="X","",IF(CJ$59&lt;&gt;"",CJ$59,IF(IFERROR(INDEX(醫師週班表!$C$5:$T$44,$CU45,CJ$57),"")=0,"",IF(MID(IFERROR(INDEX(醫師週班表!$C$5:$T$44,$CU45,CJ$57),""),2,1)="/",MID(IFERROR(INDEX(醫師週班表!$C$5:$T$44,$CU45,CJ$57),""),1+CJ$58*2,1),IF(MID(IFERROR(INDEX(醫師週班表!$C$5:$T$44,$CU45,CJ$57),""),3,1)="隔",IF(CJ$58=0,LEFT(IFERROR(INDEX(醫師週班表!$C$5:$T$44,$CU45,CJ$57),""),1),""),IF(MID(IFERROR(INDEX(醫師週班表!$C$5:$T$44,$CU45,CJ$57),""),2,1)="(",LEFT(IFERROR(INDEX(醫師週班表!$C$5:$T$44,$CU45,CJ$57),""),1),IFERROR(INDEX(醫師週班表!$C$5:$T$44,$CU45,CJ$57),"")))))))</f>
        <v/>
      </c>
      <c r="CK45" s="67">
        <f>IF(CK$59="X","",IF(CK$59&lt;&gt;"",CK$59,IF(IFERROR(INDEX(醫師週班表!$C$5:$T$44,$CU45,CK$57),"")=0,"",IF(MID(IFERROR(INDEX(醫師週班表!$C$5:$T$44,$CU45,CK$57),""),2,1)="/",MID(IFERROR(INDEX(醫師週班表!$C$5:$T$44,$CU45,CK$57),""),1+CK$58*2,1),IF(MID(IFERROR(INDEX(醫師週班表!$C$5:$T$44,$CU45,CK$57),""),3,1)="隔",IF(CK$58=0,LEFT(IFERROR(INDEX(醫師週班表!$C$5:$T$44,$CU45,CK$57),""),1),""),IF(MID(IFERROR(INDEX(醫師週班表!$C$5:$T$44,$CU45,CK$57),""),2,1)="(",LEFT(IFERROR(INDEX(醫師週班表!$C$5:$T$44,$CU45,CK$57),""),1),IFERROR(INDEX(醫師週班表!$C$5:$T$44,$CU45,CK$57),"")))))))</f>
        <v/>
      </c>
      <c r="CL45" s="68">
        <f>IF(CL$59="X","",IF(CL$59&lt;&gt;"",CL$59,IF(IFERROR(INDEX(醫師週班表!$C$5:$T$44,$CU45,CL$57),"")=0,"",IF(MID(IFERROR(INDEX(醫師週班表!$C$5:$T$44,$CU45,CL$57),""),2,1)="/",MID(IFERROR(INDEX(醫師週班表!$C$5:$T$44,$CU45,CL$57),""),1+CL$58*2,1),IF(MID(IFERROR(INDEX(醫師週班表!$C$5:$T$44,$CU45,CL$57),""),3,1)="隔",IF(CL$58=0,LEFT(IFERROR(INDEX(醫師週班表!$C$5:$T$44,$CU45,CL$57),""),1),""),IF(MID(IFERROR(INDEX(醫師週班表!$C$5:$T$44,$CU45,CL$57),""),2,1)="(",LEFT(IFERROR(INDEX(醫師週班表!$C$5:$T$44,$CU45,CL$57),""),1),IFERROR(INDEX(醫師週班表!$C$5:$T$44,$CU45,CL$57),"")))))))</f>
        <v/>
      </c>
      <c r="CM45" s="68">
        <f>IF(CM$59="X","",IF(CM$59&lt;&gt;"",CM$59,IF(IFERROR(INDEX(醫師週班表!$C$5:$T$44,$CU45,CM$57),"")=0,"",IF(MID(IFERROR(INDEX(醫師週班表!$C$5:$T$44,$CU45,CM$57),""),2,1)="/",MID(IFERROR(INDEX(醫師週班表!$C$5:$T$44,$CU45,CM$57),""),1+CM$58*2,1),IF(MID(IFERROR(INDEX(醫師週班表!$C$5:$T$44,$CU45,CM$57),""),3,1)="隔",IF(CM$58=0,LEFT(IFERROR(INDEX(醫師週班表!$C$5:$T$44,$CU45,CM$57),""),1),""),IF(MID(IFERROR(INDEX(醫師週班表!$C$5:$T$44,$CU45,CM$57),""),2,1)="(",LEFT(IFERROR(INDEX(醫師週班表!$C$5:$T$44,$CU45,CM$57),""),1),IFERROR(INDEX(醫師週班表!$C$5:$T$44,$CU45,CM$57),"")))))))</f>
        <v/>
      </c>
      <c r="CN45" s="67">
        <f>IF(CN$59="X","",IF(CN$59&lt;&gt;"",CN$59,IF(IFERROR(INDEX(醫師週班表!$C$5:$T$44,$CU45,CN$57),"")=0,"",IF(MID(IFERROR(INDEX(醫師週班表!$C$5:$T$44,$CU45,CN$57),""),2,1)="/",MID(IFERROR(INDEX(醫師週班表!$C$5:$T$44,$CU45,CN$57),""),1+CN$58*2,1),IF(MID(IFERROR(INDEX(醫師週班表!$C$5:$T$44,$CU45,CN$57),""),3,1)="隔",IF(CN$58=0,LEFT(IFERROR(INDEX(醫師週班表!$C$5:$T$44,$CU45,CN$57),""),1),""),IF(MID(IFERROR(INDEX(醫師週班表!$C$5:$T$44,$CU45,CN$57),""),2,1)="(",LEFT(IFERROR(INDEX(醫師週班表!$C$5:$T$44,$CU45,CN$57),""),1),IFERROR(INDEX(醫師週班表!$C$5:$T$44,$CU45,CN$57),"")))))))</f>
        <v/>
      </c>
      <c r="CO45" s="68">
        <f>IF(CO$59="X","",IF(CO$59&lt;&gt;"",CO$59,IF(IFERROR(INDEX(醫師週班表!$C$5:$T$44,$CU45,CO$57),"")=0,"",IF(MID(IFERROR(INDEX(醫師週班表!$C$5:$T$44,$CU45,CO$57),""),2,1)="/",MID(IFERROR(INDEX(醫師週班表!$C$5:$T$44,$CU45,CO$57),""),1+CO$58*2,1),IF(MID(IFERROR(INDEX(醫師週班表!$C$5:$T$44,$CU45,CO$57),""),3,1)="隔",IF(CO$58=0,LEFT(IFERROR(INDEX(醫師週班表!$C$5:$T$44,$CU45,CO$57),""),1),""),IF(MID(IFERROR(INDEX(醫師週班表!$C$5:$T$44,$CU45,CO$57),""),2,1)="(",LEFT(IFERROR(INDEX(醫師週班表!$C$5:$T$44,$CU45,CO$57),""),1),IFERROR(INDEX(醫師週班表!$C$5:$T$44,$CU45,CO$57),"")))))))</f>
        <v/>
      </c>
      <c r="CP45" s="68">
        <f>IF(CP$59="X","",IF(CP$59&lt;&gt;"",CP$59,IF(IFERROR(INDEX(醫師週班表!$C$5:$T$44,$CU45,CP$57),"")=0,"",IF(MID(IFERROR(INDEX(醫師週班表!$C$5:$T$44,$CU45,CP$57),""),2,1)="/",MID(IFERROR(INDEX(醫師週班表!$C$5:$T$44,$CU45,CP$57),""),1+CP$58*2,1),IF(MID(IFERROR(INDEX(醫師週班表!$C$5:$T$44,$CU45,CP$57),""),3,1)="隔",IF(CP$58=0,LEFT(IFERROR(INDEX(醫師週班表!$C$5:$T$44,$CU45,CP$57),""),1),""),IF(MID(IFERROR(INDEX(醫師週班表!$C$5:$T$44,$CU45,CP$57),""),2,1)="(",LEFT(IFERROR(INDEX(醫師週班表!$C$5:$T$44,$CU45,CP$57),""),1),IFERROR(INDEX(醫師週班表!$C$5:$T$44,$CU45,CP$57),"")))))))</f>
        <v/>
      </c>
      <c r="CQ45" s="67">
        <f>IF(CQ$59="X","",IF(CQ$59&lt;&gt;"",CQ$59,IF(IFERROR(INDEX(醫師週班表!$C$5:$T$44,$CU45,CQ$57),"")=0,"",IF(MID(IFERROR(INDEX(醫師週班表!$C$5:$T$44,$CU45,CQ$57),""),2,1)="/",MID(IFERROR(INDEX(醫師週班表!$C$5:$T$44,$CU45,CQ$57),""),1+CQ$58*2,1),IF(MID(IFERROR(INDEX(醫師週班表!$C$5:$T$44,$CU45,CQ$57),""),3,1)="隔",IF(CQ$58=0,LEFT(IFERROR(INDEX(醫師週班表!$C$5:$T$44,$CU45,CQ$57),""),1),""),IF(MID(IFERROR(INDEX(醫師週班表!$C$5:$T$44,$CU45,CQ$57),""),2,1)="(",LEFT(IFERROR(INDEX(醫師週班表!$C$5:$T$44,$CU45,CQ$57),""),1),IFERROR(INDEX(醫師週班表!$C$5:$T$44,$CU45,CQ$57),"")))))))</f>
        <v/>
      </c>
      <c r="CR45" s="68">
        <f>IF(CR$59="X","",IF(CR$59&lt;&gt;"",CR$59,IF(IFERROR(INDEX(醫師週班表!$C$5:$T$44,$CU45,CR$57),"")=0,"",IF(MID(IFERROR(INDEX(醫師週班表!$C$5:$T$44,$CU45,CR$57),""),2,1)="/",MID(IFERROR(INDEX(醫師週班表!$C$5:$T$44,$CU45,CR$57),""),1+CR$58*2,1),IF(MID(IFERROR(INDEX(醫師週班表!$C$5:$T$44,$CU45,CR$57),""),3,1)="隔",IF(CR$58=0,LEFT(IFERROR(INDEX(醫師週班表!$C$5:$T$44,$CU45,CR$57),""),1),""),IF(MID(IFERROR(INDEX(醫師週班表!$C$5:$T$44,$CU45,CR$57),""),2,1)="(",LEFT(IFERROR(INDEX(醫師週班表!$C$5:$T$44,$CU45,CR$57),""),1),IFERROR(INDEX(醫師週班表!$C$5:$T$44,$CU45,CR$57),"")))))))</f>
        <v/>
      </c>
      <c r="CS45" s="68">
        <f>IF(CS$59="X","",IF(CS$59&lt;&gt;"",CS$59,IF(IFERROR(INDEX(醫師週班表!$C$5:$T$44,$CU45,CS$57),"")=0,"",IF(MID(IFERROR(INDEX(醫師週班表!$C$5:$T$44,$CU45,CS$57),""),2,1)="/",MID(IFERROR(INDEX(醫師週班表!$C$5:$T$44,$CU45,CS$57),""),1+CS$58*2,1),IF(MID(IFERROR(INDEX(醫師週班表!$C$5:$T$44,$CU45,CS$57),""),3,1)="隔",IF(CS$58=0,LEFT(IFERROR(INDEX(醫師週班表!$C$5:$T$44,$CU45,CS$57),""),1),""),IF(MID(IFERROR(INDEX(醫師週班表!$C$5:$T$44,$CU45,CS$57),""),2,1)="(",LEFT(IFERROR(INDEX(醫師週班表!$C$5:$T$44,$CU45,CS$57),""),1),IFERROR(INDEX(醫師週班表!$C$5:$T$44,$CU45,CS$57),"")))))))</f>
        <v/>
      </c>
      <c r="CU45" s="69">
        <f>IFERROR(MATCH($A45,醫師週班表!$A$5:$A$44,0),0)</f>
        <v/>
      </c>
    </row>
    <row r="46">
      <c r="A46" s="2" t="inlineStr">
        <is>
          <t>各院所每診次醫師數(自動計算,0 表示該診次沒有醫師)</t>
        </is>
      </c>
      <c r="B46" s="8" t="n"/>
      <c r="C46" s="8" t="n"/>
      <c r="D46" s="9" t="n"/>
    </row>
    <row r="47">
      <c r="A47" s="70" t="inlineStr">
        <is>
          <t>悅 晶悅</t>
        </is>
      </c>
      <c r="B47" s="8" t="n"/>
      <c r="C47" s="8" t="n"/>
      <c r="D47" s="9" t="n"/>
      <c r="E47" s="71">
        <f>IF(E$4="","",IF(COUNTIF(設定!$W$6:$W$40,DATE(設定!$C$2,設定!$D$2,1))&gt;0,"假",IF(INDEX(設定!$U$52:$AO$52,(WEEKDAY(DATE(設定!$C$2,設定!$D$2,1),2)-1)*3+1)=0,"休",COUNTIF(E$6:E$45,"悅"))))</f>
        <v/>
      </c>
      <c r="F47" s="72">
        <f>IF(F$4="","",IF(COUNTIF(設定!$W$6:$W$40,DATE(設定!$C$2,設定!$D$2,1))&gt;0,"假",IF(INDEX(設定!$U$52:$AO$52,(WEEKDAY(DATE(設定!$C$2,設定!$D$2,1),2)-1)*3+2)=0,"休",COUNTIF(F$6:F$45,"悅"))))</f>
        <v/>
      </c>
      <c r="G47" s="72">
        <f>IF(G$4="","",IF(COUNTIF(設定!$W$6:$W$40,DATE(設定!$C$2,設定!$D$2,1))&gt;0,"假",IF(INDEX(設定!$U$52:$AO$52,(WEEKDAY(DATE(設定!$C$2,設定!$D$2,1),2)-1)*3+3)=0,"休",COUNTIF(G$6:G$45,"悅"))))</f>
        <v/>
      </c>
      <c r="H47" s="71">
        <f>IF(H$4="","",IF(COUNTIF(設定!$W$6:$W$40,DATE(設定!$C$2,設定!$D$2,2))&gt;0,"假",IF(INDEX(設定!$U$52:$AO$52,(WEEKDAY(DATE(設定!$C$2,設定!$D$2,2),2)-1)*3+1)=0,"休",COUNTIF(H$6:H$45,"悅"))))</f>
        <v/>
      </c>
      <c r="I47" s="72">
        <f>IF(I$4="","",IF(COUNTIF(設定!$W$6:$W$40,DATE(設定!$C$2,設定!$D$2,2))&gt;0,"假",IF(INDEX(設定!$U$52:$AO$52,(WEEKDAY(DATE(設定!$C$2,設定!$D$2,2),2)-1)*3+2)=0,"休",COUNTIF(I$6:I$45,"悅"))))</f>
        <v/>
      </c>
      <c r="J47" s="72">
        <f>IF(J$4="","",IF(COUNTIF(設定!$W$6:$W$40,DATE(設定!$C$2,設定!$D$2,2))&gt;0,"假",IF(INDEX(設定!$U$52:$AO$52,(WEEKDAY(DATE(設定!$C$2,設定!$D$2,2),2)-1)*3+3)=0,"休",COUNTIF(J$6:J$45,"悅"))))</f>
        <v/>
      </c>
      <c r="K47" s="71">
        <f>IF(K$4="","",IF(COUNTIF(設定!$W$6:$W$40,DATE(設定!$C$2,設定!$D$2,3))&gt;0,"假",IF(INDEX(設定!$U$52:$AO$52,(WEEKDAY(DATE(設定!$C$2,設定!$D$2,3),2)-1)*3+1)=0,"休",COUNTIF(K$6:K$45,"悅"))))</f>
        <v/>
      </c>
      <c r="L47" s="72">
        <f>IF(L$4="","",IF(COUNTIF(設定!$W$6:$W$40,DATE(設定!$C$2,設定!$D$2,3))&gt;0,"假",IF(INDEX(設定!$U$52:$AO$52,(WEEKDAY(DATE(設定!$C$2,設定!$D$2,3),2)-1)*3+2)=0,"休",COUNTIF(L$6:L$45,"悅"))))</f>
        <v/>
      </c>
      <c r="M47" s="72">
        <f>IF(M$4="","",IF(COUNTIF(設定!$W$6:$W$40,DATE(設定!$C$2,設定!$D$2,3))&gt;0,"假",IF(INDEX(設定!$U$52:$AO$52,(WEEKDAY(DATE(設定!$C$2,設定!$D$2,3),2)-1)*3+3)=0,"休",COUNTIF(M$6:M$45,"悅"))))</f>
        <v/>
      </c>
      <c r="N47" s="71">
        <f>IF(N$4="","",IF(COUNTIF(設定!$W$6:$W$40,DATE(設定!$C$2,設定!$D$2,4))&gt;0,"假",IF(INDEX(設定!$U$52:$AO$52,(WEEKDAY(DATE(設定!$C$2,設定!$D$2,4),2)-1)*3+1)=0,"休",COUNTIF(N$6:N$45,"悅"))))</f>
        <v/>
      </c>
      <c r="O47" s="72">
        <f>IF(O$4="","",IF(COUNTIF(設定!$W$6:$W$40,DATE(設定!$C$2,設定!$D$2,4))&gt;0,"假",IF(INDEX(設定!$U$52:$AO$52,(WEEKDAY(DATE(設定!$C$2,設定!$D$2,4),2)-1)*3+2)=0,"休",COUNTIF(O$6:O$45,"悅"))))</f>
        <v/>
      </c>
      <c r="P47" s="72">
        <f>IF(P$4="","",IF(COUNTIF(設定!$W$6:$W$40,DATE(設定!$C$2,設定!$D$2,4))&gt;0,"假",IF(INDEX(設定!$U$52:$AO$52,(WEEKDAY(DATE(設定!$C$2,設定!$D$2,4),2)-1)*3+3)=0,"休",COUNTIF(P$6:P$45,"悅"))))</f>
        <v/>
      </c>
      <c r="Q47" s="71">
        <f>IF(Q$4="","",IF(COUNTIF(設定!$W$6:$W$40,DATE(設定!$C$2,設定!$D$2,5))&gt;0,"假",IF(INDEX(設定!$U$52:$AO$52,(WEEKDAY(DATE(設定!$C$2,設定!$D$2,5),2)-1)*3+1)=0,"休",COUNTIF(Q$6:Q$45,"悅"))))</f>
        <v/>
      </c>
      <c r="R47" s="72">
        <f>IF(R$4="","",IF(COUNTIF(設定!$W$6:$W$40,DATE(設定!$C$2,設定!$D$2,5))&gt;0,"假",IF(INDEX(設定!$U$52:$AO$52,(WEEKDAY(DATE(設定!$C$2,設定!$D$2,5),2)-1)*3+2)=0,"休",COUNTIF(R$6:R$45,"悅"))))</f>
        <v/>
      </c>
      <c r="S47" s="72">
        <f>IF(S$4="","",IF(COUNTIF(設定!$W$6:$W$40,DATE(設定!$C$2,設定!$D$2,5))&gt;0,"假",IF(INDEX(設定!$U$52:$AO$52,(WEEKDAY(DATE(設定!$C$2,設定!$D$2,5),2)-1)*3+3)=0,"休",COUNTIF(S$6:S$45,"悅"))))</f>
        <v/>
      </c>
      <c r="T47" s="71">
        <f>IF(T$4="","",IF(COUNTIF(設定!$W$6:$W$40,DATE(設定!$C$2,設定!$D$2,6))&gt;0,"假",IF(INDEX(設定!$U$52:$AO$52,(WEEKDAY(DATE(設定!$C$2,設定!$D$2,6),2)-1)*3+1)=0,"休",COUNTIF(T$6:T$45,"悅"))))</f>
        <v/>
      </c>
      <c r="U47" s="72">
        <f>IF(U$4="","",IF(COUNTIF(設定!$W$6:$W$40,DATE(設定!$C$2,設定!$D$2,6))&gt;0,"假",IF(INDEX(設定!$U$52:$AO$52,(WEEKDAY(DATE(設定!$C$2,設定!$D$2,6),2)-1)*3+2)=0,"休",COUNTIF(U$6:U$45,"悅"))))</f>
        <v/>
      </c>
      <c r="V47" s="72">
        <f>IF(V$4="","",IF(COUNTIF(設定!$W$6:$W$40,DATE(設定!$C$2,設定!$D$2,6))&gt;0,"假",IF(INDEX(設定!$U$52:$AO$52,(WEEKDAY(DATE(設定!$C$2,設定!$D$2,6),2)-1)*3+3)=0,"休",COUNTIF(V$6:V$45,"悅"))))</f>
        <v/>
      </c>
      <c r="W47" s="71">
        <f>IF(W$4="","",IF(COUNTIF(設定!$W$6:$W$40,DATE(設定!$C$2,設定!$D$2,7))&gt;0,"假",IF(INDEX(設定!$U$52:$AO$52,(WEEKDAY(DATE(設定!$C$2,設定!$D$2,7),2)-1)*3+1)=0,"休",COUNTIF(W$6:W$45,"悅"))))</f>
        <v/>
      </c>
      <c r="X47" s="72">
        <f>IF(X$4="","",IF(COUNTIF(設定!$W$6:$W$40,DATE(設定!$C$2,設定!$D$2,7))&gt;0,"假",IF(INDEX(設定!$U$52:$AO$52,(WEEKDAY(DATE(設定!$C$2,設定!$D$2,7),2)-1)*3+2)=0,"休",COUNTIF(X$6:X$45,"悅"))))</f>
        <v/>
      </c>
      <c r="Y47" s="72">
        <f>IF(Y$4="","",IF(COUNTIF(設定!$W$6:$W$40,DATE(設定!$C$2,設定!$D$2,7))&gt;0,"假",IF(INDEX(設定!$U$52:$AO$52,(WEEKDAY(DATE(設定!$C$2,設定!$D$2,7),2)-1)*3+3)=0,"休",COUNTIF(Y$6:Y$45,"悅"))))</f>
        <v/>
      </c>
      <c r="Z47" s="71">
        <f>IF(Z$4="","",IF(COUNTIF(設定!$W$6:$W$40,DATE(設定!$C$2,設定!$D$2,8))&gt;0,"假",IF(INDEX(設定!$U$52:$AO$52,(WEEKDAY(DATE(設定!$C$2,設定!$D$2,8),2)-1)*3+1)=0,"休",COUNTIF(Z$6:Z$45,"悅"))))</f>
        <v/>
      </c>
      <c r="AA47" s="72">
        <f>IF(AA$4="","",IF(COUNTIF(設定!$W$6:$W$40,DATE(設定!$C$2,設定!$D$2,8))&gt;0,"假",IF(INDEX(設定!$U$52:$AO$52,(WEEKDAY(DATE(設定!$C$2,設定!$D$2,8),2)-1)*3+2)=0,"休",COUNTIF(AA$6:AA$45,"悅"))))</f>
        <v/>
      </c>
      <c r="AB47" s="72">
        <f>IF(AB$4="","",IF(COUNTIF(設定!$W$6:$W$40,DATE(設定!$C$2,設定!$D$2,8))&gt;0,"假",IF(INDEX(設定!$U$52:$AO$52,(WEEKDAY(DATE(設定!$C$2,設定!$D$2,8),2)-1)*3+3)=0,"休",COUNTIF(AB$6:AB$45,"悅"))))</f>
        <v/>
      </c>
      <c r="AC47" s="71">
        <f>IF(AC$4="","",IF(COUNTIF(設定!$W$6:$W$40,DATE(設定!$C$2,設定!$D$2,9))&gt;0,"假",IF(INDEX(設定!$U$52:$AO$52,(WEEKDAY(DATE(設定!$C$2,設定!$D$2,9),2)-1)*3+1)=0,"休",COUNTIF(AC$6:AC$45,"悅"))))</f>
        <v/>
      </c>
      <c r="AD47" s="72">
        <f>IF(AD$4="","",IF(COUNTIF(設定!$W$6:$W$40,DATE(設定!$C$2,設定!$D$2,9))&gt;0,"假",IF(INDEX(設定!$U$52:$AO$52,(WEEKDAY(DATE(設定!$C$2,設定!$D$2,9),2)-1)*3+2)=0,"休",COUNTIF(AD$6:AD$45,"悅"))))</f>
        <v/>
      </c>
      <c r="AE47" s="72">
        <f>IF(AE$4="","",IF(COUNTIF(設定!$W$6:$W$40,DATE(設定!$C$2,設定!$D$2,9))&gt;0,"假",IF(INDEX(設定!$U$52:$AO$52,(WEEKDAY(DATE(設定!$C$2,設定!$D$2,9),2)-1)*3+3)=0,"休",COUNTIF(AE$6:AE$45,"悅"))))</f>
        <v/>
      </c>
      <c r="AF47" s="71">
        <f>IF(AF$4="","",IF(COUNTIF(設定!$W$6:$W$40,DATE(設定!$C$2,設定!$D$2,10))&gt;0,"假",IF(INDEX(設定!$U$52:$AO$52,(WEEKDAY(DATE(設定!$C$2,設定!$D$2,10),2)-1)*3+1)=0,"休",COUNTIF(AF$6:AF$45,"悅"))))</f>
        <v/>
      </c>
      <c r="AG47" s="72">
        <f>IF(AG$4="","",IF(COUNTIF(設定!$W$6:$W$40,DATE(設定!$C$2,設定!$D$2,10))&gt;0,"假",IF(INDEX(設定!$U$52:$AO$52,(WEEKDAY(DATE(設定!$C$2,設定!$D$2,10),2)-1)*3+2)=0,"休",COUNTIF(AG$6:AG$45,"悅"))))</f>
        <v/>
      </c>
      <c r="AH47" s="72">
        <f>IF(AH$4="","",IF(COUNTIF(設定!$W$6:$W$40,DATE(設定!$C$2,設定!$D$2,10))&gt;0,"假",IF(INDEX(設定!$U$52:$AO$52,(WEEKDAY(DATE(設定!$C$2,設定!$D$2,10),2)-1)*3+3)=0,"休",COUNTIF(AH$6:AH$45,"悅"))))</f>
        <v/>
      </c>
      <c r="AI47" s="71">
        <f>IF(AI$4="","",IF(COUNTIF(設定!$W$6:$W$40,DATE(設定!$C$2,設定!$D$2,11))&gt;0,"假",IF(INDEX(設定!$U$52:$AO$52,(WEEKDAY(DATE(設定!$C$2,設定!$D$2,11),2)-1)*3+1)=0,"休",COUNTIF(AI$6:AI$45,"悅"))))</f>
        <v/>
      </c>
      <c r="AJ47" s="72">
        <f>IF(AJ$4="","",IF(COUNTIF(設定!$W$6:$W$40,DATE(設定!$C$2,設定!$D$2,11))&gt;0,"假",IF(INDEX(設定!$U$52:$AO$52,(WEEKDAY(DATE(設定!$C$2,設定!$D$2,11),2)-1)*3+2)=0,"休",COUNTIF(AJ$6:AJ$45,"悅"))))</f>
        <v/>
      </c>
      <c r="AK47" s="72">
        <f>IF(AK$4="","",IF(COUNTIF(設定!$W$6:$W$40,DATE(設定!$C$2,設定!$D$2,11))&gt;0,"假",IF(INDEX(設定!$U$52:$AO$52,(WEEKDAY(DATE(設定!$C$2,設定!$D$2,11),2)-1)*3+3)=0,"休",COUNTIF(AK$6:AK$45,"悅"))))</f>
        <v/>
      </c>
      <c r="AL47" s="71">
        <f>IF(AL$4="","",IF(COUNTIF(設定!$W$6:$W$40,DATE(設定!$C$2,設定!$D$2,12))&gt;0,"假",IF(INDEX(設定!$U$52:$AO$52,(WEEKDAY(DATE(設定!$C$2,設定!$D$2,12),2)-1)*3+1)=0,"休",COUNTIF(AL$6:AL$45,"悅"))))</f>
        <v/>
      </c>
      <c r="AM47" s="72">
        <f>IF(AM$4="","",IF(COUNTIF(設定!$W$6:$W$40,DATE(設定!$C$2,設定!$D$2,12))&gt;0,"假",IF(INDEX(設定!$U$52:$AO$52,(WEEKDAY(DATE(設定!$C$2,設定!$D$2,12),2)-1)*3+2)=0,"休",COUNTIF(AM$6:AM$45,"悅"))))</f>
        <v/>
      </c>
      <c r="AN47" s="72">
        <f>IF(AN$4="","",IF(COUNTIF(設定!$W$6:$W$40,DATE(設定!$C$2,設定!$D$2,12))&gt;0,"假",IF(INDEX(設定!$U$52:$AO$52,(WEEKDAY(DATE(設定!$C$2,設定!$D$2,12),2)-1)*3+3)=0,"休",COUNTIF(AN$6:AN$45,"悅"))))</f>
        <v/>
      </c>
      <c r="AO47" s="71">
        <f>IF(AO$4="","",IF(COUNTIF(設定!$W$6:$W$40,DATE(設定!$C$2,設定!$D$2,13))&gt;0,"假",IF(INDEX(設定!$U$52:$AO$52,(WEEKDAY(DATE(設定!$C$2,設定!$D$2,13),2)-1)*3+1)=0,"休",COUNTIF(AO$6:AO$45,"悅"))))</f>
        <v/>
      </c>
      <c r="AP47" s="72">
        <f>IF(AP$4="","",IF(COUNTIF(設定!$W$6:$W$40,DATE(設定!$C$2,設定!$D$2,13))&gt;0,"假",IF(INDEX(設定!$U$52:$AO$52,(WEEKDAY(DATE(設定!$C$2,設定!$D$2,13),2)-1)*3+2)=0,"休",COUNTIF(AP$6:AP$45,"悅"))))</f>
        <v/>
      </c>
      <c r="AQ47" s="72">
        <f>IF(AQ$4="","",IF(COUNTIF(設定!$W$6:$W$40,DATE(設定!$C$2,設定!$D$2,13))&gt;0,"假",IF(INDEX(設定!$U$52:$AO$52,(WEEKDAY(DATE(設定!$C$2,設定!$D$2,13),2)-1)*3+3)=0,"休",COUNTIF(AQ$6:AQ$45,"悅"))))</f>
        <v/>
      </c>
      <c r="AR47" s="71">
        <f>IF(AR$4="","",IF(COUNTIF(設定!$W$6:$W$40,DATE(設定!$C$2,設定!$D$2,14))&gt;0,"假",IF(INDEX(設定!$U$52:$AO$52,(WEEKDAY(DATE(設定!$C$2,設定!$D$2,14),2)-1)*3+1)=0,"休",COUNTIF(AR$6:AR$45,"悅"))))</f>
        <v/>
      </c>
      <c r="AS47" s="72">
        <f>IF(AS$4="","",IF(COUNTIF(設定!$W$6:$W$40,DATE(設定!$C$2,設定!$D$2,14))&gt;0,"假",IF(INDEX(設定!$U$52:$AO$52,(WEEKDAY(DATE(設定!$C$2,設定!$D$2,14),2)-1)*3+2)=0,"休",COUNTIF(AS$6:AS$45,"悅"))))</f>
        <v/>
      </c>
      <c r="AT47" s="72">
        <f>IF(AT$4="","",IF(COUNTIF(設定!$W$6:$W$40,DATE(設定!$C$2,設定!$D$2,14))&gt;0,"假",IF(INDEX(設定!$U$52:$AO$52,(WEEKDAY(DATE(設定!$C$2,設定!$D$2,14),2)-1)*3+3)=0,"休",COUNTIF(AT$6:AT$45,"悅"))))</f>
        <v/>
      </c>
      <c r="AU47" s="71">
        <f>IF(AU$4="","",IF(COUNTIF(設定!$W$6:$W$40,DATE(設定!$C$2,設定!$D$2,15))&gt;0,"假",IF(INDEX(設定!$U$52:$AO$52,(WEEKDAY(DATE(設定!$C$2,設定!$D$2,15),2)-1)*3+1)=0,"休",COUNTIF(AU$6:AU$45,"悅"))))</f>
        <v/>
      </c>
      <c r="AV47" s="72">
        <f>IF(AV$4="","",IF(COUNTIF(設定!$W$6:$W$40,DATE(設定!$C$2,設定!$D$2,15))&gt;0,"假",IF(INDEX(設定!$U$52:$AO$52,(WEEKDAY(DATE(設定!$C$2,設定!$D$2,15),2)-1)*3+2)=0,"休",COUNTIF(AV$6:AV$45,"悅"))))</f>
        <v/>
      </c>
      <c r="AW47" s="72">
        <f>IF(AW$4="","",IF(COUNTIF(設定!$W$6:$W$40,DATE(設定!$C$2,設定!$D$2,15))&gt;0,"假",IF(INDEX(設定!$U$52:$AO$52,(WEEKDAY(DATE(設定!$C$2,設定!$D$2,15),2)-1)*3+3)=0,"休",COUNTIF(AW$6:AW$45,"悅"))))</f>
        <v/>
      </c>
      <c r="AX47" s="71">
        <f>IF(AX$4="","",IF(COUNTIF(設定!$W$6:$W$40,DATE(設定!$C$2,設定!$D$2,16))&gt;0,"假",IF(INDEX(設定!$U$52:$AO$52,(WEEKDAY(DATE(設定!$C$2,設定!$D$2,16),2)-1)*3+1)=0,"休",COUNTIF(AX$6:AX$45,"悅"))))</f>
        <v/>
      </c>
      <c r="AY47" s="72">
        <f>IF(AY$4="","",IF(COUNTIF(設定!$W$6:$W$40,DATE(設定!$C$2,設定!$D$2,16))&gt;0,"假",IF(INDEX(設定!$U$52:$AO$52,(WEEKDAY(DATE(設定!$C$2,設定!$D$2,16),2)-1)*3+2)=0,"休",COUNTIF(AY$6:AY$45,"悅"))))</f>
        <v/>
      </c>
      <c r="AZ47" s="72">
        <f>IF(AZ$4="","",IF(COUNTIF(設定!$W$6:$W$40,DATE(設定!$C$2,設定!$D$2,16))&gt;0,"假",IF(INDEX(設定!$U$52:$AO$52,(WEEKDAY(DATE(設定!$C$2,設定!$D$2,16),2)-1)*3+3)=0,"休",COUNTIF(AZ$6:AZ$45,"悅"))))</f>
        <v/>
      </c>
      <c r="BA47" s="71">
        <f>IF(BA$4="","",IF(COUNTIF(設定!$W$6:$W$40,DATE(設定!$C$2,設定!$D$2,17))&gt;0,"假",IF(INDEX(設定!$U$52:$AO$52,(WEEKDAY(DATE(設定!$C$2,設定!$D$2,17),2)-1)*3+1)=0,"休",COUNTIF(BA$6:BA$45,"悅"))))</f>
        <v/>
      </c>
      <c r="BB47" s="72">
        <f>IF(BB$4="","",IF(COUNTIF(設定!$W$6:$W$40,DATE(設定!$C$2,設定!$D$2,17))&gt;0,"假",IF(INDEX(設定!$U$52:$AO$52,(WEEKDAY(DATE(設定!$C$2,設定!$D$2,17),2)-1)*3+2)=0,"休",COUNTIF(BB$6:BB$45,"悅"))))</f>
        <v/>
      </c>
      <c r="BC47" s="72">
        <f>IF(BC$4="","",IF(COUNTIF(設定!$W$6:$W$40,DATE(設定!$C$2,設定!$D$2,17))&gt;0,"假",IF(INDEX(設定!$U$52:$AO$52,(WEEKDAY(DATE(設定!$C$2,設定!$D$2,17),2)-1)*3+3)=0,"休",COUNTIF(BC$6:BC$45,"悅"))))</f>
        <v/>
      </c>
      <c r="BD47" s="71">
        <f>IF(BD$4="","",IF(COUNTIF(設定!$W$6:$W$40,DATE(設定!$C$2,設定!$D$2,18))&gt;0,"假",IF(INDEX(設定!$U$52:$AO$52,(WEEKDAY(DATE(設定!$C$2,設定!$D$2,18),2)-1)*3+1)=0,"休",COUNTIF(BD$6:BD$45,"悅"))))</f>
        <v/>
      </c>
      <c r="BE47" s="72">
        <f>IF(BE$4="","",IF(COUNTIF(設定!$W$6:$W$40,DATE(設定!$C$2,設定!$D$2,18))&gt;0,"假",IF(INDEX(設定!$U$52:$AO$52,(WEEKDAY(DATE(設定!$C$2,設定!$D$2,18),2)-1)*3+2)=0,"休",COUNTIF(BE$6:BE$45,"悅"))))</f>
        <v/>
      </c>
      <c r="BF47" s="72">
        <f>IF(BF$4="","",IF(COUNTIF(設定!$W$6:$W$40,DATE(設定!$C$2,設定!$D$2,18))&gt;0,"假",IF(INDEX(設定!$U$52:$AO$52,(WEEKDAY(DATE(設定!$C$2,設定!$D$2,18),2)-1)*3+3)=0,"休",COUNTIF(BF$6:BF$45,"悅"))))</f>
        <v/>
      </c>
      <c r="BG47" s="71">
        <f>IF(BG$4="","",IF(COUNTIF(設定!$W$6:$W$40,DATE(設定!$C$2,設定!$D$2,19))&gt;0,"假",IF(INDEX(設定!$U$52:$AO$52,(WEEKDAY(DATE(設定!$C$2,設定!$D$2,19),2)-1)*3+1)=0,"休",COUNTIF(BG$6:BG$45,"悅"))))</f>
        <v/>
      </c>
      <c r="BH47" s="72">
        <f>IF(BH$4="","",IF(COUNTIF(設定!$W$6:$W$40,DATE(設定!$C$2,設定!$D$2,19))&gt;0,"假",IF(INDEX(設定!$U$52:$AO$52,(WEEKDAY(DATE(設定!$C$2,設定!$D$2,19),2)-1)*3+2)=0,"休",COUNTIF(BH$6:BH$45,"悅"))))</f>
        <v/>
      </c>
      <c r="BI47" s="72">
        <f>IF(BI$4="","",IF(COUNTIF(設定!$W$6:$W$40,DATE(設定!$C$2,設定!$D$2,19))&gt;0,"假",IF(INDEX(設定!$U$52:$AO$52,(WEEKDAY(DATE(設定!$C$2,設定!$D$2,19),2)-1)*3+3)=0,"休",COUNTIF(BI$6:BI$45,"悅"))))</f>
        <v/>
      </c>
      <c r="BJ47" s="71">
        <f>IF(BJ$4="","",IF(COUNTIF(設定!$W$6:$W$40,DATE(設定!$C$2,設定!$D$2,20))&gt;0,"假",IF(INDEX(設定!$U$52:$AO$52,(WEEKDAY(DATE(設定!$C$2,設定!$D$2,20),2)-1)*3+1)=0,"休",COUNTIF(BJ$6:BJ$45,"悅"))))</f>
        <v/>
      </c>
      <c r="BK47" s="72">
        <f>IF(BK$4="","",IF(COUNTIF(設定!$W$6:$W$40,DATE(設定!$C$2,設定!$D$2,20))&gt;0,"假",IF(INDEX(設定!$U$52:$AO$52,(WEEKDAY(DATE(設定!$C$2,設定!$D$2,20),2)-1)*3+2)=0,"休",COUNTIF(BK$6:BK$45,"悅"))))</f>
        <v/>
      </c>
      <c r="BL47" s="72">
        <f>IF(BL$4="","",IF(COUNTIF(設定!$W$6:$W$40,DATE(設定!$C$2,設定!$D$2,20))&gt;0,"假",IF(INDEX(設定!$U$52:$AO$52,(WEEKDAY(DATE(設定!$C$2,設定!$D$2,20),2)-1)*3+3)=0,"休",COUNTIF(BL$6:BL$45,"悅"))))</f>
        <v/>
      </c>
      <c r="BM47" s="71">
        <f>IF(BM$4="","",IF(COUNTIF(設定!$W$6:$W$40,DATE(設定!$C$2,設定!$D$2,21))&gt;0,"假",IF(INDEX(設定!$U$52:$AO$52,(WEEKDAY(DATE(設定!$C$2,設定!$D$2,21),2)-1)*3+1)=0,"休",COUNTIF(BM$6:BM$45,"悅"))))</f>
        <v/>
      </c>
      <c r="BN47" s="72">
        <f>IF(BN$4="","",IF(COUNTIF(設定!$W$6:$W$40,DATE(設定!$C$2,設定!$D$2,21))&gt;0,"假",IF(INDEX(設定!$U$52:$AO$52,(WEEKDAY(DATE(設定!$C$2,設定!$D$2,21),2)-1)*3+2)=0,"休",COUNTIF(BN$6:BN$45,"悅"))))</f>
        <v/>
      </c>
      <c r="BO47" s="72">
        <f>IF(BO$4="","",IF(COUNTIF(設定!$W$6:$W$40,DATE(設定!$C$2,設定!$D$2,21))&gt;0,"假",IF(INDEX(設定!$U$52:$AO$52,(WEEKDAY(DATE(設定!$C$2,設定!$D$2,21),2)-1)*3+3)=0,"休",COUNTIF(BO$6:BO$45,"悅"))))</f>
        <v/>
      </c>
      <c r="BP47" s="71">
        <f>IF(BP$4="","",IF(COUNTIF(設定!$W$6:$W$40,DATE(設定!$C$2,設定!$D$2,22))&gt;0,"假",IF(INDEX(設定!$U$52:$AO$52,(WEEKDAY(DATE(設定!$C$2,設定!$D$2,22),2)-1)*3+1)=0,"休",COUNTIF(BP$6:BP$45,"悅"))))</f>
        <v/>
      </c>
      <c r="BQ47" s="72">
        <f>IF(BQ$4="","",IF(COUNTIF(設定!$W$6:$W$40,DATE(設定!$C$2,設定!$D$2,22))&gt;0,"假",IF(INDEX(設定!$U$52:$AO$52,(WEEKDAY(DATE(設定!$C$2,設定!$D$2,22),2)-1)*3+2)=0,"休",COUNTIF(BQ$6:BQ$45,"悅"))))</f>
        <v/>
      </c>
      <c r="BR47" s="72">
        <f>IF(BR$4="","",IF(COUNTIF(設定!$W$6:$W$40,DATE(設定!$C$2,設定!$D$2,22))&gt;0,"假",IF(INDEX(設定!$U$52:$AO$52,(WEEKDAY(DATE(設定!$C$2,設定!$D$2,22),2)-1)*3+3)=0,"休",COUNTIF(BR$6:BR$45,"悅"))))</f>
        <v/>
      </c>
      <c r="BS47" s="71">
        <f>IF(BS$4="","",IF(COUNTIF(設定!$W$6:$W$40,DATE(設定!$C$2,設定!$D$2,23))&gt;0,"假",IF(INDEX(設定!$U$52:$AO$52,(WEEKDAY(DATE(設定!$C$2,設定!$D$2,23),2)-1)*3+1)=0,"休",COUNTIF(BS$6:BS$45,"悅"))))</f>
        <v/>
      </c>
      <c r="BT47" s="72">
        <f>IF(BT$4="","",IF(COUNTIF(設定!$W$6:$W$40,DATE(設定!$C$2,設定!$D$2,23))&gt;0,"假",IF(INDEX(設定!$U$52:$AO$52,(WEEKDAY(DATE(設定!$C$2,設定!$D$2,23),2)-1)*3+2)=0,"休",COUNTIF(BT$6:BT$45,"悅"))))</f>
        <v/>
      </c>
      <c r="BU47" s="72">
        <f>IF(BU$4="","",IF(COUNTIF(設定!$W$6:$W$40,DATE(設定!$C$2,設定!$D$2,23))&gt;0,"假",IF(INDEX(設定!$U$52:$AO$52,(WEEKDAY(DATE(設定!$C$2,設定!$D$2,23),2)-1)*3+3)=0,"休",COUNTIF(BU$6:BU$45,"悅"))))</f>
        <v/>
      </c>
      <c r="BV47" s="71">
        <f>IF(BV$4="","",IF(COUNTIF(設定!$W$6:$W$40,DATE(設定!$C$2,設定!$D$2,24))&gt;0,"假",IF(INDEX(設定!$U$52:$AO$52,(WEEKDAY(DATE(設定!$C$2,設定!$D$2,24),2)-1)*3+1)=0,"休",COUNTIF(BV$6:BV$45,"悅"))))</f>
        <v/>
      </c>
      <c r="BW47" s="72">
        <f>IF(BW$4="","",IF(COUNTIF(設定!$W$6:$W$40,DATE(設定!$C$2,設定!$D$2,24))&gt;0,"假",IF(INDEX(設定!$U$52:$AO$52,(WEEKDAY(DATE(設定!$C$2,設定!$D$2,24),2)-1)*3+2)=0,"休",COUNTIF(BW$6:BW$45,"悅"))))</f>
        <v/>
      </c>
      <c r="BX47" s="72">
        <f>IF(BX$4="","",IF(COUNTIF(設定!$W$6:$W$40,DATE(設定!$C$2,設定!$D$2,24))&gt;0,"假",IF(INDEX(設定!$U$52:$AO$52,(WEEKDAY(DATE(設定!$C$2,設定!$D$2,24),2)-1)*3+3)=0,"休",COUNTIF(BX$6:BX$45,"悅"))))</f>
        <v/>
      </c>
      <c r="BY47" s="71">
        <f>IF(BY$4="","",IF(COUNTIF(設定!$W$6:$W$40,DATE(設定!$C$2,設定!$D$2,25))&gt;0,"假",IF(INDEX(設定!$U$52:$AO$52,(WEEKDAY(DATE(設定!$C$2,設定!$D$2,25),2)-1)*3+1)=0,"休",COUNTIF(BY$6:BY$45,"悅"))))</f>
        <v/>
      </c>
      <c r="BZ47" s="72">
        <f>IF(BZ$4="","",IF(COUNTIF(設定!$W$6:$W$40,DATE(設定!$C$2,設定!$D$2,25))&gt;0,"假",IF(INDEX(設定!$U$52:$AO$52,(WEEKDAY(DATE(設定!$C$2,設定!$D$2,25),2)-1)*3+2)=0,"休",COUNTIF(BZ$6:BZ$45,"悅"))))</f>
        <v/>
      </c>
      <c r="CA47" s="72">
        <f>IF(CA$4="","",IF(COUNTIF(設定!$W$6:$W$40,DATE(設定!$C$2,設定!$D$2,25))&gt;0,"假",IF(INDEX(設定!$U$52:$AO$52,(WEEKDAY(DATE(設定!$C$2,設定!$D$2,25),2)-1)*3+3)=0,"休",COUNTIF(CA$6:CA$45,"悅"))))</f>
        <v/>
      </c>
      <c r="CB47" s="71">
        <f>IF(CB$4="","",IF(COUNTIF(設定!$W$6:$W$40,DATE(設定!$C$2,設定!$D$2,26))&gt;0,"假",IF(INDEX(設定!$U$52:$AO$52,(WEEKDAY(DATE(設定!$C$2,設定!$D$2,26),2)-1)*3+1)=0,"休",COUNTIF(CB$6:CB$45,"悅"))))</f>
        <v/>
      </c>
      <c r="CC47" s="72">
        <f>IF(CC$4="","",IF(COUNTIF(設定!$W$6:$W$40,DATE(設定!$C$2,設定!$D$2,26))&gt;0,"假",IF(INDEX(設定!$U$52:$AO$52,(WEEKDAY(DATE(設定!$C$2,設定!$D$2,26),2)-1)*3+2)=0,"休",COUNTIF(CC$6:CC$45,"悅"))))</f>
        <v/>
      </c>
      <c r="CD47" s="72">
        <f>IF(CD$4="","",IF(COUNTIF(設定!$W$6:$W$40,DATE(設定!$C$2,設定!$D$2,26))&gt;0,"假",IF(INDEX(設定!$U$52:$AO$52,(WEEKDAY(DATE(設定!$C$2,設定!$D$2,26),2)-1)*3+3)=0,"休",COUNTIF(CD$6:CD$45,"悅"))))</f>
        <v/>
      </c>
      <c r="CE47" s="71">
        <f>IF(CE$4="","",IF(COUNTIF(設定!$W$6:$W$40,DATE(設定!$C$2,設定!$D$2,27))&gt;0,"假",IF(INDEX(設定!$U$52:$AO$52,(WEEKDAY(DATE(設定!$C$2,設定!$D$2,27),2)-1)*3+1)=0,"休",COUNTIF(CE$6:CE$45,"悅"))))</f>
        <v/>
      </c>
      <c r="CF47" s="72">
        <f>IF(CF$4="","",IF(COUNTIF(設定!$W$6:$W$40,DATE(設定!$C$2,設定!$D$2,27))&gt;0,"假",IF(INDEX(設定!$U$52:$AO$52,(WEEKDAY(DATE(設定!$C$2,設定!$D$2,27),2)-1)*3+2)=0,"休",COUNTIF(CF$6:CF$45,"悅"))))</f>
        <v/>
      </c>
      <c r="CG47" s="72">
        <f>IF(CG$4="","",IF(COUNTIF(設定!$W$6:$W$40,DATE(設定!$C$2,設定!$D$2,27))&gt;0,"假",IF(INDEX(設定!$U$52:$AO$52,(WEEKDAY(DATE(設定!$C$2,設定!$D$2,27),2)-1)*3+3)=0,"休",COUNTIF(CG$6:CG$45,"悅"))))</f>
        <v/>
      </c>
      <c r="CH47" s="71">
        <f>IF(CH$4="","",IF(COUNTIF(設定!$W$6:$W$40,DATE(設定!$C$2,設定!$D$2,28))&gt;0,"假",IF(INDEX(設定!$U$52:$AO$52,(WEEKDAY(DATE(設定!$C$2,設定!$D$2,28),2)-1)*3+1)=0,"休",COUNTIF(CH$6:CH$45,"悅"))))</f>
        <v/>
      </c>
      <c r="CI47" s="72">
        <f>IF(CI$4="","",IF(COUNTIF(設定!$W$6:$W$40,DATE(設定!$C$2,設定!$D$2,28))&gt;0,"假",IF(INDEX(設定!$U$52:$AO$52,(WEEKDAY(DATE(設定!$C$2,設定!$D$2,28),2)-1)*3+2)=0,"休",COUNTIF(CI$6:CI$45,"悅"))))</f>
        <v/>
      </c>
      <c r="CJ47" s="72">
        <f>IF(CJ$4="","",IF(COUNTIF(設定!$W$6:$W$40,DATE(設定!$C$2,設定!$D$2,28))&gt;0,"假",IF(INDEX(設定!$U$52:$AO$52,(WEEKDAY(DATE(設定!$C$2,設定!$D$2,28),2)-1)*3+3)=0,"休",COUNTIF(CJ$6:CJ$45,"悅"))))</f>
        <v/>
      </c>
      <c r="CK47" s="71">
        <f>IF(CK$4="","",IF(COUNTIF(設定!$W$6:$W$40,DATE(設定!$C$2,設定!$D$2,29))&gt;0,"假",IF(INDEX(設定!$U$52:$AO$52,(WEEKDAY(DATE(設定!$C$2,設定!$D$2,29),2)-1)*3+1)=0,"休",COUNTIF(CK$6:CK$45,"悅"))))</f>
        <v/>
      </c>
      <c r="CL47" s="72">
        <f>IF(CL$4="","",IF(COUNTIF(設定!$W$6:$W$40,DATE(設定!$C$2,設定!$D$2,29))&gt;0,"假",IF(INDEX(設定!$U$52:$AO$52,(WEEKDAY(DATE(設定!$C$2,設定!$D$2,29),2)-1)*3+2)=0,"休",COUNTIF(CL$6:CL$45,"悅"))))</f>
        <v/>
      </c>
      <c r="CM47" s="72">
        <f>IF(CM$4="","",IF(COUNTIF(設定!$W$6:$W$40,DATE(設定!$C$2,設定!$D$2,29))&gt;0,"假",IF(INDEX(設定!$U$52:$AO$52,(WEEKDAY(DATE(設定!$C$2,設定!$D$2,29),2)-1)*3+3)=0,"休",COUNTIF(CM$6:CM$45,"悅"))))</f>
        <v/>
      </c>
      <c r="CN47" s="71">
        <f>IF(CN$4="","",IF(COUNTIF(設定!$W$6:$W$40,DATE(設定!$C$2,設定!$D$2,30))&gt;0,"假",IF(INDEX(設定!$U$52:$AO$52,(WEEKDAY(DATE(設定!$C$2,設定!$D$2,30),2)-1)*3+1)=0,"休",COUNTIF(CN$6:CN$45,"悅"))))</f>
        <v/>
      </c>
      <c r="CO47" s="72">
        <f>IF(CO$4="","",IF(COUNTIF(設定!$W$6:$W$40,DATE(設定!$C$2,設定!$D$2,30))&gt;0,"假",IF(INDEX(設定!$U$52:$AO$52,(WEEKDAY(DATE(設定!$C$2,設定!$D$2,30),2)-1)*3+2)=0,"休",COUNTIF(CO$6:CO$45,"悅"))))</f>
        <v/>
      </c>
      <c r="CP47" s="72">
        <f>IF(CP$4="","",IF(COUNTIF(設定!$W$6:$W$40,DATE(設定!$C$2,設定!$D$2,30))&gt;0,"假",IF(INDEX(設定!$U$52:$AO$52,(WEEKDAY(DATE(設定!$C$2,設定!$D$2,30),2)-1)*3+3)=0,"休",COUNTIF(CP$6:CP$45,"悅"))))</f>
        <v/>
      </c>
      <c r="CQ47" s="71">
        <f>IF(CQ$4="","",IF(COUNTIF(設定!$W$6:$W$40,DATE(設定!$C$2,設定!$D$2,31))&gt;0,"假",IF(INDEX(設定!$U$52:$AO$52,(WEEKDAY(DATE(設定!$C$2,設定!$D$2,31),2)-1)*3+1)=0,"休",COUNTIF(CQ$6:CQ$45,"悅"))))</f>
        <v/>
      </c>
      <c r="CR47" s="72">
        <f>IF(CR$4="","",IF(COUNTIF(設定!$W$6:$W$40,DATE(設定!$C$2,設定!$D$2,31))&gt;0,"假",IF(INDEX(設定!$U$52:$AO$52,(WEEKDAY(DATE(設定!$C$2,設定!$D$2,31),2)-1)*3+2)=0,"休",COUNTIF(CR$6:CR$45,"悅"))))</f>
        <v/>
      </c>
      <c r="CS47" s="72">
        <f>IF(CS$4="","",IF(COUNTIF(設定!$W$6:$W$40,DATE(設定!$C$2,設定!$D$2,31))&gt;0,"假",IF(INDEX(設定!$U$52:$AO$52,(WEEKDAY(DATE(設定!$C$2,設定!$D$2,31),2)-1)*3+3)=0,"休",COUNTIF(CS$6:CS$45,"悅"))))</f>
        <v/>
      </c>
    </row>
    <row r="48">
      <c r="A48" s="73" t="inlineStr">
        <is>
          <t>睿 晶睿</t>
        </is>
      </c>
      <c r="B48" s="8" t="n"/>
      <c r="C48" s="8" t="n"/>
      <c r="D48" s="9" t="n"/>
      <c r="E48" s="71">
        <f>IF(E$4="","",IF(COUNTIF(設定!$W$6:$W$40,DATE(設定!$C$2,設定!$D$2,1))&gt;0,"假",IF(INDEX(設定!$U$53:$AO$53,(WEEKDAY(DATE(設定!$C$2,設定!$D$2,1),2)-1)*3+1)=0,"休",COUNTIF(E$6:E$45,"睿"))))</f>
        <v/>
      </c>
      <c r="F48" s="72">
        <f>IF(F$4="","",IF(COUNTIF(設定!$W$6:$W$40,DATE(設定!$C$2,設定!$D$2,1))&gt;0,"假",IF(INDEX(設定!$U$53:$AO$53,(WEEKDAY(DATE(設定!$C$2,設定!$D$2,1),2)-1)*3+2)=0,"休",COUNTIF(F$6:F$45,"睿"))))</f>
        <v/>
      </c>
      <c r="G48" s="72">
        <f>IF(G$4="","",IF(COUNTIF(設定!$W$6:$W$40,DATE(設定!$C$2,設定!$D$2,1))&gt;0,"假",IF(INDEX(設定!$U$53:$AO$53,(WEEKDAY(DATE(設定!$C$2,設定!$D$2,1),2)-1)*3+3)=0,"休",COUNTIF(G$6:G$45,"睿"))))</f>
        <v/>
      </c>
      <c r="H48" s="71">
        <f>IF(H$4="","",IF(COUNTIF(設定!$W$6:$W$40,DATE(設定!$C$2,設定!$D$2,2))&gt;0,"假",IF(INDEX(設定!$U$53:$AO$53,(WEEKDAY(DATE(設定!$C$2,設定!$D$2,2),2)-1)*3+1)=0,"休",COUNTIF(H$6:H$45,"睿"))))</f>
        <v/>
      </c>
      <c r="I48" s="72">
        <f>IF(I$4="","",IF(COUNTIF(設定!$W$6:$W$40,DATE(設定!$C$2,設定!$D$2,2))&gt;0,"假",IF(INDEX(設定!$U$53:$AO$53,(WEEKDAY(DATE(設定!$C$2,設定!$D$2,2),2)-1)*3+2)=0,"休",COUNTIF(I$6:I$45,"睿"))))</f>
        <v/>
      </c>
      <c r="J48" s="72">
        <f>IF(J$4="","",IF(COUNTIF(設定!$W$6:$W$40,DATE(設定!$C$2,設定!$D$2,2))&gt;0,"假",IF(INDEX(設定!$U$53:$AO$53,(WEEKDAY(DATE(設定!$C$2,設定!$D$2,2),2)-1)*3+3)=0,"休",COUNTIF(J$6:J$45,"睿"))))</f>
        <v/>
      </c>
      <c r="K48" s="71">
        <f>IF(K$4="","",IF(COUNTIF(設定!$W$6:$W$40,DATE(設定!$C$2,設定!$D$2,3))&gt;0,"假",IF(INDEX(設定!$U$53:$AO$53,(WEEKDAY(DATE(設定!$C$2,設定!$D$2,3),2)-1)*3+1)=0,"休",COUNTIF(K$6:K$45,"睿"))))</f>
        <v/>
      </c>
      <c r="L48" s="72">
        <f>IF(L$4="","",IF(COUNTIF(設定!$W$6:$W$40,DATE(設定!$C$2,設定!$D$2,3))&gt;0,"假",IF(INDEX(設定!$U$53:$AO$53,(WEEKDAY(DATE(設定!$C$2,設定!$D$2,3),2)-1)*3+2)=0,"休",COUNTIF(L$6:L$45,"睿"))))</f>
        <v/>
      </c>
      <c r="M48" s="72">
        <f>IF(M$4="","",IF(COUNTIF(設定!$W$6:$W$40,DATE(設定!$C$2,設定!$D$2,3))&gt;0,"假",IF(INDEX(設定!$U$53:$AO$53,(WEEKDAY(DATE(設定!$C$2,設定!$D$2,3),2)-1)*3+3)=0,"休",COUNTIF(M$6:M$45,"睿"))))</f>
        <v/>
      </c>
      <c r="N48" s="71">
        <f>IF(N$4="","",IF(COUNTIF(設定!$W$6:$W$40,DATE(設定!$C$2,設定!$D$2,4))&gt;0,"假",IF(INDEX(設定!$U$53:$AO$53,(WEEKDAY(DATE(設定!$C$2,設定!$D$2,4),2)-1)*3+1)=0,"休",COUNTIF(N$6:N$45,"睿"))))</f>
        <v/>
      </c>
      <c r="O48" s="72">
        <f>IF(O$4="","",IF(COUNTIF(設定!$W$6:$W$40,DATE(設定!$C$2,設定!$D$2,4))&gt;0,"假",IF(INDEX(設定!$U$53:$AO$53,(WEEKDAY(DATE(設定!$C$2,設定!$D$2,4),2)-1)*3+2)=0,"休",COUNTIF(O$6:O$45,"睿"))))</f>
        <v/>
      </c>
      <c r="P48" s="72">
        <f>IF(P$4="","",IF(COUNTIF(設定!$W$6:$W$40,DATE(設定!$C$2,設定!$D$2,4))&gt;0,"假",IF(INDEX(設定!$U$53:$AO$53,(WEEKDAY(DATE(設定!$C$2,設定!$D$2,4),2)-1)*3+3)=0,"休",COUNTIF(P$6:P$45,"睿"))))</f>
        <v/>
      </c>
      <c r="Q48" s="71">
        <f>IF(Q$4="","",IF(COUNTIF(設定!$W$6:$W$40,DATE(設定!$C$2,設定!$D$2,5))&gt;0,"假",IF(INDEX(設定!$U$53:$AO$53,(WEEKDAY(DATE(設定!$C$2,設定!$D$2,5),2)-1)*3+1)=0,"休",COUNTIF(Q$6:Q$45,"睿"))))</f>
        <v/>
      </c>
      <c r="R48" s="72">
        <f>IF(R$4="","",IF(COUNTIF(設定!$W$6:$W$40,DATE(設定!$C$2,設定!$D$2,5))&gt;0,"假",IF(INDEX(設定!$U$53:$AO$53,(WEEKDAY(DATE(設定!$C$2,設定!$D$2,5),2)-1)*3+2)=0,"休",COUNTIF(R$6:R$45,"睿"))))</f>
        <v/>
      </c>
      <c r="S48" s="72">
        <f>IF(S$4="","",IF(COUNTIF(設定!$W$6:$W$40,DATE(設定!$C$2,設定!$D$2,5))&gt;0,"假",IF(INDEX(設定!$U$53:$AO$53,(WEEKDAY(DATE(設定!$C$2,設定!$D$2,5),2)-1)*3+3)=0,"休",COUNTIF(S$6:S$45,"睿"))))</f>
        <v/>
      </c>
      <c r="T48" s="71">
        <f>IF(T$4="","",IF(COUNTIF(設定!$W$6:$W$40,DATE(設定!$C$2,設定!$D$2,6))&gt;0,"假",IF(INDEX(設定!$U$53:$AO$53,(WEEKDAY(DATE(設定!$C$2,設定!$D$2,6),2)-1)*3+1)=0,"休",COUNTIF(T$6:T$45,"睿"))))</f>
        <v/>
      </c>
      <c r="U48" s="72">
        <f>IF(U$4="","",IF(COUNTIF(設定!$W$6:$W$40,DATE(設定!$C$2,設定!$D$2,6))&gt;0,"假",IF(INDEX(設定!$U$53:$AO$53,(WEEKDAY(DATE(設定!$C$2,設定!$D$2,6),2)-1)*3+2)=0,"休",COUNTIF(U$6:U$45,"睿"))))</f>
        <v/>
      </c>
      <c r="V48" s="72">
        <f>IF(V$4="","",IF(COUNTIF(設定!$W$6:$W$40,DATE(設定!$C$2,設定!$D$2,6))&gt;0,"假",IF(INDEX(設定!$U$53:$AO$53,(WEEKDAY(DATE(設定!$C$2,設定!$D$2,6),2)-1)*3+3)=0,"休",COUNTIF(V$6:V$45,"睿"))))</f>
        <v/>
      </c>
      <c r="W48" s="71">
        <f>IF(W$4="","",IF(COUNTIF(設定!$W$6:$W$40,DATE(設定!$C$2,設定!$D$2,7))&gt;0,"假",IF(INDEX(設定!$U$53:$AO$53,(WEEKDAY(DATE(設定!$C$2,設定!$D$2,7),2)-1)*3+1)=0,"休",COUNTIF(W$6:W$45,"睿"))))</f>
        <v/>
      </c>
      <c r="X48" s="72">
        <f>IF(X$4="","",IF(COUNTIF(設定!$W$6:$W$40,DATE(設定!$C$2,設定!$D$2,7))&gt;0,"假",IF(INDEX(設定!$U$53:$AO$53,(WEEKDAY(DATE(設定!$C$2,設定!$D$2,7),2)-1)*3+2)=0,"休",COUNTIF(X$6:X$45,"睿"))))</f>
        <v/>
      </c>
      <c r="Y48" s="72">
        <f>IF(Y$4="","",IF(COUNTIF(設定!$W$6:$W$40,DATE(設定!$C$2,設定!$D$2,7))&gt;0,"假",IF(INDEX(設定!$U$53:$AO$53,(WEEKDAY(DATE(設定!$C$2,設定!$D$2,7),2)-1)*3+3)=0,"休",COUNTIF(Y$6:Y$45,"睿"))))</f>
        <v/>
      </c>
      <c r="Z48" s="71">
        <f>IF(Z$4="","",IF(COUNTIF(設定!$W$6:$W$40,DATE(設定!$C$2,設定!$D$2,8))&gt;0,"假",IF(INDEX(設定!$U$53:$AO$53,(WEEKDAY(DATE(設定!$C$2,設定!$D$2,8),2)-1)*3+1)=0,"休",COUNTIF(Z$6:Z$45,"睿"))))</f>
        <v/>
      </c>
      <c r="AA48" s="72">
        <f>IF(AA$4="","",IF(COUNTIF(設定!$W$6:$W$40,DATE(設定!$C$2,設定!$D$2,8))&gt;0,"假",IF(INDEX(設定!$U$53:$AO$53,(WEEKDAY(DATE(設定!$C$2,設定!$D$2,8),2)-1)*3+2)=0,"休",COUNTIF(AA$6:AA$45,"睿"))))</f>
        <v/>
      </c>
      <c r="AB48" s="72">
        <f>IF(AB$4="","",IF(COUNTIF(設定!$W$6:$W$40,DATE(設定!$C$2,設定!$D$2,8))&gt;0,"假",IF(INDEX(設定!$U$53:$AO$53,(WEEKDAY(DATE(設定!$C$2,設定!$D$2,8),2)-1)*3+3)=0,"休",COUNTIF(AB$6:AB$45,"睿"))))</f>
        <v/>
      </c>
      <c r="AC48" s="71">
        <f>IF(AC$4="","",IF(COUNTIF(設定!$W$6:$W$40,DATE(設定!$C$2,設定!$D$2,9))&gt;0,"假",IF(INDEX(設定!$U$53:$AO$53,(WEEKDAY(DATE(設定!$C$2,設定!$D$2,9),2)-1)*3+1)=0,"休",COUNTIF(AC$6:AC$45,"睿"))))</f>
        <v/>
      </c>
      <c r="AD48" s="72">
        <f>IF(AD$4="","",IF(COUNTIF(設定!$W$6:$W$40,DATE(設定!$C$2,設定!$D$2,9))&gt;0,"假",IF(INDEX(設定!$U$53:$AO$53,(WEEKDAY(DATE(設定!$C$2,設定!$D$2,9),2)-1)*3+2)=0,"休",COUNTIF(AD$6:AD$45,"睿"))))</f>
        <v/>
      </c>
      <c r="AE48" s="72">
        <f>IF(AE$4="","",IF(COUNTIF(設定!$W$6:$W$40,DATE(設定!$C$2,設定!$D$2,9))&gt;0,"假",IF(INDEX(設定!$U$53:$AO$53,(WEEKDAY(DATE(設定!$C$2,設定!$D$2,9),2)-1)*3+3)=0,"休",COUNTIF(AE$6:AE$45,"睿"))))</f>
        <v/>
      </c>
      <c r="AF48" s="71">
        <f>IF(AF$4="","",IF(COUNTIF(設定!$W$6:$W$40,DATE(設定!$C$2,設定!$D$2,10))&gt;0,"假",IF(INDEX(設定!$U$53:$AO$53,(WEEKDAY(DATE(設定!$C$2,設定!$D$2,10),2)-1)*3+1)=0,"休",COUNTIF(AF$6:AF$45,"睿"))))</f>
        <v/>
      </c>
      <c r="AG48" s="72">
        <f>IF(AG$4="","",IF(COUNTIF(設定!$W$6:$W$40,DATE(設定!$C$2,設定!$D$2,10))&gt;0,"假",IF(INDEX(設定!$U$53:$AO$53,(WEEKDAY(DATE(設定!$C$2,設定!$D$2,10),2)-1)*3+2)=0,"休",COUNTIF(AG$6:AG$45,"睿"))))</f>
        <v/>
      </c>
      <c r="AH48" s="72">
        <f>IF(AH$4="","",IF(COUNTIF(設定!$W$6:$W$40,DATE(設定!$C$2,設定!$D$2,10))&gt;0,"假",IF(INDEX(設定!$U$53:$AO$53,(WEEKDAY(DATE(設定!$C$2,設定!$D$2,10),2)-1)*3+3)=0,"休",COUNTIF(AH$6:AH$45,"睿"))))</f>
        <v/>
      </c>
      <c r="AI48" s="71">
        <f>IF(AI$4="","",IF(COUNTIF(設定!$W$6:$W$40,DATE(設定!$C$2,設定!$D$2,11))&gt;0,"假",IF(INDEX(設定!$U$53:$AO$53,(WEEKDAY(DATE(設定!$C$2,設定!$D$2,11),2)-1)*3+1)=0,"休",COUNTIF(AI$6:AI$45,"睿"))))</f>
        <v/>
      </c>
      <c r="AJ48" s="72">
        <f>IF(AJ$4="","",IF(COUNTIF(設定!$W$6:$W$40,DATE(設定!$C$2,設定!$D$2,11))&gt;0,"假",IF(INDEX(設定!$U$53:$AO$53,(WEEKDAY(DATE(設定!$C$2,設定!$D$2,11),2)-1)*3+2)=0,"休",COUNTIF(AJ$6:AJ$45,"睿"))))</f>
        <v/>
      </c>
      <c r="AK48" s="72">
        <f>IF(AK$4="","",IF(COUNTIF(設定!$W$6:$W$40,DATE(設定!$C$2,設定!$D$2,11))&gt;0,"假",IF(INDEX(設定!$U$53:$AO$53,(WEEKDAY(DATE(設定!$C$2,設定!$D$2,11),2)-1)*3+3)=0,"休",COUNTIF(AK$6:AK$45,"睿"))))</f>
        <v/>
      </c>
      <c r="AL48" s="71">
        <f>IF(AL$4="","",IF(COUNTIF(設定!$W$6:$W$40,DATE(設定!$C$2,設定!$D$2,12))&gt;0,"假",IF(INDEX(設定!$U$53:$AO$53,(WEEKDAY(DATE(設定!$C$2,設定!$D$2,12),2)-1)*3+1)=0,"休",COUNTIF(AL$6:AL$45,"睿"))))</f>
        <v/>
      </c>
      <c r="AM48" s="72">
        <f>IF(AM$4="","",IF(COUNTIF(設定!$W$6:$W$40,DATE(設定!$C$2,設定!$D$2,12))&gt;0,"假",IF(INDEX(設定!$U$53:$AO$53,(WEEKDAY(DATE(設定!$C$2,設定!$D$2,12),2)-1)*3+2)=0,"休",COUNTIF(AM$6:AM$45,"睿"))))</f>
        <v/>
      </c>
      <c r="AN48" s="72">
        <f>IF(AN$4="","",IF(COUNTIF(設定!$W$6:$W$40,DATE(設定!$C$2,設定!$D$2,12))&gt;0,"假",IF(INDEX(設定!$U$53:$AO$53,(WEEKDAY(DATE(設定!$C$2,設定!$D$2,12),2)-1)*3+3)=0,"休",COUNTIF(AN$6:AN$45,"睿"))))</f>
        <v/>
      </c>
      <c r="AO48" s="71">
        <f>IF(AO$4="","",IF(COUNTIF(設定!$W$6:$W$40,DATE(設定!$C$2,設定!$D$2,13))&gt;0,"假",IF(INDEX(設定!$U$53:$AO$53,(WEEKDAY(DATE(設定!$C$2,設定!$D$2,13),2)-1)*3+1)=0,"休",COUNTIF(AO$6:AO$45,"睿"))))</f>
        <v/>
      </c>
      <c r="AP48" s="72">
        <f>IF(AP$4="","",IF(COUNTIF(設定!$W$6:$W$40,DATE(設定!$C$2,設定!$D$2,13))&gt;0,"假",IF(INDEX(設定!$U$53:$AO$53,(WEEKDAY(DATE(設定!$C$2,設定!$D$2,13),2)-1)*3+2)=0,"休",COUNTIF(AP$6:AP$45,"睿"))))</f>
        <v/>
      </c>
      <c r="AQ48" s="72">
        <f>IF(AQ$4="","",IF(COUNTIF(設定!$W$6:$W$40,DATE(設定!$C$2,設定!$D$2,13))&gt;0,"假",IF(INDEX(設定!$U$53:$AO$53,(WEEKDAY(DATE(設定!$C$2,設定!$D$2,13),2)-1)*3+3)=0,"休",COUNTIF(AQ$6:AQ$45,"睿"))))</f>
        <v/>
      </c>
      <c r="AR48" s="71">
        <f>IF(AR$4="","",IF(COUNTIF(設定!$W$6:$W$40,DATE(設定!$C$2,設定!$D$2,14))&gt;0,"假",IF(INDEX(設定!$U$53:$AO$53,(WEEKDAY(DATE(設定!$C$2,設定!$D$2,14),2)-1)*3+1)=0,"休",COUNTIF(AR$6:AR$45,"睿"))))</f>
        <v/>
      </c>
      <c r="AS48" s="72">
        <f>IF(AS$4="","",IF(COUNTIF(設定!$W$6:$W$40,DATE(設定!$C$2,設定!$D$2,14))&gt;0,"假",IF(INDEX(設定!$U$53:$AO$53,(WEEKDAY(DATE(設定!$C$2,設定!$D$2,14),2)-1)*3+2)=0,"休",COUNTIF(AS$6:AS$45,"睿"))))</f>
        <v/>
      </c>
      <c r="AT48" s="72">
        <f>IF(AT$4="","",IF(COUNTIF(設定!$W$6:$W$40,DATE(設定!$C$2,設定!$D$2,14))&gt;0,"假",IF(INDEX(設定!$U$53:$AO$53,(WEEKDAY(DATE(設定!$C$2,設定!$D$2,14),2)-1)*3+3)=0,"休",COUNTIF(AT$6:AT$45,"睿"))))</f>
        <v/>
      </c>
      <c r="AU48" s="71">
        <f>IF(AU$4="","",IF(COUNTIF(設定!$W$6:$W$40,DATE(設定!$C$2,設定!$D$2,15))&gt;0,"假",IF(INDEX(設定!$U$53:$AO$53,(WEEKDAY(DATE(設定!$C$2,設定!$D$2,15),2)-1)*3+1)=0,"休",COUNTIF(AU$6:AU$45,"睿"))))</f>
        <v/>
      </c>
      <c r="AV48" s="72">
        <f>IF(AV$4="","",IF(COUNTIF(設定!$W$6:$W$40,DATE(設定!$C$2,設定!$D$2,15))&gt;0,"假",IF(INDEX(設定!$U$53:$AO$53,(WEEKDAY(DATE(設定!$C$2,設定!$D$2,15),2)-1)*3+2)=0,"休",COUNTIF(AV$6:AV$45,"睿"))))</f>
        <v/>
      </c>
      <c r="AW48" s="72">
        <f>IF(AW$4="","",IF(COUNTIF(設定!$W$6:$W$40,DATE(設定!$C$2,設定!$D$2,15))&gt;0,"假",IF(INDEX(設定!$U$53:$AO$53,(WEEKDAY(DATE(設定!$C$2,設定!$D$2,15),2)-1)*3+3)=0,"休",COUNTIF(AW$6:AW$45,"睿"))))</f>
        <v/>
      </c>
      <c r="AX48" s="71">
        <f>IF(AX$4="","",IF(COUNTIF(設定!$W$6:$W$40,DATE(設定!$C$2,設定!$D$2,16))&gt;0,"假",IF(INDEX(設定!$U$53:$AO$53,(WEEKDAY(DATE(設定!$C$2,設定!$D$2,16),2)-1)*3+1)=0,"休",COUNTIF(AX$6:AX$45,"睿"))))</f>
        <v/>
      </c>
      <c r="AY48" s="72">
        <f>IF(AY$4="","",IF(COUNTIF(設定!$W$6:$W$40,DATE(設定!$C$2,設定!$D$2,16))&gt;0,"假",IF(INDEX(設定!$U$53:$AO$53,(WEEKDAY(DATE(設定!$C$2,設定!$D$2,16),2)-1)*3+2)=0,"休",COUNTIF(AY$6:AY$45,"睿"))))</f>
        <v/>
      </c>
      <c r="AZ48" s="72">
        <f>IF(AZ$4="","",IF(COUNTIF(設定!$W$6:$W$40,DATE(設定!$C$2,設定!$D$2,16))&gt;0,"假",IF(INDEX(設定!$U$53:$AO$53,(WEEKDAY(DATE(設定!$C$2,設定!$D$2,16),2)-1)*3+3)=0,"休",COUNTIF(AZ$6:AZ$45,"睿"))))</f>
        <v/>
      </c>
      <c r="BA48" s="71">
        <f>IF(BA$4="","",IF(COUNTIF(設定!$W$6:$W$40,DATE(設定!$C$2,設定!$D$2,17))&gt;0,"假",IF(INDEX(設定!$U$53:$AO$53,(WEEKDAY(DATE(設定!$C$2,設定!$D$2,17),2)-1)*3+1)=0,"休",COUNTIF(BA$6:BA$45,"睿"))))</f>
        <v/>
      </c>
      <c r="BB48" s="72">
        <f>IF(BB$4="","",IF(COUNTIF(設定!$W$6:$W$40,DATE(設定!$C$2,設定!$D$2,17))&gt;0,"假",IF(INDEX(設定!$U$53:$AO$53,(WEEKDAY(DATE(設定!$C$2,設定!$D$2,17),2)-1)*3+2)=0,"休",COUNTIF(BB$6:BB$45,"睿"))))</f>
        <v/>
      </c>
      <c r="BC48" s="72">
        <f>IF(BC$4="","",IF(COUNTIF(設定!$W$6:$W$40,DATE(設定!$C$2,設定!$D$2,17))&gt;0,"假",IF(INDEX(設定!$U$53:$AO$53,(WEEKDAY(DATE(設定!$C$2,設定!$D$2,17),2)-1)*3+3)=0,"休",COUNTIF(BC$6:BC$45,"睿"))))</f>
        <v/>
      </c>
      <c r="BD48" s="71">
        <f>IF(BD$4="","",IF(COUNTIF(設定!$W$6:$W$40,DATE(設定!$C$2,設定!$D$2,18))&gt;0,"假",IF(INDEX(設定!$U$53:$AO$53,(WEEKDAY(DATE(設定!$C$2,設定!$D$2,18),2)-1)*3+1)=0,"休",COUNTIF(BD$6:BD$45,"睿"))))</f>
        <v/>
      </c>
      <c r="BE48" s="72">
        <f>IF(BE$4="","",IF(COUNTIF(設定!$W$6:$W$40,DATE(設定!$C$2,設定!$D$2,18))&gt;0,"假",IF(INDEX(設定!$U$53:$AO$53,(WEEKDAY(DATE(設定!$C$2,設定!$D$2,18),2)-1)*3+2)=0,"休",COUNTIF(BE$6:BE$45,"睿"))))</f>
        <v/>
      </c>
      <c r="BF48" s="72">
        <f>IF(BF$4="","",IF(COUNTIF(設定!$W$6:$W$40,DATE(設定!$C$2,設定!$D$2,18))&gt;0,"假",IF(INDEX(設定!$U$53:$AO$53,(WEEKDAY(DATE(設定!$C$2,設定!$D$2,18),2)-1)*3+3)=0,"休",COUNTIF(BF$6:BF$45,"睿"))))</f>
        <v/>
      </c>
      <c r="BG48" s="71">
        <f>IF(BG$4="","",IF(COUNTIF(設定!$W$6:$W$40,DATE(設定!$C$2,設定!$D$2,19))&gt;0,"假",IF(INDEX(設定!$U$53:$AO$53,(WEEKDAY(DATE(設定!$C$2,設定!$D$2,19),2)-1)*3+1)=0,"休",COUNTIF(BG$6:BG$45,"睿"))))</f>
        <v/>
      </c>
      <c r="BH48" s="72">
        <f>IF(BH$4="","",IF(COUNTIF(設定!$W$6:$W$40,DATE(設定!$C$2,設定!$D$2,19))&gt;0,"假",IF(INDEX(設定!$U$53:$AO$53,(WEEKDAY(DATE(設定!$C$2,設定!$D$2,19),2)-1)*3+2)=0,"休",COUNTIF(BH$6:BH$45,"睿"))))</f>
        <v/>
      </c>
      <c r="BI48" s="72">
        <f>IF(BI$4="","",IF(COUNTIF(設定!$W$6:$W$40,DATE(設定!$C$2,設定!$D$2,19))&gt;0,"假",IF(INDEX(設定!$U$53:$AO$53,(WEEKDAY(DATE(設定!$C$2,設定!$D$2,19),2)-1)*3+3)=0,"休",COUNTIF(BI$6:BI$45,"睿"))))</f>
        <v/>
      </c>
      <c r="BJ48" s="71">
        <f>IF(BJ$4="","",IF(COUNTIF(設定!$W$6:$W$40,DATE(設定!$C$2,設定!$D$2,20))&gt;0,"假",IF(INDEX(設定!$U$53:$AO$53,(WEEKDAY(DATE(設定!$C$2,設定!$D$2,20),2)-1)*3+1)=0,"休",COUNTIF(BJ$6:BJ$45,"睿"))))</f>
        <v/>
      </c>
      <c r="BK48" s="72">
        <f>IF(BK$4="","",IF(COUNTIF(設定!$W$6:$W$40,DATE(設定!$C$2,設定!$D$2,20))&gt;0,"假",IF(INDEX(設定!$U$53:$AO$53,(WEEKDAY(DATE(設定!$C$2,設定!$D$2,20),2)-1)*3+2)=0,"休",COUNTIF(BK$6:BK$45,"睿"))))</f>
        <v/>
      </c>
      <c r="BL48" s="72">
        <f>IF(BL$4="","",IF(COUNTIF(設定!$W$6:$W$40,DATE(設定!$C$2,設定!$D$2,20))&gt;0,"假",IF(INDEX(設定!$U$53:$AO$53,(WEEKDAY(DATE(設定!$C$2,設定!$D$2,20),2)-1)*3+3)=0,"休",COUNTIF(BL$6:BL$45,"睿"))))</f>
        <v/>
      </c>
      <c r="BM48" s="71">
        <f>IF(BM$4="","",IF(COUNTIF(設定!$W$6:$W$40,DATE(設定!$C$2,設定!$D$2,21))&gt;0,"假",IF(INDEX(設定!$U$53:$AO$53,(WEEKDAY(DATE(設定!$C$2,設定!$D$2,21),2)-1)*3+1)=0,"休",COUNTIF(BM$6:BM$45,"睿"))))</f>
        <v/>
      </c>
      <c r="BN48" s="72">
        <f>IF(BN$4="","",IF(COUNTIF(設定!$W$6:$W$40,DATE(設定!$C$2,設定!$D$2,21))&gt;0,"假",IF(INDEX(設定!$U$53:$AO$53,(WEEKDAY(DATE(設定!$C$2,設定!$D$2,21),2)-1)*3+2)=0,"休",COUNTIF(BN$6:BN$45,"睿"))))</f>
        <v/>
      </c>
      <c r="BO48" s="72">
        <f>IF(BO$4="","",IF(COUNTIF(設定!$W$6:$W$40,DATE(設定!$C$2,設定!$D$2,21))&gt;0,"假",IF(INDEX(設定!$U$53:$AO$53,(WEEKDAY(DATE(設定!$C$2,設定!$D$2,21),2)-1)*3+3)=0,"休",COUNTIF(BO$6:BO$45,"睿"))))</f>
        <v/>
      </c>
      <c r="BP48" s="71">
        <f>IF(BP$4="","",IF(COUNTIF(設定!$W$6:$W$40,DATE(設定!$C$2,設定!$D$2,22))&gt;0,"假",IF(INDEX(設定!$U$53:$AO$53,(WEEKDAY(DATE(設定!$C$2,設定!$D$2,22),2)-1)*3+1)=0,"休",COUNTIF(BP$6:BP$45,"睿"))))</f>
        <v/>
      </c>
      <c r="BQ48" s="72">
        <f>IF(BQ$4="","",IF(COUNTIF(設定!$W$6:$W$40,DATE(設定!$C$2,設定!$D$2,22))&gt;0,"假",IF(INDEX(設定!$U$53:$AO$53,(WEEKDAY(DATE(設定!$C$2,設定!$D$2,22),2)-1)*3+2)=0,"休",COUNTIF(BQ$6:BQ$45,"睿"))))</f>
        <v/>
      </c>
      <c r="BR48" s="72">
        <f>IF(BR$4="","",IF(COUNTIF(設定!$W$6:$W$40,DATE(設定!$C$2,設定!$D$2,22))&gt;0,"假",IF(INDEX(設定!$U$53:$AO$53,(WEEKDAY(DATE(設定!$C$2,設定!$D$2,22),2)-1)*3+3)=0,"休",COUNTIF(BR$6:BR$45,"睿"))))</f>
        <v/>
      </c>
      <c r="BS48" s="71">
        <f>IF(BS$4="","",IF(COUNTIF(設定!$W$6:$W$40,DATE(設定!$C$2,設定!$D$2,23))&gt;0,"假",IF(INDEX(設定!$U$53:$AO$53,(WEEKDAY(DATE(設定!$C$2,設定!$D$2,23),2)-1)*3+1)=0,"休",COUNTIF(BS$6:BS$45,"睿"))))</f>
        <v/>
      </c>
      <c r="BT48" s="72">
        <f>IF(BT$4="","",IF(COUNTIF(設定!$W$6:$W$40,DATE(設定!$C$2,設定!$D$2,23))&gt;0,"假",IF(INDEX(設定!$U$53:$AO$53,(WEEKDAY(DATE(設定!$C$2,設定!$D$2,23),2)-1)*3+2)=0,"休",COUNTIF(BT$6:BT$45,"睿"))))</f>
        <v/>
      </c>
      <c r="BU48" s="72">
        <f>IF(BU$4="","",IF(COUNTIF(設定!$W$6:$W$40,DATE(設定!$C$2,設定!$D$2,23))&gt;0,"假",IF(INDEX(設定!$U$53:$AO$53,(WEEKDAY(DATE(設定!$C$2,設定!$D$2,23),2)-1)*3+3)=0,"休",COUNTIF(BU$6:BU$45,"睿"))))</f>
        <v/>
      </c>
      <c r="BV48" s="71">
        <f>IF(BV$4="","",IF(COUNTIF(設定!$W$6:$W$40,DATE(設定!$C$2,設定!$D$2,24))&gt;0,"假",IF(INDEX(設定!$U$53:$AO$53,(WEEKDAY(DATE(設定!$C$2,設定!$D$2,24),2)-1)*3+1)=0,"休",COUNTIF(BV$6:BV$45,"睿"))))</f>
        <v/>
      </c>
      <c r="BW48" s="72">
        <f>IF(BW$4="","",IF(COUNTIF(設定!$W$6:$W$40,DATE(設定!$C$2,設定!$D$2,24))&gt;0,"假",IF(INDEX(設定!$U$53:$AO$53,(WEEKDAY(DATE(設定!$C$2,設定!$D$2,24),2)-1)*3+2)=0,"休",COUNTIF(BW$6:BW$45,"睿"))))</f>
        <v/>
      </c>
      <c r="BX48" s="72">
        <f>IF(BX$4="","",IF(COUNTIF(設定!$W$6:$W$40,DATE(設定!$C$2,設定!$D$2,24))&gt;0,"假",IF(INDEX(設定!$U$53:$AO$53,(WEEKDAY(DATE(設定!$C$2,設定!$D$2,24),2)-1)*3+3)=0,"休",COUNTIF(BX$6:BX$45,"睿"))))</f>
        <v/>
      </c>
      <c r="BY48" s="71">
        <f>IF(BY$4="","",IF(COUNTIF(設定!$W$6:$W$40,DATE(設定!$C$2,設定!$D$2,25))&gt;0,"假",IF(INDEX(設定!$U$53:$AO$53,(WEEKDAY(DATE(設定!$C$2,設定!$D$2,25),2)-1)*3+1)=0,"休",COUNTIF(BY$6:BY$45,"睿"))))</f>
        <v/>
      </c>
      <c r="BZ48" s="72">
        <f>IF(BZ$4="","",IF(COUNTIF(設定!$W$6:$W$40,DATE(設定!$C$2,設定!$D$2,25))&gt;0,"假",IF(INDEX(設定!$U$53:$AO$53,(WEEKDAY(DATE(設定!$C$2,設定!$D$2,25),2)-1)*3+2)=0,"休",COUNTIF(BZ$6:BZ$45,"睿"))))</f>
        <v/>
      </c>
      <c r="CA48" s="72">
        <f>IF(CA$4="","",IF(COUNTIF(設定!$W$6:$W$40,DATE(設定!$C$2,設定!$D$2,25))&gt;0,"假",IF(INDEX(設定!$U$53:$AO$53,(WEEKDAY(DATE(設定!$C$2,設定!$D$2,25),2)-1)*3+3)=0,"休",COUNTIF(CA$6:CA$45,"睿"))))</f>
        <v/>
      </c>
      <c r="CB48" s="71">
        <f>IF(CB$4="","",IF(COUNTIF(設定!$W$6:$W$40,DATE(設定!$C$2,設定!$D$2,26))&gt;0,"假",IF(INDEX(設定!$U$53:$AO$53,(WEEKDAY(DATE(設定!$C$2,設定!$D$2,26),2)-1)*3+1)=0,"休",COUNTIF(CB$6:CB$45,"睿"))))</f>
        <v/>
      </c>
      <c r="CC48" s="72">
        <f>IF(CC$4="","",IF(COUNTIF(設定!$W$6:$W$40,DATE(設定!$C$2,設定!$D$2,26))&gt;0,"假",IF(INDEX(設定!$U$53:$AO$53,(WEEKDAY(DATE(設定!$C$2,設定!$D$2,26),2)-1)*3+2)=0,"休",COUNTIF(CC$6:CC$45,"睿"))))</f>
        <v/>
      </c>
      <c r="CD48" s="72">
        <f>IF(CD$4="","",IF(COUNTIF(設定!$W$6:$W$40,DATE(設定!$C$2,設定!$D$2,26))&gt;0,"假",IF(INDEX(設定!$U$53:$AO$53,(WEEKDAY(DATE(設定!$C$2,設定!$D$2,26),2)-1)*3+3)=0,"休",COUNTIF(CD$6:CD$45,"睿"))))</f>
        <v/>
      </c>
      <c r="CE48" s="71">
        <f>IF(CE$4="","",IF(COUNTIF(設定!$W$6:$W$40,DATE(設定!$C$2,設定!$D$2,27))&gt;0,"假",IF(INDEX(設定!$U$53:$AO$53,(WEEKDAY(DATE(設定!$C$2,設定!$D$2,27),2)-1)*3+1)=0,"休",COUNTIF(CE$6:CE$45,"睿"))))</f>
        <v/>
      </c>
      <c r="CF48" s="72">
        <f>IF(CF$4="","",IF(COUNTIF(設定!$W$6:$W$40,DATE(設定!$C$2,設定!$D$2,27))&gt;0,"假",IF(INDEX(設定!$U$53:$AO$53,(WEEKDAY(DATE(設定!$C$2,設定!$D$2,27),2)-1)*3+2)=0,"休",COUNTIF(CF$6:CF$45,"睿"))))</f>
        <v/>
      </c>
      <c r="CG48" s="72">
        <f>IF(CG$4="","",IF(COUNTIF(設定!$W$6:$W$40,DATE(設定!$C$2,設定!$D$2,27))&gt;0,"假",IF(INDEX(設定!$U$53:$AO$53,(WEEKDAY(DATE(設定!$C$2,設定!$D$2,27),2)-1)*3+3)=0,"休",COUNTIF(CG$6:CG$45,"睿"))))</f>
        <v/>
      </c>
      <c r="CH48" s="71">
        <f>IF(CH$4="","",IF(COUNTIF(設定!$W$6:$W$40,DATE(設定!$C$2,設定!$D$2,28))&gt;0,"假",IF(INDEX(設定!$U$53:$AO$53,(WEEKDAY(DATE(設定!$C$2,設定!$D$2,28),2)-1)*3+1)=0,"休",COUNTIF(CH$6:CH$45,"睿"))))</f>
        <v/>
      </c>
      <c r="CI48" s="72">
        <f>IF(CI$4="","",IF(COUNTIF(設定!$W$6:$W$40,DATE(設定!$C$2,設定!$D$2,28))&gt;0,"假",IF(INDEX(設定!$U$53:$AO$53,(WEEKDAY(DATE(設定!$C$2,設定!$D$2,28),2)-1)*3+2)=0,"休",COUNTIF(CI$6:CI$45,"睿"))))</f>
        <v/>
      </c>
      <c r="CJ48" s="72">
        <f>IF(CJ$4="","",IF(COUNTIF(設定!$W$6:$W$40,DATE(設定!$C$2,設定!$D$2,28))&gt;0,"假",IF(INDEX(設定!$U$53:$AO$53,(WEEKDAY(DATE(設定!$C$2,設定!$D$2,28),2)-1)*3+3)=0,"休",COUNTIF(CJ$6:CJ$45,"睿"))))</f>
        <v/>
      </c>
      <c r="CK48" s="71">
        <f>IF(CK$4="","",IF(COUNTIF(設定!$W$6:$W$40,DATE(設定!$C$2,設定!$D$2,29))&gt;0,"假",IF(INDEX(設定!$U$53:$AO$53,(WEEKDAY(DATE(設定!$C$2,設定!$D$2,29),2)-1)*3+1)=0,"休",COUNTIF(CK$6:CK$45,"睿"))))</f>
        <v/>
      </c>
      <c r="CL48" s="72">
        <f>IF(CL$4="","",IF(COUNTIF(設定!$W$6:$W$40,DATE(設定!$C$2,設定!$D$2,29))&gt;0,"假",IF(INDEX(設定!$U$53:$AO$53,(WEEKDAY(DATE(設定!$C$2,設定!$D$2,29),2)-1)*3+2)=0,"休",COUNTIF(CL$6:CL$45,"睿"))))</f>
        <v/>
      </c>
      <c r="CM48" s="72">
        <f>IF(CM$4="","",IF(COUNTIF(設定!$W$6:$W$40,DATE(設定!$C$2,設定!$D$2,29))&gt;0,"假",IF(INDEX(設定!$U$53:$AO$53,(WEEKDAY(DATE(設定!$C$2,設定!$D$2,29),2)-1)*3+3)=0,"休",COUNTIF(CM$6:CM$45,"睿"))))</f>
        <v/>
      </c>
      <c r="CN48" s="71">
        <f>IF(CN$4="","",IF(COUNTIF(設定!$W$6:$W$40,DATE(設定!$C$2,設定!$D$2,30))&gt;0,"假",IF(INDEX(設定!$U$53:$AO$53,(WEEKDAY(DATE(設定!$C$2,設定!$D$2,30),2)-1)*3+1)=0,"休",COUNTIF(CN$6:CN$45,"睿"))))</f>
        <v/>
      </c>
      <c r="CO48" s="72">
        <f>IF(CO$4="","",IF(COUNTIF(設定!$W$6:$W$40,DATE(設定!$C$2,設定!$D$2,30))&gt;0,"假",IF(INDEX(設定!$U$53:$AO$53,(WEEKDAY(DATE(設定!$C$2,設定!$D$2,30),2)-1)*3+2)=0,"休",COUNTIF(CO$6:CO$45,"睿"))))</f>
        <v/>
      </c>
      <c r="CP48" s="72">
        <f>IF(CP$4="","",IF(COUNTIF(設定!$W$6:$W$40,DATE(設定!$C$2,設定!$D$2,30))&gt;0,"假",IF(INDEX(設定!$U$53:$AO$53,(WEEKDAY(DATE(設定!$C$2,設定!$D$2,30),2)-1)*3+3)=0,"休",COUNTIF(CP$6:CP$45,"睿"))))</f>
        <v/>
      </c>
      <c r="CQ48" s="71">
        <f>IF(CQ$4="","",IF(COUNTIF(設定!$W$6:$W$40,DATE(設定!$C$2,設定!$D$2,31))&gt;0,"假",IF(INDEX(設定!$U$53:$AO$53,(WEEKDAY(DATE(設定!$C$2,設定!$D$2,31),2)-1)*3+1)=0,"休",COUNTIF(CQ$6:CQ$45,"睿"))))</f>
        <v/>
      </c>
      <c r="CR48" s="72">
        <f>IF(CR$4="","",IF(COUNTIF(設定!$W$6:$W$40,DATE(設定!$C$2,設定!$D$2,31))&gt;0,"假",IF(INDEX(設定!$U$53:$AO$53,(WEEKDAY(DATE(設定!$C$2,設定!$D$2,31),2)-1)*3+2)=0,"休",COUNTIF(CR$6:CR$45,"睿"))))</f>
        <v/>
      </c>
      <c r="CS48" s="72">
        <f>IF(CS$4="","",IF(COUNTIF(設定!$W$6:$W$40,DATE(設定!$C$2,設定!$D$2,31))&gt;0,"假",IF(INDEX(設定!$U$53:$AO$53,(WEEKDAY(DATE(設定!$C$2,設定!$D$2,31),2)-1)*3+3)=0,"休",COUNTIF(CS$6:CS$45,"睿"))))</f>
        <v/>
      </c>
    </row>
    <row r="49">
      <c r="A49" s="74" t="inlineStr">
        <is>
          <t>匯 晶匯</t>
        </is>
      </c>
      <c r="B49" s="8" t="n"/>
      <c r="C49" s="8" t="n"/>
      <c r="D49" s="9" t="n"/>
      <c r="E49" s="71">
        <f>IF(E$4="","",IF(COUNTIF(設定!$W$6:$W$40,DATE(設定!$C$2,設定!$D$2,1))&gt;0,"假",IF(INDEX(設定!$U$54:$AO$54,(WEEKDAY(DATE(設定!$C$2,設定!$D$2,1),2)-1)*3+1)=0,"休",COUNTIF(E$6:E$45,"匯"))))</f>
        <v/>
      </c>
      <c r="F49" s="72">
        <f>IF(F$4="","",IF(COUNTIF(設定!$W$6:$W$40,DATE(設定!$C$2,設定!$D$2,1))&gt;0,"假",IF(INDEX(設定!$U$54:$AO$54,(WEEKDAY(DATE(設定!$C$2,設定!$D$2,1),2)-1)*3+2)=0,"休",COUNTIF(F$6:F$45,"匯"))))</f>
        <v/>
      </c>
      <c r="G49" s="72">
        <f>IF(G$4="","",IF(COUNTIF(設定!$W$6:$W$40,DATE(設定!$C$2,設定!$D$2,1))&gt;0,"假",IF(INDEX(設定!$U$54:$AO$54,(WEEKDAY(DATE(設定!$C$2,設定!$D$2,1),2)-1)*3+3)=0,"休",COUNTIF(G$6:G$45,"匯"))))</f>
        <v/>
      </c>
      <c r="H49" s="71">
        <f>IF(H$4="","",IF(COUNTIF(設定!$W$6:$W$40,DATE(設定!$C$2,設定!$D$2,2))&gt;0,"假",IF(INDEX(設定!$U$54:$AO$54,(WEEKDAY(DATE(設定!$C$2,設定!$D$2,2),2)-1)*3+1)=0,"休",COUNTIF(H$6:H$45,"匯"))))</f>
        <v/>
      </c>
      <c r="I49" s="72">
        <f>IF(I$4="","",IF(COUNTIF(設定!$W$6:$W$40,DATE(設定!$C$2,設定!$D$2,2))&gt;0,"假",IF(INDEX(設定!$U$54:$AO$54,(WEEKDAY(DATE(設定!$C$2,設定!$D$2,2),2)-1)*3+2)=0,"休",COUNTIF(I$6:I$45,"匯"))))</f>
        <v/>
      </c>
      <c r="J49" s="72">
        <f>IF(J$4="","",IF(COUNTIF(設定!$W$6:$W$40,DATE(設定!$C$2,設定!$D$2,2))&gt;0,"假",IF(INDEX(設定!$U$54:$AO$54,(WEEKDAY(DATE(設定!$C$2,設定!$D$2,2),2)-1)*3+3)=0,"休",COUNTIF(J$6:J$45,"匯"))))</f>
        <v/>
      </c>
      <c r="K49" s="71">
        <f>IF(K$4="","",IF(COUNTIF(設定!$W$6:$W$40,DATE(設定!$C$2,設定!$D$2,3))&gt;0,"假",IF(INDEX(設定!$U$54:$AO$54,(WEEKDAY(DATE(設定!$C$2,設定!$D$2,3),2)-1)*3+1)=0,"休",COUNTIF(K$6:K$45,"匯"))))</f>
        <v/>
      </c>
      <c r="L49" s="72">
        <f>IF(L$4="","",IF(COUNTIF(設定!$W$6:$W$40,DATE(設定!$C$2,設定!$D$2,3))&gt;0,"假",IF(INDEX(設定!$U$54:$AO$54,(WEEKDAY(DATE(設定!$C$2,設定!$D$2,3),2)-1)*3+2)=0,"休",COUNTIF(L$6:L$45,"匯"))))</f>
        <v/>
      </c>
      <c r="M49" s="72">
        <f>IF(M$4="","",IF(COUNTIF(設定!$W$6:$W$40,DATE(設定!$C$2,設定!$D$2,3))&gt;0,"假",IF(INDEX(設定!$U$54:$AO$54,(WEEKDAY(DATE(設定!$C$2,設定!$D$2,3),2)-1)*3+3)=0,"休",COUNTIF(M$6:M$45,"匯"))))</f>
        <v/>
      </c>
      <c r="N49" s="71">
        <f>IF(N$4="","",IF(COUNTIF(設定!$W$6:$W$40,DATE(設定!$C$2,設定!$D$2,4))&gt;0,"假",IF(INDEX(設定!$U$54:$AO$54,(WEEKDAY(DATE(設定!$C$2,設定!$D$2,4),2)-1)*3+1)=0,"休",COUNTIF(N$6:N$45,"匯"))))</f>
        <v/>
      </c>
      <c r="O49" s="72">
        <f>IF(O$4="","",IF(COUNTIF(設定!$W$6:$W$40,DATE(設定!$C$2,設定!$D$2,4))&gt;0,"假",IF(INDEX(設定!$U$54:$AO$54,(WEEKDAY(DATE(設定!$C$2,設定!$D$2,4),2)-1)*3+2)=0,"休",COUNTIF(O$6:O$45,"匯"))))</f>
        <v/>
      </c>
      <c r="P49" s="72">
        <f>IF(P$4="","",IF(COUNTIF(設定!$W$6:$W$40,DATE(設定!$C$2,設定!$D$2,4))&gt;0,"假",IF(INDEX(設定!$U$54:$AO$54,(WEEKDAY(DATE(設定!$C$2,設定!$D$2,4),2)-1)*3+3)=0,"休",COUNTIF(P$6:P$45,"匯"))))</f>
        <v/>
      </c>
      <c r="Q49" s="71">
        <f>IF(Q$4="","",IF(COUNTIF(設定!$W$6:$W$40,DATE(設定!$C$2,設定!$D$2,5))&gt;0,"假",IF(INDEX(設定!$U$54:$AO$54,(WEEKDAY(DATE(設定!$C$2,設定!$D$2,5),2)-1)*3+1)=0,"休",COUNTIF(Q$6:Q$45,"匯"))))</f>
        <v/>
      </c>
      <c r="R49" s="72">
        <f>IF(R$4="","",IF(COUNTIF(設定!$W$6:$W$40,DATE(設定!$C$2,設定!$D$2,5))&gt;0,"假",IF(INDEX(設定!$U$54:$AO$54,(WEEKDAY(DATE(設定!$C$2,設定!$D$2,5),2)-1)*3+2)=0,"休",COUNTIF(R$6:R$45,"匯"))))</f>
        <v/>
      </c>
      <c r="S49" s="72">
        <f>IF(S$4="","",IF(COUNTIF(設定!$W$6:$W$40,DATE(設定!$C$2,設定!$D$2,5))&gt;0,"假",IF(INDEX(設定!$U$54:$AO$54,(WEEKDAY(DATE(設定!$C$2,設定!$D$2,5),2)-1)*3+3)=0,"休",COUNTIF(S$6:S$45,"匯"))))</f>
        <v/>
      </c>
      <c r="T49" s="71">
        <f>IF(T$4="","",IF(COUNTIF(設定!$W$6:$W$40,DATE(設定!$C$2,設定!$D$2,6))&gt;0,"假",IF(INDEX(設定!$U$54:$AO$54,(WEEKDAY(DATE(設定!$C$2,設定!$D$2,6),2)-1)*3+1)=0,"休",COUNTIF(T$6:T$45,"匯"))))</f>
        <v/>
      </c>
      <c r="U49" s="72">
        <f>IF(U$4="","",IF(COUNTIF(設定!$W$6:$W$40,DATE(設定!$C$2,設定!$D$2,6))&gt;0,"假",IF(INDEX(設定!$U$54:$AO$54,(WEEKDAY(DATE(設定!$C$2,設定!$D$2,6),2)-1)*3+2)=0,"休",COUNTIF(U$6:U$45,"匯"))))</f>
        <v/>
      </c>
      <c r="V49" s="72">
        <f>IF(V$4="","",IF(COUNTIF(設定!$W$6:$W$40,DATE(設定!$C$2,設定!$D$2,6))&gt;0,"假",IF(INDEX(設定!$U$54:$AO$54,(WEEKDAY(DATE(設定!$C$2,設定!$D$2,6),2)-1)*3+3)=0,"休",COUNTIF(V$6:V$45,"匯"))))</f>
        <v/>
      </c>
      <c r="W49" s="71">
        <f>IF(W$4="","",IF(COUNTIF(設定!$W$6:$W$40,DATE(設定!$C$2,設定!$D$2,7))&gt;0,"假",IF(INDEX(設定!$U$54:$AO$54,(WEEKDAY(DATE(設定!$C$2,設定!$D$2,7),2)-1)*3+1)=0,"休",COUNTIF(W$6:W$45,"匯"))))</f>
        <v/>
      </c>
      <c r="X49" s="72">
        <f>IF(X$4="","",IF(COUNTIF(設定!$W$6:$W$40,DATE(設定!$C$2,設定!$D$2,7))&gt;0,"假",IF(INDEX(設定!$U$54:$AO$54,(WEEKDAY(DATE(設定!$C$2,設定!$D$2,7),2)-1)*3+2)=0,"休",COUNTIF(X$6:X$45,"匯"))))</f>
        <v/>
      </c>
      <c r="Y49" s="72">
        <f>IF(Y$4="","",IF(COUNTIF(設定!$W$6:$W$40,DATE(設定!$C$2,設定!$D$2,7))&gt;0,"假",IF(INDEX(設定!$U$54:$AO$54,(WEEKDAY(DATE(設定!$C$2,設定!$D$2,7),2)-1)*3+3)=0,"休",COUNTIF(Y$6:Y$45,"匯"))))</f>
        <v/>
      </c>
      <c r="Z49" s="71">
        <f>IF(Z$4="","",IF(COUNTIF(設定!$W$6:$W$40,DATE(設定!$C$2,設定!$D$2,8))&gt;0,"假",IF(INDEX(設定!$U$54:$AO$54,(WEEKDAY(DATE(設定!$C$2,設定!$D$2,8),2)-1)*3+1)=0,"休",COUNTIF(Z$6:Z$45,"匯"))))</f>
        <v/>
      </c>
      <c r="AA49" s="72">
        <f>IF(AA$4="","",IF(COUNTIF(設定!$W$6:$W$40,DATE(設定!$C$2,設定!$D$2,8))&gt;0,"假",IF(INDEX(設定!$U$54:$AO$54,(WEEKDAY(DATE(設定!$C$2,設定!$D$2,8),2)-1)*3+2)=0,"休",COUNTIF(AA$6:AA$45,"匯"))))</f>
        <v/>
      </c>
      <c r="AB49" s="72">
        <f>IF(AB$4="","",IF(COUNTIF(設定!$W$6:$W$40,DATE(設定!$C$2,設定!$D$2,8))&gt;0,"假",IF(INDEX(設定!$U$54:$AO$54,(WEEKDAY(DATE(設定!$C$2,設定!$D$2,8),2)-1)*3+3)=0,"休",COUNTIF(AB$6:AB$45,"匯"))))</f>
        <v/>
      </c>
      <c r="AC49" s="71">
        <f>IF(AC$4="","",IF(COUNTIF(設定!$W$6:$W$40,DATE(設定!$C$2,設定!$D$2,9))&gt;0,"假",IF(INDEX(設定!$U$54:$AO$54,(WEEKDAY(DATE(設定!$C$2,設定!$D$2,9),2)-1)*3+1)=0,"休",COUNTIF(AC$6:AC$45,"匯"))))</f>
        <v/>
      </c>
      <c r="AD49" s="72">
        <f>IF(AD$4="","",IF(COUNTIF(設定!$W$6:$W$40,DATE(設定!$C$2,設定!$D$2,9))&gt;0,"假",IF(INDEX(設定!$U$54:$AO$54,(WEEKDAY(DATE(設定!$C$2,設定!$D$2,9),2)-1)*3+2)=0,"休",COUNTIF(AD$6:AD$45,"匯"))))</f>
        <v/>
      </c>
      <c r="AE49" s="72">
        <f>IF(AE$4="","",IF(COUNTIF(設定!$W$6:$W$40,DATE(設定!$C$2,設定!$D$2,9))&gt;0,"假",IF(INDEX(設定!$U$54:$AO$54,(WEEKDAY(DATE(設定!$C$2,設定!$D$2,9),2)-1)*3+3)=0,"休",COUNTIF(AE$6:AE$45,"匯"))))</f>
        <v/>
      </c>
      <c r="AF49" s="71">
        <f>IF(AF$4="","",IF(COUNTIF(設定!$W$6:$W$40,DATE(設定!$C$2,設定!$D$2,10))&gt;0,"假",IF(INDEX(設定!$U$54:$AO$54,(WEEKDAY(DATE(設定!$C$2,設定!$D$2,10),2)-1)*3+1)=0,"休",COUNTIF(AF$6:AF$45,"匯"))))</f>
        <v/>
      </c>
      <c r="AG49" s="72">
        <f>IF(AG$4="","",IF(COUNTIF(設定!$W$6:$W$40,DATE(設定!$C$2,設定!$D$2,10))&gt;0,"假",IF(INDEX(設定!$U$54:$AO$54,(WEEKDAY(DATE(設定!$C$2,設定!$D$2,10),2)-1)*3+2)=0,"休",COUNTIF(AG$6:AG$45,"匯"))))</f>
        <v/>
      </c>
      <c r="AH49" s="72">
        <f>IF(AH$4="","",IF(COUNTIF(設定!$W$6:$W$40,DATE(設定!$C$2,設定!$D$2,10))&gt;0,"假",IF(INDEX(設定!$U$54:$AO$54,(WEEKDAY(DATE(設定!$C$2,設定!$D$2,10),2)-1)*3+3)=0,"休",COUNTIF(AH$6:AH$45,"匯"))))</f>
        <v/>
      </c>
      <c r="AI49" s="71">
        <f>IF(AI$4="","",IF(COUNTIF(設定!$W$6:$W$40,DATE(設定!$C$2,設定!$D$2,11))&gt;0,"假",IF(INDEX(設定!$U$54:$AO$54,(WEEKDAY(DATE(設定!$C$2,設定!$D$2,11),2)-1)*3+1)=0,"休",COUNTIF(AI$6:AI$45,"匯"))))</f>
        <v/>
      </c>
      <c r="AJ49" s="72">
        <f>IF(AJ$4="","",IF(COUNTIF(設定!$W$6:$W$40,DATE(設定!$C$2,設定!$D$2,11))&gt;0,"假",IF(INDEX(設定!$U$54:$AO$54,(WEEKDAY(DATE(設定!$C$2,設定!$D$2,11),2)-1)*3+2)=0,"休",COUNTIF(AJ$6:AJ$45,"匯"))))</f>
        <v/>
      </c>
      <c r="AK49" s="72">
        <f>IF(AK$4="","",IF(COUNTIF(設定!$W$6:$W$40,DATE(設定!$C$2,設定!$D$2,11))&gt;0,"假",IF(INDEX(設定!$U$54:$AO$54,(WEEKDAY(DATE(設定!$C$2,設定!$D$2,11),2)-1)*3+3)=0,"休",COUNTIF(AK$6:AK$45,"匯"))))</f>
        <v/>
      </c>
      <c r="AL49" s="71">
        <f>IF(AL$4="","",IF(COUNTIF(設定!$W$6:$W$40,DATE(設定!$C$2,設定!$D$2,12))&gt;0,"假",IF(INDEX(設定!$U$54:$AO$54,(WEEKDAY(DATE(設定!$C$2,設定!$D$2,12),2)-1)*3+1)=0,"休",COUNTIF(AL$6:AL$45,"匯"))))</f>
        <v/>
      </c>
      <c r="AM49" s="72">
        <f>IF(AM$4="","",IF(COUNTIF(設定!$W$6:$W$40,DATE(設定!$C$2,設定!$D$2,12))&gt;0,"假",IF(INDEX(設定!$U$54:$AO$54,(WEEKDAY(DATE(設定!$C$2,設定!$D$2,12),2)-1)*3+2)=0,"休",COUNTIF(AM$6:AM$45,"匯"))))</f>
        <v/>
      </c>
      <c r="AN49" s="72">
        <f>IF(AN$4="","",IF(COUNTIF(設定!$W$6:$W$40,DATE(設定!$C$2,設定!$D$2,12))&gt;0,"假",IF(INDEX(設定!$U$54:$AO$54,(WEEKDAY(DATE(設定!$C$2,設定!$D$2,12),2)-1)*3+3)=0,"休",COUNTIF(AN$6:AN$45,"匯"))))</f>
        <v/>
      </c>
      <c r="AO49" s="71">
        <f>IF(AO$4="","",IF(COUNTIF(設定!$W$6:$W$40,DATE(設定!$C$2,設定!$D$2,13))&gt;0,"假",IF(INDEX(設定!$U$54:$AO$54,(WEEKDAY(DATE(設定!$C$2,設定!$D$2,13),2)-1)*3+1)=0,"休",COUNTIF(AO$6:AO$45,"匯"))))</f>
        <v/>
      </c>
      <c r="AP49" s="72">
        <f>IF(AP$4="","",IF(COUNTIF(設定!$W$6:$W$40,DATE(設定!$C$2,設定!$D$2,13))&gt;0,"假",IF(INDEX(設定!$U$54:$AO$54,(WEEKDAY(DATE(設定!$C$2,設定!$D$2,13),2)-1)*3+2)=0,"休",COUNTIF(AP$6:AP$45,"匯"))))</f>
        <v/>
      </c>
      <c r="AQ49" s="72">
        <f>IF(AQ$4="","",IF(COUNTIF(設定!$W$6:$W$40,DATE(設定!$C$2,設定!$D$2,13))&gt;0,"假",IF(INDEX(設定!$U$54:$AO$54,(WEEKDAY(DATE(設定!$C$2,設定!$D$2,13),2)-1)*3+3)=0,"休",COUNTIF(AQ$6:AQ$45,"匯"))))</f>
        <v/>
      </c>
      <c r="AR49" s="71">
        <f>IF(AR$4="","",IF(COUNTIF(設定!$W$6:$W$40,DATE(設定!$C$2,設定!$D$2,14))&gt;0,"假",IF(INDEX(設定!$U$54:$AO$54,(WEEKDAY(DATE(設定!$C$2,設定!$D$2,14),2)-1)*3+1)=0,"休",COUNTIF(AR$6:AR$45,"匯"))))</f>
        <v/>
      </c>
      <c r="AS49" s="72">
        <f>IF(AS$4="","",IF(COUNTIF(設定!$W$6:$W$40,DATE(設定!$C$2,設定!$D$2,14))&gt;0,"假",IF(INDEX(設定!$U$54:$AO$54,(WEEKDAY(DATE(設定!$C$2,設定!$D$2,14),2)-1)*3+2)=0,"休",COUNTIF(AS$6:AS$45,"匯"))))</f>
        <v/>
      </c>
      <c r="AT49" s="72">
        <f>IF(AT$4="","",IF(COUNTIF(設定!$W$6:$W$40,DATE(設定!$C$2,設定!$D$2,14))&gt;0,"假",IF(INDEX(設定!$U$54:$AO$54,(WEEKDAY(DATE(設定!$C$2,設定!$D$2,14),2)-1)*3+3)=0,"休",COUNTIF(AT$6:AT$45,"匯"))))</f>
        <v/>
      </c>
      <c r="AU49" s="71">
        <f>IF(AU$4="","",IF(COUNTIF(設定!$W$6:$W$40,DATE(設定!$C$2,設定!$D$2,15))&gt;0,"假",IF(INDEX(設定!$U$54:$AO$54,(WEEKDAY(DATE(設定!$C$2,設定!$D$2,15),2)-1)*3+1)=0,"休",COUNTIF(AU$6:AU$45,"匯"))))</f>
        <v/>
      </c>
      <c r="AV49" s="72">
        <f>IF(AV$4="","",IF(COUNTIF(設定!$W$6:$W$40,DATE(設定!$C$2,設定!$D$2,15))&gt;0,"假",IF(INDEX(設定!$U$54:$AO$54,(WEEKDAY(DATE(設定!$C$2,設定!$D$2,15),2)-1)*3+2)=0,"休",COUNTIF(AV$6:AV$45,"匯"))))</f>
        <v/>
      </c>
      <c r="AW49" s="72">
        <f>IF(AW$4="","",IF(COUNTIF(設定!$W$6:$W$40,DATE(設定!$C$2,設定!$D$2,15))&gt;0,"假",IF(INDEX(設定!$U$54:$AO$54,(WEEKDAY(DATE(設定!$C$2,設定!$D$2,15),2)-1)*3+3)=0,"休",COUNTIF(AW$6:AW$45,"匯"))))</f>
        <v/>
      </c>
      <c r="AX49" s="71">
        <f>IF(AX$4="","",IF(COUNTIF(設定!$W$6:$W$40,DATE(設定!$C$2,設定!$D$2,16))&gt;0,"假",IF(INDEX(設定!$U$54:$AO$54,(WEEKDAY(DATE(設定!$C$2,設定!$D$2,16),2)-1)*3+1)=0,"休",COUNTIF(AX$6:AX$45,"匯"))))</f>
        <v/>
      </c>
      <c r="AY49" s="72">
        <f>IF(AY$4="","",IF(COUNTIF(設定!$W$6:$W$40,DATE(設定!$C$2,設定!$D$2,16))&gt;0,"假",IF(INDEX(設定!$U$54:$AO$54,(WEEKDAY(DATE(設定!$C$2,設定!$D$2,16),2)-1)*3+2)=0,"休",COUNTIF(AY$6:AY$45,"匯"))))</f>
        <v/>
      </c>
      <c r="AZ49" s="72">
        <f>IF(AZ$4="","",IF(COUNTIF(設定!$W$6:$W$40,DATE(設定!$C$2,設定!$D$2,16))&gt;0,"假",IF(INDEX(設定!$U$54:$AO$54,(WEEKDAY(DATE(設定!$C$2,設定!$D$2,16),2)-1)*3+3)=0,"休",COUNTIF(AZ$6:AZ$45,"匯"))))</f>
        <v/>
      </c>
      <c r="BA49" s="71">
        <f>IF(BA$4="","",IF(COUNTIF(設定!$W$6:$W$40,DATE(設定!$C$2,設定!$D$2,17))&gt;0,"假",IF(INDEX(設定!$U$54:$AO$54,(WEEKDAY(DATE(設定!$C$2,設定!$D$2,17),2)-1)*3+1)=0,"休",COUNTIF(BA$6:BA$45,"匯"))))</f>
        <v/>
      </c>
      <c r="BB49" s="72">
        <f>IF(BB$4="","",IF(COUNTIF(設定!$W$6:$W$40,DATE(設定!$C$2,設定!$D$2,17))&gt;0,"假",IF(INDEX(設定!$U$54:$AO$54,(WEEKDAY(DATE(設定!$C$2,設定!$D$2,17),2)-1)*3+2)=0,"休",COUNTIF(BB$6:BB$45,"匯"))))</f>
        <v/>
      </c>
      <c r="BC49" s="72">
        <f>IF(BC$4="","",IF(COUNTIF(設定!$W$6:$W$40,DATE(設定!$C$2,設定!$D$2,17))&gt;0,"假",IF(INDEX(設定!$U$54:$AO$54,(WEEKDAY(DATE(設定!$C$2,設定!$D$2,17),2)-1)*3+3)=0,"休",COUNTIF(BC$6:BC$45,"匯"))))</f>
        <v/>
      </c>
      <c r="BD49" s="71">
        <f>IF(BD$4="","",IF(COUNTIF(設定!$W$6:$W$40,DATE(設定!$C$2,設定!$D$2,18))&gt;0,"假",IF(INDEX(設定!$U$54:$AO$54,(WEEKDAY(DATE(設定!$C$2,設定!$D$2,18),2)-1)*3+1)=0,"休",COUNTIF(BD$6:BD$45,"匯"))))</f>
        <v/>
      </c>
      <c r="BE49" s="72">
        <f>IF(BE$4="","",IF(COUNTIF(設定!$W$6:$W$40,DATE(設定!$C$2,設定!$D$2,18))&gt;0,"假",IF(INDEX(設定!$U$54:$AO$54,(WEEKDAY(DATE(設定!$C$2,設定!$D$2,18),2)-1)*3+2)=0,"休",COUNTIF(BE$6:BE$45,"匯"))))</f>
        <v/>
      </c>
      <c r="BF49" s="72">
        <f>IF(BF$4="","",IF(COUNTIF(設定!$W$6:$W$40,DATE(設定!$C$2,設定!$D$2,18))&gt;0,"假",IF(INDEX(設定!$U$54:$AO$54,(WEEKDAY(DATE(設定!$C$2,設定!$D$2,18),2)-1)*3+3)=0,"休",COUNTIF(BF$6:BF$45,"匯"))))</f>
        <v/>
      </c>
      <c r="BG49" s="71">
        <f>IF(BG$4="","",IF(COUNTIF(設定!$W$6:$W$40,DATE(設定!$C$2,設定!$D$2,19))&gt;0,"假",IF(INDEX(設定!$U$54:$AO$54,(WEEKDAY(DATE(設定!$C$2,設定!$D$2,19),2)-1)*3+1)=0,"休",COUNTIF(BG$6:BG$45,"匯"))))</f>
        <v/>
      </c>
      <c r="BH49" s="72">
        <f>IF(BH$4="","",IF(COUNTIF(設定!$W$6:$W$40,DATE(設定!$C$2,設定!$D$2,19))&gt;0,"假",IF(INDEX(設定!$U$54:$AO$54,(WEEKDAY(DATE(設定!$C$2,設定!$D$2,19),2)-1)*3+2)=0,"休",COUNTIF(BH$6:BH$45,"匯"))))</f>
        <v/>
      </c>
      <c r="BI49" s="72">
        <f>IF(BI$4="","",IF(COUNTIF(設定!$W$6:$W$40,DATE(設定!$C$2,設定!$D$2,19))&gt;0,"假",IF(INDEX(設定!$U$54:$AO$54,(WEEKDAY(DATE(設定!$C$2,設定!$D$2,19),2)-1)*3+3)=0,"休",COUNTIF(BI$6:BI$45,"匯"))))</f>
        <v/>
      </c>
      <c r="BJ49" s="71">
        <f>IF(BJ$4="","",IF(COUNTIF(設定!$W$6:$W$40,DATE(設定!$C$2,設定!$D$2,20))&gt;0,"假",IF(INDEX(設定!$U$54:$AO$54,(WEEKDAY(DATE(設定!$C$2,設定!$D$2,20),2)-1)*3+1)=0,"休",COUNTIF(BJ$6:BJ$45,"匯"))))</f>
        <v/>
      </c>
      <c r="BK49" s="72">
        <f>IF(BK$4="","",IF(COUNTIF(設定!$W$6:$W$40,DATE(設定!$C$2,設定!$D$2,20))&gt;0,"假",IF(INDEX(設定!$U$54:$AO$54,(WEEKDAY(DATE(設定!$C$2,設定!$D$2,20),2)-1)*3+2)=0,"休",COUNTIF(BK$6:BK$45,"匯"))))</f>
        <v/>
      </c>
      <c r="BL49" s="72">
        <f>IF(BL$4="","",IF(COUNTIF(設定!$W$6:$W$40,DATE(設定!$C$2,設定!$D$2,20))&gt;0,"假",IF(INDEX(設定!$U$54:$AO$54,(WEEKDAY(DATE(設定!$C$2,設定!$D$2,20),2)-1)*3+3)=0,"休",COUNTIF(BL$6:BL$45,"匯"))))</f>
        <v/>
      </c>
      <c r="BM49" s="71">
        <f>IF(BM$4="","",IF(COUNTIF(設定!$W$6:$W$40,DATE(設定!$C$2,設定!$D$2,21))&gt;0,"假",IF(INDEX(設定!$U$54:$AO$54,(WEEKDAY(DATE(設定!$C$2,設定!$D$2,21),2)-1)*3+1)=0,"休",COUNTIF(BM$6:BM$45,"匯"))))</f>
        <v/>
      </c>
      <c r="BN49" s="72">
        <f>IF(BN$4="","",IF(COUNTIF(設定!$W$6:$W$40,DATE(設定!$C$2,設定!$D$2,21))&gt;0,"假",IF(INDEX(設定!$U$54:$AO$54,(WEEKDAY(DATE(設定!$C$2,設定!$D$2,21),2)-1)*3+2)=0,"休",COUNTIF(BN$6:BN$45,"匯"))))</f>
        <v/>
      </c>
      <c r="BO49" s="72">
        <f>IF(BO$4="","",IF(COUNTIF(設定!$W$6:$W$40,DATE(設定!$C$2,設定!$D$2,21))&gt;0,"假",IF(INDEX(設定!$U$54:$AO$54,(WEEKDAY(DATE(設定!$C$2,設定!$D$2,21),2)-1)*3+3)=0,"休",COUNTIF(BO$6:BO$45,"匯"))))</f>
        <v/>
      </c>
      <c r="BP49" s="71">
        <f>IF(BP$4="","",IF(COUNTIF(設定!$W$6:$W$40,DATE(設定!$C$2,設定!$D$2,22))&gt;0,"假",IF(INDEX(設定!$U$54:$AO$54,(WEEKDAY(DATE(設定!$C$2,設定!$D$2,22),2)-1)*3+1)=0,"休",COUNTIF(BP$6:BP$45,"匯"))))</f>
        <v/>
      </c>
      <c r="BQ49" s="72">
        <f>IF(BQ$4="","",IF(COUNTIF(設定!$W$6:$W$40,DATE(設定!$C$2,設定!$D$2,22))&gt;0,"假",IF(INDEX(設定!$U$54:$AO$54,(WEEKDAY(DATE(設定!$C$2,設定!$D$2,22),2)-1)*3+2)=0,"休",COUNTIF(BQ$6:BQ$45,"匯"))))</f>
        <v/>
      </c>
      <c r="BR49" s="72">
        <f>IF(BR$4="","",IF(COUNTIF(設定!$W$6:$W$40,DATE(設定!$C$2,設定!$D$2,22))&gt;0,"假",IF(INDEX(設定!$U$54:$AO$54,(WEEKDAY(DATE(設定!$C$2,設定!$D$2,22),2)-1)*3+3)=0,"休",COUNTIF(BR$6:BR$45,"匯"))))</f>
        <v/>
      </c>
      <c r="BS49" s="71">
        <f>IF(BS$4="","",IF(COUNTIF(設定!$W$6:$W$40,DATE(設定!$C$2,設定!$D$2,23))&gt;0,"假",IF(INDEX(設定!$U$54:$AO$54,(WEEKDAY(DATE(設定!$C$2,設定!$D$2,23),2)-1)*3+1)=0,"休",COUNTIF(BS$6:BS$45,"匯"))))</f>
        <v/>
      </c>
      <c r="BT49" s="72">
        <f>IF(BT$4="","",IF(COUNTIF(設定!$W$6:$W$40,DATE(設定!$C$2,設定!$D$2,23))&gt;0,"假",IF(INDEX(設定!$U$54:$AO$54,(WEEKDAY(DATE(設定!$C$2,設定!$D$2,23),2)-1)*3+2)=0,"休",COUNTIF(BT$6:BT$45,"匯"))))</f>
        <v/>
      </c>
      <c r="BU49" s="72">
        <f>IF(BU$4="","",IF(COUNTIF(設定!$W$6:$W$40,DATE(設定!$C$2,設定!$D$2,23))&gt;0,"假",IF(INDEX(設定!$U$54:$AO$54,(WEEKDAY(DATE(設定!$C$2,設定!$D$2,23),2)-1)*3+3)=0,"休",COUNTIF(BU$6:BU$45,"匯"))))</f>
        <v/>
      </c>
      <c r="BV49" s="71">
        <f>IF(BV$4="","",IF(COUNTIF(設定!$W$6:$W$40,DATE(設定!$C$2,設定!$D$2,24))&gt;0,"假",IF(INDEX(設定!$U$54:$AO$54,(WEEKDAY(DATE(設定!$C$2,設定!$D$2,24),2)-1)*3+1)=0,"休",COUNTIF(BV$6:BV$45,"匯"))))</f>
        <v/>
      </c>
      <c r="BW49" s="72">
        <f>IF(BW$4="","",IF(COUNTIF(設定!$W$6:$W$40,DATE(設定!$C$2,設定!$D$2,24))&gt;0,"假",IF(INDEX(設定!$U$54:$AO$54,(WEEKDAY(DATE(設定!$C$2,設定!$D$2,24),2)-1)*3+2)=0,"休",COUNTIF(BW$6:BW$45,"匯"))))</f>
        <v/>
      </c>
      <c r="BX49" s="72">
        <f>IF(BX$4="","",IF(COUNTIF(設定!$W$6:$W$40,DATE(設定!$C$2,設定!$D$2,24))&gt;0,"假",IF(INDEX(設定!$U$54:$AO$54,(WEEKDAY(DATE(設定!$C$2,設定!$D$2,24),2)-1)*3+3)=0,"休",COUNTIF(BX$6:BX$45,"匯"))))</f>
        <v/>
      </c>
      <c r="BY49" s="71">
        <f>IF(BY$4="","",IF(COUNTIF(設定!$W$6:$W$40,DATE(設定!$C$2,設定!$D$2,25))&gt;0,"假",IF(INDEX(設定!$U$54:$AO$54,(WEEKDAY(DATE(設定!$C$2,設定!$D$2,25),2)-1)*3+1)=0,"休",COUNTIF(BY$6:BY$45,"匯"))))</f>
        <v/>
      </c>
      <c r="BZ49" s="72">
        <f>IF(BZ$4="","",IF(COUNTIF(設定!$W$6:$W$40,DATE(設定!$C$2,設定!$D$2,25))&gt;0,"假",IF(INDEX(設定!$U$54:$AO$54,(WEEKDAY(DATE(設定!$C$2,設定!$D$2,25),2)-1)*3+2)=0,"休",COUNTIF(BZ$6:BZ$45,"匯"))))</f>
        <v/>
      </c>
      <c r="CA49" s="72">
        <f>IF(CA$4="","",IF(COUNTIF(設定!$W$6:$W$40,DATE(設定!$C$2,設定!$D$2,25))&gt;0,"假",IF(INDEX(設定!$U$54:$AO$54,(WEEKDAY(DATE(設定!$C$2,設定!$D$2,25),2)-1)*3+3)=0,"休",COUNTIF(CA$6:CA$45,"匯"))))</f>
        <v/>
      </c>
      <c r="CB49" s="71">
        <f>IF(CB$4="","",IF(COUNTIF(設定!$W$6:$W$40,DATE(設定!$C$2,設定!$D$2,26))&gt;0,"假",IF(INDEX(設定!$U$54:$AO$54,(WEEKDAY(DATE(設定!$C$2,設定!$D$2,26),2)-1)*3+1)=0,"休",COUNTIF(CB$6:CB$45,"匯"))))</f>
        <v/>
      </c>
      <c r="CC49" s="72">
        <f>IF(CC$4="","",IF(COUNTIF(設定!$W$6:$W$40,DATE(設定!$C$2,設定!$D$2,26))&gt;0,"假",IF(INDEX(設定!$U$54:$AO$54,(WEEKDAY(DATE(設定!$C$2,設定!$D$2,26),2)-1)*3+2)=0,"休",COUNTIF(CC$6:CC$45,"匯"))))</f>
        <v/>
      </c>
      <c r="CD49" s="72">
        <f>IF(CD$4="","",IF(COUNTIF(設定!$W$6:$W$40,DATE(設定!$C$2,設定!$D$2,26))&gt;0,"假",IF(INDEX(設定!$U$54:$AO$54,(WEEKDAY(DATE(設定!$C$2,設定!$D$2,26),2)-1)*3+3)=0,"休",COUNTIF(CD$6:CD$45,"匯"))))</f>
        <v/>
      </c>
      <c r="CE49" s="71">
        <f>IF(CE$4="","",IF(COUNTIF(設定!$W$6:$W$40,DATE(設定!$C$2,設定!$D$2,27))&gt;0,"假",IF(INDEX(設定!$U$54:$AO$54,(WEEKDAY(DATE(設定!$C$2,設定!$D$2,27),2)-1)*3+1)=0,"休",COUNTIF(CE$6:CE$45,"匯"))))</f>
        <v/>
      </c>
      <c r="CF49" s="72">
        <f>IF(CF$4="","",IF(COUNTIF(設定!$W$6:$W$40,DATE(設定!$C$2,設定!$D$2,27))&gt;0,"假",IF(INDEX(設定!$U$54:$AO$54,(WEEKDAY(DATE(設定!$C$2,設定!$D$2,27),2)-1)*3+2)=0,"休",COUNTIF(CF$6:CF$45,"匯"))))</f>
        <v/>
      </c>
      <c r="CG49" s="72">
        <f>IF(CG$4="","",IF(COUNTIF(設定!$W$6:$W$40,DATE(設定!$C$2,設定!$D$2,27))&gt;0,"假",IF(INDEX(設定!$U$54:$AO$54,(WEEKDAY(DATE(設定!$C$2,設定!$D$2,27),2)-1)*3+3)=0,"休",COUNTIF(CG$6:CG$45,"匯"))))</f>
        <v/>
      </c>
      <c r="CH49" s="71">
        <f>IF(CH$4="","",IF(COUNTIF(設定!$W$6:$W$40,DATE(設定!$C$2,設定!$D$2,28))&gt;0,"假",IF(INDEX(設定!$U$54:$AO$54,(WEEKDAY(DATE(設定!$C$2,設定!$D$2,28),2)-1)*3+1)=0,"休",COUNTIF(CH$6:CH$45,"匯"))))</f>
        <v/>
      </c>
      <c r="CI49" s="72">
        <f>IF(CI$4="","",IF(COUNTIF(設定!$W$6:$W$40,DATE(設定!$C$2,設定!$D$2,28))&gt;0,"假",IF(INDEX(設定!$U$54:$AO$54,(WEEKDAY(DATE(設定!$C$2,設定!$D$2,28),2)-1)*3+2)=0,"休",COUNTIF(CI$6:CI$45,"匯"))))</f>
        <v/>
      </c>
      <c r="CJ49" s="72">
        <f>IF(CJ$4="","",IF(COUNTIF(設定!$W$6:$W$40,DATE(設定!$C$2,設定!$D$2,28))&gt;0,"假",IF(INDEX(設定!$U$54:$AO$54,(WEEKDAY(DATE(設定!$C$2,設定!$D$2,28),2)-1)*3+3)=0,"休",COUNTIF(CJ$6:CJ$45,"匯"))))</f>
        <v/>
      </c>
      <c r="CK49" s="71">
        <f>IF(CK$4="","",IF(COUNTIF(設定!$W$6:$W$40,DATE(設定!$C$2,設定!$D$2,29))&gt;0,"假",IF(INDEX(設定!$U$54:$AO$54,(WEEKDAY(DATE(設定!$C$2,設定!$D$2,29),2)-1)*3+1)=0,"休",COUNTIF(CK$6:CK$45,"匯"))))</f>
        <v/>
      </c>
      <c r="CL49" s="72">
        <f>IF(CL$4="","",IF(COUNTIF(設定!$W$6:$W$40,DATE(設定!$C$2,設定!$D$2,29))&gt;0,"假",IF(INDEX(設定!$U$54:$AO$54,(WEEKDAY(DATE(設定!$C$2,設定!$D$2,29),2)-1)*3+2)=0,"休",COUNTIF(CL$6:CL$45,"匯"))))</f>
        <v/>
      </c>
      <c r="CM49" s="72">
        <f>IF(CM$4="","",IF(COUNTIF(設定!$W$6:$W$40,DATE(設定!$C$2,設定!$D$2,29))&gt;0,"假",IF(INDEX(設定!$U$54:$AO$54,(WEEKDAY(DATE(設定!$C$2,設定!$D$2,29),2)-1)*3+3)=0,"休",COUNTIF(CM$6:CM$45,"匯"))))</f>
        <v/>
      </c>
      <c r="CN49" s="71">
        <f>IF(CN$4="","",IF(COUNTIF(設定!$W$6:$W$40,DATE(設定!$C$2,設定!$D$2,30))&gt;0,"假",IF(INDEX(設定!$U$54:$AO$54,(WEEKDAY(DATE(設定!$C$2,設定!$D$2,30),2)-1)*3+1)=0,"休",COUNTIF(CN$6:CN$45,"匯"))))</f>
        <v/>
      </c>
      <c r="CO49" s="72">
        <f>IF(CO$4="","",IF(COUNTIF(設定!$W$6:$W$40,DATE(設定!$C$2,設定!$D$2,30))&gt;0,"假",IF(INDEX(設定!$U$54:$AO$54,(WEEKDAY(DATE(設定!$C$2,設定!$D$2,30),2)-1)*3+2)=0,"休",COUNTIF(CO$6:CO$45,"匯"))))</f>
        <v/>
      </c>
      <c r="CP49" s="72">
        <f>IF(CP$4="","",IF(COUNTIF(設定!$W$6:$W$40,DATE(設定!$C$2,設定!$D$2,30))&gt;0,"假",IF(INDEX(設定!$U$54:$AO$54,(WEEKDAY(DATE(設定!$C$2,設定!$D$2,30),2)-1)*3+3)=0,"休",COUNTIF(CP$6:CP$45,"匯"))))</f>
        <v/>
      </c>
      <c r="CQ49" s="71">
        <f>IF(CQ$4="","",IF(COUNTIF(設定!$W$6:$W$40,DATE(設定!$C$2,設定!$D$2,31))&gt;0,"假",IF(INDEX(設定!$U$54:$AO$54,(WEEKDAY(DATE(設定!$C$2,設定!$D$2,31),2)-1)*3+1)=0,"休",COUNTIF(CQ$6:CQ$45,"匯"))))</f>
        <v/>
      </c>
      <c r="CR49" s="72">
        <f>IF(CR$4="","",IF(COUNTIF(設定!$W$6:$W$40,DATE(設定!$C$2,設定!$D$2,31))&gt;0,"假",IF(INDEX(設定!$U$54:$AO$54,(WEEKDAY(DATE(設定!$C$2,設定!$D$2,31),2)-1)*3+2)=0,"休",COUNTIF(CR$6:CR$45,"匯"))))</f>
        <v/>
      </c>
      <c r="CS49" s="72">
        <f>IF(CS$4="","",IF(COUNTIF(設定!$W$6:$W$40,DATE(設定!$C$2,設定!$D$2,31))&gt;0,"假",IF(INDEX(設定!$U$54:$AO$54,(WEEKDAY(DATE(設定!$C$2,設定!$D$2,31),2)-1)*3+3)=0,"休",COUNTIF(CS$6:CS$45,"匯"))))</f>
        <v/>
      </c>
    </row>
    <row r="50">
      <c r="A50" s="75" t="inlineStr">
        <is>
          <t>曜 晶曜</t>
        </is>
      </c>
      <c r="B50" s="8" t="n"/>
      <c r="C50" s="8" t="n"/>
      <c r="D50" s="9" t="n"/>
      <c r="E50" s="71">
        <f>IF(E$4="","",IF(COUNTIF(設定!$W$6:$W$40,DATE(設定!$C$2,設定!$D$2,1))&gt;0,"假",IF(INDEX(設定!$U$55:$AO$55,(WEEKDAY(DATE(設定!$C$2,設定!$D$2,1),2)-1)*3+1)=0,"休",COUNTIF(E$6:E$45,"曜"))))</f>
        <v/>
      </c>
      <c r="F50" s="72">
        <f>IF(F$4="","",IF(COUNTIF(設定!$W$6:$W$40,DATE(設定!$C$2,設定!$D$2,1))&gt;0,"假",IF(INDEX(設定!$U$55:$AO$55,(WEEKDAY(DATE(設定!$C$2,設定!$D$2,1),2)-1)*3+2)=0,"休",COUNTIF(F$6:F$45,"曜"))))</f>
        <v/>
      </c>
      <c r="G50" s="72">
        <f>IF(G$4="","",IF(COUNTIF(設定!$W$6:$W$40,DATE(設定!$C$2,設定!$D$2,1))&gt;0,"假",IF(INDEX(設定!$U$55:$AO$55,(WEEKDAY(DATE(設定!$C$2,設定!$D$2,1),2)-1)*3+3)=0,"休",COUNTIF(G$6:G$45,"曜"))))</f>
        <v/>
      </c>
      <c r="H50" s="71">
        <f>IF(H$4="","",IF(COUNTIF(設定!$W$6:$W$40,DATE(設定!$C$2,設定!$D$2,2))&gt;0,"假",IF(INDEX(設定!$U$55:$AO$55,(WEEKDAY(DATE(設定!$C$2,設定!$D$2,2),2)-1)*3+1)=0,"休",COUNTIF(H$6:H$45,"曜"))))</f>
        <v/>
      </c>
      <c r="I50" s="72">
        <f>IF(I$4="","",IF(COUNTIF(設定!$W$6:$W$40,DATE(設定!$C$2,設定!$D$2,2))&gt;0,"假",IF(INDEX(設定!$U$55:$AO$55,(WEEKDAY(DATE(設定!$C$2,設定!$D$2,2),2)-1)*3+2)=0,"休",COUNTIF(I$6:I$45,"曜"))))</f>
        <v/>
      </c>
      <c r="J50" s="72">
        <f>IF(J$4="","",IF(COUNTIF(設定!$W$6:$W$40,DATE(設定!$C$2,設定!$D$2,2))&gt;0,"假",IF(INDEX(設定!$U$55:$AO$55,(WEEKDAY(DATE(設定!$C$2,設定!$D$2,2),2)-1)*3+3)=0,"休",COUNTIF(J$6:J$45,"曜"))))</f>
        <v/>
      </c>
      <c r="K50" s="71">
        <f>IF(K$4="","",IF(COUNTIF(設定!$W$6:$W$40,DATE(設定!$C$2,設定!$D$2,3))&gt;0,"假",IF(INDEX(設定!$U$55:$AO$55,(WEEKDAY(DATE(設定!$C$2,設定!$D$2,3),2)-1)*3+1)=0,"休",COUNTIF(K$6:K$45,"曜"))))</f>
        <v/>
      </c>
      <c r="L50" s="72">
        <f>IF(L$4="","",IF(COUNTIF(設定!$W$6:$W$40,DATE(設定!$C$2,設定!$D$2,3))&gt;0,"假",IF(INDEX(設定!$U$55:$AO$55,(WEEKDAY(DATE(設定!$C$2,設定!$D$2,3),2)-1)*3+2)=0,"休",COUNTIF(L$6:L$45,"曜"))))</f>
        <v/>
      </c>
      <c r="M50" s="72">
        <f>IF(M$4="","",IF(COUNTIF(設定!$W$6:$W$40,DATE(設定!$C$2,設定!$D$2,3))&gt;0,"假",IF(INDEX(設定!$U$55:$AO$55,(WEEKDAY(DATE(設定!$C$2,設定!$D$2,3),2)-1)*3+3)=0,"休",COUNTIF(M$6:M$45,"曜"))))</f>
        <v/>
      </c>
      <c r="N50" s="71">
        <f>IF(N$4="","",IF(COUNTIF(設定!$W$6:$W$40,DATE(設定!$C$2,設定!$D$2,4))&gt;0,"假",IF(INDEX(設定!$U$55:$AO$55,(WEEKDAY(DATE(設定!$C$2,設定!$D$2,4),2)-1)*3+1)=0,"休",COUNTIF(N$6:N$45,"曜"))))</f>
        <v/>
      </c>
      <c r="O50" s="72">
        <f>IF(O$4="","",IF(COUNTIF(設定!$W$6:$W$40,DATE(設定!$C$2,設定!$D$2,4))&gt;0,"假",IF(INDEX(設定!$U$55:$AO$55,(WEEKDAY(DATE(設定!$C$2,設定!$D$2,4),2)-1)*3+2)=0,"休",COUNTIF(O$6:O$45,"曜"))))</f>
        <v/>
      </c>
      <c r="P50" s="72">
        <f>IF(P$4="","",IF(COUNTIF(設定!$W$6:$W$40,DATE(設定!$C$2,設定!$D$2,4))&gt;0,"假",IF(INDEX(設定!$U$55:$AO$55,(WEEKDAY(DATE(設定!$C$2,設定!$D$2,4),2)-1)*3+3)=0,"休",COUNTIF(P$6:P$45,"曜"))))</f>
        <v/>
      </c>
      <c r="Q50" s="71">
        <f>IF(Q$4="","",IF(COUNTIF(設定!$W$6:$W$40,DATE(設定!$C$2,設定!$D$2,5))&gt;0,"假",IF(INDEX(設定!$U$55:$AO$55,(WEEKDAY(DATE(設定!$C$2,設定!$D$2,5),2)-1)*3+1)=0,"休",COUNTIF(Q$6:Q$45,"曜"))))</f>
        <v/>
      </c>
      <c r="R50" s="72">
        <f>IF(R$4="","",IF(COUNTIF(設定!$W$6:$W$40,DATE(設定!$C$2,設定!$D$2,5))&gt;0,"假",IF(INDEX(設定!$U$55:$AO$55,(WEEKDAY(DATE(設定!$C$2,設定!$D$2,5),2)-1)*3+2)=0,"休",COUNTIF(R$6:R$45,"曜"))))</f>
        <v/>
      </c>
      <c r="S50" s="72">
        <f>IF(S$4="","",IF(COUNTIF(設定!$W$6:$W$40,DATE(設定!$C$2,設定!$D$2,5))&gt;0,"假",IF(INDEX(設定!$U$55:$AO$55,(WEEKDAY(DATE(設定!$C$2,設定!$D$2,5),2)-1)*3+3)=0,"休",COUNTIF(S$6:S$45,"曜"))))</f>
        <v/>
      </c>
      <c r="T50" s="71">
        <f>IF(T$4="","",IF(COUNTIF(設定!$W$6:$W$40,DATE(設定!$C$2,設定!$D$2,6))&gt;0,"假",IF(INDEX(設定!$U$55:$AO$55,(WEEKDAY(DATE(設定!$C$2,設定!$D$2,6),2)-1)*3+1)=0,"休",COUNTIF(T$6:T$45,"曜"))))</f>
        <v/>
      </c>
      <c r="U50" s="72">
        <f>IF(U$4="","",IF(COUNTIF(設定!$W$6:$W$40,DATE(設定!$C$2,設定!$D$2,6))&gt;0,"假",IF(INDEX(設定!$U$55:$AO$55,(WEEKDAY(DATE(設定!$C$2,設定!$D$2,6),2)-1)*3+2)=0,"休",COUNTIF(U$6:U$45,"曜"))))</f>
        <v/>
      </c>
      <c r="V50" s="72">
        <f>IF(V$4="","",IF(COUNTIF(設定!$W$6:$W$40,DATE(設定!$C$2,設定!$D$2,6))&gt;0,"假",IF(INDEX(設定!$U$55:$AO$55,(WEEKDAY(DATE(設定!$C$2,設定!$D$2,6),2)-1)*3+3)=0,"休",COUNTIF(V$6:V$45,"曜"))))</f>
        <v/>
      </c>
      <c r="W50" s="71">
        <f>IF(W$4="","",IF(COUNTIF(設定!$W$6:$W$40,DATE(設定!$C$2,設定!$D$2,7))&gt;0,"假",IF(INDEX(設定!$U$55:$AO$55,(WEEKDAY(DATE(設定!$C$2,設定!$D$2,7),2)-1)*3+1)=0,"休",COUNTIF(W$6:W$45,"曜"))))</f>
        <v/>
      </c>
      <c r="X50" s="72">
        <f>IF(X$4="","",IF(COUNTIF(設定!$W$6:$W$40,DATE(設定!$C$2,設定!$D$2,7))&gt;0,"假",IF(INDEX(設定!$U$55:$AO$55,(WEEKDAY(DATE(設定!$C$2,設定!$D$2,7),2)-1)*3+2)=0,"休",COUNTIF(X$6:X$45,"曜"))))</f>
        <v/>
      </c>
      <c r="Y50" s="72">
        <f>IF(Y$4="","",IF(COUNTIF(設定!$W$6:$W$40,DATE(設定!$C$2,設定!$D$2,7))&gt;0,"假",IF(INDEX(設定!$U$55:$AO$55,(WEEKDAY(DATE(設定!$C$2,設定!$D$2,7),2)-1)*3+3)=0,"休",COUNTIF(Y$6:Y$45,"曜"))))</f>
        <v/>
      </c>
      <c r="Z50" s="71">
        <f>IF(Z$4="","",IF(COUNTIF(設定!$W$6:$W$40,DATE(設定!$C$2,設定!$D$2,8))&gt;0,"假",IF(INDEX(設定!$U$55:$AO$55,(WEEKDAY(DATE(設定!$C$2,設定!$D$2,8),2)-1)*3+1)=0,"休",COUNTIF(Z$6:Z$45,"曜"))))</f>
        <v/>
      </c>
      <c r="AA50" s="72">
        <f>IF(AA$4="","",IF(COUNTIF(設定!$W$6:$W$40,DATE(設定!$C$2,設定!$D$2,8))&gt;0,"假",IF(INDEX(設定!$U$55:$AO$55,(WEEKDAY(DATE(設定!$C$2,設定!$D$2,8),2)-1)*3+2)=0,"休",COUNTIF(AA$6:AA$45,"曜"))))</f>
        <v/>
      </c>
      <c r="AB50" s="72">
        <f>IF(AB$4="","",IF(COUNTIF(設定!$W$6:$W$40,DATE(設定!$C$2,設定!$D$2,8))&gt;0,"假",IF(INDEX(設定!$U$55:$AO$55,(WEEKDAY(DATE(設定!$C$2,設定!$D$2,8),2)-1)*3+3)=0,"休",COUNTIF(AB$6:AB$45,"曜"))))</f>
        <v/>
      </c>
      <c r="AC50" s="71">
        <f>IF(AC$4="","",IF(COUNTIF(設定!$W$6:$W$40,DATE(設定!$C$2,設定!$D$2,9))&gt;0,"假",IF(INDEX(設定!$U$55:$AO$55,(WEEKDAY(DATE(設定!$C$2,設定!$D$2,9),2)-1)*3+1)=0,"休",COUNTIF(AC$6:AC$45,"曜"))))</f>
        <v/>
      </c>
      <c r="AD50" s="72">
        <f>IF(AD$4="","",IF(COUNTIF(設定!$W$6:$W$40,DATE(設定!$C$2,設定!$D$2,9))&gt;0,"假",IF(INDEX(設定!$U$55:$AO$55,(WEEKDAY(DATE(設定!$C$2,設定!$D$2,9),2)-1)*3+2)=0,"休",COUNTIF(AD$6:AD$45,"曜"))))</f>
        <v/>
      </c>
      <c r="AE50" s="72">
        <f>IF(AE$4="","",IF(COUNTIF(設定!$W$6:$W$40,DATE(設定!$C$2,設定!$D$2,9))&gt;0,"假",IF(INDEX(設定!$U$55:$AO$55,(WEEKDAY(DATE(設定!$C$2,設定!$D$2,9),2)-1)*3+3)=0,"休",COUNTIF(AE$6:AE$45,"曜"))))</f>
        <v/>
      </c>
      <c r="AF50" s="71">
        <f>IF(AF$4="","",IF(COUNTIF(設定!$W$6:$W$40,DATE(設定!$C$2,設定!$D$2,10))&gt;0,"假",IF(INDEX(設定!$U$55:$AO$55,(WEEKDAY(DATE(設定!$C$2,設定!$D$2,10),2)-1)*3+1)=0,"休",COUNTIF(AF$6:AF$45,"曜"))))</f>
        <v/>
      </c>
      <c r="AG50" s="72">
        <f>IF(AG$4="","",IF(COUNTIF(設定!$W$6:$W$40,DATE(設定!$C$2,設定!$D$2,10))&gt;0,"假",IF(INDEX(設定!$U$55:$AO$55,(WEEKDAY(DATE(設定!$C$2,設定!$D$2,10),2)-1)*3+2)=0,"休",COUNTIF(AG$6:AG$45,"曜"))))</f>
        <v/>
      </c>
      <c r="AH50" s="72">
        <f>IF(AH$4="","",IF(COUNTIF(設定!$W$6:$W$40,DATE(設定!$C$2,設定!$D$2,10))&gt;0,"假",IF(INDEX(設定!$U$55:$AO$55,(WEEKDAY(DATE(設定!$C$2,設定!$D$2,10),2)-1)*3+3)=0,"休",COUNTIF(AH$6:AH$45,"曜"))))</f>
        <v/>
      </c>
      <c r="AI50" s="71">
        <f>IF(AI$4="","",IF(COUNTIF(設定!$W$6:$W$40,DATE(設定!$C$2,設定!$D$2,11))&gt;0,"假",IF(INDEX(設定!$U$55:$AO$55,(WEEKDAY(DATE(設定!$C$2,設定!$D$2,11),2)-1)*3+1)=0,"休",COUNTIF(AI$6:AI$45,"曜"))))</f>
        <v/>
      </c>
      <c r="AJ50" s="72">
        <f>IF(AJ$4="","",IF(COUNTIF(設定!$W$6:$W$40,DATE(設定!$C$2,設定!$D$2,11))&gt;0,"假",IF(INDEX(設定!$U$55:$AO$55,(WEEKDAY(DATE(設定!$C$2,設定!$D$2,11),2)-1)*3+2)=0,"休",COUNTIF(AJ$6:AJ$45,"曜"))))</f>
        <v/>
      </c>
      <c r="AK50" s="72">
        <f>IF(AK$4="","",IF(COUNTIF(設定!$W$6:$W$40,DATE(設定!$C$2,設定!$D$2,11))&gt;0,"假",IF(INDEX(設定!$U$55:$AO$55,(WEEKDAY(DATE(設定!$C$2,設定!$D$2,11),2)-1)*3+3)=0,"休",COUNTIF(AK$6:AK$45,"曜"))))</f>
        <v/>
      </c>
      <c r="AL50" s="71">
        <f>IF(AL$4="","",IF(COUNTIF(設定!$W$6:$W$40,DATE(設定!$C$2,設定!$D$2,12))&gt;0,"假",IF(INDEX(設定!$U$55:$AO$55,(WEEKDAY(DATE(設定!$C$2,設定!$D$2,12),2)-1)*3+1)=0,"休",COUNTIF(AL$6:AL$45,"曜"))))</f>
        <v/>
      </c>
      <c r="AM50" s="72">
        <f>IF(AM$4="","",IF(COUNTIF(設定!$W$6:$W$40,DATE(設定!$C$2,設定!$D$2,12))&gt;0,"假",IF(INDEX(設定!$U$55:$AO$55,(WEEKDAY(DATE(設定!$C$2,設定!$D$2,12),2)-1)*3+2)=0,"休",COUNTIF(AM$6:AM$45,"曜"))))</f>
        <v/>
      </c>
      <c r="AN50" s="72">
        <f>IF(AN$4="","",IF(COUNTIF(設定!$W$6:$W$40,DATE(設定!$C$2,設定!$D$2,12))&gt;0,"假",IF(INDEX(設定!$U$55:$AO$55,(WEEKDAY(DATE(設定!$C$2,設定!$D$2,12),2)-1)*3+3)=0,"休",COUNTIF(AN$6:AN$45,"曜"))))</f>
        <v/>
      </c>
      <c r="AO50" s="71">
        <f>IF(AO$4="","",IF(COUNTIF(設定!$W$6:$W$40,DATE(設定!$C$2,設定!$D$2,13))&gt;0,"假",IF(INDEX(設定!$U$55:$AO$55,(WEEKDAY(DATE(設定!$C$2,設定!$D$2,13),2)-1)*3+1)=0,"休",COUNTIF(AO$6:AO$45,"曜"))))</f>
        <v/>
      </c>
      <c r="AP50" s="72">
        <f>IF(AP$4="","",IF(COUNTIF(設定!$W$6:$W$40,DATE(設定!$C$2,設定!$D$2,13))&gt;0,"假",IF(INDEX(設定!$U$55:$AO$55,(WEEKDAY(DATE(設定!$C$2,設定!$D$2,13),2)-1)*3+2)=0,"休",COUNTIF(AP$6:AP$45,"曜"))))</f>
        <v/>
      </c>
      <c r="AQ50" s="72">
        <f>IF(AQ$4="","",IF(COUNTIF(設定!$W$6:$W$40,DATE(設定!$C$2,設定!$D$2,13))&gt;0,"假",IF(INDEX(設定!$U$55:$AO$55,(WEEKDAY(DATE(設定!$C$2,設定!$D$2,13),2)-1)*3+3)=0,"休",COUNTIF(AQ$6:AQ$45,"曜"))))</f>
        <v/>
      </c>
      <c r="AR50" s="71">
        <f>IF(AR$4="","",IF(COUNTIF(設定!$W$6:$W$40,DATE(設定!$C$2,設定!$D$2,14))&gt;0,"假",IF(INDEX(設定!$U$55:$AO$55,(WEEKDAY(DATE(設定!$C$2,設定!$D$2,14),2)-1)*3+1)=0,"休",COUNTIF(AR$6:AR$45,"曜"))))</f>
        <v/>
      </c>
      <c r="AS50" s="72">
        <f>IF(AS$4="","",IF(COUNTIF(設定!$W$6:$W$40,DATE(設定!$C$2,設定!$D$2,14))&gt;0,"假",IF(INDEX(設定!$U$55:$AO$55,(WEEKDAY(DATE(設定!$C$2,設定!$D$2,14),2)-1)*3+2)=0,"休",COUNTIF(AS$6:AS$45,"曜"))))</f>
        <v/>
      </c>
      <c r="AT50" s="72">
        <f>IF(AT$4="","",IF(COUNTIF(設定!$W$6:$W$40,DATE(設定!$C$2,設定!$D$2,14))&gt;0,"假",IF(INDEX(設定!$U$55:$AO$55,(WEEKDAY(DATE(設定!$C$2,設定!$D$2,14),2)-1)*3+3)=0,"休",COUNTIF(AT$6:AT$45,"曜"))))</f>
        <v/>
      </c>
      <c r="AU50" s="71">
        <f>IF(AU$4="","",IF(COUNTIF(設定!$W$6:$W$40,DATE(設定!$C$2,設定!$D$2,15))&gt;0,"假",IF(INDEX(設定!$U$55:$AO$55,(WEEKDAY(DATE(設定!$C$2,設定!$D$2,15),2)-1)*3+1)=0,"休",COUNTIF(AU$6:AU$45,"曜"))))</f>
        <v/>
      </c>
      <c r="AV50" s="72">
        <f>IF(AV$4="","",IF(COUNTIF(設定!$W$6:$W$40,DATE(設定!$C$2,設定!$D$2,15))&gt;0,"假",IF(INDEX(設定!$U$55:$AO$55,(WEEKDAY(DATE(設定!$C$2,設定!$D$2,15),2)-1)*3+2)=0,"休",COUNTIF(AV$6:AV$45,"曜"))))</f>
        <v/>
      </c>
      <c r="AW50" s="72">
        <f>IF(AW$4="","",IF(COUNTIF(設定!$W$6:$W$40,DATE(設定!$C$2,設定!$D$2,15))&gt;0,"假",IF(INDEX(設定!$U$55:$AO$55,(WEEKDAY(DATE(設定!$C$2,設定!$D$2,15),2)-1)*3+3)=0,"休",COUNTIF(AW$6:AW$45,"曜"))))</f>
        <v/>
      </c>
      <c r="AX50" s="71">
        <f>IF(AX$4="","",IF(COUNTIF(設定!$W$6:$W$40,DATE(設定!$C$2,設定!$D$2,16))&gt;0,"假",IF(INDEX(設定!$U$55:$AO$55,(WEEKDAY(DATE(設定!$C$2,設定!$D$2,16),2)-1)*3+1)=0,"休",COUNTIF(AX$6:AX$45,"曜"))))</f>
        <v/>
      </c>
      <c r="AY50" s="72">
        <f>IF(AY$4="","",IF(COUNTIF(設定!$W$6:$W$40,DATE(設定!$C$2,設定!$D$2,16))&gt;0,"假",IF(INDEX(設定!$U$55:$AO$55,(WEEKDAY(DATE(設定!$C$2,設定!$D$2,16),2)-1)*3+2)=0,"休",COUNTIF(AY$6:AY$45,"曜"))))</f>
        <v/>
      </c>
      <c r="AZ50" s="72">
        <f>IF(AZ$4="","",IF(COUNTIF(設定!$W$6:$W$40,DATE(設定!$C$2,設定!$D$2,16))&gt;0,"假",IF(INDEX(設定!$U$55:$AO$55,(WEEKDAY(DATE(設定!$C$2,設定!$D$2,16),2)-1)*3+3)=0,"休",COUNTIF(AZ$6:AZ$45,"曜"))))</f>
        <v/>
      </c>
      <c r="BA50" s="71">
        <f>IF(BA$4="","",IF(COUNTIF(設定!$W$6:$W$40,DATE(設定!$C$2,設定!$D$2,17))&gt;0,"假",IF(INDEX(設定!$U$55:$AO$55,(WEEKDAY(DATE(設定!$C$2,設定!$D$2,17),2)-1)*3+1)=0,"休",COUNTIF(BA$6:BA$45,"曜"))))</f>
        <v/>
      </c>
      <c r="BB50" s="72">
        <f>IF(BB$4="","",IF(COUNTIF(設定!$W$6:$W$40,DATE(設定!$C$2,設定!$D$2,17))&gt;0,"假",IF(INDEX(設定!$U$55:$AO$55,(WEEKDAY(DATE(設定!$C$2,設定!$D$2,17),2)-1)*3+2)=0,"休",COUNTIF(BB$6:BB$45,"曜"))))</f>
        <v/>
      </c>
      <c r="BC50" s="72">
        <f>IF(BC$4="","",IF(COUNTIF(設定!$W$6:$W$40,DATE(設定!$C$2,設定!$D$2,17))&gt;0,"假",IF(INDEX(設定!$U$55:$AO$55,(WEEKDAY(DATE(設定!$C$2,設定!$D$2,17),2)-1)*3+3)=0,"休",COUNTIF(BC$6:BC$45,"曜"))))</f>
        <v/>
      </c>
      <c r="BD50" s="71">
        <f>IF(BD$4="","",IF(COUNTIF(設定!$W$6:$W$40,DATE(設定!$C$2,設定!$D$2,18))&gt;0,"假",IF(INDEX(設定!$U$55:$AO$55,(WEEKDAY(DATE(設定!$C$2,設定!$D$2,18),2)-1)*3+1)=0,"休",COUNTIF(BD$6:BD$45,"曜"))))</f>
        <v/>
      </c>
      <c r="BE50" s="72">
        <f>IF(BE$4="","",IF(COUNTIF(設定!$W$6:$W$40,DATE(設定!$C$2,設定!$D$2,18))&gt;0,"假",IF(INDEX(設定!$U$55:$AO$55,(WEEKDAY(DATE(設定!$C$2,設定!$D$2,18),2)-1)*3+2)=0,"休",COUNTIF(BE$6:BE$45,"曜"))))</f>
        <v/>
      </c>
      <c r="BF50" s="72">
        <f>IF(BF$4="","",IF(COUNTIF(設定!$W$6:$W$40,DATE(設定!$C$2,設定!$D$2,18))&gt;0,"假",IF(INDEX(設定!$U$55:$AO$55,(WEEKDAY(DATE(設定!$C$2,設定!$D$2,18),2)-1)*3+3)=0,"休",COUNTIF(BF$6:BF$45,"曜"))))</f>
        <v/>
      </c>
      <c r="BG50" s="71">
        <f>IF(BG$4="","",IF(COUNTIF(設定!$W$6:$W$40,DATE(設定!$C$2,設定!$D$2,19))&gt;0,"假",IF(INDEX(設定!$U$55:$AO$55,(WEEKDAY(DATE(設定!$C$2,設定!$D$2,19),2)-1)*3+1)=0,"休",COUNTIF(BG$6:BG$45,"曜"))))</f>
        <v/>
      </c>
      <c r="BH50" s="72">
        <f>IF(BH$4="","",IF(COUNTIF(設定!$W$6:$W$40,DATE(設定!$C$2,設定!$D$2,19))&gt;0,"假",IF(INDEX(設定!$U$55:$AO$55,(WEEKDAY(DATE(設定!$C$2,設定!$D$2,19),2)-1)*3+2)=0,"休",COUNTIF(BH$6:BH$45,"曜"))))</f>
        <v/>
      </c>
      <c r="BI50" s="72">
        <f>IF(BI$4="","",IF(COUNTIF(設定!$W$6:$W$40,DATE(設定!$C$2,設定!$D$2,19))&gt;0,"假",IF(INDEX(設定!$U$55:$AO$55,(WEEKDAY(DATE(設定!$C$2,設定!$D$2,19),2)-1)*3+3)=0,"休",COUNTIF(BI$6:BI$45,"曜"))))</f>
        <v/>
      </c>
      <c r="BJ50" s="71">
        <f>IF(BJ$4="","",IF(COUNTIF(設定!$W$6:$W$40,DATE(設定!$C$2,設定!$D$2,20))&gt;0,"假",IF(INDEX(設定!$U$55:$AO$55,(WEEKDAY(DATE(設定!$C$2,設定!$D$2,20),2)-1)*3+1)=0,"休",COUNTIF(BJ$6:BJ$45,"曜"))))</f>
        <v/>
      </c>
      <c r="BK50" s="72">
        <f>IF(BK$4="","",IF(COUNTIF(設定!$W$6:$W$40,DATE(設定!$C$2,設定!$D$2,20))&gt;0,"假",IF(INDEX(設定!$U$55:$AO$55,(WEEKDAY(DATE(設定!$C$2,設定!$D$2,20),2)-1)*3+2)=0,"休",COUNTIF(BK$6:BK$45,"曜"))))</f>
        <v/>
      </c>
      <c r="BL50" s="72">
        <f>IF(BL$4="","",IF(COUNTIF(設定!$W$6:$W$40,DATE(設定!$C$2,設定!$D$2,20))&gt;0,"假",IF(INDEX(設定!$U$55:$AO$55,(WEEKDAY(DATE(設定!$C$2,設定!$D$2,20),2)-1)*3+3)=0,"休",COUNTIF(BL$6:BL$45,"曜"))))</f>
        <v/>
      </c>
      <c r="BM50" s="71">
        <f>IF(BM$4="","",IF(COUNTIF(設定!$W$6:$W$40,DATE(設定!$C$2,設定!$D$2,21))&gt;0,"假",IF(INDEX(設定!$U$55:$AO$55,(WEEKDAY(DATE(設定!$C$2,設定!$D$2,21),2)-1)*3+1)=0,"休",COUNTIF(BM$6:BM$45,"曜"))))</f>
        <v/>
      </c>
      <c r="BN50" s="72">
        <f>IF(BN$4="","",IF(COUNTIF(設定!$W$6:$W$40,DATE(設定!$C$2,設定!$D$2,21))&gt;0,"假",IF(INDEX(設定!$U$55:$AO$55,(WEEKDAY(DATE(設定!$C$2,設定!$D$2,21),2)-1)*3+2)=0,"休",COUNTIF(BN$6:BN$45,"曜"))))</f>
        <v/>
      </c>
      <c r="BO50" s="72">
        <f>IF(BO$4="","",IF(COUNTIF(設定!$W$6:$W$40,DATE(設定!$C$2,設定!$D$2,21))&gt;0,"假",IF(INDEX(設定!$U$55:$AO$55,(WEEKDAY(DATE(設定!$C$2,設定!$D$2,21),2)-1)*3+3)=0,"休",COUNTIF(BO$6:BO$45,"曜"))))</f>
        <v/>
      </c>
      <c r="BP50" s="71">
        <f>IF(BP$4="","",IF(COUNTIF(設定!$W$6:$W$40,DATE(設定!$C$2,設定!$D$2,22))&gt;0,"假",IF(INDEX(設定!$U$55:$AO$55,(WEEKDAY(DATE(設定!$C$2,設定!$D$2,22),2)-1)*3+1)=0,"休",COUNTIF(BP$6:BP$45,"曜"))))</f>
        <v/>
      </c>
      <c r="BQ50" s="72">
        <f>IF(BQ$4="","",IF(COUNTIF(設定!$W$6:$W$40,DATE(設定!$C$2,設定!$D$2,22))&gt;0,"假",IF(INDEX(設定!$U$55:$AO$55,(WEEKDAY(DATE(設定!$C$2,設定!$D$2,22),2)-1)*3+2)=0,"休",COUNTIF(BQ$6:BQ$45,"曜"))))</f>
        <v/>
      </c>
      <c r="BR50" s="72">
        <f>IF(BR$4="","",IF(COUNTIF(設定!$W$6:$W$40,DATE(設定!$C$2,設定!$D$2,22))&gt;0,"假",IF(INDEX(設定!$U$55:$AO$55,(WEEKDAY(DATE(設定!$C$2,設定!$D$2,22),2)-1)*3+3)=0,"休",COUNTIF(BR$6:BR$45,"曜"))))</f>
        <v/>
      </c>
      <c r="BS50" s="71">
        <f>IF(BS$4="","",IF(COUNTIF(設定!$W$6:$W$40,DATE(設定!$C$2,設定!$D$2,23))&gt;0,"假",IF(INDEX(設定!$U$55:$AO$55,(WEEKDAY(DATE(設定!$C$2,設定!$D$2,23),2)-1)*3+1)=0,"休",COUNTIF(BS$6:BS$45,"曜"))))</f>
        <v/>
      </c>
      <c r="BT50" s="72">
        <f>IF(BT$4="","",IF(COUNTIF(設定!$W$6:$W$40,DATE(設定!$C$2,設定!$D$2,23))&gt;0,"假",IF(INDEX(設定!$U$55:$AO$55,(WEEKDAY(DATE(設定!$C$2,設定!$D$2,23),2)-1)*3+2)=0,"休",COUNTIF(BT$6:BT$45,"曜"))))</f>
        <v/>
      </c>
      <c r="BU50" s="72">
        <f>IF(BU$4="","",IF(COUNTIF(設定!$W$6:$W$40,DATE(設定!$C$2,設定!$D$2,23))&gt;0,"假",IF(INDEX(設定!$U$55:$AO$55,(WEEKDAY(DATE(設定!$C$2,設定!$D$2,23),2)-1)*3+3)=0,"休",COUNTIF(BU$6:BU$45,"曜"))))</f>
        <v/>
      </c>
      <c r="BV50" s="71">
        <f>IF(BV$4="","",IF(COUNTIF(設定!$W$6:$W$40,DATE(設定!$C$2,設定!$D$2,24))&gt;0,"假",IF(INDEX(設定!$U$55:$AO$55,(WEEKDAY(DATE(設定!$C$2,設定!$D$2,24),2)-1)*3+1)=0,"休",COUNTIF(BV$6:BV$45,"曜"))))</f>
        <v/>
      </c>
      <c r="BW50" s="72">
        <f>IF(BW$4="","",IF(COUNTIF(設定!$W$6:$W$40,DATE(設定!$C$2,設定!$D$2,24))&gt;0,"假",IF(INDEX(設定!$U$55:$AO$55,(WEEKDAY(DATE(設定!$C$2,設定!$D$2,24),2)-1)*3+2)=0,"休",COUNTIF(BW$6:BW$45,"曜"))))</f>
        <v/>
      </c>
      <c r="BX50" s="72">
        <f>IF(BX$4="","",IF(COUNTIF(設定!$W$6:$W$40,DATE(設定!$C$2,設定!$D$2,24))&gt;0,"假",IF(INDEX(設定!$U$55:$AO$55,(WEEKDAY(DATE(設定!$C$2,設定!$D$2,24),2)-1)*3+3)=0,"休",COUNTIF(BX$6:BX$45,"曜"))))</f>
        <v/>
      </c>
      <c r="BY50" s="71">
        <f>IF(BY$4="","",IF(COUNTIF(設定!$W$6:$W$40,DATE(設定!$C$2,設定!$D$2,25))&gt;0,"假",IF(INDEX(設定!$U$55:$AO$55,(WEEKDAY(DATE(設定!$C$2,設定!$D$2,25),2)-1)*3+1)=0,"休",COUNTIF(BY$6:BY$45,"曜"))))</f>
        <v/>
      </c>
      <c r="BZ50" s="72">
        <f>IF(BZ$4="","",IF(COUNTIF(設定!$W$6:$W$40,DATE(設定!$C$2,設定!$D$2,25))&gt;0,"假",IF(INDEX(設定!$U$55:$AO$55,(WEEKDAY(DATE(設定!$C$2,設定!$D$2,25),2)-1)*3+2)=0,"休",COUNTIF(BZ$6:BZ$45,"曜"))))</f>
        <v/>
      </c>
      <c r="CA50" s="72">
        <f>IF(CA$4="","",IF(COUNTIF(設定!$W$6:$W$40,DATE(設定!$C$2,設定!$D$2,25))&gt;0,"假",IF(INDEX(設定!$U$55:$AO$55,(WEEKDAY(DATE(設定!$C$2,設定!$D$2,25),2)-1)*3+3)=0,"休",COUNTIF(CA$6:CA$45,"曜"))))</f>
        <v/>
      </c>
      <c r="CB50" s="71">
        <f>IF(CB$4="","",IF(COUNTIF(設定!$W$6:$W$40,DATE(設定!$C$2,設定!$D$2,26))&gt;0,"假",IF(INDEX(設定!$U$55:$AO$55,(WEEKDAY(DATE(設定!$C$2,設定!$D$2,26),2)-1)*3+1)=0,"休",COUNTIF(CB$6:CB$45,"曜"))))</f>
        <v/>
      </c>
      <c r="CC50" s="72">
        <f>IF(CC$4="","",IF(COUNTIF(設定!$W$6:$W$40,DATE(設定!$C$2,設定!$D$2,26))&gt;0,"假",IF(INDEX(設定!$U$55:$AO$55,(WEEKDAY(DATE(設定!$C$2,設定!$D$2,26),2)-1)*3+2)=0,"休",COUNTIF(CC$6:CC$45,"曜"))))</f>
        <v/>
      </c>
      <c r="CD50" s="72">
        <f>IF(CD$4="","",IF(COUNTIF(設定!$W$6:$W$40,DATE(設定!$C$2,設定!$D$2,26))&gt;0,"假",IF(INDEX(設定!$U$55:$AO$55,(WEEKDAY(DATE(設定!$C$2,設定!$D$2,26),2)-1)*3+3)=0,"休",COUNTIF(CD$6:CD$45,"曜"))))</f>
        <v/>
      </c>
      <c r="CE50" s="71">
        <f>IF(CE$4="","",IF(COUNTIF(設定!$W$6:$W$40,DATE(設定!$C$2,設定!$D$2,27))&gt;0,"假",IF(INDEX(設定!$U$55:$AO$55,(WEEKDAY(DATE(設定!$C$2,設定!$D$2,27),2)-1)*3+1)=0,"休",COUNTIF(CE$6:CE$45,"曜"))))</f>
        <v/>
      </c>
      <c r="CF50" s="72">
        <f>IF(CF$4="","",IF(COUNTIF(設定!$W$6:$W$40,DATE(設定!$C$2,設定!$D$2,27))&gt;0,"假",IF(INDEX(設定!$U$55:$AO$55,(WEEKDAY(DATE(設定!$C$2,設定!$D$2,27),2)-1)*3+2)=0,"休",COUNTIF(CF$6:CF$45,"曜"))))</f>
        <v/>
      </c>
      <c r="CG50" s="72">
        <f>IF(CG$4="","",IF(COUNTIF(設定!$W$6:$W$40,DATE(設定!$C$2,設定!$D$2,27))&gt;0,"假",IF(INDEX(設定!$U$55:$AO$55,(WEEKDAY(DATE(設定!$C$2,設定!$D$2,27),2)-1)*3+3)=0,"休",COUNTIF(CG$6:CG$45,"曜"))))</f>
        <v/>
      </c>
      <c r="CH50" s="71">
        <f>IF(CH$4="","",IF(COUNTIF(設定!$W$6:$W$40,DATE(設定!$C$2,設定!$D$2,28))&gt;0,"假",IF(INDEX(設定!$U$55:$AO$55,(WEEKDAY(DATE(設定!$C$2,設定!$D$2,28),2)-1)*3+1)=0,"休",COUNTIF(CH$6:CH$45,"曜"))))</f>
        <v/>
      </c>
      <c r="CI50" s="72">
        <f>IF(CI$4="","",IF(COUNTIF(設定!$W$6:$W$40,DATE(設定!$C$2,設定!$D$2,28))&gt;0,"假",IF(INDEX(設定!$U$55:$AO$55,(WEEKDAY(DATE(設定!$C$2,設定!$D$2,28),2)-1)*3+2)=0,"休",COUNTIF(CI$6:CI$45,"曜"))))</f>
        <v/>
      </c>
      <c r="CJ50" s="72">
        <f>IF(CJ$4="","",IF(COUNTIF(設定!$W$6:$W$40,DATE(設定!$C$2,設定!$D$2,28))&gt;0,"假",IF(INDEX(設定!$U$55:$AO$55,(WEEKDAY(DATE(設定!$C$2,設定!$D$2,28),2)-1)*3+3)=0,"休",COUNTIF(CJ$6:CJ$45,"曜"))))</f>
        <v/>
      </c>
      <c r="CK50" s="71">
        <f>IF(CK$4="","",IF(COUNTIF(設定!$W$6:$W$40,DATE(設定!$C$2,設定!$D$2,29))&gt;0,"假",IF(INDEX(設定!$U$55:$AO$55,(WEEKDAY(DATE(設定!$C$2,設定!$D$2,29),2)-1)*3+1)=0,"休",COUNTIF(CK$6:CK$45,"曜"))))</f>
        <v/>
      </c>
      <c r="CL50" s="72">
        <f>IF(CL$4="","",IF(COUNTIF(設定!$W$6:$W$40,DATE(設定!$C$2,設定!$D$2,29))&gt;0,"假",IF(INDEX(設定!$U$55:$AO$55,(WEEKDAY(DATE(設定!$C$2,設定!$D$2,29),2)-1)*3+2)=0,"休",COUNTIF(CL$6:CL$45,"曜"))))</f>
        <v/>
      </c>
      <c r="CM50" s="72">
        <f>IF(CM$4="","",IF(COUNTIF(設定!$W$6:$W$40,DATE(設定!$C$2,設定!$D$2,29))&gt;0,"假",IF(INDEX(設定!$U$55:$AO$55,(WEEKDAY(DATE(設定!$C$2,設定!$D$2,29),2)-1)*3+3)=0,"休",COUNTIF(CM$6:CM$45,"曜"))))</f>
        <v/>
      </c>
      <c r="CN50" s="71">
        <f>IF(CN$4="","",IF(COUNTIF(設定!$W$6:$W$40,DATE(設定!$C$2,設定!$D$2,30))&gt;0,"假",IF(INDEX(設定!$U$55:$AO$55,(WEEKDAY(DATE(設定!$C$2,設定!$D$2,30),2)-1)*3+1)=0,"休",COUNTIF(CN$6:CN$45,"曜"))))</f>
        <v/>
      </c>
      <c r="CO50" s="72">
        <f>IF(CO$4="","",IF(COUNTIF(設定!$W$6:$W$40,DATE(設定!$C$2,設定!$D$2,30))&gt;0,"假",IF(INDEX(設定!$U$55:$AO$55,(WEEKDAY(DATE(設定!$C$2,設定!$D$2,30),2)-1)*3+2)=0,"休",COUNTIF(CO$6:CO$45,"曜"))))</f>
        <v/>
      </c>
      <c r="CP50" s="72">
        <f>IF(CP$4="","",IF(COUNTIF(設定!$W$6:$W$40,DATE(設定!$C$2,設定!$D$2,30))&gt;0,"假",IF(INDEX(設定!$U$55:$AO$55,(WEEKDAY(DATE(設定!$C$2,設定!$D$2,30),2)-1)*3+3)=0,"休",COUNTIF(CP$6:CP$45,"曜"))))</f>
        <v/>
      </c>
      <c r="CQ50" s="71">
        <f>IF(CQ$4="","",IF(COUNTIF(設定!$W$6:$W$40,DATE(設定!$C$2,設定!$D$2,31))&gt;0,"假",IF(INDEX(設定!$U$55:$AO$55,(WEEKDAY(DATE(設定!$C$2,設定!$D$2,31),2)-1)*3+1)=0,"休",COUNTIF(CQ$6:CQ$45,"曜"))))</f>
        <v/>
      </c>
      <c r="CR50" s="72">
        <f>IF(CR$4="","",IF(COUNTIF(設定!$W$6:$W$40,DATE(設定!$C$2,設定!$D$2,31))&gt;0,"假",IF(INDEX(設定!$U$55:$AO$55,(WEEKDAY(DATE(設定!$C$2,設定!$D$2,31),2)-1)*3+2)=0,"休",COUNTIF(CR$6:CR$45,"曜"))))</f>
        <v/>
      </c>
      <c r="CS50" s="72">
        <f>IF(CS$4="","",IF(COUNTIF(設定!$W$6:$W$40,DATE(設定!$C$2,設定!$D$2,31))&gt;0,"假",IF(INDEX(設定!$U$55:$AO$55,(WEEKDAY(DATE(設定!$C$2,設定!$D$2,31),2)-1)*3+3)=0,"休",COUNTIF(CS$6:CS$45,"曜"))))</f>
        <v/>
      </c>
    </row>
    <row r="51">
      <c r="A51" s="76" t="inlineStr">
        <is>
          <t>寶 寶貝牙</t>
        </is>
      </c>
      <c r="B51" s="8" t="n"/>
      <c r="C51" s="8" t="n"/>
      <c r="D51" s="9" t="n"/>
      <c r="E51" s="71">
        <f>IF(E$4="","",IF(COUNTIF(設定!$W$6:$W$40,DATE(設定!$C$2,設定!$D$2,1))&gt;0,"假",IF(INDEX(設定!$U$56:$AO$56,(WEEKDAY(DATE(設定!$C$2,設定!$D$2,1),2)-1)*3+1)=0,"休",COUNTIF(E$6:E$45,"寶"))))</f>
        <v/>
      </c>
      <c r="F51" s="72">
        <f>IF(F$4="","",IF(COUNTIF(設定!$W$6:$W$40,DATE(設定!$C$2,設定!$D$2,1))&gt;0,"假",IF(INDEX(設定!$U$56:$AO$56,(WEEKDAY(DATE(設定!$C$2,設定!$D$2,1),2)-1)*3+2)=0,"休",COUNTIF(F$6:F$45,"寶"))))</f>
        <v/>
      </c>
      <c r="G51" s="72">
        <f>IF(G$4="","",IF(COUNTIF(設定!$W$6:$W$40,DATE(設定!$C$2,設定!$D$2,1))&gt;0,"假",IF(INDEX(設定!$U$56:$AO$56,(WEEKDAY(DATE(設定!$C$2,設定!$D$2,1),2)-1)*3+3)=0,"休",COUNTIF(G$6:G$45,"寶"))))</f>
        <v/>
      </c>
      <c r="H51" s="71">
        <f>IF(H$4="","",IF(COUNTIF(設定!$W$6:$W$40,DATE(設定!$C$2,設定!$D$2,2))&gt;0,"假",IF(INDEX(設定!$U$56:$AO$56,(WEEKDAY(DATE(設定!$C$2,設定!$D$2,2),2)-1)*3+1)=0,"休",COUNTIF(H$6:H$45,"寶"))))</f>
        <v/>
      </c>
      <c r="I51" s="72">
        <f>IF(I$4="","",IF(COUNTIF(設定!$W$6:$W$40,DATE(設定!$C$2,設定!$D$2,2))&gt;0,"假",IF(INDEX(設定!$U$56:$AO$56,(WEEKDAY(DATE(設定!$C$2,設定!$D$2,2),2)-1)*3+2)=0,"休",COUNTIF(I$6:I$45,"寶"))))</f>
        <v/>
      </c>
      <c r="J51" s="72">
        <f>IF(J$4="","",IF(COUNTIF(設定!$W$6:$W$40,DATE(設定!$C$2,設定!$D$2,2))&gt;0,"假",IF(INDEX(設定!$U$56:$AO$56,(WEEKDAY(DATE(設定!$C$2,設定!$D$2,2),2)-1)*3+3)=0,"休",COUNTIF(J$6:J$45,"寶"))))</f>
        <v/>
      </c>
      <c r="K51" s="71">
        <f>IF(K$4="","",IF(COUNTIF(設定!$W$6:$W$40,DATE(設定!$C$2,設定!$D$2,3))&gt;0,"假",IF(INDEX(設定!$U$56:$AO$56,(WEEKDAY(DATE(設定!$C$2,設定!$D$2,3),2)-1)*3+1)=0,"休",COUNTIF(K$6:K$45,"寶"))))</f>
        <v/>
      </c>
      <c r="L51" s="72">
        <f>IF(L$4="","",IF(COUNTIF(設定!$W$6:$W$40,DATE(設定!$C$2,設定!$D$2,3))&gt;0,"假",IF(INDEX(設定!$U$56:$AO$56,(WEEKDAY(DATE(設定!$C$2,設定!$D$2,3),2)-1)*3+2)=0,"休",COUNTIF(L$6:L$45,"寶"))))</f>
        <v/>
      </c>
      <c r="M51" s="72">
        <f>IF(M$4="","",IF(COUNTIF(設定!$W$6:$W$40,DATE(設定!$C$2,設定!$D$2,3))&gt;0,"假",IF(INDEX(設定!$U$56:$AO$56,(WEEKDAY(DATE(設定!$C$2,設定!$D$2,3),2)-1)*3+3)=0,"休",COUNTIF(M$6:M$45,"寶"))))</f>
        <v/>
      </c>
      <c r="N51" s="71">
        <f>IF(N$4="","",IF(COUNTIF(設定!$W$6:$W$40,DATE(設定!$C$2,設定!$D$2,4))&gt;0,"假",IF(INDEX(設定!$U$56:$AO$56,(WEEKDAY(DATE(設定!$C$2,設定!$D$2,4),2)-1)*3+1)=0,"休",COUNTIF(N$6:N$45,"寶"))))</f>
        <v/>
      </c>
      <c r="O51" s="72">
        <f>IF(O$4="","",IF(COUNTIF(設定!$W$6:$W$40,DATE(設定!$C$2,設定!$D$2,4))&gt;0,"假",IF(INDEX(設定!$U$56:$AO$56,(WEEKDAY(DATE(設定!$C$2,設定!$D$2,4),2)-1)*3+2)=0,"休",COUNTIF(O$6:O$45,"寶"))))</f>
        <v/>
      </c>
      <c r="P51" s="72">
        <f>IF(P$4="","",IF(COUNTIF(設定!$W$6:$W$40,DATE(設定!$C$2,設定!$D$2,4))&gt;0,"假",IF(INDEX(設定!$U$56:$AO$56,(WEEKDAY(DATE(設定!$C$2,設定!$D$2,4),2)-1)*3+3)=0,"休",COUNTIF(P$6:P$45,"寶"))))</f>
        <v/>
      </c>
      <c r="Q51" s="71">
        <f>IF(Q$4="","",IF(COUNTIF(設定!$W$6:$W$40,DATE(設定!$C$2,設定!$D$2,5))&gt;0,"假",IF(INDEX(設定!$U$56:$AO$56,(WEEKDAY(DATE(設定!$C$2,設定!$D$2,5),2)-1)*3+1)=0,"休",COUNTIF(Q$6:Q$45,"寶"))))</f>
        <v/>
      </c>
      <c r="R51" s="72">
        <f>IF(R$4="","",IF(COUNTIF(設定!$W$6:$W$40,DATE(設定!$C$2,設定!$D$2,5))&gt;0,"假",IF(INDEX(設定!$U$56:$AO$56,(WEEKDAY(DATE(設定!$C$2,設定!$D$2,5),2)-1)*3+2)=0,"休",COUNTIF(R$6:R$45,"寶"))))</f>
        <v/>
      </c>
      <c r="S51" s="72">
        <f>IF(S$4="","",IF(COUNTIF(設定!$W$6:$W$40,DATE(設定!$C$2,設定!$D$2,5))&gt;0,"假",IF(INDEX(設定!$U$56:$AO$56,(WEEKDAY(DATE(設定!$C$2,設定!$D$2,5),2)-1)*3+3)=0,"休",COUNTIF(S$6:S$45,"寶"))))</f>
        <v/>
      </c>
      <c r="T51" s="71">
        <f>IF(T$4="","",IF(COUNTIF(設定!$W$6:$W$40,DATE(設定!$C$2,設定!$D$2,6))&gt;0,"假",IF(INDEX(設定!$U$56:$AO$56,(WEEKDAY(DATE(設定!$C$2,設定!$D$2,6),2)-1)*3+1)=0,"休",COUNTIF(T$6:T$45,"寶"))))</f>
        <v/>
      </c>
      <c r="U51" s="72">
        <f>IF(U$4="","",IF(COUNTIF(設定!$W$6:$W$40,DATE(設定!$C$2,設定!$D$2,6))&gt;0,"假",IF(INDEX(設定!$U$56:$AO$56,(WEEKDAY(DATE(設定!$C$2,設定!$D$2,6),2)-1)*3+2)=0,"休",COUNTIF(U$6:U$45,"寶"))))</f>
        <v/>
      </c>
      <c r="V51" s="72">
        <f>IF(V$4="","",IF(COUNTIF(設定!$W$6:$W$40,DATE(設定!$C$2,設定!$D$2,6))&gt;0,"假",IF(INDEX(設定!$U$56:$AO$56,(WEEKDAY(DATE(設定!$C$2,設定!$D$2,6),2)-1)*3+3)=0,"休",COUNTIF(V$6:V$45,"寶"))))</f>
        <v/>
      </c>
      <c r="W51" s="71">
        <f>IF(W$4="","",IF(COUNTIF(設定!$W$6:$W$40,DATE(設定!$C$2,設定!$D$2,7))&gt;0,"假",IF(INDEX(設定!$U$56:$AO$56,(WEEKDAY(DATE(設定!$C$2,設定!$D$2,7),2)-1)*3+1)=0,"休",COUNTIF(W$6:W$45,"寶"))))</f>
        <v/>
      </c>
      <c r="X51" s="72">
        <f>IF(X$4="","",IF(COUNTIF(設定!$W$6:$W$40,DATE(設定!$C$2,設定!$D$2,7))&gt;0,"假",IF(INDEX(設定!$U$56:$AO$56,(WEEKDAY(DATE(設定!$C$2,設定!$D$2,7),2)-1)*3+2)=0,"休",COUNTIF(X$6:X$45,"寶"))))</f>
        <v/>
      </c>
      <c r="Y51" s="72">
        <f>IF(Y$4="","",IF(COUNTIF(設定!$W$6:$W$40,DATE(設定!$C$2,設定!$D$2,7))&gt;0,"假",IF(INDEX(設定!$U$56:$AO$56,(WEEKDAY(DATE(設定!$C$2,設定!$D$2,7),2)-1)*3+3)=0,"休",COUNTIF(Y$6:Y$45,"寶"))))</f>
        <v/>
      </c>
      <c r="Z51" s="71">
        <f>IF(Z$4="","",IF(COUNTIF(設定!$W$6:$W$40,DATE(設定!$C$2,設定!$D$2,8))&gt;0,"假",IF(INDEX(設定!$U$56:$AO$56,(WEEKDAY(DATE(設定!$C$2,設定!$D$2,8),2)-1)*3+1)=0,"休",COUNTIF(Z$6:Z$45,"寶"))))</f>
        <v/>
      </c>
      <c r="AA51" s="72">
        <f>IF(AA$4="","",IF(COUNTIF(設定!$W$6:$W$40,DATE(設定!$C$2,設定!$D$2,8))&gt;0,"假",IF(INDEX(設定!$U$56:$AO$56,(WEEKDAY(DATE(設定!$C$2,設定!$D$2,8),2)-1)*3+2)=0,"休",COUNTIF(AA$6:AA$45,"寶"))))</f>
        <v/>
      </c>
      <c r="AB51" s="72">
        <f>IF(AB$4="","",IF(COUNTIF(設定!$W$6:$W$40,DATE(設定!$C$2,設定!$D$2,8))&gt;0,"假",IF(INDEX(設定!$U$56:$AO$56,(WEEKDAY(DATE(設定!$C$2,設定!$D$2,8),2)-1)*3+3)=0,"休",COUNTIF(AB$6:AB$45,"寶"))))</f>
        <v/>
      </c>
      <c r="AC51" s="71">
        <f>IF(AC$4="","",IF(COUNTIF(設定!$W$6:$W$40,DATE(設定!$C$2,設定!$D$2,9))&gt;0,"假",IF(INDEX(設定!$U$56:$AO$56,(WEEKDAY(DATE(設定!$C$2,設定!$D$2,9),2)-1)*3+1)=0,"休",COUNTIF(AC$6:AC$45,"寶"))))</f>
        <v/>
      </c>
      <c r="AD51" s="72">
        <f>IF(AD$4="","",IF(COUNTIF(設定!$W$6:$W$40,DATE(設定!$C$2,設定!$D$2,9))&gt;0,"假",IF(INDEX(設定!$U$56:$AO$56,(WEEKDAY(DATE(設定!$C$2,設定!$D$2,9),2)-1)*3+2)=0,"休",COUNTIF(AD$6:AD$45,"寶"))))</f>
        <v/>
      </c>
      <c r="AE51" s="72">
        <f>IF(AE$4="","",IF(COUNTIF(設定!$W$6:$W$40,DATE(設定!$C$2,設定!$D$2,9))&gt;0,"假",IF(INDEX(設定!$U$56:$AO$56,(WEEKDAY(DATE(設定!$C$2,設定!$D$2,9),2)-1)*3+3)=0,"休",COUNTIF(AE$6:AE$45,"寶"))))</f>
        <v/>
      </c>
      <c r="AF51" s="71">
        <f>IF(AF$4="","",IF(COUNTIF(設定!$W$6:$W$40,DATE(設定!$C$2,設定!$D$2,10))&gt;0,"假",IF(INDEX(設定!$U$56:$AO$56,(WEEKDAY(DATE(設定!$C$2,設定!$D$2,10),2)-1)*3+1)=0,"休",COUNTIF(AF$6:AF$45,"寶"))))</f>
        <v/>
      </c>
      <c r="AG51" s="72">
        <f>IF(AG$4="","",IF(COUNTIF(設定!$W$6:$W$40,DATE(設定!$C$2,設定!$D$2,10))&gt;0,"假",IF(INDEX(設定!$U$56:$AO$56,(WEEKDAY(DATE(設定!$C$2,設定!$D$2,10),2)-1)*3+2)=0,"休",COUNTIF(AG$6:AG$45,"寶"))))</f>
        <v/>
      </c>
      <c r="AH51" s="72">
        <f>IF(AH$4="","",IF(COUNTIF(設定!$W$6:$W$40,DATE(設定!$C$2,設定!$D$2,10))&gt;0,"假",IF(INDEX(設定!$U$56:$AO$56,(WEEKDAY(DATE(設定!$C$2,設定!$D$2,10),2)-1)*3+3)=0,"休",COUNTIF(AH$6:AH$45,"寶"))))</f>
        <v/>
      </c>
      <c r="AI51" s="71">
        <f>IF(AI$4="","",IF(COUNTIF(設定!$W$6:$W$40,DATE(設定!$C$2,設定!$D$2,11))&gt;0,"假",IF(INDEX(設定!$U$56:$AO$56,(WEEKDAY(DATE(設定!$C$2,設定!$D$2,11),2)-1)*3+1)=0,"休",COUNTIF(AI$6:AI$45,"寶"))))</f>
        <v/>
      </c>
      <c r="AJ51" s="72">
        <f>IF(AJ$4="","",IF(COUNTIF(設定!$W$6:$W$40,DATE(設定!$C$2,設定!$D$2,11))&gt;0,"假",IF(INDEX(設定!$U$56:$AO$56,(WEEKDAY(DATE(設定!$C$2,設定!$D$2,11),2)-1)*3+2)=0,"休",COUNTIF(AJ$6:AJ$45,"寶"))))</f>
        <v/>
      </c>
      <c r="AK51" s="72">
        <f>IF(AK$4="","",IF(COUNTIF(設定!$W$6:$W$40,DATE(設定!$C$2,設定!$D$2,11))&gt;0,"假",IF(INDEX(設定!$U$56:$AO$56,(WEEKDAY(DATE(設定!$C$2,設定!$D$2,11),2)-1)*3+3)=0,"休",COUNTIF(AK$6:AK$45,"寶"))))</f>
        <v/>
      </c>
      <c r="AL51" s="71">
        <f>IF(AL$4="","",IF(COUNTIF(設定!$W$6:$W$40,DATE(設定!$C$2,設定!$D$2,12))&gt;0,"假",IF(INDEX(設定!$U$56:$AO$56,(WEEKDAY(DATE(設定!$C$2,設定!$D$2,12),2)-1)*3+1)=0,"休",COUNTIF(AL$6:AL$45,"寶"))))</f>
        <v/>
      </c>
      <c r="AM51" s="72">
        <f>IF(AM$4="","",IF(COUNTIF(設定!$W$6:$W$40,DATE(設定!$C$2,設定!$D$2,12))&gt;0,"假",IF(INDEX(設定!$U$56:$AO$56,(WEEKDAY(DATE(設定!$C$2,設定!$D$2,12),2)-1)*3+2)=0,"休",COUNTIF(AM$6:AM$45,"寶"))))</f>
        <v/>
      </c>
      <c r="AN51" s="72">
        <f>IF(AN$4="","",IF(COUNTIF(設定!$W$6:$W$40,DATE(設定!$C$2,設定!$D$2,12))&gt;0,"假",IF(INDEX(設定!$U$56:$AO$56,(WEEKDAY(DATE(設定!$C$2,設定!$D$2,12),2)-1)*3+3)=0,"休",COUNTIF(AN$6:AN$45,"寶"))))</f>
        <v/>
      </c>
      <c r="AO51" s="71">
        <f>IF(AO$4="","",IF(COUNTIF(設定!$W$6:$W$40,DATE(設定!$C$2,設定!$D$2,13))&gt;0,"假",IF(INDEX(設定!$U$56:$AO$56,(WEEKDAY(DATE(設定!$C$2,設定!$D$2,13),2)-1)*3+1)=0,"休",COUNTIF(AO$6:AO$45,"寶"))))</f>
        <v/>
      </c>
      <c r="AP51" s="72">
        <f>IF(AP$4="","",IF(COUNTIF(設定!$W$6:$W$40,DATE(設定!$C$2,設定!$D$2,13))&gt;0,"假",IF(INDEX(設定!$U$56:$AO$56,(WEEKDAY(DATE(設定!$C$2,設定!$D$2,13),2)-1)*3+2)=0,"休",COUNTIF(AP$6:AP$45,"寶"))))</f>
        <v/>
      </c>
      <c r="AQ51" s="72">
        <f>IF(AQ$4="","",IF(COUNTIF(設定!$W$6:$W$40,DATE(設定!$C$2,設定!$D$2,13))&gt;0,"假",IF(INDEX(設定!$U$56:$AO$56,(WEEKDAY(DATE(設定!$C$2,設定!$D$2,13),2)-1)*3+3)=0,"休",COUNTIF(AQ$6:AQ$45,"寶"))))</f>
        <v/>
      </c>
      <c r="AR51" s="71">
        <f>IF(AR$4="","",IF(COUNTIF(設定!$W$6:$W$40,DATE(設定!$C$2,設定!$D$2,14))&gt;0,"假",IF(INDEX(設定!$U$56:$AO$56,(WEEKDAY(DATE(設定!$C$2,設定!$D$2,14),2)-1)*3+1)=0,"休",COUNTIF(AR$6:AR$45,"寶"))))</f>
        <v/>
      </c>
      <c r="AS51" s="72">
        <f>IF(AS$4="","",IF(COUNTIF(設定!$W$6:$W$40,DATE(設定!$C$2,設定!$D$2,14))&gt;0,"假",IF(INDEX(設定!$U$56:$AO$56,(WEEKDAY(DATE(設定!$C$2,設定!$D$2,14),2)-1)*3+2)=0,"休",COUNTIF(AS$6:AS$45,"寶"))))</f>
        <v/>
      </c>
      <c r="AT51" s="72">
        <f>IF(AT$4="","",IF(COUNTIF(設定!$W$6:$W$40,DATE(設定!$C$2,設定!$D$2,14))&gt;0,"假",IF(INDEX(設定!$U$56:$AO$56,(WEEKDAY(DATE(設定!$C$2,設定!$D$2,14),2)-1)*3+3)=0,"休",COUNTIF(AT$6:AT$45,"寶"))))</f>
        <v/>
      </c>
      <c r="AU51" s="71">
        <f>IF(AU$4="","",IF(COUNTIF(設定!$W$6:$W$40,DATE(設定!$C$2,設定!$D$2,15))&gt;0,"假",IF(INDEX(設定!$U$56:$AO$56,(WEEKDAY(DATE(設定!$C$2,設定!$D$2,15),2)-1)*3+1)=0,"休",COUNTIF(AU$6:AU$45,"寶"))))</f>
        <v/>
      </c>
      <c r="AV51" s="72">
        <f>IF(AV$4="","",IF(COUNTIF(設定!$W$6:$W$40,DATE(設定!$C$2,設定!$D$2,15))&gt;0,"假",IF(INDEX(設定!$U$56:$AO$56,(WEEKDAY(DATE(設定!$C$2,設定!$D$2,15),2)-1)*3+2)=0,"休",COUNTIF(AV$6:AV$45,"寶"))))</f>
        <v/>
      </c>
      <c r="AW51" s="72">
        <f>IF(AW$4="","",IF(COUNTIF(設定!$W$6:$W$40,DATE(設定!$C$2,設定!$D$2,15))&gt;0,"假",IF(INDEX(設定!$U$56:$AO$56,(WEEKDAY(DATE(設定!$C$2,設定!$D$2,15),2)-1)*3+3)=0,"休",COUNTIF(AW$6:AW$45,"寶"))))</f>
        <v/>
      </c>
      <c r="AX51" s="71">
        <f>IF(AX$4="","",IF(COUNTIF(設定!$W$6:$W$40,DATE(設定!$C$2,設定!$D$2,16))&gt;0,"假",IF(INDEX(設定!$U$56:$AO$56,(WEEKDAY(DATE(設定!$C$2,設定!$D$2,16),2)-1)*3+1)=0,"休",COUNTIF(AX$6:AX$45,"寶"))))</f>
        <v/>
      </c>
      <c r="AY51" s="72">
        <f>IF(AY$4="","",IF(COUNTIF(設定!$W$6:$W$40,DATE(設定!$C$2,設定!$D$2,16))&gt;0,"假",IF(INDEX(設定!$U$56:$AO$56,(WEEKDAY(DATE(設定!$C$2,設定!$D$2,16),2)-1)*3+2)=0,"休",COUNTIF(AY$6:AY$45,"寶"))))</f>
        <v/>
      </c>
      <c r="AZ51" s="72">
        <f>IF(AZ$4="","",IF(COUNTIF(設定!$W$6:$W$40,DATE(設定!$C$2,設定!$D$2,16))&gt;0,"假",IF(INDEX(設定!$U$56:$AO$56,(WEEKDAY(DATE(設定!$C$2,設定!$D$2,16),2)-1)*3+3)=0,"休",COUNTIF(AZ$6:AZ$45,"寶"))))</f>
        <v/>
      </c>
      <c r="BA51" s="71">
        <f>IF(BA$4="","",IF(COUNTIF(設定!$W$6:$W$40,DATE(設定!$C$2,設定!$D$2,17))&gt;0,"假",IF(INDEX(設定!$U$56:$AO$56,(WEEKDAY(DATE(設定!$C$2,設定!$D$2,17),2)-1)*3+1)=0,"休",COUNTIF(BA$6:BA$45,"寶"))))</f>
        <v/>
      </c>
      <c r="BB51" s="72">
        <f>IF(BB$4="","",IF(COUNTIF(設定!$W$6:$W$40,DATE(設定!$C$2,設定!$D$2,17))&gt;0,"假",IF(INDEX(設定!$U$56:$AO$56,(WEEKDAY(DATE(設定!$C$2,設定!$D$2,17),2)-1)*3+2)=0,"休",COUNTIF(BB$6:BB$45,"寶"))))</f>
        <v/>
      </c>
      <c r="BC51" s="72">
        <f>IF(BC$4="","",IF(COUNTIF(設定!$W$6:$W$40,DATE(設定!$C$2,設定!$D$2,17))&gt;0,"假",IF(INDEX(設定!$U$56:$AO$56,(WEEKDAY(DATE(設定!$C$2,設定!$D$2,17),2)-1)*3+3)=0,"休",COUNTIF(BC$6:BC$45,"寶"))))</f>
        <v/>
      </c>
      <c r="BD51" s="71">
        <f>IF(BD$4="","",IF(COUNTIF(設定!$W$6:$W$40,DATE(設定!$C$2,設定!$D$2,18))&gt;0,"假",IF(INDEX(設定!$U$56:$AO$56,(WEEKDAY(DATE(設定!$C$2,設定!$D$2,18),2)-1)*3+1)=0,"休",COUNTIF(BD$6:BD$45,"寶"))))</f>
        <v/>
      </c>
      <c r="BE51" s="72">
        <f>IF(BE$4="","",IF(COUNTIF(設定!$W$6:$W$40,DATE(設定!$C$2,設定!$D$2,18))&gt;0,"假",IF(INDEX(設定!$U$56:$AO$56,(WEEKDAY(DATE(設定!$C$2,設定!$D$2,18),2)-1)*3+2)=0,"休",COUNTIF(BE$6:BE$45,"寶"))))</f>
        <v/>
      </c>
      <c r="BF51" s="72">
        <f>IF(BF$4="","",IF(COUNTIF(設定!$W$6:$W$40,DATE(設定!$C$2,設定!$D$2,18))&gt;0,"假",IF(INDEX(設定!$U$56:$AO$56,(WEEKDAY(DATE(設定!$C$2,設定!$D$2,18),2)-1)*3+3)=0,"休",COUNTIF(BF$6:BF$45,"寶"))))</f>
        <v/>
      </c>
      <c r="BG51" s="71">
        <f>IF(BG$4="","",IF(COUNTIF(設定!$W$6:$W$40,DATE(設定!$C$2,設定!$D$2,19))&gt;0,"假",IF(INDEX(設定!$U$56:$AO$56,(WEEKDAY(DATE(設定!$C$2,設定!$D$2,19),2)-1)*3+1)=0,"休",COUNTIF(BG$6:BG$45,"寶"))))</f>
        <v/>
      </c>
      <c r="BH51" s="72">
        <f>IF(BH$4="","",IF(COUNTIF(設定!$W$6:$W$40,DATE(設定!$C$2,設定!$D$2,19))&gt;0,"假",IF(INDEX(設定!$U$56:$AO$56,(WEEKDAY(DATE(設定!$C$2,設定!$D$2,19),2)-1)*3+2)=0,"休",COUNTIF(BH$6:BH$45,"寶"))))</f>
        <v/>
      </c>
      <c r="BI51" s="72">
        <f>IF(BI$4="","",IF(COUNTIF(設定!$W$6:$W$40,DATE(設定!$C$2,設定!$D$2,19))&gt;0,"假",IF(INDEX(設定!$U$56:$AO$56,(WEEKDAY(DATE(設定!$C$2,設定!$D$2,19),2)-1)*3+3)=0,"休",COUNTIF(BI$6:BI$45,"寶"))))</f>
        <v/>
      </c>
      <c r="BJ51" s="71">
        <f>IF(BJ$4="","",IF(COUNTIF(設定!$W$6:$W$40,DATE(設定!$C$2,設定!$D$2,20))&gt;0,"假",IF(INDEX(設定!$U$56:$AO$56,(WEEKDAY(DATE(設定!$C$2,設定!$D$2,20),2)-1)*3+1)=0,"休",COUNTIF(BJ$6:BJ$45,"寶"))))</f>
        <v/>
      </c>
      <c r="BK51" s="72">
        <f>IF(BK$4="","",IF(COUNTIF(設定!$W$6:$W$40,DATE(設定!$C$2,設定!$D$2,20))&gt;0,"假",IF(INDEX(設定!$U$56:$AO$56,(WEEKDAY(DATE(設定!$C$2,設定!$D$2,20),2)-1)*3+2)=0,"休",COUNTIF(BK$6:BK$45,"寶"))))</f>
        <v/>
      </c>
      <c r="BL51" s="72">
        <f>IF(BL$4="","",IF(COUNTIF(設定!$W$6:$W$40,DATE(設定!$C$2,設定!$D$2,20))&gt;0,"假",IF(INDEX(設定!$U$56:$AO$56,(WEEKDAY(DATE(設定!$C$2,設定!$D$2,20),2)-1)*3+3)=0,"休",COUNTIF(BL$6:BL$45,"寶"))))</f>
        <v/>
      </c>
      <c r="BM51" s="71">
        <f>IF(BM$4="","",IF(COUNTIF(設定!$W$6:$W$40,DATE(設定!$C$2,設定!$D$2,21))&gt;0,"假",IF(INDEX(設定!$U$56:$AO$56,(WEEKDAY(DATE(設定!$C$2,設定!$D$2,21),2)-1)*3+1)=0,"休",COUNTIF(BM$6:BM$45,"寶"))))</f>
        <v/>
      </c>
      <c r="BN51" s="72">
        <f>IF(BN$4="","",IF(COUNTIF(設定!$W$6:$W$40,DATE(設定!$C$2,設定!$D$2,21))&gt;0,"假",IF(INDEX(設定!$U$56:$AO$56,(WEEKDAY(DATE(設定!$C$2,設定!$D$2,21),2)-1)*3+2)=0,"休",COUNTIF(BN$6:BN$45,"寶"))))</f>
        <v/>
      </c>
      <c r="BO51" s="72">
        <f>IF(BO$4="","",IF(COUNTIF(設定!$W$6:$W$40,DATE(設定!$C$2,設定!$D$2,21))&gt;0,"假",IF(INDEX(設定!$U$56:$AO$56,(WEEKDAY(DATE(設定!$C$2,設定!$D$2,21),2)-1)*3+3)=0,"休",COUNTIF(BO$6:BO$45,"寶"))))</f>
        <v/>
      </c>
      <c r="BP51" s="71">
        <f>IF(BP$4="","",IF(COUNTIF(設定!$W$6:$W$40,DATE(設定!$C$2,設定!$D$2,22))&gt;0,"假",IF(INDEX(設定!$U$56:$AO$56,(WEEKDAY(DATE(設定!$C$2,設定!$D$2,22),2)-1)*3+1)=0,"休",COUNTIF(BP$6:BP$45,"寶"))))</f>
        <v/>
      </c>
      <c r="BQ51" s="72">
        <f>IF(BQ$4="","",IF(COUNTIF(設定!$W$6:$W$40,DATE(設定!$C$2,設定!$D$2,22))&gt;0,"假",IF(INDEX(設定!$U$56:$AO$56,(WEEKDAY(DATE(設定!$C$2,設定!$D$2,22),2)-1)*3+2)=0,"休",COUNTIF(BQ$6:BQ$45,"寶"))))</f>
        <v/>
      </c>
      <c r="BR51" s="72">
        <f>IF(BR$4="","",IF(COUNTIF(設定!$W$6:$W$40,DATE(設定!$C$2,設定!$D$2,22))&gt;0,"假",IF(INDEX(設定!$U$56:$AO$56,(WEEKDAY(DATE(設定!$C$2,設定!$D$2,22),2)-1)*3+3)=0,"休",COUNTIF(BR$6:BR$45,"寶"))))</f>
        <v/>
      </c>
      <c r="BS51" s="71">
        <f>IF(BS$4="","",IF(COUNTIF(設定!$W$6:$W$40,DATE(設定!$C$2,設定!$D$2,23))&gt;0,"假",IF(INDEX(設定!$U$56:$AO$56,(WEEKDAY(DATE(設定!$C$2,設定!$D$2,23),2)-1)*3+1)=0,"休",COUNTIF(BS$6:BS$45,"寶"))))</f>
        <v/>
      </c>
      <c r="BT51" s="72">
        <f>IF(BT$4="","",IF(COUNTIF(設定!$W$6:$W$40,DATE(設定!$C$2,設定!$D$2,23))&gt;0,"假",IF(INDEX(設定!$U$56:$AO$56,(WEEKDAY(DATE(設定!$C$2,設定!$D$2,23),2)-1)*3+2)=0,"休",COUNTIF(BT$6:BT$45,"寶"))))</f>
        <v/>
      </c>
      <c r="BU51" s="72">
        <f>IF(BU$4="","",IF(COUNTIF(設定!$W$6:$W$40,DATE(設定!$C$2,設定!$D$2,23))&gt;0,"假",IF(INDEX(設定!$U$56:$AO$56,(WEEKDAY(DATE(設定!$C$2,設定!$D$2,23),2)-1)*3+3)=0,"休",COUNTIF(BU$6:BU$45,"寶"))))</f>
        <v/>
      </c>
      <c r="BV51" s="71">
        <f>IF(BV$4="","",IF(COUNTIF(設定!$W$6:$W$40,DATE(設定!$C$2,設定!$D$2,24))&gt;0,"假",IF(INDEX(設定!$U$56:$AO$56,(WEEKDAY(DATE(設定!$C$2,設定!$D$2,24),2)-1)*3+1)=0,"休",COUNTIF(BV$6:BV$45,"寶"))))</f>
        <v/>
      </c>
      <c r="BW51" s="72">
        <f>IF(BW$4="","",IF(COUNTIF(設定!$W$6:$W$40,DATE(設定!$C$2,設定!$D$2,24))&gt;0,"假",IF(INDEX(設定!$U$56:$AO$56,(WEEKDAY(DATE(設定!$C$2,設定!$D$2,24),2)-1)*3+2)=0,"休",COUNTIF(BW$6:BW$45,"寶"))))</f>
        <v/>
      </c>
      <c r="BX51" s="72">
        <f>IF(BX$4="","",IF(COUNTIF(設定!$W$6:$W$40,DATE(設定!$C$2,設定!$D$2,24))&gt;0,"假",IF(INDEX(設定!$U$56:$AO$56,(WEEKDAY(DATE(設定!$C$2,設定!$D$2,24),2)-1)*3+3)=0,"休",COUNTIF(BX$6:BX$45,"寶"))))</f>
        <v/>
      </c>
      <c r="BY51" s="71">
        <f>IF(BY$4="","",IF(COUNTIF(設定!$W$6:$W$40,DATE(設定!$C$2,設定!$D$2,25))&gt;0,"假",IF(INDEX(設定!$U$56:$AO$56,(WEEKDAY(DATE(設定!$C$2,設定!$D$2,25),2)-1)*3+1)=0,"休",COUNTIF(BY$6:BY$45,"寶"))))</f>
        <v/>
      </c>
      <c r="BZ51" s="72">
        <f>IF(BZ$4="","",IF(COUNTIF(設定!$W$6:$W$40,DATE(設定!$C$2,設定!$D$2,25))&gt;0,"假",IF(INDEX(設定!$U$56:$AO$56,(WEEKDAY(DATE(設定!$C$2,設定!$D$2,25),2)-1)*3+2)=0,"休",COUNTIF(BZ$6:BZ$45,"寶"))))</f>
        <v/>
      </c>
      <c r="CA51" s="72">
        <f>IF(CA$4="","",IF(COUNTIF(設定!$W$6:$W$40,DATE(設定!$C$2,設定!$D$2,25))&gt;0,"假",IF(INDEX(設定!$U$56:$AO$56,(WEEKDAY(DATE(設定!$C$2,設定!$D$2,25),2)-1)*3+3)=0,"休",COUNTIF(CA$6:CA$45,"寶"))))</f>
        <v/>
      </c>
      <c r="CB51" s="71">
        <f>IF(CB$4="","",IF(COUNTIF(設定!$W$6:$W$40,DATE(設定!$C$2,設定!$D$2,26))&gt;0,"假",IF(INDEX(設定!$U$56:$AO$56,(WEEKDAY(DATE(設定!$C$2,設定!$D$2,26),2)-1)*3+1)=0,"休",COUNTIF(CB$6:CB$45,"寶"))))</f>
        <v/>
      </c>
      <c r="CC51" s="72">
        <f>IF(CC$4="","",IF(COUNTIF(設定!$W$6:$W$40,DATE(設定!$C$2,設定!$D$2,26))&gt;0,"假",IF(INDEX(設定!$U$56:$AO$56,(WEEKDAY(DATE(設定!$C$2,設定!$D$2,26),2)-1)*3+2)=0,"休",COUNTIF(CC$6:CC$45,"寶"))))</f>
        <v/>
      </c>
      <c r="CD51" s="72">
        <f>IF(CD$4="","",IF(COUNTIF(設定!$W$6:$W$40,DATE(設定!$C$2,設定!$D$2,26))&gt;0,"假",IF(INDEX(設定!$U$56:$AO$56,(WEEKDAY(DATE(設定!$C$2,設定!$D$2,26),2)-1)*3+3)=0,"休",COUNTIF(CD$6:CD$45,"寶"))))</f>
        <v/>
      </c>
      <c r="CE51" s="71">
        <f>IF(CE$4="","",IF(COUNTIF(設定!$W$6:$W$40,DATE(設定!$C$2,設定!$D$2,27))&gt;0,"假",IF(INDEX(設定!$U$56:$AO$56,(WEEKDAY(DATE(設定!$C$2,設定!$D$2,27),2)-1)*3+1)=0,"休",COUNTIF(CE$6:CE$45,"寶"))))</f>
        <v/>
      </c>
      <c r="CF51" s="72">
        <f>IF(CF$4="","",IF(COUNTIF(設定!$W$6:$W$40,DATE(設定!$C$2,設定!$D$2,27))&gt;0,"假",IF(INDEX(設定!$U$56:$AO$56,(WEEKDAY(DATE(設定!$C$2,設定!$D$2,27),2)-1)*3+2)=0,"休",COUNTIF(CF$6:CF$45,"寶"))))</f>
        <v/>
      </c>
      <c r="CG51" s="72">
        <f>IF(CG$4="","",IF(COUNTIF(設定!$W$6:$W$40,DATE(設定!$C$2,設定!$D$2,27))&gt;0,"假",IF(INDEX(設定!$U$56:$AO$56,(WEEKDAY(DATE(設定!$C$2,設定!$D$2,27),2)-1)*3+3)=0,"休",COUNTIF(CG$6:CG$45,"寶"))))</f>
        <v/>
      </c>
      <c r="CH51" s="71">
        <f>IF(CH$4="","",IF(COUNTIF(設定!$W$6:$W$40,DATE(設定!$C$2,設定!$D$2,28))&gt;0,"假",IF(INDEX(設定!$U$56:$AO$56,(WEEKDAY(DATE(設定!$C$2,設定!$D$2,28),2)-1)*3+1)=0,"休",COUNTIF(CH$6:CH$45,"寶"))))</f>
        <v/>
      </c>
      <c r="CI51" s="72">
        <f>IF(CI$4="","",IF(COUNTIF(設定!$W$6:$W$40,DATE(設定!$C$2,設定!$D$2,28))&gt;0,"假",IF(INDEX(設定!$U$56:$AO$56,(WEEKDAY(DATE(設定!$C$2,設定!$D$2,28),2)-1)*3+2)=0,"休",COUNTIF(CI$6:CI$45,"寶"))))</f>
        <v/>
      </c>
      <c r="CJ51" s="72">
        <f>IF(CJ$4="","",IF(COUNTIF(設定!$W$6:$W$40,DATE(設定!$C$2,設定!$D$2,28))&gt;0,"假",IF(INDEX(設定!$U$56:$AO$56,(WEEKDAY(DATE(設定!$C$2,設定!$D$2,28),2)-1)*3+3)=0,"休",COUNTIF(CJ$6:CJ$45,"寶"))))</f>
        <v/>
      </c>
      <c r="CK51" s="71">
        <f>IF(CK$4="","",IF(COUNTIF(設定!$W$6:$W$40,DATE(設定!$C$2,設定!$D$2,29))&gt;0,"假",IF(INDEX(設定!$U$56:$AO$56,(WEEKDAY(DATE(設定!$C$2,設定!$D$2,29),2)-1)*3+1)=0,"休",COUNTIF(CK$6:CK$45,"寶"))))</f>
        <v/>
      </c>
      <c r="CL51" s="72">
        <f>IF(CL$4="","",IF(COUNTIF(設定!$W$6:$W$40,DATE(設定!$C$2,設定!$D$2,29))&gt;0,"假",IF(INDEX(設定!$U$56:$AO$56,(WEEKDAY(DATE(設定!$C$2,設定!$D$2,29),2)-1)*3+2)=0,"休",COUNTIF(CL$6:CL$45,"寶"))))</f>
        <v/>
      </c>
      <c r="CM51" s="72">
        <f>IF(CM$4="","",IF(COUNTIF(設定!$W$6:$W$40,DATE(設定!$C$2,設定!$D$2,29))&gt;0,"假",IF(INDEX(設定!$U$56:$AO$56,(WEEKDAY(DATE(設定!$C$2,設定!$D$2,29),2)-1)*3+3)=0,"休",COUNTIF(CM$6:CM$45,"寶"))))</f>
        <v/>
      </c>
      <c r="CN51" s="71">
        <f>IF(CN$4="","",IF(COUNTIF(設定!$W$6:$W$40,DATE(設定!$C$2,設定!$D$2,30))&gt;0,"假",IF(INDEX(設定!$U$56:$AO$56,(WEEKDAY(DATE(設定!$C$2,設定!$D$2,30),2)-1)*3+1)=0,"休",COUNTIF(CN$6:CN$45,"寶"))))</f>
        <v/>
      </c>
      <c r="CO51" s="72">
        <f>IF(CO$4="","",IF(COUNTIF(設定!$W$6:$W$40,DATE(設定!$C$2,設定!$D$2,30))&gt;0,"假",IF(INDEX(設定!$U$56:$AO$56,(WEEKDAY(DATE(設定!$C$2,設定!$D$2,30),2)-1)*3+2)=0,"休",COUNTIF(CO$6:CO$45,"寶"))))</f>
        <v/>
      </c>
      <c r="CP51" s="72">
        <f>IF(CP$4="","",IF(COUNTIF(設定!$W$6:$W$40,DATE(設定!$C$2,設定!$D$2,30))&gt;0,"假",IF(INDEX(設定!$U$56:$AO$56,(WEEKDAY(DATE(設定!$C$2,設定!$D$2,30),2)-1)*3+3)=0,"休",COUNTIF(CP$6:CP$45,"寶"))))</f>
        <v/>
      </c>
      <c r="CQ51" s="71">
        <f>IF(CQ$4="","",IF(COUNTIF(設定!$W$6:$W$40,DATE(設定!$C$2,設定!$D$2,31))&gt;0,"假",IF(INDEX(設定!$U$56:$AO$56,(WEEKDAY(DATE(設定!$C$2,設定!$D$2,31),2)-1)*3+1)=0,"休",COUNTIF(CQ$6:CQ$45,"寶"))))</f>
        <v/>
      </c>
      <c r="CR51" s="72">
        <f>IF(CR$4="","",IF(COUNTIF(設定!$W$6:$W$40,DATE(設定!$C$2,設定!$D$2,31))&gt;0,"假",IF(INDEX(設定!$U$56:$AO$56,(WEEKDAY(DATE(設定!$C$2,設定!$D$2,31),2)-1)*3+2)=0,"休",COUNTIF(CR$6:CR$45,"寶"))))</f>
        <v/>
      </c>
      <c r="CS51" s="72">
        <f>IF(CS$4="","",IF(COUNTIF(設定!$W$6:$W$40,DATE(設定!$C$2,設定!$D$2,31))&gt;0,"假",IF(INDEX(設定!$U$56:$AO$56,(WEEKDAY(DATE(設定!$C$2,設定!$D$2,31),2)-1)*3+3)=0,"休",COUNTIF(CS$6:CS$45,"寶"))))</f>
        <v/>
      </c>
    </row>
    <row r="53">
      <c r="A53" s="6" t="inlineStr">
        <is>
          <t>※ 一格只容得下一間院所,所以同一位醫師同一診次被排到兩間院所在結構上不可能發生。上面五列是反向檢查:某間院所某個診次掛 0,表示那個時段沒有醫師。</t>
        </is>
      </c>
    </row>
    <row r="54">
      <c r="A54" s="6" t="inlineStr">
        <is>
          <t>※ 本表已依「醫師週班表」把固定門診展開成本月的值,可以直接改。請假就把該格改成假別代碼。</t>
        </is>
      </c>
    </row>
    <row r="55">
      <c r="A55" s="6" t="inlineStr">
        <is>
          <t>※ 姓名、專科、日期、星期都是實際文字不是公式,任何檢視器都看得到;底下的人力檢核列是公式,不重算的檢視器會空白。</t>
        </is>
      </c>
    </row>
    <row r="56">
      <c r="A56" s="6" t="inlineStr">
        <is>
          <t>※ 格子是公式,從「醫師週班表」自動展開。改週班表、改設定的本期年月,這裡都會立刻跟著變。</t>
        </is>
      </c>
    </row>
    <row r="57" hidden="1">
      <c r="A57" s="6" t="inlineStr">
        <is>
          <t>※ 要改單次例外(請假、臨時調班)直接在格子上打字即可,月結一樣立刻反映——但那一格的公式會被蓋掉、不再跟著週班表走,所以會自動加上紅色外框提醒。要恢復連動,從旁邊沒被改過的格子複製一格貼回來。</t>
        </is>
      </c>
      <c r="E57">
        <f>IF(1&gt;DAY(EOMONTH(DATE(設定!$C$2,設定!$D$2,1),0)),1,(WEEKDAY(DATE(設定!$C$2,設定!$D$2,1),2)-1)*3+1)</f>
        <v/>
      </c>
      <c r="F57">
        <f>IF(1&gt;DAY(EOMONTH(DATE(設定!$C$2,設定!$D$2,1),0)),1,(WEEKDAY(DATE(設定!$C$2,設定!$D$2,1),2)-1)*3+2)</f>
        <v/>
      </c>
      <c r="G57">
        <f>IF(1&gt;DAY(EOMONTH(DATE(設定!$C$2,設定!$D$2,1),0)),1,(WEEKDAY(DATE(設定!$C$2,設定!$D$2,1),2)-1)*3+3)</f>
        <v/>
      </c>
      <c r="H57">
        <f>IF(2&gt;DAY(EOMONTH(DATE(設定!$C$2,設定!$D$2,1),0)),1,(WEEKDAY(DATE(設定!$C$2,設定!$D$2,2),2)-1)*3+1)</f>
        <v/>
      </c>
      <c r="I57">
        <f>IF(2&gt;DAY(EOMONTH(DATE(設定!$C$2,設定!$D$2,1),0)),1,(WEEKDAY(DATE(設定!$C$2,設定!$D$2,2),2)-1)*3+2)</f>
        <v/>
      </c>
      <c r="J57">
        <f>IF(2&gt;DAY(EOMONTH(DATE(設定!$C$2,設定!$D$2,1),0)),1,(WEEKDAY(DATE(設定!$C$2,設定!$D$2,2),2)-1)*3+3)</f>
        <v/>
      </c>
      <c r="K57">
        <f>IF(3&gt;DAY(EOMONTH(DATE(設定!$C$2,設定!$D$2,1),0)),1,(WEEKDAY(DATE(設定!$C$2,設定!$D$2,3),2)-1)*3+1)</f>
        <v/>
      </c>
      <c r="L57">
        <f>IF(3&gt;DAY(EOMONTH(DATE(設定!$C$2,設定!$D$2,1),0)),1,(WEEKDAY(DATE(設定!$C$2,設定!$D$2,3),2)-1)*3+2)</f>
        <v/>
      </c>
      <c r="M57">
        <f>IF(3&gt;DAY(EOMONTH(DATE(設定!$C$2,設定!$D$2,1),0)),1,(WEEKDAY(DATE(設定!$C$2,設定!$D$2,3),2)-1)*3+3)</f>
        <v/>
      </c>
      <c r="N57">
        <f>IF(4&gt;DAY(EOMONTH(DATE(設定!$C$2,設定!$D$2,1),0)),1,(WEEKDAY(DATE(設定!$C$2,設定!$D$2,4),2)-1)*3+1)</f>
        <v/>
      </c>
      <c r="O57">
        <f>IF(4&gt;DAY(EOMONTH(DATE(設定!$C$2,設定!$D$2,1),0)),1,(WEEKDAY(DATE(設定!$C$2,設定!$D$2,4),2)-1)*3+2)</f>
        <v/>
      </c>
      <c r="P57">
        <f>IF(4&gt;DAY(EOMONTH(DATE(設定!$C$2,設定!$D$2,1),0)),1,(WEEKDAY(DATE(設定!$C$2,設定!$D$2,4),2)-1)*3+3)</f>
        <v/>
      </c>
      <c r="Q57">
        <f>IF(5&gt;DAY(EOMONTH(DATE(設定!$C$2,設定!$D$2,1),0)),1,(WEEKDAY(DATE(設定!$C$2,設定!$D$2,5),2)-1)*3+1)</f>
        <v/>
      </c>
      <c r="R57">
        <f>IF(5&gt;DAY(EOMONTH(DATE(設定!$C$2,設定!$D$2,1),0)),1,(WEEKDAY(DATE(設定!$C$2,設定!$D$2,5),2)-1)*3+2)</f>
        <v/>
      </c>
      <c r="S57">
        <f>IF(5&gt;DAY(EOMONTH(DATE(設定!$C$2,設定!$D$2,1),0)),1,(WEEKDAY(DATE(設定!$C$2,設定!$D$2,5),2)-1)*3+3)</f>
        <v/>
      </c>
      <c r="T57">
        <f>IF(6&gt;DAY(EOMONTH(DATE(設定!$C$2,設定!$D$2,1),0)),1,(WEEKDAY(DATE(設定!$C$2,設定!$D$2,6),2)-1)*3+1)</f>
        <v/>
      </c>
      <c r="U57">
        <f>IF(6&gt;DAY(EOMONTH(DATE(設定!$C$2,設定!$D$2,1),0)),1,(WEEKDAY(DATE(設定!$C$2,設定!$D$2,6),2)-1)*3+2)</f>
        <v/>
      </c>
      <c r="V57">
        <f>IF(6&gt;DAY(EOMONTH(DATE(設定!$C$2,設定!$D$2,1),0)),1,(WEEKDAY(DATE(設定!$C$2,設定!$D$2,6),2)-1)*3+3)</f>
        <v/>
      </c>
      <c r="W57">
        <f>IF(7&gt;DAY(EOMONTH(DATE(設定!$C$2,設定!$D$2,1),0)),1,(WEEKDAY(DATE(設定!$C$2,設定!$D$2,7),2)-1)*3+1)</f>
        <v/>
      </c>
      <c r="X57">
        <f>IF(7&gt;DAY(EOMONTH(DATE(設定!$C$2,設定!$D$2,1),0)),1,(WEEKDAY(DATE(設定!$C$2,設定!$D$2,7),2)-1)*3+2)</f>
        <v/>
      </c>
      <c r="Y57">
        <f>IF(7&gt;DAY(EOMONTH(DATE(設定!$C$2,設定!$D$2,1),0)),1,(WEEKDAY(DATE(設定!$C$2,設定!$D$2,7),2)-1)*3+3)</f>
        <v/>
      </c>
      <c r="Z57">
        <f>IF(8&gt;DAY(EOMONTH(DATE(設定!$C$2,設定!$D$2,1),0)),1,(WEEKDAY(DATE(設定!$C$2,設定!$D$2,8),2)-1)*3+1)</f>
        <v/>
      </c>
      <c r="AA57">
        <f>IF(8&gt;DAY(EOMONTH(DATE(設定!$C$2,設定!$D$2,1),0)),1,(WEEKDAY(DATE(設定!$C$2,設定!$D$2,8),2)-1)*3+2)</f>
        <v/>
      </c>
      <c r="AB57">
        <f>IF(8&gt;DAY(EOMONTH(DATE(設定!$C$2,設定!$D$2,1),0)),1,(WEEKDAY(DATE(設定!$C$2,設定!$D$2,8),2)-1)*3+3)</f>
        <v/>
      </c>
      <c r="AC57">
        <f>IF(9&gt;DAY(EOMONTH(DATE(設定!$C$2,設定!$D$2,1),0)),1,(WEEKDAY(DATE(設定!$C$2,設定!$D$2,9),2)-1)*3+1)</f>
        <v/>
      </c>
      <c r="AD57">
        <f>IF(9&gt;DAY(EOMONTH(DATE(設定!$C$2,設定!$D$2,1),0)),1,(WEEKDAY(DATE(設定!$C$2,設定!$D$2,9),2)-1)*3+2)</f>
        <v/>
      </c>
      <c r="AE57">
        <f>IF(9&gt;DAY(EOMONTH(DATE(設定!$C$2,設定!$D$2,1),0)),1,(WEEKDAY(DATE(設定!$C$2,設定!$D$2,9),2)-1)*3+3)</f>
        <v/>
      </c>
      <c r="AF57">
        <f>IF(10&gt;DAY(EOMONTH(DATE(設定!$C$2,設定!$D$2,1),0)),1,(WEEKDAY(DATE(設定!$C$2,設定!$D$2,10),2)-1)*3+1)</f>
        <v/>
      </c>
      <c r="AG57">
        <f>IF(10&gt;DAY(EOMONTH(DATE(設定!$C$2,設定!$D$2,1),0)),1,(WEEKDAY(DATE(設定!$C$2,設定!$D$2,10),2)-1)*3+2)</f>
        <v/>
      </c>
      <c r="AH57">
        <f>IF(10&gt;DAY(EOMONTH(DATE(設定!$C$2,設定!$D$2,1),0)),1,(WEEKDAY(DATE(設定!$C$2,設定!$D$2,10),2)-1)*3+3)</f>
        <v/>
      </c>
      <c r="AI57">
        <f>IF(11&gt;DAY(EOMONTH(DATE(設定!$C$2,設定!$D$2,1),0)),1,(WEEKDAY(DATE(設定!$C$2,設定!$D$2,11),2)-1)*3+1)</f>
        <v/>
      </c>
      <c r="AJ57">
        <f>IF(11&gt;DAY(EOMONTH(DATE(設定!$C$2,設定!$D$2,1),0)),1,(WEEKDAY(DATE(設定!$C$2,設定!$D$2,11),2)-1)*3+2)</f>
        <v/>
      </c>
      <c r="AK57">
        <f>IF(11&gt;DAY(EOMONTH(DATE(設定!$C$2,設定!$D$2,1),0)),1,(WEEKDAY(DATE(設定!$C$2,設定!$D$2,11),2)-1)*3+3)</f>
        <v/>
      </c>
      <c r="AL57">
        <f>IF(12&gt;DAY(EOMONTH(DATE(設定!$C$2,設定!$D$2,1),0)),1,(WEEKDAY(DATE(設定!$C$2,設定!$D$2,12),2)-1)*3+1)</f>
        <v/>
      </c>
      <c r="AM57">
        <f>IF(12&gt;DAY(EOMONTH(DATE(設定!$C$2,設定!$D$2,1),0)),1,(WEEKDAY(DATE(設定!$C$2,設定!$D$2,12),2)-1)*3+2)</f>
        <v/>
      </c>
      <c r="AN57">
        <f>IF(12&gt;DAY(EOMONTH(DATE(設定!$C$2,設定!$D$2,1),0)),1,(WEEKDAY(DATE(設定!$C$2,設定!$D$2,12),2)-1)*3+3)</f>
        <v/>
      </c>
      <c r="AO57">
        <f>IF(13&gt;DAY(EOMONTH(DATE(設定!$C$2,設定!$D$2,1),0)),1,(WEEKDAY(DATE(設定!$C$2,設定!$D$2,13),2)-1)*3+1)</f>
        <v/>
      </c>
      <c r="AP57">
        <f>IF(13&gt;DAY(EOMONTH(DATE(設定!$C$2,設定!$D$2,1),0)),1,(WEEKDAY(DATE(設定!$C$2,設定!$D$2,13),2)-1)*3+2)</f>
        <v/>
      </c>
      <c r="AQ57">
        <f>IF(13&gt;DAY(EOMONTH(DATE(設定!$C$2,設定!$D$2,1),0)),1,(WEEKDAY(DATE(設定!$C$2,設定!$D$2,13),2)-1)*3+3)</f>
        <v/>
      </c>
      <c r="AR57">
        <f>IF(14&gt;DAY(EOMONTH(DATE(設定!$C$2,設定!$D$2,1),0)),1,(WEEKDAY(DATE(設定!$C$2,設定!$D$2,14),2)-1)*3+1)</f>
        <v/>
      </c>
      <c r="AS57">
        <f>IF(14&gt;DAY(EOMONTH(DATE(設定!$C$2,設定!$D$2,1),0)),1,(WEEKDAY(DATE(設定!$C$2,設定!$D$2,14),2)-1)*3+2)</f>
        <v/>
      </c>
      <c r="AT57">
        <f>IF(14&gt;DAY(EOMONTH(DATE(設定!$C$2,設定!$D$2,1),0)),1,(WEEKDAY(DATE(設定!$C$2,設定!$D$2,14),2)-1)*3+3)</f>
        <v/>
      </c>
      <c r="AU57">
        <f>IF(15&gt;DAY(EOMONTH(DATE(設定!$C$2,設定!$D$2,1),0)),1,(WEEKDAY(DATE(設定!$C$2,設定!$D$2,15),2)-1)*3+1)</f>
        <v/>
      </c>
      <c r="AV57">
        <f>IF(15&gt;DAY(EOMONTH(DATE(設定!$C$2,設定!$D$2,1),0)),1,(WEEKDAY(DATE(設定!$C$2,設定!$D$2,15),2)-1)*3+2)</f>
        <v/>
      </c>
      <c r="AW57">
        <f>IF(15&gt;DAY(EOMONTH(DATE(設定!$C$2,設定!$D$2,1),0)),1,(WEEKDAY(DATE(設定!$C$2,設定!$D$2,15),2)-1)*3+3)</f>
        <v/>
      </c>
      <c r="AX57">
        <f>IF(16&gt;DAY(EOMONTH(DATE(設定!$C$2,設定!$D$2,1),0)),1,(WEEKDAY(DATE(設定!$C$2,設定!$D$2,16),2)-1)*3+1)</f>
        <v/>
      </c>
      <c r="AY57">
        <f>IF(16&gt;DAY(EOMONTH(DATE(設定!$C$2,設定!$D$2,1),0)),1,(WEEKDAY(DATE(設定!$C$2,設定!$D$2,16),2)-1)*3+2)</f>
        <v/>
      </c>
      <c r="AZ57">
        <f>IF(16&gt;DAY(EOMONTH(DATE(設定!$C$2,設定!$D$2,1),0)),1,(WEEKDAY(DATE(設定!$C$2,設定!$D$2,16),2)-1)*3+3)</f>
        <v/>
      </c>
      <c r="BA57">
        <f>IF(17&gt;DAY(EOMONTH(DATE(設定!$C$2,設定!$D$2,1),0)),1,(WEEKDAY(DATE(設定!$C$2,設定!$D$2,17),2)-1)*3+1)</f>
        <v/>
      </c>
      <c r="BB57">
        <f>IF(17&gt;DAY(EOMONTH(DATE(設定!$C$2,設定!$D$2,1),0)),1,(WEEKDAY(DATE(設定!$C$2,設定!$D$2,17),2)-1)*3+2)</f>
        <v/>
      </c>
      <c r="BC57">
        <f>IF(17&gt;DAY(EOMONTH(DATE(設定!$C$2,設定!$D$2,1),0)),1,(WEEKDAY(DATE(設定!$C$2,設定!$D$2,17),2)-1)*3+3)</f>
        <v/>
      </c>
      <c r="BD57">
        <f>IF(18&gt;DAY(EOMONTH(DATE(設定!$C$2,設定!$D$2,1),0)),1,(WEEKDAY(DATE(設定!$C$2,設定!$D$2,18),2)-1)*3+1)</f>
        <v/>
      </c>
      <c r="BE57">
        <f>IF(18&gt;DAY(EOMONTH(DATE(設定!$C$2,設定!$D$2,1),0)),1,(WEEKDAY(DATE(設定!$C$2,設定!$D$2,18),2)-1)*3+2)</f>
        <v/>
      </c>
      <c r="BF57">
        <f>IF(18&gt;DAY(EOMONTH(DATE(設定!$C$2,設定!$D$2,1),0)),1,(WEEKDAY(DATE(設定!$C$2,設定!$D$2,18),2)-1)*3+3)</f>
        <v/>
      </c>
      <c r="BG57">
        <f>IF(19&gt;DAY(EOMONTH(DATE(設定!$C$2,設定!$D$2,1),0)),1,(WEEKDAY(DATE(設定!$C$2,設定!$D$2,19),2)-1)*3+1)</f>
        <v/>
      </c>
      <c r="BH57">
        <f>IF(19&gt;DAY(EOMONTH(DATE(設定!$C$2,設定!$D$2,1),0)),1,(WEEKDAY(DATE(設定!$C$2,設定!$D$2,19),2)-1)*3+2)</f>
        <v/>
      </c>
      <c r="BI57">
        <f>IF(19&gt;DAY(EOMONTH(DATE(設定!$C$2,設定!$D$2,1),0)),1,(WEEKDAY(DATE(設定!$C$2,設定!$D$2,19),2)-1)*3+3)</f>
        <v/>
      </c>
      <c r="BJ57">
        <f>IF(20&gt;DAY(EOMONTH(DATE(設定!$C$2,設定!$D$2,1),0)),1,(WEEKDAY(DATE(設定!$C$2,設定!$D$2,20),2)-1)*3+1)</f>
        <v/>
      </c>
      <c r="BK57">
        <f>IF(20&gt;DAY(EOMONTH(DATE(設定!$C$2,設定!$D$2,1),0)),1,(WEEKDAY(DATE(設定!$C$2,設定!$D$2,20),2)-1)*3+2)</f>
        <v/>
      </c>
      <c r="BL57">
        <f>IF(20&gt;DAY(EOMONTH(DATE(設定!$C$2,設定!$D$2,1),0)),1,(WEEKDAY(DATE(設定!$C$2,設定!$D$2,20),2)-1)*3+3)</f>
        <v/>
      </c>
      <c r="BM57">
        <f>IF(21&gt;DAY(EOMONTH(DATE(設定!$C$2,設定!$D$2,1),0)),1,(WEEKDAY(DATE(設定!$C$2,設定!$D$2,21),2)-1)*3+1)</f>
        <v/>
      </c>
      <c r="BN57">
        <f>IF(21&gt;DAY(EOMONTH(DATE(設定!$C$2,設定!$D$2,1),0)),1,(WEEKDAY(DATE(設定!$C$2,設定!$D$2,21),2)-1)*3+2)</f>
        <v/>
      </c>
      <c r="BO57">
        <f>IF(21&gt;DAY(EOMONTH(DATE(設定!$C$2,設定!$D$2,1),0)),1,(WEEKDAY(DATE(設定!$C$2,設定!$D$2,21),2)-1)*3+3)</f>
        <v/>
      </c>
      <c r="BP57">
        <f>IF(22&gt;DAY(EOMONTH(DATE(設定!$C$2,設定!$D$2,1),0)),1,(WEEKDAY(DATE(設定!$C$2,設定!$D$2,22),2)-1)*3+1)</f>
        <v/>
      </c>
      <c r="BQ57">
        <f>IF(22&gt;DAY(EOMONTH(DATE(設定!$C$2,設定!$D$2,1),0)),1,(WEEKDAY(DATE(設定!$C$2,設定!$D$2,22),2)-1)*3+2)</f>
        <v/>
      </c>
      <c r="BR57">
        <f>IF(22&gt;DAY(EOMONTH(DATE(設定!$C$2,設定!$D$2,1),0)),1,(WEEKDAY(DATE(設定!$C$2,設定!$D$2,22),2)-1)*3+3)</f>
        <v/>
      </c>
      <c r="BS57">
        <f>IF(23&gt;DAY(EOMONTH(DATE(設定!$C$2,設定!$D$2,1),0)),1,(WEEKDAY(DATE(設定!$C$2,設定!$D$2,23),2)-1)*3+1)</f>
        <v/>
      </c>
      <c r="BT57">
        <f>IF(23&gt;DAY(EOMONTH(DATE(設定!$C$2,設定!$D$2,1),0)),1,(WEEKDAY(DATE(設定!$C$2,設定!$D$2,23),2)-1)*3+2)</f>
        <v/>
      </c>
      <c r="BU57">
        <f>IF(23&gt;DAY(EOMONTH(DATE(設定!$C$2,設定!$D$2,1),0)),1,(WEEKDAY(DATE(設定!$C$2,設定!$D$2,23),2)-1)*3+3)</f>
        <v/>
      </c>
      <c r="BV57">
        <f>IF(24&gt;DAY(EOMONTH(DATE(設定!$C$2,設定!$D$2,1),0)),1,(WEEKDAY(DATE(設定!$C$2,設定!$D$2,24),2)-1)*3+1)</f>
        <v/>
      </c>
      <c r="BW57">
        <f>IF(24&gt;DAY(EOMONTH(DATE(設定!$C$2,設定!$D$2,1),0)),1,(WEEKDAY(DATE(設定!$C$2,設定!$D$2,24),2)-1)*3+2)</f>
        <v/>
      </c>
      <c r="BX57">
        <f>IF(24&gt;DAY(EOMONTH(DATE(設定!$C$2,設定!$D$2,1),0)),1,(WEEKDAY(DATE(設定!$C$2,設定!$D$2,24),2)-1)*3+3)</f>
        <v/>
      </c>
      <c r="BY57">
        <f>IF(25&gt;DAY(EOMONTH(DATE(設定!$C$2,設定!$D$2,1),0)),1,(WEEKDAY(DATE(設定!$C$2,設定!$D$2,25),2)-1)*3+1)</f>
        <v/>
      </c>
      <c r="BZ57">
        <f>IF(25&gt;DAY(EOMONTH(DATE(設定!$C$2,設定!$D$2,1),0)),1,(WEEKDAY(DATE(設定!$C$2,設定!$D$2,25),2)-1)*3+2)</f>
        <v/>
      </c>
      <c r="CA57">
        <f>IF(25&gt;DAY(EOMONTH(DATE(設定!$C$2,設定!$D$2,1),0)),1,(WEEKDAY(DATE(設定!$C$2,設定!$D$2,25),2)-1)*3+3)</f>
        <v/>
      </c>
      <c r="CB57">
        <f>IF(26&gt;DAY(EOMONTH(DATE(設定!$C$2,設定!$D$2,1),0)),1,(WEEKDAY(DATE(設定!$C$2,設定!$D$2,26),2)-1)*3+1)</f>
        <v/>
      </c>
      <c r="CC57">
        <f>IF(26&gt;DAY(EOMONTH(DATE(設定!$C$2,設定!$D$2,1),0)),1,(WEEKDAY(DATE(設定!$C$2,設定!$D$2,26),2)-1)*3+2)</f>
        <v/>
      </c>
      <c r="CD57">
        <f>IF(26&gt;DAY(EOMONTH(DATE(設定!$C$2,設定!$D$2,1),0)),1,(WEEKDAY(DATE(設定!$C$2,設定!$D$2,26),2)-1)*3+3)</f>
        <v/>
      </c>
      <c r="CE57">
        <f>IF(27&gt;DAY(EOMONTH(DATE(設定!$C$2,設定!$D$2,1),0)),1,(WEEKDAY(DATE(設定!$C$2,設定!$D$2,27),2)-1)*3+1)</f>
        <v/>
      </c>
      <c r="CF57">
        <f>IF(27&gt;DAY(EOMONTH(DATE(設定!$C$2,設定!$D$2,1),0)),1,(WEEKDAY(DATE(設定!$C$2,設定!$D$2,27),2)-1)*3+2)</f>
        <v/>
      </c>
      <c r="CG57">
        <f>IF(27&gt;DAY(EOMONTH(DATE(設定!$C$2,設定!$D$2,1),0)),1,(WEEKDAY(DATE(設定!$C$2,設定!$D$2,27),2)-1)*3+3)</f>
        <v/>
      </c>
      <c r="CH57">
        <f>IF(28&gt;DAY(EOMONTH(DATE(設定!$C$2,設定!$D$2,1),0)),1,(WEEKDAY(DATE(設定!$C$2,設定!$D$2,28),2)-1)*3+1)</f>
        <v/>
      </c>
      <c r="CI57">
        <f>IF(28&gt;DAY(EOMONTH(DATE(設定!$C$2,設定!$D$2,1),0)),1,(WEEKDAY(DATE(設定!$C$2,設定!$D$2,28),2)-1)*3+2)</f>
        <v/>
      </c>
      <c r="CJ57">
        <f>IF(28&gt;DAY(EOMONTH(DATE(設定!$C$2,設定!$D$2,1),0)),1,(WEEKDAY(DATE(設定!$C$2,設定!$D$2,28),2)-1)*3+3)</f>
        <v/>
      </c>
      <c r="CK57">
        <f>IF(29&gt;DAY(EOMONTH(DATE(設定!$C$2,設定!$D$2,1),0)),1,(WEEKDAY(DATE(設定!$C$2,設定!$D$2,29),2)-1)*3+1)</f>
        <v/>
      </c>
      <c r="CL57">
        <f>IF(29&gt;DAY(EOMONTH(DATE(設定!$C$2,設定!$D$2,1),0)),1,(WEEKDAY(DATE(設定!$C$2,設定!$D$2,29),2)-1)*3+2)</f>
        <v/>
      </c>
      <c r="CM57">
        <f>IF(29&gt;DAY(EOMONTH(DATE(設定!$C$2,設定!$D$2,1),0)),1,(WEEKDAY(DATE(設定!$C$2,設定!$D$2,29),2)-1)*3+3)</f>
        <v/>
      </c>
      <c r="CN57">
        <f>IF(30&gt;DAY(EOMONTH(DATE(設定!$C$2,設定!$D$2,1),0)),1,(WEEKDAY(DATE(設定!$C$2,設定!$D$2,30),2)-1)*3+1)</f>
        <v/>
      </c>
      <c r="CO57">
        <f>IF(30&gt;DAY(EOMONTH(DATE(設定!$C$2,設定!$D$2,1),0)),1,(WEEKDAY(DATE(設定!$C$2,設定!$D$2,30),2)-1)*3+2)</f>
        <v/>
      </c>
      <c r="CP57">
        <f>IF(30&gt;DAY(EOMONTH(DATE(設定!$C$2,設定!$D$2,1),0)),1,(WEEKDAY(DATE(設定!$C$2,設定!$D$2,30),2)-1)*3+3)</f>
        <v/>
      </c>
      <c r="CQ57">
        <f>IF(31&gt;DAY(EOMONTH(DATE(設定!$C$2,設定!$D$2,1),0)),1,(WEEKDAY(DATE(設定!$C$2,設定!$D$2,31),2)-1)*3+1)</f>
        <v/>
      </c>
      <c r="CR57">
        <f>IF(31&gt;DAY(EOMONTH(DATE(設定!$C$2,設定!$D$2,1),0)),1,(WEEKDAY(DATE(設定!$C$2,設定!$D$2,31),2)-1)*3+2)</f>
        <v/>
      </c>
      <c r="CS57">
        <f>IF(31&gt;DAY(EOMONTH(DATE(設定!$C$2,設定!$D$2,1),0)),1,(WEEKDAY(DATE(設定!$C$2,設定!$D$2,31),2)-1)*3+3)</f>
        <v/>
      </c>
    </row>
    <row r="58" hidden="1">
      <c r="A58" s="77" t="inlineStr">
        <is>
          <t>↓運算用,請勿刪</t>
        </is>
      </c>
      <c r="E58">
        <f>IF(1&gt;DAY(EOMONTH(DATE(設定!$C$2,設定!$D$2,1),0)),0,MOD(INT((DATE(設定!$C$2,設定!$D$2,1)-設定!$C$47)/7),2))</f>
        <v/>
      </c>
      <c r="F58">
        <f>IF(1&gt;DAY(EOMONTH(DATE(設定!$C$2,設定!$D$2,1),0)),0,MOD(INT((DATE(設定!$C$2,設定!$D$2,1)-設定!$C$47)/7),2))</f>
        <v/>
      </c>
      <c r="G58">
        <f>IF(1&gt;DAY(EOMONTH(DATE(設定!$C$2,設定!$D$2,1),0)),0,MOD(INT((DATE(設定!$C$2,設定!$D$2,1)-設定!$C$47)/7),2))</f>
        <v/>
      </c>
      <c r="H58">
        <f>IF(2&gt;DAY(EOMONTH(DATE(設定!$C$2,設定!$D$2,1),0)),0,MOD(INT((DATE(設定!$C$2,設定!$D$2,2)-設定!$C$47)/7),2))</f>
        <v/>
      </c>
      <c r="I58">
        <f>IF(2&gt;DAY(EOMONTH(DATE(設定!$C$2,設定!$D$2,1),0)),0,MOD(INT((DATE(設定!$C$2,設定!$D$2,2)-設定!$C$47)/7),2))</f>
        <v/>
      </c>
      <c r="J58">
        <f>IF(2&gt;DAY(EOMONTH(DATE(設定!$C$2,設定!$D$2,1),0)),0,MOD(INT((DATE(設定!$C$2,設定!$D$2,2)-設定!$C$47)/7),2))</f>
        <v/>
      </c>
      <c r="K58">
        <f>IF(3&gt;DAY(EOMONTH(DATE(設定!$C$2,設定!$D$2,1),0)),0,MOD(INT((DATE(設定!$C$2,設定!$D$2,3)-設定!$C$47)/7),2))</f>
        <v/>
      </c>
      <c r="L58">
        <f>IF(3&gt;DAY(EOMONTH(DATE(設定!$C$2,設定!$D$2,1),0)),0,MOD(INT((DATE(設定!$C$2,設定!$D$2,3)-設定!$C$47)/7),2))</f>
        <v/>
      </c>
      <c r="M58">
        <f>IF(3&gt;DAY(EOMONTH(DATE(設定!$C$2,設定!$D$2,1),0)),0,MOD(INT((DATE(設定!$C$2,設定!$D$2,3)-設定!$C$47)/7),2))</f>
        <v/>
      </c>
      <c r="N58">
        <f>IF(4&gt;DAY(EOMONTH(DATE(設定!$C$2,設定!$D$2,1),0)),0,MOD(INT((DATE(設定!$C$2,設定!$D$2,4)-設定!$C$47)/7),2))</f>
        <v/>
      </c>
      <c r="O58">
        <f>IF(4&gt;DAY(EOMONTH(DATE(設定!$C$2,設定!$D$2,1),0)),0,MOD(INT((DATE(設定!$C$2,設定!$D$2,4)-設定!$C$47)/7),2))</f>
        <v/>
      </c>
      <c r="P58">
        <f>IF(4&gt;DAY(EOMONTH(DATE(設定!$C$2,設定!$D$2,1),0)),0,MOD(INT((DATE(設定!$C$2,設定!$D$2,4)-設定!$C$47)/7),2))</f>
        <v/>
      </c>
      <c r="Q58">
        <f>IF(5&gt;DAY(EOMONTH(DATE(設定!$C$2,設定!$D$2,1),0)),0,MOD(INT((DATE(設定!$C$2,設定!$D$2,5)-設定!$C$47)/7),2))</f>
        <v/>
      </c>
      <c r="R58">
        <f>IF(5&gt;DAY(EOMONTH(DATE(設定!$C$2,設定!$D$2,1),0)),0,MOD(INT((DATE(設定!$C$2,設定!$D$2,5)-設定!$C$47)/7),2))</f>
        <v/>
      </c>
      <c r="S58">
        <f>IF(5&gt;DAY(EOMONTH(DATE(設定!$C$2,設定!$D$2,1),0)),0,MOD(INT((DATE(設定!$C$2,設定!$D$2,5)-設定!$C$47)/7),2))</f>
        <v/>
      </c>
      <c r="T58">
        <f>IF(6&gt;DAY(EOMONTH(DATE(設定!$C$2,設定!$D$2,1),0)),0,MOD(INT((DATE(設定!$C$2,設定!$D$2,6)-設定!$C$47)/7),2))</f>
        <v/>
      </c>
      <c r="U58">
        <f>IF(6&gt;DAY(EOMONTH(DATE(設定!$C$2,設定!$D$2,1),0)),0,MOD(INT((DATE(設定!$C$2,設定!$D$2,6)-設定!$C$47)/7),2))</f>
        <v/>
      </c>
      <c r="V58">
        <f>IF(6&gt;DAY(EOMONTH(DATE(設定!$C$2,設定!$D$2,1),0)),0,MOD(INT((DATE(設定!$C$2,設定!$D$2,6)-設定!$C$47)/7),2))</f>
        <v/>
      </c>
      <c r="W58">
        <f>IF(7&gt;DAY(EOMONTH(DATE(設定!$C$2,設定!$D$2,1),0)),0,MOD(INT((DATE(設定!$C$2,設定!$D$2,7)-設定!$C$47)/7),2))</f>
        <v/>
      </c>
      <c r="X58">
        <f>IF(7&gt;DAY(EOMONTH(DATE(設定!$C$2,設定!$D$2,1),0)),0,MOD(INT((DATE(設定!$C$2,設定!$D$2,7)-設定!$C$47)/7),2))</f>
        <v/>
      </c>
      <c r="Y58">
        <f>IF(7&gt;DAY(EOMONTH(DATE(設定!$C$2,設定!$D$2,1),0)),0,MOD(INT((DATE(設定!$C$2,設定!$D$2,7)-設定!$C$47)/7),2))</f>
        <v/>
      </c>
      <c r="Z58">
        <f>IF(8&gt;DAY(EOMONTH(DATE(設定!$C$2,設定!$D$2,1),0)),0,MOD(INT((DATE(設定!$C$2,設定!$D$2,8)-設定!$C$47)/7),2))</f>
        <v/>
      </c>
      <c r="AA58">
        <f>IF(8&gt;DAY(EOMONTH(DATE(設定!$C$2,設定!$D$2,1),0)),0,MOD(INT((DATE(設定!$C$2,設定!$D$2,8)-設定!$C$47)/7),2))</f>
        <v/>
      </c>
      <c r="AB58">
        <f>IF(8&gt;DAY(EOMONTH(DATE(設定!$C$2,設定!$D$2,1),0)),0,MOD(INT((DATE(設定!$C$2,設定!$D$2,8)-設定!$C$47)/7),2))</f>
        <v/>
      </c>
      <c r="AC58">
        <f>IF(9&gt;DAY(EOMONTH(DATE(設定!$C$2,設定!$D$2,1),0)),0,MOD(INT((DATE(設定!$C$2,設定!$D$2,9)-設定!$C$47)/7),2))</f>
        <v/>
      </c>
      <c r="AD58">
        <f>IF(9&gt;DAY(EOMONTH(DATE(設定!$C$2,設定!$D$2,1),0)),0,MOD(INT((DATE(設定!$C$2,設定!$D$2,9)-設定!$C$47)/7),2))</f>
        <v/>
      </c>
      <c r="AE58">
        <f>IF(9&gt;DAY(EOMONTH(DATE(設定!$C$2,設定!$D$2,1),0)),0,MOD(INT((DATE(設定!$C$2,設定!$D$2,9)-設定!$C$47)/7),2))</f>
        <v/>
      </c>
      <c r="AF58">
        <f>IF(10&gt;DAY(EOMONTH(DATE(設定!$C$2,設定!$D$2,1),0)),0,MOD(INT((DATE(設定!$C$2,設定!$D$2,10)-設定!$C$47)/7),2))</f>
        <v/>
      </c>
      <c r="AG58">
        <f>IF(10&gt;DAY(EOMONTH(DATE(設定!$C$2,設定!$D$2,1),0)),0,MOD(INT((DATE(設定!$C$2,設定!$D$2,10)-設定!$C$47)/7),2))</f>
        <v/>
      </c>
      <c r="AH58">
        <f>IF(10&gt;DAY(EOMONTH(DATE(設定!$C$2,設定!$D$2,1),0)),0,MOD(INT((DATE(設定!$C$2,設定!$D$2,10)-設定!$C$47)/7),2))</f>
        <v/>
      </c>
      <c r="AI58">
        <f>IF(11&gt;DAY(EOMONTH(DATE(設定!$C$2,設定!$D$2,1),0)),0,MOD(INT((DATE(設定!$C$2,設定!$D$2,11)-設定!$C$47)/7),2))</f>
        <v/>
      </c>
      <c r="AJ58">
        <f>IF(11&gt;DAY(EOMONTH(DATE(設定!$C$2,設定!$D$2,1),0)),0,MOD(INT((DATE(設定!$C$2,設定!$D$2,11)-設定!$C$47)/7),2))</f>
        <v/>
      </c>
      <c r="AK58">
        <f>IF(11&gt;DAY(EOMONTH(DATE(設定!$C$2,設定!$D$2,1),0)),0,MOD(INT((DATE(設定!$C$2,設定!$D$2,11)-設定!$C$47)/7),2))</f>
        <v/>
      </c>
      <c r="AL58">
        <f>IF(12&gt;DAY(EOMONTH(DATE(設定!$C$2,設定!$D$2,1),0)),0,MOD(INT((DATE(設定!$C$2,設定!$D$2,12)-設定!$C$47)/7),2))</f>
        <v/>
      </c>
      <c r="AM58">
        <f>IF(12&gt;DAY(EOMONTH(DATE(設定!$C$2,設定!$D$2,1),0)),0,MOD(INT((DATE(設定!$C$2,設定!$D$2,12)-設定!$C$47)/7),2))</f>
        <v/>
      </c>
      <c r="AN58">
        <f>IF(12&gt;DAY(EOMONTH(DATE(設定!$C$2,設定!$D$2,1),0)),0,MOD(INT((DATE(設定!$C$2,設定!$D$2,12)-設定!$C$47)/7),2))</f>
        <v/>
      </c>
      <c r="AO58">
        <f>IF(13&gt;DAY(EOMONTH(DATE(設定!$C$2,設定!$D$2,1),0)),0,MOD(INT((DATE(設定!$C$2,設定!$D$2,13)-設定!$C$47)/7),2))</f>
        <v/>
      </c>
      <c r="AP58">
        <f>IF(13&gt;DAY(EOMONTH(DATE(設定!$C$2,設定!$D$2,1),0)),0,MOD(INT((DATE(設定!$C$2,設定!$D$2,13)-設定!$C$47)/7),2))</f>
        <v/>
      </c>
      <c r="AQ58">
        <f>IF(13&gt;DAY(EOMONTH(DATE(設定!$C$2,設定!$D$2,1),0)),0,MOD(INT((DATE(設定!$C$2,設定!$D$2,13)-設定!$C$47)/7),2))</f>
        <v/>
      </c>
      <c r="AR58">
        <f>IF(14&gt;DAY(EOMONTH(DATE(設定!$C$2,設定!$D$2,1),0)),0,MOD(INT((DATE(設定!$C$2,設定!$D$2,14)-設定!$C$47)/7),2))</f>
        <v/>
      </c>
      <c r="AS58">
        <f>IF(14&gt;DAY(EOMONTH(DATE(設定!$C$2,設定!$D$2,1),0)),0,MOD(INT((DATE(設定!$C$2,設定!$D$2,14)-設定!$C$47)/7),2))</f>
        <v/>
      </c>
      <c r="AT58">
        <f>IF(14&gt;DAY(EOMONTH(DATE(設定!$C$2,設定!$D$2,1),0)),0,MOD(INT((DATE(設定!$C$2,設定!$D$2,14)-設定!$C$47)/7),2))</f>
        <v/>
      </c>
      <c r="AU58">
        <f>IF(15&gt;DAY(EOMONTH(DATE(設定!$C$2,設定!$D$2,1),0)),0,MOD(INT((DATE(設定!$C$2,設定!$D$2,15)-設定!$C$47)/7),2))</f>
        <v/>
      </c>
      <c r="AV58">
        <f>IF(15&gt;DAY(EOMONTH(DATE(設定!$C$2,設定!$D$2,1),0)),0,MOD(INT((DATE(設定!$C$2,設定!$D$2,15)-設定!$C$47)/7),2))</f>
        <v/>
      </c>
      <c r="AW58">
        <f>IF(15&gt;DAY(EOMONTH(DATE(設定!$C$2,設定!$D$2,1),0)),0,MOD(INT((DATE(設定!$C$2,設定!$D$2,15)-設定!$C$47)/7),2))</f>
        <v/>
      </c>
      <c r="AX58">
        <f>IF(16&gt;DAY(EOMONTH(DATE(設定!$C$2,設定!$D$2,1),0)),0,MOD(INT((DATE(設定!$C$2,設定!$D$2,16)-設定!$C$47)/7),2))</f>
        <v/>
      </c>
      <c r="AY58">
        <f>IF(16&gt;DAY(EOMONTH(DATE(設定!$C$2,設定!$D$2,1),0)),0,MOD(INT((DATE(設定!$C$2,設定!$D$2,16)-設定!$C$47)/7),2))</f>
        <v/>
      </c>
      <c r="AZ58">
        <f>IF(16&gt;DAY(EOMONTH(DATE(設定!$C$2,設定!$D$2,1),0)),0,MOD(INT((DATE(設定!$C$2,設定!$D$2,16)-設定!$C$47)/7),2))</f>
        <v/>
      </c>
      <c r="BA58">
        <f>IF(17&gt;DAY(EOMONTH(DATE(設定!$C$2,設定!$D$2,1),0)),0,MOD(INT((DATE(設定!$C$2,設定!$D$2,17)-設定!$C$47)/7),2))</f>
        <v/>
      </c>
      <c r="BB58">
        <f>IF(17&gt;DAY(EOMONTH(DATE(設定!$C$2,設定!$D$2,1),0)),0,MOD(INT((DATE(設定!$C$2,設定!$D$2,17)-設定!$C$47)/7),2))</f>
        <v/>
      </c>
      <c r="BC58">
        <f>IF(17&gt;DAY(EOMONTH(DATE(設定!$C$2,設定!$D$2,1),0)),0,MOD(INT((DATE(設定!$C$2,設定!$D$2,17)-設定!$C$47)/7),2))</f>
        <v/>
      </c>
      <c r="BD58">
        <f>IF(18&gt;DAY(EOMONTH(DATE(設定!$C$2,設定!$D$2,1),0)),0,MOD(INT((DATE(設定!$C$2,設定!$D$2,18)-設定!$C$47)/7),2))</f>
        <v/>
      </c>
      <c r="BE58">
        <f>IF(18&gt;DAY(EOMONTH(DATE(設定!$C$2,設定!$D$2,1),0)),0,MOD(INT((DATE(設定!$C$2,設定!$D$2,18)-設定!$C$47)/7),2))</f>
        <v/>
      </c>
      <c r="BF58">
        <f>IF(18&gt;DAY(EOMONTH(DATE(設定!$C$2,設定!$D$2,1),0)),0,MOD(INT((DATE(設定!$C$2,設定!$D$2,18)-設定!$C$47)/7),2))</f>
        <v/>
      </c>
      <c r="BG58">
        <f>IF(19&gt;DAY(EOMONTH(DATE(設定!$C$2,設定!$D$2,1),0)),0,MOD(INT((DATE(設定!$C$2,設定!$D$2,19)-設定!$C$47)/7),2))</f>
        <v/>
      </c>
      <c r="BH58">
        <f>IF(19&gt;DAY(EOMONTH(DATE(設定!$C$2,設定!$D$2,1),0)),0,MOD(INT((DATE(設定!$C$2,設定!$D$2,19)-設定!$C$47)/7),2))</f>
        <v/>
      </c>
      <c r="BI58">
        <f>IF(19&gt;DAY(EOMONTH(DATE(設定!$C$2,設定!$D$2,1),0)),0,MOD(INT((DATE(設定!$C$2,設定!$D$2,19)-設定!$C$47)/7),2))</f>
        <v/>
      </c>
      <c r="BJ58">
        <f>IF(20&gt;DAY(EOMONTH(DATE(設定!$C$2,設定!$D$2,1),0)),0,MOD(INT((DATE(設定!$C$2,設定!$D$2,20)-設定!$C$47)/7),2))</f>
        <v/>
      </c>
      <c r="BK58">
        <f>IF(20&gt;DAY(EOMONTH(DATE(設定!$C$2,設定!$D$2,1),0)),0,MOD(INT((DATE(設定!$C$2,設定!$D$2,20)-設定!$C$47)/7),2))</f>
        <v/>
      </c>
      <c r="BL58">
        <f>IF(20&gt;DAY(EOMONTH(DATE(設定!$C$2,設定!$D$2,1),0)),0,MOD(INT((DATE(設定!$C$2,設定!$D$2,20)-設定!$C$47)/7),2))</f>
        <v/>
      </c>
      <c r="BM58">
        <f>IF(21&gt;DAY(EOMONTH(DATE(設定!$C$2,設定!$D$2,1),0)),0,MOD(INT((DATE(設定!$C$2,設定!$D$2,21)-設定!$C$47)/7),2))</f>
        <v/>
      </c>
      <c r="BN58">
        <f>IF(21&gt;DAY(EOMONTH(DATE(設定!$C$2,設定!$D$2,1),0)),0,MOD(INT((DATE(設定!$C$2,設定!$D$2,21)-設定!$C$47)/7),2))</f>
        <v/>
      </c>
      <c r="BO58">
        <f>IF(21&gt;DAY(EOMONTH(DATE(設定!$C$2,設定!$D$2,1),0)),0,MOD(INT((DATE(設定!$C$2,設定!$D$2,21)-設定!$C$47)/7),2))</f>
        <v/>
      </c>
      <c r="BP58">
        <f>IF(22&gt;DAY(EOMONTH(DATE(設定!$C$2,設定!$D$2,1),0)),0,MOD(INT((DATE(設定!$C$2,設定!$D$2,22)-設定!$C$47)/7),2))</f>
        <v/>
      </c>
      <c r="BQ58">
        <f>IF(22&gt;DAY(EOMONTH(DATE(設定!$C$2,設定!$D$2,1),0)),0,MOD(INT((DATE(設定!$C$2,設定!$D$2,22)-設定!$C$47)/7),2))</f>
        <v/>
      </c>
      <c r="BR58">
        <f>IF(22&gt;DAY(EOMONTH(DATE(設定!$C$2,設定!$D$2,1),0)),0,MOD(INT((DATE(設定!$C$2,設定!$D$2,22)-設定!$C$47)/7),2))</f>
        <v/>
      </c>
      <c r="BS58">
        <f>IF(23&gt;DAY(EOMONTH(DATE(設定!$C$2,設定!$D$2,1),0)),0,MOD(INT((DATE(設定!$C$2,設定!$D$2,23)-設定!$C$47)/7),2))</f>
        <v/>
      </c>
      <c r="BT58">
        <f>IF(23&gt;DAY(EOMONTH(DATE(設定!$C$2,設定!$D$2,1),0)),0,MOD(INT((DATE(設定!$C$2,設定!$D$2,23)-設定!$C$47)/7),2))</f>
        <v/>
      </c>
      <c r="BU58">
        <f>IF(23&gt;DAY(EOMONTH(DATE(設定!$C$2,設定!$D$2,1),0)),0,MOD(INT((DATE(設定!$C$2,設定!$D$2,23)-設定!$C$47)/7),2))</f>
        <v/>
      </c>
      <c r="BV58">
        <f>IF(24&gt;DAY(EOMONTH(DATE(設定!$C$2,設定!$D$2,1),0)),0,MOD(INT((DATE(設定!$C$2,設定!$D$2,24)-設定!$C$47)/7),2))</f>
        <v/>
      </c>
      <c r="BW58">
        <f>IF(24&gt;DAY(EOMONTH(DATE(設定!$C$2,設定!$D$2,1),0)),0,MOD(INT((DATE(設定!$C$2,設定!$D$2,24)-設定!$C$47)/7),2))</f>
        <v/>
      </c>
      <c r="BX58">
        <f>IF(24&gt;DAY(EOMONTH(DATE(設定!$C$2,設定!$D$2,1),0)),0,MOD(INT((DATE(設定!$C$2,設定!$D$2,24)-設定!$C$47)/7),2))</f>
        <v/>
      </c>
      <c r="BY58">
        <f>IF(25&gt;DAY(EOMONTH(DATE(設定!$C$2,設定!$D$2,1),0)),0,MOD(INT((DATE(設定!$C$2,設定!$D$2,25)-設定!$C$47)/7),2))</f>
        <v/>
      </c>
      <c r="BZ58">
        <f>IF(25&gt;DAY(EOMONTH(DATE(設定!$C$2,設定!$D$2,1),0)),0,MOD(INT((DATE(設定!$C$2,設定!$D$2,25)-設定!$C$47)/7),2))</f>
        <v/>
      </c>
      <c r="CA58">
        <f>IF(25&gt;DAY(EOMONTH(DATE(設定!$C$2,設定!$D$2,1),0)),0,MOD(INT((DATE(設定!$C$2,設定!$D$2,25)-設定!$C$47)/7),2))</f>
        <v/>
      </c>
      <c r="CB58">
        <f>IF(26&gt;DAY(EOMONTH(DATE(設定!$C$2,設定!$D$2,1),0)),0,MOD(INT((DATE(設定!$C$2,設定!$D$2,26)-設定!$C$47)/7),2))</f>
        <v/>
      </c>
      <c r="CC58">
        <f>IF(26&gt;DAY(EOMONTH(DATE(設定!$C$2,設定!$D$2,1),0)),0,MOD(INT((DATE(設定!$C$2,設定!$D$2,26)-設定!$C$47)/7),2))</f>
        <v/>
      </c>
      <c r="CD58">
        <f>IF(26&gt;DAY(EOMONTH(DATE(設定!$C$2,設定!$D$2,1),0)),0,MOD(INT((DATE(設定!$C$2,設定!$D$2,26)-設定!$C$47)/7),2))</f>
        <v/>
      </c>
      <c r="CE58">
        <f>IF(27&gt;DAY(EOMONTH(DATE(設定!$C$2,設定!$D$2,1),0)),0,MOD(INT((DATE(設定!$C$2,設定!$D$2,27)-設定!$C$47)/7),2))</f>
        <v/>
      </c>
      <c r="CF58">
        <f>IF(27&gt;DAY(EOMONTH(DATE(設定!$C$2,設定!$D$2,1),0)),0,MOD(INT((DATE(設定!$C$2,設定!$D$2,27)-設定!$C$47)/7),2))</f>
        <v/>
      </c>
      <c r="CG58">
        <f>IF(27&gt;DAY(EOMONTH(DATE(設定!$C$2,設定!$D$2,1),0)),0,MOD(INT((DATE(設定!$C$2,設定!$D$2,27)-設定!$C$47)/7),2))</f>
        <v/>
      </c>
      <c r="CH58">
        <f>IF(28&gt;DAY(EOMONTH(DATE(設定!$C$2,設定!$D$2,1),0)),0,MOD(INT((DATE(設定!$C$2,設定!$D$2,28)-設定!$C$47)/7),2))</f>
        <v/>
      </c>
      <c r="CI58">
        <f>IF(28&gt;DAY(EOMONTH(DATE(設定!$C$2,設定!$D$2,1),0)),0,MOD(INT((DATE(設定!$C$2,設定!$D$2,28)-設定!$C$47)/7),2))</f>
        <v/>
      </c>
      <c r="CJ58">
        <f>IF(28&gt;DAY(EOMONTH(DATE(設定!$C$2,設定!$D$2,1),0)),0,MOD(INT((DATE(設定!$C$2,設定!$D$2,28)-設定!$C$47)/7),2))</f>
        <v/>
      </c>
      <c r="CK58">
        <f>IF(29&gt;DAY(EOMONTH(DATE(設定!$C$2,設定!$D$2,1),0)),0,MOD(INT((DATE(設定!$C$2,設定!$D$2,29)-設定!$C$47)/7),2))</f>
        <v/>
      </c>
      <c r="CL58">
        <f>IF(29&gt;DAY(EOMONTH(DATE(設定!$C$2,設定!$D$2,1),0)),0,MOD(INT((DATE(設定!$C$2,設定!$D$2,29)-設定!$C$47)/7),2))</f>
        <v/>
      </c>
      <c r="CM58">
        <f>IF(29&gt;DAY(EOMONTH(DATE(設定!$C$2,設定!$D$2,1),0)),0,MOD(INT((DATE(設定!$C$2,設定!$D$2,29)-設定!$C$47)/7),2))</f>
        <v/>
      </c>
      <c r="CN58">
        <f>IF(30&gt;DAY(EOMONTH(DATE(設定!$C$2,設定!$D$2,1),0)),0,MOD(INT((DATE(設定!$C$2,設定!$D$2,30)-設定!$C$47)/7),2))</f>
        <v/>
      </c>
      <c r="CO58">
        <f>IF(30&gt;DAY(EOMONTH(DATE(設定!$C$2,設定!$D$2,1),0)),0,MOD(INT((DATE(設定!$C$2,設定!$D$2,30)-設定!$C$47)/7),2))</f>
        <v/>
      </c>
      <c r="CP58">
        <f>IF(30&gt;DAY(EOMONTH(DATE(設定!$C$2,設定!$D$2,1),0)),0,MOD(INT((DATE(設定!$C$2,設定!$D$2,30)-設定!$C$47)/7),2))</f>
        <v/>
      </c>
      <c r="CQ58">
        <f>IF(31&gt;DAY(EOMONTH(DATE(設定!$C$2,設定!$D$2,1),0)),0,MOD(INT((DATE(設定!$C$2,設定!$D$2,31)-設定!$C$47)/7),2))</f>
        <v/>
      </c>
      <c r="CR58">
        <f>IF(31&gt;DAY(EOMONTH(DATE(設定!$C$2,設定!$D$2,1),0)),0,MOD(INT((DATE(設定!$C$2,設定!$D$2,31)-設定!$C$47)/7),2))</f>
        <v/>
      </c>
      <c r="CS58">
        <f>IF(31&gt;DAY(EOMONTH(DATE(設定!$C$2,設定!$D$2,1),0)),0,MOD(INT((DATE(設定!$C$2,設定!$D$2,31)-設定!$C$47)/7),2))</f>
        <v/>
      </c>
    </row>
    <row r="59" hidden="1">
      <c r="A59" s="77" t="inlineStr">
        <is>
          <t>↓運算用,請勿刪</t>
        </is>
      </c>
      <c r="E59">
        <f>IF(1&gt;DAY(EOMONTH(DATE(設定!$C$2,設定!$D$2,1),0)),"X",IF(COUNTIF(設定!$W$6:$W$40,DATE(設定!$C$2,設定!$D$2,1))&gt;0,"國",IF(SUMPRODUCT(INDEX(設定!$U$52:$AO$56,0,E$57))=0,"休","")))</f>
        <v/>
      </c>
      <c r="F59">
        <f>IF(1&gt;DAY(EOMONTH(DATE(設定!$C$2,設定!$D$2,1),0)),"X",IF(COUNTIF(設定!$W$6:$W$40,DATE(設定!$C$2,設定!$D$2,1))&gt;0,"國",IF(SUMPRODUCT(INDEX(設定!$U$52:$AO$56,0,F$57))=0,"休","")))</f>
        <v/>
      </c>
      <c r="G59">
        <f>IF(1&gt;DAY(EOMONTH(DATE(設定!$C$2,設定!$D$2,1),0)),"X",IF(COUNTIF(設定!$W$6:$W$40,DATE(設定!$C$2,設定!$D$2,1))&gt;0,"國",IF(SUMPRODUCT(INDEX(設定!$U$52:$AO$56,0,G$57))=0,"休","")))</f>
        <v/>
      </c>
      <c r="H59">
        <f>IF(2&gt;DAY(EOMONTH(DATE(設定!$C$2,設定!$D$2,1),0)),"X",IF(COUNTIF(設定!$W$6:$W$40,DATE(設定!$C$2,設定!$D$2,2))&gt;0,"國",IF(SUMPRODUCT(INDEX(設定!$U$52:$AO$56,0,H$57))=0,"休","")))</f>
        <v/>
      </c>
      <c r="I59">
        <f>IF(2&gt;DAY(EOMONTH(DATE(設定!$C$2,設定!$D$2,1),0)),"X",IF(COUNTIF(設定!$W$6:$W$40,DATE(設定!$C$2,設定!$D$2,2))&gt;0,"國",IF(SUMPRODUCT(INDEX(設定!$U$52:$AO$56,0,I$57))=0,"休","")))</f>
        <v/>
      </c>
      <c r="J59">
        <f>IF(2&gt;DAY(EOMONTH(DATE(設定!$C$2,設定!$D$2,1),0)),"X",IF(COUNTIF(設定!$W$6:$W$40,DATE(設定!$C$2,設定!$D$2,2))&gt;0,"國",IF(SUMPRODUCT(INDEX(設定!$U$52:$AO$56,0,J$57))=0,"休","")))</f>
        <v/>
      </c>
      <c r="K59">
        <f>IF(3&gt;DAY(EOMONTH(DATE(設定!$C$2,設定!$D$2,1),0)),"X",IF(COUNTIF(設定!$W$6:$W$40,DATE(設定!$C$2,設定!$D$2,3))&gt;0,"國",IF(SUMPRODUCT(INDEX(設定!$U$52:$AO$56,0,K$57))=0,"休","")))</f>
        <v/>
      </c>
      <c r="L59">
        <f>IF(3&gt;DAY(EOMONTH(DATE(設定!$C$2,設定!$D$2,1),0)),"X",IF(COUNTIF(設定!$W$6:$W$40,DATE(設定!$C$2,設定!$D$2,3))&gt;0,"國",IF(SUMPRODUCT(INDEX(設定!$U$52:$AO$56,0,L$57))=0,"休","")))</f>
        <v/>
      </c>
      <c r="M59">
        <f>IF(3&gt;DAY(EOMONTH(DATE(設定!$C$2,設定!$D$2,1),0)),"X",IF(COUNTIF(設定!$W$6:$W$40,DATE(設定!$C$2,設定!$D$2,3))&gt;0,"國",IF(SUMPRODUCT(INDEX(設定!$U$52:$AO$56,0,M$57))=0,"休","")))</f>
        <v/>
      </c>
      <c r="N59">
        <f>IF(4&gt;DAY(EOMONTH(DATE(設定!$C$2,設定!$D$2,1),0)),"X",IF(COUNTIF(設定!$W$6:$W$40,DATE(設定!$C$2,設定!$D$2,4))&gt;0,"國",IF(SUMPRODUCT(INDEX(設定!$U$52:$AO$56,0,N$57))=0,"休","")))</f>
        <v/>
      </c>
      <c r="O59">
        <f>IF(4&gt;DAY(EOMONTH(DATE(設定!$C$2,設定!$D$2,1),0)),"X",IF(COUNTIF(設定!$W$6:$W$40,DATE(設定!$C$2,設定!$D$2,4))&gt;0,"國",IF(SUMPRODUCT(INDEX(設定!$U$52:$AO$56,0,O$57))=0,"休","")))</f>
        <v/>
      </c>
      <c r="P59">
        <f>IF(4&gt;DAY(EOMONTH(DATE(設定!$C$2,設定!$D$2,1),0)),"X",IF(COUNTIF(設定!$W$6:$W$40,DATE(設定!$C$2,設定!$D$2,4))&gt;0,"國",IF(SUMPRODUCT(INDEX(設定!$U$52:$AO$56,0,P$57))=0,"休","")))</f>
        <v/>
      </c>
      <c r="Q59">
        <f>IF(5&gt;DAY(EOMONTH(DATE(設定!$C$2,設定!$D$2,1),0)),"X",IF(COUNTIF(設定!$W$6:$W$40,DATE(設定!$C$2,設定!$D$2,5))&gt;0,"國",IF(SUMPRODUCT(INDEX(設定!$U$52:$AO$56,0,Q$57))=0,"休","")))</f>
        <v/>
      </c>
      <c r="R59">
        <f>IF(5&gt;DAY(EOMONTH(DATE(設定!$C$2,設定!$D$2,1),0)),"X",IF(COUNTIF(設定!$W$6:$W$40,DATE(設定!$C$2,設定!$D$2,5))&gt;0,"國",IF(SUMPRODUCT(INDEX(設定!$U$52:$AO$56,0,R$57))=0,"休","")))</f>
        <v/>
      </c>
      <c r="S59">
        <f>IF(5&gt;DAY(EOMONTH(DATE(設定!$C$2,設定!$D$2,1),0)),"X",IF(COUNTIF(設定!$W$6:$W$40,DATE(設定!$C$2,設定!$D$2,5))&gt;0,"國",IF(SUMPRODUCT(INDEX(設定!$U$52:$AO$56,0,S$57))=0,"休","")))</f>
        <v/>
      </c>
      <c r="T59">
        <f>IF(6&gt;DAY(EOMONTH(DATE(設定!$C$2,設定!$D$2,1),0)),"X",IF(COUNTIF(設定!$W$6:$W$40,DATE(設定!$C$2,設定!$D$2,6))&gt;0,"國",IF(SUMPRODUCT(INDEX(設定!$U$52:$AO$56,0,T$57))=0,"休","")))</f>
        <v/>
      </c>
      <c r="U59">
        <f>IF(6&gt;DAY(EOMONTH(DATE(設定!$C$2,設定!$D$2,1),0)),"X",IF(COUNTIF(設定!$W$6:$W$40,DATE(設定!$C$2,設定!$D$2,6))&gt;0,"國",IF(SUMPRODUCT(INDEX(設定!$U$52:$AO$56,0,U$57))=0,"休","")))</f>
        <v/>
      </c>
      <c r="V59">
        <f>IF(6&gt;DAY(EOMONTH(DATE(設定!$C$2,設定!$D$2,1),0)),"X",IF(COUNTIF(設定!$W$6:$W$40,DATE(設定!$C$2,設定!$D$2,6))&gt;0,"國",IF(SUMPRODUCT(INDEX(設定!$U$52:$AO$56,0,V$57))=0,"休","")))</f>
        <v/>
      </c>
      <c r="W59">
        <f>IF(7&gt;DAY(EOMONTH(DATE(設定!$C$2,設定!$D$2,1),0)),"X",IF(COUNTIF(設定!$W$6:$W$40,DATE(設定!$C$2,設定!$D$2,7))&gt;0,"國",IF(SUMPRODUCT(INDEX(設定!$U$52:$AO$56,0,W$57))=0,"休","")))</f>
        <v/>
      </c>
      <c r="X59">
        <f>IF(7&gt;DAY(EOMONTH(DATE(設定!$C$2,設定!$D$2,1),0)),"X",IF(COUNTIF(設定!$W$6:$W$40,DATE(設定!$C$2,設定!$D$2,7))&gt;0,"國",IF(SUMPRODUCT(INDEX(設定!$U$52:$AO$56,0,X$57))=0,"休","")))</f>
        <v/>
      </c>
      <c r="Y59">
        <f>IF(7&gt;DAY(EOMONTH(DATE(設定!$C$2,設定!$D$2,1),0)),"X",IF(COUNTIF(設定!$W$6:$W$40,DATE(設定!$C$2,設定!$D$2,7))&gt;0,"國",IF(SUMPRODUCT(INDEX(設定!$U$52:$AO$56,0,Y$57))=0,"休","")))</f>
        <v/>
      </c>
      <c r="Z59">
        <f>IF(8&gt;DAY(EOMONTH(DATE(設定!$C$2,設定!$D$2,1),0)),"X",IF(COUNTIF(設定!$W$6:$W$40,DATE(設定!$C$2,設定!$D$2,8))&gt;0,"國",IF(SUMPRODUCT(INDEX(設定!$U$52:$AO$56,0,Z$57))=0,"休","")))</f>
        <v/>
      </c>
      <c r="AA59">
        <f>IF(8&gt;DAY(EOMONTH(DATE(設定!$C$2,設定!$D$2,1),0)),"X",IF(COUNTIF(設定!$W$6:$W$40,DATE(設定!$C$2,設定!$D$2,8))&gt;0,"國",IF(SUMPRODUCT(INDEX(設定!$U$52:$AO$56,0,AA$57))=0,"休","")))</f>
        <v/>
      </c>
      <c r="AB59">
        <f>IF(8&gt;DAY(EOMONTH(DATE(設定!$C$2,設定!$D$2,1),0)),"X",IF(COUNTIF(設定!$W$6:$W$40,DATE(設定!$C$2,設定!$D$2,8))&gt;0,"國",IF(SUMPRODUCT(INDEX(設定!$U$52:$AO$56,0,AB$57))=0,"休","")))</f>
        <v/>
      </c>
      <c r="AC59">
        <f>IF(9&gt;DAY(EOMONTH(DATE(設定!$C$2,設定!$D$2,1),0)),"X",IF(COUNTIF(設定!$W$6:$W$40,DATE(設定!$C$2,設定!$D$2,9))&gt;0,"國",IF(SUMPRODUCT(INDEX(設定!$U$52:$AO$56,0,AC$57))=0,"休","")))</f>
        <v/>
      </c>
      <c r="AD59">
        <f>IF(9&gt;DAY(EOMONTH(DATE(設定!$C$2,設定!$D$2,1),0)),"X",IF(COUNTIF(設定!$W$6:$W$40,DATE(設定!$C$2,設定!$D$2,9))&gt;0,"國",IF(SUMPRODUCT(INDEX(設定!$U$52:$AO$56,0,AD$57))=0,"休","")))</f>
        <v/>
      </c>
      <c r="AE59">
        <f>IF(9&gt;DAY(EOMONTH(DATE(設定!$C$2,設定!$D$2,1),0)),"X",IF(COUNTIF(設定!$W$6:$W$40,DATE(設定!$C$2,設定!$D$2,9))&gt;0,"國",IF(SUMPRODUCT(INDEX(設定!$U$52:$AO$56,0,AE$57))=0,"休","")))</f>
        <v/>
      </c>
      <c r="AF59">
        <f>IF(10&gt;DAY(EOMONTH(DATE(設定!$C$2,設定!$D$2,1),0)),"X",IF(COUNTIF(設定!$W$6:$W$40,DATE(設定!$C$2,設定!$D$2,10))&gt;0,"國",IF(SUMPRODUCT(INDEX(設定!$U$52:$AO$56,0,AF$57))=0,"休","")))</f>
        <v/>
      </c>
      <c r="AG59">
        <f>IF(10&gt;DAY(EOMONTH(DATE(設定!$C$2,設定!$D$2,1),0)),"X",IF(COUNTIF(設定!$W$6:$W$40,DATE(設定!$C$2,設定!$D$2,10))&gt;0,"國",IF(SUMPRODUCT(INDEX(設定!$U$52:$AO$56,0,AG$57))=0,"休","")))</f>
        <v/>
      </c>
      <c r="AH59">
        <f>IF(10&gt;DAY(EOMONTH(DATE(設定!$C$2,設定!$D$2,1),0)),"X",IF(COUNTIF(設定!$W$6:$W$40,DATE(設定!$C$2,設定!$D$2,10))&gt;0,"國",IF(SUMPRODUCT(INDEX(設定!$U$52:$AO$56,0,AH$57))=0,"休","")))</f>
        <v/>
      </c>
      <c r="AI59">
        <f>IF(11&gt;DAY(EOMONTH(DATE(設定!$C$2,設定!$D$2,1),0)),"X",IF(COUNTIF(設定!$W$6:$W$40,DATE(設定!$C$2,設定!$D$2,11))&gt;0,"國",IF(SUMPRODUCT(INDEX(設定!$U$52:$AO$56,0,AI$57))=0,"休","")))</f>
        <v/>
      </c>
      <c r="AJ59">
        <f>IF(11&gt;DAY(EOMONTH(DATE(設定!$C$2,設定!$D$2,1),0)),"X",IF(COUNTIF(設定!$W$6:$W$40,DATE(設定!$C$2,設定!$D$2,11))&gt;0,"國",IF(SUMPRODUCT(INDEX(設定!$U$52:$AO$56,0,AJ$57))=0,"休","")))</f>
        <v/>
      </c>
      <c r="AK59">
        <f>IF(11&gt;DAY(EOMONTH(DATE(設定!$C$2,設定!$D$2,1),0)),"X",IF(COUNTIF(設定!$W$6:$W$40,DATE(設定!$C$2,設定!$D$2,11))&gt;0,"國",IF(SUMPRODUCT(INDEX(設定!$U$52:$AO$56,0,AK$57))=0,"休","")))</f>
        <v/>
      </c>
      <c r="AL59">
        <f>IF(12&gt;DAY(EOMONTH(DATE(設定!$C$2,設定!$D$2,1),0)),"X",IF(COUNTIF(設定!$W$6:$W$40,DATE(設定!$C$2,設定!$D$2,12))&gt;0,"國",IF(SUMPRODUCT(INDEX(設定!$U$52:$AO$56,0,AL$57))=0,"休","")))</f>
        <v/>
      </c>
      <c r="AM59">
        <f>IF(12&gt;DAY(EOMONTH(DATE(設定!$C$2,設定!$D$2,1),0)),"X",IF(COUNTIF(設定!$W$6:$W$40,DATE(設定!$C$2,設定!$D$2,12))&gt;0,"國",IF(SUMPRODUCT(INDEX(設定!$U$52:$AO$56,0,AM$57))=0,"休","")))</f>
        <v/>
      </c>
      <c r="AN59">
        <f>IF(12&gt;DAY(EOMONTH(DATE(設定!$C$2,設定!$D$2,1),0)),"X",IF(COUNTIF(設定!$W$6:$W$40,DATE(設定!$C$2,設定!$D$2,12))&gt;0,"國",IF(SUMPRODUCT(INDEX(設定!$U$52:$AO$56,0,AN$57))=0,"休","")))</f>
        <v/>
      </c>
      <c r="AO59">
        <f>IF(13&gt;DAY(EOMONTH(DATE(設定!$C$2,設定!$D$2,1),0)),"X",IF(COUNTIF(設定!$W$6:$W$40,DATE(設定!$C$2,設定!$D$2,13))&gt;0,"國",IF(SUMPRODUCT(INDEX(設定!$U$52:$AO$56,0,AO$57))=0,"休","")))</f>
        <v/>
      </c>
      <c r="AP59">
        <f>IF(13&gt;DAY(EOMONTH(DATE(設定!$C$2,設定!$D$2,1),0)),"X",IF(COUNTIF(設定!$W$6:$W$40,DATE(設定!$C$2,設定!$D$2,13))&gt;0,"國",IF(SUMPRODUCT(INDEX(設定!$U$52:$AO$56,0,AP$57))=0,"休","")))</f>
        <v/>
      </c>
      <c r="AQ59">
        <f>IF(13&gt;DAY(EOMONTH(DATE(設定!$C$2,設定!$D$2,1),0)),"X",IF(COUNTIF(設定!$W$6:$W$40,DATE(設定!$C$2,設定!$D$2,13))&gt;0,"國",IF(SUMPRODUCT(INDEX(設定!$U$52:$AO$56,0,AQ$57))=0,"休","")))</f>
        <v/>
      </c>
      <c r="AR59">
        <f>IF(14&gt;DAY(EOMONTH(DATE(設定!$C$2,設定!$D$2,1),0)),"X",IF(COUNTIF(設定!$W$6:$W$40,DATE(設定!$C$2,設定!$D$2,14))&gt;0,"國",IF(SUMPRODUCT(INDEX(設定!$U$52:$AO$56,0,AR$57))=0,"休","")))</f>
        <v/>
      </c>
      <c r="AS59">
        <f>IF(14&gt;DAY(EOMONTH(DATE(設定!$C$2,設定!$D$2,1),0)),"X",IF(COUNTIF(設定!$W$6:$W$40,DATE(設定!$C$2,設定!$D$2,14))&gt;0,"國",IF(SUMPRODUCT(INDEX(設定!$U$52:$AO$56,0,AS$57))=0,"休","")))</f>
        <v/>
      </c>
      <c r="AT59">
        <f>IF(14&gt;DAY(EOMONTH(DATE(設定!$C$2,設定!$D$2,1),0)),"X",IF(COUNTIF(設定!$W$6:$W$40,DATE(設定!$C$2,設定!$D$2,14))&gt;0,"國",IF(SUMPRODUCT(INDEX(設定!$U$52:$AO$56,0,AT$57))=0,"休","")))</f>
        <v/>
      </c>
      <c r="AU59">
        <f>IF(15&gt;DAY(EOMONTH(DATE(設定!$C$2,設定!$D$2,1),0)),"X",IF(COUNTIF(設定!$W$6:$W$40,DATE(設定!$C$2,設定!$D$2,15))&gt;0,"國",IF(SUMPRODUCT(INDEX(設定!$U$52:$AO$56,0,AU$57))=0,"休","")))</f>
        <v/>
      </c>
      <c r="AV59">
        <f>IF(15&gt;DAY(EOMONTH(DATE(設定!$C$2,設定!$D$2,1),0)),"X",IF(COUNTIF(設定!$W$6:$W$40,DATE(設定!$C$2,設定!$D$2,15))&gt;0,"國",IF(SUMPRODUCT(INDEX(設定!$U$52:$AO$56,0,AV$57))=0,"休","")))</f>
        <v/>
      </c>
      <c r="AW59">
        <f>IF(15&gt;DAY(EOMONTH(DATE(設定!$C$2,設定!$D$2,1),0)),"X",IF(COUNTIF(設定!$W$6:$W$40,DATE(設定!$C$2,設定!$D$2,15))&gt;0,"國",IF(SUMPRODUCT(INDEX(設定!$U$52:$AO$56,0,AW$57))=0,"休","")))</f>
        <v/>
      </c>
      <c r="AX59">
        <f>IF(16&gt;DAY(EOMONTH(DATE(設定!$C$2,設定!$D$2,1),0)),"X",IF(COUNTIF(設定!$W$6:$W$40,DATE(設定!$C$2,設定!$D$2,16))&gt;0,"國",IF(SUMPRODUCT(INDEX(設定!$U$52:$AO$56,0,AX$57))=0,"休","")))</f>
        <v/>
      </c>
      <c r="AY59">
        <f>IF(16&gt;DAY(EOMONTH(DATE(設定!$C$2,設定!$D$2,1),0)),"X",IF(COUNTIF(設定!$W$6:$W$40,DATE(設定!$C$2,設定!$D$2,16))&gt;0,"國",IF(SUMPRODUCT(INDEX(設定!$U$52:$AO$56,0,AY$57))=0,"休","")))</f>
        <v/>
      </c>
      <c r="AZ59">
        <f>IF(16&gt;DAY(EOMONTH(DATE(設定!$C$2,設定!$D$2,1),0)),"X",IF(COUNTIF(設定!$W$6:$W$40,DATE(設定!$C$2,設定!$D$2,16))&gt;0,"國",IF(SUMPRODUCT(INDEX(設定!$U$52:$AO$56,0,AZ$57))=0,"休","")))</f>
        <v/>
      </c>
      <c r="BA59">
        <f>IF(17&gt;DAY(EOMONTH(DATE(設定!$C$2,設定!$D$2,1),0)),"X",IF(COUNTIF(設定!$W$6:$W$40,DATE(設定!$C$2,設定!$D$2,17))&gt;0,"國",IF(SUMPRODUCT(INDEX(設定!$U$52:$AO$56,0,BA$57))=0,"休","")))</f>
        <v/>
      </c>
      <c r="BB59">
        <f>IF(17&gt;DAY(EOMONTH(DATE(設定!$C$2,設定!$D$2,1),0)),"X",IF(COUNTIF(設定!$W$6:$W$40,DATE(設定!$C$2,設定!$D$2,17))&gt;0,"國",IF(SUMPRODUCT(INDEX(設定!$U$52:$AO$56,0,BB$57))=0,"休","")))</f>
        <v/>
      </c>
      <c r="BC59">
        <f>IF(17&gt;DAY(EOMONTH(DATE(設定!$C$2,設定!$D$2,1),0)),"X",IF(COUNTIF(設定!$W$6:$W$40,DATE(設定!$C$2,設定!$D$2,17))&gt;0,"國",IF(SUMPRODUCT(INDEX(設定!$U$52:$AO$56,0,BC$57))=0,"休","")))</f>
        <v/>
      </c>
      <c r="BD59">
        <f>IF(18&gt;DAY(EOMONTH(DATE(設定!$C$2,設定!$D$2,1),0)),"X",IF(COUNTIF(設定!$W$6:$W$40,DATE(設定!$C$2,設定!$D$2,18))&gt;0,"國",IF(SUMPRODUCT(INDEX(設定!$U$52:$AO$56,0,BD$57))=0,"休","")))</f>
        <v/>
      </c>
      <c r="BE59">
        <f>IF(18&gt;DAY(EOMONTH(DATE(設定!$C$2,設定!$D$2,1),0)),"X",IF(COUNTIF(設定!$W$6:$W$40,DATE(設定!$C$2,設定!$D$2,18))&gt;0,"國",IF(SUMPRODUCT(INDEX(設定!$U$52:$AO$56,0,BE$57))=0,"休","")))</f>
        <v/>
      </c>
      <c r="BF59">
        <f>IF(18&gt;DAY(EOMONTH(DATE(設定!$C$2,設定!$D$2,1),0)),"X",IF(COUNTIF(設定!$W$6:$W$40,DATE(設定!$C$2,設定!$D$2,18))&gt;0,"國",IF(SUMPRODUCT(INDEX(設定!$U$52:$AO$56,0,BF$57))=0,"休","")))</f>
        <v/>
      </c>
      <c r="BG59">
        <f>IF(19&gt;DAY(EOMONTH(DATE(設定!$C$2,設定!$D$2,1),0)),"X",IF(COUNTIF(設定!$W$6:$W$40,DATE(設定!$C$2,設定!$D$2,19))&gt;0,"國",IF(SUMPRODUCT(INDEX(設定!$U$52:$AO$56,0,BG$57))=0,"休","")))</f>
        <v/>
      </c>
      <c r="BH59">
        <f>IF(19&gt;DAY(EOMONTH(DATE(設定!$C$2,設定!$D$2,1),0)),"X",IF(COUNTIF(設定!$W$6:$W$40,DATE(設定!$C$2,設定!$D$2,19))&gt;0,"國",IF(SUMPRODUCT(INDEX(設定!$U$52:$AO$56,0,BH$57))=0,"休","")))</f>
        <v/>
      </c>
      <c r="BI59">
        <f>IF(19&gt;DAY(EOMONTH(DATE(設定!$C$2,設定!$D$2,1),0)),"X",IF(COUNTIF(設定!$W$6:$W$40,DATE(設定!$C$2,設定!$D$2,19))&gt;0,"國",IF(SUMPRODUCT(INDEX(設定!$U$52:$AO$56,0,BI$57))=0,"休","")))</f>
        <v/>
      </c>
      <c r="BJ59">
        <f>IF(20&gt;DAY(EOMONTH(DATE(設定!$C$2,設定!$D$2,1),0)),"X",IF(COUNTIF(設定!$W$6:$W$40,DATE(設定!$C$2,設定!$D$2,20))&gt;0,"國",IF(SUMPRODUCT(INDEX(設定!$U$52:$AO$56,0,BJ$57))=0,"休","")))</f>
        <v/>
      </c>
      <c r="BK59">
        <f>IF(20&gt;DAY(EOMONTH(DATE(設定!$C$2,設定!$D$2,1),0)),"X",IF(COUNTIF(設定!$W$6:$W$40,DATE(設定!$C$2,設定!$D$2,20))&gt;0,"國",IF(SUMPRODUCT(INDEX(設定!$U$52:$AO$56,0,BK$57))=0,"休","")))</f>
        <v/>
      </c>
      <c r="BL59">
        <f>IF(20&gt;DAY(EOMONTH(DATE(設定!$C$2,設定!$D$2,1),0)),"X",IF(COUNTIF(設定!$W$6:$W$40,DATE(設定!$C$2,設定!$D$2,20))&gt;0,"國",IF(SUMPRODUCT(INDEX(設定!$U$52:$AO$56,0,BL$57))=0,"休","")))</f>
        <v/>
      </c>
      <c r="BM59">
        <f>IF(21&gt;DAY(EOMONTH(DATE(設定!$C$2,設定!$D$2,1),0)),"X",IF(COUNTIF(設定!$W$6:$W$40,DATE(設定!$C$2,設定!$D$2,21))&gt;0,"國",IF(SUMPRODUCT(INDEX(設定!$U$52:$AO$56,0,BM$57))=0,"休","")))</f>
        <v/>
      </c>
      <c r="BN59">
        <f>IF(21&gt;DAY(EOMONTH(DATE(設定!$C$2,設定!$D$2,1),0)),"X",IF(COUNTIF(設定!$W$6:$W$40,DATE(設定!$C$2,設定!$D$2,21))&gt;0,"國",IF(SUMPRODUCT(INDEX(設定!$U$52:$AO$56,0,BN$57))=0,"休","")))</f>
        <v/>
      </c>
      <c r="BO59">
        <f>IF(21&gt;DAY(EOMONTH(DATE(設定!$C$2,設定!$D$2,1),0)),"X",IF(COUNTIF(設定!$W$6:$W$40,DATE(設定!$C$2,設定!$D$2,21))&gt;0,"國",IF(SUMPRODUCT(INDEX(設定!$U$52:$AO$56,0,BO$57))=0,"休","")))</f>
        <v/>
      </c>
      <c r="BP59">
        <f>IF(22&gt;DAY(EOMONTH(DATE(設定!$C$2,設定!$D$2,1),0)),"X",IF(COUNTIF(設定!$W$6:$W$40,DATE(設定!$C$2,設定!$D$2,22))&gt;0,"國",IF(SUMPRODUCT(INDEX(設定!$U$52:$AO$56,0,BP$57))=0,"休","")))</f>
        <v/>
      </c>
      <c r="BQ59">
        <f>IF(22&gt;DAY(EOMONTH(DATE(設定!$C$2,設定!$D$2,1),0)),"X",IF(COUNTIF(設定!$W$6:$W$40,DATE(設定!$C$2,設定!$D$2,22))&gt;0,"國",IF(SUMPRODUCT(INDEX(設定!$U$52:$AO$56,0,BQ$57))=0,"休","")))</f>
        <v/>
      </c>
      <c r="BR59">
        <f>IF(22&gt;DAY(EOMONTH(DATE(設定!$C$2,設定!$D$2,1),0)),"X",IF(COUNTIF(設定!$W$6:$W$40,DATE(設定!$C$2,設定!$D$2,22))&gt;0,"國",IF(SUMPRODUCT(INDEX(設定!$U$52:$AO$56,0,BR$57))=0,"休","")))</f>
        <v/>
      </c>
      <c r="BS59">
        <f>IF(23&gt;DAY(EOMONTH(DATE(設定!$C$2,設定!$D$2,1),0)),"X",IF(COUNTIF(設定!$W$6:$W$40,DATE(設定!$C$2,設定!$D$2,23))&gt;0,"國",IF(SUMPRODUCT(INDEX(設定!$U$52:$AO$56,0,BS$57))=0,"休","")))</f>
        <v/>
      </c>
      <c r="BT59">
        <f>IF(23&gt;DAY(EOMONTH(DATE(設定!$C$2,設定!$D$2,1),0)),"X",IF(COUNTIF(設定!$W$6:$W$40,DATE(設定!$C$2,設定!$D$2,23))&gt;0,"國",IF(SUMPRODUCT(INDEX(設定!$U$52:$AO$56,0,BT$57))=0,"休","")))</f>
        <v/>
      </c>
      <c r="BU59">
        <f>IF(23&gt;DAY(EOMONTH(DATE(設定!$C$2,設定!$D$2,1),0)),"X",IF(COUNTIF(設定!$W$6:$W$40,DATE(設定!$C$2,設定!$D$2,23))&gt;0,"國",IF(SUMPRODUCT(INDEX(設定!$U$52:$AO$56,0,BU$57))=0,"休","")))</f>
        <v/>
      </c>
      <c r="BV59">
        <f>IF(24&gt;DAY(EOMONTH(DATE(設定!$C$2,設定!$D$2,1),0)),"X",IF(COUNTIF(設定!$W$6:$W$40,DATE(設定!$C$2,設定!$D$2,24))&gt;0,"國",IF(SUMPRODUCT(INDEX(設定!$U$52:$AO$56,0,BV$57))=0,"休","")))</f>
        <v/>
      </c>
      <c r="BW59">
        <f>IF(24&gt;DAY(EOMONTH(DATE(設定!$C$2,設定!$D$2,1),0)),"X",IF(COUNTIF(設定!$W$6:$W$40,DATE(設定!$C$2,設定!$D$2,24))&gt;0,"國",IF(SUMPRODUCT(INDEX(設定!$U$52:$AO$56,0,BW$57))=0,"休","")))</f>
        <v/>
      </c>
      <c r="BX59">
        <f>IF(24&gt;DAY(EOMONTH(DATE(設定!$C$2,設定!$D$2,1),0)),"X",IF(COUNTIF(設定!$W$6:$W$40,DATE(設定!$C$2,設定!$D$2,24))&gt;0,"國",IF(SUMPRODUCT(INDEX(設定!$U$52:$AO$56,0,BX$57))=0,"休","")))</f>
        <v/>
      </c>
      <c r="BY59">
        <f>IF(25&gt;DAY(EOMONTH(DATE(設定!$C$2,設定!$D$2,1),0)),"X",IF(COUNTIF(設定!$W$6:$W$40,DATE(設定!$C$2,設定!$D$2,25))&gt;0,"國",IF(SUMPRODUCT(INDEX(設定!$U$52:$AO$56,0,BY$57))=0,"休","")))</f>
        <v/>
      </c>
      <c r="BZ59">
        <f>IF(25&gt;DAY(EOMONTH(DATE(設定!$C$2,設定!$D$2,1),0)),"X",IF(COUNTIF(設定!$W$6:$W$40,DATE(設定!$C$2,設定!$D$2,25))&gt;0,"國",IF(SUMPRODUCT(INDEX(設定!$U$52:$AO$56,0,BZ$57))=0,"休","")))</f>
        <v/>
      </c>
      <c r="CA59">
        <f>IF(25&gt;DAY(EOMONTH(DATE(設定!$C$2,設定!$D$2,1),0)),"X",IF(COUNTIF(設定!$W$6:$W$40,DATE(設定!$C$2,設定!$D$2,25))&gt;0,"國",IF(SUMPRODUCT(INDEX(設定!$U$52:$AO$56,0,CA$57))=0,"休","")))</f>
        <v/>
      </c>
      <c r="CB59">
        <f>IF(26&gt;DAY(EOMONTH(DATE(設定!$C$2,設定!$D$2,1),0)),"X",IF(COUNTIF(設定!$W$6:$W$40,DATE(設定!$C$2,設定!$D$2,26))&gt;0,"國",IF(SUMPRODUCT(INDEX(設定!$U$52:$AO$56,0,CB$57))=0,"休","")))</f>
        <v/>
      </c>
      <c r="CC59">
        <f>IF(26&gt;DAY(EOMONTH(DATE(設定!$C$2,設定!$D$2,1),0)),"X",IF(COUNTIF(設定!$W$6:$W$40,DATE(設定!$C$2,設定!$D$2,26))&gt;0,"國",IF(SUMPRODUCT(INDEX(設定!$U$52:$AO$56,0,CC$57))=0,"休","")))</f>
        <v/>
      </c>
      <c r="CD59">
        <f>IF(26&gt;DAY(EOMONTH(DATE(設定!$C$2,設定!$D$2,1),0)),"X",IF(COUNTIF(設定!$W$6:$W$40,DATE(設定!$C$2,設定!$D$2,26))&gt;0,"國",IF(SUMPRODUCT(INDEX(設定!$U$52:$AO$56,0,CD$57))=0,"休","")))</f>
        <v/>
      </c>
      <c r="CE59">
        <f>IF(27&gt;DAY(EOMONTH(DATE(設定!$C$2,設定!$D$2,1),0)),"X",IF(COUNTIF(設定!$W$6:$W$40,DATE(設定!$C$2,設定!$D$2,27))&gt;0,"國",IF(SUMPRODUCT(INDEX(設定!$U$52:$AO$56,0,CE$57))=0,"休","")))</f>
        <v/>
      </c>
      <c r="CF59">
        <f>IF(27&gt;DAY(EOMONTH(DATE(設定!$C$2,設定!$D$2,1),0)),"X",IF(COUNTIF(設定!$W$6:$W$40,DATE(設定!$C$2,設定!$D$2,27))&gt;0,"國",IF(SUMPRODUCT(INDEX(設定!$U$52:$AO$56,0,CF$57))=0,"休","")))</f>
        <v/>
      </c>
      <c r="CG59">
        <f>IF(27&gt;DAY(EOMONTH(DATE(設定!$C$2,設定!$D$2,1),0)),"X",IF(COUNTIF(設定!$W$6:$W$40,DATE(設定!$C$2,設定!$D$2,27))&gt;0,"國",IF(SUMPRODUCT(INDEX(設定!$U$52:$AO$56,0,CG$57))=0,"休","")))</f>
        <v/>
      </c>
      <c r="CH59">
        <f>IF(28&gt;DAY(EOMONTH(DATE(設定!$C$2,設定!$D$2,1),0)),"X",IF(COUNTIF(設定!$W$6:$W$40,DATE(設定!$C$2,設定!$D$2,28))&gt;0,"國",IF(SUMPRODUCT(INDEX(設定!$U$52:$AO$56,0,CH$57))=0,"休","")))</f>
        <v/>
      </c>
      <c r="CI59">
        <f>IF(28&gt;DAY(EOMONTH(DATE(設定!$C$2,設定!$D$2,1),0)),"X",IF(COUNTIF(設定!$W$6:$W$40,DATE(設定!$C$2,設定!$D$2,28))&gt;0,"國",IF(SUMPRODUCT(INDEX(設定!$U$52:$AO$56,0,CI$57))=0,"休","")))</f>
        <v/>
      </c>
      <c r="CJ59">
        <f>IF(28&gt;DAY(EOMONTH(DATE(設定!$C$2,設定!$D$2,1),0)),"X",IF(COUNTIF(設定!$W$6:$W$40,DATE(設定!$C$2,設定!$D$2,28))&gt;0,"國",IF(SUMPRODUCT(INDEX(設定!$U$52:$AO$56,0,CJ$57))=0,"休","")))</f>
        <v/>
      </c>
      <c r="CK59">
        <f>IF(29&gt;DAY(EOMONTH(DATE(設定!$C$2,設定!$D$2,1),0)),"X",IF(COUNTIF(設定!$W$6:$W$40,DATE(設定!$C$2,設定!$D$2,29))&gt;0,"國",IF(SUMPRODUCT(INDEX(設定!$U$52:$AO$56,0,CK$57))=0,"休","")))</f>
        <v/>
      </c>
      <c r="CL59">
        <f>IF(29&gt;DAY(EOMONTH(DATE(設定!$C$2,設定!$D$2,1),0)),"X",IF(COUNTIF(設定!$W$6:$W$40,DATE(設定!$C$2,設定!$D$2,29))&gt;0,"國",IF(SUMPRODUCT(INDEX(設定!$U$52:$AO$56,0,CL$57))=0,"休","")))</f>
        <v/>
      </c>
      <c r="CM59">
        <f>IF(29&gt;DAY(EOMONTH(DATE(設定!$C$2,設定!$D$2,1),0)),"X",IF(COUNTIF(設定!$W$6:$W$40,DATE(設定!$C$2,設定!$D$2,29))&gt;0,"國",IF(SUMPRODUCT(INDEX(設定!$U$52:$AO$56,0,CM$57))=0,"休","")))</f>
        <v/>
      </c>
      <c r="CN59">
        <f>IF(30&gt;DAY(EOMONTH(DATE(設定!$C$2,設定!$D$2,1),0)),"X",IF(COUNTIF(設定!$W$6:$W$40,DATE(設定!$C$2,設定!$D$2,30))&gt;0,"國",IF(SUMPRODUCT(INDEX(設定!$U$52:$AO$56,0,CN$57))=0,"休","")))</f>
        <v/>
      </c>
      <c r="CO59">
        <f>IF(30&gt;DAY(EOMONTH(DATE(設定!$C$2,設定!$D$2,1),0)),"X",IF(COUNTIF(設定!$W$6:$W$40,DATE(設定!$C$2,設定!$D$2,30))&gt;0,"國",IF(SUMPRODUCT(INDEX(設定!$U$52:$AO$56,0,CO$57))=0,"休","")))</f>
        <v/>
      </c>
      <c r="CP59">
        <f>IF(30&gt;DAY(EOMONTH(DATE(設定!$C$2,設定!$D$2,1),0)),"X",IF(COUNTIF(設定!$W$6:$W$40,DATE(設定!$C$2,設定!$D$2,30))&gt;0,"國",IF(SUMPRODUCT(INDEX(設定!$U$52:$AO$56,0,CP$57))=0,"休","")))</f>
        <v/>
      </c>
      <c r="CQ59">
        <f>IF(31&gt;DAY(EOMONTH(DATE(設定!$C$2,設定!$D$2,1),0)),"X",IF(COUNTIF(設定!$W$6:$W$40,DATE(設定!$C$2,設定!$D$2,31))&gt;0,"國",IF(SUMPRODUCT(INDEX(設定!$U$52:$AO$56,0,CQ$57))=0,"休","")))</f>
        <v/>
      </c>
      <c r="CR59">
        <f>IF(31&gt;DAY(EOMONTH(DATE(設定!$C$2,設定!$D$2,1),0)),"X",IF(COUNTIF(設定!$W$6:$W$40,DATE(設定!$C$2,設定!$D$2,31))&gt;0,"國",IF(SUMPRODUCT(INDEX(設定!$U$52:$AO$56,0,CR$57))=0,"休","")))</f>
        <v/>
      </c>
      <c r="CS59">
        <f>IF(31&gt;DAY(EOMONTH(DATE(設定!$C$2,設定!$D$2,1),0)),"X",IF(COUNTIF(設定!$W$6:$W$40,DATE(設定!$C$2,設定!$D$2,31))&gt;0,"國",IF(SUMPRODUCT(INDEX(設定!$U$52:$AO$56,0,CS$57))=0,"休","")))</f>
        <v/>
      </c>
    </row>
  </sheetData>
  <mergeCells count="47">
    <mergeCell ref="CE3:CG3"/>
    <mergeCell ref="CQ3:CS3"/>
    <mergeCell ref="BP3:BR3"/>
    <mergeCell ref="CB3:CD3"/>
    <mergeCell ref="W3:Y3"/>
    <mergeCell ref="Q2:T2"/>
    <mergeCell ref="Z3:AB3"/>
    <mergeCell ref="BA3:BC3"/>
    <mergeCell ref="AL3:AN3"/>
    <mergeCell ref="CN3:CP3"/>
    <mergeCell ref="A48:D48"/>
    <mergeCell ref="C3:C5"/>
    <mergeCell ref="AX3:AZ3"/>
    <mergeCell ref="B3:B5"/>
    <mergeCell ref="I2:L2"/>
    <mergeCell ref="H3:J3"/>
    <mergeCell ref="AI3:AK3"/>
    <mergeCell ref="A49:D49"/>
    <mergeCell ref="A51:D51"/>
    <mergeCell ref="BJ3:BL3"/>
    <mergeCell ref="CK3:CM3"/>
    <mergeCell ref="AU3:AW3"/>
    <mergeCell ref="BV3:BX3"/>
    <mergeCell ref="AR3:AT3"/>
    <mergeCell ref="U2:X2"/>
    <mergeCell ref="T3:V3"/>
    <mergeCell ref="M2:P2"/>
    <mergeCell ref="E3:G3"/>
    <mergeCell ref="K3:M3"/>
    <mergeCell ref="AF3:AH3"/>
    <mergeCell ref="A46:D46"/>
    <mergeCell ref="A1:AN1"/>
    <mergeCell ref="BG3:BI3"/>
    <mergeCell ref="Q3:S3"/>
    <mergeCell ref="CH3:CJ3"/>
    <mergeCell ref="BM3:BO3"/>
    <mergeCell ref="BS3:BU3"/>
    <mergeCell ref="A50:D50"/>
    <mergeCell ref="AO3:AQ3"/>
    <mergeCell ref="A3:A5"/>
    <mergeCell ref="AC3:AE3"/>
    <mergeCell ref="D3:D5"/>
    <mergeCell ref="A47:D47"/>
    <mergeCell ref="BD3:BF3"/>
    <mergeCell ref="E2:H2"/>
    <mergeCell ref="N3:P3"/>
    <mergeCell ref="BY3:CA3"/>
  </mergeCells>
  <conditionalFormatting sqref="E6:CS45">
    <cfRule type="expression" priority="1" dxfId="0" stopIfTrue="1">
      <formula>E6="悅"</formula>
    </cfRule>
    <cfRule type="expression" priority="2" dxfId="1" stopIfTrue="1">
      <formula>E6="睿"</formula>
    </cfRule>
    <cfRule type="expression" priority="3" dxfId="2" stopIfTrue="1">
      <formula>E6="匯"</formula>
    </cfRule>
    <cfRule type="expression" priority="4" dxfId="3" stopIfTrue="1">
      <formula>E6="曜"</formula>
    </cfRule>
    <cfRule type="expression" priority="5" dxfId="4" stopIfTrue="1">
      <formula>E6="寶"</formula>
    </cfRule>
    <cfRule type="expression" priority="6" dxfId="5" stopIfTrue="1">
      <formula>COUNTIF(設定!$B$26:$B$38,E6)&gt;0</formula>
    </cfRule>
    <cfRule type="expression" priority="7" dxfId="6">
      <formula>OR(E$4="六",E$4="日")</formula>
    </cfRule>
    <cfRule type="expression" priority="9" dxfId="7">
      <formula>AND(E$4&lt;&gt;"",NOT(_xlfn.ISFORMULA(E6)))</formula>
    </cfRule>
  </conditionalFormatting>
  <conditionalFormatting sqref="E4:CS5">
    <cfRule type="expression" priority="8" dxfId="6">
      <formula>OR(E$4="六",E$4="日")</formula>
    </cfRule>
  </conditionalFormatting>
  <conditionalFormatting sqref="E47:CS47">
    <cfRule type="expression" priority="10" dxfId="8">
      <formula>AND(E$4&lt;&gt;"",ISNUMBER(E47),E47=0)</formula>
    </cfRule>
  </conditionalFormatting>
  <conditionalFormatting sqref="E48:CS48">
    <cfRule type="expression" priority="11" dxfId="8">
      <formula>AND(E$4&lt;&gt;"",ISNUMBER(E48),E48=0)</formula>
    </cfRule>
  </conditionalFormatting>
  <conditionalFormatting sqref="E49:CS49">
    <cfRule type="expression" priority="12" dxfId="8">
      <formula>AND(E$4&lt;&gt;"",ISNUMBER(E49),E49=0)</formula>
    </cfRule>
  </conditionalFormatting>
  <conditionalFormatting sqref="E50:CS50">
    <cfRule type="expression" priority="13" dxfId="8">
      <formula>AND(E$4&lt;&gt;"",ISNUMBER(E50),E50=0)</formula>
    </cfRule>
  </conditionalFormatting>
  <conditionalFormatting sqref="E51:CS51">
    <cfRule type="expression" priority="14" dxfId="8">
      <formula>AND(E$4&lt;&gt;"",ISNUMBER(E51),E51=0)</formula>
    </cfRule>
  </conditionalFormatting>
  <dataValidations count="2">
    <dataValidation sqref="E6:CS45" showDropDown="0" showInputMessage="0" showErrorMessage="1" allowBlank="1" errorTitle="診次代碼無效" error="請填院所代碼(悅睿匯曜寶)或休假代碼。" type="list">
      <formula1>設定!$B$26:$B$38</formula1>
    </dataValidation>
    <dataValidation sqref="A6:A45" showDropDown="0" showInputMessage="0" showErrorMessage="1" allowBlank="1" errorTitle="不在醫師名冊中" error="這個編號不在醫師名冊裡。確定要用請按「是」,但建議先到「設定」分頁把人加進名冊。" type="list" errorStyle="warning">
      <formula1>設定!$Q$6:$Q$45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11" customWidth="1" min="11" max="11"/>
    <col width="9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9" customWidth="1" min="18" max="18"/>
    <col width="7" customWidth="1" min="19" max="19"/>
    <col width="12" customWidth="1" min="20" max="20"/>
    <col width="10" customWidth="1" min="21" max="21"/>
  </cols>
  <sheetData>
    <row r="1">
      <c r="A1" s="1" t="inlineStr">
        <is>
          <t>醫師月結(全自動 · 以診次為單位)</t>
        </is>
      </c>
    </row>
    <row r="2">
      <c r="A2" s="4" t="inlineStr">
        <is>
          <t>期間</t>
        </is>
      </c>
      <c r="B2" s="22" t="inlineStr">
        <is>
          <t>2026 年 10 月</t>
        </is>
      </c>
    </row>
    <row r="4" ht="30" customHeight="1">
      <c r="A4" s="10" t="inlineStr">
        <is>
          <t>員工編號</t>
        </is>
      </c>
      <c r="B4" s="10" t="inlineStr">
        <is>
          <t>姓名</t>
        </is>
      </c>
      <c r="C4" s="10" t="inlineStr">
        <is>
          <t>專科</t>
        </is>
      </c>
      <c r="D4" s="10" t="inlineStr">
        <is>
          <t>職務</t>
        </is>
      </c>
      <c r="E4" s="10" t="inlineStr">
        <is>
          <t>晶悅診次</t>
        </is>
      </c>
      <c r="F4" s="10" t="inlineStr">
        <is>
          <t>晶睿診次</t>
        </is>
      </c>
      <c r="G4" s="10" t="inlineStr">
        <is>
          <t>晶匯診次</t>
        </is>
      </c>
      <c r="H4" s="10" t="inlineStr">
        <is>
          <t>晶曜診次</t>
        </is>
      </c>
      <c r="I4" s="10" t="inlineStr">
        <is>
          <t>寶貝牙診次</t>
        </is>
      </c>
      <c r="J4" s="10" t="inlineStr">
        <is>
          <t>總診次</t>
        </is>
      </c>
      <c r="K4" s="10" t="inlineStr">
        <is>
          <t>服務院所數</t>
        </is>
      </c>
      <c r="L4" s="10" t="inlineStr">
        <is>
          <t>教育訓練</t>
        </is>
      </c>
      <c r="M4" s="10" t="inlineStr">
        <is>
          <t>排休</t>
        </is>
      </c>
      <c r="N4" s="10" t="inlineStr">
        <is>
          <t>特休</t>
        </is>
      </c>
      <c r="O4" s="10" t="inlineStr">
        <is>
          <t>病假</t>
        </is>
      </c>
      <c r="P4" s="10" t="inlineStr">
        <is>
          <t>事假</t>
        </is>
      </c>
      <c r="Q4" s="10" t="inlineStr">
        <is>
          <t>公假</t>
        </is>
      </c>
      <c r="R4" s="10" t="inlineStr">
        <is>
          <t>國定假日</t>
        </is>
      </c>
      <c r="S4" s="10" t="inlineStr">
        <is>
          <t>休診</t>
        </is>
      </c>
      <c r="T4" s="10" t="inlineStr">
        <is>
          <t>休假/休診合計</t>
        </is>
      </c>
      <c r="U4" s="10" t="inlineStr">
        <is>
          <t>未排診次</t>
        </is>
      </c>
    </row>
    <row r="5">
      <c r="A5" s="16" t="inlineStr">
        <is>
          <t>D001</t>
        </is>
      </c>
      <c r="B5" s="16" t="inlineStr">
        <is>
          <t>林智俊</t>
        </is>
      </c>
      <c r="C5" s="66" t="inlineStr">
        <is>
          <t>牙周植牙專科</t>
        </is>
      </c>
      <c r="D5" s="16" t="inlineStr">
        <is>
          <t>晶悅院長</t>
        </is>
      </c>
      <c r="E5" s="58">
        <f>IF($A5="","",COUNTIF(醫師班表!$E6:$CS6,"悅"))</f>
        <v/>
      </c>
      <c r="F5" s="59">
        <f>IF($A5="","",COUNTIF(醫師班表!$E6:$CS6,"睿"))</f>
        <v/>
      </c>
      <c r="G5" s="60">
        <f>IF($A5="","",COUNTIF(醫師班表!$E6:$CS6,"匯"))</f>
        <v/>
      </c>
      <c r="H5" s="61">
        <f>IF($A5="","",COUNTIF(醫師班表!$E6:$CS6,"曜"))</f>
        <v/>
      </c>
      <c r="I5" s="62">
        <f>IF($A5="","",COUNTIF(醫師班表!$E6:$CS6,"寶"))</f>
        <v/>
      </c>
      <c r="J5" s="16">
        <f>IF($A5="","",SUM($E5:$I5))</f>
        <v/>
      </c>
      <c r="K5" s="16">
        <f>IF($A5="","",SUMPRODUCT(($E5:$I5&gt;0)*1))</f>
        <v/>
      </c>
      <c r="L5" s="16">
        <f>IF($A5="","",COUNTIF(醫師班表!$E6:$CS6,"訓"))</f>
        <v/>
      </c>
      <c r="M5" s="16">
        <f>IF($A5="","",COUNTIF(醫師班表!$E6:$CS6,"OFF"))</f>
        <v/>
      </c>
      <c r="N5" s="16">
        <f>IF($A5="","",COUNTIF(醫師班表!$E6:$CS6,"特"))</f>
        <v/>
      </c>
      <c r="O5" s="16">
        <f>IF($A5="","",COUNTIF(醫師班表!$E6:$CS6,"病"))</f>
        <v/>
      </c>
      <c r="P5" s="16">
        <f>IF($A5="","",COUNTIF(醫師班表!$E6:$CS6,"事"))</f>
        <v/>
      </c>
      <c r="Q5" s="16">
        <f>IF($A5="","",COUNTIF(醫師班表!$E6:$CS6,"公"))</f>
        <v/>
      </c>
      <c r="R5" s="16">
        <f>IF($A5="","",COUNTIF(醫師班表!$E6:$CS6,"國"))</f>
        <v/>
      </c>
      <c r="S5" s="16">
        <f>IF($A5="","",COUNTIF(醫師班表!$E6:$CS6,"休"))</f>
        <v/>
      </c>
      <c r="T5" s="16">
        <f>IF($A5="","",SUM($M5:$S5))</f>
        <v/>
      </c>
      <c r="U5" s="16">
        <f>IF($A5="","",DAY(EOMONTH(DATE(設定!$C$2,設定!$D$2,1),0))*3-COUNTIF(醫師班表!$E6:$CS6,"?*"))</f>
        <v/>
      </c>
    </row>
    <row r="6">
      <c r="A6" s="16" t="inlineStr">
        <is>
          <t>D002</t>
        </is>
      </c>
      <c r="B6" s="16" t="inlineStr">
        <is>
          <t>劉立德</t>
        </is>
      </c>
      <c r="C6" s="66" t="inlineStr">
        <is>
          <t>植牙專科 家庭牙醫專科</t>
        </is>
      </c>
      <c r="D6" s="16" t="inlineStr">
        <is>
          <t>晶曜院長</t>
        </is>
      </c>
      <c r="E6" s="58">
        <f>IF($A6="","",COUNTIF(醫師班表!$E7:$CS7,"悅"))</f>
        <v/>
      </c>
      <c r="F6" s="59">
        <f>IF($A6="","",COUNTIF(醫師班表!$E7:$CS7,"睿"))</f>
        <v/>
      </c>
      <c r="G6" s="60">
        <f>IF($A6="","",COUNTIF(醫師班表!$E7:$CS7,"匯"))</f>
        <v/>
      </c>
      <c r="H6" s="61">
        <f>IF($A6="","",COUNTIF(醫師班表!$E7:$CS7,"曜"))</f>
        <v/>
      </c>
      <c r="I6" s="62">
        <f>IF($A6="","",COUNTIF(醫師班表!$E7:$CS7,"寶"))</f>
        <v/>
      </c>
      <c r="J6" s="16">
        <f>IF($A6="","",SUM($E6:$I6))</f>
        <v/>
      </c>
      <c r="K6" s="16">
        <f>IF($A6="","",SUMPRODUCT(($E6:$I6&gt;0)*1))</f>
        <v/>
      </c>
      <c r="L6" s="16">
        <f>IF($A6="","",COUNTIF(醫師班表!$E7:$CS7,"訓"))</f>
        <v/>
      </c>
      <c r="M6" s="16">
        <f>IF($A6="","",COUNTIF(醫師班表!$E7:$CS7,"OFF"))</f>
        <v/>
      </c>
      <c r="N6" s="16">
        <f>IF($A6="","",COUNTIF(醫師班表!$E7:$CS7,"特"))</f>
        <v/>
      </c>
      <c r="O6" s="16">
        <f>IF($A6="","",COUNTIF(醫師班表!$E7:$CS7,"病"))</f>
        <v/>
      </c>
      <c r="P6" s="16">
        <f>IF($A6="","",COUNTIF(醫師班表!$E7:$CS7,"事"))</f>
        <v/>
      </c>
      <c r="Q6" s="16">
        <f>IF($A6="","",COUNTIF(醫師班表!$E7:$CS7,"公"))</f>
        <v/>
      </c>
      <c r="R6" s="16">
        <f>IF($A6="","",COUNTIF(醫師班表!$E7:$CS7,"國"))</f>
        <v/>
      </c>
      <c r="S6" s="16">
        <f>IF($A6="","",COUNTIF(醫師班表!$E7:$CS7,"休"))</f>
        <v/>
      </c>
      <c r="T6" s="16">
        <f>IF($A6="","",SUM($M6:$S6))</f>
        <v/>
      </c>
      <c r="U6" s="16">
        <f>IF($A6="","",DAY(EOMONTH(DATE(設定!$C$2,設定!$D$2,1),0))*3-COUNTIF(醫師班表!$E7:$CS7,"?*"))</f>
        <v/>
      </c>
    </row>
    <row r="7">
      <c r="A7" s="16" t="inlineStr">
        <is>
          <t>D003</t>
        </is>
      </c>
      <c r="B7" s="16" t="inlineStr">
        <is>
          <t>王泳泉</t>
        </is>
      </c>
      <c r="C7" s="66" t="inlineStr">
        <is>
          <t>矯正專科</t>
        </is>
      </c>
      <c r="D7" s="16" t="inlineStr"/>
      <c r="E7" s="58">
        <f>IF($A7="","",COUNTIF(醫師班表!$E8:$CS8,"悅"))</f>
        <v/>
      </c>
      <c r="F7" s="59">
        <f>IF($A7="","",COUNTIF(醫師班表!$E8:$CS8,"睿"))</f>
        <v/>
      </c>
      <c r="G7" s="60">
        <f>IF($A7="","",COUNTIF(醫師班表!$E8:$CS8,"匯"))</f>
        <v/>
      </c>
      <c r="H7" s="61">
        <f>IF($A7="","",COUNTIF(醫師班表!$E8:$CS8,"曜"))</f>
        <v/>
      </c>
      <c r="I7" s="62">
        <f>IF($A7="","",COUNTIF(醫師班表!$E8:$CS8,"寶"))</f>
        <v/>
      </c>
      <c r="J7" s="16">
        <f>IF($A7="","",SUM($E7:$I7))</f>
        <v/>
      </c>
      <c r="K7" s="16">
        <f>IF($A7="","",SUMPRODUCT(($E7:$I7&gt;0)*1))</f>
        <v/>
      </c>
      <c r="L7" s="16">
        <f>IF($A7="","",COUNTIF(醫師班表!$E8:$CS8,"訓"))</f>
        <v/>
      </c>
      <c r="M7" s="16">
        <f>IF($A7="","",COUNTIF(醫師班表!$E8:$CS8,"OFF"))</f>
        <v/>
      </c>
      <c r="N7" s="16">
        <f>IF($A7="","",COUNTIF(醫師班表!$E8:$CS8,"特"))</f>
        <v/>
      </c>
      <c r="O7" s="16">
        <f>IF($A7="","",COUNTIF(醫師班表!$E8:$CS8,"病"))</f>
        <v/>
      </c>
      <c r="P7" s="16">
        <f>IF($A7="","",COUNTIF(醫師班表!$E8:$CS8,"事"))</f>
        <v/>
      </c>
      <c r="Q7" s="16">
        <f>IF($A7="","",COUNTIF(醫師班表!$E8:$CS8,"公"))</f>
        <v/>
      </c>
      <c r="R7" s="16">
        <f>IF($A7="","",COUNTIF(醫師班表!$E8:$CS8,"國"))</f>
        <v/>
      </c>
      <c r="S7" s="16">
        <f>IF($A7="","",COUNTIF(醫師班表!$E8:$CS8,"休"))</f>
        <v/>
      </c>
      <c r="T7" s="16">
        <f>IF($A7="","",SUM($M7:$S7))</f>
        <v/>
      </c>
      <c r="U7" s="16">
        <f>IF($A7="","",DAY(EOMONTH(DATE(設定!$C$2,設定!$D$2,1),0))*3-COUNTIF(醫師班表!$E8:$CS8,"?*"))</f>
        <v/>
      </c>
    </row>
    <row r="8">
      <c r="A8" s="16" t="inlineStr">
        <is>
          <t>D004</t>
        </is>
      </c>
      <c r="B8" s="16" t="inlineStr">
        <is>
          <t>劉玠旻</t>
        </is>
      </c>
      <c r="C8" s="66" t="inlineStr">
        <is>
          <t>兒童專科</t>
        </is>
      </c>
      <c r="D8" s="16" t="inlineStr"/>
      <c r="E8" s="58">
        <f>IF($A8="","",COUNTIF(醫師班表!$E9:$CS9,"悅"))</f>
        <v/>
      </c>
      <c r="F8" s="59">
        <f>IF($A8="","",COUNTIF(醫師班表!$E9:$CS9,"睿"))</f>
        <v/>
      </c>
      <c r="G8" s="60">
        <f>IF($A8="","",COUNTIF(醫師班表!$E9:$CS9,"匯"))</f>
        <v/>
      </c>
      <c r="H8" s="61">
        <f>IF($A8="","",COUNTIF(醫師班表!$E9:$CS9,"曜"))</f>
        <v/>
      </c>
      <c r="I8" s="62">
        <f>IF($A8="","",COUNTIF(醫師班表!$E9:$CS9,"寶"))</f>
        <v/>
      </c>
      <c r="J8" s="16">
        <f>IF($A8="","",SUM($E8:$I8))</f>
        <v/>
      </c>
      <c r="K8" s="16">
        <f>IF($A8="","",SUMPRODUCT(($E8:$I8&gt;0)*1))</f>
        <v/>
      </c>
      <c r="L8" s="16">
        <f>IF($A8="","",COUNTIF(醫師班表!$E9:$CS9,"訓"))</f>
        <v/>
      </c>
      <c r="M8" s="16">
        <f>IF($A8="","",COUNTIF(醫師班表!$E9:$CS9,"OFF"))</f>
        <v/>
      </c>
      <c r="N8" s="16">
        <f>IF($A8="","",COUNTIF(醫師班表!$E9:$CS9,"特"))</f>
        <v/>
      </c>
      <c r="O8" s="16">
        <f>IF($A8="","",COUNTIF(醫師班表!$E9:$CS9,"病"))</f>
        <v/>
      </c>
      <c r="P8" s="16">
        <f>IF($A8="","",COUNTIF(醫師班表!$E9:$CS9,"事"))</f>
        <v/>
      </c>
      <c r="Q8" s="16">
        <f>IF($A8="","",COUNTIF(醫師班表!$E9:$CS9,"公"))</f>
        <v/>
      </c>
      <c r="R8" s="16">
        <f>IF($A8="","",COUNTIF(醫師班表!$E9:$CS9,"國"))</f>
        <v/>
      </c>
      <c r="S8" s="16">
        <f>IF($A8="","",COUNTIF(醫師班表!$E9:$CS9,"休"))</f>
        <v/>
      </c>
      <c r="T8" s="16">
        <f>IF($A8="","",SUM($M8:$S8))</f>
        <v/>
      </c>
      <c r="U8" s="16">
        <f>IF($A8="","",DAY(EOMONTH(DATE(設定!$C$2,設定!$D$2,1),0))*3-COUNTIF(醫師班表!$E9:$CS9,"?*"))</f>
        <v/>
      </c>
    </row>
    <row r="9">
      <c r="A9" s="16" t="inlineStr">
        <is>
          <t>D005</t>
        </is>
      </c>
      <c r="B9" s="16" t="inlineStr">
        <is>
          <t>陳志僑</t>
        </is>
      </c>
      <c r="C9" s="66" t="inlineStr">
        <is>
          <t>口外專科</t>
        </is>
      </c>
      <c r="D9" s="16" t="inlineStr"/>
      <c r="E9" s="58">
        <f>IF($A9="","",COUNTIF(醫師班表!$E10:$CS10,"悅"))</f>
        <v/>
      </c>
      <c r="F9" s="59">
        <f>IF($A9="","",COUNTIF(醫師班表!$E10:$CS10,"睿"))</f>
        <v/>
      </c>
      <c r="G9" s="60">
        <f>IF($A9="","",COUNTIF(醫師班表!$E10:$CS10,"匯"))</f>
        <v/>
      </c>
      <c r="H9" s="61">
        <f>IF($A9="","",COUNTIF(醫師班表!$E10:$CS10,"曜"))</f>
        <v/>
      </c>
      <c r="I9" s="62">
        <f>IF($A9="","",COUNTIF(醫師班表!$E10:$CS10,"寶"))</f>
        <v/>
      </c>
      <c r="J9" s="16">
        <f>IF($A9="","",SUM($E9:$I9))</f>
        <v/>
      </c>
      <c r="K9" s="16">
        <f>IF($A9="","",SUMPRODUCT(($E9:$I9&gt;0)*1))</f>
        <v/>
      </c>
      <c r="L9" s="16">
        <f>IF($A9="","",COUNTIF(醫師班表!$E10:$CS10,"訓"))</f>
        <v/>
      </c>
      <c r="M9" s="16">
        <f>IF($A9="","",COUNTIF(醫師班表!$E10:$CS10,"OFF"))</f>
        <v/>
      </c>
      <c r="N9" s="16">
        <f>IF($A9="","",COUNTIF(醫師班表!$E10:$CS10,"特"))</f>
        <v/>
      </c>
      <c r="O9" s="16">
        <f>IF($A9="","",COUNTIF(醫師班表!$E10:$CS10,"病"))</f>
        <v/>
      </c>
      <c r="P9" s="16">
        <f>IF($A9="","",COUNTIF(醫師班表!$E10:$CS10,"事"))</f>
        <v/>
      </c>
      <c r="Q9" s="16">
        <f>IF($A9="","",COUNTIF(醫師班表!$E10:$CS10,"公"))</f>
        <v/>
      </c>
      <c r="R9" s="16">
        <f>IF($A9="","",COUNTIF(醫師班表!$E10:$CS10,"國"))</f>
        <v/>
      </c>
      <c r="S9" s="16">
        <f>IF($A9="","",COUNTIF(醫師班表!$E10:$CS10,"休"))</f>
        <v/>
      </c>
      <c r="T9" s="16">
        <f>IF($A9="","",SUM($M9:$S9))</f>
        <v/>
      </c>
      <c r="U9" s="16">
        <f>IF($A9="","",DAY(EOMONTH(DATE(設定!$C$2,設定!$D$2,1),0))*3-COUNTIF(醫師班表!$E10:$CS10,"?*"))</f>
        <v/>
      </c>
    </row>
    <row r="10">
      <c r="A10" s="16" t="inlineStr">
        <is>
          <t>D006</t>
        </is>
      </c>
      <c r="B10" s="16" t="inlineStr">
        <is>
          <t>黃榆鈞</t>
        </is>
      </c>
      <c r="C10" s="66" t="inlineStr">
        <is>
          <t>矯正專科</t>
        </is>
      </c>
      <c r="D10" s="16" t="inlineStr"/>
      <c r="E10" s="58">
        <f>IF($A10="","",COUNTIF(醫師班表!$E11:$CS11,"悅"))</f>
        <v/>
      </c>
      <c r="F10" s="59">
        <f>IF($A10="","",COUNTIF(醫師班表!$E11:$CS11,"睿"))</f>
        <v/>
      </c>
      <c r="G10" s="60">
        <f>IF($A10="","",COUNTIF(醫師班表!$E11:$CS11,"匯"))</f>
        <v/>
      </c>
      <c r="H10" s="61">
        <f>IF($A10="","",COUNTIF(醫師班表!$E11:$CS11,"曜"))</f>
        <v/>
      </c>
      <c r="I10" s="62">
        <f>IF($A10="","",COUNTIF(醫師班表!$E11:$CS11,"寶"))</f>
        <v/>
      </c>
      <c r="J10" s="16">
        <f>IF($A10="","",SUM($E10:$I10))</f>
        <v/>
      </c>
      <c r="K10" s="16">
        <f>IF($A10="","",SUMPRODUCT(($E10:$I10&gt;0)*1))</f>
        <v/>
      </c>
      <c r="L10" s="16">
        <f>IF($A10="","",COUNTIF(醫師班表!$E11:$CS11,"訓"))</f>
        <v/>
      </c>
      <c r="M10" s="16">
        <f>IF($A10="","",COUNTIF(醫師班表!$E11:$CS11,"OFF"))</f>
        <v/>
      </c>
      <c r="N10" s="16">
        <f>IF($A10="","",COUNTIF(醫師班表!$E11:$CS11,"特"))</f>
        <v/>
      </c>
      <c r="O10" s="16">
        <f>IF($A10="","",COUNTIF(醫師班表!$E11:$CS11,"病"))</f>
        <v/>
      </c>
      <c r="P10" s="16">
        <f>IF($A10="","",COUNTIF(醫師班表!$E11:$CS11,"事"))</f>
        <v/>
      </c>
      <c r="Q10" s="16">
        <f>IF($A10="","",COUNTIF(醫師班表!$E11:$CS11,"公"))</f>
        <v/>
      </c>
      <c r="R10" s="16">
        <f>IF($A10="","",COUNTIF(醫師班表!$E11:$CS11,"國"))</f>
        <v/>
      </c>
      <c r="S10" s="16">
        <f>IF($A10="","",COUNTIF(醫師班表!$E11:$CS11,"休"))</f>
        <v/>
      </c>
      <c r="T10" s="16">
        <f>IF($A10="","",SUM($M10:$S10))</f>
        <v/>
      </c>
      <c r="U10" s="16">
        <f>IF($A10="","",DAY(EOMONTH(DATE(設定!$C$2,設定!$D$2,1),0))*3-COUNTIF(醫師班表!$E11:$CS11,"?*"))</f>
        <v/>
      </c>
    </row>
    <row r="11">
      <c r="A11" s="16" t="inlineStr">
        <is>
          <t>D007</t>
        </is>
      </c>
      <c r="B11" s="16" t="inlineStr">
        <is>
          <t>温翊君</t>
        </is>
      </c>
      <c r="C11" s="66" t="inlineStr">
        <is>
          <t>根管治療專科</t>
        </is>
      </c>
      <c r="D11" s="16" t="inlineStr"/>
      <c r="E11" s="58">
        <f>IF($A11="","",COUNTIF(醫師班表!$E12:$CS12,"悅"))</f>
        <v/>
      </c>
      <c r="F11" s="59">
        <f>IF($A11="","",COUNTIF(醫師班表!$E12:$CS12,"睿"))</f>
        <v/>
      </c>
      <c r="G11" s="60">
        <f>IF($A11="","",COUNTIF(醫師班表!$E12:$CS12,"匯"))</f>
        <v/>
      </c>
      <c r="H11" s="61">
        <f>IF($A11="","",COUNTIF(醫師班表!$E12:$CS12,"曜"))</f>
        <v/>
      </c>
      <c r="I11" s="62">
        <f>IF($A11="","",COUNTIF(醫師班表!$E12:$CS12,"寶"))</f>
        <v/>
      </c>
      <c r="J11" s="16">
        <f>IF($A11="","",SUM($E11:$I11))</f>
        <v/>
      </c>
      <c r="K11" s="16">
        <f>IF($A11="","",SUMPRODUCT(($E11:$I11&gt;0)*1))</f>
        <v/>
      </c>
      <c r="L11" s="16">
        <f>IF($A11="","",COUNTIF(醫師班表!$E12:$CS12,"訓"))</f>
        <v/>
      </c>
      <c r="M11" s="16">
        <f>IF($A11="","",COUNTIF(醫師班表!$E12:$CS12,"OFF"))</f>
        <v/>
      </c>
      <c r="N11" s="16">
        <f>IF($A11="","",COUNTIF(醫師班表!$E12:$CS12,"特"))</f>
        <v/>
      </c>
      <c r="O11" s="16">
        <f>IF($A11="","",COUNTIF(醫師班表!$E12:$CS12,"病"))</f>
        <v/>
      </c>
      <c r="P11" s="16">
        <f>IF($A11="","",COUNTIF(醫師班表!$E12:$CS12,"事"))</f>
        <v/>
      </c>
      <c r="Q11" s="16">
        <f>IF($A11="","",COUNTIF(醫師班表!$E12:$CS12,"公"))</f>
        <v/>
      </c>
      <c r="R11" s="16">
        <f>IF($A11="","",COUNTIF(醫師班表!$E12:$CS12,"國"))</f>
        <v/>
      </c>
      <c r="S11" s="16">
        <f>IF($A11="","",COUNTIF(醫師班表!$E12:$CS12,"休"))</f>
        <v/>
      </c>
      <c r="T11" s="16">
        <f>IF($A11="","",SUM($M11:$S11))</f>
        <v/>
      </c>
      <c r="U11" s="16">
        <f>IF($A11="","",DAY(EOMONTH(DATE(設定!$C$2,設定!$D$2,1),0))*3-COUNTIF(醫師班表!$E12:$CS12,"?*"))</f>
        <v/>
      </c>
    </row>
    <row r="12">
      <c r="A12" s="16" t="inlineStr">
        <is>
          <t>D008</t>
        </is>
      </c>
      <c r="B12" s="16" t="inlineStr">
        <is>
          <t>林紫亭</t>
        </is>
      </c>
      <c r="C12" s="66" t="inlineStr"/>
      <c r="D12" s="16" t="inlineStr"/>
      <c r="E12" s="58">
        <f>IF($A12="","",COUNTIF(醫師班表!$E13:$CS13,"悅"))</f>
        <v/>
      </c>
      <c r="F12" s="59">
        <f>IF($A12="","",COUNTIF(醫師班表!$E13:$CS13,"睿"))</f>
        <v/>
      </c>
      <c r="G12" s="60">
        <f>IF($A12="","",COUNTIF(醫師班表!$E13:$CS13,"匯"))</f>
        <v/>
      </c>
      <c r="H12" s="61">
        <f>IF($A12="","",COUNTIF(醫師班表!$E13:$CS13,"曜"))</f>
        <v/>
      </c>
      <c r="I12" s="62">
        <f>IF($A12="","",COUNTIF(醫師班表!$E13:$CS13,"寶"))</f>
        <v/>
      </c>
      <c r="J12" s="16">
        <f>IF($A12="","",SUM($E12:$I12))</f>
        <v/>
      </c>
      <c r="K12" s="16">
        <f>IF($A12="","",SUMPRODUCT(($E12:$I12&gt;0)*1))</f>
        <v/>
      </c>
      <c r="L12" s="16">
        <f>IF($A12="","",COUNTIF(醫師班表!$E13:$CS13,"訓"))</f>
        <v/>
      </c>
      <c r="M12" s="16">
        <f>IF($A12="","",COUNTIF(醫師班表!$E13:$CS13,"OFF"))</f>
        <v/>
      </c>
      <c r="N12" s="16">
        <f>IF($A12="","",COUNTIF(醫師班表!$E13:$CS13,"特"))</f>
        <v/>
      </c>
      <c r="O12" s="16">
        <f>IF($A12="","",COUNTIF(醫師班表!$E13:$CS13,"病"))</f>
        <v/>
      </c>
      <c r="P12" s="16">
        <f>IF($A12="","",COUNTIF(醫師班表!$E13:$CS13,"事"))</f>
        <v/>
      </c>
      <c r="Q12" s="16">
        <f>IF($A12="","",COUNTIF(醫師班表!$E13:$CS13,"公"))</f>
        <v/>
      </c>
      <c r="R12" s="16">
        <f>IF($A12="","",COUNTIF(醫師班表!$E13:$CS13,"國"))</f>
        <v/>
      </c>
      <c r="S12" s="16">
        <f>IF($A12="","",COUNTIF(醫師班表!$E13:$CS13,"休"))</f>
        <v/>
      </c>
      <c r="T12" s="16">
        <f>IF($A12="","",SUM($M12:$S12))</f>
        <v/>
      </c>
      <c r="U12" s="16">
        <f>IF($A12="","",DAY(EOMONTH(DATE(設定!$C$2,設定!$D$2,1),0))*3-COUNTIF(醫師班表!$E13:$CS13,"?*"))</f>
        <v/>
      </c>
    </row>
    <row r="13">
      <c r="A13" s="16" t="inlineStr">
        <is>
          <t>D009</t>
        </is>
      </c>
      <c r="B13" s="16" t="inlineStr">
        <is>
          <t>陳昺元</t>
        </is>
      </c>
      <c r="C13" s="66" t="inlineStr">
        <is>
          <t>美學植牙專科</t>
        </is>
      </c>
      <c r="D13" s="16" t="inlineStr">
        <is>
          <t>晶匯院長</t>
        </is>
      </c>
      <c r="E13" s="58">
        <f>IF($A13="","",COUNTIF(醫師班表!$E14:$CS14,"悅"))</f>
        <v/>
      </c>
      <c r="F13" s="59">
        <f>IF($A13="","",COUNTIF(醫師班表!$E14:$CS14,"睿"))</f>
        <v/>
      </c>
      <c r="G13" s="60">
        <f>IF($A13="","",COUNTIF(醫師班表!$E14:$CS14,"匯"))</f>
        <v/>
      </c>
      <c r="H13" s="61">
        <f>IF($A13="","",COUNTIF(醫師班表!$E14:$CS14,"曜"))</f>
        <v/>
      </c>
      <c r="I13" s="62">
        <f>IF($A13="","",COUNTIF(醫師班表!$E14:$CS14,"寶"))</f>
        <v/>
      </c>
      <c r="J13" s="16">
        <f>IF($A13="","",SUM($E13:$I13))</f>
        <v/>
      </c>
      <c r="K13" s="16">
        <f>IF($A13="","",SUMPRODUCT(($E13:$I13&gt;0)*1))</f>
        <v/>
      </c>
      <c r="L13" s="16">
        <f>IF($A13="","",COUNTIF(醫師班表!$E14:$CS14,"訓"))</f>
        <v/>
      </c>
      <c r="M13" s="16">
        <f>IF($A13="","",COUNTIF(醫師班表!$E14:$CS14,"OFF"))</f>
        <v/>
      </c>
      <c r="N13" s="16">
        <f>IF($A13="","",COUNTIF(醫師班表!$E14:$CS14,"特"))</f>
        <v/>
      </c>
      <c r="O13" s="16">
        <f>IF($A13="","",COUNTIF(醫師班表!$E14:$CS14,"病"))</f>
        <v/>
      </c>
      <c r="P13" s="16">
        <f>IF($A13="","",COUNTIF(醫師班表!$E14:$CS14,"事"))</f>
        <v/>
      </c>
      <c r="Q13" s="16">
        <f>IF($A13="","",COUNTIF(醫師班表!$E14:$CS14,"公"))</f>
        <v/>
      </c>
      <c r="R13" s="16">
        <f>IF($A13="","",COUNTIF(醫師班表!$E14:$CS14,"國"))</f>
        <v/>
      </c>
      <c r="S13" s="16">
        <f>IF($A13="","",COUNTIF(醫師班表!$E14:$CS14,"休"))</f>
        <v/>
      </c>
      <c r="T13" s="16">
        <f>IF($A13="","",SUM($M13:$S13))</f>
        <v/>
      </c>
      <c r="U13" s="16">
        <f>IF($A13="","",DAY(EOMONTH(DATE(設定!$C$2,設定!$D$2,1),0))*3-COUNTIF(醫師班表!$E14:$CS14,"?*"))</f>
        <v/>
      </c>
    </row>
    <row r="14">
      <c r="A14" s="16" t="inlineStr">
        <is>
          <t>D010</t>
        </is>
      </c>
      <c r="B14" s="16" t="inlineStr">
        <is>
          <t>蔡季軒</t>
        </is>
      </c>
      <c r="C14" s="66" t="inlineStr"/>
      <c r="D14" s="16" t="inlineStr"/>
      <c r="E14" s="58">
        <f>IF($A14="","",COUNTIF(醫師班表!$E15:$CS15,"悅"))</f>
        <v/>
      </c>
      <c r="F14" s="59">
        <f>IF($A14="","",COUNTIF(醫師班表!$E15:$CS15,"睿"))</f>
        <v/>
      </c>
      <c r="G14" s="60">
        <f>IF($A14="","",COUNTIF(醫師班表!$E15:$CS15,"匯"))</f>
        <v/>
      </c>
      <c r="H14" s="61">
        <f>IF($A14="","",COUNTIF(醫師班表!$E15:$CS15,"曜"))</f>
        <v/>
      </c>
      <c r="I14" s="62">
        <f>IF($A14="","",COUNTIF(醫師班表!$E15:$CS15,"寶"))</f>
        <v/>
      </c>
      <c r="J14" s="16">
        <f>IF($A14="","",SUM($E14:$I14))</f>
        <v/>
      </c>
      <c r="K14" s="16">
        <f>IF($A14="","",SUMPRODUCT(($E14:$I14&gt;0)*1))</f>
        <v/>
      </c>
      <c r="L14" s="16">
        <f>IF($A14="","",COUNTIF(醫師班表!$E15:$CS15,"訓"))</f>
        <v/>
      </c>
      <c r="M14" s="16">
        <f>IF($A14="","",COUNTIF(醫師班表!$E15:$CS15,"OFF"))</f>
        <v/>
      </c>
      <c r="N14" s="16">
        <f>IF($A14="","",COUNTIF(醫師班表!$E15:$CS15,"特"))</f>
        <v/>
      </c>
      <c r="O14" s="16">
        <f>IF($A14="","",COUNTIF(醫師班表!$E15:$CS15,"病"))</f>
        <v/>
      </c>
      <c r="P14" s="16">
        <f>IF($A14="","",COUNTIF(醫師班表!$E15:$CS15,"事"))</f>
        <v/>
      </c>
      <c r="Q14" s="16">
        <f>IF($A14="","",COUNTIF(醫師班表!$E15:$CS15,"公"))</f>
        <v/>
      </c>
      <c r="R14" s="16">
        <f>IF($A14="","",COUNTIF(醫師班表!$E15:$CS15,"國"))</f>
        <v/>
      </c>
      <c r="S14" s="16">
        <f>IF($A14="","",COUNTIF(醫師班表!$E15:$CS15,"休"))</f>
        <v/>
      </c>
      <c r="T14" s="16">
        <f>IF($A14="","",SUM($M14:$S14))</f>
        <v/>
      </c>
      <c r="U14" s="16">
        <f>IF($A14="","",DAY(EOMONTH(DATE(設定!$C$2,設定!$D$2,1),0))*3-COUNTIF(醫師班表!$E15:$CS15,"?*"))</f>
        <v/>
      </c>
    </row>
    <row r="15">
      <c r="A15" s="16" t="inlineStr">
        <is>
          <t>D011</t>
        </is>
      </c>
      <c r="B15" s="16" t="inlineStr">
        <is>
          <t>温健成</t>
        </is>
      </c>
      <c r="C15" s="66" t="inlineStr"/>
      <c r="D15" s="16" t="inlineStr">
        <is>
          <t>晶睿院長</t>
        </is>
      </c>
      <c r="E15" s="58">
        <f>IF($A15="","",COUNTIF(醫師班表!$E16:$CS16,"悅"))</f>
        <v/>
      </c>
      <c r="F15" s="59">
        <f>IF($A15="","",COUNTIF(醫師班表!$E16:$CS16,"睿"))</f>
        <v/>
      </c>
      <c r="G15" s="60">
        <f>IF($A15="","",COUNTIF(醫師班表!$E16:$CS16,"匯"))</f>
        <v/>
      </c>
      <c r="H15" s="61">
        <f>IF($A15="","",COUNTIF(醫師班表!$E16:$CS16,"曜"))</f>
        <v/>
      </c>
      <c r="I15" s="62">
        <f>IF($A15="","",COUNTIF(醫師班表!$E16:$CS16,"寶"))</f>
        <v/>
      </c>
      <c r="J15" s="16">
        <f>IF($A15="","",SUM($E15:$I15))</f>
        <v/>
      </c>
      <c r="K15" s="16">
        <f>IF($A15="","",SUMPRODUCT(($E15:$I15&gt;0)*1))</f>
        <v/>
      </c>
      <c r="L15" s="16">
        <f>IF($A15="","",COUNTIF(醫師班表!$E16:$CS16,"訓"))</f>
        <v/>
      </c>
      <c r="M15" s="16">
        <f>IF($A15="","",COUNTIF(醫師班表!$E16:$CS16,"OFF"))</f>
        <v/>
      </c>
      <c r="N15" s="16">
        <f>IF($A15="","",COUNTIF(醫師班表!$E16:$CS16,"特"))</f>
        <v/>
      </c>
      <c r="O15" s="16">
        <f>IF($A15="","",COUNTIF(醫師班表!$E16:$CS16,"病"))</f>
        <v/>
      </c>
      <c r="P15" s="16">
        <f>IF($A15="","",COUNTIF(醫師班表!$E16:$CS16,"事"))</f>
        <v/>
      </c>
      <c r="Q15" s="16">
        <f>IF($A15="","",COUNTIF(醫師班表!$E16:$CS16,"公"))</f>
        <v/>
      </c>
      <c r="R15" s="16">
        <f>IF($A15="","",COUNTIF(醫師班表!$E16:$CS16,"國"))</f>
        <v/>
      </c>
      <c r="S15" s="16">
        <f>IF($A15="","",COUNTIF(醫師班表!$E16:$CS16,"休"))</f>
        <v/>
      </c>
      <c r="T15" s="16">
        <f>IF($A15="","",SUM($M15:$S15))</f>
        <v/>
      </c>
      <c r="U15" s="16">
        <f>IF($A15="","",DAY(EOMONTH(DATE(設定!$C$2,設定!$D$2,1),0))*3-COUNTIF(醫師班表!$E16:$CS16,"?*"))</f>
        <v/>
      </c>
    </row>
    <row r="16">
      <c r="A16" s="16" t="inlineStr">
        <is>
          <t>D012</t>
        </is>
      </c>
      <c r="B16" s="16" t="inlineStr">
        <is>
          <t>陳立軒</t>
        </is>
      </c>
      <c r="C16" s="66" t="inlineStr"/>
      <c r="D16" s="16" t="inlineStr"/>
      <c r="E16" s="58">
        <f>IF($A16="","",COUNTIF(醫師班表!$E17:$CS17,"悅"))</f>
        <v/>
      </c>
      <c r="F16" s="59">
        <f>IF($A16="","",COUNTIF(醫師班表!$E17:$CS17,"睿"))</f>
        <v/>
      </c>
      <c r="G16" s="60">
        <f>IF($A16="","",COUNTIF(醫師班表!$E17:$CS17,"匯"))</f>
        <v/>
      </c>
      <c r="H16" s="61">
        <f>IF($A16="","",COUNTIF(醫師班表!$E17:$CS17,"曜"))</f>
        <v/>
      </c>
      <c r="I16" s="62">
        <f>IF($A16="","",COUNTIF(醫師班表!$E17:$CS17,"寶"))</f>
        <v/>
      </c>
      <c r="J16" s="16">
        <f>IF($A16="","",SUM($E16:$I16))</f>
        <v/>
      </c>
      <c r="K16" s="16">
        <f>IF($A16="","",SUMPRODUCT(($E16:$I16&gt;0)*1))</f>
        <v/>
      </c>
      <c r="L16" s="16">
        <f>IF($A16="","",COUNTIF(醫師班表!$E17:$CS17,"訓"))</f>
        <v/>
      </c>
      <c r="M16" s="16">
        <f>IF($A16="","",COUNTIF(醫師班表!$E17:$CS17,"OFF"))</f>
        <v/>
      </c>
      <c r="N16" s="16">
        <f>IF($A16="","",COUNTIF(醫師班表!$E17:$CS17,"特"))</f>
        <v/>
      </c>
      <c r="O16" s="16">
        <f>IF($A16="","",COUNTIF(醫師班表!$E17:$CS17,"病"))</f>
        <v/>
      </c>
      <c r="P16" s="16">
        <f>IF($A16="","",COUNTIF(醫師班表!$E17:$CS17,"事"))</f>
        <v/>
      </c>
      <c r="Q16" s="16">
        <f>IF($A16="","",COUNTIF(醫師班表!$E17:$CS17,"公"))</f>
        <v/>
      </c>
      <c r="R16" s="16">
        <f>IF($A16="","",COUNTIF(醫師班表!$E17:$CS17,"國"))</f>
        <v/>
      </c>
      <c r="S16" s="16">
        <f>IF($A16="","",COUNTIF(醫師班表!$E17:$CS17,"休"))</f>
        <v/>
      </c>
      <c r="T16" s="16">
        <f>IF($A16="","",SUM($M16:$S16))</f>
        <v/>
      </c>
      <c r="U16" s="16">
        <f>IF($A16="","",DAY(EOMONTH(DATE(設定!$C$2,設定!$D$2,1),0))*3-COUNTIF(醫師班表!$E17:$CS17,"?*"))</f>
        <v/>
      </c>
    </row>
    <row r="17">
      <c r="A17" s="16" t="inlineStr">
        <is>
          <t>D013</t>
        </is>
      </c>
      <c r="B17" s="16" t="inlineStr">
        <is>
          <t>朱柏非</t>
        </is>
      </c>
      <c r="C17" s="66" t="inlineStr"/>
      <c r="D17" s="16" t="inlineStr"/>
      <c r="E17" s="58">
        <f>IF($A17="","",COUNTIF(醫師班表!$E18:$CS18,"悅"))</f>
        <v/>
      </c>
      <c r="F17" s="59">
        <f>IF($A17="","",COUNTIF(醫師班表!$E18:$CS18,"睿"))</f>
        <v/>
      </c>
      <c r="G17" s="60">
        <f>IF($A17="","",COUNTIF(醫師班表!$E18:$CS18,"匯"))</f>
        <v/>
      </c>
      <c r="H17" s="61">
        <f>IF($A17="","",COUNTIF(醫師班表!$E18:$CS18,"曜"))</f>
        <v/>
      </c>
      <c r="I17" s="62">
        <f>IF($A17="","",COUNTIF(醫師班表!$E18:$CS18,"寶"))</f>
        <v/>
      </c>
      <c r="J17" s="16">
        <f>IF($A17="","",SUM($E17:$I17))</f>
        <v/>
      </c>
      <c r="K17" s="16">
        <f>IF($A17="","",SUMPRODUCT(($E17:$I17&gt;0)*1))</f>
        <v/>
      </c>
      <c r="L17" s="16">
        <f>IF($A17="","",COUNTIF(醫師班表!$E18:$CS18,"訓"))</f>
        <v/>
      </c>
      <c r="M17" s="16">
        <f>IF($A17="","",COUNTIF(醫師班表!$E18:$CS18,"OFF"))</f>
        <v/>
      </c>
      <c r="N17" s="16">
        <f>IF($A17="","",COUNTIF(醫師班表!$E18:$CS18,"特"))</f>
        <v/>
      </c>
      <c r="O17" s="16">
        <f>IF($A17="","",COUNTIF(醫師班表!$E18:$CS18,"病"))</f>
        <v/>
      </c>
      <c r="P17" s="16">
        <f>IF($A17="","",COUNTIF(醫師班表!$E18:$CS18,"事"))</f>
        <v/>
      </c>
      <c r="Q17" s="16">
        <f>IF($A17="","",COUNTIF(醫師班表!$E18:$CS18,"公"))</f>
        <v/>
      </c>
      <c r="R17" s="16">
        <f>IF($A17="","",COUNTIF(醫師班表!$E18:$CS18,"國"))</f>
        <v/>
      </c>
      <c r="S17" s="16">
        <f>IF($A17="","",COUNTIF(醫師班表!$E18:$CS18,"休"))</f>
        <v/>
      </c>
      <c r="T17" s="16">
        <f>IF($A17="","",SUM($M17:$S17))</f>
        <v/>
      </c>
      <c r="U17" s="16">
        <f>IF($A17="","",DAY(EOMONTH(DATE(設定!$C$2,設定!$D$2,1),0))*3-COUNTIF(醫師班表!$E18:$CS18,"?*"))</f>
        <v/>
      </c>
    </row>
    <row r="18">
      <c r="A18" s="16" t="inlineStr">
        <is>
          <t>D014</t>
        </is>
      </c>
      <c r="B18" s="16" t="inlineStr">
        <is>
          <t>鄭漢賢</t>
        </is>
      </c>
      <c r="C18" s="66" t="inlineStr"/>
      <c r="D18" s="16" t="inlineStr"/>
      <c r="E18" s="58">
        <f>IF($A18="","",COUNTIF(醫師班表!$E19:$CS19,"悅"))</f>
        <v/>
      </c>
      <c r="F18" s="59">
        <f>IF($A18="","",COUNTIF(醫師班表!$E19:$CS19,"睿"))</f>
        <v/>
      </c>
      <c r="G18" s="60">
        <f>IF($A18="","",COUNTIF(醫師班表!$E19:$CS19,"匯"))</f>
        <v/>
      </c>
      <c r="H18" s="61">
        <f>IF($A18="","",COUNTIF(醫師班表!$E19:$CS19,"曜"))</f>
        <v/>
      </c>
      <c r="I18" s="62">
        <f>IF($A18="","",COUNTIF(醫師班表!$E19:$CS19,"寶"))</f>
        <v/>
      </c>
      <c r="J18" s="16">
        <f>IF($A18="","",SUM($E18:$I18))</f>
        <v/>
      </c>
      <c r="K18" s="16">
        <f>IF($A18="","",SUMPRODUCT(($E18:$I18&gt;0)*1))</f>
        <v/>
      </c>
      <c r="L18" s="16">
        <f>IF($A18="","",COUNTIF(醫師班表!$E19:$CS19,"訓"))</f>
        <v/>
      </c>
      <c r="M18" s="16">
        <f>IF($A18="","",COUNTIF(醫師班表!$E19:$CS19,"OFF"))</f>
        <v/>
      </c>
      <c r="N18" s="16">
        <f>IF($A18="","",COUNTIF(醫師班表!$E19:$CS19,"特"))</f>
        <v/>
      </c>
      <c r="O18" s="16">
        <f>IF($A18="","",COUNTIF(醫師班表!$E19:$CS19,"病"))</f>
        <v/>
      </c>
      <c r="P18" s="16">
        <f>IF($A18="","",COUNTIF(醫師班表!$E19:$CS19,"事"))</f>
        <v/>
      </c>
      <c r="Q18" s="16">
        <f>IF($A18="","",COUNTIF(醫師班表!$E19:$CS19,"公"))</f>
        <v/>
      </c>
      <c r="R18" s="16">
        <f>IF($A18="","",COUNTIF(醫師班表!$E19:$CS19,"國"))</f>
        <v/>
      </c>
      <c r="S18" s="16">
        <f>IF($A18="","",COUNTIF(醫師班表!$E19:$CS19,"休"))</f>
        <v/>
      </c>
      <c r="T18" s="16">
        <f>IF($A18="","",SUM($M18:$S18))</f>
        <v/>
      </c>
      <c r="U18" s="16">
        <f>IF($A18="","",DAY(EOMONTH(DATE(設定!$C$2,設定!$D$2,1),0))*3-COUNTIF(醫師班表!$E19:$CS19,"?*"))</f>
        <v/>
      </c>
    </row>
    <row r="19">
      <c r="A19" s="16" t="inlineStr">
        <is>
          <t>D015</t>
        </is>
      </c>
      <c r="B19" s="16" t="inlineStr">
        <is>
          <t>徐平</t>
        </is>
      </c>
      <c r="C19" s="66" t="inlineStr"/>
      <c r="D19" s="16" t="inlineStr"/>
      <c r="E19" s="58">
        <f>IF($A19="","",COUNTIF(醫師班表!$E20:$CS20,"悅"))</f>
        <v/>
      </c>
      <c r="F19" s="59">
        <f>IF($A19="","",COUNTIF(醫師班表!$E20:$CS20,"睿"))</f>
        <v/>
      </c>
      <c r="G19" s="60">
        <f>IF($A19="","",COUNTIF(醫師班表!$E20:$CS20,"匯"))</f>
        <v/>
      </c>
      <c r="H19" s="61">
        <f>IF($A19="","",COUNTIF(醫師班表!$E20:$CS20,"曜"))</f>
        <v/>
      </c>
      <c r="I19" s="62">
        <f>IF($A19="","",COUNTIF(醫師班表!$E20:$CS20,"寶"))</f>
        <v/>
      </c>
      <c r="J19" s="16">
        <f>IF($A19="","",SUM($E19:$I19))</f>
        <v/>
      </c>
      <c r="K19" s="16">
        <f>IF($A19="","",SUMPRODUCT(($E19:$I19&gt;0)*1))</f>
        <v/>
      </c>
      <c r="L19" s="16">
        <f>IF($A19="","",COUNTIF(醫師班表!$E20:$CS20,"訓"))</f>
        <v/>
      </c>
      <c r="M19" s="16">
        <f>IF($A19="","",COUNTIF(醫師班表!$E20:$CS20,"OFF"))</f>
        <v/>
      </c>
      <c r="N19" s="16">
        <f>IF($A19="","",COUNTIF(醫師班表!$E20:$CS20,"特"))</f>
        <v/>
      </c>
      <c r="O19" s="16">
        <f>IF($A19="","",COUNTIF(醫師班表!$E20:$CS20,"病"))</f>
        <v/>
      </c>
      <c r="P19" s="16">
        <f>IF($A19="","",COUNTIF(醫師班表!$E20:$CS20,"事"))</f>
        <v/>
      </c>
      <c r="Q19" s="16">
        <f>IF($A19="","",COUNTIF(醫師班表!$E20:$CS20,"公"))</f>
        <v/>
      </c>
      <c r="R19" s="16">
        <f>IF($A19="","",COUNTIF(醫師班表!$E20:$CS20,"國"))</f>
        <v/>
      </c>
      <c r="S19" s="16">
        <f>IF($A19="","",COUNTIF(醫師班表!$E20:$CS20,"休"))</f>
        <v/>
      </c>
      <c r="T19" s="16">
        <f>IF($A19="","",SUM($M19:$S19))</f>
        <v/>
      </c>
      <c r="U19" s="16">
        <f>IF($A19="","",DAY(EOMONTH(DATE(設定!$C$2,設定!$D$2,1),0))*3-COUNTIF(醫師班表!$E20:$CS20,"?*"))</f>
        <v/>
      </c>
    </row>
    <row r="20">
      <c r="A20" s="16" t="inlineStr">
        <is>
          <t>D016</t>
        </is>
      </c>
      <c r="B20" s="16" t="inlineStr">
        <is>
          <t>賴敏傑</t>
        </is>
      </c>
      <c r="C20" s="66" t="inlineStr"/>
      <c r="D20" s="16" t="inlineStr"/>
      <c r="E20" s="58">
        <f>IF($A20="","",COUNTIF(醫師班表!$E21:$CS21,"悅"))</f>
        <v/>
      </c>
      <c r="F20" s="59">
        <f>IF($A20="","",COUNTIF(醫師班表!$E21:$CS21,"睿"))</f>
        <v/>
      </c>
      <c r="G20" s="60">
        <f>IF($A20="","",COUNTIF(醫師班表!$E21:$CS21,"匯"))</f>
        <v/>
      </c>
      <c r="H20" s="61">
        <f>IF($A20="","",COUNTIF(醫師班表!$E21:$CS21,"曜"))</f>
        <v/>
      </c>
      <c r="I20" s="62">
        <f>IF($A20="","",COUNTIF(醫師班表!$E21:$CS21,"寶"))</f>
        <v/>
      </c>
      <c r="J20" s="16">
        <f>IF($A20="","",SUM($E20:$I20))</f>
        <v/>
      </c>
      <c r="K20" s="16">
        <f>IF($A20="","",SUMPRODUCT(($E20:$I20&gt;0)*1))</f>
        <v/>
      </c>
      <c r="L20" s="16">
        <f>IF($A20="","",COUNTIF(醫師班表!$E21:$CS21,"訓"))</f>
        <v/>
      </c>
      <c r="M20" s="16">
        <f>IF($A20="","",COUNTIF(醫師班表!$E21:$CS21,"OFF"))</f>
        <v/>
      </c>
      <c r="N20" s="16">
        <f>IF($A20="","",COUNTIF(醫師班表!$E21:$CS21,"特"))</f>
        <v/>
      </c>
      <c r="O20" s="16">
        <f>IF($A20="","",COUNTIF(醫師班表!$E21:$CS21,"病"))</f>
        <v/>
      </c>
      <c r="P20" s="16">
        <f>IF($A20="","",COUNTIF(醫師班表!$E21:$CS21,"事"))</f>
        <v/>
      </c>
      <c r="Q20" s="16">
        <f>IF($A20="","",COUNTIF(醫師班表!$E21:$CS21,"公"))</f>
        <v/>
      </c>
      <c r="R20" s="16">
        <f>IF($A20="","",COUNTIF(醫師班表!$E21:$CS21,"國"))</f>
        <v/>
      </c>
      <c r="S20" s="16">
        <f>IF($A20="","",COUNTIF(醫師班表!$E21:$CS21,"休"))</f>
        <v/>
      </c>
      <c r="T20" s="16">
        <f>IF($A20="","",SUM($M20:$S20))</f>
        <v/>
      </c>
      <c r="U20" s="16">
        <f>IF($A20="","",DAY(EOMONTH(DATE(設定!$C$2,設定!$D$2,1),0))*3-COUNTIF(醫師班表!$E21:$CS21,"?*"))</f>
        <v/>
      </c>
    </row>
    <row r="21">
      <c r="A21" s="16" t="inlineStr">
        <is>
          <t>D017</t>
        </is>
      </c>
      <c r="B21" s="16" t="inlineStr">
        <is>
          <t>吳柏賢</t>
        </is>
      </c>
      <c r="C21" s="66" t="inlineStr"/>
      <c r="D21" s="16" t="inlineStr"/>
      <c r="E21" s="58">
        <f>IF($A21="","",COUNTIF(醫師班表!$E22:$CS22,"悅"))</f>
        <v/>
      </c>
      <c r="F21" s="59">
        <f>IF($A21="","",COUNTIF(醫師班表!$E22:$CS22,"睿"))</f>
        <v/>
      </c>
      <c r="G21" s="60">
        <f>IF($A21="","",COUNTIF(醫師班表!$E22:$CS22,"匯"))</f>
        <v/>
      </c>
      <c r="H21" s="61">
        <f>IF($A21="","",COUNTIF(醫師班表!$E22:$CS22,"曜"))</f>
        <v/>
      </c>
      <c r="I21" s="62">
        <f>IF($A21="","",COUNTIF(醫師班表!$E22:$CS22,"寶"))</f>
        <v/>
      </c>
      <c r="J21" s="16">
        <f>IF($A21="","",SUM($E21:$I21))</f>
        <v/>
      </c>
      <c r="K21" s="16">
        <f>IF($A21="","",SUMPRODUCT(($E21:$I21&gt;0)*1))</f>
        <v/>
      </c>
      <c r="L21" s="16">
        <f>IF($A21="","",COUNTIF(醫師班表!$E22:$CS22,"訓"))</f>
        <v/>
      </c>
      <c r="M21" s="16">
        <f>IF($A21="","",COUNTIF(醫師班表!$E22:$CS22,"OFF"))</f>
        <v/>
      </c>
      <c r="N21" s="16">
        <f>IF($A21="","",COUNTIF(醫師班表!$E22:$CS22,"特"))</f>
        <v/>
      </c>
      <c r="O21" s="16">
        <f>IF($A21="","",COUNTIF(醫師班表!$E22:$CS22,"病"))</f>
        <v/>
      </c>
      <c r="P21" s="16">
        <f>IF($A21="","",COUNTIF(醫師班表!$E22:$CS22,"事"))</f>
        <v/>
      </c>
      <c r="Q21" s="16">
        <f>IF($A21="","",COUNTIF(醫師班表!$E22:$CS22,"公"))</f>
        <v/>
      </c>
      <c r="R21" s="16">
        <f>IF($A21="","",COUNTIF(醫師班表!$E22:$CS22,"國"))</f>
        <v/>
      </c>
      <c r="S21" s="16">
        <f>IF($A21="","",COUNTIF(醫師班表!$E22:$CS22,"休"))</f>
        <v/>
      </c>
      <c r="T21" s="16">
        <f>IF($A21="","",SUM($M21:$S21))</f>
        <v/>
      </c>
      <c r="U21" s="16">
        <f>IF($A21="","",DAY(EOMONTH(DATE(設定!$C$2,設定!$D$2,1),0))*3-COUNTIF(醫師班表!$E22:$CS22,"?*"))</f>
        <v/>
      </c>
    </row>
    <row r="22">
      <c r="A22" s="16" t="inlineStr">
        <is>
          <t>D018</t>
        </is>
      </c>
      <c r="B22" s="16" t="inlineStr">
        <is>
          <t>許博諺</t>
        </is>
      </c>
      <c r="C22" s="66" t="inlineStr"/>
      <c r="D22" s="16" t="inlineStr"/>
      <c r="E22" s="58">
        <f>IF($A22="","",COUNTIF(醫師班表!$E23:$CS23,"悅"))</f>
        <v/>
      </c>
      <c r="F22" s="59">
        <f>IF($A22="","",COUNTIF(醫師班表!$E23:$CS23,"睿"))</f>
        <v/>
      </c>
      <c r="G22" s="60">
        <f>IF($A22="","",COUNTIF(醫師班表!$E23:$CS23,"匯"))</f>
        <v/>
      </c>
      <c r="H22" s="61">
        <f>IF($A22="","",COUNTIF(醫師班表!$E23:$CS23,"曜"))</f>
        <v/>
      </c>
      <c r="I22" s="62">
        <f>IF($A22="","",COUNTIF(醫師班表!$E23:$CS23,"寶"))</f>
        <v/>
      </c>
      <c r="J22" s="16">
        <f>IF($A22="","",SUM($E22:$I22))</f>
        <v/>
      </c>
      <c r="K22" s="16">
        <f>IF($A22="","",SUMPRODUCT(($E22:$I22&gt;0)*1))</f>
        <v/>
      </c>
      <c r="L22" s="16">
        <f>IF($A22="","",COUNTIF(醫師班表!$E23:$CS23,"訓"))</f>
        <v/>
      </c>
      <c r="M22" s="16">
        <f>IF($A22="","",COUNTIF(醫師班表!$E23:$CS23,"OFF"))</f>
        <v/>
      </c>
      <c r="N22" s="16">
        <f>IF($A22="","",COUNTIF(醫師班表!$E23:$CS23,"特"))</f>
        <v/>
      </c>
      <c r="O22" s="16">
        <f>IF($A22="","",COUNTIF(醫師班表!$E23:$CS23,"病"))</f>
        <v/>
      </c>
      <c r="P22" s="16">
        <f>IF($A22="","",COUNTIF(醫師班表!$E23:$CS23,"事"))</f>
        <v/>
      </c>
      <c r="Q22" s="16">
        <f>IF($A22="","",COUNTIF(醫師班表!$E23:$CS23,"公"))</f>
        <v/>
      </c>
      <c r="R22" s="16">
        <f>IF($A22="","",COUNTIF(醫師班表!$E23:$CS23,"國"))</f>
        <v/>
      </c>
      <c r="S22" s="16">
        <f>IF($A22="","",COUNTIF(醫師班表!$E23:$CS23,"休"))</f>
        <v/>
      </c>
      <c r="T22" s="16">
        <f>IF($A22="","",SUM($M22:$S22))</f>
        <v/>
      </c>
      <c r="U22" s="16">
        <f>IF($A22="","",DAY(EOMONTH(DATE(設定!$C$2,設定!$D$2,1),0))*3-COUNTIF(醫師班表!$E23:$CS23,"?*"))</f>
        <v/>
      </c>
    </row>
    <row r="23">
      <c r="A23" s="16" t="inlineStr">
        <is>
          <t>D019</t>
        </is>
      </c>
      <c r="B23" s="16" t="inlineStr">
        <is>
          <t>翁崎紘</t>
        </is>
      </c>
      <c r="C23" s="66" t="inlineStr"/>
      <c r="D23" s="16" t="inlineStr"/>
      <c r="E23" s="58">
        <f>IF($A23="","",COUNTIF(醫師班表!$E24:$CS24,"悅"))</f>
        <v/>
      </c>
      <c r="F23" s="59">
        <f>IF($A23="","",COUNTIF(醫師班表!$E24:$CS24,"睿"))</f>
        <v/>
      </c>
      <c r="G23" s="60">
        <f>IF($A23="","",COUNTIF(醫師班表!$E24:$CS24,"匯"))</f>
        <v/>
      </c>
      <c r="H23" s="61">
        <f>IF($A23="","",COUNTIF(醫師班表!$E24:$CS24,"曜"))</f>
        <v/>
      </c>
      <c r="I23" s="62">
        <f>IF($A23="","",COUNTIF(醫師班表!$E24:$CS24,"寶"))</f>
        <v/>
      </c>
      <c r="J23" s="16">
        <f>IF($A23="","",SUM($E23:$I23))</f>
        <v/>
      </c>
      <c r="K23" s="16">
        <f>IF($A23="","",SUMPRODUCT(($E23:$I23&gt;0)*1))</f>
        <v/>
      </c>
      <c r="L23" s="16">
        <f>IF($A23="","",COUNTIF(醫師班表!$E24:$CS24,"訓"))</f>
        <v/>
      </c>
      <c r="M23" s="16">
        <f>IF($A23="","",COUNTIF(醫師班表!$E24:$CS24,"OFF"))</f>
        <v/>
      </c>
      <c r="N23" s="16">
        <f>IF($A23="","",COUNTIF(醫師班表!$E24:$CS24,"特"))</f>
        <v/>
      </c>
      <c r="O23" s="16">
        <f>IF($A23="","",COUNTIF(醫師班表!$E24:$CS24,"病"))</f>
        <v/>
      </c>
      <c r="P23" s="16">
        <f>IF($A23="","",COUNTIF(醫師班表!$E24:$CS24,"事"))</f>
        <v/>
      </c>
      <c r="Q23" s="16">
        <f>IF($A23="","",COUNTIF(醫師班表!$E24:$CS24,"公"))</f>
        <v/>
      </c>
      <c r="R23" s="16">
        <f>IF($A23="","",COUNTIF(醫師班表!$E24:$CS24,"國"))</f>
        <v/>
      </c>
      <c r="S23" s="16">
        <f>IF($A23="","",COUNTIF(醫師班表!$E24:$CS24,"休"))</f>
        <v/>
      </c>
      <c r="T23" s="16">
        <f>IF($A23="","",SUM($M23:$S23))</f>
        <v/>
      </c>
      <c r="U23" s="16">
        <f>IF($A23="","",DAY(EOMONTH(DATE(設定!$C$2,設定!$D$2,1),0))*3-COUNTIF(醫師班表!$E24:$CS24,"?*"))</f>
        <v/>
      </c>
    </row>
    <row r="24">
      <c r="A24" s="16" t="inlineStr">
        <is>
          <t>D020</t>
        </is>
      </c>
      <c r="B24" s="16" t="inlineStr">
        <is>
          <t>余柏萱</t>
        </is>
      </c>
      <c r="C24" s="66" t="inlineStr"/>
      <c r="D24" s="16" t="inlineStr"/>
      <c r="E24" s="58">
        <f>IF($A24="","",COUNTIF(醫師班表!$E25:$CS25,"悅"))</f>
        <v/>
      </c>
      <c r="F24" s="59">
        <f>IF($A24="","",COUNTIF(醫師班表!$E25:$CS25,"睿"))</f>
        <v/>
      </c>
      <c r="G24" s="60">
        <f>IF($A24="","",COUNTIF(醫師班表!$E25:$CS25,"匯"))</f>
        <v/>
      </c>
      <c r="H24" s="61">
        <f>IF($A24="","",COUNTIF(醫師班表!$E25:$CS25,"曜"))</f>
        <v/>
      </c>
      <c r="I24" s="62">
        <f>IF($A24="","",COUNTIF(醫師班表!$E25:$CS25,"寶"))</f>
        <v/>
      </c>
      <c r="J24" s="16">
        <f>IF($A24="","",SUM($E24:$I24))</f>
        <v/>
      </c>
      <c r="K24" s="16">
        <f>IF($A24="","",SUMPRODUCT(($E24:$I24&gt;0)*1))</f>
        <v/>
      </c>
      <c r="L24" s="16">
        <f>IF($A24="","",COUNTIF(醫師班表!$E25:$CS25,"訓"))</f>
        <v/>
      </c>
      <c r="M24" s="16">
        <f>IF($A24="","",COUNTIF(醫師班表!$E25:$CS25,"OFF"))</f>
        <v/>
      </c>
      <c r="N24" s="16">
        <f>IF($A24="","",COUNTIF(醫師班表!$E25:$CS25,"特"))</f>
        <v/>
      </c>
      <c r="O24" s="16">
        <f>IF($A24="","",COUNTIF(醫師班表!$E25:$CS25,"病"))</f>
        <v/>
      </c>
      <c r="P24" s="16">
        <f>IF($A24="","",COUNTIF(醫師班表!$E25:$CS25,"事"))</f>
        <v/>
      </c>
      <c r="Q24" s="16">
        <f>IF($A24="","",COUNTIF(醫師班表!$E25:$CS25,"公"))</f>
        <v/>
      </c>
      <c r="R24" s="16">
        <f>IF($A24="","",COUNTIF(醫師班表!$E25:$CS25,"國"))</f>
        <v/>
      </c>
      <c r="S24" s="16">
        <f>IF($A24="","",COUNTIF(醫師班表!$E25:$CS25,"休"))</f>
        <v/>
      </c>
      <c r="T24" s="16">
        <f>IF($A24="","",SUM($M24:$S24))</f>
        <v/>
      </c>
      <c r="U24" s="16">
        <f>IF($A24="","",DAY(EOMONTH(DATE(設定!$C$2,設定!$D$2,1),0))*3-COUNTIF(醫師班表!$E25:$CS25,"?*"))</f>
        <v/>
      </c>
    </row>
    <row r="25">
      <c r="A25" s="16" t="inlineStr">
        <is>
          <t>D021</t>
        </is>
      </c>
      <c r="B25" s="16" t="inlineStr">
        <is>
          <t>鄭博文</t>
        </is>
      </c>
      <c r="C25" s="66" t="inlineStr"/>
      <c r="D25" s="16" t="inlineStr"/>
      <c r="E25" s="58">
        <f>IF($A25="","",COUNTIF(醫師班表!$E26:$CS26,"悅"))</f>
        <v/>
      </c>
      <c r="F25" s="59">
        <f>IF($A25="","",COUNTIF(醫師班表!$E26:$CS26,"睿"))</f>
        <v/>
      </c>
      <c r="G25" s="60">
        <f>IF($A25="","",COUNTIF(醫師班表!$E26:$CS26,"匯"))</f>
        <v/>
      </c>
      <c r="H25" s="61">
        <f>IF($A25="","",COUNTIF(醫師班表!$E26:$CS26,"曜"))</f>
        <v/>
      </c>
      <c r="I25" s="62">
        <f>IF($A25="","",COUNTIF(醫師班表!$E26:$CS26,"寶"))</f>
        <v/>
      </c>
      <c r="J25" s="16">
        <f>IF($A25="","",SUM($E25:$I25))</f>
        <v/>
      </c>
      <c r="K25" s="16">
        <f>IF($A25="","",SUMPRODUCT(($E25:$I25&gt;0)*1))</f>
        <v/>
      </c>
      <c r="L25" s="16">
        <f>IF($A25="","",COUNTIF(醫師班表!$E26:$CS26,"訓"))</f>
        <v/>
      </c>
      <c r="M25" s="16">
        <f>IF($A25="","",COUNTIF(醫師班表!$E26:$CS26,"OFF"))</f>
        <v/>
      </c>
      <c r="N25" s="16">
        <f>IF($A25="","",COUNTIF(醫師班表!$E26:$CS26,"特"))</f>
        <v/>
      </c>
      <c r="O25" s="16">
        <f>IF($A25="","",COUNTIF(醫師班表!$E26:$CS26,"病"))</f>
        <v/>
      </c>
      <c r="P25" s="16">
        <f>IF($A25="","",COUNTIF(醫師班表!$E26:$CS26,"事"))</f>
        <v/>
      </c>
      <c r="Q25" s="16">
        <f>IF($A25="","",COUNTIF(醫師班表!$E26:$CS26,"公"))</f>
        <v/>
      </c>
      <c r="R25" s="16">
        <f>IF($A25="","",COUNTIF(醫師班表!$E26:$CS26,"國"))</f>
        <v/>
      </c>
      <c r="S25" s="16">
        <f>IF($A25="","",COUNTIF(醫師班表!$E26:$CS26,"休"))</f>
        <v/>
      </c>
      <c r="T25" s="16">
        <f>IF($A25="","",SUM($M25:$S25))</f>
        <v/>
      </c>
      <c r="U25" s="16">
        <f>IF($A25="","",DAY(EOMONTH(DATE(設定!$C$2,設定!$D$2,1),0))*3-COUNTIF(醫師班表!$E26:$CS26,"?*"))</f>
        <v/>
      </c>
    </row>
    <row r="26">
      <c r="A26" s="16" t="inlineStr">
        <is>
          <t>D022</t>
        </is>
      </c>
      <c r="B26" s="16" t="inlineStr">
        <is>
          <t>黃育亭</t>
        </is>
      </c>
      <c r="C26" s="66" t="inlineStr">
        <is>
          <t>兒童</t>
        </is>
      </c>
      <c r="D26" s="16" t="inlineStr">
        <is>
          <t>寶貝牙院長</t>
        </is>
      </c>
      <c r="E26" s="58">
        <f>IF($A26="","",COUNTIF(醫師班表!$E27:$CS27,"悅"))</f>
        <v/>
      </c>
      <c r="F26" s="59">
        <f>IF($A26="","",COUNTIF(醫師班表!$E27:$CS27,"睿"))</f>
        <v/>
      </c>
      <c r="G26" s="60">
        <f>IF($A26="","",COUNTIF(醫師班表!$E27:$CS27,"匯"))</f>
        <v/>
      </c>
      <c r="H26" s="61">
        <f>IF($A26="","",COUNTIF(醫師班表!$E27:$CS27,"曜"))</f>
        <v/>
      </c>
      <c r="I26" s="62">
        <f>IF($A26="","",COUNTIF(醫師班表!$E27:$CS27,"寶"))</f>
        <v/>
      </c>
      <c r="J26" s="16">
        <f>IF($A26="","",SUM($E26:$I26))</f>
        <v/>
      </c>
      <c r="K26" s="16">
        <f>IF($A26="","",SUMPRODUCT(($E26:$I26&gt;0)*1))</f>
        <v/>
      </c>
      <c r="L26" s="16">
        <f>IF($A26="","",COUNTIF(醫師班表!$E27:$CS27,"訓"))</f>
        <v/>
      </c>
      <c r="M26" s="16">
        <f>IF($A26="","",COUNTIF(醫師班表!$E27:$CS27,"OFF"))</f>
        <v/>
      </c>
      <c r="N26" s="16">
        <f>IF($A26="","",COUNTIF(醫師班表!$E27:$CS27,"特"))</f>
        <v/>
      </c>
      <c r="O26" s="16">
        <f>IF($A26="","",COUNTIF(醫師班表!$E27:$CS27,"病"))</f>
        <v/>
      </c>
      <c r="P26" s="16">
        <f>IF($A26="","",COUNTIF(醫師班表!$E27:$CS27,"事"))</f>
        <v/>
      </c>
      <c r="Q26" s="16">
        <f>IF($A26="","",COUNTIF(醫師班表!$E27:$CS27,"公"))</f>
        <v/>
      </c>
      <c r="R26" s="16">
        <f>IF($A26="","",COUNTIF(醫師班表!$E27:$CS27,"國"))</f>
        <v/>
      </c>
      <c r="S26" s="16">
        <f>IF($A26="","",COUNTIF(醫師班表!$E27:$CS27,"休"))</f>
        <v/>
      </c>
      <c r="T26" s="16">
        <f>IF($A26="","",SUM($M26:$S26))</f>
        <v/>
      </c>
      <c r="U26" s="16">
        <f>IF($A26="","",DAY(EOMONTH(DATE(設定!$C$2,設定!$D$2,1),0))*3-COUNTIF(醫師班表!$E27:$CS27,"?*"))</f>
        <v/>
      </c>
    </row>
    <row r="27">
      <c r="A27" s="16" t="inlineStr">
        <is>
          <t>D023</t>
        </is>
      </c>
      <c r="B27" s="16" t="inlineStr">
        <is>
          <t>黃婷愉</t>
        </is>
      </c>
      <c r="C27" s="66" t="inlineStr">
        <is>
          <t>口外</t>
        </is>
      </c>
      <c r="D27" s="16" t="inlineStr"/>
      <c r="E27" s="58">
        <f>IF($A27="","",COUNTIF(醫師班表!$E28:$CS28,"悅"))</f>
        <v/>
      </c>
      <c r="F27" s="59">
        <f>IF($A27="","",COUNTIF(醫師班表!$E28:$CS28,"睿"))</f>
        <v/>
      </c>
      <c r="G27" s="60">
        <f>IF($A27="","",COUNTIF(醫師班表!$E28:$CS28,"匯"))</f>
        <v/>
      </c>
      <c r="H27" s="61">
        <f>IF($A27="","",COUNTIF(醫師班表!$E28:$CS28,"曜"))</f>
        <v/>
      </c>
      <c r="I27" s="62">
        <f>IF($A27="","",COUNTIF(醫師班表!$E28:$CS28,"寶"))</f>
        <v/>
      </c>
      <c r="J27" s="16">
        <f>IF($A27="","",SUM($E27:$I27))</f>
        <v/>
      </c>
      <c r="K27" s="16">
        <f>IF($A27="","",SUMPRODUCT(($E27:$I27&gt;0)*1))</f>
        <v/>
      </c>
      <c r="L27" s="16">
        <f>IF($A27="","",COUNTIF(醫師班表!$E28:$CS28,"訓"))</f>
        <v/>
      </c>
      <c r="M27" s="16">
        <f>IF($A27="","",COUNTIF(醫師班表!$E28:$CS28,"OFF"))</f>
        <v/>
      </c>
      <c r="N27" s="16">
        <f>IF($A27="","",COUNTIF(醫師班表!$E28:$CS28,"特"))</f>
        <v/>
      </c>
      <c r="O27" s="16">
        <f>IF($A27="","",COUNTIF(醫師班表!$E28:$CS28,"病"))</f>
        <v/>
      </c>
      <c r="P27" s="16">
        <f>IF($A27="","",COUNTIF(醫師班表!$E28:$CS28,"事"))</f>
        <v/>
      </c>
      <c r="Q27" s="16">
        <f>IF($A27="","",COUNTIF(醫師班表!$E28:$CS28,"公"))</f>
        <v/>
      </c>
      <c r="R27" s="16">
        <f>IF($A27="","",COUNTIF(醫師班表!$E28:$CS28,"國"))</f>
        <v/>
      </c>
      <c r="S27" s="16">
        <f>IF($A27="","",COUNTIF(醫師班表!$E28:$CS28,"休"))</f>
        <v/>
      </c>
      <c r="T27" s="16">
        <f>IF($A27="","",SUM($M27:$S27))</f>
        <v/>
      </c>
      <c r="U27" s="16">
        <f>IF($A27="","",DAY(EOMONTH(DATE(設定!$C$2,設定!$D$2,1),0))*3-COUNTIF(醫師班表!$E28:$CS28,"?*"))</f>
        <v/>
      </c>
    </row>
    <row r="28">
      <c r="A28" s="16" t="inlineStr">
        <is>
          <t>D024</t>
        </is>
      </c>
      <c r="B28" s="16" t="inlineStr">
        <is>
          <t>林紓安</t>
        </is>
      </c>
      <c r="C28" s="66" t="inlineStr">
        <is>
          <t>兒童</t>
        </is>
      </c>
      <c r="D28" s="16" t="inlineStr"/>
      <c r="E28" s="58">
        <f>IF($A28="","",COUNTIF(醫師班表!$E29:$CS29,"悅"))</f>
        <v/>
      </c>
      <c r="F28" s="59">
        <f>IF($A28="","",COUNTIF(醫師班表!$E29:$CS29,"睿"))</f>
        <v/>
      </c>
      <c r="G28" s="60">
        <f>IF($A28="","",COUNTIF(醫師班表!$E29:$CS29,"匯"))</f>
        <v/>
      </c>
      <c r="H28" s="61">
        <f>IF($A28="","",COUNTIF(醫師班表!$E29:$CS29,"曜"))</f>
        <v/>
      </c>
      <c r="I28" s="62">
        <f>IF($A28="","",COUNTIF(醫師班表!$E29:$CS29,"寶"))</f>
        <v/>
      </c>
      <c r="J28" s="16">
        <f>IF($A28="","",SUM($E28:$I28))</f>
        <v/>
      </c>
      <c r="K28" s="16">
        <f>IF($A28="","",SUMPRODUCT(($E28:$I28&gt;0)*1))</f>
        <v/>
      </c>
      <c r="L28" s="16">
        <f>IF($A28="","",COUNTIF(醫師班表!$E29:$CS29,"訓"))</f>
        <v/>
      </c>
      <c r="M28" s="16">
        <f>IF($A28="","",COUNTIF(醫師班表!$E29:$CS29,"OFF"))</f>
        <v/>
      </c>
      <c r="N28" s="16">
        <f>IF($A28="","",COUNTIF(醫師班表!$E29:$CS29,"特"))</f>
        <v/>
      </c>
      <c r="O28" s="16">
        <f>IF($A28="","",COUNTIF(醫師班表!$E29:$CS29,"病"))</f>
        <v/>
      </c>
      <c r="P28" s="16">
        <f>IF($A28="","",COUNTIF(醫師班表!$E29:$CS29,"事"))</f>
        <v/>
      </c>
      <c r="Q28" s="16">
        <f>IF($A28="","",COUNTIF(醫師班表!$E29:$CS29,"公"))</f>
        <v/>
      </c>
      <c r="R28" s="16">
        <f>IF($A28="","",COUNTIF(醫師班表!$E29:$CS29,"國"))</f>
        <v/>
      </c>
      <c r="S28" s="16">
        <f>IF($A28="","",COUNTIF(醫師班表!$E29:$CS29,"休"))</f>
        <v/>
      </c>
      <c r="T28" s="16">
        <f>IF($A28="","",SUM($M28:$S28))</f>
        <v/>
      </c>
      <c r="U28" s="16">
        <f>IF($A28="","",DAY(EOMONTH(DATE(設定!$C$2,設定!$D$2,1),0))*3-COUNTIF(醫師班表!$E29:$CS29,"?*"))</f>
        <v/>
      </c>
    </row>
    <row r="29">
      <c r="A29" s="16" t="inlineStr">
        <is>
          <t>D025</t>
        </is>
      </c>
      <c r="B29" s="16" t="inlineStr">
        <is>
          <t>陳爵安</t>
        </is>
      </c>
      <c r="C29" s="66" t="inlineStr"/>
      <c r="D29" s="16" t="inlineStr"/>
      <c r="E29" s="58">
        <f>IF($A29="","",COUNTIF(醫師班表!$E30:$CS30,"悅"))</f>
        <v/>
      </c>
      <c r="F29" s="59">
        <f>IF($A29="","",COUNTIF(醫師班表!$E30:$CS30,"睿"))</f>
        <v/>
      </c>
      <c r="G29" s="60">
        <f>IF($A29="","",COUNTIF(醫師班表!$E30:$CS30,"匯"))</f>
        <v/>
      </c>
      <c r="H29" s="61">
        <f>IF($A29="","",COUNTIF(醫師班表!$E30:$CS30,"曜"))</f>
        <v/>
      </c>
      <c r="I29" s="62">
        <f>IF($A29="","",COUNTIF(醫師班表!$E30:$CS30,"寶"))</f>
        <v/>
      </c>
      <c r="J29" s="16">
        <f>IF($A29="","",SUM($E29:$I29))</f>
        <v/>
      </c>
      <c r="K29" s="16">
        <f>IF($A29="","",SUMPRODUCT(($E29:$I29&gt;0)*1))</f>
        <v/>
      </c>
      <c r="L29" s="16">
        <f>IF($A29="","",COUNTIF(醫師班表!$E30:$CS30,"訓"))</f>
        <v/>
      </c>
      <c r="M29" s="16">
        <f>IF($A29="","",COUNTIF(醫師班表!$E30:$CS30,"OFF"))</f>
        <v/>
      </c>
      <c r="N29" s="16">
        <f>IF($A29="","",COUNTIF(醫師班表!$E30:$CS30,"特"))</f>
        <v/>
      </c>
      <c r="O29" s="16">
        <f>IF($A29="","",COUNTIF(醫師班表!$E30:$CS30,"病"))</f>
        <v/>
      </c>
      <c r="P29" s="16">
        <f>IF($A29="","",COUNTIF(醫師班表!$E30:$CS30,"事"))</f>
        <v/>
      </c>
      <c r="Q29" s="16">
        <f>IF($A29="","",COUNTIF(醫師班表!$E30:$CS30,"公"))</f>
        <v/>
      </c>
      <c r="R29" s="16">
        <f>IF($A29="","",COUNTIF(醫師班表!$E30:$CS30,"國"))</f>
        <v/>
      </c>
      <c r="S29" s="16">
        <f>IF($A29="","",COUNTIF(醫師班表!$E30:$CS30,"休"))</f>
        <v/>
      </c>
      <c r="T29" s="16">
        <f>IF($A29="","",SUM($M29:$S29))</f>
        <v/>
      </c>
      <c r="U29" s="16">
        <f>IF($A29="","",DAY(EOMONTH(DATE(設定!$C$2,設定!$D$2,1),0))*3-COUNTIF(醫師班表!$E30:$CS30,"?*"))</f>
        <v/>
      </c>
    </row>
    <row r="30">
      <c r="A30" s="16" t="inlineStr">
        <is>
          <t>D026</t>
        </is>
      </c>
      <c r="B30" s="16" t="inlineStr">
        <is>
          <t>吳冠廷</t>
        </is>
      </c>
      <c r="C30" s="66" t="inlineStr"/>
      <c r="D30" s="16" t="inlineStr"/>
      <c r="E30" s="58">
        <f>IF($A30="","",COUNTIF(醫師班表!$E31:$CS31,"悅"))</f>
        <v/>
      </c>
      <c r="F30" s="59">
        <f>IF($A30="","",COUNTIF(醫師班表!$E31:$CS31,"睿"))</f>
        <v/>
      </c>
      <c r="G30" s="60">
        <f>IF($A30="","",COUNTIF(醫師班表!$E31:$CS31,"匯"))</f>
        <v/>
      </c>
      <c r="H30" s="61">
        <f>IF($A30="","",COUNTIF(醫師班表!$E31:$CS31,"曜"))</f>
        <v/>
      </c>
      <c r="I30" s="62">
        <f>IF($A30="","",COUNTIF(醫師班表!$E31:$CS31,"寶"))</f>
        <v/>
      </c>
      <c r="J30" s="16">
        <f>IF($A30="","",SUM($E30:$I30))</f>
        <v/>
      </c>
      <c r="K30" s="16">
        <f>IF($A30="","",SUMPRODUCT(($E30:$I30&gt;0)*1))</f>
        <v/>
      </c>
      <c r="L30" s="16">
        <f>IF($A30="","",COUNTIF(醫師班表!$E31:$CS31,"訓"))</f>
        <v/>
      </c>
      <c r="M30" s="16">
        <f>IF($A30="","",COUNTIF(醫師班表!$E31:$CS31,"OFF"))</f>
        <v/>
      </c>
      <c r="N30" s="16">
        <f>IF($A30="","",COUNTIF(醫師班表!$E31:$CS31,"特"))</f>
        <v/>
      </c>
      <c r="O30" s="16">
        <f>IF($A30="","",COUNTIF(醫師班表!$E31:$CS31,"病"))</f>
        <v/>
      </c>
      <c r="P30" s="16">
        <f>IF($A30="","",COUNTIF(醫師班表!$E31:$CS31,"事"))</f>
        <v/>
      </c>
      <c r="Q30" s="16">
        <f>IF($A30="","",COUNTIF(醫師班表!$E31:$CS31,"公"))</f>
        <v/>
      </c>
      <c r="R30" s="16">
        <f>IF($A30="","",COUNTIF(醫師班表!$E31:$CS31,"國"))</f>
        <v/>
      </c>
      <c r="S30" s="16">
        <f>IF($A30="","",COUNTIF(醫師班表!$E31:$CS31,"休"))</f>
        <v/>
      </c>
      <c r="T30" s="16">
        <f>IF($A30="","",SUM($M30:$S30))</f>
        <v/>
      </c>
      <c r="U30" s="16">
        <f>IF($A30="","",DAY(EOMONTH(DATE(設定!$C$2,設定!$D$2,1),0))*3-COUNTIF(醫師班表!$E31:$CS31,"?*"))</f>
        <v/>
      </c>
    </row>
    <row r="31">
      <c r="A31" s="16" t="inlineStr">
        <is>
          <t>D027</t>
        </is>
      </c>
      <c r="B31" s="16" t="inlineStr">
        <is>
          <t>楊孟庭</t>
        </is>
      </c>
      <c r="C31" s="66" t="inlineStr"/>
      <c r="D31" s="16" t="inlineStr"/>
      <c r="E31" s="58">
        <f>IF($A31="","",COUNTIF(醫師班表!$E32:$CS32,"悅"))</f>
        <v/>
      </c>
      <c r="F31" s="59">
        <f>IF($A31="","",COUNTIF(醫師班表!$E32:$CS32,"睿"))</f>
        <v/>
      </c>
      <c r="G31" s="60">
        <f>IF($A31="","",COUNTIF(醫師班表!$E32:$CS32,"匯"))</f>
        <v/>
      </c>
      <c r="H31" s="61">
        <f>IF($A31="","",COUNTIF(醫師班表!$E32:$CS32,"曜"))</f>
        <v/>
      </c>
      <c r="I31" s="62">
        <f>IF($A31="","",COUNTIF(醫師班表!$E32:$CS32,"寶"))</f>
        <v/>
      </c>
      <c r="J31" s="16">
        <f>IF($A31="","",SUM($E31:$I31))</f>
        <v/>
      </c>
      <c r="K31" s="16">
        <f>IF($A31="","",SUMPRODUCT(($E31:$I31&gt;0)*1))</f>
        <v/>
      </c>
      <c r="L31" s="16">
        <f>IF($A31="","",COUNTIF(醫師班表!$E32:$CS32,"訓"))</f>
        <v/>
      </c>
      <c r="M31" s="16">
        <f>IF($A31="","",COUNTIF(醫師班表!$E32:$CS32,"OFF"))</f>
        <v/>
      </c>
      <c r="N31" s="16">
        <f>IF($A31="","",COUNTIF(醫師班表!$E32:$CS32,"特"))</f>
        <v/>
      </c>
      <c r="O31" s="16">
        <f>IF($A31="","",COUNTIF(醫師班表!$E32:$CS32,"病"))</f>
        <v/>
      </c>
      <c r="P31" s="16">
        <f>IF($A31="","",COUNTIF(醫師班表!$E32:$CS32,"事"))</f>
        <v/>
      </c>
      <c r="Q31" s="16">
        <f>IF($A31="","",COUNTIF(醫師班表!$E32:$CS32,"公"))</f>
        <v/>
      </c>
      <c r="R31" s="16">
        <f>IF($A31="","",COUNTIF(醫師班表!$E32:$CS32,"國"))</f>
        <v/>
      </c>
      <c r="S31" s="16">
        <f>IF($A31="","",COUNTIF(醫師班表!$E32:$CS32,"休"))</f>
        <v/>
      </c>
      <c r="T31" s="16">
        <f>IF($A31="","",SUM($M31:$S31))</f>
        <v/>
      </c>
      <c r="U31" s="16">
        <f>IF($A31="","",DAY(EOMONTH(DATE(設定!$C$2,設定!$D$2,1),0))*3-COUNTIF(醫師班表!$E32:$CS32,"?*"))</f>
        <v/>
      </c>
    </row>
    <row r="32">
      <c r="A32" s="16">
        <f>IF(醫師班表!$A33="","",醫師班表!$A33)</f>
        <v/>
      </c>
      <c r="B32" s="16">
        <f>IF($A32="","",醫師班表!$B33)</f>
        <v/>
      </c>
      <c r="C32" s="66">
        <f>IF($A32="","",醫師班表!$C33)</f>
        <v/>
      </c>
      <c r="D32" s="16">
        <f>IF($A32="","",醫師班表!$D33)</f>
        <v/>
      </c>
      <c r="E32" s="58">
        <f>IF($A32="","",COUNTIF(醫師班表!$E33:$CS33,"悅"))</f>
        <v/>
      </c>
      <c r="F32" s="59">
        <f>IF($A32="","",COUNTIF(醫師班表!$E33:$CS33,"睿"))</f>
        <v/>
      </c>
      <c r="G32" s="60">
        <f>IF($A32="","",COUNTIF(醫師班表!$E33:$CS33,"匯"))</f>
        <v/>
      </c>
      <c r="H32" s="61">
        <f>IF($A32="","",COUNTIF(醫師班表!$E33:$CS33,"曜"))</f>
        <v/>
      </c>
      <c r="I32" s="62">
        <f>IF($A32="","",COUNTIF(醫師班表!$E33:$CS33,"寶"))</f>
        <v/>
      </c>
      <c r="J32" s="16">
        <f>IF($A32="","",SUM($E32:$I32))</f>
        <v/>
      </c>
      <c r="K32" s="16">
        <f>IF($A32="","",SUMPRODUCT(($E32:$I32&gt;0)*1))</f>
        <v/>
      </c>
      <c r="L32" s="16">
        <f>IF($A32="","",COUNTIF(醫師班表!$E33:$CS33,"訓"))</f>
        <v/>
      </c>
      <c r="M32" s="16">
        <f>IF($A32="","",COUNTIF(醫師班表!$E33:$CS33,"OFF"))</f>
        <v/>
      </c>
      <c r="N32" s="16">
        <f>IF($A32="","",COUNTIF(醫師班表!$E33:$CS33,"特"))</f>
        <v/>
      </c>
      <c r="O32" s="16">
        <f>IF($A32="","",COUNTIF(醫師班表!$E33:$CS33,"病"))</f>
        <v/>
      </c>
      <c r="P32" s="16">
        <f>IF($A32="","",COUNTIF(醫師班表!$E33:$CS33,"事"))</f>
        <v/>
      </c>
      <c r="Q32" s="16">
        <f>IF($A32="","",COUNTIF(醫師班表!$E33:$CS33,"公"))</f>
        <v/>
      </c>
      <c r="R32" s="16">
        <f>IF($A32="","",COUNTIF(醫師班表!$E33:$CS33,"國"))</f>
        <v/>
      </c>
      <c r="S32" s="16">
        <f>IF($A32="","",COUNTIF(醫師班表!$E33:$CS33,"休"))</f>
        <v/>
      </c>
      <c r="T32" s="16">
        <f>IF($A32="","",SUM($M32:$S32))</f>
        <v/>
      </c>
      <c r="U32" s="16">
        <f>IF($A32="","",DAY(EOMONTH(DATE(設定!$C$2,設定!$D$2,1),0))*3-COUNTIF(醫師班表!$E33:$CS33,"?*"))</f>
        <v/>
      </c>
    </row>
    <row r="33">
      <c r="A33" s="16">
        <f>IF(醫師班表!$A34="","",醫師班表!$A34)</f>
        <v/>
      </c>
      <c r="B33" s="16">
        <f>IF($A33="","",醫師班表!$B34)</f>
        <v/>
      </c>
      <c r="C33" s="66">
        <f>IF($A33="","",醫師班表!$C34)</f>
        <v/>
      </c>
      <c r="D33" s="16">
        <f>IF($A33="","",醫師班表!$D34)</f>
        <v/>
      </c>
      <c r="E33" s="58">
        <f>IF($A33="","",COUNTIF(醫師班表!$E34:$CS34,"悅"))</f>
        <v/>
      </c>
      <c r="F33" s="59">
        <f>IF($A33="","",COUNTIF(醫師班表!$E34:$CS34,"睿"))</f>
        <v/>
      </c>
      <c r="G33" s="60">
        <f>IF($A33="","",COUNTIF(醫師班表!$E34:$CS34,"匯"))</f>
        <v/>
      </c>
      <c r="H33" s="61">
        <f>IF($A33="","",COUNTIF(醫師班表!$E34:$CS34,"曜"))</f>
        <v/>
      </c>
      <c r="I33" s="62">
        <f>IF($A33="","",COUNTIF(醫師班表!$E34:$CS34,"寶"))</f>
        <v/>
      </c>
      <c r="J33" s="16">
        <f>IF($A33="","",SUM($E33:$I33))</f>
        <v/>
      </c>
      <c r="K33" s="16">
        <f>IF($A33="","",SUMPRODUCT(($E33:$I33&gt;0)*1))</f>
        <v/>
      </c>
      <c r="L33" s="16">
        <f>IF($A33="","",COUNTIF(醫師班表!$E34:$CS34,"訓"))</f>
        <v/>
      </c>
      <c r="M33" s="16">
        <f>IF($A33="","",COUNTIF(醫師班表!$E34:$CS34,"OFF"))</f>
        <v/>
      </c>
      <c r="N33" s="16">
        <f>IF($A33="","",COUNTIF(醫師班表!$E34:$CS34,"特"))</f>
        <v/>
      </c>
      <c r="O33" s="16">
        <f>IF($A33="","",COUNTIF(醫師班表!$E34:$CS34,"病"))</f>
        <v/>
      </c>
      <c r="P33" s="16">
        <f>IF($A33="","",COUNTIF(醫師班表!$E34:$CS34,"事"))</f>
        <v/>
      </c>
      <c r="Q33" s="16">
        <f>IF($A33="","",COUNTIF(醫師班表!$E34:$CS34,"公"))</f>
        <v/>
      </c>
      <c r="R33" s="16">
        <f>IF($A33="","",COUNTIF(醫師班表!$E34:$CS34,"國"))</f>
        <v/>
      </c>
      <c r="S33" s="16">
        <f>IF($A33="","",COUNTIF(醫師班表!$E34:$CS34,"休"))</f>
        <v/>
      </c>
      <c r="T33" s="16">
        <f>IF($A33="","",SUM($M33:$S33))</f>
        <v/>
      </c>
      <c r="U33" s="16">
        <f>IF($A33="","",DAY(EOMONTH(DATE(設定!$C$2,設定!$D$2,1),0))*3-COUNTIF(醫師班表!$E34:$CS34,"?*"))</f>
        <v/>
      </c>
    </row>
    <row r="34">
      <c r="A34" s="16">
        <f>IF(醫師班表!$A35="","",醫師班表!$A35)</f>
        <v/>
      </c>
      <c r="B34" s="16">
        <f>IF($A34="","",醫師班表!$B35)</f>
        <v/>
      </c>
      <c r="C34" s="66">
        <f>IF($A34="","",醫師班表!$C35)</f>
        <v/>
      </c>
      <c r="D34" s="16">
        <f>IF($A34="","",醫師班表!$D35)</f>
        <v/>
      </c>
      <c r="E34" s="58">
        <f>IF($A34="","",COUNTIF(醫師班表!$E35:$CS35,"悅"))</f>
        <v/>
      </c>
      <c r="F34" s="59">
        <f>IF($A34="","",COUNTIF(醫師班表!$E35:$CS35,"睿"))</f>
        <v/>
      </c>
      <c r="G34" s="60">
        <f>IF($A34="","",COUNTIF(醫師班表!$E35:$CS35,"匯"))</f>
        <v/>
      </c>
      <c r="H34" s="61">
        <f>IF($A34="","",COUNTIF(醫師班表!$E35:$CS35,"曜"))</f>
        <v/>
      </c>
      <c r="I34" s="62">
        <f>IF($A34="","",COUNTIF(醫師班表!$E35:$CS35,"寶"))</f>
        <v/>
      </c>
      <c r="J34" s="16">
        <f>IF($A34="","",SUM($E34:$I34))</f>
        <v/>
      </c>
      <c r="K34" s="16">
        <f>IF($A34="","",SUMPRODUCT(($E34:$I34&gt;0)*1))</f>
        <v/>
      </c>
      <c r="L34" s="16">
        <f>IF($A34="","",COUNTIF(醫師班表!$E35:$CS35,"訓"))</f>
        <v/>
      </c>
      <c r="M34" s="16">
        <f>IF($A34="","",COUNTIF(醫師班表!$E35:$CS35,"OFF"))</f>
        <v/>
      </c>
      <c r="N34" s="16">
        <f>IF($A34="","",COUNTIF(醫師班表!$E35:$CS35,"特"))</f>
        <v/>
      </c>
      <c r="O34" s="16">
        <f>IF($A34="","",COUNTIF(醫師班表!$E35:$CS35,"病"))</f>
        <v/>
      </c>
      <c r="P34" s="16">
        <f>IF($A34="","",COUNTIF(醫師班表!$E35:$CS35,"事"))</f>
        <v/>
      </c>
      <c r="Q34" s="16">
        <f>IF($A34="","",COUNTIF(醫師班表!$E35:$CS35,"公"))</f>
        <v/>
      </c>
      <c r="R34" s="16">
        <f>IF($A34="","",COUNTIF(醫師班表!$E35:$CS35,"國"))</f>
        <v/>
      </c>
      <c r="S34" s="16">
        <f>IF($A34="","",COUNTIF(醫師班表!$E35:$CS35,"休"))</f>
        <v/>
      </c>
      <c r="T34" s="16">
        <f>IF($A34="","",SUM($M34:$S34))</f>
        <v/>
      </c>
      <c r="U34" s="16">
        <f>IF($A34="","",DAY(EOMONTH(DATE(設定!$C$2,設定!$D$2,1),0))*3-COUNTIF(醫師班表!$E35:$CS35,"?*"))</f>
        <v/>
      </c>
    </row>
    <row r="35">
      <c r="A35" s="16">
        <f>IF(醫師班表!$A36="","",醫師班表!$A36)</f>
        <v/>
      </c>
      <c r="B35" s="16">
        <f>IF($A35="","",醫師班表!$B36)</f>
        <v/>
      </c>
      <c r="C35" s="66">
        <f>IF($A35="","",醫師班表!$C36)</f>
        <v/>
      </c>
      <c r="D35" s="16">
        <f>IF($A35="","",醫師班表!$D36)</f>
        <v/>
      </c>
      <c r="E35" s="58">
        <f>IF($A35="","",COUNTIF(醫師班表!$E36:$CS36,"悅"))</f>
        <v/>
      </c>
      <c r="F35" s="59">
        <f>IF($A35="","",COUNTIF(醫師班表!$E36:$CS36,"睿"))</f>
        <v/>
      </c>
      <c r="G35" s="60">
        <f>IF($A35="","",COUNTIF(醫師班表!$E36:$CS36,"匯"))</f>
        <v/>
      </c>
      <c r="H35" s="61">
        <f>IF($A35="","",COUNTIF(醫師班表!$E36:$CS36,"曜"))</f>
        <v/>
      </c>
      <c r="I35" s="62">
        <f>IF($A35="","",COUNTIF(醫師班表!$E36:$CS36,"寶"))</f>
        <v/>
      </c>
      <c r="J35" s="16">
        <f>IF($A35="","",SUM($E35:$I35))</f>
        <v/>
      </c>
      <c r="K35" s="16">
        <f>IF($A35="","",SUMPRODUCT(($E35:$I35&gt;0)*1))</f>
        <v/>
      </c>
      <c r="L35" s="16">
        <f>IF($A35="","",COUNTIF(醫師班表!$E36:$CS36,"訓"))</f>
        <v/>
      </c>
      <c r="M35" s="16">
        <f>IF($A35="","",COUNTIF(醫師班表!$E36:$CS36,"OFF"))</f>
        <v/>
      </c>
      <c r="N35" s="16">
        <f>IF($A35="","",COUNTIF(醫師班表!$E36:$CS36,"特"))</f>
        <v/>
      </c>
      <c r="O35" s="16">
        <f>IF($A35="","",COUNTIF(醫師班表!$E36:$CS36,"病"))</f>
        <v/>
      </c>
      <c r="P35" s="16">
        <f>IF($A35="","",COUNTIF(醫師班表!$E36:$CS36,"事"))</f>
        <v/>
      </c>
      <c r="Q35" s="16">
        <f>IF($A35="","",COUNTIF(醫師班表!$E36:$CS36,"公"))</f>
        <v/>
      </c>
      <c r="R35" s="16">
        <f>IF($A35="","",COUNTIF(醫師班表!$E36:$CS36,"國"))</f>
        <v/>
      </c>
      <c r="S35" s="16">
        <f>IF($A35="","",COUNTIF(醫師班表!$E36:$CS36,"休"))</f>
        <v/>
      </c>
      <c r="T35" s="16">
        <f>IF($A35="","",SUM($M35:$S35))</f>
        <v/>
      </c>
      <c r="U35" s="16">
        <f>IF($A35="","",DAY(EOMONTH(DATE(設定!$C$2,設定!$D$2,1),0))*3-COUNTIF(醫師班表!$E36:$CS36,"?*"))</f>
        <v/>
      </c>
    </row>
    <row r="36">
      <c r="A36" s="16">
        <f>IF(醫師班表!$A37="","",醫師班表!$A37)</f>
        <v/>
      </c>
      <c r="B36" s="16">
        <f>IF($A36="","",醫師班表!$B37)</f>
        <v/>
      </c>
      <c r="C36" s="66">
        <f>IF($A36="","",醫師班表!$C37)</f>
        <v/>
      </c>
      <c r="D36" s="16">
        <f>IF($A36="","",醫師班表!$D37)</f>
        <v/>
      </c>
      <c r="E36" s="58">
        <f>IF($A36="","",COUNTIF(醫師班表!$E37:$CS37,"悅"))</f>
        <v/>
      </c>
      <c r="F36" s="59">
        <f>IF($A36="","",COUNTIF(醫師班表!$E37:$CS37,"睿"))</f>
        <v/>
      </c>
      <c r="G36" s="60">
        <f>IF($A36="","",COUNTIF(醫師班表!$E37:$CS37,"匯"))</f>
        <v/>
      </c>
      <c r="H36" s="61">
        <f>IF($A36="","",COUNTIF(醫師班表!$E37:$CS37,"曜"))</f>
        <v/>
      </c>
      <c r="I36" s="62">
        <f>IF($A36="","",COUNTIF(醫師班表!$E37:$CS37,"寶"))</f>
        <v/>
      </c>
      <c r="J36" s="16">
        <f>IF($A36="","",SUM($E36:$I36))</f>
        <v/>
      </c>
      <c r="K36" s="16">
        <f>IF($A36="","",SUMPRODUCT(($E36:$I36&gt;0)*1))</f>
        <v/>
      </c>
      <c r="L36" s="16">
        <f>IF($A36="","",COUNTIF(醫師班表!$E37:$CS37,"訓"))</f>
        <v/>
      </c>
      <c r="M36" s="16">
        <f>IF($A36="","",COUNTIF(醫師班表!$E37:$CS37,"OFF"))</f>
        <v/>
      </c>
      <c r="N36" s="16">
        <f>IF($A36="","",COUNTIF(醫師班表!$E37:$CS37,"特"))</f>
        <v/>
      </c>
      <c r="O36" s="16">
        <f>IF($A36="","",COUNTIF(醫師班表!$E37:$CS37,"病"))</f>
        <v/>
      </c>
      <c r="P36" s="16">
        <f>IF($A36="","",COUNTIF(醫師班表!$E37:$CS37,"事"))</f>
        <v/>
      </c>
      <c r="Q36" s="16">
        <f>IF($A36="","",COUNTIF(醫師班表!$E37:$CS37,"公"))</f>
        <v/>
      </c>
      <c r="R36" s="16">
        <f>IF($A36="","",COUNTIF(醫師班表!$E37:$CS37,"國"))</f>
        <v/>
      </c>
      <c r="S36" s="16">
        <f>IF($A36="","",COUNTIF(醫師班表!$E37:$CS37,"休"))</f>
        <v/>
      </c>
      <c r="T36" s="16">
        <f>IF($A36="","",SUM($M36:$S36))</f>
        <v/>
      </c>
      <c r="U36" s="16">
        <f>IF($A36="","",DAY(EOMONTH(DATE(設定!$C$2,設定!$D$2,1),0))*3-COUNTIF(醫師班表!$E37:$CS37,"?*"))</f>
        <v/>
      </c>
    </row>
    <row r="37">
      <c r="A37" s="16">
        <f>IF(醫師班表!$A38="","",醫師班表!$A38)</f>
        <v/>
      </c>
      <c r="B37" s="16">
        <f>IF($A37="","",醫師班表!$B38)</f>
        <v/>
      </c>
      <c r="C37" s="66">
        <f>IF($A37="","",醫師班表!$C38)</f>
        <v/>
      </c>
      <c r="D37" s="16">
        <f>IF($A37="","",醫師班表!$D38)</f>
        <v/>
      </c>
      <c r="E37" s="58">
        <f>IF($A37="","",COUNTIF(醫師班表!$E38:$CS38,"悅"))</f>
        <v/>
      </c>
      <c r="F37" s="59">
        <f>IF($A37="","",COUNTIF(醫師班表!$E38:$CS38,"睿"))</f>
        <v/>
      </c>
      <c r="G37" s="60">
        <f>IF($A37="","",COUNTIF(醫師班表!$E38:$CS38,"匯"))</f>
        <v/>
      </c>
      <c r="H37" s="61">
        <f>IF($A37="","",COUNTIF(醫師班表!$E38:$CS38,"曜"))</f>
        <v/>
      </c>
      <c r="I37" s="62">
        <f>IF($A37="","",COUNTIF(醫師班表!$E38:$CS38,"寶"))</f>
        <v/>
      </c>
      <c r="J37" s="16">
        <f>IF($A37="","",SUM($E37:$I37))</f>
        <v/>
      </c>
      <c r="K37" s="16">
        <f>IF($A37="","",SUMPRODUCT(($E37:$I37&gt;0)*1))</f>
        <v/>
      </c>
      <c r="L37" s="16">
        <f>IF($A37="","",COUNTIF(醫師班表!$E38:$CS38,"訓"))</f>
        <v/>
      </c>
      <c r="M37" s="16">
        <f>IF($A37="","",COUNTIF(醫師班表!$E38:$CS38,"OFF"))</f>
        <v/>
      </c>
      <c r="N37" s="16">
        <f>IF($A37="","",COUNTIF(醫師班表!$E38:$CS38,"特"))</f>
        <v/>
      </c>
      <c r="O37" s="16">
        <f>IF($A37="","",COUNTIF(醫師班表!$E38:$CS38,"病"))</f>
        <v/>
      </c>
      <c r="P37" s="16">
        <f>IF($A37="","",COUNTIF(醫師班表!$E38:$CS38,"事"))</f>
        <v/>
      </c>
      <c r="Q37" s="16">
        <f>IF($A37="","",COUNTIF(醫師班表!$E38:$CS38,"公"))</f>
        <v/>
      </c>
      <c r="R37" s="16">
        <f>IF($A37="","",COUNTIF(醫師班表!$E38:$CS38,"國"))</f>
        <v/>
      </c>
      <c r="S37" s="16">
        <f>IF($A37="","",COUNTIF(醫師班表!$E38:$CS38,"休"))</f>
        <v/>
      </c>
      <c r="T37" s="16">
        <f>IF($A37="","",SUM($M37:$S37))</f>
        <v/>
      </c>
      <c r="U37" s="16">
        <f>IF($A37="","",DAY(EOMONTH(DATE(設定!$C$2,設定!$D$2,1),0))*3-COUNTIF(醫師班表!$E38:$CS38,"?*"))</f>
        <v/>
      </c>
    </row>
    <row r="38">
      <c r="A38" s="16">
        <f>IF(醫師班表!$A39="","",醫師班表!$A39)</f>
        <v/>
      </c>
      <c r="B38" s="16">
        <f>IF($A38="","",醫師班表!$B39)</f>
        <v/>
      </c>
      <c r="C38" s="66">
        <f>IF($A38="","",醫師班表!$C39)</f>
        <v/>
      </c>
      <c r="D38" s="16">
        <f>IF($A38="","",醫師班表!$D39)</f>
        <v/>
      </c>
      <c r="E38" s="58">
        <f>IF($A38="","",COUNTIF(醫師班表!$E39:$CS39,"悅"))</f>
        <v/>
      </c>
      <c r="F38" s="59">
        <f>IF($A38="","",COUNTIF(醫師班表!$E39:$CS39,"睿"))</f>
        <v/>
      </c>
      <c r="G38" s="60">
        <f>IF($A38="","",COUNTIF(醫師班表!$E39:$CS39,"匯"))</f>
        <v/>
      </c>
      <c r="H38" s="61">
        <f>IF($A38="","",COUNTIF(醫師班表!$E39:$CS39,"曜"))</f>
        <v/>
      </c>
      <c r="I38" s="62">
        <f>IF($A38="","",COUNTIF(醫師班表!$E39:$CS39,"寶"))</f>
        <v/>
      </c>
      <c r="J38" s="16">
        <f>IF($A38="","",SUM($E38:$I38))</f>
        <v/>
      </c>
      <c r="K38" s="16">
        <f>IF($A38="","",SUMPRODUCT(($E38:$I38&gt;0)*1))</f>
        <v/>
      </c>
      <c r="L38" s="16">
        <f>IF($A38="","",COUNTIF(醫師班表!$E39:$CS39,"訓"))</f>
        <v/>
      </c>
      <c r="M38" s="16">
        <f>IF($A38="","",COUNTIF(醫師班表!$E39:$CS39,"OFF"))</f>
        <v/>
      </c>
      <c r="N38" s="16">
        <f>IF($A38="","",COUNTIF(醫師班表!$E39:$CS39,"特"))</f>
        <v/>
      </c>
      <c r="O38" s="16">
        <f>IF($A38="","",COUNTIF(醫師班表!$E39:$CS39,"病"))</f>
        <v/>
      </c>
      <c r="P38" s="16">
        <f>IF($A38="","",COUNTIF(醫師班表!$E39:$CS39,"事"))</f>
        <v/>
      </c>
      <c r="Q38" s="16">
        <f>IF($A38="","",COUNTIF(醫師班表!$E39:$CS39,"公"))</f>
        <v/>
      </c>
      <c r="R38" s="16">
        <f>IF($A38="","",COUNTIF(醫師班表!$E39:$CS39,"國"))</f>
        <v/>
      </c>
      <c r="S38" s="16">
        <f>IF($A38="","",COUNTIF(醫師班表!$E39:$CS39,"休"))</f>
        <v/>
      </c>
      <c r="T38" s="16">
        <f>IF($A38="","",SUM($M38:$S38))</f>
        <v/>
      </c>
      <c r="U38" s="16">
        <f>IF($A38="","",DAY(EOMONTH(DATE(設定!$C$2,設定!$D$2,1),0))*3-COUNTIF(醫師班表!$E39:$CS39,"?*"))</f>
        <v/>
      </c>
    </row>
    <row r="39">
      <c r="A39" s="16">
        <f>IF(醫師班表!$A40="","",醫師班表!$A40)</f>
        <v/>
      </c>
      <c r="B39" s="16">
        <f>IF($A39="","",醫師班表!$B40)</f>
        <v/>
      </c>
      <c r="C39" s="66">
        <f>IF($A39="","",醫師班表!$C40)</f>
        <v/>
      </c>
      <c r="D39" s="16">
        <f>IF($A39="","",醫師班表!$D40)</f>
        <v/>
      </c>
      <c r="E39" s="58">
        <f>IF($A39="","",COUNTIF(醫師班表!$E40:$CS40,"悅"))</f>
        <v/>
      </c>
      <c r="F39" s="59">
        <f>IF($A39="","",COUNTIF(醫師班表!$E40:$CS40,"睿"))</f>
        <v/>
      </c>
      <c r="G39" s="60">
        <f>IF($A39="","",COUNTIF(醫師班表!$E40:$CS40,"匯"))</f>
        <v/>
      </c>
      <c r="H39" s="61">
        <f>IF($A39="","",COUNTIF(醫師班表!$E40:$CS40,"曜"))</f>
        <v/>
      </c>
      <c r="I39" s="62">
        <f>IF($A39="","",COUNTIF(醫師班表!$E40:$CS40,"寶"))</f>
        <v/>
      </c>
      <c r="J39" s="16">
        <f>IF($A39="","",SUM($E39:$I39))</f>
        <v/>
      </c>
      <c r="K39" s="16">
        <f>IF($A39="","",SUMPRODUCT(($E39:$I39&gt;0)*1))</f>
        <v/>
      </c>
      <c r="L39" s="16">
        <f>IF($A39="","",COUNTIF(醫師班表!$E40:$CS40,"訓"))</f>
        <v/>
      </c>
      <c r="M39" s="16">
        <f>IF($A39="","",COUNTIF(醫師班表!$E40:$CS40,"OFF"))</f>
        <v/>
      </c>
      <c r="N39" s="16">
        <f>IF($A39="","",COUNTIF(醫師班表!$E40:$CS40,"特"))</f>
        <v/>
      </c>
      <c r="O39" s="16">
        <f>IF($A39="","",COUNTIF(醫師班表!$E40:$CS40,"病"))</f>
        <v/>
      </c>
      <c r="P39" s="16">
        <f>IF($A39="","",COUNTIF(醫師班表!$E40:$CS40,"事"))</f>
        <v/>
      </c>
      <c r="Q39" s="16">
        <f>IF($A39="","",COUNTIF(醫師班表!$E40:$CS40,"公"))</f>
        <v/>
      </c>
      <c r="R39" s="16">
        <f>IF($A39="","",COUNTIF(醫師班表!$E40:$CS40,"國"))</f>
        <v/>
      </c>
      <c r="S39" s="16">
        <f>IF($A39="","",COUNTIF(醫師班表!$E40:$CS40,"休"))</f>
        <v/>
      </c>
      <c r="T39" s="16">
        <f>IF($A39="","",SUM($M39:$S39))</f>
        <v/>
      </c>
      <c r="U39" s="16">
        <f>IF($A39="","",DAY(EOMONTH(DATE(設定!$C$2,設定!$D$2,1),0))*3-COUNTIF(醫師班表!$E40:$CS40,"?*"))</f>
        <v/>
      </c>
    </row>
    <row r="40">
      <c r="A40" s="16">
        <f>IF(醫師班表!$A41="","",醫師班表!$A41)</f>
        <v/>
      </c>
      <c r="B40" s="16">
        <f>IF($A40="","",醫師班表!$B41)</f>
        <v/>
      </c>
      <c r="C40" s="66">
        <f>IF($A40="","",醫師班表!$C41)</f>
        <v/>
      </c>
      <c r="D40" s="16">
        <f>IF($A40="","",醫師班表!$D41)</f>
        <v/>
      </c>
      <c r="E40" s="58">
        <f>IF($A40="","",COUNTIF(醫師班表!$E41:$CS41,"悅"))</f>
        <v/>
      </c>
      <c r="F40" s="59">
        <f>IF($A40="","",COUNTIF(醫師班表!$E41:$CS41,"睿"))</f>
        <v/>
      </c>
      <c r="G40" s="60">
        <f>IF($A40="","",COUNTIF(醫師班表!$E41:$CS41,"匯"))</f>
        <v/>
      </c>
      <c r="H40" s="61">
        <f>IF($A40="","",COUNTIF(醫師班表!$E41:$CS41,"曜"))</f>
        <v/>
      </c>
      <c r="I40" s="62">
        <f>IF($A40="","",COUNTIF(醫師班表!$E41:$CS41,"寶"))</f>
        <v/>
      </c>
      <c r="J40" s="16">
        <f>IF($A40="","",SUM($E40:$I40))</f>
        <v/>
      </c>
      <c r="K40" s="16">
        <f>IF($A40="","",SUMPRODUCT(($E40:$I40&gt;0)*1))</f>
        <v/>
      </c>
      <c r="L40" s="16">
        <f>IF($A40="","",COUNTIF(醫師班表!$E41:$CS41,"訓"))</f>
        <v/>
      </c>
      <c r="M40" s="16">
        <f>IF($A40="","",COUNTIF(醫師班表!$E41:$CS41,"OFF"))</f>
        <v/>
      </c>
      <c r="N40" s="16">
        <f>IF($A40="","",COUNTIF(醫師班表!$E41:$CS41,"特"))</f>
        <v/>
      </c>
      <c r="O40" s="16">
        <f>IF($A40="","",COUNTIF(醫師班表!$E41:$CS41,"病"))</f>
        <v/>
      </c>
      <c r="P40" s="16">
        <f>IF($A40="","",COUNTIF(醫師班表!$E41:$CS41,"事"))</f>
        <v/>
      </c>
      <c r="Q40" s="16">
        <f>IF($A40="","",COUNTIF(醫師班表!$E41:$CS41,"公"))</f>
        <v/>
      </c>
      <c r="R40" s="16">
        <f>IF($A40="","",COUNTIF(醫師班表!$E41:$CS41,"國"))</f>
        <v/>
      </c>
      <c r="S40" s="16">
        <f>IF($A40="","",COUNTIF(醫師班表!$E41:$CS41,"休"))</f>
        <v/>
      </c>
      <c r="T40" s="16">
        <f>IF($A40="","",SUM($M40:$S40))</f>
        <v/>
      </c>
      <c r="U40" s="16">
        <f>IF($A40="","",DAY(EOMONTH(DATE(設定!$C$2,設定!$D$2,1),0))*3-COUNTIF(醫師班表!$E41:$CS41,"?*"))</f>
        <v/>
      </c>
    </row>
    <row r="41">
      <c r="A41" s="16">
        <f>IF(醫師班表!$A42="","",醫師班表!$A42)</f>
        <v/>
      </c>
      <c r="B41" s="16">
        <f>IF($A41="","",醫師班表!$B42)</f>
        <v/>
      </c>
      <c r="C41" s="66">
        <f>IF($A41="","",醫師班表!$C42)</f>
        <v/>
      </c>
      <c r="D41" s="16">
        <f>IF($A41="","",醫師班表!$D42)</f>
        <v/>
      </c>
      <c r="E41" s="58">
        <f>IF($A41="","",COUNTIF(醫師班表!$E42:$CS42,"悅"))</f>
        <v/>
      </c>
      <c r="F41" s="59">
        <f>IF($A41="","",COUNTIF(醫師班表!$E42:$CS42,"睿"))</f>
        <v/>
      </c>
      <c r="G41" s="60">
        <f>IF($A41="","",COUNTIF(醫師班表!$E42:$CS42,"匯"))</f>
        <v/>
      </c>
      <c r="H41" s="61">
        <f>IF($A41="","",COUNTIF(醫師班表!$E42:$CS42,"曜"))</f>
        <v/>
      </c>
      <c r="I41" s="62">
        <f>IF($A41="","",COUNTIF(醫師班表!$E42:$CS42,"寶"))</f>
        <v/>
      </c>
      <c r="J41" s="16">
        <f>IF($A41="","",SUM($E41:$I41))</f>
        <v/>
      </c>
      <c r="K41" s="16">
        <f>IF($A41="","",SUMPRODUCT(($E41:$I41&gt;0)*1))</f>
        <v/>
      </c>
      <c r="L41" s="16">
        <f>IF($A41="","",COUNTIF(醫師班表!$E42:$CS42,"訓"))</f>
        <v/>
      </c>
      <c r="M41" s="16">
        <f>IF($A41="","",COUNTIF(醫師班表!$E42:$CS42,"OFF"))</f>
        <v/>
      </c>
      <c r="N41" s="16">
        <f>IF($A41="","",COUNTIF(醫師班表!$E42:$CS42,"特"))</f>
        <v/>
      </c>
      <c r="O41" s="16">
        <f>IF($A41="","",COUNTIF(醫師班表!$E42:$CS42,"病"))</f>
        <v/>
      </c>
      <c r="P41" s="16">
        <f>IF($A41="","",COUNTIF(醫師班表!$E42:$CS42,"事"))</f>
        <v/>
      </c>
      <c r="Q41" s="16">
        <f>IF($A41="","",COUNTIF(醫師班表!$E42:$CS42,"公"))</f>
        <v/>
      </c>
      <c r="R41" s="16">
        <f>IF($A41="","",COUNTIF(醫師班表!$E42:$CS42,"國"))</f>
        <v/>
      </c>
      <c r="S41" s="16">
        <f>IF($A41="","",COUNTIF(醫師班表!$E42:$CS42,"休"))</f>
        <v/>
      </c>
      <c r="T41" s="16">
        <f>IF($A41="","",SUM($M41:$S41))</f>
        <v/>
      </c>
      <c r="U41" s="16">
        <f>IF($A41="","",DAY(EOMONTH(DATE(設定!$C$2,設定!$D$2,1),0))*3-COUNTIF(醫師班表!$E42:$CS42,"?*"))</f>
        <v/>
      </c>
    </row>
    <row r="42">
      <c r="A42" s="16">
        <f>IF(醫師班表!$A43="","",醫師班表!$A43)</f>
        <v/>
      </c>
      <c r="B42" s="16">
        <f>IF($A42="","",醫師班表!$B43)</f>
        <v/>
      </c>
      <c r="C42" s="66">
        <f>IF($A42="","",醫師班表!$C43)</f>
        <v/>
      </c>
      <c r="D42" s="16">
        <f>IF($A42="","",醫師班表!$D43)</f>
        <v/>
      </c>
      <c r="E42" s="58">
        <f>IF($A42="","",COUNTIF(醫師班表!$E43:$CS43,"悅"))</f>
        <v/>
      </c>
      <c r="F42" s="59">
        <f>IF($A42="","",COUNTIF(醫師班表!$E43:$CS43,"睿"))</f>
        <v/>
      </c>
      <c r="G42" s="60">
        <f>IF($A42="","",COUNTIF(醫師班表!$E43:$CS43,"匯"))</f>
        <v/>
      </c>
      <c r="H42" s="61">
        <f>IF($A42="","",COUNTIF(醫師班表!$E43:$CS43,"曜"))</f>
        <v/>
      </c>
      <c r="I42" s="62">
        <f>IF($A42="","",COUNTIF(醫師班表!$E43:$CS43,"寶"))</f>
        <v/>
      </c>
      <c r="J42" s="16">
        <f>IF($A42="","",SUM($E42:$I42))</f>
        <v/>
      </c>
      <c r="K42" s="16">
        <f>IF($A42="","",SUMPRODUCT(($E42:$I42&gt;0)*1))</f>
        <v/>
      </c>
      <c r="L42" s="16">
        <f>IF($A42="","",COUNTIF(醫師班表!$E43:$CS43,"訓"))</f>
        <v/>
      </c>
      <c r="M42" s="16">
        <f>IF($A42="","",COUNTIF(醫師班表!$E43:$CS43,"OFF"))</f>
        <v/>
      </c>
      <c r="N42" s="16">
        <f>IF($A42="","",COUNTIF(醫師班表!$E43:$CS43,"特"))</f>
        <v/>
      </c>
      <c r="O42" s="16">
        <f>IF($A42="","",COUNTIF(醫師班表!$E43:$CS43,"病"))</f>
        <v/>
      </c>
      <c r="P42" s="16">
        <f>IF($A42="","",COUNTIF(醫師班表!$E43:$CS43,"事"))</f>
        <v/>
      </c>
      <c r="Q42" s="16">
        <f>IF($A42="","",COUNTIF(醫師班表!$E43:$CS43,"公"))</f>
        <v/>
      </c>
      <c r="R42" s="16">
        <f>IF($A42="","",COUNTIF(醫師班表!$E43:$CS43,"國"))</f>
        <v/>
      </c>
      <c r="S42" s="16">
        <f>IF($A42="","",COUNTIF(醫師班表!$E43:$CS43,"休"))</f>
        <v/>
      </c>
      <c r="T42" s="16">
        <f>IF($A42="","",SUM($M42:$S42))</f>
        <v/>
      </c>
      <c r="U42" s="16">
        <f>IF($A42="","",DAY(EOMONTH(DATE(設定!$C$2,設定!$D$2,1),0))*3-COUNTIF(醫師班表!$E43:$CS43,"?*"))</f>
        <v/>
      </c>
    </row>
    <row r="43">
      <c r="A43" s="16">
        <f>IF(醫師班表!$A44="","",醫師班表!$A44)</f>
        <v/>
      </c>
      <c r="B43" s="16">
        <f>IF($A43="","",醫師班表!$B44)</f>
        <v/>
      </c>
      <c r="C43" s="66">
        <f>IF($A43="","",醫師班表!$C44)</f>
        <v/>
      </c>
      <c r="D43" s="16">
        <f>IF($A43="","",醫師班表!$D44)</f>
        <v/>
      </c>
      <c r="E43" s="58">
        <f>IF($A43="","",COUNTIF(醫師班表!$E44:$CS44,"悅"))</f>
        <v/>
      </c>
      <c r="F43" s="59">
        <f>IF($A43="","",COUNTIF(醫師班表!$E44:$CS44,"睿"))</f>
        <v/>
      </c>
      <c r="G43" s="60">
        <f>IF($A43="","",COUNTIF(醫師班表!$E44:$CS44,"匯"))</f>
        <v/>
      </c>
      <c r="H43" s="61">
        <f>IF($A43="","",COUNTIF(醫師班表!$E44:$CS44,"曜"))</f>
        <v/>
      </c>
      <c r="I43" s="62">
        <f>IF($A43="","",COUNTIF(醫師班表!$E44:$CS44,"寶"))</f>
        <v/>
      </c>
      <c r="J43" s="16">
        <f>IF($A43="","",SUM($E43:$I43))</f>
        <v/>
      </c>
      <c r="K43" s="16">
        <f>IF($A43="","",SUMPRODUCT(($E43:$I43&gt;0)*1))</f>
        <v/>
      </c>
      <c r="L43" s="16">
        <f>IF($A43="","",COUNTIF(醫師班表!$E44:$CS44,"訓"))</f>
        <v/>
      </c>
      <c r="M43" s="16">
        <f>IF($A43="","",COUNTIF(醫師班表!$E44:$CS44,"OFF"))</f>
        <v/>
      </c>
      <c r="N43" s="16">
        <f>IF($A43="","",COUNTIF(醫師班表!$E44:$CS44,"特"))</f>
        <v/>
      </c>
      <c r="O43" s="16">
        <f>IF($A43="","",COUNTIF(醫師班表!$E44:$CS44,"病"))</f>
        <v/>
      </c>
      <c r="P43" s="16">
        <f>IF($A43="","",COUNTIF(醫師班表!$E44:$CS44,"事"))</f>
        <v/>
      </c>
      <c r="Q43" s="16">
        <f>IF($A43="","",COUNTIF(醫師班表!$E44:$CS44,"公"))</f>
        <v/>
      </c>
      <c r="R43" s="16">
        <f>IF($A43="","",COUNTIF(醫師班表!$E44:$CS44,"國"))</f>
        <v/>
      </c>
      <c r="S43" s="16">
        <f>IF($A43="","",COUNTIF(醫師班表!$E44:$CS44,"休"))</f>
        <v/>
      </c>
      <c r="T43" s="16">
        <f>IF($A43="","",SUM($M43:$S43))</f>
        <v/>
      </c>
      <c r="U43" s="16">
        <f>IF($A43="","",DAY(EOMONTH(DATE(設定!$C$2,設定!$D$2,1),0))*3-COUNTIF(醫師班表!$E44:$CS44,"?*"))</f>
        <v/>
      </c>
    </row>
    <row r="44">
      <c r="A44" s="16">
        <f>IF(醫師班表!$A45="","",醫師班表!$A45)</f>
        <v/>
      </c>
      <c r="B44" s="16">
        <f>IF($A44="","",醫師班表!$B45)</f>
        <v/>
      </c>
      <c r="C44" s="66">
        <f>IF($A44="","",醫師班表!$C45)</f>
        <v/>
      </c>
      <c r="D44" s="16">
        <f>IF($A44="","",醫師班表!$D45)</f>
        <v/>
      </c>
      <c r="E44" s="58">
        <f>IF($A44="","",COUNTIF(醫師班表!$E45:$CS45,"悅"))</f>
        <v/>
      </c>
      <c r="F44" s="59">
        <f>IF($A44="","",COUNTIF(醫師班表!$E45:$CS45,"睿"))</f>
        <v/>
      </c>
      <c r="G44" s="60">
        <f>IF($A44="","",COUNTIF(醫師班表!$E45:$CS45,"匯"))</f>
        <v/>
      </c>
      <c r="H44" s="61">
        <f>IF($A44="","",COUNTIF(醫師班表!$E45:$CS45,"曜"))</f>
        <v/>
      </c>
      <c r="I44" s="62">
        <f>IF($A44="","",COUNTIF(醫師班表!$E45:$CS45,"寶"))</f>
        <v/>
      </c>
      <c r="J44" s="16">
        <f>IF($A44="","",SUM($E44:$I44))</f>
        <v/>
      </c>
      <c r="K44" s="16">
        <f>IF($A44="","",SUMPRODUCT(($E44:$I44&gt;0)*1))</f>
        <v/>
      </c>
      <c r="L44" s="16">
        <f>IF($A44="","",COUNTIF(醫師班表!$E45:$CS45,"訓"))</f>
        <v/>
      </c>
      <c r="M44" s="16">
        <f>IF($A44="","",COUNTIF(醫師班表!$E45:$CS45,"OFF"))</f>
        <v/>
      </c>
      <c r="N44" s="16">
        <f>IF($A44="","",COUNTIF(醫師班表!$E45:$CS45,"特"))</f>
        <v/>
      </c>
      <c r="O44" s="16">
        <f>IF($A44="","",COUNTIF(醫師班表!$E45:$CS45,"病"))</f>
        <v/>
      </c>
      <c r="P44" s="16">
        <f>IF($A44="","",COUNTIF(醫師班表!$E45:$CS45,"事"))</f>
        <v/>
      </c>
      <c r="Q44" s="16">
        <f>IF($A44="","",COUNTIF(醫師班表!$E45:$CS45,"公"))</f>
        <v/>
      </c>
      <c r="R44" s="16">
        <f>IF($A44="","",COUNTIF(醫師班表!$E45:$CS45,"國"))</f>
        <v/>
      </c>
      <c r="S44" s="16">
        <f>IF($A44="","",COUNTIF(醫師班表!$E45:$CS45,"休"))</f>
        <v/>
      </c>
      <c r="T44" s="16">
        <f>IF($A44="","",SUM($M44:$S44))</f>
        <v/>
      </c>
      <c r="U44" s="16">
        <f>IF($A44="","",DAY(EOMONTH(DATE(設定!$C$2,設定!$D$2,1),0))*3-COUNTIF(醫師班表!$E45:$CS45,"?*"))</f>
        <v/>
      </c>
    </row>
    <row r="45">
      <c r="A45" s="4" t="inlineStr">
        <is>
          <t>合計</t>
        </is>
      </c>
      <c r="B45" s="8" t="n"/>
      <c r="C45" s="8" t="n"/>
      <c r="D45" s="9" t="n"/>
      <c r="E45" s="4">
        <f>SUM(E5:E44)</f>
        <v/>
      </c>
      <c r="F45" s="4">
        <f>SUM(F5:F44)</f>
        <v/>
      </c>
      <c r="G45" s="4">
        <f>SUM(G5:G44)</f>
        <v/>
      </c>
      <c r="H45" s="4">
        <f>SUM(H5:H44)</f>
        <v/>
      </c>
      <c r="I45" s="4">
        <f>SUM(I5:I44)</f>
        <v/>
      </c>
      <c r="J45" s="4">
        <f>SUM(J5:J44)</f>
        <v/>
      </c>
      <c r="K45" s="4">
        <f>SUM(K5:K44)</f>
        <v/>
      </c>
      <c r="L45" s="4">
        <f>SUM(L5:L44)</f>
        <v/>
      </c>
      <c r="M45" s="4">
        <f>SUM(M5:M44)</f>
        <v/>
      </c>
      <c r="N45" s="4">
        <f>SUM(N5:N44)</f>
        <v/>
      </c>
      <c r="O45" s="4">
        <f>SUM(O5:O44)</f>
        <v/>
      </c>
      <c r="P45" s="4">
        <f>SUM(P5:P44)</f>
        <v/>
      </c>
      <c r="Q45" s="4">
        <f>SUM(Q5:Q44)</f>
        <v/>
      </c>
      <c r="R45" s="4">
        <f>SUM(R5:R44)</f>
        <v/>
      </c>
      <c r="S45" s="4">
        <f>SUM(S5:S44)</f>
        <v/>
      </c>
      <c r="T45" s="4">
        <f>SUM(T5:T44)</f>
        <v/>
      </c>
      <c r="U45" s="4">
        <f>SUM(U5:U44)</f>
        <v/>
      </c>
    </row>
    <row r="47">
      <c r="A47" s="6" t="inlineStr">
        <is>
          <t>※ 醫師以「診次」為單位,不是天數。請假 3 個診次等於請一天。</t>
        </is>
      </c>
    </row>
    <row r="48">
      <c r="A48" s="6" t="inlineStr">
        <is>
          <t>※ 本頁全部由「醫師班表」計算而來。改週班表或改醫師班表,這裡都會立刻跟著變。</t>
        </is>
      </c>
    </row>
    <row r="49">
      <c r="A49" s="6" t="inlineStr">
        <is>
          <t>※ 服務院所數 = 本月實際有排診的院所家數,可用來看跨院負荷。</t>
        </is>
      </c>
    </row>
    <row r="50">
      <c r="A50" s="6" t="inlineStr">
        <is>
          <t>※ 未排診次 = 當月總診次格數(天數 × 3)扣掉已填格數,不代表應該排滿。</t>
        </is>
      </c>
    </row>
  </sheetData>
  <mergeCells count="2">
    <mergeCell ref="A45:D45"/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72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0" customWidth="1" min="4" max="4"/>
    <col width="4.4" customWidth="1" min="5" max="5"/>
    <col width="4.4" customWidth="1" min="6" max="6"/>
    <col width="4.4" customWidth="1" min="7" max="7"/>
    <col width="4.4" customWidth="1" min="8" max="8"/>
    <col width="4.4" customWidth="1" min="9" max="9"/>
    <col width="4.4" customWidth="1" min="10" max="10"/>
    <col width="4.4" customWidth="1" min="11" max="11"/>
    <col width="4.4" customWidth="1" min="12" max="12"/>
    <col width="4.4" customWidth="1" min="13" max="13"/>
    <col width="4.4" customWidth="1" min="14" max="14"/>
    <col width="4.4" customWidth="1" min="15" max="15"/>
    <col width="4.4" customWidth="1" min="16" max="16"/>
    <col width="4.4" customWidth="1" min="17" max="17"/>
    <col width="4.4" customWidth="1" min="18" max="18"/>
    <col width="4.4" customWidth="1" min="19" max="19"/>
    <col width="4.4" customWidth="1" min="20" max="20"/>
    <col width="4.4" customWidth="1" min="21" max="21"/>
    <col width="4.4" customWidth="1" min="22" max="22"/>
    <col width="4.4" customWidth="1" min="23" max="23"/>
    <col width="4.4" customWidth="1" min="24" max="24"/>
    <col width="4.4" customWidth="1" min="25" max="25"/>
    <col width="4.4" customWidth="1" min="26" max="26"/>
    <col width="4.4" customWidth="1" min="27" max="27"/>
    <col width="4.4" customWidth="1" min="28" max="28"/>
    <col width="4.4" customWidth="1" min="29" max="29"/>
    <col width="4.4" customWidth="1" min="30" max="30"/>
    <col width="4.4" customWidth="1" min="31" max="31"/>
    <col width="4.4" customWidth="1" min="32" max="32"/>
    <col width="4.4" customWidth="1" min="33" max="33"/>
    <col width="4.4" customWidth="1" min="34" max="34"/>
    <col width="4.4" customWidth="1" min="35" max="35"/>
  </cols>
  <sheetData>
    <row r="1">
      <c r="A1" s="78" t="inlineStr">
        <is>
          <t>助理 / 醫護長 班表(工時制)　　⚠ 助理與醫護長名單尚未匯入,本分頁目前是空的</t>
        </is>
      </c>
    </row>
    <row r="2">
      <c r="A2" s="4" t="inlineStr">
        <is>
          <t>期間</t>
        </is>
      </c>
      <c r="B2" s="22" t="inlineStr">
        <is>
          <t>2026 年 10 月</t>
        </is>
      </c>
      <c r="E2" s="6" t="inlineStr">
        <is>
          <t>← 各院所醫護長只填自己院所那幾列。院所欄由人員名冊自動帶出。要選員工編號請點「資料列」的格子(第 5 列以下),標題列上的箭頭是篩選鈕不是選單。</t>
        </is>
      </c>
    </row>
    <row r="3">
      <c r="A3" s="10" t="inlineStr">
        <is>
          <t>員工編號</t>
        </is>
      </c>
      <c r="B3" s="10" t="inlineStr">
        <is>
          <t>姓名</t>
        </is>
      </c>
      <c r="C3" s="10" t="inlineStr">
        <is>
          <t>職類</t>
        </is>
      </c>
      <c r="D3" s="10" t="inlineStr">
        <is>
          <t>院所</t>
        </is>
      </c>
      <c r="E3" s="10" t="n">
        <v>1</v>
      </c>
      <c r="F3" s="10" t="n">
        <v>2</v>
      </c>
      <c r="G3" s="10" t="n">
        <v>3</v>
      </c>
      <c r="H3" s="10" t="n">
        <v>4</v>
      </c>
      <c r="I3" s="10" t="n">
        <v>5</v>
      </c>
      <c r="J3" s="10" t="n">
        <v>6</v>
      </c>
      <c r="K3" s="10" t="n">
        <v>7</v>
      </c>
      <c r="L3" s="10" t="n">
        <v>8</v>
      </c>
      <c r="M3" s="10" t="n">
        <v>9</v>
      </c>
      <c r="N3" s="10" t="n">
        <v>10</v>
      </c>
      <c r="O3" s="10" t="n">
        <v>11</v>
      </c>
      <c r="P3" s="10" t="n">
        <v>12</v>
      </c>
      <c r="Q3" s="10" t="n">
        <v>13</v>
      </c>
      <c r="R3" s="10" t="n">
        <v>14</v>
      </c>
      <c r="S3" s="10" t="n">
        <v>15</v>
      </c>
      <c r="T3" s="10" t="n">
        <v>16</v>
      </c>
      <c r="U3" s="10" t="n">
        <v>17</v>
      </c>
      <c r="V3" s="10" t="n">
        <v>18</v>
      </c>
      <c r="W3" s="10" t="n">
        <v>19</v>
      </c>
      <c r="X3" s="10" t="n">
        <v>20</v>
      </c>
      <c r="Y3" s="10" t="n">
        <v>21</v>
      </c>
      <c r="Z3" s="10" t="n">
        <v>22</v>
      </c>
      <c r="AA3" s="10" t="n">
        <v>23</v>
      </c>
      <c r="AB3" s="10" t="n">
        <v>24</v>
      </c>
      <c r="AC3" s="10" t="n">
        <v>25</v>
      </c>
      <c r="AD3" s="10" t="n">
        <v>26</v>
      </c>
      <c r="AE3" s="10" t="n">
        <v>27</v>
      </c>
      <c r="AF3" s="10" t="n">
        <v>28</v>
      </c>
      <c r="AG3" s="10" t="n">
        <v>29</v>
      </c>
      <c r="AH3" s="10" t="n">
        <v>30</v>
      </c>
      <c r="AI3" s="10" t="n">
        <v>31</v>
      </c>
    </row>
    <row r="4">
      <c r="A4" s="41" t="n"/>
      <c r="B4" s="41" t="n"/>
      <c r="C4" s="41" t="n"/>
      <c r="D4" s="41" t="n"/>
      <c r="E4" s="11" t="inlineStr">
        <is>
          <t>四</t>
        </is>
      </c>
      <c r="F4" s="11" t="inlineStr">
        <is>
          <t>五</t>
        </is>
      </c>
      <c r="G4" s="11" t="inlineStr">
        <is>
          <t>六</t>
        </is>
      </c>
      <c r="H4" s="11" t="inlineStr">
        <is>
          <t>日</t>
        </is>
      </c>
      <c r="I4" s="11" t="inlineStr">
        <is>
          <t>一</t>
        </is>
      </c>
      <c r="J4" s="11" t="inlineStr">
        <is>
          <t>二</t>
        </is>
      </c>
      <c r="K4" s="11" t="inlineStr">
        <is>
          <t>三</t>
        </is>
      </c>
      <c r="L4" s="11" t="inlineStr">
        <is>
          <t>四</t>
        </is>
      </c>
      <c r="M4" s="11" t="inlineStr">
        <is>
          <t>五</t>
        </is>
      </c>
      <c r="N4" s="11" t="inlineStr">
        <is>
          <t>六</t>
        </is>
      </c>
      <c r="O4" s="11" t="inlineStr">
        <is>
          <t>日</t>
        </is>
      </c>
      <c r="P4" s="11" t="inlineStr">
        <is>
          <t>一</t>
        </is>
      </c>
      <c r="Q4" s="11" t="inlineStr">
        <is>
          <t>二</t>
        </is>
      </c>
      <c r="R4" s="11" t="inlineStr">
        <is>
          <t>三</t>
        </is>
      </c>
      <c r="S4" s="11" t="inlineStr">
        <is>
          <t>四</t>
        </is>
      </c>
      <c r="T4" s="11" t="inlineStr">
        <is>
          <t>五</t>
        </is>
      </c>
      <c r="U4" s="11" t="inlineStr">
        <is>
          <t>六</t>
        </is>
      </c>
      <c r="V4" s="11" t="inlineStr">
        <is>
          <t>日</t>
        </is>
      </c>
      <c r="W4" s="11" t="inlineStr">
        <is>
          <t>一</t>
        </is>
      </c>
      <c r="X4" s="11" t="inlineStr">
        <is>
          <t>二</t>
        </is>
      </c>
      <c r="Y4" s="11" t="inlineStr">
        <is>
          <t>三</t>
        </is>
      </c>
      <c r="Z4" s="11" t="inlineStr">
        <is>
          <t>四</t>
        </is>
      </c>
      <c r="AA4" s="11" t="inlineStr">
        <is>
          <t>五</t>
        </is>
      </c>
      <c r="AB4" s="11" t="inlineStr">
        <is>
          <t>六</t>
        </is>
      </c>
      <c r="AC4" s="11" t="inlineStr">
        <is>
          <t>日</t>
        </is>
      </c>
      <c r="AD4" s="11" t="inlineStr">
        <is>
          <t>一</t>
        </is>
      </c>
      <c r="AE4" s="11" t="inlineStr">
        <is>
          <t>二</t>
        </is>
      </c>
      <c r="AF4" s="11" t="inlineStr">
        <is>
          <t>三</t>
        </is>
      </c>
      <c r="AG4" s="11" t="inlineStr">
        <is>
          <t>四</t>
        </is>
      </c>
      <c r="AH4" s="11" t="inlineStr">
        <is>
          <t>五</t>
        </is>
      </c>
      <c r="AI4" s="11" t="inlineStr">
        <is>
          <t>六</t>
        </is>
      </c>
    </row>
    <row r="5" ht="17" customHeight="1">
      <c r="A5" s="20" t="n"/>
      <c r="B5" s="16">
        <f>IFERROR(INDEX(設定!$C$62:$C$201,MATCH($A5,設定!$B$62:$B$201,0)),"")</f>
        <v/>
      </c>
      <c r="C5" s="16">
        <f>IFERROR(INDEX(設定!$D$62:$D$201,MATCH($A5,設定!$B$62:$B$201,0)),"")</f>
        <v/>
      </c>
      <c r="D5" s="16">
        <f>IFERROR(INDEX(設定!$G$62:$G$201,MATCH($A5,設定!$B$62:$B$201,0)),"")</f>
        <v/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</row>
    <row r="6" ht="17" customHeight="1">
      <c r="A6" s="20" t="n"/>
      <c r="B6" s="16">
        <f>IFERROR(INDEX(設定!$C$62:$C$201,MATCH($A6,設定!$B$62:$B$201,0)),"")</f>
        <v/>
      </c>
      <c r="C6" s="16">
        <f>IFERROR(INDEX(設定!$D$62:$D$201,MATCH($A6,設定!$B$62:$B$201,0)),"")</f>
        <v/>
      </c>
      <c r="D6" s="16">
        <f>IFERROR(INDEX(設定!$G$62:$G$201,MATCH($A6,設定!$B$62:$B$201,0)),"")</f>
        <v/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</row>
    <row r="7" ht="17" customHeight="1">
      <c r="A7" s="20" t="n"/>
      <c r="B7" s="16">
        <f>IFERROR(INDEX(設定!$C$62:$C$201,MATCH($A7,設定!$B$62:$B$201,0)),"")</f>
        <v/>
      </c>
      <c r="C7" s="16">
        <f>IFERROR(INDEX(設定!$D$62:$D$201,MATCH($A7,設定!$B$62:$B$201,0)),"")</f>
        <v/>
      </c>
      <c r="D7" s="16">
        <f>IFERROR(INDEX(設定!$G$62:$G$201,MATCH($A7,設定!$B$62:$B$201,0)),"")</f>
        <v/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</row>
    <row r="8" ht="17" customHeight="1">
      <c r="A8" s="20" t="n"/>
      <c r="B8" s="16">
        <f>IFERROR(INDEX(設定!$C$62:$C$201,MATCH($A8,設定!$B$62:$B$201,0)),"")</f>
        <v/>
      </c>
      <c r="C8" s="16">
        <f>IFERROR(INDEX(設定!$D$62:$D$201,MATCH($A8,設定!$B$62:$B$201,0)),"")</f>
        <v/>
      </c>
      <c r="D8" s="16">
        <f>IFERROR(INDEX(設定!$G$62:$G$201,MATCH($A8,設定!$B$62:$B$201,0)),"")</f>
        <v/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</row>
    <row r="9" ht="17" customHeight="1">
      <c r="A9" s="20" t="n"/>
      <c r="B9" s="16">
        <f>IFERROR(INDEX(設定!$C$62:$C$201,MATCH($A9,設定!$B$62:$B$201,0)),"")</f>
        <v/>
      </c>
      <c r="C9" s="16">
        <f>IFERROR(INDEX(設定!$D$62:$D$201,MATCH($A9,設定!$B$62:$B$201,0)),"")</f>
        <v/>
      </c>
      <c r="D9" s="16">
        <f>IFERROR(INDEX(設定!$G$62:$G$201,MATCH($A9,設定!$B$62:$B$201,0)),"")</f>
        <v/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</row>
    <row r="10" ht="17" customHeight="1">
      <c r="A10" s="20" t="n"/>
      <c r="B10" s="16">
        <f>IFERROR(INDEX(設定!$C$62:$C$201,MATCH($A10,設定!$B$62:$B$201,0)),"")</f>
        <v/>
      </c>
      <c r="C10" s="16">
        <f>IFERROR(INDEX(設定!$D$62:$D$201,MATCH($A10,設定!$B$62:$B$201,0)),"")</f>
        <v/>
      </c>
      <c r="D10" s="16">
        <f>IFERROR(INDEX(設定!$G$62:$G$201,MATCH($A10,設定!$B$62:$B$201,0)),"")</f>
        <v/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</row>
    <row r="11" ht="17" customHeight="1">
      <c r="A11" s="20" t="n"/>
      <c r="B11" s="16">
        <f>IFERROR(INDEX(設定!$C$62:$C$201,MATCH($A11,設定!$B$62:$B$201,0)),"")</f>
        <v/>
      </c>
      <c r="C11" s="16">
        <f>IFERROR(INDEX(設定!$D$62:$D$201,MATCH($A11,設定!$B$62:$B$201,0)),"")</f>
        <v/>
      </c>
      <c r="D11" s="16">
        <f>IFERROR(INDEX(設定!$G$62:$G$201,MATCH($A11,設定!$B$62:$B$201,0)),"")</f>
        <v/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</row>
    <row r="12" ht="17" customHeight="1">
      <c r="A12" s="20" t="n"/>
      <c r="B12" s="16">
        <f>IFERROR(INDEX(設定!$C$62:$C$201,MATCH($A12,設定!$B$62:$B$201,0)),"")</f>
        <v/>
      </c>
      <c r="C12" s="16">
        <f>IFERROR(INDEX(設定!$D$62:$D$201,MATCH($A12,設定!$B$62:$B$201,0)),"")</f>
        <v/>
      </c>
      <c r="D12" s="16">
        <f>IFERROR(INDEX(設定!$G$62:$G$201,MATCH($A12,設定!$B$62:$B$201,0)),"")</f>
        <v/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</row>
    <row r="13" ht="17" customHeight="1">
      <c r="A13" s="20" t="n"/>
      <c r="B13" s="16">
        <f>IFERROR(INDEX(設定!$C$62:$C$201,MATCH($A13,設定!$B$62:$B$201,0)),"")</f>
        <v/>
      </c>
      <c r="C13" s="16">
        <f>IFERROR(INDEX(設定!$D$62:$D$201,MATCH($A13,設定!$B$62:$B$201,0)),"")</f>
        <v/>
      </c>
      <c r="D13" s="16">
        <f>IFERROR(INDEX(設定!$G$62:$G$201,MATCH($A13,設定!$B$62:$B$201,0)),"")</f>
        <v/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</row>
    <row r="14" ht="17" customHeight="1">
      <c r="A14" s="20" t="n"/>
      <c r="B14" s="16">
        <f>IFERROR(INDEX(設定!$C$62:$C$201,MATCH($A14,設定!$B$62:$B$201,0)),"")</f>
        <v/>
      </c>
      <c r="C14" s="16">
        <f>IFERROR(INDEX(設定!$D$62:$D$201,MATCH($A14,設定!$B$62:$B$201,0)),"")</f>
        <v/>
      </c>
      <c r="D14" s="16">
        <f>IFERROR(INDEX(設定!$G$62:$G$201,MATCH($A14,設定!$B$62:$B$201,0)),"")</f>
        <v/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</row>
    <row r="15" ht="17" customHeight="1">
      <c r="A15" s="20" t="n"/>
      <c r="B15" s="16">
        <f>IFERROR(INDEX(設定!$C$62:$C$201,MATCH($A15,設定!$B$62:$B$201,0)),"")</f>
        <v/>
      </c>
      <c r="C15" s="16">
        <f>IFERROR(INDEX(設定!$D$62:$D$201,MATCH($A15,設定!$B$62:$B$201,0)),"")</f>
        <v/>
      </c>
      <c r="D15" s="16">
        <f>IFERROR(INDEX(設定!$G$62:$G$201,MATCH($A15,設定!$B$62:$B$201,0)),"")</f>
        <v/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</row>
    <row r="16" ht="17" customHeight="1">
      <c r="A16" s="20" t="n"/>
      <c r="B16" s="16">
        <f>IFERROR(INDEX(設定!$C$62:$C$201,MATCH($A16,設定!$B$62:$B$201,0)),"")</f>
        <v/>
      </c>
      <c r="C16" s="16">
        <f>IFERROR(INDEX(設定!$D$62:$D$201,MATCH($A16,設定!$B$62:$B$201,0)),"")</f>
        <v/>
      </c>
      <c r="D16" s="16">
        <f>IFERROR(INDEX(設定!$G$62:$G$201,MATCH($A16,設定!$B$62:$B$201,0)),"")</f>
        <v/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</row>
    <row r="17" ht="17" customHeight="1">
      <c r="A17" s="20" t="n"/>
      <c r="B17" s="16">
        <f>IFERROR(INDEX(設定!$C$62:$C$201,MATCH($A17,設定!$B$62:$B$201,0)),"")</f>
        <v/>
      </c>
      <c r="C17" s="16">
        <f>IFERROR(INDEX(設定!$D$62:$D$201,MATCH($A17,設定!$B$62:$B$201,0)),"")</f>
        <v/>
      </c>
      <c r="D17" s="16">
        <f>IFERROR(INDEX(設定!$G$62:$G$201,MATCH($A17,設定!$B$62:$B$201,0)),"")</f>
        <v/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</row>
    <row r="18" ht="17" customHeight="1">
      <c r="A18" s="20" t="n"/>
      <c r="B18" s="16">
        <f>IFERROR(INDEX(設定!$C$62:$C$201,MATCH($A18,設定!$B$62:$B$201,0)),"")</f>
        <v/>
      </c>
      <c r="C18" s="16">
        <f>IFERROR(INDEX(設定!$D$62:$D$201,MATCH($A18,設定!$B$62:$B$201,0)),"")</f>
        <v/>
      </c>
      <c r="D18" s="16">
        <f>IFERROR(INDEX(設定!$G$62:$G$201,MATCH($A18,設定!$B$62:$B$201,0)),"")</f>
        <v/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</row>
    <row r="19" ht="17" customHeight="1">
      <c r="A19" s="20" t="n"/>
      <c r="B19" s="16">
        <f>IFERROR(INDEX(設定!$C$62:$C$201,MATCH($A19,設定!$B$62:$B$201,0)),"")</f>
        <v/>
      </c>
      <c r="C19" s="16">
        <f>IFERROR(INDEX(設定!$D$62:$D$201,MATCH($A19,設定!$B$62:$B$201,0)),"")</f>
        <v/>
      </c>
      <c r="D19" s="16">
        <f>IFERROR(INDEX(設定!$G$62:$G$201,MATCH($A19,設定!$B$62:$B$201,0)),"")</f>
        <v/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</row>
    <row r="20" ht="17" customHeight="1">
      <c r="A20" s="20" t="n"/>
      <c r="B20" s="16">
        <f>IFERROR(INDEX(設定!$C$62:$C$201,MATCH($A20,設定!$B$62:$B$201,0)),"")</f>
        <v/>
      </c>
      <c r="C20" s="16">
        <f>IFERROR(INDEX(設定!$D$62:$D$201,MATCH($A20,設定!$B$62:$B$201,0)),"")</f>
        <v/>
      </c>
      <c r="D20" s="16">
        <f>IFERROR(INDEX(設定!$G$62:$G$201,MATCH($A20,設定!$B$62:$B$201,0)),"")</f>
        <v/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</row>
    <row r="21" ht="17" customHeight="1">
      <c r="A21" s="20" t="n"/>
      <c r="B21" s="16">
        <f>IFERROR(INDEX(設定!$C$62:$C$201,MATCH($A21,設定!$B$62:$B$201,0)),"")</f>
        <v/>
      </c>
      <c r="C21" s="16">
        <f>IFERROR(INDEX(設定!$D$62:$D$201,MATCH($A21,設定!$B$62:$B$201,0)),"")</f>
        <v/>
      </c>
      <c r="D21" s="16">
        <f>IFERROR(INDEX(設定!$G$62:$G$201,MATCH($A21,設定!$B$62:$B$201,0)),"")</f>
        <v/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</row>
    <row r="22" ht="17" customHeight="1">
      <c r="A22" s="20" t="n"/>
      <c r="B22" s="16">
        <f>IFERROR(INDEX(設定!$C$62:$C$201,MATCH($A22,設定!$B$62:$B$201,0)),"")</f>
        <v/>
      </c>
      <c r="C22" s="16">
        <f>IFERROR(INDEX(設定!$D$62:$D$201,MATCH($A22,設定!$B$62:$B$201,0)),"")</f>
        <v/>
      </c>
      <c r="D22" s="16">
        <f>IFERROR(INDEX(設定!$G$62:$G$201,MATCH($A22,設定!$B$62:$B$201,0)),"")</f>
        <v/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</row>
    <row r="23" ht="17" customHeight="1">
      <c r="A23" s="20" t="n"/>
      <c r="B23" s="16">
        <f>IFERROR(INDEX(設定!$C$62:$C$201,MATCH($A23,設定!$B$62:$B$201,0)),"")</f>
        <v/>
      </c>
      <c r="C23" s="16">
        <f>IFERROR(INDEX(設定!$D$62:$D$201,MATCH($A23,設定!$B$62:$B$201,0)),"")</f>
        <v/>
      </c>
      <c r="D23" s="16">
        <f>IFERROR(INDEX(設定!$G$62:$G$201,MATCH($A23,設定!$B$62:$B$201,0)),"")</f>
        <v/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</row>
    <row r="24" ht="17" customHeight="1">
      <c r="A24" s="20" t="n"/>
      <c r="B24" s="16">
        <f>IFERROR(INDEX(設定!$C$62:$C$201,MATCH($A24,設定!$B$62:$B$201,0)),"")</f>
        <v/>
      </c>
      <c r="C24" s="16">
        <f>IFERROR(INDEX(設定!$D$62:$D$201,MATCH($A24,設定!$B$62:$B$201,0)),"")</f>
        <v/>
      </c>
      <c r="D24" s="16">
        <f>IFERROR(INDEX(設定!$G$62:$G$201,MATCH($A24,設定!$B$62:$B$201,0)),"")</f>
        <v/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</row>
    <row r="25" ht="17" customHeight="1">
      <c r="A25" s="20" t="n"/>
      <c r="B25" s="16">
        <f>IFERROR(INDEX(設定!$C$62:$C$201,MATCH($A25,設定!$B$62:$B$201,0)),"")</f>
        <v/>
      </c>
      <c r="C25" s="16">
        <f>IFERROR(INDEX(設定!$D$62:$D$201,MATCH($A25,設定!$B$62:$B$201,0)),"")</f>
        <v/>
      </c>
      <c r="D25" s="16">
        <f>IFERROR(INDEX(設定!$G$62:$G$201,MATCH($A25,設定!$B$62:$B$201,0)),"")</f>
        <v/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</row>
    <row r="26" ht="17" customHeight="1">
      <c r="A26" s="20" t="n"/>
      <c r="B26" s="16">
        <f>IFERROR(INDEX(設定!$C$62:$C$201,MATCH($A26,設定!$B$62:$B$201,0)),"")</f>
        <v/>
      </c>
      <c r="C26" s="16">
        <f>IFERROR(INDEX(設定!$D$62:$D$201,MATCH($A26,設定!$B$62:$B$201,0)),"")</f>
        <v/>
      </c>
      <c r="D26" s="16">
        <f>IFERROR(INDEX(設定!$G$62:$G$201,MATCH($A26,設定!$B$62:$B$201,0)),"")</f>
        <v/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</row>
    <row r="27" ht="17" customHeight="1">
      <c r="A27" s="20" t="n"/>
      <c r="B27" s="16">
        <f>IFERROR(INDEX(設定!$C$62:$C$201,MATCH($A27,設定!$B$62:$B$201,0)),"")</f>
        <v/>
      </c>
      <c r="C27" s="16">
        <f>IFERROR(INDEX(設定!$D$62:$D$201,MATCH($A27,設定!$B$62:$B$201,0)),"")</f>
        <v/>
      </c>
      <c r="D27" s="16">
        <f>IFERROR(INDEX(設定!$G$62:$G$201,MATCH($A27,設定!$B$62:$B$201,0)),"")</f>
        <v/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</row>
    <row r="28" ht="17" customHeight="1">
      <c r="A28" s="20" t="n"/>
      <c r="B28" s="16">
        <f>IFERROR(INDEX(設定!$C$62:$C$201,MATCH($A28,設定!$B$62:$B$201,0)),"")</f>
        <v/>
      </c>
      <c r="C28" s="16">
        <f>IFERROR(INDEX(設定!$D$62:$D$201,MATCH($A28,設定!$B$62:$B$201,0)),"")</f>
        <v/>
      </c>
      <c r="D28" s="16">
        <f>IFERROR(INDEX(設定!$G$62:$G$201,MATCH($A28,設定!$B$62:$B$201,0)),"")</f>
        <v/>
      </c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</row>
    <row r="29" ht="17" customHeight="1">
      <c r="A29" s="20" t="n"/>
      <c r="B29" s="16">
        <f>IFERROR(INDEX(設定!$C$62:$C$201,MATCH($A29,設定!$B$62:$B$201,0)),"")</f>
        <v/>
      </c>
      <c r="C29" s="16">
        <f>IFERROR(INDEX(設定!$D$62:$D$201,MATCH($A29,設定!$B$62:$B$201,0)),"")</f>
        <v/>
      </c>
      <c r="D29" s="16">
        <f>IFERROR(INDEX(設定!$G$62:$G$201,MATCH($A29,設定!$B$62:$B$201,0)),"")</f>
        <v/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</row>
    <row r="30" ht="17" customHeight="1">
      <c r="A30" s="20" t="n"/>
      <c r="B30" s="16">
        <f>IFERROR(INDEX(設定!$C$62:$C$201,MATCH($A30,設定!$B$62:$B$201,0)),"")</f>
        <v/>
      </c>
      <c r="C30" s="16">
        <f>IFERROR(INDEX(設定!$D$62:$D$201,MATCH($A30,設定!$B$62:$B$201,0)),"")</f>
        <v/>
      </c>
      <c r="D30" s="16">
        <f>IFERROR(INDEX(設定!$G$62:$G$201,MATCH($A30,設定!$B$62:$B$201,0)),"")</f>
        <v/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</row>
    <row r="31" ht="17" customHeight="1">
      <c r="A31" s="20" t="n"/>
      <c r="B31" s="16">
        <f>IFERROR(INDEX(設定!$C$62:$C$201,MATCH($A31,設定!$B$62:$B$201,0)),"")</f>
        <v/>
      </c>
      <c r="C31" s="16">
        <f>IFERROR(INDEX(設定!$D$62:$D$201,MATCH($A31,設定!$B$62:$B$201,0)),"")</f>
        <v/>
      </c>
      <c r="D31" s="16">
        <f>IFERROR(INDEX(設定!$G$62:$G$201,MATCH($A31,設定!$B$62:$B$201,0)),"")</f>
        <v/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</row>
    <row r="32" ht="17" customHeight="1">
      <c r="A32" s="20" t="n"/>
      <c r="B32" s="16">
        <f>IFERROR(INDEX(設定!$C$62:$C$201,MATCH($A32,設定!$B$62:$B$201,0)),"")</f>
        <v/>
      </c>
      <c r="C32" s="16">
        <f>IFERROR(INDEX(設定!$D$62:$D$201,MATCH($A32,設定!$B$62:$B$201,0)),"")</f>
        <v/>
      </c>
      <c r="D32" s="16">
        <f>IFERROR(INDEX(設定!$G$62:$G$201,MATCH($A32,設定!$B$62:$B$201,0)),"")</f>
        <v/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</row>
    <row r="33" ht="17" customHeight="1">
      <c r="A33" s="20" t="n"/>
      <c r="B33" s="16">
        <f>IFERROR(INDEX(設定!$C$62:$C$201,MATCH($A33,設定!$B$62:$B$201,0)),"")</f>
        <v/>
      </c>
      <c r="C33" s="16">
        <f>IFERROR(INDEX(設定!$D$62:$D$201,MATCH($A33,設定!$B$62:$B$201,0)),"")</f>
        <v/>
      </c>
      <c r="D33" s="16">
        <f>IFERROR(INDEX(設定!$G$62:$G$201,MATCH($A33,設定!$B$62:$B$201,0)),"")</f>
        <v/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</row>
    <row r="34" ht="17" customHeight="1">
      <c r="A34" s="20" t="n"/>
      <c r="B34" s="16">
        <f>IFERROR(INDEX(設定!$C$62:$C$201,MATCH($A34,設定!$B$62:$B$201,0)),"")</f>
        <v/>
      </c>
      <c r="C34" s="16">
        <f>IFERROR(INDEX(設定!$D$62:$D$201,MATCH($A34,設定!$B$62:$B$201,0)),"")</f>
        <v/>
      </c>
      <c r="D34" s="16">
        <f>IFERROR(INDEX(設定!$G$62:$G$201,MATCH($A34,設定!$B$62:$B$201,0)),"")</f>
        <v/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</row>
    <row r="35" ht="17" customHeight="1">
      <c r="A35" s="20" t="n"/>
      <c r="B35" s="16">
        <f>IFERROR(INDEX(設定!$C$62:$C$201,MATCH($A35,設定!$B$62:$B$201,0)),"")</f>
        <v/>
      </c>
      <c r="C35" s="16">
        <f>IFERROR(INDEX(設定!$D$62:$D$201,MATCH($A35,設定!$B$62:$B$201,0)),"")</f>
        <v/>
      </c>
      <c r="D35" s="16">
        <f>IFERROR(INDEX(設定!$G$62:$G$201,MATCH($A35,設定!$B$62:$B$201,0)),"")</f>
        <v/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</row>
    <row r="36" ht="17" customHeight="1">
      <c r="A36" s="20" t="n"/>
      <c r="B36" s="16">
        <f>IFERROR(INDEX(設定!$C$62:$C$201,MATCH($A36,設定!$B$62:$B$201,0)),"")</f>
        <v/>
      </c>
      <c r="C36" s="16">
        <f>IFERROR(INDEX(設定!$D$62:$D$201,MATCH($A36,設定!$B$62:$B$201,0)),"")</f>
        <v/>
      </c>
      <c r="D36" s="16">
        <f>IFERROR(INDEX(設定!$G$62:$G$201,MATCH($A36,設定!$B$62:$B$201,0)),"")</f>
        <v/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</row>
    <row r="37" ht="17" customHeight="1">
      <c r="A37" s="20" t="n"/>
      <c r="B37" s="16">
        <f>IFERROR(INDEX(設定!$C$62:$C$201,MATCH($A37,設定!$B$62:$B$201,0)),"")</f>
        <v/>
      </c>
      <c r="C37" s="16">
        <f>IFERROR(INDEX(設定!$D$62:$D$201,MATCH($A37,設定!$B$62:$B$201,0)),"")</f>
        <v/>
      </c>
      <c r="D37" s="16">
        <f>IFERROR(INDEX(設定!$G$62:$G$201,MATCH($A37,設定!$B$62:$B$201,0)),"")</f>
        <v/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</row>
    <row r="38" ht="17" customHeight="1">
      <c r="A38" s="20" t="n"/>
      <c r="B38" s="16">
        <f>IFERROR(INDEX(設定!$C$62:$C$201,MATCH($A38,設定!$B$62:$B$201,0)),"")</f>
        <v/>
      </c>
      <c r="C38" s="16">
        <f>IFERROR(INDEX(設定!$D$62:$D$201,MATCH($A38,設定!$B$62:$B$201,0)),"")</f>
        <v/>
      </c>
      <c r="D38" s="16">
        <f>IFERROR(INDEX(設定!$G$62:$G$201,MATCH($A38,設定!$B$62:$B$201,0)),"")</f>
        <v/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</row>
    <row r="39" ht="17" customHeight="1">
      <c r="A39" s="20" t="n"/>
      <c r="B39" s="16">
        <f>IFERROR(INDEX(設定!$C$62:$C$201,MATCH($A39,設定!$B$62:$B$201,0)),"")</f>
        <v/>
      </c>
      <c r="C39" s="16">
        <f>IFERROR(INDEX(設定!$D$62:$D$201,MATCH($A39,設定!$B$62:$B$201,0)),"")</f>
        <v/>
      </c>
      <c r="D39" s="16">
        <f>IFERROR(INDEX(設定!$G$62:$G$201,MATCH($A39,設定!$B$62:$B$201,0)),"")</f>
        <v/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</row>
    <row r="40" ht="17" customHeight="1">
      <c r="A40" s="20" t="n"/>
      <c r="B40" s="16">
        <f>IFERROR(INDEX(設定!$C$62:$C$201,MATCH($A40,設定!$B$62:$B$201,0)),"")</f>
        <v/>
      </c>
      <c r="C40" s="16">
        <f>IFERROR(INDEX(設定!$D$62:$D$201,MATCH($A40,設定!$B$62:$B$201,0)),"")</f>
        <v/>
      </c>
      <c r="D40" s="16">
        <f>IFERROR(INDEX(設定!$G$62:$G$201,MATCH($A40,設定!$B$62:$B$201,0)),"")</f>
        <v/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</row>
    <row r="41" ht="17" customHeight="1">
      <c r="A41" s="20" t="n"/>
      <c r="B41" s="16">
        <f>IFERROR(INDEX(設定!$C$62:$C$201,MATCH($A41,設定!$B$62:$B$201,0)),"")</f>
        <v/>
      </c>
      <c r="C41" s="16">
        <f>IFERROR(INDEX(設定!$D$62:$D$201,MATCH($A41,設定!$B$62:$B$201,0)),"")</f>
        <v/>
      </c>
      <c r="D41" s="16">
        <f>IFERROR(INDEX(設定!$G$62:$G$201,MATCH($A41,設定!$B$62:$B$201,0)),"")</f>
        <v/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</row>
    <row r="42" ht="17" customHeight="1">
      <c r="A42" s="20" t="n"/>
      <c r="B42" s="16">
        <f>IFERROR(INDEX(設定!$C$62:$C$201,MATCH($A42,設定!$B$62:$B$201,0)),"")</f>
        <v/>
      </c>
      <c r="C42" s="16">
        <f>IFERROR(INDEX(設定!$D$62:$D$201,MATCH($A42,設定!$B$62:$B$201,0)),"")</f>
        <v/>
      </c>
      <c r="D42" s="16">
        <f>IFERROR(INDEX(設定!$G$62:$G$201,MATCH($A42,設定!$B$62:$B$201,0)),"")</f>
        <v/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</row>
    <row r="43" ht="17" customHeight="1">
      <c r="A43" s="20" t="n"/>
      <c r="B43" s="16">
        <f>IFERROR(INDEX(設定!$C$62:$C$201,MATCH($A43,設定!$B$62:$B$201,0)),"")</f>
        <v/>
      </c>
      <c r="C43" s="16">
        <f>IFERROR(INDEX(設定!$D$62:$D$201,MATCH($A43,設定!$B$62:$B$201,0)),"")</f>
        <v/>
      </c>
      <c r="D43" s="16">
        <f>IFERROR(INDEX(設定!$G$62:$G$201,MATCH($A43,設定!$B$62:$B$201,0)),"")</f>
        <v/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</row>
    <row r="44" ht="17" customHeight="1">
      <c r="A44" s="20" t="n"/>
      <c r="B44" s="16">
        <f>IFERROR(INDEX(設定!$C$62:$C$201,MATCH($A44,設定!$B$62:$B$201,0)),"")</f>
        <v/>
      </c>
      <c r="C44" s="16">
        <f>IFERROR(INDEX(設定!$D$62:$D$201,MATCH($A44,設定!$B$62:$B$201,0)),"")</f>
        <v/>
      </c>
      <c r="D44" s="16">
        <f>IFERROR(INDEX(設定!$G$62:$G$201,MATCH($A44,設定!$B$62:$B$201,0)),"")</f>
        <v/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</row>
    <row r="45" ht="17" customHeight="1">
      <c r="A45" s="20" t="n"/>
      <c r="B45" s="16">
        <f>IFERROR(INDEX(設定!$C$62:$C$201,MATCH($A45,設定!$B$62:$B$201,0)),"")</f>
        <v/>
      </c>
      <c r="C45" s="16">
        <f>IFERROR(INDEX(設定!$D$62:$D$201,MATCH($A45,設定!$B$62:$B$201,0)),"")</f>
        <v/>
      </c>
      <c r="D45" s="16">
        <f>IFERROR(INDEX(設定!$G$62:$G$201,MATCH($A45,設定!$B$62:$B$201,0)),"")</f>
        <v/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</row>
    <row r="46" ht="17" customHeight="1">
      <c r="A46" s="20" t="n"/>
      <c r="B46" s="16">
        <f>IFERROR(INDEX(設定!$C$62:$C$201,MATCH($A46,設定!$B$62:$B$201,0)),"")</f>
        <v/>
      </c>
      <c r="C46" s="16">
        <f>IFERROR(INDEX(設定!$D$62:$D$201,MATCH($A46,設定!$B$62:$B$201,0)),"")</f>
        <v/>
      </c>
      <c r="D46" s="16">
        <f>IFERROR(INDEX(設定!$G$62:$G$201,MATCH($A46,設定!$B$62:$B$201,0)),"")</f>
        <v/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</row>
    <row r="47" ht="17" customHeight="1">
      <c r="A47" s="20" t="n"/>
      <c r="B47" s="16">
        <f>IFERROR(INDEX(設定!$C$62:$C$201,MATCH($A47,設定!$B$62:$B$201,0)),"")</f>
        <v/>
      </c>
      <c r="C47" s="16">
        <f>IFERROR(INDEX(設定!$D$62:$D$201,MATCH($A47,設定!$B$62:$B$201,0)),"")</f>
        <v/>
      </c>
      <c r="D47" s="16">
        <f>IFERROR(INDEX(設定!$G$62:$G$201,MATCH($A47,設定!$B$62:$B$201,0)),"")</f>
        <v/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</row>
    <row r="48" ht="17" customHeight="1">
      <c r="A48" s="20" t="n"/>
      <c r="B48" s="16">
        <f>IFERROR(INDEX(設定!$C$62:$C$201,MATCH($A48,設定!$B$62:$B$201,0)),"")</f>
        <v/>
      </c>
      <c r="C48" s="16">
        <f>IFERROR(INDEX(設定!$D$62:$D$201,MATCH($A48,設定!$B$62:$B$201,0)),"")</f>
        <v/>
      </c>
      <c r="D48" s="16">
        <f>IFERROR(INDEX(設定!$G$62:$G$201,MATCH($A48,設定!$B$62:$B$201,0)),"")</f>
        <v/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</row>
    <row r="49" ht="17" customHeight="1">
      <c r="A49" s="20" t="n"/>
      <c r="B49" s="16">
        <f>IFERROR(INDEX(設定!$C$62:$C$201,MATCH($A49,設定!$B$62:$B$201,0)),"")</f>
        <v/>
      </c>
      <c r="C49" s="16">
        <f>IFERROR(INDEX(設定!$D$62:$D$201,MATCH($A49,設定!$B$62:$B$201,0)),"")</f>
        <v/>
      </c>
      <c r="D49" s="16">
        <f>IFERROR(INDEX(設定!$G$62:$G$201,MATCH($A49,設定!$B$62:$B$201,0)),"")</f>
        <v/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</row>
    <row r="50" ht="17" customHeight="1">
      <c r="A50" s="20" t="n"/>
      <c r="B50" s="16">
        <f>IFERROR(INDEX(設定!$C$62:$C$201,MATCH($A50,設定!$B$62:$B$201,0)),"")</f>
        <v/>
      </c>
      <c r="C50" s="16">
        <f>IFERROR(INDEX(設定!$D$62:$D$201,MATCH($A50,設定!$B$62:$B$201,0)),"")</f>
        <v/>
      </c>
      <c r="D50" s="16">
        <f>IFERROR(INDEX(設定!$G$62:$G$201,MATCH($A50,設定!$B$62:$B$201,0)),"")</f>
        <v/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</row>
    <row r="51" ht="17" customHeight="1">
      <c r="A51" s="20" t="n"/>
      <c r="B51" s="16">
        <f>IFERROR(INDEX(設定!$C$62:$C$201,MATCH($A51,設定!$B$62:$B$201,0)),"")</f>
        <v/>
      </c>
      <c r="C51" s="16">
        <f>IFERROR(INDEX(設定!$D$62:$D$201,MATCH($A51,設定!$B$62:$B$201,0)),"")</f>
        <v/>
      </c>
      <c r="D51" s="16">
        <f>IFERROR(INDEX(設定!$G$62:$G$201,MATCH($A51,設定!$B$62:$B$201,0)),"")</f>
        <v/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</row>
    <row r="52" ht="17" customHeight="1">
      <c r="A52" s="20" t="n"/>
      <c r="B52" s="16">
        <f>IFERROR(INDEX(設定!$C$62:$C$201,MATCH($A52,設定!$B$62:$B$201,0)),"")</f>
        <v/>
      </c>
      <c r="C52" s="16">
        <f>IFERROR(INDEX(設定!$D$62:$D$201,MATCH($A52,設定!$B$62:$B$201,0)),"")</f>
        <v/>
      </c>
      <c r="D52" s="16">
        <f>IFERROR(INDEX(設定!$G$62:$G$201,MATCH($A52,設定!$B$62:$B$201,0)),"")</f>
        <v/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</row>
    <row r="53" ht="17" customHeight="1">
      <c r="A53" s="20" t="n"/>
      <c r="B53" s="16">
        <f>IFERROR(INDEX(設定!$C$62:$C$201,MATCH($A53,設定!$B$62:$B$201,0)),"")</f>
        <v/>
      </c>
      <c r="C53" s="16">
        <f>IFERROR(INDEX(設定!$D$62:$D$201,MATCH($A53,設定!$B$62:$B$201,0)),"")</f>
        <v/>
      </c>
      <c r="D53" s="16">
        <f>IFERROR(INDEX(設定!$G$62:$G$201,MATCH($A53,設定!$B$62:$B$201,0)),"")</f>
        <v/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</row>
    <row r="54" ht="17" customHeight="1">
      <c r="A54" s="20" t="n"/>
      <c r="B54" s="16">
        <f>IFERROR(INDEX(設定!$C$62:$C$201,MATCH($A54,設定!$B$62:$B$201,0)),"")</f>
        <v/>
      </c>
      <c r="C54" s="16">
        <f>IFERROR(INDEX(設定!$D$62:$D$201,MATCH($A54,設定!$B$62:$B$201,0)),"")</f>
        <v/>
      </c>
      <c r="D54" s="16">
        <f>IFERROR(INDEX(設定!$G$62:$G$201,MATCH($A54,設定!$B$62:$B$201,0)),"")</f>
        <v/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</row>
    <row r="55" ht="17" customHeight="1">
      <c r="A55" s="20" t="n"/>
      <c r="B55" s="16">
        <f>IFERROR(INDEX(設定!$C$62:$C$201,MATCH($A55,設定!$B$62:$B$201,0)),"")</f>
        <v/>
      </c>
      <c r="C55" s="16">
        <f>IFERROR(INDEX(設定!$D$62:$D$201,MATCH($A55,設定!$B$62:$B$201,0)),"")</f>
        <v/>
      </c>
      <c r="D55" s="16">
        <f>IFERROR(INDEX(設定!$G$62:$G$201,MATCH($A55,設定!$B$62:$B$201,0)),"")</f>
        <v/>
      </c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</row>
    <row r="56" ht="17" customHeight="1">
      <c r="A56" s="20" t="n"/>
      <c r="B56" s="16">
        <f>IFERROR(INDEX(設定!$C$62:$C$201,MATCH($A56,設定!$B$62:$B$201,0)),"")</f>
        <v/>
      </c>
      <c r="C56" s="16">
        <f>IFERROR(INDEX(設定!$D$62:$D$201,MATCH($A56,設定!$B$62:$B$201,0)),"")</f>
        <v/>
      </c>
      <c r="D56" s="16">
        <f>IFERROR(INDEX(設定!$G$62:$G$201,MATCH($A56,設定!$B$62:$B$201,0)),"")</f>
        <v/>
      </c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</row>
    <row r="57" ht="17" customHeight="1">
      <c r="A57" s="20" t="n"/>
      <c r="B57" s="16">
        <f>IFERROR(INDEX(設定!$C$62:$C$201,MATCH($A57,設定!$B$62:$B$201,0)),"")</f>
        <v/>
      </c>
      <c r="C57" s="16">
        <f>IFERROR(INDEX(設定!$D$62:$D$201,MATCH($A57,設定!$B$62:$B$201,0)),"")</f>
        <v/>
      </c>
      <c r="D57" s="16">
        <f>IFERROR(INDEX(設定!$G$62:$G$201,MATCH($A57,設定!$B$62:$B$201,0)),"")</f>
        <v/>
      </c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</row>
    <row r="58" ht="17" customHeight="1">
      <c r="A58" s="20" t="n"/>
      <c r="B58" s="16">
        <f>IFERROR(INDEX(設定!$C$62:$C$201,MATCH($A58,設定!$B$62:$B$201,0)),"")</f>
        <v/>
      </c>
      <c r="C58" s="16">
        <f>IFERROR(INDEX(設定!$D$62:$D$201,MATCH($A58,設定!$B$62:$B$201,0)),"")</f>
        <v/>
      </c>
      <c r="D58" s="16">
        <f>IFERROR(INDEX(設定!$G$62:$G$201,MATCH($A58,設定!$B$62:$B$201,0)),"")</f>
        <v/>
      </c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</row>
    <row r="59" ht="17" customHeight="1">
      <c r="A59" s="20" t="n"/>
      <c r="B59" s="16">
        <f>IFERROR(INDEX(設定!$C$62:$C$201,MATCH($A59,設定!$B$62:$B$201,0)),"")</f>
        <v/>
      </c>
      <c r="C59" s="16">
        <f>IFERROR(INDEX(設定!$D$62:$D$201,MATCH($A59,設定!$B$62:$B$201,0)),"")</f>
        <v/>
      </c>
      <c r="D59" s="16">
        <f>IFERROR(INDEX(設定!$G$62:$G$201,MATCH($A59,設定!$B$62:$B$201,0)),"")</f>
        <v/>
      </c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</row>
    <row r="60" ht="17" customHeight="1">
      <c r="A60" s="20" t="n"/>
      <c r="B60" s="16">
        <f>IFERROR(INDEX(設定!$C$62:$C$201,MATCH($A60,設定!$B$62:$B$201,0)),"")</f>
        <v/>
      </c>
      <c r="C60" s="16">
        <f>IFERROR(INDEX(設定!$D$62:$D$201,MATCH($A60,設定!$B$62:$B$201,0)),"")</f>
        <v/>
      </c>
      <c r="D60" s="16">
        <f>IFERROR(INDEX(設定!$G$62:$G$201,MATCH($A60,設定!$B$62:$B$201,0)),"")</f>
        <v/>
      </c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</row>
    <row r="61" ht="17" customHeight="1">
      <c r="A61" s="20" t="n"/>
      <c r="B61" s="16">
        <f>IFERROR(INDEX(設定!$C$62:$C$201,MATCH($A61,設定!$B$62:$B$201,0)),"")</f>
        <v/>
      </c>
      <c r="C61" s="16">
        <f>IFERROR(INDEX(設定!$D$62:$D$201,MATCH($A61,設定!$B$62:$B$201,0)),"")</f>
        <v/>
      </c>
      <c r="D61" s="16">
        <f>IFERROR(INDEX(設定!$G$62:$G$201,MATCH($A61,設定!$B$62:$B$201,0)),"")</f>
        <v/>
      </c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</row>
    <row r="62" ht="17" customHeight="1">
      <c r="A62" s="20" t="n"/>
      <c r="B62" s="16">
        <f>IFERROR(INDEX(設定!$C$62:$C$201,MATCH($A62,設定!$B$62:$B$201,0)),"")</f>
        <v/>
      </c>
      <c r="C62" s="16">
        <f>IFERROR(INDEX(設定!$D$62:$D$201,MATCH($A62,設定!$B$62:$B$201,0)),"")</f>
        <v/>
      </c>
      <c r="D62" s="16">
        <f>IFERROR(INDEX(設定!$G$62:$G$201,MATCH($A62,設定!$B$62:$B$201,0)),"")</f>
        <v/>
      </c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</row>
    <row r="63" ht="17" customHeight="1">
      <c r="A63" s="20" t="n"/>
      <c r="B63" s="16">
        <f>IFERROR(INDEX(設定!$C$62:$C$201,MATCH($A63,設定!$B$62:$B$201,0)),"")</f>
        <v/>
      </c>
      <c r="C63" s="16">
        <f>IFERROR(INDEX(設定!$D$62:$D$201,MATCH($A63,設定!$B$62:$B$201,0)),"")</f>
        <v/>
      </c>
      <c r="D63" s="16">
        <f>IFERROR(INDEX(設定!$G$62:$G$201,MATCH($A63,設定!$B$62:$B$201,0)),"")</f>
        <v/>
      </c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</row>
    <row r="64" ht="17" customHeight="1">
      <c r="A64" s="20" t="n"/>
      <c r="B64" s="16">
        <f>IFERROR(INDEX(設定!$C$62:$C$201,MATCH($A64,設定!$B$62:$B$201,0)),"")</f>
        <v/>
      </c>
      <c r="C64" s="16">
        <f>IFERROR(INDEX(設定!$D$62:$D$201,MATCH($A64,設定!$B$62:$B$201,0)),"")</f>
        <v/>
      </c>
      <c r="D64" s="16">
        <f>IFERROR(INDEX(設定!$G$62:$G$201,MATCH($A64,設定!$B$62:$B$201,0)),"")</f>
        <v/>
      </c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</row>
    <row r="65">
      <c r="A65" s="2" t="inlineStr">
        <is>
          <t>各院所當日在班人數(自動計算)</t>
        </is>
      </c>
      <c r="B65" s="8" t="n"/>
      <c r="C65" s="8" t="n"/>
      <c r="D65" s="9" t="n"/>
    </row>
    <row r="66">
      <c r="A66" s="70" t="inlineStr">
        <is>
          <t>悅 晶悅</t>
        </is>
      </c>
      <c r="B66" s="8" t="n"/>
      <c r="C66" s="8" t="n"/>
      <c r="D66" s="9" t="n"/>
      <c r="E66" s="79">
        <f>IF(E$3="","",IF(COUNTIF(設定!$W$6:$W$40,DATE(設定!$C$2,設定!$D$2,1))&gt;0,"假",IF(E$4="日","休",SUMPRODUCT(($D$5:$D$64="晶悅")*(COUNTIF(設定!$B$6:$B$14,E$5:E$64)&gt;0)))))</f>
        <v/>
      </c>
      <c r="F66" s="79">
        <f>IF(F$3="","",IF(COUNTIF(設定!$W$6:$W$40,DATE(設定!$C$2,設定!$D$2,2))&gt;0,"假",IF(F$4="日","休",SUMPRODUCT(($D$5:$D$64="晶悅")*(COUNTIF(設定!$B$6:$B$14,F$5:F$64)&gt;0)))))</f>
        <v/>
      </c>
      <c r="G66" s="79">
        <f>IF(G$3="","",IF(COUNTIF(設定!$W$6:$W$40,DATE(設定!$C$2,設定!$D$2,3))&gt;0,"假",IF(G$4="日","休",SUMPRODUCT(($D$5:$D$64="晶悅")*(COUNTIF(設定!$B$6:$B$14,G$5:G$64)&gt;0)))))</f>
        <v/>
      </c>
      <c r="H66" s="79">
        <f>IF(H$3="","",IF(COUNTIF(設定!$W$6:$W$40,DATE(設定!$C$2,設定!$D$2,4))&gt;0,"假",IF(H$4="日","休",SUMPRODUCT(($D$5:$D$64="晶悅")*(COUNTIF(設定!$B$6:$B$14,H$5:H$64)&gt;0)))))</f>
        <v/>
      </c>
      <c r="I66" s="79">
        <f>IF(I$3="","",IF(COUNTIF(設定!$W$6:$W$40,DATE(設定!$C$2,設定!$D$2,5))&gt;0,"假",IF(I$4="日","休",SUMPRODUCT(($D$5:$D$64="晶悅")*(COUNTIF(設定!$B$6:$B$14,I$5:I$64)&gt;0)))))</f>
        <v/>
      </c>
      <c r="J66" s="79">
        <f>IF(J$3="","",IF(COUNTIF(設定!$W$6:$W$40,DATE(設定!$C$2,設定!$D$2,6))&gt;0,"假",IF(J$4="日","休",SUMPRODUCT(($D$5:$D$64="晶悅")*(COUNTIF(設定!$B$6:$B$14,J$5:J$64)&gt;0)))))</f>
        <v/>
      </c>
      <c r="K66" s="79">
        <f>IF(K$3="","",IF(COUNTIF(設定!$W$6:$W$40,DATE(設定!$C$2,設定!$D$2,7))&gt;0,"假",IF(K$4="日","休",SUMPRODUCT(($D$5:$D$64="晶悅")*(COUNTIF(設定!$B$6:$B$14,K$5:K$64)&gt;0)))))</f>
        <v/>
      </c>
      <c r="L66" s="79">
        <f>IF(L$3="","",IF(COUNTIF(設定!$W$6:$W$40,DATE(設定!$C$2,設定!$D$2,8))&gt;0,"假",IF(L$4="日","休",SUMPRODUCT(($D$5:$D$64="晶悅")*(COUNTIF(設定!$B$6:$B$14,L$5:L$64)&gt;0)))))</f>
        <v/>
      </c>
      <c r="M66" s="79">
        <f>IF(M$3="","",IF(COUNTIF(設定!$W$6:$W$40,DATE(設定!$C$2,設定!$D$2,9))&gt;0,"假",IF(M$4="日","休",SUMPRODUCT(($D$5:$D$64="晶悅")*(COUNTIF(設定!$B$6:$B$14,M$5:M$64)&gt;0)))))</f>
        <v/>
      </c>
      <c r="N66" s="79">
        <f>IF(N$3="","",IF(COUNTIF(設定!$W$6:$W$40,DATE(設定!$C$2,設定!$D$2,10))&gt;0,"假",IF(N$4="日","休",SUMPRODUCT(($D$5:$D$64="晶悅")*(COUNTIF(設定!$B$6:$B$14,N$5:N$64)&gt;0)))))</f>
        <v/>
      </c>
      <c r="O66" s="79">
        <f>IF(O$3="","",IF(COUNTIF(設定!$W$6:$W$40,DATE(設定!$C$2,設定!$D$2,11))&gt;0,"假",IF(O$4="日","休",SUMPRODUCT(($D$5:$D$64="晶悅")*(COUNTIF(設定!$B$6:$B$14,O$5:O$64)&gt;0)))))</f>
        <v/>
      </c>
      <c r="P66" s="79">
        <f>IF(P$3="","",IF(COUNTIF(設定!$W$6:$W$40,DATE(設定!$C$2,設定!$D$2,12))&gt;0,"假",IF(P$4="日","休",SUMPRODUCT(($D$5:$D$64="晶悅")*(COUNTIF(設定!$B$6:$B$14,P$5:P$64)&gt;0)))))</f>
        <v/>
      </c>
      <c r="Q66" s="79">
        <f>IF(Q$3="","",IF(COUNTIF(設定!$W$6:$W$40,DATE(設定!$C$2,設定!$D$2,13))&gt;0,"假",IF(Q$4="日","休",SUMPRODUCT(($D$5:$D$64="晶悅")*(COUNTIF(設定!$B$6:$B$14,Q$5:Q$64)&gt;0)))))</f>
        <v/>
      </c>
      <c r="R66" s="79">
        <f>IF(R$3="","",IF(COUNTIF(設定!$W$6:$W$40,DATE(設定!$C$2,設定!$D$2,14))&gt;0,"假",IF(R$4="日","休",SUMPRODUCT(($D$5:$D$64="晶悅")*(COUNTIF(設定!$B$6:$B$14,R$5:R$64)&gt;0)))))</f>
        <v/>
      </c>
      <c r="S66" s="79">
        <f>IF(S$3="","",IF(COUNTIF(設定!$W$6:$W$40,DATE(設定!$C$2,設定!$D$2,15))&gt;0,"假",IF(S$4="日","休",SUMPRODUCT(($D$5:$D$64="晶悅")*(COUNTIF(設定!$B$6:$B$14,S$5:S$64)&gt;0)))))</f>
        <v/>
      </c>
      <c r="T66" s="79">
        <f>IF(T$3="","",IF(COUNTIF(設定!$W$6:$W$40,DATE(設定!$C$2,設定!$D$2,16))&gt;0,"假",IF(T$4="日","休",SUMPRODUCT(($D$5:$D$64="晶悅")*(COUNTIF(設定!$B$6:$B$14,T$5:T$64)&gt;0)))))</f>
        <v/>
      </c>
      <c r="U66" s="79">
        <f>IF(U$3="","",IF(COUNTIF(設定!$W$6:$W$40,DATE(設定!$C$2,設定!$D$2,17))&gt;0,"假",IF(U$4="日","休",SUMPRODUCT(($D$5:$D$64="晶悅")*(COUNTIF(設定!$B$6:$B$14,U$5:U$64)&gt;0)))))</f>
        <v/>
      </c>
      <c r="V66" s="79">
        <f>IF(V$3="","",IF(COUNTIF(設定!$W$6:$W$40,DATE(設定!$C$2,設定!$D$2,18))&gt;0,"假",IF(V$4="日","休",SUMPRODUCT(($D$5:$D$64="晶悅")*(COUNTIF(設定!$B$6:$B$14,V$5:V$64)&gt;0)))))</f>
        <v/>
      </c>
      <c r="W66" s="79">
        <f>IF(W$3="","",IF(COUNTIF(設定!$W$6:$W$40,DATE(設定!$C$2,設定!$D$2,19))&gt;0,"假",IF(W$4="日","休",SUMPRODUCT(($D$5:$D$64="晶悅")*(COUNTIF(設定!$B$6:$B$14,W$5:W$64)&gt;0)))))</f>
        <v/>
      </c>
      <c r="X66" s="79">
        <f>IF(X$3="","",IF(COUNTIF(設定!$W$6:$W$40,DATE(設定!$C$2,設定!$D$2,20))&gt;0,"假",IF(X$4="日","休",SUMPRODUCT(($D$5:$D$64="晶悅")*(COUNTIF(設定!$B$6:$B$14,X$5:X$64)&gt;0)))))</f>
        <v/>
      </c>
      <c r="Y66" s="79">
        <f>IF(Y$3="","",IF(COUNTIF(設定!$W$6:$W$40,DATE(設定!$C$2,設定!$D$2,21))&gt;0,"假",IF(Y$4="日","休",SUMPRODUCT(($D$5:$D$64="晶悅")*(COUNTIF(設定!$B$6:$B$14,Y$5:Y$64)&gt;0)))))</f>
        <v/>
      </c>
      <c r="Z66" s="79">
        <f>IF(Z$3="","",IF(COUNTIF(設定!$W$6:$W$40,DATE(設定!$C$2,設定!$D$2,22))&gt;0,"假",IF(Z$4="日","休",SUMPRODUCT(($D$5:$D$64="晶悅")*(COUNTIF(設定!$B$6:$B$14,Z$5:Z$64)&gt;0)))))</f>
        <v/>
      </c>
      <c r="AA66" s="79">
        <f>IF(AA$3="","",IF(COUNTIF(設定!$W$6:$W$40,DATE(設定!$C$2,設定!$D$2,23))&gt;0,"假",IF(AA$4="日","休",SUMPRODUCT(($D$5:$D$64="晶悅")*(COUNTIF(設定!$B$6:$B$14,AA$5:AA$64)&gt;0)))))</f>
        <v/>
      </c>
      <c r="AB66" s="79">
        <f>IF(AB$3="","",IF(COUNTIF(設定!$W$6:$W$40,DATE(設定!$C$2,設定!$D$2,24))&gt;0,"假",IF(AB$4="日","休",SUMPRODUCT(($D$5:$D$64="晶悅")*(COUNTIF(設定!$B$6:$B$14,AB$5:AB$64)&gt;0)))))</f>
        <v/>
      </c>
      <c r="AC66" s="79">
        <f>IF(AC$3="","",IF(COUNTIF(設定!$W$6:$W$40,DATE(設定!$C$2,設定!$D$2,25))&gt;0,"假",IF(AC$4="日","休",SUMPRODUCT(($D$5:$D$64="晶悅")*(COUNTIF(設定!$B$6:$B$14,AC$5:AC$64)&gt;0)))))</f>
        <v/>
      </c>
      <c r="AD66" s="79">
        <f>IF(AD$3="","",IF(COUNTIF(設定!$W$6:$W$40,DATE(設定!$C$2,設定!$D$2,26))&gt;0,"假",IF(AD$4="日","休",SUMPRODUCT(($D$5:$D$64="晶悅")*(COUNTIF(設定!$B$6:$B$14,AD$5:AD$64)&gt;0)))))</f>
        <v/>
      </c>
      <c r="AE66" s="79">
        <f>IF(AE$3="","",IF(COUNTIF(設定!$W$6:$W$40,DATE(設定!$C$2,設定!$D$2,27))&gt;0,"假",IF(AE$4="日","休",SUMPRODUCT(($D$5:$D$64="晶悅")*(COUNTIF(設定!$B$6:$B$14,AE$5:AE$64)&gt;0)))))</f>
        <v/>
      </c>
      <c r="AF66" s="79">
        <f>IF(AF$3="","",IF(COUNTIF(設定!$W$6:$W$40,DATE(設定!$C$2,設定!$D$2,28))&gt;0,"假",IF(AF$4="日","休",SUMPRODUCT(($D$5:$D$64="晶悅")*(COUNTIF(設定!$B$6:$B$14,AF$5:AF$64)&gt;0)))))</f>
        <v/>
      </c>
      <c r="AG66" s="79">
        <f>IF(AG$3="","",IF(COUNTIF(設定!$W$6:$W$40,DATE(設定!$C$2,設定!$D$2,29))&gt;0,"假",IF(AG$4="日","休",SUMPRODUCT(($D$5:$D$64="晶悅")*(COUNTIF(設定!$B$6:$B$14,AG$5:AG$64)&gt;0)))))</f>
        <v/>
      </c>
      <c r="AH66" s="79">
        <f>IF(AH$3="","",IF(COUNTIF(設定!$W$6:$W$40,DATE(設定!$C$2,設定!$D$2,30))&gt;0,"假",IF(AH$4="日","休",SUMPRODUCT(($D$5:$D$64="晶悅")*(COUNTIF(設定!$B$6:$B$14,AH$5:AH$64)&gt;0)))))</f>
        <v/>
      </c>
      <c r="AI66" s="79">
        <f>IF(AI$3="","",IF(COUNTIF(設定!$W$6:$W$40,DATE(設定!$C$2,設定!$D$2,31))&gt;0,"假",IF(AI$4="日","休",SUMPRODUCT(($D$5:$D$64="晶悅")*(COUNTIF(設定!$B$6:$B$14,AI$5:AI$64)&gt;0)))))</f>
        <v/>
      </c>
    </row>
    <row r="67">
      <c r="A67" s="73" t="inlineStr">
        <is>
          <t>睿 晶睿</t>
        </is>
      </c>
      <c r="B67" s="8" t="n"/>
      <c r="C67" s="8" t="n"/>
      <c r="D67" s="9" t="n"/>
      <c r="E67" s="79">
        <f>IF(E$3="","",IF(COUNTIF(設定!$W$6:$W$40,DATE(設定!$C$2,設定!$D$2,1))&gt;0,"假",IF(E$4="日","休",SUMPRODUCT(($D$5:$D$64="晶睿")*(COUNTIF(設定!$B$6:$B$14,E$5:E$64)&gt;0)))))</f>
        <v/>
      </c>
      <c r="F67" s="79">
        <f>IF(F$3="","",IF(COUNTIF(設定!$W$6:$W$40,DATE(設定!$C$2,設定!$D$2,2))&gt;0,"假",IF(F$4="日","休",SUMPRODUCT(($D$5:$D$64="晶睿")*(COUNTIF(設定!$B$6:$B$14,F$5:F$64)&gt;0)))))</f>
        <v/>
      </c>
      <c r="G67" s="79">
        <f>IF(G$3="","",IF(COUNTIF(設定!$W$6:$W$40,DATE(設定!$C$2,設定!$D$2,3))&gt;0,"假",IF(G$4="日","休",SUMPRODUCT(($D$5:$D$64="晶睿")*(COUNTIF(設定!$B$6:$B$14,G$5:G$64)&gt;0)))))</f>
        <v/>
      </c>
      <c r="H67" s="79">
        <f>IF(H$3="","",IF(COUNTIF(設定!$W$6:$W$40,DATE(設定!$C$2,設定!$D$2,4))&gt;0,"假",IF(H$4="日","休",SUMPRODUCT(($D$5:$D$64="晶睿")*(COUNTIF(設定!$B$6:$B$14,H$5:H$64)&gt;0)))))</f>
        <v/>
      </c>
      <c r="I67" s="79">
        <f>IF(I$3="","",IF(COUNTIF(設定!$W$6:$W$40,DATE(設定!$C$2,設定!$D$2,5))&gt;0,"假",IF(I$4="日","休",SUMPRODUCT(($D$5:$D$64="晶睿")*(COUNTIF(設定!$B$6:$B$14,I$5:I$64)&gt;0)))))</f>
        <v/>
      </c>
      <c r="J67" s="79">
        <f>IF(J$3="","",IF(COUNTIF(設定!$W$6:$W$40,DATE(設定!$C$2,設定!$D$2,6))&gt;0,"假",IF(J$4="日","休",SUMPRODUCT(($D$5:$D$64="晶睿")*(COUNTIF(設定!$B$6:$B$14,J$5:J$64)&gt;0)))))</f>
        <v/>
      </c>
      <c r="K67" s="79">
        <f>IF(K$3="","",IF(COUNTIF(設定!$W$6:$W$40,DATE(設定!$C$2,設定!$D$2,7))&gt;0,"假",IF(K$4="日","休",SUMPRODUCT(($D$5:$D$64="晶睿")*(COUNTIF(設定!$B$6:$B$14,K$5:K$64)&gt;0)))))</f>
        <v/>
      </c>
      <c r="L67" s="79">
        <f>IF(L$3="","",IF(COUNTIF(設定!$W$6:$W$40,DATE(設定!$C$2,設定!$D$2,8))&gt;0,"假",IF(L$4="日","休",SUMPRODUCT(($D$5:$D$64="晶睿")*(COUNTIF(設定!$B$6:$B$14,L$5:L$64)&gt;0)))))</f>
        <v/>
      </c>
      <c r="M67" s="79">
        <f>IF(M$3="","",IF(COUNTIF(設定!$W$6:$W$40,DATE(設定!$C$2,設定!$D$2,9))&gt;0,"假",IF(M$4="日","休",SUMPRODUCT(($D$5:$D$64="晶睿")*(COUNTIF(設定!$B$6:$B$14,M$5:M$64)&gt;0)))))</f>
        <v/>
      </c>
      <c r="N67" s="79">
        <f>IF(N$3="","",IF(COUNTIF(設定!$W$6:$W$40,DATE(設定!$C$2,設定!$D$2,10))&gt;0,"假",IF(N$4="日","休",SUMPRODUCT(($D$5:$D$64="晶睿")*(COUNTIF(設定!$B$6:$B$14,N$5:N$64)&gt;0)))))</f>
        <v/>
      </c>
      <c r="O67" s="79">
        <f>IF(O$3="","",IF(COUNTIF(設定!$W$6:$W$40,DATE(設定!$C$2,設定!$D$2,11))&gt;0,"假",IF(O$4="日","休",SUMPRODUCT(($D$5:$D$64="晶睿")*(COUNTIF(設定!$B$6:$B$14,O$5:O$64)&gt;0)))))</f>
        <v/>
      </c>
      <c r="P67" s="79">
        <f>IF(P$3="","",IF(COUNTIF(設定!$W$6:$W$40,DATE(設定!$C$2,設定!$D$2,12))&gt;0,"假",IF(P$4="日","休",SUMPRODUCT(($D$5:$D$64="晶睿")*(COUNTIF(設定!$B$6:$B$14,P$5:P$64)&gt;0)))))</f>
        <v/>
      </c>
      <c r="Q67" s="79">
        <f>IF(Q$3="","",IF(COUNTIF(設定!$W$6:$W$40,DATE(設定!$C$2,設定!$D$2,13))&gt;0,"假",IF(Q$4="日","休",SUMPRODUCT(($D$5:$D$64="晶睿")*(COUNTIF(設定!$B$6:$B$14,Q$5:Q$64)&gt;0)))))</f>
        <v/>
      </c>
      <c r="R67" s="79">
        <f>IF(R$3="","",IF(COUNTIF(設定!$W$6:$W$40,DATE(設定!$C$2,設定!$D$2,14))&gt;0,"假",IF(R$4="日","休",SUMPRODUCT(($D$5:$D$64="晶睿")*(COUNTIF(設定!$B$6:$B$14,R$5:R$64)&gt;0)))))</f>
        <v/>
      </c>
      <c r="S67" s="79">
        <f>IF(S$3="","",IF(COUNTIF(設定!$W$6:$W$40,DATE(設定!$C$2,設定!$D$2,15))&gt;0,"假",IF(S$4="日","休",SUMPRODUCT(($D$5:$D$64="晶睿")*(COUNTIF(設定!$B$6:$B$14,S$5:S$64)&gt;0)))))</f>
        <v/>
      </c>
      <c r="T67" s="79">
        <f>IF(T$3="","",IF(COUNTIF(設定!$W$6:$W$40,DATE(設定!$C$2,設定!$D$2,16))&gt;0,"假",IF(T$4="日","休",SUMPRODUCT(($D$5:$D$64="晶睿")*(COUNTIF(設定!$B$6:$B$14,T$5:T$64)&gt;0)))))</f>
        <v/>
      </c>
      <c r="U67" s="79">
        <f>IF(U$3="","",IF(COUNTIF(設定!$W$6:$W$40,DATE(設定!$C$2,設定!$D$2,17))&gt;0,"假",IF(U$4="日","休",SUMPRODUCT(($D$5:$D$64="晶睿")*(COUNTIF(設定!$B$6:$B$14,U$5:U$64)&gt;0)))))</f>
        <v/>
      </c>
      <c r="V67" s="79">
        <f>IF(V$3="","",IF(COUNTIF(設定!$W$6:$W$40,DATE(設定!$C$2,設定!$D$2,18))&gt;0,"假",IF(V$4="日","休",SUMPRODUCT(($D$5:$D$64="晶睿")*(COUNTIF(設定!$B$6:$B$14,V$5:V$64)&gt;0)))))</f>
        <v/>
      </c>
      <c r="W67" s="79">
        <f>IF(W$3="","",IF(COUNTIF(設定!$W$6:$W$40,DATE(設定!$C$2,設定!$D$2,19))&gt;0,"假",IF(W$4="日","休",SUMPRODUCT(($D$5:$D$64="晶睿")*(COUNTIF(設定!$B$6:$B$14,W$5:W$64)&gt;0)))))</f>
        <v/>
      </c>
      <c r="X67" s="79">
        <f>IF(X$3="","",IF(COUNTIF(設定!$W$6:$W$40,DATE(設定!$C$2,設定!$D$2,20))&gt;0,"假",IF(X$4="日","休",SUMPRODUCT(($D$5:$D$64="晶睿")*(COUNTIF(設定!$B$6:$B$14,X$5:X$64)&gt;0)))))</f>
        <v/>
      </c>
      <c r="Y67" s="79">
        <f>IF(Y$3="","",IF(COUNTIF(設定!$W$6:$W$40,DATE(設定!$C$2,設定!$D$2,21))&gt;0,"假",IF(Y$4="日","休",SUMPRODUCT(($D$5:$D$64="晶睿")*(COUNTIF(設定!$B$6:$B$14,Y$5:Y$64)&gt;0)))))</f>
        <v/>
      </c>
      <c r="Z67" s="79">
        <f>IF(Z$3="","",IF(COUNTIF(設定!$W$6:$W$40,DATE(設定!$C$2,設定!$D$2,22))&gt;0,"假",IF(Z$4="日","休",SUMPRODUCT(($D$5:$D$64="晶睿")*(COUNTIF(設定!$B$6:$B$14,Z$5:Z$64)&gt;0)))))</f>
        <v/>
      </c>
      <c r="AA67" s="79">
        <f>IF(AA$3="","",IF(COUNTIF(設定!$W$6:$W$40,DATE(設定!$C$2,設定!$D$2,23))&gt;0,"假",IF(AA$4="日","休",SUMPRODUCT(($D$5:$D$64="晶睿")*(COUNTIF(設定!$B$6:$B$14,AA$5:AA$64)&gt;0)))))</f>
        <v/>
      </c>
      <c r="AB67" s="79">
        <f>IF(AB$3="","",IF(COUNTIF(設定!$W$6:$W$40,DATE(設定!$C$2,設定!$D$2,24))&gt;0,"假",IF(AB$4="日","休",SUMPRODUCT(($D$5:$D$64="晶睿")*(COUNTIF(設定!$B$6:$B$14,AB$5:AB$64)&gt;0)))))</f>
        <v/>
      </c>
      <c r="AC67" s="79">
        <f>IF(AC$3="","",IF(COUNTIF(設定!$W$6:$W$40,DATE(設定!$C$2,設定!$D$2,25))&gt;0,"假",IF(AC$4="日","休",SUMPRODUCT(($D$5:$D$64="晶睿")*(COUNTIF(設定!$B$6:$B$14,AC$5:AC$64)&gt;0)))))</f>
        <v/>
      </c>
      <c r="AD67" s="79">
        <f>IF(AD$3="","",IF(COUNTIF(設定!$W$6:$W$40,DATE(設定!$C$2,設定!$D$2,26))&gt;0,"假",IF(AD$4="日","休",SUMPRODUCT(($D$5:$D$64="晶睿")*(COUNTIF(設定!$B$6:$B$14,AD$5:AD$64)&gt;0)))))</f>
        <v/>
      </c>
      <c r="AE67" s="79">
        <f>IF(AE$3="","",IF(COUNTIF(設定!$W$6:$W$40,DATE(設定!$C$2,設定!$D$2,27))&gt;0,"假",IF(AE$4="日","休",SUMPRODUCT(($D$5:$D$64="晶睿")*(COUNTIF(設定!$B$6:$B$14,AE$5:AE$64)&gt;0)))))</f>
        <v/>
      </c>
      <c r="AF67" s="79">
        <f>IF(AF$3="","",IF(COUNTIF(設定!$W$6:$W$40,DATE(設定!$C$2,設定!$D$2,28))&gt;0,"假",IF(AF$4="日","休",SUMPRODUCT(($D$5:$D$64="晶睿")*(COUNTIF(設定!$B$6:$B$14,AF$5:AF$64)&gt;0)))))</f>
        <v/>
      </c>
      <c r="AG67" s="79">
        <f>IF(AG$3="","",IF(COUNTIF(設定!$W$6:$W$40,DATE(設定!$C$2,設定!$D$2,29))&gt;0,"假",IF(AG$4="日","休",SUMPRODUCT(($D$5:$D$64="晶睿")*(COUNTIF(設定!$B$6:$B$14,AG$5:AG$64)&gt;0)))))</f>
        <v/>
      </c>
      <c r="AH67" s="79">
        <f>IF(AH$3="","",IF(COUNTIF(設定!$W$6:$W$40,DATE(設定!$C$2,設定!$D$2,30))&gt;0,"假",IF(AH$4="日","休",SUMPRODUCT(($D$5:$D$64="晶睿")*(COUNTIF(設定!$B$6:$B$14,AH$5:AH$64)&gt;0)))))</f>
        <v/>
      </c>
      <c r="AI67" s="79">
        <f>IF(AI$3="","",IF(COUNTIF(設定!$W$6:$W$40,DATE(設定!$C$2,設定!$D$2,31))&gt;0,"假",IF(AI$4="日","休",SUMPRODUCT(($D$5:$D$64="晶睿")*(COUNTIF(設定!$B$6:$B$14,AI$5:AI$64)&gt;0)))))</f>
        <v/>
      </c>
    </row>
    <row r="68">
      <c r="A68" s="74" t="inlineStr">
        <is>
          <t>匯 晶匯</t>
        </is>
      </c>
      <c r="B68" s="8" t="n"/>
      <c r="C68" s="8" t="n"/>
      <c r="D68" s="9" t="n"/>
      <c r="E68" s="79">
        <f>IF(E$3="","",IF(COUNTIF(設定!$W$6:$W$40,DATE(設定!$C$2,設定!$D$2,1))&gt;0,"假",IF(E$4="日","休",SUMPRODUCT(($D$5:$D$64="晶匯")*(COUNTIF(設定!$B$6:$B$14,E$5:E$64)&gt;0)))))</f>
        <v/>
      </c>
      <c r="F68" s="79">
        <f>IF(F$3="","",IF(COUNTIF(設定!$W$6:$W$40,DATE(設定!$C$2,設定!$D$2,2))&gt;0,"假",IF(F$4="日","休",SUMPRODUCT(($D$5:$D$64="晶匯")*(COUNTIF(設定!$B$6:$B$14,F$5:F$64)&gt;0)))))</f>
        <v/>
      </c>
      <c r="G68" s="79">
        <f>IF(G$3="","",IF(COUNTIF(設定!$W$6:$W$40,DATE(設定!$C$2,設定!$D$2,3))&gt;0,"假",IF(G$4="日","休",SUMPRODUCT(($D$5:$D$64="晶匯")*(COUNTIF(設定!$B$6:$B$14,G$5:G$64)&gt;0)))))</f>
        <v/>
      </c>
      <c r="H68" s="79">
        <f>IF(H$3="","",IF(COUNTIF(設定!$W$6:$W$40,DATE(設定!$C$2,設定!$D$2,4))&gt;0,"假",IF(H$4="日","休",SUMPRODUCT(($D$5:$D$64="晶匯")*(COUNTIF(設定!$B$6:$B$14,H$5:H$64)&gt;0)))))</f>
        <v/>
      </c>
      <c r="I68" s="79">
        <f>IF(I$3="","",IF(COUNTIF(設定!$W$6:$W$40,DATE(設定!$C$2,設定!$D$2,5))&gt;0,"假",IF(I$4="日","休",SUMPRODUCT(($D$5:$D$64="晶匯")*(COUNTIF(設定!$B$6:$B$14,I$5:I$64)&gt;0)))))</f>
        <v/>
      </c>
      <c r="J68" s="79">
        <f>IF(J$3="","",IF(COUNTIF(設定!$W$6:$W$40,DATE(設定!$C$2,設定!$D$2,6))&gt;0,"假",IF(J$4="日","休",SUMPRODUCT(($D$5:$D$64="晶匯")*(COUNTIF(設定!$B$6:$B$14,J$5:J$64)&gt;0)))))</f>
        <v/>
      </c>
      <c r="K68" s="79">
        <f>IF(K$3="","",IF(COUNTIF(設定!$W$6:$W$40,DATE(設定!$C$2,設定!$D$2,7))&gt;0,"假",IF(K$4="日","休",SUMPRODUCT(($D$5:$D$64="晶匯")*(COUNTIF(設定!$B$6:$B$14,K$5:K$64)&gt;0)))))</f>
        <v/>
      </c>
      <c r="L68" s="79">
        <f>IF(L$3="","",IF(COUNTIF(設定!$W$6:$W$40,DATE(設定!$C$2,設定!$D$2,8))&gt;0,"假",IF(L$4="日","休",SUMPRODUCT(($D$5:$D$64="晶匯")*(COUNTIF(設定!$B$6:$B$14,L$5:L$64)&gt;0)))))</f>
        <v/>
      </c>
      <c r="M68" s="79">
        <f>IF(M$3="","",IF(COUNTIF(設定!$W$6:$W$40,DATE(設定!$C$2,設定!$D$2,9))&gt;0,"假",IF(M$4="日","休",SUMPRODUCT(($D$5:$D$64="晶匯")*(COUNTIF(設定!$B$6:$B$14,M$5:M$64)&gt;0)))))</f>
        <v/>
      </c>
      <c r="N68" s="79">
        <f>IF(N$3="","",IF(COUNTIF(設定!$W$6:$W$40,DATE(設定!$C$2,設定!$D$2,10))&gt;0,"假",IF(N$4="日","休",SUMPRODUCT(($D$5:$D$64="晶匯")*(COUNTIF(設定!$B$6:$B$14,N$5:N$64)&gt;0)))))</f>
        <v/>
      </c>
      <c r="O68" s="79">
        <f>IF(O$3="","",IF(COUNTIF(設定!$W$6:$W$40,DATE(設定!$C$2,設定!$D$2,11))&gt;0,"假",IF(O$4="日","休",SUMPRODUCT(($D$5:$D$64="晶匯")*(COUNTIF(設定!$B$6:$B$14,O$5:O$64)&gt;0)))))</f>
        <v/>
      </c>
      <c r="P68" s="79">
        <f>IF(P$3="","",IF(COUNTIF(設定!$W$6:$W$40,DATE(設定!$C$2,設定!$D$2,12))&gt;0,"假",IF(P$4="日","休",SUMPRODUCT(($D$5:$D$64="晶匯")*(COUNTIF(設定!$B$6:$B$14,P$5:P$64)&gt;0)))))</f>
        <v/>
      </c>
      <c r="Q68" s="79">
        <f>IF(Q$3="","",IF(COUNTIF(設定!$W$6:$W$40,DATE(設定!$C$2,設定!$D$2,13))&gt;0,"假",IF(Q$4="日","休",SUMPRODUCT(($D$5:$D$64="晶匯")*(COUNTIF(設定!$B$6:$B$14,Q$5:Q$64)&gt;0)))))</f>
        <v/>
      </c>
      <c r="R68" s="79">
        <f>IF(R$3="","",IF(COUNTIF(設定!$W$6:$W$40,DATE(設定!$C$2,設定!$D$2,14))&gt;0,"假",IF(R$4="日","休",SUMPRODUCT(($D$5:$D$64="晶匯")*(COUNTIF(設定!$B$6:$B$14,R$5:R$64)&gt;0)))))</f>
        <v/>
      </c>
      <c r="S68" s="79">
        <f>IF(S$3="","",IF(COUNTIF(設定!$W$6:$W$40,DATE(設定!$C$2,設定!$D$2,15))&gt;0,"假",IF(S$4="日","休",SUMPRODUCT(($D$5:$D$64="晶匯")*(COUNTIF(設定!$B$6:$B$14,S$5:S$64)&gt;0)))))</f>
        <v/>
      </c>
      <c r="T68" s="79">
        <f>IF(T$3="","",IF(COUNTIF(設定!$W$6:$W$40,DATE(設定!$C$2,設定!$D$2,16))&gt;0,"假",IF(T$4="日","休",SUMPRODUCT(($D$5:$D$64="晶匯")*(COUNTIF(設定!$B$6:$B$14,T$5:T$64)&gt;0)))))</f>
        <v/>
      </c>
      <c r="U68" s="79">
        <f>IF(U$3="","",IF(COUNTIF(設定!$W$6:$W$40,DATE(設定!$C$2,設定!$D$2,17))&gt;0,"假",IF(U$4="日","休",SUMPRODUCT(($D$5:$D$64="晶匯")*(COUNTIF(設定!$B$6:$B$14,U$5:U$64)&gt;0)))))</f>
        <v/>
      </c>
      <c r="V68" s="79">
        <f>IF(V$3="","",IF(COUNTIF(設定!$W$6:$W$40,DATE(設定!$C$2,設定!$D$2,18))&gt;0,"假",IF(V$4="日","休",SUMPRODUCT(($D$5:$D$64="晶匯")*(COUNTIF(設定!$B$6:$B$14,V$5:V$64)&gt;0)))))</f>
        <v/>
      </c>
      <c r="W68" s="79">
        <f>IF(W$3="","",IF(COUNTIF(設定!$W$6:$W$40,DATE(設定!$C$2,設定!$D$2,19))&gt;0,"假",IF(W$4="日","休",SUMPRODUCT(($D$5:$D$64="晶匯")*(COUNTIF(設定!$B$6:$B$14,W$5:W$64)&gt;0)))))</f>
        <v/>
      </c>
      <c r="X68" s="79">
        <f>IF(X$3="","",IF(COUNTIF(設定!$W$6:$W$40,DATE(設定!$C$2,設定!$D$2,20))&gt;0,"假",IF(X$4="日","休",SUMPRODUCT(($D$5:$D$64="晶匯")*(COUNTIF(設定!$B$6:$B$14,X$5:X$64)&gt;0)))))</f>
        <v/>
      </c>
      <c r="Y68" s="79">
        <f>IF(Y$3="","",IF(COUNTIF(設定!$W$6:$W$40,DATE(設定!$C$2,設定!$D$2,21))&gt;0,"假",IF(Y$4="日","休",SUMPRODUCT(($D$5:$D$64="晶匯")*(COUNTIF(設定!$B$6:$B$14,Y$5:Y$64)&gt;0)))))</f>
        <v/>
      </c>
      <c r="Z68" s="79">
        <f>IF(Z$3="","",IF(COUNTIF(設定!$W$6:$W$40,DATE(設定!$C$2,設定!$D$2,22))&gt;0,"假",IF(Z$4="日","休",SUMPRODUCT(($D$5:$D$64="晶匯")*(COUNTIF(設定!$B$6:$B$14,Z$5:Z$64)&gt;0)))))</f>
        <v/>
      </c>
      <c r="AA68" s="79">
        <f>IF(AA$3="","",IF(COUNTIF(設定!$W$6:$W$40,DATE(設定!$C$2,設定!$D$2,23))&gt;0,"假",IF(AA$4="日","休",SUMPRODUCT(($D$5:$D$64="晶匯")*(COUNTIF(設定!$B$6:$B$14,AA$5:AA$64)&gt;0)))))</f>
        <v/>
      </c>
      <c r="AB68" s="79">
        <f>IF(AB$3="","",IF(COUNTIF(設定!$W$6:$W$40,DATE(設定!$C$2,設定!$D$2,24))&gt;0,"假",IF(AB$4="日","休",SUMPRODUCT(($D$5:$D$64="晶匯")*(COUNTIF(設定!$B$6:$B$14,AB$5:AB$64)&gt;0)))))</f>
        <v/>
      </c>
      <c r="AC68" s="79">
        <f>IF(AC$3="","",IF(COUNTIF(設定!$W$6:$W$40,DATE(設定!$C$2,設定!$D$2,25))&gt;0,"假",IF(AC$4="日","休",SUMPRODUCT(($D$5:$D$64="晶匯")*(COUNTIF(設定!$B$6:$B$14,AC$5:AC$64)&gt;0)))))</f>
        <v/>
      </c>
      <c r="AD68" s="79">
        <f>IF(AD$3="","",IF(COUNTIF(設定!$W$6:$W$40,DATE(設定!$C$2,設定!$D$2,26))&gt;0,"假",IF(AD$4="日","休",SUMPRODUCT(($D$5:$D$64="晶匯")*(COUNTIF(設定!$B$6:$B$14,AD$5:AD$64)&gt;0)))))</f>
        <v/>
      </c>
      <c r="AE68" s="79">
        <f>IF(AE$3="","",IF(COUNTIF(設定!$W$6:$W$40,DATE(設定!$C$2,設定!$D$2,27))&gt;0,"假",IF(AE$4="日","休",SUMPRODUCT(($D$5:$D$64="晶匯")*(COUNTIF(設定!$B$6:$B$14,AE$5:AE$64)&gt;0)))))</f>
        <v/>
      </c>
      <c r="AF68" s="79">
        <f>IF(AF$3="","",IF(COUNTIF(設定!$W$6:$W$40,DATE(設定!$C$2,設定!$D$2,28))&gt;0,"假",IF(AF$4="日","休",SUMPRODUCT(($D$5:$D$64="晶匯")*(COUNTIF(設定!$B$6:$B$14,AF$5:AF$64)&gt;0)))))</f>
        <v/>
      </c>
      <c r="AG68" s="79">
        <f>IF(AG$3="","",IF(COUNTIF(設定!$W$6:$W$40,DATE(設定!$C$2,設定!$D$2,29))&gt;0,"假",IF(AG$4="日","休",SUMPRODUCT(($D$5:$D$64="晶匯")*(COUNTIF(設定!$B$6:$B$14,AG$5:AG$64)&gt;0)))))</f>
        <v/>
      </c>
      <c r="AH68" s="79">
        <f>IF(AH$3="","",IF(COUNTIF(設定!$W$6:$W$40,DATE(設定!$C$2,設定!$D$2,30))&gt;0,"假",IF(AH$4="日","休",SUMPRODUCT(($D$5:$D$64="晶匯")*(COUNTIF(設定!$B$6:$B$14,AH$5:AH$64)&gt;0)))))</f>
        <v/>
      </c>
      <c r="AI68" s="79">
        <f>IF(AI$3="","",IF(COUNTIF(設定!$W$6:$W$40,DATE(設定!$C$2,設定!$D$2,31))&gt;0,"假",IF(AI$4="日","休",SUMPRODUCT(($D$5:$D$64="晶匯")*(COUNTIF(設定!$B$6:$B$14,AI$5:AI$64)&gt;0)))))</f>
        <v/>
      </c>
    </row>
    <row r="69">
      <c r="A69" s="75" t="inlineStr">
        <is>
          <t>曜 晶曜</t>
        </is>
      </c>
      <c r="B69" s="8" t="n"/>
      <c r="C69" s="8" t="n"/>
      <c r="D69" s="9" t="n"/>
      <c r="E69" s="79">
        <f>IF(E$3="","",IF(COUNTIF(設定!$W$6:$W$40,DATE(設定!$C$2,設定!$D$2,1))&gt;0,"假",IF(E$4="日","休",SUMPRODUCT(($D$5:$D$64="晶曜")*(COUNTIF(設定!$B$6:$B$14,E$5:E$64)&gt;0)))))</f>
        <v/>
      </c>
      <c r="F69" s="79">
        <f>IF(F$3="","",IF(COUNTIF(設定!$W$6:$W$40,DATE(設定!$C$2,設定!$D$2,2))&gt;0,"假",IF(F$4="日","休",SUMPRODUCT(($D$5:$D$64="晶曜")*(COUNTIF(設定!$B$6:$B$14,F$5:F$64)&gt;0)))))</f>
        <v/>
      </c>
      <c r="G69" s="79">
        <f>IF(G$3="","",IF(COUNTIF(設定!$W$6:$W$40,DATE(設定!$C$2,設定!$D$2,3))&gt;0,"假",IF(G$4="日","休",SUMPRODUCT(($D$5:$D$64="晶曜")*(COUNTIF(設定!$B$6:$B$14,G$5:G$64)&gt;0)))))</f>
        <v/>
      </c>
      <c r="H69" s="79">
        <f>IF(H$3="","",IF(COUNTIF(設定!$W$6:$W$40,DATE(設定!$C$2,設定!$D$2,4))&gt;0,"假",IF(H$4="日","休",SUMPRODUCT(($D$5:$D$64="晶曜")*(COUNTIF(設定!$B$6:$B$14,H$5:H$64)&gt;0)))))</f>
        <v/>
      </c>
      <c r="I69" s="79">
        <f>IF(I$3="","",IF(COUNTIF(設定!$W$6:$W$40,DATE(設定!$C$2,設定!$D$2,5))&gt;0,"假",IF(I$4="日","休",SUMPRODUCT(($D$5:$D$64="晶曜")*(COUNTIF(設定!$B$6:$B$14,I$5:I$64)&gt;0)))))</f>
        <v/>
      </c>
      <c r="J69" s="79">
        <f>IF(J$3="","",IF(COUNTIF(設定!$W$6:$W$40,DATE(設定!$C$2,設定!$D$2,6))&gt;0,"假",IF(J$4="日","休",SUMPRODUCT(($D$5:$D$64="晶曜")*(COUNTIF(設定!$B$6:$B$14,J$5:J$64)&gt;0)))))</f>
        <v/>
      </c>
      <c r="K69" s="79">
        <f>IF(K$3="","",IF(COUNTIF(設定!$W$6:$W$40,DATE(設定!$C$2,設定!$D$2,7))&gt;0,"假",IF(K$4="日","休",SUMPRODUCT(($D$5:$D$64="晶曜")*(COUNTIF(設定!$B$6:$B$14,K$5:K$64)&gt;0)))))</f>
        <v/>
      </c>
      <c r="L69" s="79">
        <f>IF(L$3="","",IF(COUNTIF(設定!$W$6:$W$40,DATE(設定!$C$2,設定!$D$2,8))&gt;0,"假",IF(L$4="日","休",SUMPRODUCT(($D$5:$D$64="晶曜")*(COUNTIF(設定!$B$6:$B$14,L$5:L$64)&gt;0)))))</f>
        <v/>
      </c>
      <c r="M69" s="79">
        <f>IF(M$3="","",IF(COUNTIF(設定!$W$6:$W$40,DATE(設定!$C$2,設定!$D$2,9))&gt;0,"假",IF(M$4="日","休",SUMPRODUCT(($D$5:$D$64="晶曜")*(COUNTIF(設定!$B$6:$B$14,M$5:M$64)&gt;0)))))</f>
        <v/>
      </c>
      <c r="N69" s="79">
        <f>IF(N$3="","",IF(COUNTIF(設定!$W$6:$W$40,DATE(設定!$C$2,設定!$D$2,10))&gt;0,"假",IF(N$4="日","休",SUMPRODUCT(($D$5:$D$64="晶曜")*(COUNTIF(設定!$B$6:$B$14,N$5:N$64)&gt;0)))))</f>
        <v/>
      </c>
      <c r="O69" s="79">
        <f>IF(O$3="","",IF(COUNTIF(設定!$W$6:$W$40,DATE(設定!$C$2,設定!$D$2,11))&gt;0,"假",IF(O$4="日","休",SUMPRODUCT(($D$5:$D$64="晶曜")*(COUNTIF(設定!$B$6:$B$14,O$5:O$64)&gt;0)))))</f>
        <v/>
      </c>
      <c r="P69" s="79">
        <f>IF(P$3="","",IF(COUNTIF(設定!$W$6:$W$40,DATE(設定!$C$2,設定!$D$2,12))&gt;0,"假",IF(P$4="日","休",SUMPRODUCT(($D$5:$D$64="晶曜")*(COUNTIF(設定!$B$6:$B$14,P$5:P$64)&gt;0)))))</f>
        <v/>
      </c>
      <c r="Q69" s="79">
        <f>IF(Q$3="","",IF(COUNTIF(設定!$W$6:$W$40,DATE(設定!$C$2,設定!$D$2,13))&gt;0,"假",IF(Q$4="日","休",SUMPRODUCT(($D$5:$D$64="晶曜")*(COUNTIF(設定!$B$6:$B$14,Q$5:Q$64)&gt;0)))))</f>
        <v/>
      </c>
      <c r="R69" s="79">
        <f>IF(R$3="","",IF(COUNTIF(設定!$W$6:$W$40,DATE(設定!$C$2,設定!$D$2,14))&gt;0,"假",IF(R$4="日","休",SUMPRODUCT(($D$5:$D$64="晶曜")*(COUNTIF(設定!$B$6:$B$14,R$5:R$64)&gt;0)))))</f>
        <v/>
      </c>
      <c r="S69" s="79">
        <f>IF(S$3="","",IF(COUNTIF(設定!$W$6:$W$40,DATE(設定!$C$2,設定!$D$2,15))&gt;0,"假",IF(S$4="日","休",SUMPRODUCT(($D$5:$D$64="晶曜")*(COUNTIF(設定!$B$6:$B$14,S$5:S$64)&gt;0)))))</f>
        <v/>
      </c>
      <c r="T69" s="79">
        <f>IF(T$3="","",IF(COUNTIF(設定!$W$6:$W$40,DATE(設定!$C$2,設定!$D$2,16))&gt;0,"假",IF(T$4="日","休",SUMPRODUCT(($D$5:$D$64="晶曜")*(COUNTIF(設定!$B$6:$B$14,T$5:T$64)&gt;0)))))</f>
        <v/>
      </c>
      <c r="U69" s="79">
        <f>IF(U$3="","",IF(COUNTIF(設定!$W$6:$W$40,DATE(設定!$C$2,設定!$D$2,17))&gt;0,"假",IF(U$4="日","休",SUMPRODUCT(($D$5:$D$64="晶曜")*(COUNTIF(設定!$B$6:$B$14,U$5:U$64)&gt;0)))))</f>
        <v/>
      </c>
      <c r="V69" s="79">
        <f>IF(V$3="","",IF(COUNTIF(設定!$W$6:$W$40,DATE(設定!$C$2,設定!$D$2,18))&gt;0,"假",IF(V$4="日","休",SUMPRODUCT(($D$5:$D$64="晶曜")*(COUNTIF(設定!$B$6:$B$14,V$5:V$64)&gt;0)))))</f>
        <v/>
      </c>
      <c r="W69" s="79">
        <f>IF(W$3="","",IF(COUNTIF(設定!$W$6:$W$40,DATE(設定!$C$2,設定!$D$2,19))&gt;0,"假",IF(W$4="日","休",SUMPRODUCT(($D$5:$D$64="晶曜")*(COUNTIF(設定!$B$6:$B$14,W$5:W$64)&gt;0)))))</f>
        <v/>
      </c>
      <c r="X69" s="79">
        <f>IF(X$3="","",IF(COUNTIF(設定!$W$6:$W$40,DATE(設定!$C$2,設定!$D$2,20))&gt;0,"假",IF(X$4="日","休",SUMPRODUCT(($D$5:$D$64="晶曜")*(COUNTIF(設定!$B$6:$B$14,X$5:X$64)&gt;0)))))</f>
        <v/>
      </c>
      <c r="Y69" s="79">
        <f>IF(Y$3="","",IF(COUNTIF(設定!$W$6:$W$40,DATE(設定!$C$2,設定!$D$2,21))&gt;0,"假",IF(Y$4="日","休",SUMPRODUCT(($D$5:$D$64="晶曜")*(COUNTIF(設定!$B$6:$B$14,Y$5:Y$64)&gt;0)))))</f>
        <v/>
      </c>
      <c r="Z69" s="79">
        <f>IF(Z$3="","",IF(COUNTIF(設定!$W$6:$W$40,DATE(設定!$C$2,設定!$D$2,22))&gt;0,"假",IF(Z$4="日","休",SUMPRODUCT(($D$5:$D$64="晶曜")*(COUNTIF(設定!$B$6:$B$14,Z$5:Z$64)&gt;0)))))</f>
        <v/>
      </c>
      <c r="AA69" s="79">
        <f>IF(AA$3="","",IF(COUNTIF(設定!$W$6:$W$40,DATE(設定!$C$2,設定!$D$2,23))&gt;0,"假",IF(AA$4="日","休",SUMPRODUCT(($D$5:$D$64="晶曜")*(COUNTIF(設定!$B$6:$B$14,AA$5:AA$64)&gt;0)))))</f>
        <v/>
      </c>
      <c r="AB69" s="79">
        <f>IF(AB$3="","",IF(COUNTIF(設定!$W$6:$W$40,DATE(設定!$C$2,設定!$D$2,24))&gt;0,"假",IF(AB$4="日","休",SUMPRODUCT(($D$5:$D$64="晶曜")*(COUNTIF(設定!$B$6:$B$14,AB$5:AB$64)&gt;0)))))</f>
        <v/>
      </c>
      <c r="AC69" s="79">
        <f>IF(AC$3="","",IF(COUNTIF(設定!$W$6:$W$40,DATE(設定!$C$2,設定!$D$2,25))&gt;0,"假",IF(AC$4="日","休",SUMPRODUCT(($D$5:$D$64="晶曜")*(COUNTIF(設定!$B$6:$B$14,AC$5:AC$64)&gt;0)))))</f>
        <v/>
      </c>
      <c r="AD69" s="79">
        <f>IF(AD$3="","",IF(COUNTIF(設定!$W$6:$W$40,DATE(設定!$C$2,設定!$D$2,26))&gt;0,"假",IF(AD$4="日","休",SUMPRODUCT(($D$5:$D$64="晶曜")*(COUNTIF(設定!$B$6:$B$14,AD$5:AD$64)&gt;0)))))</f>
        <v/>
      </c>
      <c r="AE69" s="79">
        <f>IF(AE$3="","",IF(COUNTIF(設定!$W$6:$W$40,DATE(設定!$C$2,設定!$D$2,27))&gt;0,"假",IF(AE$4="日","休",SUMPRODUCT(($D$5:$D$64="晶曜")*(COUNTIF(設定!$B$6:$B$14,AE$5:AE$64)&gt;0)))))</f>
        <v/>
      </c>
      <c r="AF69" s="79">
        <f>IF(AF$3="","",IF(COUNTIF(設定!$W$6:$W$40,DATE(設定!$C$2,設定!$D$2,28))&gt;0,"假",IF(AF$4="日","休",SUMPRODUCT(($D$5:$D$64="晶曜")*(COUNTIF(設定!$B$6:$B$14,AF$5:AF$64)&gt;0)))))</f>
        <v/>
      </c>
      <c r="AG69" s="79">
        <f>IF(AG$3="","",IF(COUNTIF(設定!$W$6:$W$40,DATE(設定!$C$2,設定!$D$2,29))&gt;0,"假",IF(AG$4="日","休",SUMPRODUCT(($D$5:$D$64="晶曜")*(COUNTIF(設定!$B$6:$B$14,AG$5:AG$64)&gt;0)))))</f>
        <v/>
      </c>
      <c r="AH69" s="79">
        <f>IF(AH$3="","",IF(COUNTIF(設定!$W$6:$W$40,DATE(設定!$C$2,設定!$D$2,30))&gt;0,"假",IF(AH$4="日","休",SUMPRODUCT(($D$5:$D$64="晶曜")*(COUNTIF(設定!$B$6:$B$14,AH$5:AH$64)&gt;0)))))</f>
        <v/>
      </c>
      <c r="AI69" s="79">
        <f>IF(AI$3="","",IF(COUNTIF(設定!$W$6:$W$40,DATE(設定!$C$2,設定!$D$2,31))&gt;0,"假",IF(AI$4="日","休",SUMPRODUCT(($D$5:$D$64="晶曜")*(COUNTIF(設定!$B$6:$B$14,AI$5:AI$64)&gt;0)))))</f>
        <v/>
      </c>
    </row>
    <row r="70">
      <c r="A70" s="76" t="inlineStr">
        <is>
          <t>寶 寶貝牙</t>
        </is>
      </c>
      <c r="B70" s="8" t="n"/>
      <c r="C70" s="8" t="n"/>
      <c r="D70" s="9" t="n"/>
      <c r="E70" s="79">
        <f>IF(E$3="","",IF(COUNTIF(設定!$W$6:$W$40,DATE(設定!$C$2,設定!$D$2,1))&gt;0,"假",IF(E$4="日","休",SUMPRODUCT(($D$5:$D$64="寶貝牙")*(COUNTIF(設定!$B$6:$B$14,E$5:E$64)&gt;0)))))</f>
        <v/>
      </c>
      <c r="F70" s="79">
        <f>IF(F$3="","",IF(COUNTIF(設定!$W$6:$W$40,DATE(設定!$C$2,設定!$D$2,2))&gt;0,"假",IF(F$4="日","休",SUMPRODUCT(($D$5:$D$64="寶貝牙")*(COUNTIF(設定!$B$6:$B$14,F$5:F$64)&gt;0)))))</f>
        <v/>
      </c>
      <c r="G70" s="79">
        <f>IF(G$3="","",IF(COUNTIF(設定!$W$6:$W$40,DATE(設定!$C$2,設定!$D$2,3))&gt;0,"假",IF(G$4="日","休",SUMPRODUCT(($D$5:$D$64="寶貝牙")*(COUNTIF(設定!$B$6:$B$14,G$5:G$64)&gt;0)))))</f>
        <v/>
      </c>
      <c r="H70" s="79">
        <f>IF(H$3="","",IF(COUNTIF(設定!$W$6:$W$40,DATE(設定!$C$2,設定!$D$2,4))&gt;0,"假",IF(H$4="日","休",SUMPRODUCT(($D$5:$D$64="寶貝牙")*(COUNTIF(設定!$B$6:$B$14,H$5:H$64)&gt;0)))))</f>
        <v/>
      </c>
      <c r="I70" s="79">
        <f>IF(I$3="","",IF(COUNTIF(設定!$W$6:$W$40,DATE(設定!$C$2,設定!$D$2,5))&gt;0,"假",IF(I$4="日","休",SUMPRODUCT(($D$5:$D$64="寶貝牙")*(COUNTIF(設定!$B$6:$B$14,I$5:I$64)&gt;0)))))</f>
        <v/>
      </c>
      <c r="J70" s="79">
        <f>IF(J$3="","",IF(COUNTIF(設定!$W$6:$W$40,DATE(設定!$C$2,設定!$D$2,6))&gt;0,"假",IF(J$4="日","休",SUMPRODUCT(($D$5:$D$64="寶貝牙")*(COUNTIF(設定!$B$6:$B$14,J$5:J$64)&gt;0)))))</f>
        <v/>
      </c>
      <c r="K70" s="79">
        <f>IF(K$3="","",IF(COUNTIF(設定!$W$6:$W$40,DATE(設定!$C$2,設定!$D$2,7))&gt;0,"假",IF(K$4="日","休",SUMPRODUCT(($D$5:$D$64="寶貝牙")*(COUNTIF(設定!$B$6:$B$14,K$5:K$64)&gt;0)))))</f>
        <v/>
      </c>
      <c r="L70" s="79">
        <f>IF(L$3="","",IF(COUNTIF(設定!$W$6:$W$40,DATE(設定!$C$2,設定!$D$2,8))&gt;0,"假",IF(L$4="日","休",SUMPRODUCT(($D$5:$D$64="寶貝牙")*(COUNTIF(設定!$B$6:$B$14,L$5:L$64)&gt;0)))))</f>
        <v/>
      </c>
      <c r="M70" s="79">
        <f>IF(M$3="","",IF(COUNTIF(設定!$W$6:$W$40,DATE(設定!$C$2,設定!$D$2,9))&gt;0,"假",IF(M$4="日","休",SUMPRODUCT(($D$5:$D$64="寶貝牙")*(COUNTIF(設定!$B$6:$B$14,M$5:M$64)&gt;0)))))</f>
        <v/>
      </c>
      <c r="N70" s="79">
        <f>IF(N$3="","",IF(COUNTIF(設定!$W$6:$W$40,DATE(設定!$C$2,設定!$D$2,10))&gt;0,"假",IF(N$4="日","休",SUMPRODUCT(($D$5:$D$64="寶貝牙")*(COUNTIF(設定!$B$6:$B$14,N$5:N$64)&gt;0)))))</f>
        <v/>
      </c>
      <c r="O70" s="79">
        <f>IF(O$3="","",IF(COUNTIF(設定!$W$6:$W$40,DATE(設定!$C$2,設定!$D$2,11))&gt;0,"假",IF(O$4="日","休",SUMPRODUCT(($D$5:$D$64="寶貝牙")*(COUNTIF(設定!$B$6:$B$14,O$5:O$64)&gt;0)))))</f>
        <v/>
      </c>
      <c r="P70" s="79">
        <f>IF(P$3="","",IF(COUNTIF(設定!$W$6:$W$40,DATE(設定!$C$2,設定!$D$2,12))&gt;0,"假",IF(P$4="日","休",SUMPRODUCT(($D$5:$D$64="寶貝牙")*(COUNTIF(設定!$B$6:$B$14,P$5:P$64)&gt;0)))))</f>
        <v/>
      </c>
      <c r="Q70" s="79">
        <f>IF(Q$3="","",IF(COUNTIF(設定!$W$6:$W$40,DATE(設定!$C$2,設定!$D$2,13))&gt;0,"假",IF(Q$4="日","休",SUMPRODUCT(($D$5:$D$64="寶貝牙")*(COUNTIF(設定!$B$6:$B$14,Q$5:Q$64)&gt;0)))))</f>
        <v/>
      </c>
      <c r="R70" s="79">
        <f>IF(R$3="","",IF(COUNTIF(設定!$W$6:$W$40,DATE(設定!$C$2,設定!$D$2,14))&gt;0,"假",IF(R$4="日","休",SUMPRODUCT(($D$5:$D$64="寶貝牙")*(COUNTIF(設定!$B$6:$B$14,R$5:R$64)&gt;0)))))</f>
        <v/>
      </c>
      <c r="S70" s="79">
        <f>IF(S$3="","",IF(COUNTIF(設定!$W$6:$W$40,DATE(設定!$C$2,設定!$D$2,15))&gt;0,"假",IF(S$4="日","休",SUMPRODUCT(($D$5:$D$64="寶貝牙")*(COUNTIF(設定!$B$6:$B$14,S$5:S$64)&gt;0)))))</f>
        <v/>
      </c>
      <c r="T70" s="79">
        <f>IF(T$3="","",IF(COUNTIF(設定!$W$6:$W$40,DATE(設定!$C$2,設定!$D$2,16))&gt;0,"假",IF(T$4="日","休",SUMPRODUCT(($D$5:$D$64="寶貝牙")*(COUNTIF(設定!$B$6:$B$14,T$5:T$64)&gt;0)))))</f>
        <v/>
      </c>
      <c r="U70" s="79">
        <f>IF(U$3="","",IF(COUNTIF(設定!$W$6:$W$40,DATE(設定!$C$2,設定!$D$2,17))&gt;0,"假",IF(U$4="日","休",SUMPRODUCT(($D$5:$D$64="寶貝牙")*(COUNTIF(設定!$B$6:$B$14,U$5:U$64)&gt;0)))))</f>
        <v/>
      </c>
      <c r="V70" s="79">
        <f>IF(V$3="","",IF(COUNTIF(設定!$W$6:$W$40,DATE(設定!$C$2,設定!$D$2,18))&gt;0,"假",IF(V$4="日","休",SUMPRODUCT(($D$5:$D$64="寶貝牙")*(COUNTIF(設定!$B$6:$B$14,V$5:V$64)&gt;0)))))</f>
        <v/>
      </c>
      <c r="W70" s="79">
        <f>IF(W$3="","",IF(COUNTIF(設定!$W$6:$W$40,DATE(設定!$C$2,設定!$D$2,19))&gt;0,"假",IF(W$4="日","休",SUMPRODUCT(($D$5:$D$64="寶貝牙")*(COUNTIF(設定!$B$6:$B$14,W$5:W$64)&gt;0)))))</f>
        <v/>
      </c>
      <c r="X70" s="79">
        <f>IF(X$3="","",IF(COUNTIF(設定!$W$6:$W$40,DATE(設定!$C$2,設定!$D$2,20))&gt;0,"假",IF(X$4="日","休",SUMPRODUCT(($D$5:$D$64="寶貝牙")*(COUNTIF(設定!$B$6:$B$14,X$5:X$64)&gt;0)))))</f>
        <v/>
      </c>
      <c r="Y70" s="79">
        <f>IF(Y$3="","",IF(COUNTIF(設定!$W$6:$W$40,DATE(設定!$C$2,設定!$D$2,21))&gt;0,"假",IF(Y$4="日","休",SUMPRODUCT(($D$5:$D$64="寶貝牙")*(COUNTIF(設定!$B$6:$B$14,Y$5:Y$64)&gt;0)))))</f>
        <v/>
      </c>
      <c r="Z70" s="79">
        <f>IF(Z$3="","",IF(COUNTIF(設定!$W$6:$W$40,DATE(設定!$C$2,設定!$D$2,22))&gt;0,"假",IF(Z$4="日","休",SUMPRODUCT(($D$5:$D$64="寶貝牙")*(COUNTIF(設定!$B$6:$B$14,Z$5:Z$64)&gt;0)))))</f>
        <v/>
      </c>
      <c r="AA70" s="79">
        <f>IF(AA$3="","",IF(COUNTIF(設定!$W$6:$W$40,DATE(設定!$C$2,設定!$D$2,23))&gt;0,"假",IF(AA$4="日","休",SUMPRODUCT(($D$5:$D$64="寶貝牙")*(COUNTIF(設定!$B$6:$B$14,AA$5:AA$64)&gt;0)))))</f>
        <v/>
      </c>
      <c r="AB70" s="79">
        <f>IF(AB$3="","",IF(COUNTIF(設定!$W$6:$W$40,DATE(設定!$C$2,設定!$D$2,24))&gt;0,"假",IF(AB$4="日","休",SUMPRODUCT(($D$5:$D$64="寶貝牙")*(COUNTIF(設定!$B$6:$B$14,AB$5:AB$64)&gt;0)))))</f>
        <v/>
      </c>
      <c r="AC70" s="79">
        <f>IF(AC$3="","",IF(COUNTIF(設定!$W$6:$W$40,DATE(設定!$C$2,設定!$D$2,25))&gt;0,"假",IF(AC$4="日","休",SUMPRODUCT(($D$5:$D$64="寶貝牙")*(COUNTIF(設定!$B$6:$B$14,AC$5:AC$64)&gt;0)))))</f>
        <v/>
      </c>
      <c r="AD70" s="79">
        <f>IF(AD$3="","",IF(COUNTIF(設定!$W$6:$W$40,DATE(設定!$C$2,設定!$D$2,26))&gt;0,"假",IF(AD$4="日","休",SUMPRODUCT(($D$5:$D$64="寶貝牙")*(COUNTIF(設定!$B$6:$B$14,AD$5:AD$64)&gt;0)))))</f>
        <v/>
      </c>
      <c r="AE70" s="79">
        <f>IF(AE$3="","",IF(COUNTIF(設定!$W$6:$W$40,DATE(設定!$C$2,設定!$D$2,27))&gt;0,"假",IF(AE$4="日","休",SUMPRODUCT(($D$5:$D$64="寶貝牙")*(COUNTIF(設定!$B$6:$B$14,AE$5:AE$64)&gt;0)))))</f>
        <v/>
      </c>
      <c r="AF70" s="79">
        <f>IF(AF$3="","",IF(COUNTIF(設定!$W$6:$W$40,DATE(設定!$C$2,設定!$D$2,28))&gt;0,"假",IF(AF$4="日","休",SUMPRODUCT(($D$5:$D$64="寶貝牙")*(COUNTIF(設定!$B$6:$B$14,AF$5:AF$64)&gt;0)))))</f>
        <v/>
      </c>
      <c r="AG70" s="79">
        <f>IF(AG$3="","",IF(COUNTIF(設定!$W$6:$W$40,DATE(設定!$C$2,設定!$D$2,29))&gt;0,"假",IF(AG$4="日","休",SUMPRODUCT(($D$5:$D$64="寶貝牙")*(COUNTIF(設定!$B$6:$B$14,AG$5:AG$64)&gt;0)))))</f>
        <v/>
      </c>
      <c r="AH70" s="79">
        <f>IF(AH$3="","",IF(COUNTIF(設定!$W$6:$W$40,DATE(設定!$C$2,設定!$D$2,30))&gt;0,"假",IF(AH$4="日","休",SUMPRODUCT(($D$5:$D$64="寶貝牙")*(COUNTIF(設定!$B$6:$B$14,AH$5:AH$64)&gt;0)))))</f>
        <v/>
      </c>
      <c r="AI70" s="79">
        <f>IF(AI$3="","",IF(COUNTIF(設定!$W$6:$W$40,DATE(設定!$C$2,設定!$D$2,31))&gt;0,"假",IF(AI$4="日","休",SUMPRODUCT(($D$5:$D$64="寶貝牙")*(COUNTIF(設定!$B$6:$B$14,AI$5:AI$64)&gt;0)))))</f>
        <v/>
      </c>
    </row>
    <row r="72">
      <c r="A72" s="6" t="inlineStr">
        <is>
          <t>※ 門檻:有看診的日子每間院所至少 2 位在班,低於門檻自動變紅。國定假日顯示「假」、週日顯示「休」,都不示警。門檻要調請改這幾列的條件式格式。</t>
        </is>
      </c>
    </row>
  </sheetData>
  <mergeCells count="11">
    <mergeCell ref="A70:D70"/>
    <mergeCell ref="A67:D67"/>
    <mergeCell ref="A69:D69"/>
    <mergeCell ref="C3:C4"/>
    <mergeCell ref="B3:B4"/>
    <mergeCell ref="A3:A4"/>
    <mergeCell ref="A1:AI1"/>
    <mergeCell ref="D3:D4"/>
    <mergeCell ref="A65:D65"/>
    <mergeCell ref="A68:D68"/>
    <mergeCell ref="A66:D66"/>
  </mergeCells>
  <conditionalFormatting sqref="E5:AI64">
    <cfRule type="expression" priority="1" dxfId="9" stopIfTrue="1">
      <formula>AND(E$3&lt;&gt;"",$A5&lt;&gt;"",E5="")</formula>
    </cfRule>
    <cfRule type="expression" priority="2" dxfId="10" stopIfTrue="1">
      <formula>E5="支"</formula>
    </cfRule>
    <cfRule type="expression" priority="3" dxfId="5" stopIfTrue="1">
      <formula>COUNTIF(設定!$B$15:$B$21,E5)&gt;0</formula>
    </cfRule>
    <cfRule type="expression" priority="4" dxfId="6">
      <formula>OR(E$4="六",E$4="日")</formula>
    </cfRule>
  </conditionalFormatting>
  <conditionalFormatting sqref="E3:AI4">
    <cfRule type="expression" priority="5" dxfId="6">
      <formula>OR(E$4="六",E$4="日")</formula>
    </cfRule>
  </conditionalFormatting>
  <conditionalFormatting sqref="E66:AI66">
    <cfRule type="expression" priority="6" dxfId="8">
      <formula>AND(E$3&lt;&gt;"",ISNUMBER(E66),E66&gt;0,E66&lt;2)</formula>
    </cfRule>
  </conditionalFormatting>
  <conditionalFormatting sqref="E67:AI67">
    <cfRule type="expression" priority="7" dxfId="8">
      <formula>AND(E$3&lt;&gt;"",ISNUMBER(E67),E67&gt;0,E67&lt;2)</formula>
    </cfRule>
  </conditionalFormatting>
  <conditionalFormatting sqref="E68:AI68">
    <cfRule type="expression" priority="8" dxfId="8">
      <formula>AND(E$3&lt;&gt;"",ISNUMBER(E68),E68&gt;0,E68&lt;2)</formula>
    </cfRule>
  </conditionalFormatting>
  <conditionalFormatting sqref="E69:AI69">
    <cfRule type="expression" priority="9" dxfId="8">
      <formula>AND(E$3&lt;&gt;"",ISNUMBER(E69),E69&gt;0,E69&lt;2)</formula>
    </cfRule>
  </conditionalFormatting>
  <conditionalFormatting sqref="E70:AI70">
    <cfRule type="expression" priority="10" dxfId="8">
      <formula>AND(E$3&lt;&gt;"",ISNUMBER(E70),E70&gt;0,E70&lt;2)</formula>
    </cfRule>
  </conditionalFormatting>
  <dataValidations count="2">
    <dataValidation sqref="E5:AI64" showDropDown="0" showInputMessage="0" showErrorMessage="1" allowBlank="1" errorTitle="班別代碼無效" error="請從下拉選單選擇「設定」分頁定義的班別代碼。" type="list">
      <formula1>設定!$B$6:$B$21</formula1>
    </dataValidation>
    <dataValidation sqref="A5:A64" showDropDown="0" showInputMessage="0" showErrorMessage="1" allowBlank="1" errorTitle="不在助理名冊中" error="這個編號不在助理/醫護長名冊裡。確定要用請按「是」。" type="list" errorStyle="warning">
      <formula1>設定!$S$6:$S$65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6" customWidth="1" min="5" max="5"/>
    <col width="16" customWidth="1" min="6" max="6"/>
    <col width="2" customWidth="1" min="7" max="7"/>
    <col width="76" customWidth="1" min="8" max="8"/>
  </cols>
  <sheetData>
    <row r="1">
      <c r="A1" s="78" t="inlineStr">
        <is>
          <t>打卡匯入(把打卡機匯出的資料貼在下面四欄)　　⚠ 助理與醫護長名單尚未匯入,本分頁目前是空的</t>
        </is>
      </c>
      <c r="H1" s="80" t="inlineStr">
        <is>
          <t>貼上規則:一天一列。日期要是真正的日期格式、時間要是真正的時間格式,不能是文字。E、F 欄是公式,不要覆蓋。</t>
        </is>
      </c>
    </row>
    <row r="2" ht="24" customHeight="1">
      <c r="A2" s="10" t="inlineStr">
        <is>
          <t>員工編號</t>
        </is>
      </c>
      <c r="B2" s="10" t="inlineStr">
        <is>
          <t>日期</t>
        </is>
      </c>
      <c r="C2" s="10" t="inlineStr">
        <is>
          <t>上班時間</t>
        </is>
      </c>
      <c r="D2" s="10" t="inlineStr">
        <is>
          <t>下班時間</t>
        </is>
      </c>
      <c r="E2" s="10" t="inlineStr">
        <is>
          <t>對照鍵(自動)</t>
        </is>
      </c>
      <c r="F2" s="10" t="inlineStr">
        <is>
          <t>檢核(自動)</t>
        </is>
      </c>
    </row>
    <row r="3">
      <c r="A3" s="20" t="n"/>
      <c r="B3" s="18" t="n"/>
      <c r="C3" s="81" t="n"/>
      <c r="D3" s="81" t="n"/>
      <c r="E3" s="16">
        <f>IF($A3="","",$A3&amp;"|"&amp;DAY($B3))</f>
        <v/>
      </c>
      <c r="F3" s="16">
        <f>IF($A3="","",IF(COUNTIF(設定!$B$62:$B$201,$A3)=0,"⚠ 查無員編",IF(COUNTIF($E$3:$E$2002,$E3)&gt;1,"⚠ 重複打卡","OK")))</f>
        <v/>
      </c>
    </row>
    <row r="4">
      <c r="A4" s="20" t="n"/>
      <c r="B4" s="18" t="n"/>
      <c r="C4" s="81" t="n"/>
      <c r="D4" s="81" t="n"/>
      <c r="E4" s="16">
        <f>IF($A4="","",$A4&amp;"|"&amp;DAY($B4))</f>
        <v/>
      </c>
      <c r="F4" s="16">
        <f>IF($A4="","",IF(COUNTIF(設定!$B$62:$B$201,$A4)=0,"⚠ 查無員編",IF(COUNTIF($E$3:$E$2002,$E4)&gt;1,"⚠ 重複打卡","OK")))</f>
        <v/>
      </c>
    </row>
    <row r="5">
      <c r="A5" s="20" t="n"/>
      <c r="B5" s="18" t="n"/>
      <c r="C5" s="81" t="n"/>
      <c r="D5" s="81" t="n"/>
      <c r="E5" s="16">
        <f>IF($A5="","",$A5&amp;"|"&amp;DAY($B5))</f>
        <v/>
      </c>
      <c r="F5" s="16">
        <f>IF($A5="","",IF(COUNTIF(設定!$B$62:$B$201,$A5)=0,"⚠ 查無員編",IF(COUNTIF($E$3:$E$2002,$E5)&gt;1,"⚠ 重複打卡","OK")))</f>
        <v/>
      </c>
    </row>
    <row r="6">
      <c r="A6" s="20" t="n"/>
      <c r="B6" s="18" t="n"/>
      <c r="C6" s="81" t="n"/>
      <c r="D6" s="81" t="n"/>
      <c r="E6" s="16">
        <f>IF($A6="","",$A6&amp;"|"&amp;DAY($B6))</f>
        <v/>
      </c>
      <c r="F6" s="16">
        <f>IF($A6="","",IF(COUNTIF(設定!$B$62:$B$201,$A6)=0,"⚠ 查無員編",IF(COUNTIF($E$3:$E$2002,$E6)&gt;1,"⚠ 重複打卡","OK")))</f>
        <v/>
      </c>
    </row>
    <row r="7">
      <c r="A7" s="20" t="n"/>
      <c r="B7" s="18" t="n"/>
      <c r="C7" s="81" t="n"/>
      <c r="D7" s="81" t="n"/>
      <c r="E7" s="16">
        <f>IF($A7="","",$A7&amp;"|"&amp;DAY($B7))</f>
        <v/>
      </c>
      <c r="F7" s="16">
        <f>IF($A7="","",IF(COUNTIF(設定!$B$62:$B$201,$A7)=0,"⚠ 查無員編",IF(COUNTIF($E$3:$E$2002,$E7)&gt;1,"⚠ 重複打卡","OK")))</f>
        <v/>
      </c>
    </row>
    <row r="8">
      <c r="A8" s="20" t="n"/>
      <c r="B8" s="18" t="n"/>
      <c r="C8" s="81" t="n"/>
      <c r="D8" s="81" t="n"/>
      <c r="E8" s="16">
        <f>IF($A8="","",$A8&amp;"|"&amp;DAY($B8))</f>
        <v/>
      </c>
      <c r="F8" s="16">
        <f>IF($A8="","",IF(COUNTIF(設定!$B$62:$B$201,$A8)=0,"⚠ 查無員編",IF(COUNTIF($E$3:$E$2002,$E8)&gt;1,"⚠ 重複打卡","OK")))</f>
        <v/>
      </c>
    </row>
    <row r="9">
      <c r="A9" s="20" t="n"/>
      <c r="B9" s="18" t="n"/>
      <c r="C9" s="81" t="n"/>
      <c r="D9" s="81" t="n"/>
      <c r="E9" s="16">
        <f>IF($A9="","",$A9&amp;"|"&amp;DAY($B9))</f>
        <v/>
      </c>
      <c r="F9" s="16">
        <f>IF($A9="","",IF(COUNTIF(設定!$B$62:$B$201,$A9)=0,"⚠ 查無員編",IF(COUNTIF($E$3:$E$2002,$E9)&gt;1,"⚠ 重複打卡","OK")))</f>
        <v/>
      </c>
    </row>
    <row r="10">
      <c r="A10" s="20" t="n"/>
      <c r="B10" s="18" t="n"/>
      <c r="C10" s="81" t="n"/>
      <c r="D10" s="81" t="n"/>
      <c r="E10" s="16">
        <f>IF($A10="","",$A10&amp;"|"&amp;DAY($B10))</f>
        <v/>
      </c>
      <c r="F10" s="16">
        <f>IF($A10="","",IF(COUNTIF(設定!$B$62:$B$201,$A10)=0,"⚠ 查無員編",IF(COUNTIF($E$3:$E$2002,$E10)&gt;1,"⚠ 重複打卡","OK")))</f>
        <v/>
      </c>
    </row>
    <row r="11">
      <c r="A11" s="20" t="n"/>
      <c r="B11" s="18" t="n"/>
      <c r="C11" s="81" t="n"/>
      <c r="D11" s="81" t="n"/>
      <c r="E11" s="16">
        <f>IF($A11="","",$A11&amp;"|"&amp;DAY($B11))</f>
        <v/>
      </c>
      <c r="F11" s="16">
        <f>IF($A11="","",IF(COUNTIF(設定!$B$62:$B$201,$A11)=0,"⚠ 查無員編",IF(COUNTIF($E$3:$E$2002,$E11)&gt;1,"⚠ 重複打卡","OK")))</f>
        <v/>
      </c>
    </row>
    <row r="12">
      <c r="A12" s="20" t="n"/>
      <c r="B12" s="18" t="n"/>
      <c r="C12" s="81" t="n"/>
      <c r="D12" s="81" t="n"/>
      <c r="E12" s="16">
        <f>IF($A12="","",$A12&amp;"|"&amp;DAY($B12))</f>
        <v/>
      </c>
      <c r="F12" s="16">
        <f>IF($A12="","",IF(COUNTIF(設定!$B$62:$B$201,$A12)=0,"⚠ 查無員編",IF(COUNTIF($E$3:$E$2002,$E12)&gt;1,"⚠ 重複打卡","OK")))</f>
        <v/>
      </c>
    </row>
    <row r="13">
      <c r="A13" s="20" t="n"/>
      <c r="B13" s="18" t="n"/>
      <c r="C13" s="81" t="n"/>
      <c r="D13" s="81" t="n"/>
      <c r="E13" s="16">
        <f>IF($A13="","",$A13&amp;"|"&amp;DAY($B13))</f>
        <v/>
      </c>
      <c r="F13" s="16">
        <f>IF($A13="","",IF(COUNTIF(設定!$B$62:$B$201,$A13)=0,"⚠ 查無員編",IF(COUNTIF($E$3:$E$2002,$E13)&gt;1,"⚠ 重複打卡","OK")))</f>
        <v/>
      </c>
    </row>
    <row r="14">
      <c r="A14" s="20" t="n"/>
      <c r="B14" s="18" t="n"/>
      <c r="C14" s="81" t="n"/>
      <c r="D14" s="81" t="n"/>
      <c r="E14" s="16">
        <f>IF($A14="","",$A14&amp;"|"&amp;DAY($B14))</f>
        <v/>
      </c>
      <c r="F14" s="16">
        <f>IF($A14="","",IF(COUNTIF(設定!$B$62:$B$201,$A14)=0,"⚠ 查無員編",IF(COUNTIF($E$3:$E$2002,$E14)&gt;1,"⚠ 重複打卡","OK")))</f>
        <v/>
      </c>
    </row>
    <row r="15">
      <c r="A15" s="20" t="n"/>
      <c r="B15" s="18" t="n"/>
      <c r="C15" s="81" t="n"/>
      <c r="D15" s="81" t="n"/>
      <c r="E15" s="16">
        <f>IF($A15="","",$A15&amp;"|"&amp;DAY($B15))</f>
        <v/>
      </c>
      <c r="F15" s="16">
        <f>IF($A15="","",IF(COUNTIF(設定!$B$62:$B$201,$A15)=0,"⚠ 查無員編",IF(COUNTIF($E$3:$E$2002,$E15)&gt;1,"⚠ 重複打卡","OK")))</f>
        <v/>
      </c>
    </row>
    <row r="16">
      <c r="A16" s="20" t="n"/>
      <c r="B16" s="18" t="n"/>
      <c r="C16" s="81" t="n"/>
      <c r="D16" s="81" t="n"/>
      <c r="E16" s="16">
        <f>IF($A16="","",$A16&amp;"|"&amp;DAY($B16))</f>
        <v/>
      </c>
      <c r="F16" s="16">
        <f>IF($A16="","",IF(COUNTIF(設定!$B$62:$B$201,$A16)=0,"⚠ 查無員編",IF(COUNTIF($E$3:$E$2002,$E16)&gt;1,"⚠ 重複打卡","OK")))</f>
        <v/>
      </c>
    </row>
    <row r="17">
      <c r="A17" s="20" t="n"/>
      <c r="B17" s="18" t="n"/>
      <c r="C17" s="81" t="n"/>
      <c r="D17" s="81" t="n"/>
      <c r="E17" s="16">
        <f>IF($A17="","",$A17&amp;"|"&amp;DAY($B17))</f>
        <v/>
      </c>
      <c r="F17" s="16">
        <f>IF($A17="","",IF(COUNTIF(設定!$B$62:$B$201,$A17)=0,"⚠ 查無員編",IF(COUNTIF($E$3:$E$2002,$E17)&gt;1,"⚠ 重複打卡","OK")))</f>
        <v/>
      </c>
    </row>
    <row r="18">
      <c r="A18" s="20" t="n"/>
      <c r="B18" s="18" t="n"/>
      <c r="C18" s="81" t="n"/>
      <c r="D18" s="81" t="n"/>
      <c r="E18" s="16">
        <f>IF($A18="","",$A18&amp;"|"&amp;DAY($B18))</f>
        <v/>
      </c>
      <c r="F18" s="16">
        <f>IF($A18="","",IF(COUNTIF(設定!$B$62:$B$201,$A18)=0,"⚠ 查無員編",IF(COUNTIF($E$3:$E$2002,$E18)&gt;1,"⚠ 重複打卡","OK")))</f>
        <v/>
      </c>
    </row>
    <row r="19">
      <c r="A19" s="20" t="n"/>
      <c r="B19" s="18" t="n"/>
      <c r="C19" s="81" t="n"/>
      <c r="D19" s="81" t="n"/>
      <c r="E19" s="16">
        <f>IF($A19="","",$A19&amp;"|"&amp;DAY($B19))</f>
        <v/>
      </c>
      <c r="F19" s="16">
        <f>IF($A19="","",IF(COUNTIF(設定!$B$62:$B$201,$A19)=0,"⚠ 查無員編",IF(COUNTIF($E$3:$E$2002,$E19)&gt;1,"⚠ 重複打卡","OK")))</f>
        <v/>
      </c>
    </row>
    <row r="20">
      <c r="A20" s="20" t="n"/>
      <c r="B20" s="18" t="n"/>
      <c r="C20" s="81" t="n"/>
      <c r="D20" s="81" t="n"/>
      <c r="E20" s="16">
        <f>IF($A20="","",$A20&amp;"|"&amp;DAY($B20))</f>
        <v/>
      </c>
      <c r="F20" s="16">
        <f>IF($A20="","",IF(COUNTIF(設定!$B$62:$B$201,$A20)=0,"⚠ 查無員編",IF(COUNTIF($E$3:$E$2002,$E20)&gt;1,"⚠ 重複打卡","OK")))</f>
        <v/>
      </c>
    </row>
    <row r="21">
      <c r="A21" s="20" t="n"/>
      <c r="B21" s="18" t="n"/>
      <c r="C21" s="81" t="n"/>
      <c r="D21" s="81" t="n"/>
      <c r="E21" s="16">
        <f>IF($A21="","",$A21&amp;"|"&amp;DAY($B21))</f>
        <v/>
      </c>
      <c r="F21" s="16">
        <f>IF($A21="","",IF(COUNTIF(設定!$B$62:$B$201,$A21)=0,"⚠ 查無員編",IF(COUNTIF($E$3:$E$2002,$E21)&gt;1,"⚠ 重複打卡","OK")))</f>
        <v/>
      </c>
    </row>
    <row r="22">
      <c r="A22" s="20" t="n"/>
      <c r="B22" s="18" t="n"/>
      <c r="C22" s="81" t="n"/>
      <c r="D22" s="81" t="n"/>
      <c r="E22" s="16">
        <f>IF($A22="","",$A22&amp;"|"&amp;DAY($B22))</f>
        <v/>
      </c>
      <c r="F22" s="16">
        <f>IF($A22="","",IF(COUNTIF(設定!$B$62:$B$201,$A22)=0,"⚠ 查無員編",IF(COUNTIF($E$3:$E$2002,$E22)&gt;1,"⚠ 重複打卡","OK")))</f>
        <v/>
      </c>
    </row>
    <row r="23">
      <c r="A23" s="20" t="n"/>
      <c r="B23" s="18" t="n"/>
      <c r="C23" s="81" t="n"/>
      <c r="D23" s="81" t="n"/>
      <c r="E23" s="16">
        <f>IF($A23="","",$A23&amp;"|"&amp;DAY($B23))</f>
        <v/>
      </c>
      <c r="F23" s="16">
        <f>IF($A23="","",IF(COUNTIF(設定!$B$62:$B$201,$A23)=0,"⚠ 查無員編",IF(COUNTIF($E$3:$E$2002,$E23)&gt;1,"⚠ 重複打卡","OK")))</f>
        <v/>
      </c>
    </row>
    <row r="24">
      <c r="A24" s="20" t="n"/>
      <c r="B24" s="18" t="n"/>
      <c r="C24" s="81" t="n"/>
      <c r="D24" s="81" t="n"/>
      <c r="E24" s="16">
        <f>IF($A24="","",$A24&amp;"|"&amp;DAY($B24))</f>
        <v/>
      </c>
      <c r="F24" s="16">
        <f>IF($A24="","",IF(COUNTIF(設定!$B$62:$B$201,$A24)=0,"⚠ 查無員編",IF(COUNTIF($E$3:$E$2002,$E24)&gt;1,"⚠ 重複打卡","OK")))</f>
        <v/>
      </c>
    </row>
    <row r="25">
      <c r="A25" s="20" t="n"/>
      <c r="B25" s="18" t="n"/>
      <c r="C25" s="81" t="n"/>
      <c r="D25" s="81" t="n"/>
      <c r="E25" s="16">
        <f>IF($A25="","",$A25&amp;"|"&amp;DAY($B25))</f>
        <v/>
      </c>
      <c r="F25" s="16">
        <f>IF($A25="","",IF(COUNTIF(設定!$B$62:$B$201,$A25)=0,"⚠ 查無員編",IF(COUNTIF($E$3:$E$2002,$E25)&gt;1,"⚠ 重複打卡","OK")))</f>
        <v/>
      </c>
    </row>
    <row r="26">
      <c r="A26" s="20" t="n"/>
      <c r="B26" s="18" t="n"/>
      <c r="C26" s="81" t="n"/>
      <c r="D26" s="81" t="n"/>
      <c r="E26" s="16">
        <f>IF($A26="","",$A26&amp;"|"&amp;DAY($B26))</f>
        <v/>
      </c>
      <c r="F26" s="16">
        <f>IF($A26="","",IF(COUNTIF(設定!$B$62:$B$201,$A26)=0,"⚠ 查無員編",IF(COUNTIF($E$3:$E$2002,$E26)&gt;1,"⚠ 重複打卡","OK")))</f>
        <v/>
      </c>
    </row>
    <row r="27">
      <c r="A27" s="20" t="n"/>
      <c r="B27" s="18" t="n"/>
      <c r="C27" s="81" t="n"/>
      <c r="D27" s="81" t="n"/>
      <c r="E27" s="16">
        <f>IF($A27="","",$A27&amp;"|"&amp;DAY($B27))</f>
        <v/>
      </c>
      <c r="F27" s="16">
        <f>IF($A27="","",IF(COUNTIF(設定!$B$62:$B$201,$A27)=0,"⚠ 查無員編",IF(COUNTIF($E$3:$E$2002,$E27)&gt;1,"⚠ 重複打卡","OK")))</f>
        <v/>
      </c>
    </row>
    <row r="28">
      <c r="A28" s="20" t="n"/>
      <c r="B28" s="18" t="n"/>
      <c r="C28" s="81" t="n"/>
      <c r="D28" s="81" t="n"/>
      <c r="E28" s="16">
        <f>IF($A28="","",$A28&amp;"|"&amp;DAY($B28))</f>
        <v/>
      </c>
      <c r="F28" s="16">
        <f>IF($A28="","",IF(COUNTIF(設定!$B$62:$B$201,$A28)=0,"⚠ 查無員編",IF(COUNTIF($E$3:$E$2002,$E28)&gt;1,"⚠ 重複打卡","OK")))</f>
        <v/>
      </c>
    </row>
    <row r="29">
      <c r="A29" s="20" t="n"/>
      <c r="B29" s="18" t="n"/>
      <c r="C29" s="81" t="n"/>
      <c r="D29" s="81" t="n"/>
      <c r="E29" s="16">
        <f>IF($A29="","",$A29&amp;"|"&amp;DAY($B29))</f>
        <v/>
      </c>
      <c r="F29" s="16">
        <f>IF($A29="","",IF(COUNTIF(設定!$B$62:$B$201,$A29)=0,"⚠ 查無員編",IF(COUNTIF($E$3:$E$2002,$E29)&gt;1,"⚠ 重複打卡","OK")))</f>
        <v/>
      </c>
    </row>
    <row r="30">
      <c r="A30" s="20" t="n"/>
      <c r="B30" s="18" t="n"/>
      <c r="C30" s="81" t="n"/>
      <c r="D30" s="81" t="n"/>
      <c r="E30" s="16">
        <f>IF($A30="","",$A30&amp;"|"&amp;DAY($B30))</f>
        <v/>
      </c>
      <c r="F30" s="16">
        <f>IF($A30="","",IF(COUNTIF(設定!$B$62:$B$201,$A30)=0,"⚠ 查無員編",IF(COUNTIF($E$3:$E$2002,$E30)&gt;1,"⚠ 重複打卡","OK")))</f>
        <v/>
      </c>
    </row>
    <row r="31">
      <c r="A31" s="20" t="n"/>
      <c r="B31" s="18" t="n"/>
      <c r="C31" s="81" t="n"/>
      <c r="D31" s="81" t="n"/>
      <c r="E31" s="16">
        <f>IF($A31="","",$A31&amp;"|"&amp;DAY($B31))</f>
        <v/>
      </c>
      <c r="F31" s="16">
        <f>IF($A31="","",IF(COUNTIF(設定!$B$62:$B$201,$A31)=0,"⚠ 查無員編",IF(COUNTIF($E$3:$E$2002,$E31)&gt;1,"⚠ 重複打卡","OK")))</f>
        <v/>
      </c>
    </row>
    <row r="32">
      <c r="A32" s="20" t="n"/>
      <c r="B32" s="18" t="n"/>
      <c r="C32" s="81" t="n"/>
      <c r="D32" s="81" t="n"/>
      <c r="E32" s="16">
        <f>IF($A32="","",$A32&amp;"|"&amp;DAY($B32))</f>
        <v/>
      </c>
      <c r="F32" s="16">
        <f>IF($A32="","",IF(COUNTIF(設定!$B$62:$B$201,$A32)=0,"⚠ 查無員編",IF(COUNTIF($E$3:$E$2002,$E32)&gt;1,"⚠ 重複打卡","OK")))</f>
        <v/>
      </c>
    </row>
    <row r="33">
      <c r="A33" s="20" t="n"/>
      <c r="B33" s="18" t="n"/>
      <c r="C33" s="81" t="n"/>
      <c r="D33" s="81" t="n"/>
      <c r="E33" s="16">
        <f>IF($A33="","",$A33&amp;"|"&amp;DAY($B33))</f>
        <v/>
      </c>
      <c r="F33" s="16">
        <f>IF($A33="","",IF(COUNTIF(設定!$B$62:$B$201,$A33)=0,"⚠ 查無員編",IF(COUNTIF($E$3:$E$2002,$E33)&gt;1,"⚠ 重複打卡","OK")))</f>
        <v/>
      </c>
    </row>
    <row r="34">
      <c r="A34" s="20" t="n"/>
      <c r="B34" s="18" t="n"/>
      <c r="C34" s="81" t="n"/>
      <c r="D34" s="81" t="n"/>
      <c r="E34" s="16">
        <f>IF($A34="","",$A34&amp;"|"&amp;DAY($B34))</f>
        <v/>
      </c>
      <c r="F34" s="16">
        <f>IF($A34="","",IF(COUNTIF(設定!$B$62:$B$201,$A34)=0,"⚠ 查無員編",IF(COUNTIF($E$3:$E$2002,$E34)&gt;1,"⚠ 重複打卡","OK")))</f>
        <v/>
      </c>
    </row>
    <row r="35">
      <c r="A35" s="20" t="n"/>
      <c r="B35" s="18" t="n"/>
      <c r="C35" s="81" t="n"/>
      <c r="D35" s="81" t="n"/>
      <c r="E35" s="16">
        <f>IF($A35="","",$A35&amp;"|"&amp;DAY($B35))</f>
        <v/>
      </c>
      <c r="F35" s="16">
        <f>IF($A35="","",IF(COUNTIF(設定!$B$62:$B$201,$A35)=0,"⚠ 查無員編",IF(COUNTIF($E$3:$E$2002,$E35)&gt;1,"⚠ 重複打卡","OK")))</f>
        <v/>
      </c>
    </row>
    <row r="36">
      <c r="A36" s="20" t="n"/>
      <c r="B36" s="18" t="n"/>
      <c r="C36" s="81" t="n"/>
      <c r="D36" s="81" t="n"/>
      <c r="E36" s="16">
        <f>IF($A36="","",$A36&amp;"|"&amp;DAY($B36))</f>
        <v/>
      </c>
      <c r="F36" s="16">
        <f>IF($A36="","",IF(COUNTIF(設定!$B$62:$B$201,$A36)=0,"⚠ 查無員編",IF(COUNTIF($E$3:$E$2002,$E36)&gt;1,"⚠ 重複打卡","OK")))</f>
        <v/>
      </c>
    </row>
    <row r="37">
      <c r="A37" s="20" t="n"/>
      <c r="B37" s="18" t="n"/>
      <c r="C37" s="81" t="n"/>
      <c r="D37" s="81" t="n"/>
      <c r="E37" s="16">
        <f>IF($A37="","",$A37&amp;"|"&amp;DAY($B37))</f>
        <v/>
      </c>
      <c r="F37" s="16">
        <f>IF($A37="","",IF(COUNTIF(設定!$B$62:$B$201,$A37)=0,"⚠ 查無員編",IF(COUNTIF($E$3:$E$2002,$E37)&gt;1,"⚠ 重複打卡","OK")))</f>
        <v/>
      </c>
    </row>
    <row r="38">
      <c r="A38" s="20" t="n"/>
      <c r="B38" s="18" t="n"/>
      <c r="C38" s="81" t="n"/>
      <c r="D38" s="81" t="n"/>
      <c r="E38" s="16">
        <f>IF($A38="","",$A38&amp;"|"&amp;DAY($B38))</f>
        <v/>
      </c>
      <c r="F38" s="16">
        <f>IF($A38="","",IF(COUNTIF(設定!$B$62:$B$201,$A38)=0,"⚠ 查無員編",IF(COUNTIF($E$3:$E$2002,$E38)&gt;1,"⚠ 重複打卡","OK")))</f>
        <v/>
      </c>
    </row>
    <row r="39">
      <c r="A39" s="20" t="n"/>
      <c r="B39" s="18" t="n"/>
      <c r="C39" s="81" t="n"/>
      <c r="D39" s="81" t="n"/>
      <c r="E39" s="16">
        <f>IF($A39="","",$A39&amp;"|"&amp;DAY($B39))</f>
        <v/>
      </c>
      <c r="F39" s="16">
        <f>IF($A39="","",IF(COUNTIF(設定!$B$62:$B$201,$A39)=0,"⚠ 查無員編",IF(COUNTIF($E$3:$E$2002,$E39)&gt;1,"⚠ 重複打卡","OK")))</f>
        <v/>
      </c>
    </row>
    <row r="40">
      <c r="A40" s="20" t="n"/>
      <c r="B40" s="18" t="n"/>
      <c r="C40" s="81" t="n"/>
      <c r="D40" s="81" t="n"/>
      <c r="E40" s="16">
        <f>IF($A40="","",$A40&amp;"|"&amp;DAY($B40))</f>
        <v/>
      </c>
      <c r="F40" s="16">
        <f>IF($A40="","",IF(COUNTIF(設定!$B$62:$B$201,$A40)=0,"⚠ 查無員編",IF(COUNTIF($E$3:$E$2002,$E40)&gt;1,"⚠ 重複打卡","OK")))</f>
        <v/>
      </c>
    </row>
    <row r="41">
      <c r="A41" s="20" t="n"/>
      <c r="B41" s="18" t="n"/>
      <c r="C41" s="81" t="n"/>
      <c r="D41" s="81" t="n"/>
      <c r="E41" s="16">
        <f>IF($A41="","",$A41&amp;"|"&amp;DAY($B41))</f>
        <v/>
      </c>
      <c r="F41" s="16">
        <f>IF($A41="","",IF(COUNTIF(設定!$B$62:$B$201,$A41)=0,"⚠ 查無員編",IF(COUNTIF($E$3:$E$2002,$E41)&gt;1,"⚠ 重複打卡","OK")))</f>
        <v/>
      </c>
    </row>
    <row r="42">
      <c r="A42" s="20" t="n"/>
      <c r="B42" s="18" t="n"/>
      <c r="C42" s="81" t="n"/>
      <c r="D42" s="81" t="n"/>
      <c r="E42" s="16">
        <f>IF($A42="","",$A42&amp;"|"&amp;DAY($B42))</f>
        <v/>
      </c>
      <c r="F42" s="16">
        <f>IF($A42="","",IF(COUNTIF(設定!$B$62:$B$201,$A42)=0,"⚠ 查無員編",IF(COUNTIF($E$3:$E$2002,$E42)&gt;1,"⚠ 重複打卡","OK")))</f>
        <v/>
      </c>
    </row>
    <row r="43">
      <c r="A43" s="20" t="n"/>
      <c r="B43" s="18" t="n"/>
      <c r="C43" s="81" t="n"/>
      <c r="D43" s="81" t="n"/>
      <c r="E43" s="16">
        <f>IF($A43="","",$A43&amp;"|"&amp;DAY($B43))</f>
        <v/>
      </c>
      <c r="F43" s="16">
        <f>IF($A43="","",IF(COUNTIF(設定!$B$62:$B$201,$A43)=0,"⚠ 查無員編",IF(COUNTIF($E$3:$E$2002,$E43)&gt;1,"⚠ 重複打卡","OK")))</f>
        <v/>
      </c>
    </row>
    <row r="44">
      <c r="A44" s="20" t="n"/>
      <c r="B44" s="18" t="n"/>
      <c r="C44" s="81" t="n"/>
      <c r="D44" s="81" t="n"/>
      <c r="E44" s="16">
        <f>IF($A44="","",$A44&amp;"|"&amp;DAY($B44))</f>
        <v/>
      </c>
      <c r="F44" s="16">
        <f>IF($A44="","",IF(COUNTIF(設定!$B$62:$B$201,$A44)=0,"⚠ 查無員編",IF(COUNTIF($E$3:$E$2002,$E44)&gt;1,"⚠ 重複打卡","OK")))</f>
        <v/>
      </c>
    </row>
    <row r="45">
      <c r="A45" s="20" t="n"/>
      <c r="B45" s="18" t="n"/>
      <c r="C45" s="81" t="n"/>
      <c r="D45" s="81" t="n"/>
      <c r="E45" s="16">
        <f>IF($A45="","",$A45&amp;"|"&amp;DAY($B45))</f>
        <v/>
      </c>
      <c r="F45" s="16">
        <f>IF($A45="","",IF(COUNTIF(設定!$B$62:$B$201,$A45)=0,"⚠ 查無員編",IF(COUNTIF($E$3:$E$2002,$E45)&gt;1,"⚠ 重複打卡","OK")))</f>
        <v/>
      </c>
    </row>
    <row r="46">
      <c r="A46" s="20" t="n"/>
      <c r="B46" s="18" t="n"/>
      <c r="C46" s="81" t="n"/>
      <c r="D46" s="81" t="n"/>
      <c r="E46" s="16">
        <f>IF($A46="","",$A46&amp;"|"&amp;DAY($B46))</f>
        <v/>
      </c>
      <c r="F46" s="16">
        <f>IF($A46="","",IF(COUNTIF(設定!$B$62:$B$201,$A46)=0,"⚠ 查無員編",IF(COUNTIF($E$3:$E$2002,$E46)&gt;1,"⚠ 重複打卡","OK")))</f>
        <v/>
      </c>
    </row>
    <row r="47">
      <c r="A47" s="20" t="n"/>
      <c r="B47" s="18" t="n"/>
      <c r="C47" s="81" t="n"/>
      <c r="D47" s="81" t="n"/>
      <c r="E47" s="16">
        <f>IF($A47="","",$A47&amp;"|"&amp;DAY($B47))</f>
        <v/>
      </c>
      <c r="F47" s="16">
        <f>IF($A47="","",IF(COUNTIF(設定!$B$62:$B$201,$A47)=0,"⚠ 查無員編",IF(COUNTIF($E$3:$E$2002,$E47)&gt;1,"⚠ 重複打卡","OK")))</f>
        <v/>
      </c>
    </row>
    <row r="48">
      <c r="A48" s="20" t="n"/>
      <c r="B48" s="18" t="n"/>
      <c r="C48" s="81" t="n"/>
      <c r="D48" s="81" t="n"/>
      <c r="E48" s="16">
        <f>IF($A48="","",$A48&amp;"|"&amp;DAY($B48))</f>
        <v/>
      </c>
      <c r="F48" s="16">
        <f>IF($A48="","",IF(COUNTIF(設定!$B$62:$B$201,$A48)=0,"⚠ 查無員編",IF(COUNTIF($E$3:$E$2002,$E48)&gt;1,"⚠ 重複打卡","OK")))</f>
        <v/>
      </c>
    </row>
    <row r="49">
      <c r="A49" s="20" t="n"/>
      <c r="B49" s="18" t="n"/>
      <c r="C49" s="81" t="n"/>
      <c r="D49" s="81" t="n"/>
      <c r="E49" s="16">
        <f>IF($A49="","",$A49&amp;"|"&amp;DAY($B49))</f>
        <v/>
      </c>
      <c r="F49" s="16">
        <f>IF($A49="","",IF(COUNTIF(設定!$B$62:$B$201,$A49)=0,"⚠ 查無員編",IF(COUNTIF($E$3:$E$2002,$E49)&gt;1,"⚠ 重複打卡","OK")))</f>
        <v/>
      </c>
    </row>
    <row r="50">
      <c r="A50" s="20" t="n"/>
      <c r="B50" s="18" t="n"/>
      <c r="C50" s="81" t="n"/>
      <c r="D50" s="81" t="n"/>
      <c r="E50" s="16">
        <f>IF($A50="","",$A50&amp;"|"&amp;DAY($B50))</f>
        <v/>
      </c>
      <c r="F50" s="16">
        <f>IF($A50="","",IF(COUNTIF(設定!$B$62:$B$201,$A50)=0,"⚠ 查無員編",IF(COUNTIF($E$3:$E$2002,$E50)&gt;1,"⚠ 重複打卡","OK")))</f>
        <v/>
      </c>
    </row>
    <row r="51">
      <c r="A51" s="20" t="n"/>
      <c r="B51" s="18" t="n"/>
      <c r="C51" s="81" t="n"/>
      <c r="D51" s="81" t="n"/>
      <c r="E51" s="16">
        <f>IF($A51="","",$A51&amp;"|"&amp;DAY($B51))</f>
        <v/>
      </c>
      <c r="F51" s="16">
        <f>IF($A51="","",IF(COUNTIF(設定!$B$62:$B$201,$A51)=0,"⚠ 查無員編",IF(COUNTIF($E$3:$E$2002,$E51)&gt;1,"⚠ 重複打卡","OK")))</f>
        <v/>
      </c>
    </row>
    <row r="52">
      <c r="A52" s="20" t="n"/>
      <c r="B52" s="18" t="n"/>
      <c r="C52" s="81" t="n"/>
      <c r="D52" s="81" t="n"/>
      <c r="E52" s="16">
        <f>IF($A52="","",$A52&amp;"|"&amp;DAY($B52))</f>
        <v/>
      </c>
      <c r="F52" s="16">
        <f>IF($A52="","",IF(COUNTIF(設定!$B$62:$B$201,$A52)=0,"⚠ 查無員編",IF(COUNTIF($E$3:$E$2002,$E52)&gt;1,"⚠ 重複打卡","OK")))</f>
        <v/>
      </c>
    </row>
    <row r="53">
      <c r="A53" s="20" t="n"/>
      <c r="B53" s="18" t="n"/>
      <c r="C53" s="81" t="n"/>
      <c r="D53" s="81" t="n"/>
      <c r="E53" s="16">
        <f>IF($A53="","",$A53&amp;"|"&amp;DAY($B53))</f>
        <v/>
      </c>
      <c r="F53" s="16">
        <f>IF($A53="","",IF(COUNTIF(設定!$B$62:$B$201,$A53)=0,"⚠ 查無員編",IF(COUNTIF($E$3:$E$2002,$E53)&gt;1,"⚠ 重複打卡","OK")))</f>
        <v/>
      </c>
    </row>
    <row r="54">
      <c r="A54" s="20" t="n"/>
      <c r="B54" s="18" t="n"/>
      <c r="C54" s="81" t="n"/>
      <c r="D54" s="81" t="n"/>
      <c r="E54" s="16">
        <f>IF($A54="","",$A54&amp;"|"&amp;DAY($B54))</f>
        <v/>
      </c>
      <c r="F54" s="16">
        <f>IF($A54="","",IF(COUNTIF(設定!$B$62:$B$201,$A54)=0,"⚠ 查無員編",IF(COUNTIF($E$3:$E$2002,$E54)&gt;1,"⚠ 重複打卡","OK")))</f>
        <v/>
      </c>
    </row>
    <row r="55">
      <c r="A55" s="20" t="n"/>
      <c r="B55" s="18" t="n"/>
      <c r="C55" s="81" t="n"/>
      <c r="D55" s="81" t="n"/>
      <c r="E55" s="16">
        <f>IF($A55="","",$A55&amp;"|"&amp;DAY($B55))</f>
        <v/>
      </c>
      <c r="F55" s="16">
        <f>IF($A55="","",IF(COUNTIF(設定!$B$62:$B$201,$A55)=0,"⚠ 查無員編",IF(COUNTIF($E$3:$E$2002,$E55)&gt;1,"⚠ 重複打卡","OK")))</f>
        <v/>
      </c>
    </row>
    <row r="56">
      <c r="A56" s="20" t="n"/>
      <c r="B56" s="18" t="n"/>
      <c r="C56" s="81" t="n"/>
      <c r="D56" s="81" t="n"/>
      <c r="E56" s="16">
        <f>IF($A56="","",$A56&amp;"|"&amp;DAY($B56))</f>
        <v/>
      </c>
      <c r="F56" s="16">
        <f>IF($A56="","",IF(COUNTIF(設定!$B$62:$B$201,$A56)=0,"⚠ 查無員編",IF(COUNTIF($E$3:$E$2002,$E56)&gt;1,"⚠ 重複打卡","OK")))</f>
        <v/>
      </c>
    </row>
    <row r="57">
      <c r="A57" s="20" t="n"/>
      <c r="B57" s="18" t="n"/>
      <c r="C57" s="81" t="n"/>
      <c r="D57" s="81" t="n"/>
      <c r="E57" s="16">
        <f>IF($A57="","",$A57&amp;"|"&amp;DAY($B57))</f>
        <v/>
      </c>
      <c r="F57" s="16">
        <f>IF($A57="","",IF(COUNTIF(設定!$B$62:$B$201,$A57)=0,"⚠ 查無員編",IF(COUNTIF($E$3:$E$2002,$E57)&gt;1,"⚠ 重複打卡","OK")))</f>
        <v/>
      </c>
    </row>
    <row r="58">
      <c r="A58" s="20" t="n"/>
      <c r="B58" s="18" t="n"/>
      <c r="C58" s="81" t="n"/>
      <c r="D58" s="81" t="n"/>
      <c r="E58" s="16">
        <f>IF($A58="","",$A58&amp;"|"&amp;DAY($B58))</f>
        <v/>
      </c>
      <c r="F58" s="16">
        <f>IF($A58="","",IF(COUNTIF(設定!$B$62:$B$201,$A58)=0,"⚠ 查無員編",IF(COUNTIF($E$3:$E$2002,$E58)&gt;1,"⚠ 重複打卡","OK")))</f>
        <v/>
      </c>
    </row>
    <row r="59">
      <c r="A59" s="20" t="n"/>
      <c r="B59" s="18" t="n"/>
      <c r="C59" s="81" t="n"/>
      <c r="D59" s="81" t="n"/>
      <c r="E59" s="16">
        <f>IF($A59="","",$A59&amp;"|"&amp;DAY($B59))</f>
        <v/>
      </c>
      <c r="F59" s="16">
        <f>IF($A59="","",IF(COUNTIF(設定!$B$62:$B$201,$A59)=0,"⚠ 查無員編",IF(COUNTIF($E$3:$E$2002,$E59)&gt;1,"⚠ 重複打卡","OK")))</f>
        <v/>
      </c>
    </row>
    <row r="60">
      <c r="A60" s="20" t="n"/>
      <c r="B60" s="18" t="n"/>
      <c r="C60" s="81" t="n"/>
      <c r="D60" s="81" t="n"/>
      <c r="E60" s="16">
        <f>IF($A60="","",$A60&amp;"|"&amp;DAY($B60))</f>
        <v/>
      </c>
      <c r="F60" s="16">
        <f>IF($A60="","",IF(COUNTIF(設定!$B$62:$B$201,$A60)=0,"⚠ 查無員編",IF(COUNTIF($E$3:$E$2002,$E60)&gt;1,"⚠ 重複打卡","OK")))</f>
        <v/>
      </c>
    </row>
    <row r="61">
      <c r="A61" s="20" t="n"/>
      <c r="B61" s="18" t="n"/>
      <c r="C61" s="81" t="n"/>
      <c r="D61" s="81" t="n"/>
      <c r="E61" s="16">
        <f>IF($A61="","",$A61&amp;"|"&amp;DAY($B61))</f>
        <v/>
      </c>
      <c r="F61" s="16">
        <f>IF($A61="","",IF(COUNTIF(設定!$B$62:$B$201,$A61)=0,"⚠ 查無員編",IF(COUNTIF($E$3:$E$2002,$E61)&gt;1,"⚠ 重複打卡","OK")))</f>
        <v/>
      </c>
    </row>
    <row r="62">
      <c r="A62" s="20" t="n"/>
      <c r="B62" s="18" t="n"/>
      <c r="C62" s="81" t="n"/>
      <c r="D62" s="81" t="n"/>
      <c r="E62" s="16">
        <f>IF($A62="","",$A62&amp;"|"&amp;DAY($B62))</f>
        <v/>
      </c>
      <c r="F62" s="16">
        <f>IF($A62="","",IF(COUNTIF(設定!$B$62:$B$201,$A62)=0,"⚠ 查無員編",IF(COUNTIF($E$3:$E$2002,$E62)&gt;1,"⚠ 重複打卡","OK")))</f>
        <v/>
      </c>
    </row>
    <row r="63">
      <c r="A63" s="20" t="n"/>
      <c r="B63" s="18" t="n"/>
      <c r="C63" s="81" t="n"/>
      <c r="D63" s="81" t="n"/>
      <c r="E63" s="16">
        <f>IF($A63="","",$A63&amp;"|"&amp;DAY($B63))</f>
        <v/>
      </c>
      <c r="F63" s="16">
        <f>IF($A63="","",IF(COUNTIF(設定!$B$62:$B$201,$A63)=0,"⚠ 查無員編",IF(COUNTIF($E$3:$E$2002,$E63)&gt;1,"⚠ 重複打卡","OK")))</f>
        <v/>
      </c>
    </row>
    <row r="64">
      <c r="A64" s="20" t="n"/>
      <c r="B64" s="18" t="n"/>
      <c r="C64" s="81" t="n"/>
      <c r="D64" s="81" t="n"/>
      <c r="E64" s="16">
        <f>IF($A64="","",$A64&amp;"|"&amp;DAY($B64))</f>
        <v/>
      </c>
      <c r="F64" s="16">
        <f>IF($A64="","",IF(COUNTIF(設定!$B$62:$B$201,$A64)=0,"⚠ 查無員編",IF(COUNTIF($E$3:$E$2002,$E64)&gt;1,"⚠ 重複打卡","OK")))</f>
        <v/>
      </c>
    </row>
    <row r="65">
      <c r="A65" s="20" t="n"/>
      <c r="B65" s="18" t="n"/>
      <c r="C65" s="81" t="n"/>
      <c r="D65" s="81" t="n"/>
      <c r="E65" s="16">
        <f>IF($A65="","",$A65&amp;"|"&amp;DAY($B65))</f>
        <v/>
      </c>
      <c r="F65" s="16">
        <f>IF($A65="","",IF(COUNTIF(設定!$B$62:$B$201,$A65)=0,"⚠ 查無員編",IF(COUNTIF($E$3:$E$2002,$E65)&gt;1,"⚠ 重複打卡","OK")))</f>
        <v/>
      </c>
    </row>
    <row r="66">
      <c r="A66" s="20" t="n"/>
      <c r="B66" s="18" t="n"/>
      <c r="C66" s="81" t="n"/>
      <c r="D66" s="81" t="n"/>
      <c r="E66" s="16">
        <f>IF($A66="","",$A66&amp;"|"&amp;DAY($B66))</f>
        <v/>
      </c>
      <c r="F66" s="16">
        <f>IF($A66="","",IF(COUNTIF(設定!$B$62:$B$201,$A66)=0,"⚠ 查無員編",IF(COUNTIF($E$3:$E$2002,$E66)&gt;1,"⚠ 重複打卡","OK")))</f>
        <v/>
      </c>
    </row>
    <row r="67">
      <c r="A67" s="20" t="n"/>
      <c r="B67" s="18" t="n"/>
      <c r="C67" s="81" t="n"/>
      <c r="D67" s="81" t="n"/>
      <c r="E67" s="16">
        <f>IF($A67="","",$A67&amp;"|"&amp;DAY($B67))</f>
        <v/>
      </c>
      <c r="F67" s="16">
        <f>IF($A67="","",IF(COUNTIF(設定!$B$62:$B$201,$A67)=0,"⚠ 查無員編",IF(COUNTIF($E$3:$E$2002,$E67)&gt;1,"⚠ 重複打卡","OK")))</f>
        <v/>
      </c>
    </row>
    <row r="68">
      <c r="A68" s="20" t="n"/>
      <c r="B68" s="18" t="n"/>
      <c r="C68" s="81" t="n"/>
      <c r="D68" s="81" t="n"/>
      <c r="E68" s="16">
        <f>IF($A68="","",$A68&amp;"|"&amp;DAY($B68))</f>
        <v/>
      </c>
      <c r="F68" s="16">
        <f>IF($A68="","",IF(COUNTIF(設定!$B$62:$B$201,$A68)=0,"⚠ 查無員編",IF(COUNTIF($E$3:$E$2002,$E68)&gt;1,"⚠ 重複打卡","OK")))</f>
        <v/>
      </c>
    </row>
    <row r="69">
      <c r="A69" s="20" t="n"/>
      <c r="B69" s="18" t="n"/>
      <c r="C69" s="81" t="n"/>
      <c r="D69" s="81" t="n"/>
      <c r="E69" s="16">
        <f>IF($A69="","",$A69&amp;"|"&amp;DAY($B69))</f>
        <v/>
      </c>
      <c r="F69" s="16">
        <f>IF($A69="","",IF(COUNTIF(設定!$B$62:$B$201,$A69)=0,"⚠ 查無員編",IF(COUNTIF($E$3:$E$2002,$E69)&gt;1,"⚠ 重複打卡","OK")))</f>
        <v/>
      </c>
    </row>
    <row r="70">
      <c r="A70" s="20" t="n"/>
      <c r="B70" s="18" t="n"/>
      <c r="C70" s="81" t="n"/>
      <c r="D70" s="81" t="n"/>
      <c r="E70" s="16">
        <f>IF($A70="","",$A70&amp;"|"&amp;DAY($B70))</f>
        <v/>
      </c>
      <c r="F70" s="16">
        <f>IF($A70="","",IF(COUNTIF(設定!$B$62:$B$201,$A70)=0,"⚠ 查無員編",IF(COUNTIF($E$3:$E$2002,$E70)&gt;1,"⚠ 重複打卡","OK")))</f>
        <v/>
      </c>
    </row>
    <row r="71">
      <c r="A71" s="20" t="n"/>
      <c r="B71" s="18" t="n"/>
      <c r="C71" s="81" t="n"/>
      <c r="D71" s="81" t="n"/>
      <c r="E71" s="16">
        <f>IF($A71="","",$A71&amp;"|"&amp;DAY($B71))</f>
        <v/>
      </c>
      <c r="F71" s="16">
        <f>IF($A71="","",IF(COUNTIF(設定!$B$62:$B$201,$A71)=0,"⚠ 查無員編",IF(COUNTIF($E$3:$E$2002,$E71)&gt;1,"⚠ 重複打卡","OK")))</f>
        <v/>
      </c>
    </row>
    <row r="72">
      <c r="A72" s="20" t="n"/>
      <c r="B72" s="18" t="n"/>
      <c r="C72" s="81" t="n"/>
      <c r="D72" s="81" t="n"/>
      <c r="E72" s="16">
        <f>IF($A72="","",$A72&amp;"|"&amp;DAY($B72))</f>
        <v/>
      </c>
      <c r="F72" s="16">
        <f>IF($A72="","",IF(COUNTIF(設定!$B$62:$B$201,$A72)=0,"⚠ 查無員編",IF(COUNTIF($E$3:$E$2002,$E72)&gt;1,"⚠ 重複打卡","OK")))</f>
        <v/>
      </c>
    </row>
    <row r="73">
      <c r="A73" s="20" t="n"/>
      <c r="B73" s="18" t="n"/>
      <c r="C73" s="81" t="n"/>
      <c r="D73" s="81" t="n"/>
      <c r="E73" s="16">
        <f>IF($A73="","",$A73&amp;"|"&amp;DAY($B73))</f>
        <v/>
      </c>
      <c r="F73" s="16">
        <f>IF($A73="","",IF(COUNTIF(設定!$B$62:$B$201,$A73)=0,"⚠ 查無員編",IF(COUNTIF($E$3:$E$2002,$E73)&gt;1,"⚠ 重複打卡","OK")))</f>
        <v/>
      </c>
    </row>
    <row r="74">
      <c r="A74" s="20" t="n"/>
      <c r="B74" s="18" t="n"/>
      <c r="C74" s="81" t="n"/>
      <c r="D74" s="81" t="n"/>
      <c r="E74" s="16">
        <f>IF($A74="","",$A74&amp;"|"&amp;DAY($B74))</f>
        <v/>
      </c>
      <c r="F74" s="16">
        <f>IF($A74="","",IF(COUNTIF(設定!$B$62:$B$201,$A74)=0,"⚠ 查無員編",IF(COUNTIF($E$3:$E$2002,$E74)&gt;1,"⚠ 重複打卡","OK")))</f>
        <v/>
      </c>
    </row>
    <row r="75">
      <c r="A75" s="20" t="n"/>
      <c r="B75" s="18" t="n"/>
      <c r="C75" s="81" t="n"/>
      <c r="D75" s="81" t="n"/>
      <c r="E75" s="16">
        <f>IF($A75="","",$A75&amp;"|"&amp;DAY($B75))</f>
        <v/>
      </c>
      <c r="F75" s="16">
        <f>IF($A75="","",IF(COUNTIF(設定!$B$62:$B$201,$A75)=0,"⚠ 查無員編",IF(COUNTIF($E$3:$E$2002,$E75)&gt;1,"⚠ 重複打卡","OK")))</f>
        <v/>
      </c>
    </row>
    <row r="76">
      <c r="A76" s="20" t="n"/>
      <c r="B76" s="18" t="n"/>
      <c r="C76" s="81" t="n"/>
      <c r="D76" s="81" t="n"/>
      <c r="E76" s="16">
        <f>IF($A76="","",$A76&amp;"|"&amp;DAY($B76))</f>
        <v/>
      </c>
      <c r="F76" s="16">
        <f>IF($A76="","",IF(COUNTIF(設定!$B$62:$B$201,$A76)=0,"⚠ 查無員編",IF(COUNTIF($E$3:$E$2002,$E76)&gt;1,"⚠ 重複打卡","OK")))</f>
        <v/>
      </c>
    </row>
    <row r="77">
      <c r="A77" s="20" t="n"/>
      <c r="B77" s="18" t="n"/>
      <c r="C77" s="81" t="n"/>
      <c r="D77" s="81" t="n"/>
      <c r="E77" s="16">
        <f>IF($A77="","",$A77&amp;"|"&amp;DAY($B77))</f>
        <v/>
      </c>
      <c r="F77" s="16">
        <f>IF($A77="","",IF(COUNTIF(設定!$B$62:$B$201,$A77)=0,"⚠ 查無員編",IF(COUNTIF($E$3:$E$2002,$E77)&gt;1,"⚠ 重複打卡","OK")))</f>
        <v/>
      </c>
    </row>
    <row r="78">
      <c r="A78" s="20" t="n"/>
      <c r="B78" s="18" t="n"/>
      <c r="C78" s="81" t="n"/>
      <c r="D78" s="81" t="n"/>
      <c r="E78" s="16">
        <f>IF($A78="","",$A78&amp;"|"&amp;DAY($B78))</f>
        <v/>
      </c>
      <c r="F78" s="16">
        <f>IF($A78="","",IF(COUNTIF(設定!$B$62:$B$201,$A78)=0,"⚠ 查無員編",IF(COUNTIF($E$3:$E$2002,$E78)&gt;1,"⚠ 重複打卡","OK")))</f>
        <v/>
      </c>
    </row>
    <row r="79">
      <c r="A79" s="20" t="n"/>
      <c r="B79" s="18" t="n"/>
      <c r="C79" s="81" t="n"/>
      <c r="D79" s="81" t="n"/>
      <c r="E79" s="16">
        <f>IF($A79="","",$A79&amp;"|"&amp;DAY($B79))</f>
        <v/>
      </c>
      <c r="F79" s="16">
        <f>IF($A79="","",IF(COUNTIF(設定!$B$62:$B$201,$A79)=0,"⚠ 查無員編",IF(COUNTIF($E$3:$E$2002,$E79)&gt;1,"⚠ 重複打卡","OK")))</f>
        <v/>
      </c>
    </row>
    <row r="80">
      <c r="A80" s="20" t="n"/>
      <c r="B80" s="18" t="n"/>
      <c r="C80" s="81" t="n"/>
      <c r="D80" s="81" t="n"/>
      <c r="E80" s="16">
        <f>IF($A80="","",$A80&amp;"|"&amp;DAY($B80))</f>
        <v/>
      </c>
      <c r="F80" s="16">
        <f>IF($A80="","",IF(COUNTIF(設定!$B$62:$B$201,$A80)=0,"⚠ 查無員編",IF(COUNTIF($E$3:$E$2002,$E80)&gt;1,"⚠ 重複打卡","OK")))</f>
        <v/>
      </c>
    </row>
    <row r="81">
      <c r="A81" s="20" t="n"/>
      <c r="B81" s="18" t="n"/>
      <c r="C81" s="81" t="n"/>
      <c r="D81" s="81" t="n"/>
      <c r="E81" s="16">
        <f>IF($A81="","",$A81&amp;"|"&amp;DAY($B81))</f>
        <v/>
      </c>
      <c r="F81" s="16">
        <f>IF($A81="","",IF(COUNTIF(設定!$B$62:$B$201,$A81)=0,"⚠ 查無員編",IF(COUNTIF($E$3:$E$2002,$E81)&gt;1,"⚠ 重複打卡","OK")))</f>
        <v/>
      </c>
    </row>
    <row r="82">
      <c r="A82" s="20" t="n"/>
      <c r="B82" s="18" t="n"/>
      <c r="C82" s="81" t="n"/>
      <c r="D82" s="81" t="n"/>
      <c r="E82" s="16">
        <f>IF($A82="","",$A82&amp;"|"&amp;DAY($B82))</f>
        <v/>
      </c>
      <c r="F82" s="16">
        <f>IF($A82="","",IF(COUNTIF(設定!$B$62:$B$201,$A82)=0,"⚠ 查無員編",IF(COUNTIF($E$3:$E$2002,$E82)&gt;1,"⚠ 重複打卡","OK")))</f>
        <v/>
      </c>
    </row>
    <row r="83">
      <c r="A83" s="20" t="n"/>
      <c r="B83" s="18" t="n"/>
      <c r="C83" s="81" t="n"/>
      <c r="D83" s="81" t="n"/>
      <c r="E83" s="16">
        <f>IF($A83="","",$A83&amp;"|"&amp;DAY($B83))</f>
        <v/>
      </c>
      <c r="F83" s="16">
        <f>IF($A83="","",IF(COUNTIF(設定!$B$62:$B$201,$A83)=0,"⚠ 查無員編",IF(COUNTIF($E$3:$E$2002,$E83)&gt;1,"⚠ 重複打卡","OK")))</f>
        <v/>
      </c>
    </row>
    <row r="84">
      <c r="A84" s="20" t="n"/>
      <c r="B84" s="18" t="n"/>
      <c r="C84" s="81" t="n"/>
      <c r="D84" s="81" t="n"/>
      <c r="E84" s="16">
        <f>IF($A84="","",$A84&amp;"|"&amp;DAY($B84))</f>
        <v/>
      </c>
      <c r="F84" s="16">
        <f>IF($A84="","",IF(COUNTIF(設定!$B$62:$B$201,$A84)=0,"⚠ 查無員編",IF(COUNTIF($E$3:$E$2002,$E84)&gt;1,"⚠ 重複打卡","OK")))</f>
        <v/>
      </c>
    </row>
    <row r="85">
      <c r="A85" s="20" t="n"/>
      <c r="B85" s="18" t="n"/>
      <c r="C85" s="81" t="n"/>
      <c r="D85" s="81" t="n"/>
      <c r="E85" s="16">
        <f>IF($A85="","",$A85&amp;"|"&amp;DAY($B85))</f>
        <v/>
      </c>
      <c r="F85" s="16">
        <f>IF($A85="","",IF(COUNTIF(設定!$B$62:$B$201,$A85)=0,"⚠ 查無員編",IF(COUNTIF($E$3:$E$2002,$E85)&gt;1,"⚠ 重複打卡","OK")))</f>
        <v/>
      </c>
    </row>
    <row r="86">
      <c r="A86" s="20" t="n"/>
      <c r="B86" s="18" t="n"/>
      <c r="C86" s="81" t="n"/>
      <c r="D86" s="81" t="n"/>
      <c r="E86" s="16">
        <f>IF($A86="","",$A86&amp;"|"&amp;DAY($B86))</f>
        <v/>
      </c>
      <c r="F86" s="16">
        <f>IF($A86="","",IF(COUNTIF(設定!$B$62:$B$201,$A86)=0,"⚠ 查無員編",IF(COUNTIF($E$3:$E$2002,$E86)&gt;1,"⚠ 重複打卡","OK")))</f>
        <v/>
      </c>
    </row>
    <row r="87">
      <c r="A87" s="20" t="n"/>
      <c r="B87" s="18" t="n"/>
      <c r="C87" s="81" t="n"/>
      <c r="D87" s="81" t="n"/>
      <c r="E87" s="16">
        <f>IF($A87="","",$A87&amp;"|"&amp;DAY($B87))</f>
        <v/>
      </c>
      <c r="F87" s="16">
        <f>IF($A87="","",IF(COUNTIF(設定!$B$62:$B$201,$A87)=0,"⚠ 查無員編",IF(COUNTIF($E$3:$E$2002,$E87)&gt;1,"⚠ 重複打卡","OK")))</f>
        <v/>
      </c>
    </row>
    <row r="88">
      <c r="A88" s="20" t="n"/>
      <c r="B88" s="18" t="n"/>
      <c r="C88" s="81" t="n"/>
      <c r="D88" s="81" t="n"/>
      <c r="E88" s="16">
        <f>IF($A88="","",$A88&amp;"|"&amp;DAY($B88))</f>
        <v/>
      </c>
      <c r="F88" s="16">
        <f>IF($A88="","",IF(COUNTIF(設定!$B$62:$B$201,$A88)=0,"⚠ 查無員編",IF(COUNTIF($E$3:$E$2002,$E88)&gt;1,"⚠ 重複打卡","OK")))</f>
        <v/>
      </c>
    </row>
    <row r="89">
      <c r="A89" s="20" t="n"/>
      <c r="B89" s="18" t="n"/>
      <c r="C89" s="81" t="n"/>
      <c r="D89" s="81" t="n"/>
      <c r="E89" s="16">
        <f>IF($A89="","",$A89&amp;"|"&amp;DAY($B89))</f>
        <v/>
      </c>
      <c r="F89" s="16">
        <f>IF($A89="","",IF(COUNTIF(設定!$B$62:$B$201,$A89)=0,"⚠ 查無員編",IF(COUNTIF($E$3:$E$2002,$E89)&gt;1,"⚠ 重複打卡","OK")))</f>
        <v/>
      </c>
    </row>
    <row r="90">
      <c r="A90" s="20" t="n"/>
      <c r="B90" s="18" t="n"/>
      <c r="C90" s="81" t="n"/>
      <c r="D90" s="81" t="n"/>
      <c r="E90" s="16">
        <f>IF($A90="","",$A90&amp;"|"&amp;DAY($B90))</f>
        <v/>
      </c>
      <c r="F90" s="16">
        <f>IF($A90="","",IF(COUNTIF(設定!$B$62:$B$201,$A90)=0,"⚠ 查無員編",IF(COUNTIF($E$3:$E$2002,$E90)&gt;1,"⚠ 重複打卡","OK")))</f>
        <v/>
      </c>
    </row>
    <row r="91">
      <c r="A91" s="20" t="n"/>
      <c r="B91" s="18" t="n"/>
      <c r="C91" s="81" t="n"/>
      <c r="D91" s="81" t="n"/>
      <c r="E91" s="16">
        <f>IF($A91="","",$A91&amp;"|"&amp;DAY($B91))</f>
        <v/>
      </c>
      <c r="F91" s="16">
        <f>IF($A91="","",IF(COUNTIF(設定!$B$62:$B$201,$A91)=0,"⚠ 查無員編",IF(COUNTIF($E$3:$E$2002,$E91)&gt;1,"⚠ 重複打卡","OK")))</f>
        <v/>
      </c>
    </row>
    <row r="92">
      <c r="A92" s="20" t="n"/>
      <c r="B92" s="18" t="n"/>
      <c r="C92" s="81" t="n"/>
      <c r="D92" s="81" t="n"/>
      <c r="E92" s="16">
        <f>IF($A92="","",$A92&amp;"|"&amp;DAY($B92))</f>
        <v/>
      </c>
      <c r="F92" s="16">
        <f>IF($A92="","",IF(COUNTIF(設定!$B$62:$B$201,$A92)=0,"⚠ 查無員編",IF(COUNTIF($E$3:$E$2002,$E92)&gt;1,"⚠ 重複打卡","OK")))</f>
        <v/>
      </c>
    </row>
    <row r="93">
      <c r="A93" s="20" t="n"/>
      <c r="B93" s="18" t="n"/>
      <c r="C93" s="81" t="n"/>
      <c r="D93" s="81" t="n"/>
      <c r="E93" s="16">
        <f>IF($A93="","",$A93&amp;"|"&amp;DAY($B93))</f>
        <v/>
      </c>
      <c r="F93" s="16">
        <f>IF($A93="","",IF(COUNTIF(設定!$B$62:$B$201,$A93)=0,"⚠ 查無員編",IF(COUNTIF($E$3:$E$2002,$E93)&gt;1,"⚠ 重複打卡","OK")))</f>
        <v/>
      </c>
    </row>
    <row r="94">
      <c r="A94" s="20" t="n"/>
      <c r="B94" s="18" t="n"/>
      <c r="C94" s="81" t="n"/>
      <c r="D94" s="81" t="n"/>
      <c r="E94" s="16">
        <f>IF($A94="","",$A94&amp;"|"&amp;DAY($B94))</f>
        <v/>
      </c>
      <c r="F94" s="16">
        <f>IF($A94="","",IF(COUNTIF(設定!$B$62:$B$201,$A94)=0,"⚠ 查無員編",IF(COUNTIF($E$3:$E$2002,$E94)&gt;1,"⚠ 重複打卡","OK")))</f>
        <v/>
      </c>
    </row>
    <row r="95">
      <c r="A95" s="20" t="n"/>
      <c r="B95" s="18" t="n"/>
      <c r="C95" s="81" t="n"/>
      <c r="D95" s="81" t="n"/>
      <c r="E95" s="16">
        <f>IF($A95="","",$A95&amp;"|"&amp;DAY($B95))</f>
        <v/>
      </c>
      <c r="F95" s="16">
        <f>IF($A95="","",IF(COUNTIF(設定!$B$62:$B$201,$A95)=0,"⚠ 查無員編",IF(COUNTIF($E$3:$E$2002,$E95)&gt;1,"⚠ 重複打卡","OK")))</f>
        <v/>
      </c>
    </row>
    <row r="96">
      <c r="A96" s="20" t="n"/>
      <c r="B96" s="18" t="n"/>
      <c r="C96" s="81" t="n"/>
      <c r="D96" s="81" t="n"/>
      <c r="E96" s="16">
        <f>IF($A96="","",$A96&amp;"|"&amp;DAY($B96))</f>
        <v/>
      </c>
      <c r="F96" s="16">
        <f>IF($A96="","",IF(COUNTIF(設定!$B$62:$B$201,$A96)=0,"⚠ 查無員編",IF(COUNTIF($E$3:$E$2002,$E96)&gt;1,"⚠ 重複打卡","OK")))</f>
        <v/>
      </c>
    </row>
    <row r="97">
      <c r="A97" s="20" t="n"/>
      <c r="B97" s="18" t="n"/>
      <c r="C97" s="81" t="n"/>
      <c r="D97" s="81" t="n"/>
      <c r="E97" s="16">
        <f>IF($A97="","",$A97&amp;"|"&amp;DAY($B97))</f>
        <v/>
      </c>
      <c r="F97" s="16">
        <f>IF($A97="","",IF(COUNTIF(設定!$B$62:$B$201,$A97)=0,"⚠ 查無員編",IF(COUNTIF($E$3:$E$2002,$E97)&gt;1,"⚠ 重複打卡","OK")))</f>
        <v/>
      </c>
    </row>
    <row r="98">
      <c r="A98" s="20" t="n"/>
      <c r="B98" s="18" t="n"/>
      <c r="C98" s="81" t="n"/>
      <c r="D98" s="81" t="n"/>
      <c r="E98" s="16">
        <f>IF($A98="","",$A98&amp;"|"&amp;DAY($B98))</f>
        <v/>
      </c>
      <c r="F98" s="16">
        <f>IF($A98="","",IF(COUNTIF(設定!$B$62:$B$201,$A98)=0,"⚠ 查無員編",IF(COUNTIF($E$3:$E$2002,$E98)&gt;1,"⚠ 重複打卡","OK")))</f>
        <v/>
      </c>
    </row>
    <row r="99">
      <c r="A99" s="20" t="n"/>
      <c r="B99" s="18" t="n"/>
      <c r="C99" s="81" t="n"/>
      <c r="D99" s="81" t="n"/>
      <c r="E99" s="16">
        <f>IF($A99="","",$A99&amp;"|"&amp;DAY($B99))</f>
        <v/>
      </c>
      <c r="F99" s="16">
        <f>IF($A99="","",IF(COUNTIF(設定!$B$62:$B$201,$A99)=0,"⚠ 查無員編",IF(COUNTIF($E$3:$E$2002,$E99)&gt;1,"⚠ 重複打卡","OK")))</f>
        <v/>
      </c>
    </row>
    <row r="100">
      <c r="A100" s="20" t="n"/>
      <c r="B100" s="18" t="n"/>
      <c r="C100" s="81" t="n"/>
      <c r="D100" s="81" t="n"/>
      <c r="E100" s="16">
        <f>IF($A100="","",$A100&amp;"|"&amp;DAY($B100))</f>
        <v/>
      </c>
      <c r="F100" s="16">
        <f>IF($A100="","",IF(COUNTIF(設定!$B$62:$B$201,$A100)=0,"⚠ 查無員編",IF(COUNTIF($E$3:$E$2002,$E100)&gt;1,"⚠ 重複打卡","OK")))</f>
        <v/>
      </c>
    </row>
    <row r="101">
      <c r="A101" s="20" t="n"/>
      <c r="B101" s="18" t="n"/>
      <c r="C101" s="81" t="n"/>
      <c r="D101" s="81" t="n"/>
      <c r="E101" s="16">
        <f>IF($A101="","",$A101&amp;"|"&amp;DAY($B101))</f>
        <v/>
      </c>
      <c r="F101" s="16">
        <f>IF($A101="","",IF(COUNTIF(設定!$B$62:$B$201,$A101)=0,"⚠ 查無員編",IF(COUNTIF($E$3:$E$2002,$E101)&gt;1,"⚠ 重複打卡","OK")))</f>
        <v/>
      </c>
    </row>
    <row r="102">
      <c r="A102" s="20" t="n"/>
      <c r="B102" s="18" t="n"/>
      <c r="C102" s="81" t="n"/>
      <c r="D102" s="81" t="n"/>
      <c r="E102" s="16">
        <f>IF($A102="","",$A102&amp;"|"&amp;DAY($B102))</f>
        <v/>
      </c>
      <c r="F102" s="16">
        <f>IF($A102="","",IF(COUNTIF(設定!$B$62:$B$201,$A102)=0,"⚠ 查無員編",IF(COUNTIF($E$3:$E$2002,$E102)&gt;1,"⚠ 重複打卡","OK")))</f>
        <v/>
      </c>
    </row>
    <row r="103">
      <c r="A103" s="20" t="n"/>
      <c r="B103" s="18" t="n"/>
      <c r="C103" s="81" t="n"/>
      <c r="D103" s="81" t="n"/>
      <c r="E103" s="16">
        <f>IF($A103="","",$A103&amp;"|"&amp;DAY($B103))</f>
        <v/>
      </c>
      <c r="F103" s="16">
        <f>IF($A103="","",IF(COUNTIF(設定!$B$62:$B$201,$A103)=0,"⚠ 查無員編",IF(COUNTIF($E$3:$E$2002,$E103)&gt;1,"⚠ 重複打卡","OK")))</f>
        <v/>
      </c>
    </row>
    <row r="104">
      <c r="A104" s="20" t="n"/>
      <c r="B104" s="18" t="n"/>
      <c r="C104" s="81" t="n"/>
      <c r="D104" s="81" t="n"/>
      <c r="E104" s="16">
        <f>IF($A104="","",$A104&amp;"|"&amp;DAY($B104))</f>
        <v/>
      </c>
      <c r="F104" s="16">
        <f>IF($A104="","",IF(COUNTIF(設定!$B$62:$B$201,$A104)=0,"⚠ 查無員編",IF(COUNTIF($E$3:$E$2002,$E104)&gt;1,"⚠ 重複打卡","OK")))</f>
        <v/>
      </c>
    </row>
    <row r="105">
      <c r="A105" s="20" t="n"/>
      <c r="B105" s="18" t="n"/>
      <c r="C105" s="81" t="n"/>
      <c r="D105" s="81" t="n"/>
      <c r="E105" s="16">
        <f>IF($A105="","",$A105&amp;"|"&amp;DAY($B105))</f>
        <v/>
      </c>
      <c r="F105" s="16">
        <f>IF($A105="","",IF(COUNTIF(設定!$B$62:$B$201,$A105)=0,"⚠ 查無員編",IF(COUNTIF($E$3:$E$2002,$E105)&gt;1,"⚠ 重複打卡","OK")))</f>
        <v/>
      </c>
    </row>
    <row r="106">
      <c r="A106" s="20" t="n"/>
      <c r="B106" s="18" t="n"/>
      <c r="C106" s="81" t="n"/>
      <c r="D106" s="81" t="n"/>
      <c r="E106" s="16">
        <f>IF($A106="","",$A106&amp;"|"&amp;DAY($B106))</f>
        <v/>
      </c>
      <c r="F106" s="16">
        <f>IF($A106="","",IF(COUNTIF(設定!$B$62:$B$201,$A106)=0,"⚠ 查無員編",IF(COUNTIF($E$3:$E$2002,$E106)&gt;1,"⚠ 重複打卡","OK")))</f>
        <v/>
      </c>
    </row>
    <row r="107">
      <c r="A107" s="20" t="n"/>
      <c r="B107" s="18" t="n"/>
      <c r="C107" s="81" t="n"/>
      <c r="D107" s="81" t="n"/>
      <c r="E107" s="16">
        <f>IF($A107="","",$A107&amp;"|"&amp;DAY($B107))</f>
        <v/>
      </c>
      <c r="F107" s="16">
        <f>IF($A107="","",IF(COUNTIF(設定!$B$62:$B$201,$A107)=0,"⚠ 查無員編",IF(COUNTIF($E$3:$E$2002,$E107)&gt;1,"⚠ 重複打卡","OK")))</f>
        <v/>
      </c>
    </row>
    <row r="108">
      <c r="A108" s="20" t="n"/>
      <c r="B108" s="18" t="n"/>
      <c r="C108" s="81" t="n"/>
      <c r="D108" s="81" t="n"/>
      <c r="E108" s="16">
        <f>IF($A108="","",$A108&amp;"|"&amp;DAY($B108))</f>
        <v/>
      </c>
      <c r="F108" s="16">
        <f>IF($A108="","",IF(COUNTIF(設定!$B$62:$B$201,$A108)=0,"⚠ 查無員編",IF(COUNTIF($E$3:$E$2002,$E108)&gt;1,"⚠ 重複打卡","OK")))</f>
        <v/>
      </c>
    </row>
    <row r="109">
      <c r="A109" s="20" t="n"/>
      <c r="B109" s="18" t="n"/>
      <c r="C109" s="81" t="n"/>
      <c r="D109" s="81" t="n"/>
      <c r="E109" s="16">
        <f>IF($A109="","",$A109&amp;"|"&amp;DAY($B109))</f>
        <v/>
      </c>
      <c r="F109" s="16">
        <f>IF($A109="","",IF(COUNTIF(設定!$B$62:$B$201,$A109)=0,"⚠ 查無員編",IF(COUNTIF($E$3:$E$2002,$E109)&gt;1,"⚠ 重複打卡","OK")))</f>
        <v/>
      </c>
    </row>
    <row r="110">
      <c r="A110" s="20" t="n"/>
      <c r="B110" s="18" t="n"/>
      <c r="C110" s="81" t="n"/>
      <c r="D110" s="81" t="n"/>
      <c r="E110" s="16">
        <f>IF($A110="","",$A110&amp;"|"&amp;DAY($B110))</f>
        <v/>
      </c>
      <c r="F110" s="16">
        <f>IF($A110="","",IF(COUNTIF(設定!$B$62:$B$201,$A110)=0,"⚠ 查無員編",IF(COUNTIF($E$3:$E$2002,$E110)&gt;1,"⚠ 重複打卡","OK")))</f>
        <v/>
      </c>
    </row>
    <row r="111">
      <c r="A111" s="20" t="n"/>
      <c r="B111" s="18" t="n"/>
      <c r="C111" s="81" t="n"/>
      <c r="D111" s="81" t="n"/>
      <c r="E111" s="16">
        <f>IF($A111="","",$A111&amp;"|"&amp;DAY($B111))</f>
        <v/>
      </c>
      <c r="F111" s="16">
        <f>IF($A111="","",IF(COUNTIF(設定!$B$62:$B$201,$A111)=0,"⚠ 查無員編",IF(COUNTIF($E$3:$E$2002,$E111)&gt;1,"⚠ 重複打卡","OK")))</f>
        <v/>
      </c>
    </row>
    <row r="112">
      <c r="A112" s="20" t="n"/>
      <c r="B112" s="18" t="n"/>
      <c r="C112" s="81" t="n"/>
      <c r="D112" s="81" t="n"/>
      <c r="E112" s="16">
        <f>IF($A112="","",$A112&amp;"|"&amp;DAY($B112))</f>
        <v/>
      </c>
      <c r="F112" s="16">
        <f>IF($A112="","",IF(COUNTIF(設定!$B$62:$B$201,$A112)=0,"⚠ 查無員編",IF(COUNTIF($E$3:$E$2002,$E112)&gt;1,"⚠ 重複打卡","OK")))</f>
        <v/>
      </c>
    </row>
    <row r="113">
      <c r="A113" s="20" t="n"/>
      <c r="B113" s="18" t="n"/>
      <c r="C113" s="81" t="n"/>
      <c r="D113" s="81" t="n"/>
      <c r="E113" s="16">
        <f>IF($A113="","",$A113&amp;"|"&amp;DAY($B113))</f>
        <v/>
      </c>
      <c r="F113" s="16">
        <f>IF($A113="","",IF(COUNTIF(設定!$B$62:$B$201,$A113)=0,"⚠ 查無員編",IF(COUNTIF($E$3:$E$2002,$E113)&gt;1,"⚠ 重複打卡","OK")))</f>
        <v/>
      </c>
    </row>
    <row r="114">
      <c r="A114" s="20" t="n"/>
      <c r="B114" s="18" t="n"/>
      <c r="C114" s="81" t="n"/>
      <c r="D114" s="81" t="n"/>
      <c r="E114" s="16">
        <f>IF($A114="","",$A114&amp;"|"&amp;DAY($B114))</f>
        <v/>
      </c>
      <c r="F114" s="16">
        <f>IF($A114="","",IF(COUNTIF(設定!$B$62:$B$201,$A114)=0,"⚠ 查無員編",IF(COUNTIF($E$3:$E$2002,$E114)&gt;1,"⚠ 重複打卡","OK")))</f>
        <v/>
      </c>
    </row>
    <row r="115">
      <c r="A115" s="20" t="n"/>
      <c r="B115" s="18" t="n"/>
      <c r="C115" s="81" t="n"/>
      <c r="D115" s="81" t="n"/>
      <c r="E115" s="16">
        <f>IF($A115="","",$A115&amp;"|"&amp;DAY($B115))</f>
        <v/>
      </c>
      <c r="F115" s="16">
        <f>IF($A115="","",IF(COUNTIF(設定!$B$62:$B$201,$A115)=0,"⚠ 查無員編",IF(COUNTIF($E$3:$E$2002,$E115)&gt;1,"⚠ 重複打卡","OK")))</f>
        <v/>
      </c>
    </row>
    <row r="116">
      <c r="A116" s="20" t="n"/>
      <c r="B116" s="18" t="n"/>
      <c r="C116" s="81" t="n"/>
      <c r="D116" s="81" t="n"/>
      <c r="E116" s="16">
        <f>IF($A116="","",$A116&amp;"|"&amp;DAY($B116))</f>
        <v/>
      </c>
      <c r="F116" s="16">
        <f>IF($A116="","",IF(COUNTIF(設定!$B$62:$B$201,$A116)=0,"⚠ 查無員編",IF(COUNTIF($E$3:$E$2002,$E116)&gt;1,"⚠ 重複打卡","OK")))</f>
        <v/>
      </c>
    </row>
    <row r="117">
      <c r="A117" s="20" t="n"/>
      <c r="B117" s="18" t="n"/>
      <c r="C117" s="81" t="n"/>
      <c r="D117" s="81" t="n"/>
      <c r="E117" s="16">
        <f>IF($A117="","",$A117&amp;"|"&amp;DAY($B117))</f>
        <v/>
      </c>
      <c r="F117" s="16">
        <f>IF($A117="","",IF(COUNTIF(設定!$B$62:$B$201,$A117)=0,"⚠ 查無員編",IF(COUNTIF($E$3:$E$2002,$E117)&gt;1,"⚠ 重複打卡","OK")))</f>
        <v/>
      </c>
    </row>
    <row r="118">
      <c r="A118" s="20" t="n"/>
      <c r="B118" s="18" t="n"/>
      <c r="C118" s="81" t="n"/>
      <c r="D118" s="81" t="n"/>
      <c r="E118" s="16">
        <f>IF($A118="","",$A118&amp;"|"&amp;DAY($B118))</f>
        <v/>
      </c>
      <c r="F118" s="16">
        <f>IF($A118="","",IF(COUNTIF(設定!$B$62:$B$201,$A118)=0,"⚠ 查無員編",IF(COUNTIF($E$3:$E$2002,$E118)&gt;1,"⚠ 重複打卡","OK")))</f>
        <v/>
      </c>
    </row>
    <row r="119">
      <c r="A119" s="20" t="n"/>
      <c r="B119" s="18" t="n"/>
      <c r="C119" s="81" t="n"/>
      <c r="D119" s="81" t="n"/>
      <c r="E119" s="16">
        <f>IF($A119="","",$A119&amp;"|"&amp;DAY($B119))</f>
        <v/>
      </c>
      <c r="F119" s="16">
        <f>IF($A119="","",IF(COUNTIF(設定!$B$62:$B$201,$A119)=0,"⚠ 查無員編",IF(COUNTIF($E$3:$E$2002,$E119)&gt;1,"⚠ 重複打卡","OK")))</f>
        <v/>
      </c>
    </row>
    <row r="120">
      <c r="A120" s="20" t="n"/>
      <c r="B120" s="18" t="n"/>
      <c r="C120" s="81" t="n"/>
      <c r="D120" s="81" t="n"/>
      <c r="E120" s="16">
        <f>IF($A120="","",$A120&amp;"|"&amp;DAY($B120))</f>
        <v/>
      </c>
      <c r="F120" s="16">
        <f>IF($A120="","",IF(COUNTIF(設定!$B$62:$B$201,$A120)=0,"⚠ 查無員編",IF(COUNTIF($E$3:$E$2002,$E120)&gt;1,"⚠ 重複打卡","OK")))</f>
        <v/>
      </c>
    </row>
    <row r="121">
      <c r="A121" s="20" t="n"/>
      <c r="B121" s="18" t="n"/>
      <c r="C121" s="81" t="n"/>
      <c r="D121" s="81" t="n"/>
      <c r="E121" s="16">
        <f>IF($A121="","",$A121&amp;"|"&amp;DAY($B121))</f>
        <v/>
      </c>
      <c r="F121" s="16">
        <f>IF($A121="","",IF(COUNTIF(設定!$B$62:$B$201,$A121)=0,"⚠ 查無員編",IF(COUNTIF($E$3:$E$2002,$E121)&gt;1,"⚠ 重複打卡","OK")))</f>
        <v/>
      </c>
    </row>
    <row r="122">
      <c r="A122" s="20" t="n"/>
      <c r="B122" s="18" t="n"/>
      <c r="C122" s="81" t="n"/>
      <c r="D122" s="81" t="n"/>
      <c r="E122" s="16">
        <f>IF($A122="","",$A122&amp;"|"&amp;DAY($B122))</f>
        <v/>
      </c>
      <c r="F122" s="16">
        <f>IF($A122="","",IF(COUNTIF(設定!$B$62:$B$201,$A122)=0,"⚠ 查無員編",IF(COUNTIF($E$3:$E$2002,$E122)&gt;1,"⚠ 重複打卡","OK")))</f>
        <v/>
      </c>
    </row>
    <row r="123">
      <c r="A123" s="20" t="n"/>
      <c r="B123" s="18" t="n"/>
      <c r="C123" s="81" t="n"/>
      <c r="D123" s="81" t="n"/>
      <c r="E123" s="16">
        <f>IF($A123="","",$A123&amp;"|"&amp;DAY($B123))</f>
        <v/>
      </c>
      <c r="F123" s="16">
        <f>IF($A123="","",IF(COUNTIF(設定!$B$62:$B$201,$A123)=0,"⚠ 查無員編",IF(COUNTIF($E$3:$E$2002,$E123)&gt;1,"⚠ 重複打卡","OK")))</f>
        <v/>
      </c>
    </row>
    <row r="124">
      <c r="A124" s="20" t="n"/>
      <c r="B124" s="18" t="n"/>
      <c r="C124" s="81" t="n"/>
      <c r="D124" s="81" t="n"/>
      <c r="E124" s="16">
        <f>IF($A124="","",$A124&amp;"|"&amp;DAY($B124))</f>
        <v/>
      </c>
      <c r="F124" s="16">
        <f>IF($A124="","",IF(COUNTIF(設定!$B$62:$B$201,$A124)=0,"⚠ 查無員編",IF(COUNTIF($E$3:$E$2002,$E124)&gt;1,"⚠ 重複打卡","OK")))</f>
        <v/>
      </c>
    </row>
    <row r="125">
      <c r="A125" s="20" t="n"/>
      <c r="B125" s="18" t="n"/>
      <c r="C125" s="81" t="n"/>
      <c r="D125" s="81" t="n"/>
      <c r="E125" s="16">
        <f>IF($A125="","",$A125&amp;"|"&amp;DAY($B125))</f>
        <v/>
      </c>
      <c r="F125" s="16">
        <f>IF($A125="","",IF(COUNTIF(設定!$B$62:$B$201,$A125)=0,"⚠ 查無員編",IF(COUNTIF($E$3:$E$2002,$E125)&gt;1,"⚠ 重複打卡","OK")))</f>
        <v/>
      </c>
    </row>
    <row r="126">
      <c r="A126" s="20" t="n"/>
      <c r="B126" s="18" t="n"/>
      <c r="C126" s="81" t="n"/>
      <c r="D126" s="81" t="n"/>
      <c r="E126" s="16">
        <f>IF($A126="","",$A126&amp;"|"&amp;DAY($B126))</f>
        <v/>
      </c>
      <c r="F126" s="16">
        <f>IF($A126="","",IF(COUNTIF(設定!$B$62:$B$201,$A126)=0,"⚠ 查無員編",IF(COUNTIF($E$3:$E$2002,$E126)&gt;1,"⚠ 重複打卡","OK")))</f>
        <v/>
      </c>
    </row>
    <row r="127">
      <c r="A127" s="20" t="n"/>
      <c r="B127" s="18" t="n"/>
      <c r="C127" s="81" t="n"/>
      <c r="D127" s="81" t="n"/>
      <c r="E127" s="16">
        <f>IF($A127="","",$A127&amp;"|"&amp;DAY($B127))</f>
        <v/>
      </c>
      <c r="F127" s="16">
        <f>IF($A127="","",IF(COUNTIF(設定!$B$62:$B$201,$A127)=0,"⚠ 查無員編",IF(COUNTIF($E$3:$E$2002,$E127)&gt;1,"⚠ 重複打卡","OK")))</f>
        <v/>
      </c>
    </row>
    <row r="128">
      <c r="A128" s="20" t="n"/>
      <c r="B128" s="18" t="n"/>
      <c r="C128" s="81" t="n"/>
      <c r="D128" s="81" t="n"/>
      <c r="E128" s="16">
        <f>IF($A128="","",$A128&amp;"|"&amp;DAY($B128))</f>
        <v/>
      </c>
      <c r="F128" s="16">
        <f>IF($A128="","",IF(COUNTIF(設定!$B$62:$B$201,$A128)=0,"⚠ 查無員編",IF(COUNTIF($E$3:$E$2002,$E128)&gt;1,"⚠ 重複打卡","OK")))</f>
        <v/>
      </c>
    </row>
    <row r="129">
      <c r="A129" s="20" t="n"/>
      <c r="B129" s="18" t="n"/>
      <c r="C129" s="81" t="n"/>
      <c r="D129" s="81" t="n"/>
      <c r="E129" s="16">
        <f>IF($A129="","",$A129&amp;"|"&amp;DAY($B129))</f>
        <v/>
      </c>
      <c r="F129" s="16">
        <f>IF($A129="","",IF(COUNTIF(設定!$B$62:$B$201,$A129)=0,"⚠ 查無員編",IF(COUNTIF($E$3:$E$2002,$E129)&gt;1,"⚠ 重複打卡","OK")))</f>
        <v/>
      </c>
    </row>
    <row r="130">
      <c r="A130" s="20" t="n"/>
      <c r="B130" s="18" t="n"/>
      <c r="C130" s="81" t="n"/>
      <c r="D130" s="81" t="n"/>
      <c r="E130" s="16">
        <f>IF($A130="","",$A130&amp;"|"&amp;DAY($B130))</f>
        <v/>
      </c>
      <c r="F130" s="16">
        <f>IF($A130="","",IF(COUNTIF(設定!$B$62:$B$201,$A130)=0,"⚠ 查無員編",IF(COUNTIF($E$3:$E$2002,$E130)&gt;1,"⚠ 重複打卡","OK")))</f>
        <v/>
      </c>
    </row>
    <row r="131">
      <c r="A131" s="20" t="n"/>
      <c r="B131" s="18" t="n"/>
      <c r="C131" s="81" t="n"/>
      <c r="D131" s="81" t="n"/>
      <c r="E131" s="16">
        <f>IF($A131="","",$A131&amp;"|"&amp;DAY($B131))</f>
        <v/>
      </c>
      <c r="F131" s="16">
        <f>IF($A131="","",IF(COUNTIF(設定!$B$62:$B$201,$A131)=0,"⚠ 查無員編",IF(COUNTIF($E$3:$E$2002,$E131)&gt;1,"⚠ 重複打卡","OK")))</f>
        <v/>
      </c>
    </row>
    <row r="132">
      <c r="A132" s="20" t="n"/>
      <c r="B132" s="18" t="n"/>
      <c r="C132" s="81" t="n"/>
      <c r="D132" s="81" t="n"/>
      <c r="E132" s="16">
        <f>IF($A132="","",$A132&amp;"|"&amp;DAY($B132))</f>
        <v/>
      </c>
      <c r="F132" s="16">
        <f>IF($A132="","",IF(COUNTIF(設定!$B$62:$B$201,$A132)=0,"⚠ 查無員編",IF(COUNTIF($E$3:$E$2002,$E132)&gt;1,"⚠ 重複打卡","OK")))</f>
        <v/>
      </c>
    </row>
    <row r="133">
      <c r="A133" s="20" t="n"/>
      <c r="B133" s="18" t="n"/>
      <c r="C133" s="81" t="n"/>
      <c r="D133" s="81" t="n"/>
      <c r="E133" s="16">
        <f>IF($A133="","",$A133&amp;"|"&amp;DAY($B133))</f>
        <v/>
      </c>
      <c r="F133" s="16">
        <f>IF($A133="","",IF(COUNTIF(設定!$B$62:$B$201,$A133)=0,"⚠ 查無員編",IF(COUNTIF($E$3:$E$2002,$E133)&gt;1,"⚠ 重複打卡","OK")))</f>
        <v/>
      </c>
    </row>
    <row r="134">
      <c r="A134" s="20" t="n"/>
      <c r="B134" s="18" t="n"/>
      <c r="C134" s="81" t="n"/>
      <c r="D134" s="81" t="n"/>
      <c r="E134" s="16">
        <f>IF($A134="","",$A134&amp;"|"&amp;DAY($B134))</f>
        <v/>
      </c>
      <c r="F134" s="16">
        <f>IF($A134="","",IF(COUNTIF(設定!$B$62:$B$201,$A134)=0,"⚠ 查無員編",IF(COUNTIF($E$3:$E$2002,$E134)&gt;1,"⚠ 重複打卡","OK")))</f>
        <v/>
      </c>
    </row>
    <row r="135">
      <c r="A135" s="20" t="n"/>
      <c r="B135" s="18" t="n"/>
      <c r="C135" s="81" t="n"/>
      <c r="D135" s="81" t="n"/>
      <c r="E135" s="16">
        <f>IF($A135="","",$A135&amp;"|"&amp;DAY($B135))</f>
        <v/>
      </c>
      <c r="F135" s="16">
        <f>IF($A135="","",IF(COUNTIF(設定!$B$62:$B$201,$A135)=0,"⚠ 查無員編",IF(COUNTIF($E$3:$E$2002,$E135)&gt;1,"⚠ 重複打卡","OK")))</f>
        <v/>
      </c>
    </row>
    <row r="136">
      <c r="A136" s="20" t="n"/>
      <c r="B136" s="18" t="n"/>
      <c r="C136" s="81" t="n"/>
      <c r="D136" s="81" t="n"/>
      <c r="E136" s="16">
        <f>IF($A136="","",$A136&amp;"|"&amp;DAY($B136))</f>
        <v/>
      </c>
      <c r="F136" s="16">
        <f>IF($A136="","",IF(COUNTIF(設定!$B$62:$B$201,$A136)=0,"⚠ 查無員編",IF(COUNTIF($E$3:$E$2002,$E136)&gt;1,"⚠ 重複打卡","OK")))</f>
        <v/>
      </c>
    </row>
    <row r="137">
      <c r="A137" s="20" t="n"/>
      <c r="B137" s="18" t="n"/>
      <c r="C137" s="81" t="n"/>
      <c r="D137" s="81" t="n"/>
      <c r="E137" s="16">
        <f>IF($A137="","",$A137&amp;"|"&amp;DAY($B137))</f>
        <v/>
      </c>
      <c r="F137" s="16">
        <f>IF($A137="","",IF(COUNTIF(設定!$B$62:$B$201,$A137)=0,"⚠ 查無員編",IF(COUNTIF($E$3:$E$2002,$E137)&gt;1,"⚠ 重複打卡","OK")))</f>
        <v/>
      </c>
    </row>
    <row r="138">
      <c r="A138" s="20" t="n"/>
      <c r="B138" s="18" t="n"/>
      <c r="C138" s="81" t="n"/>
      <c r="D138" s="81" t="n"/>
      <c r="E138" s="16">
        <f>IF($A138="","",$A138&amp;"|"&amp;DAY($B138))</f>
        <v/>
      </c>
      <c r="F138" s="16">
        <f>IF($A138="","",IF(COUNTIF(設定!$B$62:$B$201,$A138)=0,"⚠ 查無員編",IF(COUNTIF($E$3:$E$2002,$E138)&gt;1,"⚠ 重複打卡","OK")))</f>
        <v/>
      </c>
    </row>
    <row r="139">
      <c r="A139" s="20" t="n"/>
      <c r="B139" s="18" t="n"/>
      <c r="C139" s="81" t="n"/>
      <c r="D139" s="81" t="n"/>
      <c r="E139" s="16">
        <f>IF($A139="","",$A139&amp;"|"&amp;DAY($B139))</f>
        <v/>
      </c>
      <c r="F139" s="16">
        <f>IF($A139="","",IF(COUNTIF(設定!$B$62:$B$201,$A139)=0,"⚠ 查無員編",IF(COUNTIF($E$3:$E$2002,$E139)&gt;1,"⚠ 重複打卡","OK")))</f>
        <v/>
      </c>
    </row>
    <row r="140">
      <c r="A140" s="20" t="n"/>
      <c r="B140" s="18" t="n"/>
      <c r="C140" s="81" t="n"/>
      <c r="D140" s="81" t="n"/>
      <c r="E140" s="16">
        <f>IF($A140="","",$A140&amp;"|"&amp;DAY($B140))</f>
        <v/>
      </c>
      <c r="F140" s="16">
        <f>IF($A140="","",IF(COUNTIF(設定!$B$62:$B$201,$A140)=0,"⚠ 查無員編",IF(COUNTIF($E$3:$E$2002,$E140)&gt;1,"⚠ 重複打卡","OK")))</f>
        <v/>
      </c>
    </row>
    <row r="141">
      <c r="A141" s="20" t="n"/>
      <c r="B141" s="18" t="n"/>
      <c r="C141" s="81" t="n"/>
      <c r="D141" s="81" t="n"/>
      <c r="E141" s="16">
        <f>IF($A141="","",$A141&amp;"|"&amp;DAY($B141))</f>
        <v/>
      </c>
      <c r="F141" s="16">
        <f>IF($A141="","",IF(COUNTIF(設定!$B$62:$B$201,$A141)=0,"⚠ 查無員編",IF(COUNTIF($E$3:$E$2002,$E141)&gt;1,"⚠ 重複打卡","OK")))</f>
        <v/>
      </c>
    </row>
    <row r="142">
      <c r="A142" s="20" t="n"/>
      <c r="B142" s="18" t="n"/>
      <c r="C142" s="81" t="n"/>
      <c r="D142" s="81" t="n"/>
      <c r="E142" s="16">
        <f>IF($A142="","",$A142&amp;"|"&amp;DAY($B142))</f>
        <v/>
      </c>
      <c r="F142" s="16">
        <f>IF($A142="","",IF(COUNTIF(設定!$B$62:$B$201,$A142)=0,"⚠ 查無員編",IF(COUNTIF($E$3:$E$2002,$E142)&gt;1,"⚠ 重複打卡","OK")))</f>
        <v/>
      </c>
    </row>
    <row r="143">
      <c r="A143" s="20" t="n"/>
      <c r="B143" s="18" t="n"/>
      <c r="C143" s="81" t="n"/>
      <c r="D143" s="81" t="n"/>
      <c r="E143" s="16">
        <f>IF($A143="","",$A143&amp;"|"&amp;DAY($B143))</f>
        <v/>
      </c>
      <c r="F143" s="16">
        <f>IF($A143="","",IF(COUNTIF(設定!$B$62:$B$201,$A143)=0,"⚠ 查無員編",IF(COUNTIF($E$3:$E$2002,$E143)&gt;1,"⚠ 重複打卡","OK")))</f>
        <v/>
      </c>
    </row>
    <row r="144">
      <c r="A144" s="20" t="n"/>
      <c r="B144" s="18" t="n"/>
      <c r="C144" s="81" t="n"/>
      <c r="D144" s="81" t="n"/>
      <c r="E144" s="16">
        <f>IF($A144="","",$A144&amp;"|"&amp;DAY($B144))</f>
        <v/>
      </c>
      <c r="F144" s="16">
        <f>IF($A144="","",IF(COUNTIF(設定!$B$62:$B$201,$A144)=0,"⚠ 查無員編",IF(COUNTIF($E$3:$E$2002,$E144)&gt;1,"⚠ 重複打卡","OK")))</f>
        <v/>
      </c>
    </row>
    <row r="145">
      <c r="A145" s="20" t="n"/>
      <c r="B145" s="18" t="n"/>
      <c r="C145" s="81" t="n"/>
      <c r="D145" s="81" t="n"/>
      <c r="E145" s="16">
        <f>IF($A145="","",$A145&amp;"|"&amp;DAY($B145))</f>
        <v/>
      </c>
      <c r="F145" s="16">
        <f>IF($A145="","",IF(COUNTIF(設定!$B$62:$B$201,$A145)=0,"⚠ 查無員編",IF(COUNTIF($E$3:$E$2002,$E145)&gt;1,"⚠ 重複打卡","OK")))</f>
        <v/>
      </c>
    </row>
    <row r="146">
      <c r="A146" s="20" t="n"/>
      <c r="B146" s="18" t="n"/>
      <c r="C146" s="81" t="n"/>
      <c r="D146" s="81" t="n"/>
      <c r="E146" s="16">
        <f>IF($A146="","",$A146&amp;"|"&amp;DAY($B146))</f>
        <v/>
      </c>
      <c r="F146" s="16">
        <f>IF($A146="","",IF(COUNTIF(設定!$B$62:$B$201,$A146)=0,"⚠ 查無員編",IF(COUNTIF($E$3:$E$2002,$E146)&gt;1,"⚠ 重複打卡","OK")))</f>
        <v/>
      </c>
    </row>
    <row r="147">
      <c r="A147" s="20" t="n"/>
      <c r="B147" s="18" t="n"/>
      <c r="C147" s="81" t="n"/>
      <c r="D147" s="81" t="n"/>
      <c r="E147" s="16">
        <f>IF($A147="","",$A147&amp;"|"&amp;DAY($B147))</f>
        <v/>
      </c>
      <c r="F147" s="16">
        <f>IF($A147="","",IF(COUNTIF(設定!$B$62:$B$201,$A147)=0,"⚠ 查無員編",IF(COUNTIF($E$3:$E$2002,$E147)&gt;1,"⚠ 重複打卡","OK")))</f>
        <v/>
      </c>
    </row>
    <row r="148">
      <c r="A148" s="20" t="n"/>
      <c r="B148" s="18" t="n"/>
      <c r="C148" s="81" t="n"/>
      <c r="D148" s="81" t="n"/>
      <c r="E148" s="16">
        <f>IF($A148="","",$A148&amp;"|"&amp;DAY($B148))</f>
        <v/>
      </c>
      <c r="F148" s="16">
        <f>IF($A148="","",IF(COUNTIF(設定!$B$62:$B$201,$A148)=0,"⚠ 查無員編",IF(COUNTIF($E$3:$E$2002,$E148)&gt;1,"⚠ 重複打卡","OK")))</f>
        <v/>
      </c>
    </row>
    <row r="149">
      <c r="A149" s="20" t="n"/>
      <c r="B149" s="18" t="n"/>
      <c r="C149" s="81" t="n"/>
      <c r="D149" s="81" t="n"/>
      <c r="E149" s="16">
        <f>IF($A149="","",$A149&amp;"|"&amp;DAY($B149))</f>
        <v/>
      </c>
      <c r="F149" s="16">
        <f>IF($A149="","",IF(COUNTIF(設定!$B$62:$B$201,$A149)=0,"⚠ 查無員編",IF(COUNTIF($E$3:$E$2002,$E149)&gt;1,"⚠ 重複打卡","OK")))</f>
        <v/>
      </c>
    </row>
    <row r="150">
      <c r="A150" s="20" t="n"/>
      <c r="B150" s="18" t="n"/>
      <c r="C150" s="81" t="n"/>
      <c r="D150" s="81" t="n"/>
      <c r="E150" s="16">
        <f>IF($A150="","",$A150&amp;"|"&amp;DAY($B150))</f>
        <v/>
      </c>
      <c r="F150" s="16">
        <f>IF($A150="","",IF(COUNTIF(設定!$B$62:$B$201,$A150)=0,"⚠ 查無員編",IF(COUNTIF($E$3:$E$2002,$E150)&gt;1,"⚠ 重複打卡","OK")))</f>
        <v/>
      </c>
    </row>
    <row r="151">
      <c r="A151" s="20" t="n"/>
      <c r="B151" s="18" t="n"/>
      <c r="C151" s="81" t="n"/>
      <c r="D151" s="81" t="n"/>
      <c r="E151" s="16">
        <f>IF($A151="","",$A151&amp;"|"&amp;DAY($B151))</f>
        <v/>
      </c>
      <c r="F151" s="16">
        <f>IF($A151="","",IF(COUNTIF(設定!$B$62:$B$201,$A151)=0,"⚠ 查無員編",IF(COUNTIF($E$3:$E$2002,$E151)&gt;1,"⚠ 重複打卡","OK")))</f>
        <v/>
      </c>
    </row>
    <row r="152">
      <c r="A152" s="20" t="n"/>
      <c r="B152" s="18" t="n"/>
      <c r="C152" s="81" t="n"/>
      <c r="D152" s="81" t="n"/>
      <c r="E152" s="16">
        <f>IF($A152="","",$A152&amp;"|"&amp;DAY($B152))</f>
        <v/>
      </c>
      <c r="F152" s="16">
        <f>IF($A152="","",IF(COUNTIF(設定!$B$62:$B$201,$A152)=0,"⚠ 查無員編",IF(COUNTIF($E$3:$E$2002,$E152)&gt;1,"⚠ 重複打卡","OK")))</f>
        <v/>
      </c>
    </row>
    <row r="153">
      <c r="A153" s="20" t="n"/>
      <c r="B153" s="18" t="n"/>
      <c r="C153" s="81" t="n"/>
      <c r="D153" s="81" t="n"/>
      <c r="E153" s="16">
        <f>IF($A153="","",$A153&amp;"|"&amp;DAY($B153))</f>
        <v/>
      </c>
      <c r="F153" s="16">
        <f>IF($A153="","",IF(COUNTIF(設定!$B$62:$B$201,$A153)=0,"⚠ 查無員編",IF(COUNTIF($E$3:$E$2002,$E153)&gt;1,"⚠ 重複打卡","OK")))</f>
        <v/>
      </c>
    </row>
    <row r="154">
      <c r="A154" s="20" t="n"/>
      <c r="B154" s="18" t="n"/>
      <c r="C154" s="81" t="n"/>
      <c r="D154" s="81" t="n"/>
      <c r="E154" s="16">
        <f>IF($A154="","",$A154&amp;"|"&amp;DAY($B154))</f>
        <v/>
      </c>
      <c r="F154" s="16">
        <f>IF($A154="","",IF(COUNTIF(設定!$B$62:$B$201,$A154)=0,"⚠ 查無員編",IF(COUNTIF($E$3:$E$2002,$E154)&gt;1,"⚠ 重複打卡","OK")))</f>
        <v/>
      </c>
    </row>
    <row r="155">
      <c r="A155" s="20" t="n"/>
      <c r="B155" s="18" t="n"/>
      <c r="C155" s="81" t="n"/>
      <c r="D155" s="81" t="n"/>
      <c r="E155" s="16">
        <f>IF($A155="","",$A155&amp;"|"&amp;DAY($B155))</f>
        <v/>
      </c>
      <c r="F155" s="16">
        <f>IF($A155="","",IF(COUNTIF(設定!$B$62:$B$201,$A155)=0,"⚠ 查無員編",IF(COUNTIF($E$3:$E$2002,$E155)&gt;1,"⚠ 重複打卡","OK")))</f>
        <v/>
      </c>
    </row>
    <row r="156">
      <c r="A156" s="20" t="n"/>
      <c r="B156" s="18" t="n"/>
      <c r="C156" s="81" t="n"/>
      <c r="D156" s="81" t="n"/>
      <c r="E156" s="16">
        <f>IF($A156="","",$A156&amp;"|"&amp;DAY($B156))</f>
        <v/>
      </c>
      <c r="F156" s="16">
        <f>IF($A156="","",IF(COUNTIF(設定!$B$62:$B$201,$A156)=0,"⚠ 查無員編",IF(COUNTIF($E$3:$E$2002,$E156)&gt;1,"⚠ 重複打卡","OK")))</f>
        <v/>
      </c>
    </row>
    <row r="157">
      <c r="A157" s="20" t="n"/>
      <c r="B157" s="18" t="n"/>
      <c r="C157" s="81" t="n"/>
      <c r="D157" s="81" t="n"/>
      <c r="E157" s="16">
        <f>IF($A157="","",$A157&amp;"|"&amp;DAY($B157))</f>
        <v/>
      </c>
      <c r="F157" s="16">
        <f>IF($A157="","",IF(COUNTIF(設定!$B$62:$B$201,$A157)=0,"⚠ 查無員編",IF(COUNTIF($E$3:$E$2002,$E157)&gt;1,"⚠ 重複打卡","OK")))</f>
        <v/>
      </c>
    </row>
    <row r="158">
      <c r="A158" s="20" t="n"/>
      <c r="B158" s="18" t="n"/>
      <c r="C158" s="81" t="n"/>
      <c r="D158" s="81" t="n"/>
      <c r="E158" s="16">
        <f>IF($A158="","",$A158&amp;"|"&amp;DAY($B158))</f>
        <v/>
      </c>
      <c r="F158" s="16">
        <f>IF($A158="","",IF(COUNTIF(設定!$B$62:$B$201,$A158)=0,"⚠ 查無員編",IF(COUNTIF($E$3:$E$2002,$E158)&gt;1,"⚠ 重複打卡","OK")))</f>
        <v/>
      </c>
    </row>
    <row r="159">
      <c r="A159" s="20" t="n"/>
      <c r="B159" s="18" t="n"/>
      <c r="C159" s="81" t="n"/>
      <c r="D159" s="81" t="n"/>
      <c r="E159" s="16">
        <f>IF($A159="","",$A159&amp;"|"&amp;DAY($B159))</f>
        <v/>
      </c>
      <c r="F159" s="16">
        <f>IF($A159="","",IF(COUNTIF(設定!$B$62:$B$201,$A159)=0,"⚠ 查無員編",IF(COUNTIF($E$3:$E$2002,$E159)&gt;1,"⚠ 重複打卡","OK")))</f>
        <v/>
      </c>
    </row>
    <row r="160">
      <c r="A160" s="20" t="n"/>
      <c r="B160" s="18" t="n"/>
      <c r="C160" s="81" t="n"/>
      <c r="D160" s="81" t="n"/>
      <c r="E160" s="16">
        <f>IF($A160="","",$A160&amp;"|"&amp;DAY($B160))</f>
        <v/>
      </c>
      <c r="F160" s="16">
        <f>IF($A160="","",IF(COUNTIF(設定!$B$62:$B$201,$A160)=0,"⚠ 查無員編",IF(COUNTIF($E$3:$E$2002,$E160)&gt;1,"⚠ 重複打卡","OK")))</f>
        <v/>
      </c>
    </row>
    <row r="161">
      <c r="A161" s="20" t="n"/>
      <c r="B161" s="18" t="n"/>
      <c r="C161" s="81" t="n"/>
      <c r="D161" s="81" t="n"/>
      <c r="E161" s="16">
        <f>IF($A161="","",$A161&amp;"|"&amp;DAY($B161))</f>
        <v/>
      </c>
      <c r="F161" s="16">
        <f>IF($A161="","",IF(COUNTIF(設定!$B$62:$B$201,$A161)=0,"⚠ 查無員編",IF(COUNTIF($E$3:$E$2002,$E161)&gt;1,"⚠ 重複打卡","OK")))</f>
        <v/>
      </c>
    </row>
    <row r="162">
      <c r="A162" s="20" t="n"/>
      <c r="B162" s="18" t="n"/>
      <c r="C162" s="81" t="n"/>
      <c r="D162" s="81" t="n"/>
      <c r="E162" s="16">
        <f>IF($A162="","",$A162&amp;"|"&amp;DAY($B162))</f>
        <v/>
      </c>
      <c r="F162" s="16">
        <f>IF($A162="","",IF(COUNTIF(設定!$B$62:$B$201,$A162)=0,"⚠ 查無員編",IF(COUNTIF($E$3:$E$2002,$E162)&gt;1,"⚠ 重複打卡","OK")))</f>
        <v/>
      </c>
    </row>
    <row r="163">
      <c r="A163" s="20" t="n"/>
      <c r="B163" s="18" t="n"/>
      <c r="C163" s="81" t="n"/>
      <c r="D163" s="81" t="n"/>
      <c r="E163" s="16">
        <f>IF($A163="","",$A163&amp;"|"&amp;DAY($B163))</f>
        <v/>
      </c>
      <c r="F163" s="16">
        <f>IF($A163="","",IF(COUNTIF(設定!$B$62:$B$201,$A163)=0,"⚠ 查無員編",IF(COUNTIF($E$3:$E$2002,$E163)&gt;1,"⚠ 重複打卡","OK")))</f>
        <v/>
      </c>
    </row>
    <row r="164">
      <c r="A164" s="20" t="n"/>
      <c r="B164" s="18" t="n"/>
      <c r="C164" s="81" t="n"/>
      <c r="D164" s="81" t="n"/>
      <c r="E164" s="16">
        <f>IF($A164="","",$A164&amp;"|"&amp;DAY($B164))</f>
        <v/>
      </c>
      <c r="F164" s="16">
        <f>IF($A164="","",IF(COUNTIF(設定!$B$62:$B$201,$A164)=0,"⚠ 查無員編",IF(COUNTIF($E$3:$E$2002,$E164)&gt;1,"⚠ 重複打卡","OK")))</f>
        <v/>
      </c>
    </row>
    <row r="165">
      <c r="A165" s="20" t="n"/>
      <c r="B165" s="18" t="n"/>
      <c r="C165" s="81" t="n"/>
      <c r="D165" s="81" t="n"/>
      <c r="E165" s="16">
        <f>IF($A165="","",$A165&amp;"|"&amp;DAY($B165))</f>
        <v/>
      </c>
      <c r="F165" s="16">
        <f>IF($A165="","",IF(COUNTIF(設定!$B$62:$B$201,$A165)=0,"⚠ 查無員編",IF(COUNTIF($E$3:$E$2002,$E165)&gt;1,"⚠ 重複打卡","OK")))</f>
        <v/>
      </c>
    </row>
    <row r="166">
      <c r="A166" s="20" t="n"/>
      <c r="B166" s="18" t="n"/>
      <c r="C166" s="81" t="n"/>
      <c r="D166" s="81" t="n"/>
      <c r="E166" s="16">
        <f>IF($A166="","",$A166&amp;"|"&amp;DAY($B166))</f>
        <v/>
      </c>
      <c r="F166" s="16">
        <f>IF($A166="","",IF(COUNTIF(設定!$B$62:$B$201,$A166)=0,"⚠ 查無員編",IF(COUNTIF($E$3:$E$2002,$E166)&gt;1,"⚠ 重複打卡","OK")))</f>
        <v/>
      </c>
    </row>
    <row r="167">
      <c r="A167" s="20" t="n"/>
      <c r="B167" s="18" t="n"/>
      <c r="C167" s="81" t="n"/>
      <c r="D167" s="81" t="n"/>
      <c r="E167" s="16">
        <f>IF($A167="","",$A167&amp;"|"&amp;DAY($B167))</f>
        <v/>
      </c>
      <c r="F167" s="16">
        <f>IF($A167="","",IF(COUNTIF(設定!$B$62:$B$201,$A167)=0,"⚠ 查無員編",IF(COUNTIF($E$3:$E$2002,$E167)&gt;1,"⚠ 重複打卡","OK")))</f>
        <v/>
      </c>
    </row>
    <row r="168">
      <c r="A168" s="20" t="n"/>
      <c r="B168" s="18" t="n"/>
      <c r="C168" s="81" t="n"/>
      <c r="D168" s="81" t="n"/>
      <c r="E168" s="16">
        <f>IF($A168="","",$A168&amp;"|"&amp;DAY($B168))</f>
        <v/>
      </c>
      <c r="F168" s="16">
        <f>IF($A168="","",IF(COUNTIF(設定!$B$62:$B$201,$A168)=0,"⚠ 查無員編",IF(COUNTIF($E$3:$E$2002,$E168)&gt;1,"⚠ 重複打卡","OK")))</f>
        <v/>
      </c>
    </row>
    <row r="169">
      <c r="A169" s="20" t="n"/>
      <c r="B169" s="18" t="n"/>
      <c r="C169" s="81" t="n"/>
      <c r="D169" s="81" t="n"/>
      <c r="E169" s="16">
        <f>IF($A169="","",$A169&amp;"|"&amp;DAY($B169))</f>
        <v/>
      </c>
      <c r="F169" s="16">
        <f>IF($A169="","",IF(COUNTIF(設定!$B$62:$B$201,$A169)=0,"⚠ 查無員編",IF(COUNTIF($E$3:$E$2002,$E169)&gt;1,"⚠ 重複打卡","OK")))</f>
        <v/>
      </c>
    </row>
    <row r="170">
      <c r="A170" s="20" t="n"/>
      <c r="B170" s="18" t="n"/>
      <c r="C170" s="81" t="n"/>
      <c r="D170" s="81" t="n"/>
      <c r="E170" s="16">
        <f>IF($A170="","",$A170&amp;"|"&amp;DAY($B170))</f>
        <v/>
      </c>
      <c r="F170" s="16">
        <f>IF($A170="","",IF(COUNTIF(設定!$B$62:$B$201,$A170)=0,"⚠ 查無員編",IF(COUNTIF($E$3:$E$2002,$E170)&gt;1,"⚠ 重複打卡","OK")))</f>
        <v/>
      </c>
    </row>
    <row r="171">
      <c r="A171" s="20" t="n"/>
      <c r="B171" s="18" t="n"/>
      <c r="C171" s="81" t="n"/>
      <c r="D171" s="81" t="n"/>
      <c r="E171" s="16">
        <f>IF($A171="","",$A171&amp;"|"&amp;DAY($B171))</f>
        <v/>
      </c>
      <c r="F171" s="16">
        <f>IF($A171="","",IF(COUNTIF(設定!$B$62:$B$201,$A171)=0,"⚠ 查無員編",IF(COUNTIF($E$3:$E$2002,$E171)&gt;1,"⚠ 重複打卡","OK")))</f>
        <v/>
      </c>
    </row>
    <row r="172">
      <c r="A172" s="20" t="n"/>
      <c r="B172" s="18" t="n"/>
      <c r="C172" s="81" t="n"/>
      <c r="D172" s="81" t="n"/>
      <c r="E172" s="16">
        <f>IF($A172="","",$A172&amp;"|"&amp;DAY($B172))</f>
        <v/>
      </c>
      <c r="F172" s="16">
        <f>IF($A172="","",IF(COUNTIF(設定!$B$62:$B$201,$A172)=0,"⚠ 查無員編",IF(COUNTIF($E$3:$E$2002,$E172)&gt;1,"⚠ 重複打卡","OK")))</f>
        <v/>
      </c>
    </row>
    <row r="173">
      <c r="A173" s="20" t="n"/>
      <c r="B173" s="18" t="n"/>
      <c r="C173" s="81" t="n"/>
      <c r="D173" s="81" t="n"/>
      <c r="E173" s="16">
        <f>IF($A173="","",$A173&amp;"|"&amp;DAY($B173))</f>
        <v/>
      </c>
      <c r="F173" s="16">
        <f>IF($A173="","",IF(COUNTIF(設定!$B$62:$B$201,$A173)=0,"⚠ 查無員編",IF(COUNTIF($E$3:$E$2002,$E173)&gt;1,"⚠ 重複打卡","OK")))</f>
        <v/>
      </c>
    </row>
    <row r="174">
      <c r="A174" s="20" t="n"/>
      <c r="B174" s="18" t="n"/>
      <c r="C174" s="81" t="n"/>
      <c r="D174" s="81" t="n"/>
      <c r="E174" s="16">
        <f>IF($A174="","",$A174&amp;"|"&amp;DAY($B174))</f>
        <v/>
      </c>
      <c r="F174" s="16">
        <f>IF($A174="","",IF(COUNTIF(設定!$B$62:$B$201,$A174)=0,"⚠ 查無員編",IF(COUNTIF($E$3:$E$2002,$E174)&gt;1,"⚠ 重複打卡","OK")))</f>
        <v/>
      </c>
    </row>
    <row r="175">
      <c r="A175" s="20" t="n"/>
      <c r="B175" s="18" t="n"/>
      <c r="C175" s="81" t="n"/>
      <c r="D175" s="81" t="n"/>
      <c r="E175" s="16">
        <f>IF($A175="","",$A175&amp;"|"&amp;DAY($B175))</f>
        <v/>
      </c>
      <c r="F175" s="16">
        <f>IF($A175="","",IF(COUNTIF(設定!$B$62:$B$201,$A175)=0,"⚠ 查無員編",IF(COUNTIF($E$3:$E$2002,$E175)&gt;1,"⚠ 重複打卡","OK")))</f>
        <v/>
      </c>
    </row>
    <row r="176">
      <c r="A176" s="20" t="n"/>
      <c r="B176" s="18" t="n"/>
      <c r="C176" s="81" t="n"/>
      <c r="D176" s="81" t="n"/>
      <c r="E176" s="16">
        <f>IF($A176="","",$A176&amp;"|"&amp;DAY($B176))</f>
        <v/>
      </c>
      <c r="F176" s="16">
        <f>IF($A176="","",IF(COUNTIF(設定!$B$62:$B$201,$A176)=0,"⚠ 查無員編",IF(COUNTIF($E$3:$E$2002,$E176)&gt;1,"⚠ 重複打卡","OK")))</f>
        <v/>
      </c>
    </row>
    <row r="177">
      <c r="A177" s="20" t="n"/>
      <c r="B177" s="18" t="n"/>
      <c r="C177" s="81" t="n"/>
      <c r="D177" s="81" t="n"/>
      <c r="E177" s="16">
        <f>IF($A177="","",$A177&amp;"|"&amp;DAY($B177))</f>
        <v/>
      </c>
      <c r="F177" s="16">
        <f>IF($A177="","",IF(COUNTIF(設定!$B$62:$B$201,$A177)=0,"⚠ 查無員編",IF(COUNTIF($E$3:$E$2002,$E177)&gt;1,"⚠ 重複打卡","OK")))</f>
        <v/>
      </c>
    </row>
    <row r="178">
      <c r="A178" s="20" t="n"/>
      <c r="B178" s="18" t="n"/>
      <c r="C178" s="81" t="n"/>
      <c r="D178" s="81" t="n"/>
      <c r="E178" s="16">
        <f>IF($A178="","",$A178&amp;"|"&amp;DAY($B178))</f>
        <v/>
      </c>
      <c r="F178" s="16">
        <f>IF($A178="","",IF(COUNTIF(設定!$B$62:$B$201,$A178)=0,"⚠ 查無員編",IF(COUNTIF($E$3:$E$2002,$E178)&gt;1,"⚠ 重複打卡","OK")))</f>
        <v/>
      </c>
    </row>
    <row r="179">
      <c r="A179" s="20" t="n"/>
      <c r="B179" s="18" t="n"/>
      <c r="C179" s="81" t="n"/>
      <c r="D179" s="81" t="n"/>
      <c r="E179" s="16">
        <f>IF($A179="","",$A179&amp;"|"&amp;DAY($B179))</f>
        <v/>
      </c>
      <c r="F179" s="16">
        <f>IF($A179="","",IF(COUNTIF(設定!$B$62:$B$201,$A179)=0,"⚠ 查無員編",IF(COUNTIF($E$3:$E$2002,$E179)&gt;1,"⚠ 重複打卡","OK")))</f>
        <v/>
      </c>
    </row>
    <row r="180">
      <c r="A180" s="20" t="n"/>
      <c r="B180" s="18" t="n"/>
      <c r="C180" s="81" t="n"/>
      <c r="D180" s="81" t="n"/>
      <c r="E180" s="16">
        <f>IF($A180="","",$A180&amp;"|"&amp;DAY($B180))</f>
        <v/>
      </c>
      <c r="F180" s="16">
        <f>IF($A180="","",IF(COUNTIF(設定!$B$62:$B$201,$A180)=0,"⚠ 查無員編",IF(COUNTIF($E$3:$E$2002,$E180)&gt;1,"⚠ 重複打卡","OK")))</f>
        <v/>
      </c>
    </row>
    <row r="181">
      <c r="A181" s="20" t="n"/>
      <c r="B181" s="18" t="n"/>
      <c r="C181" s="81" t="n"/>
      <c r="D181" s="81" t="n"/>
      <c r="E181" s="16">
        <f>IF($A181="","",$A181&amp;"|"&amp;DAY($B181))</f>
        <v/>
      </c>
      <c r="F181" s="16">
        <f>IF($A181="","",IF(COUNTIF(設定!$B$62:$B$201,$A181)=0,"⚠ 查無員編",IF(COUNTIF($E$3:$E$2002,$E181)&gt;1,"⚠ 重複打卡","OK")))</f>
        <v/>
      </c>
    </row>
    <row r="182">
      <c r="A182" s="20" t="n"/>
      <c r="B182" s="18" t="n"/>
      <c r="C182" s="81" t="n"/>
      <c r="D182" s="81" t="n"/>
      <c r="E182" s="16">
        <f>IF($A182="","",$A182&amp;"|"&amp;DAY($B182))</f>
        <v/>
      </c>
      <c r="F182" s="16">
        <f>IF($A182="","",IF(COUNTIF(設定!$B$62:$B$201,$A182)=0,"⚠ 查無員編",IF(COUNTIF($E$3:$E$2002,$E182)&gt;1,"⚠ 重複打卡","OK")))</f>
        <v/>
      </c>
    </row>
    <row r="183">
      <c r="A183" s="20" t="n"/>
      <c r="B183" s="18" t="n"/>
      <c r="C183" s="81" t="n"/>
      <c r="D183" s="81" t="n"/>
      <c r="E183" s="16">
        <f>IF($A183="","",$A183&amp;"|"&amp;DAY($B183))</f>
        <v/>
      </c>
      <c r="F183" s="16">
        <f>IF($A183="","",IF(COUNTIF(設定!$B$62:$B$201,$A183)=0,"⚠ 查無員編",IF(COUNTIF($E$3:$E$2002,$E183)&gt;1,"⚠ 重複打卡","OK")))</f>
        <v/>
      </c>
    </row>
    <row r="184">
      <c r="A184" s="20" t="n"/>
      <c r="B184" s="18" t="n"/>
      <c r="C184" s="81" t="n"/>
      <c r="D184" s="81" t="n"/>
      <c r="E184" s="16">
        <f>IF($A184="","",$A184&amp;"|"&amp;DAY($B184))</f>
        <v/>
      </c>
      <c r="F184" s="16">
        <f>IF($A184="","",IF(COUNTIF(設定!$B$62:$B$201,$A184)=0,"⚠ 查無員編",IF(COUNTIF($E$3:$E$2002,$E184)&gt;1,"⚠ 重複打卡","OK")))</f>
        <v/>
      </c>
    </row>
    <row r="185">
      <c r="A185" s="20" t="n"/>
      <c r="B185" s="18" t="n"/>
      <c r="C185" s="81" t="n"/>
      <c r="D185" s="81" t="n"/>
      <c r="E185" s="16">
        <f>IF($A185="","",$A185&amp;"|"&amp;DAY($B185))</f>
        <v/>
      </c>
      <c r="F185" s="16">
        <f>IF($A185="","",IF(COUNTIF(設定!$B$62:$B$201,$A185)=0,"⚠ 查無員編",IF(COUNTIF($E$3:$E$2002,$E185)&gt;1,"⚠ 重複打卡","OK")))</f>
        <v/>
      </c>
    </row>
    <row r="186">
      <c r="A186" s="20" t="n"/>
      <c r="B186" s="18" t="n"/>
      <c r="C186" s="81" t="n"/>
      <c r="D186" s="81" t="n"/>
      <c r="E186" s="16">
        <f>IF($A186="","",$A186&amp;"|"&amp;DAY($B186))</f>
        <v/>
      </c>
      <c r="F186" s="16">
        <f>IF($A186="","",IF(COUNTIF(設定!$B$62:$B$201,$A186)=0,"⚠ 查無員編",IF(COUNTIF($E$3:$E$2002,$E186)&gt;1,"⚠ 重複打卡","OK")))</f>
        <v/>
      </c>
    </row>
    <row r="187">
      <c r="A187" s="20" t="n"/>
      <c r="B187" s="18" t="n"/>
      <c r="C187" s="81" t="n"/>
      <c r="D187" s="81" t="n"/>
      <c r="E187" s="16">
        <f>IF($A187="","",$A187&amp;"|"&amp;DAY($B187))</f>
        <v/>
      </c>
      <c r="F187" s="16">
        <f>IF($A187="","",IF(COUNTIF(設定!$B$62:$B$201,$A187)=0,"⚠ 查無員編",IF(COUNTIF($E$3:$E$2002,$E187)&gt;1,"⚠ 重複打卡","OK")))</f>
        <v/>
      </c>
    </row>
    <row r="188">
      <c r="A188" s="20" t="n"/>
      <c r="B188" s="18" t="n"/>
      <c r="C188" s="81" t="n"/>
      <c r="D188" s="81" t="n"/>
      <c r="E188" s="16">
        <f>IF($A188="","",$A188&amp;"|"&amp;DAY($B188))</f>
        <v/>
      </c>
      <c r="F188" s="16">
        <f>IF($A188="","",IF(COUNTIF(設定!$B$62:$B$201,$A188)=0,"⚠ 查無員編",IF(COUNTIF($E$3:$E$2002,$E188)&gt;1,"⚠ 重複打卡","OK")))</f>
        <v/>
      </c>
    </row>
    <row r="189">
      <c r="A189" s="20" t="n"/>
      <c r="B189" s="18" t="n"/>
      <c r="C189" s="81" t="n"/>
      <c r="D189" s="81" t="n"/>
      <c r="E189" s="16">
        <f>IF($A189="","",$A189&amp;"|"&amp;DAY($B189))</f>
        <v/>
      </c>
      <c r="F189" s="16">
        <f>IF($A189="","",IF(COUNTIF(設定!$B$62:$B$201,$A189)=0,"⚠ 查無員編",IF(COUNTIF($E$3:$E$2002,$E189)&gt;1,"⚠ 重複打卡","OK")))</f>
        <v/>
      </c>
    </row>
    <row r="190">
      <c r="A190" s="20" t="n"/>
      <c r="B190" s="18" t="n"/>
      <c r="C190" s="81" t="n"/>
      <c r="D190" s="81" t="n"/>
      <c r="E190" s="16">
        <f>IF($A190="","",$A190&amp;"|"&amp;DAY($B190))</f>
        <v/>
      </c>
      <c r="F190" s="16">
        <f>IF($A190="","",IF(COUNTIF(設定!$B$62:$B$201,$A190)=0,"⚠ 查無員編",IF(COUNTIF($E$3:$E$2002,$E190)&gt;1,"⚠ 重複打卡","OK")))</f>
        <v/>
      </c>
    </row>
    <row r="191">
      <c r="A191" s="20" t="n"/>
      <c r="B191" s="18" t="n"/>
      <c r="C191" s="81" t="n"/>
      <c r="D191" s="81" t="n"/>
      <c r="E191" s="16">
        <f>IF($A191="","",$A191&amp;"|"&amp;DAY($B191))</f>
        <v/>
      </c>
      <c r="F191" s="16">
        <f>IF($A191="","",IF(COUNTIF(設定!$B$62:$B$201,$A191)=0,"⚠ 查無員編",IF(COUNTIF($E$3:$E$2002,$E191)&gt;1,"⚠ 重複打卡","OK")))</f>
        <v/>
      </c>
    </row>
    <row r="192">
      <c r="A192" s="20" t="n"/>
      <c r="B192" s="18" t="n"/>
      <c r="C192" s="81" t="n"/>
      <c r="D192" s="81" t="n"/>
      <c r="E192" s="16">
        <f>IF($A192="","",$A192&amp;"|"&amp;DAY($B192))</f>
        <v/>
      </c>
      <c r="F192" s="16">
        <f>IF($A192="","",IF(COUNTIF(設定!$B$62:$B$201,$A192)=0,"⚠ 查無員編",IF(COUNTIF($E$3:$E$2002,$E192)&gt;1,"⚠ 重複打卡","OK")))</f>
        <v/>
      </c>
    </row>
    <row r="193">
      <c r="A193" s="20" t="n"/>
      <c r="B193" s="18" t="n"/>
      <c r="C193" s="81" t="n"/>
      <c r="D193" s="81" t="n"/>
      <c r="E193" s="16">
        <f>IF($A193="","",$A193&amp;"|"&amp;DAY($B193))</f>
        <v/>
      </c>
      <c r="F193" s="16">
        <f>IF($A193="","",IF(COUNTIF(設定!$B$62:$B$201,$A193)=0,"⚠ 查無員編",IF(COUNTIF($E$3:$E$2002,$E193)&gt;1,"⚠ 重複打卡","OK")))</f>
        <v/>
      </c>
    </row>
    <row r="194">
      <c r="A194" s="20" t="n"/>
      <c r="B194" s="18" t="n"/>
      <c r="C194" s="81" t="n"/>
      <c r="D194" s="81" t="n"/>
      <c r="E194" s="16">
        <f>IF($A194="","",$A194&amp;"|"&amp;DAY($B194))</f>
        <v/>
      </c>
      <c r="F194" s="16">
        <f>IF($A194="","",IF(COUNTIF(設定!$B$62:$B$201,$A194)=0,"⚠ 查無員編",IF(COUNTIF($E$3:$E$2002,$E194)&gt;1,"⚠ 重複打卡","OK")))</f>
        <v/>
      </c>
    </row>
    <row r="195">
      <c r="A195" s="20" t="n"/>
      <c r="B195" s="18" t="n"/>
      <c r="C195" s="81" t="n"/>
      <c r="D195" s="81" t="n"/>
      <c r="E195" s="16">
        <f>IF($A195="","",$A195&amp;"|"&amp;DAY($B195))</f>
        <v/>
      </c>
      <c r="F195" s="16">
        <f>IF($A195="","",IF(COUNTIF(設定!$B$62:$B$201,$A195)=0,"⚠ 查無員編",IF(COUNTIF($E$3:$E$2002,$E195)&gt;1,"⚠ 重複打卡","OK")))</f>
        <v/>
      </c>
    </row>
    <row r="196">
      <c r="A196" s="20" t="n"/>
      <c r="B196" s="18" t="n"/>
      <c r="C196" s="81" t="n"/>
      <c r="D196" s="81" t="n"/>
      <c r="E196" s="16">
        <f>IF($A196="","",$A196&amp;"|"&amp;DAY($B196))</f>
        <v/>
      </c>
      <c r="F196" s="16">
        <f>IF($A196="","",IF(COUNTIF(設定!$B$62:$B$201,$A196)=0,"⚠ 查無員編",IF(COUNTIF($E$3:$E$2002,$E196)&gt;1,"⚠ 重複打卡","OK")))</f>
        <v/>
      </c>
    </row>
    <row r="197">
      <c r="A197" s="20" t="n"/>
      <c r="B197" s="18" t="n"/>
      <c r="C197" s="81" t="n"/>
      <c r="D197" s="81" t="n"/>
      <c r="E197" s="16">
        <f>IF($A197="","",$A197&amp;"|"&amp;DAY($B197))</f>
        <v/>
      </c>
      <c r="F197" s="16">
        <f>IF($A197="","",IF(COUNTIF(設定!$B$62:$B$201,$A197)=0,"⚠ 查無員編",IF(COUNTIF($E$3:$E$2002,$E197)&gt;1,"⚠ 重複打卡","OK")))</f>
        <v/>
      </c>
    </row>
    <row r="198">
      <c r="A198" s="20" t="n"/>
      <c r="B198" s="18" t="n"/>
      <c r="C198" s="81" t="n"/>
      <c r="D198" s="81" t="n"/>
      <c r="E198" s="16">
        <f>IF($A198="","",$A198&amp;"|"&amp;DAY($B198))</f>
        <v/>
      </c>
      <c r="F198" s="16">
        <f>IF($A198="","",IF(COUNTIF(設定!$B$62:$B$201,$A198)=0,"⚠ 查無員編",IF(COUNTIF($E$3:$E$2002,$E198)&gt;1,"⚠ 重複打卡","OK")))</f>
        <v/>
      </c>
    </row>
    <row r="199">
      <c r="A199" s="20" t="n"/>
      <c r="B199" s="18" t="n"/>
      <c r="C199" s="81" t="n"/>
      <c r="D199" s="81" t="n"/>
      <c r="E199" s="16">
        <f>IF($A199="","",$A199&amp;"|"&amp;DAY($B199))</f>
        <v/>
      </c>
      <c r="F199" s="16">
        <f>IF($A199="","",IF(COUNTIF(設定!$B$62:$B$201,$A199)=0,"⚠ 查無員編",IF(COUNTIF($E$3:$E$2002,$E199)&gt;1,"⚠ 重複打卡","OK")))</f>
        <v/>
      </c>
    </row>
    <row r="200">
      <c r="A200" s="20" t="n"/>
      <c r="B200" s="18" t="n"/>
      <c r="C200" s="81" t="n"/>
      <c r="D200" s="81" t="n"/>
      <c r="E200" s="16">
        <f>IF($A200="","",$A200&amp;"|"&amp;DAY($B200))</f>
        <v/>
      </c>
      <c r="F200" s="16">
        <f>IF($A200="","",IF(COUNTIF(設定!$B$62:$B$201,$A200)=0,"⚠ 查無員編",IF(COUNTIF($E$3:$E$2002,$E200)&gt;1,"⚠ 重複打卡","OK")))</f>
        <v/>
      </c>
    </row>
    <row r="201">
      <c r="A201" s="20" t="n"/>
      <c r="B201" s="18" t="n"/>
      <c r="C201" s="81" t="n"/>
      <c r="D201" s="81" t="n"/>
      <c r="E201" s="16">
        <f>IF($A201="","",$A201&amp;"|"&amp;DAY($B201))</f>
        <v/>
      </c>
      <c r="F201" s="16">
        <f>IF($A201="","",IF(COUNTIF(設定!$B$62:$B$201,$A201)=0,"⚠ 查無員編",IF(COUNTIF($E$3:$E$2002,$E201)&gt;1,"⚠ 重複打卡","OK")))</f>
        <v/>
      </c>
    </row>
    <row r="202">
      <c r="A202" s="20" t="n"/>
      <c r="B202" s="18" t="n"/>
      <c r="C202" s="81" t="n"/>
      <c r="D202" s="81" t="n"/>
      <c r="E202" s="16">
        <f>IF($A202="","",$A202&amp;"|"&amp;DAY($B202))</f>
        <v/>
      </c>
      <c r="F202" s="16">
        <f>IF($A202="","",IF(COUNTIF(設定!$B$62:$B$201,$A202)=0,"⚠ 查無員編",IF(COUNTIF($E$3:$E$2002,$E202)&gt;1,"⚠ 重複打卡","OK")))</f>
        <v/>
      </c>
    </row>
    <row r="203">
      <c r="A203" s="20" t="n"/>
      <c r="B203" s="18" t="n"/>
      <c r="C203" s="81" t="n"/>
      <c r="D203" s="81" t="n"/>
      <c r="E203" s="16">
        <f>IF($A203="","",$A203&amp;"|"&amp;DAY($B203))</f>
        <v/>
      </c>
      <c r="F203" s="16">
        <f>IF($A203="","",IF(COUNTIF(設定!$B$62:$B$201,$A203)=0,"⚠ 查無員編",IF(COUNTIF($E$3:$E$2002,$E203)&gt;1,"⚠ 重複打卡","OK")))</f>
        <v/>
      </c>
    </row>
    <row r="204">
      <c r="A204" s="20" t="n"/>
      <c r="B204" s="18" t="n"/>
      <c r="C204" s="81" t="n"/>
      <c r="D204" s="81" t="n"/>
      <c r="E204" s="16">
        <f>IF($A204="","",$A204&amp;"|"&amp;DAY($B204))</f>
        <v/>
      </c>
      <c r="F204" s="16">
        <f>IF($A204="","",IF(COUNTIF(設定!$B$62:$B$201,$A204)=0,"⚠ 查無員編",IF(COUNTIF($E$3:$E$2002,$E204)&gt;1,"⚠ 重複打卡","OK")))</f>
        <v/>
      </c>
    </row>
    <row r="205">
      <c r="A205" s="20" t="n"/>
      <c r="B205" s="18" t="n"/>
      <c r="C205" s="81" t="n"/>
      <c r="D205" s="81" t="n"/>
      <c r="E205" s="16">
        <f>IF($A205="","",$A205&amp;"|"&amp;DAY($B205))</f>
        <v/>
      </c>
      <c r="F205" s="16">
        <f>IF($A205="","",IF(COUNTIF(設定!$B$62:$B$201,$A205)=0,"⚠ 查無員編",IF(COUNTIF($E$3:$E$2002,$E205)&gt;1,"⚠ 重複打卡","OK")))</f>
        <v/>
      </c>
    </row>
    <row r="206">
      <c r="A206" s="20" t="n"/>
      <c r="B206" s="18" t="n"/>
      <c r="C206" s="81" t="n"/>
      <c r="D206" s="81" t="n"/>
      <c r="E206" s="16">
        <f>IF($A206="","",$A206&amp;"|"&amp;DAY($B206))</f>
        <v/>
      </c>
      <c r="F206" s="16">
        <f>IF($A206="","",IF(COUNTIF(設定!$B$62:$B$201,$A206)=0,"⚠ 查無員編",IF(COUNTIF($E$3:$E$2002,$E206)&gt;1,"⚠ 重複打卡","OK")))</f>
        <v/>
      </c>
    </row>
    <row r="207">
      <c r="A207" s="20" t="n"/>
      <c r="B207" s="18" t="n"/>
      <c r="C207" s="81" t="n"/>
      <c r="D207" s="81" t="n"/>
      <c r="E207" s="16">
        <f>IF($A207="","",$A207&amp;"|"&amp;DAY($B207))</f>
        <v/>
      </c>
      <c r="F207" s="16">
        <f>IF($A207="","",IF(COUNTIF(設定!$B$62:$B$201,$A207)=0,"⚠ 查無員編",IF(COUNTIF($E$3:$E$2002,$E207)&gt;1,"⚠ 重複打卡","OK")))</f>
        <v/>
      </c>
    </row>
    <row r="208">
      <c r="A208" s="20" t="n"/>
      <c r="B208" s="18" t="n"/>
      <c r="C208" s="81" t="n"/>
      <c r="D208" s="81" t="n"/>
      <c r="E208" s="16">
        <f>IF($A208="","",$A208&amp;"|"&amp;DAY($B208))</f>
        <v/>
      </c>
      <c r="F208" s="16">
        <f>IF($A208="","",IF(COUNTIF(設定!$B$62:$B$201,$A208)=0,"⚠ 查無員編",IF(COUNTIF($E$3:$E$2002,$E208)&gt;1,"⚠ 重複打卡","OK")))</f>
        <v/>
      </c>
    </row>
    <row r="209">
      <c r="A209" s="20" t="n"/>
      <c r="B209" s="18" t="n"/>
      <c r="C209" s="81" t="n"/>
      <c r="D209" s="81" t="n"/>
      <c r="E209" s="16">
        <f>IF($A209="","",$A209&amp;"|"&amp;DAY($B209))</f>
        <v/>
      </c>
      <c r="F209" s="16">
        <f>IF($A209="","",IF(COUNTIF(設定!$B$62:$B$201,$A209)=0,"⚠ 查無員編",IF(COUNTIF($E$3:$E$2002,$E209)&gt;1,"⚠ 重複打卡","OK")))</f>
        <v/>
      </c>
    </row>
    <row r="210">
      <c r="A210" s="20" t="n"/>
      <c r="B210" s="18" t="n"/>
      <c r="C210" s="81" t="n"/>
      <c r="D210" s="81" t="n"/>
      <c r="E210" s="16">
        <f>IF($A210="","",$A210&amp;"|"&amp;DAY($B210))</f>
        <v/>
      </c>
      <c r="F210" s="16">
        <f>IF($A210="","",IF(COUNTIF(設定!$B$62:$B$201,$A210)=0,"⚠ 查無員編",IF(COUNTIF($E$3:$E$2002,$E210)&gt;1,"⚠ 重複打卡","OK")))</f>
        <v/>
      </c>
    </row>
    <row r="211">
      <c r="A211" s="20" t="n"/>
      <c r="B211" s="18" t="n"/>
      <c r="C211" s="81" t="n"/>
      <c r="D211" s="81" t="n"/>
      <c r="E211" s="16">
        <f>IF($A211="","",$A211&amp;"|"&amp;DAY($B211))</f>
        <v/>
      </c>
      <c r="F211" s="16">
        <f>IF($A211="","",IF(COUNTIF(設定!$B$62:$B$201,$A211)=0,"⚠ 查無員編",IF(COUNTIF($E$3:$E$2002,$E211)&gt;1,"⚠ 重複打卡","OK")))</f>
        <v/>
      </c>
    </row>
    <row r="212">
      <c r="A212" s="20" t="n"/>
      <c r="B212" s="18" t="n"/>
      <c r="C212" s="81" t="n"/>
      <c r="D212" s="81" t="n"/>
      <c r="E212" s="16">
        <f>IF($A212="","",$A212&amp;"|"&amp;DAY($B212))</f>
        <v/>
      </c>
      <c r="F212" s="16">
        <f>IF($A212="","",IF(COUNTIF(設定!$B$62:$B$201,$A212)=0,"⚠ 查無員編",IF(COUNTIF($E$3:$E$2002,$E212)&gt;1,"⚠ 重複打卡","OK")))</f>
        <v/>
      </c>
    </row>
    <row r="213">
      <c r="A213" s="20" t="n"/>
      <c r="B213" s="18" t="n"/>
      <c r="C213" s="81" t="n"/>
      <c r="D213" s="81" t="n"/>
      <c r="E213" s="16">
        <f>IF($A213="","",$A213&amp;"|"&amp;DAY($B213))</f>
        <v/>
      </c>
      <c r="F213" s="16">
        <f>IF($A213="","",IF(COUNTIF(設定!$B$62:$B$201,$A213)=0,"⚠ 查無員編",IF(COUNTIF($E$3:$E$2002,$E213)&gt;1,"⚠ 重複打卡","OK")))</f>
        <v/>
      </c>
    </row>
    <row r="214">
      <c r="A214" s="20" t="n"/>
      <c r="B214" s="18" t="n"/>
      <c r="C214" s="81" t="n"/>
      <c r="D214" s="81" t="n"/>
      <c r="E214" s="16">
        <f>IF($A214="","",$A214&amp;"|"&amp;DAY($B214))</f>
        <v/>
      </c>
      <c r="F214" s="16">
        <f>IF($A214="","",IF(COUNTIF(設定!$B$62:$B$201,$A214)=0,"⚠ 查無員編",IF(COUNTIF($E$3:$E$2002,$E214)&gt;1,"⚠ 重複打卡","OK")))</f>
        <v/>
      </c>
    </row>
    <row r="215">
      <c r="A215" s="20" t="n"/>
      <c r="B215" s="18" t="n"/>
      <c r="C215" s="81" t="n"/>
      <c r="D215" s="81" t="n"/>
      <c r="E215" s="16">
        <f>IF($A215="","",$A215&amp;"|"&amp;DAY($B215))</f>
        <v/>
      </c>
      <c r="F215" s="16">
        <f>IF($A215="","",IF(COUNTIF(設定!$B$62:$B$201,$A215)=0,"⚠ 查無員編",IF(COUNTIF($E$3:$E$2002,$E215)&gt;1,"⚠ 重複打卡","OK")))</f>
        <v/>
      </c>
    </row>
    <row r="216">
      <c r="A216" s="20" t="n"/>
      <c r="B216" s="18" t="n"/>
      <c r="C216" s="81" t="n"/>
      <c r="D216" s="81" t="n"/>
      <c r="E216" s="16">
        <f>IF($A216="","",$A216&amp;"|"&amp;DAY($B216))</f>
        <v/>
      </c>
      <c r="F216" s="16">
        <f>IF($A216="","",IF(COUNTIF(設定!$B$62:$B$201,$A216)=0,"⚠ 查無員編",IF(COUNTIF($E$3:$E$2002,$E216)&gt;1,"⚠ 重複打卡","OK")))</f>
        <v/>
      </c>
    </row>
    <row r="217">
      <c r="A217" s="20" t="n"/>
      <c r="B217" s="18" t="n"/>
      <c r="C217" s="81" t="n"/>
      <c r="D217" s="81" t="n"/>
      <c r="E217" s="16">
        <f>IF($A217="","",$A217&amp;"|"&amp;DAY($B217))</f>
        <v/>
      </c>
      <c r="F217" s="16">
        <f>IF($A217="","",IF(COUNTIF(設定!$B$62:$B$201,$A217)=0,"⚠ 查無員編",IF(COUNTIF($E$3:$E$2002,$E217)&gt;1,"⚠ 重複打卡","OK")))</f>
        <v/>
      </c>
    </row>
    <row r="218">
      <c r="A218" s="20" t="n"/>
      <c r="B218" s="18" t="n"/>
      <c r="C218" s="81" t="n"/>
      <c r="D218" s="81" t="n"/>
      <c r="E218" s="16">
        <f>IF($A218="","",$A218&amp;"|"&amp;DAY($B218))</f>
        <v/>
      </c>
      <c r="F218" s="16">
        <f>IF($A218="","",IF(COUNTIF(設定!$B$62:$B$201,$A218)=0,"⚠ 查無員編",IF(COUNTIF($E$3:$E$2002,$E218)&gt;1,"⚠ 重複打卡","OK")))</f>
        <v/>
      </c>
    </row>
    <row r="219">
      <c r="A219" s="20" t="n"/>
      <c r="B219" s="18" t="n"/>
      <c r="C219" s="81" t="n"/>
      <c r="D219" s="81" t="n"/>
      <c r="E219" s="16">
        <f>IF($A219="","",$A219&amp;"|"&amp;DAY($B219))</f>
        <v/>
      </c>
      <c r="F219" s="16">
        <f>IF($A219="","",IF(COUNTIF(設定!$B$62:$B$201,$A219)=0,"⚠ 查無員編",IF(COUNTIF($E$3:$E$2002,$E219)&gt;1,"⚠ 重複打卡","OK")))</f>
        <v/>
      </c>
    </row>
    <row r="220">
      <c r="A220" s="20" t="n"/>
      <c r="B220" s="18" t="n"/>
      <c r="C220" s="81" t="n"/>
      <c r="D220" s="81" t="n"/>
      <c r="E220" s="16">
        <f>IF($A220="","",$A220&amp;"|"&amp;DAY($B220))</f>
        <v/>
      </c>
      <c r="F220" s="16">
        <f>IF($A220="","",IF(COUNTIF(設定!$B$62:$B$201,$A220)=0,"⚠ 查無員編",IF(COUNTIF($E$3:$E$2002,$E220)&gt;1,"⚠ 重複打卡","OK")))</f>
        <v/>
      </c>
    </row>
    <row r="221">
      <c r="A221" s="20" t="n"/>
      <c r="B221" s="18" t="n"/>
      <c r="C221" s="81" t="n"/>
      <c r="D221" s="81" t="n"/>
      <c r="E221" s="16">
        <f>IF($A221="","",$A221&amp;"|"&amp;DAY($B221))</f>
        <v/>
      </c>
      <c r="F221" s="16">
        <f>IF($A221="","",IF(COUNTIF(設定!$B$62:$B$201,$A221)=0,"⚠ 查無員編",IF(COUNTIF($E$3:$E$2002,$E221)&gt;1,"⚠ 重複打卡","OK")))</f>
        <v/>
      </c>
    </row>
    <row r="222">
      <c r="A222" s="20" t="n"/>
      <c r="B222" s="18" t="n"/>
      <c r="C222" s="81" t="n"/>
      <c r="D222" s="81" t="n"/>
      <c r="E222" s="16">
        <f>IF($A222="","",$A222&amp;"|"&amp;DAY($B222))</f>
        <v/>
      </c>
      <c r="F222" s="16">
        <f>IF($A222="","",IF(COUNTIF(設定!$B$62:$B$201,$A222)=0,"⚠ 查無員編",IF(COUNTIF($E$3:$E$2002,$E222)&gt;1,"⚠ 重複打卡","OK")))</f>
        <v/>
      </c>
    </row>
    <row r="223">
      <c r="A223" s="20" t="n"/>
      <c r="B223" s="18" t="n"/>
      <c r="C223" s="81" t="n"/>
      <c r="D223" s="81" t="n"/>
      <c r="E223" s="16">
        <f>IF($A223="","",$A223&amp;"|"&amp;DAY($B223))</f>
        <v/>
      </c>
      <c r="F223" s="16">
        <f>IF($A223="","",IF(COUNTIF(設定!$B$62:$B$201,$A223)=0,"⚠ 查無員編",IF(COUNTIF($E$3:$E$2002,$E223)&gt;1,"⚠ 重複打卡","OK")))</f>
        <v/>
      </c>
    </row>
    <row r="224">
      <c r="A224" s="20" t="n"/>
      <c r="B224" s="18" t="n"/>
      <c r="C224" s="81" t="n"/>
      <c r="D224" s="81" t="n"/>
      <c r="E224" s="16">
        <f>IF($A224="","",$A224&amp;"|"&amp;DAY($B224))</f>
        <v/>
      </c>
      <c r="F224" s="16">
        <f>IF($A224="","",IF(COUNTIF(設定!$B$62:$B$201,$A224)=0,"⚠ 查無員編",IF(COUNTIF($E$3:$E$2002,$E224)&gt;1,"⚠ 重複打卡","OK")))</f>
        <v/>
      </c>
    </row>
    <row r="225">
      <c r="A225" s="20" t="n"/>
      <c r="B225" s="18" t="n"/>
      <c r="C225" s="81" t="n"/>
      <c r="D225" s="81" t="n"/>
      <c r="E225" s="16">
        <f>IF($A225="","",$A225&amp;"|"&amp;DAY($B225))</f>
        <v/>
      </c>
      <c r="F225" s="16">
        <f>IF($A225="","",IF(COUNTIF(設定!$B$62:$B$201,$A225)=0,"⚠ 查無員編",IF(COUNTIF($E$3:$E$2002,$E225)&gt;1,"⚠ 重複打卡","OK")))</f>
        <v/>
      </c>
    </row>
    <row r="226">
      <c r="A226" s="20" t="n"/>
      <c r="B226" s="18" t="n"/>
      <c r="C226" s="81" t="n"/>
      <c r="D226" s="81" t="n"/>
      <c r="E226" s="16">
        <f>IF($A226="","",$A226&amp;"|"&amp;DAY($B226))</f>
        <v/>
      </c>
      <c r="F226" s="16">
        <f>IF($A226="","",IF(COUNTIF(設定!$B$62:$B$201,$A226)=0,"⚠ 查無員編",IF(COUNTIF($E$3:$E$2002,$E226)&gt;1,"⚠ 重複打卡","OK")))</f>
        <v/>
      </c>
    </row>
    <row r="227">
      <c r="A227" s="20" t="n"/>
      <c r="B227" s="18" t="n"/>
      <c r="C227" s="81" t="n"/>
      <c r="D227" s="81" t="n"/>
      <c r="E227" s="16">
        <f>IF($A227="","",$A227&amp;"|"&amp;DAY($B227))</f>
        <v/>
      </c>
      <c r="F227" s="16">
        <f>IF($A227="","",IF(COUNTIF(設定!$B$62:$B$201,$A227)=0,"⚠ 查無員編",IF(COUNTIF($E$3:$E$2002,$E227)&gt;1,"⚠ 重複打卡","OK")))</f>
        <v/>
      </c>
    </row>
    <row r="228">
      <c r="A228" s="20" t="n"/>
      <c r="B228" s="18" t="n"/>
      <c r="C228" s="81" t="n"/>
      <c r="D228" s="81" t="n"/>
      <c r="E228" s="16">
        <f>IF($A228="","",$A228&amp;"|"&amp;DAY($B228))</f>
        <v/>
      </c>
      <c r="F228" s="16">
        <f>IF($A228="","",IF(COUNTIF(設定!$B$62:$B$201,$A228)=0,"⚠ 查無員編",IF(COUNTIF($E$3:$E$2002,$E228)&gt;1,"⚠ 重複打卡","OK")))</f>
        <v/>
      </c>
    </row>
    <row r="229">
      <c r="A229" s="20" t="n"/>
      <c r="B229" s="18" t="n"/>
      <c r="C229" s="81" t="n"/>
      <c r="D229" s="81" t="n"/>
      <c r="E229" s="16">
        <f>IF($A229="","",$A229&amp;"|"&amp;DAY($B229))</f>
        <v/>
      </c>
      <c r="F229" s="16">
        <f>IF($A229="","",IF(COUNTIF(設定!$B$62:$B$201,$A229)=0,"⚠ 查無員編",IF(COUNTIF($E$3:$E$2002,$E229)&gt;1,"⚠ 重複打卡","OK")))</f>
        <v/>
      </c>
    </row>
    <row r="230">
      <c r="A230" s="20" t="n"/>
      <c r="B230" s="18" t="n"/>
      <c r="C230" s="81" t="n"/>
      <c r="D230" s="81" t="n"/>
      <c r="E230" s="16">
        <f>IF($A230="","",$A230&amp;"|"&amp;DAY($B230))</f>
        <v/>
      </c>
      <c r="F230" s="16">
        <f>IF($A230="","",IF(COUNTIF(設定!$B$62:$B$201,$A230)=0,"⚠ 查無員編",IF(COUNTIF($E$3:$E$2002,$E230)&gt;1,"⚠ 重複打卡","OK")))</f>
        <v/>
      </c>
    </row>
    <row r="231">
      <c r="A231" s="20" t="n"/>
      <c r="B231" s="18" t="n"/>
      <c r="C231" s="81" t="n"/>
      <c r="D231" s="81" t="n"/>
      <c r="E231" s="16">
        <f>IF($A231="","",$A231&amp;"|"&amp;DAY($B231))</f>
        <v/>
      </c>
      <c r="F231" s="16">
        <f>IF($A231="","",IF(COUNTIF(設定!$B$62:$B$201,$A231)=0,"⚠ 查無員編",IF(COUNTIF($E$3:$E$2002,$E231)&gt;1,"⚠ 重複打卡","OK")))</f>
        <v/>
      </c>
    </row>
    <row r="232">
      <c r="A232" s="20" t="n"/>
      <c r="B232" s="18" t="n"/>
      <c r="C232" s="81" t="n"/>
      <c r="D232" s="81" t="n"/>
      <c r="E232" s="16">
        <f>IF($A232="","",$A232&amp;"|"&amp;DAY($B232))</f>
        <v/>
      </c>
      <c r="F232" s="16">
        <f>IF($A232="","",IF(COUNTIF(設定!$B$62:$B$201,$A232)=0,"⚠ 查無員編",IF(COUNTIF($E$3:$E$2002,$E232)&gt;1,"⚠ 重複打卡","OK")))</f>
        <v/>
      </c>
    </row>
    <row r="233">
      <c r="A233" s="20" t="n"/>
      <c r="B233" s="18" t="n"/>
      <c r="C233" s="81" t="n"/>
      <c r="D233" s="81" t="n"/>
      <c r="E233" s="16">
        <f>IF($A233="","",$A233&amp;"|"&amp;DAY($B233))</f>
        <v/>
      </c>
      <c r="F233" s="16">
        <f>IF($A233="","",IF(COUNTIF(設定!$B$62:$B$201,$A233)=0,"⚠ 查無員編",IF(COUNTIF($E$3:$E$2002,$E233)&gt;1,"⚠ 重複打卡","OK")))</f>
        <v/>
      </c>
    </row>
    <row r="234">
      <c r="A234" s="20" t="n"/>
      <c r="B234" s="18" t="n"/>
      <c r="C234" s="81" t="n"/>
      <c r="D234" s="81" t="n"/>
      <c r="E234" s="16">
        <f>IF($A234="","",$A234&amp;"|"&amp;DAY($B234))</f>
        <v/>
      </c>
      <c r="F234" s="16">
        <f>IF($A234="","",IF(COUNTIF(設定!$B$62:$B$201,$A234)=0,"⚠ 查無員編",IF(COUNTIF($E$3:$E$2002,$E234)&gt;1,"⚠ 重複打卡","OK")))</f>
        <v/>
      </c>
    </row>
    <row r="235">
      <c r="A235" s="20" t="n"/>
      <c r="B235" s="18" t="n"/>
      <c r="C235" s="81" t="n"/>
      <c r="D235" s="81" t="n"/>
      <c r="E235" s="16">
        <f>IF($A235="","",$A235&amp;"|"&amp;DAY($B235))</f>
        <v/>
      </c>
      <c r="F235" s="16">
        <f>IF($A235="","",IF(COUNTIF(設定!$B$62:$B$201,$A235)=0,"⚠ 查無員編",IF(COUNTIF($E$3:$E$2002,$E235)&gt;1,"⚠ 重複打卡","OK")))</f>
        <v/>
      </c>
    </row>
    <row r="236">
      <c r="A236" s="20" t="n"/>
      <c r="B236" s="18" t="n"/>
      <c r="C236" s="81" t="n"/>
      <c r="D236" s="81" t="n"/>
      <c r="E236" s="16">
        <f>IF($A236="","",$A236&amp;"|"&amp;DAY($B236))</f>
        <v/>
      </c>
      <c r="F236" s="16">
        <f>IF($A236="","",IF(COUNTIF(設定!$B$62:$B$201,$A236)=0,"⚠ 查無員編",IF(COUNTIF($E$3:$E$2002,$E236)&gt;1,"⚠ 重複打卡","OK")))</f>
        <v/>
      </c>
    </row>
    <row r="237">
      <c r="A237" s="20" t="n"/>
      <c r="B237" s="18" t="n"/>
      <c r="C237" s="81" t="n"/>
      <c r="D237" s="81" t="n"/>
      <c r="E237" s="16">
        <f>IF($A237="","",$A237&amp;"|"&amp;DAY($B237))</f>
        <v/>
      </c>
      <c r="F237" s="16">
        <f>IF($A237="","",IF(COUNTIF(設定!$B$62:$B$201,$A237)=0,"⚠ 查無員編",IF(COUNTIF($E$3:$E$2002,$E237)&gt;1,"⚠ 重複打卡","OK")))</f>
        <v/>
      </c>
    </row>
    <row r="238">
      <c r="A238" s="20" t="n"/>
      <c r="B238" s="18" t="n"/>
      <c r="C238" s="81" t="n"/>
      <c r="D238" s="81" t="n"/>
      <c r="E238" s="16">
        <f>IF($A238="","",$A238&amp;"|"&amp;DAY($B238))</f>
        <v/>
      </c>
      <c r="F238" s="16">
        <f>IF($A238="","",IF(COUNTIF(設定!$B$62:$B$201,$A238)=0,"⚠ 查無員編",IF(COUNTIF($E$3:$E$2002,$E238)&gt;1,"⚠ 重複打卡","OK")))</f>
        <v/>
      </c>
    </row>
    <row r="239">
      <c r="A239" s="20" t="n"/>
      <c r="B239" s="18" t="n"/>
      <c r="C239" s="81" t="n"/>
      <c r="D239" s="81" t="n"/>
      <c r="E239" s="16">
        <f>IF($A239="","",$A239&amp;"|"&amp;DAY($B239))</f>
        <v/>
      </c>
      <c r="F239" s="16">
        <f>IF($A239="","",IF(COUNTIF(設定!$B$62:$B$201,$A239)=0,"⚠ 查無員編",IF(COUNTIF($E$3:$E$2002,$E239)&gt;1,"⚠ 重複打卡","OK")))</f>
        <v/>
      </c>
    </row>
    <row r="240">
      <c r="A240" s="20" t="n"/>
      <c r="B240" s="18" t="n"/>
      <c r="C240" s="81" t="n"/>
      <c r="D240" s="81" t="n"/>
      <c r="E240" s="16">
        <f>IF($A240="","",$A240&amp;"|"&amp;DAY($B240))</f>
        <v/>
      </c>
      <c r="F240" s="16">
        <f>IF($A240="","",IF(COUNTIF(設定!$B$62:$B$201,$A240)=0,"⚠ 查無員編",IF(COUNTIF($E$3:$E$2002,$E240)&gt;1,"⚠ 重複打卡","OK")))</f>
        <v/>
      </c>
    </row>
    <row r="241">
      <c r="A241" s="20" t="n"/>
      <c r="B241" s="18" t="n"/>
      <c r="C241" s="81" t="n"/>
      <c r="D241" s="81" t="n"/>
      <c r="E241" s="16">
        <f>IF($A241="","",$A241&amp;"|"&amp;DAY($B241))</f>
        <v/>
      </c>
      <c r="F241" s="16">
        <f>IF($A241="","",IF(COUNTIF(設定!$B$62:$B$201,$A241)=0,"⚠ 查無員編",IF(COUNTIF($E$3:$E$2002,$E241)&gt;1,"⚠ 重複打卡","OK")))</f>
        <v/>
      </c>
    </row>
    <row r="242">
      <c r="A242" s="20" t="n"/>
      <c r="B242" s="18" t="n"/>
      <c r="C242" s="81" t="n"/>
      <c r="D242" s="81" t="n"/>
      <c r="E242" s="16">
        <f>IF($A242="","",$A242&amp;"|"&amp;DAY($B242))</f>
        <v/>
      </c>
      <c r="F242" s="16">
        <f>IF($A242="","",IF(COUNTIF(設定!$B$62:$B$201,$A242)=0,"⚠ 查無員編",IF(COUNTIF($E$3:$E$2002,$E242)&gt;1,"⚠ 重複打卡","OK")))</f>
        <v/>
      </c>
    </row>
    <row r="243">
      <c r="A243" s="20" t="n"/>
      <c r="B243" s="18" t="n"/>
      <c r="C243" s="81" t="n"/>
      <c r="D243" s="81" t="n"/>
      <c r="E243" s="16">
        <f>IF($A243="","",$A243&amp;"|"&amp;DAY($B243))</f>
        <v/>
      </c>
      <c r="F243" s="16">
        <f>IF($A243="","",IF(COUNTIF(設定!$B$62:$B$201,$A243)=0,"⚠ 查無員編",IF(COUNTIF($E$3:$E$2002,$E243)&gt;1,"⚠ 重複打卡","OK")))</f>
        <v/>
      </c>
    </row>
    <row r="244">
      <c r="A244" s="20" t="n"/>
      <c r="B244" s="18" t="n"/>
      <c r="C244" s="81" t="n"/>
      <c r="D244" s="81" t="n"/>
      <c r="E244" s="16">
        <f>IF($A244="","",$A244&amp;"|"&amp;DAY($B244))</f>
        <v/>
      </c>
      <c r="F244" s="16">
        <f>IF($A244="","",IF(COUNTIF(設定!$B$62:$B$201,$A244)=0,"⚠ 查無員編",IF(COUNTIF($E$3:$E$2002,$E244)&gt;1,"⚠ 重複打卡","OK")))</f>
        <v/>
      </c>
    </row>
    <row r="245">
      <c r="A245" s="20" t="n"/>
      <c r="B245" s="18" t="n"/>
      <c r="C245" s="81" t="n"/>
      <c r="D245" s="81" t="n"/>
      <c r="E245" s="16">
        <f>IF($A245="","",$A245&amp;"|"&amp;DAY($B245))</f>
        <v/>
      </c>
      <c r="F245" s="16">
        <f>IF($A245="","",IF(COUNTIF(設定!$B$62:$B$201,$A245)=0,"⚠ 查無員編",IF(COUNTIF($E$3:$E$2002,$E245)&gt;1,"⚠ 重複打卡","OK")))</f>
        <v/>
      </c>
    </row>
    <row r="246">
      <c r="A246" s="20" t="n"/>
      <c r="B246" s="18" t="n"/>
      <c r="C246" s="81" t="n"/>
      <c r="D246" s="81" t="n"/>
      <c r="E246" s="16">
        <f>IF($A246="","",$A246&amp;"|"&amp;DAY($B246))</f>
        <v/>
      </c>
      <c r="F246" s="16">
        <f>IF($A246="","",IF(COUNTIF(設定!$B$62:$B$201,$A246)=0,"⚠ 查無員編",IF(COUNTIF($E$3:$E$2002,$E246)&gt;1,"⚠ 重複打卡","OK")))</f>
        <v/>
      </c>
    </row>
    <row r="247">
      <c r="A247" s="20" t="n"/>
      <c r="B247" s="18" t="n"/>
      <c r="C247" s="81" t="n"/>
      <c r="D247" s="81" t="n"/>
      <c r="E247" s="16">
        <f>IF($A247="","",$A247&amp;"|"&amp;DAY($B247))</f>
        <v/>
      </c>
      <c r="F247" s="16">
        <f>IF($A247="","",IF(COUNTIF(設定!$B$62:$B$201,$A247)=0,"⚠ 查無員編",IF(COUNTIF($E$3:$E$2002,$E247)&gt;1,"⚠ 重複打卡","OK")))</f>
        <v/>
      </c>
    </row>
    <row r="248">
      <c r="A248" s="20" t="n"/>
      <c r="B248" s="18" t="n"/>
      <c r="C248" s="81" t="n"/>
      <c r="D248" s="81" t="n"/>
      <c r="E248" s="16">
        <f>IF($A248="","",$A248&amp;"|"&amp;DAY($B248))</f>
        <v/>
      </c>
      <c r="F248" s="16">
        <f>IF($A248="","",IF(COUNTIF(設定!$B$62:$B$201,$A248)=0,"⚠ 查無員編",IF(COUNTIF($E$3:$E$2002,$E248)&gt;1,"⚠ 重複打卡","OK")))</f>
        <v/>
      </c>
    </row>
    <row r="249">
      <c r="A249" s="20" t="n"/>
      <c r="B249" s="18" t="n"/>
      <c r="C249" s="81" t="n"/>
      <c r="D249" s="81" t="n"/>
      <c r="E249" s="16">
        <f>IF($A249="","",$A249&amp;"|"&amp;DAY($B249))</f>
        <v/>
      </c>
      <c r="F249" s="16">
        <f>IF($A249="","",IF(COUNTIF(設定!$B$62:$B$201,$A249)=0,"⚠ 查無員編",IF(COUNTIF($E$3:$E$2002,$E249)&gt;1,"⚠ 重複打卡","OK")))</f>
        <v/>
      </c>
    </row>
    <row r="250">
      <c r="A250" s="20" t="n"/>
      <c r="B250" s="18" t="n"/>
      <c r="C250" s="81" t="n"/>
      <c r="D250" s="81" t="n"/>
      <c r="E250" s="16">
        <f>IF($A250="","",$A250&amp;"|"&amp;DAY($B250))</f>
        <v/>
      </c>
      <c r="F250" s="16">
        <f>IF($A250="","",IF(COUNTIF(設定!$B$62:$B$201,$A250)=0,"⚠ 查無員編",IF(COUNTIF($E$3:$E$2002,$E250)&gt;1,"⚠ 重複打卡","OK")))</f>
        <v/>
      </c>
    </row>
    <row r="251">
      <c r="A251" s="20" t="n"/>
      <c r="B251" s="18" t="n"/>
      <c r="C251" s="81" t="n"/>
      <c r="D251" s="81" t="n"/>
      <c r="E251" s="16">
        <f>IF($A251="","",$A251&amp;"|"&amp;DAY($B251))</f>
        <v/>
      </c>
      <c r="F251" s="16">
        <f>IF($A251="","",IF(COUNTIF(設定!$B$62:$B$201,$A251)=0,"⚠ 查無員編",IF(COUNTIF($E$3:$E$2002,$E251)&gt;1,"⚠ 重複打卡","OK")))</f>
        <v/>
      </c>
    </row>
    <row r="252">
      <c r="A252" s="20" t="n"/>
      <c r="B252" s="18" t="n"/>
      <c r="C252" s="81" t="n"/>
      <c r="D252" s="81" t="n"/>
      <c r="E252" s="16">
        <f>IF($A252="","",$A252&amp;"|"&amp;DAY($B252))</f>
        <v/>
      </c>
      <c r="F252" s="16">
        <f>IF($A252="","",IF(COUNTIF(設定!$B$62:$B$201,$A252)=0,"⚠ 查無員編",IF(COUNTIF($E$3:$E$2002,$E252)&gt;1,"⚠ 重複打卡","OK")))</f>
        <v/>
      </c>
    </row>
    <row r="253">
      <c r="A253" s="20" t="n"/>
      <c r="B253" s="18" t="n"/>
      <c r="C253" s="81" t="n"/>
      <c r="D253" s="81" t="n"/>
      <c r="E253" s="16">
        <f>IF($A253="","",$A253&amp;"|"&amp;DAY($B253))</f>
        <v/>
      </c>
      <c r="F253" s="16">
        <f>IF($A253="","",IF(COUNTIF(設定!$B$62:$B$201,$A253)=0,"⚠ 查無員編",IF(COUNTIF($E$3:$E$2002,$E253)&gt;1,"⚠ 重複打卡","OK")))</f>
        <v/>
      </c>
    </row>
    <row r="254">
      <c r="A254" s="20" t="n"/>
      <c r="B254" s="18" t="n"/>
      <c r="C254" s="81" t="n"/>
      <c r="D254" s="81" t="n"/>
      <c r="E254" s="16">
        <f>IF($A254="","",$A254&amp;"|"&amp;DAY($B254))</f>
        <v/>
      </c>
      <c r="F254" s="16">
        <f>IF($A254="","",IF(COUNTIF(設定!$B$62:$B$201,$A254)=0,"⚠ 查無員編",IF(COUNTIF($E$3:$E$2002,$E254)&gt;1,"⚠ 重複打卡","OK")))</f>
        <v/>
      </c>
    </row>
    <row r="255">
      <c r="A255" s="20" t="n"/>
      <c r="B255" s="18" t="n"/>
      <c r="C255" s="81" t="n"/>
      <c r="D255" s="81" t="n"/>
      <c r="E255" s="16">
        <f>IF($A255="","",$A255&amp;"|"&amp;DAY($B255))</f>
        <v/>
      </c>
      <c r="F255" s="16">
        <f>IF($A255="","",IF(COUNTIF(設定!$B$62:$B$201,$A255)=0,"⚠ 查無員編",IF(COUNTIF($E$3:$E$2002,$E255)&gt;1,"⚠ 重複打卡","OK")))</f>
        <v/>
      </c>
    </row>
    <row r="256">
      <c r="A256" s="20" t="n"/>
      <c r="B256" s="18" t="n"/>
      <c r="C256" s="81" t="n"/>
      <c r="D256" s="81" t="n"/>
      <c r="E256" s="16">
        <f>IF($A256="","",$A256&amp;"|"&amp;DAY($B256))</f>
        <v/>
      </c>
      <c r="F256" s="16">
        <f>IF($A256="","",IF(COUNTIF(設定!$B$62:$B$201,$A256)=0,"⚠ 查無員編",IF(COUNTIF($E$3:$E$2002,$E256)&gt;1,"⚠ 重複打卡","OK")))</f>
        <v/>
      </c>
    </row>
    <row r="257">
      <c r="A257" s="20" t="n"/>
      <c r="B257" s="18" t="n"/>
      <c r="C257" s="81" t="n"/>
      <c r="D257" s="81" t="n"/>
      <c r="E257" s="16">
        <f>IF($A257="","",$A257&amp;"|"&amp;DAY($B257))</f>
        <v/>
      </c>
      <c r="F257" s="16">
        <f>IF($A257="","",IF(COUNTIF(設定!$B$62:$B$201,$A257)=0,"⚠ 查無員編",IF(COUNTIF($E$3:$E$2002,$E257)&gt;1,"⚠ 重複打卡","OK")))</f>
        <v/>
      </c>
    </row>
    <row r="258">
      <c r="A258" s="20" t="n"/>
      <c r="B258" s="18" t="n"/>
      <c r="C258" s="81" t="n"/>
      <c r="D258" s="81" t="n"/>
      <c r="E258" s="16">
        <f>IF($A258="","",$A258&amp;"|"&amp;DAY($B258))</f>
        <v/>
      </c>
      <c r="F258" s="16">
        <f>IF($A258="","",IF(COUNTIF(設定!$B$62:$B$201,$A258)=0,"⚠ 查無員編",IF(COUNTIF($E$3:$E$2002,$E258)&gt;1,"⚠ 重複打卡","OK")))</f>
        <v/>
      </c>
    </row>
    <row r="259">
      <c r="A259" s="20" t="n"/>
      <c r="B259" s="18" t="n"/>
      <c r="C259" s="81" t="n"/>
      <c r="D259" s="81" t="n"/>
      <c r="E259" s="16">
        <f>IF($A259="","",$A259&amp;"|"&amp;DAY($B259))</f>
        <v/>
      </c>
      <c r="F259" s="16">
        <f>IF($A259="","",IF(COUNTIF(設定!$B$62:$B$201,$A259)=0,"⚠ 查無員編",IF(COUNTIF($E$3:$E$2002,$E259)&gt;1,"⚠ 重複打卡","OK")))</f>
        <v/>
      </c>
    </row>
    <row r="260">
      <c r="A260" s="20" t="n"/>
      <c r="B260" s="18" t="n"/>
      <c r="C260" s="81" t="n"/>
      <c r="D260" s="81" t="n"/>
      <c r="E260" s="16">
        <f>IF($A260="","",$A260&amp;"|"&amp;DAY($B260))</f>
        <v/>
      </c>
      <c r="F260" s="16">
        <f>IF($A260="","",IF(COUNTIF(設定!$B$62:$B$201,$A260)=0,"⚠ 查無員編",IF(COUNTIF($E$3:$E$2002,$E260)&gt;1,"⚠ 重複打卡","OK")))</f>
        <v/>
      </c>
    </row>
    <row r="261">
      <c r="A261" s="20" t="n"/>
      <c r="B261" s="18" t="n"/>
      <c r="C261" s="81" t="n"/>
      <c r="D261" s="81" t="n"/>
      <c r="E261" s="16">
        <f>IF($A261="","",$A261&amp;"|"&amp;DAY($B261))</f>
        <v/>
      </c>
      <c r="F261" s="16">
        <f>IF($A261="","",IF(COUNTIF(設定!$B$62:$B$201,$A261)=0,"⚠ 查無員編",IF(COUNTIF($E$3:$E$2002,$E261)&gt;1,"⚠ 重複打卡","OK")))</f>
        <v/>
      </c>
    </row>
    <row r="262">
      <c r="A262" s="20" t="n"/>
      <c r="B262" s="18" t="n"/>
      <c r="C262" s="81" t="n"/>
      <c r="D262" s="81" t="n"/>
      <c r="E262" s="16">
        <f>IF($A262="","",$A262&amp;"|"&amp;DAY($B262))</f>
        <v/>
      </c>
      <c r="F262" s="16">
        <f>IF($A262="","",IF(COUNTIF(設定!$B$62:$B$201,$A262)=0,"⚠ 查無員編",IF(COUNTIF($E$3:$E$2002,$E262)&gt;1,"⚠ 重複打卡","OK")))</f>
        <v/>
      </c>
    </row>
    <row r="263">
      <c r="A263" s="20" t="n"/>
      <c r="B263" s="18" t="n"/>
      <c r="C263" s="81" t="n"/>
      <c r="D263" s="81" t="n"/>
      <c r="E263" s="16">
        <f>IF($A263="","",$A263&amp;"|"&amp;DAY($B263))</f>
        <v/>
      </c>
      <c r="F263" s="16">
        <f>IF($A263="","",IF(COUNTIF(設定!$B$62:$B$201,$A263)=0,"⚠ 查無員編",IF(COUNTIF($E$3:$E$2002,$E263)&gt;1,"⚠ 重複打卡","OK")))</f>
        <v/>
      </c>
    </row>
    <row r="264">
      <c r="A264" s="20" t="n"/>
      <c r="B264" s="18" t="n"/>
      <c r="C264" s="81" t="n"/>
      <c r="D264" s="81" t="n"/>
      <c r="E264" s="16">
        <f>IF($A264="","",$A264&amp;"|"&amp;DAY($B264))</f>
        <v/>
      </c>
      <c r="F264" s="16">
        <f>IF($A264="","",IF(COUNTIF(設定!$B$62:$B$201,$A264)=0,"⚠ 查無員編",IF(COUNTIF($E$3:$E$2002,$E264)&gt;1,"⚠ 重複打卡","OK")))</f>
        <v/>
      </c>
    </row>
    <row r="265">
      <c r="A265" s="20" t="n"/>
      <c r="B265" s="18" t="n"/>
      <c r="C265" s="81" t="n"/>
      <c r="D265" s="81" t="n"/>
      <c r="E265" s="16">
        <f>IF($A265="","",$A265&amp;"|"&amp;DAY($B265))</f>
        <v/>
      </c>
      <c r="F265" s="16">
        <f>IF($A265="","",IF(COUNTIF(設定!$B$62:$B$201,$A265)=0,"⚠ 查無員編",IF(COUNTIF($E$3:$E$2002,$E265)&gt;1,"⚠ 重複打卡","OK")))</f>
        <v/>
      </c>
    </row>
    <row r="266">
      <c r="A266" s="20" t="n"/>
      <c r="B266" s="18" t="n"/>
      <c r="C266" s="81" t="n"/>
      <c r="D266" s="81" t="n"/>
      <c r="E266" s="16">
        <f>IF($A266="","",$A266&amp;"|"&amp;DAY($B266))</f>
        <v/>
      </c>
      <c r="F266" s="16">
        <f>IF($A266="","",IF(COUNTIF(設定!$B$62:$B$201,$A266)=0,"⚠ 查無員編",IF(COUNTIF($E$3:$E$2002,$E266)&gt;1,"⚠ 重複打卡","OK")))</f>
        <v/>
      </c>
    </row>
    <row r="267">
      <c r="A267" s="20" t="n"/>
      <c r="B267" s="18" t="n"/>
      <c r="C267" s="81" t="n"/>
      <c r="D267" s="81" t="n"/>
      <c r="E267" s="16">
        <f>IF($A267="","",$A267&amp;"|"&amp;DAY($B267))</f>
        <v/>
      </c>
      <c r="F267" s="16">
        <f>IF($A267="","",IF(COUNTIF(設定!$B$62:$B$201,$A267)=0,"⚠ 查無員編",IF(COUNTIF($E$3:$E$2002,$E267)&gt;1,"⚠ 重複打卡","OK")))</f>
        <v/>
      </c>
    </row>
    <row r="268">
      <c r="A268" s="20" t="n"/>
      <c r="B268" s="18" t="n"/>
      <c r="C268" s="81" t="n"/>
      <c r="D268" s="81" t="n"/>
      <c r="E268" s="16">
        <f>IF($A268="","",$A268&amp;"|"&amp;DAY($B268))</f>
        <v/>
      </c>
      <c r="F268" s="16">
        <f>IF($A268="","",IF(COUNTIF(設定!$B$62:$B$201,$A268)=0,"⚠ 查無員編",IF(COUNTIF($E$3:$E$2002,$E268)&gt;1,"⚠ 重複打卡","OK")))</f>
        <v/>
      </c>
    </row>
    <row r="269">
      <c r="A269" s="20" t="n"/>
      <c r="B269" s="18" t="n"/>
      <c r="C269" s="81" t="n"/>
      <c r="D269" s="81" t="n"/>
      <c r="E269" s="16">
        <f>IF($A269="","",$A269&amp;"|"&amp;DAY($B269))</f>
        <v/>
      </c>
      <c r="F269" s="16">
        <f>IF($A269="","",IF(COUNTIF(設定!$B$62:$B$201,$A269)=0,"⚠ 查無員編",IF(COUNTIF($E$3:$E$2002,$E269)&gt;1,"⚠ 重複打卡","OK")))</f>
        <v/>
      </c>
    </row>
    <row r="270">
      <c r="A270" s="20" t="n"/>
      <c r="B270" s="18" t="n"/>
      <c r="C270" s="81" t="n"/>
      <c r="D270" s="81" t="n"/>
      <c r="E270" s="16">
        <f>IF($A270="","",$A270&amp;"|"&amp;DAY($B270))</f>
        <v/>
      </c>
      <c r="F270" s="16">
        <f>IF($A270="","",IF(COUNTIF(設定!$B$62:$B$201,$A270)=0,"⚠ 查無員編",IF(COUNTIF($E$3:$E$2002,$E270)&gt;1,"⚠ 重複打卡","OK")))</f>
        <v/>
      </c>
    </row>
    <row r="271">
      <c r="A271" s="20" t="n"/>
      <c r="B271" s="18" t="n"/>
      <c r="C271" s="81" t="n"/>
      <c r="D271" s="81" t="n"/>
      <c r="E271" s="16">
        <f>IF($A271="","",$A271&amp;"|"&amp;DAY($B271))</f>
        <v/>
      </c>
      <c r="F271" s="16">
        <f>IF($A271="","",IF(COUNTIF(設定!$B$62:$B$201,$A271)=0,"⚠ 查無員編",IF(COUNTIF($E$3:$E$2002,$E271)&gt;1,"⚠ 重複打卡","OK")))</f>
        <v/>
      </c>
    </row>
    <row r="272">
      <c r="A272" s="20" t="n"/>
      <c r="B272" s="18" t="n"/>
      <c r="C272" s="81" t="n"/>
      <c r="D272" s="81" t="n"/>
      <c r="E272" s="16">
        <f>IF($A272="","",$A272&amp;"|"&amp;DAY($B272))</f>
        <v/>
      </c>
      <c r="F272" s="16">
        <f>IF($A272="","",IF(COUNTIF(設定!$B$62:$B$201,$A272)=0,"⚠ 查無員編",IF(COUNTIF($E$3:$E$2002,$E272)&gt;1,"⚠ 重複打卡","OK")))</f>
        <v/>
      </c>
    </row>
    <row r="273">
      <c r="A273" s="20" t="n"/>
      <c r="B273" s="18" t="n"/>
      <c r="C273" s="81" t="n"/>
      <c r="D273" s="81" t="n"/>
      <c r="E273" s="16">
        <f>IF($A273="","",$A273&amp;"|"&amp;DAY($B273))</f>
        <v/>
      </c>
      <c r="F273" s="16">
        <f>IF($A273="","",IF(COUNTIF(設定!$B$62:$B$201,$A273)=0,"⚠ 查無員編",IF(COUNTIF($E$3:$E$2002,$E273)&gt;1,"⚠ 重複打卡","OK")))</f>
        <v/>
      </c>
    </row>
    <row r="274">
      <c r="A274" s="20" t="n"/>
      <c r="B274" s="18" t="n"/>
      <c r="C274" s="81" t="n"/>
      <c r="D274" s="81" t="n"/>
      <c r="E274" s="16">
        <f>IF($A274="","",$A274&amp;"|"&amp;DAY($B274))</f>
        <v/>
      </c>
      <c r="F274" s="16">
        <f>IF($A274="","",IF(COUNTIF(設定!$B$62:$B$201,$A274)=0,"⚠ 查無員編",IF(COUNTIF($E$3:$E$2002,$E274)&gt;1,"⚠ 重複打卡","OK")))</f>
        <v/>
      </c>
    </row>
    <row r="275">
      <c r="A275" s="20" t="n"/>
      <c r="B275" s="18" t="n"/>
      <c r="C275" s="81" t="n"/>
      <c r="D275" s="81" t="n"/>
      <c r="E275" s="16">
        <f>IF($A275="","",$A275&amp;"|"&amp;DAY($B275))</f>
        <v/>
      </c>
      <c r="F275" s="16">
        <f>IF($A275="","",IF(COUNTIF(設定!$B$62:$B$201,$A275)=0,"⚠ 查無員編",IF(COUNTIF($E$3:$E$2002,$E275)&gt;1,"⚠ 重複打卡","OK")))</f>
        <v/>
      </c>
    </row>
    <row r="276">
      <c r="A276" s="20" t="n"/>
      <c r="B276" s="18" t="n"/>
      <c r="C276" s="81" t="n"/>
      <c r="D276" s="81" t="n"/>
      <c r="E276" s="16">
        <f>IF($A276="","",$A276&amp;"|"&amp;DAY($B276))</f>
        <v/>
      </c>
      <c r="F276" s="16">
        <f>IF($A276="","",IF(COUNTIF(設定!$B$62:$B$201,$A276)=0,"⚠ 查無員編",IF(COUNTIF($E$3:$E$2002,$E276)&gt;1,"⚠ 重複打卡","OK")))</f>
        <v/>
      </c>
    </row>
    <row r="277">
      <c r="A277" s="20" t="n"/>
      <c r="B277" s="18" t="n"/>
      <c r="C277" s="81" t="n"/>
      <c r="D277" s="81" t="n"/>
      <c r="E277" s="16">
        <f>IF($A277="","",$A277&amp;"|"&amp;DAY($B277))</f>
        <v/>
      </c>
      <c r="F277" s="16">
        <f>IF($A277="","",IF(COUNTIF(設定!$B$62:$B$201,$A277)=0,"⚠ 查無員編",IF(COUNTIF($E$3:$E$2002,$E277)&gt;1,"⚠ 重複打卡","OK")))</f>
        <v/>
      </c>
    </row>
    <row r="278">
      <c r="A278" s="20" t="n"/>
      <c r="B278" s="18" t="n"/>
      <c r="C278" s="81" t="n"/>
      <c r="D278" s="81" t="n"/>
      <c r="E278" s="16">
        <f>IF($A278="","",$A278&amp;"|"&amp;DAY($B278))</f>
        <v/>
      </c>
      <c r="F278" s="16">
        <f>IF($A278="","",IF(COUNTIF(設定!$B$62:$B$201,$A278)=0,"⚠ 查無員編",IF(COUNTIF($E$3:$E$2002,$E278)&gt;1,"⚠ 重複打卡","OK")))</f>
        <v/>
      </c>
    </row>
    <row r="279">
      <c r="A279" s="20" t="n"/>
      <c r="B279" s="18" t="n"/>
      <c r="C279" s="81" t="n"/>
      <c r="D279" s="81" t="n"/>
      <c r="E279" s="16">
        <f>IF($A279="","",$A279&amp;"|"&amp;DAY($B279))</f>
        <v/>
      </c>
      <c r="F279" s="16">
        <f>IF($A279="","",IF(COUNTIF(設定!$B$62:$B$201,$A279)=0,"⚠ 查無員編",IF(COUNTIF($E$3:$E$2002,$E279)&gt;1,"⚠ 重複打卡","OK")))</f>
        <v/>
      </c>
    </row>
    <row r="280">
      <c r="A280" s="20" t="n"/>
      <c r="B280" s="18" t="n"/>
      <c r="C280" s="81" t="n"/>
      <c r="D280" s="81" t="n"/>
      <c r="E280" s="16">
        <f>IF($A280="","",$A280&amp;"|"&amp;DAY($B280))</f>
        <v/>
      </c>
      <c r="F280" s="16">
        <f>IF($A280="","",IF(COUNTIF(設定!$B$62:$B$201,$A280)=0,"⚠ 查無員編",IF(COUNTIF($E$3:$E$2002,$E280)&gt;1,"⚠ 重複打卡","OK")))</f>
        <v/>
      </c>
    </row>
    <row r="281">
      <c r="A281" s="20" t="n"/>
      <c r="B281" s="18" t="n"/>
      <c r="C281" s="81" t="n"/>
      <c r="D281" s="81" t="n"/>
      <c r="E281" s="16">
        <f>IF($A281="","",$A281&amp;"|"&amp;DAY($B281))</f>
        <v/>
      </c>
      <c r="F281" s="16">
        <f>IF($A281="","",IF(COUNTIF(設定!$B$62:$B$201,$A281)=0,"⚠ 查無員編",IF(COUNTIF($E$3:$E$2002,$E281)&gt;1,"⚠ 重複打卡","OK")))</f>
        <v/>
      </c>
    </row>
    <row r="282">
      <c r="A282" s="20" t="n"/>
      <c r="B282" s="18" t="n"/>
      <c r="C282" s="81" t="n"/>
      <c r="D282" s="81" t="n"/>
      <c r="E282" s="16">
        <f>IF($A282="","",$A282&amp;"|"&amp;DAY($B282))</f>
        <v/>
      </c>
      <c r="F282" s="16">
        <f>IF($A282="","",IF(COUNTIF(設定!$B$62:$B$201,$A282)=0,"⚠ 查無員編",IF(COUNTIF($E$3:$E$2002,$E282)&gt;1,"⚠ 重複打卡","OK")))</f>
        <v/>
      </c>
    </row>
    <row r="283">
      <c r="A283" s="20" t="n"/>
      <c r="B283" s="18" t="n"/>
      <c r="C283" s="81" t="n"/>
      <c r="D283" s="81" t="n"/>
      <c r="E283" s="16">
        <f>IF($A283="","",$A283&amp;"|"&amp;DAY($B283))</f>
        <v/>
      </c>
      <c r="F283" s="16">
        <f>IF($A283="","",IF(COUNTIF(設定!$B$62:$B$201,$A283)=0,"⚠ 查無員編",IF(COUNTIF($E$3:$E$2002,$E283)&gt;1,"⚠ 重複打卡","OK")))</f>
        <v/>
      </c>
    </row>
    <row r="284">
      <c r="A284" s="20" t="n"/>
      <c r="B284" s="18" t="n"/>
      <c r="C284" s="81" t="n"/>
      <c r="D284" s="81" t="n"/>
      <c r="E284" s="16">
        <f>IF($A284="","",$A284&amp;"|"&amp;DAY($B284))</f>
        <v/>
      </c>
      <c r="F284" s="16">
        <f>IF($A284="","",IF(COUNTIF(設定!$B$62:$B$201,$A284)=0,"⚠ 查無員編",IF(COUNTIF($E$3:$E$2002,$E284)&gt;1,"⚠ 重複打卡","OK")))</f>
        <v/>
      </c>
    </row>
    <row r="285">
      <c r="A285" s="20" t="n"/>
      <c r="B285" s="18" t="n"/>
      <c r="C285" s="81" t="n"/>
      <c r="D285" s="81" t="n"/>
      <c r="E285" s="16">
        <f>IF($A285="","",$A285&amp;"|"&amp;DAY($B285))</f>
        <v/>
      </c>
      <c r="F285" s="16">
        <f>IF($A285="","",IF(COUNTIF(設定!$B$62:$B$201,$A285)=0,"⚠ 查無員編",IF(COUNTIF($E$3:$E$2002,$E285)&gt;1,"⚠ 重複打卡","OK")))</f>
        <v/>
      </c>
    </row>
    <row r="286">
      <c r="A286" s="20" t="n"/>
      <c r="B286" s="18" t="n"/>
      <c r="C286" s="81" t="n"/>
      <c r="D286" s="81" t="n"/>
      <c r="E286" s="16">
        <f>IF($A286="","",$A286&amp;"|"&amp;DAY($B286))</f>
        <v/>
      </c>
      <c r="F286" s="16">
        <f>IF($A286="","",IF(COUNTIF(設定!$B$62:$B$201,$A286)=0,"⚠ 查無員編",IF(COUNTIF($E$3:$E$2002,$E286)&gt;1,"⚠ 重複打卡","OK")))</f>
        <v/>
      </c>
    </row>
    <row r="287">
      <c r="A287" s="20" t="n"/>
      <c r="B287" s="18" t="n"/>
      <c r="C287" s="81" t="n"/>
      <c r="D287" s="81" t="n"/>
      <c r="E287" s="16">
        <f>IF($A287="","",$A287&amp;"|"&amp;DAY($B287))</f>
        <v/>
      </c>
      <c r="F287" s="16">
        <f>IF($A287="","",IF(COUNTIF(設定!$B$62:$B$201,$A287)=0,"⚠ 查無員編",IF(COUNTIF($E$3:$E$2002,$E287)&gt;1,"⚠ 重複打卡","OK")))</f>
        <v/>
      </c>
    </row>
    <row r="288">
      <c r="A288" s="20" t="n"/>
      <c r="B288" s="18" t="n"/>
      <c r="C288" s="81" t="n"/>
      <c r="D288" s="81" t="n"/>
      <c r="E288" s="16">
        <f>IF($A288="","",$A288&amp;"|"&amp;DAY($B288))</f>
        <v/>
      </c>
      <c r="F288" s="16">
        <f>IF($A288="","",IF(COUNTIF(設定!$B$62:$B$201,$A288)=0,"⚠ 查無員編",IF(COUNTIF($E$3:$E$2002,$E288)&gt;1,"⚠ 重複打卡","OK")))</f>
        <v/>
      </c>
    </row>
    <row r="289">
      <c r="A289" s="20" t="n"/>
      <c r="B289" s="18" t="n"/>
      <c r="C289" s="81" t="n"/>
      <c r="D289" s="81" t="n"/>
      <c r="E289" s="16">
        <f>IF($A289="","",$A289&amp;"|"&amp;DAY($B289))</f>
        <v/>
      </c>
      <c r="F289" s="16">
        <f>IF($A289="","",IF(COUNTIF(設定!$B$62:$B$201,$A289)=0,"⚠ 查無員編",IF(COUNTIF($E$3:$E$2002,$E289)&gt;1,"⚠ 重複打卡","OK")))</f>
        <v/>
      </c>
    </row>
    <row r="290">
      <c r="A290" s="20" t="n"/>
      <c r="B290" s="18" t="n"/>
      <c r="C290" s="81" t="n"/>
      <c r="D290" s="81" t="n"/>
      <c r="E290" s="16">
        <f>IF($A290="","",$A290&amp;"|"&amp;DAY($B290))</f>
        <v/>
      </c>
      <c r="F290" s="16">
        <f>IF($A290="","",IF(COUNTIF(設定!$B$62:$B$201,$A290)=0,"⚠ 查無員編",IF(COUNTIF($E$3:$E$2002,$E290)&gt;1,"⚠ 重複打卡","OK")))</f>
        <v/>
      </c>
    </row>
    <row r="291">
      <c r="A291" s="20" t="n"/>
      <c r="B291" s="18" t="n"/>
      <c r="C291" s="81" t="n"/>
      <c r="D291" s="81" t="n"/>
      <c r="E291" s="16">
        <f>IF($A291="","",$A291&amp;"|"&amp;DAY($B291))</f>
        <v/>
      </c>
      <c r="F291" s="16">
        <f>IF($A291="","",IF(COUNTIF(設定!$B$62:$B$201,$A291)=0,"⚠ 查無員編",IF(COUNTIF($E$3:$E$2002,$E291)&gt;1,"⚠ 重複打卡","OK")))</f>
        <v/>
      </c>
    </row>
    <row r="292">
      <c r="A292" s="20" t="n"/>
      <c r="B292" s="18" t="n"/>
      <c r="C292" s="81" t="n"/>
      <c r="D292" s="81" t="n"/>
      <c r="E292" s="16">
        <f>IF($A292="","",$A292&amp;"|"&amp;DAY($B292))</f>
        <v/>
      </c>
      <c r="F292" s="16">
        <f>IF($A292="","",IF(COUNTIF(設定!$B$62:$B$201,$A292)=0,"⚠ 查無員編",IF(COUNTIF($E$3:$E$2002,$E292)&gt;1,"⚠ 重複打卡","OK")))</f>
        <v/>
      </c>
    </row>
    <row r="293">
      <c r="A293" s="20" t="n"/>
      <c r="B293" s="18" t="n"/>
      <c r="C293" s="81" t="n"/>
      <c r="D293" s="81" t="n"/>
      <c r="E293" s="16">
        <f>IF($A293="","",$A293&amp;"|"&amp;DAY($B293))</f>
        <v/>
      </c>
      <c r="F293" s="16">
        <f>IF($A293="","",IF(COUNTIF(設定!$B$62:$B$201,$A293)=0,"⚠ 查無員編",IF(COUNTIF($E$3:$E$2002,$E293)&gt;1,"⚠ 重複打卡","OK")))</f>
        <v/>
      </c>
    </row>
    <row r="294">
      <c r="A294" s="20" t="n"/>
      <c r="B294" s="18" t="n"/>
      <c r="C294" s="81" t="n"/>
      <c r="D294" s="81" t="n"/>
      <c r="E294" s="16">
        <f>IF($A294="","",$A294&amp;"|"&amp;DAY($B294))</f>
        <v/>
      </c>
      <c r="F294" s="16">
        <f>IF($A294="","",IF(COUNTIF(設定!$B$62:$B$201,$A294)=0,"⚠ 查無員編",IF(COUNTIF($E$3:$E$2002,$E294)&gt;1,"⚠ 重複打卡","OK")))</f>
        <v/>
      </c>
    </row>
    <row r="295">
      <c r="A295" s="20" t="n"/>
      <c r="B295" s="18" t="n"/>
      <c r="C295" s="81" t="n"/>
      <c r="D295" s="81" t="n"/>
      <c r="E295" s="16">
        <f>IF($A295="","",$A295&amp;"|"&amp;DAY($B295))</f>
        <v/>
      </c>
      <c r="F295" s="16">
        <f>IF($A295="","",IF(COUNTIF(設定!$B$62:$B$201,$A295)=0,"⚠ 查無員編",IF(COUNTIF($E$3:$E$2002,$E295)&gt;1,"⚠ 重複打卡","OK")))</f>
        <v/>
      </c>
    </row>
    <row r="296">
      <c r="A296" s="20" t="n"/>
      <c r="B296" s="18" t="n"/>
      <c r="C296" s="81" t="n"/>
      <c r="D296" s="81" t="n"/>
      <c r="E296" s="16">
        <f>IF($A296="","",$A296&amp;"|"&amp;DAY($B296))</f>
        <v/>
      </c>
      <c r="F296" s="16">
        <f>IF($A296="","",IF(COUNTIF(設定!$B$62:$B$201,$A296)=0,"⚠ 查無員編",IF(COUNTIF($E$3:$E$2002,$E296)&gt;1,"⚠ 重複打卡","OK")))</f>
        <v/>
      </c>
    </row>
    <row r="297">
      <c r="A297" s="20" t="n"/>
      <c r="B297" s="18" t="n"/>
      <c r="C297" s="81" t="n"/>
      <c r="D297" s="81" t="n"/>
      <c r="E297" s="16">
        <f>IF($A297="","",$A297&amp;"|"&amp;DAY($B297))</f>
        <v/>
      </c>
      <c r="F297" s="16">
        <f>IF($A297="","",IF(COUNTIF(設定!$B$62:$B$201,$A297)=0,"⚠ 查無員編",IF(COUNTIF($E$3:$E$2002,$E297)&gt;1,"⚠ 重複打卡","OK")))</f>
        <v/>
      </c>
    </row>
    <row r="298">
      <c r="A298" s="20" t="n"/>
      <c r="B298" s="18" t="n"/>
      <c r="C298" s="81" t="n"/>
      <c r="D298" s="81" t="n"/>
      <c r="E298" s="16">
        <f>IF($A298="","",$A298&amp;"|"&amp;DAY($B298))</f>
        <v/>
      </c>
      <c r="F298" s="16">
        <f>IF($A298="","",IF(COUNTIF(設定!$B$62:$B$201,$A298)=0,"⚠ 查無員編",IF(COUNTIF($E$3:$E$2002,$E298)&gt;1,"⚠ 重複打卡","OK")))</f>
        <v/>
      </c>
    </row>
    <row r="299">
      <c r="A299" s="20" t="n"/>
      <c r="B299" s="18" t="n"/>
      <c r="C299" s="81" t="n"/>
      <c r="D299" s="81" t="n"/>
      <c r="E299" s="16">
        <f>IF($A299="","",$A299&amp;"|"&amp;DAY($B299))</f>
        <v/>
      </c>
      <c r="F299" s="16">
        <f>IF($A299="","",IF(COUNTIF(設定!$B$62:$B$201,$A299)=0,"⚠ 查無員編",IF(COUNTIF($E$3:$E$2002,$E299)&gt;1,"⚠ 重複打卡","OK")))</f>
        <v/>
      </c>
    </row>
    <row r="300">
      <c r="A300" s="20" t="n"/>
      <c r="B300" s="18" t="n"/>
      <c r="C300" s="81" t="n"/>
      <c r="D300" s="81" t="n"/>
      <c r="E300" s="16">
        <f>IF($A300="","",$A300&amp;"|"&amp;DAY($B300))</f>
        <v/>
      </c>
      <c r="F300" s="16">
        <f>IF($A300="","",IF(COUNTIF(設定!$B$62:$B$201,$A300)=0,"⚠ 查無員編",IF(COUNTIF($E$3:$E$2002,$E300)&gt;1,"⚠ 重複打卡","OK")))</f>
        <v/>
      </c>
    </row>
    <row r="301">
      <c r="A301" s="20" t="n"/>
      <c r="B301" s="18" t="n"/>
      <c r="C301" s="81" t="n"/>
      <c r="D301" s="81" t="n"/>
      <c r="E301" s="16">
        <f>IF($A301="","",$A301&amp;"|"&amp;DAY($B301))</f>
        <v/>
      </c>
      <c r="F301" s="16">
        <f>IF($A301="","",IF(COUNTIF(設定!$B$62:$B$201,$A301)=0,"⚠ 查無員編",IF(COUNTIF($E$3:$E$2002,$E301)&gt;1,"⚠ 重複打卡","OK")))</f>
        <v/>
      </c>
    </row>
    <row r="302">
      <c r="A302" s="20" t="n"/>
      <c r="B302" s="18" t="n"/>
      <c r="C302" s="81" t="n"/>
      <c r="D302" s="81" t="n"/>
      <c r="E302" s="16">
        <f>IF($A302="","",$A302&amp;"|"&amp;DAY($B302))</f>
        <v/>
      </c>
      <c r="F302" s="16">
        <f>IF($A302="","",IF(COUNTIF(設定!$B$62:$B$201,$A302)=0,"⚠ 查無員編",IF(COUNTIF($E$3:$E$2002,$E302)&gt;1,"⚠ 重複打卡","OK")))</f>
        <v/>
      </c>
    </row>
    <row r="303">
      <c r="A303" s="20" t="n"/>
      <c r="B303" s="18" t="n"/>
      <c r="C303" s="81" t="n"/>
      <c r="D303" s="81" t="n"/>
      <c r="E303" s="16">
        <f>IF($A303="","",$A303&amp;"|"&amp;DAY($B303))</f>
        <v/>
      </c>
      <c r="F303" s="16">
        <f>IF($A303="","",IF(COUNTIF(設定!$B$62:$B$201,$A303)=0,"⚠ 查無員編",IF(COUNTIF($E$3:$E$2002,$E303)&gt;1,"⚠ 重複打卡","OK")))</f>
        <v/>
      </c>
    </row>
    <row r="304">
      <c r="A304" s="20" t="n"/>
      <c r="B304" s="18" t="n"/>
      <c r="C304" s="81" t="n"/>
      <c r="D304" s="81" t="n"/>
      <c r="E304" s="16">
        <f>IF($A304="","",$A304&amp;"|"&amp;DAY($B304))</f>
        <v/>
      </c>
      <c r="F304" s="16">
        <f>IF($A304="","",IF(COUNTIF(設定!$B$62:$B$201,$A304)=0,"⚠ 查無員編",IF(COUNTIF($E$3:$E$2002,$E304)&gt;1,"⚠ 重複打卡","OK")))</f>
        <v/>
      </c>
    </row>
    <row r="305">
      <c r="A305" s="20" t="n"/>
      <c r="B305" s="18" t="n"/>
      <c r="C305" s="81" t="n"/>
      <c r="D305" s="81" t="n"/>
      <c r="E305" s="16">
        <f>IF($A305="","",$A305&amp;"|"&amp;DAY($B305))</f>
        <v/>
      </c>
      <c r="F305" s="16">
        <f>IF($A305="","",IF(COUNTIF(設定!$B$62:$B$201,$A305)=0,"⚠ 查無員編",IF(COUNTIF($E$3:$E$2002,$E305)&gt;1,"⚠ 重複打卡","OK")))</f>
        <v/>
      </c>
    </row>
    <row r="306">
      <c r="A306" s="20" t="n"/>
      <c r="B306" s="18" t="n"/>
      <c r="C306" s="81" t="n"/>
      <c r="D306" s="81" t="n"/>
      <c r="E306" s="16">
        <f>IF($A306="","",$A306&amp;"|"&amp;DAY($B306))</f>
        <v/>
      </c>
      <c r="F306" s="16">
        <f>IF($A306="","",IF(COUNTIF(設定!$B$62:$B$201,$A306)=0,"⚠ 查無員編",IF(COUNTIF($E$3:$E$2002,$E306)&gt;1,"⚠ 重複打卡","OK")))</f>
        <v/>
      </c>
    </row>
    <row r="307">
      <c r="A307" s="20" t="n"/>
      <c r="B307" s="18" t="n"/>
      <c r="C307" s="81" t="n"/>
      <c r="D307" s="81" t="n"/>
      <c r="E307" s="16">
        <f>IF($A307="","",$A307&amp;"|"&amp;DAY($B307))</f>
        <v/>
      </c>
      <c r="F307" s="16">
        <f>IF($A307="","",IF(COUNTIF(設定!$B$62:$B$201,$A307)=0,"⚠ 查無員編",IF(COUNTIF($E$3:$E$2002,$E307)&gt;1,"⚠ 重複打卡","OK")))</f>
        <v/>
      </c>
    </row>
    <row r="308">
      <c r="A308" s="20" t="n"/>
      <c r="B308" s="18" t="n"/>
      <c r="C308" s="81" t="n"/>
      <c r="D308" s="81" t="n"/>
      <c r="E308" s="16">
        <f>IF($A308="","",$A308&amp;"|"&amp;DAY($B308))</f>
        <v/>
      </c>
      <c r="F308" s="16">
        <f>IF($A308="","",IF(COUNTIF(設定!$B$62:$B$201,$A308)=0,"⚠ 查無員編",IF(COUNTIF($E$3:$E$2002,$E308)&gt;1,"⚠ 重複打卡","OK")))</f>
        <v/>
      </c>
    </row>
    <row r="309">
      <c r="A309" s="20" t="n"/>
      <c r="B309" s="18" t="n"/>
      <c r="C309" s="81" t="n"/>
      <c r="D309" s="81" t="n"/>
      <c r="E309" s="16">
        <f>IF($A309="","",$A309&amp;"|"&amp;DAY($B309))</f>
        <v/>
      </c>
      <c r="F309" s="16">
        <f>IF($A309="","",IF(COUNTIF(設定!$B$62:$B$201,$A309)=0,"⚠ 查無員編",IF(COUNTIF($E$3:$E$2002,$E309)&gt;1,"⚠ 重複打卡","OK")))</f>
        <v/>
      </c>
    </row>
    <row r="310">
      <c r="A310" s="20" t="n"/>
      <c r="B310" s="18" t="n"/>
      <c r="C310" s="81" t="n"/>
      <c r="D310" s="81" t="n"/>
      <c r="E310" s="16">
        <f>IF($A310="","",$A310&amp;"|"&amp;DAY($B310))</f>
        <v/>
      </c>
      <c r="F310" s="16">
        <f>IF($A310="","",IF(COUNTIF(設定!$B$62:$B$201,$A310)=0,"⚠ 查無員編",IF(COUNTIF($E$3:$E$2002,$E310)&gt;1,"⚠ 重複打卡","OK")))</f>
        <v/>
      </c>
    </row>
    <row r="311">
      <c r="A311" s="20" t="n"/>
      <c r="B311" s="18" t="n"/>
      <c r="C311" s="81" t="n"/>
      <c r="D311" s="81" t="n"/>
      <c r="E311" s="16">
        <f>IF($A311="","",$A311&amp;"|"&amp;DAY($B311))</f>
        <v/>
      </c>
      <c r="F311" s="16">
        <f>IF($A311="","",IF(COUNTIF(設定!$B$62:$B$201,$A311)=0,"⚠ 查無員編",IF(COUNTIF($E$3:$E$2002,$E311)&gt;1,"⚠ 重複打卡","OK")))</f>
        <v/>
      </c>
    </row>
    <row r="312">
      <c r="A312" s="20" t="n"/>
      <c r="B312" s="18" t="n"/>
      <c r="C312" s="81" t="n"/>
      <c r="D312" s="81" t="n"/>
      <c r="E312" s="16">
        <f>IF($A312="","",$A312&amp;"|"&amp;DAY($B312))</f>
        <v/>
      </c>
      <c r="F312" s="16">
        <f>IF($A312="","",IF(COUNTIF(設定!$B$62:$B$201,$A312)=0,"⚠ 查無員編",IF(COUNTIF($E$3:$E$2002,$E312)&gt;1,"⚠ 重複打卡","OK")))</f>
        <v/>
      </c>
    </row>
    <row r="313">
      <c r="A313" s="20" t="n"/>
      <c r="B313" s="18" t="n"/>
      <c r="C313" s="81" t="n"/>
      <c r="D313" s="81" t="n"/>
      <c r="E313" s="16">
        <f>IF($A313="","",$A313&amp;"|"&amp;DAY($B313))</f>
        <v/>
      </c>
      <c r="F313" s="16">
        <f>IF($A313="","",IF(COUNTIF(設定!$B$62:$B$201,$A313)=0,"⚠ 查無員編",IF(COUNTIF($E$3:$E$2002,$E313)&gt;1,"⚠ 重複打卡","OK")))</f>
        <v/>
      </c>
    </row>
    <row r="314">
      <c r="A314" s="20" t="n"/>
      <c r="B314" s="18" t="n"/>
      <c r="C314" s="81" t="n"/>
      <c r="D314" s="81" t="n"/>
      <c r="E314" s="16">
        <f>IF($A314="","",$A314&amp;"|"&amp;DAY($B314))</f>
        <v/>
      </c>
      <c r="F314" s="16">
        <f>IF($A314="","",IF(COUNTIF(設定!$B$62:$B$201,$A314)=0,"⚠ 查無員編",IF(COUNTIF($E$3:$E$2002,$E314)&gt;1,"⚠ 重複打卡","OK")))</f>
        <v/>
      </c>
    </row>
    <row r="315">
      <c r="A315" s="20" t="n"/>
      <c r="B315" s="18" t="n"/>
      <c r="C315" s="81" t="n"/>
      <c r="D315" s="81" t="n"/>
      <c r="E315" s="16">
        <f>IF($A315="","",$A315&amp;"|"&amp;DAY($B315))</f>
        <v/>
      </c>
      <c r="F315" s="16">
        <f>IF($A315="","",IF(COUNTIF(設定!$B$62:$B$201,$A315)=0,"⚠ 查無員編",IF(COUNTIF($E$3:$E$2002,$E315)&gt;1,"⚠ 重複打卡","OK")))</f>
        <v/>
      </c>
    </row>
    <row r="316">
      <c r="A316" s="20" t="n"/>
      <c r="B316" s="18" t="n"/>
      <c r="C316" s="81" t="n"/>
      <c r="D316" s="81" t="n"/>
      <c r="E316" s="16">
        <f>IF($A316="","",$A316&amp;"|"&amp;DAY($B316))</f>
        <v/>
      </c>
      <c r="F316" s="16">
        <f>IF($A316="","",IF(COUNTIF(設定!$B$62:$B$201,$A316)=0,"⚠ 查無員編",IF(COUNTIF($E$3:$E$2002,$E316)&gt;1,"⚠ 重複打卡","OK")))</f>
        <v/>
      </c>
    </row>
    <row r="317">
      <c r="A317" s="20" t="n"/>
      <c r="B317" s="18" t="n"/>
      <c r="C317" s="81" t="n"/>
      <c r="D317" s="81" t="n"/>
      <c r="E317" s="16">
        <f>IF($A317="","",$A317&amp;"|"&amp;DAY($B317))</f>
        <v/>
      </c>
      <c r="F317" s="16">
        <f>IF($A317="","",IF(COUNTIF(設定!$B$62:$B$201,$A317)=0,"⚠ 查無員編",IF(COUNTIF($E$3:$E$2002,$E317)&gt;1,"⚠ 重複打卡","OK")))</f>
        <v/>
      </c>
    </row>
    <row r="318">
      <c r="A318" s="20" t="n"/>
      <c r="B318" s="18" t="n"/>
      <c r="C318" s="81" t="n"/>
      <c r="D318" s="81" t="n"/>
      <c r="E318" s="16">
        <f>IF($A318="","",$A318&amp;"|"&amp;DAY($B318))</f>
        <v/>
      </c>
      <c r="F318" s="16">
        <f>IF($A318="","",IF(COUNTIF(設定!$B$62:$B$201,$A318)=0,"⚠ 查無員編",IF(COUNTIF($E$3:$E$2002,$E318)&gt;1,"⚠ 重複打卡","OK")))</f>
        <v/>
      </c>
    </row>
    <row r="319">
      <c r="A319" s="20" t="n"/>
      <c r="B319" s="18" t="n"/>
      <c r="C319" s="81" t="n"/>
      <c r="D319" s="81" t="n"/>
      <c r="E319" s="16">
        <f>IF($A319="","",$A319&amp;"|"&amp;DAY($B319))</f>
        <v/>
      </c>
      <c r="F319" s="16">
        <f>IF($A319="","",IF(COUNTIF(設定!$B$62:$B$201,$A319)=0,"⚠ 查無員編",IF(COUNTIF($E$3:$E$2002,$E319)&gt;1,"⚠ 重複打卡","OK")))</f>
        <v/>
      </c>
    </row>
    <row r="320">
      <c r="A320" s="20" t="n"/>
      <c r="B320" s="18" t="n"/>
      <c r="C320" s="81" t="n"/>
      <c r="D320" s="81" t="n"/>
      <c r="E320" s="16">
        <f>IF($A320="","",$A320&amp;"|"&amp;DAY($B320))</f>
        <v/>
      </c>
      <c r="F320" s="16">
        <f>IF($A320="","",IF(COUNTIF(設定!$B$62:$B$201,$A320)=0,"⚠ 查無員編",IF(COUNTIF($E$3:$E$2002,$E320)&gt;1,"⚠ 重複打卡","OK")))</f>
        <v/>
      </c>
    </row>
    <row r="321">
      <c r="A321" s="20" t="n"/>
      <c r="B321" s="18" t="n"/>
      <c r="C321" s="81" t="n"/>
      <c r="D321" s="81" t="n"/>
      <c r="E321" s="16">
        <f>IF($A321="","",$A321&amp;"|"&amp;DAY($B321))</f>
        <v/>
      </c>
      <c r="F321" s="16">
        <f>IF($A321="","",IF(COUNTIF(設定!$B$62:$B$201,$A321)=0,"⚠ 查無員編",IF(COUNTIF($E$3:$E$2002,$E321)&gt;1,"⚠ 重複打卡","OK")))</f>
        <v/>
      </c>
    </row>
    <row r="322">
      <c r="A322" s="20" t="n"/>
      <c r="B322" s="18" t="n"/>
      <c r="C322" s="81" t="n"/>
      <c r="D322" s="81" t="n"/>
      <c r="E322" s="16">
        <f>IF($A322="","",$A322&amp;"|"&amp;DAY($B322))</f>
        <v/>
      </c>
      <c r="F322" s="16">
        <f>IF($A322="","",IF(COUNTIF(設定!$B$62:$B$201,$A322)=0,"⚠ 查無員編",IF(COUNTIF($E$3:$E$2002,$E322)&gt;1,"⚠ 重複打卡","OK")))</f>
        <v/>
      </c>
    </row>
    <row r="323">
      <c r="A323" s="20" t="n"/>
      <c r="B323" s="18" t="n"/>
      <c r="C323" s="81" t="n"/>
      <c r="D323" s="81" t="n"/>
      <c r="E323" s="16">
        <f>IF($A323="","",$A323&amp;"|"&amp;DAY($B323))</f>
        <v/>
      </c>
      <c r="F323" s="16">
        <f>IF($A323="","",IF(COUNTIF(設定!$B$62:$B$201,$A323)=0,"⚠ 查無員編",IF(COUNTIF($E$3:$E$2002,$E323)&gt;1,"⚠ 重複打卡","OK")))</f>
        <v/>
      </c>
    </row>
    <row r="324">
      <c r="A324" s="20" t="n"/>
      <c r="B324" s="18" t="n"/>
      <c r="C324" s="81" t="n"/>
      <c r="D324" s="81" t="n"/>
      <c r="E324" s="16">
        <f>IF($A324="","",$A324&amp;"|"&amp;DAY($B324))</f>
        <v/>
      </c>
      <c r="F324" s="16">
        <f>IF($A324="","",IF(COUNTIF(設定!$B$62:$B$201,$A324)=0,"⚠ 查無員編",IF(COUNTIF($E$3:$E$2002,$E324)&gt;1,"⚠ 重複打卡","OK")))</f>
        <v/>
      </c>
    </row>
    <row r="325">
      <c r="A325" s="20" t="n"/>
      <c r="B325" s="18" t="n"/>
      <c r="C325" s="81" t="n"/>
      <c r="D325" s="81" t="n"/>
      <c r="E325" s="16">
        <f>IF($A325="","",$A325&amp;"|"&amp;DAY($B325))</f>
        <v/>
      </c>
      <c r="F325" s="16">
        <f>IF($A325="","",IF(COUNTIF(設定!$B$62:$B$201,$A325)=0,"⚠ 查無員編",IF(COUNTIF($E$3:$E$2002,$E325)&gt;1,"⚠ 重複打卡","OK")))</f>
        <v/>
      </c>
    </row>
    <row r="326">
      <c r="A326" s="20" t="n"/>
      <c r="B326" s="18" t="n"/>
      <c r="C326" s="81" t="n"/>
      <c r="D326" s="81" t="n"/>
      <c r="E326" s="16">
        <f>IF($A326="","",$A326&amp;"|"&amp;DAY($B326))</f>
        <v/>
      </c>
      <c r="F326" s="16">
        <f>IF($A326="","",IF(COUNTIF(設定!$B$62:$B$201,$A326)=0,"⚠ 查無員編",IF(COUNTIF($E$3:$E$2002,$E326)&gt;1,"⚠ 重複打卡","OK")))</f>
        <v/>
      </c>
    </row>
    <row r="327">
      <c r="A327" s="20" t="n"/>
      <c r="B327" s="18" t="n"/>
      <c r="C327" s="81" t="n"/>
      <c r="D327" s="81" t="n"/>
      <c r="E327" s="16">
        <f>IF($A327="","",$A327&amp;"|"&amp;DAY($B327))</f>
        <v/>
      </c>
      <c r="F327" s="16">
        <f>IF($A327="","",IF(COUNTIF(設定!$B$62:$B$201,$A327)=0,"⚠ 查無員編",IF(COUNTIF($E$3:$E$2002,$E327)&gt;1,"⚠ 重複打卡","OK")))</f>
        <v/>
      </c>
    </row>
    <row r="328">
      <c r="A328" s="20" t="n"/>
      <c r="B328" s="18" t="n"/>
      <c r="C328" s="81" t="n"/>
      <c r="D328" s="81" t="n"/>
      <c r="E328" s="16">
        <f>IF($A328="","",$A328&amp;"|"&amp;DAY($B328))</f>
        <v/>
      </c>
      <c r="F328" s="16">
        <f>IF($A328="","",IF(COUNTIF(設定!$B$62:$B$201,$A328)=0,"⚠ 查無員編",IF(COUNTIF($E$3:$E$2002,$E328)&gt;1,"⚠ 重複打卡","OK")))</f>
        <v/>
      </c>
    </row>
    <row r="329">
      <c r="A329" s="20" t="n"/>
      <c r="B329" s="18" t="n"/>
      <c r="C329" s="81" t="n"/>
      <c r="D329" s="81" t="n"/>
      <c r="E329" s="16">
        <f>IF($A329="","",$A329&amp;"|"&amp;DAY($B329))</f>
        <v/>
      </c>
      <c r="F329" s="16">
        <f>IF($A329="","",IF(COUNTIF(設定!$B$62:$B$201,$A329)=0,"⚠ 查無員編",IF(COUNTIF($E$3:$E$2002,$E329)&gt;1,"⚠ 重複打卡","OK")))</f>
        <v/>
      </c>
    </row>
    <row r="330">
      <c r="A330" s="20" t="n"/>
      <c r="B330" s="18" t="n"/>
      <c r="C330" s="81" t="n"/>
      <c r="D330" s="81" t="n"/>
      <c r="E330" s="16">
        <f>IF($A330="","",$A330&amp;"|"&amp;DAY($B330))</f>
        <v/>
      </c>
      <c r="F330" s="16">
        <f>IF($A330="","",IF(COUNTIF(設定!$B$62:$B$201,$A330)=0,"⚠ 查無員編",IF(COUNTIF($E$3:$E$2002,$E330)&gt;1,"⚠ 重複打卡","OK")))</f>
        <v/>
      </c>
    </row>
    <row r="331">
      <c r="A331" s="20" t="n"/>
      <c r="B331" s="18" t="n"/>
      <c r="C331" s="81" t="n"/>
      <c r="D331" s="81" t="n"/>
      <c r="E331" s="16">
        <f>IF($A331="","",$A331&amp;"|"&amp;DAY($B331))</f>
        <v/>
      </c>
      <c r="F331" s="16">
        <f>IF($A331="","",IF(COUNTIF(設定!$B$62:$B$201,$A331)=0,"⚠ 查無員編",IF(COUNTIF($E$3:$E$2002,$E331)&gt;1,"⚠ 重複打卡","OK")))</f>
        <v/>
      </c>
    </row>
    <row r="332">
      <c r="A332" s="20" t="n"/>
      <c r="B332" s="18" t="n"/>
      <c r="C332" s="81" t="n"/>
      <c r="D332" s="81" t="n"/>
      <c r="E332" s="16">
        <f>IF($A332="","",$A332&amp;"|"&amp;DAY($B332))</f>
        <v/>
      </c>
      <c r="F332" s="16">
        <f>IF($A332="","",IF(COUNTIF(設定!$B$62:$B$201,$A332)=0,"⚠ 查無員編",IF(COUNTIF($E$3:$E$2002,$E332)&gt;1,"⚠ 重複打卡","OK")))</f>
        <v/>
      </c>
    </row>
    <row r="333">
      <c r="A333" s="20" t="n"/>
      <c r="B333" s="18" t="n"/>
      <c r="C333" s="81" t="n"/>
      <c r="D333" s="81" t="n"/>
      <c r="E333" s="16">
        <f>IF($A333="","",$A333&amp;"|"&amp;DAY($B333))</f>
        <v/>
      </c>
      <c r="F333" s="16">
        <f>IF($A333="","",IF(COUNTIF(設定!$B$62:$B$201,$A333)=0,"⚠ 查無員編",IF(COUNTIF($E$3:$E$2002,$E333)&gt;1,"⚠ 重複打卡","OK")))</f>
        <v/>
      </c>
    </row>
    <row r="334">
      <c r="A334" s="20" t="n"/>
      <c r="B334" s="18" t="n"/>
      <c r="C334" s="81" t="n"/>
      <c r="D334" s="81" t="n"/>
      <c r="E334" s="16">
        <f>IF($A334="","",$A334&amp;"|"&amp;DAY($B334))</f>
        <v/>
      </c>
      <c r="F334" s="16">
        <f>IF($A334="","",IF(COUNTIF(設定!$B$62:$B$201,$A334)=0,"⚠ 查無員編",IF(COUNTIF($E$3:$E$2002,$E334)&gt;1,"⚠ 重複打卡","OK")))</f>
        <v/>
      </c>
    </row>
    <row r="335">
      <c r="A335" s="20" t="n"/>
      <c r="B335" s="18" t="n"/>
      <c r="C335" s="81" t="n"/>
      <c r="D335" s="81" t="n"/>
      <c r="E335" s="16">
        <f>IF($A335="","",$A335&amp;"|"&amp;DAY($B335))</f>
        <v/>
      </c>
      <c r="F335" s="16">
        <f>IF($A335="","",IF(COUNTIF(設定!$B$62:$B$201,$A335)=0,"⚠ 查無員編",IF(COUNTIF($E$3:$E$2002,$E335)&gt;1,"⚠ 重複打卡","OK")))</f>
        <v/>
      </c>
    </row>
    <row r="336">
      <c r="A336" s="20" t="n"/>
      <c r="B336" s="18" t="n"/>
      <c r="C336" s="81" t="n"/>
      <c r="D336" s="81" t="n"/>
      <c r="E336" s="16">
        <f>IF($A336="","",$A336&amp;"|"&amp;DAY($B336))</f>
        <v/>
      </c>
      <c r="F336" s="16">
        <f>IF($A336="","",IF(COUNTIF(設定!$B$62:$B$201,$A336)=0,"⚠ 查無員編",IF(COUNTIF($E$3:$E$2002,$E336)&gt;1,"⚠ 重複打卡","OK")))</f>
        <v/>
      </c>
    </row>
    <row r="337">
      <c r="A337" s="20" t="n"/>
      <c r="B337" s="18" t="n"/>
      <c r="C337" s="81" t="n"/>
      <c r="D337" s="81" t="n"/>
      <c r="E337" s="16">
        <f>IF($A337="","",$A337&amp;"|"&amp;DAY($B337))</f>
        <v/>
      </c>
      <c r="F337" s="16">
        <f>IF($A337="","",IF(COUNTIF(設定!$B$62:$B$201,$A337)=0,"⚠ 查無員編",IF(COUNTIF($E$3:$E$2002,$E337)&gt;1,"⚠ 重複打卡","OK")))</f>
        <v/>
      </c>
    </row>
    <row r="338">
      <c r="A338" s="20" t="n"/>
      <c r="B338" s="18" t="n"/>
      <c r="C338" s="81" t="n"/>
      <c r="D338" s="81" t="n"/>
      <c r="E338" s="16">
        <f>IF($A338="","",$A338&amp;"|"&amp;DAY($B338))</f>
        <v/>
      </c>
      <c r="F338" s="16">
        <f>IF($A338="","",IF(COUNTIF(設定!$B$62:$B$201,$A338)=0,"⚠ 查無員編",IF(COUNTIF($E$3:$E$2002,$E338)&gt;1,"⚠ 重複打卡","OK")))</f>
        <v/>
      </c>
    </row>
    <row r="339">
      <c r="A339" s="20" t="n"/>
      <c r="B339" s="18" t="n"/>
      <c r="C339" s="81" t="n"/>
      <c r="D339" s="81" t="n"/>
      <c r="E339" s="16">
        <f>IF($A339="","",$A339&amp;"|"&amp;DAY($B339))</f>
        <v/>
      </c>
      <c r="F339" s="16">
        <f>IF($A339="","",IF(COUNTIF(設定!$B$62:$B$201,$A339)=0,"⚠ 查無員編",IF(COUNTIF($E$3:$E$2002,$E339)&gt;1,"⚠ 重複打卡","OK")))</f>
        <v/>
      </c>
    </row>
    <row r="340">
      <c r="A340" s="20" t="n"/>
      <c r="B340" s="18" t="n"/>
      <c r="C340" s="81" t="n"/>
      <c r="D340" s="81" t="n"/>
      <c r="E340" s="16">
        <f>IF($A340="","",$A340&amp;"|"&amp;DAY($B340))</f>
        <v/>
      </c>
      <c r="F340" s="16">
        <f>IF($A340="","",IF(COUNTIF(設定!$B$62:$B$201,$A340)=0,"⚠ 查無員編",IF(COUNTIF($E$3:$E$2002,$E340)&gt;1,"⚠ 重複打卡","OK")))</f>
        <v/>
      </c>
    </row>
    <row r="341">
      <c r="A341" s="20" t="n"/>
      <c r="B341" s="18" t="n"/>
      <c r="C341" s="81" t="n"/>
      <c r="D341" s="81" t="n"/>
      <c r="E341" s="16">
        <f>IF($A341="","",$A341&amp;"|"&amp;DAY($B341))</f>
        <v/>
      </c>
      <c r="F341" s="16">
        <f>IF($A341="","",IF(COUNTIF(設定!$B$62:$B$201,$A341)=0,"⚠ 查無員編",IF(COUNTIF($E$3:$E$2002,$E341)&gt;1,"⚠ 重複打卡","OK")))</f>
        <v/>
      </c>
    </row>
    <row r="342">
      <c r="A342" s="20" t="n"/>
      <c r="B342" s="18" t="n"/>
      <c r="C342" s="81" t="n"/>
      <c r="D342" s="81" t="n"/>
      <c r="E342" s="16">
        <f>IF($A342="","",$A342&amp;"|"&amp;DAY($B342))</f>
        <v/>
      </c>
      <c r="F342" s="16">
        <f>IF($A342="","",IF(COUNTIF(設定!$B$62:$B$201,$A342)=0,"⚠ 查無員編",IF(COUNTIF($E$3:$E$2002,$E342)&gt;1,"⚠ 重複打卡","OK")))</f>
        <v/>
      </c>
    </row>
    <row r="343">
      <c r="A343" s="20" t="n"/>
      <c r="B343" s="18" t="n"/>
      <c r="C343" s="81" t="n"/>
      <c r="D343" s="81" t="n"/>
      <c r="E343" s="16">
        <f>IF($A343="","",$A343&amp;"|"&amp;DAY($B343))</f>
        <v/>
      </c>
      <c r="F343" s="16">
        <f>IF($A343="","",IF(COUNTIF(設定!$B$62:$B$201,$A343)=0,"⚠ 查無員編",IF(COUNTIF($E$3:$E$2002,$E343)&gt;1,"⚠ 重複打卡","OK")))</f>
        <v/>
      </c>
    </row>
    <row r="344">
      <c r="A344" s="20" t="n"/>
      <c r="B344" s="18" t="n"/>
      <c r="C344" s="81" t="n"/>
      <c r="D344" s="81" t="n"/>
      <c r="E344" s="16">
        <f>IF($A344="","",$A344&amp;"|"&amp;DAY($B344))</f>
        <v/>
      </c>
      <c r="F344" s="16">
        <f>IF($A344="","",IF(COUNTIF(設定!$B$62:$B$201,$A344)=0,"⚠ 查無員編",IF(COUNTIF($E$3:$E$2002,$E344)&gt;1,"⚠ 重複打卡","OK")))</f>
        <v/>
      </c>
    </row>
    <row r="345">
      <c r="A345" s="20" t="n"/>
      <c r="B345" s="18" t="n"/>
      <c r="C345" s="81" t="n"/>
      <c r="D345" s="81" t="n"/>
      <c r="E345" s="16">
        <f>IF($A345="","",$A345&amp;"|"&amp;DAY($B345))</f>
        <v/>
      </c>
      <c r="F345" s="16">
        <f>IF($A345="","",IF(COUNTIF(設定!$B$62:$B$201,$A345)=0,"⚠ 查無員編",IF(COUNTIF($E$3:$E$2002,$E345)&gt;1,"⚠ 重複打卡","OK")))</f>
        <v/>
      </c>
    </row>
    <row r="346">
      <c r="A346" s="20" t="n"/>
      <c r="B346" s="18" t="n"/>
      <c r="C346" s="81" t="n"/>
      <c r="D346" s="81" t="n"/>
      <c r="E346" s="16">
        <f>IF($A346="","",$A346&amp;"|"&amp;DAY($B346))</f>
        <v/>
      </c>
      <c r="F346" s="16">
        <f>IF($A346="","",IF(COUNTIF(設定!$B$62:$B$201,$A346)=0,"⚠ 查無員編",IF(COUNTIF($E$3:$E$2002,$E346)&gt;1,"⚠ 重複打卡","OK")))</f>
        <v/>
      </c>
    </row>
    <row r="347">
      <c r="A347" s="20" t="n"/>
      <c r="B347" s="18" t="n"/>
      <c r="C347" s="81" t="n"/>
      <c r="D347" s="81" t="n"/>
      <c r="E347" s="16">
        <f>IF($A347="","",$A347&amp;"|"&amp;DAY($B347))</f>
        <v/>
      </c>
      <c r="F347" s="16">
        <f>IF($A347="","",IF(COUNTIF(設定!$B$62:$B$201,$A347)=0,"⚠ 查無員編",IF(COUNTIF($E$3:$E$2002,$E347)&gt;1,"⚠ 重複打卡","OK")))</f>
        <v/>
      </c>
    </row>
    <row r="348">
      <c r="A348" s="20" t="n"/>
      <c r="B348" s="18" t="n"/>
      <c r="C348" s="81" t="n"/>
      <c r="D348" s="81" t="n"/>
      <c r="E348" s="16">
        <f>IF($A348="","",$A348&amp;"|"&amp;DAY($B348))</f>
        <v/>
      </c>
      <c r="F348" s="16">
        <f>IF($A348="","",IF(COUNTIF(設定!$B$62:$B$201,$A348)=0,"⚠ 查無員編",IF(COUNTIF($E$3:$E$2002,$E348)&gt;1,"⚠ 重複打卡","OK")))</f>
        <v/>
      </c>
    </row>
    <row r="349">
      <c r="A349" s="20" t="n"/>
      <c r="B349" s="18" t="n"/>
      <c r="C349" s="81" t="n"/>
      <c r="D349" s="81" t="n"/>
      <c r="E349" s="16">
        <f>IF($A349="","",$A349&amp;"|"&amp;DAY($B349))</f>
        <v/>
      </c>
      <c r="F349" s="16">
        <f>IF($A349="","",IF(COUNTIF(設定!$B$62:$B$201,$A349)=0,"⚠ 查無員編",IF(COUNTIF($E$3:$E$2002,$E349)&gt;1,"⚠ 重複打卡","OK")))</f>
        <v/>
      </c>
    </row>
    <row r="350">
      <c r="A350" s="20" t="n"/>
      <c r="B350" s="18" t="n"/>
      <c r="C350" s="81" t="n"/>
      <c r="D350" s="81" t="n"/>
      <c r="E350" s="16">
        <f>IF($A350="","",$A350&amp;"|"&amp;DAY($B350))</f>
        <v/>
      </c>
      <c r="F350" s="16">
        <f>IF($A350="","",IF(COUNTIF(設定!$B$62:$B$201,$A350)=0,"⚠ 查無員編",IF(COUNTIF($E$3:$E$2002,$E350)&gt;1,"⚠ 重複打卡","OK")))</f>
        <v/>
      </c>
    </row>
    <row r="351">
      <c r="A351" s="20" t="n"/>
      <c r="B351" s="18" t="n"/>
      <c r="C351" s="81" t="n"/>
      <c r="D351" s="81" t="n"/>
      <c r="E351" s="16">
        <f>IF($A351="","",$A351&amp;"|"&amp;DAY($B351))</f>
        <v/>
      </c>
      <c r="F351" s="16">
        <f>IF($A351="","",IF(COUNTIF(設定!$B$62:$B$201,$A351)=0,"⚠ 查無員編",IF(COUNTIF($E$3:$E$2002,$E351)&gt;1,"⚠ 重複打卡","OK")))</f>
        <v/>
      </c>
    </row>
    <row r="352">
      <c r="A352" s="20" t="n"/>
      <c r="B352" s="18" t="n"/>
      <c r="C352" s="81" t="n"/>
      <c r="D352" s="81" t="n"/>
      <c r="E352" s="16">
        <f>IF($A352="","",$A352&amp;"|"&amp;DAY($B352))</f>
        <v/>
      </c>
      <c r="F352" s="16">
        <f>IF($A352="","",IF(COUNTIF(設定!$B$62:$B$201,$A352)=0,"⚠ 查無員編",IF(COUNTIF($E$3:$E$2002,$E352)&gt;1,"⚠ 重複打卡","OK")))</f>
        <v/>
      </c>
    </row>
    <row r="353">
      <c r="A353" s="20" t="n"/>
      <c r="B353" s="18" t="n"/>
      <c r="C353" s="81" t="n"/>
      <c r="D353" s="81" t="n"/>
      <c r="E353" s="16">
        <f>IF($A353="","",$A353&amp;"|"&amp;DAY($B353))</f>
        <v/>
      </c>
      <c r="F353" s="16">
        <f>IF($A353="","",IF(COUNTIF(設定!$B$62:$B$201,$A353)=0,"⚠ 查無員編",IF(COUNTIF($E$3:$E$2002,$E353)&gt;1,"⚠ 重複打卡","OK")))</f>
        <v/>
      </c>
    </row>
    <row r="354">
      <c r="A354" s="20" t="n"/>
      <c r="B354" s="18" t="n"/>
      <c r="C354" s="81" t="n"/>
      <c r="D354" s="81" t="n"/>
      <c r="E354" s="16">
        <f>IF($A354="","",$A354&amp;"|"&amp;DAY($B354))</f>
        <v/>
      </c>
      <c r="F354" s="16">
        <f>IF($A354="","",IF(COUNTIF(設定!$B$62:$B$201,$A354)=0,"⚠ 查無員編",IF(COUNTIF($E$3:$E$2002,$E354)&gt;1,"⚠ 重複打卡","OK")))</f>
        <v/>
      </c>
    </row>
    <row r="355">
      <c r="A355" s="20" t="n"/>
      <c r="B355" s="18" t="n"/>
      <c r="C355" s="81" t="n"/>
      <c r="D355" s="81" t="n"/>
      <c r="E355" s="16">
        <f>IF($A355="","",$A355&amp;"|"&amp;DAY($B355))</f>
        <v/>
      </c>
      <c r="F355" s="16">
        <f>IF($A355="","",IF(COUNTIF(設定!$B$62:$B$201,$A355)=0,"⚠ 查無員編",IF(COUNTIF($E$3:$E$2002,$E355)&gt;1,"⚠ 重複打卡","OK")))</f>
        <v/>
      </c>
    </row>
    <row r="356">
      <c r="A356" s="20" t="n"/>
      <c r="B356" s="18" t="n"/>
      <c r="C356" s="81" t="n"/>
      <c r="D356" s="81" t="n"/>
      <c r="E356" s="16">
        <f>IF($A356="","",$A356&amp;"|"&amp;DAY($B356))</f>
        <v/>
      </c>
      <c r="F356" s="16">
        <f>IF($A356="","",IF(COUNTIF(設定!$B$62:$B$201,$A356)=0,"⚠ 查無員編",IF(COUNTIF($E$3:$E$2002,$E356)&gt;1,"⚠ 重複打卡","OK")))</f>
        <v/>
      </c>
    </row>
    <row r="357">
      <c r="A357" s="20" t="n"/>
      <c r="B357" s="18" t="n"/>
      <c r="C357" s="81" t="n"/>
      <c r="D357" s="81" t="n"/>
      <c r="E357" s="16">
        <f>IF($A357="","",$A357&amp;"|"&amp;DAY($B357))</f>
        <v/>
      </c>
      <c r="F357" s="16">
        <f>IF($A357="","",IF(COUNTIF(設定!$B$62:$B$201,$A357)=0,"⚠ 查無員編",IF(COUNTIF($E$3:$E$2002,$E357)&gt;1,"⚠ 重複打卡","OK")))</f>
        <v/>
      </c>
    </row>
    <row r="358">
      <c r="A358" s="20" t="n"/>
      <c r="B358" s="18" t="n"/>
      <c r="C358" s="81" t="n"/>
      <c r="D358" s="81" t="n"/>
      <c r="E358" s="16">
        <f>IF($A358="","",$A358&amp;"|"&amp;DAY($B358))</f>
        <v/>
      </c>
      <c r="F358" s="16">
        <f>IF($A358="","",IF(COUNTIF(設定!$B$62:$B$201,$A358)=0,"⚠ 查無員編",IF(COUNTIF($E$3:$E$2002,$E358)&gt;1,"⚠ 重複打卡","OK")))</f>
        <v/>
      </c>
    </row>
    <row r="359">
      <c r="A359" s="20" t="n"/>
      <c r="B359" s="18" t="n"/>
      <c r="C359" s="81" t="n"/>
      <c r="D359" s="81" t="n"/>
      <c r="E359" s="16">
        <f>IF($A359="","",$A359&amp;"|"&amp;DAY($B359))</f>
        <v/>
      </c>
      <c r="F359" s="16">
        <f>IF($A359="","",IF(COUNTIF(設定!$B$62:$B$201,$A359)=0,"⚠ 查無員編",IF(COUNTIF($E$3:$E$2002,$E359)&gt;1,"⚠ 重複打卡","OK")))</f>
        <v/>
      </c>
    </row>
    <row r="360">
      <c r="A360" s="20" t="n"/>
      <c r="B360" s="18" t="n"/>
      <c r="C360" s="81" t="n"/>
      <c r="D360" s="81" t="n"/>
      <c r="E360" s="16">
        <f>IF($A360="","",$A360&amp;"|"&amp;DAY($B360))</f>
        <v/>
      </c>
      <c r="F360" s="16">
        <f>IF($A360="","",IF(COUNTIF(設定!$B$62:$B$201,$A360)=0,"⚠ 查無員編",IF(COUNTIF($E$3:$E$2002,$E360)&gt;1,"⚠ 重複打卡","OK")))</f>
        <v/>
      </c>
    </row>
    <row r="361">
      <c r="A361" s="20" t="n"/>
      <c r="B361" s="18" t="n"/>
      <c r="C361" s="81" t="n"/>
      <c r="D361" s="81" t="n"/>
      <c r="E361" s="16">
        <f>IF($A361="","",$A361&amp;"|"&amp;DAY($B361))</f>
        <v/>
      </c>
      <c r="F361" s="16">
        <f>IF($A361="","",IF(COUNTIF(設定!$B$62:$B$201,$A361)=0,"⚠ 查無員編",IF(COUNTIF($E$3:$E$2002,$E361)&gt;1,"⚠ 重複打卡","OK")))</f>
        <v/>
      </c>
    </row>
    <row r="362">
      <c r="A362" s="20" t="n"/>
      <c r="B362" s="18" t="n"/>
      <c r="C362" s="81" t="n"/>
      <c r="D362" s="81" t="n"/>
      <c r="E362" s="16">
        <f>IF($A362="","",$A362&amp;"|"&amp;DAY($B362))</f>
        <v/>
      </c>
      <c r="F362" s="16">
        <f>IF($A362="","",IF(COUNTIF(設定!$B$62:$B$201,$A362)=0,"⚠ 查無員編",IF(COUNTIF($E$3:$E$2002,$E362)&gt;1,"⚠ 重複打卡","OK")))</f>
        <v/>
      </c>
    </row>
    <row r="363">
      <c r="A363" s="20" t="n"/>
      <c r="B363" s="18" t="n"/>
      <c r="C363" s="81" t="n"/>
      <c r="D363" s="81" t="n"/>
      <c r="E363" s="16">
        <f>IF($A363="","",$A363&amp;"|"&amp;DAY($B363))</f>
        <v/>
      </c>
      <c r="F363" s="16">
        <f>IF($A363="","",IF(COUNTIF(設定!$B$62:$B$201,$A363)=0,"⚠ 查無員編",IF(COUNTIF($E$3:$E$2002,$E363)&gt;1,"⚠ 重複打卡","OK")))</f>
        <v/>
      </c>
    </row>
    <row r="364">
      <c r="A364" s="20" t="n"/>
      <c r="B364" s="18" t="n"/>
      <c r="C364" s="81" t="n"/>
      <c r="D364" s="81" t="n"/>
      <c r="E364" s="16">
        <f>IF($A364="","",$A364&amp;"|"&amp;DAY($B364))</f>
        <v/>
      </c>
      <c r="F364" s="16">
        <f>IF($A364="","",IF(COUNTIF(設定!$B$62:$B$201,$A364)=0,"⚠ 查無員編",IF(COUNTIF($E$3:$E$2002,$E364)&gt;1,"⚠ 重複打卡","OK")))</f>
        <v/>
      </c>
    </row>
    <row r="365">
      <c r="A365" s="20" t="n"/>
      <c r="B365" s="18" t="n"/>
      <c r="C365" s="81" t="n"/>
      <c r="D365" s="81" t="n"/>
      <c r="E365" s="16">
        <f>IF($A365="","",$A365&amp;"|"&amp;DAY($B365))</f>
        <v/>
      </c>
      <c r="F365" s="16">
        <f>IF($A365="","",IF(COUNTIF(設定!$B$62:$B$201,$A365)=0,"⚠ 查無員編",IF(COUNTIF($E$3:$E$2002,$E365)&gt;1,"⚠ 重複打卡","OK")))</f>
        <v/>
      </c>
    </row>
    <row r="366">
      <c r="A366" s="20" t="n"/>
      <c r="B366" s="18" t="n"/>
      <c r="C366" s="81" t="n"/>
      <c r="D366" s="81" t="n"/>
      <c r="E366" s="16">
        <f>IF($A366="","",$A366&amp;"|"&amp;DAY($B366))</f>
        <v/>
      </c>
      <c r="F366" s="16">
        <f>IF($A366="","",IF(COUNTIF(設定!$B$62:$B$201,$A366)=0,"⚠ 查無員編",IF(COUNTIF($E$3:$E$2002,$E366)&gt;1,"⚠ 重複打卡","OK")))</f>
        <v/>
      </c>
    </row>
    <row r="367">
      <c r="A367" s="20" t="n"/>
      <c r="B367" s="18" t="n"/>
      <c r="C367" s="81" t="n"/>
      <c r="D367" s="81" t="n"/>
      <c r="E367" s="16">
        <f>IF($A367="","",$A367&amp;"|"&amp;DAY($B367))</f>
        <v/>
      </c>
      <c r="F367" s="16">
        <f>IF($A367="","",IF(COUNTIF(設定!$B$62:$B$201,$A367)=0,"⚠ 查無員編",IF(COUNTIF($E$3:$E$2002,$E367)&gt;1,"⚠ 重複打卡","OK")))</f>
        <v/>
      </c>
    </row>
    <row r="368">
      <c r="A368" s="20" t="n"/>
      <c r="B368" s="18" t="n"/>
      <c r="C368" s="81" t="n"/>
      <c r="D368" s="81" t="n"/>
      <c r="E368" s="16">
        <f>IF($A368="","",$A368&amp;"|"&amp;DAY($B368))</f>
        <v/>
      </c>
      <c r="F368" s="16">
        <f>IF($A368="","",IF(COUNTIF(設定!$B$62:$B$201,$A368)=0,"⚠ 查無員編",IF(COUNTIF($E$3:$E$2002,$E368)&gt;1,"⚠ 重複打卡","OK")))</f>
        <v/>
      </c>
    </row>
    <row r="369">
      <c r="A369" s="20" t="n"/>
      <c r="B369" s="18" t="n"/>
      <c r="C369" s="81" t="n"/>
      <c r="D369" s="81" t="n"/>
      <c r="E369" s="16">
        <f>IF($A369="","",$A369&amp;"|"&amp;DAY($B369))</f>
        <v/>
      </c>
      <c r="F369" s="16">
        <f>IF($A369="","",IF(COUNTIF(設定!$B$62:$B$201,$A369)=0,"⚠ 查無員編",IF(COUNTIF($E$3:$E$2002,$E369)&gt;1,"⚠ 重複打卡","OK")))</f>
        <v/>
      </c>
    </row>
    <row r="370">
      <c r="A370" s="20" t="n"/>
      <c r="B370" s="18" t="n"/>
      <c r="C370" s="81" t="n"/>
      <c r="D370" s="81" t="n"/>
      <c r="E370" s="16">
        <f>IF($A370="","",$A370&amp;"|"&amp;DAY($B370))</f>
        <v/>
      </c>
      <c r="F370" s="16">
        <f>IF($A370="","",IF(COUNTIF(設定!$B$62:$B$201,$A370)=0,"⚠ 查無員編",IF(COUNTIF($E$3:$E$2002,$E370)&gt;1,"⚠ 重複打卡","OK")))</f>
        <v/>
      </c>
    </row>
    <row r="371">
      <c r="A371" s="20" t="n"/>
      <c r="B371" s="18" t="n"/>
      <c r="C371" s="81" t="n"/>
      <c r="D371" s="81" t="n"/>
      <c r="E371" s="16">
        <f>IF($A371="","",$A371&amp;"|"&amp;DAY($B371))</f>
        <v/>
      </c>
      <c r="F371" s="16">
        <f>IF($A371="","",IF(COUNTIF(設定!$B$62:$B$201,$A371)=0,"⚠ 查無員編",IF(COUNTIF($E$3:$E$2002,$E371)&gt;1,"⚠ 重複打卡","OK")))</f>
        <v/>
      </c>
    </row>
    <row r="372">
      <c r="A372" s="20" t="n"/>
      <c r="B372" s="18" t="n"/>
      <c r="C372" s="81" t="n"/>
      <c r="D372" s="81" t="n"/>
      <c r="E372" s="16">
        <f>IF($A372="","",$A372&amp;"|"&amp;DAY($B372))</f>
        <v/>
      </c>
      <c r="F372" s="16">
        <f>IF($A372="","",IF(COUNTIF(設定!$B$62:$B$201,$A372)=0,"⚠ 查無員編",IF(COUNTIF($E$3:$E$2002,$E372)&gt;1,"⚠ 重複打卡","OK")))</f>
        <v/>
      </c>
    </row>
    <row r="373">
      <c r="A373" s="20" t="n"/>
      <c r="B373" s="18" t="n"/>
      <c r="C373" s="81" t="n"/>
      <c r="D373" s="81" t="n"/>
      <c r="E373" s="16">
        <f>IF($A373="","",$A373&amp;"|"&amp;DAY($B373))</f>
        <v/>
      </c>
      <c r="F373" s="16">
        <f>IF($A373="","",IF(COUNTIF(設定!$B$62:$B$201,$A373)=0,"⚠ 查無員編",IF(COUNTIF($E$3:$E$2002,$E373)&gt;1,"⚠ 重複打卡","OK")))</f>
        <v/>
      </c>
    </row>
    <row r="374">
      <c r="A374" s="20" t="n"/>
      <c r="B374" s="18" t="n"/>
      <c r="C374" s="81" t="n"/>
      <c r="D374" s="81" t="n"/>
      <c r="E374" s="16">
        <f>IF($A374="","",$A374&amp;"|"&amp;DAY($B374))</f>
        <v/>
      </c>
      <c r="F374" s="16">
        <f>IF($A374="","",IF(COUNTIF(設定!$B$62:$B$201,$A374)=0,"⚠ 查無員編",IF(COUNTIF($E$3:$E$2002,$E374)&gt;1,"⚠ 重複打卡","OK")))</f>
        <v/>
      </c>
    </row>
    <row r="375">
      <c r="A375" s="20" t="n"/>
      <c r="B375" s="18" t="n"/>
      <c r="C375" s="81" t="n"/>
      <c r="D375" s="81" t="n"/>
      <c r="E375" s="16">
        <f>IF($A375="","",$A375&amp;"|"&amp;DAY($B375))</f>
        <v/>
      </c>
      <c r="F375" s="16">
        <f>IF($A375="","",IF(COUNTIF(設定!$B$62:$B$201,$A375)=0,"⚠ 查無員編",IF(COUNTIF($E$3:$E$2002,$E375)&gt;1,"⚠ 重複打卡","OK")))</f>
        <v/>
      </c>
    </row>
    <row r="376">
      <c r="A376" s="20" t="n"/>
      <c r="B376" s="18" t="n"/>
      <c r="C376" s="81" t="n"/>
      <c r="D376" s="81" t="n"/>
      <c r="E376" s="16">
        <f>IF($A376="","",$A376&amp;"|"&amp;DAY($B376))</f>
        <v/>
      </c>
      <c r="F376" s="16">
        <f>IF($A376="","",IF(COUNTIF(設定!$B$62:$B$201,$A376)=0,"⚠ 查無員編",IF(COUNTIF($E$3:$E$2002,$E376)&gt;1,"⚠ 重複打卡","OK")))</f>
        <v/>
      </c>
    </row>
    <row r="377">
      <c r="A377" s="20" t="n"/>
      <c r="B377" s="18" t="n"/>
      <c r="C377" s="81" t="n"/>
      <c r="D377" s="81" t="n"/>
      <c r="E377" s="16">
        <f>IF($A377="","",$A377&amp;"|"&amp;DAY($B377))</f>
        <v/>
      </c>
      <c r="F377" s="16">
        <f>IF($A377="","",IF(COUNTIF(設定!$B$62:$B$201,$A377)=0,"⚠ 查無員編",IF(COUNTIF($E$3:$E$2002,$E377)&gt;1,"⚠ 重複打卡","OK")))</f>
        <v/>
      </c>
    </row>
    <row r="378">
      <c r="A378" s="20" t="n"/>
      <c r="B378" s="18" t="n"/>
      <c r="C378" s="81" t="n"/>
      <c r="D378" s="81" t="n"/>
      <c r="E378" s="16">
        <f>IF($A378="","",$A378&amp;"|"&amp;DAY($B378))</f>
        <v/>
      </c>
      <c r="F378" s="16">
        <f>IF($A378="","",IF(COUNTIF(設定!$B$62:$B$201,$A378)=0,"⚠ 查無員編",IF(COUNTIF($E$3:$E$2002,$E378)&gt;1,"⚠ 重複打卡","OK")))</f>
        <v/>
      </c>
    </row>
    <row r="379">
      <c r="A379" s="20" t="n"/>
      <c r="B379" s="18" t="n"/>
      <c r="C379" s="81" t="n"/>
      <c r="D379" s="81" t="n"/>
      <c r="E379" s="16">
        <f>IF($A379="","",$A379&amp;"|"&amp;DAY($B379))</f>
        <v/>
      </c>
      <c r="F379" s="16">
        <f>IF($A379="","",IF(COUNTIF(設定!$B$62:$B$201,$A379)=0,"⚠ 查無員編",IF(COUNTIF($E$3:$E$2002,$E379)&gt;1,"⚠ 重複打卡","OK")))</f>
        <v/>
      </c>
    </row>
    <row r="380">
      <c r="A380" s="20" t="n"/>
      <c r="B380" s="18" t="n"/>
      <c r="C380" s="81" t="n"/>
      <c r="D380" s="81" t="n"/>
      <c r="E380" s="16">
        <f>IF($A380="","",$A380&amp;"|"&amp;DAY($B380))</f>
        <v/>
      </c>
      <c r="F380" s="16">
        <f>IF($A380="","",IF(COUNTIF(設定!$B$62:$B$201,$A380)=0,"⚠ 查無員編",IF(COUNTIF($E$3:$E$2002,$E380)&gt;1,"⚠ 重複打卡","OK")))</f>
        <v/>
      </c>
    </row>
    <row r="381">
      <c r="A381" s="20" t="n"/>
      <c r="B381" s="18" t="n"/>
      <c r="C381" s="81" t="n"/>
      <c r="D381" s="81" t="n"/>
      <c r="E381" s="16">
        <f>IF($A381="","",$A381&amp;"|"&amp;DAY($B381))</f>
        <v/>
      </c>
      <c r="F381" s="16">
        <f>IF($A381="","",IF(COUNTIF(設定!$B$62:$B$201,$A381)=0,"⚠ 查無員編",IF(COUNTIF($E$3:$E$2002,$E381)&gt;1,"⚠ 重複打卡","OK")))</f>
        <v/>
      </c>
    </row>
    <row r="382">
      <c r="A382" s="20" t="n"/>
      <c r="B382" s="18" t="n"/>
      <c r="C382" s="81" t="n"/>
      <c r="D382" s="81" t="n"/>
      <c r="E382" s="16">
        <f>IF($A382="","",$A382&amp;"|"&amp;DAY($B382))</f>
        <v/>
      </c>
      <c r="F382" s="16">
        <f>IF($A382="","",IF(COUNTIF(設定!$B$62:$B$201,$A382)=0,"⚠ 查無員編",IF(COUNTIF($E$3:$E$2002,$E382)&gt;1,"⚠ 重複打卡","OK")))</f>
        <v/>
      </c>
    </row>
    <row r="383">
      <c r="A383" s="20" t="n"/>
      <c r="B383" s="18" t="n"/>
      <c r="C383" s="81" t="n"/>
      <c r="D383" s="81" t="n"/>
      <c r="E383" s="16">
        <f>IF($A383="","",$A383&amp;"|"&amp;DAY($B383))</f>
        <v/>
      </c>
      <c r="F383" s="16">
        <f>IF($A383="","",IF(COUNTIF(設定!$B$62:$B$201,$A383)=0,"⚠ 查無員編",IF(COUNTIF($E$3:$E$2002,$E383)&gt;1,"⚠ 重複打卡","OK")))</f>
        <v/>
      </c>
    </row>
    <row r="384">
      <c r="A384" s="20" t="n"/>
      <c r="B384" s="18" t="n"/>
      <c r="C384" s="81" t="n"/>
      <c r="D384" s="81" t="n"/>
      <c r="E384" s="16">
        <f>IF($A384="","",$A384&amp;"|"&amp;DAY($B384))</f>
        <v/>
      </c>
      <c r="F384" s="16">
        <f>IF($A384="","",IF(COUNTIF(設定!$B$62:$B$201,$A384)=0,"⚠ 查無員編",IF(COUNTIF($E$3:$E$2002,$E384)&gt;1,"⚠ 重複打卡","OK")))</f>
        <v/>
      </c>
    </row>
    <row r="385">
      <c r="A385" s="20" t="n"/>
      <c r="B385" s="18" t="n"/>
      <c r="C385" s="81" t="n"/>
      <c r="D385" s="81" t="n"/>
      <c r="E385" s="16">
        <f>IF($A385="","",$A385&amp;"|"&amp;DAY($B385))</f>
        <v/>
      </c>
      <c r="F385" s="16">
        <f>IF($A385="","",IF(COUNTIF(設定!$B$62:$B$201,$A385)=0,"⚠ 查無員編",IF(COUNTIF($E$3:$E$2002,$E385)&gt;1,"⚠ 重複打卡","OK")))</f>
        <v/>
      </c>
    </row>
    <row r="386">
      <c r="A386" s="20" t="n"/>
      <c r="B386" s="18" t="n"/>
      <c r="C386" s="81" t="n"/>
      <c r="D386" s="81" t="n"/>
      <c r="E386" s="16">
        <f>IF($A386="","",$A386&amp;"|"&amp;DAY($B386))</f>
        <v/>
      </c>
      <c r="F386" s="16">
        <f>IF($A386="","",IF(COUNTIF(設定!$B$62:$B$201,$A386)=0,"⚠ 查無員編",IF(COUNTIF($E$3:$E$2002,$E386)&gt;1,"⚠ 重複打卡","OK")))</f>
        <v/>
      </c>
    </row>
    <row r="387">
      <c r="A387" s="20" t="n"/>
      <c r="B387" s="18" t="n"/>
      <c r="C387" s="81" t="n"/>
      <c r="D387" s="81" t="n"/>
      <c r="E387" s="16">
        <f>IF($A387="","",$A387&amp;"|"&amp;DAY($B387))</f>
        <v/>
      </c>
      <c r="F387" s="16">
        <f>IF($A387="","",IF(COUNTIF(設定!$B$62:$B$201,$A387)=0,"⚠ 查無員編",IF(COUNTIF($E$3:$E$2002,$E387)&gt;1,"⚠ 重複打卡","OK")))</f>
        <v/>
      </c>
    </row>
    <row r="388">
      <c r="A388" s="20" t="n"/>
      <c r="B388" s="18" t="n"/>
      <c r="C388" s="81" t="n"/>
      <c r="D388" s="81" t="n"/>
      <c r="E388" s="16">
        <f>IF($A388="","",$A388&amp;"|"&amp;DAY($B388))</f>
        <v/>
      </c>
      <c r="F388" s="16">
        <f>IF($A388="","",IF(COUNTIF(設定!$B$62:$B$201,$A388)=0,"⚠ 查無員編",IF(COUNTIF($E$3:$E$2002,$E388)&gt;1,"⚠ 重複打卡","OK")))</f>
        <v/>
      </c>
    </row>
    <row r="389">
      <c r="A389" s="20" t="n"/>
      <c r="B389" s="18" t="n"/>
      <c r="C389" s="81" t="n"/>
      <c r="D389" s="81" t="n"/>
      <c r="E389" s="16">
        <f>IF($A389="","",$A389&amp;"|"&amp;DAY($B389))</f>
        <v/>
      </c>
      <c r="F389" s="16">
        <f>IF($A389="","",IF(COUNTIF(設定!$B$62:$B$201,$A389)=0,"⚠ 查無員編",IF(COUNTIF($E$3:$E$2002,$E389)&gt;1,"⚠ 重複打卡","OK")))</f>
        <v/>
      </c>
    </row>
    <row r="390">
      <c r="A390" s="20" t="n"/>
      <c r="B390" s="18" t="n"/>
      <c r="C390" s="81" t="n"/>
      <c r="D390" s="81" t="n"/>
      <c r="E390" s="16">
        <f>IF($A390="","",$A390&amp;"|"&amp;DAY($B390))</f>
        <v/>
      </c>
      <c r="F390" s="16">
        <f>IF($A390="","",IF(COUNTIF(設定!$B$62:$B$201,$A390)=0,"⚠ 查無員編",IF(COUNTIF($E$3:$E$2002,$E390)&gt;1,"⚠ 重複打卡","OK")))</f>
        <v/>
      </c>
    </row>
    <row r="391">
      <c r="A391" s="20" t="n"/>
      <c r="B391" s="18" t="n"/>
      <c r="C391" s="81" t="n"/>
      <c r="D391" s="81" t="n"/>
      <c r="E391" s="16">
        <f>IF($A391="","",$A391&amp;"|"&amp;DAY($B391))</f>
        <v/>
      </c>
      <c r="F391" s="16">
        <f>IF($A391="","",IF(COUNTIF(設定!$B$62:$B$201,$A391)=0,"⚠ 查無員編",IF(COUNTIF($E$3:$E$2002,$E391)&gt;1,"⚠ 重複打卡","OK")))</f>
        <v/>
      </c>
    </row>
    <row r="392">
      <c r="A392" s="20" t="n"/>
      <c r="B392" s="18" t="n"/>
      <c r="C392" s="81" t="n"/>
      <c r="D392" s="81" t="n"/>
      <c r="E392" s="16">
        <f>IF($A392="","",$A392&amp;"|"&amp;DAY($B392))</f>
        <v/>
      </c>
      <c r="F392" s="16">
        <f>IF($A392="","",IF(COUNTIF(設定!$B$62:$B$201,$A392)=0,"⚠ 查無員編",IF(COUNTIF($E$3:$E$2002,$E392)&gt;1,"⚠ 重複打卡","OK")))</f>
        <v/>
      </c>
    </row>
    <row r="393">
      <c r="A393" s="20" t="n"/>
      <c r="B393" s="18" t="n"/>
      <c r="C393" s="81" t="n"/>
      <c r="D393" s="81" t="n"/>
      <c r="E393" s="16">
        <f>IF($A393="","",$A393&amp;"|"&amp;DAY($B393))</f>
        <v/>
      </c>
      <c r="F393" s="16">
        <f>IF($A393="","",IF(COUNTIF(設定!$B$62:$B$201,$A393)=0,"⚠ 查無員編",IF(COUNTIF($E$3:$E$2002,$E393)&gt;1,"⚠ 重複打卡","OK")))</f>
        <v/>
      </c>
    </row>
    <row r="394">
      <c r="A394" s="20" t="n"/>
      <c r="B394" s="18" t="n"/>
      <c r="C394" s="81" t="n"/>
      <c r="D394" s="81" t="n"/>
      <c r="E394" s="16">
        <f>IF($A394="","",$A394&amp;"|"&amp;DAY($B394))</f>
        <v/>
      </c>
      <c r="F394" s="16">
        <f>IF($A394="","",IF(COUNTIF(設定!$B$62:$B$201,$A394)=0,"⚠ 查無員編",IF(COUNTIF($E$3:$E$2002,$E394)&gt;1,"⚠ 重複打卡","OK")))</f>
        <v/>
      </c>
    </row>
    <row r="395">
      <c r="A395" s="20" t="n"/>
      <c r="B395" s="18" t="n"/>
      <c r="C395" s="81" t="n"/>
      <c r="D395" s="81" t="n"/>
      <c r="E395" s="16">
        <f>IF($A395="","",$A395&amp;"|"&amp;DAY($B395))</f>
        <v/>
      </c>
      <c r="F395" s="16">
        <f>IF($A395="","",IF(COUNTIF(設定!$B$62:$B$201,$A395)=0,"⚠ 查無員編",IF(COUNTIF($E$3:$E$2002,$E395)&gt;1,"⚠ 重複打卡","OK")))</f>
        <v/>
      </c>
    </row>
    <row r="396">
      <c r="A396" s="20" t="n"/>
      <c r="B396" s="18" t="n"/>
      <c r="C396" s="81" t="n"/>
      <c r="D396" s="81" t="n"/>
      <c r="E396" s="16">
        <f>IF($A396="","",$A396&amp;"|"&amp;DAY($B396))</f>
        <v/>
      </c>
      <c r="F396" s="16">
        <f>IF($A396="","",IF(COUNTIF(設定!$B$62:$B$201,$A396)=0,"⚠ 查無員編",IF(COUNTIF($E$3:$E$2002,$E396)&gt;1,"⚠ 重複打卡","OK")))</f>
        <v/>
      </c>
    </row>
    <row r="397">
      <c r="A397" s="20" t="n"/>
      <c r="B397" s="18" t="n"/>
      <c r="C397" s="81" t="n"/>
      <c r="D397" s="81" t="n"/>
      <c r="E397" s="16">
        <f>IF($A397="","",$A397&amp;"|"&amp;DAY($B397))</f>
        <v/>
      </c>
      <c r="F397" s="16">
        <f>IF($A397="","",IF(COUNTIF(設定!$B$62:$B$201,$A397)=0,"⚠ 查無員編",IF(COUNTIF($E$3:$E$2002,$E397)&gt;1,"⚠ 重複打卡","OK")))</f>
        <v/>
      </c>
    </row>
    <row r="398">
      <c r="A398" s="20" t="n"/>
      <c r="B398" s="18" t="n"/>
      <c r="C398" s="81" t="n"/>
      <c r="D398" s="81" t="n"/>
      <c r="E398" s="16">
        <f>IF($A398="","",$A398&amp;"|"&amp;DAY($B398))</f>
        <v/>
      </c>
      <c r="F398" s="16">
        <f>IF($A398="","",IF(COUNTIF(設定!$B$62:$B$201,$A398)=0,"⚠ 查無員編",IF(COUNTIF($E$3:$E$2002,$E398)&gt;1,"⚠ 重複打卡","OK")))</f>
        <v/>
      </c>
    </row>
    <row r="399">
      <c r="A399" s="20" t="n"/>
      <c r="B399" s="18" t="n"/>
      <c r="C399" s="81" t="n"/>
      <c r="D399" s="81" t="n"/>
      <c r="E399" s="16">
        <f>IF($A399="","",$A399&amp;"|"&amp;DAY($B399))</f>
        <v/>
      </c>
      <c r="F399" s="16">
        <f>IF($A399="","",IF(COUNTIF(設定!$B$62:$B$201,$A399)=0,"⚠ 查無員編",IF(COUNTIF($E$3:$E$2002,$E399)&gt;1,"⚠ 重複打卡","OK")))</f>
        <v/>
      </c>
    </row>
    <row r="400">
      <c r="A400" s="20" t="n"/>
      <c r="B400" s="18" t="n"/>
      <c r="C400" s="81" t="n"/>
      <c r="D400" s="81" t="n"/>
      <c r="E400" s="16">
        <f>IF($A400="","",$A400&amp;"|"&amp;DAY($B400))</f>
        <v/>
      </c>
      <c r="F400" s="16">
        <f>IF($A400="","",IF(COUNTIF(設定!$B$62:$B$201,$A400)=0,"⚠ 查無員編",IF(COUNTIF($E$3:$E$2002,$E400)&gt;1,"⚠ 重複打卡","OK")))</f>
        <v/>
      </c>
    </row>
    <row r="401">
      <c r="A401" s="20" t="n"/>
      <c r="B401" s="18" t="n"/>
      <c r="C401" s="81" t="n"/>
      <c r="D401" s="81" t="n"/>
      <c r="E401" s="16">
        <f>IF($A401="","",$A401&amp;"|"&amp;DAY($B401))</f>
        <v/>
      </c>
      <c r="F401" s="16">
        <f>IF($A401="","",IF(COUNTIF(設定!$B$62:$B$201,$A401)=0,"⚠ 查無員編",IF(COUNTIF($E$3:$E$2002,$E401)&gt;1,"⚠ 重複打卡","OK")))</f>
        <v/>
      </c>
    </row>
    <row r="402">
      <c r="A402" s="20" t="n"/>
      <c r="B402" s="18" t="n"/>
      <c r="C402" s="81" t="n"/>
      <c r="D402" s="81" t="n"/>
      <c r="E402" s="16">
        <f>IF($A402="","",$A402&amp;"|"&amp;DAY($B402))</f>
        <v/>
      </c>
      <c r="F402" s="16">
        <f>IF($A402="","",IF(COUNTIF(設定!$B$62:$B$201,$A402)=0,"⚠ 查無員編",IF(COUNTIF($E$3:$E$2002,$E402)&gt;1,"⚠ 重複打卡","OK")))</f>
        <v/>
      </c>
    </row>
    <row r="403">
      <c r="A403" s="20" t="n"/>
      <c r="B403" s="18" t="n"/>
      <c r="C403" s="81" t="n"/>
      <c r="D403" s="81" t="n"/>
      <c r="E403" s="16">
        <f>IF($A403="","",$A403&amp;"|"&amp;DAY($B403))</f>
        <v/>
      </c>
      <c r="F403" s="16">
        <f>IF($A403="","",IF(COUNTIF(設定!$B$62:$B$201,$A403)=0,"⚠ 查無員編",IF(COUNTIF($E$3:$E$2002,$E403)&gt;1,"⚠ 重複打卡","OK")))</f>
        <v/>
      </c>
    </row>
    <row r="404">
      <c r="A404" s="20" t="n"/>
      <c r="B404" s="18" t="n"/>
      <c r="C404" s="81" t="n"/>
      <c r="D404" s="81" t="n"/>
      <c r="E404" s="16">
        <f>IF($A404="","",$A404&amp;"|"&amp;DAY($B404))</f>
        <v/>
      </c>
      <c r="F404" s="16">
        <f>IF($A404="","",IF(COUNTIF(設定!$B$62:$B$201,$A404)=0,"⚠ 查無員編",IF(COUNTIF($E$3:$E$2002,$E404)&gt;1,"⚠ 重複打卡","OK")))</f>
        <v/>
      </c>
    </row>
    <row r="405">
      <c r="A405" s="20" t="n"/>
      <c r="B405" s="18" t="n"/>
      <c r="C405" s="81" t="n"/>
      <c r="D405" s="81" t="n"/>
      <c r="E405" s="16">
        <f>IF($A405="","",$A405&amp;"|"&amp;DAY($B405))</f>
        <v/>
      </c>
      <c r="F405" s="16">
        <f>IF($A405="","",IF(COUNTIF(設定!$B$62:$B$201,$A405)=0,"⚠ 查無員編",IF(COUNTIF($E$3:$E$2002,$E405)&gt;1,"⚠ 重複打卡","OK")))</f>
        <v/>
      </c>
    </row>
    <row r="406">
      <c r="A406" s="20" t="n"/>
      <c r="B406" s="18" t="n"/>
      <c r="C406" s="81" t="n"/>
      <c r="D406" s="81" t="n"/>
      <c r="E406" s="16">
        <f>IF($A406="","",$A406&amp;"|"&amp;DAY($B406))</f>
        <v/>
      </c>
      <c r="F406" s="16">
        <f>IF($A406="","",IF(COUNTIF(設定!$B$62:$B$201,$A406)=0,"⚠ 查無員編",IF(COUNTIF($E$3:$E$2002,$E406)&gt;1,"⚠ 重複打卡","OK")))</f>
        <v/>
      </c>
    </row>
    <row r="407">
      <c r="A407" s="20" t="n"/>
      <c r="B407" s="18" t="n"/>
      <c r="C407" s="81" t="n"/>
      <c r="D407" s="81" t="n"/>
      <c r="E407" s="16">
        <f>IF($A407="","",$A407&amp;"|"&amp;DAY($B407))</f>
        <v/>
      </c>
      <c r="F407" s="16">
        <f>IF($A407="","",IF(COUNTIF(設定!$B$62:$B$201,$A407)=0,"⚠ 查無員編",IF(COUNTIF($E$3:$E$2002,$E407)&gt;1,"⚠ 重複打卡","OK")))</f>
        <v/>
      </c>
    </row>
    <row r="408">
      <c r="A408" s="20" t="n"/>
      <c r="B408" s="18" t="n"/>
      <c r="C408" s="81" t="n"/>
      <c r="D408" s="81" t="n"/>
      <c r="E408" s="16">
        <f>IF($A408="","",$A408&amp;"|"&amp;DAY($B408))</f>
        <v/>
      </c>
      <c r="F408" s="16">
        <f>IF($A408="","",IF(COUNTIF(設定!$B$62:$B$201,$A408)=0,"⚠ 查無員編",IF(COUNTIF($E$3:$E$2002,$E408)&gt;1,"⚠ 重複打卡","OK")))</f>
        <v/>
      </c>
    </row>
    <row r="409">
      <c r="A409" s="20" t="n"/>
      <c r="B409" s="18" t="n"/>
      <c r="C409" s="81" t="n"/>
      <c r="D409" s="81" t="n"/>
      <c r="E409" s="16">
        <f>IF($A409="","",$A409&amp;"|"&amp;DAY($B409))</f>
        <v/>
      </c>
      <c r="F409" s="16">
        <f>IF($A409="","",IF(COUNTIF(設定!$B$62:$B$201,$A409)=0,"⚠ 查無員編",IF(COUNTIF($E$3:$E$2002,$E409)&gt;1,"⚠ 重複打卡","OK")))</f>
        <v/>
      </c>
    </row>
    <row r="410">
      <c r="A410" s="20" t="n"/>
      <c r="B410" s="18" t="n"/>
      <c r="C410" s="81" t="n"/>
      <c r="D410" s="81" t="n"/>
      <c r="E410" s="16">
        <f>IF($A410="","",$A410&amp;"|"&amp;DAY($B410))</f>
        <v/>
      </c>
      <c r="F410" s="16">
        <f>IF($A410="","",IF(COUNTIF(設定!$B$62:$B$201,$A410)=0,"⚠ 查無員編",IF(COUNTIF($E$3:$E$2002,$E410)&gt;1,"⚠ 重複打卡","OK")))</f>
        <v/>
      </c>
    </row>
    <row r="411">
      <c r="A411" s="20" t="n"/>
      <c r="B411" s="18" t="n"/>
      <c r="C411" s="81" t="n"/>
      <c r="D411" s="81" t="n"/>
      <c r="E411" s="16">
        <f>IF($A411="","",$A411&amp;"|"&amp;DAY($B411))</f>
        <v/>
      </c>
      <c r="F411" s="16">
        <f>IF($A411="","",IF(COUNTIF(設定!$B$62:$B$201,$A411)=0,"⚠ 查無員編",IF(COUNTIF($E$3:$E$2002,$E411)&gt;1,"⚠ 重複打卡","OK")))</f>
        <v/>
      </c>
    </row>
    <row r="412">
      <c r="A412" s="20" t="n"/>
      <c r="B412" s="18" t="n"/>
      <c r="C412" s="81" t="n"/>
      <c r="D412" s="81" t="n"/>
      <c r="E412" s="16">
        <f>IF($A412="","",$A412&amp;"|"&amp;DAY($B412))</f>
        <v/>
      </c>
      <c r="F412" s="16">
        <f>IF($A412="","",IF(COUNTIF(設定!$B$62:$B$201,$A412)=0,"⚠ 查無員編",IF(COUNTIF($E$3:$E$2002,$E412)&gt;1,"⚠ 重複打卡","OK")))</f>
        <v/>
      </c>
    </row>
    <row r="413">
      <c r="A413" s="20" t="n"/>
      <c r="B413" s="18" t="n"/>
      <c r="C413" s="81" t="n"/>
      <c r="D413" s="81" t="n"/>
      <c r="E413" s="16">
        <f>IF($A413="","",$A413&amp;"|"&amp;DAY($B413))</f>
        <v/>
      </c>
      <c r="F413" s="16">
        <f>IF($A413="","",IF(COUNTIF(設定!$B$62:$B$201,$A413)=0,"⚠ 查無員編",IF(COUNTIF($E$3:$E$2002,$E413)&gt;1,"⚠ 重複打卡","OK")))</f>
        <v/>
      </c>
    </row>
    <row r="414">
      <c r="A414" s="20" t="n"/>
      <c r="B414" s="18" t="n"/>
      <c r="C414" s="81" t="n"/>
      <c r="D414" s="81" t="n"/>
      <c r="E414" s="16">
        <f>IF($A414="","",$A414&amp;"|"&amp;DAY($B414))</f>
        <v/>
      </c>
      <c r="F414" s="16">
        <f>IF($A414="","",IF(COUNTIF(設定!$B$62:$B$201,$A414)=0,"⚠ 查無員編",IF(COUNTIF($E$3:$E$2002,$E414)&gt;1,"⚠ 重複打卡","OK")))</f>
        <v/>
      </c>
    </row>
    <row r="415">
      <c r="A415" s="20" t="n"/>
      <c r="B415" s="18" t="n"/>
      <c r="C415" s="81" t="n"/>
      <c r="D415" s="81" t="n"/>
      <c r="E415" s="16">
        <f>IF($A415="","",$A415&amp;"|"&amp;DAY($B415))</f>
        <v/>
      </c>
      <c r="F415" s="16">
        <f>IF($A415="","",IF(COUNTIF(設定!$B$62:$B$201,$A415)=0,"⚠ 查無員編",IF(COUNTIF($E$3:$E$2002,$E415)&gt;1,"⚠ 重複打卡","OK")))</f>
        <v/>
      </c>
    </row>
    <row r="416">
      <c r="A416" s="20" t="n"/>
      <c r="B416" s="18" t="n"/>
      <c r="C416" s="81" t="n"/>
      <c r="D416" s="81" t="n"/>
      <c r="E416" s="16">
        <f>IF($A416="","",$A416&amp;"|"&amp;DAY($B416))</f>
        <v/>
      </c>
      <c r="F416" s="16">
        <f>IF($A416="","",IF(COUNTIF(設定!$B$62:$B$201,$A416)=0,"⚠ 查無員編",IF(COUNTIF($E$3:$E$2002,$E416)&gt;1,"⚠ 重複打卡","OK")))</f>
        <v/>
      </c>
    </row>
    <row r="417">
      <c r="A417" s="20" t="n"/>
      <c r="B417" s="18" t="n"/>
      <c r="C417" s="81" t="n"/>
      <c r="D417" s="81" t="n"/>
      <c r="E417" s="16">
        <f>IF($A417="","",$A417&amp;"|"&amp;DAY($B417))</f>
        <v/>
      </c>
      <c r="F417" s="16">
        <f>IF($A417="","",IF(COUNTIF(設定!$B$62:$B$201,$A417)=0,"⚠ 查無員編",IF(COUNTIF($E$3:$E$2002,$E417)&gt;1,"⚠ 重複打卡","OK")))</f>
        <v/>
      </c>
    </row>
    <row r="418">
      <c r="A418" s="20" t="n"/>
      <c r="B418" s="18" t="n"/>
      <c r="C418" s="81" t="n"/>
      <c r="D418" s="81" t="n"/>
      <c r="E418" s="16">
        <f>IF($A418="","",$A418&amp;"|"&amp;DAY($B418))</f>
        <v/>
      </c>
      <c r="F418" s="16">
        <f>IF($A418="","",IF(COUNTIF(設定!$B$62:$B$201,$A418)=0,"⚠ 查無員編",IF(COUNTIF($E$3:$E$2002,$E418)&gt;1,"⚠ 重複打卡","OK")))</f>
        <v/>
      </c>
    </row>
    <row r="419">
      <c r="A419" s="20" t="n"/>
      <c r="B419" s="18" t="n"/>
      <c r="C419" s="81" t="n"/>
      <c r="D419" s="81" t="n"/>
      <c r="E419" s="16">
        <f>IF($A419="","",$A419&amp;"|"&amp;DAY($B419))</f>
        <v/>
      </c>
      <c r="F419" s="16">
        <f>IF($A419="","",IF(COUNTIF(設定!$B$62:$B$201,$A419)=0,"⚠ 查無員編",IF(COUNTIF($E$3:$E$2002,$E419)&gt;1,"⚠ 重複打卡","OK")))</f>
        <v/>
      </c>
    </row>
    <row r="420">
      <c r="A420" s="20" t="n"/>
      <c r="B420" s="18" t="n"/>
      <c r="C420" s="81" t="n"/>
      <c r="D420" s="81" t="n"/>
      <c r="E420" s="16">
        <f>IF($A420="","",$A420&amp;"|"&amp;DAY($B420))</f>
        <v/>
      </c>
      <c r="F420" s="16">
        <f>IF($A420="","",IF(COUNTIF(設定!$B$62:$B$201,$A420)=0,"⚠ 查無員編",IF(COUNTIF($E$3:$E$2002,$E420)&gt;1,"⚠ 重複打卡","OK")))</f>
        <v/>
      </c>
    </row>
    <row r="421">
      <c r="A421" s="20" t="n"/>
      <c r="B421" s="18" t="n"/>
      <c r="C421" s="81" t="n"/>
      <c r="D421" s="81" t="n"/>
      <c r="E421" s="16">
        <f>IF($A421="","",$A421&amp;"|"&amp;DAY($B421))</f>
        <v/>
      </c>
      <c r="F421" s="16">
        <f>IF($A421="","",IF(COUNTIF(設定!$B$62:$B$201,$A421)=0,"⚠ 查無員編",IF(COUNTIF($E$3:$E$2002,$E421)&gt;1,"⚠ 重複打卡","OK")))</f>
        <v/>
      </c>
    </row>
    <row r="422">
      <c r="A422" s="20" t="n"/>
      <c r="B422" s="18" t="n"/>
      <c r="C422" s="81" t="n"/>
      <c r="D422" s="81" t="n"/>
      <c r="E422" s="16">
        <f>IF($A422="","",$A422&amp;"|"&amp;DAY($B422))</f>
        <v/>
      </c>
      <c r="F422" s="16">
        <f>IF($A422="","",IF(COUNTIF(設定!$B$62:$B$201,$A422)=0,"⚠ 查無員編",IF(COUNTIF($E$3:$E$2002,$E422)&gt;1,"⚠ 重複打卡","OK")))</f>
        <v/>
      </c>
    </row>
    <row r="423">
      <c r="A423" s="20" t="n"/>
      <c r="B423" s="18" t="n"/>
      <c r="C423" s="81" t="n"/>
      <c r="D423" s="81" t="n"/>
      <c r="E423" s="16">
        <f>IF($A423="","",$A423&amp;"|"&amp;DAY($B423))</f>
        <v/>
      </c>
      <c r="F423" s="16">
        <f>IF($A423="","",IF(COUNTIF(設定!$B$62:$B$201,$A423)=0,"⚠ 查無員編",IF(COUNTIF($E$3:$E$2002,$E423)&gt;1,"⚠ 重複打卡","OK")))</f>
        <v/>
      </c>
    </row>
    <row r="424">
      <c r="A424" s="20" t="n"/>
      <c r="B424" s="18" t="n"/>
      <c r="C424" s="81" t="n"/>
      <c r="D424" s="81" t="n"/>
      <c r="E424" s="16">
        <f>IF($A424="","",$A424&amp;"|"&amp;DAY($B424))</f>
        <v/>
      </c>
      <c r="F424" s="16">
        <f>IF($A424="","",IF(COUNTIF(設定!$B$62:$B$201,$A424)=0,"⚠ 查無員編",IF(COUNTIF($E$3:$E$2002,$E424)&gt;1,"⚠ 重複打卡","OK")))</f>
        <v/>
      </c>
    </row>
    <row r="425">
      <c r="A425" s="20" t="n"/>
      <c r="B425" s="18" t="n"/>
      <c r="C425" s="81" t="n"/>
      <c r="D425" s="81" t="n"/>
      <c r="E425" s="16">
        <f>IF($A425="","",$A425&amp;"|"&amp;DAY($B425))</f>
        <v/>
      </c>
      <c r="F425" s="16">
        <f>IF($A425="","",IF(COUNTIF(設定!$B$62:$B$201,$A425)=0,"⚠ 查無員編",IF(COUNTIF($E$3:$E$2002,$E425)&gt;1,"⚠ 重複打卡","OK")))</f>
        <v/>
      </c>
    </row>
    <row r="426">
      <c r="A426" s="20" t="n"/>
      <c r="B426" s="18" t="n"/>
      <c r="C426" s="81" t="n"/>
      <c r="D426" s="81" t="n"/>
      <c r="E426" s="16">
        <f>IF($A426="","",$A426&amp;"|"&amp;DAY($B426))</f>
        <v/>
      </c>
      <c r="F426" s="16">
        <f>IF($A426="","",IF(COUNTIF(設定!$B$62:$B$201,$A426)=0,"⚠ 查無員編",IF(COUNTIF($E$3:$E$2002,$E426)&gt;1,"⚠ 重複打卡","OK")))</f>
        <v/>
      </c>
    </row>
    <row r="427">
      <c r="A427" s="20" t="n"/>
      <c r="B427" s="18" t="n"/>
      <c r="C427" s="81" t="n"/>
      <c r="D427" s="81" t="n"/>
      <c r="E427" s="16">
        <f>IF($A427="","",$A427&amp;"|"&amp;DAY($B427))</f>
        <v/>
      </c>
      <c r="F427" s="16">
        <f>IF($A427="","",IF(COUNTIF(設定!$B$62:$B$201,$A427)=0,"⚠ 查無員編",IF(COUNTIF($E$3:$E$2002,$E427)&gt;1,"⚠ 重複打卡","OK")))</f>
        <v/>
      </c>
    </row>
    <row r="428">
      <c r="A428" s="20" t="n"/>
      <c r="B428" s="18" t="n"/>
      <c r="C428" s="81" t="n"/>
      <c r="D428" s="81" t="n"/>
      <c r="E428" s="16">
        <f>IF($A428="","",$A428&amp;"|"&amp;DAY($B428))</f>
        <v/>
      </c>
      <c r="F428" s="16">
        <f>IF($A428="","",IF(COUNTIF(設定!$B$62:$B$201,$A428)=0,"⚠ 查無員編",IF(COUNTIF($E$3:$E$2002,$E428)&gt;1,"⚠ 重複打卡","OK")))</f>
        <v/>
      </c>
    </row>
    <row r="429">
      <c r="A429" s="20" t="n"/>
      <c r="B429" s="18" t="n"/>
      <c r="C429" s="81" t="n"/>
      <c r="D429" s="81" t="n"/>
      <c r="E429" s="16">
        <f>IF($A429="","",$A429&amp;"|"&amp;DAY($B429))</f>
        <v/>
      </c>
      <c r="F429" s="16">
        <f>IF($A429="","",IF(COUNTIF(設定!$B$62:$B$201,$A429)=0,"⚠ 查無員編",IF(COUNTIF($E$3:$E$2002,$E429)&gt;1,"⚠ 重複打卡","OK")))</f>
        <v/>
      </c>
    </row>
    <row r="430">
      <c r="A430" s="20" t="n"/>
      <c r="B430" s="18" t="n"/>
      <c r="C430" s="81" t="n"/>
      <c r="D430" s="81" t="n"/>
      <c r="E430" s="16">
        <f>IF($A430="","",$A430&amp;"|"&amp;DAY($B430))</f>
        <v/>
      </c>
      <c r="F430" s="16">
        <f>IF($A430="","",IF(COUNTIF(設定!$B$62:$B$201,$A430)=0,"⚠ 查無員編",IF(COUNTIF($E$3:$E$2002,$E430)&gt;1,"⚠ 重複打卡","OK")))</f>
        <v/>
      </c>
    </row>
    <row r="431">
      <c r="A431" s="20" t="n"/>
      <c r="B431" s="18" t="n"/>
      <c r="C431" s="81" t="n"/>
      <c r="D431" s="81" t="n"/>
      <c r="E431" s="16">
        <f>IF($A431="","",$A431&amp;"|"&amp;DAY($B431))</f>
        <v/>
      </c>
      <c r="F431" s="16">
        <f>IF($A431="","",IF(COUNTIF(設定!$B$62:$B$201,$A431)=0,"⚠ 查無員編",IF(COUNTIF($E$3:$E$2002,$E431)&gt;1,"⚠ 重複打卡","OK")))</f>
        <v/>
      </c>
    </row>
    <row r="432">
      <c r="A432" s="20" t="n"/>
      <c r="B432" s="18" t="n"/>
      <c r="C432" s="81" t="n"/>
      <c r="D432" s="81" t="n"/>
      <c r="E432" s="16">
        <f>IF($A432="","",$A432&amp;"|"&amp;DAY($B432))</f>
        <v/>
      </c>
      <c r="F432" s="16">
        <f>IF($A432="","",IF(COUNTIF(設定!$B$62:$B$201,$A432)=0,"⚠ 查無員編",IF(COUNTIF($E$3:$E$2002,$E432)&gt;1,"⚠ 重複打卡","OK")))</f>
        <v/>
      </c>
    </row>
    <row r="433">
      <c r="A433" s="20" t="n"/>
      <c r="B433" s="18" t="n"/>
      <c r="C433" s="81" t="n"/>
      <c r="D433" s="81" t="n"/>
      <c r="E433" s="16">
        <f>IF($A433="","",$A433&amp;"|"&amp;DAY($B433))</f>
        <v/>
      </c>
      <c r="F433" s="16">
        <f>IF($A433="","",IF(COUNTIF(設定!$B$62:$B$201,$A433)=0,"⚠ 查無員編",IF(COUNTIF($E$3:$E$2002,$E433)&gt;1,"⚠ 重複打卡","OK")))</f>
        <v/>
      </c>
    </row>
    <row r="434">
      <c r="A434" s="20" t="n"/>
      <c r="B434" s="18" t="n"/>
      <c r="C434" s="81" t="n"/>
      <c r="D434" s="81" t="n"/>
      <c r="E434" s="16">
        <f>IF($A434="","",$A434&amp;"|"&amp;DAY($B434))</f>
        <v/>
      </c>
      <c r="F434" s="16">
        <f>IF($A434="","",IF(COUNTIF(設定!$B$62:$B$201,$A434)=0,"⚠ 查無員編",IF(COUNTIF($E$3:$E$2002,$E434)&gt;1,"⚠ 重複打卡","OK")))</f>
        <v/>
      </c>
    </row>
    <row r="435">
      <c r="A435" s="20" t="n"/>
      <c r="B435" s="18" t="n"/>
      <c r="C435" s="81" t="n"/>
      <c r="D435" s="81" t="n"/>
      <c r="E435" s="16">
        <f>IF($A435="","",$A435&amp;"|"&amp;DAY($B435))</f>
        <v/>
      </c>
      <c r="F435" s="16">
        <f>IF($A435="","",IF(COUNTIF(設定!$B$62:$B$201,$A435)=0,"⚠ 查無員編",IF(COUNTIF($E$3:$E$2002,$E435)&gt;1,"⚠ 重複打卡","OK")))</f>
        <v/>
      </c>
    </row>
    <row r="436">
      <c r="A436" s="20" t="n"/>
      <c r="B436" s="18" t="n"/>
      <c r="C436" s="81" t="n"/>
      <c r="D436" s="81" t="n"/>
      <c r="E436" s="16">
        <f>IF($A436="","",$A436&amp;"|"&amp;DAY($B436))</f>
        <v/>
      </c>
      <c r="F436" s="16">
        <f>IF($A436="","",IF(COUNTIF(設定!$B$62:$B$201,$A436)=0,"⚠ 查無員編",IF(COUNTIF($E$3:$E$2002,$E436)&gt;1,"⚠ 重複打卡","OK")))</f>
        <v/>
      </c>
    </row>
    <row r="437">
      <c r="A437" s="20" t="n"/>
      <c r="B437" s="18" t="n"/>
      <c r="C437" s="81" t="n"/>
      <c r="D437" s="81" t="n"/>
      <c r="E437" s="16">
        <f>IF($A437="","",$A437&amp;"|"&amp;DAY($B437))</f>
        <v/>
      </c>
      <c r="F437" s="16">
        <f>IF($A437="","",IF(COUNTIF(設定!$B$62:$B$201,$A437)=0,"⚠ 查無員編",IF(COUNTIF($E$3:$E$2002,$E437)&gt;1,"⚠ 重複打卡","OK")))</f>
        <v/>
      </c>
    </row>
    <row r="438">
      <c r="A438" s="20" t="n"/>
      <c r="B438" s="18" t="n"/>
      <c r="C438" s="81" t="n"/>
      <c r="D438" s="81" t="n"/>
      <c r="E438" s="16">
        <f>IF($A438="","",$A438&amp;"|"&amp;DAY($B438))</f>
        <v/>
      </c>
      <c r="F438" s="16">
        <f>IF($A438="","",IF(COUNTIF(設定!$B$62:$B$201,$A438)=0,"⚠ 查無員編",IF(COUNTIF($E$3:$E$2002,$E438)&gt;1,"⚠ 重複打卡","OK")))</f>
        <v/>
      </c>
    </row>
    <row r="439">
      <c r="A439" s="20" t="n"/>
      <c r="B439" s="18" t="n"/>
      <c r="C439" s="81" t="n"/>
      <c r="D439" s="81" t="n"/>
      <c r="E439" s="16">
        <f>IF($A439="","",$A439&amp;"|"&amp;DAY($B439))</f>
        <v/>
      </c>
      <c r="F439" s="16">
        <f>IF($A439="","",IF(COUNTIF(設定!$B$62:$B$201,$A439)=0,"⚠ 查無員編",IF(COUNTIF($E$3:$E$2002,$E439)&gt;1,"⚠ 重複打卡","OK")))</f>
        <v/>
      </c>
    </row>
    <row r="440">
      <c r="A440" s="20" t="n"/>
      <c r="B440" s="18" t="n"/>
      <c r="C440" s="81" t="n"/>
      <c r="D440" s="81" t="n"/>
      <c r="E440" s="16">
        <f>IF($A440="","",$A440&amp;"|"&amp;DAY($B440))</f>
        <v/>
      </c>
      <c r="F440" s="16">
        <f>IF($A440="","",IF(COUNTIF(設定!$B$62:$B$201,$A440)=0,"⚠ 查無員編",IF(COUNTIF($E$3:$E$2002,$E440)&gt;1,"⚠ 重複打卡","OK")))</f>
        <v/>
      </c>
    </row>
    <row r="441">
      <c r="A441" s="20" t="n"/>
      <c r="B441" s="18" t="n"/>
      <c r="C441" s="81" t="n"/>
      <c r="D441" s="81" t="n"/>
      <c r="E441" s="16">
        <f>IF($A441="","",$A441&amp;"|"&amp;DAY($B441))</f>
        <v/>
      </c>
      <c r="F441" s="16">
        <f>IF($A441="","",IF(COUNTIF(設定!$B$62:$B$201,$A441)=0,"⚠ 查無員編",IF(COUNTIF($E$3:$E$2002,$E441)&gt;1,"⚠ 重複打卡","OK")))</f>
        <v/>
      </c>
    </row>
    <row r="442">
      <c r="A442" s="20" t="n"/>
      <c r="B442" s="18" t="n"/>
      <c r="C442" s="81" t="n"/>
      <c r="D442" s="81" t="n"/>
      <c r="E442" s="16">
        <f>IF($A442="","",$A442&amp;"|"&amp;DAY($B442))</f>
        <v/>
      </c>
      <c r="F442" s="16">
        <f>IF($A442="","",IF(COUNTIF(設定!$B$62:$B$201,$A442)=0,"⚠ 查無員編",IF(COUNTIF($E$3:$E$2002,$E442)&gt;1,"⚠ 重複打卡","OK")))</f>
        <v/>
      </c>
    </row>
    <row r="443">
      <c r="A443" s="20" t="n"/>
      <c r="B443" s="18" t="n"/>
      <c r="C443" s="81" t="n"/>
      <c r="D443" s="81" t="n"/>
      <c r="E443" s="16">
        <f>IF($A443="","",$A443&amp;"|"&amp;DAY($B443))</f>
        <v/>
      </c>
      <c r="F443" s="16">
        <f>IF($A443="","",IF(COUNTIF(設定!$B$62:$B$201,$A443)=0,"⚠ 查無員編",IF(COUNTIF($E$3:$E$2002,$E443)&gt;1,"⚠ 重複打卡","OK")))</f>
        <v/>
      </c>
    </row>
    <row r="444">
      <c r="A444" s="20" t="n"/>
      <c r="B444" s="18" t="n"/>
      <c r="C444" s="81" t="n"/>
      <c r="D444" s="81" t="n"/>
      <c r="E444" s="16">
        <f>IF($A444="","",$A444&amp;"|"&amp;DAY($B444))</f>
        <v/>
      </c>
      <c r="F444" s="16">
        <f>IF($A444="","",IF(COUNTIF(設定!$B$62:$B$201,$A444)=0,"⚠ 查無員編",IF(COUNTIF($E$3:$E$2002,$E444)&gt;1,"⚠ 重複打卡","OK")))</f>
        <v/>
      </c>
    </row>
    <row r="445">
      <c r="A445" s="20" t="n"/>
      <c r="B445" s="18" t="n"/>
      <c r="C445" s="81" t="n"/>
      <c r="D445" s="81" t="n"/>
      <c r="E445" s="16">
        <f>IF($A445="","",$A445&amp;"|"&amp;DAY($B445))</f>
        <v/>
      </c>
      <c r="F445" s="16">
        <f>IF($A445="","",IF(COUNTIF(設定!$B$62:$B$201,$A445)=0,"⚠ 查無員編",IF(COUNTIF($E$3:$E$2002,$E445)&gt;1,"⚠ 重複打卡","OK")))</f>
        <v/>
      </c>
    </row>
    <row r="446">
      <c r="A446" s="20" t="n"/>
      <c r="B446" s="18" t="n"/>
      <c r="C446" s="81" t="n"/>
      <c r="D446" s="81" t="n"/>
      <c r="E446" s="16">
        <f>IF($A446="","",$A446&amp;"|"&amp;DAY($B446))</f>
        <v/>
      </c>
      <c r="F446" s="16">
        <f>IF($A446="","",IF(COUNTIF(設定!$B$62:$B$201,$A446)=0,"⚠ 查無員編",IF(COUNTIF($E$3:$E$2002,$E446)&gt;1,"⚠ 重複打卡","OK")))</f>
        <v/>
      </c>
    </row>
    <row r="447">
      <c r="A447" s="20" t="n"/>
      <c r="B447" s="18" t="n"/>
      <c r="C447" s="81" t="n"/>
      <c r="D447" s="81" t="n"/>
      <c r="E447" s="16">
        <f>IF($A447="","",$A447&amp;"|"&amp;DAY($B447))</f>
        <v/>
      </c>
      <c r="F447" s="16">
        <f>IF($A447="","",IF(COUNTIF(設定!$B$62:$B$201,$A447)=0,"⚠ 查無員編",IF(COUNTIF($E$3:$E$2002,$E447)&gt;1,"⚠ 重複打卡","OK")))</f>
        <v/>
      </c>
    </row>
    <row r="448">
      <c r="A448" s="20" t="n"/>
      <c r="B448" s="18" t="n"/>
      <c r="C448" s="81" t="n"/>
      <c r="D448" s="81" t="n"/>
      <c r="E448" s="16">
        <f>IF($A448="","",$A448&amp;"|"&amp;DAY($B448))</f>
        <v/>
      </c>
      <c r="F448" s="16">
        <f>IF($A448="","",IF(COUNTIF(設定!$B$62:$B$201,$A448)=0,"⚠ 查無員編",IF(COUNTIF($E$3:$E$2002,$E448)&gt;1,"⚠ 重複打卡","OK")))</f>
        <v/>
      </c>
    </row>
    <row r="449">
      <c r="A449" s="20" t="n"/>
      <c r="B449" s="18" t="n"/>
      <c r="C449" s="81" t="n"/>
      <c r="D449" s="81" t="n"/>
      <c r="E449" s="16">
        <f>IF($A449="","",$A449&amp;"|"&amp;DAY($B449))</f>
        <v/>
      </c>
      <c r="F449" s="16">
        <f>IF($A449="","",IF(COUNTIF(設定!$B$62:$B$201,$A449)=0,"⚠ 查無員編",IF(COUNTIF($E$3:$E$2002,$E449)&gt;1,"⚠ 重複打卡","OK")))</f>
        <v/>
      </c>
    </row>
    <row r="450">
      <c r="A450" s="20" t="n"/>
      <c r="B450" s="18" t="n"/>
      <c r="C450" s="81" t="n"/>
      <c r="D450" s="81" t="n"/>
      <c r="E450" s="16">
        <f>IF($A450="","",$A450&amp;"|"&amp;DAY($B450))</f>
        <v/>
      </c>
      <c r="F450" s="16">
        <f>IF($A450="","",IF(COUNTIF(設定!$B$62:$B$201,$A450)=0,"⚠ 查無員編",IF(COUNTIF($E$3:$E$2002,$E450)&gt;1,"⚠ 重複打卡","OK")))</f>
        <v/>
      </c>
    </row>
    <row r="451">
      <c r="A451" s="20" t="n"/>
      <c r="B451" s="18" t="n"/>
      <c r="C451" s="81" t="n"/>
      <c r="D451" s="81" t="n"/>
      <c r="E451" s="16">
        <f>IF($A451="","",$A451&amp;"|"&amp;DAY($B451))</f>
        <v/>
      </c>
      <c r="F451" s="16">
        <f>IF($A451="","",IF(COUNTIF(設定!$B$62:$B$201,$A451)=0,"⚠ 查無員編",IF(COUNTIF($E$3:$E$2002,$E451)&gt;1,"⚠ 重複打卡","OK")))</f>
        <v/>
      </c>
    </row>
    <row r="452">
      <c r="A452" s="20" t="n"/>
      <c r="B452" s="18" t="n"/>
      <c r="C452" s="81" t="n"/>
      <c r="D452" s="81" t="n"/>
      <c r="E452" s="16">
        <f>IF($A452="","",$A452&amp;"|"&amp;DAY($B452))</f>
        <v/>
      </c>
      <c r="F452" s="16">
        <f>IF($A452="","",IF(COUNTIF(設定!$B$62:$B$201,$A452)=0,"⚠ 查無員編",IF(COUNTIF($E$3:$E$2002,$E452)&gt;1,"⚠ 重複打卡","OK")))</f>
        <v/>
      </c>
    </row>
    <row r="453">
      <c r="A453" s="20" t="n"/>
      <c r="B453" s="18" t="n"/>
      <c r="C453" s="81" t="n"/>
      <c r="D453" s="81" t="n"/>
      <c r="E453" s="16">
        <f>IF($A453="","",$A453&amp;"|"&amp;DAY($B453))</f>
        <v/>
      </c>
      <c r="F453" s="16">
        <f>IF($A453="","",IF(COUNTIF(設定!$B$62:$B$201,$A453)=0,"⚠ 查無員編",IF(COUNTIF($E$3:$E$2002,$E453)&gt;1,"⚠ 重複打卡","OK")))</f>
        <v/>
      </c>
    </row>
    <row r="454">
      <c r="A454" s="20" t="n"/>
      <c r="B454" s="18" t="n"/>
      <c r="C454" s="81" t="n"/>
      <c r="D454" s="81" t="n"/>
      <c r="E454" s="16">
        <f>IF($A454="","",$A454&amp;"|"&amp;DAY($B454))</f>
        <v/>
      </c>
      <c r="F454" s="16">
        <f>IF($A454="","",IF(COUNTIF(設定!$B$62:$B$201,$A454)=0,"⚠ 查無員編",IF(COUNTIF($E$3:$E$2002,$E454)&gt;1,"⚠ 重複打卡","OK")))</f>
        <v/>
      </c>
    </row>
    <row r="455">
      <c r="A455" s="20" t="n"/>
      <c r="B455" s="18" t="n"/>
      <c r="C455" s="81" t="n"/>
      <c r="D455" s="81" t="n"/>
      <c r="E455" s="16">
        <f>IF($A455="","",$A455&amp;"|"&amp;DAY($B455))</f>
        <v/>
      </c>
      <c r="F455" s="16">
        <f>IF($A455="","",IF(COUNTIF(設定!$B$62:$B$201,$A455)=0,"⚠ 查無員編",IF(COUNTIF($E$3:$E$2002,$E455)&gt;1,"⚠ 重複打卡","OK")))</f>
        <v/>
      </c>
    </row>
    <row r="456">
      <c r="A456" s="20" t="n"/>
      <c r="B456" s="18" t="n"/>
      <c r="C456" s="81" t="n"/>
      <c r="D456" s="81" t="n"/>
      <c r="E456" s="16">
        <f>IF($A456="","",$A456&amp;"|"&amp;DAY($B456))</f>
        <v/>
      </c>
      <c r="F456" s="16">
        <f>IF($A456="","",IF(COUNTIF(設定!$B$62:$B$201,$A456)=0,"⚠ 查無員編",IF(COUNTIF($E$3:$E$2002,$E456)&gt;1,"⚠ 重複打卡","OK")))</f>
        <v/>
      </c>
    </row>
    <row r="457">
      <c r="A457" s="20" t="n"/>
      <c r="B457" s="18" t="n"/>
      <c r="C457" s="81" t="n"/>
      <c r="D457" s="81" t="n"/>
      <c r="E457" s="16">
        <f>IF($A457="","",$A457&amp;"|"&amp;DAY($B457))</f>
        <v/>
      </c>
      <c r="F457" s="16">
        <f>IF($A457="","",IF(COUNTIF(設定!$B$62:$B$201,$A457)=0,"⚠ 查無員編",IF(COUNTIF($E$3:$E$2002,$E457)&gt;1,"⚠ 重複打卡","OK")))</f>
        <v/>
      </c>
    </row>
    <row r="458">
      <c r="A458" s="20" t="n"/>
      <c r="B458" s="18" t="n"/>
      <c r="C458" s="81" t="n"/>
      <c r="D458" s="81" t="n"/>
      <c r="E458" s="16">
        <f>IF($A458="","",$A458&amp;"|"&amp;DAY($B458))</f>
        <v/>
      </c>
      <c r="F458" s="16">
        <f>IF($A458="","",IF(COUNTIF(設定!$B$62:$B$201,$A458)=0,"⚠ 查無員編",IF(COUNTIF($E$3:$E$2002,$E458)&gt;1,"⚠ 重複打卡","OK")))</f>
        <v/>
      </c>
    </row>
    <row r="459">
      <c r="A459" s="20" t="n"/>
      <c r="B459" s="18" t="n"/>
      <c r="C459" s="81" t="n"/>
      <c r="D459" s="81" t="n"/>
      <c r="E459" s="16">
        <f>IF($A459="","",$A459&amp;"|"&amp;DAY($B459))</f>
        <v/>
      </c>
      <c r="F459" s="16">
        <f>IF($A459="","",IF(COUNTIF(設定!$B$62:$B$201,$A459)=0,"⚠ 查無員編",IF(COUNTIF($E$3:$E$2002,$E459)&gt;1,"⚠ 重複打卡","OK")))</f>
        <v/>
      </c>
    </row>
    <row r="460">
      <c r="A460" s="20" t="n"/>
      <c r="B460" s="18" t="n"/>
      <c r="C460" s="81" t="n"/>
      <c r="D460" s="81" t="n"/>
      <c r="E460" s="16">
        <f>IF($A460="","",$A460&amp;"|"&amp;DAY($B460))</f>
        <v/>
      </c>
      <c r="F460" s="16">
        <f>IF($A460="","",IF(COUNTIF(設定!$B$62:$B$201,$A460)=0,"⚠ 查無員編",IF(COUNTIF($E$3:$E$2002,$E460)&gt;1,"⚠ 重複打卡","OK")))</f>
        <v/>
      </c>
    </row>
    <row r="461">
      <c r="A461" s="20" t="n"/>
      <c r="B461" s="18" t="n"/>
      <c r="C461" s="81" t="n"/>
      <c r="D461" s="81" t="n"/>
      <c r="E461" s="16">
        <f>IF($A461="","",$A461&amp;"|"&amp;DAY($B461))</f>
        <v/>
      </c>
      <c r="F461" s="16">
        <f>IF($A461="","",IF(COUNTIF(設定!$B$62:$B$201,$A461)=0,"⚠ 查無員編",IF(COUNTIF($E$3:$E$2002,$E461)&gt;1,"⚠ 重複打卡","OK")))</f>
        <v/>
      </c>
    </row>
    <row r="462">
      <c r="A462" s="20" t="n"/>
      <c r="B462" s="18" t="n"/>
      <c r="C462" s="81" t="n"/>
      <c r="D462" s="81" t="n"/>
      <c r="E462" s="16">
        <f>IF($A462="","",$A462&amp;"|"&amp;DAY($B462))</f>
        <v/>
      </c>
      <c r="F462" s="16">
        <f>IF($A462="","",IF(COUNTIF(設定!$B$62:$B$201,$A462)=0,"⚠ 查無員編",IF(COUNTIF($E$3:$E$2002,$E462)&gt;1,"⚠ 重複打卡","OK")))</f>
        <v/>
      </c>
    </row>
    <row r="463">
      <c r="A463" s="20" t="n"/>
      <c r="B463" s="18" t="n"/>
      <c r="C463" s="81" t="n"/>
      <c r="D463" s="81" t="n"/>
      <c r="E463" s="16">
        <f>IF($A463="","",$A463&amp;"|"&amp;DAY($B463))</f>
        <v/>
      </c>
      <c r="F463" s="16">
        <f>IF($A463="","",IF(COUNTIF(設定!$B$62:$B$201,$A463)=0,"⚠ 查無員編",IF(COUNTIF($E$3:$E$2002,$E463)&gt;1,"⚠ 重複打卡","OK")))</f>
        <v/>
      </c>
    </row>
    <row r="464">
      <c r="A464" s="20" t="n"/>
      <c r="B464" s="18" t="n"/>
      <c r="C464" s="81" t="n"/>
      <c r="D464" s="81" t="n"/>
      <c r="E464" s="16">
        <f>IF($A464="","",$A464&amp;"|"&amp;DAY($B464))</f>
        <v/>
      </c>
      <c r="F464" s="16">
        <f>IF($A464="","",IF(COUNTIF(設定!$B$62:$B$201,$A464)=0,"⚠ 查無員編",IF(COUNTIF($E$3:$E$2002,$E464)&gt;1,"⚠ 重複打卡","OK")))</f>
        <v/>
      </c>
    </row>
    <row r="465">
      <c r="A465" s="20" t="n"/>
      <c r="B465" s="18" t="n"/>
      <c r="C465" s="81" t="n"/>
      <c r="D465" s="81" t="n"/>
      <c r="E465" s="16">
        <f>IF($A465="","",$A465&amp;"|"&amp;DAY($B465))</f>
        <v/>
      </c>
      <c r="F465" s="16">
        <f>IF($A465="","",IF(COUNTIF(設定!$B$62:$B$201,$A465)=0,"⚠ 查無員編",IF(COUNTIF($E$3:$E$2002,$E465)&gt;1,"⚠ 重複打卡","OK")))</f>
        <v/>
      </c>
    </row>
    <row r="466">
      <c r="A466" s="20" t="n"/>
      <c r="B466" s="18" t="n"/>
      <c r="C466" s="81" t="n"/>
      <c r="D466" s="81" t="n"/>
      <c r="E466" s="16">
        <f>IF($A466="","",$A466&amp;"|"&amp;DAY($B466))</f>
        <v/>
      </c>
      <c r="F466" s="16">
        <f>IF($A466="","",IF(COUNTIF(設定!$B$62:$B$201,$A466)=0,"⚠ 查無員編",IF(COUNTIF($E$3:$E$2002,$E466)&gt;1,"⚠ 重複打卡","OK")))</f>
        <v/>
      </c>
    </row>
    <row r="467">
      <c r="A467" s="20" t="n"/>
      <c r="B467" s="18" t="n"/>
      <c r="C467" s="81" t="n"/>
      <c r="D467" s="81" t="n"/>
      <c r="E467" s="16">
        <f>IF($A467="","",$A467&amp;"|"&amp;DAY($B467))</f>
        <v/>
      </c>
      <c r="F467" s="16">
        <f>IF($A467="","",IF(COUNTIF(設定!$B$62:$B$201,$A467)=0,"⚠ 查無員編",IF(COUNTIF($E$3:$E$2002,$E467)&gt;1,"⚠ 重複打卡","OK")))</f>
        <v/>
      </c>
    </row>
    <row r="468">
      <c r="A468" s="20" t="n"/>
      <c r="B468" s="18" t="n"/>
      <c r="C468" s="81" t="n"/>
      <c r="D468" s="81" t="n"/>
      <c r="E468" s="16">
        <f>IF($A468="","",$A468&amp;"|"&amp;DAY($B468))</f>
        <v/>
      </c>
      <c r="F468" s="16">
        <f>IF($A468="","",IF(COUNTIF(設定!$B$62:$B$201,$A468)=0,"⚠ 查無員編",IF(COUNTIF($E$3:$E$2002,$E468)&gt;1,"⚠ 重複打卡","OK")))</f>
        <v/>
      </c>
    </row>
    <row r="469">
      <c r="A469" s="20" t="n"/>
      <c r="B469" s="18" t="n"/>
      <c r="C469" s="81" t="n"/>
      <c r="D469" s="81" t="n"/>
      <c r="E469" s="16">
        <f>IF($A469="","",$A469&amp;"|"&amp;DAY($B469))</f>
        <v/>
      </c>
      <c r="F469" s="16">
        <f>IF($A469="","",IF(COUNTIF(設定!$B$62:$B$201,$A469)=0,"⚠ 查無員編",IF(COUNTIF($E$3:$E$2002,$E469)&gt;1,"⚠ 重複打卡","OK")))</f>
        <v/>
      </c>
    </row>
    <row r="470">
      <c r="A470" s="20" t="n"/>
      <c r="B470" s="18" t="n"/>
      <c r="C470" s="81" t="n"/>
      <c r="D470" s="81" t="n"/>
      <c r="E470" s="16">
        <f>IF($A470="","",$A470&amp;"|"&amp;DAY($B470))</f>
        <v/>
      </c>
      <c r="F470" s="16">
        <f>IF($A470="","",IF(COUNTIF(設定!$B$62:$B$201,$A470)=0,"⚠ 查無員編",IF(COUNTIF($E$3:$E$2002,$E470)&gt;1,"⚠ 重複打卡","OK")))</f>
        <v/>
      </c>
    </row>
    <row r="471">
      <c r="A471" s="20" t="n"/>
      <c r="B471" s="18" t="n"/>
      <c r="C471" s="81" t="n"/>
      <c r="D471" s="81" t="n"/>
      <c r="E471" s="16">
        <f>IF($A471="","",$A471&amp;"|"&amp;DAY($B471))</f>
        <v/>
      </c>
      <c r="F471" s="16">
        <f>IF($A471="","",IF(COUNTIF(設定!$B$62:$B$201,$A471)=0,"⚠ 查無員編",IF(COUNTIF($E$3:$E$2002,$E471)&gt;1,"⚠ 重複打卡","OK")))</f>
        <v/>
      </c>
    </row>
    <row r="472">
      <c r="A472" s="20" t="n"/>
      <c r="B472" s="18" t="n"/>
      <c r="C472" s="81" t="n"/>
      <c r="D472" s="81" t="n"/>
      <c r="E472" s="16">
        <f>IF($A472="","",$A472&amp;"|"&amp;DAY($B472))</f>
        <v/>
      </c>
      <c r="F472" s="16">
        <f>IF($A472="","",IF(COUNTIF(設定!$B$62:$B$201,$A472)=0,"⚠ 查無員編",IF(COUNTIF($E$3:$E$2002,$E472)&gt;1,"⚠ 重複打卡","OK")))</f>
        <v/>
      </c>
    </row>
    <row r="473">
      <c r="A473" s="20" t="n"/>
      <c r="B473" s="18" t="n"/>
      <c r="C473" s="81" t="n"/>
      <c r="D473" s="81" t="n"/>
      <c r="E473" s="16">
        <f>IF($A473="","",$A473&amp;"|"&amp;DAY($B473))</f>
        <v/>
      </c>
      <c r="F473" s="16">
        <f>IF($A473="","",IF(COUNTIF(設定!$B$62:$B$201,$A473)=0,"⚠ 查無員編",IF(COUNTIF($E$3:$E$2002,$E473)&gt;1,"⚠ 重複打卡","OK")))</f>
        <v/>
      </c>
    </row>
    <row r="474">
      <c r="A474" s="20" t="n"/>
      <c r="B474" s="18" t="n"/>
      <c r="C474" s="81" t="n"/>
      <c r="D474" s="81" t="n"/>
      <c r="E474" s="16">
        <f>IF($A474="","",$A474&amp;"|"&amp;DAY($B474))</f>
        <v/>
      </c>
      <c r="F474" s="16">
        <f>IF($A474="","",IF(COUNTIF(設定!$B$62:$B$201,$A474)=0,"⚠ 查無員編",IF(COUNTIF($E$3:$E$2002,$E474)&gt;1,"⚠ 重複打卡","OK")))</f>
        <v/>
      </c>
    </row>
    <row r="475">
      <c r="A475" s="20" t="n"/>
      <c r="B475" s="18" t="n"/>
      <c r="C475" s="81" t="n"/>
      <c r="D475" s="81" t="n"/>
      <c r="E475" s="16">
        <f>IF($A475="","",$A475&amp;"|"&amp;DAY($B475))</f>
        <v/>
      </c>
      <c r="F475" s="16">
        <f>IF($A475="","",IF(COUNTIF(設定!$B$62:$B$201,$A475)=0,"⚠ 查無員編",IF(COUNTIF($E$3:$E$2002,$E475)&gt;1,"⚠ 重複打卡","OK")))</f>
        <v/>
      </c>
    </row>
    <row r="476">
      <c r="A476" s="20" t="n"/>
      <c r="B476" s="18" t="n"/>
      <c r="C476" s="81" t="n"/>
      <c r="D476" s="81" t="n"/>
      <c r="E476" s="16">
        <f>IF($A476="","",$A476&amp;"|"&amp;DAY($B476))</f>
        <v/>
      </c>
      <c r="F476" s="16">
        <f>IF($A476="","",IF(COUNTIF(設定!$B$62:$B$201,$A476)=0,"⚠ 查無員編",IF(COUNTIF($E$3:$E$2002,$E476)&gt;1,"⚠ 重複打卡","OK")))</f>
        <v/>
      </c>
    </row>
    <row r="477">
      <c r="A477" s="20" t="n"/>
      <c r="B477" s="18" t="n"/>
      <c r="C477" s="81" t="n"/>
      <c r="D477" s="81" t="n"/>
      <c r="E477" s="16">
        <f>IF($A477="","",$A477&amp;"|"&amp;DAY($B477))</f>
        <v/>
      </c>
      <c r="F477" s="16">
        <f>IF($A477="","",IF(COUNTIF(設定!$B$62:$B$201,$A477)=0,"⚠ 查無員編",IF(COUNTIF($E$3:$E$2002,$E477)&gt;1,"⚠ 重複打卡","OK")))</f>
        <v/>
      </c>
    </row>
    <row r="478">
      <c r="A478" s="20" t="n"/>
      <c r="B478" s="18" t="n"/>
      <c r="C478" s="81" t="n"/>
      <c r="D478" s="81" t="n"/>
      <c r="E478" s="16">
        <f>IF($A478="","",$A478&amp;"|"&amp;DAY($B478))</f>
        <v/>
      </c>
      <c r="F478" s="16">
        <f>IF($A478="","",IF(COUNTIF(設定!$B$62:$B$201,$A478)=0,"⚠ 查無員編",IF(COUNTIF($E$3:$E$2002,$E478)&gt;1,"⚠ 重複打卡","OK")))</f>
        <v/>
      </c>
    </row>
    <row r="479">
      <c r="A479" s="20" t="n"/>
      <c r="B479" s="18" t="n"/>
      <c r="C479" s="81" t="n"/>
      <c r="D479" s="81" t="n"/>
      <c r="E479" s="16">
        <f>IF($A479="","",$A479&amp;"|"&amp;DAY($B479))</f>
        <v/>
      </c>
      <c r="F479" s="16">
        <f>IF($A479="","",IF(COUNTIF(設定!$B$62:$B$201,$A479)=0,"⚠ 查無員編",IF(COUNTIF($E$3:$E$2002,$E479)&gt;1,"⚠ 重複打卡","OK")))</f>
        <v/>
      </c>
    </row>
    <row r="480">
      <c r="A480" s="20" t="n"/>
      <c r="B480" s="18" t="n"/>
      <c r="C480" s="81" t="n"/>
      <c r="D480" s="81" t="n"/>
      <c r="E480" s="16">
        <f>IF($A480="","",$A480&amp;"|"&amp;DAY($B480))</f>
        <v/>
      </c>
      <c r="F480" s="16">
        <f>IF($A480="","",IF(COUNTIF(設定!$B$62:$B$201,$A480)=0,"⚠ 查無員編",IF(COUNTIF($E$3:$E$2002,$E480)&gt;1,"⚠ 重複打卡","OK")))</f>
        <v/>
      </c>
    </row>
    <row r="481">
      <c r="A481" s="20" t="n"/>
      <c r="B481" s="18" t="n"/>
      <c r="C481" s="81" t="n"/>
      <c r="D481" s="81" t="n"/>
      <c r="E481" s="16">
        <f>IF($A481="","",$A481&amp;"|"&amp;DAY($B481))</f>
        <v/>
      </c>
      <c r="F481" s="16">
        <f>IF($A481="","",IF(COUNTIF(設定!$B$62:$B$201,$A481)=0,"⚠ 查無員編",IF(COUNTIF($E$3:$E$2002,$E481)&gt;1,"⚠ 重複打卡","OK")))</f>
        <v/>
      </c>
    </row>
    <row r="482">
      <c r="A482" s="20" t="n"/>
      <c r="B482" s="18" t="n"/>
      <c r="C482" s="81" t="n"/>
      <c r="D482" s="81" t="n"/>
      <c r="E482" s="16">
        <f>IF($A482="","",$A482&amp;"|"&amp;DAY($B482))</f>
        <v/>
      </c>
      <c r="F482" s="16">
        <f>IF($A482="","",IF(COUNTIF(設定!$B$62:$B$201,$A482)=0,"⚠ 查無員編",IF(COUNTIF($E$3:$E$2002,$E482)&gt;1,"⚠ 重複打卡","OK")))</f>
        <v/>
      </c>
    </row>
    <row r="483">
      <c r="A483" s="20" t="n"/>
      <c r="B483" s="18" t="n"/>
      <c r="C483" s="81" t="n"/>
      <c r="D483" s="81" t="n"/>
      <c r="E483" s="16">
        <f>IF($A483="","",$A483&amp;"|"&amp;DAY($B483))</f>
        <v/>
      </c>
      <c r="F483" s="16">
        <f>IF($A483="","",IF(COUNTIF(設定!$B$62:$B$201,$A483)=0,"⚠ 查無員編",IF(COUNTIF($E$3:$E$2002,$E483)&gt;1,"⚠ 重複打卡","OK")))</f>
        <v/>
      </c>
    </row>
    <row r="484">
      <c r="A484" s="20" t="n"/>
      <c r="B484" s="18" t="n"/>
      <c r="C484" s="81" t="n"/>
      <c r="D484" s="81" t="n"/>
      <c r="E484" s="16">
        <f>IF($A484="","",$A484&amp;"|"&amp;DAY($B484))</f>
        <v/>
      </c>
      <c r="F484" s="16">
        <f>IF($A484="","",IF(COUNTIF(設定!$B$62:$B$201,$A484)=0,"⚠ 查無員編",IF(COUNTIF($E$3:$E$2002,$E484)&gt;1,"⚠ 重複打卡","OK")))</f>
        <v/>
      </c>
    </row>
    <row r="485">
      <c r="A485" s="20" t="n"/>
      <c r="B485" s="18" t="n"/>
      <c r="C485" s="81" t="n"/>
      <c r="D485" s="81" t="n"/>
      <c r="E485" s="16">
        <f>IF($A485="","",$A485&amp;"|"&amp;DAY($B485))</f>
        <v/>
      </c>
      <c r="F485" s="16">
        <f>IF($A485="","",IF(COUNTIF(設定!$B$62:$B$201,$A485)=0,"⚠ 查無員編",IF(COUNTIF($E$3:$E$2002,$E485)&gt;1,"⚠ 重複打卡","OK")))</f>
        <v/>
      </c>
    </row>
    <row r="486">
      <c r="A486" s="20" t="n"/>
      <c r="B486" s="18" t="n"/>
      <c r="C486" s="81" t="n"/>
      <c r="D486" s="81" t="n"/>
      <c r="E486" s="16">
        <f>IF($A486="","",$A486&amp;"|"&amp;DAY($B486))</f>
        <v/>
      </c>
      <c r="F486" s="16">
        <f>IF($A486="","",IF(COUNTIF(設定!$B$62:$B$201,$A486)=0,"⚠ 查無員編",IF(COUNTIF($E$3:$E$2002,$E486)&gt;1,"⚠ 重複打卡","OK")))</f>
        <v/>
      </c>
    </row>
    <row r="487">
      <c r="A487" s="20" t="n"/>
      <c r="B487" s="18" t="n"/>
      <c r="C487" s="81" t="n"/>
      <c r="D487" s="81" t="n"/>
      <c r="E487" s="16">
        <f>IF($A487="","",$A487&amp;"|"&amp;DAY($B487))</f>
        <v/>
      </c>
      <c r="F487" s="16">
        <f>IF($A487="","",IF(COUNTIF(設定!$B$62:$B$201,$A487)=0,"⚠ 查無員編",IF(COUNTIF($E$3:$E$2002,$E487)&gt;1,"⚠ 重複打卡","OK")))</f>
        <v/>
      </c>
    </row>
    <row r="488">
      <c r="A488" s="20" t="n"/>
      <c r="B488" s="18" t="n"/>
      <c r="C488" s="81" t="n"/>
      <c r="D488" s="81" t="n"/>
      <c r="E488" s="16">
        <f>IF($A488="","",$A488&amp;"|"&amp;DAY($B488))</f>
        <v/>
      </c>
      <c r="F488" s="16">
        <f>IF($A488="","",IF(COUNTIF(設定!$B$62:$B$201,$A488)=0,"⚠ 查無員編",IF(COUNTIF($E$3:$E$2002,$E488)&gt;1,"⚠ 重複打卡","OK")))</f>
        <v/>
      </c>
    </row>
    <row r="489">
      <c r="A489" s="20" t="n"/>
      <c r="B489" s="18" t="n"/>
      <c r="C489" s="81" t="n"/>
      <c r="D489" s="81" t="n"/>
      <c r="E489" s="16">
        <f>IF($A489="","",$A489&amp;"|"&amp;DAY($B489))</f>
        <v/>
      </c>
      <c r="F489" s="16">
        <f>IF($A489="","",IF(COUNTIF(設定!$B$62:$B$201,$A489)=0,"⚠ 查無員編",IF(COUNTIF($E$3:$E$2002,$E489)&gt;1,"⚠ 重複打卡","OK")))</f>
        <v/>
      </c>
    </row>
    <row r="490">
      <c r="A490" s="20" t="n"/>
      <c r="B490" s="18" t="n"/>
      <c r="C490" s="81" t="n"/>
      <c r="D490" s="81" t="n"/>
      <c r="E490" s="16">
        <f>IF($A490="","",$A490&amp;"|"&amp;DAY($B490))</f>
        <v/>
      </c>
      <c r="F490" s="16">
        <f>IF($A490="","",IF(COUNTIF(設定!$B$62:$B$201,$A490)=0,"⚠ 查無員編",IF(COUNTIF($E$3:$E$2002,$E490)&gt;1,"⚠ 重複打卡","OK")))</f>
        <v/>
      </c>
    </row>
    <row r="491">
      <c r="A491" s="20" t="n"/>
      <c r="B491" s="18" t="n"/>
      <c r="C491" s="81" t="n"/>
      <c r="D491" s="81" t="n"/>
      <c r="E491" s="16">
        <f>IF($A491="","",$A491&amp;"|"&amp;DAY($B491))</f>
        <v/>
      </c>
      <c r="F491" s="16">
        <f>IF($A491="","",IF(COUNTIF(設定!$B$62:$B$201,$A491)=0,"⚠ 查無員編",IF(COUNTIF($E$3:$E$2002,$E491)&gt;1,"⚠ 重複打卡","OK")))</f>
        <v/>
      </c>
    </row>
    <row r="492">
      <c r="A492" s="20" t="n"/>
      <c r="B492" s="18" t="n"/>
      <c r="C492" s="81" t="n"/>
      <c r="D492" s="81" t="n"/>
      <c r="E492" s="16">
        <f>IF($A492="","",$A492&amp;"|"&amp;DAY($B492))</f>
        <v/>
      </c>
      <c r="F492" s="16">
        <f>IF($A492="","",IF(COUNTIF(設定!$B$62:$B$201,$A492)=0,"⚠ 查無員編",IF(COUNTIF($E$3:$E$2002,$E492)&gt;1,"⚠ 重複打卡","OK")))</f>
        <v/>
      </c>
    </row>
    <row r="493">
      <c r="A493" s="20" t="n"/>
      <c r="B493" s="18" t="n"/>
      <c r="C493" s="81" t="n"/>
      <c r="D493" s="81" t="n"/>
      <c r="E493" s="16">
        <f>IF($A493="","",$A493&amp;"|"&amp;DAY($B493))</f>
        <v/>
      </c>
      <c r="F493" s="16">
        <f>IF($A493="","",IF(COUNTIF(設定!$B$62:$B$201,$A493)=0,"⚠ 查無員編",IF(COUNTIF($E$3:$E$2002,$E493)&gt;1,"⚠ 重複打卡","OK")))</f>
        <v/>
      </c>
    </row>
    <row r="494">
      <c r="A494" s="20" t="n"/>
      <c r="B494" s="18" t="n"/>
      <c r="C494" s="81" t="n"/>
      <c r="D494" s="81" t="n"/>
      <c r="E494" s="16">
        <f>IF($A494="","",$A494&amp;"|"&amp;DAY($B494))</f>
        <v/>
      </c>
      <c r="F494" s="16">
        <f>IF($A494="","",IF(COUNTIF(設定!$B$62:$B$201,$A494)=0,"⚠ 查無員編",IF(COUNTIF($E$3:$E$2002,$E494)&gt;1,"⚠ 重複打卡","OK")))</f>
        <v/>
      </c>
    </row>
    <row r="495">
      <c r="A495" s="20" t="n"/>
      <c r="B495" s="18" t="n"/>
      <c r="C495" s="81" t="n"/>
      <c r="D495" s="81" t="n"/>
      <c r="E495" s="16">
        <f>IF($A495="","",$A495&amp;"|"&amp;DAY($B495))</f>
        <v/>
      </c>
      <c r="F495" s="16">
        <f>IF($A495="","",IF(COUNTIF(設定!$B$62:$B$201,$A495)=0,"⚠ 查無員編",IF(COUNTIF($E$3:$E$2002,$E495)&gt;1,"⚠ 重複打卡","OK")))</f>
        <v/>
      </c>
    </row>
    <row r="496">
      <c r="A496" s="20" t="n"/>
      <c r="B496" s="18" t="n"/>
      <c r="C496" s="81" t="n"/>
      <c r="D496" s="81" t="n"/>
      <c r="E496" s="16">
        <f>IF($A496="","",$A496&amp;"|"&amp;DAY($B496))</f>
        <v/>
      </c>
      <c r="F496" s="16">
        <f>IF($A496="","",IF(COUNTIF(設定!$B$62:$B$201,$A496)=0,"⚠ 查無員編",IF(COUNTIF($E$3:$E$2002,$E496)&gt;1,"⚠ 重複打卡","OK")))</f>
        <v/>
      </c>
    </row>
    <row r="497">
      <c r="A497" s="20" t="n"/>
      <c r="B497" s="18" t="n"/>
      <c r="C497" s="81" t="n"/>
      <c r="D497" s="81" t="n"/>
      <c r="E497" s="16">
        <f>IF($A497="","",$A497&amp;"|"&amp;DAY($B497))</f>
        <v/>
      </c>
      <c r="F497" s="16">
        <f>IF($A497="","",IF(COUNTIF(設定!$B$62:$B$201,$A497)=0,"⚠ 查無員編",IF(COUNTIF($E$3:$E$2002,$E497)&gt;1,"⚠ 重複打卡","OK")))</f>
        <v/>
      </c>
    </row>
    <row r="498">
      <c r="A498" s="20" t="n"/>
      <c r="B498" s="18" t="n"/>
      <c r="C498" s="81" t="n"/>
      <c r="D498" s="81" t="n"/>
      <c r="E498" s="16">
        <f>IF($A498="","",$A498&amp;"|"&amp;DAY($B498))</f>
        <v/>
      </c>
      <c r="F498" s="16">
        <f>IF($A498="","",IF(COUNTIF(設定!$B$62:$B$201,$A498)=0,"⚠ 查無員編",IF(COUNTIF($E$3:$E$2002,$E498)&gt;1,"⚠ 重複打卡","OK")))</f>
        <v/>
      </c>
    </row>
    <row r="499">
      <c r="A499" s="20" t="n"/>
      <c r="B499" s="18" t="n"/>
      <c r="C499" s="81" t="n"/>
      <c r="D499" s="81" t="n"/>
      <c r="E499" s="16">
        <f>IF($A499="","",$A499&amp;"|"&amp;DAY($B499))</f>
        <v/>
      </c>
      <c r="F499" s="16">
        <f>IF($A499="","",IF(COUNTIF(設定!$B$62:$B$201,$A499)=0,"⚠ 查無員編",IF(COUNTIF($E$3:$E$2002,$E499)&gt;1,"⚠ 重複打卡","OK")))</f>
        <v/>
      </c>
    </row>
    <row r="500">
      <c r="A500" s="20" t="n"/>
      <c r="B500" s="18" t="n"/>
      <c r="C500" s="81" t="n"/>
      <c r="D500" s="81" t="n"/>
      <c r="E500" s="16">
        <f>IF($A500="","",$A500&amp;"|"&amp;DAY($B500))</f>
        <v/>
      </c>
      <c r="F500" s="16">
        <f>IF($A500="","",IF(COUNTIF(設定!$B$62:$B$201,$A500)=0,"⚠ 查無員編",IF(COUNTIF($E$3:$E$2002,$E500)&gt;1,"⚠ 重複打卡","OK")))</f>
        <v/>
      </c>
    </row>
    <row r="501">
      <c r="A501" s="20" t="n"/>
      <c r="B501" s="18" t="n"/>
      <c r="C501" s="81" t="n"/>
      <c r="D501" s="81" t="n"/>
      <c r="E501" s="16">
        <f>IF($A501="","",$A501&amp;"|"&amp;DAY($B501))</f>
        <v/>
      </c>
      <c r="F501" s="16">
        <f>IF($A501="","",IF(COUNTIF(設定!$B$62:$B$201,$A501)=0,"⚠ 查無員編",IF(COUNTIF($E$3:$E$2002,$E501)&gt;1,"⚠ 重複打卡","OK")))</f>
        <v/>
      </c>
    </row>
    <row r="502">
      <c r="A502" s="20" t="n"/>
      <c r="B502" s="18" t="n"/>
      <c r="C502" s="81" t="n"/>
      <c r="D502" s="81" t="n"/>
      <c r="E502" s="16">
        <f>IF($A502="","",$A502&amp;"|"&amp;DAY($B502))</f>
        <v/>
      </c>
      <c r="F502" s="16">
        <f>IF($A502="","",IF(COUNTIF(設定!$B$62:$B$201,$A502)=0,"⚠ 查無員編",IF(COUNTIF($E$3:$E$2002,$E502)&gt;1,"⚠ 重複打卡","OK")))</f>
        <v/>
      </c>
    </row>
    <row r="503">
      <c r="A503" s="20" t="n"/>
      <c r="B503" s="18" t="n"/>
      <c r="C503" s="81" t="n"/>
      <c r="D503" s="81" t="n"/>
      <c r="E503" s="16">
        <f>IF($A503="","",$A503&amp;"|"&amp;DAY($B503))</f>
        <v/>
      </c>
      <c r="F503" s="16">
        <f>IF($A503="","",IF(COUNTIF(設定!$B$62:$B$201,$A503)=0,"⚠ 查無員編",IF(COUNTIF($E$3:$E$2002,$E503)&gt;1,"⚠ 重複打卡","OK")))</f>
        <v/>
      </c>
    </row>
    <row r="504">
      <c r="A504" s="20" t="n"/>
      <c r="B504" s="18" t="n"/>
      <c r="C504" s="81" t="n"/>
      <c r="D504" s="81" t="n"/>
      <c r="E504" s="16">
        <f>IF($A504="","",$A504&amp;"|"&amp;DAY($B504))</f>
        <v/>
      </c>
      <c r="F504" s="16">
        <f>IF($A504="","",IF(COUNTIF(設定!$B$62:$B$201,$A504)=0,"⚠ 查無員編",IF(COUNTIF($E$3:$E$2002,$E504)&gt;1,"⚠ 重複打卡","OK")))</f>
        <v/>
      </c>
    </row>
    <row r="505">
      <c r="A505" s="20" t="n"/>
      <c r="B505" s="18" t="n"/>
      <c r="C505" s="81" t="n"/>
      <c r="D505" s="81" t="n"/>
      <c r="E505" s="16">
        <f>IF($A505="","",$A505&amp;"|"&amp;DAY($B505))</f>
        <v/>
      </c>
      <c r="F505" s="16">
        <f>IF($A505="","",IF(COUNTIF(設定!$B$62:$B$201,$A505)=0,"⚠ 查無員編",IF(COUNTIF($E$3:$E$2002,$E505)&gt;1,"⚠ 重複打卡","OK")))</f>
        <v/>
      </c>
    </row>
    <row r="506">
      <c r="A506" s="20" t="n"/>
      <c r="B506" s="18" t="n"/>
      <c r="C506" s="81" t="n"/>
      <c r="D506" s="81" t="n"/>
      <c r="E506" s="16">
        <f>IF($A506="","",$A506&amp;"|"&amp;DAY($B506))</f>
        <v/>
      </c>
      <c r="F506" s="16">
        <f>IF($A506="","",IF(COUNTIF(設定!$B$62:$B$201,$A506)=0,"⚠ 查無員編",IF(COUNTIF($E$3:$E$2002,$E506)&gt;1,"⚠ 重複打卡","OK")))</f>
        <v/>
      </c>
    </row>
    <row r="507">
      <c r="A507" s="20" t="n"/>
      <c r="B507" s="18" t="n"/>
      <c r="C507" s="81" t="n"/>
      <c r="D507" s="81" t="n"/>
      <c r="E507" s="16">
        <f>IF($A507="","",$A507&amp;"|"&amp;DAY($B507))</f>
        <v/>
      </c>
      <c r="F507" s="16">
        <f>IF($A507="","",IF(COUNTIF(設定!$B$62:$B$201,$A507)=0,"⚠ 查無員編",IF(COUNTIF($E$3:$E$2002,$E507)&gt;1,"⚠ 重複打卡","OK")))</f>
        <v/>
      </c>
    </row>
    <row r="508">
      <c r="A508" s="20" t="n"/>
      <c r="B508" s="18" t="n"/>
      <c r="C508" s="81" t="n"/>
      <c r="D508" s="81" t="n"/>
      <c r="E508" s="16">
        <f>IF($A508="","",$A508&amp;"|"&amp;DAY($B508))</f>
        <v/>
      </c>
      <c r="F508" s="16">
        <f>IF($A508="","",IF(COUNTIF(設定!$B$62:$B$201,$A508)=0,"⚠ 查無員編",IF(COUNTIF($E$3:$E$2002,$E508)&gt;1,"⚠ 重複打卡","OK")))</f>
        <v/>
      </c>
    </row>
    <row r="509">
      <c r="A509" s="20" t="n"/>
      <c r="B509" s="18" t="n"/>
      <c r="C509" s="81" t="n"/>
      <c r="D509" s="81" t="n"/>
      <c r="E509" s="16">
        <f>IF($A509="","",$A509&amp;"|"&amp;DAY($B509))</f>
        <v/>
      </c>
      <c r="F509" s="16">
        <f>IF($A509="","",IF(COUNTIF(設定!$B$62:$B$201,$A509)=0,"⚠ 查無員編",IF(COUNTIF($E$3:$E$2002,$E509)&gt;1,"⚠ 重複打卡","OK")))</f>
        <v/>
      </c>
    </row>
    <row r="510">
      <c r="A510" s="20" t="n"/>
      <c r="B510" s="18" t="n"/>
      <c r="C510" s="81" t="n"/>
      <c r="D510" s="81" t="n"/>
      <c r="E510" s="16">
        <f>IF($A510="","",$A510&amp;"|"&amp;DAY($B510))</f>
        <v/>
      </c>
      <c r="F510" s="16">
        <f>IF($A510="","",IF(COUNTIF(設定!$B$62:$B$201,$A510)=0,"⚠ 查無員編",IF(COUNTIF($E$3:$E$2002,$E510)&gt;1,"⚠ 重複打卡","OK")))</f>
        <v/>
      </c>
    </row>
    <row r="511">
      <c r="A511" s="20" t="n"/>
      <c r="B511" s="18" t="n"/>
      <c r="C511" s="81" t="n"/>
      <c r="D511" s="81" t="n"/>
      <c r="E511" s="16">
        <f>IF($A511="","",$A511&amp;"|"&amp;DAY($B511))</f>
        <v/>
      </c>
      <c r="F511" s="16">
        <f>IF($A511="","",IF(COUNTIF(設定!$B$62:$B$201,$A511)=0,"⚠ 查無員編",IF(COUNTIF($E$3:$E$2002,$E511)&gt;1,"⚠ 重複打卡","OK")))</f>
        <v/>
      </c>
    </row>
    <row r="512">
      <c r="A512" s="20" t="n"/>
      <c r="B512" s="18" t="n"/>
      <c r="C512" s="81" t="n"/>
      <c r="D512" s="81" t="n"/>
      <c r="E512" s="16">
        <f>IF($A512="","",$A512&amp;"|"&amp;DAY($B512))</f>
        <v/>
      </c>
      <c r="F512" s="16">
        <f>IF($A512="","",IF(COUNTIF(設定!$B$62:$B$201,$A512)=0,"⚠ 查無員編",IF(COUNTIF($E$3:$E$2002,$E512)&gt;1,"⚠ 重複打卡","OK")))</f>
        <v/>
      </c>
    </row>
    <row r="513">
      <c r="A513" s="20" t="n"/>
      <c r="B513" s="18" t="n"/>
      <c r="C513" s="81" t="n"/>
      <c r="D513" s="81" t="n"/>
      <c r="E513" s="16">
        <f>IF($A513="","",$A513&amp;"|"&amp;DAY($B513))</f>
        <v/>
      </c>
      <c r="F513" s="16">
        <f>IF($A513="","",IF(COUNTIF(設定!$B$62:$B$201,$A513)=0,"⚠ 查無員編",IF(COUNTIF($E$3:$E$2002,$E513)&gt;1,"⚠ 重複打卡","OK")))</f>
        <v/>
      </c>
    </row>
    <row r="514">
      <c r="A514" s="20" t="n"/>
      <c r="B514" s="18" t="n"/>
      <c r="C514" s="81" t="n"/>
      <c r="D514" s="81" t="n"/>
      <c r="E514" s="16">
        <f>IF($A514="","",$A514&amp;"|"&amp;DAY($B514))</f>
        <v/>
      </c>
      <c r="F514" s="16">
        <f>IF($A514="","",IF(COUNTIF(設定!$B$62:$B$201,$A514)=0,"⚠ 查無員編",IF(COUNTIF($E$3:$E$2002,$E514)&gt;1,"⚠ 重複打卡","OK")))</f>
        <v/>
      </c>
    </row>
    <row r="515">
      <c r="A515" s="20" t="n"/>
      <c r="B515" s="18" t="n"/>
      <c r="C515" s="81" t="n"/>
      <c r="D515" s="81" t="n"/>
      <c r="E515" s="16">
        <f>IF($A515="","",$A515&amp;"|"&amp;DAY($B515))</f>
        <v/>
      </c>
      <c r="F515" s="16">
        <f>IF($A515="","",IF(COUNTIF(設定!$B$62:$B$201,$A515)=0,"⚠ 查無員編",IF(COUNTIF($E$3:$E$2002,$E515)&gt;1,"⚠ 重複打卡","OK")))</f>
        <v/>
      </c>
    </row>
    <row r="516">
      <c r="A516" s="20" t="n"/>
      <c r="B516" s="18" t="n"/>
      <c r="C516" s="81" t="n"/>
      <c r="D516" s="81" t="n"/>
      <c r="E516" s="16">
        <f>IF($A516="","",$A516&amp;"|"&amp;DAY($B516))</f>
        <v/>
      </c>
      <c r="F516" s="16">
        <f>IF($A516="","",IF(COUNTIF(設定!$B$62:$B$201,$A516)=0,"⚠ 查無員編",IF(COUNTIF($E$3:$E$2002,$E516)&gt;1,"⚠ 重複打卡","OK")))</f>
        <v/>
      </c>
    </row>
    <row r="517">
      <c r="A517" s="20" t="n"/>
      <c r="B517" s="18" t="n"/>
      <c r="C517" s="81" t="n"/>
      <c r="D517" s="81" t="n"/>
      <c r="E517" s="16">
        <f>IF($A517="","",$A517&amp;"|"&amp;DAY($B517))</f>
        <v/>
      </c>
      <c r="F517" s="16">
        <f>IF($A517="","",IF(COUNTIF(設定!$B$62:$B$201,$A517)=0,"⚠ 查無員編",IF(COUNTIF($E$3:$E$2002,$E517)&gt;1,"⚠ 重複打卡","OK")))</f>
        <v/>
      </c>
    </row>
    <row r="518">
      <c r="A518" s="20" t="n"/>
      <c r="B518" s="18" t="n"/>
      <c r="C518" s="81" t="n"/>
      <c r="D518" s="81" t="n"/>
      <c r="E518" s="16">
        <f>IF($A518="","",$A518&amp;"|"&amp;DAY($B518))</f>
        <v/>
      </c>
      <c r="F518" s="16">
        <f>IF($A518="","",IF(COUNTIF(設定!$B$62:$B$201,$A518)=0,"⚠ 查無員編",IF(COUNTIF($E$3:$E$2002,$E518)&gt;1,"⚠ 重複打卡","OK")))</f>
        <v/>
      </c>
    </row>
    <row r="519">
      <c r="A519" s="20" t="n"/>
      <c r="B519" s="18" t="n"/>
      <c r="C519" s="81" t="n"/>
      <c r="D519" s="81" t="n"/>
      <c r="E519" s="16">
        <f>IF($A519="","",$A519&amp;"|"&amp;DAY($B519))</f>
        <v/>
      </c>
      <c r="F519" s="16">
        <f>IF($A519="","",IF(COUNTIF(設定!$B$62:$B$201,$A519)=0,"⚠ 查無員編",IF(COUNTIF($E$3:$E$2002,$E519)&gt;1,"⚠ 重複打卡","OK")))</f>
        <v/>
      </c>
    </row>
    <row r="520">
      <c r="A520" s="20" t="n"/>
      <c r="B520" s="18" t="n"/>
      <c r="C520" s="81" t="n"/>
      <c r="D520" s="81" t="n"/>
      <c r="E520" s="16">
        <f>IF($A520="","",$A520&amp;"|"&amp;DAY($B520))</f>
        <v/>
      </c>
      <c r="F520" s="16">
        <f>IF($A520="","",IF(COUNTIF(設定!$B$62:$B$201,$A520)=0,"⚠ 查無員編",IF(COUNTIF($E$3:$E$2002,$E520)&gt;1,"⚠ 重複打卡","OK")))</f>
        <v/>
      </c>
    </row>
    <row r="521">
      <c r="A521" s="20" t="n"/>
      <c r="B521" s="18" t="n"/>
      <c r="C521" s="81" t="n"/>
      <c r="D521" s="81" t="n"/>
      <c r="E521" s="16">
        <f>IF($A521="","",$A521&amp;"|"&amp;DAY($B521))</f>
        <v/>
      </c>
      <c r="F521" s="16">
        <f>IF($A521="","",IF(COUNTIF(設定!$B$62:$B$201,$A521)=0,"⚠ 查無員編",IF(COUNTIF($E$3:$E$2002,$E521)&gt;1,"⚠ 重複打卡","OK")))</f>
        <v/>
      </c>
    </row>
    <row r="522">
      <c r="A522" s="20" t="n"/>
      <c r="B522" s="18" t="n"/>
      <c r="C522" s="81" t="n"/>
      <c r="D522" s="81" t="n"/>
      <c r="E522" s="16">
        <f>IF($A522="","",$A522&amp;"|"&amp;DAY($B522))</f>
        <v/>
      </c>
      <c r="F522" s="16">
        <f>IF($A522="","",IF(COUNTIF(設定!$B$62:$B$201,$A522)=0,"⚠ 查無員編",IF(COUNTIF($E$3:$E$2002,$E522)&gt;1,"⚠ 重複打卡","OK")))</f>
        <v/>
      </c>
    </row>
    <row r="523">
      <c r="A523" s="20" t="n"/>
      <c r="B523" s="18" t="n"/>
      <c r="C523" s="81" t="n"/>
      <c r="D523" s="81" t="n"/>
      <c r="E523" s="16">
        <f>IF($A523="","",$A523&amp;"|"&amp;DAY($B523))</f>
        <v/>
      </c>
      <c r="F523" s="16">
        <f>IF($A523="","",IF(COUNTIF(設定!$B$62:$B$201,$A523)=0,"⚠ 查無員編",IF(COUNTIF($E$3:$E$2002,$E523)&gt;1,"⚠ 重複打卡","OK")))</f>
        <v/>
      </c>
    </row>
    <row r="524">
      <c r="A524" s="20" t="n"/>
      <c r="B524" s="18" t="n"/>
      <c r="C524" s="81" t="n"/>
      <c r="D524" s="81" t="n"/>
      <c r="E524" s="16">
        <f>IF($A524="","",$A524&amp;"|"&amp;DAY($B524))</f>
        <v/>
      </c>
      <c r="F524" s="16">
        <f>IF($A524="","",IF(COUNTIF(設定!$B$62:$B$201,$A524)=0,"⚠ 查無員編",IF(COUNTIF($E$3:$E$2002,$E524)&gt;1,"⚠ 重複打卡","OK")))</f>
        <v/>
      </c>
    </row>
    <row r="525">
      <c r="A525" s="20" t="n"/>
      <c r="B525" s="18" t="n"/>
      <c r="C525" s="81" t="n"/>
      <c r="D525" s="81" t="n"/>
      <c r="E525" s="16">
        <f>IF($A525="","",$A525&amp;"|"&amp;DAY($B525))</f>
        <v/>
      </c>
      <c r="F525" s="16">
        <f>IF($A525="","",IF(COUNTIF(設定!$B$62:$B$201,$A525)=0,"⚠ 查無員編",IF(COUNTIF($E$3:$E$2002,$E525)&gt;1,"⚠ 重複打卡","OK")))</f>
        <v/>
      </c>
    </row>
    <row r="526">
      <c r="A526" s="20" t="n"/>
      <c r="B526" s="18" t="n"/>
      <c r="C526" s="81" t="n"/>
      <c r="D526" s="81" t="n"/>
      <c r="E526" s="16">
        <f>IF($A526="","",$A526&amp;"|"&amp;DAY($B526))</f>
        <v/>
      </c>
      <c r="F526" s="16">
        <f>IF($A526="","",IF(COUNTIF(設定!$B$62:$B$201,$A526)=0,"⚠ 查無員編",IF(COUNTIF($E$3:$E$2002,$E526)&gt;1,"⚠ 重複打卡","OK")))</f>
        <v/>
      </c>
    </row>
    <row r="527">
      <c r="A527" s="20" t="n"/>
      <c r="B527" s="18" t="n"/>
      <c r="C527" s="81" t="n"/>
      <c r="D527" s="81" t="n"/>
      <c r="E527" s="16">
        <f>IF($A527="","",$A527&amp;"|"&amp;DAY($B527))</f>
        <v/>
      </c>
      <c r="F527" s="16">
        <f>IF($A527="","",IF(COUNTIF(設定!$B$62:$B$201,$A527)=0,"⚠ 查無員編",IF(COUNTIF($E$3:$E$2002,$E527)&gt;1,"⚠ 重複打卡","OK")))</f>
        <v/>
      </c>
    </row>
    <row r="528">
      <c r="A528" s="20" t="n"/>
      <c r="B528" s="18" t="n"/>
      <c r="C528" s="81" t="n"/>
      <c r="D528" s="81" t="n"/>
      <c r="E528" s="16">
        <f>IF($A528="","",$A528&amp;"|"&amp;DAY($B528))</f>
        <v/>
      </c>
      <c r="F528" s="16">
        <f>IF($A528="","",IF(COUNTIF(設定!$B$62:$B$201,$A528)=0,"⚠ 查無員編",IF(COUNTIF($E$3:$E$2002,$E528)&gt;1,"⚠ 重複打卡","OK")))</f>
        <v/>
      </c>
    </row>
    <row r="529">
      <c r="A529" s="20" t="n"/>
      <c r="B529" s="18" t="n"/>
      <c r="C529" s="81" t="n"/>
      <c r="D529" s="81" t="n"/>
      <c r="E529" s="16">
        <f>IF($A529="","",$A529&amp;"|"&amp;DAY($B529))</f>
        <v/>
      </c>
      <c r="F529" s="16">
        <f>IF($A529="","",IF(COUNTIF(設定!$B$62:$B$201,$A529)=0,"⚠ 查無員編",IF(COUNTIF($E$3:$E$2002,$E529)&gt;1,"⚠ 重複打卡","OK")))</f>
        <v/>
      </c>
    </row>
    <row r="530">
      <c r="A530" s="20" t="n"/>
      <c r="B530" s="18" t="n"/>
      <c r="C530" s="81" t="n"/>
      <c r="D530" s="81" t="n"/>
      <c r="E530" s="16">
        <f>IF($A530="","",$A530&amp;"|"&amp;DAY($B530))</f>
        <v/>
      </c>
      <c r="F530" s="16">
        <f>IF($A530="","",IF(COUNTIF(設定!$B$62:$B$201,$A530)=0,"⚠ 查無員編",IF(COUNTIF($E$3:$E$2002,$E530)&gt;1,"⚠ 重複打卡","OK")))</f>
        <v/>
      </c>
    </row>
    <row r="531">
      <c r="A531" s="20" t="n"/>
      <c r="B531" s="18" t="n"/>
      <c r="C531" s="81" t="n"/>
      <c r="D531" s="81" t="n"/>
      <c r="E531" s="16">
        <f>IF($A531="","",$A531&amp;"|"&amp;DAY($B531))</f>
        <v/>
      </c>
      <c r="F531" s="16">
        <f>IF($A531="","",IF(COUNTIF(設定!$B$62:$B$201,$A531)=0,"⚠ 查無員編",IF(COUNTIF($E$3:$E$2002,$E531)&gt;1,"⚠ 重複打卡","OK")))</f>
        <v/>
      </c>
    </row>
    <row r="532">
      <c r="A532" s="20" t="n"/>
      <c r="B532" s="18" t="n"/>
      <c r="C532" s="81" t="n"/>
      <c r="D532" s="81" t="n"/>
      <c r="E532" s="16">
        <f>IF($A532="","",$A532&amp;"|"&amp;DAY($B532))</f>
        <v/>
      </c>
      <c r="F532" s="16">
        <f>IF($A532="","",IF(COUNTIF(設定!$B$62:$B$201,$A532)=0,"⚠ 查無員編",IF(COUNTIF($E$3:$E$2002,$E532)&gt;1,"⚠ 重複打卡","OK")))</f>
        <v/>
      </c>
    </row>
    <row r="533">
      <c r="A533" s="20" t="n"/>
      <c r="B533" s="18" t="n"/>
      <c r="C533" s="81" t="n"/>
      <c r="D533" s="81" t="n"/>
      <c r="E533" s="16">
        <f>IF($A533="","",$A533&amp;"|"&amp;DAY($B533))</f>
        <v/>
      </c>
      <c r="F533" s="16">
        <f>IF($A533="","",IF(COUNTIF(設定!$B$62:$B$201,$A533)=0,"⚠ 查無員編",IF(COUNTIF($E$3:$E$2002,$E533)&gt;1,"⚠ 重複打卡","OK")))</f>
        <v/>
      </c>
    </row>
    <row r="534">
      <c r="A534" s="20" t="n"/>
      <c r="B534" s="18" t="n"/>
      <c r="C534" s="81" t="n"/>
      <c r="D534" s="81" t="n"/>
      <c r="E534" s="16">
        <f>IF($A534="","",$A534&amp;"|"&amp;DAY($B534))</f>
        <v/>
      </c>
      <c r="F534" s="16">
        <f>IF($A534="","",IF(COUNTIF(設定!$B$62:$B$201,$A534)=0,"⚠ 查無員編",IF(COUNTIF($E$3:$E$2002,$E534)&gt;1,"⚠ 重複打卡","OK")))</f>
        <v/>
      </c>
    </row>
    <row r="535">
      <c r="A535" s="20" t="n"/>
      <c r="B535" s="18" t="n"/>
      <c r="C535" s="81" t="n"/>
      <c r="D535" s="81" t="n"/>
      <c r="E535" s="16">
        <f>IF($A535="","",$A535&amp;"|"&amp;DAY($B535))</f>
        <v/>
      </c>
      <c r="F535" s="16">
        <f>IF($A535="","",IF(COUNTIF(設定!$B$62:$B$201,$A535)=0,"⚠ 查無員編",IF(COUNTIF($E$3:$E$2002,$E535)&gt;1,"⚠ 重複打卡","OK")))</f>
        <v/>
      </c>
    </row>
    <row r="536">
      <c r="A536" s="20" t="n"/>
      <c r="B536" s="18" t="n"/>
      <c r="C536" s="81" t="n"/>
      <c r="D536" s="81" t="n"/>
      <c r="E536" s="16">
        <f>IF($A536="","",$A536&amp;"|"&amp;DAY($B536))</f>
        <v/>
      </c>
      <c r="F536" s="16">
        <f>IF($A536="","",IF(COUNTIF(設定!$B$62:$B$201,$A536)=0,"⚠ 查無員編",IF(COUNTIF($E$3:$E$2002,$E536)&gt;1,"⚠ 重複打卡","OK")))</f>
        <v/>
      </c>
    </row>
    <row r="537">
      <c r="A537" s="20" t="n"/>
      <c r="B537" s="18" t="n"/>
      <c r="C537" s="81" t="n"/>
      <c r="D537" s="81" t="n"/>
      <c r="E537" s="16">
        <f>IF($A537="","",$A537&amp;"|"&amp;DAY($B537))</f>
        <v/>
      </c>
      <c r="F537" s="16">
        <f>IF($A537="","",IF(COUNTIF(設定!$B$62:$B$201,$A537)=0,"⚠ 查無員編",IF(COUNTIF($E$3:$E$2002,$E537)&gt;1,"⚠ 重複打卡","OK")))</f>
        <v/>
      </c>
    </row>
    <row r="538">
      <c r="A538" s="20" t="n"/>
      <c r="B538" s="18" t="n"/>
      <c r="C538" s="81" t="n"/>
      <c r="D538" s="81" t="n"/>
      <c r="E538" s="16">
        <f>IF($A538="","",$A538&amp;"|"&amp;DAY($B538))</f>
        <v/>
      </c>
      <c r="F538" s="16">
        <f>IF($A538="","",IF(COUNTIF(設定!$B$62:$B$201,$A538)=0,"⚠ 查無員編",IF(COUNTIF($E$3:$E$2002,$E538)&gt;1,"⚠ 重複打卡","OK")))</f>
        <v/>
      </c>
    </row>
    <row r="539">
      <c r="A539" s="20" t="n"/>
      <c r="B539" s="18" t="n"/>
      <c r="C539" s="81" t="n"/>
      <c r="D539" s="81" t="n"/>
      <c r="E539" s="16">
        <f>IF($A539="","",$A539&amp;"|"&amp;DAY($B539))</f>
        <v/>
      </c>
      <c r="F539" s="16">
        <f>IF($A539="","",IF(COUNTIF(設定!$B$62:$B$201,$A539)=0,"⚠ 查無員編",IF(COUNTIF($E$3:$E$2002,$E539)&gt;1,"⚠ 重複打卡","OK")))</f>
        <v/>
      </c>
    </row>
    <row r="540">
      <c r="A540" s="20" t="n"/>
      <c r="B540" s="18" t="n"/>
      <c r="C540" s="81" t="n"/>
      <c r="D540" s="81" t="n"/>
      <c r="E540" s="16">
        <f>IF($A540="","",$A540&amp;"|"&amp;DAY($B540))</f>
        <v/>
      </c>
      <c r="F540" s="16">
        <f>IF($A540="","",IF(COUNTIF(設定!$B$62:$B$201,$A540)=0,"⚠ 查無員編",IF(COUNTIF($E$3:$E$2002,$E540)&gt;1,"⚠ 重複打卡","OK")))</f>
        <v/>
      </c>
    </row>
    <row r="541">
      <c r="A541" s="20" t="n"/>
      <c r="B541" s="18" t="n"/>
      <c r="C541" s="81" t="n"/>
      <c r="D541" s="81" t="n"/>
      <c r="E541" s="16">
        <f>IF($A541="","",$A541&amp;"|"&amp;DAY($B541))</f>
        <v/>
      </c>
      <c r="F541" s="16">
        <f>IF($A541="","",IF(COUNTIF(設定!$B$62:$B$201,$A541)=0,"⚠ 查無員編",IF(COUNTIF($E$3:$E$2002,$E541)&gt;1,"⚠ 重複打卡","OK")))</f>
        <v/>
      </c>
    </row>
    <row r="542">
      <c r="A542" s="20" t="n"/>
      <c r="B542" s="18" t="n"/>
      <c r="C542" s="81" t="n"/>
      <c r="D542" s="81" t="n"/>
      <c r="E542" s="16">
        <f>IF($A542="","",$A542&amp;"|"&amp;DAY($B542))</f>
        <v/>
      </c>
      <c r="F542" s="16">
        <f>IF($A542="","",IF(COUNTIF(設定!$B$62:$B$201,$A542)=0,"⚠ 查無員編",IF(COUNTIF($E$3:$E$2002,$E542)&gt;1,"⚠ 重複打卡","OK")))</f>
        <v/>
      </c>
    </row>
    <row r="543">
      <c r="A543" s="20" t="n"/>
      <c r="B543" s="18" t="n"/>
      <c r="C543" s="81" t="n"/>
      <c r="D543" s="81" t="n"/>
      <c r="E543" s="16">
        <f>IF($A543="","",$A543&amp;"|"&amp;DAY($B543))</f>
        <v/>
      </c>
      <c r="F543" s="16">
        <f>IF($A543="","",IF(COUNTIF(設定!$B$62:$B$201,$A543)=0,"⚠ 查無員編",IF(COUNTIF($E$3:$E$2002,$E543)&gt;1,"⚠ 重複打卡","OK")))</f>
        <v/>
      </c>
    </row>
    <row r="544">
      <c r="A544" s="20" t="n"/>
      <c r="B544" s="18" t="n"/>
      <c r="C544" s="81" t="n"/>
      <c r="D544" s="81" t="n"/>
      <c r="E544" s="16">
        <f>IF($A544="","",$A544&amp;"|"&amp;DAY($B544))</f>
        <v/>
      </c>
      <c r="F544" s="16">
        <f>IF($A544="","",IF(COUNTIF(設定!$B$62:$B$201,$A544)=0,"⚠ 查無員編",IF(COUNTIF($E$3:$E$2002,$E544)&gt;1,"⚠ 重複打卡","OK")))</f>
        <v/>
      </c>
    </row>
    <row r="545">
      <c r="A545" s="20" t="n"/>
      <c r="B545" s="18" t="n"/>
      <c r="C545" s="81" t="n"/>
      <c r="D545" s="81" t="n"/>
      <c r="E545" s="16">
        <f>IF($A545="","",$A545&amp;"|"&amp;DAY($B545))</f>
        <v/>
      </c>
      <c r="F545" s="16">
        <f>IF($A545="","",IF(COUNTIF(設定!$B$62:$B$201,$A545)=0,"⚠ 查無員編",IF(COUNTIF($E$3:$E$2002,$E545)&gt;1,"⚠ 重複打卡","OK")))</f>
        <v/>
      </c>
    </row>
    <row r="546">
      <c r="A546" s="20" t="n"/>
      <c r="B546" s="18" t="n"/>
      <c r="C546" s="81" t="n"/>
      <c r="D546" s="81" t="n"/>
      <c r="E546" s="16">
        <f>IF($A546="","",$A546&amp;"|"&amp;DAY($B546))</f>
        <v/>
      </c>
      <c r="F546" s="16">
        <f>IF($A546="","",IF(COUNTIF(設定!$B$62:$B$201,$A546)=0,"⚠ 查無員編",IF(COUNTIF($E$3:$E$2002,$E546)&gt;1,"⚠ 重複打卡","OK")))</f>
        <v/>
      </c>
    </row>
    <row r="547">
      <c r="A547" s="20" t="n"/>
      <c r="B547" s="18" t="n"/>
      <c r="C547" s="81" t="n"/>
      <c r="D547" s="81" t="n"/>
      <c r="E547" s="16">
        <f>IF($A547="","",$A547&amp;"|"&amp;DAY($B547))</f>
        <v/>
      </c>
      <c r="F547" s="16">
        <f>IF($A547="","",IF(COUNTIF(設定!$B$62:$B$201,$A547)=0,"⚠ 查無員編",IF(COUNTIF($E$3:$E$2002,$E547)&gt;1,"⚠ 重複打卡","OK")))</f>
        <v/>
      </c>
    </row>
    <row r="548">
      <c r="A548" s="20" t="n"/>
      <c r="B548" s="18" t="n"/>
      <c r="C548" s="81" t="n"/>
      <c r="D548" s="81" t="n"/>
      <c r="E548" s="16">
        <f>IF($A548="","",$A548&amp;"|"&amp;DAY($B548))</f>
        <v/>
      </c>
      <c r="F548" s="16">
        <f>IF($A548="","",IF(COUNTIF(設定!$B$62:$B$201,$A548)=0,"⚠ 查無員編",IF(COUNTIF($E$3:$E$2002,$E548)&gt;1,"⚠ 重複打卡","OK")))</f>
        <v/>
      </c>
    </row>
    <row r="549">
      <c r="A549" s="20" t="n"/>
      <c r="B549" s="18" t="n"/>
      <c r="C549" s="81" t="n"/>
      <c r="D549" s="81" t="n"/>
      <c r="E549" s="16">
        <f>IF($A549="","",$A549&amp;"|"&amp;DAY($B549))</f>
        <v/>
      </c>
      <c r="F549" s="16">
        <f>IF($A549="","",IF(COUNTIF(設定!$B$62:$B$201,$A549)=0,"⚠ 查無員編",IF(COUNTIF($E$3:$E$2002,$E549)&gt;1,"⚠ 重複打卡","OK")))</f>
        <v/>
      </c>
    </row>
    <row r="550">
      <c r="A550" s="20" t="n"/>
      <c r="B550" s="18" t="n"/>
      <c r="C550" s="81" t="n"/>
      <c r="D550" s="81" t="n"/>
      <c r="E550" s="16">
        <f>IF($A550="","",$A550&amp;"|"&amp;DAY($B550))</f>
        <v/>
      </c>
      <c r="F550" s="16">
        <f>IF($A550="","",IF(COUNTIF(設定!$B$62:$B$201,$A550)=0,"⚠ 查無員編",IF(COUNTIF($E$3:$E$2002,$E550)&gt;1,"⚠ 重複打卡","OK")))</f>
        <v/>
      </c>
    </row>
    <row r="551">
      <c r="A551" s="20" t="n"/>
      <c r="B551" s="18" t="n"/>
      <c r="C551" s="81" t="n"/>
      <c r="D551" s="81" t="n"/>
      <c r="E551" s="16">
        <f>IF($A551="","",$A551&amp;"|"&amp;DAY($B551))</f>
        <v/>
      </c>
      <c r="F551" s="16">
        <f>IF($A551="","",IF(COUNTIF(設定!$B$62:$B$201,$A551)=0,"⚠ 查無員編",IF(COUNTIF($E$3:$E$2002,$E551)&gt;1,"⚠ 重複打卡","OK")))</f>
        <v/>
      </c>
    </row>
    <row r="552">
      <c r="A552" s="20" t="n"/>
      <c r="B552" s="18" t="n"/>
      <c r="C552" s="81" t="n"/>
      <c r="D552" s="81" t="n"/>
      <c r="E552" s="16">
        <f>IF($A552="","",$A552&amp;"|"&amp;DAY($B552))</f>
        <v/>
      </c>
      <c r="F552" s="16">
        <f>IF($A552="","",IF(COUNTIF(設定!$B$62:$B$201,$A552)=0,"⚠ 查無員編",IF(COUNTIF($E$3:$E$2002,$E552)&gt;1,"⚠ 重複打卡","OK")))</f>
        <v/>
      </c>
    </row>
    <row r="553">
      <c r="A553" s="20" t="n"/>
      <c r="B553" s="18" t="n"/>
      <c r="C553" s="81" t="n"/>
      <c r="D553" s="81" t="n"/>
      <c r="E553" s="16">
        <f>IF($A553="","",$A553&amp;"|"&amp;DAY($B553))</f>
        <v/>
      </c>
      <c r="F553" s="16">
        <f>IF($A553="","",IF(COUNTIF(設定!$B$62:$B$201,$A553)=0,"⚠ 查無員編",IF(COUNTIF($E$3:$E$2002,$E553)&gt;1,"⚠ 重複打卡","OK")))</f>
        <v/>
      </c>
    </row>
    <row r="554">
      <c r="A554" s="20" t="n"/>
      <c r="B554" s="18" t="n"/>
      <c r="C554" s="81" t="n"/>
      <c r="D554" s="81" t="n"/>
      <c r="E554" s="16">
        <f>IF($A554="","",$A554&amp;"|"&amp;DAY($B554))</f>
        <v/>
      </c>
      <c r="F554" s="16">
        <f>IF($A554="","",IF(COUNTIF(設定!$B$62:$B$201,$A554)=0,"⚠ 查無員編",IF(COUNTIF($E$3:$E$2002,$E554)&gt;1,"⚠ 重複打卡","OK")))</f>
        <v/>
      </c>
    </row>
    <row r="555">
      <c r="A555" s="20" t="n"/>
      <c r="B555" s="18" t="n"/>
      <c r="C555" s="81" t="n"/>
      <c r="D555" s="81" t="n"/>
      <c r="E555" s="16">
        <f>IF($A555="","",$A555&amp;"|"&amp;DAY($B555))</f>
        <v/>
      </c>
      <c r="F555" s="16">
        <f>IF($A555="","",IF(COUNTIF(設定!$B$62:$B$201,$A555)=0,"⚠ 查無員編",IF(COUNTIF($E$3:$E$2002,$E555)&gt;1,"⚠ 重複打卡","OK")))</f>
        <v/>
      </c>
    </row>
    <row r="556">
      <c r="A556" s="20" t="n"/>
      <c r="B556" s="18" t="n"/>
      <c r="C556" s="81" t="n"/>
      <c r="D556" s="81" t="n"/>
      <c r="E556" s="16">
        <f>IF($A556="","",$A556&amp;"|"&amp;DAY($B556))</f>
        <v/>
      </c>
      <c r="F556" s="16">
        <f>IF($A556="","",IF(COUNTIF(設定!$B$62:$B$201,$A556)=0,"⚠ 查無員編",IF(COUNTIF($E$3:$E$2002,$E556)&gt;1,"⚠ 重複打卡","OK")))</f>
        <v/>
      </c>
    </row>
    <row r="557">
      <c r="A557" s="20" t="n"/>
      <c r="B557" s="18" t="n"/>
      <c r="C557" s="81" t="n"/>
      <c r="D557" s="81" t="n"/>
      <c r="E557" s="16">
        <f>IF($A557="","",$A557&amp;"|"&amp;DAY($B557))</f>
        <v/>
      </c>
      <c r="F557" s="16">
        <f>IF($A557="","",IF(COUNTIF(設定!$B$62:$B$201,$A557)=0,"⚠ 查無員編",IF(COUNTIF($E$3:$E$2002,$E557)&gt;1,"⚠ 重複打卡","OK")))</f>
        <v/>
      </c>
    </row>
    <row r="558">
      <c r="A558" s="20" t="n"/>
      <c r="B558" s="18" t="n"/>
      <c r="C558" s="81" t="n"/>
      <c r="D558" s="81" t="n"/>
      <c r="E558" s="16">
        <f>IF($A558="","",$A558&amp;"|"&amp;DAY($B558))</f>
        <v/>
      </c>
      <c r="F558" s="16">
        <f>IF($A558="","",IF(COUNTIF(設定!$B$62:$B$201,$A558)=0,"⚠ 查無員編",IF(COUNTIF($E$3:$E$2002,$E558)&gt;1,"⚠ 重複打卡","OK")))</f>
        <v/>
      </c>
    </row>
    <row r="559">
      <c r="A559" s="20" t="n"/>
      <c r="B559" s="18" t="n"/>
      <c r="C559" s="81" t="n"/>
      <c r="D559" s="81" t="n"/>
      <c r="E559" s="16">
        <f>IF($A559="","",$A559&amp;"|"&amp;DAY($B559))</f>
        <v/>
      </c>
      <c r="F559" s="16">
        <f>IF($A559="","",IF(COUNTIF(設定!$B$62:$B$201,$A559)=0,"⚠ 查無員編",IF(COUNTIF($E$3:$E$2002,$E559)&gt;1,"⚠ 重複打卡","OK")))</f>
        <v/>
      </c>
    </row>
    <row r="560">
      <c r="A560" s="20" t="n"/>
      <c r="B560" s="18" t="n"/>
      <c r="C560" s="81" t="n"/>
      <c r="D560" s="81" t="n"/>
      <c r="E560" s="16">
        <f>IF($A560="","",$A560&amp;"|"&amp;DAY($B560))</f>
        <v/>
      </c>
      <c r="F560" s="16">
        <f>IF($A560="","",IF(COUNTIF(設定!$B$62:$B$201,$A560)=0,"⚠ 查無員編",IF(COUNTIF($E$3:$E$2002,$E560)&gt;1,"⚠ 重複打卡","OK")))</f>
        <v/>
      </c>
    </row>
    <row r="561">
      <c r="A561" s="20" t="n"/>
      <c r="B561" s="18" t="n"/>
      <c r="C561" s="81" t="n"/>
      <c r="D561" s="81" t="n"/>
      <c r="E561" s="16">
        <f>IF($A561="","",$A561&amp;"|"&amp;DAY($B561))</f>
        <v/>
      </c>
      <c r="F561" s="16">
        <f>IF($A561="","",IF(COUNTIF(設定!$B$62:$B$201,$A561)=0,"⚠ 查無員編",IF(COUNTIF($E$3:$E$2002,$E561)&gt;1,"⚠ 重複打卡","OK")))</f>
        <v/>
      </c>
    </row>
    <row r="562">
      <c r="A562" s="20" t="n"/>
      <c r="B562" s="18" t="n"/>
      <c r="C562" s="81" t="n"/>
      <c r="D562" s="81" t="n"/>
      <c r="E562" s="16">
        <f>IF($A562="","",$A562&amp;"|"&amp;DAY($B562))</f>
        <v/>
      </c>
      <c r="F562" s="16">
        <f>IF($A562="","",IF(COUNTIF(設定!$B$62:$B$201,$A562)=0,"⚠ 查無員編",IF(COUNTIF($E$3:$E$2002,$E562)&gt;1,"⚠ 重複打卡","OK")))</f>
        <v/>
      </c>
    </row>
    <row r="563">
      <c r="A563" s="20" t="n"/>
      <c r="B563" s="18" t="n"/>
      <c r="C563" s="81" t="n"/>
      <c r="D563" s="81" t="n"/>
      <c r="E563" s="16">
        <f>IF($A563="","",$A563&amp;"|"&amp;DAY($B563))</f>
        <v/>
      </c>
      <c r="F563" s="16">
        <f>IF($A563="","",IF(COUNTIF(設定!$B$62:$B$201,$A563)=0,"⚠ 查無員編",IF(COUNTIF($E$3:$E$2002,$E563)&gt;1,"⚠ 重複打卡","OK")))</f>
        <v/>
      </c>
    </row>
    <row r="564">
      <c r="A564" s="20" t="n"/>
      <c r="B564" s="18" t="n"/>
      <c r="C564" s="81" t="n"/>
      <c r="D564" s="81" t="n"/>
      <c r="E564" s="16">
        <f>IF($A564="","",$A564&amp;"|"&amp;DAY($B564))</f>
        <v/>
      </c>
      <c r="F564" s="16">
        <f>IF($A564="","",IF(COUNTIF(設定!$B$62:$B$201,$A564)=0,"⚠ 查無員編",IF(COUNTIF($E$3:$E$2002,$E564)&gt;1,"⚠ 重複打卡","OK")))</f>
        <v/>
      </c>
    </row>
    <row r="565">
      <c r="A565" s="20" t="n"/>
      <c r="B565" s="18" t="n"/>
      <c r="C565" s="81" t="n"/>
      <c r="D565" s="81" t="n"/>
      <c r="E565" s="16">
        <f>IF($A565="","",$A565&amp;"|"&amp;DAY($B565))</f>
        <v/>
      </c>
      <c r="F565" s="16">
        <f>IF($A565="","",IF(COUNTIF(設定!$B$62:$B$201,$A565)=0,"⚠ 查無員編",IF(COUNTIF($E$3:$E$2002,$E565)&gt;1,"⚠ 重複打卡","OK")))</f>
        <v/>
      </c>
    </row>
    <row r="566">
      <c r="A566" s="20" t="n"/>
      <c r="B566" s="18" t="n"/>
      <c r="C566" s="81" t="n"/>
      <c r="D566" s="81" t="n"/>
      <c r="E566" s="16">
        <f>IF($A566="","",$A566&amp;"|"&amp;DAY($B566))</f>
        <v/>
      </c>
      <c r="F566" s="16">
        <f>IF($A566="","",IF(COUNTIF(設定!$B$62:$B$201,$A566)=0,"⚠ 查無員編",IF(COUNTIF($E$3:$E$2002,$E566)&gt;1,"⚠ 重複打卡","OK")))</f>
        <v/>
      </c>
    </row>
    <row r="567">
      <c r="A567" s="20" t="n"/>
      <c r="B567" s="18" t="n"/>
      <c r="C567" s="81" t="n"/>
      <c r="D567" s="81" t="n"/>
      <c r="E567" s="16">
        <f>IF($A567="","",$A567&amp;"|"&amp;DAY($B567))</f>
        <v/>
      </c>
      <c r="F567" s="16">
        <f>IF($A567="","",IF(COUNTIF(設定!$B$62:$B$201,$A567)=0,"⚠ 查無員編",IF(COUNTIF($E$3:$E$2002,$E567)&gt;1,"⚠ 重複打卡","OK")))</f>
        <v/>
      </c>
    </row>
    <row r="568">
      <c r="A568" s="20" t="n"/>
      <c r="B568" s="18" t="n"/>
      <c r="C568" s="81" t="n"/>
      <c r="D568" s="81" t="n"/>
      <c r="E568" s="16">
        <f>IF($A568="","",$A568&amp;"|"&amp;DAY($B568))</f>
        <v/>
      </c>
      <c r="F568" s="16">
        <f>IF($A568="","",IF(COUNTIF(設定!$B$62:$B$201,$A568)=0,"⚠ 查無員編",IF(COUNTIF($E$3:$E$2002,$E568)&gt;1,"⚠ 重複打卡","OK")))</f>
        <v/>
      </c>
    </row>
    <row r="569">
      <c r="A569" s="20" t="n"/>
      <c r="B569" s="18" t="n"/>
      <c r="C569" s="81" t="n"/>
      <c r="D569" s="81" t="n"/>
      <c r="E569" s="16">
        <f>IF($A569="","",$A569&amp;"|"&amp;DAY($B569))</f>
        <v/>
      </c>
      <c r="F569" s="16">
        <f>IF($A569="","",IF(COUNTIF(設定!$B$62:$B$201,$A569)=0,"⚠ 查無員編",IF(COUNTIF($E$3:$E$2002,$E569)&gt;1,"⚠ 重複打卡","OK")))</f>
        <v/>
      </c>
    </row>
    <row r="570">
      <c r="A570" s="20" t="n"/>
      <c r="B570" s="18" t="n"/>
      <c r="C570" s="81" t="n"/>
      <c r="D570" s="81" t="n"/>
      <c r="E570" s="16">
        <f>IF($A570="","",$A570&amp;"|"&amp;DAY($B570))</f>
        <v/>
      </c>
      <c r="F570" s="16">
        <f>IF($A570="","",IF(COUNTIF(設定!$B$62:$B$201,$A570)=0,"⚠ 查無員編",IF(COUNTIF($E$3:$E$2002,$E570)&gt;1,"⚠ 重複打卡","OK")))</f>
        <v/>
      </c>
    </row>
    <row r="571">
      <c r="A571" s="20" t="n"/>
      <c r="B571" s="18" t="n"/>
      <c r="C571" s="81" t="n"/>
      <c r="D571" s="81" t="n"/>
      <c r="E571" s="16">
        <f>IF($A571="","",$A571&amp;"|"&amp;DAY($B571))</f>
        <v/>
      </c>
      <c r="F571" s="16">
        <f>IF($A571="","",IF(COUNTIF(設定!$B$62:$B$201,$A571)=0,"⚠ 查無員編",IF(COUNTIF($E$3:$E$2002,$E571)&gt;1,"⚠ 重複打卡","OK")))</f>
        <v/>
      </c>
    </row>
    <row r="572">
      <c r="A572" s="20" t="n"/>
      <c r="B572" s="18" t="n"/>
      <c r="C572" s="81" t="n"/>
      <c r="D572" s="81" t="n"/>
      <c r="E572" s="16">
        <f>IF($A572="","",$A572&amp;"|"&amp;DAY($B572))</f>
        <v/>
      </c>
      <c r="F572" s="16">
        <f>IF($A572="","",IF(COUNTIF(設定!$B$62:$B$201,$A572)=0,"⚠ 查無員編",IF(COUNTIF($E$3:$E$2002,$E572)&gt;1,"⚠ 重複打卡","OK")))</f>
        <v/>
      </c>
    </row>
    <row r="573">
      <c r="A573" s="20" t="n"/>
      <c r="B573" s="18" t="n"/>
      <c r="C573" s="81" t="n"/>
      <c r="D573" s="81" t="n"/>
      <c r="E573" s="16">
        <f>IF($A573="","",$A573&amp;"|"&amp;DAY($B573))</f>
        <v/>
      </c>
      <c r="F573" s="16">
        <f>IF($A573="","",IF(COUNTIF(設定!$B$62:$B$201,$A573)=0,"⚠ 查無員編",IF(COUNTIF($E$3:$E$2002,$E573)&gt;1,"⚠ 重複打卡","OK")))</f>
        <v/>
      </c>
    </row>
    <row r="574">
      <c r="A574" s="20" t="n"/>
      <c r="B574" s="18" t="n"/>
      <c r="C574" s="81" t="n"/>
      <c r="D574" s="81" t="n"/>
      <c r="E574" s="16">
        <f>IF($A574="","",$A574&amp;"|"&amp;DAY($B574))</f>
        <v/>
      </c>
      <c r="F574" s="16">
        <f>IF($A574="","",IF(COUNTIF(設定!$B$62:$B$201,$A574)=0,"⚠ 查無員編",IF(COUNTIF($E$3:$E$2002,$E574)&gt;1,"⚠ 重複打卡","OK")))</f>
        <v/>
      </c>
    </row>
    <row r="575">
      <c r="A575" s="20" t="n"/>
      <c r="B575" s="18" t="n"/>
      <c r="C575" s="81" t="n"/>
      <c r="D575" s="81" t="n"/>
      <c r="E575" s="16">
        <f>IF($A575="","",$A575&amp;"|"&amp;DAY($B575))</f>
        <v/>
      </c>
      <c r="F575" s="16">
        <f>IF($A575="","",IF(COUNTIF(設定!$B$62:$B$201,$A575)=0,"⚠ 查無員編",IF(COUNTIF($E$3:$E$2002,$E575)&gt;1,"⚠ 重複打卡","OK")))</f>
        <v/>
      </c>
    </row>
    <row r="576">
      <c r="A576" s="20" t="n"/>
      <c r="B576" s="18" t="n"/>
      <c r="C576" s="81" t="n"/>
      <c r="D576" s="81" t="n"/>
      <c r="E576" s="16">
        <f>IF($A576="","",$A576&amp;"|"&amp;DAY($B576))</f>
        <v/>
      </c>
      <c r="F576" s="16">
        <f>IF($A576="","",IF(COUNTIF(設定!$B$62:$B$201,$A576)=0,"⚠ 查無員編",IF(COUNTIF($E$3:$E$2002,$E576)&gt;1,"⚠ 重複打卡","OK")))</f>
        <v/>
      </c>
    </row>
    <row r="577">
      <c r="A577" s="20" t="n"/>
      <c r="B577" s="18" t="n"/>
      <c r="C577" s="81" t="n"/>
      <c r="D577" s="81" t="n"/>
      <c r="E577" s="16">
        <f>IF($A577="","",$A577&amp;"|"&amp;DAY($B577))</f>
        <v/>
      </c>
      <c r="F577" s="16">
        <f>IF($A577="","",IF(COUNTIF(設定!$B$62:$B$201,$A577)=0,"⚠ 查無員編",IF(COUNTIF($E$3:$E$2002,$E577)&gt;1,"⚠ 重複打卡","OK")))</f>
        <v/>
      </c>
    </row>
    <row r="578">
      <c r="A578" s="20" t="n"/>
      <c r="B578" s="18" t="n"/>
      <c r="C578" s="81" t="n"/>
      <c r="D578" s="81" t="n"/>
      <c r="E578" s="16">
        <f>IF($A578="","",$A578&amp;"|"&amp;DAY($B578))</f>
        <v/>
      </c>
      <c r="F578" s="16">
        <f>IF($A578="","",IF(COUNTIF(設定!$B$62:$B$201,$A578)=0,"⚠ 查無員編",IF(COUNTIF($E$3:$E$2002,$E578)&gt;1,"⚠ 重複打卡","OK")))</f>
        <v/>
      </c>
    </row>
    <row r="579">
      <c r="A579" s="20" t="n"/>
      <c r="B579" s="18" t="n"/>
      <c r="C579" s="81" t="n"/>
      <c r="D579" s="81" t="n"/>
      <c r="E579" s="16">
        <f>IF($A579="","",$A579&amp;"|"&amp;DAY($B579))</f>
        <v/>
      </c>
      <c r="F579" s="16">
        <f>IF($A579="","",IF(COUNTIF(設定!$B$62:$B$201,$A579)=0,"⚠ 查無員編",IF(COUNTIF($E$3:$E$2002,$E579)&gt;1,"⚠ 重複打卡","OK")))</f>
        <v/>
      </c>
    </row>
    <row r="580">
      <c r="A580" s="20" t="n"/>
      <c r="B580" s="18" t="n"/>
      <c r="C580" s="81" t="n"/>
      <c r="D580" s="81" t="n"/>
      <c r="E580" s="16">
        <f>IF($A580="","",$A580&amp;"|"&amp;DAY($B580))</f>
        <v/>
      </c>
      <c r="F580" s="16">
        <f>IF($A580="","",IF(COUNTIF(設定!$B$62:$B$201,$A580)=0,"⚠ 查無員編",IF(COUNTIF($E$3:$E$2002,$E580)&gt;1,"⚠ 重複打卡","OK")))</f>
        <v/>
      </c>
    </row>
    <row r="581">
      <c r="A581" s="20" t="n"/>
      <c r="B581" s="18" t="n"/>
      <c r="C581" s="81" t="n"/>
      <c r="D581" s="81" t="n"/>
      <c r="E581" s="16">
        <f>IF($A581="","",$A581&amp;"|"&amp;DAY($B581))</f>
        <v/>
      </c>
      <c r="F581" s="16">
        <f>IF($A581="","",IF(COUNTIF(設定!$B$62:$B$201,$A581)=0,"⚠ 查無員編",IF(COUNTIF($E$3:$E$2002,$E581)&gt;1,"⚠ 重複打卡","OK")))</f>
        <v/>
      </c>
    </row>
    <row r="582">
      <c r="A582" s="20" t="n"/>
      <c r="B582" s="18" t="n"/>
      <c r="C582" s="81" t="n"/>
      <c r="D582" s="81" t="n"/>
      <c r="E582" s="16">
        <f>IF($A582="","",$A582&amp;"|"&amp;DAY($B582))</f>
        <v/>
      </c>
      <c r="F582" s="16">
        <f>IF($A582="","",IF(COUNTIF(設定!$B$62:$B$201,$A582)=0,"⚠ 查無員編",IF(COUNTIF($E$3:$E$2002,$E582)&gt;1,"⚠ 重複打卡","OK")))</f>
        <v/>
      </c>
    </row>
    <row r="583">
      <c r="A583" s="20" t="n"/>
      <c r="B583" s="18" t="n"/>
      <c r="C583" s="81" t="n"/>
      <c r="D583" s="81" t="n"/>
      <c r="E583" s="16">
        <f>IF($A583="","",$A583&amp;"|"&amp;DAY($B583))</f>
        <v/>
      </c>
      <c r="F583" s="16">
        <f>IF($A583="","",IF(COUNTIF(設定!$B$62:$B$201,$A583)=0,"⚠ 查無員編",IF(COUNTIF($E$3:$E$2002,$E583)&gt;1,"⚠ 重複打卡","OK")))</f>
        <v/>
      </c>
    </row>
    <row r="584">
      <c r="A584" s="20" t="n"/>
      <c r="B584" s="18" t="n"/>
      <c r="C584" s="81" t="n"/>
      <c r="D584" s="81" t="n"/>
      <c r="E584" s="16">
        <f>IF($A584="","",$A584&amp;"|"&amp;DAY($B584))</f>
        <v/>
      </c>
      <c r="F584" s="16">
        <f>IF($A584="","",IF(COUNTIF(設定!$B$62:$B$201,$A584)=0,"⚠ 查無員編",IF(COUNTIF($E$3:$E$2002,$E584)&gt;1,"⚠ 重複打卡","OK")))</f>
        <v/>
      </c>
    </row>
    <row r="585">
      <c r="A585" s="20" t="n"/>
      <c r="B585" s="18" t="n"/>
      <c r="C585" s="81" t="n"/>
      <c r="D585" s="81" t="n"/>
      <c r="E585" s="16">
        <f>IF($A585="","",$A585&amp;"|"&amp;DAY($B585))</f>
        <v/>
      </c>
      <c r="F585" s="16">
        <f>IF($A585="","",IF(COUNTIF(設定!$B$62:$B$201,$A585)=0,"⚠ 查無員編",IF(COUNTIF($E$3:$E$2002,$E585)&gt;1,"⚠ 重複打卡","OK")))</f>
        <v/>
      </c>
    </row>
    <row r="586">
      <c r="A586" s="20" t="n"/>
      <c r="B586" s="18" t="n"/>
      <c r="C586" s="81" t="n"/>
      <c r="D586" s="81" t="n"/>
      <c r="E586" s="16">
        <f>IF($A586="","",$A586&amp;"|"&amp;DAY($B586))</f>
        <v/>
      </c>
      <c r="F586" s="16">
        <f>IF($A586="","",IF(COUNTIF(設定!$B$62:$B$201,$A586)=0,"⚠ 查無員編",IF(COUNTIF($E$3:$E$2002,$E586)&gt;1,"⚠ 重複打卡","OK")))</f>
        <v/>
      </c>
    </row>
    <row r="587">
      <c r="A587" s="20" t="n"/>
      <c r="B587" s="18" t="n"/>
      <c r="C587" s="81" t="n"/>
      <c r="D587" s="81" t="n"/>
      <c r="E587" s="16">
        <f>IF($A587="","",$A587&amp;"|"&amp;DAY($B587))</f>
        <v/>
      </c>
      <c r="F587" s="16">
        <f>IF($A587="","",IF(COUNTIF(設定!$B$62:$B$201,$A587)=0,"⚠ 查無員編",IF(COUNTIF($E$3:$E$2002,$E587)&gt;1,"⚠ 重複打卡","OK")))</f>
        <v/>
      </c>
    </row>
    <row r="588">
      <c r="A588" s="20" t="n"/>
      <c r="B588" s="18" t="n"/>
      <c r="C588" s="81" t="n"/>
      <c r="D588" s="81" t="n"/>
      <c r="E588" s="16">
        <f>IF($A588="","",$A588&amp;"|"&amp;DAY($B588))</f>
        <v/>
      </c>
      <c r="F588" s="16">
        <f>IF($A588="","",IF(COUNTIF(設定!$B$62:$B$201,$A588)=0,"⚠ 查無員編",IF(COUNTIF($E$3:$E$2002,$E588)&gt;1,"⚠ 重複打卡","OK")))</f>
        <v/>
      </c>
    </row>
    <row r="589">
      <c r="A589" s="20" t="n"/>
      <c r="B589" s="18" t="n"/>
      <c r="C589" s="81" t="n"/>
      <c r="D589" s="81" t="n"/>
      <c r="E589" s="16">
        <f>IF($A589="","",$A589&amp;"|"&amp;DAY($B589))</f>
        <v/>
      </c>
      <c r="F589" s="16">
        <f>IF($A589="","",IF(COUNTIF(設定!$B$62:$B$201,$A589)=0,"⚠ 查無員編",IF(COUNTIF($E$3:$E$2002,$E589)&gt;1,"⚠ 重複打卡","OK")))</f>
        <v/>
      </c>
    </row>
    <row r="590">
      <c r="A590" s="20" t="n"/>
      <c r="B590" s="18" t="n"/>
      <c r="C590" s="81" t="n"/>
      <c r="D590" s="81" t="n"/>
      <c r="E590" s="16">
        <f>IF($A590="","",$A590&amp;"|"&amp;DAY($B590))</f>
        <v/>
      </c>
      <c r="F590" s="16">
        <f>IF($A590="","",IF(COUNTIF(設定!$B$62:$B$201,$A590)=0,"⚠ 查無員編",IF(COUNTIF($E$3:$E$2002,$E590)&gt;1,"⚠ 重複打卡","OK")))</f>
        <v/>
      </c>
    </row>
    <row r="591">
      <c r="A591" s="20" t="n"/>
      <c r="B591" s="18" t="n"/>
      <c r="C591" s="81" t="n"/>
      <c r="D591" s="81" t="n"/>
      <c r="E591" s="16">
        <f>IF($A591="","",$A591&amp;"|"&amp;DAY($B591))</f>
        <v/>
      </c>
      <c r="F591" s="16">
        <f>IF($A591="","",IF(COUNTIF(設定!$B$62:$B$201,$A591)=0,"⚠ 查無員編",IF(COUNTIF($E$3:$E$2002,$E591)&gt;1,"⚠ 重複打卡","OK")))</f>
        <v/>
      </c>
    </row>
    <row r="592">
      <c r="A592" s="20" t="n"/>
      <c r="B592" s="18" t="n"/>
      <c r="C592" s="81" t="n"/>
      <c r="D592" s="81" t="n"/>
      <c r="E592" s="16">
        <f>IF($A592="","",$A592&amp;"|"&amp;DAY($B592))</f>
        <v/>
      </c>
      <c r="F592" s="16">
        <f>IF($A592="","",IF(COUNTIF(設定!$B$62:$B$201,$A592)=0,"⚠ 查無員編",IF(COUNTIF($E$3:$E$2002,$E592)&gt;1,"⚠ 重複打卡","OK")))</f>
        <v/>
      </c>
    </row>
    <row r="593">
      <c r="A593" s="20" t="n"/>
      <c r="B593" s="18" t="n"/>
      <c r="C593" s="81" t="n"/>
      <c r="D593" s="81" t="n"/>
      <c r="E593" s="16">
        <f>IF($A593="","",$A593&amp;"|"&amp;DAY($B593))</f>
        <v/>
      </c>
      <c r="F593" s="16">
        <f>IF($A593="","",IF(COUNTIF(設定!$B$62:$B$201,$A593)=0,"⚠ 查無員編",IF(COUNTIF($E$3:$E$2002,$E593)&gt;1,"⚠ 重複打卡","OK")))</f>
        <v/>
      </c>
    </row>
    <row r="594">
      <c r="A594" s="20" t="n"/>
      <c r="B594" s="18" t="n"/>
      <c r="C594" s="81" t="n"/>
      <c r="D594" s="81" t="n"/>
      <c r="E594" s="16">
        <f>IF($A594="","",$A594&amp;"|"&amp;DAY($B594))</f>
        <v/>
      </c>
      <c r="F594" s="16">
        <f>IF($A594="","",IF(COUNTIF(設定!$B$62:$B$201,$A594)=0,"⚠ 查無員編",IF(COUNTIF($E$3:$E$2002,$E594)&gt;1,"⚠ 重複打卡","OK")))</f>
        <v/>
      </c>
    </row>
    <row r="595">
      <c r="A595" s="20" t="n"/>
      <c r="B595" s="18" t="n"/>
      <c r="C595" s="81" t="n"/>
      <c r="D595" s="81" t="n"/>
      <c r="E595" s="16">
        <f>IF($A595="","",$A595&amp;"|"&amp;DAY($B595))</f>
        <v/>
      </c>
      <c r="F595" s="16">
        <f>IF($A595="","",IF(COUNTIF(設定!$B$62:$B$201,$A595)=0,"⚠ 查無員編",IF(COUNTIF($E$3:$E$2002,$E595)&gt;1,"⚠ 重複打卡","OK")))</f>
        <v/>
      </c>
    </row>
    <row r="596">
      <c r="A596" s="20" t="n"/>
      <c r="B596" s="18" t="n"/>
      <c r="C596" s="81" t="n"/>
      <c r="D596" s="81" t="n"/>
      <c r="E596" s="16">
        <f>IF($A596="","",$A596&amp;"|"&amp;DAY($B596))</f>
        <v/>
      </c>
      <c r="F596" s="16">
        <f>IF($A596="","",IF(COUNTIF(設定!$B$62:$B$201,$A596)=0,"⚠ 查無員編",IF(COUNTIF($E$3:$E$2002,$E596)&gt;1,"⚠ 重複打卡","OK")))</f>
        <v/>
      </c>
    </row>
    <row r="597">
      <c r="A597" s="20" t="n"/>
      <c r="B597" s="18" t="n"/>
      <c r="C597" s="81" t="n"/>
      <c r="D597" s="81" t="n"/>
      <c r="E597" s="16">
        <f>IF($A597="","",$A597&amp;"|"&amp;DAY($B597))</f>
        <v/>
      </c>
      <c r="F597" s="16">
        <f>IF($A597="","",IF(COUNTIF(設定!$B$62:$B$201,$A597)=0,"⚠ 查無員編",IF(COUNTIF($E$3:$E$2002,$E597)&gt;1,"⚠ 重複打卡","OK")))</f>
        <v/>
      </c>
    </row>
    <row r="598">
      <c r="A598" s="20" t="n"/>
      <c r="B598" s="18" t="n"/>
      <c r="C598" s="81" t="n"/>
      <c r="D598" s="81" t="n"/>
      <c r="E598" s="16">
        <f>IF($A598="","",$A598&amp;"|"&amp;DAY($B598))</f>
        <v/>
      </c>
      <c r="F598" s="16">
        <f>IF($A598="","",IF(COUNTIF(設定!$B$62:$B$201,$A598)=0,"⚠ 查無員編",IF(COUNTIF($E$3:$E$2002,$E598)&gt;1,"⚠ 重複打卡","OK")))</f>
        <v/>
      </c>
    </row>
    <row r="599">
      <c r="A599" s="20" t="n"/>
      <c r="B599" s="18" t="n"/>
      <c r="C599" s="81" t="n"/>
      <c r="D599" s="81" t="n"/>
      <c r="E599" s="16">
        <f>IF($A599="","",$A599&amp;"|"&amp;DAY($B599))</f>
        <v/>
      </c>
      <c r="F599" s="16">
        <f>IF($A599="","",IF(COUNTIF(設定!$B$62:$B$201,$A599)=0,"⚠ 查無員編",IF(COUNTIF($E$3:$E$2002,$E599)&gt;1,"⚠ 重複打卡","OK")))</f>
        <v/>
      </c>
    </row>
    <row r="600">
      <c r="A600" s="20" t="n"/>
      <c r="B600" s="18" t="n"/>
      <c r="C600" s="81" t="n"/>
      <c r="D600" s="81" t="n"/>
      <c r="E600" s="16">
        <f>IF($A600="","",$A600&amp;"|"&amp;DAY($B600))</f>
        <v/>
      </c>
      <c r="F600" s="16">
        <f>IF($A600="","",IF(COUNTIF(設定!$B$62:$B$201,$A600)=0,"⚠ 查無員編",IF(COUNTIF($E$3:$E$2002,$E600)&gt;1,"⚠ 重複打卡","OK")))</f>
        <v/>
      </c>
    </row>
    <row r="601">
      <c r="A601" s="20" t="n"/>
      <c r="B601" s="18" t="n"/>
      <c r="C601" s="81" t="n"/>
      <c r="D601" s="81" t="n"/>
      <c r="E601" s="16">
        <f>IF($A601="","",$A601&amp;"|"&amp;DAY($B601))</f>
        <v/>
      </c>
      <c r="F601" s="16">
        <f>IF($A601="","",IF(COUNTIF(設定!$B$62:$B$201,$A601)=0,"⚠ 查無員編",IF(COUNTIF($E$3:$E$2002,$E601)&gt;1,"⚠ 重複打卡","OK")))</f>
        <v/>
      </c>
    </row>
    <row r="602">
      <c r="A602" s="20" t="n"/>
      <c r="B602" s="18" t="n"/>
      <c r="C602" s="81" t="n"/>
      <c r="D602" s="81" t="n"/>
      <c r="E602" s="16">
        <f>IF($A602="","",$A602&amp;"|"&amp;DAY($B602))</f>
        <v/>
      </c>
      <c r="F602" s="16">
        <f>IF($A602="","",IF(COUNTIF(設定!$B$62:$B$201,$A602)=0,"⚠ 查無員編",IF(COUNTIF($E$3:$E$2002,$E602)&gt;1,"⚠ 重複打卡","OK")))</f>
        <v/>
      </c>
    </row>
    <row r="603">
      <c r="A603" s="20" t="n"/>
      <c r="B603" s="18" t="n"/>
      <c r="C603" s="81" t="n"/>
      <c r="D603" s="81" t="n"/>
      <c r="E603" s="16">
        <f>IF($A603="","",$A603&amp;"|"&amp;DAY($B603))</f>
        <v/>
      </c>
      <c r="F603" s="16">
        <f>IF($A603="","",IF(COUNTIF(設定!$B$62:$B$201,$A603)=0,"⚠ 查無員編",IF(COUNTIF($E$3:$E$2002,$E603)&gt;1,"⚠ 重複打卡","OK")))</f>
        <v/>
      </c>
    </row>
    <row r="604">
      <c r="A604" s="20" t="n"/>
      <c r="B604" s="18" t="n"/>
      <c r="C604" s="81" t="n"/>
      <c r="D604" s="81" t="n"/>
      <c r="E604" s="16">
        <f>IF($A604="","",$A604&amp;"|"&amp;DAY($B604))</f>
        <v/>
      </c>
      <c r="F604" s="16">
        <f>IF($A604="","",IF(COUNTIF(設定!$B$62:$B$201,$A604)=0,"⚠ 查無員編",IF(COUNTIF($E$3:$E$2002,$E604)&gt;1,"⚠ 重複打卡","OK")))</f>
        <v/>
      </c>
    </row>
    <row r="605">
      <c r="A605" s="20" t="n"/>
      <c r="B605" s="18" t="n"/>
      <c r="C605" s="81" t="n"/>
      <c r="D605" s="81" t="n"/>
      <c r="E605" s="16">
        <f>IF($A605="","",$A605&amp;"|"&amp;DAY($B605))</f>
        <v/>
      </c>
      <c r="F605" s="16">
        <f>IF($A605="","",IF(COUNTIF(設定!$B$62:$B$201,$A605)=0,"⚠ 查無員編",IF(COUNTIF($E$3:$E$2002,$E605)&gt;1,"⚠ 重複打卡","OK")))</f>
        <v/>
      </c>
    </row>
    <row r="606">
      <c r="A606" s="20" t="n"/>
      <c r="B606" s="18" t="n"/>
      <c r="C606" s="81" t="n"/>
      <c r="D606" s="81" t="n"/>
      <c r="E606" s="16">
        <f>IF($A606="","",$A606&amp;"|"&amp;DAY($B606))</f>
        <v/>
      </c>
      <c r="F606" s="16">
        <f>IF($A606="","",IF(COUNTIF(設定!$B$62:$B$201,$A606)=0,"⚠ 查無員編",IF(COUNTIF($E$3:$E$2002,$E606)&gt;1,"⚠ 重複打卡","OK")))</f>
        <v/>
      </c>
    </row>
    <row r="607">
      <c r="A607" s="20" t="n"/>
      <c r="B607" s="18" t="n"/>
      <c r="C607" s="81" t="n"/>
      <c r="D607" s="81" t="n"/>
      <c r="E607" s="16">
        <f>IF($A607="","",$A607&amp;"|"&amp;DAY($B607))</f>
        <v/>
      </c>
      <c r="F607" s="16">
        <f>IF($A607="","",IF(COUNTIF(設定!$B$62:$B$201,$A607)=0,"⚠ 查無員編",IF(COUNTIF($E$3:$E$2002,$E607)&gt;1,"⚠ 重複打卡","OK")))</f>
        <v/>
      </c>
    </row>
    <row r="608">
      <c r="A608" s="20" t="n"/>
      <c r="B608" s="18" t="n"/>
      <c r="C608" s="81" t="n"/>
      <c r="D608" s="81" t="n"/>
      <c r="E608" s="16">
        <f>IF($A608="","",$A608&amp;"|"&amp;DAY($B608))</f>
        <v/>
      </c>
      <c r="F608" s="16">
        <f>IF($A608="","",IF(COUNTIF(設定!$B$62:$B$201,$A608)=0,"⚠ 查無員編",IF(COUNTIF($E$3:$E$2002,$E608)&gt;1,"⚠ 重複打卡","OK")))</f>
        <v/>
      </c>
    </row>
    <row r="609">
      <c r="A609" s="20" t="n"/>
      <c r="B609" s="18" t="n"/>
      <c r="C609" s="81" t="n"/>
      <c r="D609" s="81" t="n"/>
      <c r="E609" s="16">
        <f>IF($A609="","",$A609&amp;"|"&amp;DAY($B609))</f>
        <v/>
      </c>
      <c r="F609" s="16">
        <f>IF($A609="","",IF(COUNTIF(設定!$B$62:$B$201,$A609)=0,"⚠ 查無員編",IF(COUNTIF($E$3:$E$2002,$E609)&gt;1,"⚠ 重複打卡","OK")))</f>
        <v/>
      </c>
    </row>
    <row r="610">
      <c r="A610" s="20" t="n"/>
      <c r="B610" s="18" t="n"/>
      <c r="C610" s="81" t="n"/>
      <c r="D610" s="81" t="n"/>
      <c r="E610" s="16">
        <f>IF($A610="","",$A610&amp;"|"&amp;DAY($B610))</f>
        <v/>
      </c>
      <c r="F610" s="16">
        <f>IF($A610="","",IF(COUNTIF(設定!$B$62:$B$201,$A610)=0,"⚠ 查無員編",IF(COUNTIF($E$3:$E$2002,$E610)&gt;1,"⚠ 重複打卡","OK")))</f>
        <v/>
      </c>
    </row>
    <row r="611">
      <c r="A611" s="20" t="n"/>
      <c r="B611" s="18" t="n"/>
      <c r="C611" s="81" t="n"/>
      <c r="D611" s="81" t="n"/>
      <c r="E611" s="16">
        <f>IF($A611="","",$A611&amp;"|"&amp;DAY($B611))</f>
        <v/>
      </c>
      <c r="F611" s="16">
        <f>IF($A611="","",IF(COUNTIF(設定!$B$62:$B$201,$A611)=0,"⚠ 查無員編",IF(COUNTIF($E$3:$E$2002,$E611)&gt;1,"⚠ 重複打卡","OK")))</f>
        <v/>
      </c>
    </row>
    <row r="612">
      <c r="A612" s="20" t="n"/>
      <c r="B612" s="18" t="n"/>
      <c r="C612" s="81" t="n"/>
      <c r="D612" s="81" t="n"/>
      <c r="E612" s="16">
        <f>IF($A612="","",$A612&amp;"|"&amp;DAY($B612))</f>
        <v/>
      </c>
      <c r="F612" s="16">
        <f>IF($A612="","",IF(COUNTIF(設定!$B$62:$B$201,$A612)=0,"⚠ 查無員編",IF(COUNTIF($E$3:$E$2002,$E612)&gt;1,"⚠ 重複打卡","OK")))</f>
        <v/>
      </c>
    </row>
    <row r="613">
      <c r="A613" s="20" t="n"/>
      <c r="B613" s="18" t="n"/>
      <c r="C613" s="81" t="n"/>
      <c r="D613" s="81" t="n"/>
      <c r="E613" s="16">
        <f>IF($A613="","",$A613&amp;"|"&amp;DAY($B613))</f>
        <v/>
      </c>
      <c r="F613" s="16">
        <f>IF($A613="","",IF(COUNTIF(設定!$B$62:$B$201,$A613)=0,"⚠ 查無員編",IF(COUNTIF($E$3:$E$2002,$E613)&gt;1,"⚠ 重複打卡","OK")))</f>
        <v/>
      </c>
    </row>
    <row r="614">
      <c r="A614" s="20" t="n"/>
      <c r="B614" s="18" t="n"/>
      <c r="C614" s="81" t="n"/>
      <c r="D614" s="81" t="n"/>
      <c r="E614" s="16">
        <f>IF($A614="","",$A614&amp;"|"&amp;DAY($B614))</f>
        <v/>
      </c>
      <c r="F614" s="16">
        <f>IF($A614="","",IF(COUNTIF(設定!$B$62:$B$201,$A614)=0,"⚠ 查無員編",IF(COUNTIF($E$3:$E$2002,$E614)&gt;1,"⚠ 重複打卡","OK")))</f>
        <v/>
      </c>
    </row>
    <row r="615">
      <c r="A615" s="20" t="n"/>
      <c r="B615" s="18" t="n"/>
      <c r="C615" s="81" t="n"/>
      <c r="D615" s="81" t="n"/>
      <c r="E615" s="16">
        <f>IF($A615="","",$A615&amp;"|"&amp;DAY($B615))</f>
        <v/>
      </c>
      <c r="F615" s="16">
        <f>IF($A615="","",IF(COUNTIF(設定!$B$62:$B$201,$A615)=0,"⚠ 查無員編",IF(COUNTIF($E$3:$E$2002,$E615)&gt;1,"⚠ 重複打卡","OK")))</f>
        <v/>
      </c>
    </row>
    <row r="616">
      <c r="A616" s="20" t="n"/>
      <c r="B616" s="18" t="n"/>
      <c r="C616" s="81" t="n"/>
      <c r="D616" s="81" t="n"/>
      <c r="E616" s="16">
        <f>IF($A616="","",$A616&amp;"|"&amp;DAY($B616))</f>
        <v/>
      </c>
      <c r="F616" s="16">
        <f>IF($A616="","",IF(COUNTIF(設定!$B$62:$B$201,$A616)=0,"⚠ 查無員編",IF(COUNTIF($E$3:$E$2002,$E616)&gt;1,"⚠ 重複打卡","OK")))</f>
        <v/>
      </c>
    </row>
    <row r="617">
      <c r="A617" s="20" t="n"/>
      <c r="B617" s="18" t="n"/>
      <c r="C617" s="81" t="n"/>
      <c r="D617" s="81" t="n"/>
      <c r="E617" s="16">
        <f>IF($A617="","",$A617&amp;"|"&amp;DAY($B617))</f>
        <v/>
      </c>
      <c r="F617" s="16">
        <f>IF($A617="","",IF(COUNTIF(設定!$B$62:$B$201,$A617)=0,"⚠ 查無員編",IF(COUNTIF($E$3:$E$2002,$E617)&gt;1,"⚠ 重複打卡","OK")))</f>
        <v/>
      </c>
    </row>
    <row r="618">
      <c r="A618" s="20" t="n"/>
      <c r="B618" s="18" t="n"/>
      <c r="C618" s="81" t="n"/>
      <c r="D618" s="81" t="n"/>
      <c r="E618" s="16">
        <f>IF($A618="","",$A618&amp;"|"&amp;DAY($B618))</f>
        <v/>
      </c>
      <c r="F618" s="16">
        <f>IF($A618="","",IF(COUNTIF(設定!$B$62:$B$201,$A618)=0,"⚠ 查無員編",IF(COUNTIF($E$3:$E$2002,$E618)&gt;1,"⚠ 重複打卡","OK")))</f>
        <v/>
      </c>
    </row>
    <row r="619">
      <c r="A619" s="20" t="n"/>
      <c r="B619" s="18" t="n"/>
      <c r="C619" s="81" t="n"/>
      <c r="D619" s="81" t="n"/>
      <c r="E619" s="16">
        <f>IF($A619="","",$A619&amp;"|"&amp;DAY($B619))</f>
        <v/>
      </c>
      <c r="F619" s="16">
        <f>IF($A619="","",IF(COUNTIF(設定!$B$62:$B$201,$A619)=0,"⚠ 查無員編",IF(COUNTIF($E$3:$E$2002,$E619)&gt;1,"⚠ 重複打卡","OK")))</f>
        <v/>
      </c>
    </row>
    <row r="620">
      <c r="A620" s="20" t="n"/>
      <c r="B620" s="18" t="n"/>
      <c r="C620" s="81" t="n"/>
      <c r="D620" s="81" t="n"/>
      <c r="E620" s="16">
        <f>IF($A620="","",$A620&amp;"|"&amp;DAY($B620))</f>
        <v/>
      </c>
      <c r="F620" s="16">
        <f>IF($A620="","",IF(COUNTIF(設定!$B$62:$B$201,$A620)=0,"⚠ 查無員編",IF(COUNTIF($E$3:$E$2002,$E620)&gt;1,"⚠ 重複打卡","OK")))</f>
        <v/>
      </c>
    </row>
    <row r="621">
      <c r="A621" s="20" t="n"/>
      <c r="B621" s="18" t="n"/>
      <c r="C621" s="81" t="n"/>
      <c r="D621" s="81" t="n"/>
      <c r="E621" s="16">
        <f>IF($A621="","",$A621&amp;"|"&amp;DAY($B621))</f>
        <v/>
      </c>
      <c r="F621" s="16">
        <f>IF($A621="","",IF(COUNTIF(設定!$B$62:$B$201,$A621)=0,"⚠ 查無員編",IF(COUNTIF($E$3:$E$2002,$E621)&gt;1,"⚠ 重複打卡","OK")))</f>
        <v/>
      </c>
    </row>
    <row r="622">
      <c r="A622" s="20" t="n"/>
      <c r="B622" s="18" t="n"/>
      <c r="C622" s="81" t="n"/>
      <c r="D622" s="81" t="n"/>
      <c r="E622" s="16">
        <f>IF($A622="","",$A622&amp;"|"&amp;DAY($B622))</f>
        <v/>
      </c>
      <c r="F622" s="16">
        <f>IF($A622="","",IF(COUNTIF(設定!$B$62:$B$201,$A622)=0,"⚠ 查無員編",IF(COUNTIF($E$3:$E$2002,$E622)&gt;1,"⚠ 重複打卡","OK")))</f>
        <v/>
      </c>
    </row>
    <row r="623">
      <c r="A623" s="20" t="n"/>
      <c r="B623" s="18" t="n"/>
      <c r="C623" s="81" t="n"/>
      <c r="D623" s="81" t="n"/>
      <c r="E623" s="16">
        <f>IF($A623="","",$A623&amp;"|"&amp;DAY($B623))</f>
        <v/>
      </c>
      <c r="F623" s="16">
        <f>IF($A623="","",IF(COUNTIF(設定!$B$62:$B$201,$A623)=0,"⚠ 查無員編",IF(COUNTIF($E$3:$E$2002,$E623)&gt;1,"⚠ 重複打卡","OK")))</f>
        <v/>
      </c>
    </row>
    <row r="624">
      <c r="A624" s="20" t="n"/>
      <c r="B624" s="18" t="n"/>
      <c r="C624" s="81" t="n"/>
      <c r="D624" s="81" t="n"/>
      <c r="E624" s="16">
        <f>IF($A624="","",$A624&amp;"|"&amp;DAY($B624))</f>
        <v/>
      </c>
      <c r="F624" s="16">
        <f>IF($A624="","",IF(COUNTIF(設定!$B$62:$B$201,$A624)=0,"⚠ 查無員編",IF(COUNTIF($E$3:$E$2002,$E624)&gt;1,"⚠ 重複打卡","OK")))</f>
        <v/>
      </c>
    </row>
    <row r="625">
      <c r="A625" s="20" t="n"/>
      <c r="B625" s="18" t="n"/>
      <c r="C625" s="81" t="n"/>
      <c r="D625" s="81" t="n"/>
      <c r="E625" s="16">
        <f>IF($A625="","",$A625&amp;"|"&amp;DAY($B625))</f>
        <v/>
      </c>
      <c r="F625" s="16">
        <f>IF($A625="","",IF(COUNTIF(設定!$B$62:$B$201,$A625)=0,"⚠ 查無員編",IF(COUNTIF($E$3:$E$2002,$E625)&gt;1,"⚠ 重複打卡","OK")))</f>
        <v/>
      </c>
    </row>
    <row r="626">
      <c r="A626" s="20" t="n"/>
      <c r="B626" s="18" t="n"/>
      <c r="C626" s="81" t="n"/>
      <c r="D626" s="81" t="n"/>
      <c r="E626" s="16">
        <f>IF($A626="","",$A626&amp;"|"&amp;DAY($B626))</f>
        <v/>
      </c>
      <c r="F626" s="16">
        <f>IF($A626="","",IF(COUNTIF(設定!$B$62:$B$201,$A626)=0,"⚠ 查無員編",IF(COUNTIF($E$3:$E$2002,$E626)&gt;1,"⚠ 重複打卡","OK")))</f>
        <v/>
      </c>
    </row>
    <row r="627">
      <c r="A627" s="20" t="n"/>
      <c r="B627" s="18" t="n"/>
      <c r="C627" s="81" t="n"/>
      <c r="D627" s="81" t="n"/>
      <c r="E627" s="16">
        <f>IF($A627="","",$A627&amp;"|"&amp;DAY($B627))</f>
        <v/>
      </c>
      <c r="F627" s="16">
        <f>IF($A627="","",IF(COUNTIF(設定!$B$62:$B$201,$A627)=0,"⚠ 查無員編",IF(COUNTIF($E$3:$E$2002,$E627)&gt;1,"⚠ 重複打卡","OK")))</f>
        <v/>
      </c>
    </row>
    <row r="628">
      <c r="A628" s="20" t="n"/>
      <c r="B628" s="18" t="n"/>
      <c r="C628" s="81" t="n"/>
      <c r="D628" s="81" t="n"/>
      <c r="E628" s="16">
        <f>IF($A628="","",$A628&amp;"|"&amp;DAY($B628))</f>
        <v/>
      </c>
      <c r="F628" s="16">
        <f>IF($A628="","",IF(COUNTIF(設定!$B$62:$B$201,$A628)=0,"⚠ 查無員編",IF(COUNTIF($E$3:$E$2002,$E628)&gt;1,"⚠ 重複打卡","OK")))</f>
        <v/>
      </c>
    </row>
    <row r="629">
      <c r="A629" s="20" t="n"/>
      <c r="B629" s="18" t="n"/>
      <c r="C629" s="81" t="n"/>
      <c r="D629" s="81" t="n"/>
      <c r="E629" s="16">
        <f>IF($A629="","",$A629&amp;"|"&amp;DAY($B629))</f>
        <v/>
      </c>
      <c r="F629" s="16">
        <f>IF($A629="","",IF(COUNTIF(設定!$B$62:$B$201,$A629)=0,"⚠ 查無員編",IF(COUNTIF($E$3:$E$2002,$E629)&gt;1,"⚠ 重複打卡","OK")))</f>
        <v/>
      </c>
    </row>
    <row r="630">
      <c r="A630" s="20" t="n"/>
      <c r="B630" s="18" t="n"/>
      <c r="C630" s="81" t="n"/>
      <c r="D630" s="81" t="n"/>
      <c r="E630" s="16">
        <f>IF($A630="","",$A630&amp;"|"&amp;DAY($B630))</f>
        <v/>
      </c>
      <c r="F630" s="16">
        <f>IF($A630="","",IF(COUNTIF(設定!$B$62:$B$201,$A630)=0,"⚠ 查無員編",IF(COUNTIF($E$3:$E$2002,$E630)&gt;1,"⚠ 重複打卡","OK")))</f>
        <v/>
      </c>
    </row>
    <row r="631">
      <c r="A631" s="20" t="n"/>
      <c r="B631" s="18" t="n"/>
      <c r="C631" s="81" t="n"/>
      <c r="D631" s="81" t="n"/>
      <c r="E631" s="16">
        <f>IF($A631="","",$A631&amp;"|"&amp;DAY($B631))</f>
        <v/>
      </c>
      <c r="F631" s="16">
        <f>IF($A631="","",IF(COUNTIF(設定!$B$62:$B$201,$A631)=0,"⚠ 查無員編",IF(COUNTIF($E$3:$E$2002,$E631)&gt;1,"⚠ 重複打卡","OK")))</f>
        <v/>
      </c>
    </row>
    <row r="632">
      <c r="A632" s="20" t="n"/>
      <c r="B632" s="18" t="n"/>
      <c r="C632" s="81" t="n"/>
      <c r="D632" s="81" t="n"/>
      <c r="E632" s="16">
        <f>IF($A632="","",$A632&amp;"|"&amp;DAY($B632))</f>
        <v/>
      </c>
      <c r="F632" s="16">
        <f>IF($A632="","",IF(COUNTIF(設定!$B$62:$B$201,$A632)=0,"⚠ 查無員編",IF(COUNTIF($E$3:$E$2002,$E632)&gt;1,"⚠ 重複打卡","OK")))</f>
        <v/>
      </c>
    </row>
    <row r="633">
      <c r="A633" s="20" t="n"/>
      <c r="B633" s="18" t="n"/>
      <c r="C633" s="81" t="n"/>
      <c r="D633" s="81" t="n"/>
      <c r="E633" s="16">
        <f>IF($A633="","",$A633&amp;"|"&amp;DAY($B633))</f>
        <v/>
      </c>
      <c r="F633" s="16">
        <f>IF($A633="","",IF(COUNTIF(設定!$B$62:$B$201,$A633)=0,"⚠ 查無員編",IF(COUNTIF($E$3:$E$2002,$E633)&gt;1,"⚠ 重複打卡","OK")))</f>
        <v/>
      </c>
    </row>
    <row r="634">
      <c r="A634" s="20" t="n"/>
      <c r="B634" s="18" t="n"/>
      <c r="C634" s="81" t="n"/>
      <c r="D634" s="81" t="n"/>
      <c r="E634" s="16">
        <f>IF($A634="","",$A634&amp;"|"&amp;DAY($B634))</f>
        <v/>
      </c>
      <c r="F634" s="16">
        <f>IF($A634="","",IF(COUNTIF(設定!$B$62:$B$201,$A634)=0,"⚠ 查無員編",IF(COUNTIF($E$3:$E$2002,$E634)&gt;1,"⚠ 重複打卡","OK")))</f>
        <v/>
      </c>
    </row>
    <row r="635">
      <c r="A635" s="20" t="n"/>
      <c r="B635" s="18" t="n"/>
      <c r="C635" s="81" t="n"/>
      <c r="D635" s="81" t="n"/>
      <c r="E635" s="16">
        <f>IF($A635="","",$A635&amp;"|"&amp;DAY($B635))</f>
        <v/>
      </c>
      <c r="F635" s="16">
        <f>IF($A635="","",IF(COUNTIF(設定!$B$62:$B$201,$A635)=0,"⚠ 查無員編",IF(COUNTIF($E$3:$E$2002,$E635)&gt;1,"⚠ 重複打卡","OK")))</f>
        <v/>
      </c>
    </row>
    <row r="636">
      <c r="A636" s="20" t="n"/>
      <c r="B636" s="18" t="n"/>
      <c r="C636" s="81" t="n"/>
      <c r="D636" s="81" t="n"/>
      <c r="E636" s="16">
        <f>IF($A636="","",$A636&amp;"|"&amp;DAY($B636))</f>
        <v/>
      </c>
      <c r="F636" s="16">
        <f>IF($A636="","",IF(COUNTIF(設定!$B$62:$B$201,$A636)=0,"⚠ 查無員編",IF(COUNTIF($E$3:$E$2002,$E636)&gt;1,"⚠ 重複打卡","OK")))</f>
        <v/>
      </c>
    </row>
    <row r="637">
      <c r="A637" s="20" t="n"/>
      <c r="B637" s="18" t="n"/>
      <c r="C637" s="81" t="n"/>
      <c r="D637" s="81" t="n"/>
      <c r="E637" s="16">
        <f>IF($A637="","",$A637&amp;"|"&amp;DAY($B637))</f>
        <v/>
      </c>
      <c r="F637" s="16">
        <f>IF($A637="","",IF(COUNTIF(設定!$B$62:$B$201,$A637)=0,"⚠ 查無員編",IF(COUNTIF($E$3:$E$2002,$E637)&gt;1,"⚠ 重複打卡","OK")))</f>
        <v/>
      </c>
    </row>
    <row r="638">
      <c r="A638" s="20" t="n"/>
      <c r="B638" s="18" t="n"/>
      <c r="C638" s="81" t="n"/>
      <c r="D638" s="81" t="n"/>
      <c r="E638" s="16">
        <f>IF($A638="","",$A638&amp;"|"&amp;DAY($B638))</f>
        <v/>
      </c>
      <c r="F638" s="16">
        <f>IF($A638="","",IF(COUNTIF(設定!$B$62:$B$201,$A638)=0,"⚠ 查無員編",IF(COUNTIF($E$3:$E$2002,$E638)&gt;1,"⚠ 重複打卡","OK")))</f>
        <v/>
      </c>
    </row>
    <row r="639">
      <c r="A639" s="20" t="n"/>
      <c r="B639" s="18" t="n"/>
      <c r="C639" s="81" t="n"/>
      <c r="D639" s="81" t="n"/>
      <c r="E639" s="16">
        <f>IF($A639="","",$A639&amp;"|"&amp;DAY($B639))</f>
        <v/>
      </c>
      <c r="F639" s="16">
        <f>IF($A639="","",IF(COUNTIF(設定!$B$62:$B$201,$A639)=0,"⚠ 查無員編",IF(COUNTIF($E$3:$E$2002,$E639)&gt;1,"⚠ 重複打卡","OK")))</f>
        <v/>
      </c>
    </row>
    <row r="640">
      <c r="A640" s="20" t="n"/>
      <c r="B640" s="18" t="n"/>
      <c r="C640" s="81" t="n"/>
      <c r="D640" s="81" t="n"/>
      <c r="E640" s="16">
        <f>IF($A640="","",$A640&amp;"|"&amp;DAY($B640))</f>
        <v/>
      </c>
      <c r="F640" s="16">
        <f>IF($A640="","",IF(COUNTIF(設定!$B$62:$B$201,$A640)=0,"⚠ 查無員編",IF(COUNTIF($E$3:$E$2002,$E640)&gt;1,"⚠ 重複打卡","OK")))</f>
        <v/>
      </c>
    </row>
    <row r="641">
      <c r="A641" s="20" t="n"/>
      <c r="B641" s="18" t="n"/>
      <c r="C641" s="81" t="n"/>
      <c r="D641" s="81" t="n"/>
      <c r="E641" s="16">
        <f>IF($A641="","",$A641&amp;"|"&amp;DAY($B641))</f>
        <v/>
      </c>
      <c r="F641" s="16">
        <f>IF($A641="","",IF(COUNTIF(設定!$B$62:$B$201,$A641)=0,"⚠ 查無員編",IF(COUNTIF($E$3:$E$2002,$E641)&gt;1,"⚠ 重複打卡","OK")))</f>
        <v/>
      </c>
    </row>
    <row r="642">
      <c r="A642" s="20" t="n"/>
      <c r="B642" s="18" t="n"/>
      <c r="C642" s="81" t="n"/>
      <c r="D642" s="81" t="n"/>
      <c r="E642" s="16">
        <f>IF($A642="","",$A642&amp;"|"&amp;DAY($B642))</f>
        <v/>
      </c>
      <c r="F642" s="16">
        <f>IF($A642="","",IF(COUNTIF(設定!$B$62:$B$201,$A642)=0,"⚠ 查無員編",IF(COUNTIF($E$3:$E$2002,$E642)&gt;1,"⚠ 重複打卡","OK")))</f>
        <v/>
      </c>
    </row>
    <row r="643">
      <c r="A643" s="20" t="n"/>
      <c r="B643" s="18" t="n"/>
      <c r="C643" s="81" t="n"/>
      <c r="D643" s="81" t="n"/>
      <c r="E643" s="16">
        <f>IF($A643="","",$A643&amp;"|"&amp;DAY($B643))</f>
        <v/>
      </c>
      <c r="F643" s="16">
        <f>IF($A643="","",IF(COUNTIF(設定!$B$62:$B$201,$A643)=0,"⚠ 查無員編",IF(COUNTIF($E$3:$E$2002,$E643)&gt;1,"⚠ 重複打卡","OK")))</f>
        <v/>
      </c>
    </row>
    <row r="644">
      <c r="A644" s="20" t="n"/>
      <c r="B644" s="18" t="n"/>
      <c r="C644" s="81" t="n"/>
      <c r="D644" s="81" t="n"/>
      <c r="E644" s="16">
        <f>IF($A644="","",$A644&amp;"|"&amp;DAY($B644))</f>
        <v/>
      </c>
      <c r="F644" s="16">
        <f>IF($A644="","",IF(COUNTIF(設定!$B$62:$B$201,$A644)=0,"⚠ 查無員編",IF(COUNTIF($E$3:$E$2002,$E644)&gt;1,"⚠ 重複打卡","OK")))</f>
        <v/>
      </c>
    </row>
    <row r="645">
      <c r="A645" s="20" t="n"/>
      <c r="B645" s="18" t="n"/>
      <c r="C645" s="81" t="n"/>
      <c r="D645" s="81" t="n"/>
      <c r="E645" s="16">
        <f>IF($A645="","",$A645&amp;"|"&amp;DAY($B645))</f>
        <v/>
      </c>
      <c r="F645" s="16">
        <f>IF($A645="","",IF(COUNTIF(設定!$B$62:$B$201,$A645)=0,"⚠ 查無員編",IF(COUNTIF($E$3:$E$2002,$E645)&gt;1,"⚠ 重複打卡","OK")))</f>
        <v/>
      </c>
    </row>
    <row r="646">
      <c r="A646" s="20" t="n"/>
      <c r="B646" s="18" t="n"/>
      <c r="C646" s="81" t="n"/>
      <c r="D646" s="81" t="n"/>
      <c r="E646" s="16">
        <f>IF($A646="","",$A646&amp;"|"&amp;DAY($B646))</f>
        <v/>
      </c>
      <c r="F646" s="16">
        <f>IF($A646="","",IF(COUNTIF(設定!$B$62:$B$201,$A646)=0,"⚠ 查無員編",IF(COUNTIF($E$3:$E$2002,$E646)&gt;1,"⚠ 重複打卡","OK")))</f>
        <v/>
      </c>
    </row>
    <row r="647">
      <c r="A647" s="20" t="n"/>
      <c r="B647" s="18" t="n"/>
      <c r="C647" s="81" t="n"/>
      <c r="D647" s="81" t="n"/>
      <c r="E647" s="16">
        <f>IF($A647="","",$A647&amp;"|"&amp;DAY($B647))</f>
        <v/>
      </c>
      <c r="F647" s="16">
        <f>IF($A647="","",IF(COUNTIF(設定!$B$62:$B$201,$A647)=0,"⚠ 查無員編",IF(COUNTIF($E$3:$E$2002,$E647)&gt;1,"⚠ 重複打卡","OK")))</f>
        <v/>
      </c>
    </row>
    <row r="648">
      <c r="A648" s="20" t="n"/>
      <c r="B648" s="18" t="n"/>
      <c r="C648" s="81" t="n"/>
      <c r="D648" s="81" t="n"/>
      <c r="E648" s="16">
        <f>IF($A648="","",$A648&amp;"|"&amp;DAY($B648))</f>
        <v/>
      </c>
      <c r="F648" s="16">
        <f>IF($A648="","",IF(COUNTIF(設定!$B$62:$B$201,$A648)=0,"⚠ 查無員編",IF(COUNTIF($E$3:$E$2002,$E648)&gt;1,"⚠ 重複打卡","OK")))</f>
        <v/>
      </c>
    </row>
    <row r="649">
      <c r="A649" s="20" t="n"/>
      <c r="B649" s="18" t="n"/>
      <c r="C649" s="81" t="n"/>
      <c r="D649" s="81" t="n"/>
      <c r="E649" s="16">
        <f>IF($A649="","",$A649&amp;"|"&amp;DAY($B649))</f>
        <v/>
      </c>
      <c r="F649" s="16">
        <f>IF($A649="","",IF(COUNTIF(設定!$B$62:$B$201,$A649)=0,"⚠ 查無員編",IF(COUNTIF($E$3:$E$2002,$E649)&gt;1,"⚠ 重複打卡","OK")))</f>
        <v/>
      </c>
    </row>
    <row r="650">
      <c r="A650" s="20" t="n"/>
      <c r="B650" s="18" t="n"/>
      <c r="C650" s="81" t="n"/>
      <c r="D650" s="81" t="n"/>
      <c r="E650" s="16">
        <f>IF($A650="","",$A650&amp;"|"&amp;DAY($B650))</f>
        <v/>
      </c>
      <c r="F650" s="16">
        <f>IF($A650="","",IF(COUNTIF(設定!$B$62:$B$201,$A650)=0,"⚠ 查無員編",IF(COUNTIF($E$3:$E$2002,$E650)&gt;1,"⚠ 重複打卡","OK")))</f>
        <v/>
      </c>
    </row>
    <row r="651">
      <c r="A651" s="20" t="n"/>
      <c r="B651" s="18" t="n"/>
      <c r="C651" s="81" t="n"/>
      <c r="D651" s="81" t="n"/>
      <c r="E651" s="16">
        <f>IF($A651="","",$A651&amp;"|"&amp;DAY($B651))</f>
        <v/>
      </c>
      <c r="F651" s="16">
        <f>IF($A651="","",IF(COUNTIF(設定!$B$62:$B$201,$A651)=0,"⚠ 查無員編",IF(COUNTIF($E$3:$E$2002,$E651)&gt;1,"⚠ 重複打卡","OK")))</f>
        <v/>
      </c>
    </row>
    <row r="652">
      <c r="A652" s="20" t="n"/>
      <c r="B652" s="18" t="n"/>
      <c r="C652" s="81" t="n"/>
      <c r="D652" s="81" t="n"/>
      <c r="E652" s="16">
        <f>IF($A652="","",$A652&amp;"|"&amp;DAY($B652))</f>
        <v/>
      </c>
      <c r="F652" s="16">
        <f>IF($A652="","",IF(COUNTIF(設定!$B$62:$B$201,$A652)=0,"⚠ 查無員編",IF(COUNTIF($E$3:$E$2002,$E652)&gt;1,"⚠ 重複打卡","OK")))</f>
        <v/>
      </c>
    </row>
    <row r="653">
      <c r="A653" s="20" t="n"/>
      <c r="B653" s="18" t="n"/>
      <c r="C653" s="81" t="n"/>
      <c r="D653" s="81" t="n"/>
      <c r="E653" s="16">
        <f>IF($A653="","",$A653&amp;"|"&amp;DAY($B653))</f>
        <v/>
      </c>
      <c r="F653" s="16">
        <f>IF($A653="","",IF(COUNTIF(設定!$B$62:$B$201,$A653)=0,"⚠ 查無員編",IF(COUNTIF($E$3:$E$2002,$E653)&gt;1,"⚠ 重複打卡","OK")))</f>
        <v/>
      </c>
    </row>
    <row r="654">
      <c r="A654" s="20" t="n"/>
      <c r="B654" s="18" t="n"/>
      <c r="C654" s="81" t="n"/>
      <c r="D654" s="81" t="n"/>
      <c r="E654" s="16">
        <f>IF($A654="","",$A654&amp;"|"&amp;DAY($B654))</f>
        <v/>
      </c>
      <c r="F654" s="16">
        <f>IF($A654="","",IF(COUNTIF(設定!$B$62:$B$201,$A654)=0,"⚠ 查無員編",IF(COUNTIF($E$3:$E$2002,$E654)&gt;1,"⚠ 重複打卡","OK")))</f>
        <v/>
      </c>
    </row>
    <row r="655">
      <c r="A655" s="20" t="n"/>
      <c r="B655" s="18" t="n"/>
      <c r="C655" s="81" t="n"/>
      <c r="D655" s="81" t="n"/>
      <c r="E655" s="16">
        <f>IF($A655="","",$A655&amp;"|"&amp;DAY($B655))</f>
        <v/>
      </c>
      <c r="F655" s="16">
        <f>IF($A655="","",IF(COUNTIF(設定!$B$62:$B$201,$A655)=0,"⚠ 查無員編",IF(COUNTIF($E$3:$E$2002,$E655)&gt;1,"⚠ 重複打卡","OK")))</f>
        <v/>
      </c>
    </row>
    <row r="656">
      <c r="A656" s="20" t="n"/>
      <c r="B656" s="18" t="n"/>
      <c r="C656" s="81" t="n"/>
      <c r="D656" s="81" t="n"/>
      <c r="E656" s="16">
        <f>IF($A656="","",$A656&amp;"|"&amp;DAY($B656))</f>
        <v/>
      </c>
      <c r="F656" s="16">
        <f>IF($A656="","",IF(COUNTIF(設定!$B$62:$B$201,$A656)=0,"⚠ 查無員編",IF(COUNTIF($E$3:$E$2002,$E656)&gt;1,"⚠ 重複打卡","OK")))</f>
        <v/>
      </c>
    </row>
    <row r="657">
      <c r="A657" s="20" t="n"/>
      <c r="B657" s="18" t="n"/>
      <c r="C657" s="81" t="n"/>
      <c r="D657" s="81" t="n"/>
      <c r="E657" s="16">
        <f>IF($A657="","",$A657&amp;"|"&amp;DAY($B657))</f>
        <v/>
      </c>
      <c r="F657" s="16">
        <f>IF($A657="","",IF(COUNTIF(設定!$B$62:$B$201,$A657)=0,"⚠ 查無員編",IF(COUNTIF($E$3:$E$2002,$E657)&gt;1,"⚠ 重複打卡","OK")))</f>
        <v/>
      </c>
    </row>
    <row r="658">
      <c r="A658" s="20" t="n"/>
      <c r="B658" s="18" t="n"/>
      <c r="C658" s="81" t="n"/>
      <c r="D658" s="81" t="n"/>
      <c r="E658" s="16">
        <f>IF($A658="","",$A658&amp;"|"&amp;DAY($B658))</f>
        <v/>
      </c>
      <c r="F658" s="16">
        <f>IF($A658="","",IF(COUNTIF(設定!$B$62:$B$201,$A658)=0,"⚠ 查無員編",IF(COUNTIF($E$3:$E$2002,$E658)&gt;1,"⚠ 重複打卡","OK")))</f>
        <v/>
      </c>
    </row>
    <row r="659">
      <c r="A659" s="20" t="n"/>
      <c r="B659" s="18" t="n"/>
      <c r="C659" s="81" t="n"/>
      <c r="D659" s="81" t="n"/>
      <c r="E659" s="16">
        <f>IF($A659="","",$A659&amp;"|"&amp;DAY($B659))</f>
        <v/>
      </c>
      <c r="F659" s="16">
        <f>IF($A659="","",IF(COUNTIF(設定!$B$62:$B$201,$A659)=0,"⚠ 查無員編",IF(COUNTIF($E$3:$E$2002,$E659)&gt;1,"⚠ 重複打卡","OK")))</f>
        <v/>
      </c>
    </row>
    <row r="660">
      <c r="A660" s="20" t="n"/>
      <c r="B660" s="18" t="n"/>
      <c r="C660" s="81" t="n"/>
      <c r="D660" s="81" t="n"/>
      <c r="E660" s="16">
        <f>IF($A660="","",$A660&amp;"|"&amp;DAY($B660))</f>
        <v/>
      </c>
      <c r="F660" s="16">
        <f>IF($A660="","",IF(COUNTIF(設定!$B$62:$B$201,$A660)=0,"⚠ 查無員編",IF(COUNTIF($E$3:$E$2002,$E660)&gt;1,"⚠ 重複打卡","OK")))</f>
        <v/>
      </c>
    </row>
    <row r="661">
      <c r="A661" s="20" t="n"/>
      <c r="B661" s="18" t="n"/>
      <c r="C661" s="81" t="n"/>
      <c r="D661" s="81" t="n"/>
      <c r="E661" s="16">
        <f>IF($A661="","",$A661&amp;"|"&amp;DAY($B661))</f>
        <v/>
      </c>
      <c r="F661" s="16">
        <f>IF($A661="","",IF(COUNTIF(設定!$B$62:$B$201,$A661)=0,"⚠ 查無員編",IF(COUNTIF($E$3:$E$2002,$E661)&gt;1,"⚠ 重複打卡","OK")))</f>
        <v/>
      </c>
    </row>
    <row r="662">
      <c r="A662" s="20" t="n"/>
      <c r="B662" s="18" t="n"/>
      <c r="C662" s="81" t="n"/>
      <c r="D662" s="81" t="n"/>
      <c r="E662" s="16">
        <f>IF($A662="","",$A662&amp;"|"&amp;DAY($B662))</f>
        <v/>
      </c>
      <c r="F662" s="16">
        <f>IF($A662="","",IF(COUNTIF(設定!$B$62:$B$201,$A662)=0,"⚠ 查無員編",IF(COUNTIF($E$3:$E$2002,$E662)&gt;1,"⚠ 重複打卡","OK")))</f>
        <v/>
      </c>
    </row>
    <row r="663">
      <c r="A663" s="20" t="n"/>
      <c r="B663" s="18" t="n"/>
      <c r="C663" s="81" t="n"/>
      <c r="D663" s="81" t="n"/>
      <c r="E663" s="16">
        <f>IF($A663="","",$A663&amp;"|"&amp;DAY($B663))</f>
        <v/>
      </c>
      <c r="F663" s="16">
        <f>IF($A663="","",IF(COUNTIF(設定!$B$62:$B$201,$A663)=0,"⚠ 查無員編",IF(COUNTIF($E$3:$E$2002,$E663)&gt;1,"⚠ 重複打卡","OK")))</f>
        <v/>
      </c>
    </row>
    <row r="664">
      <c r="A664" s="20" t="n"/>
      <c r="B664" s="18" t="n"/>
      <c r="C664" s="81" t="n"/>
      <c r="D664" s="81" t="n"/>
      <c r="E664" s="16">
        <f>IF($A664="","",$A664&amp;"|"&amp;DAY($B664))</f>
        <v/>
      </c>
      <c r="F664" s="16">
        <f>IF($A664="","",IF(COUNTIF(設定!$B$62:$B$201,$A664)=0,"⚠ 查無員編",IF(COUNTIF($E$3:$E$2002,$E664)&gt;1,"⚠ 重複打卡","OK")))</f>
        <v/>
      </c>
    </row>
    <row r="665">
      <c r="A665" s="20" t="n"/>
      <c r="B665" s="18" t="n"/>
      <c r="C665" s="81" t="n"/>
      <c r="D665" s="81" t="n"/>
      <c r="E665" s="16">
        <f>IF($A665="","",$A665&amp;"|"&amp;DAY($B665))</f>
        <v/>
      </c>
      <c r="F665" s="16">
        <f>IF($A665="","",IF(COUNTIF(設定!$B$62:$B$201,$A665)=0,"⚠ 查無員編",IF(COUNTIF($E$3:$E$2002,$E665)&gt;1,"⚠ 重複打卡","OK")))</f>
        <v/>
      </c>
    </row>
    <row r="666">
      <c r="A666" s="20" t="n"/>
      <c r="B666" s="18" t="n"/>
      <c r="C666" s="81" t="n"/>
      <c r="D666" s="81" t="n"/>
      <c r="E666" s="16">
        <f>IF($A666="","",$A666&amp;"|"&amp;DAY($B666))</f>
        <v/>
      </c>
      <c r="F666" s="16">
        <f>IF($A666="","",IF(COUNTIF(設定!$B$62:$B$201,$A666)=0,"⚠ 查無員編",IF(COUNTIF($E$3:$E$2002,$E666)&gt;1,"⚠ 重複打卡","OK")))</f>
        <v/>
      </c>
    </row>
    <row r="667">
      <c r="A667" s="20" t="n"/>
      <c r="B667" s="18" t="n"/>
      <c r="C667" s="81" t="n"/>
      <c r="D667" s="81" t="n"/>
      <c r="E667" s="16">
        <f>IF($A667="","",$A667&amp;"|"&amp;DAY($B667))</f>
        <v/>
      </c>
      <c r="F667" s="16">
        <f>IF($A667="","",IF(COUNTIF(設定!$B$62:$B$201,$A667)=0,"⚠ 查無員編",IF(COUNTIF($E$3:$E$2002,$E667)&gt;1,"⚠ 重複打卡","OK")))</f>
        <v/>
      </c>
    </row>
    <row r="668">
      <c r="A668" s="20" t="n"/>
      <c r="B668" s="18" t="n"/>
      <c r="C668" s="81" t="n"/>
      <c r="D668" s="81" t="n"/>
      <c r="E668" s="16">
        <f>IF($A668="","",$A668&amp;"|"&amp;DAY($B668))</f>
        <v/>
      </c>
      <c r="F668" s="16">
        <f>IF($A668="","",IF(COUNTIF(設定!$B$62:$B$201,$A668)=0,"⚠ 查無員編",IF(COUNTIF($E$3:$E$2002,$E668)&gt;1,"⚠ 重複打卡","OK")))</f>
        <v/>
      </c>
    </row>
    <row r="669">
      <c r="A669" s="20" t="n"/>
      <c r="B669" s="18" t="n"/>
      <c r="C669" s="81" t="n"/>
      <c r="D669" s="81" t="n"/>
      <c r="E669" s="16">
        <f>IF($A669="","",$A669&amp;"|"&amp;DAY($B669))</f>
        <v/>
      </c>
      <c r="F669" s="16">
        <f>IF($A669="","",IF(COUNTIF(設定!$B$62:$B$201,$A669)=0,"⚠ 查無員編",IF(COUNTIF($E$3:$E$2002,$E669)&gt;1,"⚠ 重複打卡","OK")))</f>
        <v/>
      </c>
    </row>
    <row r="670">
      <c r="A670" s="20" t="n"/>
      <c r="B670" s="18" t="n"/>
      <c r="C670" s="81" t="n"/>
      <c r="D670" s="81" t="n"/>
      <c r="E670" s="16">
        <f>IF($A670="","",$A670&amp;"|"&amp;DAY($B670))</f>
        <v/>
      </c>
      <c r="F670" s="16">
        <f>IF($A670="","",IF(COUNTIF(設定!$B$62:$B$201,$A670)=0,"⚠ 查無員編",IF(COUNTIF($E$3:$E$2002,$E670)&gt;1,"⚠ 重複打卡","OK")))</f>
        <v/>
      </c>
    </row>
    <row r="671">
      <c r="A671" s="20" t="n"/>
      <c r="B671" s="18" t="n"/>
      <c r="C671" s="81" t="n"/>
      <c r="D671" s="81" t="n"/>
      <c r="E671" s="16">
        <f>IF($A671="","",$A671&amp;"|"&amp;DAY($B671))</f>
        <v/>
      </c>
      <c r="F671" s="16">
        <f>IF($A671="","",IF(COUNTIF(設定!$B$62:$B$201,$A671)=0,"⚠ 查無員編",IF(COUNTIF($E$3:$E$2002,$E671)&gt;1,"⚠ 重複打卡","OK")))</f>
        <v/>
      </c>
    </row>
    <row r="672">
      <c r="A672" s="20" t="n"/>
      <c r="B672" s="18" t="n"/>
      <c r="C672" s="81" t="n"/>
      <c r="D672" s="81" t="n"/>
      <c r="E672" s="16">
        <f>IF($A672="","",$A672&amp;"|"&amp;DAY($B672))</f>
        <v/>
      </c>
      <c r="F672" s="16">
        <f>IF($A672="","",IF(COUNTIF(設定!$B$62:$B$201,$A672)=0,"⚠ 查無員編",IF(COUNTIF($E$3:$E$2002,$E672)&gt;1,"⚠ 重複打卡","OK")))</f>
        <v/>
      </c>
    </row>
    <row r="673">
      <c r="A673" s="20" t="n"/>
      <c r="B673" s="18" t="n"/>
      <c r="C673" s="81" t="n"/>
      <c r="D673" s="81" t="n"/>
      <c r="E673" s="16">
        <f>IF($A673="","",$A673&amp;"|"&amp;DAY($B673))</f>
        <v/>
      </c>
      <c r="F673" s="16">
        <f>IF($A673="","",IF(COUNTIF(設定!$B$62:$B$201,$A673)=0,"⚠ 查無員編",IF(COUNTIF($E$3:$E$2002,$E673)&gt;1,"⚠ 重複打卡","OK")))</f>
        <v/>
      </c>
    </row>
    <row r="674">
      <c r="A674" s="20" t="n"/>
      <c r="B674" s="18" t="n"/>
      <c r="C674" s="81" t="n"/>
      <c r="D674" s="81" t="n"/>
      <c r="E674" s="16">
        <f>IF($A674="","",$A674&amp;"|"&amp;DAY($B674))</f>
        <v/>
      </c>
      <c r="F674" s="16">
        <f>IF($A674="","",IF(COUNTIF(設定!$B$62:$B$201,$A674)=0,"⚠ 查無員編",IF(COUNTIF($E$3:$E$2002,$E674)&gt;1,"⚠ 重複打卡","OK")))</f>
        <v/>
      </c>
    </row>
    <row r="675">
      <c r="A675" s="20" t="n"/>
      <c r="B675" s="18" t="n"/>
      <c r="C675" s="81" t="n"/>
      <c r="D675" s="81" t="n"/>
      <c r="E675" s="16">
        <f>IF($A675="","",$A675&amp;"|"&amp;DAY($B675))</f>
        <v/>
      </c>
      <c r="F675" s="16">
        <f>IF($A675="","",IF(COUNTIF(設定!$B$62:$B$201,$A675)=0,"⚠ 查無員編",IF(COUNTIF($E$3:$E$2002,$E675)&gt;1,"⚠ 重複打卡","OK")))</f>
        <v/>
      </c>
    </row>
    <row r="676">
      <c r="A676" s="20" t="n"/>
      <c r="B676" s="18" t="n"/>
      <c r="C676" s="81" t="n"/>
      <c r="D676" s="81" t="n"/>
      <c r="E676" s="16">
        <f>IF($A676="","",$A676&amp;"|"&amp;DAY($B676))</f>
        <v/>
      </c>
      <c r="F676" s="16">
        <f>IF($A676="","",IF(COUNTIF(設定!$B$62:$B$201,$A676)=0,"⚠ 查無員編",IF(COUNTIF($E$3:$E$2002,$E676)&gt;1,"⚠ 重複打卡","OK")))</f>
        <v/>
      </c>
    </row>
    <row r="677">
      <c r="A677" s="20" t="n"/>
      <c r="B677" s="18" t="n"/>
      <c r="C677" s="81" t="n"/>
      <c r="D677" s="81" t="n"/>
      <c r="E677" s="16">
        <f>IF($A677="","",$A677&amp;"|"&amp;DAY($B677))</f>
        <v/>
      </c>
      <c r="F677" s="16">
        <f>IF($A677="","",IF(COUNTIF(設定!$B$62:$B$201,$A677)=0,"⚠ 查無員編",IF(COUNTIF($E$3:$E$2002,$E677)&gt;1,"⚠ 重複打卡","OK")))</f>
        <v/>
      </c>
    </row>
    <row r="678">
      <c r="A678" s="20" t="n"/>
      <c r="B678" s="18" t="n"/>
      <c r="C678" s="81" t="n"/>
      <c r="D678" s="81" t="n"/>
      <c r="E678" s="16">
        <f>IF($A678="","",$A678&amp;"|"&amp;DAY($B678))</f>
        <v/>
      </c>
      <c r="F678" s="16">
        <f>IF($A678="","",IF(COUNTIF(設定!$B$62:$B$201,$A678)=0,"⚠ 查無員編",IF(COUNTIF($E$3:$E$2002,$E678)&gt;1,"⚠ 重複打卡","OK")))</f>
        <v/>
      </c>
    </row>
    <row r="679">
      <c r="A679" s="20" t="n"/>
      <c r="B679" s="18" t="n"/>
      <c r="C679" s="81" t="n"/>
      <c r="D679" s="81" t="n"/>
      <c r="E679" s="16">
        <f>IF($A679="","",$A679&amp;"|"&amp;DAY($B679))</f>
        <v/>
      </c>
      <c r="F679" s="16">
        <f>IF($A679="","",IF(COUNTIF(設定!$B$62:$B$201,$A679)=0,"⚠ 查無員編",IF(COUNTIF($E$3:$E$2002,$E679)&gt;1,"⚠ 重複打卡","OK")))</f>
        <v/>
      </c>
    </row>
    <row r="680">
      <c r="A680" s="20" t="n"/>
      <c r="B680" s="18" t="n"/>
      <c r="C680" s="81" t="n"/>
      <c r="D680" s="81" t="n"/>
      <c r="E680" s="16">
        <f>IF($A680="","",$A680&amp;"|"&amp;DAY($B680))</f>
        <v/>
      </c>
      <c r="F680" s="16">
        <f>IF($A680="","",IF(COUNTIF(設定!$B$62:$B$201,$A680)=0,"⚠ 查無員編",IF(COUNTIF($E$3:$E$2002,$E680)&gt;1,"⚠ 重複打卡","OK")))</f>
        <v/>
      </c>
    </row>
    <row r="681">
      <c r="A681" s="20" t="n"/>
      <c r="B681" s="18" t="n"/>
      <c r="C681" s="81" t="n"/>
      <c r="D681" s="81" t="n"/>
      <c r="E681" s="16">
        <f>IF($A681="","",$A681&amp;"|"&amp;DAY($B681))</f>
        <v/>
      </c>
      <c r="F681" s="16">
        <f>IF($A681="","",IF(COUNTIF(設定!$B$62:$B$201,$A681)=0,"⚠ 查無員編",IF(COUNTIF($E$3:$E$2002,$E681)&gt;1,"⚠ 重複打卡","OK")))</f>
        <v/>
      </c>
    </row>
    <row r="682">
      <c r="A682" s="20" t="n"/>
      <c r="B682" s="18" t="n"/>
      <c r="C682" s="81" t="n"/>
      <c r="D682" s="81" t="n"/>
      <c r="E682" s="16">
        <f>IF($A682="","",$A682&amp;"|"&amp;DAY($B682))</f>
        <v/>
      </c>
      <c r="F682" s="16">
        <f>IF($A682="","",IF(COUNTIF(設定!$B$62:$B$201,$A682)=0,"⚠ 查無員編",IF(COUNTIF($E$3:$E$2002,$E682)&gt;1,"⚠ 重複打卡","OK")))</f>
        <v/>
      </c>
    </row>
    <row r="683">
      <c r="A683" s="20" t="n"/>
      <c r="B683" s="18" t="n"/>
      <c r="C683" s="81" t="n"/>
      <c r="D683" s="81" t="n"/>
      <c r="E683" s="16">
        <f>IF($A683="","",$A683&amp;"|"&amp;DAY($B683))</f>
        <v/>
      </c>
      <c r="F683" s="16">
        <f>IF($A683="","",IF(COUNTIF(設定!$B$62:$B$201,$A683)=0,"⚠ 查無員編",IF(COUNTIF($E$3:$E$2002,$E683)&gt;1,"⚠ 重複打卡","OK")))</f>
        <v/>
      </c>
    </row>
    <row r="684">
      <c r="A684" s="20" t="n"/>
      <c r="B684" s="18" t="n"/>
      <c r="C684" s="81" t="n"/>
      <c r="D684" s="81" t="n"/>
      <c r="E684" s="16">
        <f>IF($A684="","",$A684&amp;"|"&amp;DAY($B684))</f>
        <v/>
      </c>
      <c r="F684" s="16">
        <f>IF($A684="","",IF(COUNTIF(設定!$B$62:$B$201,$A684)=0,"⚠ 查無員編",IF(COUNTIF($E$3:$E$2002,$E684)&gt;1,"⚠ 重複打卡","OK")))</f>
        <v/>
      </c>
    </row>
    <row r="685">
      <c r="A685" s="20" t="n"/>
      <c r="B685" s="18" t="n"/>
      <c r="C685" s="81" t="n"/>
      <c r="D685" s="81" t="n"/>
      <c r="E685" s="16">
        <f>IF($A685="","",$A685&amp;"|"&amp;DAY($B685))</f>
        <v/>
      </c>
      <c r="F685" s="16">
        <f>IF($A685="","",IF(COUNTIF(設定!$B$62:$B$201,$A685)=0,"⚠ 查無員編",IF(COUNTIF($E$3:$E$2002,$E685)&gt;1,"⚠ 重複打卡","OK")))</f>
        <v/>
      </c>
    </row>
    <row r="686">
      <c r="A686" s="20" t="n"/>
      <c r="B686" s="18" t="n"/>
      <c r="C686" s="81" t="n"/>
      <c r="D686" s="81" t="n"/>
      <c r="E686" s="16">
        <f>IF($A686="","",$A686&amp;"|"&amp;DAY($B686))</f>
        <v/>
      </c>
      <c r="F686" s="16">
        <f>IF($A686="","",IF(COUNTIF(設定!$B$62:$B$201,$A686)=0,"⚠ 查無員編",IF(COUNTIF($E$3:$E$2002,$E686)&gt;1,"⚠ 重複打卡","OK")))</f>
        <v/>
      </c>
    </row>
    <row r="687">
      <c r="A687" s="20" t="n"/>
      <c r="B687" s="18" t="n"/>
      <c r="C687" s="81" t="n"/>
      <c r="D687" s="81" t="n"/>
      <c r="E687" s="16">
        <f>IF($A687="","",$A687&amp;"|"&amp;DAY($B687))</f>
        <v/>
      </c>
      <c r="F687" s="16">
        <f>IF($A687="","",IF(COUNTIF(設定!$B$62:$B$201,$A687)=0,"⚠ 查無員編",IF(COUNTIF($E$3:$E$2002,$E687)&gt;1,"⚠ 重複打卡","OK")))</f>
        <v/>
      </c>
    </row>
    <row r="688">
      <c r="A688" s="20" t="n"/>
      <c r="B688" s="18" t="n"/>
      <c r="C688" s="81" t="n"/>
      <c r="D688" s="81" t="n"/>
      <c r="E688" s="16">
        <f>IF($A688="","",$A688&amp;"|"&amp;DAY($B688))</f>
        <v/>
      </c>
      <c r="F688" s="16">
        <f>IF($A688="","",IF(COUNTIF(設定!$B$62:$B$201,$A688)=0,"⚠ 查無員編",IF(COUNTIF($E$3:$E$2002,$E688)&gt;1,"⚠ 重複打卡","OK")))</f>
        <v/>
      </c>
    </row>
    <row r="689">
      <c r="A689" s="20" t="n"/>
      <c r="B689" s="18" t="n"/>
      <c r="C689" s="81" t="n"/>
      <c r="D689" s="81" t="n"/>
      <c r="E689" s="16">
        <f>IF($A689="","",$A689&amp;"|"&amp;DAY($B689))</f>
        <v/>
      </c>
      <c r="F689" s="16">
        <f>IF($A689="","",IF(COUNTIF(設定!$B$62:$B$201,$A689)=0,"⚠ 查無員編",IF(COUNTIF($E$3:$E$2002,$E689)&gt;1,"⚠ 重複打卡","OK")))</f>
        <v/>
      </c>
    </row>
    <row r="690">
      <c r="A690" s="20" t="n"/>
      <c r="B690" s="18" t="n"/>
      <c r="C690" s="81" t="n"/>
      <c r="D690" s="81" t="n"/>
      <c r="E690" s="16">
        <f>IF($A690="","",$A690&amp;"|"&amp;DAY($B690))</f>
        <v/>
      </c>
      <c r="F690" s="16">
        <f>IF($A690="","",IF(COUNTIF(設定!$B$62:$B$201,$A690)=0,"⚠ 查無員編",IF(COUNTIF($E$3:$E$2002,$E690)&gt;1,"⚠ 重複打卡","OK")))</f>
        <v/>
      </c>
    </row>
    <row r="691">
      <c r="A691" s="20" t="n"/>
      <c r="B691" s="18" t="n"/>
      <c r="C691" s="81" t="n"/>
      <c r="D691" s="81" t="n"/>
      <c r="E691" s="16">
        <f>IF($A691="","",$A691&amp;"|"&amp;DAY($B691))</f>
        <v/>
      </c>
      <c r="F691" s="16">
        <f>IF($A691="","",IF(COUNTIF(設定!$B$62:$B$201,$A691)=0,"⚠ 查無員編",IF(COUNTIF($E$3:$E$2002,$E691)&gt;1,"⚠ 重複打卡","OK")))</f>
        <v/>
      </c>
    </row>
    <row r="692">
      <c r="A692" s="20" t="n"/>
      <c r="B692" s="18" t="n"/>
      <c r="C692" s="81" t="n"/>
      <c r="D692" s="81" t="n"/>
      <c r="E692" s="16">
        <f>IF($A692="","",$A692&amp;"|"&amp;DAY($B692))</f>
        <v/>
      </c>
      <c r="F692" s="16">
        <f>IF($A692="","",IF(COUNTIF(設定!$B$62:$B$201,$A692)=0,"⚠ 查無員編",IF(COUNTIF($E$3:$E$2002,$E692)&gt;1,"⚠ 重複打卡","OK")))</f>
        <v/>
      </c>
    </row>
    <row r="693">
      <c r="A693" s="20" t="n"/>
      <c r="B693" s="18" t="n"/>
      <c r="C693" s="81" t="n"/>
      <c r="D693" s="81" t="n"/>
      <c r="E693" s="16">
        <f>IF($A693="","",$A693&amp;"|"&amp;DAY($B693))</f>
        <v/>
      </c>
      <c r="F693" s="16">
        <f>IF($A693="","",IF(COUNTIF(設定!$B$62:$B$201,$A693)=0,"⚠ 查無員編",IF(COUNTIF($E$3:$E$2002,$E693)&gt;1,"⚠ 重複打卡","OK")))</f>
        <v/>
      </c>
    </row>
    <row r="694">
      <c r="A694" s="20" t="n"/>
      <c r="B694" s="18" t="n"/>
      <c r="C694" s="81" t="n"/>
      <c r="D694" s="81" t="n"/>
      <c r="E694" s="16">
        <f>IF($A694="","",$A694&amp;"|"&amp;DAY($B694))</f>
        <v/>
      </c>
      <c r="F694" s="16">
        <f>IF($A694="","",IF(COUNTIF(設定!$B$62:$B$201,$A694)=0,"⚠ 查無員編",IF(COUNTIF($E$3:$E$2002,$E694)&gt;1,"⚠ 重複打卡","OK")))</f>
        <v/>
      </c>
    </row>
    <row r="695">
      <c r="A695" s="20" t="n"/>
      <c r="B695" s="18" t="n"/>
      <c r="C695" s="81" t="n"/>
      <c r="D695" s="81" t="n"/>
      <c r="E695" s="16">
        <f>IF($A695="","",$A695&amp;"|"&amp;DAY($B695))</f>
        <v/>
      </c>
      <c r="F695" s="16">
        <f>IF($A695="","",IF(COUNTIF(設定!$B$62:$B$201,$A695)=0,"⚠ 查無員編",IF(COUNTIF($E$3:$E$2002,$E695)&gt;1,"⚠ 重複打卡","OK")))</f>
        <v/>
      </c>
    </row>
    <row r="696">
      <c r="A696" s="20" t="n"/>
      <c r="B696" s="18" t="n"/>
      <c r="C696" s="81" t="n"/>
      <c r="D696" s="81" t="n"/>
      <c r="E696" s="16">
        <f>IF($A696="","",$A696&amp;"|"&amp;DAY($B696))</f>
        <v/>
      </c>
      <c r="F696" s="16">
        <f>IF($A696="","",IF(COUNTIF(設定!$B$62:$B$201,$A696)=0,"⚠ 查無員編",IF(COUNTIF($E$3:$E$2002,$E696)&gt;1,"⚠ 重複打卡","OK")))</f>
        <v/>
      </c>
    </row>
    <row r="697">
      <c r="A697" s="20" t="n"/>
      <c r="B697" s="18" t="n"/>
      <c r="C697" s="81" t="n"/>
      <c r="D697" s="81" t="n"/>
      <c r="E697" s="16">
        <f>IF($A697="","",$A697&amp;"|"&amp;DAY($B697))</f>
        <v/>
      </c>
      <c r="F697" s="16">
        <f>IF($A697="","",IF(COUNTIF(設定!$B$62:$B$201,$A697)=0,"⚠ 查無員編",IF(COUNTIF($E$3:$E$2002,$E697)&gt;1,"⚠ 重複打卡","OK")))</f>
        <v/>
      </c>
    </row>
    <row r="698">
      <c r="A698" s="20" t="n"/>
      <c r="B698" s="18" t="n"/>
      <c r="C698" s="81" t="n"/>
      <c r="D698" s="81" t="n"/>
      <c r="E698" s="16">
        <f>IF($A698="","",$A698&amp;"|"&amp;DAY($B698))</f>
        <v/>
      </c>
      <c r="F698" s="16">
        <f>IF($A698="","",IF(COUNTIF(設定!$B$62:$B$201,$A698)=0,"⚠ 查無員編",IF(COUNTIF($E$3:$E$2002,$E698)&gt;1,"⚠ 重複打卡","OK")))</f>
        <v/>
      </c>
    </row>
    <row r="699">
      <c r="A699" s="20" t="n"/>
      <c r="B699" s="18" t="n"/>
      <c r="C699" s="81" t="n"/>
      <c r="D699" s="81" t="n"/>
      <c r="E699" s="16">
        <f>IF($A699="","",$A699&amp;"|"&amp;DAY($B699))</f>
        <v/>
      </c>
      <c r="F699" s="16">
        <f>IF($A699="","",IF(COUNTIF(設定!$B$62:$B$201,$A699)=0,"⚠ 查無員編",IF(COUNTIF($E$3:$E$2002,$E699)&gt;1,"⚠ 重複打卡","OK")))</f>
        <v/>
      </c>
    </row>
    <row r="700">
      <c r="A700" s="20" t="n"/>
      <c r="B700" s="18" t="n"/>
      <c r="C700" s="81" t="n"/>
      <c r="D700" s="81" t="n"/>
      <c r="E700" s="16">
        <f>IF($A700="","",$A700&amp;"|"&amp;DAY($B700))</f>
        <v/>
      </c>
      <c r="F700" s="16">
        <f>IF($A700="","",IF(COUNTIF(設定!$B$62:$B$201,$A700)=0,"⚠ 查無員編",IF(COUNTIF($E$3:$E$2002,$E700)&gt;1,"⚠ 重複打卡","OK")))</f>
        <v/>
      </c>
    </row>
    <row r="701">
      <c r="A701" s="20" t="n"/>
      <c r="B701" s="18" t="n"/>
      <c r="C701" s="81" t="n"/>
      <c r="D701" s="81" t="n"/>
      <c r="E701" s="16">
        <f>IF($A701="","",$A701&amp;"|"&amp;DAY($B701))</f>
        <v/>
      </c>
      <c r="F701" s="16">
        <f>IF($A701="","",IF(COUNTIF(設定!$B$62:$B$201,$A701)=0,"⚠ 查無員編",IF(COUNTIF($E$3:$E$2002,$E701)&gt;1,"⚠ 重複打卡","OK")))</f>
        <v/>
      </c>
    </row>
    <row r="702">
      <c r="A702" s="20" t="n"/>
      <c r="B702" s="18" t="n"/>
      <c r="C702" s="81" t="n"/>
      <c r="D702" s="81" t="n"/>
      <c r="E702" s="16">
        <f>IF($A702="","",$A702&amp;"|"&amp;DAY($B702))</f>
        <v/>
      </c>
      <c r="F702" s="16">
        <f>IF($A702="","",IF(COUNTIF(設定!$B$62:$B$201,$A702)=0,"⚠ 查無員編",IF(COUNTIF($E$3:$E$2002,$E702)&gt;1,"⚠ 重複打卡","OK")))</f>
        <v/>
      </c>
    </row>
    <row r="703">
      <c r="A703" s="20" t="n"/>
      <c r="B703" s="18" t="n"/>
      <c r="C703" s="81" t="n"/>
      <c r="D703" s="81" t="n"/>
      <c r="E703" s="16">
        <f>IF($A703="","",$A703&amp;"|"&amp;DAY($B703))</f>
        <v/>
      </c>
      <c r="F703" s="16">
        <f>IF($A703="","",IF(COUNTIF(設定!$B$62:$B$201,$A703)=0,"⚠ 查無員編",IF(COUNTIF($E$3:$E$2002,$E703)&gt;1,"⚠ 重複打卡","OK")))</f>
        <v/>
      </c>
    </row>
    <row r="704">
      <c r="A704" s="20" t="n"/>
      <c r="B704" s="18" t="n"/>
      <c r="C704" s="81" t="n"/>
      <c r="D704" s="81" t="n"/>
      <c r="E704" s="16">
        <f>IF($A704="","",$A704&amp;"|"&amp;DAY($B704))</f>
        <v/>
      </c>
      <c r="F704" s="16">
        <f>IF($A704="","",IF(COUNTIF(設定!$B$62:$B$201,$A704)=0,"⚠ 查無員編",IF(COUNTIF($E$3:$E$2002,$E704)&gt;1,"⚠ 重複打卡","OK")))</f>
        <v/>
      </c>
    </row>
    <row r="705">
      <c r="A705" s="20" t="n"/>
      <c r="B705" s="18" t="n"/>
      <c r="C705" s="81" t="n"/>
      <c r="D705" s="81" t="n"/>
      <c r="E705" s="16">
        <f>IF($A705="","",$A705&amp;"|"&amp;DAY($B705))</f>
        <v/>
      </c>
      <c r="F705" s="16">
        <f>IF($A705="","",IF(COUNTIF(設定!$B$62:$B$201,$A705)=0,"⚠ 查無員編",IF(COUNTIF($E$3:$E$2002,$E705)&gt;1,"⚠ 重複打卡","OK")))</f>
        <v/>
      </c>
    </row>
    <row r="706">
      <c r="A706" s="20" t="n"/>
      <c r="B706" s="18" t="n"/>
      <c r="C706" s="81" t="n"/>
      <c r="D706" s="81" t="n"/>
      <c r="E706" s="16">
        <f>IF($A706="","",$A706&amp;"|"&amp;DAY($B706))</f>
        <v/>
      </c>
      <c r="F706" s="16">
        <f>IF($A706="","",IF(COUNTIF(設定!$B$62:$B$201,$A706)=0,"⚠ 查無員編",IF(COUNTIF($E$3:$E$2002,$E706)&gt;1,"⚠ 重複打卡","OK")))</f>
        <v/>
      </c>
    </row>
    <row r="707">
      <c r="A707" s="20" t="n"/>
      <c r="B707" s="18" t="n"/>
      <c r="C707" s="81" t="n"/>
      <c r="D707" s="81" t="n"/>
      <c r="E707" s="16">
        <f>IF($A707="","",$A707&amp;"|"&amp;DAY($B707))</f>
        <v/>
      </c>
      <c r="F707" s="16">
        <f>IF($A707="","",IF(COUNTIF(設定!$B$62:$B$201,$A707)=0,"⚠ 查無員編",IF(COUNTIF($E$3:$E$2002,$E707)&gt;1,"⚠ 重複打卡","OK")))</f>
        <v/>
      </c>
    </row>
    <row r="708">
      <c r="A708" s="20" t="n"/>
      <c r="B708" s="18" t="n"/>
      <c r="C708" s="81" t="n"/>
      <c r="D708" s="81" t="n"/>
      <c r="E708" s="16">
        <f>IF($A708="","",$A708&amp;"|"&amp;DAY($B708))</f>
        <v/>
      </c>
      <c r="F708" s="16">
        <f>IF($A708="","",IF(COUNTIF(設定!$B$62:$B$201,$A708)=0,"⚠ 查無員編",IF(COUNTIF($E$3:$E$2002,$E708)&gt;1,"⚠ 重複打卡","OK")))</f>
        <v/>
      </c>
    </row>
    <row r="709">
      <c r="A709" s="20" t="n"/>
      <c r="B709" s="18" t="n"/>
      <c r="C709" s="81" t="n"/>
      <c r="D709" s="81" t="n"/>
      <c r="E709" s="16">
        <f>IF($A709="","",$A709&amp;"|"&amp;DAY($B709))</f>
        <v/>
      </c>
      <c r="F709" s="16">
        <f>IF($A709="","",IF(COUNTIF(設定!$B$62:$B$201,$A709)=0,"⚠ 查無員編",IF(COUNTIF($E$3:$E$2002,$E709)&gt;1,"⚠ 重複打卡","OK")))</f>
        <v/>
      </c>
    </row>
    <row r="710">
      <c r="A710" s="20" t="n"/>
      <c r="B710" s="18" t="n"/>
      <c r="C710" s="81" t="n"/>
      <c r="D710" s="81" t="n"/>
      <c r="E710" s="16">
        <f>IF($A710="","",$A710&amp;"|"&amp;DAY($B710))</f>
        <v/>
      </c>
      <c r="F710" s="16">
        <f>IF($A710="","",IF(COUNTIF(設定!$B$62:$B$201,$A710)=0,"⚠ 查無員編",IF(COUNTIF($E$3:$E$2002,$E710)&gt;1,"⚠ 重複打卡","OK")))</f>
        <v/>
      </c>
    </row>
    <row r="711">
      <c r="A711" s="20" t="n"/>
      <c r="B711" s="18" t="n"/>
      <c r="C711" s="81" t="n"/>
      <c r="D711" s="81" t="n"/>
      <c r="E711" s="16">
        <f>IF($A711="","",$A711&amp;"|"&amp;DAY($B711))</f>
        <v/>
      </c>
      <c r="F711" s="16">
        <f>IF($A711="","",IF(COUNTIF(設定!$B$62:$B$201,$A711)=0,"⚠ 查無員編",IF(COUNTIF($E$3:$E$2002,$E711)&gt;1,"⚠ 重複打卡","OK")))</f>
        <v/>
      </c>
    </row>
    <row r="712">
      <c r="A712" s="20" t="n"/>
      <c r="B712" s="18" t="n"/>
      <c r="C712" s="81" t="n"/>
      <c r="D712" s="81" t="n"/>
      <c r="E712" s="16">
        <f>IF($A712="","",$A712&amp;"|"&amp;DAY($B712))</f>
        <v/>
      </c>
      <c r="F712" s="16">
        <f>IF($A712="","",IF(COUNTIF(設定!$B$62:$B$201,$A712)=0,"⚠ 查無員編",IF(COUNTIF($E$3:$E$2002,$E712)&gt;1,"⚠ 重複打卡","OK")))</f>
        <v/>
      </c>
    </row>
    <row r="713">
      <c r="A713" s="20" t="n"/>
      <c r="B713" s="18" t="n"/>
      <c r="C713" s="81" t="n"/>
      <c r="D713" s="81" t="n"/>
      <c r="E713" s="16">
        <f>IF($A713="","",$A713&amp;"|"&amp;DAY($B713))</f>
        <v/>
      </c>
      <c r="F713" s="16">
        <f>IF($A713="","",IF(COUNTIF(設定!$B$62:$B$201,$A713)=0,"⚠ 查無員編",IF(COUNTIF($E$3:$E$2002,$E713)&gt;1,"⚠ 重複打卡","OK")))</f>
        <v/>
      </c>
    </row>
    <row r="714">
      <c r="A714" s="20" t="n"/>
      <c r="B714" s="18" t="n"/>
      <c r="C714" s="81" t="n"/>
      <c r="D714" s="81" t="n"/>
      <c r="E714" s="16">
        <f>IF($A714="","",$A714&amp;"|"&amp;DAY($B714))</f>
        <v/>
      </c>
      <c r="F714" s="16">
        <f>IF($A714="","",IF(COUNTIF(設定!$B$62:$B$201,$A714)=0,"⚠ 查無員編",IF(COUNTIF($E$3:$E$2002,$E714)&gt;1,"⚠ 重複打卡","OK")))</f>
        <v/>
      </c>
    </row>
    <row r="715">
      <c r="A715" s="20" t="n"/>
      <c r="B715" s="18" t="n"/>
      <c r="C715" s="81" t="n"/>
      <c r="D715" s="81" t="n"/>
      <c r="E715" s="16">
        <f>IF($A715="","",$A715&amp;"|"&amp;DAY($B715))</f>
        <v/>
      </c>
      <c r="F715" s="16">
        <f>IF($A715="","",IF(COUNTIF(設定!$B$62:$B$201,$A715)=0,"⚠ 查無員編",IF(COUNTIF($E$3:$E$2002,$E715)&gt;1,"⚠ 重複打卡","OK")))</f>
        <v/>
      </c>
    </row>
    <row r="716">
      <c r="A716" s="20" t="n"/>
      <c r="B716" s="18" t="n"/>
      <c r="C716" s="81" t="n"/>
      <c r="D716" s="81" t="n"/>
      <c r="E716" s="16">
        <f>IF($A716="","",$A716&amp;"|"&amp;DAY($B716))</f>
        <v/>
      </c>
      <c r="F716" s="16">
        <f>IF($A716="","",IF(COUNTIF(設定!$B$62:$B$201,$A716)=0,"⚠ 查無員編",IF(COUNTIF($E$3:$E$2002,$E716)&gt;1,"⚠ 重複打卡","OK")))</f>
        <v/>
      </c>
    </row>
    <row r="717">
      <c r="A717" s="20" t="n"/>
      <c r="B717" s="18" t="n"/>
      <c r="C717" s="81" t="n"/>
      <c r="D717" s="81" t="n"/>
      <c r="E717" s="16">
        <f>IF($A717="","",$A717&amp;"|"&amp;DAY($B717))</f>
        <v/>
      </c>
      <c r="F717" s="16">
        <f>IF($A717="","",IF(COUNTIF(設定!$B$62:$B$201,$A717)=0,"⚠ 查無員編",IF(COUNTIF($E$3:$E$2002,$E717)&gt;1,"⚠ 重複打卡","OK")))</f>
        <v/>
      </c>
    </row>
    <row r="718">
      <c r="A718" s="20" t="n"/>
      <c r="B718" s="18" t="n"/>
      <c r="C718" s="81" t="n"/>
      <c r="D718" s="81" t="n"/>
      <c r="E718" s="16">
        <f>IF($A718="","",$A718&amp;"|"&amp;DAY($B718))</f>
        <v/>
      </c>
      <c r="F718" s="16">
        <f>IF($A718="","",IF(COUNTIF(設定!$B$62:$B$201,$A718)=0,"⚠ 查無員編",IF(COUNTIF($E$3:$E$2002,$E718)&gt;1,"⚠ 重複打卡","OK")))</f>
        <v/>
      </c>
    </row>
    <row r="719">
      <c r="A719" s="20" t="n"/>
      <c r="B719" s="18" t="n"/>
      <c r="C719" s="81" t="n"/>
      <c r="D719" s="81" t="n"/>
      <c r="E719" s="16">
        <f>IF($A719="","",$A719&amp;"|"&amp;DAY($B719))</f>
        <v/>
      </c>
      <c r="F719" s="16">
        <f>IF($A719="","",IF(COUNTIF(設定!$B$62:$B$201,$A719)=0,"⚠ 查無員編",IF(COUNTIF($E$3:$E$2002,$E719)&gt;1,"⚠ 重複打卡","OK")))</f>
        <v/>
      </c>
    </row>
    <row r="720">
      <c r="A720" s="20" t="n"/>
      <c r="B720" s="18" t="n"/>
      <c r="C720" s="81" t="n"/>
      <c r="D720" s="81" t="n"/>
      <c r="E720" s="16">
        <f>IF($A720="","",$A720&amp;"|"&amp;DAY($B720))</f>
        <v/>
      </c>
      <c r="F720" s="16">
        <f>IF($A720="","",IF(COUNTIF(設定!$B$62:$B$201,$A720)=0,"⚠ 查無員編",IF(COUNTIF($E$3:$E$2002,$E720)&gt;1,"⚠ 重複打卡","OK")))</f>
        <v/>
      </c>
    </row>
    <row r="721">
      <c r="A721" s="20" t="n"/>
      <c r="B721" s="18" t="n"/>
      <c r="C721" s="81" t="n"/>
      <c r="D721" s="81" t="n"/>
      <c r="E721" s="16">
        <f>IF($A721="","",$A721&amp;"|"&amp;DAY($B721))</f>
        <v/>
      </c>
      <c r="F721" s="16">
        <f>IF($A721="","",IF(COUNTIF(設定!$B$62:$B$201,$A721)=0,"⚠ 查無員編",IF(COUNTIF($E$3:$E$2002,$E721)&gt;1,"⚠ 重複打卡","OK")))</f>
        <v/>
      </c>
    </row>
    <row r="722">
      <c r="A722" s="20" t="n"/>
      <c r="B722" s="18" t="n"/>
      <c r="C722" s="81" t="n"/>
      <c r="D722" s="81" t="n"/>
      <c r="E722" s="16">
        <f>IF($A722="","",$A722&amp;"|"&amp;DAY($B722))</f>
        <v/>
      </c>
      <c r="F722" s="16">
        <f>IF($A722="","",IF(COUNTIF(設定!$B$62:$B$201,$A722)=0,"⚠ 查無員編",IF(COUNTIF($E$3:$E$2002,$E722)&gt;1,"⚠ 重複打卡","OK")))</f>
        <v/>
      </c>
    </row>
    <row r="723">
      <c r="A723" s="20" t="n"/>
      <c r="B723" s="18" t="n"/>
      <c r="C723" s="81" t="n"/>
      <c r="D723" s="81" t="n"/>
      <c r="E723" s="16">
        <f>IF($A723="","",$A723&amp;"|"&amp;DAY($B723))</f>
        <v/>
      </c>
      <c r="F723" s="16">
        <f>IF($A723="","",IF(COUNTIF(設定!$B$62:$B$201,$A723)=0,"⚠ 查無員編",IF(COUNTIF($E$3:$E$2002,$E723)&gt;1,"⚠ 重複打卡","OK")))</f>
        <v/>
      </c>
    </row>
    <row r="724">
      <c r="A724" s="20" t="n"/>
      <c r="B724" s="18" t="n"/>
      <c r="C724" s="81" t="n"/>
      <c r="D724" s="81" t="n"/>
      <c r="E724" s="16">
        <f>IF($A724="","",$A724&amp;"|"&amp;DAY($B724))</f>
        <v/>
      </c>
      <c r="F724" s="16">
        <f>IF($A724="","",IF(COUNTIF(設定!$B$62:$B$201,$A724)=0,"⚠ 查無員編",IF(COUNTIF($E$3:$E$2002,$E724)&gt;1,"⚠ 重複打卡","OK")))</f>
        <v/>
      </c>
    </row>
    <row r="725">
      <c r="A725" s="20" t="n"/>
      <c r="B725" s="18" t="n"/>
      <c r="C725" s="81" t="n"/>
      <c r="D725" s="81" t="n"/>
      <c r="E725" s="16">
        <f>IF($A725="","",$A725&amp;"|"&amp;DAY($B725))</f>
        <v/>
      </c>
      <c r="F725" s="16">
        <f>IF($A725="","",IF(COUNTIF(設定!$B$62:$B$201,$A725)=0,"⚠ 查無員編",IF(COUNTIF($E$3:$E$2002,$E725)&gt;1,"⚠ 重複打卡","OK")))</f>
        <v/>
      </c>
    </row>
    <row r="726">
      <c r="A726" s="20" t="n"/>
      <c r="B726" s="18" t="n"/>
      <c r="C726" s="81" t="n"/>
      <c r="D726" s="81" t="n"/>
      <c r="E726" s="16">
        <f>IF($A726="","",$A726&amp;"|"&amp;DAY($B726))</f>
        <v/>
      </c>
      <c r="F726" s="16">
        <f>IF($A726="","",IF(COUNTIF(設定!$B$62:$B$201,$A726)=0,"⚠ 查無員編",IF(COUNTIF($E$3:$E$2002,$E726)&gt;1,"⚠ 重複打卡","OK")))</f>
        <v/>
      </c>
    </row>
    <row r="727">
      <c r="A727" s="20" t="n"/>
      <c r="B727" s="18" t="n"/>
      <c r="C727" s="81" t="n"/>
      <c r="D727" s="81" t="n"/>
      <c r="E727" s="16">
        <f>IF($A727="","",$A727&amp;"|"&amp;DAY($B727))</f>
        <v/>
      </c>
      <c r="F727" s="16">
        <f>IF($A727="","",IF(COUNTIF(設定!$B$62:$B$201,$A727)=0,"⚠ 查無員編",IF(COUNTIF($E$3:$E$2002,$E727)&gt;1,"⚠ 重複打卡","OK")))</f>
        <v/>
      </c>
    </row>
    <row r="728">
      <c r="A728" s="20" t="n"/>
      <c r="B728" s="18" t="n"/>
      <c r="C728" s="81" t="n"/>
      <c r="D728" s="81" t="n"/>
      <c r="E728" s="16">
        <f>IF($A728="","",$A728&amp;"|"&amp;DAY($B728))</f>
        <v/>
      </c>
      <c r="F728" s="16">
        <f>IF($A728="","",IF(COUNTIF(設定!$B$62:$B$201,$A728)=0,"⚠ 查無員編",IF(COUNTIF($E$3:$E$2002,$E728)&gt;1,"⚠ 重複打卡","OK")))</f>
        <v/>
      </c>
    </row>
    <row r="729">
      <c r="A729" s="20" t="n"/>
      <c r="B729" s="18" t="n"/>
      <c r="C729" s="81" t="n"/>
      <c r="D729" s="81" t="n"/>
      <c r="E729" s="16">
        <f>IF($A729="","",$A729&amp;"|"&amp;DAY($B729))</f>
        <v/>
      </c>
      <c r="F729" s="16">
        <f>IF($A729="","",IF(COUNTIF(設定!$B$62:$B$201,$A729)=0,"⚠ 查無員編",IF(COUNTIF($E$3:$E$2002,$E729)&gt;1,"⚠ 重複打卡","OK")))</f>
        <v/>
      </c>
    </row>
    <row r="730">
      <c r="A730" s="20" t="n"/>
      <c r="B730" s="18" t="n"/>
      <c r="C730" s="81" t="n"/>
      <c r="D730" s="81" t="n"/>
      <c r="E730" s="16">
        <f>IF($A730="","",$A730&amp;"|"&amp;DAY($B730))</f>
        <v/>
      </c>
      <c r="F730" s="16">
        <f>IF($A730="","",IF(COUNTIF(設定!$B$62:$B$201,$A730)=0,"⚠ 查無員編",IF(COUNTIF($E$3:$E$2002,$E730)&gt;1,"⚠ 重複打卡","OK")))</f>
        <v/>
      </c>
    </row>
    <row r="731">
      <c r="A731" s="20" t="n"/>
      <c r="B731" s="18" t="n"/>
      <c r="C731" s="81" t="n"/>
      <c r="D731" s="81" t="n"/>
      <c r="E731" s="16">
        <f>IF($A731="","",$A731&amp;"|"&amp;DAY($B731))</f>
        <v/>
      </c>
      <c r="F731" s="16">
        <f>IF($A731="","",IF(COUNTIF(設定!$B$62:$B$201,$A731)=0,"⚠ 查無員編",IF(COUNTIF($E$3:$E$2002,$E731)&gt;1,"⚠ 重複打卡","OK")))</f>
        <v/>
      </c>
    </row>
    <row r="732">
      <c r="A732" s="20" t="n"/>
      <c r="B732" s="18" t="n"/>
      <c r="C732" s="81" t="n"/>
      <c r="D732" s="81" t="n"/>
      <c r="E732" s="16">
        <f>IF($A732="","",$A732&amp;"|"&amp;DAY($B732))</f>
        <v/>
      </c>
      <c r="F732" s="16">
        <f>IF($A732="","",IF(COUNTIF(設定!$B$62:$B$201,$A732)=0,"⚠ 查無員編",IF(COUNTIF($E$3:$E$2002,$E732)&gt;1,"⚠ 重複打卡","OK")))</f>
        <v/>
      </c>
    </row>
    <row r="733">
      <c r="A733" s="20" t="n"/>
      <c r="B733" s="18" t="n"/>
      <c r="C733" s="81" t="n"/>
      <c r="D733" s="81" t="n"/>
      <c r="E733" s="16">
        <f>IF($A733="","",$A733&amp;"|"&amp;DAY($B733))</f>
        <v/>
      </c>
      <c r="F733" s="16">
        <f>IF($A733="","",IF(COUNTIF(設定!$B$62:$B$201,$A733)=0,"⚠ 查無員編",IF(COUNTIF($E$3:$E$2002,$E733)&gt;1,"⚠ 重複打卡","OK")))</f>
        <v/>
      </c>
    </row>
    <row r="734">
      <c r="A734" s="20" t="n"/>
      <c r="B734" s="18" t="n"/>
      <c r="C734" s="81" t="n"/>
      <c r="D734" s="81" t="n"/>
      <c r="E734" s="16">
        <f>IF($A734="","",$A734&amp;"|"&amp;DAY($B734))</f>
        <v/>
      </c>
      <c r="F734" s="16">
        <f>IF($A734="","",IF(COUNTIF(設定!$B$62:$B$201,$A734)=0,"⚠ 查無員編",IF(COUNTIF($E$3:$E$2002,$E734)&gt;1,"⚠ 重複打卡","OK")))</f>
        <v/>
      </c>
    </row>
    <row r="735">
      <c r="A735" s="20" t="n"/>
      <c r="B735" s="18" t="n"/>
      <c r="C735" s="81" t="n"/>
      <c r="D735" s="81" t="n"/>
      <c r="E735" s="16">
        <f>IF($A735="","",$A735&amp;"|"&amp;DAY($B735))</f>
        <v/>
      </c>
      <c r="F735" s="16">
        <f>IF($A735="","",IF(COUNTIF(設定!$B$62:$B$201,$A735)=0,"⚠ 查無員編",IF(COUNTIF($E$3:$E$2002,$E735)&gt;1,"⚠ 重複打卡","OK")))</f>
        <v/>
      </c>
    </row>
    <row r="736">
      <c r="A736" s="20" t="n"/>
      <c r="B736" s="18" t="n"/>
      <c r="C736" s="81" t="n"/>
      <c r="D736" s="81" t="n"/>
      <c r="E736" s="16">
        <f>IF($A736="","",$A736&amp;"|"&amp;DAY($B736))</f>
        <v/>
      </c>
      <c r="F736" s="16">
        <f>IF($A736="","",IF(COUNTIF(設定!$B$62:$B$201,$A736)=0,"⚠ 查無員編",IF(COUNTIF($E$3:$E$2002,$E736)&gt;1,"⚠ 重複打卡","OK")))</f>
        <v/>
      </c>
    </row>
    <row r="737">
      <c r="A737" s="20" t="n"/>
      <c r="B737" s="18" t="n"/>
      <c r="C737" s="81" t="n"/>
      <c r="D737" s="81" t="n"/>
      <c r="E737" s="16">
        <f>IF($A737="","",$A737&amp;"|"&amp;DAY($B737))</f>
        <v/>
      </c>
      <c r="F737" s="16">
        <f>IF($A737="","",IF(COUNTIF(設定!$B$62:$B$201,$A737)=0,"⚠ 查無員編",IF(COUNTIF($E$3:$E$2002,$E737)&gt;1,"⚠ 重複打卡","OK")))</f>
        <v/>
      </c>
    </row>
    <row r="738">
      <c r="A738" s="20" t="n"/>
      <c r="B738" s="18" t="n"/>
      <c r="C738" s="81" t="n"/>
      <c r="D738" s="81" t="n"/>
      <c r="E738" s="16">
        <f>IF($A738="","",$A738&amp;"|"&amp;DAY($B738))</f>
        <v/>
      </c>
      <c r="F738" s="16">
        <f>IF($A738="","",IF(COUNTIF(設定!$B$62:$B$201,$A738)=0,"⚠ 查無員編",IF(COUNTIF($E$3:$E$2002,$E738)&gt;1,"⚠ 重複打卡","OK")))</f>
        <v/>
      </c>
    </row>
    <row r="739">
      <c r="A739" s="20" t="n"/>
      <c r="B739" s="18" t="n"/>
      <c r="C739" s="81" t="n"/>
      <c r="D739" s="81" t="n"/>
      <c r="E739" s="16">
        <f>IF($A739="","",$A739&amp;"|"&amp;DAY($B739))</f>
        <v/>
      </c>
      <c r="F739" s="16">
        <f>IF($A739="","",IF(COUNTIF(設定!$B$62:$B$201,$A739)=0,"⚠ 查無員編",IF(COUNTIF($E$3:$E$2002,$E739)&gt;1,"⚠ 重複打卡","OK")))</f>
        <v/>
      </c>
    </row>
    <row r="740">
      <c r="A740" s="20" t="n"/>
      <c r="B740" s="18" t="n"/>
      <c r="C740" s="81" t="n"/>
      <c r="D740" s="81" t="n"/>
      <c r="E740" s="16">
        <f>IF($A740="","",$A740&amp;"|"&amp;DAY($B740))</f>
        <v/>
      </c>
      <c r="F740" s="16">
        <f>IF($A740="","",IF(COUNTIF(設定!$B$62:$B$201,$A740)=0,"⚠ 查無員編",IF(COUNTIF($E$3:$E$2002,$E740)&gt;1,"⚠ 重複打卡","OK")))</f>
        <v/>
      </c>
    </row>
    <row r="741">
      <c r="A741" s="20" t="n"/>
      <c r="B741" s="18" t="n"/>
      <c r="C741" s="81" t="n"/>
      <c r="D741" s="81" t="n"/>
      <c r="E741" s="16">
        <f>IF($A741="","",$A741&amp;"|"&amp;DAY($B741))</f>
        <v/>
      </c>
      <c r="F741" s="16">
        <f>IF($A741="","",IF(COUNTIF(設定!$B$62:$B$201,$A741)=0,"⚠ 查無員編",IF(COUNTIF($E$3:$E$2002,$E741)&gt;1,"⚠ 重複打卡","OK")))</f>
        <v/>
      </c>
    </row>
    <row r="742">
      <c r="A742" s="20" t="n"/>
      <c r="B742" s="18" t="n"/>
      <c r="C742" s="81" t="n"/>
      <c r="D742" s="81" t="n"/>
      <c r="E742" s="16">
        <f>IF($A742="","",$A742&amp;"|"&amp;DAY($B742))</f>
        <v/>
      </c>
      <c r="F742" s="16">
        <f>IF($A742="","",IF(COUNTIF(設定!$B$62:$B$201,$A742)=0,"⚠ 查無員編",IF(COUNTIF($E$3:$E$2002,$E742)&gt;1,"⚠ 重複打卡","OK")))</f>
        <v/>
      </c>
    </row>
    <row r="743">
      <c r="A743" s="20" t="n"/>
      <c r="B743" s="18" t="n"/>
      <c r="C743" s="81" t="n"/>
      <c r="D743" s="81" t="n"/>
      <c r="E743" s="16">
        <f>IF($A743="","",$A743&amp;"|"&amp;DAY($B743))</f>
        <v/>
      </c>
      <c r="F743" s="16">
        <f>IF($A743="","",IF(COUNTIF(設定!$B$62:$B$201,$A743)=0,"⚠ 查無員編",IF(COUNTIF($E$3:$E$2002,$E743)&gt;1,"⚠ 重複打卡","OK")))</f>
        <v/>
      </c>
    </row>
    <row r="744">
      <c r="A744" s="20" t="n"/>
      <c r="B744" s="18" t="n"/>
      <c r="C744" s="81" t="n"/>
      <c r="D744" s="81" t="n"/>
      <c r="E744" s="16">
        <f>IF($A744="","",$A744&amp;"|"&amp;DAY($B744))</f>
        <v/>
      </c>
      <c r="F744" s="16">
        <f>IF($A744="","",IF(COUNTIF(設定!$B$62:$B$201,$A744)=0,"⚠ 查無員編",IF(COUNTIF($E$3:$E$2002,$E744)&gt;1,"⚠ 重複打卡","OK")))</f>
        <v/>
      </c>
    </row>
    <row r="745">
      <c r="A745" s="20" t="n"/>
      <c r="B745" s="18" t="n"/>
      <c r="C745" s="81" t="n"/>
      <c r="D745" s="81" t="n"/>
      <c r="E745" s="16">
        <f>IF($A745="","",$A745&amp;"|"&amp;DAY($B745))</f>
        <v/>
      </c>
      <c r="F745" s="16">
        <f>IF($A745="","",IF(COUNTIF(設定!$B$62:$B$201,$A745)=0,"⚠ 查無員編",IF(COUNTIF($E$3:$E$2002,$E745)&gt;1,"⚠ 重複打卡","OK")))</f>
        <v/>
      </c>
    </row>
    <row r="746">
      <c r="A746" s="20" t="n"/>
      <c r="B746" s="18" t="n"/>
      <c r="C746" s="81" t="n"/>
      <c r="D746" s="81" t="n"/>
      <c r="E746" s="16">
        <f>IF($A746="","",$A746&amp;"|"&amp;DAY($B746))</f>
        <v/>
      </c>
      <c r="F746" s="16">
        <f>IF($A746="","",IF(COUNTIF(設定!$B$62:$B$201,$A746)=0,"⚠ 查無員編",IF(COUNTIF($E$3:$E$2002,$E746)&gt;1,"⚠ 重複打卡","OK")))</f>
        <v/>
      </c>
    </row>
    <row r="747">
      <c r="A747" s="20" t="n"/>
      <c r="B747" s="18" t="n"/>
      <c r="C747" s="81" t="n"/>
      <c r="D747" s="81" t="n"/>
      <c r="E747" s="16">
        <f>IF($A747="","",$A747&amp;"|"&amp;DAY($B747))</f>
        <v/>
      </c>
      <c r="F747" s="16">
        <f>IF($A747="","",IF(COUNTIF(設定!$B$62:$B$201,$A747)=0,"⚠ 查無員編",IF(COUNTIF($E$3:$E$2002,$E747)&gt;1,"⚠ 重複打卡","OK")))</f>
        <v/>
      </c>
    </row>
    <row r="748">
      <c r="A748" s="20" t="n"/>
      <c r="B748" s="18" t="n"/>
      <c r="C748" s="81" t="n"/>
      <c r="D748" s="81" t="n"/>
      <c r="E748" s="16">
        <f>IF($A748="","",$A748&amp;"|"&amp;DAY($B748))</f>
        <v/>
      </c>
      <c r="F748" s="16">
        <f>IF($A748="","",IF(COUNTIF(設定!$B$62:$B$201,$A748)=0,"⚠ 查無員編",IF(COUNTIF($E$3:$E$2002,$E748)&gt;1,"⚠ 重複打卡","OK")))</f>
        <v/>
      </c>
    </row>
    <row r="749">
      <c r="A749" s="20" t="n"/>
      <c r="B749" s="18" t="n"/>
      <c r="C749" s="81" t="n"/>
      <c r="D749" s="81" t="n"/>
      <c r="E749" s="16">
        <f>IF($A749="","",$A749&amp;"|"&amp;DAY($B749))</f>
        <v/>
      </c>
      <c r="F749" s="16">
        <f>IF($A749="","",IF(COUNTIF(設定!$B$62:$B$201,$A749)=0,"⚠ 查無員編",IF(COUNTIF($E$3:$E$2002,$E749)&gt;1,"⚠ 重複打卡","OK")))</f>
        <v/>
      </c>
    </row>
    <row r="750">
      <c r="A750" s="20" t="n"/>
      <c r="B750" s="18" t="n"/>
      <c r="C750" s="81" t="n"/>
      <c r="D750" s="81" t="n"/>
      <c r="E750" s="16">
        <f>IF($A750="","",$A750&amp;"|"&amp;DAY($B750))</f>
        <v/>
      </c>
      <c r="F750" s="16">
        <f>IF($A750="","",IF(COUNTIF(設定!$B$62:$B$201,$A750)=0,"⚠ 查無員編",IF(COUNTIF($E$3:$E$2002,$E750)&gt;1,"⚠ 重複打卡","OK")))</f>
        <v/>
      </c>
    </row>
    <row r="751">
      <c r="A751" s="20" t="n"/>
      <c r="B751" s="18" t="n"/>
      <c r="C751" s="81" t="n"/>
      <c r="D751" s="81" t="n"/>
      <c r="E751" s="16">
        <f>IF($A751="","",$A751&amp;"|"&amp;DAY($B751))</f>
        <v/>
      </c>
      <c r="F751" s="16">
        <f>IF($A751="","",IF(COUNTIF(設定!$B$62:$B$201,$A751)=0,"⚠ 查無員編",IF(COUNTIF($E$3:$E$2002,$E751)&gt;1,"⚠ 重複打卡","OK")))</f>
        <v/>
      </c>
    </row>
    <row r="752">
      <c r="A752" s="20" t="n"/>
      <c r="B752" s="18" t="n"/>
      <c r="C752" s="81" t="n"/>
      <c r="D752" s="81" t="n"/>
      <c r="E752" s="16">
        <f>IF($A752="","",$A752&amp;"|"&amp;DAY($B752))</f>
        <v/>
      </c>
      <c r="F752" s="16">
        <f>IF($A752="","",IF(COUNTIF(設定!$B$62:$B$201,$A752)=0,"⚠ 查無員編",IF(COUNTIF($E$3:$E$2002,$E752)&gt;1,"⚠ 重複打卡","OK")))</f>
        <v/>
      </c>
    </row>
    <row r="753">
      <c r="A753" s="20" t="n"/>
      <c r="B753" s="18" t="n"/>
      <c r="C753" s="81" t="n"/>
      <c r="D753" s="81" t="n"/>
      <c r="E753" s="16">
        <f>IF($A753="","",$A753&amp;"|"&amp;DAY($B753))</f>
        <v/>
      </c>
      <c r="F753" s="16">
        <f>IF($A753="","",IF(COUNTIF(設定!$B$62:$B$201,$A753)=0,"⚠ 查無員編",IF(COUNTIF($E$3:$E$2002,$E753)&gt;1,"⚠ 重複打卡","OK")))</f>
        <v/>
      </c>
    </row>
    <row r="754">
      <c r="A754" s="20" t="n"/>
      <c r="B754" s="18" t="n"/>
      <c r="C754" s="81" t="n"/>
      <c r="D754" s="81" t="n"/>
      <c r="E754" s="16">
        <f>IF($A754="","",$A754&amp;"|"&amp;DAY($B754))</f>
        <v/>
      </c>
      <c r="F754" s="16">
        <f>IF($A754="","",IF(COUNTIF(設定!$B$62:$B$201,$A754)=0,"⚠ 查無員編",IF(COUNTIF($E$3:$E$2002,$E754)&gt;1,"⚠ 重複打卡","OK")))</f>
        <v/>
      </c>
    </row>
    <row r="755">
      <c r="A755" s="20" t="n"/>
      <c r="B755" s="18" t="n"/>
      <c r="C755" s="81" t="n"/>
      <c r="D755" s="81" t="n"/>
      <c r="E755" s="16">
        <f>IF($A755="","",$A755&amp;"|"&amp;DAY($B755))</f>
        <v/>
      </c>
      <c r="F755" s="16">
        <f>IF($A755="","",IF(COUNTIF(設定!$B$62:$B$201,$A755)=0,"⚠ 查無員編",IF(COUNTIF($E$3:$E$2002,$E755)&gt;1,"⚠ 重複打卡","OK")))</f>
        <v/>
      </c>
    </row>
    <row r="756">
      <c r="A756" s="20" t="n"/>
      <c r="B756" s="18" t="n"/>
      <c r="C756" s="81" t="n"/>
      <c r="D756" s="81" t="n"/>
      <c r="E756" s="16">
        <f>IF($A756="","",$A756&amp;"|"&amp;DAY($B756))</f>
        <v/>
      </c>
      <c r="F756" s="16">
        <f>IF($A756="","",IF(COUNTIF(設定!$B$62:$B$201,$A756)=0,"⚠ 查無員編",IF(COUNTIF($E$3:$E$2002,$E756)&gt;1,"⚠ 重複打卡","OK")))</f>
        <v/>
      </c>
    </row>
    <row r="757">
      <c r="A757" s="20" t="n"/>
      <c r="B757" s="18" t="n"/>
      <c r="C757" s="81" t="n"/>
      <c r="D757" s="81" t="n"/>
      <c r="E757" s="16">
        <f>IF($A757="","",$A757&amp;"|"&amp;DAY($B757))</f>
        <v/>
      </c>
      <c r="F757" s="16">
        <f>IF($A757="","",IF(COUNTIF(設定!$B$62:$B$201,$A757)=0,"⚠ 查無員編",IF(COUNTIF($E$3:$E$2002,$E757)&gt;1,"⚠ 重複打卡","OK")))</f>
        <v/>
      </c>
    </row>
    <row r="758">
      <c r="A758" s="20" t="n"/>
      <c r="B758" s="18" t="n"/>
      <c r="C758" s="81" t="n"/>
      <c r="D758" s="81" t="n"/>
      <c r="E758" s="16">
        <f>IF($A758="","",$A758&amp;"|"&amp;DAY($B758))</f>
        <v/>
      </c>
      <c r="F758" s="16">
        <f>IF($A758="","",IF(COUNTIF(設定!$B$62:$B$201,$A758)=0,"⚠ 查無員編",IF(COUNTIF($E$3:$E$2002,$E758)&gt;1,"⚠ 重複打卡","OK")))</f>
        <v/>
      </c>
    </row>
    <row r="759">
      <c r="A759" s="20" t="n"/>
      <c r="B759" s="18" t="n"/>
      <c r="C759" s="81" t="n"/>
      <c r="D759" s="81" t="n"/>
      <c r="E759" s="16">
        <f>IF($A759="","",$A759&amp;"|"&amp;DAY($B759))</f>
        <v/>
      </c>
      <c r="F759" s="16">
        <f>IF($A759="","",IF(COUNTIF(設定!$B$62:$B$201,$A759)=0,"⚠ 查無員編",IF(COUNTIF($E$3:$E$2002,$E759)&gt;1,"⚠ 重複打卡","OK")))</f>
        <v/>
      </c>
    </row>
    <row r="760">
      <c r="A760" s="20" t="n"/>
      <c r="B760" s="18" t="n"/>
      <c r="C760" s="81" t="n"/>
      <c r="D760" s="81" t="n"/>
      <c r="E760" s="16">
        <f>IF($A760="","",$A760&amp;"|"&amp;DAY($B760))</f>
        <v/>
      </c>
      <c r="F760" s="16">
        <f>IF($A760="","",IF(COUNTIF(設定!$B$62:$B$201,$A760)=0,"⚠ 查無員編",IF(COUNTIF($E$3:$E$2002,$E760)&gt;1,"⚠ 重複打卡","OK")))</f>
        <v/>
      </c>
    </row>
    <row r="761">
      <c r="A761" s="20" t="n"/>
      <c r="B761" s="18" t="n"/>
      <c r="C761" s="81" t="n"/>
      <c r="D761" s="81" t="n"/>
      <c r="E761" s="16">
        <f>IF($A761="","",$A761&amp;"|"&amp;DAY($B761))</f>
        <v/>
      </c>
      <c r="F761" s="16">
        <f>IF($A761="","",IF(COUNTIF(設定!$B$62:$B$201,$A761)=0,"⚠ 查無員編",IF(COUNTIF($E$3:$E$2002,$E761)&gt;1,"⚠ 重複打卡","OK")))</f>
        <v/>
      </c>
    </row>
    <row r="762">
      <c r="A762" s="20" t="n"/>
      <c r="B762" s="18" t="n"/>
      <c r="C762" s="81" t="n"/>
      <c r="D762" s="81" t="n"/>
      <c r="E762" s="16">
        <f>IF($A762="","",$A762&amp;"|"&amp;DAY($B762))</f>
        <v/>
      </c>
      <c r="F762" s="16">
        <f>IF($A762="","",IF(COUNTIF(設定!$B$62:$B$201,$A762)=0,"⚠ 查無員編",IF(COUNTIF($E$3:$E$2002,$E762)&gt;1,"⚠ 重複打卡","OK")))</f>
        <v/>
      </c>
    </row>
    <row r="763">
      <c r="A763" s="20" t="n"/>
      <c r="B763" s="18" t="n"/>
      <c r="C763" s="81" t="n"/>
      <c r="D763" s="81" t="n"/>
      <c r="E763" s="16">
        <f>IF($A763="","",$A763&amp;"|"&amp;DAY($B763))</f>
        <v/>
      </c>
      <c r="F763" s="16">
        <f>IF($A763="","",IF(COUNTIF(設定!$B$62:$B$201,$A763)=0,"⚠ 查無員編",IF(COUNTIF($E$3:$E$2002,$E763)&gt;1,"⚠ 重複打卡","OK")))</f>
        <v/>
      </c>
    </row>
    <row r="764">
      <c r="A764" s="20" t="n"/>
      <c r="B764" s="18" t="n"/>
      <c r="C764" s="81" t="n"/>
      <c r="D764" s="81" t="n"/>
      <c r="E764" s="16">
        <f>IF($A764="","",$A764&amp;"|"&amp;DAY($B764))</f>
        <v/>
      </c>
      <c r="F764" s="16">
        <f>IF($A764="","",IF(COUNTIF(設定!$B$62:$B$201,$A764)=0,"⚠ 查無員編",IF(COUNTIF($E$3:$E$2002,$E764)&gt;1,"⚠ 重複打卡","OK")))</f>
        <v/>
      </c>
    </row>
    <row r="765">
      <c r="A765" s="20" t="n"/>
      <c r="B765" s="18" t="n"/>
      <c r="C765" s="81" t="n"/>
      <c r="D765" s="81" t="n"/>
      <c r="E765" s="16">
        <f>IF($A765="","",$A765&amp;"|"&amp;DAY($B765))</f>
        <v/>
      </c>
      <c r="F765" s="16">
        <f>IF($A765="","",IF(COUNTIF(設定!$B$62:$B$201,$A765)=0,"⚠ 查無員編",IF(COUNTIF($E$3:$E$2002,$E765)&gt;1,"⚠ 重複打卡","OK")))</f>
        <v/>
      </c>
    </row>
    <row r="766">
      <c r="A766" s="20" t="n"/>
      <c r="B766" s="18" t="n"/>
      <c r="C766" s="81" t="n"/>
      <c r="D766" s="81" t="n"/>
      <c r="E766" s="16">
        <f>IF($A766="","",$A766&amp;"|"&amp;DAY($B766))</f>
        <v/>
      </c>
      <c r="F766" s="16">
        <f>IF($A766="","",IF(COUNTIF(設定!$B$62:$B$201,$A766)=0,"⚠ 查無員編",IF(COUNTIF($E$3:$E$2002,$E766)&gt;1,"⚠ 重複打卡","OK")))</f>
        <v/>
      </c>
    </row>
    <row r="767">
      <c r="A767" s="20" t="n"/>
      <c r="B767" s="18" t="n"/>
      <c r="C767" s="81" t="n"/>
      <c r="D767" s="81" t="n"/>
      <c r="E767" s="16">
        <f>IF($A767="","",$A767&amp;"|"&amp;DAY($B767))</f>
        <v/>
      </c>
      <c r="F767" s="16">
        <f>IF($A767="","",IF(COUNTIF(設定!$B$62:$B$201,$A767)=0,"⚠ 查無員編",IF(COUNTIF($E$3:$E$2002,$E767)&gt;1,"⚠ 重複打卡","OK")))</f>
        <v/>
      </c>
    </row>
    <row r="768">
      <c r="A768" s="20" t="n"/>
      <c r="B768" s="18" t="n"/>
      <c r="C768" s="81" t="n"/>
      <c r="D768" s="81" t="n"/>
      <c r="E768" s="16">
        <f>IF($A768="","",$A768&amp;"|"&amp;DAY($B768))</f>
        <v/>
      </c>
      <c r="F768" s="16">
        <f>IF($A768="","",IF(COUNTIF(設定!$B$62:$B$201,$A768)=0,"⚠ 查無員編",IF(COUNTIF($E$3:$E$2002,$E768)&gt;1,"⚠ 重複打卡","OK")))</f>
        <v/>
      </c>
    </row>
    <row r="769">
      <c r="A769" s="20" t="n"/>
      <c r="B769" s="18" t="n"/>
      <c r="C769" s="81" t="n"/>
      <c r="D769" s="81" t="n"/>
      <c r="E769" s="16">
        <f>IF($A769="","",$A769&amp;"|"&amp;DAY($B769))</f>
        <v/>
      </c>
      <c r="F769" s="16">
        <f>IF($A769="","",IF(COUNTIF(設定!$B$62:$B$201,$A769)=0,"⚠ 查無員編",IF(COUNTIF($E$3:$E$2002,$E769)&gt;1,"⚠ 重複打卡","OK")))</f>
        <v/>
      </c>
    </row>
    <row r="770">
      <c r="A770" s="20" t="n"/>
      <c r="B770" s="18" t="n"/>
      <c r="C770" s="81" t="n"/>
      <c r="D770" s="81" t="n"/>
      <c r="E770" s="16">
        <f>IF($A770="","",$A770&amp;"|"&amp;DAY($B770))</f>
        <v/>
      </c>
      <c r="F770" s="16">
        <f>IF($A770="","",IF(COUNTIF(設定!$B$62:$B$201,$A770)=0,"⚠ 查無員編",IF(COUNTIF($E$3:$E$2002,$E770)&gt;1,"⚠ 重複打卡","OK")))</f>
        <v/>
      </c>
    </row>
    <row r="771">
      <c r="A771" s="20" t="n"/>
      <c r="B771" s="18" t="n"/>
      <c r="C771" s="81" t="n"/>
      <c r="D771" s="81" t="n"/>
      <c r="E771" s="16">
        <f>IF($A771="","",$A771&amp;"|"&amp;DAY($B771))</f>
        <v/>
      </c>
      <c r="F771" s="16">
        <f>IF($A771="","",IF(COUNTIF(設定!$B$62:$B$201,$A771)=0,"⚠ 查無員編",IF(COUNTIF($E$3:$E$2002,$E771)&gt;1,"⚠ 重複打卡","OK")))</f>
        <v/>
      </c>
    </row>
    <row r="772">
      <c r="A772" s="20" t="n"/>
      <c r="B772" s="18" t="n"/>
      <c r="C772" s="81" t="n"/>
      <c r="D772" s="81" t="n"/>
      <c r="E772" s="16">
        <f>IF($A772="","",$A772&amp;"|"&amp;DAY($B772))</f>
        <v/>
      </c>
      <c r="F772" s="16">
        <f>IF($A772="","",IF(COUNTIF(設定!$B$62:$B$201,$A772)=0,"⚠ 查無員編",IF(COUNTIF($E$3:$E$2002,$E772)&gt;1,"⚠ 重複打卡","OK")))</f>
        <v/>
      </c>
    </row>
    <row r="773">
      <c r="A773" s="20" t="n"/>
      <c r="B773" s="18" t="n"/>
      <c r="C773" s="81" t="n"/>
      <c r="D773" s="81" t="n"/>
      <c r="E773" s="16">
        <f>IF($A773="","",$A773&amp;"|"&amp;DAY($B773))</f>
        <v/>
      </c>
      <c r="F773" s="16">
        <f>IF($A773="","",IF(COUNTIF(設定!$B$62:$B$201,$A773)=0,"⚠ 查無員編",IF(COUNTIF($E$3:$E$2002,$E773)&gt;1,"⚠ 重複打卡","OK")))</f>
        <v/>
      </c>
    </row>
    <row r="774">
      <c r="A774" s="20" t="n"/>
      <c r="B774" s="18" t="n"/>
      <c r="C774" s="81" t="n"/>
      <c r="D774" s="81" t="n"/>
      <c r="E774" s="16">
        <f>IF($A774="","",$A774&amp;"|"&amp;DAY($B774))</f>
        <v/>
      </c>
      <c r="F774" s="16">
        <f>IF($A774="","",IF(COUNTIF(設定!$B$62:$B$201,$A774)=0,"⚠ 查無員編",IF(COUNTIF($E$3:$E$2002,$E774)&gt;1,"⚠ 重複打卡","OK")))</f>
        <v/>
      </c>
    </row>
    <row r="775">
      <c r="A775" s="20" t="n"/>
      <c r="B775" s="18" t="n"/>
      <c r="C775" s="81" t="n"/>
      <c r="D775" s="81" t="n"/>
      <c r="E775" s="16">
        <f>IF($A775="","",$A775&amp;"|"&amp;DAY($B775))</f>
        <v/>
      </c>
      <c r="F775" s="16">
        <f>IF($A775="","",IF(COUNTIF(設定!$B$62:$B$201,$A775)=0,"⚠ 查無員編",IF(COUNTIF($E$3:$E$2002,$E775)&gt;1,"⚠ 重複打卡","OK")))</f>
        <v/>
      </c>
    </row>
    <row r="776">
      <c r="A776" s="20" t="n"/>
      <c r="B776" s="18" t="n"/>
      <c r="C776" s="81" t="n"/>
      <c r="D776" s="81" t="n"/>
      <c r="E776" s="16">
        <f>IF($A776="","",$A776&amp;"|"&amp;DAY($B776))</f>
        <v/>
      </c>
      <c r="F776" s="16">
        <f>IF($A776="","",IF(COUNTIF(設定!$B$62:$B$201,$A776)=0,"⚠ 查無員編",IF(COUNTIF($E$3:$E$2002,$E776)&gt;1,"⚠ 重複打卡","OK")))</f>
        <v/>
      </c>
    </row>
    <row r="777">
      <c r="A777" s="20" t="n"/>
      <c r="B777" s="18" t="n"/>
      <c r="C777" s="81" t="n"/>
      <c r="D777" s="81" t="n"/>
      <c r="E777" s="16">
        <f>IF($A777="","",$A777&amp;"|"&amp;DAY($B777))</f>
        <v/>
      </c>
      <c r="F777" s="16">
        <f>IF($A777="","",IF(COUNTIF(設定!$B$62:$B$201,$A777)=0,"⚠ 查無員編",IF(COUNTIF($E$3:$E$2002,$E777)&gt;1,"⚠ 重複打卡","OK")))</f>
        <v/>
      </c>
    </row>
    <row r="778">
      <c r="A778" s="20" t="n"/>
      <c r="B778" s="18" t="n"/>
      <c r="C778" s="81" t="n"/>
      <c r="D778" s="81" t="n"/>
      <c r="E778" s="16">
        <f>IF($A778="","",$A778&amp;"|"&amp;DAY($B778))</f>
        <v/>
      </c>
      <c r="F778" s="16">
        <f>IF($A778="","",IF(COUNTIF(設定!$B$62:$B$201,$A778)=0,"⚠ 查無員編",IF(COUNTIF($E$3:$E$2002,$E778)&gt;1,"⚠ 重複打卡","OK")))</f>
        <v/>
      </c>
    </row>
    <row r="779">
      <c r="A779" s="20" t="n"/>
      <c r="B779" s="18" t="n"/>
      <c r="C779" s="81" t="n"/>
      <c r="D779" s="81" t="n"/>
      <c r="E779" s="16">
        <f>IF($A779="","",$A779&amp;"|"&amp;DAY($B779))</f>
        <v/>
      </c>
      <c r="F779" s="16">
        <f>IF($A779="","",IF(COUNTIF(設定!$B$62:$B$201,$A779)=0,"⚠ 查無員編",IF(COUNTIF($E$3:$E$2002,$E779)&gt;1,"⚠ 重複打卡","OK")))</f>
        <v/>
      </c>
    </row>
    <row r="780">
      <c r="A780" s="20" t="n"/>
      <c r="B780" s="18" t="n"/>
      <c r="C780" s="81" t="n"/>
      <c r="D780" s="81" t="n"/>
      <c r="E780" s="16">
        <f>IF($A780="","",$A780&amp;"|"&amp;DAY($B780))</f>
        <v/>
      </c>
      <c r="F780" s="16">
        <f>IF($A780="","",IF(COUNTIF(設定!$B$62:$B$201,$A780)=0,"⚠ 查無員編",IF(COUNTIF($E$3:$E$2002,$E780)&gt;1,"⚠ 重複打卡","OK")))</f>
        <v/>
      </c>
    </row>
    <row r="781">
      <c r="A781" s="20" t="n"/>
      <c r="B781" s="18" t="n"/>
      <c r="C781" s="81" t="n"/>
      <c r="D781" s="81" t="n"/>
      <c r="E781" s="16">
        <f>IF($A781="","",$A781&amp;"|"&amp;DAY($B781))</f>
        <v/>
      </c>
      <c r="F781" s="16">
        <f>IF($A781="","",IF(COUNTIF(設定!$B$62:$B$201,$A781)=0,"⚠ 查無員編",IF(COUNTIF($E$3:$E$2002,$E781)&gt;1,"⚠ 重複打卡","OK")))</f>
        <v/>
      </c>
    </row>
    <row r="782">
      <c r="A782" s="20" t="n"/>
      <c r="B782" s="18" t="n"/>
      <c r="C782" s="81" t="n"/>
      <c r="D782" s="81" t="n"/>
      <c r="E782" s="16">
        <f>IF($A782="","",$A782&amp;"|"&amp;DAY($B782))</f>
        <v/>
      </c>
      <c r="F782" s="16">
        <f>IF($A782="","",IF(COUNTIF(設定!$B$62:$B$201,$A782)=0,"⚠ 查無員編",IF(COUNTIF($E$3:$E$2002,$E782)&gt;1,"⚠ 重複打卡","OK")))</f>
        <v/>
      </c>
    </row>
    <row r="783">
      <c r="A783" s="20" t="n"/>
      <c r="B783" s="18" t="n"/>
      <c r="C783" s="81" t="n"/>
      <c r="D783" s="81" t="n"/>
      <c r="E783" s="16">
        <f>IF($A783="","",$A783&amp;"|"&amp;DAY($B783))</f>
        <v/>
      </c>
      <c r="F783" s="16">
        <f>IF($A783="","",IF(COUNTIF(設定!$B$62:$B$201,$A783)=0,"⚠ 查無員編",IF(COUNTIF($E$3:$E$2002,$E783)&gt;1,"⚠ 重複打卡","OK")))</f>
        <v/>
      </c>
    </row>
    <row r="784">
      <c r="A784" s="20" t="n"/>
      <c r="B784" s="18" t="n"/>
      <c r="C784" s="81" t="n"/>
      <c r="D784" s="81" t="n"/>
      <c r="E784" s="16">
        <f>IF($A784="","",$A784&amp;"|"&amp;DAY($B784))</f>
        <v/>
      </c>
      <c r="F784" s="16">
        <f>IF($A784="","",IF(COUNTIF(設定!$B$62:$B$201,$A784)=0,"⚠ 查無員編",IF(COUNTIF($E$3:$E$2002,$E784)&gt;1,"⚠ 重複打卡","OK")))</f>
        <v/>
      </c>
    </row>
    <row r="785">
      <c r="A785" s="20" t="n"/>
      <c r="B785" s="18" t="n"/>
      <c r="C785" s="81" t="n"/>
      <c r="D785" s="81" t="n"/>
      <c r="E785" s="16">
        <f>IF($A785="","",$A785&amp;"|"&amp;DAY($B785))</f>
        <v/>
      </c>
      <c r="F785" s="16">
        <f>IF($A785="","",IF(COUNTIF(設定!$B$62:$B$201,$A785)=0,"⚠ 查無員編",IF(COUNTIF($E$3:$E$2002,$E785)&gt;1,"⚠ 重複打卡","OK")))</f>
        <v/>
      </c>
    </row>
    <row r="786">
      <c r="A786" s="20" t="n"/>
      <c r="B786" s="18" t="n"/>
      <c r="C786" s="81" t="n"/>
      <c r="D786" s="81" t="n"/>
      <c r="E786" s="16">
        <f>IF($A786="","",$A786&amp;"|"&amp;DAY($B786))</f>
        <v/>
      </c>
      <c r="F786" s="16">
        <f>IF($A786="","",IF(COUNTIF(設定!$B$62:$B$201,$A786)=0,"⚠ 查無員編",IF(COUNTIF($E$3:$E$2002,$E786)&gt;1,"⚠ 重複打卡","OK")))</f>
        <v/>
      </c>
    </row>
    <row r="787">
      <c r="A787" s="20" t="n"/>
      <c r="B787" s="18" t="n"/>
      <c r="C787" s="81" t="n"/>
      <c r="D787" s="81" t="n"/>
      <c r="E787" s="16">
        <f>IF($A787="","",$A787&amp;"|"&amp;DAY($B787))</f>
        <v/>
      </c>
      <c r="F787" s="16">
        <f>IF($A787="","",IF(COUNTIF(設定!$B$62:$B$201,$A787)=0,"⚠ 查無員編",IF(COUNTIF($E$3:$E$2002,$E787)&gt;1,"⚠ 重複打卡","OK")))</f>
        <v/>
      </c>
    </row>
    <row r="788">
      <c r="A788" s="20" t="n"/>
      <c r="B788" s="18" t="n"/>
      <c r="C788" s="81" t="n"/>
      <c r="D788" s="81" t="n"/>
      <c r="E788" s="16">
        <f>IF($A788="","",$A788&amp;"|"&amp;DAY($B788))</f>
        <v/>
      </c>
      <c r="F788" s="16">
        <f>IF($A788="","",IF(COUNTIF(設定!$B$62:$B$201,$A788)=0,"⚠ 查無員編",IF(COUNTIF($E$3:$E$2002,$E788)&gt;1,"⚠ 重複打卡","OK")))</f>
        <v/>
      </c>
    </row>
    <row r="789">
      <c r="A789" s="20" t="n"/>
      <c r="B789" s="18" t="n"/>
      <c r="C789" s="81" t="n"/>
      <c r="D789" s="81" t="n"/>
      <c r="E789" s="16">
        <f>IF($A789="","",$A789&amp;"|"&amp;DAY($B789))</f>
        <v/>
      </c>
      <c r="F789" s="16">
        <f>IF($A789="","",IF(COUNTIF(設定!$B$62:$B$201,$A789)=0,"⚠ 查無員編",IF(COUNTIF($E$3:$E$2002,$E789)&gt;1,"⚠ 重複打卡","OK")))</f>
        <v/>
      </c>
    </row>
    <row r="790">
      <c r="A790" s="20" t="n"/>
      <c r="B790" s="18" t="n"/>
      <c r="C790" s="81" t="n"/>
      <c r="D790" s="81" t="n"/>
      <c r="E790" s="16">
        <f>IF($A790="","",$A790&amp;"|"&amp;DAY($B790))</f>
        <v/>
      </c>
      <c r="F790" s="16">
        <f>IF($A790="","",IF(COUNTIF(設定!$B$62:$B$201,$A790)=0,"⚠ 查無員編",IF(COUNTIF($E$3:$E$2002,$E790)&gt;1,"⚠ 重複打卡","OK")))</f>
        <v/>
      </c>
    </row>
    <row r="791">
      <c r="A791" s="20" t="n"/>
      <c r="B791" s="18" t="n"/>
      <c r="C791" s="81" t="n"/>
      <c r="D791" s="81" t="n"/>
      <c r="E791" s="16">
        <f>IF($A791="","",$A791&amp;"|"&amp;DAY($B791))</f>
        <v/>
      </c>
      <c r="F791" s="16">
        <f>IF($A791="","",IF(COUNTIF(設定!$B$62:$B$201,$A791)=0,"⚠ 查無員編",IF(COUNTIF($E$3:$E$2002,$E791)&gt;1,"⚠ 重複打卡","OK")))</f>
        <v/>
      </c>
    </row>
    <row r="792">
      <c r="A792" s="20" t="n"/>
      <c r="B792" s="18" t="n"/>
      <c r="C792" s="81" t="n"/>
      <c r="D792" s="81" t="n"/>
      <c r="E792" s="16">
        <f>IF($A792="","",$A792&amp;"|"&amp;DAY($B792))</f>
        <v/>
      </c>
      <c r="F792" s="16">
        <f>IF($A792="","",IF(COUNTIF(設定!$B$62:$B$201,$A792)=0,"⚠ 查無員編",IF(COUNTIF($E$3:$E$2002,$E792)&gt;1,"⚠ 重複打卡","OK")))</f>
        <v/>
      </c>
    </row>
    <row r="793">
      <c r="A793" s="20" t="n"/>
      <c r="B793" s="18" t="n"/>
      <c r="C793" s="81" t="n"/>
      <c r="D793" s="81" t="n"/>
      <c r="E793" s="16">
        <f>IF($A793="","",$A793&amp;"|"&amp;DAY($B793))</f>
        <v/>
      </c>
      <c r="F793" s="16">
        <f>IF($A793="","",IF(COUNTIF(設定!$B$62:$B$201,$A793)=0,"⚠ 查無員編",IF(COUNTIF($E$3:$E$2002,$E793)&gt;1,"⚠ 重複打卡","OK")))</f>
        <v/>
      </c>
    </row>
    <row r="794">
      <c r="A794" s="20" t="n"/>
      <c r="B794" s="18" t="n"/>
      <c r="C794" s="81" t="n"/>
      <c r="D794" s="81" t="n"/>
      <c r="E794" s="16">
        <f>IF($A794="","",$A794&amp;"|"&amp;DAY($B794))</f>
        <v/>
      </c>
      <c r="F794" s="16">
        <f>IF($A794="","",IF(COUNTIF(設定!$B$62:$B$201,$A794)=0,"⚠ 查無員編",IF(COUNTIF($E$3:$E$2002,$E794)&gt;1,"⚠ 重複打卡","OK")))</f>
        <v/>
      </c>
    </row>
    <row r="795">
      <c r="A795" s="20" t="n"/>
      <c r="B795" s="18" t="n"/>
      <c r="C795" s="81" t="n"/>
      <c r="D795" s="81" t="n"/>
      <c r="E795" s="16">
        <f>IF($A795="","",$A795&amp;"|"&amp;DAY($B795))</f>
        <v/>
      </c>
      <c r="F795" s="16">
        <f>IF($A795="","",IF(COUNTIF(設定!$B$62:$B$201,$A795)=0,"⚠ 查無員編",IF(COUNTIF($E$3:$E$2002,$E795)&gt;1,"⚠ 重複打卡","OK")))</f>
        <v/>
      </c>
    </row>
    <row r="796">
      <c r="A796" s="20" t="n"/>
      <c r="B796" s="18" t="n"/>
      <c r="C796" s="81" t="n"/>
      <c r="D796" s="81" t="n"/>
      <c r="E796" s="16">
        <f>IF($A796="","",$A796&amp;"|"&amp;DAY($B796))</f>
        <v/>
      </c>
      <c r="F796" s="16">
        <f>IF($A796="","",IF(COUNTIF(設定!$B$62:$B$201,$A796)=0,"⚠ 查無員編",IF(COUNTIF($E$3:$E$2002,$E796)&gt;1,"⚠ 重複打卡","OK")))</f>
        <v/>
      </c>
    </row>
    <row r="797">
      <c r="A797" s="20" t="n"/>
      <c r="B797" s="18" t="n"/>
      <c r="C797" s="81" t="n"/>
      <c r="D797" s="81" t="n"/>
      <c r="E797" s="16">
        <f>IF($A797="","",$A797&amp;"|"&amp;DAY($B797))</f>
        <v/>
      </c>
      <c r="F797" s="16">
        <f>IF($A797="","",IF(COUNTIF(設定!$B$62:$B$201,$A797)=0,"⚠ 查無員編",IF(COUNTIF($E$3:$E$2002,$E797)&gt;1,"⚠ 重複打卡","OK")))</f>
        <v/>
      </c>
    </row>
    <row r="798">
      <c r="A798" s="20" t="n"/>
      <c r="B798" s="18" t="n"/>
      <c r="C798" s="81" t="n"/>
      <c r="D798" s="81" t="n"/>
      <c r="E798" s="16">
        <f>IF($A798="","",$A798&amp;"|"&amp;DAY($B798))</f>
        <v/>
      </c>
      <c r="F798" s="16">
        <f>IF($A798="","",IF(COUNTIF(設定!$B$62:$B$201,$A798)=0,"⚠ 查無員編",IF(COUNTIF($E$3:$E$2002,$E798)&gt;1,"⚠ 重複打卡","OK")))</f>
        <v/>
      </c>
    </row>
    <row r="799">
      <c r="A799" s="20" t="n"/>
      <c r="B799" s="18" t="n"/>
      <c r="C799" s="81" t="n"/>
      <c r="D799" s="81" t="n"/>
      <c r="E799" s="16">
        <f>IF($A799="","",$A799&amp;"|"&amp;DAY($B799))</f>
        <v/>
      </c>
      <c r="F799" s="16">
        <f>IF($A799="","",IF(COUNTIF(設定!$B$62:$B$201,$A799)=0,"⚠ 查無員編",IF(COUNTIF($E$3:$E$2002,$E799)&gt;1,"⚠ 重複打卡","OK")))</f>
        <v/>
      </c>
    </row>
    <row r="800">
      <c r="A800" s="20" t="n"/>
      <c r="B800" s="18" t="n"/>
      <c r="C800" s="81" t="n"/>
      <c r="D800" s="81" t="n"/>
      <c r="E800" s="16">
        <f>IF($A800="","",$A800&amp;"|"&amp;DAY($B800))</f>
        <v/>
      </c>
      <c r="F800" s="16">
        <f>IF($A800="","",IF(COUNTIF(設定!$B$62:$B$201,$A800)=0,"⚠ 查無員編",IF(COUNTIF($E$3:$E$2002,$E800)&gt;1,"⚠ 重複打卡","OK")))</f>
        <v/>
      </c>
    </row>
    <row r="801">
      <c r="A801" s="20" t="n"/>
      <c r="B801" s="18" t="n"/>
      <c r="C801" s="81" t="n"/>
      <c r="D801" s="81" t="n"/>
      <c r="E801" s="16">
        <f>IF($A801="","",$A801&amp;"|"&amp;DAY($B801))</f>
        <v/>
      </c>
      <c r="F801" s="16">
        <f>IF($A801="","",IF(COUNTIF(設定!$B$62:$B$201,$A801)=0,"⚠ 查無員編",IF(COUNTIF($E$3:$E$2002,$E801)&gt;1,"⚠ 重複打卡","OK")))</f>
        <v/>
      </c>
    </row>
    <row r="802">
      <c r="A802" s="20" t="n"/>
      <c r="B802" s="18" t="n"/>
      <c r="C802" s="81" t="n"/>
      <c r="D802" s="81" t="n"/>
      <c r="E802" s="16">
        <f>IF($A802="","",$A802&amp;"|"&amp;DAY($B802))</f>
        <v/>
      </c>
      <c r="F802" s="16">
        <f>IF($A802="","",IF(COUNTIF(設定!$B$62:$B$201,$A802)=0,"⚠ 查無員編",IF(COUNTIF($E$3:$E$2002,$E802)&gt;1,"⚠ 重複打卡","OK")))</f>
        <v/>
      </c>
    </row>
    <row r="803">
      <c r="A803" s="20" t="n"/>
      <c r="B803" s="18" t="n"/>
      <c r="C803" s="81" t="n"/>
      <c r="D803" s="81" t="n"/>
      <c r="E803" s="16">
        <f>IF($A803="","",$A803&amp;"|"&amp;DAY($B803))</f>
        <v/>
      </c>
      <c r="F803" s="16">
        <f>IF($A803="","",IF(COUNTIF(設定!$B$62:$B$201,$A803)=0,"⚠ 查無員編",IF(COUNTIF($E$3:$E$2002,$E803)&gt;1,"⚠ 重複打卡","OK")))</f>
        <v/>
      </c>
    </row>
    <row r="804">
      <c r="A804" s="20" t="n"/>
      <c r="B804" s="18" t="n"/>
      <c r="C804" s="81" t="n"/>
      <c r="D804" s="81" t="n"/>
      <c r="E804" s="16">
        <f>IF($A804="","",$A804&amp;"|"&amp;DAY($B804))</f>
        <v/>
      </c>
      <c r="F804" s="16">
        <f>IF($A804="","",IF(COUNTIF(設定!$B$62:$B$201,$A804)=0,"⚠ 查無員編",IF(COUNTIF($E$3:$E$2002,$E804)&gt;1,"⚠ 重複打卡","OK")))</f>
        <v/>
      </c>
    </row>
    <row r="805">
      <c r="A805" s="20" t="n"/>
      <c r="B805" s="18" t="n"/>
      <c r="C805" s="81" t="n"/>
      <c r="D805" s="81" t="n"/>
      <c r="E805" s="16">
        <f>IF($A805="","",$A805&amp;"|"&amp;DAY($B805))</f>
        <v/>
      </c>
      <c r="F805" s="16">
        <f>IF($A805="","",IF(COUNTIF(設定!$B$62:$B$201,$A805)=0,"⚠ 查無員編",IF(COUNTIF($E$3:$E$2002,$E805)&gt;1,"⚠ 重複打卡","OK")))</f>
        <v/>
      </c>
    </row>
    <row r="806">
      <c r="A806" s="20" t="n"/>
      <c r="B806" s="18" t="n"/>
      <c r="C806" s="81" t="n"/>
      <c r="D806" s="81" t="n"/>
      <c r="E806" s="16">
        <f>IF($A806="","",$A806&amp;"|"&amp;DAY($B806))</f>
        <v/>
      </c>
      <c r="F806" s="16">
        <f>IF($A806="","",IF(COUNTIF(設定!$B$62:$B$201,$A806)=0,"⚠ 查無員編",IF(COUNTIF($E$3:$E$2002,$E806)&gt;1,"⚠ 重複打卡","OK")))</f>
        <v/>
      </c>
    </row>
    <row r="807">
      <c r="A807" s="20" t="n"/>
      <c r="B807" s="18" t="n"/>
      <c r="C807" s="81" t="n"/>
      <c r="D807" s="81" t="n"/>
      <c r="E807" s="16">
        <f>IF($A807="","",$A807&amp;"|"&amp;DAY($B807))</f>
        <v/>
      </c>
      <c r="F807" s="16">
        <f>IF($A807="","",IF(COUNTIF(設定!$B$62:$B$201,$A807)=0,"⚠ 查無員編",IF(COUNTIF($E$3:$E$2002,$E807)&gt;1,"⚠ 重複打卡","OK")))</f>
        <v/>
      </c>
    </row>
    <row r="808">
      <c r="A808" s="20" t="n"/>
      <c r="B808" s="18" t="n"/>
      <c r="C808" s="81" t="n"/>
      <c r="D808" s="81" t="n"/>
      <c r="E808" s="16">
        <f>IF($A808="","",$A808&amp;"|"&amp;DAY($B808))</f>
        <v/>
      </c>
      <c r="F808" s="16">
        <f>IF($A808="","",IF(COUNTIF(設定!$B$62:$B$201,$A808)=0,"⚠ 查無員編",IF(COUNTIF($E$3:$E$2002,$E808)&gt;1,"⚠ 重複打卡","OK")))</f>
        <v/>
      </c>
    </row>
    <row r="809">
      <c r="A809" s="20" t="n"/>
      <c r="B809" s="18" t="n"/>
      <c r="C809" s="81" t="n"/>
      <c r="D809" s="81" t="n"/>
      <c r="E809" s="16">
        <f>IF($A809="","",$A809&amp;"|"&amp;DAY($B809))</f>
        <v/>
      </c>
      <c r="F809" s="16">
        <f>IF($A809="","",IF(COUNTIF(設定!$B$62:$B$201,$A809)=0,"⚠ 查無員編",IF(COUNTIF($E$3:$E$2002,$E809)&gt;1,"⚠ 重複打卡","OK")))</f>
        <v/>
      </c>
    </row>
    <row r="810">
      <c r="A810" s="20" t="n"/>
      <c r="B810" s="18" t="n"/>
      <c r="C810" s="81" t="n"/>
      <c r="D810" s="81" t="n"/>
      <c r="E810" s="16">
        <f>IF($A810="","",$A810&amp;"|"&amp;DAY($B810))</f>
        <v/>
      </c>
      <c r="F810" s="16">
        <f>IF($A810="","",IF(COUNTIF(設定!$B$62:$B$201,$A810)=0,"⚠ 查無員編",IF(COUNTIF($E$3:$E$2002,$E810)&gt;1,"⚠ 重複打卡","OK")))</f>
        <v/>
      </c>
    </row>
    <row r="811">
      <c r="A811" s="20" t="n"/>
      <c r="B811" s="18" t="n"/>
      <c r="C811" s="81" t="n"/>
      <c r="D811" s="81" t="n"/>
      <c r="E811" s="16">
        <f>IF($A811="","",$A811&amp;"|"&amp;DAY($B811))</f>
        <v/>
      </c>
      <c r="F811" s="16">
        <f>IF($A811="","",IF(COUNTIF(設定!$B$62:$B$201,$A811)=0,"⚠ 查無員編",IF(COUNTIF($E$3:$E$2002,$E811)&gt;1,"⚠ 重複打卡","OK")))</f>
        <v/>
      </c>
    </row>
    <row r="812">
      <c r="A812" s="20" t="n"/>
      <c r="B812" s="18" t="n"/>
      <c r="C812" s="81" t="n"/>
      <c r="D812" s="81" t="n"/>
      <c r="E812" s="16">
        <f>IF($A812="","",$A812&amp;"|"&amp;DAY($B812))</f>
        <v/>
      </c>
      <c r="F812" s="16">
        <f>IF($A812="","",IF(COUNTIF(設定!$B$62:$B$201,$A812)=0,"⚠ 查無員編",IF(COUNTIF($E$3:$E$2002,$E812)&gt;1,"⚠ 重複打卡","OK")))</f>
        <v/>
      </c>
    </row>
    <row r="813">
      <c r="A813" s="20" t="n"/>
      <c r="B813" s="18" t="n"/>
      <c r="C813" s="81" t="n"/>
      <c r="D813" s="81" t="n"/>
      <c r="E813" s="16">
        <f>IF($A813="","",$A813&amp;"|"&amp;DAY($B813))</f>
        <v/>
      </c>
      <c r="F813" s="16">
        <f>IF($A813="","",IF(COUNTIF(設定!$B$62:$B$201,$A813)=0,"⚠ 查無員編",IF(COUNTIF($E$3:$E$2002,$E813)&gt;1,"⚠ 重複打卡","OK")))</f>
        <v/>
      </c>
    </row>
    <row r="814">
      <c r="A814" s="20" t="n"/>
      <c r="B814" s="18" t="n"/>
      <c r="C814" s="81" t="n"/>
      <c r="D814" s="81" t="n"/>
      <c r="E814" s="16">
        <f>IF($A814="","",$A814&amp;"|"&amp;DAY($B814))</f>
        <v/>
      </c>
      <c r="F814" s="16">
        <f>IF($A814="","",IF(COUNTIF(設定!$B$62:$B$201,$A814)=0,"⚠ 查無員編",IF(COUNTIF($E$3:$E$2002,$E814)&gt;1,"⚠ 重複打卡","OK")))</f>
        <v/>
      </c>
    </row>
    <row r="815">
      <c r="A815" s="20" t="n"/>
      <c r="B815" s="18" t="n"/>
      <c r="C815" s="81" t="n"/>
      <c r="D815" s="81" t="n"/>
      <c r="E815" s="16">
        <f>IF($A815="","",$A815&amp;"|"&amp;DAY($B815))</f>
        <v/>
      </c>
      <c r="F815" s="16">
        <f>IF($A815="","",IF(COUNTIF(設定!$B$62:$B$201,$A815)=0,"⚠ 查無員編",IF(COUNTIF($E$3:$E$2002,$E815)&gt;1,"⚠ 重複打卡","OK")))</f>
        <v/>
      </c>
    </row>
    <row r="816">
      <c r="A816" s="20" t="n"/>
      <c r="B816" s="18" t="n"/>
      <c r="C816" s="81" t="n"/>
      <c r="D816" s="81" t="n"/>
      <c r="E816" s="16">
        <f>IF($A816="","",$A816&amp;"|"&amp;DAY($B816))</f>
        <v/>
      </c>
      <c r="F816" s="16">
        <f>IF($A816="","",IF(COUNTIF(設定!$B$62:$B$201,$A816)=0,"⚠ 查無員編",IF(COUNTIF($E$3:$E$2002,$E816)&gt;1,"⚠ 重複打卡","OK")))</f>
        <v/>
      </c>
    </row>
    <row r="817">
      <c r="A817" s="20" t="n"/>
      <c r="B817" s="18" t="n"/>
      <c r="C817" s="81" t="n"/>
      <c r="D817" s="81" t="n"/>
      <c r="E817" s="16">
        <f>IF($A817="","",$A817&amp;"|"&amp;DAY($B817))</f>
        <v/>
      </c>
      <c r="F817" s="16">
        <f>IF($A817="","",IF(COUNTIF(設定!$B$62:$B$201,$A817)=0,"⚠ 查無員編",IF(COUNTIF($E$3:$E$2002,$E817)&gt;1,"⚠ 重複打卡","OK")))</f>
        <v/>
      </c>
    </row>
    <row r="818">
      <c r="A818" s="20" t="n"/>
      <c r="B818" s="18" t="n"/>
      <c r="C818" s="81" t="n"/>
      <c r="D818" s="81" t="n"/>
      <c r="E818" s="16">
        <f>IF($A818="","",$A818&amp;"|"&amp;DAY($B818))</f>
        <v/>
      </c>
      <c r="F818" s="16">
        <f>IF($A818="","",IF(COUNTIF(設定!$B$62:$B$201,$A818)=0,"⚠ 查無員編",IF(COUNTIF($E$3:$E$2002,$E818)&gt;1,"⚠ 重複打卡","OK")))</f>
        <v/>
      </c>
    </row>
    <row r="819">
      <c r="A819" s="20" t="n"/>
      <c r="B819" s="18" t="n"/>
      <c r="C819" s="81" t="n"/>
      <c r="D819" s="81" t="n"/>
      <c r="E819" s="16">
        <f>IF($A819="","",$A819&amp;"|"&amp;DAY($B819))</f>
        <v/>
      </c>
      <c r="F819" s="16">
        <f>IF($A819="","",IF(COUNTIF(設定!$B$62:$B$201,$A819)=0,"⚠ 查無員編",IF(COUNTIF($E$3:$E$2002,$E819)&gt;1,"⚠ 重複打卡","OK")))</f>
        <v/>
      </c>
    </row>
    <row r="820">
      <c r="A820" s="20" t="n"/>
      <c r="B820" s="18" t="n"/>
      <c r="C820" s="81" t="n"/>
      <c r="D820" s="81" t="n"/>
      <c r="E820" s="16">
        <f>IF($A820="","",$A820&amp;"|"&amp;DAY($B820))</f>
        <v/>
      </c>
      <c r="F820" s="16">
        <f>IF($A820="","",IF(COUNTIF(設定!$B$62:$B$201,$A820)=0,"⚠ 查無員編",IF(COUNTIF($E$3:$E$2002,$E820)&gt;1,"⚠ 重複打卡","OK")))</f>
        <v/>
      </c>
    </row>
    <row r="821">
      <c r="A821" s="20" t="n"/>
      <c r="B821" s="18" t="n"/>
      <c r="C821" s="81" t="n"/>
      <c r="D821" s="81" t="n"/>
      <c r="E821" s="16">
        <f>IF($A821="","",$A821&amp;"|"&amp;DAY($B821))</f>
        <v/>
      </c>
      <c r="F821" s="16">
        <f>IF($A821="","",IF(COUNTIF(設定!$B$62:$B$201,$A821)=0,"⚠ 查無員編",IF(COUNTIF($E$3:$E$2002,$E821)&gt;1,"⚠ 重複打卡","OK")))</f>
        <v/>
      </c>
    </row>
    <row r="822">
      <c r="A822" s="20" t="n"/>
      <c r="B822" s="18" t="n"/>
      <c r="C822" s="81" t="n"/>
      <c r="D822" s="81" t="n"/>
      <c r="E822" s="16">
        <f>IF($A822="","",$A822&amp;"|"&amp;DAY($B822))</f>
        <v/>
      </c>
      <c r="F822" s="16">
        <f>IF($A822="","",IF(COUNTIF(設定!$B$62:$B$201,$A822)=0,"⚠ 查無員編",IF(COUNTIF($E$3:$E$2002,$E822)&gt;1,"⚠ 重複打卡","OK")))</f>
        <v/>
      </c>
    </row>
    <row r="823">
      <c r="A823" s="20" t="n"/>
      <c r="B823" s="18" t="n"/>
      <c r="C823" s="81" t="n"/>
      <c r="D823" s="81" t="n"/>
      <c r="E823" s="16">
        <f>IF($A823="","",$A823&amp;"|"&amp;DAY($B823))</f>
        <v/>
      </c>
      <c r="F823" s="16">
        <f>IF($A823="","",IF(COUNTIF(設定!$B$62:$B$201,$A823)=0,"⚠ 查無員編",IF(COUNTIF($E$3:$E$2002,$E823)&gt;1,"⚠ 重複打卡","OK")))</f>
        <v/>
      </c>
    </row>
    <row r="824">
      <c r="A824" s="20" t="n"/>
      <c r="B824" s="18" t="n"/>
      <c r="C824" s="81" t="n"/>
      <c r="D824" s="81" t="n"/>
      <c r="E824" s="16">
        <f>IF($A824="","",$A824&amp;"|"&amp;DAY($B824))</f>
        <v/>
      </c>
      <c r="F824" s="16">
        <f>IF($A824="","",IF(COUNTIF(設定!$B$62:$B$201,$A824)=0,"⚠ 查無員編",IF(COUNTIF($E$3:$E$2002,$E824)&gt;1,"⚠ 重複打卡","OK")))</f>
        <v/>
      </c>
    </row>
    <row r="825">
      <c r="A825" s="20" t="n"/>
      <c r="B825" s="18" t="n"/>
      <c r="C825" s="81" t="n"/>
      <c r="D825" s="81" t="n"/>
      <c r="E825" s="16">
        <f>IF($A825="","",$A825&amp;"|"&amp;DAY($B825))</f>
        <v/>
      </c>
      <c r="F825" s="16">
        <f>IF($A825="","",IF(COUNTIF(設定!$B$62:$B$201,$A825)=0,"⚠ 查無員編",IF(COUNTIF($E$3:$E$2002,$E825)&gt;1,"⚠ 重複打卡","OK")))</f>
        <v/>
      </c>
    </row>
    <row r="826">
      <c r="A826" s="20" t="n"/>
      <c r="B826" s="18" t="n"/>
      <c r="C826" s="81" t="n"/>
      <c r="D826" s="81" t="n"/>
      <c r="E826" s="16">
        <f>IF($A826="","",$A826&amp;"|"&amp;DAY($B826))</f>
        <v/>
      </c>
      <c r="F826" s="16">
        <f>IF($A826="","",IF(COUNTIF(設定!$B$62:$B$201,$A826)=0,"⚠ 查無員編",IF(COUNTIF($E$3:$E$2002,$E826)&gt;1,"⚠ 重複打卡","OK")))</f>
        <v/>
      </c>
    </row>
    <row r="827">
      <c r="A827" s="20" t="n"/>
      <c r="B827" s="18" t="n"/>
      <c r="C827" s="81" t="n"/>
      <c r="D827" s="81" t="n"/>
      <c r="E827" s="16">
        <f>IF($A827="","",$A827&amp;"|"&amp;DAY($B827))</f>
        <v/>
      </c>
      <c r="F827" s="16">
        <f>IF($A827="","",IF(COUNTIF(設定!$B$62:$B$201,$A827)=0,"⚠ 查無員編",IF(COUNTIF($E$3:$E$2002,$E827)&gt;1,"⚠ 重複打卡","OK")))</f>
        <v/>
      </c>
    </row>
    <row r="828">
      <c r="A828" s="20" t="n"/>
      <c r="B828" s="18" t="n"/>
      <c r="C828" s="81" t="n"/>
      <c r="D828" s="81" t="n"/>
      <c r="E828" s="16">
        <f>IF($A828="","",$A828&amp;"|"&amp;DAY($B828))</f>
        <v/>
      </c>
      <c r="F828" s="16">
        <f>IF($A828="","",IF(COUNTIF(設定!$B$62:$B$201,$A828)=0,"⚠ 查無員編",IF(COUNTIF($E$3:$E$2002,$E828)&gt;1,"⚠ 重複打卡","OK")))</f>
        <v/>
      </c>
    </row>
    <row r="829">
      <c r="A829" s="20" t="n"/>
      <c r="B829" s="18" t="n"/>
      <c r="C829" s="81" t="n"/>
      <c r="D829" s="81" t="n"/>
      <c r="E829" s="16">
        <f>IF($A829="","",$A829&amp;"|"&amp;DAY($B829))</f>
        <v/>
      </c>
      <c r="F829" s="16">
        <f>IF($A829="","",IF(COUNTIF(設定!$B$62:$B$201,$A829)=0,"⚠ 查無員編",IF(COUNTIF($E$3:$E$2002,$E829)&gt;1,"⚠ 重複打卡","OK")))</f>
        <v/>
      </c>
    </row>
    <row r="830">
      <c r="A830" s="20" t="n"/>
      <c r="B830" s="18" t="n"/>
      <c r="C830" s="81" t="n"/>
      <c r="D830" s="81" t="n"/>
      <c r="E830" s="16">
        <f>IF($A830="","",$A830&amp;"|"&amp;DAY($B830))</f>
        <v/>
      </c>
      <c r="F830" s="16">
        <f>IF($A830="","",IF(COUNTIF(設定!$B$62:$B$201,$A830)=0,"⚠ 查無員編",IF(COUNTIF($E$3:$E$2002,$E830)&gt;1,"⚠ 重複打卡","OK")))</f>
        <v/>
      </c>
    </row>
    <row r="831">
      <c r="A831" s="20" t="n"/>
      <c r="B831" s="18" t="n"/>
      <c r="C831" s="81" t="n"/>
      <c r="D831" s="81" t="n"/>
      <c r="E831" s="16">
        <f>IF($A831="","",$A831&amp;"|"&amp;DAY($B831))</f>
        <v/>
      </c>
      <c r="F831" s="16">
        <f>IF($A831="","",IF(COUNTIF(設定!$B$62:$B$201,$A831)=0,"⚠ 查無員編",IF(COUNTIF($E$3:$E$2002,$E831)&gt;1,"⚠ 重複打卡","OK")))</f>
        <v/>
      </c>
    </row>
    <row r="832">
      <c r="A832" s="20" t="n"/>
      <c r="B832" s="18" t="n"/>
      <c r="C832" s="81" t="n"/>
      <c r="D832" s="81" t="n"/>
      <c r="E832" s="16">
        <f>IF($A832="","",$A832&amp;"|"&amp;DAY($B832))</f>
        <v/>
      </c>
      <c r="F832" s="16">
        <f>IF($A832="","",IF(COUNTIF(設定!$B$62:$B$201,$A832)=0,"⚠ 查無員編",IF(COUNTIF($E$3:$E$2002,$E832)&gt;1,"⚠ 重複打卡","OK")))</f>
        <v/>
      </c>
    </row>
    <row r="833">
      <c r="A833" s="20" t="n"/>
      <c r="B833" s="18" t="n"/>
      <c r="C833" s="81" t="n"/>
      <c r="D833" s="81" t="n"/>
      <c r="E833" s="16">
        <f>IF($A833="","",$A833&amp;"|"&amp;DAY($B833))</f>
        <v/>
      </c>
      <c r="F833" s="16">
        <f>IF($A833="","",IF(COUNTIF(設定!$B$62:$B$201,$A833)=0,"⚠ 查無員編",IF(COUNTIF($E$3:$E$2002,$E833)&gt;1,"⚠ 重複打卡","OK")))</f>
        <v/>
      </c>
    </row>
    <row r="834">
      <c r="A834" s="20" t="n"/>
      <c r="B834" s="18" t="n"/>
      <c r="C834" s="81" t="n"/>
      <c r="D834" s="81" t="n"/>
      <c r="E834" s="16">
        <f>IF($A834="","",$A834&amp;"|"&amp;DAY($B834))</f>
        <v/>
      </c>
      <c r="F834" s="16">
        <f>IF($A834="","",IF(COUNTIF(設定!$B$62:$B$201,$A834)=0,"⚠ 查無員編",IF(COUNTIF($E$3:$E$2002,$E834)&gt;1,"⚠ 重複打卡","OK")))</f>
        <v/>
      </c>
    </row>
    <row r="835">
      <c r="A835" s="20" t="n"/>
      <c r="B835" s="18" t="n"/>
      <c r="C835" s="81" t="n"/>
      <c r="D835" s="81" t="n"/>
      <c r="E835" s="16">
        <f>IF($A835="","",$A835&amp;"|"&amp;DAY($B835))</f>
        <v/>
      </c>
      <c r="F835" s="16">
        <f>IF($A835="","",IF(COUNTIF(設定!$B$62:$B$201,$A835)=0,"⚠ 查無員編",IF(COUNTIF($E$3:$E$2002,$E835)&gt;1,"⚠ 重複打卡","OK")))</f>
        <v/>
      </c>
    </row>
    <row r="836">
      <c r="A836" s="20" t="n"/>
      <c r="B836" s="18" t="n"/>
      <c r="C836" s="81" t="n"/>
      <c r="D836" s="81" t="n"/>
      <c r="E836" s="16">
        <f>IF($A836="","",$A836&amp;"|"&amp;DAY($B836))</f>
        <v/>
      </c>
      <c r="F836" s="16">
        <f>IF($A836="","",IF(COUNTIF(設定!$B$62:$B$201,$A836)=0,"⚠ 查無員編",IF(COUNTIF($E$3:$E$2002,$E836)&gt;1,"⚠ 重複打卡","OK")))</f>
        <v/>
      </c>
    </row>
    <row r="837">
      <c r="A837" s="20" t="n"/>
      <c r="B837" s="18" t="n"/>
      <c r="C837" s="81" t="n"/>
      <c r="D837" s="81" t="n"/>
      <c r="E837" s="16">
        <f>IF($A837="","",$A837&amp;"|"&amp;DAY($B837))</f>
        <v/>
      </c>
      <c r="F837" s="16">
        <f>IF($A837="","",IF(COUNTIF(設定!$B$62:$B$201,$A837)=0,"⚠ 查無員編",IF(COUNTIF($E$3:$E$2002,$E837)&gt;1,"⚠ 重複打卡","OK")))</f>
        <v/>
      </c>
    </row>
    <row r="838">
      <c r="A838" s="20" t="n"/>
      <c r="B838" s="18" t="n"/>
      <c r="C838" s="81" t="n"/>
      <c r="D838" s="81" t="n"/>
      <c r="E838" s="16">
        <f>IF($A838="","",$A838&amp;"|"&amp;DAY($B838))</f>
        <v/>
      </c>
      <c r="F838" s="16">
        <f>IF($A838="","",IF(COUNTIF(設定!$B$62:$B$201,$A838)=0,"⚠ 查無員編",IF(COUNTIF($E$3:$E$2002,$E838)&gt;1,"⚠ 重複打卡","OK")))</f>
        <v/>
      </c>
    </row>
    <row r="839">
      <c r="A839" s="20" t="n"/>
      <c r="B839" s="18" t="n"/>
      <c r="C839" s="81" t="n"/>
      <c r="D839" s="81" t="n"/>
      <c r="E839" s="16">
        <f>IF($A839="","",$A839&amp;"|"&amp;DAY($B839))</f>
        <v/>
      </c>
      <c r="F839" s="16">
        <f>IF($A839="","",IF(COUNTIF(設定!$B$62:$B$201,$A839)=0,"⚠ 查無員編",IF(COUNTIF($E$3:$E$2002,$E839)&gt;1,"⚠ 重複打卡","OK")))</f>
        <v/>
      </c>
    </row>
    <row r="840">
      <c r="A840" s="20" t="n"/>
      <c r="B840" s="18" t="n"/>
      <c r="C840" s="81" t="n"/>
      <c r="D840" s="81" t="n"/>
      <c r="E840" s="16">
        <f>IF($A840="","",$A840&amp;"|"&amp;DAY($B840))</f>
        <v/>
      </c>
      <c r="F840" s="16">
        <f>IF($A840="","",IF(COUNTIF(設定!$B$62:$B$201,$A840)=0,"⚠ 查無員編",IF(COUNTIF($E$3:$E$2002,$E840)&gt;1,"⚠ 重複打卡","OK")))</f>
        <v/>
      </c>
    </row>
    <row r="841">
      <c r="A841" s="20" t="n"/>
      <c r="B841" s="18" t="n"/>
      <c r="C841" s="81" t="n"/>
      <c r="D841" s="81" t="n"/>
      <c r="E841" s="16">
        <f>IF($A841="","",$A841&amp;"|"&amp;DAY($B841))</f>
        <v/>
      </c>
      <c r="F841" s="16">
        <f>IF($A841="","",IF(COUNTIF(設定!$B$62:$B$201,$A841)=0,"⚠ 查無員編",IF(COUNTIF($E$3:$E$2002,$E841)&gt;1,"⚠ 重複打卡","OK")))</f>
        <v/>
      </c>
    </row>
    <row r="842">
      <c r="A842" s="20" t="n"/>
      <c r="B842" s="18" t="n"/>
      <c r="C842" s="81" t="n"/>
      <c r="D842" s="81" t="n"/>
      <c r="E842" s="16">
        <f>IF($A842="","",$A842&amp;"|"&amp;DAY($B842))</f>
        <v/>
      </c>
      <c r="F842" s="16">
        <f>IF($A842="","",IF(COUNTIF(設定!$B$62:$B$201,$A842)=0,"⚠ 查無員編",IF(COUNTIF($E$3:$E$2002,$E842)&gt;1,"⚠ 重複打卡","OK")))</f>
        <v/>
      </c>
    </row>
    <row r="843">
      <c r="A843" s="20" t="n"/>
      <c r="B843" s="18" t="n"/>
      <c r="C843" s="81" t="n"/>
      <c r="D843" s="81" t="n"/>
      <c r="E843" s="16">
        <f>IF($A843="","",$A843&amp;"|"&amp;DAY($B843))</f>
        <v/>
      </c>
      <c r="F843" s="16">
        <f>IF($A843="","",IF(COUNTIF(設定!$B$62:$B$201,$A843)=0,"⚠ 查無員編",IF(COUNTIF($E$3:$E$2002,$E843)&gt;1,"⚠ 重複打卡","OK")))</f>
        <v/>
      </c>
    </row>
    <row r="844">
      <c r="A844" s="20" t="n"/>
      <c r="B844" s="18" t="n"/>
      <c r="C844" s="81" t="n"/>
      <c r="D844" s="81" t="n"/>
      <c r="E844" s="16">
        <f>IF($A844="","",$A844&amp;"|"&amp;DAY($B844))</f>
        <v/>
      </c>
      <c r="F844" s="16">
        <f>IF($A844="","",IF(COUNTIF(設定!$B$62:$B$201,$A844)=0,"⚠ 查無員編",IF(COUNTIF($E$3:$E$2002,$E844)&gt;1,"⚠ 重複打卡","OK")))</f>
        <v/>
      </c>
    </row>
    <row r="845">
      <c r="A845" s="20" t="n"/>
      <c r="B845" s="18" t="n"/>
      <c r="C845" s="81" t="n"/>
      <c r="D845" s="81" t="n"/>
      <c r="E845" s="16">
        <f>IF($A845="","",$A845&amp;"|"&amp;DAY($B845))</f>
        <v/>
      </c>
      <c r="F845" s="16">
        <f>IF($A845="","",IF(COUNTIF(設定!$B$62:$B$201,$A845)=0,"⚠ 查無員編",IF(COUNTIF($E$3:$E$2002,$E845)&gt;1,"⚠ 重複打卡","OK")))</f>
        <v/>
      </c>
    </row>
    <row r="846">
      <c r="A846" s="20" t="n"/>
      <c r="B846" s="18" t="n"/>
      <c r="C846" s="81" t="n"/>
      <c r="D846" s="81" t="n"/>
      <c r="E846" s="16">
        <f>IF($A846="","",$A846&amp;"|"&amp;DAY($B846))</f>
        <v/>
      </c>
      <c r="F846" s="16">
        <f>IF($A846="","",IF(COUNTIF(設定!$B$62:$B$201,$A846)=0,"⚠ 查無員編",IF(COUNTIF($E$3:$E$2002,$E846)&gt;1,"⚠ 重複打卡","OK")))</f>
        <v/>
      </c>
    </row>
    <row r="847">
      <c r="A847" s="20" t="n"/>
      <c r="B847" s="18" t="n"/>
      <c r="C847" s="81" t="n"/>
      <c r="D847" s="81" t="n"/>
      <c r="E847" s="16">
        <f>IF($A847="","",$A847&amp;"|"&amp;DAY($B847))</f>
        <v/>
      </c>
      <c r="F847" s="16">
        <f>IF($A847="","",IF(COUNTIF(設定!$B$62:$B$201,$A847)=0,"⚠ 查無員編",IF(COUNTIF($E$3:$E$2002,$E847)&gt;1,"⚠ 重複打卡","OK")))</f>
        <v/>
      </c>
    </row>
    <row r="848">
      <c r="A848" s="20" t="n"/>
      <c r="B848" s="18" t="n"/>
      <c r="C848" s="81" t="n"/>
      <c r="D848" s="81" t="n"/>
      <c r="E848" s="16">
        <f>IF($A848="","",$A848&amp;"|"&amp;DAY($B848))</f>
        <v/>
      </c>
      <c r="F848" s="16">
        <f>IF($A848="","",IF(COUNTIF(設定!$B$62:$B$201,$A848)=0,"⚠ 查無員編",IF(COUNTIF($E$3:$E$2002,$E848)&gt;1,"⚠ 重複打卡","OK")))</f>
        <v/>
      </c>
    </row>
    <row r="849">
      <c r="A849" s="20" t="n"/>
      <c r="B849" s="18" t="n"/>
      <c r="C849" s="81" t="n"/>
      <c r="D849" s="81" t="n"/>
      <c r="E849" s="16">
        <f>IF($A849="","",$A849&amp;"|"&amp;DAY($B849))</f>
        <v/>
      </c>
      <c r="F849" s="16">
        <f>IF($A849="","",IF(COUNTIF(設定!$B$62:$B$201,$A849)=0,"⚠ 查無員編",IF(COUNTIF($E$3:$E$2002,$E849)&gt;1,"⚠ 重複打卡","OK")))</f>
        <v/>
      </c>
    </row>
    <row r="850">
      <c r="A850" s="20" t="n"/>
      <c r="B850" s="18" t="n"/>
      <c r="C850" s="81" t="n"/>
      <c r="D850" s="81" t="n"/>
      <c r="E850" s="16">
        <f>IF($A850="","",$A850&amp;"|"&amp;DAY($B850))</f>
        <v/>
      </c>
      <c r="F850" s="16">
        <f>IF($A850="","",IF(COUNTIF(設定!$B$62:$B$201,$A850)=0,"⚠ 查無員編",IF(COUNTIF($E$3:$E$2002,$E850)&gt;1,"⚠ 重複打卡","OK")))</f>
        <v/>
      </c>
    </row>
    <row r="851">
      <c r="A851" s="20" t="n"/>
      <c r="B851" s="18" t="n"/>
      <c r="C851" s="81" t="n"/>
      <c r="D851" s="81" t="n"/>
      <c r="E851" s="16">
        <f>IF($A851="","",$A851&amp;"|"&amp;DAY($B851))</f>
        <v/>
      </c>
      <c r="F851" s="16">
        <f>IF($A851="","",IF(COUNTIF(設定!$B$62:$B$201,$A851)=0,"⚠ 查無員編",IF(COUNTIF($E$3:$E$2002,$E851)&gt;1,"⚠ 重複打卡","OK")))</f>
        <v/>
      </c>
    </row>
    <row r="852">
      <c r="A852" s="20" t="n"/>
      <c r="B852" s="18" t="n"/>
      <c r="C852" s="81" t="n"/>
      <c r="D852" s="81" t="n"/>
      <c r="E852" s="16">
        <f>IF($A852="","",$A852&amp;"|"&amp;DAY($B852))</f>
        <v/>
      </c>
      <c r="F852" s="16">
        <f>IF($A852="","",IF(COUNTIF(設定!$B$62:$B$201,$A852)=0,"⚠ 查無員編",IF(COUNTIF($E$3:$E$2002,$E852)&gt;1,"⚠ 重複打卡","OK")))</f>
        <v/>
      </c>
    </row>
    <row r="853">
      <c r="A853" s="20" t="n"/>
      <c r="B853" s="18" t="n"/>
      <c r="C853" s="81" t="n"/>
      <c r="D853" s="81" t="n"/>
      <c r="E853" s="16">
        <f>IF($A853="","",$A853&amp;"|"&amp;DAY($B853))</f>
        <v/>
      </c>
      <c r="F853" s="16">
        <f>IF($A853="","",IF(COUNTIF(設定!$B$62:$B$201,$A853)=0,"⚠ 查無員編",IF(COUNTIF($E$3:$E$2002,$E853)&gt;1,"⚠ 重複打卡","OK")))</f>
        <v/>
      </c>
    </row>
    <row r="854">
      <c r="A854" s="20" t="n"/>
      <c r="B854" s="18" t="n"/>
      <c r="C854" s="81" t="n"/>
      <c r="D854" s="81" t="n"/>
      <c r="E854" s="16">
        <f>IF($A854="","",$A854&amp;"|"&amp;DAY($B854))</f>
        <v/>
      </c>
      <c r="F854" s="16">
        <f>IF($A854="","",IF(COUNTIF(設定!$B$62:$B$201,$A854)=0,"⚠ 查無員編",IF(COUNTIF($E$3:$E$2002,$E854)&gt;1,"⚠ 重複打卡","OK")))</f>
        <v/>
      </c>
    </row>
    <row r="855">
      <c r="A855" s="20" t="n"/>
      <c r="B855" s="18" t="n"/>
      <c r="C855" s="81" t="n"/>
      <c r="D855" s="81" t="n"/>
      <c r="E855" s="16">
        <f>IF($A855="","",$A855&amp;"|"&amp;DAY($B855))</f>
        <v/>
      </c>
      <c r="F855" s="16">
        <f>IF($A855="","",IF(COUNTIF(設定!$B$62:$B$201,$A855)=0,"⚠ 查無員編",IF(COUNTIF($E$3:$E$2002,$E855)&gt;1,"⚠ 重複打卡","OK")))</f>
        <v/>
      </c>
    </row>
    <row r="856">
      <c r="A856" s="20" t="n"/>
      <c r="B856" s="18" t="n"/>
      <c r="C856" s="81" t="n"/>
      <c r="D856" s="81" t="n"/>
      <c r="E856" s="16">
        <f>IF($A856="","",$A856&amp;"|"&amp;DAY($B856))</f>
        <v/>
      </c>
      <c r="F856" s="16">
        <f>IF($A856="","",IF(COUNTIF(設定!$B$62:$B$201,$A856)=0,"⚠ 查無員編",IF(COUNTIF($E$3:$E$2002,$E856)&gt;1,"⚠ 重複打卡","OK")))</f>
        <v/>
      </c>
    </row>
    <row r="857">
      <c r="A857" s="20" t="n"/>
      <c r="B857" s="18" t="n"/>
      <c r="C857" s="81" t="n"/>
      <c r="D857" s="81" t="n"/>
      <c r="E857" s="16">
        <f>IF($A857="","",$A857&amp;"|"&amp;DAY($B857))</f>
        <v/>
      </c>
      <c r="F857" s="16">
        <f>IF($A857="","",IF(COUNTIF(設定!$B$62:$B$201,$A857)=0,"⚠ 查無員編",IF(COUNTIF($E$3:$E$2002,$E857)&gt;1,"⚠ 重複打卡","OK")))</f>
        <v/>
      </c>
    </row>
    <row r="858">
      <c r="A858" s="20" t="n"/>
      <c r="B858" s="18" t="n"/>
      <c r="C858" s="81" t="n"/>
      <c r="D858" s="81" t="n"/>
      <c r="E858" s="16">
        <f>IF($A858="","",$A858&amp;"|"&amp;DAY($B858))</f>
        <v/>
      </c>
      <c r="F858" s="16">
        <f>IF($A858="","",IF(COUNTIF(設定!$B$62:$B$201,$A858)=0,"⚠ 查無員編",IF(COUNTIF($E$3:$E$2002,$E858)&gt;1,"⚠ 重複打卡","OK")))</f>
        <v/>
      </c>
    </row>
    <row r="859">
      <c r="A859" s="20" t="n"/>
      <c r="B859" s="18" t="n"/>
      <c r="C859" s="81" t="n"/>
      <c r="D859" s="81" t="n"/>
      <c r="E859" s="16">
        <f>IF($A859="","",$A859&amp;"|"&amp;DAY($B859))</f>
        <v/>
      </c>
      <c r="F859" s="16">
        <f>IF($A859="","",IF(COUNTIF(設定!$B$62:$B$201,$A859)=0,"⚠ 查無員編",IF(COUNTIF($E$3:$E$2002,$E859)&gt;1,"⚠ 重複打卡","OK")))</f>
        <v/>
      </c>
    </row>
    <row r="860">
      <c r="A860" s="20" t="n"/>
      <c r="B860" s="18" t="n"/>
      <c r="C860" s="81" t="n"/>
      <c r="D860" s="81" t="n"/>
      <c r="E860" s="16">
        <f>IF($A860="","",$A860&amp;"|"&amp;DAY($B860))</f>
        <v/>
      </c>
      <c r="F860" s="16">
        <f>IF($A860="","",IF(COUNTIF(設定!$B$62:$B$201,$A860)=0,"⚠ 查無員編",IF(COUNTIF($E$3:$E$2002,$E860)&gt;1,"⚠ 重複打卡","OK")))</f>
        <v/>
      </c>
    </row>
    <row r="861">
      <c r="A861" s="20" t="n"/>
      <c r="B861" s="18" t="n"/>
      <c r="C861" s="81" t="n"/>
      <c r="D861" s="81" t="n"/>
      <c r="E861" s="16">
        <f>IF($A861="","",$A861&amp;"|"&amp;DAY($B861))</f>
        <v/>
      </c>
      <c r="F861" s="16">
        <f>IF($A861="","",IF(COUNTIF(設定!$B$62:$B$201,$A861)=0,"⚠ 查無員編",IF(COUNTIF($E$3:$E$2002,$E861)&gt;1,"⚠ 重複打卡","OK")))</f>
        <v/>
      </c>
    </row>
    <row r="862">
      <c r="A862" s="20" t="n"/>
      <c r="B862" s="18" t="n"/>
      <c r="C862" s="81" t="n"/>
      <c r="D862" s="81" t="n"/>
      <c r="E862" s="16">
        <f>IF($A862="","",$A862&amp;"|"&amp;DAY($B862))</f>
        <v/>
      </c>
      <c r="F862" s="16">
        <f>IF($A862="","",IF(COUNTIF(設定!$B$62:$B$201,$A862)=0,"⚠ 查無員編",IF(COUNTIF($E$3:$E$2002,$E862)&gt;1,"⚠ 重複打卡","OK")))</f>
        <v/>
      </c>
    </row>
    <row r="863">
      <c r="A863" s="20" t="n"/>
      <c r="B863" s="18" t="n"/>
      <c r="C863" s="81" t="n"/>
      <c r="D863" s="81" t="n"/>
      <c r="E863" s="16">
        <f>IF($A863="","",$A863&amp;"|"&amp;DAY($B863))</f>
        <v/>
      </c>
      <c r="F863" s="16">
        <f>IF($A863="","",IF(COUNTIF(設定!$B$62:$B$201,$A863)=0,"⚠ 查無員編",IF(COUNTIF($E$3:$E$2002,$E863)&gt;1,"⚠ 重複打卡","OK")))</f>
        <v/>
      </c>
    </row>
    <row r="864">
      <c r="A864" s="20" t="n"/>
      <c r="B864" s="18" t="n"/>
      <c r="C864" s="81" t="n"/>
      <c r="D864" s="81" t="n"/>
      <c r="E864" s="16">
        <f>IF($A864="","",$A864&amp;"|"&amp;DAY($B864))</f>
        <v/>
      </c>
      <c r="F864" s="16">
        <f>IF($A864="","",IF(COUNTIF(設定!$B$62:$B$201,$A864)=0,"⚠ 查無員編",IF(COUNTIF($E$3:$E$2002,$E864)&gt;1,"⚠ 重複打卡","OK")))</f>
        <v/>
      </c>
    </row>
    <row r="865">
      <c r="A865" s="20" t="n"/>
      <c r="B865" s="18" t="n"/>
      <c r="C865" s="81" t="n"/>
      <c r="D865" s="81" t="n"/>
      <c r="E865" s="16">
        <f>IF($A865="","",$A865&amp;"|"&amp;DAY($B865))</f>
        <v/>
      </c>
      <c r="F865" s="16">
        <f>IF($A865="","",IF(COUNTIF(設定!$B$62:$B$201,$A865)=0,"⚠ 查無員編",IF(COUNTIF($E$3:$E$2002,$E865)&gt;1,"⚠ 重複打卡","OK")))</f>
        <v/>
      </c>
    </row>
    <row r="866">
      <c r="A866" s="20" t="n"/>
      <c r="B866" s="18" t="n"/>
      <c r="C866" s="81" t="n"/>
      <c r="D866" s="81" t="n"/>
      <c r="E866" s="16">
        <f>IF($A866="","",$A866&amp;"|"&amp;DAY($B866))</f>
        <v/>
      </c>
      <c r="F866" s="16">
        <f>IF($A866="","",IF(COUNTIF(設定!$B$62:$B$201,$A866)=0,"⚠ 查無員編",IF(COUNTIF($E$3:$E$2002,$E866)&gt;1,"⚠ 重複打卡","OK")))</f>
        <v/>
      </c>
    </row>
    <row r="867">
      <c r="A867" s="20" t="n"/>
      <c r="B867" s="18" t="n"/>
      <c r="C867" s="81" t="n"/>
      <c r="D867" s="81" t="n"/>
      <c r="E867" s="16">
        <f>IF($A867="","",$A867&amp;"|"&amp;DAY($B867))</f>
        <v/>
      </c>
      <c r="F867" s="16">
        <f>IF($A867="","",IF(COUNTIF(設定!$B$62:$B$201,$A867)=0,"⚠ 查無員編",IF(COUNTIF($E$3:$E$2002,$E867)&gt;1,"⚠ 重複打卡","OK")))</f>
        <v/>
      </c>
    </row>
    <row r="868">
      <c r="A868" s="20" t="n"/>
      <c r="B868" s="18" t="n"/>
      <c r="C868" s="81" t="n"/>
      <c r="D868" s="81" t="n"/>
      <c r="E868" s="16">
        <f>IF($A868="","",$A868&amp;"|"&amp;DAY($B868))</f>
        <v/>
      </c>
      <c r="F868" s="16">
        <f>IF($A868="","",IF(COUNTIF(設定!$B$62:$B$201,$A868)=0,"⚠ 查無員編",IF(COUNTIF($E$3:$E$2002,$E868)&gt;1,"⚠ 重複打卡","OK")))</f>
        <v/>
      </c>
    </row>
    <row r="869">
      <c r="A869" s="20" t="n"/>
      <c r="B869" s="18" t="n"/>
      <c r="C869" s="81" t="n"/>
      <c r="D869" s="81" t="n"/>
      <c r="E869" s="16">
        <f>IF($A869="","",$A869&amp;"|"&amp;DAY($B869))</f>
        <v/>
      </c>
      <c r="F869" s="16">
        <f>IF($A869="","",IF(COUNTIF(設定!$B$62:$B$201,$A869)=0,"⚠ 查無員編",IF(COUNTIF($E$3:$E$2002,$E869)&gt;1,"⚠ 重複打卡","OK")))</f>
        <v/>
      </c>
    </row>
    <row r="870">
      <c r="A870" s="20" t="n"/>
      <c r="B870" s="18" t="n"/>
      <c r="C870" s="81" t="n"/>
      <c r="D870" s="81" t="n"/>
      <c r="E870" s="16">
        <f>IF($A870="","",$A870&amp;"|"&amp;DAY($B870))</f>
        <v/>
      </c>
      <c r="F870" s="16">
        <f>IF($A870="","",IF(COUNTIF(設定!$B$62:$B$201,$A870)=0,"⚠ 查無員編",IF(COUNTIF($E$3:$E$2002,$E870)&gt;1,"⚠ 重複打卡","OK")))</f>
        <v/>
      </c>
    </row>
    <row r="871">
      <c r="A871" s="20" t="n"/>
      <c r="B871" s="18" t="n"/>
      <c r="C871" s="81" t="n"/>
      <c r="D871" s="81" t="n"/>
      <c r="E871" s="16">
        <f>IF($A871="","",$A871&amp;"|"&amp;DAY($B871))</f>
        <v/>
      </c>
      <c r="F871" s="16">
        <f>IF($A871="","",IF(COUNTIF(設定!$B$62:$B$201,$A871)=0,"⚠ 查無員編",IF(COUNTIF($E$3:$E$2002,$E871)&gt;1,"⚠ 重複打卡","OK")))</f>
        <v/>
      </c>
    </row>
    <row r="872">
      <c r="A872" s="20" t="n"/>
      <c r="B872" s="18" t="n"/>
      <c r="C872" s="81" t="n"/>
      <c r="D872" s="81" t="n"/>
      <c r="E872" s="16">
        <f>IF($A872="","",$A872&amp;"|"&amp;DAY($B872))</f>
        <v/>
      </c>
      <c r="F872" s="16">
        <f>IF($A872="","",IF(COUNTIF(設定!$B$62:$B$201,$A872)=0,"⚠ 查無員編",IF(COUNTIF($E$3:$E$2002,$E872)&gt;1,"⚠ 重複打卡","OK")))</f>
        <v/>
      </c>
    </row>
    <row r="873">
      <c r="A873" s="20" t="n"/>
      <c r="B873" s="18" t="n"/>
      <c r="C873" s="81" t="n"/>
      <c r="D873" s="81" t="n"/>
      <c r="E873" s="16">
        <f>IF($A873="","",$A873&amp;"|"&amp;DAY($B873))</f>
        <v/>
      </c>
      <c r="F873" s="16">
        <f>IF($A873="","",IF(COUNTIF(設定!$B$62:$B$201,$A873)=0,"⚠ 查無員編",IF(COUNTIF($E$3:$E$2002,$E873)&gt;1,"⚠ 重複打卡","OK")))</f>
        <v/>
      </c>
    </row>
    <row r="874">
      <c r="A874" s="20" t="n"/>
      <c r="B874" s="18" t="n"/>
      <c r="C874" s="81" t="n"/>
      <c r="D874" s="81" t="n"/>
      <c r="E874" s="16">
        <f>IF($A874="","",$A874&amp;"|"&amp;DAY($B874))</f>
        <v/>
      </c>
      <c r="F874" s="16">
        <f>IF($A874="","",IF(COUNTIF(設定!$B$62:$B$201,$A874)=0,"⚠ 查無員編",IF(COUNTIF($E$3:$E$2002,$E874)&gt;1,"⚠ 重複打卡","OK")))</f>
        <v/>
      </c>
    </row>
    <row r="875">
      <c r="A875" s="20" t="n"/>
      <c r="B875" s="18" t="n"/>
      <c r="C875" s="81" t="n"/>
      <c r="D875" s="81" t="n"/>
      <c r="E875" s="16">
        <f>IF($A875="","",$A875&amp;"|"&amp;DAY($B875))</f>
        <v/>
      </c>
      <c r="F875" s="16">
        <f>IF($A875="","",IF(COUNTIF(設定!$B$62:$B$201,$A875)=0,"⚠ 查無員編",IF(COUNTIF($E$3:$E$2002,$E875)&gt;1,"⚠ 重複打卡","OK")))</f>
        <v/>
      </c>
    </row>
    <row r="876">
      <c r="A876" s="20" t="n"/>
      <c r="B876" s="18" t="n"/>
      <c r="C876" s="81" t="n"/>
      <c r="D876" s="81" t="n"/>
      <c r="E876" s="16">
        <f>IF($A876="","",$A876&amp;"|"&amp;DAY($B876))</f>
        <v/>
      </c>
      <c r="F876" s="16">
        <f>IF($A876="","",IF(COUNTIF(設定!$B$62:$B$201,$A876)=0,"⚠ 查無員編",IF(COUNTIF($E$3:$E$2002,$E876)&gt;1,"⚠ 重複打卡","OK")))</f>
        <v/>
      </c>
    </row>
    <row r="877">
      <c r="A877" s="20" t="n"/>
      <c r="B877" s="18" t="n"/>
      <c r="C877" s="81" t="n"/>
      <c r="D877" s="81" t="n"/>
      <c r="E877" s="16">
        <f>IF($A877="","",$A877&amp;"|"&amp;DAY($B877))</f>
        <v/>
      </c>
      <c r="F877" s="16">
        <f>IF($A877="","",IF(COUNTIF(設定!$B$62:$B$201,$A877)=0,"⚠ 查無員編",IF(COUNTIF($E$3:$E$2002,$E877)&gt;1,"⚠ 重複打卡","OK")))</f>
        <v/>
      </c>
    </row>
    <row r="878">
      <c r="A878" s="20" t="n"/>
      <c r="B878" s="18" t="n"/>
      <c r="C878" s="81" t="n"/>
      <c r="D878" s="81" t="n"/>
      <c r="E878" s="16">
        <f>IF($A878="","",$A878&amp;"|"&amp;DAY($B878))</f>
        <v/>
      </c>
      <c r="F878" s="16">
        <f>IF($A878="","",IF(COUNTIF(設定!$B$62:$B$201,$A878)=0,"⚠ 查無員編",IF(COUNTIF($E$3:$E$2002,$E878)&gt;1,"⚠ 重複打卡","OK")))</f>
        <v/>
      </c>
    </row>
    <row r="879">
      <c r="A879" s="20" t="n"/>
      <c r="B879" s="18" t="n"/>
      <c r="C879" s="81" t="n"/>
      <c r="D879" s="81" t="n"/>
      <c r="E879" s="16">
        <f>IF($A879="","",$A879&amp;"|"&amp;DAY($B879))</f>
        <v/>
      </c>
      <c r="F879" s="16">
        <f>IF($A879="","",IF(COUNTIF(設定!$B$62:$B$201,$A879)=0,"⚠ 查無員編",IF(COUNTIF($E$3:$E$2002,$E879)&gt;1,"⚠ 重複打卡","OK")))</f>
        <v/>
      </c>
    </row>
    <row r="880">
      <c r="A880" s="20" t="n"/>
      <c r="B880" s="18" t="n"/>
      <c r="C880" s="81" t="n"/>
      <c r="D880" s="81" t="n"/>
      <c r="E880" s="16">
        <f>IF($A880="","",$A880&amp;"|"&amp;DAY($B880))</f>
        <v/>
      </c>
      <c r="F880" s="16">
        <f>IF($A880="","",IF(COUNTIF(設定!$B$62:$B$201,$A880)=0,"⚠ 查無員編",IF(COUNTIF($E$3:$E$2002,$E880)&gt;1,"⚠ 重複打卡","OK")))</f>
        <v/>
      </c>
    </row>
    <row r="881">
      <c r="A881" s="20" t="n"/>
      <c r="B881" s="18" t="n"/>
      <c r="C881" s="81" t="n"/>
      <c r="D881" s="81" t="n"/>
      <c r="E881" s="16">
        <f>IF($A881="","",$A881&amp;"|"&amp;DAY($B881))</f>
        <v/>
      </c>
      <c r="F881" s="16">
        <f>IF($A881="","",IF(COUNTIF(設定!$B$62:$B$201,$A881)=0,"⚠ 查無員編",IF(COUNTIF($E$3:$E$2002,$E881)&gt;1,"⚠ 重複打卡","OK")))</f>
        <v/>
      </c>
    </row>
    <row r="882">
      <c r="A882" s="20" t="n"/>
      <c r="B882" s="18" t="n"/>
      <c r="C882" s="81" t="n"/>
      <c r="D882" s="81" t="n"/>
      <c r="E882" s="16">
        <f>IF($A882="","",$A882&amp;"|"&amp;DAY($B882))</f>
        <v/>
      </c>
      <c r="F882" s="16">
        <f>IF($A882="","",IF(COUNTIF(設定!$B$62:$B$201,$A882)=0,"⚠ 查無員編",IF(COUNTIF($E$3:$E$2002,$E882)&gt;1,"⚠ 重複打卡","OK")))</f>
        <v/>
      </c>
    </row>
    <row r="883">
      <c r="A883" s="20" t="n"/>
      <c r="B883" s="18" t="n"/>
      <c r="C883" s="81" t="n"/>
      <c r="D883" s="81" t="n"/>
      <c r="E883" s="16">
        <f>IF($A883="","",$A883&amp;"|"&amp;DAY($B883))</f>
        <v/>
      </c>
      <c r="F883" s="16">
        <f>IF($A883="","",IF(COUNTIF(設定!$B$62:$B$201,$A883)=0,"⚠ 查無員編",IF(COUNTIF($E$3:$E$2002,$E883)&gt;1,"⚠ 重複打卡","OK")))</f>
        <v/>
      </c>
    </row>
    <row r="884">
      <c r="A884" s="20" t="n"/>
      <c r="B884" s="18" t="n"/>
      <c r="C884" s="81" t="n"/>
      <c r="D884" s="81" t="n"/>
      <c r="E884" s="16">
        <f>IF($A884="","",$A884&amp;"|"&amp;DAY($B884))</f>
        <v/>
      </c>
      <c r="F884" s="16">
        <f>IF($A884="","",IF(COUNTIF(設定!$B$62:$B$201,$A884)=0,"⚠ 查無員編",IF(COUNTIF($E$3:$E$2002,$E884)&gt;1,"⚠ 重複打卡","OK")))</f>
        <v/>
      </c>
    </row>
    <row r="885">
      <c r="A885" s="20" t="n"/>
      <c r="B885" s="18" t="n"/>
      <c r="C885" s="81" t="n"/>
      <c r="D885" s="81" t="n"/>
      <c r="E885" s="16">
        <f>IF($A885="","",$A885&amp;"|"&amp;DAY($B885))</f>
        <v/>
      </c>
      <c r="F885" s="16">
        <f>IF($A885="","",IF(COUNTIF(設定!$B$62:$B$201,$A885)=0,"⚠ 查無員編",IF(COUNTIF($E$3:$E$2002,$E885)&gt;1,"⚠ 重複打卡","OK")))</f>
        <v/>
      </c>
    </row>
    <row r="886">
      <c r="A886" s="20" t="n"/>
      <c r="B886" s="18" t="n"/>
      <c r="C886" s="81" t="n"/>
      <c r="D886" s="81" t="n"/>
      <c r="E886" s="16">
        <f>IF($A886="","",$A886&amp;"|"&amp;DAY($B886))</f>
        <v/>
      </c>
      <c r="F886" s="16">
        <f>IF($A886="","",IF(COUNTIF(設定!$B$62:$B$201,$A886)=0,"⚠ 查無員編",IF(COUNTIF($E$3:$E$2002,$E886)&gt;1,"⚠ 重複打卡","OK")))</f>
        <v/>
      </c>
    </row>
    <row r="887">
      <c r="A887" s="20" t="n"/>
      <c r="B887" s="18" t="n"/>
      <c r="C887" s="81" t="n"/>
      <c r="D887" s="81" t="n"/>
      <c r="E887" s="16">
        <f>IF($A887="","",$A887&amp;"|"&amp;DAY($B887))</f>
        <v/>
      </c>
      <c r="F887" s="16">
        <f>IF($A887="","",IF(COUNTIF(設定!$B$62:$B$201,$A887)=0,"⚠ 查無員編",IF(COUNTIF($E$3:$E$2002,$E887)&gt;1,"⚠ 重複打卡","OK")))</f>
        <v/>
      </c>
    </row>
    <row r="888">
      <c r="A888" s="20" t="n"/>
      <c r="B888" s="18" t="n"/>
      <c r="C888" s="81" t="n"/>
      <c r="D888" s="81" t="n"/>
      <c r="E888" s="16">
        <f>IF($A888="","",$A888&amp;"|"&amp;DAY($B888))</f>
        <v/>
      </c>
      <c r="F888" s="16">
        <f>IF($A888="","",IF(COUNTIF(設定!$B$62:$B$201,$A888)=0,"⚠ 查無員編",IF(COUNTIF($E$3:$E$2002,$E888)&gt;1,"⚠ 重複打卡","OK")))</f>
        <v/>
      </c>
    </row>
    <row r="889">
      <c r="A889" s="20" t="n"/>
      <c r="B889" s="18" t="n"/>
      <c r="C889" s="81" t="n"/>
      <c r="D889" s="81" t="n"/>
      <c r="E889" s="16">
        <f>IF($A889="","",$A889&amp;"|"&amp;DAY($B889))</f>
        <v/>
      </c>
      <c r="F889" s="16">
        <f>IF($A889="","",IF(COUNTIF(設定!$B$62:$B$201,$A889)=0,"⚠ 查無員編",IF(COUNTIF($E$3:$E$2002,$E889)&gt;1,"⚠ 重複打卡","OK")))</f>
        <v/>
      </c>
    </row>
    <row r="890">
      <c r="A890" s="20" t="n"/>
      <c r="B890" s="18" t="n"/>
      <c r="C890" s="81" t="n"/>
      <c r="D890" s="81" t="n"/>
      <c r="E890" s="16">
        <f>IF($A890="","",$A890&amp;"|"&amp;DAY($B890))</f>
        <v/>
      </c>
      <c r="F890" s="16">
        <f>IF($A890="","",IF(COUNTIF(設定!$B$62:$B$201,$A890)=0,"⚠ 查無員編",IF(COUNTIF($E$3:$E$2002,$E890)&gt;1,"⚠ 重複打卡","OK")))</f>
        <v/>
      </c>
    </row>
    <row r="891">
      <c r="A891" s="20" t="n"/>
      <c r="B891" s="18" t="n"/>
      <c r="C891" s="81" t="n"/>
      <c r="D891" s="81" t="n"/>
      <c r="E891" s="16">
        <f>IF($A891="","",$A891&amp;"|"&amp;DAY($B891))</f>
        <v/>
      </c>
      <c r="F891" s="16">
        <f>IF($A891="","",IF(COUNTIF(設定!$B$62:$B$201,$A891)=0,"⚠ 查無員編",IF(COUNTIF($E$3:$E$2002,$E891)&gt;1,"⚠ 重複打卡","OK")))</f>
        <v/>
      </c>
    </row>
    <row r="892">
      <c r="A892" s="20" t="n"/>
      <c r="B892" s="18" t="n"/>
      <c r="C892" s="81" t="n"/>
      <c r="D892" s="81" t="n"/>
      <c r="E892" s="16">
        <f>IF($A892="","",$A892&amp;"|"&amp;DAY($B892))</f>
        <v/>
      </c>
      <c r="F892" s="16">
        <f>IF($A892="","",IF(COUNTIF(設定!$B$62:$B$201,$A892)=0,"⚠ 查無員編",IF(COUNTIF($E$3:$E$2002,$E892)&gt;1,"⚠ 重複打卡","OK")))</f>
        <v/>
      </c>
    </row>
    <row r="893">
      <c r="A893" s="20" t="n"/>
      <c r="B893" s="18" t="n"/>
      <c r="C893" s="81" t="n"/>
      <c r="D893" s="81" t="n"/>
      <c r="E893" s="16">
        <f>IF($A893="","",$A893&amp;"|"&amp;DAY($B893))</f>
        <v/>
      </c>
      <c r="F893" s="16">
        <f>IF($A893="","",IF(COUNTIF(設定!$B$62:$B$201,$A893)=0,"⚠ 查無員編",IF(COUNTIF($E$3:$E$2002,$E893)&gt;1,"⚠ 重複打卡","OK")))</f>
        <v/>
      </c>
    </row>
    <row r="894">
      <c r="A894" s="20" t="n"/>
      <c r="B894" s="18" t="n"/>
      <c r="C894" s="81" t="n"/>
      <c r="D894" s="81" t="n"/>
      <c r="E894" s="16">
        <f>IF($A894="","",$A894&amp;"|"&amp;DAY($B894))</f>
        <v/>
      </c>
      <c r="F894" s="16">
        <f>IF($A894="","",IF(COUNTIF(設定!$B$62:$B$201,$A894)=0,"⚠ 查無員編",IF(COUNTIF($E$3:$E$2002,$E894)&gt;1,"⚠ 重複打卡","OK")))</f>
        <v/>
      </c>
    </row>
    <row r="895">
      <c r="A895" s="20" t="n"/>
      <c r="B895" s="18" t="n"/>
      <c r="C895" s="81" t="n"/>
      <c r="D895" s="81" t="n"/>
      <c r="E895" s="16">
        <f>IF($A895="","",$A895&amp;"|"&amp;DAY($B895))</f>
        <v/>
      </c>
      <c r="F895" s="16">
        <f>IF($A895="","",IF(COUNTIF(設定!$B$62:$B$201,$A895)=0,"⚠ 查無員編",IF(COUNTIF($E$3:$E$2002,$E895)&gt;1,"⚠ 重複打卡","OK")))</f>
        <v/>
      </c>
    </row>
    <row r="896">
      <c r="A896" s="20" t="n"/>
      <c r="B896" s="18" t="n"/>
      <c r="C896" s="81" t="n"/>
      <c r="D896" s="81" t="n"/>
      <c r="E896" s="16">
        <f>IF($A896="","",$A896&amp;"|"&amp;DAY($B896))</f>
        <v/>
      </c>
      <c r="F896" s="16">
        <f>IF($A896="","",IF(COUNTIF(設定!$B$62:$B$201,$A896)=0,"⚠ 查無員編",IF(COUNTIF($E$3:$E$2002,$E896)&gt;1,"⚠ 重複打卡","OK")))</f>
        <v/>
      </c>
    </row>
    <row r="897">
      <c r="A897" s="20" t="n"/>
      <c r="B897" s="18" t="n"/>
      <c r="C897" s="81" t="n"/>
      <c r="D897" s="81" t="n"/>
      <c r="E897" s="16">
        <f>IF($A897="","",$A897&amp;"|"&amp;DAY($B897))</f>
        <v/>
      </c>
      <c r="F897" s="16">
        <f>IF($A897="","",IF(COUNTIF(設定!$B$62:$B$201,$A897)=0,"⚠ 查無員編",IF(COUNTIF($E$3:$E$2002,$E897)&gt;1,"⚠ 重複打卡","OK")))</f>
        <v/>
      </c>
    </row>
    <row r="898">
      <c r="A898" s="20" t="n"/>
      <c r="B898" s="18" t="n"/>
      <c r="C898" s="81" t="n"/>
      <c r="D898" s="81" t="n"/>
      <c r="E898" s="16">
        <f>IF($A898="","",$A898&amp;"|"&amp;DAY($B898))</f>
        <v/>
      </c>
      <c r="F898" s="16">
        <f>IF($A898="","",IF(COUNTIF(設定!$B$62:$B$201,$A898)=0,"⚠ 查無員編",IF(COUNTIF($E$3:$E$2002,$E898)&gt;1,"⚠ 重複打卡","OK")))</f>
        <v/>
      </c>
    </row>
    <row r="899">
      <c r="A899" s="20" t="n"/>
      <c r="B899" s="18" t="n"/>
      <c r="C899" s="81" t="n"/>
      <c r="D899" s="81" t="n"/>
      <c r="E899" s="16">
        <f>IF($A899="","",$A899&amp;"|"&amp;DAY($B899))</f>
        <v/>
      </c>
      <c r="F899" s="16">
        <f>IF($A899="","",IF(COUNTIF(設定!$B$62:$B$201,$A899)=0,"⚠ 查無員編",IF(COUNTIF($E$3:$E$2002,$E899)&gt;1,"⚠ 重複打卡","OK")))</f>
        <v/>
      </c>
    </row>
    <row r="900">
      <c r="A900" s="20" t="n"/>
      <c r="B900" s="18" t="n"/>
      <c r="C900" s="81" t="n"/>
      <c r="D900" s="81" t="n"/>
      <c r="E900" s="16">
        <f>IF($A900="","",$A900&amp;"|"&amp;DAY($B900))</f>
        <v/>
      </c>
      <c r="F900" s="16">
        <f>IF($A900="","",IF(COUNTIF(設定!$B$62:$B$201,$A900)=0,"⚠ 查無員編",IF(COUNTIF($E$3:$E$2002,$E900)&gt;1,"⚠ 重複打卡","OK")))</f>
        <v/>
      </c>
    </row>
    <row r="901">
      <c r="A901" s="20" t="n"/>
      <c r="B901" s="18" t="n"/>
      <c r="C901" s="81" t="n"/>
      <c r="D901" s="81" t="n"/>
      <c r="E901" s="16">
        <f>IF($A901="","",$A901&amp;"|"&amp;DAY($B901))</f>
        <v/>
      </c>
      <c r="F901" s="16">
        <f>IF($A901="","",IF(COUNTIF(設定!$B$62:$B$201,$A901)=0,"⚠ 查無員編",IF(COUNTIF($E$3:$E$2002,$E901)&gt;1,"⚠ 重複打卡","OK")))</f>
        <v/>
      </c>
    </row>
    <row r="902">
      <c r="A902" s="20" t="n"/>
      <c r="B902" s="18" t="n"/>
      <c r="C902" s="81" t="n"/>
      <c r="D902" s="81" t="n"/>
      <c r="E902" s="16">
        <f>IF($A902="","",$A902&amp;"|"&amp;DAY($B902))</f>
        <v/>
      </c>
      <c r="F902" s="16">
        <f>IF($A902="","",IF(COUNTIF(設定!$B$62:$B$201,$A902)=0,"⚠ 查無員編",IF(COUNTIF($E$3:$E$2002,$E902)&gt;1,"⚠ 重複打卡","OK")))</f>
        <v/>
      </c>
    </row>
    <row r="903">
      <c r="A903" s="20" t="n"/>
      <c r="B903" s="18" t="n"/>
      <c r="C903" s="81" t="n"/>
      <c r="D903" s="81" t="n"/>
      <c r="E903" s="16">
        <f>IF($A903="","",$A903&amp;"|"&amp;DAY($B903))</f>
        <v/>
      </c>
      <c r="F903" s="16">
        <f>IF($A903="","",IF(COUNTIF(設定!$B$62:$B$201,$A903)=0,"⚠ 查無員編",IF(COUNTIF($E$3:$E$2002,$E903)&gt;1,"⚠ 重複打卡","OK")))</f>
        <v/>
      </c>
    </row>
    <row r="904">
      <c r="A904" s="20" t="n"/>
      <c r="B904" s="18" t="n"/>
      <c r="C904" s="81" t="n"/>
      <c r="D904" s="81" t="n"/>
      <c r="E904" s="16">
        <f>IF($A904="","",$A904&amp;"|"&amp;DAY($B904))</f>
        <v/>
      </c>
      <c r="F904" s="16">
        <f>IF($A904="","",IF(COUNTIF(設定!$B$62:$B$201,$A904)=0,"⚠ 查無員編",IF(COUNTIF($E$3:$E$2002,$E904)&gt;1,"⚠ 重複打卡","OK")))</f>
        <v/>
      </c>
    </row>
    <row r="905">
      <c r="A905" s="20" t="n"/>
      <c r="B905" s="18" t="n"/>
      <c r="C905" s="81" t="n"/>
      <c r="D905" s="81" t="n"/>
      <c r="E905" s="16">
        <f>IF($A905="","",$A905&amp;"|"&amp;DAY($B905))</f>
        <v/>
      </c>
      <c r="F905" s="16">
        <f>IF($A905="","",IF(COUNTIF(設定!$B$62:$B$201,$A905)=0,"⚠ 查無員編",IF(COUNTIF($E$3:$E$2002,$E905)&gt;1,"⚠ 重複打卡","OK")))</f>
        <v/>
      </c>
    </row>
    <row r="906">
      <c r="A906" s="20" t="n"/>
      <c r="B906" s="18" t="n"/>
      <c r="C906" s="81" t="n"/>
      <c r="D906" s="81" t="n"/>
      <c r="E906" s="16">
        <f>IF($A906="","",$A906&amp;"|"&amp;DAY($B906))</f>
        <v/>
      </c>
      <c r="F906" s="16">
        <f>IF($A906="","",IF(COUNTIF(設定!$B$62:$B$201,$A906)=0,"⚠ 查無員編",IF(COUNTIF($E$3:$E$2002,$E906)&gt;1,"⚠ 重複打卡","OK")))</f>
        <v/>
      </c>
    </row>
    <row r="907">
      <c r="A907" s="20" t="n"/>
      <c r="B907" s="18" t="n"/>
      <c r="C907" s="81" t="n"/>
      <c r="D907" s="81" t="n"/>
      <c r="E907" s="16">
        <f>IF($A907="","",$A907&amp;"|"&amp;DAY($B907))</f>
        <v/>
      </c>
      <c r="F907" s="16">
        <f>IF($A907="","",IF(COUNTIF(設定!$B$62:$B$201,$A907)=0,"⚠ 查無員編",IF(COUNTIF($E$3:$E$2002,$E907)&gt;1,"⚠ 重複打卡","OK")))</f>
        <v/>
      </c>
    </row>
    <row r="908">
      <c r="A908" s="20" t="n"/>
      <c r="B908" s="18" t="n"/>
      <c r="C908" s="81" t="n"/>
      <c r="D908" s="81" t="n"/>
      <c r="E908" s="16">
        <f>IF($A908="","",$A908&amp;"|"&amp;DAY($B908))</f>
        <v/>
      </c>
      <c r="F908" s="16">
        <f>IF($A908="","",IF(COUNTIF(設定!$B$62:$B$201,$A908)=0,"⚠ 查無員編",IF(COUNTIF($E$3:$E$2002,$E908)&gt;1,"⚠ 重複打卡","OK")))</f>
        <v/>
      </c>
    </row>
    <row r="909">
      <c r="A909" s="20" t="n"/>
      <c r="B909" s="18" t="n"/>
      <c r="C909" s="81" t="n"/>
      <c r="D909" s="81" t="n"/>
      <c r="E909" s="16">
        <f>IF($A909="","",$A909&amp;"|"&amp;DAY($B909))</f>
        <v/>
      </c>
      <c r="F909" s="16">
        <f>IF($A909="","",IF(COUNTIF(設定!$B$62:$B$201,$A909)=0,"⚠ 查無員編",IF(COUNTIF($E$3:$E$2002,$E909)&gt;1,"⚠ 重複打卡","OK")))</f>
        <v/>
      </c>
    </row>
    <row r="910">
      <c r="A910" s="20" t="n"/>
      <c r="B910" s="18" t="n"/>
      <c r="C910" s="81" t="n"/>
      <c r="D910" s="81" t="n"/>
      <c r="E910" s="16">
        <f>IF($A910="","",$A910&amp;"|"&amp;DAY($B910))</f>
        <v/>
      </c>
      <c r="F910" s="16">
        <f>IF($A910="","",IF(COUNTIF(設定!$B$62:$B$201,$A910)=0,"⚠ 查無員編",IF(COUNTIF($E$3:$E$2002,$E910)&gt;1,"⚠ 重複打卡","OK")))</f>
        <v/>
      </c>
    </row>
    <row r="911">
      <c r="A911" s="20" t="n"/>
      <c r="B911" s="18" t="n"/>
      <c r="C911" s="81" t="n"/>
      <c r="D911" s="81" t="n"/>
      <c r="E911" s="16">
        <f>IF($A911="","",$A911&amp;"|"&amp;DAY($B911))</f>
        <v/>
      </c>
      <c r="F911" s="16">
        <f>IF($A911="","",IF(COUNTIF(設定!$B$62:$B$201,$A911)=0,"⚠ 查無員編",IF(COUNTIF($E$3:$E$2002,$E911)&gt;1,"⚠ 重複打卡","OK")))</f>
        <v/>
      </c>
    </row>
    <row r="912">
      <c r="A912" s="20" t="n"/>
      <c r="B912" s="18" t="n"/>
      <c r="C912" s="81" t="n"/>
      <c r="D912" s="81" t="n"/>
      <c r="E912" s="16">
        <f>IF($A912="","",$A912&amp;"|"&amp;DAY($B912))</f>
        <v/>
      </c>
      <c r="F912" s="16">
        <f>IF($A912="","",IF(COUNTIF(設定!$B$62:$B$201,$A912)=0,"⚠ 查無員編",IF(COUNTIF($E$3:$E$2002,$E912)&gt;1,"⚠ 重複打卡","OK")))</f>
        <v/>
      </c>
    </row>
    <row r="913">
      <c r="A913" s="20" t="n"/>
      <c r="B913" s="18" t="n"/>
      <c r="C913" s="81" t="n"/>
      <c r="D913" s="81" t="n"/>
      <c r="E913" s="16">
        <f>IF($A913="","",$A913&amp;"|"&amp;DAY($B913))</f>
        <v/>
      </c>
      <c r="F913" s="16">
        <f>IF($A913="","",IF(COUNTIF(設定!$B$62:$B$201,$A913)=0,"⚠ 查無員編",IF(COUNTIF($E$3:$E$2002,$E913)&gt;1,"⚠ 重複打卡","OK")))</f>
        <v/>
      </c>
    </row>
    <row r="914">
      <c r="A914" s="20" t="n"/>
      <c r="B914" s="18" t="n"/>
      <c r="C914" s="81" t="n"/>
      <c r="D914" s="81" t="n"/>
      <c r="E914" s="16">
        <f>IF($A914="","",$A914&amp;"|"&amp;DAY($B914))</f>
        <v/>
      </c>
      <c r="F914" s="16">
        <f>IF($A914="","",IF(COUNTIF(設定!$B$62:$B$201,$A914)=0,"⚠ 查無員編",IF(COUNTIF($E$3:$E$2002,$E914)&gt;1,"⚠ 重複打卡","OK")))</f>
        <v/>
      </c>
    </row>
    <row r="915">
      <c r="A915" s="20" t="n"/>
      <c r="B915" s="18" t="n"/>
      <c r="C915" s="81" t="n"/>
      <c r="D915" s="81" t="n"/>
      <c r="E915" s="16">
        <f>IF($A915="","",$A915&amp;"|"&amp;DAY($B915))</f>
        <v/>
      </c>
      <c r="F915" s="16">
        <f>IF($A915="","",IF(COUNTIF(設定!$B$62:$B$201,$A915)=0,"⚠ 查無員編",IF(COUNTIF($E$3:$E$2002,$E915)&gt;1,"⚠ 重複打卡","OK")))</f>
        <v/>
      </c>
    </row>
    <row r="916">
      <c r="A916" s="20" t="n"/>
      <c r="B916" s="18" t="n"/>
      <c r="C916" s="81" t="n"/>
      <c r="D916" s="81" t="n"/>
      <c r="E916" s="16">
        <f>IF($A916="","",$A916&amp;"|"&amp;DAY($B916))</f>
        <v/>
      </c>
      <c r="F916" s="16">
        <f>IF($A916="","",IF(COUNTIF(設定!$B$62:$B$201,$A916)=0,"⚠ 查無員編",IF(COUNTIF($E$3:$E$2002,$E916)&gt;1,"⚠ 重複打卡","OK")))</f>
        <v/>
      </c>
    </row>
    <row r="917">
      <c r="A917" s="20" t="n"/>
      <c r="B917" s="18" t="n"/>
      <c r="C917" s="81" t="n"/>
      <c r="D917" s="81" t="n"/>
      <c r="E917" s="16">
        <f>IF($A917="","",$A917&amp;"|"&amp;DAY($B917))</f>
        <v/>
      </c>
      <c r="F917" s="16">
        <f>IF($A917="","",IF(COUNTIF(設定!$B$62:$B$201,$A917)=0,"⚠ 查無員編",IF(COUNTIF($E$3:$E$2002,$E917)&gt;1,"⚠ 重複打卡","OK")))</f>
        <v/>
      </c>
    </row>
    <row r="918">
      <c r="A918" s="20" t="n"/>
      <c r="B918" s="18" t="n"/>
      <c r="C918" s="81" t="n"/>
      <c r="D918" s="81" t="n"/>
      <c r="E918" s="16">
        <f>IF($A918="","",$A918&amp;"|"&amp;DAY($B918))</f>
        <v/>
      </c>
      <c r="F918" s="16">
        <f>IF($A918="","",IF(COUNTIF(設定!$B$62:$B$201,$A918)=0,"⚠ 查無員編",IF(COUNTIF($E$3:$E$2002,$E918)&gt;1,"⚠ 重複打卡","OK")))</f>
        <v/>
      </c>
    </row>
    <row r="919">
      <c r="A919" s="20" t="n"/>
      <c r="B919" s="18" t="n"/>
      <c r="C919" s="81" t="n"/>
      <c r="D919" s="81" t="n"/>
      <c r="E919" s="16">
        <f>IF($A919="","",$A919&amp;"|"&amp;DAY($B919))</f>
        <v/>
      </c>
      <c r="F919" s="16">
        <f>IF($A919="","",IF(COUNTIF(設定!$B$62:$B$201,$A919)=0,"⚠ 查無員編",IF(COUNTIF($E$3:$E$2002,$E919)&gt;1,"⚠ 重複打卡","OK")))</f>
        <v/>
      </c>
    </row>
    <row r="920">
      <c r="A920" s="20" t="n"/>
      <c r="B920" s="18" t="n"/>
      <c r="C920" s="81" t="n"/>
      <c r="D920" s="81" t="n"/>
      <c r="E920" s="16">
        <f>IF($A920="","",$A920&amp;"|"&amp;DAY($B920))</f>
        <v/>
      </c>
      <c r="F920" s="16">
        <f>IF($A920="","",IF(COUNTIF(設定!$B$62:$B$201,$A920)=0,"⚠ 查無員編",IF(COUNTIF($E$3:$E$2002,$E920)&gt;1,"⚠ 重複打卡","OK")))</f>
        <v/>
      </c>
    </row>
    <row r="921">
      <c r="A921" s="20" t="n"/>
      <c r="B921" s="18" t="n"/>
      <c r="C921" s="81" t="n"/>
      <c r="D921" s="81" t="n"/>
      <c r="E921" s="16">
        <f>IF($A921="","",$A921&amp;"|"&amp;DAY($B921))</f>
        <v/>
      </c>
      <c r="F921" s="16">
        <f>IF($A921="","",IF(COUNTIF(設定!$B$62:$B$201,$A921)=0,"⚠ 查無員編",IF(COUNTIF($E$3:$E$2002,$E921)&gt;1,"⚠ 重複打卡","OK")))</f>
        <v/>
      </c>
    </row>
    <row r="922">
      <c r="A922" s="20" t="n"/>
      <c r="B922" s="18" t="n"/>
      <c r="C922" s="81" t="n"/>
      <c r="D922" s="81" t="n"/>
      <c r="E922" s="16">
        <f>IF($A922="","",$A922&amp;"|"&amp;DAY($B922))</f>
        <v/>
      </c>
      <c r="F922" s="16">
        <f>IF($A922="","",IF(COUNTIF(設定!$B$62:$B$201,$A922)=0,"⚠ 查無員編",IF(COUNTIF($E$3:$E$2002,$E922)&gt;1,"⚠ 重複打卡","OK")))</f>
        <v/>
      </c>
    </row>
    <row r="923">
      <c r="A923" s="20" t="n"/>
      <c r="B923" s="18" t="n"/>
      <c r="C923" s="81" t="n"/>
      <c r="D923" s="81" t="n"/>
      <c r="E923" s="16">
        <f>IF($A923="","",$A923&amp;"|"&amp;DAY($B923))</f>
        <v/>
      </c>
      <c r="F923" s="16">
        <f>IF($A923="","",IF(COUNTIF(設定!$B$62:$B$201,$A923)=0,"⚠ 查無員編",IF(COUNTIF($E$3:$E$2002,$E923)&gt;1,"⚠ 重複打卡","OK")))</f>
        <v/>
      </c>
    </row>
    <row r="924">
      <c r="A924" s="20" t="n"/>
      <c r="B924" s="18" t="n"/>
      <c r="C924" s="81" t="n"/>
      <c r="D924" s="81" t="n"/>
      <c r="E924" s="16">
        <f>IF($A924="","",$A924&amp;"|"&amp;DAY($B924))</f>
        <v/>
      </c>
      <c r="F924" s="16">
        <f>IF($A924="","",IF(COUNTIF(設定!$B$62:$B$201,$A924)=0,"⚠ 查無員編",IF(COUNTIF($E$3:$E$2002,$E924)&gt;1,"⚠ 重複打卡","OK")))</f>
        <v/>
      </c>
    </row>
    <row r="925">
      <c r="A925" s="20" t="n"/>
      <c r="B925" s="18" t="n"/>
      <c r="C925" s="81" t="n"/>
      <c r="D925" s="81" t="n"/>
      <c r="E925" s="16">
        <f>IF($A925="","",$A925&amp;"|"&amp;DAY($B925))</f>
        <v/>
      </c>
      <c r="F925" s="16">
        <f>IF($A925="","",IF(COUNTIF(設定!$B$62:$B$201,$A925)=0,"⚠ 查無員編",IF(COUNTIF($E$3:$E$2002,$E925)&gt;1,"⚠ 重複打卡","OK")))</f>
        <v/>
      </c>
    </row>
    <row r="926">
      <c r="A926" s="20" t="n"/>
      <c r="B926" s="18" t="n"/>
      <c r="C926" s="81" t="n"/>
      <c r="D926" s="81" t="n"/>
      <c r="E926" s="16">
        <f>IF($A926="","",$A926&amp;"|"&amp;DAY($B926))</f>
        <v/>
      </c>
      <c r="F926" s="16">
        <f>IF($A926="","",IF(COUNTIF(設定!$B$62:$B$201,$A926)=0,"⚠ 查無員編",IF(COUNTIF($E$3:$E$2002,$E926)&gt;1,"⚠ 重複打卡","OK")))</f>
        <v/>
      </c>
    </row>
    <row r="927">
      <c r="A927" s="20" t="n"/>
      <c r="B927" s="18" t="n"/>
      <c r="C927" s="81" t="n"/>
      <c r="D927" s="81" t="n"/>
      <c r="E927" s="16">
        <f>IF($A927="","",$A927&amp;"|"&amp;DAY($B927))</f>
        <v/>
      </c>
      <c r="F927" s="16">
        <f>IF($A927="","",IF(COUNTIF(設定!$B$62:$B$201,$A927)=0,"⚠ 查無員編",IF(COUNTIF($E$3:$E$2002,$E927)&gt;1,"⚠ 重複打卡","OK")))</f>
        <v/>
      </c>
    </row>
    <row r="928">
      <c r="A928" s="20" t="n"/>
      <c r="B928" s="18" t="n"/>
      <c r="C928" s="81" t="n"/>
      <c r="D928" s="81" t="n"/>
      <c r="E928" s="16">
        <f>IF($A928="","",$A928&amp;"|"&amp;DAY($B928))</f>
        <v/>
      </c>
      <c r="F928" s="16">
        <f>IF($A928="","",IF(COUNTIF(設定!$B$62:$B$201,$A928)=0,"⚠ 查無員編",IF(COUNTIF($E$3:$E$2002,$E928)&gt;1,"⚠ 重複打卡","OK")))</f>
        <v/>
      </c>
    </row>
    <row r="929">
      <c r="A929" s="20" t="n"/>
      <c r="B929" s="18" t="n"/>
      <c r="C929" s="81" t="n"/>
      <c r="D929" s="81" t="n"/>
      <c r="E929" s="16">
        <f>IF($A929="","",$A929&amp;"|"&amp;DAY($B929))</f>
        <v/>
      </c>
      <c r="F929" s="16">
        <f>IF($A929="","",IF(COUNTIF(設定!$B$62:$B$201,$A929)=0,"⚠ 查無員編",IF(COUNTIF($E$3:$E$2002,$E929)&gt;1,"⚠ 重複打卡","OK")))</f>
        <v/>
      </c>
    </row>
    <row r="930">
      <c r="A930" s="20" t="n"/>
      <c r="B930" s="18" t="n"/>
      <c r="C930" s="81" t="n"/>
      <c r="D930" s="81" t="n"/>
      <c r="E930" s="16">
        <f>IF($A930="","",$A930&amp;"|"&amp;DAY($B930))</f>
        <v/>
      </c>
      <c r="F930" s="16">
        <f>IF($A930="","",IF(COUNTIF(設定!$B$62:$B$201,$A930)=0,"⚠ 查無員編",IF(COUNTIF($E$3:$E$2002,$E930)&gt;1,"⚠ 重複打卡","OK")))</f>
        <v/>
      </c>
    </row>
    <row r="931">
      <c r="A931" s="20" t="n"/>
      <c r="B931" s="18" t="n"/>
      <c r="C931" s="81" t="n"/>
      <c r="D931" s="81" t="n"/>
      <c r="E931" s="16">
        <f>IF($A931="","",$A931&amp;"|"&amp;DAY($B931))</f>
        <v/>
      </c>
      <c r="F931" s="16">
        <f>IF($A931="","",IF(COUNTIF(設定!$B$62:$B$201,$A931)=0,"⚠ 查無員編",IF(COUNTIF($E$3:$E$2002,$E931)&gt;1,"⚠ 重複打卡","OK")))</f>
        <v/>
      </c>
    </row>
    <row r="932">
      <c r="A932" s="20" t="n"/>
      <c r="B932" s="18" t="n"/>
      <c r="C932" s="81" t="n"/>
      <c r="D932" s="81" t="n"/>
      <c r="E932" s="16">
        <f>IF($A932="","",$A932&amp;"|"&amp;DAY($B932))</f>
        <v/>
      </c>
      <c r="F932" s="16">
        <f>IF($A932="","",IF(COUNTIF(設定!$B$62:$B$201,$A932)=0,"⚠ 查無員編",IF(COUNTIF($E$3:$E$2002,$E932)&gt;1,"⚠ 重複打卡","OK")))</f>
        <v/>
      </c>
    </row>
    <row r="933">
      <c r="A933" s="20" t="n"/>
      <c r="B933" s="18" t="n"/>
      <c r="C933" s="81" t="n"/>
      <c r="D933" s="81" t="n"/>
      <c r="E933" s="16">
        <f>IF($A933="","",$A933&amp;"|"&amp;DAY($B933))</f>
        <v/>
      </c>
      <c r="F933" s="16">
        <f>IF($A933="","",IF(COUNTIF(設定!$B$62:$B$201,$A933)=0,"⚠ 查無員編",IF(COUNTIF($E$3:$E$2002,$E933)&gt;1,"⚠ 重複打卡","OK")))</f>
        <v/>
      </c>
    </row>
    <row r="934">
      <c r="A934" s="20" t="n"/>
      <c r="B934" s="18" t="n"/>
      <c r="C934" s="81" t="n"/>
      <c r="D934" s="81" t="n"/>
      <c r="E934" s="16">
        <f>IF($A934="","",$A934&amp;"|"&amp;DAY($B934))</f>
        <v/>
      </c>
      <c r="F934" s="16">
        <f>IF($A934="","",IF(COUNTIF(設定!$B$62:$B$201,$A934)=0,"⚠ 查無員編",IF(COUNTIF($E$3:$E$2002,$E934)&gt;1,"⚠ 重複打卡","OK")))</f>
        <v/>
      </c>
    </row>
    <row r="935">
      <c r="A935" s="20" t="n"/>
      <c r="B935" s="18" t="n"/>
      <c r="C935" s="81" t="n"/>
      <c r="D935" s="81" t="n"/>
      <c r="E935" s="16">
        <f>IF($A935="","",$A935&amp;"|"&amp;DAY($B935))</f>
        <v/>
      </c>
      <c r="F935" s="16">
        <f>IF($A935="","",IF(COUNTIF(設定!$B$62:$B$201,$A935)=0,"⚠ 查無員編",IF(COUNTIF($E$3:$E$2002,$E935)&gt;1,"⚠ 重複打卡","OK")))</f>
        <v/>
      </c>
    </row>
    <row r="936">
      <c r="A936" s="20" t="n"/>
      <c r="B936" s="18" t="n"/>
      <c r="C936" s="81" t="n"/>
      <c r="D936" s="81" t="n"/>
      <c r="E936" s="16">
        <f>IF($A936="","",$A936&amp;"|"&amp;DAY($B936))</f>
        <v/>
      </c>
      <c r="F936" s="16">
        <f>IF($A936="","",IF(COUNTIF(設定!$B$62:$B$201,$A936)=0,"⚠ 查無員編",IF(COUNTIF($E$3:$E$2002,$E936)&gt;1,"⚠ 重複打卡","OK")))</f>
        <v/>
      </c>
    </row>
    <row r="937">
      <c r="A937" s="20" t="n"/>
      <c r="B937" s="18" t="n"/>
      <c r="C937" s="81" t="n"/>
      <c r="D937" s="81" t="n"/>
      <c r="E937" s="16">
        <f>IF($A937="","",$A937&amp;"|"&amp;DAY($B937))</f>
        <v/>
      </c>
      <c r="F937" s="16">
        <f>IF($A937="","",IF(COUNTIF(設定!$B$62:$B$201,$A937)=0,"⚠ 查無員編",IF(COUNTIF($E$3:$E$2002,$E937)&gt;1,"⚠ 重複打卡","OK")))</f>
        <v/>
      </c>
    </row>
    <row r="938">
      <c r="A938" s="20" t="n"/>
      <c r="B938" s="18" t="n"/>
      <c r="C938" s="81" t="n"/>
      <c r="D938" s="81" t="n"/>
      <c r="E938" s="16">
        <f>IF($A938="","",$A938&amp;"|"&amp;DAY($B938))</f>
        <v/>
      </c>
      <c r="F938" s="16">
        <f>IF($A938="","",IF(COUNTIF(設定!$B$62:$B$201,$A938)=0,"⚠ 查無員編",IF(COUNTIF($E$3:$E$2002,$E938)&gt;1,"⚠ 重複打卡","OK")))</f>
        <v/>
      </c>
    </row>
    <row r="939">
      <c r="A939" s="20" t="n"/>
      <c r="B939" s="18" t="n"/>
      <c r="C939" s="81" t="n"/>
      <c r="D939" s="81" t="n"/>
      <c r="E939" s="16">
        <f>IF($A939="","",$A939&amp;"|"&amp;DAY($B939))</f>
        <v/>
      </c>
      <c r="F939" s="16">
        <f>IF($A939="","",IF(COUNTIF(設定!$B$62:$B$201,$A939)=0,"⚠ 查無員編",IF(COUNTIF($E$3:$E$2002,$E939)&gt;1,"⚠ 重複打卡","OK")))</f>
        <v/>
      </c>
    </row>
    <row r="940">
      <c r="A940" s="20" t="n"/>
      <c r="B940" s="18" t="n"/>
      <c r="C940" s="81" t="n"/>
      <c r="D940" s="81" t="n"/>
      <c r="E940" s="16">
        <f>IF($A940="","",$A940&amp;"|"&amp;DAY($B940))</f>
        <v/>
      </c>
      <c r="F940" s="16">
        <f>IF($A940="","",IF(COUNTIF(設定!$B$62:$B$201,$A940)=0,"⚠ 查無員編",IF(COUNTIF($E$3:$E$2002,$E940)&gt;1,"⚠ 重複打卡","OK")))</f>
        <v/>
      </c>
    </row>
    <row r="941">
      <c r="A941" s="20" t="n"/>
      <c r="B941" s="18" t="n"/>
      <c r="C941" s="81" t="n"/>
      <c r="D941" s="81" t="n"/>
      <c r="E941" s="16">
        <f>IF($A941="","",$A941&amp;"|"&amp;DAY($B941))</f>
        <v/>
      </c>
      <c r="F941" s="16">
        <f>IF($A941="","",IF(COUNTIF(設定!$B$62:$B$201,$A941)=0,"⚠ 查無員編",IF(COUNTIF($E$3:$E$2002,$E941)&gt;1,"⚠ 重複打卡","OK")))</f>
        <v/>
      </c>
    </row>
    <row r="942">
      <c r="A942" s="20" t="n"/>
      <c r="B942" s="18" t="n"/>
      <c r="C942" s="81" t="n"/>
      <c r="D942" s="81" t="n"/>
      <c r="E942" s="16">
        <f>IF($A942="","",$A942&amp;"|"&amp;DAY($B942))</f>
        <v/>
      </c>
      <c r="F942" s="16">
        <f>IF($A942="","",IF(COUNTIF(設定!$B$62:$B$201,$A942)=0,"⚠ 查無員編",IF(COUNTIF($E$3:$E$2002,$E942)&gt;1,"⚠ 重複打卡","OK")))</f>
        <v/>
      </c>
    </row>
    <row r="943">
      <c r="A943" s="20" t="n"/>
      <c r="B943" s="18" t="n"/>
      <c r="C943" s="81" t="n"/>
      <c r="D943" s="81" t="n"/>
      <c r="E943" s="16">
        <f>IF($A943="","",$A943&amp;"|"&amp;DAY($B943))</f>
        <v/>
      </c>
      <c r="F943" s="16">
        <f>IF($A943="","",IF(COUNTIF(設定!$B$62:$B$201,$A943)=0,"⚠ 查無員編",IF(COUNTIF($E$3:$E$2002,$E943)&gt;1,"⚠ 重複打卡","OK")))</f>
        <v/>
      </c>
    </row>
    <row r="944">
      <c r="A944" s="20" t="n"/>
      <c r="B944" s="18" t="n"/>
      <c r="C944" s="81" t="n"/>
      <c r="D944" s="81" t="n"/>
      <c r="E944" s="16">
        <f>IF($A944="","",$A944&amp;"|"&amp;DAY($B944))</f>
        <v/>
      </c>
      <c r="F944" s="16">
        <f>IF($A944="","",IF(COUNTIF(設定!$B$62:$B$201,$A944)=0,"⚠ 查無員編",IF(COUNTIF($E$3:$E$2002,$E944)&gt;1,"⚠ 重複打卡","OK")))</f>
        <v/>
      </c>
    </row>
    <row r="945">
      <c r="A945" s="20" t="n"/>
      <c r="B945" s="18" t="n"/>
      <c r="C945" s="81" t="n"/>
      <c r="D945" s="81" t="n"/>
      <c r="E945" s="16">
        <f>IF($A945="","",$A945&amp;"|"&amp;DAY($B945))</f>
        <v/>
      </c>
      <c r="F945" s="16">
        <f>IF($A945="","",IF(COUNTIF(設定!$B$62:$B$201,$A945)=0,"⚠ 查無員編",IF(COUNTIF($E$3:$E$2002,$E945)&gt;1,"⚠ 重複打卡","OK")))</f>
        <v/>
      </c>
    </row>
    <row r="946">
      <c r="A946" s="20" t="n"/>
      <c r="B946" s="18" t="n"/>
      <c r="C946" s="81" t="n"/>
      <c r="D946" s="81" t="n"/>
      <c r="E946" s="16">
        <f>IF($A946="","",$A946&amp;"|"&amp;DAY($B946))</f>
        <v/>
      </c>
      <c r="F946" s="16">
        <f>IF($A946="","",IF(COUNTIF(設定!$B$62:$B$201,$A946)=0,"⚠ 查無員編",IF(COUNTIF($E$3:$E$2002,$E946)&gt;1,"⚠ 重複打卡","OK")))</f>
        <v/>
      </c>
    </row>
    <row r="947">
      <c r="A947" s="20" t="n"/>
      <c r="B947" s="18" t="n"/>
      <c r="C947" s="81" t="n"/>
      <c r="D947" s="81" t="n"/>
      <c r="E947" s="16">
        <f>IF($A947="","",$A947&amp;"|"&amp;DAY($B947))</f>
        <v/>
      </c>
      <c r="F947" s="16">
        <f>IF($A947="","",IF(COUNTIF(設定!$B$62:$B$201,$A947)=0,"⚠ 查無員編",IF(COUNTIF($E$3:$E$2002,$E947)&gt;1,"⚠ 重複打卡","OK")))</f>
        <v/>
      </c>
    </row>
    <row r="948">
      <c r="A948" s="20" t="n"/>
      <c r="B948" s="18" t="n"/>
      <c r="C948" s="81" t="n"/>
      <c r="D948" s="81" t="n"/>
      <c r="E948" s="16">
        <f>IF($A948="","",$A948&amp;"|"&amp;DAY($B948))</f>
        <v/>
      </c>
      <c r="F948" s="16">
        <f>IF($A948="","",IF(COUNTIF(設定!$B$62:$B$201,$A948)=0,"⚠ 查無員編",IF(COUNTIF($E$3:$E$2002,$E948)&gt;1,"⚠ 重複打卡","OK")))</f>
        <v/>
      </c>
    </row>
    <row r="949">
      <c r="A949" s="20" t="n"/>
      <c r="B949" s="18" t="n"/>
      <c r="C949" s="81" t="n"/>
      <c r="D949" s="81" t="n"/>
      <c r="E949" s="16">
        <f>IF($A949="","",$A949&amp;"|"&amp;DAY($B949))</f>
        <v/>
      </c>
      <c r="F949" s="16">
        <f>IF($A949="","",IF(COUNTIF(設定!$B$62:$B$201,$A949)=0,"⚠ 查無員編",IF(COUNTIF($E$3:$E$2002,$E949)&gt;1,"⚠ 重複打卡","OK")))</f>
        <v/>
      </c>
    </row>
    <row r="950">
      <c r="A950" s="20" t="n"/>
      <c r="B950" s="18" t="n"/>
      <c r="C950" s="81" t="n"/>
      <c r="D950" s="81" t="n"/>
      <c r="E950" s="16">
        <f>IF($A950="","",$A950&amp;"|"&amp;DAY($B950))</f>
        <v/>
      </c>
      <c r="F950" s="16">
        <f>IF($A950="","",IF(COUNTIF(設定!$B$62:$B$201,$A950)=0,"⚠ 查無員編",IF(COUNTIF($E$3:$E$2002,$E950)&gt;1,"⚠ 重複打卡","OK")))</f>
        <v/>
      </c>
    </row>
    <row r="951">
      <c r="A951" s="20" t="n"/>
      <c r="B951" s="18" t="n"/>
      <c r="C951" s="81" t="n"/>
      <c r="D951" s="81" t="n"/>
      <c r="E951" s="16">
        <f>IF($A951="","",$A951&amp;"|"&amp;DAY($B951))</f>
        <v/>
      </c>
      <c r="F951" s="16">
        <f>IF($A951="","",IF(COUNTIF(設定!$B$62:$B$201,$A951)=0,"⚠ 查無員編",IF(COUNTIF($E$3:$E$2002,$E951)&gt;1,"⚠ 重複打卡","OK")))</f>
        <v/>
      </c>
    </row>
    <row r="952">
      <c r="A952" s="20" t="n"/>
      <c r="B952" s="18" t="n"/>
      <c r="C952" s="81" t="n"/>
      <c r="D952" s="81" t="n"/>
      <c r="E952" s="16">
        <f>IF($A952="","",$A952&amp;"|"&amp;DAY($B952))</f>
        <v/>
      </c>
      <c r="F952" s="16">
        <f>IF($A952="","",IF(COUNTIF(設定!$B$62:$B$201,$A952)=0,"⚠ 查無員編",IF(COUNTIF($E$3:$E$2002,$E952)&gt;1,"⚠ 重複打卡","OK")))</f>
        <v/>
      </c>
    </row>
    <row r="953">
      <c r="A953" s="20" t="n"/>
      <c r="B953" s="18" t="n"/>
      <c r="C953" s="81" t="n"/>
      <c r="D953" s="81" t="n"/>
      <c r="E953" s="16">
        <f>IF($A953="","",$A953&amp;"|"&amp;DAY($B953))</f>
        <v/>
      </c>
      <c r="F953" s="16">
        <f>IF($A953="","",IF(COUNTIF(設定!$B$62:$B$201,$A953)=0,"⚠ 查無員編",IF(COUNTIF($E$3:$E$2002,$E953)&gt;1,"⚠ 重複打卡","OK")))</f>
        <v/>
      </c>
    </row>
    <row r="954">
      <c r="A954" s="20" t="n"/>
      <c r="B954" s="18" t="n"/>
      <c r="C954" s="81" t="n"/>
      <c r="D954" s="81" t="n"/>
      <c r="E954" s="16">
        <f>IF($A954="","",$A954&amp;"|"&amp;DAY($B954))</f>
        <v/>
      </c>
      <c r="F954" s="16">
        <f>IF($A954="","",IF(COUNTIF(設定!$B$62:$B$201,$A954)=0,"⚠ 查無員編",IF(COUNTIF($E$3:$E$2002,$E954)&gt;1,"⚠ 重複打卡","OK")))</f>
        <v/>
      </c>
    </row>
    <row r="955">
      <c r="A955" s="20" t="n"/>
      <c r="B955" s="18" t="n"/>
      <c r="C955" s="81" t="n"/>
      <c r="D955" s="81" t="n"/>
      <c r="E955" s="16">
        <f>IF($A955="","",$A955&amp;"|"&amp;DAY($B955))</f>
        <v/>
      </c>
      <c r="F955" s="16">
        <f>IF($A955="","",IF(COUNTIF(設定!$B$62:$B$201,$A955)=0,"⚠ 查無員編",IF(COUNTIF($E$3:$E$2002,$E955)&gt;1,"⚠ 重複打卡","OK")))</f>
        <v/>
      </c>
    </row>
    <row r="956">
      <c r="A956" s="20" t="n"/>
      <c r="B956" s="18" t="n"/>
      <c r="C956" s="81" t="n"/>
      <c r="D956" s="81" t="n"/>
      <c r="E956" s="16">
        <f>IF($A956="","",$A956&amp;"|"&amp;DAY($B956))</f>
        <v/>
      </c>
      <c r="F956" s="16">
        <f>IF($A956="","",IF(COUNTIF(設定!$B$62:$B$201,$A956)=0,"⚠ 查無員編",IF(COUNTIF($E$3:$E$2002,$E956)&gt;1,"⚠ 重複打卡","OK")))</f>
        <v/>
      </c>
    </row>
    <row r="957">
      <c r="A957" s="20" t="n"/>
      <c r="B957" s="18" t="n"/>
      <c r="C957" s="81" t="n"/>
      <c r="D957" s="81" t="n"/>
      <c r="E957" s="16">
        <f>IF($A957="","",$A957&amp;"|"&amp;DAY($B957))</f>
        <v/>
      </c>
      <c r="F957" s="16">
        <f>IF($A957="","",IF(COUNTIF(設定!$B$62:$B$201,$A957)=0,"⚠ 查無員編",IF(COUNTIF($E$3:$E$2002,$E957)&gt;1,"⚠ 重複打卡","OK")))</f>
        <v/>
      </c>
    </row>
    <row r="958">
      <c r="A958" s="20" t="n"/>
      <c r="B958" s="18" t="n"/>
      <c r="C958" s="81" t="n"/>
      <c r="D958" s="81" t="n"/>
      <c r="E958" s="16">
        <f>IF($A958="","",$A958&amp;"|"&amp;DAY($B958))</f>
        <v/>
      </c>
      <c r="F958" s="16">
        <f>IF($A958="","",IF(COUNTIF(設定!$B$62:$B$201,$A958)=0,"⚠ 查無員編",IF(COUNTIF($E$3:$E$2002,$E958)&gt;1,"⚠ 重複打卡","OK")))</f>
        <v/>
      </c>
    </row>
    <row r="959">
      <c r="A959" s="20" t="n"/>
      <c r="B959" s="18" t="n"/>
      <c r="C959" s="81" t="n"/>
      <c r="D959" s="81" t="n"/>
      <c r="E959" s="16">
        <f>IF($A959="","",$A959&amp;"|"&amp;DAY($B959))</f>
        <v/>
      </c>
      <c r="F959" s="16">
        <f>IF($A959="","",IF(COUNTIF(設定!$B$62:$B$201,$A959)=0,"⚠ 查無員編",IF(COUNTIF($E$3:$E$2002,$E959)&gt;1,"⚠ 重複打卡","OK")))</f>
        <v/>
      </c>
    </row>
    <row r="960">
      <c r="A960" s="20" t="n"/>
      <c r="B960" s="18" t="n"/>
      <c r="C960" s="81" t="n"/>
      <c r="D960" s="81" t="n"/>
      <c r="E960" s="16">
        <f>IF($A960="","",$A960&amp;"|"&amp;DAY($B960))</f>
        <v/>
      </c>
      <c r="F960" s="16">
        <f>IF($A960="","",IF(COUNTIF(設定!$B$62:$B$201,$A960)=0,"⚠ 查無員編",IF(COUNTIF($E$3:$E$2002,$E960)&gt;1,"⚠ 重複打卡","OK")))</f>
        <v/>
      </c>
    </row>
    <row r="961">
      <c r="A961" s="20" t="n"/>
      <c r="B961" s="18" t="n"/>
      <c r="C961" s="81" t="n"/>
      <c r="D961" s="81" t="n"/>
      <c r="E961" s="16">
        <f>IF($A961="","",$A961&amp;"|"&amp;DAY($B961))</f>
        <v/>
      </c>
      <c r="F961" s="16">
        <f>IF($A961="","",IF(COUNTIF(設定!$B$62:$B$201,$A961)=0,"⚠ 查無員編",IF(COUNTIF($E$3:$E$2002,$E961)&gt;1,"⚠ 重複打卡","OK")))</f>
        <v/>
      </c>
    </row>
    <row r="962">
      <c r="A962" s="20" t="n"/>
      <c r="B962" s="18" t="n"/>
      <c r="C962" s="81" t="n"/>
      <c r="D962" s="81" t="n"/>
      <c r="E962" s="16">
        <f>IF($A962="","",$A962&amp;"|"&amp;DAY($B962))</f>
        <v/>
      </c>
      <c r="F962" s="16">
        <f>IF($A962="","",IF(COUNTIF(設定!$B$62:$B$201,$A962)=0,"⚠ 查無員編",IF(COUNTIF($E$3:$E$2002,$E962)&gt;1,"⚠ 重複打卡","OK")))</f>
        <v/>
      </c>
    </row>
    <row r="963">
      <c r="A963" s="20" t="n"/>
      <c r="B963" s="18" t="n"/>
      <c r="C963" s="81" t="n"/>
      <c r="D963" s="81" t="n"/>
      <c r="E963" s="16">
        <f>IF($A963="","",$A963&amp;"|"&amp;DAY($B963))</f>
        <v/>
      </c>
      <c r="F963" s="16">
        <f>IF($A963="","",IF(COUNTIF(設定!$B$62:$B$201,$A963)=0,"⚠ 查無員編",IF(COUNTIF($E$3:$E$2002,$E963)&gt;1,"⚠ 重複打卡","OK")))</f>
        <v/>
      </c>
    </row>
    <row r="964">
      <c r="A964" s="20" t="n"/>
      <c r="B964" s="18" t="n"/>
      <c r="C964" s="81" t="n"/>
      <c r="D964" s="81" t="n"/>
      <c r="E964" s="16">
        <f>IF($A964="","",$A964&amp;"|"&amp;DAY($B964))</f>
        <v/>
      </c>
      <c r="F964" s="16">
        <f>IF($A964="","",IF(COUNTIF(設定!$B$62:$B$201,$A964)=0,"⚠ 查無員編",IF(COUNTIF($E$3:$E$2002,$E964)&gt;1,"⚠ 重複打卡","OK")))</f>
        <v/>
      </c>
    </row>
    <row r="965">
      <c r="A965" s="20" t="n"/>
      <c r="B965" s="18" t="n"/>
      <c r="C965" s="81" t="n"/>
      <c r="D965" s="81" t="n"/>
      <c r="E965" s="16">
        <f>IF($A965="","",$A965&amp;"|"&amp;DAY($B965))</f>
        <v/>
      </c>
      <c r="F965" s="16">
        <f>IF($A965="","",IF(COUNTIF(設定!$B$62:$B$201,$A965)=0,"⚠ 查無員編",IF(COUNTIF($E$3:$E$2002,$E965)&gt;1,"⚠ 重複打卡","OK")))</f>
        <v/>
      </c>
    </row>
    <row r="966">
      <c r="A966" s="20" t="n"/>
      <c r="B966" s="18" t="n"/>
      <c r="C966" s="81" t="n"/>
      <c r="D966" s="81" t="n"/>
      <c r="E966" s="16">
        <f>IF($A966="","",$A966&amp;"|"&amp;DAY($B966))</f>
        <v/>
      </c>
      <c r="F966" s="16">
        <f>IF($A966="","",IF(COUNTIF(設定!$B$62:$B$201,$A966)=0,"⚠ 查無員編",IF(COUNTIF($E$3:$E$2002,$E966)&gt;1,"⚠ 重複打卡","OK")))</f>
        <v/>
      </c>
    </row>
    <row r="967">
      <c r="A967" s="20" t="n"/>
      <c r="B967" s="18" t="n"/>
      <c r="C967" s="81" t="n"/>
      <c r="D967" s="81" t="n"/>
      <c r="E967" s="16">
        <f>IF($A967="","",$A967&amp;"|"&amp;DAY($B967))</f>
        <v/>
      </c>
      <c r="F967" s="16">
        <f>IF($A967="","",IF(COUNTIF(設定!$B$62:$B$201,$A967)=0,"⚠ 查無員編",IF(COUNTIF($E$3:$E$2002,$E967)&gt;1,"⚠ 重複打卡","OK")))</f>
        <v/>
      </c>
    </row>
    <row r="968">
      <c r="A968" s="20" t="n"/>
      <c r="B968" s="18" t="n"/>
      <c r="C968" s="81" t="n"/>
      <c r="D968" s="81" t="n"/>
      <c r="E968" s="16">
        <f>IF($A968="","",$A968&amp;"|"&amp;DAY($B968))</f>
        <v/>
      </c>
      <c r="F968" s="16">
        <f>IF($A968="","",IF(COUNTIF(設定!$B$62:$B$201,$A968)=0,"⚠ 查無員編",IF(COUNTIF($E$3:$E$2002,$E968)&gt;1,"⚠ 重複打卡","OK")))</f>
        <v/>
      </c>
    </row>
    <row r="969">
      <c r="A969" s="20" t="n"/>
      <c r="B969" s="18" t="n"/>
      <c r="C969" s="81" t="n"/>
      <c r="D969" s="81" t="n"/>
      <c r="E969" s="16">
        <f>IF($A969="","",$A969&amp;"|"&amp;DAY($B969))</f>
        <v/>
      </c>
      <c r="F969" s="16">
        <f>IF($A969="","",IF(COUNTIF(設定!$B$62:$B$201,$A969)=0,"⚠ 查無員編",IF(COUNTIF($E$3:$E$2002,$E969)&gt;1,"⚠ 重複打卡","OK")))</f>
        <v/>
      </c>
    </row>
    <row r="970">
      <c r="A970" s="20" t="n"/>
      <c r="B970" s="18" t="n"/>
      <c r="C970" s="81" t="n"/>
      <c r="D970" s="81" t="n"/>
      <c r="E970" s="16">
        <f>IF($A970="","",$A970&amp;"|"&amp;DAY($B970))</f>
        <v/>
      </c>
      <c r="F970" s="16">
        <f>IF($A970="","",IF(COUNTIF(設定!$B$62:$B$201,$A970)=0,"⚠ 查無員編",IF(COUNTIF($E$3:$E$2002,$E970)&gt;1,"⚠ 重複打卡","OK")))</f>
        <v/>
      </c>
    </row>
    <row r="971">
      <c r="A971" s="20" t="n"/>
      <c r="B971" s="18" t="n"/>
      <c r="C971" s="81" t="n"/>
      <c r="D971" s="81" t="n"/>
      <c r="E971" s="16">
        <f>IF($A971="","",$A971&amp;"|"&amp;DAY($B971))</f>
        <v/>
      </c>
      <c r="F971" s="16">
        <f>IF($A971="","",IF(COUNTIF(設定!$B$62:$B$201,$A971)=0,"⚠ 查無員編",IF(COUNTIF($E$3:$E$2002,$E971)&gt;1,"⚠ 重複打卡","OK")))</f>
        <v/>
      </c>
    </row>
    <row r="972">
      <c r="A972" s="20" t="n"/>
      <c r="B972" s="18" t="n"/>
      <c r="C972" s="81" t="n"/>
      <c r="D972" s="81" t="n"/>
      <c r="E972" s="16">
        <f>IF($A972="","",$A972&amp;"|"&amp;DAY($B972))</f>
        <v/>
      </c>
      <c r="F972" s="16">
        <f>IF($A972="","",IF(COUNTIF(設定!$B$62:$B$201,$A972)=0,"⚠ 查無員編",IF(COUNTIF($E$3:$E$2002,$E972)&gt;1,"⚠ 重複打卡","OK")))</f>
        <v/>
      </c>
    </row>
    <row r="973">
      <c r="A973" s="20" t="n"/>
      <c r="B973" s="18" t="n"/>
      <c r="C973" s="81" t="n"/>
      <c r="D973" s="81" t="n"/>
      <c r="E973" s="16">
        <f>IF($A973="","",$A973&amp;"|"&amp;DAY($B973))</f>
        <v/>
      </c>
      <c r="F973" s="16">
        <f>IF($A973="","",IF(COUNTIF(設定!$B$62:$B$201,$A973)=0,"⚠ 查無員編",IF(COUNTIF($E$3:$E$2002,$E973)&gt;1,"⚠ 重複打卡","OK")))</f>
        <v/>
      </c>
    </row>
    <row r="974">
      <c r="A974" s="20" t="n"/>
      <c r="B974" s="18" t="n"/>
      <c r="C974" s="81" t="n"/>
      <c r="D974" s="81" t="n"/>
      <c r="E974" s="16">
        <f>IF($A974="","",$A974&amp;"|"&amp;DAY($B974))</f>
        <v/>
      </c>
      <c r="F974" s="16">
        <f>IF($A974="","",IF(COUNTIF(設定!$B$62:$B$201,$A974)=0,"⚠ 查無員編",IF(COUNTIF($E$3:$E$2002,$E974)&gt;1,"⚠ 重複打卡","OK")))</f>
        <v/>
      </c>
    </row>
    <row r="975">
      <c r="A975" s="20" t="n"/>
      <c r="B975" s="18" t="n"/>
      <c r="C975" s="81" t="n"/>
      <c r="D975" s="81" t="n"/>
      <c r="E975" s="16">
        <f>IF($A975="","",$A975&amp;"|"&amp;DAY($B975))</f>
        <v/>
      </c>
      <c r="F975" s="16">
        <f>IF($A975="","",IF(COUNTIF(設定!$B$62:$B$201,$A975)=0,"⚠ 查無員編",IF(COUNTIF($E$3:$E$2002,$E975)&gt;1,"⚠ 重複打卡","OK")))</f>
        <v/>
      </c>
    </row>
    <row r="976">
      <c r="A976" s="20" t="n"/>
      <c r="B976" s="18" t="n"/>
      <c r="C976" s="81" t="n"/>
      <c r="D976" s="81" t="n"/>
      <c r="E976" s="16">
        <f>IF($A976="","",$A976&amp;"|"&amp;DAY($B976))</f>
        <v/>
      </c>
      <c r="F976" s="16">
        <f>IF($A976="","",IF(COUNTIF(設定!$B$62:$B$201,$A976)=0,"⚠ 查無員編",IF(COUNTIF($E$3:$E$2002,$E976)&gt;1,"⚠ 重複打卡","OK")))</f>
        <v/>
      </c>
    </row>
    <row r="977">
      <c r="A977" s="20" t="n"/>
      <c r="B977" s="18" t="n"/>
      <c r="C977" s="81" t="n"/>
      <c r="D977" s="81" t="n"/>
      <c r="E977" s="16">
        <f>IF($A977="","",$A977&amp;"|"&amp;DAY($B977))</f>
        <v/>
      </c>
      <c r="F977" s="16">
        <f>IF($A977="","",IF(COUNTIF(設定!$B$62:$B$201,$A977)=0,"⚠ 查無員編",IF(COUNTIF($E$3:$E$2002,$E977)&gt;1,"⚠ 重複打卡","OK")))</f>
        <v/>
      </c>
    </row>
    <row r="978">
      <c r="A978" s="20" t="n"/>
      <c r="B978" s="18" t="n"/>
      <c r="C978" s="81" t="n"/>
      <c r="D978" s="81" t="n"/>
      <c r="E978" s="16">
        <f>IF($A978="","",$A978&amp;"|"&amp;DAY($B978))</f>
        <v/>
      </c>
      <c r="F978" s="16">
        <f>IF($A978="","",IF(COUNTIF(設定!$B$62:$B$201,$A978)=0,"⚠ 查無員編",IF(COUNTIF($E$3:$E$2002,$E978)&gt;1,"⚠ 重複打卡","OK")))</f>
        <v/>
      </c>
    </row>
    <row r="979">
      <c r="A979" s="20" t="n"/>
      <c r="B979" s="18" t="n"/>
      <c r="C979" s="81" t="n"/>
      <c r="D979" s="81" t="n"/>
      <c r="E979" s="16">
        <f>IF($A979="","",$A979&amp;"|"&amp;DAY($B979))</f>
        <v/>
      </c>
      <c r="F979" s="16">
        <f>IF($A979="","",IF(COUNTIF(設定!$B$62:$B$201,$A979)=0,"⚠ 查無員編",IF(COUNTIF($E$3:$E$2002,$E979)&gt;1,"⚠ 重複打卡","OK")))</f>
        <v/>
      </c>
    </row>
    <row r="980">
      <c r="A980" s="20" t="n"/>
      <c r="B980" s="18" t="n"/>
      <c r="C980" s="81" t="n"/>
      <c r="D980" s="81" t="n"/>
      <c r="E980" s="16">
        <f>IF($A980="","",$A980&amp;"|"&amp;DAY($B980))</f>
        <v/>
      </c>
      <c r="F980" s="16">
        <f>IF($A980="","",IF(COUNTIF(設定!$B$62:$B$201,$A980)=0,"⚠ 查無員編",IF(COUNTIF($E$3:$E$2002,$E980)&gt;1,"⚠ 重複打卡","OK")))</f>
        <v/>
      </c>
    </row>
    <row r="981">
      <c r="A981" s="20" t="n"/>
      <c r="B981" s="18" t="n"/>
      <c r="C981" s="81" t="n"/>
      <c r="D981" s="81" t="n"/>
      <c r="E981" s="16">
        <f>IF($A981="","",$A981&amp;"|"&amp;DAY($B981))</f>
        <v/>
      </c>
      <c r="F981" s="16">
        <f>IF($A981="","",IF(COUNTIF(設定!$B$62:$B$201,$A981)=0,"⚠ 查無員編",IF(COUNTIF($E$3:$E$2002,$E981)&gt;1,"⚠ 重複打卡","OK")))</f>
        <v/>
      </c>
    </row>
    <row r="982">
      <c r="A982" s="20" t="n"/>
      <c r="B982" s="18" t="n"/>
      <c r="C982" s="81" t="n"/>
      <c r="D982" s="81" t="n"/>
      <c r="E982" s="16">
        <f>IF($A982="","",$A982&amp;"|"&amp;DAY($B982))</f>
        <v/>
      </c>
      <c r="F982" s="16">
        <f>IF($A982="","",IF(COUNTIF(設定!$B$62:$B$201,$A982)=0,"⚠ 查無員編",IF(COUNTIF($E$3:$E$2002,$E982)&gt;1,"⚠ 重複打卡","OK")))</f>
        <v/>
      </c>
    </row>
    <row r="983">
      <c r="A983" s="20" t="n"/>
      <c r="B983" s="18" t="n"/>
      <c r="C983" s="81" t="n"/>
      <c r="D983" s="81" t="n"/>
      <c r="E983" s="16">
        <f>IF($A983="","",$A983&amp;"|"&amp;DAY($B983))</f>
        <v/>
      </c>
      <c r="F983" s="16">
        <f>IF($A983="","",IF(COUNTIF(設定!$B$62:$B$201,$A983)=0,"⚠ 查無員編",IF(COUNTIF($E$3:$E$2002,$E983)&gt;1,"⚠ 重複打卡","OK")))</f>
        <v/>
      </c>
    </row>
    <row r="984">
      <c r="A984" s="20" t="n"/>
      <c r="B984" s="18" t="n"/>
      <c r="C984" s="81" t="n"/>
      <c r="D984" s="81" t="n"/>
      <c r="E984" s="16">
        <f>IF($A984="","",$A984&amp;"|"&amp;DAY($B984))</f>
        <v/>
      </c>
      <c r="F984" s="16">
        <f>IF($A984="","",IF(COUNTIF(設定!$B$62:$B$201,$A984)=0,"⚠ 查無員編",IF(COUNTIF($E$3:$E$2002,$E984)&gt;1,"⚠ 重複打卡","OK")))</f>
        <v/>
      </c>
    </row>
    <row r="985">
      <c r="A985" s="20" t="n"/>
      <c r="B985" s="18" t="n"/>
      <c r="C985" s="81" t="n"/>
      <c r="D985" s="81" t="n"/>
      <c r="E985" s="16">
        <f>IF($A985="","",$A985&amp;"|"&amp;DAY($B985))</f>
        <v/>
      </c>
      <c r="F985" s="16">
        <f>IF($A985="","",IF(COUNTIF(設定!$B$62:$B$201,$A985)=0,"⚠ 查無員編",IF(COUNTIF($E$3:$E$2002,$E985)&gt;1,"⚠ 重複打卡","OK")))</f>
        <v/>
      </c>
    </row>
    <row r="986">
      <c r="A986" s="20" t="n"/>
      <c r="B986" s="18" t="n"/>
      <c r="C986" s="81" t="n"/>
      <c r="D986" s="81" t="n"/>
      <c r="E986" s="16">
        <f>IF($A986="","",$A986&amp;"|"&amp;DAY($B986))</f>
        <v/>
      </c>
      <c r="F986" s="16">
        <f>IF($A986="","",IF(COUNTIF(設定!$B$62:$B$201,$A986)=0,"⚠ 查無員編",IF(COUNTIF($E$3:$E$2002,$E986)&gt;1,"⚠ 重複打卡","OK")))</f>
        <v/>
      </c>
    </row>
    <row r="987">
      <c r="A987" s="20" t="n"/>
      <c r="B987" s="18" t="n"/>
      <c r="C987" s="81" t="n"/>
      <c r="D987" s="81" t="n"/>
      <c r="E987" s="16">
        <f>IF($A987="","",$A987&amp;"|"&amp;DAY($B987))</f>
        <v/>
      </c>
      <c r="F987" s="16">
        <f>IF($A987="","",IF(COUNTIF(設定!$B$62:$B$201,$A987)=0,"⚠ 查無員編",IF(COUNTIF($E$3:$E$2002,$E987)&gt;1,"⚠ 重複打卡","OK")))</f>
        <v/>
      </c>
    </row>
    <row r="988">
      <c r="A988" s="20" t="n"/>
      <c r="B988" s="18" t="n"/>
      <c r="C988" s="81" t="n"/>
      <c r="D988" s="81" t="n"/>
      <c r="E988" s="16">
        <f>IF($A988="","",$A988&amp;"|"&amp;DAY($B988))</f>
        <v/>
      </c>
      <c r="F988" s="16">
        <f>IF($A988="","",IF(COUNTIF(設定!$B$62:$B$201,$A988)=0,"⚠ 查無員編",IF(COUNTIF($E$3:$E$2002,$E988)&gt;1,"⚠ 重複打卡","OK")))</f>
        <v/>
      </c>
    </row>
    <row r="989">
      <c r="A989" s="20" t="n"/>
      <c r="B989" s="18" t="n"/>
      <c r="C989" s="81" t="n"/>
      <c r="D989" s="81" t="n"/>
      <c r="E989" s="16">
        <f>IF($A989="","",$A989&amp;"|"&amp;DAY($B989))</f>
        <v/>
      </c>
      <c r="F989" s="16">
        <f>IF($A989="","",IF(COUNTIF(設定!$B$62:$B$201,$A989)=0,"⚠ 查無員編",IF(COUNTIF($E$3:$E$2002,$E989)&gt;1,"⚠ 重複打卡","OK")))</f>
        <v/>
      </c>
    </row>
    <row r="990">
      <c r="A990" s="20" t="n"/>
      <c r="B990" s="18" t="n"/>
      <c r="C990" s="81" t="n"/>
      <c r="D990" s="81" t="n"/>
      <c r="E990" s="16">
        <f>IF($A990="","",$A990&amp;"|"&amp;DAY($B990))</f>
        <v/>
      </c>
      <c r="F990" s="16">
        <f>IF($A990="","",IF(COUNTIF(設定!$B$62:$B$201,$A990)=0,"⚠ 查無員編",IF(COUNTIF($E$3:$E$2002,$E990)&gt;1,"⚠ 重複打卡","OK")))</f>
        <v/>
      </c>
    </row>
    <row r="991">
      <c r="A991" s="20" t="n"/>
      <c r="B991" s="18" t="n"/>
      <c r="C991" s="81" t="n"/>
      <c r="D991" s="81" t="n"/>
      <c r="E991" s="16">
        <f>IF($A991="","",$A991&amp;"|"&amp;DAY($B991))</f>
        <v/>
      </c>
      <c r="F991" s="16">
        <f>IF($A991="","",IF(COUNTIF(設定!$B$62:$B$201,$A991)=0,"⚠ 查無員編",IF(COUNTIF($E$3:$E$2002,$E991)&gt;1,"⚠ 重複打卡","OK")))</f>
        <v/>
      </c>
    </row>
    <row r="992">
      <c r="A992" s="20" t="n"/>
      <c r="B992" s="18" t="n"/>
      <c r="C992" s="81" t="n"/>
      <c r="D992" s="81" t="n"/>
      <c r="E992" s="16">
        <f>IF($A992="","",$A992&amp;"|"&amp;DAY($B992))</f>
        <v/>
      </c>
      <c r="F992" s="16">
        <f>IF($A992="","",IF(COUNTIF(設定!$B$62:$B$201,$A992)=0,"⚠ 查無員編",IF(COUNTIF($E$3:$E$2002,$E992)&gt;1,"⚠ 重複打卡","OK")))</f>
        <v/>
      </c>
    </row>
    <row r="993">
      <c r="A993" s="20" t="n"/>
      <c r="B993" s="18" t="n"/>
      <c r="C993" s="81" t="n"/>
      <c r="D993" s="81" t="n"/>
      <c r="E993" s="16">
        <f>IF($A993="","",$A993&amp;"|"&amp;DAY($B993))</f>
        <v/>
      </c>
      <c r="F993" s="16">
        <f>IF($A993="","",IF(COUNTIF(設定!$B$62:$B$201,$A993)=0,"⚠ 查無員編",IF(COUNTIF($E$3:$E$2002,$E993)&gt;1,"⚠ 重複打卡","OK")))</f>
        <v/>
      </c>
    </row>
    <row r="994">
      <c r="A994" s="20" t="n"/>
      <c r="B994" s="18" t="n"/>
      <c r="C994" s="81" t="n"/>
      <c r="D994" s="81" t="n"/>
      <c r="E994" s="16">
        <f>IF($A994="","",$A994&amp;"|"&amp;DAY($B994))</f>
        <v/>
      </c>
      <c r="F994" s="16">
        <f>IF($A994="","",IF(COUNTIF(設定!$B$62:$B$201,$A994)=0,"⚠ 查無員編",IF(COUNTIF($E$3:$E$2002,$E994)&gt;1,"⚠ 重複打卡","OK")))</f>
        <v/>
      </c>
    </row>
    <row r="995">
      <c r="A995" s="20" t="n"/>
      <c r="B995" s="18" t="n"/>
      <c r="C995" s="81" t="n"/>
      <c r="D995" s="81" t="n"/>
      <c r="E995" s="16">
        <f>IF($A995="","",$A995&amp;"|"&amp;DAY($B995))</f>
        <v/>
      </c>
      <c r="F995" s="16">
        <f>IF($A995="","",IF(COUNTIF(設定!$B$62:$B$201,$A995)=0,"⚠ 查無員編",IF(COUNTIF($E$3:$E$2002,$E995)&gt;1,"⚠ 重複打卡","OK")))</f>
        <v/>
      </c>
    </row>
    <row r="996">
      <c r="A996" s="20" t="n"/>
      <c r="B996" s="18" t="n"/>
      <c r="C996" s="81" t="n"/>
      <c r="D996" s="81" t="n"/>
      <c r="E996" s="16">
        <f>IF($A996="","",$A996&amp;"|"&amp;DAY($B996))</f>
        <v/>
      </c>
      <c r="F996" s="16">
        <f>IF($A996="","",IF(COUNTIF(設定!$B$62:$B$201,$A996)=0,"⚠ 查無員編",IF(COUNTIF($E$3:$E$2002,$E996)&gt;1,"⚠ 重複打卡","OK")))</f>
        <v/>
      </c>
    </row>
    <row r="997">
      <c r="A997" s="20" t="n"/>
      <c r="B997" s="18" t="n"/>
      <c r="C997" s="81" t="n"/>
      <c r="D997" s="81" t="n"/>
      <c r="E997" s="16">
        <f>IF($A997="","",$A997&amp;"|"&amp;DAY($B997))</f>
        <v/>
      </c>
      <c r="F997" s="16">
        <f>IF($A997="","",IF(COUNTIF(設定!$B$62:$B$201,$A997)=0,"⚠ 查無員編",IF(COUNTIF($E$3:$E$2002,$E997)&gt;1,"⚠ 重複打卡","OK")))</f>
        <v/>
      </c>
    </row>
    <row r="998">
      <c r="A998" s="20" t="n"/>
      <c r="B998" s="18" t="n"/>
      <c r="C998" s="81" t="n"/>
      <c r="D998" s="81" t="n"/>
      <c r="E998" s="16">
        <f>IF($A998="","",$A998&amp;"|"&amp;DAY($B998))</f>
        <v/>
      </c>
      <c r="F998" s="16">
        <f>IF($A998="","",IF(COUNTIF(設定!$B$62:$B$201,$A998)=0,"⚠ 查無員編",IF(COUNTIF($E$3:$E$2002,$E998)&gt;1,"⚠ 重複打卡","OK")))</f>
        <v/>
      </c>
    </row>
    <row r="999">
      <c r="A999" s="20" t="n"/>
      <c r="B999" s="18" t="n"/>
      <c r="C999" s="81" t="n"/>
      <c r="D999" s="81" t="n"/>
      <c r="E999" s="16">
        <f>IF($A999="","",$A999&amp;"|"&amp;DAY($B999))</f>
        <v/>
      </c>
      <c r="F999" s="16">
        <f>IF($A999="","",IF(COUNTIF(設定!$B$62:$B$201,$A999)=0,"⚠ 查無員編",IF(COUNTIF($E$3:$E$2002,$E999)&gt;1,"⚠ 重複打卡","OK")))</f>
        <v/>
      </c>
    </row>
    <row r="1000">
      <c r="A1000" s="20" t="n"/>
      <c r="B1000" s="18" t="n"/>
      <c r="C1000" s="81" t="n"/>
      <c r="D1000" s="81" t="n"/>
      <c r="E1000" s="16">
        <f>IF($A1000="","",$A1000&amp;"|"&amp;DAY($B1000))</f>
        <v/>
      </c>
      <c r="F1000" s="16">
        <f>IF($A1000="","",IF(COUNTIF(設定!$B$62:$B$201,$A1000)=0,"⚠ 查無員編",IF(COUNTIF($E$3:$E$2002,$E1000)&gt;1,"⚠ 重複打卡","OK")))</f>
        <v/>
      </c>
    </row>
    <row r="1001">
      <c r="A1001" s="20" t="n"/>
      <c r="B1001" s="18" t="n"/>
      <c r="C1001" s="81" t="n"/>
      <c r="D1001" s="81" t="n"/>
      <c r="E1001" s="16">
        <f>IF($A1001="","",$A1001&amp;"|"&amp;DAY($B1001))</f>
        <v/>
      </c>
      <c r="F1001" s="16">
        <f>IF($A1001="","",IF(COUNTIF(設定!$B$62:$B$201,$A1001)=0,"⚠ 查無員編",IF(COUNTIF($E$3:$E$2002,$E1001)&gt;1,"⚠ 重複打卡","OK")))</f>
        <v/>
      </c>
    </row>
    <row r="1002">
      <c r="A1002" s="20" t="n"/>
      <c r="B1002" s="18" t="n"/>
      <c r="C1002" s="81" t="n"/>
      <c r="D1002" s="81" t="n"/>
      <c r="E1002" s="16">
        <f>IF($A1002="","",$A1002&amp;"|"&amp;DAY($B1002))</f>
        <v/>
      </c>
      <c r="F1002" s="16">
        <f>IF($A1002="","",IF(COUNTIF(設定!$B$62:$B$201,$A1002)=0,"⚠ 查無員編",IF(COUNTIF($E$3:$E$2002,$E1002)&gt;1,"⚠ 重複打卡","OK")))</f>
        <v/>
      </c>
    </row>
    <row r="1003">
      <c r="A1003" s="20" t="n"/>
      <c r="B1003" s="18" t="n"/>
      <c r="C1003" s="81" t="n"/>
      <c r="D1003" s="81" t="n"/>
      <c r="E1003" s="16">
        <f>IF($A1003="","",$A1003&amp;"|"&amp;DAY($B1003))</f>
        <v/>
      </c>
      <c r="F1003" s="16">
        <f>IF($A1003="","",IF(COUNTIF(設定!$B$62:$B$201,$A1003)=0,"⚠ 查無員編",IF(COUNTIF($E$3:$E$2002,$E1003)&gt;1,"⚠ 重複打卡","OK")))</f>
        <v/>
      </c>
    </row>
    <row r="1004">
      <c r="A1004" s="20" t="n"/>
      <c r="B1004" s="18" t="n"/>
      <c r="C1004" s="81" t="n"/>
      <c r="D1004" s="81" t="n"/>
      <c r="E1004" s="16">
        <f>IF($A1004="","",$A1004&amp;"|"&amp;DAY($B1004))</f>
        <v/>
      </c>
      <c r="F1004" s="16">
        <f>IF($A1004="","",IF(COUNTIF(設定!$B$62:$B$201,$A1004)=0,"⚠ 查無員編",IF(COUNTIF($E$3:$E$2002,$E1004)&gt;1,"⚠ 重複打卡","OK")))</f>
        <v/>
      </c>
    </row>
    <row r="1005">
      <c r="A1005" s="20" t="n"/>
      <c r="B1005" s="18" t="n"/>
      <c r="C1005" s="81" t="n"/>
      <c r="D1005" s="81" t="n"/>
      <c r="E1005" s="16">
        <f>IF($A1005="","",$A1005&amp;"|"&amp;DAY($B1005))</f>
        <v/>
      </c>
      <c r="F1005" s="16">
        <f>IF($A1005="","",IF(COUNTIF(設定!$B$62:$B$201,$A1005)=0,"⚠ 查無員編",IF(COUNTIF($E$3:$E$2002,$E1005)&gt;1,"⚠ 重複打卡","OK")))</f>
        <v/>
      </c>
    </row>
    <row r="1006">
      <c r="A1006" s="20" t="n"/>
      <c r="B1006" s="18" t="n"/>
      <c r="C1006" s="81" t="n"/>
      <c r="D1006" s="81" t="n"/>
      <c r="E1006" s="16">
        <f>IF($A1006="","",$A1006&amp;"|"&amp;DAY($B1006))</f>
        <v/>
      </c>
      <c r="F1006" s="16">
        <f>IF($A1006="","",IF(COUNTIF(設定!$B$62:$B$201,$A1006)=0,"⚠ 查無員編",IF(COUNTIF($E$3:$E$2002,$E1006)&gt;1,"⚠ 重複打卡","OK")))</f>
        <v/>
      </c>
    </row>
    <row r="1007">
      <c r="A1007" s="20" t="n"/>
      <c r="B1007" s="18" t="n"/>
      <c r="C1007" s="81" t="n"/>
      <c r="D1007" s="81" t="n"/>
      <c r="E1007" s="16">
        <f>IF($A1007="","",$A1007&amp;"|"&amp;DAY($B1007))</f>
        <v/>
      </c>
      <c r="F1007" s="16">
        <f>IF($A1007="","",IF(COUNTIF(設定!$B$62:$B$201,$A1007)=0,"⚠ 查無員編",IF(COUNTIF($E$3:$E$2002,$E1007)&gt;1,"⚠ 重複打卡","OK")))</f>
        <v/>
      </c>
    </row>
    <row r="1008">
      <c r="A1008" s="20" t="n"/>
      <c r="B1008" s="18" t="n"/>
      <c r="C1008" s="81" t="n"/>
      <c r="D1008" s="81" t="n"/>
      <c r="E1008" s="16">
        <f>IF($A1008="","",$A1008&amp;"|"&amp;DAY($B1008))</f>
        <v/>
      </c>
      <c r="F1008" s="16">
        <f>IF($A1008="","",IF(COUNTIF(設定!$B$62:$B$201,$A1008)=0,"⚠ 查無員編",IF(COUNTIF($E$3:$E$2002,$E1008)&gt;1,"⚠ 重複打卡","OK")))</f>
        <v/>
      </c>
    </row>
    <row r="1009">
      <c r="A1009" s="20" t="n"/>
      <c r="B1009" s="18" t="n"/>
      <c r="C1009" s="81" t="n"/>
      <c r="D1009" s="81" t="n"/>
      <c r="E1009" s="16">
        <f>IF($A1009="","",$A1009&amp;"|"&amp;DAY($B1009))</f>
        <v/>
      </c>
      <c r="F1009" s="16">
        <f>IF($A1009="","",IF(COUNTIF(設定!$B$62:$B$201,$A1009)=0,"⚠ 查無員編",IF(COUNTIF($E$3:$E$2002,$E1009)&gt;1,"⚠ 重複打卡","OK")))</f>
        <v/>
      </c>
    </row>
    <row r="1010">
      <c r="A1010" s="20" t="n"/>
      <c r="B1010" s="18" t="n"/>
      <c r="C1010" s="81" t="n"/>
      <c r="D1010" s="81" t="n"/>
      <c r="E1010" s="16">
        <f>IF($A1010="","",$A1010&amp;"|"&amp;DAY($B1010))</f>
        <v/>
      </c>
      <c r="F1010" s="16">
        <f>IF($A1010="","",IF(COUNTIF(設定!$B$62:$B$201,$A1010)=0,"⚠ 查無員編",IF(COUNTIF($E$3:$E$2002,$E1010)&gt;1,"⚠ 重複打卡","OK")))</f>
        <v/>
      </c>
    </row>
    <row r="1011">
      <c r="A1011" s="20" t="n"/>
      <c r="B1011" s="18" t="n"/>
      <c r="C1011" s="81" t="n"/>
      <c r="D1011" s="81" t="n"/>
      <c r="E1011" s="16">
        <f>IF($A1011="","",$A1011&amp;"|"&amp;DAY($B1011))</f>
        <v/>
      </c>
      <c r="F1011" s="16">
        <f>IF($A1011="","",IF(COUNTIF(設定!$B$62:$B$201,$A1011)=0,"⚠ 查無員編",IF(COUNTIF($E$3:$E$2002,$E1011)&gt;1,"⚠ 重複打卡","OK")))</f>
        <v/>
      </c>
    </row>
    <row r="1012">
      <c r="A1012" s="20" t="n"/>
      <c r="B1012" s="18" t="n"/>
      <c r="C1012" s="81" t="n"/>
      <c r="D1012" s="81" t="n"/>
      <c r="E1012" s="16">
        <f>IF($A1012="","",$A1012&amp;"|"&amp;DAY($B1012))</f>
        <v/>
      </c>
      <c r="F1012" s="16">
        <f>IF($A1012="","",IF(COUNTIF(設定!$B$62:$B$201,$A1012)=0,"⚠ 查無員編",IF(COUNTIF($E$3:$E$2002,$E1012)&gt;1,"⚠ 重複打卡","OK")))</f>
        <v/>
      </c>
    </row>
    <row r="1013">
      <c r="A1013" s="20" t="n"/>
      <c r="B1013" s="18" t="n"/>
      <c r="C1013" s="81" t="n"/>
      <c r="D1013" s="81" t="n"/>
      <c r="E1013" s="16">
        <f>IF($A1013="","",$A1013&amp;"|"&amp;DAY($B1013))</f>
        <v/>
      </c>
      <c r="F1013" s="16">
        <f>IF($A1013="","",IF(COUNTIF(設定!$B$62:$B$201,$A1013)=0,"⚠ 查無員編",IF(COUNTIF($E$3:$E$2002,$E1013)&gt;1,"⚠ 重複打卡","OK")))</f>
        <v/>
      </c>
    </row>
    <row r="1014">
      <c r="A1014" s="20" t="n"/>
      <c r="B1014" s="18" t="n"/>
      <c r="C1014" s="81" t="n"/>
      <c r="D1014" s="81" t="n"/>
      <c r="E1014" s="16">
        <f>IF($A1014="","",$A1014&amp;"|"&amp;DAY($B1014))</f>
        <v/>
      </c>
      <c r="F1014" s="16">
        <f>IF($A1014="","",IF(COUNTIF(設定!$B$62:$B$201,$A1014)=0,"⚠ 查無員編",IF(COUNTIF($E$3:$E$2002,$E1014)&gt;1,"⚠ 重複打卡","OK")))</f>
        <v/>
      </c>
    </row>
    <row r="1015">
      <c r="A1015" s="20" t="n"/>
      <c r="B1015" s="18" t="n"/>
      <c r="C1015" s="81" t="n"/>
      <c r="D1015" s="81" t="n"/>
      <c r="E1015" s="16">
        <f>IF($A1015="","",$A1015&amp;"|"&amp;DAY($B1015))</f>
        <v/>
      </c>
      <c r="F1015" s="16">
        <f>IF($A1015="","",IF(COUNTIF(設定!$B$62:$B$201,$A1015)=0,"⚠ 查無員編",IF(COUNTIF($E$3:$E$2002,$E1015)&gt;1,"⚠ 重複打卡","OK")))</f>
        <v/>
      </c>
    </row>
    <row r="1016">
      <c r="A1016" s="20" t="n"/>
      <c r="B1016" s="18" t="n"/>
      <c r="C1016" s="81" t="n"/>
      <c r="D1016" s="81" t="n"/>
      <c r="E1016" s="16">
        <f>IF($A1016="","",$A1016&amp;"|"&amp;DAY($B1016))</f>
        <v/>
      </c>
      <c r="F1016" s="16">
        <f>IF($A1016="","",IF(COUNTIF(設定!$B$62:$B$201,$A1016)=0,"⚠ 查無員編",IF(COUNTIF($E$3:$E$2002,$E1016)&gt;1,"⚠ 重複打卡","OK")))</f>
        <v/>
      </c>
    </row>
    <row r="1017">
      <c r="A1017" s="20" t="n"/>
      <c r="B1017" s="18" t="n"/>
      <c r="C1017" s="81" t="n"/>
      <c r="D1017" s="81" t="n"/>
      <c r="E1017" s="16">
        <f>IF($A1017="","",$A1017&amp;"|"&amp;DAY($B1017))</f>
        <v/>
      </c>
      <c r="F1017" s="16">
        <f>IF($A1017="","",IF(COUNTIF(設定!$B$62:$B$201,$A1017)=0,"⚠ 查無員編",IF(COUNTIF($E$3:$E$2002,$E1017)&gt;1,"⚠ 重複打卡","OK")))</f>
        <v/>
      </c>
    </row>
    <row r="1018">
      <c r="A1018" s="20" t="n"/>
      <c r="B1018" s="18" t="n"/>
      <c r="C1018" s="81" t="n"/>
      <c r="D1018" s="81" t="n"/>
      <c r="E1018" s="16">
        <f>IF($A1018="","",$A1018&amp;"|"&amp;DAY($B1018))</f>
        <v/>
      </c>
      <c r="F1018" s="16">
        <f>IF($A1018="","",IF(COUNTIF(設定!$B$62:$B$201,$A1018)=0,"⚠ 查無員編",IF(COUNTIF($E$3:$E$2002,$E1018)&gt;1,"⚠ 重複打卡","OK")))</f>
        <v/>
      </c>
    </row>
    <row r="1019">
      <c r="A1019" s="20" t="n"/>
      <c r="B1019" s="18" t="n"/>
      <c r="C1019" s="81" t="n"/>
      <c r="D1019" s="81" t="n"/>
      <c r="E1019" s="16">
        <f>IF($A1019="","",$A1019&amp;"|"&amp;DAY($B1019))</f>
        <v/>
      </c>
      <c r="F1019" s="16">
        <f>IF($A1019="","",IF(COUNTIF(設定!$B$62:$B$201,$A1019)=0,"⚠ 查無員編",IF(COUNTIF($E$3:$E$2002,$E1019)&gt;1,"⚠ 重複打卡","OK")))</f>
        <v/>
      </c>
    </row>
    <row r="1020">
      <c r="A1020" s="20" t="n"/>
      <c r="B1020" s="18" t="n"/>
      <c r="C1020" s="81" t="n"/>
      <c r="D1020" s="81" t="n"/>
      <c r="E1020" s="16">
        <f>IF($A1020="","",$A1020&amp;"|"&amp;DAY($B1020))</f>
        <v/>
      </c>
      <c r="F1020" s="16">
        <f>IF($A1020="","",IF(COUNTIF(設定!$B$62:$B$201,$A1020)=0,"⚠ 查無員編",IF(COUNTIF($E$3:$E$2002,$E1020)&gt;1,"⚠ 重複打卡","OK")))</f>
        <v/>
      </c>
    </row>
    <row r="1021">
      <c r="A1021" s="20" t="n"/>
      <c r="B1021" s="18" t="n"/>
      <c r="C1021" s="81" t="n"/>
      <c r="D1021" s="81" t="n"/>
      <c r="E1021" s="16">
        <f>IF($A1021="","",$A1021&amp;"|"&amp;DAY($B1021))</f>
        <v/>
      </c>
      <c r="F1021" s="16">
        <f>IF($A1021="","",IF(COUNTIF(設定!$B$62:$B$201,$A1021)=0,"⚠ 查無員編",IF(COUNTIF($E$3:$E$2002,$E1021)&gt;1,"⚠ 重複打卡","OK")))</f>
        <v/>
      </c>
    </row>
    <row r="1022">
      <c r="A1022" s="20" t="n"/>
      <c r="B1022" s="18" t="n"/>
      <c r="C1022" s="81" t="n"/>
      <c r="D1022" s="81" t="n"/>
      <c r="E1022" s="16">
        <f>IF($A1022="","",$A1022&amp;"|"&amp;DAY($B1022))</f>
        <v/>
      </c>
      <c r="F1022" s="16">
        <f>IF($A1022="","",IF(COUNTIF(設定!$B$62:$B$201,$A1022)=0,"⚠ 查無員編",IF(COUNTIF($E$3:$E$2002,$E1022)&gt;1,"⚠ 重複打卡","OK")))</f>
        <v/>
      </c>
    </row>
    <row r="1023">
      <c r="A1023" s="20" t="n"/>
      <c r="B1023" s="18" t="n"/>
      <c r="C1023" s="81" t="n"/>
      <c r="D1023" s="81" t="n"/>
      <c r="E1023" s="16">
        <f>IF($A1023="","",$A1023&amp;"|"&amp;DAY($B1023))</f>
        <v/>
      </c>
      <c r="F1023" s="16">
        <f>IF($A1023="","",IF(COUNTIF(設定!$B$62:$B$201,$A1023)=0,"⚠ 查無員編",IF(COUNTIF($E$3:$E$2002,$E1023)&gt;1,"⚠ 重複打卡","OK")))</f>
        <v/>
      </c>
    </row>
    <row r="1024">
      <c r="A1024" s="20" t="n"/>
      <c r="B1024" s="18" t="n"/>
      <c r="C1024" s="81" t="n"/>
      <c r="D1024" s="81" t="n"/>
      <c r="E1024" s="16">
        <f>IF($A1024="","",$A1024&amp;"|"&amp;DAY($B1024))</f>
        <v/>
      </c>
      <c r="F1024" s="16">
        <f>IF($A1024="","",IF(COUNTIF(設定!$B$62:$B$201,$A1024)=0,"⚠ 查無員編",IF(COUNTIF($E$3:$E$2002,$E1024)&gt;1,"⚠ 重複打卡","OK")))</f>
        <v/>
      </c>
    </row>
    <row r="1025">
      <c r="A1025" s="20" t="n"/>
      <c r="B1025" s="18" t="n"/>
      <c r="C1025" s="81" t="n"/>
      <c r="D1025" s="81" t="n"/>
      <c r="E1025" s="16">
        <f>IF($A1025="","",$A1025&amp;"|"&amp;DAY($B1025))</f>
        <v/>
      </c>
      <c r="F1025" s="16">
        <f>IF($A1025="","",IF(COUNTIF(設定!$B$62:$B$201,$A1025)=0,"⚠ 查無員編",IF(COUNTIF($E$3:$E$2002,$E1025)&gt;1,"⚠ 重複打卡","OK")))</f>
        <v/>
      </c>
    </row>
    <row r="1026">
      <c r="A1026" s="20" t="n"/>
      <c r="B1026" s="18" t="n"/>
      <c r="C1026" s="81" t="n"/>
      <c r="D1026" s="81" t="n"/>
      <c r="E1026" s="16">
        <f>IF($A1026="","",$A1026&amp;"|"&amp;DAY($B1026))</f>
        <v/>
      </c>
      <c r="F1026" s="16">
        <f>IF($A1026="","",IF(COUNTIF(設定!$B$62:$B$201,$A1026)=0,"⚠ 查無員編",IF(COUNTIF($E$3:$E$2002,$E1026)&gt;1,"⚠ 重複打卡","OK")))</f>
        <v/>
      </c>
    </row>
    <row r="1027">
      <c r="A1027" s="20" t="n"/>
      <c r="B1027" s="18" t="n"/>
      <c r="C1027" s="81" t="n"/>
      <c r="D1027" s="81" t="n"/>
      <c r="E1027" s="16">
        <f>IF($A1027="","",$A1027&amp;"|"&amp;DAY($B1027))</f>
        <v/>
      </c>
      <c r="F1027" s="16">
        <f>IF($A1027="","",IF(COUNTIF(設定!$B$62:$B$201,$A1027)=0,"⚠ 查無員編",IF(COUNTIF($E$3:$E$2002,$E1027)&gt;1,"⚠ 重複打卡","OK")))</f>
        <v/>
      </c>
    </row>
    <row r="1028">
      <c r="A1028" s="20" t="n"/>
      <c r="B1028" s="18" t="n"/>
      <c r="C1028" s="81" t="n"/>
      <c r="D1028" s="81" t="n"/>
      <c r="E1028" s="16">
        <f>IF($A1028="","",$A1028&amp;"|"&amp;DAY($B1028))</f>
        <v/>
      </c>
      <c r="F1028" s="16">
        <f>IF($A1028="","",IF(COUNTIF(設定!$B$62:$B$201,$A1028)=0,"⚠ 查無員編",IF(COUNTIF($E$3:$E$2002,$E1028)&gt;1,"⚠ 重複打卡","OK")))</f>
        <v/>
      </c>
    </row>
    <row r="1029">
      <c r="A1029" s="20" t="n"/>
      <c r="B1029" s="18" t="n"/>
      <c r="C1029" s="81" t="n"/>
      <c r="D1029" s="81" t="n"/>
      <c r="E1029" s="16">
        <f>IF($A1029="","",$A1029&amp;"|"&amp;DAY($B1029))</f>
        <v/>
      </c>
      <c r="F1029" s="16">
        <f>IF($A1029="","",IF(COUNTIF(設定!$B$62:$B$201,$A1029)=0,"⚠ 查無員編",IF(COUNTIF($E$3:$E$2002,$E1029)&gt;1,"⚠ 重複打卡","OK")))</f>
        <v/>
      </c>
    </row>
    <row r="1030">
      <c r="A1030" s="20" t="n"/>
      <c r="B1030" s="18" t="n"/>
      <c r="C1030" s="81" t="n"/>
      <c r="D1030" s="81" t="n"/>
      <c r="E1030" s="16">
        <f>IF($A1030="","",$A1030&amp;"|"&amp;DAY($B1030))</f>
        <v/>
      </c>
      <c r="F1030" s="16">
        <f>IF($A1030="","",IF(COUNTIF(設定!$B$62:$B$201,$A1030)=0,"⚠ 查無員編",IF(COUNTIF($E$3:$E$2002,$E1030)&gt;1,"⚠ 重複打卡","OK")))</f>
        <v/>
      </c>
    </row>
    <row r="1031">
      <c r="A1031" s="20" t="n"/>
      <c r="B1031" s="18" t="n"/>
      <c r="C1031" s="81" t="n"/>
      <c r="D1031" s="81" t="n"/>
      <c r="E1031" s="16">
        <f>IF($A1031="","",$A1031&amp;"|"&amp;DAY($B1031))</f>
        <v/>
      </c>
      <c r="F1031" s="16">
        <f>IF($A1031="","",IF(COUNTIF(設定!$B$62:$B$201,$A1031)=0,"⚠ 查無員編",IF(COUNTIF($E$3:$E$2002,$E1031)&gt;1,"⚠ 重複打卡","OK")))</f>
        <v/>
      </c>
    </row>
    <row r="1032">
      <c r="A1032" s="20" t="n"/>
      <c r="B1032" s="18" t="n"/>
      <c r="C1032" s="81" t="n"/>
      <c r="D1032" s="81" t="n"/>
      <c r="E1032" s="16">
        <f>IF($A1032="","",$A1032&amp;"|"&amp;DAY($B1032))</f>
        <v/>
      </c>
      <c r="F1032" s="16">
        <f>IF($A1032="","",IF(COUNTIF(設定!$B$62:$B$201,$A1032)=0,"⚠ 查無員編",IF(COUNTIF($E$3:$E$2002,$E1032)&gt;1,"⚠ 重複打卡","OK")))</f>
        <v/>
      </c>
    </row>
    <row r="1033">
      <c r="A1033" s="20" t="n"/>
      <c r="B1033" s="18" t="n"/>
      <c r="C1033" s="81" t="n"/>
      <c r="D1033" s="81" t="n"/>
      <c r="E1033" s="16">
        <f>IF($A1033="","",$A1033&amp;"|"&amp;DAY($B1033))</f>
        <v/>
      </c>
      <c r="F1033" s="16">
        <f>IF($A1033="","",IF(COUNTIF(設定!$B$62:$B$201,$A1033)=0,"⚠ 查無員編",IF(COUNTIF($E$3:$E$2002,$E1033)&gt;1,"⚠ 重複打卡","OK")))</f>
        <v/>
      </c>
    </row>
    <row r="1034">
      <c r="A1034" s="20" t="n"/>
      <c r="B1034" s="18" t="n"/>
      <c r="C1034" s="81" t="n"/>
      <c r="D1034" s="81" t="n"/>
      <c r="E1034" s="16">
        <f>IF($A1034="","",$A1034&amp;"|"&amp;DAY($B1034))</f>
        <v/>
      </c>
      <c r="F1034" s="16">
        <f>IF($A1034="","",IF(COUNTIF(設定!$B$62:$B$201,$A1034)=0,"⚠ 查無員編",IF(COUNTIF($E$3:$E$2002,$E1034)&gt;1,"⚠ 重複打卡","OK")))</f>
        <v/>
      </c>
    </row>
    <row r="1035">
      <c r="A1035" s="20" t="n"/>
      <c r="B1035" s="18" t="n"/>
      <c r="C1035" s="81" t="n"/>
      <c r="D1035" s="81" t="n"/>
      <c r="E1035" s="16">
        <f>IF($A1035="","",$A1035&amp;"|"&amp;DAY($B1035))</f>
        <v/>
      </c>
      <c r="F1035" s="16">
        <f>IF($A1035="","",IF(COUNTIF(設定!$B$62:$B$201,$A1035)=0,"⚠ 查無員編",IF(COUNTIF($E$3:$E$2002,$E1035)&gt;1,"⚠ 重複打卡","OK")))</f>
        <v/>
      </c>
    </row>
    <row r="1036">
      <c r="A1036" s="20" t="n"/>
      <c r="B1036" s="18" t="n"/>
      <c r="C1036" s="81" t="n"/>
      <c r="D1036" s="81" t="n"/>
      <c r="E1036" s="16">
        <f>IF($A1036="","",$A1036&amp;"|"&amp;DAY($B1036))</f>
        <v/>
      </c>
      <c r="F1036" s="16">
        <f>IF($A1036="","",IF(COUNTIF(設定!$B$62:$B$201,$A1036)=0,"⚠ 查無員編",IF(COUNTIF($E$3:$E$2002,$E1036)&gt;1,"⚠ 重複打卡","OK")))</f>
        <v/>
      </c>
    </row>
    <row r="1037">
      <c r="A1037" s="20" t="n"/>
      <c r="B1037" s="18" t="n"/>
      <c r="C1037" s="81" t="n"/>
      <c r="D1037" s="81" t="n"/>
      <c r="E1037" s="16">
        <f>IF($A1037="","",$A1037&amp;"|"&amp;DAY($B1037))</f>
        <v/>
      </c>
      <c r="F1037" s="16">
        <f>IF($A1037="","",IF(COUNTIF(設定!$B$62:$B$201,$A1037)=0,"⚠ 查無員編",IF(COUNTIF($E$3:$E$2002,$E1037)&gt;1,"⚠ 重複打卡","OK")))</f>
        <v/>
      </c>
    </row>
    <row r="1038">
      <c r="A1038" s="20" t="n"/>
      <c r="B1038" s="18" t="n"/>
      <c r="C1038" s="81" t="n"/>
      <c r="D1038" s="81" t="n"/>
      <c r="E1038" s="16">
        <f>IF($A1038="","",$A1038&amp;"|"&amp;DAY($B1038))</f>
        <v/>
      </c>
      <c r="F1038" s="16">
        <f>IF($A1038="","",IF(COUNTIF(設定!$B$62:$B$201,$A1038)=0,"⚠ 查無員編",IF(COUNTIF($E$3:$E$2002,$E1038)&gt;1,"⚠ 重複打卡","OK")))</f>
        <v/>
      </c>
    </row>
    <row r="1039">
      <c r="A1039" s="20" t="n"/>
      <c r="B1039" s="18" t="n"/>
      <c r="C1039" s="81" t="n"/>
      <c r="D1039" s="81" t="n"/>
      <c r="E1039" s="16">
        <f>IF($A1039="","",$A1039&amp;"|"&amp;DAY($B1039))</f>
        <v/>
      </c>
      <c r="F1039" s="16">
        <f>IF($A1039="","",IF(COUNTIF(設定!$B$62:$B$201,$A1039)=0,"⚠ 查無員編",IF(COUNTIF($E$3:$E$2002,$E1039)&gt;1,"⚠ 重複打卡","OK")))</f>
        <v/>
      </c>
    </row>
    <row r="1040">
      <c r="A1040" s="20" t="n"/>
      <c r="B1040" s="18" t="n"/>
      <c r="C1040" s="81" t="n"/>
      <c r="D1040" s="81" t="n"/>
      <c r="E1040" s="16">
        <f>IF($A1040="","",$A1040&amp;"|"&amp;DAY($B1040))</f>
        <v/>
      </c>
      <c r="F1040" s="16">
        <f>IF($A1040="","",IF(COUNTIF(設定!$B$62:$B$201,$A1040)=0,"⚠ 查無員編",IF(COUNTIF($E$3:$E$2002,$E1040)&gt;1,"⚠ 重複打卡","OK")))</f>
        <v/>
      </c>
    </row>
    <row r="1041">
      <c r="A1041" s="20" t="n"/>
      <c r="B1041" s="18" t="n"/>
      <c r="C1041" s="81" t="n"/>
      <c r="D1041" s="81" t="n"/>
      <c r="E1041" s="16">
        <f>IF($A1041="","",$A1041&amp;"|"&amp;DAY($B1041))</f>
        <v/>
      </c>
      <c r="F1041" s="16">
        <f>IF($A1041="","",IF(COUNTIF(設定!$B$62:$B$201,$A1041)=0,"⚠ 查無員編",IF(COUNTIF($E$3:$E$2002,$E1041)&gt;1,"⚠ 重複打卡","OK")))</f>
        <v/>
      </c>
    </row>
    <row r="1042">
      <c r="A1042" s="20" t="n"/>
      <c r="B1042" s="18" t="n"/>
      <c r="C1042" s="81" t="n"/>
      <c r="D1042" s="81" t="n"/>
      <c r="E1042" s="16">
        <f>IF($A1042="","",$A1042&amp;"|"&amp;DAY($B1042))</f>
        <v/>
      </c>
      <c r="F1042" s="16">
        <f>IF($A1042="","",IF(COUNTIF(設定!$B$62:$B$201,$A1042)=0,"⚠ 查無員編",IF(COUNTIF($E$3:$E$2002,$E1042)&gt;1,"⚠ 重複打卡","OK")))</f>
        <v/>
      </c>
    </row>
    <row r="1043">
      <c r="A1043" s="20" t="n"/>
      <c r="B1043" s="18" t="n"/>
      <c r="C1043" s="81" t="n"/>
      <c r="D1043" s="81" t="n"/>
      <c r="E1043" s="16">
        <f>IF($A1043="","",$A1043&amp;"|"&amp;DAY($B1043))</f>
        <v/>
      </c>
      <c r="F1043" s="16">
        <f>IF($A1043="","",IF(COUNTIF(設定!$B$62:$B$201,$A1043)=0,"⚠ 查無員編",IF(COUNTIF($E$3:$E$2002,$E1043)&gt;1,"⚠ 重複打卡","OK")))</f>
        <v/>
      </c>
    </row>
    <row r="1044">
      <c r="A1044" s="20" t="n"/>
      <c r="B1044" s="18" t="n"/>
      <c r="C1044" s="81" t="n"/>
      <c r="D1044" s="81" t="n"/>
      <c r="E1044" s="16">
        <f>IF($A1044="","",$A1044&amp;"|"&amp;DAY($B1044))</f>
        <v/>
      </c>
      <c r="F1044" s="16">
        <f>IF($A1044="","",IF(COUNTIF(設定!$B$62:$B$201,$A1044)=0,"⚠ 查無員編",IF(COUNTIF($E$3:$E$2002,$E1044)&gt;1,"⚠ 重複打卡","OK")))</f>
        <v/>
      </c>
    </row>
    <row r="1045">
      <c r="A1045" s="20" t="n"/>
      <c r="B1045" s="18" t="n"/>
      <c r="C1045" s="81" t="n"/>
      <c r="D1045" s="81" t="n"/>
      <c r="E1045" s="16">
        <f>IF($A1045="","",$A1045&amp;"|"&amp;DAY($B1045))</f>
        <v/>
      </c>
      <c r="F1045" s="16">
        <f>IF($A1045="","",IF(COUNTIF(設定!$B$62:$B$201,$A1045)=0,"⚠ 查無員編",IF(COUNTIF($E$3:$E$2002,$E1045)&gt;1,"⚠ 重複打卡","OK")))</f>
        <v/>
      </c>
    </row>
    <row r="1046">
      <c r="A1046" s="20" t="n"/>
      <c r="B1046" s="18" t="n"/>
      <c r="C1046" s="81" t="n"/>
      <c r="D1046" s="81" t="n"/>
      <c r="E1046" s="16">
        <f>IF($A1046="","",$A1046&amp;"|"&amp;DAY($B1046))</f>
        <v/>
      </c>
      <c r="F1046" s="16">
        <f>IF($A1046="","",IF(COUNTIF(設定!$B$62:$B$201,$A1046)=0,"⚠ 查無員編",IF(COUNTIF($E$3:$E$2002,$E1046)&gt;1,"⚠ 重複打卡","OK")))</f>
        <v/>
      </c>
    </row>
    <row r="1047">
      <c r="A1047" s="20" t="n"/>
      <c r="B1047" s="18" t="n"/>
      <c r="C1047" s="81" t="n"/>
      <c r="D1047" s="81" t="n"/>
      <c r="E1047" s="16">
        <f>IF($A1047="","",$A1047&amp;"|"&amp;DAY($B1047))</f>
        <v/>
      </c>
      <c r="F1047" s="16">
        <f>IF($A1047="","",IF(COUNTIF(設定!$B$62:$B$201,$A1047)=0,"⚠ 查無員編",IF(COUNTIF($E$3:$E$2002,$E1047)&gt;1,"⚠ 重複打卡","OK")))</f>
        <v/>
      </c>
    </row>
    <row r="1048">
      <c r="A1048" s="20" t="n"/>
      <c r="B1048" s="18" t="n"/>
      <c r="C1048" s="81" t="n"/>
      <c r="D1048" s="81" t="n"/>
      <c r="E1048" s="16">
        <f>IF($A1048="","",$A1048&amp;"|"&amp;DAY($B1048))</f>
        <v/>
      </c>
      <c r="F1048" s="16">
        <f>IF($A1048="","",IF(COUNTIF(設定!$B$62:$B$201,$A1048)=0,"⚠ 查無員編",IF(COUNTIF($E$3:$E$2002,$E1048)&gt;1,"⚠ 重複打卡","OK")))</f>
        <v/>
      </c>
    </row>
    <row r="1049">
      <c r="A1049" s="20" t="n"/>
      <c r="B1049" s="18" t="n"/>
      <c r="C1049" s="81" t="n"/>
      <c r="D1049" s="81" t="n"/>
      <c r="E1049" s="16">
        <f>IF($A1049="","",$A1049&amp;"|"&amp;DAY($B1049))</f>
        <v/>
      </c>
      <c r="F1049" s="16">
        <f>IF($A1049="","",IF(COUNTIF(設定!$B$62:$B$201,$A1049)=0,"⚠ 查無員編",IF(COUNTIF($E$3:$E$2002,$E1049)&gt;1,"⚠ 重複打卡","OK")))</f>
        <v/>
      </c>
    </row>
    <row r="1050">
      <c r="A1050" s="20" t="n"/>
      <c r="B1050" s="18" t="n"/>
      <c r="C1050" s="81" t="n"/>
      <c r="D1050" s="81" t="n"/>
      <c r="E1050" s="16">
        <f>IF($A1050="","",$A1050&amp;"|"&amp;DAY($B1050))</f>
        <v/>
      </c>
      <c r="F1050" s="16">
        <f>IF($A1050="","",IF(COUNTIF(設定!$B$62:$B$201,$A1050)=0,"⚠ 查無員編",IF(COUNTIF($E$3:$E$2002,$E1050)&gt;1,"⚠ 重複打卡","OK")))</f>
        <v/>
      </c>
    </row>
    <row r="1051">
      <c r="A1051" s="20" t="n"/>
      <c r="B1051" s="18" t="n"/>
      <c r="C1051" s="81" t="n"/>
      <c r="D1051" s="81" t="n"/>
      <c r="E1051" s="16">
        <f>IF($A1051="","",$A1051&amp;"|"&amp;DAY($B1051))</f>
        <v/>
      </c>
      <c r="F1051" s="16">
        <f>IF($A1051="","",IF(COUNTIF(設定!$B$62:$B$201,$A1051)=0,"⚠ 查無員編",IF(COUNTIF($E$3:$E$2002,$E1051)&gt;1,"⚠ 重複打卡","OK")))</f>
        <v/>
      </c>
    </row>
    <row r="1052">
      <c r="A1052" s="20" t="n"/>
      <c r="B1052" s="18" t="n"/>
      <c r="C1052" s="81" t="n"/>
      <c r="D1052" s="81" t="n"/>
      <c r="E1052" s="16">
        <f>IF($A1052="","",$A1052&amp;"|"&amp;DAY($B1052))</f>
        <v/>
      </c>
      <c r="F1052" s="16">
        <f>IF($A1052="","",IF(COUNTIF(設定!$B$62:$B$201,$A1052)=0,"⚠ 查無員編",IF(COUNTIF($E$3:$E$2002,$E1052)&gt;1,"⚠ 重複打卡","OK")))</f>
        <v/>
      </c>
    </row>
    <row r="1053">
      <c r="A1053" s="20" t="n"/>
      <c r="B1053" s="18" t="n"/>
      <c r="C1053" s="81" t="n"/>
      <c r="D1053" s="81" t="n"/>
      <c r="E1053" s="16">
        <f>IF($A1053="","",$A1053&amp;"|"&amp;DAY($B1053))</f>
        <v/>
      </c>
      <c r="F1053" s="16">
        <f>IF($A1053="","",IF(COUNTIF(設定!$B$62:$B$201,$A1053)=0,"⚠ 查無員編",IF(COUNTIF($E$3:$E$2002,$E1053)&gt;1,"⚠ 重複打卡","OK")))</f>
        <v/>
      </c>
    </row>
    <row r="1054">
      <c r="A1054" s="20" t="n"/>
      <c r="B1054" s="18" t="n"/>
      <c r="C1054" s="81" t="n"/>
      <c r="D1054" s="81" t="n"/>
      <c r="E1054" s="16">
        <f>IF($A1054="","",$A1054&amp;"|"&amp;DAY($B1054))</f>
        <v/>
      </c>
      <c r="F1054" s="16">
        <f>IF($A1054="","",IF(COUNTIF(設定!$B$62:$B$201,$A1054)=0,"⚠ 查無員編",IF(COUNTIF($E$3:$E$2002,$E1054)&gt;1,"⚠ 重複打卡","OK")))</f>
        <v/>
      </c>
    </row>
    <row r="1055">
      <c r="A1055" s="20" t="n"/>
      <c r="B1055" s="18" t="n"/>
      <c r="C1055" s="81" t="n"/>
      <c r="D1055" s="81" t="n"/>
      <c r="E1055" s="16">
        <f>IF($A1055="","",$A1055&amp;"|"&amp;DAY($B1055))</f>
        <v/>
      </c>
      <c r="F1055" s="16">
        <f>IF($A1055="","",IF(COUNTIF(設定!$B$62:$B$201,$A1055)=0,"⚠ 查無員編",IF(COUNTIF($E$3:$E$2002,$E1055)&gt;1,"⚠ 重複打卡","OK")))</f>
        <v/>
      </c>
    </row>
    <row r="1056">
      <c r="A1056" s="20" t="n"/>
      <c r="B1056" s="18" t="n"/>
      <c r="C1056" s="81" t="n"/>
      <c r="D1056" s="81" t="n"/>
      <c r="E1056" s="16">
        <f>IF($A1056="","",$A1056&amp;"|"&amp;DAY($B1056))</f>
        <v/>
      </c>
      <c r="F1056" s="16">
        <f>IF($A1056="","",IF(COUNTIF(設定!$B$62:$B$201,$A1056)=0,"⚠ 查無員編",IF(COUNTIF($E$3:$E$2002,$E1056)&gt;1,"⚠ 重複打卡","OK")))</f>
        <v/>
      </c>
    </row>
    <row r="1057">
      <c r="A1057" s="20" t="n"/>
      <c r="B1057" s="18" t="n"/>
      <c r="C1057" s="81" t="n"/>
      <c r="D1057" s="81" t="n"/>
      <c r="E1057" s="16">
        <f>IF($A1057="","",$A1057&amp;"|"&amp;DAY($B1057))</f>
        <v/>
      </c>
      <c r="F1057" s="16">
        <f>IF($A1057="","",IF(COUNTIF(設定!$B$62:$B$201,$A1057)=0,"⚠ 查無員編",IF(COUNTIF($E$3:$E$2002,$E1057)&gt;1,"⚠ 重複打卡","OK")))</f>
        <v/>
      </c>
    </row>
    <row r="1058">
      <c r="A1058" s="20" t="n"/>
      <c r="B1058" s="18" t="n"/>
      <c r="C1058" s="81" t="n"/>
      <c r="D1058" s="81" t="n"/>
      <c r="E1058" s="16">
        <f>IF($A1058="","",$A1058&amp;"|"&amp;DAY($B1058))</f>
        <v/>
      </c>
      <c r="F1058" s="16">
        <f>IF($A1058="","",IF(COUNTIF(設定!$B$62:$B$201,$A1058)=0,"⚠ 查無員編",IF(COUNTIF($E$3:$E$2002,$E1058)&gt;1,"⚠ 重複打卡","OK")))</f>
        <v/>
      </c>
    </row>
    <row r="1059">
      <c r="A1059" s="20" t="n"/>
      <c r="B1059" s="18" t="n"/>
      <c r="C1059" s="81" t="n"/>
      <c r="D1059" s="81" t="n"/>
      <c r="E1059" s="16">
        <f>IF($A1059="","",$A1059&amp;"|"&amp;DAY($B1059))</f>
        <v/>
      </c>
      <c r="F1059" s="16">
        <f>IF($A1059="","",IF(COUNTIF(設定!$B$62:$B$201,$A1059)=0,"⚠ 查無員編",IF(COUNTIF($E$3:$E$2002,$E1059)&gt;1,"⚠ 重複打卡","OK")))</f>
        <v/>
      </c>
    </row>
    <row r="1060">
      <c r="A1060" s="20" t="n"/>
      <c r="B1060" s="18" t="n"/>
      <c r="C1060" s="81" t="n"/>
      <c r="D1060" s="81" t="n"/>
      <c r="E1060" s="16">
        <f>IF($A1060="","",$A1060&amp;"|"&amp;DAY($B1060))</f>
        <v/>
      </c>
      <c r="F1060" s="16">
        <f>IF($A1060="","",IF(COUNTIF(設定!$B$62:$B$201,$A1060)=0,"⚠ 查無員編",IF(COUNTIF($E$3:$E$2002,$E1060)&gt;1,"⚠ 重複打卡","OK")))</f>
        <v/>
      </c>
    </row>
    <row r="1061">
      <c r="A1061" s="20" t="n"/>
      <c r="B1061" s="18" t="n"/>
      <c r="C1061" s="81" t="n"/>
      <c r="D1061" s="81" t="n"/>
      <c r="E1061" s="16">
        <f>IF($A1061="","",$A1061&amp;"|"&amp;DAY($B1061))</f>
        <v/>
      </c>
      <c r="F1061" s="16">
        <f>IF($A1061="","",IF(COUNTIF(設定!$B$62:$B$201,$A1061)=0,"⚠ 查無員編",IF(COUNTIF($E$3:$E$2002,$E1061)&gt;1,"⚠ 重複打卡","OK")))</f>
        <v/>
      </c>
    </row>
    <row r="1062">
      <c r="A1062" s="20" t="n"/>
      <c r="B1062" s="18" t="n"/>
      <c r="C1062" s="81" t="n"/>
      <c r="D1062" s="81" t="n"/>
      <c r="E1062" s="16">
        <f>IF($A1062="","",$A1062&amp;"|"&amp;DAY($B1062))</f>
        <v/>
      </c>
      <c r="F1062" s="16">
        <f>IF($A1062="","",IF(COUNTIF(設定!$B$62:$B$201,$A1062)=0,"⚠ 查無員編",IF(COUNTIF($E$3:$E$2002,$E1062)&gt;1,"⚠ 重複打卡","OK")))</f>
        <v/>
      </c>
    </row>
    <row r="1063">
      <c r="A1063" s="20" t="n"/>
      <c r="B1063" s="18" t="n"/>
      <c r="C1063" s="81" t="n"/>
      <c r="D1063" s="81" t="n"/>
      <c r="E1063" s="16">
        <f>IF($A1063="","",$A1063&amp;"|"&amp;DAY($B1063))</f>
        <v/>
      </c>
      <c r="F1063" s="16">
        <f>IF($A1063="","",IF(COUNTIF(設定!$B$62:$B$201,$A1063)=0,"⚠ 查無員編",IF(COUNTIF($E$3:$E$2002,$E1063)&gt;1,"⚠ 重複打卡","OK")))</f>
        <v/>
      </c>
    </row>
    <row r="1064">
      <c r="A1064" s="20" t="n"/>
      <c r="B1064" s="18" t="n"/>
      <c r="C1064" s="81" t="n"/>
      <c r="D1064" s="81" t="n"/>
      <c r="E1064" s="16">
        <f>IF($A1064="","",$A1064&amp;"|"&amp;DAY($B1064))</f>
        <v/>
      </c>
      <c r="F1064" s="16">
        <f>IF($A1064="","",IF(COUNTIF(設定!$B$62:$B$201,$A1064)=0,"⚠ 查無員編",IF(COUNTIF($E$3:$E$2002,$E1064)&gt;1,"⚠ 重複打卡","OK")))</f>
        <v/>
      </c>
    </row>
    <row r="1065">
      <c r="A1065" s="20" t="n"/>
      <c r="B1065" s="18" t="n"/>
      <c r="C1065" s="81" t="n"/>
      <c r="D1065" s="81" t="n"/>
      <c r="E1065" s="16">
        <f>IF($A1065="","",$A1065&amp;"|"&amp;DAY($B1065))</f>
        <v/>
      </c>
      <c r="F1065" s="16">
        <f>IF($A1065="","",IF(COUNTIF(設定!$B$62:$B$201,$A1065)=0,"⚠ 查無員編",IF(COUNTIF($E$3:$E$2002,$E1065)&gt;1,"⚠ 重複打卡","OK")))</f>
        <v/>
      </c>
    </row>
    <row r="1066">
      <c r="A1066" s="20" t="n"/>
      <c r="B1066" s="18" t="n"/>
      <c r="C1066" s="81" t="n"/>
      <c r="D1066" s="81" t="n"/>
      <c r="E1066" s="16">
        <f>IF($A1066="","",$A1066&amp;"|"&amp;DAY($B1066))</f>
        <v/>
      </c>
      <c r="F1066" s="16">
        <f>IF($A1066="","",IF(COUNTIF(設定!$B$62:$B$201,$A1066)=0,"⚠ 查無員編",IF(COUNTIF($E$3:$E$2002,$E1066)&gt;1,"⚠ 重複打卡","OK")))</f>
        <v/>
      </c>
    </row>
    <row r="1067">
      <c r="A1067" s="20" t="n"/>
      <c r="B1067" s="18" t="n"/>
      <c r="C1067" s="81" t="n"/>
      <c r="D1067" s="81" t="n"/>
      <c r="E1067" s="16">
        <f>IF($A1067="","",$A1067&amp;"|"&amp;DAY($B1067))</f>
        <v/>
      </c>
      <c r="F1067" s="16">
        <f>IF($A1067="","",IF(COUNTIF(設定!$B$62:$B$201,$A1067)=0,"⚠ 查無員編",IF(COUNTIF($E$3:$E$2002,$E1067)&gt;1,"⚠ 重複打卡","OK")))</f>
        <v/>
      </c>
    </row>
    <row r="1068">
      <c r="A1068" s="20" t="n"/>
      <c r="B1068" s="18" t="n"/>
      <c r="C1068" s="81" t="n"/>
      <c r="D1068" s="81" t="n"/>
      <c r="E1068" s="16">
        <f>IF($A1068="","",$A1068&amp;"|"&amp;DAY($B1068))</f>
        <v/>
      </c>
      <c r="F1068" s="16">
        <f>IF($A1068="","",IF(COUNTIF(設定!$B$62:$B$201,$A1068)=0,"⚠ 查無員編",IF(COUNTIF($E$3:$E$2002,$E1068)&gt;1,"⚠ 重複打卡","OK")))</f>
        <v/>
      </c>
    </row>
    <row r="1069">
      <c r="A1069" s="20" t="n"/>
      <c r="B1069" s="18" t="n"/>
      <c r="C1069" s="81" t="n"/>
      <c r="D1069" s="81" t="n"/>
      <c r="E1069" s="16">
        <f>IF($A1069="","",$A1069&amp;"|"&amp;DAY($B1069))</f>
        <v/>
      </c>
      <c r="F1069" s="16">
        <f>IF($A1069="","",IF(COUNTIF(設定!$B$62:$B$201,$A1069)=0,"⚠ 查無員編",IF(COUNTIF($E$3:$E$2002,$E1069)&gt;1,"⚠ 重複打卡","OK")))</f>
        <v/>
      </c>
    </row>
    <row r="1070">
      <c r="A1070" s="20" t="n"/>
      <c r="B1070" s="18" t="n"/>
      <c r="C1070" s="81" t="n"/>
      <c r="D1070" s="81" t="n"/>
      <c r="E1070" s="16">
        <f>IF($A1070="","",$A1070&amp;"|"&amp;DAY($B1070))</f>
        <v/>
      </c>
      <c r="F1070" s="16">
        <f>IF($A1070="","",IF(COUNTIF(設定!$B$62:$B$201,$A1070)=0,"⚠ 查無員編",IF(COUNTIF($E$3:$E$2002,$E1070)&gt;1,"⚠ 重複打卡","OK")))</f>
        <v/>
      </c>
    </row>
    <row r="1071">
      <c r="A1071" s="20" t="n"/>
      <c r="B1071" s="18" t="n"/>
      <c r="C1071" s="81" t="n"/>
      <c r="D1071" s="81" t="n"/>
      <c r="E1071" s="16">
        <f>IF($A1071="","",$A1071&amp;"|"&amp;DAY($B1071))</f>
        <v/>
      </c>
      <c r="F1071" s="16">
        <f>IF($A1071="","",IF(COUNTIF(設定!$B$62:$B$201,$A1071)=0,"⚠ 查無員編",IF(COUNTIF($E$3:$E$2002,$E1071)&gt;1,"⚠ 重複打卡","OK")))</f>
        <v/>
      </c>
    </row>
    <row r="1072">
      <c r="A1072" s="20" t="n"/>
      <c r="B1072" s="18" t="n"/>
      <c r="C1072" s="81" t="n"/>
      <c r="D1072" s="81" t="n"/>
      <c r="E1072" s="16">
        <f>IF($A1072="","",$A1072&amp;"|"&amp;DAY($B1072))</f>
        <v/>
      </c>
      <c r="F1072" s="16">
        <f>IF($A1072="","",IF(COUNTIF(設定!$B$62:$B$201,$A1072)=0,"⚠ 查無員編",IF(COUNTIF($E$3:$E$2002,$E1072)&gt;1,"⚠ 重複打卡","OK")))</f>
        <v/>
      </c>
    </row>
    <row r="1073">
      <c r="A1073" s="20" t="n"/>
      <c r="B1073" s="18" t="n"/>
      <c r="C1073" s="81" t="n"/>
      <c r="D1073" s="81" t="n"/>
      <c r="E1073" s="16">
        <f>IF($A1073="","",$A1073&amp;"|"&amp;DAY($B1073))</f>
        <v/>
      </c>
      <c r="F1073" s="16">
        <f>IF($A1073="","",IF(COUNTIF(設定!$B$62:$B$201,$A1073)=0,"⚠ 查無員編",IF(COUNTIF($E$3:$E$2002,$E1073)&gt;1,"⚠ 重複打卡","OK")))</f>
        <v/>
      </c>
    </row>
    <row r="1074">
      <c r="A1074" s="20" t="n"/>
      <c r="B1074" s="18" t="n"/>
      <c r="C1074" s="81" t="n"/>
      <c r="D1074" s="81" t="n"/>
      <c r="E1074" s="16">
        <f>IF($A1074="","",$A1074&amp;"|"&amp;DAY($B1074))</f>
        <v/>
      </c>
      <c r="F1074" s="16">
        <f>IF($A1074="","",IF(COUNTIF(設定!$B$62:$B$201,$A1074)=0,"⚠ 查無員編",IF(COUNTIF($E$3:$E$2002,$E1074)&gt;1,"⚠ 重複打卡","OK")))</f>
        <v/>
      </c>
    </row>
    <row r="1075">
      <c r="A1075" s="20" t="n"/>
      <c r="B1075" s="18" t="n"/>
      <c r="C1075" s="81" t="n"/>
      <c r="D1075" s="81" t="n"/>
      <c r="E1075" s="16">
        <f>IF($A1075="","",$A1075&amp;"|"&amp;DAY($B1075))</f>
        <v/>
      </c>
      <c r="F1075" s="16">
        <f>IF($A1075="","",IF(COUNTIF(設定!$B$62:$B$201,$A1075)=0,"⚠ 查無員編",IF(COUNTIF($E$3:$E$2002,$E1075)&gt;1,"⚠ 重複打卡","OK")))</f>
        <v/>
      </c>
    </row>
    <row r="1076">
      <c r="A1076" s="20" t="n"/>
      <c r="B1076" s="18" t="n"/>
      <c r="C1076" s="81" t="n"/>
      <c r="D1076" s="81" t="n"/>
      <c r="E1076" s="16">
        <f>IF($A1076="","",$A1076&amp;"|"&amp;DAY($B1076))</f>
        <v/>
      </c>
      <c r="F1076" s="16">
        <f>IF($A1076="","",IF(COUNTIF(設定!$B$62:$B$201,$A1076)=0,"⚠ 查無員編",IF(COUNTIF($E$3:$E$2002,$E1076)&gt;1,"⚠ 重複打卡","OK")))</f>
        <v/>
      </c>
    </row>
    <row r="1077">
      <c r="A1077" s="20" t="n"/>
      <c r="B1077" s="18" t="n"/>
      <c r="C1077" s="81" t="n"/>
      <c r="D1077" s="81" t="n"/>
      <c r="E1077" s="16">
        <f>IF($A1077="","",$A1077&amp;"|"&amp;DAY($B1077))</f>
        <v/>
      </c>
      <c r="F1077" s="16">
        <f>IF($A1077="","",IF(COUNTIF(設定!$B$62:$B$201,$A1077)=0,"⚠ 查無員編",IF(COUNTIF($E$3:$E$2002,$E1077)&gt;1,"⚠ 重複打卡","OK")))</f>
        <v/>
      </c>
    </row>
    <row r="1078">
      <c r="A1078" s="20" t="n"/>
      <c r="B1078" s="18" t="n"/>
      <c r="C1078" s="81" t="n"/>
      <c r="D1078" s="81" t="n"/>
      <c r="E1078" s="16">
        <f>IF($A1078="","",$A1078&amp;"|"&amp;DAY($B1078))</f>
        <v/>
      </c>
      <c r="F1078" s="16">
        <f>IF($A1078="","",IF(COUNTIF(設定!$B$62:$B$201,$A1078)=0,"⚠ 查無員編",IF(COUNTIF($E$3:$E$2002,$E1078)&gt;1,"⚠ 重複打卡","OK")))</f>
        <v/>
      </c>
    </row>
    <row r="1079">
      <c r="A1079" s="20" t="n"/>
      <c r="B1079" s="18" t="n"/>
      <c r="C1079" s="81" t="n"/>
      <c r="D1079" s="81" t="n"/>
      <c r="E1079" s="16">
        <f>IF($A1079="","",$A1079&amp;"|"&amp;DAY($B1079))</f>
        <v/>
      </c>
      <c r="F1079" s="16">
        <f>IF($A1079="","",IF(COUNTIF(設定!$B$62:$B$201,$A1079)=0,"⚠ 查無員編",IF(COUNTIF($E$3:$E$2002,$E1079)&gt;1,"⚠ 重複打卡","OK")))</f>
        <v/>
      </c>
    </row>
    <row r="1080">
      <c r="A1080" s="20" t="n"/>
      <c r="B1080" s="18" t="n"/>
      <c r="C1080" s="81" t="n"/>
      <c r="D1080" s="81" t="n"/>
      <c r="E1080" s="16">
        <f>IF($A1080="","",$A1080&amp;"|"&amp;DAY($B1080))</f>
        <v/>
      </c>
      <c r="F1080" s="16">
        <f>IF($A1080="","",IF(COUNTIF(設定!$B$62:$B$201,$A1080)=0,"⚠ 查無員編",IF(COUNTIF($E$3:$E$2002,$E1080)&gt;1,"⚠ 重複打卡","OK")))</f>
        <v/>
      </c>
    </row>
    <row r="1081">
      <c r="A1081" s="20" t="n"/>
      <c r="B1081" s="18" t="n"/>
      <c r="C1081" s="81" t="n"/>
      <c r="D1081" s="81" t="n"/>
      <c r="E1081" s="16">
        <f>IF($A1081="","",$A1081&amp;"|"&amp;DAY($B1081))</f>
        <v/>
      </c>
      <c r="F1081" s="16">
        <f>IF($A1081="","",IF(COUNTIF(設定!$B$62:$B$201,$A1081)=0,"⚠ 查無員編",IF(COUNTIF($E$3:$E$2002,$E1081)&gt;1,"⚠ 重複打卡","OK")))</f>
        <v/>
      </c>
    </row>
    <row r="1082">
      <c r="A1082" s="20" t="n"/>
      <c r="B1082" s="18" t="n"/>
      <c r="C1082" s="81" t="n"/>
      <c r="D1082" s="81" t="n"/>
      <c r="E1082" s="16">
        <f>IF($A1082="","",$A1082&amp;"|"&amp;DAY($B1082))</f>
        <v/>
      </c>
      <c r="F1082" s="16">
        <f>IF($A1082="","",IF(COUNTIF(設定!$B$62:$B$201,$A1082)=0,"⚠ 查無員編",IF(COUNTIF($E$3:$E$2002,$E1082)&gt;1,"⚠ 重複打卡","OK")))</f>
        <v/>
      </c>
    </row>
    <row r="1083">
      <c r="A1083" s="20" t="n"/>
      <c r="B1083" s="18" t="n"/>
      <c r="C1083" s="81" t="n"/>
      <c r="D1083" s="81" t="n"/>
      <c r="E1083" s="16">
        <f>IF($A1083="","",$A1083&amp;"|"&amp;DAY($B1083))</f>
        <v/>
      </c>
      <c r="F1083" s="16">
        <f>IF($A1083="","",IF(COUNTIF(設定!$B$62:$B$201,$A1083)=0,"⚠ 查無員編",IF(COUNTIF($E$3:$E$2002,$E1083)&gt;1,"⚠ 重複打卡","OK")))</f>
        <v/>
      </c>
    </row>
    <row r="1084">
      <c r="A1084" s="20" t="n"/>
      <c r="B1084" s="18" t="n"/>
      <c r="C1084" s="81" t="n"/>
      <c r="D1084" s="81" t="n"/>
      <c r="E1084" s="16">
        <f>IF($A1084="","",$A1084&amp;"|"&amp;DAY($B1084))</f>
        <v/>
      </c>
      <c r="F1084" s="16">
        <f>IF($A1084="","",IF(COUNTIF(設定!$B$62:$B$201,$A1084)=0,"⚠ 查無員編",IF(COUNTIF($E$3:$E$2002,$E1084)&gt;1,"⚠ 重複打卡","OK")))</f>
        <v/>
      </c>
    </row>
    <row r="1085">
      <c r="A1085" s="20" t="n"/>
      <c r="B1085" s="18" t="n"/>
      <c r="C1085" s="81" t="n"/>
      <c r="D1085" s="81" t="n"/>
      <c r="E1085" s="16">
        <f>IF($A1085="","",$A1085&amp;"|"&amp;DAY($B1085))</f>
        <v/>
      </c>
      <c r="F1085" s="16">
        <f>IF($A1085="","",IF(COUNTIF(設定!$B$62:$B$201,$A1085)=0,"⚠ 查無員編",IF(COUNTIF($E$3:$E$2002,$E1085)&gt;1,"⚠ 重複打卡","OK")))</f>
        <v/>
      </c>
    </row>
    <row r="1086">
      <c r="A1086" s="20" t="n"/>
      <c r="B1086" s="18" t="n"/>
      <c r="C1086" s="81" t="n"/>
      <c r="D1086" s="81" t="n"/>
      <c r="E1086" s="16">
        <f>IF($A1086="","",$A1086&amp;"|"&amp;DAY($B1086))</f>
        <v/>
      </c>
      <c r="F1086" s="16">
        <f>IF($A1086="","",IF(COUNTIF(設定!$B$62:$B$201,$A1086)=0,"⚠ 查無員編",IF(COUNTIF($E$3:$E$2002,$E1086)&gt;1,"⚠ 重複打卡","OK")))</f>
        <v/>
      </c>
    </row>
    <row r="1087">
      <c r="A1087" s="20" t="n"/>
      <c r="B1087" s="18" t="n"/>
      <c r="C1087" s="81" t="n"/>
      <c r="D1087" s="81" t="n"/>
      <c r="E1087" s="16">
        <f>IF($A1087="","",$A1087&amp;"|"&amp;DAY($B1087))</f>
        <v/>
      </c>
      <c r="F1087" s="16">
        <f>IF($A1087="","",IF(COUNTIF(設定!$B$62:$B$201,$A1087)=0,"⚠ 查無員編",IF(COUNTIF($E$3:$E$2002,$E1087)&gt;1,"⚠ 重複打卡","OK")))</f>
        <v/>
      </c>
    </row>
    <row r="1088">
      <c r="A1088" s="20" t="n"/>
      <c r="B1088" s="18" t="n"/>
      <c r="C1088" s="81" t="n"/>
      <c r="D1088" s="81" t="n"/>
      <c r="E1088" s="16">
        <f>IF($A1088="","",$A1088&amp;"|"&amp;DAY($B1088))</f>
        <v/>
      </c>
      <c r="F1088" s="16">
        <f>IF($A1088="","",IF(COUNTIF(設定!$B$62:$B$201,$A1088)=0,"⚠ 查無員編",IF(COUNTIF($E$3:$E$2002,$E1088)&gt;1,"⚠ 重複打卡","OK")))</f>
        <v/>
      </c>
    </row>
    <row r="1089">
      <c r="A1089" s="20" t="n"/>
      <c r="B1089" s="18" t="n"/>
      <c r="C1089" s="81" t="n"/>
      <c r="D1089" s="81" t="n"/>
      <c r="E1089" s="16">
        <f>IF($A1089="","",$A1089&amp;"|"&amp;DAY($B1089))</f>
        <v/>
      </c>
      <c r="F1089" s="16">
        <f>IF($A1089="","",IF(COUNTIF(設定!$B$62:$B$201,$A1089)=0,"⚠ 查無員編",IF(COUNTIF($E$3:$E$2002,$E1089)&gt;1,"⚠ 重複打卡","OK")))</f>
        <v/>
      </c>
    </row>
    <row r="1090">
      <c r="A1090" s="20" t="n"/>
      <c r="B1090" s="18" t="n"/>
      <c r="C1090" s="81" t="n"/>
      <c r="D1090" s="81" t="n"/>
      <c r="E1090" s="16">
        <f>IF($A1090="","",$A1090&amp;"|"&amp;DAY($B1090))</f>
        <v/>
      </c>
      <c r="F1090" s="16">
        <f>IF($A1090="","",IF(COUNTIF(設定!$B$62:$B$201,$A1090)=0,"⚠ 查無員編",IF(COUNTIF($E$3:$E$2002,$E1090)&gt;1,"⚠ 重複打卡","OK")))</f>
        <v/>
      </c>
    </row>
    <row r="1091">
      <c r="A1091" s="20" t="n"/>
      <c r="B1091" s="18" t="n"/>
      <c r="C1091" s="81" t="n"/>
      <c r="D1091" s="81" t="n"/>
      <c r="E1091" s="16">
        <f>IF($A1091="","",$A1091&amp;"|"&amp;DAY($B1091))</f>
        <v/>
      </c>
      <c r="F1091" s="16">
        <f>IF($A1091="","",IF(COUNTIF(設定!$B$62:$B$201,$A1091)=0,"⚠ 查無員編",IF(COUNTIF($E$3:$E$2002,$E1091)&gt;1,"⚠ 重複打卡","OK")))</f>
        <v/>
      </c>
    </row>
    <row r="1092">
      <c r="A1092" s="20" t="n"/>
      <c r="B1092" s="18" t="n"/>
      <c r="C1092" s="81" t="n"/>
      <c r="D1092" s="81" t="n"/>
      <c r="E1092" s="16">
        <f>IF($A1092="","",$A1092&amp;"|"&amp;DAY($B1092))</f>
        <v/>
      </c>
      <c r="F1092" s="16">
        <f>IF($A1092="","",IF(COUNTIF(設定!$B$62:$B$201,$A1092)=0,"⚠ 查無員編",IF(COUNTIF($E$3:$E$2002,$E1092)&gt;1,"⚠ 重複打卡","OK")))</f>
        <v/>
      </c>
    </row>
    <row r="1093">
      <c r="A1093" s="20" t="n"/>
      <c r="B1093" s="18" t="n"/>
      <c r="C1093" s="81" t="n"/>
      <c r="D1093" s="81" t="n"/>
      <c r="E1093" s="16">
        <f>IF($A1093="","",$A1093&amp;"|"&amp;DAY($B1093))</f>
        <v/>
      </c>
      <c r="F1093" s="16">
        <f>IF($A1093="","",IF(COUNTIF(設定!$B$62:$B$201,$A1093)=0,"⚠ 查無員編",IF(COUNTIF($E$3:$E$2002,$E1093)&gt;1,"⚠ 重複打卡","OK")))</f>
        <v/>
      </c>
    </row>
    <row r="1094">
      <c r="A1094" s="20" t="n"/>
      <c r="B1094" s="18" t="n"/>
      <c r="C1094" s="81" t="n"/>
      <c r="D1094" s="81" t="n"/>
      <c r="E1094" s="16">
        <f>IF($A1094="","",$A1094&amp;"|"&amp;DAY($B1094))</f>
        <v/>
      </c>
      <c r="F1094" s="16">
        <f>IF($A1094="","",IF(COUNTIF(設定!$B$62:$B$201,$A1094)=0,"⚠ 查無員編",IF(COUNTIF($E$3:$E$2002,$E1094)&gt;1,"⚠ 重複打卡","OK")))</f>
        <v/>
      </c>
    </row>
    <row r="1095">
      <c r="A1095" s="20" t="n"/>
      <c r="B1095" s="18" t="n"/>
      <c r="C1095" s="81" t="n"/>
      <c r="D1095" s="81" t="n"/>
      <c r="E1095" s="16">
        <f>IF($A1095="","",$A1095&amp;"|"&amp;DAY($B1095))</f>
        <v/>
      </c>
      <c r="F1095" s="16">
        <f>IF($A1095="","",IF(COUNTIF(設定!$B$62:$B$201,$A1095)=0,"⚠ 查無員編",IF(COUNTIF($E$3:$E$2002,$E1095)&gt;1,"⚠ 重複打卡","OK")))</f>
        <v/>
      </c>
    </row>
    <row r="1096">
      <c r="A1096" s="20" t="n"/>
      <c r="B1096" s="18" t="n"/>
      <c r="C1096" s="81" t="n"/>
      <c r="D1096" s="81" t="n"/>
      <c r="E1096" s="16">
        <f>IF($A1096="","",$A1096&amp;"|"&amp;DAY($B1096))</f>
        <v/>
      </c>
      <c r="F1096" s="16">
        <f>IF($A1096="","",IF(COUNTIF(設定!$B$62:$B$201,$A1096)=0,"⚠ 查無員編",IF(COUNTIF($E$3:$E$2002,$E1096)&gt;1,"⚠ 重複打卡","OK")))</f>
        <v/>
      </c>
    </row>
    <row r="1097">
      <c r="A1097" s="20" t="n"/>
      <c r="B1097" s="18" t="n"/>
      <c r="C1097" s="81" t="n"/>
      <c r="D1097" s="81" t="n"/>
      <c r="E1097" s="16">
        <f>IF($A1097="","",$A1097&amp;"|"&amp;DAY($B1097))</f>
        <v/>
      </c>
      <c r="F1097" s="16">
        <f>IF($A1097="","",IF(COUNTIF(設定!$B$62:$B$201,$A1097)=0,"⚠ 查無員編",IF(COUNTIF($E$3:$E$2002,$E1097)&gt;1,"⚠ 重複打卡","OK")))</f>
        <v/>
      </c>
    </row>
    <row r="1098">
      <c r="A1098" s="20" t="n"/>
      <c r="B1098" s="18" t="n"/>
      <c r="C1098" s="81" t="n"/>
      <c r="D1098" s="81" t="n"/>
      <c r="E1098" s="16">
        <f>IF($A1098="","",$A1098&amp;"|"&amp;DAY($B1098))</f>
        <v/>
      </c>
      <c r="F1098" s="16">
        <f>IF($A1098="","",IF(COUNTIF(設定!$B$62:$B$201,$A1098)=0,"⚠ 查無員編",IF(COUNTIF($E$3:$E$2002,$E1098)&gt;1,"⚠ 重複打卡","OK")))</f>
        <v/>
      </c>
    </row>
    <row r="1099">
      <c r="A1099" s="20" t="n"/>
      <c r="B1099" s="18" t="n"/>
      <c r="C1099" s="81" t="n"/>
      <c r="D1099" s="81" t="n"/>
      <c r="E1099" s="16">
        <f>IF($A1099="","",$A1099&amp;"|"&amp;DAY($B1099))</f>
        <v/>
      </c>
      <c r="F1099" s="16">
        <f>IF($A1099="","",IF(COUNTIF(設定!$B$62:$B$201,$A1099)=0,"⚠ 查無員編",IF(COUNTIF($E$3:$E$2002,$E1099)&gt;1,"⚠ 重複打卡","OK")))</f>
        <v/>
      </c>
    </row>
    <row r="1100">
      <c r="A1100" s="20" t="n"/>
      <c r="B1100" s="18" t="n"/>
      <c r="C1100" s="81" t="n"/>
      <c r="D1100" s="81" t="n"/>
      <c r="E1100" s="16">
        <f>IF($A1100="","",$A1100&amp;"|"&amp;DAY($B1100))</f>
        <v/>
      </c>
      <c r="F1100" s="16">
        <f>IF($A1100="","",IF(COUNTIF(設定!$B$62:$B$201,$A1100)=0,"⚠ 查無員編",IF(COUNTIF($E$3:$E$2002,$E1100)&gt;1,"⚠ 重複打卡","OK")))</f>
        <v/>
      </c>
    </row>
    <row r="1101">
      <c r="A1101" s="20" t="n"/>
      <c r="B1101" s="18" t="n"/>
      <c r="C1101" s="81" t="n"/>
      <c r="D1101" s="81" t="n"/>
      <c r="E1101" s="16">
        <f>IF($A1101="","",$A1101&amp;"|"&amp;DAY($B1101))</f>
        <v/>
      </c>
      <c r="F1101" s="16">
        <f>IF($A1101="","",IF(COUNTIF(設定!$B$62:$B$201,$A1101)=0,"⚠ 查無員編",IF(COUNTIF($E$3:$E$2002,$E1101)&gt;1,"⚠ 重複打卡","OK")))</f>
        <v/>
      </c>
    </row>
    <row r="1102">
      <c r="A1102" s="20" t="n"/>
      <c r="B1102" s="18" t="n"/>
      <c r="C1102" s="81" t="n"/>
      <c r="D1102" s="81" t="n"/>
      <c r="E1102" s="16">
        <f>IF($A1102="","",$A1102&amp;"|"&amp;DAY($B1102))</f>
        <v/>
      </c>
      <c r="F1102" s="16">
        <f>IF($A1102="","",IF(COUNTIF(設定!$B$62:$B$201,$A1102)=0,"⚠ 查無員編",IF(COUNTIF($E$3:$E$2002,$E1102)&gt;1,"⚠ 重複打卡","OK")))</f>
        <v/>
      </c>
    </row>
    <row r="1103">
      <c r="A1103" s="20" t="n"/>
      <c r="B1103" s="18" t="n"/>
      <c r="C1103" s="81" t="n"/>
      <c r="D1103" s="81" t="n"/>
      <c r="E1103" s="16">
        <f>IF($A1103="","",$A1103&amp;"|"&amp;DAY($B1103))</f>
        <v/>
      </c>
      <c r="F1103" s="16">
        <f>IF($A1103="","",IF(COUNTIF(設定!$B$62:$B$201,$A1103)=0,"⚠ 查無員編",IF(COUNTIF($E$3:$E$2002,$E1103)&gt;1,"⚠ 重複打卡","OK")))</f>
        <v/>
      </c>
    </row>
    <row r="1104">
      <c r="A1104" s="20" t="n"/>
      <c r="B1104" s="18" t="n"/>
      <c r="C1104" s="81" t="n"/>
      <c r="D1104" s="81" t="n"/>
      <c r="E1104" s="16">
        <f>IF($A1104="","",$A1104&amp;"|"&amp;DAY($B1104))</f>
        <v/>
      </c>
      <c r="F1104" s="16">
        <f>IF($A1104="","",IF(COUNTIF(設定!$B$62:$B$201,$A1104)=0,"⚠ 查無員編",IF(COUNTIF($E$3:$E$2002,$E1104)&gt;1,"⚠ 重複打卡","OK")))</f>
        <v/>
      </c>
    </row>
    <row r="1105">
      <c r="A1105" s="20" t="n"/>
      <c r="B1105" s="18" t="n"/>
      <c r="C1105" s="81" t="n"/>
      <c r="D1105" s="81" t="n"/>
      <c r="E1105" s="16">
        <f>IF($A1105="","",$A1105&amp;"|"&amp;DAY($B1105))</f>
        <v/>
      </c>
      <c r="F1105" s="16">
        <f>IF($A1105="","",IF(COUNTIF(設定!$B$62:$B$201,$A1105)=0,"⚠ 查無員編",IF(COUNTIF($E$3:$E$2002,$E1105)&gt;1,"⚠ 重複打卡","OK")))</f>
        <v/>
      </c>
    </row>
    <row r="1106">
      <c r="A1106" s="20" t="n"/>
      <c r="B1106" s="18" t="n"/>
      <c r="C1106" s="81" t="n"/>
      <c r="D1106" s="81" t="n"/>
      <c r="E1106" s="16">
        <f>IF($A1106="","",$A1106&amp;"|"&amp;DAY($B1106))</f>
        <v/>
      </c>
      <c r="F1106" s="16">
        <f>IF($A1106="","",IF(COUNTIF(設定!$B$62:$B$201,$A1106)=0,"⚠ 查無員編",IF(COUNTIF($E$3:$E$2002,$E1106)&gt;1,"⚠ 重複打卡","OK")))</f>
        <v/>
      </c>
    </row>
    <row r="1107">
      <c r="A1107" s="20" t="n"/>
      <c r="B1107" s="18" t="n"/>
      <c r="C1107" s="81" t="n"/>
      <c r="D1107" s="81" t="n"/>
      <c r="E1107" s="16">
        <f>IF($A1107="","",$A1107&amp;"|"&amp;DAY($B1107))</f>
        <v/>
      </c>
      <c r="F1107" s="16">
        <f>IF($A1107="","",IF(COUNTIF(設定!$B$62:$B$201,$A1107)=0,"⚠ 查無員編",IF(COUNTIF($E$3:$E$2002,$E1107)&gt;1,"⚠ 重複打卡","OK")))</f>
        <v/>
      </c>
    </row>
    <row r="1108">
      <c r="A1108" s="20" t="n"/>
      <c r="B1108" s="18" t="n"/>
      <c r="C1108" s="81" t="n"/>
      <c r="D1108" s="81" t="n"/>
      <c r="E1108" s="16">
        <f>IF($A1108="","",$A1108&amp;"|"&amp;DAY($B1108))</f>
        <v/>
      </c>
      <c r="F1108" s="16">
        <f>IF($A1108="","",IF(COUNTIF(設定!$B$62:$B$201,$A1108)=0,"⚠ 查無員編",IF(COUNTIF($E$3:$E$2002,$E1108)&gt;1,"⚠ 重複打卡","OK")))</f>
        <v/>
      </c>
    </row>
    <row r="1109">
      <c r="A1109" s="20" t="n"/>
      <c r="B1109" s="18" t="n"/>
      <c r="C1109" s="81" t="n"/>
      <c r="D1109" s="81" t="n"/>
      <c r="E1109" s="16">
        <f>IF($A1109="","",$A1109&amp;"|"&amp;DAY($B1109))</f>
        <v/>
      </c>
      <c r="F1109" s="16">
        <f>IF($A1109="","",IF(COUNTIF(設定!$B$62:$B$201,$A1109)=0,"⚠ 查無員編",IF(COUNTIF($E$3:$E$2002,$E1109)&gt;1,"⚠ 重複打卡","OK")))</f>
        <v/>
      </c>
    </row>
    <row r="1110">
      <c r="A1110" s="20" t="n"/>
      <c r="B1110" s="18" t="n"/>
      <c r="C1110" s="81" t="n"/>
      <c r="D1110" s="81" t="n"/>
      <c r="E1110" s="16">
        <f>IF($A1110="","",$A1110&amp;"|"&amp;DAY($B1110))</f>
        <v/>
      </c>
      <c r="F1110" s="16">
        <f>IF($A1110="","",IF(COUNTIF(設定!$B$62:$B$201,$A1110)=0,"⚠ 查無員編",IF(COUNTIF($E$3:$E$2002,$E1110)&gt;1,"⚠ 重複打卡","OK")))</f>
        <v/>
      </c>
    </row>
    <row r="1111">
      <c r="A1111" s="20" t="n"/>
      <c r="B1111" s="18" t="n"/>
      <c r="C1111" s="81" t="n"/>
      <c r="D1111" s="81" t="n"/>
      <c r="E1111" s="16">
        <f>IF($A1111="","",$A1111&amp;"|"&amp;DAY($B1111))</f>
        <v/>
      </c>
      <c r="F1111" s="16">
        <f>IF($A1111="","",IF(COUNTIF(設定!$B$62:$B$201,$A1111)=0,"⚠ 查無員編",IF(COUNTIF($E$3:$E$2002,$E1111)&gt;1,"⚠ 重複打卡","OK")))</f>
        <v/>
      </c>
    </row>
    <row r="1112">
      <c r="A1112" s="20" t="n"/>
      <c r="B1112" s="18" t="n"/>
      <c r="C1112" s="81" t="n"/>
      <c r="D1112" s="81" t="n"/>
      <c r="E1112" s="16">
        <f>IF($A1112="","",$A1112&amp;"|"&amp;DAY($B1112))</f>
        <v/>
      </c>
      <c r="F1112" s="16">
        <f>IF($A1112="","",IF(COUNTIF(設定!$B$62:$B$201,$A1112)=0,"⚠ 查無員編",IF(COUNTIF($E$3:$E$2002,$E1112)&gt;1,"⚠ 重複打卡","OK")))</f>
        <v/>
      </c>
    </row>
    <row r="1113">
      <c r="A1113" s="20" t="n"/>
      <c r="B1113" s="18" t="n"/>
      <c r="C1113" s="81" t="n"/>
      <c r="D1113" s="81" t="n"/>
      <c r="E1113" s="16">
        <f>IF($A1113="","",$A1113&amp;"|"&amp;DAY($B1113))</f>
        <v/>
      </c>
      <c r="F1113" s="16">
        <f>IF($A1113="","",IF(COUNTIF(設定!$B$62:$B$201,$A1113)=0,"⚠ 查無員編",IF(COUNTIF($E$3:$E$2002,$E1113)&gt;1,"⚠ 重複打卡","OK")))</f>
        <v/>
      </c>
    </row>
    <row r="1114">
      <c r="A1114" s="20" t="n"/>
      <c r="B1114" s="18" t="n"/>
      <c r="C1114" s="81" t="n"/>
      <c r="D1114" s="81" t="n"/>
      <c r="E1114" s="16">
        <f>IF($A1114="","",$A1114&amp;"|"&amp;DAY($B1114))</f>
        <v/>
      </c>
      <c r="F1114" s="16">
        <f>IF($A1114="","",IF(COUNTIF(設定!$B$62:$B$201,$A1114)=0,"⚠ 查無員編",IF(COUNTIF($E$3:$E$2002,$E1114)&gt;1,"⚠ 重複打卡","OK")))</f>
        <v/>
      </c>
    </row>
    <row r="1115">
      <c r="A1115" s="20" t="n"/>
      <c r="B1115" s="18" t="n"/>
      <c r="C1115" s="81" t="n"/>
      <c r="D1115" s="81" t="n"/>
      <c r="E1115" s="16">
        <f>IF($A1115="","",$A1115&amp;"|"&amp;DAY($B1115))</f>
        <v/>
      </c>
      <c r="F1115" s="16">
        <f>IF($A1115="","",IF(COUNTIF(設定!$B$62:$B$201,$A1115)=0,"⚠ 查無員編",IF(COUNTIF($E$3:$E$2002,$E1115)&gt;1,"⚠ 重複打卡","OK")))</f>
        <v/>
      </c>
    </row>
    <row r="1116">
      <c r="A1116" s="20" t="n"/>
      <c r="B1116" s="18" t="n"/>
      <c r="C1116" s="81" t="n"/>
      <c r="D1116" s="81" t="n"/>
      <c r="E1116" s="16">
        <f>IF($A1116="","",$A1116&amp;"|"&amp;DAY($B1116))</f>
        <v/>
      </c>
      <c r="F1116" s="16">
        <f>IF($A1116="","",IF(COUNTIF(設定!$B$62:$B$201,$A1116)=0,"⚠ 查無員編",IF(COUNTIF($E$3:$E$2002,$E1116)&gt;1,"⚠ 重複打卡","OK")))</f>
        <v/>
      </c>
    </row>
    <row r="1117">
      <c r="A1117" s="20" t="n"/>
      <c r="B1117" s="18" t="n"/>
      <c r="C1117" s="81" t="n"/>
      <c r="D1117" s="81" t="n"/>
      <c r="E1117" s="16">
        <f>IF($A1117="","",$A1117&amp;"|"&amp;DAY($B1117))</f>
        <v/>
      </c>
      <c r="F1117" s="16">
        <f>IF($A1117="","",IF(COUNTIF(設定!$B$62:$B$201,$A1117)=0,"⚠ 查無員編",IF(COUNTIF($E$3:$E$2002,$E1117)&gt;1,"⚠ 重複打卡","OK")))</f>
        <v/>
      </c>
    </row>
    <row r="1118">
      <c r="A1118" s="20" t="n"/>
      <c r="B1118" s="18" t="n"/>
      <c r="C1118" s="81" t="n"/>
      <c r="D1118" s="81" t="n"/>
      <c r="E1118" s="16">
        <f>IF($A1118="","",$A1118&amp;"|"&amp;DAY($B1118))</f>
        <v/>
      </c>
      <c r="F1118" s="16">
        <f>IF($A1118="","",IF(COUNTIF(設定!$B$62:$B$201,$A1118)=0,"⚠ 查無員編",IF(COUNTIF($E$3:$E$2002,$E1118)&gt;1,"⚠ 重複打卡","OK")))</f>
        <v/>
      </c>
    </row>
    <row r="1119">
      <c r="A1119" s="20" t="n"/>
      <c r="B1119" s="18" t="n"/>
      <c r="C1119" s="81" t="n"/>
      <c r="D1119" s="81" t="n"/>
      <c r="E1119" s="16">
        <f>IF($A1119="","",$A1119&amp;"|"&amp;DAY($B1119))</f>
        <v/>
      </c>
      <c r="F1119" s="16">
        <f>IF($A1119="","",IF(COUNTIF(設定!$B$62:$B$201,$A1119)=0,"⚠ 查無員編",IF(COUNTIF($E$3:$E$2002,$E1119)&gt;1,"⚠ 重複打卡","OK")))</f>
        <v/>
      </c>
    </row>
    <row r="1120">
      <c r="A1120" s="20" t="n"/>
      <c r="B1120" s="18" t="n"/>
      <c r="C1120" s="81" t="n"/>
      <c r="D1120" s="81" t="n"/>
      <c r="E1120" s="16">
        <f>IF($A1120="","",$A1120&amp;"|"&amp;DAY($B1120))</f>
        <v/>
      </c>
      <c r="F1120" s="16">
        <f>IF($A1120="","",IF(COUNTIF(設定!$B$62:$B$201,$A1120)=0,"⚠ 查無員編",IF(COUNTIF($E$3:$E$2002,$E1120)&gt;1,"⚠ 重複打卡","OK")))</f>
        <v/>
      </c>
    </row>
    <row r="1121">
      <c r="A1121" s="20" t="n"/>
      <c r="B1121" s="18" t="n"/>
      <c r="C1121" s="81" t="n"/>
      <c r="D1121" s="81" t="n"/>
      <c r="E1121" s="16">
        <f>IF($A1121="","",$A1121&amp;"|"&amp;DAY($B1121))</f>
        <v/>
      </c>
      <c r="F1121" s="16">
        <f>IF($A1121="","",IF(COUNTIF(設定!$B$62:$B$201,$A1121)=0,"⚠ 查無員編",IF(COUNTIF($E$3:$E$2002,$E1121)&gt;1,"⚠ 重複打卡","OK")))</f>
        <v/>
      </c>
    </row>
    <row r="1122">
      <c r="A1122" s="20" t="n"/>
      <c r="B1122" s="18" t="n"/>
      <c r="C1122" s="81" t="n"/>
      <c r="D1122" s="81" t="n"/>
      <c r="E1122" s="16">
        <f>IF($A1122="","",$A1122&amp;"|"&amp;DAY($B1122))</f>
        <v/>
      </c>
      <c r="F1122" s="16">
        <f>IF($A1122="","",IF(COUNTIF(設定!$B$62:$B$201,$A1122)=0,"⚠ 查無員編",IF(COUNTIF($E$3:$E$2002,$E1122)&gt;1,"⚠ 重複打卡","OK")))</f>
        <v/>
      </c>
    </row>
    <row r="1123">
      <c r="A1123" s="20" t="n"/>
      <c r="B1123" s="18" t="n"/>
      <c r="C1123" s="81" t="n"/>
      <c r="D1123" s="81" t="n"/>
      <c r="E1123" s="16">
        <f>IF($A1123="","",$A1123&amp;"|"&amp;DAY($B1123))</f>
        <v/>
      </c>
      <c r="F1123" s="16">
        <f>IF($A1123="","",IF(COUNTIF(設定!$B$62:$B$201,$A1123)=0,"⚠ 查無員編",IF(COUNTIF($E$3:$E$2002,$E1123)&gt;1,"⚠ 重複打卡","OK")))</f>
        <v/>
      </c>
    </row>
    <row r="1124">
      <c r="A1124" s="20" t="n"/>
      <c r="B1124" s="18" t="n"/>
      <c r="C1124" s="81" t="n"/>
      <c r="D1124" s="81" t="n"/>
      <c r="E1124" s="16">
        <f>IF($A1124="","",$A1124&amp;"|"&amp;DAY($B1124))</f>
        <v/>
      </c>
      <c r="F1124" s="16">
        <f>IF($A1124="","",IF(COUNTIF(設定!$B$62:$B$201,$A1124)=0,"⚠ 查無員編",IF(COUNTIF($E$3:$E$2002,$E1124)&gt;1,"⚠ 重複打卡","OK")))</f>
        <v/>
      </c>
    </row>
    <row r="1125">
      <c r="A1125" s="20" t="n"/>
      <c r="B1125" s="18" t="n"/>
      <c r="C1125" s="81" t="n"/>
      <c r="D1125" s="81" t="n"/>
      <c r="E1125" s="16">
        <f>IF($A1125="","",$A1125&amp;"|"&amp;DAY($B1125))</f>
        <v/>
      </c>
      <c r="F1125" s="16">
        <f>IF($A1125="","",IF(COUNTIF(設定!$B$62:$B$201,$A1125)=0,"⚠ 查無員編",IF(COUNTIF($E$3:$E$2002,$E1125)&gt;1,"⚠ 重複打卡","OK")))</f>
        <v/>
      </c>
    </row>
    <row r="1126">
      <c r="A1126" s="20" t="n"/>
      <c r="B1126" s="18" t="n"/>
      <c r="C1126" s="81" t="n"/>
      <c r="D1126" s="81" t="n"/>
      <c r="E1126" s="16">
        <f>IF($A1126="","",$A1126&amp;"|"&amp;DAY($B1126))</f>
        <v/>
      </c>
      <c r="F1126" s="16">
        <f>IF($A1126="","",IF(COUNTIF(設定!$B$62:$B$201,$A1126)=0,"⚠ 查無員編",IF(COUNTIF($E$3:$E$2002,$E1126)&gt;1,"⚠ 重複打卡","OK")))</f>
        <v/>
      </c>
    </row>
    <row r="1127">
      <c r="A1127" s="20" t="n"/>
      <c r="B1127" s="18" t="n"/>
      <c r="C1127" s="81" t="n"/>
      <c r="D1127" s="81" t="n"/>
      <c r="E1127" s="16">
        <f>IF($A1127="","",$A1127&amp;"|"&amp;DAY($B1127))</f>
        <v/>
      </c>
      <c r="F1127" s="16">
        <f>IF($A1127="","",IF(COUNTIF(設定!$B$62:$B$201,$A1127)=0,"⚠ 查無員編",IF(COUNTIF($E$3:$E$2002,$E1127)&gt;1,"⚠ 重複打卡","OK")))</f>
        <v/>
      </c>
    </row>
    <row r="1128">
      <c r="A1128" s="20" t="n"/>
      <c r="B1128" s="18" t="n"/>
      <c r="C1128" s="81" t="n"/>
      <c r="D1128" s="81" t="n"/>
      <c r="E1128" s="16">
        <f>IF($A1128="","",$A1128&amp;"|"&amp;DAY($B1128))</f>
        <v/>
      </c>
      <c r="F1128" s="16">
        <f>IF($A1128="","",IF(COUNTIF(設定!$B$62:$B$201,$A1128)=0,"⚠ 查無員編",IF(COUNTIF($E$3:$E$2002,$E1128)&gt;1,"⚠ 重複打卡","OK")))</f>
        <v/>
      </c>
    </row>
    <row r="1129">
      <c r="A1129" s="20" t="n"/>
      <c r="B1129" s="18" t="n"/>
      <c r="C1129" s="81" t="n"/>
      <c r="D1129" s="81" t="n"/>
      <c r="E1129" s="16">
        <f>IF($A1129="","",$A1129&amp;"|"&amp;DAY($B1129))</f>
        <v/>
      </c>
      <c r="F1129" s="16">
        <f>IF($A1129="","",IF(COUNTIF(設定!$B$62:$B$201,$A1129)=0,"⚠ 查無員編",IF(COUNTIF($E$3:$E$2002,$E1129)&gt;1,"⚠ 重複打卡","OK")))</f>
        <v/>
      </c>
    </row>
    <row r="1130">
      <c r="A1130" s="20" t="n"/>
      <c r="B1130" s="18" t="n"/>
      <c r="C1130" s="81" t="n"/>
      <c r="D1130" s="81" t="n"/>
      <c r="E1130" s="16">
        <f>IF($A1130="","",$A1130&amp;"|"&amp;DAY($B1130))</f>
        <v/>
      </c>
      <c r="F1130" s="16">
        <f>IF($A1130="","",IF(COUNTIF(設定!$B$62:$B$201,$A1130)=0,"⚠ 查無員編",IF(COUNTIF($E$3:$E$2002,$E1130)&gt;1,"⚠ 重複打卡","OK")))</f>
        <v/>
      </c>
    </row>
    <row r="1131">
      <c r="A1131" s="20" t="n"/>
      <c r="B1131" s="18" t="n"/>
      <c r="C1131" s="81" t="n"/>
      <c r="D1131" s="81" t="n"/>
      <c r="E1131" s="16">
        <f>IF($A1131="","",$A1131&amp;"|"&amp;DAY($B1131))</f>
        <v/>
      </c>
      <c r="F1131" s="16">
        <f>IF($A1131="","",IF(COUNTIF(設定!$B$62:$B$201,$A1131)=0,"⚠ 查無員編",IF(COUNTIF($E$3:$E$2002,$E1131)&gt;1,"⚠ 重複打卡","OK")))</f>
        <v/>
      </c>
    </row>
    <row r="1132">
      <c r="A1132" s="20" t="n"/>
      <c r="B1132" s="18" t="n"/>
      <c r="C1132" s="81" t="n"/>
      <c r="D1132" s="81" t="n"/>
      <c r="E1132" s="16">
        <f>IF($A1132="","",$A1132&amp;"|"&amp;DAY($B1132))</f>
        <v/>
      </c>
      <c r="F1132" s="16">
        <f>IF($A1132="","",IF(COUNTIF(設定!$B$62:$B$201,$A1132)=0,"⚠ 查無員編",IF(COUNTIF($E$3:$E$2002,$E1132)&gt;1,"⚠ 重複打卡","OK")))</f>
        <v/>
      </c>
    </row>
    <row r="1133">
      <c r="A1133" s="20" t="n"/>
      <c r="B1133" s="18" t="n"/>
      <c r="C1133" s="81" t="n"/>
      <c r="D1133" s="81" t="n"/>
      <c r="E1133" s="16">
        <f>IF($A1133="","",$A1133&amp;"|"&amp;DAY($B1133))</f>
        <v/>
      </c>
      <c r="F1133" s="16">
        <f>IF($A1133="","",IF(COUNTIF(設定!$B$62:$B$201,$A1133)=0,"⚠ 查無員編",IF(COUNTIF($E$3:$E$2002,$E1133)&gt;1,"⚠ 重複打卡","OK")))</f>
        <v/>
      </c>
    </row>
    <row r="1134">
      <c r="A1134" s="20" t="n"/>
      <c r="B1134" s="18" t="n"/>
      <c r="C1134" s="81" t="n"/>
      <c r="D1134" s="81" t="n"/>
      <c r="E1134" s="16">
        <f>IF($A1134="","",$A1134&amp;"|"&amp;DAY($B1134))</f>
        <v/>
      </c>
      <c r="F1134" s="16">
        <f>IF($A1134="","",IF(COUNTIF(設定!$B$62:$B$201,$A1134)=0,"⚠ 查無員編",IF(COUNTIF($E$3:$E$2002,$E1134)&gt;1,"⚠ 重複打卡","OK")))</f>
        <v/>
      </c>
    </row>
    <row r="1135">
      <c r="A1135" s="20" t="n"/>
      <c r="B1135" s="18" t="n"/>
      <c r="C1135" s="81" t="n"/>
      <c r="D1135" s="81" t="n"/>
      <c r="E1135" s="16">
        <f>IF($A1135="","",$A1135&amp;"|"&amp;DAY($B1135))</f>
        <v/>
      </c>
      <c r="F1135" s="16">
        <f>IF($A1135="","",IF(COUNTIF(設定!$B$62:$B$201,$A1135)=0,"⚠ 查無員編",IF(COUNTIF($E$3:$E$2002,$E1135)&gt;1,"⚠ 重複打卡","OK")))</f>
        <v/>
      </c>
    </row>
    <row r="1136">
      <c r="A1136" s="20" t="n"/>
      <c r="B1136" s="18" t="n"/>
      <c r="C1136" s="81" t="n"/>
      <c r="D1136" s="81" t="n"/>
      <c r="E1136" s="16">
        <f>IF($A1136="","",$A1136&amp;"|"&amp;DAY($B1136))</f>
        <v/>
      </c>
      <c r="F1136" s="16">
        <f>IF($A1136="","",IF(COUNTIF(設定!$B$62:$B$201,$A1136)=0,"⚠ 查無員編",IF(COUNTIF($E$3:$E$2002,$E1136)&gt;1,"⚠ 重複打卡","OK")))</f>
        <v/>
      </c>
    </row>
    <row r="1137">
      <c r="A1137" s="20" t="n"/>
      <c r="B1137" s="18" t="n"/>
      <c r="C1137" s="81" t="n"/>
      <c r="D1137" s="81" t="n"/>
      <c r="E1137" s="16">
        <f>IF($A1137="","",$A1137&amp;"|"&amp;DAY($B1137))</f>
        <v/>
      </c>
      <c r="F1137" s="16">
        <f>IF($A1137="","",IF(COUNTIF(設定!$B$62:$B$201,$A1137)=0,"⚠ 查無員編",IF(COUNTIF($E$3:$E$2002,$E1137)&gt;1,"⚠ 重複打卡","OK")))</f>
        <v/>
      </c>
    </row>
    <row r="1138">
      <c r="A1138" s="20" t="n"/>
      <c r="B1138" s="18" t="n"/>
      <c r="C1138" s="81" t="n"/>
      <c r="D1138" s="81" t="n"/>
      <c r="E1138" s="16">
        <f>IF($A1138="","",$A1138&amp;"|"&amp;DAY($B1138))</f>
        <v/>
      </c>
      <c r="F1138" s="16">
        <f>IF($A1138="","",IF(COUNTIF(設定!$B$62:$B$201,$A1138)=0,"⚠ 查無員編",IF(COUNTIF($E$3:$E$2002,$E1138)&gt;1,"⚠ 重複打卡","OK")))</f>
        <v/>
      </c>
    </row>
    <row r="1139">
      <c r="A1139" s="20" t="n"/>
      <c r="B1139" s="18" t="n"/>
      <c r="C1139" s="81" t="n"/>
      <c r="D1139" s="81" t="n"/>
      <c r="E1139" s="16">
        <f>IF($A1139="","",$A1139&amp;"|"&amp;DAY($B1139))</f>
        <v/>
      </c>
      <c r="F1139" s="16">
        <f>IF($A1139="","",IF(COUNTIF(設定!$B$62:$B$201,$A1139)=0,"⚠ 查無員編",IF(COUNTIF($E$3:$E$2002,$E1139)&gt;1,"⚠ 重複打卡","OK")))</f>
        <v/>
      </c>
    </row>
    <row r="1140">
      <c r="A1140" s="20" t="n"/>
      <c r="B1140" s="18" t="n"/>
      <c r="C1140" s="81" t="n"/>
      <c r="D1140" s="81" t="n"/>
      <c r="E1140" s="16">
        <f>IF($A1140="","",$A1140&amp;"|"&amp;DAY($B1140))</f>
        <v/>
      </c>
      <c r="F1140" s="16">
        <f>IF($A1140="","",IF(COUNTIF(設定!$B$62:$B$201,$A1140)=0,"⚠ 查無員編",IF(COUNTIF($E$3:$E$2002,$E1140)&gt;1,"⚠ 重複打卡","OK")))</f>
        <v/>
      </c>
    </row>
    <row r="1141">
      <c r="A1141" s="20" t="n"/>
      <c r="B1141" s="18" t="n"/>
      <c r="C1141" s="81" t="n"/>
      <c r="D1141" s="81" t="n"/>
      <c r="E1141" s="16">
        <f>IF($A1141="","",$A1141&amp;"|"&amp;DAY($B1141))</f>
        <v/>
      </c>
      <c r="F1141" s="16">
        <f>IF($A1141="","",IF(COUNTIF(設定!$B$62:$B$201,$A1141)=0,"⚠ 查無員編",IF(COUNTIF($E$3:$E$2002,$E1141)&gt;1,"⚠ 重複打卡","OK")))</f>
        <v/>
      </c>
    </row>
    <row r="1142">
      <c r="A1142" s="20" t="n"/>
      <c r="B1142" s="18" t="n"/>
      <c r="C1142" s="81" t="n"/>
      <c r="D1142" s="81" t="n"/>
      <c r="E1142" s="16">
        <f>IF($A1142="","",$A1142&amp;"|"&amp;DAY($B1142))</f>
        <v/>
      </c>
      <c r="F1142" s="16">
        <f>IF($A1142="","",IF(COUNTIF(設定!$B$62:$B$201,$A1142)=0,"⚠ 查無員編",IF(COUNTIF($E$3:$E$2002,$E1142)&gt;1,"⚠ 重複打卡","OK")))</f>
        <v/>
      </c>
    </row>
    <row r="1143">
      <c r="A1143" s="20" t="n"/>
      <c r="B1143" s="18" t="n"/>
      <c r="C1143" s="81" t="n"/>
      <c r="D1143" s="81" t="n"/>
      <c r="E1143" s="16">
        <f>IF($A1143="","",$A1143&amp;"|"&amp;DAY($B1143))</f>
        <v/>
      </c>
      <c r="F1143" s="16">
        <f>IF($A1143="","",IF(COUNTIF(設定!$B$62:$B$201,$A1143)=0,"⚠ 查無員編",IF(COUNTIF($E$3:$E$2002,$E1143)&gt;1,"⚠ 重複打卡","OK")))</f>
        <v/>
      </c>
    </row>
    <row r="1144">
      <c r="A1144" s="20" t="n"/>
      <c r="B1144" s="18" t="n"/>
      <c r="C1144" s="81" t="n"/>
      <c r="D1144" s="81" t="n"/>
      <c r="E1144" s="16">
        <f>IF($A1144="","",$A1144&amp;"|"&amp;DAY($B1144))</f>
        <v/>
      </c>
      <c r="F1144" s="16">
        <f>IF($A1144="","",IF(COUNTIF(設定!$B$62:$B$201,$A1144)=0,"⚠ 查無員編",IF(COUNTIF($E$3:$E$2002,$E1144)&gt;1,"⚠ 重複打卡","OK")))</f>
        <v/>
      </c>
    </row>
    <row r="1145">
      <c r="A1145" s="20" t="n"/>
      <c r="B1145" s="18" t="n"/>
      <c r="C1145" s="81" t="n"/>
      <c r="D1145" s="81" t="n"/>
      <c r="E1145" s="16">
        <f>IF($A1145="","",$A1145&amp;"|"&amp;DAY($B1145))</f>
        <v/>
      </c>
      <c r="F1145" s="16">
        <f>IF($A1145="","",IF(COUNTIF(設定!$B$62:$B$201,$A1145)=0,"⚠ 查無員編",IF(COUNTIF($E$3:$E$2002,$E1145)&gt;1,"⚠ 重複打卡","OK")))</f>
        <v/>
      </c>
    </row>
    <row r="1146">
      <c r="A1146" s="20" t="n"/>
      <c r="B1146" s="18" t="n"/>
      <c r="C1146" s="81" t="n"/>
      <c r="D1146" s="81" t="n"/>
      <c r="E1146" s="16">
        <f>IF($A1146="","",$A1146&amp;"|"&amp;DAY($B1146))</f>
        <v/>
      </c>
      <c r="F1146" s="16">
        <f>IF($A1146="","",IF(COUNTIF(設定!$B$62:$B$201,$A1146)=0,"⚠ 查無員編",IF(COUNTIF($E$3:$E$2002,$E1146)&gt;1,"⚠ 重複打卡","OK")))</f>
        <v/>
      </c>
    </row>
    <row r="1147">
      <c r="A1147" s="20" t="n"/>
      <c r="B1147" s="18" t="n"/>
      <c r="C1147" s="81" t="n"/>
      <c r="D1147" s="81" t="n"/>
      <c r="E1147" s="16">
        <f>IF($A1147="","",$A1147&amp;"|"&amp;DAY($B1147))</f>
        <v/>
      </c>
      <c r="F1147" s="16">
        <f>IF($A1147="","",IF(COUNTIF(設定!$B$62:$B$201,$A1147)=0,"⚠ 查無員編",IF(COUNTIF($E$3:$E$2002,$E1147)&gt;1,"⚠ 重複打卡","OK")))</f>
        <v/>
      </c>
    </row>
    <row r="1148">
      <c r="A1148" s="20" t="n"/>
      <c r="B1148" s="18" t="n"/>
      <c r="C1148" s="81" t="n"/>
      <c r="D1148" s="81" t="n"/>
      <c r="E1148" s="16">
        <f>IF($A1148="","",$A1148&amp;"|"&amp;DAY($B1148))</f>
        <v/>
      </c>
      <c r="F1148" s="16">
        <f>IF($A1148="","",IF(COUNTIF(設定!$B$62:$B$201,$A1148)=0,"⚠ 查無員編",IF(COUNTIF($E$3:$E$2002,$E1148)&gt;1,"⚠ 重複打卡","OK")))</f>
        <v/>
      </c>
    </row>
    <row r="1149">
      <c r="A1149" s="20" t="n"/>
      <c r="B1149" s="18" t="n"/>
      <c r="C1149" s="81" t="n"/>
      <c r="D1149" s="81" t="n"/>
      <c r="E1149" s="16">
        <f>IF($A1149="","",$A1149&amp;"|"&amp;DAY($B1149))</f>
        <v/>
      </c>
      <c r="F1149" s="16">
        <f>IF($A1149="","",IF(COUNTIF(設定!$B$62:$B$201,$A1149)=0,"⚠ 查無員編",IF(COUNTIF($E$3:$E$2002,$E1149)&gt;1,"⚠ 重複打卡","OK")))</f>
        <v/>
      </c>
    </row>
    <row r="1150">
      <c r="A1150" s="20" t="n"/>
      <c r="B1150" s="18" t="n"/>
      <c r="C1150" s="81" t="n"/>
      <c r="D1150" s="81" t="n"/>
      <c r="E1150" s="16">
        <f>IF($A1150="","",$A1150&amp;"|"&amp;DAY($B1150))</f>
        <v/>
      </c>
      <c r="F1150" s="16">
        <f>IF($A1150="","",IF(COUNTIF(設定!$B$62:$B$201,$A1150)=0,"⚠ 查無員編",IF(COUNTIF($E$3:$E$2002,$E1150)&gt;1,"⚠ 重複打卡","OK")))</f>
        <v/>
      </c>
    </row>
    <row r="1151">
      <c r="A1151" s="20" t="n"/>
      <c r="B1151" s="18" t="n"/>
      <c r="C1151" s="81" t="n"/>
      <c r="D1151" s="81" t="n"/>
      <c r="E1151" s="16">
        <f>IF($A1151="","",$A1151&amp;"|"&amp;DAY($B1151))</f>
        <v/>
      </c>
      <c r="F1151" s="16">
        <f>IF($A1151="","",IF(COUNTIF(設定!$B$62:$B$201,$A1151)=0,"⚠ 查無員編",IF(COUNTIF($E$3:$E$2002,$E1151)&gt;1,"⚠ 重複打卡","OK")))</f>
        <v/>
      </c>
    </row>
    <row r="1152">
      <c r="A1152" s="20" t="n"/>
      <c r="B1152" s="18" t="n"/>
      <c r="C1152" s="81" t="n"/>
      <c r="D1152" s="81" t="n"/>
      <c r="E1152" s="16">
        <f>IF($A1152="","",$A1152&amp;"|"&amp;DAY($B1152))</f>
        <v/>
      </c>
      <c r="F1152" s="16">
        <f>IF($A1152="","",IF(COUNTIF(設定!$B$62:$B$201,$A1152)=0,"⚠ 查無員編",IF(COUNTIF($E$3:$E$2002,$E1152)&gt;1,"⚠ 重複打卡","OK")))</f>
        <v/>
      </c>
    </row>
    <row r="1153">
      <c r="A1153" s="20" t="n"/>
      <c r="B1153" s="18" t="n"/>
      <c r="C1153" s="81" t="n"/>
      <c r="D1153" s="81" t="n"/>
      <c r="E1153" s="16">
        <f>IF($A1153="","",$A1153&amp;"|"&amp;DAY($B1153))</f>
        <v/>
      </c>
      <c r="F1153" s="16">
        <f>IF($A1153="","",IF(COUNTIF(設定!$B$62:$B$201,$A1153)=0,"⚠ 查無員編",IF(COUNTIF($E$3:$E$2002,$E1153)&gt;1,"⚠ 重複打卡","OK")))</f>
        <v/>
      </c>
    </row>
    <row r="1154">
      <c r="A1154" s="20" t="n"/>
      <c r="B1154" s="18" t="n"/>
      <c r="C1154" s="81" t="n"/>
      <c r="D1154" s="81" t="n"/>
      <c r="E1154" s="16">
        <f>IF($A1154="","",$A1154&amp;"|"&amp;DAY($B1154))</f>
        <v/>
      </c>
      <c r="F1154" s="16">
        <f>IF($A1154="","",IF(COUNTIF(設定!$B$62:$B$201,$A1154)=0,"⚠ 查無員編",IF(COUNTIF($E$3:$E$2002,$E1154)&gt;1,"⚠ 重複打卡","OK")))</f>
        <v/>
      </c>
    </row>
    <row r="1155">
      <c r="A1155" s="20" t="n"/>
      <c r="B1155" s="18" t="n"/>
      <c r="C1155" s="81" t="n"/>
      <c r="D1155" s="81" t="n"/>
      <c r="E1155" s="16">
        <f>IF($A1155="","",$A1155&amp;"|"&amp;DAY($B1155))</f>
        <v/>
      </c>
      <c r="F1155" s="16">
        <f>IF($A1155="","",IF(COUNTIF(設定!$B$62:$B$201,$A1155)=0,"⚠ 查無員編",IF(COUNTIF($E$3:$E$2002,$E1155)&gt;1,"⚠ 重複打卡","OK")))</f>
        <v/>
      </c>
    </row>
    <row r="1156">
      <c r="A1156" s="20" t="n"/>
      <c r="B1156" s="18" t="n"/>
      <c r="C1156" s="81" t="n"/>
      <c r="D1156" s="81" t="n"/>
      <c r="E1156" s="16">
        <f>IF($A1156="","",$A1156&amp;"|"&amp;DAY($B1156))</f>
        <v/>
      </c>
      <c r="F1156" s="16">
        <f>IF($A1156="","",IF(COUNTIF(設定!$B$62:$B$201,$A1156)=0,"⚠ 查無員編",IF(COUNTIF($E$3:$E$2002,$E1156)&gt;1,"⚠ 重複打卡","OK")))</f>
        <v/>
      </c>
    </row>
    <row r="1157">
      <c r="A1157" s="20" t="n"/>
      <c r="B1157" s="18" t="n"/>
      <c r="C1157" s="81" t="n"/>
      <c r="D1157" s="81" t="n"/>
      <c r="E1157" s="16">
        <f>IF($A1157="","",$A1157&amp;"|"&amp;DAY($B1157))</f>
        <v/>
      </c>
      <c r="F1157" s="16">
        <f>IF($A1157="","",IF(COUNTIF(設定!$B$62:$B$201,$A1157)=0,"⚠ 查無員編",IF(COUNTIF($E$3:$E$2002,$E1157)&gt;1,"⚠ 重複打卡","OK")))</f>
        <v/>
      </c>
    </row>
    <row r="1158">
      <c r="A1158" s="20" t="n"/>
      <c r="B1158" s="18" t="n"/>
      <c r="C1158" s="81" t="n"/>
      <c r="D1158" s="81" t="n"/>
      <c r="E1158" s="16">
        <f>IF($A1158="","",$A1158&amp;"|"&amp;DAY($B1158))</f>
        <v/>
      </c>
      <c r="F1158" s="16">
        <f>IF($A1158="","",IF(COUNTIF(設定!$B$62:$B$201,$A1158)=0,"⚠ 查無員編",IF(COUNTIF($E$3:$E$2002,$E1158)&gt;1,"⚠ 重複打卡","OK")))</f>
        <v/>
      </c>
    </row>
    <row r="1159">
      <c r="A1159" s="20" t="n"/>
      <c r="B1159" s="18" t="n"/>
      <c r="C1159" s="81" t="n"/>
      <c r="D1159" s="81" t="n"/>
      <c r="E1159" s="16">
        <f>IF($A1159="","",$A1159&amp;"|"&amp;DAY($B1159))</f>
        <v/>
      </c>
      <c r="F1159" s="16">
        <f>IF($A1159="","",IF(COUNTIF(設定!$B$62:$B$201,$A1159)=0,"⚠ 查無員編",IF(COUNTIF($E$3:$E$2002,$E1159)&gt;1,"⚠ 重複打卡","OK")))</f>
        <v/>
      </c>
    </row>
    <row r="1160">
      <c r="A1160" s="20" t="n"/>
      <c r="B1160" s="18" t="n"/>
      <c r="C1160" s="81" t="n"/>
      <c r="D1160" s="81" t="n"/>
      <c r="E1160" s="16">
        <f>IF($A1160="","",$A1160&amp;"|"&amp;DAY($B1160))</f>
        <v/>
      </c>
      <c r="F1160" s="16">
        <f>IF($A1160="","",IF(COUNTIF(設定!$B$62:$B$201,$A1160)=0,"⚠ 查無員編",IF(COUNTIF($E$3:$E$2002,$E1160)&gt;1,"⚠ 重複打卡","OK")))</f>
        <v/>
      </c>
    </row>
    <row r="1161">
      <c r="A1161" s="20" t="n"/>
      <c r="B1161" s="18" t="n"/>
      <c r="C1161" s="81" t="n"/>
      <c r="D1161" s="81" t="n"/>
      <c r="E1161" s="16">
        <f>IF($A1161="","",$A1161&amp;"|"&amp;DAY($B1161))</f>
        <v/>
      </c>
      <c r="F1161" s="16">
        <f>IF($A1161="","",IF(COUNTIF(設定!$B$62:$B$201,$A1161)=0,"⚠ 查無員編",IF(COUNTIF($E$3:$E$2002,$E1161)&gt;1,"⚠ 重複打卡","OK")))</f>
        <v/>
      </c>
    </row>
    <row r="1162">
      <c r="A1162" s="20" t="n"/>
      <c r="B1162" s="18" t="n"/>
      <c r="C1162" s="81" t="n"/>
      <c r="D1162" s="81" t="n"/>
      <c r="E1162" s="16">
        <f>IF($A1162="","",$A1162&amp;"|"&amp;DAY($B1162))</f>
        <v/>
      </c>
      <c r="F1162" s="16">
        <f>IF($A1162="","",IF(COUNTIF(設定!$B$62:$B$201,$A1162)=0,"⚠ 查無員編",IF(COUNTIF($E$3:$E$2002,$E1162)&gt;1,"⚠ 重複打卡","OK")))</f>
        <v/>
      </c>
    </row>
    <row r="1163">
      <c r="A1163" s="20" t="n"/>
      <c r="B1163" s="18" t="n"/>
      <c r="C1163" s="81" t="n"/>
      <c r="D1163" s="81" t="n"/>
      <c r="E1163" s="16">
        <f>IF($A1163="","",$A1163&amp;"|"&amp;DAY($B1163))</f>
        <v/>
      </c>
      <c r="F1163" s="16">
        <f>IF($A1163="","",IF(COUNTIF(設定!$B$62:$B$201,$A1163)=0,"⚠ 查無員編",IF(COUNTIF($E$3:$E$2002,$E1163)&gt;1,"⚠ 重複打卡","OK")))</f>
        <v/>
      </c>
    </row>
    <row r="1164">
      <c r="A1164" s="20" t="n"/>
      <c r="B1164" s="18" t="n"/>
      <c r="C1164" s="81" t="n"/>
      <c r="D1164" s="81" t="n"/>
      <c r="E1164" s="16">
        <f>IF($A1164="","",$A1164&amp;"|"&amp;DAY($B1164))</f>
        <v/>
      </c>
      <c r="F1164" s="16">
        <f>IF($A1164="","",IF(COUNTIF(設定!$B$62:$B$201,$A1164)=0,"⚠ 查無員編",IF(COUNTIF($E$3:$E$2002,$E1164)&gt;1,"⚠ 重複打卡","OK")))</f>
        <v/>
      </c>
    </row>
    <row r="1165">
      <c r="A1165" s="20" t="n"/>
      <c r="B1165" s="18" t="n"/>
      <c r="C1165" s="81" t="n"/>
      <c r="D1165" s="81" t="n"/>
      <c r="E1165" s="16">
        <f>IF($A1165="","",$A1165&amp;"|"&amp;DAY($B1165))</f>
        <v/>
      </c>
      <c r="F1165" s="16">
        <f>IF($A1165="","",IF(COUNTIF(設定!$B$62:$B$201,$A1165)=0,"⚠ 查無員編",IF(COUNTIF($E$3:$E$2002,$E1165)&gt;1,"⚠ 重複打卡","OK")))</f>
        <v/>
      </c>
    </row>
    <row r="1166">
      <c r="A1166" s="20" t="n"/>
      <c r="B1166" s="18" t="n"/>
      <c r="C1166" s="81" t="n"/>
      <c r="D1166" s="81" t="n"/>
      <c r="E1166" s="16">
        <f>IF($A1166="","",$A1166&amp;"|"&amp;DAY($B1166))</f>
        <v/>
      </c>
      <c r="F1166" s="16">
        <f>IF($A1166="","",IF(COUNTIF(設定!$B$62:$B$201,$A1166)=0,"⚠ 查無員編",IF(COUNTIF($E$3:$E$2002,$E1166)&gt;1,"⚠ 重複打卡","OK")))</f>
        <v/>
      </c>
    </row>
    <row r="1167">
      <c r="A1167" s="20" t="n"/>
      <c r="B1167" s="18" t="n"/>
      <c r="C1167" s="81" t="n"/>
      <c r="D1167" s="81" t="n"/>
      <c r="E1167" s="16">
        <f>IF($A1167="","",$A1167&amp;"|"&amp;DAY($B1167))</f>
        <v/>
      </c>
      <c r="F1167" s="16">
        <f>IF($A1167="","",IF(COUNTIF(設定!$B$62:$B$201,$A1167)=0,"⚠ 查無員編",IF(COUNTIF($E$3:$E$2002,$E1167)&gt;1,"⚠ 重複打卡","OK")))</f>
        <v/>
      </c>
    </row>
    <row r="1168">
      <c r="A1168" s="20" t="n"/>
      <c r="B1168" s="18" t="n"/>
      <c r="C1168" s="81" t="n"/>
      <c r="D1168" s="81" t="n"/>
      <c r="E1168" s="16">
        <f>IF($A1168="","",$A1168&amp;"|"&amp;DAY($B1168))</f>
        <v/>
      </c>
      <c r="F1168" s="16">
        <f>IF($A1168="","",IF(COUNTIF(設定!$B$62:$B$201,$A1168)=0,"⚠ 查無員編",IF(COUNTIF($E$3:$E$2002,$E1168)&gt;1,"⚠ 重複打卡","OK")))</f>
        <v/>
      </c>
    </row>
    <row r="1169">
      <c r="A1169" s="20" t="n"/>
      <c r="B1169" s="18" t="n"/>
      <c r="C1169" s="81" t="n"/>
      <c r="D1169" s="81" t="n"/>
      <c r="E1169" s="16">
        <f>IF($A1169="","",$A1169&amp;"|"&amp;DAY($B1169))</f>
        <v/>
      </c>
      <c r="F1169" s="16">
        <f>IF($A1169="","",IF(COUNTIF(設定!$B$62:$B$201,$A1169)=0,"⚠ 查無員編",IF(COUNTIF($E$3:$E$2002,$E1169)&gt;1,"⚠ 重複打卡","OK")))</f>
        <v/>
      </c>
    </row>
    <row r="1170">
      <c r="A1170" s="20" t="n"/>
      <c r="B1170" s="18" t="n"/>
      <c r="C1170" s="81" t="n"/>
      <c r="D1170" s="81" t="n"/>
      <c r="E1170" s="16">
        <f>IF($A1170="","",$A1170&amp;"|"&amp;DAY($B1170))</f>
        <v/>
      </c>
      <c r="F1170" s="16">
        <f>IF($A1170="","",IF(COUNTIF(設定!$B$62:$B$201,$A1170)=0,"⚠ 查無員編",IF(COUNTIF($E$3:$E$2002,$E1170)&gt;1,"⚠ 重複打卡","OK")))</f>
        <v/>
      </c>
    </row>
    <row r="1171">
      <c r="A1171" s="20" t="n"/>
      <c r="B1171" s="18" t="n"/>
      <c r="C1171" s="81" t="n"/>
      <c r="D1171" s="81" t="n"/>
      <c r="E1171" s="16">
        <f>IF($A1171="","",$A1171&amp;"|"&amp;DAY($B1171))</f>
        <v/>
      </c>
      <c r="F1171" s="16">
        <f>IF($A1171="","",IF(COUNTIF(設定!$B$62:$B$201,$A1171)=0,"⚠ 查無員編",IF(COUNTIF($E$3:$E$2002,$E1171)&gt;1,"⚠ 重複打卡","OK")))</f>
        <v/>
      </c>
    </row>
    <row r="1172">
      <c r="A1172" s="20" t="n"/>
      <c r="B1172" s="18" t="n"/>
      <c r="C1172" s="81" t="n"/>
      <c r="D1172" s="81" t="n"/>
      <c r="E1172" s="16">
        <f>IF($A1172="","",$A1172&amp;"|"&amp;DAY($B1172))</f>
        <v/>
      </c>
      <c r="F1172" s="16">
        <f>IF($A1172="","",IF(COUNTIF(設定!$B$62:$B$201,$A1172)=0,"⚠ 查無員編",IF(COUNTIF($E$3:$E$2002,$E1172)&gt;1,"⚠ 重複打卡","OK")))</f>
        <v/>
      </c>
    </row>
    <row r="1173">
      <c r="A1173" s="20" t="n"/>
      <c r="B1173" s="18" t="n"/>
      <c r="C1173" s="81" t="n"/>
      <c r="D1173" s="81" t="n"/>
      <c r="E1173" s="16">
        <f>IF($A1173="","",$A1173&amp;"|"&amp;DAY($B1173))</f>
        <v/>
      </c>
      <c r="F1173" s="16">
        <f>IF($A1173="","",IF(COUNTIF(設定!$B$62:$B$201,$A1173)=0,"⚠ 查無員編",IF(COUNTIF($E$3:$E$2002,$E1173)&gt;1,"⚠ 重複打卡","OK")))</f>
        <v/>
      </c>
    </row>
    <row r="1174">
      <c r="A1174" s="20" t="n"/>
      <c r="B1174" s="18" t="n"/>
      <c r="C1174" s="81" t="n"/>
      <c r="D1174" s="81" t="n"/>
      <c r="E1174" s="16">
        <f>IF($A1174="","",$A1174&amp;"|"&amp;DAY($B1174))</f>
        <v/>
      </c>
      <c r="F1174" s="16">
        <f>IF($A1174="","",IF(COUNTIF(設定!$B$62:$B$201,$A1174)=0,"⚠ 查無員編",IF(COUNTIF($E$3:$E$2002,$E1174)&gt;1,"⚠ 重複打卡","OK")))</f>
        <v/>
      </c>
    </row>
    <row r="1175">
      <c r="A1175" s="20" t="n"/>
      <c r="B1175" s="18" t="n"/>
      <c r="C1175" s="81" t="n"/>
      <c r="D1175" s="81" t="n"/>
      <c r="E1175" s="16">
        <f>IF($A1175="","",$A1175&amp;"|"&amp;DAY($B1175))</f>
        <v/>
      </c>
      <c r="F1175" s="16">
        <f>IF($A1175="","",IF(COUNTIF(設定!$B$62:$B$201,$A1175)=0,"⚠ 查無員編",IF(COUNTIF($E$3:$E$2002,$E1175)&gt;1,"⚠ 重複打卡","OK")))</f>
        <v/>
      </c>
    </row>
    <row r="1176">
      <c r="A1176" s="20" t="n"/>
      <c r="B1176" s="18" t="n"/>
      <c r="C1176" s="81" t="n"/>
      <c r="D1176" s="81" t="n"/>
      <c r="E1176" s="16">
        <f>IF($A1176="","",$A1176&amp;"|"&amp;DAY($B1176))</f>
        <v/>
      </c>
      <c r="F1176" s="16">
        <f>IF($A1176="","",IF(COUNTIF(設定!$B$62:$B$201,$A1176)=0,"⚠ 查無員編",IF(COUNTIF($E$3:$E$2002,$E1176)&gt;1,"⚠ 重複打卡","OK")))</f>
        <v/>
      </c>
    </row>
    <row r="1177">
      <c r="A1177" s="20" t="n"/>
      <c r="B1177" s="18" t="n"/>
      <c r="C1177" s="81" t="n"/>
      <c r="D1177" s="81" t="n"/>
      <c r="E1177" s="16">
        <f>IF($A1177="","",$A1177&amp;"|"&amp;DAY($B1177))</f>
        <v/>
      </c>
      <c r="F1177" s="16">
        <f>IF($A1177="","",IF(COUNTIF(設定!$B$62:$B$201,$A1177)=0,"⚠ 查無員編",IF(COUNTIF($E$3:$E$2002,$E1177)&gt;1,"⚠ 重複打卡","OK")))</f>
        <v/>
      </c>
    </row>
    <row r="1178">
      <c r="A1178" s="20" t="n"/>
      <c r="B1178" s="18" t="n"/>
      <c r="C1178" s="81" t="n"/>
      <c r="D1178" s="81" t="n"/>
      <c r="E1178" s="16">
        <f>IF($A1178="","",$A1178&amp;"|"&amp;DAY($B1178))</f>
        <v/>
      </c>
      <c r="F1178" s="16">
        <f>IF($A1178="","",IF(COUNTIF(設定!$B$62:$B$201,$A1178)=0,"⚠ 查無員編",IF(COUNTIF($E$3:$E$2002,$E1178)&gt;1,"⚠ 重複打卡","OK")))</f>
        <v/>
      </c>
    </row>
    <row r="1179">
      <c r="A1179" s="20" t="n"/>
      <c r="B1179" s="18" t="n"/>
      <c r="C1179" s="81" t="n"/>
      <c r="D1179" s="81" t="n"/>
      <c r="E1179" s="16">
        <f>IF($A1179="","",$A1179&amp;"|"&amp;DAY($B1179))</f>
        <v/>
      </c>
      <c r="F1179" s="16">
        <f>IF($A1179="","",IF(COUNTIF(設定!$B$62:$B$201,$A1179)=0,"⚠ 查無員編",IF(COUNTIF($E$3:$E$2002,$E1179)&gt;1,"⚠ 重複打卡","OK")))</f>
        <v/>
      </c>
    </row>
    <row r="1180">
      <c r="A1180" s="20" t="n"/>
      <c r="B1180" s="18" t="n"/>
      <c r="C1180" s="81" t="n"/>
      <c r="D1180" s="81" t="n"/>
      <c r="E1180" s="16">
        <f>IF($A1180="","",$A1180&amp;"|"&amp;DAY($B1180))</f>
        <v/>
      </c>
      <c r="F1180" s="16">
        <f>IF($A1180="","",IF(COUNTIF(設定!$B$62:$B$201,$A1180)=0,"⚠ 查無員編",IF(COUNTIF($E$3:$E$2002,$E1180)&gt;1,"⚠ 重複打卡","OK")))</f>
        <v/>
      </c>
    </row>
    <row r="1181">
      <c r="A1181" s="20" t="n"/>
      <c r="B1181" s="18" t="n"/>
      <c r="C1181" s="81" t="n"/>
      <c r="D1181" s="81" t="n"/>
      <c r="E1181" s="16">
        <f>IF($A1181="","",$A1181&amp;"|"&amp;DAY($B1181))</f>
        <v/>
      </c>
      <c r="F1181" s="16">
        <f>IF($A1181="","",IF(COUNTIF(設定!$B$62:$B$201,$A1181)=0,"⚠ 查無員編",IF(COUNTIF($E$3:$E$2002,$E1181)&gt;1,"⚠ 重複打卡","OK")))</f>
        <v/>
      </c>
    </row>
    <row r="1182">
      <c r="A1182" s="20" t="n"/>
      <c r="B1182" s="18" t="n"/>
      <c r="C1182" s="81" t="n"/>
      <c r="D1182" s="81" t="n"/>
      <c r="E1182" s="16">
        <f>IF($A1182="","",$A1182&amp;"|"&amp;DAY($B1182))</f>
        <v/>
      </c>
      <c r="F1182" s="16">
        <f>IF($A1182="","",IF(COUNTIF(設定!$B$62:$B$201,$A1182)=0,"⚠ 查無員編",IF(COUNTIF($E$3:$E$2002,$E1182)&gt;1,"⚠ 重複打卡","OK")))</f>
        <v/>
      </c>
    </row>
    <row r="1183">
      <c r="A1183" s="20" t="n"/>
      <c r="B1183" s="18" t="n"/>
      <c r="C1183" s="81" t="n"/>
      <c r="D1183" s="81" t="n"/>
      <c r="E1183" s="16">
        <f>IF($A1183="","",$A1183&amp;"|"&amp;DAY($B1183))</f>
        <v/>
      </c>
      <c r="F1183" s="16">
        <f>IF($A1183="","",IF(COUNTIF(設定!$B$62:$B$201,$A1183)=0,"⚠ 查無員編",IF(COUNTIF($E$3:$E$2002,$E1183)&gt;1,"⚠ 重複打卡","OK")))</f>
        <v/>
      </c>
    </row>
    <row r="1184">
      <c r="A1184" s="20" t="n"/>
      <c r="B1184" s="18" t="n"/>
      <c r="C1184" s="81" t="n"/>
      <c r="D1184" s="81" t="n"/>
      <c r="E1184" s="16">
        <f>IF($A1184="","",$A1184&amp;"|"&amp;DAY($B1184))</f>
        <v/>
      </c>
      <c r="F1184" s="16">
        <f>IF($A1184="","",IF(COUNTIF(設定!$B$62:$B$201,$A1184)=0,"⚠ 查無員編",IF(COUNTIF($E$3:$E$2002,$E1184)&gt;1,"⚠ 重複打卡","OK")))</f>
        <v/>
      </c>
    </row>
    <row r="1185">
      <c r="A1185" s="20" t="n"/>
      <c r="B1185" s="18" t="n"/>
      <c r="C1185" s="81" t="n"/>
      <c r="D1185" s="81" t="n"/>
      <c r="E1185" s="16">
        <f>IF($A1185="","",$A1185&amp;"|"&amp;DAY($B1185))</f>
        <v/>
      </c>
      <c r="F1185" s="16">
        <f>IF($A1185="","",IF(COUNTIF(設定!$B$62:$B$201,$A1185)=0,"⚠ 查無員編",IF(COUNTIF($E$3:$E$2002,$E1185)&gt;1,"⚠ 重複打卡","OK")))</f>
        <v/>
      </c>
    </row>
    <row r="1186">
      <c r="A1186" s="20" t="n"/>
      <c r="B1186" s="18" t="n"/>
      <c r="C1186" s="81" t="n"/>
      <c r="D1186" s="81" t="n"/>
      <c r="E1186" s="16">
        <f>IF($A1186="","",$A1186&amp;"|"&amp;DAY($B1186))</f>
        <v/>
      </c>
      <c r="F1186" s="16">
        <f>IF($A1186="","",IF(COUNTIF(設定!$B$62:$B$201,$A1186)=0,"⚠ 查無員編",IF(COUNTIF($E$3:$E$2002,$E1186)&gt;1,"⚠ 重複打卡","OK")))</f>
        <v/>
      </c>
    </row>
    <row r="1187">
      <c r="A1187" s="20" t="n"/>
      <c r="B1187" s="18" t="n"/>
      <c r="C1187" s="81" t="n"/>
      <c r="D1187" s="81" t="n"/>
      <c r="E1187" s="16">
        <f>IF($A1187="","",$A1187&amp;"|"&amp;DAY($B1187))</f>
        <v/>
      </c>
      <c r="F1187" s="16">
        <f>IF($A1187="","",IF(COUNTIF(設定!$B$62:$B$201,$A1187)=0,"⚠ 查無員編",IF(COUNTIF($E$3:$E$2002,$E1187)&gt;1,"⚠ 重複打卡","OK")))</f>
        <v/>
      </c>
    </row>
    <row r="1188">
      <c r="A1188" s="20" t="n"/>
      <c r="B1188" s="18" t="n"/>
      <c r="C1188" s="81" t="n"/>
      <c r="D1188" s="81" t="n"/>
      <c r="E1188" s="16">
        <f>IF($A1188="","",$A1188&amp;"|"&amp;DAY($B1188))</f>
        <v/>
      </c>
      <c r="F1188" s="16">
        <f>IF($A1188="","",IF(COUNTIF(設定!$B$62:$B$201,$A1188)=0,"⚠ 查無員編",IF(COUNTIF($E$3:$E$2002,$E1188)&gt;1,"⚠ 重複打卡","OK")))</f>
        <v/>
      </c>
    </row>
    <row r="1189">
      <c r="A1189" s="20" t="n"/>
      <c r="B1189" s="18" t="n"/>
      <c r="C1189" s="81" t="n"/>
      <c r="D1189" s="81" t="n"/>
      <c r="E1189" s="16">
        <f>IF($A1189="","",$A1189&amp;"|"&amp;DAY($B1189))</f>
        <v/>
      </c>
      <c r="F1189" s="16">
        <f>IF($A1189="","",IF(COUNTIF(設定!$B$62:$B$201,$A1189)=0,"⚠ 查無員編",IF(COUNTIF($E$3:$E$2002,$E1189)&gt;1,"⚠ 重複打卡","OK")))</f>
        <v/>
      </c>
    </row>
    <row r="1190">
      <c r="A1190" s="20" t="n"/>
      <c r="B1190" s="18" t="n"/>
      <c r="C1190" s="81" t="n"/>
      <c r="D1190" s="81" t="n"/>
      <c r="E1190" s="16">
        <f>IF($A1190="","",$A1190&amp;"|"&amp;DAY($B1190))</f>
        <v/>
      </c>
      <c r="F1190" s="16">
        <f>IF($A1190="","",IF(COUNTIF(設定!$B$62:$B$201,$A1190)=0,"⚠ 查無員編",IF(COUNTIF($E$3:$E$2002,$E1190)&gt;1,"⚠ 重複打卡","OK")))</f>
        <v/>
      </c>
    </row>
    <row r="1191">
      <c r="A1191" s="20" t="n"/>
      <c r="B1191" s="18" t="n"/>
      <c r="C1191" s="81" t="n"/>
      <c r="D1191" s="81" t="n"/>
      <c r="E1191" s="16">
        <f>IF($A1191="","",$A1191&amp;"|"&amp;DAY($B1191))</f>
        <v/>
      </c>
      <c r="F1191" s="16">
        <f>IF($A1191="","",IF(COUNTIF(設定!$B$62:$B$201,$A1191)=0,"⚠ 查無員編",IF(COUNTIF($E$3:$E$2002,$E1191)&gt;1,"⚠ 重複打卡","OK")))</f>
        <v/>
      </c>
    </row>
    <row r="1192">
      <c r="A1192" s="20" t="n"/>
      <c r="B1192" s="18" t="n"/>
      <c r="C1192" s="81" t="n"/>
      <c r="D1192" s="81" t="n"/>
      <c r="E1192" s="16">
        <f>IF($A1192="","",$A1192&amp;"|"&amp;DAY($B1192))</f>
        <v/>
      </c>
      <c r="F1192" s="16">
        <f>IF($A1192="","",IF(COUNTIF(設定!$B$62:$B$201,$A1192)=0,"⚠ 查無員編",IF(COUNTIF($E$3:$E$2002,$E1192)&gt;1,"⚠ 重複打卡","OK")))</f>
        <v/>
      </c>
    </row>
    <row r="1193">
      <c r="A1193" s="20" t="n"/>
      <c r="B1193" s="18" t="n"/>
      <c r="C1193" s="81" t="n"/>
      <c r="D1193" s="81" t="n"/>
      <c r="E1193" s="16">
        <f>IF($A1193="","",$A1193&amp;"|"&amp;DAY($B1193))</f>
        <v/>
      </c>
      <c r="F1193" s="16">
        <f>IF($A1193="","",IF(COUNTIF(設定!$B$62:$B$201,$A1193)=0,"⚠ 查無員編",IF(COUNTIF($E$3:$E$2002,$E1193)&gt;1,"⚠ 重複打卡","OK")))</f>
        <v/>
      </c>
    </row>
    <row r="1194">
      <c r="A1194" s="20" t="n"/>
      <c r="B1194" s="18" t="n"/>
      <c r="C1194" s="81" t="n"/>
      <c r="D1194" s="81" t="n"/>
      <c r="E1194" s="16">
        <f>IF($A1194="","",$A1194&amp;"|"&amp;DAY($B1194))</f>
        <v/>
      </c>
      <c r="F1194" s="16">
        <f>IF($A1194="","",IF(COUNTIF(設定!$B$62:$B$201,$A1194)=0,"⚠ 查無員編",IF(COUNTIF($E$3:$E$2002,$E1194)&gt;1,"⚠ 重複打卡","OK")))</f>
        <v/>
      </c>
    </row>
    <row r="1195">
      <c r="A1195" s="20" t="n"/>
      <c r="B1195" s="18" t="n"/>
      <c r="C1195" s="81" t="n"/>
      <c r="D1195" s="81" t="n"/>
      <c r="E1195" s="16">
        <f>IF($A1195="","",$A1195&amp;"|"&amp;DAY($B1195))</f>
        <v/>
      </c>
      <c r="F1195" s="16">
        <f>IF($A1195="","",IF(COUNTIF(設定!$B$62:$B$201,$A1195)=0,"⚠ 查無員編",IF(COUNTIF($E$3:$E$2002,$E1195)&gt;1,"⚠ 重複打卡","OK")))</f>
        <v/>
      </c>
    </row>
    <row r="1196">
      <c r="A1196" s="20" t="n"/>
      <c r="B1196" s="18" t="n"/>
      <c r="C1196" s="81" t="n"/>
      <c r="D1196" s="81" t="n"/>
      <c r="E1196" s="16">
        <f>IF($A1196="","",$A1196&amp;"|"&amp;DAY($B1196))</f>
        <v/>
      </c>
      <c r="F1196" s="16">
        <f>IF($A1196="","",IF(COUNTIF(設定!$B$62:$B$201,$A1196)=0,"⚠ 查無員編",IF(COUNTIF($E$3:$E$2002,$E1196)&gt;1,"⚠ 重複打卡","OK")))</f>
        <v/>
      </c>
    </row>
    <row r="1197">
      <c r="A1197" s="20" t="n"/>
      <c r="B1197" s="18" t="n"/>
      <c r="C1197" s="81" t="n"/>
      <c r="D1197" s="81" t="n"/>
      <c r="E1197" s="16">
        <f>IF($A1197="","",$A1197&amp;"|"&amp;DAY($B1197))</f>
        <v/>
      </c>
      <c r="F1197" s="16">
        <f>IF($A1197="","",IF(COUNTIF(設定!$B$62:$B$201,$A1197)=0,"⚠ 查無員編",IF(COUNTIF($E$3:$E$2002,$E1197)&gt;1,"⚠ 重複打卡","OK")))</f>
        <v/>
      </c>
    </row>
    <row r="1198">
      <c r="A1198" s="20" t="n"/>
      <c r="B1198" s="18" t="n"/>
      <c r="C1198" s="81" t="n"/>
      <c r="D1198" s="81" t="n"/>
      <c r="E1198" s="16">
        <f>IF($A1198="","",$A1198&amp;"|"&amp;DAY($B1198))</f>
        <v/>
      </c>
      <c r="F1198" s="16">
        <f>IF($A1198="","",IF(COUNTIF(設定!$B$62:$B$201,$A1198)=0,"⚠ 查無員編",IF(COUNTIF($E$3:$E$2002,$E1198)&gt;1,"⚠ 重複打卡","OK")))</f>
        <v/>
      </c>
    </row>
    <row r="1199">
      <c r="A1199" s="20" t="n"/>
      <c r="B1199" s="18" t="n"/>
      <c r="C1199" s="81" t="n"/>
      <c r="D1199" s="81" t="n"/>
      <c r="E1199" s="16">
        <f>IF($A1199="","",$A1199&amp;"|"&amp;DAY($B1199))</f>
        <v/>
      </c>
      <c r="F1199" s="16">
        <f>IF($A1199="","",IF(COUNTIF(設定!$B$62:$B$201,$A1199)=0,"⚠ 查無員編",IF(COUNTIF($E$3:$E$2002,$E1199)&gt;1,"⚠ 重複打卡","OK")))</f>
        <v/>
      </c>
    </row>
    <row r="1200">
      <c r="A1200" s="20" t="n"/>
      <c r="B1200" s="18" t="n"/>
      <c r="C1200" s="81" t="n"/>
      <c r="D1200" s="81" t="n"/>
      <c r="E1200" s="16">
        <f>IF($A1200="","",$A1200&amp;"|"&amp;DAY($B1200))</f>
        <v/>
      </c>
      <c r="F1200" s="16">
        <f>IF($A1200="","",IF(COUNTIF(設定!$B$62:$B$201,$A1200)=0,"⚠ 查無員編",IF(COUNTIF($E$3:$E$2002,$E1200)&gt;1,"⚠ 重複打卡","OK")))</f>
        <v/>
      </c>
    </row>
    <row r="1201">
      <c r="A1201" s="20" t="n"/>
      <c r="B1201" s="18" t="n"/>
      <c r="C1201" s="81" t="n"/>
      <c r="D1201" s="81" t="n"/>
      <c r="E1201" s="16">
        <f>IF($A1201="","",$A1201&amp;"|"&amp;DAY($B1201))</f>
        <v/>
      </c>
      <c r="F1201" s="16">
        <f>IF($A1201="","",IF(COUNTIF(設定!$B$62:$B$201,$A1201)=0,"⚠ 查無員編",IF(COUNTIF($E$3:$E$2002,$E1201)&gt;1,"⚠ 重複打卡","OK")))</f>
        <v/>
      </c>
    </row>
    <row r="1202">
      <c r="A1202" s="20" t="n"/>
      <c r="B1202" s="18" t="n"/>
      <c r="C1202" s="81" t="n"/>
      <c r="D1202" s="81" t="n"/>
      <c r="E1202" s="16">
        <f>IF($A1202="","",$A1202&amp;"|"&amp;DAY($B1202))</f>
        <v/>
      </c>
      <c r="F1202" s="16">
        <f>IF($A1202="","",IF(COUNTIF(設定!$B$62:$B$201,$A1202)=0,"⚠ 查無員編",IF(COUNTIF($E$3:$E$2002,$E1202)&gt;1,"⚠ 重複打卡","OK")))</f>
        <v/>
      </c>
    </row>
    <row r="1203">
      <c r="A1203" s="20" t="n"/>
      <c r="B1203" s="18" t="n"/>
      <c r="C1203" s="81" t="n"/>
      <c r="D1203" s="81" t="n"/>
      <c r="E1203" s="16">
        <f>IF($A1203="","",$A1203&amp;"|"&amp;DAY($B1203))</f>
        <v/>
      </c>
      <c r="F1203" s="16">
        <f>IF($A1203="","",IF(COUNTIF(設定!$B$62:$B$201,$A1203)=0,"⚠ 查無員編",IF(COUNTIF($E$3:$E$2002,$E1203)&gt;1,"⚠ 重複打卡","OK")))</f>
        <v/>
      </c>
    </row>
    <row r="1204">
      <c r="A1204" s="20" t="n"/>
      <c r="B1204" s="18" t="n"/>
      <c r="C1204" s="81" t="n"/>
      <c r="D1204" s="81" t="n"/>
      <c r="E1204" s="16">
        <f>IF($A1204="","",$A1204&amp;"|"&amp;DAY($B1204))</f>
        <v/>
      </c>
      <c r="F1204" s="16">
        <f>IF($A1204="","",IF(COUNTIF(設定!$B$62:$B$201,$A1204)=0,"⚠ 查無員編",IF(COUNTIF($E$3:$E$2002,$E1204)&gt;1,"⚠ 重複打卡","OK")))</f>
        <v/>
      </c>
    </row>
    <row r="1205">
      <c r="A1205" s="20" t="n"/>
      <c r="B1205" s="18" t="n"/>
      <c r="C1205" s="81" t="n"/>
      <c r="D1205" s="81" t="n"/>
      <c r="E1205" s="16">
        <f>IF($A1205="","",$A1205&amp;"|"&amp;DAY($B1205))</f>
        <v/>
      </c>
      <c r="F1205" s="16">
        <f>IF($A1205="","",IF(COUNTIF(設定!$B$62:$B$201,$A1205)=0,"⚠ 查無員編",IF(COUNTIF($E$3:$E$2002,$E1205)&gt;1,"⚠ 重複打卡","OK")))</f>
        <v/>
      </c>
    </row>
    <row r="1206">
      <c r="A1206" s="20" t="n"/>
      <c r="B1206" s="18" t="n"/>
      <c r="C1206" s="81" t="n"/>
      <c r="D1206" s="81" t="n"/>
      <c r="E1206" s="16">
        <f>IF($A1206="","",$A1206&amp;"|"&amp;DAY($B1206))</f>
        <v/>
      </c>
      <c r="F1206" s="16">
        <f>IF($A1206="","",IF(COUNTIF(設定!$B$62:$B$201,$A1206)=0,"⚠ 查無員編",IF(COUNTIF($E$3:$E$2002,$E1206)&gt;1,"⚠ 重複打卡","OK")))</f>
        <v/>
      </c>
    </row>
    <row r="1207">
      <c r="A1207" s="20" t="n"/>
      <c r="B1207" s="18" t="n"/>
      <c r="C1207" s="81" t="n"/>
      <c r="D1207" s="81" t="n"/>
      <c r="E1207" s="16">
        <f>IF($A1207="","",$A1207&amp;"|"&amp;DAY($B1207))</f>
        <v/>
      </c>
      <c r="F1207" s="16">
        <f>IF($A1207="","",IF(COUNTIF(設定!$B$62:$B$201,$A1207)=0,"⚠ 查無員編",IF(COUNTIF($E$3:$E$2002,$E1207)&gt;1,"⚠ 重複打卡","OK")))</f>
        <v/>
      </c>
    </row>
    <row r="1208">
      <c r="A1208" s="20" t="n"/>
      <c r="B1208" s="18" t="n"/>
      <c r="C1208" s="81" t="n"/>
      <c r="D1208" s="81" t="n"/>
      <c r="E1208" s="16">
        <f>IF($A1208="","",$A1208&amp;"|"&amp;DAY($B1208))</f>
        <v/>
      </c>
      <c r="F1208" s="16">
        <f>IF($A1208="","",IF(COUNTIF(設定!$B$62:$B$201,$A1208)=0,"⚠ 查無員編",IF(COUNTIF($E$3:$E$2002,$E1208)&gt;1,"⚠ 重複打卡","OK")))</f>
        <v/>
      </c>
    </row>
    <row r="1209">
      <c r="A1209" s="20" t="n"/>
      <c r="B1209" s="18" t="n"/>
      <c r="C1209" s="81" t="n"/>
      <c r="D1209" s="81" t="n"/>
      <c r="E1209" s="16">
        <f>IF($A1209="","",$A1209&amp;"|"&amp;DAY($B1209))</f>
        <v/>
      </c>
      <c r="F1209" s="16">
        <f>IF($A1209="","",IF(COUNTIF(設定!$B$62:$B$201,$A1209)=0,"⚠ 查無員編",IF(COUNTIF($E$3:$E$2002,$E1209)&gt;1,"⚠ 重複打卡","OK")))</f>
        <v/>
      </c>
    </row>
    <row r="1210">
      <c r="A1210" s="20" t="n"/>
      <c r="B1210" s="18" t="n"/>
      <c r="C1210" s="81" t="n"/>
      <c r="D1210" s="81" t="n"/>
      <c r="E1210" s="16">
        <f>IF($A1210="","",$A1210&amp;"|"&amp;DAY($B1210))</f>
        <v/>
      </c>
      <c r="F1210" s="16">
        <f>IF($A1210="","",IF(COUNTIF(設定!$B$62:$B$201,$A1210)=0,"⚠ 查無員編",IF(COUNTIF($E$3:$E$2002,$E1210)&gt;1,"⚠ 重複打卡","OK")))</f>
        <v/>
      </c>
    </row>
    <row r="1211">
      <c r="A1211" s="20" t="n"/>
      <c r="B1211" s="18" t="n"/>
      <c r="C1211" s="81" t="n"/>
      <c r="D1211" s="81" t="n"/>
      <c r="E1211" s="16">
        <f>IF($A1211="","",$A1211&amp;"|"&amp;DAY($B1211))</f>
        <v/>
      </c>
      <c r="F1211" s="16">
        <f>IF($A1211="","",IF(COUNTIF(設定!$B$62:$B$201,$A1211)=0,"⚠ 查無員編",IF(COUNTIF($E$3:$E$2002,$E1211)&gt;1,"⚠ 重複打卡","OK")))</f>
        <v/>
      </c>
    </row>
    <row r="1212">
      <c r="A1212" s="20" t="n"/>
      <c r="B1212" s="18" t="n"/>
      <c r="C1212" s="81" t="n"/>
      <c r="D1212" s="81" t="n"/>
      <c r="E1212" s="16">
        <f>IF($A1212="","",$A1212&amp;"|"&amp;DAY($B1212))</f>
        <v/>
      </c>
      <c r="F1212" s="16">
        <f>IF($A1212="","",IF(COUNTIF(設定!$B$62:$B$201,$A1212)=0,"⚠ 查無員編",IF(COUNTIF($E$3:$E$2002,$E1212)&gt;1,"⚠ 重複打卡","OK")))</f>
        <v/>
      </c>
    </row>
    <row r="1213">
      <c r="A1213" s="20" t="n"/>
      <c r="B1213" s="18" t="n"/>
      <c r="C1213" s="81" t="n"/>
      <c r="D1213" s="81" t="n"/>
      <c r="E1213" s="16">
        <f>IF($A1213="","",$A1213&amp;"|"&amp;DAY($B1213))</f>
        <v/>
      </c>
      <c r="F1213" s="16">
        <f>IF($A1213="","",IF(COUNTIF(設定!$B$62:$B$201,$A1213)=0,"⚠ 查無員編",IF(COUNTIF($E$3:$E$2002,$E1213)&gt;1,"⚠ 重複打卡","OK")))</f>
        <v/>
      </c>
    </row>
    <row r="1214">
      <c r="A1214" s="20" t="n"/>
      <c r="B1214" s="18" t="n"/>
      <c r="C1214" s="81" t="n"/>
      <c r="D1214" s="81" t="n"/>
      <c r="E1214" s="16">
        <f>IF($A1214="","",$A1214&amp;"|"&amp;DAY($B1214))</f>
        <v/>
      </c>
      <c r="F1214" s="16">
        <f>IF($A1214="","",IF(COUNTIF(設定!$B$62:$B$201,$A1214)=0,"⚠ 查無員編",IF(COUNTIF($E$3:$E$2002,$E1214)&gt;1,"⚠ 重複打卡","OK")))</f>
        <v/>
      </c>
    </row>
    <row r="1215">
      <c r="A1215" s="20" t="n"/>
      <c r="B1215" s="18" t="n"/>
      <c r="C1215" s="81" t="n"/>
      <c r="D1215" s="81" t="n"/>
      <c r="E1215" s="16">
        <f>IF($A1215="","",$A1215&amp;"|"&amp;DAY($B1215))</f>
        <v/>
      </c>
      <c r="F1215" s="16">
        <f>IF($A1215="","",IF(COUNTIF(設定!$B$62:$B$201,$A1215)=0,"⚠ 查無員編",IF(COUNTIF($E$3:$E$2002,$E1215)&gt;1,"⚠ 重複打卡","OK")))</f>
        <v/>
      </c>
    </row>
    <row r="1216">
      <c r="A1216" s="20" t="n"/>
      <c r="B1216" s="18" t="n"/>
      <c r="C1216" s="81" t="n"/>
      <c r="D1216" s="81" t="n"/>
      <c r="E1216" s="16">
        <f>IF($A1216="","",$A1216&amp;"|"&amp;DAY($B1216))</f>
        <v/>
      </c>
      <c r="F1216" s="16">
        <f>IF($A1216="","",IF(COUNTIF(設定!$B$62:$B$201,$A1216)=0,"⚠ 查無員編",IF(COUNTIF($E$3:$E$2002,$E1216)&gt;1,"⚠ 重複打卡","OK")))</f>
        <v/>
      </c>
    </row>
    <row r="1217">
      <c r="A1217" s="20" t="n"/>
      <c r="B1217" s="18" t="n"/>
      <c r="C1217" s="81" t="n"/>
      <c r="D1217" s="81" t="n"/>
      <c r="E1217" s="16">
        <f>IF($A1217="","",$A1217&amp;"|"&amp;DAY($B1217))</f>
        <v/>
      </c>
      <c r="F1217" s="16">
        <f>IF($A1217="","",IF(COUNTIF(設定!$B$62:$B$201,$A1217)=0,"⚠ 查無員編",IF(COUNTIF($E$3:$E$2002,$E1217)&gt;1,"⚠ 重複打卡","OK")))</f>
        <v/>
      </c>
    </row>
    <row r="1218">
      <c r="A1218" s="20" t="n"/>
      <c r="B1218" s="18" t="n"/>
      <c r="C1218" s="81" t="n"/>
      <c r="D1218" s="81" t="n"/>
      <c r="E1218" s="16">
        <f>IF($A1218="","",$A1218&amp;"|"&amp;DAY($B1218))</f>
        <v/>
      </c>
      <c r="F1218" s="16">
        <f>IF($A1218="","",IF(COUNTIF(設定!$B$62:$B$201,$A1218)=0,"⚠ 查無員編",IF(COUNTIF($E$3:$E$2002,$E1218)&gt;1,"⚠ 重複打卡","OK")))</f>
        <v/>
      </c>
    </row>
    <row r="1219">
      <c r="A1219" s="20" t="n"/>
      <c r="B1219" s="18" t="n"/>
      <c r="C1219" s="81" t="n"/>
      <c r="D1219" s="81" t="n"/>
      <c r="E1219" s="16">
        <f>IF($A1219="","",$A1219&amp;"|"&amp;DAY($B1219))</f>
        <v/>
      </c>
      <c r="F1219" s="16">
        <f>IF($A1219="","",IF(COUNTIF(設定!$B$62:$B$201,$A1219)=0,"⚠ 查無員編",IF(COUNTIF($E$3:$E$2002,$E1219)&gt;1,"⚠ 重複打卡","OK")))</f>
        <v/>
      </c>
    </row>
    <row r="1220">
      <c r="A1220" s="20" t="n"/>
      <c r="B1220" s="18" t="n"/>
      <c r="C1220" s="81" t="n"/>
      <c r="D1220" s="81" t="n"/>
      <c r="E1220" s="16">
        <f>IF($A1220="","",$A1220&amp;"|"&amp;DAY($B1220))</f>
        <v/>
      </c>
      <c r="F1220" s="16">
        <f>IF($A1220="","",IF(COUNTIF(設定!$B$62:$B$201,$A1220)=0,"⚠ 查無員編",IF(COUNTIF($E$3:$E$2002,$E1220)&gt;1,"⚠ 重複打卡","OK")))</f>
        <v/>
      </c>
    </row>
    <row r="1221">
      <c r="A1221" s="20" t="n"/>
      <c r="B1221" s="18" t="n"/>
      <c r="C1221" s="81" t="n"/>
      <c r="D1221" s="81" t="n"/>
      <c r="E1221" s="16">
        <f>IF($A1221="","",$A1221&amp;"|"&amp;DAY($B1221))</f>
        <v/>
      </c>
      <c r="F1221" s="16">
        <f>IF($A1221="","",IF(COUNTIF(設定!$B$62:$B$201,$A1221)=0,"⚠ 查無員編",IF(COUNTIF($E$3:$E$2002,$E1221)&gt;1,"⚠ 重複打卡","OK")))</f>
        <v/>
      </c>
    </row>
    <row r="1222">
      <c r="A1222" s="20" t="n"/>
      <c r="B1222" s="18" t="n"/>
      <c r="C1222" s="81" t="n"/>
      <c r="D1222" s="81" t="n"/>
      <c r="E1222" s="16">
        <f>IF($A1222="","",$A1222&amp;"|"&amp;DAY($B1222))</f>
        <v/>
      </c>
      <c r="F1222" s="16">
        <f>IF($A1222="","",IF(COUNTIF(設定!$B$62:$B$201,$A1222)=0,"⚠ 查無員編",IF(COUNTIF($E$3:$E$2002,$E1222)&gt;1,"⚠ 重複打卡","OK")))</f>
        <v/>
      </c>
    </row>
    <row r="1223">
      <c r="A1223" s="20" t="n"/>
      <c r="B1223" s="18" t="n"/>
      <c r="C1223" s="81" t="n"/>
      <c r="D1223" s="81" t="n"/>
      <c r="E1223" s="16">
        <f>IF($A1223="","",$A1223&amp;"|"&amp;DAY($B1223))</f>
        <v/>
      </c>
      <c r="F1223" s="16">
        <f>IF($A1223="","",IF(COUNTIF(設定!$B$62:$B$201,$A1223)=0,"⚠ 查無員編",IF(COUNTIF($E$3:$E$2002,$E1223)&gt;1,"⚠ 重複打卡","OK")))</f>
        <v/>
      </c>
    </row>
    <row r="1224">
      <c r="A1224" s="20" t="n"/>
      <c r="B1224" s="18" t="n"/>
      <c r="C1224" s="81" t="n"/>
      <c r="D1224" s="81" t="n"/>
      <c r="E1224" s="16">
        <f>IF($A1224="","",$A1224&amp;"|"&amp;DAY($B1224))</f>
        <v/>
      </c>
      <c r="F1224" s="16">
        <f>IF($A1224="","",IF(COUNTIF(設定!$B$62:$B$201,$A1224)=0,"⚠ 查無員編",IF(COUNTIF($E$3:$E$2002,$E1224)&gt;1,"⚠ 重複打卡","OK")))</f>
        <v/>
      </c>
    </row>
    <row r="1225">
      <c r="A1225" s="20" t="n"/>
      <c r="B1225" s="18" t="n"/>
      <c r="C1225" s="81" t="n"/>
      <c r="D1225" s="81" t="n"/>
      <c r="E1225" s="16">
        <f>IF($A1225="","",$A1225&amp;"|"&amp;DAY($B1225))</f>
        <v/>
      </c>
      <c r="F1225" s="16">
        <f>IF($A1225="","",IF(COUNTIF(設定!$B$62:$B$201,$A1225)=0,"⚠ 查無員編",IF(COUNTIF($E$3:$E$2002,$E1225)&gt;1,"⚠ 重複打卡","OK")))</f>
        <v/>
      </c>
    </row>
    <row r="1226">
      <c r="A1226" s="20" t="n"/>
      <c r="B1226" s="18" t="n"/>
      <c r="C1226" s="81" t="n"/>
      <c r="D1226" s="81" t="n"/>
      <c r="E1226" s="16">
        <f>IF($A1226="","",$A1226&amp;"|"&amp;DAY($B1226))</f>
        <v/>
      </c>
      <c r="F1226" s="16">
        <f>IF($A1226="","",IF(COUNTIF(設定!$B$62:$B$201,$A1226)=0,"⚠ 查無員編",IF(COUNTIF($E$3:$E$2002,$E1226)&gt;1,"⚠ 重複打卡","OK")))</f>
        <v/>
      </c>
    </row>
    <row r="1227">
      <c r="A1227" s="20" t="n"/>
      <c r="B1227" s="18" t="n"/>
      <c r="C1227" s="81" t="n"/>
      <c r="D1227" s="81" t="n"/>
      <c r="E1227" s="16">
        <f>IF($A1227="","",$A1227&amp;"|"&amp;DAY($B1227))</f>
        <v/>
      </c>
      <c r="F1227" s="16">
        <f>IF($A1227="","",IF(COUNTIF(設定!$B$62:$B$201,$A1227)=0,"⚠ 查無員編",IF(COUNTIF($E$3:$E$2002,$E1227)&gt;1,"⚠ 重複打卡","OK")))</f>
        <v/>
      </c>
    </row>
    <row r="1228">
      <c r="A1228" s="20" t="n"/>
      <c r="B1228" s="18" t="n"/>
      <c r="C1228" s="81" t="n"/>
      <c r="D1228" s="81" t="n"/>
      <c r="E1228" s="16">
        <f>IF($A1228="","",$A1228&amp;"|"&amp;DAY($B1228))</f>
        <v/>
      </c>
      <c r="F1228" s="16">
        <f>IF($A1228="","",IF(COUNTIF(設定!$B$62:$B$201,$A1228)=0,"⚠ 查無員編",IF(COUNTIF($E$3:$E$2002,$E1228)&gt;1,"⚠ 重複打卡","OK")))</f>
        <v/>
      </c>
    </row>
    <row r="1229">
      <c r="A1229" s="20" t="n"/>
      <c r="B1229" s="18" t="n"/>
      <c r="C1229" s="81" t="n"/>
      <c r="D1229" s="81" t="n"/>
      <c r="E1229" s="16">
        <f>IF($A1229="","",$A1229&amp;"|"&amp;DAY($B1229))</f>
        <v/>
      </c>
      <c r="F1229" s="16">
        <f>IF($A1229="","",IF(COUNTIF(設定!$B$62:$B$201,$A1229)=0,"⚠ 查無員編",IF(COUNTIF($E$3:$E$2002,$E1229)&gt;1,"⚠ 重複打卡","OK")))</f>
        <v/>
      </c>
    </row>
    <row r="1230">
      <c r="A1230" s="20" t="n"/>
      <c r="B1230" s="18" t="n"/>
      <c r="C1230" s="81" t="n"/>
      <c r="D1230" s="81" t="n"/>
      <c r="E1230" s="16">
        <f>IF($A1230="","",$A1230&amp;"|"&amp;DAY($B1230))</f>
        <v/>
      </c>
      <c r="F1230" s="16">
        <f>IF($A1230="","",IF(COUNTIF(設定!$B$62:$B$201,$A1230)=0,"⚠ 查無員編",IF(COUNTIF($E$3:$E$2002,$E1230)&gt;1,"⚠ 重複打卡","OK")))</f>
        <v/>
      </c>
    </row>
    <row r="1231">
      <c r="A1231" s="20" t="n"/>
      <c r="B1231" s="18" t="n"/>
      <c r="C1231" s="81" t="n"/>
      <c r="D1231" s="81" t="n"/>
      <c r="E1231" s="16">
        <f>IF($A1231="","",$A1231&amp;"|"&amp;DAY($B1231))</f>
        <v/>
      </c>
      <c r="F1231" s="16">
        <f>IF($A1231="","",IF(COUNTIF(設定!$B$62:$B$201,$A1231)=0,"⚠ 查無員編",IF(COUNTIF($E$3:$E$2002,$E1231)&gt;1,"⚠ 重複打卡","OK")))</f>
        <v/>
      </c>
    </row>
    <row r="1232">
      <c r="A1232" s="20" t="n"/>
      <c r="B1232" s="18" t="n"/>
      <c r="C1232" s="81" t="n"/>
      <c r="D1232" s="81" t="n"/>
      <c r="E1232" s="16">
        <f>IF($A1232="","",$A1232&amp;"|"&amp;DAY($B1232))</f>
        <v/>
      </c>
      <c r="F1232" s="16">
        <f>IF($A1232="","",IF(COUNTIF(設定!$B$62:$B$201,$A1232)=0,"⚠ 查無員編",IF(COUNTIF($E$3:$E$2002,$E1232)&gt;1,"⚠ 重複打卡","OK")))</f>
        <v/>
      </c>
    </row>
    <row r="1233">
      <c r="A1233" s="20" t="n"/>
      <c r="B1233" s="18" t="n"/>
      <c r="C1233" s="81" t="n"/>
      <c r="D1233" s="81" t="n"/>
      <c r="E1233" s="16">
        <f>IF($A1233="","",$A1233&amp;"|"&amp;DAY($B1233))</f>
        <v/>
      </c>
      <c r="F1233" s="16">
        <f>IF($A1233="","",IF(COUNTIF(設定!$B$62:$B$201,$A1233)=0,"⚠ 查無員編",IF(COUNTIF($E$3:$E$2002,$E1233)&gt;1,"⚠ 重複打卡","OK")))</f>
        <v/>
      </c>
    </row>
    <row r="1234">
      <c r="A1234" s="20" t="n"/>
      <c r="B1234" s="18" t="n"/>
      <c r="C1234" s="81" t="n"/>
      <c r="D1234" s="81" t="n"/>
      <c r="E1234" s="16">
        <f>IF($A1234="","",$A1234&amp;"|"&amp;DAY($B1234))</f>
        <v/>
      </c>
      <c r="F1234" s="16">
        <f>IF($A1234="","",IF(COUNTIF(設定!$B$62:$B$201,$A1234)=0,"⚠ 查無員編",IF(COUNTIF($E$3:$E$2002,$E1234)&gt;1,"⚠ 重複打卡","OK")))</f>
        <v/>
      </c>
    </row>
    <row r="1235">
      <c r="A1235" s="20" t="n"/>
      <c r="B1235" s="18" t="n"/>
      <c r="C1235" s="81" t="n"/>
      <c r="D1235" s="81" t="n"/>
      <c r="E1235" s="16">
        <f>IF($A1235="","",$A1235&amp;"|"&amp;DAY($B1235))</f>
        <v/>
      </c>
      <c r="F1235" s="16">
        <f>IF($A1235="","",IF(COUNTIF(設定!$B$62:$B$201,$A1235)=0,"⚠ 查無員編",IF(COUNTIF($E$3:$E$2002,$E1235)&gt;1,"⚠ 重複打卡","OK")))</f>
        <v/>
      </c>
    </row>
    <row r="1236">
      <c r="A1236" s="20" t="n"/>
      <c r="B1236" s="18" t="n"/>
      <c r="C1236" s="81" t="n"/>
      <c r="D1236" s="81" t="n"/>
      <c r="E1236" s="16">
        <f>IF($A1236="","",$A1236&amp;"|"&amp;DAY($B1236))</f>
        <v/>
      </c>
      <c r="F1236" s="16">
        <f>IF($A1236="","",IF(COUNTIF(設定!$B$62:$B$201,$A1236)=0,"⚠ 查無員編",IF(COUNTIF($E$3:$E$2002,$E1236)&gt;1,"⚠ 重複打卡","OK")))</f>
        <v/>
      </c>
    </row>
    <row r="1237">
      <c r="A1237" s="20" t="n"/>
      <c r="B1237" s="18" t="n"/>
      <c r="C1237" s="81" t="n"/>
      <c r="D1237" s="81" t="n"/>
      <c r="E1237" s="16">
        <f>IF($A1237="","",$A1237&amp;"|"&amp;DAY($B1237))</f>
        <v/>
      </c>
      <c r="F1237" s="16">
        <f>IF($A1237="","",IF(COUNTIF(設定!$B$62:$B$201,$A1237)=0,"⚠ 查無員編",IF(COUNTIF($E$3:$E$2002,$E1237)&gt;1,"⚠ 重複打卡","OK")))</f>
        <v/>
      </c>
    </row>
    <row r="1238">
      <c r="A1238" s="20" t="n"/>
      <c r="B1238" s="18" t="n"/>
      <c r="C1238" s="81" t="n"/>
      <c r="D1238" s="81" t="n"/>
      <c r="E1238" s="16">
        <f>IF($A1238="","",$A1238&amp;"|"&amp;DAY($B1238))</f>
        <v/>
      </c>
      <c r="F1238" s="16">
        <f>IF($A1238="","",IF(COUNTIF(設定!$B$62:$B$201,$A1238)=0,"⚠ 查無員編",IF(COUNTIF($E$3:$E$2002,$E1238)&gt;1,"⚠ 重複打卡","OK")))</f>
        <v/>
      </c>
    </row>
    <row r="1239">
      <c r="A1239" s="20" t="n"/>
      <c r="B1239" s="18" t="n"/>
      <c r="C1239" s="81" t="n"/>
      <c r="D1239" s="81" t="n"/>
      <c r="E1239" s="16">
        <f>IF($A1239="","",$A1239&amp;"|"&amp;DAY($B1239))</f>
        <v/>
      </c>
      <c r="F1239" s="16">
        <f>IF($A1239="","",IF(COUNTIF(設定!$B$62:$B$201,$A1239)=0,"⚠ 查無員編",IF(COUNTIF($E$3:$E$2002,$E1239)&gt;1,"⚠ 重複打卡","OK")))</f>
        <v/>
      </c>
    </row>
    <row r="1240">
      <c r="A1240" s="20" t="n"/>
      <c r="B1240" s="18" t="n"/>
      <c r="C1240" s="81" t="n"/>
      <c r="D1240" s="81" t="n"/>
      <c r="E1240" s="16">
        <f>IF($A1240="","",$A1240&amp;"|"&amp;DAY($B1240))</f>
        <v/>
      </c>
      <c r="F1240" s="16">
        <f>IF($A1240="","",IF(COUNTIF(設定!$B$62:$B$201,$A1240)=0,"⚠ 查無員編",IF(COUNTIF($E$3:$E$2002,$E1240)&gt;1,"⚠ 重複打卡","OK")))</f>
        <v/>
      </c>
    </row>
    <row r="1241">
      <c r="A1241" s="20" t="n"/>
      <c r="B1241" s="18" t="n"/>
      <c r="C1241" s="81" t="n"/>
      <c r="D1241" s="81" t="n"/>
      <c r="E1241" s="16">
        <f>IF($A1241="","",$A1241&amp;"|"&amp;DAY($B1241))</f>
        <v/>
      </c>
      <c r="F1241" s="16">
        <f>IF($A1241="","",IF(COUNTIF(設定!$B$62:$B$201,$A1241)=0,"⚠ 查無員編",IF(COUNTIF($E$3:$E$2002,$E1241)&gt;1,"⚠ 重複打卡","OK")))</f>
        <v/>
      </c>
    </row>
    <row r="1242">
      <c r="A1242" s="20" t="n"/>
      <c r="B1242" s="18" t="n"/>
      <c r="C1242" s="81" t="n"/>
      <c r="D1242" s="81" t="n"/>
      <c r="E1242" s="16">
        <f>IF($A1242="","",$A1242&amp;"|"&amp;DAY($B1242))</f>
        <v/>
      </c>
      <c r="F1242" s="16">
        <f>IF($A1242="","",IF(COUNTIF(設定!$B$62:$B$201,$A1242)=0,"⚠ 查無員編",IF(COUNTIF($E$3:$E$2002,$E1242)&gt;1,"⚠ 重複打卡","OK")))</f>
        <v/>
      </c>
    </row>
    <row r="1243">
      <c r="A1243" s="20" t="n"/>
      <c r="B1243" s="18" t="n"/>
      <c r="C1243" s="81" t="n"/>
      <c r="D1243" s="81" t="n"/>
      <c r="E1243" s="16">
        <f>IF($A1243="","",$A1243&amp;"|"&amp;DAY($B1243))</f>
        <v/>
      </c>
      <c r="F1243" s="16">
        <f>IF($A1243="","",IF(COUNTIF(設定!$B$62:$B$201,$A1243)=0,"⚠ 查無員編",IF(COUNTIF($E$3:$E$2002,$E1243)&gt;1,"⚠ 重複打卡","OK")))</f>
        <v/>
      </c>
    </row>
    <row r="1244">
      <c r="A1244" s="20" t="n"/>
      <c r="B1244" s="18" t="n"/>
      <c r="C1244" s="81" t="n"/>
      <c r="D1244" s="81" t="n"/>
      <c r="E1244" s="16">
        <f>IF($A1244="","",$A1244&amp;"|"&amp;DAY($B1244))</f>
        <v/>
      </c>
      <c r="F1244" s="16">
        <f>IF($A1244="","",IF(COUNTIF(設定!$B$62:$B$201,$A1244)=0,"⚠ 查無員編",IF(COUNTIF($E$3:$E$2002,$E1244)&gt;1,"⚠ 重複打卡","OK")))</f>
        <v/>
      </c>
    </row>
    <row r="1245">
      <c r="A1245" s="20" t="n"/>
      <c r="B1245" s="18" t="n"/>
      <c r="C1245" s="81" t="n"/>
      <c r="D1245" s="81" t="n"/>
      <c r="E1245" s="16">
        <f>IF($A1245="","",$A1245&amp;"|"&amp;DAY($B1245))</f>
        <v/>
      </c>
      <c r="F1245" s="16">
        <f>IF($A1245="","",IF(COUNTIF(設定!$B$62:$B$201,$A1245)=0,"⚠ 查無員編",IF(COUNTIF($E$3:$E$2002,$E1245)&gt;1,"⚠ 重複打卡","OK")))</f>
        <v/>
      </c>
    </row>
    <row r="1246">
      <c r="A1246" s="20" t="n"/>
      <c r="B1246" s="18" t="n"/>
      <c r="C1246" s="81" t="n"/>
      <c r="D1246" s="81" t="n"/>
      <c r="E1246" s="16">
        <f>IF($A1246="","",$A1246&amp;"|"&amp;DAY($B1246))</f>
        <v/>
      </c>
      <c r="F1246" s="16">
        <f>IF($A1246="","",IF(COUNTIF(設定!$B$62:$B$201,$A1246)=0,"⚠ 查無員編",IF(COUNTIF($E$3:$E$2002,$E1246)&gt;1,"⚠ 重複打卡","OK")))</f>
        <v/>
      </c>
    </row>
    <row r="1247">
      <c r="A1247" s="20" t="n"/>
      <c r="B1247" s="18" t="n"/>
      <c r="C1247" s="81" t="n"/>
      <c r="D1247" s="81" t="n"/>
      <c r="E1247" s="16">
        <f>IF($A1247="","",$A1247&amp;"|"&amp;DAY($B1247))</f>
        <v/>
      </c>
      <c r="F1247" s="16">
        <f>IF($A1247="","",IF(COUNTIF(設定!$B$62:$B$201,$A1247)=0,"⚠ 查無員編",IF(COUNTIF($E$3:$E$2002,$E1247)&gt;1,"⚠ 重複打卡","OK")))</f>
        <v/>
      </c>
    </row>
    <row r="1248">
      <c r="A1248" s="20" t="n"/>
      <c r="B1248" s="18" t="n"/>
      <c r="C1248" s="81" t="n"/>
      <c r="D1248" s="81" t="n"/>
      <c r="E1248" s="16">
        <f>IF($A1248="","",$A1248&amp;"|"&amp;DAY($B1248))</f>
        <v/>
      </c>
      <c r="F1248" s="16">
        <f>IF($A1248="","",IF(COUNTIF(設定!$B$62:$B$201,$A1248)=0,"⚠ 查無員編",IF(COUNTIF($E$3:$E$2002,$E1248)&gt;1,"⚠ 重複打卡","OK")))</f>
        <v/>
      </c>
    </row>
    <row r="1249">
      <c r="A1249" s="20" t="n"/>
      <c r="B1249" s="18" t="n"/>
      <c r="C1249" s="81" t="n"/>
      <c r="D1249" s="81" t="n"/>
      <c r="E1249" s="16">
        <f>IF($A1249="","",$A1249&amp;"|"&amp;DAY($B1249))</f>
        <v/>
      </c>
      <c r="F1249" s="16">
        <f>IF($A1249="","",IF(COUNTIF(設定!$B$62:$B$201,$A1249)=0,"⚠ 查無員編",IF(COUNTIF($E$3:$E$2002,$E1249)&gt;1,"⚠ 重複打卡","OK")))</f>
        <v/>
      </c>
    </row>
    <row r="1250">
      <c r="A1250" s="20" t="n"/>
      <c r="B1250" s="18" t="n"/>
      <c r="C1250" s="81" t="n"/>
      <c r="D1250" s="81" t="n"/>
      <c r="E1250" s="16">
        <f>IF($A1250="","",$A1250&amp;"|"&amp;DAY($B1250))</f>
        <v/>
      </c>
      <c r="F1250" s="16">
        <f>IF($A1250="","",IF(COUNTIF(設定!$B$62:$B$201,$A1250)=0,"⚠ 查無員編",IF(COUNTIF($E$3:$E$2002,$E1250)&gt;1,"⚠ 重複打卡","OK")))</f>
        <v/>
      </c>
    </row>
    <row r="1251">
      <c r="A1251" s="20" t="n"/>
      <c r="B1251" s="18" t="n"/>
      <c r="C1251" s="81" t="n"/>
      <c r="D1251" s="81" t="n"/>
      <c r="E1251" s="16">
        <f>IF($A1251="","",$A1251&amp;"|"&amp;DAY($B1251))</f>
        <v/>
      </c>
      <c r="F1251" s="16">
        <f>IF($A1251="","",IF(COUNTIF(設定!$B$62:$B$201,$A1251)=0,"⚠ 查無員編",IF(COUNTIF($E$3:$E$2002,$E1251)&gt;1,"⚠ 重複打卡","OK")))</f>
        <v/>
      </c>
    </row>
    <row r="1252">
      <c r="A1252" s="20" t="n"/>
      <c r="B1252" s="18" t="n"/>
      <c r="C1252" s="81" t="n"/>
      <c r="D1252" s="81" t="n"/>
      <c r="E1252" s="16">
        <f>IF($A1252="","",$A1252&amp;"|"&amp;DAY($B1252))</f>
        <v/>
      </c>
      <c r="F1252" s="16">
        <f>IF($A1252="","",IF(COUNTIF(設定!$B$62:$B$201,$A1252)=0,"⚠ 查無員編",IF(COUNTIF($E$3:$E$2002,$E1252)&gt;1,"⚠ 重複打卡","OK")))</f>
        <v/>
      </c>
    </row>
    <row r="1253">
      <c r="A1253" s="20" t="n"/>
      <c r="B1253" s="18" t="n"/>
      <c r="C1253" s="81" t="n"/>
      <c r="D1253" s="81" t="n"/>
      <c r="E1253" s="16">
        <f>IF($A1253="","",$A1253&amp;"|"&amp;DAY($B1253))</f>
        <v/>
      </c>
      <c r="F1253" s="16">
        <f>IF($A1253="","",IF(COUNTIF(設定!$B$62:$B$201,$A1253)=0,"⚠ 查無員編",IF(COUNTIF($E$3:$E$2002,$E1253)&gt;1,"⚠ 重複打卡","OK")))</f>
        <v/>
      </c>
    </row>
    <row r="1254">
      <c r="A1254" s="20" t="n"/>
      <c r="B1254" s="18" t="n"/>
      <c r="C1254" s="81" t="n"/>
      <c r="D1254" s="81" t="n"/>
      <c r="E1254" s="16">
        <f>IF($A1254="","",$A1254&amp;"|"&amp;DAY($B1254))</f>
        <v/>
      </c>
      <c r="F1254" s="16">
        <f>IF($A1254="","",IF(COUNTIF(設定!$B$62:$B$201,$A1254)=0,"⚠ 查無員編",IF(COUNTIF($E$3:$E$2002,$E1254)&gt;1,"⚠ 重複打卡","OK")))</f>
        <v/>
      </c>
    </row>
    <row r="1255">
      <c r="A1255" s="20" t="n"/>
      <c r="B1255" s="18" t="n"/>
      <c r="C1255" s="81" t="n"/>
      <c r="D1255" s="81" t="n"/>
      <c r="E1255" s="16">
        <f>IF($A1255="","",$A1255&amp;"|"&amp;DAY($B1255))</f>
        <v/>
      </c>
      <c r="F1255" s="16">
        <f>IF($A1255="","",IF(COUNTIF(設定!$B$62:$B$201,$A1255)=0,"⚠ 查無員編",IF(COUNTIF($E$3:$E$2002,$E1255)&gt;1,"⚠ 重複打卡","OK")))</f>
        <v/>
      </c>
    </row>
    <row r="1256">
      <c r="A1256" s="20" t="n"/>
      <c r="B1256" s="18" t="n"/>
      <c r="C1256" s="81" t="n"/>
      <c r="D1256" s="81" t="n"/>
      <c r="E1256" s="16">
        <f>IF($A1256="","",$A1256&amp;"|"&amp;DAY($B1256))</f>
        <v/>
      </c>
      <c r="F1256" s="16">
        <f>IF($A1256="","",IF(COUNTIF(設定!$B$62:$B$201,$A1256)=0,"⚠ 查無員編",IF(COUNTIF($E$3:$E$2002,$E1256)&gt;1,"⚠ 重複打卡","OK")))</f>
        <v/>
      </c>
    </row>
    <row r="1257">
      <c r="A1257" s="20" t="n"/>
      <c r="B1257" s="18" t="n"/>
      <c r="C1257" s="81" t="n"/>
      <c r="D1257" s="81" t="n"/>
      <c r="E1257" s="16">
        <f>IF($A1257="","",$A1257&amp;"|"&amp;DAY($B1257))</f>
        <v/>
      </c>
      <c r="F1257" s="16">
        <f>IF($A1257="","",IF(COUNTIF(設定!$B$62:$B$201,$A1257)=0,"⚠ 查無員編",IF(COUNTIF($E$3:$E$2002,$E1257)&gt;1,"⚠ 重複打卡","OK")))</f>
        <v/>
      </c>
    </row>
    <row r="1258">
      <c r="A1258" s="20" t="n"/>
      <c r="B1258" s="18" t="n"/>
      <c r="C1258" s="81" t="n"/>
      <c r="D1258" s="81" t="n"/>
      <c r="E1258" s="16">
        <f>IF($A1258="","",$A1258&amp;"|"&amp;DAY($B1258))</f>
        <v/>
      </c>
      <c r="F1258" s="16">
        <f>IF($A1258="","",IF(COUNTIF(設定!$B$62:$B$201,$A1258)=0,"⚠ 查無員編",IF(COUNTIF($E$3:$E$2002,$E1258)&gt;1,"⚠ 重複打卡","OK")))</f>
        <v/>
      </c>
    </row>
    <row r="1259">
      <c r="A1259" s="20" t="n"/>
      <c r="B1259" s="18" t="n"/>
      <c r="C1259" s="81" t="n"/>
      <c r="D1259" s="81" t="n"/>
      <c r="E1259" s="16">
        <f>IF($A1259="","",$A1259&amp;"|"&amp;DAY($B1259))</f>
        <v/>
      </c>
      <c r="F1259" s="16">
        <f>IF($A1259="","",IF(COUNTIF(設定!$B$62:$B$201,$A1259)=0,"⚠ 查無員編",IF(COUNTIF($E$3:$E$2002,$E1259)&gt;1,"⚠ 重複打卡","OK")))</f>
        <v/>
      </c>
    </row>
    <row r="1260">
      <c r="A1260" s="20" t="n"/>
      <c r="B1260" s="18" t="n"/>
      <c r="C1260" s="81" t="n"/>
      <c r="D1260" s="81" t="n"/>
      <c r="E1260" s="16">
        <f>IF($A1260="","",$A1260&amp;"|"&amp;DAY($B1260))</f>
        <v/>
      </c>
      <c r="F1260" s="16">
        <f>IF($A1260="","",IF(COUNTIF(設定!$B$62:$B$201,$A1260)=0,"⚠ 查無員編",IF(COUNTIF($E$3:$E$2002,$E1260)&gt;1,"⚠ 重複打卡","OK")))</f>
        <v/>
      </c>
    </row>
    <row r="1261">
      <c r="A1261" s="20" t="n"/>
      <c r="B1261" s="18" t="n"/>
      <c r="C1261" s="81" t="n"/>
      <c r="D1261" s="81" t="n"/>
      <c r="E1261" s="16">
        <f>IF($A1261="","",$A1261&amp;"|"&amp;DAY($B1261))</f>
        <v/>
      </c>
      <c r="F1261" s="16">
        <f>IF($A1261="","",IF(COUNTIF(設定!$B$62:$B$201,$A1261)=0,"⚠ 查無員編",IF(COUNTIF($E$3:$E$2002,$E1261)&gt;1,"⚠ 重複打卡","OK")))</f>
        <v/>
      </c>
    </row>
    <row r="1262">
      <c r="A1262" s="20" t="n"/>
      <c r="B1262" s="18" t="n"/>
      <c r="C1262" s="81" t="n"/>
      <c r="D1262" s="81" t="n"/>
      <c r="E1262" s="16">
        <f>IF($A1262="","",$A1262&amp;"|"&amp;DAY($B1262))</f>
        <v/>
      </c>
      <c r="F1262" s="16">
        <f>IF($A1262="","",IF(COUNTIF(設定!$B$62:$B$201,$A1262)=0,"⚠ 查無員編",IF(COUNTIF($E$3:$E$2002,$E1262)&gt;1,"⚠ 重複打卡","OK")))</f>
        <v/>
      </c>
    </row>
    <row r="1263">
      <c r="A1263" s="20" t="n"/>
      <c r="B1263" s="18" t="n"/>
      <c r="C1263" s="81" t="n"/>
      <c r="D1263" s="81" t="n"/>
      <c r="E1263" s="16">
        <f>IF($A1263="","",$A1263&amp;"|"&amp;DAY($B1263))</f>
        <v/>
      </c>
      <c r="F1263" s="16">
        <f>IF($A1263="","",IF(COUNTIF(設定!$B$62:$B$201,$A1263)=0,"⚠ 查無員編",IF(COUNTIF($E$3:$E$2002,$E1263)&gt;1,"⚠ 重複打卡","OK")))</f>
        <v/>
      </c>
    </row>
    <row r="1264">
      <c r="A1264" s="20" t="n"/>
      <c r="B1264" s="18" t="n"/>
      <c r="C1264" s="81" t="n"/>
      <c r="D1264" s="81" t="n"/>
      <c r="E1264" s="16">
        <f>IF($A1264="","",$A1264&amp;"|"&amp;DAY($B1264))</f>
        <v/>
      </c>
      <c r="F1264" s="16">
        <f>IF($A1264="","",IF(COUNTIF(設定!$B$62:$B$201,$A1264)=0,"⚠ 查無員編",IF(COUNTIF($E$3:$E$2002,$E1264)&gt;1,"⚠ 重複打卡","OK")))</f>
        <v/>
      </c>
    </row>
    <row r="1265">
      <c r="A1265" s="20" t="n"/>
      <c r="B1265" s="18" t="n"/>
      <c r="C1265" s="81" t="n"/>
      <c r="D1265" s="81" t="n"/>
      <c r="E1265" s="16">
        <f>IF($A1265="","",$A1265&amp;"|"&amp;DAY($B1265))</f>
        <v/>
      </c>
      <c r="F1265" s="16">
        <f>IF($A1265="","",IF(COUNTIF(設定!$B$62:$B$201,$A1265)=0,"⚠ 查無員編",IF(COUNTIF($E$3:$E$2002,$E1265)&gt;1,"⚠ 重複打卡","OK")))</f>
        <v/>
      </c>
    </row>
    <row r="1266">
      <c r="A1266" s="20" t="n"/>
      <c r="B1266" s="18" t="n"/>
      <c r="C1266" s="81" t="n"/>
      <c r="D1266" s="81" t="n"/>
      <c r="E1266" s="16">
        <f>IF($A1266="","",$A1266&amp;"|"&amp;DAY($B1266))</f>
        <v/>
      </c>
      <c r="F1266" s="16">
        <f>IF($A1266="","",IF(COUNTIF(設定!$B$62:$B$201,$A1266)=0,"⚠ 查無員編",IF(COUNTIF($E$3:$E$2002,$E1266)&gt;1,"⚠ 重複打卡","OK")))</f>
        <v/>
      </c>
    </row>
    <row r="1267">
      <c r="A1267" s="20" t="n"/>
      <c r="B1267" s="18" t="n"/>
      <c r="C1267" s="81" t="n"/>
      <c r="D1267" s="81" t="n"/>
      <c r="E1267" s="16">
        <f>IF($A1267="","",$A1267&amp;"|"&amp;DAY($B1267))</f>
        <v/>
      </c>
      <c r="F1267" s="16">
        <f>IF($A1267="","",IF(COUNTIF(設定!$B$62:$B$201,$A1267)=0,"⚠ 查無員編",IF(COUNTIF($E$3:$E$2002,$E1267)&gt;1,"⚠ 重複打卡","OK")))</f>
        <v/>
      </c>
    </row>
    <row r="1268">
      <c r="A1268" s="20" t="n"/>
      <c r="B1268" s="18" t="n"/>
      <c r="C1268" s="81" t="n"/>
      <c r="D1268" s="81" t="n"/>
      <c r="E1268" s="16">
        <f>IF($A1268="","",$A1268&amp;"|"&amp;DAY($B1268))</f>
        <v/>
      </c>
      <c r="F1268" s="16">
        <f>IF($A1268="","",IF(COUNTIF(設定!$B$62:$B$201,$A1268)=0,"⚠ 查無員編",IF(COUNTIF($E$3:$E$2002,$E1268)&gt;1,"⚠ 重複打卡","OK")))</f>
        <v/>
      </c>
    </row>
    <row r="1269">
      <c r="A1269" s="20" t="n"/>
      <c r="B1269" s="18" t="n"/>
      <c r="C1269" s="81" t="n"/>
      <c r="D1269" s="81" t="n"/>
      <c r="E1269" s="16">
        <f>IF($A1269="","",$A1269&amp;"|"&amp;DAY($B1269))</f>
        <v/>
      </c>
      <c r="F1269" s="16">
        <f>IF($A1269="","",IF(COUNTIF(設定!$B$62:$B$201,$A1269)=0,"⚠ 查無員編",IF(COUNTIF($E$3:$E$2002,$E1269)&gt;1,"⚠ 重複打卡","OK")))</f>
        <v/>
      </c>
    </row>
    <row r="1270">
      <c r="A1270" s="20" t="n"/>
      <c r="B1270" s="18" t="n"/>
      <c r="C1270" s="81" t="n"/>
      <c r="D1270" s="81" t="n"/>
      <c r="E1270" s="16">
        <f>IF($A1270="","",$A1270&amp;"|"&amp;DAY($B1270))</f>
        <v/>
      </c>
      <c r="F1270" s="16">
        <f>IF($A1270="","",IF(COUNTIF(設定!$B$62:$B$201,$A1270)=0,"⚠ 查無員編",IF(COUNTIF($E$3:$E$2002,$E1270)&gt;1,"⚠ 重複打卡","OK")))</f>
        <v/>
      </c>
    </row>
    <row r="1271">
      <c r="A1271" s="20" t="n"/>
      <c r="B1271" s="18" t="n"/>
      <c r="C1271" s="81" t="n"/>
      <c r="D1271" s="81" t="n"/>
      <c r="E1271" s="16">
        <f>IF($A1271="","",$A1271&amp;"|"&amp;DAY($B1271))</f>
        <v/>
      </c>
      <c r="F1271" s="16">
        <f>IF($A1271="","",IF(COUNTIF(設定!$B$62:$B$201,$A1271)=0,"⚠ 查無員編",IF(COUNTIF($E$3:$E$2002,$E1271)&gt;1,"⚠ 重複打卡","OK")))</f>
        <v/>
      </c>
    </row>
    <row r="1272">
      <c r="A1272" s="20" t="n"/>
      <c r="B1272" s="18" t="n"/>
      <c r="C1272" s="81" t="n"/>
      <c r="D1272" s="81" t="n"/>
      <c r="E1272" s="16">
        <f>IF($A1272="","",$A1272&amp;"|"&amp;DAY($B1272))</f>
        <v/>
      </c>
      <c r="F1272" s="16">
        <f>IF($A1272="","",IF(COUNTIF(設定!$B$62:$B$201,$A1272)=0,"⚠ 查無員編",IF(COUNTIF($E$3:$E$2002,$E1272)&gt;1,"⚠ 重複打卡","OK")))</f>
        <v/>
      </c>
    </row>
    <row r="1273">
      <c r="A1273" s="20" t="n"/>
      <c r="B1273" s="18" t="n"/>
      <c r="C1273" s="81" t="n"/>
      <c r="D1273" s="81" t="n"/>
      <c r="E1273" s="16">
        <f>IF($A1273="","",$A1273&amp;"|"&amp;DAY($B1273))</f>
        <v/>
      </c>
      <c r="F1273" s="16">
        <f>IF($A1273="","",IF(COUNTIF(設定!$B$62:$B$201,$A1273)=0,"⚠ 查無員編",IF(COUNTIF($E$3:$E$2002,$E1273)&gt;1,"⚠ 重複打卡","OK")))</f>
        <v/>
      </c>
    </row>
    <row r="1274">
      <c r="A1274" s="20" t="n"/>
      <c r="B1274" s="18" t="n"/>
      <c r="C1274" s="81" t="n"/>
      <c r="D1274" s="81" t="n"/>
      <c r="E1274" s="16">
        <f>IF($A1274="","",$A1274&amp;"|"&amp;DAY($B1274))</f>
        <v/>
      </c>
      <c r="F1274" s="16">
        <f>IF($A1274="","",IF(COUNTIF(設定!$B$62:$B$201,$A1274)=0,"⚠ 查無員編",IF(COUNTIF($E$3:$E$2002,$E1274)&gt;1,"⚠ 重複打卡","OK")))</f>
        <v/>
      </c>
    </row>
    <row r="1275">
      <c r="A1275" s="20" t="n"/>
      <c r="B1275" s="18" t="n"/>
      <c r="C1275" s="81" t="n"/>
      <c r="D1275" s="81" t="n"/>
      <c r="E1275" s="16">
        <f>IF($A1275="","",$A1275&amp;"|"&amp;DAY($B1275))</f>
        <v/>
      </c>
      <c r="F1275" s="16">
        <f>IF($A1275="","",IF(COUNTIF(設定!$B$62:$B$201,$A1275)=0,"⚠ 查無員編",IF(COUNTIF($E$3:$E$2002,$E1275)&gt;1,"⚠ 重複打卡","OK")))</f>
        <v/>
      </c>
    </row>
    <row r="1276">
      <c r="A1276" s="20" t="n"/>
      <c r="B1276" s="18" t="n"/>
      <c r="C1276" s="81" t="n"/>
      <c r="D1276" s="81" t="n"/>
      <c r="E1276" s="16">
        <f>IF($A1276="","",$A1276&amp;"|"&amp;DAY($B1276))</f>
        <v/>
      </c>
      <c r="F1276" s="16">
        <f>IF($A1276="","",IF(COUNTIF(設定!$B$62:$B$201,$A1276)=0,"⚠ 查無員編",IF(COUNTIF($E$3:$E$2002,$E1276)&gt;1,"⚠ 重複打卡","OK")))</f>
        <v/>
      </c>
    </row>
    <row r="1277">
      <c r="A1277" s="20" t="n"/>
      <c r="B1277" s="18" t="n"/>
      <c r="C1277" s="81" t="n"/>
      <c r="D1277" s="81" t="n"/>
      <c r="E1277" s="16">
        <f>IF($A1277="","",$A1277&amp;"|"&amp;DAY($B1277))</f>
        <v/>
      </c>
      <c r="F1277" s="16">
        <f>IF($A1277="","",IF(COUNTIF(設定!$B$62:$B$201,$A1277)=0,"⚠ 查無員編",IF(COUNTIF($E$3:$E$2002,$E1277)&gt;1,"⚠ 重複打卡","OK")))</f>
        <v/>
      </c>
    </row>
    <row r="1278">
      <c r="A1278" s="20" t="n"/>
      <c r="B1278" s="18" t="n"/>
      <c r="C1278" s="81" t="n"/>
      <c r="D1278" s="81" t="n"/>
      <c r="E1278" s="16">
        <f>IF($A1278="","",$A1278&amp;"|"&amp;DAY($B1278))</f>
        <v/>
      </c>
      <c r="F1278" s="16">
        <f>IF($A1278="","",IF(COUNTIF(設定!$B$62:$B$201,$A1278)=0,"⚠ 查無員編",IF(COUNTIF($E$3:$E$2002,$E1278)&gt;1,"⚠ 重複打卡","OK")))</f>
        <v/>
      </c>
    </row>
    <row r="1279">
      <c r="A1279" s="20" t="n"/>
      <c r="B1279" s="18" t="n"/>
      <c r="C1279" s="81" t="n"/>
      <c r="D1279" s="81" t="n"/>
      <c r="E1279" s="16">
        <f>IF($A1279="","",$A1279&amp;"|"&amp;DAY($B1279))</f>
        <v/>
      </c>
      <c r="F1279" s="16">
        <f>IF($A1279="","",IF(COUNTIF(設定!$B$62:$B$201,$A1279)=0,"⚠ 查無員編",IF(COUNTIF($E$3:$E$2002,$E1279)&gt;1,"⚠ 重複打卡","OK")))</f>
        <v/>
      </c>
    </row>
    <row r="1280">
      <c r="A1280" s="20" t="n"/>
      <c r="B1280" s="18" t="n"/>
      <c r="C1280" s="81" t="n"/>
      <c r="D1280" s="81" t="n"/>
      <c r="E1280" s="16">
        <f>IF($A1280="","",$A1280&amp;"|"&amp;DAY($B1280))</f>
        <v/>
      </c>
      <c r="F1280" s="16">
        <f>IF($A1280="","",IF(COUNTIF(設定!$B$62:$B$201,$A1280)=0,"⚠ 查無員編",IF(COUNTIF($E$3:$E$2002,$E1280)&gt;1,"⚠ 重複打卡","OK")))</f>
        <v/>
      </c>
    </row>
    <row r="1281">
      <c r="A1281" s="20" t="n"/>
      <c r="B1281" s="18" t="n"/>
      <c r="C1281" s="81" t="n"/>
      <c r="D1281" s="81" t="n"/>
      <c r="E1281" s="16">
        <f>IF($A1281="","",$A1281&amp;"|"&amp;DAY($B1281))</f>
        <v/>
      </c>
      <c r="F1281" s="16">
        <f>IF($A1281="","",IF(COUNTIF(設定!$B$62:$B$201,$A1281)=0,"⚠ 查無員編",IF(COUNTIF($E$3:$E$2002,$E1281)&gt;1,"⚠ 重複打卡","OK")))</f>
        <v/>
      </c>
    </row>
    <row r="1282">
      <c r="A1282" s="20" t="n"/>
      <c r="B1282" s="18" t="n"/>
      <c r="C1282" s="81" t="n"/>
      <c r="D1282" s="81" t="n"/>
      <c r="E1282" s="16">
        <f>IF($A1282="","",$A1282&amp;"|"&amp;DAY($B1282))</f>
        <v/>
      </c>
      <c r="F1282" s="16">
        <f>IF($A1282="","",IF(COUNTIF(設定!$B$62:$B$201,$A1282)=0,"⚠ 查無員編",IF(COUNTIF($E$3:$E$2002,$E1282)&gt;1,"⚠ 重複打卡","OK")))</f>
        <v/>
      </c>
    </row>
    <row r="1283">
      <c r="A1283" s="20" t="n"/>
      <c r="B1283" s="18" t="n"/>
      <c r="C1283" s="81" t="n"/>
      <c r="D1283" s="81" t="n"/>
      <c r="E1283" s="16">
        <f>IF($A1283="","",$A1283&amp;"|"&amp;DAY($B1283))</f>
        <v/>
      </c>
      <c r="F1283" s="16">
        <f>IF($A1283="","",IF(COUNTIF(設定!$B$62:$B$201,$A1283)=0,"⚠ 查無員編",IF(COUNTIF($E$3:$E$2002,$E1283)&gt;1,"⚠ 重複打卡","OK")))</f>
        <v/>
      </c>
    </row>
    <row r="1284">
      <c r="A1284" s="20" t="n"/>
      <c r="B1284" s="18" t="n"/>
      <c r="C1284" s="81" t="n"/>
      <c r="D1284" s="81" t="n"/>
      <c r="E1284" s="16">
        <f>IF($A1284="","",$A1284&amp;"|"&amp;DAY($B1284))</f>
        <v/>
      </c>
      <c r="F1284" s="16">
        <f>IF($A1284="","",IF(COUNTIF(設定!$B$62:$B$201,$A1284)=0,"⚠ 查無員編",IF(COUNTIF($E$3:$E$2002,$E1284)&gt;1,"⚠ 重複打卡","OK")))</f>
        <v/>
      </c>
    </row>
    <row r="1285">
      <c r="A1285" s="20" t="n"/>
      <c r="B1285" s="18" t="n"/>
      <c r="C1285" s="81" t="n"/>
      <c r="D1285" s="81" t="n"/>
      <c r="E1285" s="16">
        <f>IF($A1285="","",$A1285&amp;"|"&amp;DAY($B1285))</f>
        <v/>
      </c>
      <c r="F1285" s="16">
        <f>IF($A1285="","",IF(COUNTIF(設定!$B$62:$B$201,$A1285)=0,"⚠ 查無員編",IF(COUNTIF($E$3:$E$2002,$E1285)&gt;1,"⚠ 重複打卡","OK")))</f>
        <v/>
      </c>
    </row>
    <row r="1286">
      <c r="A1286" s="20" t="n"/>
      <c r="B1286" s="18" t="n"/>
      <c r="C1286" s="81" t="n"/>
      <c r="D1286" s="81" t="n"/>
      <c r="E1286" s="16">
        <f>IF($A1286="","",$A1286&amp;"|"&amp;DAY($B1286))</f>
        <v/>
      </c>
      <c r="F1286" s="16">
        <f>IF($A1286="","",IF(COUNTIF(設定!$B$62:$B$201,$A1286)=0,"⚠ 查無員編",IF(COUNTIF($E$3:$E$2002,$E1286)&gt;1,"⚠ 重複打卡","OK")))</f>
        <v/>
      </c>
    </row>
    <row r="1287">
      <c r="A1287" s="20" t="n"/>
      <c r="B1287" s="18" t="n"/>
      <c r="C1287" s="81" t="n"/>
      <c r="D1287" s="81" t="n"/>
      <c r="E1287" s="16">
        <f>IF($A1287="","",$A1287&amp;"|"&amp;DAY($B1287))</f>
        <v/>
      </c>
      <c r="F1287" s="16">
        <f>IF($A1287="","",IF(COUNTIF(設定!$B$62:$B$201,$A1287)=0,"⚠ 查無員編",IF(COUNTIF($E$3:$E$2002,$E1287)&gt;1,"⚠ 重複打卡","OK")))</f>
        <v/>
      </c>
    </row>
    <row r="1288">
      <c r="A1288" s="20" t="n"/>
      <c r="B1288" s="18" t="n"/>
      <c r="C1288" s="81" t="n"/>
      <c r="D1288" s="81" t="n"/>
      <c r="E1288" s="16">
        <f>IF($A1288="","",$A1288&amp;"|"&amp;DAY($B1288))</f>
        <v/>
      </c>
      <c r="F1288" s="16">
        <f>IF($A1288="","",IF(COUNTIF(設定!$B$62:$B$201,$A1288)=0,"⚠ 查無員編",IF(COUNTIF($E$3:$E$2002,$E1288)&gt;1,"⚠ 重複打卡","OK")))</f>
        <v/>
      </c>
    </row>
    <row r="1289">
      <c r="A1289" s="20" t="n"/>
      <c r="B1289" s="18" t="n"/>
      <c r="C1289" s="81" t="n"/>
      <c r="D1289" s="81" t="n"/>
      <c r="E1289" s="16">
        <f>IF($A1289="","",$A1289&amp;"|"&amp;DAY($B1289))</f>
        <v/>
      </c>
      <c r="F1289" s="16">
        <f>IF($A1289="","",IF(COUNTIF(設定!$B$62:$B$201,$A1289)=0,"⚠ 查無員編",IF(COUNTIF($E$3:$E$2002,$E1289)&gt;1,"⚠ 重複打卡","OK")))</f>
        <v/>
      </c>
    </row>
    <row r="1290">
      <c r="A1290" s="20" t="n"/>
      <c r="B1290" s="18" t="n"/>
      <c r="C1290" s="81" t="n"/>
      <c r="D1290" s="81" t="n"/>
      <c r="E1290" s="16">
        <f>IF($A1290="","",$A1290&amp;"|"&amp;DAY($B1290))</f>
        <v/>
      </c>
      <c r="F1290" s="16">
        <f>IF($A1290="","",IF(COUNTIF(設定!$B$62:$B$201,$A1290)=0,"⚠ 查無員編",IF(COUNTIF($E$3:$E$2002,$E1290)&gt;1,"⚠ 重複打卡","OK")))</f>
        <v/>
      </c>
    </row>
    <row r="1291">
      <c r="A1291" s="20" t="n"/>
      <c r="B1291" s="18" t="n"/>
      <c r="C1291" s="81" t="n"/>
      <c r="D1291" s="81" t="n"/>
      <c r="E1291" s="16">
        <f>IF($A1291="","",$A1291&amp;"|"&amp;DAY($B1291))</f>
        <v/>
      </c>
      <c r="F1291" s="16">
        <f>IF($A1291="","",IF(COUNTIF(設定!$B$62:$B$201,$A1291)=0,"⚠ 查無員編",IF(COUNTIF($E$3:$E$2002,$E1291)&gt;1,"⚠ 重複打卡","OK")))</f>
        <v/>
      </c>
    </row>
    <row r="1292">
      <c r="A1292" s="20" t="n"/>
      <c r="B1292" s="18" t="n"/>
      <c r="C1292" s="81" t="n"/>
      <c r="D1292" s="81" t="n"/>
      <c r="E1292" s="16">
        <f>IF($A1292="","",$A1292&amp;"|"&amp;DAY($B1292))</f>
        <v/>
      </c>
      <c r="F1292" s="16">
        <f>IF($A1292="","",IF(COUNTIF(設定!$B$62:$B$201,$A1292)=0,"⚠ 查無員編",IF(COUNTIF($E$3:$E$2002,$E1292)&gt;1,"⚠ 重複打卡","OK")))</f>
        <v/>
      </c>
    </row>
    <row r="1293">
      <c r="A1293" s="20" t="n"/>
      <c r="B1293" s="18" t="n"/>
      <c r="C1293" s="81" t="n"/>
      <c r="D1293" s="81" t="n"/>
      <c r="E1293" s="16">
        <f>IF($A1293="","",$A1293&amp;"|"&amp;DAY($B1293))</f>
        <v/>
      </c>
      <c r="F1293" s="16">
        <f>IF($A1293="","",IF(COUNTIF(設定!$B$62:$B$201,$A1293)=0,"⚠ 查無員編",IF(COUNTIF($E$3:$E$2002,$E1293)&gt;1,"⚠ 重複打卡","OK")))</f>
        <v/>
      </c>
    </row>
    <row r="1294">
      <c r="A1294" s="20" t="n"/>
      <c r="B1294" s="18" t="n"/>
      <c r="C1294" s="81" t="n"/>
      <c r="D1294" s="81" t="n"/>
      <c r="E1294" s="16">
        <f>IF($A1294="","",$A1294&amp;"|"&amp;DAY($B1294))</f>
        <v/>
      </c>
      <c r="F1294" s="16">
        <f>IF($A1294="","",IF(COUNTIF(設定!$B$62:$B$201,$A1294)=0,"⚠ 查無員編",IF(COUNTIF($E$3:$E$2002,$E1294)&gt;1,"⚠ 重複打卡","OK")))</f>
        <v/>
      </c>
    </row>
    <row r="1295">
      <c r="A1295" s="20" t="n"/>
      <c r="B1295" s="18" t="n"/>
      <c r="C1295" s="81" t="n"/>
      <c r="D1295" s="81" t="n"/>
      <c r="E1295" s="16">
        <f>IF($A1295="","",$A1295&amp;"|"&amp;DAY($B1295))</f>
        <v/>
      </c>
      <c r="F1295" s="16">
        <f>IF($A1295="","",IF(COUNTIF(設定!$B$62:$B$201,$A1295)=0,"⚠ 查無員編",IF(COUNTIF($E$3:$E$2002,$E1295)&gt;1,"⚠ 重複打卡","OK")))</f>
        <v/>
      </c>
    </row>
    <row r="1296">
      <c r="A1296" s="20" t="n"/>
      <c r="B1296" s="18" t="n"/>
      <c r="C1296" s="81" t="n"/>
      <c r="D1296" s="81" t="n"/>
      <c r="E1296" s="16">
        <f>IF($A1296="","",$A1296&amp;"|"&amp;DAY($B1296))</f>
        <v/>
      </c>
      <c r="F1296" s="16">
        <f>IF($A1296="","",IF(COUNTIF(設定!$B$62:$B$201,$A1296)=0,"⚠ 查無員編",IF(COUNTIF($E$3:$E$2002,$E1296)&gt;1,"⚠ 重複打卡","OK")))</f>
        <v/>
      </c>
    </row>
    <row r="1297">
      <c r="A1297" s="20" t="n"/>
      <c r="B1297" s="18" t="n"/>
      <c r="C1297" s="81" t="n"/>
      <c r="D1297" s="81" t="n"/>
      <c r="E1297" s="16">
        <f>IF($A1297="","",$A1297&amp;"|"&amp;DAY($B1297))</f>
        <v/>
      </c>
      <c r="F1297" s="16">
        <f>IF($A1297="","",IF(COUNTIF(設定!$B$62:$B$201,$A1297)=0,"⚠ 查無員編",IF(COUNTIF($E$3:$E$2002,$E1297)&gt;1,"⚠ 重複打卡","OK")))</f>
        <v/>
      </c>
    </row>
    <row r="1298">
      <c r="A1298" s="20" t="n"/>
      <c r="B1298" s="18" t="n"/>
      <c r="C1298" s="81" t="n"/>
      <c r="D1298" s="81" t="n"/>
      <c r="E1298" s="16">
        <f>IF($A1298="","",$A1298&amp;"|"&amp;DAY($B1298))</f>
        <v/>
      </c>
      <c r="F1298" s="16">
        <f>IF($A1298="","",IF(COUNTIF(設定!$B$62:$B$201,$A1298)=0,"⚠ 查無員編",IF(COUNTIF($E$3:$E$2002,$E1298)&gt;1,"⚠ 重複打卡","OK")))</f>
        <v/>
      </c>
    </row>
    <row r="1299">
      <c r="A1299" s="20" t="n"/>
      <c r="B1299" s="18" t="n"/>
      <c r="C1299" s="81" t="n"/>
      <c r="D1299" s="81" t="n"/>
      <c r="E1299" s="16">
        <f>IF($A1299="","",$A1299&amp;"|"&amp;DAY($B1299))</f>
        <v/>
      </c>
      <c r="F1299" s="16">
        <f>IF($A1299="","",IF(COUNTIF(設定!$B$62:$B$201,$A1299)=0,"⚠ 查無員編",IF(COUNTIF($E$3:$E$2002,$E1299)&gt;1,"⚠ 重複打卡","OK")))</f>
        <v/>
      </c>
    </row>
    <row r="1300">
      <c r="A1300" s="20" t="n"/>
      <c r="B1300" s="18" t="n"/>
      <c r="C1300" s="81" t="n"/>
      <c r="D1300" s="81" t="n"/>
      <c r="E1300" s="16">
        <f>IF($A1300="","",$A1300&amp;"|"&amp;DAY($B1300))</f>
        <v/>
      </c>
      <c r="F1300" s="16">
        <f>IF($A1300="","",IF(COUNTIF(設定!$B$62:$B$201,$A1300)=0,"⚠ 查無員編",IF(COUNTIF($E$3:$E$2002,$E1300)&gt;1,"⚠ 重複打卡","OK")))</f>
        <v/>
      </c>
    </row>
    <row r="1301">
      <c r="A1301" s="20" t="n"/>
      <c r="B1301" s="18" t="n"/>
      <c r="C1301" s="81" t="n"/>
      <c r="D1301" s="81" t="n"/>
      <c r="E1301" s="16">
        <f>IF($A1301="","",$A1301&amp;"|"&amp;DAY($B1301))</f>
        <v/>
      </c>
      <c r="F1301" s="16">
        <f>IF($A1301="","",IF(COUNTIF(設定!$B$62:$B$201,$A1301)=0,"⚠ 查無員編",IF(COUNTIF($E$3:$E$2002,$E1301)&gt;1,"⚠ 重複打卡","OK")))</f>
        <v/>
      </c>
    </row>
    <row r="1302">
      <c r="A1302" s="20" t="n"/>
      <c r="B1302" s="18" t="n"/>
      <c r="C1302" s="81" t="n"/>
      <c r="D1302" s="81" t="n"/>
      <c r="E1302" s="16">
        <f>IF($A1302="","",$A1302&amp;"|"&amp;DAY($B1302))</f>
        <v/>
      </c>
      <c r="F1302" s="16">
        <f>IF($A1302="","",IF(COUNTIF(設定!$B$62:$B$201,$A1302)=0,"⚠ 查無員編",IF(COUNTIF($E$3:$E$2002,$E1302)&gt;1,"⚠ 重複打卡","OK")))</f>
        <v/>
      </c>
    </row>
    <row r="1303">
      <c r="A1303" s="20" t="n"/>
      <c r="B1303" s="18" t="n"/>
      <c r="C1303" s="81" t="n"/>
      <c r="D1303" s="81" t="n"/>
      <c r="E1303" s="16">
        <f>IF($A1303="","",$A1303&amp;"|"&amp;DAY($B1303))</f>
        <v/>
      </c>
      <c r="F1303" s="16">
        <f>IF($A1303="","",IF(COUNTIF(設定!$B$62:$B$201,$A1303)=0,"⚠ 查無員編",IF(COUNTIF($E$3:$E$2002,$E1303)&gt;1,"⚠ 重複打卡","OK")))</f>
        <v/>
      </c>
    </row>
    <row r="1304">
      <c r="A1304" s="20" t="n"/>
      <c r="B1304" s="18" t="n"/>
      <c r="C1304" s="81" t="n"/>
      <c r="D1304" s="81" t="n"/>
      <c r="E1304" s="16">
        <f>IF($A1304="","",$A1304&amp;"|"&amp;DAY($B1304))</f>
        <v/>
      </c>
      <c r="F1304" s="16">
        <f>IF($A1304="","",IF(COUNTIF(設定!$B$62:$B$201,$A1304)=0,"⚠ 查無員編",IF(COUNTIF($E$3:$E$2002,$E1304)&gt;1,"⚠ 重複打卡","OK")))</f>
        <v/>
      </c>
    </row>
    <row r="1305">
      <c r="A1305" s="20" t="n"/>
      <c r="B1305" s="18" t="n"/>
      <c r="C1305" s="81" t="n"/>
      <c r="D1305" s="81" t="n"/>
      <c r="E1305" s="16">
        <f>IF($A1305="","",$A1305&amp;"|"&amp;DAY($B1305))</f>
        <v/>
      </c>
      <c r="F1305" s="16">
        <f>IF($A1305="","",IF(COUNTIF(設定!$B$62:$B$201,$A1305)=0,"⚠ 查無員編",IF(COUNTIF($E$3:$E$2002,$E1305)&gt;1,"⚠ 重複打卡","OK")))</f>
        <v/>
      </c>
    </row>
    <row r="1306">
      <c r="A1306" s="20" t="n"/>
      <c r="B1306" s="18" t="n"/>
      <c r="C1306" s="81" t="n"/>
      <c r="D1306" s="81" t="n"/>
      <c r="E1306" s="16">
        <f>IF($A1306="","",$A1306&amp;"|"&amp;DAY($B1306))</f>
        <v/>
      </c>
      <c r="F1306" s="16">
        <f>IF($A1306="","",IF(COUNTIF(設定!$B$62:$B$201,$A1306)=0,"⚠ 查無員編",IF(COUNTIF($E$3:$E$2002,$E1306)&gt;1,"⚠ 重複打卡","OK")))</f>
        <v/>
      </c>
    </row>
    <row r="1307">
      <c r="A1307" s="20" t="n"/>
      <c r="B1307" s="18" t="n"/>
      <c r="C1307" s="81" t="n"/>
      <c r="D1307" s="81" t="n"/>
      <c r="E1307" s="16">
        <f>IF($A1307="","",$A1307&amp;"|"&amp;DAY($B1307))</f>
        <v/>
      </c>
      <c r="F1307" s="16">
        <f>IF($A1307="","",IF(COUNTIF(設定!$B$62:$B$201,$A1307)=0,"⚠ 查無員編",IF(COUNTIF($E$3:$E$2002,$E1307)&gt;1,"⚠ 重複打卡","OK")))</f>
        <v/>
      </c>
    </row>
    <row r="1308">
      <c r="A1308" s="20" t="n"/>
      <c r="B1308" s="18" t="n"/>
      <c r="C1308" s="81" t="n"/>
      <c r="D1308" s="81" t="n"/>
      <c r="E1308" s="16">
        <f>IF($A1308="","",$A1308&amp;"|"&amp;DAY($B1308))</f>
        <v/>
      </c>
      <c r="F1308" s="16">
        <f>IF($A1308="","",IF(COUNTIF(設定!$B$62:$B$201,$A1308)=0,"⚠ 查無員編",IF(COUNTIF($E$3:$E$2002,$E1308)&gt;1,"⚠ 重複打卡","OK")))</f>
        <v/>
      </c>
    </row>
    <row r="1309">
      <c r="A1309" s="20" t="n"/>
      <c r="B1309" s="18" t="n"/>
      <c r="C1309" s="81" t="n"/>
      <c r="D1309" s="81" t="n"/>
      <c r="E1309" s="16">
        <f>IF($A1309="","",$A1309&amp;"|"&amp;DAY($B1309))</f>
        <v/>
      </c>
      <c r="F1309" s="16">
        <f>IF($A1309="","",IF(COUNTIF(設定!$B$62:$B$201,$A1309)=0,"⚠ 查無員編",IF(COUNTIF($E$3:$E$2002,$E1309)&gt;1,"⚠ 重複打卡","OK")))</f>
        <v/>
      </c>
    </row>
    <row r="1310">
      <c r="A1310" s="20" t="n"/>
      <c r="B1310" s="18" t="n"/>
      <c r="C1310" s="81" t="n"/>
      <c r="D1310" s="81" t="n"/>
      <c r="E1310" s="16">
        <f>IF($A1310="","",$A1310&amp;"|"&amp;DAY($B1310))</f>
        <v/>
      </c>
      <c r="F1310" s="16">
        <f>IF($A1310="","",IF(COUNTIF(設定!$B$62:$B$201,$A1310)=0,"⚠ 查無員編",IF(COUNTIF($E$3:$E$2002,$E1310)&gt;1,"⚠ 重複打卡","OK")))</f>
        <v/>
      </c>
    </row>
    <row r="1311">
      <c r="A1311" s="20" t="n"/>
      <c r="B1311" s="18" t="n"/>
      <c r="C1311" s="81" t="n"/>
      <c r="D1311" s="81" t="n"/>
      <c r="E1311" s="16">
        <f>IF($A1311="","",$A1311&amp;"|"&amp;DAY($B1311))</f>
        <v/>
      </c>
      <c r="F1311" s="16">
        <f>IF($A1311="","",IF(COUNTIF(設定!$B$62:$B$201,$A1311)=0,"⚠ 查無員編",IF(COUNTIF($E$3:$E$2002,$E1311)&gt;1,"⚠ 重複打卡","OK")))</f>
        <v/>
      </c>
    </row>
    <row r="1312">
      <c r="A1312" s="20" t="n"/>
      <c r="B1312" s="18" t="n"/>
      <c r="C1312" s="81" t="n"/>
      <c r="D1312" s="81" t="n"/>
      <c r="E1312" s="16">
        <f>IF($A1312="","",$A1312&amp;"|"&amp;DAY($B1312))</f>
        <v/>
      </c>
      <c r="F1312" s="16">
        <f>IF($A1312="","",IF(COUNTIF(設定!$B$62:$B$201,$A1312)=0,"⚠ 查無員編",IF(COUNTIF($E$3:$E$2002,$E1312)&gt;1,"⚠ 重複打卡","OK")))</f>
        <v/>
      </c>
    </row>
    <row r="1313">
      <c r="A1313" s="20" t="n"/>
      <c r="B1313" s="18" t="n"/>
      <c r="C1313" s="81" t="n"/>
      <c r="D1313" s="81" t="n"/>
      <c r="E1313" s="16">
        <f>IF($A1313="","",$A1313&amp;"|"&amp;DAY($B1313))</f>
        <v/>
      </c>
      <c r="F1313" s="16">
        <f>IF($A1313="","",IF(COUNTIF(設定!$B$62:$B$201,$A1313)=0,"⚠ 查無員編",IF(COUNTIF($E$3:$E$2002,$E1313)&gt;1,"⚠ 重複打卡","OK")))</f>
        <v/>
      </c>
    </row>
    <row r="1314">
      <c r="A1314" s="20" t="n"/>
      <c r="B1314" s="18" t="n"/>
      <c r="C1314" s="81" t="n"/>
      <c r="D1314" s="81" t="n"/>
      <c r="E1314" s="16">
        <f>IF($A1314="","",$A1314&amp;"|"&amp;DAY($B1314))</f>
        <v/>
      </c>
      <c r="F1314" s="16">
        <f>IF($A1314="","",IF(COUNTIF(設定!$B$62:$B$201,$A1314)=0,"⚠ 查無員編",IF(COUNTIF($E$3:$E$2002,$E1314)&gt;1,"⚠ 重複打卡","OK")))</f>
        <v/>
      </c>
    </row>
    <row r="1315">
      <c r="A1315" s="20" t="n"/>
      <c r="B1315" s="18" t="n"/>
      <c r="C1315" s="81" t="n"/>
      <c r="D1315" s="81" t="n"/>
      <c r="E1315" s="16">
        <f>IF($A1315="","",$A1315&amp;"|"&amp;DAY($B1315))</f>
        <v/>
      </c>
      <c r="F1315" s="16">
        <f>IF($A1315="","",IF(COUNTIF(設定!$B$62:$B$201,$A1315)=0,"⚠ 查無員編",IF(COUNTIF($E$3:$E$2002,$E1315)&gt;1,"⚠ 重複打卡","OK")))</f>
        <v/>
      </c>
    </row>
    <row r="1316">
      <c r="A1316" s="20" t="n"/>
      <c r="B1316" s="18" t="n"/>
      <c r="C1316" s="81" t="n"/>
      <c r="D1316" s="81" t="n"/>
      <c r="E1316" s="16">
        <f>IF($A1316="","",$A1316&amp;"|"&amp;DAY($B1316))</f>
        <v/>
      </c>
      <c r="F1316" s="16">
        <f>IF($A1316="","",IF(COUNTIF(設定!$B$62:$B$201,$A1316)=0,"⚠ 查無員編",IF(COUNTIF($E$3:$E$2002,$E1316)&gt;1,"⚠ 重複打卡","OK")))</f>
        <v/>
      </c>
    </row>
    <row r="1317">
      <c r="A1317" s="20" t="n"/>
      <c r="B1317" s="18" t="n"/>
      <c r="C1317" s="81" t="n"/>
      <c r="D1317" s="81" t="n"/>
      <c r="E1317" s="16">
        <f>IF($A1317="","",$A1317&amp;"|"&amp;DAY($B1317))</f>
        <v/>
      </c>
      <c r="F1317" s="16">
        <f>IF($A1317="","",IF(COUNTIF(設定!$B$62:$B$201,$A1317)=0,"⚠ 查無員編",IF(COUNTIF($E$3:$E$2002,$E1317)&gt;1,"⚠ 重複打卡","OK")))</f>
        <v/>
      </c>
    </row>
    <row r="1318">
      <c r="A1318" s="20" t="n"/>
      <c r="B1318" s="18" t="n"/>
      <c r="C1318" s="81" t="n"/>
      <c r="D1318" s="81" t="n"/>
      <c r="E1318" s="16">
        <f>IF($A1318="","",$A1318&amp;"|"&amp;DAY($B1318))</f>
        <v/>
      </c>
      <c r="F1318" s="16">
        <f>IF($A1318="","",IF(COUNTIF(設定!$B$62:$B$201,$A1318)=0,"⚠ 查無員編",IF(COUNTIF($E$3:$E$2002,$E1318)&gt;1,"⚠ 重複打卡","OK")))</f>
        <v/>
      </c>
    </row>
    <row r="1319">
      <c r="A1319" s="20" t="n"/>
      <c r="B1319" s="18" t="n"/>
      <c r="C1319" s="81" t="n"/>
      <c r="D1319" s="81" t="n"/>
      <c r="E1319" s="16">
        <f>IF($A1319="","",$A1319&amp;"|"&amp;DAY($B1319))</f>
        <v/>
      </c>
      <c r="F1319" s="16">
        <f>IF($A1319="","",IF(COUNTIF(設定!$B$62:$B$201,$A1319)=0,"⚠ 查無員編",IF(COUNTIF($E$3:$E$2002,$E1319)&gt;1,"⚠ 重複打卡","OK")))</f>
        <v/>
      </c>
    </row>
    <row r="1320">
      <c r="A1320" s="20" t="n"/>
      <c r="B1320" s="18" t="n"/>
      <c r="C1320" s="81" t="n"/>
      <c r="D1320" s="81" t="n"/>
      <c r="E1320" s="16">
        <f>IF($A1320="","",$A1320&amp;"|"&amp;DAY($B1320))</f>
        <v/>
      </c>
      <c r="F1320" s="16">
        <f>IF($A1320="","",IF(COUNTIF(設定!$B$62:$B$201,$A1320)=0,"⚠ 查無員編",IF(COUNTIF($E$3:$E$2002,$E1320)&gt;1,"⚠ 重複打卡","OK")))</f>
        <v/>
      </c>
    </row>
    <row r="1321">
      <c r="A1321" s="20" t="n"/>
      <c r="B1321" s="18" t="n"/>
      <c r="C1321" s="81" t="n"/>
      <c r="D1321" s="81" t="n"/>
      <c r="E1321" s="16">
        <f>IF($A1321="","",$A1321&amp;"|"&amp;DAY($B1321))</f>
        <v/>
      </c>
      <c r="F1321" s="16">
        <f>IF($A1321="","",IF(COUNTIF(設定!$B$62:$B$201,$A1321)=0,"⚠ 查無員編",IF(COUNTIF($E$3:$E$2002,$E1321)&gt;1,"⚠ 重複打卡","OK")))</f>
        <v/>
      </c>
    </row>
    <row r="1322">
      <c r="A1322" s="20" t="n"/>
      <c r="B1322" s="18" t="n"/>
      <c r="C1322" s="81" t="n"/>
      <c r="D1322" s="81" t="n"/>
      <c r="E1322" s="16">
        <f>IF($A1322="","",$A1322&amp;"|"&amp;DAY($B1322))</f>
        <v/>
      </c>
      <c r="F1322" s="16">
        <f>IF($A1322="","",IF(COUNTIF(設定!$B$62:$B$201,$A1322)=0,"⚠ 查無員編",IF(COUNTIF($E$3:$E$2002,$E1322)&gt;1,"⚠ 重複打卡","OK")))</f>
        <v/>
      </c>
    </row>
    <row r="1323">
      <c r="A1323" s="20" t="n"/>
      <c r="B1323" s="18" t="n"/>
      <c r="C1323" s="81" t="n"/>
      <c r="D1323" s="81" t="n"/>
      <c r="E1323" s="16">
        <f>IF($A1323="","",$A1323&amp;"|"&amp;DAY($B1323))</f>
        <v/>
      </c>
      <c r="F1323" s="16">
        <f>IF($A1323="","",IF(COUNTIF(設定!$B$62:$B$201,$A1323)=0,"⚠ 查無員編",IF(COUNTIF($E$3:$E$2002,$E1323)&gt;1,"⚠ 重複打卡","OK")))</f>
        <v/>
      </c>
    </row>
    <row r="1324">
      <c r="A1324" s="20" t="n"/>
      <c r="B1324" s="18" t="n"/>
      <c r="C1324" s="81" t="n"/>
      <c r="D1324" s="81" t="n"/>
      <c r="E1324" s="16">
        <f>IF($A1324="","",$A1324&amp;"|"&amp;DAY($B1324))</f>
        <v/>
      </c>
      <c r="F1324" s="16">
        <f>IF($A1324="","",IF(COUNTIF(設定!$B$62:$B$201,$A1324)=0,"⚠ 查無員編",IF(COUNTIF($E$3:$E$2002,$E1324)&gt;1,"⚠ 重複打卡","OK")))</f>
        <v/>
      </c>
    </row>
    <row r="1325">
      <c r="A1325" s="20" t="n"/>
      <c r="B1325" s="18" t="n"/>
      <c r="C1325" s="81" t="n"/>
      <c r="D1325" s="81" t="n"/>
      <c r="E1325" s="16">
        <f>IF($A1325="","",$A1325&amp;"|"&amp;DAY($B1325))</f>
        <v/>
      </c>
      <c r="F1325" s="16">
        <f>IF($A1325="","",IF(COUNTIF(設定!$B$62:$B$201,$A1325)=0,"⚠ 查無員編",IF(COUNTIF($E$3:$E$2002,$E1325)&gt;1,"⚠ 重複打卡","OK")))</f>
        <v/>
      </c>
    </row>
    <row r="1326">
      <c r="A1326" s="20" t="n"/>
      <c r="B1326" s="18" t="n"/>
      <c r="C1326" s="81" t="n"/>
      <c r="D1326" s="81" t="n"/>
      <c r="E1326" s="16">
        <f>IF($A1326="","",$A1326&amp;"|"&amp;DAY($B1326))</f>
        <v/>
      </c>
      <c r="F1326" s="16">
        <f>IF($A1326="","",IF(COUNTIF(設定!$B$62:$B$201,$A1326)=0,"⚠ 查無員編",IF(COUNTIF($E$3:$E$2002,$E1326)&gt;1,"⚠ 重複打卡","OK")))</f>
        <v/>
      </c>
    </row>
    <row r="1327">
      <c r="A1327" s="20" t="n"/>
      <c r="B1327" s="18" t="n"/>
      <c r="C1327" s="81" t="n"/>
      <c r="D1327" s="81" t="n"/>
      <c r="E1327" s="16">
        <f>IF($A1327="","",$A1327&amp;"|"&amp;DAY($B1327))</f>
        <v/>
      </c>
      <c r="F1327" s="16">
        <f>IF($A1327="","",IF(COUNTIF(設定!$B$62:$B$201,$A1327)=0,"⚠ 查無員編",IF(COUNTIF($E$3:$E$2002,$E1327)&gt;1,"⚠ 重複打卡","OK")))</f>
        <v/>
      </c>
    </row>
    <row r="1328">
      <c r="A1328" s="20" t="n"/>
      <c r="B1328" s="18" t="n"/>
      <c r="C1328" s="81" t="n"/>
      <c r="D1328" s="81" t="n"/>
      <c r="E1328" s="16">
        <f>IF($A1328="","",$A1328&amp;"|"&amp;DAY($B1328))</f>
        <v/>
      </c>
      <c r="F1328" s="16">
        <f>IF($A1328="","",IF(COUNTIF(設定!$B$62:$B$201,$A1328)=0,"⚠ 查無員編",IF(COUNTIF($E$3:$E$2002,$E1328)&gt;1,"⚠ 重複打卡","OK")))</f>
        <v/>
      </c>
    </row>
    <row r="1329">
      <c r="A1329" s="20" t="n"/>
      <c r="B1329" s="18" t="n"/>
      <c r="C1329" s="81" t="n"/>
      <c r="D1329" s="81" t="n"/>
      <c r="E1329" s="16">
        <f>IF($A1329="","",$A1329&amp;"|"&amp;DAY($B1329))</f>
        <v/>
      </c>
      <c r="F1329" s="16">
        <f>IF($A1329="","",IF(COUNTIF(設定!$B$62:$B$201,$A1329)=0,"⚠ 查無員編",IF(COUNTIF($E$3:$E$2002,$E1329)&gt;1,"⚠ 重複打卡","OK")))</f>
        <v/>
      </c>
    </row>
    <row r="1330">
      <c r="A1330" s="20" t="n"/>
      <c r="B1330" s="18" t="n"/>
      <c r="C1330" s="81" t="n"/>
      <c r="D1330" s="81" t="n"/>
      <c r="E1330" s="16">
        <f>IF($A1330="","",$A1330&amp;"|"&amp;DAY($B1330))</f>
        <v/>
      </c>
      <c r="F1330" s="16">
        <f>IF($A1330="","",IF(COUNTIF(設定!$B$62:$B$201,$A1330)=0,"⚠ 查無員編",IF(COUNTIF($E$3:$E$2002,$E1330)&gt;1,"⚠ 重複打卡","OK")))</f>
        <v/>
      </c>
    </row>
    <row r="1331">
      <c r="A1331" s="20" t="n"/>
      <c r="B1331" s="18" t="n"/>
      <c r="C1331" s="81" t="n"/>
      <c r="D1331" s="81" t="n"/>
      <c r="E1331" s="16">
        <f>IF($A1331="","",$A1331&amp;"|"&amp;DAY($B1331))</f>
        <v/>
      </c>
      <c r="F1331" s="16">
        <f>IF($A1331="","",IF(COUNTIF(設定!$B$62:$B$201,$A1331)=0,"⚠ 查無員編",IF(COUNTIF($E$3:$E$2002,$E1331)&gt;1,"⚠ 重複打卡","OK")))</f>
        <v/>
      </c>
    </row>
    <row r="1332">
      <c r="A1332" s="20" t="n"/>
      <c r="B1332" s="18" t="n"/>
      <c r="C1332" s="81" t="n"/>
      <c r="D1332" s="81" t="n"/>
      <c r="E1332" s="16">
        <f>IF($A1332="","",$A1332&amp;"|"&amp;DAY($B1332))</f>
        <v/>
      </c>
      <c r="F1332" s="16">
        <f>IF($A1332="","",IF(COUNTIF(設定!$B$62:$B$201,$A1332)=0,"⚠ 查無員編",IF(COUNTIF($E$3:$E$2002,$E1332)&gt;1,"⚠ 重複打卡","OK")))</f>
        <v/>
      </c>
    </row>
    <row r="1333">
      <c r="A1333" s="20" t="n"/>
      <c r="B1333" s="18" t="n"/>
      <c r="C1333" s="81" t="n"/>
      <c r="D1333" s="81" t="n"/>
      <c r="E1333" s="16">
        <f>IF($A1333="","",$A1333&amp;"|"&amp;DAY($B1333))</f>
        <v/>
      </c>
      <c r="F1333" s="16">
        <f>IF($A1333="","",IF(COUNTIF(設定!$B$62:$B$201,$A1333)=0,"⚠ 查無員編",IF(COUNTIF($E$3:$E$2002,$E1333)&gt;1,"⚠ 重複打卡","OK")))</f>
        <v/>
      </c>
    </row>
    <row r="1334">
      <c r="A1334" s="20" t="n"/>
      <c r="B1334" s="18" t="n"/>
      <c r="C1334" s="81" t="n"/>
      <c r="D1334" s="81" t="n"/>
      <c r="E1334" s="16">
        <f>IF($A1334="","",$A1334&amp;"|"&amp;DAY($B1334))</f>
        <v/>
      </c>
      <c r="F1334" s="16">
        <f>IF($A1334="","",IF(COUNTIF(設定!$B$62:$B$201,$A1334)=0,"⚠ 查無員編",IF(COUNTIF($E$3:$E$2002,$E1334)&gt;1,"⚠ 重複打卡","OK")))</f>
        <v/>
      </c>
    </row>
    <row r="1335">
      <c r="A1335" s="20" t="n"/>
      <c r="B1335" s="18" t="n"/>
      <c r="C1335" s="81" t="n"/>
      <c r="D1335" s="81" t="n"/>
      <c r="E1335" s="16">
        <f>IF($A1335="","",$A1335&amp;"|"&amp;DAY($B1335))</f>
        <v/>
      </c>
      <c r="F1335" s="16">
        <f>IF($A1335="","",IF(COUNTIF(設定!$B$62:$B$201,$A1335)=0,"⚠ 查無員編",IF(COUNTIF($E$3:$E$2002,$E1335)&gt;1,"⚠ 重複打卡","OK")))</f>
        <v/>
      </c>
    </row>
    <row r="1336">
      <c r="A1336" s="20" t="n"/>
      <c r="B1336" s="18" t="n"/>
      <c r="C1336" s="81" t="n"/>
      <c r="D1336" s="81" t="n"/>
      <c r="E1336" s="16">
        <f>IF($A1336="","",$A1336&amp;"|"&amp;DAY($B1336))</f>
        <v/>
      </c>
      <c r="F1336" s="16">
        <f>IF($A1336="","",IF(COUNTIF(設定!$B$62:$B$201,$A1336)=0,"⚠ 查無員編",IF(COUNTIF($E$3:$E$2002,$E1336)&gt;1,"⚠ 重複打卡","OK")))</f>
        <v/>
      </c>
    </row>
    <row r="1337">
      <c r="A1337" s="20" t="n"/>
      <c r="B1337" s="18" t="n"/>
      <c r="C1337" s="81" t="n"/>
      <c r="D1337" s="81" t="n"/>
      <c r="E1337" s="16">
        <f>IF($A1337="","",$A1337&amp;"|"&amp;DAY($B1337))</f>
        <v/>
      </c>
      <c r="F1337" s="16">
        <f>IF($A1337="","",IF(COUNTIF(設定!$B$62:$B$201,$A1337)=0,"⚠ 查無員編",IF(COUNTIF($E$3:$E$2002,$E1337)&gt;1,"⚠ 重複打卡","OK")))</f>
        <v/>
      </c>
    </row>
    <row r="1338">
      <c r="A1338" s="20" t="n"/>
      <c r="B1338" s="18" t="n"/>
      <c r="C1338" s="81" t="n"/>
      <c r="D1338" s="81" t="n"/>
      <c r="E1338" s="16">
        <f>IF($A1338="","",$A1338&amp;"|"&amp;DAY($B1338))</f>
        <v/>
      </c>
      <c r="F1338" s="16">
        <f>IF($A1338="","",IF(COUNTIF(設定!$B$62:$B$201,$A1338)=0,"⚠ 查無員編",IF(COUNTIF($E$3:$E$2002,$E1338)&gt;1,"⚠ 重複打卡","OK")))</f>
        <v/>
      </c>
    </row>
    <row r="1339">
      <c r="A1339" s="20" t="n"/>
      <c r="B1339" s="18" t="n"/>
      <c r="C1339" s="81" t="n"/>
      <c r="D1339" s="81" t="n"/>
      <c r="E1339" s="16">
        <f>IF($A1339="","",$A1339&amp;"|"&amp;DAY($B1339))</f>
        <v/>
      </c>
      <c r="F1339" s="16">
        <f>IF($A1339="","",IF(COUNTIF(設定!$B$62:$B$201,$A1339)=0,"⚠ 查無員編",IF(COUNTIF($E$3:$E$2002,$E1339)&gt;1,"⚠ 重複打卡","OK")))</f>
        <v/>
      </c>
    </row>
    <row r="1340">
      <c r="A1340" s="20" t="n"/>
      <c r="B1340" s="18" t="n"/>
      <c r="C1340" s="81" t="n"/>
      <c r="D1340" s="81" t="n"/>
      <c r="E1340" s="16">
        <f>IF($A1340="","",$A1340&amp;"|"&amp;DAY($B1340))</f>
        <v/>
      </c>
      <c r="F1340" s="16">
        <f>IF($A1340="","",IF(COUNTIF(設定!$B$62:$B$201,$A1340)=0,"⚠ 查無員編",IF(COUNTIF($E$3:$E$2002,$E1340)&gt;1,"⚠ 重複打卡","OK")))</f>
        <v/>
      </c>
    </row>
    <row r="1341">
      <c r="A1341" s="20" t="n"/>
      <c r="B1341" s="18" t="n"/>
      <c r="C1341" s="81" t="n"/>
      <c r="D1341" s="81" t="n"/>
      <c r="E1341" s="16">
        <f>IF($A1341="","",$A1341&amp;"|"&amp;DAY($B1341))</f>
        <v/>
      </c>
      <c r="F1341" s="16">
        <f>IF($A1341="","",IF(COUNTIF(設定!$B$62:$B$201,$A1341)=0,"⚠ 查無員編",IF(COUNTIF($E$3:$E$2002,$E1341)&gt;1,"⚠ 重複打卡","OK")))</f>
        <v/>
      </c>
    </row>
    <row r="1342">
      <c r="A1342" s="20" t="n"/>
      <c r="B1342" s="18" t="n"/>
      <c r="C1342" s="81" t="n"/>
      <c r="D1342" s="81" t="n"/>
      <c r="E1342" s="16">
        <f>IF($A1342="","",$A1342&amp;"|"&amp;DAY($B1342))</f>
        <v/>
      </c>
      <c r="F1342" s="16">
        <f>IF($A1342="","",IF(COUNTIF(設定!$B$62:$B$201,$A1342)=0,"⚠ 查無員編",IF(COUNTIF($E$3:$E$2002,$E1342)&gt;1,"⚠ 重複打卡","OK")))</f>
        <v/>
      </c>
    </row>
    <row r="1343">
      <c r="A1343" s="20" t="n"/>
      <c r="B1343" s="18" t="n"/>
      <c r="C1343" s="81" t="n"/>
      <c r="D1343" s="81" t="n"/>
      <c r="E1343" s="16">
        <f>IF($A1343="","",$A1343&amp;"|"&amp;DAY($B1343))</f>
        <v/>
      </c>
      <c r="F1343" s="16">
        <f>IF($A1343="","",IF(COUNTIF(設定!$B$62:$B$201,$A1343)=0,"⚠ 查無員編",IF(COUNTIF($E$3:$E$2002,$E1343)&gt;1,"⚠ 重複打卡","OK")))</f>
        <v/>
      </c>
    </row>
    <row r="1344">
      <c r="A1344" s="20" t="n"/>
      <c r="B1344" s="18" t="n"/>
      <c r="C1344" s="81" t="n"/>
      <c r="D1344" s="81" t="n"/>
      <c r="E1344" s="16">
        <f>IF($A1344="","",$A1344&amp;"|"&amp;DAY($B1344))</f>
        <v/>
      </c>
      <c r="F1344" s="16">
        <f>IF($A1344="","",IF(COUNTIF(設定!$B$62:$B$201,$A1344)=0,"⚠ 查無員編",IF(COUNTIF($E$3:$E$2002,$E1344)&gt;1,"⚠ 重複打卡","OK")))</f>
        <v/>
      </c>
    </row>
    <row r="1345">
      <c r="A1345" s="20" t="n"/>
      <c r="B1345" s="18" t="n"/>
      <c r="C1345" s="81" t="n"/>
      <c r="D1345" s="81" t="n"/>
      <c r="E1345" s="16">
        <f>IF($A1345="","",$A1345&amp;"|"&amp;DAY($B1345))</f>
        <v/>
      </c>
      <c r="F1345" s="16">
        <f>IF($A1345="","",IF(COUNTIF(設定!$B$62:$B$201,$A1345)=0,"⚠ 查無員編",IF(COUNTIF($E$3:$E$2002,$E1345)&gt;1,"⚠ 重複打卡","OK")))</f>
        <v/>
      </c>
    </row>
    <row r="1346">
      <c r="A1346" s="20" t="n"/>
      <c r="B1346" s="18" t="n"/>
      <c r="C1346" s="81" t="n"/>
      <c r="D1346" s="81" t="n"/>
      <c r="E1346" s="16">
        <f>IF($A1346="","",$A1346&amp;"|"&amp;DAY($B1346))</f>
        <v/>
      </c>
      <c r="F1346" s="16">
        <f>IF($A1346="","",IF(COUNTIF(設定!$B$62:$B$201,$A1346)=0,"⚠ 查無員編",IF(COUNTIF($E$3:$E$2002,$E1346)&gt;1,"⚠ 重複打卡","OK")))</f>
        <v/>
      </c>
    </row>
    <row r="1347">
      <c r="A1347" s="20" t="n"/>
      <c r="B1347" s="18" t="n"/>
      <c r="C1347" s="81" t="n"/>
      <c r="D1347" s="81" t="n"/>
      <c r="E1347" s="16">
        <f>IF($A1347="","",$A1347&amp;"|"&amp;DAY($B1347))</f>
        <v/>
      </c>
      <c r="F1347" s="16">
        <f>IF($A1347="","",IF(COUNTIF(設定!$B$62:$B$201,$A1347)=0,"⚠ 查無員編",IF(COUNTIF($E$3:$E$2002,$E1347)&gt;1,"⚠ 重複打卡","OK")))</f>
        <v/>
      </c>
    </row>
    <row r="1348">
      <c r="A1348" s="20" t="n"/>
      <c r="B1348" s="18" t="n"/>
      <c r="C1348" s="81" t="n"/>
      <c r="D1348" s="81" t="n"/>
      <c r="E1348" s="16">
        <f>IF($A1348="","",$A1348&amp;"|"&amp;DAY($B1348))</f>
        <v/>
      </c>
      <c r="F1348" s="16">
        <f>IF($A1348="","",IF(COUNTIF(設定!$B$62:$B$201,$A1348)=0,"⚠ 查無員編",IF(COUNTIF($E$3:$E$2002,$E1348)&gt;1,"⚠ 重複打卡","OK")))</f>
        <v/>
      </c>
    </row>
    <row r="1349">
      <c r="A1349" s="20" t="n"/>
      <c r="B1349" s="18" t="n"/>
      <c r="C1349" s="81" t="n"/>
      <c r="D1349" s="81" t="n"/>
      <c r="E1349" s="16">
        <f>IF($A1349="","",$A1349&amp;"|"&amp;DAY($B1349))</f>
        <v/>
      </c>
      <c r="F1349" s="16">
        <f>IF($A1349="","",IF(COUNTIF(設定!$B$62:$B$201,$A1349)=0,"⚠ 查無員編",IF(COUNTIF($E$3:$E$2002,$E1349)&gt;1,"⚠ 重複打卡","OK")))</f>
        <v/>
      </c>
    </row>
    <row r="1350">
      <c r="A1350" s="20" t="n"/>
      <c r="B1350" s="18" t="n"/>
      <c r="C1350" s="81" t="n"/>
      <c r="D1350" s="81" t="n"/>
      <c r="E1350" s="16">
        <f>IF($A1350="","",$A1350&amp;"|"&amp;DAY($B1350))</f>
        <v/>
      </c>
      <c r="F1350" s="16">
        <f>IF($A1350="","",IF(COUNTIF(設定!$B$62:$B$201,$A1350)=0,"⚠ 查無員編",IF(COUNTIF($E$3:$E$2002,$E1350)&gt;1,"⚠ 重複打卡","OK")))</f>
        <v/>
      </c>
    </row>
    <row r="1351">
      <c r="A1351" s="20" t="n"/>
      <c r="B1351" s="18" t="n"/>
      <c r="C1351" s="81" t="n"/>
      <c r="D1351" s="81" t="n"/>
      <c r="E1351" s="16">
        <f>IF($A1351="","",$A1351&amp;"|"&amp;DAY($B1351))</f>
        <v/>
      </c>
      <c r="F1351" s="16">
        <f>IF($A1351="","",IF(COUNTIF(設定!$B$62:$B$201,$A1351)=0,"⚠ 查無員編",IF(COUNTIF($E$3:$E$2002,$E1351)&gt;1,"⚠ 重複打卡","OK")))</f>
        <v/>
      </c>
    </row>
    <row r="1352">
      <c r="A1352" s="20" t="n"/>
      <c r="B1352" s="18" t="n"/>
      <c r="C1352" s="81" t="n"/>
      <c r="D1352" s="81" t="n"/>
      <c r="E1352" s="16">
        <f>IF($A1352="","",$A1352&amp;"|"&amp;DAY($B1352))</f>
        <v/>
      </c>
      <c r="F1352" s="16">
        <f>IF($A1352="","",IF(COUNTIF(設定!$B$62:$B$201,$A1352)=0,"⚠ 查無員編",IF(COUNTIF($E$3:$E$2002,$E1352)&gt;1,"⚠ 重複打卡","OK")))</f>
        <v/>
      </c>
    </row>
    <row r="1353">
      <c r="A1353" s="20" t="n"/>
      <c r="B1353" s="18" t="n"/>
      <c r="C1353" s="81" t="n"/>
      <c r="D1353" s="81" t="n"/>
      <c r="E1353" s="16">
        <f>IF($A1353="","",$A1353&amp;"|"&amp;DAY($B1353))</f>
        <v/>
      </c>
      <c r="F1353" s="16">
        <f>IF($A1353="","",IF(COUNTIF(設定!$B$62:$B$201,$A1353)=0,"⚠ 查無員編",IF(COUNTIF($E$3:$E$2002,$E1353)&gt;1,"⚠ 重複打卡","OK")))</f>
        <v/>
      </c>
    </row>
    <row r="1354">
      <c r="A1354" s="20" t="n"/>
      <c r="B1354" s="18" t="n"/>
      <c r="C1354" s="81" t="n"/>
      <c r="D1354" s="81" t="n"/>
      <c r="E1354" s="16">
        <f>IF($A1354="","",$A1354&amp;"|"&amp;DAY($B1354))</f>
        <v/>
      </c>
      <c r="F1354" s="16">
        <f>IF($A1354="","",IF(COUNTIF(設定!$B$62:$B$201,$A1354)=0,"⚠ 查無員編",IF(COUNTIF($E$3:$E$2002,$E1354)&gt;1,"⚠ 重複打卡","OK")))</f>
        <v/>
      </c>
    </row>
    <row r="1355">
      <c r="A1355" s="20" t="n"/>
      <c r="B1355" s="18" t="n"/>
      <c r="C1355" s="81" t="n"/>
      <c r="D1355" s="81" t="n"/>
      <c r="E1355" s="16">
        <f>IF($A1355="","",$A1355&amp;"|"&amp;DAY($B1355))</f>
        <v/>
      </c>
      <c r="F1355" s="16">
        <f>IF($A1355="","",IF(COUNTIF(設定!$B$62:$B$201,$A1355)=0,"⚠ 查無員編",IF(COUNTIF($E$3:$E$2002,$E1355)&gt;1,"⚠ 重複打卡","OK")))</f>
        <v/>
      </c>
    </row>
    <row r="1356">
      <c r="A1356" s="20" t="n"/>
      <c r="B1356" s="18" t="n"/>
      <c r="C1356" s="81" t="n"/>
      <c r="D1356" s="81" t="n"/>
      <c r="E1356" s="16">
        <f>IF($A1356="","",$A1356&amp;"|"&amp;DAY($B1356))</f>
        <v/>
      </c>
      <c r="F1356" s="16">
        <f>IF($A1356="","",IF(COUNTIF(設定!$B$62:$B$201,$A1356)=0,"⚠ 查無員編",IF(COUNTIF($E$3:$E$2002,$E1356)&gt;1,"⚠ 重複打卡","OK")))</f>
        <v/>
      </c>
    </row>
    <row r="1357">
      <c r="A1357" s="20" t="n"/>
      <c r="B1357" s="18" t="n"/>
      <c r="C1357" s="81" t="n"/>
      <c r="D1357" s="81" t="n"/>
      <c r="E1357" s="16">
        <f>IF($A1357="","",$A1357&amp;"|"&amp;DAY($B1357))</f>
        <v/>
      </c>
      <c r="F1357" s="16">
        <f>IF($A1357="","",IF(COUNTIF(設定!$B$62:$B$201,$A1357)=0,"⚠ 查無員編",IF(COUNTIF($E$3:$E$2002,$E1357)&gt;1,"⚠ 重複打卡","OK")))</f>
        <v/>
      </c>
    </row>
    <row r="1358">
      <c r="A1358" s="20" t="n"/>
      <c r="B1358" s="18" t="n"/>
      <c r="C1358" s="81" t="n"/>
      <c r="D1358" s="81" t="n"/>
      <c r="E1358" s="16">
        <f>IF($A1358="","",$A1358&amp;"|"&amp;DAY($B1358))</f>
        <v/>
      </c>
      <c r="F1358" s="16">
        <f>IF($A1358="","",IF(COUNTIF(設定!$B$62:$B$201,$A1358)=0,"⚠ 查無員編",IF(COUNTIF($E$3:$E$2002,$E1358)&gt;1,"⚠ 重複打卡","OK")))</f>
        <v/>
      </c>
    </row>
    <row r="1359">
      <c r="A1359" s="20" t="n"/>
      <c r="B1359" s="18" t="n"/>
      <c r="C1359" s="81" t="n"/>
      <c r="D1359" s="81" t="n"/>
      <c r="E1359" s="16">
        <f>IF($A1359="","",$A1359&amp;"|"&amp;DAY($B1359))</f>
        <v/>
      </c>
      <c r="F1359" s="16">
        <f>IF($A1359="","",IF(COUNTIF(設定!$B$62:$B$201,$A1359)=0,"⚠ 查無員編",IF(COUNTIF($E$3:$E$2002,$E1359)&gt;1,"⚠ 重複打卡","OK")))</f>
        <v/>
      </c>
    </row>
    <row r="1360">
      <c r="A1360" s="20" t="n"/>
      <c r="B1360" s="18" t="n"/>
      <c r="C1360" s="81" t="n"/>
      <c r="D1360" s="81" t="n"/>
      <c r="E1360" s="16">
        <f>IF($A1360="","",$A1360&amp;"|"&amp;DAY($B1360))</f>
        <v/>
      </c>
      <c r="F1360" s="16">
        <f>IF($A1360="","",IF(COUNTIF(設定!$B$62:$B$201,$A1360)=0,"⚠ 查無員編",IF(COUNTIF($E$3:$E$2002,$E1360)&gt;1,"⚠ 重複打卡","OK")))</f>
        <v/>
      </c>
    </row>
    <row r="1361">
      <c r="A1361" s="20" t="n"/>
      <c r="B1361" s="18" t="n"/>
      <c r="C1361" s="81" t="n"/>
      <c r="D1361" s="81" t="n"/>
      <c r="E1361" s="16">
        <f>IF($A1361="","",$A1361&amp;"|"&amp;DAY($B1361))</f>
        <v/>
      </c>
      <c r="F1361" s="16">
        <f>IF($A1361="","",IF(COUNTIF(設定!$B$62:$B$201,$A1361)=0,"⚠ 查無員編",IF(COUNTIF($E$3:$E$2002,$E1361)&gt;1,"⚠ 重複打卡","OK")))</f>
        <v/>
      </c>
    </row>
    <row r="1362">
      <c r="A1362" s="20" t="n"/>
      <c r="B1362" s="18" t="n"/>
      <c r="C1362" s="81" t="n"/>
      <c r="D1362" s="81" t="n"/>
      <c r="E1362" s="16">
        <f>IF($A1362="","",$A1362&amp;"|"&amp;DAY($B1362))</f>
        <v/>
      </c>
      <c r="F1362" s="16">
        <f>IF($A1362="","",IF(COUNTIF(設定!$B$62:$B$201,$A1362)=0,"⚠ 查無員編",IF(COUNTIF($E$3:$E$2002,$E1362)&gt;1,"⚠ 重複打卡","OK")))</f>
        <v/>
      </c>
    </row>
    <row r="1363">
      <c r="A1363" s="20" t="n"/>
      <c r="B1363" s="18" t="n"/>
      <c r="C1363" s="81" t="n"/>
      <c r="D1363" s="81" t="n"/>
      <c r="E1363" s="16">
        <f>IF($A1363="","",$A1363&amp;"|"&amp;DAY($B1363))</f>
        <v/>
      </c>
      <c r="F1363" s="16">
        <f>IF($A1363="","",IF(COUNTIF(設定!$B$62:$B$201,$A1363)=0,"⚠ 查無員編",IF(COUNTIF($E$3:$E$2002,$E1363)&gt;1,"⚠ 重複打卡","OK")))</f>
        <v/>
      </c>
    </row>
    <row r="1364">
      <c r="A1364" s="20" t="n"/>
      <c r="B1364" s="18" t="n"/>
      <c r="C1364" s="81" t="n"/>
      <c r="D1364" s="81" t="n"/>
      <c r="E1364" s="16">
        <f>IF($A1364="","",$A1364&amp;"|"&amp;DAY($B1364))</f>
        <v/>
      </c>
      <c r="F1364" s="16">
        <f>IF($A1364="","",IF(COUNTIF(設定!$B$62:$B$201,$A1364)=0,"⚠ 查無員編",IF(COUNTIF($E$3:$E$2002,$E1364)&gt;1,"⚠ 重複打卡","OK")))</f>
        <v/>
      </c>
    </row>
    <row r="1365">
      <c r="A1365" s="20" t="n"/>
      <c r="B1365" s="18" t="n"/>
      <c r="C1365" s="81" t="n"/>
      <c r="D1365" s="81" t="n"/>
      <c r="E1365" s="16">
        <f>IF($A1365="","",$A1365&amp;"|"&amp;DAY($B1365))</f>
        <v/>
      </c>
      <c r="F1365" s="16">
        <f>IF($A1365="","",IF(COUNTIF(設定!$B$62:$B$201,$A1365)=0,"⚠ 查無員編",IF(COUNTIF($E$3:$E$2002,$E1365)&gt;1,"⚠ 重複打卡","OK")))</f>
        <v/>
      </c>
    </row>
    <row r="1366">
      <c r="A1366" s="20" t="n"/>
      <c r="B1366" s="18" t="n"/>
      <c r="C1366" s="81" t="n"/>
      <c r="D1366" s="81" t="n"/>
      <c r="E1366" s="16">
        <f>IF($A1366="","",$A1366&amp;"|"&amp;DAY($B1366))</f>
        <v/>
      </c>
      <c r="F1366" s="16">
        <f>IF($A1366="","",IF(COUNTIF(設定!$B$62:$B$201,$A1366)=0,"⚠ 查無員編",IF(COUNTIF($E$3:$E$2002,$E1366)&gt;1,"⚠ 重複打卡","OK")))</f>
        <v/>
      </c>
    </row>
    <row r="1367">
      <c r="A1367" s="20" t="n"/>
      <c r="B1367" s="18" t="n"/>
      <c r="C1367" s="81" t="n"/>
      <c r="D1367" s="81" t="n"/>
      <c r="E1367" s="16">
        <f>IF($A1367="","",$A1367&amp;"|"&amp;DAY($B1367))</f>
        <v/>
      </c>
      <c r="F1367" s="16">
        <f>IF($A1367="","",IF(COUNTIF(設定!$B$62:$B$201,$A1367)=0,"⚠ 查無員編",IF(COUNTIF($E$3:$E$2002,$E1367)&gt;1,"⚠ 重複打卡","OK")))</f>
        <v/>
      </c>
    </row>
    <row r="1368">
      <c r="A1368" s="20" t="n"/>
      <c r="B1368" s="18" t="n"/>
      <c r="C1368" s="81" t="n"/>
      <c r="D1368" s="81" t="n"/>
      <c r="E1368" s="16">
        <f>IF($A1368="","",$A1368&amp;"|"&amp;DAY($B1368))</f>
        <v/>
      </c>
      <c r="F1368" s="16">
        <f>IF($A1368="","",IF(COUNTIF(設定!$B$62:$B$201,$A1368)=0,"⚠ 查無員編",IF(COUNTIF($E$3:$E$2002,$E1368)&gt;1,"⚠ 重複打卡","OK")))</f>
        <v/>
      </c>
    </row>
    <row r="1369">
      <c r="A1369" s="20" t="n"/>
      <c r="B1369" s="18" t="n"/>
      <c r="C1369" s="81" t="n"/>
      <c r="D1369" s="81" t="n"/>
      <c r="E1369" s="16">
        <f>IF($A1369="","",$A1369&amp;"|"&amp;DAY($B1369))</f>
        <v/>
      </c>
      <c r="F1369" s="16">
        <f>IF($A1369="","",IF(COUNTIF(設定!$B$62:$B$201,$A1369)=0,"⚠ 查無員編",IF(COUNTIF($E$3:$E$2002,$E1369)&gt;1,"⚠ 重複打卡","OK")))</f>
        <v/>
      </c>
    </row>
    <row r="1370">
      <c r="A1370" s="20" t="n"/>
      <c r="B1370" s="18" t="n"/>
      <c r="C1370" s="81" t="n"/>
      <c r="D1370" s="81" t="n"/>
      <c r="E1370" s="16">
        <f>IF($A1370="","",$A1370&amp;"|"&amp;DAY($B1370))</f>
        <v/>
      </c>
      <c r="F1370" s="16">
        <f>IF($A1370="","",IF(COUNTIF(設定!$B$62:$B$201,$A1370)=0,"⚠ 查無員編",IF(COUNTIF($E$3:$E$2002,$E1370)&gt;1,"⚠ 重複打卡","OK")))</f>
        <v/>
      </c>
    </row>
    <row r="1371">
      <c r="A1371" s="20" t="n"/>
      <c r="B1371" s="18" t="n"/>
      <c r="C1371" s="81" t="n"/>
      <c r="D1371" s="81" t="n"/>
      <c r="E1371" s="16">
        <f>IF($A1371="","",$A1371&amp;"|"&amp;DAY($B1371))</f>
        <v/>
      </c>
      <c r="F1371" s="16">
        <f>IF($A1371="","",IF(COUNTIF(設定!$B$62:$B$201,$A1371)=0,"⚠ 查無員編",IF(COUNTIF($E$3:$E$2002,$E1371)&gt;1,"⚠ 重複打卡","OK")))</f>
        <v/>
      </c>
    </row>
    <row r="1372">
      <c r="A1372" s="20" t="n"/>
      <c r="B1372" s="18" t="n"/>
      <c r="C1372" s="81" t="n"/>
      <c r="D1372" s="81" t="n"/>
      <c r="E1372" s="16">
        <f>IF($A1372="","",$A1372&amp;"|"&amp;DAY($B1372))</f>
        <v/>
      </c>
      <c r="F1372" s="16">
        <f>IF($A1372="","",IF(COUNTIF(設定!$B$62:$B$201,$A1372)=0,"⚠ 查無員編",IF(COUNTIF($E$3:$E$2002,$E1372)&gt;1,"⚠ 重複打卡","OK")))</f>
        <v/>
      </c>
    </row>
    <row r="1373">
      <c r="A1373" s="20" t="n"/>
      <c r="B1373" s="18" t="n"/>
      <c r="C1373" s="81" t="n"/>
      <c r="D1373" s="81" t="n"/>
      <c r="E1373" s="16">
        <f>IF($A1373="","",$A1373&amp;"|"&amp;DAY($B1373))</f>
        <v/>
      </c>
      <c r="F1373" s="16">
        <f>IF($A1373="","",IF(COUNTIF(設定!$B$62:$B$201,$A1373)=0,"⚠ 查無員編",IF(COUNTIF($E$3:$E$2002,$E1373)&gt;1,"⚠ 重複打卡","OK")))</f>
        <v/>
      </c>
    </row>
    <row r="1374">
      <c r="A1374" s="20" t="n"/>
      <c r="B1374" s="18" t="n"/>
      <c r="C1374" s="81" t="n"/>
      <c r="D1374" s="81" t="n"/>
      <c r="E1374" s="16">
        <f>IF($A1374="","",$A1374&amp;"|"&amp;DAY($B1374))</f>
        <v/>
      </c>
      <c r="F1374" s="16">
        <f>IF($A1374="","",IF(COUNTIF(設定!$B$62:$B$201,$A1374)=0,"⚠ 查無員編",IF(COUNTIF($E$3:$E$2002,$E1374)&gt;1,"⚠ 重複打卡","OK")))</f>
        <v/>
      </c>
    </row>
    <row r="1375">
      <c r="A1375" s="20" t="n"/>
      <c r="B1375" s="18" t="n"/>
      <c r="C1375" s="81" t="n"/>
      <c r="D1375" s="81" t="n"/>
      <c r="E1375" s="16">
        <f>IF($A1375="","",$A1375&amp;"|"&amp;DAY($B1375))</f>
        <v/>
      </c>
      <c r="F1375" s="16">
        <f>IF($A1375="","",IF(COUNTIF(設定!$B$62:$B$201,$A1375)=0,"⚠ 查無員編",IF(COUNTIF($E$3:$E$2002,$E1375)&gt;1,"⚠ 重複打卡","OK")))</f>
        <v/>
      </c>
    </row>
    <row r="1376">
      <c r="A1376" s="20" t="n"/>
      <c r="B1376" s="18" t="n"/>
      <c r="C1376" s="81" t="n"/>
      <c r="D1376" s="81" t="n"/>
      <c r="E1376" s="16">
        <f>IF($A1376="","",$A1376&amp;"|"&amp;DAY($B1376))</f>
        <v/>
      </c>
      <c r="F1376" s="16">
        <f>IF($A1376="","",IF(COUNTIF(設定!$B$62:$B$201,$A1376)=0,"⚠ 查無員編",IF(COUNTIF($E$3:$E$2002,$E1376)&gt;1,"⚠ 重複打卡","OK")))</f>
        <v/>
      </c>
    </row>
    <row r="1377">
      <c r="A1377" s="20" t="n"/>
      <c r="B1377" s="18" t="n"/>
      <c r="C1377" s="81" t="n"/>
      <c r="D1377" s="81" t="n"/>
      <c r="E1377" s="16">
        <f>IF($A1377="","",$A1377&amp;"|"&amp;DAY($B1377))</f>
        <v/>
      </c>
      <c r="F1377" s="16">
        <f>IF($A1377="","",IF(COUNTIF(設定!$B$62:$B$201,$A1377)=0,"⚠ 查無員編",IF(COUNTIF($E$3:$E$2002,$E1377)&gt;1,"⚠ 重複打卡","OK")))</f>
        <v/>
      </c>
    </row>
    <row r="1378">
      <c r="A1378" s="20" t="n"/>
      <c r="B1378" s="18" t="n"/>
      <c r="C1378" s="81" t="n"/>
      <c r="D1378" s="81" t="n"/>
      <c r="E1378" s="16">
        <f>IF($A1378="","",$A1378&amp;"|"&amp;DAY($B1378))</f>
        <v/>
      </c>
      <c r="F1378" s="16">
        <f>IF($A1378="","",IF(COUNTIF(設定!$B$62:$B$201,$A1378)=0,"⚠ 查無員編",IF(COUNTIF($E$3:$E$2002,$E1378)&gt;1,"⚠ 重複打卡","OK")))</f>
        <v/>
      </c>
    </row>
    <row r="1379">
      <c r="A1379" s="20" t="n"/>
      <c r="B1379" s="18" t="n"/>
      <c r="C1379" s="81" t="n"/>
      <c r="D1379" s="81" t="n"/>
      <c r="E1379" s="16">
        <f>IF($A1379="","",$A1379&amp;"|"&amp;DAY($B1379))</f>
        <v/>
      </c>
      <c r="F1379" s="16">
        <f>IF($A1379="","",IF(COUNTIF(設定!$B$62:$B$201,$A1379)=0,"⚠ 查無員編",IF(COUNTIF($E$3:$E$2002,$E1379)&gt;1,"⚠ 重複打卡","OK")))</f>
        <v/>
      </c>
    </row>
    <row r="1380">
      <c r="A1380" s="20" t="n"/>
      <c r="B1380" s="18" t="n"/>
      <c r="C1380" s="81" t="n"/>
      <c r="D1380" s="81" t="n"/>
      <c r="E1380" s="16">
        <f>IF($A1380="","",$A1380&amp;"|"&amp;DAY($B1380))</f>
        <v/>
      </c>
      <c r="F1380" s="16">
        <f>IF($A1380="","",IF(COUNTIF(設定!$B$62:$B$201,$A1380)=0,"⚠ 查無員編",IF(COUNTIF($E$3:$E$2002,$E1380)&gt;1,"⚠ 重複打卡","OK")))</f>
        <v/>
      </c>
    </row>
    <row r="1381">
      <c r="A1381" s="20" t="n"/>
      <c r="B1381" s="18" t="n"/>
      <c r="C1381" s="81" t="n"/>
      <c r="D1381" s="81" t="n"/>
      <c r="E1381" s="16">
        <f>IF($A1381="","",$A1381&amp;"|"&amp;DAY($B1381))</f>
        <v/>
      </c>
      <c r="F1381" s="16">
        <f>IF($A1381="","",IF(COUNTIF(設定!$B$62:$B$201,$A1381)=0,"⚠ 查無員編",IF(COUNTIF($E$3:$E$2002,$E1381)&gt;1,"⚠ 重複打卡","OK")))</f>
        <v/>
      </c>
    </row>
    <row r="1382">
      <c r="A1382" s="20" t="n"/>
      <c r="B1382" s="18" t="n"/>
      <c r="C1382" s="81" t="n"/>
      <c r="D1382" s="81" t="n"/>
      <c r="E1382" s="16">
        <f>IF($A1382="","",$A1382&amp;"|"&amp;DAY($B1382))</f>
        <v/>
      </c>
      <c r="F1382" s="16">
        <f>IF($A1382="","",IF(COUNTIF(設定!$B$62:$B$201,$A1382)=0,"⚠ 查無員編",IF(COUNTIF($E$3:$E$2002,$E1382)&gt;1,"⚠ 重複打卡","OK")))</f>
        <v/>
      </c>
    </row>
    <row r="1383">
      <c r="A1383" s="20" t="n"/>
      <c r="B1383" s="18" t="n"/>
      <c r="C1383" s="81" t="n"/>
      <c r="D1383" s="81" t="n"/>
      <c r="E1383" s="16">
        <f>IF($A1383="","",$A1383&amp;"|"&amp;DAY($B1383))</f>
        <v/>
      </c>
      <c r="F1383" s="16">
        <f>IF($A1383="","",IF(COUNTIF(設定!$B$62:$B$201,$A1383)=0,"⚠ 查無員編",IF(COUNTIF($E$3:$E$2002,$E1383)&gt;1,"⚠ 重複打卡","OK")))</f>
        <v/>
      </c>
    </row>
    <row r="1384">
      <c r="A1384" s="20" t="n"/>
      <c r="B1384" s="18" t="n"/>
      <c r="C1384" s="81" t="n"/>
      <c r="D1384" s="81" t="n"/>
      <c r="E1384" s="16">
        <f>IF($A1384="","",$A1384&amp;"|"&amp;DAY($B1384))</f>
        <v/>
      </c>
      <c r="F1384" s="16">
        <f>IF($A1384="","",IF(COUNTIF(設定!$B$62:$B$201,$A1384)=0,"⚠ 查無員編",IF(COUNTIF($E$3:$E$2002,$E1384)&gt;1,"⚠ 重複打卡","OK")))</f>
        <v/>
      </c>
    </row>
    <row r="1385">
      <c r="A1385" s="20" t="n"/>
      <c r="B1385" s="18" t="n"/>
      <c r="C1385" s="81" t="n"/>
      <c r="D1385" s="81" t="n"/>
      <c r="E1385" s="16">
        <f>IF($A1385="","",$A1385&amp;"|"&amp;DAY($B1385))</f>
        <v/>
      </c>
      <c r="F1385" s="16">
        <f>IF($A1385="","",IF(COUNTIF(設定!$B$62:$B$201,$A1385)=0,"⚠ 查無員編",IF(COUNTIF($E$3:$E$2002,$E1385)&gt;1,"⚠ 重複打卡","OK")))</f>
        <v/>
      </c>
    </row>
    <row r="1386">
      <c r="A1386" s="20" t="n"/>
      <c r="B1386" s="18" t="n"/>
      <c r="C1386" s="81" t="n"/>
      <c r="D1386" s="81" t="n"/>
      <c r="E1386" s="16">
        <f>IF($A1386="","",$A1386&amp;"|"&amp;DAY($B1386))</f>
        <v/>
      </c>
      <c r="F1386" s="16">
        <f>IF($A1386="","",IF(COUNTIF(設定!$B$62:$B$201,$A1386)=0,"⚠ 查無員編",IF(COUNTIF($E$3:$E$2002,$E1386)&gt;1,"⚠ 重複打卡","OK")))</f>
        <v/>
      </c>
    </row>
    <row r="1387">
      <c r="A1387" s="20" t="n"/>
      <c r="B1387" s="18" t="n"/>
      <c r="C1387" s="81" t="n"/>
      <c r="D1387" s="81" t="n"/>
      <c r="E1387" s="16">
        <f>IF($A1387="","",$A1387&amp;"|"&amp;DAY($B1387))</f>
        <v/>
      </c>
      <c r="F1387" s="16">
        <f>IF($A1387="","",IF(COUNTIF(設定!$B$62:$B$201,$A1387)=0,"⚠ 查無員編",IF(COUNTIF($E$3:$E$2002,$E1387)&gt;1,"⚠ 重複打卡","OK")))</f>
        <v/>
      </c>
    </row>
    <row r="1388">
      <c r="A1388" s="20" t="n"/>
      <c r="B1388" s="18" t="n"/>
      <c r="C1388" s="81" t="n"/>
      <c r="D1388" s="81" t="n"/>
      <c r="E1388" s="16">
        <f>IF($A1388="","",$A1388&amp;"|"&amp;DAY($B1388))</f>
        <v/>
      </c>
      <c r="F1388" s="16">
        <f>IF($A1388="","",IF(COUNTIF(設定!$B$62:$B$201,$A1388)=0,"⚠ 查無員編",IF(COUNTIF($E$3:$E$2002,$E1388)&gt;1,"⚠ 重複打卡","OK")))</f>
        <v/>
      </c>
    </row>
    <row r="1389">
      <c r="A1389" s="20" t="n"/>
      <c r="B1389" s="18" t="n"/>
      <c r="C1389" s="81" t="n"/>
      <c r="D1389" s="81" t="n"/>
      <c r="E1389" s="16">
        <f>IF($A1389="","",$A1389&amp;"|"&amp;DAY($B1389))</f>
        <v/>
      </c>
      <c r="F1389" s="16">
        <f>IF($A1389="","",IF(COUNTIF(設定!$B$62:$B$201,$A1389)=0,"⚠ 查無員編",IF(COUNTIF($E$3:$E$2002,$E1389)&gt;1,"⚠ 重複打卡","OK")))</f>
        <v/>
      </c>
    </row>
    <row r="1390">
      <c r="A1390" s="20" t="n"/>
      <c r="B1390" s="18" t="n"/>
      <c r="C1390" s="81" t="n"/>
      <c r="D1390" s="81" t="n"/>
      <c r="E1390" s="16">
        <f>IF($A1390="","",$A1390&amp;"|"&amp;DAY($B1390))</f>
        <v/>
      </c>
      <c r="F1390" s="16">
        <f>IF($A1390="","",IF(COUNTIF(設定!$B$62:$B$201,$A1390)=0,"⚠ 查無員編",IF(COUNTIF($E$3:$E$2002,$E1390)&gt;1,"⚠ 重複打卡","OK")))</f>
        <v/>
      </c>
    </row>
    <row r="1391">
      <c r="A1391" s="20" t="n"/>
      <c r="B1391" s="18" t="n"/>
      <c r="C1391" s="81" t="n"/>
      <c r="D1391" s="81" t="n"/>
      <c r="E1391" s="16">
        <f>IF($A1391="","",$A1391&amp;"|"&amp;DAY($B1391))</f>
        <v/>
      </c>
      <c r="F1391" s="16">
        <f>IF($A1391="","",IF(COUNTIF(設定!$B$62:$B$201,$A1391)=0,"⚠ 查無員編",IF(COUNTIF($E$3:$E$2002,$E1391)&gt;1,"⚠ 重複打卡","OK")))</f>
        <v/>
      </c>
    </row>
    <row r="1392">
      <c r="A1392" s="20" t="n"/>
      <c r="B1392" s="18" t="n"/>
      <c r="C1392" s="81" t="n"/>
      <c r="D1392" s="81" t="n"/>
      <c r="E1392" s="16">
        <f>IF($A1392="","",$A1392&amp;"|"&amp;DAY($B1392))</f>
        <v/>
      </c>
      <c r="F1392" s="16">
        <f>IF($A1392="","",IF(COUNTIF(設定!$B$62:$B$201,$A1392)=0,"⚠ 查無員編",IF(COUNTIF($E$3:$E$2002,$E1392)&gt;1,"⚠ 重複打卡","OK")))</f>
        <v/>
      </c>
    </row>
    <row r="1393">
      <c r="A1393" s="20" t="n"/>
      <c r="B1393" s="18" t="n"/>
      <c r="C1393" s="81" t="n"/>
      <c r="D1393" s="81" t="n"/>
      <c r="E1393" s="16">
        <f>IF($A1393="","",$A1393&amp;"|"&amp;DAY($B1393))</f>
        <v/>
      </c>
      <c r="F1393" s="16">
        <f>IF($A1393="","",IF(COUNTIF(設定!$B$62:$B$201,$A1393)=0,"⚠ 查無員編",IF(COUNTIF($E$3:$E$2002,$E1393)&gt;1,"⚠ 重複打卡","OK")))</f>
        <v/>
      </c>
    </row>
    <row r="1394">
      <c r="A1394" s="20" t="n"/>
      <c r="B1394" s="18" t="n"/>
      <c r="C1394" s="81" t="n"/>
      <c r="D1394" s="81" t="n"/>
      <c r="E1394" s="16">
        <f>IF($A1394="","",$A1394&amp;"|"&amp;DAY($B1394))</f>
        <v/>
      </c>
      <c r="F1394" s="16">
        <f>IF($A1394="","",IF(COUNTIF(設定!$B$62:$B$201,$A1394)=0,"⚠ 查無員編",IF(COUNTIF($E$3:$E$2002,$E1394)&gt;1,"⚠ 重複打卡","OK")))</f>
        <v/>
      </c>
    </row>
    <row r="1395">
      <c r="A1395" s="20" t="n"/>
      <c r="B1395" s="18" t="n"/>
      <c r="C1395" s="81" t="n"/>
      <c r="D1395" s="81" t="n"/>
      <c r="E1395" s="16">
        <f>IF($A1395="","",$A1395&amp;"|"&amp;DAY($B1395))</f>
        <v/>
      </c>
      <c r="F1395" s="16">
        <f>IF($A1395="","",IF(COUNTIF(設定!$B$62:$B$201,$A1395)=0,"⚠ 查無員編",IF(COUNTIF($E$3:$E$2002,$E1395)&gt;1,"⚠ 重複打卡","OK")))</f>
        <v/>
      </c>
    </row>
    <row r="1396">
      <c r="A1396" s="20" t="n"/>
      <c r="B1396" s="18" t="n"/>
      <c r="C1396" s="81" t="n"/>
      <c r="D1396" s="81" t="n"/>
      <c r="E1396" s="16">
        <f>IF($A1396="","",$A1396&amp;"|"&amp;DAY($B1396))</f>
        <v/>
      </c>
      <c r="F1396" s="16">
        <f>IF($A1396="","",IF(COUNTIF(設定!$B$62:$B$201,$A1396)=0,"⚠ 查無員編",IF(COUNTIF($E$3:$E$2002,$E1396)&gt;1,"⚠ 重複打卡","OK")))</f>
        <v/>
      </c>
    </row>
    <row r="1397">
      <c r="A1397" s="20" t="n"/>
      <c r="B1397" s="18" t="n"/>
      <c r="C1397" s="81" t="n"/>
      <c r="D1397" s="81" t="n"/>
      <c r="E1397" s="16">
        <f>IF($A1397="","",$A1397&amp;"|"&amp;DAY($B1397))</f>
        <v/>
      </c>
      <c r="F1397" s="16">
        <f>IF($A1397="","",IF(COUNTIF(設定!$B$62:$B$201,$A1397)=0,"⚠ 查無員編",IF(COUNTIF($E$3:$E$2002,$E1397)&gt;1,"⚠ 重複打卡","OK")))</f>
        <v/>
      </c>
    </row>
    <row r="1398">
      <c r="A1398" s="20" t="n"/>
      <c r="B1398" s="18" t="n"/>
      <c r="C1398" s="81" t="n"/>
      <c r="D1398" s="81" t="n"/>
      <c r="E1398" s="16">
        <f>IF($A1398="","",$A1398&amp;"|"&amp;DAY($B1398))</f>
        <v/>
      </c>
      <c r="F1398" s="16">
        <f>IF($A1398="","",IF(COUNTIF(設定!$B$62:$B$201,$A1398)=0,"⚠ 查無員編",IF(COUNTIF($E$3:$E$2002,$E1398)&gt;1,"⚠ 重複打卡","OK")))</f>
        <v/>
      </c>
    </row>
    <row r="1399">
      <c r="A1399" s="20" t="n"/>
      <c r="B1399" s="18" t="n"/>
      <c r="C1399" s="81" t="n"/>
      <c r="D1399" s="81" t="n"/>
      <c r="E1399" s="16">
        <f>IF($A1399="","",$A1399&amp;"|"&amp;DAY($B1399))</f>
        <v/>
      </c>
      <c r="F1399" s="16">
        <f>IF($A1399="","",IF(COUNTIF(設定!$B$62:$B$201,$A1399)=0,"⚠ 查無員編",IF(COUNTIF($E$3:$E$2002,$E1399)&gt;1,"⚠ 重複打卡","OK")))</f>
        <v/>
      </c>
    </row>
    <row r="1400">
      <c r="A1400" s="20" t="n"/>
      <c r="B1400" s="18" t="n"/>
      <c r="C1400" s="81" t="n"/>
      <c r="D1400" s="81" t="n"/>
      <c r="E1400" s="16">
        <f>IF($A1400="","",$A1400&amp;"|"&amp;DAY($B1400))</f>
        <v/>
      </c>
      <c r="F1400" s="16">
        <f>IF($A1400="","",IF(COUNTIF(設定!$B$62:$B$201,$A1400)=0,"⚠ 查無員編",IF(COUNTIF($E$3:$E$2002,$E1400)&gt;1,"⚠ 重複打卡","OK")))</f>
        <v/>
      </c>
    </row>
    <row r="1401">
      <c r="A1401" s="20" t="n"/>
      <c r="B1401" s="18" t="n"/>
      <c r="C1401" s="81" t="n"/>
      <c r="D1401" s="81" t="n"/>
      <c r="E1401" s="16">
        <f>IF($A1401="","",$A1401&amp;"|"&amp;DAY($B1401))</f>
        <v/>
      </c>
      <c r="F1401" s="16">
        <f>IF($A1401="","",IF(COUNTIF(設定!$B$62:$B$201,$A1401)=0,"⚠ 查無員編",IF(COUNTIF($E$3:$E$2002,$E1401)&gt;1,"⚠ 重複打卡","OK")))</f>
        <v/>
      </c>
    </row>
    <row r="1402">
      <c r="A1402" s="20" t="n"/>
      <c r="B1402" s="18" t="n"/>
      <c r="C1402" s="81" t="n"/>
      <c r="D1402" s="81" t="n"/>
      <c r="E1402" s="16">
        <f>IF($A1402="","",$A1402&amp;"|"&amp;DAY($B1402))</f>
        <v/>
      </c>
      <c r="F1402" s="16">
        <f>IF($A1402="","",IF(COUNTIF(設定!$B$62:$B$201,$A1402)=0,"⚠ 查無員編",IF(COUNTIF($E$3:$E$2002,$E1402)&gt;1,"⚠ 重複打卡","OK")))</f>
        <v/>
      </c>
    </row>
    <row r="1403">
      <c r="A1403" s="20" t="n"/>
      <c r="B1403" s="18" t="n"/>
      <c r="C1403" s="81" t="n"/>
      <c r="D1403" s="81" t="n"/>
      <c r="E1403" s="16">
        <f>IF($A1403="","",$A1403&amp;"|"&amp;DAY($B1403))</f>
        <v/>
      </c>
      <c r="F1403" s="16">
        <f>IF($A1403="","",IF(COUNTIF(設定!$B$62:$B$201,$A1403)=0,"⚠ 查無員編",IF(COUNTIF($E$3:$E$2002,$E1403)&gt;1,"⚠ 重複打卡","OK")))</f>
        <v/>
      </c>
    </row>
    <row r="1404">
      <c r="A1404" s="20" t="n"/>
      <c r="B1404" s="18" t="n"/>
      <c r="C1404" s="81" t="n"/>
      <c r="D1404" s="81" t="n"/>
      <c r="E1404" s="16">
        <f>IF($A1404="","",$A1404&amp;"|"&amp;DAY($B1404))</f>
        <v/>
      </c>
      <c r="F1404" s="16">
        <f>IF($A1404="","",IF(COUNTIF(設定!$B$62:$B$201,$A1404)=0,"⚠ 查無員編",IF(COUNTIF($E$3:$E$2002,$E1404)&gt;1,"⚠ 重複打卡","OK")))</f>
        <v/>
      </c>
    </row>
    <row r="1405">
      <c r="A1405" s="20" t="n"/>
      <c r="B1405" s="18" t="n"/>
      <c r="C1405" s="81" t="n"/>
      <c r="D1405" s="81" t="n"/>
      <c r="E1405" s="16">
        <f>IF($A1405="","",$A1405&amp;"|"&amp;DAY($B1405))</f>
        <v/>
      </c>
      <c r="F1405" s="16">
        <f>IF($A1405="","",IF(COUNTIF(設定!$B$62:$B$201,$A1405)=0,"⚠ 查無員編",IF(COUNTIF($E$3:$E$2002,$E1405)&gt;1,"⚠ 重複打卡","OK")))</f>
        <v/>
      </c>
    </row>
    <row r="1406">
      <c r="A1406" s="20" t="n"/>
      <c r="B1406" s="18" t="n"/>
      <c r="C1406" s="81" t="n"/>
      <c r="D1406" s="81" t="n"/>
      <c r="E1406" s="16">
        <f>IF($A1406="","",$A1406&amp;"|"&amp;DAY($B1406))</f>
        <v/>
      </c>
      <c r="F1406" s="16">
        <f>IF($A1406="","",IF(COUNTIF(設定!$B$62:$B$201,$A1406)=0,"⚠ 查無員編",IF(COUNTIF($E$3:$E$2002,$E1406)&gt;1,"⚠ 重複打卡","OK")))</f>
        <v/>
      </c>
    </row>
    <row r="1407">
      <c r="A1407" s="20" t="n"/>
      <c r="B1407" s="18" t="n"/>
      <c r="C1407" s="81" t="n"/>
      <c r="D1407" s="81" t="n"/>
      <c r="E1407" s="16">
        <f>IF($A1407="","",$A1407&amp;"|"&amp;DAY($B1407))</f>
        <v/>
      </c>
      <c r="F1407" s="16">
        <f>IF($A1407="","",IF(COUNTIF(設定!$B$62:$B$201,$A1407)=0,"⚠ 查無員編",IF(COUNTIF($E$3:$E$2002,$E1407)&gt;1,"⚠ 重複打卡","OK")))</f>
        <v/>
      </c>
    </row>
    <row r="1408">
      <c r="A1408" s="20" t="n"/>
      <c r="B1408" s="18" t="n"/>
      <c r="C1408" s="81" t="n"/>
      <c r="D1408" s="81" t="n"/>
      <c r="E1408" s="16">
        <f>IF($A1408="","",$A1408&amp;"|"&amp;DAY($B1408))</f>
        <v/>
      </c>
      <c r="F1408" s="16">
        <f>IF($A1408="","",IF(COUNTIF(設定!$B$62:$B$201,$A1408)=0,"⚠ 查無員編",IF(COUNTIF($E$3:$E$2002,$E1408)&gt;1,"⚠ 重複打卡","OK")))</f>
        <v/>
      </c>
    </row>
    <row r="1409">
      <c r="A1409" s="20" t="n"/>
      <c r="B1409" s="18" t="n"/>
      <c r="C1409" s="81" t="n"/>
      <c r="D1409" s="81" t="n"/>
      <c r="E1409" s="16">
        <f>IF($A1409="","",$A1409&amp;"|"&amp;DAY($B1409))</f>
        <v/>
      </c>
      <c r="F1409" s="16">
        <f>IF($A1409="","",IF(COUNTIF(設定!$B$62:$B$201,$A1409)=0,"⚠ 查無員編",IF(COUNTIF($E$3:$E$2002,$E1409)&gt;1,"⚠ 重複打卡","OK")))</f>
        <v/>
      </c>
    </row>
    <row r="1410">
      <c r="A1410" s="20" t="n"/>
      <c r="B1410" s="18" t="n"/>
      <c r="C1410" s="81" t="n"/>
      <c r="D1410" s="81" t="n"/>
      <c r="E1410" s="16">
        <f>IF($A1410="","",$A1410&amp;"|"&amp;DAY($B1410))</f>
        <v/>
      </c>
      <c r="F1410" s="16">
        <f>IF($A1410="","",IF(COUNTIF(設定!$B$62:$B$201,$A1410)=0,"⚠ 查無員編",IF(COUNTIF($E$3:$E$2002,$E1410)&gt;1,"⚠ 重複打卡","OK")))</f>
        <v/>
      </c>
    </row>
    <row r="1411">
      <c r="A1411" s="20" t="n"/>
      <c r="B1411" s="18" t="n"/>
      <c r="C1411" s="81" t="n"/>
      <c r="D1411" s="81" t="n"/>
      <c r="E1411" s="16">
        <f>IF($A1411="","",$A1411&amp;"|"&amp;DAY($B1411))</f>
        <v/>
      </c>
      <c r="F1411" s="16">
        <f>IF($A1411="","",IF(COUNTIF(設定!$B$62:$B$201,$A1411)=0,"⚠ 查無員編",IF(COUNTIF($E$3:$E$2002,$E1411)&gt;1,"⚠ 重複打卡","OK")))</f>
        <v/>
      </c>
    </row>
    <row r="1412">
      <c r="A1412" s="20" t="n"/>
      <c r="B1412" s="18" t="n"/>
      <c r="C1412" s="81" t="n"/>
      <c r="D1412" s="81" t="n"/>
      <c r="E1412" s="16">
        <f>IF($A1412="","",$A1412&amp;"|"&amp;DAY($B1412))</f>
        <v/>
      </c>
      <c r="F1412" s="16">
        <f>IF($A1412="","",IF(COUNTIF(設定!$B$62:$B$201,$A1412)=0,"⚠ 查無員編",IF(COUNTIF($E$3:$E$2002,$E1412)&gt;1,"⚠ 重複打卡","OK")))</f>
        <v/>
      </c>
    </row>
    <row r="1413">
      <c r="A1413" s="20" t="n"/>
      <c r="B1413" s="18" t="n"/>
      <c r="C1413" s="81" t="n"/>
      <c r="D1413" s="81" t="n"/>
      <c r="E1413" s="16">
        <f>IF($A1413="","",$A1413&amp;"|"&amp;DAY($B1413))</f>
        <v/>
      </c>
      <c r="F1413" s="16">
        <f>IF($A1413="","",IF(COUNTIF(設定!$B$62:$B$201,$A1413)=0,"⚠ 查無員編",IF(COUNTIF($E$3:$E$2002,$E1413)&gt;1,"⚠ 重複打卡","OK")))</f>
        <v/>
      </c>
    </row>
    <row r="1414">
      <c r="A1414" s="20" t="n"/>
      <c r="B1414" s="18" t="n"/>
      <c r="C1414" s="81" t="n"/>
      <c r="D1414" s="81" t="n"/>
      <c r="E1414" s="16">
        <f>IF($A1414="","",$A1414&amp;"|"&amp;DAY($B1414))</f>
        <v/>
      </c>
      <c r="F1414" s="16">
        <f>IF($A1414="","",IF(COUNTIF(設定!$B$62:$B$201,$A1414)=0,"⚠ 查無員編",IF(COUNTIF($E$3:$E$2002,$E1414)&gt;1,"⚠ 重複打卡","OK")))</f>
        <v/>
      </c>
    </row>
    <row r="1415">
      <c r="A1415" s="20" t="n"/>
      <c r="B1415" s="18" t="n"/>
      <c r="C1415" s="81" t="n"/>
      <c r="D1415" s="81" t="n"/>
      <c r="E1415" s="16">
        <f>IF($A1415="","",$A1415&amp;"|"&amp;DAY($B1415))</f>
        <v/>
      </c>
      <c r="F1415" s="16">
        <f>IF($A1415="","",IF(COUNTIF(設定!$B$62:$B$201,$A1415)=0,"⚠ 查無員編",IF(COUNTIF($E$3:$E$2002,$E1415)&gt;1,"⚠ 重複打卡","OK")))</f>
        <v/>
      </c>
    </row>
    <row r="1416">
      <c r="A1416" s="20" t="n"/>
      <c r="B1416" s="18" t="n"/>
      <c r="C1416" s="81" t="n"/>
      <c r="D1416" s="81" t="n"/>
      <c r="E1416" s="16">
        <f>IF($A1416="","",$A1416&amp;"|"&amp;DAY($B1416))</f>
        <v/>
      </c>
      <c r="F1416" s="16">
        <f>IF($A1416="","",IF(COUNTIF(設定!$B$62:$B$201,$A1416)=0,"⚠ 查無員編",IF(COUNTIF($E$3:$E$2002,$E1416)&gt;1,"⚠ 重複打卡","OK")))</f>
        <v/>
      </c>
    </row>
    <row r="1417">
      <c r="A1417" s="20" t="n"/>
      <c r="B1417" s="18" t="n"/>
      <c r="C1417" s="81" t="n"/>
      <c r="D1417" s="81" t="n"/>
      <c r="E1417" s="16">
        <f>IF($A1417="","",$A1417&amp;"|"&amp;DAY($B1417))</f>
        <v/>
      </c>
      <c r="F1417" s="16">
        <f>IF($A1417="","",IF(COUNTIF(設定!$B$62:$B$201,$A1417)=0,"⚠ 查無員編",IF(COUNTIF($E$3:$E$2002,$E1417)&gt;1,"⚠ 重複打卡","OK")))</f>
        <v/>
      </c>
    </row>
    <row r="1418">
      <c r="A1418" s="20" t="n"/>
      <c r="B1418" s="18" t="n"/>
      <c r="C1418" s="81" t="n"/>
      <c r="D1418" s="81" t="n"/>
      <c r="E1418" s="16">
        <f>IF($A1418="","",$A1418&amp;"|"&amp;DAY($B1418))</f>
        <v/>
      </c>
      <c r="F1418" s="16">
        <f>IF($A1418="","",IF(COUNTIF(設定!$B$62:$B$201,$A1418)=0,"⚠ 查無員編",IF(COUNTIF($E$3:$E$2002,$E1418)&gt;1,"⚠ 重複打卡","OK")))</f>
        <v/>
      </c>
    </row>
    <row r="1419">
      <c r="A1419" s="20" t="n"/>
      <c r="B1419" s="18" t="n"/>
      <c r="C1419" s="81" t="n"/>
      <c r="D1419" s="81" t="n"/>
      <c r="E1419" s="16">
        <f>IF($A1419="","",$A1419&amp;"|"&amp;DAY($B1419))</f>
        <v/>
      </c>
      <c r="F1419" s="16">
        <f>IF($A1419="","",IF(COUNTIF(設定!$B$62:$B$201,$A1419)=0,"⚠ 查無員編",IF(COUNTIF($E$3:$E$2002,$E1419)&gt;1,"⚠ 重複打卡","OK")))</f>
        <v/>
      </c>
    </row>
    <row r="1420">
      <c r="A1420" s="20" t="n"/>
      <c r="B1420" s="18" t="n"/>
      <c r="C1420" s="81" t="n"/>
      <c r="D1420" s="81" t="n"/>
      <c r="E1420" s="16">
        <f>IF($A1420="","",$A1420&amp;"|"&amp;DAY($B1420))</f>
        <v/>
      </c>
      <c r="F1420" s="16">
        <f>IF($A1420="","",IF(COUNTIF(設定!$B$62:$B$201,$A1420)=0,"⚠ 查無員編",IF(COUNTIF($E$3:$E$2002,$E1420)&gt;1,"⚠ 重複打卡","OK")))</f>
        <v/>
      </c>
    </row>
    <row r="1421">
      <c r="A1421" s="20" t="n"/>
      <c r="B1421" s="18" t="n"/>
      <c r="C1421" s="81" t="n"/>
      <c r="D1421" s="81" t="n"/>
      <c r="E1421" s="16">
        <f>IF($A1421="","",$A1421&amp;"|"&amp;DAY($B1421))</f>
        <v/>
      </c>
      <c r="F1421" s="16">
        <f>IF($A1421="","",IF(COUNTIF(設定!$B$62:$B$201,$A1421)=0,"⚠ 查無員編",IF(COUNTIF($E$3:$E$2002,$E1421)&gt;1,"⚠ 重複打卡","OK")))</f>
        <v/>
      </c>
    </row>
    <row r="1422">
      <c r="A1422" s="20" t="n"/>
      <c r="B1422" s="18" t="n"/>
      <c r="C1422" s="81" t="n"/>
      <c r="D1422" s="81" t="n"/>
      <c r="E1422" s="16">
        <f>IF($A1422="","",$A1422&amp;"|"&amp;DAY($B1422))</f>
        <v/>
      </c>
      <c r="F1422" s="16">
        <f>IF($A1422="","",IF(COUNTIF(設定!$B$62:$B$201,$A1422)=0,"⚠ 查無員編",IF(COUNTIF($E$3:$E$2002,$E1422)&gt;1,"⚠ 重複打卡","OK")))</f>
        <v/>
      </c>
    </row>
    <row r="1423">
      <c r="A1423" s="20" t="n"/>
      <c r="B1423" s="18" t="n"/>
      <c r="C1423" s="81" t="n"/>
      <c r="D1423" s="81" t="n"/>
      <c r="E1423" s="16">
        <f>IF($A1423="","",$A1423&amp;"|"&amp;DAY($B1423))</f>
        <v/>
      </c>
      <c r="F1423" s="16">
        <f>IF($A1423="","",IF(COUNTIF(設定!$B$62:$B$201,$A1423)=0,"⚠ 查無員編",IF(COUNTIF($E$3:$E$2002,$E1423)&gt;1,"⚠ 重複打卡","OK")))</f>
        <v/>
      </c>
    </row>
    <row r="1424">
      <c r="A1424" s="20" t="n"/>
      <c r="B1424" s="18" t="n"/>
      <c r="C1424" s="81" t="n"/>
      <c r="D1424" s="81" t="n"/>
      <c r="E1424" s="16">
        <f>IF($A1424="","",$A1424&amp;"|"&amp;DAY($B1424))</f>
        <v/>
      </c>
      <c r="F1424" s="16">
        <f>IF($A1424="","",IF(COUNTIF(設定!$B$62:$B$201,$A1424)=0,"⚠ 查無員編",IF(COUNTIF($E$3:$E$2002,$E1424)&gt;1,"⚠ 重複打卡","OK")))</f>
        <v/>
      </c>
    </row>
    <row r="1425">
      <c r="A1425" s="20" t="n"/>
      <c r="B1425" s="18" t="n"/>
      <c r="C1425" s="81" t="n"/>
      <c r="D1425" s="81" t="n"/>
      <c r="E1425" s="16">
        <f>IF($A1425="","",$A1425&amp;"|"&amp;DAY($B1425))</f>
        <v/>
      </c>
      <c r="F1425" s="16">
        <f>IF($A1425="","",IF(COUNTIF(設定!$B$62:$B$201,$A1425)=0,"⚠ 查無員編",IF(COUNTIF($E$3:$E$2002,$E1425)&gt;1,"⚠ 重複打卡","OK")))</f>
        <v/>
      </c>
    </row>
    <row r="1426">
      <c r="A1426" s="20" t="n"/>
      <c r="B1426" s="18" t="n"/>
      <c r="C1426" s="81" t="n"/>
      <c r="D1426" s="81" t="n"/>
      <c r="E1426" s="16">
        <f>IF($A1426="","",$A1426&amp;"|"&amp;DAY($B1426))</f>
        <v/>
      </c>
      <c r="F1426" s="16">
        <f>IF($A1426="","",IF(COUNTIF(設定!$B$62:$B$201,$A1426)=0,"⚠ 查無員編",IF(COUNTIF($E$3:$E$2002,$E1426)&gt;1,"⚠ 重複打卡","OK")))</f>
        <v/>
      </c>
    </row>
    <row r="1427">
      <c r="A1427" s="20" t="n"/>
      <c r="B1427" s="18" t="n"/>
      <c r="C1427" s="81" t="n"/>
      <c r="D1427" s="81" t="n"/>
      <c r="E1427" s="16">
        <f>IF($A1427="","",$A1427&amp;"|"&amp;DAY($B1427))</f>
        <v/>
      </c>
      <c r="F1427" s="16">
        <f>IF($A1427="","",IF(COUNTIF(設定!$B$62:$B$201,$A1427)=0,"⚠ 查無員編",IF(COUNTIF($E$3:$E$2002,$E1427)&gt;1,"⚠ 重複打卡","OK")))</f>
        <v/>
      </c>
    </row>
    <row r="1428">
      <c r="A1428" s="20" t="n"/>
      <c r="B1428" s="18" t="n"/>
      <c r="C1428" s="81" t="n"/>
      <c r="D1428" s="81" t="n"/>
      <c r="E1428" s="16">
        <f>IF($A1428="","",$A1428&amp;"|"&amp;DAY($B1428))</f>
        <v/>
      </c>
      <c r="F1428" s="16">
        <f>IF($A1428="","",IF(COUNTIF(設定!$B$62:$B$201,$A1428)=0,"⚠ 查無員編",IF(COUNTIF($E$3:$E$2002,$E1428)&gt;1,"⚠ 重複打卡","OK")))</f>
        <v/>
      </c>
    </row>
    <row r="1429">
      <c r="A1429" s="20" t="n"/>
      <c r="B1429" s="18" t="n"/>
      <c r="C1429" s="81" t="n"/>
      <c r="D1429" s="81" t="n"/>
      <c r="E1429" s="16">
        <f>IF($A1429="","",$A1429&amp;"|"&amp;DAY($B1429))</f>
        <v/>
      </c>
      <c r="F1429" s="16">
        <f>IF($A1429="","",IF(COUNTIF(設定!$B$62:$B$201,$A1429)=0,"⚠ 查無員編",IF(COUNTIF($E$3:$E$2002,$E1429)&gt;1,"⚠ 重複打卡","OK")))</f>
        <v/>
      </c>
    </row>
    <row r="1430">
      <c r="A1430" s="20" t="n"/>
      <c r="B1430" s="18" t="n"/>
      <c r="C1430" s="81" t="n"/>
      <c r="D1430" s="81" t="n"/>
      <c r="E1430" s="16">
        <f>IF($A1430="","",$A1430&amp;"|"&amp;DAY($B1430))</f>
        <v/>
      </c>
      <c r="F1430" s="16">
        <f>IF($A1430="","",IF(COUNTIF(設定!$B$62:$B$201,$A1430)=0,"⚠ 查無員編",IF(COUNTIF($E$3:$E$2002,$E1430)&gt;1,"⚠ 重複打卡","OK")))</f>
        <v/>
      </c>
    </row>
    <row r="1431">
      <c r="A1431" s="20" t="n"/>
      <c r="B1431" s="18" t="n"/>
      <c r="C1431" s="81" t="n"/>
      <c r="D1431" s="81" t="n"/>
      <c r="E1431" s="16">
        <f>IF($A1431="","",$A1431&amp;"|"&amp;DAY($B1431))</f>
        <v/>
      </c>
      <c r="F1431" s="16">
        <f>IF($A1431="","",IF(COUNTIF(設定!$B$62:$B$201,$A1431)=0,"⚠ 查無員編",IF(COUNTIF($E$3:$E$2002,$E1431)&gt;1,"⚠ 重複打卡","OK")))</f>
        <v/>
      </c>
    </row>
    <row r="1432">
      <c r="A1432" s="20" t="n"/>
      <c r="B1432" s="18" t="n"/>
      <c r="C1432" s="81" t="n"/>
      <c r="D1432" s="81" t="n"/>
      <c r="E1432" s="16">
        <f>IF($A1432="","",$A1432&amp;"|"&amp;DAY($B1432))</f>
        <v/>
      </c>
      <c r="F1432" s="16">
        <f>IF($A1432="","",IF(COUNTIF(設定!$B$62:$B$201,$A1432)=0,"⚠ 查無員編",IF(COUNTIF($E$3:$E$2002,$E1432)&gt;1,"⚠ 重複打卡","OK")))</f>
        <v/>
      </c>
    </row>
    <row r="1433">
      <c r="A1433" s="20" t="n"/>
      <c r="B1433" s="18" t="n"/>
      <c r="C1433" s="81" t="n"/>
      <c r="D1433" s="81" t="n"/>
      <c r="E1433" s="16">
        <f>IF($A1433="","",$A1433&amp;"|"&amp;DAY($B1433))</f>
        <v/>
      </c>
      <c r="F1433" s="16">
        <f>IF($A1433="","",IF(COUNTIF(設定!$B$62:$B$201,$A1433)=0,"⚠ 查無員編",IF(COUNTIF($E$3:$E$2002,$E1433)&gt;1,"⚠ 重複打卡","OK")))</f>
        <v/>
      </c>
    </row>
    <row r="1434">
      <c r="A1434" s="20" t="n"/>
      <c r="B1434" s="18" t="n"/>
      <c r="C1434" s="81" t="n"/>
      <c r="D1434" s="81" t="n"/>
      <c r="E1434" s="16">
        <f>IF($A1434="","",$A1434&amp;"|"&amp;DAY($B1434))</f>
        <v/>
      </c>
      <c r="F1434" s="16">
        <f>IF($A1434="","",IF(COUNTIF(設定!$B$62:$B$201,$A1434)=0,"⚠ 查無員編",IF(COUNTIF($E$3:$E$2002,$E1434)&gt;1,"⚠ 重複打卡","OK")))</f>
        <v/>
      </c>
    </row>
    <row r="1435">
      <c r="A1435" s="20" t="n"/>
      <c r="B1435" s="18" t="n"/>
      <c r="C1435" s="81" t="n"/>
      <c r="D1435" s="81" t="n"/>
      <c r="E1435" s="16">
        <f>IF($A1435="","",$A1435&amp;"|"&amp;DAY($B1435))</f>
        <v/>
      </c>
      <c r="F1435" s="16">
        <f>IF($A1435="","",IF(COUNTIF(設定!$B$62:$B$201,$A1435)=0,"⚠ 查無員編",IF(COUNTIF($E$3:$E$2002,$E1435)&gt;1,"⚠ 重複打卡","OK")))</f>
        <v/>
      </c>
    </row>
    <row r="1436">
      <c r="A1436" s="20" t="n"/>
      <c r="B1436" s="18" t="n"/>
      <c r="C1436" s="81" t="n"/>
      <c r="D1436" s="81" t="n"/>
      <c r="E1436" s="16">
        <f>IF($A1436="","",$A1436&amp;"|"&amp;DAY($B1436))</f>
        <v/>
      </c>
      <c r="F1436" s="16">
        <f>IF($A1436="","",IF(COUNTIF(設定!$B$62:$B$201,$A1436)=0,"⚠ 查無員編",IF(COUNTIF($E$3:$E$2002,$E1436)&gt;1,"⚠ 重複打卡","OK")))</f>
        <v/>
      </c>
    </row>
    <row r="1437">
      <c r="A1437" s="20" t="n"/>
      <c r="B1437" s="18" t="n"/>
      <c r="C1437" s="81" t="n"/>
      <c r="D1437" s="81" t="n"/>
      <c r="E1437" s="16">
        <f>IF($A1437="","",$A1437&amp;"|"&amp;DAY($B1437))</f>
        <v/>
      </c>
      <c r="F1437" s="16">
        <f>IF($A1437="","",IF(COUNTIF(設定!$B$62:$B$201,$A1437)=0,"⚠ 查無員編",IF(COUNTIF($E$3:$E$2002,$E1437)&gt;1,"⚠ 重複打卡","OK")))</f>
        <v/>
      </c>
    </row>
    <row r="1438">
      <c r="A1438" s="20" t="n"/>
      <c r="B1438" s="18" t="n"/>
      <c r="C1438" s="81" t="n"/>
      <c r="D1438" s="81" t="n"/>
      <c r="E1438" s="16">
        <f>IF($A1438="","",$A1438&amp;"|"&amp;DAY($B1438))</f>
        <v/>
      </c>
      <c r="F1438" s="16">
        <f>IF($A1438="","",IF(COUNTIF(設定!$B$62:$B$201,$A1438)=0,"⚠ 查無員編",IF(COUNTIF($E$3:$E$2002,$E1438)&gt;1,"⚠ 重複打卡","OK")))</f>
        <v/>
      </c>
    </row>
    <row r="1439">
      <c r="A1439" s="20" t="n"/>
      <c r="B1439" s="18" t="n"/>
      <c r="C1439" s="81" t="n"/>
      <c r="D1439" s="81" t="n"/>
      <c r="E1439" s="16">
        <f>IF($A1439="","",$A1439&amp;"|"&amp;DAY($B1439))</f>
        <v/>
      </c>
      <c r="F1439" s="16">
        <f>IF($A1439="","",IF(COUNTIF(設定!$B$62:$B$201,$A1439)=0,"⚠ 查無員編",IF(COUNTIF($E$3:$E$2002,$E1439)&gt;1,"⚠ 重複打卡","OK")))</f>
        <v/>
      </c>
    </row>
    <row r="1440">
      <c r="A1440" s="20" t="n"/>
      <c r="B1440" s="18" t="n"/>
      <c r="C1440" s="81" t="n"/>
      <c r="D1440" s="81" t="n"/>
      <c r="E1440" s="16">
        <f>IF($A1440="","",$A1440&amp;"|"&amp;DAY($B1440))</f>
        <v/>
      </c>
      <c r="F1440" s="16">
        <f>IF($A1440="","",IF(COUNTIF(設定!$B$62:$B$201,$A1440)=0,"⚠ 查無員編",IF(COUNTIF($E$3:$E$2002,$E1440)&gt;1,"⚠ 重複打卡","OK")))</f>
        <v/>
      </c>
    </row>
    <row r="1441">
      <c r="A1441" s="20" t="n"/>
      <c r="B1441" s="18" t="n"/>
      <c r="C1441" s="81" t="n"/>
      <c r="D1441" s="81" t="n"/>
      <c r="E1441" s="16">
        <f>IF($A1441="","",$A1441&amp;"|"&amp;DAY($B1441))</f>
        <v/>
      </c>
      <c r="F1441" s="16">
        <f>IF($A1441="","",IF(COUNTIF(設定!$B$62:$B$201,$A1441)=0,"⚠ 查無員編",IF(COUNTIF($E$3:$E$2002,$E1441)&gt;1,"⚠ 重複打卡","OK")))</f>
        <v/>
      </c>
    </row>
    <row r="1442">
      <c r="A1442" s="20" t="n"/>
      <c r="B1442" s="18" t="n"/>
      <c r="C1442" s="81" t="n"/>
      <c r="D1442" s="81" t="n"/>
      <c r="E1442" s="16">
        <f>IF($A1442="","",$A1442&amp;"|"&amp;DAY($B1442))</f>
        <v/>
      </c>
      <c r="F1442" s="16">
        <f>IF($A1442="","",IF(COUNTIF(設定!$B$62:$B$201,$A1442)=0,"⚠ 查無員編",IF(COUNTIF($E$3:$E$2002,$E1442)&gt;1,"⚠ 重複打卡","OK")))</f>
        <v/>
      </c>
    </row>
    <row r="1443">
      <c r="A1443" s="20" t="n"/>
      <c r="B1443" s="18" t="n"/>
      <c r="C1443" s="81" t="n"/>
      <c r="D1443" s="81" t="n"/>
      <c r="E1443" s="16">
        <f>IF($A1443="","",$A1443&amp;"|"&amp;DAY($B1443))</f>
        <v/>
      </c>
      <c r="F1443" s="16">
        <f>IF($A1443="","",IF(COUNTIF(設定!$B$62:$B$201,$A1443)=0,"⚠ 查無員編",IF(COUNTIF($E$3:$E$2002,$E1443)&gt;1,"⚠ 重複打卡","OK")))</f>
        <v/>
      </c>
    </row>
    <row r="1444">
      <c r="A1444" s="20" t="n"/>
      <c r="B1444" s="18" t="n"/>
      <c r="C1444" s="81" t="n"/>
      <c r="D1444" s="81" t="n"/>
      <c r="E1444" s="16">
        <f>IF($A1444="","",$A1444&amp;"|"&amp;DAY($B1444))</f>
        <v/>
      </c>
      <c r="F1444" s="16">
        <f>IF($A1444="","",IF(COUNTIF(設定!$B$62:$B$201,$A1444)=0,"⚠ 查無員編",IF(COUNTIF($E$3:$E$2002,$E1444)&gt;1,"⚠ 重複打卡","OK")))</f>
        <v/>
      </c>
    </row>
    <row r="1445">
      <c r="A1445" s="20" t="n"/>
      <c r="B1445" s="18" t="n"/>
      <c r="C1445" s="81" t="n"/>
      <c r="D1445" s="81" t="n"/>
      <c r="E1445" s="16">
        <f>IF($A1445="","",$A1445&amp;"|"&amp;DAY($B1445))</f>
        <v/>
      </c>
      <c r="F1445" s="16">
        <f>IF($A1445="","",IF(COUNTIF(設定!$B$62:$B$201,$A1445)=0,"⚠ 查無員編",IF(COUNTIF($E$3:$E$2002,$E1445)&gt;1,"⚠ 重複打卡","OK")))</f>
        <v/>
      </c>
    </row>
    <row r="1446">
      <c r="A1446" s="20" t="n"/>
      <c r="B1446" s="18" t="n"/>
      <c r="C1446" s="81" t="n"/>
      <c r="D1446" s="81" t="n"/>
      <c r="E1446" s="16">
        <f>IF($A1446="","",$A1446&amp;"|"&amp;DAY($B1446))</f>
        <v/>
      </c>
      <c r="F1446" s="16">
        <f>IF($A1446="","",IF(COUNTIF(設定!$B$62:$B$201,$A1446)=0,"⚠ 查無員編",IF(COUNTIF($E$3:$E$2002,$E1446)&gt;1,"⚠ 重複打卡","OK")))</f>
        <v/>
      </c>
    </row>
    <row r="1447">
      <c r="A1447" s="20" t="n"/>
      <c r="B1447" s="18" t="n"/>
      <c r="C1447" s="81" t="n"/>
      <c r="D1447" s="81" t="n"/>
      <c r="E1447" s="16">
        <f>IF($A1447="","",$A1447&amp;"|"&amp;DAY($B1447))</f>
        <v/>
      </c>
      <c r="F1447" s="16">
        <f>IF($A1447="","",IF(COUNTIF(設定!$B$62:$B$201,$A1447)=0,"⚠ 查無員編",IF(COUNTIF($E$3:$E$2002,$E1447)&gt;1,"⚠ 重複打卡","OK")))</f>
        <v/>
      </c>
    </row>
    <row r="1448">
      <c r="A1448" s="20" t="n"/>
      <c r="B1448" s="18" t="n"/>
      <c r="C1448" s="81" t="n"/>
      <c r="D1448" s="81" t="n"/>
      <c r="E1448" s="16">
        <f>IF($A1448="","",$A1448&amp;"|"&amp;DAY($B1448))</f>
        <v/>
      </c>
      <c r="F1448" s="16">
        <f>IF($A1448="","",IF(COUNTIF(設定!$B$62:$B$201,$A1448)=0,"⚠ 查無員編",IF(COUNTIF($E$3:$E$2002,$E1448)&gt;1,"⚠ 重複打卡","OK")))</f>
        <v/>
      </c>
    </row>
    <row r="1449">
      <c r="A1449" s="20" t="n"/>
      <c r="B1449" s="18" t="n"/>
      <c r="C1449" s="81" t="n"/>
      <c r="D1449" s="81" t="n"/>
      <c r="E1449" s="16">
        <f>IF($A1449="","",$A1449&amp;"|"&amp;DAY($B1449))</f>
        <v/>
      </c>
      <c r="F1449" s="16">
        <f>IF($A1449="","",IF(COUNTIF(設定!$B$62:$B$201,$A1449)=0,"⚠ 查無員編",IF(COUNTIF($E$3:$E$2002,$E1449)&gt;1,"⚠ 重複打卡","OK")))</f>
        <v/>
      </c>
    </row>
    <row r="1450">
      <c r="A1450" s="20" t="n"/>
      <c r="B1450" s="18" t="n"/>
      <c r="C1450" s="81" t="n"/>
      <c r="D1450" s="81" t="n"/>
      <c r="E1450" s="16">
        <f>IF($A1450="","",$A1450&amp;"|"&amp;DAY($B1450))</f>
        <v/>
      </c>
      <c r="F1450" s="16">
        <f>IF($A1450="","",IF(COUNTIF(設定!$B$62:$B$201,$A1450)=0,"⚠ 查無員編",IF(COUNTIF($E$3:$E$2002,$E1450)&gt;1,"⚠ 重複打卡","OK")))</f>
        <v/>
      </c>
    </row>
    <row r="1451">
      <c r="A1451" s="20" t="n"/>
      <c r="B1451" s="18" t="n"/>
      <c r="C1451" s="81" t="n"/>
      <c r="D1451" s="81" t="n"/>
      <c r="E1451" s="16">
        <f>IF($A1451="","",$A1451&amp;"|"&amp;DAY($B1451))</f>
        <v/>
      </c>
      <c r="F1451" s="16">
        <f>IF($A1451="","",IF(COUNTIF(設定!$B$62:$B$201,$A1451)=0,"⚠ 查無員編",IF(COUNTIF($E$3:$E$2002,$E1451)&gt;1,"⚠ 重複打卡","OK")))</f>
        <v/>
      </c>
    </row>
    <row r="1452">
      <c r="A1452" s="20" t="n"/>
      <c r="B1452" s="18" t="n"/>
      <c r="C1452" s="81" t="n"/>
      <c r="D1452" s="81" t="n"/>
      <c r="E1452" s="16">
        <f>IF($A1452="","",$A1452&amp;"|"&amp;DAY($B1452))</f>
        <v/>
      </c>
      <c r="F1452" s="16">
        <f>IF($A1452="","",IF(COUNTIF(設定!$B$62:$B$201,$A1452)=0,"⚠ 查無員編",IF(COUNTIF($E$3:$E$2002,$E1452)&gt;1,"⚠ 重複打卡","OK")))</f>
        <v/>
      </c>
    </row>
    <row r="1453">
      <c r="A1453" s="20" t="n"/>
      <c r="B1453" s="18" t="n"/>
      <c r="C1453" s="81" t="n"/>
      <c r="D1453" s="81" t="n"/>
      <c r="E1453" s="16">
        <f>IF($A1453="","",$A1453&amp;"|"&amp;DAY($B1453))</f>
        <v/>
      </c>
      <c r="F1453" s="16">
        <f>IF($A1453="","",IF(COUNTIF(設定!$B$62:$B$201,$A1453)=0,"⚠ 查無員編",IF(COUNTIF($E$3:$E$2002,$E1453)&gt;1,"⚠ 重複打卡","OK")))</f>
        <v/>
      </c>
    </row>
    <row r="1454">
      <c r="A1454" s="20" t="n"/>
      <c r="B1454" s="18" t="n"/>
      <c r="C1454" s="81" t="n"/>
      <c r="D1454" s="81" t="n"/>
      <c r="E1454" s="16">
        <f>IF($A1454="","",$A1454&amp;"|"&amp;DAY($B1454))</f>
        <v/>
      </c>
      <c r="F1454" s="16">
        <f>IF($A1454="","",IF(COUNTIF(設定!$B$62:$B$201,$A1454)=0,"⚠ 查無員編",IF(COUNTIF($E$3:$E$2002,$E1454)&gt;1,"⚠ 重複打卡","OK")))</f>
        <v/>
      </c>
    </row>
    <row r="1455">
      <c r="A1455" s="20" t="n"/>
      <c r="B1455" s="18" t="n"/>
      <c r="C1455" s="81" t="n"/>
      <c r="D1455" s="81" t="n"/>
      <c r="E1455" s="16">
        <f>IF($A1455="","",$A1455&amp;"|"&amp;DAY($B1455))</f>
        <v/>
      </c>
      <c r="F1455" s="16">
        <f>IF($A1455="","",IF(COUNTIF(設定!$B$62:$B$201,$A1455)=0,"⚠ 查無員編",IF(COUNTIF($E$3:$E$2002,$E1455)&gt;1,"⚠ 重複打卡","OK")))</f>
        <v/>
      </c>
    </row>
    <row r="1456">
      <c r="A1456" s="20" t="n"/>
      <c r="B1456" s="18" t="n"/>
      <c r="C1456" s="81" t="n"/>
      <c r="D1456" s="81" t="n"/>
      <c r="E1456" s="16">
        <f>IF($A1456="","",$A1456&amp;"|"&amp;DAY($B1456))</f>
        <v/>
      </c>
      <c r="F1456" s="16">
        <f>IF($A1456="","",IF(COUNTIF(設定!$B$62:$B$201,$A1456)=0,"⚠ 查無員編",IF(COUNTIF($E$3:$E$2002,$E1456)&gt;1,"⚠ 重複打卡","OK")))</f>
        <v/>
      </c>
    </row>
    <row r="1457">
      <c r="A1457" s="20" t="n"/>
      <c r="B1457" s="18" t="n"/>
      <c r="C1457" s="81" t="n"/>
      <c r="D1457" s="81" t="n"/>
      <c r="E1457" s="16">
        <f>IF($A1457="","",$A1457&amp;"|"&amp;DAY($B1457))</f>
        <v/>
      </c>
      <c r="F1457" s="16">
        <f>IF($A1457="","",IF(COUNTIF(設定!$B$62:$B$201,$A1457)=0,"⚠ 查無員編",IF(COUNTIF($E$3:$E$2002,$E1457)&gt;1,"⚠ 重複打卡","OK")))</f>
        <v/>
      </c>
    </row>
    <row r="1458">
      <c r="A1458" s="20" t="n"/>
      <c r="B1458" s="18" t="n"/>
      <c r="C1458" s="81" t="n"/>
      <c r="D1458" s="81" t="n"/>
      <c r="E1458" s="16">
        <f>IF($A1458="","",$A1458&amp;"|"&amp;DAY($B1458))</f>
        <v/>
      </c>
      <c r="F1458" s="16">
        <f>IF($A1458="","",IF(COUNTIF(設定!$B$62:$B$201,$A1458)=0,"⚠ 查無員編",IF(COUNTIF($E$3:$E$2002,$E1458)&gt;1,"⚠ 重複打卡","OK")))</f>
        <v/>
      </c>
    </row>
    <row r="1459">
      <c r="A1459" s="20" t="n"/>
      <c r="B1459" s="18" t="n"/>
      <c r="C1459" s="81" t="n"/>
      <c r="D1459" s="81" t="n"/>
      <c r="E1459" s="16">
        <f>IF($A1459="","",$A1459&amp;"|"&amp;DAY($B1459))</f>
        <v/>
      </c>
      <c r="F1459" s="16">
        <f>IF($A1459="","",IF(COUNTIF(設定!$B$62:$B$201,$A1459)=0,"⚠ 查無員編",IF(COUNTIF($E$3:$E$2002,$E1459)&gt;1,"⚠ 重複打卡","OK")))</f>
        <v/>
      </c>
    </row>
    <row r="1460">
      <c r="A1460" s="20" t="n"/>
      <c r="B1460" s="18" t="n"/>
      <c r="C1460" s="81" t="n"/>
      <c r="D1460" s="81" t="n"/>
      <c r="E1460" s="16">
        <f>IF($A1460="","",$A1460&amp;"|"&amp;DAY($B1460))</f>
        <v/>
      </c>
      <c r="F1460" s="16">
        <f>IF($A1460="","",IF(COUNTIF(設定!$B$62:$B$201,$A1460)=0,"⚠ 查無員編",IF(COUNTIF($E$3:$E$2002,$E1460)&gt;1,"⚠ 重複打卡","OK")))</f>
        <v/>
      </c>
    </row>
    <row r="1461">
      <c r="A1461" s="20" t="n"/>
      <c r="B1461" s="18" t="n"/>
      <c r="C1461" s="81" t="n"/>
      <c r="D1461" s="81" t="n"/>
      <c r="E1461" s="16">
        <f>IF($A1461="","",$A1461&amp;"|"&amp;DAY($B1461))</f>
        <v/>
      </c>
      <c r="F1461" s="16">
        <f>IF($A1461="","",IF(COUNTIF(設定!$B$62:$B$201,$A1461)=0,"⚠ 查無員編",IF(COUNTIF($E$3:$E$2002,$E1461)&gt;1,"⚠ 重複打卡","OK")))</f>
        <v/>
      </c>
    </row>
    <row r="1462">
      <c r="A1462" s="20" t="n"/>
      <c r="B1462" s="18" t="n"/>
      <c r="C1462" s="81" t="n"/>
      <c r="D1462" s="81" t="n"/>
      <c r="E1462" s="16">
        <f>IF($A1462="","",$A1462&amp;"|"&amp;DAY($B1462))</f>
        <v/>
      </c>
      <c r="F1462" s="16">
        <f>IF($A1462="","",IF(COUNTIF(設定!$B$62:$B$201,$A1462)=0,"⚠ 查無員編",IF(COUNTIF($E$3:$E$2002,$E1462)&gt;1,"⚠ 重複打卡","OK")))</f>
        <v/>
      </c>
    </row>
    <row r="1463">
      <c r="A1463" s="20" t="n"/>
      <c r="B1463" s="18" t="n"/>
      <c r="C1463" s="81" t="n"/>
      <c r="D1463" s="81" t="n"/>
      <c r="E1463" s="16">
        <f>IF($A1463="","",$A1463&amp;"|"&amp;DAY($B1463))</f>
        <v/>
      </c>
      <c r="F1463" s="16">
        <f>IF($A1463="","",IF(COUNTIF(設定!$B$62:$B$201,$A1463)=0,"⚠ 查無員編",IF(COUNTIF($E$3:$E$2002,$E1463)&gt;1,"⚠ 重複打卡","OK")))</f>
        <v/>
      </c>
    </row>
    <row r="1464">
      <c r="A1464" s="20" t="n"/>
      <c r="B1464" s="18" t="n"/>
      <c r="C1464" s="81" t="n"/>
      <c r="D1464" s="81" t="n"/>
      <c r="E1464" s="16">
        <f>IF($A1464="","",$A1464&amp;"|"&amp;DAY($B1464))</f>
        <v/>
      </c>
      <c r="F1464" s="16">
        <f>IF($A1464="","",IF(COUNTIF(設定!$B$62:$B$201,$A1464)=0,"⚠ 查無員編",IF(COUNTIF($E$3:$E$2002,$E1464)&gt;1,"⚠ 重複打卡","OK")))</f>
        <v/>
      </c>
    </row>
    <row r="1465">
      <c r="A1465" s="20" t="n"/>
      <c r="B1465" s="18" t="n"/>
      <c r="C1465" s="81" t="n"/>
      <c r="D1465" s="81" t="n"/>
      <c r="E1465" s="16">
        <f>IF($A1465="","",$A1465&amp;"|"&amp;DAY($B1465))</f>
        <v/>
      </c>
      <c r="F1465" s="16">
        <f>IF($A1465="","",IF(COUNTIF(設定!$B$62:$B$201,$A1465)=0,"⚠ 查無員編",IF(COUNTIF($E$3:$E$2002,$E1465)&gt;1,"⚠ 重複打卡","OK")))</f>
        <v/>
      </c>
    </row>
    <row r="1466">
      <c r="A1466" s="20" t="n"/>
      <c r="B1466" s="18" t="n"/>
      <c r="C1466" s="81" t="n"/>
      <c r="D1466" s="81" t="n"/>
      <c r="E1466" s="16">
        <f>IF($A1466="","",$A1466&amp;"|"&amp;DAY($B1466))</f>
        <v/>
      </c>
      <c r="F1466" s="16">
        <f>IF($A1466="","",IF(COUNTIF(設定!$B$62:$B$201,$A1466)=0,"⚠ 查無員編",IF(COUNTIF($E$3:$E$2002,$E1466)&gt;1,"⚠ 重複打卡","OK")))</f>
        <v/>
      </c>
    </row>
    <row r="1467">
      <c r="A1467" s="20" t="n"/>
      <c r="B1467" s="18" t="n"/>
      <c r="C1467" s="81" t="n"/>
      <c r="D1467" s="81" t="n"/>
      <c r="E1467" s="16">
        <f>IF($A1467="","",$A1467&amp;"|"&amp;DAY($B1467))</f>
        <v/>
      </c>
      <c r="F1467" s="16">
        <f>IF($A1467="","",IF(COUNTIF(設定!$B$62:$B$201,$A1467)=0,"⚠ 查無員編",IF(COUNTIF($E$3:$E$2002,$E1467)&gt;1,"⚠ 重複打卡","OK")))</f>
        <v/>
      </c>
    </row>
    <row r="1468">
      <c r="A1468" s="20" t="n"/>
      <c r="B1468" s="18" t="n"/>
      <c r="C1468" s="81" t="n"/>
      <c r="D1468" s="81" t="n"/>
      <c r="E1468" s="16">
        <f>IF($A1468="","",$A1468&amp;"|"&amp;DAY($B1468))</f>
        <v/>
      </c>
      <c r="F1468" s="16">
        <f>IF($A1468="","",IF(COUNTIF(設定!$B$62:$B$201,$A1468)=0,"⚠ 查無員編",IF(COUNTIF($E$3:$E$2002,$E1468)&gt;1,"⚠ 重複打卡","OK")))</f>
        <v/>
      </c>
    </row>
    <row r="1469">
      <c r="A1469" s="20" t="n"/>
      <c r="B1469" s="18" t="n"/>
      <c r="C1469" s="81" t="n"/>
      <c r="D1469" s="81" t="n"/>
      <c r="E1469" s="16">
        <f>IF($A1469="","",$A1469&amp;"|"&amp;DAY($B1469))</f>
        <v/>
      </c>
      <c r="F1469" s="16">
        <f>IF($A1469="","",IF(COUNTIF(設定!$B$62:$B$201,$A1469)=0,"⚠ 查無員編",IF(COUNTIF($E$3:$E$2002,$E1469)&gt;1,"⚠ 重複打卡","OK")))</f>
        <v/>
      </c>
    </row>
    <row r="1470">
      <c r="A1470" s="20" t="n"/>
      <c r="B1470" s="18" t="n"/>
      <c r="C1470" s="81" t="n"/>
      <c r="D1470" s="81" t="n"/>
      <c r="E1470" s="16">
        <f>IF($A1470="","",$A1470&amp;"|"&amp;DAY($B1470))</f>
        <v/>
      </c>
      <c r="F1470" s="16">
        <f>IF($A1470="","",IF(COUNTIF(設定!$B$62:$B$201,$A1470)=0,"⚠ 查無員編",IF(COUNTIF($E$3:$E$2002,$E1470)&gt;1,"⚠ 重複打卡","OK")))</f>
        <v/>
      </c>
    </row>
    <row r="1471">
      <c r="A1471" s="20" t="n"/>
      <c r="B1471" s="18" t="n"/>
      <c r="C1471" s="81" t="n"/>
      <c r="D1471" s="81" t="n"/>
      <c r="E1471" s="16">
        <f>IF($A1471="","",$A1471&amp;"|"&amp;DAY($B1471))</f>
        <v/>
      </c>
      <c r="F1471" s="16">
        <f>IF($A1471="","",IF(COUNTIF(設定!$B$62:$B$201,$A1471)=0,"⚠ 查無員編",IF(COUNTIF($E$3:$E$2002,$E1471)&gt;1,"⚠ 重複打卡","OK")))</f>
        <v/>
      </c>
    </row>
    <row r="1472">
      <c r="A1472" s="20" t="n"/>
      <c r="B1472" s="18" t="n"/>
      <c r="C1472" s="81" t="n"/>
      <c r="D1472" s="81" t="n"/>
      <c r="E1472" s="16">
        <f>IF($A1472="","",$A1472&amp;"|"&amp;DAY($B1472))</f>
        <v/>
      </c>
      <c r="F1472" s="16">
        <f>IF($A1472="","",IF(COUNTIF(設定!$B$62:$B$201,$A1472)=0,"⚠ 查無員編",IF(COUNTIF($E$3:$E$2002,$E1472)&gt;1,"⚠ 重複打卡","OK")))</f>
        <v/>
      </c>
    </row>
    <row r="1473">
      <c r="A1473" s="20" t="n"/>
      <c r="B1473" s="18" t="n"/>
      <c r="C1473" s="81" t="n"/>
      <c r="D1473" s="81" t="n"/>
      <c r="E1473" s="16">
        <f>IF($A1473="","",$A1473&amp;"|"&amp;DAY($B1473))</f>
        <v/>
      </c>
      <c r="F1473" s="16">
        <f>IF($A1473="","",IF(COUNTIF(設定!$B$62:$B$201,$A1473)=0,"⚠ 查無員編",IF(COUNTIF($E$3:$E$2002,$E1473)&gt;1,"⚠ 重複打卡","OK")))</f>
        <v/>
      </c>
    </row>
    <row r="1474">
      <c r="A1474" s="20" t="n"/>
      <c r="B1474" s="18" t="n"/>
      <c r="C1474" s="81" t="n"/>
      <c r="D1474" s="81" t="n"/>
      <c r="E1474" s="16">
        <f>IF($A1474="","",$A1474&amp;"|"&amp;DAY($B1474))</f>
        <v/>
      </c>
      <c r="F1474" s="16">
        <f>IF($A1474="","",IF(COUNTIF(設定!$B$62:$B$201,$A1474)=0,"⚠ 查無員編",IF(COUNTIF($E$3:$E$2002,$E1474)&gt;1,"⚠ 重複打卡","OK")))</f>
        <v/>
      </c>
    </row>
    <row r="1475">
      <c r="A1475" s="20" t="n"/>
      <c r="B1475" s="18" t="n"/>
      <c r="C1475" s="81" t="n"/>
      <c r="D1475" s="81" t="n"/>
      <c r="E1475" s="16">
        <f>IF($A1475="","",$A1475&amp;"|"&amp;DAY($B1475))</f>
        <v/>
      </c>
      <c r="F1475" s="16">
        <f>IF($A1475="","",IF(COUNTIF(設定!$B$62:$B$201,$A1475)=0,"⚠ 查無員編",IF(COUNTIF($E$3:$E$2002,$E1475)&gt;1,"⚠ 重複打卡","OK")))</f>
        <v/>
      </c>
    </row>
    <row r="1476">
      <c r="A1476" s="20" t="n"/>
      <c r="B1476" s="18" t="n"/>
      <c r="C1476" s="81" t="n"/>
      <c r="D1476" s="81" t="n"/>
      <c r="E1476" s="16">
        <f>IF($A1476="","",$A1476&amp;"|"&amp;DAY($B1476))</f>
        <v/>
      </c>
      <c r="F1476" s="16">
        <f>IF($A1476="","",IF(COUNTIF(設定!$B$62:$B$201,$A1476)=0,"⚠ 查無員編",IF(COUNTIF($E$3:$E$2002,$E1476)&gt;1,"⚠ 重複打卡","OK")))</f>
        <v/>
      </c>
    </row>
    <row r="1477">
      <c r="A1477" s="20" t="n"/>
      <c r="B1477" s="18" t="n"/>
      <c r="C1477" s="81" t="n"/>
      <c r="D1477" s="81" t="n"/>
      <c r="E1477" s="16">
        <f>IF($A1477="","",$A1477&amp;"|"&amp;DAY($B1477))</f>
        <v/>
      </c>
      <c r="F1477" s="16">
        <f>IF($A1477="","",IF(COUNTIF(設定!$B$62:$B$201,$A1477)=0,"⚠ 查無員編",IF(COUNTIF($E$3:$E$2002,$E1477)&gt;1,"⚠ 重複打卡","OK")))</f>
        <v/>
      </c>
    </row>
    <row r="1478">
      <c r="A1478" s="20" t="n"/>
      <c r="B1478" s="18" t="n"/>
      <c r="C1478" s="81" t="n"/>
      <c r="D1478" s="81" t="n"/>
      <c r="E1478" s="16">
        <f>IF($A1478="","",$A1478&amp;"|"&amp;DAY($B1478))</f>
        <v/>
      </c>
      <c r="F1478" s="16">
        <f>IF($A1478="","",IF(COUNTIF(設定!$B$62:$B$201,$A1478)=0,"⚠ 查無員編",IF(COUNTIF($E$3:$E$2002,$E1478)&gt;1,"⚠ 重複打卡","OK")))</f>
        <v/>
      </c>
    </row>
    <row r="1479">
      <c r="A1479" s="20" t="n"/>
      <c r="B1479" s="18" t="n"/>
      <c r="C1479" s="81" t="n"/>
      <c r="D1479" s="81" t="n"/>
      <c r="E1479" s="16">
        <f>IF($A1479="","",$A1479&amp;"|"&amp;DAY($B1479))</f>
        <v/>
      </c>
      <c r="F1479" s="16">
        <f>IF($A1479="","",IF(COUNTIF(設定!$B$62:$B$201,$A1479)=0,"⚠ 查無員編",IF(COUNTIF($E$3:$E$2002,$E1479)&gt;1,"⚠ 重複打卡","OK")))</f>
        <v/>
      </c>
    </row>
    <row r="1480">
      <c r="A1480" s="20" t="n"/>
      <c r="B1480" s="18" t="n"/>
      <c r="C1480" s="81" t="n"/>
      <c r="D1480" s="81" t="n"/>
      <c r="E1480" s="16">
        <f>IF($A1480="","",$A1480&amp;"|"&amp;DAY($B1480))</f>
        <v/>
      </c>
      <c r="F1480" s="16">
        <f>IF($A1480="","",IF(COUNTIF(設定!$B$62:$B$201,$A1480)=0,"⚠ 查無員編",IF(COUNTIF($E$3:$E$2002,$E1480)&gt;1,"⚠ 重複打卡","OK")))</f>
        <v/>
      </c>
    </row>
    <row r="1481">
      <c r="A1481" s="20" t="n"/>
      <c r="B1481" s="18" t="n"/>
      <c r="C1481" s="81" t="n"/>
      <c r="D1481" s="81" t="n"/>
      <c r="E1481" s="16">
        <f>IF($A1481="","",$A1481&amp;"|"&amp;DAY($B1481))</f>
        <v/>
      </c>
      <c r="F1481" s="16">
        <f>IF($A1481="","",IF(COUNTIF(設定!$B$62:$B$201,$A1481)=0,"⚠ 查無員編",IF(COUNTIF($E$3:$E$2002,$E1481)&gt;1,"⚠ 重複打卡","OK")))</f>
        <v/>
      </c>
    </row>
    <row r="1482">
      <c r="A1482" s="20" t="n"/>
      <c r="B1482" s="18" t="n"/>
      <c r="C1482" s="81" t="n"/>
      <c r="D1482" s="81" t="n"/>
      <c r="E1482" s="16">
        <f>IF($A1482="","",$A1482&amp;"|"&amp;DAY($B1482))</f>
        <v/>
      </c>
      <c r="F1482" s="16">
        <f>IF($A1482="","",IF(COUNTIF(設定!$B$62:$B$201,$A1482)=0,"⚠ 查無員編",IF(COUNTIF($E$3:$E$2002,$E1482)&gt;1,"⚠ 重複打卡","OK")))</f>
        <v/>
      </c>
    </row>
    <row r="1483">
      <c r="A1483" s="20" t="n"/>
      <c r="B1483" s="18" t="n"/>
      <c r="C1483" s="81" t="n"/>
      <c r="D1483" s="81" t="n"/>
      <c r="E1483" s="16">
        <f>IF($A1483="","",$A1483&amp;"|"&amp;DAY($B1483))</f>
        <v/>
      </c>
      <c r="F1483" s="16">
        <f>IF($A1483="","",IF(COUNTIF(設定!$B$62:$B$201,$A1483)=0,"⚠ 查無員編",IF(COUNTIF($E$3:$E$2002,$E1483)&gt;1,"⚠ 重複打卡","OK")))</f>
        <v/>
      </c>
    </row>
    <row r="1484">
      <c r="A1484" s="20" t="n"/>
      <c r="B1484" s="18" t="n"/>
      <c r="C1484" s="81" t="n"/>
      <c r="D1484" s="81" t="n"/>
      <c r="E1484" s="16">
        <f>IF($A1484="","",$A1484&amp;"|"&amp;DAY($B1484))</f>
        <v/>
      </c>
      <c r="F1484" s="16">
        <f>IF($A1484="","",IF(COUNTIF(設定!$B$62:$B$201,$A1484)=0,"⚠ 查無員編",IF(COUNTIF($E$3:$E$2002,$E1484)&gt;1,"⚠ 重複打卡","OK")))</f>
        <v/>
      </c>
    </row>
    <row r="1485">
      <c r="A1485" s="20" t="n"/>
      <c r="B1485" s="18" t="n"/>
      <c r="C1485" s="81" t="n"/>
      <c r="D1485" s="81" t="n"/>
      <c r="E1485" s="16">
        <f>IF($A1485="","",$A1485&amp;"|"&amp;DAY($B1485))</f>
        <v/>
      </c>
      <c r="F1485" s="16">
        <f>IF($A1485="","",IF(COUNTIF(設定!$B$62:$B$201,$A1485)=0,"⚠ 查無員編",IF(COUNTIF($E$3:$E$2002,$E1485)&gt;1,"⚠ 重複打卡","OK")))</f>
        <v/>
      </c>
    </row>
    <row r="1486">
      <c r="A1486" s="20" t="n"/>
      <c r="B1486" s="18" t="n"/>
      <c r="C1486" s="81" t="n"/>
      <c r="D1486" s="81" t="n"/>
      <c r="E1486" s="16">
        <f>IF($A1486="","",$A1486&amp;"|"&amp;DAY($B1486))</f>
        <v/>
      </c>
      <c r="F1486" s="16">
        <f>IF($A1486="","",IF(COUNTIF(設定!$B$62:$B$201,$A1486)=0,"⚠ 查無員編",IF(COUNTIF($E$3:$E$2002,$E1486)&gt;1,"⚠ 重複打卡","OK")))</f>
        <v/>
      </c>
    </row>
    <row r="1487">
      <c r="A1487" s="20" t="n"/>
      <c r="B1487" s="18" t="n"/>
      <c r="C1487" s="81" t="n"/>
      <c r="D1487" s="81" t="n"/>
      <c r="E1487" s="16">
        <f>IF($A1487="","",$A1487&amp;"|"&amp;DAY($B1487))</f>
        <v/>
      </c>
      <c r="F1487" s="16">
        <f>IF($A1487="","",IF(COUNTIF(設定!$B$62:$B$201,$A1487)=0,"⚠ 查無員編",IF(COUNTIF($E$3:$E$2002,$E1487)&gt;1,"⚠ 重複打卡","OK")))</f>
        <v/>
      </c>
    </row>
    <row r="1488">
      <c r="A1488" s="20" t="n"/>
      <c r="B1488" s="18" t="n"/>
      <c r="C1488" s="81" t="n"/>
      <c r="D1488" s="81" t="n"/>
      <c r="E1488" s="16">
        <f>IF($A1488="","",$A1488&amp;"|"&amp;DAY($B1488))</f>
        <v/>
      </c>
      <c r="F1488" s="16">
        <f>IF($A1488="","",IF(COUNTIF(設定!$B$62:$B$201,$A1488)=0,"⚠ 查無員編",IF(COUNTIF($E$3:$E$2002,$E1488)&gt;1,"⚠ 重複打卡","OK")))</f>
        <v/>
      </c>
    </row>
    <row r="1489">
      <c r="A1489" s="20" t="n"/>
      <c r="B1489" s="18" t="n"/>
      <c r="C1489" s="81" t="n"/>
      <c r="D1489" s="81" t="n"/>
      <c r="E1489" s="16">
        <f>IF($A1489="","",$A1489&amp;"|"&amp;DAY($B1489))</f>
        <v/>
      </c>
      <c r="F1489" s="16">
        <f>IF($A1489="","",IF(COUNTIF(設定!$B$62:$B$201,$A1489)=0,"⚠ 查無員編",IF(COUNTIF($E$3:$E$2002,$E1489)&gt;1,"⚠ 重複打卡","OK")))</f>
        <v/>
      </c>
    </row>
    <row r="1490">
      <c r="A1490" s="20" t="n"/>
      <c r="B1490" s="18" t="n"/>
      <c r="C1490" s="81" t="n"/>
      <c r="D1490" s="81" t="n"/>
      <c r="E1490" s="16">
        <f>IF($A1490="","",$A1490&amp;"|"&amp;DAY($B1490))</f>
        <v/>
      </c>
      <c r="F1490" s="16">
        <f>IF($A1490="","",IF(COUNTIF(設定!$B$62:$B$201,$A1490)=0,"⚠ 查無員編",IF(COUNTIF($E$3:$E$2002,$E1490)&gt;1,"⚠ 重複打卡","OK")))</f>
        <v/>
      </c>
    </row>
    <row r="1491">
      <c r="A1491" s="20" t="n"/>
      <c r="B1491" s="18" t="n"/>
      <c r="C1491" s="81" t="n"/>
      <c r="D1491" s="81" t="n"/>
      <c r="E1491" s="16">
        <f>IF($A1491="","",$A1491&amp;"|"&amp;DAY($B1491))</f>
        <v/>
      </c>
      <c r="F1491" s="16">
        <f>IF($A1491="","",IF(COUNTIF(設定!$B$62:$B$201,$A1491)=0,"⚠ 查無員編",IF(COUNTIF($E$3:$E$2002,$E1491)&gt;1,"⚠ 重複打卡","OK")))</f>
        <v/>
      </c>
    </row>
    <row r="1492">
      <c r="A1492" s="20" t="n"/>
      <c r="B1492" s="18" t="n"/>
      <c r="C1492" s="81" t="n"/>
      <c r="D1492" s="81" t="n"/>
      <c r="E1492" s="16">
        <f>IF($A1492="","",$A1492&amp;"|"&amp;DAY($B1492))</f>
        <v/>
      </c>
      <c r="F1492" s="16">
        <f>IF($A1492="","",IF(COUNTIF(設定!$B$62:$B$201,$A1492)=0,"⚠ 查無員編",IF(COUNTIF($E$3:$E$2002,$E1492)&gt;1,"⚠ 重複打卡","OK")))</f>
        <v/>
      </c>
    </row>
    <row r="1493">
      <c r="A1493" s="20" t="n"/>
      <c r="B1493" s="18" t="n"/>
      <c r="C1493" s="81" t="n"/>
      <c r="D1493" s="81" t="n"/>
      <c r="E1493" s="16">
        <f>IF($A1493="","",$A1493&amp;"|"&amp;DAY($B1493))</f>
        <v/>
      </c>
      <c r="F1493" s="16">
        <f>IF($A1493="","",IF(COUNTIF(設定!$B$62:$B$201,$A1493)=0,"⚠ 查無員編",IF(COUNTIF($E$3:$E$2002,$E1493)&gt;1,"⚠ 重複打卡","OK")))</f>
        <v/>
      </c>
    </row>
    <row r="1494">
      <c r="A1494" s="20" t="n"/>
      <c r="B1494" s="18" t="n"/>
      <c r="C1494" s="81" t="n"/>
      <c r="D1494" s="81" t="n"/>
      <c r="E1494" s="16">
        <f>IF($A1494="","",$A1494&amp;"|"&amp;DAY($B1494))</f>
        <v/>
      </c>
      <c r="F1494" s="16">
        <f>IF($A1494="","",IF(COUNTIF(設定!$B$62:$B$201,$A1494)=0,"⚠ 查無員編",IF(COUNTIF($E$3:$E$2002,$E1494)&gt;1,"⚠ 重複打卡","OK")))</f>
        <v/>
      </c>
    </row>
    <row r="1495">
      <c r="A1495" s="20" t="n"/>
      <c r="B1495" s="18" t="n"/>
      <c r="C1495" s="81" t="n"/>
      <c r="D1495" s="81" t="n"/>
      <c r="E1495" s="16">
        <f>IF($A1495="","",$A1495&amp;"|"&amp;DAY($B1495))</f>
        <v/>
      </c>
      <c r="F1495" s="16">
        <f>IF($A1495="","",IF(COUNTIF(設定!$B$62:$B$201,$A1495)=0,"⚠ 查無員編",IF(COUNTIF($E$3:$E$2002,$E1495)&gt;1,"⚠ 重複打卡","OK")))</f>
        <v/>
      </c>
    </row>
    <row r="1496">
      <c r="A1496" s="20" t="n"/>
      <c r="B1496" s="18" t="n"/>
      <c r="C1496" s="81" t="n"/>
      <c r="D1496" s="81" t="n"/>
      <c r="E1496" s="16">
        <f>IF($A1496="","",$A1496&amp;"|"&amp;DAY($B1496))</f>
        <v/>
      </c>
      <c r="F1496" s="16">
        <f>IF($A1496="","",IF(COUNTIF(設定!$B$62:$B$201,$A1496)=0,"⚠ 查無員編",IF(COUNTIF($E$3:$E$2002,$E1496)&gt;1,"⚠ 重複打卡","OK")))</f>
        <v/>
      </c>
    </row>
    <row r="1497">
      <c r="A1497" s="20" t="n"/>
      <c r="B1497" s="18" t="n"/>
      <c r="C1497" s="81" t="n"/>
      <c r="D1497" s="81" t="n"/>
      <c r="E1497" s="16">
        <f>IF($A1497="","",$A1497&amp;"|"&amp;DAY($B1497))</f>
        <v/>
      </c>
      <c r="F1497" s="16">
        <f>IF($A1497="","",IF(COUNTIF(設定!$B$62:$B$201,$A1497)=0,"⚠ 查無員編",IF(COUNTIF($E$3:$E$2002,$E1497)&gt;1,"⚠ 重複打卡","OK")))</f>
        <v/>
      </c>
    </row>
    <row r="1498">
      <c r="A1498" s="20" t="n"/>
      <c r="B1498" s="18" t="n"/>
      <c r="C1498" s="81" t="n"/>
      <c r="D1498" s="81" t="n"/>
      <c r="E1498" s="16">
        <f>IF($A1498="","",$A1498&amp;"|"&amp;DAY($B1498))</f>
        <v/>
      </c>
      <c r="F1498" s="16">
        <f>IF($A1498="","",IF(COUNTIF(設定!$B$62:$B$201,$A1498)=0,"⚠ 查無員編",IF(COUNTIF($E$3:$E$2002,$E1498)&gt;1,"⚠ 重複打卡","OK")))</f>
        <v/>
      </c>
    </row>
    <row r="1499">
      <c r="A1499" s="20" t="n"/>
      <c r="B1499" s="18" t="n"/>
      <c r="C1499" s="81" t="n"/>
      <c r="D1499" s="81" t="n"/>
      <c r="E1499" s="16">
        <f>IF($A1499="","",$A1499&amp;"|"&amp;DAY($B1499))</f>
        <v/>
      </c>
      <c r="F1499" s="16">
        <f>IF($A1499="","",IF(COUNTIF(設定!$B$62:$B$201,$A1499)=0,"⚠ 查無員編",IF(COUNTIF($E$3:$E$2002,$E1499)&gt;1,"⚠ 重複打卡","OK")))</f>
        <v/>
      </c>
    </row>
    <row r="1500">
      <c r="A1500" s="20" t="n"/>
      <c r="B1500" s="18" t="n"/>
      <c r="C1500" s="81" t="n"/>
      <c r="D1500" s="81" t="n"/>
      <c r="E1500" s="16">
        <f>IF($A1500="","",$A1500&amp;"|"&amp;DAY($B1500))</f>
        <v/>
      </c>
      <c r="F1500" s="16">
        <f>IF($A1500="","",IF(COUNTIF(設定!$B$62:$B$201,$A1500)=0,"⚠ 查無員編",IF(COUNTIF($E$3:$E$2002,$E1500)&gt;1,"⚠ 重複打卡","OK")))</f>
        <v/>
      </c>
    </row>
    <row r="1501">
      <c r="A1501" s="20" t="n"/>
      <c r="B1501" s="18" t="n"/>
      <c r="C1501" s="81" t="n"/>
      <c r="D1501" s="81" t="n"/>
      <c r="E1501" s="16">
        <f>IF($A1501="","",$A1501&amp;"|"&amp;DAY($B1501))</f>
        <v/>
      </c>
      <c r="F1501" s="16">
        <f>IF($A1501="","",IF(COUNTIF(設定!$B$62:$B$201,$A1501)=0,"⚠ 查無員編",IF(COUNTIF($E$3:$E$2002,$E1501)&gt;1,"⚠ 重複打卡","OK")))</f>
        <v/>
      </c>
    </row>
    <row r="1502">
      <c r="A1502" s="20" t="n"/>
      <c r="B1502" s="18" t="n"/>
      <c r="C1502" s="81" t="n"/>
      <c r="D1502" s="81" t="n"/>
      <c r="E1502" s="16">
        <f>IF($A1502="","",$A1502&amp;"|"&amp;DAY($B1502))</f>
        <v/>
      </c>
      <c r="F1502" s="16">
        <f>IF($A1502="","",IF(COUNTIF(設定!$B$62:$B$201,$A1502)=0,"⚠ 查無員編",IF(COUNTIF($E$3:$E$2002,$E1502)&gt;1,"⚠ 重複打卡","OK")))</f>
        <v/>
      </c>
    </row>
    <row r="1503">
      <c r="A1503" s="20" t="n"/>
      <c r="B1503" s="18" t="n"/>
      <c r="C1503" s="81" t="n"/>
      <c r="D1503" s="81" t="n"/>
      <c r="E1503" s="16">
        <f>IF($A1503="","",$A1503&amp;"|"&amp;DAY($B1503))</f>
        <v/>
      </c>
      <c r="F1503" s="16">
        <f>IF($A1503="","",IF(COUNTIF(設定!$B$62:$B$201,$A1503)=0,"⚠ 查無員編",IF(COUNTIF($E$3:$E$2002,$E1503)&gt;1,"⚠ 重複打卡","OK")))</f>
        <v/>
      </c>
    </row>
    <row r="1504">
      <c r="A1504" s="20" t="n"/>
      <c r="B1504" s="18" t="n"/>
      <c r="C1504" s="81" t="n"/>
      <c r="D1504" s="81" t="n"/>
      <c r="E1504" s="16">
        <f>IF($A1504="","",$A1504&amp;"|"&amp;DAY($B1504))</f>
        <v/>
      </c>
      <c r="F1504" s="16">
        <f>IF($A1504="","",IF(COUNTIF(設定!$B$62:$B$201,$A1504)=0,"⚠ 查無員編",IF(COUNTIF($E$3:$E$2002,$E1504)&gt;1,"⚠ 重複打卡","OK")))</f>
        <v/>
      </c>
    </row>
    <row r="1505">
      <c r="A1505" s="20" t="n"/>
      <c r="B1505" s="18" t="n"/>
      <c r="C1505" s="81" t="n"/>
      <c r="D1505" s="81" t="n"/>
      <c r="E1505" s="16">
        <f>IF($A1505="","",$A1505&amp;"|"&amp;DAY($B1505))</f>
        <v/>
      </c>
      <c r="F1505" s="16">
        <f>IF($A1505="","",IF(COUNTIF(設定!$B$62:$B$201,$A1505)=0,"⚠ 查無員編",IF(COUNTIF($E$3:$E$2002,$E1505)&gt;1,"⚠ 重複打卡","OK")))</f>
        <v/>
      </c>
    </row>
    <row r="1506">
      <c r="A1506" s="20" t="n"/>
      <c r="B1506" s="18" t="n"/>
      <c r="C1506" s="81" t="n"/>
      <c r="D1506" s="81" t="n"/>
      <c r="E1506" s="16">
        <f>IF($A1506="","",$A1506&amp;"|"&amp;DAY($B1506))</f>
        <v/>
      </c>
      <c r="F1506" s="16">
        <f>IF($A1506="","",IF(COUNTIF(設定!$B$62:$B$201,$A1506)=0,"⚠ 查無員編",IF(COUNTIF($E$3:$E$2002,$E1506)&gt;1,"⚠ 重複打卡","OK")))</f>
        <v/>
      </c>
    </row>
    <row r="1507">
      <c r="A1507" s="20" t="n"/>
      <c r="B1507" s="18" t="n"/>
      <c r="C1507" s="81" t="n"/>
      <c r="D1507" s="81" t="n"/>
      <c r="E1507" s="16">
        <f>IF($A1507="","",$A1507&amp;"|"&amp;DAY($B1507))</f>
        <v/>
      </c>
      <c r="F1507" s="16">
        <f>IF($A1507="","",IF(COUNTIF(設定!$B$62:$B$201,$A1507)=0,"⚠ 查無員編",IF(COUNTIF($E$3:$E$2002,$E1507)&gt;1,"⚠ 重複打卡","OK")))</f>
        <v/>
      </c>
    </row>
    <row r="1508">
      <c r="A1508" s="20" t="n"/>
      <c r="B1508" s="18" t="n"/>
      <c r="C1508" s="81" t="n"/>
      <c r="D1508" s="81" t="n"/>
      <c r="E1508" s="16">
        <f>IF($A1508="","",$A1508&amp;"|"&amp;DAY($B1508))</f>
        <v/>
      </c>
      <c r="F1508" s="16">
        <f>IF($A1508="","",IF(COUNTIF(設定!$B$62:$B$201,$A1508)=0,"⚠ 查無員編",IF(COUNTIF($E$3:$E$2002,$E1508)&gt;1,"⚠ 重複打卡","OK")))</f>
        <v/>
      </c>
    </row>
    <row r="1509">
      <c r="A1509" s="20" t="n"/>
      <c r="B1509" s="18" t="n"/>
      <c r="C1509" s="81" t="n"/>
      <c r="D1509" s="81" t="n"/>
      <c r="E1509" s="16">
        <f>IF($A1509="","",$A1509&amp;"|"&amp;DAY($B1509))</f>
        <v/>
      </c>
      <c r="F1509" s="16">
        <f>IF($A1509="","",IF(COUNTIF(設定!$B$62:$B$201,$A1509)=0,"⚠ 查無員編",IF(COUNTIF($E$3:$E$2002,$E1509)&gt;1,"⚠ 重複打卡","OK")))</f>
        <v/>
      </c>
    </row>
    <row r="1510">
      <c r="A1510" s="20" t="n"/>
      <c r="B1510" s="18" t="n"/>
      <c r="C1510" s="81" t="n"/>
      <c r="D1510" s="81" t="n"/>
      <c r="E1510" s="16">
        <f>IF($A1510="","",$A1510&amp;"|"&amp;DAY($B1510))</f>
        <v/>
      </c>
      <c r="F1510" s="16">
        <f>IF($A1510="","",IF(COUNTIF(設定!$B$62:$B$201,$A1510)=0,"⚠ 查無員編",IF(COUNTIF($E$3:$E$2002,$E1510)&gt;1,"⚠ 重複打卡","OK")))</f>
        <v/>
      </c>
    </row>
    <row r="1511">
      <c r="A1511" s="20" t="n"/>
      <c r="B1511" s="18" t="n"/>
      <c r="C1511" s="81" t="n"/>
      <c r="D1511" s="81" t="n"/>
      <c r="E1511" s="16">
        <f>IF($A1511="","",$A1511&amp;"|"&amp;DAY($B1511))</f>
        <v/>
      </c>
      <c r="F1511" s="16">
        <f>IF($A1511="","",IF(COUNTIF(設定!$B$62:$B$201,$A1511)=0,"⚠ 查無員編",IF(COUNTIF($E$3:$E$2002,$E1511)&gt;1,"⚠ 重複打卡","OK")))</f>
        <v/>
      </c>
    </row>
    <row r="1512">
      <c r="A1512" s="20" t="n"/>
      <c r="B1512" s="18" t="n"/>
      <c r="C1512" s="81" t="n"/>
      <c r="D1512" s="81" t="n"/>
      <c r="E1512" s="16">
        <f>IF($A1512="","",$A1512&amp;"|"&amp;DAY($B1512))</f>
        <v/>
      </c>
      <c r="F1512" s="16">
        <f>IF($A1512="","",IF(COUNTIF(設定!$B$62:$B$201,$A1512)=0,"⚠ 查無員編",IF(COUNTIF($E$3:$E$2002,$E1512)&gt;1,"⚠ 重複打卡","OK")))</f>
        <v/>
      </c>
    </row>
    <row r="1513">
      <c r="A1513" s="20" t="n"/>
      <c r="B1513" s="18" t="n"/>
      <c r="C1513" s="81" t="n"/>
      <c r="D1513" s="81" t="n"/>
      <c r="E1513" s="16">
        <f>IF($A1513="","",$A1513&amp;"|"&amp;DAY($B1513))</f>
        <v/>
      </c>
      <c r="F1513" s="16">
        <f>IF($A1513="","",IF(COUNTIF(設定!$B$62:$B$201,$A1513)=0,"⚠ 查無員編",IF(COUNTIF($E$3:$E$2002,$E1513)&gt;1,"⚠ 重複打卡","OK")))</f>
        <v/>
      </c>
    </row>
    <row r="1514">
      <c r="A1514" s="20" t="n"/>
      <c r="B1514" s="18" t="n"/>
      <c r="C1514" s="81" t="n"/>
      <c r="D1514" s="81" t="n"/>
      <c r="E1514" s="16">
        <f>IF($A1514="","",$A1514&amp;"|"&amp;DAY($B1514))</f>
        <v/>
      </c>
      <c r="F1514" s="16">
        <f>IF($A1514="","",IF(COUNTIF(設定!$B$62:$B$201,$A1514)=0,"⚠ 查無員編",IF(COUNTIF($E$3:$E$2002,$E1514)&gt;1,"⚠ 重複打卡","OK")))</f>
        <v/>
      </c>
    </row>
    <row r="1515">
      <c r="A1515" s="20" t="n"/>
      <c r="B1515" s="18" t="n"/>
      <c r="C1515" s="81" t="n"/>
      <c r="D1515" s="81" t="n"/>
      <c r="E1515" s="16">
        <f>IF($A1515="","",$A1515&amp;"|"&amp;DAY($B1515))</f>
        <v/>
      </c>
      <c r="F1515" s="16">
        <f>IF($A1515="","",IF(COUNTIF(設定!$B$62:$B$201,$A1515)=0,"⚠ 查無員編",IF(COUNTIF($E$3:$E$2002,$E1515)&gt;1,"⚠ 重複打卡","OK")))</f>
        <v/>
      </c>
    </row>
    <row r="1516">
      <c r="A1516" s="20" t="n"/>
      <c r="B1516" s="18" t="n"/>
      <c r="C1516" s="81" t="n"/>
      <c r="D1516" s="81" t="n"/>
      <c r="E1516" s="16">
        <f>IF($A1516="","",$A1516&amp;"|"&amp;DAY($B1516))</f>
        <v/>
      </c>
      <c r="F1516" s="16">
        <f>IF($A1516="","",IF(COUNTIF(設定!$B$62:$B$201,$A1516)=0,"⚠ 查無員編",IF(COUNTIF($E$3:$E$2002,$E1516)&gt;1,"⚠ 重複打卡","OK")))</f>
        <v/>
      </c>
    </row>
    <row r="1517">
      <c r="A1517" s="20" t="n"/>
      <c r="B1517" s="18" t="n"/>
      <c r="C1517" s="81" t="n"/>
      <c r="D1517" s="81" t="n"/>
      <c r="E1517" s="16">
        <f>IF($A1517="","",$A1517&amp;"|"&amp;DAY($B1517))</f>
        <v/>
      </c>
      <c r="F1517" s="16">
        <f>IF($A1517="","",IF(COUNTIF(設定!$B$62:$B$201,$A1517)=0,"⚠ 查無員編",IF(COUNTIF($E$3:$E$2002,$E1517)&gt;1,"⚠ 重複打卡","OK")))</f>
        <v/>
      </c>
    </row>
    <row r="1518">
      <c r="A1518" s="20" t="n"/>
      <c r="B1518" s="18" t="n"/>
      <c r="C1518" s="81" t="n"/>
      <c r="D1518" s="81" t="n"/>
      <c r="E1518" s="16">
        <f>IF($A1518="","",$A1518&amp;"|"&amp;DAY($B1518))</f>
        <v/>
      </c>
      <c r="F1518" s="16">
        <f>IF($A1518="","",IF(COUNTIF(設定!$B$62:$B$201,$A1518)=0,"⚠ 查無員編",IF(COUNTIF($E$3:$E$2002,$E1518)&gt;1,"⚠ 重複打卡","OK")))</f>
        <v/>
      </c>
    </row>
    <row r="1519">
      <c r="A1519" s="20" t="n"/>
      <c r="B1519" s="18" t="n"/>
      <c r="C1519" s="81" t="n"/>
      <c r="D1519" s="81" t="n"/>
      <c r="E1519" s="16">
        <f>IF($A1519="","",$A1519&amp;"|"&amp;DAY($B1519))</f>
        <v/>
      </c>
      <c r="F1519" s="16">
        <f>IF($A1519="","",IF(COUNTIF(設定!$B$62:$B$201,$A1519)=0,"⚠ 查無員編",IF(COUNTIF($E$3:$E$2002,$E1519)&gt;1,"⚠ 重複打卡","OK")))</f>
        <v/>
      </c>
    </row>
    <row r="1520">
      <c r="A1520" s="20" t="n"/>
      <c r="B1520" s="18" t="n"/>
      <c r="C1520" s="81" t="n"/>
      <c r="D1520" s="81" t="n"/>
      <c r="E1520" s="16">
        <f>IF($A1520="","",$A1520&amp;"|"&amp;DAY($B1520))</f>
        <v/>
      </c>
      <c r="F1520" s="16">
        <f>IF($A1520="","",IF(COUNTIF(設定!$B$62:$B$201,$A1520)=0,"⚠ 查無員編",IF(COUNTIF($E$3:$E$2002,$E1520)&gt;1,"⚠ 重複打卡","OK")))</f>
        <v/>
      </c>
    </row>
    <row r="1521">
      <c r="A1521" s="20" t="n"/>
      <c r="B1521" s="18" t="n"/>
      <c r="C1521" s="81" t="n"/>
      <c r="D1521" s="81" t="n"/>
      <c r="E1521" s="16">
        <f>IF($A1521="","",$A1521&amp;"|"&amp;DAY($B1521))</f>
        <v/>
      </c>
      <c r="F1521" s="16">
        <f>IF($A1521="","",IF(COUNTIF(設定!$B$62:$B$201,$A1521)=0,"⚠ 查無員編",IF(COUNTIF($E$3:$E$2002,$E1521)&gt;1,"⚠ 重複打卡","OK")))</f>
        <v/>
      </c>
    </row>
    <row r="1522">
      <c r="A1522" s="20" t="n"/>
      <c r="B1522" s="18" t="n"/>
      <c r="C1522" s="81" t="n"/>
      <c r="D1522" s="81" t="n"/>
      <c r="E1522" s="16">
        <f>IF($A1522="","",$A1522&amp;"|"&amp;DAY($B1522))</f>
        <v/>
      </c>
      <c r="F1522" s="16">
        <f>IF($A1522="","",IF(COUNTIF(設定!$B$62:$B$201,$A1522)=0,"⚠ 查無員編",IF(COUNTIF($E$3:$E$2002,$E1522)&gt;1,"⚠ 重複打卡","OK")))</f>
        <v/>
      </c>
    </row>
    <row r="1523">
      <c r="A1523" s="20" t="n"/>
      <c r="B1523" s="18" t="n"/>
      <c r="C1523" s="81" t="n"/>
      <c r="D1523" s="81" t="n"/>
      <c r="E1523" s="16">
        <f>IF($A1523="","",$A1523&amp;"|"&amp;DAY($B1523))</f>
        <v/>
      </c>
      <c r="F1523" s="16">
        <f>IF($A1523="","",IF(COUNTIF(設定!$B$62:$B$201,$A1523)=0,"⚠ 查無員編",IF(COUNTIF($E$3:$E$2002,$E1523)&gt;1,"⚠ 重複打卡","OK")))</f>
        <v/>
      </c>
    </row>
    <row r="1524">
      <c r="A1524" s="20" t="n"/>
      <c r="B1524" s="18" t="n"/>
      <c r="C1524" s="81" t="n"/>
      <c r="D1524" s="81" t="n"/>
      <c r="E1524" s="16">
        <f>IF($A1524="","",$A1524&amp;"|"&amp;DAY($B1524))</f>
        <v/>
      </c>
      <c r="F1524" s="16">
        <f>IF($A1524="","",IF(COUNTIF(設定!$B$62:$B$201,$A1524)=0,"⚠ 查無員編",IF(COUNTIF($E$3:$E$2002,$E1524)&gt;1,"⚠ 重複打卡","OK")))</f>
        <v/>
      </c>
    </row>
    <row r="1525">
      <c r="A1525" s="20" t="n"/>
      <c r="B1525" s="18" t="n"/>
      <c r="C1525" s="81" t="n"/>
      <c r="D1525" s="81" t="n"/>
      <c r="E1525" s="16">
        <f>IF($A1525="","",$A1525&amp;"|"&amp;DAY($B1525))</f>
        <v/>
      </c>
      <c r="F1525" s="16">
        <f>IF($A1525="","",IF(COUNTIF(設定!$B$62:$B$201,$A1525)=0,"⚠ 查無員編",IF(COUNTIF($E$3:$E$2002,$E1525)&gt;1,"⚠ 重複打卡","OK")))</f>
        <v/>
      </c>
    </row>
    <row r="1526">
      <c r="A1526" s="20" t="n"/>
      <c r="B1526" s="18" t="n"/>
      <c r="C1526" s="81" t="n"/>
      <c r="D1526" s="81" t="n"/>
      <c r="E1526" s="16">
        <f>IF($A1526="","",$A1526&amp;"|"&amp;DAY($B1526))</f>
        <v/>
      </c>
      <c r="F1526" s="16">
        <f>IF($A1526="","",IF(COUNTIF(設定!$B$62:$B$201,$A1526)=0,"⚠ 查無員編",IF(COUNTIF($E$3:$E$2002,$E1526)&gt;1,"⚠ 重複打卡","OK")))</f>
        <v/>
      </c>
    </row>
    <row r="1527">
      <c r="A1527" s="20" t="n"/>
      <c r="B1527" s="18" t="n"/>
      <c r="C1527" s="81" t="n"/>
      <c r="D1527" s="81" t="n"/>
      <c r="E1527" s="16">
        <f>IF($A1527="","",$A1527&amp;"|"&amp;DAY($B1527))</f>
        <v/>
      </c>
      <c r="F1527" s="16">
        <f>IF($A1527="","",IF(COUNTIF(設定!$B$62:$B$201,$A1527)=0,"⚠ 查無員編",IF(COUNTIF($E$3:$E$2002,$E1527)&gt;1,"⚠ 重複打卡","OK")))</f>
        <v/>
      </c>
    </row>
    <row r="1528">
      <c r="A1528" s="20" t="n"/>
      <c r="B1528" s="18" t="n"/>
      <c r="C1528" s="81" t="n"/>
      <c r="D1528" s="81" t="n"/>
      <c r="E1528" s="16">
        <f>IF($A1528="","",$A1528&amp;"|"&amp;DAY($B1528))</f>
        <v/>
      </c>
      <c r="F1528" s="16">
        <f>IF($A1528="","",IF(COUNTIF(設定!$B$62:$B$201,$A1528)=0,"⚠ 查無員編",IF(COUNTIF($E$3:$E$2002,$E1528)&gt;1,"⚠ 重複打卡","OK")))</f>
        <v/>
      </c>
    </row>
    <row r="1529">
      <c r="A1529" s="20" t="n"/>
      <c r="B1529" s="18" t="n"/>
      <c r="C1529" s="81" t="n"/>
      <c r="D1529" s="81" t="n"/>
      <c r="E1529" s="16">
        <f>IF($A1529="","",$A1529&amp;"|"&amp;DAY($B1529))</f>
        <v/>
      </c>
      <c r="F1529" s="16">
        <f>IF($A1529="","",IF(COUNTIF(設定!$B$62:$B$201,$A1529)=0,"⚠ 查無員編",IF(COUNTIF($E$3:$E$2002,$E1529)&gt;1,"⚠ 重複打卡","OK")))</f>
        <v/>
      </c>
    </row>
    <row r="1530">
      <c r="A1530" s="20" t="n"/>
      <c r="B1530" s="18" t="n"/>
      <c r="C1530" s="81" t="n"/>
      <c r="D1530" s="81" t="n"/>
      <c r="E1530" s="16">
        <f>IF($A1530="","",$A1530&amp;"|"&amp;DAY($B1530))</f>
        <v/>
      </c>
      <c r="F1530" s="16">
        <f>IF($A1530="","",IF(COUNTIF(設定!$B$62:$B$201,$A1530)=0,"⚠ 查無員編",IF(COUNTIF($E$3:$E$2002,$E1530)&gt;1,"⚠ 重複打卡","OK")))</f>
        <v/>
      </c>
    </row>
    <row r="1531">
      <c r="A1531" s="20" t="n"/>
      <c r="B1531" s="18" t="n"/>
      <c r="C1531" s="81" t="n"/>
      <c r="D1531" s="81" t="n"/>
      <c r="E1531" s="16">
        <f>IF($A1531="","",$A1531&amp;"|"&amp;DAY($B1531))</f>
        <v/>
      </c>
      <c r="F1531" s="16">
        <f>IF($A1531="","",IF(COUNTIF(設定!$B$62:$B$201,$A1531)=0,"⚠ 查無員編",IF(COUNTIF($E$3:$E$2002,$E1531)&gt;1,"⚠ 重複打卡","OK")))</f>
        <v/>
      </c>
    </row>
    <row r="1532">
      <c r="A1532" s="20" t="n"/>
      <c r="B1532" s="18" t="n"/>
      <c r="C1532" s="81" t="n"/>
      <c r="D1532" s="81" t="n"/>
      <c r="E1532" s="16">
        <f>IF($A1532="","",$A1532&amp;"|"&amp;DAY($B1532))</f>
        <v/>
      </c>
      <c r="F1532" s="16">
        <f>IF($A1532="","",IF(COUNTIF(設定!$B$62:$B$201,$A1532)=0,"⚠ 查無員編",IF(COUNTIF($E$3:$E$2002,$E1532)&gt;1,"⚠ 重複打卡","OK")))</f>
        <v/>
      </c>
    </row>
    <row r="1533">
      <c r="A1533" s="20" t="n"/>
      <c r="B1533" s="18" t="n"/>
      <c r="C1533" s="81" t="n"/>
      <c r="D1533" s="81" t="n"/>
      <c r="E1533" s="16">
        <f>IF($A1533="","",$A1533&amp;"|"&amp;DAY($B1533))</f>
        <v/>
      </c>
      <c r="F1533" s="16">
        <f>IF($A1533="","",IF(COUNTIF(設定!$B$62:$B$201,$A1533)=0,"⚠ 查無員編",IF(COUNTIF($E$3:$E$2002,$E1533)&gt;1,"⚠ 重複打卡","OK")))</f>
        <v/>
      </c>
    </row>
    <row r="1534">
      <c r="A1534" s="20" t="n"/>
      <c r="B1534" s="18" t="n"/>
      <c r="C1534" s="81" t="n"/>
      <c r="D1534" s="81" t="n"/>
      <c r="E1534" s="16">
        <f>IF($A1534="","",$A1534&amp;"|"&amp;DAY($B1534))</f>
        <v/>
      </c>
      <c r="F1534" s="16">
        <f>IF($A1534="","",IF(COUNTIF(設定!$B$62:$B$201,$A1534)=0,"⚠ 查無員編",IF(COUNTIF($E$3:$E$2002,$E1534)&gt;1,"⚠ 重複打卡","OK")))</f>
        <v/>
      </c>
    </row>
    <row r="1535">
      <c r="A1535" s="20" t="n"/>
      <c r="B1535" s="18" t="n"/>
      <c r="C1535" s="81" t="n"/>
      <c r="D1535" s="81" t="n"/>
      <c r="E1535" s="16">
        <f>IF($A1535="","",$A1535&amp;"|"&amp;DAY($B1535))</f>
        <v/>
      </c>
      <c r="F1535" s="16">
        <f>IF($A1535="","",IF(COUNTIF(設定!$B$62:$B$201,$A1535)=0,"⚠ 查無員編",IF(COUNTIF($E$3:$E$2002,$E1535)&gt;1,"⚠ 重複打卡","OK")))</f>
        <v/>
      </c>
    </row>
    <row r="1536">
      <c r="A1536" s="20" t="n"/>
      <c r="B1536" s="18" t="n"/>
      <c r="C1536" s="81" t="n"/>
      <c r="D1536" s="81" t="n"/>
      <c r="E1536" s="16">
        <f>IF($A1536="","",$A1536&amp;"|"&amp;DAY($B1536))</f>
        <v/>
      </c>
      <c r="F1536" s="16">
        <f>IF($A1536="","",IF(COUNTIF(設定!$B$62:$B$201,$A1536)=0,"⚠ 查無員編",IF(COUNTIF($E$3:$E$2002,$E1536)&gt;1,"⚠ 重複打卡","OK")))</f>
        <v/>
      </c>
    </row>
    <row r="1537">
      <c r="A1537" s="20" t="n"/>
      <c r="B1537" s="18" t="n"/>
      <c r="C1537" s="81" t="n"/>
      <c r="D1537" s="81" t="n"/>
      <c r="E1537" s="16">
        <f>IF($A1537="","",$A1537&amp;"|"&amp;DAY($B1537))</f>
        <v/>
      </c>
      <c r="F1537" s="16">
        <f>IF($A1537="","",IF(COUNTIF(設定!$B$62:$B$201,$A1537)=0,"⚠ 查無員編",IF(COUNTIF($E$3:$E$2002,$E1537)&gt;1,"⚠ 重複打卡","OK")))</f>
        <v/>
      </c>
    </row>
    <row r="1538">
      <c r="A1538" s="20" t="n"/>
      <c r="B1538" s="18" t="n"/>
      <c r="C1538" s="81" t="n"/>
      <c r="D1538" s="81" t="n"/>
      <c r="E1538" s="16">
        <f>IF($A1538="","",$A1538&amp;"|"&amp;DAY($B1538))</f>
        <v/>
      </c>
      <c r="F1538" s="16">
        <f>IF($A1538="","",IF(COUNTIF(設定!$B$62:$B$201,$A1538)=0,"⚠ 查無員編",IF(COUNTIF($E$3:$E$2002,$E1538)&gt;1,"⚠ 重複打卡","OK")))</f>
        <v/>
      </c>
    </row>
    <row r="1539">
      <c r="A1539" s="20" t="n"/>
      <c r="B1539" s="18" t="n"/>
      <c r="C1539" s="81" t="n"/>
      <c r="D1539" s="81" t="n"/>
      <c r="E1539" s="16">
        <f>IF($A1539="","",$A1539&amp;"|"&amp;DAY($B1539))</f>
        <v/>
      </c>
      <c r="F1539" s="16">
        <f>IF($A1539="","",IF(COUNTIF(設定!$B$62:$B$201,$A1539)=0,"⚠ 查無員編",IF(COUNTIF($E$3:$E$2002,$E1539)&gt;1,"⚠ 重複打卡","OK")))</f>
        <v/>
      </c>
    </row>
    <row r="1540">
      <c r="A1540" s="20" t="n"/>
      <c r="B1540" s="18" t="n"/>
      <c r="C1540" s="81" t="n"/>
      <c r="D1540" s="81" t="n"/>
      <c r="E1540" s="16">
        <f>IF($A1540="","",$A1540&amp;"|"&amp;DAY($B1540))</f>
        <v/>
      </c>
      <c r="F1540" s="16">
        <f>IF($A1540="","",IF(COUNTIF(設定!$B$62:$B$201,$A1540)=0,"⚠ 查無員編",IF(COUNTIF($E$3:$E$2002,$E1540)&gt;1,"⚠ 重複打卡","OK")))</f>
        <v/>
      </c>
    </row>
    <row r="1541">
      <c r="A1541" s="20" t="n"/>
      <c r="B1541" s="18" t="n"/>
      <c r="C1541" s="81" t="n"/>
      <c r="D1541" s="81" t="n"/>
      <c r="E1541" s="16">
        <f>IF($A1541="","",$A1541&amp;"|"&amp;DAY($B1541))</f>
        <v/>
      </c>
      <c r="F1541" s="16">
        <f>IF($A1541="","",IF(COUNTIF(設定!$B$62:$B$201,$A1541)=0,"⚠ 查無員編",IF(COUNTIF($E$3:$E$2002,$E1541)&gt;1,"⚠ 重複打卡","OK")))</f>
        <v/>
      </c>
    </row>
    <row r="1542">
      <c r="A1542" s="20" t="n"/>
      <c r="B1542" s="18" t="n"/>
      <c r="C1542" s="81" t="n"/>
      <c r="D1542" s="81" t="n"/>
      <c r="E1542" s="16">
        <f>IF($A1542="","",$A1542&amp;"|"&amp;DAY($B1542))</f>
        <v/>
      </c>
      <c r="F1542" s="16">
        <f>IF($A1542="","",IF(COUNTIF(設定!$B$62:$B$201,$A1542)=0,"⚠ 查無員編",IF(COUNTIF($E$3:$E$2002,$E1542)&gt;1,"⚠ 重複打卡","OK")))</f>
        <v/>
      </c>
    </row>
    <row r="1543">
      <c r="A1543" s="20" t="n"/>
      <c r="B1543" s="18" t="n"/>
      <c r="C1543" s="81" t="n"/>
      <c r="D1543" s="81" t="n"/>
      <c r="E1543" s="16">
        <f>IF($A1543="","",$A1543&amp;"|"&amp;DAY($B1543))</f>
        <v/>
      </c>
      <c r="F1543" s="16">
        <f>IF($A1543="","",IF(COUNTIF(設定!$B$62:$B$201,$A1543)=0,"⚠ 查無員編",IF(COUNTIF($E$3:$E$2002,$E1543)&gt;1,"⚠ 重複打卡","OK")))</f>
        <v/>
      </c>
    </row>
    <row r="1544">
      <c r="A1544" s="20" t="n"/>
      <c r="B1544" s="18" t="n"/>
      <c r="C1544" s="81" t="n"/>
      <c r="D1544" s="81" t="n"/>
      <c r="E1544" s="16">
        <f>IF($A1544="","",$A1544&amp;"|"&amp;DAY($B1544))</f>
        <v/>
      </c>
      <c r="F1544" s="16">
        <f>IF($A1544="","",IF(COUNTIF(設定!$B$62:$B$201,$A1544)=0,"⚠ 查無員編",IF(COUNTIF($E$3:$E$2002,$E1544)&gt;1,"⚠ 重複打卡","OK")))</f>
        <v/>
      </c>
    </row>
    <row r="1545">
      <c r="A1545" s="20" t="n"/>
      <c r="B1545" s="18" t="n"/>
      <c r="C1545" s="81" t="n"/>
      <c r="D1545" s="81" t="n"/>
      <c r="E1545" s="16">
        <f>IF($A1545="","",$A1545&amp;"|"&amp;DAY($B1545))</f>
        <v/>
      </c>
      <c r="F1545" s="16">
        <f>IF($A1545="","",IF(COUNTIF(設定!$B$62:$B$201,$A1545)=0,"⚠ 查無員編",IF(COUNTIF($E$3:$E$2002,$E1545)&gt;1,"⚠ 重複打卡","OK")))</f>
        <v/>
      </c>
    </row>
    <row r="1546">
      <c r="A1546" s="20" t="n"/>
      <c r="B1546" s="18" t="n"/>
      <c r="C1546" s="81" t="n"/>
      <c r="D1546" s="81" t="n"/>
      <c r="E1546" s="16">
        <f>IF($A1546="","",$A1546&amp;"|"&amp;DAY($B1546))</f>
        <v/>
      </c>
      <c r="F1546" s="16">
        <f>IF($A1546="","",IF(COUNTIF(設定!$B$62:$B$201,$A1546)=0,"⚠ 查無員編",IF(COUNTIF($E$3:$E$2002,$E1546)&gt;1,"⚠ 重複打卡","OK")))</f>
        <v/>
      </c>
    </row>
    <row r="1547">
      <c r="A1547" s="20" t="n"/>
      <c r="B1547" s="18" t="n"/>
      <c r="C1547" s="81" t="n"/>
      <c r="D1547" s="81" t="n"/>
      <c r="E1547" s="16">
        <f>IF($A1547="","",$A1547&amp;"|"&amp;DAY($B1547))</f>
        <v/>
      </c>
      <c r="F1547" s="16">
        <f>IF($A1547="","",IF(COUNTIF(設定!$B$62:$B$201,$A1547)=0,"⚠ 查無員編",IF(COUNTIF($E$3:$E$2002,$E1547)&gt;1,"⚠ 重複打卡","OK")))</f>
        <v/>
      </c>
    </row>
    <row r="1548">
      <c r="A1548" s="20" t="n"/>
      <c r="B1548" s="18" t="n"/>
      <c r="C1548" s="81" t="n"/>
      <c r="D1548" s="81" t="n"/>
      <c r="E1548" s="16">
        <f>IF($A1548="","",$A1548&amp;"|"&amp;DAY($B1548))</f>
        <v/>
      </c>
      <c r="F1548" s="16">
        <f>IF($A1548="","",IF(COUNTIF(設定!$B$62:$B$201,$A1548)=0,"⚠ 查無員編",IF(COUNTIF($E$3:$E$2002,$E1548)&gt;1,"⚠ 重複打卡","OK")))</f>
        <v/>
      </c>
    </row>
    <row r="1549">
      <c r="A1549" s="20" t="n"/>
      <c r="B1549" s="18" t="n"/>
      <c r="C1549" s="81" t="n"/>
      <c r="D1549" s="81" t="n"/>
      <c r="E1549" s="16">
        <f>IF($A1549="","",$A1549&amp;"|"&amp;DAY($B1549))</f>
        <v/>
      </c>
      <c r="F1549" s="16">
        <f>IF($A1549="","",IF(COUNTIF(設定!$B$62:$B$201,$A1549)=0,"⚠ 查無員編",IF(COUNTIF($E$3:$E$2002,$E1549)&gt;1,"⚠ 重複打卡","OK")))</f>
        <v/>
      </c>
    </row>
    <row r="1550">
      <c r="A1550" s="20" t="n"/>
      <c r="B1550" s="18" t="n"/>
      <c r="C1550" s="81" t="n"/>
      <c r="D1550" s="81" t="n"/>
      <c r="E1550" s="16">
        <f>IF($A1550="","",$A1550&amp;"|"&amp;DAY($B1550))</f>
        <v/>
      </c>
      <c r="F1550" s="16">
        <f>IF($A1550="","",IF(COUNTIF(設定!$B$62:$B$201,$A1550)=0,"⚠ 查無員編",IF(COUNTIF($E$3:$E$2002,$E1550)&gt;1,"⚠ 重複打卡","OK")))</f>
        <v/>
      </c>
    </row>
    <row r="1551">
      <c r="A1551" s="20" t="n"/>
      <c r="B1551" s="18" t="n"/>
      <c r="C1551" s="81" t="n"/>
      <c r="D1551" s="81" t="n"/>
      <c r="E1551" s="16">
        <f>IF($A1551="","",$A1551&amp;"|"&amp;DAY($B1551))</f>
        <v/>
      </c>
      <c r="F1551" s="16">
        <f>IF($A1551="","",IF(COUNTIF(設定!$B$62:$B$201,$A1551)=0,"⚠ 查無員編",IF(COUNTIF($E$3:$E$2002,$E1551)&gt;1,"⚠ 重複打卡","OK")))</f>
        <v/>
      </c>
    </row>
    <row r="1552">
      <c r="A1552" s="20" t="n"/>
      <c r="B1552" s="18" t="n"/>
      <c r="C1552" s="81" t="n"/>
      <c r="D1552" s="81" t="n"/>
      <c r="E1552" s="16">
        <f>IF($A1552="","",$A1552&amp;"|"&amp;DAY($B1552))</f>
        <v/>
      </c>
      <c r="F1552" s="16">
        <f>IF($A1552="","",IF(COUNTIF(設定!$B$62:$B$201,$A1552)=0,"⚠ 查無員編",IF(COUNTIF($E$3:$E$2002,$E1552)&gt;1,"⚠ 重複打卡","OK")))</f>
        <v/>
      </c>
    </row>
    <row r="1553">
      <c r="A1553" s="20" t="n"/>
      <c r="B1553" s="18" t="n"/>
      <c r="C1553" s="81" t="n"/>
      <c r="D1553" s="81" t="n"/>
      <c r="E1553" s="16">
        <f>IF($A1553="","",$A1553&amp;"|"&amp;DAY($B1553))</f>
        <v/>
      </c>
      <c r="F1553" s="16">
        <f>IF($A1553="","",IF(COUNTIF(設定!$B$62:$B$201,$A1553)=0,"⚠ 查無員編",IF(COUNTIF($E$3:$E$2002,$E1553)&gt;1,"⚠ 重複打卡","OK")))</f>
        <v/>
      </c>
    </row>
    <row r="1554">
      <c r="A1554" s="20" t="n"/>
      <c r="B1554" s="18" t="n"/>
      <c r="C1554" s="81" t="n"/>
      <c r="D1554" s="81" t="n"/>
      <c r="E1554" s="16">
        <f>IF($A1554="","",$A1554&amp;"|"&amp;DAY($B1554))</f>
        <v/>
      </c>
      <c r="F1554" s="16">
        <f>IF($A1554="","",IF(COUNTIF(設定!$B$62:$B$201,$A1554)=0,"⚠ 查無員編",IF(COUNTIF($E$3:$E$2002,$E1554)&gt;1,"⚠ 重複打卡","OK")))</f>
        <v/>
      </c>
    </row>
    <row r="1555">
      <c r="A1555" s="20" t="n"/>
      <c r="B1555" s="18" t="n"/>
      <c r="C1555" s="81" t="n"/>
      <c r="D1555" s="81" t="n"/>
      <c r="E1555" s="16">
        <f>IF($A1555="","",$A1555&amp;"|"&amp;DAY($B1555))</f>
        <v/>
      </c>
      <c r="F1555" s="16">
        <f>IF($A1555="","",IF(COUNTIF(設定!$B$62:$B$201,$A1555)=0,"⚠ 查無員編",IF(COUNTIF($E$3:$E$2002,$E1555)&gt;1,"⚠ 重複打卡","OK")))</f>
        <v/>
      </c>
    </row>
    <row r="1556">
      <c r="A1556" s="20" t="n"/>
      <c r="B1556" s="18" t="n"/>
      <c r="C1556" s="81" t="n"/>
      <c r="D1556" s="81" t="n"/>
      <c r="E1556" s="16">
        <f>IF($A1556="","",$A1556&amp;"|"&amp;DAY($B1556))</f>
        <v/>
      </c>
      <c r="F1556" s="16">
        <f>IF($A1556="","",IF(COUNTIF(設定!$B$62:$B$201,$A1556)=0,"⚠ 查無員編",IF(COUNTIF($E$3:$E$2002,$E1556)&gt;1,"⚠ 重複打卡","OK")))</f>
        <v/>
      </c>
    </row>
    <row r="1557">
      <c r="A1557" s="20" t="n"/>
      <c r="B1557" s="18" t="n"/>
      <c r="C1557" s="81" t="n"/>
      <c r="D1557" s="81" t="n"/>
      <c r="E1557" s="16">
        <f>IF($A1557="","",$A1557&amp;"|"&amp;DAY($B1557))</f>
        <v/>
      </c>
      <c r="F1557" s="16">
        <f>IF($A1557="","",IF(COUNTIF(設定!$B$62:$B$201,$A1557)=0,"⚠ 查無員編",IF(COUNTIF($E$3:$E$2002,$E1557)&gt;1,"⚠ 重複打卡","OK")))</f>
        <v/>
      </c>
    </row>
    <row r="1558">
      <c r="A1558" s="20" t="n"/>
      <c r="B1558" s="18" t="n"/>
      <c r="C1558" s="81" t="n"/>
      <c r="D1558" s="81" t="n"/>
      <c r="E1558" s="16">
        <f>IF($A1558="","",$A1558&amp;"|"&amp;DAY($B1558))</f>
        <v/>
      </c>
      <c r="F1558" s="16">
        <f>IF($A1558="","",IF(COUNTIF(設定!$B$62:$B$201,$A1558)=0,"⚠ 查無員編",IF(COUNTIF($E$3:$E$2002,$E1558)&gt;1,"⚠ 重複打卡","OK")))</f>
        <v/>
      </c>
    </row>
    <row r="1559">
      <c r="A1559" s="20" t="n"/>
      <c r="B1559" s="18" t="n"/>
      <c r="C1559" s="81" t="n"/>
      <c r="D1559" s="81" t="n"/>
      <c r="E1559" s="16">
        <f>IF($A1559="","",$A1559&amp;"|"&amp;DAY($B1559))</f>
        <v/>
      </c>
      <c r="F1559" s="16">
        <f>IF($A1559="","",IF(COUNTIF(設定!$B$62:$B$201,$A1559)=0,"⚠ 查無員編",IF(COUNTIF($E$3:$E$2002,$E1559)&gt;1,"⚠ 重複打卡","OK")))</f>
        <v/>
      </c>
    </row>
    <row r="1560">
      <c r="A1560" s="20" t="n"/>
      <c r="B1560" s="18" t="n"/>
      <c r="C1560" s="81" t="n"/>
      <c r="D1560" s="81" t="n"/>
      <c r="E1560" s="16">
        <f>IF($A1560="","",$A1560&amp;"|"&amp;DAY($B1560))</f>
        <v/>
      </c>
      <c r="F1560" s="16">
        <f>IF($A1560="","",IF(COUNTIF(設定!$B$62:$B$201,$A1560)=0,"⚠ 查無員編",IF(COUNTIF($E$3:$E$2002,$E1560)&gt;1,"⚠ 重複打卡","OK")))</f>
        <v/>
      </c>
    </row>
    <row r="1561">
      <c r="A1561" s="20" t="n"/>
      <c r="B1561" s="18" t="n"/>
      <c r="C1561" s="81" t="n"/>
      <c r="D1561" s="81" t="n"/>
      <c r="E1561" s="16">
        <f>IF($A1561="","",$A1561&amp;"|"&amp;DAY($B1561))</f>
        <v/>
      </c>
      <c r="F1561" s="16">
        <f>IF($A1561="","",IF(COUNTIF(設定!$B$62:$B$201,$A1561)=0,"⚠ 查無員編",IF(COUNTIF($E$3:$E$2002,$E1561)&gt;1,"⚠ 重複打卡","OK")))</f>
        <v/>
      </c>
    </row>
    <row r="1562">
      <c r="A1562" s="20" t="n"/>
      <c r="B1562" s="18" t="n"/>
      <c r="C1562" s="81" t="n"/>
      <c r="D1562" s="81" t="n"/>
      <c r="E1562" s="16">
        <f>IF($A1562="","",$A1562&amp;"|"&amp;DAY($B1562))</f>
        <v/>
      </c>
      <c r="F1562" s="16">
        <f>IF($A1562="","",IF(COUNTIF(設定!$B$62:$B$201,$A1562)=0,"⚠ 查無員編",IF(COUNTIF($E$3:$E$2002,$E1562)&gt;1,"⚠ 重複打卡","OK")))</f>
        <v/>
      </c>
    </row>
    <row r="1563">
      <c r="A1563" s="20" t="n"/>
      <c r="B1563" s="18" t="n"/>
      <c r="C1563" s="81" t="n"/>
      <c r="D1563" s="81" t="n"/>
      <c r="E1563" s="16">
        <f>IF($A1563="","",$A1563&amp;"|"&amp;DAY($B1563))</f>
        <v/>
      </c>
      <c r="F1563" s="16">
        <f>IF($A1563="","",IF(COUNTIF(設定!$B$62:$B$201,$A1563)=0,"⚠ 查無員編",IF(COUNTIF($E$3:$E$2002,$E1563)&gt;1,"⚠ 重複打卡","OK")))</f>
        <v/>
      </c>
    </row>
    <row r="1564">
      <c r="A1564" s="20" t="n"/>
      <c r="B1564" s="18" t="n"/>
      <c r="C1564" s="81" t="n"/>
      <c r="D1564" s="81" t="n"/>
      <c r="E1564" s="16">
        <f>IF($A1564="","",$A1564&amp;"|"&amp;DAY($B1564))</f>
        <v/>
      </c>
      <c r="F1564" s="16">
        <f>IF($A1564="","",IF(COUNTIF(設定!$B$62:$B$201,$A1564)=0,"⚠ 查無員編",IF(COUNTIF($E$3:$E$2002,$E1564)&gt;1,"⚠ 重複打卡","OK")))</f>
        <v/>
      </c>
    </row>
    <row r="1565">
      <c r="A1565" s="20" t="n"/>
      <c r="B1565" s="18" t="n"/>
      <c r="C1565" s="81" t="n"/>
      <c r="D1565" s="81" t="n"/>
      <c r="E1565" s="16">
        <f>IF($A1565="","",$A1565&amp;"|"&amp;DAY($B1565))</f>
        <v/>
      </c>
      <c r="F1565" s="16">
        <f>IF($A1565="","",IF(COUNTIF(設定!$B$62:$B$201,$A1565)=0,"⚠ 查無員編",IF(COUNTIF($E$3:$E$2002,$E1565)&gt;1,"⚠ 重複打卡","OK")))</f>
        <v/>
      </c>
    </row>
    <row r="1566">
      <c r="A1566" s="20" t="n"/>
      <c r="B1566" s="18" t="n"/>
      <c r="C1566" s="81" t="n"/>
      <c r="D1566" s="81" t="n"/>
      <c r="E1566" s="16">
        <f>IF($A1566="","",$A1566&amp;"|"&amp;DAY($B1566))</f>
        <v/>
      </c>
      <c r="F1566" s="16">
        <f>IF($A1566="","",IF(COUNTIF(設定!$B$62:$B$201,$A1566)=0,"⚠ 查無員編",IF(COUNTIF($E$3:$E$2002,$E1566)&gt;1,"⚠ 重複打卡","OK")))</f>
        <v/>
      </c>
    </row>
    <row r="1567">
      <c r="A1567" s="20" t="n"/>
      <c r="B1567" s="18" t="n"/>
      <c r="C1567" s="81" t="n"/>
      <c r="D1567" s="81" t="n"/>
      <c r="E1567" s="16">
        <f>IF($A1567="","",$A1567&amp;"|"&amp;DAY($B1567))</f>
        <v/>
      </c>
      <c r="F1567" s="16">
        <f>IF($A1567="","",IF(COUNTIF(設定!$B$62:$B$201,$A1567)=0,"⚠ 查無員編",IF(COUNTIF($E$3:$E$2002,$E1567)&gt;1,"⚠ 重複打卡","OK")))</f>
        <v/>
      </c>
    </row>
    <row r="1568">
      <c r="A1568" s="20" t="n"/>
      <c r="B1568" s="18" t="n"/>
      <c r="C1568" s="81" t="n"/>
      <c r="D1568" s="81" t="n"/>
      <c r="E1568" s="16">
        <f>IF($A1568="","",$A1568&amp;"|"&amp;DAY($B1568))</f>
        <v/>
      </c>
      <c r="F1568" s="16">
        <f>IF($A1568="","",IF(COUNTIF(設定!$B$62:$B$201,$A1568)=0,"⚠ 查無員編",IF(COUNTIF($E$3:$E$2002,$E1568)&gt;1,"⚠ 重複打卡","OK")))</f>
        <v/>
      </c>
    </row>
    <row r="1569">
      <c r="A1569" s="20" t="n"/>
      <c r="B1569" s="18" t="n"/>
      <c r="C1569" s="81" t="n"/>
      <c r="D1569" s="81" t="n"/>
      <c r="E1569" s="16">
        <f>IF($A1569="","",$A1569&amp;"|"&amp;DAY($B1569))</f>
        <v/>
      </c>
      <c r="F1569" s="16">
        <f>IF($A1569="","",IF(COUNTIF(設定!$B$62:$B$201,$A1569)=0,"⚠ 查無員編",IF(COUNTIF($E$3:$E$2002,$E1569)&gt;1,"⚠ 重複打卡","OK")))</f>
        <v/>
      </c>
    </row>
    <row r="1570">
      <c r="A1570" s="20" t="n"/>
      <c r="B1570" s="18" t="n"/>
      <c r="C1570" s="81" t="n"/>
      <c r="D1570" s="81" t="n"/>
      <c r="E1570" s="16">
        <f>IF($A1570="","",$A1570&amp;"|"&amp;DAY($B1570))</f>
        <v/>
      </c>
      <c r="F1570" s="16">
        <f>IF($A1570="","",IF(COUNTIF(設定!$B$62:$B$201,$A1570)=0,"⚠ 查無員編",IF(COUNTIF($E$3:$E$2002,$E1570)&gt;1,"⚠ 重複打卡","OK")))</f>
        <v/>
      </c>
    </row>
    <row r="1571">
      <c r="A1571" s="20" t="n"/>
      <c r="B1571" s="18" t="n"/>
      <c r="C1571" s="81" t="n"/>
      <c r="D1571" s="81" t="n"/>
      <c r="E1571" s="16">
        <f>IF($A1571="","",$A1571&amp;"|"&amp;DAY($B1571))</f>
        <v/>
      </c>
      <c r="F1571" s="16">
        <f>IF($A1571="","",IF(COUNTIF(設定!$B$62:$B$201,$A1571)=0,"⚠ 查無員編",IF(COUNTIF($E$3:$E$2002,$E1571)&gt;1,"⚠ 重複打卡","OK")))</f>
        <v/>
      </c>
    </row>
    <row r="1572">
      <c r="A1572" s="20" t="n"/>
      <c r="B1572" s="18" t="n"/>
      <c r="C1572" s="81" t="n"/>
      <c r="D1572" s="81" t="n"/>
      <c r="E1572" s="16">
        <f>IF($A1572="","",$A1572&amp;"|"&amp;DAY($B1572))</f>
        <v/>
      </c>
      <c r="F1572" s="16">
        <f>IF($A1572="","",IF(COUNTIF(設定!$B$62:$B$201,$A1572)=0,"⚠ 查無員編",IF(COUNTIF($E$3:$E$2002,$E1572)&gt;1,"⚠ 重複打卡","OK")))</f>
        <v/>
      </c>
    </row>
    <row r="1573">
      <c r="A1573" s="20" t="n"/>
      <c r="B1573" s="18" t="n"/>
      <c r="C1573" s="81" t="n"/>
      <c r="D1573" s="81" t="n"/>
      <c r="E1573" s="16">
        <f>IF($A1573="","",$A1573&amp;"|"&amp;DAY($B1573))</f>
        <v/>
      </c>
      <c r="F1573" s="16">
        <f>IF($A1573="","",IF(COUNTIF(設定!$B$62:$B$201,$A1573)=0,"⚠ 查無員編",IF(COUNTIF($E$3:$E$2002,$E1573)&gt;1,"⚠ 重複打卡","OK")))</f>
        <v/>
      </c>
    </row>
    <row r="1574">
      <c r="A1574" s="20" t="n"/>
      <c r="B1574" s="18" t="n"/>
      <c r="C1574" s="81" t="n"/>
      <c r="D1574" s="81" t="n"/>
      <c r="E1574" s="16">
        <f>IF($A1574="","",$A1574&amp;"|"&amp;DAY($B1574))</f>
        <v/>
      </c>
      <c r="F1574" s="16">
        <f>IF($A1574="","",IF(COUNTIF(設定!$B$62:$B$201,$A1574)=0,"⚠ 查無員編",IF(COUNTIF($E$3:$E$2002,$E1574)&gt;1,"⚠ 重複打卡","OK")))</f>
        <v/>
      </c>
    </row>
    <row r="1575">
      <c r="A1575" s="20" t="n"/>
      <c r="B1575" s="18" t="n"/>
      <c r="C1575" s="81" t="n"/>
      <c r="D1575" s="81" t="n"/>
      <c r="E1575" s="16">
        <f>IF($A1575="","",$A1575&amp;"|"&amp;DAY($B1575))</f>
        <v/>
      </c>
      <c r="F1575" s="16">
        <f>IF($A1575="","",IF(COUNTIF(設定!$B$62:$B$201,$A1575)=0,"⚠ 查無員編",IF(COUNTIF($E$3:$E$2002,$E1575)&gt;1,"⚠ 重複打卡","OK")))</f>
        <v/>
      </c>
    </row>
    <row r="1576">
      <c r="A1576" s="20" t="n"/>
      <c r="B1576" s="18" t="n"/>
      <c r="C1576" s="81" t="n"/>
      <c r="D1576" s="81" t="n"/>
      <c r="E1576" s="16">
        <f>IF($A1576="","",$A1576&amp;"|"&amp;DAY($B1576))</f>
        <v/>
      </c>
      <c r="F1576" s="16">
        <f>IF($A1576="","",IF(COUNTIF(設定!$B$62:$B$201,$A1576)=0,"⚠ 查無員編",IF(COUNTIF($E$3:$E$2002,$E1576)&gt;1,"⚠ 重複打卡","OK")))</f>
        <v/>
      </c>
    </row>
    <row r="1577">
      <c r="A1577" s="20" t="n"/>
      <c r="B1577" s="18" t="n"/>
      <c r="C1577" s="81" t="n"/>
      <c r="D1577" s="81" t="n"/>
      <c r="E1577" s="16">
        <f>IF($A1577="","",$A1577&amp;"|"&amp;DAY($B1577))</f>
        <v/>
      </c>
      <c r="F1577" s="16">
        <f>IF($A1577="","",IF(COUNTIF(設定!$B$62:$B$201,$A1577)=0,"⚠ 查無員編",IF(COUNTIF($E$3:$E$2002,$E1577)&gt;1,"⚠ 重複打卡","OK")))</f>
        <v/>
      </c>
    </row>
    <row r="1578">
      <c r="A1578" s="20" t="n"/>
      <c r="B1578" s="18" t="n"/>
      <c r="C1578" s="81" t="n"/>
      <c r="D1578" s="81" t="n"/>
      <c r="E1578" s="16">
        <f>IF($A1578="","",$A1578&amp;"|"&amp;DAY($B1578))</f>
        <v/>
      </c>
      <c r="F1578" s="16">
        <f>IF($A1578="","",IF(COUNTIF(設定!$B$62:$B$201,$A1578)=0,"⚠ 查無員編",IF(COUNTIF($E$3:$E$2002,$E1578)&gt;1,"⚠ 重複打卡","OK")))</f>
        <v/>
      </c>
    </row>
    <row r="1579">
      <c r="A1579" s="20" t="n"/>
      <c r="B1579" s="18" t="n"/>
      <c r="C1579" s="81" t="n"/>
      <c r="D1579" s="81" t="n"/>
      <c r="E1579" s="16">
        <f>IF($A1579="","",$A1579&amp;"|"&amp;DAY($B1579))</f>
        <v/>
      </c>
      <c r="F1579" s="16">
        <f>IF($A1579="","",IF(COUNTIF(設定!$B$62:$B$201,$A1579)=0,"⚠ 查無員編",IF(COUNTIF($E$3:$E$2002,$E1579)&gt;1,"⚠ 重複打卡","OK")))</f>
        <v/>
      </c>
    </row>
    <row r="1580">
      <c r="A1580" s="20" t="n"/>
      <c r="B1580" s="18" t="n"/>
      <c r="C1580" s="81" t="n"/>
      <c r="D1580" s="81" t="n"/>
      <c r="E1580" s="16">
        <f>IF($A1580="","",$A1580&amp;"|"&amp;DAY($B1580))</f>
        <v/>
      </c>
      <c r="F1580" s="16">
        <f>IF($A1580="","",IF(COUNTIF(設定!$B$62:$B$201,$A1580)=0,"⚠ 查無員編",IF(COUNTIF($E$3:$E$2002,$E1580)&gt;1,"⚠ 重複打卡","OK")))</f>
        <v/>
      </c>
    </row>
    <row r="1581">
      <c r="A1581" s="20" t="n"/>
      <c r="B1581" s="18" t="n"/>
      <c r="C1581" s="81" t="n"/>
      <c r="D1581" s="81" t="n"/>
      <c r="E1581" s="16">
        <f>IF($A1581="","",$A1581&amp;"|"&amp;DAY($B1581))</f>
        <v/>
      </c>
      <c r="F1581" s="16">
        <f>IF($A1581="","",IF(COUNTIF(設定!$B$62:$B$201,$A1581)=0,"⚠ 查無員編",IF(COUNTIF($E$3:$E$2002,$E1581)&gt;1,"⚠ 重複打卡","OK")))</f>
        <v/>
      </c>
    </row>
    <row r="1582">
      <c r="A1582" s="20" t="n"/>
      <c r="B1582" s="18" t="n"/>
      <c r="C1582" s="81" t="n"/>
      <c r="D1582" s="81" t="n"/>
      <c r="E1582" s="16">
        <f>IF($A1582="","",$A1582&amp;"|"&amp;DAY($B1582))</f>
        <v/>
      </c>
      <c r="F1582" s="16">
        <f>IF($A1582="","",IF(COUNTIF(設定!$B$62:$B$201,$A1582)=0,"⚠ 查無員編",IF(COUNTIF($E$3:$E$2002,$E1582)&gt;1,"⚠ 重複打卡","OK")))</f>
        <v/>
      </c>
    </row>
    <row r="1583">
      <c r="A1583" s="20" t="n"/>
      <c r="B1583" s="18" t="n"/>
      <c r="C1583" s="81" t="n"/>
      <c r="D1583" s="81" t="n"/>
      <c r="E1583" s="16">
        <f>IF($A1583="","",$A1583&amp;"|"&amp;DAY($B1583))</f>
        <v/>
      </c>
      <c r="F1583" s="16">
        <f>IF($A1583="","",IF(COUNTIF(設定!$B$62:$B$201,$A1583)=0,"⚠ 查無員編",IF(COUNTIF($E$3:$E$2002,$E1583)&gt;1,"⚠ 重複打卡","OK")))</f>
        <v/>
      </c>
    </row>
    <row r="1584">
      <c r="A1584" s="20" t="n"/>
      <c r="B1584" s="18" t="n"/>
      <c r="C1584" s="81" t="n"/>
      <c r="D1584" s="81" t="n"/>
      <c r="E1584" s="16">
        <f>IF($A1584="","",$A1584&amp;"|"&amp;DAY($B1584))</f>
        <v/>
      </c>
      <c r="F1584" s="16">
        <f>IF($A1584="","",IF(COUNTIF(設定!$B$62:$B$201,$A1584)=0,"⚠ 查無員編",IF(COUNTIF($E$3:$E$2002,$E1584)&gt;1,"⚠ 重複打卡","OK")))</f>
        <v/>
      </c>
    </row>
    <row r="1585">
      <c r="A1585" s="20" t="n"/>
      <c r="B1585" s="18" t="n"/>
      <c r="C1585" s="81" t="n"/>
      <c r="D1585" s="81" t="n"/>
      <c r="E1585" s="16">
        <f>IF($A1585="","",$A1585&amp;"|"&amp;DAY($B1585))</f>
        <v/>
      </c>
      <c r="F1585" s="16">
        <f>IF($A1585="","",IF(COUNTIF(設定!$B$62:$B$201,$A1585)=0,"⚠ 查無員編",IF(COUNTIF($E$3:$E$2002,$E1585)&gt;1,"⚠ 重複打卡","OK")))</f>
        <v/>
      </c>
    </row>
    <row r="1586">
      <c r="A1586" s="20" t="n"/>
      <c r="B1586" s="18" t="n"/>
      <c r="C1586" s="81" t="n"/>
      <c r="D1586" s="81" t="n"/>
      <c r="E1586" s="16">
        <f>IF($A1586="","",$A1586&amp;"|"&amp;DAY($B1586))</f>
        <v/>
      </c>
      <c r="F1586" s="16">
        <f>IF($A1586="","",IF(COUNTIF(設定!$B$62:$B$201,$A1586)=0,"⚠ 查無員編",IF(COUNTIF($E$3:$E$2002,$E1586)&gt;1,"⚠ 重複打卡","OK")))</f>
        <v/>
      </c>
    </row>
    <row r="1587">
      <c r="A1587" s="20" t="n"/>
      <c r="B1587" s="18" t="n"/>
      <c r="C1587" s="81" t="n"/>
      <c r="D1587" s="81" t="n"/>
      <c r="E1587" s="16">
        <f>IF($A1587="","",$A1587&amp;"|"&amp;DAY($B1587))</f>
        <v/>
      </c>
      <c r="F1587" s="16">
        <f>IF($A1587="","",IF(COUNTIF(設定!$B$62:$B$201,$A1587)=0,"⚠ 查無員編",IF(COUNTIF($E$3:$E$2002,$E1587)&gt;1,"⚠ 重複打卡","OK")))</f>
        <v/>
      </c>
    </row>
    <row r="1588">
      <c r="A1588" s="20" t="n"/>
      <c r="B1588" s="18" t="n"/>
      <c r="C1588" s="81" t="n"/>
      <c r="D1588" s="81" t="n"/>
      <c r="E1588" s="16">
        <f>IF($A1588="","",$A1588&amp;"|"&amp;DAY($B1588))</f>
        <v/>
      </c>
      <c r="F1588" s="16">
        <f>IF($A1588="","",IF(COUNTIF(設定!$B$62:$B$201,$A1588)=0,"⚠ 查無員編",IF(COUNTIF($E$3:$E$2002,$E1588)&gt;1,"⚠ 重複打卡","OK")))</f>
        <v/>
      </c>
    </row>
    <row r="1589">
      <c r="A1589" s="20" t="n"/>
      <c r="B1589" s="18" t="n"/>
      <c r="C1589" s="81" t="n"/>
      <c r="D1589" s="81" t="n"/>
      <c r="E1589" s="16">
        <f>IF($A1589="","",$A1589&amp;"|"&amp;DAY($B1589))</f>
        <v/>
      </c>
      <c r="F1589" s="16">
        <f>IF($A1589="","",IF(COUNTIF(設定!$B$62:$B$201,$A1589)=0,"⚠ 查無員編",IF(COUNTIF($E$3:$E$2002,$E1589)&gt;1,"⚠ 重複打卡","OK")))</f>
        <v/>
      </c>
    </row>
    <row r="1590">
      <c r="A1590" s="20" t="n"/>
      <c r="B1590" s="18" t="n"/>
      <c r="C1590" s="81" t="n"/>
      <c r="D1590" s="81" t="n"/>
      <c r="E1590" s="16">
        <f>IF($A1590="","",$A1590&amp;"|"&amp;DAY($B1590))</f>
        <v/>
      </c>
      <c r="F1590" s="16">
        <f>IF($A1590="","",IF(COUNTIF(設定!$B$62:$B$201,$A1590)=0,"⚠ 查無員編",IF(COUNTIF($E$3:$E$2002,$E1590)&gt;1,"⚠ 重複打卡","OK")))</f>
        <v/>
      </c>
    </row>
    <row r="1591">
      <c r="A1591" s="20" t="n"/>
      <c r="B1591" s="18" t="n"/>
      <c r="C1591" s="81" t="n"/>
      <c r="D1591" s="81" t="n"/>
      <c r="E1591" s="16">
        <f>IF($A1591="","",$A1591&amp;"|"&amp;DAY($B1591))</f>
        <v/>
      </c>
      <c r="F1591" s="16">
        <f>IF($A1591="","",IF(COUNTIF(設定!$B$62:$B$201,$A1591)=0,"⚠ 查無員編",IF(COUNTIF($E$3:$E$2002,$E1591)&gt;1,"⚠ 重複打卡","OK")))</f>
        <v/>
      </c>
    </row>
    <row r="1592">
      <c r="A1592" s="20" t="n"/>
      <c r="B1592" s="18" t="n"/>
      <c r="C1592" s="81" t="n"/>
      <c r="D1592" s="81" t="n"/>
      <c r="E1592" s="16">
        <f>IF($A1592="","",$A1592&amp;"|"&amp;DAY($B1592))</f>
        <v/>
      </c>
      <c r="F1592" s="16">
        <f>IF($A1592="","",IF(COUNTIF(設定!$B$62:$B$201,$A1592)=0,"⚠ 查無員編",IF(COUNTIF($E$3:$E$2002,$E1592)&gt;1,"⚠ 重複打卡","OK")))</f>
        <v/>
      </c>
    </row>
    <row r="1593">
      <c r="A1593" s="20" t="n"/>
      <c r="B1593" s="18" t="n"/>
      <c r="C1593" s="81" t="n"/>
      <c r="D1593" s="81" t="n"/>
      <c r="E1593" s="16">
        <f>IF($A1593="","",$A1593&amp;"|"&amp;DAY($B1593))</f>
        <v/>
      </c>
      <c r="F1593" s="16">
        <f>IF($A1593="","",IF(COUNTIF(設定!$B$62:$B$201,$A1593)=0,"⚠ 查無員編",IF(COUNTIF($E$3:$E$2002,$E1593)&gt;1,"⚠ 重複打卡","OK")))</f>
        <v/>
      </c>
    </row>
    <row r="1594">
      <c r="A1594" s="20" t="n"/>
      <c r="B1594" s="18" t="n"/>
      <c r="C1594" s="81" t="n"/>
      <c r="D1594" s="81" t="n"/>
      <c r="E1594" s="16">
        <f>IF($A1594="","",$A1594&amp;"|"&amp;DAY($B1594))</f>
        <v/>
      </c>
      <c r="F1594" s="16">
        <f>IF($A1594="","",IF(COUNTIF(設定!$B$62:$B$201,$A1594)=0,"⚠ 查無員編",IF(COUNTIF($E$3:$E$2002,$E1594)&gt;1,"⚠ 重複打卡","OK")))</f>
        <v/>
      </c>
    </row>
    <row r="1595">
      <c r="A1595" s="20" t="n"/>
      <c r="B1595" s="18" t="n"/>
      <c r="C1595" s="81" t="n"/>
      <c r="D1595" s="81" t="n"/>
      <c r="E1595" s="16">
        <f>IF($A1595="","",$A1595&amp;"|"&amp;DAY($B1595))</f>
        <v/>
      </c>
      <c r="F1595" s="16">
        <f>IF($A1595="","",IF(COUNTIF(設定!$B$62:$B$201,$A1595)=0,"⚠ 查無員編",IF(COUNTIF($E$3:$E$2002,$E1595)&gt;1,"⚠ 重複打卡","OK")))</f>
        <v/>
      </c>
    </row>
    <row r="1596">
      <c r="A1596" s="20" t="n"/>
      <c r="B1596" s="18" t="n"/>
      <c r="C1596" s="81" t="n"/>
      <c r="D1596" s="81" t="n"/>
      <c r="E1596" s="16">
        <f>IF($A1596="","",$A1596&amp;"|"&amp;DAY($B1596))</f>
        <v/>
      </c>
      <c r="F1596" s="16">
        <f>IF($A1596="","",IF(COUNTIF(設定!$B$62:$B$201,$A1596)=0,"⚠ 查無員編",IF(COUNTIF($E$3:$E$2002,$E1596)&gt;1,"⚠ 重複打卡","OK")))</f>
        <v/>
      </c>
    </row>
    <row r="1597">
      <c r="A1597" s="20" t="n"/>
      <c r="B1597" s="18" t="n"/>
      <c r="C1597" s="81" t="n"/>
      <c r="D1597" s="81" t="n"/>
      <c r="E1597" s="16">
        <f>IF($A1597="","",$A1597&amp;"|"&amp;DAY($B1597))</f>
        <v/>
      </c>
      <c r="F1597" s="16">
        <f>IF($A1597="","",IF(COUNTIF(設定!$B$62:$B$201,$A1597)=0,"⚠ 查無員編",IF(COUNTIF($E$3:$E$2002,$E1597)&gt;1,"⚠ 重複打卡","OK")))</f>
        <v/>
      </c>
    </row>
    <row r="1598">
      <c r="A1598" s="20" t="n"/>
      <c r="B1598" s="18" t="n"/>
      <c r="C1598" s="81" t="n"/>
      <c r="D1598" s="81" t="n"/>
      <c r="E1598" s="16">
        <f>IF($A1598="","",$A1598&amp;"|"&amp;DAY($B1598))</f>
        <v/>
      </c>
      <c r="F1598" s="16">
        <f>IF($A1598="","",IF(COUNTIF(設定!$B$62:$B$201,$A1598)=0,"⚠ 查無員編",IF(COUNTIF($E$3:$E$2002,$E1598)&gt;1,"⚠ 重複打卡","OK")))</f>
        <v/>
      </c>
    </row>
    <row r="1599">
      <c r="A1599" s="20" t="n"/>
      <c r="B1599" s="18" t="n"/>
      <c r="C1599" s="81" t="n"/>
      <c r="D1599" s="81" t="n"/>
      <c r="E1599" s="16">
        <f>IF($A1599="","",$A1599&amp;"|"&amp;DAY($B1599))</f>
        <v/>
      </c>
      <c r="F1599" s="16">
        <f>IF($A1599="","",IF(COUNTIF(設定!$B$62:$B$201,$A1599)=0,"⚠ 查無員編",IF(COUNTIF($E$3:$E$2002,$E1599)&gt;1,"⚠ 重複打卡","OK")))</f>
        <v/>
      </c>
    </row>
    <row r="1600">
      <c r="A1600" s="20" t="n"/>
      <c r="B1600" s="18" t="n"/>
      <c r="C1600" s="81" t="n"/>
      <c r="D1600" s="81" t="n"/>
      <c r="E1600" s="16">
        <f>IF($A1600="","",$A1600&amp;"|"&amp;DAY($B1600))</f>
        <v/>
      </c>
      <c r="F1600" s="16">
        <f>IF($A1600="","",IF(COUNTIF(設定!$B$62:$B$201,$A1600)=0,"⚠ 查無員編",IF(COUNTIF($E$3:$E$2002,$E1600)&gt;1,"⚠ 重複打卡","OK")))</f>
        <v/>
      </c>
    </row>
    <row r="1601">
      <c r="A1601" s="20" t="n"/>
      <c r="B1601" s="18" t="n"/>
      <c r="C1601" s="81" t="n"/>
      <c r="D1601" s="81" t="n"/>
      <c r="E1601" s="16">
        <f>IF($A1601="","",$A1601&amp;"|"&amp;DAY($B1601))</f>
        <v/>
      </c>
      <c r="F1601" s="16">
        <f>IF($A1601="","",IF(COUNTIF(設定!$B$62:$B$201,$A1601)=0,"⚠ 查無員編",IF(COUNTIF($E$3:$E$2002,$E1601)&gt;1,"⚠ 重複打卡","OK")))</f>
        <v/>
      </c>
    </row>
    <row r="1602">
      <c r="A1602" s="20" t="n"/>
      <c r="B1602" s="18" t="n"/>
      <c r="C1602" s="81" t="n"/>
      <c r="D1602" s="81" t="n"/>
      <c r="E1602" s="16">
        <f>IF($A1602="","",$A1602&amp;"|"&amp;DAY($B1602))</f>
        <v/>
      </c>
      <c r="F1602" s="16">
        <f>IF($A1602="","",IF(COUNTIF(設定!$B$62:$B$201,$A1602)=0,"⚠ 查無員編",IF(COUNTIF($E$3:$E$2002,$E1602)&gt;1,"⚠ 重複打卡","OK")))</f>
        <v/>
      </c>
    </row>
    <row r="1603">
      <c r="A1603" s="20" t="n"/>
      <c r="B1603" s="18" t="n"/>
      <c r="C1603" s="81" t="n"/>
      <c r="D1603" s="81" t="n"/>
      <c r="E1603" s="16">
        <f>IF($A1603="","",$A1603&amp;"|"&amp;DAY($B1603))</f>
        <v/>
      </c>
      <c r="F1603" s="16">
        <f>IF($A1603="","",IF(COUNTIF(設定!$B$62:$B$201,$A1603)=0,"⚠ 查無員編",IF(COUNTIF($E$3:$E$2002,$E1603)&gt;1,"⚠ 重複打卡","OK")))</f>
        <v/>
      </c>
    </row>
    <row r="1604">
      <c r="A1604" s="20" t="n"/>
      <c r="B1604" s="18" t="n"/>
      <c r="C1604" s="81" t="n"/>
      <c r="D1604" s="81" t="n"/>
      <c r="E1604" s="16">
        <f>IF($A1604="","",$A1604&amp;"|"&amp;DAY($B1604))</f>
        <v/>
      </c>
      <c r="F1604" s="16">
        <f>IF($A1604="","",IF(COUNTIF(設定!$B$62:$B$201,$A1604)=0,"⚠ 查無員編",IF(COUNTIF($E$3:$E$2002,$E1604)&gt;1,"⚠ 重複打卡","OK")))</f>
        <v/>
      </c>
    </row>
    <row r="1605">
      <c r="A1605" s="20" t="n"/>
      <c r="B1605" s="18" t="n"/>
      <c r="C1605" s="81" t="n"/>
      <c r="D1605" s="81" t="n"/>
      <c r="E1605" s="16">
        <f>IF($A1605="","",$A1605&amp;"|"&amp;DAY($B1605))</f>
        <v/>
      </c>
      <c r="F1605" s="16">
        <f>IF($A1605="","",IF(COUNTIF(設定!$B$62:$B$201,$A1605)=0,"⚠ 查無員編",IF(COUNTIF($E$3:$E$2002,$E1605)&gt;1,"⚠ 重複打卡","OK")))</f>
        <v/>
      </c>
    </row>
    <row r="1606">
      <c r="A1606" s="20" t="n"/>
      <c r="B1606" s="18" t="n"/>
      <c r="C1606" s="81" t="n"/>
      <c r="D1606" s="81" t="n"/>
      <c r="E1606" s="16">
        <f>IF($A1606="","",$A1606&amp;"|"&amp;DAY($B1606))</f>
        <v/>
      </c>
      <c r="F1606" s="16">
        <f>IF($A1606="","",IF(COUNTIF(設定!$B$62:$B$201,$A1606)=0,"⚠ 查無員編",IF(COUNTIF($E$3:$E$2002,$E1606)&gt;1,"⚠ 重複打卡","OK")))</f>
        <v/>
      </c>
    </row>
    <row r="1607">
      <c r="A1607" s="20" t="n"/>
      <c r="B1607" s="18" t="n"/>
      <c r="C1607" s="81" t="n"/>
      <c r="D1607" s="81" t="n"/>
      <c r="E1607" s="16">
        <f>IF($A1607="","",$A1607&amp;"|"&amp;DAY($B1607))</f>
        <v/>
      </c>
      <c r="F1607" s="16">
        <f>IF($A1607="","",IF(COUNTIF(設定!$B$62:$B$201,$A1607)=0,"⚠ 查無員編",IF(COUNTIF($E$3:$E$2002,$E1607)&gt;1,"⚠ 重複打卡","OK")))</f>
        <v/>
      </c>
    </row>
    <row r="1608">
      <c r="A1608" s="20" t="n"/>
      <c r="B1608" s="18" t="n"/>
      <c r="C1608" s="81" t="n"/>
      <c r="D1608" s="81" t="n"/>
      <c r="E1608" s="16">
        <f>IF($A1608="","",$A1608&amp;"|"&amp;DAY($B1608))</f>
        <v/>
      </c>
      <c r="F1608" s="16">
        <f>IF($A1608="","",IF(COUNTIF(設定!$B$62:$B$201,$A1608)=0,"⚠ 查無員編",IF(COUNTIF($E$3:$E$2002,$E1608)&gt;1,"⚠ 重複打卡","OK")))</f>
        <v/>
      </c>
    </row>
    <row r="1609">
      <c r="A1609" s="20" t="n"/>
      <c r="B1609" s="18" t="n"/>
      <c r="C1609" s="81" t="n"/>
      <c r="D1609" s="81" t="n"/>
      <c r="E1609" s="16">
        <f>IF($A1609="","",$A1609&amp;"|"&amp;DAY($B1609))</f>
        <v/>
      </c>
      <c r="F1609" s="16">
        <f>IF($A1609="","",IF(COUNTIF(設定!$B$62:$B$201,$A1609)=0,"⚠ 查無員編",IF(COUNTIF($E$3:$E$2002,$E1609)&gt;1,"⚠ 重複打卡","OK")))</f>
        <v/>
      </c>
    </row>
    <row r="1610">
      <c r="A1610" s="20" t="n"/>
      <c r="B1610" s="18" t="n"/>
      <c r="C1610" s="81" t="n"/>
      <c r="D1610" s="81" t="n"/>
      <c r="E1610" s="16">
        <f>IF($A1610="","",$A1610&amp;"|"&amp;DAY($B1610))</f>
        <v/>
      </c>
      <c r="F1610" s="16">
        <f>IF($A1610="","",IF(COUNTIF(設定!$B$62:$B$201,$A1610)=0,"⚠ 查無員編",IF(COUNTIF($E$3:$E$2002,$E1610)&gt;1,"⚠ 重複打卡","OK")))</f>
        <v/>
      </c>
    </row>
    <row r="1611">
      <c r="A1611" s="20" t="n"/>
      <c r="B1611" s="18" t="n"/>
      <c r="C1611" s="81" t="n"/>
      <c r="D1611" s="81" t="n"/>
      <c r="E1611" s="16">
        <f>IF($A1611="","",$A1611&amp;"|"&amp;DAY($B1611))</f>
        <v/>
      </c>
      <c r="F1611" s="16">
        <f>IF($A1611="","",IF(COUNTIF(設定!$B$62:$B$201,$A1611)=0,"⚠ 查無員編",IF(COUNTIF($E$3:$E$2002,$E1611)&gt;1,"⚠ 重複打卡","OK")))</f>
        <v/>
      </c>
    </row>
    <row r="1612">
      <c r="A1612" s="20" t="n"/>
      <c r="B1612" s="18" t="n"/>
      <c r="C1612" s="81" t="n"/>
      <c r="D1612" s="81" t="n"/>
      <c r="E1612" s="16">
        <f>IF($A1612="","",$A1612&amp;"|"&amp;DAY($B1612))</f>
        <v/>
      </c>
      <c r="F1612" s="16">
        <f>IF($A1612="","",IF(COUNTIF(設定!$B$62:$B$201,$A1612)=0,"⚠ 查無員編",IF(COUNTIF($E$3:$E$2002,$E1612)&gt;1,"⚠ 重複打卡","OK")))</f>
        <v/>
      </c>
    </row>
    <row r="1613">
      <c r="A1613" s="20" t="n"/>
      <c r="B1613" s="18" t="n"/>
      <c r="C1613" s="81" t="n"/>
      <c r="D1613" s="81" t="n"/>
      <c r="E1613" s="16">
        <f>IF($A1613="","",$A1613&amp;"|"&amp;DAY($B1613))</f>
        <v/>
      </c>
      <c r="F1613" s="16">
        <f>IF($A1613="","",IF(COUNTIF(設定!$B$62:$B$201,$A1613)=0,"⚠ 查無員編",IF(COUNTIF($E$3:$E$2002,$E1613)&gt;1,"⚠ 重複打卡","OK")))</f>
        <v/>
      </c>
    </row>
    <row r="1614">
      <c r="A1614" s="20" t="n"/>
      <c r="B1614" s="18" t="n"/>
      <c r="C1614" s="81" t="n"/>
      <c r="D1614" s="81" t="n"/>
      <c r="E1614" s="16">
        <f>IF($A1614="","",$A1614&amp;"|"&amp;DAY($B1614))</f>
        <v/>
      </c>
      <c r="F1614" s="16">
        <f>IF($A1614="","",IF(COUNTIF(設定!$B$62:$B$201,$A1614)=0,"⚠ 查無員編",IF(COUNTIF($E$3:$E$2002,$E1614)&gt;1,"⚠ 重複打卡","OK")))</f>
        <v/>
      </c>
    </row>
    <row r="1615">
      <c r="A1615" s="20" t="n"/>
      <c r="B1615" s="18" t="n"/>
      <c r="C1615" s="81" t="n"/>
      <c r="D1615" s="81" t="n"/>
      <c r="E1615" s="16">
        <f>IF($A1615="","",$A1615&amp;"|"&amp;DAY($B1615))</f>
        <v/>
      </c>
      <c r="F1615" s="16">
        <f>IF($A1615="","",IF(COUNTIF(設定!$B$62:$B$201,$A1615)=0,"⚠ 查無員編",IF(COUNTIF($E$3:$E$2002,$E1615)&gt;1,"⚠ 重複打卡","OK")))</f>
        <v/>
      </c>
    </row>
    <row r="1616">
      <c r="A1616" s="20" t="n"/>
      <c r="B1616" s="18" t="n"/>
      <c r="C1616" s="81" t="n"/>
      <c r="D1616" s="81" t="n"/>
      <c r="E1616" s="16">
        <f>IF($A1616="","",$A1616&amp;"|"&amp;DAY($B1616))</f>
        <v/>
      </c>
      <c r="F1616" s="16">
        <f>IF($A1616="","",IF(COUNTIF(設定!$B$62:$B$201,$A1616)=0,"⚠ 查無員編",IF(COUNTIF($E$3:$E$2002,$E1616)&gt;1,"⚠ 重複打卡","OK")))</f>
        <v/>
      </c>
    </row>
    <row r="1617">
      <c r="A1617" s="20" t="n"/>
      <c r="B1617" s="18" t="n"/>
      <c r="C1617" s="81" t="n"/>
      <c r="D1617" s="81" t="n"/>
      <c r="E1617" s="16">
        <f>IF($A1617="","",$A1617&amp;"|"&amp;DAY($B1617))</f>
        <v/>
      </c>
      <c r="F1617" s="16">
        <f>IF($A1617="","",IF(COUNTIF(設定!$B$62:$B$201,$A1617)=0,"⚠ 查無員編",IF(COUNTIF($E$3:$E$2002,$E1617)&gt;1,"⚠ 重複打卡","OK")))</f>
        <v/>
      </c>
    </row>
    <row r="1618">
      <c r="A1618" s="20" t="n"/>
      <c r="B1618" s="18" t="n"/>
      <c r="C1618" s="81" t="n"/>
      <c r="D1618" s="81" t="n"/>
      <c r="E1618" s="16">
        <f>IF($A1618="","",$A1618&amp;"|"&amp;DAY($B1618))</f>
        <v/>
      </c>
      <c r="F1618" s="16">
        <f>IF($A1618="","",IF(COUNTIF(設定!$B$62:$B$201,$A1618)=0,"⚠ 查無員編",IF(COUNTIF($E$3:$E$2002,$E1618)&gt;1,"⚠ 重複打卡","OK")))</f>
        <v/>
      </c>
    </row>
    <row r="1619">
      <c r="A1619" s="20" t="n"/>
      <c r="B1619" s="18" t="n"/>
      <c r="C1619" s="81" t="n"/>
      <c r="D1619" s="81" t="n"/>
      <c r="E1619" s="16">
        <f>IF($A1619="","",$A1619&amp;"|"&amp;DAY($B1619))</f>
        <v/>
      </c>
      <c r="F1619" s="16">
        <f>IF($A1619="","",IF(COUNTIF(設定!$B$62:$B$201,$A1619)=0,"⚠ 查無員編",IF(COUNTIF($E$3:$E$2002,$E1619)&gt;1,"⚠ 重複打卡","OK")))</f>
        <v/>
      </c>
    </row>
    <row r="1620">
      <c r="A1620" s="20" t="n"/>
      <c r="B1620" s="18" t="n"/>
      <c r="C1620" s="81" t="n"/>
      <c r="D1620" s="81" t="n"/>
      <c r="E1620" s="16">
        <f>IF($A1620="","",$A1620&amp;"|"&amp;DAY($B1620))</f>
        <v/>
      </c>
      <c r="F1620" s="16">
        <f>IF($A1620="","",IF(COUNTIF(設定!$B$62:$B$201,$A1620)=0,"⚠ 查無員編",IF(COUNTIF($E$3:$E$2002,$E1620)&gt;1,"⚠ 重複打卡","OK")))</f>
        <v/>
      </c>
    </row>
    <row r="1621">
      <c r="A1621" s="20" t="n"/>
      <c r="B1621" s="18" t="n"/>
      <c r="C1621" s="81" t="n"/>
      <c r="D1621" s="81" t="n"/>
      <c r="E1621" s="16">
        <f>IF($A1621="","",$A1621&amp;"|"&amp;DAY($B1621))</f>
        <v/>
      </c>
      <c r="F1621" s="16">
        <f>IF($A1621="","",IF(COUNTIF(設定!$B$62:$B$201,$A1621)=0,"⚠ 查無員編",IF(COUNTIF($E$3:$E$2002,$E1621)&gt;1,"⚠ 重複打卡","OK")))</f>
        <v/>
      </c>
    </row>
    <row r="1622">
      <c r="A1622" s="20" t="n"/>
      <c r="B1622" s="18" t="n"/>
      <c r="C1622" s="81" t="n"/>
      <c r="D1622" s="81" t="n"/>
      <c r="E1622" s="16">
        <f>IF($A1622="","",$A1622&amp;"|"&amp;DAY($B1622))</f>
        <v/>
      </c>
      <c r="F1622" s="16">
        <f>IF($A1622="","",IF(COUNTIF(設定!$B$62:$B$201,$A1622)=0,"⚠ 查無員編",IF(COUNTIF($E$3:$E$2002,$E1622)&gt;1,"⚠ 重複打卡","OK")))</f>
        <v/>
      </c>
    </row>
    <row r="1623">
      <c r="A1623" s="20" t="n"/>
      <c r="B1623" s="18" t="n"/>
      <c r="C1623" s="81" t="n"/>
      <c r="D1623" s="81" t="n"/>
      <c r="E1623" s="16">
        <f>IF($A1623="","",$A1623&amp;"|"&amp;DAY($B1623))</f>
        <v/>
      </c>
      <c r="F1623" s="16">
        <f>IF($A1623="","",IF(COUNTIF(設定!$B$62:$B$201,$A1623)=0,"⚠ 查無員編",IF(COUNTIF($E$3:$E$2002,$E1623)&gt;1,"⚠ 重複打卡","OK")))</f>
        <v/>
      </c>
    </row>
    <row r="1624">
      <c r="A1624" s="20" t="n"/>
      <c r="B1624" s="18" t="n"/>
      <c r="C1624" s="81" t="n"/>
      <c r="D1624" s="81" t="n"/>
      <c r="E1624" s="16">
        <f>IF($A1624="","",$A1624&amp;"|"&amp;DAY($B1624))</f>
        <v/>
      </c>
      <c r="F1624" s="16">
        <f>IF($A1624="","",IF(COUNTIF(設定!$B$62:$B$201,$A1624)=0,"⚠ 查無員編",IF(COUNTIF($E$3:$E$2002,$E1624)&gt;1,"⚠ 重複打卡","OK")))</f>
        <v/>
      </c>
    </row>
    <row r="1625">
      <c r="A1625" s="20" t="n"/>
      <c r="B1625" s="18" t="n"/>
      <c r="C1625" s="81" t="n"/>
      <c r="D1625" s="81" t="n"/>
      <c r="E1625" s="16">
        <f>IF($A1625="","",$A1625&amp;"|"&amp;DAY($B1625))</f>
        <v/>
      </c>
      <c r="F1625" s="16">
        <f>IF($A1625="","",IF(COUNTIF(設定!$B$62:$B$201,$A1625)=0,"⚠ 查無員編",IF(COUNTIF($E$3:$E$2002,$E1625)&gt;1,"⚠ 重複打卡","OK")))</f>
        <v/>
      </c>
    </row>
    <row r="1626">
      <c r="A1626" s="20" t="n"/>
      <c r="B1626" s="18" t="n"/>
      <c r="C1626" s="81" t="n"/>
      <c r="D1626" s="81" t="n"/>
      <c r="E1626" s="16">
        <f>IF($A1626="","",$A1626&amp;"|"&amp;DAY($B1626))</f>
        <v/>
      </c>
      <c r="F1626" s="16">
        <f>IF($A1626="","",IF(COUNTIF(設定!$B$62:$B$201,$A1626)=0,"⚠ 查無員編",IF(COUNTIF($E$3:$E$2002,$E1626)&gt;1,"⚠ 重複打卡","OK")))</f>
        <v/>
      </c>
    </row>
    <row r="1627">
      <c r="A1627" s="20" t="n"/>
      <c r="B1627" s="18" t="n"/>
      <c r="C1627" s="81" t="n"/>
      <c r="D1627" s="81" t="n"/>
      <c r="E1627" s="16">
        <f>IF($A1627="","",$A1627&amp;"|"&amp;DAY($B1627))</f>
        <v/>
      </c>
      <c r="F1627" s="16">
        <f>IF($A1627="","",IF(COUNTIF(設定!$B$62:$B$201,$A1627)=0,"⚠ 查無員編",IF(COUNTIF($E$3:$E$2002,$E1627)&gt;1,"⚠ 重複打卡","OK")))</f>
        <v/>
      </c>
    </row>
    <row r="1628">
      <c r="A1628" s="20" t="n"/>
      <c r="B1628" s="18" t="n"/>
      <c r="C1628" s="81" t="n"/>
      <c r="D1628" s="81" t="n"/>
      <c r="E1628" s="16">
        <f>IF($A1628="","",$A1628&amp;"|"&amp;DAY($B1628))</f>
        <v/>
      </c>
      <c r="F1628" s="16">
        <f>IF($A1628="","",IF(COUNTIF(設定!$B$62:$B$201,$A1628)=0,"⚠ 查無員編",IF(COUNTIF($E$3:$E$2002,$E1628)&gt;1,"⚠ 重複打卡","OK")))</f>
        <v/>
      </c>
    </row>
    <row r="1629">
      <c r="A1629" s="20" t="n"/>
      <c r="B1629" s="18" t="n"/>
      <c r="C1629" s="81" t="n"/>
      <c r="D1629" s="81" t="n"/>
      <c r="E1629" s="16">
        <f>IF($A1629="","",$A1629&amp;"|"&amp;DAY($B1629))</f>
        <v/>
      </c>
      <c r="F1629" s="16">
        <f>IF($A1629="","",IF(COUNTIF(設定!$B$62:$B$201,$A1629)=0,"⚠ 查無員編",IF(COUNTIF($E$3:$E$2002,$E1629)&gt;1,"⚠ 重複打卡","OK")))</f>
        <v/>
      </c>
    </row>
    <row r="1630">
      <c r="A1630" s="20" t="n"/>
      <c r="B1630" s="18" t="n"/>
      <c r="C1630" s="81" t="n"/>
      <c r="D1630" s="81" t="n"/>
      <c r="E1630" s="16">
        <f>IF($A1630="","",$A1630&amp;"|"&amp;DAY($B1630))</f>
        <v/>
      </c>
      <c r="F1630" s="16">
        <f>IF($A1630="","",IF(COUNTIF(設定!$B$62:$B$201,$A1630)=0,"⚠ 查無員編",IF(COUNTIF($E$3:$E$2002,$E1630)&gt;1,"⚠ 重複打卡","OK")))</f>
        <v/>
      </c>
    </row>
    <row r="1631">
      <c r="A1631" s="20" t="n"/>
      <c r="B1631" s="18" t="n"/>
      <c r="C1631" s="81" t="n"/>
      <c r="D1631" s="81" t="n"/>
      <c r="E1631" s="16">
        <f>IF($A1631="","",$A1631&amp;"|"&amp;DAY($B1631))</f>
        <v/>
      </c>
      <c r="F1631" s="16">
        <f>IF($A1631="","",IF(COUNTIF(設定!$B$62:$B$201,$A1631)=0,"⚠ 查無員編",IF(COUNTIF($E$3:$E$2002,$E1631)&gt;1,"⚠ 重複打卡","OK")))</f>
        <v/>
      </c>
    </row>
    <row r="1632">
      <c r="A1632" s="20" t="n"/>
      <c r="B1632" s="18" t="n"/>
      <c r="C1632" s="81" t="n"/>
      <c r="D1632" s="81" t="n"/>
      <c r="E1632" s="16">
        <f>IF($A1632="","",$A1632&amp;"|"&amp;DAY($B1632))</f>
        <v/>
      </c>
      <c r="F1632" s="16">
        <f>IF($A1632="","",IF(COUNTIF(設定!$B$62:$B$201,$A1632)=0,"⚠ 查無員編",IF(COUNTIF($E$3:$E$2002,$E1632)&gt;1,"⚠ 重複打卡","OK")))</f>
        <v/>
      </c>
    </row>
    <row r="1633">
      <c r="A1633" s="20" t="n"/>
      <c r="B1633" s="18" t="n"/>
      <c r="C1633" s="81" t="n"/>
      <c r="D1633" s="81" t="n"/>
      <c r="E1633" s="16">
        <f>IF($A1633="","",$A1633&amp;"|"&amp;DAY($B1633))</f>
        <v/>
      </c>
      <c r="F1633" s="16">
        <f>IF($A1633="","",IF(COUNTIF(設定!$B$62:$B$201,$A1633)=0,"⚠ 查無員編",IF(COUNTIF($E$3:$E$2002,$E1633)&gt;1,"⚠ 重複打卡","OK")))</f>
        <v/>
      </c>
    </row>
    <row r="1634">
      <c r="A1634" s="20" t="n"/>
      <c r="B1634" s="18" t="n"/>
      <c r="C1634" s="81" t="n"/>
      <c r="D1634" s="81" t="n"/>
      <c r="E1634" s="16">
        <f>IF($A1634="","",$A1634&amp;"|"&amp;DAY($B1634))</f>
        <v/>
      </c>
      <c r="F1634" s="16">
        <f>IF($A1634="","",IF(COUNTIF(設定!$B$62:$B$201,$A1634)=0,"⚠ 查無員編",IF(COUNTIF($E$3:$E$2002,$E1634)&gt;1,"⚠ 重複打卡","OK")))</f>
        <v/>
      </c>
    </row>
    <row r="1635">
      <c r="A1635" s="20" t="n"/>
      <c r="B1635" s="18" t="n"/>
      <c r="C1635" s="81" t="n"/>
      <c r="D1635" s="81" t="n"/>
      <c r="E1635" s="16">
        <f>IF($A1635="","",$A1635&amp;"|"&amp;DAY($B1635))</f>
        <v/>
      </c>
      <c r="F1635" s="16">
        <f>IF($A1635="","",IF(COUNTIF(設定!$B$62:$B$201,$A1635)=0,"⚠ 查無員編",IF(COUNTIF($E$3:$E$2002,$E1635)&gt;1,"⚠ 重複打卡","OK")))</f>
        <v/>
      </c>
    </row>
    <row r="1636">
      <c r="A1636" s="20" t="n"/>
      <c r="B1636" s="18" t="n"/>
      <c r="C1636" s="81" t="n"/>
      <c r="D1636" s="81" t="n"/>
      <c r="E1636" s="16">
        <f>IF($A1636="","",$A1636&amp;"|"&amp;DAY($B1636))</f>
        <v/>
      </c>
      <c r="F1636" s="16">
        <f>IF($A1636="","",IF(COUNTIF(設定!$B$62:$B$201,$A1636)=0,"⚠ 查無員編",IF(COUNTIF($E$3:$E$2002,$E1636)&gt;1,"⚠ 重複打卡","OK")))</f>
        <v/>
      </c>
    </row>
    <row r="1637">
      <c r="A1637" s="20" t="n"/>
      <c r="B1637" s="18" t="n"/>
      <c r="C1637" s="81" t="n"/>
      <c r="D1637" s="81" t="n"/>
      <c r="E1637" s="16">
        <f>IF($A1637="","",$A1637&amp;"|"&amp;DAY($B1637))</f>
        <v/>
      </c>
      <c r="F1637" s="16">
        <f>IF($A1637="","",IF(COUNTIF(設定!$B$62:$B$201,$A1637)=0,"⚠ 查無員編",IF(COUNTIF($E$3:$E$2002,$E1637)&gt;1,"⚠ 重複打卡","OK")))</f>
        <v/>
      </c>
    </row>
    <row r="1638">
      <c r="A1638" s="20" t="n"/>
      <c r="B1638" s="18" t="n"/>
      <c r="C1638" s="81" t="n"/>
      <c r="D1638" s="81" t="n"/>
      <c r="E1638" s="16">
        <f>IF($A1638="","",$A1638&amp;"|"&amp;DAY($B1638))</f>
        <v/>
      </c>
      <c r="F1638" s="16">
        <f>IF($A1638="","",IF(COUNTIF(設定!$B$62:$B$201,$A1638)=0,"⚠ 查無員編",IF(COUNTIF($E$3:$E$2002,$E1638)&gt;1,"⚠ 重複打卡","OK")))</f>
        <v/>
      </c>
    </row>
    <row r="1639">
      <c r="A1639" s="20" t="n"/>
      <c r="B1639" s="18" t="n"/>
      <c r="C1639" s="81" t="n"/>
      <c r="D1639" s="81" t="n"/>
      <c r="E1639" s="16">
        <f>IF($A1639="","",$A1639&amp;"|"&amp;DAY($B1639))</f>
        <v/>
      </c>
      <c r="F1639" s="16">
        <f>IF($A1639="","",IF(COUNTIF(設定!$B$62:$B$201,$A1639)=0,"⚠ 查無員編",IF(COUNTIF($E$3:$E$2002,$E1639)&gt;1,"⚠ 重複打卡","OK")))</f>
        <v/>
      </c>
    </row>
    <row r="1640">
      <c r="A1640" s="20" t="n"/>
      <c r="B1640" s="18" t="n"/>
      <c r="C1640" s="81" t="n"/>
      <c r="D1640" s="81" t="n"/>
      <c r="E1640" s="16">
        <f>IF($A1640="","",$A1640&amp;"|"&amp;DAY($B1640))</f>
        <v/>
      </c>
      <c r="F1640" s="16">
        <f>IF($A1640="","",IF(COUNTIF(設定!$B$62:$B$201,$A1640)=0,"⚠ 查無員編",IF(COUNTIF($E$3:$E$2002,$E1640)&gt;1,"⚠ 重複打卡","OK")))</f>
        <v/>
      </c>
    </row>
    <row r="1641">
      <c r="A1641" s="20" t="n"/>
      <c r="B1641" s="18" t="n"/>
      <c r="C1641" s="81" t="n"/>
      <c r="D1641" s="81" t="n"/>
      <c r="E1641" s="16">
        <f>IF($A1641="","",$A1641&amp;"|"&amp;DAY($B1641))</f>
        <v/>
      </c>
      <c r="F1641" s="16">
        <f>IF($A1641="","",IF(COUNTIF(設定!$B$62:$B$201,$A1641)=0,"⚠ 查無員編",IF(COUNTIF($E$3:$E$2002,$E1641)&gt;1,"⚠ 重複打卡","OK")))</f>
        <v/>
      </c>
    </row>
    <row r="1642">
      <c r="A1642" s="20" t="n"/>
      <c r="B1642" s="18" t="n"/>
      <c r="C1642" s="81" t="n"/>
      <c r="D1642" s="81" t="n"/>
      <c r="E1642" s="16">
        <f>IF($A1642="","",$A1642&amp;"|"&amp;DAY($B1642))</f>
        <v/>
      </c>
      <c r="F1642" s="16">
        <f>IF($A1642="","",IF(COUNTIF(設定!$B$62:$B$201,$A1642)=0,"⚠ 查無員編",IF(COUNTIF($E$3:$E$2002,$E1642)&gt;1,"⚠ 重複打卡","OK")))</f>
        <v/>
      </c>
    </row>
    <row r="1643">
      <c r="A1643" s="20" t="n"/>
      <c r="B1643" s="18" t="n"/>
      <c r="C1643" s="81" t="n"/>
      <c r="D1643" s="81" t="n"/>
      <c r="E1643" s="16">
        <f>IF($A1643="","",$A1643&amp;"|"&amp;DAY($B1643))</f>
        <v/>
      </c>
      <c r="F1643" s="16">
        <f>IF($A1643="","",IF(COUNTIF(設定!$B$62:$B$201,$A1643)=0,"⚠ 查無員編",IF(COUNTIF($E$3:$E$2002,$E1643)&gt;1,"⚠ 重複打卡","OK")))</f>
        <v/>
      </c>
    </row>
    <row r="1644">
      <c r="A1644" s="20" t="n"/>
      <c r="B1644" s="18" t="n"/>
      <c r="C1644" s="81" t="n"/>
      <c r="D1644" s="81" t="n"/>
      <c r="E1644" s="16">
        <f>IF($A1644="","",$A1644&amp;"|"&amp;DAY($B1644))</f>
        <v/>
      </c>
      <c r="F1644" s="16">
        <f>IF($A1644="","",IF(COUNTIF(設定!$B$62:$B$201,$A1644)=0,"⚠ 查無員編",IF(COUNTIF($E$3:$E$2002,$E1644)&gt;1,"⚠ 重複打卡","OK")))</f>
        <v/>
      </c>
    </row>
    <row r="1645">
      <c r="A1645" s="20" t="n"/>
      <c r="B1645" s="18" t="n"/>
      <c r="C1645" s="81" t="n"/>
      <c r="D1645" s="81" t="n"/>
      <c r="E1645" s="16">
        <f>IF($A1645="","",$A1645&amp;"|"&amp;DAY($B1645))</f>
        <v/>
      </c>
      <c r="F1645" s="16">
        <f>IF($A1645="","",IF(COUNTIF(設定!$B$62:$B$201,$A1645)=0,"⚠ 查無員編",IF(COUNTIF($E$3:$E$2002,$E1645)&gt;1,"⚠ 重複打卡","OK")))</f>
        <v/>
      </c>
    </row>
    <row r="1646">
      <c r="A1646" s="20" t="n"/>
      <c r="B1646" s="18" t="n"/>
      <c r="C1646" s="81" t="n"/>
      <c r="D1646" s="81" t="n"/>
      <c r="E1646" s="16">
        <f>IF($A1646="","",$A1646&amp;"|"&amp;DAY($B1646))</f>
        <v/>
      </c>
      <c r="F1646" s="16">
        <f>IF($A1646="","",IF(COUNTIF(設定!$B$62:$B$201,$A1646)=0,"⚠ 查無員編",IF(COUNTIF($E$3:$E$2002,$E1646)&gt;1,"⚠ 重複打卡","OK")))</f>
        <v/>
      </c>
    </row>
    <row r="1647">
      <c r="A1647" s="20" t="n"/>
      <c r="B1647" s="18" t="n"/>
      <c r="C1647" s="81" t="n"/>
      <c r="D1647" s="81" t="n"/>
      <c r="E1647" s="16">
        <f>IF($A1647="","",$A1647&amp;"|"&amp;DAY($B1647))</f>
        <v/>
      </c>
      <c r="F1647" s="16">
        <f>IF($A1647="","",IF(COUNTIF(設定!$B$62:$B$201,$A1647)=0,"⚠ 查無員編",IF(COUNTIF($E$3:$E$2002,$E1647)&gt;1,"⚠ 重複打卡","OK")))</f>
        <v/>
      </c>
    </row>
    <row r="1648">
      <c r="A1648" s="20" t="n"/>
      <c r="B1648" s="18" t="n"/>
      <c r="C1648" s="81" t="n"/>
      <c r="D1648" s="81" t="n"/>
      <c r="E1648" s="16">
        <f>IF($A1648="","",$A1648&amp;"|"&amp;DAY($B1648))</f>
        <v/>
      </c>
      <c r="F1648" s="16">
        <f>IF($A1648="","",IF(COUNTIF(設定!$B$62:$B$201,$A1648)=0,"⚠ 查無員編",IF(COUNTIF($E$3:$E$2002,$E1648)&gt;1,"⚠ 重複打卡","OK")))</f>
        <v/>
      </c>
    </row>
    <row r="1649">
      <c r="A1649" s="20" t="n"/>
      <c r="B1649" s="18" t="n"/>
      <c r="C1649" s="81" t="n"/>
      <c r="D1649" s="81" t="n"/>
      <c r="E1649" s="16">
        <f>IF($A1649="","",$A1649&amp;"|"&amp;DAY($B1649))</f>
        <v/>
      </c>
      <c r="F1649" s="16">
        <f>IF($A1649="","",IF(COUNTIF(設定!$B$62:$B$201,$A1649)=0,"⚠ 查無員編",IF(COUNTIF($E$3:$E$2002,$E1649)&gt;1,"⚠ 重複打卡","OK")))</f>
        <v/>
      </c>
    </row>
    <row r="1650">
      <c r="A1650" s="20" t="n"/>
      <c r="B1650" s="18" t="n"/>
      <c r="C1650" s="81" t="n"/>
      <c r="D1650" s="81" t="n"/>
      <c r="E1650" s="16">
        <f>IF($A1650="","",$A1650&amp;"|"&amp;DAY($B1650))</f>
        <v/>
      </c>
      <c r="F1650" s="16">
        <f>IF($A1650="","",IF(COUNTIF(設定!$B$62:$B$201,$A1650)=0,"⚠ 查無員編",IF(COUNTIF($E$3:$E$2002,$E1650)&gt;1,"⚠ 重複打卡","OK")))</f>
        <v/>
      </c>
    </row>
    <row r="1651">
      <c r="A1651" s="20" t="n"/>
      <c r="B1651" s="18" t="n"/>
      <c r="C1651" s="81" t="n"/>
      <c r="D1651" s="81" t="n"/>
      <c r="E1651" s="16">
        <f>IF($A1651="","",$A1651&amp;"|"&amp;DAY($B1651))</f>
        <v/>
      </c>
      <c r="F1651" s="16">
        <f>IF($A1651="","",IF(COUNTIF(設定!$B$62:$B$201,$A1651)=0,"⚠ 查無員編",IF(COUNTIF($E$3:$E$2002,$E1651)&gt;1,"⚠ 重複打卡","OK")))</f>
        <v/>
      </c>
    </row>
    <row r="1652">
      <c r="A1652" s="20" t="n"/>
      <c r="B1652" s="18" t="n"/>
      <c r="C1652" s="81" t="n"/>
      <c r="D1652" s="81" t="n"/>
      <c r="E1652" s="16">
        <f>IF($A1652="","",$A1652&amp;"|"&amp;DAY($B1652))</f>
        <v/>
      </c>
      <c r="F1652" s="16">
        <f>IF($A1652="","",IF(COUNTIF(設定!$B$62:$B$201,$A1652)=0,"⚠ 查無員編",IF(COUNTIF($E$3:$E$2002,$E1652)&gt;1,"⚠ 重複打卡","OK")))</f>
        <v/>
      </c>
    </row>
    <row r="1653">
      <c r="A1653" s="20" t="n"/>
      <c r="B1653" s="18" t="n"/>
      <c r="C1653" s="81" t="n"/>
      <c r="D1653" s="81" t="n"/>
      <c r="E1653" s="16">
        <f>IF($A1653="","",$A1653&amp;"|"&amp;DAY($B1653))</f>
        <v/>
      </c>
      <c r="F1653" s="16">
        <f>IF($A1653="","",IF(COUNTIF(設定!$B$62:$B$201,$A1653)=0,"⚠ 查無員編",IF(COUNTIF($E$3:$E$2002,$E1653)&gt;1,"⚠ 重複打卡","OK")))</f>
        <v/>
      </c>
    </row>
    <row r="1654">
      <c r="A1654" s="20" t="n"/>
      <c r="B1654" s="18" t="n"/>
      <c r="C1654" s="81" t="n"/>
      <c r="D1654" s="81" t="n"/>
      <c r="E1654" s="16">
        <f>IF($A1654="","",$A1654&amp;"|"&amp;DAY($B1654))</f>
        <v/>
      </c>
      <c r="F1654" s="16">
        <f>IF($A1654="","",IF(COUNTIF(設定!$B$62:$B$201,$A1654)=0,"⚠ 查無員編",IF(COUNTIF($E$3:$E$2002,$E1654)&gt;1,"⚠ 重複打卡","OK")))</f>
        <v/>
      </c>
    </row>
    <row r="1655">
      <c r="A1655" s="20" t="n"/>
      <c r="B1655" s="18" t="n"/>
      <c r="C1655" s="81" t="n"/>
      <c r="D1655" s="81" t="n"/>
      <c r="E1655" s="16">
        <f>IF($A1655="","",$A1655&amp;"|"&amp;DAY($B1655))</f>
        <v/>
      </c>
      <c r="F1655" s="16">
        <f>IF($A1655="","",IF(COUNTIF(設定!$B$62:$B$201,$A1655)=0,"⚠ 查無員編",IF(COUNTIF($E$3:$E$2002,$E1655)&gt;1,"⚠ 重複打卡","OK")))</f>
        <v/>
      </c>
    </row>
    <row r="1656">
      <c r="A1656" s="20" t="n"/>
      <c r="B1656" s="18" t="n"/>
      <c r="C1656" s="81" t="n"/>
      <c r="D1656" s="81" t="n"/>
      <c r="E1656" s="16">
        <f>IF($A1656="","",$A1656&amp;"|"&amp;DAY($B1656))</f>
        <v/>
      </c>
      <c r="F1656" s="16">
        <f>IF($A1656="","",IF(COUNTIF(設定!$B$62:$B$201,$A1656)=0,"⚠ 查無員編",IF(COUNTIF($E$3:$E$2002,$E1656)&gt;1,"⚠ 重複打卡","OK")))</f>
        <v/>
      </c>
    </row>
    <row r="1657">
      <c r="A1657" s="20" t="n"/>
      <c r="B1657" s="18" t="n"/>
      <c r="C1657" s="81" t="n"/>
      <c r="D1657" s="81" t="n"/>
      <c r="E1657" s="16">
        <f>IF($A1657="","",$A1657&amp;"|"&amp;DAY($B1657))</f>
        <v/>
      </c>
      <c r="F1657" s="16">
        <f>IF($A1657="","",IF(COUNTIF(設定!$B$62:$B$201,$A1657)=0,"⚠ 查無員編",IF(COUNTIF($E$3:$E$2002,$E1657)&gt;1,"⚠ 重複打卡","OK")))</f>
        <v/>
      </c>
    </row>
    <row r="1658">
      <c r="A1658" s="20" t="n"/>
      <c r="B1658" s="18" t="n"/>
      <c r="C1658" s="81" t="n"/>
      <c r="D1658" s="81" t="n"/>
      <c r="E1658" s="16">
        <f>IF($A1658="","",$A1658&amp;"|"&amp;DAY($B1658))</f>
        <v/>
      </c>
      <c r="F1658" s="16">
        <f>IF($A1658="","",IF(COUNTIF(設定!$B$62:$B$201,$A1658)=0,"⚠ 查無員編",IF(COUNTIF($E$3:$E$2002,$E1658)&gt;1,"⚠ 重複打卡","OK")))</f>
        <v/>
      </c>
    </row>
    <row r="1659">
      <c r="A1659" s="20" t="n"/>
      <c r="B1659" s="18" t="n"/>
      <c r="C1659" s="81" t="n"/>
      <c r="D1659" s="81" t="n"/>
      <c r="E1659" s="16">
        <f>IF($A1659="","",$A1659&amp;"|"&amp;DAY($B1659))</f>
        <v/>
      </c>
      <c r="F1659" s="16">
        <f>IF($A1659="","",IF(COUNTIF(設定!$B$62:$B$201,$A1659)=0,"⚠ 查無員編",IF(COUNTIF($E$3:$E$2002,$E1659)&gt;1,"⚠ 重複打卡","OK")))</f>
        <v/>
      </c>
    </row>
    <row r="1660">
      <c r="A1660" s="20" t="n"/>
      <c r="B1660" s="18" t="n"/>
      <c r="C1660" s="81" t="n"/>
      <c r="D1660" s="81" t="n"/>
      <c r="E1660" s="16">
        <f>IF($A1660="","",$A1660&amp;"|"&amp;DAY($B1660))</f>
        <v/>
      </c>
      <c r="F1660" s="16">
        <f>IF($A1660="","",IF(COUNTIF(設定!$B$62:$B$201,$A1660)=0,"⚠ 查無員編",IF(COUNTIF($E$3:$E$2002,$E1660)&gt;1,"⚠ 重複打卡","OK")))</f>
        <v/>
      </c>
    </row>
    <row r="1661">
      <c r="A1661" s="20" t="n"/>
      <c r="B1661" s="18" t="n"/>
      <c r="C1661" s="81" t="n"/>
      <c r="D1661" s="81" t="n"/>
      <c r="E1661" s="16">
        <f>IF($A1661="","",$A1661&amp;"|"&amp;DAY($B1661))</f>
        <v/>
      </c>
      <c r="F1661" s="16">
        <f>IF($A1661="","",IF(COUNTIF(設定!$B$62:$B$201,$A1661)=0,"⚠ 查無員編",IF(COUNTIF($E$3:$E$2002,$E1661)&gt;1,"⚠ 重複打卡","OK")))</f>
        <v/>
      </c>
    </row>
    <row r="1662">
      <c r="A1662" s="20" t="n"/>
      <c r="B1662" s="18" t="n"/>
      <c r="C1662" s="81" t="n"/>
      <c r="D1662" s="81" t="n"/>
      <c r="E1662" s="16">
        <f>IF($A1662="","",$A1662&amp;"|"&amp;DAY($B1662))</f>
        <v/>
      </c>
      <c r="F1662" s="16">
        <f>IF($A1662="","",IF(COUNTIF(設定!$B$62:$B$201,$A1662)=0,"⚠ 查無員編",IF(COUNTIF($E$3:$E$2002,$E1662)&gt;1,"⚠ 重複打卡","OK")))</f>
        <v/>
      </c>
    </row>
    <row r="1663">
      <c r="A1663" s="20" t="n"/>
      <c r="B1663" s="18" t="n"/>
      <c r="C1663" s="81" t="n"/>
      <c r="D1663" s="81" t="n"/>
      <c r="E1663" s="16">
        <f>IF($A1663="","",$A1663&amp;"|"&amp;DAY($B1663))</f>
        <v/>
      </c>
      <c r="F1663" s="16">
        <f>IF($A1663="","",IF(COUNTIF(設定!$B$62:$B$201,$A1663)=0,"⚠ 查無員編",IF(COUNTIF($E$3:$E$2002,$E1663)&gt;1,"⚠ 重複打卡","OK")))</f>
        <v/>
      </c>
    </row>
    <row r="1664">
      <c r="A1664" s="20" t="n"/>
      <c r="B1664" s="18" t="n"/>
      <c r="C1664" s="81" t="n"/>
      <c r="D1664" s="81" t="n"/>
      <c r="E1664" s="16">
        <f>IF($A1664="","",$A1664&amp;"|"&amp;DAY($B1664))</f>
        <v/>
      </c>
      <c r="F1664" s="16">
        <f>IF($A1664="","",IF(COUNTIF(設定!$B$62:$B$201,$A1664)=0,"⚠ 查無員編",IF(COUNTIF($E$3:$E$2002,$E1664)&gt;1,"⚠ 重複打卡","OK")))</f>
        <v/>
      </c>
    </row>
    <row r="1665">
      <c r="A1665" s="20" t="n"/>
      <c r="B1665" s="18" t="n"/>
      <c r="C1665" s="81" t="n"/>
      <c r="D1665" s="81" t="n"/>
      <c r="E1665" s="16">
        <f>IF($A1665="","",$A1665&amp;"|"&amp;DAY($B1665))</f>
        <v/>
      </c>
      <c r="F1665" s="16">
        <f>IF($A1665="","",IF(COUNTIF(設定!$B$62:$B$201,$A1665)=0,"⚠ 查無員編",IF(COUNTIF($E$3:$E$2002,$E1665)&gt;1,"⚠ 重複打卡","OK")))</f>
        <v/>
      </c>
    </row>
    <row r="1666">
      <c r="A1666" s="20" t="n"/>
      <c r="B1666" s="18" t="n"/>
      <c r="C1666" s="81" t="n"/>
      <c r="D1666" s="81" t="n"/>
      <c r="E1666" s="16">
        <f>IF($A1666="","",$A1666&amp;"|"&amp;DAY($B1666))</f>
        <v/>
      </c>
      <c r="F1666" s="16">
        <f>IF($A1666="","",IF(COUNTIF(設定!$B$62:$B$201,$A1666)=0,"⚠ 查無員編",IF(COUNTIF($E$3:$E$2002,$E1666)&gt;1,"⚠ 重複打卡","OK")))</f>
        <v/>
      </c>
    </row>
    <row r="1667">
      <c r="A1667" s="20" t="n"/>
      <c r="B1667" s="18" t="n"/>
      <c r="C1667" s="81" t="n"/>
      <c r="D1667" s="81" t="n"/>
      <c r="E1667" s="16">
        <f>IF($A1667="","",$A1667&amp;"|"&amp;DAY($B1667))</f>
        <v/>
      </c>
      <c r="F1667" s="16">
        <f>IF($A1667="","",IF(COUNTIF(設定!$B$62:$B$201,$A1667)=0,"⚠ 查無員編",IF(COUNTIF($E$3:$E$2002,$E1667)&gt;1,"⚠ 重複打卡","OK")))</f>
        <v/>
      </c>
    </row>
    <row r="1668">
      <c r="A1668" s="20" t="n"/>
      <c r="B1668" s="18" t="n"/>
      <c r="C1668" s="81" t="n"/>
      <c r="D1668" s="81" t="n"/>
      <c r="E1668" s="16">
        <f>IF($A1668="","",$A1668&amp;"|"&amp;DAY($B1668))</f>
        <v/>
      </c>
      <c r="F1668" s="16">
        <f>IF($A1668="","",IF(COUNTIF(設定!$B$62:$B$201,$A1668)=0,"⚠ 查無員編",IF(COUNTIF($E$3:$E$2002,$E1668)&gt;1,"⚠ 重複打卡","OK")))</f>
        <v/>
      </c>
    </row>
    <row r="1669">
      <c r="A1669" s="20" t="n"/>
      <c r="B1669" s="18" t="n"/>
      <c r="C1669" s="81" t="n"/>
      <c r="D1669" s="81" t="n"/>
      <c r="E1669" s="16">
        <f>IF($A1669="","",$A1669&amp;"|"&amp;DAY($B1669))</f>
        <v/>
      </c>
      <c r="F1669" s="16">
        <f>IF($A1669="","",IF(COUNTIF(設定!$B$62:$B$201,$A1669)=0,"⚠ 查無員編",IF(COUNTIF($E$3:$E$2002,$E1669)&gt;1,"⚠ 重複打卡","OK")))</f>
        <v/>
      </c>
    </row>
    <row r="1670">
      <c r="A1670" s="20" t="n"/>
      <c r="B1670" s="18" t="n"/>
      <c r="C1670" s="81" t="n"/>
      <c r="D1670" s="81" t="n"/>
      <c r="E1670" s="16">
        <f>IF($A1670="","",$A1670&amp;"|"&amp;DAY($B1670))</f>
        <v/>
      </c>
      <c r="F1670" s="16">
        <f>IF($A1670="","",IF(COUNTIF(設定!$B$62:$B$201,$A1670)=0,"⚠ 查無員編",IF(COUNTIF($E$3:$E$2002,$E1670)&gt;1,"⚠ 重複打卡","OK")))</f>
        <v/>
      </c>
    </row>
    <row r="1671">
      <c r="A1671" s="20" t="n"/>
      <c r="B1671" s="18" t="n"/>
      <c r="C1671" s="81" t="n"/>
      <c r="D1671" s="81" t="n"/>
      <c r="E1671" s="16">
        <f>IF($A1671="","",$A1671&amp;"|"&amp;DAY($B1671))</f>
        <v/>
      </c>
      <c r="F1671" s="16">
        <f>IF($A1671="","",IF(COUNTIF(設定!$B$62:$B$201,$A1671)=0,"⚠ 查無員編",IF(COUNTIF($E$3:$E$2002,$E1671)&gt;1,"⚠ 重複打卡","OK")))</f>
        <v/>
      </c>
    </row>
    <row r="1672">
      <c r="A1672" s="20" t="n"/>
      <c r="B1672" s="18" t="n"/>
      <c r="C1672" s="81" t="n"/>
      <c r="D1672" s="81" t="n"/>
      <c r="E1672" s="16">
        <f>IF($A1672="","",$A1672&amp;"|"&amp;DAY($B1672))</f>
        <v/>
      </c>
      <c r="F1672" s="16">
        <f>IF($A1672="","",IF(COUNTIF(設定!$B$62:$B$201,$A1672)=0,"⚠ 查無員編",IF(COUNTIF($E$3:$E$2002,$E1672)&gt;1,"⚠ 重複打卡","OK")))</f>
        <v/>
      </c>
    </row>
    <row r="1673">
      <c r="A1673" s="20" t="n"/>
      <c r="B1673" s="18" t="n"/>
      <c r="C1673" s="81" t="n"/>
      <c r="D1673" s="81" t="n"/>
      <c r="E1673" s="16">
        <f>IF($A1673="","",$A1673&amp;"|"&amp;DAY($B1673))</f>
        <v/>
      </c>
      <c r="F1673" s="16">
        <f>IF($A1673="","",IF(COUNTIF(設定!$B$62:$B$201,$A1673)=0,"⚠ 查無員編",IF(COUNTIF($E$3:$E$2002,$E1673)&gt;1,"⚠ 重複打卡","OK")))</f>
        <v/>
      </c>
    </row>
    <row r="1674">
      <c r="A1674" s="20" t="n"/>
      <c r="B1674" s="18" t="n"/>
      <c r="C1674" s="81" t="n"/>
      <c r="D1674" s="81" t="n"/>
      <c r="E1674" s="16">
        <f>IF($A1674="","",$A1674&amp;"|"&amp;DAY($B1674))</f>
        <v/>
      </c>
      <c r="F1674" s="16">
        <f>IF($A1674="","",IF(COUNTIF(設定!$B$62:$B$201,$A1674)=0,"⚠ 查無員編",IF(COUNTIF($E$3:$E$2002,$E1674)&gt;1,"⚠ 重複打卡","OK")))</f>
        <v/>
      </c>
    </row>
    <row r="1675">
      <c r="A1675" s="20" t="n"/>
      <c r="B1675" s="18" t="n"/>
      <c r="C1675" s="81" t="n"/>
      <c r="D1675" s="81" t="n"/>
      <c r="E1675" s="16">
        <f>IF($A1675="","",$A1675&amp;"|"&amp;DAY($B1675))</f>
        <v/>
      </c>
      <c r="F1675" s="16">
        <f>IF($A1675="","",IF(COUNTIF(設定!$B$62:$B$201,$A1675)=0,"⚠ 查無員編",IF(COUNTIF($E$3:$E$2002,$E1675)&gt;1,"⚠ 重複打卡","OK")))</f>
        <v/>
      </c>
    </row>
    <row r="1676">
      <c r="A1676" s="20" t="n"/>
      <c r="B1676" s="18" t="n"/>
      <c r="C1676" s="81" t="n"/>
      <c r="D1676" s="81" t="n"/>
      <c r="E1676" s="16">
        <f>IF($A1676="","",$A1676&amp;"|"&amp;DAY($B1676))</f>
        <v/>
      </c>
      <c r="F1676" s="16">
        <f>IF($A1676="","",IF(COUNTIF(設定!$B$62:$B$201,$A1676)=0,"⚠ 查無員編",IF(COUNTIF($E$3:$E$2002,$E1676)&gt;1,"⚠ 重複打卡","OK")))</f>
        <v/>
      </c>
    </row>
    <row r="1677">
      <c r="A1677" s="20" t="n"/>
      <c r="B1677" s="18" t="n"/>
      <c r="C1677" s="81" t="n"/>
      <c r="D1677" s="81" t="n"/>
      <c r="E1677" s="16">
        <f>IF($A1677="","",$A1677&amp;"|"&amp;DAY($B1677))</f>
        <v/>
      </c>
      <c r="F1677" s="16">
        <f>IF($A1677="","",IF(COUNTIF(設定!$B$62:$B$201,$A1677)=0,"⚠ 查無員編",IF(COUNTIF($E$3:$E$2002,$E1677)&gt;1,"⚠ 重複打卡","OK")))</f>
        <v/>
      </c>
    </row>
    <row r="1678">
      <c r="A1678" s="20" t="n"/>
      <c r="B1678" s="18" t="n"/>
      <c r="C1678" s="81" t="n"/>
      <c r="D1678" s="81" t="n"/>
      <c r="E1678" s="16">
        <f>IF($A1678="","",$A1678&amp;"|"&amp;DAY($B1678))</f>
        <v/>
      </c>
      <c r="F1678" s="16">
        <f>IF($A1678="","",IF(COUNTIF(設定!$B$62:$B$201,$A1678)=0,"⚠ 查無員編",IF(COUNTIF($E$3:$E$2002,$E1678)&gt;1,"⚠ 重複打卡","OK")))</f>
        <v/>
      </c>
    </row>
    <row r="1679">
      <c r="A1679" s="20" t="n"/>
      <c r="B1679" s="18" t="n"/>
      <c r="C1679" s="81" t="n"/>
      <c r="D1679" s="81" t="n"/>
      <c r="E1679" s="16">
        <f>IF($A1679="","",$A1679&amp;"|"&amp;DAY($B1679))</f>
        <v/>
      </c>
      <c r="F1679" s="16">
        <f>IF($A1679="","",IF(COUNTIF(設定!$B$62:$B$201,$A1679)=0,"⚠ 查無員編",IF(COUNTIF($E$3:$E$2002,$E1679)&gt;1,"⚠ 重複打卡","OK")))</f>
        <v/>
      </c>
    </row>
    <row r="1680">
      <c r="A1680" s="20" t="n"/>
      <c r="B1680" s="18" t="n"/>
      <c r="C1680" s="81" t="n"/>
      <c r="D1680" s="81" t="n"/>
      <c r="E1680" s="16">
        <f>IF($A1680="","",$A1680&amp;"|"&amp;DAY($B1680))</f>
        <v/>
      </c>
      <c r="F1680" s="16">
        <f>IF($A1680="","",IF(COUNTIF(設定!$B$62:$B$201,$A1680)=0,"⚠ 查無員編",IF(COUNTIF($E$3:$E$2002,$E1680)&gt;1,"⚠ 重複打卡","OK")))</f>
        <v/>
      </c>
    </row>
    <row r="1681">
      <c r="A1681" s="20" t="n"/>
      <c r="B1681" s="18" t="n"/>
      <c r="C1681" s="81" t="n"/>
      <c r="D1681" s="81" t="n"/>
      <c r="E1681" s="16">
        <f>IF($A1681="","",$A1681&amp;"|"&amp;DAY($B1681))</f>
        <v/>
      </c>
      <c r="F1681" s="16">
        <f>IF($A1681="","",IF(COUNTIF(設定!$B$62:$B$201,$A1681)=0,"⚠ 查無員編",IF(COUNTIF($E$3:$E$2002,$E1681)&gt;1,"⚠ 重複打卡","OK")))</f>
        <v/>
      </c>
    </row>
    <row r="1682">
      <c r="A1682" s="20" t="n"/>
      <c r="B1682" s="18" t="n"/>
      <c r="C1682" s="81" t="n"/>
      <c r="D1682" s="81" t="n"/>
      <c r="E1682" s="16">
        <f>IF($A1682="","",$A1682&amp;"|"&amp;DAY($B1682))</f>
        <v/>
      </c>
      <c r="F1682" s="16">
        <f>IF($A1682="","",IF(COUNTIF(設定!$B$62:$B$201,$A1682)=0,"⚠ 查無員編",IF(COUNTIF($E$3:$E$2002,$E1682)&gt;1,"⚠ 重複打卡","OK")))</f>
        <v/>
      </c>
    </row>
    <row r="1683">
      <c r="A1683" s="20" t="n"/>
      <c r="B1683" s="18" t="n"/>
      <c r="C1683" s="81" t="n"/>
      <c r="D1683" s="81" t="n"/>
      <c r="E1683" s="16">
        <f>IF($A1683="","",$A1683&amp;"|"&amp;DAY($B1683))</f>
        <v/>
      </c>
      <c r="F1683" s="16">
        <f>IF($A1683="","",IF(COUNTIF(設定!$B$62:$B$201,$A1683)=0,"⚠ 查無員編",IF(COUNTIF($E$3:$E$2002,$E1683)&gt;1,"⚠ 重複打卡","OK")))</f>
        <v/>
      </c>
    </row>
    <row r="1684">
      <c r="A1684" s="20" t="n"/>
      <c r="B1684" s="18" t="n"/>
      <c r="C1684" s="81" t="n"/>
      <c r="D1684" s="81" t="n"/>
      <c r="E1684" s="16">
        <f>IF($A1684="","",$A1684&amp;"|"&amp;DAY($B1684))</f>
        <v/>
      </c>
      <c r="F1684" s="16">
        <f>IF($A1684="","",IF(COUNTIF(設定!$B$62:$B$201,$A1684)=0,"⚠ 查無員編",IF(COUNTIF($E$3:$E$2002,$E1684)&gt;1,"⚠ 重複打卡","OK")))</f>
        <v/>
      </c>
    </row>
    <row r="1685">
      <c r="A1685" s="20" t="n"/>
      <c r="B1685" s="18" t="n"/>
      <c r="C1685" s="81" t="n"/>
      <c r="D1685" s="81" t="n"/>
      <c r="E1685" s="16">
        <f>IF($A1685="","",$A1685&amp;"|"&amp;DAY($B1685))</f>
        <v/>
      </c>
      <c r="F1685" s="16">
        <f>IF($A1685="","",IF(COUNTIF(設定!$B$62:$B$201,$A1685)=0,"⚠ 查無員編",IF(COUNTIF($E$3:$E$2002,$E1685)&gt;1,"⚠ 重複打卡","OK")))</f>
        <v/>
      </c>
    </row>
    <row r="1686">
      <c r="A1686" s="20" t="n"/>
      <c r="B1686" s="18" t="n"/>
      <c r="C1686" s="81" t="n"/>
      <c r="D1686" s="81" t="n"/>
      <c r="E1686" s="16">
        <f>IF($A1686="","",$A1686&amp;"|"&amp;DAY($B1686))</f>
        <v/>
      </c>
      <c r="F1686" s="16">
        <f>IF($A1686="","",IF(COUNTIF(設定!$B$62:$B$201,$A1686)=0,"⚠ 查無員編",IF(COUNTIF($E$3:$E$2002,$E1686)&gt;1,"⚠ 重複打卡","OK")))</f>
        <v/>
      </c>
    </row>
    <row r="1687">
      <c r="A1687" s="20" t="n"/>
      <c r="B1687" s="18" t="n"/>
      <c r="C1687" s="81" t="n"/>
      <c r="D1687" s="81" t="n"/>
      <c r="E1687" s="16">
        <f>IF($A1687="","",$A1687&amp;"|"&amp;DAY($B1687))</f>
        <v/>
      </c>
      <c r="F1687" s="16">
        <f>IF($A1687="","",IF(COUNTIF(設定!$B$62:$B$201,$A1687)=0,"⚠ 查無員編",IF(COUNTIF($E$3:$E$2002,$E1687)&gt;1,"⚠ 重複打卡","OK")))</f>
        <v/>
      </c>
    </row>
    <row r="1688">
      <c r="A1688" s="20" t="n"/>
      <c r="B1688" s="18" t="n"/>
      <c r="C1688" s="81" t="n"/>
      <c r="D1688" s="81" t="n"/>
      <c r="E1688" s="16">
        <f>IF($A1688="","",$A1688&amp;"|"&amp;DAY($B1688))</f>
        <v/>
      </c>
      <c r="F1688" s="16">
        <f>IF($A1688="","",IF(COUNTIF(設定!$B$62:$B$201,$A1688)=0,"⚠ 查無員編",IF(COUNTIF($E$3:$E$2002,$E1688)&gt;1,"⚠ 重複打卡","OK")))</f>
        <v/>
      </c>
    </row>
    <row r="1689">
      <c r="A1689" s="20" t="n"/>
      <c r="B1689" s="18" t="n"/>
      <c r="C1689" s="81" t="n"/>
      <c r="D1689" s="81" t="n"/>
      <c r="E1689" s="16">
        <f>IF($A1689="","",$A1689&amp;"|"&amp;DAY($B1689))</f>
        <v/>
      </c>
      <c r="F1689" s="16">
        <f>IF($A1689="","",IF(COUNTIF(設定!$B$62:$B$201,$A1689)=0,"⚠ 查無員編",IF(COUNTIF($E$3:$E$2002,$E1689)&gt;1,"⚠ 重複打卡","OK")))</f>
        <v/>
      </c>
    </row>
    <row r="1690">
      <c r="A1690" s="20" t="n"/>
      <c r="B1690" s="18" t="n"/>
      <c r="C1690" s="81" t="n"/>
      <c r="D1690" s="81" t="n"/>
      <c r="E1690" s="16">
        <f>IF($A1690="","",$A1690&amp;"|"&amp;DAY($B1690))</f>
        <v/>
      </c>
      <c r="F1690" s="16">
        <f>IF($A1690="","",IF(COUNTIF(設定!$B$62:$B$201,$A1690)=0,"⚠ 查無員編",IF(COUNTIF($E$3:$E$2002,$E1690)&gt;1,"⚠ 重複打卡","OK")))</f>
        <v/>
      </c>
    </row>
    <row r="1691">
      <c r="A1691" s="20" t="n"/>
      <c r="B1691" s="18" t="n"/>
      <c r="C1691" s="81" t="n"/>
      <c r="D1691" s="81" t="n"/>
      <c r="E1691" s="16">
        <f>IF($A1691="","",$A1691&amp;"|"&amp;DAY($B1691))</f>
        <v/>
      </c>
      <c r="F1691" s="16">
        <f>IF($A1691="","",IF(COUNTIF(設定!$B$62:$B$201,$A1691)=0,"⚠ 查無員編",IF(COUNTIF($E$3:$E$2002,$E1691)&gt;1,"⚠ 重複打卡","OK")))</f>
        <v/>
      </c>
    </row>
    <row r="1692">
      <c r="A1692" s="20" t="n"/>
      <c r="B1692" s="18" t="n"/>
      <c r="C1692" s="81" t="n"/>
      <c r="D1692" s="81" t="n"/>
      <c r="E1692" s="16">
        <f>IF($A1692="","",$A1692&amp;"|"&amp;DAY($B1692))</f>
        <v/>
      </c>
      <c r="F1692" s="16">
        <f>IF($A1692="","",IF(COUNTIF(設定!$B$62:$B$201,$A1692)=0,"⚠ 查無員編",IF(COUNTIF($E$3:$E$2002,$E1692)&gt;1,"⚠ 重複打卡","OK")))</f>
        <v/>
      </c>
    </row>
    <row r="1693">
      <c r="A1693" s="20" t="n"/>
      <c r="B1693" s="18" t="n"/>
      <c r="C1693" s="81" t="n"/>
      <c r="D1693" s="81" t="n"/>
      <c r="E1693" s="16">
        <f>IF($A1693="","",$A1693&amp;"|"&amp;DAY($B1693))</f>
        <v/>
      </c>
      <c r="F1693" s="16">
        <f>IF($A1693="","",IF(COUNTIF(設定!$B$62:$B$201,$A1693)=0,"⚠ 查無員編",IF(COUNTIF($E$3:$E$2002,$E1693)&gt;1,"⚠ 重複打卡","OK")))</f>
        <v/>
      </c>
    </row>
    <row r="1694">
      <c r="A1694" s="20" t="n"/>
      <c r="B1694" s="18" t="n"/>
      <c r="C1694" s="81" t="n"/>
      <c r="D1694" s="81" t="n"/>
      <c r="E1694" s="16">
        <f>IF($A1694="","",$A1694&amp;"|"&amp;DAY($B1694))</f>
        <v/>
      </c>
      <c r="F1694" s="16">
        <f>IF($A1694="","",IF(COUNTIF(設定!$B$62:$B$201,$A1694)=0,"⚠ 查無員編",IF(COUNTIF($E$3:$E$2002,$E1694)&gt;1,"⚠ 重複打卡","OK")))</f>
        <v/>
      </c>
    </row>
    <row r="1695">
      <c r="A1695" s="20" t="n"/>
      <c r="B1695" s="18" t="n"/>
      <c r="C1695" s="81" t="n"/>
      <c r="D1695" s="81" t="n"/>
      <c r="E1695" s="16">
        <f>IF($A1695="","",$A1695&amp;"|"&amp;DAY($B1695))</f>
        <v/>
      </c>
      <c r="F1695" s="16">
        <f>IF($A1695="","",IF(COUNTIF(設定!$B$62:$B$201,$A1695)=0,"⚠ 查無員編",IF(COUNTIF($E$3:$E$2002,$E1695)&gt;1,"⚠ 重複打卡","OK")))</f>
        <v/>
      </c>
    </row>
    <row r="1696">
      <c r="A1696" s="20" t="n"/>
      <c r="B1696" s="18" t="n"/>
      <c r="C1696" s="81" t="n"/>
      <c r="D1696" s="81" t="n"/>
      <c r="E1696" s="16">
        <f>IF($A1696="","",$A1696&amp;"|"&amp;DAY($B1696))</f>
        <v/>
      </c>
      <c r="F1696" s="16">
        <f>IF($A1696="","",IF(COUNTIF(設定!$B$62:$B$201,$A1696)=0,"⚠ 查無員編",IF(COUNTIF($E$3:$E$2002,$E1696)&gt;1,"⚠ 重複打卡","OK")))</f>
        <v/>
      </c>
    </row>
    <row r="1697">
      <c r="A1697" s="20" t="n"/>
      <c r="B1697" s="18" t="n"/>
      <c r="C1697" s="81" t="n"/>
      <c r="D1697" s="81" t="n"/>
      <c r="E1697" s="16">
        <f>IF($A1697="","",$A1697&amp;"|"&amp;DAY($B1697))</f>
        <v/>
      </c>
      <c r="F1697" s="16">
        <f>IF($A1697="","",IF(COUNTIF(設定!$B$62:$B$201,$A1697)=0,"⚠ 查無員編",IF(COUNTIF($E$3:$E$2002,$E1697)&gt;1,"⚠ 重複打卡","OK")))</f>
        <v/>
      </c>
    </row>
    <row r="1698">
      <c r="A1698" s="20" t="n"/>
      <c r="B1698" s="18" t="n"/>
      <c r="C1698" s="81" t="n"/>
      <c r="D1698" s="81" t="n"/>
      <c r="E1698" s="16">
        <f>IF($A1698="","",$A1698&amp;"|"&amp;DAY($B1698))</f>
        <v/>
      </c>
      <c r="F1698" s="16">
        <f>IF($A1698="","",IF(COUNTIF(設定!$B$62:$B$201,$A1698)=0,"⚠ 查無員編",IF(COUNTIF($E$3:$E$2002,$E1698)&gt;1,"⚠ 重複打卡","OK")))</f>
        <v/>
      </c>
    </row>
    <row r="1699">
      <c r="A1699" s="20" t="n"/>
      <c r="B1699" s="18" t="n"/>
      <c r="C1699" s="81" t="n"/>
      <c r="D1699" s="81" t="n"/>
      <c r="E1699" s="16">
        <f>IF($A1699="","",$A1699&amp;"|"&amp;DAY($B1699))</f>
        <v/>
      </c>
      <c r="F1699" s="16">
        <f>IF($A1699="","",IF(COUNTIF(設定!$B$62:$B$201,$A1699)=0,"⚠ 查無員編",IF(COUNTIF($E$3:$E$2002,$E1699)&gt;1,"⚠ 重複打卡","OK")))</f>
        <v/>
      </c>
    </row>
    <row r="1700">
      <c r="A1700" s="20" t="n"/>
      <c r="B1700" s="18" t="n"/>
      <c r="C1700" s="81" t="n"/>
      <c r="D1700" s="81" t="n"/>
      <c r="E1700" s="16">
        <f>IF($A1700="","",$A1700&amp;"|"&amp;DAY($B1700))</f>
        <v/>
      </c>
      <c r="F1700" s="16">
        <f>IF($A1700="","",IF(COUNTIF(設定!$B$62:$B$201,$A1700)=0,"⚠ 查無員編",IF(COUNTIF($E$3:$E$2002,$E1700)&gt;1,"⚠ 重複打卡","OK")))</f>
        <v/>
      </c>
    </row>
    <row r="1701">
      <c r="A1701" s="20" t="n"/>
      <c r="B1701" s="18" t="n"/>
      <c r="C1701" s="81" t="n"/>
      <c r="D1701" s="81" t="n"/>
      <c r="E1701" s="16">
        <f>IF($A1701="","",$A1701&amp;"|"&amp;DAY($B1701))</f>
        <v/>
      </c>
      <c r="F1701" s="16">
        <f>IF($A1701="","",IF(COUNTIF(設定!$B$62:$B$201,$A1701)=0,"⚠ 查無員編",IF(COUNTIF($E$3:$E$2002,$E1701)&gt;1,"⚠ 重複打卡","OK")))</f>
        <v/>
      </c>
    </row>
    <row r="1702">
      <c r="A1702" s="20" t="n"/>
      <c r="B1702" s="18" t="n"/>
      <c r="C1702" s="81" t="n"/>
      <c r="D1702" s="81" t="n"/>
      <c r="E1702" s="16">
        <f>IF($A1702="","",$A1702&amp;"|"&amp;DAY($B1702))</f>
        <v/>
      </c>
      <c r="F1702" s="16">
        <f>IF($A1702="","",IF(COUNTIF(設定!$B$62:$B$201,$A1702)=0,"⚠ 查無員編",IF(COUNTIF($E$3:$E$2002,$E1702)&gt;1,"⚠ 重複打卡","OK")))</f>
        <v/>
      </c>
    </row>
    <row r="1703">
      <c r="A1703" s="20" t="n"/>
      <c r="B1703" s="18" t="n"/>
      <c r="C1703" s="81" t="n"/>
      <c r="D1703" s="81" t="n"/>
      <c r="E1703" s="16">
        <f>IF($A1703="","",$A1703&amp;"|"&amp;DAY($B1703))</f>
        <v/>
      </c>
      <c r="F1703" s="16">
        <f>IF($A1703="","",IF(COUNTIF(設定!$B$62:$B$201,$A1703)=0,"⚠ 查無員編",IF(COUNTIF($E$3:$E$2002,$E1703)&gt;1,"⚠ 重複打卡","OK")))</f>
        <v/>
      </c>
    </row>
    <row r="1704">
      <c r="A1704" s="20" t="n"/>
      <c r="B1704" s="18" t="n"/>
      <c r="C1704" s="81" t="n"/>
      <c r="D1704" s="81" t="n"/>
      <c r="E1704" s="16">
        <f>IF($A1704="","",$A1704&amp;"|"&amp;DAY($B1704))</f>
        <v/>
      </c>
      <c r="F1704" s="16">
        <f>IF($A1704="","",IF(COUNTIF(設定!$B$62:$B$201,$A1704)=0,"⚠ 查無員編",IF(COUNTIF($E$3:$E$2002,$E1704)&gt;1,"⚠ 重複打卡","OK")))</f>
        <v/>
      </c>
    </row>
    <row r="1705">
      <c r="A1705" s="20" t="n"/>
      <c r="B1705" s="18" t="n"/>
      <c r="C1705" s="81" t="n"/>
      <c r="D1705" s="81" t="n"/>
      <c r="E1705" s="16">
        <f>IF($A1705="","",$A1705&amp;"|"&amp;DAY($B1705))</f>
        <v/>
      </c>
      <c r="F1705" s="16">
        <f>IF($A1705="","",IF(COUNTIF(設定!$B$62:$B$201,$A1705)=0,"⚠ 查無員編",IF(COUNTIF($E$3:$E$2002,$E1705)&gt;1,"⚠ 重複打卡","OK")))</f>
        <v/>
      </c>
    </row>
    <row r="1706">
      <c r="A1706" s="20" t="n"/>
      <c r="B1706" s="18" t="n"/>
      <c r="C1706" s="81" t="n"/>
      <c r="D1706" s="81" t="n"/>
      <c r="E1706" s="16">
        <f>IF($A1706="","",$A1706&amp;"|"&amp;DAY($B1706))</f>
        <v/>
      </c>
      <c r="F1706" s="16">
        <f>IF($A1706="","",IF(COUNTIF(設定!$B$62:$B$201,$A1706)=0,"⚠ 查無員編",IF(COUNTIF($E$3:$E$2002,$E1706)&gt;1,"⚠ 重複打卡","OK")))</f>
        <v/>
      </c>
    </row>
    <row r="1707">
      <c r="A1707" s="20" t="n"/>
      <c r="B1707" s="18" t="n"/>
      <c r="C1707" s="81" t="n"/>
      <c r="D1707" s="81" t="n"/>
      <c r="E1707" s="16">
        <f>IF($A1707="","",$A1707&amp;"|"&amp;DAY($B1707))</f>
        <v/>
      </c>
      <c r="F1707" s="16">
        <f>IF($A1707="","",IF(COUNTIF(設定!$B$62:$B$201,$A1707)=0,"⚠ 查無員編",IF(COUNTIF($E$3:$E$2002,$E1707)&gt;1,"⚠ 重複打卡","OK")))</f>
        <v/>
      </c>
    </row>
    <row r="1708">
      <c r="A1708" s="20" t="n"/>
      <c r="B1708" s="18" t="n"/>
      <c r="C1708" s="81" t="n"/>
      <c r="D1708" s="81" t="n"/>
      <c r="E1708" s="16">
        <f>IF($A1708="","",$A1708&amp;"|"&amp;DAY($B1708))</f>
        <v/>
      </c>
      <c r="F1708" s="16">
        <f>IF($A1708="","",IF(COUNTIF(設定!$B$62:$B$201,$A1708)=0,"⚠ 查無員編",IF(COUNTIF($E$3:$E$2002,$E1708)&gt;1,"⚠ 重複打卡","OK")))</f>
        <v/>
      </c>
    </row>
    <row r="1709">
      <c r="A1709" s="20" t="n"/>
      <c r="B1709" s="18" t="n"/>
      <c r="C1709" s="81" t="n"/>
      <c r="D1709" s="81" t="n"/>
      <c r="E1709" s="16">
        <f>IF($A1709="","",$A1709&amp;"|"&amp;DAY($B1709))</f>
        <v/>
      </c>
      <c r="F1709" s="16">
        <f>IF($A1709="","",IF(COUNTIF(設定!$B$62:$B$201,$A1709)=0,"⚠ 查無員編",IF(COUNTIF($E$3:$E$2002,$E1709)&gt;1,"⚠ 重複打卡","OK")))</f>
        <v/>
      </c>
    </row>
    <row r="1710">
      <c r="A1710" s="20" t="n"/>
      <c r="B1710" s="18" t="n"/>
      <c r="C1710" s="81" t="n"/>
      <c r="D1710" s="81" t="n"/>
      <c r="E1710" s="16">
        <f>IF($A1710="","",$A1710&amp;"|"&amp;DAY($B1710))</f>
        <v/>
      </c>
      <c r="F1710" s="16">
        <f>IF($A1710="","",IF(COUNTIF(設定!$B$62:$B$201,$A1710)=0,"⚠ 查無員編",IF(COUNTIF($E$3:$E$2002,$E1710)&gt;1,"⚠ 重複打卡","OK")))</f>
        <v/>
      </c>
    </row>
    <row r="1711">
      <c r="A1711" s="20" t="n"/>
      <c r="B1711" s="18" t="n"/>
      <c r="C1711" s="81" t="n"/>
      <c r="D1711" s="81" t="n"/>
      <c r="E1711" s="16">
        <f>IF($A1711="","",$A1711&amp;"|"&amp;DAY($B1711))</f>
        <v/>
      </c>
      <c r="F1711" s="16">
        <f>IF($A1711="","",IF(COUNTIF(設定!$B$62:$B$201,$A1711)=0,"⚠ 查無員編",IF(COUNTIF($E$3:$E$2002,$E1711)&gt;1,"⚠ 重複打卡","OK")))</f>
        <v/>
      </c>
    </row>
    <row r="1712">
      <c r="A1712" s="20" t="n"/>
      <c r="B1712" s="18" t="n"/>
      <c r="C1712" s="81" t="n"/>
      <c r="D1712" s="81" t="n"/>
      <c r="E1712" s="16">
        <f>IF($A1712="","",$A1712&amp;"|"&amp;DAY($B1712))</f>
        <v/>
      </c>
      <c r="F1712" s="16">
        <f>IF($A1712="","",IF(COUNTIF(設定!$B$62:$B$201,$A1712)=0,"⚠ 查無員編",IF(COUNTIF($E$3:$E$2002,$E1712)&gt;1,"⚠ 重複打卡","OK")))</f>
        <v/>
      </c>
    </row>
    <row r="1713">
      <c r="A1713" s="20" t="n"/>
      <c r="B1713" s="18" t="n"/>
      <c r="C1713" s="81" t="n"/>
      <c r="D1713" s="81" t="n"/>
      <c r="E1713" s="16">
        <f>IF($A1713="","",$A1713&amp;"|"&amp;DAY($B1713))</f>
        <v/>
      </c>
      <c r="F1713" s="16">
        <f>IF($A1713="","",IF(COUNTIF(設定!$B$62:$B$201,$A1713)=0,"⚠ 查無員編",IF(COUNTIF($E$3:$E$2002,$E1713)&gt;1,"⚠ 重複打卡","OK")))</f>
        <v/>
      </c>
    </row>
    <row r="1714">
      <c r="A1714" s="20" t="n"/>
      <c r="B1714" s="18" t="n"/>
      <c r="C1714" s="81" t="n"/>
      <c r="D1714" s="81" t="n"/>
      <c r="E1714" s="16">
        <f>IF($A1714="","",$A1714&amp;"|"&amp;DAY($B1714))</f>
        <v/>
      </c>
      <c r="F1714" s="16">
        <f>IF($A1714="","",IF(COUNTIF(設定!$B$62:$B$201,$A1714)=0,"⚠ 查無員編",IF(COUNTIF($E$3:$E$2002,$E1714)&gt;1,"⚠ 重複打卡","OK")))</f>
        <v/>
      </c>
    </row>
    <row r="1715">
      <c r="A1715" s="20" t="n"/>
      <c r="B1715" s="18" t="n"/>
      <c r="C1715" s="81" t="n"/>
      <c r="D1715" s="81" t="n"/>
      <c r="E1715" s="16">
        <f>IF($A1715="","",$A1715&amp;"|"&amp;DAY($B1715))</f>
        <v/>
      </c>
      <c r="F1715" s="16">
        <f>IF($A1715="","",IF(COUNTIF(設定!$B$62:$B$201,$A1715)=0,"⚠ 查無員編",IF(COUNTIF($E$3:$E$2002,$E1715)&gt;1,"⚠ 重複打卡","OK")))</f>
        <v/>
      </c>
    </row>
    <row r="1716">
      <c r="A1716" s="20" t="n"/>
      <c r="B1716" s="18" t="n"/>
      <c r="C1716" s="81" t="n"/>
      <c r="D1716" s="81" t="n"/>
      <c r="E1716" s="16">
        <f>IF($A1716="","",$A1716&amp;"|"&amp;DAY($B1716))</f>
        <v/>
      </c>
      <c r="F1716" s="16">
        <f>IF($A1716="","",IF(COUNTIF(設定!$B$62:$B$201,$A1716)=0,"⚠ 查無員編",IF(COUNTIF($E$3:$E$2002,$E1716)&gt;1,"⚠ 重複打卡","OK")))</f>
        <v/>
      </c>
    </row>
    <row r="1717">
      <c r="A1717" s="20" t="n"/>
      <c r="B1717" s="18" t="n"/>
      <c r="C1717" s="81" t="n"/>
      <c r="D1717" s="81" t="n"/>
      <c r="E1717" s="16">
        <f>IF($A1717="","",$A1717&amp;"|"&amp;DAY($B1717))</f>
        <v/>
      </c>
      <c r="F1717" s="16">
        <f>IF($A1717="","",IF(COUNTIF(設定!$B$62:$B$201,$A1717)=0,"⚠ 查無員編",IF(COUNTIF($E$3:$E$2002,$E1717)&gt;1,"⚠ 重複打卡","OK")))</f>
        <v/>
      </c>
    </row>
    <row r="1718">
      <c r="A1718" s="20" t="n"/>
      <c r="B1718" s="18" t="n"/>
      <c r="C1718" s="81" t="n"/>
      <c r="D1718" s="81" t="n"/>
      <c r="E1718" s="16">
        <f>IF($A1718="","",$A1718&amp;"|"&amp;DAY($B1718))</f>
        <v/>
      </c>
      <c r="F1718" s="16">
        <f>IF($A1718="","",IF(COUNTIF(設定!$B$62:$B$201,$A1718)=0,"⚠ 查無員編",IF(COUNTIF($E$3:$E$2002,$E1718)&gt;1,"⚠ 重複打卡","OK")))</f>
        <v/>
      </c>
    </row>
    <row r="1719">
      <c r="A1719" s="20" t="n"/>
      <c r="B1719" s="18" t="n"/>
      <c r="C1719" s="81" t="n"/>
      <c r="D1719" s="81" t="n"/>
      <c r="E1719" s="16">
        <f>IF($A1719="","",$A1719&amp;"|"&amp;DAY($B1719))</f>
        <v/>
      </c>
      <c r="F1719" s="16">
        <f>IF($A1719="","",IF(COUNTIF(設定!$B$62:$B$201,$A1719)=0,"⚠ 查無員編",IF(COUNTIF($E$3:$E$2002,$E1719)&gt;1,"⚠ 重複打卡","OK")))</f>
        <v/>
      </c>
    </row>
    <row r="1720">
      <c r="A1720" s="20" t="n"/>
      <c r="B1720" s="18" t="n"/>
      <c r="C1720" s="81" t="n"/>
      <c r="D1720" s="81" t="n"/>
      <c r="E1720" s="16">
        <f>IF($A1720="","",$A1720&amp;"|"&amp;DAY($B1720))</f>
        <v/>
      </c>
      <c r="F1720" s="16">
        <f>IF($A1720="","",IF(COUNTIF(設定!$B$62:$B$201,$A1720)=0,"⚠ 查無員編",IF(COUNTIF($E$3:$E$2002,$E1720)&gt;1,"⚠ 重複打卡","OK")))</f>
        <v/>
      </c>
    </row>
    <row r="1721">
      <c r="A1721" s="20" t="n"/>
      <c r="B1721" s="18" t="n"/>
      <c r="C1721" s="81" t="n"/>
      <c r="D1721" s="81" t="n"/>
      <c r="E1721" s="16">
        <f>IF($A1721="","",$A1721&amp;"|"&amp;DAY($B1721))</f>
        <v/>
      </c>
      <c r="F1721" s="16">
        <f>IF($A1721="","",IF(COUNTIF(設定!$B$62:$B$201,$A1721)=0,"⚠ 查無員編",IF(COUNTIF($E$3:$E$2002,$E1721)&gt;1,"⚠ 重複打卡","OK")))</f>
        <v/>
      </c>
    </row>
    <row r="1722">
      <c r="A1722" s="20" t="n"/>
      <c r="B1722" s="18" t="n"/>
      <c r="C1722" s="81" t="n"/>
      <c r="D1722" s="81" t="n"/>
      <c r="E1722" s="16">
        <f>IF($A1722="","",$A1722&amp;"|"&amp;DAY($B1722))</f>
        <v/>
      </c>
      <c r="F1722" s="16">
        <f>IF($A1722="","",IF(COUNTIF(設定!$B$62:$B$201,$A1722)=0,"⚠ 查無員編",IF(COUNTIF($E$3:$E$2002,$E1722)&gt;1,"⚠ 重複打卡","OK")))</f>
        <v/>
      </c>
    </row>
    <row r="1723">
      <c r="A1723" s="20" t="n"/>
      <c r="B1723" s="18" t="n"/>
      <c r="C1723" s="81" t="n"/>
      <c r="D1723" s="81" t="n"/>
      <c r="E1723" s="16">
        <f>IF($A1723="","",$A1723&amp;"|"&amp;DAY($B1723))</f>
        <v/>
      </c>
      <c r="F1723" s="16">
        <f>IF($A1723="","",IF(COUNTIF(設定!$B$62:$B$201,$A1723)=0,"⚠ 查無員編",IF(COUNTIF($E$3:$E$2002,$E1723)&gt;1,"⚠ 重複打卡","OK")))</f>
        <v/>
      </c>
    </row>
    <row r="1724">
      <c r="A1724" s="20" t="n"/>
      <c r="B1724" s="18" t="n"/>
      <c r="C1724" s="81" t="n"/>
      <c r="D1724" s="81" t="n"/>
      <c r="E1724" s="16">
        <f>IF($A1724="","",$A1724&amp;"|"&amp;DAY($B1724))</f>
        <v/>
      </c>
      <c r="F1724" s="16">
        <f>IF($A1724="","",IF(COUNTIF(設定!$B$62:$B$201,$A1724)=0,"⚠ 查無員編",IF(COUNTIF($E$3:$E$2002,$E1724)&gt;1,"⚠ 重複打卡","OK")))</f>
        <v/>
      </c>
    </row>
    <row r="1725">
      <c r="A1725" s="20" t="n"/>
      <c r="B1725" s="18" t="n"/>
      <c r="C1725" s="81" t="n"/>
      <c r="D1725" s="81" t="n"/>
      <c r="E1725" s="16">
        <f>IF($A1725="","",$A1725&amp;"|"&amp;DAY($B1725))</f>
        <v/>
      </c>
      <c r="F1725" s="16">
        <f>IF($A1725="","",IF(COUNTIF(設定!$B$62:$B$201,$A1725)=0,"⚠ 查無員編",IF(COUNTIF($E$3:$E$2002,$E1725)&gt;1,"⚠ 重複打卡","OK")))</f>
        <v/>
      </c>
    </row>
    <row r="1726">
      <c r="A1726" s="20" t="n"/>
      <c r="B1726" s="18" t="n"/>
      <c r="C1726" s="81" t="n"/>
      <c r="D1726" s="81" t="n"/>
      <c r="E1726" s="16">
        <f>IF($A1726="","",$A1726&amp;"|"&amp;DAY($B1726))</f>
        <v/>
      </c>
      <c r="F1726" s="16">
        <f>IF($A1726="","",IF(COUNTIF(設定!$B$62:$B$201,$A1726)=0,"⚠ 查無員編",IF(COUNTIF($E$3:$E$2002,$E1726)&gt;1,"⚠ 重複打卡","OK")))</f>
        <v/>
      </c>
    </row>
    <row r="1727">
      <c r="A1727" s="20" t="n"/>
      <c r="B1727" s="18" t="n"/>
      <c r="C1727" s="81" t="n"/>
      <c r="D1727" s="81" t="n"/>
      <c r="E1727" s="16">
        <f>IF($A1727="","",$A1727&amp;"|"&amp;DAY($B1727))</f>
        <v/>
      </c>
      <c r="F1727" s="16">
        <f>IF($A1727="","",IF(COUNTIF(設定!$B$62:$B$201,$A1727)=0,"⚠ 查無員編",IF(COUNTIF($E$3:$E$2002,$E1727)&gt;1,"⚠ 重複打卡","OK")))</f>
        <v/>
      </c>
    </row>
    <row r="1728">
      <c r="A1728" s="20" t="n"/>
      <c r="B1728" s="18" t="n"/>
      <c r="C1728" s="81" t="n"/>
      <c r="D1728" s="81" t="n"/>
      <c r="E1728" s="16">
        <f>IF($A1728="","",$A1728&amp;"|"&amp;DAY($B1728))</f>
        <v/>
      </c>
      <c r="F1728" s="16">
        <f>IF($A1728="","",IF(COUNTIF(設定!$B$62:$B$201,$A1728)=0,"⚠ 查無員編",IF(COUNTIF($E$3:$E$2002,$E1728)&gt;1,"⚠ 重複打卡","OK")))</f>
        <v/>
      </c>
    </row>
    <row r="1729">
      <c r="A1729" s="20" t="n"/>
      <c r="B1729" s="18" t="n"/>
      <c r="C1729" s="81" t="n"/>
      <c r="D1729" s="81" t="n"/>
      <c r="E1729" s="16">
        <f>IF($A1729="","",$A1729&amp;"|"&amp;DAY($B1729))</f>
        <v/>
      </c>
      <c r="F1729" s="16">
        <f>IF($A1729="","",IF(COUNTIF(設定!$B$62:$B$201,$A1729)=0,"⚠ 查無員編",IF(COUNTIF($E$3:$E$2002,$E1729)&gt;1,"⚠ 重複打卡","OK")))</f>
        <v/>
      </c>
    </row>
    <row r="1730">
      <c r="A1730" s="20" t="n"/>
      <c r="B1730" s="18" t="n"/>
      <c r="C1730" s="81" t="n"/>
      <c r="D1730" s="81" t="n"/>
      <c r="E1730" s="16">
        <f>IF($A1730="","",$A1730&amp;"|"&amp;DAY($B1730))</f>
        <v/>
      </c>
      <c r="F1730" s="16">
        <f>IF($A1730="","",IF(COUNTIF(設定!$B$62:$B$201,$A1730)=0,"⚠ 查無員編",IF(COUNTIF($E$3:$E$2002,$E1730)&gt;1,"⚠ 重複打卡","OK")))</f>
        <v/>
      </c>
    </row>
    <row r="1731">
      <c r="A1731" s="20" t="n"/>
      <c r="B1731" s="18" t="n"/>
      <c r="C1731" s="81" t="n"/>
      <c r="D1731" s="81" t="n"/>
      <c r="E1731" s="16">
        <f>IF($A1731="","",$A1731&amp;"|"&amp;DAY($B1731))</f>
        <v/>
      </c>
      <c r="F1731" s="16">
        <f>IF($A1731="","",IF(COUNTIF(設定!$B$62:$B$201,$A1731)=0,"⚠ 查無員編",IF(COUNTIF($E$3:$E$2002,$E1731)&gt;1,"⚠ 重複打卡","OK")))</f>
        <v/>
      </c>
    </row>
    <row r="1732">
      <c r="A1732" s="20" t="n"/>
      <c r="B1732" s="18" t="n"/>
      <c r="C1732" s="81" t="n"/>
      <c r="D1732" s="81" t="n"/>
      <c r="E1732" s="16">
        <f>IF($A1732="","",$A1732&amp;"|"&amp;DAY($B1732))</f>
        <v/>
      </c>
      <c r="F1732" s="16">
        <f>IF($A1732="","",IF(COUNTIF(設定!$B$62:$B$201,$A1732)=0,"⚠ 查無員編",IF(COUNTIF($E$3:$E$2002,$E1732)&gt;1,"⚠ 重複打卡","OK")))</f>
        <v/>
      </c>
    </row>
    <row r="1733">
      <c r="A1733" s="20" t="n"/>
      <c r="B1733" s="18" t="n"/>
      <c r="C1733" s="81" t="n"/>
      <c r="D1733" s="81" t="n"/>
      <c r="E1733" s="16">
        <f>IF($A1733="","",$A1733&amp;"|"&amp;DAY($B1733))</f>
        <v/>
      </c>
      <c r="F1733" s="16">
        <f>IF($A1733="","",IF(COUNTIF(設定!$B$62:$B$201,$A1733)=0,"⚠ 查無員編",IF(COUNTIF($E$3:$E$2002,$E1733)&gt;1,"⚠ 重複打卡","OK")))</f>
        <v/>
      </c>
    </row>
    <row r="1734">
      <c r="A1734" s="20" t="n"/>
      <c r="B1734" s="18" t="n"/>
      <c r="C1734" s="81" t="n"/>
      <c r="D1734" s="81" t="n"/>
      <c r="E1734" s="16">
        <f>IF($A1734="","",$A1734&amp;"|"&amp;DAY($B1734))</f>
        <v/>
      </c>
      <c r="F1734" s="16">
        <f>IF($A1734="","",IF(COUNTIF(設定!$B$62:$B$201,$A1734)=0,"⚠ 查無員編",IF(COUNTIF($E$3:$E$2002,$E1734)&gt;1,"⚠ 重複打卡","OK")))</f>
        <v/>
      </c>
    </row>
    <row r="1735">
      <c r="A1735" s="20" t="n"/>
      <c r="B1735" s="18" t="n"/>
      <c r="C1735" s="81" t="n"/>
      <c r="D1735" s="81" t="n"/>
      <c r="E1735" s="16">
        <f>IF($A1735="","",$A1735&amp;"|"&amp;DAY($B1735))</f>
        <v/>
      </c>
      <c r="F1735" s="16">
        <f>IF($A1735="","",IF(COUNTIF(設定!$B$62:$B$201,$A1735)=0,"⚠ 查無員編",IF(COUNTIF($E$3:$E$2002,$E1735)&gt;1,"⚠ 重複打卡","OK")))</f>
        <v/>
      </c>
    </row>
    <row r="1736">
      <c r="A1736" s="20" t="n"/>
      <c r="B1736" s="18" t="n"/>
      <c r="C1736" s="81" t="n"/>
      <c r="D1736" s="81" t="n"/>
      <c r="E1736" s="16">
        <f>IF($A1736="","",$A1736&amp;"|"&amp;DAY($B1736))</f>
        <v/>
      </c>
      <c r="F1736" s="16">
        <f>IF($A1736="","",IF(COUNTIF(設定!$B$62:$B$201,$A1736)=0,"⚠ 查無員編",IF(COUNTIF($E$3:$E$2002,$E1736)&gt;1,"⚠ 重複打卡","OK")))</f>
        <v/>
      </c>
    </row>
    <row r="1737">
      <c r="A1737" s="20" t="n"/>
      <c r="B1737" s="18" t="n"/>
      <c r="C1737" s="81" t="n"/>
      <c r="D1737" s="81" t="n"/>
      <c r="E1737" s="16">
        <f>IF($A1737="","",$A1737&amp;"|"&amp;DAY($B1737))</f>
        <v/>
      </c>
      <c r="F1737" s="16">
        <f>IF($A1737="","",IF(COUNTIF(設定!$B$62:$B$201,$A1737)=0,"⚠ 查無員編",IF(COUNTIF($E$3:$E$2002,$E1737)&gt;1,"⚠ 重複打卡","OK")))</f>
        <v/>
      </c>
    </row>
    <row r="1738">
      <c r="A1738" s="20" t="n"/>
      <c r="B1738" s="18" t="n"/>
      <c r="C1738" s="81" t="n"/>
      <c r="D1738" s="81" t="n"/>
      <c r="E1738" s="16">
        <f>IF($A1738="","",$A1738&amp;"|"&amp;DAY($B1738))</f>
        <v/>
      </c>
      <c r="F1738" s="16">
        <f>IF($A1738="","",IF(COUNTIF(設定!$B$62:$B$201,$A1738)=0,"⚠ 查無員編",IF(COUNTIF($E$3:$E$2002,$E1738)&gt;1,"⚠ 重複打卡","OK")))</f>
        <v/>
      </c>
    </row>
    <row r="1739">
      <c r="A1739" s="20" t="n"/>
      <c r="B1739" s="18" t="n"/>
      <c r="C1739" s="81" t="n"/>
      <c r="D1739" s="81" t="n"/>
      <c r="E1739" s="16">
        <f>IF($A1739="","",$A1739&amp;"|"&amp;DAY($B1739))</f>
        <v/>
      </c>
      <c r="F1739" s="16">
        <f>IF($A1739="","",IF(COUNTIF(設定!$B$62:$B$201,$A1739)=0,"⚠ 查無員編",IF(COUNTIF($E$3:$E$2002,$E1739)&gt;1,"⚠ 重複打卡","OK")))</f>
        <v/>
      </c>
    </row>
    <row r="1740">
      <c r="A1740" s="20" t="n"/>
      <c r="B1740" s="18" t="n"/>
      <c r="C1740" s="81" t="n"/>
      <c r="D1740" s="81" t="n"/>
      <c r="E1740" s="16">
        <f>IF($A1740="","",$A1740&amp;"|"&amp;DAY($B1740))</f>
        <v/>
      </c>
      <c r="F1740" s="16">
        <f>IF($A1740="","",IF(COUNTIF(設定!$B$62:$B$201,$A1740)=0,"⚠ 查無員編",IF(COUNTIF($E$3:$E$2002,$E1740)&gt;1,"⚠ 重複打卡","OK")))</f>
        <v/>
      </c>
    </row>
    <row r="1741">
      <c r="A1741" s="20" t="n"/>
      <c r="B1741" s="18" t="n"/>
      <c r="C1741" s="81" t="n"/>
      <c r="D1741" s="81" t="n"/>
      <c r="E1741" s="16">
        <f>IF($A1741="","",$A1741&amp;"|"&amp;DAY($B1741))</f>
        <v/>
      </c>
      <c r="F1741" s="16">
        <f>IF($A1741="","",IF(COUNTIF(設定!$B$62:$B$201,$A1741)=0,"⚠ 查無員編",IF(COUNTIF($E$3:$E$2002,$E1741)&gt;1,"⚠ 重複打卡","OK")))</f>
        <v/>
      </c>
    </row>
    <row r="1742">
      <c r="A1742" s="20" t="n"/>
      <c r="B1742" s="18" t="n"/>
      <c r="C1742" s="81" t="n"/>
      <c r="D1742" s="81" t="n"/>
      <c r="E1742" s="16">
        <f>IF($A1742="","",$A1742&amp;"|"&amp;DAY($B1742))</f>
        <v/>
      </c>
      <c r="F1742" s="16">
        <f>IF($A1742="","",IF(COUNTIF(設定!$B$62:$B$201,$A1742)=0,"⚠ 查無員編",IF(COUNTIF($E$3:$E$2002,$E1742)&gt;1,"⚠ 重複打卡","OK")))</f>
        <v/>
      </c>
    </row>
    <row r="1743">
      <c r="A1743" s="20" t="n"/>
      <c r="B1743" s="18" t="n"/>
      <c r="C1743" s="81" t="n"/>
      <c r="D1743" s="81" t="n"/>
      <c r="E1743" s="16">
        <f>IF($A1743="","",$A1743&amp;"|"&amp;DAY($B1743))</f>
        <v/>
      </c>
      <c r="F1743" s="16">
        <f>IF($A1743="","",IF(COUNTIF(設定!$B$62:$B$201,$A1743)=0,"⚠ 查無員編",IF(COUNTIF($E$3:$E$2002,$E1743)&gt;1,"⚠ 重複打卡","OK")))</f>
        <v/>
      </c>
    </row>
    <row r="1744">
      <c r="A1744" s="20" t="n"/>
      <c r="B1744" s="18" t="n"/>
      <c r="C1744" s="81" t="n"/>
      <c r="D1744" s="81" t="n"/>
      <c r="E1744" s="16">
        <f>IF($A1744="","",$A1744&amp;"|"&amp;DAY($B1744))</f>
        <v/>
      </c>
      <c r="F1744" s="16">
        <f>IF($A1744="","",IF(COUNTIF(設定!$B$62:$B$201,$A1744)=0,"⚠ 查無員編",IF(COUNTIF($E$3:$E$2002,$E1744)&gt;1,"⚠ 重複打卡","OK")))</f>
        <v/>
      </c>
    </row>
    <row r="1745">
      <c r="A1745" s="20" t="n"/>
      <c r="B1745" s="18" t="n"/>
      <c r="C1745" s="81" t="n"/>
      <c r="D1745" s="81" t="n"/>
      <c r="E1745" s="16">
        <f>IF($A1745="","",$A1745&amp;"|"&amp;DAY($B1745))</f>
        <v/>
      </c>
      <c r="F1745" s="16">
        <f>IF($A1745="","",IF(COUNTIF(設定!$B$62:$B$201,$A1745)=0,"⚠ 查無員編",IF(COUNTIF($E$3:$E$2002,$E1745)&gt;1,"⚠ 重複打卡","OK")))</f>
        <v/>
      </c>
    </row>
    <row r="1746">
      <c r="A1746" s="20" t="n"/>
      <c r="B1746" s="18" t="n"/>
      <c r="C1746" s="81" t="n"/>
      <c r="D1746" s="81" t="n"/>
      <c r="E1746" s="16">
        <f>IF($A1746="","",$A1746&amp;"|"&amp;DAY($B1746))</f>
        <v/>
      </c>
      <c r="F1746" s="16">
        <f>IF($A1746="","",IF(COUNTIF(設定!$B$62:$B$201,$A1746)=0,"⚠ 查無員編",IF(COUNTIF($E$3:$E$2002,$E1746)&gt;1,"⚠ 重複打卡","OK")))</f>
        <v/>
      </c>
    </row>
    <row r="1747">
      <c r="A1747" s="20" t="n"/>
      <c r="B1747" s="18" t="n"/>
      <c r="C1747" s="81" t="n"/>
      <c r="D1747" s="81" t="n"/>
      <c r="E1747" s="16">
        <f>IF($A1747="","",$A1747&amp;"|"&amp;DAY($B1747))</f>
        <v/>
      </c>
      <c r="F1747" s="16">
        <f>IF($A1747="","",IF(COUNTIF(設定!$B$62:$B$201,$A1747)=0,"⚠ 查無員編",IF(COUNTIF($E$3:$E$2002,$E1747)&gt;1,"⚠ 重複打卡","OK")))</f>
        <v/>
      </c>
    </row>
    <row r="1748">
      <c r="A1748" s="20" t="n"/>
      <c r="B1748" s="18" t="n"/>
      <c r="C1748" s="81" t="n"/>
      <c r="D1748" s="81" t="n"/>
      <c r="E1748" s="16">
        <f>IF($A1748="","",$A1748&amp;"|"&amp;DAY($B1748))</f>
        <v/>
      </c>
      <c r="F1748" s="16">
        <f>IF($A1748="","",IF(COUNTIF(設定!$B$62:$B$201,$A1748)=0,"⚠ 查無員編",IF(COUNTIF($E$3:$E$2002,$E1748)&gt;1,"⚠ 重複打卡","OK")))</f>
        <v/>
      </c>
    </row>
    <row r="1749">
      <c r="A1749" s="20" t="n"/>
      <c r="B1749" s="18" t="n"/>
      <c r="C1749" s="81" t="n"/>
      <c r="D1749" s="81" t="n"/>
      <c r="E1749" s="16">
        <f>IF($A1749="","",$A1749&amp;"|"&amp;DAY($B1749))</f>
        <v/>
      </c>
      <c r="F1749" s="16">
        <f>IF($A1749="","",IF(COUNTIF(設定!$B$62:$B$201,$A1749)=0,"⚠ 查無員編",IF(COUNTIF($E$3:$E$2002,$E1749)&gt;1,"⚠ 重複打卡","OK")))</f>
        <v/>
      </c>
    </row>
    <row r="1750">
      <c r="A1750" s="20" t="n"/>
      <c r="B1750" s="18" t="n"/>
      <c r="C1750" s="81" t="n"/>
      <c r="D1750" s="81" t="n"/>
      <c r="E1750" s="16">
        <f>IF($A1750="","",$A1750&amp;"|"&amp;DAY($B1750))</f>
        <v/>
      </c>
      <c r="F1750" s="16">
        <f>IF($A1750="","",IF(COUNTIF(設定!$B$62:$B$201,$A1750)=0,"⚠ 查無員編",IF(COUNTIF($E$3:$E$2002,$E1750)&gt;1,"⚠ 重複打卡","OK")))</f>
        <v/>
      </c>
    </row>
    <row r="1751">
      <c r="A1751" s="20" t="n"/>
      <c r="B1751" s="18" t="n"/>
      <c r="C1751" s="81" t="n"/>
      <c r="D1751" s="81" t="n"/>
      <c r="E1751" s="16">
        <f>IF($A1751="","",$A1751&amp;"|"&amp;DAY($B1751))</f>
        <v/>
      </c>
      <c r="F1751" s="16">
        <f>IF($A1751="","",IF(COUNTIF(設定!$B$62:$B$201,$A1751)=0,"⚠ 查無員編",IF(COUNTIF($E$3:$E$2002,$E1751)&gt;1,"⚠ 重複打卡","OK")))</f>
        <v/>
      </c>
    </row>
    <row r="1752">
      <c r="A1752" s="20" t="n"/>
      <c r="B1752" s="18" t="n"/>
      <c r="C1752" s="81" t="n"/>
      <c r="D1752" s="81" t="n"/>
      <c r="E1752" s="16">
        <f>IF($A1752="","",$A1752&amp;"|"&amp;DAY($B1752))</f>
        <v/>
      </c>
      <c r="F1752" s="16">
        <f>IF($A1752="","",IF(COUNTIF(設定!$B$62:$B$201,$A1752)=0,"⚠ 查無員編",IF(COUNTIF($E$3:$E$2002,$E1752)&gt;1,"⚠ 重複打卡","OK")))</f>
        <v/>
      </c>
    </row>
    <row r="1753">
      <c r="A1753" s="20" t="n"/>
      <c r="B1753" s="18" t="n"/>
      <c r="C1753" s="81" t="n"/>
      <c r="D1753" s="81" t="n"/>
      <c r="E1753" s="16">
        <f>IF($A1753="","",$A1753&amp;"|"&amp;DAY($B1753))</f>
        <v/>
      </c>
      <c r="F1753" s="16">
        <f>IF($A1753="","",IF(COUNTIF(設定!$B$62:$B$201,$A1753)=0,"⚠ 查無員編",IF(COUNTIF($E$3:$E$2002,$E1753)&gt;1,"⚠ 重複打卡","OK")))</f>
        <v/>
      </c>
    </row>
    <row r="1754">
      <c r="A1754" s="20" t="n"/>
      <c r="B1754" s="18" t="n"/>
      <c r="C1754" s="81" t="n"/>
      <c r="D1754" s="81" t="n"/>
      <c r="E1754" s="16">
        <f>IF($A1754="","",$A1754&amp;"|"&amp;DAY($B1754))</f>
        <v/>
      </c>
      <c r="F1754" s="16">
        <f>IF($A1754="","",IF(COUNTIF(設定!$B$62:$B$201,$A1754)=0,"⚠ 查無員編",IF(COUNTIF($E$3:$E$2002,$E1754)&gt;1,"⚠ 重複打卡","OK")))</f>
        <v/>
      </c>
    </row>
    <row r="1755">
      <c r="A1755" s="20" t="n"/>
      <c r="B1755" s="18" t="n"/>
      <c r="C1755" s="81" t="n"/>
      <c r="D1755" s="81" t="n"/>
      <c r="E1755" s="16">
        <f>IF($A1755="","",$A1755&amp;"|"&amp;DAY($B1755))</f>
        <v/>
      </c>
      <c r="F1755" s="16">
        <f>IF($A1755="","",IF(COUNTIF(設定!$B$62:$B$201,$A1755)=0,"⚠ 查無員編",IF(COUNTIF($E$3:$E$2002,$E1755)&gt;1,"⚠ 重複打卡","OK")))</f>
        <v/>
      </c>
    </row>
    <row r="1756">
      <c r="A1756" s="20" t="n"/>
      <c r="B1756" s="18" t="n"/>
      <c r="C1756" s="81" t="n"/>
      <c r="D1756" s="81" t="n"/>
      <c r="E1756" s="16">
        <f>IF($A1756="","",$A1756&amp;"|"&amp;DAY($B1756))</f>
        <v/>
      </c>
      <c r="F1756" s="16">
        <f>IF($A1756="","",IF(COUNTIF(設定!$B$62:$B$201,$A1756)=0,"⚠ 查無員編",IF(COUNTIF($E$3:$E$2002,$E1756)&gt;1,"⚠ 重複打卡","OK")))</f>
        <v/>
      </c>
    </row>
    <row r="1757">
      <c r="A1757" s="20" t="n"/>
      <c r="B1757" s="18" t="n"/>
      <c r="C1757" s="81" t="n"/>
      <c r="D1757" s="81" t="n"/>
      <c r="E1757" s="16">
        <f>IF($A1757="","",$A1757&amp;"|"&amp;DAY($B1757))</f>
        <v/>
      </c>
      <c r="F1757" s="16">
        <f>IF($A1757="","",IF(COUNTIF(設定!$B$62:$B$201,$A1757)=0,"⚠ 查無員編",IF(COUNTIF($E$3:$E$2002,$E1757)&gt;1,"⚠ 重複打卡","OK")))</f>
        <v/>
      </c>
    </row>
    <row r="1758">
      <c r="A1758" s="20" t="n"/>
      <c r="B1758" s="18" t="n"/>
      <c r="C1758" s="81" t="n"/>
      <c r="D1758" s="81" t="n"/>
      <c r="E1758" s="16">
        <f>IF($A1758="","",$A1758&amp;"|"&amp;DAY($B1758))</f>
        <v/>
      </c>
      <c r="F1758" s="16">
        <f>IF($A1758="","",IF(COUNTIF(設定!$B$62:$B$201,$A1758)=0,"⚠ 查無員編",IF(COUNTIF($E$3:$E$2002,$E1758)&gt;1,"⚠ 重複打卡","OK")))</f>
        <v/>
      </c>
    </row>
    <row r="1759">
      <c r="A1759" s="20" t="n"/>
      <c r="B1759" s="18" t="n"/>
      <c r="C1759" s="81" t="n"/>
      <c r="D1759" s="81" t="n"/>
      <c r="E1759" s="16">
        <f>IF($A1759="","",$A1759&amp;"|"&amp;DAY($B1759))</f>
        <v/>
      </c>
      <c r="F1759" s="16">
        <f>IF($A1759="","",IF(COUNTIF(設定!$B$62:$B$201,$A1759)=0,"⚠ 查無員編",IF(COUNTIF($E$3:$E$2002,$E1759)&gt;1,"⚠ 重複打卡","OK")))</f>
        <v/>
      </c>
    </row>
    <row r="1760">
      <c r="A1760" s="20" t="n"/>
      <c r="B1760" s="18" t="n"/>
      <c r="C1760" s="81" t="n"/>
      <c r="D1760" s="81" t="n"/>
      <c r="E1760" s="16">
        <f>IF($A1760="","",$A1760&amp;"|"&amp;DAY($B1760))</f>
        <v/>
      </c>
      <c r="F1760" s="16">
        <f>IF($A1760="","",IF(COUNTIF(設定!$B$62:$B$201,$A1760)=0,"⚠ 查無員編",IF(COUNTIF($E$3:$E$2002,$E1760)&gt;1,"⚠ 重複打卡","OK")))</f>
        <v/>
      </c>
    </row>
    <row r="1761">
      <c r="A1761" s="20" t="n"/>
      <c r="B1761" s="18" t="n"/>
      <c r="C1761" s="81" t="n"/>
      <c r="D1761" s="81" t="n"/>
      <c r="E1761" s="16">
        <f>IF($A1761="","",$A1761&amp;"|"&amp;DAY($B1761))</f>
        <v/>
      </c>
      <c r="F1761" s="16">
        <f>IF($A1761="","",IF(COUNTIF(設定!$B$62:$B$201,$A1761)=0,"⚠ 查無員編",IF(COUNTIF($E$3:$E$2002,$E1761)&gt;1,"⚠ 重複打卡","OK")))</f>
        <v/>
      </c>
    </row>
    <row r="1762">
      <c r="A1762" s="20" t="n"/>
      <c r="B1762" s="18" t="n"/>
      <c r="C1762" s="81" t="n"/>
      <c r="D1762" s="81" t="n"/>
      <c r="E1762" s="16">
        <f>IF($A1762="","",$A1762&amp;"|"&amp;DAY($B1762))</f>
        <v/>
      </c>
      <c r="F1762" s="16">
        <f>IF($A1762="","",IF(COUNTIF(設定!$B$62:$B$201,$A1762)=0,"⚠ 查無員編",IF(COUNTIF($E$3:$E$2002,$E1762)&gt;1,"⚠ 重複打卡","OK")))</f>
        <v/>
      </c>
    </row>
    <row r="1763">
      <c r="A1763" s="20" t="n"/>
      <c r="B1763" s="18" t="n"/>
      <c r="C1763" s="81" t="n"/>
      <c r="D1763" s="81" t="n"/>
      <c r="E1763" s="16">
        <f>IF($A1763="","",$A1763&amp;"|"&amp;DAY($B1763))</f>
        <v/>
      </c>
      <c r="F1763" s="16">
        <f>IF($A1763="","",IF(COUNTIF(設定!$B$62:$B$201,$A1763)=0,"⚠ 查無員編",IF(COUNTIF($E$3:$E$2002,$E1763)&gt;1,"⚠ 重複打卡","OK")))</f>
        <v/>
      </c>
    </row>
    <row r="1764">
      <c r="A1764" s="20" t="n"/>
      <c r="B1764" s="18" t="n"/>
      <c r="C1764" s="81" t="n"/>
      <c r="D1764" s="81" t="n"/>
      <c r="E1764" s="16">
        <f>IF($A1764="","",$A1764&amp;"|"&amp;DAY($B1764))</f>
        <v/>
      </c>
      <c r="F1764" s="16">
        <f>IF($A1764="","",IF(COUNTIF(設定!$B$62:$B$201,$A1764)=0,"⚠ 查無員編",IF(COUNTIF($E$3:$E$2002,$E1764)&gt;1,"⚠ 重複打卡","OK")))</f>
        <v/>
      </c>
    </row>
    <row r="1765">
      <c r="A1765" s="20" t="n"/>
      <c r="B1765" s="18" t="n"/>
      <c r="C1765" s="81" t="n"/>
      <c r="D1765" s="81" t="n"/>
      <c r="E1765" s="16">
        <f>IF($A1765="","",$A1765&amp;"|"&amp;DAY($B1765))</f>
        <v/>
      </c>
      <c r="F1765" s="16">
        <f>IF($A1765="","",IF(COUNTIF(設定!$B$62:$B$201,$A1765)=0,"⚠ 查無員編",IF(COUNTIF($E$3:$E$2002,$E1765)&gt;1,"⚠ 重複打卡","OK")))</f>
        <v/>
      </c>
    </row>
    <row r="1766">
      <c r="A1766" s="20" t="n"/>
      <c r="B1766" s="18" t="n"/>
      <c r="C1766" s="81" t="n"/>
      <c r="D1766" s="81" t="n"/>
      <c r="E1766" s="16">
        <f>IF($A1766="","",$A1766&amp;"|"&amp;DAY($B1766))</f>
        <v/>
      </c>
      <c r="F1766" s="16">
        <f>IF($A1766="","",IF(COUNTIF(設定!$B$62:$B$201,$A1766)=0,"⚠ 查無員編",IF(COUNTIF($E$3:$E$2002,$E1766)&gt;1,"⚠ 重複打卡","OK")))</f>
        <v/>
      </c>
    </row>
    <row r="1767">
      <c r="A1767" s="20" t="n"/>
      <c r="B1767" s="18" t="n"/>
      <c r="C1767" s="81" t="n"/>
      <c r="D1767" s="81" t="n"/>
      <c r="E1767" s="16">
        <f>IF($A1767="","",$A1767&amp;"|"&amp;DAY($B1767))</f>
        <v/>
      </c>
      <c r="F1767" s="16">
        <f>IF($A1767="","",IF(COUNTIF(設定!$B$62:$B$201,$A1767)=0,"⚠ 查無員編",IF(COUNTIF($E$3:$E$2002,$E1767)&gt;1,"⚠ 重複打卡","OK")))</f>
        <v/>
      </c>
    </row>
    <row r="1768">
      <c r="A1768" s="20" t="n"/>
      <c r="B1768" s="18" t="n"/>
      <c r="C1768" s="81" t="n"/>
      <c r="D1768" s="81" t="n"/>
      <c r="E1768" s="16">
        <f>IF($A1768="","",$A1768&amp;"|"&amp;DAY($B1768))</f>
        <v/>
      </c>
      <c r="F1768" s="16">
        <f>IF($A1768="","",IF(COUNTIF(設定!$B$62:$B$201,$A1768)=0,"⚠ 查無員編",IF(COUNTIF($E$3:$E$2002,$E1768)&gt;1,"⚠ 重複打卡","OK")))</f>
        <v/>
      </c>
    </row>
    <row r="1769">
      <c r="A1769" s="20" t="n"/>
      <c r="B1769" s="18" t="n"/>
      <c r="C1769" s="81" t="n"/>
      <c r="D1769" s="81" t="n"/>
      <c r="E1769" s="16">
        <f>IF($A1769="","",$A1769&amp;"|"&amp;DAY($B1769))</f>
        <v/>
      </c>
      <c r="F1769" s="16">
        <f>IF($A1769="","",IF(COUNTIF(設定!$B$62:$B$201,$A1769)=0,"⚠ 查無員編",IF(COUNTIF($E$3:$E$2002,$E1769)&gt;1,"⚠ 重複打卡","OK")))</f>
        <v/>
      </c>
    </row>
    <row r="1770">
      <c r="A1770" s="20" t="n"/>
      <c r="B1770" s="18" t="n"/>
      <c r="C1770" s="81" t="n"/>
      <c r="D1770" s="81" t="n"/>
      <c r="E1770" s="16">
        <f>IF($A1770="","",$A1770&amp;"|"&amp;DAY($B1770))</f>
        <v/>
      </c>
      <c r="F1770" s="16">
        <f>IF($A1770="","",IF(COUNTIF(設定!$B$62:$B$201,$A1770)=0,"⚠ 查無員編",IF(COUNTIF($E$3:$E$2002,$E1770)&gt;1,"⚠ 重複打卡","OK")))</f>
        <v/>
      </c>
    </row>
    <row r="1771">
      <c r="A1771" s="20" t="n"/>
      <c r="B1771" s="18" t="n"/>
      <c r="C1771" s="81" t="n"/>
      <c r="D1771" s="81" t="n"/>
      <c r="E1771" s="16">
        <f>IF($A1771="","",$A1771&amp;"|"&amp;DAY($B1771))</f>
        <v/>
      </c>
      <c r="F1771" s="16">
        <f>IF($A1771="","",IF(COUNTIF(設定!$B$62:$B$201,$A1771)=0,"⚠ 查無員編",IF(COUNTIF($E$3:$E$2002,$E1771)&gt;1,"⚠ 重複打卡","OK")))</f>
        <v/>
      </c>
    </row>
    <row r="1772">
      <c r="A1772" s="20" t="n"/>
      <c r="B1772" s="18" t="n"/>
      <c r="C1772" s="81" t="n"/>
      <c r="D1772" s="81" t="n"/>
      <c r="E1772" s="16">
        <f>IF($A1772="","",$A1772&amp;"|"&amp;DAY($B1772))</f>
        <v/>
      </c>
      <c r="F1772" s="16">
        <f>IF($A1772="","",IF(COUNTIF(設定!$B$62:$B$201,$A1772)=0,"⚠ 查無員編",IF(COUNTIF($E$3:$E$2002,$E1772)&gt;1,"⚠ 重複打卡","OK")))</f>
        <v/>
      </c>
    </row>
    <row r="1773">
      <c r="A1773" s="20" t="n"/>
      <c r="B1773" s="18" t="n"/>
      <c r="C1773" s="81" t="n"/>
      <c r="D1773" s="81" t="n"/>
      <c r="E1773" s="16">
        <f>IF($A1773="","",$A1773&amp;"|"&amp;DAY($B1773))</f>
        <v/>
      </c>
      <c r="F1773" s="16">
        <f>IF($A1773="","",IF(COUNTIF(設定!$B$62:$B$201,$A1773)=0,"⚠ 查無員編",IF(COUNTIF($E$3:$E$2002,$E1773)&gt;1,"⚠ 重複打卡","OK")))</f>
        <v/>
      </c>
    </row>
    <row r="1774">
      <c r="A1774" s="20" t="n"/>
      <c r="B1774" s="18" t="n"/>
      <c r="C1774" s="81" t="n"/>
      <c r="D1774" s="81" t="n"/>
      <c r="E1774" s="16">
        <f>IF($A1774="","",$A1774&amp;"|"&amp;DAY($B1774))</f>
        <v/>
      </c>
      <c r="F1774" s="16">
        <f>IF($A1774="","",IF(COUNTIF(設定!$B$62:$B$201,$A1774)=0,"⚠ 查無員編",IF(COUNTIF($E$3:$E$2002,$E1774)&gt;1,"⚠ 重複打卡","OK")))</f>
        <v/>
      </c>
    </row>
    <row r="1775">
      <c r="A1775" s="20" t="n"/>
      <c r="B1775" s="18" t="n"/>
      <c r="C1775" s="81" t="n"/>
      <c r="D1775" s="81" t="n"/>
      <c r="E1775" s="16">
        <f>IF($A1775="","",$A1775&amp;"|"&amp;DAY($B1775))</f>
        <v/>
      </c>
      <c r="F1775" s="16">
        <f>IF($A1775="","",IF(COUNTIF(設定!$B$62:$B$201,$A1775)=0,"⚠ 查無員編",IF(COUNTIF($E$3:$E$2002,$E1775)&gt;1,"⚠ 重複打卡","OK")))</f>
        <v/>
      </c>
    </row>
    <row r="1776">
      <c r="A1776" s="20" t="n"/>
      <c r="B1776" s="18" t="n"/>
      <c r="C1776" s="81" t="n"/>
      <c r="D1776" s="81" t="n"/>
      <c r="E1776" s="16">
        <f>IF($A1776="","",$A1776&amp;"|"&amp;DAY($B1776))</f>
        <v/>
      </c>
      <c r="F1776" s="16">
        <f>IF($A1776="","",IF(COUNTIF(設定!$B$62:$B$201,$A1776)=0,"⚠ 查無員編",IF(COUNTIF($E$3:$E$2002,$E1776)&gt;1,"⚠ 重複打卡","OK")))</f>
        <v/>
      </c>
    </row>
    <row r="1777">
      <c r="A1777" s="20" t="n"/>
      <c r="B1777" s="18" t="n"/>
      <c r="C1777" s="81" t="n"/>
      <c r="D1777" s="81" t="n"/>
      <c r="E1777" s="16">
        <f>IF($A1777="","",$A1777&amp;"|"&amp;DAY($B1777))</f>
        <v/>
      </c>
      <c r="F1777" s="16">
        <f>IF($A1777="","",IF(COUNTIF(設定!$B$62:$B$201,$A1777)=0,"⚠ 查無員編",IF(COUNTIF($E$3:$E$2002,$E1777)&gt;1,"⚠ 重複打卡","OK")))</f>
        <v/>
      </c>
    </row>
    <row r="1778">
      <c r="A1778" s="20" t="n"/>
      <c r="B1778" s="18" t="n"/>
      <c r="C1778" s="81" t="n"/>
      <c r="D1778" s="81" t="n"/>
      <c r="E1778" s="16">
        <f>IF($A1778="","",$A1778&amp;"|"&amp;DAY($B1778))</f>
        <v/>
      </c>
      <c r="F1778" s="16">
        <f>IF($A1778="","",IF(COUNTIF(設定!$B$62:$B$201,$A1778)=0,"⚠ 查無員編",IF(COUNTIF($E$3:$E$2002,$E1778)&gt;1,"⚠ 重複打卡","OK")))</f>
        <v/>
      </c>
    </row>
    <row r="1779">
      <c r="A1779" s="20" t="n"/>
      <c r="B1779" s="18" t="n"/>
      <c r="C1779" s="81" t="n"/>
      <c r="D1779" s="81" t="n"/>
      <c r="E1779" s="16">
        <f>IF($A1779="","",$A1779&amp;"|"&amp;DAY($B1779))</f>
        <v/>
      </c>
      <c r="F1779" s="16">
        <f>IF($A1779="","",IF(COUNTIF(設定!$B$62:$B$201,$A1779)=0,"⚠ 查無員編",IF(COUNTIF($E$3:$E$2002,$E1779)&gt;1,"⚠ 重複打卡","OK")))</f>
        <v/>
      </c>
    </row>
    <row r="1780">
      <c r="A1780" s="20" t="n"/>
      <c r="B1780" s="18" t="n"/>
      <c r="C1780" s="81" t="n"/>
      <c r="D1780" s="81" t="n"/>
      <c r="E1780" s="16">
        <f>IF($A1780="","",$A1780&amp;"|"&amp;DAY($B1780))</f>
        <v/>
      </c>
      <c r="F1780" s="16">
        <f>IF($A1780="","",IF(COUNTIF(設定!$B$62:$B$201,$A1780)=0,"⚠ 查無員編",IF(COUNTIF($E$3:$E$2002,$E1780)&gt;1,"⚠ 重複打卡","OK")))</f>
        <v/>
      </c>
    </row>
    <row r="1781">
      <c r="A1781" s="20" t="n"/>
      <c r="B1781" s="18" t="n"/>
      <c r="C1781" s="81" t="n"/>
      <c r="D1781" s="81" t="n"/>
      <c r="E1781" s="16">
        <f>IF($A1781="","",$A1781&amp;"|"&amp;DAY($B1781))</f>
        <v/>
      </c>
      <c r="F1781" s="16">
        <f>IF($A1781="","",IF(COUNTIF(設定!$B$62:$B$201,$A1781)=0,"⚠ 查無員編",IF(COUNTIF($E$3:$E$2002,$E1781)&gt;1,"⚠ 重複打卡","OK")))</f>
        <v/>
      </c>
    </row>
    <row r="1782">
      <c r="A1782" s="20" t="n"/>
      <c r="B1782" s="18" t="n"/>
      <c r="C1782" s="81" t="n"/>
      <c r="D1782" s="81" t="n"/>
      <c r="E1782" s="16">
        <f>IF($A1782="","",$A1782&amp;"|"&amp;DAY($B1782))</f>
        <v/>
      </c>
      <c r="F1782" s="16">
        <f>IF($A1782="","",IF(COUNTIF(設定!$B$62:$B$201,$A1782)=0,"⚠ 查無員編",IF(COUNTIF($E$3:$E$2002,$E1782)&gt;1,"⚠ 重複打卡","OK")))</f>
        <v/>
      </c>
    </row>
    <row r="1783">
      <c r="A1783" s="20" t="n"/>
      <c r="B1783" s="18" t="n"/>
      <c r="C1783" s="81" t="n"/>
      <c r="D1783" s="81" t="n"/>
      <c r="E1783" s="16">
        <f>IF($A1783="","",$A1783&amp;"|"&amp;DAY($B1783))</f>
        <v/>
      </c>
      <c r="F1783" s="16">
        <f>IF($A1783="","",IF(COUNTIF(設定!$B$62:$B$201,$A1783)=0,"⚠ 查無員編",IF(COUNTIF($E$3:$E$2002,$E1783)&gt;1,"⚠ 重複打卡","OK")))</f>
        <v/>
      </c>
    </row>
    <row r="1784">
      <c r="A1784" s="20" t="n"/>
      <c r="B1784" s="18" t="n"/>
      <c r="C1784" s="81" t="n"/>
      <c r="D1784" s="81" t="n"/>
      <c r="E1784" s="16">
        <f>IF($A1784="","",$A1784&amp;"|"&amp;DAY($B1784))</f>
        <v/>
      </c>
      <c r="F1784" s="16">
        <f>IF($A1784="","",IF(COUNTIF(設定!$B$62:$B$201,$A1784)=0,"⚠ 查無員編",IF(COUNTIF($E$3:$E$2002,$E1784)&gt;1,"⚠ 重複打卡","OK")))</f>
        <v/>
      </c>
    </row>
    <row r="1785">
      <c r="A1785" s="20" t="n"/>
      <c r="B1785" s="18" t="n"/>
      <c r="C1785" s="81" t="n"/>
      <c r="D1785" s="81" t="n"/>
      <c r="E1785" s="16">
        <f>IF($A1785="","",$A1785&amp;"|"&amp;DAY($B1785))</f>
        <v/>
      </c>
      <c r="F1785" s="16">
        <f>IF($A1785="","",IF(COUNTIF(設定!$B$62:$B$201,$A1785)=0,"⚠ 查無員編",IF(COUNTIF($E$3:$E$2002,$E1785)&gt;1,"⚠ 重複打卡","OK")))</f>
        <v/>
      </c>
    </row>
    <row r="1786">
      <c r="A1786" s="20" t="n"/>
      <c r="B1786" s="18" t="n"/>
      <c r="C1786" s="81" t="n"/>
      <c r="D1786" s="81" t="n"/>
      <c r="E1786" s="16">
        <f>IF($A1786="","",$A1786&amp;"|"&amp;DAY($B1786))</f>
        <v/>
      </c>
      <c r="F1786" s="16">
        <f>IF($A1786="","",IF(COUNTIF(設定!$B$62:$B$201,$A1786)=0,"⚠ 查無員編",IF(COUNTIF($E$3:$E$2002,$E1786)&gt;1,"⚠ 重複打卡","OK")))</f>
        <v/>
      </c>
    </row>
    <row r="1787">
      <c r="A1787" s="20" t="n"/>
      <c r="B1787" s="18" t="n"/>
      <c r="C1787" s="81" t="n"/>
      <c r="D1787" s="81" t="n"/>
      <c r="E1787" s="16">
        <f>IF($A1787="","",$A1787&amp;"|"&amp;DAY($B1787))</f>
        <v/>
      </c>
      <c r="F1787" s="16">
        <f>IF($A1787="","",IF(COUNTIF(設定!$B$62:$B$201,$A1787)=0,"⚠ 查無員編",IF(COUNTIF($E$3:$E$2002,$E1787)&gt;1,"⚠ 重複打卡","OK")))</f>
        <v/>
      </c>
    </row>
    <row r="1788">
      <c r="A1788" s="20" t="n"/>
      <c r="B1788" s="18" t="n"/>
      <c r="C1788" s="81" t="n"/>
      <c r="D1788" s="81" t="n"/>
      <c r="E1788" s="16">
        <f>IF($A1788="","",$A1788&amp;"|"&amp;DAY($B1788))</f>
        <v/>
      </c>
      <c r="F1788" s="16">
        <f>IF($A1788="","",IF(COUNTIF(設定!$B$62:$B$201,$A1788)=0,"⚠ 查無員編",IF(COUNTIF($E$3:$E$2002,$E1788)&gt;1,"⚠ 重複打卡","OK")))</f>
        <v/>
      </c>
    </row>
    <row r="1789">
      <c r="A1789" s="20" t="n"/>
      <c r="B1789" s="18" t="n"/>
      <c r="C1789" s="81" t="n"/>
      <c r="D1789" s="81" t="n"/>
      <c r="E1789" s="16">
        <f>IF($A1789="","",$A1789&amp;"|"&amp;DAY($B1789))</f>
        <v/>
      </c>
      <c r="F1789" s="16">
        <f>IF($A1789="","",IF(COUNTIF(設定!$B$62:$B$201,$A1789)=0,"⚠ 查無員編",IF(COUNTIF($E$3:$E$2002,$E1789)&gt;1,"⚠ 重複打卡","OK")))</f>
        <v/>
      </c>
    </row>
    <row r="1790">
      <c r="A1790" s="20" t="n"/>
      <c r="B1790" s="18" t="n"/>
      <c r="C1790" s="81" t="n"/>
      <c r="D1790" s="81" t="n"/>
      <c r="E1790" s="16">
        <f>IF($A1790="","",$A1790&amp;"|"&amp;DAY($B1790))</f>
        <v/>
      </c>
      <c r="F1790" s="16">
        <f>IF($A1790="","",IF(COUNTIF(設定!$B$62:$B$201,$A1790)=0,"⚠ 查無員編",IF(COUNTIF($E$3:$E$2002,$E1790)&gt;1,"⚠ 重複打卡","OK")))</f>
        <v/>
      </c>
    </row>
    <row r="1791">
      <c r="A1791" s="20" t="n"/>
      <c r="B1791" s="18" t="n"/>
      <c r="C1791" s="81" t="n"/>
      <c r="D1791" s="81" t="n"/>
      <c r="E1791" s="16">
        <f>IF($A1791="","",$A1791&amp;"|"&amp;DAY($B1791))</f>
        <v/>
      </c>
      <c r="F1791" s="16">
        <f>IF($A1791="","",IF(COUNTIF(設定!$B$62:$B$201,$A1791)=0,"⚠ 查無員編",IF(COUNTIF($E$3:$E$2002,$E1791)&gt;1,"⚠ 重複打卡","OK")))</f>
        <v/>
      </c>
    </row>
    <row r="1792">
      <c r="A1792" s="20" t="n"/>
      <c r="B1792" s="18" t="n"/>
      <c r="C1792" s="81" t="n"/>
      <c r="D1792" s="81" t="n"/>
      <c r="E1792" s="16">
        <f>IF($A1792="","",$A1792&amp;"|"&amp;DAY($B1792))</f>
        <v/>
      </c>
      <c r="F1792" s="16">
        <f>IF($A1792="","",IF(COUNTIF(設定!$B$62:$B$201,$A1792)=0,"⚠ 查無員編",IF(COUNTIF($E$3:$E$2002,$E1792)&gt;1,"⚠ 重複打卡","OK")))</f>
        <v/>
      </c>
    </row>
    <row r="1793">
      <c r="A1793" s="20" t="n"/>
      <c r="B1793" s="18" t="n"/>
      <c r="C1793" s="81" t="n"/>
      <c r="D1793" s="81" t="n"/>
      <c r="E1793" s="16">
        <f>IF($A1793="","",$A1793&amp;"|"&amp;DAY($B1793))</f>
        <v/>
      </c>
      <c r="F1793" s="16">
        <f>IF($A1793="","",IF(COUNTIF(設定!$B$62:$B$201,$A1793)=0,"⚠ 查無員編",IF(COUNTIF($E$3:$E$2002,$E1793)&gt;1,"⚠ 重複打卡","OK")))</f>
        <v/>
      </c>
    </row>
    <row r="1794">
      <c r="A1794" s="20" t="n"/>
      <c r="B1794" s="18" t="n"/>
      <c r="C1794" s="81" t="n"/>
      <c r="D1794" s="81" t="n"/>
      <c r="E1794" s="16">
        <f>IF($A1794="","",$A1794&amp;"|"&amp;DAY($B1794))</f>
        <v/>
      </c>
      <c r="F1794" s="16">
        <f>IF($A1794="","",IF(COUNTIF(設定!$B$62:$B$201,$A1794)=0,"⚠ 查無員編",IF(COUNTIF($E$3:$E$2002,$E1794)&gt;1,"⚠ 重複打卡","OK")))</f>
        <v/>
      </c>
    </row>
    <row r="1795">
      <c r="A1795" s="20" t="n"/>
      <c r="B1795" s="18" t="n"/>
      <c r="C1795" s="81" t="n"/>
      <c r="D1795" s="81" t="n"/>
      <c r="E1795" s="16">
        <f>IF($A1795="","",$A1795&amp;"|"&amp;DAY($B1795))</f>
        <v/>
      </c>
      <c r="F1795" s="16">
        <f>IF($A1795="","",IF(COUNTIF(設定!$B$62:$B$201,$A1795)=0,"⚠ 查無員編",IF(COUNTIF($E$3:$E$2002,$E1795)&gt;1,"⚠ 重複打卡","OK")))</f>
        <v/>
      </c>
    </row>
    <row r="1796">
      <c r="A1796" s="20" t="n"/>
      <c r="B1796" s="18" t="n"/>
      <c r="C1796" s="81" t="n"/>
      <c r="D1796" s="81" t="n"/>
      <c r="E1796" s="16">
        <f>IF($A1796="","",$A1796&amp;"|"&amp;DAY($B1796))</f>
        <v/>
      </c>
      <c r="F1796" s="16">
        <f>IF($A1796="","",IF(COUNTIF(設定!$B$62:$B$201,$A1796)=0,"⚠ 查無員編",IF(COUNTIF($E$3:$E$2002,$E1796)&gt;1,"⚠ 重複打卡","OK")))</f>
        <v/>
      </c>
    </row>
    <row r="1797">
      <c r="A1797" s="20" t="n"/>
      <c r="B1797" s="18" t="n"/>
      <c r="C1797" s="81" t="n"/>
      <c r="D1797" s="81" t="n"/>
      <c r="E1797" s="16">
        <f>IF($A1797="","",$A1797&amp;"|"&amp;DAY($B1797))</f>
        <v/>
      </c>
      <c r="F1797" s="16">
        <f>IF($A1797="","",IF(COUNTIF(設定!$B$62:$B$201,$A1797)=0,"⚠ 查無員編",IF(COUNTIF($E$3:$E$2002,$E1797)&gt;1,"⚠ 重複打卡","OK")))</f>
        <v/>
      </c>
    </row>
    <row r="1798">
      <c r="A1798" s="20" t="n"/>
      <c r="B1798" s="18" t="n"/>
      <c r="C1798" s="81" t="n"/>
      <c r="D1798" s="81" t="n"/>
      <c r="E1798" s="16">
        <f>IF($A1798="","",$A1798&amp;"|"&amp;DAY($B1798))</f>
        <v/>
      </c>
      <c r="F1798" s="16">
        <f>IF($A1798="","",IF(COUNTIF(設定!$B$62:$B$201,$A1798)=0,"⚠ 查無員編",IF(COUNTIF($E$3:$E$2002,$E1798)&gt;1,"⚠ 重複打卡","OK")))</f>
        <v/>
      </c>
    </row>
    <row r="1799">
      <c r="A1799" s="20" t="n"/>
      <c r="B1799" s="18" t="n"/>
      <c r="C1799" s="81" t="n"/>
      <c r="D1799" s="81" t="n"/>
      <c r="E1799" s="16">
        <f>IF($A1799="","",$A1799&amp;"|"&amp;DAY($B1799))</f>
        <v/>
      </c>
      <c r="F1799" s="16">
        <f>IF($A1799="","",IF(COUNTIF(設定!$B$62:$B$201,$A1799)=0,"⚠ 查無員編",IF(COUNTIF($E$3:$E$2002,$E1799)&gt;1,"⚠ 重複打卡","OK")))</f>
        <v/>
      </c>
    </row>
    <row r="1800">
      <c r="A1800" s="20" t="n"/>
      <c r="B1800" s="18" t="n"/>
      <c r="C1800" s="81" t="n"/>
      <c r="D1800" s="81" t="n"/>
      <c r="E1800" s="16">
        <f>IF($A1800="","",$A1800&amp;"|"&amp;DAY($B1800))</f>
        <v/>
      </c>
      <c r="F1800" s="16">
        <f>IF($A1800="","",IF(COUNTIF(設定!$B$62:$B$201,$A1800)=0,"⚠ 查無員編",IF(COUNTIF($E$3:$E$2002,$E1800)&gt;1,"⚠ 重複打卡","OK")))</f>
        <v/>
      </c>
    </row>
    <row r="1801">
      <c r="A1801" s="20" t="n"/>
      <c r="B1801" s="18" t="n"/>
      <c r="C1801" s="81" t="n"/>
      <c r="D1801" s="81" t="n"/>
      <c r="E1801" s="16">
        <f>IF($A1801="","",$A1801&amp;"|"&amp;DAY($B1801))</f>
        <v/>
      </c>
      <c r="F1801" s="16">
        <f>IF($A1801="","",IF(COUNTIF(設定!$B$62:$B$201,$A1801)=0,"⚠ 查無員編",IF(COUNTIF($E$3:$E$2002,$E1801)&gt;1,"⚠ 重複打卡","OK")))</f>
        <v/>
      </c>
    </row>
    <row r="1802">
      <c r="A1802" s="20" t="n"/>
      <c r="B1802" s="18" t="n"/>
      <c r="C1802" s="81" t="n"/>
      <c r="D1802" s="81" t="n"/>
      <c r="E1802" s="16">
        <f>IF($A1802="","",$A1802&amp;"|"&amp;DAY($B1802))</f>
        <v/>
      </c>
      <c r="F1802" s="16">
        <f>IF($A1802="","",IF(COUNTIF(設定!$B$62:$B$201,$A1802)=0,"⚠ 查無員編",IF(COUNTIF($E$3:$E$2002,$E1802)&gt;1,"⚠ 重複打卡","OK")))</f>
        <v/>
      </c>
    </row>
    <row r="1803">
      <c r="A1803" s="20" t="n"/>
      <c r="B1803" s="18" t="n"/>
      <c r="C1803" s="81" t="n"/>
      <c r="D1803" s="81" t="n"/>
      <c r="E1803" s="16">
        <f>IF($A1803="","",$A1803&amp;"|"&amp;DAY($B1803))</f>
        <v/>
      </c>
      <c r="F1803" s="16">
        <f>IF($A1803="","",IF(COUNTIF(設定!$B$62:$B$201,$A1803)=0,"⚠ 查無員編",IF(COUNTIF($E$3:$E$2002,$E1803)&gt;1,"⚠ 重複打卡","OK")))</f>
        <v/>
      </c>
    </row>
    <row r="1804">
      <c r="A1804" s="20" t="n"/>
      <c r="B1804" s="18" t="n"/>
      <c r="C1804" s="81" t="n"/>
      <c r="D1804" s="81" t="n"/>
      <c r="E1804" s="16">
        <f>IF($A1804="","",$A1804&amp;"|"&amp;DAY($B1804))</f>
        <v/>
      </c>
      <c r="F1804" s="16">
        <f>IF($A1804="","",IF(COUNTIF(設定!$B$62:$B$201,$A1804)=0,"⚠ 查無員編",IF(COUNTIF($E$3:$E$2002,$E1804)&gt;1,"⚠ 重複打卡","OK")))</f>
        <v/>
      </c>
    </row>
    <row r="1805">
      <c r="A1805" s="20" t="n"/>
      <c r="B1805" s="18" t="n"/>
      <c r="C1805" s="81" t="n"/>
      <c r="D1805" s="81" t="n"/>
      <c r="E1805" s="16">
        <f>IF($A1805="","",$A1805&amp;"|"&amp;DAY($B1805))</f>
        <v/>
      </c>
      <c r="F1805" s="16">
        <f>IF($A1805="","",IF(COUNTIF(設定!$B$62:$B$201,$A1805)=0,"⚠ 查無員編",IF(COUNTIF($E$3:$E$2002,$E1805)&gt;1,"⚠ 重複打卡","OK")))</f>
        <v/>
      </c>
    </row>
    <row r="1806">
      <c r="A1806" s="20" t="n"/>
      <c r="B1806" s="18" t="n"/>
      <c r="C1806" s="81" t="n"/>
      <c r="D1806" s="81" t="n"/>
      <c r="E1806" s="16">
        <f>IF($A1806="","",$A1806&amp;"|"&amp;DAY($B1806))</f>
        <v/>
      </c>
      <c r="F1806" s="16">
        <f>IF($A1806="","",IF(COUNTIF(設定!$B$62:$B$201,$A1806)=0,"⚠ 查無員編",IF(COUNTIF($E$3:$E$2002,$E1806)&gt;1,"⚠ 重複打卡","OK")))</f>
        <v/>
      </c>
    </row>
    <row r="1807">
      <c r="A1807" s="20" t="n"/>
      <c r="B1807" s="18" t="n"/>
      <c r="C1807" s="81" t="n"/>
      <c r="D1807" s="81" t="n"/>
      <c r="E1807" s="16">
        <f>IF($A1807="","",$A1807&amp;"|"&amp;DAY($B1807))</f>
        <v/>
      </c>
      <c r="F1807" s="16">
        <f>IF($A1807="","",IF(COUNTIF(設定!$B$62:$B$201,$A1807)=0,"⚠ 查無員編",IF(COUNTIF($E$3:$E$2002,$E1807)&gt;1,"⚠ 重複打卡","OK")))</f>
        <v/>
      </c>
    </row>
    <row r="1808">
      <c r="A1808" s="20" t="n"/>
      <c r="B1808" s="18" t="n"/>
      <c r="C1808" s="81" t="n"/>
      <c r="D1808" s="81" t="n"/>
      <c r="E1808" s="16">
        <f>IF($A1808="","",$A1808&amp;"|"&amp;DAY($B1808))</f>
        <v/>
      </c>
      <c r="F1808" s="16">
        <f>IF($A1808="","",IF(COUNTIF(設定!$B$62:$B$201,$A1808)=0,"⚠ 查無員編",IF(COUNTIF($E$3:$E$2002,$E1808)&gt;1,"⚠ 重複打卡","OK")))</f>
        <v/>
      </c>
    </row>
    <row r="1809">
      <c r="A1809" s="20" t="n"/>
      <c r="B1809" s="18" t="n"/>
      <c r="C1809" s="81" t="n"/>
      <c r="D1809" s="81" t="n"/>
      <c r="E1809" s="16">
        <f>IF($A1809="","",$A1809&amp;"|"&amp;DAY($B1809))</f>
        <v/>
      </c>
      <c r="F1809" s="16">
        <f>IF($A1809="","",IF(COUNTIF(設定!$B$62:$B$201,$A1809)=0,"⚠ 查無員編",IF(COUNTIF($E$3:$E$2002,$E1809)&gt;1,"⚠ 重複打卡","OK")))</f>
        <v/>
      </c>
    </row>
    <row r="1810">
      <c r="A1810" s="20" t="n"/>
      <c r="B1810" s="18" t="n"/>
      <c r="C1810" s="81" t="n"/>
      <c r="D1810" s="81" t="n"/>
      <c r="E1810" s="16">
        <f>IF($A1810="","",$A1810&amp;"|"&amp;DAY($B1810))</f>
        <v/>
      </c>
      <c r="F1810" s="16">
        <f>IF($A1810="","",IF(COUNTIF(設定!$B$62:$B$201,$A1810)=0,"⚠ 查無員編",IF(COUNTIF($E$3:$E$2002,$E1810)&gt;1,"⚠ 重複打卡","OK")))</f>
        <v/>
      </c>
    </row>
    <row r="1811">
      <c r="A1811" s="20" t="n"/>
      <c r="B1811" s="18" t="n"/>
      <c r="C1811" s="81" t="n"/>
      <c r="D1811" s="81" t="n"/>
      <c r="E1811" s="16">
        <f>IF($A1811="","",$A1811&amp;"|"&amp;DAY($B1811))</f>
        <v/>
      </c>
      <c r="F1811" s="16">
        <f>IF($A1811="","",IF(COUNTIF(設定!$B$62:$B$201,$A1811)=0,"⚠ 查無員編",IF(COUNTIF($E$3:$E$2002,$E1811)&gt;1,"⚠ 重複打卡","OK")))</f>
        <v/>
      </c>
    </row>
    <row r="1812">
      <c r="A1812" s="20" t="n"/>
      <c r="B1812" s="18" t="n"/>
      <c r="C1812" s="81" t="n"/>
      <c r="D1812" s="81" t="n"/>
      <c r="E1812" s="16">
        <f>IF($A1812="","",$A1812&amp;"|"&amp;DAY($B1812))</f>
        <v/>
      </c>
      <c r="F1812" s="16">
        <f>IF($A1812="","",IF(COUNTIF(設定!$B$62:$B$201,$A1812)=0,"⚠ 查無員編",IF(COUNTIF($E$3:$E$2002,$E1812)&gt;1,"⚠ 重複打卡","OK")))</f>
        <v/>
      </c>
    </row>
    <row r="1813">
      <c r="A1813" s="20" t="n"/>
      <c r="B1813" s="18" t="n"/>
      <c r="C1813" s="81" t="n"/>
      <c r="D1813" s="81" t="n"/>
      <c r="E1813" s="16">
        <f>IF($A1813="","",$A1813&amp;"|"&amp;DAY($B1813))</f>
        <v/>
      </c>
      <c r="F1813" s="16">
        <f>IF($A1813="","",IF(COUNTIF(設定!$B$62:$B$201,$A1813)=0,"⚠ 查無員編",IF(COUNTIF($E$3:$E$2002,$E1813)&gt;1,"⚠ 重複打卡","OK")))</f>
        <v/>
      </c>
    </row>
    <row r="1814">
      <c r="A1814" s="20" t="n"/>
      <c r="B1814" s="18" t="n"/>
      <c r="C1814" s="81" t="n"/>
      <c r="D1814" s="81" t="n"/>
      <c r="E1814" s="16">
        <f>IF($A1814="","",$A1814&amp;"|"&amp;DAY($B1814))</f>
        <v/>
      </c>
      <c r="F1814" s="16">
        <f>IF($A1814="","",IF(COUNTIF(設定!$B$62:$B$201,$A1814)=0,"⚠ 查無員編",IF(COUNTIF($E$3:$E$2002,$E1814)&gt;1,"⚠ 重複打卡","OK")))</f>
        <v/>
      </c>
    </row>
    <row r="1815">
      <c r="A1815" s="20" t="n"/>
      <c r="B1815" s="18" t="n"/>
      <c r="C1815" s="81" t="n"/>
      <c r="D1815" s="81" t="n"/>
      <c r="E1815" s="16">
        <f>IF($A1815="","",$A1815&amp;"|"&amp;DAY($B1815))</f>
        <v/>
      </c>
      <c r="F1815" s="16">
        <f>IF($A1815="","",IF(COUNTIF(設定!$B$62:$B$201,$A1815)=0,"⚠ 查無員編",IF(COUNTIF($E$3:$E$2002,$E1815)&gt;1,"⚠ 重複打卡","OK")))</f>
        <v/>
      </c>
    </row>
    <row r="1816">
      <c r="A1816" s="20" t="n"/>
      <c r="B1816" s="18" t="n"/>
      <c r="C1816" s="81" t="n"/>
      <c r="D1816" s="81" t="n"/>
      <c r="E1816" s="16">
        <f>IF($A1816="","",$A1816&amp;"|"&amp;DAY($B1816))</f>
        <v/>
      </c>
      <c r="F1816" s="16">
        <f>IF($A1816="","",IF(COUNTIF(設定!$B$62:$B$201,$A1816)=0,"⚠ 查無員編",IF(COUNTIF($E$3:$E$2002,$E1816)&gt;1,"⚠ 重複打卡","OK")))</f>
        <v/>
      </c>
    </row>
    <row r="1817">
      <c r="A1817" s="20" t="n"/>
      <c r="B1817" s="18" t="n"/>
      <c r="C1817" s="81" t="n"/>
      <c r="D1817" s="81" t="n"/>
      <c r="E1817" s="16">
        <f>IF($A1817="","",$A1817&amp;"|"&amp;DAY($B1817))</f>
        <v/>
      </c>
      <c r="F1817" s="16">
        <f>IF($A1817="","",IF(COUNTIF(設定!$B$62:$B$201,$A1817)=0,"⚠ 查無員編",IF(COUNTIF($E$3:$E$2002,$E1817)&gt;1,"⚠ 重複打卡","OK")))</f>
        <v/>
      </c>
    </row>
    <row r="1818">
      <c r="A1818" s="20" t="n"/>
      <c r="B1818" s="18" t="n"/>
      <c r="C1818" s="81" t="n"/>
      <c r="D1818" s="81" t="n"/>
      <c r="E1818" s="16">
        <f>IF($A1818="","",$A1818&amp;"|"&amp;DAY($B1818))</f>
        <v/>
      </c>
      <c r="F1818" s="16">
        <f>IF($A1818="","",IF(COUNTIF(設定!$B$62:$B$201,$A1818)=0,"⚠ 查無員編",IF(COUNTIF($E$3:$E$2002,$E1818)&gt;1,"⚠ 重複打卡","OK")))</f>
        <v/>
      </c>
    </row>
    <row r="1819">
      <c r="A1819" s="20" t="n"/>
      <c r="B1819" s="18" t="n"/>
      <c r="C1819" s="81" t="n"/>
      <c r="D1819" s="81" t="n"/>
      <c r="E1819" s="16">
        <f>IF($A1819="","",$A1819&amp;"|"&amp;DAY($B1819))</f>
        <v/>
      </c>
      <c r="F1819" s="16">
        <f>IF($A1819="","",IF(COUNTIF(設定!$B$62:$B$201,$A1819)=0,"⚠ 查無員編",IF(COUNTIF($E$3:$E$2002,$E1819)&gt;1,"⚠ 重複打卡","OK")))</f>
        <v/>
      </c>
    </row>
    <row r="1820">
      <c r="A1820" s="20" t="n"/>
      <c r="B1820" s="18" t="n"/>
      <c r="C1820" s="81" t="n"/>
      <c r="D1820" s="81" t="n"/>
      <c r="E1820" s="16">
        <f>IF($A1820="","",$A1820&amp;"|"&amp;DAY($B1820))</f>
        <v/>
      </c>
      <c r="F1820" s="16">
        <f>IF($A1820="","",IF(COUNTIF(設定!$B$62:$B$201,$A1820)=0,"⚠ 查無員編",IF(COUNTIF($E$3:$E$2002,$E1820)&gt;1,"⚠ 重複打卡","OK")))</f>
        <v/>
      </c>
    </row>
    <row r="1821">
      <c r="A1821" s="20" t="n"/>
      <c r="B1821" s="18" t="n"/>
      <c r="C1821" s="81" t="n"/>
      <c r="D1821" s="81" t="n"/>
      <c r="E1821" s="16">
        <f>IF($A1821="","",$A1821&amp;"|"&amp;DAY($B1821))</f>
        <v/>
      </c>
      <c r="F1821" s="16">
        <f>IF($A1821="","",IF(COUNTIF(設定!$B$62:$B$201,$A1821)=0,"⚠ 查無員編",IF(COUNTIF($E$3:$E$2002,$E1821)&gt;1,"⚠ 重複打卡","OK")))</f>
        <v/>
      </c>
    </row>
    <row r="1822">
      <c r="A1822" s="20" t="n"/>
      <c r="B1822" s="18" t="n"/>
      <c r="C1822" s="81" t="n"/>
      <c r="D1822" s="81" t="n"/>
      <c r="E1822" s="16">
        <f>IF($A1822="","",$A1822&amp;"|"&amp;DAY($B1822))</f>
        <v/>
      </c>
      <c r="F1822" s="16">
        <f>IF($A1822="","",IF(COUNTIF(設定!$B$62:$B$201,$A1822)=0,"⚠ 查無員編",IF(COUNTIF($E$3:$E$2002,$E1822)&gt;1,"⚠ 重複打卡","OK")))</f>
        <v/>
      </c>
    </row>
    <row r="1823">
      <c r="A1823" s="20" t="n"/>
      <c r="B1823" s="18" t="n"/>
      <c r="C1823" s="81" t="n"/>
      <c r="D1823" s="81" t="n"/>
      <c r="E1823" s="16">
        <f>IF($A1823="","",$A1823&amp;"|"&amp;DAY($B1823))</f>
        <v/>
      </c>
      <c r="F1823" s="16">
        <f>IF($A1823="","",IF(COUNTIF(設定!$B$62:$B$201,$A1823)=0,"⚠ 查無員編",IF(COUNTIF($E$3:$E$2002,$E1823)&gt;1,"⚠ 重複打卡","OK")))</f>
        <v/>
      </c>
    </row>
    <row r="1824">
      <c r="A1824" s="20" t="n"/>
      <c r="B1824" s="18" t="n"/>
      <c r="C1824" s="81" t="n"/>
      <c r="D1824" s="81" t="n"/>
      <c r="E1824" s="16">
        <f>IF($A1824="","",$A1824&amp;"|"&amp;DAY($B1824))</f>
        <v/>
      </c>
      <c r="F1824" s="16">
        <f>IF($A1824="","",IF(COUNTIF(設定!$B$62:$B$201,$A1824)=0,"⚠ 查無員編",IF(COUNTIF($E$3:$E$2002,$E1824)&gt;1,"⚠ 重複打卡","OK")))</f>
        <v/>
      </c>
    </row>
    <row r="1825">
      <c r="A1825" s="20" t="n"/>
      <c r="B1825" s="18" t="n"/>
      <c r="C1825" s="81" t="n"/>
      <c r="D1825" s="81" t="n"/>
      <c r="E1825" s="16">
        <f>IF($A1825="","",$A1825&amp;"|"&amp;DAY($B1825))</f>
        <v/>
      </c>
      <c r="F1825" s="16">
        <f>IF($A1825="","",IF(COUNTIF(設定!$B$62:$B$201,$A1825)=0,"⚠ 查無員編",IF(COUNTIF($E$3:$E$2002,$E1825)&gt;1,"⚠ 重複打卡","OK")))</f>
        <v/>
      </c>
    </row>
    <row r="1826">
      <c r="A1826" s="20" t="n"/>
      <c r="B1826" s="18" t="n"/>
      <c r="C1826" s="81" t="n"/>
      <c r="D1826" s="81" t="n"/>
      <c r="E1826" s="16">
        <f>IF($A1826="","",$A1826&amp;"|"&amp;DAY($B1826))</f>
        <v/>
      </c>
      <c r="F1826" s="16">
        <f>IF($A1826="","",IF(COUNTIF(設定!$B$62:$B$201,$A1826)=0,"⚠ 查無員編",IF(COUNTIF($E$3:$E$2002,$E1826)&gt;1,"⚠ 重複打卡","OK")))</f>
        <v/>
      </c>
    </row>
    <row r="1827">
      <c r="A1827" s="20" t="n"/>
      <c r="B1827" s="18" t="n"/>
      <c r="C1827" s="81" t="n"/>
      <c r="D1827" s="81" t="n"/>
      <c r="E1827" s="16">
        <f>IF($A1827="","",$A1827&amp;"|"&amp;DAY($B1827))</f>
        <v/>
      </c>
      <c r="F1827" s="16">
        <f>IF($A1827="","",IF(COUNTIF(設定!$B$62:$B$201,$A1827)=0,"⚠ 查無員編",IF(COUNTIF($E$3:$E$2002,$E1827)&gt;1,"⚠ 重複打卡","OK")))</f>
        <v/>
      </c>
    </row>
    <row r="1828">
      <c r="A1828" s="20" t="n"/>
      <c r="B1828" s="18" t="n"/>
      <c r="C1828" s="81" t="n"/>
      <c r="D1828" s="81" t="n"/>
      <c r="E1828" s="16">
        <f>IF($A1828="","",$A1828&amp;"|"&amp;DAY($B1828))</f>
        <v/>
      </c>
      <c r="F1828" s="16">
        <f>IF($A1828="","",IF(COUNTIF(設定!$B$62:$B$201,$A1828)=0,"⚠ 查無員編",IF(COUNTIF($E$3:$E$2002,$E1828)&gt;1,"⚠ 重複打卡","OK")))</f>
        <v/>
      </c>
    </row>
    <row r="1829">
      <c r="A1829" s="20" t="n"/>
      <c r="B1829" s="18" t="n"/>
      <c r="C1829" s="81" t="n"/>
      <c r="D1829" s="81" t="n"/>
      <c r="E1829" s="16">
        <f>IF($A1829="","",$A1829&amp;"|"&amp;DAY($B1829))</f>
        <v/>
      </c>
      <c r="F1829" s="16">
        <f>IF($A1829="","",IF(COUNTIF(設定!$B$62:$B$201,$A1829)=0,"⚠ 查無員編",IF(COUNTIF($E$3:$E$2002,$E1829)&gt;1,"⚠ 重複打卡","OK")))</f>
        <v/>
      </c>
    </row>
    <row r="1830">
      <c r="A1830" s="20" t="n"/>
      <c r="B1830" s="18" t="n"/>
      <c r="C1830" s="81" t="n"/>
      <c r="D1830" s="81" t="n"/>
      <c r="E1830" s="16">
        <f>IF($A1830="","",$A1830&amp;"|"&amp;DAY($B1830))</f>
        <v/>
      </c>
      <c r="F1830" s="16">
        <f>IF($A1830="","",IF(COUNTIF(設定!$B$62:$B$201,$A1830)=0,"⚠ 查無員編",IF(COUNTIF($E$3:$E$2002,$E1830)&gt;1,"⚠ 重複打卡","OK")))</f>
        <v/>
      </c>
    </row>
    <row r="1831">
      <c r="A1831" s="20" t="n"/>
      <c r="B1831" s="18" t="n"/>
      <c r="C1831" s="81" t="n"/>
      <c r="D1831" s="81" t="n"/>
      <c r="E1831" s="16">
        <f>IF($A1831="","",$A1831&amp;"|"&amp;DAY($B1831))</f>
        <v/>
      </c>
      <c r="F1831" s="16">
        <f>IF($A1831="","",IF(COUNTIF(設定!$B$62:$B$201,$A1831)=0,"⚠ 查無員編",IF(COUNTIF($E$3:$E$2002,$E1831)&gt;1,"⚠ 重複打卡","OK")))</f>
        <v/>
      </c>
    </row>
    <row r="1832">
      <c r="A1832" s="20" t="n"/>
      <c r="B1832" s="18" t="n"/>
      <c r="C1832" s="81" t="n"/>
      <c r="D1832" s="81" t="n"/>
      <c r="E1832" s="16">
        <f>IF($A1832="","",$A1832&amp;"|"&amp;DAY($B1832))</f>
        <v/>
      </c>
      <c r="F1832" s="16">
        <f>IF($A1832="","",IF(COUNTIF(設定!$B$62:$B$201,$A1832)=0,"⚠ 查無員編",IF(COUNTIF($E$3:$E$2002,$E1832)&gt;1,"⚠ 重複打卡","OK")))</f>
        <v/>
      </c>
    </row>
    <row r="1833">
      <c r="A1833" s="20" t="n"/>
      <c r="B1833" s="18" t="n"/>
      <c r="C1833" s="81" t="n"/>
      <c r="D1833" s="81" t="n"/>
      <c r="E1833" s="16">
        <f>IF($A1833="","",$A1833&amp;"|"&amp;DAY($B1833))</f>
        <v/>
      </c>
      <c r="F1833" s="16">
        <f>IF($A1833="","",IF(COUNTIF(設定!$B$62:$B$201,$A1833)=0,"⚠ 查無員編",IF(COUNTIF($E$3:$E$2002,$E1833)&gt;1,"⚠ 重複打卡","OK")))</f>
        <v/>
      </c>
    </row>
    <row r="1834">
      <c r="A1834" s="20" t="n"/>
      <c r="B1834" s="18" t="n"/>
      <c r="C1834" s="81" t="n"/>
      <c r="D1834" s="81" t="n"/>
      <c r="E1834" s="16">
        <f>IF($A1834="","",$A1834&amp;"|"&amp;DAY($B1834))</f>
        <v/>
      </c>
      <c r="F1834" s="16">
        <f>IF($A1834="","",IF(COUNTIF(設定!$B$62:$B$201,$A1834)=0,"⚠ 查無員編",IF(COUNTIF($E$3:$E$2002,$E1834)&gt;1,"⚠ 重複打卡","OK")))</f>
        <v/>
      </c>
    </row>
    <row r="1835">
      <c r="A1835" s="20" t="n"/>
      <c r="B1835" s="18" t="n"/>
      <c r="C1835" s="81" t="n"/>
      <c r="D1835" s="81" t="n"/>
      <c r="E1835" s="16">
        <f>IF($A1835="","",$A1835&amp;"|"&amp;DAY($B1835))</f>
        <v/>
      </c>
      <c r="F1835" s="16">
        <f>IF($A1835="","",IF(COUNTIF(設定!$B$62:$B$201,$A1835)=0,"⚠ 查無員編",IF(COUNTIF($E$3:$E$2002,$E1835)&gt;1,"⚠ 重複打卡","OK")))</f>
        <v/>
      </c>
    </row>
    <row r="1836">
      <c r="A1836" s="20" t="n"/>
      <c r="B1836" s="18" t="n"/>
      <c r="C1836" s="81" t="n"/>
      <c r="D1836" s="81" t="n"/>
      <c r="E1836" s="16">
        <f>IF($A1836="","",$A1836&amp;"|"&amp;DAY($B1836))</f>
        <v/>
      </c>
      <c r="F1836" s="16">
        <f>IF($A1836="","",IF(COUNTIF(設定!$B$62:$B$201,$A1836)=0,"⚠ 查無員編",IF(COUNTIF($E$3:$E$2002,$E1836)&gt;1,"⚠ 重複打卡","OK")))</f>
        <v/>
      </c>
    </row>
    <row r="1837">
      <c r="A1837" s="20" t="n"/>
      <c r="B1837" s="18" t="n"/>
      <c r="C1837" s="81" t="n"/>
      <c r="D1837" s="81" t="n"/>
      <c r="E1837" s="16">
        <f>IF($A1837="","",$A1837&amp;"|"&amp;DAY($B1837))</f>
        <v/>
      </c>
      <c r="F1837" s="16">
        <f>IF($A1837="","",IF(COUNTIF(設定!$B$62:$B$201,$A1837)=0,"⚠ 查無員編",IF(COUNTIF($E$3:$E$2002,$E1837)&gt;1,"⚠ 重複打卡","OK")))</f>
        <v/>
      </c>
    </row>
    <row r="1838">
      <c r="A1838" s="20" t="n"/>
      <c r="B1838" s="18" t="n"/>
      <c r="C1838" s="81" t="n"/>
      <c r="D1838" s="81" t="n"/>
      <c r="E1838" s="16">
        <f>IF($A1838="","",$A1838&amp;"|"&amp;DAY($B1838))</f>
        <v/>
      </c>
      <c r="F1838" s="16">
        <f>IF($A1838="","",IF(COUNTIF(設定!$B$62:$B$201,$A1838)=0,"⚠ 查無員編",IF(COUNTIF($E$3:$E$2002,$E1838)&gt;1,"⚠ 重複打卡","OK")))</f>
        <v/>
      </c>
    </row>
    <row r="1839">
      <c r="A1839" s="20" t="n"/>
      <c r="B1839" s="18" t="n"/>
      <c r="C1839" s="81" t="n"/>
      <c r="D1839" s="81" t="n"/>
      <c r="E1839" s="16">
        <f>IF($A1839="","",$A1839&amp;"|"&amp;DAY($B1839))</f>
        <v/>
      </c>
      <c r="F1839" s="16">
        <f>IF($A1839="","",IF(COUNTIF(設定!$B$62:$B$201,$A1839)=0,"⚠ 查無員編",IF(COUNTIF($E$3:$E$2002,$E1839)&gt;1,"⚠ 重複打卡","OK")))</f>
        <v/>
      </c>
    </row>
    <row r="1840">
      <c r="A1840" s="20" t="n"/>
      <c r="B1840" s="18" t="n"/>
      <c r="C1840" s="81" t="n"/>
      <c r="D1840" s="81" t="n"/>
      <c r="E1840" s="16">
        <f>IF($A1840="","",$A1840&amp;"|"&amp;DAY($B1840))</f>
        <v/>
      </c>
      <c r="F1840" s="16">
        <f>IF($A1840="","",IF(COUNTIF(設定!$B$62:$B$201,$A1840)=0,"⚠ 查無員編",IF(COUNTIF($E$3:$E$2002,$E1840)&gt;1,"⚠ 重複打卡","OK")))</f>
        <v/>
      </c>
    </row>
    <row r="1841">
      <c r="A1841" s="20" t="n"/>
      <c r="B1841" s="18" t="n"/>
      <c r="C1841" s="81" t="n"/>
      <c r="D1841" s="81" t="n"/>
      <c r="E1841" s="16">
        <f>IF($A1841="","",$A1841&amp;"|"&amp;DAY($B1841))</f>
        <v/>
      </c>
      <c r="F1841" s="16">
        <f>IF($A1841="","",IF(COUNTIF(設定!$B$62:$B$201,$A1841)=0,"⚠ 查無員編",IF(COUNTIF($E$3:$E$2002,$E1841)&gt;1,"⚠ 重複打卡","OK")))</f>
        <v/>
      </c>
    </row>
    <row r="1842">
      <c r="A1842" s="20" t="n"/>
      <c r="B1842" s="18" t="n"/>
      <c r="C1842" s="81" t="n"/>
      <c r="D1842" s="81" t="n"/>
      <c r="E1842" s="16">
        <f>IF($A1842="","",$A1842&amp;"|"&amp;DAY($B1842))</f>
        <v/>
      </c>
      <c r="F1842" s="16">
        <f>IF($A1842="","",IF(COUNTIF(設定!$B$62:$B$201,$A1842)=0,"⚠ 查無員編",IF(COUNTIF($E$3:$E$2002,$E1842)&gt;1,"⚠ 重複打卡","OK")))</f>
        <v/>
      </c>
    </row>
    <row r="1843">
      <c r="A1843" s="20" t="n"/>
      <c r="B1843" s="18" t="n"/>
      <c r="C1843" s="81" t="n"/>
      <c r="D1843" s="81" t="n"/>
      <c r="E1843" s="16">
        <f>IF($A1843="","",$A1843&amp;"|"&amp;DAY($B1843))</f>
        <v/>
      </c>
      <c r="F1843" s="16">
        <f>IF($A1843="","",IF(COUNTIF(設定!$B$62:$B$201,$A1843)=0,"⚠ 查無員編",IF(COUNTIF($E$3:$E$2002,$E1843)&gt;1,"⚠ 重複打卡","OK")))</f>
        <v/>
      </c>
    </row>
    <row r="1844">
      <c r="A1844" s="20" t="n"/>
      <c r="B1844" s="18" t="n"/>
      <c r="C1844" s="81" t="n"/>
      <c r="D1844" s="81" t="n"/>
      <c r="E1844" s="16">
        <f>IF($A1844="","",$A1844&amp;"|"&amp;DAY($B1844))</f>
        <v/>
      </c>
      <c r="F1844" s="16">
        <f>IF($A1844="","",IF(COUNTIF(設定!$B$62:$B$201,$A1844)=0,"⚠ 查無員編",IF(COUNTIF($E$3:$E$2002,$E1844)&gt;1,"⚠ 重複打卡","OK")))</f>
        <v/>
      </c>
    </row>
    <row r="1845">
      <c r="A1845" s="20" t="n"/>
      <c r="B1845" s="18" t="n"/>
      <c r="C1845" s="81" t="n"/>
      <c r="D1845" s="81" t="n"/>
      <c r="E1845" s="16">
        <f>IF($A1845="","",$A1845&amp;"|"&amp;DAY($B1845))</f>
        <v/>
      </c>
      <c r="F1845" s="16">
        <f>IF($A1845="","",IF(COUNTIF(設定!$B$62:$B$201,$A1845)=0,"⚠ 查無員編",IF(COUNTIF($E$3:$E$2002,$E1845)&gt;1,"⚠ 重複打卡","OK")))</f>
        <v/>
      </c>
    </row>
    <row r="1846">
      <c r="A1846" s="20" t="n"/>
      <c r="B1846" s="18" t="n"/>
      <c r="C1846" s="81" t="n"/>
      <c r="D1846" s="81" t="n"/>
      <c r="E1846" s="16">
        <f>IF($A1846="","",$A1846&amp;"|"&amp;DAY($B1846))</f>
        <v/>
      </c>
      <c r="F1846" s="16">
        <f>IF($A1846="","",IF(COUNTIF(設定!$B$62:$B$201,$A1846)=0,"⚠ 查無員編",IF(COUNTIF($E$3:$E$2002,$E1846)&gt;1,"⚠ 重複打卡","OK")))</f>
        <v/>
      </c>
    </row>
    <row r="1847">
      <c r="A1847" s="20" t="n"/>
      <c r="B1847" s="18" t="n"/>
      <c r="C1847" s="81" t="n"/>
      <c r="D1847" s="81" t="n"/>
      <c r="E1847" s="16">
        <f>IF($A1847="","",$A1847&amp;"|"&amp;DAY($B1847))</f>
        <v/>
      </c>
      <c r="F1847" s="16">
        <f>IF($A1847="","",IF(COUNTIF(設定!$B$62:$B$201,$A1847)=0,"⚠ 查無員編",IF(COUNTIF($E$3:$E$2002,$E1847)&gt;1,"⚠ 重複打卡","OK")))</f>
        <v/>
      </c>
    </row>
    <row r="1848">
      <c r="A1848" s="20" t="n"/>
      <c r="B1848" s="18" t="n"/>
      <c r="C1848" s="81" t="n"/>
      <c r="D1848" s="81" t="n"/>
      <c r="E1848" s="16">
        <f>IF($A1848="","",$A1848&amp;"|"&amp;DAY($B1848))</f>
        <v/>
      </c>
      <c r="F1848" s="16">
        <f>IF($A1848="","",IF(COUNTIF(設定!$B$62:$B$201,$A1848)=0,"⚠ 查無員編",IF(COUNTIF($E$3:$E$2002,$E1848)&gt;1,"⚠ 重複打卡","OK")))</f>
        <v/>
      </c>
    </row>
    <row r="1849">
      <c r="A1849" s="20" t="n"/>
      <c r="B1849" s="18" t="n"/>
      <c r="C1849" s="81" t="n"/>
      <c r="D1849" s="81" t="n"/>
      <c r="E1849" s="16">
        <f>IF($A1849="","",$A1849&amp;"|"&amp;DAY($B1849))</f>
        <v/>
      </c>
      <c r="F1849" s="16">
        <f>IF($A1849="","",IF(COUNTIF(設定!$B$62:$B$201,$A1849)=0,"⚠ 查無員編",IF(COUNTIF($E$3:$E$2002,$E1849)&gt;1,"⚠ 重複打卡","OK")))</f>
        <v/>
      </c>
    </row>
    <row r="1850">
      <c r="A1850" s="20" t="n"/>
      <c r="B1850" s="18" t="n"/>
      <c r="C1850" s="81" t="n"/>
      <c r="D1850" s="81" t="n"/>
      <c r="E1850" s="16">
        <f>IF($A1850="","",$A1850&amp;"|"&amp;DAY($B1850))</f>
        <v/>
      </c>
      <c r="F1850" s="16">
        <f>IF($A1850="","",IF(COUNTIF(設定!$B$62:$B$201,$A1850)=0,"⚠ 查無員編",IF(COUNTIF($E$3:$E$2002,$E1850)&gt;1,"⚠ 重複打卡","OK")))</f>
        <v/>
      </c>
    </row>
    <row r="1851">
      <c r="A1851" s="20" t="n"/>
      <c r="B1851" s="18" t="n"/>
      <c r="C1851" s="81" t="n"/>
      <c r="D1851" s="81" t="n"/>
      <c r="E1851" s="16">
        <f>IF($A1851="","",$A1851&amp;"|"&amp;DAY($B1851))</f>
        <v/>
      </c>
      <c r="F1851" s="16">
        <f>IF($A1851="","",IF(COUNTIF(設定!$B$62:$B$201,$A1851)=0,"⚠ 查無員編",IF(COUNTIF($E$3:$E$2002,$E1851)&gt;1,"⚠ 重複打卡","OK")))</f>
        <v/>
      </c>
    </row>
    <row r="1852">
      <c r="A1852" s="20" t="n"/>
      <c r="B1852" s="18" t="n"/>
      <c r="C1852" s="81" t="n"/>
      <c r="D1852" s="81" t="n"/>
      <c r="E1852" s="16">
        <f>IF($A1852="","",$A1852&amp;"|"&amp;DAY($B1852))</f>
        <v/>
      </c>
      <c r="F1852" s="16">
        <f>IF($A1852="","",IF(COUNTIF(設定!$B$62:$B$201,$A1852)=0,"⚠ 查無員編",IF(COUNTIF($E$3:$E$2002,$E1852)&gt;1,"⚠ 重複打卡","OK")))</f>
        <v/>
      </c>
    </row>
    <row r="1853">
      <c r="A1853" s="20" t="n"/>
      <c r="B1853" s="18" t="n"/>
      <c r="C1853" s="81" t="n"/>
      <c r="D1853" s="81" t="n"/>
      <c r="E1853" s="16">
        <f>IF($A1853="","",$A1853&amp;"|"&amp;DAY($B1853))</f>
        <v/>
      </c>
      <c r="F1853" s="16">
        <f>IF($A1853="","",IF(COUNTIF(設定!$B$62:$B$201,$A1853)=0,"⚠ 查無員編",IF(COUNTIF($E$3:$E$2002,$E1853)&gt;1,"⚠ 重複打卡","OK")))</f>
        <v/>
      </c>
    </row>
    <row r="1854">
      <c r="A1854" s="20" t="n"/>
      <c r="B1854" s="18" t="n"/>
      <c r="C1854" s="81" t="n"/>
      <c r="D1854" s="81" t="n"/>
      <c r="E1854" s="16">
        <f>IF($A1854="","",$A1854&amp;"|"&amp;DAY($B1854))</f>
        <v/>
      </c>
      <c r="F1854" s="16">
        <f>IF($A1854="","",IF(COUNTIF(設定!$B$62:$B$201,$A1854)=0,"⚠ 查無員編",IF(COUNTIF($E$3:$E$2002,$E1854)&gt;1,"⚠ 重複打卡","OK")))</f>
        <v/>
      </c>
    </row>
    <row r="1855">
      <c r="A1855" s="20" t="n"/>
      <c r="B1855" s="18" t="n"/>
      <c r="C1855" s="81" t="n"/>
      <c r="D1855" s="81" t="n"/>
      <c r="E1855" s="16">
        <f>IF($A1855="","",$A1855&amp;"|"&amp;DAY($B1855))</f>
        <v/>
      </c>
      <c r="F1855" s="16">
        <f>IF($A1855="","",IF(COUNTIF(設定!$B$62:$B$201,$A1855)=0,"⚠ 查無員編",IF(COUNTIF($E$3:$E$2002,$E1855)&gt;1,"⚠ 重複打卡","OK")))</f>
        <v/>
      </c>
    </row>
    <row r="1856">
      <c r="A1856" s="20" t="n"/>
      <c r="B1856" s="18" t="n"/>
      <c r="C1856" s="81" t="n"/>
      <c r="D1856" s="81" t="n"/>
      <c r="E1856" s="16">
        <f>IF($A1856="","",$A1856&amp;"|"&amp;DAY($B1856))</f>
        <v/>
      </c>
      <c r="F1856" s="16">
        <f>IF($A1856="","",IF(COUNTIF(設定!$B$62:$B$201,$A1856)=0,"⚠ 查無員編",IF(COUNTIF($E$3:$E$2002,$E1856)&gt;1,"⚠ 重複打卡","OK")))</f>
        <v/>
      </c>
    </row>
    <row r="1857">
      <c r="A1857" s="20" t="n"/>
      <c r="B1857" s="18" t="n"/>
      <c r="C1857" s="81" t="n"/>
      <c r="D1857" s="81" t="n"/>
      <c r="E1857" s="16">
        <f>IF($A1857="","",$A1857&amp;"|"&amp;DAY($B1857))</f>
        <v/>
      </c>
      <c r="F1857" s="16">
        <f>IF($A1857="","",IF(COUNTIF(設定!$B$62:$B$201,$A1857)=0,"⚠ 查無員編",IF(COUNTIF($E$3:$E$2002,$E1857)&gt;1,"⚠ 重複打卡","OK")))</f>
        <v/>
      </c>
    </row>
    <row r="1858">
      <c r="A1858" s="20" t="n"/>
      <c r="B1858" s="18" t="n"/>
      <c r="C1858" s="81" t="n"/>
      <c r="D1858" s="81" t="n"/>
      <c r="E1858" s="16">
        <f>IF($A1858="","",$A1858&amp;"|"&amp;DAY($B1858))</f>
        <v/>
      </c>
      <c r="F1858" s="16">
        <f>IF($A1858="","",IF(COUNTIF(設定!$B$62:$B$201,$A1858)=0,"⚠ 查無員編",IF(COUNTIF($E$3:$E$2002,$E1858)&gt;1,"⚠ 重複打卡","OK")))</f>
        <v/>
      </c>
    </row>
    <row r="1859">
      <c r="A1859" s="20" t="n"/>
      <c r="B1859" s="18" t="n"/>
      <c r="C1859" s="81" t="n"/>
      <c r="D1859" s="81" t="n"/>
      <c r="E1859" s="16">
        <f>IF($A1859="","",$A1859&amp;"|"&amp;DAY($B1859))</f>
        <v/>
      </c>
      <c r="F1859" s="16">
        <f>IF($A1859="","",IF(COUNTIF(設定!$B$62:$B$201,$A1859)=0,"⚠ 查無員編",IF(COUNTIF($E$3:$E$2002,$E1859)&gt;1,"⚠ 重複打卡","OK")))</f>
        <v/>
      </c>
    </row>
    <row r="1860">
      <c r="A1860" s="20" t="n"/>
      <c r="B1860" s="18" t="n"/>
      <c r="C1860" s="81" t="n"/>
      <c r="D1860" s="81" t="n"/>
      <c r="E1860" s="16">
        <f>IF($A1860="","",$A1860&amp;"|"&amp;DAY($B1860))</f>
        <v/>
      </c>
      <c r="F1860" s="16">
        <f>IF($A1860="","",IF(COUNTIF(設定!$B$62:$B$201,$A1860)=0,"⚠ 查無員編",IF(COUNTIF($E$3:$E$2002,$E1860)&gt;1,"⚠ 重複打卡","OK")))</f>
        <v/>
      </c>
    </row>
    <row r="1861">
      <c r="A1861" s="20" t="n"/>
      <c r="B1861" s="18" t="n"/>
      <c r="C1861" s="81" t="n"/>
      <c r="D1861" s="81" t="n"/>
      <c r="E1861" s="16">
        <f>IF($A1861="","",$A1861&amp;"|"&amp;DAY($B1861))</f>
        <v/>
      </c>
      <c r="F1861" s="16">
        <f>IF($A1861="","",IF(COUNTIF(設定!$B$62:$B$201,$A1861)=0,"⚠ 查無員編",IF(COUNTIF($E$3:$E$2002,$E1861)&gt;1,"⚠ 重複打卡","OK")))</f>
        <v/>
      </c>
    </row>
    <row r="1862">
      <c r="A1862" s="20" t="n"/>
      <c r="B1862" s="18" t="n"/>
      <c r="C1862" s="81" t="n"/>
      <c r="D1862" s="81" t="n"/>
      <c r="E1862" s="16">
        <f>IF($A1862="","",$A1862&amp;"|"&amp;DAY($B1862))</f>
        <v/>
      </c>
      <c r="F1862" s="16">
        <f>IF($A1862="","",IF(COUNTIF(設定!$B$62:$B$201,$A1862)=0,"⚠ 查無員編",IF(COUNTIF($E$3:$E$2002,$E1862)&gt;1,"⚠ 重複打卡","OK")))</f>
        <v/>
      </c>
    </row>
    <row r="1863">
      <c r="A1863" s="20" t="n"/>
      <c r="B1863" s="18" t="n"/>
      <c r="C1863" s="81" t="n"/>
      <c r="D1863" s="81" t="n"/>
      <c r="E1863" s="16">
        <f>IF($A1863="","",$A1863&amp;"|"&amp;DAY($B1863))</f>
        <v/>
      </c>
      <c r="F1863" s="16">
        <f>IF($A1863="","",IF(COUNTIF(設定!$B$62:$B$201,$A1863)=0,"⚠ 查無員編",IF(COUNTIF($E$3:$E$2002,$E1863)&gt;1,"⚠ 重複打卡","OK")))</f>
        <v/>
      </c>
    </row>
    <row r="1864">
      <c r="A1864" s="20" t="n"/>
      <c r="B1864" s="18" t="n"/>
      <c r="C1864" s="81" t="n"/>
      <c r="D1864" s="81" t="n"/>
      <c r="E1864" s="16">
        <f>IF($A1864="","",$A1864&amp;"|"&amp;DAY($B1864))</f>
        <v/>
      </c>
      <c r="F1864" s="16">
        <f>IF($A1864="","",IF(COUNTIF(設定!$B$62:$B$201,$A1864)=0,"⚠ 查無員編",IF(COUNTIF($E$3:$E$2002,$E1864)&gt;1,"⚠ 重複打卡","OK")))</f>
        <v/>
      </c>
    </row>
    <row r="1865">
      <c r="A1865" s="20" t="n"/>
      <c r="B1865" s="18" t="n"/>
      <c r="C1865" s="81" t="n"/>
      <c r="D1865" s="81" t="n"/>
      <c r="E1865" s="16">
        <f>IF($A1865="","",$A1865&amp;"|"&amp;DAY($B1865))</f>
        <v/>
      </c>
      <c r="F1865" s="16">
        <f>IF($A1865="","",IF(COUNTIF(設定!$B$62:$B$201,$A1865)=0,"⚠ 查無員編",IF(COUNTIF($E$3:$E$2002,$E1865)&gt;1,"⚠ 重複打卡","OK")))</f>
        <v/>
      </c>
    </row>
    <row r="1866">
      <c r="A1866" s="20" t="n"/>
      <c r="B1866" s="18" t="n"/>
      <c r="C1866" s="81" t="n"/>
      <c r="D1866" s="81" t="n"/>
      <c r="E1866" s="16">
        <f>IF($A1866="","",$A1866&amp;"|"&amp;DAY($B1866))</f>
        <v/>
      </c>
      <c r="F1866" s="16">
        <f>IF($A1866="","",IF(COUNTIF(設定!$B$62:$B$201,$A1866)=0,"⚠ 查無員編",IF(COUNTIF($E$3:$E$2002,$E1866)&gt;1,"⚠ 重複打卡","OK")))</f>
        <v/>
      </c>
    </row>
    <row r="1867">
      <c r="A1867" s="20" t="n"/>
      <c r="B1867" s="18" t="n"/>
      <c r="C1867" s="81" t="n"/>
      <c r="D1867" s="81" t="n"/>
      <c r="E1867" s="16">
        <f>IF($A1867="","",$A1867&amp;"|"&amp;DAY($B1867))</f>
        <v/>
      </c>
      <c r="F1867" s="16">
        <f>IF($A1867="","",IF(COUNTIF(設定!$B$62:$B$201,$A1867)=0,"⚠ 查無員編",IF(COUNTIF($E$3:$E$2002,$E1867)&gt;1,"⚠ 重複打卡","OK")))</f>
        <v/>
      </c>
    </row>
    <row r="1868">
      <c r="A1868" s="20" t="n"/>
      <c r="B1868" s="18" t="n"/>
      <c r="C1868" s="81" t="n"/>
      <c r="D1868" s="81" t="n"/>
      <c r="E1868" s="16">
        <f>IF($A1868="","",$A1868&amp;"|"&amp;DAY($B1868))</f>
        <v/>
      </c>
      <c r="F1868" s="16">
        <f>IF($A1868="","",IF(COUNTIF(設定!$B$62:$B$201,$A1868)=0,"⚠ 查無員編",IF(COUNTIF($E$3:$E$2002,$E1868)&gt;1,"⚠ 重複打卡","OK")))</f>
        <v/>
      </c>
    </row>
    <row r="1869">
      <c r="A1869" s="20" t="n"/>
      <c r="B1869" s="18" t="n"/>
      <c r="C1869" s="81" t="n"/>
      <c r="D1869" s="81" t="n"/>
      <c r="E1869" s="16">
        <f>IF($A1869="","",$A1869&amp;"|"&amp;DAY($B1869))</f>
        <v/>
      </c>
      <c r="F1869" s="16">
        <f>IF($A1869="","",IF(COUNTIF(設定!$B$62:$B$201,$A1869)=0,"⚠ 查無員編",IF(COUNTIF($E$3:$E$2002,$E1869)&gt;1,"⚠ 重複打卡","OK")))</f>
        <v/>
      </c>
    </row>
    <row r="1870">
      <c r="A1870" s="20" t="n"/>
      <c r="B1870" s="18" t="n"/>
      <c r="C1870" s="81" t="n"/>
      <c r="D1870" s="81" t="n"/>
      <c r="E1870" s="16">
        <f>IF($A1870="","",$A1870&amp;"|"&amp;DAY($B1870))</f>
        <v/>
      </c>
      <c r="F1870" s="16">
        <f>IF($A1870="","",IF(COUNTIF(設定!$B$62:$B$201,$A1870)=0,"⚠ 查無員編",IF(COUNTIF($E$3:$E$2002,$E1870)&gt;1,"⚠ 重複打卡","OK")))</f>
        <v/>
      </c>
    </row>
    <row r="1871">
      <c r="A1871" s="20" t="n"/>
      <c r="B1871" s="18" t="n"/>
      <c r="C1871" s="81" t="n"/>
      <c r="D1871" s="81" t="n"/>
      <c r="E1871" s="16">
        <f>IF($A1871="","",$A1871&amp;"|"&amp;DAY($B1871))</f>
        <v/>
      </c>
      <c r="F1871" s="16">
        <f>IF($A1871="","",IF(COUNTIF(設定!$B$62:$B$201,$A1871)=0,"⚠ 查無員編",IF(COUNTIF($E$3:$E$2002,$E1871)&gt;1,"⚠ 重複打卡","OK")))</f>
        <v/>
      </c>
    </row>
    <row r="1872">
      <c r="A1872" s="20" t="n"/>
      <c r="B1872" s="18" t="n"/>
      <c r="C1872" s="81" t="n"/>
      <c r="D1872" s="81" t="n"/>
      <c r="E1872" s="16">
        <f>IF($A1872="","",$A1872&amp;"|"&amp;DAY($B1872))</f>
        <v/>
      </c>
      <c r="F1872" s="16">
        <f>IF($A1872="","",IF(COUNTIF(設定!$B$62:$B$201,$A1872)=0,"⚠ 查無員編",IF(COUNTIF($E$3:$E$2002,$E1872)&gt;1,"⚠ 重複打卡","OK")))</f>
        <v/>
      </c>
    </row>
    <row r="1873">
      <c r="A1873" s="20" t="n"/>
      <c r="B1873" s="18" t="n"/>
      <c r="C1873" s="81" t="n"/>
      <c r="D1873" s="81" t="n"/>
      <c r="E1873" s="16">
        <f>IF($A1873="","",$A1873&amp;"|"&amp;DAY($B1873))</f>
        <v/>
      </c>
      <c r="F1873" s="16">
        <f>IF($A1873="","",IF(COUNTIF(設定!$B$62:$B$201,$A1873)=0,"⚠ 查無員編",IF(COUNTIF($E$3:$E$2002,$E1873)&gt;1,"⚠ 重複打卡","OK")))</f>
        <v/>
      </c>
    </row>
    <row r="1874">
      <c r="A1874" s="20" t="n"/>
      <c r="B1874" s="18" t="n"/>
      <c r="C1874" s="81" t="n"/>
      <c r="D1874" s="81" t="n"/>
      <c r="E1874" s="16">
        <f>IF($A1874="","",$A1874&amp;"|"&amp;DAY($B1874))</f>
        <v/>
      </c>
      <c r="F1874" s="16">
        <f>IF($A1874="","",IF(COUNTIF(設定!$B$62:$B$201,$A1874)=0,"⚠ 查無員編",IF(COUNTIF($E$3:$E$2002,$E1874)&gt;1,"⚠ 重複打卡","OK")))</f>
        <v/>
      </c>
    </row>
    <row r="1875">
      <c r="A1875" s="20" t="n"/>
      <c r="B1875" s="18" t="n"/>
      <c r="C1875" s="81" t="n"/>
      <c r="D1875" s="81" t="n"/>
      <c r="E1875" s="16">
        <f>IF($A1875="","",$A1875&amp;"|"&amp;DAY($B1875))</f>
        <v/>
      </c>
      <c r="F1875" s="16">
        <f>IF($A1875="","",IF(COUNTIF(設定!$B$62:$B$201,$A1875)=0,"⚠ 查無員編",IF(COUNTIF($E$3:$E$2002,$E1875)&gt;1,"⚠ 重複打卡","OK")))</f>
        <v/>
      </c>
    </row>
    <row r="1876">
      <c r="A1876" s="20" t="n"/>
      <c r="B1876" s="18" t="n"/>
      <c r="C1876" s="81" t="n"/>
      <c r="D1876" s="81" t="n"/>
      <c r="E1876" s="16">
        <f>IF($A1876="","",$A1876&amp;"|"&amp;DAY($B1876))</f>
        <v/>
      </c>
      <c r="F1876" s="16">
        <f>IF($A1876="","",IF(COUNTIF(設定!$B$62:$B$201,$A1876)=0,"⚠ 查無員編",IF(COUNTIF($E$3:$E$2002,$E1876)&gt;1,"⚠ 重複打卡","OK")))</f>
        <v/>
      </c>
    </row>
    <row r="1877">
      <c r="A1877" s="20" t="n"/>
      <c r="B1877" s="18" t="n"/>
      <c r="C1877" s="81" t="n"/>
      <c r="D1877" s="81" t="n"/>
      <c r="E1877" s="16">
        <f>IF($A1877="","",$A1877&amp;"|"&amp;DAY($B1877))</f>
        <v/>
      </c>
      <c r="F1877" s="16">
        <f>IF($A1877="","",IF(COUNTIF(設定!$B$62:$B$201,$A1877)=0,"⚠ 查無員編",IF(COUNTIF($E$3:$E$2002,$E1877)&gt;1,"⚠ 重複打卡","OK")))</f>
        <v/>
      </c>
    </row>
    <row r="1878">
      <c r="A1878" s="20" t="n"/>
      <c r="B1878" s="18" t="n"/>
      <c r="C1878" s="81" t="n"/>
      <c r="D1878" s="81" t="n"/>
      <c r="E1878" s="16">
        <f>IF($A1878="","",$A1878&amp;"|"&amp;DAY($B1878))</f>
        <v/>
      </c>
      <c r="F1878" s="16">
        <f>IF($A1878="","",IF(COUNTIF(設定!$B$62:$B$201,$A1878)=0,"⚠ 查無員編",IF(COUNTIF($E$3:$E$2002,$E1878)&gt;1,"⚠ 重複打卡","OK")))</f>
        <v/>
      </c>
    </row>
    <row r="1879">
      <c r="A1879" s="20" t="n"/>
      <c r="B1879" s="18" t="n"/>
      <c r="C1879" s="81" t="n"/>
      <c r="D1879" s="81" t="n"/>
      <c r="E1879" s="16">
        <f>IF($A1879="","",$A1879&amp;"|"&amp;DAY($B1879))</f>
        <v/>
      </c>
      <c r="F1879" s="16">
        <f>IF($A1879="","",IF(COUNTIF(設定!$B$62:$B$201,$A1879)=0,"⚠ 查無員編",IF(COUNTIF($E$3:$E$2002,$E1879)&gt;1,"⚠ 重複打卡","OK")))</f>
        <v/>
      </c>
    </row>
    <row r="1880">
      <c r="A1880" s="20" t="n"/>
      <c r="B1880" s="18" t="n"/>
      <c r="C1880" s="81" t="n"/>
      <c r="D1880" s="81" t="n"/>
      <c r="E1880" s="16">
        <f>IF($A1880="","",$A1880&amp;"|"&amp;DAY($B1880))</f>
        <v/>
      </c>
      <c r="F1880" s="16">
        <f>IF($A1880="","",IF(COUNTIF(設定!$B$62:$B$201,$A1880)=0,"⚠ 查無員編",IF(COUNTIF($E$3:$E$2002,$E1880)&gt;1,"⚠ 重複打卡","OK")))</f>
        <v/>
      </c>
    </row>
    <row r="1881">
      <c r="A1881" s="20" t="n"/>
      <c r="B1881" s="18" t="n"/>
      <c r="C1881" s="81" t="n"/>
      <c r="D1881" s="81" t="n"/>
      <c r="E1881" s="16">
        <f>IF($A1881="","",$A1881&amp;"|"&amp;DAY($B1881))</f>
        <v/>
      </c>
      <c r="F1881" s="16">
        <f>IF($A1881="","",IF(COUNTIF(設定!$B$62:$B$201,$A1881)=0,"⚠ 查無員編",IF(COUNTIF($E$3:$E$2002,$E1881)&gt;1,"⚠ 重複打卡","OK")))</f>
        <v/>
      </c>
    </row>
    <row r="1882">
      <c r="A1882" s="20" t="n"/>
      <c r="B1882" s="18" t="n"/>
      <c r="C1882" s="81" t="n"/>
      <c r="D1882" s="81" t="n"/>
      <c r="E1882" s="16">
        <f>IF($A1882="","",$A1882&amp;"|"&amp;DAY($B1882))</f>
        <v/>
      </c>
      <c r="F1882" s="16">
        <f>IF($A1882="","",IF(COUNTIF(設定!$B$62:$B$201,$A1882)=0,"⚠ 查無員編",IF(COUNTIF($E$3:$E$2002,$E1882)&gt;1,"⚠ 重複打卡","OK")))</f>
        <v/>
      </c>
    </row>
    <row r="1883">
      <c r="A1883" s="20" t="n"/>
      <c r="B1883" s="18" t="n"/>
      <c r="C1883" s="81" t="n"/>
      <c r="D1883" s="81" t="n"/>
      <c r="E1883" s="16">
        <f>IF($A1883="","",$A1883&amp;"|"&amp;DAY($B1883))</f>
        <v/>
      </c>
      <c r="F1883" s="16">
        <f>IF($A1883="","",IF(COUNTIF(設定!$B$62:$B$201,$A1883)=0,"⚠ 查無員編",IF(COUNTIF($E$3:$E$2002,$E1883)&gt;1,"⚠ 重複打卡","OK")))</f>
        <v/>
      </c>
    </row>
    <row r="1884">
      <c r="A1884" s="20" t="n"/>
      <c r="B1884" s="18" t="n"/>
      <c r="C1884" s="81" t="n"/>
      <c r="D1884" s="81" t="n"/>
      <c r="E1884" s="16">
        <f>IF($A1884="","",$A1884&amp;"|"&amp;DAY($B1884))</f>
        <v/>
      </c>
      <c r="F1884" s="16">
        <f>IF($A1884="","",IF(COUNTIF(設定!$B$62:$B$201,$A1884)=0,"⚠ 查無員編",IF(COUNTIF($E$3:$E$2002,$E1884)&gt;1,"⚠ 重複打卡","OK")))</f>
        <v/>
      </c>
    </row>
    <row r="1885">
      <c r="A1885" s="20" t="n"/>
      <c r="B1885" s="18" t="n"/>
      <c r="C1885" s="81" t="n"/>
      <c r="D1885" s="81" t="n"/>
      <c r="E1885" s="16">
        <f>IF($A1885="","",$A1885&amp;"|"&amp;DAY($B1885))</f>
        <v/>
      </c>
      <c r="F1885" s="16">
        <f>IF($A1885="","",IF(COUNTIF(設定!$B$62:$B$201,$A1885)=0,"⚠ 查無員編",IF(COUNTIF($E$3:$E$2002,$E1885)&gt;1,"⚠ 重複打卡","OK")))</f>
        <v/>
      </c>
    </row>
    <row r="1886">
      <c r="A1886" s="20" t="n"/>
      <c r="B1886" s="18" t="n"/>
      <c r="C1886" s="81" t="n"/>
      <c r="D1886" s="81" t="n"/>
      <c r="E1886" s="16">
        <f>IF($A1886="","",$A1886&amp;"|"&amp;DAY($B1886))</f>
        <v/>
      </c>
      <c r="F1886" s="16">
        <f>IF($A1886="","",IF(COUNTIF(設定!$B$62:$B$201,$A1886)=0,"⚠ 查無員編",IF(COUNTIF($E$3:$E$2002,$E1886)&gt;1,"⚠ 重複打卡","OK")))</f>
        <v/>
      </c>
    </row>
    <row r="1887">
      <c r="A1887" s="20" t="n"/>
      <c r="B1887" s="18" t="n"/>
      <c r="C1887" s="81" t="n"/>
      <c r="D1887" s="81" t="n"/>
      <c r="E1887" s="16">
        <f>IF($A1887="","",$A1887&amp;"|"&amp;DAY($B1887))</f>
        <v/>
      </c>
      <c r="F1887" s="16">
        <f>IF($A1887="","",IF(COUNTIF(設定!$B$62:$B$201,$A1887)=0,"⚠ 查無員編",IF(COUNTIF($E$3:$E$2002,$E1887)&gt;1,"⚠ 重複打卡","OK")))</f>
        <v/>
      </c>
    </row>
    <row r="1888">
      <c r="A1888" s="20" t="n"/>
      <c r="B1888" s="18" t="n"/>
      <c r="C1888" s="81" t="n"/>
      <c r="D1888" s="81" t="n"/>
      <c r="E1888" s="16">
        <f>IF($A1888="","",$A1888&amp;"|"&amp;DAY($B1888))</f>
        <v/>
      </c>
      <c r="F1888" s="16">
        <f>IF($A1888="","",IF(COUNTIF(設定!$B$62:$B$201,$A1888)=0,"⚠ 查無員編",IF(COUNTIF($E$3:$E$2002,$E1888)&gt;1,"⚠ 重複打卡","OK")))</f>
        <v/>
      </c>
    </row>
    <row r="1889">
      <c r="A1889" s="20" t="n"/>
      <c r="B1889" s="18" t="n"/>
      <c r="C1889" s="81" t="n"/>
      <c r="D1889" s="81" t="n"/>
      <c r="E1889" s="16">
        <f>IF($A1889="","",$A1889&amp;"|"&amp;DAY($B1889))</f>
        <v/>
      </c>
      <c r="F1889" s="16">
        <f>IF($A1889="","",IF(COUNTIF(設定!$B$62:$B$201,$A1889)=0,"⚠ 查無員編",IF(COUNTIF($E$3:$E$2002,$E1889)&gt;1,"⚠ 重複打卡","OK")))</f>
        <v/>
      </c>
    </row>
    <row r="1890">
      <c r="A1890" s="20" t="n"/>
      <c r="B1890" s="18" t="n"/>
      <c r="C1890" s="81" t="n"/>
      <c r="D1890" s="81" t="n"/>
      <c r="E1890" s="16">
        <f>IF($A1890="","",$A1890&amp;"|"&amp;DAY($B1890))</f>
        <v/>
      </c>
      <c r="F1890" s="16">
        <f>IF($A1890="","",IF(COUNTIF(設定!$B$62:$B$201,$A1890)=0,"⚠ 查無員編",IF(COUNTIF($E$3:$E$2002,$E1890)&gt;1,"⚠ 重複打卡","OK")))</f>
        <v/>
      </c>
    </row>
    <row r="1891">
      <c r="A1891" s="20" t="n"/>
      <c r="B1891" s="18" t="n"/>
      <c r="C1891" s="81" t="n"/>
      <c r="D1891" s="81" t="n"/>
      <c r="E1891" s="16">
        <f>IF($A1891="","",$A1891&amp;"|"&amp;DAY($B1891))</f>
        <v/>
      </c>
      <c r="F1891" s="16">
        <f>IF($A1891="","",IF(COUNTIF(設定!$B$62:$B$201,$A1891)=0,"⚠ 查無員編",IF(COUNTIF($E$3:$E$2002,$E1891)&gt;1,"⚠ 重複打卡","OK")))</f>
        <v/>
      </c>
    </row>
    <row r="1892">
      <c r="A1892" s="20" t="n"/>
      <c r="B1892" s="18" t="n"/>
      <c r="C1892" s="81" t="n"/>
      <c r="D1892" s="81" t="n"/>
      <c r="E1892" s="16">
        <f>IF($A1892="","",$A1892&amp;"|"&amp;DAY($B1892))</f>
        <v/>
      </c>
      <c r="F1892" s="16">
        <f>IF($A1892="","",IF(COUNTIF(設定!$B$62:$B$201,$A1892)=0,"⚠ 查無員編",IF(COUNTIF($E$3:$E$2002,$E1892)&gt;1,"⚠ 重複打卡","OK")))</f>
        <v/>
      </c>
    </row>
    <row r="1893">
      <c r="A1893" s="20" t="n"/>
      <c r="B1893" s="18" t="n"/>
      <c r="C1893" s="81" t="n"/>
      <c r="D1893" s="81" t="n"/>
      <c r="E1893" s="16">
        <f>IF($A1893="","",$A1893&amp;"|"&amp;DAY($B1893))</f>
        <v/>
      </c>
      <c r="F1893" s="16">
        <f>IF($A1893="","",IF(COUNTIF(設定!$B$62:$B$201,$A1893)=0,"⚠ 查無員編",IF(COUNTIF($E$3:$E$2002,$E1893)&gt;1,"⚠ 重複打卡","OK")))</f>
        <v/>
      </c>
    </row>
    <row r="1894">
      <c r="A1894" s="20" t="n"/>
      <c r="B1894" s="18" t="n"/>
      <c r="C1894" s="81" t="n"/>
      <c r="D1894" s="81" t="n"/>
      <c r="E1894" s="16">
        <f>IF($A1894="","",$A1894&amp;"|"&amp;DAY($B1894))</f>
        <v/>
      </c>
      <c r="F1894" s="16">
        <f>IF($A1894="","",IF(COUNTIF(設定!$B$62:$B$201,$A1894)=0,"⚠ 查無員編",IF(COUNTIF($E$3:$E$2002,$E1894)&gt;1,"⚠ 重複打卡","OK")))</f>
        <v/>
      </c>
    </row>
    <row r="1895">
      <c r="A1895" s="20" t="n"/>
      <c r="B1895" s="18" t="n"/>
      <c r="C1895" s="81" t="n"/>
      <c r="D1895" s="81" t="n"/>
      <c r="E1895" s="16">
        <f>IF($A1895="","",$A1895&amp;"|"&amp;DAY($B1895))</f>
        <v/>
      </c>
      <c r="F1895" s="16">
        <f>IF($A1895="","",IF(COUNTIF(設定!$B$62:$B$201,$A1895)=0,"⚠ 查無員編",IF(COUNTIF($E$3:$E$2002,$E1895)&gt;1,"⚠ 重複打卡","OK")))</f>
        <v/>
      </c>
    </row>
    <row r="1896">
      <c r="A1896" s="20" t="n"/>
      <c r="B1896" s="18" t="n"/>
      <c r="C1896" s="81" t="n"/>
      <c r="D1896" s="81" t="n"/>
      <c r="E1896" s="16">
        <f>IF($A1896="","",$A1896&amp;"|"&amp;DAY($B1896))</f>
        <v/>
      </c>
      <c r="F1896" s="16">
        <f>IF($A1896="","",IF(COUNTIF(設定!$B$62:$B$201,$A1896)=0,"⚠ 查無員編",IF(COUNTIF($E$3:$E$2002,$E1896)&gt;1,"⚠ 重複打卡","OK")))</f>
        <v/>
      </c>
    </row>
    <row r="1897">
      <c r="A1897" s="20" t="n"/>
      <c r="B1897" s="18" t="n"/>
      <c r="C1897" s="81" t="n"/>
      <c r="D1897" s="81" t="n"/>
      <c r="E1897" s="16">
        <f>IF($A1897="","",$A1897&amp;"|"&amp;DAY($B1897))</f>
        <v/>
      </c>
      <c r="F1897" s="16">
        <f>IF($A1897="","",IF(COUNTIF(設定!$B$62:$B$201,$A1897)=0,"⚠ 查無員編",IF(COUNTIF($E$3:$E$2002,$E1897)&gt;1,"⚠ 重複打卡","OK")))</f>
        <v/>
      </c>
    </row>
    <row r="1898">
      <c r="A1898" s="20" t="n"/>
      <c r="B1898" s="18" t="n"/>
      <c r="C1898" s="81" t="n"/>
      <c r="D1898" s="81" t="n"/>
      <c r="E1898" s="16">
        <f>IF($A1898="","",$A1898&amp;"|"&amp;DAY($B1898))</f>
        <v/>
      </c>
      <c r="F1898" s="16">
        <f>IF($A1898="","",IF(COUNTIF(設定!$B$62:$B$201,$A1898)=0,"⚠ 查無員編",IF(COUNTIF($E$3:$E$2002,$E1898)&gt;1,"⚠ 重複打卡","OK")))</f>
        <v/>
      </c>
    </row>
    <row r="1899">
      <c r="A1899" s="20" t="n"/>
      <c r="B1899" s="18" t="n"/>
      <c r="C1899" s="81" t="n"/>
      <c r="D1899" s="81" t="n"/>
      <c r="E1899" s="16">
        <f>IF($A1899="","",$A1899&amp;"|"&amp;DAY($B1899))</f>
        <v/>
      </c>
      <c r="F1899" s="16">
        <f>IF($A1899="","",IF(COUNTIF(設定!$B$62:$B$201,$A1899)=0,"⚠ 查無員編",IF(COUNTIF($E$3:$E$2002,$E1899)&gt;1,"⚠ 重複打卡","OK")))</f>
        <v/>
      </c>
    </row>
    <row r="1900">
      <c r="A1900" s="20" t="n"/>
      <c r="B1900" s="18" t="n"/>
      <c r="C1900" s="81" t="n"/>
      <c r="D1900" s="81" t="n"/>
      <c r="E1900" s="16">
        <f>IF($A1900="","",$A1900&amp;"|"&amp;DAY($B1900))</f>
        <v/>
      </c>
      <c r="F1900" s="16">
        <f>IF($A1900="","",IF(COUNTIF(設定!$B$62:$B$201,$A1900)=0,"⚠ 查無員編",IF(COUNTIF($E$3:$E$2002,$E1900)&gt;1,"⚠ 重複打卡","OK")))</f>
        <v/>
      </c>
    </row>
    <row r="1901">
      <c r="A1901" s="20" t="n"/>
      <c r="B1901" s="18" t="n"/>
      <c r="C1901" s="81" t="n"/>
      <c r="D1901" s="81" t="n"/>
      <c r="E1901" s="16">
        <f>IF($A1901="","",$A1901&amp;"|"&amp;DAY($B1901))</f>
        <v/>
      </c>
      <c r="F1901" s="16">
        <f>IF($A1901="","",IF(COUNTIF(設定!$B$62:$B$201,$A1901)=0,"⚠ 查無員編",IF(COUNTIF($E$3:$E$2002,$E1901)&gt;1,"⚠ 重複打卡","OK")))</f>
        <v/>
      </c>
    </row>
    <row r="1902">
      <c r="A1902" s="20" t="n"/>
      <c r="B1902" s="18" t="n"/>
      <c r="C1902" s="81" t="n"/>
      <c r="D1902" s="81" t="n"/>
      <c r="E1902" s="16">
        <f>IF($A1902="","",$A1902&amp;"|"&amp;DAY($B1902))</f>
        <v/>
      </c>
      <c r="F1902" s="16">
        <f>IF($A1902="","",IF(COUNTIF(設定!$B$62:$B$201,$A1902)=0,"⚠ 查無員編",IF(COUNTIF($E$3:$E$2002,$E1902)&gt;1,"⚠ 重複打卡","OK")))</f>
        <v/>
      </c>
    </row>
    <row r="1903">
      <c r="A1903" s="20" t="n"/>
      <c r="B1903" s="18" t="n"/>
      <c r="C1903" s="81" t="n"/>
      <c r="D1903" s="81" t="n"/>
      <c r="E1903" s="16">
        <f>IF($A1903="","",$A1903&amp;"|"&amp;DAY($B1903))</f>
        <v/>
      </c>
      <c r="F1903" s="16">
        <f>IF($A1903="","",IF(COUNTIF(設定!$B$62:$B$201,$A1903)=0,"⚠ 查無員編",IF(COUNTIF($E$3:$E$2002,$E1903)&gt;1,"⚠ 重複打卡","OK")))</f>
        <v/>
      </c>
    </row>
    <row r="1904">
      <c r="A1904" s="20" t="n"/>
      <c r="B1904" s="18" t="n"/>
      <c r="C1904" s="81" t="n"/>
      <c r="D1904" s="81" t="n"/>
      <c r="E1904" s="16">
        <f>IF($A1904="","",$A1904&amp;"|"&amp;DAY($B1904))</f>
        <v/>
      </c>
      <c r="F1904" s="16">
        <f>IF($A1904="","",IF(COUNTIF(設定!$B$62:$B$201,$A1904)=0,"⚠ 查無員編",IF(COUNTIF($E$3:$E$2002,$E1904)&gt;1,"⚠ 重複打卡","OK")))</f>
        <v/>
      </c>
    </row>
    <row r="1905">
      <c r="A1905" s="20" t="n"/>
      <c r="B1905" s="18" t="n"/>
      <c r="C1905" s="81" t="n"/>
      <c r="D1905" s="81" t="n"/>
      <c r="E1905" s="16">
        <f>IF($A1905="","",$A1905&amp;"|"&amp;DAY($B1905))</f>
        <v/>
      </c>
      <c r="F1905" s="16">
        <f>IF($A1905="","",IF(COUNTIF(設定!$B$62:$B$201,$A1905)=0,"⚠ 查無員編",IF(COUNTIF($E$3:$E$2002,$E1905)&gt;1,"⚠ 重複打卡","OK")))</f>
        <v/>
      </c>
    </row>
    <row r="1906">
      <c r="A1906" s="20" t="n"/>
      <c r="B1906" s="18" t="n"/>
      <c r="C1906" s="81" t="n"/>
      <c r="D1906" s="81" t="n"/>
      <c r="E1906" s="16">
        <f>IF($A1906="","",$A1906&amp;"|"&amp;DAY($B1906))</f>
        <v/>
      </c>
      <c r="F1906" s="16">
        <f>IF($A1906="","",IF(COUNTIF(設定!$B$62:$B$201,$A1906)=0,"⚠ 查無員編",IF(COUNTIF($E$3:$E$2002,$E1906)&gt;1,"⚠ 重複打卡","OK")))</f>
        <v/>
      </c>
    </row>
    <row r="1907">
      <c r="A1907" s="20" t="n"/>
      <c r="B1907" s="18" t="n"/>
      <c r="C1907" s="81" t="n"/>
      <c r="D1907" s="81" t="n"/>
      <c r="E1907" s="16">
        <f>IF($A1907="","",$A1907&amp;"|"&amp;DAY($B1907))</f>
        <v/>
      </c>
      <c r="F1907" s="16">
        <f>IF($A1907="","",IF(COUNTIF(設定!$B$62:$B$201,$A1907)=0,"⚠ 查無員編",IF(COUNTIF($E$3:$E$2002,$E1907)&gt;1,"⚠ 重複打卡","OK")))</f>
        <v/>
      </c>
    </row>
    <row r="1908">
      <c r="A1908" s="20" t="n"/>
      <c r="B1908" s="18" t="n"/>
      <c r="C1908" s="81" t="n"/>
      <c r="D1908" s="81" t="n"/>
      <c r="E1908" s="16">
        <f>IF($A1908="","",$A1908&amp;"|"&amp;DAY($B1908))</f>
        <v/>
      </c>
      <c r="F1908" s="16">
        <f>IF($A1908="","",IF(COUNTIF(設定!$B$62:$B$201,$A1908)=0,"⚠ 查無員編",IF(COUNTIF($E$3:$E$2002,$E1908)&gt;1,"⚠ 重複打卡","OK")))</f>
        <v/>
      </c>
    </row>
    <row r="1909">
      <c r="A1909" s="20" t="n"/>
      <c r="B1909" s="18" t="n"/>
      <c r="C1909" s="81" t="n"/>
      <c r="D1909" s="81" t="n"/>
      <c r="E1909" s="16">
        <f>IF($A1909="","",$A1909&amp;"|"&amp;DAY($B1909))</f>
        <v/>
      </c>
      <c r="F1909" s="16">
        <f>IF($A1909="","",IF(COUNTIF(設定!$B$62:$B$201,$A1909)=0,"⚠ 查無員編",IF(COUNTIF($E$3:$E$2002,$E1909)&gt;1,"⚠ 重複打卡","OK")))</f>
        <v/>
      </c>
    </row>
    <row r="1910">
      <c r="A1910" s="20" t="n"/>
      <c r="B1910" s="18" t="n"/>
      <c r="C1910" s="81" t="n"/>
      <c r="D1910" s="81" t="n"/>
      <c r="E1910" s="16">
        <f>IF($A1910="","",$A1910&amp;"|"&amp;DAY($B1910))</f>
        <v/>
      </c>
      <c r="F1910" s="16">
        <f>IF($A1910="","",IF(COUNTIF(設定!$B$62:$B$201,$A1910)=0,"⚠ 查無員編",IF(COUNTIF($E$3:$E$2002,$E1910)&gt;1,"⚠ 重複打卡","OK")))</f>
        <v/>
      </c>
    </row>
    <row r="1911">
      <c r="A1911" s="20" t="n"/>
      <c r="B1911" s="18" t="n"/>
      <c r="C1911" s="81" t="n"/>
      <c r="D1911" s="81" t="n"/>
      <c r="E1911" s="16">
        <f>IF($A1911="","",$A1911&amp;"|"&amp;DAY($B1911))</f>
        <v/>
      </c>
      <c r="F1911" s="16">
        <f>IF($A1911="","",IF(COUNTIF(設定!$B$62:$B$201,$A1911)=0,"⚠ 查無員編",IF(COUNTIF($E$3:$E$2002,$E1911)&gt;1,"⚠ 重複打卡","OK")))</f>
        <v/>
      </c>
    </row>
    <row r="1912">
      <c r="A1912" s="20" t="n"/>
      <c r="B1912" s="18" t="n"/>
      <c r="C1912" s="81" t="n"/>
      <c r="D1912" s="81" t="n"/>
      <c r="E1912" s="16">
        <f>IF($A1912="","",$A1912&amp;"|"&amp;DAY($B1912))</f>
        <v/>
      </c>
      <c r="F1912" s="16">
        <f>IF($A1912="","",IF(COUNTIF(設定!$B$62:$B$201,$A1912)=0,"⚠ 查無員編",IF(COUNTIF($E$3:$E$2002,$E1912)&gt;1,"⚠ 重複打卡","OK")))</f>
        <v/>
      </c>
    </row>
    <row r="1913">
      <c r="A1913" s="20" t="n"/>
      <c r="B1913" s="18" t="n"/>
      <c r="C1913" s="81" t="n"/>
      <c r="D1913" s="81" t="n"/>
      <c r="E1913" s="16">
        <f>IF($A1913="","",$A1913&amp;"|"&amp;DAY($B1913))</f>
        <v/>
      </c>
      <c r="F1913" s="16">
        <f>IF($A1913="","",IF(COUNTIF(設定!$B$62:$B$201,$A1913)=0,"⚠ 查無員編",IF(COUNTIF($E$3:$E$2002,$E1913)&gt;1,"⚠ 重複打卡","OK")))</f>
        <v/>
      </c>
    </row>
    <row r="1914">
      <c r="A1914" s="20" t="n"/>
      <c r="B1914" s="18" t="n"/>
      <c r="C1914" s="81" t="n"/>
      <c r="D1914" s="81" t="n"/>
      <c r="E1914" s="16">
        <f>IF($A1914="","",$A1914&amp;"|"&amp;DAY($B1914))</f>
        <v/>
      </c>
      <c r="F1914" s="16">
        <f>IF($A1914="","",IF(COUNTIF(設定!$B$62:$B$201,$A1914)=0,"⚠ 查無員編",IF(COUNTIF($E$3:$E$2002,$E1914)&gt;1,"⚠ 重複打卡","OK")))</f>
        <v/>
      </c>
    </row>
    <row r="1915">
      <c r="A1915" s="20" t="n"/>
      <c r="B1915" s="18" t="n"/>
      <c r="C1915" s="81" t="n"/>
      <c r="D1915" s="81" t="n"/>
      <c r="E1915" s="16">
        <f>IF($A1915="","",$A1915&amp;"|"&amp;DAY($B1915))</f>
        <v/>
      </c>
      <c r="F1915" s="16">
        <f>IF($A1915="","",IF(COUNTIF(設定!$B$62:$B$201,$A1915)=0,"⚠ 查無員編",IF(COUNTIF($E$3:$E$2002,$E1915)&gt;1,"⚠ 重複打卡","OK")))</f>
        <v/>
      </c>
    </row>
    <row r="1916">
      <c r="A1916" s="20" t="n"/>
      <c r="B1916" s="18" t="n"/>
      <c r="C1916" s="81" t="n"/>
      <c r="D1916" s="81" t="n"/>
      <c r="E1916" s="16">
        <f>IF($A1916="","",$A1916&amp;"|"&amp;DAY($B1916))</f>
        <v/>
      </c>
      <c r="F1916" s="16">
        <f>IF($A1916="","",IF(COUNTIF(設定!$B$62:$B$201,$A1916)=0,"⚠ 查無員編",IF(COUNTIF($E$3:$E$2002,$E1916)&gt;1,"⚠ 重複打卡","OK")))</f>
        <v/>
      </c>
    </row>
    <row r="1917">
      <c r="A1917" s="20" t="n"/>
      <c r="B1917" s="18" t="n"/>
      <c r="C1917" s="81" t="n"/>
      <c r="D1917" s="81" t="n"/>
      <c r="E1917" s="16">
        <f>IF($A1917="","",$A1917&amp;"|"&amp;DAY($B1917))</f>
        <v/>
      </c>
      <c r="F1917" s="16">
        <f>IF($A1917="","",IF(COUNTIF(設定!$B$62:$B$201,$A1917)=0,"⚠ 查無員編",IF(COUNTIF($E$3:$E$2002,$E1917)&gt;1,"⚠ 重複打卡","OK")))</f>
        <v/>
      </c>
    </row>
    <row r="1918">
      <c r="A1918" s="20" t="n"/>
      <c r="B1918" s="18" t="n"/>
      <c r="C1918" s="81" t="n"/>
      <c r="D1918" s="81" t="n"/>
      <c r="E1918" s="16">
        <f>IF($A1918="","",$A1918&amp;"|"&amp;DAY($B1918))</f>
        <v/>
      </c>
      <c r="F1918" s="16">
        <f>IF($A1918="","",IF(COUNTIF(設定!$B$62:$B$201,$A1918)=0,"⚠ 查無員編",IF(COUNTIF($E$3:$E$2002,$E1918)&gt;1,"⚠ 重複打卡","OK")))</f>
        <v/>
      </c>
    </row>
    <row r="1919">
      <c r="A1919" s="20" t="n"/>
      <c r="B1919" s="18" t="n"/>
      <c r="C1919" s="81" t="n"/>
      <c r="D1919" s="81" t="n"/>
      <c r="E1919" s="16">
        <f>IF($A1919="","",$A1919&amp;"|"&amp;DAY($B1919))</f>
        <v/>
      </c>
      <c r="F1919" s="16">
        <f>IF($A1919="","",IF(COUNTIF(設定!$B$62:$B$201,$A1919)=0,"⚠ 查無員編",IF(COUNTIF($E$3:$E$2002,$E1919)&gt;1,"⚠ 重複打卡","OK")))</f>
        <v/>
      </c>
    </row>
    <row r="1920">
      <c r="A1920" s="20" t="n"/>
      <c r="B1920" s="18" t="n"/>
      <c r="C1920" s="81" t="n"/>
      <c r="D1920" s="81" t="n"/>
      <c r="E1920" s="16">
        <f>IF($A1920="","",$A1920&amp;"|"&amp;DAY($B1920))</f>
        <v/>
      </c>
      <c r="F1920" s="16">
        <f>IF($A1920="","",IF(COUNTIF(設定!$B$62:$B$201,$A1920)=0,"⚠ 查無員編",IF(COUNTIF($E$3:$E$2002,$E1920)&gt;1,"⚠ 重複打卡","OK")))</f>
        <v/>
      </c>
    </row>
    <row r="1921">
      <c r="A1921" s="20" t="n"/>
      <c r="B1921" s="18" t="n"/>
      <c r="C1921" s="81" t="n"/>
      <c r="D1921" s="81" t="n"/>
      <c r="E1921" s="16">
        <f>IF($A1921="","",$A1921&amp;"|"&amp;DAY($B1921))</f>
        <v/>
      </c>
      <c r="F1921" s="16">
        <f>IF($A1921="","",IF(COUNTIF(設定!$B$62:$B$201,$A1921)=0,"⚠ 查無員編",IF(COUNTIF($E$3:$E$2002,$E1921)&gt;1,"⚠ 重複打卡","OK")))</f>
        <v/>
      </c>
    </row>
    <row r="1922">
      <c r="A1922" s="20" t="n"/>
      <c r="B1922" s="18" t="n"/>
      <c r="C1922" s="81" t="n"/>
      <c r="D1922" s="81" t="n"/>
      <c r="E1922" s="16">
        <f>IF($A1922="","",$A1922&amp;"|"&amp;DAY($B1922))</f>
        <v/>
      </c>
      <c r="F1922" s="16">
        <f>IF($A1922="","",IF(COUNTIF(設定!$B$62:$B$201,$A1922)=0,"⚠ 查無員編",IF(COUNTIF($E$3:$E$2002,$E1922)&gt;1,"⚠ 重複打卡","OK")))</f>
        <v/>
      </c>
    </row>
    <row r="1923">
      <c r="A1923" s="20" t="n"/>
      <c r="B1923" s="18" t="n"/>
      <c r="C1923" s="81" t="n"/>
      <c r="D1923" s="81" t="n"/>
      <c r="E1923" s="16">
        <f>IF($A1923="","",$A1923&amp;"|"&amp;DAY($B1923))</f>
        <v/>
      </c>
      <c r="F1923" s="16">
        <f>IF($A1923="","",IF(COUNTIF(設定!$B$62:$B$201,$A1923)=0,"⚠ 查無員編",IF(COUNTIF($E$3:$E$2002,$E1923)&gt;1,"⚠ 重複打卡","OK")))</f>
        <v/>
      </c>
    </row>
    <row r="1924">
      <c r="A1924" s="20" t="n"/>
      <c r="B1924" s="18" t="n"/>
      <c r="C1924" s="81" t="n"/>
      <c r="D1924" s="81" t="n"/>
      <c r="E1924" s="16">
        <f>IF($A1924="","",$A1924&amp;"|"&amp;DAY($B1924))</f>
        <v/>
      </c>
      <c r="F1924" s="16">
        <f>IF($A1924="","",IF(COUNTIF(設定!$B$62:$B$201,$A1924)=0,"⚠ 查無員編",IF(COUNTIF($E$3:$E$2002,$E1924)&gt;1,"⚠ 重複打卡","OK")))</f>
        <v/>
      </c>
    </row>
    <row r="1925">
      <c r="A1925" s="20" t="n"/>
      <c r="B1925" s="18" t="n"/>
      <c r="C1925" s="81" t="n"/>
      <c r="D1925" s="81" t="n"/>
      <c r="E1925" s="16">
        <f>IF($A1925="","",$A1925&amp;"|"&amp;DAY($B1925))</f>
        <v/>
      </c>
      <c r="F1925" s="16">
        <f>IF($A1925="","",IF(COUNTIF(設定!$B$62:$B$201,$A1925)=0,"⚠ 查無員編",IF(COUNTIF($E$3:$E$2002,$E1925)&gt;1,"⚠ 重複打卡","OK")))</f>
        <v/>
      </c>
    </row>
    <row r="1926">
      <c r="A1926" s="20" t="n"/>
      <c r="B1926" s="18" t="n"/>
      <c r="C1926" s="81" t="n"/>
      <c r="D1926" s="81" t="n"/>
      <c r="E1926" s="16">
        <f>IF($A1926="","",$A1926&amp;"|"&amp;DAY($B1926))</f>
        <v/>
      </c>
      <c r="F1926" s="16">
        <f>IF($A1926="","",IF(COUNTIF(設定!$B$62:$B$201,$A1926)=0,"⚠ 查無員編",IF(COUNTIF($E$3:$E$2002,$E1926)&gt;1,"⚠ 重複打卡","OK")))</f>
        <v/>
      </c>
    </row>
    <row r="1927">
      <c r="A1927" s="20" t="n"/>
      <c r="B1927" s="18" t="n"/>
      <c r="C1927" s="81" t="n"/>
      <c r="D1927" s="81" t="n"/>
      <c r="E1927" s="16">
        <f>IF($A1927="","",$A1927&amp;"|"&amp;DAY($B1927))</f>
        <v/>
      </c>
      <c r="F1927" s="16">
        <f>IF($A1927="","",IF(COUNTIF(設定!$B$62:$B$201,$A1927)=0,"⚠ 查無員編",IF(COUNTIF($E$3:$E$2002,$E1927)&gt;1,"⚠ 重複打卡","OK")))</f>
        <v/>
      </c>
    </row>
    <row r="1928">
      <c r="A1928" s="20" t="n"/>
      <c r="B1928" s="18" t="n"/>
      <c r="C1928" s="81" t="n"/>
      <c r="D1928" s="81" t="n"/>
      <c r="E1928" s="16">
        <f>IF($A1928="","",$A1928&amp;"|"&amp;DAY($B1928))</f>
        <v/>
      </c>
      <c r="F1928" s="16">
        <f>IF($A1928="","",IF(COUNTIF(設定!$B$62:$B$201,$A1928)=0,"⚠ 查無員編",IF(COUNTIF($E$3:$E$2002,$E1928)&gt;1,"⚠ 重複打卡","OK")))</f>
        <v/>
      </c>
    </row>
    <row r="1929">
      <c r="A1929" s="20" t="n"/>
      <c r="B1929" s="18" t="n"/>
      <c r="C1929" s="81" t="n"/>
      <c r="D1929" s="81" t="n"/>
      <c r="E1929" s="16">
        <f>IF($A1929="","",$A1929&amp;"|"&amp;DAY($B1929))</f>
        <v/>
      </c>
      <c r="F1929" s="16">
        <f>IF($A1929="","",IF(COUNTIF(設定!$B$62:$B$201,$A1929)=0,"⚠ 查無員編",IF(COUNTIF($E$3:$E$2002,$E1929)&gt;1,"⚠ 重複打卡","OK")))</f>
        <v/>
      </c>
    </row>
    <row r="1930">
      <c r="A1930" s="20" t="n"/>
      <c r="B1930" s="18" t="n"/>
      <c r="C1930" s="81" t="n"/>
      <c r="D1930" s="81" t="n"/>
      <c r="E1930" s="16">
        <f>IF($A1930="","",$A1930&amp;"|"&amp;DAY($B1930))</f>
        <v/>
      </c>
      <c r="F1930" s="16">
        <f>IF($A1930="","",IF(COUNTIF(設定!$B$62:$B$201,$A1930)=0,"⚠ 查無員編",IF(COUNTIF($E$3:$E$2002,$E1930)&gt;1,"⚠ 重複打卡","OK")))</f>
        <v/>
      </c>
    </row>
    <row r="1931">
      <c r="A1931" s="20" t="n"/>
      <c r="B1931" s="18" t="n"/>
      <c r="C1931" s="81" t="n"/>
      <c r="D1931" s="81" t="n"/>
      <c r="E1931" s="16">
        <f>IF($A1931="","",$A1931&amp;"|"&amp;DAY($B1931))</f>
        <v/>
      </c>
      <c r="F1931" s="16">
        <f>IF($A1931="","",IF(COUNTIF(設定!$B$62:$B$201,$A1931)=0,"⚠ 查無員編",IF(COUNTIF($E$3:$E$2002,$E1931)&gt;1,"⚠ 重複打卡","OK")))</f>
        <v/>
      </c>
    </row>
    <row r="1932">
      <c r="A1932" s="20" t="n"/>
      <c r="B1932" s="18" t="n"/>
      <c r="C1932" s="81" t="n"/>
      <c r="D1932" s="81" t="n"/>
      <c r="E1932" s="16">
        <f>IF($A1932="","",$A1932&amp;"|"&amp;DAY($B1932))</f>
        <v/>
      </c>
      <c r="F1932" s="16">
        <f>IF($A1932="","",IF(COUNTIF(設定!$B$62:$B$201,$A1932)=0,"⚠ 查無員編",IF(COUNTIF($E$3:$E$2002,$E1932)&gt;1,"⚠ 重複打卡","OK")))</f>
        <v/>
      </c>
    </row>
    <row r="1933">
      <c r="A1933" s="20" t="n"/>
      <c r="B1933" s="18" t="n"/>
      <c r="C1933" s="81" t="n"/>
      <c r="D1933" s="81" t="n"/>
      <c r="E1933" s="16">
        <f>IF($A1933="","",$A1933&amp;"|"&amp;DAY($B1933))</f>
        <v/>
      </c>
      <c r="F1933" s="16">
        <f>IF($A1933="","",IF(COUNTIF(設定!$B$62:$B$201,$A1933)=0,"⚠ 查無員編",IF(COUNTIF($E$3:$E$2002,$E1933)&gt;1,"⚠ 重複打卡","OK")))</f>
        <v/>
      </c>
    </row>
    <row r="1934">
      <c r="A1934" s="20" t="n"/>
      <c r="B1934" s="18" t="n"/>
      <c r="C1934" s="81" t="n"/>
      <c r="D1934" s="81" t="n"/>
      <c r="E1934" s="16">
        <f>IF($A1934="","",$A1934&amp;"|"&amp;DAY($B1934))</f>
        <v/>
      </c>
      <c r="F1934" s="16">
        <f>IF($A1934="","",IF(COUNTIF(設定!$B$62:$B$201,$A1934)=0,"⚠ 查無員編",IF(COUNTIF($E$3:$E$2002,$E1934)&gt;1,"⚠ 重複打卡","OK")))</f>
        <v/>
      </c>
    </row>
    <row r="1935">
      <c r="A1935" s="20" t="n"/>
      <c r="B1935" s="18" t="n"/>
      <c r="C1935" s="81" t="n"/>
      <c r="D1935" s="81" t="n"/>
      <c r="E1935" s="16">
        <f>IF($A1935="","",$A1935&amp;"|"&amp;DAY($B1935))</f>
        <v/>
      </c>
      <c r="F1935" s="16">
        <f>IF($A1935="","",IF(COUNTIF(設定!$B$62:$B$201,$A1935)=0,"⚠ 查無員編",IF(COUNTIF($E$3:$E$2002,$E1935)&gt;1,"⚠ 重複打卡","OK")))</f>
        <v/>
      </c>
    </row>
    <row r="1936">
      <c r="A1936" s="20" t="n"/>
      <c r="B1936" s="18" t="n"/>
      <c r="C1936" s="81" t="n"/>
      <c r="D1936" s="81" t="n"/>
      <c r="E1936" s="16">
        <f>IF($A1936="","",$A1936&amp;"|"&amp;DAY($B1936))</f>
        <v/>
      </c>
      <c r="F1936" s="16">
        <f>IF($A1936="","",IF(COUNTIF(設定!$B$62:$B$201,$A1936)=0,"⚠ 查無員編",IF(COUNTIF($E$3:$E$2002,$E1936)&gt;1,"⚠ 重複打卡","OK")))</f>
        <v/>
      </c>
    </row>
    <row r="1937">
      <c r="A1937" s="20" t="n"/>
      <c r="B1937" s="18" t="n"/>
      <c r="C1937" s="81" t="n"/>
      <c r="D1937" s="81" t="n"/>
      <c r="E1937" s="16">
        <f>IF($A1937="","",$A1937&amp;"|"&amp;DAY($B1937))</f>
        <v/>
      </c>
      <c r="F1937" s="16">
        <f>IF($A1937="","",IF(COUNTIF(設定!$B$62:$B$201,$A1937)=0,"⚠ 查無員編",IF(COUNTIF($E$3:$E$2002,$E1937)&gt;1,"⚠ 重複打卡","OK")))</f>
        <v/>
      </c>
    </row>
    <row r="1938">
      <c r="A1938" s="20" t="n"/>
      <c r="B1938" s="18" t="n"/>
      <c r="C1938" s="81" t="n"/>
      <c r="D1938" s="81" t="n"/>
      <c r="E1938" s="16">
        <f>IF($A1938="","",$A1938&amp;"|"&amp;DAY($B1938))</f>
        <v/>
      </c>
      <c r="F1938" s="16">
        <f>IF($A1938="","",IF(COUNTIF(設定!$B$62:$B$201,$A1938)=0,"⚠ 查無員編",IF(COUNTIF($E$3:$E$2002,$E1938)&gt;1,"⚠ 重複打卡","OK")))</f>
        <v/>
      </c>
    </row>
    <row r="1939">
      <c r="A1939" s="20" t="n"/>
      <c r="B1939" s="18" t="n"/>
      <c r="C1939" s="81" t="n"/>
      <c r="D1939" s="81" t="n"/>
      <c r="E1939" s="16">
        <f>IF($A1939="","",$A1939&amp;"|"&amp;DAY($B1939))</f>
        <v/>
      </c>
      <c r="F1939" s="16">
        <f>IF($A1939="","",IF(COUNTIF(設定!$B$62:$B$201,$A1939)=0,"⚠ 查無員編",IF(COUNTIF($E$3:$E$2002,$E1939)&gt;1,"⚠ 重複打卡","OK")))</f>
        <v/>
      </c>
    </row>
    <row r="1940">
      <c r="A1940" s="20" t="n"/>
      <c r="B1940" s="18" t="n"/>
      <c r="C1940" s="81" t="n"/>
      <c r="D1940" s="81" t="n"/>
      <c r="E1940" s="16">
        <f>IF($A1940="","",$A1940&amp;"|"&amp;DAY($B1940))</f>
        <v/>
      </c>
      <c r="F1940" s="16">
        <f>IF($A1940="","",IF(COUNTIF(設定!$B$62:$B$201,$A1940)=0,"⚠ 查無員編",IF(COUNTIF($E$3:$E$2002,$E1940)&gt;1,"⚠ 重複打卡","OK")))</f>
        <v/>
      </c>
    </row>
    <row r="1941">
      <c r="A1941" s="20" t="n"/>
      <c r="B1941" s="18" t="n"/>
      <c r="C1941" s="81" t="n"/>
      <c r="D1941" s="81" t="n"/>
      <c r="E1941" s="16">
        <f>IF($A1941="","",$A1941&amp;"|"&amp;DAY($B1941))</f>
        <v/>
      </c>
      <c r="F1941" s="16">
        <f>IF($A1941="","",IF(COUNTIF(設定!$B$62:$B$201,$A1941)=0,"⚠ 查無員編",IF(COUNTIF($E$3:$E$2002,$E1941)&gt;1,"⚠ 重複打卡","OK")))</f>
        <v/>
      </c>
    </row>
    <row r="1942">
      <c r="A1942" s="20" t="n"/>
      <c r="B1942" s="18" t="n"/>
      <c r="C1942" s="81" t="n"/>
      <c r="D1942" s="81" t="n"/>
      <c r="E1942" s="16">
        <f>IF($A1942="","",$A1942&amp;"|"&amp;DAY($B1942))</f>
        <v/>
      </c>
      <c r="F1942" s="16">
        <f>IF($A1942="","",IF(COUNTIF(設定!$B$62:$B$201,$A1942)=0,"⚠ 查無員編",IF(COUNTIF($E$3:$E$2002,$E1942)&gt;1,"⚠ 重複打卡","OK")))</f>
        <v/>
      </c>
    </row>
    <row r="1943">
      <c r="A1943" s="20" t="n"/>
      <c r="B1943" s="18" t="n"/>
      <c r="C1943" s="81" t="n"/>
      <c r="D1943" s="81" t="n"/>
      <c r="E1943" s="16">
        <f>IF($A1943="","",$A1943&amp;"|"&amp;DAY($B1943))</f>
        <v/>
      </c>
      <c r="F1943" s="16">
        <f>IF($A1943="","",IF(COUNTIF(設定!$B$62:$B$201,$A1943)=0,"⚠ 查無員編",IF(COUNTIF($E$3:$E$2002,$E1943)&gt;1,"⚠ 重複打卡","OK")))</f>
        <v/>
      </c>
    </row>
    <row r="1944">
      <c r="A1944" s="20" t="n"/>
      <c r="B1944" s="18" t="n"/>
      <c r="C1944" s="81" t="n"/>
      <c r="D1944" s="81" t="n"/>
      <c r="E1944" s="16">
        <f>IF($A1944="","",$A1944&amp;"|"&amp;DAY($B1944))</f>
        <v/>
      </c>
      <c r="F1944" s="16">
        <f>IF($A1944="","",IF(COUNTIF(設定!$B$62:$B$201,$A1944)=0,"⚠ 查無員編",IF(COUNTIF($E$3:$E$2002,$E1944)&gt;1,"⚠ 重複打卡","OK")))</f>
        <v/>
      </c>
    </row>
    <row r="1945">
      <c r="A1945" s="20" t="n"/>
      <c r="B1945" s="18" t="n"/>
      <c r="C1945" s="81" t="n"/>
      <c r="D1945" s="81" t="n"/>
      <c r="E1945" s="16">
        <f>IF($A1945="","",$A1945&amp;"|"&amp;DAY($B1945))</f>
        <v/>
      </c>
      <c r="F1945" s="16">
        <f>IF($A1945="","",IF(COUNTIF(設定!$B$62:$B$201,$A1945)=0,"⚠ 查無員編",IF(COUNTIF($E$3:$E$2002,$E1945)&gt;1,"⚠ 重複打卡","OK")))</f>
        <v/>
      </c>
    </row>
    <row r="1946">
      <c r="A1946" s="20" t="n"/>
      <c r="B1946" s="18" t="n"/>
      <c r="C1946" s="81" t="n"/>
      <c r="D1946" s="81" t="n"/>
      <c r="E1946" s="16">
        <f>IF($A1946="","",$A1946&amp;"|"&amp;DAY($B1946))</f>
        <v/>
      </c>
      <c r="F1946" s="16">
        <f>IF($A1946="","",IF(COUNTIF(設定!$B$62:$B$201,$A1946)=0,"⚠ 查無員編",IF(COUNTIF($E$3:$E$2002,$E1946)&gt;1,"⚠ 重複打卡","OK")))</f>
        <v/>
      </c>
    </row>
    <row r="1947">
      <c r="A1947" s="20" t="n"/>
      <c r="B1947" s="18" t="n"/>
      <c r="C1947" s="81" t="n"/>
      <c r="D1947" s="81" t="n"/>
      <c r="E1947" s="16">
        <f>IF($A1947="","",$A1947&amp;"|"&amp;DAY($B1947))</f>
        <v/>
      </c>
      <c r="F1947" s="16">
        <f>IF($A1947="","",IF(COUNTIF(設定!$B$62:$B$201,$A1947)=0,"⚠ 查無員編",IF(COUNTIF($E$3:$E$2002,$E1947)&gt;1,"⚠ 重複打卡","OK")))</f>
        <v/>
      </c>
    </row>
    <row r="1948">
      <c r="A1948" s="20" t="n"/>
      <c r="B1948" s="18" t="n"/>
      <c r="C1948" s="81" t="n"/>
      <c r="D1948" s="81" t="n"/>
      <c r="E1948" s="16">
        <f>IF($A1948="","",$A1948&amp;"|"&amp;DAY($B1948))</f>
        <v/>
      </c>
      <c r="F1948" s="16">
        <f>IF($A1948="","",IF(COUNTIF(設定!$B$62:$B$201,$A1948)=0,"⚠ 查無員編",IF(COUNTIF($E$3:$E$2002,$E1948)&gt;1,"⚠ 重複打卡","OK")))</f>
        <v/>
      </c>
    </row>
    <row r="1949">
      <c r="A1949" s="20" t="n"/>
      <c r="B1949" s="18" t="n"/>
      <c r="C1949" s="81" t="n"/>
      <c r="D1949" s="81" t="n"/>
      <c r="E1949" s="16">
        <f>IF($A1949="","",$A1949&amp;"|"&amp;DAY($B1949))</f>
        <v/>
      </c>
      <c r="F1949" s="16">
        <f>IF($A1949="","",IF(COUNTIF(設定!$B$62:$B$201,$A1949)=0,"⚠ 查無員編",IF(COUNTIF($E$3:$E$2002,$E1949)&gt;1,"⚠ 重複打卡","OK")))</f>
        <v/>
      </c>
    </row>
    <row r="1950">
      <c r="A1950" s="20" t="n"/>
      <c r="B1950" s="18" t="n"/>
      <c r="C1950" s="81" t="n"/>
      <c r="D1950" s="81" t="n"/>
      <c r="E1950" s="16">
        <f>IF($A1950="","",$A1950&amp;"|"&amp;DAY($B1950))</f>
        <v/>
      </c>
      <c r="F1950" s="16">
        <f>IF($A1950="","",IF(COUNTIF(設定!$B$62:$B$201,$A1950)=0,"⚠ 查無員編",IF(COUNTIF($E$3:$E$2002,$E1950)&gt;1,"⚠ 重複打卡","OK")))</f>
        <v/>
      </c>
    </row>
    <row r="1951">
      <c r="A1951" s="20" t="n"/>
      <c r="B1951" s="18" t="n"/>
      <c r="C1951" s="81" t="n"/>
      <c r="D1951" s="81" t="n"/>
      <c r="E1951" s="16">
        <f>IF($A1951="","",$A1951&amp;"|"&amp;DAY($B1951))</f>
        <v/>
      </c>
      <c r="F1951" s="16">
        <f>IF($A1951="","",IF(COUNTIF(設定!$B$62:$B$201,$A1951)=0,"⚠ 查無員編",IF(COUNTIF($E$3:$E$2002,$E1951)&gt;1,"⚠ 重複打卡","OK")))</f>
        <v/>
      </c>
    </row>
    <row r="1952">
      <c r="A1952" s="20" t="n"/>
      <c r="B1952" s="18" t="n"/>
      <c r="C1952" s="81" t="n"/>
      <c r="D1952" s="81" t="n"/>
      <c r="E1952" s="16">
        <f>IF($A1952="","",$A1952&amp;"|"&amp;DAY($B1952))</f>
        <v/>
      </c>
      <c r="F1952" s="16">
        <f>IF($A1952="","",IF(COUNTIF(設定!$B$62:$B$201,$A1952)=0,"⚠ 查無員編",IF(COUNTIF($E$3:$E$2002,$E1952)&gt;1,"⚠ 重複打卡","OK")))</f>
        <v/>
      </c>
    </row>
    <row r="1953">
      <c r="A1953" s="20" t="n"/>
      <c r="B1953" s="18" t="n"/>
      <c r="C1953" s="81" t="n"/>
      <c r="D1953" s="81" t="n"/>
      <c r="E1953" s="16">
        <f>IF($A1953="","",$A1953&amp;"|"&amp;DAY($B1953))</f>
        <v/>
      </c>
      <c r="F1953" s="16">
        <f>IF($A1953="","",IF(COUNTIF(設定!$B$62:$B$201,$A1953)=0,"⚠ 查無員編",IF(COUNTIF($E$3:$E$2002,$E1953)&gt;1,"⚠ 重複打卡","OK")))</f>
        <v/>
      </c>
    </row>
    <row r="1954">
      <c r="A1954" s="20" t="n"/>
      <c r="B1954" s="18" t="n"/>
      <c r="C1954" s="81" t="n"/>
      <c r="D1954" s="81" t="n"/>
      <c r="E1954" s="16">
        <f>IF($A1954="","",$A1954&amp;"|"&amp;DAY($B1954))</f>
        <v/>
      </c>
      <c r="F1954" s="16">
        <f>IF($A1954="","",IF(COUNTIF(設定!$B$62:$B$201,$A1954)=0,"⚠ 查無員編",IF(COUNTIF($E$3:$E$2002,$E1954)&gt;1,"⚠ 重複打卡","OK")))</f>
        <v/>
      </c>
    </row>
    <row r="1955">
      <c r="A1955" s="20" t="n"/>
      <c r="B1955" s="18" t="n"/>
      <c r="C1955" s="81" t="n"/>
      <c r="D1955" s="81" t="n"/>
      <c r="E1955" s="16">
        <f>IF($A1955="","",$A1955&amp;"|"&amp;DAY($B1955))</f>
        <v/>
      </c>
      <c r="F1955" s="16">
        <f>IF($A1955="","",IF(COUNTIF(設定!$B$62:$B$201,$A1955)=0,"⚠ 查無員編",IF(COUNTIF($E$3:$E$2002,$E1955)&gt;1,"⚠ 重複打卡","OK")))</f>
        <v/>
      </c>
    </row>
    <row r="1956">
      <c r="A1956" s="20" t="n"/>
      <c r="B1956" s="18" t="n"/>
      <c r="C1956" s="81" t="n"/>
      <c r="D1956" s="81" t="n"/>
      <c r="E1956" s="16">
        <f>IF($A1956="","",$A1956&amp;"|"&amp;DAY($B1956))</f>
        <v/>
      </c>
      <c r="F1956" s="16">
        <f>IF($A1956="","",IF(COUNTIF(設定!$B$62:$B$201,$A1956)=0,"⚠ 查無員編",IF(COUNTIF($E$3:$E$2002,$E1956)&gt;1,"⚠ 重複打卡","OK")))</f>
        <v/>
      </c>
    </row>
    <row r="1957">
      <c r="A1957" s="20" t="n"/>
      <c r="B1957" s="18" t="n"/>
      <c r="C1957" s="81" t="n"/>
      <c r="D1957" s="81" t="n"/>
      <c r="E1957" s="16">
        <f>IF($A1957="","",$A1957&amp;"|"&amp;DAY($B1957))</f>
        <v/>
      </c>
      <c r="F1957" s="16">
        <f>IF($A1957="","",IF(COUNTIF(設定!$B$62:$B$201,$A1957)=0,"⚠ 查無員編",IF(COUNTIF($E$3:$E$2002,$E1957)&gt;1,"⚠ 重複打卡","OK")))</f>
        <v/>
      </c>
    </row>
    <row r="1958">
      <c r="A1958" s="20" t="n"/>
      <c r="B1958" s="18" t="n"/>
      <c r="C1958" s="81" t="n"/>
      <c r="D1958" s="81" t="n"/>
      <c r="E1958" s="16">
        <f>IF($A1958="","",$A1958&amp;"|"&amp;DAY($B1958))</f>
        <v/>
      </c>
      <c r="F1958" s="16">
        <f>IF($A1958="","",IF(COUNTIF(設定!$B$62:$B$201,$A1958)=0,"⚠ 查無員編",IF(COUNTIF($E$3:$E$2002,$E1958)&gt;1,"⚠ 重複打卡","OK")))</f>
        <v/>
      </c>
    </row>
    <row r="1959">
      <c r="A1959" s="20" t="n"/>
      <c r="B1959" s="18" t="n"/>
      <c r="C1959" s="81" t="n"/>
      <c r="D1959" s="81" t="n"/>
      <c r="E1959" s="16">
        <f>IF($A1959="","",$A1959&amp;"|"&amp;DAY($B1959))</f>
        <v/>
      </c>
      <c r="F1959" s="16">
        <f>IF($A1959="","",IF(COUNTIF(設定!$B$62:$B$201,$A1959)=0,"⚠ 查無員編",IF(COUNTIF($E$3:$E$2002,$E1959)&gt;1,"⚠ 重複打卡","OK")))</f>
        <v/>
      </c>
    </row>
    <row r="1960">
      <c r="A1960" s="20" t="n"/>
      <c r="B1960" s="18" t="n"/>
      <c r="C1960" s="81" t="n"/>
      <c r="D1960" s="81" t="n"/>
      <c r="E1960" s="16">
        <f>IF($A1960="","",$A1960&amp;"|"&amp;DAY($B1960))</f>
        <v/>
      </c>
      <c r="F1960" s="16">
        <f>IF($A1960="","",IF(COUNTIF(設定!$B$62:$B$201,$A1960)=0,"⚠ 查無員編",IF(COUNTIF($E$3:$E$2002,$E1960)&gt;1,"⚠ 重複打卡","OK")))</f>
        <v/>
      </c>
    </row>
    <row r="1961">
      <c r="A1961" s="20" t="n"/>
      <c r="B1961" s="18" t="n"/>
      <c r="C1961" s="81" t="n"/>
      <c r="D1961" s="81" t="n"/>
      <c r="E1961" s="16">
        <f>IF($A1961="","",$A1961&amp;"|"&amp;DAY($B1961))</f>
        <v/>
      </c>
      <c r="F1961" s="16">
        <f>IF($A1961="","",IF(COUNTIF(設定!$B$62:$B$201,$A1961)=0,"⚠ 查無員編",IF(COUNTIF($E$3:$E$2002,$E1961)&gt;1,"⚠ 重複打卡","OK")))</f>
        <v/>
      </c>
    </row>
    <row r="1962">
      <c r="A1962" s="20" t="n"/>
      <c r="B1962" s="18" t="n"/>
      <c r="C1962" s="81" t="n"/>
      <c r="D1962" s="81" t="n"/>
      <c r="E1962" s="16">
        <f>IF($A1962="","",$A1962&amp;"|"&amp;DAY($B1962))</f>
        <v/>
      </c>
      <c r="F1962" s="16">
        <f>IF($A1962="","",IF(COUNTIF(設定!$B$62:$B$201,$A1962)=0,"⚠ 查無員編",IF(COUNTIF($E$3:$E$2002,$E1962)&gt;1,"⚠ 重複打卡","OK")))</f>
        <v/>
      </c>
    </row>
    <row r="1963">
      <c r="A1963" s="20" t="n"/>
      <c r="B1963" s="18" t="n"/>
      <c r="C1963" s="81" t="n"/>
      <c r="D1963" s="81" t="n"/>
      <c r="E1963" s="16">
        <f>IF($A1963="","",$A1963&amp;"|"&amp;DAY($B1963))</f>
        <v/>
      </c>
      <c r="F1963" s="16">
        <f>IF($A1963="","",IF(COUNTIF(設定!$B$62:$B$201,$A1963)=0,"⚠ 查無員編",IF(COUNTIF($E$3:$E$2002,$E1963)&gt;1,"⚠ 重複打卡","OK")))</f>
        <v/>
      </c>
    </row>
    <row r="1964">
      <c r="A1964" s="20" t="n"/>
      <c r="B1964" s="18" t="n"/>
      <c r="C1964" s="81" t="n"/>
      <c r="D1964" s="81" t="n"/>
      <c r="E1964" s="16">
        <f>IF($A1964="","",$A1964&amp;"|"&amp;DAY($B1964))</f>
        <v/>
      </c>
      <c r="F1964" s="16">
        <f>IF($A1964="","",IF(COUNTIF(設定!$B$62:$B$201,$A1964)=0,"⚠ 查無員編",IF(COUNTIF($E$3:$E$2002,$E1964)&gt;1,"⚠ 重複打卡","OK")))</f>
        <v/>
      </c>
    </row>
    <row r="1965">
      <c r="A1965" s="20" t="n"/>
      <c r="B1965" s="18" t="n"/>
      <c r="C1965" s="81" t="n"/>
      <c r="D1965" s="81" t="n"/>
      <c r="E1965" s="16">
        <f>IF($A1965="","",$A1965&amp;"|"&amp;DAY($B1965))</f>
        <v/>
      </c>
      <c r="F1965" s="16">
        <f>IF($A1965="","",IF(COUNTIF(設定!$B$62:$B$201,$A1965)=0,"⚠ 查無員編",IF(COUNTIF($E$3:$E$2002,$E1965)&gt;1,"⚠ 重複打卡","OK")))</f>
        <v/>
      </c>
    </row>
    <row r="1966">
      <c r="A1966" s="20" t="n"/>
      <c r="B1966" s="18" t="n"/>
      <c r="C1966" s="81" t="n"/>
      <c r="D1966" s="81" t="n"/>
      <c r="E1966" s="16">
        <f>IF($A1966="","",$A1966&amp;"|"&amp;DAY($B1966))</f>
        <v/>
      </c>
      <c r="F1966" s="16">
        <f>IF($A1966="","",IF(COUNTIF(設定!$B$62:$B$201,$A1966)=0,"⚠ 查無員編",IF(COUNTIF($E$3:$E$2002,$E1966)&gt;1,"⚠ 重複打卡","OK")))</f>
        <v/>
      </c>
    </row>
    <row r="1967">
      <c r="A1967" s="20" t="n"/>
      <c r="B1967" s="18" t="n"/>
      <c r="C1967" s="81" t="n"/>
      <c r="D1967" s="81" t="n"/>
      <c r="E1967" s="16">
        <f>IF($A1967="","",$A1967&amp;"|"&amp;DAY($B1967))</f>
        <v/>
      </c>
      <c r="F1967" s="16">
        <f>IF($A1967="","",IF(COUNTIF(設定!$B$62:$B$201,$A1967)=0,"⚠ 查無員編",IF(COUNTIF($E$3:$E$2002,$E1967)&gt;1,"⚠ 重複打卡","OK")))</f>
        <v/>
      </c>
    </row>
    <row r="1968">
      <c r="A1968" s="20" t="n"/>
      <c r="B1968" s="18" t="n"/>
      <c r="C1968" s="81" t="n"/>
      <c r="D1968" s="81" t="n"/>
      <c r="E1968" s="16">
        <f>IF($A1968="","",$A1968&amp;"|"&amp;DAY($B1968))</f>
        <v/>
      </c>
      <c r="F1968" s="16">
        <f>IF($A1968="","",IF(COUNTIF(設定!$B$62:$B$201,$A1968)=0,"⚠ 查無員編",IF(COUNTIF($E$3:$E$2002,$E1968)&gt;1,"⚠ 重複打卡","OK")))</f>
        <v/>
      </c>
    </row>
    <row r="1969">
      <c r="A1969" s="20" t="n"/>
      <c r="B1969" s="18" t="n"/>
      <c r="C1969" s="81" t="n"/>
      <c r="D1969" s="81" t="n"/>
      <c r="E1969" s="16">
        <f>IF($A1969="","",$A1969&amp;"|"&amp;DAY($B1969))</f>
        <v/>
      </c>
      <c r="F1969" s="16">
        <f>IF($A1969="","",IF(COUNTIF(設定!$B$62:$B$201,$A1969)=0,"⚠ 查無員編",IF(COUNTIF($E$3:$E$2002,$E1969)&gt;1,"⚠ 重複打卡","OK")))</f>
        <v/>
      </c>
    </row>
    <row r="1970">
      <c r="A1970" s="20" t="n"/>
      <c r="B1970" s="18" t="n"/>
      <c r="C1970" s="81" t="n"/>
      <c r="D1970" s="81" t="n"/>
      <c r="E1970" s="16">
        <f>IF($A1970="","",$A1970&amp;"|"&amp;DAY($B1970))</f>
        <v/>
      </c>
      <c r="F1970" s="16">
        <f>IF($A1970="","",IF(COUNTIF(設定!$B$62:$B$201,$A1970)=0,"⚠ 查無員編",IF(COUNTIF($E$3:$E$2002,$E1970)&gt;1,"⚠ 重複打卡","OK")))</f>
        <v/>
      </c>
    </row>
    <row r="1971">
      <c r="A1971" s="20" t="n"/>
      <c r="B1971" s="18" t="n"/>
      <c r="C1971" s="81" t="n"/>
      <c r="D1971" s="81" t="n"/>
      <c r="E1971" s="16">
        <f>IF($A1971="","",$A1971&amp;"|"&amp;DAY($B1971))</f>
        <v/>
      </c>
      <c r="F1971" s="16">
        <f>IF($A1971="","",IF(COUNTIF(設定!$B$62:$B$201,$A1971)=0,"⚠ 查無員編",IF(COUNTIF($E$3:$E$2002,$E1971)&gt;1,"⚠ 重複打卡","OK")))</f>
        <v/>
      </c>
    </row>
    <row r="1972">
      <c r="A1972" s="20" t="n"/>
      <c r="B1972" s="18" t="n"/>
      <c r="C1972" s="81" t="n"/>
      <c r="D1972" s="81" t="n"/>
      <c r="E1972" s="16">
        <f>IF($A1972="","",$A1972&amp;"|"&amp;DAY($B1972))</f>
        <v/>
      </c>
      <c r="F1972" s="16">
        <f>IF($A1972="","",IF(COUNTIF(設定!$B$62:$B$201,$A1972)=0,"⚠ 查無員編",IF(COUNTIF($E$3:$E$2002,$E1972)&gt;1,"⚠ 重複打卡","OK")))</f>
        <v/>
      </c>
    </row>
    <row r="1973">
      <c r="A1973" s="20" t="n"/>
      <c r="B1973" s="18" t="n"/>
      <c r="C1973" s="81" t="n"/>
      <c r="D1973" s="81" t="n"/>
      <c r="E1973" s="16">
        <f>IF($A1973="","",$A1973&amp;"|"&amp;DAY($B1973))</f>
        <v/>
      </c>
      <c r="F1973" s="16">
        <f>IF($A1973="","",IF(COUNTIF(設定!$B$62:$B$201,$A1973)=0,"⚠ 查無員編",IF(COUNTIF($E$3:$E$2002,$E1973)&gt;1,"⚠ 重複打卡","OK")))</f>
        <v/>
      </c>
    </row>
    <row r="1974">
      <c r="A1974" s="20" t="n"/>
      <c r="B1974" s="18" t="n"/>
      <c r="C1974" s="81" t="n"/>
      <c r="D1974" s="81" t="n"/>
      <c r="E1974" s="16">
        <f>IF($A1974="","",$A1974&amp;"|"&amp;DAY($B1974))</f>
        <v/>
      </c>
      <c r="F1974" s="16">
        <f>IF($A1974="","",IF(COUNTIF(設定!$B$62:$B$201,$A1974)=0,"⚠ 查無員編",IF(COUNTIF($E$3:$E$2002,$E1974)&gt;1,"⚠ 重複打卡","OK")))</f>
        <v/>
      </c>
    </row>
    <row r="1975">
      <c r="A1975" s="20" t="n"/>
      <c r="B1975" s="18" t="n"/>
      <c r="C1975" s="81" t="n"/>
      <c r="D1975" s="81" t="n"/>
      <c r="E1975" s="16">
        <f>IF($A1975="","",$A1975&amp;"|"&amp;DAY($B1975))</f>
        <v/>
      </c>
      <c r="F1975" s="16">
        <f>IF($A1975="","",IF(COUNTIF(設定!$B$62:$B$201,$A1975)=0,"⚠ 查無員編",IF(COUNTIF($E$3:$E$2002,$E1975)&gt;1,"⚠ 重複打卡","OK")))</f>
        <v/>
      </c>
    </row>
    <row r="1976">
      <c r="A1976" s="20" t="n"/>
      <c r="B1976" s="18" t="n"/>
      <c r="C1976" s="81" t="n"/>
      <c r="D1976" s="81" t="n"/>
      <c r="E1976" s="16">
        <f>IF($A1976="","",$A1976&amp;"|"&amp;DAY($B1976))</f>
        <v/>
      </c>
      <c r="F1976" s="16">
        <f>IF($A1976="","",IF(COUNTIF(設定!$B$62:$B$201,$A1976)=0,"⚠ 查無員編",IF(COUNTIF($E$3:$E$2002,$E1976)&gt;1,"⚠ 重複打卡","OK")))</f>
        <v/>
      </c>
    </row>
    <row r="1977">
      <c r="A1977" s="20" t="n"/>
      <c r="B1977" s="18" t="n"/>
      <c r="C1977" s="81" t="n"/>
      <c r="D1977" s="81" t="n"/>
      <c r="E1977" s="16">
        <f>IF($A1977="","",$A1977&amp;"|"&amp;DAY($B1977))</f>
        <v/>
      </c>
      <c r="F1977" s="16">
        <f>IF($A1977="","",IF(COUNTIF(設定!$B$62:$B$201,$A1977)=0,"⚠ 查無員編",IF(COUNTIF($E$3:$E$2002,$E1977)&gt;1,"⚠ 重複打卡","OK")))</f>
        <v/>
      </c>
    </row>
    <row r="1978">
      <c r="A1978" s="20" t="n"/>
      <c r="B1978" s="18" t="n"/>
      <c r="C1978" s="81" t="n"/>
      <c r="D1978" s="81" t="n"/>
      <c r="E1978" s="16">
        <f>IF($A1978="","",$A1978&amp;"|"&amp;DAY($B1978))</f>
        <v/>
      </c>
      <c r="F1978" s="16">
        <f>IF($A1978="","",IF(COUNTIF(設定!$B$62:$B$201,$A1978)=0,"⚠ 查無員編",IF(COUNTIF($E$3:$E$2002,$E1978)&gt;1,"⚠ 重複打卡","OK")))</f>
        <v/>
      </c>
    </row>
    <row r="1979">
      <c r="A1979" s="20" t="n"/>
      <c r="B1979" s="18" t="n"/>
      <c r="C1979" s="81" t="n"/>
      <c r="D1979" s="81" t="n"/>
      <c r="E1979" s="16">
        <f>IF($A1979="","",$A1979&amp;"|"&amp;DAY($B1979))</f>
        <v/>
      </c>
      <c r="F1979" s="16">
        <f>IF($A1979="","",IF(COUNTIF(設定!$B$62:$B$201,$A1979)=0,"⚠ 查無員編",IF(COUNTIF($E$3:$E$2002,$E1979)&gt;1,"⚠ 重複打卡","OK")))</f>
        <v/>
      </c>
    </row>
    <row r="1980">
      <c r="A1980" s="20" t="n"/>
      <c r="B1980" s="18" t="n"/>
      <c r="C1980" s="81" t="n"/>
      <c r="D1980" s="81" t="n"/>
      <c r="E1980" s="16">
        <f>IF($A1980="","",$A1980&amp;"|"&amp;DAY($B1980))</f>
        <v/>
      </c>
      <c r="F1980" s="16">
        <f>IF($A1980="","",IF(COUNTIF(設定!$B$62:$B$201,$A1980)=0,"⚠ 查無員編",IF(COUNTIF($E$3:$E$2002,$E1980)&gt;1,"⚠ 重複打卡","OK")))</f>
        <v/>
      </c>
    </row>
    <row r="1981">
      <c r="A1981" s="20" t="n"/>
      <c r="B1981" s="18" t="n"/>
      <c r="C1981" s="81" t="n"/>
      <c r="D1981" s="81" t="n"/>
      <c r="E1981" s="16">
        <f>IF($A1981="","",$A1981&amp;"|"&amp;DAY($B1981))</f>
        <v/>
      </c>
      <c r="F1981" s="16">
        <f>IF($A1981="","",IF(COUNTIF(設定!$B$62:$B$201,$A1981)=0,"⚠ 查無員編",IF(COUNTIF($E$3:$E$2002,$E1981)&gt;1,"⚠ 重複打卡","OK")))</f>
        <v/>
      </c>
    </row>
    <row r="1982">
      <c r="A1982" s="20" t="n"/>
      <c r="B1982" s="18" t="n"/>
      <c r="C1982" s="81" t="n"/>
      <c r="D1982" s="81" t="n"/>
      <c r="E1982" s="16">
        <f>IF($A1982="","",$A1982&amp;"|"&amp;DAY($B1982))</f>
        <v/>
      </c>
      <c r="F1982" s="16">
        <f>IF($A1982="","",IF(COUNTIF(設定!$B$62:$B$201,$A1982)=0,"⚠ 查無員編",IF(COUNTIF($E$3:$E$2002,$E1982)&gt;1,"⚠ 重複打卡","OK")))</f>
        <v/>
      </c>
    </row>
    <row r="1983">
      <c r="A1983" s="20" t="n"/>
      <c r="B1983" s="18" t="n"/>
      <c r="C1983" s="81" t="n"/>
      <c r="D1983" s="81" t="n"/>
      <c r="E1983" s="16">
        <f>IF($A1983="","",$A1983&amp;"|"&amp;DAY($B1983))</f>
        <v/>
      </c>
      <c r="F1983" s="16">
        <f>IF($A1983="","",IF(COUNTIF(設定!$B$62:$B$201,$A1983)=0,"⚠ 查無員編",IF(COUNTIF($E$3:$E$2002,$E1983)&gt;1,"⚠ 重複打卡","OK")))</f>
        <v/>
      </c>
    </row>
    <row r="1984">
      <c r="A1984" s="20" t="n"/>
      <c r="B1984" s="18" t="n"/>
      <c r="C1984" s="81" t="n"/>
      <c r="D1984" s="81" t="n"/>
      <c r="E1984" s="16">
        <f>IF($A1984="","",$A1984&amp;"|"&amp;DAY($B1984))</f>
        <v/>
      </c>
      <c r="F1984" s="16">
        <f>IF($A1984="","",IF(COUNTIF(設定!$B$62:$B$201,$A1984)=0,"⚠ 查無員編",IF(COUNTIF($E$3:$E$2002,$E1984)&gt;1,"⚠ 重複打卡","OK")))</f>
        <v/>
      </c>
    </row>
    <row r="1985">
      <c r="A1985" s="20" t="n"/>
      <c r="B1985" s="18" t="n"/>
      <c r="C1985" s="81" t="n"/>
      <c r="D1985" s="81" t="n"/>
      <c r="E1985" s="16">
        <f>IF($A1985="","",$A1985&amp;"|"&amp;DAY($B1985))</f>
        <v/>
      </c>
      <c r="F1985" s="16">
        <f>IF($A1985="","",IF(COUNTIF(設定!$B$62:$B$201,$A1985)=0,"⚠ 查無員編",IF(COUNTIF($E$3:$E$2002,$E1985)&gt;1,"⚠ 重複打卡","OK")))</f>
        <v/>
      </c>
    </row>
    <row r="1986">
      <c r="A1986" s="20" t="n"/>
      <c r="B1986" s="18" t="n"/>
      <c r="C1986" s="81" t="n"/>
      <c r="D1986" s="81" t="n"/>
      <c r="E1986" s="16">
        <f>IF($A1986="","",$A1986&amp;"|"&amp;DAY($B1986))</f>
        <v/>
      </c>
      <c r="F1986" s="16">
        <f>IF($A1986="","",IF(COUNTIF(設定!$B$62:$B$201,$A1986)=0,"⚠ 查無員編",IF(COUNTIF($E$3:$E$2002,$E1986)&gt;1,"⚠ 重複打卡","OK")))</f>
        <v/>
      </c>
    </row>
    <row r="1987">
      <c r="A1987" s="20" t="n"/>
      <c r="B1987" s="18" t="n"/>
      <c r="C1987" s="81" t="n"/>
      <c r="D1987" s="81" t="n"/>
      <c r="E1987" s="16">
        <f>IF($A1987="","",$A1987&amp;"|"&amp;DAY($B1987))</f>
        <v/>
      </c>
      <c r="F1987" s="16">
        <f>IF($A1987="","",IF(COUNTIF(設定!$B$62:$B$201,$A1987)=0,"⚠ 查無員編",IF(COUNTIF($E$3:$E$2002,$E1987)&gt;1,"⚠ 重複打卡","OK")))</f>
        <v/>
      </c>
    </row>
    <row r="1988">
      <c r="A1988" s="20" t="n"/>
      <c r="B1988" s="18" t="n"/>
      <c r="C1988" s="81" t="n"/>
      <c r="D1988" s="81" t="n"/>
      <c r="E1988" s="16">
        <f>IF($A1988="","",$A1988&amp;"|"&amp;DAY($B1988))</f>
        <v/>
      </c>
      <c r="F1988" s="16">
        <f>IF($A1988="","",IF(COUNTIF(設定!$B$62:$B$201,$A1988)=0,"⚠ 查無員編",IF(COUNTIF($E$3:$E$2002,$E1988)&gt;1,"⚠ 重複打卡","OK")))</f>
        <v/>
      </c>
    </row>
    <row r="1989">
      <c r="A1989" s="20" t="n"/>
      <c r="B1989" s="18" t="n"/>
      <c r="C1989" s="81" t="n"/>
      <c r="D1989" s="81" t="n"/>
      <c r="E1989" s="16">
        <f>IF($A1989="","",$A1989&amp;"|"&amp;DAY($B1989))</f>
        <v/>
      </c>
      <c r="F1989" s="16">
        <f>IF($A1989="","",IF(COUNTIF(設定!$B$62:$B$201,$A1989)=0,"⚠ 查無員編",IF(COUNTIF($E$3:$E$2002,$E1989)&gt;1,"⚠ 重複打卡","OK")))</f>
        <v/>
      </c>
    </row>
    <row r="1990">
      <c r="A1990" s="20" t="n"/>
      <c r="B1990" s="18" t="n"/>
      <c r="C1990" s="81" t="n"/>
      <c r="D1990" s="81" t="n"/>
      <c r="E1990" s="16">
        <f>IF($A1990="","",$A1990&amp;"|"&amp;DAY($B1990))</f>
        <v/>
      </c>
      <c r="F1990" s="16">
        <f>IF($A1990="","",IF(COUNTIF(設定!$B$62:$B$201,$A1990)=0,"⚠ 查無員編",IF(COUNTIF($E$3:$E$2002,$E1990)&gt;1,"⚠ 重複打卡","OK")))</f>
        <v/>
      </c>
    </row>
    <row r="1991">
      <c r="A1991" s="20" t="n"/>
      <c r="B1991" s="18" t="n"/>
      <c r="C1991" s="81" t="n"/>
      <c r="D1991" s="81" t="n"/>
      <c r="E1991" s="16">
        <f>IF($A1991="","",$A1991&amp;"|"&amp;DAY($B1991))</f>
        <v/>
      </c>
      <c r="F1991" s="16">
        <f>IF($A1991="","",IF(COUNTIF(設定!$B$62:$B$201,$A1991)=0,"⚠ 查無員編",IF(COUNTIF($E$3:$E$2002,$E1991)&gt;1,"⚠ 重複打卡","OK")))</f>
        <v/>
      </c>
    </row>
    <row r="1992">
      <c r="A1992" s="20" t="n"/>
      <c r="B1992" s="18" t="n"/>
      <c r="C1992" s="81" t="n"/>
      <c r="D1992" s="81" t="n"/>
      <c r="E1992" s="16">
        <f>IF($A1992="","",$A1992&amp;"|"&amp;DAY($B1992))</f>
        <v/>
      </c>
      <c r="F1992" s="16">
        <f>IF($A1992="","",IF(COUNTIF(設定!$B$62:$B$201,$A1992)=0,"⚠ 查無員編",IF(COUNTIF($E$3:$E$2002,$E1992)&gt;1,"⚠ 重複打卡","OK")))</f>
        <v/>
      </c>
    </row>
    <row r="1993">
      <c r="A1993" s="20" t="n"/>
      <c r="B1993" s="18" t="n"/>
      <c r="C1993" s="81" t="n"/>
      <c r="D1993" s="81" t="n"/>
      <c r="E1993" s="16">
        <f>IF($A1993="","",$A1993&amp;"|"&amp;DAY($B1993))</f>
        <v/>
      </c>
      <c r="F1993" s="16">
        <f>IF($A1993="","",IF(COUNTIF(設定!$B$62:$B$201,$A1993)=0,"⚠ 查無員編",IF(COUNTIF($E$3:$E$2002,$E1993)&gt;1,"⚠ 重複打卡","OK")))</f>
        <v/>
      </c>
    </row>
    <row r="1994">
      <c r="A1994" s="20" t="n"/>
      <c r="B1994" s="18" t="n"/>
      <c r="C1994" s="81" t="n"/>
      <c r="D1994" s="81" t="n"/>
      <c r="E1994" s="16">
        <f>IF($A1994="","",$A1994&amp;"|"&amp;DAY($B1994))</f>
        <v/>
      </c>
      <c r="F1994" s="16">
        <f>IF($A1994="","",IF(COUNTIF(設定!$B$62:$B$201,$A1994)=0,"⚠ 查無員編",IF(COUNTIF($E$3:$E$2002,$E1994)&gt;1,"⚠ 重複打卡","OK")))</f>
        <v/>
      </c>
    </row>
    <row r="1995">
      <c r="A1995" s="20" t="n"/>
      <c r="B1995" s="18" t="n"/>
      <c r="C1995" s="81" t="n"/>
      <c r="D1995" s="81" t="n"/>
      <c r="E1995" s="16">
        <f>IF($A1995="","",$A1995&amp;"|"&amp;DAY($B1995))</f>
        <v/>
      </c>
      <c r="F1995" s="16">
        <f>IF($A1995="","",IF(COUNTIF(設定!$B$62:$B$201,$A1995)=0,"⚠ 查無員編",IF(COUNTIF($E$3:$E$2002,$E1995)&gt;1,"⚠ 重複打卡","OK")))</f>
        <v/>
      </c>
    </row>
    <row r="1996">
      <c r="A1996" s="20" t="n"/>
      <c r="B1996" s="18" t="n"/>
      <c r="C1996" s="81" t="n"/>
      <c r="D1996" s="81" t="n"/>
      <c r="E1996" s="16">
        <f>IF($A1996="","",$A1996&amp;"|"&amp;DAY($B1996))</f>
        <v/>
      </c>
      <c r="F1996" s="16">
        <f>IF($A1996="","",IF(COUNTIF(設定!$B$62:$B$201,$A1996)=0,"⚠ 查無員編",IF(COUNTIF($E$3:$E$2002,$E1996)&gt;1,"⚠ 重複打卡","OK")))</f>
        <v/>
      </c>
    </row>
    <row r="1997">
      <c r="A1997" s="20" t="n"/>
      <c r="B1997" s="18" t="n"/>
      <c r="C1997" s="81" t="n"/>
      <c r="D1997" s="81" t="n"/>
      <c r="E1997" s="16">
        <f>IF($A1997="","",$A1997&amp;"|"&amp;DAY($B1997))</f>
        <v/>
      </c>
      <c r="F1997" s="16">
        <f>IF($A1997="","",IF(COUNTIF(設定!$B$62:$B$201,$A1997)=0,"⚠ 查無員編",IF(COUNTIF($E$3:$E$2002,$E1997)&gt;1,"⚠ 重複打卡","OK")))</f>
        <v/>
      </c>
    </row>
    <row r="1998">
      <c r="A1998" s="20" t="n"/>
      <c r="B1998" s="18" t="n"/>
      <c r="C1998" s="81" t="n"/>
      <c r="D1998" s="81" t="n"/>
      <c r="E1998" s="16">
        <f>IF($A1998="","",$A1998&amp;"|"&amp;DAY($B1998))</f>
        <v/>
      </c>
      <c r="F1998" s="16">
        <f>IF($A1998="","",IF(COUNTIF(設定!$B$62:$B$201,$A1998)=0,"⚠ 查無員編",IF(COUNTIF($E$3:$E$2002,$E1998)&gt;1,"⚠ 重複打卡","OK")))</f>
        <v/>
      </c>
    </row>
    <row r="1999">
      <c r="A1999" s="20" t="n"/>
      <c r="B1999" s="18" t="n"/>
      <c r="C1999" s="81" t="n"/>
      <c r="D1999" s="81" t="n"/>
      <c r="E1999" s="16">
        <f>IF($A1999="","",$A1999&amp;"|"&amp;DAY($B1999))</f>
        <v/>
      </c>
      <c r="F1999" s="16">
        <f>IF($A1999="","",IF(COUNTIF(設定!$B$62:$B$201,$A1999)=0,"⚠ 查無員編",IF(COUNTIF($E$3:$E$2002,$E1999)&gt;1,"⚠ 重複打卡","OK")))</f>
        <v/>
      </c>
    </row>
    <row r="2000">
      <c r="A2000" s="20" t="n"/>
      <c r="B2000" s="18" t="n"/>
      <c r="C2000" s="81" t="n"/>
      <c r="D2000" s="81" t="n"/>
      <c r="E2000" s="16">
        <f>IF($A2000="","",$A2000&amp;"|"&amp;DAY($B2000))</f>
        <v/>
      </c>
      <c r="F2000" s="16">
        <f>IF($A2000="","",IF(COUNTIF(設定!$B$62:$B$201,$A2000)=0,"⚠ 查無員編",IF(COUNTIF($E$3:$E$2002,$E2000)&gt;1,"⚠ 重複打卡","OK")))</f>
        <v/>
      </c>
    </row>
    <row r="2001">
      <c r="A2001" s="20" t="n"/>
      <c r="B2001" s="18" t="n"/>
      <c r="C2001" s="81" t="n"/>
      <c r="D2001" s="81" t="n"/>
      <c r="E2001" s="16">
        <f>IF($A2001="","",$A2001&amp;"|"&amp;DAY($B2001))</f>
        <v/>
      </c>
      <c r="F2001" s="16">
        <f>IF($A2001="","",IF(COUNTIF(設定!$B$62:$B$201,$A2001)=0,"⚠ 查無員編",IF(COUNTIF($E$3:$E$2002,$E2001)&gt;1,"⚠ 重複打卡","OK")))</f>
        <v/>
      </c>
    </row>
    <row r="2002">
      <c r="A2002" s="20" t="n"/>
      <c r="B2002" s="18" t="n"/>
      <c r="C2002" s="81" t="n"/>
      <c r="D2002" s="81" t="n"/>
      <c r="E2002" s="16">
        <f>IF($A2002="","",$A2002&amp;"|"&amp;DAY($B2002))</f>
        <v/>
      </c>
      <c r="F2002" s="16">
        <f>IF($A2002="","",IF(COUNTIF(設定!$B$62:$B$201,$A2002)=0,"⚠ 查無員編",IF(COUNTIF($E$3:$E$2002,$E2002)&gt;1,"⚠ 重複打卡","OK")))</f>
        <v/>
      </c>
    </row>
  </sheetData>
  <autoFilter ref="A2:F2002"/>
  <mergeCells count="1">
    <mergeCell ref="A1:F1"/>
  </mergeCells>
  <conditionalFormatting sqref="A3:F2002">
    <cfRule type="expression" priority="1" dxfId="9">
      <formula>AND($A3&lt;&gt;"",LEFT($F3,1)="⚠")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862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11" customWidth="1" min="3" max="3"/>
    <col width="11" customWidth="1" min="4" max="4"/>
    <col width="10" customWidth="1" min="5" max="5"/>
    <col width="9" customWidth="1" min="6" max="6"/>
    <col width="9" customWidth="1" min="7" max="7"/>
    <col width="8" customWidth="1" min="8" max="8"/>
    <col width="8" customWidth="1" min="9" max="9"/>
    <col width="10" customWidth="1" min="10" max="10"/>
    <col width="10" customWidth="1" min="11" max="11"/>
    <col width="9" customWidth="1" min="12" max="12"/>
    <col width="10" customWidth="1" min="13" max="13"/>
    <col width="11" customWidth="1" min="14" max="14"/>
    <col width="9" customWidth="1" min="15" max="15"/>
    <col width="9" customWidth="1" min="16" max="16"/>
    <col width="10" customWidth="1" min="17" max="17"/>
    <col width="10" customWidth="1" min="18" max="18"/>
    <col width="22" customWidth="1" min="19" max="19"/>
  </cols>
  <sheetData>
    <row r="1">
      <c r="A1" s="78" t="inlineStr">
        <is>
          <t>出勤紀錄(法定紀錄:逐日記載至分鐘,保存 5 年)　　⚠ 助理與醫護長名單尚未匯入,本分頁目前是空的</t>
        </is>
      </c>
    </row>
    <row r="2" ht="28" customHeight="1">
      <c r="A2" s="10" t="inlineStr">
        <is>
          <t>日期</t>
        </is>
      </c>
      <c r="B2" s="10" t="inlineStr">
        <is>
          <t>星期</t>
        </is>
      </c>
      <c r="C2" s="10" t="inlineStr">
        <is>
          <t>員工編號</t>
        </is>
      </c>
      <c r="D2" s="10" t="inlineStr">
        <is>
          <t>姓名</t>
        </is>
      </c>
      <c r="E2" s="10" t="inlineStr">
        <is>
          <t>院所</t>
        </is>
      </c>
      <c r="F2" s="10" t="inlineStr">
        <is>
          <t>職類</t>
        </is>
      </c>
      <c r="G2" s="10" t="inlineStr">
        <is>
          <t>排班代碼</t>
        </is>
      </c>
      <c r="H2" s="10" t="inlineStr">
        <is>
          <t>應到</t>
        </is>
      </c>
      <c r="I2" s="10" t="inlineStr">
        <is>
          <t>應退</t>
        </is>
      </c>
      <c r="J2" s="10" t="inlineStr">
        <is>
          <t>實際上班</t>
        </is>
      </c>
      <c r="K2" s="10" t="inlineStr">
        <is>
          <t>實際下班</t>
        </is>
      </c>
      <c r="L2" s="10" t="inlineStr">
        <is>
          <t>休息(分)</t>
        </is>
      </c>
      <c r="M2" s="10" t="inlineStr">
        <is>
          <t>實際工時</t>
        </is>
      </c>
      <c r="N2" s="10" t="inlineStr">
        <is>
          <t>出勤異常</t>
        </is>
      </c>
      <c r="O2" s="10" t="inlineStr">
        <is>
          <t>遲到(分)</t>
        </is>
      </c>
      <c r="P2" s="10" t="inlineStr">
        <is>
          <t>早退(分)</t>
        </is>
      </c>
      <c r="Q2" s="10" t="inlineStr">
        <is>
          <t>加班時數</t>
        </is>
      </c>
      <c r="R2" s="10" t="inlineStr">
        <is>
          <t>加班別</t>
        </is>
      </c>
      <c r="S2" s="10" t="inlineStr">
        <is>
          <t>備註</t>
        </is>
      </c>
    </row>
    <row r="3">
      <c r="A3" s="82">
        <f>IF(OR(助理班表!$A5="",1&gt;DAY(EOMONTH(DATE(設定!$C$2,設定!$D$2,1),0))),"",DATE(設定!$C$2,設定!$D$2,1))</f>
        <v/>
      </c>
      <c r="B3" s="16">
        <f>IF($A3="","",INDEX(設定!$O$6:$O$12,WEEKDAY($A3,1)))</f>
        <v/>
      </c>
      <c r="C3" s="16">
        <f>IF($A3="","",助理班表!$A5)</f>
        <v/>
      </c>
      <c r="D3" s="16">
        <f>IF($C3="","",助理班表!$B5)</f>
        <v/>
      </c>
      <c r="E3" s="16">
        <f>IF($C3="","",助理班表!$D5)</f>
        <v/>
      </c>
      <c r="F3" s="16">
        <f>IF($C3="","",助理班表!$C5)</f>
        <v/>
      </c>
      <c r="G3" s="16">
        <f>IF($C3="","",助理班表!E5)</f>
        <v/>
      </c>
      <c r="H3" s="83">
        <f>IF($G3="","",IFERROR(IF(INDEX(設定!$D$6:$D$21,MATCH($G3,設定!$B$6:$B$21,0))=0,"",INDEX(設定!$D$6:$D$21,MATCH($G3,設定!$B$6:$B$21,0))),""))</f>
        <v/>
      </c>
      <c r="I3" s="83">
        <f>IF($G3="","",IFERROR(IF(INDEX(設定!$E$6:$E$21,MATCH($G3,設定!$B$6:$B$21,0))=0,"",INDEX(設定!$E$6:$E$21,MATCH($G3,設定!$B$6:$B$21,0))),""))</f>
        <v/>
      </c>
      <c r="J3" s="83">
        <f>IFERROR(INDEX(打卡匯入!$C$3:$C$2002,MATCH($C3&amp;"|"&amp;DAY($A3),打卡匯入!$E$3:$E$2002,0)),"")</f>
        <v/>
      </c>
      <c r="K3" s="83">
        <f>IFERROR(INDEX(打卡匯入!$D$3:$D$2002,MATCH($C3&amp;"|"&amp;DAY($A3),打卡匯入!$E$3:$E$2002,0)),"")</f>
        <v/>
      </c>
      <c r="L3" s="84">
        <f>IF(OR($J3="",$K3=""),"",IFERROR(INDEX(設定!$F$6:$F$21,MATCH($G3,設定!$B$6:$B$21,0)),0))</f>
        <v/>
      </c>
      <c r="M3" s="85">
        <f>IF(OR($J3="",$K3=""),"",ROUND(($K3-$J3)*24-$L3/60,2))</f>
        <v/>
      </c>
      <c r="N3" s="16">
        <f>IF($C3="","",IF(AND(COUNTIF(設定!$B$15:$B$21,$G3)&gt;0,$J3&lt;&gt;""),"假日出勤",IF(AND(COUNTIF(設定!$B$6:$B$14,$G3)&gt;0,$J3=""),"未打卡",IF($J3="","",IF($O3&gt;0,"遲到",IF($P3&gt;0,"早退","正常"))))))</f>
        <v/>
      </c>
      <c r="O3" s="84">
        <f>IF(OR($C3="",$H3="",$J3=""),0,IF(ROUND(($J3-$H3)*1440,0)&gt;設定!$C$46,ROUND(($J3-$H3)*1440,0),0))</f>
        <v/>
      </c>
      <c r="P3" s="84">
        <f>IF(OR($C3="",$I3="",$K3=""),0,IF(ROUND(($I3-$K3)*1440,0)&gt;設定!$C$46,ROUND(($I3-$K3)*1440,0),0))</f>
        <v/>
      </c>
      <c r="Q3" s="85">
        <f>IF($M3="",0,IF(($M3-IFERROR(INDEX(設定!$G$6:$G$21,MATCH($G3,設定!$B$6:$B$21,0)),0))*60&gt;=設定!$C$44,ROUND(FLOOR(($M3-IFERROR(INDEX(設定!$G$6:$G$21,MATCH($G3,設定!$B$6:$B$21,0)),0))*60,設定!$C$45)/60,2),0))</f>
        <v/>
      </c>
      <c r="R3" s="16">
        <f>IF(OR($C3="",$Q3=0),"",IF($G3="國","國定假日",IF($B3="日","例假",IF($B3="六","休息日","平日"))))</f>
        <v/>
      </c>
      <c r="S3" s="19" t="n"/>
    </row>
    <row r="4">
      <c r="A4" s="82">
        <f>IF(OR(助理班表!$A5="",2&gt;DAY(EOMONTH(DATE(設定!$C$2,設定!$D$2,1),0))),"",DATE(設定!$C$2,設定!$D$2,2))</f>
        <v/>
      </c>
      <c r="B4" s="16">
        <f>IF($A4="","",INDEX(設定!$O$6:$O$12,WEEKDAY($A4,1)))</f>
        <v/>
      </c>
      <c r="C4" s="16">
        <f>IF($A4="","",助理班表!$A5)</f>
        <v/>
      </c>
      <c r="D4" s="16">
        <f>IF($C4="","",助理班表!$B5)</f>
        <v/>
      </c>
      <c r="E4" s="16">
        <f>IF($C4="","",助理班表!$D5)</f>
        <v/>
      </c>
      <c r="F4" s="16">
        <f>IF($C4="","",助理班表!$C5)</f>
        <v/>
      </c>
      <c r="G4" s="16">
        <f>IF($C4="","",助理班表!F5)</f>
        <v/>
      </c>
      <c r="H4" s="83">
        <f>IF($G4="","",IFERROR(IF(INDEX(設定!$D$6:$D$21,MATCH($G4,設定!$B$6:$B$21,0))=0,"",INDEX(設定!$D$6:$D$21,MATCH($G4,設定!$B$6:$B$21,0))),""))</f>
        <v/>
      </c>
      <c r="I4" s="83">
        <f>IF($G4="","",IFERROR(IF(INDEX(設定!$E$6:$E$21,MATCH($G4,設定!$B$6:$B$21,0))=0,"",INDEX(設定!$E$6:$E$21,MATCH($G4,設定!$B$6:$B$21,0))),""))</f>
        <v/>
      </c>
      <c r="J4" s="83">
        <f>IFERROR(INDEX(打卡匯入!$C$3:$C$2002,MATCH($C4&amp;"|"&amp;DAY($A4),打卡匯入!$E$3:$E$2002,0)),"")</f>
        <v/>
      </c>
      <c r="K4" s="83">
        <f>IFERROR(INDEX(打卡匯入!$D$3:$D$2002,MATCH($C4&amp;"|"&amp;DAY($A4),打卡匯入!$E$3:$E$2002,0)),"")</f>
        <v/>
      </c>
      <c r="L4" s="84">
        <f>IF(OR($J4="",$K4=""),"",IFERROR(INDEX(設定!$F$6:$F$21,MATCH($G4,設定!$B$6:$B$21,0)),0))</f>
        <v/>
      </c>
      <c r="M4" s="85">
        <f>IF(OR($J4="",$K4=""),"",ROUND(($K4-$J4)*24-$L4/60,2))</f>
        <v/>
      </c>
      <c r="N4" s="16">
        <f>IF($C4="","",IF(AND(COUNTIF(設定!$B$15:$B$21,$G4)&gt;0,$J4&lt;&gt;""),"假日出勤",IF(AND(COUNTIF(設定!$B$6:$B$14,$G4)&gt;0,$J4=""),"未打卡",IF($J4="","",IF($O4&gt;0,"遲到",IF($P4&gt;0,"早退","正常"))))))</f>
        <v/>
      </c>
      <c r="O4" s="84">
        <f>IF(OR($C4="",$H4="",$J4=""),0,IF(ROUND(($J4-$H4)*1440,0)&gt;設定!$C$46,ROUND(($J4-$H4)*1440,0),0))</f>
        <v/>
      </c>
      <c r="P4" s="84">
        <f>IF(OR($C4="",$I4="",$K4=""),0,IF(ROUND(($I4-$K4)*1440,0)&gt;設定!$C$46,ROUND(($I4-$K4)*1440,0),0))</f>
        <v/>
      </c>
      <c r="Q4" s="85">
        <f>IF($M4="",0,IF(($M4-IFERROR(INDEX(設定!$G$6:$G$21,MATCH($G4,設定!$B$6:$B$21,0)),0))*60&gt;=設定!$C$44,ROUND(FLOOR(($M4-IFERROR(INDEX(設定!$G$6:$G$21,MATCH($G4,設定!$B$6:$B$21,0)),0))*60,設定!$C$45)/60,2),0))</f>
        <v/>
      </c>
      <c r="R4" s="16">
        <f>IF(OR($C4="",$Q4=0),"",IF($G4="國","國定假日",IF($B4="日","例假",IF($B4="六","休息日","平日"))))</f>
        <v/>
      </c>
      <c r="S4" s="19" t="n"/>
    </row>
    <row r="5">
      <c r="A5" s="82">
        <f>IF(OR(助理班表!$A5="",3&gt;DAY(EOMONTH(DATE(設定!$C$2,設定!$D$2,1),0))),"",DATE(設定!$C$2,設定!$D$2,3))</f>
        <v/>
      </c>
      <c r="B5" s="16">
        <f>IF($A5="","",INDEX(設定!$O$6:$O$12,WEEKDAY($A5,1)))</f>
        <v/>
      </c>
      <c r="C5" s="16">
        <f>IF($A5="","",助理班表!$A5)</f>
        <v/>
      </c>
      <c r="D5" s="16">
        <f>IF($C5="","",助理班表!$B5)</f>
        <v/>
      </c>
      <c r="E5" s="16">
        <f>IF($C5="","",助理班表!$D5)</f>
        <v/>
      </c>
      <c r="F5" s="16">
        <f>IF($C5="","",助理班表!$C5)</f>
        <v/>
      </c>
      <c r="G5" s="16">
        <f>IF($C5="","",助理班表!G5)</f>
        <v/>
      </c>
      <c r="H5" s="83">
        <f>IF($G5="","",IFERROR(IF(INDEX(設定!$D$6:$D$21,MATCH($G5,設定!$B$6:$B$21,0))=0,"",INDEX(設定!$D$6:$D$21,MATCH($G5,設定!$B$6:$B$21,0))),""))</f>
        <v/>
      </c>
      <c r="I5" s="83">
        <f>IF($G5="","",IFERROR(IF(INDEX(設定!$E$6:$E$21,MATCH($G5,設定!$B$6:$B$21,0))=0,"",INDEX(設定!$E$6:$E$21,MATCH($G5,設定!$B$6:$B$21,0))),""))</f>
        <v/>
      </c>
      <c r="J5" s="83">
        <f>IFERROR(INDEX(打卡匯入!$C$3:$C$2002,MATCH($C5&amp;"|"&amp;DAY($A5),打卡匯入!$E$3:$E$2002,0)),"")</f>
        <v/>
      </c>
      <c r="K5" s="83">
        <f>IFERROR(INDEX(打卡匯入!$D$3:$D$2002,MATCH($C5&amp;"|"&amp;DAY($A5),打卡匯入!$E$3:$E$2002,0)),"")</f>
        <v/>
      </c>
      <c r="L5" s="84">
        <f>IF(OR($J5="",$K5=""),"",IFERROR(INDEX(設定!$F$6:$F$21,MATCH($G5,設定!$B$6:$B$21,0)),0))</f>
        <v/>
      </c>
      <c r="M5" s="85">
        <f>IF(OR($J5="",$K5=""),"",ROUND(($K5-$J5)*24-$L5/60,2))</f>
        <v/>
      </c>
      <c r="N5" s="16">
        <f>IF($C5="","",IF(AND(COUNTIF(設定!$B$15:$B$21,$G5)&gt;0,$J5&lt;&gt;""),"假日出勤",IF(AND(COUNTIF(設定!$B$6:$B$14,$G5)&gt;0,$J5=""),"未打卡",IF($J5="","",IF($O5&gt;0,"遲到",IF($P5&gt;0,"早退","正常"))))))</f>
        <v/>
      </c>
      <c r="O5" s="84">
        <f>IF(OR($C5="",$H5="",$J5=""),0,IF(ROUND(($J5-$H5)*1440,0)&gt;設定!$C$46,ROUND(($J5-$H5)*1440,0),0))</f>
        <v/>
      </c>
      <c r="P5" s="84">
        <f>IF(OR($C5="",$I5="",$K5=""),0,IF(ROUND(($I5-$K5)*1440,0)&gt;設定!$C$46,ROUND(($I5-$K5)*1440,0),0))</f>
        <v/>
      </c>
      <c r="Q5" s="85">
        <f>IF($M5="",0,IF(($M5-IFERROR(INDEX(設定!$G$6:$G$21,MATCH($G5,設定!$B$6:$B$21,0)),0))*60&gt;=設定!$C$44,ROUND(FLOOR(($M5-IFERROR(INDEX(設定!$G$6:$G$21,MATCH($G5,設定!$B$6:$B$21,0)),0))*60,設定!$C$45)/60,2),0))</f>
        <v/>
      </c>
      <c r="R5" s="16">
        <f>IF(OR($C5="",$Q5=0),"",IF($G5="國","國定假日",IF($B5="日","例假",IF($B5="六","休息日","平日"))))</f>
        <v/>
      </c>
      <c r="S5" s="19" t="n"/>
    </row>
    <row r="6">
      <c r="A6" s="82">
        <f>IF(OR(助理班表!$A5="",4&gt;DAY(EOMONTH(DATE(設定!$C$2,設定!$D$2,1),0))),"",DATE(設定!$C$2,設定!$D$2,4))</f>
        <v/>
      </c>
      <c r="B6" s="16">
        <f>IF($A6="","",INDEX(設定!$O$6:$O$12,WEEKDAY($A6,1)))</f>
        <v/>
      </c>
      <c r="C6" s="16">
        <f>IF($A6="","",助理班表!$A5)</f>
        <v/>
      </c>
      <c r="D6" s="16">
        <f>IF($C6="","",助理班表!$B5)</f>
        <v/>
      </c>
      <c r="E6" s="16">
        <f>IF($C6="","",助理班表!$D5)</f>
        <v/>
      </c>
      <c r="F6" s="16">
        <f>IF($C6="","",助理班表!$C5)</f>
        <v/>
      </c>
      <c r="G6" s="16">
        <f>IF($C6="","",助理班表!H5)</f>
        <v/>
      </c>
      <c r="H6" s="83">
        <f>IF($G6="","",IFERROR(IF(INDEX(設定!$D$6:$D$21,MATCH($G6,設定!$B$6:$B$21,0))=0,"",INDEX(設定!$D$6:$D$21,MATCH($G6,設定!$B$6:$B$21,0))),""))</f>
        <v/>
      </c>
      <c r="I6" s="83">
        <f>IF($G6="","",IFERROR(IF(INDEX(設定!$E$6:$E$21,MATCH($G6,設定!$B$6:$B$21,0))=0,"",INDEX(設定!$E$6:$E$21,MATCH($G6,設定!$B$6:$B$21,0))),""))</f>
        <v/>
      </c>
      <c r="J6" s="83">
        <f>IFERROR(INDEX(打卡匯入!$C$3:$C$2002,MATCH($C6&amp;"|"&amp;DAY($A6),打卡匯入!$E$3:$E$2002,0)),"")</f>
        <v/>
      </c>
      <c r="K6" s="83">
        <f>IFERROR(INDEX(打卡匯入!$D$3:$D$2002,MATCH($C6&amp;"|"&amp;DAY($A6),打卡匯入!$E$3:$E$2002,0)),"")</f>
        <v/>
      </c>
      <c r="L6" s="84">
        <f>IF(OR($J6="",$K6=""),"",IFERROR(INDEX(設定!$F$6:$F$21,MATCH($G6,設定!$B$6:$B$21,0)),0))</f>
        <v/>
      </c>
      <c r="M6" s="85">
        <f>IF(OR($J6="",$K6=""),"",ROUND(($K6-$J6)*24-$L6/60,2))</f>
        <v/>
      </c>
      <c r="N6" s="16">
        <f>IF($C6="","",IF(AND(COUNTIF(設定!$B$15:$B$21,$G6)&gt;0,$J6&lt;&gt;""),"假日出勤",IF(AND(COUNTIF(設定!$B$6:$B$14,$G6)&gt;0,$J6=""),"未打卡",IF($J6="","",IF($O6&gt;0,"遲到",IF($P6&gt;0,"早退","正常"))))))</f>
        <v/>
      </c>
      <c r="O6" s="84">
        <f>IF(OR($C6="",$H6="",$J6=""),0,IF(ROUND(($J6-$H6)*1440,0)&gt;設定!$C$46,ROUND(($J6-$H6)*1440,0),0))</f>
        <v/>
      </c>
      <c r="P6" s="84">
        <f>IF(OR($C6="",$I6="",$K6=""),0,IF(ROUND(($I6-$K6)*1440,0)&gt;設定!$C$46,ROUND(($I6-$K6)*1440,0),0))</f>
        <v/>
      </c>
      <c r="Q6" s="85">
        <f>IF($M6="",0,IF(($M6-IFERROR(INDEX(設定!$G$6:$G$21,MATCH($G6,設定!$B$6:$B$21,0)),0))*60&gt;=設定!$C$44,ROUND(FLOOR(($M6-IFERROR(INDEX(設定!$G$6:$G$21,MATCH($G6,設定!$B$6:$B$21,0)),0))*60,設定!$C$45)/60,2),0))</f>
        <v/>
      </c>
      <c r="R6" s="16">
        <f>IF(OR($C6="",$Q6=0),"",IF($G6="國","國定假日",IF($B6="日","例假",IF($B6="六","休息日","平日"))))</f>
        <v/>
      </c>
      <c r="S6" s="19" t="n"/>
    </row>
    <row r="7">
      <c r="A7" s="82">
        <f>IF(OR(助理班表!$A5="",5&gt;DAY(EOMONTH(DATE(設定!$C$2,設定!$D$2,1),0))),"",DATE(設定!$C$2,設定!$D$2,5))</f>
        <v/>
      </c>
      <c r="B7" s="16">
        <f>IF($A7="","",INDEX(設定!$O$6:$O$12,WEEKDAY($A7,1)))</f>
        <v/>
      </c>
      <c r="C7" s="16">
        <f>IF($A7="","",助理班表!$A5)</f>
        <v/>
      </c>
      <c r="D7" s="16">
        <f>IF($C7="","",助理班表!$B5)</f>
        <v/>
      </c>
      <c r="E7" s="16">
        <f>IF($C7="","",助理班表!$D5)</f>
        <v/>
      </c>
      <c r="F7" s="16">
        <f>IF($C7="","",助理班表!$C5)</f>
        <v/>
      </c>
      <c r="G7" s="16">
        <f>IF($C7="","",助理班表!I5)</f>
        <v/>
      </c>
      <c r="H7" s="83">
        <f>IF($G7="","",IFERROR(IF(INDEX(設定!$D$6:$D$21,MATCH($G7,設定!$B$6:$B$21,0))=0,"",INDEX(設定!$D$6:$D$21,MATCH($G7,設定!$B$6:$B$21,0))),""))</f>
        <v/>
      </c>
      <c r="I7" s="83">
        <f>IF($G7="","",IFERROR(IF(INDEX(設定!$E$6:$E$21,MATCH($G7,設定!$B$6:$B$21,0))=0,"",INDEX(設定!$E$6:$E$21,MATCH($G7,設定!$B$6:$B$21,0))),""))</f>
        <v/>
      </c>
      <c r="J7" s="83">
        <f>IFERROR(INDEX(打卡匯入!$C$3:$C$2002,MATCH($C7&amp;"|"&amp;DAY($A7),打卡匯入!$E$3:$E$2002,0)),"")</f>
        <v/>
      </c>
      <c r="K7" s="83">
        <f>IFERROR(INDEX(打卡匯入!$D$3:$D$2002,MATCH($C7&amp;"|"&amp;DAY($A7),打卡匯入!$E$3:$E$2002,0)),"")</f>
        <v/>
      </c>
      <c r="L7" s="84">
        <f>IF(OR($J7="",$K7=""),"",IFERROR(INDEX(設定!$F$6:$F$21,MATCH($G7,設定!$B$6:$B$21,0)),0))</f>
        <v/>
      </c>
      <c r="M7" s="85">
        <f>IF(OR($J7="",$K7=""),"",ROUND(($K7-$J7)*24-$L7/60,2))</f>
        <v/>
      </c>
      <c r="N7" s="16">
        <f>IF($C7="","",IF(AND(COUNTIF(設定!$B$15:$B$21,$G7)&gt;0,$J7&lt;&gt;""),"假日出勤",IF(AND(COUNTIF(設定!$B$6:$B$14,$G7)&gt;0,$J7=""),"未打卡",IF($J7="","",IF($O7&gt;0,"遲到",IF($P7&gt;0,"早退","正常"))))))</f>
        <v/>
      </c>
      <c r="O7" s="84">
        <f>IF(OR($C7="",$H7="",$J7=""),0,IF(ROUND(($J7-$H7)*1440,0)&gt;設定!$C$46,ROUND(($J7-$H7)*1440,0),0))</f>
        <v/>
      </c>
      <c r="P7" s="84">
        <f>IF(OR($C7="",$I7="",$K7=""),0,IF(ROUND(($I7-$K7)*1440,0)&gt;設定!$C$46,ROUND(($I7-$K7)*1440,0),0))</f>
        <v/>
      </c>
      <c r="Q7" s="85">
        <f>IF($M7="",0,IF(($M7-IFERROR(INDEX(設定!$G$6:$G$21,MATCH($G7,設定!$B$6:$B$21,0)),0))*60&gt;=設定!$C$44,ROUND(FLOOR(($M7-IFERROR(INDEX(設定!$G$6:$G$21,MATCH($G7,設定!$B$6:$B$21,0)),0))*60,設定!$C$45)/60,2),0))</f>
        <v/>
      </c>
      <c r="R7" s="16">
        <f>IF(OR($C7="",$Q7=0),"",IF($G7="國","國定假日",IF($B7="日","例假",IF($B7="六","休息日","平日"))))</f>
        <v/>
      </c>
      <c r="S7" s="19" t="n"/>
    </row>
    <row r="8">
      <c r="A8" s="82">
        <f>IF(OR(助理班表!$A5="",6&gt;DAY(EOMONTH(DATE(設定!$C$2,設定!$D$2,1),0))),"",DATE(設定!$C$2,設定!$D$2,6))</f>
        <v/>
      </c>
      <c r="B8" s="16">
        <f>IF($A8="","",INDEX(設定!$O$6:$O$12,WEEKDAY($A8,1)))</f>
        <v/>
      </c>
      <c r="C8" s="16">
        <f>IF($A8="","",助理班表!$A5)</f>
        <v/>
      </c>
      <c r="D8" s="16">
        <f>IF($C8="","",助理班表!$B5)</f>
        <v/>
      </c>
      <c r="E8" s="16">
        <f>IF($C8="","",助理班表!$D5)</f>
        <v/>
      </c>
      <c r="F8" s="16">
        <f>IF($C8="","",助理班表!$C5)</f>
        <v/>
      </c>
      <c r="G8" s="16">
        <f>IF($C8="","",助理班表!J5)</f>
        <v/>
      </c>
      <c r="H8" s="83">
        <f>IF($G8="","",IFERROR(IF(INDEX(設定!$D$6:$D$21,MATCH($G8,設定!$B$6:$B$21,0))=0,"",INDEX(設定!$D$6:$D$21,MATCH($G8,設定!$B$6:$B$21,0))),""))</f>
        <v/>
      </c>
      <c r="I8" s="83">
        <f>IF($G8="","",IFERROR(IF(INDEX(設定!$E$6:$E$21,MATCH($G8,設定!$B$6:$B$21,0))=0,"",INDEX(設定!$E$6:$E$21,MATCH($G8,設定!$B$6:$B$21,0))),""))</f>
        <v/>
      </c>
      <c r="J8" s="83">
        <f>IFERROR(INDEX(打卡匯入!$C$3:$C$2002,MATCH($C8&amp;"|"&amp;DAY($A8),打卡匯入!$E$3:$E$2002,0)),"")</f>
        <v/>
      </c>
      <c r="K8" s="83">
        <f>IFERROR(INDEX(打卡匯入!$D$3:$D$2002,MATCH($C8&amp;"|"&amp;DAY($A8),打卡匯入!$E$3:$E$2002,0)),"")</f>
        <v/>
      </c>
      <c r="L8" s="84">
        <f>IF(OR($J8="",$K8=""),"",IFERROR(INDEX(設定!$F$6:$F$21,MATCH($G8,設定!$B$6:$B$21,0)),0))</f>
        <v/>
      </c>
      <c r="M8" s="85">
        <f>IF(OR($J8="",$K8=""),"",ROUND(($K8-$J8)*24-$L8/60,2))</f>
        <v/>
      </c>
      <c r="N8" s="16">
        <f>IF($C8="","",IF(AND(COUNTIF(設定!$B$15:$B$21,$G8)&gt;0,$J8&lt;&gt;""),"假日出勤",IF(AND(COUNTIF(設定!$B$6:$B$14,$G8)&gt;0,$J8=""),"未打卡",IF($J8="","",IF($O8&gt;0,"遲到",IF($P8&gt;0,"早退","正常"))))))</f>
        <v/>
      </c>
      <c r="O8" s="84">
        <f>IF(OR($C8="",$H8="",$J8=""),0,IF(ROUND(($J8-$H8)*1440,0)&gt;設定!$C$46,ROUND(($J8-$H8)*1440,0),0))</f>
        <v/>
      </c>
      <c r="P8" s="84">
        <f>IF(OR($C8="",$I8="",$K8=""),0,IF(ROUND(($I8-$K8)*1440,0)&gt;設定!$C$46,ROUND(($I8-$K8)*1440,0),0))</f>
        <v/>
      </c>
      <c r="Q8" s="85">
        <f>IF($M8="",0,IF(($M8-IFERROR(INDEX(設定!$G$6:$G$21,MATCH($G8,設定!$B$6:$B$21,0)),0))*60&gt;=設定!$C$44,ROUND(FLOOR(($M8-IFERROR(INDEX(設定!$G$6:$G$21,MATCH($G8,設定!$B$6:$B$21,0)),0))*60,設定!$C$45)/60,2),0))</f>
        <v/>
      </c>
      <c r="R8" s="16">
        <f>IF(OR($C8="",$Q8=0),"",IF($G8="國","國定假日",IF($B8="日","例假",IF($B8="六","休息日","平日"))))</f>
        <v/>
      </c>
      <c r="S8" s="19" t="n"/>
    </row>
    <row r="9">
      <c r="A9" s="82">
        <f>IF(OR(助理班表!$A5="",7&gt;DAY(EOMONTH(DATE(設定!$C$2,設定!$D$2,1),0))),"",DATE(設定!$C$2,設定!$D$2,7))</f>
        <v/>
      </c>
      <c r="B9" s="16">
        <f>IF($A9="","",INDEX(設定!$O$6:$O$12,WEEKDAY($A9,1)))</f>
        <v/>
      </c>
      <c r="C9" s="16">
        <f>IF($A9="","",助理班表!$A5)</f>
        <v/>
      </c>
      <c r="D9" s="16">
        <f>IF($C9="","",助理班表!$B5)</f>
        <v/>
      </c>
      <c r="E9" s="16">
        <f>IF($C9="","",助理班表!$D5)</f>
        <v/>
      </c>
      <c r="F9" s="16">
        <f>IF($C9="","",助理班表!$C5)</f>
        <v/>
      </c>
      <c r="G9" s="16">
        <f>IF($C9="","",助理班表!K5)</f>
        <v/>
      </c>
      <c r="H9" s="83">
        <f>IF($G9="","",IFERROR(IF(INDEX(設定!$D$6:$D$21,MATCH($G9,設定!$B$6:$B$21,0))=0,"",INDEX(設定!$D$6:$D$21,MATCH($G9,設定!$B$6:$B$21,0))),""))</f>
        <v/>
      </c>
      <c r="I9" s="83">
        <f>IF($G9="","",IFERROR(IF(INDEX(設定!$E$6:$E$21,MATCH($G9,設定!$B$6:$B$21,0))=0,"",INDEX(設定!$E$6:$E$21,MATCH($G9,設定!$B$6:$B$21,0))),""))</f>
        <v/>
      </c>
      <c r="J9" s="83">
        <f>IFERROR(INDEX(打卡匯入!$C$3:$C$2002,MATCH($C9&amp;"|"&amp;DAY($A9),打卡匯入!$E$3:$E$2002,0)),"")</f>
        <v/>
      </c>
      <c r="K9" s="83">
        <f>IFERROR(INDEX(打卡匯入!$D$3:$D$2002,MATCH($C9&amp;"|"&amp;DAY($A9),打卡匯入!$E$3:$E$2002,0)),"")</f>
        <v/>
      </c>
      <c r="L9" s="84">
        <f>IF(OR($J9="",$K9=""),"",IFERROR(INDEX(設定!$F$6:$F$21,MATCH($G9,設定!$B$6:$B$21,0)),0))</f>
        <v/>
      </c>
      <c r="M9" s="85">
        <f>IF(OR($J9="",$K9=""),"",ROUND(($K9-$J9)*24-$L9/60,2))</f>
        <v/>
      </c>
      <c r="N9" s="16">
        <f>IF($C9="","",IF(AND(COUNTIF(設定!$B$15:$B$21,$G9)&gt;0,$J9&lt;&gt;""),"假日出勤",IF(AND(COUNTIF(設定!$B$6:$B$14,$G9)&gt;0,$J9=""),"未打卡",IF($J9="","",IF($O9&gt;0,"遲到",IF($P9&gt;0,"早退","正常"))))))</f>
        <v/>
      </c>
      <c r="O9" s="84">
        <f>IF(OR($C9="",$H9="",$J9=""),0,IF(ROUND(($J9-$H9)*1440,0)&gt;設定!$C$46,ROUND(($J9-$H9)*1440,0),0))</f>
        <v/>
      </c>
      <c r="P9" s="84">
        <f>IF(OR($C9="",$I9="",$K9=""),0,IF(ROUND(($I9-$K9)*1440,0)&gt;設定!$C$46,ROUND(($I9-$K9)*1440,0),0))</f>
        <v/>
      </c>
      <c r="Q9" s="85">
        <f>IF($M9="",0,IF(($M9-IFERROR(INDEX(設定!$G$6:$G$21,MATCH($G9,設定!$B$6:$B$21,0)),0))*60&gt;=設定!$C$44,ROUND(FLOOR(($M9-IFERROR(INDEX(設定!$G$6:$G$21,MATCH($G9,設定!$B$6:$B$21,0)),0))*60,設定!$C$45)/60,2),0))</f>
        <v/>
      </c>
      <c r="R9" s="16">
        <f>IF(OR($C9="",$Q9=0),"",IF($G9="國","國定假日",IF($B9="日","例假",IF($B9="六","休息日","平日"))))</f>
        <v/>
      </c>
      <c r="S9" s="19" t="n"/>
    </row>
    <row r="10">
      <c r="A10" s="82">
        <f>IF(OR(助理班表!$A5="",8&gt;DAY(EOMONTH(DATE(設定!$C$2,設定!$D$2,1),0))),"",DATE(設定!$C$2,設定!$D$2,8))</f>
        <v/>
      </c>
      <c r="B10" s="16">
        <f>IF($A10="","",INDEX(設定!$O$6:$O$12,WEEKDAY($A10,1)))</f>
        <v/>
      </c>
      <c r="C10" s="16">
        <f>IF($A10="","",助理班表!$A5)</f>
        <v/>
      </c>
      <c r="D10" s="16">
        <f>IF($C10="","",助理班表!$B5)</f>
        <v/>
      </c>
      <c r="E10" s="16">
        <f>IF($C10="","",助理班表!$D5)</f>
        <v/>
      </c>
      <c r="F10" s="16">
        <f>IF($C10="","",助理班表!$C5)</f>
        <v/>
      </c>
      <c r="G10" s="16">
        <f>IF($C10="","",助理班表!L5)</f>
        <v/>
      </c>
      <c r="H10" s="83">
        <f>IF($G10="","",IFERROR(IF(INDEX(設定!$D$6:$D$21,MATCH($G10,設定!$B$6:$B$21,0))=0,"",INDEX(設定!$D$6:$D$21,MATCH($G10,設定!$B$6:$B$21,0))),""))</f>
        <v/>
      </c>
      <c r="I10" s="83">
        <f>IF($G10="","",IFERROR(IF(INDEX(設定!$E$6:$E$21,MATCH($G10,設定!$B$6:$B$21,0))=0,"",INDEX(設定!$E$6:$E$21,MATCH($G10,設定!$B$6:$B$21,0))),""))</f>
        <v/>
      </c>
      <c r="J10" s="83">
        <f>IFERROR(INDEX(打卡匯入!$C$3:$C$2002,MATCH($C10&amp;"|"&amp;DAY($A10),打卡匯入!$E$3:$E$2002,0)),"")</f>
        <v/>
      </c>
      <c r="K10" s="83">
        <f>IFERROR(INDEX(打卡匯入!$D$3:$D$2002,MATCH($C10&amp;"|"&amp;DAY($A10),打卡匯入!$E$3:$E$2002,0)),"")</f>
        <v/>
      </c>
      <c r="L10" s="84">
        <f>IF(OR($J10="",$K10=""),"",IFERROR(INDEX(設定!$F$6:$F$21,MATCH($G10,設定!$B$6:$B$21,0)),0))</f>
        <v/>
      </c>
      <c r="M10" s="85">
        <f>IF(OR($J10="",$K10=""),"",ROUND(($K10-$J10)*24-$L10/60,2))</f>
        <v/>
      </c>
      <c r="N10" s="16">
        <f>IF($C10="","",IF(AND(COUNTIF(設定!$B$15:$B$21,$G10)&gt;0,$J10&lt;&gt;""),"假日出勤",IF(AND(COUNTIF(設定!$B$6:$B$14,$G10)&gt;0,$J10=""),"未打卡",IF($J10="","",IF($O10&gt;0,"遲到",IF($P10&gt;0,"早退","正常"))))))</f>
        <v/>
      </c>
      <c r="O10" s="84">
        <f>IF(OR($C10="",$H10="",$J10=""),0,IF(ROUND(($J10-$H10)*1440,0)&gt;設定!$C$46,ROUND(($J10-$H10)*1440,0),0))</f>
        <v/>
      </c>
      <c r="P10" s="84">
        <f>IF(OR($C10="",$I10="",$K10=""),0,IF(ROUND(($I10-$K10)*1440,0)&gt;設定!$C$46,ROUND(($I10-$K10)*1440,0),0))</f>
        <v/>
      </c>
      <c r="Q10" s="85">
        <f>IF($M10="",0,IF(($M10-IFERROR(INDEX(設定!$G$6:$G$21,MATCH($G10,設定!$B$6:$B$21,0)),0))*60&gt;=設定!$C$44,ROUND(FLOOR(($M10-IFERROR(INDEX(設定!$G$6:$G$21,MATCH($G10,設定!$B$6:$B$21,0)),0))*60,設定!$C$45)/60,2),0))</f>
        <v/>
      </c>
      <c r="R10" s="16">
        <f>IF(OR($C10="",$Q10=0),"",IF($G10="國","國定假日",IF($B10="日","例假",IF($B10="六","休息日","平日"))))</f>
        <v/>
      </c>
      <c r="S10" s="19" t="n"/>
    </row>
    <row r="11">
      <c r="A11" s="82">
        <f>IF(OR(助理班表!$A5="",9&gt;DAY(EOMONTH(DATE(設定!$C$2,設定!$D$2,1),0))),"",DATE(設定!$C$2,設定!$D$2,9))</f>
        <v/>
      </c>
      <c r="B11" s="16">
        <f>IF($A11="","",INDEX(設定!$O$6:$O$12,WEEKDAY($A11,1)))</f>
        <v/>
      </c>
      <c r="C11" s="16">
        <f>IF($A11="","",助理班表!$A5)</f>
        <v/>
      </c>
      <c r="D11" s="16">
        <f>IF($C11="","",助理班表!$B5)</f>
        <v/>
      </c>
      <c r="E11" s="16">
        <f>IF($C11="","",助理班表!$D5)</f>
        <v/>
      </c>
      <c r="F11" s="16">
        <f>IF($C11="","",助理班表!$C5)</f>
        <v/>
      </c>
      <c r="G11" s="16">
        <f>IF($C11="","",助理班表!M5)</f>
        <v/>
      </c>
      <c r="H11" s="83">
        <f>IF($G11="","",IFERROR(IF(INDEX(設定!$D$6:$D$21,MATCH($G11,設定!$B$6:$B$21,0))=0,"",INDEX(設定!$D$6:$D$21,MATCH($G11,設定!$B$6:$B$21,0))),""))</f>
        <v/>
      </c>
      <c r="I11" s="83">
        <f>IF($G11="","",IFERROR(IF(INDEX(設定!$E$6:$E$21,MATCH($G11,設定!$B$6:$B$21,0))=0,"",INDEX(設定!$E$6:$E$21,MATCH($G11,設定!$B$6:$B$21,0))),""))</f>
        <v/>
      </c>
      <c r="J11" s="83">
        <f>IFERROR(INDEX(打卡匯入!$C$3:$C$2002,MATCH($C11&amp;"|"&amp;DAY($A11),打卡匯入!$E$3:$E$2002,0)),"")</f>
        <v/>
      </c>
      <c r="K11" s="83">
        <f>IFERROR(INDEX(打卡匯入!$D$3:$D$2002,MATCH($C11&amp;"|"&amp;DAY($A11),打卡匯入!$E$3:$E$2002,0)),"")</f>
        <v/>
      </c>
      <c r="L11" s="84">
        <f>IF(OR($J11="",$K11=""),"",IFERROR(INDEX(設定!$F$6:$F$21,MATCH($G11,設定!$B$6:$B$21,0)),0))</f>
        <v/>
      </c>
      <c r="M11" s="85">
        <f>IF(OR($J11="",$K11=""),"",ROUND(($K11-$J11)*24-$L11/60,2))</f>
        <v/>
      </c>
      <c r="N11" s="16">
        <f>IF($C11="","",IF(AND(COUNTIF(設定!$B$15:$B$21,$G11)&gt;0,$J11&lt;&gt;""),"假日出勤",IF(AND(COUNTIF(設定!$B$6:$B$14,$G11)&gt;0,$J11=""),"未打卡",IF($J11="","",IF($O11&gt;0,"遲到",IF($P11&gt;0,"早退","正常"))))))</f>
        <v/>
      </c>
      <c r="O11" s="84">
        <f>IF(OR($C11="",$H11="",$J11=""),0,IF(ROUND(($J11-$H11)*1440,0)&gt;設定!$C$46,ROUND(($J11-$H11)*1440,0),0))</f>
        <v/>
      </c>
      <c r="P11" s="84">
        <f>IF(OR($C11="",$I11="",$K11=""),0,IF(ROUND(($I11-$K11)*1440,0)&gt;設定!$C$46,ROUND(($I11-$K11)*1440,0),0))</f>
        <v/>
      </c>
      <c r="Q11" s="85">
        <f>IF($M11="",0,IF(($M11-IFERROR(INDEX(設定!$G$6:$G$21,MATCH($G11,設定!$B$6:$B$21,0)),0))*60&gt;=設定!$C$44,ROUND(FLOOR(($M11-IFERROR(INDEX(設定!$G$6:$G$21,MATCH($G11,設定!$B$6:$B$21,0)),0))*60,設定!$C$45)/60,2),0))</f>
        <v/>
      </c>
      <c r="R11" s="16">
        <f>IF(OR($C11="",$Q11=0),"",IF($G11="國","國定假日",IF($B11="日","例假",IF($B11="六","休息日","平日"))))</f>
        <v/>
      </c>
      <c r="S11" s="19" t="n"/>
    </row>
    <row r="12">
      <c r="A12" s="82">
        <f>IF(OR(助理班表!$A5="",10&gt;DAY(EOMONTH(DATE(設定!$C$2,設定!$D$2,1),0))),"",DATE(設定!$C$2,設定!$D$2,10))</f>
        <v/>
      </c>
      <c r="B12" s="16">
        <f>IF($A12="","",INDEX(設定!$O$6:$O$12,WEEKDAY($A12,1)))</f>
        <v/>
      </c>
      <c r="C12" s="16">
        <f>IF($A12="","",助理班表!$A5)</f>
        <v/>
      </c>
      <c r="D12" s="16">
        <f>IF($C12="","",助理班表!$B5)</f>
        <v/>
      </c>
      <c r="E12" s="16">
        <f>IF($C12="","",助理班表!$D5)</f>
        <v/>
      </c>
      <c r="F12" s="16">
        <f>IF($C12="","",助理班表!$C5)</f>
        <v/>
      </c>
      <c r="G12" s="16">
        <f>IF($C12="","",助理班表!N5)</f>
        <v/>
      </c>
      <c r="H12" s="83">
        <f>IF($G12="","",IFERROR(IF(INDEX(設定!$D$6:$D$21,MATCH($G12,設定!$B$6:$B$21,0))=0,"",INDEX(設定!$D$6:$D$21,MATCH($G12,設定!$B$6:$B$21,0))),""))</f>
        <v/>
      </c>
      <c r="I12" s="83">
        <f>IF($G12="","",IFERROR(IF(INDEX(設定!$E$6:$E$21,MATCH($G12,設定!$B$6:$B$21,0))=0,"",INDEX(設定!$E$6:$E$21,MATCH($G12,設定!$B$6:$B$21,0))),""))</f>
        <v/>
      </c>
      <c r="J12" s="83">
        <f>IFERROR(INDEX(打卡匯入!$C$3:$C$2002,MATCH($C12&amp;"|"&amp;DAY($A12),打卡匯入!$E$3:$E$2002,0)),"")</f>
        <v/>
      </c>
      <c r="K12" s="83">
        <f>IFERROR(INDEX(打卡匯入!$D$3:$D$2002,MATCH($C12&amp;"|"&amp;DAY($A12),打卡匯入!$E$3:$E$2002,0)),"")</f>
        <v/>
      </c>
      <c r="L12" s="84">
        <f>IF(OR($J12="",$K12=""),"",IFERROR(INDEX(設定!$F$6:$F$21,MATCH($G12,設定!$B$6:$B$21,0)),0))</f>
        <v/>
      </c>
      <c r="M12" s="85">
        <f>IF(OR($J12="",$K12=""),"",ROUND(($K12-$J12)*24-$L12/60,2))</f>
        <v/>
      </c>
      <c r="N12" s="16">
        <f>IF($C12="","",IF(AND(COUNTIF(設定!$B$15:$B$21,$G12)&gt;0,$J12&lt;&gt;""),"假日出勤",IF(AND(COUNTIF(設定!$B$6:$B$14,$G12)&gt;0,$J12=""),"未打卡",IF($J12="","",IF($O12&gt;0,"遲到",IF($P12&gt;0,"早退","正常"))))))</f>
        <v/>
      </c>
      <c r="O12" s="84">
        <f>IF(OR($C12="",$H12="",$J12=""),0,IF(ROUND(($J12-$H12)*1440,0)&gt;設定!$C$46,ROUND(($J12-$H12)*1440,0),0))</f>
        <v/>
      </c>
      <c r="P12" s="84">
        <f>IF(OR($C12="",$I12="",$K12=""),0,IF(ROUND(($I12-$K12)*1440,0)&gt;設定!$C$46,ROUND(($I12-$K12)*1440,0),0))</f>
        <v/>
      </c>
      <c r="Q12" s="85">
        <f>IF($M12="",0,IF(($M12-IFERROR(INDEX(設定!$G$6:$G$21,MATCH($G12,設定!$B$6:$B$21,0)),0))*60&gt;=設定!$C$44,ROUND(FLOOR(($M12-IFERROR(INDEX(設定!$G$6:$G$21,MATCH($G12,設定!$B$6:$B$21,0)),0))*60,設定!$C$45)/60,2),0))</f>
        <v/>
      </c>
      <c r="R12" s="16">
        <f>IF(OR($C12="",$Q12=0),"",IF($G12="國","國定假日",IF($B12="日","例假",IF($B12="六","休息日","平日"))))</f>
        <v/>
      </c>
      <c r="S12" s="19" t="n"/>
    </row>
    <row r="13">
      <c r="A13" s="82">
        <f>IF(OR(助理班表!$A5="",11&gt;DAY(EOMONTH(DATE(設定!$C$2,設定!$D$2,1),0))),"",DATE(設定!$C$2,設定!$D$2,11))</f>
        <v/>
      </c>
      <c r="B13" s="16">
        <f>IF($A13="","",INDEX(設定!$O$6:$O$12,WEEKDAY($A13,1)))</f>
        <v/>
      </c>
      <c r="C13" s="16">
        <f>IF($A13="","",助理班表!$A5)</f>
        <v/>
      </c>
      <c r="D13" s="16">
        <f>IF($C13="","",助理班表!$B5)</f>
        <v/>
      </c>
      <c r="E13" s="16">
        <f>IF($C13="","",助理班表!$D5)</f>
        <v/>
      </c>
      <c r="F13" s="16">
        <f>IF($C13="","",助理班表!$C5)</f>
        <v/>
      </c>
      <c r="G13" s="16">
        <f>IF($C13="","",助理班表!O5)</f>
        <v/>
      </c>
      <c r="H13" s="83">
        <f>IF($G13="","",IFERROR(IF(INDEX(設定!$D$6:$D$21,MATCH($G13,設定!$B$6:$B$21,0))=0,"",INDEX(設定!$D$6:$D$21,MATCH($G13,設定!$B$6:$B$21,0))),""))</f>
        <v/>
      </c>
      <c r="I13" s="83">
        <f>IF($G13="","",IFERROR(IF(INDEX(設定!$E$6:$E$21,MATCH($G13,設定!$B$6:$B$21,0))=0,"",INDEX(設定!$E$6:$E$21,MATCH($G13,設定!$B$6:$B$21,0))),""))</f>
        <v/>
      </c>
      <c r="J13" s="83">
        <f>IFERROR(INDEX(打卡匯入!$C$3:$C$2002,MATCH($C13&amp;"|"&amp;DAY($A13),打卡匯入!$E$3:$E$2002,0)),"")</f>
        <v/>
      </c>
      <c r="K13" s="83">
        <f>IFERROR(INDEX(打卡匯入!$D$3:$D$2002,MATCH($C13&amp;"|"&amp;DAY($A13),打卡匯入!$E$3:$E$2002,0)),"")</f>
        <v/>
      </c>
      <c r="L13" s="84">
        <f>IF(OR($J13="",$K13=""),"",IFERROR(INDEX(設定!$F$6:$F$21,MATCH($G13,設定!$B$6:$B$21,0)),0))</f>
        <v/>
      </c>
      <c r="M13" s="85">
        <f>IF(OR($J13="",$K13=""),"",ROUND(($K13-$J13)*24-$L13/60,2))</f>
        <v/>
      </c>
      <c r="N13" s="16">
        <f>IF($C13="","",IF(AND(COUNTIF(設定!$B$15:$B$21,$G13)&gt;0,$J13&lt;&gt;""),"假日出勤",IF(AND(COUNTIF(設定!$B$6:$B$14,$G13)&gt;0,$J13=""),"未打卡",IF($J13="","",IF($O13&gt;0,"遲到",IF($P13&gt;0,"早退","正常"))))))</f>
        <v/>
      </c>
      <c r="O13" s="84">
        <f>IF(OR($C13="",$H13="",$J13=""),0,IF(ROUND(($J13-$H13)*1440,0)&gt;設定!$C$46,ROUND(($J13-$H13)*1440,0),0))</f>
        <v/>
      </c>
      <c r="P13" s="84">
        <f>IF(OR($C13="",$I13="",$K13=""),0,IF(ROUND(($I13-$K13)*1440,0)&gt;設定!$C$46,ROUND(($I13-$K13)*1440,0),0))</f>
        <v/>
      </c>
      <c r="Q13" s="85">
        <f>IF($M13="",0,IF(($M13-IFERROR(INDEX(設定!$G$6:$G$21,MATCH($G13,設定!$B$6:$B$21,0)),0))*60&gt;=設定!$C$44,ROUND(FLOOR(($M13-IFERROR(INDEX(設定!$G$6:$G$21,MATCH($G13,設定!$B$6:$B$21,0)),0))*60,設定!$C$45)/60,2),0))</f>
        <v/>
      </c>
      <c r="R13" s="16">
        <f>IF(OR($C13="",$Q13=0),"",IF($G13="國","國定假日",IF($B13="日","例假",IF($B13="六","休息日","平日"))))</f>
        <v/>
      </c>
      <c r="S13" s="19" t="n"/>
    </row>
    <row r="14">
      <c r="A14" s="82">
        <f>IF(OR(助理班表!$A5="",12&gt;DAY(EOMONTH(DATE(設定!$C$2,設定!$D$2,1),0))),"",DATE(設定!$C$2,設定!$D$2,12))</f>
        <v/>
      </c>
      <c r="B14" s="16">
        <f>IF($A14="","",INDEX(設定!$O$6:$O$12,WEEKDAY($A14,1)))</f>
        <v/>
      </c>
      <c r="C14" s="16">
        <f>IF($A14="","",助理班表!$A5)</f>
        <v/>
      </c>
      <c r="D14" s="16">
        <f>IF($C14="","",助理班表!$B5)</f>
        <v/>
      </c>
      <c r="E14" s="16">
        <f>IF($C14="","",助理班表!$D5)</f>
        <v/>
      </c>
      <c r="F14" s="16">
        <f>IF($C14="","",助理班表!$C5)</f>
        <v/>
      </c>
      <c r="G14" s="16">
        <f>IF($C14="","",助理班表!P5)</f>
        <v/>
      </c>
      <c r="H14" s="83">
        <f>IF($G14="","",IFERROR(IF(INDEX(設定!$D$6:$D$21,MATCH($G14,設定!$B$6:$B$21,0))=0,"",INDEX(設定!$D$6:$D$21,MATCH($G14,設定!$B$6:$B$21,0))),""))</f>
        <v/>
      </c>
      <c r="I14" s="83">
        <f>IF($G14="","",IFERROR(IF(INDEX(設定!$E$6:$E$21,MATCH($G14,設定!$B$6:$B$21,0))=0,"",INDEX(設定!$E$6:$E$21,MATCH($G14,設定!$B$6:$B$21,0))),""))</f>
        <v/>
      </c>
      <c r="J14" s="83">
        <f>IFERROR(INDEX(打卡匯入!$C$3:$C$2002,MATCH($C14&amp;"|"&amp;DAY($A14),打卡匯入!$E$3:$E$2002,0)),"")</f>
        <v/>
      </c>
      <c r="K14" s="83">
        <f>IFERROR(INDEX(打卡匯入!$D$3:$D$2002,MATCH($C14&amp;"|"&amp;DAY($A14),打卡匯入!$E$3:$E$2002,0)),"")</f>
        <v/>
      </c>
      <c r="L14" s="84">
        <f>IF(OR($J14="",$K14=""),"",IFERROR(INDEX(設定!$F$6:$F$21,MATCH($G14,設定!$B$6:$B$21,0)),0))</f>
        <v/>
      </c>
      <c r="M14" s="85">
        <f>IF(OR($J14="",$K14=""),"",ROUND(($K14-$J14)*24-$L14/60,2))</f>
        <v/>
      </c>
      <c r="N14" s="16">
        <f>IF($C14="","",IF(AND(COUNTIF(設定!$B$15:$B$21,$G14)&gt;0,$J14&lt;&gt;""),"假日出勤",IF(AND(COUNTIF(設定!$B$6:$B$14,$G14)&gt;0,$J14=""),"未打卡",IF($J14="","",IF($O14&gt;0,"遲到",IF($P14&gt;0,"早退","正常"))))))</f>
        <v/>
      </c>
      <c r="O14" s="84">
        <f>IF(OR($C14="",$H14="",$J14=""),0,IF(ROUND(($J14-$H14)*1440,0)&gt;設定!$C$46,ROUND(($J14-$H14)*1440,0),0))</f>
        <v/>
      </c>
      <c r="P14" s="84">
        <f>IF(OR($C14="",$I14="",$K14=""),0,IF(ROUND(($I14-$K14)*1440,0)&gt;設定!$C$46,ROUND(($I14-$K14)*1440,0),0))</f>
        <v/>
      </c>
      <c r="Q14" s="85">
        <f>IF($M14="",0,IF(($M14-IFERROR(INDEX(設定!$G$6:$G$21,MATCH($G14,設定!$B$6:$B$21,0)),0))*60&gt;=設定!$C$44,ROUND(FLOOR(($M14-IFERROR(INDEX(設定!$G$6:$G$21,MATCH($G14,設定!$B$6:$B$21,0)),0))*60,設定!$C$45)/60,2),0))</f>
        <v/>
      </c>
      <c r="R14" s="16">
        <f>IF(OR($C14="",$Q14=0),"",IF($G14="國","國定假日",IF($B14="日","例假",IF($B14="六","休息日","平日"))))</f>
        <v/>
      </c>
      <c r="S14" s="19" t="n"/>
    </row>
    <row r="15">
      <c r="A15" s="82">
        <f>IF(OR(助理班表!$A5="",13&gt;DAY(EOMONTH(DATE(設定!$C$2,設定!$D$2,1),0))),"",DATE(設定!$C$2,設定!$D$2,13))</f>
        <v/>
      </c>
      <c r="B15" s="16">
        <f>IF($A15="","",INDEX(設定!$O$6:$O$12,WEEKDAY($A15,1)))</f>
        <v/>
      </c>
      <c r="C15" s="16">
        <f>IF($A15="","",助理班表!$A5)</f>
        <v/>
      </c>
      <c r="D15" s="16">
        <f>IF($C15="","",助理班表!$B5)</f>
        <v/>
      </c>
      <c r="E15" s="16">
        <f>IF($C15="","",助理班表!$D5)</f>
        <v/>
      </c>
      <c r="F15" s="16">
        <f>IF($C15="","",助理班表!$C5)</f>
        <v/>
      </c>
      <c r="G15" s="16">
        <f>IF($C15="","",助理班表!Q5)</f>
        <v/>
      </c>
      <c r="H15" s="83">
        <f>IF($G15="","",IFERROR(IF(INDEX(設定!$D$6:$D$21,MATCH($G15,設定!$B$6:$B$21,0))=0,"",INDEX(設定!$D$6:$D$21,MATCH($G15,設定!$B$6:$B$21,0))),""))</f>
        <v/>
      </c>
      <c r="I15" s="83">
        <f>IF($G15="","",IFERROR(IF(INDEX(設定!$E$6:$E$21,MATCH($G15,設定!$B$6:$B$21,0))=0,"",INDEX(設定!$E$6:$E$21,MATCH($G15,設定!$B$6:$B$21,0))),""))</f>
        <v/>
      </c>
      <c r="J15" s="83">
        <f>IFERROR(INDEX(打卡匯入!$C$3:$C$2002,MATCH($C15&amp;"|"&amp;DAY($A15),打卡匯入!$E$3:$E$2002,0)),"")</f>
        <v/>
      </c>
      <c r="K15" s="83">
        <f>IFERROR(INDEX(打卡匯入!$D$3:$D$2002,MATCH($C15&amp;"|"&amp;DAY($A15),打卡匯入!$E$3:$E$2002,0)),"")</f>
        <v/>
      </c>
      <c r="L15" s="84">
        <f>IF(OR($J15="",$K15=""),"",IFERROR(INDEX(設定!$F$6:$F$21,MATCH($G15,設定!$B$6:$B$21,0)),0))</f>
        <v/>
      </c>
      <c r="M15" s="85">
        <f>IF(OR($J15="",$K15=""),"",ROUND(($K15-$J15)*24-$L15/60,2))</f>
        <v/>
      </c>
      <c r="N15" s="16">
        <f>IF($C15="","",IF(AND(COUNTIF(設定!$B$15:$B$21,$G15)&gt;0,$J15&lt;&gt;""),"假日出勤",IF(AND(COUNTIF(設定!$B$6:$B$14,$G15)&gt;0,$J15=""),"未打卡",IF($J15="","",IF($O15&gt;0,"遲到",IF($P15&gt;0,"早退","正常"))))))</f>
        <v/>
      </c>
      <c r="O15" s="84">
        <f>IF(OR($C15="",$H15="",$J15=""),0,IF(ROUND(($J15-$H15)*1440,0)&gt;設定!$C$46,ROUND(($J15-$H15)*1440,0),0))</f>
        <v/>
      </c>
      <c r="P15" s="84">
        <f>IF(OR($C15="",$I15="",$K15=""),0,IF(ROUND(($I15-$K15)*1440,0)&gt;設定!$C$46,ROUND(($I15-$K15)*1440,0),0))</f>
        <v/>
      </c>
      <c r="Q15" s="85">
        <f>IF($M15="",0,IF(($M15-IFERROR(INDEX(設定!$G$6:$G$21,MATCH($G15,設定!$B$6:$B$21,0)),0))*60&gt;=設定!$C$44,ROUND(FLOOR(($M15-IFERROR(INDEX(設定!$G$6:$G$21,MATCH($G15,設定!$B$6:$B$21,0)),0))*60,設定!$C$45)/60,2),0))</f>
        <v/>
      </c>
      <c r="R15" s="16">
        <f>IF(OR($C15="",$Q15=0),"",IF($G15="國","國定假日",IF($B15="日","例假",IF($B15="六","休息日","平日"))))</f>
        <v/>
      </c>
      <c r="S15" s="19" t="n"/>
    </row>
    <row r="16">
      <c r="A16" s="82">
        <f>IF(OR(助理班表!$A5="",14&gt;DAY(EOMONTH(DATE(設定!$C$2,設定!$D$2,1),0))),"",DATE(設定!$C$2,設定!$D$2,14))</f>
        <v/>
      </c>
      <c r="B16" s="16">
        <f>IF($A16="","",INDEX(設定!$O$6:$O$12,WEEKDAY($A16,1)))</f>
        <v/>
      </c>
      <c r="C16" s="16">
        <f>IF($A16="","",助理班表!$A5)</f>
        <v/>
      </c>
      <c r="D16" s="16">
        <f>IF($C16="","",助理班表!$B5)</f>
        <v/>
      </c>
      <c r="E16" s="16">
        <f>IF($C16="","",助理班表!$D5)</f>
        <v/>
      </c>
      <c r="F16" s="16">
        <f>IF($C16="","",助理班表!$C5)</f>
        <v/>
      </c>
      <c r="G16" s="16">
        <f>IF($C16="","",助理班表!R5)</f>
        <v/>
      </c>
      <c r="H16" s="83">
        <f>IF($G16="","",IFERROR(IF(INDEX(設定!$D$6:$D$21,MATCH($G16,設定!$B$6:$B$21,0))=0,"",INDEX(設定!$D$6:$D$21,MATCH($G16,設定!$B$6:$B$21,0))),""))</f>
        <v/>
      </c>
      <c r="I16" s="83">
        <f>IF($G16="","",IFERROR(IF(INDEX(設定!$E$6:$E$21,MATCH($G16,設定!$B$6:$B$21,0))=0,"",INDEX(設定!$E$6:$E$21,MATCH($G16,設定!$B$6:$B$21,0))),""))</f>
        <v/>
      </c>
      <c r="J16" s="83">
        <f>IFERROR(INDEX(打卡匯入!$C$3:$C$2002,MATCH($C16&amp;"|"&amp;DAY($A16),打卡匯入!$E$3:$E$2002,0)),"")</f>
        <v/>
      </c>
      <c r="K16" s="83">
        <f>IFERROR(INDEX(打卡匯入!$D$3:$D$2002,MATCH($C16&amp;"|"&amp;DAY($A16),打卡匯入!$E$3:$E$2002,0)),"")</f>
        <v/>
      </c>
      <c r="L16" s="84">
        <f>IF(OR($J16="",$K16=""),"",IFERROR(INDEX(設定!$F$6:$F$21,MATCH($G16,設定!$B$6:$B$21,0)),0))</f>
        <v/>
      </c>
      <c r="M16" s="85">
        <f>IF(OR($J16="",$K16=""),"",ROUND(($K16-$J16)*24-$L16/60,2))</f>
        <v/>
      </c>
      <c r="N16" s="16">
        <f>IF($C16="","",IF(AND(COUNTIF(設定!$B$15:$B$21,$G16)&gt;0,$J16&lt;&gt;""),"假日出勤",IF(AND(COUNTIF(設定!$B$6:$B$14,$G16)&gt;0,$J16=""),"未打卡",IF($J16="","",IF($O16&gt;0,"遲到",IF($P16&gt;0,"早退","正常"))))))</f>
        <v/>
      </c>
      <c r="O16" s="84">
        <f>IF(OR($C16="",$H16="",$J16=""),0,IF(ROUND(($J16-$H16)*1440,0)&gt;設定!$C$46,ROUND(($J16-$H16)*1440,0),0))</f>
        <v/>
      </c>
      <c r="P16" s="84">
        <f>IF(OR($C16="",$I16="",$K16=""),0,IF(ROUND(($I16-$K16)*1440,0)&gt;設定!$C$46,ROUND(($I16-$K16)*1440,0),0))</f>
        <v/>
      </c>
      <c r="Q16" s="85">
        <f>IF($M16="",0,IF(($M16-IFERROR(INDEX(設定!$G$6:$G$21,MATCH($G16,設定!$B$6:$B$21,0)),0))*60&gt;=設定!$C$44,ROUND(FLOOR(($M16-IFERROR(INDEX(設定!$G$6:$G$21,MATCH($G16,設定!$B$6:$B$21,0)),0))*60,設定!$C$45)/60,2),0))</f>
        <v/>
      </c>
      <c r="R16" s="16">
        <f>IF(OR($C16="",$Q16=0),"",IF($G16="國","國定假日",IF($B16="日","例假",IF($B16="六","休息日","平日"))))</f>
        <v/>
      </c>
      <c r="S16" s="19" t="n"/>
    </row>
    <row r="17">
      <c r="A17" s="82">
        <f>IF(OR(助理班表!$A5="",15&gt;DAY(EOMONTH(DATE(設定!$C$2,設定!$D$2,1),0))),"",DATE(設定!$C$2,設定!$D$2,15))</f>
        <v/>
      </c>
      <c r="B17" s="16">
        <f>IF($A17="","",INDEX(設定!$O$6:$O$12,WEEKDAY($A17,1)))</f>
        <v/>
      </c>
      <c r="C17" s="16">
        <f>IF($A17="","",助理班表!$A5)</f>
        <v/>
      </c>
      <c r="D17" s="16">
        <f>IF($C17="","",助理班表!$B5)</f>
        <v/>
      </c>
      <c r="E17" s="16">
        <f>IF($C17="","",助理班表!$D5)</f>
        <v/>
      </c>
      <c r="F17" s="16">
        <f>IF($C17="","",助理班表!$C5)</f>
        <v/>
      </c>
      <c r="G17" s="16">
        <f>IF($C17="","",助理班表!S5)</f>
        <v/>
      </c>
      <c r="H17" s="83">
        <f>IF($G17="","",IFERROR(IF(INDEX(設定!$D$6:$D$21,MATCH($G17,設定!$B$6:$B$21,0))=0,"",INDEX(設定!$D$6:$D$21,MATCH($G17,設定!$B$6:$B$21,0))),""))</f>
        <v/>
      </c>
      <c r="I17" s="83">
        <f>IF($G17="","",IFERROR(IF(INDEX(設定!$E$6:$E$21,MATCH($G17,設定!$B$6:$B$21,0))=0,"",INDEX(設定!$E$6:$E$21,MATCH($G17,設定!$B$6:$B$21,0))),""))</f>
        <v/>
      </c>
      <c r="J17" s="83">
        <f>IFERROR(INDEX(打卡匯入!$C$3:$C$2002,MATCH($C17&amp;"|"&amp;DAY($A17),打卡匯入!$E$3:$E$2002,0)),"")</f>
        <v/>
      </c>
      <c r="K17" s="83">
        <f>IFERROR(INDEX(打卡匯入!$D$3:$D$2002,MATCH($C17&amp;"|"&amp;DAY($A17),打卡匯入!$E$3:$E$2002,0)),"")</f>
        <v/>
      </c>
      <c r="L17" s="84">
        <f>IF(OR($J17="",$K17=""),"",IFERROR(INDEX(設定!$F$6:$F$21,MATCH($G17,設定!$B$6:$B$21,0)),0))</f>
        <v/>
      </c>
      <c r="M17" s="85">
        <f>IF(OR($J17="",$K17=""),"",ROUND(($K17-$J17)*24-$L17/60,2))</f>
        <v/>
      </c>
      <c r="N17" s="16">
        <f>IF($C17="","",IF(AND(COUNTIF(設定!$B$15:$B$21,$G17)&gt;0,$J17&lt;&gt;""),"假日出勤",IF(AND(COUNTIF(設定!$B$6:$B$14,$G17)&gt;0,$J17=""),"未打卡",IF($J17="","",IF($O17&gt;0,"遲到",IF($P17&gt;0,"早退","正常"))))))</f>
        <v/>
      </c>
      <c r="O17" s="84">
        <f>IF(OR($C17="",$H17="",$J17=""),0,IF(ROUND(($J17-$H17)*1440,0)&gt;設定!$C$46,ROUND(($J17-$H17)*1440,0),0))</f>
        <v/>
      </c>
      <c r="P17" s="84">
        <f>IF(OR($C17="",$I17="",$K17=""),0,IF(ROUND(($I17-$K17)*1440,0)&gt;設定!$C$46,ROUND(($I17-$K17)*1440,0),0))</f>
        <v/>
      </c>
      <c r="Q17" s="85">
        <f>IF($M17="",0,IF(($M17-IFERROR(INDEX(設定!$G$6:$G$21,MATCH($G17,設定!$B$6:$B$21,0)),0))*60&gt;=設定!$C$44,ROUND(FLOOR(($M17-IFERROR(INDEX(設定!$G$6:$G$21,MATCH($G17,設定!$B$6:$B$21,0)),0))*60,設定!$C$45)/60,2),0))</f>
        <v/>
      </c>
      <c r="R17" s="16">
        <f>IF(OR($C17="",$Q17=0),"",IF($G17="國","國定假日",IF($B17="日","例假",IF($B17="六","休息日","平日"))))</f>
        <v/>
      </c>
      <c r="S17" s="19" t="n"/>
    </row>
    <row r="18">
      <c r="A18" s="82">
        <f>IF(OR(助理班表!$A5="",16&gt;DAY(EOMONTH(DATE(設定!$C$2,設定!$D$2,1),0))),"",DATE(設定!$C$2,設定!$D$2,16))</f>
        <v/>
      </c>
      <c r="B18" s="16">
        <f>IF($A18="","",INDEX(設定!$O$6:$O$12,WEEKDAY($A18,1)))</f>
        <v/>
      </c>
      <c r="C18" s="16">
        <f>IF($A18="","",助理班表!$A5)</f>
        <v/>
      </c>
      <c r="D18" s="16">
        <f>IF($C18="","",助理班表!$B5)</f>
        <v/>
      </c>
      <c r="E18" s="16">
        <f>IF($C18="","",助理班表!$D5)</f>
        <v/>
      </c>
      <c r="F18" s="16">
        <f>IF($C18="","",助理班表!$C5)</f>
        <v/>
      </c>
      <c r="G18" s="16">
        <f>IF($C18="","",助理班表!T5)</f>
        <v/>
      </c>
      <c r="H18" s="83">
        <f>IF($G18="","",IFERROR(IF(INDEX(設定!$D$6:$D$21,MATCH($G18,設定!$B$6:$B$21,0))=0,"",INDEX(設定!$D$6:$D$21,MATCH($G18,設定!$B$6:$B$21,0))),""))</f>
        <v/>
      </c>
      <c r="I18" s="83">
        <f>IF($G18="","",IFERROR(IF(INDEX(設定!$E$6:$E$21,MATCH($G18,設定!$B$6:$B$21,0))=0,"",INDEX(設定!$E$6:$E$21,MATCH($G18,設定!$B$6:$B$21,0))),""))</f>
        <v/>
      </c>
      <c r="J18" s="83">
        <f>IFERROR(INDEX(打卡匯入!$C$3:$C$2002,MATCH($C18&amp;"|"&amp;DAY($A18),打卡匯入!$E$3:$E$2002,0)),"")</f>
        <v/>
      </c>
      <c r="K18" s="83">
        <f>IFERROR(INDEX(打卡匯入!$D$3:$D$2002,MATCH($C18&amp;"|"&amp;DAY($A18),打卡匯入!$E$3:$E$2002,0)),"")</f>
        <v/>
      </c>
      <c r="L18" s="84">
        <f>IF(OR($J18="",$K18=""),"",IFERROR(INDEX(設定!$F$6:$F$21,MATCH($G18,設定!$B$6:$B$21,0)),0))</f>
        <v/>
      </c>
      <c r="M18" s="85">
        <f>IF(OR($J18="",$K18=""),"",ROUND(($K18-$J18)*24-$L18/60,2))</f>
        <v/>
      </c>
      <c r="N18" s="16">
        <f>IF($C18="","",IF(AND(COUNTIF(設定!$B$15:$B$21,$G18)&gt;0,$J18&lt;&gt;""),"假日出勤",IF(AND(COUNTIF(設定!$B$6:$B$14,$G18)&gt;0,$J18=""),"未打卡",IF($J18="","",IF($O18&gt;0,"遲到",IF($P18&gt;0,"早退","正常"))))))</f>
        <v/>
      </c>
      <c r="O18" s="84">
        <f>IF(OR($C18="",$H18="",$J18=""),0,IF(ROUND(($J18-$H18)*1440,0)&gt;設定!$C$46,ROUND(($J18-$H18)*1440,0),0))</f>
        <v/>
      </c>
      <c r="P18" s="84">
        <f>IF(OR($C18="",$I18="",$K18=""),0,IF(ROUND(($I18-$K18)*1440,0)&gt;設定!$C$46,ROUND(($I18-$K18)*1440,0),0))</f>
        <v/>
      </c>
      <c r="Q18" s="85">
        <f>IF($M18="",0,IF(($M18-IFERROR(INDEX(設定!$G$6:$G$21,MATCH($G18,設定!$B$6:$B$21,0)),0))*60&gt;=設定!$C$44,ROUND(FLOOR(($M18-IFERROR(INDEX(設定!$G$6:$G$21,MATCH($G18,設定!$B$6:$B$21,0)),0))*60,設定!$C$45)/60,2),0))</f>
        <v/>
      </c>
      <c r="R18" s="16">
        <f>IF(OR($C18="",$Q18=0),"",IF($G18="國","國定假日",IF($B18="日","例假",IF($B18="六","休息日","平日"))))</f>
        <v/>
      </c>
      <c r="S18" s="19" t="n"/>
    </row>
    <row r="19">
      <c r="A19" s="82">
        <f>IF(OR(助理班表!$A5="",17&gt;DAY(EOMONTH(DATE(設定!$C$2,設定!$D$2,1),0))),"",DATE(設定!$C$2,設定!$D$2,17))</f>
        <v/>
      </c>
      <c r="B19" s="16">
        <f>IF($A19="","",INDEX(設定!$O$6:$O$12,WEEKDAY($A19,1)))</f>
        <v/>
      </c>
      <c r="C19" s="16">
        <f>IF($A19="","",助理班表!$A5)</f>
        <v/>
      </c>
      <c r="D19" s="16">
        <f>IF($C19="","",助理班表!$B5)</f>
        <v/>
      </c>
      <c r="E19" s="16">
        <f>IF($C19="","",助理班表!$D5)</f>
        <v/>
      </c>
      <c r="F19" s="16">
        <f>IF($C19="","",助理班表!$C5)</f>
        <v/>
      </c>
      <c r="G19" s="16">
        <f>IF($C19="","",助理班表!U5)</f>
        <v/>
      </c>
      <c r="H19" s="83">
        <f>IF($G19="","",IFERROR(IF(INDEX(設定!$D$6:$D$21,MATCH($G19,設定!$B$6:$B$21,0))=0,"",INDEX(設定!$D$6:$D$21,MATCH($G19,設定!$B$6:$B$21,0))),""))</f>
        <v/>
      </c>
      <c r="I19" s="83">
        <f>IF($G19="","",IFERROR(IF(INDEX(設定!$E$6:$E$21,MATCH($G19,設定!$B$6:$B$21,0))=0,"",INDEX(設定!$E$6:$E$21,MATCH($G19,設定!$B$6:$B$21,0))),""))</f>
        <v/>
      </c>
      <c r="J19" s="83">
        <f>IFERROR(INDEX(打卡匯入!$C$3:$C$2002,MATCH($C19&amp;"|"&amp;DAY($A19),打卡匯入!$E$3:$E$2002,0)),"")</f>
        <v/>
      </c>
      <c r="K19" s="83">
        <f>IFERROR(INDEX(打卡匯入!$D$3:$D$2002,MATCH($C19&amp;"|"&amp;DAY($A19),打卡匯入!$E$3:$E$2002,0)),"")</f>
        <v/>
      </c>
      <c r="L19" s="84">
        <f>IF(OR($J19="",$K19=""),"",IFERROR(INDEX(設定!$F$6:$F$21,MATCH($G19,設定!$B$6:$B$21,0)),0))</f>
        <v/>
      </c>
      <c r="M19" s="85">
        <f>IF(OR($J19="",$K19=""),"",ROUND(($K19-$J19)*24-$L19/60,2))</f>
        <v/>
      </c>
      <c r="N19" s="16">
        <f>IF($C19="","",IF(AND(COUNTIF(設定!$B$15:$B$21,$G19)&gt;0,$J19&lt;&gt;""),"假日出勤",IF(AND(COUNTIF(設定!$B$6:$B$14,$G19)&gt;0,$J19=""),"未打卡",IF($J19="","",IF($O19&gt;0,"遲到",IF($P19&gt;0,"早退","正常"))))))</f>
        <v/>
      </c>
      <c r="O19" s="84">
        <f>IF(OR($C19="",$H19="",$J19=""),0,IF(ROUND(($J19-$H19)*1440,0)&gt;設定!$C$46,ROUND(($J19-$H19)*1440,0),0))</f>
        <v/>
      </c>
      <c r="P19" s="84">
        <f>IF(OR($C19="",$I19="",$K19=""),0,IF(ROUND(($I19-$K19)*1440,0)&gt;設定!$C$46,ROUND(($I19-$K19)*1440,0),0))</f>
        <v/>
      </c>
      <c r="Q19" s="85">
        <f>IF($M19="",0,IF(($M19-IFERROR(INDEX(設定!$G$6:$G$21,MATCH($G19,設定!$B$6:$B$21,0)),0))*60&gt;=設定!$C$44,ROUND(FLOOR(($M19-IFERROR(INDEX(設定!$G$6:$G$21,MATCH($G19,設定!$B$6:$B$21,0)),0))*60,設定!$C$45)/60,2),0))</f>
        <v/>
      </c>
      <c r="R19" s="16">
        <f>IF(OR($C19="",$Q19=0),"",IF($G19="國","國定假日",IF($B19="日","例假",IF($B19="六","休息日","平日"))))</f>
        <v/>
      </c>
      <c r="S19" s="19" t="n"/>
    </row>
    <row r="20">
      <c r="A20" s="82">
        <f>IF(OR(助理班表!$A5="",18&gt;DAY(EOMONTH(DATE(設定!$C$2,設定!$D$2,1),0))),"",DATE(設定!$C$2,設定!$D$2,18))</f>
        <v/>
      </c>
      <c r="B20" s="16">
        <f>IF($A20="","",INDEX(設定!$O$6:$O$12,WEEKDAY($A20,1)))</f>
        <v/>
      </c>
      <c r="C20" s="16">
        <f>IF($A20="","",助理班表!$A5)</f>
        <v/>
      </c>
      <c r="D20" s="16">
        <f>IF($C20="","",助理班表!$B5)</f>
        <v/>
      </c>
      <c r="E20" s="16">
        <f>IF($C20="","",助理班表!$D5)</f>
        <v/>
      </c>
      <c r="F20" s="16">
        <f>IF($C20="","",助理班表!$C5)</f>
        <v/>
      </c>
      <c r="G20" s="16">
        <f>IF($C20="","",助理班表!V5)</f>
        <v/>
      </c>
      <c r="H20" s="83">
        <f>IF($G20="","",IFERROR(IF(INDEX(設定!$D$6:$D$21,MATCH($G20,設定!$B$6:$B$21,0))=0,"",INDEX(設定!$D$6:$D$21,MATCH($G20,設定!$B$6:$B$21,0))),""))</f>
        <v/>
      </c>
      <c r="I20" s="83">
        <f>IF($G20="","",IFERROR(IF(INDEX(設定!$E$6:$E$21,MATCH($G20,設定!$B$6:$B$21,0))=0,"",INDEX(設定!$E$6:$E$21,MATCH($G20,設定!$B$6:$B$21,0))),""))</f>
        <v/>
      </c>
      <c r="J20" s="83">
        <f>IFERROR(INDEX(打卡匯入!$C$3:$C$2002,MATCH($C20&amp;"|"&amp;DAY($A20),打卡匯入!$E$3:$E$2002,0)),"")</f>
        <v/>
      </c>
      <c r="K20" s="83">
        <f>IFERROR(INDEX(打卡匯入!$D$3:$D$2002,MATCH($C20&amp;"|"&amp;DAY($A20),打卡匯入!$E$3:$E$2002,0)),"")</f>
        <v/>
      </c>
      <c r="L20" s="84">
        <f>IF(OR($J20="",$K20=""),"",IFERROR(INDEX(設定!$F$6:$F$21,MATCH($G20,設定!$B$6:$B$21,0)),0))</f>
        <v/>
      </c>
      <c r="M20" s="85">
        <f>IF(OR($J20="",$K20=""),"",ROUND(($K20-$J20)*24-$L20/60,2))</f>
        <v/>
      </c>
      <c r="N20" s="16">
        <f>IF($C20="","",IF(AND(COUNTIF(設定!$B$15:$B$21,$G20)&gt;0,$J20&lt;&gt;""),"假日出勤",IF(AND(COUNTIF(設定!$B$6:$B$14,$G20)&gt;0,$J20=""),"未打卡",IF($J20="","",IF($O20&gt;0,"遲到",IF($P20&gt;0,"早退","正常"))))))</f>
        <v/>
      </c>
      <c r="O20" s="84">
        <f>IF(OR($C20="",$H20="",$J20=""),0,IF(ROUND(($J20-$H20)*1440,0)&gt;設定!$C$46,ROUND(($J20-$H20)*1440,0),0))</f>
        <v/>
      </c>
      <c r="P20" s="84">
        <f>IF(OR($C20="",$I20="",$K20=""),0,IF(ROUND(($I20-$K20)*1440,0)&gt;設定!$C$46,ROUND(($I20-$K20)*1440,0),0))</f>
        <v/>
      </c>
      <c r="Q20" s="85">
        <f>IF($M20="",0,IF(($M20-IFERROR(INDEX(設定!$G$6:$G$21,MATCH($G20,設定!$B$6:$B$21,0)),0))*60&gt;=設定!$C$44,ROUND(FLOOR(($M20-IFERROR(INDEX(設定!$G$6:$G$21,MATCH($G20,設定!$B$6:$B$21,0)),0))*60,設定!$C$45)/60,2),0))</f>
        <v/>
      </c>
      <c r="R20" s="16">
        <f>IF(OR($C20="",$Q20=0),"",IF($G20="國","國定假日",IF($B20="日","例假",IF($B20="六","休息日","平日"))))</f>
        <v/>
      </c>
      <c r="S20" s="19" t="n"/>
    </row>
    <row r="21">
      <c r="A21" s="82">
        <f>IF(OR(助理班表!$A5="",19&gt;DAY(EOMONTH(DATE(設定!$C$2,設定!$D$2,1),0))),"",DATE(設定!$C$2,設定!$D$2,19))</f>
        <v/>
      </c>
      <c r="B21" s="16">
        <f>IF($A21="","",INDEX(設定!$O$6:$O$12,WEEKDAY($A21,1)))</f>
        <v/>
      </c>
      <c r="C21" s="16">
        <f>IF($A21="","",助理班表!$A5)</f>
        <v/>
      </c>
      <c r="D21" s="16">
        <f>IF($C21="","",助理班表!$B5)</f>
        <v/>
      </c>
      <c r="E21" s="16">
        <f>IF($C21="","",助理班表!$D5)</f>
        <v/>
      </c>
      <c r="F21" s="16">
        <f>IF($C21="","",助理班表!$C5)</f>
        <v/>
      </c>
      <c r="G21" s="16">
        <f>IF($C21="","",助理班表!W5)</f>
        <v/>
      </c>
      <c r="H21" s="83">
        <f>IF($G21="","",IFERROR(IF(INDEX(設定!$D$6:$D$21,MATCH($G21,設定!$B$6:$B$21,0))=0,"",INDEX(設定!$D$6:$D$21,MATCH($G21,設定!$B$6:$B$21,0))),""))</f>
        <v/>
      </c>
      <c r="I21" s="83">
        <f>IF($G21="","",IFERROR(IF(INDEX(設定!$E$6:$E$21,MATCH($G21,設定!$B$6:$B$21,0))=0,"",INDEX(設定!$E$6:$E$21,MATCH($G21,設定!$B$6:$B$21,0))),""))</f>
        <v/>
      </c>
      <c r="J21" s="83">
        <f>IFERROR(INDEX(打卡匯入!$C$3:$C$2002,MATCH($C21&amp;"|"&amp;DAY($A21),打卡匯入!$E$3:$E$2002,0)),"")</f>
        <v/>
      </c>
      <c r="K21" s="83">
        <f>IFERROR(INDEX(打卡匯入!$D$3:$D$2002,MATCH($C21&amp;"|"&amp;DAY($A21),打卡匯入!$E$3:$E$2002,0)),"")</f>
        <v/>
      </c>
      <c r="L21" s="84">
        <f>IF(OR($J21="",$K21=""),"",IFERROR(INDEX(設定!$F$6:$F$21,MATCH($G21,設定!$B$6:$B$21,0)),0))</f>
        <v/>
      </c>
      <c r="M21" s="85">
        <f>IF(OR($J21="",$K21=""),"",ROUND(($K21-$J21)*24-$L21/60,2))</f>
        <v/>
      </c>
      <c r="N21" s="16">
        <f>IF($C21="","",IF(AND(COUNTIF(設定!$B$15:$B$21,$G21)&gt;0,$J21&lt;&gt;""),"假日出勤",IF(AND(COUNTIF(設定!$B$6:$B$14,$G21)&gt;0,$J21=""),"未打卡",IF($J21="","",IF($O21&gt;0,"遲到",IF($P21&gt;0,"早退","正常"))))))</f>
        <v/>
      </c>
      <c r="O21" s="84">
        <f>IF(OR($C21="",$H21="",$J21=""),0,IF(ROUND(($J21-$H21)*1440,0)&gt;設定!$C$46,ROUND(($J21-$H21)*1440,0),0))</f>
        <v/>
      </c>
      <c r="P21" s="84">
        <f>IF(OR($C21="",$I21="",$K21=""),0,IF(ROUND(($I21-$K21)*1440,0)&gt;設定!$C$46,ROUND(($I21-$K21)*1440,0),0))</f>
        <v/>
      </c>
      <c r="Q21" s="85">
        <f>IF($M21="",0,IF(($M21-IFERROR(INDEX(設定!$G$6:$G$21,MATCH($G21,設定!$B$6:$B$21,0)),0))*60&gt;=設定!$C$44,ROUND(FLOOR(($M21-IFERROR(INDEX(設定!$G$6:$G$21,MATCH($G21,設定!$B$6:$B$21,0)),0))*60,設定!$C$45)/60,2),0))</f>
        <v/>
      </c>
      <c r="R21" s="16">
        <f>IF(OR($C21="",$Q21=0),"",IF($G21="國","國定假日",IF($B21="日","例假",IF($B21="六","休息日","平日"))))</f>
        <v/>
      </c>
      <c r="S21" s="19" t="n"/>
    </row>
    <row r="22">
      <c r="A22" s="82">
        <f>IF(OR(助理班表!$A5="",20&gt;DAY(EOMONTH(DATE(設定!$C$2,設定!$D$2,1),0))),"",DATE(設定!$C$2,設定!$D$2,20))</f>
        <v/>
      </c>
      <c r="B22" s="16">
        <f>IF($A22="","",INDEX(設定!$O$6:$O$12,WEEKDAY($A22,1)))</f>
        <v/>
      </c>
      <c r="C22" s="16">
        <f>IF($A22="","",助理班表!$A5)</f>
        <v/>
      </c>
      <c r="D22" s="16">
        <f>IF($C22="","",助理班表!$B5)</f>
        <v/>
      </c>
      <c r="E22" s="16">
        <f>IF($C22="","",助理班表!$D5)</f>
        <v/>
      </c>
      <c r="F22" s="16">
        <f>IF($C22="","",助理班表!$C5)</f>
        <v/>
      </c>
      <c r="G22" s="16">
        <f>IF($C22="","",助理班表!X5)</f>
        <v/>
      </c>
      <c r="H22" s="83">
        <f>IF($G22="","",IFERROR(IF(INDEX(設定!$D$6:$D$21,MATCH($G22,設定!$B$6:$B$21,0))=0,"",INDEX(設定!$D$6:$D$21,MATCH($G22,設定!$B$6:$B$21,0))),""))</f>
        <v/>
      </c>
      <c r="I22" s="83">
        <f>IF($G22="","",IFERROR(IF(INDEX(設定!$E$6:$E$21,MATCH($G22,設定!$B$6:$B$21,0))=0,"",INDEX(設定!$E$6:$E$21,MATCH($G22,設定!$B$6:$B$21,0))),""))</f>
        <v/>
      </c>
      <c r="J22" s="83">
        <f>IFERROR(INDEX(打卡匯入!$C$3:$C$2002,MATCH($C22&amp;"|"&amp;DAY($A22),打卡匯入!$E$3:$E$2002,0)),"")</f>
        <v/>
      </c>
      <c r="K22" s="83">
        <f>IFERROR(INDEX(打卡匯入!$D$3:$D$2002,MATCH($C22&amp;"|"&amp;DAY($A22),打卡匯入!$E$3:$E$2002,0)),"")</f>
        <v/>
      </c>
      <c r="L22" s="84">
        <f>IF(OR($J22="",$K22=""),"",IFERROR(INDEX(設定!$F$6:$F$21,MATCH($G22,設定!$B$6:$B$21,0)),0))</f>
        <v/>
      </c>
      <c r="M22" s="85">
        <f>IF(OR($J22="",$K22=""),"",ROUND(($K22-$J22)*24-$L22/60,2))</f>
        <v/>
      </c>
      <c r="N22" s="16">
        <f>IF($C22="","",IF(AND(COUNTIF(設定!$B$15:$B$21,$G22)&gt;0,$J22&lt;&gt;""),"假日出勤",IF(AND(COUNTIF(設定!$B$6:$B$14,$G22)&gt;0,$J22=""),"未打卡",IF($J22="","",IF($O22&gt;0,"遲到",IF($P22&gt;0,"早退","正常"))))))</f>
        <v/>
      </c>
      <c r="O22" s="84">
        <f>IF(OR($C22="",$H22="",$J22=""),0,IF(ROUND(($J22-$H22)*1440,0)&gt;設定!$C$46,ROUND(($J22-$H22)*1440,0),0))</f>
        <v/>
      </c>
      <c r="P22" s="84">
        <f>IF(OR($C22="",$I22="",$K22=""),0,IF(ROUND(($I22-$K22)*1440,0)&gt;設定!$C$46,ROUND(($I22-$K22)*1440,0),0))</f>
        <v/>
      </c>
      <c r="Q22" s="85">
        <f>IF($M22="",0,IF(($M22-IFERROR(INDEX(設定!$G$6:$G$21,MATCH($G22,設定!$B$6:$B$21,0)),0))*60&gt;=設定!$C$44,ROUND(FLOOR(($M22-IFERROR(INDEX(設定!$G$6:$G$21,MATCH($G22,設定!$B$6:$B$21,0)),0))*60,設定!$C$45)/60,2),0))</f>
        <v/>
      </c>
      <c r="R22" s="16">
        <f>IF(OR($C22="",$Q22=0),"",IF($G22="國","國定假日",IF($B22="日","例假",IF($B22="六","休息日","平日"))))</f>
        <v/>
      </c>
      <c r="S22" s="19" t="n"/>
    </row>
    <row r="23">
      <c r="A23" s="82">
        <f>IF(OR(助理班表!$A5="",21&gt;DAY(EOMONTH(DATE(設定!$C$2,設定!$D$2,1),0))),"",DATE(設定!$C$2,設定!$D$2,21))</f>
        <v/>
      </c>
      <c r="B23" s="16">
        <f>IF($A23="","",INDEX(設定!$O$6:$O$12,WEEKDAY($A23,1)))</f>
        <v/>
      </c>
      <c r="C23" s="16">
        <f>IF($A23="","",助理班表!$A5)</f>
        <v/>
      </c>
      <c r="D23" s="16">
        <f>IF($C23="","",助理班表!$B5)</f>
        <v/>
      </c>
      <c r="E23" s="16">
        <f>IF($C23="","",助理班表!$D5)</f>
        <v/>
      </c>
      <c r="F23" s="16">
        <f>IF($C23="","",助理班表!$C5)</f>
        <v/>
      </c>
      <c r="G23" s="16">
        <f>IF($C23="","",助理班表!Y5)</f>
        <v/>
      </c>
      <c r="H23" s="83">
        <f>IF($G23="","",IFERROR(IF(INDEX(設定!$D$6:$D$21,MATCH($G23,設定!$B$6:$B$21,0))=0,"",INDEX(設定!$D$6:$D$21,MATCH($G23,設定!$B$6:$B$21,0))),""))</f>
        <v/>
      </c>
      <c r="I23" s="83">
        <f>IF($G23="","",IFERROR(IF(INDEX(設定!$E$6:$E$21,MATCH($G23,設定!$B$6:$B$21,0))=0,"",INDEX(設定!$E$6:$E$21,MATCH($G23,設定!$B$6:$B$21,0))),""))</f>
        <v/>
      </c>
      <c r="J23" s="83">
        <f>IFERROR(INDEX(打卡匯入!$C$3:$C$2002,MATCH($C23&amp;"|"&amp;DAY($A23),打卡匯入!$E$3:$E$2002,0)),"")</f>
        <v/>
      </c>
      <c r="K23" s="83">
        <f>IFERROR(INDEX(打卡匯入!$D$3:$D$2002,MATCH($C23&amp;"|"&amp;DAY($A23),打卡匯入!$E$3:$E$2002,0)),"")</f>
        <v/>
      </c>
      <c r="L23" s="84">
        <f>IF(OR($J23="",$K23=""),"",IFERROR(INDEX(設定!$F$6:$F$21,MATCH($G23,設定!$B$6:$B$21,0)),0))</f>
        <v/>
      </c>
      <c r="M23" s="85">
        <f>IF(OR($J23="",$K23=""),"",ROUND(($K23-$J23)*24-$L23/60,2))</f>
        <v/>
      </c>
      <c r="N23" s="16">
        <f>IF($C23="","",IF(AND(COUNTIF(設定!$B$15:$B$21,$G23)&gt;0,$J23&lt;&gt;""),"假日出勤",IF(AND(COUNTIF(設定!$B$6:$B$14,$G23)&gt;0,$J23=""),"未打卡",IF($J23="","",IF($O23&gt;0,"遲到",IF($P23&gt;0,"早退","正常"))))))</f>
        <v/>
      </c>
      <c r="O23" s="84">
        <f>IF(OR($C23="",$H23="",$J23=""),0,IF(ROUND(($J23-$H23)*1440,0)&gt;設定!$C$46,ROUND(($J23-$H23)*1440,0),0))</f>
        <v/>
      </c>
      <c r="P23" s="84">
        <f>IF(OR($C23="",$I23="",$K23=""),0,IF(ROUND(($I23-$K23)*1440,0)&gt;設定!$C$46,ROUND(($I23-$K23)*1440,0),0))</f>
        <v/>
      </c>
      <c r="Q23" s="85">
        <f>IF($M23="",0,IF(($M23-IFERROR(INDEX(設定!$G$6:$G$21,MATCH($G23,設定!$B$6:$B$21,0)),0))*60&gt;=設定!$C$44,ROUND(FLOOR(($M23-IFERROR(INDEX(設定!$G$6:$G$21,MATCH($G23,設定!$B$6:$B$21,0)),0))*60,設定!$C$45)/60,2),0))</f>
        <v/>
      </c>
      <c r="R23" s="16">
        <f>IF(OR($C23="",$Q23=0),"",IF($G23="國","國定假日",IF($B23="日","例假",IF($B23="六","休息日","平日"))))</f>
        <v/>
      </c>
      <c r="S23" s="19" t="n"/>
    </row>
    <row r="24">
      <c r="A24" s="82">
        <f>IF(OR(助理班表!$A5="",22&gt;DAY(EOMONTH(DATE(設定!$C$2,設定!$D$2,1),0))),"",DATE(設定!$C$2,設定!$D$2,22))</f>
        <v/>
      </c>
      <c r="B24" s="16">
        <f>IF($A24="","",INDEX(設定!$O$6:$O$12,WEEKDAY($A24,1)))</f>
        <v/>
      </c>
      <c r="C24" s="16">
        <f>IF($A24="","",助理班表!$A5)</f>
        <v/>
      </c>
      <c r="D24" s="16">
        <f>IF($C24="","",助理班表!$B5)</f>
        <v/>
      </c>
      <c r="E24" s="16">
        <f>IF($C24="","",助理班表!$D5)</f>
        <v/>
      </c>
      <c r="F24" s="16">
        <f>IF($C24="","",助理班表!$C5)</f>
        <v/>
      </c>
      <c r="G24" s="16">
        <f>IF($C24="","",助理班表!Z5)</f>
        <v/>
      </c>
      <c r="H24" s="83">
        <f>IF($G24="","",IFERROR(IF(INDEX(設定!$D$6:$D$21,MATCH($G24,設定!$B$6:$B$21,0))=0,"",INDEX(設定!$D$6:$D$21,MATCH($G24,設定!$B$6:$B$21,0))),""))</f>
        <v/>
      </c>
      <c r="I24" s="83">
        <f>IF($G24="","",IFERROR(IF(INDEX(設定!$E$6:$E$21,MATCH($G24,設定!$B$6:$B$21,0))=0,"",INDEX(設定!$E$6:$E$21,MATCH($G24,設定!$B$6:$B$21,0))),""))</f>
        <v/>
      </c>
      <c r="J24" s="83">
        <f>IFERROR(INDEX(打卡匯入!$C$3:$C$2002,MATCH($C24&amp;"|"&amp;DAY($A24),打卡匯入!$E$3:$E$2002,0)),"")</f>
        <v/>
      </c>
      <c r="K24" s="83">
        <f>IFERROR(INDEX(打卡匯入!$D$3:$D$2002,MATCH($C24&amp;"|"&amp;DAY($A24),打卡匯入!$E$3:$E$2002,0)),"")</f>
        <v/>
      </c>
      <c r="L24" s="84">
        <f>IF(OR($J24="",$K24=""),"",IFERROR(INDEX(設定!$F$6:$F$21,MATCH($G24,設定!$B$6:$B$21,0)),0))</f>
        <v/>
      </c>
      <c r="M24" s="85">
        <f>IF(OR($J24="",$K24=""),"",ROUND(($K24-$J24)*24-$L24/60,2))</f>
        <v/>
      </c>
      <c r="N24" s="16">
        <f>IF($C24="","",IF(AND(COUNTIF(設定!$B$15:$B$21,$G24)&gt;0,$J24&lt;&gt;""),"假日出勤",IF(AND(COUNTIF(設定!$B$6:$B$14,$G24)&gt;0,$J24=""),"未打卡",IF($J24="","",IF($O24&gt;0,"遲到",IF($P24&gt;0,"早退","正常"))))))</f>
        <v/>
      </c>
      <c r="O24" s="84">
        <f>IF(OR($C24="",$H24="",$J24=""),0,IF(ROUND(($J24-$H24)*1440,0)&gt;設定!$C$46,ROUND(($J24-$H24)*1440,0),0))</f>
        <v/>
      </c>
      <c r="P24" s="84">
        <f>IF(OR($C24="",$I24="",$K24=""),0,IF(ROUND(($I24-$K24)*1440,0)&gt;設定!$C$46,ROUND(($I24-$K24)*1440,0),0))</f>
        <v/>
      </c>
      <c r="Q24" s="85">
        <f>IF($M24="",0,IF(($M24-IFERROR(INDEX(設定!$G$6:$G$21,MATCH($G24,設定!$B$6:$B$21,0)),0))*60&gt;=設定!$C$44,ROUND(FLOOR(($M24-IFERROR(INDEX(設定!$G$6:$G$21,MATCH($G24,設定!$B$6:$B$21,0)),0))*60,設定!$C$45)/60,2),0))</f>
        <v/>
      </c>
      <c r="R24" s="16">
        <f>IF(OR($C24="",$Q24=0),"",IF($G24="國","國定假日",IF($B24="日","例假",IF($B24="六","休息日","平日"))))</f>
        <v/>
      </c>
      <c r="S24" s="19" t="n"/>
    </row>
    <row r="25">
      <c r="A25" s="82">
        <f>IF(OR(助理班表!$A5="",23&gt;DAY(EOMONTH(DATE(設定!$C$2,設定!$D$2,1),0))),"",DATE(設定!$C$2,設定!$D$2,23))</f>
        <v/>
      </c>
      <c r="B25" s="16">
        <f>IF($A25="","",INDEX(設定!$O$6:$O$12,WEEKDAY($A25,1)))</f>
        <v/>
      </c>
      <c r="C25" s="16">
        <f>IF($A25="","",助理班表!$A5)</f>
        <v/>
      </c>
      <c r="D25" s="16">
        <f>IF($C25="","",助理班表!$B5)</f>
        <v/>
      </c>
      <c r="E25" s="16">
        <f>IF($C25="","",助理班表!$D5)</f>
        <v/>
      </c>
      <c r="F25" s="16">
        <f>IF($C25="","",助理班表!$C5)</f>
        <v/>
      </c>
      <c r="G25" s="16">
        <f>IF($C25="","",助理班表!AA5)</f>
        <v/>
      </c>
      <c r="H25" s="83">
        <f>IF($G25="","",IFERROR(IF(INDEX(設定!$D$6:$D$21,MATCH($G25,設定!$B$6:$B$21,0))=0,"",INDEX(設定!$D$6:$D$21,MATCH($G25,設定!$B$6:$B$21,0))),""))</f>
        <v/>
      </c>
      <c r="I25" s="83">
        <f>IF($G25="","",IFERROR(IF(INDEX(設定!$E$6:$E$21,MATCH($G25,設定!$B$6:$B$21,0))=0,"",INDEX(設定!$E$6:$E$21,MATCH($G25,設定!$B$6:$B$21,0))),""))</f>
        <v/>
      </c>
      <c r="J25" s="83">
        <f>IFERROR(INDEX(打卡匯入!$C$3:$C$2002,MATCH($C25&amp;"|"&amp;DAY($A25),打卡匯入!$E$3:$E$2002,0)),"")</f>
        <v/>
      </c>
      <c r="K25" s="83">
        <f>IFERROR(INDEX(打卡匯入!$D$3:$D$2002,MATCH($C25&amp;"|"&amp;DAY($A25),打卡匯入!$E$3:$E$2002,0)),"")</f>
        <v/>
      </c>
      <c r="L25" s="84">
        <f>IF(OR($J25="",$K25=""),"",IFERROR(INDEX(設定!$F$6:$F$21,MATCH($G25,設定!$B$6:$B$21,0)),0))</f>
        <v/>
      </c>
      <c r="M25" s="85">
        <f>IF(OR($J25="",$K25=""),"",ROUND(($K25-$J25)*24-$L25/60,2))</f>
        <v/>
      </c>
      <c r="N25" s="16">
        <f>IF($C25="","",IF(AND(COUNTIF(設定!$B$15:$B$21,$G25)&gt;0,$J25&lt;&gt;""),"假日出勤",IF(AND(COUNTIF(設定!$B$6:$B$14,$G25)&gt;0,$J25=""),"未打卡",IF($J25="","",IF($O25&gt;0,"遲到",IF($P25&gt;0,"早退","正常"))))))</f>
        <v/>
      </c>
      <c r="O25" s="84">
        <f>IF(OR($C25="",$H25="",$J25=""),0,IF(ROUND(($J25-$H25)*1440,0)&gt;設定!$C$46,ROUND(($J25-$H25)*1440,0),0))</f>
        <v/>
      </c>
      <c r="P25" s="84">
        <f>IF(OR($C25="",$I25="",$K25=""),0,IF(ROUND(($I25-$K25)*1440,0)&gt;設定!$C$46,ROUND(($I25-$K25)*1440,0),0))</f>
        <v/>
      </c>
      <c r="Q25" s="85">
        <f>IF($M25="",0,IF(($M25-IFERROR(INDEX(設定!$G$6:$G$21,MATCH($G25,設定!$B$6:$B$21,0)),0))*60&gt;=設定!$C$44,ROUND(FLOOR(($M25-IFERROR(INDEX(設定!$G$6:$G$21,MATCH($G25,設定!$B$6:$B$21,0)),0))*60,設定!$C$45)/60,2),0))</f>
        <v/>
      </c>
      <c r="R25" s="16">
        <f>IF(OR($C25="",$Q25=0),"",IF($G25="國","國定假日",IF($B25="日","例假",IF($B25="六","休息日","平日"))))</f>
        <v/>
      </c>
      <c r="S25" s="19" t="n"/>
    </row>
    <row r="26">
      <c r="A26" s="82">
        <f>IF(OR(助理班表!$A5="",24&gt;DAY(EOMONTH(DATE(設定!$C$2,設定!$D$2,1),0))),"",DATE(設定!$C$2,設定!$D$2,24))</f>
        <v/>
      </c>
      <c r="B26" s="16">
        <f>IF($A26="","",INDEX(設定!$O$6:$O$12,WEEKDAY($A26,1)))</f>
        <v/>
      </c>
      <c r="C26" s="16">
        <f>IF($A26="","",助理班表!$A5)</f>
        <v/>
      </c>
      <c r="D26" s="16">
        <f>IF($C26="","",助理班表!$B5)</f>
        <v/>
      </c>
      <c r="E26" s="16">
        <f>IF($C26="","",助理班表!$D5)</f>
        <v/>
      </c>
      <c r="F26" s="16">
        <f>IF($C26="","",助理班表!$C5)</f>
        <v/>
      </c>
      <c r="G26" s="16">
        <f>IF($C26="","",助理班表!AB5)</f>
        <v/>
      </c>
      <c r="H26" s="83">
        <f>IF($G26="","",IFERROR(IF(INDEX(設定!$D$6:$D$21,MATCH($G26,設定!$B$6:$B$21,0))=0,"",INDEX(設定!$D$6:$D$21,MATCH($G26,設定!$B$6:$B$21,0))),""))</f>
        <v/>
      </c>
      <c r="I26" s="83">
        <f>IF($G26="","",IFERROR(IF(INDEX(設定!$E$6:$E$21,MATCH($G26,設定!$B$6:$B$21,0))=0,"",INDEX(設定!$E$6:$E$21,MATCH($G26,設定!$B$6:$B$21,0))),""))</f>
        <v/>
      </c>
      <c r="J26" s="83">
        <f>IFERROR(INDEX(打卡匯入!$C$3:$C$2002,MATCH($C26&amp;"|"&amp;DAY($A26),打卡匯入!$E$3:$E$2002,0)),"")</f>
        <v/>
      </c>
      <c r="K26" s="83">
        <f>IFERROR(INDEX(打卡匯入!$D$3:$D$2002,MATCH($C26&amp;"|"&amp;DAY($A26),打卡匯入!$E$3:$E$2002,0)),"")</f>
        <v/>
      </c>
      <c r="L26" s="84">
        <f>IF(OR($J26="",$K26=""),"",IFERROR(INDEX(設定!$F$6:$F$21,MATCH($G26,設定!$B$6:$B$21,0)),0))</f>
        <v/>
      </c>
      <c r="M26" s="85">
        <f>IF(OR($J26="",$K26=""),"",ROUND(($K26-$J26)*24-$L26/60,2))</f>
        <v/>
      </c>
      <c r="N26" s="16">
        <f>IF($C26="","",IF(AND(COUNTIF(設定!$B$15:$B$21,$G26)&gt;0,$J26&lt;&gt;""),"假日出勤",IF(AND(COUNTIF(設定!$B$6:$B$14,$G26)&gt;0,$J26=""),"未打卡",IF($J26="","",IF($O26&gt;0,"遲到",IF($P26&gt;0,"早退","正常"))))))</f>
        <v/>
      </c>
      <c r="O26" s="84">
        <f>IF(OR($C26="",$H26="",$J26=""),0,IF(ROUND(($J26-$H26)*1440,0)&gt;設定!$C$46,ROUND(($J26-$H26)*1440,0),0))</f>
        <v/>
      </c>
      <c r="P26" s="84">
        <f>IF(OR($C26="",$I26="",$K26=""),0,IF(ROUND(($I26-$K26)*1440,0)&gt;設定!$C$46,ROUND(($I26-$K26)*1440,0),0))</f>
        <v/>
      </c>
      <c r="Q26" s="85">
        <f>IF($M26="",0,IF(($M26-IFERROR(INDEX(設定!$G$6:$G$21,MATCH($G26,設定!$B$6:$B$21,0)),0))*60&gt;=設定!$C$44,ROUND(FLOOR(($M26-IFERROR(INDEX(設定!$G$6:$G$21,MATCH($G26,設定!$B$6:$B$21,0)),0))*60,設定!$C$45)/60,2),0))</f>
        <v/>
      </c>
      <c r="R26" s="16">
        <f>IF(OR($C26="",$Q26=0),"",IF($G26="國","國定假日",IF($B26="日","例假",IF($B26="六","休息日","平日"))))</f>
        <v/>
      </c>
      <c r="S26" s="19" t="n"/>
    </row>
    <row r="27">
      <c r="A27" s="82">
        <f>IF(OR(助理班表!$A5="",25&gt;DAY(EOMONTH(DATE(設定!$C$2,設定!$D$2,1),0))),"",DATE(設定!$C$2,設定!$D$2,25))</f>
        <v/>
      </c>
      <c r="B27" s="16">
        <f>IF($A27="","",INDEX(設定!$O$6:$O$12,WEEKDAY($A27,1)))</f>
        <v/>
      </c>
      <c r="C27" s="16">
        <f>IF($A27="","",助理班表!$A5)</f>
        <v/>
      </c>
      <c r="D27" s="16">
        <f>IF($C27="","",助理班表!$B5)</f>
        <v/>
      </c>
      <c r="E27" s="16">
        <f>IF($C27="","",助理班表!$D5)</f>
        <v/>
      </c>
      <c r="F27" s="16">
        <f>IF($C27="","",助理班表!$C5)</f>
        <v/>
      </c>
      <c r="G27" s="16">
        <f>IF($C27="","",助理班表!AC5)</f>
        <v/>
      </c>
      <c r="H27" s="83">
        <f>IF($G27="","",IFERROR(IF(INDEX(設定!$D$6:$D$21,MATCH($G27,設定!$B$6:$B$21,0))=0,"",INDEX(設定!$D$6:$D$21,MATCH($G27,設定!$B$6:$B$21,0))),""))</f>
        <v/>
      </c>
      <c r="I27" s="83">
        <f>IF($G27="","",IFERROR(IF(INDEX(設定!$E$6:$E$21,MATCH($G27,設定!$B$6:$B$21,0))=0,"",INDEX(設定!$E$6:$E$21,MATCH($G27,設定!$B$6:$B$21,0))),""))</f>
        <v/>
      </c>
      <c r="J27" s="83">
        <f>IFERROR(INDEX(打卡匯入!$C$3:$C$2002,MATCH($C27&amp;"|"&amp;DAY($A27),打卡匯入!$E$3:$E$2002,0)),"")</f>
        <v/>
      </c>
      <c r="K27" s="83">
        <f>IFERROR(INDEX(打卡匯入!$D$3:$D$2002,MATCH($C27&amp;"|"&amp;DAY($A27),打卡匯入!$E$3:$E$2002,0)),"")</f>
        <v/>
      </c>
      <c r="L27" s="84">
        <f>IF(OR($J27="",$K27=""),"",IFERROR(INDEX(設定!$F$6:$F$21,MATCH($G27,設定!$B$6:$B$21,0)),0))</f>
        <v/>
      </c>
      <c r="M27" s="85">
        <f>IF(OR($J27="",$K27=""),"",ROUND(($K27-$J27)*24-$L27/60,2))</f>
        <v/>
      </c>
      <c r="N27" s="16">
        <f>IF($C27="","",IF(AND(COUNTIF(設定!$B$15:$B$21,$G27)&gt;0,$J27&lt;&gt;""),"假日出勤",IF(AND(COUNTIF(設定!$B$6:$B$14,$G27)&gt;0,$J27=""),"未打卡",IF($J27="","",IF($O27&gt;0,"遲到",IF($P27&gt;0,"早退","正常"))))))</f>
        <v/>
      </c>
      <c r="O27" s="84">
        <f>IF(OR($C27="",$H27="",$J27=""),0,IF(ROUND(($J27-$H27)*1440,0)&gt;設定!$C$46,ROUND(($J27-$H27)*1440,0),0))</f>
        <v/>
      </c>
      <c r="P27" s="84">
        <f>IF(OR($C27="",$I27="",$K27=""),0,IF(ROUND(($I27-$K27)*1440,0)&gt;設定!$C$46,ROUND(($I27-$K27)*1440,0),0))</f>
        <v/>
      </c>
      <c r="Q27" s="85">
        <f>IF($M27="",0,IF(($M27-IFERROR(INDEX(設定!$G$6:$G$21,MATCH($G27,設定!$B$6:$B$21,0)),0))*60&gt;=設定!$C$44,ROUND(FLOOR(($M27-IFERROR(INDEX(設定!$G$6:$G$21,MATCH($G27,設定!$B$6:$B$21,0)),0))*60,設定!$C$45)/60,2),0))</f>
        <v/>
      </c>
      <c r="R27" s="16">
        <f>IF(OR($C27="",$Q27=0),"",IF($G27="國","國定假日",IF($B27="日","例假",IF($B27="六","休息日","平日"))))</f>
        <v/>
      </c>
      <c r="S27" s="19" t="n"/>
    </row>
    <row r="28">
      <c r="A28" s="82">
        <f>IF(OR(助理班表!$A5="",26&gt;DAY(EOMONTH(DATE(設定!$C$2,設定!$D$2,1),0))),"",DATE(設定!$C$2,設定!$D$2,26))</f>
        <v/>
      </c>
      <c r="B28" s="16">
        <f>IF($A28="","",INDEX(設定!$O$6:$O$12,WEEKDAY($A28,1)))</f>
        <v/>
      </c>
      <c r="C28" s="16">
        <f>IF($A28="","",助理班表!$A5)</f>
        <v/>
      </c>
      <c r="D28" s="16">
        <f>IF($C28="","",助理班表!$B5)</f>
        <v/>
      </c>
      <c r="E28" s="16">
        <f>IF($C28="","",助理班表!$D5)</f>
        <v/>
      </c>
      <c r="F28" s="16">
        <f>IF($C28="","",助理班表!$C5)</f>
        <v/>
      </c>
      <c r="G28" s="16">
        <f>IF($C28="","",助理班表!AD5)</f>
        <v/>
      </c>
      <c r="H28" s="83">
        <f>IF($G28="","",IFERROR(IF(INDEX(設定!$D$6:$D$21,MATCH($G28,設定!$B$6:$B$21,0))=0,"",INDEX(設定!$D$6:$D$21,MATCH($G28,設定!$B$6:$B$21,0))),""))</f>
        <v/>
      </c>
      <c r="I28" s="83">
        <f>IF($G28="","",IFERROR(IF(INDEX(設定!$E$6:$E$21,MATCH($G28,設定!$B$6:$B$21,0))=0,"",INDEX(設定!$E$6:$E$21,MATCH($G28,設定!$B$6:$B$21,0))),""))</f>
        <v/>
      </c>
      <c r="J28" s="83">
        <f>IFERROR(INDEX(打卡匯入!$C$3:$C$2002,MATCH($C28&amp;"|"&amp;DAY($A28),打卡匯入!$E$3:$E$2002,0)),"")</f>
        <v/>
      </c>
      <c r="K28" s="83">
        <f>IFERROR(INDEX(打卡匯入!$D$3:$D$2002,MATCH($C28&amp;"|"&amp;DAY($A28),打卡匯入!$E$3:$E$2002,0)),"")</f>
        <v/>
      </c>
      <c r="L28" s="84">
        <f>IF(OR($J28="",$K28=""),"",IFERROR(INDEX(設定!$F$6:$F$21,MATCH($G28,設定!$B$6:$B$21,0)),0))</f>
        <v/>
      </c>
      <c r="M28" s="85">
        <f>IF(OR($J28="",$K28=""),"",ROUND(($K28-$J28)*24-$L28/60,2))</f>
        <v/>
      </c>
      <c r="N28" s="16">
        <f>IF($C28="","",IF(AND(COUNTIF(設定!$B$15:$B$21,$G28)&gt;0,$J28&lt;&gt;""),"假日出勤",IF(AND(COUNTIF(設定!$B$6:$B$14,$G28)&gt;0,$J28=""),"未打卡",IF($J28="","",IF($O28&gt;0,"遲到",IF($P28&gt;0,"早退","正常"))))))</f>
        <v/>
      </c>
      <c r="O28" s="84">
        <f>IF(OR($C28="",$H28="",$J28=""),0,IF(ROUND(($J28-$H28)*1440,0)&gt;設定!$C$46,ROUND(($J28-$H28)*1440,0),0))</f>
        <v/>
      </c>
      <c r="P28" s="84">
        <f>IF(OR($C28="",$I28="",$K28=""),0,IF(ROUND(($I28-$K28)*1440,0)&gt;設定!$C$46,ROUND(($I28-$K28)*1440,0),0))</f>
        <v/>
      </c>
      <c r="Q28" s="85">
        <f>IF($M28="",0,IF(($M28-IFERROR(INDEX(設定!$G$6:$G$21,MATCH($G28,設定!$B$6:$B$21,0)),0))*60&gt;=設定!$C$44,ROUND(FLOOR(($M28-IFERROR(INDEX(設定!$G$6:$G$21,MATCH($G28,設定!$B$6:$B$21,0)),0))*60,設定!$C$45)/60,2),0))</f>
        <v/>
      </c>
      <c r="R28" s="16">
        <f>IF(OR($C28="",$Q28=0),"",IF($G28="國","國定假日",IF($B28="日","例假",IF($B28="六","休息日","平日"))))</f>
        <v/>
      </c>
      <c r="S28" s="19" t="n"/>
    </row>
    <row r="29">
      <c r="A29" s="82">
        <f>IF(OR(助理班表!$A5="",27&gt;DAY(EOMONTH(DATE(設定!$C$2,設定!$D$2,1),0))),"",DATE(設定!$C$2,設定!$D$2,27))</f>
        <v/>
      </c>
      <c r="B29" s="16">
        <f>IF($A29="","",INDEX(設定!$O$6:$O$12,WEEKDAY($A29,1)))</f>
        <v/>
      </c>
      <c r="C29" s="16">
        <f>IF($A29="","",助理班表!$A5)</f>
        <v/>
      </c>
      <c r="D29" s="16">
        <f>IF($C29="","",助理班表!$B5)</f>
        <v/>
      </c>
      <c r="E29" s="16">
        <f>IF($C29="","",助理班表!$D5)</f>
        <v/>
      </c>
      <c r="F29" s="16">
        <f>IF($C29="","",助理班表!$C5)</f>
        <v/>
      </c>
      <c r="G29" s="16">
        <f>IF($C29="","",助理班表!AE5)</f>
        <v/>
      </c>
      <c r="H29" s="83">
        <f>IF($G29="","",IFERROR(IF(INDEX(設定!$D$6:$D$21,MATCH($G29,設定!$B$6:$B$21,0))=0,"",INDEX(設定!$D$6:$D$21,MATCH($G29,設定!$B$6:$B$21,0))),""))</f>
        <v/>
      </c>
      <c r="I29" s="83">
        <f>IF($G29="","",IFERROR(IF(INDEX(設定!$E$6:$E$21,MATCH($G29,設定!$B$6:$B$21,0))=0,"",INDEX(設定!$E$6:$E$21,MATCH($G29,設定!$B$6:$B$21,0))),""))</f>
        <v/>
      </c>
      <c r="J29" s="83">
        <f>IFERROR(INDEX(打卡匯入!$C$3:$C$2002,MATCH($C29&amp;"|"&amp;DAY($A29),打卡匯入!$E$3:$E$2002,0)),"")</f>
        <v/>
      </c>
      <c r="K29" s="83">
        <f>IFERROR(INDEX(打卡匯入!$D$3:$D$2002,MATCH($C29&amp;"|"&amp;DAY($A29),打卡匯入!$E$3:$E$2002,0)),"")</f>
        <v/>
      </c>
      <c r="L29" s="84">
        <f>IF(OR($J29="",$K29=""),"",IFERROR(INDEX(設定!$F$6:$F$21,MATCH($G29,設定!$B$6:$B$21,0)),0))</f>
        <v/>
      </c>
      <c r="M29" s="85">
        <f>IF(OR($J29="",$K29=""),"",ROUND(($K29-$J29)*24-$L29/60,2))</f>
        <v/>
      </c>
      <c r="N29" s="16">
        <f>IF($C29="","",IF(AND(COUNTIF(設定!$B$15:$B$21,$G29)&gt;0,$J29&lt;&gt;""),"假日出勤",IF(AND(COUNTIF(設定!$B$6:$B$14,$G29)&gt;0,$J29=""),"未打卡",IF($J29="","",IF($O29&gt;0,"遲到",IF($P29&gt;0,"早退","正常"))))))</f>
        <v/>
      </c>
      <c r="O29" s="84">
        <f>IF(OR($C29="",$H29="",$J29=""),0,IF(ROUND(($J29-$H29)*1440,0)&gt;設定!$C$46,ROUND(($J29-$H29)*1440,0),0))</f>
        <v/>
      </c>
      <c r="P29" s="84">
        <f>IF(OR($C29="",$I29="",$K29=""),0,IF(ROUND(($I29-$K29)*1440,0)&gt;設定!$C$46,ROUND(($I29-$K29)*1440,0),0))</f>
        <v/>
      </c>
      <c r="Q29" s="85">
        <f>IF($M29="",0,IF(($M29-IFERROR(INDEX(設定!$G$6:$G$21,MATCH($G29,設定!$B$6:$B$21,0)),0))*60&gt;=設定!$C$44,ROUND(FLOOR(($M29-IFERROR(INDEX(設定!$G$6:$G$21,MATCH($G29,設定!$B$6:$B$21,0)),0))*60,設定!$C$45)/60,2),0))</f>
        <v/>
      </c>
      <c r="R29" s="16">
        <f>IF(OR($C29="",$Q29=0),"",IF($G29="國","國定假日",IF($B29="日","例假",IF($B29="六","休息日","平日"))))</f>
        <v/>
      </c>
      <c r="S29" s="19" t="n"/>
    </row>
    <row r="30">
      <c r="A30" s="82">
        <f>IF(OR(助理班表!$A5="",28&gt;DAY(EOMONTH(DATE(設定!$C$2,設定!$D$2,1),0))),"",DATE(設定!$C$2,設定!$D$2,28))</f>
        <v/>
      </c>
      <c r="B30" s="16">
        <f>IF($A30="","",INDEX(設定!$O$6:$O$12,WEEKDAY($A30,1)))</f>
        <v/>
      </c>
      <c r="C30" s="16">
        <f>IF($A30="","",助理班表!$A5)</f>
        <v/>
      </c>
      <c r="D30" s="16">
        <f>IF($C30="","",助理班表!$B5)</f>
        <v/>
      </c>
      <c r="E30" s="16">
        <f>IF($C30="","",助理班表!$D5)</f>
        <v/>
      </c>
      <c r="F30" s="16">
        <f>IF($C30="","",助理班表!$C5)</f>
        <v/>
      </c>
      <c r="G30" s="16">
        <f>IF($C30="","",助理班表!AF5)</f>
        <v/>
      </c>
      <c r="H30" s="83">
        <f>IF($G30="","",IFERROR(IF(INDEX(設定!$D$6:$D$21,MATCH($G30,設定!$B$6:$B$21,0))=0,"",INDEX(設定!$D$6:$D$21,MATCH($G30,設定!$B$6:$B$21,0))),""))</f>
        <v/>
      </c>
      <c r="I30" s="83">
        <f>IF($G30="","",IFERROR(IF(INDEX(設定!$E$6:$E$21,MATCH($G30,設定!$B$6:$B$21,0))=0,"",INDEX(設定!$E$6:$E$21,MATCH($G30,設定!$B$6:$B$21,0))),""))</f>
        <v/>
      </c>
      <c r="J30" s="83">
        <f>IFERROR(INDEX(打卡匯入!$C$3:$C$2002,MATCH($C30&amp;"|"&amp;DAY($A30),打卡匯入!$E$3:$E$2002,0)),"")</f>
        <v/>
      </c>
      <c r="K30" s="83">
        <f>IFERROR(INDEX(打卡匯入!$D$3:$D$2002,MATCH($C30&amp;"|"&amp;DAY($A30),打卡匯入!$E$3:$E$2002,0)),"")</f>
        <v/>
      </c>
      <c r="L30" s="84">
        <f>IF(OR($J30="",$K30=""),"",IFERROR(INDEX(設定!$F$6:$F$21,MATCH($G30,設定!$B$6:$B$21,0)),0))</f>
        <v/>
      </c>
      <c r="M30" s="85">
        <f>IF(OR($J30="",$K30=""),"",ROUND(($K30-$J30)*24-$L30/60,2))</f>
        <v/>
      </c>
      <c r="N30" s="16">
        <f>IF($C30="","",IF(AND(COUNTIF(設定!$B$15:$B$21,$G30)&gt;0,$J30&lt;&gt;""),"假日出勤",IF(AND(COUNTIF(設定!$B$6:$B$14,$G30)&gt;0,$J30=""),"未打卡",IF($J30="","",IF($O30&gt;0,"遲到",IF($P30&gt;0,"早退","正常"))))))</f>
        <v/>
      </c>
      <c r="O30" s="84">
        <f>IF(OR($C30="",$H30="",$J30=""),0,IF(ROUND(($J30-$H30)*1440,0)&gt;設定!$C$46,ROUND(($J30-$H30)*1440,0),0))</f>
        <v/>
      </c>
      <c r="P30" s="84">
        <f>IF(OR($C30="",$I30="",$K30=""),0,IF(ROUND(($I30-$K30)*1440,0)&gt;設定!$C$46,ROUND(($I30-$K30)*1440,0),0))</f>
        <v/>
      </c>
      <c r="Q30" s="85">
        <f>IF($M30="",0,IF(($M30-IFERROR(INDEX(設定!$G$6:$G$21,MATCH($G30,設定!$B$6:$B$21,0)),0))*60&gt;=設定!$C$44,ROUND(FLOOR(($M30-IFERROR(INDEX(設定!$G$6:$G$21,MATCH($G30,設定!$B$6:$B$21,0)),0))*60,設定!$C$45)/60,2),0))</f>
        <v/>
      </c>
      <c r="R30" s="16">
        <f>IF(OR($C30="",$Q30=0),"",IF($G30="國","國定假日",IF($B30="日","例假",IF($B30="六","休息日","平日"))))</f>
        <v/>
      </c>
      <c r="S30" s="19" t="n"/>
    </row>
    <row r="31">
      <c r="A31" s="82">
        <f>IF(OR(助理班表!$A5="",29&gt;DAY(EOMONTH(DATE(設定!$C$2,設定!$D$2,1),0))),"",DATE(設定!$C$2,設定!$D$2,29))</f>
        <v/>
      </c>
      <c r="B31" s="16">
        <f>IF($A31="","",INDEX(設定!$O$6:$O$12,WEEKDAY($A31,1)))</f>
        <v/>
      </c>
      <c r="C31" s="16">
        <f>IF($A31="","",助理班表!$A5)</f>
        <v/>
      </c>
      <c r="D31" s="16">
        <f>IF($C31="","",助理班表!$B5)</f>
        <v/>
      </c>
      <c r="E31" s="16">
        <f>IF($C31="","",助理班表!$D5)</f>
        <v/>
      </c>
      <c r="F31" s="16">
        <f>IF($C31="","",助理班表!$C5)</f>
        <v/>
      </c>
      <c r="G31" s="16">
        <f>IF($C31="","",助理班表!AG5)</f>
        <v/>
      </c>
      <c r="H31" s="83">
        <f>IF($G31="","",IFERROR(IF(INDEX(設定!$D$6:$D$21,MATCH($G31,設定!$B$6:$B$21,0))=0,"",INDEX(設定!$D$6:$D$21,MATCH($G31,設定!$B$6:$B$21,0))),""))</f>
        <v/>
      </c>
      <c r="I31" s="83">
        <f>IF($G31="","",IFERROR(IF(INDEX(設定!$E$6:$E$21,MATCH($G31,設定!$B$6:$B$21,0))=0,"",INDEX(設定!$E$6:$E$21,MATCH($G31,設定!$B$6:$B$21,0))),""))</f>
        <v/>
      </c>
      <c r="J31" s="83">
        <f>IFERROR(INDEX(打卡匯入!$C$3:$C$2002,MATCH($C31&amp;"|"&amp;DAY($A31),打卡匯入!$E$3:$E$2002,0)),"")</f>
        <v/>
      </c>
      <c r="K31" s="83">
        <f>IFERROR(INDEX(打卡匯入!$D$3:$D$2002,MATCH($C31&amp;"|"&amp;DAY($A31),打卡匯入!$E$3:$E$2002,0)),"")</f>
        <v/>
      </c>
      <c r="L31" s="84">
        <f>IF(OR($J31="",$K31=""),"",IFERROR(INDEX(設定!$F$6:$F$21,MATCH($G31,設定!$B$6:$B$21,0)),0))</f>
        <v/>
      </c>
      <c r="M31" s="85">
        <f>IF(OR($J31="",$K31=""),"",ROUND(($K31-$J31)*24-$L31/60,2))</f>
        <v/>
      </c>
      <c r="N31" s="16">
        <f>IF($C31="","",IF(AND(COUNTIF(設定!$B$15:$B$21,$G31)&gt;0,$J31&lt;&gt;""),"假日出勤",IF(AND(COUNTIF(設定!$B$6:$B$14,$G31)&gt;0,$J31=""),"未打卡",IF($J31="","",IF($O31&gt;0,"遲到",IF($P31&gt;0,"早退","正常"))))))</f>
        <v/>
      </c>
      <c r="O31" s="84">
        <f>IF(OR($C31="",$H31="",$J31=""),0,IF(ROUND(($J31-$H31)*1440,0)&gt;設定!$C$46,ROUND(($J31-$H31)*1440,0),0))</f>
        <v/>
      </c>
      <c r="P31" s="84">
        <f>IF(OR($C31="",$I31="",$K31=""),0,IF(ROUND(($I31-$K31)*1440,0)&gt;設定!$C$46,ROUND(($I31-$K31)*1440,0),0))</f>
        <v/>
      </c>
      <c r="Q31" s="85">
        <f>IF($M31="",0,IF(($M31-IFERROR(INDEX(設定!$G$6:$G$21,MATCH($G31,設定!$B$6:$B$21,0)),0))*60&gt;=設定!$C$44,ROUND(FLOOR(($M31-IFERROR(INDEX(設定!$G$6:$G$21,MATCH($G31,設定!$B$6:$B$21,0)),0))*60,設定!$C$45)/60,2),0))</f>
        <v/>
      </c>
      <c r="R31" s="16">
        <f>IF(OR($C31="",$Q31=0),"",IF($G31="國","國定假日",IF($B31="日","例假",IF($B31="六","休息日","平日"))))</f>
        <v/>
      </c>
      <c r="S31" s="19" t="n"/>
    </row>
    <row r="32">
      <c r="A32" s="82">
        <f>IF(OR(助理班表!$A5="",30&gt;DAY(EOMONTH(DATE(設定!$C$2,設定!$D$2,1),0))),"",DATE(設定!$C$2,設定!$D$2,30))</f>
        <v/>
      </c>
      <c r="B32" s="16">
        <f>IF($A32="","",INDEX(設定!$O$6:$O$12,WEEKDAY($A32,1)))</f>
        <v/>
      </c>
      <c r="C32" s="16">
        <f>IF($A32="","",助理班表!$A5)</f>
        <v/>
      </c>
      <c r="D32" s="16">
        <f>IF($C32="","",助理班表!$B5)</f>
        <v/>
      </c>
      <c r="E32" s="16">
        <f>IF($C32="","",助理班表!$D5)</f>
        <v/>
      </c>
      <c r="F32" s="16">
        <f>IF($C32="","",助理班表!$C5)</f>
        <v/>
      </c>
      <c r="G32" s="16">
        <f>IF($C32="","",助理班表!AH5)</f>
        <v/>
      </c>
      <c r="H32" s="83">
        <f>IF($G32="","",IFERROR(IF(INDEX(設定!$D$6:$D$21,MATCH($G32,設定!$B$6:$B$21,0))=0,"",INDEX(設定!$D$6:$D$21,MATCH($G32,設定!$B$6:$B$21,0))),""))</f>
        <v/>
      </c>
      <c r="I32" s="83">
        <f>IF($G32="","",IFERROR(IF(INDEX(設定!$E$6:$E$21,MATCH($G32,設定!$B$6:$B$21,0))=0,"",INDEX(設定!$E$6:$E$21,MATCH($G32,設定!$B$6:$B$21,0))),""))</f>
        <v/>
      </c>
      <c r="J32" s="83">
        <f>IFERROR(INDEX(打卡匯入!$C$3:$C$2002,MATCH($C32&amp;"|"&amp;DAY($A32),打卡匯入!$E$3:$E$2002,0)),"")</f>
        <v/>
      </c>
      <c r="K32" s="83">
        <f>IFERROR(INDEX(打卡匯入!$D$3:$D$2002,MATCH($C32&amp;"|"&amp;DAY($A32),打卡匯入!$E$3:$E$2002,0)),"")</f>
        <v/>
      </c>
      <c r="L32" s="84">
        <f>IF(OR($J32="",$K32=""),"",IFERROR(INDEX(設定!$F$6:$F$21,MATCH($G32,設定!$B$6:$B$21,0)),0))</f>
        <v/>
      </c>
      <c r="M32" s="85">
        <f>IF(OR($J32="",$K32=""),"",ROUND(($K32-$J32)*24-$L32/60,2))</f>
        <v/>
      </c>
      <c r="N32" s="16">
        <f>IF($C32="","",IF(AND(COUNTIF(設定!$B$15:$B$21,$G32)&gt;0,$J32&lt;&gt;""),"假日出勤",IF(AND(COUNTIF(設定!$B$6:$B$14,$G32)&gt;0,$J32=""),"未打卡",IF($J32="","",IF($O32&gt;0,"遲到",IF($P32&gt;0,"早退","正常"))))))</f>
        <v/>
      </c>
      <c r="O32" s="84">
        <f>IF(OR($C32="",$H32="",$J32=""),0,IF(ROUND(($J32-$H32)*1440,0)&gt;設定!$C$46,ROUND(($J32-$H32)*1440,0),0))</f>
        <v/>
      </c>
      <c r="P32" s="84">
        <f>IF(OR($C32="",$I32="",$K32=""),0,IF(ROUND(($I32-$K32)*1440,0)&gt;設定!$C$46,ROUND(($I32-$K32)*1440,0),0))</f>
        <v/>
      </c>
      <c r="Q32" s="85">
        <f>IF($M32="",0,IF(($M32-IFERROR(INDEX(設定!$G$6:$G$21,MATCH($G32,設定!$B$6:$B$21,0)),0))*60&gt;=設定!$C$44,ROUND(FLOOR(($M32-IFERROR(INDEX(設定!$G$6:$G$21,MATCH($G32,設定!$B$6:$B$21,0)),0))*60,設定!$C$45)/60,2),0))</f>
        <v/>
      </c>
      <c r="R32" s="16">
        <f>IF(OR($C32="",$Q32=0),"",IF($G32="國","國定假日",IF($B32="日","例假",IF($B32="六","休息日","平日"))))</f>
        <v/>
      </c>
      <c r="S32" s="19" t="n"/>
    </row>
    <row r="33">
      <c r="A33" s="82">
        <f>IF(OR(助理班表!$A5="",31&gt;DAY(EOMONTH(DATE(設定!$C$2,設定!$D$2,1),0))),"",DATE(設定!$C$2,設定!$D$2,31))</f>
        <v/>
      </c>
      <c r="B33" s="16">
        <f>IF($A33="","",INDEX(設定!$O$6:$O$12,WEEKDAY($A33,1)))</f>
        <v/>
      </c>
      <c r="C33" s="16">
        <f>IF($A33="","",助理班表!$A5)</f>
        <v/>
      </c>
      <c r="D33" s="16">
        <f>IF($C33="","",助理班表!$B5)</f>
        <v/>
      </c>
      <c r="E33" s="16">
        <f>IF($C33="","",助理班表!$D5)</f>
        <v/>
      </c>
      <c r="F33" s="16">
        <f>IF($C33="","",助理班表!$C5)</f>
        <v/>
      </c>
      <c r="G33" s="16">
        <f>IF($C33="","",助理班表!AI5)</f>
        <v/>
      </c>
      <c r="H33" s="83">
        <f>IF($G33="","",IFERROR(IF(INDEX(設定!$D$6:$D$21,MATCH($G33,設定!$B$6:$B$21,0))=0,"",INDEX(設定!$D$6:$D$21,MATCH($G33,設定!$B$6:$B$21,0))),""))</f>
        <v/>
      </c>
      <c r="I33" s="83">
        <f>IF($G33="","",IFERROR(IF(INDEX(設定!$E$6:$E$21,MATCH($G33,設定!$B$6:$B$21,0))=0,"",INDEX(設定!$E$6:$E$21,MATCH($G33,設定!$B$6:$B$21,0))),""))</f>
        <v/>
      </c>
      <c r="J33" s="83">
        <f>IFERROR(INDEX(打卡匯入!$C$3:$C$2002,MATCH($C33&amp;"|"&amp;DAY($A33),打卡匯入!$E$3:$E$2002,0)),"")</f>
        <v/>
      </c>
      <c r="K33" s="83">
        <f>IFERROR(INDEX(打卡匯入!$D$3:$D$2002,MATCH($C33&amp;"|"&amp;DAY($A33),打卡匯入!$E$3:$E$2002,0)),"")</f>
        <v/>
      </c>
      <c r="L33" s="84">
        <f>IF(OR($J33="",$K33=""),"",IFERROR(INDEX(設定!$F$6:$F$21,MATCH($G33,設定!$B$6:$B$21,0)),0))</f>
        <v/>
      </c>
      <c r="M33" s="85">
        <f>IF(OR($J33="",$K33=""),"",ROUND(($K33-$J33)*24-$L33/60,2))</f>
        <v/>
      </c>
      <c r="N33" s="16">
        <f>IF($C33="","",IF(AND(COUNTIF(設定!$B$15:$B$21,$G33)&gt;0,$J33&lt;&gt;""),"假日出勤",IF(AND(COUNTIF(設定!$B$6:$B$14,$G33)&gt;0,$J33=""),"未打卡",IF($J33="","",IF($O33&gt;0,"遲到",IF($P33&gt;0,"早退","正常"))))))</f>
        <v/>
      </c>
      <c r="O33" s="84">
        <f>IF(OR($C33="",$H33="",$J33=""),0,IF(ROUND(($J33-$H33)*1440,0)&gt;設定!$C$46,ROUND(($J33-$H33)*1440,0),0))</f>
        <v/>
      </c>
      <c r="P33" s="84">
        <f>IF(OR($C33="",$I33="",$K33=""),0,IF(ROUND(($I33-$K33)*1440,0)&gt;設定!$C$46,ROUND(($I33-$K33)*1440,0),0))</f>
        <v/>
      </c>
      <c r="Q33" s="85">
        <f>IF($M33="",0,IF(($M33-IFERROR(INDEX(設定!$G$6:$G$21,MATCH($G33,設定!$B$6:$B$21,0)),0))*60&gt;=設定!$C$44,ROUND(FLOOR(($M33-IFERROR(INDEX(設定!$G$6:$G$21,MATCH($G33,設定!$B$6:$B$21,0)),0))*60,設定!$C$45)/60,2),0))</f>
        <v/>
      </c>
      <c r="R33" s="16">
        <f>IF(OR($C33="",$Q33=0),"",IF($G33="國","國定假日",IF($B33="日","例假",IF($B33="六","休息日","平日"))))</f>
        <v/>
      </c>
      <c r="S33" s="19" t="n"/>
    </row>
    <row r="34">
      <c r="A34" s="82">
        <f>IF(OR(助理班表!$A6="",1&gt;DAY(EOMONTH(DATE(設定!$C$2,設定!$D$2,1),0))),"",DATE(設定!$C$2,設定!$D$2,1))</f>
        <v/>
      </c>
      <c r="B34" s="16">
        <f>IF($A34="","",INDEX(設定!$O$6:$O$12,WEEKDAY($A34,1)))</f>
        <v/>
      </c>
      <c r="C34" s="16">
        <f>IF($A34="","",助理班表!$A6)</f>
        <v/>
      </c>
      <c r="D34" s="16">
        <f>IF($C34="","",助理班表!$B6)</f>
        <v/>
      </c>
      <c r="E34" s="16">
        <f>IF($C34="","",助理班表!$D6)</f>
        <v/>
      </c>
      <c r="F34" s="16">
        <f>IF($C34="","",助理班表!$C6)</f>
        <v/>
      </c>
      <c r="G34" s="16">
        <f>IF($C34="","",助理班表!E6)</f>
        <v/>
      </c>
      <c r="H34" s="83">
        <f>IF($G34="","",IFERROR(IF(INDEX(設定!$D$6:$D$21,MATCH($G34,設定!$B$6:$B$21,0))=0,"",INDEX(設定!$D$6:$D$21,MATCH($G34,設定!$B$6:$B$21,0))),""))</f>
        <v/>
      </c>
      <c r="I34" s="83">
        <f>IF($G34="","",IFERROR(IF(INDEX(設定!$E$6:$E$21,MATCH($G34,設定!$B$6:$B$21,0))=0,"",INDEX(設定!$E$6:$E$21,MATCH($G34,設定!$B$6:$B$21,0))),""))</f>
        <v/>
      </c>
      <c r="J34" s="83">
        <f>IFERROR(INDEX(打卡匯入!$C$3:$C$2002,MATCH($C34&amp;"|"&amp;DAY($A34),打卡匯入!$E$3:$E$2002,0)),"")</f>
        <v/>
      </c>
      <c r="K34" s="83">
        <f>IFERROR(INDEX(打卡匯入!$D$3:$D$2002,MATCH($C34&amp;"|"&amp;DAY($A34),打卡匯入!$E$3:$E$2002,0)),"")</f>
        <v/>
      </c>
      <c r="L34" s="84">
        <f>IF(OR($J34="",$K34=""),"",IFERROR(INDEX(設定!$F$6:$F$21,MATCH($G34,設定!$B$6:$B$21,0)),0))</f>
        <v/>
      </c>
      <c r="M34" s="85">
        <f>IF(OR($J34="",$K34=""),"",ROUND(($K34-$J34)*24-$L34/60,2))</f>
        <v/>
      </c>
      <c r="N34" s="16">
        <f>IF($C34="","",IF(AND(COUNTIF(設定!$B$15:$B$21,$G34)&gt;0,$J34&lt;&gt;""),"假日出勤",IF(AND(COUNTIF(設定!$B$6:$B$14,$G34)&gt;0,$J34=""),"未打卡",IF($J34="","",IF($O34&gt;0,"遲到",IF($P34&gt;0,"早退","正常"))))))</f>
        <v/>
      </c>
      <c r="O34" s="84">
        <f>IF(OR($C34="",$H34="",$J34=""),0,IF(ROUND(($J34-$H34)*1440,0)&gt;設定!$C$46,ROUND(($J34-$H34)*1440,0),0))</f>
        <v/>
      </c>
      <c r="P34" s="84">
        <f>IF(OR($C34="",$I34="",$K34=""),0,IF(ROUND(($I34-$K34)*1440,0)&gt;設定!$C$46,ROUND(($I34-$K34)*1440,0),0))</f>
        <v/>
      </c>
      <c r="Q34" s="85">
        <f>IF($M34="",0,IF(($M34-IFERROR(INDEX(設定!$G$6:$G$21,MATCH($G34,設定!$B$6:$B$21,0)),0))*60&gt;=設定!$C$44,ROUND(FLOOR(($M34-IFERROR(INDEX(設定!$G$6:$G$21,MATCH($G34,設定!$B$6:$B$21,0)),0))*60,設定!$C$45)/60,2),0))</f>
        <v/>
      </c>
      <c r="R34" s="16">
        <f>IF(OR($C34="",$Q34=0),"",IF($G34="國","國定假日",IF($B34="日","例假",IF($B34="六","休息日","平日"))))</f>
        <v/>
      </c>
      <c r="S34" s="19" t="n"/>
    </row>
    <row r="35">
      <c r="A35" s="82">
        <f>IF(OR(助理班表!$A6="",2&gt;DAY(EOMONTH(DATE(設定!$C$2,設定!$D$2,1),0))),"",DATE(設定!$C$2,設定!$D$2,2))</f>
        <v/>
      </c>
      <c r="B35" s="16">
        <f>IF($A35="","",INDEX(設定!$O$6:$O$12,WEEKDAY($A35,1)))</f>
        <v/>
      </c>
      <c r="C35" s="16">
        <f>IF($A35="","",助理班表!$A6)</f>
        <v/>
      </c>
      <c r="D35" s="16">
        <f>IF($C35="","",助理班表!$B6)</f>
        <v/>
      </c>
      <c r="E35" s="16">
        <f>IF($C35="","",助理班表!$D6)</f>
        <v/>
      </c>
      <c r="F35" s="16">
        <f>IF($C35="","",助理班表!$C6)</f>
        <v/>
      </c>
      <c r="G35" s="16">
        <f>IF($C35="","",助理班表!F6)</f>
        <v/>
      </c>
      <c r="H35" s="83">
        <f>IF($G35="","",IFERROR(IF(INDEX(設定!$D$6:$D$21,MATCH($G35,設定!$B$6:$B$21,0))=0,"",INDEX(設定!$D$6:$D$21,MATCH($G35,設定!$B$6:$B$21,0))),""))</f>
        <v/>
      </c>
      <c r="I35" s="83">
        <f>IF($G35="","",IFERROR(IF(INDEX(設定!$E$6:$E$21,MATCH($G35,設定!$B$6:$B$21,0))=0,"",INDEX(設定!$E$6:$E$21,MATCH($G35,設定!$B$6:$B$21,0))),""))</f>
        <v/>
      </c>
      <c r="J35" s="83">
        <f>IFERROR(INDEX(打卡匯入!$C$3:$C$2002,MATCH($C35&amp;"|"&amp;DAY($A35),打卡匯入!$E$3:$E$2002,0)),"")</f>
        <v/>
      </c>
      <c r="K35" s="83">
        <f>IFERROR(INDEX(打卡匯入!$D$3:$D$2002,MATCH($C35&amp;"|"&amp;DAY($A35),打卡匯入!$E$3:$E$2002,0)),"")</f>
        <v/>
      </c>
      <c r="L35" s="84">
        <f>IF(OR($J35="",$K35=""),"",IFERROR(INDEX(設定!$F$6:$F$21,MATCH($G35,設定!$B$6:$B$21,0)),0))</f>
        <v/>
      </c>
      <c r="M35" s="85">
        <f>IF(OR($J35="",$K35=""),"",ROUND(($K35-$J35)*24-$L35/60,2))</f>
        <v/>
      </c>
      <c r="N35" s="16">
        <f>IF($C35="","",IF(AND(COUNTIF(設定!$B$15:$B$21,$G35)&gt;0,$J35&lt;&gt;""),"假日出勤",IF(AND(COUNTIF(設定!$B$6:$B$14,$G35)&gt;0,$J35=""),"未打卡",IF($J35="","",IF($O35&gt;0,"遲到",IF($P35&gt;0,"早退","正常"))))))</f>
        <v/>
      </c>
      <c r="O35" s="84">
        <f>IF(OR($C35="",$H35="",$J35=""),0,IF(ROUND(($J35-$H35)*1440,0)&gt;設定!$C$46,ROUND(($J35-$H35)*1440,0),0))</f>
        <v/>
      </c>
      <c r="P35" s="84">
        <f>IF(OR($C35="",$I35="",$K35=""),0,IF(ROUND(($I35-$K35)*1440,0)&gt;設定!$C$46,ROUND(($I35-$K35)*1440,0),0))</f>
        <v/>
      </c>
      <c r="Q35" s="85">
        <f>IF($M35="",0,IF(($M35-IFERROR(INDEX(設定!$G$6:$G$21,MATCH($G35,設定!$B$6:$B$21,0)),0))*60&gt;=設定!$C$44,ROUND(FLOOR(($M35-IFERROR(INDEX(設定!$G$6:$G$21,MATCH($G35,設定!$B$6:$B$21,0)),0))*60,設定!$C$45)/60,2),0))</f>
        <v/>
      </c>
      <c r="R35" s="16">
        <f>IF(OR($C35="",$Q35=0),"",IF($G35="國","國定假日",IF($B35="日","例假",IF($B35="六","休息日","平日"))))</f>
        <v/>
      </c>
      <c r="S35" s="19" t="n"/>
    </row>
    <row r="36">
      <c r="A36" s="82">
        <f>IF(OR(助理班表!$A6="",3&gt;DAY(EOMONTH(DATE(設定!$C$2,設定!$D$2,1),0))),"",DATE(設定!$C$2,設定!$D$2,3))</f>
        <v/>
      </c>
      <c r="B36" s="16">
        <f>IF($A36="","",INDEX(設定!$O$6:$O$12,WEEKDAY($A36,1)))</f>
        <v/>
      </c>
      <c r="C36" s="16">
        <f>IF($A36="","",助理班表!$A6)</f>
        <v/>
      </c>
      <c r="D36" s="16">
        <f>IF($C36="","",助理班表!$B6)</f>
        <v/>
      </c>
      <c r="E36" s="16">
        <f>IF($C36="","",助理班表!$D6)</f>
        <v/>
      </c>
      <c r="F36" s="16">
        <f>IF($C36="","",助理班表!$C6)</f>
        <v/>
      </c>
      <c r="G36" s="16">
        <f>IF($C36="","",助理班表!G6)</f>
        <v/>
      </c>
      <c r="H36" s="83">
        <f>IF($G36="","",IFERROR(IF(INDEX(設定!$D$6:$D$21,MATCH($G36,設定!$B$6:$B$21,0))=0,"",INDEX(設定!$D$6:$D$21,MATCH($G36,設定!$B$6:$B$21,0))),""))</f>
        <v/>
      </c>
      <c r="I36" s="83">
        <f>IF($G36="","",IFERROR(IF(INDEX(設定!$E$6:$E$21,MATCH($G36,設定!$B$6:$B$21,0))=0,"",INDEX(設定!$E$6:$E$21,MATCH($G36,設定!$B$6:$B$21,0))),""))</f>
        <v/>
      </c>
      <c r="J36" s="83">
        <f>IFERROR(INDEX(打卡匯入!$C$3:$C$2002,MATCH($C36&amp;"|"&amp;DAY($A36),打卡匯入!$E$3:$E$2002,0)),"")</f>
        <v/>
      </c>
      <c r="K36" s="83">
        <f>IFERROR(INDEX(打卡匯入!$D$3:$D$2002,MATCH($C36&amp;"|"&amp;DAY($A36),打卡匯入!$E$3:$E$2002,0)),"")</f>
        <v/>
      </c>
      <c r="L36" s="84">
        <f>IF(OR($J36="",$K36=""),"",IFERROR(INDEX(設定!$F$6:$F$21,MATCH($G36,設定!$B$6:$B$21,0)),0))</f>
        <v/>
      </c>
      <c r="M36" s="85">
        <f>IF(OR($J36="",$K36=""),"",ROUND(($K36-$J36)*24-$L36/60,2))</f>
        <v/>
      </c>
      <c r="N36" s="16">
        <f>IF($C36="","",IF(AND(COUNTIF(設定!$B$15:$B$21,$G36)&gt;0,$J36&lt;&gt;""),"假日出勤",IF(AND(COUNTIF(設定!$B$6:$B$14,$G36)&gt;0,$J36=""),"未打卡",IF($J36="","",IF($O36&gt;0,"遲到",IF($P36&gt;0,"早退","正常"))))))</f>
        <v/>
      </c>
      <c r="O36" s="84">
        <f>IF(OR($C36="",$H36="",$J36=""),0,IF(ROUND(($J36-$H36)*1440,0)&gt;設定!$C$46,ROUND(($J36-$H36)*1440,0),0))</f>
        <v/>
      </c>
      <c r="P36" s="84">
        <f>IF(OR($C36="",$I36="",$K36=""),0,IF(ROUND(($I36-$K36)*1440,0)&gt;設定!$C$46,ROUND(($I36-$K36)*1440,0),0))</f>
        <v/>
      </c>
      <c r="Q36" s="85">
        <f>IF($M36="",0,IF(($M36-IFERROR(INDEX(設定!$G$6:$G$21,MATCH($G36,設定!$B$6:$B$21,0)),0))*60&gt;=設定!$C$44,ROUND(FLOOR(($M36-IFERROR(INDEX(設定!$G$6:$G$21,MATCH($G36,設定!$B$6:$B$21,0)),0))*60,設定!$C$45)/60,2),0))</f>
        <v/>
      </c>
      <c r="R36" s="16">
        <f>IF(OR($C36="",$Q36=0),"",IF($G36="國","國定假日",IF($B36="日","例假",IF($B36="六","休息日","平日"))))</f>
        <v/>
      </c>
      <c r="S36" s="19" t="n"/>
    </row>
    <row r="37">
      <c r="A37" s="82">
        <f>IF(OR(助理班表!$A6="",4&gt;DAY(EOMONTH(DATE(設定!$C$2,設定!$D$2,1),0))),"",DATE(設定!$C$2,設定!$D$2,4))</f>
        <v/>
      </c>
      <c r="B37" s="16">
        <f>IF($A37="","",INDEX(設定!$O$6:$O$12,WEEKDAY($A37,1)))</f>
        <v/>
      </c>
      <c r="C37" s="16">
        <f>IF($A37="","",助理班表!$A6)</f>
        <v/>
      </c>
      <c r="D37" s="16">
        <f>IF($C37="","",助理班表!$B6)</f>
        <v/>
      </c>
      <c r="E37" s="16">
        <f>IF($C37="","",助理班表!$D6)</f>
        <v/>
      </c>
      <c r="F37" s="16">
        <f>IF($C37="","",助理班表!$C6)</f>
        <v/>
      </c>
      <c r="G37" s="16">
        <f>IF($C37="","",助理班表!H6)</f>
        <v/>
      </c>
      <c r="H37" s="83">
        <f>IF($G37="","",IFERROR(IF(INDEX(設定!$D$6:$D$21,MATCH($G37,設定!$B$6:$B$21,0))=0,"",INDEX(設定!$D$6:$D$21,MATCH($G37,設定!$B$6:$B$21,0))),""))</f>
        <v/>
      </c>
      <c r="I37" s="83">
        <f>IF($G37="","",IFERROR(IF(INDEX(設定!$E$6:$E$21,MATCH($G37,設定!$B$6:$B$21,0))=0,"",INDEX(設定!$E$6:$E$21,MATCH($G37,設定!$B$6:$B$21,0))),""))</f>
        <v/>
      </c>
      <c r="J37" s="83">
        <f>IFERROR(INDEX(打卡匯入!$C$3:$C$2002,MATCH($C37&amp;"|"&amp;DAY($A37),打卡匯入!$E$3:$E$2002,0)),"")</f>
        <v/>
      </c>
      <c r="K37" s="83">
        <f>IFERROR(INDEX(打卡匯入!$D$3:$D$2002,MATCH($C37&amp;"|"&amp;DAY($A37),打卡匯入!$E$3:$E$2002,0)),"")</f>
        <v/>
      </c>
      <c r="L37" s="84">
        <f>IF(OR($J37="",$K37=""),"",IFERROR(INDEX(設定!$F$6:$F$21,MATCH($G37,設定!$B$6:$B$21,0)),0))</f>
        <v/>
      </c>
      <c r="M37" s="85">
        <f>IF(OR($J37="",$K37=""),"",ROUND(($K37-$J37)*24-$L37/60,2))</f>
        <v/>
      </c>
      <c r="N37" s="16">
        <f>IF($C37="","",IF(AND(COUNTIF(設定!$B$15:$B$21,$G37)&gt;0,$J37&lt;&gt;""),"假日出勤",IF(AND(COUNTIF(設定!$B$6:$B$14,$G37)&gt;0,$J37=""),"未打卡",IF($J37="","",IF($O37&gt;0,"遲到",IF($P37&gt;0,"早退","正常"))))))</f>
        <v/>
      </c>
      <c r="O37" s="84">
        <f>IF(OR($C37="",$H37="",$J37=""),0,IF(ROUND(($J37-$H37)*1440,0)&gt;設定!$C$46,ROUND(($J37-$H37)*1440,0),0))</f>
        <v/>
      </c>
      <c r="P37" s="84">
        <f>IF(OR($C37="",$I37="",$K37=""),0,IF(ROUND(($I37-$K37)*1440,0)&gt;設定!$C$46,ROUND(($I37-$K37)*1440,0),0))</f>
        <v/>
      </c>
      <c r="Q37" s="85">
        <f>IF($M37="",0,IF(($M37-IFERROR(INDEX(設定!$G$6:$G$21,MATCH($G37,設定!$B$6:$B$21,0)),0))*60&gt;=設定!$C$44,ROUND(FLOOR(($M37-IFERROR(INDEX(設定!$G$6:$G$21,MATCH($G37,設定!$B$6:$B$21,0)),0))*60,設定!$C$45)/60,2),0))</f>
        <v/>
      </c>
      <c r="R37" s="16">
        <f>IF(OR($C37="",$Q37=0),"",IF($G37="國","國定假日",IF($B37="日","例假",IF($B37="六","休息日","平日"))))</f>
        <v/>
      </c>
      <c r="S37" s="19" t="n"/>
    </row>
    <row r="38">
      <c r="A38" s="82">
        <f>IF(OR(助理班表!$A6="",5&gt;DAY(EOMONTH(DATE(設定!$C$2,設定!$D$2,1),0))),"",DATE(設定!$C$2,設定!$D$2,5))</f>
        <v/>
      </c>
      <c r="B38" s="16">
        <f>IF($A38="","",INDEX(設定!$O$6:$O$12,WEEKDAY($A38,1)))</f>
        <v/>
      </c>
      <c r="C38" s="16">
        <f>IF($A38="","",助理班表!$A6)</f>
        <v/>
      </c>
      <c r="D38" s="16">
        <f>IF($C38="","",助理班表!$B6)</f>
        <v/>
      </c>
      <c r="E38" s="16">
        <f>IF($C38="","",助理班表!$D6)</f>
        <v/>
      </c>
      <c r="F38" s="16">
        <f>IF($C38="","",助理班表!$C6)</f>
        <v/>
      </c>
      <c r="G38" s="16">
        <f>IF($C38="","",助理班表!I6)</f>
        <v/>
      </c>
      <c r="H38" s="83">
        <f>IF($G38="","",IFERROR(IF(INDEX(設定!$D$6:$D$21,MATCH($G38,設定!$B$6:$B$21,0))=0,"",INDEX(設定!$D$6:$D$21,MATCH($G38,設定!$B$6:$B$21,0))),""))</f>
        <v/>
      </c>
      <c r="I38" s="83">
        <f>IF($G38="","",IFERROR(IF(INDEX(設定!$E$6:$E$21,MATCH($G38,設定!$B$6:$B$21,0))=0,"",INDEX(設定!$E$6:$E$21,MATCH($G38,設定!$B$6:$B$21,0))),""))</f>
        <v/>
      </c>
      <c r="J38" s="83">
        <f>IFERROR(INDEX(打卡匯入!$C$3:$C$2002,MATCH($C38&amp;"|"&amp;DAY($A38),打卡匯入!$E$3:$E$2002,0)),"")</f>
        <v/>
      </c>
      <c r="K38" s="83">
        <f>IFERROR(INDEX(打卡匯入!$D$3:$D$2002,MATCH($C38&amp;"|"&amp;DAY($A38),打卡匯入!$E$3:$E$2002,0)),"")</f>
        <v/>
      </c>
      <c r="L38" s="84">
        <f>IF(OR($J38="",$K38=""),"",IFERROR(INDEX(設定!$F$6:$F$21,MATCH($G38,設定!$B$6:$B$21,0)),0))</f>
        <v/>
      </c>
      <c r="M38" s="85">
        <f>IF(OR($J38="",$K38=""),"",ROUND(($K38-$J38)*24-$L38/60,2))</f>
        <v/>
      </c>
      <c r="N38" s="16">
        <f>IF($C38="","",IF(AND(COUNTIF(設定!$B$15:$B$21,$G38)&gt;0,$J38&lt;&gt;""),"假日出勤",IF(AND(COUNTIF(設定!$B$6:$B$14,$G38)&gt;0,$J38=""),"未打卡",IF($J38="","",IF($O38&gt;0,"遲到",IF($P38&gt;0,"早退","正常"))))))</f>
        <v/>
      </c>
      <c r="O38" s="84">
        <f>IF(OR($C38="",$H38="",$J38=""),0,IF(ROUND(($J38-$H38)*1440,0)&gt;設定!$C$46,ROUND(($J38-$H38)*1440,0),0))</f>
        <v/>
      </c>
      <c r="P38" s="84">
        <f>IF(OR($C38="",$I38="",$K38=""),0,IF(ROUND(($I38-$K38)*1440,0)&gt;設定!$C$46,ROUND(($I38-$K38)*1440,0),0))</f>
        <v/>
      </c>
      <c r="Q38" s="85">
        <f>IF($M38="",0,IF(($M38-IFERROR(INDEX(設定!$G$6:$G$21,MATCH($G38,設定!$B$6:$B$21,0)),0))*60&gt;=設定!$C$44,ROUND(FLOOR(($M38-IFERROR(INDEX(設定!$G$6:$G$21,MATCH($G38,設定!$B$6:$B$21,0)),0))*60,設定!$C$45)/60,2),0))</f>
        <v/>
      </c>
      <c r="R38" s="16">
        <f>IF(OR($C38="",$Q38=0),"",IF($G38="國","國定假日",IF($B38="日","例假",IF($B38="六","休息日","平日"))))</f>
        <v/>
      </c>
      <c r="S38" s="19" t="n"/>
    </row>
    <row r="39">
      <c r="A39" s="82">
        <f>IF(OR(助理班表!$A6="",6&gt;DAY(EOMONTH(DATE(設定!$C$2,設定!$D$2,1),0))),"",DATE(設定!$C$2,設定!$D$2,6))</f>
        <v/>
      </c>
      <c r="B39" s="16">
        <f>IF($A39="","",INDEX(設定!$O$6:$O$12,WEEKDAY($A39,1)))</f>
        <v/>
      </c>
      <c r="C39" s="16">
        <f>IF($A39="","",助理班表!$A6)</f>
        <v/>
      </c>
      <c r="D39" s="16">
        <f>IF($C39="","",助理班表!$B6)</f>
        <v/>
      </c>
      <c r="E39" s="16">
        <f>IF($C39="","",助理班表!$D6)</f>
        <v/>
      </c>
      <c r="F39" s="16">
        <f>IF($C39="","",助理班表!$C6)</f>
        <v/>
      </c>
      <c r="G39" s="16">
        <f>IF($C39="","",助理班表!J6)</f>
        <v/>
      </c>
      <c r="H39" s="83">
        <f>IF($G39="","",IFERROR(IF(INDEX(設定!$D$6:$D$21,MATCH($G39,設定!$B$6:$B$21,0))=0,"",INDEX(設定!$D$6:$D$21,MATCH($G39,設定!$B$6:$B$21,0))),""))</f>
        <v/>
      </c>
      <c r="I39" s="83">
        <f>IF($G39="","",IFERROR(IF(INDEX(設定!$E$6:$E$21,MATCH($G39,設定!$B$6:$B$21,0))=0,"",INDEX(設定!$E$6:$E$21,MATCH($G39,設定!$B$6:$B$21,0))),""))</f>
        <v/>
      </c>
      <c r="J39" s="83">
        <f>IFERROR(INDEX(打卡匯入!$C$3:$C$2002,MATCH($C39&amp;"|"&amp;DAY($A39),打卡匯入!$E$3:$E$2002,0)),"")</f>
        <v/>
      </c>
      <c r="K39" s="83">
        <f>IFERROR(INDEX(打卡匯入!$D$3:$D$2002,MATCH($C39&amp;"|"&amp;DAY($A39),打卡匯入!$E$3:$E$2002,0)),"")</f>
        <v/>
      </c>
      <c r="L39" s="84">
        <f>IF(OR($J39="",$K39=""),"",IFERROR(INDEX(設定!$F$6:$F$21,MATCH($G39,設定!$B$6:$B$21,0)),0))</f>
        <v/>
      </c>
      <c r="M39" s="85">
        <f>IF(OR($J39="",$K39=""),"",ROUND(($K39-$J39)*24-$L39/60,2))</f>
        <v/>
      </c>
      <c r="N39" s="16">
        <f>IF($C39="","",IF(AND(COUNTIF(設定!$B$15:$B$21,$G39)&gt;0,$J39&lt;&gt;""),"假日出勤",IF(AND(COUNTIF(設定!$B$6:$B$14,$G39)&gt;0,$J39=""),"未打卡",IF($J39="","",IF($O39&gt;0,"遲到",IF($P39&gt;0,"早退","正常"))))))</f>
        <v/>
      </c>
      <c r="O39" s="84">
        <f>IF(OR($C39="",$H39="",$J39=""),0,IF(ROUND(($J39-$H39)*1440,0)&gt;設定!$C$46,ROUND(($J39-$H39)*1440,0),0))</f>
        <v/>
      </c>
      <c r="P39" s="84">
        <f>IF(OR($C39="",$I39="",$K39=""),0,IF(ROUND(($I39-$K39)*1440,0)&gt;設定!$C$46,ROUND(($I39-$K39)*1440,0),0))</f>
        <v/>
      </c>
      <c r="Q39" s="85">
        <f>IF($M39="",0,IF(($M39-IFERROR(INDEX(設定!$G$6:$G$21,MATCH($G39,設定!$B$6:$B$21,0)),0))*60&gt;=設定!$C$44,ROUND(FLOOR(($M39-IFERROR(INDEX(設定!$G$6:$G$21,MATCH($G39,設定!$B$6:$B$21,0)),0))*60,設定!$C$45)/60,2),0))</f>
        <v/>
      </c>
      <c r="R39" s="16">
        <f>IF(OR($C39="",$Q39=0),"",IF($G39="國","國定假日",IF($B39="日","例假",IF($B39="六","休息日","平日"))))</f>
        <v/>
      </c>
      <c r="S39" s="19" t="n"/>
    </row>
    <row r="40">
      <c r="A40" s="82">
        <f>IF(OR(助理班表!$A6="",7&gt;DAY(EOMONTH(DATE(設定!$C$2,設定!$D$2,1),0))),"",DATE(設定!$C$2,設定!$D$2,7))</f>
        <v/>
      </c>
      <c r="B40" s="16">
        <f>IF($A40="","",INDEX(設定!$O$6:$O$12,WEEKDAY($A40,1)))</f>
        <v/>
      </c>
      <c r="C40" s="16">
        <f>IF($A40="","",助理班表!$A6)</f>
        <v/>
      </c>
      <c r="D40" s="16">
        <f>IF($C40="","",助理班表!$B6)</f>
        <v/>
      </c>
      <c r="E40" s="16">
        <f>IF($C40="","",助理班表!$D6)</f>
        <v/>
      </c>
      <c r="F40" s="16">
        <f>IF($C40="","",助理班表!$C6)</f>
        <v/>
      </c>
      <c r="G40" s="16">
        <f>IF($C40="","",助理班表!K6)</f>
        <v/>
      </c>
      <c r="H40" s="83">
        <f>IF($G40="","",IFERROR(IF(INDEX(設定!$D$6:$D$21,MATCH($G40,設定!$B$6:$B$21,0))=0,"",INDEX(設定!$D$6:$D$21,MATCH($G40,設定!$B$6:$B$21,0))),""))</f>
        <v/>
      </c>
      <c r="I40" s="83">
        <f>IF($G40="","",IFERROR(IF(INDEX(設定!$E$6:$E$21,MATCH($G40,設定!$B$6:$B$21,0))=0,"",INDEX(設定!$E$6:$E$21,MATCH($G40,設定!$B$6:$B$21,0))),""))</f>
        <v/>
      </c>
      <c r="J40" s="83">
        <f>IFERROR(INDEX(打卡匯入!$C$3:$C$2002,MATCH($C40&amp;"|"&amp;DAY($A40),打卡匯入!$E$3:$E$2002,0)),"")</f>
        <v/>
      </c>
      <c r="K40" s="83">
        <f>IFERROR(INDEX(打卡匯入!$D$3:$D$2002,MATCH($C40&amp;"|"&amp;DAY($A40),打卡匯入!$E$3:$E$2002,0)),"")</f>
        <v/>
      </c>
      <c r="L40" s="84">
        <f>IF(OR($J40="",$K40=""),"",IFERROR(INDEX(設定!$F$6:$F$21,MATCH($G40,設定!$B$6:$B$21,0)),0))</f>
        <v/>
      </c>
      <c r="M40" s="85">
        <f>IF(OR($J40="",$K40=""),"",ROUND(($K40-$J40)*24-$L40/60,2))</f>
        <v/>
      </c>
      <c r="N40" s="16">
        <f>IF($C40="","",IF(AND(COUNTIF(設定!$B$15:$B$21,$G40)&gt;0,$J40&lt;&gt;""),"假日出勤",IF(AND(COUNTIF(設定!$B$6:$B$14,$G40)&gt;0,$J40=""),"未打卡",IF($J40="","",IF($O40&gt;0,"遲到",IF($P40&gt;0,"早退","正常"))))))</f>
        <v/>
      </c>
      <c r="O40" s="84">
        <f>IF(OR($C40="",$H40="",$J40=""),0,IF(ROUND(($J40-$H40)*1440,0)&gt;設定!$C$46,ROUND(($J40-$H40)*1440,0),0))</f>
        <v/>
      </c>
      <c r="P40" s="84">
        <f>IF(OR($C40="",$I40="",$K40=""),0,IF(ROUND(($I40-$K40)*1440,0)&gt;設定!$C$46,ROUND(($I40-$K40)*1440,0),0))</f>
        <v/>
      </c>
      <c r="Q40" s="85">
        <f>IF($M40="",0,IF(($M40-IFERROR(INDEX(設定!$G$6:$G$21,MATCH($G40,設定!$B$6:$B$21,0)),0))*60&gt;=設定!$C$44,ROUND(FLOOR(($M40-IFERROR(INDEX(設定!$G$6:$G$21,MATCH($G40,設定!$B$6:$B$21,0)),0))*60,設定!$C$45)/60,2),0))</f>
        <v/>
      </c>
      <c r="R40" s="16">
        <f>IF(OR($C40="",$Q40=0),"",IF($G40="國","國定假日",IF($B40="日","例假",IF($B40="六","休息日","平日"))))</f>
        <v/>
      </c>
      <c r="S40" s="19" t="n"/>
    </row>
    <row r="41">
      <c r="A41" s="82">
        <f>IF(OR(助理班表!$A6="",8&gt;DAY(EOMONTH(DATE(設定!$C$2,設定!$D$2,1),0))),"",DATE(設定!$C$2,設定!$D$2,8))</f>
        <v/>
      </c>
      <c r="B41" s="16">
        <f>IF($A41="","",INDEX(設定!$O$6:$O$12,WEEKDAY($A41,1)))</f>
        <v/>
      </c>
      <c r="C41" s="16">
        <f>IF($A41="","",助理班表!$A6)</f>
        <v/>
      </c>
      <c r="D41" s="16">
        <f>IF($C41="","",助理班表!$B6)</f>
        <v/>
      </c>
      <c r="E41" s="16">
        <f>IF($C41="","",助理班表!$D6)</f>
        <v/>
      </c>
      <c r="F41" s="16">
        <f>IF($C41="","",助理班表!$C6)</f>
        <v/>
      </c>
      <c r="G41" s="16">
        <f>IF($C41="","",助理班表!L6)</f>
        <v/>
      </c>
      <c r="H41" s="83">
        <f>IF($G41="","",IFERROR(IF(INDEX(設定!$D$6:$D$21,MATCH($G41,設定!$B$6:$B$21,0))=0,"",INDEX(設定!$D$6:$D$21,MATCH($G41,設定!$B$6:$B$21,0))),""))</f>
        <v/>
      </c>
      <c r="I41" s="83">
        <f>IF($G41="","",IFERROR(IF(INDEX(設定!$E$6:$E$21,MATCH($G41,設定!$B$6:$B$21,0))=0,"",INDEX(設定!$E$6:$E$21,MATCH($G41,設定!$B$6:$B$21,0))),""))</f>
        <v/>
      </c>
      <c r="J41" s="83">
        <f>IFERROR(INDEX(打卡匯入!$C$3:$C$2002,MATCH($C41&amp;"|"&amp;DAY($A41),打卡匯入!$E$3:$E$2002,0)),"")</f>
        <v/>
      </c>
      <c r="K41" s="83">
        <f>IFERROR(INDEX(打卡匯入!$D$3:$D$2002,MATCH($C41&amp;"|"&amp;DAY($A41),打卡匯入!$E$3:$E$2002,0)),"")</f>
        <v/>
      </c>
      <c r="L41" s="84">
        <f>IF(OR($J41="",$K41=""),"",IFERROR(INDEX(設定!$F$6:$F$21,MATCH($G41,設定!$B$6:$B$21,0)),0))</f>
        <v/>
      </c>
      <c r="M41" s="85">
        <f>IF(OR($J41="",$K41=""),"",ROUND(($K41-$J41)*24-$L41/60,2))</f>
        <v/>
      </c>
      <c r="N41" s="16">
        <f>IF($C41="","",IF(AND(COUNTIF(設定!$B$15:$B$21,$G41)&gt;0,$J41&lt;&gt;""),"假日出勤",IF(AND(COUNTIF(設定!$B$6:$B$14,$G41)&gt;0,$J41=""),"未打卡",IF($J41="","",IF($O41&gt;0,"遲到",IF($P41&gt;0,"早退","正常"))))))</f>
        <v/>
      </c>
      <c r="O41" s="84">
        <f>IF(OR($C41="",$H41="",$J41=""),0,IF(ROUND(($J41-$H41)*1440,0)&gt;設定!$C$46,ROUND(($J41-$H41)*1440,0),0))</f>
        <v/>
      </c>
      <c r="P41" s="84">
        <f>IF(OR($C41="",$I41="",$K41=""),0,IF(ROUND(($I41-$K41)*1440,0)&gt;設定!$C$46,ROUND(($I41-$K41)*1440,0),0))</f>
        <v/>
      </c>
      <c r="Q41" s="85">
        <f>IF($M41="",0,IF(($M41-IFERROR(INDEX(設定!$G$6:$G$21,MATCH($G41,設定!$B$6:$B$21,0)),0))*60&gt;=設定!$C$44,ROUND(FLOOR(($M41-IFERROR(INDEX(設定!$G$6:$G$21,MATCH($G41,設定!$B$6:$B$21,0)),0))*60,設定!$C$45)/60,2),0))</f>
        <v/>
      </c>
      <c r="R41" s="16">
        <f>IF(OR($C41="",$Q41=0),"",IF($G41="國","國定假日",IF($B41="日","例假",IF($B41="六","休息日","平日"))))</f>
        <v/>
      </c>
      <c r="S41" s="19" t="n"/>
    </row>
    <row r="42">
      <c r="A42" s="82">
        <f>IF(OR(助理班表!$A6="",9&gt;DAY(EOMONTH(DATE(設定!$C$2,設定!$D$2,1),0))),"",DATE(設定!$C$2,設定!$D$2,9))</f>
        <v/>
      </c>
      <c r="B42" s="16">
        <f>IF($A42="","",INDEX(設定!$O$6:$O$12,WEEKDAY($A42,1)))</f>
        <v/>
      </c>
      <c r="C42" s="16">
        <f>IF($A42="","",助理班表!$A6)</f>
        <v/>
      </c>
      <c r="D42" s="16">
        <f>IF($C42="","",助理班表!$B6)</f>
        <v/>
      </c>
      <c r="E42" s="16">
        <f>IF($C42="","",助理班表!$D6)</f>
        <v/>
      </c>
      <c r="F42" s="16">
        <f>IF($C42="","",助理班表!$C6)</f>
        <v/>
      </c>
      <c r="G42" s="16">
        <f>IF($C42="","",助理班表!M6)</f>
        <v/>
      </c>
      <c r="H42" s="83">
        <f>IF($G42="","",IFERROR(IF(INDEX(設定!$D$6:$D$21,MATCH($G42,設定!$B$6:$B$21,0))=0,"",INDEX(設定!$D$6:$D$21,MATCH($G42,設定!$B$6:$B$21,0))),""))</f>
        <v/>
      </c>
      <c r="I42" s="83">
        <f>IF($G42="","",IFERROR(IF(INDEX(設定!$E$6:$E$21,MATCH($G42,設定!$B$6:$B$21,0))=0,"",INDEX(設定!$E$6:$E$21,MATCH($G42,設定!$B$6:$B$21,0))),""))</f>
        <v/>
      </c>
      <c r="J42" s="83">
        <f>IFERROR(INDEX(打卡匯入!$C$3:$C$2002,MATCH($C42&amp;"|"&amp;DAY($A42),打卡匯入!$E$3:$E$2002,0)),"")</f>
        <v/>
      </c>
      <c r="K42" s="83">
        <f>IFERROR(INDEX(打卡匯入!$D$3:$D$2002,MATCH($C42&amp;"|"&amp;DAY($A42),打卡匯入!$E$3:$E$2002,0)),"")</f>
        <v/>
      </c>
      <c r="L42" s="84">
        <f>IF(OR($J42="",$K42=""),"",IFERROR(INDEX(設定!$F$6:$F$21,MATCH($G42,設定!$B$6:$B$21,0)),0))</f>
        <v/>
      </c>
      <c r="M42" s="85">
        <f>IF(OR($J42="",$K42=""),"",ROUND(($K42-$J42)*24-$L42/60,2))</f>
        <v/>
      </c>
      <c r="N42" s="16">
        <f>IF($C42="","",IF(AND(COUNTIF(設定!$B$15:$B$21,$G42)&gt;0,$J42&lt;&gt;""),"假日出勤",IF(AND(COUNTIF(設定!$B$6:$B$14,$G42)&gt;0,$J42=""),"未打卡",IF($J42="","",IF($O42&gt;0,"遲到",IF($P42&gt;0,"早退","正常"))))))</f>
        <v/>
      </c>
      <c r="O42" s="84">
        <f>IF(OR($C42="",$H42="",$J42=""),0,IF(ROUND(($J42-$H42)*1440,0)&gt;設定!$C$46,ROUND(($J42-$H42)*1440,0),0))</f>
        <v/>
      </c>
      <c r="P42" s="84">
        <f>IF(OR($C42="",$I42="",$K42=""),0,IF(ROUND(($I42-$K42)*1440,0)&gt;設定!$C$46,ROUND(($I42-$K42)*1440,0),0))</f>
        <v/>
      </c>
      <c r="Q42" s="85">
        <f>IF($M42="",0,IF(($M42-IFERROR(INDEX(設定!$G$6:$G$21,MATCH($G42,設定!$B$6:$B$21,0)),0))*60&gt;=設定!$C$44,ROUND(FLOOR(($M42-IFERROR(INDEX(設定!$G$6:$G$21,MATCH($G42,設定!$B$6:$B$21,0)),0))*60,設定!$C$45)/60,2),0))</f>
        <v/>
      </c>
      <c r="R42" s="16">
        <f>IF(OR($C42="",$Q42=0),"",IF($G42="國","國定假日",IF($B42="日","例假",IF($B42="六","休息日","平日"))))</f>
        <v/>
      </c>
      <c r="S42" s="19" t="n"/>
    </row>
    <row r="43">
      <c r="A43" s="82">
        <f>IF(OR(助理班表!$A6="",10&gt;DAY(EOMONTH(DATE(設定!$C$2,設定!$D$2,1),0))),"",DATE(設定!$C$2,設定!$D$2,10))</f>
        <v/>
      </c>
      <c r="B43" s="16">
        <f>IF($A43="","",INDEX(設定!$O$6:$O$12,WEEKDAY($A43,1)))</f>
        <v/>
      </c>
      <c r="C43" s="16">
        <f>IF($A43="","",助理班表!$A6)</f>
        <v/>
      </c>
      <c r="D43" s="16">
        <f>IF($C43="","",助理班表!$B6)</f>
        <v/>
      </c>
      <c r="E43" s="16">
        <f>IF($C43="","",助理班表!$D6)</f>
        <v/>
      </c>
      <c r="F43" s="16">
        <f>IF($C43="","",助理班表!$C6)</f>
        <v/>
      </c>
      <c r="G43" s="16">
        <f>IF($C43="","",助理班表!N6)</f>
        <v/>
      </c>
      <c r="H43" s="83">
        <f>IF($G43="","",IFERROR(IF(INDEX(設定!$D$6:$D$21,MATCH($G43,設定!$B$6:$B$21,0))=0,"",INDEX(設定!$D$6:$D$21,MATCH($G43,設定!$B$6:$B$21,0))),""))</f>
        <v/>
      </c>
      <c r="I43" s="83">
        <f>IF($G43="","",IFERROR(IF(INDEX(設定!$E$6:$E$21,MATCH($G43,設定!$B$6:$B$21,0))=0,"",INDEX(設定!$E$6:$E$21,MATCH($G43,設定!$B$6:$B$21,0))),""))</f>
        <v/>
      </c>
      <c r="J43" s="83">
        <f>IFERROR(INDEX(打卡匯入!$C$3:$C$2002,MATCH($C43&amp;"|"&amp;DAY($A43),打卡匯入!$E$3:$E$2002,0)),"")</f>
        <v/>
      </c>
      <c r="K43" s="83">
        <f>IFERROR(INDEX(打卡匯入!$D$3:$D$2002,MATCH($C43&amp;"|"&amp;DAY($A43),打卡匯入!$E$3:$E$2002,0)),"")</f>
        <v/>
      </c>
      <c r="L43" s="84">
        <f>IF(OR($J43="",$K43=""),"",IFERROR(INDEX(設定!$F$6:$F$21,MATCH($G43,設定!$B$6:$B$21,0)),0))</f>
        <v/>
      </c>
      <c r="M43" s="85">
        <f>IF(OR($J43="",$K43=""),"",ROUND(($K43-$J43)*24-$L43/60,2))</f>
        <v/>
      </c>
      <c r="N43" s="16">
        <f>IF($C43="","",IF(AND(COUNTIF(設定!$B$15:$B$21,$G43)&gt;0,$J43&lt;&gt;""),"假日出勤",IF(AND(COUNTIF(設定!$B$6:$B$14,$G43)&gt;0,$J43=""),"未打卡",IF($J43="","",IF($O43&gt;0,"遲到",IF($P43&gt;0,"早退","正常"))))))</f>
        <v/>
      </c>
      <c r="O43" s="84">
        <f>IF(OR($C43="",$H43="",$J43=""),0,IF(ROUND(($J43-$H43)*1440,0)&gt;設定!$C$46,ROUND(($J43-$H43)*1440,0),0))</f>
        <v/>
      </c>
      <c r="P43" s="84">
        <f>IF(OR($C43="",$I43="",$K43=""),0,IF(ROUND(($I43-$K43)*1440,0)&gt;設定!$C$46,ROUND(($I43-$K43)*1440,0),0))</f>
        <v/>
      </c>
      <c r="Q43" s="85">
        <f>IF($M43="",0,IF(($M43-IFERROR(INDEX(設定!$G$6:$G$21,MATCH($G43,設定!$B$6:$B$21,0)),0))*60&gt;=設定!$C$44,ROUND(FLOOR(($M43-IFERROR(INDEX(設定!$G$6:$G$21,MATCH($G43,設定!$B$6:$B$21,0)),0))*60,設定!$C$45)/60,2),0))</f>
        <v/>
      </c>
      <c r="R43" s="16">
        <f>IF(OR($C43="",$Q43=0),"",IF($G43="國","國定假日",IF($B43="日","例假",IF($B43="六","休息日","平日"))))</f>
        <v/>
      </c>
      <c r="S43" s="19" t="n"/>
    </row>
    <row r="44">
      <c r="A44" s="82">
        <f>IF(OR(助理班表!$A6="",11&gt;DAY(EOMONTH(DATE(設定!$C$2,設定!$D$2,1),0))),"",DATE(設定!$C$2,設定!$D$2,11))</f>
        <v/>
      </c>
      <c r="B44" s="16">
        <f>IF($A44="","",INDEX(設定!$O$6:$O$12,WEEKDAY($A44,1)))</f>
        <v/>
      </c>
      <c r="C44" s="16">
        <f>IF($A44="","",助理班表!$A6)</f>
        <v/>
      </c>
      <c r="D44" s="16">
        <f>IF($C44="","",助理班表!$B6)</f>
        <v/>
      </c>
      <c r="E44" s="16">
        <f>IF($C44="","",助理班表!$D6)</f>
        <v/>
      </c>
      <c r="F44" s="16">
        <f>IF($C44="","",助理班表!$C6)</f>
        <v/>
      </c>
      <c r="G44" s="16">
        <f>IF($C44="","",助理班表!O6)</f>
        <v/>
      </c>
      <c r="H44" s="83">
        <f>IF($G44="","",IFERROR(IF(INDEX(設定!$D$6:$D$21,MATCH($G44,設定!$B$6:$B$21,0))=0,"",INDEX(設定!$D$6:$D$21,MATCH($G44,設定!$B$6:$B$21,0))),""))</f>
        <v/>
      </c>
      <c r="I44" s="83">
        <f>IF($G44="","",IFERROR(IF(INDEX(設定!$E$6:$E$21,MATCH($G44,設定!$B$6:$B$21,0))=0,"",INDEX(設定!$E$6:$E$21,MATCH($G44,設定!$B$6:$B$21,0))),""))</f>
        <v/>
      </c>
      <c r="J44" s="83">
        <f>IFERROR(INDEX(打卡匯入!$C$3:$C$2002,MATCH($C44&amp;"|"&amp;DAY($A44),打卡匯入!$E$3:$E$2002,0)),"")</f>
        <v/>
      </c>
      <c r="K44" s="83">
        <f>IFERROR(INDEX(打卡匯入!$D$3:$D$2002,MATCH($C44&amp;"|"&amp;DAY($A44),打卡匯入!$E$3:$E$2002,0)),"")</f>
        <v/>
      </c>
      <c r="L44" s="84">
        <f>IF(OR($J44="",$K44=""),"",IFERROR(INDEX(設定!$F$6:$F$21,MATCH($G44,設定!$B$6:$B$21,0)),0))</f>
        <v/>
      </c>
      <c r="M44" s="85">
        <f>IF(OR($J44="",$K44=""),"",ROUND(($K44-$J44)*24-$L44/60,2))</f>
        <v/>
      </c>
      <c r="N44" s="16">
        <f>IF($C44="","",IF(AND(COUNTIF(設定!$B$15:$B$21,$G44)&gt;0,$J44&lt;&gt;""),"假日出勤",IF(AND(COUNTIF(設定!$B$6:$B$14,$G44)&gt;0,$J44=""),"未打卡",IF($J44="","",IF($O44&gt;0,"遲到",IF($P44&gt;0,"早退","正常"))))))</f>
        <v/>
      </c>
      <c r="O44" s="84">
        <f>IF(OR($C44="",$H44="",$J44=""),0,IF(ROUND(($J44-$H44)*1440,0)&gt;設定!$C$46,ROUND(($J44-$H44)*1440,0),0))</f>
        <v/>
      </c>
      <c r="P44" s="84">
        <f>IF(OR($C44="",$I44="",$K44=""),0,IF(ROUND(($I44-$K44)*1440,0)&gt;設定!$C$46,ROUND(($I44-$K44)*1440,0),0))</f>
        <v/>
      </c>
      <c r="Q44" s="85">
        <f>IF($M44="",0,IF(($M44-IFERROR(INDEX(設定!$G$6:$G$21,MATCH($G44,設定!$B$6:$B$21,0)),0))*60&gt;=設定!$C$44,ROUND(FLOOR(($M44-IFERROR(INDEX(設定!$G$6:$G$21,MATCH($G44,設定!$B$6:$B$21,0)),0))*60,設定!$C$45)/60,2),0))</f>
        <v/>
      </c>
      <c r="R44" s="16">
        <f>IF(OR($C44="",$Q44=0),"",IF($G44="國","國定假日",IF($B44="日","例假",IF($B44="六","休息日","平日"))))</f>
        <v/>
      </c>
      <c r="S44" s="19" t="n"/>
    </row>
    <row r="45">
      <c r="A45" s="82">
        <f>IF(OR(助理班表!$A6="",12&gt;DAY(EOMONTH(DATE(設定!$C$2,設定!$D$2,1),0))),"",DATE(設定!$C$2,設定!$D$2,12))</f>
        <v/>
      </c>
      <c r="B45" s="16">
        <f>IF($A45="","",INDEX(設定!$O$6:$O$12,WEEKDAY($A45,1)))</f>
        <v/>
      </c>
      <c r="C45" s="16">
        <f>IF($A45="","",助理班表!$A6)</f>
        <v/>
      </c>
      <c r="D45" s="16">
        <f>IF($C45="","",助理班表!$B6)</f>
        <v/>
      </c>
      <c r="E45" s="16">
        <f>IF($C45="","",助理班表!$D6)</f>
        <v/>
      </c>
      <c r="F45" s="16">
        <f>IF($C45="","",助理班表!$C6)</f>
        <v/>
      </c>
      <c r="G45" s="16">
        <f>IF($C45="","",助理班表!P6)</f>
        <v/>
      </c>
      <c r="H45" s="83">
        <f>IF($G45="","",IFERROR(IF(INDEX(設定!$D$6:$D$21,MATCH($G45,設定!$B$6:$B$21,0))=0,"",INDEX(設定!$D$6:$D$21,MATCH($G45,設定!$B$6:$B$21,0))),""))</f>
        <v/>
      </c>
      <c r="I45" s="83">
        <f>IF($G45="","",IFERROR(IF(INDEX(設定!$E$6:$E$21,MATCH($G45,設定!$B$6:$B$21,0))=0,"",INDEX(設定!$E$6:$E$21,MATCH($G45,設定!$B$6:$B$21,0))),""))</f>
        <v/>
      </c>
      <c r="J45" s="83">
        <f>IFERROR(INDEX(打卡匯入!$C$3:$C$2002,MATCH($C45&amp;"|"&amp;DAY($A45),打卡匯入!$E$3:$E$2002,0)),"")</f>
        <v/>
      </c>
      <c r="K45" s="83">
        <f>IFERROR(INDEX(打卡匯入!$D$3:$D$2002,MATCH($C45&amp;"|"&amp;DAY($A45),打卡匯入!$E$3:$E$2002,0)),"")</f>
        <v/>
      </c>
      <c r="L45" s="84">
        <f>IF(OR($J45="",$K45=""),"",IFERROR(INDEX(設定!$F$6:$F$21,MATCH($G45,設定!$B$6:$B$21,0)),0))</f>
        <v/>
      </c>
      <c r="M45" s="85">
        <f>IF(OR($J45="",$K45=""),"",ROUND(($K45-$J45)*24-$L45/60,2))</f>
        <v/>
      </c>
      <c r="N45" s="16">
        <f>IF($C45="","",IF(AND(COUNTIF(設定!$B$15:$B$21,$G45)&gt;0,$J45&lt;&gt;""),"假日出勤",IF(AND(COUNTIF(設定!$B$6:$B$14,$G45)&gt;0,$J45=""),"未打卡",IF($J45="","",IF($O45&gt;0,"遲到",IF($P45&gt;0,"早退","正常"))))))</f>
        <v/>
      </c>
      <c r="O45" s="84">
        <f>IF(OR($C45="",$H45="",$J45=""),0,IF(ROUND(($J45-$H45)*1440,0)&gt;設定!$C$46,ROUND(($J45-$H45)*1440,0),0))</f>
        <v/>
      </c>
      <c r="P45" s="84">
        <f>IF(OR($C45="",$I45="",$K45=""),0,IF(ROUND(($I45-$K45)*1440,0)&gt;設定!$C$46,ROUND(($I45-$K45)*1440,0),0))</f>
        <v/>
      </c>
      <c r="Q45" s="85">
        <f>IF($M45="",0,IF(($M45-IFERROR(INDEX(設定!$G$6:$G$21,MATCH($G45,設定!$B$6:$B$21,0)),0))*60&gt;=設定!$C$44,ROUND(FLOOR(($M45-IFERROR(INDEX(設定!$G$6:$G$21,MATCH($G45,設定!$B$6:$B$21,0)),0))*60,設定!$C$45)/60,2),0))</f>
        <v/>
      </c>
      <c r="R45" s="16">
        <f>IF(OR($C45="",$Q45=0),"",IF($G45="國","國定假日",IF($B45="日","例假",IF($B45="六","休息日","平日"))))</f>
        <v/>
      </c>
      <c r="S45" s="19" t="n"/>
    </row>
    <row r="46">
      <c r="A46" s="82">
        <f>IF(OR(助理班表!$A6="",13&gt;DAY(EOMONTH(DATE(設定!$C$2,設定!$D$2,1),0))),"",DATE(設定!$C$2,設定!$D$2,13))</f>
        <v/>
      </c>
      <c r="B46" s="16">
        <f>IF($A46="","",INDEX(設定!$O$6:$O$12,WEEKDAY($A46,1)))</f>
        <v/>
      </c>
      <c r="C46" s="16">
        <f>IF($A46="","",助理班表!$A6)</f>
        <v/>
      </c>
      <c r="D46" s="16">
        <f>IF($C46="","",助理班表!$B6)</f>
        <v/>
      </c>
      <c r="E46" s="16">
        <f>IF($C46="","",助理班表!$D6)</f>
        <v/>
      </c>
      <c r="F46" s="16">
        <f>IF($C46="","",助理班表!$C6)</f>
        <v/>
      </c>
      <c r="G46" s="16">
        <f>IF($C46="","",助理班表!Q6)</f>
        <v/>
      </c>
      <c r="H46" s="83">
        <f>IF($G46="","",IFERROR(IF(INDEX(設定!$D$6:$D$21,MATCH($G46,設定!$B$6:$B$21,0))=0,"",INDEX(設定!$D$6:$D$21,MATCH($G46,設定!$B$6:$B$21,0))),""))</f>
        <v/>
      </c>
      <c r="I46" s="83">
        <f>IF($G46="","",IFERROR(IF(INDEX(設定!$E$6:$E$21,MATCH($G46,設定!$B$6:$B$21,0))=0,"",INDEX(設定!$E$6:$E$21,MATCH($G46,設定!$B$6:$B$21,0))),""))</f>
        <v/>
      </c>
      <c r="J46" s="83">
        <f>IFERROR(INDEX(打卡匯入!$C$3:$C$2002,MATCH($C46&amp;"|"&amp;DAY($A46),打卡匯入!$E$3:$E$2002,0)),"")</f>
        <v/>
      </c>
      <c r="K46" s="83">
        <f>IFERROR(INDEX(打卡匯入!$D$3:$D$2002,MATCH($C46&amp;"|"&amp;DAY($A46),打卡匯入!$E$3:$E$2002,0)),"")</f>
        <v/>
      </c>
      <c r="L46" s="84">
        <f>IF(OR($J46="",$K46=""),"",IFERROR(INDEX(設定!$F$6:$F$21,MATCH($G46,設定!$B$6:$B$21,0)),0))</f>
        <v/>
      </c>
      <c r="M46" s="85">
        <f>IF(OR($J46="",$K46=""),"",ROUND(($K46-$J46)*24-$L46/60,2))</f>
        <v/>
      </c>
      <c r="N46" s="16">
        <f>IF($C46="","",IF(AND(COUNTIF(設定!$B$15:$B$21,$G46)&gt;0,$J46&lt;&gt;""),"假日出勤",IF(AND(COUNTIF(設定!$B$6:$B$14,$G46)&gt;0,$J46=""),"未打卡",IF($J46="","",IF($O46&gt;0,"遲到",IF($P46&gt;0,"早退","正常"))))))</f>
        <v/>
      </c>
      <c r="O46" s="84">
        <f>IF(OR($C46="",$H46="",$J46=""),0,IF(ROUND(($J46-$H46)*1440,0)&gt;設定!$C$46,ROUND(($J46-$H46)*1440,0),0))</f>
        <v/>
      </c>
      <c r="P46" s="84">
        <f>IF(OR($C46="",$I46="",$K46=""),0,IF(ROUND(($I46-$K46)*1440,0)&gt;設定!$C$46,ROUND(($I46-$K46)*1440,0),0))</f>
        <v/>
      </c>
      <c r="Q46" s="85">
        <f>IF($M46="",0,IF(($M46-IFERROR(INDEX(設定!$G$6:$G$21,MATCH($G46,設定!$B$6:$B$21,0)),0))*60&gt;=設定!$C$44,ROUND(FLOOR(($M46-IFERROR(INDEX(設定!$G$6:$G$21,MATCH($G46,設定!$B$6:$B$21,0)),0))*60,設定!$C$45)/60,2),0))</f>
        <v/>
      </c>
      <c r="R46" s="16">
        <f>IF(OR($C46="",$Q46=0),"",IF($G46="國","國定假日",IF($B46="日","例假",IF($B46="六","休息日","平日"))))</f>
        <v/>
      </c>
      <c r="S46" s="19" t="n"/>
    </row>
    <row r="47">
      <c r="A47" s="82">
        <f>IF(OR(助理班表!$A6="",14&gt;DAY(EOMONTH(DATE(設定!$C$2,設定!$D$2,1),0))),"",DATE(設定!$C$2,設定!$D$2,14))</f>
        <v/>
      </c>
      <c r="B47" s="16">
        <f>IF($A47="","",INDEX(設定!$O$6:$O$12,WEEKDAY($A47,1)))</f>
        <v/>
      </c>
      <c r="C47" s="16">
        <f>IF($A47="","",助理班表!$A6)</f>
        <v/>
      </c>
      <c r="D47" s="16">
        <f>IF($C47="","",助理班表!$B6)</f>
        <v/>
      </c>
      <c r="E47" s="16">
        <f>IF($C47="","",助理班表!$D6)</f>
        <v/>
      </c>
      <c r="F47" s="16">
        <f>IF($C47="","",助理班表!$C6)</f>
        <v/>
      </c>
      <c r="G47" s="16">
        <f>IF($C47="","",助理班表!R6)</f>
        <v/>
      </c>
      <c r="H47" s="83">
        <f>IF($G47="","",IFERROR(IF(INDEX(設定!$D$6:$D$21,MATCH($G47,設定!$B$6:$B$21,0))=0,"",INDEX(設定!$D$6:$D$21,MATCH($G47,設定!$B$6:$B$21,0))),""))</f>
        <v/>
      </c>
      <c r="I47" s="83">
        <f>IF($G47="","",IFERROR(IF(INDEX(設定!$E$6:$E$21,MATCH($G47,設定!$B$6:$B$21,0))=0,"",INDEX(設定!$E$6:$E$21,MATCH($G47,設定!$B$6:$B$21,0))),""))</f>
        <v/>
      </c>
      <c r="J47" s="83">
        <f>IFERROR(INDEX(打卡匯入!$C$3:$C$2002,MATCH($C47&amp;"|"&amp;DAY($A47),打卡匯入!$E$3:$E$2002,0)),"")</f>
        <v/>
      </c>
      <c r="K47" s="83">
        <f>IFERROR(INDEX(打卡匯入!$D$3:$D$2002,MATCH($C47&amp;"|"&amp;DAY($A47),打卡匯入!$E$3:$E$2002,0)),"")</f>
        <v/>
      </c>
      <c r="L47" s="84">
        <f>IF(OR($J47="",$K47=""),"",IFERROR(INDEX(設定!$F$6:$F$21,MATCH($G47,設定!$B$6:$B$21,0)),0))</f>
        <v/>
      </c>
      <c r="M47" s="85">
        <f>IF(OR($J47="",$K47=""),"",ROUND(($K47-$J47)*24-$L47/60,2))</f>
        <v/>
      </c>
      <c r="N47" s="16">
        <f>IF($C47="","",IF(AND(COUNTIF(設定!$B$15:$B$21,$G47)&gt;0,$J47&lt;&gt;""),"假日出勤",IF(AND(COUNTIF(設定!$B$6:$B$14,$G47)&gt;0,$J47=""),"未打卡",IF($J47="","",IF($O47&gt;0,"遲到",IF($P47&gt;0,"早退","正常"))))))</f>
        <v/>
      </c>
      <c r="O47" s="84">
        <f>IF(OR($C47="",$H47="",$J47=""),0,IF(ROUND(($J47-$H47)*1440,0)&gt;設定!$C$46,ROUND(($J47-$H47)*1440,0),0))</f>
        <v/>
      </c>
      <c r="P47" s="84">
        <f>IF(OR($C47="",$I47="",$K47=""),0,IF(ROUND(($I47-$K47)*1440,0)&gt;設定!$C$46,ROUND(($I47-$K47)*1440,0),0))</f>
        <v/>
      </c>
      <c r="Q47" s="85">
        <f>IF($M47="",0,IF(($M47-IFERROR(INDEX(設定!$G$6:$G$21,MATCH($G47,設定!$B$6:$B$21,0)),0))*60&gt;=設定!$C$44,ROUND(FLOOR(($M47-IFERROR(INDEX(設定!$G$6:$G$21,MATCH($G47,設定!$B$6:$B$21,0)),0))*60,設定!$C$45)/60,2),0))</f>
        <v/>
      </c>
      <c r="R47" s="16">
        <f>IF(OR($C47="",$Q47=0),"",IF($G47="國","國定假日",IF($B47="日","例假",IF($B47="六","休息日","平日"))))</f>
        <v/>
      </c>
      <c r="S47" s="19" t="n"/>
    </row>
    <row r="48">
      <c r="A48" s="82">
        <f>IF(OR(助理班表!$A6="",15&gt;DAY(EOMONTH(DATE(設定!$C$2,設定!$D$2,1),0))),"",DATE(設定!$C$2,設定!$D$2,15))</f>
        <v/>
      </c>
      <c r="B48" s="16">
        <f>IF($A48="","",INDEX(設定!$O$6:$O$12,WEEKDAY($A48,1)))</f>
        <v/>
      </c>
      <c r="C48" s="16">
        <f>IF($A48="","",助理班表!$A6)</f>
        <v/>
      </c>
      <c r="D48" s="16">
        <f>IF($C48="","",助理班表!$B6)</f>
        <v/>
      </c>
      <c r="E48" s="16">
        <f>IF($C48="","",助理班表!$D6)</f>
        <v/>
      </c>
      <c r="F48" s="16">
        <f>IF($C48="","",助理班表!$C6)</f>
        <v/>
      </c>
      <c r="G48" s="16">
        <f>IF($C48="","",助理班表!S6)</f>
        <v/>
      </c>
      <c r="H48" s="83">
        <f>IF($G48="","",IFERROR(IF(INDEX(設定!$D$6:$D$21,MATCH($G48,設定!$B$6:$B$21,0))=0,"",INDEX(設定!$D$6:$D$21,MATCH($G48,設定!$B$6:$B$21,0))),""))</f>
        <v/>
      </c>
      <c r="I48" s="83">
        <f>IF($G48="","",IFERROR(IF(INDEX(設定!$E$6:$E$21,MATCH($G48,設定!$B$6:$B$21,0))=0,"",INDEX(設定!$E$6:$E$21,MATCH($G48,設定!$B$6:$B$21,0))),""))</f>
        <v/>
      </c>
      <c r="J48" s="83">
        <f>IFERROR(INDEX(打卡匯入!$C$3:$C$2002,MATCH($C48&amp;"|"&amp;DAY($A48),打卡匯入!$E$3:$E$2002,0)),"")</f>
        <v/>
      </c>
      <c r="K48" s="83">
        <f>IFERROR(INDEX(打卡匯入!$D$3:$D$2002,MATCH($C48&amp;"|"&amp;DAY($A48),打卡匯入!$E$3:$E$2002,0)),"")</f>
        <v/>
      </c>
      <c r="L48" s="84">
        <f>IF(OR($J48="",$K48=""),"",IFERROR(INDEX(設定!$F$6:$F$21,MATCH($G48,設定!$B$6:$B$21,0)),0))</f>
        <v/>
      </c>
      <c r="M48" s="85">
        <f>IF(OR($J48="",$K48=""),"",ROUND(($K48-$J48)*24-$L48/60,2))</f>
        <v/>
      </c>
      <c r="N48" s="16">
        <f>IF($C48="","",IF(AND(COUNTIF(設定!$B$15:$B$21,$G48)&gt;0,$J48&lt;&gt;""),"假日出勤",IF(AND(COUNTIF(設定!$B$6:$B$14,$G48)&gt;0,$J48=""),"未打卡",IF($J48="","",IF($O48&gt;0,"遲到",IF($P48&gt;0,"早退","正常"))))))</f>
        <v/>
      </c>
      <c r="O48" s="84">
        <f>IF(OR($C48="",$H48="",$J48=""),0,IF(ROUND(($J48-$H48)*1440,0)&gt;設定!$C$46,ROUND(($J48-$H48)*1440,0),0))</f>
        <v/>
      </c>
      <c r="P48" s="84">
        <f>IF(OR($C48="",$I48="",$K48=""),0,IF(ROUND(($I48-$K48)*1440,0)&gt;設定!$C$46,ROUND(($I48-$K48)*1440,0),0))</f>
        <v/>
      </c>
      <c r="Q48" s="85">
        <f>IF($M48="",0,IF(($M48-IFERROR(INDEX(設定!$G$6:$G$21,MATCH($G48,設定!$B$6:$B$21,0)),0))*60&gt;=設定!$C$44,ROUND(FLOOR(($M48-IFERROR(INDEX(設定!$G$6:$G$21,MATCH($G48,設定!$B$6:$B$21,0)),0))*60,設定!$C$45)/60,2),0))</f>
        <v/>
      </c>
      <c r="R48" s="16">
        <f>IF(OR($C48="",$Q48=0),"",IF($G48="國","國定假日",IF($B48="日","例假",IF($B48="六","休息日","平日"))))</f>
        <v/>
      </c>
      <c r="S48" s="19" t="n"/>
    </row>
    <row r="49">
      <c r="A49" s="82">
        <f>IF(OR(助理班表!$A6="",16&gt;DAY(EOMONTH(DATE(設定!$C$2,設定!$D$2,1),0))),"",DATE(設定!$C$2,設定!$D$2,16))</f>
        <v/>
      </c>
      <c r="B49" s="16">
        <f>IF($A49="","",INDEX(設定!$O$6:$O$12,WEEKDAY($A49,1)))</f>
        <v/>
      </c>
      <c r="C49" s="16">
        <f>IF($A49="","",助理班表!$A6)</f>
        <v/>
      </c>
      <c r="D49" s="16">
        <f>IF($C49="","",助理班表!$B6)</f>
        <v/>
      </c>
      <c r="E49" s="16">
        <f>IF($C49="","",助理班表!$D6)</f>
        <v/>
      </c>
      <c r="F49" s="16">
        <f>IF($C49="","",助理班表!$C6)</f>
        <v/>
      </c>
      <c r="G49" s="16">
        <f>IF($C49="","",助理班表!T6)</f>
        <v/>
      </c>
      <c r="H49" s="83">
        <f>IF($G49="","",IFERROR(IF(INDEX(設定!$D$6:$D$21,MATCH($G49,設定!$B$6:$B$21,0))=0,"",INDEX(設定!$D$6:$D$21,MATCH($G49,設定!$B$6:$B$21,0))),""))</f>
        <v/>
      </c>
      <c r="I49" s="83">
        <f>IF($G49="","",IFERROR(IF(INDEX(設定!$E$6:$E$21,MATCH($G49,設定!$B$6:$B$21,0))=0,"",INDEX(設定!$E$6:$E$21,MATCH($G49,設定!$B$6:$B$21,0))),""))</f>
        <v/>
      </c>
      <c r="J49" s="83">
        <f>IFERROR(INDEX(打卡匯入!$C$3:$C$2002,MATCH($C49&amp;"|"&amp;DAY($A49),打卡匯入!$E$3:$E$2002,0)),"")</f>
        <v/>
      </c>
      <c r="K49" s="83">
        <f>IFERROR(INDEX(打卡匯入!$D$3:$D$2002,MATCH($C49&amp;"|"&amp;DAY($A49),打卡匯入!$E$3:$E$2002,0)),"")</f>
        <v/>
      </c>
      <c r="L49" s="84">
        <f>IF(OR($J49="",$K49=""),"",IFERROR(INDEX(設定!$F$6:$F$21,MATCH($G49,設定!$B$6:$B$21,0)),0))</f>
        <v/>
      </c>
      <c r="M49" s="85">
        <f>IF(OR($J49="",$K49=""),"",ROUND(($K49-$J49)*24-$L49/60,2))</f>
        <v/>
      </c>
      <c r="N49" s="16">
        <f>IF($C49="","",IF(AND(COUNTIF(設定!$B$15:$B$21,$G49)&gt;0,$J49&lt;&gt;""),"假日出勤",IF(AND(COUNTIF(設定!$B$6:$B$14,$G49)&gt;0,$J49=""),"未打卡",IF($J49="","",IF($O49&gt;0,"遲到",IF($P49&gt;0,"早退","正常"))))))</f>
        <v/>
      </c>
      <c r="O49" s="84">
        <f>IF(OR($C49="",$H49="",$J49=""),0,IF(ROUND(($J49-$H49)*1440,0)&gt;設定!$C$46,ROUND(($J49-$H49)*1440,0),0))</f>
        <v/>
      </c>
      <c r="P49" s="84">
        <f>IF(OR($C49="",$I49="",$K49=""),0,IF(ROUND(($I49-$K49)*1440,0)&gt;設定!$C$46,ROUND(($I49-$K49)*1440,0),0))</f>
        <v/>
      </c>
      <c r="Q49" s="85">
        <f>IF($M49="",0,IF(($M49-IFERROR(INDEX(設定!$G$6:$G$21,MATCH($G49,設定!$B$6:$B$21,0)),0))*60&gt;=設定!$C$44,ROUND(FLOOR(($M49-IFERROR(INDEX(設定!$G$6:$G$21,MATCH($G49,設定!$B$6:$B$21,0)),0))*60,設定!$C$45)/60,2),0))</f>
        <v/>
      </c>
      <c r="R49" s="16">
        <f>IF(OR($C49="",$Q49=0),"",IF($G49="國","國定假日",IF($B49="日","例假",IF($B49="六","休息日","平日"))))</f>
        <v/>
      </c>
      <c r="S49" s="19" t="n"/>
    </row>
    <row r="50">
      <c r="A50" s="82">
        <f>IF(OR(助理班表!$A6="",17&gt;DAY(EOMONTH(DATE(設定!$C$2,設定!$D$2,1),0))),"",DATE(設定!$C$2,設定!$D$2,17))</f>
        <v/>
      </c>
      <c r="B50" s="16">
        <f>IF($A50="","",INDEX(設定!$O$6:$O$12,WEEKDAY($A50,1)))</f>
        <v/>
      </c>
      <c r="C50" s="16">
        <f>IF($A50="","",助理班表!$A6)</f>
        <v/>
      </c>
      <c r="D50" s="16">
        <f>IF($C50="","",助理班表!$B6)</f>
        <v/>
      </c>
      <c r="E50" s="16">
        <f>IF($C50="","",助理班表!$D6)</f>
        <v/>
      </c>
      <c r="F50" s="16">
        <f>IF($C50="","",助理班表!$C6)</f>
        <v/>
      </c>
      <c r="G50" s="16">
        <f>IF($C50="","",助理班表!U6)</f>
        <v/>
      </c>
      <c r="H50" s="83">
        <f>IF($G50="","",IFERROR(IF(INDEX(設定!$D$6:$D$21,MATCH($G50,設定!$B$6:$B$21,0))=0,"",INDEX(設定!$D$6:$D$21,MATCH($G50,設定!$B$6:$B$21,0))),""))</f>
        <v/>
      </c>
      <c r="I50" s="83">
        <f>IF($G50="","",IFERROR(IF(INDEX(設定!$E$6:$E$21,MATCH($G50,設定!$B$6:$B$21,0))=0,"",INDEX(設定!$E$6:$E$21,MATCH($G50,設定!$B$6:$B$21,0))),""))</f>
        <v/>
      </c>
      <c r="J50" s="83">
        <f>IFERROR(INDEX(打卡匯入!$C$3:$C$2002,MATCH($C50&amp;"|"&amp;DAY($A50),打卡匯入!$E$3:$E$2002,0)),"")</f>
        <v/>
      </c>
      <c r="K50" s="83">
        <f>IFERROR(INDEX(打卡匯入!$D$3:$D$2002,MATCH($C50&amp;"|"&amp;DAY($A50),打卡匯入!$E$3:$E$2002,0)),"")</f>
        <v/>
      </c>
      <c r="L50" s="84">
        <f>IF(OR($J50="",$K50=""),"",IFERROR(INDEX(設定!$F$6:$F$21,MATCH($G50,設定!$B$6:$B$21,0)),0))</f>
        <v/>
      </c>
      <c r="M50" s="85">
        <f>IF(OR($J50="",$K50=""),"",ROUND(($K50-$J50)*24-$L50/60,2))</f>
        <v/>
      </c>
      <c r="N50" s="16">
        <f>IF($C50="","",IF(AND(COUNTIF(設定!$B$15:$B$21,$G50)&gt;0,$J50&lt;&gt;""),"假日出勤",IF(AND(COUNTIF(設定!$B$6:$B$14,$G50)&gt;0,$J50=""),"未打卡",IF($J50="","",IF($O50&gt;0,"遲到",IF($P50&gt;0,"早退","正常"))))))</f>
        <v/>
      </c>
      <c r="O50" s="84">
        <f>IF(OR($C50="",$H50="",$J50=""),0,IF(ROUND(($J50-$H50)*1440,0)&gt;設定!$C$46,ROUND(($J50-$H50)*1440,0),0))</f>
        <v/>
      </c>
      <c r="P50" s="84">
        <f>IF(OR($C50="",$I50="",$K50=""),0,IF(ROUND(($I50-$K50)*1440,0)&gt;設定!$C$46,ROUND(($I50-$K50)*1440,0),0))</f>
        <v/>
      </c>
      <c r="Q50" s="85">
        <f>IF($M50="",0,IF(($M50-IFERROR(INDEX(設定!$G$6:$G$21,MATCH($G50,設定!$B$6:$B$21,0)),0))*60&gt;=設定!$C$44,ROUND(FLOOR(($M50-IFERROR(INDEX(設定!$G$6:$G$21,MATCH($G50,設定!$B$6:$B$21,0)),0))*60,設定!$C$45)/60,2),0))</f>
        <v/>
      </c>
      <c r="R50" s="16">
        <f>IF(OR($C50="",$Q50=0),"",IF($G50="國","國定假日",IF($B50="日","例假",IF($B50="六","休息日","平日"))))</f>
        <v/>
      </c>
      <c r="S50" s="19" t="n"/>
    </row>
    <row r="51">
      <c r="A51" s="82">
        <f>IF(OR(助理班表!$A6="",18&gt;DAY(EOMONTH(DATE(設定!$C$2,設定!$D$2,1),0))),"",DATE(設定!$C$2,設定!$D$2,18))</f>
        <v/>
      </c>
      <c r="B51" s="16">
        <f>IF($A51="","",INDEX(設定!$O$6:$O$12,WEEKDAY($A51,1)))</f>
        <v/>
      </c>
      <c r="C51" s="16">
        <f>IF($A51="","",助理班表!$A6)</f>
        <v/>
      </c>
      <c r="D51" s="16">
        <f>IF($C51="","",助理班表!$B6)</f>
        <v/>
      </c>
      <c r="E51" s="16">
        <f>IF($C51="","",助理班表!$D6)</f>
        <v/>
      </c>
      <c r="F51" s="16">
        <f>IF($C51="","",助理班表!$C6)</f>
        <v/>
      </c>
      <c r="G51" s="16">
        <f>IF($C51="","",助理班表!V6)</f>
        <v/>
      </c>
      <c r="H51" s="83">
        <f>IF($G51="","",IFERROR(IF(INDEX(設定!$D$6:$D$21,MATCH($G51,設定!$B$6:$B$21,0))=0,"",INDEX(設定!$D$6:$D$21,MATCH($G51,設定!$B$6:$B$21,0))),""))</f>
        <v/>
      </c>
      <c r="I51" s="83">
        <f>IF($G51="","",IFERROR(IF(INDEX(設定!$E$6:$E$21,MATCH($G51,設定!$B$6:$B$21,0))=0,"",INDEX(設定!$E$6:$E$21,MATCH($G51,設定!$B$6:$B$21,0))),""))</f>
        <v/>
      </c>
      <c r="J51" s="83">
        <f>IFERROR(INDEX(打卡匯入!$C$3:$C$2002,MATCH($C51&amp;"|"&amp;DAY($A51),打卡匯入!$E$3:$E$2002,0)),"")</f>
        <v/>
      </c>
      <c r="K51" s="83">
        <f>IFERROR(INDEX(打卡匯入!$D$3:$D$2002,MATCH($C51&amp;"|"&amp;DAY($A51),打卡匯入!$E$3:$E$2002,0)),"")</f>
        <v/>
      </c>
      <c r="L51" s="84">
        <f>IF(OR($J51="",$K51=""),"",IFERROR(INDEX(設定!$F$6:$F$21,MATCH($G51,設定!$B$6:$B$21,0)),0))</f>
        <v/>
      </c>
      <c r="M51" s="85">
        <f>IF(OR($J51="",$K51=""),"",ROUND(($K51-$J51)*24-$L51/60,2))</f>
        <v/>
      </c>
      <c r="N51" s="16">
        <f>IF($C51="","",IF(AND(COUNTIF(設定!$B$15:$B$21,$G51)&gt;0,$J51&lt;&gt;""),"假日出勤",IF(AND(COUNTIF(設定!$B$6:$B$14,$G51)&gt;0,$J51=""),"未打卡",IF($J51="","",IF($O51&gt;0,"遲到",IF($P51&gt;0,"早退","正常"))))))</f>
        <v/>
      </c>
      <c r="O51" s="84">
        <f>IF(OR($C51="",$H51="",$J51=""),0,IF(ROUND(($J51-$H51)*1440,0)&gt;設定!$C$46,ROUND(($J51-$H51)*1440,0),0))</f>
        <v/>
      </c>
      <c r="P51" s="84">
        <f>IF(OR($C51="",$I51="",$K51=""),0,IF(ROUND(($I51-$K51)*1440,0)&gt;設定!$C$46,ROUND(($I51-$K51)*1440,0),0))</f>
        <v/>
      </c>
      <c r="Q51" s="85">
        <f>IF($M51="",0,IF(($M51-IFERROR(INDEX(設定!$G$6:$G$21,MATCH($G51,設定!$B$6:$B$21,0)),0))*60&gt;=設定!$C$44,ROUND(FLOOR(($M51-IFERROR(INDEX(設定!$G$6:$G$21,MATCH($G51,設定!$B$6:$B$21,0)),0))*60,設定!$C$45)/60,2),0))</f>
        <v/>
      </c>
      <c r="R51" s="16">
        <f>IF(OR($C51="",$Q51=0),"",IF($G51="國","國定假日",IF($B51="日","例假",IF($B51="六","休息日","平日"))))</f>
        <v/>
      </c>
      <c r="S51" s="19" t="n"/>
    </row>
    <row r="52">
      <c r="A52" s="82">
        <f>IF(OR(助理班表!$A6="",19&gt;DAY(EOMONTH(DATE(設定!$C$2,設定!$D$2,1),0))),"",DATE(設定!$C$2,設定!$D$2,19))</f>
        <v/>
      </c>
      <c r="B52" s="16">
        <f>IF($A52="","",INDEX(設定!$O$6:$O$12,WEEKDAY($A52,1)))</f>
        <v/>
      </c>
      <c r="C52" s="16">
        <f>IF($A52="","",助理班表!$A6)</f>
        <v/>
      </c>
      <c r="D52" s="16">
        <f>IF($C52="","",助理班表!$B6)</f>
        <v/>
      </c>
      <c r="E52" s="16">
        <f>IF($C52="","",助理班表!$D6)</f>
        <v/>
      </c>
      <c r="F52" s="16">
        <f>IF($C52="","",助理班表!$C6)</f>
        <v/>
      </c>
      <c r="G52" s="16">
        <f>IF($C52="","",助理班表!W6)</f>
        <v/>
      </c>
      <c r="H52" s="83">
        <f>IF($G52="","",IFERROR(IF(INDEX(設定!$D$6:$D$21,MATCH($G52,設定!$B$6:$B$21,0))=0,"",INDEX(設定!$D$6:$D$21,MATCH($G52,設定!$B$6:$B$21,0))),""))</f>
        <v/>
      </c>
      <c r="I52" s="83">
        <f>IF($G52="","",IFERROR(IF(INDEX(設定!$E$6:$E$21,MATCH($G52,設定!$B$6:$B$21,0))=0,"",INDEX(設定!$E$6:$E$21,MATCH($G52,設定!$B$6:$B$21,0))),""))</f>
        <v/>
      </c>
      <c r="J52" s="83">
        <f>IFERROR(INDEX(打卡匯入!$C$3:$C$2002,MATCH($C52&amp;"|"&amp;DAY($A52),打卡匯入!$E$3:$E$2002,0)),"")</f>
        <v/>
      </c>
      <c r="K52" s="83">
        <f>IFERROR(INDEX(打卡匯入!$D$3:$D$2002,MATCH($C52&amp;"|"&amp;DAY($A52),打卡匯入!$E$3:$E$2002,0)),"")</f>
        <v/>
      </c>
      <c r="L52" s="84">
        <f>IF(OR($J52="",$K52=""),"",IFERROR(INDEX(設定!$F$6:$F$21,MATCH($G52,設定!$B$6:$B$21,0)),0))</f>
        <v/>
      </c>
      <c r="M52" s="85">
        <f>IF(OR($J52="",$K52=""),"",ROUND(($K52-$J52)*24-$L52/60,2))</f>
        <v/>
      </c>
      <c r="N52" s="16">
        <f>IF($C52="","",IF(AND(COUNTIF(設定!$B$15:$B$21,$G52)&gt;0,$J52&lt;&gt;""),"假日出勤",IF(AND(COUNTIF(設定!$B$6:$B$14,$G52)&gt;0,$J52=""),"未打卡",IF($J52="","",IF($O52&gt;0,"遲到",IF($P52&gt;0,"早退","正常"))))))</f>
        <v/>
      </c>
      <c r="O52" s="84">
        <f>IF(OR($C52="",$H52="",$J52=""),0,IF(ROUND(($J52-$H52)*1440,0)&gt;設定!$C$46,ROUND(($J52-$H52)*1440,0),0))</f>
        <v/>
      </c>
      <c r="P52" s="84">
        <f>IF(OR($C52="",$I52="",$K52=""),0,IF(ROUND(($I52-$K52)*1440,0)&gt;設定!$C$46,ROUND(($I52-$K52)*1440,0),0))</f>
        <v/>
      </c>
      <c r="Q52" s="85">
        <f>IF($M52="",0,IF(($M52-IFERROR(INDEX(設定!$G$6:$G$21,MATCH($G52,設定!$B$6:$B$21,0)),0))*60&gt;=設定!$C$44,ROUND(FLOOR(($M52-IFERROR(INDEX(設定!$G$6:$G$21,MATCH($G52,設定!$B$6:$B$21,0)),0))*60,設定!$C$45)/60,2),0))</f>
        <v/>
      </c>
      <c r="R52" s="16">
        <f>IF(OR($C52="",$Q52=0),"",IF($G52="國","國定假日",IF($B52="日","例假",IF($B52="六","休息日","平日"))))</f>
        <v/>
      </c>
      <c r="S52" s="19" t="n"/>
    </row>
    <row r="53">
      <c r="A53" s="82">
        <f>IF(OR(助理班表!$A6="",20&gt;DAY(EOMONTH(DATE(設定!$C$2,設定!$D$2,1),0))),"",DATE(設定!$C$2,設定!$D$2,20))</f>
        <v/>
      </c>
      <c r="B53" s="16">
        <f>IF($A53="","",INDEX(設定!$O$6:$O$12,WEEKDAY($A53,1)))</f>
        <v/>
      </c>
      <c r="C53" s="16">
        <f>IF($A53="","",助理班表!$A6)</f>
        <v/>
      </c>
      <c r="D53" s="16">
        <f>IF($C53="","",助理班表!$B6)</f>
        <v/>
      </c>
      <c r="E53" s="16">
        <f>IF($C53="","",助理班表!$D6)</f>
        <v/>
      </c>
      <c r="F53" s="16">
        <f>IF($C53="","",助理班表!$C6)</f>
        <v/>
      </c>
      <c r="G53" s="16">
        <f>IF($C53="","",助理班表!X6)</f>
        <v/>
      </c>
      <c r="H53" s="83">
        <f>IF($G53="","",IFERROR(IF(INDEX(設定!$D$6:$D$21,MATCH($G53,設定!$B$6:$B$21,0))=0,"",INDEX(設定!$D$6:$D$21,MATCH($G53,設定!$B$6:$B$21,0))),""))</f>
        <v/>
      </c>
      <c r="I53" s="83">
        <f>IF($G53="","",IFERROR(IF(INDEX(設定!$E$6:$E$21,MATCH($G53,設定!$B$6:$B$21,0))=0,"",INDEX(設定!$E$6:$E$21,MATCH($G53,設定!$B$6:$B$21,0))),""))</f>
        <v/>
      </c>
      <c r="J53" s="83">
        <f>IFERROR(INDEX(打卡匯入!$C$3:$C$2002,MATCH($C53&amp;"|"&amp;DAY($A53),打卡匯入!$E$3:$E$2002,0)),"")</f>
        <v/>
      </c>
      <c r="K53" s="83">
        <f>IFERROR(INDEX(打卡匯入!$D$3:$D$2002,MATCH($C53&amp;"|"&amp;DAY($A53),打卡匯入!$E$3:$E$2002,0)),"")</f>
        <v/>
      </c>
      <c r="L53" s="84">
        <f>IF(OR($J53="",$K53=""),"",IFERROR(INDEX(設定!$F$6:$F$21,MATCH($G53,設定!$B$6:$B$21,0)),0))</f>
        <v/>
      </c>
      <c r="M53" s="85">
        <f>IF(OR($J53="",$K53=""),"",ROUND(($K53-$J53)*24-$L53/60,2))</f>
        <v/>
      </c>
      <c r="N53" s="16">
        <f>IF($C53="","",IF(AND(COUNTIF(設定!$B$15:$B$21,$G53)&gt;0,$J53&lt;&gt;""),"假日出勤",IF(AND(COUNTIF(設定!$B$6:$B$14,$G53)&gt;0,$J53=""),"未打卡",IF($J53="","",IF($O53&gt;0,"遲到",IF($P53&gt;0,"早退","正常"))))))</f>
        <v/>
      </c>
      <c r="O53" s="84">
        <f>IF(OR($C53="",$H53="",$J53=""),0,IF(ROUND(($J53-$H53)*1440,0)&gt;設定!$C$46,ROUND(($J53-$H53)*1440,0),0))</f>
        <v/>
      </c>
      <c r="P53" s="84">
        <f>IF(OR($C53="",$I53="",$K53=""),0,IF(ROUND(($I53-$K53)*1440,0)&gt;設定!$C$46,ROUND(($I53-$K53)*1440,0),0))</f>
        <v/>
      </c>
      <c r="Q53" s="85">
        <f>IF($M53="",0,IF(($M53-IFERROR(INDEX(設定!$G$6:$G$21,MATCH($G53,設定!$B$6:$B$21,0)),0))*60&gt;=設定!$C$44,ROUND(FLOOR(($M53-IFERROR(INDEX(設定!$G$6:$G$21,MATCH($G53,設定!$B$6:$B$21,0)),0))*60,設定!$C$45)/60,2),0))</f>
        <v/>
      </c>
      <c r="R53" s="16">
        <f>IF(OR($C53="",$Q53=0),"",IF($G53="國","國定假日",IF($B53="日","例假",IF($B53="六","休息日","平日"))))</f>
        <v/>
      </c>
      <c r="S53" s="19" t="n"/>
    </row>
    <row r="54">
      <c r="A54" s="82">
        <f>IF(OR(助理班表!$A6="",21&gt;DAY(EOMONTH(DATE(設定!$C$2,設定!$D$2,1),0))),"",DATE(設定!$C$2,設定!$D$2,21))</f>
        <v/>
      </c>
      <c r="B54" s="16">
        <f>IF($A54="","",INDEX(設定!$O$6:$O$12,WEEKDAY($A54,1)))</f>
        <v/>
      </c>
      <c r="C54" s="16">
        <f>IF($A54="","",助理班表!$A6)</f>
        <v/>
      </c>
      <c r="D54" s="16">
        <f>IF($C54="","",助理班表!$B6)</f>
        <v/>
      </c>
      <c r="E54" s="16">
        <f>IF($C54="","",助理班表!$D6)</f>
        <v/>
      </c>
      <c r="F54" s="16">
        <f>IF($C54="","",助理班表!$C6)</f>
        <v/>
      </c>
      <c r="G54" s="16">
        <f>IF($C54="","",助理班表!Y6)</f>
        <v/>
      </c>
      <c r="H54" s="83">
        <f>IF($G54="","",IFERROR(IF(INDEX(設定!$D$6:$D$21,MATCH($G54,設定!$B$6:$B$21,0))=0,"",INDEX(設定!$D$6:$D$21,MATCH($G54,設定!$B$6:$B$21,0))),""))</f>
        <v/>
      </c>
      <c r="I54" s="83">
        <f>IF($G54="","",IFERROR(IF(INDEX(設定!$E$6:$E$21,MATCH($G54,設定!$B$6:$B$21,0))=0,"",INDEX(設定!$E$6:$E$21,MATCH($G54,設定!$B$6:$B$21,0))),""))</f>
        <v/>
      </c>
      <c r="J54" s="83">
        <f>IFERROR(INDEX(打卡匯入!$C$3:$C$2002,MATCH($C54&amp;"|"&amp;DAY($A54),打卡匯入!$E$3:$E$2002,0)),"")</f>
        <v/>
      </c>
      <c r="K54" s="83">
        <f>IFERROR(INDEX(打卡匯入!$D$3:$D$2002,MATCH($C54&amp;"|"&amp;DAY($A54),打卡匯入!$E$3:$E$2002,0)),"")</f>
        <v/>
      </c>
      <c r="L54" s="84">
        <f>IF(OR($J54="",$K54=""),"",IFERROR(INDEX(設定!$F$6:$F$21,MATCH($G54,設定!$B$6:$B$21,0)),0))</f>
        <v/>
      </c>
      <c r="M54" s="85">
        <f>IF(OR($J54="",$K54=""),"",ROUND(($K54-$J54)*24-$L54/60,2))</f>
        <v/>
      </c>
      <c r="N54" s="16">
        <f>IF($C54="","",IF(AND(COUNTIF(設定!$B$15:$B$21,$G54)&gt;0,$J54&lt;&gt;""),"假日出勤",IF(AND(COUNTIF(設定!$B$6:$B$14,$G54)&gt;0,$J54=""),"未打卡",IF($J54="","",IF($O54&gt;0,"遲到",IF($P54&gt;0,"早退","正常"))))))</f>
        <v/>
      </c>
      <c r="O54" s="84">
        <f>IF(OR($C54="",$H54="",$J54=""),0,IF(ROUND(($J54-$H54)*1440,0)&gt;設定!$C$46,ROUND(($J54-$H54)*1440,0),0))</f>
        <v/>
      </c>
      <c r="P54" s="84">
        <f>IF(OR($C54="",$I54="",$K54=""),0,IF(ROUND(($I54-$K54)*1440,0)&gt;設定!$C$46,ROUND(($I54-$K54)*1440,0),0))</f>
        <v/>
      </c>
      <c r="Q54" s="85">
        <f>IF($M54="",0,IF(($M54-IFERROR(INDEX(設定!$G$6:$G$21,MATCH($G54,設定!$B$6:$B$21,0)),0))*60&gt;=設定!$C$44,ROUND(FLOOR(($M54-IFERROR(INDEX(設定!$G$6:$G$21,MATCH($G54,設定!$B$6:$B$21,0)),0))*60,設定!$C$45)/60,2),0))</f>
        <v/>
      </c>
      <c r="R54" s="16">
        <f>IF(OR($C54="",$Q54=0),"",IF($G54="國","國定假日",IF($B54="日","例假",IF($B54="六","休息日","平日"))))</f>
        <v/>
      </c>
      <c r="S54" s="19" t="n"/>
    </row>
    <row r="55">
      <c r="A55" s="82">
        <f>IF(OR(助理班表!$A6="",22&gt;DAY(EOMONTH(DATE(設定!$C$2,設定!$D$2,1),0))),"",DATE(設定!$C$2,設定!$D$2,22))</f>
        <v/>
      </c>
      <c r="B55" s="16">
        <f>IF($A55="","",INDEX(設定!$O$6:$O$12,WEEKDAY($A55,1)))</f>
        <v/>
      </c>
      <c r="C55" s="16">
        <f>IF($A55="","",助理班表!$A6)</f>
        <v/>
      </c>
      <c r="D55" s="16">
        <f>IF($C55="","",助理班表!$B6)</f>
        <v/>
      </c>
      <c r="E55" s="16">
        <f>IF($C55="","",助理班表!$D6)</f>
        <v/>
      </c>
      <c r="F55" s="16">
        <f>IF($C55="","",助理班表!$C6)</f>
        <v/>
      </c>
      <c r="G55" s="16">
        <f>IF($C55="","",助理班表!Z6)</f>
        <v/>
      </c>
      <c r="H55" s="83">
        <f>IF($G55="","",IFERROR(IF(INDEX(設定!$D$6:$D$21,MATCH($G55,設定!$B$6:$B$21,0))=0,"",INDEX(設定!$D$6:$D$21,MATCH($G55,設定!$B$6:$B$21,0))),""))</f>
        <v/>
      </c>
      <c r="I55" s="83">
        <f>IF($G55="","",IFERROR(IF(INDEX(設定!$E$6:$E$21,MATCH($G55,設定!$B$6:$B$21,0))=0,"",INDEX(設定!$E$6:$E$21,MATCH($G55,設定!$B$6:$B$21,0))),""))</f>
        <v/>
      </c>
      <c r="J55" s="83">
        <f>IFERROR(INDEX(打卡匯入!$C$3:$C$2002,MATCH($C55&amp;"|"&amp;DAY($A55),打卡匯入!$E$3:$E$2002,0)),"")</f>
        <v/>
      </c>
      <c r="K55" s="83">
        <f>IFERROR(INDEX(打卡匯入!$D$3:$D$2002,MATCH($C55&amp;"|"&amp;DAY($A55),打卡匯入!$E$3:$E$2002,0)),"")</f>
        <v/>
      </c>
      <c r="L55" s="84">
        <f>IF(OR($J55="",$K55=""),"",IFERROR(INDEX(設定!$F$6:$F$21,MATCH($G55,設定!$B$6:$B$21,0)),0))</f>
        <v/>
      </c>
      <c r="M55" s="85">
        <f>IF(OR($J55="",$K55=""),"",ROUND(($K55-$J55)*24-$L55/60,2))</f>
        <v/>
      </c>
      <c r="N55" s="16">
        <f>IF($C55="","",IF(AND(COUNTIF(設定!$B$15:$B$21,$G55)&gt;0,$J55&lt;&gt;""),"假日出勤",IF(AND(COUNTIF(設定!$B$6:$B$14,$G55)&gt;0,$J55=""),"未打卡",IF($J55="","",IF($O55&gt;0,"遲到",IF($P55&gt;0,"早退","正常"))))))</f>
        <v/>
      </c>
      <c r="O55" s="84">
        <f>IF(OR($C55="",$H55="",$J55=""),0,IF(ROUND(($J55-$H55)*1440,0)&gt;設定!$C$46,ROUND(($J55-$H55)*1440,0),0))</f>
        <v/>
      </c>
      <c r="P55" s="84">
        <f>IF(OR($C55="",$I55="",$K55=""),0,IF(ROUND(($I55-$K55)*1440,0)&gt;設定!$C$46,ROUND(($I55-$K55)*1440,0),0))</f>
        <v/>
      </c>
      <c r="Q55" s="85">
        <f>IF($M55="",0,IF(($M55-IFERROR(INDEX(設定!$G$6:$G$21,MATCH($G55,設定!$B$6:$B$21,0)),0))*60&gt;=設定!$C$44,ROUND(FLOOR(($M55-IFERROR(INDEX(設定!$G$6:$G$21,MATCH($G55,設定!$B$6:$B$21,0)),0))*60,設定!$C$45)/60,2),0))</f>
        <v/>
      </c>
      <c r="R55" s="16">
        <f>IF(OR($C55="",$Q55=0),"",IF($G55="國","國定假日",IF($B55="日","例假",IF($B55="六","休息日","平日"))))</f>
        <v/>
      </c>
      <c r="S55" s="19" t="n"/>
    </row>
    <row r="56">
      <c r="A56" s="82">
        <f>IF(OR(助理班表!$A6="",23&gt;DAY(EOMONTH(DATE(設定!$C$2,設定!$D$2,1),0))),"",DATE(設定!$C$2,設定!$D$2,23))</f>
        <v/>
      </c>
      <c r="B56" s="16">
        <f>IF($A56="","",INDEX(設定!$O$6:$O$12,WEEKDAY($A56,1)))</f>
        <v/>
      </c>
      <c r="C56" s="16">
        <f>IF($A56="","",助理班表!$A6)</f>
        <v/>
      </c>
      <c r="D56" s="16">
        <f>IF($C56="","",助理班表!$B6)</f>
        <v/>
      </c>
      <c r="E56" s="16">
        <f>IF($C56="","",助理班表!$D6)</f>
        <v/>
      </c>
      <c r="F56" s="16">
        <f>IF($C56="","",助理班表!$C6)</f>
        <v/>
      </c>
      <c r="G56" s="16">
        <f>IF($C56="","",助理班表!AA6)</f>
        <v/>
      </c>
      <c r="H56" s="83">
        <f>IF($G56="","",IFERROR(IF(INDEX(設定!$D$6:$D$21,MATCH($G56,設定!$B$6:$B$21,0))=0,"",INDEX(設定!$D$6:$D$21,MATCH($G56,設定!$B$6:$B$21,0))),""))</f>
        <v/>
      </c>
      <c r="I56" s="83">
        <f>IF($G56="","",IFERROR(IF(INDEX(設定!$E$6:$E$21,MATCH($G56,設定!$B$6:$B$21,0))=0,"",INDEX(設定!$E$6:$E$21,MATCH($G56,設定!$B$6:$B$21,0))),""))</f>
        <v/>
      </c>
      <c r="J56" s="83">
        <f>IFERROR(INDEX(打卡匯入!$C$3:$C$2002,MATCH($C56&amp;"|"&amp;DAY($A56),打卡匯入!$E$3:$E$2002,0)),"")</f>
        <v/>
      </c>
      <c r="K56" s="83">
        <f>IFERROR(INDEX(打卡匯入!$D$3:$D$2002,MATCH($C56&amp;"|"&amp;DAY($A56),打卡匯入!$E$3:$E$2002,0)),"")</f>
        <v/>
      </c>
      <c r="L56" s="84">
        <f>IF(OR($J56="",$K56=""),"",IFERROR(INDEX(設定!$F$6:$F$21,MATCH($G56,設定!$B$6:$B$21,0)),0))</f>
        <v/>
      </c>
      <c r="M56" s="85">
        <f>IF(OR($J56="",$K56=""),"",ROUND(($K56-$J56)*24-$L56/60,2))</f>
        <v/>
      </c>
      <c r="N56" s="16">
        <f>IF($C56="","",IF(AND(COUNTIF(設定!$B$15:$B$21,$G56)&gt;0,$J56&lt;&gt;""),"假日出勤",IF(AND(COUNTIF(設定!$B$6:$B$14,$G56)&gt;0,$J56=""),"未打卡",IF($J56="","",IF($O56&gt;0,"遲到",IF($P56&gt;0,"早退","正常"))))))</f>
        <v/>
      </c>
      <c r="O56" s="84">
        <f>IF(OR($C56="",$H56="",$J56=""),0,IF(ROUND(($J56-$H56)*1440,0)&gt;設定!$C$46,ROUND(($J56-$H56)*1440,0),0))</f>
        <v/>
      </c>
      <c r="P56" s="84">
        <f>IF(OR($C56="",$I56="",$K56=""),0,IF(ROUND(($I56-$K56)*1440,0)&gt;設定!$C$46,ROUND(($I56-$K56)*1440,0),0))</f>
        <v/>
      </c>
      <c r="Q56" s="85">
        <f>IF($M56="",0,IF(($M56-IFERROR(INDEX(設定!$G$6:$G$21,MATCH($G56,設定!$B$6:$B$21,0)),0))*60&gt;=設定!$C$44,ROUND(FLOOR(($M56-IFERROR(INDEX(設定!$G$6:$G$21,MATCH($G56,設定!$B$6:$B$21,0)),0))*60,設定!$C$45)/60,2),0))</f>
        <v/>
      </c>
      <c r="R56" s="16">
        <f>IF(OR($C56="",$Q56=0),"",IF($G56="國","國定假日",IF($B56="日","例假",IF($B56="六","休息日","平日"))))</f>
        <v/>
      </c>
      <c r="S56" s="19" t="n"/>
    </row>
    <row r="57">
      <c r="A57" s="82">
        <f>IF(OR(助理班表!$A6="",24&gt;DAY(EOMONTH(DATE(設定!$C$2,設定!$D$2,1),0))),"",DATE(設定!$C$2,設定!$D$2,24))</f>
        <v/>
      </c>
      <c r="B57" s="16">
        <f>IF($A57="","",INDEX(設定!$O$6:$O$12,WEEKDAY($A57,1)))</f>
        <v/>
      </c>
      <c r="C57" s="16">
        <f>IF($A57="","",助理班表!$A6)</f>
        <v/>
      </c>
      <c r="D57" s="16">
        <f>IF($C57="","",助理班表!$B6)</f>
        <v/>
      </c>
      <c r="E57" s="16">
        <f>IF($C57="","",助理班表!$D6)</f>
        <v/>
      </c>
      <c r="F57" s="16">
        <f>IF($C57="","",助理班表!$C6)</f>
        <v/>
      </c>
      <c r="G57" s="16">
        <f>IF($C57="","",助理班表!AB6)</f>
        <v/>
      </c>
      <c r="H57" s="83">
        <f>IF($G57="","",IFERROR(IF(INDEX(設定!$D$6:$D$21,MATCH($G57,設定!$B$6:$B$21,0))=0,"",INDEX(設定!$D$6:$D$21,MATCH($G57,設定!$B$6:$B$21,0))),""))</f>
        <v/>
      </c>
      <c r="I57" s="83">
        <f>IF($G57="","",IFERROR(IF(INDEX(設定!$E$6:$E$21,MATCH($G57,設定!$B$6:$B$21,0))=0,"",INDEX(設定!$E$6:$E$21,MATCH($G57,設定!$B$6:$B$21,0))),""))</f>
        <v/>
      </c>
      <c r="J57" s="83">
        <f>IFERROR(INDEX(打卡匯入!$C$3:$C$2002,MATCH($C57&amp;"|"&amp;DAY($A57),打卡匯入!$E$3:$E$2002,0)),"")</f>
        <v/>
      </c>
      <c r="K57" s="83">
        <f>IFERROR(INDEX(打卡匯入!$D$3:$D$2002,MATCH($C57&amp;"|"&amp;DAY($A57),打卡匯入!$E$3:$E$2002,0)),"")</f>
        <v/>
      </c>
      <c r="L57" s="84">
        <f>IF(OR($J57="",$K57=""),"",IFERROR(INDEX(設定!$F$6:$F$21,MATCH($G57,設定!$B$6:$B$21,0)),0))</f>
        <v/>
      </c>
      <c r="M57" s="85">
        <f>IF(OR($J57="",$K57=""),"",ROUND(($K57-$J57)*24-$L57/60,2))</f>
        <v/>
      </c>
      <c r="N57" s="16">
        <f>IF($C57="","",IF(AND(COUNTIF(設定!$B$15:$B$21,$G57)&gt;0,$J57&lt;&gt;""),"假日出勤",IF(AND(COUNTIF(設定!$B$6:$B$14,$G57)&gt;0,$J57=""),"未打卡",IF($J57="","",IF($O57&gt;0,"遲到",IF($P57&gt;0,"早退","正常"))))))</f>
        <v/>
      </c>
      <c r="O57" s="84">
        <f>IF(OR($C57="",$H57="",$J57=""),0,IF(ROUND(($J57-$H57)*1440,0)&gt;設定!$C$46,ROUND(($J57-$H57)*1440,0),0))</f>
        <v/>
      </c>
      <c r="P57" s="84">
        <f>IF(OR($C57="",$I57="",$K57=""),0,IF(ROUND(($I57-$K57)*1440,0)&gt;設定!$C$46,ROUND(($I57-$K57)*1440,0),0))</f>
        <v/>
      </c>
      <c r="Q57" s="85">
        <f>IF($M57="",0,IF(($M57-IFERROR(INDEX(設定!$G$6:$G$21,MATCH($G57,設定!$B$6:$B$21,0)),0))*60&gt;=設定!$C$44,ROUND(FLOOR(($M57-IFERROR(INDEX(設定!$G$6:$G$21,MATCH($G57,設定!$B$6:$B$21,0)),0))*60,設定!$C$45)/60,2),0))</f>
        <v/>
      </c>
      <c r="R57" s="16">
        <f>IF(OR($C57="",$Q57=0),"",IF($G57="國","國定假日",IF($B57="日","例假",IF($B57="六","休息日","平日"))))</f>
        <v/>
      </c>
      <c r="S57" s="19" t="n"/>
    </row>
    <row r="58">
      <c r="A58" s="82">
        <f>IF(OR(助理班表!$A6="",25&gt;DAY(EOMONTH(DATE(設定!$C$2,設定!$D$2,1),0))),"",DATE(設定!$C$2,設定!$D$2,25))</f>
        <v/>
      </c>
      <c r="B58" s="16">
        <f>IF($A58="","",INDEX(設定!$O$6:$O$12,WEEKDAY($A58,1)))</f>
        <v/>
      </c>
      <c r="C58" s="16">
        <f>IF($A58="","",助理班表!$A6)</f>
        <v/>
      </c>
      <c r="D58" s="16">
        <f>IF($C58="","",助理班表!$B6)</f>
        <v/>
      </c>
      <c r="E58" s="16">
        <f>IF($C58="","",助理班表!$D6)</f>
        <v/>
      </c>
      <c r="F58" s="16">
        <f>IF($C58="","",助理班表!$C6)</f>
        <v/>
      </c>
      <c r="G58" s="16">
        <f>IF($C58="","",助理班表!AC6)</f>
        <v/>
      </c>
      <c r="H58" s="83">
        <f>IF($G58="","",IFERROR(IF(INDEX(設定!$D$6:$D$21,MATCH($G58,設定!$B$6:$B$21,0))=0,"",INDEX(設定!$D$6:$D$21,MATCH($G58,設定!$B$6:$B$21,0))),""))</f>
        <v/>
      </c>
      <c r="I58" s="83">
        <f>IF($G58="","",IFERROR(IF(INDEX(設定!$E$6:$E$21,MATCH($G58,設定!$B$6:$B$21,0))=0,"",INDEX(設定!$E$6:$E$21,MATCH($G58,設定!$B$6:$B$21,0))),""))</f>
        <v/>
      </c>
      <c r="J58" s="83">
        <f>IFERROR(INDEX(打卡匯入!$C$3:$C$2002,MATCH($C58&amp;"|"&amp;DAY($A58),打卡匯入!$E$3:$E$2002,0)),"")</f>
        <v/>
      </c>
      <c r="K58" s="83">
        <f>IFERROR(INDEX(打卡匯入!$D$3:$D$2002,MATCH($C58&amp;"|"&amp;DAY($A58),打卡匯入!$E$3:$E$2002,0)),"")</f>
        <v/>
      </c>
      <c r="L58" s="84">
        <f>IF(OR($J58="",$K58=""),"",IFERROR(INDEX(設定!$F$6:$F$21,MATCH($G58,設定!$B$6:$B$21,0)),0))</f>
        <v/>
      </c>
      <c r="M58" s="85">
        <f>IF(OR($J58="",$K58=""),"",ROUND(($K58-$J58)*24-$L58/60,2))</f>
        <v/>
      </c>
      <c r="N58" s="16">
        <f>IF($C58="","",IF(AND(COUNTIF(設定!$B$15:$B$21,$G58)&gt;0,$J58&lt;&gt;""),"假日出勤",IF(AND(COUNTIF(設定!$B$6:$B$14,$G58)&gt;0,$J58=""),"未打卡",IF($J58="","",IF($O58&gt;0,"遲到",IF($P58&gt;0,"早退","正常"))))))</f>
        <v/>
      </c>
      <c r="O58" s="84">
        <f>IF(OR($C58="",$H58="",$J58=""),0,IF(ROUND(($J58-$H58)*1440,0)&gt;設定!$C$46,ROUND(($J58-$H58)*1440,0),0))</f>
        <v/>
      </c>
      <c r="P58" s="84">
        <f>IF(OR($C58="",$I58="",$K58=""),0,IF(ROUND(($I58-$K58)*1440,0)&gt;設定!$C$46,ROUND(($I58-$K58)*1440,0),0))</f>
        <v/>
      </c>
      <c r="Q58" s="85">
        <f>IF($M58="",0,IF(($M58-IFERROR(INDEX(設定!$G$6:$G$21,MATCH($G58,設定!$B$6:$B$21,0)),0))*60&gt;=設定!$C$44,ROUND(FLOOR(($M58-IFERROR(INDEX(設定!$G$6:$G$21,MATCH($G58,設定!$B$6:$B$21,0)),0))*60,設定!$C$45)/60,2),0))</f>
        <v/>
      </c>
      <c r="R58" s="16">
        <f>IF(OR($C58="",$Q58=0),"",IF($G58="國","國定假日",IF($B58="日","例假",IF($B58="六","休息日","平日"))))</f>
        <v/>
      </c>
      <c r="S58" s="19" t="n"/>
    </row>
    <row r="59">
      <c r="A59" s="82">
        <f>IF(OR(助理班表!$A6="",26&gt;DAY(EOMONTH(DATE(設定!$C$2,設定!$D$2,1),0))),"",DATE(設定!$C$2,設定!$D$2,26))</f>
        <v/>
      </c>
      <c r="B59" s="16">
        <f>IF($A59="","",INDEX(設定!$O$6:$O$12,WEEKDAY($A59,1)))</f>
        <v/>
      </c>
      <c r="C59" s="16">
        <f>IF($A59="","",助理班表!$A6)</f>
        <v/>
      </c>
      <c r="D59" s="16">
        <f>IF($C59="","",助理班表!$B6)</f>
        <v/>
      </c>
      <c r="E59" s="16">
        <f>IF($C59="","",助理班表!$D6)</f>
        <v/>
      </c>
      <c r="F59" s="16">
        <f>IF($C59="","",助理班表!$C6)</f>
        <v/>
      </c>
      <c r="G59" s="16">
        <f>IF($C59="","",助理班表!AD6)</f>
        <v/>
      </c>
      <c r="H59" s="83">
        <f>IF($G59="","",IFERROR(IF(INDEX(設定!$D$6:$D$21,MATCH($G59,設定!$B$6:$B$21,0))=0,"",INDEX(設定!$D$6:$D$21,MATCH($G59,設定!$B$6:$B$21,0))),""))</f>
        <v/>
      </c>
      <c r="I59" s="83">
        <f>IF($G59="","",IFERROR(IF(INDEX(設定!$E$6:$E$21,MATCH($G59,設定!$B$6:$B$21,0))=0,"",INDEX(設定!$E$6:$E$21,MATCH($G59,設定!$B$6:$B$21,0))),""))</f>
        <v/>
      </c>
      <c r="J59" s="83">
        <f>IFERROR(INDEX(打卡匯入!$C$3:$C$2002,MATCH($C59&amp;"|"&amp;DAY($A59),打卡匯入!$E$3:$E$2002,0)),"")</f>
        <v/>
      </c>
      <c r="K59" s="83">
        <f>IFERROR(INDEX(打卡匯入!$D$3:$D$2002,MATCH($C59&amp;"|"&amp;DAY($A59),打卡匯入!$E$3:$E$2002,0)),"")</f>
        <v/>
      </c>
      <c r="L59" s="84">
        <f>IF(OR($J59="",$K59=""),"",IFERROR(INDEX(設定!$F$6:$F$21,MATCH($G59,設定!$B$6:$B$21,0)),0))</f>
        <v/>
      </c>
      <c r="M59" s="85">
        <f>IF(OR($J59="",$K59=""),"",ROUND(($K59-$J59)*24-$L59/60,2))</f>
        <v/>
      </c>
      <c r="N59" s="16">
        <f>IF($C59="","",IF(AND(COUNTIF(設定!$B$15:$B$21,$G59)&gt;0,$J59&lt;&gt;""),"假日出勤",IF(AND(COUNTIF(設定!$B$6:$B$14,$G59)&gt;0,$J59=""),"未打卡",IF($J59="","",IF($O59&gt;0,"遲到",IF($P59&gt;0,"早退","正常"))))))</f>
        <v/>
      </c>
      <c r="O59" s="84">
        <f>IF(OR($C59="",$H59="",$J59=""),0,IF(ROUND(($J59-$H59)*1440,0)&gt;設定!$C$46,ROUND(($J59-$H59)*1440,0),0))</f>
        <v/>
      </c>
      <c r="P59" s="84">
        <f>IF(OR($C59="",$I59="",$K59=""),0,IF(ROUND(($I59-$K59)*1440,0)&gt;設定!$C$46,ROUND(($I59-$K59)*1440,0),0))</f>
        <v/>
      </c>
      <c r="Q59" s="85">
        <f>IF($M59="",0,IF(($M59-IFERROR(INDEX(設定!$G$6:$G$21,MATCH($G59,設定!$B$6:$B$21,0)),0))*60&gt;=設定!$C$44,ROUND(FLOOR(($M59-IFERROR(INDEX(設定!$G$6:$G$21,MATCH($G59,設定!$B$6:$B$21,0)),0))*60,設定!$C$45)/60,2),0))</f>
        <v/>
      </c>
      <c r="R59" s="16">
        <f>IF(OR($C59="",$Q59=0),"",IF($G59="國","國定假日",IF($B59="日","例假",IF($B59="六","休息日","平日"))))</f>
        <v/>
      </c>
      <c r="S59" s="19" t="n"/>
    </row>
    <row r="60">
      <c r="A60" s="82">
        <f>IF(OR(助理班表!$A6="",27&gt;DAY(EOMONTH(DATE(設定!$C$2,設定!$D$2,1),0))),"",DATE(設定!$C$2,設定!$D$2,27))</f>
        <v/>
      </c>
      <c r="B60" s="16">
        <f>IF($A60="","",INDEX(設定!$O$6:$O$12,WEEKDAY($A60,1)))</f>
        <v/>
      </c>
      <c r="C60" s="16">
        <f>IF($A60="","",助理班表!$A6)</f>
        <v/>
      </c>
      <c r="D60" s="16">
        <f>IF($C60="","",助理班表!$B6)</f>
        <v/>
      </c>
      <c r="E60" s="16">
        <f>IF($C60="","",助理班表!$D6)</f>
        <v/>
      </c>
      <c r="F60" s="16">
        <f>IF($C60="","",助理班表!$C6)</f>
        <v/>
      </c>
      <c r="G60" s="16">
        <f>IF($C60="","",助理班表!AE6)</f>
        <v/>
      </c>
      <c r="H60" s="83">
        <f>IF($G60="","",IFERROR(IF(INDEX(設定!$D$6:$D$21,MATCH($G60,設定!$B$6:$B$21,0))=0,"",INDEX(設定!$D$6:$D$21,MATCH($G60,設定!$B$6:$B$21,0))),""))</f>
        <v/>
      </c>
      <c r="I60" s="83">
        <f>IF($G60="","",IFERROR(IF(INDEX(設定!$E$6:$E$21,MATCH($G60,設定!$B$6:$B$21,0))=0,"",INDEX(設定!$E$6:$E$21,MATCH($G60,設定!$B$6:$B$21,0))),""))</f>
        <v/>
      </c>
      <c r="J60" s="83">
        <f>IFERROR(INDEX(打卡匯入!$C$3:$C$2002,MATCH($C60&amp;"|"&amp;DAY($A60),打卡匯入!$E$3:$E$2002,0)),"")</f>
        <v/>
      </c>
      <c r="K60" s="83">
        <f>IFERROR(INDEX(打卡匯入!$D$3:$D$2002,MATCH($C60&amp;"|"&amp;DAY($A60),打卡匯入!$E$3:$E$2002,0)),"")</f>
        <v/>
      </c>
      <c r="L60" s="84">
        <f>IF(OR($J60="",$K60=""),"",IFERROR(INDEX(設定!$F$6:$F$21,MATCH($G60,設定!$B$6:$B$21,0)),0))</f>
        <v/>
      </c>
      <c r="M60" s="85">
        <f>IF(OR($J60="",$K60=""),"",ROUND(($K60-$J60)*24-$L60/60,2))</f>
        <v/>
      </c>
      <c r="N60" s="16">
        <f>IF($C60="","",IF(AND(COUNTIF(設定!$B$15:$B$21,$G60)&gt;0,$J60&lt;&gt;""),"假日出勤",IF(AND(COUNTIF(設定!$B$6:$B$14,$G60)&gt;0,$J60=""),"未打卡",IF($J60="","",IF($O60&gt;0,"遲到",IF($P60&gt;0,"早退","正常"))))))</f>
        <v/>
      </c>
      <c r="O60" s="84">
        <f>IF(OR($C60="",$H60="",$J60=""),0,IF(ROUND(($J60-$H60)*1440,0)&gt;設定!$C$46,ROUND(($J60-$H60)*1440,0),0))</f>
        <v/>
      </c>
      <c r="P60" s="84">
        <f>IF(OR($C60="",$I60="",$K60=""),0,IF(ROUND(($I60-$K60)*1440,0)&gt;設定!$C$46,ROUND(($I60-$K60)*1440,0),0))</f>
        <v/>
      </c>
      <c r="Q60" s="85">
        <f>IF($M60="",0,IF(($M60-IFERROR(INDEX(設定!$G$6:$G$21,MATCH($G60,設定!$B$6:$B$21,0)),0))*60&gt;=設定!$C$44,ROUND(FLOOR(($M60-IFERROR(INDEX(設定!$G$6:$G$21,MATCH($G60,設定!$B$6:$B$21,0)),0))*60,設定!$C$45)/60,2),0))</f>
        <v/>
      </c>
      <c r="R60" s="16">
        <f>IF(OR($C60="",$Q60=0),"",IF($G60="國","國定假日",IF($B60="日","例假",IF($B60="六","休息日","平日"))))</f>
        <v/>
      </c>
      <c r="S60" s="19" t="n"/>
    </row>
    <row r="61">
      <c r="A61" s="82">
        <f>IF(OR(助理班表!$A6="",28&gt;DAY(EOMONTH(DATE(設定!$C$2,設定!$D$2,1),0))),"",DATE(設定!$C$2,設定!$D$2,28))</f>
        <v/>
      </c>
      <c r="B61" s="16">
        <f>IF($A61="","",INDEX(設定!$O$6:$O$12,WEEKDAY($A61,1)))</f>
        <v/>
      </c>
      <c r="C61" s="16">
        <f>IF($A61="","",助理班表!$A6)</f>
        <v/>
      </c>
      <c r="D61" s="16">
        <f>IF($C61="","",助理班表!$B6)</f>
        <v/>
      </c>
      <c r="E61" s="16">
        <f>IF($C61="","",助理班表!$D6)</f>
        <v/>
      </c>
      <c r="F61" s="16">
        <f>IF($C61="","",助理班表!$C6)</f>
        <v/>
      </c>
      <c r="G61" s="16">
        <f>IF($C61="","",助理班表!AF6)</f>
        <v/>
      </c>
      <c r="H61" s="83">
        <f>IF($G61="","",IFERROR(IF(INDEX(設定!$D$6:$D$21,MATCH($G61,設定!$B$6:$B$21,0))=0,"",INDEX(設定!$D$6:$D$21,MATCH($G61,設定!$B$6:$B$21,0))),""))</f>
        <v/>
      </c>
      <c r="I61" s="83">
        <f>IF($G61="","",IFERROR(IF(INDEX(設定!$E$6:$E$21,MATCH($G61,設定!$B$6:$B$21,0))=0,"",INDEX(設定!$E$6:$E$21,MATCH($G61,設定!$B$6:$B$21,0))),""))</f>
        <v/>
      </c>
      <c r="J61" s="83">
        <f>IFERROR(INDEX(打卡匯入!$C$3:$C$2002,MATCH($C61&amp;"|"&amp;DAY($A61),打卡匯入!$E$3:$E$2002,0)),"")</f>
        <v/>
      </c>
      <c r="K61" s="83">
        <f>IFERROR(INDEX(打卡匯入!$D$3:$D$2002,MATCH($C61&amp;"|"&amp;DAY($A61),打卡匯入!$E$3:$E$2002,0)),"")</f>
        <v/>
      </c>
      <c r="L61" s="84">
        <f>IF(OR($J61="",$K61=""),"",IFERROR(INDEX(設定!$F$6:$F$21,MATCH($G61,設定!$B$6:$B$21,0)),0))</f>
        <v/>
      </c>
      <c r="M61" s="85">
        <f>IF(OR($J61="",$K61=""),"",ROUND(($K61-$J61)*24-$L61/60,2))</f>
        <v/>
      </c>
      <c r="N61" s="16">
        <f>IF($C61="","",IF(AND(COUNTIF(設定!$B$15:$B$21,$G61)&gt;0,$J61&lt;&gt;""),"假日出勤",IF(AND(COUNTIF(設定!$B$6:$B$14,$G61)&gt;0,$J61=""),"未打卡",IF($J61="","",IF($O61&gt;0,"遲到",IF($P61&gt;0,"早退","正常"))))))</f>
        <v/>
      </c>
      <c r="O61" s="84">
        <f>IF(OR($C61="",$H61="",$J61=""),0,IF(ROUND(($J61-$H61)*1440,0)&gt;設定!$C$46,ROUND(($J61-$H61)*1440,0),0))</f>
        <v/>
      </c>
      <c r="P61" s="84">
        <f>IF(OR($C61="",$I61="",$K61=""),0,IF(ROUND(($I61-$K61)*1440,0)&gt;設定!$C$46,ROUND(($I61-$K61)*1440,0),0))</f>
        <v/>
      </c>
      <c r="Q61" s="85">
        <f>IF($M61="",0,IF(($M61-IFERROR(INDEX(設定!$G$6:$G$21,MATCH($G61,設定!$B$6:$B$21,0)),0))*60&gt;=設定!$C$44,ROUND(FLOOR(($M61-IFERROR(INDEX(設定!$G$6:$G$21,MATCH($G61,設定!$B$6:$B$21,0)),0))*60,設定!$C$45)/60,2),0))</f>
        <v/>
      </c>
      <c r="R61" s="16">
        <f>IF(OR($C61="",$Q61=0),"",IF($G61="國","國定假日",IF($B61="日","例假",IF($B61="六","休息日","平日"))))</f>
        <v/>
      </c>
      <c r="S61" s="19" t="n"/>
    </row>
    <row r="62">
      <c r="A62" s="82">
        <f>IF(OR(助理班表!$A6="",29&gt;DAY(EOMONTH(DATE(設定!$C$2,設定!$D$2,1),0))),"",DATE(設定!$C$2,設定!$D$2,29))</f>
        <v/>
      </c>
      <c r="B62" s="16">
        <f>IF($A62="","",INDEX(設定!$O$6:$O$12,WEEKDAY($A62,1)))</f>
        <v/>
      </c>
      <c r="C62" s="16">
        <f>IF($A62="","",助理班表!$A6)</f>
        <v/>
      </c>
      <c r="D62" s="16">
        <f>IF($C62="","",助理班表!$B6)</f>
        <v/>
      </c>
      <c r="E62" s="16">
        <f>IF($C62="","",助理班表!$D6)</f>
        <v/>
      </c>
      <c r="F62" s="16">
        <f>IF($C62="","",助理班表!$C6)</f>
        <v/>
      </c>
      <c r="G62" s="16">
        <f>IF($C62="","",助理班表!AG6)</f>
        <v/>
      </c>
      <c r="H62" s="83">
        <f>IF($G62="","",IFERROR(IF(INDEX(設定!$D$6:$D$21,MATCH($G62,設定!$B$6:$B$21,0))=0,"",INDEX(設定!$D$6:$D$21,MATCH($G62,設定!$B$6:$B$21,0))),""))</f>
        <v/>
      </c>
      <c r="I62" s="83">
        <f>IF($G62="","",IFERROR(IF(INDEX(設定!$E$6:$E$21,MATCH($G62,設定!$B$6:$B$21,0))=0,"",INDEX(設定!$E$6:$E$21,MATCH($G62,設定!$B$6:$B$21,0))),""))</f>
        <v/>
      </c>
      <c r="J62" s="83">
        <f>IFERROR(INDEX(打卡匯入!$C$3:$C$2002,MATCH($C62&amp;"|"&amp;DAY($A62),打卡匯入!$E$3:$E$2002,0)),"")</f>
        <v/>
      </c>
      <c r="K62" s="83">
        <f>IFERROR(INDEX(打卡匯入!$D$3:$D$2002,MATCH($C62&amp;"|"&amp;DAY($A62),打卡匯入!$E$3:$E$2002,0)),"")</f>
        <v/>
      </c>
      <c r="L62" s="84">
        <f>IF(OR($J62="",$K62=""),"",IFERROR(INDEX(設定!$F$6:$F$21,MATCH($G62,設定!$B$6:$B$21,0)),0))</f>
        <v/>
      </c>
      <c r="M62" s="85">
        <f>IF(OR($J62="",$K62=""),"",ROUND(($K62-$J62)*24-$L62/60,2))</f>
        <v/>
      </c>
      <c r="N62" s="16">
        <f>IF($C62="","",IF(AND(COUNTIF(設定!$B$15:$B$21,$G62)&gt;0,$J62&lt;&gt;""),"假日出勤",IF(AND(COUNTIF(設定!$B$6:$B$14,$G62)&gt;0,$J62=""),"未打卡",IF($J62="","",IF($O62&gt;0,"遲到",IF($P62&gt;0,"早退","正常"))))))</f>
        <v/>
      </c>
      <c r="O62" s="84">
        <f>IF(OR($C62="",$H62="",$J62=""),0,IF(ROUND(($J62-$H62)*1440,0)&gt;設定!$C$46,ROUND(($J62-$H62)*1440,0),0))</f>
        <v/>
      </c>
      <c r="P62" s="84">
        <f>IF(OR($C62="",$I62="",$K62=""),0,IF(ROUND(($I62-$K62)*1440,0)&gt;設定!$C$46,ROUND(($I62-$K62)*1440,0),0))</f>
        <v/>
      </c>
      <c r="Q62" s="85">
        <f>IF($M62="",0,IF(($M62-IFERROR(INDEX(設定!$G$6:$G$21,MATCH($G62,設定!$B$6:$B$21,0)),0))*60&gt;=設定!$C$44,ROUND(FLOOR(($M62-IFERROR(INDEX(設定!$G$6:$G$21,MATCH($G62,設定!$B$6:$B$21,0)),0))*60,設定!$C$45)/60,2),0))</f>
        <v/>
      </c>
      <c r="R62" s="16">
        <f>IF(OR($C62="",$Q62=0),"",IF($G62="國","國定假日",IF($B62="日","例假",IF($B62="六","休息日","平日"))))</f>
        <v/>
      </c>
      <c r="S62" s="19" t="n"/>
    </row>
    <row r="63">
      <c r="A63" s="82">
        <f>IF(OR(助理班表!$A6="",30&gt;DAY(EOMONTH(DATE(設定!$C$2,設定!$D$2,1),0))),"",DATE(設定!$C$2,設定!$D$2,30))</f>
        <v/>
      </c>
      <c r="B63" s="16">
        <f>IF($A63="","",INDEX(設定!$O$6:$O$12,WEEKDAY($A63,1)))</f>
        <v/>
      </c>
      <c r="C63" s="16">
        <f>IF($A63="","",助理班表!$A6)</f>
        <v/>
      </c>
      <c r="D63" s="16">
        <f>IF($C63="","",助理班表!$B6)</f>
        <v/>
      </c>
      <c r="E63" s="16">
        <f>IF($C63="","",助理班表!$D6)</f>
        <v/>
      </c>
      <c r="F63" s="16">
        <f>IF($C63="","",助理班表!$C6)</f>
        <v/>
      </c>
      <c r="G63" s="16">
        <f>IF($C63="","",助理班表!AH6)</f>
        <v/>
      </c>
      <c r="H63" s="83">
        <f>IF($G63="","",IFERROR(IF(INDEX(設定!$D$6:$D$21,MATCH($G63,設定!$B$6:$B$21,0))=0,"",INDEX(設定!$D$6:$D$21,MATCH($G63,設定!$B$6:$B$21,0))),""))</f>
        <v/>
      </c>
      <c r="I63" s="83">
        <f>IF($G63="","",IFERROR(IF(INDEX(設定!$E$6:$E$21,MATCH($G63,設定!$B$6:$B$21,0))=0,"",INDEX(設定!$E$6:$E$21,MATCH($G63,設定!$B$6:$B$21,0))),""))</f>
        <v/>
      </c>
      <c r="J63" s="83">
        <f>IFERROR(INDEX(打卡匯入!$C$3:$C$2002,MATCH($C63&amp;"|"&amp;DAY($A63),打卡匯入!$E$3:$E$2002,0)),"")</f>
        <v/>
      </c>
      <c r="K63" s="83">
        <f>IFERROR(INDEX(打卡匯入!$D$3:$D$2002,MATCH($C63&amp;"|"&amp;DAY($A63),打卡匯入!$E$3:$E$2002,0)),"")</f>
        <v/>
      </c>
      <c r="L63" s="84">
        <f>IF(OR($J63="",$K63=""),"",IFERROR(INDEX(設定!$F$6:$F$21,MATCH($G63,設定!$B$6:$B$21,0)),0))</f>
        <v/>
      </c>
      <c r="M63" s="85">
        <f>IF(OR($J63="",$K63=""),"",ROUND(($K63-$J63)*24-$L63/60,2))</f>
        <v/>
      </c>
      <c r="N63" s="16">
        <f>IF($C63="","",IF(AND(COUNTIF(設定!$B$15:$B$21,$G63)&gt;0,$J63&lt;&gt;""),"假日出勤",IF(AND(COUNTIF(設定!$B$6:$B$14,$G63)&gt;0,$J63=""),"未打卡",IF($J63="","",IF($O63&gt;0,"遲到",IF($P63&gt;0,"早退","正常"))))))</f>
        <v/>
      </c>
      <c r="O63" s="84">
        <f>IF(OR($C63="",$H63="",$J63=""),0,IF(ROUND(($J63-$H63)*1440,0)&gt;設定!$C$46,ROUND(($J63-$H63)*1440,0),0))</f>
        <v/>
      </c>
      <c r="P63" s="84">
        <f>IF(OR($C63="",$I63="",$K63=""),0,IF(ROUND(($I63-$K63)*1440,0)&gt;設定!$C$46,ROUND(($I63-$K63)*1440,0),0))</f>
        <v/>
      </c>
      <c r="Q63" s="85">
        <f>IF($M63="",0,IF(($M63-IFERROR(INDEX(設定!$G$6:$G$21,MATCH($G63,設定!$B$6:$B$21,0)),0))*60&gt;=設定!$C$44,ROUND(FLOOR(($M63-IFERROR(INDEX(設定!$G$6:$G$21,MATCH($G63,設定!$B$6:$B$21,0)),0))*60,設定!$C$45)/60,2),0))</f>
        <v/>
      </c>
      <c r="R63" s="16">
        <f>IF(OR($C63="",$Q63=0),"",IF($G63="國","國定假日",IF($B63="日","例假",IF($B63="六","休息日","平日"))))</f>
        <v/>
      </c>
      <c r="S63" s="19" t="n"/>
    </row>
    <row r="64">
      <c r="A64" s="82">
        <f>IF(OR(助理班表!$A6="",31&gt;DAY(EOMONTH(DATE(設定!$C$2,設定!$D$2,1),0))),"",DATE(設定!$C$2,設定!$D$2,31))</f>
        <v/>
      </c>
      <c r="B64" s="16">
        <f>IF($A64="","",INDEX(設定!$O$6:$O$12,WEEKDAY($A64,1)))</f>
        <v/>
      </c>
      <c r="C64" s="16">
        <f>IF($A64="","",助理班表!$A6)</f>
        <v/>
      </c>
      <c r="D64" s="16">
        <f>IF($C64="","",助理班表!$B6)</f>
        <v/>
      </c>
      <c r="E64" s="16">
        <f>IF($C64="","",助理班表!$D6)</f>
        <v/>
      </c>
      <c r="F64" s="16">
        <f>IF($C64="","",助理班表!$C6)</f>
        <v/>
      </c>
      <c r="G64" s="16">
        <f>IF($C64="","",助理班表!AI6)</f>
        <v/>
      </c>
      <c r="H64" s="83">
        <f>IF($G64="","",IFERROR(IF(INDEX(設定!$D$6:$D$21,MATCH($G64,設定!$B$6:$B$21,0))=0,"",INDEX(設定!$D$6:$D$21,MATCH($G64,設定!$B$6:$B$21,0))),""))</f>
        <v/>
      </c>
      <c r="I64" s="83">
        <f>IF($G64="","",IFERROR(IF(INDEX(設定!$E$6:$E$21,MATCH($G64,設定!$B$6:$B$21,0))=0,"",INDEX(設定!$E$6:$E$21,MATCH($G64,設定!$B$6:$B$21,0))),""))</f>
        <v/>
      </c>
      <c r="J64" s="83">
        <f>IFERROR(INDEX(打卡匯入!$C$3:$C$2002,MATCH($C64&amp;"|"&amp;DAY($A64),打卡匯入!$E$3:$E$2002,0)),"")</f>
        <v/>
      </c>
      <c r="K64" s="83">
        <f>IFERROR(INDEX(打卡匯入!$D$3:$D$2002,MATCH($C64&amp;"|"&amp;DAY($A64),打卡匯入!$E$3:$E$2002,0)),"")</f>
        <v/>
      </c>
      <c r="L64" s="84">
        <f>IF(OR($J64="",$K64=""),"",IFERROR(INDEX(設定!$F$6:$F$21,MATCH($G64,設定!$B$6:$B$21,0)),0))</f>
        <v/>
      </c>
      <c r="M64" s="85">
        <f>IF(OR($J64="",$K64=""),"",ROUND(($K64-$J64)*24-$L64/60,2))</f>
        <v/>
      </c>
      <c r="N64" s="16">
        <f>IF($C64="","",IF(AND(COUNTIF(設定!$B$15:$B$21,$G64)&gt;0,$J64&lt;&gt;""),"假日出勤",IF(AND(COUNTIF(設定!$B$6:$B$14,$G64)&gt;0,$J64=""),"未打卡",IF($J64="","",IF($O64&gt;0,"遲到",IF($P64&gt;0,"早退","正常"))))))</f>
        <v/>
      </c>
      <c r="O64" s="84">
        <f>IF(OR($C64="",$H64="",$J64=""),0,IF(ROUND(($J64-$H64)*1440,0)&gt;設定!$C$46,ROUND(($J64-$H64)*1440,0),0))</f>
        <v/>
      </c>
      <c r="P64" s="84">
        <f>IF(OR($C64="",$I64="",$K64=""),0,IF(ROUND(($I64-$K64)*1440,0)&gt;設定!$C$46,ROUND(($I64-$K64)*1440,0),0))</f>
        <v/>
      </c>
      <c r="Q64" s="85">
        <f>IF($M64="",0,IF(($M64-IFERROR(INDEX(設定!$G$6:$G$21,MATCH($G64,設定!$B$6:$B$21,0)),0))*60&gt;=設定!$C$44,ROUND(FLOOR(($M64-IFERROR(INDEX(設定!$G$6:$G$21,MATCH($G64,設定!$B$6:$B$21,0)),0))*60,設定!$C$45)/60,2),0))</f>
        <v/>
      </c>
      <c r="R64" s="16">
        <f>IF(OR($C64="",$Q64=0),"",IF($G64="國","國定假日",IF($B64="日","例假",IF($B64="六","休息日","平日"))))</f>
        <v/>
      </c>
      <c r="S64" s="19" t="n"/>
    </row>
    <row r="65">
      <c r="A65" s="82">
        <f>IF(OR(助理班表!$A7="",1&gt;DAY(EOMONTH(DATE(設定!$C$2,設定!$D$2,1),0))),"",DATE(設定!$C$2,設定!$D$2,1))</f>
        <v/>
      </c>
      <c r="B65" s="16">
        <f>IF($A65="","",INDEX(設定!$O$6:$O$12,WEEKDAY($A65,1)))</f>
        <v/>
      </c>
      <c r="C65" s="16">
        <f>IF($A65="","",助理班表!$A7)</f>
        <v/>
      </c>
      <c r="D65" s="16">
        <f>IF($C65="","",助理班表!$B7)</f>
        <v/>
      </c>
      <c r="E65" s="16">
        <f>IF($C65="","",助理班表!$D7)</f>
        <v/>
      </c>
      <c r="F65" s="16">
        <f>IF($C65="","",助理班表!$C7)</f>
        <v/>
      </c>
      <c r="G65" s="16">
        <f>IF($C65="","",助理班表!E7)</f>
        <v/>
      </c>
      <c r="H65" s="83">
        <f>IF($G65="","",IFERROR(IF(INDEX(設定!$D$6:$D$21,MATCH($G65,設定!$B$6:$B$21,0))=0,"",INDEX(設定!$D$6:$D$21,MATCH($G65,設定!$B$6:$B$21,0))),""))</f>
        <v/>
      </c>
      <c r="I65" s="83">
        <f>IF($G65="","",IFERROR(IF(INDEX(設定!$E$6:$E$21,MATCH($G65,設定!$B$6:$B$21,0))=0,"",INDEX(設定!$E$6:$E$21,MATCH($G65,設定!$B$6:$B$21,0))),""))</f>
        <v/>
      </c>
      <c r="J65" s="83">
        <f>IFERROR(INDEX(打卡匯入!$C$3:$C$2002,MATCH($C65&amp;"|"&amp;DAY($A65),打卡匯入!$E$3:$E$2002,0)),"")</f>
        <v/>
      </c>
      <c r="K65" s="83">
        <f>IFERROR(INDEX(打卡匯入!$D$3:$D$2002,MATCH($C65&amp;"|"&amp;DAY($A65),打卡匯入!$E$3:$E$2002,0)),"")</f>
        <v/>
      </c>
      <c r="L65" s="84">
        <f>IF(OR($J65="",$K65=""),"",IFERROR(INDEX(設定!$F$6:$F$21,MATCH($G65,設定!$B$6:$B$21,0)),0))</f>
        <v/>
      </c>
      <c r="M65" s="85">
        <f>IF(OR($J65="",$K65=""),"",ROUND(($K65-$J65)*24-$L65/60,2))</f>
        <v/>
      </c>
      <c r="N65" s="16">
        <f>IF($C65="","",IF(AND(COUNTIF(設定!$B$15:$B$21,$G65)&gt;0,$J65&lt;&gt;""),"假日出勤",IF(AND(COUNTIF(設定!$B$6:$B$14,$G65)&gt;0,$J65=""),"未打卡",IF($J65="","",IF($O65&gt;0,"遲到",IF($P65&gt;0,"早退","正常"))))))</f>
        <v/>
      </c>
      <c r="O65" s="84">
        <f>IF(OR($C65="",$H65="",$J65=""),0,IF(ROUND(($J65-$H65)*1440,0)&gt;設定!$C$46,ROUND(($J65-$H65)*1440,0),0))</f>
        <v/>
      </c>
      <c r="P65" s="84">
        <f>IF(OR($C65="",$I65="",$K65=""),0,IF(ROUND(($I65-$K65)*1440,0)&gt;設定!$C$46,ROUND(($I65-$K65)*1440,0),0))</f>
        <v/>
      </c>
      <c r="Q65" s="85">
        <f>IF($M65="",0,IF(($M65-IFERROR(INDEX(設定!$G$6:$G$21,MATCH($G65,設定!$B$6:$B$21,0)),0))*60&gt;=設定!$C$44,ROUND(FLOOR(($M65-IFERROR(INDEX(設定!$G$6:$G$21,MATCH($G65,設定!$B$6:$B$21,0)),0))*60,設定!$C$45)/60,2),0))</f>
        <v/>
      </c>
      <c r="R65" s="16">
        <f>IF(OR($C65="",$Q65=0),"",IF($G65="國","國定假日",IF($B65="日","例假",IF($B65="六","休息日","平日"))))</f>
        <v/>
      </c>
      <c r="S65" s="19" t="n"/>
    </row>
    <row r="66">
      <c r="A66" s="82">
        <f>IF(OR(助理班表!$A7="",2&gt;DAY(EOMONTH(DATE(設定!$C$2,設定!$D$2,1),0))),"",DATE(設定!$C$2,設定!$D$2,2))</f>
        <v/>
      </c>
      <c r="B66" s="16">
        <f>IF($A66="","",INDEX(設定!$O$6:$O$12,WEEKDAY($A66,1)))</f>
        <v/>
      </c>
      <c r="C66" s="16">
        <f>IF($A66="","",助理班表!$A7)</f>
        <v/>
      </c>
      <c r="D66" s="16">
        <f>IF($C66="","",助理班表!$B7)</f>
        <v/>
      </c>
      <c r="E66" s="16">
        <f>IF($C66="","",助理班表!$D7)</f>
        <v/>
      </c>
      <c r="F66" s="16">
        <f>IF($C66="","",助理班表!$C7)</f>
        <v/>
      </c>
      <c r="G66" s="16">
        <f>IF($C66="","",助理班表!F7)</f>
        <v/>
      </c>
      <c r="H66" s="83">
        <f>IF($G66="","",IFERROR(IF(INDEX(設定!$D$6:$D$21,MATCH($G66,設定!$B$6:$B$21,0))=0,"",INDEX(設定!$D$6:$D$21,MATCH($G66,設定!$B$6:$B$21,0))),""))</f>
        <v/>
      </c>
      <c r="I66" s="83">
        <f>IF($G66="","",IFERROR(IF(INDEX(設定!$E$6:$E$21,MATCH($G66,設定!$B$6:$B$21,0))=0,"",INDEX(設定!$E$6:$E$21,MATCH($G66,設定!$B$6:$B$21,0))),""))</f>
        <v/>
      </c>
      <c r="J66" s="83">
        <f>IFERROR(INDEX(打卡匯入!$C$3:$C$2002,MATCH($C66&amp;"|"&amp;DAY($A66),打卡匯入!$E$3:$E$2002,0)),"")</f>
        <v/>
      </c>
      <c r="K66" s="83">
        <f>IFERROR(INDEX(打卡匯入!$D$3:$D$2002,MATCH($C66&amp;"|"&amp;DAY($A66),打卡匯入!$E$3:$E$2002,0)),"")</f>
        <v/>
      </c>
      <c r="L66" s="84">
        <f>IF(OR($J66="",$K66=""),"",IFERROR(INDEX(設定!$F$6:$F$21,MATCH($G66,設定!$B$6:$B$21,0)),0))</f>
        <v/>
      </c>
      <c r="M66" s="85">
        <f>IF(OR($J66="",$K66=""),"",ROUND(($K66-$J66)*24-$L66/60,2))</f>
        <v/>
      </c>
      <c r="N66" s="16">
        <f>IF($C66="","",IF(AND(COUNTIF(設定!$B$15:$B$21,$G66)&gt;0,$J66&lt;&gt;""),"假日出勤",IF(AND(COUNTIF(設定!$B$6:$B$14,$G66)&gt;0,$J66=""),"未打卡",IF($J66="","",IF($O66&gt;0,"遲到",IF($P66&gt;0,"早退","正常"))))))</f>
        <v/>
      </c>
      <c r="O66" s="84">
        <f>IF(OR($C66="",$H66="",$J66=""),0,IF(ROUND(($J66-$H66)*1440,0)&gt;設定!$C$46,ROUND(($J66-$H66)*1440,0),0))</f>
        <v/>
      </c>
      <c r="P66" s="84">
        <f>IF(OR($C66="",$I66="",$K66=""),0,IF(ROUND(($I66-$K66)*1440,0)&gt;設定!$C$46,ROUND(($I66-$K66)*1440,0),0))</f>
        <v/>
      </c>
      <c r="Q66" s="85">
        <f>IF($M66="",0,IF(($M66-IFERROR(INDEX(設定!$G$6:$G$21,MATCH($G66,設定!$B$6:$B$21,0)),0))*60&gt;=設定!$C$44,ROUND(FLOOR(($M66-IFERROR(INDEX(設定!$G$6:$G$21,MATCH($G66,設定!$B$6:$B$21,0)),0))*60,設定!$C$45)/60,2),0))</f>
        <v/>
      </c>
      <c r="R66" s="16">
        <f>IF(OR($C66="",$Q66=0),"",IF($G66="國","國定假日",IF($B66="日","例假",IF($B66="六","休息日","平日"))))</f>
        <v/>
      </c>
      <c r="S66" s="19" t="n"/>
    </row>
    <row r="67">
      <c r="A67" s="82">
        <f>IF(OR(助理班表!$A7="",3&gt;DAY(EOMONTH(DATE(設定!$C$2,設定!$D$2,1),0))),"",DATE(設定!$C$2,設定!$D$2,3))</f>
        <v/>
      </c>
      <c r="B67" s="16">
        <f>IF($A67="","",INDEX(設定!$O$6:$O$12,WEEKDAY($A67,1)))</f>
        <v/>
      </c>
      <c r="C67" s="16">
        <f>IF($A67="","",助理班表!$A7)</f>
        <v/>
      </c>
      <c r="D67" s="16">
        <f>IF($C67="","",助理班表!$B7)</f>
        <v/>
      </c>
      <c r="E67" s="16">
        <f>IF($C67="","",助理班表!$D7)</f>
        <v/>
      </c>
      <c r="F67" s="16">
        <f>IF($C67="","",助理班表!$C7)</f>
        <v/>
      </c>
      <c r="G67" s="16">
        <f>IF($C67="","",助理班表!G7)</f>
        <v/>
      </c>
      <c r="H67" s="83">
        <f>IF($G67="","",IFERROR(IF(INDEX(設定!$D$6:$D$21,MATCH($G67,設定!$B$6:$B$21,0))=0,"",INDEX(設定!$D$6:$D$21,MATCH($G67,設定!$B$6:$B$21,0))),""))</f>
        <v/>
      </c>
      <c r="I67" s="83">
        <f>IF($G67="","",IFERROR(IF(INDEX(設定!$E$6:$E$21,MATCH($G67,設定!$B$6:$B$21,0))=0,"",INDEX(設定!$E$6:$E$21,MATCH($G67,設定!$B$6:$B$21,0))),""))</f>
        <v/>
      </c>
      <c r="J67" s="83">
        <f>IFERROR(INDEX(打卡匯入!$C$3:$C$2002,MATCH($C67&amp;"|"&amp;DAY($A67),打卡匯入!$E$3:$E$2002,0)),"")</f>
        <v/>
      </c>
      <c r="K67" s="83">
        <f>IFERROR(INDEX(打卡匯入!$D$3:$D$2002,MATCH($C67&amp;"|"&amp;DAY($A67),打卡匯入!$E$3:$E$2002,0)),"")</f>
        <v/>
      </c>
      <c r="L67" s="84">
        <f>IF(OR($J67="",$K67=""),"",IFERROR(INDEX(設定!$F$6:$F$21,MATCH($G67,設定!$B$6:$B$21,0)),0))</f>
        <v/>
      </c>
      <c r="M67" s="85">
        <f>IF(OR($J67="",$K67=""),"",ROUND(($K67-$J67)*24-$L67/60,2))</f>
        <v/>
      </c>
      <c r="N67" s="16">
        <f>IF($C67="","",IF(AND(COUNTIF(設定!$B$15:$B$21,$G67)&gt;0,$J67&lt;&gt;""),"假日出勤",IF(AND(COUNTIF(設定!$B$6:$B$14,$G67)&gt;0,$J67=""),"未打卡",IF($J67="","",IF($O67&gt;0,"遲到",IF($P67&gt;0,"早退","正常"))))))</f>
        <v/>
      </c>
      <c r="O67" s="84">
        <f>IF(OR($C67="",$H67="",$J67=""),0,IF(ROUND(($J67-$H67)*1440,0)&gt;設定!$C$46,ROUND(($J67-$H67)*1440,0),0))</f>
        <v/>
      </c>
      <c r="P67" s="84">
        <f>IF(OR($C67="",$I67="",$K67=""),0,IF(ROUND(($I67-$K67)*1440,0)&gt;設定!$C$46,ROUND(($I67-$K67)*1440,0),0))</f>
        <v/>
      </c>
      <c r="Q67" s="85">
        <f>IF($M67="",0,IF(($M67-IFERROR(INDEX(設定!$G$6:$G$21,MATCH($G67,設定!$B$6:$B$21,0)),0))*60&gt;=設定!$C$44,ROUND(FLOOR(($M67-IFERROR(INDEX(設定!$G$6:$G$21,MATCH($G67,設定!$B$6:$B$21,0)),0))*60,設定!$C$45)/60,2),0))</f>
        <v/>
      </c>
      <c r="R67" s="16">
        <f>IF(OR($C67="",$Q67=0),"",IF($G67="國","國定假日",IF($B67="日","例假",IF($B67="六","休息日","平日"))))</f>
        <v/>
      </c>
      <c r="S67" s="19" t="n"/>
    </row>
    <row r="68">
      <c r="A68" s="82">
        <f>IF(OR(助理班表!$A7="",4&gt;DAY(EOMONTH(DATE(設定!$C$2,設定!$D$2,1),0))),"",DATE(設定!$C$2,設定!$D$2,4))</f>
        <v/>
      </c>
      <c r="B68" s="16">
        <f>IF($A68="","",INDEX(設定!$O$6:$O$12,WEEKDAY($A68,1)))</f>
        <v/>
      </c>
      <c r="C68" s="16">
        <f>IF($A68="","",助理班表!$A7)</f>
        <v/>
      </c>
      <c r="D68" s="16">
        <f>IF($C68="","",助理班表!$B7)</f>
        <v/>
      </c>
      <c r="E68" s="16">
        <f>IF($C68="","",助理班表!$D7)</f>
        <v/>
      </c>
      <c r="F68" s="16">
        <f>IF($C68="","",助理班表!$C7)</f>
        <v/>
      </c>
      <c r="G68" s="16">
        <f>IF($C68="","",助理班表!H7)</f>
        <v/>
      </c>
      <c r="H68" s="83">
        <f>IF($G68="","",IFERROR(IF(INDEX(設定!$D$6:$D$21,MATCH($G68,設定!$B$6:$B$21,0))=0,"",INDEX(設定!$D$6:$D$21,MATCH($G68,設定!$B$6:$B$21,0))),""))</f>
        <v/>
      </c>
      <c r="I68" s="83">
        <f>IF($G68="","",IFERROR(IF(INDEX(設定!$E$6:$E$21,MATCH($G68,設定!$B$6:$B$21,0))=0,"",INDEX(設定!$E$6:$E$21,MATCH($G68,設定!$B$6:$B$21,0))),""))</f>
        <v/>
      </c>
      <c r="J68" s="83">
        <f>IFERROR(INDEX(打卡匯入!$C$3:$C$2002,MATCH($C68&amp;"|"&amp;DAY($A68),打卡匯入!$E$3:$E$2002,0)),"")</f>
        <v/>
      </c>
      <c r="K68" s="83">
        <f>IFERROR(INDEX(打卡匯入!$D$3:$D$2002,MATCH($C68&amp;"|"&amp;DAY($A68),打卡匯入!$E$3:$E$2002,0)),"")</f>
        <v/>
      </c>
      <c r="L68" s="84">
        <f>IF(OR($J68="",$K68=""),"",IFERROR(INDEX(設定!$F$6:$F$21,MATCH($G68,設定!$B$6:$B$21,0)),0))</f>
        <v/>
      </c>
      <c r="M68" s="85">
        <f>IF(OR($J68="",$K68=""),"",ROUND(($K68-$J68)*24-$L68/60,2))</f>
        <v/>
      </c>
      <c r="N68" s="16">
        <f>IF($C68="","",IF(AND(COUNTIF(設定!$B$15:$B$21,$G68)&gt;0,$J68&lt;&gt;""),"假日出勤",IF(AND(COUNTIF(設定!$B$6:$B$14,$G68)&gt;0,$J68=""),"未打卡",IF($J68="","",IF($O68&gt;0,"遲到",IF($P68&gt;0,"早退","正常"))))))</f>
        <v/>
      </c>
      <c r="O68" s="84">
        <f>IF(OR($C68="",$H68="",$J68=""),0,IF(ROUND(($J68-$H68)*1440,0)&gt;設定!$C$46,ROUND(($J68-$H68)*1440,0),0))</f>
        <v/>
      </c>
      <c r="P68" s="84">
        <f>IF(OR($C68="",$I68="",$K68=""),0,IF(ROUND(($I68-$K68)*1440,0)&gt;設定!$C$46,ROUND(($I68-$K68)*1440,0),0))</f>
        <v/>
      </c>
      <c r="Q68" s="85">
        <f>IF($M68="",0,IF(($M68-IFERROR(INDEX(設定!$G$6:$G$21,MATCH($G68,設定!$B$6:$B$21,0)),0))*60&gt;=設定!$C$44,ROUND(FLOOR(($M68-IFERROR(INDEX(設定!$G$6:$G$21,MATCH($G68,設定!$B$6:$B$21,0)),0))*60,設定!$C$45)/60,2),0))</f>
        <v/>
      </c>
      <c r="R68" s="16">
        <f>IF(OR($C68="",$Q68=0),"",IF($G68="國","國定假日",IF($B68="日","例假",IF($B68="六","休息日","平日"))))</f>
        <v/>
      </c>
      <c r="S68" s="19" t="n"/>
    </row>
    <row r="69">
      <c r="A69" s="82">
        <f>IF(OR(助理班表!$A7="",5&gt;DAY(EOMONTH(DATE(設定!$C$2,設定!$D$2,1),0))),"",DATE(設定!$C$2,設定!$D$2,5))</f>
        <v/>
      </c>
      <c r="B69" s="16">
        <f>IF($A69="","",INDEX(設定!$O$6:$O$12,WEEKDAY($A69,1)))</f>
        <v/>
      </c>
      <c r="C69" s="16">
        <f>IF($A69="","",助理班表!$A7)</f>
        <v/>
      </c>
      <c r="D69" s="16">
        <f>IF($C69="","",助理班表!$B7)</f>
        <v/>
      </c>
      <c r="E69" s="16">
        <f>IF($C69="","",助理班表!$D7)</f>
        <v/>
      </c>
      <c r="F69" s="16">
        <f>IF($C69="","",助理班表!$C7)</f>
        <v/>
      </c>
      <c r="G69" s="16">
        <f>IF($C69="","",助理班表!I7)</f>
        <v/>
      </c>
      <c r="H69" s="83">
        <f>IF($G69="","",IFERROR(IF(INDEX(設定!$D$6:$D$21,MATCH($G69,設定!$B$6:$B$21,0))=0,"",INDEX(設定!$D$6:$D$21,MATCH($G69,設定!$B$6:$B$21,0))),""))</f>
        <v/>
      </c>
      <c r="I69" s="83">
        <f>IF($G69="","",IFERROR(IF(INDEX(設定!$E$6:$E$21,MATCH($G69,設定!$B$6:$B$21,0))=0,"",INDEX(設定!$E$6:$E$21,MATCH($G69,設定!$B$6:$B$21,0))),""))</f>
        <v/>
      </c>
      <c r="J69" s="83">
        <f>IFERROR(INDEX(打卡匯入!$C$3:$C$2002,MATCH($C69&amp;"|"&amp;DAY($A69),打卡匯入!$E$3:$E$2002,0)),"")</f>
        <v/>
      </c>
      <c r="K69" s="83">
        <f>IFERROR(INDEX(打卡匯入!$D$3:$D$2002,MATCH($C69&amp;"|"&amp;DAY($A69),打卡匯入!$E$3:$E$2002,0)),"")</f>
        <v/>
      </c>
      <c r="L69" s="84">
        <f>IF(OR($J69="",$K69=""),"",IFERROR(INDEX(設定!$F$6:$F$21,MATCH($G69,設定!$B$6:$B$21,0)),0))</f>
        <v/>
      </c>
      <c r="M69" s="85">
        <f>IF(OR($J69="",$K69=""),"",ROUND(($K69-$J69)*24-$L69/60,2))</f>
        <v/>
      </c>
      <c r="N69" s="16">
        <f>IF($C69="","",IF(AND(COUNTIF(設定!$B$15:$B$21,$G69)&gt;0,$J69&lt;&gt;""),"假日出勤",IF(AND(COUNTIF(設定!$B$6:$B$14,$G69)&gt;0,$J69=""),"未打卡",IF($J69="","",IF($O69&gt;0,"遲到",IF($P69&gt;0,"早退","正常"))))))</f>
        <v/>
      </c>
      <c r="O69" s="84">
        <f>IF(OR($C69="",$H69="",$J69=""),0,IF(ROUND(($J69-$H69)*1440,0)&gt;設定!$C$46,ROUND(($J69-$H69)*1440,0),0))</f>
        <v/>
      </c>
      <c r="P69" s="84">
        <f>IF(OR($C69="",$I69="",$K69=""),0,IF(ROUND(($I69-$K69)*1440,0)&gt;設定!$C$46,ROUND(($I69-$K69)*1440,0),0))</f>
        <v/>
      </c>
      <c r="Q69" s="85">
        <f>IF($M69="",0,IF(($M69-IFERROR(INDEX(設定!$G$6:$G$21,MATCH($G69,設定!$B$6:$B$21,0)),0))*60&gt;=設定!$C$44,ROUND(FLOOR(($M69-IFERROR(INDEX(設定!$G$6:$G$21,MATCH($G69,設定!$B$6:$B$21,0)),0))*60,設定!$C$45)/60,2),0))</f>
        <v/>
      </c>
      <c r="R69" s="16">
        <f>IF(OR($C69="",$Q69=0),"",IF($G69="國","國定假日",IF($B69="日","例假",IF($B69="六","休息日","平日"))))</f>
        <v/>
      </c>
      <c r="S69" s="19" t="n"/>
    </row>
    <row r="70">
      <c r="A70" s="82">
        <f>IF(OR(助理班表!$A7="",6&gt;DAY(EOMONTH(DATE(設定!$C$2,設定!$D$2,1),0))),"",DATE(設定!$C$2,設定!$D$2,6))</f>
        <v/>
      </c>
      <c r="B70" s="16">
        <f>IF($A70="","",INDEX(設定!$O$6:$O$12,WEEKDAY($A70,1)))</f>
        <v/>
      </c>
      <c r="C70" s="16">
        <f>IF($A70="","",助理班表!$A7)</f>
        <v/>
      </c>
      <c r="D70" s="16">
        <f>IF($C70="","",助理班表!$B7)</f>
        <v/>
      </c>
      <c r="E70" s="16">
        <f>IF($C70="","",助理班表!$D7)</f>
        <v/>
      </c>
      <c r="F70" s="16">
        <f>IF($C70="","",助理班表!$C7)</f>
        <v/>
      </c>
      <c r="G70" s="16">
        <f>IF($C70="","",助理班表!J7)</f>
        <v/>
      </c>
      <c r="H70" s="83">
        <f>IF($G70="","",IFERROR(IF(INDEX(設定!$D$6:$D$21,MATCH($G70,設定!$B$6:$B$21,0))=0,"",INDEX(設定!$D$6:$D$21,MATCH($G70,設定!$B$6:$B$21,0))),""))</f>
        <v/>
      </c>
      <c r="I70" s="83">
        <f>IF($G70="","",IFERROR(IF(INDEX(設定!$E$6:$E$21,MATCH($G70,設定!$B$6:$B$21,0))=0,"",INDEX(設定!$E$6:$E$21,MATCH($G70,設定!$B$6:$B$21,0))),""))</f>
        <v/>
      </c>
      <c r="J70" s="83">
        <f>IFERROR(INDEX(打卡匯入!$C$3:$C$2002,MATCH($C70&amp;"|"&amp;DAY($A70),打卡匯入!$E$3:$E$2002,0)),"")</f>
        <v/>
      </c>
      <c r="K70" s="83">
        <f>IFERROR(INDEX(打卡匯入!$D$3:$D$2002,MATCH($C70&amp;"|"&amp;DAY($A70),打卡匯入!$E$3:$E$2002,0)),"")</f>
        <v/>
      </c>
      <c r="L70" s="84">
        <f>IF(OR($J70="",$K70=""),"",IFERROR(INDEX(設定!$F$6:$F$21,MATCH($G70,設定!$B$6:$B$21,0)),0))</f>
        <v/>
      </c>
      <c r="M70" s="85">
        <f>IF(OR($J70="",$K70=""),"",ROUND(($K70-$J70)*24-$L70/60,2))</f>
        <v/>
      </c>
      <c r="N70" s="16">
        <f>IF($C70="","",IF(AND(COUNTIF(設定!$B$15:$B$21,$G70)&gt;0,$J70&lt;&gt;""),"假日出勤",IF(AND(COUNTIF(設定!$B$6:$B$14,$G70)&gt;0,$J70=""),"未打卡",IF($J70="","",IF($O70&gt;0,"遲到",IF($P70&gt;0,"早退","正常"))))))</f>
        <v/>
      </c>
      <c r="O70" s="84">
        <f>IF(OR($C70="",$H70="",$J70=""),0,IF(ROUND(($J70-$H70)*1440,0)&gt;設定!$C$46,ROUND(($J70-$H70)*1440,0),0))</f>
        <v/>
      </c>
      <c r="P70" s="84">
        <f>IF(OR($C70="",$I70="",$K70=""),0,IF(ROUND(($I70-$K70)*1440,0)&gt;設定!$C$46,ROUND(($I70-$K70)*1440,0),0))</f>
        <v/>
      </c>
      <c r="Q70" s="85">
        <f>IF($M70="",0,IF(($M70-IFERROR(INDEX(設定!$G$6:$G$21,MATCH($G70,設定!$B$6:$B$21,0)),0))*60&gt;=設定!$C$44,ROUND(FLOOR(($M70-IFERROR(INDEX(設定!$G$6:$G$21,MATCH($G70,設定!$B$6:$B$21,0)),0))*60,設定!$C$45)/60,2),0))</f>
        <v/>
      </c>
      <c r="R70" s="16">
        <f>IF(OR($C70="",$Q70=0),"",IF($G70="國","國定假日",IF($B70="日","例假",IF($B70="六","休息日","平日"))))</f>
        <v/>
      </c>
      <c r="S70" s="19" t="n"/>
    </row>
    <row r="71">
      <c r="A71" s="82">
        <f>IF(OR(助理班表!$A7="",7&gt;DAY(EOMONTH(DATE(設定!$C$2,設定!$D$2,1),0))),"",DATE(設定!$C$2,設定!$D$2,7))</f>
        <v/>
      </c>
      <c r="B71" s="16">
        <f>IF($A71="","",INDEX(設定!$O$6:$O$12,WEEKDAY($A71,1)))</f>
        <v/>
      </c>
      <c r="C71" s="16">
        <f>IF($A71="","",助理班表!$A7)</f>
        <v/>
      </c>
      <c r="D71" s="16">
        <f>IF($C71="","",助理班表!$B7)</f>
        <v/>
      </c>
      <c r="E71" s="16">
        <f>IF($C71="","",助理班表!$D7)</f>
        <v/>
      </c>
      <c r="F71" s="16">
        <f>IF($C71="","",助理班表!$C7)</f>
        <v/>
      </c>
      <c r="G71" s="16">
        <f>IF($C71="","",助理班表!K7)</f>
        <v/>
      </c>
      <c r="H71" s="83">
        <f>IF($G71="","",IFERROR(IF(INDEX(設定!$D$6:$D$21,MATCH($G71,設定!$B$6:$B$21,0))=0,"",INDEX(設定!$D$6:$D$21,MATCH($G71,設定!$B$6:$B$21,0))),""))</f>
        <v/>
      </c>
      <c r="I71" s="83">
        <f>IF($G71="","",IFERROR(IF(INDEX(設定!$E$6:$E$21,MATCH($G71,設定!$B$6:$B$21,0))=0,"",INDEX(設定!$E$6:$E$21,MATCH($G71,設定!$B$6:$B$21,0))),""))</f>
        <v/>
      </c>
      <c r="J71" s="83">
        <f>IFERROR(INDEX(打卡匯入!$C$3:$C$2002,MATCH($C71&amp;"|"&amp;DAY($A71),打卡匯入!$E$3:$E$2002,0)),"")</f>
        <v/>
      </c>
      <c r="K71" s="83">
        <f>IFERROR(INDEX(打卡匯入!$D$3:$D$2002,MATCH($C71&amp;"|"&amp;DAY($A71),打卡匯入!$E$3:$E$2002,0)),"")</f>
        <v/>
      </c>
      <c r="L71" s="84">
        <f>IF(OR($J71="",$K71=""),"",IFERROR(INDEX(設定!$F$6:$F$21,MATCH($G71,設定!$B$6:$B$21,0)),0))</f>
        <v/>
      </c>
      <c r="M71" s="85">
        <f>IF(OR($J71="",$K71=""),"",ROUND(($K71-$J71)*24-$L71/60,2))</f>
        <v/>
      </c>
      <c r="N71" s="16">
        <f>IF($C71="","",IF(AND(COUNTIF(設定!$B$15:$B$21,$G71)&gt;0,$J71&lt;&gt;""),"假日出勤",IF(AND(COUNTIF(設定!$B$6:$B$14,$G71)&gt;0,$J71=""),"未打卡",IF($J71="","",IF($O71&gt;0,"遲到",IF($P71&gt;0,"早退","正常"))))))</f>
        <v/>
      </c>
      <c r="O71" s="84">
        <f>IF(OR($C71="",$H71="",$J71=""),0,IF(ROUND(($J71-$H71)*1440,0)&gt;設定!$C$46,ROUND(($J71-$H71)*1440,0),0))</f>
        <v/>
      </c>
      <c r="P71" s="84">
        <f>IF(OR($C71="",$I71="",$K71=""),0,IF(ROUND(($I71-$K71)*1440,0)&gt;設定!$C$46,ROUND(($I71-$K71)*1440,0),0))</f>
        <v/>
      </c>
      <c r="Q71" s="85">
        <f>IF($M71="",0,IF(($M71-IFERROR(INDEX(設定!$G$6:$G$21,MATCH($G71,設定!$B$6:$B$21,0)),0))*60&gt;=設定!$C$44,ROUND(FLOOR(($M71-IFERROR(INDEX(設定!$G$6:$G$21,MATCH($G71,設定!$B$6:$B$21,0)),0))*60,設定!$C$45)/60,2),0))</f>
        <v/>
      </c>
      <c r="R71" s="16">
        <f>IF(OR($C71="",$Q71=0),"",IF($G71="國","國定假日",IF($B71="日","例假",IF($B71="六","休息日","平日"))))</f>
        <v/>
      </c>
      <c r="S71" s="19" t="n"/>
    </row>
    <row r="72">
      <c r="A72" s="82">
        <f>IF(OR(助理班表!$A7="",8&gt;DAY(EOMONTH(DATE(設定!$C$2,設定!$D$2,1),0))),"",DATE(設定!$C$2,設定!$D$2,8))</f>
        <v/>
      </c>
      <c r="B72" s="16">
        <f>IF($A72="","",INDEX(設定!$O$6:$O$12,WEEKDAY($A72,1)))</f>
        <v/>
      </c>
      <c r="C72" s="16">
        <f>IF($A72="","",助理班表!$A7)</f>
        <v/>
      </c>
      <c r="D72" s="16">
        <f>IF($C72="","",助理班表!$B7)</f>
        <v/>
      </c>
      <c r="E72" s="16">
        <f>IF($C72="","",助理班表!$D7)</f>
        <v/>
      </c>
      <c r="F72" s="16">
        <f>IF($C72="","",助理班表!$C7)</f>
        <v/>
      </c>
      <c r="G72" s="16">
        <f>IF($C72="","",助理班表!L7)</f>
        <v/>
      </c>
      <c r="H72" s="83">
        <f>IF($G72="","",IFERROR(IF(INDEX(設定!$D$6:$D$21,MATCH($G72,設定!$B$6:$B$21,0))=0,"",INDEX(設定!$D$6:$D$21,MATCH($G72,設定!$B$6:$B$21,0))),""))</f>
        <v/>
      </c>
      <c r="I72" s="83">
        <f>IF($G72="","",IFERROR(IF(INDEX(設定!$E$6:$E$21,MATCH($G72,設定!$B$6:$B$21,0))=0,"",INDEX(設定!$E$6:$E$21,MATCH($G72,設定!$B$6:$B$21,0))),""))</f>
        <v/>
      </c>
      <c r="J72" s="83">
        <f>IFERROR(INDEX(打卡匯入!$C$3:$C$2002,MATCH($C72&amp;"|"&amp;DAY($A72),打卡匯入!$E$3:$E$2002,0)),"")</f>
        <v/>
      </c>
      <c r="K72" s="83">
        <f>IFERROR(INDEX(打卡匯入!$D$3:$D$2002,MATCH($C72&amp;"|"&amp;DAY($A72),打卡匯入!$E$3:$E$2002,0)),"")</f>
        <v/>
      </c>
      <c r="L72" s="84">
        <f>IF(OR($J72="",$K72=""),"",IFERROR(INDEX(設定!$F$6:$F$21,MATCH($G72,設定!$B$6:$B$21,0)),0))</f>
        <v/>
      </c>
      <c r="M72" s="85">
        <f>IF(OR($J72="",$K72=""),"",ROUND(($K72-$J72)*24-$L72/60,2))</f>
        <v/>
      </c>
      <c r="N72" s="16">
        <f>IF($C72="","",IF(AND(COUNTIF(設定!$B$15:$B$21,$G72)&gt;0,$J72&lt;&gt;""),"假日出勤",IF(AND(COUNTIF(設定!$B$6:$B$14,$G72)&gt;0,$J72=""),"未打卡",IF($J72="","",IF($O72&gt;0,"遲到",IF($P72&gt;0,"早退","正常"))))))</f>
        <v/>
      </c>
      <c r="O72" s="84">
        <f>IF(OR($C72="",$H72="",$J72=""),0,IF(ROUND(($J72-$H72)*1440,0)&gt;設定!$C$46,ROUND(($J72-$H72)*1440,0),0))</f>
        <v/>
      </c>
      <c r="P72" s="84">
        <f>IF(OR($C72="",$I72="",$K72=""),0,IF(ROUND(($I72-$K72)*1440,0)&gt;設定!$C$46,ROUND(($I72-$K72)*1440,0),0))</f>
        <v/>
      </c>
      <c r="Q72" s="85">
        <f>IF($M72="",0,IF(($M72-IFERROR(INDEX(設定!$G$6:$G$21,MATCH($G72,設定!$B$6:$B$21,0)),0))*60&gt;=設定!$C$44,ROUND(FLOOR(($M72-IFERROR(INDEX(設定!$G$6:$G$21,MATCH($G72,設定!$B$6:$B$21,0)),0))*60,設定!$C$45)/60,2),0))</f>
        <v/>
      </c>
      <c r="R72" s="16">
        <f>IF(OR($C72="",$Q72=0),"",IF($G72="國","國定假日",IF($B72="日","例假",IF($B72="六","休息日","平日"))))</f>
        <v/>
      </c>
      <c r="S72" s="19" t="n"/>
    </row>
    <row r="73">
      <c r="A73" s="82">
        <f>IF(OR(助理班表!$A7="",9&gt;DAY(EOMONTH(DATE(設定!$C$2,設定!$D$2,1),0))),"",DATE(設定!$C$2,設定!$D$2,9))</f>
        <v/>
      </c>
      <c r="B73" s="16">
        <f>IF($A73="","",INDEX(設定!$O$6:$O$12,WEEKDAY($A73,1)))</f>
        <v/>
      </c>
      <c r="C73" s="16">
        <f>IF($A73="","",助理班表!$A7)</f>
        <v/>
      </c>
      <c r="D73" s="16">
        <f>IF($C73="","",助理班表!$B7)</f>
        <v/>
      </c>
      <c r="E73" s="16">
        <f>IF($C73="","",助理班表!$D7)</f>
        <v/>
      </c>
      <c r="F73" s="16">
        <f>IF($C73="","",助理班表!$C7)</f>
        <v/>
      </c>
      <c r="G73" s="16">
        <f>IF($C73="","",助理班表!M7)</f>
        <v/>
      </c>
      <c r="H73" s="83">
        <f>IF($G73="","",IFERROR(IF(INDEX(設定!$D$6:$D$21,MATCH($G73,設定!$B$6:$B$21,0))=0,"",INDEX(設定!$D$6:$D$21,MATCH($G73,設定!$B$6:$B$21,0))),""))</f>
        <v/>
      </c>
      <c r="I73" s="83">
        <f>IF($G73="","",IFERROR(IF(INDEX(設定!$E$6:$E$21,MATCH($G73,設定!$B$6:$B$21,0))=0,"",INDEX(設定!$E$6:$E$21,MATCH($G73,設定!$B$6:$B$21,0))),""))</f>
        <v/>
      </c>
      <c r="J73" s="83">
        <f>IFERROR(INDEX(打卡匯入!$C$3:$C$2002,MATCH($C73&amp;"|"&amp;DAY($A73),打卡匯入!$E$3:$E$2002,0)),"")</f>
        <v/>
      </c>
      <c r="K73" s="83">
        <f>IFERROR(INDEX(打卡匯入!$D$3:$D$2002,MATCH($C73&amp;"|"&amp;DAY($A73),打卡匯入!$E$3:$E$2002,0)),"")</f>
        <v/>
      </c>
      <c r="L73" s="84">
        <f>IF(OR($J73="",$K73=""),"",IFERROR(INDEX(設定!$F$6:$F$21,MATCH($G73,設定!$B$6:$B$21,0)),0))</f>
        <v/>
      </c>
      <c r="M73" s="85">
        <f>IF(OR($J73="",$K73=""),"",ROUND(($K73-$J73)*24-$L73/60,2))</f>
        <v/>
      </c>
      <c r="N73" s="16">
        <f>IF($C73="","",IF(AND(COUNTIF(設定!$B$15:$B$21,$G73)&gt;0,$J73&lt;&gt;""),"假日出勤",IF(AND(COUNTIF(設定!$B$6:$B$14,$G73)&gt;0,$J73=""),"未打卡",IF($J73="","",IF($O73&gt;0,"遲到",IF($P73&gt;0,"早退","正常"))))))</f>
        <v/>
      </c>
      <c r="O73" s="84">
        <f>IF(OR($C73="",$H73="",$J73=""),0,IF(ROUND(($J73-$H73)*1440,0)&gt;設定!$C$46,ROUND(($J73-$H73)*1440,0),0))</f>
        <v/>
      </c>
      <c r="P73" s="84">
        <f>IF(OR($C73="",$I73="",$K73=""),0,IF(ROUND(($I73-$K73)*1440,0)&gt;設定!$C$46,ROUND(($I73-$K73)*1440,0),0))</f>
        <v/>
      </c>
      <c r="Q73" s="85">
        <f>IF($M73="",0,IF(($M73-IFERROR(INDEX(設定!$G$6:$G$21,MATCH($G73,設定!$B$6:$B$21,0)),0))*60&gt;=設定!$C$44,ROUND(FLOOR(($M73-IFERROR(INDEX(設定!$G$6:$G$21,MATCH($G73,設定!$B$6:$B$21,0)),0))*60,設定!$C$45)/60,2),0))</f>
        <v/>
      </c>
      <c r="R73" s="16">
        <f>IF(OR($C73="",$Q73=0),"",IF($G73="國","國定假日",IF($B73="日","例假",IF($B73="六","休息日","平日"))))</f>
        <v/>
      </c>
      <c r="S73" s="19" t="n"/>
    </row>
    <row r="74">
      <c r="A74" s="82">
        <f>IF(OR(助理班表!$A7="",10&gt;DAY(EOMONTH(DATE(設定!$C$2,設定!$D$2,1),0))),"",DATE(設定!$C$2,設定!$D$2,10))</f>
        <v/>
      </c>
      <c r="B74" s="16">
        <f>IF($A74="","",INDEX(設定!$O$6:$O$12,WEEKDAY($A74,1)))</f>
        <v/>
      </c>
      <c r="C74" s="16">
        <f>IF($A74="","",助理班表!$A7)</f>
        <v/>
      </c>
      <c r="D74" s="16">
        <f>IF($C74="","",助理班表!$B7)</f>
        <v/>
      </c>
      <c r="E74" s="16">
        <f>IF($C74="","",助理班表!$D7)</f>
        <v/>
      </c>
      <c r="F74" s="16">
        <f>IF($C74="","",助理班表!$C7)</f>
        <v/>
      </c>
      <c r="G74" s="16">
        <f>IF($C74="","",助理班表!N7)</f>
        <v/>
      </c>
      <c r="H74" s="83">
        <f>IF($G74="","",IFERROR(IF(INDEX(設定!$D$6:$D$21,MATCH($G74,設定!$B$6:$B$21,0))=0,"",INDEX(設定!$D$6:$D$21,MATCH($G74,設定!$B$6:$B$21,0))),""))</f>
        <v/>
      </c>
      <c r="I74" s="83">
        <f>IF($G74="","",IFERROR(IF(INDEX(設定!$E$6:$E$21,MATCH($G74,設定!$B$6:$B$21,0))=0,"",INDEX(設定!$E$6:$E$21,MATCH($G74,設定!$B$6:$B$21,0))),""))</f>
        <v/>
      </c>
      <c r="J74" s="83">
        <f>IFERROR(INDEX(打卡匯入!$C$3:$C$2002,MATCH($C74&amp;"|"&amp;DAY($A74),打卡匯入!$E$3:$E$2002,0)),"")</f>
        <v/>
      </c>
      <c r="K74" s="83">
        <f>IFERROR(INDEX(打卡匯入!$D$3:$D$2002,MATCH($C74&amp;"|"&amp;DAY($A74),打卡匯入!$E$3:$E$2002,0)),"")</f>
        <v/>
      </c>
      <c r="L74" s="84">
        <f>IF(OR($J74="",$K74=""),"",IFERROR(INDEX(設定!$F$6:$F$21,MATCH($G74,設定!$B$6:$B$21,0)),0))</f>
        <v/>
      </c>
      <c r="M74" s="85">
        <f>IF(OR($J74="",$K74=""),"",ROUND(($K74-$J74)*24-$L74/60,2))</f>
        <v/>
      </c>
      <c r="N74" s="16">
        <f>IF($C74="","",IF(AND(COUNTIF(設定!$B$15:$B$21,$G74)&gt;0,$J74&lt;&gt;""),"假日出勤",IF(AND(COUNTIF(設定!$B$6:$B$14,$G74)&gt;0,$J74=""),"未打卡",IF($J74="","",IF($O74&gt;0,"遲到",IF($P74&gt;0,"早退","正常"))))))</f>
        <v/>
      </c>
      <c r="O74" s="84">
        <f>IF(OR($C74="",$H74="",$J74=""),0,IF(ROUND(($J74-$H74)*1440,0)&gt;設定!$C$46,ROUND(($J74-$H74)*1440,0),0))</f>
        <v/>
      </c>
      <c r="P74" s="84">
        <f>IF(OR($C74="",$I74="",$K74=""),0,IF(ROUND(($I74-$K74)*1440,0)&gt;設定!$C$46,ROUND(($I74-$K74)*1440,0),0))</f>
        <v/>
      </c>
      <c r="Q74" s="85">
        <f>IF($M74="",0,IF(($M74-IFERROR(INDEX(設定!$G$6:$G$21,MATCH($G74,設定!$B$6:$B$21,0)),0))*60&gt;=設定!$C$44,ROUND(FLOOR(($M74-IFERROR(INDEX(設定!$G$6:$G$21,MATCH($G74,設定!$B$6:$B$21,0)),0))*60,設定!$C$45)/60,2),0))</f>
        <v/>
      </c>
      <c r="R74" s="16">
        <f>IF(OR($C74="",$Q74=0),"",IF($G74="國","國定假日",IF($B74="日","例假",IF($B74="六","休息日","平日"))))</f>
        <v/>
      </c>
      <c r="S74" s="19" t="n"/>
    </row>
    <row r="75">
      <c r="A75" s="82">
        <f>IF(OR(助理班表!$A7="",11&gt;DAY(EOMONTH(DATE(設定!$C$2,設定!$D$2,1),0))),"",DATE(設定!$C$2,設定!$D$2,11))</f>
        <v/>
      </c>
      <c r="B75" s="16">
        <f>IF($A75="","",INDEX(設定!$O$6:$O$12,WEEKDAY($A75,1)))</f>
        <v/>
      </c>
      <c r="C75" s="16">
        <f>IF($A75="","",助理班表!$A7)</f>
        <v/>
      </c>
      <c r="D75" s="16">
        <f>IF($C75="","",助理班表!$B7)</f>
        <v/>
      </c>
      <c r="E75" s="16">
        <f>IF($C75="","",助理班表!$D7)</f>
        <v/>
      </c>
      <c r="F75" s="16">
        <f>IF($C75="","",助理班表!$C7)</f>
        <v/>
      </c>
      <c r="G75" s="16">
        <f>IF($C75="","",助理班表!O7)</f>
        <v/>
      </c>
      <c r="H75" s="83">
        <f>IF($G75="","",IFERROR(IF(INDEX(設定!$D$6:$D$21,MATCH($G75,設定!$B$6:$B$21,0))=0,"",INDEX(設定!$D$6:$D$21,MATCH($G75,設定!$B$6:$B$21,0))),""))</f>
        <v/>
      </c>
      <c r="I75" s="83">
        <f>IF($G75="","",IFERROR(IF(INDEX(設定!$E$6:$E$21,MATCH($G75,設定!$B$6:$B$21,0))=0,"",INDEX(設定!$E$6:$E$21,MATCH($G75,設定!$B$6:$B$21,0))),""))</f>
        <v/>
      </c>
      <c r="J75" s="83">
        <f>IFERROR(INDEX(打卡匯入!$C$3:$C$2002,MATCH($C75&amp;"|"&amp;DAY($A75),打卡匯入!$E$3:$E$2002,0)),"")</f>
        <v/>
      </c>
      <c r="K75" s="83">
        <f>IFERROR(INDEX(打卡匯入!$D$3:$D$2002,MATCH($C75&amp;"|"&amp;DAY($A75),打卡匯入!$E$3:$E$2002,0)),"")</f>
        <v/>
      </c>
      <c r="L75" s="84">
        <f>IF(OR($J75="",$K75=""),"",IFERROR(INDEX(設定!$F$6:$F$21,MATCH($G75,設定!$B$6:$B$21,0)),0))</f>
        <v/>
      </c>
      <c r="M75" s="85">
        <f>IF(OR($J75="",$K75=""),"",ROUND(($K75-$J75)*24-$L75/60,2))</f>
        <v/>
      </c>
      <c r="N75" s="16">
        <f>IF($C75="","",IF(AND(COUNTIF(設定!$B$15:$B$21,$G75)&gt;0,$J75&lt;&gt;""),"假日出勤",IF(AND(COUNTIF(設定!$B$6:$B$14,$G75)&gt;0,$J75=""),"未打卡",IF($J75="","",IF($O75&gt;0,"遲到",IF($P75&gt;0,"早退","正常"))))))</f>
        <v/>
      </c>
      <c r="O75" s="84">
        <f>IF(OR($C75="",$H75="",$J75=""),0,IF(ROUND(($J75-$H75)*1440,0)&gt;設定!$C$46,ROUND(($J75-$H75)*1440,0),0))</f>
        <v/>
      </c>
      <c r="P75" s="84">
        <f>IF(OR($C75="",$I75="",$K75=""),0,IF(ROUND(($I75-$K75)*1440,0)&gt;設定!$C$46,ROUND(($I75-$K75)*1440,0),0))</f>
        <v/>
      </c>
      <c r="Q75" s="85">
        <f>IF($M75="",0,IF(($M75-IFERROR(INDEX(設定!$G$6:$G$21,MATCH($G75,設定!$B$6:$B$21,0)),0))*60&gt;=設定!$C$44,ROUND(FLOOR(($M75-IFERROR(INDEX(設定!$G$6:$G$21,MATCH($G75,設定!$B$6:$B$21,0)),0))*60,設定!$C$45)/60,2),0))</f>
        <v/>
      </c>
      <c r="R75" s="16">
        <f>IF(OR($C75="",$Q75=0),"",IF($G75="國","國定假日",IF($B75="日","例假",IF($B75="六","休息日","平日"))))</f>
        <v/>
      </c>
      <c r="S75" s="19" t="n"/>
    </row>
    <row r="76">
      <c r="A76" s="82">
        <f>IF(OR(助理班表!$A7="",12&gt;DAY(EOMONTH(DATE(設定!$C$2,設定!$D$2,1),0))),"",DATE(設定!$C$2,設定!$D$2,12))</f>
        <v/>
      </c>
      <c r="B76" s="16">
        <f>IF($A76="","",INDEX(設定!$O$6:$O$12,WEEKDAY($A76,1)))</f>
        <v/>
      </c>
      <c r="C76" s="16">
        <f>IF($A76="","",助理班表!$A7)</f>
        <v/>
      </c>
      <c r="D76" s="16">
        <f>IF($C76="","",助理班表!$B7)</f>
        <v/>
      </c>
      <c r="E76" s="16">
        <f>IF($C76="","",助理班表!$D7)</f>
        <v/>
      </c>
      <c r="F76" s="16">
        <f>IF($C76="","",助理班表!$C7)</f>
        <v/>
      </c>
      <c r="G76" s="16">
        <f>IF($C76="","",助理班表!P7)</f>
        <v/>
      </c>
      <c r="H76" s="83">
        <f>IF($G76="","",IFERROR(IF(INDEX(設定!$D$6:$D$21,MATCH($G76,設定!$B$6:$B$21,0))=0,"",INDEX(設定!$D$6:$D$21,MATCH($G76,設定!$B$6:$B$21,0))),""))</f>
        <v/>
      </c>
      <c r="I76" s="83">
        <f>IF($G76="","",IFERROR(IF(INDEX(設定!$E$6:$E$21,MATCH($G76,設定!$B$6:$B$21,0))=0,"",INDEX(設定!$E$6:$E$21,MATCH($G76,設定!$B$6:$B$21,0))),""))</f>
        <v/>
      </c>
      <c r="J76" s="83">
        <f>IFERROR(INDEX(打卡匯入!$C$3:$C$2002,MATCH($C76&amp;"|"&amp;DAY($A76),打卡匯入!$E$3:$E$2002,0)),"")</f>
        <v/>
      </c>
      <c r="K76" s="83">
        <f>IFERROR(INDEX(打卡匯入!$D$3:$D$2002,MATCH($C76&amp;"|"&amp;DAY($A76),打卡匯入!$E$3:$E$2002,0)),"")</f>
        <v/>
      </c>
      <c r="L76" s="84">
        <f>IF(OR($J76="",$K76=""),"",IFERROR(INDEX(設定!$F$6:$F$21,MATCH($G76,設定!$B$6:$B$21,0)),0))</f>
        <v/>
      </c>
      <c r="M76" s="85">
        <f>IF(OR($J76="",$K76=""),"",ROUND(($K76-$J76)*24-$L76/60,2))</f>
        <v/>
      </c>
      <c r="N76" s="16">
        <f>IF($C76="","",IF(AND(COUNTIF(設定!$B$15:$B$21,$G76)&gt;0,$J76&lt;&gt;""),"假日出勤",IF(AND(COUNTIF(設定!$B$6:$B$14,$G76)&gt;0,$J76=""),"未打卡",IF($J76="","",IF($O76&gt;0,"遲到",IF($P76&gt;0,"早退","正常"))))))</f>
        <v/>
      </c>
      <c r="O76" s="84">
        <f>IF(OR($C76="",$H76="",$J76=""),0,IF(ROUND(($J76-$H76)*1440,0)&gt;設定!$C$46,ROUND(($J76-$H76)*1440,0),0))</f>
        <v/>
      </c>
      <c r="P76" s="84">
        <f>IF(OR($C76="",$I76="",$K76=""),0,IF(ROUND(($I76-$K76)*1440,0)&gt;設定!$C$46,ROUND(($I76-$K76)*1440,0),0))</f>
        <v/>
      </c>
      <c r="Q76" s="85">
        <f>IF($M76="",0,IF(($M76-IFERROR(INDEX(設定!$G$6:$G$21,MATCH($G76,設定!$B$6:$B$21,0)),0))*60&gt;=設定!$C$44,ROUND(FLOOR(($M76-IFERROR(INDEX(設定!$G$6:$G$21,MATCH($G76,設定!$B$6:$B$21,0)),0))*60,設定!$C$45)/60,2),0))</f>
        <v/>
      </c>
      <c r="R76" s="16">
        <f>IF(OR($C76="",$Q76=0),"",IF($G76="國","國定假日",IF($B76="日","例假",IF($B76="六","休息日","平日"))))</f>
        <v/>
      </c>
      <c r="S76" s="19" t="n"/>
    </row>
    <row r="77">
      <c r="A77" s="82">
        <f>IF(OR(助理班表!$A7="",13&gt;DAY(EOMONTH(DATE(設定!$C$2,設定!$D$2,1),0))),"",DATE(設定!$C$2,設定!$D$2,13))</f>
        <v/>
      </c>
      <c r="B77" s="16">
        <f>IF($A77="","",INDEX(設定!$O$6:$O$12,WEEKDAY($A77,1)))</f>
        <v/>
      </c>
      <c r="C77" s="16">
        <f>IF($A77="","",助理班表!$A7)</f>
        <v/>
      </c>
      <c r="D77" s="16">
        <f>IF($C77="","",助理班表!$B7)</f>
        <v/>
      </c>
      <c r="E77" s="16">
        <f>IF($C77="","",助理班表!$D7)</f>
        <v/>
      </c>
      <c r="F77" s="16">
        <f>IF($C77="","",助理班表!$C7)</f>
        <v/>
      </c>
      <c r="G77" s="16">
        <f>IF($C77="","",助理班表!Q7)</f>
        <v/>
      </c>
      <c r="H77" s="83">
        <f>IF($G77="","",IFERROR(IF(INDEX(設定!$D$6:$D$21,MATCH($G77,設定!$B$6:$B$21,0))=0,"",INDEX(設定!$D$6:$D$21,MATCH($G77,設定!$B$6:$B$21,0))),""))</f>
        <v/>
      </c>
      <c r="I77" s="83">
        <f>IF($G77="","",IFERROR(IF(INDEX(設定!$E$6:$E$21,MATCH($G77,設定!$B$6:$B$21,0))=0,"",INDEX(設定!$E$6:$E$21,MATCH($G77,設定!$B$6:$B$21,0))),""))</f>
        <v/>
      </c>
      <c r="J77" s="83">
        <f>IFERROR(INDEX(打卡匯入!$C$3:$C$2002,MATCH($C77&amp;"|"&amp;DAY($A77),打卡匯入!$E$3:$E$2002,0)),"")</f>
        <v/>
      </c>
      <c r="K77" s="83">
        <f>IFERROR(INDEX(打卡匯入!$D$3:$D$2002,MATCH($C77&amp;"|"&amp;DAY($A77),打卡匯入!$E$3:$E$2002,0)),"")</f>
        <v/>
      </c>
      <c r="L77" s="84">
        <f>IF(OR($J77="",$K77=""),"",IFERROR(INDEX(設定!$F$6:$F$21,MATCH($G77,設定!$B$6:$B$21,0)),0))</f>
        <v/>
      </c>
      <c r="M77" s="85">
        <f>IF(OR($J77="",$K77=""),"",ROUND(($K77-$J77)*24-$L77/60,2))</f>
        <v/>
      </c>
      <c r="N77" s="16">
        <f>IF($C77="","",IF(AND(COUNTIF(設定!$B$15:$B$21,$G77)&gt;0,$J77&lt;&gt;""),"假日出勤",IF(AND(COUNTIF(設定!$B$6:$B$14,$G77)&gt;0,$J77=""),"未打卡",IF($J77="","",IF($O77&gt;0,"遲到",IF($P77&gt;0,"早退","正常"))))))</f>
        <v/>
      </c>
      <c r="O77" s="84">
        <f>IF(OR($C77="",$H77="",$J77=""),0,IF(ROUND(($J77-$H77)*1440,0)&gt;設定!$C$46,ROUND(($J77-$H77)*1440,0),0))</f>
        <v/>
      </c>
      <c r="P77" s="84">
        <f>IF(OR($C77="",$I77="",$K77=""),0,IF(ROUND(($I77-$K77)*1440,0)&gt;設定!$C$46,ROUND(($I77-$K77)*1440,0),0))</f>
        <v/>
      </c>
      <c r="Q77" s="85">
        <f>IF($M77="",0,IF(($M77-IFERROR(INDEX(設定!$G$6:$G$21,MATCH($G77,設定!$B$6:$B$21,0)),0))*60&gt;=設定!$C$44,ROUND(FLOOR(($M77-IFERROR(INDEX(設定!$G$6:$G$21,MATCH($G77,設定!$B$6:$B$21,0)),0))*60,設定!$C$45)/60,2),0))</f>
        <v/>
      </c>
      <c r="R77" s="16">
        <f>IF(OR($C77="",$Q77=0),"",IF($G77="國","國定假日",IF($B77="日","例假",IF($B77="六","休息日","平日"))))</f>
        <v/>
      </c>
      <c r="S77" s="19" t="n"/>
    </row>
    <row r="78">
      <c r="A78" s="82">
        <f>IF(OR(助理班表!$A7="",14&gt;DAY(EOMONTH(DATE(設定!$C$2,設定!$D$2,1),0))),"",DATE(設定!$C$2,設定!$D$2,14))</f>
        <v/>
      </c>
      <c r="B78" s="16">
        <f>IF($A78="","",INDEX(設定!$O$6:$O$12,WEEKDAY($A78,1)))</f>
        <v/>
      </c>
      <c r="C78" s="16">
        <f>IF($A78="","",助理班表!$A7)</f>
        <v/>
      </c>
      <c r="D78" s="16">
        <f>IF($C78="","",助理班表!$B7)</f>
        <v/>
      </c>
      <c r="E78" s="16">
        <f>IF($C78="","",助理班表!$D7)</f>
        <v/>
      </c>
      <c r="F78" s="16">
        <f>IF($C78="","",助理班表!$C7)</f>
        <v/>
      </c>
      <c r="G78" s="16">
        <f>IF($C78="","",助理班表!R7)</f>
        <v/>
      </c>
      <c r="H78" s="83">
        <f>IF($G78="","",IFERROR(IF(INDEX(設定!$D$6:$D$21,MATCH($G78,設定!$B$6:$B$21,0))=0,"",INDEX(設定!$D$6:$D$21,MATCH($G78,設定!$B$6:$B$21,0))),""))</f>
        <v/>
      </c>
      <c r="I78" s="83">
        <f>IF($G78="","",IFERROR(IF(INDEX(設定!$E$6:$E$21,MATCH($G78,設定!$B$6:$B$21,0))=0,"",INDEX(設定!$E$6:$E$21,MATCH($G78,設定!$B$6:$B$21,0))),""))</f>
        <v/>
      </c>
      <c r="J78" s="83">
        <f>IFERROR(INDEX(打卡匯入!$C$3:$C$2002,MATCH($C78&amp;"|"&amp;DAY($A78),打卡匯入!$E$3:$E$2002,0)),"")</f>
        <v/>
      </c>
      <c r="K78" s="83">
        <f>IFERROR(INDEX(打卡匯入!$D$3:$D$2002,MATCH($C78&amp;"|"&amp;DAY($A78),打卡匯入!$E$3:$E$2002,0)),"")</f>
        <v/>
      </c>
      <c r="L78" s="84">
        <f>IF(OR($J78="",$K78=""),"",IFERROR(INDEX(設定!$F$6:$F$21,MATCH($G78,設定!$B$6:$B$21,0)),0))</f>
        <v/>
      </c>
      <c r="M78" s="85">
        <f>IF(OR($J78="",$K78=""),"",ROUND(($K78-$J78)*24-$L78/60,2))</f>
        <v/>
      </c>
      <c r="N78" s="16">
        <f>IF($C78="","",IF(AND(COUNTIF(設定!$B$15:$B$21,$G78)&gt;0,$J78&lt;&gt;""),"假日出勤",IF(AND(COUNTIF(設定!$B$6:$B$14,$G78)&gt;0,$J78=""),"未打卡",IF($J78="","",IF($O78&gt;0,"遲到",IF($P78&gt;0,"早退","正常"))))))</f>
        <v/>
      </c>
      <c r="O78" s="84">
        <f>IF(OR($C78="",$H78="",$J78=""),0,IF(ROUND(($J78-$H78)*1440,0)&gt;設定!$C$46,ROUND(($J78-$H78)*1440,0),0))</f>
        <v/>
      </c>
      <c r="P78" s="84">
        <f>IF(OR($C78="",$I78="",$K78=""),0,IF(ROUND(($I78-$K78)*1440,0)&gt;設定!$C$46,ROUND(($I78-$K78)*1440,0),0))</f>
        <v/>
      </c>
      <c r="Q78" s="85">
        <f>IF($M78="",0,IF(($M78-IFERROR(INDEX(設定!$G$6:$G$21,MATCH($G78,設定!$B$6:$B$21,0)),0))*60&gt;=設定!$C$44,ROUND(FLOOR(($M78-IFERROR(INDEX(設定!$G$6:$G$21,MATCH($G78,設定!$B$6:$B$21,0)),0))*60,設定!$C$45)/60,2),0))</f>
        <v/>
      </c>
      <c r="R78" s="16">
        <f>IF(OR($C78="",$Q78=0),"",IF($G78="國","國定假日",IF($B78="日","例假",IF($B78="六","休息日","平日"))))</f>
        <v/>
      </c>
      <c r="S78" s="19" t="n"/>
    </row>
    <row r="79">
      <c r="A79" s="82">
        <f>IF(OR(助理班表!$A7="",15&gt;DAY(EOMONTH(DATE(設定!$C$2,設定!$D$2,1),0))),"",DATE(設定!$C$2,設定!$D$2,15))</f>
        <v/>
      </c>
      <c r="B79" s="16">
        <f>IF($A79="","",INDEX(設定!$O$6:$O$12,WEEKDAY($A79,1)))</f>
        <v/>
      </c>
      <c r="C79" s="16">
        <f>IF($A79="","",助理班表!$A7)</f>
        <v/>
      </c>
      <c r="D79" s="16">
        <f>IF($C79="","",助理班表!$B7)</f>
        <v/>
      </c>
      <c r="E79" s="16">
        <f>IF($C79="","",助理班表!$D7)</f>
        <v/>
      </c>
      <c r="F79" s="16">
        <f>IF($C79="","",助理班表!$C7)</f>
        <v/>
      </c>
      <c r="G79" s="16">
        <f>IF($C79="","",助理班表!S7)</f>
        <v/>
      </c>
      <c r="H79" s="83">
        <f>IF($G79="","",IFERROR(IF(INDEX(設定!$D$6:$D$21,MATCH($G79,設定!$B$6:$B$21,0))=0,"",INDEX(設定!$D$6:$D$21,MATCH($G79,設定!$B$6:$B$21,0))),""))</f>
        <v/>
      </c>
      <c r="I79" s="83">
        <f>IF($G79="","",IFERROR(IF(INDEX(設定!$E$6:$E$21,MATCH($G79,設定!$B$6:$B$21,0))=0,"",INDEX(設定!$E$6:$E$21,MATCH($G79,設定!$B$6:$B$21,0))),""))</f>
        <v/>
      </c>
      <c r="J79" s="83">
        <f>IFERROR(INDEX(打卡匯入!$C$3:$C$2002,MATCH($C79&amp;"|"&amp;DAY($A79),打卡匯入!$E$3:$E$2002,0)),"")</f>
        <v/>
      </c>
      <c r="K79" s="83">
        <f>IFERROR(INDEX(打卡匯入!$D$3:$D$2002,MATCH($C79&amp;"|"&amp;DAY($A79),打卡匯入!$E$3:$E$2002,0)),"")</f>
        <v/>
      </c>
      <c r="L79" s="84">
        <f>IF(OR($J79="",$K79=""),"",IFERROR(INDEX(設定!$F$6:$F$21,MATCH($G79,設定!$B$6:$B$21,0)),0))</f>
        <v/>
      </c>
      <c r="M79" s="85">
        <f>IF(OR($J79="",$K79=""),"",ROUND(($K79-$J79)*24-$L79/60,2))</f>
        <v/>
      </c>
      <c r="N79" s="16">
        <f>IF($C79="","",IF(AND(COUNTIF(設定!$B$15:$B$21,$G79)&gt;0,$J79&lt;&gt;""),"假日出勤",IF(AND(COUNTIF(設定!$B$6:$B$14,$G79)&gt;0,$J79=""),"未打卡",IF($J79="","",IF($O79&gt;0,"遲到",IF($P79&gt;0,"早退","正常"))))))</f>
        <v/>
      </c>
      <c r="O79" s="84">
        <f>IF(OR($C79="",$H79="",$J79=""),0,IF(ROUND(($J79-$H79)*1440,0)&gt;設定!$C$46,ROUND(($J79-$H79)*1440,0),0))</f>
        <v/>
      </c>
      <c r="P79" s="84">
        <f>IF(OR($C79="",$I79="",$K79=""),0,IF(ROUND(($I79-$K79)*1440,0)&gt;設定!$C$46,ROUND(($I79-$K79)*1440,0),0))</f>
        <v/>
      </c>
      <c r="Q79" s="85">
        <f>IF($M79="",0,IF(($M79-IFERROR(INDEX(設定!$G$6:$G$21,MATCH($G79,設定!$B$6:$B$21,0)),0))*60&gt;=設定!$C$44,ROUND(FLOOR(($M79-IFERROR(INDEX(設定!$G$6:$G$21,MATCH($G79,設定!$B$6:$B$21,0)),0))*60,設定!$C$45)/60,2),0))</f>
        <v/>
      </c>
      <c r="R79" s="16">
        <f>IF(OR($C79="",$Q79=0),"",IF($G79="國","國定假日",IF($B79="日","例假",IF($B79="六","休息日","平日"))))</f>
        <v/>
      </c>
      <c r="S79" s="19" t="n"/>
    </row>
    <row r="80">
      <c r="A80" s="82">
        <f>IF(OR(助理班表!$A7="",16&gt;DAY(EOMONTH(DATE(設定!$C$2,設定!$D$2,1),0))),"",DATE(設定!$C$2,設定!$D$2,16))</f>
        <v/>
      </c>
      <c r="B80" s="16">
        <f>IF($A80="","",INDEX(設定!$O$6:$O$12,WEEKDAY($A80,1)))</f>
        <v/>
      </c>
      <c r="C80" s="16">
        <f>IF($A80="","",助理班表!$A7)</f>
        <v/>
      </c>
      <c r="D80" s="16">
        <f>IF($C80="","",助理班表!$B7)</f>
        <v/>
      </c>
      <c r="E80" s="16">
        <f>IF($C80="","",助理班表!$D7)</f>
        <v/>
      </c>
      <c r="F80" s="16">
        <f>IF($C80="","",助理班表!$C7)</f>
        <v/>
      </c>
      <c r="G80" s="16">
        <f>IF($C80="","",助理班表!T7)</f>
        <v/>
      </c>
      <c r="H80" s="83">
        <f>IF($G80="","",IFERROR(IF(INDEX(設定!$D$6:$D$21,MATCH($G80,設定!$B$6:$B$21,0))=0,"",INDEX(設定!$D$6:$D$21,MATCH($G80,設定!$B$6:$B$21,0))),""))</f>
        <v/>
      </c>
      <c r="I80" s="83">
        <f>IF($G80="","",IFERROR(IF(INDEX(設定!$E$6:$E$21,MATCH($G80,設定!$B$6:$B$21,0))=0,"",INDEX(設定!$E$6:$E$21,MATCH($G80,設定!$B$6:$B$21,0))),""))</f>
        <v/>
      </c>
      <c r="J80" s="83">
        <f>IFERROR(INDEX(打卡匯入!$C$3:$C$2002,MATCH($C80&amp;"|"&amp;DAY($A80),打卡匯入!$E$3:$E$2002,0)),"")</f>
        <v/>
      </c>
      <c r="K80" s="83">
        <f>IFERROR(INDEX(打卡匯入!$D$3:$D$2002,MATCH($C80&amp;"|"&amp;DAY($A80),打卡匯入!$E$3:$E$2002,0)),"")</f>
        <v/>
      </c>
      <c r="L80" s="84">
        <f>IF(OR($J80="",$K80=""),"",IFERROR(INDEX(設定!$F$6:$F$21,MATCH($G80,設定!$B$6:$B$21,0)),0))</f>
        <v/>
      </c>
      <c r="M80" s="85">
        <f>IF(OR($J80="",$K80=""),"",ROUND(($K80-$J80)*24-$L80/60,2))</f>
        <v/>
      </c>
      <c r="N80" s="16">
        <f>IF($C80="","",IF(AND(COUNTIF(設定!$B$15:$B$21,$G80)&gt;0,$J80&lt;&gt;""),"假日出勤",IF(AND(COUNTIF(設定!$B$6:$B$14,$G80)&gt;0,$J80=""),"未打卡",IF($J80="","",IF($O80&gt;0,"遲到",IF($P80&gt;0,"早退","正常"))))))</f>
        <v/>
      </c>
      <c r="O80" s="84">
        <f>IF(OR($C80="",$H80="",$J80=""),0,IF(ROUND(($J80-$H80)*1440,0)&gt;設定!$C$46,ROUND(($J80-$H80)*1440,0),0))</f>
        <v/>
      </c>
      <c r="P80" s="84">
        <f>IF(OR($C80="",$I80="",$K80=""),0,IF(ROUND(($I80-$K80)*1440,0)&gt;設定!$C$46,ROUND(($I80-$K80)*1440,0),0))</f>
        <v/>
      </c>
      <c r="Q80" s="85">
        <f>IF($M80="",0,IF(($M80-IFERROR(INDEX(設定!$G$6:$G$21,MATCH($G80,設定!$B$6:$B$21,0)),0))*60&gt;=設定!$C$44,ROUND(FLOOR(($M80-IFERROR(INDEX(設定!$G$6:$G$21,MATCH($G80,設定!$B$6:$B$21,0)),0))*60,設定!$C$45)/60,2),0))</f>
        <v/>
      </c>
      <c r="R80" s="16">
        <f>IF(OR($C80="",$Q80=0),"",IF($G80="國","國定假日",IF($B80="日","例假",IF($B80="六","休息日","平日"))))</f>
        <v/>
      </c>
      <c r="S80" s="19" t="n"/>
    </row>
    <row r="81">
      <c r="A81" s="82">
        <f>IF(OR(助理班表!$A7="",17&gt;DAY(EOMONTH(DATE(設定!$C$2,設定!$D$2,1),0))),"",DATE(設定!$C$2,設定!$D$2,17))</f>
        <v/>
      </c>
      <c r="B81" s="16">
        <f>IF($A81="","",INDEX(設定!$O$6:$O$12,WEEKDAY($A81,1)))</f>
        <v/>
      </c>
      <c r="C81" s="16">
        <f>IF($A81="","",助理班表!$A7)</f>
        <v/>
      </c>
      <c r="D81" s="16">
        <f>IF($C81="","",助理班表!$B7)</f>
        <v/>
      </c>
      <c r="E81" s="16">
        <f>IF($C81="","",助理班表!$D7)</f>
        <v/>
      </c>
      <c r="F81" s="16">
        <f>IF($C81="","",助理班表!$C7)</f>
        <v/>
      </c>
      <c r="G81" s="16">
        <f>IF($C81="","",助理班表!U7)</f>
        <v/>
      </c>
      <c r="H81" s="83">
        <f>IF($G81="","",IFERROR(IF(INDEX(設定!$D$6:$D$21,MATCH($G81,設定!$B$6:$B$21,0))=0,"",INDEX(設定!$D$6:$D$21,MATCH($G81,設定!$B$6:$B$21,0))),""))</f>
        <v/>
      </c>
      <c r="I81" s="83">
        <f>IF($G81="","",IFERROR(IF(INDEX(設定!$E$6:$E$21,MATCH($G81,設定!$B$6:$B$21,0))=0,"",INDEX(設定!$E$6:$E$21,MATCH($G81,設定!$B$6:$B$21,0))),""))</f>
        <v/>
      </c>
      <c r="J81" s="83">
        <f>IFERROR(INDEX(打卡匯入!$C$3:$C$2002,MATCH($C81&amp;"|"&amp;DAY($A81),打卡匯入!$E$3:$E$2002,0)),"")</f>
        <v/>
      </c>
      <c r="K81" s="83">
        <f>IFERROR(INDEX(打卡匯入!$D$3:$D$2002,MATCH($C81&amp;"|"&amp;DAY($A81),打卡匯入!$E$3:$E$2002,0)),"")</f>
        <v/>
      </c>
      <c r="L81" s="84">
        <f>IF(OR($J81="",$K81=""),"",IFERROR(INDEX(設定!$F$6:$F$21,MATCH($G81,設定!$B$6:$B$21,0)),0))</f>
        <v/>
      </c>
      <c r="M81" s="85">
        <f>IF(OR($J81="",$K81=""),"",ROUND(($K81-$J81)*24-$L81/60,2))</f>
        <v/>
      </c>
      <c r="N81" s="16">
        <f>IF($C81="","",IF(AND(COUNTIF(設定!$B$15:$B$21,$G81)&gt;0,$J81&lt;&gt;""),"假日出勤",IF(AND(COUNTIF(設定!$B$6:$B$14,$G81)&gt;0,$J81=""),"未打卡",IF($J81="","",IF($O81&gt;0,"遲到",IF($P81&gt;0,"早退","正常"))))))</f>
        <v/>
      </c>
      <c r="O81" s="84">
        <f>IF(OR($C81="",$H81="",$J81=""),0,IF(ROUND(($J81-$H81)*1440,0)&gt;設定!$C$46,ROUND(($J81-$H81)*1440,0),0))</f>
        <v/>
      </c>
      <c r="P81" s="84">
        <f>IF(OR($C81="",$I81="",$K81=""),0,IF(ROUND(($I81-$K81)*1440,0)&gt;設定!$C$46,ROUND(($I81-$K81)*1440,0),0))</f>
        <v/>
      </c>
      <c r="Q81" s="85">
        <f>IF($M81="",0,IF(($M81-IFERROR(INDEX(設定!$G$6:$G$21,MATCH($G81,設定!$B$6:$B$21,0)),0))*60&gt;=設定!$C$44,ROUND(FLOOR(($M81-IFERROR(INDEX(設定!$G$6:$G$21,MATCH($G81,設定!$B$6:$B$21,0)),0))*60,設定!$C$45)/60,2),0))</f>
        <v/>
      </c>
      <c r="R81" s="16">
        <f>IF(OR($C81="",$Q81=0),"",IF($G81="國","國定假日",IF($B81="日","例假",IF($B81="六","休息日","平日"))))</f>
        <v/>
      </c>
      <c r="S81" s="19" t="n"/>
    </row>
    <row r="82">
      <c r="A82" s="82">
        <f>IF(OR(助理班表!$A7="",18&gt;DAY(EOMONTH(DATE(設定!$C$2,設定!$D$2,1),0))),"",DATE(設定!$C$2,設定!$D$2,18))</f>
        <v/>
      </c>
      <c r="B82" s="16">
        <f>IF($A82="","",INDEX(設定!$O$6:$O$12,WEEKDAY($A82,1)))</f>
        <v/>
      </c>
      <c r="C82" s="16">
        <f>IF($A82="","",助理班表!$A7)</f>
        <v/>
      </c>
      <c r="D82" s="16">
        <f>IF($C82="","",助理班表!$B7)</f>
        <v/>
      </c>
      <c r="E82" s="16">
        <f>IF($C82="","",助理班表!$D7)</f>
        <v/>
      </c>
      <c r="F82" s="16">
        <f>IF($C82="","",助理班表!$C7)</f>
        <v/>
      </c>
      <c r="G82" s="16">
        <f>IF($C82="","",助理班表!V7)</f>
        <v/>
      </c>
      <c r="H82" s="83">
        <f>IF($G82="","",IFERROR(IF(INDEX(設定!$D$6:$D$21,MATCH($G82,設定!$B$6:$B$21,0))=0,"",INDEX(設定!$D$6:$D$21,MATCH($G82,設定!$B$6:$B$21,0))),""))</f>
        <v/>
      </c>
      <c r="I82" s="83">
        <f>IF($G82="","",IFERROR(IF(INDEX(設定!$E$6:$E$21,MATCH($G82,設定!$B$6:$B$21,0))=0,"",INDEX(設定!$E$6:$E$21,MATCH($G82,設定!$B$6:$B$21,0))),""))</f>
        <v/>
      </c>
      <c r="J82" s="83">
        <f>IFERROR(INDEX(打卡匯入!$C$3:$C$2002,MATCH($C82&amp;"|"&amp;DAY($A82),打卡匯入!$E$3:$E$2002,0)),"")</f>
        <v/>
      </c>
      <c r="K82" s="83">
        <f>IFERROR(INDEX(打卡匯入!$D$3:$D$2002,MATCH($C82&amp;"|"&amp;DAY($A82),打卡匯入!$E$3:$E$2002,0)),"")</f>
        <v/>
      </c>
      <c r="L82" s="84">
        <f>IF(OR($J82="",$K82=""),"",IFERROR(INDEX(設定!$F$6:$F$21,MATCH($G82,設定!$B$6:$B$21,0)),0))</f>
        <v/>
      </c>
      <c r="M82" s="85">
        <f>IF(OR($J82="",$K82=""),"",ROUND(($K82-$J82)*24-$L82/60,2))</f>
        <v/>
      </c>
      <c r="N82" s="16">
        <f>IF($C82="","",IF(AND(COUNTIF(設定!$B$15:$B$21,$G82)&gt;0,$J82&lt;&gt;""),"假日出勤",IF(AND(COUNTIF(設定!$B$6:$B$14,$G82)&gt;0,$J82=""),"未打卡",IF($J82="","",IF($O82&gt;0,"遲到",IF($P82&gt;0,"早退","正常"))))))</f>
        <v/>
      </c>
      <c r="O82" s="84">
        <f>IF(OR($C82="",$H82="",$J82=""),0,IF(ROUND(($J82-$H82)*1440,0)&gt;設定!$C$46,ROUND(($J82-$H82)*1440,0),0))</f>
        <v/>
      </c>
      <c r="P82" s="84">
        <f>IF(OR($C82="",$I82="",$K82=""),0,IF(ROUND(($I82-$K82)*1440,0)&gt;設定!$C$46,ROUND(($I82-$K82)*1440,0),0))</f>
        <v/>
      </c>
      <c r="Q82" s="85">
        <f>IF($M82="",0,IF(($M82-IFERROR(INDEX(設定!$G$6:$G$21,MATCH($G82,設定!$B$6:$B$21,0)),0))*60&gt;=設定!$C$44,ROUND(FLOOR(($M82-IFERROR(INDEX(設定!$G$6:$G$21,MATCH($G82,設定!$B$6:$B$21,0)),0))*60,設定!$C$45)/60,2),0))</f>
        <v/>
      </c>
      <c r="R82" s="16">
        <f>IF(OR($C82="",$Q82=0),"",IF($G82="國","國定假日",IF($B82="日","例假",IF($B82="六","休息日","平日"))))</f>
        <v/>
      </c>
      <c r="S82" s="19" t="n"/>
    </row>
    <row r="83">
      <c r="A83" s="82">
        <f>IF(OR(助理班表!$A7="",19&gt;DAY(EOMONTH(DATE(設定!$C$2,設定!$D$2,1),0))),"",DATE(設定!$C$2,設定!$D$2,19))</f>
        <v/>
      </c>
      <c r="B83" s="16">
        <f>IF($A83="","",INDEX(設定!$O$6:$O$12,WEEKDAY($A83,1)))</f>
        <v/>
      </c>
      <c r="C83" s="16">
        <f>IF($A83="","",助理班表!$A7)</f>
        <v/>
      </c>
      <c r="D83" s="16">
        <f>IF($C83="","",助理班表!$B7)</f>
        <v/>
      </c>
      <c r="E83" s="16">
        <f>IF($C83="","",助理班表!$D7)</f>
        <v/>
      </c>
      <c r="F83" s="16">
        <f>IF($C83="","",助理班表!$C7)</f>
        <v/>
      </c>
      <c r="G83" s="16">
        <f>IF($C83="","",助理班表!W7)</f>
        <v/>
      </c>
      <c r="H83" s="83">
        <f>IF($G83="","",IFERROR(IF(INDEX(設定!$D$6:$D$21,MATCH($G83,設定!$B$6:$B$21,0))=0,"",INDEX(設定!$D$6:$D$21,MATCH($G83,設定!$B$6:$B$21,0))),""))</f>
        <v/>
      </c>
      <c r="I83" s="83">
        <f>IF($G83="","",IFERROR(IF(INDEX(設定!$E$6:$E$21,MATCH($G83,設定!$B$6:$B$21,0))=0,"",INDEX(設定!$E$6:$E$21,MATCH($G83,設定!$B$6:$B$21,0))),""))</f>
        <v/>
      </c>
      <c r="J83" s="83">
        <f>IFERROR(INDEX(打卡匯入!$C$3:$C$2002,MATCH($C83&amp;"|"&amp;DAY($A83),打卡匯入!$E$3:$E$2002,0)),"")</f>
        <v/>
      </c>
      <c r="K83" s="83">
        <f>IFERROR(INDEX(打卡匯入!$D$3:$D$2002,MATCH($C83&amp;"|"&amp;DAY($A83),打卡匯入!$E$3:$E$2002,0)),"")</f>
        <v/>
      </c>
      <c r="L83" s="84">
        <f>IF(OR($J83="",$K83=""),"",IFERROR(INDEX(設定!$F$6:$F$21,MATCH($G83,設定!$B$6:$B$21,0)),0))</f>
        <v/>
      </c>
      <c r="M83" s="85">
        <f>IF(OR($J83="",$K83=""),"",ROUND(($K83-$J83)*24-$L83/60,2))</f>
        <v/>
      </c>
      <c r="N83" s="16">
        <f>IF($C83="","",IF(AND(COUNTIF(設定!$B$15:$B$21,$G83)&gt;0,$J83&lt;&gt;""),"假日出勤",IF(AND(COUNTIF(設定!$B$6:$B$14,$G83)&gt;0,$J83=""),"未打卡",IF($J83="","",IF($O83&gt;0,"遲到",IF($P83&gt;0,"早退","正常"))))))</f>
        <v/>
      </c>
      <c r="O83" s="84">
        <f>IF(OR($C83="",$H83="",$J83=""),0,IF(ROUND(($J83-$H83)*1440,0)&gt;設定!$C$46,ROUND(($J83-$H83)*1440,0),0))</f>
        <v/>
      </c>
      <c r="P83" s="84">
        <f>IF(OR($C83="",$I83="",$K83=""),0,IF(ROUND(($I83-$K83)*1440,0)&gt;設定!$C$46,ROUND(($I83-$K83)*1440,0),0))</f>
        <v/>
      </c>
      <c r="Q83" s="85">
        <f>IF($M83="",0,IF(($M83-IFERROR(INDEX(設定!$G$6:$G$21,MATCH($G83,設定!$B$6:$B$21,0)),0))*60&gt;=設定!$C$44,ROUND(FLOOR(($M83-IFERROR(INDEX(設定!$G$6:$G$21,MATCH($G83,設定!$B$6:$B$21,0)),0))*60,設定!$C$45)/60,2),0))</f>
        <v/>
      </c>
      <c r="R83" s="16">
        <f>IF(OR($C83="",$Q83=0),"",IF($G83="國","國定假日",IF($B83="日","例假",IF($B83="六","休息日","平日"))))</f>
        <v/>
      </c>
      <c r="S83" s="19" t="n"/>
    </row>
    <row r="84">
      <c r="A84" s="82">
        <f>IF(OR(助理班表!$A7="",20&gt;DAY(EOMONTH(DATE(設定!$C$2,設定!$D$2,1),0))),"",DATE(設定!$C$2,設定!$D$2,20))</f>
        <v/>
      </c>
      <c r="B84" s="16">
        <f>IF($A84="","",INDEX(設定!$O$6:$O$12,WEEKDAY($A84,1)))</f>
        <v/>
      </c>
      <c r="C84" s="16">
        <f>IF($A84="","",助理班表!$A7)</f>
        <v/>
      </c>
      <c r="D84" s="16">
        <f>IF($C84="","",助理班表!$B7)</f>
        <v/>
      </c>
      <c r="E84" s="16">
        <f>IF($C84="","",助理班表!$D7)</f>
        <v/>
      </c>
      <c r="F84" s="16">
        <f>IF($C84="","",助理班表!$C7)</f>
        <v/>
      </c>
      <c r="G84" s="16">
        <f>IF($C84="","",助理班表!X7)</f>
        <v/>
      </c>
      <c r="H84" s="83">
        <f>IF($G84="","",IFERROR(IF(INDEX(設定!$D$6:$D$21,MATCH($G84,設定!$B$6:$B$21,0))=0,"",INDEX(設定!$D$6:$D$21,MATCH($G84,設定!$B$6:$B$21,0))),""))</f>
        <v/>
      </c>
      <c r="I84" s="83">
        <f>IF($G84="","",IFERROR(IF(INDEX(設定!$E$6:$E$21,MATCH($G84,設定!$B$6:$B$21,0))=0,"",INDEX(設定!$E$6:$E$21,MATCH($G84,設定!$B$6:$B$21,0))),""))</f>
        <v/>
      </c>
      <c r="J84" s="83">
        <f>IFERROR(INDEX(打卡匯入!$C$3:$C$2002,MATCH($C84&amp;"|"&amp;DAY($A84),打卡匯入!$E$3:$E$2002,0)),"")</f>
        <v/>
      </c>
      <c r="K84" s="83">
        <f>IFERROR(INDEX(打卡匯入!$D$3:$D$2002,MATCH($C84&amp;"|"&amp;DAY($A84),打卡匯入!$E$3:$E$2002,0)),"")</f>
        <v/>
      </c>
      <c r="L84" s="84">
        <f>IF(OR($J84="",$K84=""),"",IFERROR(INDEX(設定!$F$6:$F$21,MATCH($G84,設定!$B$6:$B$21,0)),0))</f>
        <v/>
      </c>
      <c r="M84" s="85">
        <f>IF(OR($J84="",$K84=""),"",ROUND(($K84-$J84)*24-$L84/60,2))</f>
        <v/>
      </c>
      <c r="N84" s="16">
        <f>IF($C84="","",IF(AND(COUNTIF(設定!$B$15:$B$21,$G84)&gt;0,$J84&lt;&gt;""),"假日出勤",IF(AND(COUNTIF(設定!$B$6:$B$14,$G84)&gt;0,$J84=""),"未打卡",IF($J84="","",IF($O84&gt;0,"遲到",IF($P84&gt;0,"早退","正常"))))))</f>
        <v/>
      </c>
      <c r="O84" s="84">
        <f>IF(OR($C84="",$H84="",$J84=""),0,IF(ROUND(($J84-$H84)*1440,0)&gt;設定!$C$46,ROUND(($J84-$H84)*1440,0),0))</f>
        <v/>
      </c>
      <c r="P84" s="84">
        <f>IF(OR($C84="",$I84="",$K84=""),0,IF(ROUND(($I84-$K84)*1440,0)&gt;設定!$C$46,ROUND(($I84-$K84)*1440,0),0))</f>
        <v/>
      </c>
      <c r="Q84" s="85">
        <f>IF($M84="",0,IF(($M84-IFERROR(INDEX(設定!$G$6:$G$21,MATCH($G84,設定!$B$6:$B$21,0)),0))*60&gt;=設定!$C$44,ROUND(FLOOR(($M84-IFERROR(INDEX(設定!$G$6:$G$21,MATCH($G84,設定!$B$6:$B$21,0)),0))*60,設定!$C$45)/60,2),0))</f>
        <v/>
      </c>
      <c r="R84" s="16">
        <f>IF(OR($C84="",$Q84=0),"",IF($G84="國","國定假日",IF($B84="日","例假",IF($B84="六","休息日","平日"))))</f>
        <v/>
      </c>
      <c r="S84" s="19" t="n"/>
    </row>
    <row r="85">
      <c r="A85" s="82">
        <f>IF(OR(助理班表!$A7="",21&gt;DAY(EOMONTH(DATE(設定!$C$2,設定!$D$2,1),0))),"",DATE(設定!$C$2,設定!$D$2,21))</f>
        <v/>
      </c>
      <c r="B85" s="16">
        <f>IF($A85="","",INDEX(設定!$O$6:$O$12,WEEKDAY($A85,1)))</f>
        <v/>
      </c>
      <c r="C85" s="16">
        <f>IF($A85="","",助理班表!$A7)</f>
        <v/>
      </c>
      <c r="D85" s="16">
        <f>IF($C85="","",助理班表!$B7)</f>
        <v/>
      </c>
      <c r="E85" s="16">
        <f>IF($C85="","",助理班表!$D7)</f>
        <v/>
      </c>
      <c r="F85" s="16">
        <f>IF($C85="","",助理班表!$C7)</f>
        <v/>
      </c>
      <c r="G85" s="16">
        <f>IF($C85="","",助理班表!Y7)</f>
        <v/>
      </c>
      <c r="H85" s="83">
        <f>IF($G85="","",IFERROR(IF(INDEX(設定!$D$6:$D$21,MATCH($G85,設定!$B$6:$B$21,0))=0,"",INDEX(設定!$D$6:$D$21,MATCH($G85,設定!$B$6:$B$21,0))),""))</f>
        <v/>
      </c>
      <c r="I85" s="83">
        <f>IF($G85="","",IFERROR(IF(INDEX(設定!$E$6:$E$21,MATCH($G85,設定!$B$6:$B$21,0))=0,"",INDEX(設定!$E$6:$E$21,MATCH($G85,設定!$B$6:$B$21,0))),""))</f>
        <v/>
      </c>
      <c r="J85" s="83">
        <f>IFERROR(INDEX(打卡匯入!$C$3:$C$2002,MATCH($C85&amp;"|"&amp;DAY($A85),打卡匯入!$E$3:$E$2002,0)),"")</f>
        <v/>
      </c>
      <c r="K85" s="83">
        <f>IFERROR(INDEX(打卡匯入!$D$3:$D$2002,MATCH($C85&amp;"|"&amp;DAY($A85),打卡匯入!$E$3:$E$2002,0)),"")</f>
        <v/>
      </c>
      <c r="L85" s="84">
        <f>IF(OR($J85="",$K85=""),"",IFERROR(INDEX(設定!$F$6:$F$21,MATCH($G85,設定!$B$6:$B$21,0)),0))</f>
        <v/>
      </c>
      <c r="M85" s="85">
        <f>IF(OR($J85="",$K85=""),"",ROUND(($K85-$J85)*24-$L85/60,2))</f>
        <v/>
      </c>
      <c r="N85" s="16">
        <f>IF($C85="","",IF(AND(COUNTIF(設定!$B$15:$B$21,$G85)&gt;0,$J85&lt;&gt;""),"假日出勤",IF(AND(COUNTIF(設定!$B$6:$B$14,$G85)&gt;0,$J85=""),"未打卡",IF($J85="","",IF($O85&gt;0,"遲到",IF($P85&gt;0,"早退","正常"))))))</f>
        <v/>
      </c>
      <c r="O85" s="84">
        <f>IF(OR($C85="",$H85="",$J85=""),0,IF(ROUND(($J85-$H85)*1440,0)&gt;設定!$C$46,ROUND(($J85-$H85)*1440,0),0))</f>
        <v/>
      </c>
      <c r="P85" s="84">
        <f>IF(OR($C85="",$I85="",$K85=""),0,IF(ROUND(($I85-$K85)*1440,0)&gt;設定!$C$46,ROUND(($I85-$K85)*1440,0),0))</f>
        <v/>
      </c>
      <c r="Q85" s="85">
        <f>IF($M85="",0,IF(($M85-IFERROR(INDEX(設定!$G$6:$G$21,MATCH($G85,設定!$B$6:$B$21,0)),0))*60&gt;=設定!$C$44,ROUND(FLOOR(($M85-IFERROR(INDEX(設定!$G$6:$G$21,MATCH($G85,設定!$B$6:$B$21,0)),0))*60,設定!$C$45)/60,2),0))</f>
        <v/>
      </c>
      <c r="R85" s="16">
        <f>IF(OR($C85="",$Q85=0),"",IF($G85="國","國定假日",IF($B85="日","例假",IF($B85="六","休息日","平日"))))</f>
        <v/>
      </c>
      <c r="S85" s="19" t="n"/>
    </row>
    <row r="86">
      <c r="A86" s="82">
        <f>IF(OR(助理班表!$A7="",22&gt;DAY(EOMONTH(DATE(設定!$C$2,設定!$D$2,1),0))),"",DATE(設定!$C$2,設定!$D$2,22))</f>
        <v/>
      </c>
      <c r="B86" s="16">
        <f>IF($A86="","",INDEX(設定!$O$6:$O$12,WEEKDAY($A86,1)))</f>
        <v/>
      </c>
      <c r="C86" s="16">
        <f>IF($A86="","",助理班表!$A7)</f>
        <v/>
      </c>
      <c r="D86" s="16">
        <f>IF($C86="","",助理班表!$B7)</f>
        <v/>
      </c>
      <c r="E86" s="16">
        <f>IF($C86="","",助理班表!$D7)</f>
        <v/>
      </c>
      <c r="F86" s="16">
        <f>IF($C86="","",助理班表!$C7)</f>
        <v/>
      </c>
      <c r="G86" s="16">
        <f>IF($C86="","",助理班表!Z7)</f>
        <v/>
      </c>
      <c r="H86" s="83">
        <f>IF($G86="","",IFERROR(IF(INDEX(設定!$D$6:$D$21,MATCH($G86,設定!$B$6:$B$21,0))=0,"",INDEX(設定!$D$6:$D$21,MATCH($G86,設定!$B$6:$B$21,0))),""))</f>
        <v/>
      </c>
      <c r="I86" s="83">
        <f>IF($G86="","",IFERROR(IF(INDEX(設定!$E$6:$E$21,MATCH($G86,設定!$B$6:$B$21,0))=0,"",INDEX(設定!$E$6:$E$21,MATCH($G86,設定!$B$6:$B$21,0))),""))</f>
        <v/>
      </c>
      <c r="J86" s="83">
        <f>IFERROR(INDEX(打卡匯入!$C$3:$C$2002,MATCH($C86&amp;"|"&amp;DAY($A86),打卡匯入!$E$3:$E$2002,0)),"")</f>
        <v/>
      </c>
      <c r="K86" s="83">
        <f>IFERROR(INDEX(打卡匯入!$D$3:$D$2002,MATCH($C86&amp;"|"&amp;DAY($A86),打卡匯入!$E$3:$E$2002,0)),"")</f>
        <v/>
      </c>
      <c r="L86" s="84">
        <f>IF(OR($J86="",$K86=""),"",IFERROR(INDEX(設定!$F$6:$F$21,MATCH($G86,設定!$B$6:$B$21,0)),0))</f>
        <v/>
      </c>
      <c r="M86" s="85">
        <f>IF(OR($J86="",$K86=""),"",ROUND(($K86-$J86)*24-$L86/60,2))</f>
        <v/>
      </c>
      <c r="N86" s="16">
        <f>IF($C86="","",IF(AND(COUNTIF(設定!$B$15:$B$21,$G86)&gt;0,$J86&lt;&gt;""),"假日出勤",IF(AND(COUNTIF(設定!$B$6:$B$14,$G86)&gt;0,$J86=""),"未打卡",IF($J86="","",IF($O86&gt;0,"遲到",IF($P86&gt;0,"早退","正常"))))))</f>
        <v/>
      </c>
      <c r="O86" s="84">
        <f>IF(OR($C86="",$H86="",$J86=""),0,IF(ROUND(($J86-$H86)*1440,0)&gt;設定!$C$46,ROUND(($J86-$H86)*1440,0),0))</f>
        <v/>
      </c>
      <c r="P86" s="84">
        <f>IF(OR($C86="",$I86="",$K86=""),0,IF(ROUND(($I86-$K86)*1440,0)&gt;設定!$C$46,ROUND(($I86-$K86)*1440,0),0))</f>
        <v/>
      </c>
      <c r="Q86" s="85">
        <f>IF($M86="",0,IF(($M86-IFERROR(INDEX(設定!$G$6:$G$21,MATCH($G86,設定!$B$6:$B$21,0)),0))*60&gt;=設定!$C$44,ROUND(FLOOR(($M86-IFERROR(INDEX(設定!$G$6:$G$21,MATCH($G86,設定!$B$6:$B$21,0)),0))*60,設定!$C$45)/60,2),0))</f>
        <v/>
      </c>
      <c r="R86" s="16">
        <f>IF(OR($C86="",$Q86=0),"",IF($G86="國","國定假日",IF($B86="日","例假",IF($B86="六","休息日","平日"))))</f>
        <v/>
      </c>
      <c r="S86" s="19" t="n"/>
    </row>
    <row r="87">
      <c r="A87" s="82">
        <f>IF(OR(助理班表!$A7="",23&gt;DAY(EOMONTH(DATE(設定!$C$2,設定!$D$2,1),0))),"",DATE(設定!$C$2,設定!$D$2,23))</f>
        <v/>
      </c>
      <c r="B87" s="16">
        <f>IF($A87="","",INDEX(設定!$O$6:$O$12,WEEKDAY($A87,1)))</f>
        <v/>
      </c>
      <c r="C87" s="16">
        <f>IF($A87="","",助理班表!$A7)</f>
        <v/>
      </c>
      <c r="D87" s="16">
        <f>IF($C87="","",助理班表!$B7)</f>
        <v/>
      </c>
      <c r="E87" s="16">
        <f>IF($C87="","",助理班表!$D7)</f>
        <v/>
      </c>
      <c r="F87" s="16">
        <f>IF($C87="","",助理班表!$C7)</f>
        <v/>
      </c>
      <c r="G87" s="16">
        <f>IF($C87="","",助理班表!AA7)</f>
        <v/>
      </c>
      <c r="H87" s="83">
        <f>IF($G87="","",IFERROR(IF(INDEX(設定!$D$6:$D$21,MATCH($G87,設定!$B$6:$B$21,0))=0,"",INDEX(設定!$D$6:$D$21,MATCH($G87,設定!$B$6:$B$21,0))),""))</f>
        <v/>
      </c>
      <c r="I87" s="83">
        <f>IF($G87="","",IFERROR(IF(INDEX(設定!$E$6:$E$21,MATCH($G87,設定!$B$6:$B$21,0))=0,"",INDEX(設定!$E$6:$E$21,MATCH($G87,設定!$B$6:$B$21,0))),""))</f>
        <v/>
      </c>
      <c r="J87" s="83">
        <f>IFERROR(INDEX(打卡匯入!$C$3:$C$2002,MATCH($C87&amp;"|"&amp;DAY($A87),打卡匯入!$E$3:$E$2002,0)),"")</f>
        <v/>
      </c>
      <c r="K87" s="83">
        <f>IFERROR(INDEX(打卡匯入!$D$3:$D$2002,MATCH($C87&amp;"|"&amp;DAY($A87),打卡匯入!$E$3:$E$2002,0)),"")</f>
        <v/>
      </c>
      <c r="L87" s="84">
        <f>IF(OR($J87="",$K87=""),"",IFERROR(INDEX(設定!$F$6:$F$21,MATCH($G87,設定!$B$6:$B$21,0)),0))</f>
        <v/>
      </c>
      <c r="M87" s="85">
        <f>IF(OR($J87="",$K87=""),"",ROUND(($K87-$J87)*24-$L87/60,2))</f>
        <v/>
      </c>
      <c r="N87" s="16">
        <f>IF($C87="","",IF(AND(COUNTIF(設定!$B$15:$B$21,$G87)&gt;0,$J87&lt;&gt;""),"假日出勤",IF(AND(COUNTIF(設定!$B$6:$B$14,$G87)&gt;0,$J87=""),"未打卡",IF($J87="","",IF($O87&gt;0,"遲到",IF($P87&gt;0,"早退","正常"))))))</f>
        <v/>
      </c>
      <c r="O87" s="84">
        <f>IF(OR($C87="",$H87="",$J87=""),0,IF(ROUND(($J87-$H87)*1440,0)&gt;設定!$C$46,ROUND(($J87-$H87)*1440,0),0))</f>
        <v/>
      </c>
      <c r="P87" s="84">
        <f>IF(OR($C87="",$I87="",$K87=""),0,IF(ROUND(($I87-$K87)*1440,0)&gt;設定!$C$46,ROUND(($I87-$K87)*1440,0),0))</f>
        <v/>
      </c>
      <c r="Q87" s="85">
        <f>IF($M87="",0,IF(($M87-IFERROR(INDEX(設定!$G$6:$G$21,MATCH($G87,設定!$B$6:$B$21,0)),0))*60&gt;=設定!$C$44,ROUND(FLOOR(($M87-IFERROR(INDEX(設定!$G$6:$G$21,MATCH($G87,設定!$B$6:$B$21,0)),0))*60,設定!$C$45)/60,2),0))</f>
        <v/>
      </c>
      <c r="R87" s="16">
        <f>IF(OR($C87="",$Q87=0),"",IF($G87="國","國定假日",IF($B87="日","例假",IF($B87="六","休息日","平日"))))</f>
        <v/>
      </c>
      <c r="S87" s="19" t="n"/>
    </row>
    <row r="88">
      <c r="A88" s="82">
        <f>IF(OR(助理班表!$A7="",24&gt;DAY(EOMONTH(DATE(設定!$C$2,設定!$D$2,1),0))),"",DATE(設定!$C$2,設定!$D$2,24))</f>
        <v/>
      </c>
      <c r="B88" s="16">
        <f>IF($A88="","",INDEX(設定!$O$6:$O$12,WEEKDAY($A88,1)))</f>
        <v/>
      </c>
      <c r="C88" s="16">
        <f>IF($A88="","",助理班表!$A7)</f>
        <v/>
      </c>
      <c r="D88" s="16">
        <f>IF($C88="","",助理班表!$B7)</f>
        <v/>
      </c>
      <c r="E88" s="16">
        <f>IF($C88="","",助理班表!$D7)</f>
        <v/>
      </c>
      <c r="F88" s="16">
        <f>IF($C88="","",助理班表!$C7)</f>
        <v/>
      </c>
      <c r="G88" s="16">
        <f>IF($C88="","",助理班表!AB7)</f>
        <v/>
      </c>
      <c r="H88" s="83">
        <f>IF($G88="","",IFERROR(IF(INDEX(設定!$D$6:$D$21,MATCH($G88,設定!$B$6:$B$21,0))=0,"",INDEX(設定!$D$6:$D$21,MATCH($G88,設定!$B$6:$B$21,0))),""))</f>
        <v/>
      </c>
      <c r="I88" s="83">
        <f>IF($G88="","",IFERROR(IF(INDEX(設定!$E$6:$E$21,MATCH($G88,設定!$B$6:$B$21,0))=0,"",INDEX(設定!$E$6:$E$21,MATCH($G88,設定!$B$6:$B$21,0))),""))</f>
        <v/>
      </c>
      <c r="J88" s="83">
        <f>IFERROR(INDEX(打卡匯入!$C$3:$C$2002,MATCH($C88&amp;"|"&amp;DAY($A88),打卡匯入!$E$3:$E$2002,0)),"")</f>
        <v/>
      </c>
      <c r="K88" s="83">
        <f>IFERROR(INDEX(打卡匯入!$D$3:$D$2002,MATCH($C88&amp;"|"&amp;DAY($A88),打卡匯入!$E$3:$E$2002,0)),"")</f>
        <v/>
      </c>
      <c r="L88" s="84">
        <f>IF(OR($J88="",$K88=""),"",IFERROR(INDEX(設定!$F$6:$F$21,MATCH($G88,設定!$B$6:$B$21,0)),0))</f>
        <v/>
      </c>
      <c r="M88" s="85">
        <f>IF(OR($J88="",$K88=""),"",ROUND(($K88-$J88)*24-$L88/60,2))</f>
        <v/>
      </c>
      <c r="N88" s="16">
        <f>IF($C88="","",IF(AND(COUNTIF(設定!$B$15:$B$21,$G88)&gt;0,$J88&lt;&gt;""),"假日出勤",IF(AND(COUNTIF(設定!$B$6:$B$14,$G88)&gt;0,$J88=""),"未打卡",IF($J88="","",IF($O88&gt;0,"遲到",IF($P88&gt;0,"早退","正常"))))))</f>
        <v/>
      </c>
      <c r="O88" s="84">
        <f>IF(OR($C88="",$H88="",$J88=""),0,IF(ROUND(($J88-$H88)*1440,0)&gt;設定!$C$46,ROUND(($J88-$H88)*1440,0),0))</f>
        <v/>
      </c>
      <c r="P88" s="84">
        <f>IF(OR($C88="",$I88="",$K88=""),0,IF(ROUND(($I88-$K88)*1440,0)&gt;設定!$C$46,ROUND(($I88-$K88)*1440,0),0))</f>
        <v/>
      </c>
      <c r="Q88" s="85">
        <f>IF($M88="",0,IF(($M88-IFERROR(INDEX(設定!$G$6:$G$21,MATCH($G88,設定!$B$6:$B$21,0)),0))*60&gt;=設定!$C$44,ROUND(FLOOR(($M88-IFERROR(INDEX(設定!$G$6:$G$21,MATCH($G88,設定!$B$6:$B$21,0)),0))*60,設定!$C$45)/60,2),0))</f>
        <v/>
      </c>
      <c r="R88" s="16">
        <f>IF(OR($C88="",$Q88=0),"",IF($G88="國","國定假日",IF($B88="日","例假",IF($B88="六","休息日","平日"))))</f>
        <v/>
      </c>
      <c r="S88" s="19" t="n"/>
    </row>
    <row r="89">
      <c r="A89" s="82">
        <f>IF(OR(助理班表!$A7="",25&gt;DAY(EOMONTH(DATE(設定!$C$2,設定!$D$2,1),0))),"",DATE(設定!$C$2,設定!$D$2,25))</f>
        <v/>
      </c>
      <c r="B89" s="16">
        <f>IF($A89="","",INDEX(設定!$O$6:$O$12,WEEKDAY($A89,1)))</f>
        <v/>
      </c>
      <c r="C89" s="16">
        <f>IF($A89="","",助理班表!$A7)</f>
        <v/>
      </c>
      <c r="D89" s="16">
        <f>IF($C89="","",助理班表!$B7)</f>
        <v/>
      </c>
      <c r="E89" s="16">
        <f>IF($C89="","",助理班表!$D7)</f>
        <v/>
      </c>
      <c r="F89" s="16">
        <f>IF($C89="","",助理班表!$C7)</f>
        <v/>
      </c>
      <c r="G89" s="16">
        <f>IF($C89="","",助理班表!AC7)</f>
        <v/>
      </c>
      <c r="H89" s="83">
        <f>IF($G89="","",IFERROR(IF(INDEX(設定!$D$6:$D$21,MATCH($G89,設定!$B$6:$B$21,0))=0,"",INDEX(設定!$D$6:$D$21,MATCH($G89,設定!$B$6:$B$21,0))),""))</f>
        <v/>
      </c>
      <c r="I89" s="83">
        <f>IF($G89="","",IFERROR(IF(INDEX(設定!$E$6:$E$21,MATCH($G89,設定!$B$6:$B$21,0))=0,"",INDEX(設定!$E$6:$E$21,MATCH($G89,設定!$B$6:$B$21,0))),""))</f>
        <v/>
      </c>
      <c r="J89" s="83">
        <f>IFERROR(INDEX(打卡匯入!$C$3:$C$2002,MATCH($C89&amp;"|"&amp;DAY($A89),打卡匯入!$E$3:$E$2002,0)),"")</f>
        <v/>
      </c>
      <c r="K89" s="83">
        <f>IFERROR(INDEX(打卡匯入!$D$3:$D$2002,MATCH($C89&amp;"|"&amp;DAY($A89),打卡匯入!$E$3:$E$2002,0)),"")</f>
        <v/>
      </c>
      <c r="L89" s="84">
        <f>IF(OR($J89="",$K89=""),"",IFERROR(INDEX(設定!$F$6:$F$21,MATCH($G89,設定!$B$6:$B$21,0)),0))</f>
        <v/>
      </c>
      <c r="M89" s="85">
        <f>IF(OR($J89="",$K89=""),"",ROUND(($K89-$J89)*24-$L89/60,2))</f>
        <v/>
      </c>
      <c r="N89" s="16">
        <f>IF($C89="","",IF(AND(COUNTIF(設定!$B$15:$B$21,$G89)&gt;0,$J89&lt;&gt;""),"假日出勤",IF(AND(COUNTIF(設定!$B$6:$B$14,$G89)&gt;0,$J89=""),"未打卡",IF($J89="","",IF($O89&gt;0,"遲到",IF($P89&gt;0,"早退","正常"))))))</f>
        <v/>
      </c>
      <c r="O89" s="84">
        <f>IF(OR($C89="",$H89="",$J89=""),0,IF(ROUND(($J89-$H89)*1440,0)&gt;設定!$C$46,ROUND(($J89-$H89)*1440,0),0))</f>
        <v/>
      </c>
      <c r="P89" s="84">
        <f>IF(OR($C89="",$I89="",$K89=""),0,IF(ROUND(($I89-$K89)*1440,0)&gt;設定!$C$46,ROUND(($I89-$K89)*1440,0),0))</f>
        <v/>
      </c>
      <c r="Q89" s="85">
        <f>IF($M89="",0,IF(($M89-IFERROR(INDEX(設定!$G$6:$G$21,MATCH($G89,設定!$B$6:$B$21,0)),0))*60&gt;=設定!$C$44,ROUND(FLOOR(($M89-IFERROR(INDEX(設定!$G$6:$G$21,MATCH($G89,設定!$B$6:$B$21,0)),0))*60,設定!$C$45)/60,2),0))</f>
        <v/>
      </c>
      <c r="R89" s="16">
        <f>IF(OR($C89="",$Q89=0),"",IF($G89="國","國定假日",IF($B89="日","例假",IF($B89="六","休息日","平日"))))</f>
        <v/>
      </c>
      <c r="S89" s="19" t="n"/>
    </row>
    <row r="90">
      <c r="A90" s="82">
        <f>IF(OR(助理班表!$A7="",26&gt;DAY(EOMONTH(DATE(設定!$C$2,設定!$D$2,1),0))),"",DATE(設定!$C$2,設定!$D$2,26))</f>
        <v/>
      </c>
      <c r="B90" s="16">
        <f>IF($A90="","",INDEX(設定!$O$6:$O$12,WEEKDAY($A90,1)))</f>
        <v/>
      </c>
      <c r="C90" s="16">
        <f>IF($A90="","",助理班表!$A7)</f>
        <v/>
      </c>
      <c r="D90" s="16">
        <f>IF($C90="","",助理班表!$B7)</f>
        <v/>
      </c>
      <c r="E90" s="16">
        <f>IF($C90="","",助理班表!$D7)</f>
        <v/>
      </c>
      <c r="F90" s="16">
        <f>IF($C90="","",助理班表!$C7)</f>
        <v/>
      </c>
      <c r="G90" s="16">
        <f>IF($C90="","",助理班表!AD7)</f>
        <v/>
      </c>
      <c r="H90" s="83">
        <f>IF($G90="","",IFERROR(IF(INDEX(設定!$D$6:$D$21,MATCH($G90,設定!$B$6:$B$21,0))=0,"",INDEX(設定!$D$6:$D$21,MATCH($G90,設定!$B$6:$B$21,0))),""))</f>
        <v/>
      </c>
      <c r="I90" s="83">
        <f>IF($G90="","",IFERROR(IF(INDEX(設定!$E$6:$E$21,MATCH($G90,設定!$B$6:$B$21,0))=0,"",INDEX(設定!$E$6:$E$21,MATCH($G90,設定!$B$6:$B$21,0))),""))</f>
        <v/>
      </c>
      <c r="J90" s="83">
        <f>IFERROR(INDEX(打卡匯入!$C$3:$C$2002,MATCH($C90&amp;"|"&amp;DAY($A90),打卡匯入!$E$3:$E$2002,0)),"")</f>
        <v/>
      </c>
      <c r="K90" s="83">
        <f>IFERROR(INDEX(打卡匯入!$D$3:$D$2002,MATCH($C90&amp;"|"&amp;DAY($A90),打卡匯入!$E$3:$E$2002,0)),"")</f>
        <v/>
      </c>
      <c r="L90" s="84">
        <f>IF(OR($J90="",$K90=""),"",IFERROR(INDEX(設定!$F$6:$F$21,MATCH($G90,設定!$B$6:$B$21,0)),0))</f>
        <v/>
      </c>
      <c r="M90" s="85">
        <f>IF(OR($J90="",$K90=""),"",ROUND(($K90-$J90)*24-$L90/60,2))</f>
        <v/>
      </c>
      <c r="N90" s="16">
        <f>IF($C90="","",IF(AND(COUNTIF(設定!$B$15:$B$21,$G90)&gt;0,$J90&lt;&gt;""),"假日出勤",IF(AND(COUNTIF(設定!$B$6:$B$14,$G90)&gt;0,$J90=""),"未打卡",IF($J90="","",IF($O90&gt;0,"遲到",IF($P90&gt;0,"早退","正常"))))))</f>
        <v/>
      </c>
      <c r="O90" s="84">
        <f>IF(OR($C90="",$H90="",$J90=""),0,IF(ROUND(($J90-$H90)*1440,0)&gt;設定!$C$46,ROUND(($J90-$H90)*1440,0),0))</f>
        <v/>
      </c>
      <c r="P90" s="84">
        <f>IF(OR($C90="",$I90="",$K90=""),0,IF(ROUND(($I90-$K90)*1440,0)&gt;設定!$C$46,ROUND(($I90-$K90)*1440,0),0))</f>
        <v/>
      </c>
      <c r="Q90" s="85">
        <f>IF($M90="",0,IF(($M90-IFERROR(INDEX(設定!$G$6:$G$21,MATCH($G90,設定!$B$6:$B$21,0)),0))*60&gt;=設定!$C$44,ROUND(FLOOR(($M90-IFERROR(INDEX(設定!$G$6:$G$21,MATCH($G90,設定!$B$6:$B$21,0)),0))*60,設定!$C$45)/60,2),0))</f>
        <v/>
      </c>
      <c r="R90" s="16">
        <f>IF(OR($C90="",$Q90=0),"",IF($G90="國","國定假日",IF($B90="日","例假",IF($B90="六","休息日","平日"))))</f>
        <v/>
      </c>
      <c r="S90" s="19" t="n"/>
    </row>
    <row r="91">
      <c r="A91" s="82">
        <f>IF(OR(助理班表!$A7="",27&gt;DAY(EOMONTH(DATE(設定!$C$2,設定!$D$2,1),0))),"",DATE(設定!$C$2,設定!$D$2,27))</f>
        <v/>
      </c>
      <c r="B91" s="16">
        <f>IF($A91="","",INDEX(設定!$O$6:$O$12,WEEKDAY($A91,1)))</f>
        <v/>
      </c>
      <c r="C91" s="16">
        <f>IF($A91="","",助理班表!$A7)</f>
        <v/>
      </c>
      <c r="D91" s="16">
        <f>IF($C91="","",助理班表!$B7)</f>
        <v/>
      </c>
      <c r="E91" s="16">
        <f>IF($C91="","",助理班表!$D7)</f>
        <v/>
      </c>
      <c r="F91" s="16">
        <f>IF($C91="","",助理班表!$C7)</f>
        <v/>
      </c>
      <c r="G91" s="16">
        <f>IF($C91="","",助理班表!AE7)</f>
        <v/>
      </c>
      <c r="H91" s="83">
        <f>IF($G91="","",IFERROR(IF(INDEX(設定!$D$6:$D$21,MATCH($G91,設定!$B$6:$B$21,0))=0,"",INDEX(設定!$D$6:$D$21,MATCH($G91,設定!$B$6:$B$21,0))),""))</f>
        <v/>
      </c>
      <c r="I91" s="83">
        <f>IF($G91="","",IFERROR(IF(INDEX(設定!$E$6:$E$21,MATCH($G91,設定!$B$6:$B$21,0))=0,"",INDEX(設定!$E$6:$E$21,MATCH($G91,設定!$B$6:$B$21,0))),""))</f>
        <v/>
      </c>
      <c r="J91" s="83">
        <f>IFERROR(INDEX(打卡匯入!$C$3:$C$2002,MATCH($C91&amp;"|"&amp;DAY($A91),打卡匯入!$E$3:$E$2002,0)),"")</f>
        <v/>
      </c>
      <c r="K91" s="83">
        <f>IFERROR(INDEX(打卡匯入!$D$3:$D$2002,MATCH($C91&amp;"|"&amp;DAY($A91),打卡匯入!$E$3:$E$2002,0)),"")</f>
        <v/>
      </c>
      <c r="L91" s="84">
        <f>IF(OR($J91="",$K91=""),"",IFERROR(INDEX(設定!$F$6:$F$21,MATCH($G91,設定!$B$6:$B$21,0)),0))</f>
        <v/>
      </c>
      <c r="M91" s="85">
        <f>IF(OR($J91="",$K91=""),"",ROUND(($K91-$J91)*24-$L91/60,2))</f>
        <v/>
      </c>
      <c r="N91" s="16">
        <f>IF($C91="","",IF(AND(COUNTIF(設定!$B$15:$B$21,$G91)&gt;0,$J91&lt;&gt;""),"假日出勤",IF(AND(COUNTIF(設定!$B$6:$B$14,$G91)&gt;0,$J91=""),"未打卡",IF($J91="","",IF($O91&gt;0,"遲到",IF($P91&gt;0,"早退","正常"))))))</f>
        <v/>
      </c>
      <c r="O91" s="84">
        <f>IF(OR($C91="",$H91="",$J91=""),0,IF(ROUND(($J91-$H91)*1440,0)&gt;設定!$C$46,ROUND(($J91-$H91)*1440,0),0))</f>
        <v/>
      </c>
      <c r="P91" s="84">
        <f>IF(OR($C91="",$I91="",$K91=""),0,IF(ROUND(($I91-$K91)*1440,0)&gt;設定!$C$46,ROUND(($I91-$K91)*1440,0),0))</f>
        <v/>
      </c>
      <c r="Q91" s="85">
        <f>IF($M91="",0,IF(($M91-IFERROR(INDEX(設定!$G$6:$G$21,MATCH($G91,設定!$B$6:$B$21,0)),0))*60&gt;=設定!$C$44,ROUND(FLOOR(($M91-IFERROR(INDEX(設定!$G$6:$G$21,MATCH($G91,設定!$B$6:$B$21,0)),0))*60,設定!$C$45)/60,2),0))</f>
        <v/>
      </c>
      <c r="R91" s="16">
        <f>IF(OR($C91="",$Q91=0),"",IF($G91="國","國定假日",IF($B91="日","例假",IF($B91="六","休息日","平日"))))</f>
        <v/>
      </c>
      <c r="S91" s="19" t="n"/>
    </row>
    <row r="92">
      <c r="A92" s="82">
        <f>IF(OR(助理班表!$A7="",28&gt;DAY(EOMONTH(DATE(設定!$C$2,設定!$D$2,1),0))),"",DATE(設定!$C$2,設定!$D$2,28))</f>
        <v/>
      </c>
      <c r="B92" s="16">
        <f>IF($A92="","",INDEX(設定!$O$6:$O$12,WEEKDAY($A92,1)))</f>
        <v/>
      </c>
      <c r="C92" s="16">
        <f>IF($A92="","",助理班表!$A7)</f>
        <v/>
      </c>
      <c r="D92" s="16">
        <f>IF($C92="","",助理班表!$B7)</f>
        <v/>
      </c>
      <c r="E92" s="16">
        <f>IF($C92="","",助理班表!$D7)</f>
        <v/>
      </c>
      <c r="F92" s="16">
        <f>IF($C92="","",助理班表!$C7)</f>
        <v/>
      </c>
      <c r="G92" s="16">
        <f>IF($C92="","",助理班表!AF7)</f>
        <v/>
      </c>
      <c r="H92" s="83">
        <f>IF($G92="","",IFERROR(IF(INDEX(設定!$D$6:$D$21,MATCH($G92,設定!$B$6:$B$21,0))=0,"",INDEX(設定!$D$6:$D$21,MATCH($G92,設定!$B$6:$B$21,0))),""))</f>
        <v/>
      </c>
      <c r="I92" s="83">
        <f>IF($G92="","",IFERROR(IF(INDEX(設定!$E$6:$E$21,MATCH($G92,設定!$B$6:$B$21,0))=0,"",INDEX(設定!$E$6:$E$21,MATCH($G92,設定!$B$6:$B$21,0))),""))</f>
        <v/>
      </c>
      <c r="J92" s="83">
        <f>IFERROR(INDEX(打卡匯入!$C$3:$C$2002,MATCH($C92&amp;"|"&amp;DAY($A92),打卡匯入!$E$3:$E$2002,0)),"")</f>
        <v/>
      </c>
      <c r="K92" s="83">
        <f>IFERROR(INDEX(打卡匯入!$D$3:$D$2002,MATCH($C92&amp;"|"&amp;DAY($A92),打卡匯入!$E$3:$E$2002,0)),"")</f>
        <v/>
      </c>
      <c r="L92" s="84">
        <f>IF(OR($J92="",$K92=""),"",IFERROR(INDEX(設定!$F$6:$F$21,MATCH($G92,設定!$B$6:$B$21,0)),0))</f>
        <v/>
      </c>
      <c r="M92" s="85">
        <f>IF(OR($J92="",$K92=""),"",ROUND(($K92-$J92)*24-$L92/60,2))</f>
        <v/>
      </c>
      <c r="N92" s="16">
        <f>IF($C92="","",IF(AND(COUNTIF(設定!$B$15:$B$21,$G92)&gt;0,$J92&lt;&gt;""),"假日出勤",IF(AND(COUNTIF(設定!$B$6:$B$14,$G92)&gt;0,$J92=""),"未打卡",IF($J92="","",IF($O92&gt;0,"遲到",IF($P92&gt;0,"早退","正常"))))))</f>
        <v/>
      </c>
      <c r="O92" s="84">
        <f>IF(OR($C92="",$H92="",$J92=""),0,IF(ROUND(($J92-$H92)*1440,0)&gt;設定!$C$46,ROUND(($J92-$H92)*1440,0),0))</f>
        <v/>
      </c>
      <c r="P92" s="84">
        <f>IF(OR($C92="",$I92="",$K92=""),0,IF(ROUND(($I92-$K92)*1440,0)&gt;設定!$C$46,ROUND(($I92-$K92)*1440,0),0))</f>
        <v/>
      </c>
      <c r="Q92" s="85">
        <f>IF($M92="",0,IF(($M92-IFERROR(INDEX(設定!$G$6:$G$21,MATCH($G92,設定!$B$6:$B$21,0)),0))*60&gt;=設定!$C$44,ROUND(FLOOR(($M92-IFERROR(INDEX(設定!$G$6:$G$21,MATCH($G92,設定!$B$6:$B$21,0)),0))*60,設定!$C$45)/60,2),0))</f>
        <v/>
      </c>
      <c r="R92" s="16">
        <f>IF(OR($C92="",$Q92=0),"",IF($G92="國","國定假日",IF($B92="日","例假",IF($B92="六","休息日","平日"))))</f>
        <v/>
      </c>
      <c r="S92" s="19" t="n"/>
    </row>
    <row r="93">
      <c r="A93" s="82">
        <f>IF(OR(助理班表!$A7="",29&gt;DAY(EOMONTH(DATE(設定!$C$2,設定!$D$2,1),0))),"",DATE(設定!$C$2,設定!$D$2,29))</f>
        <v/>
      </c>
      <c r="B93" s="16">
        <f>IF($A93="","",INDEX(設定!$O$6:$O$12,WEEKDAY($A93,1)))</f>
        <v/>
      </c>
      <c r="C93" s="16">
        <f>IF($A93="","",助理班表!$A7)</f>
        <v/>
      </c>
      <c r="D93" s="16">
        <f>IF($C93="","",助理班表!$B7)</f>
        <v/>
      </c>
      <c r="E93" s="16">
        <f>IF($C93="","",助理班表!$D7)</f>
        <v/>
      </c>
      <c r="F93" s="16">
        <f>IF($C93="","",助理班表!$C7)</f>
        <v/>
      </c>
      <c r="G93" s="16">
        <f>IF($C93="","",助理班表!AG7)</f>
        <v/>
      </c>
      <c r="H93" s="83">
        <f>IF($G93="","",IFERROR(IF(INDEX(設定!$D$6:$D$21,MATCH($G93,設定!$B$6:$B$21,0))=0,"",INDEX(設定!$D$6:$D$21,MATCH($G93,設定!$B$6:$B$21,0))),""))</f>
        <v/>
      </c>
      <c r="I93" s="83">
        <f>IF($G93="","",IFERROR(IF(INDEX(設定!$E$6:$E$21,MATCH($G93,設定!$B$6:$B$21,0))=0,"",INDEX(設定!$E$6:$E$21,MATCH($G93,設定!$B$6:$B$21,0))),""))</f>
        <v/>
      </c>
      <c r="J93" s="83">
        <f>IFERROR(INDEX(打卡匯入!$C$3:$C$2002,MATCH($C93&amp;"|"&amp;DAY($A93),打卡匯入!$E$3:$E$2002,0)),"")</f>
        <v/>
      </c>
      <c r="K93" s="83">
        <f>IFERROR(INDEX(打卡匯入!$D$3:$D$2002,MATCH($C93&amp;"|"&amp;DAY($A93),打卡匯入!$E$3:$E$2002,0)),"")</f>
        <v/>
      </c>
      <c r="L93" s="84">
        <f>IF(OR($J93="",$K93=""),"",IFERROR(INDEX(設定!$F$6:$F$21,MATCH($G93,設定!$B$6:$B$21,0)),0))</f>
        <v/>
      </c>
      <c r="M93" s="85">
        <f>IF(OR($J93="",$K93=""),"",ROUND(($K93-$J93)*24-$L93/60,2))</f>
        <v/>
      </c>
      <c r="N93" s="16">
        <f>IF($C93="","",IF(AND(COUNTIF(設定!$B$15:$B$21,$G93)&gt;0,$J93&lt;&gt;""),"假日出勤",IF(AND(COUNTIF(設定!$B$6:$B$14,$G93)&gt;0,$J93=""),"未打卡",IF($J93="","",IF($O93&gt;0,"遲到",IF($P93&gt;0,"早退","正常"))))))</f>
        <v/>
      </c>
      <c r="O93" s="84">
        <f>IF(OR($C93="",$H93="",$J93=""),0,IF(ROUND(($J93-$H93)*1440,0)&gt;設定!$C$46,ROUND(($J93-$H93)*1440,0),0))</f>
        <v/>
      </c>
      <c r="P93" s="84">
        <f>IF(OR($C93="",$I93="",$K93=""),0,IF(ROUND(($I93-$K93)*1440,0)&gt;設定!$C$46,ROUND(($I93-$K93)*1440,0),0))</f>
        <v/>
      </c>
      <c r="Q93" s="85">
        <f>IF($M93="",0,IF(($M93-IFERROR(INDEX(設定!$G$6:$G$21,MATCH($G93,設定!$B$6:$B$21,0)),0))*60&gt;=設定!$C$44,ROUND(FLOOR(($M93-IFERROR(INDEX(設定!$G$6:$G$21,MATCH($G93,設定!$B$6:$B$21,0)),0))*60,設定!$C$45)/60,2),0))</f>
        <v/>
      </c>
      <c r="R93" s="16">
        <f>IF(OR($C93="",$Q93=0),"",IF($G93="國","國定假日",IF($B93="日","例假",IF($B93="六","休息日","平日"))))</f>
        <v/>
      </c>
      <c r="S93" s="19" t="n"/>
    </row>
    <row r="94">
      <c r="A94" s="82">
        <f>IF(OR(助理班表!$A7="",30&gt;DAY(EOMONTH(DATE(設定!$C$2,設定!$D$2,1),0))),"",DATE(設定!$C$2,設定!$D$2,30))</f>
        <v/>
      </c>
      <c r="B94" s="16">
        <f>IF($A94="","",INDEX(設定!$O$6:$O$12,WEEKDAY($A94,1)))</f>
        <v/>
      </c>
      <c r="C94" s="16">
        <f>IF($A94="","",助理班表!$A7)</f>
        <v/>
      </c>
      <c r="D94" s="16">
        <f>IF($C94="","",助理班表!$B7)</f>
        <v/>
      </c>
      <c r="E94" s="16">
        <f>IF($C94="","",助理班表!$D7)</f>
        <v/>
      </c>
      <c r="F94" s="16">
        <f>IF($C94="","",助理班表!$C7)</f>
        <v/>
      </c>
      <c r="G94" s="16">
        <f>IF($C94="","",助理班表!AH7)</f>
        <v/>
      </c>
      <c r="H94" s="83">
        <f>IF($G94="","",IFERROR(IF(INDEX(設定!$D$6:$D$21,MATCH($G94,設定!$B$6:$B$21,0))=0,"",INDEX(設定!$D$6:$D$21,MATCH($G94,設定!$B$6:$B$21,0))),""))</f>
        <v/>
      </c>
      <c r="I94" s="83">
        <f>IF($G94="","",IFERROR(IF(INDEX(設定!$E$6:$E$21,MATCH($G94,設定!$B$6:$B$21,0))=0,"",INDEX(設定!$E$6:$E$21,MATCH($G94,設定!$B$6:$B$21,0))),""))</f>
        <v/>
      </c>
      <c r="J94" s="83">
        <f>IFERROR(INDEX(打卡匯入!$C$3:$C$2002,MATCH($C94&amp;"|"&amp;DAY($A94),打卡匯入!$E$3:$E$2002,0)),"")</f>
        <v/>
      </c>
      <c r="K94" s="83">
        <f>IFERROR(INDEX(打卡匯入!$D$3:$D$2002,MATCH($C94&amp;"|"&amp;DAY($A94),打卡匯入!$E$3:$E$2002,0)),"")</f>
        <v/>
      </c>
      <c r="L94" s="84">
        <f>IF(OR($J94="",$K94=""),"",IFERROR(INDEX(設定!$F$6:$F$21,MATCH($G94,設定!$B$6:$B$21,0)),0))</f>
        <v/>
      </c>
      <c r="M94" s="85">
        <f>IF(OR($J94="",$K94=""),"",ROUND(($K94-$J94)*24-$L94/60,2))</f>
        <v/>
      </c>
      <c r="N94" s="16">
        <f>IF($C94="","",IF(AND(COUNTIF(設定!$B$15:$B$21,$G94)&gt;0,$J94&lt;&gt;""),"假日出勤",IF(AND(COUNTIF(設定!$B$6:$B$14,$G94)&gt;0,$J94=""),"未打卡",IF($J94="","",IF($O94&gt;0,"遲到",IF($P94&gt;0,"早退","正常"))))))</f>
        <v/>
      </c>
      <c r="O94" s="84">
        <f>IF(OR($C94="",$H94="",$J94=""),0,IF(ROUND(($J94-$H94)*1440,0)&gt;設定!$C$46,ROUND(($J94-$H94)*1440,0),0))</f>
        <v/>
      </c>
      <c r="P94" s="84">
        <f>IF(OR($C94="",$I94="",$K94=""),0,IF(ROUND(($I94-$K94)*1440,0)&gt;設定!$C$46,ROUND(($I94-$K94)*1440,0),0))</f>
        <v/>
      </c>
      <c r="Q94" s="85">
        <f>IF($M94="",0,IF(($M94-IFERROR(INDEX(設定!$G$6:$G$21,MATCH($G94,設定!$B$6:$B$21,0)),0))*60&gt;=設定!$C$44,ROUND(FLOOR(($M94-IFERROR(INDEX(設定!$G$6:$G$21,MATCH($G94,設定!$B$6:$B$21,0)),0))*60,設定!$C$45)/60,2),0))</f>
        <v/>
      </c>
      <c r="R94" s="16">
        <f>IF(OR($C94="",$Q94=0),"",IF($G94="國","國定假日",IF($B94="日","例假",IF($B94="六","休息日","平日"))))</f>
        <v/>
      </c>
      <c r="S94" s="19" t="n"/>
    </row>
    <row r="95">
      <c r="A95" s="82">
        <f>IF(OR(助理班表!$A7="",31&gt;DAY(EOMONTH(DATE(設定!$C$2,設定!$D$2,1),0))),"",DATE(設定!$C$2,設定!$D$2,31))</f>
        <v/>
      </c>
      <c r="B95" s="16">
        <f>IF($A95="","",INDEX(設定!$O$6:$O$12,WEEKDAY($A95,1)))</f>
        <v/>
      </c>
      <c r="C95" s="16">
        <f>IF($A95="","",助理班表!$A7)</f>
        <v/>
      </c>
      <c r="D95" s="16">
        <f>IF($C95="","",助理班表!$B7)</f>
        <v/>
      </c>
      <c r="E95" s="16">
        <f>IF($C95="","",助理班表!$D7)</f>
        <v/>
      </c>
      <c r="F95" s="16">
        <f>IF($C95="","",助理班表!$C7)</f>
        <v/>
      </c>
      <c r="G95" s="16">
        <f>IF($C95="","",助理班表!AI7)</f>
        <v/>
      </c>
      <c r="H95" s="83">
        <f>IF($G95="","",IFERROR(IF(INDEX(設定!$D$6:$D$21,MATCH($G95,設定!$B$6:$B$21,0))=0,"",INDEX(設定!$D$6:$D$21,MATCH($G95,設定!$B$6:$B$21,0))),""))</f>
        <v/>
      </c>
      <c r="I95" s="83">
        <f>IF($G95="","",IFERROR(IF(INDEX(設定!$E$6:$E$21,MATCH($G95,設定!$B$6:$B$21,0))=0,"",INDEX(設定!$E$6:$E$21,MATCH($G95,設定!$B$6:$B$21,0))),""))</f>
        <v/>
      </c>
      <c r="J95" s="83">
        <f>IFERROR(INDEX(打卡匯入!$C$3:$C$2002,MATCH($C95&amp;"|"&amp;DAY($A95),打卡匯入!$E$3:$E$2002,0)),"")</f>
        <v/>
      </c>
      <c r="K95" s="83">
        <f>IFERROR(INDEX(打卡匯入!$D$3:$D$2002,MATCH($C95&amp;"|"&amp;DAY($A95),打卡匯入!$E$3:$E$2002,0)),"")</f>
        <v/>
      </c>
      <c r="L95" s="84">
        <f>IF(OR($J95="",$K95=""),"",IFERROR(INDEX(設定!$F$6:$F$21,MATCH($G95,設定!$B$6:$B$21,0)),0))</f>
        <v/>
      </c>
      <c r="M95" s="85">
        <f>IF(OR($J95="",$K95=""),"",ROUND(($K95-$J95)*24-$L95/60,2))</f>
        <v/>
      </c>
      <c r="N95" s="16">
        <f>IF($C95="","",IF(AND(COUNTIF(設定!$B$15:$B$21,$G95)&gt;0,$J95&lt;&gt;""),"假日出勤",IF(AND(COUNTIF(設定!$B$6:$B$14,$G95)&gt;0,$J95=""),"未打卡",IF($J95="","",IF($O95&gt;0,"遲到",IF($P95&gt;0,"早退","正常"))))))</f>
        <v/>
      </c>
      <c r="O95" s="84">
        <f>IF(OR($C95="",$H95="",$J95=""),0,IF(ROUND(($J95-$H95)*1440,0)&gt;設定!$C$46,ROUND(($J95-$H95)*1440,0),0))</f>
        <v/>
      </c>
      <c r="P95" s="84">
        <f>IF(OR($C95="",$I95="",$K95=""),0,IF(ROUND(($I95-$K95)*1440,0)&gt;設定!$C$46,ROUND(($I95-$K95)*1440,0),0))</f>
        <v/>
      </c>
      <c r="Q95" s="85">
        <f>IF($M95="",0,IF(($M95-IFERROR(INDEX(設定!$G$6:$G$21,MATCH($G95,設定!$B$6:$B$21,0)),0))*60&gt;=設定!$C$44,ROUND(FLOOR(($M95-IFERROR(INDEX(設定!$G$6:$G$21,MATCH($G95,設定!$B$6:$B$21,0)),0))*60,設定!$C$45)/60,2),0))</f>
        <v/>
      </c>
      <c r="R95" s="16">
        <f>IF(OR($C95="",$Q95=0),"",IF($G95="國","國定假日",IF($B95="日","例假",IF($B95="六","休息日","平日"))))</f>
        <v/>
      </c>
      <c r="S95" s="19" t="n"/>
    </row>
    <row r="96">
      <c r="A96" s="82">
        <f>IF(OR(助理班表!$A8="",1&gt;DAY(EOMONTH(DATE(設定!$C$2,設定!$D$2,1),0))),"",DATE(設定!$C$2,設定!$D$2,1))</f>
        <v/>
      </c>
      <c r="B96" s="16">
        <f>IF($A96="","",INDEX(設定!$O$6:$O$12,WEEKDAY($A96,1)))</f>
        <v/>
      </c>
      <c r="C96" s="16">
        <f>IF($A96="","",助理班表!$A8)</f>
        <v/>
      </c>
      <c r="D96" s="16">
        <f>IF($C96="","",助理班表!$B8)</f>
        <v/>
      </c>
      <c r="E96" s="16">
        <f>IF($C96="","",助理班表!$D8)</f>
        <v/>
      </c>
      <c r="F96" s="16">
        <f>IF($C96="","",助理班表!$C8)</f>
        <v/>
      </c>
      <c r="G96" s="16">
        <f>IF($C96="","",助理班表!E8)</f>
        <v/>
      </c>
      <c r="H96" s="83">
        <f>IF($G96="","",IFERROR(IF(INDEX(設定!$D$6:$D$21,MATCH($G96,設定!$B$6:$B$21,0))=0,"",INDEX(設定!$D$6:$D$21,MATCH($G96,設定!$B$6:$B$21,0))),""))</f>
        <v/>
      </c>
      <c r="I96" s="83">
        <f>IF($G96="","",IFERROR(IF(INDEX(設定!$E$6:$E$21,MATCH($G96,設定!$B$6:$B$21,0))=0,"",INDEX(設定!$E$6:$E$21,MATCH($G96,設定!$B$6:$B$21,0))),""))</f>
        <v/>
      </c>
      <c r="J96" s="83">
        <f>IFERROR(INDEX(打卡匯入!$C$3:$C$2002,MATCH($C96&amp;"|"&amp;DAY($A96),打卡匯入!$E$3:$E$2002,0)),"")</f>
        <v/>
      </c>
      <c r="K96" s="83">
        <f>IFERROR(INDEX(打卡匯入!$D$3:$D$2002,MATCH($C96&amp;"|"&amp;DAY($A96),打卡匯入!$E$3:$E$2002,0)),"")</f>
        <v/>
      </c>
      <c r="L96" s="84">
        <f>IF(OR($J96="",$K96=""),"",IFERROR(INDEX(設定!$F$6:$F$21,MATCH($G96,設定!$B$6:$B$21,0)),0))</f>
        <v/>
      </c>
      <c r="M96" s="85">
        <f>IF(OR($J96="",$K96=""),"",ROUND(($K96-$J96)*24-$L96/60,2))</f>
        <v/>
      </c>
      <c r="N96" s="16">
        <f>IF($C96="","",IF(AND(COUNTIF(設定!$B$15:$B$21,$G96)&gt;0,$J96&lt;&gt;""),"假日出勤",IF(AND(COUNTIF(設定!$B$6:$B$14,$G96)&gt;0,$J96=""),"未打卡",IF($J96="","",IF($O96&gt;0,"遲到",IF($P96&gt;0,"早退","正常"))))))</f>
        <v/>
      </c>
      <c r="O96" s="84">
        <f>IF(OR($C96="",$H96="",$J96=""),0,IF(ROUND(($J96-$H96)*1440,0)&gt;設定!$C$46,ROUND(($J96-$H96)*1440,0),0))</f>
        <v/>
      </c>
      <c r="P96" s="84">
        <f>IF(OR($C96="",$I96="",$K96=""),0,IF(ROUND(($I96-$K96)*1440,0)&gt;設定!$C$46,ROUND(($I96-$K96)*1440,0),0))</f>
        <v/>
      </c>
      <c r="Q96" s="85">
        <f>IF($M96="",0,IF(($M96-IFERROR(INDEX(設定!$G$6:$G$21,MATCH($G96,設定!$B$6:$B$21,0)),0))*60&gt;=設定!$C$44,ROUND(FLOOR(($M96-IFERROR(INDEX(設定!$G$6:$G$21,MATCH($G96,設定!$B$6:$B$21,0)),0))*60,設定!$C$45)/60,2),0))</f>
        <v/>
      </c>
      <c r="R96" s="16">
        <f>IF(OR($C96="",$Q96=0),"",IF($G96="國","國定假日",IF($B96="日","例假",IF($B96="六","休息日","平日"))))</f>
        <v/>
      </c>
      <c r="S96" s="19" t="n"/>
    </row>
    <row r="97">
      <c r="A97" s="82">
        <f>IF(OR(助理班表!$A8="",2&gt;DAY(EOMONTH(DATE(設定!$C$2,設定!$D$2,1),0))),"",DATE(設定!$C$2,設定!$D$2,2))</f>
        <v/>
      </c>
      <c r="B97" s="16">
        <f>IF($A97="","",INDEX(設定!$O$6:$O$12,WEEKDAY($A97,1)))</f>
        <v/>
      </c>
      <c r="C97" s="16">
        <f>IF($A97="","",助理班表!$A8)</f>
        <v/>
      </c>
      <c r="D97" s="16">
        <f>IF($C97="","",助理班表!$B8)</f>
        <v/>
      </c>
      <c r="E97" s="16">
        <f>IF($C97="","",助理班表!$D8)</f>
        <v/>
      </c>
      <c r="F97" s="16">
        <f>IF($C97="","",助理班表!$C8)</f>
        <v/>
      </c>
      <c r="G97" s="16">
        <f>IF($C97="","",助理班表!F8)</f>
        <v/>
      </c>
      <c r="H97" s="83">
        <f>IF($G97="","",IFERROR(IF(INDEX(設定!$D$6:$D$21,MATCH($G97,設定!$B$6:$B$21,0))=0,"",INDEX(設定!$D$6:$D$21,MATCH($G97,設定!$B$6:$B$21,0))),""))</f>
        <v/>
      </c>
      <c r="I97" s="83">
        <f>IF($G97="","",IFERROR(IF(INDEX(設定!$E$6:$E$21,MATCH($G97,設定!$B$6:$B$21,0))=0,"",INDEX(設定!$E$6:$E$21,MATCH($G97,設定!$B$6:$B$21,0))),""))</f>
        <v/>
      </c>
      <c r="J97" s="83">
        <f>IFERROR(INDEX(打卡匯入!$C$3:$C$2002,MATCH($C97&amp;"|"&amp;DAY($A97),打卡匯入!$E$3:$E$2002,0)),"")</f>
        <v/>
      </c>
      <c r="K97" s="83">
        <f>IFERROR(INDEX(打卡匯入!$D$3:$D$2002,MATCH($C97&amp;"|"&amp;DAY($A97),打卡匯入!$E$3:$E$2002,0)),"")</f>
        <v/>
      </c>
      <c r="L97" s="84">
        <f>IF(OR($J97="",$K97=""),"",IFERROR(INDEX(設定!$F$6:$F$21,MATCH($G97,設定!$B$6:$B$21,0)),0))</f>
        <v/>
      </c>
      <c r="M97" s="85">
        <f>IF(OR($J97="",$K97=""),"",ROUND(($K97-$J97)*24-$L97/60,2))</f>
        <v/>
      </c>
      <c r="N97" s="16">
        <f>IF($C97="","",IF(AND(COUNTIF(設定!$B$15:$B$21,$G97)&gt;0,$J97&lt;&gt;""),"假日出勤",IF(AND(COUNTIF(設定!$B$6:$B$14,$G97)&gt;0,$J97=""),"未打卡",IF($J97="","",IF($O97&gt;0,"遲到",IF($P97&gt;0,"早退","正常"))))))</f>
        <v/>
      </c>
      <c r="O97" s="84">
        <f>IF(OR($C97="",$H97="",$J97=""),0,IF(ROUND(($J97-$H97)*1440,0)&gt;設定!$C$46,ROUND(($J97-$H97)*1440,0),0))</f>
        <v/>
      </c>
      <c r="P97" s="84">
        <f>IF(OR($C97="",$I97="",$K97=""),0,IF(ROUND(($I97-$K97)*1440,0)&gt;設定!$C$46,ROUND(($I97-$K97)*1440,0),0))</f>
        <v/>
      </c>
      <c r="Q97" s="85">
        <f>IF($M97="",0,IF(($M97-IFERROR(INDEX(設定!$G$6:$G$21,MATCH($G97,設定!$B$6:$B$21,0)),0))*60&gt;=設定!$C$44,ROUND(FLOOR(($M97-IFERROR(INDEX(設定!$G$6:$G$21,MATCH($G97,設定!$B$6:$B$21,0)),0))*60,設定!$C$45)/60,2),0))</f>
        <v/>
      </c>
      <c r="R97" s="16">
        <f>IF(OR($C97="",$Q97=0),"",IF($G97="國","國定假日",IF($B97="日","例假",IF($B97="六","休息日","平日"))))</f>
        <v/>
      </c>
      <c r="S97" s="19" t="n"/>
    </row>
    <row r="98">
      <c r="A98" s="82">
        <f>IF(OR(助理班表!$A8="",3&gt;DAY(EOMONTH(DATE(設定!$C$2,設定!$D$2,1),0))),"",DATE(設定!$C$2,設定!$D$2,3))</f>
        <v/>
      </c>
      <c r="B98" s="16">
        <f>IF($A98="","",INDEX(設定!$O$6:$O$12,WEEKDAY($A98,1)))</f>
        <v/>
      </c>
      <c r="C98" s="16">
        <f>IF($A98="","",助理班表!$A8)</f>
        <v/>
      </c>
      <c r="D98" s="16">
        <f>IF($C98="","",助理班表!$B8)</f>
        <v/>
      </c>
      <c r="E98" s="16">
        <f>IF($C98="","",助理班表!$D8)</f>
        <v/>
      </c>
      <c r="F98" s="16">
        <f>IF($C98="","",助理班表!$C8)</f>
        <v/>
      </c>
      <c r="G98" s="16">
        <f>IF($C98="","",助理班表!G8)</f>
        <v/>
      </c>
      <c r="H98" s="83">
        <f>IF($G98="","",IFERROR(IF(INDEX(設定!$D$6:$D$21,MATCH($G98,設定!$B$6:$B$21,0))=0,"",INDEX(設定!$D$6:$D$21,MATCH($G98,設定!$B$6:$B$21,0))),""))</f>
        <v/>
      </c>
      <c r="I98" s="83">
        <f>IF($G98="","",IFERROR(IF(INDEX(設定!$E$6:$E$21,MATCH($G98,設定!$B$6:$B$21,0))=0,"",INDEX(設定!$E$6:$E$21,MATCH($G98,設定!$B$6:$B$21,0))),""))</f>
        <v/>
      </c>
      <c r="J98" s="83">
        <f>IFERROR(INDEX(打卡匯入!$C$3:$C$2002,MATCH($C98&amp;"|"&amp;DAY($A98),打卡匯入!$E$3:$E$2002,0)),"")</f>
        <v/>
      </c>
      <c r="K98" s="83">
        <f>IFERROR(INDEX(打卡匯入!$D$3:$D$2002,MATCH($C98&amp;"|"&amp;DAY($A98),打卡匯入!$E$3:$E$2002,0)),"")</f>
        <v/>
      </c>
      <c r="L98" s="84">
        <f>IF(OR($J98="",$K98=""),"",IFERROR(INDEX(設定!$F$6:$F$21,MATCH($G98,設定!$B$6:$B$21,0)),0))</f>
        <v/>
      </c>
      <c r="M98" s="85">
        <f>IF(OR($J98="",$K98=""),"",ROUND(($K98-$J98)*24-$L98/60,2))</f>
        <v/>
      </c>
      <c r="N98" s="16">
        <f>IF($C98="","",IF(AND(COUNTIF(設定!$B$15:$B$21,$G98)&gt;0,$J98&lt;&gt;""),"假日出勤",IF(AND(COUNTIF(設定!$B$6:$B$14,$G98)&gt;0,$J98=""),"未打卡",IF($J98="","",IF($O98&gt;0,"遲到",IF($P98&gt;0,"早退","正常"))))))</f>
        <v/>
      </c>
      <c r="O98" s="84">
        <f>IF(OR($C98="",$H98="",$J98=""),0,IF(ROUND(($J98-$H98)*1440,0)&gt;設定!$C$46,ROUND(($J98-$H98)*1440,0),0))</f>
        <v/>
      </c>
      <c r="P98" s="84">
        <f>IF(OR($C98="",$I98="",$K98=""),0,IF(ROUND(($I98-$K98)*1440,0)&gt;設定!$C$46,ROUND(($I98-$K98)*1440,0),0))</f>
        <v/>
      </c>
      <c r="Q98" s="85">
        <f>IF($M98="",0,IF(($M98-IFERROR(INDEX(設定!$G$6:$G$21,MATCH($G98,設定!$B$6:$B$21,0)),0))*60&gt;=設定!$C$44,ROUND(FLOOR(($M98-IFERROR(INDEX(設定!$G$6:$G$21,MATCH($G98,設定!$B$6:$B$21,0)),0))*60,設定!$C$45)/60,2),0))</f>
        <v/>
      </c>
      <c r="R98" s="16">
        <f>IF(OR($C98="",$Q98=0),"",IF($G98="國","國定假日",IF($B98="日","例假",IF($B98="六","休息日","平日"))))</f>
        <v/>
      </c>
      <c r="S98" s="19" t="n"/>
    </row>
    <row r="99">
      <c r="A99" s="82">
        <f>IF(OR(助理班表!$A8="",4&gt;DAY(EOMONTH(DATE(設定!$C$2,設定!$D$2,1),0))),"",DATE(設定!$C$2,設定!$D$2,4))</f>
        <v/>
      </c>
      <c r="B99" s="16">
        <f>IF($A99="","",INDEX(設定!$O$6:$O$12,WEEKDAY($A99,1)))</f>
        <v/>
      </c>
      <c r="C99" s="16">
        <f>IF($A99="","",助理班表!$A8)</f>
        <v/>
      </c>
      <c r="D99" s="16">
        <f>IF($C99="","",助理班表!$B8)</f>
        <v/>
      </c>
      <c r="E99" s="16">
        <f>IF($C99="","",助理班表!$D8)</f>
        <v/>
      </c>
      <c r="F99" s="16">
        <f>IF($C99="","",助理班表!$C8)</f>
        <v/>
      </c>
      <c r="G99" s="16">
        <f>IF($C99="","",助理班表!H8)</f>
        <v/>
      </c>
      <c r="H99" s="83">
        <f>IF($G99="","",IFERROR(IF(INDEX(設定!$D$6:$D$21,MATCH($G99,設定!$B$6:$B$21,0))=0,"",INDEX(設定!$D$6:$D$21,MATCH($G99,設定!$B$6:$B$21,0))),""))</f>
        <v/>
      </c>
      <c r="I99" s="83">
        <f>IF($G99="","",IFERROR(IF(INDEX(設定!$E$6:$E$21,MATCH($G99,設定!$B$6:$B$21,0))=0,"",INDEX(設定!$E$6:$E$21,MATCH($G99,設定!$B$6:$B$21,0))),""))</f>
        <v/>
      </c>
      <c r="J99" s="83">
        <f>IFERROR(INDEX(打卡匯入!$C$3:$C$2002,MATCH($C99&amp;"|"&amp;DAY($A99),打卡匯入!$E$3:$E$2002,0)),"")</f>
        <v/>
      </c>
      <c r="K99" s="83">
        <f>IFERROR(INDEX(打卡匯入!$D$3:$D$2002,MATCH($C99&amp;"|"&amp;DAY($A99),打卡匯入!$E$3:$E$2002,0)),"")</f>
        <v/>
      </c>
      <c r="L99" s="84">
        <f>IF(OR($J99="",$K99=""),"",IFERROR(INDEX(設定!$F$6:$F$21,MATCH($G99,設定!$B$6:$B$21,0)),0))</f>
        <v/>
      </c>
      <c r="M99" s="85">
        <f>IF(OR($J99="",$K99=""),"",ROUND(($K99-$J99)*24-$L99/60,2))</f>
        <v/>
      </c>
      <c r="N99" s="16">
        <f>IF($C99="","",IF(AND(COUNTIF(設定!$B$15:$B$21,$G99)&gt;0,$J99&lt;&gt;""),"假日出勤",IF(AND(COUNTIF(設定!$B$6:$B$14,$G99)&gt;0,$J99=""),"未打卡",IF($J99="","",IF($O99&gt;0,"遲到",IF($P99&gt;0,"早退","正常"))))))</f>
        <v/>
      </c>
      <c r="O99" s="84">
        <f>IF(OR($C99="",$H99="",$J99=""),0,IF(ROUND(($J99-$H99)*1440,0)&gt;設定!$C$46,ROUND(($J99-$H99)*1440,0),0))</f>
        <v/>
      </c>
      <c r="P99" s="84">
        <f>IF(OR($C99="",$I99="",$K99=""),0,IF(ROUND(($I99-$K99)*1440,0)&gt;設定!$C$46,ROUND(($I99-$K99)*1440,0),0))</f>
        <v/>
      </c>
      <c r="Q99" s="85">
        <f>IF($M99="",0,IF(($M99-IFERROR(INDEX(設定!$G$6:$G$21,MATCH($G99,設定!$B$6:$B$21,0)),0))*60&gt;=設定!$C$44,ROUND(FLOOR(($M99-IFERROR(INDEX(設定!$G$6:$G$21,MATCH($G99,設定!$B$6:$B$21,0)),0))*60,設定!$C$45)/60,2),0))</f>
        <v/>
      </c>
      <c r="R99" s="16">
        <f>IF(OR($C99="",$Q99=0),"",IF($G99="國","國定假日",IF($B99="日","例假",IF($B99="六","休息日","平日"))))</f>
        <v/>
      </c>
      <c r="S99" s="19" t="n"/>
    </row>
    <row r="100">
      <c r="A100" s="82">
        <f>IF(OR(助理班表!$A8="",5&gt;DAY(EOMONTH(DATE(設定!$C$2,設定!$D$2,1),0))),"",DATE(設定!$C$2,設定!$D$2,5))</f>
        <v/>
      </c>
      <c r="B100" s="16">
        <f>IF($A100="","",INDEX(設定!$O$6:$O$12,WEEKDAY($A100,1)))</f>
        <v/>
      </c>
      <c r="C100" s="16">
        <f>IF($A100="","",助理班表!$A8)</f>
        <v/>
      </c>
      <c r="D100" s="16">
        <f>IF($C100="","",助理班表!$B8)</f>
        <v/>
      </c>
      <c r="E100" s="16">
        <f>IF($C100="","",助理班表!$D8)</f>
        <v/>
      </c>
      <c r="F100" s="16">
        <f>IF($C100="","",助理班表!$C8)</f>
        <v/>
      </c>
      <c r="G100" s="16">
        <f>IF($C100="","",助理班表!I8)</f>
        <v/>
      </c>
      <c r="H100" s="83">
        <f>IF($G100="","",IFERROR(IF(INDEX(設定!$D$6:$D$21,MATCH($G100,設定!$B$6:$B$21,0))=0,"",INDEX(設定!$D$6:$D$21,MATCH($G100,設定!$B$6:$B$21,0))),""))</f>
        <v/>
      </c>
      <c r="I100" s="83">
        <f>IF($G100="","",IFERROR(IF(INDEX(設定!$E$6:$E$21,MATCH($G100,設定!$B$6:$B$21,0))=0,"",INDEX(設定!$E$6:$E$21,MATCH($G100,設定!$B$6:$B$21,0))),""))</f>
        <v/>
      </c>
      <c r="J100" s="83">
        <f>IFERROR(INDEX(打卡匯入!$C$3:$C$2002,MATCH($C100&amp;"|"&amp;DAY($A100),打卡匯入!$E$3:$E$2002,0)),"")</f>
        <v/>
      </c>
      <c r="K100" s="83">
        <f>IFERROR(INDEX(打卡匯入!$D$3:$D$2002,MATCH($C100&amp;"|"&amp;DAY($A100),打卡匯入!$E$3:$E$2002,0)),"")</f>
        <v/>
      </c>
      <c r="L100" s="84">
        <f>IF(OR($J100="",$K100=""),"",IFERROR(INDEX(設定!$F$6:$F$21,MATCH($G100,設定!$B$6:$B$21,0)),0))</f>
        <v/>
      </c>
      <c r="M100" s="85">
        <f>IF(OR($J100="",$K100=""),"",ROUND(($K100-$J100)*24-$L100/60,2))</f>
        <v/>
      </c>
      <c r="N100" s="16">
        <f>IF($C100="","",IF(AND(COUNTIF(設定!$B$15:$B$21,$G100)&gt;0,$J100&lt;&gt;""),"假日出勤",IF(AND(COUNTIF(設定!$B$6:$B$14,$G100)&gt;0,$J100=""),"未打卡",IF($J100="","",IF($O100&gt;0,"遲到",IF($P100&gt;0,"早退","正常"))))))</f>
        <v/>
      </c>
      <c r="O100" s="84">
        <f>IF(OR($C100="",$H100="",$J100=""),0,IF(ROUND(($J100-$H100)*1440,0)&gt;設定!$C$46,ROUND(($J100-$H100)*1440,0),0))</f>
        <v/>
      </c>
      <c r="P100" s="84">
        <f>IF(OR($C100="",$I100="",$K100=""),0,IF(ROUND(($I100-$K100)*1440,0)&gt;設定!$C$46,ROUND(($I100-$K100)*1440,0),0))</f>
        <v/>
      </c>
      <c r="Q100" s="85">
        <f>IF($M100="",0,IF(($M100-IFERROR(INDEX(設定!$G$6:$G$21,MATCH($G100,設定!$B$6:$B$21,0)),0))*60&gt;=設定!$C$44,ROUND(FLOOR(($M100-IFERROR(INDEX(設定!$G$6:$G$21,MATCH($G100,設定!$B$6:$B$21,0)),0))*60,設定!$C$45)/60,2),0))</f>
        <v/>
      </c>
      <c r="R100" s="16">
        <f>IF(OR($C100="",$Q100=0),"",IF($G100="國","國定假日",IF($B100="日","例假",IF($B100="六","休息日","平日"))))</f>
        <v/>
      </c>
      <c r="S100" s="19" t="n"/>
    </row>
    <row r="101">
      <c r="A101" s="82">
        <f>IF(OR(助理班表!$A8="",6&gt;DAY(EOMONTH(DATE(設定!$C$2,設定!$D$2,1),0))),"",DATE(設定!$C$2,設定!$D$2,6))</f>
        <v/>
      </c>
      <c r="B101" s="16">
        <f>IF($A101="","",INDEX(設定!$O$6:$O$12,WEEKDAY($A101,1)))</f>
        <v/>
      </c>
      <c r="C101" s="16">
        <f>IF($A101="","",助理班表!$A8)</f>
        <v/>
      </c>
      <c r="D101" s="16">
        <f>IF($C101="","",助理班表!$B8)</f>
        <v/>
      </c>
      <c r="E101" s="16">
        <f>IF($C101="","",助理班表!$D8)</f>
        <v/>
      </c>
      <c r="F101" s="16">
        <f>IF($C101="","",助理班表!$C8)</f>
        <v/>
      </c>
      <c r="G101" s="16">
        <f>IF($C101="","",助理班表!J8)</f>
        <v/>
      </c>
      <c r="H101" s="83">
        <f>IF($G101="","",IFERROR(IF(INDEX(設定!$D$6:$D$21,MATCH($G101,設定!$B$6:$B$21,0))=0,"",INDEX(設定!$D$6:$D$21,MATCH($G101,設定!$B$6:$B$21,0))),""))</f>
        <v/>
      </c>
      <c r="I101" s="83">
        <f>IF($G101="","",IFERROR(IF(INDEX(設定!$E$6:$E$21,MATCH($G101,設定!$B$6:$B$21,0))=0,"",INDEX(設定!$E$6:$E$21,MATCH($G101,設定!$B$6:$B$21,0))),""))</f>
        <v/>
      </c>
      <c r="J101" s="83">
        <f>IFERROR(INDEX(打卡匯入!$C$3:$C$2002,MATCH($C101&amp;"|"&amp;DAY($A101),打卡匯入!$E$3:$E$2002,0)),"")</f>
        <v/>
      </c>
      <c r="K101" s="83">
        <f>IFERROR(INDEX(打卡匯入!$D$3:$D$2002,MATCH($C101&amp;"|"&amp;DAY($A101),打卡匯入!$E$3:$E$2002,0)),"")</f>
        <v/>
      </c>
      <c r="L101" s="84">
        <f>IF(OR($J101="",$K101=""),"",IFERROR(INDEX(設定!$F$6:$F$21,MATCH($G101,設定!$B$6:$B$21,0)),0))</f>
        <v/>
      </c>
      <c r="M101" s="85">
        <f>IF(OR($J101="",$K101=""),"",ROUND(($K101-$J101)*24-$L101/60,2))</f>
        <v/>
      </c>
      <c r="N101" s="16">
        <f>IF($C101="","",IF(AND(COUNTIF(設定!$B$15:$B$21,$G101)&gt;0,$J101&lt;&gt;""),"假日出勤",IF(AND(COUNTIF(設定!$B$6:$B$14,$G101)&gt;0,$J101=""),"未打卡",IF($J101="","",IF($O101&gt;0,"遲到",IF($P101&gt;0,"早退","正常"))))))</f>
        <v/>
      </c>
      <c r="O101" s="84">
        <f>IF(OR($C101="",$H101="",$J101=""),0,IF(ROUND(($J101-$H101)*1440,0)&gt;設定!$C$46,ROUND(($J101-$H101)*1440,0),0))</f>
        <v/>
      </c>
      <c r="P101" s="84">
        <f>IF(OR($C101="",$I101="",$K101=""),0,IF(ROUND(($I101-$K101)*1440,0)&gt;設定!$C$46,ROUND(($I101-$K101)*1440,0),0))</f>
        <v/>
      </c>
      <c r="Q101" s="85">
        <f>IF($M101="",0,IF(($M101-IFERROR(INDEX(設定!$G$6:$G$21,MATCH($G101,設定!$B$6:$B$21,0)),0))*60&gt;=設定!$C$44,ROUND(FLOOR(($M101-IFERROR(INDEX(設定!$G$6:$G$21,MATCH($G101,設定!$B$6:$B$21,0)),0))*60,設定!$C$45)/60,2),0))</f>
        <v/>
      </c>
      <c r="R101" s="16">
        <f>IF(OR($C101="",$Q101=0),"",IF($G101="國","國定假日",IF($B101="日","例假",IF($B101="六","休息日","平日"))))</f>
        <v/>
      </c>
      <c r="S101" s="19" t="n"/>
    </row>
    <row r="102">
      <c r="A102" s="82">
        <f>IF(OR(助理班表!$A8="",7&gt;DAY(EOMONTH(DATE(設定!$C$2,設定!$D$2,1),0))),"",DATE(設定!$C$2,設定!$D$2,7))</f>
        <v/>
      </c>
      <c r="B102" s="16">
        <f>IF($A102="","",INDEX(設定!$O$6:$O$12,WEEKDAY($A102,1)))</f>
        <v/>
      </c>
      <c r="C102" s="16">
        <f>IF($A102="","",助理班表!$A8)</f>
        <v/>
      </c>
      <c r="D102" s="16">
        <f>IF($C102="","",助理班表!$B8)</f>
        <v/>
      </c>
      <c r="E102" s="16">
        <f>IF($C102="","",助理班表!$D8)</f>
        <v/>
      </c>
      <c r="F102" s="16">
        <f>IF($C102="","",助理班表!$C8)</f>
        <v/>
      </c>
      <c r="G102" s="16">
        <f>IF($C102="","",助理班表!K8)</f>
        <v/>
      </c>
      <c r="H102" s="83">
        <f>IF($G102="","",IFERROR(IF(INDEX(設定!$D$6:$D$21,MATCH($G102,設定!$B$6:$B$21,0))=0,"",INDEX(設定!$D$6:$D$21,MATCH($G102,設定!$B$6:$B$21,0))),""))</f>
        <v/>
      </c>
      <c r="I102" s="83">
        <f>IF($G102="","",IFERROR(IF(INDEX(設定!$E$6:$E$21,MATCH($G102,設定!$B$6:$B$21,0))=0,"",INDEX(設定!$E$6:$E$21,MATCH($G102,設定!$B$6:$B$21,0))),""))</f>
        <v/>
      </c>
      <c r="J102" s="83">
        <f>IFERROR(INDEX(打卡匯入!$C$3:$C$2002,MATCH($C102&amp;"|"&amp;DAY($A102),打卡匯入!$E$3:$E$2002,0)),"")</f>
        <v/>
      </c>
      <c r="K102" s="83">
        <f>IFERROR(INDEX(打卡匯入!$D$3:$D$2002,MATCH($C102&amp;"|"&amp;DAY($A102),打卡匯入!$E$3:$E$2002,0)),"")</f>
        <v/>
      </c>
      <c r="L102" s="84">
        <f>IF(OR($J102="",$K102=""),"",IFERROR(INDEX(設定!$F$6:$F$21,MATCH($G102,設定!$B$6:$B$21,0)),0))</f>
        <v/>
      </c>
      <c r="M102" s="85">
        <f>IF(OR($J102="",$K102=""),"",ROUND(($K102-$J102)*24-$L102/60,2))</f>
        <v/>
      </c>
      <c r="N102" s="16">
        <f>IF($C102="","",IF(AND(COUNTIF(設定!$B$15:$B$21,$G102)&gt;0,$J102&lt;&gt;""),"假日出勤",IF(AND(COUNTIF(設定!$B$6:$B$14,$G102)&gt;0,$J102=""),"未打卡",IF($J102="","",IF($O102&gt;0,"遲到",IF($P102&gt;0,"早退","正常"))))))</f>
        <v/>
      </c>
      <c r="O102" s="84">
        <f>IF(OR($C102="",$H102="",$J102=""),0,IF(ROUND(($J102-$H102)*1440,0)&gt;設定!$C$46,ROUND(($J102-$H102)*1440,0),0))</f>
        <v/>
      </c>
      <c r="P102" s="84">
        <f>IF(OR($C102="",$I102="",$K102=""),0,IF(ROUND(($I102-$K102)*1440,0)&gt;設定!$C$46,ROUND(($I102-$K102)*1440,0),0))</f>
        <v/>
      </c>
      <c r="Q102" s="85">
        <f>IF($M102="",0,IF(($M102-IFERROR(INDEX(設定!$G$6:$G$21,MATCH($G102,設定!$B$6:$B$21,0)),0))*60&gt;=設定!$C$44,ROUND(FLOOR(($M102-IFERROR(INDEX(設定!$G$6:$G$21,MATCH($G102,設定!$B$6:$B$21,0)),0))*60,設定!$C$45)/60,2),0))</f>
        <v/>
      </c>
      <c r="R102" s="16">
        <f>IF(OR($C102="",$Q102=0),"",IF($G102="國","國定假日",IF($B102="日","例假",IF($B102="六","休息日","平日"))))</f>
        <v/>
      </c>
      <c r="S102" s="19" t="n"/>
    </row>
    <row r="103">
      <c r="A103" s="82">
        <f>IF(OR(助理班表!$A8="",8&gt;DAY(EOMONTH(DATE(設定!$C$2,設定!$D$2,1),0))),"",DATE(設定!$C$2,設定!$D$2,8))</f>
        <v/>
      </c>
      <c r="B103" s="16">
        <f>IF($A103="","",INDEX(設定!$O$6:$O$12,WEEKDAY($A103,1)))</f>
        <v/>
      </c>
      <c r="C103" s="16">
        <f>IF($A103="","",助理班表!$A8)</f>
        <v/>
      </c>
      <c r="D103" s="16">
        <f>IF($C103="","",助理班表!$B8)</f>
        <v/>
      </c>
      <c r="E103" s="16">
        <f>IF($C103="","",助理班表!$D8)</f>
        <v/>
      </c>
      <c r="F103" s="16">
        <f>IF($C103="","",助理班表!$C8)</f>
        <v/>
      </c>
      <c r="G103" s="16">
        <f>IF($C103="","",助理班表!L8)</f>
        <v/>
      </c>
      <c r="H103" s="83">
        <f>IF($G103="","",IFERROR(IF(INDEX(設定!$D$6:$D$21,MATCH($G103,設定!$B$6:$B$21,0))=0,"",INDEX(設定!$D$6:$D$21,MATCH($G103,設定!$B$6:$B$21,0))),""))</f>
        <v/>
      </c>
      <c r="I103" s="83">
        <f>IF($G103="","",IFERROR(IF(INDEX(設定!$E$6:$E$21,MATCH($G103,設定!$B$6:$B$21,0))=0,"",INDEX(設定!$E$6:$E$21,MATCH($G103,設定!$B$6:$B$21,0))),""))</f>
        <v/>
      </c>
      <c r="J103" s="83">
        <f>IFERROR(INDEX(打卡匯入!$C$3:$C$2002,MATCH($C103&amp;"|"&amp;DAY($A103),打卡匯入!$E$3:$E$2002,0)),"")</f>
        <v/>
      </c>
      <c r="K103" s="83">
        <f>IFERROR(INDEX(打卡匯入!$D$3:$D$2002,MATCH($C103&amp;"|"&amp;DAY($A103),打卡匯入!$E$3:$E$2002,0)),"")</f>
        <v/>
      </c>
      <c r="L103" s="84">
        <f>IF(OR($J103="",$K103=""),"",IFERROR(INDEX(設定!$F$6:$F$21,MATCH($G103,設定!$B$6:$B$21,0)),0))</f>
        <v/>
      </c>
      <c r="M103" s="85">
        <f>IF(OR($J103="",$K103=""),"",ROUND(($K103-$J103)*24-$L103/60,2))</f>
        <v/>
      </c>
      <c r="N103" s="16">
        <f>IF($C103="","",IF(AND(COUNTIF(設定!$B$15:$B$21,$G103)&gt;0,$J103&lt;&gt;""),"假日出勤",IF(AND(COUNTIF(設定!$B$6:$B$14,$G103)&gt;0,$J103=""),"未打卡",IF($J103="","",IF($O103&gt;0,"遲到",IF($P103&gt;0,"早退","正常"))))))</f>
        <v/>
      </c>
      <c r="O103" s="84">
        <f>IF(OR($C103="",$H103="",$J103=""),0,IF(ROUND(($J103-$H103)*1440,0)&gt;設定!$C$46,ROUND(($J103-$H103)*1440,0),0))</f>
        <v/>
      </c>
      <c r="P103" s="84">
        <f>IF(OR($C103="",$I103="",$K103=""),0,IF(ROUND(($I103-$K103)*1440,0)&gt;設定!$C$46,ROUND(($I103-$K103)*1440,0),0))</f>
        <v/>
      </c>
      <c r="Q103" s="85">
        <f>IF($M103="",0,IF(($M103-IFERROR(INDEX(設定!$G$6:$G$21,MATCH($G103,設定!$B$6:$B$21,0)),0))*60&gt;=設定!$C$44,ROUND(FLOOR(($M103-IFERROR(INDEX(設定!$G$6:$G$21,MATCH($G103,設定!$B$6:$B$21,0)),0))*60,設定!$C$45)/60,2),0))</f>
        <v/>
      </c>
      <c r="R103" s="16">
        <f>IF(OR($C103="",$Q103=0),"",IF($G103="國","國定假日",IF($B103="日","例假",IF($B103="六","休息日","平日"))))</f>
        <v/>
      </c>
      <c r="S103" s="19" t="n"/>
    </row>
    <row r="104">
      <c r="A104" s="82">
        <f>IF(OR(助理班表!$A8="",9&gt;DAY(EOMONTH(DATE(設定!$C$2,設定!$D$2,1),0))),"",DATE(設定!$C$2,設定!$D$2,9))</f>
        <v/>
      </c>
      <c r="B104" s="16">
        <f>IF($A104="","",INDEX(設定!$O$6:$O$12,WEEKDAY($A104,1)))</f>
        <v/>
      </c>
      <c r="C104" s="16">
        <f>IF($A104="","",助理班表!$A8)</f>
        <v/>
      </c>
      <c r="D104" s="16">
        <f>IF($C104="","",助理班表!$B8)</f>
        <v/>
      </c>
      <c r="E104" s="16">
        <f>IF($C104="","",助理班表!$D8)</f>
        <v/>
      </c>
      <c r="F104" s="16">
        <f>IF($C104="","",助理班表!$C8)</f>
        <v/>
      </c>
      <c r="G104" s="16">
        <f>IF($C104="","",助理班表!M8)</f>
        <v/>
      </c>
      <c r="H104" s="83">
        <f>IF($G104="","",IFERROR(IF(INDEX(設定!$D$6:$D$21,MATCH($G104,設定!$B$6:$B$21,0))=0,"",INDEX(設定!$D$6:$D$21,MATCH($G104,設定!$B$6:$B$21,0))),""))</f>
        <v/>
      </c>
      <c r="I104" s="83">
        <f>IF($G104="","",IFERROR(IF(INDEX(設定!$E$6:$E$21,MATCH($G104,設定!$B$6:$B$21,0))=0,"",INDEX(設定!$E$6:$E$21,MATCH($G104,設定!$B$6:$B$21,0))),""))</f>
        <v/>
      </c>
      <c r="J104" s="83">
        <f>IFERROR(INDEX(打卡匯入!$C$3:$C$2002,MATCH($C104&amp;"|"&amp;DAY($A104),打卡匯入!$E$3:$E$2002,0)),"")</f>
        <v/>
      </c>
      <c r="K104" s="83">
        <f>IFERROR(INDEX(打卡匯入!$D$3:$D$2002,MATCH($C104&amp;"|"&amp;DAY($A104),打卡匯入!$E$3:$E$2002,0)),"")</f>
        <v/>
      </c>
      <c r="L104" s="84">
        <f>IF(OR($J104="",$K104=""),"",IFERROR(INDEX(設定!$F$6:$F$21,MATCH($G104,設定!$B$6:$B$21,0)),0))</f>
        <v/>
      </c>
      <c r="M104" s="85">
        <f>IF(OR($J104="",$K104=""),"",ROUND(($K104-$J104)*24-$L104/60,2))</f>
        <v/>
      </c>
      <c r="N104" s="16">
        <f>IF($C104="","",IF(AND(COUNTIF(設定!$B$15:$B$21,$G104)&gt;0,$J104&lt;&gt;""),"假日出勤",IF(AND(COUNTIF(設定!$B$6:$B$14,$G104)&gt;0,$J104=""),"未打卡",IF($J104="","",IF($O104&gt;0,"遲到",IF($P104&gt;0,"早退","正常"))))))</f>
        <v/>
      </c>
      <c r="O104" s="84">
        <f>IF(OR($C104="",$H104="",$J104=""),0,IF(ROUND(($J104-$H104)*1440,0)&gt;設定!$C$46,ROUND(($J104-$H104)*1440,0),0))</f>
        <v/>
      </c>
      <c r="P104" s="84">
        <f>IF(OR($C104="",$I104="",$K104=""),0,IF(ROUND(($I104-$K104)*1440,0)&gt;設定!$C$46,ROUND(($I104-$K104)*1440,0),0))</f>
        <v/>
      </c>
      <c r="Q104" s="85">
        <f>IF($M104="",0,IF(($M104-IFERROR(INDEX(設定!$G$6:$G$21,MATCH($G104,設定!$B$6:$B$21,0)),0))*60&gt;=設定!$C$44,ROUND(FLOOR(($M104-IFERROR(INDEX(設定!$G$6:$G$21,MATCH($G104,設定!$B$6:$B$21,0)),0))*60,設定!$C$45)/60,2),0))</f>
        <v/>
      </c>
      <c r="R104" s="16">
        <f>IF(OR($C104="",$Q104=0),"",IF($G104="國","國定假日",IF($B104="日","例假",IF($B104="六","休息日","平日"))))</f>
        <v/>
      </c>
      <c r="S104" s="19" t="n"/>
    </row>
    <row r="105">
      <c r="A105" s="82">
        <f>IF(OR(助理班表!$A8="",10&gt;DAY(EOMONTH(DATE(設定!$C$2,設定!$D$2,1),0))),"",DATE(設定!$C$2,設定!$D$2,10))</f>
        <v/>
      </c>
      <c r="B105" s="16">
        <f>IF($A105="","",INDEX(設定!$O$6:$O$12,WEEKDAY($A105,1)))</f>
        <v/>
      </c>
      <c r="C105" s="16">
        <f>IF($A105="","",助理班表!$A8)</f>
        <v/>
      </c>
      <c r="D105" s="16">
        <f>IF($C105="","",助理班表!$B8)</f>
        <v/>
      </c>
      <c r="E105" s="16">
        <f>IF($C105="","",助理班表!$D8)</f>
        <v/>
      </c>
      <c r="F105" s="16">
        <f>IF($C105="","",助理班表!$C8)</f>
        <v/>
      </c>
      <c r="G105" s="16">
        <f>IF($C105="","",助理班表!N8)</f>
        <v/>
      </c>
      <c r="H105" s="83">
        <f>IF($G105="","",IFERROR(IF(INDEX(設定!$D$6:$D$21,MATCH($G105,設定!$B$6:$B$21,0))=0,"",INDEX(設定!$D$6:$D$21,MATCH($G105,設定!$B$6:$B$21,0))),""))</f>
        <v/>
      </c>
      <c r="I105" s="83">
        <f>IF($G105="","",IFERROR(IF(INDEX(設定!$E$6:$E$21,MATCH($G105,設定!$B$6:$B$21,0))=0,"",INDEX(設定!$E$6:$E$21,MATCH($G105,設定!$B$6:$B$21,0))),""))</f>
        <v/>
      </c>
      <c r="J105" s="83">
        <f>IFERROR(INDEX(打卡匯入!$C$3:$C$2002,MATCH($C105&amp;"|"&amp;DAY($A105),打卡匯入!$E$3:$E$2002,0)),"")</f>
        <v/>
      </c>
      <c r="K105" s="83">
        <f>IFERROR(INDEX(打卡匯入!$D$3:$D$2002,MATCH($C105&amp;"|"&amp;DAY($A105),打卡匯入!$E$3:$E$2002,0)),"")</f>
        <v/>
      </c>
      <c r="L105" s="84">
        <f>IF(OR($J105="",$K105=""),"",IFERROR(INDEX(設定!$F$6:$F$21,MATCH($G105,設定!$B$6:$B$21,0)),0))</f>
        <v/>
      </c>
      <c r="M105" s="85">
        <f>IF(OR($J105="",$K105=""),"",ROUND(($K105-$J105)*24-$L105/60,2))</f>
        <v/>
      </c>
      <c r="N105" s="16">
        <f>IF($C105="","",IF(AND(COUNTIF(設定!$B$15:$B$21,$G105)&gt;0,$J105&lt;&gt;""),"假日出勤",IF(AND(COUNTIF(設定!$B$6:$B$14,$G105)&gt;0,$J105=""),"未打卡",IF($J105="","",IF($O105&gt;0,"遲到",IF($P105&gt;0,"早退","正常"))))))</f>
        <v/>
      </c>
      <c r="O105" s="84">
        <f>IF(OR($C105="",$H105="",$J105=""),0,IF(ROUND(($J105-$H105)*1440,0)&gt;設定!$C$46,ROUND(($J105-$H105)*1440,0),0))</f>
        <v/>
      </c>
      <c r="P105" s="84">
        <f>IF(OR($C105="",$I105="",$K105=""),0,IF(ROUND(($I105-$K105)*1440,0)&gt;設定!$C$46,ROUND(($I105-$K105)*1440,0),0))</f>
        <v/>
      </c>
      <c r="Q105" s="85">
        <f>IF($M105="",0,IF(($M105-IFERROR(INDEX(設定!$G$6:$G$21,MATCH($G105,設定!$B$6:$B$21,0)),0))*60&gt;=設定!$C$44,ROUND(FLOOR(($M105-IFERROR(INDEX(設定!$G$6:$G$21,MATCH($G105,設定!$B$6:$B$21,0)),0))*60,設定!$C$45)/60,2),0))</f>
        <v/>
      </c>
      <c r="R105" s="16">
        <f>IF(OR($C105="",$Q105=0),"",IF($G105="國","國定假日",IF($B105="日","例假",IF($B105="六","休息日","平日"))))</f>
        <v/>
      </c>
      <c r="S105" s="19" t="n"/>
    </row>
    <row r="106">
      <c r="A106" s="82">
        <f>IF(OR(助理班表!$A8="",11&gt;DAY(EOMONTH(DATE(設定!$C$2,設定!$D$2,1),0))),"",DATE(設定!$C$2,設定!$D$2,11))</f>
        <v/>
      </c>
      <c r="B106" s="16">
        <f>IF($A106="","",INDEX(設定!$O$6:$O$12,WEEKDAY($A106,1)))</f>
        <v/>
      </c>
      <c r="C106" s="16">
        <f>IF($A106="","",助理班表!$A8)</f>
        <v/>
      </c>
      <c r="D106" s="16">
        <f>IF($C106="","",助理班表!$B8)</f>
        <v/>
      </c>
      <c r="E106" s="16">
        <f>IF($C106="","",助理班表!$D8)</f>
        <v/>
      </c>
      <c r="F106" s="16">
        <f>IF($C106="","",助理班表!$C8)</f>
        <v/>
      </c>
      <c r="G106" s="16">
        <f>IF($C106="","",助理班表!O8)</f>
        <v/>
      </c>
      <c r="H106" s="83">
        <f>IF($G106="","",IFERROR(IF(INDEX(設定!$D$6:$D$21,MATCH($G106,設定!$B$6:$B$21,0))=0,"",INDEX(設定!$D$6:$D$21,MATCH($G106,設定!$B$6:$B$21,0))),""))</f>
        <v/>
      </c>
      <c r="I106" s="83">
        <f>IF($G106="","",IFERROR(IF(INDEX(設定!$E$6:$E$21,MATCH($G106,設定!$B$6:$B$21,0))=0,"",INDEX(設定!$E$6:$E$21,MATCH($G106,設定!$B$6:$B$21,0))),""))</f>
        <v/>
      </c>
      <c r="J106" s="83">
        <f>IFERROR(INDEX(打卡匯入!$C$3:$C$2002,MATCH($C106&amp;"|"&amp;DAY($A106),打卡匯入!$E$3:$E$2002,0)),"")</f>
        <v/>
      </c>
      <c r="K106" s="83">
        <f>IFERROR(INDEX(打卡匯入!$D$3:$D$2002,MATCH($C106&amp;"|"&amp;DAY($A106),打卡匯入!$E$3:$E$2002,0)),"")</f>
        <v/>
      </c>
      <c r="L106" s="84">
        <f>IF(OR($J106="",$K106=""),"",IFERROR(INDEX(設定!$F$6:$F$21,MATCH($G106,設定!$B$6:$B$21,0)),0))</f>
        <v/>
      </c>
      <c r="M106" s="85">
        <f>IF(OR($J106="",$K106=""),"",ROUND(($K106-$J106)*24-$L106/60,2))</f>
        <v/>
      </c>
      <c r="N106" s="16">
        <f>IF($C106="","",IF(AND(COUNTIF(設定!$B$15:$B$21,$G106)&gt;0,$J106&lt;&gt;""),"假日出勤",IF(AND(COUNTIF(設定!$B$6:$B$14,$G106)&gt;0,$J106=""),"未打卡",IF($J106="","",IF($O106&gt;0,"遲到",IF($P106&gt;0,"早退","正常"))))))</f>
        <v/>
      </c>
      <c r="O106" s="84">
        <f>IF(OR($C106="",$H106="",$J106=""),0,IF(ROUND(($J106-$H106)*1440,0)&gt;設定!$C$46,ROUND(($J106-$H106)*1440,0),0))</f>
        <v/>
      </c>
      <c r="P106" s="84">
        <f>IF(OR($C106="",$I106="",$K106=""),0,IF(ROUND(($I106-$K106)*1440,0)&gt;設定!$C$46,ROUND(($I106-$K106)*1440,0),0))</f>
        <v/>
      </c>
      <c r="Q106" s="85">
        <f>IF($M106="",0,IF(($M106-IFERROR(INDEX(設定!$G$6:$G$21,MATCH($G106,設定!$B$6:$B$21,0)),0))*60&gt;=設定!$C$44,ROUND(FLOOR(($M106-IFERROR(INDEX(設定!$G$6:$G$21,MATCH($G106,設定!$B$6:$B$21,0)),0))*60,設定!$C$45)/60,2),0))</f>
        <v/>
      </c>
      <c r="R106" s="16">
        <f>IF(OR($C106="",$Q106=0),"",IF($G106="國","國定假日",IF($B106="日","例假",IF($B106="六","休息日","平日"))))</f>
        <v/>
      </c>
      <c r="S106" s="19" t="n"/>
    </row>
    <row r="107">
      <c r="A107" s="82">
        <f>IF(OR(助理班表!$A8="",12&gt;DAY(EOMONTH(DATE(設定!$C$2,設定!$D$2,1),0))),"",DATE(設定!$C$2,設定!$D$2,12))</f>
        <v/>
      </c>
      <c r="B107" s="16">
        <f>IF($A107="","",INDEX(設定!$O$6:$O$12,WEEKDAY($A107,1)))</f>
        <v/>
      </c>
      <c r="C107" s="16">
        <f>IF($A107="","",助理班表!$A8)</f>
        <v/>
      </c>
      <c r="D107" s="16">
        <f>IF($C107="","",助理班表!$B8)</f>
        <v/>
      </c>
      <c r="E107" s="16">
        <f>IF($C107="","",助理班表!$D8)</f>
        <v/>
      </c>
      <c r="F107" s="16">
        <f>IF($C107="","",助理班表!$C8)</f>
        <v/>
      </c>
      <c r="G107" s="16">
        <f>IF($C107="","",助理班表!P8)</f>
        <v/>
      </c>
      <c r="H107" s="83">
        <f>IF($G107="","",IFERROR(IF(INDEX(設定!$D$6:$D$21,MATCH($G107,設定!$B$6:$B$21,0))=0,"",INDEX(設定!$D$6:$D$21,MATCH($G107,設定!$B$6:$B$21,0))),""))</f>
        <v/>
      </c>
      <c r="I107" s="83">
        <f>IF($G107="","",IFERROR(IF(INDEX(設定!$E$6:$E$21,MATCH($G107,設定!$B$6:$B$21,0))=0,"",INDEX(設定!$E$6:$E$21,MATCH($G107,設定!$B$6:$B$21,0))),""))</f>
        <v/>
      </c>
      <c r="J107" s="83">
        <f>IFERROR(INDEX(打卡匯入!$C$3:$C$2002,MATCH($C107&amp;"|"&amp;DAY($A107),打卡匯入!$E$3:$E$2002,0)),"")</f>
        <v/>
      </c>
      <c r="K107" s="83">
        <f>IFERROR(INDEX(打卡匯入!$D$3:$D$2002,MATCH($C107&amp;"|"&amp;DAY($A107),打卡匯入!$E$3:$E$2002,0)),"")</f>
        <v/>
      </c>
      <c r="L107" s="84">
        <f>IF(OR($J107="",$K107=""),"",IFERROR(INDEX(設定!$F$6:$F$21,MATCH($G107,設定!$B$6:$B$21,0)),0))</f>
        <v/>
      </c>
      <c r="M107" s="85">
        <f>IF(OR($J107="",$K107=""),"",ROUND(($K107-$J107)*24-$L107/60,2))</f>
        <v/>
      </c>
      <c r="N107" s="16">
        <f>IF($C107="","",IF(AND(COUNTIF(設定!$B$15:$B$21,$G107)&gt;0,$J107&lt;&gt;""),"假日出勤",IF(AND(COUNTIF(設定!$B$6:$B$14,$G107)&gt;0,$J107=""),"未打卡",IF($J107="","",IF($O107&gt;0,"遲到",IF($P107&gt;0,"早退","正常"))))))</f>
        <v/>
      </c>
      <c r="O107" s="84">
        <f>IF(OR($C107="",$H107="",$J107=""),0,IF(ROUND(($J107-$H107)*1440,0)&gt;設定!$C$46,ROUND(($J107-$H107)*1440,0),0))</f>
        <v/>
      </c>
      <c r="P107" s="84">
        <f>IF(OR($C107="",$I107="",$K107=""),0,IF(ROUND(($I107-$K107)*1440,0)&gt;設定!$C$46,ROUND(($I107-$K107)*1440,0),0))</f>
        <v/>
      </c>
      <c r="Q107" s="85">
        <f>IF($M107="",0,IF(($M107-IFERROR(INDEX(設定!$G$6:$G$21,MATCH($G107,設定!$B$6:$B$21,0)),0))*60&gt;=設定!$C$44,ROUND(FLOOR(($M107-IFERROR(INDEX(設定!$G$6:$G$21,MATCH($G107,設定!$B$6:$B$21,0)),0))*60,設定!$C$45)/60,2),0))</f>
        <v/>
      </c>
      <c r="R107" s="16">
        <f>IF(OR($C107="",$Q107=0),"",IF($G107="國","國定假日",IF($B107="日","例假",IF($B107="六","休息日","平日"))))</f>
        <v/>
      </c>
      <c r="S107" s="19" t="n"/>
    </row>
    <row r="108">
      <c r="A108" s="82">
        <f>IF(OR(助理班表!$A8="",13&gt;DAY(EOMONTH(DATE(設定!$C$2,設定!$D$2,1),0))),"",DATE(設定!$C$2,設定!$D$2,13))</f>
        <v/>
      </c>
      <c r="B108" s="16">
        <f>IF($A108="","",INDEX(設定!$O$6:$O$12,WEEKDAY($A108,1)))</f>
        <v/>
      </c>
      <c r="C108" s="16">
        <f>IF($A108="","",助理班表!$A8)</f>
        <v/>
      </c>
      <c r="D108" s="16">
        <f>IF($C108="","",助理班表!$B8)</f>
        <v/>
      </c>
      <c r="E108" s="16">
        <f>IF($C108="","",助理班表!$D8)</f>
        <v/>
      </c>
      <c r="F108" s="16">
        <f>IF($C108="","",助理班表!$C8)</f>
        <v/>
      </c>
      <c r="G108" s="16">
        <f>IF($C108="","",助理班表!Q8)</f>
        <v/>
      </c>
      <c r="H108" s="83">
        <f>IF($G108="","",IFERROR(IF(INDEX(設定!$D$6:$D$21,MATCH($G108,設定!$B$6:$B$21,0))=0,"",INDEX(設定!$D$6:$D$21,MATCH($G108,設定!$B$6:$B$21,0))),""))</f>
        <v/>
      </c>
      <c r="I108" s="83">
        <f>IF($G108="","",IFERROR(IF(INDEX(設定!$E$6:$E$21,MATCH($G108,設定!$B$6:$B$21,0))=0,"",INDEX(設定!$E$6:$E$21,MATCH($G108,設定!$B$6:$B$21,0))),""))</f>
        <v/>
      </c>
      <c r="J108" s="83">
        <f>IFERROR(INDEX(打卡匯入!$C$3:$C$2002,MATCH($C108&amp;"|"&amp;DAY($A108),打卡匯入!$E$3:$E$2002,0)),"")</f>
        <v/>
      </c>
      <c r="K108" s="83">
        <f>IFERROR(INDEX(打卡匯入!$D$3:$D$2002,MATCH($C108&amp;"|"&amp;DAY($A108),打卡匯入!$E$3:$E$2002,0)),"")</f>
        <v/>
      </c>
      <c r="L108" s="84">
        <f>IF(OR($J108="",$K108=""),"",IFERROR(INDEX(設定!$F$6:$F$21,MATCH($G108,設定!$B$6:$B$21,0)),0))</f>
        <v/>
      </c>
      <c r="M108" s="85">
        <f>IF(OR($J108="",$K108=""),"",ROUND(($K108-$J108)*24-$L108/60,2))</f>
        <v/>
      </c>
      <c r="N108" s="16">
        <f>IF($C108="","",IF(AND(COUNTIF(設定!$B$15:$B$21,$G108)&gt;0,$J108&lt;&gt;""),"假日出勤",IF(AND(COUNTIF(設定!$B$6:$B$14,$G108)&gt;0,$J108=""),"未打卡",IF($J108="","",IF($O108&gt;0,"遲到",IF($P108&gt;0,"早退","正常"))))))</f>
        <v/>
      </c>
      <c r="O108" s="84">
        <f>IF(OR($C108="",$H108="",$J108=""),0,IF(ROUND(($J108-$H108)*1440,0)&gt;設定!$C$46,ROUND(($J108-$H108)*1440,0),0))</f>
        <v/>
      </c>
      <c r="P108" s="84">
        <f>IF(OR($C108="",$I108="",$K108=""),0,IF(ROUND(($I108-$K108)*1440,0)&gt;設定!$C$46,ROUND(($I108-$K108)*1440,0),0))</f>
        <v/>
      </c>
      <c r="Q108" s="85">
        <f>IF($M108="",0,IF(($M108-IFERROR(INDEX(設定!$G$6:$G$21,MATCH($G108,設定!$B$6:$B$21,0)),0))*60&gt;=設定!$C$44,ROUND(FLOOR(($M108-IFERROR(INDEX(設定!$G$6:$G$21,MATCH($G108,設定!$B$6:$B$21,0)),0))*60,設定!$C$45)/60,2),0))</f>
        <v/>
      </c>
      <c r="R108" s="16">
        <f>IF(OR($C108="",$Q108=0),"",IF($G108="國","國定假日",IF($B108="日","例假",IF($B108="六","休息日","平日"))))</f>
        <v/>
      </c>
      <c r="S108" s="19" t="n"/>
    </row>
    <row r="109">
      <c r="A109" s="82">
        <f>IF(OR(助理班表!$A8="",14&gt;DAY(EOMONTH(DATE(設定!$C$2,設定!$D$2,1),0))),"",DATE(設定!$C$2,設定!$D$2,14))</f>
        <v/>
      </c>
      <c r="B109" s="16">
        <f>IF($A109="","",INDEX(設定!$O$6:$O$12,WEEKDAY($A109,1)))</f>
        <v/>
      </c>
      <c r="C109" s="16">
        <f>IF($A109="","",助理班表!$A8)</f>
        <v/>
      </c>
      <c r="D109" s="16">
        <f>IF($C109="","",助理班表!$B8)</f>
        <v/>
      </c>
      <c r="E109" s="16">
        <f>IF($C109="","",助理班表!$D8)</f>
        <v/>
      </c>
      <c r="F109" s="16">
        <f>IF($C109="","",助理班表!$C8)</f>
        <v/>
      </c>
      <c r="G109" s="16">
        <f>IF($C109="","",助理班表!R8)</f>
        <v/>
      </c>
      <c r="H109" s="83">
        <f>IF($G109="","",IFERROR(IF(INDEX(設定!$D$6:$D$21,MATCH($G109,設定!$B$6:$B$21,0))=0,"",INDEX(設定!$D$6:$D$21,MATCH($G109,設定!$B$6:$B$21,0))),""))</f>
        <v/>
      </c>
      <c r="I109" s="83">
        <f>IF($G109="","",IFERROR(IF(INDEX(設定!$E$6:$E$21,MATCH($G109,設定!$B$6:$B$21,0))=0,"",INDEX(設定!$E$6:$E$21,MATCH($G109,設定!$B$6:$B$21,0))),""))</f>
        <v/>
      </c>
      <c r="J109" s="83">
        <f>IFERROR(INDEX(打卡匯入!$C$3:$C$2002,MATCH($C109&amp;"|"&amp;DAY($A109),打卡匯入!$E$3:$E$2002,0)),"")</f>
        <v/>
      </c>
      <c r="K109" s="83">
        <f>IFERROR(INDEX(打卡匯入!$D$3:$D$2002,MATCH($C109&amp;"|"&amp;DAY($A109),打卡匯入!$E$3:$E$2002,0)),"")</f>
        <v/>
      </c>
      <c r="L109" s="84">
        <f>IF(OR($J109="",$K109=""),"",IFERROR(INDEX(設定!$F$6:$F$21,MATCH($G109,設定!$B$6:$B$21,0)),0))</f>
        <v/>
      </c>
      <c r="M109" s="85">
        <f>IF(OR($J109="",$K109=""),"",ROUND(($K109-$J109)*24-$L109/60,2))</f>
        <v/>
      </c>
      <c r="N109" s="16">
        <f>IF($C109="","",IF(AND(COUNTIF(設定!$B$15:$B$21,$G109)&gt;0,$J109&lt;&gt;""),"假日出勤",IF(AND(COUNTIF(設定!$B$6:$B$14,$G109)&gt;0,$J109=""),"未打卡",IF($J109="","",IF($O109&gt;0,"遲到",IF($P109&gt;0,"早退","正常"))))))</f>
        <v/>
      </c>
      <c r="O109" s="84">
        <f>IF(OR($C109="",$H109="",$J109=""),0,IF(ROUND(($J109-$H109)*1440,0)&gt;設定!$C$46,ROUND(($J109-$H109)*1440,0),0))</f>
        <v/>
      </c>
      <c r="P109" s="84">
        <f>IF(OR($C109="",$I109="",$K109=""),0,IF(ROUND(($I109-$K109)*1440,0)&gt;設定!$C$46,ROUND(($I109-$K109)*1440,0),0))</f>
        <v/>
      </c>
      <c r="Q109" s="85">
        <f>IF($M109="",0,IF(($M109-IFERROR(INDEX(設定!$G$6:$G$21,MATCH($G109,設定!$B$6:$B$21,0)),0))*60&gt;=設定!$C$44,ROUND(FLOOR(($M109-IFERROR(INDEX(設定!$G$6:$G$21,MATCH($G109,設定!$B$6:$B$21,0)),0))*60,設定!$C$45)/60,2),0))</f>
        <v/>
      </c>
      <c r="R109" s="16">
        <f>IF(OR($C109="",$Q109=0),"",IF($G109="國","國定假日",IF($B109="日","例假",IF($B109="六","休息日","平日"))))</f>
        <v/>
      </c>
      <c r="S109" s="19" t="n"/>
    </row>
    <row r="110">
      <c r="A110" s="82">
        <f>IF(OR(助理班表!$A8="",15&gt;DAY(EOMONTH(DATE(設定!$C$2,設定!$D$2,1),0))),"",DATE(設定!$C$2,設定!$D$2,15))</f>
        <v/>
      </c>
      <c r="B110" s="16">
        <f>IF($A110="","",INDEX(設定!$O$6:$O$12,WEEKDAY($A110,1)))</f>
        <v/>
      </c>
      <c r="C110" s="16">
        <f>IF($A110="","",助理班表!$A8)</f>
        <v/>
      </c>
      <c r="D110" s="16">
        <f>IF($C110="","",助理班表!$B8)</f>
        <v/>
      </c>
      <c r="E110" s="16">
        <f>IF($C110="","",助理班表!$D8)</f>
        <v/>
      </c>
      <c r="F110" s="16">
        <f>IF($C110="","",助理班表!$C8)</f>
        <v/>
      </c>
      <c r="G110" s="16">
        <f>IF($C110="","",助理班表!S8)</f>
        <v/>
      </c>
      <c r="H110" s="83">
        <f>IF($G110="","",IFERROR(IF(INDEX(設定!$D$6:$D$21,MATCH($G110,設定!$B$6:$B$21,0))=0,"",INDEX(設定!$D$6:$D$21,MATCH($G110,設定!$B$6:$B$21,0))),""))</f>
        <v/>
      </c>
      <c r="I110" s="83">
        <f>IF($G110="","",IFERROR(IF(INDEX(設定!$E$6:$E$21,MATCH($G110,設定!$B$6:$B$21,0))=0,"",INDEX(設定!$E$6:$E$21,MATCH($G110,設定!$B$6:$B$21,0))),""))</f>
        <v/>
      </c>
      <c r="J110" s="83">
        <f>IFERROR(INDEX(打卡匯入!$C$3:$C$2002,MATCH($C110&amp;"|"&amp;DAY($A110),打卡匯入!$E$3:$E$2002,0)),"")</f>
        <v/>
      </c>
      <c r="K110" s="83">
        <f>IFERROR(INDEX(打卡匯入!$D$3:$D$2002,MATCH($C110&amp;"|"&amp;DAY($A110),打卡匯入!$E$3:$E$2002,0)),"")</f>
        <v/>
      </c>
      <c r="L110" s="84">
        <f>IF(OR($J110="",$K110=""),"",IFERROR(INDEX(設定!$F$6:$F$21,MATCH($G110,設定!$B$6:$B$21,0)),0))</f>
        <v/>
      </c>
      <c r="M110" s="85">
        <f>IF(OR($J110="",$K110=""),"",ROUND(($K110-$J110)*24-$L110/60,2))</f>
        <v/>
      </c>
      <c r="N110" s="16">
        <f>IF($C110="","",IF(AND(COUNTIF(設定!$B$15:$B$21,$G110)&gt;0,$J110&lt;&gt;""),"假日出勤",IF(AND(COUNTIF(設定!$B$6:$B$14,$G110)&gt;0,$J110=""),"未打卡",IF($J110="","",IF($O110&gt;0,"遲到",IF($P110&gt;0,"早退","正常"))))))</f>
        <v/>
      </c>
      <c r="O110" s="84">
        <f>IF(OR($C110="",$H110="",$J110=""),0,IF(ROUND(($J110-$H110)*1440,0)&gt;設定!$C$46,ROUND(($J110-$H110)*1440,0),0))</f>
        <v/>
      </c>
      <c r="P110" s="84">
        <f>IF(OR($C110="",$I110="",$K110=""),0,IF(ROUND(($I110-$K110)*1440,0)&gt;設定!$C$46,ROUND(($I110-$K110)*1440,0),0))</f>
        <v/>
      </c>
      <c r="Q110" s="85">
        <f>IF($M110="",0,IF(($M110-IFERROR(INDEX(設定!$G$6:$G$21,MATCH($G110,設定!$B$6:$B$21,0)),0))*60&gt;=設定!$C$44,ROUND(FLOOR(($M110-IFERROR(INDEX(設定!$G$6:$G$21,MATCH($G110,設定!$B$6:$B$21,0)),0))*60,設定!$C$45)/60,2),0))</f>
        <v/>
      </c>
      <c r="R110" s="16">
        <f>IF(OR($C110="",$Q110=0),"",IF($G110="國","國定假日",IF($B110="日","例假",IF($B110="六","休息日","平日"))))</f>
        <v/>
      </c>
      <c r="S110" s="19" t="n"/>
    </row>
    <row r="111">
      <c r="A111" s="82">
        <f>IF(OR(助理班表!$A8="",16&gt;DAY(EOMONTH(DATE(設定!$C$2,設定!$D$2,1),0))),"",DATE(設定!$C$2,設定!$D$2,16))</f>
        <v/>
      </c>
      <c r="B111" s="16">
        <f>IF($A111="","",INDEX(設定!$O$6:$O$12,WEEKDAY($A111,1)))</f>
        <v/>
      </c>
      <c r="C111" s="16">
        <f>IF($A111="","",助理班表!$A8)</f>
        <v/>
      </c>
      <c r="D111" s="16">
        <f>IF($C111="","",助理班表!$B8)</f>
        <v/>
      </c>
      <c r="E111" s="16">
        <f>IF($C111="","",助理班表!$D8)</f>
        <v/>
      </c>
      <c r="F111" s="16">
        <f>IF($C111="","",助理班表!$C8)</f>
        <v/>
      </c>
      <c r="G111" s="16">
        <f>IF($C111="","",助理班表!T8)</f>
        <v/>
      </c>
      <c r="H111" s="83">
        <f>IF($G111="","",IFERROR(IF(INDEX(設定!$D$6:$D$21,MATCH($G111,設定!$B$6:$B$21,0))=0,"",INDEX(設定!$D$6:$D$21,MATCH($G111,設定!$B$6:$B$21,0))),""))</f>
        <v/>
      </c>
      <c r="I111" s="83">
        <f>IF($G111="","",IFERROR(IF(INDEX(設定!$E$6:$E$21,MATCH($G111,設定!$B$6:$B$21,0))=0,"",INDEX(設定!$E$6:$E$21,MATCH($G111,設定!$B$6:$B$21,0))),""))</f>
        <v/>
      </c>
      <c r="J111" s="83">
        <f>IFERROR(INDEX(打卡匯入!$C$3:$C$2002,MATCH($C111&amp;"|"&amp;DAY($A111),打卡匯入!$E$3:$E$2002,0)),"")</f>
        <v/>
      </c>
      <c r="K111" s="83">
        <f>IFERROR(INDEX(打卡匯入!$D$3:$D$2002,MATCH($C111&amp;"|"&amp;DAY($A111),打卡匯入!$E$3:$E$2002,0)),"")</f>
        <v/>
      </c>
      <c r="L111" s="84">
        <f>IF(OR($J111="",$K111=""),"",IFERROR(INDEX(設定!$F$6:$F$21,MATCH($G111,設定!$B$6:$B$21,0)),0))</f>
        <v/>
      </c>
      <c r="M111" s="85">
        <f>IF(OR($J111="",$K111=""),"",ROUND(($K111-$J111)*24-$L111/60,2))</f>
        <v/>
      </c>
      <c r="N111" s="16">
        <f>IF($C111="","",IF(AND(COUNTIF(設定!$B$15:$B$21,$G111)&gt;0,$J111&lt;&gt;""),"假日出勤",IF(AND(COUNTIF(設定!$B$6:$B$14,$G111)&gt;0,$J111=""),"未打卡",IF($J111="","",IF($O111&gt;0,"遲到",IF($P111&gt;0,"早退","正常"))))))</f>
        <v/>
      </c>
      <c r="O111" s="84">
        <f>IF(OR($C111="",$H111="",$J111=""),0,IF(ROUND(($J111-$H111)*1440,0)&gt;設定!$C$46,ROUND(($J111-$H111)*1440,0),0))</f>
        <v/>
      </c>
      <c r="P111" s="84">
        <f>IF(OR($C111="",$I111="",$K111=""),0,IF(ROUND(($I111-$K111)*1440,0)&gt;設定!$C$46,ROUND(($I111-$K111)*1440,0),0))</f>
        <v/>
      </c>
      <c r="Q111" s="85">
        <f>IF($M111="",0,IF(($M111-IFERROR(INDEX(設定!$G$6:$G$21,MATCH($G111,設定!$B$6:$B$21,0)),0))*60&gt;=設定!$C$44,ROUND(FLOOR(($M111-IFERROR(INDEX(設定!$G$6:$G$21,MATCH($G111,設定!$B$6:$B$21,0)),0))*60,設定!$C$45)/60,2),0))</f>
        <v/>
      </c>
      <c r="R111" s="16">
        <f>IF(OR($C111="",$Q111=0),"",IF($G111="國","國定假日",IF($B111="日","例假",IF($B111="六","休息日","平日"))))</f>
        <v/>
      </c>
      <c r="S111" s="19" t="n"/>
    </row>
    <row r="112">
      <c r="A112" s="82">
        <f>IF(OR(助理班表!$A8="",17&gt;DAY(EOMONTH(DATE(設定!$C$2,設定!$D$2,1),0))),"",DATE(設定!$C$2,設定!$D$2,17))</f>
        <v/>
      </c>
      <c r="B112" s="16">
        <f>IF($A112="","",INDEX(設定!$O$6:$O$12,WEEKDAY($A112,1)))</f>
        <v/>
      </c>
      <c r="C112" s="16">
        <f>IF($A112="","",助理班表!$A8)</f>
        <v/>
      </c>
      <c r="D112" s="16">
        <f>IF($C112="","",助理班表!$B8)</f>
        <v/>
      </c>
      <c r="E112" s="16">
        <f>IF($C112="","",助理班表!$D8)</f>
        <v/>
      </c>
      <c r="F112" s="16">
        <f>IF($C112="","",助理班表!$C8)</f>
        <v/>
      </c>
      <c r="G112" s="16">
        <f>IF($C112="","",助理班表!U8)</f>
        <v/>
      </c>
      <c r="H112" s="83">
        <f>IF($G112="","",IFERROR(IF(INDEX(設定!$D$6:$D$21,MATCH($G112,設定!$B$6:$B$21,0))=0,"",INDEX(設定!$D$6:$D$21,MATCH($G112,設定!$B$6:$B$21,0))),""))</f>
        <v/>
      </c>
      <c r="I112" s="83">
        <f>IF($G112="","",IFERROR(IF(INDEX(設定!$E$6:$E$21,MATCH($G112,設定!$B$6:$B$21,0))=0,"",INDEX(設定!$E$6:$E$21,MATCH($G112,設定!$B$6:$B$21,0))),""))</f>
        <v/>
      </c>
      <c r="J112" s="83">
        <f>IFERROR(INDEX(打卡匯入!$C$3:$C$2002,MATCH($C112&amp;"|"&amp;DAY($A112),打卡匯入!$E$3:$E$2002,0)),"")</f>
        <v/>
      </c>
      <c r="K112" s="83">
        <f>IFERROR(INDEX(打卡匯入!$D$3:$D$2002,MATCH($C112&amp;"|"&amp;DAY($A112),打卡匯入!$E$3:$E$2002,0)),"")</f>
        <v/>
      </c>
      <c r="L112" s="84">
        <f>IF(OR($J112="",$K112=""),"",IFERROR(INDEX(設定!$F$6:$F$21,MATCH($G112,設定!$B$6:$B$21,0)),0))</f>
        <v/>
      </c>
      <c r="M112" s="85">
        <f>IF(OR($J112="",$K112=""),"",ROUND(($K112-$J112)*24-$L112/60,2))</f>
        <v/>
      </c>
      <c r="N112" s="16">
        <f>IF($C112="","",IF(AND(COUNTIF(設定!$B$15:$B$21,$G112)&gt;0,$J112&lt;&gt;""),"假日出勤",IF(AND(COUNTIF(設定!$B$6:$B$14,$G112)&gt;0,$J112=""),"未打卡",IF($J112="","",IF($O112&gt;0,"遲到",IF($P112&gt;0,"早退","正常"))))))</f>
        <v/>
      </c>
      <c r="O112" s="84">
        <f>IF(OR($C112="",$H112="",$J112=""),0,IF(ROUND(($J112-$H112)*1440,0)&gt;設定!$C$46,ROUND(($J112-$H112)*1440,0),0))</f>
        <v/>
      </c>
      <c r="P112" s="84">
        <f>IF(OR($C112="",$I112="",$K112=""),0,IF(ROUND(($I112-$K112)*1440,0)&gt;設定!$C$46,ROUND(($I112-$K112)*1440,0),0))</f>
        <v/>
      </c>
      <c r="Q112" s="85">
        <f>IF($M112="",0,IF(($M112-IFERROR(INDEX(設定!$G$6:$G$21,MATCH($G112,設定!$B$6:$B$21,0)),0))*60&gt;=設定!$C$44,ROUND(FLOOR(($M112-IFERROR(INDEX(設定!$G$6:$G$21,MATCH($G112,設定!$B$6:$B$21,0)),0))*60,設定!$C$45)/60,2),0))</f>
        <v/>
      </c>
      <c r="R112" s="16">
        <f>IF(OR($C112="",$Q112=0),"",IF($G112="國","國定假日",IF($B112="日","例假",IF($B112="六","休息日","平日"))))</f>
        <v/>
      </c>
      <c r="S112" s="19" t="n"/>
    </row>
    <row r="113">
      <c r="A113" s="82">
        <f>IF(OR(助理班表!$A8="",18&gt;DAY(EOMONTH(DATE(設定!$C$2,設定!$D$2,1),0))),"",DATE(設定!$C$2,設定!$D$2,18))</f>
        <v/>
      </c>
      <c r="B113" s="16">
        <f>IF($A113="","",INDEX(設定!$O$6:$O$12,WEEKDAY($A113,1)))</f>
        <v/>
      </c>
      <c r="C113" s="16">
        <f>IF($A113="","",助理班表!$A8)</f>
        <v/>
      </c>
      <c r="D113" s="16">
        <f>IF($C113="","",助理班表!$B8)</f>
        <v/>
      </c>
      <c r="E113" s="16">
        <f>IF($C113="","",助理班表!$D8)</f>
        <v/>
      </c>
      <c r="F113" s="16">
        <f>IF($C113="","",助理班表!$C8)</f>
        <v/>
      </c>
      <c r="G113" s="16">
        <f>IF($C113="","",助理班表!V8)</f>
        <v/>
      </c>
      <c r="H113" s="83">
        <f>IF($G113="","",IFERROR(IF(INDEX(設定!$D$6:$D$21,MATCH($G113,設定!$B$6:$B$21,0))=0,"",INDEX(設定!$D$6:$D$21,MATCH($G113,設定!$B$6:$B$21,0))),""))</f>
        <v/>
      </c>
      <c r="I113" s="83">
        <f>IF($G113="","",IFERROR(IF(INDEX(設定!$E$6:$E$21,MATCH($G113,設定!$B$6:$B$21,0))=0,"",INDEX(設定!$E$6:$E$21,MATCH($G113,設定!$B$6:$B$21,0))),""))</f>
        <v/>
      </c>
      <c r="J113" s="83">
        <f>IFERROR(INDEX(打卡匯入!$C$3:$C$2002,MATCH($C113&amp;"|"&amp;DAY($A113),打卡匯入!$E$3:$E$2002,0)),"")</f>
        <v/>
      </c>
      <c r="K113" s="83">
        <f>IFERROR(INDEX(打卡匯入!$D$3:$D$2002,MATCH($C113&amp;"|"&amp;DAY($A113),打卡匯入!$E$3:$E$2002,0)),"")</f>
        <v/>
      </c>
      <c r="L113" s="84">
        <f>IF(OR($J113="",$K113=""),"",IFERROR(INDEX(設定!$F$6:$F$21,MATCH($G113,設定!$B$6:$B$21,0)),0))</f>
        <v/>
      </c>
      <c r="M113" s="85">
        <f>IF(OR($J113="",$K113=""),"",ROUND(($K113-$J113)*24-$L113/60,2))</f>
        <v/>
      </c>
      <c r="N113" s="16">
        <f>IF($C113="","",IF(AND(COUNTIF(設定!$B$15:$B$21,$G113)&gt;0,$J113&lt;&gt;""),"假日出勤",IF(AND(COUNTIF(設定!$B$6:$B$14,$G113)&gt;0,$J113=""),"未打卡",IF($J113="","",IF($O113&gt;0,"遲到",IF($P113&gt;0,"早退","正常"))))))</f>
        <v/>
      </c>
      <c r="O113" s="84">
        <f>IF(OR($C113="",$H113="",$J113=""),0,IF(ROUND(($J113-$H113)*1440,0)&gt;設定!$C$46,ROUND(($J113-$H113)*1440,0),0))</f>
        <v/>
      </c>
      <c r="P113" s="84">
        <f>IF(OR($C113="",$I113="",$K113=""),0,IF(ROUND(($I113-$K113)*1440,0)&gt;設定!$C$46,ROUND(($I113-$K113)*1440,0),0))</f>
        <v/>
      </c>
      <c r="Q113" s="85">
        <f>IF($M113="",0,IF(($M113-IFERROR(INDEX(設定!$G$6:$G$21,MATCH($G113,設定!$B$6:$B$21,0)),0))*60&gt;=設定!$C$44,ROUND(FLOOR(($M113-IFERROR(INDEX(設定!$G$6:$G$21,MATCH($G113,設定!$B$6:$B$21,0)),0))*60,設定!$C$45)/60,2),0))</f>
        <v/>
      </c>
      <c r="R113" s="16">
        <f>IF(OR($C113="",$Q113=0),"",IF($G113="國","國定假日",IF($B113="日","例假",IF($B113="六","休息日","平日"))))</f>
        <v/>
      </c>
      <c r="S113" s="19" t="n"/>
    </row>
    <row r="114">
      <c r="A114" s="82">
        <f>IF(OR(助理班表!$A8="",19&gt;DAY(EOMONTH(DATE(設定!$C$2,設定!$D$2,1),0))),"",DATE(設定!$C$2,設定!$D$2,19))</f>
        <v/>
      </c>
      <c r="B114" s="16">
        <f>IF($A114="","",INDEX(設定!$O$6:$O$12,WEEKDAY($A114,1)))</f>
        <v/>
      </c>
      <c r="C114" s="16">
        <f>IF($A114="","",助理班表!$A8)</f>
        <v/>
      </c>
      <c r="D114" s="16">
        <f>IF($C114="","",助理班表!$B8)</f>
        <v/>
      </c>
      <c r="E114" s="16">
        <f>IF($C114="","",助理班表!$D8)</f>
        <v/>
      </c>
      <c r="F114" s="16">
        <f>IF($C114="","",助理班表!$C8)</f>
        <v/>
      </c>
      <c r="G114" s="16">
        <f>IF($C114="","",助理班表!W8)</f>
        <v/>
      </c>
      <c r="H114" s="83">
        <f>IF($G114="","",IFERROR(IF(INDEX(設定!$D$6:$D$21,MATCH($G114,設定!$B$6:$B$21,0))=0,"",INDEX(設定!$D$6:$D$21,MATCH($G114,設定!$B$6:$B$21,0))),""))</f>
        <v/>
      </c>
      <c r="I114" s="83">
        <f>IF($G114="","",IFERROR(IF(INDEX(設定!$E$6:$E$21,MATCH($G114,設定!$B$6:$B$21,0))=0,"",INDEX(設定!$E$6:$E$21,MATCH($G114,設定!$B$6:$B$21,0))),""))</f>
        <v/>
      </c>
      <c r="J114" s="83">
        <f>IFERROR(INDEX(打卡匯入!$C$3:$C$2002,MATCH($C114&amp;"|"&amp;DAY($A114),打卡匯入!$E$3:$E$2002,0)),"")</f>
        <v/>
      </c>
      <c r="K114" s="83">
        <f>IFERROR(INDEX(打卡匯入!$D$3:$D$2002,MATCH($C114&amp;"|"&amp;DAY($A114),打卡匯入!$E$3:$E$2002,0)),"")</f>
        <v/>
      </c>
      <c r="L114" s="84">
        <f>IF(OR($J114="",$K114=""),"",IFERROR(INDEX(設定!$F$6:$F$21,MATCH($G114,設定!$B$6:$B$21,0)),0))</f>
        <v/>
      </c>
      <c r="M114" s="85">
        <f>IF(OR($J114="",$K114=""),"",ROUND(($K114-$J114)*24-$L114/60,2))</f>
        <v/>
      </c>
      <c r="N114" s="16">
        <f>IF($C114="","",IF(AND(COUNTIF(設定!$B$15:$B$21,$G114)&gt;0,$J114&lt;&gt;""),"假日出勤",IF(AND(COUNTIF(設定!$B$6:$B$14,$G114)&gt;0,$J114=""),"未打卡",IF($J114="","",IF($O114&gt;0,"遲到",IF($P114&gt;0,"早退","正常"))))))</f>
        <v/>
      </c>
      <c r="O114" s="84">
        <f>IF(OR($C114="",$H114="",$J114=""),0,IF(ROUND(($J114-$H114)*1440,0)&gt;設定!$C$46,ROUND(($J114-$H114)*1440,0),0))</f>
        <v/>
      </c>
      <c r="P114" s="84">
        <f>IF(OR($C114="",$I114="",$K114=""),0,IF(ROUND(($I114-$K114)*1440,0)&gt;設定!$C$46,ROUND(($I114-$K114)*1440,0),0))</f>
        <v/>
      </c>
      <c r="Q114" s="85">
        <f>IF($M114="",0,IF(($M114-IFERROR(INDEX(設定!$G$6:$G$21,MATCH($G114,設定!$B$6:$B$21,0)),0))*60&gt;=設定!$C$44,ROUND(FLOOR(($M114-IFERROR(INDEX(設定!$G$6:$G$21,MATCH($G114,設定!$B$6:$B$21,0)),0))*60,設定!$C$45)/60,2),0))</f>
        <v/>
      </c>
      <c r="R114" s="16">
        <f>IF(OR($C114="",$Q114=0),"",IF($G114="國","國定假日",IF($B114="日","例假",IF($B114="六","休息日","平日"))))</f>
        <v/>
      </c>
      <c r="S114" s="19" t="n"/>
    </row>
    <row r="115">
      <c r="A115" s="82">
        <f>IF(OR(助理班表!$A8="",20&gt;DAY(EOMONTH(DATE(設定!$C$2,設定!$D$2,1),0))),"",DATE(設定!$C$2,設定!$D$2,20))</f>
        <v/>
      </c>
      <c r="B115" s="16">
        <f>IF($A115="","",INDEX(設定!$O$6:$O$12,WEEKDAY($A115,1)))</f>
        <v/>
      </c>
      <c r="C115" s="16">
        <f>IF($A115="","",助理班表!$A8)</f>
        <v/>
      </c>
      <c r="D115" s="16">
        <f>IF($C115="","",助理班表!$B8)</f>
        <v/>
      </c>
      <c r="E115" s="16">
        <f>IF($C115="","",助理班表!$D8)</f>
        <v/>
      </c>
      <c r="F115" s="16">
        <f>IF($C115="","",助理班表!$C8)</f>
        <v/>
      </c>
      <c r="G115" s="16">
        <f>IF($C115="","",助理班表!X8)</f>
        <v/>
      </c>
      <c r="H115" s="83">
        <f>IF($G115="","",IFERROR(IF(INDEX(設定!$D$6:$D$21,MATCH($G115,設定!$B$6:$B$21,0))=0,"",INDEX(設定!$D$6:$D$21,MATCH($G115,設定!$B$6:$B$21,0))),""))</f>
        <v/>
      </c>
      <c r="I115" s="83">
        <f>IF($G115="","",IFERROR(IF(INDEX(設定!$E$6:$E$21,MATCH($G115,設定!$B$6:$B$21,0))=0,"",INDEX(設定!$E$6:$E$21,MATCH($G115,設定!$B$6:$B$21,0))),""))</f>
        <v/>
      </c>
      <c r="J115" s="83">
        <f>IFERROR(INDEX(打卡匯入!$C$3:$C$2002,MATCH($C115&amp;"|"&amp;DAY($A115),打卡匯入!$E$3:$E$2002,0)),"")</f>
        <v/>
      </c>
      <c r="K115" s="83">
        <f>IFERROR(INDEX(打卡匯入!$D$3:$D$2002,MATCH($C115&amp;"|"&amp;DAY($A115),打卡匯入!$E$3:$E$2002,0)),"")</f>
        <v/>
      </c>
      <c r="L115" s="84">
        <f>IF(OR($J115="",$K115=""),"",IFERROR(INDEX(設定!$F$6:$F$21,MATCH($G115,設定!$B$6:$B$21,0)),0))</f>
        <v/>
      </c>
      <c r="M115" s="85">
        <f>IF(OR($J115="",$K115=""),"",ROUND(($K115-$J115)*24-$L115/60,2))</f>
        <v/>
      </c>
      <c r="N115" s="16">
        <f>IF($C115="","",IF(AND(COUNTIF(設定!$B$15:$B$21,$G115)&gt;0,$J115&lt;&gt;""),"假日出勤",IF(AND(COUNTIF(設定!$B$6:$B$14,$G115)&gt;0,$J115=""),"未打卡",IF($J115="","",IF($O115&gt;0,"遲到",IF($P115&gt;0,"早退","正常"))))))</f>
        <v/>
      </c>
      <c r="O115" s="84">
        <f>IF(OR($C115="",$H115="",$J115=""),0,IF(ROUND(($J115-$H115)*1440,0)&gt;設定!$C$46,ROUND(($J115-$H115)*1440,0),0))</f>
        <v/>
      </c>
      <c r="P115" s="84">
        <f>IF(OR($C115="",$I115="",$K115=""),0,IF(ROUND(($I115-$K115)*1440,0)&gt;設定!$C$46,ROUND(($I115-$K115)*1440,0),0))</f>
        <v/>
      </c>
      <c r="Q115" s="85">
        <f>IF($M115="",0,IF(($M115-IFERROR(INDEX(設定!$G$6:$G$21,MATCH($G115,設定!$B$6:$B$21,0)),0))*60&gt;=設定!$C$44,ROUND(FLOOR(($M115-IFERROR(INDEX(設定!$G$6:$G$21,MATCH($G115,設定!$B$6:$B$21,0)),0))*60,設定!$C$45)/60,2),0))</f>
        <v/>
      </c>
      <c r="R115" s="16">
        <f>IF(OR($C115="",$Q115=0),"",IF($G115="國","國定假日",IF($B115="日","例假",IF($B115="六","休息日","平日"))))</f>
        <v/>
      </c>
      <c r="S115" s="19" t="n"/>
    </row>
    <row r="116">
      <c r="A116" s="82">
        <f>IF(OR(助理班表!$A8="",21&gt;DAY(EOMONTH(DATE(設定!$C$2,設定!$D$2,1),0))),"",DATE(設定!$C$2,設定!$D$2,21))</f>
        <v/>
      </c>
      <c r="B116" s="16">
        <f>IF($A116="","",INDEX(設定!$O$6:$O$12,WEEKDAY($A116,1)))</f>
        <v/>
      </c>
      <c r="C116" s="16">
        <f>IF($A116="","",助理班表!$A8)</f>
        <v/>
      </c>
      <c r="D116" s="16">
        <f>IF($C116="","",助理班表!$B8)</f>
        <v/>
      </c>
      <c r="E116" s="16">
        <f>IF($C116="","",助理班表!$D8)</f>
        <v/>
      </c>
      <c r="F116" s="16">
        <f>IF($C116="","",助理班表!$C8)</f>
        <v/>
      </c>
      <c r="G116" s="16">
        <f>IF($C116="","",助理班表!Y8)</f>
        <v/>
      </c>
      <c r="H116" s="83">
        <f>IF($G116="","",IFERROR(IF(INDEX(設定!$D$6:$D$21,MATCH($G116,設定!$B$6:$B$21,0))=0,"",INDEX(設定!$D$6:$D$21,MATCH($G116,設定!$B$6:$B$21,0))),""))</f>
        <v/>
      </c>
      <c r="I116" s="83">
        <f>IF($G116="","",IFERROR(IF(INDEX(設定!$E$6:$E$21,MATCH($G116,設定!$B$6:$B$21,0))=0,"",INDEX(設定!$E$6:$E$21,MATCH($G116,設定!$B$6:$B$21,0))),""))</f>
        <v/>
      </c>
      <c r="J116" s="83">
        <f>IFERROR(INDEX(打卡匯入!$C$3:$C$2002,MATCH($C116&amp;"|"&amp;DAY($A116),打卡匯入!$E$3:$E$2002,0)),"")</f>
        <v/>
      </c>
      <c r="K116" s="83">
        <f>IFERROR(INDEX(打卡匯入!$D$3:$D$2002,MATCH($C116&amp;"|"&amp;DAY($A116),打卡匯入!$E$3:$E$2002,0)),"")</f>
        <v/>
      </c>
      <c r="L116" s="84">
        <f>IF(OR($J116="",$K116=""),"",IFERROR(INDEX(設定!$F$6:$F$21,MATCH($G116,設定!$B$6:$B$21,0)),0))</f>
        <v/>
      </c>
      <c r="M116" s="85">
        <f>IF(OR($J116="",$K116=""),"",ROUND(($K116-$J116)*24-$L116/60,2))</f>
        <v/>
      </c>
      <c r="N116" s="16">
        <f>IF($C116="","",IF(AND(COUNTIF(設定!$B$15:$B$21,$G116)&gt;0,$J116&lt;&gt;""),"假日出勤",IF(AND(COUNTIF(設定!$B$6:$B$14,$G116)&gt;0,$J116=""),"未打卡",IF($J116="","",IF($O116&gt;0,"遲到",IF($P116&gt;0,"早退","正常"))))))</f>
        <v/>
      </c>
      <c r="O116" s="84">
        <f>IF(OR($C116="",$H116="",$J116=""),0,IF(ROUND(($J116-$H116)*1440,0)&gt;設定!$C$46,ROUND(($J116-$H116)*1440,0),0))</f>
        <v/>
      </c>
      <c r="P116" s="84">
        <f>IF(OR($C116="",$I116="",$K116=""),0,IF(ROUND(($I116-$K116)*1440,0)&gt;設定!$C$46,ROUND(($I116-$K116)*1440,0),0))</f>
        <v/>
      </c>
      <c r="Q116" s="85">
        <f>IF($M116="",0,IF(($M116-IFERROR(INDEX(設定!$G$6:$G$21,MATCH($G116,設定!$B$6:$B$21,0)),0))*60&gt;=設定!$C$44,ROUND(FLOOR(($M116-IFERROR(INDEX(設定!$G$6:$G$21,MATCH($G116,設定!$B$6:$B$21,0)),0))*60,設定!$C$45)/60,2),0))</f>
        <v/>
      </c>
      <c r="R116" s="16">
        <f>IF(OR($C116="",$Q116=0),"",IF($G116="國","國定假日",IF($B116="日","例假",IF($B116="六","休息日","平日"))))</f>
        <v/>
      </c>
      <c r="S116" s="19" t="n"/>
    </row>
    <row r="117">
      <c r="A117" s="82">
        <f>IF(OR(助理班表!$A8="",22&gt;DAY(EOMONTH(DATE(設定!$C$2,設定!$D$2,1),0))),"",DATE(設定!$C$2,設定!$D$2,22))</f>
        <v/>
      </c>
      <c r="B117" s="16">
        <f>IF($A117="","",INDEX(設定!$O$6:$O$12,WEEKDAY($A117,1)))</f>
        <v/>
      </c>
      <c r="C117" s="16">
        <f>IF($A117="","",助理班表!$A8)</f>
        <v/>
      </c>
      <c r="D117" s="16">
        <f>IF($C117="","",助理班表!$B8)</f>
        <v/>
      </c>
      <c r="E117" s="16">
        <f>IF($C117="","",助理班表!$D8)</f>
        <v/>
      </c>
      <c r="F117" s="16">
        <f>IF($C117="","",助理班表!$C8)</f>
        <v/>
      </c>
      <c r="G117" s="16">
        <f>IF($C117="","",助理班表!Z8)</f>
        <v/>
      </c>
      <c r="H117" s="83">
        <f>IF($G117="","",IFERROR(IF(INDEX(設定!$D$6:$D$21,MATCH($G117,設定!$B$6:$B$21,0))=0,"",INDEX(設定!$D$6:$D$21,MATCH($G117,設定!$B$6:$B$21,0))),""))</f>
        <v/>
      </c>
      <c r="I117" s="83">
        <f>IF($G117="","",IFERROR(IF(INDEX(設定!$E$6:$E$21,MATCH($G117,設定!$B$6:$B$21,0))=0,"",INDEX(設定!$E$6:$E$21,MATCH($G117,設定!$B$6:$B$21,0))),""))</f>
        <v/>
      </c>
      <c r="J117" s="83">
        <f>IFERROR(INDEX(打卡匯入!$C$3:$C$2002,MATCH($C117&amp;"|"&amp;DAY($A117),打卡匯入!$E$3:$E$2002,0)),"")</f>
        <v/>
      </c>
      <c r="K117" s="83">
        <f>IFERROR(INDEX(打卡匯入!$D$3:$D$2002,MATCH($C117&amp;"|"&amp;DAY($A117),打卡匯入!$E$3:$E$2002,0)),"")</f>
        <v/>
      </c>
      <c r="L117" s="84">
        <f>IF(OR($J117="",$K117=""),"",IFERROR(INDEX(設定!$F$6:$F$21,MATCH($G117,設定!$B$6:$B$21,0)),0))</f>
        <v/>
      </c>
      <c r="M117" s="85">
        <f>IF(OR($J117="",$K117=""),"",ROUND(($K117-$J117)*24-$L117/60,2))</f>
        <v/>
      </c>
      <c r="N117" s="16">
        <f>IF($C117="","",IF(AND(COUNTIF(設定!$B$15:$B$21,$G117)&gt;0,$J117&lt;&gt;""),"假日出勤",IF(AND(COUNTIF(設定!$B$6:$B$14,$G117)&gt;0,$J117=""),"未打卡",IF($J117="","",IF($O117&gt;0,"遲到",IF($P117&gt;0,"早退","正常"))))))</f>
        <v/>
      </c>
      <c r="O117" s="84">
        <f>IF(OR($C117="",$H117="",$J117=""),0,IF(ROUND(($J117-$H117)*1440,0)&gt;設定!$C$46,ROUND(($J117-$H117)*1440,0),0))</f>
        <v/>
      </c>
      <c r="P117" s="84">
        <f>IF(OR($C117="",$I117="",$K117=""),0,IF(ROUND(($I117-$K117)*1440,0)&gt;設定!$C$46,ROUND(($I117-$K117)*1440,0),0))</f>
        <v/>
      </c>
      <c r="Q117" s="85">
        <f>IF($M117="",0,IF(($M117-IFERROR(INDEX(設定!$G$6:$G$21,MATCH($G117,設定!$B$6:$B$21,0)),0))*60&gt;=設定!$C$44,ROUND(FLOOR(($M117-IFERROR(INDEX(設定!$G$6:$G$21,MATCH($G117,設定!$B$6:$B$21,0)),0))*60,設定!$C$45)/60,2),0))</f>
        <v/>
      </c>
      <c r="R117" s="16">
        <f>IF(OR($C117="",$Q117=0),"",IF($G117="國","國定假日",IF($B117="日","例假",IF($B117="六","休息日","平日"))))</f>
        <v/>
      </c>
      <c r="S117" s="19" t="n"/>
    </row>
    <row r="118">
      <c r="A118" s="82">
        <f>IF(OR(助理班表!$A8="",23&gt;DAY(EOMONTH(DATE(設定!$C$2,設定!$D$2,1),0))),"",DATE(設定!$C$2,設定!$D$2,23))</f>
        <v/>
      </c>
      <c r="B118" s="16">
        <f>IF($A118="","",INDEX(設定!$O$6:$O$12,WEEKDAY($A118,1)))</f>
        <v/>
      </c>
      <c r="C118" s="16">
        <f>IF($A118="","",助理班表!$A8)</f>
        <v/>
      </c>
      <c r="D118" s="16">
        <f>IF($C118="","",助理班表!$B8)</f>
        <v/>
      </c>
      <c r="E118" s="16">
        <f>IF($C118="","",助理班表!$D8)</f>
        <v/>
      </c>
      <c r="F118" s="16">
        <f>IF($C118="","",助理班表!$C8)</f>
        <v/>
      </c>
      <c r="G118" s="16">
        <f>IF($C118="","",助理班表!AA8)</f>
        <v/>
      </c>
      <c r="H118" s="83">
        <f>IF($G118="","",IFERROR(IF(INDEX(設定!$D$6:$D$21,MATCH($G118,設定!$B$6:$B$21,0))=0,"",INDEX(設定!$D$6:$D$21,MATCH($G118,設定!$B$6:$B$21,0))),""))</f>
        <v/>
      </c>
      <c r="I118" s="83">
        <f>IF($G118="","",IFERROR(IF(INDEX(設定!$E$6:$E$21,MATCH($G118,設定!$B$6:$B$21,0))=0,"",INDEX(設定!$E$6:$E$21,MATCH($G118,設定!$B$6:$B$21,0))),""))</f>
        <v/>
      </c>
      <c r="J118" s="83">
        <f>IFERROR(INDEX(打卡匯入!$C$3:$C$2002,MATCH($C118&amp;"|"&amp;DAY($A118),打卡匯入!$E$3:$E$2002,0)),"")</f>
        <v/>
      </c>
      <c r="K118" s="83">
        <f>IFERROR(INDEX(打卡匯入!$D$3:$D$2002,MATCH($C118&amp;"|"&amp;DAY($A118),打卡匯入!$E$3:$E$2002,0)),"")</f>
        <v/>
      </c>
      <c r="L118" s="84">
        <f>IF(OR($J118="",$K118=""),"",IFERROR(INDEX(設定!$F$6:$F$21,MATCH($G118,設定!$B$6:$B$21,0)),0))</f>
        <v/>
      </c>
      <c r="M118" s="85">
        <f>IF(OR($J118="",$K118=""),"",ROUND(($K118-$J118)*24-$L118/60,2))</f>
        <v/>
      </c>
      <c r="N118" s="16">
        <f>IF($C118="","",IF(AND(COUNTIF(設定!$B$15:$B$21,$G118)&gt;0,$J118&lt;&gt;""),"假日出勤",IF(AND(COUNTIF(設定!$B$6:$B$14,$G118)&gt;0,$J118=""),"未打卡",IF($J118="","",IF($O118&gt;0,"遲到",IF($P118&gt;0,"早退","正常"))))))</f>
        <v/>
      </c>
      <c r="O118" s="84">
        <f>IF(OR($C118="",$H118="",$J118=""),0,IF(ROUND(($J118-$H118)*1440,0)&gt;設定!$C$46,ROUND(($J118-$H118)*1440,0),0))</f>
        <v/>
      </c>
      <c r="P118" s="84">
        <f>IF(OR($C118="",$I118="",$K118=""),0,IF(ROUND(($I118-$K118)*1440,0)&gt;設定!$C$46,ROUND(($I118-$K118)*1440,0),0))</f>
        <v/>
      </c>
      <c r="Q118" s="85">
        <f>IF($M118="",0,IF(($M118-IFERROR(INDEX(設定!$G$6:$G$21,MATCH($G118,設定!$B$6:$B$21,0)),0))*60&gt;=設定!$C$44,ROUND(FLOOR(($M118-IFERROR(INDEX(設定!$G$6:$G$21,MATCH($G118,設定!$B$6:$B$21,0)),0))*60,設定!$C$45)/60,2),0))</f>
        <v/>
      </c>
      <c r="R118" s="16">
        <f>IF(OR($C118="",$Q118=0),"",IF($G118="國","國定假日",IF($B118="日","例假",IF($B118="六","休息日","平日"))))</f>
        <v/>
      </c>
      <c r="S118" s="19" t="n"/>
    </row>
    <row r="119">
      <c r="A119" s="82">
        <f>IF(OR(助理班表!$A8="",24&gt;DAY(EOMONTH(DATE(設定!$C$2,設定!$D$2,1),0))),"",DATE(設定!$C$2,設定!$D$2,24))</f>
        <v/>
      </c>
      <c r="B119" s="16">
        <f>IF($A119="","",INDEX(設定!$O$6:$O$12,WEEKDAY($A119,1)))</f>
        <v/>
      </c>
      <c r="C119" s="16">
        <f>IF($A119="","",助理班表!$A8)</f>
        <v/>
      </c>
      <c r="D119" s="16">
        <f>IF($C119="","",助理班表!$B8)</f>
        <v/>
      </c>
      <c r="E119" s="16">
        <f>IF($C119="","",助理班表!$D8)</f>
        <v/>
      </c>
      <c r="F119" s="16">
        <f>IF($C119="","",助理班表!$C8)</f>
        <v/>
      </c>
      <c r="G119" s="16">
        <f>IF($C119="","",助理班表!AB8)</f>
        <v/>
      </c>
      <c r="H119" s="83">
        <f>IF($G119="","",IFERROR(IF(INDEX(設定!$D$6:$D$21,MATCH($G119,設定!$B$6:$B$21,0))=0,"",INDEX(設定!$D$6:$D$21,MATCH($G119,設定!$B$6:$B$21,0))),""))</f>
        <v/>
      </c>
      <c r="I119" s="83">
        <f>IF($G119="","",IFERROR(IF(INDEX(設定!$E$6:$E$21,MATCH($G119,設定!$B$6:$B$21,0))=0,"",INDEX(設定!$E$6:$E$21,MATCH($G119,設定!$B$6:$B$21,0))),""))</f>
        <v/>
      </c>
      <c r="J119" s="83">
        <f>IFERROR(INDEX(打卡匯入!$C$3:$C$2002,MATCH($C119&amp;"|"&amp;DAY($A119),打卡匯入!$E$3:$E$2002,0)),"")</f>
        <v/>
      </c>
      <c r="K119" s="83">
        <f>IFERROR(INDEX(打卡匯入!$D$3:$D$2002,MATCH($C119&amp;"|"&amp;DAY($A119),打卡匯入!$E$3:$E$2002,0)),"")</f>
        <v/>
      </c>
      <c r="L119" s="84">
        <f>IF(OR($J119="",$K119=""),"",IFERROR(INDEX(設定!$F$6:$F$21,MATCH($G119,設定!$B$6:$B$21,0)),0))</f>
        <v/>
      </c>
      <c r="M119" s="85">
        <f>IF(OR($J119="",$K119=""),"",ROUND(($K119-$J119)*24-$L119/60,2))</f>
        <v/>
      </c>
      <c r="N119" s="16">
        <f>IF($C119="","",IF(AND(COUNTIF(設定!$B$15:$B$21,$G119)&gt;0,$J119&lt;&gt;""),"假日出勤",IF(AND(COUNTIF(設定!$B$6:$B$14,$G119)&gt;0,$J119=""),"未打卡",IF($J119="","",IF($O119&gt;0,"遲到",IF($P119&gt;0,"早退","正常"))))))</f>
        <v/>
      </c>
      <c r="O119" s="84">
        <f>IF(OR($C119="",$H119="",$J119=""),0,IF(ROUND(($J119-$H119)*1440,0)&gt;設定!$C$46,ROUND(($J119-$H119)*1440,0),0))</f>
        <v/>
      </c>
      <c r="P119" s="84">
        <f>IF(OR($C119="",$I119="",$K119=""),0,IF(ROUND(($I119-$K119)*1440,0)&gt;設定!$C$46,ROUND(($I119-$K119)*1440,0),0))</f>
        <v/>
      </c>
      <c r="Q119" s="85">
        <f>IF($M119="",0,IF(($M119-IFERROR(INDEX(設定!$G$6:$G$21,MATCH($G119,設定!$B$6:$B$21,0)),0))*60&gt;=設定!$C$44,ROUND(FLOOR(($M119-IFERROR(INDEX(設定!$G$6:$G$21,MATCH($G119,設定!$B$6:$B$21,0)),0))*60,設定!$C$45)/60,2),0))</f>
        <v/>
      </c>
      <c r="R119" s="16">
        <f>IF(OR($C119="",$Q119=0),"",IF($G119="國","國定假日",IF($B119="日","例假",IF($B119="六","休息日","平日"))))</f>
        <v/>
      </c>
      <c r="S119" s="19" t="n"/>
    </row>
    <row r="120">
      <c r="A120" s="82">
        <f>IF(OR(助理班表!$A8="",25&gt;DAY(EOMONTH(DATE(設定!$C$2,設定!$D$2,1),0))),"",DATE(設定!$C$2,設定!$D$2,25))</f>
        <v/>
      </c>
      <c r="B120" s="16">
        <f>IF($A120="","",INDEX(設定!$O$6:$O$12,WEEKDAY($A120,1)))</f>
        <v/>
      </c>
      <c r="C120" s="16">
        <f>IF($A120="","",助理班表!$A8)</f>
        <v/>
      </c>
      <c r="D120" s="16">
        <f>IF($C120="","",助理班表!$B8)</f>
        <v/>
      </c>
      <c r="E120" s="16">
        <f>IF($C120="","",助理班表!$D8)</f>
        <v/>
      </c>
      <c r="F120" s="16">
        <f>IF($C120="","",助理班表!$C8)</f>
        <v/>
      </c>
      <c r="G120" s="16">
        <f>IF($C120="","",助理班表!AC8)</f>
        <v/>
      </c>
      <c r="H120" s="83">
        <f>IF($G120="","",IFERROR(IF(INDEX(設定!$D$6:$D$21,MATCH($G120,設定!$B$6:$B$21,0))=0,"",INDEX(設定!$D$6:$D$21,MATCH($G120,設定!$B$6:$B$21,0))),""))</f>
        <v/>
      </c>
      <c r="I120" s="83">
        <f>IF($G120="","",IFERROR(IF(INDEX(設定!$E$6:$E$21,MATCH($G120,設定!$B$6:$B$21,0))=0,"",INDEX(設定!$E$6:$E$21,MATCH($G120,設定!$B$6:$B$21,0))),""))</f>
        <v/>
      </c>
      <c r="J120" s="83">
        <f>IFERROR(INDEX(打卡匯入!$C$3:$C$2002,MATCH($C120&amp;"|"&amp;DAY($A120),打卡匯入!$E$3:$E$2002,0)),"")</f>
        <v/>
      </c>
      <c r="K120" s="83">
        <f>IFERROR(INDEX(打卡匯入!$D$3:$D$2002,MATCH($C120&amp;"|"&amp;DAY($A120),打卡匯入!$E$3:$E$2002,0)),"")</f>
        <v/>
      </c>
      <c r="L120" s="84">
        <f>IF(OR($J120="",$K120=""),"",IFERROR(INDEX(設定!$F$6:$F$21,MATCH($G120,設定!$B$6:$B$21,0)),0))</f>
        <v/>
      </c>
      <c r="M120" s="85">
        <f>IF(OR($J120="",$K120=""),"",ROUND(($K120-$J120)*24-$L120/60,2))</f>
        <v/>
      </c>
      <c r="N120" s="16">
        <f>IF($C120="","",IF(AND(COUNTIF(設定!$B$15:$B$21,$G120)&gt;0,$J120&lt;&gt;""),"假日出勤",IF(AND(COUNTIF(設定!$B$6:$B$14,$G120)&gt;0,$J120=""),"未打卡",IF($J120="","",IF($O120&gt;0,"遲到",IF($P120&gt;0,"早退","正常"))))))</f>
        <v/>
      </c>
      <c r="O120" s="84">
        <f>IF(OR($C120="",$H120="",$J120=""),0,IF(ROUND(($J120-$H120)*1440,0)&gt;設定!$C$46,ROUND(($J120-$H120)*1440,0),0))</f>
        <v/>
      </c>
      <c r="P120" s="84">
        <f>IF(OR($C120="",$I120="",$K120=""),0,IF(ROUND(($I120-$K120)*1440,0)&gt;設定!$C$46,ROUND(($I120-$K120)*1440,0),0))</f>
        <v/>
      </c>
      <c r="Q120" s="85">
        <f>IF($M120="",0,IF(($M120-IFERROR(INDEX(設定!$G$6:$G$21,MATCH($G120,設定!$B$6:$B$21,0)),0))*60&gt;=設定!$C$44,ROUND(FLOOR(($M120-IFERROR(INDEX(設定!$G$6:$G$21,MATCH($G120,設定!$B$6:$B$21,0)),0))*60,設定!$C$45)/60,2),0))</f>
        <v/>
      </c>
      <c r="R120" s="16">
        <f>IF(OR($C120="",$Q120=0),"",IF($G120="國","國定假日",IF($B120="日","例假",IF($B120="六","休息日","平日"))))</f>
        <v/>
      </c>
      <c r="S120" s="19" t="n"/>
    </row>
    <row r="121">
      <c r="A121" s="82">
        <f>IF(OR(助理班表!$A8="",26&gt;DAY(EOMONTH(DATE(設定!$C$2,設定!$D$2,1),0))),"",DATE(設定!$C$2,設定!$D$2,26))</f>
        <v/>
      </c>
      <c r="B121" s="16">
        <f>IF($A121="","",INDEX(設定!$O$6:$O$12,WEEKDAY($A121,1)))</f>
        <v/>
      </c>
      <c r="C121" s="16">
        <f>IF($A121="","",助理班表!$A8)</f>
        <v/>
      </c>
      <c r="D121" s="16">
        <f>IF($C121="","",助理班表!$B8)</f>
        <v/>
      </c>
      <c r="E121" s="16">
        <f>IF($C121="","",助理班表!$D8)</f>
        <v/>
      </c>
      <c r="F121" s="16">
        <f>IF($C121="","",助理班表!$C8)</f>
        <v/>
      </c>
      <c r="G121" s="16">
        <f>IF($C121="","",助理班表!AD8)</f>
        <v/>
      </c>
      <c r="H121" s="83">
        <f>IF($G121="","",IFERROR(IF(INDEX(設定!$D$6:$D$21,MATCH($G121,設定!$B$6:$B$21,0))=0,"",INDEX(設定!$D$6:$D$21,MATCH($G121,設定!$B$6:$B$21,0))),""))</f>
        <v/>
      </c>
      <c r="I121" s="83">
        <f>IF($G121="","",IFERROR(IF(INDEX(設定!$E$6:$E$21,MATCH($G121,設定!$B$6:$B$21,0))=0,"",INDEX(設定!$E$6:$E$21,MATCH($G121,設定!$B$6:$B$21,0))),""))</f>
        <v/>
      </c>
      <c r="J121" s="83">
        <f>IFERROR(INDEX(打卡匯入!$C$3:$C$2002,MATCH($C121&amp;"|"&amp;DAY($A121),打卡匯入!$E$3:$E$2002,0)),"")</f>
        <v/>
      </c>
      <c r="K121" s="83">
        <f>IFERROR(INDEX(打卡匯入!$D$3:$D$2002,MATCH($C121&amp;"|"&amp;DAY($A121),打卡匯入!$E$3:$E$2002,0)),"")</f>
        <v/>
      </c>
      <c r="L121" s="84">
        <f>IF(OR($J121="",$K121=""),"",IFERROR(INDEX(設定!$F$6:$F$21,MATCH($G121,設定!$B$6:$B$21,0)),0))</f>
        <v/>
      </c>
      <c r="M121" s="85">
        <f>IF(OR($J121="",$K121=""),"",ROUND(($K121-$J121)*24-$L121/60,2))</f>
        <v/>
      </c>
      <c r="N121" s="16">
        <f>IF($C121="","",IF(AND(COUNTIF(設定!$B$15:$B$21,$G121)&gt;0,$J121&lt;&gt;""),"假日出勤",IF(AND(COUNTIF(設定!$B$6:$B$14,$G121)&gt;0,$J121=""),"未打卡",IF($J121="","",IF($O121&gt;0,"遲到",IF($P121&gt;0,"早退","正常"))))))</f>
        <v/>
      </c>
      <c r="O121" s="84">
        <f>IF(OR($C121="",$H121="",$J121=""),0,IF(ROUND(($J121-$H121)*1440,0)&gt;設定!$C$46,ROUND(($J121-$H121)*1440,0),0))</f>
        <v/>
      </c>
      <c r="P121" s="84">
        <f>IF(OR($C121="",$I121="",$K121=""),0,IF(ROUND(($I121-$K121)*1440,0)&gt;設定!$C$46,ROUND(($I121-$K121)*1440,0),0))</f>
        <v/>
      </c>
      <c r="Q121" s="85">
        <f>IF($M121="",0,IF(($M121-IFERROR(INDEX(設定!$G$6:$G$21,MATCH($G121,設定!$B$6:$B$21,0)),0))*60&gt;=設定!$C$44,ROUND(FLOOR(($M121-IFERROR(INDEX(設定!$G$6:$G$21,MATCH($G121,設定!$B$6:$B$21,0)),0))*60,設定!$C$45)/60,2),0))</f>
        <v/>
      </c>
      <c r="R121" s="16">
        <f>IF(OR($C121="",$Q121=0),"",IF($G121="國","國定假日",IF($B121="日","例假",IF($B121="六","休息日","平日"))))</f>
        <v/>
      </c>
      <c r="S121" s="19" t="n"/>
    </row>
    <row r="122">
      <c r="A122" s="82">
        <f>IF(OR(助理班表!$A8="",27&gt;DAY(EOMONTH(DATE(設定!$C$2,設定!$D$2,1),0))),"",DATE(設定!$C$2,設定!$D$2,27))</f>
        <v/>
      </c>
      <c r="B122" s="16">
        <f>IF($A122="","",INDEX(設定!$O$6:$O$12,WEEKDAY($A122,1)))</f>
        <v/>
      </c>
      <c r="C122" s="16">
        <f>IF($A122="","",助理班表!$A8)</f>
        <v/>
      </c>
      <c r="D122" s="16">
        <f>IF($C122="","",助理班表!$B8)</f>
        <v/>
      </c>
      <c r="E122" s="16">
        <f>IF($C122="","",助理班表!$D8)</f>
        <v/>
      </c>
      <c r="F122" s="16">
        <f>IF($C122="","",助理班表!$C8)</f>
        <v/>
      </c>
      <c r="G122" s="16">
        <f>IF($C122="","",助理班表!AE8)</f>
        <v/>
      </c>
      <c r="H122" s="83">
        <f>IF($G122="","",IFERROR(IF(INDEX(設定!$D$6:$D$21,MATCH($G122,設定!$B$6:$B$21,0))=0,"",INDEX(設定!$D$6:$D$21,MATCH($G122,設定!$B$6:$B$21,0))),""))</f>
        <v/>
      </c>
      <c r="I122" s="83">
        <f>IF($G122="","",IFERROR(IF(INDEX(設定!$E$6:$E$21,MATCH($G122,設定!$B$6:$B$21,0))=0,"",INDEX(設定!$E$6:$E$21,MATCH($G122,設定!$B$6:$B$21,0))),""))</f>
        <v/>
      </c>
      <c r="J122" s="83">
        <f>IFERROR(INDEX(打卡匯入!$C$3:$C$2002,MATCH($C122&amp;"|"&amp;DAY($A122),打卡匯入!$E$3:$E$2002,0)),"")</f>
        <v/>
      </c>
      <c r="K122" s="83">
        <f>IFERROR(INDEX(打卡匯入!$D$3:$D$2002,MATCH($C122&amp;"|"&amp;DAY($A122),打卡匯入!$E$3:$E$2002,0)),"")</f>
        <v/>
      </c>
      <c r="L122" s="84">
        <f>IF(OR($J122="",$K122=""),"",IFERROR(INDEX(設定!$F$6:$F$21,MATCH($G122,設定!$B$6:$B$21,0)),0))</f>
        <v/>
      </c>
      <c r="M122" s="85">
        <f>IF(OR($J122="",$K122=""),"",ROUND(($K122-$J122)*24-$L122/60,2))</f>
        <v/>
      </c>
      <c r="N122" s="16">
        <f>IF($C122="","",IF(AND(COUNTIF(設定!$B$15:$B$21,$G122)&gt;0,$J122&lt;&gt;""),"假日出勤",IF(AND(COUNTIF(設定!$B$6:$B$14,$G122)&gt;0,$J122=""),"未打卡",IF($J122="","",IF($O122&gt;0,"遲到",IF($P122&gt;0,"早退","正常"))))))</f>
        <v/>
      </c>
      <c r="O122" s="84">
        <f>IF(OR($C122="",$H122="",$J122=""),0,IF(ROUND(($J122-$H122)*1440,0)&gt;設定!$C$46,ROUND(($J122-$H122)*1440,0),0))</f>
        <v/>
      </c>
      <c r="P122" s="84">
        <f>IF(OR($C122="",$I122="",$K122=""),0,IF(ROUND(($I122-$K122)*1440,0)&gt;設定!$C$46,ROUND(($I122-$K122)*1440,0),0))</f>
        <v/>
      </c>
      <c r="Q122" s="85">
        <f>IF($M122="",0,IF(($M122-IFERROR(INDEX(設定!$G$6:$G$21,MATCH($G122,設定!$B$6:$B$21,0)),0))*60&gt;=設定!$C$44,ROUND(FLOOR(($M122-IFERROR(INDEX(設定!$G$6:$G$21,MATCH($G122,設定!$B$6:$B$21,0)),0))*60,設定!$C$45)/60,2),0))</f>
        <v/>
      </c>
      <c r="R122" s="16">
        <f>IF(OR($C122="",$Q122=0),"",IF($G122="國","國定假日",IF($B122="日","例假",IF($B122="六","休息日","平日"))))</f>
        <v/>
      </c>
      <c r="S122" s="19" t="n"/>
    </row>
    <row r="123">
      <c r="A123" s="82">
        <f>IF(OR(助理班表!$A8="",28&gt;DAY(EOMONTH(DATE(設定!$C$2,設定!$D$2,1),0))),"",DATE(設定!$C$2,設定!$D$2,28))</f>
        <v/>
      </c>
      <c r="B123" s="16">
        <f>IF($A123="","",INDEX(設定!$O$6:$O$12,WEEKDAY($A123,1)))</f>
        <v/>
      </c>
      <c r="C123" s="16">
        <f>IF($A123="","",助理班表!$A8)</f>
        <v/>
      </c>
      <c r="D123" s="16">
        <f>IF($C123="","",助理班表!$B8)</f>
        <v/>
      </c>
      <c r="E123" s="16">
        <f>IF($C123="","",助理班表!$D8)</f>
        <v/>
      </c>
      <c r="F123" s="16">
        <f>IF($C123="","",助理班表!$C8)</f>
        <v/>
      </c>
      <c r="G123" s="16">
        <f>IF($C123="","",助理班表!AF8)</f>
        <v/>
      </c>
      <c r="H123" s="83">
        <f>IF($G123="","",IFERROR(IF(INDEX(設定!$D$6:$D$21,MATCH($G123,設定!$B$6:$B$21,0))=0,"",INDEX(設定!$D$6:$D$21,MATCH($G123,設定!$B$6:$B$21,0))),""))</f>
        <v/>
      </c>
      <c r="I123" s="83">
        <f>IF($G123="","",IFERROR(IF(INDEX(設定!$E$6:$E$21,MATCH($G123,設定!$B$6:$B$21,0))=0,"",INDEX(設定!$E$6:$E$21,MATCH($G123,設定!$B$6:$B$21,0))),""))</f>
        <v/>
      </c>
      <c r="J123" s="83">
        <f>IFERROR(INDEX(打卡匯入!$C$3:$C$2002,MATCH($C123&amp;"|"&amp;DAY($A123),打卡匯入!$E$3:$E$2002,0)),"")</f>
        <v/>
      </c>
      <c r="K123" s="83">
        <f>IFERROR(INDEX(打卡匯入!$D$3:$D$2002,MATCH($C123&amp;"|"&amp;DAY($A123),打卡匯入!$E$3:$E$2002,0)),"")</f>
        <v/>
      </c>
      <c r="L123" s="84">
        <f>IF(OR($J123="",$K123=""),"",IFERROR(INDEX(設定!$F$6:$F$21,MATCH($G123,設定!$B$6:$B$21,0)),0))</f>
        <v/>
      </c>
      <c r="M123" s="85">
        <f>IF(OR($J123="",$K123=""),"",ROUND(($K123-$J123)*24-$L123/60,2))</f>
        <v/>
      </c>
      <c r="N123" s="16">
        <f>IF($C123="","",IF(AND(COUNTIF(設定!$B$15:$B$21,$G123)&gt;0,$J123&lt;&gt;""),"假日出勤",IF(AND(COUNTIF(設定!$B$6:$B$14,$G123)&gt;0,$J123=""),"未打卡",IF($J123="","",IF($O123&gt;0,"遲到",IF($P123&gt;0,"早退","正常"))))))</f>
        <v/>
      </c>
      <c r="O123" s="84">
        <f>IF(OR($C123="",$H123="",$J123=""),0,IF(ROUND(($J123-$H123)*1440,0)&gt;設定!$C$46,ROUND(($J123-$H123)*1440,0),0))</f>
        <v/>
      </c>
      <c r="P123" s="84">
        <f>IF(OR($C123="",$I123="",$K123=""),0,IF(ROUND(($I123-$K123)*1440,0)&gt;設定!$C$46,ROUND(($I123-$K123)*1440,0),0))</f>
        <v/>
      </c>
      <c r="Q123" s="85">
        <f>IF($M123="",0,IF(($M123-IFERROR(INDEX(設定!$G$6:$G$21,MATCH($G123,設定!$B$6:$B$21,0)),0))*60&gt;=設定!$C$44,ROUND(FLOOR(($M123-IFERROR(INDEX(設定!$G$6:$G$21,MATCH($G123,設定!$B$6:$B$21,0)),0))*60,設定!$C$45)/60,2),0))</f>
        <v/>
      </c>
      <c r="R123" s="16">
        <f>IF(OR($C123="",$Q123=0),"",IF($G123="國","國定假日",IF($B123="日","例假",IF($B123="六","休息日","平日"))))</f>
        <v/>
      </c>
      <c r="S123" s="19" t="n"/>
    </row>
    <row r="124">
      <c r="A124" s="82">
        <f>IF(OR(助理班表!$A8="",29&gt;DAY(EOMONTH(DATE(設定!$C$2,設定!$D$2,1),0))),"",DATE(設定!$C$2,設定!$D$2,29))</f>
        <v/>
      </c>
      <c r="B124" s="16">
        <f>IF($A124="","",INDEX(設定!$O$6:$O$12,WEEKDAY($A124,1)))</f>
        <v/>
      </c>
      <c r="C124" s="16">
        <f>IF($A124="","",助理班表!$A8)</f>
        <v/>
      </c>
      <c r="D124" s="16">
        <f>IF($C124="","",助理班表!$B8)</f>
        <v/>
      </c>
      <c r="E124" s="16">
        <f>IF($C124="","",助理班表!$D8)</f>
        <v/>
      </c>
      <c r="F124" s="16">
        <f>IF($C124="","",助理班表!$C8)</f>
        <v/>
      </c>
      <c r="G124" s="16">
        <f>IF($C124="","",助理班表!AG8)</f>
        <v/>
      </c>
      <c r="H124" s="83">
        <f>IF($G124="","",IFERROR(IF(INDEX(設定!$D$6:$D$21,MATCH($G124,設定!$B$6:$B$21,0))=0,"",INDEX(設定!$D$6:$D$21,MATCH($G124,設定!$B$6:$B$21,0))),""))</f>
        <v/>
      </c>
      <c r="I124" s="83">
        <f>IF($G124="","",IFERROR(IF(INDEX(設定!$E$6:$E$21,MATCH($G124,設定!$B$6:$B$21,0))=0,"",INDEX(設定!$E$6:$E$21,MATCH($G124,設定!$B$6:$B$21,0))),""))</f>
        <v/>
      </c>
      <c r="J124" s="83">
        <f>IFERROR(INDEX(打卡匯入!$C$3:$C$2002,MATCH($C124&amp;"|"&amp;DAY($A124),打卡匯入!$E$3:$E$2002,0)),"")</f>
        <v/>
      </c>
      <c r="K124" s="83">
        <f>IFERROR(INDEX(打卡匯入!$D$3:$D$2002,MATCH($C124&amp;"|"&amp;DAY($A124),打卡匯入!$E$3:$E$2002,0)),"")</f>
        <v/>
      </c>
      <c r="L124" s="84">
        <f>IF(OR($J124="",$K124=""),"",IFERROR(INDEX(設定!$F$6:$F$21,MATCH($G124,設定!$B$6:$B$21,0)),0))</f>
        <v/>
      </c>
      <c r="M124" s="85">
        <f>IF(OR($J124="",$K124=""),"",ROUND(($K124-$J124)*24-$L124/60,2))</f>
        <v/>
      </c>
      <c r="N124" s="16">
        <f>IF($C124="","",IF(AND(COUNTIF(設定!$B$15:$B$21,$G124)&gt;0,$J124&lt;&gt;""),"假日出勤",IF(AND(COUNTIF(設定!$B$6:$B$14,$G124)&gt;0,$J124=""),"未打卡",IF($J124="","",IF($O124&gt;0,"遲到",IF($P124&gt;0,"早退","正常"))))))</f>
        <v/>
      </c>
      <c r="O124" s="84">
        <f>IF(OR($C124="",$H124="",$J124=""),0,IF(ROUND(($J124-$H124)*1440,0)&gt;設定!$C$46,ROUND(($J124-$H124)*1440,0),0))</f>
        <v/>
      </c>
      <c r="P124" s="84">
        <f>IF(OR($C124="",$I124="",$K124=""),0,IF(ROUND(($I124-$K124)*1440,0)&gt;設定!$C$46,ROUND(($I124-$K124)*1440,0),0))</f>
        <v/>
      </c>
      <c r="Q124" s="85">
        <f>IF($M124="",0,IF(($M124-IFERROR(INDEX(設定!$G$6:$G$21,MATCH($G124,設定!$B$6:$B$21,0)),0))*60&gt;=設定!$C$44,ROUND(FLOOR(($M124-IFERROR(INDEX(設定!$G$6:$G$21,MATCH($G124,設定!$B$6:$B$21,0)),0))*60,設定!$C$45)/60,2),0))</f>
        <v/>
      </c>
      <c r="R124" s="16">
        <f>IF(OR($C124="",$Q124=0),"",IF($G124="國","國定假日",IF($B124="日","例假",IF($B124="六","休息日","平日"))))</f>
        <v/>
      </c>
      <c r="S124" s="19" t="n"/>
    </row>
    <row r="125">
      <c r="A125" s="82">
        <f>IF(OR(助理班表!$A8="",30&gt;DAY(EOMONTH(DATE(設定!$C$2,設定!$D$2,1),0))),"",DATE(設定!$C$2,設定!$D$2,30))</f>
        <v/>
      </c>
      <c r="B125" s="16">
        <f>IF($A125="","",INDEX(設定!$O$6:$O$12,WEEKDAY($A125,1)))</f>
        <v/>
      </c>
      <c r="C125" s="16">
        <f>IF($A125="","",助理班表!$A8)</f>
        <v/>
      </c>
      <c r="D125" s="16">
        <f>IF($C125="","",助理班表!$B8)</f>
        <v/>
      </c>
      <c r="E125" s="16">
        <f>IF($C125="","",助理班表!$D8)</f>
        <v/>
      </c>
      <c r="F125" s="16">
        <f>IF($C125="","",助理班表!$C8)</f>
        <v/>
      </c>
      <c r="G125" s="16">
        <f>IF($C125="","",助理班表!AH8)</f>
        <v/>
      </c>
      <c r="H125" s="83">
        <f>IF($G125="","",IFERROR(IF(INDEX(設定!$D$6:$D$21,MATCH($G125,設定!$B$6:$B$21,0))=0,"",INDEX(設定!$D$6:$D$21,MATCH($G125,設定!$B$6:$B$21,0))),""))</f>
        <v/>
      </c>
      <c r="I125" s="83">
        <f>IF($G125="","",IFERROR(IF(INDEX(設定!$E$6:$E$21,MATCH($G125,設定!$B$6:$B$21,0))=0,"",INDEX(設定!$E$6:$E$21,MATCH($G125,設定!$B$6:$B$21,0))),""))</f>
        <v/>
      </c>
      <c r="J125" s="83">
        <f>IFERROR(INDEX(打卡匯入!$C$3:$C$2002,MATCH($C125&amp;"|"&amp;DAY($A125),打卡匯入!$E$3:$E$2002,0)),"")</f>
        <v/>
      </c>
      <c r="K125" s="83">
        <f>IFERROR(INDEX(打卡匯入!$D$3:$D$2002,MATCH($C125&amp;"|"&amp;DAY($A125),打卡匯入!$E$3:$E$2002,0)),"")</f>
        <v/>
      </c>
      <c r="L125" s="84">
        <f>IF(OR($J125="",$K125=""),"",IFERROR(INDEX(設定!$F$6:$F$21,MATCH($G125,設定!$B$6:$B$21,0)),0))</f>
        <v/>
      </c>
      <c r="M125" s="85">
        <f>IF(OR($J125="",$K125=""),"",ROUND(($K125-$J125)*24-$L125/60,2))</f>
        <v/>
      </c>
      <c r="N125" s="16">
        <f>IF($C125="","",IF(AND(COUNTIF(設定!$B$15:$B$21,$G125)&gt;0,$J125&lt;&gt;""),"假日出勤",IF(AND(COUNTIF(設定!$B$6:$B$14,$G125)&gt;0,$J125=""),"未打卡",IF($J125="","",IF($O125&gt;0,"遲到",IF($P125&gt;0,"早退","正常"))))))</f>
        <v/>
      </c>
      <c r="O125" s="84">
        <f>IF(OR($C125="",$H125="",$J125=""),0,IF(ROUND(($J125-$H125)*1440,0)&gt;設定!$C$46,ROUND(($J125-$H125)*1440,0),0))</f>
        <v/>
      </c>
      <c r="P125" s="84">
        <f>IF(OR($C125="",$I125="",$K125=""),0,IF(ROUND(($I125-$K125)*1440,0)&gt;設定!$C$46,ROUND(($I125-$K125)*1440,0),0))</f>
        <v/>
      </c>
      <c r="Q125" s="85">
        <f>IF($M125="",0,IF(($M125-IFERROR(INDEX(設定!$G$6:$G$21,MATCH($G125,設定!$B$6:$B$21,0)),0))*60&gt;=設定!$C$44,ROUND(FLOOR(($M125-IFERROR(INDEX(設定!$G$6:$G$21,MATCH($G125,設定!$B$6:$B$21,0)),0))*60,設定!$C$45)/60,2),0))</f>
        <v/>
      </c>
      <c r="R125" s="16">
        <f>IF(OR($C125="",$Q125=0),"",IF($G125="國","國定假日",IF($B125="日","例假",IF($B125="六","休息日","平日"))))</f>
        <v/>
      </c>
      <c r="S125" s="19" t="n"/>
    </row>
    <row r="126">
      <c r="A126" s="82">
        <f>IF(OR(助理班表!$A8="",31&gt;DAY(EOMONTH(DATE(設定!$C$2,設定!$D$2,1),0))),"",DATE(設定!$C$2,設定!$D$2,31))</f>
        <v/>
      </c>
      <c r="B126" s="16">
        <f>IF($A126="","",INDEX(設定!$O$6:$O$12,WEEKDAY($A126,1)))</f>
        <v/>
      </c>
      <c r="C126" s="16">
        <f>IF($A126="","",助理班表!$A8)</f>
        <v/>
      </c>
      <c r="D126" s="16">
        <f>IF($C126="","",助理班表!$B8)</f>
        <v/>
      </c>
      <c r="E126" s="16">
        <f>IF($C126="","",助理班表!$D8)</f>
        <v/>
      </c>
      <c r="F126" s="16">
        <f>IF($C126="","",助理班表!$C8)</f>
        <v/>
      </c>
      <c r="G126" s="16">
        <f>IF($C126="","",助理班表!AI8)</f>
        <v/>
      </c>
      <c r="H126" s="83">
        <f>IF($G126="","",IFERROR(IF(INDEX(設定!$D$6:$D$21,MATCH($G126,設定!$B$6:$B$21,0))=0,"",INDEX(設定!$D$6:$D$21,MATCH($G126,設定!$B$6:$B$21,0))),""))</f>
        <v/>
      </c>
      <c r="I126" s="83">
        <f>IF($G126="","",IFERROR(IF(INDEX(設定!$E$6:$E$21,MATCH($G126,設定!$B$6:$B$21,0))=0,"",INDEX(設定!$E$6:$E$21,MATCH($G126,設定!$B$6:$B$21,0))),""))</f>
        <v/>
      </c>
      <c r="J126" s="83">
        <f>IFERROR(INDEX(打卡匯入!$C$3:$C$2002,MATCH($C126&amp;"|"&amp;DAY($A126),打卡匯入!$E$3:$E$2002,0)),"")</f>
        <v/>
      </c>
      <c r="K126" s="83">
        <f>IFERROR(INDEX(打卡匯入!$D$3:$D$2002,MATCH($C126&amp;"|"&amp;DAY($A126),打卡匯入!$E$3:$E$2002,0)),"")</f>
        <v/>
      </c>
      <c r="L126" s="84">
        <f>IF(OR($J126="",$K126=""),"",IFERROR(INDEX(設定!$F$6:$F$21,MATCH($G126,設定!$B$6:$B$21,0)),0))</f>
        <v/>
      </c>
      <c r="M126" s="85">
        <f>IF(OR($J126="",$K126=""),"",ROUND(($K126-$J126)*24-$L126/60,2))</f>
        <v/>
      </c>
      <c r="N126" s="16">
        <f>IF($C126="","",IF(AND(COUNTIF(設定!$B$15:$B$21,$G126)&gt;0,$J126&lt;&gt;""),"假日出勤",IF(AND(COUNTIF(設定!$B$6:$B$14,$G126)&gt;0,$J126=""),"未打卡",IF($J126="","",IF($O126&gt;0,"遲到",IF($P126&gt;0,"早退","正常"))))))</f>
        <v/>
      </c>
      <c r="O126" s="84">
        <f>IF(OR($C126="",$H126="",$J126=""),0,IF(ROUND(($J126-$H126)*1440,0)&gt;設定!$C$46,ROUND(($J126-$H126)*1440,0),0))</f>
        <v/>
      </c>
      <c r="P126" s="84">
        <f>IF(OR($C126="",$I126="",$K126=""),0,IF(ROUND(($I126-$K126)*1440,0)&gt;設定!$C$46,ROUND(($I126-$K126)*1440,0),0))</f>
        <v/>
      </c>
      <c r="Q126" s="85">
        <f>IF($M126="",0,IF(($M126-IFERROR(INDEX(設定!$G$6:$G$21,MATCH($G126,設定!$B$6:$B$21,0)),0))*60&gt;=設定!$C$44,ROUND(FLOOR(($M126-IFERROR(INDEX(設定!$G$6:$G$21,MATCH($G126,設定!$B$6:$B$21,0)),0))*60,設定!$C$45)/60,2),0))</f>
        <v/>
      </c>
      <c r="R126" s="16">
        <f>IF(OR($C126="",$Q126=0),"",IF($G126="國","國定假日",IF($B126="日","例假",IF($B126="六","休息日","平日"))))</f>
        <v/>
      </c>
      <c r="S126" s="19" t="n"/>
    </row>
    <row r="127">
      <c r="A127" s="82">
        <f>IF(OR(助理班表!$A9="",1&gt;DAY(EOMONTH(DATE(設定!$C$2,設定!$D$2,1),0))),"",DATE(設定!$C$2,設定!$D$2,1))</f>
        <v/>
      </c>
      <c r="B127" s="16">
        <f>IF($A127="","",INDEX(設定!$O$6:$O$12,WEEKDAY($A127,1)))</f>
        <v/>
      </c>
      <c r="C127" s="16">
        <f>IF($A127="","",助理班表!$A9)</f>
        <v/>
      </c>
      <c r="D127" s="16">
        <f>IF($C127="","",助理班表!$B9)</f>
        <v/>
      </c>
      <c r="E127" s="16">
        <f>IF($C127="","",助理班表!$D9)</f>
        <v/>
      </c>
      <c r="F127" s="16">
        <f>IF($C127="","",助理班表!$C9)</f>
        <v/>
      </c>
      <c r="G127" s="16">
        <f>IF($C127="","",助理班表!E9)</f>
        <v/>
      </c>
      <c r="H127" s="83">
        <f>IF($G127="","",IFERROR(IF(INDEX(設定!$D$6:$D$21,MATCH($G127,設定!$B$6:$B$21,0))=0,"",INDEX(設定!$D$6:$D$21,MATCH($G127,設定!$B$6:$B$21,0))),""))</f>
        <v/>
      </c>
      <c r="I127" s="83">
        <f>IF($G127="","",IFERROR(IF(INDEX(設定!$E$6:$E$21,MATCH($G127,設定!$B$6:$B$21,0))=0,"",INDEX(設定!$E$6:$E$21,MATCH($G127,設定!$B$6:$B$21,0))),""))</f>
        <v/>
      </c>
      <c r="J127" s="83">
        <f>IFERROR(INDEX(打卡匯入!$C$3:$C$2002,MATCH($C127&amp;"|"&amp;DAY($A127),打卡匯入!$E$3:$E$2002,0)),"")</f>
        <v/>
      </c>
      <c r="K127" s="83">
        <f>IFERROR(INDEX(打卡匯入!$D$3:$D$2002,MATCH($C127&amp;"|"&amp;DAY($A127),打卡匯入!$E$3:$E$2002,0)),"")</f>
        <v/>
      </c>
      <c r="L127" s="84">
        <f>IF(OR($J127="",$K127=""),"",IFERROR(INDEX(設定!$F$6:$F$21,MATCH($G127,設定!$B$6:$B$21,0)),0))</f>
        <v/>
      </c>
      <c r="M127" s="85">
        <f>IF(OR($J127="",$K127=""),"",ROUND(($K127-$J127)*24-$L127/60,2))</f>
        <v/>
      </c>
      <c r="N127" s="16">
        <f>IF($C127="","",IF(AND(COUNTIF(設定!$B$15:$B$21,$G127)&gt;0,$J127&lt;&gt;""),"假日出勤",IF(AND(COUNTIF(設定!$B$6:$B$14,$G127)&gt;0,$J127=""),"未打卡",IF($J127="","",IF($O127&gt;0,"遲到",IF($P127&gt;0,"早退","正常"))))))</f>
        <v/>
      </c>
      <c r="O127" s="84">
        <f>IF(OR($C127="",$H127="",$J127=""),0,IF(ROUND(($J127-$H127)*1440,0)&gt;設定!$C$46,ROUND(($J127-$H127)*1440,0),0))</f>
        <v/>
      </c>
      <c r="P127" s="84">
        <f>IF(OR($C127="",$I127="",$K127=""),0,IF(ROUND(($I127-$K127)*1440,0)&gt;設定!$C$46,ROUND(($I127-$K127)*1440,0),0))</f>
        <v/>
      </c>
      <c r="Q127" s="85">
        <f>IF($M127="",0,IF(($M127-IFERROR(INDEX(設定!$G$6:$G$21,MATCH($G127,設定!$B$6:$B$21,0)),0))*60&gt;=設定!$C$44,ROUND(FLOOR(($M127-IFERROR(INDEX(設定!$G$6:$G$21,MATCH($G127,設定!$B$6:$B$21,0)),0))*60,設定!$C$45)/60,2),0))</f>
        <v/>
      </c>
      <c r="R127" s="16">
        <f>IF(OR($C127="",$Q127=0),"",IF($G127="國","國定假日",IF($B127="日","例假",IF($B127="六","休息日","平日"))))</f>
        <v/>
      </c>
      <c r="S127" s="19" t="n"/>
    </row>
    <row r="128">
      <c r="A128" s="82">
        <f>IF(OR(助理班表!$A9="",2&gt;DAY(EOMONTH(DATE(設定!$C$2,設定!$D$2,1),0))),"",DATE(設定!$C$2,設定!$D$2,2))</f>
        <v/>
      </c>
      <c r="B128" s="16">
        <f>IF($A128="","",INDEX(設定!$O$6:$O$12,WEEKDAY($A128,1)))</f>
        <v/>
      </c>
      <c r="C128" s="16">
        <f>IF($A128="","",助理班表!$A9)</f>
        <v/>
      </c>
      <c r="D128" s="16">
        <f>IF($C128="","",助理班表!$B9)</f>
        <v/>
      </c>
      <c r="E128" s="16">
        <f>IF($C128="","",助理班表!$D9)</f>
        <v/>
      </c>
      <c r="F128" s="16">
        <f>IF($C128="","",助理班表!$C9)</f>
        <v/>
      </c>
      <c r="G128" s="16">
        <f>IF($C128="","",助理班表!F9)</f>
        <v/>
      </c>
      <c r="H128" s="83">
        <f>IF($G128="","",IFERROR(IF(INDEX(設定!$D$6:$D$21,MATCH($G128,設定!$B$6:$B$21,0))=0,"",INDEX(設定!$D$6:$D$21,MATCH($G128,設定!$B$6:$B$21,0))),""))</f>
        <v/>
      </c>
      <c r="I128" s="83">
        <f>IF($G128="","",IFERROR(IF(INDEX(設定!$E$6:$E$21,MATCH($G128,設定!$B$6:$B$21,0))=0,"",INDEX(設定!$E$6:$E$21,MATCH($G128,設定!$B$6:$B$21,0))),""))</f>
        <v/>
      </c>
      <c r="J128" s="83">
        <f>IFERROR(INDEX(打卡匯入!$C$3:$C$2002,MATCH($C128&amp;"|"&amp;DAY($A128),打卡匯入!$E$3:$E$2002,0)),"")</f>
        <v/>
      </c>
      <c r="K128" s="83">
        <f>IFERROR(INDEX(打卡匯入!$D$3:$D$2002,MATCH($C128&amp;"|"&amp;DAY($A128),打卡匯入!$E$3:$E$2002,0)),"")</f>
        <v/>
      </c>
      <c r="L128" s="84">
        <f>IF(OR($J128="",$K128=""),"",IFERROR(INDEX(設定!$F$6:$F$21,MATCH($G128,設定!$B$6:$B$21,0)),0))</f>
        <v/>
      </c>
      <c r="M128" s="85">
        <f>IF(OR($J128="",$K128=""),"",ROUND(($K128-$J128)*24-$L128/60,2))</f>
        <v/>
      </c>
      <c r="N128" s="16">
        <f>IF($C128="","",IF(AND(COUNTIF(設定!$B$15:$B$21,$G128)&gt;0,$J128&lt;&gt;""),"假日出勤",IF(AND(COUNTIF(設定!$B$6:$B$14,$G128)&gt;0,$J128=""),"未打卡",IF($J128="","",IF($O128&gt;0,"遲到",IF($P128&gt;0,"早退","正常"))))))</f>
        <v/>
      </c>
      <c r="O128" s="84">
        <f>IF(OR($C128="",$H128="",$J128=""),0,IF(ROUND(($J128-$H128)*1440,0)&gt;設定!$C$46,ROUND(($J128-$H128)*1440,0),0))</f>
        <v/>
      </c>
      <c r="P128" s="84">
        <f>IF(OR($C128="",$I128="",$K128=""),0,IF(ROUND(($I128-$K128)*1440,0)&gt;設定!$C$46,ROUND(($I128-$K128)*1440,0),0))</f>
        <v/>
      </c>
      <c r="Q128" s="85">
        <f>IF($M128="",0,IF(($M128-IFERROR(INDEX(設定!$G$6:$G$21,MATCH($G128,設定!$B$6:$B$21,0)),0))*60&gt;=設定!$C$44,ROUND(FLOOR(($M128-IFERROR(INDEX(設定!$G$6:$G$21,MATCH($G128,設定!$B$6:$B$21,0)),0))*60,設定!$C$45)/60,2),0))</f>
        <v/>
      </c>
      <c r="R128" s="16">
        <f>IF(OR($C128="",$Q128=0),"",IF($G128="國","國定假日",IF($B128="日","例假",IF($B128="六","休息日","平日"))))</f>
        <v/>
      </c>
      <c r="S128" s="19" t="n"/>
    </row>
    <row r="129">
      <c r="A129" s="82">
        <f>IF(OR(助理班表!$A9="",3&gt;DAY(EOMONTH(DATE(設定!$C$2,設定!$D$2,1),0))),"",DATE(設定!$C$2,設定!$D$2,3))</f>
        <v/>
      </c>
      <c r="B129" s="16">
        <f>IF($A129="","",INDEX(設定!$O$6:$O$12,WEEKDAY($A129,1)))</f>
        <v/>
      </c>
      <c r="C129" s="16">
        <f>IF($A129="","",助理班表!$A9)</f>
        <v/>
      </c>
      <c r="D129" s="16">
        <f>IF($C129="","",助理班表!$B9)</f>
        <v/>
      </c>
      <c r="E129" s="16">
        <f>IF($C129="","",助理班表!$D9)</f>
        <v/>
      </c>
      <c r="F129" s="16">
        <f>IF($C129="","",助理班表!$C9)</f>
        <v/>
      </c>
      <c r="G129" s="16">
        <f>IF($C129="","",助理班表!G9)</f>
        <v/>
      </c>
      <c r="H129" s="83">
        <f>IF($G129="","",IFERROR(IF(INDEX(設定!$D$6:$D$21,MATCH($G129,設定!$B$6:$B$21,0))=0,"",INDEX(設定!$D$6:$D$21,MATCH($G129,設定!$B$6:$B$21,0))),""))</f>
        <v/>
      </c>
      <c r="I129" s="83">
        <f>IF($G129="","",IFERROR(IF(INDEX(設定!$E$6:$E$21,MATCH($G129,設定!$B$6:$B$21,0))=0,"",INDEX(設定!$E$6:$E$21,MATCH($G129,設定!$B$6:$B$21,0))),""))</f>
        <v/>
      </c>
      <c r="J129" s="83">
        <f>IFERROR(INDEX(打卡匯入!$C$3:$C$2002,MATCH($C129&amp;"|"&amp;DAY($A129),打卡匯入!$E$3:$E$2002,0)),"")</f>
        <v/>
      </c>
      <c r="K129" s="83">
        <f>IFERROR(INDEX(打卡匯入!$D$3:$D$2002,MATCH($C129&amp;"|"&amp;DAY($A129),打卡匯入!$E$3:$E$2002,0)),"")</f>
        <v/>
      </c>
      <c r="L129" s="84">
        <f>IF(OR($J129="",$K129=""),"",IFERROR(INDEX(設定!$F$6:$F$21,MATCH($G129,設定!$B$6:$B$21,0)),0))</f>
        <v/>
      </c>
      <c r="M129" s="85">
        <f>IF(OR($J129="",$K129=""),"",ROUND(($K129-$J129)*24-$L129/60,2))</f>
        <v/>
      </c>
      <c r="N129" s="16">
        <f>IF($C129="","",IF(AND(COUNTIF(設定!$B$15:$B$21,$G129)&gt;0,$J129&lt;&gt;""),"假日出勤",IF(AND(COUNTIF(設定!$B$6:$B$14,$G129)&gt;0,$J129=""),"未打卡",IF($J129="","",IF($O129&gt;0,"遲到",IF($P129&gt;0,"早退","正常"))))))</f>
        <v/>
      </c>
      <c r="O129" s="84">
        <f>IF(OR($C129="",$H129="",$J129=""),0,IF(ROUND(($J129-$H129)*1440,0)&gt;設定!$C$46,ROUND(($J129-$H129)*1440,0),0))</f>
        <v/>
      </c>
      <c r="P129" s="84">
        <f>IF(OR($C129="",$I129="",$K129=""),0,IF(ROUND(($I129-$K129)*1440,0)&gt;設定!$C$46,ROUND(($I129-$K129)*1440,0),0))</f>
        <v/>
      </c>
      <c r="Q129" s="85">
        <f>IF($M129="",0,IF(($M129-IFERROR(INDEX(設定!$G$6:$G$21,MATCH($G129,設定!$B$6:$B$21,0)),0))*60&gt;=設定!$C$44,ROUND(FLOOR(($M129-IFERROR(INDEX(設定!$G$6:$G$21,MATCH($G129,設定!$B$6:$B$21,0)),0))*60,設定!$C$45)/60,2),0))</f>
        <v/>
      </c>
      <c r="R129" s="16">
        <f>IF(OR($C129="",$Q129=0),"",IF($G129="國","國定假日",IF($B129="日","例假",IF($B129="六","休息日","平日"))))</f>
        <v/>
      </c>
      <c r="S129" s="19" t="n"/>
    </row>
    <row r="130">
      <c r="A130" s="82">
        <f>IF(OR(助理班表!$A9="",4&gt;DAY(EOMONTH(DATE(設定!$C$2,設定!$D$2,1),0))),"",DATE(設定!$C$2,設定!$D$2,4))</f>
        <v/>
      </c>
      <c r="B130" s="16">
        <f>IF($A130="","",INDEX(設定!$O$6:$O$12,WEEKDAY($A130,1)))</f>
        <v/>
      </c>
      <c r="C130" s="16">
        <f>IF($A130="","",助理班表!$A9)</f>
        <v/>
      </c>
      <c r="D130" s="16">
        <f>IF($C130="","",助理班表!$B9)</f>
        <v/>
      </c>
      <c r="E130" s="16">
        <f>IF($C130="","",助理班表!$D9)</f>
        <v/>
      </c>
      <c r="F130" s="16">
        <f>IF($C130="","",助理班表!$C9)</f>
        <v/>
      </c>
      <c r="G130" s="16">
        <f>IF($C130="","",助理班表!H9)</f>
        <v/>
      </c>
      <c r="H130" s="83">
        <f>IF($G130="","",IFERROR(IF(INDEX(設定!$D$6:$D$21,MATCH($G130,設定!$B$6:$B$21,0))=0,"",INDEX(設定!$D$6:$D$21,MATCH($G130,設定!$B$6:$B$21,0))),""))</f>
        <v/>
      </c>
      <c r="I130" s="83">
        <f>IF($G130="","",IFERROR(IF(INDEX(設定!$E$6:$E$21,MATCH($G130,設定!$B$6:$B$21,0))=0,"",INDEX(設定!$E$6:$E$21,MATCH($G130,設定!$B$6:$B$21,0))),""))</f>
        <v/>
      </c>
      <c r="J130" s="83">
        <f>IFERROR(INDEX(打卡匯入!$C$3:$C$2002,MATCH($C130&amp;"|"&amp;DAY($A130),打卡匯入!$E$3:$E$2002,0)),"")</f>
        <v/>
      </c>
      <c r="K130" s="83">
        <f>IFERROR(INDEX(打卡匯入!$D$3:$D$2002,MATCH($C130&amp;"|"&amp;DAY($A130),打卡匯入!$E$3:$E$2002,0)),"")</f>
        <v/>
      </c>
      <c r="L130" s="84">
        <f>IF(OR($J130="",$K130=""),"",IFERROR(INDEX(設定!$F$6:$F$21,MATCH($G130,設定!$B$6:$B$21,0)),0))</f>
        <v/>
      </c>
      <c r="M130" s="85">
        <f>IF(OR($J130="",$K130=""),"",ROUND(($K130-$J130)*24-$L130/60,2))</f>
        <v/>
      </c>
      <c r="N130" s="16">
        <f>IF($C130="","",IF(AND(COUNTIF(設定!$B$15:$B$21,$G130)&gt;0,$J130&lt;&gt;""),"假日出勤",IF(AND(COUNTIF(設定!$B$6:$B$14,$G130)&gt;0,$J130=""),"未打卡",IF($J130="","",IF($O130&gt;0,"遲到",IF($P130&gt;0,"早退","正常"))))))</f>
        <v/>
      </c>
      <c r="O130" s="84">
        <f>IF(OR($C130="",$H130="",$J130=""),0,IF(ROUND(($J130-$H130)*1440,0)&gt;設定!$C$46,ROUND(($J130-$H130)*1440,0),0))</f>
        <v/>
      </c>
      <c r="P130" s="84">
        <f>IF(OR($C130="",$I130="",$K130=""),0,IF(ROUND(($I130-$K130)*1440,0)&gt;設定!$C$46,ROUND(($I130-$K130)*1440,0),0))</f>
        <v/>
      </c>
      <c r="Q130" s="85">
        <f>IF($M130="",0,IF(($M130-IFERROR(INDEX(設定!$G$6:$G$21,MATCH($G130,設定!$B$6:$B$21,0)),0))*60&gt;=設定!$C$44,ROUND(FLOOR(($M130-IFERROR(INDEX(設定!$G$6:$G$21,MATCH($G130,設定!$B$6:$B$21,0)),0))*60,設定!$C$45)/60,2),0))</f>
        <v/>
      </c>
      <c r="R130" s="16">
        <f>IF(OR($C130="",$Q130=0),"",IF($G130="國","國定假日",IF($B130="日","例假",IF($B130="六","休息日","平日"))))</f>
        <v/>
      </c>
      <c r="S130" s="19" t="n"/>
    </row>
    <row r="131">
      <c r="A131" s="82">
        <f>IF(OR(助理班表!$A9="",5&gt;DAY(EOMONTH(DATE(設定!$C$2,設定!$D$2,1),0))),"",DATE(設定!$C$2,設定!$D$2,5))</f>
        <v/>
      </c>
      <c r="B131" s="16">
        <f>IF($A131="","",INDEX(設定!$O$6:$O$12,WEEKDAY($A131,1)))</f>
        <v/>
      </c>
      <c r="C131" s="16">
        <f>IF($A131="","",助理班表!$A9)</f>
        <v/>
      </c>
      <c r="D131" s="16">
        <f>IF($C131="","",助理班表!$B9)</f>
        <v/>
      </c>
      <c r="E131" s="16">
        <f>IF($C131="","",助理班表!$D9)</f>
        <v/>
      </c>
      <c r="F131" s="16">
        <f>IF($C131="","",助理班表!$C9)</f>
        <v/>
      </c>
      <c r="G131" s="16">
        <f>IF($C131="","",助理班表!I9)</f>
        <v/>
      </c>
      <c r="H131" s="83">
        <f>IF($G131="","",IFERROR(IF(INDEX(設定!$D$6:$D$21,MATCH($G131,設定!$B$6:$B$21,0))=0,"",INDEX(設定!$D$6:$D$21,MATCH($G131,設定!$B$6:$B$21,0))),""))</f>
        <v/>
      </c>
      <c r="I131" s="83">
        <f>IF($G131="","",IFERROR(IF(INDEX(設定!$E$6:$E$21,MATCH($G131,設定!$B$6:$B$21,0))=0,"",INDEX(設定!$E$6:$E$21,MATCH($G131,設定!$B$6:$B$21,0))),""))</f>
        <v/>
      </c>
      <c r="J131" s="83">
        <f>IFERROR(INDEX(打卡匯入!$C$3:$C$2002,MATCH($C131&amp;"|"&amp;DAY($A131),打卡匯入!$E$3:$E$2002,0)),"")</f>
        <v/>
      </c>
      <c r="K131" s="83">
        <f>IFERROR(INDEX(打卡匯入!$D$3:$D$2002,MATCH($C131&amp;"|"&amp;DAY($A131),打卡匯入!$E$3:$E$2002,0)),"")</f>
        <v/>
      </c>
      <c r="L131" s="84">
        <f>IF(OR($J131="",$K131=""),"",IFERROR(INDEX(設定!$F$6:$F$21,MATCH($G131,設定!$B$6:$B$21,0)),0))</f>
        <v/>
      </c>
      <c r="M131" s="85">
        <f>IF(OR($J131="",$K131=""),"",ROUND(($K131-$J131)*24-$L131/60,2))</f>
        <v/>
      </c>
      <c r="N131" s="16">
        <f>IF($C131="","",IF(AND(COUNTIF(設定!$B$15:$B$21,$G131)&gt;0,$J131&lt;&gt;""),"假日出勤",IF(AND(COUNTIF(設定!$B$6:$B$14,$G131)&gt;0,$J131=""),"未打卡",IF($J131="","",IF($O131&gt;0,"遲到",IF($P131&gt;0,"早退","正常"))))))</f>
        <v/>
      </c>
      <c r="O131" s="84">
        <f>IF(OR($C131="",$H131="",$J131=""),0,IF(ROUND(($J131-$H131)*1440,0)&gt;設定!$C$46,ROUND(($J131-$H131)*1440,0),0))</f>
        <v/>
      </c>
      <c r="P131" s="84">
        <f>IF(OR($C131="",$I131="",$K131=""),0,IF(ROUND(($I131-$K131)*1440,0)&gt;設定!$C$46,ROUND(($I131-$K131)*1440,0),0))</f>
        <v/>
      </c>
      <c r="Q131" s="85">
        <f>IF($M131="",0,IF(($M131-IFERROR(INDEX(設定!$G$6:$G$21,MATCH($G131,設定!$B$6:$B$21,0)),0))*60&gt;=設定!$C$44,ROUND(FLOOR(($M131-IFERROR(INDEX(設定!$G$6:$G$21,MATCH($G131,設定!$B$6:$B$21,0)),0))*60,設定!$C$45)/60,2),0))</f>
        <v/>
      </c>
      <c r="R131" s="16">
        <f>IF(OR($C131="",$Q131=0),"",IF($G131="國","國定假日",IF($B131="日","例假",IF($B131="六","休息日","平日"))))</f>
        <v/>
      </c>
      <c r="S131" s="19" t="n"/>
    </row>
    <row r="132">
      <c r="A132" s="82">
        <f>IF(OR(助理班表!$A9="",6&gt;DAY(EOMONTH(DATE(設定!$C$2,設定!$D$2,1),0))),"",DATE(設定!$C$2,設定!$D$2,6))</f>
        <v/>
      </c>
      <c r="B132" s="16">
        <f>IF($A132="","",INDEX(設定!$O$6:$O$12,WEEKDAY($A132,1)))</f>
        <v/>
      </c>
      <c r="C132" s="16">
        <f>IF($A132="","",助理班表!$A9)</f>
        <v/>
      </c>
      <c r="D132" s="16">
        <f>IF($C132="","",助理班表!$B9)</f>
        <v/>
      </c>
      <c r="E132" s="16">
        <f>IF($C132="","",助理班表!$D9)</f>
        <v/>
      </c>
      <c r="F132" s="16">
        <f>IF($C132="","",助理班表!$C9)</f>
        <v/>
      </c>
      <c r="G132" s="16">
        <f>IF($C132="","",助理班表!J9)</f>
        <v/>
      </c>
      <c r="H132" s="83">
        <f>IF($G132="","",IFERROR(IF(INDEX(設定!$D$6:$D$21,MATCH($G132,設定!$B$6:$B$21,0))=0,"",INDEX(設定!$D$6:$D$21,MATCH($G132,設定!$B$6:$B$21,0))),""))</f>
        <v/>
      </c>
      <c r="I132" s="83">
        <f>IF($G132="","",IFERROR(IF(INDEX(設定!$E$6:$E$21,MATCH($G132,設定!$B$6:$B$21,0))=0,"",INDEX(設定!$E$6:$E$21,MATCH($G132,設定!$B$6:$B$21,0))),""))</f>
        <v/>
      </c>
      <c r="J132" s="83">
        <f>IFERROR(INDEX(打卡匯入!$C$3:$C$2002,MATCH($C132&amp;"|"&amp;DAY($A132),打卡匯入!$E$3:$E$2002,0)),"")</f>
        <v/>
      </c>
      <c r="K132" s="83">
        <f>IFERROR(INDEX(打卡匯入!$D$3:$D$2002,MATCH($C132&amp;"|"&amp;DAY($A132),打卡匯入!$E$3:$E$2002,0)),"")</f>
        <v/>
      </c>
      <c r="L132" s="84">
        <f>IF(OR($J132="",$K132=""),"",IFERROR(INDEX(設定!$F$6:$F$21,MATCH($G132,設定!$B$6:$B$21,0)),0))</f>
        <v/>
      </c>
      <c r="M132" s="85">
        <f>IF(OR($J132="",$K132=""),"",ROUND(($K132-$J132)*24-$L132/60,2))</f>
        <v/>
      </c>
      <c r="N132" s="16">
        <f>IF($C132="","",IF(AND(COUNTIF(設定!$B$15:$B$21,$G132)&gt;0,$J132&lt;&gt;""),"假日出勤",IF(AND(COUNTIF(設定!$B$6:$B$14,$G132)&gt;0,$J132=""),"未打卡",IF($J132="","",IF($O132&gt;0,"遲到",IF($P132&gt;0,"早退","正常"))))))</f>
        <v/>
      </c>
      <c r="O132" s="84">
        <f>IF(OR($C132="",$H132="",$J132=""),0,IF(ROUND(($J132-$H132)*1440,0)&gt;設定!$C$46,ROUND(($J132-$H132)*1440,0),0))</f>
        <v/>
      </c>
      <c r="P132" s="84">
        <f>IF(OR($C132="",$I132="",$K132=""),0,IF(ROUND(($I132-$K132)*1440,0)&gt;設定!$C$46,ROUND(($I132-$K132)*1440,0),0))</f>
        <v/>
      </c>
      <c r="Q132" s="85">
        <f>IF($M132="",0,IF(($M132-IFERROR(INDEX(設定!$G$6:$G$21,MATCH($G132,設定!$B$6:$B$21,0)),0))*60&gt;=設定!$C$44,ROUND(FLOOR(($M132-IFERROR(INDEX(設定!$G$6:$G$21,MATCH($G132,設定!$B$6:$B$21,0)),0))*60,設定!$C$45)/60,2),0))</f>
        <v/>
      </c>
      <c r="R132" s="16">
        <f>IF(OR($C132="",$Q132=0),"",IF($G132="國","國定假日",IF($B132="日","例假",IF($B132="六","休息日","平日"))))</f>
        <v/>
      </c>
      <c r="S132" s="19" t="n"/>
    </row>
    <row r="133">
      <c r="A133" s="82">
        <f>IF(OR(助理班表!$A9="",7&gt;DAY(EOMONTH(DATE(設定!$C$2,設定!$D$2,1),0))),"",DATE(設定!$C$2,設定!$D$2,7))</f>
        <v/>
      </c>
      <c r="B133" s="16">
        <f>IF($A133="","",INDEX(設定!$O$6:$O$12,WEEKDAY($A133,1)))</f>
        <v/>
      </c>
      <c r="C133" s="16">
        <f>IF($A133="","",助理班表!$A9)</f>
        <v/>
      </c>
      <c r="D133" s="16">
        <f>IF($C133="","",助理班表!$B9)</f>
        <v/>
      </c>
      <c r="E133" s="16">
        <f>IF($C133="","",助理班表!$D9)</f>
        <v/>
      </c>
      <c r="F133" s="16">
        <f>IF($C133="","",助理班表!$C9)</f>
        <v/>
      </c>
      <c r="G133" s="16">
        <f>IF($C133="","",助理班表!K9)</f>
        <v/>
      </c>
      <c r="H133" s="83">
        <f>IF($G133="","",IFERROR(IF(INDEX(設定!$D$6:$D$21,MATCH($G133,設定!$B$6:$B$21,0))=0,"",INDEX(設定!$D$6:$D$21,MATCH($G133,設定!$B$6:$B$21,0))),""))</f>
        <v/>
      </c>
      <c r="I133" s="83">
        <f>IF($G133="","",IFERROR(IF(INDEX(設定!$E$6:$E$21,MATCH($G133,設定!$B$6:$B$21,0))=0,"",INDEX(設定!$E$6:$E$21,MATCH($G133,設定!$B$6:$B$21,0))),""))</f>
        <v/>
      </c>
      <c r="J133" s="83">
        <f>IFERROR(INDEX(打卡匯入!$C$3:$C$2002,MATCH($C133&amp;"|"&amp;DAY($A133),打卡匯入!$E$3:$E$2002,0)),"")</f>
        <v/>
      </c>
      <c r="K133" s="83">
        <f>IFERROR(INDEX(打卡匯入!$D$3:$D$2002,MATCH($C133&amp;"|"&amp;DAY($A133),打卡匯入!$E$3:$E$2002,0)),"")</f>
        <v/>
      </c>
      <c r="L133" s="84">
        <f>IF(OR($J133="",$K133=""),"",IFERROR(INDEX(設定!$F$6:$F$21,MATCH($G133,設定!$B$6:$B$21,0)),0))</f>
        <v/>
      </c>
      <c r="M133" s="85">
        <f>IF(OR($J133="",$K133=""),"",ROUND(($K133-$J133)*24-$L133/60,2))</f>
        <v/>
      </c>
      <c r="N133" s="16">
        <f>IF($C133="","",IF(AND(COUNTIF(設定!$B$15:$B$21,$G133)&gt;0,$J133&lt;&gt;""),"假日出勤",IF(AND(COUNTIF(設定!$B$6:$B$14,$G133)&gt;0,$J133=""),"未打卡",IF($J133="","",IF($O133&gt;0,"遲到",IF($P133&gt;0,"早退","正常"))))))</f>
        <v/>
      </c>
      <c r="O133" s="84">
        <f>IF(OR($C133="",$H133="",$J133=""),0,IF(ROUND(($J133-$H133)*1440,0)&gt;設定!$C$46,ROUND(($J133-$H133)*1440,0),0))</f>
        <v/>
      </c>
      <c r="P133" s="84">
        <f>IF(OR($C133="",$I133="",$K133=""),0,IF(ROUND(($I133-$K133)*1440,0)&gt;設定!$C$46,ROUND(($I133-$K133)*1440,0),0))</f>
        <v/>
      </c>
      <c r="Q133" s="85">
        <f>IF($M133="",0,IF(($M133-IFERROR(INDEX(設定!$G$6:$G$21,MATCH($G133,設定!$B$6:$B$21,0)),0))*60&gt;=設定!$C$44,ROUND(FLOOR(($M133-IFERROR(INDEX(設定!$G$6:$G$21,MATCH($G133,設定!$B$6:$B$21,0)),0))*60,設定!$C$45)/60,2),0))</f>
        <v/>
      </c>
      <c r="R133" s="16">
        <f>IF(OR($C133="",$Q133=0),"",IF($G133="國","國定假日",IF($B133="日","例假",IF($B133="六","休息日","平日"))))</f>
        <v/>
      </c>
      <c r="S133" s="19" t="n"/>
    </row>
    <row r="134">
      <c r="A134" s="82">
        <f>IF(OR(助理班表!$A9="",8&gt;DAY(EOMONTH(DATE(設定!$C$2,設定!$D$2,1),0))),"",DATE(設定!$C$2,設定!$D$2,8))</f>
        <v/>
      </c>
      <c r="B134" s="16">
        <f>IF($A134="","",INDEX(設定!$O$6:$O$12,WEEKDAY($A134,1)))</f>
        <v/>
      </c>
      <c r="C134" s="16">
        <f>IF($A134="","",助理班表!$A9)</f>
        <v/>
      </c>
      <c r="D134" s="16">
        <f>IF($C134="","",助理班表!$B9)</f>
        <v/>
      </c>
      <c r="E134" s="16">
        <f>IF($C134="","",助理班表!$D9)</f>
        <v/>
      </c>
      <c r="F134" s="16">
        <f>IF($C134="","",助理班表!$C9)</f>
        <v/>
      </c>
      <c r="G134" s="16">
        <f>IF($C134="","",助理班表!L9)</f>
        <v/>
      </c>
      <c r="H134" s="83">
        <f>IF($G134="","",IFERROR(IF(INDEX(設定!$D$6:$D$21,MATCH($G134,設定!$B$6:$B$21,0))=0,"",INDEX(設定!$D$6:$D$21,MATCH($G134,設定!$B$6:$B$21,0))),""))</f>
        <v/>
      </c>
      <c r="I134" s="83">
        <f>IF($G134="","",IFERROR(IF(INDEX(設定!$E$6:$E$21,MATCH($G134,設定!$B$6:$B$21,0))=0,"",INDEX(設定!$E$6:$E$21,MATCH($G134,設定!$B$6:$B$21,0))),""))</f>
        <v/>
      </c>
      <c r="J134" s="83">
        <f>IFERROR(INDEX(打卡匯入!$C$3:$C$2002,MATCH($C134&amp;"|"&amp;DAY($A134),打卡匯入!$E$3:$E$2002,0)),"")</f>
        <v/>
      </c>
      <c r="K134" s="83">
        <f>IFERROR(INDEX(打卡匯入!$D$3:$D$2002,MATCH($C134&amp;"|"&amp;DAY($A134),打卡匯入!$E$3:$E$2002,0)),"")</f>
        <v/>
      </c>
      <c r="L134" s="84">
        <f>IF(OR($J134="",$K134=""),"",IFERROR(INDEX(設定!$F$6:$F$21,MATCH($G134,設定!$B$6:$B$21,0)),0))</f>
        <v/>
      </c>
      <c r="M134" s="85">
        <f>IF(OR($J134="",$K134=""),"",ROUND(($K134-$J134)*24-$L134/60,2))</f>
        <v/>
      </c>
      <c r="N134" s="16">
        <f>IF($C134="","",IF(AND(COUNTIF(設定!$B$15:$B$21,$G134)&gt;0,$J134&lt;&gt;""),"假日出勤",IF(AND(COUNTIF(設定!$B$6:$B$14,$G134)&gt;0,$J134=""),"未打卡",IF($J134="","",IF($O134&gt;0,"遲到",IF($P134&gt;0,"早退","正常"))))))</f>
        <v/>
      </c>
      <c r="O134" s="84">
        <f>IF(OR($C134="",$H134="",$J134=""),0,IF(ROUND(($J134-$H134)*1440,0)&gt;設定!$C$46,ROUND(($J134-$H134)*1440,0),0))</f>
        <v/>
      </c>
      <c r="P134" s="84">
        <f>IF(OR($C134="",$I134="",$K134=""),0,IF(ROUND(($I134-$K134)*1440,0)&gt;設定!$C$46,ROUND(($I134-$K134)*1440,0),0))</f>
        <v/>
      </c>
      <c r="Q134" s="85">
        <f>IF($M134="",0,IF(($M134-IFERROR(INDEX(設定!$G$6:$G$21,MATCH($G134,設定!$B$6:$B$21,0)),0))*60&gt;=設定!$C$44,ROUND(FLOOR(($M134-IFERROR(INDEX(設定!$G$6:$G$21,MATCH($G134,設定!$B$6:$B$21,0)),0))*60,設定!$C$45)/60,2),0))</f>
        <v/>
      </c>
      <c r="R134" s="16">
        <f>IF(OR($C134="",$Q134=0),"",IF($G134="國","國定假日",IF($B134="日","例假",IF($B134="六","休息日","平日"))))</f>
        <v/>
      </c>
      <c r="S134" s="19" t="n"/>
    </row>
    <row r="135">
      <c r="A135" s="82">
        <f>IF(OR(助理班表!$A9="",9&gt;DAY(EOMONTH(DATE(設定!$C$2,設定!$D$2,1),0))),"",DATE(設定!$C$2,設定!$D$2,9))</f>
        <v/>
      </c>
      <c r="B135" s="16">
        <f>IF($A135="","",INDEX(設定!$O$6:$O$12,WEEKDAY($A135,1)))</f>
        <v/>
      </c>
      <c r="C135" s="16">
        <f>IF($A135="","",助理班表!$A9)</f>
        <v/>
      </c>
      <c r="D135" s="16">
        <f>IF($C135="","",助理班表!$B9)</f>
        <v/>
      </c>
      <c r="E135" s="16">
        <f>IF($C135="","",助理班表!$D9)</f>
        <v/>
      </c>
      <c r="F135" s="16">
        <f>IF($C135="","",助理班表!$C9)</f>
        <v/>
      </c>
      <c r="G135" s="16">
        <f>IF($C135="","",助理班表!M9)</f>
        <v/>
      </c>
      <c r="H135" s="83">
        <f>IF($G135="","",IFERROR(IF(INDEX(設定!$D$6:$D$21,MATCH($G135,設定!$B$6:$B$21,0))=0,"",INDEX(設定!$D$6:$D$21,MATCH($G135,設定!$B$6:$B$21,0))),""))</f>
        <v/>
      </c>
      <c r="I135" s="83">
        <f>IF($G135="","",IFERROR(IF(INDEX(設定!$E$6:$E$21,MATCH($G135,設定!$B$6:$B$21,0))=0,"",INDEX(設定!$E$6:$E$21,MATCH($G135,設定!$B$6:$B$21,0))),""))</f>
        <v/>
      </c>
      <c r="J135" s="83">
        <f>IFERROR(INDEX(打卡匯入!$C$3:$C$2002,MATCH($C135&amp;"|"&amp;DAY($A135),打卡匯入!$E$3:$E$2002,0)),"")</f>
        <v/>
      </c>
      <c r="K135" s="83">
        <f>IFERROR(INDEX(打卡匯入!$D$3:$D$2002,MATCH($C135&amp;"|"&amp;DAY($A135),打卡匯入!$E$3:$E$2002,0)),"")</f>
        <v/>
      </c>
      <c r="L135" s="84">
        <f>IF(OR($J135="",$K135=""),"",IFERROR(INDEX(設定!$F$6:$F$21,MATCH($G135,設定!$B$6:$B$21,0)),0))</f>
        <v/>
      </c>
      <c r="M135" s="85">
        <f>IF(OR($J135="",$K135=""),"",ROUND(($K135-$J135)*24-$L135/60,2))</f>
        <v/>
      </c>
      <c r="N135" s="16">
        <f>IF($C135="","",IF(AND(COUNTIF(設定!$B$15:$B$21,$G135)&gt;0,$J135&lt;&gt;""),"假日出勤",IF(AND(COUNTIF(設定!$B$6:$B$14,$G135)&gt;0,$J135=""),"未打卡",IF($J135="","",IF($O135&gt;0,"遲到",IF($P135&gt;0,"早退","正常"))))))</f>
        <v/>
      </c>
      <c r="O135" s="84">
        <f>IF(OR($C135="",$H135="",$J135=""),0,IF(ROUND(($J135-$H135)*1440,0)&gt;設定!$C$46,ROUND(($J135-$H135)*1440,0),0))</f>
        <v/>
      </c>
      <c r="P135" s="84">
        <f>IF(OR($C135="",$I135="",$K135=""),0,IF(ROUND(($I135-$K135)*1440,0)&gt;設定!$C$46,ROUND(($I135-$K135)*1440,0),0))</f>
        <v/>
      </c>
      <c r="Q135" s="85">
        <f>IF($M135="",0,IF(($M135-IFERROR(INDEX(設定!$G$6:$G$21,MATCH($G135,設定!$B$6:$B$21,0)),0))*60&gt;=設定!$C$44,ROUND(FLOOR(($M135-IFERROR(INDEX(設定!$G$6:$G$21,MATCH($G135,設定!$B$6:$B$21,0)),0))*60,設定!$C$45)/60,2),0))</f>
        <v/>
      </c>
      <c r="R135" s="16">
        <f>IF(OR($C135="",$Q135=0),"",IF($G135="國","國定假日",IF($B135="日","例假",IF($B135="六","休息日","平日"))))</f>
        <v/>
      </c>
      <c r="S135" s="19" t="n"/>
    </row>
    <row r="136">
      <c r="A136" s="82">
        <f>IF(OR(助理班表!$A9="",10&gt;DAY(EOMONTH(DATE(設定!$C$2,設定!$D$2,1),0))),"",DATE(設定!$C$2,設定!$D$2,10))</f>
        <v/>
      </c>
      <c r="B136" s="16">
        <f>IF($A136="","",INDEX(設定!$O$6:$O$12,WEEKDAY($A136,1)))</f>
        <v/>
      </c>
      <c r="C136" s="16">
        <f>IF($A136="","",助理班表!$A9)</f>
        <v/>
      </c>
      <c r="D136" s="16">
        <f>IF($C136="","",助理班表!$B9)</f>
        <v/>
      </c>
      <c r="E136" s="16">
        <f>IF($C136="","",助理班表!$D9)</f>
        <v/>
      </c>
      <c r="F136" s="16">
        <f>IF($C136="","",助理班表!$C9)</f>
        <v/>
      </c>
      <c r="G136" s="16">
        <f>IF($C136="","",助理班表!N9)</f>
        <v/>
      </c>
      <c r="H136" s="83">
        <f>IF($G136="","",IFERROR(IF(INDEX(設定!$D$6:$D$21,MATCH($G136,設定!$B$6:$B$21,0))=0,"",INDEX(設定!$D$6:$D$21,MATCH($G136,設定!$B$6:$B$21,0))),""))</f>
        <v/>
      </c>
      <c r="I136" s="83">
        <f>IF($G136="","",IFERROR(IF(INDEX(設定!$E$6:$E$21,MATCH($G136,設定!$B$6:$B$21,0))=0,"",INDEX(設定!$E$6:$E$21,MATCH($G136,設定!$B$6:$B$21,0))),""))</f>
        <v/>
      </c>
      <c r="J136" s="83">
        <f>IFERROR(INDEX(打卡匯入!$C$3:$C$2002,MATCH($C136&amp;"|"&amp;DAY($A136),打卡匯入!$E$3:$E$2002,0)),"")</f>
        <v/>
      </c>
      <c r="K136" s="83">
        <f>IFERROR(INDEX(打卡匯入!$D$3:$D$2002,MATCH($C136&amp;"|"&amp;DAY($A136),打卡匯入!$E$3:$E$2002,0)),"")</f>
        <v/>
      </c>
      <c r="L136" s="84">
        <f>IF(OR($J136="",$K136=""),"",IFERROR(INDEX(設定!$F$6:$F$21,MATCH($G136,設定!$B$6:$B$21,0)),0))</f>
        <v/>
      </c>
      <c r="M136" s="85">
        <f>IF(OR($J136="",$K136=""),"",ROUND(($K136-$J136)*24-$L136/60,2))</f>
        <v/>
      </c>
      <c r="N136" s="16">
        <f>IF($C136="","",IF(AND(COUNTIF(設定!$B$15:$B$21,$G136)&gt;0,$J136&lt;&gt;""),"假日出勤",IF(AND(COUNTIF(設定!$B$6:$B$14,$G136)&gt;0,$J136=""),"未打卡",IF($J136="","",IF($O136&gt;0,"遲到",IF($P136&gt;0,"早退","正常"))))))</f>
        <v/>
      </c>
      <c r="O136" s="84">
        <f>IF(OR($C136="",$H136="",$J136=""),0,IF(ROUND(($J136-$H136)*1440,0)&gt;設定!$C$46,ROUND(($J136-$H136)*1440,0),0))</f>
        <v/>
      </c>
      <c r="P136" s="84">
        <f>IF(OR($C136="",$I136="",$K136=""),0,IF(ROUND(($I136-$K136)*1440,0)&gt;設定!$C$46,ROUND(($I136-$K136)*1440,0),0))</f>
        <v/>
      </c>
      <c r="Q136" s="85">
        <f>IF($M136="",0,IF(($M136-IFERROR(INDEX(設定!$G$6:$G$21,MATCH($G136,設定!$B$6:$B$21,0)),0))*60&gt;=設定!$C$44,ROUND(FLOOR(($M136-IFERROR(INDEX(設定!$G$6:$G$21,MATCH($G136,設定!$B$6:$B$21,0)),0))*60,設定!$C$45)/60,2),0))</f>
        <v/>
      </c>
      <c r="R136" s="16">
        <f>IF(OR($C136="",$Q136=0),"",IF($G136="國","國定假日",IF($B136="日","例假",IF($B136="六","休息日","平日"))))</f>
        <v/>
      </c>
      <c r="S136" s="19" t="n"/>
    </row>
    <row r="137">
      <c r="A137" s="82">
        <f>IF(OR(助理班表!$A9="",11&gt;DAY(EOMONTH(DATE(設定!$C$2,設定!$D$2,1),0))),"",DATE(設定!$C$2,設定!$D$2,11))</f>
        <v/>
      </c>
      <c r="B137" s="16">
        <f>IF($A137="","",INDEX(設定!$O$6:$O$12,WEEKDAY($A137,1)))</f>
        <v/>
      </c>
      <c r="C137" s="16">
        <f>IF($A137="","",助理班表!$A9)</f>
        <v/>
      </c>
      <c r="D137" s="16">
        <f>IF($C137="","",助理班表!$B9)</f>
        <v/>
      </c>
      <c r="E137" s="16">
        <f>IF($C137="","",助理班表!$D9)</f>
        <v/>
      </c>
      <c r="F137" s="16">
        <f>IF($C137="","",助理班表!$C9)</f>
        <v/>
      </c>
      <c r="G137" s="16">
        <f>IF($C137="","",助理班表!O9)</f>
        <v/>
      </c>
      <c r="H137" s="83">
        <f>IF($G137="","",IFERROR(IF(INDEX(設定!$D$6:$D$21,MATCH($G137,設定!$B$6:$B$21,0))=0,"",INDEX(設定!$D$6:$D$21,MATCH($G137,設定!$B$6:$B$21,0))),""))</f>
        <v/>
      </c>
      <c r="I137" s="83">
        <f>IF($G137="","",IFERROR(IF(INDEX(設定!$E$6:$E$21,MATCH($G137,設定!$B$6:$B$21,0))=0,"",INDEX(設定!$E$6:$E$21,MATCH($G137,設定!$B$6:$B$21,0))),""))</f>
        <v/>
      </c>
      <c r="J137" s="83">
        <f>IFERROR(INDEX(打卡匯入!$C$3:$C$2002,MATCH($C137&amp;"|"&amp;DAY($A137),打卡匯入!$E$3:$E$2002,0)),"")</f>
        <v/>
      </c>
      <c r="K137" s="83">
        <f>IFERROR(INDEX(打卡匯入!$D$3:$D$2002,MATCH($C137&amp;"|"&amp;DAY($A137),打卡匯入!$E$3:$E$2002,0)),"")</f>
        <v/>
      </c>
      <c r="L137" s="84">
        <f>IF(OR($J137="",$K137=""),"",IFERROR(INDEX(設定!$F$6:$F$21,MATCH($G137,設定!$B$6:$B$21,0)),0))</f>
        <v/>
      </c>
      <c r="M137" s="85">
        <f>IF(OR($J137="",$K137=""),"",ROUND(($K137-$J137)*24-$L137/60,2))</f>
        <v/>
      </c>
      <c r="N137" s="16">
        <f>IF($C137="","",IF(AND(COUNTIF(設定!$B$15:$B$21,$G137)&gt;0,$J137&lt;&gt;""),"假日出勤",IF(AND(COUNTIF(設定!$B$6:$B$14,$G137)&gt;0,$J137=""),"未打卡",IF($J137="","",IF($O137&gt;0,"遲到",IF($P137&gt;0,"早退","正常"))))))</f>
        <v/>
      </c>
      <c r="O137" s="84">
        <f>IF(OR($C137="",$H137="",$J137=""),0,IF(ROUND(($J137-$H137)*1440,0)&gt;設定!$C$46,ROUND(($J137-$H137)*1440,0),0))</f>
        <v/>
      </c>
      <c r="P137" s="84">
        <f>IF(OR($C137="",$I137="",$K137=""),0,IF(ROUND(($I137-$K137)*1440,0)&gt;設定!$C$46,ROUND(($I137-$K137)*1440,0),0))</f>
        <v/>
      </c>
      <c r="Q137" s="85">
        <f>IF($M137="",0,IF(($M137-IFERROR(INDEX(設定!$G$6:$G$21,MATCH($G137,設定!$B$6:$B$21,0)),0))*60&gt;=設定!$C$44,ROUND(FLOOR(($M137-IFERROR(INDEX(設定!$G$6:$G$21,MATCH($G137,設定!$B$6:$B$21,0)),0))*60,設定!$C$45)/60,2),0))</f>
        <v/>
      </c>
      <c r="R137" s="16">
        <f>IF(OR($C137="",$Q137=0),"",IF($G137="國","國定假日",IF($B137="日","例假",IF($B137="六","休息日","平日"))))</f>
        <v/>
      </c>
      <c r="S137" s="19" t="n"/>
    </row>
    <row r="138">
      <c r="A138" s="82">
        <f>IF(OR(助理班表!$A9="",12&gt;DAY(EOMONTH(DATE(設定!$C$2,設定!$D$2,1),0))),"",DATE(設定!$C$2,設定!$D$2,12))</f>
        <v/>
      </c>
      <c r="B138" s="16">
        <f>IF($A138="","",INDEX(設定!$O$6:$O$12,WEEKDAY($A138,1)))</f>
        <v/>
      </c>
      <c r="C138" s="16">
        <f>IF($A138="","",助理班表!$A9)</f>
        <v/>
      </c>
      <c r="D138" s="16">
        <f>IF($C138="","",助理班表!$B9)</f>
        <v/>
      </c>
      <c r="E138" s="16">
        <f>IF($C138="","",助理班表!$D9)</f>
        <v/>
      </c>
      <c r="F138" s="16">
        <f>IF($C138="","",助理班表!$C9)</f>
        <v/>
      </c>
      <c r="G138" s="16">
        <f>IF($C138="","",助理班表!P9)</f>
        <v/>
      </c>
      <c r="H138" s="83">
        <f>IF($G138="","",IFERROR(IF(INDEX(設定!$D$6:$D$21,MATCH($G138,設定!$B$6:$B$21,0))=0,"",INDEX(設定!$D$6:$D$21,MATCH($G138,設定!$B$6:$B$21,0))),""))</f>
        <v/>
      </c>
      <c r="I138" s="83">
        <f>IF($G138="","",IFERROR(IF(INDEX(設定!$E$6:$E$21,MATCH($G138,設定!$B$6:$B$21,0))=0,"",INDEX(設定!$E$6:$E$21,MATCH($G138,設定!$B$6:$B$21,0))),""))</f>
        <v/>
      </c>
      <c r="J138" s="83">
        <f>IFERROR(INDEX(打卡匯入!$C$3:$C$2002,MATCH($C138&amp;"|"&amp;DAY($A138),打卡匯入!$E$3:$E$2002,0)),"")</f>
        <v/>
      </c>
      <c r="K138" s="83">
        <f>IFERROR(INDEX(打卡匯入!$D$3:$D$2002,MATCH($C138&amp;"|"&amp;DAY($A138),打卡匯入!$E$3:$E$2002,0)),"")</f>
        <v/>
      </c>
      <c r="L138" s="84">
        <f>IF(OR($J138="",$K138=""),"",IFERROR(INDEX(設定!$F$6:$F$21,MATCH($G138,設定!$B$6:$B$21,0)),0))</f>
        <v/>
      </c>
      <c r="M138" s="85">
        <f>IF(OR($J138="",$K138=""),"",ROUND(($K138-$J138)*24-$L138/60,2))</f>
        <v/>
      </c>
      <c r="N138" s="16">
        <f>IF($C138="","",IF(AND(COUNTIF(設定!$B$15:$B$21,$G138)&gt;0,$J138&lt;&gt;""),"假日出勤",IF(AND(COUNTIF(設定!$B$6:$B$14,$G138)&gt;0,$J138=""),"未打卡",IF($J138="","",IF($O138&gt;0,"遲到",IF($P138&gt;0,"早退","正常"))))))</f>
        <v/>
      </c>
      <c r="O138" s="84">
        <f>IF(OR($C138="",$H138="",$J138=""),0,IF(ROUND(($J138-$H138)*1440,0)&gt;設定!$C$46,ROUND(($J138-$H138)*1440,0),0))</f>
        <v/>
      </c>
      <c r="P138" s="84">
        <f>IF(OR($C138="",$I138="",$K138=""),0,IF(ROUND(($I138-$K138)*1440,0)&gt;設定!$C$46,ROUND(($I138-$K138)*1440,0),0))</f>
        <v/>
      </c>
      <c r="Q138" s="85">
        <f>IF($M138="",0,IF(($M138-IFERROR(INDEX(設定!$G$6:$G$21,MATCH($G138,設定!$B$6:$B$21,0)),0))*60&gt;=設定!$C$44,ROUND(FLOOR(($M138-IFERROR(INDEX(設定!$G$6:$G$21,MATCH($G138,設定!$B$6:$B$21,0)),0))*60,設定!$C$45)/60,2),0))</f>
        <v/>
      </c>
      <c r="R138" s="16">
        <f>IF(OR($C138="",$Q138=0),"",IF($G138="國","國定假日",IF($B138="日","例假",IF($B138="六","休息日","平日"))))</f>
        <v/>
      </c>
      <c r="S138" s="19" t="n"/>
    </row>
    <row r="139">
      <c r="A139" s="82">
        <f>IF(OR(助理班表!$A9="",13&gt;DAY(EOMONTH(DATE(設定!$C$2,設定!$D$2,1),0))),"",DATE(設定!$C$2,設定!$D$2,13))</f>
        <v/>
      </c>
      <c r="B139" s="16">
        <f>IF($A139="","",INDEX(設定!$O$6:$O$12,WEEKDAY($A139,1)))</f>
        <v/>
      </c>
      <c r="C139" s="16">
        <f>IF($A139="","",助理班表!$A9)</f>
        <v/>
      </c>
      <c r="D139" s="16">
        <f>IF($C139="","",助理班表!$B9)</f>
        <v/>
      </c>
      <c r="E139" s="16">
        <f>IF($C139="","",助理班表!$D9)</f>
        <v/>
      </c>
      <c r="F139" s="16">
        <f>IF($C139="","",助理班表!$C9)</f>
        <v/>
      </c>
      <c r="G139" s="16">
        <f>IF($C139="","",助理班表!Q9)</f>
        <v/>
      </c>
      <c r="H139" s="83">
        <f>IF($G139="","",IFERROR(IF(INDEX(設定!$D$6:$D$21,MATCH($G139,設定!$B$6:$B$21,0))=0,"",INDEX(設定!$D$6:$D$21,MATCH($G139,設定!$B$6:$B$21,0))),""))</f>
        <v/>
      </c>
      <c r="I139" s="83">
        <f>IF($G139="","",IFERROR(IF(INDEX(設定!$E$6:$E$21,MATCH($G139,設定!$B$6:$B$21,0))=0,"",INDEX(設定!$E$6:$E$21,MATCH($G139,設定!$B$6:$B$21,0))),""))</f>
        <v/>
      </c>
      <c r="J139" s="83">
        <f>IFERROR(INDEX(打卡匯入!$C$3:$C$2002,MATCH($C139&amp;"|"&amp;DAY($A139),打卡匯入!$E$3:$E$2002,0)),"")</f>
        <v/>
      </c>
      <c r="K139" s="83">
        <f>IFERROR(INDEX(打卡匯入!$D$3:$D$2002,MATCH($C139&amp;"|"&amp;DAY($A139),打卡匯入!$E$3:$E$2002,0)),"")</f>
        <v/>
      </c>
      <c r="L139" s="84">
        <f>IF(OR($J139="",$K139=""),"",IFERROR(INDEX(設定!$F$6:$F$21,MATCH($G139,設定!$B$6:$B$21,0)),0))</f>
        <v/>
      </c>
      <c r="M139" s="85">
        <f>IF(OR($J139="",$K139=""),"",ROUND(($K139-$J139)*24-$L139/60,2))</f>
        <v/>
      </c>
      <c r="N139" s="16">
        <f>IF($C139="","",IF(AND(COUNTIF(設定!$B$15:$B$21,$G139)&gt;0,$J139&lt;&gt;""),"假日出勤",IF(AND(COUNTIF(設定!$B$6:$B$14,$G139)&gt;0,$J139=""),"未打卡",IF($J139="","",IF($O139&gt;0,"遲到",IF($P139&gt;0,"早退","正常"))))))</f>
        <v/>
      </c>
      <c r="O139" s="84">
        <f>IF(OR($C139="",$H139="",$J139=""),0,IF(ROUND(($J139-$H139)*1440,0)&gt;設定!$C$46,ROUND(($J139-$H139)*1440,0),0))</f>
        <v/>
      </c>
      <c r="P139" s="84">
        <f>IF(OR($C139="",$I139="",$K139=""),0,IF(ROUND(($I139-$K139)*1440,0)&gt;設定!$C$46,ROUND(($I139-$K139)*1440,0),0))</f>
        <v/>
      </c>
      <c r="Q139" s="85">
        <f>IF($M139="",0,IF(($M139-IFERROR(INDEX(設定!$G$6:$G$21,MATCH($G139,設定!$B$6:$B$21,0)),0))*60&gt;=設定!$C$44,ROUND(FLOOR(($M139-IFERROR(INDEX(設定!$G$6:$G$21,MATCH($G139,設定!$B$6:$B$21,0)),0))*60,設定!$C$45)/60,2),0))</f>
        <v/>
      </c>
      <c r="R139" s="16">
        <f>IF(OR($C139="",$Q139=0),"",IF($G139="國","國定假日",IF($B139="日","例假",IF($B139="六","休息日","平日"))))</f>
        <v/>
      </c>
      <c r="S139" s="19" t="n"/>
    </row>
    <row r="140">
      <c r="A140" s="82">
        <f>IF(OR(助理班表!$A9="",14&gt;DAY(EOMONTH(DATE(設定!$C$2,設定!$D$2,1),0))),"",DATE(設定!$C$2,設定!$D$2,14))</f>
        <v/>
      </c>
      <c r="B140" s="16">
        <f>IF($A140="","",INDEX(設定!$O$6:$O$12,WEEKDAY($A140,1)))</f>
        <v/>
      </c>
      <c r="C140" s="16">
        <f>IF($A140="","",助理班表!$A9)</f>
        <v/>
      </c>
      <c r="D140" s="16">
        <f>IF($C140="","",助理班表!$B9)</f>
        <v/>
      </c>
      <c r="E140" s="16">
        <f>IF($C140="","",助理班表!$D9)</f>
        <v/>
      </c>
      <c r="F140" s="16">
        <f>IF($C140="","",助理班表!$C9)</f>
        <v/>
      </c>
      <c r="G140" s="16">
        <f>IF($C140="","",助理班表!R9)</f>
        <v/>
      </c>
      <c r="H140" s="83">
        <f>IF($G140="","",IFERROR(IF(INDEX(設定!$D$6:$D$21,MATCH($G140,設定!$B$6:$B$21,0))=0,"",INDEX(設定!$D$6:$D$21,MATCH($G140,設定!$B$6:$B$21,0))),""))</f>
        <v/>
      </c>
      <c r="I140" s="83">
        <f>IF($G140="","",IFERROR(IF(INDEX(設定!$E$6:$E$21,MATCH($G140,設定!$B$6:$B$21,0))=0,"",INDEX(設定!$E$6:$E$21,MATCH($G140,設定!$B$6:$B$21,0))),""))</f>
        <v/>
      </c>
      <c r="J140" s="83">
        <f>IFERROR(INDEX(打卡匯入!$C$3:$C$2002,MATCH($C140&amp;"|"&amp;DAY($A140),打卡匯入!$E$3:$E$2002,0)),"")</f>
        <v/>
      </c>
      <c r="K140" s="83">
        <f>IFERROR(INDEX(打卡匯入!$D$3:$D$2002,MATCH($C140&amp;"|"&amp;DAY($A140),打卡匯入!$E$3:$E$2002,0)),"")</f>
        <v/>
      </c>
      <c r="L140" s="84">
        <f>IF(OR($J140="",$K140=""),"",IFERROR(INDEX(設定!$F$6:$F$21,MATCH($G140,設定!$B$6:$B$21,0)),0))</f>
        <v/>
      </c>
      <c r="M140" s="85">
        <f>IF(OR($J140="",$K140=""),"",ROUND(($K140-$J140)*24-$L140/60,2))</f>
        <v/>
      </c>
      <c r="N140" s="16">
        <f>IF($C140="","",IF(AND(COUNTIF(設定!$B$15:$B$21,$G140)&gt;0,$J140&lt;&gt;""),"假日出勤",IF(AND(COUNTIF(設定!$B$6:$B$14,$G140)&gt;0,$J140=""),"未打卡",IF($J140="","",IF($O140&gt;0,"遲到",IF($P140&gt;0,"早退","正常"))))))</f>
        <v/>
      </c>
      <c r="O140" s="84">
        <f>IF(OR($C140="",$H140="",$J140=""),0,IF(ROUND(($J140-$H140)*1440,0)&gt;設定!$C$46,ROUND(($J140-$H140)*1440,0),0))</f>
        <v/>
      </c>
      <c r="P140" s="84">
        <f>IF(OR($C140="",$I140="",$K140=""),0,IF(ROUND(($I140-$K140)*1440,0)&gt;設定!$C$46,ROUND(($I140-$K140)*1440,0),0))</f>
        <v/>
      </c>
      <c r="Q140" s="85">
        <f>IF($M140="",0,IF(($M140-IFERROR(INDEX(設定!$G$6:$G$21,MATCH($G140,設定!$B$6:$B$21,0)),0))*60&gt;=設定!$C$44,ROUND(FLOOR(($M140-IFERROR(INDEX(設定!$G$6:$G$21,MATCH($G140,設定!$B$6:$B$21,0)),0))*60,設定!$C$45)/60,2),0))</f>
        <v/>
      </c>
      <c r="R140" s="16">
        <f>IF(OR($C140="",$Q140=0),"",IF($G140="國","國定假日",IF($B140="日","例假",IF($B140="六","休息日","平日"))))</f>
        <v/>
      </c>
      <c r="S140" s="19" t="n"/>
    </row>
    <row r="141">
      <c r="A141" s="82">
        <f>IF(OR(助理班表!$A9="",15&gt;DAY(EOMONTH(DATE(設定!$C$2,設定!$D$2,1),0))),"",DATE(設定!$C$2,設定!$D$2,15))</f>
        <v/>
      </c>
      <c r="B141" s="16">
        <f>IF($A141="","",INDEX(設定!$O$6:$O$12,WEEKDAY($A141,1)))</f>
        <v/>
      </c>
      <c r="C141" s="16">
        <f>IF($A141="","",助理班表!$A9)</f>
        <v/>
      </c>
      <c r="D141" s="16">
        <f>IF($C141="","",助理班表!$B9)</f>
        <v/>
      </c>
      <c r="E141" s="16">
        <f>IF($C141="","",助理班表!$D9)</f>
        <v/>
      </c>
      <c r="F141" s="16">
        <f>IF($C141="","",助理班表!$C9)</f>
        <v/>
      </c>
      <c r="G141" s="16">
        <f>IF($C141="","",助理班表!S9)</f>
        <v/>
      </c>
      <c r="H141" s="83">
        <f>IF($G141="","",IFERROR(IF(INDEX(設定!$D$6:$D$21,MATCH($G141,設定!$B$6:$B$21,0))=0,"",INDEX(設定!$D$6:$D$21,MATCH($G141,設定!$B$6:$B$21,0))),""))</f>
        <v/>
      </c>
      <c r="I141" s="83">
        <f>IF($G141="","",IFERROR(IF(INDEX(設定!$E$6:$E$21,MATCH($G141,設定!$B$6:$B$21,0))=0,"",INDEX(設定!$E$6:$E$21,MATCH($G141,設定!$B$6:$B$21,0))),""))</f>
        <v/>
      </c>
      <c r="J141" s="83">
        <f>IFERROR(INDEX(打卡匯入!$C$3:$C$2002,MATCH($C141&amp;"|"&amp;DAY($A141),打卡匯入!$E$3:$E$2002,0)),"")</f>
        <v/>
      </c>
      <c r="K141" s="83">
        <f>IFERROR(INDEX(打卡匯入!$D$3:$D$2002,MATCH($C141&amp;"|"&amp;DAY($A141),打卡匯入!$E$3:$E$2002,0)),"")</f>
        <v/>
      </c>
      <c r="L141" s="84">
        <f>IF(OR($J141="",$K141=""),"",IFERROR(INDEX(設定!$F$6:$F$21,MATCH($G141,設定!$B$6:$B$21,0)),0))</f>
        <v/>
      </c>
      <c r="M141" s="85">
        <f>IF(OR($J141="",$K141=""),"",ROUND(($K141-$J141)*24-$L141/60,2))</f>
        <v/>
      </c>
      <c r="N141" s="16">
        <f>IF($C141="","",IF(AND(COUNTIF(設定!$B$15:$B$21,$G141)&gt;0,$J141&lt;&gt;""),"假日出勤",IF(AND(COUNTIF(設定!$B$6:$B$14,$G141)&gt;0,$J141=""),"未打卡",IF($J141="","",IF($O141&gt;0,"遲到",IF($P141&gt;0,"早退","正常"))))))</f>
        <v/>
      </c>
      <c r="O141" s="84">
        <f>IF(OR($C141="",$H141="",$J141=""),0,IF(ROUND(($J141-$H141)*1440,0)&gt;設定!$C$46,ROUND(($J141-$H141)*1440,0),0))</f>
        <v/>
      </c>
      <c r="P141" s="84">
        <f>IF(OR($C141="",$I141="",$K141=""),0,IF(ROUND(($I141-$K141)*1440,0)&gt;設定!$C$46,ROUND(($I141-$K141)*1440,0),0))</f>
        <v/>
      </c>
      <c r="Q141" s="85">
        <f>IF($M141="",0,IF(($M141-IFERROR(INDEX(設定!$G$6:$G$21,MATCH($G141,設定!$B$6:$B$21,0)),0))*60&gt;=設定!$C$44,ROUND(FLOOR(($M141-IFERROR(INDEX(設定!$G$6:$G$21,MATCH($G141,設定!$B$6:$B$21,0)),0))*60,設定!$C$45)/60,2),0))</f>
        <v/>
      </c>
      <c r="R141" s="16">
        <f>IF(OR($C141="",$Q141=0),"",IF($G141="國","國定假日",IF($B141="日","例假",IF($B141="六","休息日","平日"))))</f>
        <v/>
      </c>
      <c r="S141" s="19" t="n"/>
    </row>
    <row r="142">
      <c r="A142" s="82">
        <f>IF(OR(助理班表!$A9="",16&gt;DAY(EOMONTH(DATE(設定!$C$2,設定!$D$2,1),0))),"",DATE(設定!$C$2,設定!$D$2,16))</f>
        <v/>
      </c>
      <c r="B142" s="16">
        <f>IF($A142="","",INDEX(設定!$O$6:$O$12,WEEKDAY($A142,1)))</f>
        <v/>
      </c>
      <c r="C142" s="16">
        <f>IF($A142="","",助理班表!$A9)</f>
        <v/>
      </c>
      <c r="D142" s="16">
        <f>IF($C142="","",助理班表!$B9)</f>
        <v/>
      </c>
      <c r="E142" s="16">
        <f>IF($C142="","",助理班表!$D9)</f>
        <v/>
      </c>
      <c r="F142" s="16">
        <f>IF($C142="","",助理班表!$C9)</f>
        <v/>
      </c>
      <c r="G142" s="16">
        <f>IF($C142="","",助理班表!T9)</f>
        <v/>
      </c>
      <c r="H142" s="83">
        <f>IF($G142="","",IFERROR(IF(INDEX(設定!$D$6:$D$21,MATCH($G142,設定!$B$6:$B$21,0))=0,"",INDEX(設定!$D$6:$D$21,MATCH($G142,設定!$B$6:$B$21,0))),""))</f>
        <v/>
      </c>
      <c r="I142" s="83">
        <f>IF($G142="","",IFERROR(IF(INDEX(設定!$E$6:$E$21,MATCH($G142,設定!$B$6:$B$21,0))=0,"",INDEX(設定!$E$6:$E$21,MATCH($G142,設定!$B$6:$B$21,0))),""))</f>
        <v/>
      </c>
      <c r="J142" s="83">
        <f>IFERROR(INDEX(打卡匯入!$C$3:$C$2002,MATCH($C142&amp;"|"&amp;DAY($A142),打卡匯入!$E$3:$E$2002,0)),"")</f>
        <v/>
      </c>
      <c r="K142" s="83">
        <f>IFERROR(INDEX(打卡匯入!$D$3:$D$2002,MATCH($C142&amp;"|"&amp;DAY($A142),打卡匯入!$E$3:$E$2002,0)),"")</f>
        <v/>
      </c>
      <c r="L142" s="84">
        <f>IF(OR($J142="",$K142=""),"",IFERROR(INDEX(設定!$F$6:$F$21,MATCH($G142,設定!$B$6:$B$21,0)),0))</f>
        <v/>
      </c>
      <c r="M142" s="85">
        <f>IF(OR($J142="",$K142=""),"",ROUND(($K142-$J142)*24-$L142/60,2))</f>
        <v/>
      </c>
      <c r="N142" s="16">
        <f>IF($C142="","",IF(AND(COUNTIF(設定!$B$15:$B$21,$G142)&gt;0,$J142&lt;&gt;""),"假日出勤",IF(AND(COUNTIF(設定!$B$6:$B$14,$G142)&gt;0,$J142=""),"未打卡",IF($J142="","",IF($O142&gt;0,"遲到",IF($P142&gt;0,"早退","正常"))))))</f>
        <v/>
      </c>
      <c r="O142" s="84">
        <f>IF(OR($C142="",$H142="",$J142=""),0,IF(ROUND(($J142-$H142)*1440,0)&gt;設定!$C$46,ROUND(($J142-$H142)*1440,0),0))</f>
        <v/>
      </c>
      <c r="P142" s="84">
        <f>IF(OR($C142="",$I142="",$K142=""),0,IF(ROUND(($I142-$K142)*1440,0)&gt;設定!$C$46,ROUND(($I142-$K142)*1440,0),0))</f>
        <v/>
      </c>
      <c r="Q142" s="85">
        <f>IF($M142="",0,IF(($M142-IFERROR(INDEX(設定!$G$6:$G$21,MATCH($G142,設定!$B$6:$B$21,0)),0))*60&gt;=設定!$C$44,ROUND(FLOOR(($M142-IFERROR(INDEX(設定!$G$6:$G$21,MATCH($G142,設定!$B$6:$B$21,0)),0))*60,設定!$C$45)/60,2),0))</f>
        <v/>
      </c>
      <c r="R142" s="16">
        <f>IF(OR($C142="",$Q142=0),"",IF($G142="國","國定假日",IF($B142="日","例假",IF($B142="六","休息日","平日"))))</f>
        <v/>
      </c>
      <c r="S142" s="19" t="n"/>
    </row>
    <row r="143">
      <c r="A143" s="82">
        <f>IF(OR(助理班表!$A9="",17&gt;DAY(EOMONTH(DATE(設定!$C$2,設定!$D$2,1),0))),"",DATE(設定!$C$2,設定!$D$2,17))</f>
        <v/>
      </c>
      <c r="B143" s="16">
        <f>IF($A143="","",INDEX(設定!$O$6:$O$12,WEEKDAY($A143,1)))</f>
        <v/>
      </c>
      <c r="C143" s="16">
        <f>IF($A143="","",助理班表!$A9)</f>
        <v/>
      </c>
      <c r="D143" s="16">
        <f>IF($C143="","",助理班表!$B9)</f>
        <v/>
      </c>
      <c r="E143" s="16">
        <f>IF($C143="","",助理班表!$D9)</f>
        <v/>
      </c>
      <c r="F143" s="16">
        <f>IF($C143="","",助理班表!$C9)</f>
        <v/>
      </c>
      <c r="G143" s="16">
        <f>IF($C143="","",助理班表!U9)</f>
        <v/>
      </c>
      <c r="H143" s="83">
        <f>IF($G143="","",IFERROR(IF(INDEX(設定!$D$6:$D$21,MATCH($G143,設定!$B$6:$B$21,0))=0,"",INDEX(設定!$D$6:$D$21,MATCH($G143,設定!$B$6:$B$21,0))),""))</f>
        <v/>
      </c>
      <c r="I143" s="83">
        <f>IF($G143="","",IFERROR(IF(INDEX(設定!$E$6:$E$21,MATCH($G143,設定!$B$6:$B$21,0))=0,"",INDEX(設定!$E$6:$E$21,MATCH($G143,設定!$B$6:$B$21,0))),""))</f>
        <v/>
      </c>
      <c r="J143" s="83">
        <f>IFERROR(INDEX(打卡匯入!$C$3:$C$2002,MATCH($C143&amp;"|"&amp;DAY($A143),打卡匯入!$E$3:$E$2002,0)),"")</f>
        <v/>
      </c>
      <c r="K143" s="83">
        <f>IFERROR(INDEX(打卡匯入!$D$3:$D$2002,MATCH($C143&amp;"|"&amp;DAY($A143),打卡匯入!$E$3:$E$2002,0)),"")</f>
        <v/>
      </c>
      <c r="L143" s="84">
        <f>IF(OR($J143="",$K143=""),"",IFERROR(INDEX(設定!$F$6:$F$21,MATCH($G143,設定!$B$6:$B$21,0)),0))</f>
        <v/>
      </c>
      <c r="M143" s="85">
        <f>IF(OR($J143="",$K143=""),"",ROUND(($K143-$J143)*24-$L143/60,2))</f>
        <v/>
      </c>
      <c r="N143" s="16">
        <f>IF($C143="","",IF(AND(COUNTIF(設定!$B$15:$B$21,$G143)&gt;0,$J143&lt;&gt;""),"假日出勤",IF(AND(COUNTIF(設定!$B$6:$B$14,$G143)&gt;0,$J143=""),"未打卡",IF($J143="","",IF($O143&gt;0,"遲到",IF($P143&gt;0,"早退","正常"))))))</f>
        <v/>
      </c>
      <c r="O143" s="84">
        <f>IF(OR($C143="",$H143="",$J143=""),0,IF(ROUND(($J143-$H143)*1440,0)&gt;設定!$C$46,ROUND(($J143-$H143)*1440,0),0))</f>
        <v/>
      </c>
      <c r="P143" s="84">
        <f>IF(OR($C143="",$I143="",$K143=""),0,IF(ROUND(($I143-$K143)*1440,0)&gt;設定!$C$46,ROUND(($I143-$K143)*1440,0),0))</f>
        <v/>
      </c>
      <c r="Q143" s="85">
        <f>IF($M143="",0,IF(($M143-IFERROR(INDEX(設定!$G$6:$G$21,MATCH($G143,設定!$B$6:$B$21,0)),0))*60&gt;=設定!$C$44,ROUND(FLOOR(($M143-IFERROR(INDEX(設定!$G$6:$G$21,MATCH($G143,設定!$B$6:$B$21,0)),0))*60,設定!$C$45)/60,2),0))</f>
        <v/>
      </c>
      <c r="R143" s="16">
        <f>IF(OR($C143="",$Q143=0),"",IF($G143="國","國定假日",IF($B143="日","例假",IF($B143="六","休息日","平日"))))</f>
        <v/>
      </c>
      <c r="S143" s="19" t="n"/>
    </row>
    <row r="144">
      <c r="A144" s="82">
        <f>IF(OR(助理班表!$A9="",18&gt;DAY(EOMONTH(DATE(設定!$C$2,設定!$D$2,1),0))),"",DATE(設定!$C$2,設定!$D$2,18))</f>
        <v/>
      </c>
      <c r="B144" s="16">
        <f>IF($A144="","",INDEX(設定!$O$6:$O$12,WEEKDAY($A144,1)))</f>
        <v/>
      </c>
      <c r="C144" s="16">
        <f>IF($A144="","",助理班表!$A9)</f>
        <v/>
      </c>
      <c r="D144" s="16">
        <f>IF($C144="","",助理班表!$B9)</f>
        <v/>
      </c>
      <c r="E144" s="16">
        <f>IF($C144="","",助理班表!$D9)</f>
        <v/>
      </c>
      <c r="F144" s="16">
        <f>IF($C144="","",助理班表!$C9)</f>
        <v/>
      </c>
      <c r="G144" s="16">
        <f>IF($C144="","",助理班表!V9)</f>
        <v/>
      </c>
      <c r="H144" s="83">
        <f>IF($G144="","",IFERROR(IF(INDEX(設定!$D$6:$D$21,MATCH($G144,設定!$B$6:$B$21,0))=0,"",INDEX(設定!$D$6:$D$21,MATCH($G144,設定!$B$6:$B$21,0))),""))</f>
        <v/>
      </c>
      <c r="I144" s="83">
        <f>IF($G144="","",IFERROR(IF(INDEX(設定!$E$6:$E$21,MATCH($G144,設定!$B$6:$B$21,0))=0,"",INDEX(設定!$E$6:$E$21,MATCH($G144,設定!$B$6:$B$21,0))),""))</f>
        <v/>
      </c>
      <c r="J144" s="83">
        <f>IFERROR(INDEX(打卡匯入!$C$3:$C$2002,MATCH($C144&amp;"|"&amp;DAY($A144),打卡匯入!$E$3:$E$2002,0)),"")</f>
        <v/>
      </c>
      <c r="K144" s="83">
        <f>IFERROR(INDEX(打卡匯入!$D$3:$D$2002,MATCH($C144&amp;"|"&amp;DAY($A144),打卡匯入!$E$3:$E$2002,0)),"")</f>
        <v/>
      </c>
      <c r="L144" s="84">
        <f>IF(OR($J144="",$K144=""),"",IFERROR(INDEX(設定!$F$6:$F$21,MATCH($G144,設定!$B$6:$B$21,0)),0))</f>
        <v/>
      </c>
      <c r="M144" s="85">
        <f>IF(OR($J144="",$K144=""),"",ROUND(($K144-$J144)*24-$L144/60,2))</f>
        <v/>
      </c>
      <c r="N144" s="16">
        <f>IF($C144="","",IF(AND(COUNTIF(設定!$B$15:$B$21,$G144)&gt;0,$J144&lt;&gt;""),"假日出勤",IF(AND(COUNTIF(設定!$B$6:$B$14,$G144)&gt;0,$J144=""),"未打卡",IF($J144="","",IF($O144&gt;0,"遲到",IF($P144&gt;0,"早退","正常"))))))</f>
        <v/>
      </c>
      <c r="O144" s="84">
        <f>IF(OR($C144="",$H144="",$J144=""),0,IF(ROUND(($J144-$H144)*1440,0)&gt;設定!$C$46,ROUND(($J144-$H144)*1440,0),0))</f>
        <v/>
      </c>
      <c r="P144" s="84">
        <f>IF(OR($C144="",$I144="",$K144=""),0,IF(ROUND(($I144-$K144)*1440,0)&gt;設定!$C$46,ROUND(($I144-$K144)*1440,0),0))</f>
        <v/>
      </c>
      <c r="Q144" s="85">
        <f>IF($M144="",0,IF(($M144-IFERROR(INDEX(設定!$G$6:$G$21,MATCH($G144,設定!$B$6:$B$21,0)),0))*60&gt;=設定!$C$44,ROUND(FLOOR(($M144-IFERROR(INDEX(設定!$G$6:$G$21,MATCH($G144,設定!$B$6:$B$21,0)),0))*60,設定!$C$45)/60,2),0))</f>
        <v/>
      </c>
      <c r="R144" s="16">
        <f>IF(OR($C144="",$Q144=0),"",IF($G144="國","國定假日",IF($B144="日","例假",IF($B144="六","休息日","平日"))))</f>
        <v/>
      </c>
      <c r="S144" s="19" t="n"/>
    </row>
    <row r="145">
      <c r="A145" s="82">
        <f>IF(OR(助理班表!$A9="",19&gt;DAY(EOMONTH(DATE(設定!$C$2,設定!$D$2,1),0))),"",DATE(設定!$C$2,設定!$D$2,19))</f>
        <v/>
      </c>
      <c r="B145" s="16">
        <f>IF($A145="","",INDEX(設定!$O$6:$O$12,WEEKDAY($A145,1)))</f>
        <v/>
      </c>
      <c r="C145" s="16">
        <f>IF($A145="","",助理班表!$A9)</f>
        <v/>
      </c>
      <c r="D145" s="16">
        <f>IF($C145="","",助理班表!$B9)</f>
        <v/>
      </c>
      <c r="E145" s="16">
        <f>IF($C145="","",助理班表!$D9)</f>
        <v/>
      </c>
      <c r="F145" s="16">
        <f>IF($C145="","",助理班表!$C9)</f>
        <v/>
      </c>
      <c r="G145" s="16">
        <f>IF($C145="","",助理班表!W9)</f>
        <v/>
      </c>
      <c r="H145" s="83">
        <f>IF($G145="","",IFERROR(IF(INDEX(設定!$D$6:$D$21,MATCH($G145,設定!$B$6:$B$21,0))=0,"",INDEX(設定!$D$6:$D$21,MATCH($G145,設定!$B$6:$B$21,0))),""))</f>
        <v/>
      </c>
      <c r="I145" s="83">
        <f>IF($G145="","",IFERROR(IF(INDEX(設定!$E$6:$E$21,MATCH($G145,設定!$B$6:$B$21,0))=0,"",INDEX(設定!$E$6:$E$21,MATCH($G145,設定!$B$6:$B$21,0))),""))</f>
        <v/>
      </c>
      <c r="J145" s="83">
        <f>IFERROR(INDEX(打卡匯入!$C$3:$C$2002,MATCH($C145&amp;"|"&amp;DAY($A145),打卡匯入!$E$3:$E$2002,0)),"")</f>
        <v/>
      </c>
      <c r="K145" s="83">
        <f>IFERROR(INDEX(打卡匯入!$D$3:$D$2002,MATCH($C145&amp;"|"&amp;DAY($A145),打卡匯入!$E$3:$E$2002,0)),"")</f>
        <v/>
      </c>
      <c r="L145" s="84">
        <f>IF(OR($J145="",$K145=""),"",IFERROR(INDEX(設定!$F$6:$F$21,MATCH($G145,設定!$B$6:$B$21,0)),0))</f>
        <v/>
      </c>
      <c r="M145" s="85">
        <f>IF(OR($J145="",$K145=""),"",ROUND(($K145-$J145)*24-$L145/60,2))</f>
        <v/>
      </c>
      <c r="N145" s="16">
        <f>IF($C145="","",IF(AND(COUNTIF(設定!$B$15:$B$21,$G145)&gt;0,$J145&lt;&gt;""),"假日出勤",IF(AND(COUNTIF(設定!$B$6:$B$14,$G145)&gt;0,$J145=""),"未打卡",IF($J145="","",IF($O145&gt;0,"遲到",IF($P145&gt;0,"早退","正常"))))))</f>
        <v/>
      </c>
      <c r="O145" s="84">
        <f>IF(OR($C145="",$H145="",$J145=""),0,IF(ROUND(($J145-$H145)*1440,0)&gt;設定!$C$46,ROUND(($J145-$H145)*1440,0),0))</f>
        <v/>
      </c>
      <c r="P145" s="84">
        <f>IF(OR($C145="",$I145="",$K145=""),0,IF(ROUND(($I145-$K145)*1440,0)&gt;設定!$C$46,ROUND(($I145-$K145)*1440,0),0))</f>
        <v/>
      </c>
      <c r="Q145" s="85">
        <f>IF($M145="",0,IF(($M145-IFERROR(INDEX(設定!$G$6:$G$21,MATCH($G145,設定!$B$6:$B$21,0)),0))*60&gt;=設定!$C$44,ROUND(FLOOR(($M145-IFERROR(INDEX(設定!$G$6:$G$21,MATCH($G145,設定!$B$6:$B$21,0)),0))*60,設定!$C$45)/60,2),0))</f>
        <v/>
      </c>
      <c r="R145" s="16">
        <f>IF(OR($C145="",$Q145=0),"",IF($G145="國","國定假日",IF($B145="日","例假",IF($B145="六","休息日","平日"))))</f>
        <v/>
      </c>
      <c r="S145" s="19" t="n"/>
    </row>
    <row r="146">
      <c r="A146" s="82">
        <f>IF(OR(助理班表!$A9="",20&gt;DAY(EOMONTH(DATE(設定!$C$2,設定!$D$2,1),0))),"",DATE(設定!$C$2,設定!$D$2,20))</f>
        <v/>
      </c>
      <c r="B146" s="16">
        <f>IF($A146="","",INDEX(設定!$O$6:$O$12,WEEKDAY($A146,1)))</f>
        <v/>
      </c>
      <c r="C146" s="16">
        <f>IF($A146="","",助理班表!$A9)</f>
        <v/>
      </c>
      <c r="D146" s="16">
        <f>IF($C146="","",助理班表!$B9)</f>
        <v/>
      </c>
      <c r="E146" s="16">
        <f>IF($C146="","",助理班表!$D9)</f>
        <v/>
      </c>
      <c r="F146" s="16">
        <f>IF($C146="","",助理班表!$C9)</f>
        <v/>
      </c>
      <c r="G146" s="16">
        <f>IF($C146="","",助理班表!X9)</f>
        <v/>
      </c>
      <c r="H146" s="83">
        <f>IF($G146="","",IFERROR(IF(INDEX(設定!$D$6:$D$21,MATCH($G146,設定!$B$6:$B$21,0))=0,"",INDEX(設定!$D$6:$D$21,MATCH($G146,設定!$B$6:$B$21,0))),""))</f>
        <v/>
      </c>
      <c r="I146" s="83">
        <f>IF($G146="","",IFERROR(IF(INDEX(設定!$E$6:$E$21,MATCH($G146,設定!$B$6:$B$21,0))=0,"",INDEX(設定!$E$6:$E$21,MATCH($G146,設定!$B$6:$B$21,0))),""))</f>
        <v/>
      </c>
      <c r="J146" s="83">
        <f>IFERROR(INDEX(打卡匯入!$C$3:$C$2002,MATCH($C146&amp;"|"&amp;DAY($A146),打卡匯入!$E$3:$E$2002,0)),"")</f>
        <v/>
      </c>
      <c r="K146" s="83">
        <f>IFERROR(INDEX(打卡匯入!$D$3:$D$2002,MATCH($C146&amp;"|"&amp;DAY($A146),打卡匯入!$E$3:$E$2002,0)),"")</f>
        <v/>
      </c>
      <c r="L146" s="84">
        <f>IF(OR($J146="",$K146=""),"",IFERROR(INDEX(設定!$F$6:$F$21,MATCH($G146,設定!$B$6:$B$21,0)),0))</f>
        <v/>
      </c>
      <c r="M146" s="85">
        <f>IF(OR($J146="",$K146=""),"",ROUND(($K146-$J146)*24-$L146/60,2))</f>
        <v/>
      </c>
      <c r="N146" s="16">
        <f>IF($C146="","",IF(AND(COUNTIF(設定!$B$15:$B$21,$G146)&gt;0,$J146&lt;&gt;""),"假日出勤",IF(AND(COUNTIF(設定!$B$6:$B$14,$G146)&gt;0,$J146=""),"未打卡",IF($J146="","",IF($O146&gt;0,"遲到",IF($P146&gt;0,"早退","正常"))))))</f>
        <v/>
      </c>
      <c r="O146" s="84">
        <f>IF(OR($C146="",$H146="",$J146=""),0,IF(ROUND(($J146-$H146)*1440,0)&gt;設定!$C$46,ROUND(($J146-$H146)*1440,0),0))</f>
        <v/>
      </c>
      <c r="P146" s="84">
        <f>IF(OR($C146="",$I146="",$K146=""),0,IF(ROUND(($I146-$K146)*1440,0)&gt;設定!$C$46,ROUND(($I146-$K146)*1440,0),0))</f>
        <v/>
      </c>
      <c r="Q146" s="85">
        <f>IF($M146="",0,IF(($M146-IFERROR(INDEX(設定!$G$6:$G$21,MATCH($G146,設定!$B$6:$B$21,0)),0))*60&gt;=設定!$C$44,ROUND(FLOOR(($M146-IFERROR(INDEX(設定!$G$6:$G$21,MATCH($G146,設定!$B$6:$B$21,0)),0))*60,設定!$C$45)/60,2),0))</f>
        <v/>
      </c>
      <c r="R146" s="16">
        <f>IF(OR($C146="",$Q146=0),"",IF($G146="國","國定假日",IF($B146="日","例假",IF($B146="六","休息日","平日"))))</f>
        <v/>
      </c>
      <c r="S146" s="19" t="n"/>
    </row>
    <row r="147">
      <c r="A147" s="82">
        <f>IF(OR(助理班表!$A9="",21&gt;DAY(EOMONTH(DATE(設定!$C$2,設定!$D$2,1),0))),"",DATE(設定!$C$2,設定!$D$2,21))</f>
        <v/>
      </c>
      <c r="B147" s="16">
        <f>IF($A147="","",INDEX(設定!$O$6:$O$12,WEEKDAY($A147,1)))</f>
        <v/>
      </c>
      <c r="C147" s="16">
        <f>IF($A147="","",助理班表!$A9)</f>
        <v/>
      </c>
      <c r="D147" s="16">
        <f>IF($C147="","",助理班表!$B9)</f>
        <v/>
      </c>
      <c r="E147" s="16">
        <f>IF($C147="","",助理班表!$D9)</f>
        <v/>
      </c>
      <c r="F147" s="16">
        <f>IF($C147="","",助理班表!$C9)</f>
        <v/>
      </c>
      <c r="G147" s="16">
        <f>IF($C147="","",助理班表!Y9)</f>
        <v/>
      </c>
      <c r="H147" s="83">
        <f>IF($G147="","",IFERROR(IF(INDEX(設定!$D$6:$D$21,MATCH($G147,設定!$B$6:$B$21,0))=0,"",INDEX(設定!$D$6:$D$21,MATCH($G147,設定!$B$6:$B$21,0))),""))</f>
        <v/>
      </c>
      <c r="I147" s="83">
        <f>IF($G147="","",IFERROR(IF(INDEX(設定!$E$6:$E$21,MATCH($G147,設定!$B$6:$B$21,0))=0,"",INDEX(設定!$E$6:$E$21,MATCH($G147,設定!$B$6:$B$21,0))),""))</f>
        <v/>
      </c>
      <c r="J147" s="83">
        <f>IFERROR(INDEX(打卡匯入!$C$3:$C$2002,MATCH($C147&amp;"|"&amp;DAY($A147),打卡匯入!$E$3:$E$2002,0)),"")</f>
        <v/>
      </c>
      <c r="K147" s="83">
        <f>IFERROR(INDEX(打卡匯入!$D$3:$D$2002,MATCH($C147&amp;"|"&amp;DAY($A147),打卡匯入!$E$3:$E$2002,0)),"")</f>
        <v/>
      </c>
      <c r="L147" s="84">
        <f>IF(OR($J147="",$K147=""),"",IFERROR(INDEX(設定!$F$6:$F$21,MATCH($G147,設定!$B$6:$B$21,0)),0))</f>
        <v/>
      </c>
      <c r="M147" s="85">
        <f>IF(OR($J147="",$K147=""),"",ROUND(($K147-$J147)*24-$L147/60,2))</f>
        <v/>
      </c>
      <c r="N147" s="16">
        <f>IF($C147="","",IF(AND(COUNTIF(設定!$B$15:$B$21,$G147)&gt;0,$J147&lt;&gt;""),"假日出勤",IF(AND(COUNTIF(設定!$B$6:$B$14,$G147)&gt;0,$J147=""),"未打卡",IF($J147="","",IF($O147&gt;0,"遲到",IF($P147&gt;0,"早退","正常"))))))</f>
        <v/>
      </c>
      <c r="O147" s="84">
        <f>IF(OR($C147="",$H147="",$J147=""),0,IF(ROUND(($J147-$H147)*1440,0)&gt;設定!$C$46,ROUND(($J147-$H147)*1440,0),0))</f>
        <v/>
      </c>
      <c r="P147" s="84">
        <f>IF(OR($C147="",$I147="",$K147=""),0,IF(ROUND(($I147-$K147)*1440,0)&gt;設定!$C$46,ROUND(($I147-$K147)*1440,0),0))</f>
        <v/>
      </c>
      <c r="Q147" s="85">
        <f>IF($M147="",0,IF(($M147-IFERROR(INDEX(設定!$G$6:$G$21,MATCH($G147,設定!$B$6:$B$21,0)),0))*60&gt;=設定!$C$44,ROUND(FLOOR(($M147-IFERROR(INDEX(設定!$G$6:$G$21,MATCH($G147,設定!$B$6:$B$21,0)),0))*60,設定!$C$45)/60,2),0))</f>
        <v/>
      </c>
      <c r="R147" s="16">
        <f>IF(OR($C147="",$Q147=0),"",IF($G147="國","國定假日",IF($B147="日","例假",IF($B147="六","休息日","平日"))))</f>
        <v/>
      </c>
      <c r="S147" s="19" t="n"/>
    </row>
    <row r="148">
      <c r="A148" s="82">
        <f>IF(OR(助理班表!$A9="",22&gt;DAY(EOMONTH(DATE(設定!$C$2,設定!$D$2,1),0))),"",DATE(設定!$C$2,設定!$D$2,22))</f>
        <v/>
      </c>
      <c r="B148" s="16">
        <f>IF($A148="","",INDEX(設定!$O$6:$O$12,WEEKDAY($A148,1)))</f>
        <v/>
      </c>
      <c r="C148" s="16">
        <f>IF($A148="","",助理班表!$A9)</f>
        <v/>
      </c>
      <c r="D148" s="16">
        <f>IF($C148="","",助理班表!$B9)</f>
        <v/>
      </c>
      <c r="E148" s="16">
        <f>IF($C148="","",助理班表!$D9)</f>
        <v/>
      </c>
      <c r="F148" s="16">
        <f>IF($C148="","",助理班表!$C9)</f>
        <v/>
      </c>
      <c r="G148" s="16">
        <f>IF($C148="","",助理班表!Z9)</f>
        <v/>
      </c>
      <c r="H148" s="83">
        <f>IF($G148="","",IFERROR(IF(INDEX(設定!$D$6:$D$21,MATCH($G148,設定!$B$6:$B$21,0))=0,"",INDEX(設定!$D$6:$D$21,MATCH($G148,設定!$B$6:$B$21,0))),""))</f>
        <v/>
      </c>
      <c r="I148" s="83">
        <f>IF($G148="","",IFERROR(IF(INDEX(設定!$E$6:$E$21,MATCH($G148,設定!$B$6:$B$21,0))=0,"",INDEX(設定!$E$6:$E$21,MATCH($G148,設定!$B$6:$B$21,0))),""))</f>
        <v/>
      </c>
      <c r="J148" s="83">
        <f>IFERROR(INDEX(打卡匯入!$C$3:$C$2002,MATCH($C148&amp;"|"&amp;DAY($A148),打卡匯入!$E$3:$E$2002,0)),"")</f>
        <v/>
      </c>
      <c r="K148" s="83">
        <f>IFERROR(INDEX(打卡匯入!$D$3:$D$2002,MATCH($C148&amp;"|"&amp;DAY($A148),打卡匯入!$E$3:$E$2002,0)),"")</f>
        <v/>
      </c>
      <c r="L148" s="84">
        <f>IF(OR($J148="",$K148=""),"",IFERROR(INDEX(設定!$F$6:$F$21,MATCH($G148,設定!$B$6:$B$21,0)),0))</f>
        <v/>
      </c>
      <c r="M148" s="85">
        <f>IF(OR($J148="",$K148=""),"",ROUND(($K148-$J148)*24-$L148/60,2))</f>
        <v/>
      </c>
      <c r="N148" s="16">
        <f>IF($C148="","",IF(AND(COUNTIF(設定!$B$15:$B$21,$G148)&gt;0,$J148&lt;&gt;""),"假日出勤",IF(AND(COUNTIF(設定!$B$6:$B$14,$G148)&gt;0,$J148=""),"未打卡",IF($J148="","",IF($O148&gt;0,"遲到",IF($P148&gt;0,"早退","正常"))))))</f>
        <v/>
      </c>
      <c r="O148" s="84">
        <f>IF(OR($C148="",$H148="",$J148=""),0,IF(ROUND(($J148-$H148)*1440,0)&gt;設定!$C$46,ROUND(($J148-$H148)*1440,0),0))</f>
        <v/>
      </c>
      <c r="P148" s="84">
        <f>IF(OR($C148="",$I148="",$K148=""),0,IF(ROUND(($I148-$K148)*1440,0)&gt;設定!$C$46,ROUND(($I148-$K148)*1440,0),0))</f>
        <v/>
      </c>
      <c r="Q148" s="85">
        <f>IF($M148="",0,IF(($M148-IFERROR(INDEX(設定!$G$6:$G$21,MATCH($G148,設定!$B$6:$B$21,0)),0))*60&gt;=設定!$C$44,ROUND(FLOOR(($M148-IFERROR(INDEX(設定!$G$6:$G$21,MATCH($G148,設定!$B$6:$B$21,0)),0))*60,設定!$C$45)/60,2),0))</f>
        <v/>
      </c>
      <c r="R148" s="16">
        <f>IF(OR($C148="",$Q148=0),"",IF($G148="國","國定假日",IF($B148="日","例假",IF($B148="六","休息日","平日"))))</f>
        <v/>
      </c>
      <c r="S148" s="19" t="n"/>
    </row>
    <row r="149">
      <c r="A149" s="82">
        <f>IF(OR(助理班表!$A9="",23&gt;DAY(EOMONTH(DATE(設定!$C$2,設定!$D$2,1),0))),"",DATE(設定!$C$2,設定!$D$2,23))</f>
        <v/>
      </c>
      <c r="B149" s="16">
        <f>IF($A149="","",INDEX(設定!$O$6:$O$12,WEEKDAY($A149,1)))</f>
        <v/>
      </c>
      <c r="C149" s="16">
        <f>IF($A149="","",助理班表!$A9)</f>
        <v/>
      </c>
      <c r="D149" s="16">
        <f>IF($C149="","",助理班表!$B9)</f>
        <v/>
      </c>
      <c r="E149" s="16">
        <f>IF($C149="","",助理班表!$D9)</f>
        <v/>
      </c>
      <c r="F149" s="16">
        <f>IF($C149="","",助理班表!$C9)</f>
        <v/>
      </c>
      <c r="G149" s="16">
        <f>IF($C149="","",助理班表!AA9)</f>
        <v/>
      </c>
      <c r="H149" s="83">
        <f>IF($G149="","",IFERROR(IF(INDEX(設定!$D$6:$D$21,MATCH($G149,設定!$B$6:$B$21,0))=0,"",INDEX(設定!$D$6:$D$21,MATCH($G149,設定!$B$6:$B$21,0))),""))</f>
        <v/>
      </c>
      <c r="I149" s="83">
        <f>IF($G149="","",IFERROR(IF(INDEX(設定!$E$6:$E$21,MATCH($G149,設定!$B$6:$B$21,0))=0,"",INDEX(設定!$E$6:$E$21,MATCH($G149,設定!$B$6:$B$21,0))),""))</f>
        <v/>
      </c>
      <c r="J149" s="83">
        <f>IFERROR(INDEX(打卡匯入!$C$3:$C$2002,MATCH($C149&amp;"|"&amp;DAY($A149),打卡匯入!$E$3:$E$2002,0)),"")</f>
        <v/>
      </c>
      <c r="K149" s="83">
        <f>IFERROR(INDEX(打卡匯入!$D$3:$D$2002,MATCH($C149&amp;"|"&amp;DAY($A149),打卡匯入!$E$3:$E$2002,0)),"")</f>
        <v/>
      </c>
      <c r="L149" s="84">
        <f>IF(OR($J149="",$K149=""),"",IFERROR(INDEX(設定!$F$6:$F$21,MATCH($G149,設定!$B$6:$B$21,0)),0))</f>
        <v/>
      </c>
      <c r="M149" s="85">
        <f>IF(OR($J149="",$K149=""),"",ROUND(($K149-$J149)*24-$L149/60,2))</f>
        <v/>
      </c>
      <c r="N149" s="16">
        <f>IF($C149="","",IF(AND(COUNTIF(設定!$B$15:$B$21,$G149)&gt;0,$J149&lt;&gt;""),"假日出勤",IF(AND(COUNTIF(設定!$B$6:$B$14,$G149)&gt;0,$J149=""),"未打卡",IF($J149="","",IF($O149&gt;0,"遲到",IF($P149&gt;0,"早退","正常"))))))</f>
        <v/>
      </c>
      <c r="O149" s="84">
        <f>IF(OR($C149="",$H149="",$J149=""),0,IF(ROUND(($J149-$H149)*1440,0)&gt;設定!$C$46,ROUND(($J149-$H149)*1440,0),0))</f>
        <v/>
      </c>
      <c r="P149" s="84">
        <f>IF(OR($C149="",$I149="",$K149=""),0,IF(ROUND(($I149-$K149)*1440,0)&gt;設定!$C$46,ROUND(($I149-$K149)*1440,0),0))</f>
        <v/>
      </c>
      <c r="Q149" s="85">
        <f>IF($M149="",0,IF(($M149-IFERROR(INDEX(設定!$G$6:$G$21,MATCH($G149,設定!$B$6:$B$21,0)),0))*60&gt;=設定!$C$44,ROUND(FLOOR(($M149-IFERROR(INDEX(設定!$G$6:$G$21,MATCH($G149,設定!$B$6:$B$21,0)),0))*60,設定!$C$45)/60,2),0))</f>
        <v/>
      </c>
      <c r="R149" s="16">
        <f>IF(OR($C149="",$Q149=0),"",IF($G149="國","國定假日",IF($B149="日","例假",IF($B149="六","休息日","平日"))))</f>
        <v/>
      </c>
      <c r="S149" s="19" t="n"/>
    </row>
    <row r="150">
      <c r="A150" s="82">
        <f>IF(OR(助理班表!$A9="",24&gt;DAY(EOMONTH(DATE(設定!$C$2,設定!$D$2,1),0))),"",DATE(設定!$C$2,設定!$D$2,24))</f>
        <v/>
      </c>
      <c r="B150" s="16">
        <f>IF($A150="","",INDEX(設定!$O$6:$O$12,WEEKDAY($A150,1)))</f>
        <v/>
      </c>
      <c r="C150" s="16">
        <f>IF($A150="","",助理班表!$A9)</f>
        <v/>
      </c>
      <c r="D150" s="16">
        <f>IF($C150="","",助理班表!$B9)</f>
        <v/>
      </c>
      <c r="E150" s="16">
        <f>IF($C150="","",助理班表!$D9)</f>
        <v/>
      </c>
      <c r="F150" s="16">
        <f>IF($C150="","",助理班表!$C9)</f>
        <v/>
      </c>
      <c r="G150" s="16">
        <f>IF($C150="","",助理班表!AB9)</f>
        <v/>
      </c>
      <c r="H150" s="83">
        <f>IF($G150="","",IFERROR(IF(INDEX(設定!$D$6:$D$21,MATCH($G150,設定!$B$6:$B$21,0))=0,"",INDEX(設定!$D$6:$D$21,MATCH($G150,設定!$B$6:$B$21,0))),""))</f>
        <v/>
      </c>
      <c r="I150" s="83">
        <f>IF($G150="","",IFERROR(IF(INDEX(設定!$E$6:$E$21,MATCH($G150,設定!$B$6:$B$21,0))=0,"",INDEX(設定!$E$6:$E$21,MATCH($G150,設定!$B$6:$B$21,0))),""))</f>
        <v/>
      </c>
      <c r="J150" s="83">
        <f>IFERROR(INDEX(打卡匯入!$C$3:$C$2002,MATCH($C150&amp;"|"&amp;DAY($A150),打卡匯入!$E$3:$E$2002,0)),"")</f>
        <v/>
      </c>
      <c r="K150" s="83">
        <f>IFERROR(INDEX(打卡匯入!$D$3:$D$2002,MATCH($C150&amp;"|"&amp;DAY($A150),打卡匯入!$E$3:$E$2002,0)),"")</f>
        <v/>
      </c>
      <c r="L150" s="84">
        <f>IF(OR($J150="",$K150=""),"",IFERROR(INDEX(設定!$F$6:$F$21,MATCH($G150,設定!$B$6:$B$21,0)),0))</f>
        <v/>
      </c>
      <c r="M150" s="85">
        <f>IF(OR($J150="",$K150=""),"",ROUND(($K150-$J150)*24-$L150/60,2))</f>
        <v/>
      </c>
      <c r="N150" s="16">
        <f>IF($C150="","",IF(AND(COUNTIF(設定!$B$15:$B$21,$G150)&gt;0,$J150&lt;&gt;""),"假日出勤",IF(AND(COUNTIF(設定!$B$6:$B$14,$G150)&gt;0,$J150=""),"未打卡",IF($J150="","",IF($O150&gt;0,"遲到",IF($P150&gt;0,"早退","正常"))))))</f>
        <v/>
      </c>
      <c r="O150" s="84">
        <f>IF(OR($C150="",$H150="",$J150=""),0,IF(ROUND(($J150-$H150)*1440,0)&gt;設定!$C$46,ROUND(($J150-$H150)*1440,0),0))</f>
        <v/>
      </c>
      <c r="P150" s="84">
        <f>IF(OR($C150="",$I150="",$K150=""),0,IF(ROUND(($I150-$K150)*1440,0)&gt;設定!$C$46,ROUND(($I150-$K150)*1440,0),0))</f>
        <v/>
      </c>
      <c r="Q150" s="85">
        <f>IF($M150="",0,IF(($M150-IFERROR(INDEX(設定!$G$6:$G$21,MATCH($G150,設定!$B$6:$B$21,0)),0))*60&gt;=設定!$C$44,ROUND(FLOOR(($M150-IFERROR(INDEX(設定!$G$6:$G$21,MATCH($G150,設定!$B$6:$B$21,0)),0))*60,設定!$C$45)/60,2),0))</f>
        <v/>
      </c>
      <c r="R150" s="16">
        <f>IF(OR($C150="",$Q150=0),"",IF($G150="國","國定假日",IF($B150="日","例假",IF($B150="六","休息日","平日"))))</f>
        <v/>
      </c>
      <c r="S150" s="19" t="n"/>
    </row>
    <row r="151">
      <c r="A151" s="82">
        <f>IF(OR(助理班表!$A9="",25&gt;DAY(EOMONTH(DATE(設定!$C$2,設定!$D$2,1),0))),"",DATE(設定!$C$2,設定!$D$2,25))</f>
        <v/>
      </c>
      <c r="B151" s="16">
        <f>IF($A151="","",INDEX(設定!$O$6:$O$12,WEEKDAY($A151,1)))</f>
        <v/>
      </c>
      <c r="C151" s="16">
        <f>IF($A151="","",助理班表!$A9)</f>
        <v/>
      </c>
      <c r="D151" s="16">
        <f>IF($C151="","",助理班表!$B9)</f>
        <v/>
      </c>
      <c r="E151" s="16">
        <f>IF($C151="","",助理班表!$D9)</f>
        <v/>
      </c>
      <c r="F151" s="16">
        <f>IF($C151="","",助理班表!$C9)</f>
        <v/>
      </c>
      <c r="G151" s="16">
        <f>IF($C151="","",助理班表!AC9)</f>
        <v/>
      </c>
      <c r="H151" s="83">
        <f>IF($G151="","",IFERROR(IF(INDEX(設定!$D$6:$D$21,MATCH($G151,設定!$B$6:$B$21,0))=0,"",INDEX(設定!$D$6:$D$21,MATCH($G151,設定!$B$6:$B$21,0))),""))</f>
        <v/>
      </c>
      <c r="I151" s="83">
        <f>IF($G151="","",IFERROR(IF(INDEX(設定!$E$6:$E$21,MATCH($G151,設定!$B$6:$B$21,0))=0,"",INDEX(設定!$E$6:$E$21,MATCH($G151,設定!$B$6:$B$21,0))),""))</f>
        <v/>
      </c>
      <c r="J151" s="83">
        <f>IFERROR(INDEX(打卡匯入!$C$3:$C$2002,MATCH($C151&amp;"|"&amp;DAY($A151),打卡匯入!$E$3:$E$2002,0)),"")</f>
        <v/>
      </c>
      <c r="K151" s="83">
        <f>IFERROR(INDEX(打卡匯入!$D$3:$D$2002,MATCH($C151&amp;"|"&amp;DAY($A151),打卡匯入!$E$3:$E$2002,0)),"")</f>
        <v/>
      </c>
      <c r="L151" s="84">
        <f>IF(OR($J151="",$K151=""),"",IFERROR(INDEX(設定!$F$6:$F$21,MATCH($G151,設定!$B$6:$B$21,0)),0))</f>
        <v/>
      </c>
      <c r="M151" s="85">
        <f>IF(OR($J151="",$K151=""),"",ROUND(($K151-$J151)*24-$L151/60,2))</f>
        <v/>
      </c>
      <c r="N151" s="16">
        <f>IF($C151="","",IF(AND(COUNTIF(設定!$B$15:$B$21,$G151)&gt;0,$J151&lt;&gt;""),"假日出勤",IF(AND(COUNTIF(設定!$B$6:$B$14,$G151)&gt;0,$J151=""),"未打卡",IF($J151="","",IF($O151&gt;0,"遲到",IF($P151&gt;0,"早退","正常"))))))</f>
        <v/>
      </c>
      <c r="O151" s="84">
        <f>IF(OR($C151="",$H151="",$J151=""),0,IF(ROUND(($J151-$H151)*1440,0)&gt;設定!$C$46,ROUND(($J151-$H151)*1440,0),0))</f>
        <v/>
      </c>
      <c r="P151" s="84">
        <f>IF(OR($C151="",$I151="",$K151=""),0,IF(ROUND(($I151-$K151)*1440,0)&gt;設定!$C$46,ROUND(($I151-$K151)*1440,0),0))</f>
        <v/>
      </c>
      <c r="Q151" s="85">
        <f>IF($M151="",0,IF(($M151-IFERROR(INDEX(設定!$G$6:$G$21,MATCH($G151,設定!$B$6:$B$21,0)),0))*60&gt;=設定!$C$44,ROUND(FLOOR(($M151-IFERROR(INDEX(設定!$G$6:$G$21,MATCH($G151,設定!$B$6:$B$21,0)),0))*60,設定!$C$45)/60,2),0))</f>
        <v/>
      </c>
      <c r="R151" s="16">
        <f>IF(OR($C151="",$Q151=0),"",IF($G151="國","國定假日",IF($B151="日","例假",IF($B151="六","休息日","平日"))))</f>
        <v/>
      </c>
      <c r="S151" s="19" t="n"/>
    </row>
    <row r="152">
      <c r="A152" s="82">
        <f>IF(OR(助理班表!$A9="",26&gt;DAY(EOMONTH(DATE(設定!$C$2,設定!$D$2,1),0))),"",DATE(設定!$C$2,設定!$D$2,26))</f>
        <v/>
      </c>
      <c r="B152" s="16">
        <f>IF($A152="","",INDEX(設定!$O$6:$O$12,WEEKDAY($A152,1)))</f>
        <v/>
      </c>
      <c r="C152" s="16">
        <f>IF($A152="","",助理班表!$A9)</f>
        <v/>
      </c>
      <c r="D152" s="16">
        <f>IF($C152="","",助理班表!$B9)</f>
        <v/>
      </c>
      <c r="E152" s="16">
        <f>IF($C152="","",助理班表!$D9)</f>
        <v/>
      </c>
      <c r="F152" s="16">
        <f>IF($C152="","",助理班表!$C9)</f>
        <v/>
      </c>
      <c r="G152" s="16">
        <f>IF($C152="","",助理班表!AD9)</f>
        <v/>
      </c>
      <c r="H152" s="83">
        <f>IF($G152="","",IFERROR(IF(INDEX(設定!$D$6:$D$21,MATCH($G152,設定!$B$6:$B$21,0))=0,"",INDEX(設定!$D$6:$D$21,MATCH($G152,設定!$B$6:$B$21,0))),""))</f>
        <v/>
      </c>
      <c r="I152" s="83">
        <f>IF($G152="","",IFERROR(IF(INDEX(設定!$E$6:$E$21,MATCH($G152,設定!$B$6:$B$21,0))=0,"",INDEX(設定!$E$6:$E$21,MATCH($G152,設定!$B$6:$B$21,0))),""))</f>
        <v/>
      </c>
      <c r="J152" s="83">
        <f>IFERROR(INDEX(打卡匯入!$C$3:$C$2002,MATCH($C152&amp;"|"&amp;DAY($A152),打卡匯入!$E$3:$E$2002,0)),"")</f>
        <v/>
      </c>
      <c r="K152" s="83">
        <f>IFERROR(INDEX(打卡匯入!$D$3:$D$2002,MATCH($C152&amp;"|"&amp;DAY($A152),打卡匯入!$E$3:$E$2002,0)),"")</f>
        <v/>
      </c>
      <c r="L152" s="84">
        <f>IF(OR($J152="",$K152=""),"",IFERROR(INDEX(設定!$F$6:$F$21,MATCH($G152,設定!$B$6:$B$21,0)),0))</f>
        <v/>
      </c>
      <c r="M152" s="85">
        <f>IF(OR($J152="",$K152=""),"",ROUND(($K152-$J152)*24-$L152/60,2))</f>
        <v/>
      </c>
      <c r="N152" s="16">
        <f>IF($C152="","",IF(AND(COUNTIF(設定!$B$15:$B$21,$G152)&gt;0,$J152&lt;&gt;""),"假日出勤",IF(AND(COUNTIF(設定!$B$6:$B$14,$G152)&gt;0,$J152=""),"未打卡",IF($J152="","",IF($O152&gt;0,"遲到",IF($P152&gt;0,"早退","正常"))))))</f>
        <v/>
      </c>
      <c r="O152" s="84">
        <f>IF(OR($C152="",$H152="",$J152=""),0,IF(ROUND(($J152-$H152)*1440,0)&gt;設定!$C$46,ROUND(($J152-$H152)*1440,0),0))</f>
        <v/>
      </c>
      <c r="P152" s="84">
        <f>IF(OR($C152="",$I152="",$K152=""),0,IF(ROUND(($I152-$K152)*1440,0)&gt;設定!$C$46,ROUND(($I152-$K152)*1440,0),0))</f>
        <v/>
      </c>
      <c r="Q152" s="85">
        <f>IF($M152="",0,IF(($M152-IFERROR(INDEX(設定!$G$6:$G$21,MATCH($G152,設定!$B$6:$B$21,0)),0))*60&gt;=設定!$C$44,ROUND(FLOOR(($M152-IFERROR(INDEX(設定!$G$6:$G$21,MATCH($G152,設定!$B$6:$B$21,0)),0))*60,設定!$C$45)/60,2),0))</f>
        <v/>
      </c>
      <c r="R152" s="16">
        <f>IF(OR($C152="",$Q152=0),"",IF($G152="國","國定假日",IF($B152="日","例假",IF($B152="六","休息日","平日"))))</f>
        <v/>
      </c>
      <c r="S152" s="19" t="n"/>
    </row>
    <row r="153">
      <c r="A153" s="82">
        <f>IF(OR(助理班表!$A9="",27&gt;DAY(EOMONTH(DATE(設定!$C$2,設定!$D$2,1),0))),"",DATE(設定!$C$2,設定!$D$2,27))</f>
        <v/>
      </c>
      <c r="B153" s="16">
        <f>IF($A153="","",INDEX(設定!$O$6:$O$12,WEEKDAY($A153,1)))</f>
        <v/>
      </c>
      <c r="C153" s="16">
        <f>IF($A153="","",助理班表!$A9)</f>
        <v/>
      </c>
      <c r="D153" s="16">
        <f>IF($C153="","",助理班表!$B9)</f>
        <v/>
      </c>
      <c r="E153" s="16">
        <f>IF($C153="","",助理班表!$D9)</f>
        <v/>
      </c>
      <c r="F153" s="16">
        <f>IF($C153="","",助理班表!$C9)</f>
        <v/>
      </c>
      <c r="G153" s="16">
        <f>IF($C153="","",助理班表!AE9)</f>
        <v/>
      </c>
      <c r="H153" s="83">
        <f>IF($G153="","",IFERROR(IF(INDEX(設定!$D$6:$D$21,MATCH($G153,設定!$B$6:$B$21,0))=0,"",INDEX(設定!$D$6:$D$21,MATCH($G153,設定!$B$6:$B$21,0))),""))</f>
        <v/>
      </c>
      <c r="I153" s="83">
        <f>IF($G153="","",IFERROR(IF(INDEX(設定!$E$6:$E$21,MATCH($G153,設定!$B$6:$B$21,0))=0,"",INDEX(設定!$E$6:$E$21,MATCH($G153,設定!$B$6:$B$21,0))),""))</f>
        <v/>
      </c>
      <c r="J153" s="83">
        <f>IFERROR(INDEX(打卡匯入!$C$3:$C$2002,MATCH($C153&amp;"|"&amp;DAY($A153),打卡匯入!$E$3:$E$2002,0)),"")</f>
        <v/>
      </c>
      <c r="K153" s="83">
        <f>IFERROR(INDEX(打卡匯入!$D$3:$D$2002,MATCH($C153&amp;"|"&amp;DAY($A153),打卡匯入!$E$3:$E$2002,0)),"")</f>
        <v/>
      </c>
      <c r="L153" s="84">
        <f>IF(OR($J153="",$K153=""),"",IFERROR(INDEX(設定!$F$6:$F$21,MATCH($G153,設定!$B$6:$B$21,0)),0))</f>
        <v/>
      </c>
      <c r="M153" s="85">
        <f>IF(OR($J153="",$K153=""),"",ROUND(($K153-$J153)*24-$L153/60,2))</f>
        <v/>
      </c>
      <c r="N153" s="16">
        <f>IF($C153="","",IF(AND(COUNTIF(設定!$B$15:$B$21,$G153)&gt;0,$J153&lt;&gt;""),"假日出勤",IF(AND(COUNTIF(設定!$B$6:$B$14,$G153)&gt;0,$J153=""),"未打卡",IF($J153="","",IF($O153&gt;0,"遲到",IF($P153&gt;0,"早退","正常"))))))</f>
        <v/>
      </c>
      <c r="O153" s="84">
        <f>IF(OR($C153="",$H153="",$J153=""),0,IF(ROUND(($J153-$H153)*1440,0)&gt;設定!$C$46,ROUND(($J153-$H153)*1440,0),0))</f>
        <v/>
      </c>
      <c r="P153" s="84">
        <f>IF(OR($C153="",$I153="",$K153=""),0,IF(ROUND(($I153-$K153)*1440,0)&gt;設定!$C$46,ROUND(($I153-$K153)*1440,0),0))</f>
        <v/>
      </c>
      <c r="Q153" s="85">
        <f>IF($M153="",0,IF(($M153-IFERROR(INDEX(設定!$G$6:$G$21,MATCH($G153,設定!$B$6:$B$21,0)),0))*60&gt;=設定!$C$44,ROUND(FLOOR(($M153-IFERROR(INDEX(設定!$G$6:$G$21,MATCH($G153,設定!$B$6:$B$21,0)),0))*60,設定!$C$45)/60,2),0))</f>
        <v/>
      </c>
      <c r="R153" s="16">
        <f>IF(OR($C153="",$Q153=0),"",IF($G153="國","國定假日",IF($B153="日","例假",IF($B153="六","休息日","平日"))))</f>
        <v/>
      </c>
      <c r="S153" s="19" t="n"/>
    </row>
    <row r="154">
      <c r="A154" s="82">
        <f>IF(OR(助理班表!$A9="",28&gt;DAY(EOMONTH(DATE(設定!$C$2,設定!$D$2,1),0))),"",DATE(設定!$C$2,設定!$D$2,28))</f>
        <v/>
      </c>
      <c r="B154" s="16">
        <f>IF($A154="","",INDEX(設定!$O$6:$O$12,WEEKDAY($A154,1)))</f>
        <v/>
      </c>
      <c r="C154" s="16">
        <f>IF($A154="","",助理班表!$A9)</f>
        <v/>
      </c>
      <c r="D154" s="16">
        <f>IF($C154="","",助理班表!$B9)</f>
        <v/>
      </c>
      <c r="E154" s="16">
        <f>IF($C154="","",助理班表!$D9)</f>
        <v/>
      </c>
      <c r="F154" s="16">
        <f>IF($C154="","",助理班表!$C9)</f>
        <v/>
      </c>
      <c r="G154" s="16">
        <f>IF($C154="","",助理班表!AF9)</f>
        <v/>
      </c>
      <c r="H154" s="83">
        <f>IF($G154="","",IFERROR(IF(INDEX(設定!$D$6:$D$21,MATCH($G154,設定!$B$6:$B$21,0))=0,"",INDEX(設定!$D$6:$D$21,MATCH($G154,設定!$B$6:$B$21,0))),""))</f>
        <v/>
      </c>
      <c r="I154" s="83">
        <f>IF($G154="","",IFERROR(IF(INDEX(設定!$E$6:$E$21,MATCH($G154,設定!$B$6:$B$21,0))=0,"",INDEX(設定!$E$6:$E$21,MATCH($G154,設定!$B$6:$B$21,0))),""))</f>
        <v/>
      </c>
      <c r="J154" s="83">
        <f>IFERROR(INDEX(打卡匯入!$C$3:$C$2002,MATCH($C154&amp;"|"&amp;DAY($A154),打卡匯入!$E$3:$E$2002,0)),"")</f>
        <v/>
      </c>
      <c r="K154" s="83">
        <f>IFERROR(INDEX(打卡匯入!$D$3:$D$2002,MATCH($C154&amp;"|"&amp;DAY($A154),打卡匯入!$E$3:$E$2002,0)),"")</f>
        <v/>
      </c>
      <c r="L154" s="84">
        <f>IF(OR($J154="",$K154=""),"",IFERROR(INDEX(設定!$F$6:$F$21,MATCH($G154,設定!$B$6:$B$21,0)),0))</f>
        <v/>
      </c>
      <c r="M154" s="85">
        <f>IF(OR($J154="",$K154=""),"",ROUND(($K154-$J154)*24-$L154/60,2))</f>
        <v/>
      </c>
      <c r="N154" s="16">
        <f>IF($C154="","",IF(AND(COUNTIF(設定!$B$15:$B$21,$G154)&gt;0,$J154&lt;&gt;""),"假日出勤",IF(AND(COUNTIF(設定!$B$6:$B$14,$G154)&gt;0,$J154=""),"未打卡",IF($J154="","",IF($O154&gt;0,"遲到",IF($P154&gt;0,"早退","正常"))))))</f>
        <v/>
      </c>
      <c r="O154" s="84">
        <f>IF(OR($C154="",$H154="",$J154=""),0,IF(ROUND(($J154-$H154)*1440,0)&gt;設定!$C$46,ROUND(($J154-$H154)*1440,0),0))</f>
        <v/>
      </c>
      <c r="P154" s="84">
        <f>IF(OR($C154="",$I154="",$K154=""),0,IF(ROUND(($I154-$K154)*1440,0)&gt;設定!$C$46,ROUND(($I154-$K154)*1440,0),0))</f>
        <v/>
      </c>
      <c r="Q154" s="85">
        <f>IF($M154="",0,IF(($M154-IFERROR(INDEX(設定!$G$6:$G$21,MATCH($G154,設定!$B$6:$B$21,0)),0))*60&gt;=設定!$C$44,ROUND(FLOOR(($M154-IFERROR(INDEX(設定!$G$6:$G$21,MATCH($G154,設定!$B$6:$B$21,0)),0))*60,設定!$C$45)/60,2),0))</f>
        <v/>
      </c>
      <c r="R154" s="16">
        <f>IF(OR($C154="",$Q154=0),"",IF($G154="國","國定假日",IF($B154="日","例假",IF($B154="六","休息日","平日"))))</f>
        <v/>
      </c>
      <c r="S154" s="19" t="n"/>
    </row>
    <row r="155">
      <c r="A155" s="82">
        <f>IF(OR(助理班表!$A9="",29&gt;DAY(EOMONTH(DATE(設定!$C$2,設定!$D$2,1),0))),"",DATE(設定!$C$2,設定!$D$2,29))</f>
        <v/>
      </c>
      <c r="B155" s="16">
        <f>IF($A155="","",INDEX(設定!$O$6:$O$12,WEEKDAY($A155,1)))</f>
        <v/>
      </c>
      <c r="C155" s="16">
        <f>IF($A155="","",助理班表!$A9)</f>
        <v/>
      </c>
      <c r="D155" s="16">
        <f>IF($C155="","",助理班表!$B9)</f>
        <v/>
      </c>
      <c r="E155" s="16">
        <f>IF($C155="","",助理班表!$D9)</f>
        <v/>
      </c>
      <c r="F155" s="16">
        <f>IF($C155="","",助理班表!$C9)</f>
        <v/>
      </c>
      <c r="G155" s="16">
        <f>IF($C155="","",助理班表!AG9)</f>
        <v/>
      </c>
      <c r="H155" s="83">
        <f>IF($G155="","",IFERROR(IF(INDEX(設定!$D$6:$D$21,MATCH($G155,設定!$B$6:$B$21,0))=0,"",INDEX(設定!$D$6:$D$21,MATCH($G155,設定!$B$6:$B$21,0))),""))</f>
        <v/>
      </c>
      <c r="I155" s="83">
        <f>IF($G155="","",IFERROR(IF(INDEX(設定!$E$6:$E$21,MATCH($G155,設定!$B$6:$B$21,0))=0,"",INDEX(設定!$E$6:$E$21,MATCH($G155,設定!$B$6:$B$21,0))),""))</f>
        <v/>
      </c>
      <c r="J155" s="83">
        <f>IFERROR(INDEX(打卡匯入!$C$3:$C$2002,MATCH($C155&amp;"|"&amp;DAY($A155),打卡匯入!$E$3:$E$2002,0)),"")</f>
        <v/>
      </c>
      <c r="K155" s="83">
        <f>IFERROR(INDEX(打卡匯入!$D$3:$D$2002,MATCH($C155&amp;"|"&amp;DAY($A155),打卡匯入!$E$3:$E$2002,0)),"")</f>
        <v/>
      </c>
      <c r="L155" s="84">
        <f>IF(OR($J155="",$K155=""),"",IFERROR(INDEX(設定!$F$6:$F$21,MATCH($G155,設定!$B$6:$B$21,0)),0))</f>
        <v/>
      </c>
      <c r="M155" s="85">
        <f>IF(OR($J155="",$K155=""),"",ROUND(($K155-$J155)*24-$L155/60,2))</f>
        <v/>
      </c>
      <c r="N155" s="16">
        <f>IF($C155="","",IF(AND(COUNTIF(設定!$B$15:$B$21,$G155)&gt;0,$J155&lt;&gt;""),"假日出勤",IF(AND(COUNTIF(設定!$B$6:$B$14,$G155)&gt;0,$J155=""),"未打卡",IF($J155="","",IF($O155&gt;0,"遲到",IF($P155&gt;0,"早退","正常"))))))</f>
        <v/>
      </c>
      <c r="O155" s="84">
        <f>IF(OR($C155="",$H155="",$J155=""),0,IF(ROUND(($J155-$H155)*1440,0)&gt;設定!$C$46,ROUND(($J155-$H155)*1440,0),0))</f>
        <v/>
      </c>
      <c r="P155" s="84">
        <f>IF(OR($C155="",$I155="",$K155=""),0,IF(ROUND(($I155-$K155)*1440,0)&gt;設定!$C$46,ROUND(($I155-$K155)*1440,0),0))</f>
        <v/>
      </c>
      <c r="Q155" s="85">
        <f>IF($M155="",0,IF(($M155-IFERROR(INDEX(設定!$G$6:$G$21,MATCH($G155,設定!$B$6:$B$21,0)),0))*60&gt;=設定!$C$44,ROUND(FLOOR(($M155-IFERROR(INDEX(設定!$G$6:$G$21,MATCH($G155,設定!$B$6:$B$21,0)),0))*60,設定!$C$45)/60,2),0))</f>
        <v/>
      </c>
      <c r="R155" s="16">
        <f>IF(OR($C155="",$Q155=0),"",IF($G155="國","國定假日",IF($B155="日","例假",IF($B155="六","休息日","平日"))))</f>
        <v/>
      </c>
      <c r="S155" s="19" t="n"/>
    </row>
    <row r="156">
      <c r="A156" s="82">
        <f>IF(OR(助理班表!$A9="",30&gt;DAY(EOMONTH(DATE(設定!$C$2,設定!$D$2,1),0))),"",DATE(設定!$C$2,設定!$D$2,30))</f>
        <v/>
      </c>
      <c r="B156" s="16">
        <f>IF($A156="","",INDEX(設定!$O$6:$O$12,WEEKDAY($A156,1)))</f>
        <v/>
      </c>
      <c r="C156" s="16">
        <f>IF($A156="","",助理班表!$A9)</f>
        <v/>
      </c>
      <c r="D156" s="16">
        <f>IF($C156="","",助理班表!$B9)</f>
        <v/>
      </c>
      <c r="E156" s="16">
        <f>IF($C156="","",助理班表!$D9)</f>
        <v/>
      </c>
      <c r="F156" s="16">
        <f>IF($C156="","",助理班表!$C9)</f>
        <v/>
      </c>
      <c r="G156" s="16">
        <f>IF($C156="","",助理班表!AH9)</f>
        <v/>
      </c>
      <c r="H156" s="83">
        <f>IF($G156="","",IFERROR(IF(INDEX(設定!$D$6:$D$21,MATCH($G156,設定!$B$6:$B$21,0))=0,"",INDEX(設定!$D$6:$D$21,MATCH($G156,設定!$B$6:$B$21,0))),""))</f>
        <v/>
      </c>
      <c r="I156" s="83">
        <f>IF($G156="","",IFERROR(IF(INDEX(設定!$E$6:$E$21,MATCH($G156,設定!$B$6:$B$21,0))=0,"",INDEX(設定!$E$6:$E$21,MATCH($G156,設定!$B$6:$B$21,0))),""))</f>
        <v/>
      </c>
      <c r="J156" s="83">
        <f>IFERROR(INDEX(打卡匯入!$C$3:$C$2002,MATCH($C156&amp;"|"&amp;DAY($A156),打卡匯入!$E$3:$E$2002,0)),"")</f>
        <v/>
      </c>
      <c r="K156" s="83">
        <f>IFERROR(INDEX(打卡匯入!$D$3:$D$2002,MATCH($C156&amp;"|"&amp;DAY($A156),打卡匯入!$E$3:$E$2002,0)),"")</f>
        <v/>
      </c>
      <c r="L156" s="84">
        <f>IF(OR($J156="",$K156=""),"",IFERROR(INDEX(設定!$F$6:$F$21,MATCH($G156,設定!$B$6:$B$21,0)),0))</f>
        <v/>
      </c>
      <c r="M156" s="85">
        <f>IF(OR($J156="",$K156=""),"",ROUND(($K156-$J156)*24-$L156/60,2))</f>
        <v/>
      </c>
      <c r="N156" s="16">
        <f>IF($C156="","",IF(AND(COUNTIF(設定!$B$15:$B$21,$G156)&gt;0,$J156&lt;&gt;""),"假日出勤",IF(AND(COUNTIF(設定!$B$6:$B$14,$G156)&gt;0,$J156=""),"未打卡",IF($J156="","",IF($O156&gt;0,"遲到",IF($P156&gt;0,"早退","正常"))))))</f>
        <v/>
      </c>
      <c r="O156" s="84">
        <f>IF(OR($C156="",$H156="",$J156=""),0,IF(ROUND(($J156-$H156)*1440,0)&gt;設定!$C$46,ROUND(($J156-$H156)*1440,0),0))</f>
        <v/>
      </c>
      <c r="P156" s="84">
        <f>IF(OR($C156="",$I156="",$K156=""),0,IF(ROUND(($I156-$K156)*1440,0)&gt;設定!$C$46,ROUND(($I156-$K156)*1440,0),0))</f>
        <v/>
      </c>
      <c r="Q156" s="85">
        <f>IF($M156="",0,IF(($M156-IFERROR(INDEX(設定!$G$6:$G$21,MATCH($G156,設定!$B$6:$B$21,0)),0))*60&gt;=設定!$C$44,ROUND(FLOOR(($M156-IFERROR(INDEX(設定!$G$6:$G$21,MATCH($G156,設定!$B$6:$B$21,0)),0))*60,設定!$C$45)/60,2),0))</f>
        <v/>
      </c>
      <c r="R156" s="16">
        <f>IF(OR($C156="",$Q156=0),"",IF($G156="國","國定假日",IF($B156="日","例假",IF($B156="六","休息日","平日"))))</f>
        <v/>
      </c>
      <c r="S156" s="19" t="n"/>
    </row>
    <row r="157">
      <c r="A157" s="82">
        <f>IF(OR(助理班表!$A9="",31&gt;DAY(EOMONTH(DATE(設定!$C$2,設定!$D$2,1),0))),"",DATE(設定!$C$2,設定!$D$2,31))</f>
        <v/>
      </c>
      <c r="B157" s="16">
        <f>IF($A157="","",INDEX(設定!$O$6:$O$12,WEEKDAY($A157,1)))</f>
        <v/>
      </c>
      <c r="C157" s="16">
        <f>IF($A157="","",助理班表!$A9)</f>
        <v/>
      </c>
      <c r="D157" s="16">
        <f>IF($C157="","",助理班表!$B9)</f>
        <v/>
      </c>
      <c r="E157" s="16">
        <f>IF($C157="","",助理班表!$D9)</f>
        <v/>
      </c>
      <c r="F157" s="16">
        <f>IF($C157="","",助理班表!$C9)</f>
        <v/>
      </c>
      <c r="G157" s="16">
        <f>IF($C157="","",助理班表!AI9)</f>
        <v/>
      </c>
      <c r="H157" s="83">
        <f>IF($G157="","",IFERROR(IF(INDEX(設定!$D$6:$D$21,MATCH($G157,設定!$B$6:$B$21,0))=0,"",INDEX(設定!$D$6:$D$21,MATCH($G157,設定!$B$6:$B$21,0))),""))</f>
        <v/>
      </c>
      <c r="I157" s="83">
        <f>IF($G157="","",IFERROR(IF(INDEX(設定!$E$6:$E$21,MATCH($G157,設定!$B$6:$B$21,0))=0,"",INDEX(設定!$E$6:$E$21,MATCH($G157,設定!$B$6:$B$21,0))),""))</f>
        <v/>
      </c>
      <c r="J157" s="83">
        <f>IFERROR(INDEX(打卡匯入!$C$3:$C$2002,MATCH($C157&amp;"|"&amp;DAY($A157),打卡匯入!$E$3:$E$2002,0)),"")</f>
        <v/>
      </c>
      <c r="K157" s="83">
        <f>IFERROR(INDEX(打卡匯入!$D$3:$D$2002,MATCH($C157&amp;"|"&amp;DAY($A157),打卡匯入!$E$3:$E$2002,0)),"")</f>
        <v/>
      </c>
      <c r="L157" s="84">
        <f>IF(OR($J157="",$K157=""),"",IFERROR(INDEX(設定!$F$6:$F$21,MATCH($G157,設定!$B$6:$B$21,0)),0))</f>
        <v/>
      </c>
      <c r="M157" s="85">
        <f>IF(OR($J157="",$K157=""),"",ROUND(($K157-$J157)*24-$L157/60,2))</f>
        <v/>
      </c>
      <c r="N157" s="16">
        <f>IF($C157="","",IF(AND(COUNTIF(設定!$B$15:$B$21,$G157)&gt;0,$J157&lt;&gt;""),"假日出勤",IF(AND(COUNTIF(設定!$B$6:$B$14,$G157)&gt;0,$J157=""),"未打卡",IF($J157="","",IF($O157&gt;0,"遲到",IF($P157&gt;0,"早退","正常"))))))</f>
        <v/>
      </c>
      <c r="O157" s="84">
        <f>IF(OR($C157="",$H157="",$J157=""),0,IF(ROUND(($J157-$H157)*1440,0)&gt;設定!$C$46,ROUND(($J157-$H157)*1440,0),0))</f>
        <v/>
      </c>
      <c r="P157" s="84">
        <f>IF(OR($C157="",$I157="",$K157=""),0,IF(ROUND(($I157-$K157)*1440,0)&gt;設定!$C$46,ROUND(($I157-$K157)*1440,0),0))</f>
        <v/>
      </c>
      <c r="Q157" s="85">
        <f>IF($M157="",0,IF(($M157-IFERROR(INDEX(設定!$G$6:$G$21,MATCH($G157,設定!$B$6:$B$21,0)),0))*60&gt;=設定!$C$44,ROUND(FLOOR(($M157-IFERROR(INDEX(設定!$G$6:$G$21,MATCH($G157,設定!$B$6:$B$21,0)),0))*60,設定!$C$45)/60,2),0))</f>
        <v/>
      </c>
      <c r="R157" s="16">
        <f>IF(OR($C157="",$Q157=0),"",IF($G157="國","國定假日",IF($B157="日","例假",IF($B157="六","休息日","平日"))))</f>
        <v/>
      </c>
      <c r="S157" s="19" t="n"/>
    </row>
    <row r="158">
      <c r="A158" s="82">
        <f>IF(OR(助理班表!$A10="",1&gt;DAY(EOMONTH(DATE(設定!$C$2,設定!$D$2,1),0))),"",DATE(設定!$C$2,設定!$D$2,1))</f>
        <v/>
      </c>
      <c r="B158" s="16">
        <f>IF($A158="","",INDEX(設定!$O$6:$O$12,WEEKDAY($A158,1)))</f>
        <v/>
      </c>
      <c r="C158" s="16">
        <f>IF($A158="","",助理班表!$A10)</f>
        <v/>
      </c>
      <c r="D158" s="16">
        <f>IF($C158="","",助理班表!$B10)</f>
        <v/>
      </c>
      <c r="E158" s="16">
        <f>IF($C158="","",助理班表!$D10)</f>
        <v/>
      </c>
      <c r="F158" s="16">
        <f>IF($C158="","",助理班表!$C10)</f>
        <v/>
      </c>
      <c r="G158" s="16">
        <f>IF($C158="","",助理班表!E10)</f>
        <v/>
      </c>
      <c r="H158" s="83">
        <f>IF($G158="","",IFERROR(IF(INDEX(設定!$D$6:$D$21,MATCH($G158,設定!$B$6:$B$21,0))=0,"",INDEX(設定!$D$6:$D$21,MATCH($G158,設定!$B$6:$B$21,0))),""))</f>
        <v/>
      </c>
      <c r="I158" s="83">
        <f>IF($G158="","",IFERROR(IF(INDEX(設定!$E$6:$E$21,MATCH($G158,設定!$B$6:$B$21,0))=0,"",INDEX(設定!$E$6:$E$21,MATCH($G158,設定!$B$6:$B$21,0))),""))</f>
        <v/>
      </c>
      <c r="J158" s="83">
        <f>IFERROR(INDEX(打卡匯入!$C$3:$C$2002,MATCH($C158&amp;"|"&amp;DAY($A158),打卡匯入!$E$3:$E$2002,0)),"")</f>
        <v/>
      </c>
      <c r="K158" s="83">
        <f>IFERROR(INDEX(打卡匯入!$D$3:$D$2002,MATCH($C158&amp;"|"&amp;DAY($A158),打卡匯入!$E$3:$E$2002,0)),"")</f>
        <v/>
      </c>
      <c r="L158" s="84">
        <f>IF(OR($J158="",$K158=""),"",IFERROR(INDEX(設定!$F$6:$F$21,MATCH($G158,設定!$B$6:$B$21,0)),0))</f>
        <v/>
      </c>
      <c r="M158" s="85">
        <f>IF(OR($J158="",$K158=""),"",ROUND(($K158-$J158)*24-$L158/60,2))</f>
        <v/>
      </c>
      <c r="N158" s="16">
        <f>IF($C158="","",IF(AND(COUNTIF(設定!$B$15:$B$21,$G158)&gt;0,$J158&lt;&gt;""),"假日出勤",IF(AND(COUNTIF(設定!$B$6:$B$14,$G158)&gt;0,$J158=""),"未打卡",IF($J158="","",IF($O158&gt;0,"遲到",IF($P158&gt;0,"早退","正常"))))))</f>
        <v/>
      </c>
      <c r="O158" s="84">
        <f>IF(OR($C158="",$H158="",$J158=""),0,IF(ROUND(($J158-$H158)*1440,0)&gt;設定!$C$46,ROUND(($J158-$H158)*1440,0),0))</f>
        <v/>
      </c>
      <c r="P158" s="84">
        <f>IF(OR($C158="",$I158="",$K158=""),0,IF(ROUND(($I158-$K158)*1440,0)&gt;設定!$C$46,ROUND(($I158-$K158)*1440,0),0))</f>
        <v/>
      </c>
      <c r="Q158" s="85">
        <f>IF($M158="",0,IF(($M158-IFERROR(INDEX(設定!$G$6:$G$21,MATCH($G158,設定!$B$6:$B$21,0)),0))*60&gt;=設定!$C$44,ROUND(FLOOR(($M158-IFERROR(INDEX(設定!$G$6:$G$21,MATCH($G158,設定!$B$6:$B$21,0)),0))*60,設定!$C$45)/60,2),0))</f>
        <v/>
      </c>
      <c r="R158" s="16">
        <f>IF(OR($C158="",$Q158=0),"",IF($G158="國","國定假日",IF($B158="日","例假",IF($B158="六","休息日","平日"))))</f>
        <v/>
      </c>
      <c r="S158" s="19" t="n"/>
    </row>
    <row r="159">
      <c r="A159" s="82">
        <f>IF(OR(助理班表!$A10="",2&gt;DAY(EOMONTH(DATE(設定!$C$2,設定!$D$2,1),0))),"",DATE(設定!$C$2,設定!$D$2,2))</f>
        <v/>
      </c>
      <c r="B159" s="16">
        <f>IF($A159="","",INDEX(設定!$O$6:$O$12,WEEKDAY($A159,1)))</f>
        <v/>
      </c>
      <c r="C159" s="16">
        <f>IF($A159="","",助理班表!$A10)</f>
        <v/>
      </c>
      <c r="D159" s="16">
        <f>IF($C159="","",助理班表!$B10)</f>
        <v/>
      </c>
      <c r="E159" s="16">
        <f>IF($C159="","",助理班表!$D10)</f>
        <v/>
      </c>
      <c r="F159" s="16">
        <f>IF($C159="","",助理班表!$C10)</f>
        <v/>
      </c>
      <c r="G159" s="16">
        <f>IF($C159="","",助理班表!F10)</f>
        <v/>
      </c>
      <c r="H159" s="83">
        <f>IF($G159="","",IFERROR(IF(INDEX(設定!$D$6:$D$21,MATCH($G159,設定!$B$6:$B$21,0))=0,"",INDEX(設定!$D$6:$D$21,MATCH($G159,設定!$B$6:$B$21,0))),""))</f>
        <v/>
      </c>
      <c r="I159" s="83">
        <f>IF($G159="","",IFERROR(IF(INDEX(設定!$E$6:$E$21,MATCH($G159,設定!$B$6:$B$21,0))=0,"",INDEX(設定!$E$6:$E$21,MATCH($G159,設定!$B$6:$B$21,0))),""))</f>
        <v/>
      </c>
      <c r="J159" s="83">
        <f>IFERROR(INDEX(打卡匯入!$C$3:$C$2002,MATCH($C159&amp;"|"&amp;DAY($A159),打卡匯入!$E$3:$E$2002,0)),"")</f>
        <v/>
      </c>
      <c r="K159" s="83">
        <f>IFERROR(INDEX(打卡匯入!$D$3:$D$2002,MATCH($C159&amp;"|"&amp;DAY($A159),打卡匯入!$E$3:$E$2002,0)),"")</f>
        <v/>
      </c>
      <c r="L159" s="84">
        <f>IF(OR($J159="",$K159=""),"",IFERROR(INDEX(設定!$F$6:$F$21,MATCH($G159,設定!$B$6:$B$21,0)),0))</f>
        <v/>
      </c>
      <c r="M159" s="85">
        <f>IF(OR($J159="",$K159=""),"",ROUND(($K159-$J159)*24-$L159/60,2))</f>
        <v/>
      </c>
      <c r="N159" s="16">
        <f>IF($C159="","",IF(AND(COUNTIF(設定!$B$15:$B$21,$G159)&gt;0,$J159&lt;&gt;""),"假日出勤",IF(AND(COUNTIF(設定!$B$6:$B$14,$G159)&gt;0,$J159=""),"未打卡",IF($J159="","",IF($O159&gt;0,"遲到",IF($P159&gt;0,"早退","正常"))))))</f>
        <v/>
      </c>
      <c r="O159" s="84">
        <f>IF(OR($C159="",$H159="",$J159=""),0,IF(ROUND(($J159-$H159)*1440,0)&gt;設定!$C$46,ROUND(($J159-$H159)*1440,0),0))</f>
        <v/>
      </c>
      <c r="P159" s="84">
        <f>IF(OR($C159="",$I159="",$K159=""),0,IF(ROUND(($I159-$K159)*1440,0)&gt;設定!$C$46,ROUND(($I159-$K159)*1440,0),0))</f>
        <v/>
      </c>
      <c r="Q159" s="85">
        <f>IF($M159="",0,IF(($M159-IFERROR(INDEX(設定!$G$6:$G$21,MATCH($G159,設定!$B$6:$B$21,0)),0))*60&gt;=設定!$C$44,ROUND(FLOOR(($M159-IFERROR(INDEX(設定!$G$6:$G$21,MATCH($G159,設定!$B$6:$B$21,0)),0))*60,設定!$C$45)/60,2),0))</f>
        <v/>
      </c>
      <c r="R159" s="16">
        <f>IF(OR($C159="",$Q159=0),"",IF($G159="國","國定假日",IF($B159="日","例假",IF($B159="六","休息日","平日"))))</f>
        <v/>
      </c>
      <c r="S159" s="19" t="n"/>
    </row>
    <row r="160">
      <c r="A160" s="82">
        <f>IF(OR(助理班表!$A10="",3&gt;DAY(EOMONTH(DATE(設定!$C$2,設定!$D$2,1),0))),"",DATE(設定!$C$2,設定!$D$2,3))</f>
        <v/>
      </c>
      <c r="B160" s="16">
        <f>IF($A160="","",INDEX(設定!$O$6:$O$12,WEEKDAY($A160,1)))</f>
        <v/>
      </c>
      <c r="C160" s="16">
        <f>IF($A160="","",助理班表!$A10)</f>
        <v/>
      </c>
      <c r="D160" s="16">
        <f>IF($C160="","",助理班表!$B10)</f>
        <v/>
      </c>
      <c r="E160" s="16">
        <f>IF($C160="","",助理班表!$D10)</f>
        <v/>
      </c>
      <c r="F160" s="16">
        <f>IF($C160="","",助理班表!$C10)</f>
        <v/>
      </c>
      <c r="G160" s="16">
        <f>IF($C160="","",助理班表!G10)</f>
        <v/>
      </c>
      <c r="H160" s="83">
        <f>IF($G160="","",IFERROR(IF(INDEX(設定!$D$6:$D$21,MATCH($G160,設定!$B$6:$B$21,0))=0,"",INDEX(設定!$D$6:$D$21,MATCH($G160,設定!$B$6:$B$21,0))),""))</f>
        <v/>
      </c>
      <c r="I160" s="83">
        <f>IF($G160="","",IFERROR(IF(INDEX(設定!$E$6:$E$21,MATCH($G160,設定!$B$6:$B$21,0))=0,"",INDEX(設定!$E$6:$E$21,MATCH($G160,設定!$B$6:$B$21,0))),""))</f>
        <v/>
      </c>
      <c r="J160" s="83">
        <f>IFERROR(INDEX(打卡匯入!$C$3:$C$2002,MATCH($C160&amp;"|"&amp;DAY($A160),打卡匯入!$E$3:$E$2002,0)),"")</f>
        <v/>
      </c>
      <c r="K160" s="83">
        <f>IFERROR(INDEX(打卡匯入!$D$3:$D$2002,MATCH($C160&amp;"|"&amp;DAY($A160),打卡匯入!$E$3:$E$2002,0)),"")</f>
        <v/>
      </c>
      <c r="L160" s="84">
        <f>IF(OR($J160="",$K160=""),"",IFERROR(INDEX(設定!$F$6:$F$21,MATCH($G160,設定!$B$6:$B$21,0)),0))</f>
        <v/>
      </c>
      <c r="M160" s="85">
        <f>IF(OR($J160="",$K160=""),"",ROUND(($K160-$J160)*24-$L160/60,2))</f>
        <v/>
      </c>
      <c r="N160" s="16">
        <f>IF($C160="","",IF(AND(COUNTIF(設定!$B$15:$B$21,$G160)&gt;0,$J160&lt;&gt;""),"假日出勤",IF(AND(COUNTIF(設定!$B$6:$B$14,$G160)&gt;0,$J160=""),"未打卡",IF($J160="","",IF($O160&gt;0,"遲到",IF($P160&gt;0,"早退","正常"))))))</f>
        <v/>
      </c>
      <c r="O160" s="84">
        <f>IF(OR($C160="",$H160="",$J160=""),0,IF(ROUND(($J160-$H160)*1440,0)&gt;設定!$C$46,ROUND(($J160-$H160)*1440,0),0))</f>
        <v/>
      </c>
      <c r="P160" s="84">
        <f>IF(OR($C160="",$I160="",$K160=""),0,IF(ROUND(($I160-$K160)*1440,0)&gt;設定!$C$46,ROUND(($I160-$K160)*1440,0),0))</f>
        <v/>
      </c>
      <c r="Q160" s="85">
        <f>IF($M160="",0,IF(($M160-IFERROR(INDEX(設定!$G$6:$G$21,MATCH($G160,設定!$B$6:$B$21,0)),0))*60&gt;=設定!$C$44,ROUND(FLOOR(($M160-IFERROR(INDEX(設定!$G$6:$G$21,MATCH($G160,設定!$B$6:$B$21,0)),0))*60,設定!$C$45)/60,2),0))</f>
        <v/>
      </c>
      <c r="R160" s="16">
        <f>IF(OR($C160="",$Q160=0),"",IF($G160="國","國定假日",IF($B160="日","例假",IF($B160="六","休息日","平日"))))</f>
        <v/>
      </c>
      <c r="S160" s="19" t="n"/>
    </row>
    <row r="161">
      <c r="A161" s="82">
        <f>IF(OR(助理班表!$A10="",4&gt;DAY(EOMONTH(DATE(設定!$C$2,設定!$D$2,1),0))),"",DATE(設定!$C$2,設定!$D$2,4))</f>
        <v/>
      </c>
      <c r="B161" s="16">
        <f>IF($A161="","",INDEX(設定!$O$6:$O$12,WEEKDAY($A161,1)))</f>
        <v/>
      </c>
      <c r="C161" s="16">
        <f>IF($A161="","",助理班表!$A10)</f>
        <v/>
      </c>
      <c r="D161" s="16">
        <f>IF($C161="","",助理班表!$B10)</f>
        <v/>
      </c>
      <c r="E161" s="16">
        <f>IF($C161="","",助理班表!$D10)</f>
        <v/>
      </c>
      <c r="F161" s="16">
        <f>IF($C161="","",助理班表!$C10)</f>
        <v/>
      </c>
      <c r="G161" s="16">
        <f>IF($C161="","",助理班表!H10)</f>
        <v/>
      </c>
      <c r="H161" s="83">
        <f>IF($G161="","",IFERROR(IF(INDEX(設定!$D$6:$D$21,MATCH($G161,設定!$B$6:$B$21,0))=0,"",INDEX(設定!$D$6:$D$21,MATCH($G161,設定!$B$6:$B$21,0))),""))</f>
        <v/>
      </c>
      <c r="I161" s="83">
        <f>IF($G161="","",IFERROR(IF(INDEX(設定!$E$6:$E$21,MATCH($G161,設定!$B$6:$B$21,0))=0,"",INDEX(設定!$E$6:$E$21,MATCH($G161,設定!$B$6:$B$21,0))),""))</f>
        <v/>
      </c>
      <c r="J161" s="83">
        <f>IFERROR(INDEX(打卡匯入!$C$3:$C$2002,MATCH($C161&amp;"|"&amp;DAY($A161),打卡匯入!$E$3:$E$2002,0)),"")</f>
        <v/>
      </c>
      <c r="K161" s="83">
        <f>IFERROR(INDEX(打卡匯入!$D$3:$D$2002,MATCH($C161&amp;"|"&amp;DAY($A161),打卡匯入!$E$3:$E$2002,0)),"")</f>
        <v/>
      </c>
      <c r="L161" s="84">
        <f>IF(OR($J161="",$K161=""),"",IFERROR(INDEX(設定!$F$6:$F$21,MATCH($G161,設定!$B$6:$B$21,0)),0))</f>
        <v/>
      </c>
      <c r="M161" s="85">
        <f>IF(OR($J161="",$K161=""),"",ROUND(($K161-$J161)*24-$L161/60,2))</f>
        <v/>
      </c>
      <c r="N161" s="16">
        <f>IF($C161="","",IF(AND(COUNTIF(設定!$B$15:$B$21,$G161)&gt;0,$J161&lt;&gt;""),"假日出勤",IF(AND(COUNTIF(設定!$B$6:$B$14,$G161)&gt;0,$J161=""),"未打卡",IF($J161="","",IF($O161&gt;0,"遲到",IF($P161&gt;0,"早退","正常"))))))</f>
        <v/>
      </c>
      <c r="O161" s="84">
        <f>IF(OR($C161="",$H161="",$J161=""),0,IF(ROUND(($J161-$H161)*1440,0)&gt;設定!$C$46,ROUND(($J161-$H161)*1440,0),0))</f>
        <v/>
      </c>
      <c r="P161" s="84">
        <f>IF(OR($C161="",$I161="",$K161=""),0,IF(ROUND(($I161-$K161)*1440,0)&gt;設定!$C$46,ROUND(($I161-$K161)*1440,0),0))</f>
        <v/>
      </c>
      <c r="Q161" s="85">
        <f>IF($M161="",0,IF(($M161-IFERROR(INDEX(設定!$G$6:$G$21,MATCH($G161,設定!$B$6:$B$21,0)),0))*60&gt;=設定!$C$44,ROUND(FLOOR(($M161-IFERROR(INDEX(設定!$G$6:$G$21,MATCH($G161,設定!$B$6:$B$21,0)),0))*60,設定!$C$45)/60,2),0))</f>
        <v/>
      </c>
      <c r="R161" s="16">
        <f>IF(OR($C161="",$Q161=0),"",IF($G161="國","國定假日",IF($B161="日","例假",IF($B161="六","休息日","平日"))))</f>
        <v/>
      </c>
      <c r="S161" s="19" t="n"/>
    </row>
    <row r="162">
      <c r="A162" s="82">
        <f>IF(OR(助理班表!$A10="",5&gt;DAY(EOMONTH(DATE(設定!$C$2,設定!$D$2,1),0))),"",DATE(設定!$C$2,設定!$D$2,5))</f>
        <v/>
      </c>
      <c r="B162" s="16">
        <f>IF($A162="","",INDEX(設定!$O$6:$O$12,WEEKDAY($A162,1)))</f>
        <v/>
      </c>
      <c r="C162" s="16">
        <f>IF($A162="","",助理班表!$A10)</f>
        <v/>
      </c>
      <c r="D162" s="16">
        <f>IF($C162="","",助理班表!$B10)</f>
        <v/>
      </c>
      <c r="E162" s="16">
        <f>IF($C162="","",助理班表!$D10)</f>
        <v/>
      </c>
      <c r="F162" s="16">
        <f>IF($C162="","",助理班表!$C10)</f>
        <v/>
      </c>
      <c r="G162" s="16">
        <f>IF($C162="","",助理班表!I10)</f>
        <v/>
      </c>
      <c r="H162" s="83">
        <f>IF($G162="","",IFERROR(IF(INDEX(設定!$D$6:$D$21,MATCH($G162,設定!$B$6:$B$21,0))=0,"",INDEX(設定!$D$6:$D$21,MATCH($G162,設定!$B$6:$B$21,0))),""))</f>
        <v/>
      </c>
      <c r="I162" s="83">
        <f>IF($G162="","",IFERROR(IF(INDEX(設定!$E$6:$E$21,MATCH($G162,設定!$B$6:$B$21,0))=0,"",INDEX(設定!$E$6:$E$21,MATCH($G162,設定!$B$6:$B$21,0))),""))</f>
        <v/>
      </c>
      <c r="J162" s="83">
        <f>IFERROR(INDEX(打卡匯入!$C$3:$C$2002,MATCH($C162&amp;"|"&amp;DAY($A162),打卡匯入!$E$3:$E$2002,0)),"")</f>
        <v/>
      </c>
      <c r="K162" s="83">
        <f>IFERROR(INDEX(打卡匯入!$D$3:$D$2002,MATCH($C162&amp;"|"&amp;DAY($A162),打卡匯入!$E$3:$E$2002,0)),"")</f>
        <v/>
      </c>
      <c r="L162" s="84">
        <f>IF(OR($J162="",$K162=""),"",IFERROR(INDEX(設定!$F$6:$F$21,MATCH($G162,設定!$B$6:$B$21,0)),0))</f>
        <v/>
      </c>
      <c r="M162" s="85">
        <f>IF(OR($J162="",$K162=""),"",ROUND(($K162-$J162)*24-$L162/60,2))</f>
        <v/>
      </c>
      <c r="N162" s="16">
        <f>IF($C162="","",IF(AND(COUNTIF(設定!$B$15:$B$21,$G162)&gt;0,$J162&lt;&gt;""),"假日出勤",IF(AND(COUNTIF(設定!$B$6:$B$14,$G162)&gt;0,$J162=""),"未打卡",IF($J162="","",IF($O162&gt;0,"遲到",IF($P162&gt;0,"早退","正常"))))))</f>
        <v/>
      </c>
      <c r="O162" s="84">
        <f>IF(OR($C162="",$H162="",$J162=""),0,IF(ROUND(($J162-$H162)*1440,0)&gt;設定!$C$46,ROUND(($J162-$H162)*1440,0),0))</f>
        <v/>
      </c>
      <c r="P162" s="84">
        <f>IF(OR($C162="",$I162="",$K162=""),0,IF(ROUND(($I162-$K162)*1440,0)&gt;設定!$C$46,ROUND(($I162-$K162)*1440,0),0))</f>
        <v/>
      </c>
      <c r="Q162" s="85">
        <f>IF($M162="",0,IF(($M162-IFERROR(INDEX(設定!$G$6:$G$21,MATCH($G162,設定!$B$6:$B$21,0)),0))*60&gt;=設定!$C$44,ROUND(FLOOR(($M162-IFERROR(INDEX(設定!$G$6:$G$21,MATCH($G162,設定!$B$6:$B$21,0)),0))*60,設定!$C$45)/60,2),0))</f>
        <v/>
      </c>
      <c r="R162" s="16">
        <f>IF(OR($C162="",$Q162=0),"",IF($G162="國","國定假日",IF($B162="日","例假",IF($B162="六","休息日","平日"))))</f>
        <v/>
      </c>
      <c r="S162" s="19" t="n"/>
    </row>
    <row r="163">
      <c r="A163" s="82">
        <f>IF(OR(助理班表!$A10="",6&gt;DAY(EOMONTH(DATE(設定!$C$2,設定!$D$2,1),0))),"",DATE(設定!$C$2,設定!$D$2,6))</f>
        <v/>
      </c>
      <c r="B163" s="16">
        <f>IF($A163="","",INDEX(設定!$O$6:$O$12,WEEKDAY($A163,1)))</f>
        <v/>
      </c>
      <c r="C163" s="16">
        <f>IF($A163="","",助理班表!$A10)</f>
        <v/>
      </c>
      <c r="D163" s="16">
        <f>IF($C163="","",助理班表!$B10)</f>
        <v/>
      </c>
      <c r="E163" s="16">
        <f>IF($C163="","",助理班表!$D10)</f>
        <v/>
      </c>
      <c r="F163" s="16">
        <f>IF($C163="","",助理班表!$C10)</f>
        <v/>
      </c>
      <c r="G163" s="16">
        <f>IF($C163="","",助理班表!J10)</f>
        <v/>
      </c>
      <c r="H163" s="83">
        <f>IF($G163="","",IFERROR(IF(INDEX(設定!$D$6:$D$21,MATCH($G163,設定!$B$6:$B$21,0))=0,"",INDEX(設定!$D$6:$D$21,MATCH($G163,設定!$B$6:$B$21,0))),""))</f>
        <v/>
      </c>
      <c r="I163" s="83">
        <f>IF($G163="","",IFERROR(IF(INDEX(設定!$E$6:$E$21,MATCH($G163,設定!$B$6:$B$21,0))=0,"",INDEX(設定!$E$6:$E$21,MATCH($G163,設定!$B$6:$B$21,0))),""))</f>
        <v/>
      </c>
      <c r="J163" s="83">
        <f>IFERROR(INDEX(打卡匯入!$C$3:$C$2002,MATCH($C163&amp;"|"&amp;DAY($A163),打卡匯入!$E$3:$E$2002,0)),"")</f>
        <v/>
      </c>
      <c r="K163" s="83">
        <f>IFERROR(INDEX(打卡匯入!$D$3:$D$2002,MATCH($C163&amp;"|"&amp;DAY($A163),打卡匯入!$E$3:$E$2002,0)),"")</f>
        <v/>
      </c>
      <c r="L163" s="84">
        <f>IF(OR($J163="",$K163=""),"",IFERROR(INDEX(設定!$F$6:$F$21,MATCH($G163,設定!$B$6:$B$21,0)),0))</f>
        <v/>
      </c>
      <c r="M163" s="85">
        <f>IF(OR($J163="",$K163=""),"",ROUND(($K163-$J163)*24-$L163/60,2))</f>
        <v/>
      </c>
      <c r="N163" s="16">
        <f>IF($C163="","",IF(AND(COUNTIF(設定!$B$15:$B$21,$G163)&gt;0,$J163&lt;&gt;""),"假日出勤",IF(AND(COUNTIF(設定!$B$6:$B$14,$G163)&gt;0,$J163=""),"未打卡",IF($J163="","",IF($O163&gt;0,"遲到",IF($P163&gt;0,"早退","正常"))))))</f>
        <v/>
      </c>
      <c r="O163" s="84">
        <f>IF(OR($C163="",$H163="",$J163=""),0,IF(ROUND(($J163-$H163)*1440,0)&gt;設定!$C$46,ROUND(($J163-$H163)*1440,0),0))</f>
        <v/>
      </c>
      <c r="P163" s="84">
        <f>IF(OR($C163="",$I163="",$K163=""),0,IF(ROUND(($I163-$K163)*1440,0)&gt;設定!$C$46,ROUND(($I163-$K163)*1440,0),0))</f>
        <v/>
      </c>
      <c r="Q163" s="85">
        <f>IF($M163="",0,IF(($M163-IFERROR(INDEX(設定!$G$6:$G$21,MATCH($G163,設定!$B$6:$B$21,0)),0))*60&gt;=設定!$C$44,ROUND(FLOOR(($M163-IFERROR(INDEX(設定!$G$6:$G$21,MATCH($G163,設定!$B$6:$B$21,0)),0))*60,設定!$C$45)/60,2),0))</f>
        <v/>
      </c>
      <c r="R163" s="16">
        <f>IF(OR($C163="",$Q163=0),"",IF($G163="國","國定假日",IF($B163="日","例假",IF($B163="六","休息日","平日"))))</f>
        <v/>
      </c>
      <c r="S163" s="19" t="n"/>
    </row>
    <row r="164">
      <c r="A164" s="82">
        <f>IF(OR(助理班表!$A10="",7&gt;DAY(EOMONTH(DATE(設定!$C$2,設定!$D$2,1),0))),"",DATE(設定!$C$2,設定!$D$2,7))</f>
        <v/>
      </c>
      <c r="B164" s="16">
        <f>IF($A164="","",INDEX(設定!$O$6:$O$12,WEEKDAY($A164,1)))</f>
        <v/>
      </c>
      <c r="C164" s="16">
        <f>IF($A164="","",助理班表!$A10)</f>
        <v/>
      </c>
      <c r="D164" s="16">
        <f>IF($C164="","",助理班表!$B10)</f>
        <v/>
      </c>
      <c r="E164" s="16">
        <f>IF($C164="","",助理班表!$D10)</f>
        <v/>
      </c>
      <c r="F164" s="16">
        <f>IF($C164="","",助理班表!$C10)</f>
        <v/>
      </c>
      <c r="G164" s="16">
        <f>IF($C164="","",助理班表!K10)</f>
        <v/>
      </c>
      <c r="H164" s="83">
        <f>IF($G164="","",IFERROR(IF(INDEX(設定!$D$6:$D$21,MATCH($G164,設定!$B$6:$B$21,0))=0,"",INDEX(設定!$D$6:$D$21,MATCH($G164,設定!$B$6:$B$21,0))),""))</f>
        <v/>
      </c>
      <c r="I164" s="83">
        <f>IF($G164="","",IFERROR(IF(INDEX(設定!$E$6:$E$21,MATCH($G164,設定!$B$6:$B$21,0))=0,"",INDEX(設定!$E$6:$E$21,MATCH($G164,設定!$B$6:$B$21,0))),""))</f>
        <v/>
      </c>
      <c r="J164" s="83">
        <f>IFERROR(INDEX(打卡匯入!$C$3:$C$2002,MATCH($C164&amp;"|"&amp;DAY($A164),打卡匯入!$E$3:$E$2002,0)),"")</f>
        <v/>
      </c>
      <c r="K164" s="83">
        <f>IFERROR(INDEX(打卡匯入!$D$3:$D$2002,MATCH($C164&amp;"|"&amp;DAY($A164),打卡匯入!$E$3:$E$2002,0)),"")</f>
        <v/>
      </c>
      <c r="L164" s="84">
        <f>IF(OR($J164="",$K164=""),"",IFERROR(INDEX(設定!$F$6:$F$21,MATCH($G164,設定!$B$6:$B$21,0)),0))</f>
        <v/>
      </c>
      <c r="M164" s="85">
        <f>IF(OR($J164="",$K164=""),"",ROUND(($K164-$J164)*24-$L164/60,2))</f>
        <v/>
      </c>
      <c r="N164" s="16">
        <f>IF($C164="","",IF(AND(COUNTIF(設定!$B$15:$B$21,$G164)&gt;0,$J164&lt;&gt;""),"假日出勤",IF(AND(COUNTIF(設定!$B$6:$B$14,$G164)&gt;0,$J164=""),"未打卡",IF($J164="","",IF($O164&gt;0,"遲到",IF($P164&gt;0,"早退","正常"))))))</f>
        <v/>
      </c>
      <c r="O164" s="84">
        <f>IF(OR($C164="",$H164="",$J164=""),0,IF(ROUND(($J164-$H164)*1440,0)&gt;設定!$C$46,ROUND(($J164-$H164)*1440,0),0))</f>
        <v/>
      </c>
      <c r="P164" s="84">
        <f>IF(OR($C164="",$I164="",$K164=""),0,IF(ROUND(($I164-$K164)*1440,0)&gt;設定!$C$46,ROUND(($I164-$K164)*1440,0),0))</f>
        <v/>
      </c>
      <c r="Q164" s="85">
        <f>IF($M164="",0,IF(($M164-IFERROR(INDEX(設定!$G$6:$G$21,MATCH($G164,設定!$B$6:$B$21,0)),0))*60&gt;=設定!$C$44,ROUND(FLOOR(($M164-IFERROR(INDEX(設定!$G$6:$G$21,MATCH($G164,設定!$B$6:$B$21,0)),0))*60,設定!$C$45)/60,2),0))</f>
        <v/>
      </c>
      <c r="R164" s="16">
        <f>IF(OR($C164="",$Q164=0),"",IF($G164="國","國定假日",IF($B164="日","例假",IF($B164="六","休息日","平日"))))</f>
        <v/>
      </c>
      <c r="S164" s="19" t="n"/>
    </row>
    <row r="165">
      <c r="A165" s="82">
        <f>IF(OR(助理班表!$A10="",8&gt;DAY(EOMONTH(DATE(設定!$C$2,設定!$D$2,1),0))),"",DATE(設定!$C$2,設定!$D$2,8))</f>
        <v/>
      </c>
      <c r="B165" s="16">
        <f>IF($A165="","",INDEX(設定!$O$6:$O$12,WEEKDAY($A165,1)))</f>
        <v/>
      </c>
      <c r="C165" s="16">
        <f>IF($A165="","",助理班表!$A10)</f>
        <v/>
      </c>
      <c r="D165" s="16">
        <f>IF($C165="","",助理班表!$B10)</f>
        <v/>
      </c>
      <c r="E165" s="16">
        <f>IF($C165="","",助理班表!$D10)</f>
        <v/>
      </c>
      <c r="F165" s="16">
        <f>IF($C165="","",助理班表!$C10)</f>
        <v/>
      </c>
      <c r="G165" s="16">
        <f>IF($C165="","",助理班表!L10)</f>
        <v/>
      </c>
      <c r="H165" s="83">
        <f>IF($G165="","",IFERROR(IF(INDEX(設定!$D$6:$D$21,MATCH($G165,設定!$B$6:$B$21,0))=0,"",INDEX(設定!$D$6:$D$21,MATCH($G165,設定!$B$6:$B$21,0))),""))</f>
        <v/>
      </c>
      <c r="I165" s="83">
        <f>IF($G165="","",IFERROR(IF(INDEX(設定!$E$6:$E$21,MATCH($G165,設定!$B$6:$B$21,0))=0,"",INDEX(設定!$E$6:$E$21,MATCH($G165,設定!$B$6:$B$21,0))),""))</f>
        <v/>
      </c>
      <c r="J165" s="83">
        <f>IFERROR(INDEX(打卡匯入!$C$3:$C$2002,MATCH($C165&amp;"|"&amp;DAY($A165),打卡匯入!$E$3:$E$2002,0)),"")</f>
        <v/>
      </c>
      <c r="K165" s="83">
        <f>IFERROR(INDEX(打卡匯入!$D$3:$D$2002,MATCH($C165&amp;"|"&amp;DAY($A165),打卡匯入!$E$3:$E$2002,0)),"")</f>
        <v/>
      </c>
      <c r="L165" s="84">
        <f>IF(OR($J165="",$K165=""),"",IFERROR(INDEX(設定!$F$6:$F$21,MATCH($G165,設定!$B$6:$B$21,0)),0))</f>
        <v/>
      </c>
      <c r="M165" s="85">
        <f>IF(OR($J165="",$K165=""),"",ROUND(($K165-$J165)*24-$L165/60,2))</f>
        <v/>
      </c>
      <c r="N165" s="16">
        <f>IF($C165="","",IF(AND(COUNTIF(設定!$B$15:$B$21,$G165)&gt;0,$J165&lt;&gt;""),"假日出勤",IF(AND(COUNTIF(設定!$B$6:$B$14,$G165)&gt;0,$J165=""),"未打卡",IF($J165="","",IF($O165&gt;0,"遲到",IF($P165&gt;0,"早退","正常"))))))</f>
        <v/>
      </c>
      <c r="O165" s="84">
        <f>IF(OR($C165="",$H165="",$J165=""),0,IF(ROUND(($J165-$H165)*1440,0)&gt;設定!$C$46,ROUND(($J165-$H165)*1440,0),0))</f>
        <v/>
      </c>
      <c r="P165" s="84">
        <f>IF(OR($C165="",$I165="",$K165=""),0,IF(ROUND(($I165-$K165)*1440,0)&gt;設定!$C$46,ROUND(($I165-$K165)*1440,0),0))</f>
        <v/>
      </c>
      <c r="Q165" s="85">
        <f>IF($M165="",0,IF(($M165-IFERROR(INDEX(設定!$G$6:$G$21,MATCH($G165,設定!$B$6:$B$21,0)),0))*60&gt;=設定!$C$44,ROUND(FLOOR(($M165-IFERROR(INDEX(設定!$G$6:$G$21,MATCH($G165,設定!$B$6:$B$21,0)),0))*60,設定!$C$45)/60,2),0))</f>
        <v/>
      </c>
      <c r="R165" s="16">
        <f>IF(OR($C165="",$Q165=0),"",IF($G165="國","國定假日",IF($B165="日","例假",IF($B165="六","休息日","平日"))))</f>
        <v/>
      </c>
      <c r="S165" s="19" t="n"/>
    </row>
    <row r="166">
      <c r="A166" s="82">
        <f>IF(OR(助理班表!$A10="",9&gt;DAY(EOMONTH(DATE(設定!$C$2,設定!$D$2,1),0))),"",DATE(設定!$C$2,設定!$D$2,9))</f>
        <v/>
      </c>
      <c r="B166" s="16">
        <f>IF($A166="","",INDEX(設定!$O$6:$O$12,WEEKDAY($A166,1)))</f>
        <v/>
      </c>
      <c r="C166" s="16">
        <f>IF($A166="","",助理班表!$A10)</f>
        <v/>
      </c>
      <c r="D166" s="16">
        <f>IF($C166="","",助理班表!$B10)</f>
        <v/>
      </c>
      <c r="E166" s="16">
        <f>IF($C166="","",助理班表!$D10)</f>
        <v/>
      </c>
      <c r="F166" s="16">
        <f>IF($C166="","",助理班表!$C10)</f>
        <v/>
      </c>
      <c r="G166" s="16">
        <f>IF($C166="","",助理班表!M10)</f>
        <v/>
      </c>
      <c r="H166" s="83">
        <f>IF($G166="","",IFERROR(IF(INDEX(設定!$D$6:$D$21,MATCH($G166,設定!$B$6:$B$21,0))=0,"",INDEX(設定!$D$6:$D$21,MATCH($G166,設定!$B$6:$B$21,0))),""))</f>
        <v/>
      </c>
      <c r="I166" s="83">
        <f>IF($G166="","",IFERROR(IF(INDEX(設定!$E$6:$E$21,MATCH($G166,設定!$B$6:$B$21,0))=0,"",INDEX(設定!$E$6:$E$21,MATCH($G166,設定!$B$6:$B$21,0))),""))</f>
        <v/>
      </c>
      <c r="J166" s="83">
        <f>IFERROR(INDEX(打卡匯入!$C$3:$C$2002,MATCH($C166&amp;"|"&amp;DAY($A166),打卡匯入!$E$3:$E$2002,0)),"")</f>
        <v/>
      </c>
      <c r="K166" s="83">
        <f>IFERROR(INDEX(打卡匯入!$D$3:$D$2002,MATCH($C166&amp;"|"&amp;DAY($A166),打卡匯入!$E$3:$E$2002,0)),"")</f>
        <v/>
      </c>
      <c r="L166" s="84">
        <f>IF(OR($J166="",$K166=""),"",IFERROR(INDEX(設定!$F$6:$F$21,MATCH($G166,設定!$B$6:$B$21,0)),0))</f>
        <v/>
      </c>
      <c r="M166" s="85">
        <f>IF(OR($J166="",$K166=""),"",ROUND(($K166-$J166)*24-$L166/60,2))</f>
        <v/>
      </c>
      <c r="N166" s="16">
        <f>IF($C166="","",IF(AND(COUNTIF(設定!$B$15:$B$21,$G166)&gt;0,$J166&lt;&gt;""),"假日出勤",IF(AND(COUNTIF(設定!$B$6:$B$14,$G166)&gt;0,$J166=""),"未打卡",IF($J166="","",IF($O166&gt;0,"遲到",IF($P166&gt;0,"早退","正常"))))))</f>
        <v/>
      </c>
      <c r="O166" s="84">
        <f>IF(OR($C166="",$H166="",$J166=""),0,IF(ROUND(($J166-$H166)*1440,0)&gt;設定!$C$46,ROUND(($J166-$H166)*1440,0),0))</f>
        <v/>
      </c>
      <c r="P166" s="84">
        <f>IF(OR($C166="",$I166="",$K166=""),0,IF(ROUND(($I166-$K166)*1440,0)&gt;設定!$C$46,ROUND(($I166-$K166)*1440,0),0))</f>
        <v/>
      </c>
      <c r="Q166" s="85">
        <f>IF($M166="",0,IF(($M166-IFERROR(INDEX(設定!$G$6:$G$21,MATCH($G166,設定!$B$6:$B$21,0)),0))*60&gt;=設定!$C$44,ROUND(FLOOR(($M166-IFERROR(INDEX(設定!$G$6:$G$21,MATCH($G166,設定!$B$6:$B$21,0)),0))*60,設定!$C$45)/60,2),0))</f>
        <v/>
      </c>
      <c r="R166" s="16">
        <f>IF(OR($C166="",$Q166=0),"",IF($G166="國","國定假日",IF($B166="日","例假",IF($B166="六","休息日","平日"))))</f>
        <v/>
      </c>
      <c r="S166" s="19" t="n"/>
    </row>
    <row r="167">
      <c r="A167" s="82">
        <f>IF(OR(助理班表!$A10="",10&gt;DAY(EOMONTH(DATE(設定!$C$2,設定!$D$2,1),0))),"",DATE(設定!$C$2,設定!$D$2,10))</f>
        <v/>
      </c>
      <c r="B167" s="16">
        <f>IF($A167="","",INDEX(設定!$O$6:$O$12,WEEKDAY($A167,1)))</f>
        <v/>
      </c>
      <c r="C167" s="16">
        <f>IF($A167="","",助理班表!$A10)</f>
        <v/>
      </c>
      <c r="D167" s="16">
        <f>IF($C167="","",助理班表!$B10)</f>
        <v/>
      </c>
      <c r="E167" s="16">
        <f>IF($C167="","",助理班表!$D10)</f>
        <v/>
      </c>
      <c r="F167" s="16">
        <f>IF($C167="","",助理班表!$C10)</f>
        <v/>
      </c>
      <c r="G167" s="16">
        <f>IF($C167="","",助理班表!N10)</f>
        <v/>
      </c>
      <c r="H167" s="83">
        <f>IF($G167="","",IFERROR(IF(INDEX(設定!$D$6:$D$21,MATCH($G167,設定!$B$6:$B$21,0))=0,"",INDEX(設定!$D$6:$D$21,MATCH($G167,設定!$B$6:$B$21,0))),""))</f>
        <v/>
      </c>
      <c r="I167" s="83">
        <f>IF($G167="","",IFERROR(IF(INDEX(設定!$E$6:$E$21,MATCH($G167,設定!$B$6:$B$21,0))=0,"",INDEX(設定!$E$6:$E$21,MATCH($G167,設定!$B$6:$B$21,0))),""))</f>
        <v/>
      </c>
      <c r="J167" s="83">
        <f>IFERROR(INDEX(打卡匯入!$C$3:$C$2002,MATCH($C167&amp;"|"&amp;DAY($A167),打卡匯入!$E$3:$E$2002,0)),"")</f>
        <v/>
      </c>
      <c r="K167" s="83">
        <f>IFERROR(INDEX(打卡匯入!$D$3:$D$2002,MATCH($C167&amp;"|"&amp;DAY($A167),打卡匯入!$E$3:$E$2002,0)),"")</f>
        <v/>
      </c>
      <c r="L167" s="84">
        <f>IF(OR($J167="",$K167=""),"",IFERROR(INDEX(設定!$F$6:$F$21,MATCH($G167,設定!$B$6:$B$21,0)),0))</f>
        <v/>
      </c>
      <c r="M167" s="85">
        <f>IF(OR($J167="",$K167=""),"",ROUND(($K167-$J167)*24-$L167/60,2))</f>
        <v/>
      </c>
      <c r="N167" s="16">
        <f>IF($C167="","",IF(AND(COUNTIF(設定!$B$15:$B$21,$G167)&gt;0,$J167&lt;&gt;""),"假日出勤",IF(AND(COUNTIF(設定!$B$6:$B$14,$G167)&gt;0,$J167=""),"未打卡",IF($J167="","",IF($O167&gt;0,"遲到",IF($P167&gt;0,"早退","正常"))))))</f>
        <v/>
      </c>
      <c r="O167" s="84">
        <f>IF(OR($C167="",$H167="",$J167=""),0,IF(ROUND(($J167-$H167)*1440,0)&gt;設定!$C$46,ROUND(($J167-$H167)*1440,0),0))</f>
        <v/>
      </c>
      <c r="P167" s="84">
        <f>IF(OR($C167="",$I167="",$K167=""),0,IF(ROUND(($I167-$K167)*1440,0)&gt;設定!$C$46,ROUND(($I167-$K167)*1440,0),0))</f>
        <v/>
      </c>
      <c r="Q167" s="85">
        <f>IF($M167="",0,IF(($M167-IFERROR(INDEX(設定!$G$6:$G$21,MATCH($G167,設定!$B$6:$B$21,0)),0))*60&gt;=設定!$C$44,ROUND(FLOOR(($M167-IFERROR(INDEX(設定!$G$6:$G$21,MATCH($G167,設定!$B$6:$B$21,0)),0))*60,設定!$C$45)/60,2),0))</f>
        <v/>
      </c>
      <c r="R167" s="16">
        <f>IF(OR($C167="",$Q167=0),"",IF($G167="國","國定假日",IF($B167="日","例假",IF($B167="六","休息日","平日"))))</f>
        <v/>
      </c>
      <c r="S167" s="19" t="n"/>
    </row>
    <row r="168">
      <c r="A168" s="82">
        <f>IF(OR(助理班表!$A10="",11&gt;DAY(EOMONTH(DATE(設定!$C$2,設定!$D$2,1),0))),"",DATE(設定!$C$2,設定!$D$2,11))</f>
        <v/>
      </c>
      <c r="B168" s="16">
        <f>IF($A168="","",INDEX(設定!$O$6:$O$12,WEEKDAY($A168,1)))</f>
        <v/>
      </c>
      <c r="C168" s="16">
        <f>IF($A168="","",助理班表!$A10)</f>
        <v/>
      </c>
      <c r="D168" s="16">
        <f>IF($C168="","",助理班表!$B10)</f>
        <v/>
      </c>
      <c r="E168" s="16">
        <f>IF($C168="","",助理班表!$D10)</f>
        <v/>
      </c>
      <c r="F168" s="16">
        <f>IF($C168="","",助理班表!$C10)</f>
        <v/>
      </c>
      <c r="G168" s="16">
        <f>IF($C168="","",助理班表!O10)</f>
        <v/>
      </c>
      <c r="H168" s="83">
        <f>IF($G168="","",IFERROR(IF(INDEX(設定!$D$6:$D$21,MATCH($G168,設定!$B$6:$B$21,0))=0,"",INDEX(設定!$D$6:$D$21,MATCH($G168,設定!$B$6:$B$21,0))),""))</f>
        <v/>
      </c>
      <c r="I168" s="83">
        <f>IF($G168="","",IFERROR(IF(INDEX(設定!$E$6:$E$21,MATCH($G168,設定!$B$6:$B$21,0))=0,"",INDEX(設定!$E$6:$E$21,MATCH($G168,設定!$B$6:$B$21,0))),""))</f>
        <v/>
      </c>
      <c r="J168" s="83">
        <f>IFERROR(INDEX(打卡匯入!$C$3:$C$2002,MATCH($C168&amp;"|"&amp;DAY($A168),打卡匯入!$E$3:$E$2002,0)),"")</f>
        <v/>
      </c>
      <c r="K168" s="83">
        <f>IFERROR(INDEX(打卡匯入!$D$3:$D$2002,MATCH($C168&amp;"|"&amp;DAY($A168),打卡匯入!$E$3:$E$2002,0)),"")</f>
        <v/>
      </c>
      <c r="L168" s="84">
        <f>IF(OR($J168="",$K168=""),"",IFERROR(INDEX(設定!$F$6:$F$21,MATCH($G168,設定!$B$6:$B$21,0)),0))</f>
        <v/>
      </c>
      <c r="M168" s="85">
        <f>IF(OR($J168="",$K168=""),"",ROUND(($K168-$J168)*24-$L168/60,2))</f>
        <v/>
      </c>
      <c r="N168" s="16">
        <f>IF($C168="","",IF(AND(COUNTIF(設定!$B$15:$B$21,$G168)&gt;0,$J168&lt;&gt;""),"假日出勤",IF(AND(COUNTIF(設定!$B$6:$B$14,$G168)&gt;0,$J168=""),"未打卡",IF($J168="","",IF($O168&gt;0,"遲到",IF($P168&gt;0,"早退","正常"))))))</f>
        <v/>
      </c>
      <c r="O168" s="84">
        <f>IF(OR($C168="",$H168="",$J168=""),0,IF(ROUND(($J168-$H168)*1440,0)&gt;設定!$C$46,ROUND(($J168-$H168)*1440,0),0))</f>
        <v/>
      </c>
      <c r="P168" s="84">
        <f>IF(OR($C168="",$I168="",$K168=""),0,IF(ROUND(($I168-$K168)*1440,0)&gt;設定!$C$46,ROUND(($I168-$K168)*1440,0),0))</f>
        <v/>
      </c>
      <c r="Q168" s="85">
        <f>IF($M168="",0,IF(($M168-IFERROR(INDEX(設定!$G$6:$G$21,MATCH($G168,設定!$B$6:$B$21,0)),0))*60&gt;=設定!$C$44,ROUND(FLOOR(($M168-IFERROR(INDEX(設定!$G$6:$G$21,MATCH($G168,設定!$B$6:$B$21,0)),0))*60,設定!$C$45)/60,2),0))</f>
        <v/>
      </c>
      <c r="R168" s="16">
        <f>IF(OR($C168="",$Q168=0),"",IF($G168="國","國定假日",IF($B168="日","例假",IF($B168="六","休息日","平日"))))</f>
        <v/>
      </c>
      <c r="S168" s="19" t="n"/>
    </row>
    <row r="169">
      <c r="A169" s="82">
        <f>IF(OR(助理班表!$A10="",12&gt;DAY(EOMONTH(DATE(設定!$C$2,設定!$D$2,1),0))),"",DATE(設定!$C$2,設定!$D$2,12))</f>
        <v/>
      </c>
      <c r="B169" s="16">
        <f>IF($A169="","",INDEX(設定!$O$6:$O$12,WEEKDAY($A169,1)))</f>
        <v/>
      </c>
      <c r="C169" s="16">
        <f>IF($A169="","",助理班表!$A10)</f>
        <v/>
      </c>
      <c r="D169" s="16">
        <f>IF($C169="","",助理班表!$B10)</f>
        <v/>
      </c>
      <c r="E169" s="16">
        <f>IF($C169="","",助理班表!$D10)</f>
        <v/>
      </c>
      <c r="F169" s="16">
        <f>IF($C169="","",助理班表!$C10)</f>
        <v/>
      </c>
      <c r="G169" s="16">
        <f>IF($C169="","",助理班表!P10)</f>
        <v/>
      </c>
      <c r="H169" s="83">
        <f>IF($G169="","",IFERROR(IF(INDEX(設定!$D$6:$D$21,MATCH($G169,設定!$B$6:$B$21,0))=0,"",INDEX(設定!$D$6:$D$21,MATCH($G169,設定!$B$6:$B$21,0))),""))</f>
        <v/>
      </c>
      <c r="I169" s="83">
        <f>IF($G169="","",IFERROR(IF(INDEX(設定!$E$6:$E$21,MATCH($G169,設定!$B$6:$B$21,0))=0,"",INDEX(設定!$E$6:$E$21,MATCH($G169,設定!$B$6:$B$21,0))),""))</f>
        <v/>
      </c>
      <c r="J169" s="83">
        <f>IFERROR(INDEX(打卡匯入!$C$3:$C$2002,MATCH($C169&amp;"|"&amp;DAY($A169),打卡匯入!$E$3:$E$2002,0)),"")</f>
        <v/>
      </c>
      <c r="K169" s="83">
        <f>IFERROR(INDEX(打卡匯入!$D$3:$D$2002,MATCH($C169&amp;"|"&amp;DAY($A169),打卡匯入!$E$3:$E$2002,0)),"")</f>
        <v/>
      </c>
      <c r="L169" s="84">
        <f>IF(OR($J169="",$K169=""),"",IFERROR(INDEX(設定!$F$6:$F$21,MATCH($G169,設定!$B$6:$B$21,0)),0))</f>
        <v/>
      </c>
      <c r="M169" s="85">
        <f>IF(OR($J169="",$K169=""),"",ROUND(($K169-$J169)*24-$L169/60,2))</f>
        <v/>
      </c>
      <c r="N169" s="16">
        <f>IF($C169="","",IF(AND(COUNTIF(設定!$B$15:$B$21,$G169)&gt;0,$J169&lt;&gt;""),"假日出勤",IF(AND(COUNTIF(設定!$B$6:$B$14,$G169)&gt;0,$J169=""),"未打卡",IF($J169="","",IF($O169&gt;0,"遲到",IF($P169&gt;0,"早退","正常"))))))</f>
        <v/>
      </c>
      <c r="O169" s="84">
        <f>IF(OR($C169="",$H169="",$J169=""),0,IF(ROUND(($J169-$H169)*1440,0)&gt;設定!$C$46,ROUND(($J169-$H169)*1440,0),0))</f>
        <v/>
      </c>
      <c r="P169" s="84">
        <f>IF(OR($C169="",$I169="",$K169=""),0,IF(ROUND(($I169-$K169)*1440,0)&gt;設定!$C$46,ROUND(($I169-$K169)*1440,0),0))</f>
        <v/>
      </c>
      <c r="Q169" s="85">
        <f>IF($M169="",0,IF(($M169-IFERROR(INDEX(設定!$G$6:$G$21,MATCH($G169,設定!$B$6:$B$21,0)),0))*60&gt;=設定!$C$44,ROUND(FLOOR(($M169-IFERROR(INDEX(設定!$G$6:$G$21,MATCH($G169,設定!$B$6:$B$21,0)),0))*60,設定!$C$45)/60,2),0))</f>
        <v/>
      </c>
      <c r="R169" s="16">
        <f>IF(OR($C169="",$Q169=0),"",IF($G169="國","國定假日",IF($B169="日","例假",IF($B169="六","休息日","平日"))))</f>
        <v/>
      </c>
      <c r="S169" s="19" t="n"/>
    </row>
    <row r="170">
      <c r="A170" s="82">
        <f>IF(OR(助理班表!$A10="",13&gt;DAY(EOMONTH(DATE(設定!$C$2,設定!$D$2,1),0))),"",DATE(設定!$C$2,設定!$D$2,13))</f>
        <v/>
      </c>
      <c r="B170" s="16">
        <f>IF($A170="","",INDEX(設定!$O$6:$O$12,WEEKDAY($A170,1)))</f>
        <v/>
      </c>
      <c r="C170" s="16">
        <f>IF($A170="","",助理班表!$A10)</f>
        <v/>
      </c>
      <c r="D170" s="16">
        <f>IF($C170="","",助理班表!$B10)</f>
        <v/>
      </c>
      <c r="E170" s="16">
        <f>IF($C170="","",助理班表!$D10)</f>
        <v/>
      </c>
      <c r="F170" s="16">
        <f>IF($C170="","",助理班表!$C10)</f>
        <v/>
      </c>
      <c r="G170" s="16">
        <f>IF($C170="","",助理班表!Q10)</f>
        <v/>
      </c>
      <c r="H170" s="83">
        <f>IF($G170="","",IFERROR(IF(INDEX(設定!$D$6:$D$21,MATCH($G170,設定!$B$6:$B$21,0))=0,"",INDEX(設定!$D$6:$D$21,MATCH($G170,設定!$B$6:$B$21,0))),""))</f>
        <v/>
      </c>
      <c r="I170" s="83">
        <f>IF($G170="","",IFERROR(IF(INDEX(設定!$E$6:$E$21,MATCH($G170,設定!$B$6:$B$21,0))=0,"",INDEX(設定!$E$6:$E$21,MATCH($G170,設定!$B$6:$B$21,0))),""))</f>
        <v/>
      </c>
      <c r="J170" s="83">
        <f>IFERROR(INDEX(打卡匯入!$C$3:$C$2002,MATCH($C170&amp;"|"&amp;DAY($A170),打卡匯入!$E$3:$E$2002,0)),"")</f>
        <v/>
      </c>
      <c r="K170" s="83">
        <f>IFERROR(INDEX(打卡匯入!$D$3:$D$2002,MATCH($C170&amp;"|"&amp;DAY($A170),打卡匯入!$E$3:$E$2002,0)),"")</f>
        <v/>
      </c>
      <c r="L170" s="84">
        <f>IF(OR($J170="",$K170=""),"",IFERROR(INDEX(設定!$F$6:$F$21,MATCH($G170,設定!$B$6:$B$21,0)),0))</f>
        <v/>
      </c>
      <c r="M170" s="85">
        <f>IF(OR($J170="",$K170=""),"",ROUND(($K170-$J170)*24-$L170/60,2))</f>
        <v/>
      </c>
      <c r="N170" s="16">
        <f>IF($C170="","",IF(AND(COUNTIF(設定!$B$15:$B$21,$G170)&gt;0,$J170&lt;&gt;""),"假日出勤",IF(AND(COUNTIF(設定!$B$6:$B$14,$G170)&gt;0,$J170=""),"未打卡",IF($J170="","",IF($O170&gt;0,"遲到",IF($P170&gt;0,"早退","正常"))))))</f>
        <v/>
      </c>
      <c r="O170" s="84">
        <f>IF(OR($C170="",$H170="",$J170=""),0,IF(ROUND(($J170-$H170)*1440,0)&gt;設定!$C$46,ROUND(($J170-$H170)*1440,0),0))</f>
        <v/>
      </c>
      <c r="P170" s="84">
        <f>IF(OR($C170="",$I170="",$K170=""),0,IF(ROUND(($I170-$K170)*1440,0)&gt;設定!$C$46,ROUND(($I170-$K170)*1440,0),0))</f>
        <v/>
      </c>
      <c r="Q170" s="85">
        <f>IF($M170="",0,IF(($M170-IFERROR(INDEX(設定!$G$6:$G$21,MATCH($G170,設定!$B$6:$B$21,0)),0))*60&gt;=設定!$C$44,ROUND(FLOOR(($M170-IFERROR(INDEX(設定!$G$6:$G$21,MATCH($G170,設定!$B$6:$B$21,0)),0))*60,設定!$C$45)/60,2),0))</f>
        <v/>
      </c>
      <c r="R170" s="16">
        <f>IF(OR($C170="",$Q170=0),"",IF($G170="國","國定假日",IF($B170="日","例假",IF($B170="六","休息日","平日"))))</f>
        <v/>
      </c>
      <c r="S170" s="19" t="n"/>
    </row>
    <row r="171">
      <c r="A171" s="82">
        <f>IF(OR(助理班表!$A10="",14&gt;DAY(EOMONTH(DATE(設定!$C$2,設定!$D$2,1),0))),"",DATE(設定!$C$2,設定!$D$2,14))</f>
        <v/>
      </c>
      <c r="B171" s="16">
        <f>IF($A171="","",INDEX(設定!$O$6:$O$12,WEEKDAY($A171,1)))</f>
        <v/>
      </c>
      <c r="C171" s="16">
        <f>IF($A171="","",助理班表!$A10)</f>
        <v/>
      </c>
      <c r="D171" s="16">
        <f>IF($C171="","",助理班表!$B10)</f>
        <v/>
      </c>
      <c r="E171" s="16">
        <f>IF($C171="","",助理班表!$D10)</f>
        <v/>
      </c>
      <c r="F171" s="16">
        <f>IF($C171="","",助理班表!$C10)</f>
        <v/>
      </c>
      <c r="G171" s="16">
        <f>IF($C171="","",助理班表!R10)</f>
        <v/>
      </c>
      <c r="H171" s="83">
        <f>IF($G171="","",IFERROR(IF(INDEX(設定!$D$6:$D$21,MATCH($G171,設定!$B$6:$B$21,0))=0,"",INDEX(設定!$D$6:$D$21,MATCH($G171,設定!$B$6:$B$21,0))),""))</f>
        <v/>
      </c>
      <c r="I171" s="83">
        <f>IF($G171="","",IFERROR(IF(INDEX(設定!$E$6:$E$21,MATCH($G171,設定!$B$6:$B$21,0))=0,"",INDEX(設定!$E$6:$E$21,MATCH($G171,設定!$B$6:$B$21,0))),""))</f>
        <v/>
      </c>
      <c r="J171" s="83">
        <f>IFERROR(INDEX(打卡匯入!$C$3:$C$2002,MATCH($C171&amp;"|"&amp;DAY($A171),打卡匯入!$E$3:$E$2002,0)),"")</f>
        <v/>
      </c>
      <c r="K171" s="83">
        <f>IFERROR(INDEX(打卡匯入!$D$3:$D$2002,MATCH($C171&amp;"|"&amp;DAY($A171),打卡匯入!$E$3:$E$2002,0)),"")</f>
        <v/>
      </c>
      <c r="L171" s="84">
        <f>IF(OR($J171="",$K171=""),"",IFERROR(INDEX(設定!$F$6:$F$21,MATCH($G171,設定!$B$6:$B$21,0)),0))</f>
        <v/>
      </c>
      <c r="M171" s="85">
        <f>IF(OR($J171="",$K171=""),"",ROUND(($K171-$J171)*24-$L171/60,2))</f>
        <v/>
      </c>
      <c r="N171" s="16">
        <f>IF($C171="","",IF(AND(COUNTIF(設定!$B$15:$B$21,$G171)&gt;0,$J171&lt;&gt;""),"假日出勤",IF(AND(COUNTIF(設定!$B$6:$B$14,$G171)&gt;0,$J171=""),"未打卡",IF($J171="","",IF($O171&gt;0,"遲到",IF($P171&gt;0,"早退","正常"))))))</f>
        <v/>
      </c>
      <c r="O171" s="84">
        <f>IF(OR($C171="",$H171="",$J171=""),0,IF(ROUND(($J171-$H171)*1440,0)&gt;設定!$C$46,ROUND(($J171-$H171)*1440,0),0))</f>
        <v/>
      </c>
      <c r="P171" s="84">
        <f>IF(OR($C171="",$I171="",$K171=""),0,IF(ROUND(($I171-$K171)*1440,0)&gt;設定!$C$46,ROUND(($I171-$K171)*1440,0),0))</f>
        <v/>
      </c>
      <c r="Q171" s="85">
        <f>IF($M171="",0,IF(($M171-IFERROR(INDEX(設定!$G$6:$G$21,MATCH($G171,設定!$B$6:$B$21,0)),0))*60&gt;=設定!$C$44,ROUND(FLOOR(($M171-IFERROR(INDEX(設定!$G$6:$G$21,MATCH($G171,設定!$B$6:$B$21,0)),0))*60,設定!$C$45)/60,2),0))</f>
        <v/>
      </c>
      <c r="R171" s="16">
        <f>IF(OR($C171="",$Q171=0),"",IF($G171="國","國定假日",IF($B171="日","例假",IF($B171="六","休息日","平日"))))</f>
        <v/>
      </c>
      <c r="S171" s="19" t="n"/>
    </row>
    <row r="172">
      <c r="A172" s="82">
        <f>IF(OR(助理班表!$A10="",15&gt;DAY(EOMONTH(DATE(設定!$C$2,設定!$D$2,1),0))),"",DATE(設定!$C$2,設定!$D$2,15))</f>
        <v/>
      </c>
      <c r="B172" s="16">
        <f>IF($A172="","",INDEX(設定!$O$6:$O$12,WEEKDAY($A172,1)))</f>
        <v/>
      </c>
      <c r="C172" s="16">
        <f>IF($A172="","",助理班表!$A10)</f>
        <v/>
      </c>
      <c r="D172" s="16">
        <f>IF($C172="","",助理班表!$B10)</f>
        <v/>
      </c>
      <c r="E172" s="16">
        <f>IF($C172="","",助理班表!$D10)</f>
        <v/>
      </c>
      <c r="F172" s="16">
        <f>IF($C172="","",助理班表!$C10)</f>
        <v/>
      </c>
      <c r="G172" s="16">
        <f>IF($C172="","",助理班表!S10)</f>
        <v/>
      </c>
      <c r="H172" s="83">
        <f>IF($G172="","",IFERROR(IF(INDEX(設定!$D$6:$D$21,MATCH($G172,設定!$B$6:$B$21,0))=0,"",INDEX(設定!$D$6:$D$21,MATCH($G172,設定!$B$6:$B$21,0))),""))</f>
        <v/>
      </c>
      <c r="I172" s="83">
        <f>IF($G172="","",IFERROR(IF(INDEX(設定!$E$6:$E$21,MATCH($G172,設定!$B$6:$B$21,0))=0,"",INDEX(設定!$E$6:$E$21,MATCH($G172,設定!$B$6:$B$21,0))),""))</f>
        <v/>
      </c>
      <c r="J172" s="83">
        <f>IFERROR(INDEX(打卡匯入!$C$3:$C$2002,MATCH($C172&amp;"|"&amp;DAY($A172),打卡匯入!$E$3:$E$2002,0)),"")</f>
        <v/>
      </c>
      <c r="K172" s="83">
        <f>IFERROR(INDEX(打卡匯入!$D$3:$D$2002,MATCH($C172&amp;"|"&amp;DAY($A172),打卡匯入!$E$3:$E$2002,0)),"")</f>
        <v/>
      </c>
      <c r="L172" s="84">
        <f>IF(OR($J172="",$K172=""),"",IFERROR(INDEX(設定!$F$6:$F$21,MATCH($G172,設定!$B$6:$B$21,0)),0))</f>
        <v/>
      </c>
      <c r="M172" s="85">
        <f>IF(OR($J172="",$K172=""),"",ROUND(($K172-$J172)*24-$L172/60,2))</f>
        <v/>
      </c>
      <c r="N172" s="16">
        <f>IF($C172="","",IF(AND(COUNTIF(設定!$B$15:$B$21,$G172)&gt;0,$J172&lt;&gt;""),"假日出勤",IF(AND(COUNTIF(設定!$B$6:$B$14,$G172)&gt;0,$J172=""),"未打卡",IF($J172="","",IF($O172&gt;0,"遲到",IF($P172&gt;0,"早退","正常"))))))</f>
        <v/>
      </c>
      <c r="O172" s="84">
        <f>IF(OR($C172="",$H172="",$J172=""),0,IF(ROUND(($J172-$H172)*1440,0)&gt;設定!$C$46,ROUND(($J172-$H172)*1440,0),0))</f>
        <v/>
      </c>
      <c r="P172" s="84">
        <f>IF(OR($C172="",$I172="",$K172=""),0,IF(ROUND(($I172-$K172)*1440,0)&gt;設定!$C$46,ROUND(($I172-$K172)*1440,0),0))</f>
        <v/>
      </c>
      <c r="Q172" s="85">
        <f>IF($M172="",0,IF(($M172-IFERROR(INDEX(設定!$G$6:$G$21,MATCH($G172,設定!$B$6:$B$21,0)),0))*60&gt;=設定!$C$44,ROUND(FLOOR(($M172-IFERROR(INDEX(設定!$G$6:$G$21,MATCH($G172,設定!$B$6:$B$21,0)),0))*60,設定!$C$45)/60,2),0))</f>
        <v/>
      </c>
      <c r="R172" s="16">
        <f>IF(OR($C172="",$Q172=0),"",IF($G172="國","國定假日",IF($B172="日","例假",IF($B172="六","休息日","平日"))))</f>
        <v/>
      </c>
      <c r="S172" s="19" t="n"/>
    </row>
    <row r="173">
      <c r="A173" s="82">
        <f>IF(OR(助理班表!$A10="",16&gt;DAY(EOMONTH(DATE(設定!$C$2,設定!$D$2,1),0))),"",DATE(設定!$C$2,設定!$D$2,16))</f>
        <v/>
      </c>
      <c r="B173" s="16">
        <f>IF($A173="","",INDEX(設定!$O$6:$O$12,WEEKDAY($A173,1)))</f>
        <v/>
      </c>
      <c r="C173" s="16">
        <f>IF($A173="","",助理班表!$A10)</f>
        <v/>
      </c>
      <c r="D173" s="16">
        <f>IF($C173="","",助理班表!$B10)</f>
        <v/>
      </c>
      <c r="E173" s="16">
        <f>IF($C173="","",助理班表!$D10)</f>
        <v/>
      </c>
      <c r="F173" s="16">
        <f>IF($C173="","",助理班表!$C10)</f>
        <v/>
      </c>
      <c r="G173" s="16">
        <f>IF($C173="","",助理班表!T10)</f>
        <v/>
      </c>
      <c r="H173" s="83">
        <f>IF($G173="","",IFERROR(IF(INDEX(設定!$D$6:$D$21,MATCH($G173,設定!$B$6:$B$21,0))=0,"",INDEX(設定!$D$6:$D$21,MATCH($G173,設定!$B$6:$B$21,0))),""))</f>
        <v/>
      </c>
      <c r="I173" s="83">
        <f>IF($G173="","",IFERROR(IF(INDEX(設定!$E$6:$E$21,MATCH($G173,設定!$B$6:$B$21,0))=0,"",INDEX(設定!$E$6:$E$21,MATCH($G173,設定!$B$6:$B$21,0))),""))</f>
        <v/>
      </c>
      <c r="J173" s="83">
        <f>IFERROR(INDEX(打卡匯入!$C$3:$C$2002,MATCH($C173&amp;"|"&amp;DAY($A173),打卡匯入!$E$3:$E$2002,0)),"")</f>
        <v/>
      </c>
      <c r="K173" s="83">
        <f>IFERROR(INDEX(打卡匯入!$D$3:$D$2002,MATCH($C173&amp;"|"&amp;DAY($A173),打卡匯入!$E$3:$E$2002,0)),"")</f>
        <v/>
      </c>
      <c r="L173" s="84">
        <f>IF(OR($J173="",$K173=""),"",IFERROR(INDEX(設定!$F$6:$F$21,MATCH($G173,設定!$B$6:$B$21,0)),0))</f>
        <v/>
      </c>
      <c r="M173" s="85">
        <f>IF(OR($J173="",$K173=""),"",ROUND(($K173-$J173)*24-$L173/60,2))</f>
        <v/>
      </c>
      <c r="N173" s="16">
        <f>IF($C173="","",IF(AND(COUNTIF(設定!$B$15:$B$21,$G173)&gt;0,$J173&lt;&gt;""),"假日出勤",IF(AND(COUNTIF(設定!$B$6:$B$14,$G173)&gt;0,$J173=""),"未打卡",IF($J173="","",IF($O173&gt;0,"遲到",IF($P173&gt;0,"早退","正常"))))))</f>
        <v/>
      </c>
      <c r="O173" s="84">
        <f>IF(OR($C173="",$H173="",$J173=""),0,IF(ROUND(($J173-$H173)*1440,0)&gt;設定!$C$46,ROUND(($J173-$H173)*1440,0),0))</f>
        <v/>
      </c>
      <c r="P173" s="84">
        <f>IF(OR($C173="",$I173="",$K173=""),0,IF(ROUND(($I173-$K173)*1440,0)&gt;設定!$C$46,ROUND(($I173-$K173)*1440,0),0))</f>
        <v/>
      </c>
      <c r="Q173" s="85">
        <f>IF($M173="",0,IF(($M173-IFERROR(INDEX(設定!$G$6:$G$21,MATCH($G173,設定!$B$6:$B$21,0)),0))*60&gt;=設定!$C$44,ROUND(FLOOR(($M173-IFERROR(INDEX(設定!$G$6:$G$21,MATCH($G173,設定!$B$6:$B$21,0)),0))*60,設定!$C$45)/60,2),0))</f>
        <v/>
      </c>
      <c r="R173" s="16">
        <f>IF(OR($C173="",$Q173=0),"",IF($G173="國","國定假日",IF($B173="日","例假",IF($B173="六","休息日","平日"))))</f>
        <v/>
      </c>
      <c r="S173" s="19" t="n"/>
    </row>
    <row r="174">
      <c r="A174" s="82">
        <f>IF(OR(助理班表!$A10="",17&gt;DAY(EOMONTH(DATE(設定!$C$2,設定!$D$2,1),0))),"",DATE(設定!$C$2,設定!$D$2,17))</f>
        <v/>
      </c>
      <c r="B174" s="16">
        <f>IF($A174="","",INDEX(設定!$O$6:$O$12,WEEKDAY($A174,1)))</f>
        <v/>
      </c>
      <c r="C174" s="16">
        <f>IF($A174="","",助理班表!$A10)</f>
        <v/>
      </c>
      <c r="D174" s="16">
        <f>IF($C174="","",助理班表!$B10)</f>
        <v/>
      </c>
      <c r="E174" s="16">
        <f>IF($C174="","",助理班表!$D10)</f>
        <v/>
      </c>
      <c r="F174" s="16">
        <f>IF($C174="","",助理班表!$C10)</f>
        <v/>
      </c>
      <c r="G174" s="16">
        <f>IF($C174="","",助理班表!U10)</f>
        <v/>
      </c>
      <c r="H174" s="83">
        <f>IF($G174="","",IFERROR(IF(INDEX(設定!$D$6:$D$21,MATCH($G174,設定!$B$6:$B$21,0))=0,"",INDEX(設定!$D$6:$D$21,MATCH($G174,設定!$B$6:$B$21,0))),""))</f>
        <v/>
      </c>
      <c r="I174" s="83">
        <f>IF($G174="","",IFERROR(IF(INDEX(設定!$E$6:$E$21,MATCH($G174,設定!$B$6:$B$21,0))=0,"",INDEX(設定!$E$6:$E$21,MATCH($G174,設定!$B$6:$B$21,0))),""))</f>
        <v/>
      </c>
      <c r="J174" s="83">
        <f>IFERROR(INDEX(打卡匯入!$C$3:$C$2002,MATCH($C174&amp;"|"&amp;DAY($A174),打卡匯入!$E$3:$E$2002,0)),"")</f>
        <v/>
      </c>
      <c r="K174" s="83">
        <f>IFERROR(INDEX(打卡匯入!$D$3:$D$2002,MATCH($C174&amp;"|"&amp;DAY($A174),打卡匯入!$E$3:$E$2002,0)),"")</f>
        <v/>
      </c>
      <c r="L174" s="84">
        <f>IF(OR($J174="",$K174=""),"",IFERROR(INDEX(設定!$F$6:$F$21,MATCH($G174,設定!$B$6:$B$21,0)),0))</f>
        <v/>
      </c>
      <c r="M174" s="85">
        <f>IF(OR($J174="",$K174=""),"",ROUND(($K174-$J174)*24-$L174/60,2))</f>
        <v/>
      </c>
      <c r="N174" s="16">
        <f>IF($C174="","",IF(AND(COUNTIF(設定!$B$15:$B$21,$G174)&gt;0,$J174&lt;&gt;""),"假日出勤",IF(AND(COUNTIF(設定!$B$6:$B$14,$G174)&gt;0,$J174=""),"未打卡",IF($J174="","",IF($O174&gt;0,"遲到",IF($P174&gt;0,"早退","正常"))))))</f>
        <v/>
      </c>
      <c r="O174" s="84">
        <f>IF(OR($C174="",$H174="",$J174=""),0,IF(ROUND(($J174-$H174)*1440,0)&gt;設定!$C$46,ROUND(($J174-$H174)*1440,0),0))</f>
        <v/>
      </c>
      <c r="P174" s="84">
        <f>IF(OR($C174="",$I174="",$K174=""),0,IF(ROUND(($I174-$K174)*1440,0)&gt;設定!$C$46,ROUND(($I174-$K174)*1440,0),0))</f>
        <v/>
      </c>
      <c r="Q174" s="85">
        <f>IF($M174="",0,IF(($M174-IFERROR(INDEX(設定!$G$6:$G$21,MATCH($G174,設定!$B$6:$B$21,0)),0))*60&gt;=設定!$C$44,ROUND(FLOOR(($M174-IFERROR(INDEX(設定!$G$6:$G$21,MATCH($G174,設定!$B$6:$B$21,0)),0))*60,設定!$C$45)/60,2),0))</f>
        <v/>
      </c>
      <c r="R174" s="16">
        <f>IF(OR($C174="",$Q174=0),"",IF($G174="國","國定假日",IF($B174="日","例假",IF($B174="六","休息日","平日"))))</f>
        <v/>
      </c>
      <c r="S174" s="19" t="n"/>
    </row>
    <row r="175">
      <c r="A175" s="82">
        <f>IF(OR(助理班表!$A10="",18&gt;DAY(EOMONTH(DATE(設定!$C$2,設定!$D$2,1),0))),"",DATE(設定!$C$2,設定!$D$2,18))</f>
        <v/>
      </c>
      <c r="B175" s="16">
        <f>IF($A175="","",INDEX(設定!$O$6:$O$12,WEEKDAY($A175,1)))</f>
        <v/>
      </c>
      <c r="C175" s="16">
        <f>IF($A175="","",助理班表!$A10)</f>
        <v/>
      </c>
      <c r="D175" s="16">
        <f>IF($C175="","",助理班表!$B10)</f>
        <v/>
      </c>
      <c r="E175" s="16">
        <f>IF($C175="","",助理班表!$D10)</f>
        <v/>
      </c>
      <c r="F175" s="16">
        <f>IF($C175="","",助理班表!$C10)</f>
        <v/>
      </c>
      <c r="G175" s="16">
        <f>IF($C175="","",助理班表!V10)</f>
        <v/>
      </c>
      <c r="H175" s="83">
        <f>IF($G175="","",IFERROR(IF(INDEX(設定!$D$6:$D$21,MATCH($G175,設定!$B$6:$B$21,0))=0,"",INDEX(設定!$D$6:$D$21,MATCH($G175,設定!$B$6:$B$21,0))),""))</f>
        <v/>
      </c>
      <c r="I175" s="83">
        <f>IF($G175="","",IFERROR(IF(INDEX(設定!$E$6:$E$21,MATCH($G175,設定!$B$6:$B$21,0))=0,"",INDEX(設定!$E$6:$E$21,MATCH($G175,設定!$B$6:$B$21,0))),""))</f>
        <v/>
      </c>
      <c r="J175" s="83">
        <f>IFERROR(INDEX(打卡匯入!$C$3:$C$2002,MATCH($C175&amp;"|"&amp;DAY($A175),打卡匯入!$E$3:$E$2002,0)),"")</f>
        <v/>
      </c>
      <c r="K175" s="83">
        <f>IFERROR(INDEX(打卡匯入!$D$3:$D$2002,MATCH($C175&amp;"|"&amp;DAY($A175),打卡匯入!$E$3:$E$2002,0)),"")</f>
        <v/>
      </c>
      <c r="L175" s="84">
        <f>IF(OR($J175="",$K175=""),"",IFERROR(INDEX(設定!$F$6:$F$21,MATCH($G175,設定!$B$6:$B$21,0)),0))</f>
        <v/>
      </c>
      <c r="M175" s="85">
        <f>IF(OR($J175="",$K175=""),"",ROUND(($K175-$J175)*24-$L175/60,2))</f>
        <v/>
      </c>
      <c r="N175" s="16">
        <f>IF($C175="","",IF(AND(COUNTIF(設定!$B$15:$B$21,$G175)&gt;0,$J175&lt;&gt;""),"假日出勤",IF(AND(COUNTIF(設定!$B$6:$B$14,$G175)&gt;0,$J175=""),"未打卡",IF($J175="","",IF($O175&gt;0,"遲到",IF($P175&gt;0,"早退","正常"))))))</f>
        <v/>
      </c>
      <c r="O175" s="84">
        <f>IF(OR($C175="",$H175="",$J175=""),0,IF(ROUND(($J175-$H175)*1440,0)&gt;設定!$C$46,ROUND(($J175-$H175)*1440,0),0))</f>
        <v/>
      </c>
      <c r="P175" s="84">
        <f>IF(OR($C175="",$I175="",$K175=""),0,IF(ROUND(($I175-$K175)*1440,0)&gt;設定!$C$46,ROUND(($I175-$K175)*1440,0),0))</f>
        <v/>
      </c>
      <c r="Q175" s="85">
        <f>IF($M175="",0,IF(($M175-IFERROR(INDEX(設定!$G$6:$G$21,MATCH($G175,設定!$B$6:$B$21,0)),0))*60&gt;=設定!$C$44,ROUND(FLOOR(($M175-IFERROR(INDEX(設定!$G$6:$G$21,MATCH($G175,設定!$B$6:$B$21,0)),0))*60,設定!$C$45)/60,2),0))</f>
        <v/>
      </c>
      <c r="R175" s="16">
        <f>IF(OR($C175="",$Q175=0),"",IF($G175="國","國定假日",IF($B175="日","例假",IF($B175="六","休息日","平日"))))</f>
        <v/>
      </c>
      <c r="S175" s="19" t="n"/>
    </row>
    <row r="176">
      <c r="A176" s="82">
        <f>IF(OR(助理班表!$A10="",19&gt;DAY(EOMONTH(DATE(設定!$C$2,設定!$D$2,1),0))),"",DATE(設定!$C$2,設定!$D$2,19))</f>
        <v/>
      </c>
      <c r="B176" s="16">
        <f>IF($A176="","",INDEX(設定!$O$6:$O$12,WEEKDAY($A176,1)))</f>
        <v/>
      </c>
      <c r="C176" s="16">
        <f>IF($A176="","",助理班表!$A10)</f>
        <v/>
      </c>
      <c r="D176" s="16">
        <f>IF($C176="","",助理班表!$B10)</f>
        <v/>
      </c>
      <c r="E176" s="16">
        <f>IF($C176="","",助理班表!$D10)</f>
        <v/>
      </c>
      <c r="F176" s="16">
        <f>IF($C176="","",助理班表!$C10)</f>
        <v/>
      </c>
      <c r="G176" s="16">
        <f>IF($C176="","",助理班表!W10)</f>
        <v/>
      </c>
      <c r="H176" s="83">
        <f>IF($G176="","",IFERROR(IF(INDEX(設定!$D$6:$D$21,MATCH($G176,設定!$B$6:$B$21,0))=0,"",INDEX(設定!$D$6:$D$21,MATCH($G176,設定!$B$6:$B$21,0))),""))</f>
        <v/>
      </c>
      <c r="I176" s="83">
        <f>IF($G176="","",IFERROR(IF(INDEX(設定!$E$6:$E$21,MATCH($G176,設定!$B$6:$B$21,0))=0,"",INDEX(設定!$E$6:$E$21,MATCH($G176,設定!$B$6:$B$21,0))),""))</f>
        <v/>
      </c>
      <c r="J176" s="83">
        <f>IFERROR(INDEX(打卡匯入!$C$3:$C$2002,MATCH($C176&amp;"|"&amp;DAY($A176),打卡匯入!$E$3:$E$2002,0)),"")</f>
        <v/>
      </c>
      <c r="K176" s="83">
        <f>IFERROR(INDEX(打卡匯入!$D$3:$D$2002,MATCH($C176&amp;"|"&amp;DAY($A176),打卡匯入!$E$3:$E$2002,0)),"")</f>
        <v/>
      </c>
      <c r="L176" s="84">
        <f>IF(OR($J176="",$K176=""),"",IFERROR(INDEX(設定!$F$6:$F$21,MATCH($G176,設定!$B$6:$B$21,0)),0))</f>
        <v/>
      </c>
      <c r="M176" s="85">
        <f>IF(OR($J176="",$K176=""),"",ROUND(($K176-$J176)*24-$L176/60,2))</f>
        <v/>
      </c>
      <c r="N176" s="16">
        <f>IF($C176="","",IF(AND(COUNTIF(設定!$B$15:$B$21,$G176)&gt;0,$J176&lt;&gt;""),"假日出勤",IF(AND(COUNTIF(設定!$B$6:$B$14,$G176)&gt;0,$J176=""),"未打卡",IF($J176="","",IF($O176&gt;0,"遲到",IF($P176&gt;0,"早退","正常"))))))</f>
        <v/>
      </c>
      <c r="O176" s="84">
        <f>IF(OR($C176="",$H176="",$J176=""),0,IF(ROUND(($J176-$H176)*1440,0)&gt;設定!$C$46,ROUND(($J176-$H176)*1440,0),0))</f>
        <v/>
      </c>
      <c r="P176" s="84">
        <f>IF(OR($C176="",$I176="",$K176=""),0,IF(ROUND(($I176-$K176)*1440,0)&gt;設定!$C$46,ROUND(($I176-$K176)*1440,0),0))</f>
        <v/>
      </c>
      <c r="Q176" s="85">
        <f>IF($M176="",0,IF(($M176-IFERROR(INDEX(設定!$G$6:$G$21,MATCH($G176,設定!$B$6:$B$21,0)),0))*60&gt;=設定!$C$44,ROUND(FLOOR(($M176-IFERROR(INDEX(設定!$G$6:$G$21,MATCH($G176,設定!$B$6:$B$21,0)),0))*60,設定!$C$45)/60,2),0))</f>
        <v/>
      </c>
      <c r="R176" s="16">
        <f>IF(OR($C176="",$Q176=0),"",IF($G176="國","國定假日",IF($B176="日","例假",IF($B176="六","休息日","平日"))))</f>
        <v/>
      </c>
      <c r="S176" s="19" t="n"/>
    </row>
    <row r="177">
      <c r="A177" s="82">
        <f>IF(OR(助理班表!$A10="",20&gt;DAY(EOMONTH(DATE(設定!$C$2,設定!$D$2,1),0))),"",DATE(設定!$C$2,設定!$D$2,20))</f>
        <v/>
      </c>
      <c r="B177" s="16">
        <f>IF($A177="","",INDEX(設定!$O$6:$O$12,WEEKDAY($A177,1)))</f>
        <v/>
      </c>
      <c r="C177" s="16">
        <f>IF($A177="","",助理班表!$A10)</f>
        <v/>
      </c>
      <c r="D177" s="16">
        <f>IF($C177="","",助理班表!$B10)</f>
        <v/>
      </c>
      <c r="E177" s="16">
        <f>IF($C177="","",助理班表!$D10)</f>
        <v/>
      </c>
      <c r="F177" s="16">
        <f>IF($C177="","",助理班表!$C10)</f>
        <v/>
      </c>
      <c r="G177" s="16">
        <f>IF($C177="","",助理班表!X10)</f>
        <v/>
      </c>
      <c r="H177" s="83">
        <f>IF($G177="","",IFERROR(IF(INDEX(設定!$D$6:$D$21,MATCH($G177,設定!$B$6:$B$21,0))=0,"",INDEX(設定!$D$6:$D$21,MATCH($G177,設定!$B$6:$B$21,0))),""))</f>
        <v/>
      </c>
      <c r="I177" s="83">
        <f>IF($G177="","",IFERROR(IF(INDEX(設定!$E$6:$E$21,MATCH($G177,設定!$B$6:$B$21,0))=0,"",INDEX(設定!$E$6:$E$21,MATCH($G177,設定!$B$6:$B$21,0))),""))</f>
        <v/>
      </c>
      <c r="J177" s="83">
        <f>IFERROR(INDEX(打卡匯入!$C$3:$C$2002,MATCH($C177&amp;"|"&amp;DAY($A177),打卡匯入!$E$3:$E$2002,0)),"")</f>
        <v/>
      </c>
      <c r="K177" s="83">
        <f>IFERROR(INDEX(打卡匯入!$D$3:$D$2002,MATCH($C177&amp;"|"&amp;DAY($A177),打卡匯入!$E$3:$E$2002,0)),"")</f>
        <v/>
      </c>
      <c r="L177" s="84">
        <f>IF(OR($J177="",$K177=""),"",IFERROR(INDEX(設定!$F$6:$F$21,MATCH($G177,設定!$B$6:$B$21,0)),0))</f>
        <v/>
      </c>
      <c r="M177" s="85">
        <f>IF(OR($J177="",$K177=""),"",ROUND(($K177-$J177)*24-$L177/60,2))</f>
        <v/>
      </c>
      <c r="N177" s="16">
        <f>IF($C177="","",IF(AND(COUNTIF(設定!$B$15:$B$21,$G177)&gt;0,$J177&lt;&gt;""),"假日出勤",IF(AND(COUNTIF(設定!$B$6:$B$14,$G177)&gt;0,$J177=""),"未打卡",IF($J177="","",IF($O177&gt;0,"遲到",IF($P177&gt;0,"早退","正常"))))))</f>
        <v/>
      </c>
      <c r="O177" s="84">
        <f>IF(OR($C177="",$H177="",$J177=""),0,IF(ROUND(($J177-$H177)*1440,0)&gt;設定!$C$46,ROUND(($J177-$H177)*1440,0),0))</f>
        <v/>
      </c>
      <c r="P177" s="84">
        <f>IF(OR($C177="",$I177="",$K177=""),0,IF(ROUND(($I177-$K177)*1440,0)&gt;設定!$C$46,ROUND(($I177-$K177)*1440,0),0))</f>
        <v/>
      </c>
      <c r="Q177" s="85">
        <f>IF($M177="",0,IF(($M177-IFERROR(INDEX(設定!$G$6:$G$21,MATCH($G177,設定!$B$6:$B$21,0)),0))*60&gt;=設定!$C$44,ROUND(FLOOR(($M177-IFERROR(INDEX(設定!$G$6:$G$21,MATCH($G177,設定!$B$6:$B$21,0)),0))*60,設定!$C$45)/60,2),0))</f>
        <v/>
      </c>
      <c r="R177" s="16">
        <f>IF(OR($C177="",$Q177=0),"",IF($G177="國","國定假日",IF($B177="日","例假",IF($B177="六","休息日","平日"))))</f>
        <v/>
      </c>
      <c r="S177" s="19" t="n"/>
    </row>
    <row r="178">
      <c r="A178" s="82">
        <f>IF(OR(助理班表!$A10="",21&gt;DAY(EOMONTH(DATE(設定!$C$2,設定!$D$2,1),0))),"",DATE(設定!$C$2,設定!$D$2,21))</f>
        <v/>
      </c>
      <c r="B178" s="16">
        <f>IF($A178="","",INDEX(設定!$O$6:$O$12,WEEKDAY($A178,1)))</f>
        <v/>
      </c>
      <c r="C178" s="16">
        <f>IF($A178="","",助理班表!$A10)</f>
        <v/>
      </c>
      <c r="D178" s="16">
        <f>IF($C178="","",助理班表!$B10)</f>
        <v/>
      </c>
      <c r="E178" s="16">
        <f>IF($C178="","",助理班表!$D10)</f>
        <v/>
      </c>
      <c r="F178" s="16">
        <f>IF($C178="","",助理班表!$C10)</f>
        <v/>
      </c>
      <c r="G178" s="16">
        <f>IF($C178="","",助理班表!Y10)</f>
        <v/>
      </c>
      <c r="H178" s="83">
        <f>IF($G178="","",IFERROR(IF(INDEX(設定!$D$6:$D$21,MATCH($G178,設定!$B$6:$B$21,0))=0,"",INDEX(設定!$D$6:$D$21,MATCH($G178,設定!$B$6:$B$21,0))),""))</f>
        <v/>
      </c>
      <c r="I178" s="83">
        <f>IF($G178="","",IFERROR(IF(INDEX(設定!$E$6:$E$21,MATCH($G178,設定!$B$6:$B$21,0))=0,"",INDEX(設定!$E$6:$E$21,MATCH($G178,設定!$B$6:$B$21,0))),""))</f>
        <v/>
      </c>
      <c r="J178" s="83">
        <f>IFERROR(INDEX(打卡匯入!$C$3:$C$2002,MATCH($C178&amp;"|"&amp;DAY($A178),打卡匯入!$E$3:$E$2002,0)),"")</f>
        <v/>
      </c>
      <c r="K178" s="83">
        <f>IFERROR(INDEX(打卡匯入!$D$3:$D$2002,MATCH($C178&amp;"|"&amp;DAY($A178),打卡匯入!$E$3:$E$2002,0)),"")</f>
        <v/>
      </c>
      <c r="L178" s="84">
        <f>IF(OR($J178="",$K178=""),"",IFERROR(INDEX(設定!$F$6:$F$21,MATCH($G178,設定!$B$6:$B$21,0)),0))</f>
        <v/>
      </c>
      <c r="M178" s="85">
        <f>IF(OR($J178="",$K178=""),"",ROUND(($K178-$J178)*24-$L178/60,2))</f>
        <v/>
      </c>
      <c r="N178" s="16">
        <f>IF($C178="","",IF(AND(COUNTIF(設定!$B$15:$B$21,$G178)&gt;0,$J178&lt;&gt;""),"假日出勤",IF(AND(COUNTIF(設定!$B$6:$B$14,$G178)&gt;0,$J178=""),"未打卡",IF($J178="","",IF($O178&gt;0,"遲到",IF($P178&gt;0,"早退","正常"))))))</f>
        <v/>
      </c>
      <c r="O178" s="84">
        <f>IF(OR($C178="",$H178="",$J178=""),0,IF(ROUND(($J178-$H178)*1440,0)&gt;設定!$C$46,ROUND(($J178-$H178)*1440,0),0))</f>
        <v/>
      </c>
      <c r="P178" s="84">
        <f>IF(OR($C178="",$I178="",$K178=""),0,IF(ROUND(($I178-$K178)*1440,0)&gt;設定!$C$46,ROUND(($I178-$K178)*1440,0),0))</f>
        <v/>
      </c>
      <c r="Q178" s="85">
        <f>IF($M178="",0,IF(($M178-IFERROR(INDEX(設定!$G$6:$G$21,MATCH($G178,設定!$B$6:$B$21,0)),0))*60&gt;=設定!$C$44,ROUND(FLOOR(($M178-IFERROR(INDEX(設定!$G$6:$G$21,MATCH($G178,設定!$B$6:$B$21,0)),0))*60,設定!$C$45)/60,2),0))</f>
        <v/>
      </c>
      <c r="R178" s="16">
        <f>IF(OR($C178="",$Q178=0),"",IF($G178="國","國定假日",IF($B178="日","例假",IF($B178="六","休息日","平日"))))</f>
        <v/>
      </c>
      <c r="S178" s="19" t="n"/>
    </row>
    <row r="179">
      <c r="A179" s="82">
        <f>IF(OR(助理班表!$A10="",22&gt;DAY(EOMONTH(DATE(設定!$C$2,設定!$D$2,1),0))),"",DATE(設定!$C$2,設定!$D$2,22))</f>
        <v/>
      </c>
      <c r="B179" s="16">
        <f>IF($A179="","",INDEX(設定!$O$6:$O$12,WEEKDAY($A179,1)))</f>
        <v/>
      </c>
      <c r="C179" s="16">
        <f>IF($A179="","",助理班表!$A10)</f>
        <v/>
      </c>
      <c r="D179" s="16">
        <f>IF($C179="","",助理班表!$B10)</f>
        <v/>
      </c>
      <c r="E179" s="16">
        <f>IF($C179="","",助理班表!$D10)</f>
        <v/>
      </c>
      <c r="F179" s="16">
        <f>IF($C179="","",助理班表!$C10)</f>
        <v/>
      </c>
      <c r="G179" s="16">
        <f>IF($C179="","",助理班表!Z10)</f>
        <v/>
      </c>
      <c r="H179" s="83">
        <f>IF($G179="","",IFERROR(IF(INDEX(設定!$D$6:$D$21,MATCH($G179,設定!$B$6:$B$21,0))=0,"",INDEX(設定!$D$6:$D$21,MATCH($G179,設定!$B$6:$B$21,0))),""))</f>
        <v/>
      </c>
      <c r="I179" s="83">
        <f>IF($G179="","",IFERROR(IF(INDEX(設定!$E$6:$E$21,MATCH($G179,設定!$B$6:$B$21,0))=0,"",INDEX(設定!$E$6:$E$21,MATCH($G179,設定!$B$6:$B$21,0))),""))</f>
        <v/>
      </c>
      <c r="J179" s="83">
        <f>IFERROR(INDEX(打卡匯入!$C$3:$C$2002,MATCH($C179&amp;"|"&amp;DAY($A179),打卡匯入!$E$3:$E$2002,0)),"")</f>
        <v/>
      </c>
      <c r="K179" s="83">
        <f>IFERROR(INDEX(打卡匯入!$D$3:$D$2002,MATCH($C179&amp;"|"&amp;DAY($A179),打卡匯入!$E$3:$E$2002,0)),"")</f>
        <v/>
      </c>
      <c r="L179" s="84">
        <f>IF(OR($J179="",$K179=""),"",IFERROR(INDEX(設定!$F$6:$F$21,MATCH($G179,設定!$B$6:$B$21,0)),0))</f>
        <v/>
      </c>
      <c r="M179" s="85">
        <f>IF(OR($J179="",$K179=""),"",ROUND(($K179-$J179)*24-$L179/60,2))</f>
        <v/>
      </c>
      <c r="N179" s="16">
        <f>IF($C179="","",IF(AND(COUNTIF(設定!$B$15:$B$21,$G179)&gt;0,$J179&lt;&gt;""),"假日出勤",IF(AND(COUNTIF(設定!$B$6:$B$14,$G179)&gt;0,$J179=""),"未打卡",IF($J179="","",IF($O179&gt;0,"遲到",IF($P179&gt;0,"早退","正常"))))))</f>
        <v/>
      </c>
      <c r="O179" s="84">
        <f>IF(OR($C179="",$H179="",$J179=""),0,IF(ROUND(($J179-$H179)*1440,0)&gt;設定!$C$46,ROUND(($J179-$H179)*1440,0),0))</f>
        <v/>
      </c>
      <c r="P179" s="84">
        <f>IF(OR($C179="",$I179="",$K179=""),0,IF(ROUND(($I179-$K179)*1440,0)&gt;設定!$C$46,ROUND(($I179-$K179)*1440,0),0))</f>
        <v/>
      </c>
      <c r="Q179" s="85">
        <f>IF($M179="",0,IF(($M179-IFERROR(INDEX(設定!$G$6:$G$21,MATCH($G179,設定!$B$6:$B$21,0)),0))*60&gt;=設定!$C$44,ROUND(FLOOR(($M179-IFERROR(INDEX(設定!$G$6:$G$21,MATCH($G179,設定!$B$6:$B$21,0)),0))*60,設定!$C$45)/60,2),0))</f>
        <v/>
      </c>
      <c r="R179" s="16">
        <f>IF(OR($C179="",$Q179=0),"",IF($G179="國","國定假日",IF($B179="日","例假",IF($B179="六","休息日","平日"))))</f>
        <v/>
      </c>
      <c r="S179" s="19" t="n"/>
    </row>
    <row r="180">
      <c r="A180" s="82">
        <f>IF(OR(助理班表!$A10="",23&gt;DAY(EOMONTH(DATE(設定!$C$2,設定!$D$2,1),0))),"",DATE(設定!$C$2,設定!$D$2,23))</f>
        <v/>
      </c>
      <c r="B180" s="16">
        <f>IF($A180="","",INDEX(設定!$O$6:$O$12,WEEKDAY($A180,1)))</f>
        <v/>
      </c>
      <c r="C180" s="16">
        <f>IF($A180="","",助理班表!$A10)</f>
        <v/>
      </c>
      <c r="D180" s="16">
        <f>IF($C180="","",助理班表!$B10)</f>
        <v/>
      </c>
      <c r="E180" s="16">
        <f>IF($C180="","",助理班表!$D10)</f>
        <v/>
      </c>
      <c r="F180" s="16">
        <f>IF($C180="","",助理班表!$C10)</f>
        <v/>
      </c>
      <c r="G180" s="16">
        <f>IF($C180="","",助理班表!AA10)</f>
        <v/>
      </c>
      <c r="H180" s="83">
        <f>IF($G180="","",IFERROR(IF(INDEX(設定!$D$6:$D$21,MATCH($G180,設定!$B$6:$B$21,0))=0,"",INDEX(設定!$D$6:$D$21,MATCH($G180,設定!$B$6:$B$21,0))),""))</f>
        <v/>
      </c>
      <c r="I180" s="83">
        <f>IF($G180="","",IFERROR(IF(INDEX(設定!$E$6:$E$21,MATCH($G180,設定!$B$6:$B$21,0))=0,"",INDEX(設定!$E$6:$E$21,MATCH($G180,設定!$B$6:$B$21,0))),""))</f>
        <v/>
      </c>
      <c r="J180" s="83">
        <f>IFERROR(INDEX(打卡匯入!$C$3:$C$2002,MATCH($C180&amp;"|"&amp;DAY($A180),打卡匯入!$E$3:$E$2002,0)),"")</f>
        <v/>
      </c>
      <c r="K180" s="83">
        <f>IFERROR(INDEX(打卡匯入!$D$3:$D$2002,MATCH($C180&amp;"|"&amp;DAY($A180),打卡匯入!$E$3:$E$2002,0)),"")</f>
        <v/>
      </c>
      <c r="L180" s="84">
        <f>IF(OR($J180="",$K180=""),"",IFERROR(INDEX(設定!$F$6:$F$21,MATCH($G180,設定!$B$6:$B$21,0)),0))</f>
        <v/>
      </c>
      <c r="M180" s="85">
        <f>IF(OR($J180="",$K180=""),"",ROUND(($K180-$J180)*24-$L180/60,2))</f>
        <v/>
      </c>
      <c r="N180" s="16">
        <f>IF($C180="","",IF(AND(COUNTIF(設定!$B$15:$B$21,$G180)&gt;0,$J180&lt;&gt;""),"假日出勤",IF(AND(COUNTIF(設定!$B$6:$B$14,$G180)&gt;0,$J180=""),"未打卡",IF($J180="","",IF($O180&gt;0,"遲到",IF($P180&gt;0,"早退","正常"))))))</f>
        <v/>
      </c>
      <c r="O180" s="84">
        <f>IF(OR($C180="",$H180="",$J180=""),0,IF(ROUND(($J180-$H180)*1440,0)&gt;設定!$C$46,ROUND(($J180-$H180)*1440,0),0))</f>
        <v/>
      </c>
      <c r="P180" s="84">
        <f>IF(OR($C180="",$I180="",$K180=""),0,IF(ROUND(($I180-$K180)*1440,0)&gt;設定!$C$46,ROUND(($I180-$K180)*1440,0),0))</f>
        <v/>
      </c>
      <c r="Q180" s="85">
        <f>IF($M180="",0,IF(($M180-IFERROR(INDEX(設定!$G$6:$G$21,MATCH($G180,設定!$B$6:$B$21,0)),0))*60&gt;=設定!$C$44,ROUND(FLOOR(($M180-IFERROR(INDEX(設定!$G$6:$G$21,MATCH($G180,設定!$B$6:$B$21,0)),0))*60,設定!$C$45)/60,2),0))</f>
        <v/>
      </c>
      <c r="R180" s="16">
        <f>IF(OR($C180="",$Q180=0),"",IF($G180="國","國定假日",IF($B180="日","例假",IF($B180="六","休息日","平日"))))</f>
        <v/>
      </c>
      <c r="S180" s="19" t="n"/>
    </row>
    <row r="181">
      <c r="A181" s="82">
        <f>IF(OR(助理班表!$A10="",24&gt;DAY(EOMONTH(DATE(設定!$C$2,設定!$D$2,1),0))),"",DATE(設定!$C$2,設定!$D$2,24))</f>
        <v/>
      </c>
      <c r="B181" s="16">
        <f>IF($A181="","",INDEX(設定!$O$6:$O$12,WEEKDAY($A181,1)))</f>
        <v/>
      </c>
      <c r="C181" s="16">
        <f>IF($A181="","",助理班表!$A10)</f>
        <v/>
      </c>
      <c r="D181" s="16">
        <f>IF($C181="","",助理班表!$B10)</f>
        <v/>
      </c>
      <c r="E181" s="16">
        <f>IF($C181="","",助理班表!$D10)</f>
        <v/>
      </c>
      <c r="F181" s="16">
        <f>IF($C181="","",助理班表!$C10)</f>
        <v/>
      </c>
      <c r="G181" s="16">
        <f>IF($C181="","",助理班表!AB10)</f>
        <v/>
      </c>
      <c r="H181" s="83">
        <f>IF($G181="","",IFERROR(IF(INDEX(設定!$D$6:$D$21,MATCH($G181,設定!$B$6:$B$21,0))=0,"",INDEX(設定!$D$6:$D$21,MATCH($G181,設定!$B$6:$B$21,0))),""))</f>
        <v/>
      </c>
      <c r="I181" s="83">
        <f>IF($G181="","",IFERROR(IF(INDEX(設定!$E$6:$E$21,MATCH($G181,設定!$B$6:$B$21,0))=0,"",INDEX(設定!$E$6:$E$21,MATCH($G181,設定!$B$6:$B$21,0))),""))</f>
        <v/>
      </c>
      <c r="J181" s="83">
        <f>IFERROR(INDEX(打卡匯入!$C$3:$C$2002,MATCH($C181&amp;"|"&amp;DAY($A181),打卡匯入!$E$3:$E$2002,0)),"")</f>
        <v/>
      </c>
      <c r="K181" s="83">
        <f>IFERROR(INDEX(打卡匯入!$D$3:$D$2002,MATCH($C181&amp;"|"&amp;DAY($A181),打卡匯入!$E$3:$E$2002,0)),"")</f>
        <v/>
      </c>
      <c r="L181" s="84">
        <f>IF(OR($J181="",$K181=""),"",IFERROR(INDEX(設定!$F$6:$F$21,MATCH($G181,設定!$B$6:$B$21,0)),0))</f>
        <v/>
      </c>
      <c r="M181" s="85">
        <f>IF(OR($J181="",$K181=""),"",ROUND(($K181-$J181)*24-$L181/60,2))</f>
        <v/>
      </c>
      <c r="N181" s="16">
        <f>IF($C181="","",IF(AND(COUNTIF(設定!$B$15:$B$21,$G181)&gt;0,$J181&lt;&gt;""),"假日出勤",IF(AND(COUNTIF(設定!$B$6:$B$14,$G181)&gt;0,$J181=""),"未打卡",IF($J181="","",IF($O181&gt;0,"遲到",IF($P181&gt;0,"早退","正常"))))))</f>
        <v/>
      </c>
      <c r="O181" s="84">
        <f>IF(OR($C181="",$H181="",$J181=""),0,IF(ROUND(($J181-$H181)*1440,0)&gt;設定!$C$46,ROUND(($J181-$H181)*1440,0),0))</f>
        <v/>
      </c>
      <c r="P181" s="84">
        <f>IF(OR($C181="",$I181="",$K181=""),0,IF(ROUND(($I181-$K181)*1440,0)&gt;設定!$C$46,ROUND(($I181-$K181)*1440,0),0))</f>
        <v/>
      </c>
      <c r="Q181" s="85">
        <f>IF($M181="",0,IF(($M181-IFERROR(INDEX(設定!$G$6:$G$21,MATCH($G181,設定!$B$6:$B$21,0)),0))*60&gt;=設定!$C$44,ROUND(FLOOR(($M181-IFERROR(INDEX(設定!$G$6:$G$21,MATCH($G181,設定!$B$6:$B$21,0)),0))*60,設定!$C$45)/60,2),0))</f>
        <v/>
      </c>
      <c r="R181" s="16">
        <f>IF(OR($C181="",$Q181=0),"",IF($G181="國","國定假日",IF($B181="日","例假",IF($B181="六","休息日","平日"))))</f>
        <v/>
      </c>
      <c r="S181" s="19" t="n"/>
    </row>
    <row r="182">
      <c r="A182" s="82">
        <f>IF(OR(助理班表!$A10="",25&gt;DAY(EOMONTH(DATE(設定!$C$2,設定!$D$2,1),0))),"",DATE(設定!$C$2,設定!$D$2,25))</f>
        <v/>
      </c>
      <c r="B182" s="16">
        <f>IF($A182="","",INDEX(設定!$O$6:$O$12,WEEKDAY($A182,1)))</f>
        <v/>
      </c>
      <c r="C182" s="16">
        <f>IF($A182="","",助理班表!$A10)</f>
        <v/>
      </c>
      <c r="D182" s="16">
        <f>IF($C182="","",助理班表!$B10)</f>
        <v/>
      </c>
      <c r="E182" s="16">
        <f>IF($C182="","",助理班表!$D10)</f>
        <v/>
      </c>
      <c r="F182" s="16">
        <f>IF($C182="","",助理班表!$C10)</f>
        <v/>
      </c>
      <c r="G182" s="16">
        <f>IF($C182="","",助理班表!AC10)</f>
        <v/>
      </c>
      <c r="H182" s="83">
        <f>IF($G182="","",IFERROR(IF(INDEX(設定!$D$6:$D$21,MATCH($G182,設定!$B$6:$B$21,0))=0,"",INDEX(設定!$D$6:$D$21,MATCH($G182,設定!$B$6:$B$21,0))),""))</f>
        <v/>
      </c>
      <c r="I182" s="83">
        <f>IF($G182="","",IFERROR(IF(INDEX(設定!$E$6:$E$21,MATCH($G182,設定!$B$6:$B$21,0))=0,"",INDEX(設定!$E$6:$E$21,MATCH($G182,設定!$B$6:$B$21,0))),""))</f>
        <v/>
      </c>
      <c r="J182" s="83">
        <f>IFERROR(INDEX(打卡匯入!$C$3:$C$2002,MATCH($C182&amp;"|"&amp;DAY($A182),打卡匯入!$E$3:$E$2002,0)),"")</f>
        <v/>
      </c>
      <c r="K182" s="83">
        <f>IFERROR(INDEX(打卡匯入!$D$3:$D$2002,MATCH($C182&amp;"|"&amp;DAY($A182),打卡匯入!$E$3:$E$2002,0)),"")</f>
        <v/>
      </c>
      <c r="L182" s="84">
        <f>IF(OR($J182="",$K182=""),"",IFERROR(INDEX(設定!$F$6:$F$21,MATCH($G182,設定!$B$6:$B$21,0)),0))</f>
        <v/>
      </c>
      <c r="M182" s="85">
        <f>IF(OR($J182="",$K182=""),"",ROUND(($K182-$J182)*24-$L182/60,2))</f>
        <v/>
      </c>
      <c r="N182" s="16">
        <f>IF($C182="","",IF(AND(COUNTIF(設定!$B$15:$B$21,$G182)&gt;0,$J182&lt;&gt;""),"假日出勤",IF(AND(COUNTIF(設定!$B$6:$B$14,$G182)&gt;0,$J182=""),"未打卡",IF($J182="","",IF($O182&gt;0,"遲到",IF($P182&gt;0,"早退","正常"))))))</f>
        <v/>
      </c>
      <c r="O182" s="84">
        <f>IF(OR($C182="",$H182="",$J182=""),0,IF(ROUND(($J182-$H182)*1440,0)&gt;設定!$C$46,ROUND(($J182-$H182)*1440,0),0))</f>
        <v/>
      </c>
      <c r="P182" s="84">
        <f>IF(OR($C182="",$I182="",$K182=""),0,IF(ROUND(($I182-$K182)*1440,0)&gt;設定!$C$46,ROUND(($I182-$K182)*1440,0),0))</f>
        <v/>
      </c>
      <c r="Q182" s="85">
        <f>IF($M182="",0,IF(($M182-IFERROR(INDEX(設定!$G$6:$G$21,MATCH($G182,設定!$B$6:$B$21,0)),0))*60&gt;=設定!$C$44,ROUND(FLOOR(($M182-IFERROR(INDEX(設定!$G$6:$G$21,MATCH($G182,設定!$B$6:$B$21,0)),0))*60,設定!$C$45)/60,2),0))</f>
        <v/>
      </c>
      <c r="R182" s="16">
        <f>IF(OR($C182="",$Q182=0),"",IF($G182="國","國定假日",IF($B182="日","例假",IF($B182="六","休息日","平日"))))</f>
        <v/>
      </c>
      <c r="S182" s="19" t="n"/>
    </row>
    <row r="183">
      <c r="A183" s="82">
        <f>IF(OR(助理班表!$A10="",26&gt;DAY(EOMONTH(DATE(設定!$C$2,設定!$D$2,1),0))),"",DATE(設定!$C$2,設定!$D$2,26))</f>
        <v/>
      </c>
      <c r="B183" s="16">
        <f>IF($A183="","",INDEX(設定!$O$6:$O$12,WEEKDAY($A183,1)))</f>
        <v/>
      </c>
      <c r="C183" s="16">
        <f>IF($A183="","",助理班表!$A10)</f>
        <v/>
      </c>
      <c r="D183" s="16">
        <f>IF($C183="","",助理班表!$B10)</f>
        <v/>
      </c>
      <c r="E183" s="16">
        <f>IF($C183="","",助理班表!$D10)</f>
        <v/>
      </c>
      <c r="F183" s="16">
        <f>IF($C183="","",助理班表!$C10)</f>
        <v/>
      </c>
      <c r="G183" s="16">
        <f>IF($C183="","",助理班表!AD10)</f>
        <v/>
      </c>
      <c r="H183" s="83">
        <f>IF($G183="","",IFERROR(IF(INDEX(設定!$D$6:$D$21,MATCH($G183,設定!$B$6:$B$21,0))=0,"",INDEX(設定!$D$6:$D$21,MATCH($G183,設定!$B$6:$B$21,0))),""))</f>
        <v/>
      </c>
      <c r="I183" s="83">
        <f>IF($G183="","",IFERROR(IF(INDEX(設定!$E$6:$E$21,MATCH($G183,設定!$B$6:$B$21,0))=0,"",INDEX(設定!$E$6:$E$21,MATCH($G183,設定!$B$6:$B$21,0))),""))</f>
        <v/>
      </c>
      <c r="J183" s="83">
        <f>IFERROR(INDEX(打卡匯入!$C$3:$C$2002,MATCH($C183&amp;"|"&amp;DAY($A183),打卡匯入!$E$3:$E$2002,0)),"")</f>
        <v/>
      </c>
      <c r="K183" s="83">
        <f>IFERROR(INDEX(打卡匯入!$D$3:$D$2002,MATCH($C183&amp;"|"&amp;DAY($A183),打卡匯入!$E$3:$E$2002,0)),"")</f>
        <v/>
      </c>
      <c r="L183" s="84">
        <f>IF(OR($J183="",$K183=""),"",IFERROR(INDEX(設定!$F$6:$F$21,MATCH($G183,設定!$B$6:$B$21,0)),0))</f>
        <v/>
      </c>
      <c r="M183" s="85">
        <f>IF(OR($J183="",$K183=""),"",ROUND(($K183-$J183)*24-$L183/60,2))</f>
        <v/>
      </c>
      <c r="N183" s="16">
        <f>IF($C183="","",IF(AND(COUNTIF(設定!$B$15:$B$21,$G183)&gt;0,$J183&lt;&gt;""),"假日出勤",IF(AND(COUNTIF(設定!$B$6:$B$14,$G183)&gt;0,$J183=""),"未打卡",IF($J183="","",IF($O183&gt;0,"遲到",IF($P183&gt;0,"早退","正常"))))))</f>
        <v/>
      </c>
      <c r="O183" s="84">
        <f>IF(OR($C183="",$H183="",$J183=""),0,IF(ROUND(($J183-$H183)*1440,0)&gt;設定!$C$46,ROUND(($J183-$H183)*1440,0),0))</f>
        <v/>
      </c>
      <c r="P183" s="84">
        <f>IF(OR($C183="",$I183="",$K183=""),0,IF(ROUND(($I183-$K183)*1440,0)&gt;設定!$C$46,ROUND(($I183-$K183)*1440,0),0))</f>
        <v/>
      </c>
      <c r="Q183" s="85">
        <f>IF($M183="",0,IF(($M183-IFERROR(INDEX(設定!$G$6:$G$21,MATCH($G183,設定!$B$6:$B$21,0)),0))*60&gt;=設定!$C$44,ROUND(FLOOR(($M183-IFERROR(INDEX(設定!$G$6:$G$21,MATCH($G183,設定!$B$6:$B$21,0)),0))*60,設定!$C$45)/60,2),0))</f>
        <v/>
      </c>
      <c r="R183" s="16">
        <f>IF(OR($C183="",$Q183=0),"",IF($G183="國","國定假日",IF($B183="日","例假",IF($B183="六","休息日","平日"))))</f>
        <v/>
      </c>
      <c r="S183" s="19" t="n"/>
    </row>
    <row r="184">
      <c r="A184" s="82">
        <f>IF(OR(助理班表!$A10="",27&gt;DAY(EOMONTH(DATE(設定!$C$2,設定!$D$2,1),0))),"",DATE(設定!$C$2,設定!$D$2,27))</f>
        <v/>
      </c>
      <c r="B184" s="16">
        <f>IF($A184="","",INDEX(設定!$O$6:$O$12,WEEKDAY($A184,1)))</f>
        <v/>
      </c>
      <c r="C184" s="16">
        <f>IF($A184="","",助理班表!$A10)</f>
        <v/>
      </c>
      <c r="D184" s="16">
        <f>IF($C184="","",助理班表!$B10)</f>
        <v/>
      </c>
      <c r="E184" s="16">
        <f>IF($C184="","",助理班表!$D10)</f>
        <v/>
      </c>
      <c r="F184" s="16">
        <f>IF($C184="","",助理班表!$C10)</f>
        <v/>
      </c>
      <c r="G184" s="16">
        <f>IF($C184="","",助理班表!AE10)</f>
        <v/>
      </c>
      <c r="H184" s="83">
        <f>IF($G184="","",IFERROR(IF(INDEX(設定!$D$6:$D$21,MATCH($G184,設定!$B$6:$B$21,0))=0,"",INDEX(設定!$D$6:$D$21,MATCH($G184,設定!$B$6:$B$21,0))),""))</f>
        <v/>
      </c>
      <c r="I184" s="83">
        <f>IF($G184="","",IFERROR(IF(INDEX(設定!$E$6:$E$21,MATCH($G184,設定!$B$6:$B$21,0))=0,"",INDEX(設定!$E$6:$E$21,MATCH($G184,設定!$B$6:$B$21,0))),""))</f>
        <v/>
      </c>
      <c r="J184" s="83">
        <f>IFERROR(INDEX(打卡匯入!$C$3:$C$2002,MATCH($C184&amp;"|"&amp;DAY($A184),打卡匯入!$E$3:$E$2002,0)),"")</f>
        <v/>
      </c>
      <c r="K184" s="83">
        <f>IFERROR(INDEX(打卡匯入!$D$3:$D$2002,MATCH($C184&amp;"|"&amp;DAY($A184),打卡匯入!$E$3:$E$2002,0)),"")</f>
        <v/>
      </c>
      <c r="L184" s="84">
        <f>IF(OR($J184="",$K184=""),"",IFERROR(INDEX(設定!$F$6:$F$21,MATCH($G184,設定!$B$6:$B$21,0)),0))</f>
        <v/>
      </c>
      <c r="M184" s="85">
        <f>IF(OR($J184="",$K184=""),"",ROUND(($K184-$J184)*24-$L184/60,2))</f>
        <v/>
      </c>
      <c r="N184" s="16">
        <f>IF($C184="","",IF(AND(COUNTIF(設定!$B$15:$B$21,$G184)&gt;0,$J184&lt;&gt;""),"假日出勤",IF(AND(COUNTIF(設定!$B$6:$B$14,$G184)&gt;0,$J184=""),"未打卡",IF($J184="","",IF($O184&gt;0,"遲到",IF($P184&gt;0,"早退","正常"))))))</f>
        <v/>
      </c>
      <c r="O184" s="84">
        <f>IF(OR($C184="",$H184="",$J184=""),0,IF(ROUND(($J184-$H184)*1440,0)&gt;設定!$C$46,ROUND(($J184-$H184)*1440,0),0))</f>
        <v/>
      </c>
      <c r="P184" s="84">
        <f>IF(OR($C184="",$I184="",$K184=""),0,IF(ROUND(($I184-$K184)*1440,0)&gt;設定!$C$46,ROUND(($I184-$K184)*1440,0),0))</f>
        <v/>
      </c>
      <c r="Q184" s="85">
        <f>IF($M184="",0,IF(($M184-IFERROR(INDEX(設定!$G$6:$G$21,MATCH($G184,設定!$B$6:$B$21,0)),0))*60&gt;=設定!$C$44,ROUND(FLOOR(($M184-IFERROR(INDEX(設定!$G$6:$G$21,MATCH($G184,設定!$B$6:$B$21,0)),0))*60,設定!$C$45)/60,2),0))</f>
        <v/>
      </c>
      <c r="R184" s="16">
        <f>IF(OR($C184="",$Q184=0),"",IF($G184="國","國定假日",IF($B184="日","例假",IF($B184="六","休息日","平日"))))</f>
        <v/>
      </c>
      <c r="S184" s="19" t="n"/>
    </row>
    <row r="185">
      <c r="A185" s="82">
        <f>IF(OR(助理班表!$A10="",28&gt;DAY(EOMONTH(DATE(設定!$C$2,設定!$D$2,1),0))),"",DATE(設定!$C$2,設定!$D$2,28))</f>
        <v/>
      </c>
      <c r="B185" s="16">
        <f>IF($A185="","",INDEX(設定!$O$6:$O$12,WEEKDAY($A185,1)))</f>
        <v/>
      </c>
      <c r="C185" s="16">
        <f>IF($A185="","",助理班表!$A10)</f>
        <v/>
      </c>
      <c r="D185" s="16">
        <f>IF($C185="","",助理班表!$B10)</f>
        <v/>
      </c>
      <c r="E185" s="16">
        <f>IF($C185="","",助理班表!$D10)</f>
        <v/>
      </c>
      <c r="F185" s="16">
        <f>IF($C185="","",助理班表!$C10)</f>
        <v/>
      </c>
      <c r="G185" s="16">
        <f>IF($C185="","",助理班表!AF10)</f>
        <v/>
      </c>
      <c r="H185" s="83">
        <f>IF($G185="","",IFERROR(IF(INDEX(設定!$D$6:$D$21,MATCH($G185,設定!$B$6:$B$21,0))=0,"",INDEX(設定!$D$6:$D$21,MATCH($G185,設定!$B$6:$B$21,0))),""))</f>
        <v/>
      </c>
      <c r="I185" s="83">
        <f>IF($G185="","",IFERROR(IF(INDEX(設定!$E$6:$E$21,MATCH($G185,設定!$B$6:$B$21,0))=0,"",INDEX(設定!$E$6:$E$21,MATCH($G185,設定!$B$6:$B$21,0))),""))</f>
        <v/>
      </c>
      <c r="J185" s="83">
        <f>IFERROR(INDEX(打卡匯入!$C$3:$C$2002,MATCH($C185&amp;"|"&amp;DAY($A185),打卡匯入!$E$3:$E$2002,0)),"")</f>
        <v/>
      </c>
      <c r="K185" s="83">
        <f>IFERROR(INDEX(打卡匯入!$D$3:$D$2002,MATCH($C185&amp;"|"&amp;DAY($A185),打卡匯入!$E$3:$E$2002,0)),"")</f>
        <v/>
      </c>
      <c r="L185" s="84">
        <f>IF(OR($J185="",$K185=""),"",IFERROR(INDEX(設定!$F$6:$F$21,MATCH($G185,設定!$B$6:$B$21,0)),0))</f>
        <v/>
      </c>
      <c r="M185" s="85">
        <f>IF(OR($J185="",$K185=""),"",ROUND(($K185-$J185)*24-$L185/60,2))</f>
        <v/>
      </c>
      <c r="N185" s="16">
        <f>IF($C185="","",IF(AND(COUNTIF(設定!$B$15:$B$21,$G185)&gt;0,$J185&lt;&gt;""),"假日出勤",IF(AND(COUNTIF(設定!$B$6:$B$14,$G185)&gt;0,$J185=""),"未打卡",IF($J185="","",IF($O185&gt;0,"遲到",IF($P185&gt;0,"早退","正常"))))))</f>
        <v/>
      </c>
      <c r="O185" s="84">
        <f>IF(OR($C185="",$H185="",$J185=""),0,IF(ROUND(($J185-$H185)*1440,0)&gt;設定!$C$46,ROUND(($J185-$H185)*1440,0),0))</f>
        <v/>
      </c>
      <c r="P185" s="84">
        <f>IF(OR($C185="",$I185="",$K185=""),0,IF(ROUND(($I185-$K185)*1440,0)&gt;設定!$C$46,ROUND(($I185-$K185)*1440,0),0))</f>
        <v/>
      </c>
      <c r="Q185" s="85">
        <f>IF($M185="",0,IF(($M185-IFERROR(INDEX(設定!$G$6:$G$21,MATCH($G185,設定!$B$6:$B$21,0)),0))*60&gt;=設定!$C$44,ROUND(FLOOR(($M185-IFERROR(INDEX(設定!$G$6:$G$21,MATCH($G185,設定!$B$6:$B$21,0)),0))*60,設定!$C$45)/60,2),0))</f>
        <v/>
      </c>
      <c r="R185" s="16">
        <f>IF(OR($C185="",$Q185=0),"",IF($G185="國","國定假日",IF($B185="日","例假",IF($B185="六","休息日","平日"))))</f>
        <v/>
      </c>
      <c r="S185" s="19" t="n"/>
    </row>
    <row r="186">
      <c r="A186" s="82">
        <f>IF(OR(助理班表!$A10="",29&gt;DAY(EOMONTH(DATE(設定!$C$2,設定!$D$2,1),0))),"",DATE(設定!$C$2,設定!$D$2,29))</f>
        <v/>
      </c>
      <c r="B186" s="16">
        <f>IF($A186="","",INDEX(設定!$O$6:$O$12,WEEKDAY($A186,1)))</f>
        <v/>
      </c>
      <c r="C186" s="16">
        <f>IF($A186="","",助理班表!$A10)</f>
        <v/>
      </c>
      <c r="D186" s="16">
        <f>IF($C186="","",助理班表!$B10)</f>
        <v/>
      </c>
      <c r="E186" s="16">
        <f>IF($C186="","",助理班表!$D10)</f>
        <v/>
      </c>
      <c r="F186" s="16">
        <f>IF($C186="","",助理班表!$C10)</f>
        <v/>
      </c>
      <c r="G186" s="16">
        <f>IF($C186="","",助理班表!AG10)</f>
        <v/>
      </c>
      <c r="H186" s="83">
        <f>IF($G186="","",IFERROR(IF(INDEX(設定!$D$6:$D$21,MATCH($G186,設定!$B$6:$B$21,0))=0,"",INDEX(設定!$D$6:$D$21,MATCH($G186,設定!$B$6:$B$21,0))),""))</f>
        <v/>
      </c>
      <c r="I186" s="83">
        <f>IF($G186="","",IFERROR(IF(INDEX(設定!$E$6:$E$21,MATCH($G186,設定!$B$6:$B$21,0))=0,"",INDEX(設定!$E$6:$E$21,MATCH($G186,設定!$B$6:$B$21,0))),""))</f>
        <v/>
      </c>
      <c r="J186" s="83">
        <f>IFERROR(INDEX(打卡匯入!$C$3:$C$2002,MATCH($C186&amp;"|"&amp;DAY($A186),打卡匯入!$E$3:$E$2002,0)),"")</f>
        <v/>
      </c>
      <c r="K186" s="83">
        <f>IFERROR(INDEX(打卡匯入!$D$3:$D$2002,MATCH($C186&amp;"|"&amp;DAY($A186),打卡匯入!$E$3:$E$2002,0)),"")</f>
        <v/>
      </c>
      <c r="L186" s="84">
        <f>IF(OR($J186="",$K186=""),"",IFERROR(INDEX(設定!$F$6:$F$21,MATCH($G186,設定!$B$6:$B$21,0)),0))</f>
        <v/>
      </c>
      <c r="M186" s="85">
        <f>IF(OR($J186="",$K186=""),"",ROUND(($K186-$J186)*24-$L186/60,2))</f>
        <v/>
      </c>
      <c r="N186" s="16">
        <f>IF($C186="","",IF(AND(COUNTIF(設定!$B$15:$B$21,$G186)&gt;0,$J186&lt;&gt;""),"假日出勤",IF(AND(COUNTIF(設定!$B$6:$B$14,$G186)&gt;0,$J186=""),"未打卡",IF($J186="","",IF($O186&gt;0,"遲到",IF($P186&gt;0,"早退","正常"))))))</f>
        <v/>
      </c>
      <c r="O186" s="84">
        <f>IF(OR($C186="",$H186="",$J186=""),0,IF(ROUND(($J186-$H186)*1440,0)&gt;設定!$C$46,ROUND(($J186-$H186)*1440,0),0))</f>
        <v/>
      </c>
      <c r="P186" s="84">
        <f>IF(OR($C186="",$I186="",$K186=""),0,IF(ROUND(($I186-$K186)*1440,0)&gt;設定!$C$46,ROUND(($I186-$K186)*1440,0),0))</f>
        <v/>
      </c>
      <c r="Q186" s="85">
        <f>IF($M186="",0,IF(($M186-IFERROR(INDEX(設定!$G$6:$G$21,MATCH($G186,設定!$B$6:$B$21,0)),0))*60&gt;=設定!$C$44,ROUND(FLOOR(($M186-IFERROR(INDEX(設定!$G$6:$G$21,MATCH($G186,設定!$B$6:$B$21,0)),0))*60,設定!$C$45)/60,2),0))</f>
        <v/>
      </c>
      <c r="R186" s="16">
        <f>IF(OR($C186="",$Q186=0),"",IF($G186="國","國定假日",IF($B186="日","例假",IF($B186="六","休息日","平日"))))</f>
        <v/>
      </c>
      <c r="S186" s="19" t="n"/>
    </row>
    <row r="187">
      <c r="A187" s="82">
        <f>IF(OR(助理班表!$A10="",30&gt;DAY(EOMONTH(DATE(設定!$C$2,設定!$D$2,1),0))),"",DATE(設定!$C$2,設定!$D$2,30))</f>
        <v/>
      </c>
      <c r="B187" s="16">
        <f>IF($A187="","",INDEX(設定!$O$6:$O$12,WEEKDAY($A187,1)))</f>
        <v/>
      </c>
      <c r="C187" s="16">
        <f>IF($A187="","",助理班表!$A10)</f>
        <v/>
      </c>
      <c r="D187" s="16">
        <f>IF($C187="","",助理班表!$B10)</f>
        <v/>
      </c>
      <c r="E187" s="16">
        <f>IF($C187="","",助理班表!$D10)</f>
        <v/>
      </c>
      <c r="F187" s="16">
        <f>IF($C187="","",助理班表!$C10)</f>
        <v/>
      </c>
      <c r="G187" s="16">
        <f>IF($C187="","",助理班表!AH10)</f>
        <v/>
      </c>
      <c r="H187" s="83">
        <f>IF($G187="","",IFERROR(IF(INDEX(設定!$D$6:$D$21,MATCH($G187,設定!$B$6:$B$21,0))=0,"",INDEX(設定!$D$6:$D$21,MATCH($G187,設定!$B$6:$B$21,0))),""))</f>
        <v/>
      </c>
      <c r="I187" s="83">
        <f>IF($G187="","",IFERROR(IF(INDEX(設定!$E$6:$E$21,MATCH($G187,設定!$B$6:$B$21,0))=0,"",INDEX(設定!$E$6:$E$21,MATCH($G187,設定!$B$6:$B$21,0))),""))</f>
        <v/>
      </c>
      <c r="J187" s="83">
        <f>IFERROR(INDEX(打卡匯入!$C$3:$C$2002,MATCH($C187&amp;"|"&amp;DAY($A187),打卡匯入!$E$3:$E$2002,0)),"")</f>
        <v/>
      </c>
      <c r="K187" s="83">
        <f>IFERROR(INDEX(打卡匯入!$D$3:$D$2002,MATCH($C187&amp;"|"&amp;DAY($A187),打卡匯入!$E$3:$E$2002,0)),"")</f>
        <v/>
      </c>
      <c r="L187" s="84">
        <f>IF(OR($J187="",$K187=""),"",IFERROR(INDEX(設定!$F$6:$F$21,MATCH($G187,設定!$B$6:$B$21,0)),0))</f>
        <v/>
      </c>
      <c r="M187" s="85">
        <f>IF(OR($J187="",$K187=""),"",ROUND(($K187-$J187)*24-$L187/60,2))</f>
        <v/>
      </c>
      <c r="N187" s="16">
        <f>IF($C187="","",IF(AND(COUNTIF(設定!$B$15:$B$21,$G187)&gt;0,$J187&lt;&gt;""),"假日出勤",IF(AND(COUNTIF(設定!$B$6:$B$14,$G187)&gt;0,$J187=""),"未打卡",IF($J187="","",IF($O187&gt;0,"遲到",IF($P187&gt;0,"早退","正常"))))))</f>
        <v/>
      </c>
      <c r="O187" s="84">
        <f>IF(OR($C187="",$H187="",$J187=""),0,IF(ROUND(($J187-$H187)*1440,0)&gt;設定!$C$46,ROUND(($J187-$H187)*1440,0),0))</f>
        <v/>
      </c>
      <c r="P187" s="84">
        <f>IF(OR($C187="",$I187="",$K187=""),0,IF(ROUND(($I187-$K187)*1440,0)&gt;設定!$C$46,ROUND(($I187-$K187)*1440,0),0))</f>
        <v/>
      </c>
      <c r="Q187" s="85">
        <f>IF($M187="",0,IF(($M187-IFERROR(INDEX(設定!$G$6:$G$21,MATCH($G187,設定!$B$6:$B$21,0)),0))*60&gt;=設定!$C$44,ROUND(FLOOR(($M187-IFERROR(INDEX(設定!$G$6:$G$21,MATCH($G187,設定!$B$6:$B$21,0)),0))*60,設定!$C$45)/60,2),0))</f>
        <v/>
      </c>
      <c r="R187" s="16">
        <f>IF(OR($C187="",$Q187=0),"",IF($G187="國","國定假日",IF($B187="日","例假",IF($B187="六","休息日","平日"))))</f>
        <v/>
      </c>
      <c r="S187" s="19" t="n"/>
    </row>
    <row r="188">
      <c r="A188" s="82">
        <f>IF(OR(助理班表!$A10="",31&gt;DAY(EOMONTH(DATE(設定!$C$2,設定!$D$2,1),0))),"",DATE(設定!$C$2,設定!$D$2,31))</f>
        <v/>
      </c>
      <c r="B188" s="16">
        <f>IF($A188="","",INDEX(設定!$O$6:$O$12,WEEKDAY($A188,1)))</f>
        <v/>
      </c>
      <c r="C188" s="16">
        <f>IF($A188="","",助理班表!$A10)</f>
        <v/>
      </c>
      <c r="D188" s="16">
        <f>IF($C188="","",助理班表!$B10)</f>
        <v/>
      </c>
      <c r="E188" s="16">
        <f>IF($C188="","",助理班表!$D10)</f>
        <v/>
      </c>
      <c r="F188" s="16">
        <f>IF($C188="","",助理班表!$C10)</f>
        <v/>
      </c>
      <c r="G188" s="16">
        <f>IF($C188="","",助理班表!AI10)</f>
        <v/>
      </c>
      <c r="H188" s="83">
        <f>IF($G188="","",IFERROR(IF(INDEX(設定!$D$6:$D$21,MATCH($G188,設定!$B$6:$B$21,0))=0,"",INDEX(設定!$D$6:$D$21,MATCH($G188,設定!$B$6:$B$21,0))),""))</f>
        <v/>
      </c>
      <c r="I188" s="83">
        <f>IF($G188="","",IFERROR(IF(INDEX(設定!$E$6:$E$21,MATCH($G188,設定!$B$6:$B$21,0))=0,"",INDEX(設定!$E$6:$E$21,MATCH($G188,設定!$B$6:$B$21,0))),""))</f>
        <v/>
      </c>
      <c r="J188" s="83">
        <f>IFERROR(INDEX(打卡匯入!$C$3:$C$2002,MATCH($C188&amp;"|"&amp;DAY($A188),打卡匯入!$E$3:$E$2002,0)),"")</f>
        <v/>
      </c>
      <c r="K188" s="83">
        <f>IFERROR(INDEX(打卡匯入!$D$3:$D$2002,MATCH($C188&amp;"|"&amp;DAY($A188),打卡匯入!$E$3:$E$2002,0)),"")</f>
        <v/>
      </c>
      <c r="L188" s="84">
        <f>IF(OR($J188="",$K188=""),"",IFERROR(INDEX(設定!$F$6:$F$21,MATCH($G188,設定!$B$6:$B$21,0)),0))</f>
        <v/>
      </c>
      <c r="M188" s="85">
        <f>IF(OR($J188="",$K188=""),"",ROUND(($K188-$J188)*24-$L188/60,2))</f>
        <v/>
      </c>
      <c r="N188" s="16">
        <f>IF($C188="","",IF(AND(COUNTIF(設定!$B$15:$B$21,$G188)&gt;0,$J188&lt;&gt;""),"假日出勤",IF(AND(COUNTIF(設定!$B$6:$B$14,$G188)&gt;0,$J188=""),"未打卡",IF($J188="","",IF($O188&gt;0,"遲到",IF($P188&gt;0,"早退","正常"))))))</f>
        <v/>
      </c>
      <c r="O188" s="84">
        <f>IF(OR($C188="",$H188="",$J188=""),0,IF(ROUND(($J188-$H188)*1440,0)&gt;設定!$C$46,ROUND(($J188-$H188)*1440,0),0))</f>
        <v/>
      </c>
      <c r="P188" s="84">
        <f>IF(OR($C188="",$I188="",$K188=""),0,IF(ROUND(($I188-$K188)*1440,0)&gt;設定!$C$46,ROUND(($I188-$K188)*1440,0),0))</f>
        <v/>
      </c>
      <c r="Q188" s="85">
        <f>IF($M188="",0,IF(($M188-IFERROR(INDEX(設定!$G$6:$G$21,MATCH($G188,設定!$B$6:$B$21,0)),0))*60&gt;=設定!$C$44,ROUND(FLOOR(($M188-IFERROR(INDEX(設定!$G$6:$G$21,MATCH($G188,設定!$B$6:$B$21,0)),0))*60,設定!$C$45)/60,2),0))</f>
        <v/>
      </c>
      <c r="R188" s="16">
        <f>IF(OR($C188="",$Q188=0),"",IF($G188="國","國定假日",IF($B188="日","例假",IF($B188="六","休息日","平日"))))</f>
        <v/>
      </c>
      <c r="S188" s="19" t="n"/>
    </row>
    <row r="189">
      <c r="A189" s="82">
        <f>IF(OR(助理班表!$A11="",1&gt;DAY(EOMONTH(DATE(設定!$C$2,設定!$D$2,1),0))),"",DATE(設定!$C$2,設定!$D$2,1))</f>
        <v/>
      </c>
      <c r="B189" s="16">
        <f>IF($A189="","",INDEX(設定!$O$6:$O$12,WEEKDAY($A189,1)))</f>
        <v/>
      </c>
      <c r="C189" s="16">
        <f>IF($A189="","",助理班表!$A11)</f>
        <v/>
      </c>
      <c r="D189" s="16">
        <f>IF($C189="","",助理班表!$B11)</f>
        <v/>
      </c>
      <c r="E189" s="16">
        <f>IF($C189="","",助理班表!$D11)</f>
        <v/>
      </c>
      <c r="F189" s="16">
        <f>IF($C189="","",助理班表!$C11)</f>
        <v/>
      </c>
      <c r="G189" s="16">
        <f>IF($C189="","",助理班表!E11)</f>
        <v/>
      </c>
      <c r="H189" s="83">
        <f>IF($G189="","",IFERROR(IF(INDEX(設定!$D$6:$D$21,MATCH($G189,設定!$B$6:$B$21,0))=0,"",INDEX(設定!$D$6:$D$21,MATCH($G189,設定!$B$6:$B$21,0))),""))</f>
        <v/>
      </c>
      <c r="I189" s="83">
        <f>IF($G189="","",IFERROR(IF(INDEX(設定!$E$6:$E$21,MATCH($G189,設定!$B$6:$B$21,0))=0,"",INDEX(設定!$E$6:$E$21,MATCH($G189,設定!$B$6:$B$21,0))),""))</f>
        <v/>
      </c>
      <c r="J189" s="83">
        <f>IFERROR(INDEX(打卡匯入!$C$3:$C$2002,MATCH($C189&amp;"|"&amp;DAY($A189),打卡匯入!$E$3:$E$2002,0)),"")</f>
        <v/>
      </c>
      <c r="K189" s="83">
        <f>IFERROR(INDEX(打卡匯入!$D$3:$D$2002,MATCH($C189&amp;"|"&amp;DAY($A189),打卡匯入!$E$3:$E$2002,0)),"")</f>
        <v/>
      </c>
      <c r="L189" s="84">
        <f>IF(OR($J189="",$K189=""),"",IFERROR(INDEX(設定!$F$6:$F$21,MATCH($G189,設定!$B$6:$B$21,0)),0))</f>
        <v/>
      </c>
      <c r="M189" s="85">
        <f>IF(OR($J189="",$K189=""),"",ROUND(($K189-$J189)*24-$L189/60,2))</f>
        <v/>
      </c>
      <c r="N189" s="16">
        <f>IF($C189="","",IF(AND(COUNTIF(設定!$B$15:$B$21,$G189)&gt;0,$J189&lt;&gt;""),"假日出勤",IF(AND(COUNTIF(設定!$B$6:$B$14,$G189)&gt;0,$J189=""),"未打卡",IF($J189="","",IF($O189&gt;0,"遲到",IF($P189&gt;0,"早退","正常"))))))</f>
        <v/>
      </c>
      <c r="O189" s="84">
        <f>IF(OR($C189="",$H189="",$J189=""),0,IF(ROUND(($J189-$H189)*1440,0)&gt;設定!$C$46,ROUND(($J189-$H189)*1440,0),0))</f>
        <v/>
      </c>
      <c r="P189" s="84">
        <f>IF(OR($C189="",$I189="",$K189=""),0,IF(ROUND(($I189-$K189)*1440,0)&gt;設定!$C$46,ROUND(($I189-$K189)*1440,0),0))</f>
        <v/>
      </c>
      <c r="Q189" s="85">
        <f>IF($M189="",0,IF(($M189-IFERROR(INDEX(設定!$G$6:$G$21,MATCH($G189,設定!$B$6:$B$21,0)),0))*60&gt;=設定!$C$44,ROUND(FLOOR(($M189-IFERROR(INDEX(設定!$G$6:$G$21,MATCH($G189,設定!$B$6:$B$21,0)),0))*60,設定!$C$45)/60,2),0))</f>
        <v/>
      </c>
      <c r="R189" s="16">
        <f>IF(OR($C189="",$Q189=0),"",IF($G189="國","國定假日",IF($B189="日","例假",IF($B189="六","休息日","平日"))))</f>
        <v/>
      </c>
      <c r="S189" s="19" t="n"/>
    </row>
    <row r="190">
      <c r="A190" s="82">
        <f>IF(OR(助理班表!$A11="",2&gt;DAY(EOMONTH(DATE(設定!$C$2,設定!$D$2,1),0))),"",DATE(設定!$C$2,設定!$D$2,2))</f>
        <v/>
      </c>
      <c r="B190" s="16">
        <f>IF($A190="","",INDEX(設定!$O$6:$O$12,WEEKDAY($A190,1)))</f>
        <v/>
      </c>
      <c r="C190" s="16">
        <f>IF($A190="","",助理班表!$A11)</f>
        <v/>
      </c>
      <c r="D190" s="16">
        <f>IF($C190="","",助理班表!$B11)</f>
        <v/>
      </c>
      <c r="E190" s="16">
        <f>IF($C190="","",助理班表!$D11)</f>
        <v/>
      </c>
      <c r="F190" s="16">
        <f>IF($C190="","",助理班表!$C11)</f>
        <v/>
      </c>
      <c r="G190" s="16">
        <f>IF($C190="","",助理班表!F11)</f>
        <v/>
      </c>
      <c r="H190" s="83">
        <f>IF($G190="","",IFERROR(IF(INDEX(設定!$D$6:$D$21,MATCH($G190,設定!$B$6:$B$21,0))=0,"",INDEX(設定!$D$6:$D$21,MATCH($G190,設定!$B$6:$B$21,0))),""))</f>
        <v/>
      </c>
      <c r="I190" s="83">
        <f>IF($G190="","",IFERROR(IF(INDEX(設定!$E$6:$E$21,MATCH($G190,設定!$B$6:$B$21,0))=0,"",INDEX(設定!$E$6:$E$21,MATCH($G190,設定!$B$6:$B$21,0))),""))</f>
        <v/>
      </c>
      <c r="J190" s="83">
        <f>IFERROR(INDEX(打卡匯入!$C$3:$C$2002,MATCH($C190&amp;"|"&amp;DAY($A190),打卡匯入!$E$3:$E$2002,0)),"")</f>
        <v/>
      </c>
      <c r="K190" s="83">
        <f>IFERROR(INDEX(打卡匯入!$D$3:$D$2002,MATCH($C190&amp;"|"&amp;DAY($A190),打卡匯入!$E$3:$E$2002,0)),"")</f>
        <v/>
      </c>
      <c r="L190" s="84">
        <f>IF(OR($J190="",$K190=""),"",IFERROR(INDEX(設定!$F$6:$F$21,MATCH($G190,設定!$B$6:$B$21,0)),0))</f>
        <v/>
      </c>
      <c r="M190" s="85">
        <f>IF(OR($J190="",$K190=""),"",ROUND(($K190-$J190)*24-$L190/60,2))</f>
        <v/>
      </c>
      <c r="N190" s="16">
        <f>IF($C190="","",IF(AND(COUNTIF(設定!$B$15:$B$21,$G190)&gt;0,$J190&lt;&gt;""),"假日出勤",IF(AND(COUNTIF(設定!$B$6:$B$14,$G190)&gt;0,$J190=""),"未打卡",IF($J190="","",IF($O190&gt;0,"遲到",IF($P190&gt;0,"早退","正常"))))))</f>
        <v/>
      </c>
      <c r="O190" s="84">
        <f>IF(OR($C190="",$H190="",$J190=""),0,IF(ROUND(($J190-$H190)*1440,0)&gt;設定!$C$46,ROUND(($J190-$H190)*1440,0),0))</f>
        <v/>
      </c>
      <c r="P190" s="84">
        <f>IF(OR($C190="",$I190="",$K190=""),0,IF(ROUND(($I190-$K190)*1440,0)&gt;設定!$C$46,ROUND(($I190-$K190)*1440,0),0))</f>
        <v/>
      </c>
      <c r="Q190" s="85">
        <f>IF($M190="",0,IF(($M190-IFERROR(INDEX(設定!$G$6:$G$21,MATCH($G190,設定!$B$6:$B$21,0)),0))*60&gt;=設定!$C$44,ROUND(FLOOR(($M190-IFERROR(INDEX(設定!$G$6:$G$21,MATCH($G190,設定!$B$6:$B$21,0)),0))*60,設定!$C$45)/60,2),0))</f>
        <v/>
      </c>
      <c r="R190" s="16">
        <f>IF(OR($C190="",$Q190=0),"",IF($G190="國","國定假日",IF($B190="日","例假",IF($B190="六","休息日","平日"))))</f>
        <v/>
      </c>
      <c r="S190" s="19" t="n"/>
    </row>
    <row r="191">
      <c r="A191" s="82">
        <f>IF(OR(助理班表!$A11="",3&gt;DAY(EOMONTH(DATE(設定!$C$2,設定!$D$2,1),0))),"",DATE(設定!$C$2,設定!$D$2,3))</f>
        <v/>
      </c>
      <c r="B191" s="16">
        <f>IF($A191="","",INDEX(設定!$O$6:$O$12,WEEKDAY($A191,1)))</f>
        <v/>
      </c>
      <c r="C191" s="16">
        <f>IF($A191="","",助理班表!$A11)</f>
        <v/>
      </c>
      <c r="D191" s="16">
        <f>IF($C191="","",助理班表!$B11)</f>
        <v/>
      </c>
      <c r="E191" s="16">
        <f>IF($C191="","",助理班表!$D11)</f>
        <v/>
      </c>
      <c r="F191" s="16">
        <f>IF($C191="","",助理班表!$C11)</f>
        <v/>
      </c>
      <c r="G191" s="16">
        <f>IF($C191="","",助理班表!G11)</f>
        <v/>
      </c>
      <c r="H191" s="83">
        <f>IF($G191="","",IFERROR(IF(INDEX(設定!$D$6:$D$21,MATCH($G191,設定!$B$6:$B$21,0))=0,"",INDEX(設定!$D$6:$D$21,MATCH($G191,設定!$B$6:$B$21,0))),""))</f>
        <v/>
      </c>
      <c r="I191" s="83">
        <f>IF($G191="","",IFERROR(IF(INDEX(設定!$E$6:$E$21,MATCH($G191,設定!$B$6:$B$21,0))=0,"",INDEX(設定!$E$6:$E$21,MATCH($G191,設定!$B$6:$B$21,0))),""))</f>
        <v/>
      </c>
      <c r="J191" s="83">
        <f>IFERROR(INDEX(打卡匯入!$C$3:$C$2002,MATCH($C191&amp;"|"&amp;DAY($A191),打卡匯入!$E$3:$E$2002,0)),"")</f>
        <v/>
      </c>
      <c r="K191" s="83">
        <f>IFERROR(INDEX(打卡匯入!$D$3:$D$2002,MATCH($C191&amp;"|"&amp;DAY($A191),打卡匯入!$E$3:$E$2002,0)),"")</f>
        <v/>
      </c>
      <c r="L191" s="84">
        <f>IF(OR($J191="",$K191=""),"",IFERROR(INDEX(設定!$F$6:$F$21,MATCH($G191,設定!$B$6:$B$21,0)),0))</f>
        <v/>
      </c>
      <c r="M191" s="85">
        <f>IF(OR($J191="",$K191=""),"",ROUND(($K191-$J191)*24-$L191/60,2))</f>
        <v/>
      </c>
      <c r="N191" s="16">
        <f>IF($C191="","",IF(AND(COUNTIF(設定!$B$15:$B$21,$G191)&gt;0,$J191&lt;&gt;""),"假日出勤",IF(AND(COUNTIF(設定!$B$6:$B$14,$G191)&gt;0,$J191=""),"未打卡",IF($J191="","",IF($O191&gt;0,"遲到",IF($P191&gt;0,"早退","正常"))))))</f>
        <v/>
      </c>
      <c r="O191" s="84">
        <f>IF(OR($C191="",$H191="",$J191=""),0,IF(ROUND(($J191-$H191)*1440,0)&gt;設定!$C$46,ROUND(($J191-$H191)*1440,0),0))</f>
        <v/>
      </c>
      <c r="P191" s="84">
        <f>IF(OR($C191="",$I191="",$K191=""),0,IF(ROUND(($I191-$K191)*1440,0)&gt;設定!$C$46,ROUND(($I191-$K191)*1440,0),0))</f>
        <v/>
      </c>
      <c r="Q191" s="85">
        <f>IF($M191="",0,IF(($M191-IFERROR(INDEX(設定!$G$6:$G$21,MATCH($G191,設定!$B$6:$B$21,0)),0))*60&gt;=設定!$C$44,ROUND(FLOOR(($M191-IFERROR(INDEX(設定!$G$6:$G$21,MATCH($G191,設定!$B$6:$B$21,0)),0))*60,設定!$C$45)/60,2),0))</f>
        <v/>
      </c>
      <c r="R191" s="16">
        <f>IF(OR($C191="",$Q191=0),"",IF($G191="國","國定假日",IF($B191="日","例假",IF($B191="六","休息日","平日"))))</f>
        <v/>
      </c>
      <c r="S191" s="19" t="n"/>
    </row>
    <row r="192">
      <c r="A192" s="82">
        <f>IF(OR(助理班表!$A11="",4&gt;DAY(EOMONTH(DATE(設定!$C$2,設定!$D$2,1),0))),"",DATE(設定!$C$2,設定!$D$2,4))</f>
        <v/>
      </c>
      <c r="B192" s="16">
        <f>IF($A192="","",INDEX(設定!$O$6:$O$12,WEEKDAY($A192,1)))</f>
        <v/>
      </c>
      <c r="C192" s="16">
        <f>IF($A192="","",助理班表!$A11)</f>
        <v/>
      </c>
      <c r="D192" s="16">
        <f>IF($C192="","",助理班表!$B11)</f>
        <v/>
      </c>
      <c r="E192" s="16">
        <f>IF($C192="","",助理班表!$D11)</f>
        <v/>
      </c>
      <c r="F192" s="16">
        <f>IF($C192="","",助理班表!$C11)</f>
        <v/>
      </c>
      <c r="G192" s="16">
        <f>IF($C192="","",助理班表!H11)</f>
        <v/>
      </c>
      <c r="H192" s="83">
        <f>IF($G192="","",IFERROR(IF(INDEX(設定!$D$6:$D$21,MATCH($G192,設定!$B$6:$B$21,0))=0,"",INDEX(設定!$D$6:$D$21,MATCH($G192,設定!$B$6:$B$21,0))),""))</f>
        <v/>
      </c>
      <c r="I192" s="83">
        <f>IF($G192="","",IFERROR(IF(INDEX(設定!$E$6:$E$21,MATCH($G192,設定!$B$6:$B$21,0))=0,"",INDEX(設定!$E$6:$E$21,MATCH($G192,設定!$B$6:$B$21,0))),""))</f>
        <v/>
      </c>
      <c r="J192" s="83">
        <f>IFERROR(INDEX(打卡匯入!$C$3:$C$2002,MATCH($C192&amp;"|"&amp;DAY($A192),打卡匯入!$E$3:$E$2002,0)),"")</f>
        <v/>
      </c>
      <c r="K192" s="83">
        <f>IFERROR(INDEX(打卡匯入!$D$3:$D$2002,MATCH($C192&amp;"|"&amp;DAY($A192),打卡匯入!$E$3:$E$2002,0)),"")</f>
        <v/>
      </c>
      <c r="L192" s="84">
        <f>IF(OR($J192="",$K192=""),"",IFERROR(INDEX(設定!$F$6:$F$21,MATCH($G192,設定!$B$6:$B$21,0)),0))</f>
        <v/>
      </c>
      <c r="M192" s="85">
        <f>IF(OR($J192="",$K192=""),"",ROUND(($K192-$J192)*24-$L192/60,2))</f>
        <v/>
      </c>
      <c r="N192" s="16">
        <f>IF($C192="","",IF(AND(COUNTIF(設定!$B$15:$B$21,$G192)&gt;0,$J192&lt;&gt;""),"假日出勤",IF(AND(COUNTIF(設定!$B$6:$B$14,$G192)&gt;0,$J192=""),"未打卡",IF($J192="","",IF($O192&gt;0,"遲到",IF($P192&gt;0,"早退","正常"))))))</f>
        <v/>
      </c>
      <c r="O192" s="84">
        <f>IF(OR($C192="",$H192="",$J192=""),0,IF(ROUND(($J192-$H192)*1440,0)&gt;設定!$C$46,ROUND(($J192-$H192)*1440,0),0))</f>
        <v/>
      </c>
      <c r="P192" s="84">
        <f>IF(OR($C192="",$I192="",$K192=""),0,IF(ROUND(($I192-$K192)*1440,0)&gt;設定!$C$46,ROUND(($I192-$K192)*1440,0),0))</f>
        <v/>
      </c>
      <c r="Q192" s="85">
        <f>IF($M192="",0,IF(($M192-IFERROR(INDEX(設定!$G$6:$G$21,MATCH($G192,設定!$B$6:$B$21,0)),0))*60&gt;=設定!$C$44,ROUND(FLOOR(($M192-IFERROR(INDEX(設定!$G$6:$G$21,MATCH($G192,設定!$B$6:$B$21,0)),0))*60,設定!$C$45)/60,2),0))</f>
        <v/>
      </c>
      <c r="R192" s="16">
        <f>IF(OR($C192="",$Q192=0),"",IF($G192="國","國定假日",IF($B192="日","例假",IF($B192="六","休息日","平日"))))</f>
        <v/>
      </c>
      <c r="S192" s="19" t="n"/>
    </row>
    <row r="193">
      <c r="A193" s="82">
        <f>IF(OR(助理班表!$A11="",5&gt;DAY(EOMONTH(DATE(設定!$C$2,設定!$D$2,1),0))),"",DATE(設定!$C$2,設定!$D$2,5))</f>
        <v/>
      </c>
      <c r="B193" s="16">
        <f>IF($A193="","",INDEX(設定!$O$6:$O$12,WEEKDAY($A193,1)))</f>
        <v/>
      </c>
      <c r="C193" s="16">
        <f>IF($A193="","",助理班表!$A11)</f>
        <v/>
      </c>
      <c r="D193" s="16">
        <f>IF($C193="","",助理班表!$B11)</f>
        <v/>
      </c>
      <c r="E193" s="16">
        <f>IF($C193="","",助理班表!$D11)</f>
        <v/>
      </c>
      <c r="F193" s="16">
        <f>IF($C193="","",助理班表!$C11)</f>
        <v/>
      </c>
      <c r="G193" s="16">
        <f>IF($C193="","",助理班表!I11)</f>
        <v/>
      </c>
      <c r="H193" s="83">
        <f>IF($G193="","",IFERROR(IF(INDEX(設定!$D$6:$D$21,MATCH($G193,設定!$B$6:$B$21,0))=0,"",INDEX(設定!$D$6:$D$21,MATCH($G193,設定!$B$6:$B$21,0))),""))</f>
        <v/>
      </c>
      <c r="I193" s="83">
        <f>IF($G193="","",IFERROR(IF(INDEX(設定!$E$6:$E$21,MATCH($G193,設定!$B$6:$B$21,0))=0,"",INDEX(設定!$E$6:$E$21,MATCH($G193,設定!$B$6:$B$21,0))),""))</f>
        <v/>
      </c>
      <c r="J193" s="83">
        <f>IFERROR(INDEX(打卡匯入!$C$3:$C$2002,MATCH($C193&amp;"|"&amp;DAY($A193),打卡匯入!$E$3:$E$2002,0)),"")</f>
        <v/>
      </c>
      <c r="K193" s="83">
        <f>IFERROR(INDEX(打卡匯入!$D$3:$D$2002,MATCH($C193&amp;"|"&amp;DAY($A193),打卡匯入!$E$3:$E$2002,0)),"")</f>
        <v/>
      </c>
      <c r="L193" s="84">
        <f>IF(OR($J193="",$K193=""),"",IFERROR(INDEX(設定!$F$6:$F$21,MATCH($G193,設定!$B$6:$B$21,0)),0))</f>
        <v/>
      </c>
      <c r="M193" s="85">
        <f>IF(OR($J193="",$K193=""),"",ROUND(($K193-$J193)*24-$L193/60,2))</f>
        <v/>
      </c>
      <c r="N193" s="16">
        <f>IF($C193="","",IF(AND(COUNTIF(設定!$B$15:$B$21,$G193)&gt;0,$J193&lt;&gt;""),"假日出勤",IF(AND(COUNTIF(設定!$B$6:$B$14,$G193)&gt;0,$J193=""),"未打卡",IF($J193="","",IF($O193&gt;0,"遲到",IF($P193&gt;0,"早退","正常"))))))</f>
        <v/>
      </c>
      <c r="O193" s="84">
        <f>IF(OR($C193="",$H193="",$J193=""),0,IF(ROUND(($J193-$H193)*1440,0)&gt;設定!$C$46,ROUND(($J193-$H193)*1440,0),0))</f>
        <v/>
      </c>
      <c r="P193" s="84">
        <f>IF(OR($C193="",$I193="",$K193=""),0,IF(ROUND(($I193-$K193)*1440,0)&gt;設定!$C$46,ROUND(($I193-$K193)*1440,0),0))</f>
        <v/>
      </c>
      <c r="Q193" s="85">
        <f>IF($M193="",0,IF(($M193-IFERROR(INDEX(設定!$G$6:$G$21,MATCH($G193,設定!$B$6:$B$21,0)),0))*60&gt;=設定!$C$44,ROUND(FLOOR(($M193-IFERROR(INDEX(設定!$G$6:$G$21,MATCH($G193,設定!$B$6:$B$21,0)),0))*60,設定!$C$45)/60,2),0))</f>
        <v/>
      </c>
      <c r="R193" s="16">
        <f>IF(OR($C193="",$Q193=0),"",IF($G193="國","國定假日",IF($B193="日","例假",IF($B193="六","休息日","平日"))))</f>
        <v/>
      </c>
      <c r="S193" s="19" t="n"/>
    </row>
    <row r="194">
      <c r="A194" s="82">
        <f>IF(OR(助理班表!$A11="",6&gt;DAY(EOMONTH(DATE(設定!$C$2,設定!$D$2,1),0))),"",DATE(設定!$C$2,設定!$D$2,6))</f>
        <v/>
      </c>
      <c r="B194" s="16">
        <f>IF($A194="","",INDEX(設定!$O$6:$O$12,WEEKDAY($A194,1)))</f>
        <v/>
      </c>
      <c r="C194" s="16">
        <f>IF($A194="","",助理班表!$A11)</f>
        <v/>
      </c>
      <c r="D194" s="16">
        <f>IF($C194="","",助理班表!$B11)</f>
        <v/>
      </c>
      <c r="E194" s="16">
        <f>IF($C194="","",助理班表!$D11)</f>
        <v/>
      </c>
      <c r="F194" s="16">
        <f>IF($C194="","",助理班表!$C11)</f>
        <v/>
      </c>
      <c r="G194" s="16">
        <f>IF($C194="","",助理班表!J11)</f>
        <v/>
      </c>
      <c r="H194" s="83">
        <f>IF($G194="","",IFERROR(IF(INDEX(設定!$D$6:$D$21,MATCH($G194,設定!$B$6:$B$21,0))=0,"",INDEX(設定!$D$6:$D$21,MATCH($G194,設定!$B$6:$B$21,0))),""))</f>
        <v/>
      </c>
      <c r="I194" s="83">
        <f>IF($G194="","",IFERROR(IF(INDEX(設定!$E$6:$E$21,MATCH($G194,設定!$B$6:$B$21,0))=0,"",INDEX(設定!$E$6:$E$21,MATCH($G194,設定!$B$6:$B$21,0))),""))</f>
        <v/>
      </c>
      <c r="J194" s="83">
        <f>IFERROR(INDEX(打卡匯入!$C$3:$C$2002,MATCH($C194&amp;"|"&amp;DAY($A194),打卡匯入!$E$3:$E$2002,0)),"")</f>
        <v/>
      </c>
      <c r="K194" s="83">
        <f>IFERROR(INDEX(打卡匯入!$D$3:$D$2002,MATCH($C194&amp;"|"&amp;DAY($A194),打卡匯入!$E$3:$E$2002,0)),"")</f>
        <v/>
      </c>
      <c r="L194" s="84">
        <f>IF(OR($J194="",$K194=""),"",IFERROR(INDEX(設定!$F$6:$F$21,MATCH($G194,設定!$B$6:$B$21,0)),0))</f>
        <v/>
      </c>
      <c r="M194" s="85">
        <f>IF(OR($J194="",$K194=""),"",ROUND(($K194-$J194)*24-$L194/60,2))</f>
        <v/>
      </c>
      <c r="N194" s="16">
        <f>IF($C194="","",IF(AND(COUNTIF(設定!$B$15:$B$21,$G194)&gt;0,$J194&lt;&gt;""),"假日出勤",IF(AND(COUNTIF(設定!$B$6:$B$14,$G194)&gt;0,$J194=""),"未打卡",IF($J194="","",IF($O194&gt;0,"遲到",IF($P194&gt;0,"早退","正常"))))))</f>
        <v/>
      </c>
      <c r="O194" s="84">
        <f>IF(OR($C194="",$H194="",$J194=""),0,IF(ROUND(($J194-$H194)*1440,0)&gt;設定!$C$46,ROUND(($J194-$H194)*1440,0),0))</f>
        <v/>
      </c>
      <c r="P194" s="84">
        <f>IF(OR($C194="",$I194="",$K194=""),0,IF(ROUND(($I194-$K194)*1440,0)&gt;設定!$C$46,ROUND(($I194-$K194)*1440,0),0))</f>
        <v/>
      </c>
      <c r="Q194" s="85">
        <f>IF($M194="",0,IF(($M194-IFERROR(INDEX(設定!$G$6:$G$21,MATCH($G194,設定!$B$6:$B$21,0)),0))*60&gt;=設定!$C$44,ROUND(FLOOR(($M194-IFERROR(INDEX(設定!$G$6:$G$21,MATCH($G194,設定!$B$6:$B$21,0)),0))*60,設定!$C$45)/60,2),0))</f>
        <v/>
      </c>
      <c r="R194" s="16">
        <f>IF(OR($C194="",$Q194=0),"",IF($G194="國","國定假日",IF($B194="日","例假",IF($B194="六","休息日","平日"))))</f>
        <v/>
      </c>
      <c r="S194" s="19" t="n"/>
    </row>
    <row r="195">
      <c r="A195" s="82">
        <f>IF(OR(助理班表!$A11="",7&gt;DAY(EOMONTH(DATE(設定!$C$2,設定!$D$2,1),0))),"",DATE(設定!$C$2,設定!$D$2,7))</f>
        <v/>
      </c>
      <c r="B195" s="16">
        <f>IF($A195="","",INDEX(設定!$O$6:$O$12,WEEKDAY($A195,1)))</f>
        <v/>
      </c>
      <c r="C195" s="16">
        <f>IF($A195="","",助理班表!$A11)</f>
        <v/>
      </c>
      <c r="D195" s="16">
        <f>IF($C195="","",助理班表!$B11)</f>
        <v/>
      </c>
      <c r="E195" s="16">
        <f>IF($C195="","",助理班表!$D11)</f>
        <v/>
      </c>
      <c r="F195" s="16">
        <f>IF($C195="","",助理班表!$C11)</f>
        <v/>
      </c>
      <c r="G195" s="16">
        <f>IF($C195="","",助理班表!K11)</f>
        <v/>
      </c>
      <c r="H195" s="83">
        <f>IF($G195="","",IFERROR(IF(INDEX(設定!$D$6:$D$21,MATCH($G195,設定!$B$6:$B$21,0))=0,"",INDEX(設定!$D$6:$D$21,MATCH($G195,設定!$B$6:$B$21,0))),""))</f>
        <v/>
      </c>
      <c r="I195" s="83">
        <f>IF($G195="","",IFERROR(IF(INDEX(設定!$E$6:$E$21,MATCH($G195,設定!$B$6:$B$21,0))=0,"",INDEX(設定!$E$6:$E$21,MATCH($G195,設定!$B$6:$B$21,0))),""))</f>
        <v/>
      </c>
      <c r="J195" s="83">
        <f>IFERROR(INDEX(打卡匯入!$C$3:$C$2002,MATCH($C195&amp;"|"&amp;DAY($A195),打卡匯入!$E$3:$E$2002,0)),"")</f>
        <v/>
      </c>
      <c r="K195" s="83">
        <f>IFERROR(INDEX(打卡匯入!$D$3:$D$2002,MATCH($C195&amp;"|"&amp;DAY($A195),打卡匯入!$E$3:$E$2002,0)),"")</f>
        <v/>
      </c>
      <c r="L195" s="84">
        <f>IF(OR($J195="",$K195=""),"",IFERROR(INDEX(設定!$F$6:$F$21,MATCH($G195,設定!$B$6:$B$21,0)),0))</f>
        <v/>
      </c>
      <c r="M195" s="85">
        <f>IF(OR($J195="",$K195=""),"",ROUND(($K195-$J195)*24-$L195/60,2))</f>
        <v/>
      </c>
      <c r="N195" s="16">
        <f>IF($C195="","",IF(AND(COUNTIF(設定!$B$15:$B$21,$G195)&gt;0,$J195&lt;&gt;""),"假日出勤",IF(AND(COUNTIF(設定!$B$6:$B$14,$G195)&gt;0,$J195=""),"未打卡",IF($J195="","",IF($O195&gt;0,"遲到",IF($P195&gt;0,"早退","正常"))))))</f>
        <v/>
      </c>
      <c r="O195" s="84">
        <f>IF(OR($C195="",$H195="",$J195=""),0,IF(ROUND(($J195-$H195)*1440,0)&gt;設定!$C$46,ROUND(($J195-$H195)*1440,0),0))</f>
        <v/>
      </c>
      <c r="P195" s="84">
        <f>IF(OR($C195="",$I195="",$K195=""),0,IF(ROUND(($I195-$K195)*1440,0)&gt;設定!$C$46,ROUND(($I195-$K195)*1440,0),0))</f>
        <v/>
      </c>
      <c r="Q195" s="85">
        <f>IF($M195="",0,IF(($M195-IFERROR(INDEX(設定!$G$6:$G$21,MATCH($G195,設定!$B$6:$B$21,0)),0))*60&gt;=設定!$C$44,ROUND(FLOOR(($M195-IFERROR(INDEX(設定!$G$6:$G$21,MATCH($G195,設定!$B$6:$B$21,0)),0))*60,設定!$C$45)/60,2),0))</f>
        <v/>
      </c>
      <c r="R195" s="16">
        <f>IF(OR($C195="",$Q195=0),"",IF($G195="國","國定假日",IF($B195="日","例假",IF($B195="六","休息日","平日"))))</f>
        <v/>
      </c>
      <c r="S195" s="19" t="n"/>
    </row>
    <row r="196">
      <c r="A196" s="82">
        <f>IF(OR(助理班表!$A11="",8&gt;DAY(EOMONTH(DATE(設定!$C$2,設定!$D$2,1),0))),"",DATE(設定!$C$2,設定!$D$2,8))</f>
        <v/>
      </c>
      <c r="B196" s="16">
        <f>IF($A196="","",INDEX(設定!$O$6:$O$12,WEEKDAY($A196,1)))</f>
        <v/>
      </c>
      <c r="C196" s="16">
        <f>IF($A196="","",助理班表!$A11)</f>
        <v/>
      </c>
      <c r="D196" s="16">
        <f>IF($C196="","",助理班表!$B11)</f>
        <v/>
      </c>
      <c r="E196" s="16">
        <f>IF($C196="","",助理班表!$D11)</f>
        <v/>
      </c>
      <c r="F196" s="16">
        <f>IF($C196="","",助理班表!$C11)</f>
        <v/>
      </c>
      <c r="G196" s="16">
        <f>IF($C196="","",助理班表!L11)</f>
        <v/>
      </c>
      <c r="H196" s="83">
        <f>IF($G196="","",IFERROR(IF(INDEX(設定!$D$6:$D$21,MATCH($G196,設定!$B$6:$B$21,0))=0,"",INDEX(設定!$D$6:$D$21,MATCH($G196,設定!$B$6:$B$21,0))),""))</f>
        <v/>
      </c>
      <c r="I196" s="83">
        <f>IF($G196="","",IFERROR(IF(INDEX(設定!$E$6:$E$21,MATCH($G196,設定!$B$6:$B$21,0))=0,"",INDEX(設定!$E$6:$E$21,MATCH($G196,設定!$B$6:$B$21,0))),""))</f>
        <v/>
      </c>
      <c r="J196" s="83">
        <f>IFERROR(INDEX(打卡匯入!$C$3:$C$2002,MATCH($C196&amp;"|"&amp;DAY($A196),打卡匯入!$E$3:$E$2002,0)),"")</f>
        <v/>
      </c>
      <c r="K196" s="83">
        <f>IFERROR(INDEX(打卡匯入!$D$3:$D$2002,MATCH($C196&amp;"|"&amp;DAY($A196),打卡匯入!$E$3:$E$2002,0)),"")</f>
        <v/>
      </c>
      <c r="L196" s="84">
        <f>IF(OR($J196="",$K196=""),"",IFERROR(INDEX(設定!$F$6:$F$21,MATCH($G196,設定!$B$6:$B$21,0)),0))</f>
        <v/>
      </c>
      <c r="M196" s="85">
        <f>IF(OR($J196="",$K196=""),"",ROUND(($K196-$J196)*24-$L196/60,2))</f>
        <v/>
      </c>
      <c r="N196" s="16">
        <f>IF($C196="","",IF(AND(COUNTIF(設定!$B$15:$B$21,$G196)&gt;0,$J196&lt;&gt;""),"假日出勤",IF(AND(COUNTIF(設定!$B$6:$B$14,$G196)&gt;0,$J196=""),"未打卡",IF($J196="","",IF($O196&gt;0,"遲到",IF($P196&gt;0,"早退","正常"))))))</f>
        <v/>
      </c>
      <c r="O196" s="84">
        <f>IF(OR($C196="",$H196="",$J196=""),0,IF(ROUND(($J196-$H196)*1440,0)&gt;設定!$C$46,ROUND(($J196-$H196)*1440,0),0))</f>
        <v/>
      </c>
      <c r="P196" s="84">
        <f>IF(OR($C196="",$I196="",$K196=""),0,IF(ROUND(($I196-$K196)*1440,0)&gt;設定!$C$46,ROUND(($I196-$K196)*1440,0),0))</f>
        <v/>
      </c>
      <c r="Q196" s="85">
        <f>IF($M196="",0,IF(($M196-IFERROR(INDEX(設定!$G$6:$G$21,MATCH($G196,設定!$B$6:$B$21,0)),0))*60&gt;=設定!$C$44,ROUND(FLOOR(($M196-IFERROR(INDEX(設定!$G$6:$G$21,MATCH($G196,設定!$B$6:$B$21,0)),0))*60,設定!$C$45)/60,2),0))</f>
        <v/>
      </c>
      <c r="R196" s="16">
        <f>IF(OR($C196="",$Q196=0),"",IF($G196="國","國定假日",IF($B196="日","例假",IF($B196="六","休息日","平日"))))</f>
        <v/>
      </c>
      <c r="S196" s="19" t="n"/>
    </row>
    <row r="197">
      <c r="A197" s="82">
        <f>IF(OR(助理班表!$A11="",9&gt;DAY(EOMONTH(DATE(設定!$C$2,設定!$D$2,1),0))),"",DATE(設定!$C$2,設定!$D$2,9))</f>
        <v/>
      </c>
      <c r="B197" s="16">
        <f>IF($A197="","",INDEX(設定!$O$6:$O$12,WEEKDAY($A197,1)))</f>
        <v/>
      </c>
      <c r="C197" s="16">
        <f>IF($A197="","",助理班表!$A11)</f>
        <v/>
      </c>
      <c r="D197" s="16">
        <f>IF($C197="","",助理班表!$B11)</f>
        <v/>
      </c>
      <c r="E197" s="16">
        <f>IF($C197="","",助理班表!$D11)</f>
        <v/>
      </c>
      <c r="F197" s="16">
        <f>IF($C197="","",助理班表!$C11)</f>
        <v/>
      </c>
      <c r="G197" s="16">
        <f>IF($C197="","",助理班表!M11)</f>
        <v/>
      </c>
      <c r="H197" s="83">
        <f>IF($G197="","",IFERROR(IF(INDEX(設定!$D$6:$D$21,MATCH($G197,設定!$B$6:$B$21,0))=0,"",INDEX(設定!$D$6:$D$21,MATCH($G197,設定!$B$6:$B$21,0))),""))</f>
        <v/>
      </c>
      <c r="I197" s="83">
        <f>IF($G197="","",IFERROR(IF(INDEX(設定!$E$6:$E$21,MATCH($G197,設定!$B$6:$B$21,0))=0,"",INDEX(設定!$E$6:$E$21,MATCH($G197,設定!$B$6:$B$21,0))),""))</f>
        <v/>
      </c>
      <c r="J197" s="83">
        <f>IFERROR(INDEX(打卡匯入!$C$3:$C$2002,MATCH($C197&amp;"|"&amp;DAY($A197),打卡匯入!$E$3:$E$2002,0)),"")</f>
        <v/>
      </c>
      <c r="K197" s="83">
        <f>IFERROR(INDEX(打卡匯入!$D$3:$D$2002,MATCH($C197&amp;"|"&amp;DAY($A197),打卡匯入!$E$3:$E$2002,0)),"")</f>
        <v/>
      </c>
      <c r="L197" s="84">
        <f>IF(OR($J197="",$K197=""),"",IFERROR(INDEX(設定!$F$6:$F$21,MATCH($G197,設定!$B$6:$B$21,0)),0))</f>
        <v/>
      </c>
      <c r="M197" s="85">
        <f>IF(OR($J197="",$K197=""),"",ROUND(($K197-$J197)*24-$L197/60,2))</f>
        <v/>
      </c>
      <c r="N197" s="16">
        <f>IF($C197="","",IF(AND(COUNTIF(設定!$B$15:$B$21,$G197)&gt;0,$J197&lt;&gt;""),"假日出勤",IF(AND(COUNTIF(設定!$B$6:$B$14,$G197)&gt;0,$J197=""),"未打卡",IF($J197="","",IF($O197&gt;0,"遲到",IF($P197&gt;0,"早退","正常"))))))</f>
        <v/>
      </c>
      <c r="O197" s="84">
        <f>IF(OR($C197="",$H197="",$J197=""),0,IF(ROUND(($J197-$H197)*1440,0)&gt;設定!$C$46,ROUND(($J197-$H197)*1440,0),0))</f>
        <v/>
      </c>
      <c r="P197" s="84">
        <f>IF(OR($C197="",$I197="",$K197=""),0,IF(ROUND(($I197-$K197)*1440,0)&gt;設定!$C$46,ROUND(($I197-$K197)*1440,0),0))</f>
        <v/>
      </c>
      <c r="Q197" s="85">
        <f>IF($M197="",0,IF(($M197-IFERROR(INDEX(設定!$G$6:$G$21,MATCH($G197,設定!$B$6:$B$21,0)),0))*60&gt;=設定!$C$44,ROUND(FLOOR(($M197-IFERROR(INDEX(設定!$G$6:$G$21,MATCH($G197,設定!$B$6:$B$21,0)),0))*60,設定!$C$45)/60,2),0))</f>
        <v/>
      </c>
      <c r="R197" s="16">
        <f>IF(OR($C197="",$Q197=0),"",IF($G197="國","國定假日",IF($B197="日","例假",IF($B197="六","休息日","平日"))))</f>
        <v/>
      </c>
      <c r="S197" s="19" t="n"/>
    </row>
    <row r="198">
      <c r="A198" s="82">
        <f>IF(OR(助理班表!$A11="",10&gt;DAY(EOMONTH(DATE(設定!$C$2,設定!$D$2,1),0))),"",DATE(設定!$C$2,設定!$D$2,10))</f>
        <v/>
      </c>
      <c r="B198" s="16">
        <f>IF($A198="","",INDEX(設定!$O$6:$O$12,WEEKDAY($A198,1)))</f>
        <v/>
      </c>
      <c r="C198" s="16">
        <f>IF($A198="","",助理班表!$A11)</f>
        <v/>
      </c>
      <c r="D198" s="16">
        <f>IF($C198="","",助理班表!$B11)</f>
        <v/>
      </c>
      <c r="E198" s="16">
        <f>IF($C198="","",助理班表!$D11)</f>
        <v/>
      </c>
      <c r="F198" s="16">
        <f>IF($C198="","",助理班表!$C11)</f>
        <v/>
      </c>
      <c r="G198" s="16">
        <f>IF($C198="","",助理班表!N11)</f>
        <v/>
      </c>
      <c r="H198" s="83">
        <f>IF($G198="","",IFERROR(IF(INDEX(設定!$D$6:$D$21,MATCH($G198,設定!$B$6:$B$21,0))=0,"",INDEX(設定!$D$6:$D$21,MATCH($G198,設定!$B$6:$B$21,0))),""))</f>
        <v/>
      </c>
      <c r="I198" s="83">
        <f>IF($G198="","",IFERROR(IF(INDEX(設定!$E$6:$E$21,MATCH($G198,設定!$B$6:$B$21,0))=0,"",INDEX(設定!$E$6:$E$21,MATCH($G198,設定!$B$6:$B$21,0))),""))</f>
        <v/>
      </c>
      <c r="J198" s="83">
        <f>IFERROR(INDEX(打卡匯入!$C$3:$C$2002,MATCH($C198&amp;"|"&amp;DAY($A198),打卡匯入!$E$3:$E$2002,0)),"")</f>
        <v/>
      </c>
      <c r="K198" s="83">
        <f>IFERROR(INDEX(打卡匯入!$D$3:$D$2002,MATCH($C198&amp;"|"&amp;DAY($A198),打卡匯入!$E$3:$E$2002,0)),"")</f>
        <v/>
      </c>
      <c r="L198" s="84">
        <f>IF(OR($J198="",$K198=""),"",IFERROR(INDEX(設定!$F$6:$F$21,MATCH($G198,設定!$B$6:$B$21,0)),0))</f>
        <v/>
      </c>
      <c r="M198" s="85">
        <f>IF(OR($J198="",$K198=""),"",ROUND(($K198-$J198)*24-$L198/60,2))</f>
        <v/>
      </c>
      <c r="N198" s="16">
        <f>IF($C198="","",IF(AND(COUNTIF(設定!$B$15:$B$21,$G198)&gt;0,$J198&lt;&gt;""),"假日出勤",IF(AND(COUNTIF(設定!$B$6:$B$14,$G198)&gt;0,$J198=""),"未打卡",IF($J198="","",IF($O198&gt;0,"遲到",IF($P198&gt;0,"早退","正常"))))))</f>
        <v/>
      </c>
      <c r="O198" s="84">
        <f>IF(OR($C198="",$H198="",$J198=""),0,IF(ROUND(($J198-$H198)*1440,0)&gt;設定!$C$46,ROUND(($J198-$H198)*1440,0),0))</f>
        <v/>
      </c>
      <c r="P198" s="84">
        <f>IF(OR($C198="",$I198="",$K198=""),0,IF(ROUND(($I198-$K198)*1440,0)&gt;設定!$C$46,ROUND(($I198-$K198)*1440,0),0))</f>
        <v/>
      </c>
      <c r="Q198" s="85">
        <f>IF($M198="",0,IF(($M198-IFERROR(INDEX(設定!$G$6:$G$21,MATCH($G198,設定!$B$6:$B$21,0)),0))*60&gt;=設定!$C$44,ROUND(FLOOR(($M198-IFERROR(INDEX(設定!$G$6:$G$21,MATCH($G198,設定!$B$6:$B$21,0)),0))*60,設定!$C$45)/60,2),0))</f>
        <v/>
      </c>
      <c r="R198" s="16">
        <f>IF(OR($C198="",$Q198=0),"",IF($G198="國","國定假日",IF($B198="日","例假",IF($B198="六","休息日","平日"))))</f>
        <v/>
      </c>
      <c r="S198" s="19" t="n"/>
    </row>
    <row r="199">
      <c r="A199" s="82">
        <f>IF(OR(助理班表!$A11="",11&gt;DAY(EOMONTH(DATE(設定!$C$2,設定!$D$2,1),0))),"",DATE(設定!$C$2,設定!$D$2,11))</f>
        <v/>
      </c>
      <c r="B199" s="16">
        <f>IF($A199="","",INDEX(設定!$O$6:$O$12,WEEKDAY($A199,1)))</f>
        <v/>
      </c>
      <c r="C199" s="16">
        <f>IF($A199="","",助理班表!$A11)</f>
        <v/>
      </c>
      <c r="D199" s="16">
        <f>IF($C199="","",助理班表!$B11)</f>
        <v/>
      </c>
      <c r="E199" s="16">
        <f>IF($C199="","",助理班表!$D11)</f>
        <v/>
      </c>
      <c r="F199" s="16">
        <f>IF($C199="","",助理班表!$C11)</f>
        <v/>
      </c>
      <c r="G199" s="16">
        <f>IF($C199="","",助理班表!O11)</f>
        <v/>
      </c>
      <c r="H199" s="83">
        <f>IF($G199="","",IFERROR(IF(INDEX(設定!$D$6:$D$21,MATCH($G199,設定!$B$6:$B$21,0))=0,"",INDEX(設定!$D$6:$D$21,MATCH($G199,設定!$B$6:$B$21,0))),""))</f>
        <v/>
      </c>
      <c r="I199" s="83">
        <f>IF($G199="","",IFERROR(IF(INDEX(設定!$E$6:$E$21,MATCH($G199,設定!$B$6:$B$21,0))=0,"",INDEX(設定!$E$6:$E$21,MATCH($G199,設定!$B$6:$B$21,0))),""))</f>
        <v/>
      </c>
      <c r="J199" s="83">
        <f>IFERROR(INDEX(打卡匯入!$C$3:$C$2002,MATCH($C199&amp;"|"&amp;DAY($A199),打卡匯入!$E$3:$E$2002,0)),"")</f>
        <v/>
      </c>
      <c r="K199" s="83">
        <f>IFERROR(INDEX(打卡匯入!$D$3:$D$2002,MATCH($C199&amp;"|"&amp;DAY($A199),打卡匯入!$E$3:$E$2002,0)),"")</f>
        <v/>
      </c>
      <c r="L199" s="84">
        <f>IF(OR($J199="",$K199=""),"",IFERROR(INDEX(設定!$F$6:$F$21,MATCH($G199,設定!$B$6:$B$21,0)),0))</f>
        <v/>
      </c>
      <c r="M199" s="85">
        <f>IF(OR($J199="",$K199=""),"",ROUND(($K199-$J199)*24-$L199/60,2))</f>
        <v/>
      </c>
      <c r="N199" s="16">
        <f>IF($C199="","",IF(AND(COUNTIF(設定!$B$15:$B$21,$G199)&gt;0,$J199&lt;&gt;""),"假日出勤",IF(AND(COUNTIF(設定!$B$6:$B$14,$G199)&gt;0,$J199=""),"未打卡",IF($J199="","",IF($O199&gt;0,"遲到",IF($P199&gt;0,"早退","正常"))))))</f>
        <v/>
      </c>
      <c r="O199" s="84">
        <f>IF(OR($C199="",$H199="",$J199=""),0,IF(ROUND(($J199-$H199)*1440,0)&gt;設定!$C$46,ROUND(($J199-$H199)*1440,0),0))</f>
        <v/>
      </c>
      <c r="P199" s="84">
        <f>IF(OR($C199="",$I199="",$K199=""),0,IF(ROUND(($I199-$K199)*1440,0)&gt;設定!$C$46,ROUND(($I199-$K199)*1440,0),0))</f>
        <v/>
      </c>
      <c r="Q199" s="85">
        <f>IF($M199="",0,IF(($M199-IFERROR(INDEX(設定!$G$6:$G$21,MATCH($G199,設定!$B$6:$B$21,0)),0))*60&gt;=設定!$C$44,ROUND(FLOOR(($M199-IFERROR(INDEX(設定!$G$6:$G$21,MATCH($G199,設定!$B$6:$B$21,0)),0))*60,設定!$C$45)/60,2),0))</f>
        <v/>
      </c>
      <c r="R199" s="16">
        <f>IF(OR($C199="",$Q199=0),"",IF($G199="國","國定假日",IF($B199="日","例假",IF($B199="六","休息日","平日"))))</f>
        <v/>
      </c>
      <c r="S199" s="19" t="n"/>
    </row>
    <row r="200">
      <c r="A200" s="82">
        <f>IF(OR(助理班表!$A11="",12&gt;DAY(EOMONTH(DATE(設定!$C$2,設定!$D$2,1),0))),"",DATE(設定!$C$2,設定!$D$2,12))</f>
        <v/>
      </c>
      <c r="B200" s="16">
        <f>IF($A200="","",INDEX(設定!$O$6:$O$12,WEEKDAY($A200,1)))</f>
        <v/>
      </c>
      <c r="C200" s="16">
        <f>IF($A200="","",助理班表!$A11)</f>
        <v/>
      </c>
      <c r="D200" s="16">
        <f>IF($C200="","",助理班表!$B11)</f>
        <v/>
      </c>
      <c r="E200" s="16">
        <f>IF($C200="","",助理班表!$D11)</f>
        <v/>
      </c>
      <c r="F200" s="16">
        <f>IF($C200="","",助理班表!$C11)</f>
        <v/>
      </c>
      <c r="G200" s="16">
        <f>IF($C200="","",助理班表!P11)</f>
        <v/>
      </c>
      <c r="H200" s="83">
        <f>IF($G200="","",IFERROR(IF(INDEX(設定!$D$6:$D$21,MATCH($G200,設定!$B$6:$B$21,0))=0,"",INDEX(設定!$D$6:$D$21,MATCH($G200,設定!$B$6:$B$21,0))),""))</f>
        <v/>
      </c>
      <c r="I200" s="83">
        <f>IF($G200="","",IFERROR(IF(INDEX(設定!$E$6:$E$21,MATCH($G200,設定!$B$6:$B$21,0))=0,"",INDEX(設定!$E$6:$E$21,MATCH($G200,設定!$B$6:$B$21,0))),""))</f>
        <v/>
      </c>
      <c r="J200" s="83">
        <f>IFERROR(INDEX(打卡匯入!$C$3:$C$2002,MATCH($C200&amp;"|"&amp;DAY($A200),打卡匯入!$E$3:$E$2002,0)),"")</f>
        <v/>
      </c>
      <c r="K200" s="83">
        <f>IFERROR(INDEX(打卡匯入!$D$3:$D$2002,MATCH($C200&amp;"|"&amp;DAY($A200),打卡匯入!$E$3:$E$2002,0)),"")</f>
        <v/>
      </c>
      <c r="L200" s="84">
        <f>IF(OR($J200="",$K200=""),"",IFERROR(INDEX(設定!$F$6:$F$21,MATCH($G200,設定!$B$6:$B$21,0)),0))</f>
        <v/>
      </c>
      <c r="M200" s="85">
        <f>IF(OR($J200="",$K200=""),"",ROUND(($K200-$J200)*24-$L200/60,2))</f>
        <v/>
      </c>
      <c r="N200" s="16">
        <f>IF($C200="","",IF(AND(COUNTIF(設定!$B$15:$B$21,$G200)&gt;0,$J200&lt;&gt;""),"假日出勤",IF(AND(COUNTIF(設定!$B$6:$B$14,$G200)&gt;0,$J200=""),"未打卡",IF($J200="","",IF($O200&gt;0,"遲到",IF($P200&gt;0,"早退","正常"))))))</f>
        <v/>
      </c>
      <c r="O200" s="84">
        <f>IF(OR($C200="",$H200="",$J200=""),0,IF(ROUND(($J200-$H200)*1440,0)&gt;設定!$C$46,ROUND(($J200-$H200)*1440,0),0))</f>
        <v/>
      </c>
      <c r="P200" s="84">
        <f>IF(OR($C200="",$I200="",$K200=""),0,IF(ROUND(($I200-$K200)*1440,0)&gt;設定!$C$46,ROUND(($I200-$K200)*1440,0),0))</f>
        <v/>
      </c>
      <c r="Q200" s="85">
        <f>IF($M200="",0,IF(($M200-IFERROR(INDEX(設定!$G$6:$G$21,MATCH($G200,設定!$B$6:$B$21,0)),0))*60&gt;=設定!$C$44,ROUND(FLOOR(($M200-IFERROR(INDEX(設定!$G$6:$G$21,MATCH($G200,設定!$B$6:$B$21,0)),0))*60,設定!$C$45)/60,2),0))</f>
        <v/>
      </c>
      <c r="R200" s="16">
        <f>IF(OR($C200="",$Q200=0),"",IF($G200="國","國定假日",IF($B200="日","例假",IF($B200="六","休息日","平日"))))</f>
        <v/>
      </c>
      <c r="S200" s="19" t="n"/>
    </row>
    <row r="201">
      <c r="A201" s="82">
        <f>IF(OR(助理班表!$A11="",13&gt;DAY(EOMONTH(DATE(設定!$C$2,設定!$D$2,1),0))),"",DATE(設定!$C$2,設定!$D$2,13))</f>
        <v/>
      </c>
      <c r="B201" s="16">
        <f>IF($A201="","",INDEX(設定!$O$6:$O$12,WEEKDAY($A201,1)))</f>
        <v/>
      </c>
      <c r="C201" s="16">
        <f>IF($A201="","",助理班表!$A11)</f>
        <v/>
      </c>
      <c r="D201" s="16">
        <f>IF($C201="","",助理班表!$B11)</f>
        <v/>
      </c>
      <c r="E201" s="16">
        <f>IF($C201="","",助理班表!$D11)</f>
        <v/>
      </c>
      <c r="F201" s="16">
        <f>IF($C201="","",助理班表!$C11)</f>
        <v/>
      </c>
      <c r="G201" s="16">
        <f>IF($C201="","",助理班表!Q11)</f>
        <v/>
      </c>
      <c r="H201" s="83">
        <f>IF($G201="","",IFERROR(IF(INDEX(設定!$D$6:$D$21,MATCH($G201,設定!$B$6:$B$21,0))=0,"",INDEX(設定!$D$6:$D$21,MATCH($G201,設定!$B$6:$B$21,0))),""))</f>
        <v/>
      </c>
      <c r="I201" s="83">
        <f>IF($G201="","",IFERROR(IF(INDEX(設定!$E$6:$E$21,MATCH($G201,設定!$B$6:$B$21,0))=0,"",INDEX(設定!$E$6:$E$21,MATCH($G201,設定!$B$6:$B$21,0))),""))</f>
        <v/>
      </c>
      <c r="J201" s="83">
        <f>IFERROR(INDEX(打卡匯入!$C$3:$C$2002,MATCH($C201&amp;"|"&amp;DAY($A201),打卡匯入!$E$3:$E$2002,0)),"")</f>
        <v/>
      </c>
      <c r="K201" s="83">
        <f>IFERROR(INDEX(打卡匯入!$D$3:$D$2002,MATCH($C201&amp;"|"&amp;DAY($A201),打卡匯入!$E$3:$E$2002,0)),"")</f>
        <v/>
      </c>
      <c r="L201" s="84">
        <f>IF(OR($J201="",$K201=""),"",IFERROR(INDEX(設定!$F$6:$F$21,MATCH($G201,設定!$B$6:$B$21,0)),0))</f>
        <v/>
      </c>
      <c r="M201" s="85">
        <f>IF(OR($J201="",$K201=""),"",ROUND(($K201-$J201)*24-$L201/60,2))</f>
        <v/>
      </c>
      <c r="N201" s="16">
        <f>IF($C201="","",IF(AND(COUNTIF(設定!$B$15:$B$21,$G201)&gt;0,$J201&lt;&gt;""),"假日出勤",IF(AND(COUNTIF(設定!$B$6:$B$14,$G201)&gt;0,$J201=""),"未打卡",IF($J201="","",IF($O201&gt;0,"遲到",IF($P201&gt;0,"早退","正常"))))))</f>
        <v/>
      </c>
      <c r="O201" s="84">
        <f>IF(OR($C201="",$H201="",$J201=""),0,IF(ROUND(($J201-$H201)*1440,0)&gt;設定!$C$46,ROUND(($J201-$H201)*1440,0),0))</f>
        <v/>
      </c>
      <c r="P201" s="84">
        <f>IF(OR($C201="",$I201="",$K201=""),0,IF(ROUND(($I201-$K201)*1440,0)&gt;設定!$C$46,ROUND(($I201-$K201)*1440,0),0))</f>
        <v/>
      </c>
      <c r="Q201" s="85">
        <f>IF($M201="",0,IF(($M201-IFERROR(INDEX(設定!$G$6:$G$21,MATCH($G201,設定!$B$6:$B$21,0)),0))*60&gt;=設定!$C$44,ROUND(FLOOR(($M201-IFERROR(INDEX(設定!$G$6:$G$21,MATCH($G201,設定!$B$6:$B$21,0)),0))*60,設定!$C$45)/60,2),0))</f>
        <v/>
      </c>
      <c r="R201" s="16">
        <f>IF(OR($C201="",$Q201=0),"",IF($G201="國","國定假日",IF($B201="日","例假",IF($B201="六","休息日","平日"))))</f>
        <v/>
      </c>
      <c r="S201" s="19" t="n"/>
    </row>
    <row r="202">
      <c r="A202" s="82">
        <f>IF(OR(助理班表!$A11="",14&gt;DAY(EOMONTH(DATE(設定!$C$2,設定!$D$2,1),0))),"",DATE(設定!$C$2,設定!$D$2,14))</f>
        <v/>
      </c>
      <c r="B202" s="16">
        <f>IF($A202="","",INDEX(設定!$O$6:$O$12,WEEKDAY($A202,1)))</f>
        <v/>
      </c>
      <c r="C202" s="16">
        <f>IF($A202="","",助理班表!$A11)</f>
        <v/>
      </c>
      <c r="D202" s="16">
        <f>IF($C202="","",助理班表!$B11)</f>
        <v/>
      </c>
      <c r="E202" s="16">
        <f>IF($C202="","",助理班表!$D11)</f>
        <v/>
      </c>
      <c r="F202" s="16">
        <f>IF($C202="","",助理班表!$C11)</f>
        <v/>
      </c>
      <c r="G202" s="16">
        <f>IF($C202="","",助理班表!R11)</f>
        <v/>
      </c>
      <c r="H202" s="83">
        <f>IF($G202="","",IFERROR(IF(INDEX(設定!$D$6:$D$21,MATCH($G202,設定!$B$6:$B$21,0))=0,"",INDEX(設定!$D$6:$D$21,MATCH($G202,設定!$B$6:$B$21,0))),""))</f>
        <v/>
      </c>
      <c r="I202" s="83">
        <f>IF($G202="","",IFERROR(IF(INDEX(設定!$E$6:$E$21,MATCH($G202,設定!$B$6:$B$21,0))=0,"",INDEX(設定!$E$6:$E$21,MATCH($G202,設定!$B$6:$B$21,0))),""))</f>
        <v/>
      </c>
      <c r="J202" s="83">
        <f>IFERROR(INDEX(打卡匯入!$C$3:$C$2002,MATCH($C202&amp;"|"&amp;DAY($A202),打卡匯入!$E$3:$E$2002,0)),"")</f>
        <v/>
      </c>
      <c r="K202" s="83">
        <f>IFERROR(INDEX(打卡匯入!$D$3:$D$2002,MATCH($C202&amp;"|"&amp;DAY($A202),打卡匯入!$E$3:$E$2002,0)),"")</f>
        <v/>
      </c>
      <c r="L202" s="84">
        <f>IF(OR($J202="",$K202=""),"",IFERROR(INDEX(設定!$F$6:$F$21,MATCH($G202,設定!$B$6:$B$21,0)),0))</f>
        <v/>
      </c>
      <c r="M202" s="85">
        <f>IF(OR($J202="",$K202=""),"",ROUND(($K202-$J202)*24-$L202/60,2))</f>
        <v/>
      </c>
      <c r="N202" s="16">
        <f>IF($C202="","",IF(AND(COUNTIF(設定!$B$15:$B$21,$G202)&gt;0,$J202&lt;&gt;""),"假日出勤",IF(AND(COUNTIF(設定!$B$6:$B$14,$G202)&gt;0,$J202=""),"未打卡",IF($J202="","",IF($O202&gt;0,"遲到",IF($P202&gt;0,"早退","正常"))))))</f>
        <v/>
      </c>
      <c r="O202" s="84">
        <f>IF(OR($C202="",$H202="",$J202=""),0,IF(ROUND(($J202-$H202)*1440,0)&gt;設定!$C$46,ROUND(($J202-$H202)*1440,0),0))</f>
        <v/>
      </c>
      <c r="P202" s="84">
        <f>IF(OR($C202="",$I202="",$K202=""),0,IF(ROUND(($I202-$K202)*1440,0)&gt;設定!$C$46,ROUND(($I202-$K202)*1440,0),0))</f>
        <v/>
      </c>
      <c r="Q202" s="85">
        <f>IF($M202="",0,IF(($M202-IFERROR(INDEX(設定!$G$6:$G$21,MATCH($G202,設定!$B$6:$B$21,0)),0))*60&gt;=設定!$C$44,ROUND(FLOOR(($M202-IFERROR(INDEX(設定!$G$6:$G$21,MATCH($G202,設定!$B$6:$B$21,0)),0))*60,設定!$C$45)/60,2),0))</f>
        <v/>
      </c>
      <c r="R202" s="16">
        <f>IF(OR($C202="",$Q202=0),"",IF($G202="國","國定假日",IF($B202="日","例假",IF($B202="六","休息日","平日"))))</f>
        <v/>
      </c>
      <c r="S202" s="19" t="n"/>
    </row>
    <row r="203">
      <c r="A203" s="82">
        <f>IF(OR(助理班表!$A11="",15&gt;DAY(EOMONTH(DATE(設定!$C$2,設定!$D$2,1),0))),"",DATE(設定!$C$2,設定!$D$2,15))</f>
        <v/>
      </c>
      <c r="B203" s="16">
        <f>IF($A203="","",INDEX(設定!$O$6:$O$12,WEEKDAY($A203,1)))</f>
        <v/>
      </c>
      <c r="C203" s="16">
        <f>IF($A203="","",助理班表!$A11)</f>
        <v/>
      </c>
      <c r="D203" s="16">
        <f>IF($C203="","",助理班表!$B11)</f>
        <v/>
      </c>
      <c r="E203" s="16">
        <f>IF($C203="","",助理班表!$D11)</f>
        <v/>
      </c>
      <c r="F203" s="16">
        <f>IF($C203="","",助理班表!$C11)</f>
        <v/>
      </c>
      <c r="G203" s="16">
        <f>IF($C203="","",助理班表!S11)</f>
        <v/>
      </c>
      <c r="H203" s="83">
        <f>IF($G203="","",IFERROR(IF(INDEX(設定!$D$6:$D$21,MATCH($G203,設定!$B$6:$B$21,0))=0,"",INDEX(設定!$D$6:$D$21,MATCH($G203,設定!$B$6:$B$21,0))),""))</f>
        <v/>
      </c>
      <c r="I203" s="83">
        <f>IF($G203="","",IFERROR(IF(INDEX(設定!$E$6:$E$21,MATCH($G203,設定!$B$6:$B$21,0))=0,"",INDEX(設定!$E$6:$E$21,MATCH($G203,設定!$B$6:$B$21,0))),""))</f>
        <v/>
      </c>
      <c r="J203" s="83">
        <f>IFERROR(INDEX(打卡匯入!$C$3:$C$2002,MATCH($C203&amp;"|"&amp;DAY($A203),打卡匯入!$E$3:$E$2002,0)),"")</f>
        <v/>
      </c>
      <c r="K203" s="83">
        <f>IFERROR(INDEX(打卡匯入!$D$3:$D$2002,MATCH($C203&amp;"|"&amp;DAY($A203),打卡匯入!$E$3:$E$2002,0)),"")</f>
        <v/>
      </c>
      <c r="L203" s="84">
        <f>IF(OR($J203="",$K203=""),"",IFERROR(INDEX(設定!$F$6:$F$21,MATCH($G203,設定!$B$6:$B$21,0)),0))</f>
        <v/>
      </c>
      <c r="M203" s="85">
        <f>IF(OR($J203="",$K203=""),"",ROUND(($K203-$J203)*24-$L203/60,2))</f>
        <v/>
      </c>
      <c r="N203" s="16">
        <f>IF($C203="","",IF(AND(COUNTIF(設定!$B$15:$B$21,$G203)&gt;0,$J203&lt;&gt;""),"假日出勤",IF(AND(COUNTIF(設定!$B$6:$B$14,$G203)&gt;0,$J203=""),"未打卡",IF($J203="","",IF($O203&gt;0,"遲到",IF($P203&gt;0,"早退","正常"))))))</f>
        <v/>
      </c>
      <c r="O203" s="84">
        <f>IF(OR($C203="",$H203="",$J203=""),0,IF(ROUND(($J203-$H203)*1440,0)&gt;設定!$C$46,ROUND(($J203-$H203)*1440,0),0))</f>
        <v/>
      </c>
      <c r="P203" s="84">
        <f>IF(OR($C203="",$I203="",$K203=""),0,IF(ROUND(($I203-$K203)*1440,0)&gt;設定!$C$46,ROUND(($I203-$K203)*1440,0),0))</f>
        <v/>
      </c>
      <c r="Q203" s="85">
        <f>IF($M203="",0,IF(($M203-IFERROR(INDEX(設定!$G$6:$G$21,MATCH($G203,設定!$B$6:$B$21,0)),0))*60&gt;=設定!$C$44,ROUND(FLOOR(($M203-IFERROR(INDEX(設定!$G$6:$G$21,MATCH($G203,設定!$B$6:$B$21,0)),0))*60,設定!$C$45)/60,2),0))</f>
        <v/>
      </c>
      <c r="R203" s="16">
        <f>IF(OR($C203="",$Q203=0),"",IF($G203="國","國定假日",IF($B203="日","例假",IF($B203="六","休息日","平日"))))</f>
        <v/>
      </c>
      <c r="S203" s="19" t="n"/>
    </row>
    <row r="204">
      <c r="A204" s="82">
        <f>IF(OR(助理班表!$A11="",16&gt;DAY(EOMONTH(DATE(設定!$C$2,設定!$D$2,1),0))),"",DATE(設定!$C$2,設定!$D$2,16))</f>
        <v/>
      </c>
      <c r="B204" s="16">
        <f>IF($A204="","",INDEX(設定!$O$6:$O$12,WEEKDAY($A204,1)))</f>
        <v/>
      </c>
      <c r="C204" s="16">
        <f>IF($A204="","",助理班表!$A11)</f>
        <v/>
      </c>
      <c r="D204" s="16">
        <f>IF($C204="","",助理班表!$B11)</f>
        <v/>
      </c>
      <c r="E204" s="16">
        <f>IF($C204="","",助理班表!$D11)</f>
        <v/>
      </c>
      <c r="F204" s="16">
        <f>IF($C204="","",助理班表!$C11)</f>
        <v/>
      </c>
      <c r="G204" s="16">
        <f>IF($C204="","",助理班表!T11)</f>
        <v/>
      </c>
      <c r="H204" s="83">
        <f>IF($G204="","",IFERROR(IF(INDEX(設定!$D$6:$D$21,MATCH($G204,設定!$B$6:$B$21,0))=0,"",INDEX(設定!$D$6:$D$21,MATCH($G204,設定!$B$6:$B$21,0))),""))</f>
        <v/>
      </c>
      <c r="I204" s="83">
        <f>IF($G204="","",IFERROR(IF(INDEX(設定!$E$6:$E$21,MATCH($G204,設定!$B$6:$B$21,0))=0,"",INDEX(設定!$E$6:$E$21,MATCH($G204,設定!$B$6:$B$21,0))),""))</f>
        <v/>
      </c>
      <c r="J204" s="83">
        <f>IFERROR(INDEX(打卡匯入!$C$3:$C$2002,MATCH($C204&amp;"|"&amp;DAY($A204),打卡匯入!$E$3:$E$2002,0)),"")</f>
        <v/>
      </c>
      <c r="K204" s="83">
        <f>IFERROR(INDEX(打卡匯入!$D$3:$D$2002,MATCH($C204&amp;"|"&amp;DAY($A204),打卡匯入!$E$3:$E$2002,0)),"")</f>
        <v/>
      </c>
      <c r="L204" s="84">
        <f>IF(OR($J204="",$K204=""),"",IFERROR(INDEX(設定!$F$6:$F$21,MATCH($G204,設定!$B$6:$B$21,0)),0))</f>
        <v/>
      </c>
      <c r="M204" s="85">
        <f>IF(OR($J204="",$K204=""),"",ROUND(($K204-$J204)*24-$L204/60,2))</f>
        <v/>
      </c>
      <c r="N204" s="16">
        <f>IF($C204="","",IF(AND(COUNTIF(設定!$B$15:$B$21,$G204)&gt;0,$J204&lt;&gt;""),"假日出勤",IF(AND(COUNTIF(設定!$B$6:$B$14,$G204)&gt;0,$J204=""),"未打卡",IF($J204="","",IF($O204&gt;0,"遲到",IF($P204&gt;0,"早退","正常"))))))</f>
        <v/>
      </c>
      <c r="O204" s="84">
        <f>IF(OR($C204="",$H204="",$J204=""),0,IF(ROUND(($J204-$H204)*1440,0)&gt;設定!$C$46,ROUND(($J204-$H204)*1440,0),0))</f>
        <v/>
      </c>
      <c r="P204" s="84">
        <f>IF(OR($C204="",$I204="",$K204=""),0,IF(ROUND(($I204-$K204)*1440,0)&gt;設定!$C$46,ROUND(($I204-$K204)*1440,0),0))</f>
        <v/>
      </c>
      <c r="Q204" s="85">
        <f>IF($M204="",0,IF(($M204-IFERROR(INDEX(設定!$G$6:$G$21,MATCH($G204,設定!$B$6:$B$21,0)),0))*60&gt;=設定!$C$44,ROUND(FLOOR(($M204-IFERROR(INDEX(設定!$G$6:$G$21,MATCH($G204,設定!$B$6:$B$21,0)),0))*60,設定!$C$45)/60,2),0))</f>
        <v/>
      </c>
      <c r="R204" s="16">
        <f>IF(OR($C204="",$Q204=0),"",IF($G204="國","國定假日",IF($B204="日","例假",IF($B204="六","休息日","平日"))))</f>
        <v/>
      </c>
      <c r="S204" s="19" t="n"/>
    </row>
    <row r="205">
      <c r="A205" s="82">
        <f>IF(OR(助理班表!$A11="",17&gt;DAY(EOMONTH(DATE(設定!$C$2,設定!$D$2,1),0))),"",DATE(設定!$C$2,設定!$D$2,17))</f>
        <v/>
      </c>
      <c r="B205" s="16">
        <f>IF($A205="","",INDEX(設定!$O$6:$O$12,WEEKDAY($A205,1)))</f>
        <v/>
      </c>
      <c r="C205" s="16">
        <f>IF($A205="","",助理班表!$A11)</f>
        <v/>
      </c>
      <c r="D205" s="16">
        <f>IF($C205="","",助理班表!$B11)</f>
        <v/>
      </c>
      <c r="E205" s="16">
        <f>IF($C205="","",助理班表!$D11)</f>
        <v/>
      </c>
      <c r="F205" s="16">
        <f>IF($C205="","",助理班表!$C11)</f>
        <v/>
      </c>
      <c r="G205" s="16">
        <f>IF($C205="","",助理班表!U11)</f>
        <v/>
      </c>
      <c r="H205" s="83">
        <f>IF($G205="","",IFERROR(IF(INDEX(設定!$D$6:$D$21,MATCH($G205,設定!$B$6:$B$21,0))=0,"",INDEX(設定!$D$6:$D$21,MATCH($G205,設定!$B$6:$B$21,0))),""))</f>
        <v/>
      </c>
      <c r="I205" s="83">
        <f>IF($G205="","",IFERROR(IF(INDEX(設定!$E$6:$E$21,MATCH($G205,設定!$B$6:$B$21,0))=0,"",INDEX(設定!$E$6:$E$21,MATCH($G205,設定!$B$6:$B$21,0))),""))</f>
        <v/>
      </c>
      <c r="J205" s="83">
        <f>IFERROR(INDEX(打卡匯入!$C$3:$C$2002,MATCH($C205&amp;"|"&amp;DAY($A205),打卡匯入!$E$3:$E$2002,0)),"")</f>
        <v/>
      </c>
      <c r="K205" s="83">
        <f>IFERROR(INDEX(打卡匯入!$D$3:$D$2002,MATCH($C205&amp;"|"&amp;DAY($A205),打卡匯入!$E$3:$E$2002,0)),"")</f>
        <v/>
      </c>
      <c r="L205" s="84">
        <f>IF(OR($J205="",$K205=""),"",IFERROR(INDEX(設定!$F$6:$F$21,MATCH($G205,設定!$B$6:$B$21,0)),0))</f>
        <v/>
      </c>
      <c r="M205" s="85">
        <f>IF(OR($J205="",$K205=""),"",ROUND(($K205-$J205)*24-$L205/60,2))</f>
        <v/>
      </c>
      <c r="N205" s="16">
        <f>IF($C205="","",IF(AND(COUNTIF(設定!$B$15:$B$21,$G205)&gt;0,$J205&lt;&gt;""),"假日出勤",IF(AND(COUNTIF(設定!$B$6:$B$14,$G205)&gt;0,$J205=""),"未打卡",IF($J205="","",IF($O205&gt;0,"遲到",IF($P205&gt;0,"早退","正常"))))))</f>
        <v/>
      </c>
      <c r="O205" s="84">
        <f>IF(OR($C205="",$H205="",$J205=""),0,IF(ROUND(($J205-$H205)*1440,0)&gt;設定!$C$46,ROUND(($J205-$H205)*1440,0),0))</f>
        <v/>
      </c>
      <c r="P205" s="84">
        <f>IF(OR($C205="",$I205="",$K205=""),0,IF(ROUND(($I205-$K205)*1440,0)&gt;設定!$C$46,ROUND(($I205-$K205)*1440,0),0))</f>
        <v/>
      </c>
      <c r="Q205" s="85">
        <f>IF($M205="",0,IF(($M205-IFERROR(INDEX(設定!$G$6:$G$21,MATCH($G205,設定!$B$6:$B$21,0)),0))*60&gt;=設定!$C$44,ROUND(FLOOR(($M205-IFERROR(INDEX(設定!$G$6:$G$21,MATCH($G205,設定!$B$6:$B$21,0)),0))*60,設定!$C$45)/60,2),0))</f>
        <v/>
      </c>
      <c r="R205" s="16">
        <f>IF(OR($C205="",$Q205=0),"",IF($G205="國","國定假日",IF($B205="日","例假",IF($B205="六","休息日","平日"))))</f>
        <v/>
      </c>
      <c r="S205" s="19" t="n"/>
    </row>
    <row r="206">
      <c r="A206" s="82">
        <f>IF(OR(助理班表!$A11="",18&gt;DAY(EOMONTH(DATE(設定!$C$2,設定!$D$2,1),0))),"",DATE(設定!$C$2,設定!$D$2,18))</f>
        <v/>
      </c>
      <c r="B206" s="16">
        <f>IF($A206="","",INDEX(設定!$O$6:$O$12,WEEKDAY($A206,1)))</f>
        <v/>
      </c>
      <c r="C206" s="16">
        <f>IF($A206="","",助理班表!$A11)</f>
        <v/>
      </c>
      <c r="D206" s="16">
        <f>IF($C206="","",助理班表!$B11)</f>
        <v/>
      </c>
      <c r="E206" s="16">
        <f>IF($C206="","",助理班表!$D11)</f>
        <v/>
      </c>
      <c r="F206" s="16">
        <f>IF($C206="","",助理班表!$C11)</f>
        <v/>
      </c>
      <c r="G206" s="16">
        <f>IF($C206="","",助理班表!V11)</f>
        <v/>
      </c>
      <c r="H206" s="83">
        <f>IF($G206="","",IFERROR(IF(INDEX(設定!$D$6:$D$21,MATCH($G206,設定!$B$6:$B$21,0))=0,"",INDEX(設定!$D$6:$D$21,MATCH($G206,設定!$B$6:$B$21,0))),""))</f>
        <v/>
      </c>
      <c r="I206" s="83">
        <f>IF($G206="","",IFERROR(IF(INDEX(設定!$E$6:$E$21,MATCH($G206,設定!$B$6:$B$21,0))=0,"",INDEX(設定!$E$6:$E$21,MATCH($G206,設定!$B$6:$B$21,0))),""))</f>
        <v/>
      </c>
      <c r="J206" s="83">
        <f>IFERROR(INDEX(打卡匯入!$C$3:$C$2002,MATCH($C206&amp;"|"&amp;DAY($A206),打卡匯入!$E$3:$E$2002,0)),"")</f>
        <v/>
      </c>
      <c r="K206" s="83">
        <f>IFERROR(INDEX(打卡匯入!$D$3:$D$2002,MATCH($C206&amp;"|"&amp;DAY($A206),打卡匯入!$E$3:$E$2002,0)),"")</f>
        <v/>
      </c>
      <c r="L206" s="84">
        <f>IF(OR($J206="",$K206=""),"",IFERROR(INDEX(設定!$F$6:$F$21,MATCH($G206,設定!$B$6:$B$21,0)),0))</f>
        <v/>
      </c>
      <c r="M206" s="85">
        <f>IF(OR($J206="",$K206=""),"",ROUND(($K206-$J206)*24-$L206/60,2))</f>
        <v/>
      </c>
      <c r="N206" s="16">
        <f>IF($C206="","",IF(AND(COUNTIF(設定!$B$15:$B$21,$G206)&gt;0,$J206&lt;&gt;""),"假日出勤",IF(AND(COUNTIF(設定!$B$6:$B$14,$G206)&gt;0,$J206=""),"未打卡",IF($J206="","",IF($O206&gt;0,"遲到",IF($P206&gt;0,"早退","正常"))))))</f>
        <v/>
      </c>
      <c r="O206" s="84">
        <f>IF(OR($C206="",$H206="",$J206=""),0,IF(ROUND(($J206-$H206)*1440,0)&gt;設定!$C$46,ROUND(($J206-$H206)*1440,0),0))</f>
        <v/>
      </c>
      <c r="P206" s="84">
        <f>IF(OR($C206="",$I206="",$K206=""),0,IF(ROUND(($I206-$K206)*1440,0)&gt;設定!$C$46,ROUND(($I206-$K206)*1440,0),0))</f>
        <v/>
      </c>
      <c r="Q206" s="85">
        <f>IF($M206="",0,IF(($M206-IFERROR(INDEX(設定!$G$6:$G$21,MATCH($G206,設定!$B$6:$B$21,0)),0))*60&gt;=設定!$C$44,ROUND(FLOOR(($M206-IFERROR(INDEX(設定!$G$6:$G$21,MATCH($G206,設定!$B$6:$B$21,0)),0))*60,設定!$C$45)/60,2),0))</f>
        <v/>
      </c>
      <c r="R206" s="16">
        <f>IF(OR($C206="",$Q206=0),"",IF($G206="國","國定假日",IF($B206="日","例假",IF($B206="六","休息日","平日"))))</f>
        <v/>
      </c>
      <c r="S206" s="19" t="n"/>
    </row>
    <row r="207">
      <c r="A207" s="82">
        <f>IF(OR(助理班表!$A11="",19&gt;DAY(EOMONTH(DATE(設定!$C$2,設定!$D$2,1),0))),"",DATE(設定!$C$2,設定!$D$2,19))</f>
        <v/>
      </c>
      <c r="B207" s="16">
        <f>IF($A207="","",INDEX(設定!$O$6:$O$12,WEEKDAY($A207,1)))</f>
        <v/>
      </c>
      <c r="C207" s="16">
        <f>IF($A207="","",助理班表!$A11)</f>
        <v/>
      </c>
      <c r="D207" s="16">
        <f>IF($C207="","",助理班表!$B11)</f>
        <v/>
      </c>
      <c r="E207" s="16">
        <f>IF($C207="","",助理班表!$D11)</f>
        <v/>
      </c>
      <c r="F207" s="16">
        <f>IF($C207="","",助理班表!$C11)</f>
        <v/>
      </c>
      <c r="G207" s="16">
        <f>IF($C207="","",助理班表!W11)</f>
        <v/>
      </c>
      <c r="H207" s="83">
        <f>IF($G207="","",IFERROR(IF(INDEX(設定!$D$6:$D$21,MATCH($G207,設定!$B$6:$B$21,0))=0,"",INDEX(設定!$D$6:$D$21,MATCH($G207,設定!$B$6:$B$21,0))),""))</f>
        <v/>
      </c>
      <c r="I207" s="83">
        <f>IF($G207="","",IFERROR(IF(INDEX(設定!$E$6:$E$21,MATCH($G207,設定!$B$6:$B$21,0))=0,"",INDEX(設定!$E$6:$E$21,MATCH($G207,設定!$B$6:$B$21,0))),""))</f>
        <v/>
      </c>
      <c r="J207" s="83">
        <f>IFERROR(INDEX(打卡匯入!$C$3:$C$2002,MATCH($C207&amp;"|"&amp;DAY($A207),打卡匯入!$E$3:$E$2002,0)),"")</f>
        <v/>
      </c>
      <c r="K207" s="83">
        <f>IFERROR(INDEX(打卡匯入!$D$3:$D$2002,MATCH($C207&amp;"|"&amp;DAY($A207),打卡匯入!$E$3:$E$2002,0)),"")</f>
        <v/>
      </c>
      <c r="L207" s="84">
        <f>IF(OR($J207="",$K207=""),"",IFERROR(INDEX(設定!$F$6:$F$21,MATCH($G207,設定!$B$6:$B$21,0)),0))</f>
        <v/>
      </c>
      <c r="M207" s="85">
        <f>IF(OR($J207="",$K207=""),"",ROUND(($K207-$J207)*24-$L207/60,2))</f>
        <v/>
      </c>
      <c r="N207" s="16">
        <f>IF($C207="","",IF(AND(COUNTIF(設定!$B$15:$B$21,$G207)&gt;0,$J207&lt;&gt;""),"假日出勤",IF(AND(COUNTIF(設定!$B$6:$B$14,$G207)&gt;0,$J207=""),"未打卡",IF($J207="","",IF($O207&gt;0,"遲到",IF($P207&gt;0,"早退","正常"))))))</f>
        <v/>
      </c>
      <c r="O207" s="84">
        <f>IF(OR($C207="",$H207="",$J207=""),0,IF(ROUND(($J207-$H207)*1440,0)&gt;設定!$C$46,ROUND(($J207-$H207)*1440,0),0))</f>
        <v/>
      </c>
      <c r="P207" s="84">
        <f>IF(OR($C207="",$I207="",$K207=""),0,IF(ROUND(($I207-$K207)*1440,0)&gt;設定!$C$46,ROUND(($I207-$K207)*1440,0),0))</f>
        <v/>
      </c>
      <c r="Q207" s="85">
        <f>IF($M207="",0,IF(($M207-IFERROR(INDEX(設定!$G$6:$G$21,MATCH($G207,設定!$B$6:$B$21,0)),0))*60&gt;=設定!$C$44,ROUND(FLOOR(($M207-IFERROR(INDEX(設定!$G$6:$G$21,MATCH($G207,設定!$B$6:$B$21,0)),0))*60,設定!$C$45)/60,2),0))</f>
        <v/>
      </c>
      <c r="R207" s="16">
        <f>IF(OR($C207="",$Q207=0),"",IF($G207="國","國定假日",IF($B207="日","例假",IF($B207="六","休息日","平日"))))</f>
        <v/>
      </c>
      <c r="S207" s="19" t="n"/>
    </row>
    <row r="208">
      <c r="A208" s="82">
        <f>IF(OR(助理班表!$A11="",20&gt;DAY(EOMONTH(DATE(設定!$C$2,設定!$D$2,1),0))),"",DATE(設定!$C$2,設定!$D$2,20))</f>
        <v/>
      </c>
      <c r="B208" s="16">
        <f>IF($A208="","",INDEX(設定!$O$6:$O$12,WEEKDAY($A208,1)))</f>
        <v/>
      </c>
      <c r="C208" s="16">
        <f>IF($A208="","",助理班表!$A11)</f>
        <v/>
      </c>
      <c r="D208" s="16">
        <f>IF($C208="","",助理班表!$B11)</f>
        <v/>
      </c>
      <c r="E208" s="16">
        <f>IF($C208="","",助理班表!$D11)</f>
        <v/>
      </c>
      <c r="F208" s="16">
        <f>IF($C208="","",助理班表!$C11)</f>
        <v/>
      </c>
      <c r="G208" s="16">
        <f>IF($C208="","",助理班表!X11)</f>
        <v/>
      </c>
      <c r="H208" s="83">
        <f>IF($G208="","",IFERROR(IF(INDEX(設定!$D$6:$D$21,MATCH($G208,設定!$B$6:$B$21,0))=0,"",INDEX(設定!$D$6:$D$21,MATCH($G208,設定!$B$6:$B$21,0))),""))</f>
        <v/>
      </c>
      <c r="I208" s="83">
        <f>IF($G208="","",IFERROR(IF(INDEX(設定!$E$6:$E$21,MATCH($G208,設定!$B$6:$B$21,0))=0,"",INDEX(設定!$E$6:$E$21,MATCH($G208,設定!$B$6:$B$21,0))),""))</f>
        <v/>
      </c>
      <c r="J208" s="83">
        <f>IFERROR(INDEX(打卡匯入!$C$3:$C$2002,MATCH($C208&amp;"|"&amp;DAY($A208),打卡匯入!$E$3:$E$2002,0)),"")</f>
        <v/>
      </c>
      <c r="K208" s="83">
        <f>IFERROR(INDEX(打卡匯入!$D$3:$D$2002,MATCH($C208&amp;"|"&amp;DAY($A208),打卡匯入!$E$3:$E$2002,0)),"")</f>
        <v/>
      </c>
      <c r="L208" s="84">
        <f>IF(OR($J208="",$K208=""),"",IFERROR(INDEX(設定!$F$6:$F$21,MATCH($G208,設定!$B$6:$B$21,0)),0))</f>
        <v/>
      </c>
      <c r="M208" s="85">
        <f>IF(OR($J208="",$K208=""),"",ROUND(($K208-$J208)*24-$L208/60,2))</f>
        <v/>
      </c>
      <c r="N208" s="16">
        <f>IF($C208="","",IF(AND(COUNTIF(設定!$B$15:$B$21,$G208)&gt;0,$J208&lt;&gt;""),"假日出勤",IF(AND(COUNTIF(設定!$B$6:$B$14,$G208)&gt;0,$J208=""),"未打卡",IF($J208="","",IF($O208&gt;0,"遲到",IF($P208&gt;0,"早退","正常"))))))</f>
        <v/>
      </c>
      <c r="O208" s="84">
        <f>IF(OR($C208="",$H208="",$J208=""),0,IF(ROUND(($J208-$H208)*1440,0)&gt;設定!$C$46,ROUND(($J208-$H208)*1440,0),0))</f>
        <v/>
      </c>
      <c r="P208" s="84">
        <f>IF(OR($C208="",$I208="",$K208=""),0,IF(ROUND(($I208-$K208)*1440,0)&gt;設定!$C$46,ROUND(($I208-$K208)*1440,0),0))</f>
        <v/>
      </c>
      <c r="Q208" s="85">
        <f>IF($M208="",0,IF(($M208-IFERROR(INDEX(設定!$G$6:$G$21,MATCH($G208,設定!$B$6:$B$21,0)),0))*60&gt;=設定!$C$44,ROUND(FLOOR(($M208-IFERROR(INDEX(設定!$G$6:$G$21,MATCH($G208,設定!$B$6:$B$21,0)),0))*60,設定!$C$45)/60,2),0))</f>
        <v/>
      </c>
      <c r="R208" s="16">
        <f>IF(OR($C208="",$Q208=0),"",IF($G208="國","國定假日",IF($B208="日","例假",IF($B208="六","休息日","平日"))))</f>
        <v/>
      </c>
      <c r="S208" s="19" t="n"/>
    </row>
    <row r="209">
      <c r="A209" s="82">
        <f>IF(OR(助理班表!$A11="",21&gt;DAY(EOMONTH(DATE(設定!$C$2,設定!$D$2,1),0))),"",DATE(設定!$C$2,設定!$D$2,21))</f>
        <v/>
      </c>
      <c r="B209" s="16">
        <f>IF($A209="","",INDEX(設定!$O$6:$O$12,WEEKDAY($A209,1)))</f>
        <v/>
      </c>
      <c r="C209" s="16">
        <f>IF($A209="","",助理班表!$A11)</f>
        <v/>
      </c>
      <c r="D209" s="16">
        <f>IF($C209="","",助理班表!$B11)</f>
        <v/>
      </c>
      <c r="E209" s="16">
        <f>IF($C209="","",助理班表!$D11)</f>
        <v/>
      </c>
      <c r="F209" s="16">
        <f>IF($C209="","",助理班表!$C11)</f>
        <v/>
      </c>
      <c r="G209" s="16">
        <f>IF($C209="","",助理班表!Y11)</f>
        <v/>
      </c>
      <c r="H209" s="83">
        <f>IF($G209="","",IFERROR(IF(INDEX(設定!$D$6:$D$21,MATCH($G209,設定!$B$6:$B$21,0))=0,"",INDEX(設定!$D$6:$D$21,MATCH($G209,設定!$B$6:$B$21,0))),""))</f>
        <v/>
      </c>
      <c r="I209" s="83">
        <f>IF($G209="","",IFERROR(IF(INDEX(設定!$E$6:$E$21,MATCH($G209,設定!$B$6:$B$21,0))=0,"",INDEX(設定!$E$6:$E$21,MATCH($G209,設定!$B$6:$B$21,0))),""))</f>
        <v/>
      </c>
      <c r="J209" s="83">
        <f>IFERROR(INDEX(打卡匯入!$C$3:$C$2002,MATCH($C209&amp;"|"&amp;DAY($A209),打卡匯入!$E$3:$E$2002,0)),"")</f>
        <v/>
      </c>
      <c r="K209" s="83">
        <f>IFERROR(INDEX(打卡匯入!$D$3:$D$2002,MATCH($C209&amp;"|"&amp;DAY($A209),打卡匯入!$E$3:$E$2002,0)),"")</f>
        <v/>
      </c>
      <c r="L209" s="84">
        <f>IF(OR($J209="",$K209=""),"",IFERROR(INDEX(設定!$F$6:$F$21,MATCH($G209,設定!$B$6:$B$21,0)),0))</f>
        <v/>
      </c>
      <c r="M209" s="85">
        <f>IF(OR($J209="",$K209=""),"",ROUND(($K209-$J209)*24-$L209/60,2))</f>
        <v/>
      </c>
      <c r="N209" s="16">
        <f>IF($C209="","",IF(AND(COUNTIF(設定!$B$15:$B$21,$G209)&gt;0,$J209&lt;&gt;""),"假日出勤",IF(AND(COUNTIF(設定!$B$6:$B$14,$G209)&gt;0,$J209=""),"未打卡",IF($J209="","",IF($O209&gt;0,"遲到",IF($P209&gt;0,"早退","正常"))))))</f>
        <v/>
      </c>
      <c r="O209" s="84">
        <f>IF(OR($C209="",$H209="",$J209=""),0,IF(ROUND(($J209-$H209)*1440,0)&gt;設定!$C$46,ROUND(($J209-$H209)*1440,0),0))</f>
        <v/>
      </c>
      <c r="P209" s="84">
        <f>IF(OR($C209="",$I209="",$K209=""),0,IF(ROUND(($I209-$K209)*1440,0)&gt;設定!$C$46,ROUND(($I209-$K209)*1440,0),0))</f>
        <v/>
      </c>
      <c r="Q209" s="85">
        <f>IF($M209="",0,IF(($M209-IFERROR(INDEX(設定!$G$6:$G$21,MATCH($G209,設定!$B$6:$B$21,0)),0))*60&gt;=設定!$C$44,ROUND(FLOOR(($M209-IFERROR(INDEX(設定!$G$6:$G$21,MATCH($G209,設定!$B$6:$B$21,0)),0))*60,設定!$C$45)/60,2),0))</f>
        <v/>
      </c>
      <c r="R209" s="16">
        <f>IF(OR($C209="",$Q209=0),"",IF($G209="國","國定假日",IF($B209="日","例假",IF($B209="六","休息日","平日"))))</f>
        <v/>
      </c>
      <c r="S209" s="19" t="n"/>
    </row>
    <row r="210">
      <c r="A210" s="82">
        <f>IF(OR(助理班表!$A11="",22&gt;DAY(EOMONTH(DATE(設定!$C$2,設定!$D$2,1),0))),"",DATE(設定!$C$2,設定!$D$2,22))</f>
        <v/>
      </c>
      <c r="B210" s="16">
        <f>IF($A210="","",INDEX(設定!$O$6:$O$12,WEEKDAY($A210,1)))</f>
        <v/>
      </c>
      <c r="C210" s="16">
        <f>IF($A210="","",助理班表!$A11)</f>
        <v/>
      </c>
      <c r="D210" s="16">
        <f>IF($C210="","",助理班表!$B11)</f>
        <v/>
      </c>
      <c r="E210" s="16">
        <f>IF($C210="","",助理班表!$D11)</f>
        <v/>
      </c>
      <c r="F210" s="16">
        <f>IF($C210="","",助理班表!$C11)</f>
        <v/>
      </c>
      <c r="G210" s="16">
        <f>IF($C210="","",助理班表!Z11)</f>
        <v/>
      </c>
      <c r="H210" s="83">
        <f>IF($G210="","",IFERROR(IF(INDEX(設定!$D$6:$D$21,MATCH($G210,設定!$B$6:$B$21,0))=0,"",INDEX(設定!$D$6:$D$21,MATCH($G210,設定!$B$6:$B$21,0))),""))</f>
        <v/>
      </c>
      <c r="I210" s="83">
        <f>IF($G210="","",IFERROR(IF(INDEX(設定!$E$6:$E$21,MATCH($G210,設定!$B$6:$B$21,0))=0,"",INDEX(設定!$E$6:$E$21,MATCH($G210,設定!$B$6:$B$21,0))),""))</f>
        <v/>
      </c>
      <c r="J210" s="83">
        <f>IFERROR(INDEX(打卡匯入!$C$3:$C$2002,MATCH($C210&amp;"|"&amp;DAY($A210),打卡匯入!$E$3:$E$2002,0)),"")</f>
        <v/>
      </c>
      <c r="K210" s="83">
        <f>IFERROR(INDEX(打卡匯入!$D$3:$D$2002,MATCH($C210&amp;"|"&amp;DAY($A210),打卡匯入!$E$3:$E$2002,0)),"")</f>
        <v/>
      </c>
      <c r="L210" s="84">
        <f>IF(OR($J210="",$K210=""),"",IFERROR(INDEX(設定!$F$6:$F$21,MATCH($G210,設定!$B$6:$B$21,0)),0))</f>
        <v/>
      </c>
      <c r="M210" s="85">
        <f>IF(OR($J210="",$K210=""),"",ROUND(($K210-$J210)*24-$L210/60,2))</f>
        <v/>
      </c>
      <c r="N210" s="16">
        <f>IF($C210="","",IF(AND(COUNTIF(設定!$B$15:$B$21,$G210)&gt;0,$J210&lt;&gt;""),"假日出勤",IF(AND(COUNTIF(設定!$B$6:$B$14,$G210)&gt;0,$J210=""),"未打卡",IF($J210="","",IF($O210&gt;0,"遲到",IF($P210&gt;0,"早退","正常"))))))</f>
        <v/>
      </c>
      <c r="O210" s="84">
        <f>IF(OR($C210="",$H210="",$J210=""),0,IF(ROUND(($J210-$H210)*1440,0)&gt;設定!$C$46,ROUND(($J210-$H210)*1440,0),0))</f>
        <v/>
      </c>
      <c r="P210" s="84">
        <f>IF(OR($C210="",$I210="",$K210=""),0,IF(ROUND(($I210-$K210)*1440,0)&gt;設定!$C$46,ROUND(($I210-$K210)*1440,0),0))</f>
        <v/>
      </c>
      <c r="Q210" s="85">
        <f>IF($M210="",0,IF(($M210-IFERROR(INDEX(設定!$G$6:$G$21,MATCH($G210,設定!$B$6:$B$21,0)),0))*60&gt;=設定!$C$44,ROUND(FLOOR(($M210-IFERROR(INDEX(設定!$G$6:$G$21,MATCH($G210,設定!$B$6:$B$21,0)),0))*60,設定!$C$45)/60,2),0))</f>
        <v/>
      </c>
      <c r="R210" s="16">
        <f>IF(OR($C210="",$Q210=0),"",IF($G210="國","國定假日",IF($B210="日","例假",IF($B210="六","休息日","平日"))))</f>
        <v/>
      </c>
      <c r="S210" s="19" t="n"/>
    </row>
    <row r="211">
      <c r="A211" s="82">
        <f>IF(OR(助理班表!$A11="",23&gt;DAY(EOMONTH(DATE(設定!$C$2,設定!$D$2,1),0))),"",DATE(設定!$C$2,設定!$D$2,23))</f>
        <v/>
      </c>
      <c r="B211" s="16">
        <f>IF($A211="","",INDEX(設定!$O$6:$O$12,WEEKDAY($A211,1)))</f>
        <v/>
      </c>
      <c r="C211" s="16">
        <f>IF($A211="","",助理班表!$A11)</f>
        <v/>
      </c>
      <c r="D211" s="16">
        <f>IF($C211="","",助理班表!$B11)</f>
        <v/>
      </c>
      <c r="E211" s="16">
        <f>IF($C211="","",助理班表!$D11)</f>
        <v/>
      </c>
      <c r="F211" s="16">
        <f>IF($C211="","",助理班表!$C11)</f>
        <v/>
      </c>
      <c r="G211" s="16">
        <f>IF($C211="","",助理班表!AA11)</f>
        <v/>
      </c>
      <c r="H211" s="83">
        <f>IF($G211="","",IFERROR(IF(INDEX(設定!$D$6:$D$21,MATCH($G211,設定!$B$6:$B$21,0))=0,"",INDEX(設定!$D$6:$D$21,MATCH($G211,設定!$B$6:$B$21,0))),""))</f>
        <v/>
      </c>
      <c r="I211" s="83">
        <f>IF($G211="","",IFERROR(IF(INDEX(設定!$E$6:$E$21,MATCH($G211,設定!$B$6:$B$21,0))=0,"",INDEX(設定!$E$6:$E$21,MATCH($G211,設定!$B$6:$B$21,0))),""))</f>
        <v/>
      </c>
      <c r="J211" s="83">
        <f>IFERROR(INDEX(打卡匯入!$C$3:$C$2002,MATCH($C211&amp;"|"&amp;DAY($A211),打卡匯入!$E$3:$E$2002,0)),"")</f>
        <v/>
      </c>
      <c r="K211" s="83">
        <f>IFERROR(INDEX(打卡匯入!$D$3:$D$2002,MATCH($C211&amp;"|"&amp;DAY($A211),打卡匯入!$E$3:$E$2002,0)),"")</f>
        <v/>
      </c>
      <c r="L211" s="84">
        <f>IF(OR($J211="",$K211=""),"",IFERROR(INDEX(設定!$F$6:$F$21,MATCH($G211,設定!$B$6:$B$21,0)),0))</f>
        <v/>
      </c>
      <c r="M211" s="85">
        <f>IF(OR($J211="",$K211=""),"",ROUND(($K211-$J211)*24-$L211/60,2))</f>
        <v/>
      </c>
      <c r="N211" s="16">
        <f>IF($C211="","",IF(AND(COUNTIF(設定!$B$15:$B$21,$G211)&gt;0,$J211&lt;&gt;""),"假日出勤",IF(AND(COUNTIF(設定!$B$6:$B$14,$G211)&gt;0,$J211=""),"未打卡",IF($J211="","",IF($O211&gt;0,"遲到",IF($P211&gt;0,"早退","正常"))))))</f>
        <v/>
      </c>
      <c r="O211" s="84">
        <f>IF(OR($C211="",$H211="",$J211=""),0,IF(ROUND(($J211-$H211)*1440,0)&gt;設定!$C$46,ROUND(($J211-$H211)*1440,0),0))</f>
        <v/>
      </c>
      <c r="P211" s="84">
        <f>IF(OR($C211="",$I211="",$K211=""),0,IF(ROUND(($I211-$K211)*1440,0)&gt;設定!$C$46,ROUND(($I211-$K211)*1440,0),0))</f>
        <v/>
      </c>
      <c r="Q211" s="85">
        <f>IF($M211="",0,IF(($M211-IFERROR(INDEX(設定!$G$6:$G$21,MATCH($G211,設定!$B$6:$B$21,0)),0))*60&gt;=設定!$C$44,ROUND(FLOOR(($M211-IFERROR(INDEX(設定!$G$6:$G$21,MATCH($G211,設定!$B$6:$B$21,0)),0))*60,設定!$C$45)/60,2),0))</f>
        <v/>
      </c>
      <c r="R211" s="16">
        <f>IF(OR($C211="",$Q211=0),"",IF($G211="國","國定假日",IF($B211="日","例假",IF($B211="六","休息日","平日"))))</f>
        <v/>
      </c>
      <c r="S211" s="19" t="n"/>
    </row>
    <row r="212">
      <c r="A212" s="82">
        <f>IF(OR(助理班表!$A11="",24&gt;DAY(EOMONTH(DATE(設定!$C$2,設定!$D$2,1),0))),"",DATE(設定!$C$2,設定!$D$2,24))</f>
        <v/>
      </c>
      <c r="B212" s="16">
        <f>IF($A212="","",INDEX(設定!$O$6:$O$12,WEEKDAY($A212,1)))</f>
        <v/>
      </c>
      <c r="C212" s="16">
        <f>IF($A212="","",助理班表!$A11)</f>
        <v/>
      </c>
      <c r="D212" s="16">
        <f>IF($C212="","",助理班表!$B11)</f>
        <v/>
      </c>
      <c r="E212" s="16">
        <f>IF($C212="","",助理班表!$D11)</f>
        <v/>
      </c>
      <c r="F212" s="16">
        <f>IF($C212="","",助理班表!$C11)</f>
        <v/>
      </c>
      <c r="G212" s="16">
        <f>IF($C212="","",助理班表!AB11)</f>
        <v/>
      </c>
      <c r="H212" s="83">
        <f>IF($G212="","",IFERROR(IF(INDEX(設定!$D$6:$D$21,MATCH($G212,設定!$B$6:$B$21,0))=0,"",INDEX(設定!$D$6:$D$21,MATCH($G212,設定!$B$6:$B$21,0))),""))</f>
        <v/>
      </c>
      <c r="I212" s="83">
        <f>IF($G212="","",IFERROR(IF(INDEX(設定!$E$6:$E$21,MATCH($G212,設定!$B$6:$B$21,0))=0,"",INDEX(設定!$E$6:$E$21,MATCH($G212,設定!$B$6:$B$21,0))),""))</f>
        <v/>
      </c>
      <c r="J212" s="83">
        <f>IFERROR(INDEX(打卡匯入!$C$3:$C$2002,MATCH($C212&amp;"|"&amp;DAY($A212),打卡匯入!$E$3:$E$2002,0)),"")</f>
        <v/>
      </c>
      <c r="K212" s="83">
        <f>IFERROR(INDEX(打卡匯入!$D$3:$D$2002,MATCH($C212&amp;"|"&amp;DAY($A212),打卡匯入!$E$3:$E$2002,0)),"")</f>
        <v/>
      </c>
      <c r="L212" s="84">
        <f>IF(OR($J212="",$K212=""),"",IFERROR(INDEX(設定!$F$6:$F$21,MATCH($G212,設定!$B$6:$B$21,0)),0))</f>
        <v/>
      </c>
      <c r="M212" s="85">
        <f>IF(OR($J212="",$K212=""),"",ROUND(($K212-$J212)*24-$L212/60,2))</f>
        <v/>
      </c>
      <c r="N212" s="16">
        <f>IF($C212="","",IF(AND(COUNTIF(設定!$B$15:$B$21,$G212)&gt;0,$J212&lt;&gt;""),"假日出勤",IF(AND(COUNTIF(設定!$B$6:$B$14,$G212)&gt;0,$J212=""),"未打卡",IF($J212="","",IF($O212&gt;0,"遲到",IF($P212&gt;0,"早退","正常"))))))</f>
        <v/>
      </c>
      <c r="O212" s="84">
        <f>IF(OR($C212="",$H212="",$J212=""),0,IF(ROUND(($J212-$H212)*1440,0)&gt;設定!$C$46,ROUND(($J212-$H212)*1440,0),0))</f>
        <v/>
      </c>
      <c r="P212" s="84">
        <f>IF(OR($C212="",$I212="",$K212=""),0,IF(ROUND(($I212-$K212)*1440,0)&gt;設定!$C$46,ROUND(($I212-$K212)*1440,0),0))</f>
        <v/>
      </c>
      <c r="Q212" s="85">
        <f>IF($M212="",0,IF(($M212-IFERROR(INDEX(設定!$G$6:$G$21,MATCH($G212,設定!$B$6:$B$21,0)),0))*60&gt;=設定!$C$44,ROUND(FLOOR(($M212-IFERROR(INDEX(設定!$G$6:$G$21,MATCH($G212,設定!$B$6:$B$21,0)),0))*60,設定!$C$45)/60,2),0))</f>
        <v/>
      </c>
      <c r="R212" s="16">
        <f>IF(OR($C212="",$Q212=0),"",IF($G212="國","國定假日",IF($B212="日","例假",IF($B212="六","休息日","平日"))))</f>
        <v/>
      </c>
      <c r="S212" s="19" t="n"/>
    </row>
    <row r="213">
      <c r="A213" s="82">
        <f>IF(OR(助理班表!$A11="",25&gt;DAY(EOMONTH(DATE(設定!$C$2,設定!$D$2,1),0))),"",DATE(設定!$C$2,設定!$D$2,25))</f>
        <v/>
      </c>
      <c r="B213" s="16">
        <f>IF($A213="","",INDEX(設定!$O$6:$O$12,WEEKDAY($A213,1)))</f>
        <v/>
      </c>
      <c r="C213" s="16">
        <f>IF($A213="","",助理班表!$A11)</f>
        <v/>
      </c>
      <c r="D213" s="16">
        <f>IF($C213="","",助理班表!$B11)</f>
        <v/>
      </c>
      <c r="E213" s="16">
        <f>IF($C213="","",助理班表!$D11)</f>
        <v/>
      </c>
      <c r="F213" s="16">
        <f>IF($C213="","",助理班表!$C11)</f>
        <v/>
      </c>
      <c r="G213" s="16">
        <f>IF($C213="","",助理班表!AC11)</f>
        <v/>
      </c>
      <c r="H213" s="83">
        <f>IF($G213="","",IFERROR(IF(INDEX(設定!$D$6:$D$21,MATCH($G213,設定!$B$6:$B$21,0))=0,"",INDEX(設定!$D$6:$D$21,MATCH($G213,設定!$B$6:$B$21,0))),""))</f>
        <v/>
      </c>
      <c r="I213" s="83">
        <f>IF($G213="","",IFERROR(IF(INDEX(設定!$E$6:$E$21,MATCH($G213,設定!$B$6:$B$21,0))=0,"",INDEX(設定!$E$6:$E$21,MATCH($G213,設定!$B$6:$B$21,0))),""))</f>
        <v/>
      </c>
      <c r="J213" s="83">
        <f>IFERROR(INDEX(打卡匯入!$C$3:$C$2002,MATCH($C213&amp;"|"&amp;DAY($A213),打卡匯入!$E$3:$E$2002,0)),"")</f>
        <v/>
      </c>
      <c r="K213" s="83">
        <f>IFERROR(INDEX(打卡匯入!$D$3:$D$2002,MATCH($C213&amp;"|"&amp;DAY($A213),打卡匯入!$E$3:$E$2002,0)),"")</f>
        <v/>
      </c>
      <c r="L213" s="84">
        <f>IF(OR($J213="",$K213=""),"",IFERROR(INDEX(設定!$F$6:$F$21,MATCH($G213,設定!$B$6:$B$21,0)),0))</f>
        <v/>
      </c>
      <c r="M213" s="85">
        <f>IF(OR($J213="",$K213=""),"",ROUND(($K213-$J213)*24-$L213/60,2))</f>
        <v/>
      </c>
      <c r="N213" s="16">
        <f>IF($C213="","",IF(AND(COUNTIF(設定!$B$15:$B$21,$G213)&gt;0,$J213&lt;&gt;""),"假日出勤",IF(AND(COUNTIF(設定!$B$6:$B$14,$G213)&gt;0,$J213=""),"未打卡",IF($J213="","",IF($O213&gt;0,"遲到",IF($P213&gt;0,"早退","正常"))))))</f>
        <v/>
      </c>
      <c r="O213" s="84">
        <f>IF(OR($C213="",$H213="",$J213=""),0,IF(ROUND(($J213-$H213)*1440,0)&gt;設定!$C$46,ROUND(($J213-$H213)*1440,0),0))</f>
        <v/>
      </c>
      <c r="P213" s="84">
        <f>IF(OR($C213="",$I213="",$K213=""),0,IF(ROUND(($I213-$K213)*1440,0)&gt;設定!$C$46,ROUND(($I213-$K213)*1440,0),0))</f>
        <v/>
      </c>
      <c r="Q213" s="85">
        <f>IF($M213="",0,IF(($M213-IFERROR(INDEX(設定!$G$6:$G$21,MATCH($G213,設定!$B$6:$B$21,0)),0))*60&gt;=設定!$C$44,ROUND(FLOOR(($M213-IFERROR(INDEX(設定!$G$6:$G$21,MATCH($G213,設定!$B$6:$B$21,0)),0))*60,設定!$C$45)/60,2),0))</f>
        <v/>
      </c>
      <c r="R213" s="16">
        <f>IF(OR($C213="",$Q213=0),"",IF($G213="國","國定假日",IF($B213="日","例假",IF($B213="六","休息日","平日"))))</f>
        <v/>
      </c>
      <c r="S213" s="19" t="n"/>
    </row>
    <row r="214">
      <c r="A214" s="82">
        <f>IF(OR(助理班表!$A11="",26&gt;DAY(EOMONTH(DATE(設定!$C$2,設定!$D$2,1),0))),"",DATE(設定!$C$2,設定!$D$2,26))</f>
        <v/>
      </c>
      <c r="B214" s="16">
        <f>IF($A214="","",INDEX(設定!$O$6:$O$12,WEEKDAY($A214,1)))</f>
        <v/>
      </c>
      <c r="C214" s="16">
        <f>IF($A214="","",助理班表!$A11)</f>
        <v/>
      </c>
      <c r="D214" s="16">
        <f>IF($C214="","",助理班表!$B11)</f>
        <v/>
      </c>
      <c r="E214" s="16">
        <f>IF($C214="","",助理班表!$D11)</f>
        <v/>
      </c>
      <c r="F214" s="16">
        <f>IF($C214="","",助理班表!$C11)</f>
        <v/>
      </c>
      <c r="G214" s="16">
        <f>IF($C214="","",助理班表!AD11)</f>
        <v/>
      </c>
      <c r="H214" s="83">
        <f>IF($G214="","",IFERROR(IF(INDEX(設定!$D$6:$D$21,MATCH($G214,設定!$B$6:$B$21,0))=0,"",INDEX(設定!$D$6:$D$21,MATCH($G214,設定!$B$6:$B$21,0))),""))</f>
        <v/>
      </c>
      <c r="I214" s="83">
        <f>IF($G214="","",IFERROR(IF(INDEX(設定!$E$6:$E$21,MATCH($G214,設定!$B$6:$B$21,0))=0,"",INDEX(設定!$E$6:$E$21,MATCH($G214,設定!$B$6:$B$21,0))),""))</f>
        <v/>
      </c>
      <c r="J214" s="83">
        <f>IFERROR(INDEX(打卡匯入!$C$3:$C$2002,MATCH($C214&amp;"|"&amp;DAY($A214),打卡匯入!$E$3:$E$2002,0)),"")</f>
        <v/>
      </c>
      <c r="K214" s="83">
        <f>IFERROR(INDEX(打卡匯入!$D$3:$D$2002,MATCH($C214&amp;"|"&amp;DAY($A214),打卡匯入!$E$3:$E$2002,0)),"")</f>
        <v/>
      </c>
      <c r="L214" s="84">
        <f>IF(OR($J214="",$K214=""),"",IFERROR(INDEX(設定!$F$6:$F$21,MATCH($G214,設定!$B$6:$B$21,0)),0))</f>
        <v/>
      </c>
      <c r="M214" s="85">
        <f>IF(OR($J214="",$K214=""),"",ROUND(($K214-$J214)*24-$L214/60,2))</f>
        <v/>
      </c>
      <c r="N214" s="16">
        <f>IF($C214="","",IF(AND(COUNTIF(設定!$B$15:$B$21,$G214)&gt;0,$J214&lt;&gt;""),"假日出勤",IF(AND(COUNTIF(設定!$B$6:$B$14,$G214)&gt;0,$J214=""),"未打卡",IF($J214="","",IF($O214&gt;0,"遲到",IF($P214&gt;0,"早退","正常"))))))</f>
        <v/>
      </c>
      <c r="O214" s="84">
        <f>IF(OR($C214="",$H214="",$J214=""),0,IF(ROUND(($J214-$H214)*1440,0)&gt;設定!$C$46,ROUND(($J214-$H214)*1440,0),0))</f>
        <v/>
      </c>
      <c r="P214" s="84">
        <f>IF(OR($C214="",$I214="",$K214=""),0,IF(ROUND(($I214-$K214)*1440,0)&gt;設定!$C$46,ROUND(($I214-$K214)*1440,0),0))</f>
        <v/>
      </c>
      <c r="Q214" s="85">
        <f>IF($M214="",0,IF(($M214-IFERROR(INDEX(設定!$G$6:$G$21,MATCH($G214,設定!$B$6:$B$21,0)),0))*60&gt;=設定!$C$44,ROUND(FLOOR(($M214-IFERROR(INDEX(設定!$G$6:$G$21,MATCH($G214,設定!$B$6:$B$21,0)),0))*60,設定!$C$45)/60,2),0))</f>
        <v/>
      </c>
      <c r="R214" s="16">
        <f>IF(OR($C214="",$Q214=0),"",IF($G214="國","國定假日",IF($B214="日","例假",IF($B214="六","休息日","平日"))))</f>
        <v/>
      </c>
      <c r="S214" s="19" t="n"/>
    </row>
    <row r="215">
      <c r="A215" s="82">
        <f>IF(OR(助理班表!$A11="",27&gt;DAY(EOMONTH(DATE(設定!$C$2,設定!$D$2,1),0))),"",DATE(設定!$C$2,設定!$D$2,27))</f>
        <v/>
      </c>
      <c r="B215" s="16">
        <f>IF($A215="","",INDEX(設定!$O$6:$O$12,WEEKDAY($A215,1)))</f>
        <v/>
      </c>
      <c r="C215" s="16">
        <f>IF($A215="","",助理班表!$A11)</f>
        <v/>
      </c>
      <c r="D215" s="16">
        <f>IF($C215="","",助理班表!$B11)</f>
        <v/>
      </c>
      <c r="E215" s="16">
        <f>IF($C215="","",助理班表!$D11)</f>
        <v/>
      </c>
      <c r="F215" s="16">
        <f>IF($C215="","",助理班表!$C11)</f>
        <v/>
      </c>
      <c r="G215" s="16">
        <f>IF($C215="","",助理班表!AE11)</f>
        <v/>
      </c>
      <c r="H215" s="83">
        <f>IF($G215="","",IFERROR(IF(INDEX(設定!$D$6:$D$21,MATCH($G215,設定!$B$6:$B$21,0))=0,"",INDEX(設定!$D$6:$D$21,MATCH($G215,設定!$B$6:$B$21,0))),""))</f>
        <v/>
      </c>
      <c r="I215" s="83">
        <f>IF($G215="","",IFERROR(IF(INDEX(設定!$E$6:$E$21,MATCH($G215,設定!$B$6:$B$21,0))=0,"",INDEX(設定!$E$6:$E$21,MATCH($G215,設定!$B$6:$B$21,0))),""))</f>
        <v/>
      </c>
      <c r="J215" s="83">
        <f>IFERROR(INDEX(打卡匯入!$C$3:$C$2002,MATCH($C215&amp;"|"&amp;DAY($A215),打卡匯入!$E$3:$E$2002,0)),"")</f>
        <v/>
      </c>
      <c r="K215" s="83">
        <f>IFERROR(INDEX(打卡匯入!$D$3:$D$2002,MATCH($C215&amp;"|"&amp;DAY($A215),打卡匯入!$E$3:$E$2002,0)),"")</f>
        <v/>
      </c>
      <c r="L215" s="84">
        <f>IF(OR($J215="",$K215=""),"",IFERROR(INDEX(設定!$F$6:$F$21,MATCH($G215,設定!$B$6:$B$21,0)),0))</f>
        <v/>
      </c>
      <c r="M215" s="85">
        <f>IF(OR($J215="",$K215=""),"",ROUND(($K215-$J215)*24-$L215/60,2))</f>
        <v/>
      </c>
      <c r="N215" s="16">
        <f>IF($C215="","",IF(AND(COUNTIF(設定!$B$15:$B$21,$G215)&gt;0,$J215&lt;&gt;""),"假日出勤",IF(AND(COUNTIF(設定!$B$6:$B$14,$G215)&gt;0,$J215=""),"未打卡",IF($J215="","",IF($O215&gt;0,"遲到",IF($P215&gt;0,"早退","正常"))))))</f>
        <v/>
      </c>
      <c r="O215" s="84">
        <f>IF(OR($C215="",$H215="",$J215=""),0,IF(ROUND(($J215-$H215)*1440,0)&gt;設定!$C$46,ROUND(($J215-$H215)*1440,0),0))</f>
        <v/>
      </c>
      <c r="P215" s="84">
        <f>IF(OR($C215="",$I215="",$K215=""),0,IF(ROUND(($I215-$K215)*1440,0)&gt;設定!$C$46,ROUND(($I215-$K215)*1440,0),0))</f>
        <v/>
      </c>
      <c r="Q215" s="85">
        <f>IF($M215="",0,IF(($M215-IFERROR(INDEX(設定!$G$6:$G$21,MATCH($G215,設定!$B$6:$B$21,0)),0))*60&gt;=設定!$C$44,ROUND(FLOOR(($M215-IFERROR(INDEX(設定!$G$6:$G$21,MATCH($G215,設定!$B$6:$B$21,0)),0))*60,設定!$C$45)/60,2),0))</f>
        <v/>
      </c>
      <c r="R215" s="16">
        <f>IF(OR($C215="",$Q215=0),"",IF($G215="國","國定假日",IF($B215="日","例假",IF($B215="六","休息日","平日"))))</f>
        <v/>
      </c>
      <c r="S215" s="19" t="n"/>
    </row>
    <row r="216">
      <c r="A216" s="82">
        <f>IF(OR(助理班表!$A11="",28&gt;DAY(EOMONTH(DATE(設定!$C$2,設定!$D$2,1),0))),"",DATE(設定!$C$2,設定!$D$2,28))</f>
        <v/>
      </c>
      <c r="B216" s="16">
        <f>IF($A216="","",INDEX(設定!$O$6:$O$12,WEEKDAY($A216,1)))</f>
        <v/>
      </c>
      <c r="C216" s="16">
        <f>IF($A216="","",助理班表!$A11)</f>
        <v/>
      </c>
      <c r="D216" s="16">
        <f>IF($C216="","",助理班表!$B11)</f>
        <v/>
      </c>
      <c r="E216" s="16">
        <f>IF($C216="","",助理班表!$D11)</f>
        <v/>
      </c>
      <c r="F216" s="16">
        <f>IF($C216="","",助理班表!$C11)</f>
        <v/>
      </c>
      <c r="G216" s="16">
        <f>IF($C216="","",助理班表!AF11)</f>
        <v/>
      </c>
      <c r="H216" s="83">
        <f>IF($G216="","",IFERROR(IF(INDEX(設定!$D$6:$D$21,MATCH($G216,設定!$B$6:$B$21,0))=0,"",INDEX(設定!$D$6:$D$21,MATCH($G216,設定!$B$6:$B$21,0))),""))</f>
        <v/>
      </c>
      <c r="I216" s="83">
        <f>IF($G216="","",IFERROR(IF(INDEX(設定!$E$6:$E$21,MATCH($G216,設定!$B$6:$B$21,0))=0,"",INDEX(設定!$E$6:$E$21,MATCH($G216,設定!$B$6:$B$21,0))),""))</f>
        <v/>
      </c>
      <c r="J216" s="83">
        <f>IFERROR(INDEX(打卡匯入!$C$3:$C$2002,MATCH($C216&amp;"|"&amp;DAY($A216),打卡匯入!$E$3:$E$2002,0)),"")</f>
        <v/>
      </c>
      <c r="K216" s="83">
        <f>IFERROR(INDEX(打卡匯入!$D$3:$D$2002,MATCH($C216&amp;"|"&amp;DAY($A216),打卡匯入!$E$3:$E$2002,0)),"")</f>
        <v/>
      </c>
      <c r="L216" s="84">
        <f>IF(OR($J216="",$K216=""),"",IFERROR(INDEX(設定!$F$6:$F$21,MATCH($G216,設定!$B$6:$B$21,0)),0))</f>
        <v/>
      </c>
      <c r="M216" s="85">
        <f>IF(OR($J216="",$K216=""),"",ROUND(($K216-$J216)*24-$L216/60,2))</f>
        <v/>
      </c>
      <c r="N216" s="16">
        <f>IF($C216="","",IF(AND(COUNTIF(設定!$B$15:$B$21,$G216)&gt;0,$J216&lt;&gt;""),"假日出勤",IF(AND(COUNTIF(設定!$B$6:$B$14,$G216)&gt;0,$J216=""),"未打卡",IF($J216="","",IF($O216&gt;0,"遲到",IF($P216&gt;0,"早退","正常"))))))</f>
        <v/>
      </c>
      <c r="O216" s="84">
        <f>IF(OR($C216="",$H216="",$J216=""),0,IF(ROUND(($J216-$H216)*1440,0)&gt;設定!$C$46,ROUND(($J216-$H216)*1440,0),0))</f>
        <v/>
      </c>
      <c r="P216" s="84">
        <f>IF(OR($C216="",$I216="",$K216=""),0,IF(ROUND(($I216-$K216)*1440,0)&gt;設定!$C$46,ROUND(($I216-$K216)*1440,0),0))</f>
        <v/>
      </c>
      <c r="Q216" s="85">
        <f>IF($M216="",0,IF(($M216-IFERROR(INDEX(設定!$G$6:$G$21,MATCH($G216,設定!$B$6:$B$21,0)),0))*60&gt;=設定!$C$44,ROUND(FLOOR(($M216-IFERROR(INDEX(設定!$G$6:$G$21,MATCH($G216,設定!$B$6:$B$21,0)),0))*60,設定!$C$45)/60,2),0))</f>
        <v/>
      </c>
      <c r="R216" s="16">
        <f>IF(OR($C216="",$Q216=0),"",IF($G216="國","國定假日",IF($B216="日","例假",IF($B216="六","休息日","平日"))))</f>
        <v/>
      </c>
      <c r="S216" s="19" t="n"/>
    </row>
    <row r="217">
      <c r="A217" s="82">
        <f>IF(OR(助理班表!$A11="",29&gt;DAY(EOMONTH(DATE(設定!$C$2,設定!$D$2,1),0))),"",DATE(設定!$C$2,設定!$D$2,29))</f>
        <v/>
      </c>
      <c r="B217" s="16">
        <f>IF($A217="","",INDEX(設定!$O$6:$O$12,WEEKDAY($A217,1)))</f>
        <v/>
      </c>
      <c r="C217" s="16">
        <f>IF($A217="","",助理班表!$A11)</f>
        <v/>
      </c>
      <c r="D217" s="16">
        <f>IF($C217="","",助理班表!$B11)</f>
        <v/>
      </c>
      <c r="E217" s="16">
        <f>IF($C217="","",助理班表!$D11)</f>
        <v/>
      </c>
      <c r="F217" s="16">
        <f>IF($C217="","",助理班表!$C11)</f>
        <v/>
      </c>
      <c r="G217" s="16">
        <f>IF($C217="","",助理班表!AG11)</f>
        <v/>
      </c>
      <c r="H217" s="83">
        <f>IF($G217="","",IFERROR(IF(INDEX(設定!$D$6:$D$21,MATCH($G217,設定!$B$6:$B$21,0))=0,"",INDEX(設定!$D$6:$D$21,MATCH($G217,設定!$B$6:$B$21,0))),""))</f>
        <v/>
      </c>
      <c r="I217" s="83">
        <f>IF($G217="","",IFERROR(IF(INDEX(設定!$E$6:$E$21,MATCH($G217,設定!$B$6:$B$21,0))=0,"",INDEX(設定!$E$6:$E$21,MATCH($G217,設定!$B$6:$B$21,0))),""))</f>
        <v/>
      </c>
      <c r="J217" s="83">
        <f>IFERROR(INDEX(打卡匯入!$C$3:$C$2002,MATCH($C217&amp;"|"&amp;DAY($A217),打卡匯入!$E$3:$E$2002,0)),"")</f>
        <v/>
      </c>
      <c r="K217" s="83">
        <f>IFERROR(INDEX(打卡匯入!$D$3:$D$2002,MATCH($C217&amp;"|"&amp;DAY($A217),打卡匯入!$E$3:$E$2002,0)),"")</f>
        <v/>
      </c>
      <c r="L217" s="84">
        <f>IF(OR($J217="",$K217=""),"",IFERROR(INDEX(設定!$F$6:$F$21,MATCH($G217,設定!$B$6:$B$21,0)),0))</f>
        <v/>
      </c>
      <c r="M217" s="85">
        <f>IF(OR($J217="",$K217=""),"",ROUND(($K217-$J217)*24-$L217/60,2))</f>
        <v/>
      </c>
      <c r="N217" s="16">
        <f>IF($C217="","",IF(AND(COUNTIF(設定!$B$15:$B$21,$G217)&gt;0,$J217&lt;&gt;""),"假日出勤",IF(AND(COUNTIF(設定!$B$6:$B$14,$G217)&gt;0,$J217=""),"未打卡",IF($J217="","",IF($O217&gt;0,"遲到",IF($P217&gt;0,"早退","正常"))))))</f>
        <v/>
      </c>
      <c r="O217" s="84">
        <f>IF(OR($C217="",$H217="",$J217=""),0,IF(ROUND(($J217-$H217)*1440,0)&gt;設定!$C$46,ROUND(($J217-$H217)*1440,0),0))</f>
        <v/>
      </c>
      <c r="P217" s="84">
        <f>IF(OR($C217="",$I217="",$K217=""),0,IF(ROUND(($I217-$K217)*1440,0)&gt;設定!$C$46,ROUND(($I217-$K217)*1440,0),0))</f>
        <v/>
      </c>
      <c r="Q217" s="85">
        <f>IF($M217="",0,IF(($M217-IFERROR(INDEX(設定!$G$6:$G$21,MATCH($G217,設定!$B$6:$B$21,0)),0))*60&gt;=設定!$C$44,ROUND(FLOOR(($M217-IFERROR(INDEX(設定!$G$6:$G$21,MATCH($G217,設定!$B$6:$B$21,0)),0))*60,設定!$C$45)/60,2),0))</f>
        <v/>
      </c>
      <c r="R217" s="16">
        <f>IF(OR($C217="",$Q217=0),"",IF($G217="國","國定假日",IF($B217="日","例假",IF($B217="六","休息日","平日"))))</f>
        <v/>
      </c>
      <c r="S217" s="19" t="n"/>
    </row>
    <row r="218">
      <c r="A218" s="82">
        <f>IF(OR(助理班表!$A11="",30&gt;DAY(EOMONTH(DATE(設定!$C$2,設定!$D$2,1),0))),"",DATE(設定!$C$2,設定!$D$2,30))</f>
        <v/>
      </c>
      <c r="B218" s="16">
        <f>IF($A218="","",INDEX(設定!$O$6:$O$12,WEEKDAY($A218,1)))</f>
        <v/>
      </c>
      <c r="C218" s="16">
        <f>IF($A218="","",助理班表!$A11)</f>
        <v/>
      </c>
      <c r="D218" s="16">
        <f>IF($C218="","",助理班表!$B11)</f>
        <v/>
      </c>
      <c r="E218" s="16">
        <f>IF($C218="","",助理班表!$D11)</f>
        <v/>
      </c>
      <c r="F218" s="16">
        <f>IF($C218="","",助理班表!$C11)</f>
        <v/>
      </c>
      <c r="G218" s="16">
        <f>IF($C218="","",助理班表!AH11)</f>
        <v/>
      </c>
      <c r="H218" s="83">
        <f>IF($G218="","",IFERROR(IF(INDEX(設定!$D$6:$D$21,MATCH($G218,設定!$B$6:$B$21,0))=0,"",INDEX(設定!$D$6:$D$21,MATCH($G218,設定!$B$6:$B$21,0))),""))</f>
        <v/>
      </c>
      <c r="I218" s="83">
        <f>IF($G218="","",IFERROR(IF(INDEX(設定!$E$6:$E$21,MATCH($G218,設定!$B$6:$B$21,0))=0,"",INDEX(設定!$E$6:$E$21,MATCH($G218,設定!$B$6:$B$21,0))),""))</f>
        <v/>
      </c>
      <c r="J218" s="83">
        <f>IFERROR(INDEX(打卡匯入!$C$3:$C$2002,MATCH($C218&amp;"|"&amp;DAY($A218),打卡匯入!$E$3:$E$2002,0)),"")</f>
        <v/>
      </c>
      <c r="K218" s="83">
        <f>IFERROR(INDEX(打卡匯入!$D$3:$D$2002,MATCH($C218&amp;"|"&amp;DAY($A218),打卡匯入!$E$3:$E$2002,0)),"")</f>
        <v/>
      </c>
      <c r="L218" s="84">
        <f>IF(OR($J218="",$K218=""),"",IFERROR(INDEX(設定!$F$6:$F$21,MATCH($G218,設定!$B$6:$B$21,0)),0))</f>
        <v/>
      </c>
      <c r="M218" s="85">
        <f>IF(OR($J218="",$K218=""),"",ROUND(($K218-$J218)*24-$L218/60,2))</f>
        <v/>
      </c>
      <c r="N218" s="16">
        <f>IF($C218="","",IF(AND(COUNTIF(設定!$B$15:$B$21,$G218)&gt;0,$J218&lt;&gt;""),"假日出勤",IF(AND(COUNTIF(設定!$B$6:$B$14,$G218)&gt;0,$J218=""),"未打卡",IF($J218="","",IF($O218&gt;0,"遲到",IF($P218&gt;0,"早退","正常"))))))</f>
        <v/>
      </c>
      <c r="O218" s="84">
        <f>IF(OR($C218="",$H218="",$J218=""),0,IF(ROUND(($J218-$H218)*1440,0)&gt;設定!$C$46,ROUND(($J218-$H218)*1440,0),0))</f>
        <v/>
      </c>
      <c r="P218" s="84">
        <f>IF(OR($C218="",$I218="",$K218=""),0,IF(ROUND(($I218-$K218)*1440,0)&gt;設定!$C$46,ROUND(($I218-$K218)*1440,0),0))</f>
        <v/>
      </c>
      <c r="Q218" s="85">
        <f>IF($M218="",0,IF(($M218-IFERROR(INDEX(設定!$G$6:$G$21,MATCH($G218,設定!$B$6:$B$21,0)),0))*60&gt;=設定!$C$44,ROUND(FLOOR(($M218-IFERROR(INDEX(設定!$G$6:$G$21,MATCH($G218,設定!$B$6:$B$21,0)),0))*60,設定!$C$45)/60,2),0))</f>
        <v/>
      </c>
      <c r="R218" s="16">
        <f>IF(OR($C218="",$Q218=0),"",IF($G218="國","國定假日",IF($B218="日","例假",IF($B218="六","休息日","平日"))))</f>
        <v/>
      </c>
      <c r="S218" s="19" t="n"/>
    </row>
    <row r="219">
      <c r="A219" s="82">
        <f>IF(OR(助理班表!$A11="",31&gt;DAY(EOMONTH(DATE(設定!$C$2,設定!$D$2,1),0))),"",DATE(設定!$C$2,設定!$D$2,31))</f>
        <v/>
      </c>
      <c r="B219" s="16">
        <f>IF($A219="","",INDEX(設定!$O$6:$O$12,WEEKDAY($A219,1)))</f>
        <v/>
      </c>
      <c r="C219" s="16">
        <f>IF($A219="","",助理班表!$A11)</f>
        <v/>
      </c>
      <c r="D219" s="16">
        <f>IF($C219="","",助理班表!$B11)</f>
        <v/>
      </c>
      <c r="E219" s="16">
        <f>IF($C219="","",助理班表!$D11)</f>
        <v/>
      </c>
      <c r="F219" s="16">
        <f>IF($C219="","",助理班表!$C11)</f>
        <v/>
      </c>
      <c r="G219" s="16">
        <f>IF($C219="","",助理班表!AI11)</f>
        <v/>
      </c>
      <c r="H219" s="83">
        <f>IF($G219="","",IFERROR(IF(INDEX(設定!$D$6:$D$21,MATCH($G219,設定!$B$6:$B$21,0))=0,"",INDEX(設定!$D$6:$D$21,MATCH($G219,設定!$B$6:$B$21,0))),""))</f>
        <v/>
      </c>
      <c r="I219" s="83">
        <f>IF($G219="","",IFERROR(IF(INDEX(設定!$E$6:$E$21,MATCH($G219,設定!$B$6:$B$21,0))=0,"",INDEX(設定!$E$6:$E$21,MATCH($G219,設定!$B$6:$B$21,0))),""))</f>
        <v/>
      </c>
      <c r="J219" s="83">
        <f>IFERROR(INDEX(打卡匯入!$C$3:$C$2002,MATCH($C219&amp;"|"&amp;DAY($A219),打卡匯入!$E$3:$E$2002,0)),"")</f>
        <v/>
      </c>
      <c r="K219" s="83">
        <f>IFERROR(INDEX(打卡匯入!$D$3:$D$2002,MATCH($C219&amp;"|"&amp;DAY($A219),打卡匯入!$E$3:$E$2002,0)),"")</f>
        <v/>
      </c>
      <c r="L219" s="84">
        <f>IF(OR($J219="",$K219=""),"",IFERROR(INDEX(設定!$F$6:$F$21,MATCH($G219,設定!$B$6:$B$21,0)),0))</f>
        <v/>
      </c>
      <c r="M219" s="85">
        <f>IF(OR($J219="",$K219=""),"",ROUND(($K219-$J219)*24-$L219/60,2))</f>
        <v/>
      </c>
      <c r="N219" s="16">
        <f>IF($C219="","",IF(AND(COUNTIF(設定!$B$15:$B$21,$G219)&gt;0,$J219&lt;&gt;""),"假日出勤",IF(AND(COUNTIF(設定!$B$6:$B$14,$G219)&gt;0,$J219=""),"未打卡",IF($J219="","",IF($O219&gt;0,"遲到",IF($P219&gt;0,"早退","正常"))))))</f>
        <v/>
      </c>
      <c r="O219" s="84">
        <f>IF(OR($C219="",$H219="",$J219=""),0,IF(ROUND(($J219-$H219)*1440,0)&gt;設定!$C$46,ROUND(($J219-$H219)*1440,0),0))</f>
        <v/>
      </c>
      <c r="P219" s="84">
        <f>IF(OR($C219="",$I219="",$K219=""),0,IF(ROUND(($I219-$K219)*1440,0)&gt;設定!$C$46,ROUND(($I219-$K219)*1440,0),0))</f>
        <v/>
      </c>
      <c r="Q219" s="85">
        <f>IF($M219="",0,IF(($M219-IFERROR(INDEX(設定!$G$6:$G$21,MATCH($G219,設定!$B$6:$B$21,0)),0))*60&gt;=設定!$C$44,ROUND(FLOOR(($M219-IFERROR(INDEX(設定!$G$6:$G$21,MATCH($G219,設定!$B$6:$B$21,0)),0))*60,設定!$C$45)/60,2),0))</f>
        <v/>
      </c>
      <c r="R219" s="16">
        <f>IF(OR($C219="",$Q219=0),"",IF($G219="國","國定假日",IF($B219="日","例假",IF($B219="六","休息日","平日"))))</f>
        <v/>
      </c>
      <c r="S219" s="19" t="n"/>
    </row>
    <row r="220">
      <c r="A220" s="82">
        <f>IF(OR(助理班表!$A12="",1&gt;DAY(EOMONTH(DATE(設定!$C$2,設定!$D$2,1),0))),"",DATE(設定!$C$2,設定!$D$2,1))</f>
        <v/>
      </c>
      <c r="B220" s="16">
        <f>IF($A220="","",INDEX(設定!$O$6:$O$12,WEEKDAY($A220,1)))</f>
        <v/>
      </c>
      <c r="C220" s="16">
        <f>IF($A220="","",助理班表!$A12)</f>
        <v/>
      </c>
      <c r="D220" s="16">
        <f>IF($C220="","",助理班表!$B12)</f>
        <v/>
      </c>
      <c r="E220" s="16">
        <f>IF($C220="","",助理班表!$D12)</f>
        <v/>
      </c>
      <c r="F220" s="16">
        <f>IF($C220="","",助理班表!$C12)</f>
        <v/>
      </c>
      <c r="G220" s="16">
        <f>IF($C220="","",助理班表!E12)</f>
        <v/>
      </c>
      <c r="H220" s="83">
        <f>IF($G220="","",IFERROR(IF(INDEX(設定!$D$6:$D$21,MATCH($G220,設定!$B$6:$B$21,0))=0,"",INDEX(設定!$D$6:$D$21,MATCH($G220,設定!$B$6:$B$21,0))),""))</f>
        <v/>
      </c>
      <c r="I220" s="83">
        <f>IF($G220="","",IFERROR(IF(INDEX(設定!$E$6:$E$21,MATCH($G220,設定!$B$6:$B$21,0))=0,"",INDEX(設定!$E$6:$E$21,MATCH($G220,設定!$B$6:$B$21,0))),""))</f>
        <v/>
      </c>
      <c r="J220" s="83">
        <f>IFERROR(INDEX(打卡匯入!$C$3:$C$2002,MATCH($C220&amp;"|"&amp;DAY($A220),打卡匯入!$E$3:$E$2002,0)),"")</f>
        <v/>
      </c>
      <c r="K220" s="83">
        <f>IFERROR(INDEX(打卡匯入!$D$3:$D$2002,MATCH($C220&amp;"|"&amp;DAY($A220),打卡匯入!$E$3:$E$2002,0)),"")</f>
        <v/>
      </c>
      <c r="L220" s="84">
        <f>IF(OR($J220="",$K220=""),"",IFERROR(INDEX(設定!$F$6:$F$21,MATCH($G220,設定!$B$6:$B$21,0)),0))</f>
        <v/>
      </c>
      <c r="M220" s="85">
        <f>IF(OR($J220="",$K220=""),"",ROUND(($K220-$J220)*24-$L220/60,2))</f>
        <v/>
      </c>
      <c r="N220" s="16">
        <f>IF($C220="","",IF(AND(COUNTIF(設定!$B$15:$B$21,$G220)&gt;0,$J220&lt;&gt;""),"假日出勤",IF(AND(COUNTIF(設定!$B$6:$B$14,$G220)&gt;0,$J220=""),"未打卡",IF($J220="","",IF($O220&gt;0,"遲到",IF($P220&gt;0,"早退","正常"))))))</f>
        <v/>
      </c>
      <c r="O220" s="84">
        <f>IF(OR($C220="",$H220="",$J220=""),0,IF(ROUND(($J220-$H220)*1440,0)&gt;設定!$C$46,ROUND(($J220-$H220)*1440,0),0))</f>
        <v/>
      </c>
      <c r="P220" s="84">
        <f>IF(OR($C220="",$I220="",$K220=""),0,IF(ROUND(($I220-$K220)*1440,0)&gt;設定!$C$46,ROUND(($I220-$K220)*1440,0),0))</f>
        <v/>
      </c>
      <c r="Q220" s="85">
        <f>IF($M220="",0,IF(($M220-IFERROR(INDEX(設定!$G$6:$G$21,MATCH($G220,設定!$B$6:$B$21,0)),0))*60&gt;=設定!$C$44,ROUND(FLOOR(($M220-IFERROR(INDEX(設定!$G$6:$G$21,MATCH($G220,設定!$B$6:$B$21,0)),0))*60,設定!$C$45)/60,2),0))</f>
        <v/>
      </c>
      <c r="R220" s="16">
        <f>IF(OR($C220="",$Q220=0),"",IF($G220="國","國定假日",IF($B220="日","例假",IF($B220="六","休息日","平日"))))</f>
        <v/>
      </c>
      <c r="S220" s="19" t="n"/>
    </row>
    <row r="221">
      <c r="A221" s="82">
        <f>IF(OR(助理班表!$A12="",2&gt;DAY(EOMONTH(DATE(設定!$C$2,設定!$D$2,1),0))),"",DATE(設定!$C$2,設定!$D$2,2))</f>
        <v/>
      </c>
      <c r="B221" s="16">
        <f>IF($A221="","",INDEX(設定!$O$6:$O$12,WEEKDAY($A221,1)))</f>
        <v/>
      </c>
      <c r="C221" s="16">
        <f>IF($A221="","",助理班表!$A12)</f>
        <v/>
      </c>
      <c r="D221" s="16">
        <f>IF($C221="","",助理班表!$B12)</f>
        <v/>
      </c>
      <c r="E221" s="16">
        <f>IF($C221="","",助理班表!$D12)</f>
        <v/>
      </c>
      <c r="F221" s="16">
        <f>IF($C221="","",助理班表!$C12)</f>
        <v/>
      </c>
      <c r="G221" s="16">
        <f>IF($C221="","",助理班表!F12)</f>
        <v/>
      </c>
      <c r="H221" s="83">
        <f>IF($G221="","",IFERROR(IF(INDEX(設定!$D$6:$D$21,MATCH($G221,設定!$B$6:$B$21,0))=0,"",INDEX(設定!$D$6:$D$21,MATCH($G221,設定!$B$6:$B$21,0))),""))</f>
        <v/>
      </c>
      <c r="I221" s="83">
        <f>IF($G221="","",IFERROR(IF(INDEX(設定!$E$6:$E$21,MATCH($G221,設定!$B$6:$B$21,0))=0,"",INDEX(設定!$E$6:$E$21,MATCH($G221,設定!$B$6:$B$21,0))),""))</f>
        <v/>
      </c>
      <c r="J221" s="83">
        <f>IFERROR(INDEX(打卡匯入!$C$3:$C$2002,MATCH($C221&amp;"|"&amp;DAY($A221),打卡匯入!$E$3:$E$2002,0)),"")</f>
        <v/>
      </c>
      <c r="K221" s="83">
        <f>IFERROR(INDEX(打卡匯入!$D$3:$D$2002,MATCH($C221&amp;"|"&amp;DAY($A221),打卡匯入!$E$3:$E$2002,0)),"")</f>
        <v/>
      </c>
      <c r="L221" s="84">
        <f>IF(OR($J221="",$K221=""),"",IFERROR(INDEX(設定!$F$6:$F$21,MATCH($G221,設定!$B$6:$B$21,0)),0))</f>
        <v/>
      </c>
      <c r="M221" s="85">
        <f>IF(OR($J221="",$K221=""),"",ROUND(($K221-$J221)*24-$L221/60,2))</f>
        <v/>
      </c>
      <c r="N221" s="16">
        <f>IF($C221="","",IF(AND(COUNTIF(設定!$B$15:$B$21,$G221)&gt;0,$J221&lt;&gt;""),"假日出勤",IF(AND(COUNTIF(設定!$B$6:$B$14,$G221)&gt;0,$J221=""),"未打卡",IF($J221="","",IF($O221&gt;0,"遲到",IF($P221&gt;0,"早退","正常"))))))</f>
        <v/>
      </c>
      <c r="O221" s="84">
        <f>IF(OR($C221="",$H221="",$J221=""),0,IF(ROUND(($J221-$H221)*1440,0)&gt;設定!$C$46,ROUND(($J221-$H221)*1440,0),0))</f>
        <v/>
      </c>
      <c r="P221" s="84">
        <f>IF(OR($C221="",$I221="",$K221=""),0,IF(ROUND(($I221-$K221)*1440,0)&gt;設定!$C$46,ROUND(($I221-$K221)*1440,0),0))</f>
        <v/>
      </c>
      <c r="Q221" s="85">
        <f>IF($M221="",0,IF(($M221-IFERROR(INDEX(設定!$G$6:$G$21,MATCH($G221,設定!$B$6:$B$21,0)),0))*60&gt;=設定!$C$44,ROUND(FLOOR(($M221-IFERROR(INDEX(設定!$G$6:$G$21,MATCH($G221,設定!$B$6:$B$21,0)),0))*60,設定!$C$45)/60,2),0))</f>
        <v/>
      </c>
      <c r="R221" s="16">
        <f>IF(OR($C221="",$Q221=0),"",IF($G221="國","國定假日",IF($B221="日","例假",IF($B221="六","休息日","平日"))))</f>
        <v/>
      </c>
      <c r="S221" s="19" t="n"/>
    </row>
    <row r="222">
      <c r="A222" s="82">
        <f>IF(OR(助理班表!$A12="",3&gt;DAY(EOMONTH(DATE(設定!$C$2,設定!$D$2,1),0))),"",DATE(設定!$C$2,設定!$D$2,3))</f>
        <v/>
      </c>
      <c r="B222" s="16">
        <f>IF($A222="","",INDEX(設定!$O$6:$O$12,WEEKDAY($A222,1)))</f>
        <v/>
      </c>
      <c r="C222" s="16">
        <f>IF($A222="","",助理班表!$A12)</f>
        <v/>
      </c>
      <c r="D222" s="16">
        <f>IF($C222="","",助理班表!$B12)</f>
        <v/>
      </c>
      <c r="E222" s="16">
        <f>IF($C222="","",助理班表!$D12)</f>
        <v/>
      </c>
      <c r="F222" s="16">
        <f>IF($C222="","",助理班表!$C12)</f>
        <v/>
      </c>
      <c r="G222" s="16">
        <f>IF($C222="","",助理班表!G12)</f>
        <v/>
      </c>
      <c r="H222" s="83">
        <f>IF($G222="","",IFERROR(IF(INDEX(設定!$D$6:$D$21,MATCH($G222,設定!$B$6:$B$21,0))=0,"",INDEX(設定!$D$6:$D$21,MATCH($G222,設定!$B$6:$B$21,0))),""))</f>
        <v/>
      </c>
      <c r="I222" s="83">
        <f>IF($G222="","",IFERROR(IF(INDEX(設定!$E$6:$E$21,MATCH($G222,設定!$B$6:$B$21,0))=0,"",INDEX(設定!$E$6:$E$21,MATCH($G222,設定!$B$6:$B$21,0))),""))</f>
        <v/>
      </c>
      <c r="J222" s="83">
        <f>IFERROR(INDEX(打卡匯入!$C$3:$C$2002,MATCH($C222&amp;"|"&amp;DAY($A222),打卡匯入!$E$3:$E$2002,0)),"")</f>
        <v/>
      </c>
      <c r="K222" s="83">
        <f>IFERROR(INDEX(打卡匯入!$D$3:$D$2002,MATCH($C222&amp;"|"&amp;DAY($A222),打卡匯入!$E$3:$E$2002,0)),"")</f>
        <v/>
      </c>
      <c r="L222" s="84">
        <f>IF(OR($J222="",$K222=""),"",IFERROR(INDEX(設定!$F$6:$F$21,MATCH($G222,設定!$B$6:$B$21,0)),0))</f>
        <v/>
      </c>
      <c r="M222" s="85">
        <f>IF(OR($J222="",$K222=""),"",ROUND(($K222-$J222)*24-$L222/60,2))</f>
        <v/>
      </c>
      <c r="N222" s="16">
        <f>IF($C222="","",IF(AND(COUNTIF(設定!$B$15:$B$21,$G222)&gt;0,$J222&lt;&gt;""),"假日出勤",IF(AND(COUNTIF(設定!$B$6:$B$14,$G222)&gt;0,$J222=""),"未打卡",IF($J222="","",IF($O222&gt;0,"遲到",IF($P222&gt;0,"早退","正常"))))))</f>
        <v/>
      </c>
      <c r="O222" s="84">
        <f>IF(OR($C222="",$H222="",$J222=""),0,IF(ROUND(($J222-$H222)*1440,0)&gt;設定!$C$46,ROUND(($J222-$H222)*1440,0),0))</f>
        <v/>
      </c>
      <c r="P222" s="84">
        <f>IF(OR($C222="",$I222="",$K222=""),0,IF(ROUND(($I222-$K222)*1440,0)&gt;設定!$C$46,ROUND(($I222-$K222)*1440,0),0))</f>
        <v/>
      </c>
      <c r="Q222" s="85">
        <f>IF($M222="",0,IF(($M222-IFERROR(INDEX(設定!$G$6:$G$21,MATCH($G222,設定!$B$6:$B$21,0)),0))*60&gt;=設定!$C$44,ROUND(FLOOR(($M222-IFERROR(INDEX(設定!$G$6:$G$21,MATCH($G222,設定!$B$6:$B$21,0)),0))*60,設定!$C$45)/60,2),0))</f>
        <v/>
      </c>
      <c r="R222" s="16">
        <f>IF(OR($C222="",$Q222=0),"",IF($G222="國","國定假日",IF($B222="日","例假",IF($B222="六","休息日","平日"))))</f>
        <v/>
      </c>
      <c r="S222" s="19" t="n"/>
    </row>
    <row r="223">
      <c r="A223" s="82">
        <f>IF(OR(助理班表!$A12="",4&gt;DAY(EOMONTH(DATE(設定!$C$2,設定!$D$2,1),0))),"",DATE(設定!$C$2,設定!$D$2,4))</f>
        <v/>
      </c>
      <c r="B223" s="16">
        <f>IF($A223="","",INDEX(設定!$O$6:$O$12,WEEKDAY($A223,1)))</f>
        <v/>
      </c>
      <c r="C223" s="16">
        <f>IF($A223="","",助理班表!$A12)</f>
        <v/>
      </c>
      <c r="D223" s="16">
        <f>IF($C223="","",助理班表!$B12)</f>
        <v/>
      </c>
      <c r="E223" s="16">
        <f>IF($C223="","",助理班表!$D12)</f>
        <v/>
      </c>
      <c r="F223" s="16">
        <f>IF($C223="","",助理班表!$C12)</f>
        <v/>
      </c>
      <c r="G223" s="16">
        <f>IF($C223="","",助理班表!H12)</f>
        <v/>
      </c>
      <c r="H223" s="83">
        <f>IF($G223="","",IFERROR(IF(INDEX(設定!$D$6:$D$21,MATCH($G223,設定!$B$6:$B$21,0))=0,"",INDEX(設定!$D$6:$D$21,MATCH($G223,設定!$B$6:$B$21,0))),""))</f>
        <v/>
      </c>
      <c r="I223" s="83">
        <f>IF($G223="","",IFERROR(IF(INDEX(設定!$E$6:$E$21,MATCH($G223,設定!$B$6:$B$21,0))=0,"",INDEX(設定!$E$6:$E$21,MATCH($G223,設定!$B$6:$B$21,0))),""))</f>
        <v/>
      </c>
      <c r="J223" s="83">
        <f>IFERROR(INDEX(打卡匯入!$C$3:$C$2002,MATCH($C223&amp;"|"&amp;DAY($A223),打卡匯入!$E$3:$E$2002,0)),"")</f>
        <v/>
      </c>
      <c r="K223" s="83">
        <f>IFERROR(INDEX(打卡匯入!$D$3:$D$2002,MATCH($C223&amp;"|"&amp;DAY($A223),打卡匯入!$E$3:$E$2002,0)),"")</f>
        <v/>
      </c>
      <c r="L223" s="84">
        <f>IF(OR($J223="",$K223=""),"",IFERROR(INDEX(設定!$F$6:$F$21,MATCH($G223,設定!$B$6:$B$21,0)),0))</f>
        <v/>
      </c>
      <c r="M223" s="85">
        <f>IF(OR($J223="",$K223=""),"",ROUND(($K223-$J223)*24-$L223/60,2))</f>
        <v/>
      </c>
      <c r="N223" s="16">
        <f>IF($C223="","",IF(AND(COUNTIF(設定!$B$15:$B$21,$G223)&gt;0,$J223&lt;&gt;""),"假日出勤",IF(AND(COUNTIF(設定!$B$6:$B$14,$G223)&gt;0,$J223=""),"未打卡",IF($J223="","",IF($O223&gt;0,"遲到",IF($P223&gt;0,"早退","正常"))))))</f>
        <v/>
      </c>
      <c r="O223" s="84">
        <f>IF(OR($C223="",$H223="",$J223=""),0,IF(ROUND(($J223-$H223)*1440,0)&gt;設定!$C$46,ROUND(($J223-$H223)*1440,0),0))</f>
        <v/>
      </c>
      <c r="P223" s="84">
        <f>IF(OR($C223="",$I223="",$K223=""),0,IF(ROUND(($I223-$K223)*1440,0)&gt;設定!$C$46,ROUND(($I223-$K223)*1440,0),0))</f>
        <v/>
      </c>
      <c r="Q223" s="85">
        <f>IF($M223="",0,IF(($M223-IFERROR(INDEX(設定!$G$6:$G$21,MATCH($G223,設定!$B$6:$B$21,0)),0))*60&gt;=設定!$C$44,ROUND(FLOOR(($M223-IFERROR(INDEX(設定!$G$6:$G$21,MATCH($G223,設定!$B$6:$B$21,0)),0))*60,設定!$C$45)/60,2),0))</f>
        <v/>
      </c>
      <c r="R223" s="16">
        <f>IF(OR($C223="",$Q223=0),"",IF($G223="國","國定假日",IF($B223="日","例假",IF($B223="六","休息日","平日"))))</f>
        <v/>
      </c>
      <c r="S223" s="19" t="n"/>
    </row>
    <row r="224">
      <c r="A224" s="82">
        <f>IF(OR(助理班表!$A12="",5&gt;DAY(EOMONTH(DATE(設定!$C$2,設定!$D$2,1),0))),"",DATE(設定!$C$2,設定!$D$2,5))</f>
        <v/>
      </c>
      <c r="B224" s="16">
        <f>IF($A224="","",INDEX(設定!$O$6:$O$12,WEEKDAY($A224,1)))</f>
        <v/>
      </c>
      <c r="C224" s="16">
        <f>IF($A224="","",助理班表!$A12)</f>
        <v/>
      </c>
      <c r="D224" s="16">
        <f>IF($C224="","",助理班表!$B12)</f>
        <v/>
      </c>
      <c r="E224" s="16">
        <f>IF($C224="","",助理班表!$D12)</f>
        <v/>
      </c>
      <c r="F224" s="16">
        <f>IF($C224="","",助理班表!$C12)</f>
        <v/>
      </c>
      <c r="G224" s="16">
        <f>IF($C224="","",助理班表!I12)</f>
        <v/>
      </c>
      <c r="H224" s="83">
        <f>IF($G224="","",IFERROR(IF(INDEX(設定!$D$6:$D$21,MATCH($G224,設定!$B$6:$B$21,0))=0,"",INDEX(設定!$D$6:$D$21,MATCH($G224,設定!$B$6:$B$21,0))),""))</f>
        <v/>
      </c>
      <c r="I224" s="83">
        <f>IF($G224="","",IFERROR(IF(INDEX(設定!$E$6:$E$21,MATCH($G224,設定!$B$6:$B$21,0))=0,"",INDEX(設定!$E$6:$E$21,MATCH($G224,設定!$B$6:$B$21,0))),""))</f>
        <v/>
      </c>
      <c r="J224" s="83">
        <f>IFERROR(INDEX(打卡匯入!$C$3:$C$2002,MATCH($C224&amp;"|"&amp;DAY($A224),打卡匯入!$E$3:$E$2002,0)),"")</f>
        <v/>
      </c>
      <c r="K224" s="83">
        <f>IFERROR(INDEX(打卡匯入!$D$3:$D$2002,MATCH($C224&amp;"|"&amp;DAY($A224),打卡匯入!$E$3:$E$2002,0)),"")</f>
        <v/>
      </c>
      <c r="L224" s="84">
        <f>IF(OR($J224="",$K224=""),"",IFERROR(INDEX(設定!$F$6:$F$21,MATCH($G224,設定!$B$6:$B$21,0)),0))</f>
        <v/>
      </c>
      <c r="M224" s="85">
        <f>IF(OR($J224="",$K224=""),"",ROUND(($K224-$J224)*24-$L224/60,2))</f>
        <v/>
      </c>
      <c r="N224" s="16">
        <f>IF($C224="","",IF(AND(COUNTIF(設定!$B$15:$B$21,$G224)&gt;0,$J224&lt;&gt;""),"假日出勤",IF(AND(COUNTIF(設定!$B$6:$B$14,$G224)&gt;0,$J224=""),"未打卡",IF($J224="","",IF($O224&gt;0,"遲到",IF($P224&gt;0,"早退","正常"))))))</f>
        <v/>
      </c>
      <c r="O224" s="84">
        <f>IF(OR($C224="",$H224="",$J224=""),0,IF(ROUND(($J224-$H224)*1440,0)&gt;設定!$C$46,ROUND(($J224-$H224)*1440,0),0))</f>
        <v/>
      </c>
      <c r="P224" s="84">
        <f>IF(OR($C224="",$I224="",$K224=""),0,IF(ROUND(($I224-$K224)*1440,0)&gt;設定!$C$46,ROUND(($I224-$K224)*1440,0),0))</f>
        <v/>
      </c>
      <c r="Q224" s="85">
        <f>IF($M224="",0,IF(($M224-IFERROR(INDEX(設定!$G$6:$G$21,MATCH($G224,設定!$B$6:$B$21,0)),0))*60&gt;=設定!$C$44,ROUND(FLOOR(($M224-IFERROR(INDEX(設定!$G$6:$G$21,MATCH($G224,設定!$B$6:$B$21,0)),0))*60,設定!$C$45)/60,2),0))</f>
        <v/>
      </c>
      <c r="R224" s="16">
        <f>IF(OR($C224="",$Q224=0),"",IF($G224="國","國定假日",IF($B224="日","例假",IF($B224="六","休息日","平日"))))</f>
        <v/>
      </c>
      <c r="S224" s="19" t="n"/>
    </row>
    <row r="225">
      <c r="A225" s="82">
        <f>IF(OR(助理班表!$A12="",6&gt;DAY(EOMONTH(DATE(設定!$C$2,設定!$D$2,1),0))),"",DATE(設定!$C$2,設定!$D$2,6))</f>
        <v/>
      </c>
      <c r="B225" s="16">
        <f>IF($A225="","",INDEX(設定!$O$6:$O$12,WEEKDAY($A225,1)))</f>
        <v/>
      </c>
      <c r="C225" s="16">
        <f>IF($A225="","",助理班表!$A12)</f>
        <v/>
      </c>
      <c r="D225" s="16">
        <f>IF($C225="","",助理班表!$B12)</f>
        <v/>
      </c>
      <c r="E225" s="16">
        <f>IF($C225="","",助理班表!$D12)</f>
        <v/>
      </c>
      <c r="F225" s="16">
        <f>IF($C225="","",助理班表!$C12)</f>
        <v/>
      </c>
      <c r="G225" s="16">
        <f>IF($C225="","",助理班表!J12)</f>
        <v/>
      </c>
      <c r="H225" s="83">
        <f>IF($G225="","",IFERROR(IF(INDEX(設定!$D$6:$D$21,MATCH($G225,設定!$B$6:$B$21,0))=0,"",INDEX(設定!$D$6:$D$21,MATCH($G225,設定!$B$6:$B$21,0))),""))</f>
        <v/>
      </c>
      <c r="I225" s="83">
        <f>IF($G225="","",IFERROR(IF(INDEX(設定!$E$6:$E$21,MATCH($G225,設定!$B$6:$B$21,0))=0,"",INDEX(設定!$E$6:$E$21,MATCH($G225,設定!$B$6:$B$21,0))),""))</f>
        <v/>
      </c>
      <c r="J225" s="83">
        <f>IFERROR(INDEX(打卡匯入!$C$3:$C$2002,MATCH($C225&amp;"|"&amp;DAY($A225),打卡匯入!$E$3:$E$2002,0)),"")</f>
        <v/>
      </c>
      <c r="K225" s="83">
        <f>IFERROR(INDEX(打卡匯入!$D$3:$D$2002,MATCH($C225&amp;"|"&amp;DAY($A225),打卡匯入!$E$3:$E$2002,0)),"")</f>
        <v/>
      </c>
      <c r="L225" s="84">
        <f>IF(OR($J225="",$K225=""),"",IFERROR(INDEX(設定!$F$6:$F$21,MATCH($G225,設定!$B$6:$B$21,0)),0))</f>
        <v/>
      </c>
      <c r="M225" s="85">
        <f>IF(OR($J225="",$K225=""),"",ROUND(($K225-$J225)*24-$L225/60,2))</f>
        <v/>
      </c>
      <c r="N225" s="16">
        <f>IF($C225="","",IF(AND(COUNTIF(設定!$B$15:$B$21,$G225)&gt;0,$J225&lt;&gt;""),"假日出勤",IF(AND(COUNTIF(設定!$B$6:$B$14,$G225)&gt;0,$J225=""),"未打卡",IF($J225="","",IF($O225&gt;0,"遲到",IF($P225&gt;0,"早退","正常"))))))</f>
        <v/>
      </c>
      <c r="O225" s="84">
        <f>IF(OR($C225="",$H225="",$J225=""),0,IF(ROUND(($J225-$H225)*1440,0)&gt;設定!$C$46,ROUND(($J225-$H225)*1440,0),0))</f>
        <v/>
      </c>
      <c r="P225" s="84">
        <f>IF(OR($C225="",$I225="",$K225=""),0,IF(ROUND(($I225-$K225)*1440,0)&gt;設定!$C$46,ROUND(($I225-$K225)*1440,0),0))</f>
        <v/>
      </c>
      <c r="Q225" s="85">
        <f>IF($M225="",0,IF(($M225-IFERROR(INDEX(設定!$G$6:$G$21,MATCH($G225,設定!$B$6:$B$21,0)),0))*60&gt;=設定!$C$44,ROUND(FLOOR(($M225-IFERROR(INDEX(設定!$G$6:$G$21,MATCH($G225,設定!$B$6:$B$21,0)),0))*60,設定!$C$45)/60,2),0))</f>
        <v/>
      </c>
      <c r="R225" s="16">
        <f>IF(OR($C225="",$Q225=0),"",IF($G225="國","國定假日",IF($B225="日","例假",IF($B225="六","休息日","平日"))))</f>
        <v/>
      </c>
      <c r="S225" s="19" t="n"/>
    </row>
    <row r="226">
      <c r="A226" s="82">
        <f>IF(OR(助理班表!$A12="",7&gt;DAY(EOMONTH(DATE(設定!$C$2,設定!$D$2,1),0))),"",DATE(設定!$C$2,設定!$D$2,7))</f>
        <v/>
      </c>
      <c r="B226" s="16">
        <f>IF($A226="","",INDEX(設定!$O$6:$O$12,WEEKDAY($A226,1)))</f>
        <v/>
      </c>
      <c r="C226" s="16">
        <f>IF($A226="","",助理班表!$A12)</f>
        <v/>
      </c>
      <c r="D226" s="16">
        <f>IF($C226="","",助理班表!$B12)</f>
        <v/>
      </c>
      <c r="E226" s="16">
        <f>IF($C226="","",助理班表!$D12)</f>
        <v/>
      </c>
      <c r="F226" s="16">
        <f>IF($C226="","",助理班表!$C12)</f>
        <v/>
      </c>
      <c r="G226" s="16">
        <f>IF($C226="","",助理班表!K12)</f>
        <v/>
      </c>
      <c r="H226" s="83">
        <f>IF($G226="","",IFERROR(IF(INDEX(設定!$D$6:$D$21,MATCH($G226,設定!$B$6:$B$21,0))=0,"",INDEX(設定!$D$6:$D$21,MATCH($G226,設定!$B$6:$B$21,0))),""))</f>
        <v/>
      </c>
      <c r="I226" s="83">
        <f>IF($G226="","",IFERROR(IF(INDEX(設定!$E$6:$E$21,MATCH($G226,設定!$B$6:$B$21,0))=0,"",INDEX(設定!$E$6:$E$21,MATCH($G226,設定!$B$6:$B$21,0))),""))</f>
        <v/>
      </c>
      <c r="J226" s="83">
        <f>IFERROR(INDEX(打卡匯入!$C$3:$C$2002,MATCH($C226&amp;"|"&amp;DAY($A226),打卡匯入!$E$3:$E$2002,0)),"")</f>
        <v/>
      </c>
      <c r="K226" s="83">
        <f>IFERROR(INDEX(打卡匯入!$D$3:$D$2002,MATCH($C226&amp;"|"&amp;DAY($A226),打卡匯入!$E$3:$E$2002,0)),"")</f>
        <v/>
      </c>
      <c r="L226" s="84">
        <f>IF(OR($J226="",$K226=""),"",IFERROR(INDEX(設定!$F$6:$F$21,MATCH($G226,設定!$B$6:$B$21,0)),0))</f>
        <v/>
      </c>
      <c r="M226" s="85">
        <f>IF(OR($J226="",$K226=""),"",ROUND(($K226-$J226)*24-$L226/60,2))</f>
        <v/>
      </c>
      <c r="N226" s="16">
        <f>IF($C226="","",IF(AND(COUNTIF(設定!$B$15:$B$21,$G226)&gt;0,$J226&lt;&gt;""),"假日出勤",IF(AND(COUNTIF(設定!$B$6:$B$14,$G226)&gt;0,$J226=""),"未打卡",IF($J226="","",IF($O226&gt;0,"遲到",IF($P226&gt;0,"早退","正常"))))))</f>
        <v/>
      </c>
      <c r="O226" s="84">
        <f>IF(OR($C226="",$H226="",$J226=""),0,IF(ROUND(($J226-$H226)*1440,0)&gt;設定!$C$46,ROUND(($J226-$H226)*1440,0),0))</f>
        <v/>
      </c>
      <c r="P226" s="84">
        <f>IF(OR($C226="",$I226="",$K226=""),0,IF(ROUND(($I226-$K226)*1440,0)&gt;設定!$C$46,ROUND(($I226-$K226)*1440,0),0))</f>
        <v/>
      </c>
      <c r="Q226" s="85">
        <f>IF($M226="",0,IF(($M226-IFERROR(INDEX(設定!$G$6:$G$21,MATCH($G226,設定!$B$6:$B$21,0)),0))*60&gt;=設定!$C$44,ROUND(FLOOR(($M226-IFERROR(INDEX(設定!$G$6:$G$21,MATCH($G226,設定!$B$6:$B$21,0)),0))*60,設定!$C$45)/60,2),0))</f>
        <v/>
      </c>
      <c r="R226" s="16">
        <f>IF(OR($C226="",$Q226=0),"",IF($G226="國","國定假日",IF($B226="日","例假",IF($B226="六","休息日","平日"))))</f>
        <v/>
      </c>
      <c r="S226" s="19" t="n"/>
    </row>
    <row r="227">
      <c r="A227" s="82">
        <f>IF(OR(助理班表!$A12="",8&gt;DAY(EOMONTH(DATE(設定!$C$2,設定!$D$2,1),0))),"",DATE(設定!$C$2,設定!$D$2,8))</f>
        <v/>
      </c>
      <c r="B227" s="16">
        <f>IF($A227="","",INDEX(設定!$O$6:$O$12,WEEKDAY($A227,1)))</f>
        <v/>
      </c>
      <c r="C227" s="16">
        <f>IF($A227="","",助理班表!$A12)</f>
        <v/>
      </c>
      <c r="D227" s="16">
        <f>IF($C227="","",助理班表!$B12)</f>
        <v/>
      </c>
      <c r="E227" s="16">
        <f>IF($C227="","",助理班表!$D12)</f>
        <v/>
      </c>
      <c r="F227" s="16">
        <f>IF($C227="","",助理班表!$C12)</f>
        <v/>
      </c>
      <c r="G227" s="16">
        <f>IF($C227="","",助理班表!L12)</f>
        <v/>
      </c>
      <c r="H227" s="83">
        <f>IF($G227="","",IFERROR(IF(INDEX(設定!$D$6:$D$21,MATCH($G227,設定!$B$6:$B$21,0))=0,"",INDEX(設定!$D$6:$D$21,MATCH($G227,設定!$B$6:$B$21,0))),""))</f>
        <v/>
      </c>
      <c r="I227" s="83">
        <f>IF($G227="","",IFERROR(IF(INDEX(設定!$E$6:$E$21,MATCH($G227,設定!$B$6:$B$21,0))=0,"",INDEX(設定!$E$6:$E$21,MATCH($G227,設定!$B$6:$B$21,0))),""))</f>
        <v/>
      </c>
      <c r="J227" s="83">
        <f>IFERROR(INDEX(打卡匯入!$C$3:$C$2002,MATCH($C227&amp;"|"&amp;DAY($A227),打卡匯入!$E$3:$E$2002,0)),"")</f>
        <v/>
      </c>
      <c r="K227" s="83">
        <f>IFERROR(INDEX(打卡匯入!$D$3:$D$2002,MATCH($C227&amp;"|"&amp;DAY($A227),打卡匯入!$E$3:$E$2002,0)),"")</f>
        <v/>
      </c>
      <c r="L227" s="84">
        <f>IF(OR($J227="",$K227=""),"",IFERROR(INDEX(設定!$F$6:$F$21,MATCH($G227,設定!$B$6:$B$21,0)),0))</f>
        <v/>
      </c>
      <c r="M227" s="85">
        <f>IF(OR($J227="",$K227=""),"",ROUND(($K227-$J227)*24-$L227/60,2))</f>
        <v/>
      </c>
      <c r="N227" s="16">
        <f>IF($C227="","",IF(AND(COUNTIF(設定!$B$15:$B$21,$G227)&gt;0,$J227&lt;&gt;""),"假日出勤",IF(AND(COUNTIF(設定!$B$6:$B$14,$G227)&gt;0,$J227=""),"未打卡",IF($J227="","",IF($O227&gt;0,"遲到",IF($P227&gt;0,"早退","正常"))))))</f>
        <v/>
      </c>
      <c r="O227" s="84">
        <f>IF(OR($C227="",$H227="",$J227=""),0,IF(ROUND(($J227-$H227)*1440,0)&gt;設定!$C$46,ROUND(($J227-$H227)*1440,0),0))</f>
        <v/>
      </c>
      <c r="P227" s="84">
        <f>IF(OR($C227="",$I227="",$K227=""),0,IF(ROUND(($I227-$K227)*1440,0)&gt;設定!$C$46,ROUND(($I227-$K227)*1440,0),0))</f>
        <v/>
      </c>
      <c r="Q227" s="85">
        <f>IF($M227="",0,IF(($M227-IFERROR(INDEX(設定!$G$6:$G$21,MATCH($G227,設定!$B$6:$B$21,0)),0))*60&gt;=設定!$C$44,ROUND(FLOOR(($M227-IFERROR(INDEX(設定!$G$6:$G$21,MATCH($G227,設定!$B$6:$B$21,0)),0))*60,設定!$C$45)/60,2),0))</f>
        <v/>
      </c>
      <c r="R227" s="16">
        <f>IF(OR($C227="",$Q227=0),"",IF($G227="國","國定假日",IF($B227="日","例假",IF($B227="六","休息日","平日"))))</f>
        <v/>
      </c>
      <c r="S227" s="19" t="n"/>
    </row>
    <row r="228">
      <c r="A228" s="82">
        <f>IF(OR(助理班表!$A12="",9&gt;DAY(EOMONTH(DATE(設定!$C$2,設定!$D$2,1),0))),"",DATE(設定!$C$2,設定!$D$2,9))</f>
        <v/>
      </c>
      <c r="B228" s="16">
        <f>IF($A228="","",INDEX(設定!$O$6:$O$12,WEEKDAY($A228,1)))</f>
        <v/>
      </c>
      <c r="C228" s="16">
        <f>IF($A228="","",助理班表!$A12)</f>
        <v/>
      </c>
      <c r="D228" s="16">
        <f>IF($C228="","",助理班表!$B12)</f>
        <v/>
      </c>
      <c r="E228" s="16">
        <f>IF($C228="","",助理班表!$D12)</f>
        <v/>
      </c>
      <c r="F228" s="16">
        <f>IF($C228="","",助理班表!$C12)</f>
        <v/>
      </c>
      <c r="G228" s="16">
        <f>IF($C228="","",助理班表!M12)</f>
        <v/>
      </c>
      <c r="H228" s="83">
        <f>IF($G228="","",IFERROR(IF(INDEX(設定!$D$6:$D$21,MATCH($G228,設定!$B$6:$B$21,0))=0,"",INDEX(設定!$D$6:$D$21,MATCH($G228,設定!$B$6:$B$21,0))),""))</f>
        <v/>
      </c>
      <c r="I228" s="83">
        <f>IF($G228="","",IFERROR(IF(INDEX(設定!$E$6:$E$21,MATCH($G228,設定!$B$6:$B$21,0))=0,"",INDEX(設定!$E$6:$E$21,MATCH($G228,設定!$B$6:$B$21,0))),""))</f>
        <v/>
      </c>
      <c r="J228" s="83">
        <f>IFERROR(INDEX(打卡匯入!$C$3:$C$2002,MATCH($C228&amp;"|"&amp;DAY($A228),打卡匯入!$E$3:$E$2002,0)),"")</f>
        <v/>
      </c>
      <c r="K228" s="83">
        <f>IFERROR(INDEX(打卡匯入!$D$3:$D$2002,MATCH($C228&amp;"|"&amp;DAY($A228),打卡匯入!$E$3:$E$2002,0)),"")</f>
        <v/>
      </c>
      <c r="L228" s="84">
        <f>IF(OR($J228="",$K228=""),"",IFERROR(INDEX(設定!$F$6:$F$21,MATCH($G228,設定!$B$6:$B$21,0)),0))</f>
        <v/>
      </c>
      <c r="M228" s="85">
        <f>IF(OR($J228="",$K228=""),"",ROUND(($K228-$J228)*24-$L228/60,2))</f>
        <v/>
      </c>
      <c r="N228" s="16">
        <f>IF($C228="","",IF(AND(COUNTIF(設定!$B$15:$B$21,$G228)&gt;0,$J228&lt;&gt;""),"假日出勤",IF(AND(COUNTIF(設定!$B$6:$B$14,$G228)&gt;0,$J228=""),"未打卡",IF($J228="","",IF($O228&gt;0,"遲到",IF($P228&gt;0,"早退","正常"))))))</f>
        <v/>
      </c>
      <c r="O228" s="84">
        <f>IF(OR($C228="",$H228="",$J228=""),0,IF(ROUND(($J228-$H228)*1440,0)&gt;設定!$C$46,ROUND(($J228-$H228)*1440,0),0))</f>
        <v/>
      </c>
      <c r="P228" s="84">
        <f>IF(OR($C228="",$I228="",$K228=""),0,IF(ROUND(($I228-$K228)*1440,0)&gt;設定!$C$46,ROUND(($I228-$K228)*1440,0),0))</f>
        <v/>
      </c>
      <c r="Q228" s="85">
        <f>IF($M228="",0,IF(($M228-IFERROR(INDEX(設定!$G$6:$G$21,MATCH($G228,設定!$B$6:$B$21,0)),0))*60&gt;=設定!$C$44,ROUND(FLOOR(($M228-IFERROR(INDEX(設定!$G$6:$G$21,MATCH($G228,設定!$B$6:$B$21,0)),0))*60,設定!$C$45)/60,2),0))</f>
        <v/>
      </c>
      <c r="R228" s="16">
        <f>IF(OR($C228="",$Q228=0),"",IF($G228="國","國定假日",IF($B228="日","例假",IF($B228="六","休息日","平日"))))</f>
        <v/>
      </c>
      <c r="S228" s="19" t="n"/>
    </row>
    <row r="229">
      <c r="A229" s="82">
        <f>IF(OR(助理班表!$A12="",10&gt;DAY(EOMONTH(DATE(設定!$C$2,設定!$D$2,1),0))),"",DATE(設定!$C$2,設定!$D$2,10))</f>
        <v/>
      </c>
      <c r="B229" s="16">
        <f>IF($A229="","",INDEX(設定!$O$6:$O$12,WEEKDAY($A229,1)))</f>
        <v/>
      </c>
      <c r="C229" s="16">
        <f>IF($A229="","",助理班表!$A12)</f>
        <v/>
      </c>
      <c r="D229" s="16">
        <f>IF($C229="","",助理班表!$B12)</f>
        <v/>
      </c>
      <c r="E229" s="16">
        <f>IF($C229="","",助理班表!$D12)</f>
        <v/>
      </c>
      <c r="F229" s="16">
        <f>IF($C229="","",助理班表!$C12)</f>
        <v/>
      </c>
      <c r="G229" s="16">
        <f>IF($C229="","",助理班表!N12)</f>
        <v/>
      </c>
      <c r="H229" s="83">
        <f>IF($G229="","",IFERROR(IF(INDEX(設定!$D$6:$D$21,MATCH($G229,設定!$B$6:$B$21,0))=0,"",INDEX(設定!$D$6:$D$21,MATCH($G229,設定!$B$6:$B$21,0))),""))</f>
        <v/>
      </c>
      <c r="I229" s="83">
        <f>IF($G229="","",IFERROR(IF(INDEX(設定!$E$6:$E$21,MATCH($G229,設定!$B$6:$B$21,0))=0,"",INDEX(設定!$E$6:$E$21,MATCH($G229,設定!$B$6:$B$21,0))),""))</f>
        <v/>
      </c>
      <c r="J229" s="83">
        <f>IFERROR(INDEX(打卡匯入!$C$3:$C$2002,MATCH($C229&amp;"|"&amp;DAY($A229),打卡匯入!$E$3:$E$2002,0)),"")</f>
        <v/>
      </c>
      <c r="K229" s="83">
        <f>IFERROR(INDEX(打卡匯入!$D$3:$D$2002,MATCH($C229&amp;"|"&amp;DAY($A229),打卡匯入!$E$3:$E$2002,0)),"")</f>
        <v/>
      </c>
      <c r="L229" s="84">
        <f>IF(OR($J229="",$K229=""),"",IFERROR(INDEX(設定!$F$6:$F$21,MATCH($G229,設定!$B$6:$B$21,0)),0))</f>
        <v/>
      </c>
      <c r="M229" s="85">
        <f>IF(OR($J229="",$K229=""),"",ROUND(($K229-$J229)*24-$L229/60,2))</f>
        <v/>
      </c>
      <c r="N229" s="16">
        <f>IF($C229="","",IF(AND(COUNTIF(設定!$B$15:$B$21,$G229)&gt;0,$J229&lt;&gt;""),"假日出勤",IF(AND(COUNTIF(設定!$B$6:$B$14,$G229)&gt;0,$J229=""),"未打卡",IF($J229="","",IF($O229&gt;0,"遲到",IF($P229&gt;0,"早退","正常"))))))</f>
        <v/>
      </c>
      <c r="O229" s="84">
        <f>IF(OR($C229="",$H229="",$J229=""),0,IF(ROUND(($J229-$H229)*1440,0)&gt;設定!$C$46,ROUND(($J229-$H229)*1440,0),0))</f>
        <v/>
      </c>
      <c r="P229" s="84">
        <f>IF(OR($C229="",$I229="",$K229=""),0,IF(ROUND(($I229-$K229)*1440,0)&gt;設定!$C$46,ROUND(($I229-$K229)*1440,0),0))</f>
        <v/>
      </c>
      <c r="Q229" s="85">
        <f>IF($M229="",0,IF(($M229-IFERROR(INDEX(設定!$G$6:$G$21,MATCH($G229,設定!$B$6:$B$21,0)),0))*60&gt;=設定!$C$44,ROUND(FLOOR(($M229-IFERROR(INDEX(設定!$G$6:$G$21,MATCH($G229,設定!$B$6:$B$21,0)),0))*60,設定!$C$45)/60,2),0))</f>
        <v/>
      </c>
      <c r="R229" s="16">
        <f>IF(OR($C229="",$Q229=0),"",IF($G229="國","國定假日",IF($B229="日","例假",IF($B229="六","休息日","平日"))))</f>
        <v/>
      </c>
      <c r="S229" s="19" t="n"/>
    </row>
    <row r="230">
      <c r="A230" s="82">
        <f>IF(OR(助理班表!$A12="",11&gt;DAY(EOMONTH(DATE(設定!$C$2,設定!$D$2,1),0))),"",DATE(設定!$C$2,設定!$D$2,11))</f>
        <v/>
      </c>
      <c r="B230" s="16">
        <f>IF($A230="","",INDEX(設定!$O$6:$O$12,WEEKDAY($A230,1)))</f>
        <v/>
      </c>
      <c r="C230" s="16">
        <f>IF($A230="","",助理班表!$A12)</f>
        <v/>
      </c>
      <c r="D230" s="16">
        <f>IF($C230="","",助理班表!$B12)</f>
        <v/>
      </c>
      <c r="E230" s="16">
        <f>IF($C230="","",助理班表!$D12)</f>
        <v/>
      </c>
      <c r="F230" s="16">
        <f>IF($C230="","",助理班表!$C12)</f>
        <v/>
      </c>
      <c r="G230" s="16">
        <f>IF($C230="","",助理班表!O12)</f>
        <v/>
      </c>
      <c r="H230" s="83">
        <f>IF($G230="","",IFERROR(IF(INDEX(設定!$D$6:$D$21,MATCH($G230,設定!$B$6:$B$21,0))=0,"",INDEX(設定!$D$6:$D$21,MATCH($G230,設定!$B$6:$B$21,0))),""))</f>
        <v/>
      </c>
      <c r="I230" s="83">
        <f>IF($G230="","",IFERROR(IF(INDEX(設定!$E$6:$E$21,MATCH($G230,設定!$B$6:$B$21,0))=0,"",INDEX(設定!$E$6:$E$21,MATCH($G230,設定!$B$6:$B$21,0))),""))</f>
        <v/>
      </c>
      <c r="J230" s="83">
        <f>IFERROR(INDEX(打卡匯入!$C$3:$C$2002,MATCH($C230&amp;"|"&amp;DAY($A230),打卡匯入!$E$3:$E$2002,0)),"")</f>
        <v/>
      </c>
      <c r="K230" s="83">
        <f>IFERROR(INDEX(打卡匯入!$D$3:$D$2002,MATCH($C230&amp;"|"&amp;DAY($A230),打卡匯入!$E$3:$E$2002,0)),"")</f>
        <v/>
      </c>
      <c r="L230" s="84">
        <f>IF(OR($J230="",$K230=""),"",IFERROR(INDEX(設定!$F$6:$F$21,MATCH($G230,設定!$B$6:$B$21,0)),0))</f>
        <v/>
      </c>
      <c r="M230" s="85">
        <f>IF(OR($J230="",$K230=""),"",ROUND(($K230-$J230)*24-$L230/60,2))</f>
        <v/>
      </c>
      <c r="N230" s="16">
        <f>IF($C230="","",IF(AND(COUNTIF(設定!$B$15:$B$21,$G230)&gt;0,$J230&lt;&gt;""),"假日出勤",IF(AND(COUNTIF(設定!$B$6:$B$14,$G230)&gt;0,$J230=""),"未打卡",IF($J230="","",IF($O230&gt;0,"遲到",IF($P230&gt;0,"早退","正常"))))))</f>
        <v/>
      </c>
      <c r="O230" s="84">
        <f>IF(OR($C230="",$H230="",$J230=""),0,IF(ROUND(($J230-$H230)*1440,0)&gt;設定!$C$46,ROUND(($J230-$H230)*1440,0),0))</f>
        <v/>
      </c>
      <c r="P230" s="84">
        <f>IF(OR($C230="",$I230="",$K230=""),0,IF(ROUND(($I230-$K230)*1440,0)&gt;設定!$C$46,ROUND(($I230-$K230)*1440,0),0))</f>
        <v/>
      </c>
      <c r="Q230" s="85">
        <f>IF($M230="",0,IF(($M230-IFERROR(INDEX(設定!$G$6:$G$21,MATCH($G230,設定!$B$6:$B$21,0)),0))*60&gt;=設定!$C$44,ROUND(FLOOR(($M230-IFERROR(INDEX(設定!$G$6:$G$21,MATCH($G230,設定!$B$6:$B$21,0)),0))*60,設定!$C$45)/60,2),0))</f>
        <v/>
      </c>
      <c r="R230" s="16">
        <f>IF(OR($C230="",$Q230=0),"",IF($G230="國","國定假日",IF($B230="日","例假",IF($B230="六","休息日","平日"))))</f>
        <v/>
      </c>
      <c r="S230" s="19" t="n"/>
    </row>
    <row r="231">
      <c r="A231" s="82">
        <f>IF(OR(助理班表!$A12="",12&gt;DAY(EOMONTH(DATE(設定!$C$2,設定!$D$2,1),0))),"",DATE(設定!$C$2,設定!$D$2,12))</f>
        <v/>
      </c>
      <c r="B231" s="16">
        <f>IF($A231="","",INDEX(設定!$O$6:$O$12,WEEKDAY($A231,1)))</f>
        <v/>
      </c>
      <c r="C231" s="16">
        <f>IF($A231="","",助理班表!$A12)</f>
        <v/>
      </c>
      <c r="D231" s="16">
        <f>IF($C231="","",助理班表!$B12)</f>
        <v/>
      </c>
      <c r="E231" s="16">
        <f>IF($C231="","",助理班表!$D12)</f>
        <v/>
      </c>
      <c r="F231" s="16">
        <f>IF($C231="","",助理班表!$C12)</f>
        <v/>
      </c>
      <c r="G231" s="16">
        <f>IF($C231="","",助理班表!P12)</f>
        <v/>
      </c>
      <c r="H231" s="83">
        <f>IF($G231="","",IFERROR(IF(INDEX(設定!$D$6:$D$21,MATCH($G231,設定!$B$6:$B$21,0))=0,"",INDEX(設定!$D$6:$D$21,MATCH($G231,設定!$B$6:$B$21,0))),""))</f>
        <v/>
      </c>
      <c r="I231" s="83">
        <f>IF($G231="","",IFERROR(IF(INDEX(設定!$E$6:$E$21,MATCH($G231,設定!$B$6:$B$21,0))=0,"",INDEX(設定!$E$6:$E$21,MATCH($G231,設定!$B$6:$B$21,0))),""))</f>
        <v/>
      </c>
      <c r="J231" s="83">
        <f>IFERROR(INDEX(打卡匯入!$C$3:$C$2002,MATCH($C231&amp;"|"&amp;DAY($A231),打卡匯入!$E$3:$E$2002,0)),"")</f>
        <v/>
      </c>
      <c r="K231" s="83">
        <f>IFERROR(INDEX(打卡匯入!$D$3:$D$2002,MATCH($C231&amp;"|"&amp;DAY($A231),打卡匯入!$E$3:$E$2002,0)),"")</f>
        <v/>
      </c>
      <c r="L231" s="84">
        <f>IF(OR($J231="",$K231=""),"",IFERROR(INDEX(設定!$F$6:$F$21,MATCH($G231,設定!$B$6:$B$21,0)),0))</f>
        <v/>
      </c>
      <c r="M231" s="85">
        <f>IF(OR($J231="",$K231=""),"",ROUND(($K231-$J231)*24-$L231/60,2))</f>
        <v/>
      </c>
      <c r="N231" s="16">
        <f>IF($C231="","",IF(AND(COUNTIF(設定!$B$15:$B$21,$G231)&gt;0,$J231&lt;&gt;""),"假日出勤",IF(AND(COUNTIF(設定!$B$6:$B$14,$G231)&gt;0,$J231=""),"未打卡",IF($J231="","",IF($O231&gt;0,"遲到",IF($P231&gt;0,"早退","正常"))))))</f>
        <v/>
      </c>
      <c r="O231" s="84">
        <f>IF(OR($C231="",$H231="",$J231=""),0,IF(ROUND(($J231-$H231)*1440,0)&gt;設定!$C$46,ROUND(($J231-$H231)*1440,0),0))</f>
        <v/>
      </c>
      <c r="P231" s="84">
        <f>IF(OR($C231="",$I231="",$K231=""),0,IF(ROUND(($I231-$K231)*1440,0)&gt;設定!$C$46,ROUND(($I231-$K231)*1440,0),0))</f>
        <v/>
      </c>
      <c r="Q231" s="85">
        <f>IF($M231="",0,IF(($M231-IFERROR(INDEX(設定!$G$6:$G$21,MATCH($G231,設定!$B$6:$B$21,0)),0))*60&gt;=設定!$C$44,ROUND(FLOOR(($M231-IFERROR(INDEX(設定!$G$6:$G$21,MATCH($G231,設定!$B$6:$B$21,0)),0))*60,設定!$C$45)/60,2),0))</f>
        <v/>
      </c>
      <c r="R231" s="16">
        <f>IF(OR($C231="",$Q231=0),"",IF($G231="國","國定假日",IF($B231="日","例假",IF($B231="六","休息日","平日"))))</f>
        <v/>
      </c>
      <c r="S231" s="19" t="n"/>
    </row>
    <row r="232">
      <c r="A232" s="82">
        <f>IF(OR(助理班表!$A12="",13&gt;DAY(EOMONTH(DATE(設定!$C$2,設定!$D$2,1),0))),"",DATE(設定!$C$2,設定!$D$2,13))</f>
        <v/>
      </c>
      <c r="B232" s="16">
        <f>IF($A232="","",INDEX(設定!$O$6:$O$12,WEEKDAY($A232,1)))</f>
        <v/>
      </c>
      <c r="C232" s="16">
        <f>IF($A232="","",助理班表!$A12)</f>
        <v/>
      </c>
      <c r="D232" s="16">
        <f>IF($C232="","",助理班表!$B12)</f>
        <v/>
      </c>
      <c r="E232" s="16">
        <f>IF($C232="","",助理班表!$D12)</f>
        <v/>
      </c>
      <c r="F232" s="16">
        <f>IF($C232="","",助理班表!$C12)</f>
        <v/>
      </c>
      <c r="G232" s="16">
        <f>IF($C232="","",助理班表!Q12)</f>
        <v/>
      </c>
      <c r="H232" s="83">
        <f>IF($G232="","",IFERROR(IF(INDEX(設定!$D$6:$D$21,MATCH($G232,設定!$B$6:$B$21,0))=0,"",INDEX(設定!$D$6:$D$21,MATCH($G232,設定!$B$6:$B$21,0))),""))</f>
        <v/>
      </c>
      <c r="I232" s="83">
        <f>IF($G232="","",IFERROR(IF(INDEX(設定!$E$6:$E$21,MATCH($G232,設定!$B$6:$B$21,0))=0,"",INDEX(設定!$E$6:$E$21,MATCH($G232,設定!$B$6:$B$21,0))),""))</f>
        <v/>
      </c>
      <c r="J232" s="83">
        <f>IFERROR(INDEX(打卡匯入!$C$3:$C$2002,MATCH($C232&amp;"|"&amp;DAY($A232),打卡匯入!$E$3:$E$2002,0)),"")</f>
        <v/>
      </c>
      <c r="K232" s="83">
        <f>IFERROR(INDEX(打卡匯入!$D$3:$D$2002,MATCH($C232&amp;"|"&amp;DAY($A232),打卡匯入!$E$3:$E$2002,0)),"")</f>
        <v/>
      </c>
      <c r="L232" s="84">
        <f>IF(OR($J232="",$K232=""),"",IFERROR(INDEX(設定!$F$6:$F$21,MATCH($G232,設定!$B$6:$B$21,0)),0))</f>
        <v/>
      </c>
      <c r="M232" s="85">
        <f>IF(OR($J232="",$K232=""),"",ROUND(($K232-$J232)*24-$L232/60,2))</f>
        <v/>
      </c>
      <c r="N232" s="16">
        <f>IF($C232="","",IF(AND(COUNTIF(設定!$B$15:$B$21,$G232)&gt;0,$J232&lt;&gt;""),"假日出勤",IF(AND(COUNTIF(設定!$B$6:$B$14,$G232)&gt;0,$J232=""),"未打卡",IF($J232="","",IF($O232&gt;0,"遲到",IF($P232&gt;0,"早退","正常"))))))</f>
        <v/>
      </c>
      <c r="O232" s="84">
        <f>IF(OR($C232="",$H232="",$J232=""),0,IF(ROUND(($J232-$H232)*1440,0)&gt;設定!$C$46,ROUND(($J232-$H232)*1440,0),0))</f>
        <v/>
      </c>
      <c r="P232" s="84">
        <f>IF(OR($C232="",$I232="",$K232=""),0,IF(ROUND(($I232-$K232)*1440,0)&gt;設定!$C$46,ROUND(($I232-$K232)*1440,0),0))</f>
        <v/>
      </c>
      <c r="Q232" s="85">
        <f>IF($M232="",0,IF(($M232-IFERROR(INDEX(設定!$G$6:$G$21,MATCH($G232,設定!$B$6:$B$21,0)),0))*60&gt;=設定!$C$44,ROUND(FLOOR(($M232-IFERROR(INDEX(設定!$G$6:$G$21,MATCH($G232,設定!$B$6:$B$21,0)),0))*60,設定!$C$45)/60,2),0))</f>
        <v/>
      </c>
      <c r="R232" s="16">
        <f>IF(OR($C232="",$Q232=0),"",IF($G232="國","國定假日",IF($B232="日","例假",IF($B232="六","休息日","平日"))))</f>
        <v/>
      </c>
      <c r="S232" s="19" t="n"/>
    </row>
    <row r="233">
      <c r="A233" s="82">
        <f>IF(OR(助理班表!$A12="",14&gt;DAY(EOMONTH(DATE(設定!$C$2,設定!$D$2,1),0))),"",DATE(設定!$C$2,設定!$D$2,14))</f>
        <v/>
      </c>
      <c r="B233" s="16">
        <f>IF($A233="","",INDEX(設定!$O$6:$O$12,WEEKDAY($A233,1)))</f>
        <v/>
      </c>
      <c r="C233" s="16">
        <f>IF($A233="","",助理班表!$A12)</f>
        <v/>
      </c>
      <c r="D233" s="16">
        <f>IF($C233="","",助理班表!$B12)</f>
        <v/>
      </c>
      <c r="E233" s="16">
        <f>IF($C233="","",助理班表!$D12)</f>
        <v/>
      </c>
      <c r="F233" s="16">
        <f>IF($C233="","",助理班表!$C12)</f>
        <v/>
      </c>
      <c r="G233" s="16">
        <f>IF($C233="","",助理班表!R12)</f>
        <v/>
      </c>
      <c r="H233" s="83">
        <f>IF($G233="","",IFERROR(IF(INDEX(設定!$D$6:$D$21,MATCH($G233,設定!$B$6:$B$21,0))=0,"",INDEX(設定!$D$6:$D$21,MATCH($G233,設定!$B$6:$B$21,0))),""))</f>
        <v/>
      </c>
      <c r="I233" s="83">
        <f>IF($G233="","",IFERROR(IF(INDEX(設定!$E$6:$E$21,MATCH($G233,設定!$B$6:$B$21,0))=0,"",INDEX(設定!$E$6:$E$21,MATCH($G233,設定!$B$6:$B$21,0))),""))</f>
        <v/>
      </c>
      <c r="J233" s="83">
        <f>IFERROR(INDEX(打卡匯入!$C$3:$C$2002,MATCH($C233&amp;"|"&amp;DAY($A233),打卡匯入!$E$3:$E$2002,0)),"")</f>
        <v/>
      </c>
      <c r="K233" s="83">
        <f>IFERROR(INDEX(打卡匯入!$D$3:$D$2002,MATCH($C233&amp;"|"&amp;DAY($A233),打卡匯入!$E$3:$E$2002,0)),"")</f>
        <v/>
      </c>
      <c r="L233" s="84">
        <f>IF(OR($J233="",$K233=""),"",IFERROR(INDEX(設定!$F$6:$F$21,MATCH($G233,設定!$B$6:$B$21,0)),0))</f>
        <v/>
      </c>
      <c r="M233" s="85">
        <f>IF(OR($J233="",$K233=""),"",ROUND(($K233-$J233)*24-$L233/60,2))</f>
        <v/>
      </c>
      <c r="N233" s="16">
        <f>IF($C233="","",IF(AND(COUNTIF(設定!$B$15:$B$21,$G233)&gt;0,$J233&lt;&gt;""),"假日出勤",IF(AND(COUNTIF(設定!$B$6:$B$14,$G233)&gt;0,$J233=""),"未打卡",IF($J233="","",IF($O233&gt;0,"遲到",IF($P233&gt;0,"早退","正常"))))))</f>
        <v/>
      </c>
      <c r="O233" s="84">
        <f>IF(OR($C233="",$H233="",$J233=""),0,IF(ROUND(($J233-$H233)*1440,0)&gt;設定!$C$46,ROUND(($J233-$H233)*1440,0),0))</f>
        <v/>
      </c>
      <c r="P233" s="84">
        <f>IF(OR($C233="",$I233="",$K233=""),0,IF(ROUND(($I233-$K233)*1440,0)&gt;設定!$C$46,ROUND(($I233-$K233)*1440,0),0))</f>
        <v/>
      </c>
      <c r="Q233" s="85">
        <f>IF($M233="",0,IF(($M233-IFERROR(INDEX(設定!$G$6:$G$21,MATCH($G233,設定!$B$6:$B$21,0)),0))*60&gt;=設定!$C$44,ROUND(FLOOR(($M233-IFERROR(INDEX(設定!$G$6:$G$21,MATCH($G233,設定!$B$6:$B$21,0)),0))*60,設定!$C$45)/60,2),0))</f>
        <v/>
      </c>
      <c r="R233" s="16">
        <f>IF(OR($C233="",$Q233=0),"",IF($G233="國","國定假日",IF($B233="日","例假",IF($B233="六","休息日","平日"))))</f>
        <v/>
      </c>
      <c r="S233" s="19" t="n"/>
    </row>
    <row r="234">
      <c r="A234" s="82">
        <f>IF(OR(助理班表!$A12="",15&gt;DAY(EOMONTH(DATE(設定!$C$2,設定!$D$2,1),0))),"",DATE(設定!$C$2,設定!$D$2,15))</f>
        <v/>
      </c>
      <c r="B234" s="16">
        <f>IF($A234="","",INDEX(設定!$O$6:$O$12,WEEKDAY($A234,1)))</f>
        <v/>
      </c>
      <c r="C234" s="16">
        <f>IF($A234="","",助理班表!$A12)</f>
        <v/>
      </c>
      <c r="D234" s="16">
        <f>IF($C234="","",助理班表!$B12)</f>
        <v/>
      </c>
      <c r="E234" s="16">
        <f>IF($C234="","",助理班表!$D12)</f>
        <v/>
      </c>
      <c r="F234" s="16">
        <f>IF($C234="","",助理班表!$C12)</f>
        <v/>
      </c>
      <c r="G234" s="16">
        <f>IF($C234="","",助理班表!S12)</f>
        <v/>
      </c>
      <c r="H234" s="83">
        <f>IF($G234="","",IFERROR(IF(INDEX(設定!$D$6:$D$21,MATCH($G234,設定!$B$6:$B$21,0))=0,"",INDEX(設定!$D$6:$D$21,MATCH($G234,設定!$B$6:$B$21,0))),""))</f>
        <v/>
      </c>
      <c r="I234" s="83">
        <f>IF($G234="","",IFERROR(IF(INDEX(設定!$E$6:$E$21,MATCH($G234,設定!$B$6:$B$21,0))=0,"",INDEX(設定!$E$6:$E$21,MATCH($G234,設定!$B$6:$B$21,0))),""))</f>
        <v/>
      </c>
      <c r="J234" s="83">
        <f>IFERROR(INDEX(打卡匯入!$C$3:$C$2002,MATCH($C234&amp;"|"&amp;DAY($A234),打卡匯入!$E$3:$E$2002,0)),"")</f>
        <v/>
      </c>
      <c r="K234" s="83">
        <f>IFERROR(INDEX(打卡匯入!$D$3:$D$2002,MATCH($C234&amp;"|"&amp;DAY($A234),打卡匯入!$E$3:$E$2002,0)),"")</f>
        <v/>
      </c>
      <c r="L234" s="84">
        <f>IF(OR($J234="",$K234=""),"",IFERROR(INDEX(設定!$F$6:$F$21,MATCH($G234,設定!$B$6:$B$21,0)),0))</f>
        <v/>
      </c>
      <c r="M234" s="85">
        <f>IF(OR($J234="",$K234=""),"",ROUND(($K234-$J234)*24-$L234/60,2))</f>
        <v/>
      </c>
      <c r="N234" s="16">
        <f>IF($C234="","",IF(AND(COUNTIF(設定!$B$15:$B$21,$G234)&gt;0,$J234&lt;&gt;""),"假日出勤",IF(AND(COUNTIF(設定!$B$6:$B$14,$G234)&gt;0,$J234=""),"未打卡",IF($J234="","",IF($O234&gt;0,"遲到",IF($P234&gt;0,"早退","正常"))))))</f>
        <v/>
      </c>
      <c r="O234" s="84">
        <f>IF(OR($C234="",$H234="",$J234=""),0,IF(ROUND(($J234-$H234)*1440,0)&gt;設定!$C$46,ROUND(($J234-$H234)*1440,0),0))</f>
        <v/>
      </c>
      <c r="P234" s="84">
        <f>IF(OR($C234="",$I234="",$K234=""),0,IF(ROUND(($I234-$K234)*1440,0)&gt;設定!$C$46,ROUND(($I234-$K234)*1440,0),0))</f>
        <v/>
      </c>
      <c r="Q234" s="85">
        <f>IF($M234="",0,IF(($M234-IFERROR(INDEX(設定!$G$6:$G$21,MATCH($G234,設定!$B$6:$B$21,0)),0))*60&gt;=設定!$C$44,ROUND(FLOOR(($M234-IFERROR(INDEX(設定!$G$6:$G$21,MATCH($G234,設定!$B$6:$B$21,0)),0))*60,設定!$C$45)/60,2),0))</f>
        <v/>
      </c>
      <c r="R234" s="16">
        <f>IF(OR($C234="",$Q234=0),"",IF($G234="國","國定假日",IF($B234="日","例假",IF($B234="六","休息日","平日"))))</f>
        <v/>
      </c>
      <c r="S234" s="19" t="n"/>
    </row>
    <row r="235">
      <c r="A235" s="82">
        <f>IF(OR(助理班表!$A12="",16&gt;DAY(EOMONTH(DATE(設定!$C$2,設定!$D$2,1),0))),"",DATE(設定!$C$2,設定!$D$2,16))</f>
        <v/>
      </c>
      <c r="B235" s="16">
        <f>IF($A235="","",INDEX(設定!$O$6:$O$12,WEEKDAY($A235,1)))</f>
        <v/>
      </c>
      <c r="C235" s="16">
        <f>IF($A235="","",助理班表!$A12)</f>
        <v/>
      </c>
      <c r="D235" s="16">
        <f>IF($C235="","",助理班表!$B12)</f>
        <v/>
      </c>
      <c r="E235" s="16">
        <f>IF($C235="","",助理班表!$D12)</f>
        <v/>
      </c>
      <c r="F235" s="16">
        <f>IF($C235="","",助理班表!$C12)</f>
        <v/>
      </c>
      <c r="G235" s="16">
        <f>IF($C235="","",助理班表!T12)</f>
        <v/>
      </c>
      <c r="H235" s="83">
        <f>IF($G235="","",IFERROR(IF(INDEX(設定!$D$6:$D$21,MATCH($G235,設定!$B$6:$B$21,0))=0,"",INDEX(設定!$D$6:$D$21,MATCH($G235,設定!$B$6:$B$21,0))),""))</f>
        <v/>
      </c>
      <c r="I235" s="83">
        <f>IF($G235="","",IFERROR(IF(INDEX(設定!$E$6:$E$21,MATCH($G235,設定!$B$6:$B$21,0))=0,"",INDEX(設定!$E$6:$E$21,MATCH($G235,設定!$B$6:$B$21,0))),""))</f>
        <v/>
      </c>
      <c r="J235" s="83">
        <f>IFERROR(INDEX(打卡匯入!$C$3:$C$2002,MATCH($C235&amp;"|"&amp;DAY($A235),打卡匯入!$E$3:$E$2002,0)),"")</f>
        <v/>
      </c>
      <c r="K235" s="83">
        <f>IFERROR(INDEX(打卡匯入!$D$3:$D$2002,MATCH($C235&amp;"|"&amp;DAY($A235),打卡匯入!$E$3:$E$2002,0)),"")</f>
        <v/>
      </c>
      <c r="L235" s="84">
        <f>IF(OR($J235="",$K235=""),"",IFERROR(INDEX(設定!$F$6:$F$21,MATCH($G235,設定!$B$6:$B$21,0)),0))</f>
        <v/>
      </c>
      <c r="M235" s="85">
        <f>IF(OR($J235="",$K235=""),"",ROUND(($K235-$J235)*24-$L235/60,2))</f>
        <v/>
      </c>
      <c r="N235" s="16">
        <f>IF($C235="","",IF(AND(COUNTIF(設定!$B$15:$B$21,$G235)&gt;0,$J235&lt;&gt;""),"假日出勤",IF(AND(COUNTIF(設定!$B$6:$B$14,$G235)&gt;0,$J235=""),"未打卡",IF($J235="","",IF($O235&gt;0,"遲到",IF($P235&gt;0,"早退","正常"))))))</f>
        <v/>
      </c>
      <c r="O235" s="84">
        <f>IF(OR($C235="",$H235="",$J235=""),0,IF(ROUND(($J235-$H235)*1440,0)&gt;設定!$C$46,ROUND(($J235-$H235)*1440,0),0))</f>
        <v/>
      </c>
      <c r="P235" s="84">
        <f>IF(OR($C235="",$I235="",$K235=""),0,IF(ROUND(($I235-$K235)*1440,0)&gt;設定!$C$46,ROUND(($I235-$K235)*1440,0),0))</f>
        <v/>
      </c>
      <c r="Q235" s="85">
        <f>IF($M235="",0,IF(($M235-IFERROR(INDEX(設定!$G$6:$G$21,MATCH($G235,設定!$B$6:$B$21,0)),0))*60&gt;=設定!$C$44,ROUND(FLOOR(($M235-IFERROR(INDEX(設定!$G$6:$G$21,MATCH($G235,設定!$B$6:$B$21,0)),0))*60,設定!$C$45)/60,2),0))</f>
        <v/>
      </c>
      <c r="R235" s="16">
        <f>IF(OR($C235="",$Q235=0),"",IF($G235="國","國定假日",IF($B235="日","例假",IF($B235="六","休息日","平日"))))</f>
        <v/>
      </c>
      <c r="S235" s="19" t="n"/>
    </row>
    <row r="236">
      <c r="A236" s="82">
        <f>IF(OR(助理班表!$A12="",17&gt;DAY(EOMONTH(DATE(設定!$C$2,設定!$D$2,1),0))),"",DATE(設定!$C$2,設定!$D$2,17))</f>
        <v/>
      </c>
      <c r="B236" s="16">
        <f>IF($A236="","",INDEX(設定!$O$6:$O$12,WEEKDAY($A236,1)))</f>
        <v/>
      </c>
      <c r="C236" s="16">
        <f>IF($A236="","",助理班表!$A12)</f>
        <v/>
      </c>
      <c r="D236" s="16">
        <f>IF($C236="","",助理班表!$B12)</f>
        <v/>
      </c>
      <c r="E236" s="16">
        <f>IF($C236="","",助理班表!$D12)</f>
        <v/>
      </c>
      <c r="F236" s="16">
        <f>IF($C236="","",助理班表!$C12)</f>
        <v/>
      </c>
      <c r="G236" s="16">
        <f>IF($C236="","",助理班表!U12)</f>
        <v/>
      </c>
      <c r="H236" s="83">
        <f>IF($G236="","",IFERROR(IF(INDEX(設定!$D$6:$D$21,MATCH($G236,設定!$B$6:$B$21,0))=0,"",INDEX(設定!$D$6:$D$21,MATCH($G236,設定!$B$6:$B$21,0))),""))</f>
        <v/>
      </c>
      <c r="I236" s="83">
        <f>IF($G236="","",IFERROR(IF(INDEX(設定!$E$6:$E$21,MATCH($G236,設定!$B$6:$B$21,0))=0,"",INDEX(設定!$E$6:$E$21,MATCH($G236,設定!$B$6:$B$21,0))),""))</f>
        <v/>
      </c>
      <c r="J236" s="83">
        <f>IFERROR(INDEX(打卡匯入!$C$3:$C$2002,MATCH($C236&amp;"|"&amp;DAY($A236),打卡匯入!$E$3:$E$2002,0)),"")</f>
        <v/>
      </c>
      <c r="K236" s="83">
        <f>IFERROR(INDEX(打卡匯入!$D$3:$D$2002,MATCH($C236&amp;"|"&amp;DAY($A236),打卡匯入!$E$3:$E$2002,0)),"")</f>
        <v/>
      </c>
      <c r="L236" s="84">
        <f>IF(OR($J236="",$K236=""),"",IFERROR(INDEX(設定!$F$6:$F$21,MATCH($G236,設定!$B$6:$B$21,0)),0))</f>
        <v/>
      </c>
      <c r="M236" s="85">
        <f>IF(OR($J236="",$K236=""),"",ROUND(($K236-$J236)*24-$L236/60,2))</f>
        <v/>
      </c>
      <c r="N236" s="16">
        <f>IF($C236="","",IF(AND(COUNTIF(設定!$B$15:$B$21,$G236)&gt;0,$J236&lt;&gt;""),"假日出勤",IF(AND(COUNTIF(設定!$B$6:$B$14,$G236)&gt;0,$J236=""),"未打卡",IF($J236="","",IF($O236&gt;0,"遲到",IF($P236&gt;0,"早退","正常"))))))</f>
        <v/>
      </c>
      <c r="O236" s="84">
        <f>IF(OR($C236="",$H236="",$J236=""),0,IF(ROUND(($J236-$H236)*1440,0)&gt;設定!$C$46,ROUND(($J236-$H236)*1440,0),0))</f>
        <v/>
      </c>
      <c r="P236" s="84">
        <f>IF(OR($C236="",$I236="",$K236=""),0,IF(ROUND(($I236-$K236)*1440,0)&gt;設定!$C$46,ROUND(($I236-$K236)*1440,0),0))</f>
        <v/>
      </c>
      <c r="Q236" s="85">
        <f>IF($M236="",0,IF(($M236-IFERROR(INDEX(設定!$G$6:$G$21,MATCH($G236,設定!$B$6:$B$21,0)),0))*60&gt;=設定!$C$44,ROUND(FLOOR(($M236-IFERROR(INDEX(設定!$G$6:$G$21,MATCH($G236,設定!$B$6:$B$21,0)),0))*60,設定!$C$45)/60,2),0))</f>
        <v/>
      </c>
      <c r="R236" s="16">
        <f>IF(OR($C236="",$Q236=0),"",IF($G236="國","國定假日",IF($B236="日","例假",IF($B236="六","休息日","平日"))))</f>
        <v/>
      </c>
      <c r="S236" s="19" t="n"/>
    </row>
    <row r="237">
      <c r="A237" s="82">
        <f>IF(OR(助理班表!$A12="",18&gt;DAY(EOMONTH(DATE(設定!$C$2,設定!$D$2,1),0))),"",DATE(設定!$C$2,設定!$D$2,18))</f>
        <v/>
      </c>
      <c r="B237" s="16">
        <f>IF($A237="","",INDEX(設定!$O$6:$O$12,WEEKDAY($A237,1)))</f>
        <v/>
      </c>
      <c r="C237" s="16">
        <f>IF($A237="","",助理班表!$A12)</f>
        <v/>
      </c>
      <c r="D237" s="16">
        <f>IF($C237="","",助理班表!$B12)</f>
        <v/>
      </c>
      <c r="E237" s="16">
        <f>IF($C237="","",助理班表!$D12)</f>
        <v/>
      </c>
      <c r="F237" s="16">
        <f>IF($C237="","",助理班表!$C12)</f>
        <v/>
      </c>
      <c r="G237" s="16">
        <f>IF($C237="","",助理班表!V12)</f>
        <v/>
      </c>
      <c r="H237" s="83">
        <f>IF($G237="","",IFERROR(IF(INDEX(設定!$D$6:$D$21,MATCH($G237,設定!$B$6:$B$21,0))=0,"",INDEX(設定!$D$6:$D$21,MATCH($G237,設定!$B$6:$B$21,0))),""))</f>
        <v/>
      </c>
      <c r="I237" s="83">
        <f>IF($G237="","",IFERROR(IF(INDEX(設定!$E$6:$E$21,MATCH($G237,設定!$B$6:$B$21,0))=0,"",INDEX(設定!$E$6:$E$21,MATCH($G237,設定!$B$6:$B$21,0))),""))</f>
        <v/>
      </c>
      <c r="J237" s="83">
        <f>IFERROR(INDEX(打卡匯入!$C$3:$C$2002,MATCH($C237&amp;"|"&amp;DAY($A237),打卡匯入!$E$3:$E$2002,0)),"")</f>
        <v/>
      </c>
      <c r="K237" s="83">
        <f>IFERROR(INDEX(打卡匯入!$D$3:$D$2002,MATCH($C237&amp;"|"&amp;DAY($A237),打卡匯入!$E$3:$E$2002,0)),"")</f>
        <v/>
      </c>
      <c r="L237" s="84">
        <f>IF(OR($J237="",$K237=""),"",IFERROR(INDEX(設定!$F$6:$F$21,MATCH($G237,設定!$B$6:$B$21,0)),0))</f>
        <v/>
      </c>
      <c r="M237" s="85">
        <f>IF(OR($J237="",$K237=""),"",ROUND(($K237-$J237)*24-$L237/60,2))</f>
        <v/>
      </c>
      <c r="N237" s="16">
        <f>IF($C237="","",IF(AND(COUNTIF(設定!$B$15:$B$21,$G237)&gt;0,$J237&lt;&gt;""),"假日出勤",IF(AND(COUNTIF(設定!$B$6:$B$14,$G237)&gt;0,$J237=""),"未打卡",IF($J237="","",IF($O237&gt;0,"遲到",IF($P237&gt;0,"早退","正常"))))))</f>
        <v/>
      </c>
      <c r="O237" s="84">
        <f>IF(OR($C237="",$H237="",$J237=""),0,IF(ROUND(($J237-$H237)*1440,0)&gt;設定!$C$46,ROUND(($J237-$H237)*1440,0),0))</f>
        <v/>
      </c>
      <c r="P237" s="84">
        <f>IF(OR($C237="",$I237="",$K237=""),0,IF(ROUND(($I237-$K237)*1440,0)&gt;設定!$C$46,ROUND(($I237-$K237)*1440,0),0))</f>
        <v/>
      </c>
      <c r="Q237" s="85">
        <f>IF($M237="",0,IF(($M237-IFERROR(INDEX(設定!$G$6:$G$21,MATCH($G237,設定!$B$6:$B$21,0)),0))*60&gt;=設定!$C$44,ROUND(FLOOR(($M237-IFERROR(INDEX(設定!$G$6:$G$21,MATCH($G237,設定!$B$6:$B$21,0)),0))*60,設定!$C$45)/60,2),0))</f>
        <v/>
      </c>
      <c r="R237" s="16">
        <f>IF(OR($C237="",$Q237=0),"",IF($G237="國","國定假日",IF($B237="日","例假",IF($B237="六","休息日","平日"))))</f>
        <v/>
      </c>
      <c r="S237" s="19" t="n"/>
    </row>
    <row r="238">
      <c r="A238" s="82">
        <f>IF(OR(助理班表!$A12="",19&gt;DAY(EOMONTH(DATE(設定!$C$2,設定!$D$2,1),0))),"",DATE(設定!$C$2,設定!$D$2,19))</f>
        <v/>
      </c>
      <c r="B238" s="16">
        <f>IF($A238="","",INDEX(設定!$O$6:$O$12,WEEKDAY($A238,1)))</f>
        <v/>
      </c>
      <c r="C238" s="16">
        <f>IF($A238="","",助理班表!$A12)</f>
        <v/>
      </c>
      <c r="D238" s="16">
        <f>IF($C238="","",助理班表!$B12)</f>
        <v/>
      </c>
      <c r="E238" s="16">
        <f>IF($C238="","",助理班表!$D12)</f>
        <v/>
      </c>
      <c r="F238" s="16">
        <f>IF($C238="","",助理班表!$C12)</f>
        <v/>
      </c>
      <c r="G238" s="16">
        <f>IF($C238="","",助理班表!W12)</f>
        <v/>
      </c>
      <c r="H238" s="83">
        <f>IF($G238="","",IFERROR(IF(INDEX(設定!$D$6:$D$21,MATCH($G238,設定!$B$6:$B$21,0))=0,"",INDEX(設定!$D$6:$D$21,MATCH($G238,設定!$B$6:$B$21,0))),""))</f>
        <v/>
      </c>
      <c r="I238" s="83">
        <f>IF($G238="","",IFERROR(IF(INDEX(設定!$E$6:$E$21,MATCH($G238,設定!$B$6:$B$21,0))=0,"",INDEX(設定!$E$6:$E$21,MATCH($G238,設定!$B$6:$B$21,0))),""))</f>
        <v/>
      </c>
      <c r="J238" s="83">
        <f>IFERROR(INDEX(打卡匯入!$C$3:$C$2002,MATCH($C238&amp;"|"&amp;DAY($A238),打卡匯入!$E$3:$E$2002,0)),"")</f>
        <v/>
      </c>
      <c r="K238" s="83">
        <f>IFERROR(INDEX(打卡匯入!$D$3:$D$2002,MATCH($C238&amp;"|"&amp;DAY($A238),打卡匯入!$E$3:$E$2002,0)),"")</f>
        <v/>
      </c>
      <c r="L238" s="84">
        <f>IF(OR($J238="",$K238=""),"",IFERROR(INDEX(設定!$F$6:$F$21,MATCH($G238,設定!$B$6:$B$21,0)),0))</f>
        <v/>
      </c>
      <c r="M238" s="85">
        <f>IF(OR($J238="",$K238=""),"",ROUND(($K238-$J238)*24-$L238/60,2))</f>
        <v/>
      </c>
      <c r="N238" s="16">
        <f>IF($C238="","",IF(AND(COUNTIF(設定!$B$15:$B$21,$G238)&gt;0,$J238&lt;&gt;""),"假日出勤",IF(AND(COUNTIF(設定!$B$6:$B$14,$G238)&gt;0,$J238=""),"未打卡",IF($J238="","",IF($O238&gt;0,"遲到",IF($P238&gt;0,"早退","正常"))))))</f>
        <v/>
      </c>
      <c r="O238" s="84">
        <f>IF(OR($C238="",$H238="",$J238=""),0,IF(ROUND(($J238-$H238)*1440,0)&gt;設定!$C$46,ROUND(($J238-$H238)*1440,0),0))</f>
        <v/>
      </c>
      <c r="P238" s="84">
        <f>IF(OR($C238="",$I238="",$K238=""),0,IF(ROUND(($I238-$K238)*1440,0)&gt;設定!$C$46,ROUND(($I238-$K238)*1440,0),0))</f>
        <v/>
      </c>
      <c r="Q238" s="85">
        <f>IF($M238="",0,IF(($M238-IFERROR(INDEX(設定!$G$6:$G$21,MATCH($G238,設定!$B$6:$B$21,0)),0))*60&gt;=設定!$C$44,ROUND(FLOOR(($M238-IFERROR(INDEX(設定!$G$6:$G$21,MATCH($G238,設定!$B$6:$B$21,0)),0))*60,設定!$C$45)/60,2),0))</f>
        <v/>
      </c>
      <c r="R238" s="16">
        <f>IF(OR($C238="",$Q238=0),"",IF($G238="國","國定假日",IF($B238="日","例假",IF($B238="六","休息日","平日"))))</f>
        <v/>
      </c>
      <c r="S238" s="19" t="n"/>
    </row>
    <row r="239">
      <c r="A239" s="82">
        <f>IF(OR(助理班表!$A12="",20&gt;DAY(EOMONTH(DATE(設定!$C$2,設定!$D$2,1),0))),"",DATE(設定!$C$2,設定!$D$2,20))</f>
        <v/>
      </c>
      <c r="B239" s="16">
        <f>IF($A239="","",INDEX(設定!$O$6:$O$12,WEEKDAY($A239,1)))</f>
        <v/>
      </c>
      <c r="C239" s="16">
        <f>IF($A239="","",助理班表!$A12)</f>
        <v/>
      </c>
      <c r="D239" s="16">
        <f>IF($C239="","",助理班表!$B12)</f>
        <v/>
      </c>
      <c r="E239" s="16">
        <f>IF($C239="","",助理班表!$D12)</f>
        <v/>
      </c>
      <c r="F239" s="16">
        <f>IF($C239="","",助理班表!$C12)</f>
        <v/>
      </c>
      <c r="G239" s="16">
        <f>IF($C239="","",助理班表!X12)</f>
        <v/>
      </c>
      <c r="H239" s="83">
        <f>IF($G239="","",IFERROR(IF(INDEX(設定!$D$6:$D$21,MATCH($G239,設定!$B$6:$B$21,0))=0,"",INDEX(設定!$D$6:$D$21,MATCH($G239,設定!$B$6:$B$21,0))),""))</f>
        <v/>
      </c>
      <c r="I239" s="83">
        <f>IF($G239="","",IFERROR(IF(INDEX(設定!$E$6:$E$21,MATCH($G239,設定!$B$6:$B$21,0))=0,"",INDEX(設定!$E$6:$E$21,MATCH($G239,設定!$B$6:$B$21,0))),""))</f>
        <v/>
      </c>
      <c r="J239" s="83">
        <f>IFERROR(INDEX(打卡匯入!$C$3:$C$2002,MATCH($C239&amp;"|"&amp;DAY($A239),打卡匯入!$E$3:$E$2002,0)),"")</f>
        <v/>
      </c>
      <c r="K239" s="83">
        <f>IFERROR(INDEX(打卡匯入!$D$3:$D$2002,MATCH($C239&amp;"|"&amp;DAY($A239),打卡匯入!$E$3:$E$2002,0)),"")</f>
        <v/>
      </c>
      <c r="L239" s="84">
        <f>IF(OR($J239="",$K239=""),"",IFERROR(INDEX(設定!$F$6:$F$21,MATCH($G239,設定!$B$6:$B$21,0)),0))</f>
        <v/>
      </c>
      <c r="M239" s="85">
        <f>IF(OR($J239="",$K239=""),"",ROUND(($K239-$J239)*24-$L239/60,2))</f>
        <v/>
      </c>
      <c r="N239" s="16">
        <f>IF($C239="","",IF(AND(COUNTIF(設定!$B$15:$B$21,$G239)&gt;0,$J239&lt;&gt;""),"假日出勤",IF(AND(COUNTIF(設定!$B$6:$B$14,$G239)&gt;0,$J239=""),"未打卡",IF($J239="","",IF($O239&gt;0,"遲到",IF($P239&gt;0,"早退","正常"))))))</f>
        <v/>
      </c>
      <c r="O239" s="84">
        <f>IF(OR($C239="",$H239="",$J239=""),0,IF(ROUND(($J239-$H239)*1440,0)&gt;設定!$C$46,ROUND(($J239-$H239)*1440,0),0))</f>
        <v/>
      </c>
      <c r="P239" s="84">
        <f>IF(OR($C239="",$I239="",$K239=""),0,IF(ROUND(($I239-$K239)*1440,0)&gt;設定!$C$46,ROUND(($I239-$K239)*1440,0),0))</f>
        <v/>
      </c>
      <c r="Q239" s="85">
        <f>IF($M239="",0,IF(($M239-IFERROR(INDEX(設定!$G$6:$G$21,MATCH($G239,設定!$B$6:$B$21,0)),0))*60&gt;=設定!$C$44,ROUND(FLOOR(($M239-IFERROR(INDEX(設定!$G$6:$G$21,MATCH($G239,設定!$B$6:$B$21,0)),0))*60,設定!$C$45)/60,2),0))</f>
        <v/>
      </c>
      <c r="R239" s="16">
        <f>IF(OR($C239="",$Q239=0),"",IF($G239="國","國定假日",IF($B239="日","例假",IF($B239="六","休息日","平日"))))</f>
        <v/>
      </c>
      <c r="S239" s="19" t="n"/>
    </row>
    <row r="240">
      <c r="A240" s="82">
        <f>IF(OR(助理班表!$A12="",21&gt;DAY(EOMONTH(DATE(設定!$C$2,設定!$D$2,1),0))),"",DATE(設定!$C$2,設定!$D$2,21))</f>
        <v/>
      </c>
      <c r="B240" s="16">
        <f>IF($A240="","",INDEX(設定!$O$6:$O$12,WEEKDAY($A240,1)))</f>
        <v/>
      </c>
      <c r="C240" s="16">
        <f>IF($A240="","",助理班表!$A12)</f>
        <v/>
      </c>
      <c r="D240" s="16">
        <f>IF($C240="","",助理班表!$B12)</f>
        <v/>
      </c>
      <c r="E240" s="16">
        <f>IF($C240="","",助理班表!$D12)</f>
        <v/>
      </c>
      <c r="F240" s="16">
        <f>IF($C240="","",助理班表!$C12)</f>
        <v/>
      </c>
      <c r="G240" s="16">
        <f>IF($C240="","",助理班表!Y12)</f>
        <v/>
      </c>
      <c r="H240" s="83">
        <f>IF($G240="","",IFERROR(IF(INDEX(設定!$D$6:$D$21,MATCH($G240,設定!$B$6:$B$21,0))=0,"",INDEX(設定!$D$6:$D$21,MATCH($G240,設定!$B$6:$B$21,0))),""))</f>
        <v/>
      </c>
      <c r="I240" s="83">
        <f>IF($G240="","",IFERROR(IF(INDEX(設定!$E$6:$E$21,MATCH($G240,設定!$B$6:$B$21,0))=0,"",INDEX(設定!$E$6:$E$21,MATCH($G240,設定!$B$6:$B$21,0))),""))</f>
        <v/>
      </c>
      <c r="J240" s="83">
        <f>IFERROR(INDEX(打卡匯入!$C$3:$C$2002,MATCH($C240&amp;"|"&amp;DAY($A240),打卡匯入!$E$3:$E$2002,0)),"")</f>
        <v/>
      </c>
      <c r="K240" s="83">
        <f>IFERROR(INDEX(打卡匯入!$D$3:$D$2002,MATCH($C240&amp;"|"&amp;DAY($A240),打卡匯入!$E$3:$E$2002,0)),"")</f>
        <v/>
      </c>
      <c r="L240" s="84">
        <f>IF(OR($J240="",$K240=""),"",IFERROR(INDEX(設定!$F$6:$F$21,MATCH($G240,設定!$B$6:$B$21,0)),0))</f>
        <v/>
      </c>
      <c r="M240" s="85">
        <f>IF(OR($J240="",$K240=""),"",ROUND(($K240-$J240)*24-$L240/60,2))</f>
        <v/>
      </c>
      <c r="N240" s="16">
        <f>IF($C240="","",IF(AND(COUNTIF(設定!$B$15:$B$21,$G240)&gt;0,$J240&lt;&gt;""),"假日出勤",IF(AND(COUNTIF(設定!$B$6:$B$14,$G240)&gt;0,$J240=""),"未打卡",IF($J240="","",IF($O240&gt;0,"遲到",IF($P240&gt;0,"早退","正常"))))))</f>
        <v/>
      </c>
      <c r="O240" s="84">
        <f>IF(OR($C240="",$H240="",$J240=""),0,IF(ROUND(($J240-$H240)*1440,0)&gt;設定!$C$46,ROUND(($J240-$H240)*1440,0),0))</f>
        <v/>
      </c>
      <c r="P240" s="84">
        <f>IF(OR($C240="",$I240="",$K240=""),0,IF(ROUND(($I240-$K240)*1440,0)&gt;設定!$C$46,ROUND(($I240-$K240)*1440,0),0))</f>
        <v/>
      </c>
      <c r="Q240" s="85">
        <f>IF($M240="",0,IF(($M240-IFERROR(INDEX(設定!$G$6:$G$21,MATCH($G240,設定!$B$6:$B$21,0)),0))*60&gt;=設定!$C$44,ROUND(FLOOR(($M240-IFERROR(INDEX(設定!$G$6:$G$21,MATCH($G240,設定!$B$6:$B$21,0)),0))*60,設定!$C$45)/60,2),0))</f>
        <v/>
      </c>
      <c r="R240" s="16">
        <f>IF(OR($C240="",$Q240=0),"",IF($G240="國","國定假日",IF($B240="日","例假",IF($B240="六","休息日","平日"))))</f>
        <v/>
      </c>
      <c r="S240" s="19" t="n"/>
    </row>
    <row r="241">
      <c r="A241" s="82">
        <f>IF(OR(助理班表!$A12="",22&gt;DAY(EOMONTH(DATE(設定!$C$2,設定!$D$2,1),0))),"",DATE(設定!$C$2,設定!$D$2,22))</f>
        <v/>
      </c>
      <c r="B241" s="16">
        <f>IF($A241="","",INDEX(設定!$O$6:$O$12,WEEKDAY($A241,1)))</f>
        <v/>
      </c>
      <c r="C241" s="16">
        <f>IF($A241="","",助理班表!$A12)</f>
        <v/>
      </c>
      <c r="D241" s="16">
        <f>IF($C241="","",助理班表!$B12)</f>
        <v/>
      </c>
      <c r="E241" s="16">
        <f>IF($C241="","",助理班表!$D12)</f>
        <v/>
      </c>
      <c r="F241" s="16">
        <f>IF($C241="","",助理班表!$C12)</f>
        <v/>
      </c>
      <c r="G241" s="16">
        <f>IF($C241="","",助理班表!Z12)</f>
        <v/>
      </c>
      <c r="H241" s="83">
        <f>IF($G241="","",IFERROR(IF(INDEX(設定!$D$6:$D$21,MATCH($G241,設定!$B$6:$B$21,0))=0,"",INDEX(設定!$D$6:$D$21,MATCH($G241,設定!$B$6:$B$21,0))),""))</f>
        <v/>
      </c>
      <c r="I241" s="83">
        <f>IF($G241="","",IFERROR(IF(INDEX(設定!$E$6:$E$21,MATCH($G241,設定!$B$6:$B$21,0))=0,"",INDEX(設定!$E$6:$E$21,MATCH($G241,設定!$B$6:$B$21,0))),""))</f>
        <v/>
      </c>
      <c r="J241" s="83">
        <f>IFERROR(INDEX(打卡匯入!$C$3:$C$2002,MATCH($C241&amp;"|"&amp;DAY($A241),打卡匯入!$E$3:$E$2002,0)),"")</f>
        <v/>
      </c>
      <c r="K241" s="83">
        <f>IFERROR(INDEX(打卡匯入!$D$3:$D$2002,MATCH($C241&amp;"|"&amp;DAY($A241),打卡匯入!$E$3:$E$2002,0)),"")</f>
        <v/>
      </c>
      <c r="L241" s="84">
        <f>IF(OR($J241="",$K241=""),"",IFERROR(INDEX(設定!$F$6:$F$21,MATCH($G241,設定!$B$6:$B$21,0)),0))</f>
        <v/>
      </c>
      <c r="M241" s="85">
        <f>IF(OR($J241="",$K241=""),"",ROUND(($K241-$J241)*24-$L241/60,2))</f>
        <v/>
      </c>
      <c r="N241" s="16">
        <f>IF($C241="","",IF(AND(COUNTIF(設定!$B$15:$B$21,$G241)&gt;0,$J241&lt;&gt;""),"假日出勤",IF(AND(COUNTIF(設定!$B$6:$B$14,$G241)&gt;0,$J241=""),"未打卡",IF($J241="","",IF($O241&gt;0,"遲到",IF($P241&gt;0,"早退","正常"))))))</f>
        <v/>
      </c>
      <c r="O241" s="84">
        <f>IF(OR($C241="",$H241="",$J241=""),0,IF(ROUND(($J241-$H241)*1440,0)&gt;設定!$C$46,ROUND(($J241-$H241)*1440,0),0))</f>
        <v/>
      </c>
      <c r="P241" s="84">
        <f>IF(OR($C241="",$I241="",$K241=""),0,IF(ROUND(($I241-$K241)*1440,0)&gt;設定!$C$46,ROUND(($I241-$K241)*1440,0),0))</f>
        <v/>
      </c>
      <c r="Q241" s="85">
        <f>IF($M241="",0,IF(($M241-IFERROR(INDEX(設定!$G$6:$G$21,MATCH($G241,設定!$B$6:$B$21,0)),0))*60&gt;=設定!$C$44,ROUND(FLOOR(($M241-IFERROR(INDEX(設定!$G$6:$G$21,MATCH($G241,設定!$B$6:$B$21,0)),0))*60,設定!$C$45)/60,2),0))</f>
        <v/>
      </c>
      <c r="R241" s="16">
        <f>IF(OR($C241="",$Q241=0),"",IF($G241="國","國定假日",IF($B241="日","例假",IF($B241="六","休息日","平日"))))</f>
        <v/>
      </c>
      <c r="S241" s="19" t="n"/>
    </row>
    <row r="242">
      <c r="A242" s="82">
        <f>IF(OR(助理班表!$A12="",23&gt;DAY(EOMONTH(DATE(設定!$C$2,設定!$D$2,1),0))),"",DATE(設定!$C$2,設定!$D$2,23))</f>
        <v/>
      </c>
      <c r="B242" s="16">
        <f>IF($A242="","",INDEX(設定!$O$6:$O$12,WEEKDAY($A242,1)))</f>
        <v/>
      </c>
      <c r="C242" s="16">
        <f>IF($A242="","",助理班表!$A12)</f>
        <v/>
      </c>
      <c r="D242" s="16">
        <f>IF($C242="","",助理班表!$B12)</f>
        <v/>
      </c>
      <c r="E242" s="16">
        <f>IF($C242="","",助理班表!$D12)</f>
        <v/>
      </c>
      <c r="F242" s="16">
        <f>IF($C242="","",助理班表!$C12)</f>
        <v/>
      </c>
      <c r="G242" s="16">
        <f>IF($C242="","",助理班表!AA12)</f>
        <v/>
      </c>
      <c r="H242" s="83">
        <f>IF($G242="","",IFERROR(IF(INDEX(設定!$D$6:$D$21,MATCH($G242,設定!$B$6:$B$21,0))=0,"",INDEX(設定!$D$6:$D$21,MATCH($G242,設定!$B$6:$B$21,0))),""))</f>
        <v/>
      </c>
      <c r="I242" s="83">
        <f>IF($G242="","",IFERROR(IF(INDEX(設定!$E$6:$E$21,MATCH($G242,設定!$B$6:$B$21,0))=0,"",INDEX(設定!$E$6:$E$21,MATCH($G242,設定!$B$6:$B$21,0))),""))</f>
        <v/>
      </c>
      <c r="J242" s="83">
        <f>IFERROR(INDEX(打卡匯入!$C$3:$C$2002,MATCH($C242&amp;"|"&amp;DAY($A242),打卡匯入!$E$3:$E$2002,0)),"")</f>
        <v/>
      </c>
      <c r="K242" s="83">
        <f>IFERROR(INDEX(打卡匯入!$D$3:$D$2002,MATCH($C242&amp;"|"&amp;DAY($A242),打卡匯入!$E$3:$E$2002,0)),"")</f>
        <v/>
      </c>
      <c r="L242" s="84">
        <f>IF(OR($J242="",$K242=""),"",IFERROR(INDEX(設定!$F$6:$F$21,MATCH($G242,設定!$B$6:$B$21,0)),0))</f>
        <v/>
      </c>
      <c r="M242" s="85">
        <f>IF(OR($J242="",$K242=""),"",ROUND(($K242-$J242)*24-$L242/60,2))</f>
        <v/>
      </c>
      <c r="N242" s="16">
        <f>IF($C242="","",IF(AND(COUNTIF(設定!$B$15:$B$21,$G242)&gt;0,$J242&lt;&gt;""),"假日出勤",IF(AND(COUNTIF(設定!$B$6:$B$14,$G242)&gt;0,$J242=""),"未打卡",IF($J242="","",IF($O242&gt;0,"遲到",IF($P242&gt;0,"早退","正常"))))))</f>
        <v/>
      </c>
      <c r="O242" s="84">
        <f>IF(OR($C242="",$H242="",$J242=""),0,IF(ROUND(($J242-$H242)*1440,0)&gt;設定!$C$46,ROUND(($J242-$H242)*1440,0),0))</f>
        <v/>
      </c>
      <c r="P242" s="84">
        <f>IF(OR($C242="",$I242="",$K242=""),0,IF(ROUND(($I242-$K242)*1440,0)&gt;設定!$C$46,ROUND(($I242-$K242)*1440,0),0))</f>
        <v/>
      </c>
      <c r="Q242" s="85">
        <f>IF($M242="",0,IF(($M242-IFERROR(INDEX(設定!$G$6:$G$21,MATCH($G242,設定!$B$6:$B$21,0)),0))*60&gt;=設定!$C$44,ROUND(FLOOR(($M242-IFERROR(INDEX(設定!$G$6:$G$21,MATCH($G242,設定!$B$6:$B$21,0)),0))*60,設定!$C$45)/60,2),0))</f>
        <v/>
      </c>
      <c r="R242" s="16">
        <f>IF(OR($C242="",$Q242=0),"",IF($G242="國","國定假日",IF($B242="日","例假",IF($B242="六","休息日","平日"))))</f>
        <v/>
      </c>
      <c r="S242" s="19" t="n"/>
    </row>
    <row r="243">
      <c r="A243" s="82">
        <f>IF(OR(助理班表!$A12="",24&gt;DAY(EOMONTH(DATE(設定!$C$2,設定!$D$2,1),0))),"",DATE(設定!$C$2,設定!$D$2,24))</f>
        <v/>
      </c>
      <c r="B243" s="16">
        <f>IF($A243="","",INDEX(設定!$O$6:$O$12,WEEKDAY($A243,1)))</f>
        <v/>
      </c>
      <c r="C243" s="16">
        <f>IF($A243="","",助理班表!$A12)</f>
        <v/>
      </c>
      <c r="D243" s="16">
        <f>IF($C243="","",助理班表!$B12)</f>
        <v/>
      </c>
      <c r="E243" s="16">
        <f>IF($C243="","",助理班表!$D12)</f>
        <v/>
      </c>
      <c r="F243" s="16">
        <f>IF($C243="","",助理班表!$C12)</f>
        <v/>
      </c>
      <c r="G243" s="16">
        <f>IF($C243="","",助理班表!AB12)</f>
        <v/>
      </c>
      <c r="H243" s="83">
        <f>IF($G243="","",IFERROR(IF(INDEX(設定!$D$6:$D$21,MATCH($G243,設定!$B$6:$B$21,0))=0,"",INDEX(設定!$D$6:$D$21,MATCH($G243,設定!$B$6:$B$21,0))),""))</f>
        <v/>
      </c>
      <c r="I243" s="83">
        <f>IF($G243="","",IFERROR(IF(INDEX(設定!$E$6:$E$21,MATCH($G243,設定!$B$6:$B$21,0))=0,"",INDEX(設定!$E$6:$E$21,MATCH($G243,設定!$B$6:$B$21,0))),""))</f>
        <v/>
      </c>
      <c r="J243" s="83">
        <f>IFERROR(INDEX(打卡匯入!$C$3:$C$2002,MATCH($C243&amp;"|"&amp;DAY($A243),打卡匯入!$E$3:$E$2002,0)),"")</f>
        <v/>
      </c>
      <c r="K243" s="83">
        <f>IFERROR(INDEX(打卡匯入!$D$3:$D$2002,MATCH($C243&amp;"|"&amp;DAY($A243),打卡匯入!$E$3:$E$2002,0)),"")</f>
        <v/>
      </c>
      <c r="L243" s="84">
        <f>IF(OR($J243="",$K243=""),"",IFERROR(INDEX(設定!$F$6:$F$21,MATCH($G243,設定!$B$6:$B$21,0)),0))</f>
        <v/>
      </c>
      <c r="M243" s="85">
        <f>IF(OR($J243="",$K243=""),"",ROUND(($K243-$J243)*24-$L243/60,2))</f>
        <v/>
      </c>
      <c r="N243" s="16">
        <f>IF($C243="","",IF(AND(COUNTIF(設定!$B$15:$B$21,$G243)&gt;0,$J243&lt;&gt;""),"假日出勤",IF(AND(COUNTIF(設定!$B$6:$B$14,$G243)&gt;0,$J243=""),"未打卡",IF($J243="","",IF($O243&gt;0,"遲到",IF($P243&gt;0,"早退","正常"))))))</f>
        <v/>
      </c>
      <c r="O243" s="84">
        <f>IF(OR($C243="",$H243="",$J243=""),0,IF(ROUND(($J243-$H243)*1440,0)&gt;設定!$C$46,ROUND(($J243-$H243)*1440,0),0))</f>
        <v/>
      </c>
      <c r="P243" s="84">
        <f>IF(OR($C243="",$I243="",$K243=""),0,IF(ROUND(($I243-$K243)*1440,0)&gt;設定!$C$46,ROUND(($I243-$K243)*1440,0),0))</f>
        <v/>
      </c>
      <c r="Q243" s="85">
        <f>IF($M243="",0,IF(($M243-IFERROR(INDEX(設定!$G$6:$G$21,MATCH($G243,設定!$B$6:$B$21,0)),0))*60&gt;=設定!$C$44,ROUND(FLOOR(($M243-IFERROR(INDEX(設定!$G$6:$G$21,MATCH($G243,設定!$B$6:$B$21,0)),0))*60,設定!$C$45)/60,2),0))</f>
        <v/>
      </c>
      <c r="R243" s="16">
        <f>IF(OR($C243="",$Q243=0),"",IF($G243="國","國定假日",IF($B243="日","例假",IF($B243="六","休息日","平日"))))</f>
        <v/>
      </c>
      <c r="S243" s="19" t="n"/>
    </row>
    <row r="244">
      <c r="A244" s="82">
        <f>IF(OR(助理班表!$A12="",25&gt;DAY(EOMONTH(DATE(設定!$C$2,設定!$D$2,1),0))),"",DATE(設定!$C$2,設定!$D$2,25))</f>
        <v/>
      </c>
      <c r="B244" s="16">
        <f>IF($A244="","",INDEX(設定!$O$6:$O$12,WEEKDAY($A244,1)))</f>
        <v/>
      </c>
      <c r="C244" s="16">
        <f>IF($A244="","",助理班表!$A12)</f>
        <v/>
      </c>
      <c r="D244" s="16">
        <f>IF($C244="","",助理班表!$B12)</f>
        <v/>
      </c>
      <c r="E244" s="16">
        <f>IF($C244="","",助理班表!$D12)</f>
        <v/>
      </c>
      <c r="F244" s="16">
        <f>IF($C244="","",助理班表!$C12)</f>
        <v/>
      </c>
      <c r="G244" s="16">
        <f>IF($C244="","",助理班表!AC12)</f>
        <v/>
      </c>
      <c r="H244" s="83">
        <f>IF($G244="","",IFERROR(IF(INDEX(設定!$D$6:$D$21,MATCH($G244,設定!$B$6:$B$21,0))=0,"",INDEX(設定!$D$6:$D$21,MATCH($G244,設定!$B$6:$B$21,0))),""))</f>
        <v/>
      </c>
      <c r="I244" s="83">
        <f>IF($G244="","",IFERROR(IF(INDEX(設定!$E$6:$E$21,MATCH($G244,設定!$B$6:$B$21,0))=0,"",INDEX(設定!$E$6:$E$21,MATCH($G244,設定!$B$6:$B$21,0))),""))</f>
        <v/>
      </c>
      <c r="J244" s="83">
        <f>IFERROR(INDEX(打卡匯入!$C$3:$C$2002,MATCH($C244&amp;"|"&amp;DAY($A244),打卡匯入!$E$3:$E$2002,0)),"")</f>
        <v/>
      </c>
      <c r="K244" s="83">
        <f>IFERROR(INDEX(打卡匯入!$D$3:$D$2002,MATCH($C244&amp;"|"&amp;DAY($A244),打卡匯入!$E$3:$E$2002,0)),"")</f>
        <v/>
      </c>
      <c r="L244" s="84">
        <f>IF(OR($J244="",$K244=""),"",IFERROR(INDEX(設定!$F$6:$F$21,MATCH($G244,設定!$B$6:$B$21,0)),0))</f>
        <v/>
      </c>
      <c r="M244" s="85">
        <f>IF(OR($J244="",$K244=""),"",ROUND(($K244-$J244)*24-$L244/60,2))</f>
        <v/>
      </c>
      <c r="N244" s="16">
        <f>IF($C244="","",IF(AND(COUNTIF(設定!$B$15:$B$21,$G244)&gt;0,$J244&lt;&gt;""),"假日出勤",IF(AND(COUNTIF(設定!$B$6:$B$14,$G244)&gt;0,$J244=""),"未打卡",IF($J244="","",IF($O244&gt;0,"遲到",IF($P244&gt;0,"早退","正常"))))))</f>
        <v/>
      </c>
      <c r="O244" s="84">
        <f>IF(OR($C244="",$H244="",$J244=""),0,IF(ROUND(($J244-$H244)*1440,0)&gt;設定!$C$46,ROUND(($J244-$H244)*1440,0),0))</f>
        <v/>
      </c>
      <c r="P244" s="84">
        <f>IF(OR($C244="",$I244="",$K244=""),0,IF(ROUND(($I244-$K244)*1440,0)&gt;設定!$C$46,ROUND(($I244-$K244)*1440,0),0))</f>
        <v/>
      </c>
      <c r="Q244" s="85">
        <f>IF($M244="",0,IF(($M244-IFERROR(INDEX(設定!$G$6:$G$21,MATCH($G244,設定!$B$6:$B$21,0)),0))*60&gt;=設定!$C$44,ROUND(FLOOR(($M244-IFERROR(INDEX(設定!$G$6:$G$21,MATCH($G244,設定!$B$6:$B$21,0)),0))*60,設定!$C$45)/60,2),0))</f>
        <v/>
      </c>
      <c r="R244" s="16">
        <f>IF(OR($C244="",$Q244=0),"",IF($G244="國","國定假日",IF($B244="日","例假",IF($B244="六","休息日","平日"))))</f>
        <v/>
      </c>
      <c r="S244" s="19" t="n"/>
    </row>
    <row r="245">
      <c r="A245" s="82">
        <f>IF(OR(助理班表!$A12="",26&gt;DAY(EOMONTH(DATE(設定!$C$2,設定!$D$2,1),0))),"",DATE(設定!$C$2,設定!$D$2,26))</f>
        <v/>
      </c>
      <c r="B245" s="16">
        <f>IF($A245="","",INDEX(設定!$O$6:$O$12,WEEKDAY($A245,1)))</f>
        <v/>
      </c>
      <c r="C245" s="16">
        <f>IF($A245="","",助理班表!$A12)</f>
        <v/>
      </c>
      <c r="D245" s="16">
        <f>IF($C245="","",助理班表!$B12)</f>
        <v/>
      </c>
      <c r="E245" s="16">
        <f>IF($C245="","",助理班表!$D12)</f>
        <v/>
      </c>
      <c r="F245" s="16">
        <f>IF($C245="","",助理班表!$C12)</f>
        <v/>
      </c>
      <c r="G245" s="16">
        <f>IF($C245="","",助理班表!AD12)</f>
        <v/>
      </c>
      <c r="H245" s="83">
        <f>IF($G245="","",IFERROR(IF(INDEX(設定!$D$6:$D$21,MATCH($G245,設定!$B$6:$B$21,0))=0,"",INDEX(設定!$D$6:$D$21,MATCH($G245,設定!$B$6:$B$21,0))),""))</f>
        <v/>
      </c>
      <c r="I245" s="83">
        <f>IF($G245="","",IFERROR(IF(INDEX(設定!$E$6:$E$21,MATCH($G245,設定!$B$6:$B$21,0))=0,"",INDEX(設定!$E$6:$E$21,MATCH($G245,設定!$B$6:$B$21,0))),""))</f>
        <v/>
      </c>
      <c r="J245" s="83">
        <f>IFERROR(INDEX(打卡匯入!$C$3:$C$2002,MATCH($C245&amp;"|"&amp;DAY($A245),打卡匯入!$E$3:$E$2002,0)),"")</f>
        <v/>
      </c>
      <c r="K245" s="83">
        <f>IFERROR(INDEX(打卡匯入!$D$3:$D$2002,MATCH($C245&amp;"|"&amp;DAY($A245),打卡匯入!$E$3:$E$2002,0)),"")</f>
        <v/>
      </c>
      <c r="L245" s="84">
        <f>IF(OR($J245="",$K245=""),"",IFERROR(INDEX(設定!$F$6:$F$21,MATCH($G245,設定!$B$6:$B$21,0)),0))</f>
        <v/>
      </c>
      <c r="M245" s="85">
        <f>IF(OR($J245="",$K245=""),"",ROUND(($K245-$J245)*24-$L245/60,2))</f>
        <v/>
      </c>
      <c r="N245" s="16">
        <f>IF($C245="","",IF(AND(COUNTIF(設定!$B$15:$B$21,$G245)&gt;0,$J245&lt;&gt;""),"假日出勤",IF(AND(COUNTIF(設定!$B$6:$B$14,$G245)&gt;0,$J245=""),"未打卡",IF($J245="","",IF($O245&gt;0,"遲到",IF($P245&gt;0,"早退","正常"))))))</f>
        <v/>
      </c>
      <c r="O245" s="84">
        <f>IF(OR($C245="",$H245="",$J245=""),0,IF(ROUND(($J245-$H245)*1440,0)&gt;設定!$C$46,ROUND(($J245-$H245)*1440,0),0))</f>
        <v/>
      </c>
      <c r="P245" s="84">
        <f>IF(OR($C245="",$I245="",$K245=""),0,IF(ROUND(($I245-$K245)*1440,0)&gt;設定!$C$46,ROUND(($I245-$K245)*1440,0),0))</f>
        <v/>
      </c>
      <c r="Q245" s="85">
        <f>IF($M245="",0,IF(($M245-IFERROR(INDEX(設定!$G$6:$G$21,MATCH($G245,設定!$B$6:$B$21,0)),0))*60&gt;=設定!$C$44,ROUND(FLOOR(($M245-IFERROR(INDEX(設定!$G$6:$G$21,MATCH($G245,設定!$B$6:$B$21,0)),0))*60,設定!$C$45)/60,2),0))</f>
        <v/>
      </c>
      <c r="R245" s="16">
        <f>IF(OR($C245="",$Q245=0),"",IF($G245="國","國定假日",IF($B245="日","例假",IF($B245="六","休息日","平日"))))</f>
        <v/>
      </c>
      <c r="S245" s="19" t="n"/>
    </row>
    <row r="246">
      <c r="A246" s="82">
        <f>IF(OR(助理班表!$A12="",27&gt;DAY(EOMONTH(DATE(設定!$C$2,設定!$D$2,1),0))),"",DATE(設定!$C$2,設定!$D$2,27))</f>
        <v/>
      </c>
      <c r="B246" s="16">
        <f>IF($A246="","",INDEX(設定!$O$6:$O$12,WEEKDAY($A246,1)))</f>
        <v/>
      </c>
      <c r="C246" s="16">
        <f>IF($A246="","",助理班表!$A12)</f>
        <v/>
      </c>
      <c r="D246" s="16">
        <f>IF($C246="","",助理班表!$B12)</f>
        <v/>
      </c>
      <c r="E246" s="16">
        <f>IF($C246="","",助理班表!$D12)</f>
        <v/>
      </c>
      <c r="F246" s="16">
        <f>IF($C246="","",助理班表!$C12)</f>
        <v/>
      </c>
      <c r="G246" s="16">
        <f>IF($C246="","",助理班表!AE12)</f>
        <v/>
      </c>
      <c r="H246" s="83">
        <f>IF($G246="","",IFERROR(IF(INDEX(設定!$D$6:$D$21,MATCH($G246,設定!$B$6:$B$21,0))=0,"",INDEX(設定!$D$6:$D$21,MATCH($G246,設定!$B$6:$B$21,0))),""))</f>
        <v/>
      </c>
      <c r="I246" s="83">
        <f>IF($G246="","",IFERROR(IF(INDEX(設定!$E$6:$E$21,MATCH($G246,設定!$B$6:$B$21,0))=0,"",INDEX(設定!$E$6:$E$21,MATCH($G246,設定!$B$6:$B$21,0))),""))</f>
        <v/>
      </c>
      <c r="J246" s="83">
        <f>IFERROR(INDEX(打卡匯入!$C$3:$C$2002,MATCH($C246&amp;"|"&amp;DAY($A246),打卡匯入!$E$3:$E$2002,0)),"")</f>
        <v/>
      </c>
      <c r="K246" s="83">
        <f>IFERROR(INDEX(打卡匯入!$D$3:$D$2002,MATCH($C246&amp;"|"&amp;DAY($A246),打卡匯入!$E$3:$E$2002,0)),"")</f>
        <v/>
      </c>
      <c r="L246" s="84">
        <f>IF(OR($J246="",$K246=""),"",IFERROR(INDEX(設定!$F$6:$F$21,MATCH($G246,設定!$B$6:$B$21,0)),0))</f>
        <v/>
      </c>
      <c r="M246" s="85">
        <f>IF(OR($J246="",$K246=""),"",ROUND(($K246-$J246)*24-$L246/60,2))</f>
        <v/>
      </c>
      <c r="N246" s="16">
        <f>IF($C246="","",IF(AND(COUNTIF(設定!$B$15:$B$21,$G246)&gt;0,$J246&lt;&gt;""),"假日出勤",IF(AND(COUNTIF(設定!$B$6:$B$14,$G246)&gt;0,$J246=""),"未打卡",IF($J246="","",IF($O246&gt;0,"遲到",IF($P246&gt;0,"早退","正常"))))))</f>
        <v/>
      </c>
      <c r="O246" s="84">
        <f>IF(OR($C246="",$H246="",$J246=""),0,IF(ROUND(($J246-$H246)*1440,0)&gt;設定!$C$46,ROUND(($J246-$H246)*1440,0),0))</f>
        <v/>
      </c>
      <c r="P246" s="84">
        <f>IF(OR($C246="",$I246="",$K246=""),0,IF(ROUND(($I246-$K246)*1440,0)&gt;設定!$C$46,ROUND(($I246-$K246)*1440,0),0))</f>
        <v/>
      </c>
      <c r="Q246" s="85">
        <f>IF($M246="",0,IF(($M246-IFERROR(INDEX(設定!$G$6:$G$21,MATCH($G246,設定!$B$6:$B$21,0)),0))*60&gt;=設定!$C$44,ROUND(FLOOR(($M246-IFERROR(INDEX(設定!$G$6:$G$21,MATCH($G246,設定!$B$6:$B$21,0)),0))*60,設定!$C$45)/60,2),0))</f>
        <v/>
      </c>
      <c r="R246" s="16">
        <f>IF(OR($C246="",$Q246=0),"",IF($G246="國","國定假日",IF($B246="日","例假",IF($B246="六","休息日","平日"))))</f>
        <v/>
      </c>
      <c r="S246" s="19" t="n"/>
    </row>
    <row r="247">
      <c r="A247" s="82">
        <f>IF(OR(助理班表!$A12="",28&gt;DAY(EOMONTH(DATE(設定!$C$2,設定!$D$2,1),0))),"",DATE(設定!$C$2,設定!$D$2,28))</f>
        <v/>
      </c>
      <c r="B247" s="16">
        <f>IF($A247="","",INDEX(設定!$O$6:$O$12,WEEKDAY($A247,1)))</f>
        <v/>
      </c>
      <c r="C247" s="16">
        <f>IF($A247="","",助理班表!$A12)</f>
        <v/>
      </c>
      <c r="D247" s="16">
        <f>IF($C247="","",助理班表!$B12)</f>
        <v/>
      </c>
      <c r="E247" s="16">
        <f>IF($C247="","",助理班表!$D12)</f>
        <v/>
      </c>
      <c r="F247" s="16">
        <f>IF($C247="","",助理班表!$C12)</f>
        <v/>
      </c>
      <c r="G247" s="16">
        <f>IF($C247="","",助理班表!AF12)</f>
        <v/>
      </c>
      <c r="H247" s="83">
        <f>IF($G247="","",IFERROR(IF(INDEX(設定!$D$6:$D$21,MATCH($G247,設定!$B$6:$B$21,0))=0,"",INDEX(設定!$D$6:$D$21,MATCH($G247,設定!$B$6:$B$21,0))),""))</f>
        <v/>
      </c>
      <c r="I247" s="83">
        <f>IF($G247="","",IFERROR(IF(INDEX(設定!$E$6:$E$21,MATCH($G247,設定!$B$6:$B$21,0))=0,"",INDEX(設定!$E$6:$E$21,MATCH($G247,設定!$B$6:$B$21,0))),""))</f>
        <v/>
      </c>
      <c r="J247" s="83">
        <f>IFERROR(INDEX(打卡匯入!$C$3:$C$2002,MATCH($C247&amp;"|"&amp;DAY($A247),打卡匯入!$E$3:$E$2002,0)),"")</f>
        <v/>
      </c>
      <c r="K247" s="83">
        <f>IFERROR(INDEX(打卡匯入!$D$3:$D$2002,MATCH($C247&amp;"|"&amp;DAY($A247),打卡匯入!$E$3:$E$2002,0)),"")</f>
        <v/>
      </c>
      <c r="L247" s="84">
        <f>IF(OR($J247="",$K247=""),"",IFERROR(INDEX(設定!$F$6:$F$21,MATCH($G247,設定!$B$6:$B$21,0)),0))</f>
        <v/>
      </c>
      <c r="M247" s="85">
        <f>IF(OR($J247="",$K247=""),"",ROUND(($K247-$J247)*24-$L247/60,2))</f>
        <v/>
      </c>
      <c r="N247" s="16">
        <f>IF($C247="","",IF(AND(COUNTIF(設定!$B$15:$B$21,$G247)&gt;0,$J247&lt;&gt;""),"假日出勤",IF(AND(COUNTIF(設定!$B$6:$B$14,$G247)&gt;0,$J247=""),"未打卡",IF($J247="","",IF($O247&gt;0,"遲到",IF($P247&gt;0,"早退","正常"))))))</f>
        <v/>
      </c>
      <c r="O247" s="84">
        <f>IF(OR($C247="",$H247="",$J247=""),0,IF(ROUND(($J247-$H247)*1440,0)&gt;設定!$C$46,ROUND(($J247-$H247)*1440,0),0))</f>
        <v/>
      </c>
      <c r="P247" s="84">
        <f>IF(OR($C247="",$I247="",$K247=""),0,IF(ROUND(($I247-$K247)*1440,0)&gt;設定!$C$46,ROUND(($I247-$K247)*1440,0),0))</f>
        <v/>
      </c>
      <c r="Q247" s="85">
        <f>IF($M247="",0,IF(($M247-IFERROR(INDEX(設定!$G$6:$G$21,MATCH($G247,設定!$B$6:$B$21,0)),0))*60&gt;=設定!$C$44,ROUND(FLOOR(($M247-IFERROR(INDEX(設定!$G$6:$G$21,MATCH($G247,設定!$B$6:$B$21,0)),0))*60,設定!$C$45)/60,2),0))</f>
        <v/>
      </c>
      <c r="R247" s="16">
        <f>IF(OR($C247="",$Q247=0),"",IF($G247="國","國定假日",IF($B247="日","例假",IF($B247="六","休息日","平日"))))</f>
        <v/>
      </c>
      <c r="S247" s="19" t="n"/>
    </row>
    <row r="248">
      <c r="A248" s="82">
        <f>IF(OR(助理班表!$A12="",29&gt;DAY(EOMONTH(DATE(設定!$C$2,設定!$D$2,1),0))),"",DATE(設定!$C$2,設定!$D$2,29))</f>
        <v/>
      </c>
      <c r="B248" s="16">
        <f>IF($A248="","",INDEX(設定!$O$6:$O$12,WEEKDAY($A248,1)))</f>
        <v/>
      </c>
      <c r="C248" s="16">
        <f>IF($A248="","",助理班表!$A12)</f>
        <v/>
      </c>
      <c r="D248" s="16">
        <f>IF($C248="","",助理班表!$B12)</f>
        <v/>
      </c>
      <c r="E248" s="16">
        <f>IF($C248="","",助理班表!$D12)</f>
        <v/>
      </c>
      <c r="F248" s="16">
        <f>IF($C248="","",助理班表!$C12)</f>
        <v/>
      </c>
      <c r="G248" s="16">
        <f>IF($C248="","",助理班表!AG12)</f>
        <v/>
      </c>
      <c r="H248" s="83">
        <f>IF($G248="","",IFERROR(IF(INDEX(設定!$D$6:$D$21,MATCH($G248,設定!$B$6:$B$21,0))=0,"",INDEX(設定!$D$6:$D$21,MATCH($G248,設定!$B$6:$B$21,0))),""))</f>
        <v/>
      </c>
      <c r="I248" s="83">
        <f>IF($G248="","",IFERROR(IF(INDEX(設定!$E$6:$E$21,MATCH($G248,設定!$B$6:$B$21,0))=0,"",INDEX(設定!$E$6:$E$21,MATCH($G248,設定!$B$6:$B$21,0))),""))</f>
        <v/>
      </c>
      <c r="J248" s="83">
        <f>IFERROR(INDEX(打卡匯入!$C$3:$C$2002,MATCH($C248&amp;"|"&amp;DAY($A248),打卡匯入!$E$3:$E$2002,0)),"")</f>
        <v/>
      </c>
      <c r="K248" s="83">
        <f>IFERROR(INDEX(打卡匯入!$D$3:$D$2002,MATCH($C248&amp;"|"&amp;DAY($A248),打卡匯入!$E$3:$E$2002,0)),"")</f>
        <v/>
      </c>
      <c r="L248" s="84">
        <f>IF(OR($J248="",$K248=""),"",IFERROR(INDEX(設定!$F$6:$F$21,MATCH($G248,設定!$B$6:$B$21,0)),0))</f>
        <v/>
      </c>
      <c r="M248" s="85">
        <f>IF(OR($J248="",$K248=""),"",ROUND(($K248-$J248)*24-$L248/60,2))</f>
        <v/>
      </c>
      <c r="N248" s="16">
        <f>IF($C248="","",IF(AND(COUNTIF(設定!$B$15:$B$21,$G248)&gt;0,$J248&lt;&gt;""),"假日出勤",IF(AND(COUNTIF(設定!$B$6:$B$14,$G248)&gt;0,$J248=""),"未打卡",IF($J248="","",IF($O248&gt;0,"遲到",IF($P248&gt;0,"早退","正常"))))))</f>
        <v/>
      </c>
      <c r="O248" s="84">
        <f>IF(OR($C248="",$H248="",$J248=""),0,IF(ROUND(($J248-$H248)*1440,0)&gt;設定!$C$46,ROUND(($J248-$H248)*1440,0),0))</f>
        <v/>
      </c>
      <c r="P248" s="84">
        <f>IF(OR($C248="",$I248="",$K248=""),0,IF(ROUND(($I248-$K248)*1440,0)&gt;設定!$C$46,ROUND(($I248-$K248)*1440,0),0))</f>
        <v/>
      </c>
      <c r="Q248" s="85">
        <f>IF($M248="",0,IF(($M248-IFERROR(INDEX(設定!$G$6:$G$21,MATCH($G248,設定!$B$6:$B$21,0)),0))*60&gt;=設定!$C$44,ROUND(FLOOR(($M248-IFERROR(INDEX(設定!$G$6:$G$21,MATCH($G248,設定!$B$6:$B$21,0)),0))*60,設定!$C$45)/60,2),0))</f>
        <v/>
      </c>
      <c r="R248" s="16">
        <f>IF(OR($C248="",$Q248=0),"",IF($G248="國","國定假日",IF($B248="日","例假",IF($B248="六","休息日","平日"))))</f>
        <v/>
      </c>
      <c r="S248" s="19" t="n"/>
    </row>
    <row r="249">
      <c r="A249" s="82">
        <f>IF(OR(助理班表!$A12="",30&gt;DAY(EOMONTH(DATE(設定!$C$2,設定!$D$2,1),0))),"",DATE(設定!$C$2,設定!$D$2,30))</f>
        <v/>
      </c>
      <c r="B249" s="16">
        <f>IF($A249="","",INDEX(設定!$O$6:$O$12,WEEKDAY($A249,1)))</f>
        <v/>
      </c>
      <c r="C249" s="16">
        <f>IF($A249="","",助理班表!$A12)</f>
        <v/>
      </c>
      <c r="D249" s="16">
        <f>IF($C249="","",助理班表!$B12)</f>
        <v/>
      </c>
      <c r="E249" s="16">
        <f>IF($C249="","",助理班表!$D12)</f>
        <v/>
      </c>
      <c r="F249" s="16">
        <f>IF($C249="","",助理班表!$C12)</f>
        <v/>
      </c>
      <c r="G249" s="16">
        <f>IF($C249="","",助理班表!AH12)</f>
        <v/>
      </c>
      <c r="H249" s="83">
        <f>IF($G249="","",IFERROR(IF(INDEX(設定!$D$6:$D$21,MATCH($G249,設定!$B$6:$B$21,0))=0,"",INDEX(設定!$D$6:$D$21,MATCH($G249,設定!$B$6:$B$21,0))),""))</f>
        <v/>
      </c>
      <c r="I249" s="83">
        <f>IF($G249="","",IFERROR(IF(INDEX(設定!$E$6:$E$21,MATCH($G249,設定!$B$6:$B$21,0))=0,"",INDEX(設定!$E$6:$E$21,MATCH($G249,設定!$B$6:$B$21,0))),""))</f>
        <v/>
      </c>
      <c r="J249" s="83">
        <f>IFERROR(INDEX(打卡匯入!$C$3:$C$2002,MATCH($C249&amp;"|"&amp;DAY($A249),打卡匯入!$E$3:$E$2002,0)),"")</f>
        <v/>
      </c>
      <c r="K249" s="83">
        <f>IFERROR(INDEX(打卡匯入!$D$3:$D$2002,MATCH($C249&amp;"|"&amp;DAY($A249),打卡匯入!$E$3:$E$2002,0)),"")</f>
        <v/>
      </c>
      <c r="L249" s="84">
        <f>IF(OR($J249="",$K249=""),"",IFERROR(INDEX(設定!$F$6:$F$21,MATCH($G249,設定!$B$6:$B$21,0)),0))</f>
        <v/>
      </c>
      <c r="M249" s="85">
        <f>IF(OR($J249="",$K249=""),"",ROUND(($K249-$J249)*24-$L249/60,2))</f>
        <v/>
      </c>
      <c r="N249" s="16">
        <f>IF($C249="","",IF(AND(COUNTIF(設定!$B$15:$B$21,$G249)&gt;0,$J249&lt;&gt;""),"假日出勤",IF(AND(COUNTIF(設定!$B$6:$B$14,$G249)&gt;0,$J249=""),"未打卡",IF($J249="","",IF($O249&gt;0,"遲到",IF($P249&gt;0,"早退","正常"))))))</f>
        <v/>
      </c>
      <c r="O249" s="84">
        <f>IF(OR($C249="",$H249="",$J249=""),0,IF(ROUND(($J249-$H249)*1440,0)&gt;設定!$C$46,ROUND(($J249-$H249)*1440,0),0))</f>
        <v/>
      </c>
      <c r="P249" s="84">
        <f>IF(OR($C249="",$I249="",$K249=""),0,IF(ROUND(($I249-$K249)*1440,0)&gt;設定!$C$46,ROUND(($I249-$K249)*1440,0),0))</f>
        <v/>
      </c>
      <c r="Q249" s="85">
        <f>IF($M249="",0,IF(($M249-IFERROR(INDEX(設定!$G$6:$G$21,MATCH($G249,設定!$B$6:$B$21,0)),0))*60&gt;=設定!$C$44,ROUND(FLOOR(($M249-IFERROR(INDEX(設定!$G$6:$G$21,MATCH($G249,設定!$B$6:$B$21,0)),0))*60,設定!$C$45)/60,2),0))</f>
        <v/>
      </c>
      <c r="R249" s="16">
        <f>IF(OR($C249="",$Q249=0),"",IF($G249="國","國定假日",IF($B249="日","例假",IF($B249="六","休息日","平日"))))</f>
        <v/>
      </c>
      <c r="S249" s="19" t="n"/>
    </row>
    <row r="250">
      <c r="A250" s="82">
        <f>IF(OR(助理班表!$A12="",31&gt;DAY(EOMONTH(DATE(設定!$C$2,設定!$D$2,1),0))),"",DATE(設定!$C$2,設定!$D$2,31))</f>
        <v/>
      </c>
      <c r="B250" s="16">
        <f>IF($A250="","",INDEX(設定!$O$6:$O$12,WEEKDAY($A250,1)))</f>
        <v/>
      </c>
      <c r="C250" s="16">
        <f>IF($A250="","",助理班表!$A12)</f>
        <v/>
      </c>
      <c r="D250" s="16">
        <f>IF($C250="","",助理班表!$B12)</f>
        <v/>
      </c>
      <c r="E250" s="16">
        <f>IF($C250="","",助理班表!$D12)</f>
        <v/>
      </c>
      <c r="F250" s="16">
        <f>IF($C250="","",助理班表!$C12)</f>
        <v/>
      </c>
      <c r="G250" s="16">
        <f>IF($C250="","",助理班表!AI12)</f>
        <v/>
      </c>
      <c r="H250" s="83">
        <f>IF($G250="","",IFERROR(IF(INDEX(設定!$D$6:$D$21,MATCH($G250,設定!$B$6:$B$21,0))=0,"",INDEX(設定!$D$6:$D$21,MATCH($G250,設定!$B$6:$B$21,0))),""))</f>
        <v/>
      </c>
      <c r="I250" s="83">
        <f>IF($G250="","",IFERROR(IF(INDEX(設定!$E$6:$E$21,MATCH($G250,設定!$B$6:$B$21,0))=0,"",INDEX(設定!$E$6:$E$21,MATCH($G250,設定!$B$6:$B$21,0))),""))</f>
        <v/>
      </c>
      <c r="J250" s="83">
        <f>IFERROR(INDEX(打卡匯入!$C$3:$C$2002,MATCH($C250&amp;"|"&amp;DAY($A250),打卡匯入!$E$3:$E$2002,0)),"")</f>
        <v/>
      </c>
      <c r="K250" s="83">
        <f>IFERROR(INDEX(打卡匯入!$D$3:$D$2002,MATCH($C250&amp;"|"&amp;DAY($A250),打卡匯入!$E$3:$E$2002,0)),"")</f>
        <v/>
      </c>
      <c r="L250" s="84">
        <f>IF(OR($J250="",$K250=""),"",IFERROR(INDEX(設定!$F$6:$F$21,MATCH($G250,設定!$B$6:$B$21,0)),0))</f>
        <v/>
      </c>
      <c r="M250" s="85">
        <f>IF(OR($J250="",$K250=""),"",ROUND(($K250-$J250)*24-$L250/60,2))</f>
        <v/>
      </c>
      <c r="N250" s="16">
        <f>IF($C250="","",IF(AND(COUNTIF(設定!$B$15:$B$21,$G250)&gt;0,$J250&lt;&gt;""),"假日出勤",IF(AND(COUNTIF(設定!$B$6:$B$14,$G250)&gt;0,$J250=""),"未打卡",IF($J250="","",IF($O250&gt;0,"遲到",IF($P250&gt;0,"早退","正常"))))))</f>
        <v/>
      </c>
      <c r="O250" s="84">
        <f>IF(OR($C250="",$H250="",$J250=""),0,IF(ROUND(($J250-$H250)*1440,0)&gt;設定!$C$46,ROUND(($J250-$H250)*1440,0),0))</f>
        <v/>
      </c>
      <c r="P250" s="84">
        <f>IF(OR($C250="",$I250="",$K250=""),0,IF(ROUND(($I250-$K250)*1440,0)&gt;設定!$C$46,ROUND(($I250-$K250)*1440,0),0))</f>
        <v/>
      </c>
      <c r="Q250" s="85">
        <f>IF($M250="",0,IF(($M250-IFERROR(INDEX(設定!$G$6:$G$21,MATCH($G250,設定!$B$6:$B$21,0)),0))*60&gt;=設定!$C$44,ROUND(FLOOR(($M250-IFERROR(INDEX(設定!$G$6:$G$21,MATCH($G250,設定!$B$6:$B$21,0)),0))*60,設定!$C$45)/60,2),0))</f>
        <v/>
      </c>
      <c r="R250" s="16">
        <f>IF(OR($C250="",$Q250=0),"",IF($G250="國","國定假日",IF($B250="日","例假",IF($B250="六","休息日","平日"))))</f>
        <v/>
      </c>
      <c r="S250" s="19" t="n"/>
    </row>
    <row r="251">
      <c r="A251" s="82">
        <f>IF(OR(助理班表!$A13="",1&gt;DAY(EOMONTH(DATE(設定!$C$2,設定!$D$2,1),0))),"",DATE(設定!$C$2,設定!$D$2,1))</f>
        <v/>
      </c>
      <c r="B251" s="16">
        <f>IF($A251="","",INDEX(設定!$O$6:$O$12,WEEKDAY($A251,1)))</f>
        <v/>
      </c>
      <c r="C251" s="16">
        <f>IF($A251="","",助理班表!$A13)</f>
        <v/>
      </c>
      <c r="D251" s="16">
        <f>IF($C251="","",助理班表!$B13)</f>
        <v/>
      </c>
      <c r="E251" s="16">
        <f>IF($C251="","",助理班表!$D13)</f>
        <v/>
      </c>
      <c r="F251" s="16">
        <f>IF($C251="","",助理班表!$C13)</f>
        <v/>
      </c>
      <c r="G251" s="16">
        <f>IF($C251="","",助理班表!E13)</f>
        <v/>
      </c>
      <c r="H251" s="83">
        <f>IF($G251="","",IFERROR(IF(INDEX(設定!$D$6:$D$21,MATCH($G251,設定!$B$6:$B$21,0))=0,"",INDEX(設定!$D$6:$D$21,MATCH($G251,設定!$B$6:$B$21,0))),""))</f>
        <v/>
      </c>
      <c r="I251" s="83">
        <f>IF($G251="","",IFERROR(IF(INDEX(設定!$E$6:$E$21,MATCH($G251,設定!$B$6:$B$21,0))=0,"",INDEX(設定!$E$6:$E$21,MATCH($G251,設定!$B$6:$B$21,0))),""))</f>
        <v/>
      </c>
      <c r="J251" s="83">
        <f>IFERROR(INDEX(打卡匯入!$C$3:$C$2002,MATCH($C251&amp;"|"&amp;DAY($A251),打卡匯入!$E$3:$E$2002,0)),"")</f>
        <v/>
      </c>
      <c r="K251" s="83">
        <f>IFERROR(INDEX(打卡匯入!$D$3:$D$2002,MATCH($C251&amp;"|"&amp;DAY($A251),打卡匯入!$E$3:$E$2002,0)),"")</f>
        <v/>
      </c>
      <c r="L251" s="84">
        <f>IF(OR($J251="",$K251=""),"",IFERROR(INDEX(設定!$F$6:$F$21,MATCH($G251,設定!$B$6:$B$21,0)),0))</f>
        <v/>
      </c>
      <c r="M251" s="85">
        <f>IF(OR($J251="",$K251=""),"",ROUND(($K251-$J251)*24-$L251/60,2))</f>
        <v/>
      </c>
      <c r="N251" s="16">
        <f>IF($C251="","",IF(AND(COUNTIF(設定!$B$15:$B$21,$G251)&gt;0,$J251&lt;&gt;""),"假日出勤",IF(AND(COUNTIF(設定!$B$6:$B$14,$G251)&gt;0,$J251=""),"未打卡",IF($J251="","",IF($O251&gt;0,"遲到",IF($P251&gt;0,"早退","正常"))))))</f>
        <v/>
      </c>
      <c r="O251" s="84">
        <f>IF(OR($C251="",$H251="",$J251=""),0,IF(ROUND(($J251-$H251)*1440,0)&gt;設定!$C$46,ROUND(($J251-$H251)*1440,0),0))</f>
        <v/>
      </c>
      <c r="P251" s="84">
        <f>IF(OR($C251="",$I251="",$K251=""),0,IF(ROUND(($I251-$K251)*1440,0)&gt;設定!$C$46,ROUND(($I251-$K251)*1440,0),0))</f>
        <v/>
      </c>
      <c r="Q251" s="85">
        <f>IF($M251="",0,IF(($M251-IFERROR(INDEX(設定!$G$6:$G$21,MATCH($G251,設定!$B$6:$B$21,0)),0))*60&gt;=設定!$C$44,ROUND(FLOOR(($M251-IFERROR(INDEX(設定!$G$6:$G$21,MATCH($G251,設定!$B$6:$B$21,0)),0))*60,設定!$C$45)/60,2),0))</f>
        <v/>
      </c>
      <c r="R251" s="16">
        <f>IF(OR($C251="",$Q251=0),"",IF($G251="國","國定假日",IF($B251="日","例假",IF($B251="六","休息日","平日"))))</f>
        <v/>
      </c>
      <c r="S251" s="19" t="n"/>
    </row>
    <row r="252">
      <c r="A252" s="82">
        <f>IF(OR(助理班表!$A13="",2&gt;DAY(EOMONTH(DATE(設定!$C$2,設定!$D$2,1),0))),"",DATE(設定!$C$2,設定!$D$2,2))</f>
        <v/>
      </c>
      <c r="B252" s="16">
        <f>IF($A252="","",INDEX(設定!$O$6:$O$12,WEEKDAY($A252,1)))</f>
        <v/>
      </c>
      <c r="C252" s="16">
        <f>IF($A252="","",助理班表!$A13)</f>
        <v/>
      </c>
      <c r="D252" s="16">
        <f>IF($C252="","",助理班表!$B13)</f>
        <v/>
      </c>
      <c r="E252" s="16">
        <f>IF($C252="","",助理班表!$D13)</f>
        <v/>
      </c>
      <c r="F252" s="16">
        <f>IF($C252="","",助理班表!$C13)</f>
        <v/>
      </c>
      <c r="G252" s="16">
        <f>IF($C252="","",助理班表!F13)</f>
        <v/>
      </c>
      <c r="H252" s="83">
        <f>IF($G252="","",IFERROR(IF(INDEX(設定!$D$6:$D$21,MATCH($G252,設定!$B$6:$B$21,0))=0,"",INDEX(設定!$D$6:$D$21,MATCH($G252,設定!$B$6:$B$21,0))),""))</f>
        <v/>
      </c>
      <c r="I252" s="83">
        <f>IF($G252="","",IFERROR(IF(INDEX(設定!$E$6:$E$21,MATCH($G252,設定!$B$6:$B$21,0))=0,"",INDEX(設定!$E$6:$E$21,MATCH($G252,設定!$B$6:$B$21,0))),""))</f>
        <v/>
      </c>
      <c r="J252" s="83">
        <f>IFERROR(INDEX(打卡匯入!$C$3:$C$2002,MATCH($C252&amp;"|"&amp;DAY($A252),打卡匯入!$E$3:$E$2002,0)),"")</f>
        <v/>
      </c>
      <c r="K252" s="83">
        <f>IFERROR(INDEX(打卡匯入!$D$3:$D$2002,MATCH($C252&amp;"|"&amp;DAY($A252),打卡匯入!$E$3:$E$2002,0)),"")</f>
        <v/>
      </c>
      <c r="L252" s="84">
        <f>IF(OR($J252="",$K252=""),"",IFERROR(INDEX(設定!$F$6:$F$21,MATCH($G252,設定!$B$6:$B$21,0)),0))</f>
        <v/>
      </c>
      <c r="M252" s="85">
        <f>IF(OR($J252="",$K252=""),"",ROUND(($K252-$J252)*24-$L252/60,2))</f>
        <v/>
      </c>
      <c r="N252" s="16">
        <f>IF($C252="","",IF(AND(COUNTIF(設定!$B$15:$B$21,$G252)&gt;0,$J252&lt;&gt;""),"假日出勤",IF(AND(COUNTIF(設定!$B$6:$B$14,$G252)&gt;0,$J252=""),"未打卡",IF($J252="","",IF($O252&gt;0,"遲到",IF($P252&gt;0,"早退","正常"))))))</f>
        <v/>
      </c>
      <c r="O252" s="84">
        <f>IF(OR($C252="",$H252="",$J252=""),0,IF(ROUND(($J252-$H252)*1440,0)&gt;設定!$C$46,ROUND(($J252-$H252)*1440,0),0))</f>
        <v/>
      </c>
      <c r="P252" s="84">
        <f>IF(OR($C252="",$I252="",$K252=""),0,IF(ROUND(($I252-$K252)*1440,0)&gt;設定!$C$46,ROUND(($I252-$K252)*1440,0),0))</f>
        <v/>
      </c>
      <c r="Q252" s="85">
        <f>IF($M252="",0,IF(($M252-IFERROR(INDEX(設定!$G$6:$G$21,MATCH($G252,設定!$B$6:$B$21,0)),0))*60&gt;=設定!$C$44,ROUND(FLOOR(($M252-IFERROR(INDEX(設定!$G$6:$G$21,MATCH($G252,設定!$B$6:$B$21,0)),0))*60,設定!$C$45)/60,2),0))</f>
        <v/>
      </c>
      <c r="R252" s="16">
        <f>IF(OR($C252="",$Q252=0),"",IF($G252="國","國定假日",IF($B252="日","例假",IF($B252="六","休息日","平日"))))</f>
        <v/>
      </c>
      <c r="S252" s="19" t="n"/>
    </row>
    <row r="253">
      <c r="A253" s="82">
        <f>IF(OR(助理班表!$A13="",3&gt;DAY(EOMONTH(DATE(設定!$C$2,設定!$D$2,1),0))),"",DATE(設定!$C$2,設定!$D$2,3))</f>
        <v/>
      </c>
      <c r="B253" s="16">
        <f>IF($A253="","",INDEX(設定!$O$6:$O$12,WEEKDAY($A253,1)))</f>
        <v/>
      </c>
      <c r="C253" s="16">
        <f>IF($A253="","",助理班表!$A13)</f>
        <v/>
      </c>
      <c r="D253" s="16">
        <f>IF($C253="","",助理班表!$B13)</f>
        <v/>
      </c>
      <c r="E253" s="16">
        <f>IF($C253="","",助理班表!$D13)</f>
        <v/>
      </c>
      <c r="F253" s="16">
        <f>IF($C253="","",助理班表!$C13)</f>
        <v/>
      </c>
      <c r="G253" s="16">
        <f>IF($C253="","",助理班表!G13)</f>
        <v/>
      </c>
      <c r="H253" s="83">
        <f>IF($G253="","",IFERROR(IF(INDEX(設定!$D$6:$D$21,MATCH($G253,設定!$B$6:$B$21,0))=0,"",INDEX(設定!$D$6:$D$21,MATCH($G253,設定!$B$6:$B$21,0))),""))</f>
        <v/>
      </c>
      <c r="I253" s="83">
        <f>IF($G253="","",IFERROR(IF(INDEX(設定!$E$6:$E$21,MATCH($G253,設定!$B$6:$B$21,0))=0,"",INDEX(設定!$E$6:$E$21,MATCH($G253,設定!$B$6:$B$21,0))),""))</f>
        <v/>
      </c>
      <c r="J253" s="83">
        <f>IFERROR(INDEX(打卡匯入!$C$3:$C$2002,MATCH($C253&amp;"|"&amp;DAY($A253),打卡匯入!$E$3:$E$2002,0)),"")</f>
        <v/>
      </c>
      <c r="K253" s="83">
        <f>IFERROR(INDEX(打卡匯入!$D$3:$D$2002,MATCH($C253&amp;"|"&amp;DAY($A253),打卡匯入!$E$3:$E$2002,0)),"")</f>
        <v/>
      </c>
      <c r="L253" s="84">
        <f>IF(OR($J253="",$K253=""),"",IFERROR(INDEX(設定!$F$6:$F$21,MATCH($G253,設定!$B$6:$B$21,0)),0))</f>
        <v/>
      </c>
      <c r="M253" s="85">
        <f>IF(OR($J253="",$K253=""),"",ROUND(($K253-$J253)*24-$L253/60,2))</f>
        <v/>
      </c>
      <c r="N253" s="16">
        <f>IF($C253="","",IF(AND(COUNTIF(設定!$B$15:$B$21,$G253)&gt;0,$J253&lt;&gt;""),"假日出勤",IF(AND(COUNTIF(設定!$B$6:$B$14,$G253)&gt;0,$J253=""),"未打卡",IF($J253="","",IF($O253&gt;0,"遲到",IF($P253&gt;0,"早退","正常"))))))</f>
        <v/>
      </c>
      <c r="O253" s="84">
        <f>IF(OR($C253="",$H253="",$J253=""),0,IF(ROUND(($J253-$H253)*1440,0)&gt;設定!$C$46,ROUND(($J253-$H253)*1440,0),0))</f>
        <v/>
      </c>
      <c r="P253" s="84">
        <f>IF(OR($C253="",$I253="",$K253=""),0,IF(ROUND(($I253-$K253)*1440,0)&gt;設定!$C$46,ROUND(($I253-$K253)*1440,0),0))</f>
        <v/>
      </c>
      <c r="Q253" s="85">
        <f>IF($M253="",0,IF(($M253-IFERROR(INDEX(設定!$G$6:$G$21,MATCH($G253,設定!$B$6:$B$21,0)),0))*60&gt;=設定!$C$44,ROUND(FLOOR(($M253-IFERROR(INDEX(設定!$G$6:$G$21,MATCH($G253,設定!$B$6:$B$21,0)),0))*60,設定!$C$45)/60,2),0))</f>
        <v/>
      </c>
      <c r="R253" s="16">
        <f>IF(OR($C253="",$Q253=0),"",IF($G253="國","國定假日",IF($B253="日","例假",IF($B253="六","休息日","平日"))))</f>
        <v/>
      </c>
      <c r="S253" s="19" t="n"/>
    </row>
    <row r="254">
      <c r="A254" s="82">
        <f>IF(OR(助理班表!$A13="",4&gt;DAY(EOMONTH(DATE(設定!$C$2,設定!$D$2,1),0))),"",DATE(設定!$C$2,設定!$D$2,4))</f>
        <v/>
      </c>
      <c r="B254" s="16">
        <f>IF($A254="","",INDEX(設定!$O$6:$O$12,WEEKDAY($A254,1)))</f>
        <v/>
      </c>
      <c r="C254" s="16">
        <f>IF($A254="","",助理班表!$A13)</f>
        <v/>
      </c>
      <c r="D254" s="16">
        <f>IF($C254="","",助理班表!$B13)</f>
        <v/>
      </c>
      <c r="E254" s="16">
        <f>IF($C254="","",助理班表!$D13)</f>
        <v/>
      </c>
      <c r="F254" s="16">
        <f>IF($C254="","",助理班表!$C13)</f>
        <v/>
      </c>
      <c r="G254" s="16">
        <f>IF($C254="","",助理班表!H13)</f>
        <v/>
      </c>
      <c r="H254" s="83">
        <f>IF($G254="","",IFERROR(IF(INDEX(設定!$D$6:$D$21,MATCH($G254,設定!$B$6:$B$21,0))=0,"",INDEX(設定!$D$6:$D$21,MATCH($G254,設定!$B$6:$B$21,0))),""))</f>
        <v/>
      </c>
      <c r="I254" s="83">
        <f>IF($G254="","",IFERROR(IF(INDEX(設定!$E$6:$E$21,MATCH($G254,設定!$B$6:$B$21,0))=0,"",INDEX(設定!$E$6:$E$21,MATCH($G254,設定!$B$6:$B$21,0))),""))</f>
        <v/>
      </c>
      <c r="J254" s="83">
        <f>IFERROR(INDEX(打卡匯入!$C$3:$C$2002,MATCH($C254&amp;"|"&amp;DAY($A254),打卡匯入!$E$3:$E$2002,0)),"")</f>
        <v/>
      </c>
      <c r="K254" s="83">
        <f>IFERROR(INDEX(打卡匯入!$D$3:$D$2002,MATCH($C254&amp;"|"&amp;DAY($A254),打卡匯入!$E$3:$E$2002,0)),"")</f>
        <v/>
      </c>
      <c r="L254" s="84">
        <f>IF(OR($J254="",$K254=""),"",IFERROR(INDEX(設定!$F$6:$F$21,MATCH($G254,設定!$B$6:$B$21,0)),0))</f>
        <v/>
      </c>
      <c r="M254" s="85">
        <f>IF(OR($J254="",$K254=""),"",ROUND(($K254-$J254)*24-$L254/60,2))</f>
        <v/>
      </c>
      <c r="N254" s="16">
        <f>IF($C254="","",IF(AND(COUNTIF(設定!$B$15:$B$21,$G254)&gt;0,$J254&lt;&gt;""),"假日出勤",IF(AND(COUNTIF(設定!$B$6:$B$14,$G254)&gt;0,$J254=""),"未打卡",IF($J254="","",IF($O254&gt;0,"遲到",IF($P254&gt;0,"早退","正常"))))))</f>
        <v/>
      </c>
      <c r="O254" s="84">
        <f>IF(OR($C254="",$H254="",$J254=""),0,IF(ROUND(($J254-$H254)*1440,0)&gt;設定!$C$46,ROUND(($J254-$H254)*1440,0),0))</f>
        <v/>
      </c>
      <c r="P254" s="84">
        <f>IF(OR($C254="",$I254="",$K254=""),0,IF(ROUND(($I254-$K254)*1440,0)&gt;設定!$C$46,ROUND(($I254-$K254)*1440,0),0))</f>
        <v/>
      </c>
      <c r="Q254" s="85">
        <f>IF($M254="",0,IF(($M254-IFERROR(INDEX(設定!$G$6:$G$21,MATCH($G254,設定!$B$6:$B$21,0)),0))*60&gt;=設定!$C$44,ROUND(FLOOR(($M254-IFERROR(INDEX(設定!$G$6:$G$21,MATCH($G254,設定!$B$6:$B$21,0)),0))*60,設定!$C$45)/60,2),0))</f>
        <v/>
      </c>
      <c r="R254" s="16">
        <f>IF(OR($C254="",$Q254=0),"",IF($G254="國","國定假日",IF($B254="日","例假",IF($B254="六","休息日","平日"))))</f>
        <v/>
      </c>
      <c r="S254" s="19" t="n"/>
    </row>
    <row r="255">
      <c r="A255" s="82">
        <f>IF(OR(助理班表!$A13="",5&gt;DAY(EOMONTH(DATE(設定!$C$2,設定!$D$2,1),0))),"",DATE(設定!$C$2,設定!$D$2,5))</f>
        <v/>
      </c>
      <c r="B255" s="16">
        <f>IF($A255="","",INDEX(設定!$O$6:$O$12,WEEKDAY($A255,1)))</f>
        <v/>
      </c>
      <c r="C255" s="16">
        <f>IF($A255="","",助理班表!$A13)</f>
        <v/>
      </c>
      <c r="D255" s="16">
        <f>IF($C255="","",助理班表!$B13)</f>
        <v/>
      </c>
      <c r="E255" s="16">
        <f>IF($C255="","",助理班表!$D13)</f>
        <v/>
      </c>
      <c r="F255" s="16">
        <f>IF($C255="","",助理班表!$C13)</f>
        <v/>
      </c>
      <c r="G255" s="16">
        <f>IF($C255="","",助理班表!I13)</f>
        <v/>
      </c>
      <c r="H255" s="83">
        <f>IF($G255="","",IFERROR(IF(INDEX(設定!$D$6:$D$21,MATCH($G255,設定!$B$6:$B$21,0))=0,"",INDEX(設定!$D$6:$D$21,MATCH($G255,設定!$B$6:$B$21,0))),""))</f>
        <v/>
      </c>
      <c r="I255" s="83">
        <f>IF($G255="","",IFERROR(IF(INDEX(設定!$E$6:$E$21,MATCH($G255,設定!$B$6:$B$21,0))=0,"",INDEX(設定!$E$6:$E$21,MATCH($G255,設定!$B$6:$B$21,0))),""))</f>
        <v/>
      </c>
      <c r="J255" s="83">
        <f>IFERROR(INDEX(打卡匯入!$C$3:$C$2002,MATCH($C255&amp;"|"&amp;DAY($A255),打卡匯入!$E$3:$E$2002,0)),"")</f>
        <v/>
      </c>
      <c r="K255" s="83">
        <f>IFERROR(INDEX(打卡匯入!$D$3:$D$2002,MATCH($C255&amp;"|"&amp;DAY($A255),打卡匯入!$E$3:$E$2002,0)),"")</f>
        <v/>
      </c>
      <c r="L255" s="84">
        <f>IF(OR($J255="",$K255=""),"",IFERROR(INDEX(設定!$F$6:$F$21,MATCH($G255,設定!$B$6:$B$21,0)),0))</f>
        <v/>
      </c>
      <c r="M255" s="85">
        <f>IF(OR($J255="",$K255=""),"",ROUND(($K255-$J255)*24-$L255/60,2))</f>
        <v/>
      </c>
      <c r="N255" s="16">
        <f>IF($C255="","",IF(AND(COUNTIF(設定!$B$15:$B$21,$G255)&gt;0,$J255&lt;&gt;""),"假日出勤",IF(AND(COUNTIF(設定!$B$6:$B$14,$G255)&gt;0,$J255=""),"未打卡",IF($J255="","",IF($O255&gt;0,"遲到",IF($P255&gt;0,"早退","正常"))))))</f>
        <v/>
      </c>
      <c r="O255" s="84">
        <f>IF(OR($C255="",$H255="",$J255=""),0,IF(ROUND(($J255-$H255)*1440,0)&gt;設定!$C$46,ROUND(($J255-$H255)*1440,0),0))</f>
        <v/>
      </c>
      <c r="P255" s="84">
        <f>IF(OR($C255="",$I255="",$K255=""),0,IF(ROUND(($I255-$K255)*1440,0)&gt;設定!$C$46,ROUND(($I255-$K255)*1440,0),0))</f>
        <v/>
      </c>
      <c r="Q255" s="85">
        <f>IF($M255="",0,IF(($M255-IFERROR(INDEX(設定!$G$6:$G$21,MATCH($G255,設定!$B$6:$B$21,0)),0))*60&gt;=設定!$C$44,ROUND(FLOOR(($M255-IFERROR(INDEX(設定!$G$6:$G$21,MATCH($G255,設定!$B$6:$B$21,0)),0))*60,設定!$C$45)/60,2),0))</f>
        <v/>
      </c>
      <c r="R255" s="16">
        <f>IF(OR($C255="",$Q255=0),"",IF($G255="國","國定假日",IF($B255="日","例假",IF($B255="六","休息日","平日"))))</f>
        <v/>
      </c>
      <c r="S255" s="19" t="n"/>
    </row>
    <row r="256">
      <c r="A256" s="82">
        <f>IF(OR(助理班表!$A13="",6&gt;DAY(EOMONTH(DATE(設定!$C$2,設定!$D$2,1),0))),"",DATE(設定!$C$2,設定!$D$2,6))</f>
        <v/>
      </c>
      <c r="B256" s="16">
        <f>IF($A256="","",INDEX(設定!$O$6:$O$12,WEEKDAY($A256,1)))</f>
        <v/>
      </c>
      <c r="C256" s="16">
        <f>IF($A256="","",助理班表!$A13)</f>
        <v/>
      </c>
      <c r="D256" s="16">
        <f>IF($C256="","",助理班表!$B13)</f>
        <v/>
      </c>
      <c r="E256" s="16">
        <f>IF($C256="","",助理班表!$D13)</f>
        <v/>
      </c>
      <c r="F256" s="16">
        <f>IF($C256="","",助理班表!$C13)</f>
        <v/>
      </c>
      <c r="G256" s="16">
        <f>IF($C256="","",助理班表!J13)</f>
        <v/>
      </c>
      <c r="H256" s="83">
        <f>IF($G256="","",IFERROR(IF(INDEX(設定!$D$6:$D$21,MATCH($G256,設定!$B$6:$B$21,0))=0,"",INDEX(設定!$D$6:$D$21,MATCH($G256,設定!$B$6:$B$21,0))),""))</f>
        <v/>
      </c>
      <c r="I256" s="83">
        <f>IF($G256="","",IFERROR(IF(INDEX(設定!$E$6:$E$21,MATCH($G256,設定!$B$6:$B$21,0))=0,"",INDEX(設定!$E$6:$E$21,MATCH($G256,設定!$B$6:$B$21,0))),""))</f>
        <v/>
      </c>
      <c r="J256" s="83">
        <f>IFERROR(INDEX(打卡匯入!$C$3:$C$2002,MATCH($C256&amp;"|"&amp;DAY($A256),打卡匯入!$E$3:$E$2002,0)),"")</f>
        <v/>
      </c>
      <c r="K256" s="83">
        <f>IFERROR(INDEX(打卡匯入!$D$3:$D$2002,MATCH($C256&amp;"|"&amp;DAY($A256),打卡匯入!$E$3:$E$2002,0)),"")</f>
        <v/>
      </c>
      <c r="L256" s="84">
        <f>IF(OR($J256="",$K256=""),"",IFERROR(INDEX(設定!$F$6:$F$21,MATCH($G256,設定!$B$6:$B$21,0)),0))</f>
        <v/>
      </c>
      <c r="M256" s="85">
        <f>IF(OR($J256="",$K256=""),"",ROUND(($K256-$J256)*24-$L256/60,2))</f>
        <v/>
      </c>
      <c r="N256" s="16">
        <f>IF($C256="","",IF(AND(COUNTIF(設定!$B$15:$B$21,$G256)&gt;0,$J256&lt;&gt;""),"假日出勤",IF(AND(COUNTIF(設定!$B$6:$B$14,$G256)&gt;0,$J256=""),"未打卡",IF($J256="","",IF($O256&gt;0,"遲到",IF($P256&gt;0,"早退","正常"))))))</f>
        <v/>
      </c>
      <c r="O256" s="84">
        <f>IF(OR($C256="",$H256="",$J256=""),0,IF(ROUND(($J256-$H256)*1440,0)&gt;設定!$C$46,ROUND(($J256-$H256)*1440,0),0))</f>
        <v/>
      </c>
      <c r="P256" s="84">
        <f>IF(OR($C256="",$I256="",$K256=""),0,IF(ROUND(($I256-$K256)*1440,0)&gt;設定!$C$46,ROUND(($I256-$K256)*1440,0),0))</f>
        <v/>
      </c>
      <c r="Q256" s="85">
        <f>IF($M256="",0,IF(($M256-IFERROR(INDEX(設定!$G$6:$G$21,MATCH($G256,設定!$B$6:$B$21,0)),0))*60&gt;=設定!$C$44,ROUND(FLOOR(($M256-IFERROR(INDEX(設定!$G$6:$G$21,MATCH($G256,設定!$B$6:$B$21,0)),0))*60,設定!$C$45)/60,2),0))</f>
        <v/>
      </c>
      <c r="R256" s="16">
        <f>IF(OR($C256="",$Q256=0),"",IF($G256="國","國定假日",IF($B256="日","例假",IF($B256="六","休息日","平日"))))</f>
        <v/>
      </c>
      <c r="S256" s="19" t="n"/>
    </row>
    <row r="257">
      <c r="A257" s="82">
        <f>IF(OR(助理班表!$A13="",7&gt;DAY(EOMONTH(DATE(設定!$C$2,設定!$D$2,1),0))),"",DATE(設定!$C$2,設定!$D$2,7))</f>
        <v/>
      </c>
      <c r="B257" s="16">
        <f>IF($A257="","",INDEX(設定!$O$6:$O$12,WEEKDAY($A257,1)))</f>
        <v/>
      </c>
      <c r="C257" s="16">
        <f>IF($A257="","",助理班表!$A13)</f>
        <v/>
      </c>
      <c r="D257" s="16">
        <f>IF($C257="","",助理班表!$B13)</f>
        <v/>
      </c>
      <c r="E257" s="16">
        <f>IF($C257="","",助理班表!$D13)</f>
        <v/>
      </c>
      <c r="F257" s="16">
        <f>IF($C257="","",助理班表!$C13)</f>
        <v/>
      </c>
      <c r="G257" s="16">
        <f>IF($C257="","",助理班表!K13)</f>
        <v/>
      </c>
      <c r="H257" s="83">
        <f>IF($G257="","",IFERROR(IF(INDEX(設定!$D$6:$D$21,MATCH($G257,設定!$B$6:$B$21,0))=0,"",INDEX(設定!$D$6:$D$21,MATCH($G257,設定!$B$6:$B$21,0))),""))</f>
        <v/>
      </c>
      <c r="I257" s="83">
        <f>IF($G257="","",IFERROR(IF(INDEX(設定!$E$6:$E$21,MATCH($G257,設定!$B$6:$B$21,0))=0,"",INDEX(設定!$E$6:$E$21,MATCH($G257,設定!$B$6:$B$21,0))),""))</f>
        <v/>
      </c>
      <c r="J257" s="83">
        <f>IFERROR(INDEX(打卡匯入!$C$3:$C$2002,MATCH($C257&amp;"|"&amp;DAY($A257),打卡匯入!$E$3:$E$2002,0)),"")</f>
        <v/>
      </c>
      <c r="K257" s="83">
        <f>IFERROR(INDEX(打卡匯入!$D$3:$D$2002,MATCH($C257&amp;"|"&amp;DAY($A257),打卡匯入!$E$3:$E$2002,0)),"")</f>
        <v/>
      </c>
      <c r="L257" s="84">
        <f>IF(OR($J257="",$K257=""),"",IFERROR(INDEX(設定!$F$6:$F$21,MATCH($G257,設定!$B$6:$B$21,0)),0))</f>
        <v/>
      </c>
      <c r="M257" s="85">
        <f>IF(OR($J257="",$K257=""),"",ROUND(($K257-$J257)*24-$L257/60,2))</f>
        <v/>
      </c>
      <c r="N257" s="16">
        <f>IF($C257="","",IF(AND(COUNTIF(設定!$B$15:$B$21,$G257)&gt;0,$J257&lt;&gt;""),"假日出勤",IF(AND(COUNTIF(設定!$B$6:$B$14,$G257)&gt;0,$J257=""),"未打卡",IF($J257="","",IF($O257&gt;0,"遲到",IF($P257&gt;0,"早退","正常"))))))</f>
        <v/>
      </c>
      <c r="O257" s="84">
        <f>IF(OR($C257="",$H257="",$J257=""),0,IF(ROUND(($J257-$H257)*1440,0)&gt;設定!$C$46,ROUND(($J257-$H257)*1440,0),0))</f>
        <v/>
      </c>
      <c r="P257" s="84">
        <f>IF(OR($C257="",$I257="",$K257=""),0,IF(ROUND(($I257-$K257)*1440,0)&gt;設定!$C$46,ROUND(($I257-$K257)*1440,0),0))</f>
        <v/>
      </c>
      <c r="Q257" s="85">
        <f>IF($M257="",0,IF(($M257-IFERROR(INDEX(設定!$G$6:$G$21,MATCH($G257,設定!$B$6:$B$21,0)),0))*60&gt;=設定!$C$44,ROUND(FLOOR(($M257-IFERROR(INDEX(設定!$G$6:$G$21,MATCH($G257,設定!$B$6:$B$21,0)),0))*60,設定!$C$45)/60,2),0))</f>
        <v/>
      </c>
      <c r="R257" s="16">
        <f>IF(OR($C257="",$Q257=0),"",IF($G257="國","國定假日",IF($B257="日","例假",IF($B257="六","休息日","平日"))))</f>
        <v/>
      </c>
      <c r="S257" s="19" t="n"/>
    </row>
    <row r="258">
      <c r="A258" s="82">
        <f>IF(OR(助理班表!$A13="",8&gt;DAY(EOMONTH(DATE(設定!$C$2,設定!$D$2,1),0))),"",DATE(設定!$C$2,設定!$D$2,8))</f>
        <v/>
      </c>
      <c r="B258" s="16">
        <f>IF($A258="","",INDEX(設定!$O$6:$O$12,WEEKDAY($A258,1)))</f>
        <v/>
      </c>
      <c r="C258" s="16">
        <f>IF($A258="","",助理班表!$A13)</f>
        <v/>
      </c>
      <c r="D258" s="16">
        <f>IF($C258="","",助理班表!$B13)</f>
        <v/>
      </c>
      <c r="E258" s="16">
        <f>IF($C258="","",助理班表!$D13)</f>
        <v/>
      </c>
      <c r="F258" s="16">
        <f>IF($C258="","",助理班表!$C13)</f>
        <v/>
      </c>
      <c r="G258" s="16">
        <f>IF($C258="","",助理班表!L13)</f>
        <v/>
      </c>
      <c r="H258" s="83">
        <f>IF($G258="","",IFERROR(IF(INDEX(設定!$D$6:$D$21,MATCH($G258,設定!$B$6:$B$21,0))=0,"",INDEX(設定!$D$6:$D$21,MATCH($G258,設定!$B$6:$B$21,0))),""))</f>
        <v/>
      </c>
      <c r="I258" s="83">
        <f>IF($G258="","",IFERROR(IF(INDEX(設定!$E$6:$E$21,MATCH($G258,設定!$B$6:$B$21,0))=0,"",INDEX(設定!$E$6:$E$21,MATCH($G258,設定!$B$6:$B$21,0))),""))</f>
        <v/>
      </c>
      <c r="J258" s="83">
        <f>IFERROR(INDEX(打卡匯入!$C$3:$C$2002,MATCH($C258&amp;"|"&amp;DAY($A258),打卡匯入!$E$3:$E$2002,0)),"")</f>
        <v/>
      </c>
      <c r="K258" s="83">
        <f>IFERROR(INDEX(打卡匯入!$D$3:$D$2002,MATCH($C258&amp;"|"&amp;DAY($A258),打卡匯入!$E$3:$E$2002,0)),"")</f>
        <v/>
      </c>
      <c r="L258" s="84">
        <f>IF(OR($J258="",$K258=""),"",IFERROR(INDEX(設定!$F$6:$F$21,MATCH($G258,設定!$B$6:$B$21,0)),0))</f>
        <v/>
      </c>
      <c r="M258" s="85">
        <f>IF(OR($J258="",$K258=""),"",ROUND(($K258-$J258)*24-$L258/60,2))</f>
        <v/>
      </c>
      <c r="N258" s="16">
        <f>IF($C258="","",IF(AND(COUNTIF(設定!$B$15:$B$21,$G258)&gt;0,$J258&lt;&gt;""),"假日出勤",IF(AND(COUNTIF(設定!$B$6:$B$14,$G258)&gt;0,$J258=""),"未打卡",IF($J258="","",IF($O258&gt;0,"遲到",IF($P258&gt;0,"早退","正常"))))))</f>
        <v/>
      </c>
      <c r="O258" s="84">
        <f>IF(OR($C258="",$H258="",$J258=""),0,IF(ROUND(($J258-$H258)*1440,0)&gt;設定!$C$46,ROUND(($J258-$H258)*1440,0),0))</f>
        <v/>
      </c>
      <c r="P258" s="84">
        <f>IF(OR($C258="",$I258="",$K258=""),0,IF(ROUND(($I258-$K258)*1440,0)&gt;設定!$C$46,ROUND(($I258-$K258)*1440,0),0))</f>
        <v/>
      </c>
      <c r="Q258" s="85">
        <f>IF($M258="",0,IF(($M258-IFERROR(INDEX(設定!$G$6:$G$21,MATCH($G258,設定!$B$6:$B$21,0)),0))*60&gt;=設定!$C$44,ROUND(FLOOR(($M258-IFERROR(INDEX(設定!$G$6:$G$21,MATCH($G258,設定!$B$6:$B$21,0)),0))*60,設定!$C$45)/60,2),0))</f>
        <v/>
      </c>
      <c r="R258" s="16">
        <f>IF(OR($C258="",$Q258=0),"",IF($G258="國","國定假日",IF($B258="日","例假",IF($B258="六","休息日","平日"))))</f>
        <v/>
      </c>
      <c r="S258" s="19" t="n"/>
    </row>
    <row r="259">
      <c r="A259" s="82">
        <f>IF(OR(助理班表!$A13="",9&gt;DAY(EOMONTH(DATE(設定!$C$2,設定!$D$2,1),0))),"",DATE(設定!$C$2,設定!$D$2,9))</f>
        <v/>
      </c>
      <c r="B259" s="16">
        <f>IF($A259="","",INDEX(設定!$O$6:$O$12,WEEKDAY($A259,1)))</f>
        <v/>
      </c>
      <c r="C259" s="16">
        <f>IF($A259="","",助理班表!$A13)</f>
        <v/>
      </c>
      <c r="D259" s="16">
        <f>IF($C259="","",助理班表!$B13)</f>
        <v/>
      </c>
      <c r="E259" s="16">
        <f>IF($C259="","",助理班表!$D13)</f>
        <v/>
      </c>
      <c r="F259" s="16">
        <f>IF($C259="","",助理班表!$C13)</f>
        <v/>
      </c>
      <c r="G259" s="16">
        <f>IF($C259="","",助理班表!M13)</f>
        <v/>
      </c>
      <c r="H259" s="83">
        <f>IF($G259="","",IFERROR(IF(INDEX(設定!$D$6:$D$21,MATCH($G259,設定!$B$6:$B$21,0))=0,"",INDEX(設定!$D$6:$D$21,MATCH($G259,設定!$B$6:$B$21,0))),""))</f>
        <v/>
      </c>
      <c r="I259" s="83">
        <f>IF($G259="","",IFERROR(IF(INDEX(設定!$E$6:$E$21,MATCH($G259,設定!$B$6:$B$21,0))=0,"",INDEX(設定!$E$6:$E$21,MATCH($G259,設定!$B$6:$B$21,0))),""))</f>
        <v/>
      </c>
      <c r="J259" s="83">
        <f>IFERROR(INDEX(打卡匯入!$C$3:$C$2002,MATCH($C259&amp;"|"&amp;DAY($A259),打卡匯入!$E$3:$E$2002,0)),"")</f>
        <v/>
      </c>
      <c r="K259" s="83">
        <f>IFERROR(INDEX(打卡匯入!$D$3:$D$2002,MATCH($C259&amp;"|"&amp;DAY($A259),打卡匯入!$E$3:$E$2002,0)),"")</f>
        <v/>
      </c>
      <c r="L259" s="84">
        <f>IF(OR($J259="",$K259=""),"",IFERROR(INDEX(設定!$F$6:$F$21,MATCH($G259,設定!$B$6:$B$21,0)),0))</f>
        <v/>
      </c>
      <c r="M259" s="85">
        <f>IF(OR($J259="",$K259=""),"",ROUND(($K259-$J259)*24-$L259/60,2))</f>
        <v/>
      </c>
      <c r="N259" s="16">
        <f>IF($C259="","",IF(AND(COUNTIF(設定!$B$15:$B$21,$G259)&gt;0,$J259&lt;&gt;""),"假日出勤",IF(AND(COUNTIF(設定!$B$6:$B$14,$G259)&gt;0,$J259=""),"未打卡",IF($J259="","",IF($O259&gt;0,"遲到",IF($P259&gt;0,"早退","正常"))))))</f>
        <v/>
      </c>
      <c r="O259" s="84">
        <f>IF(OR($C259="",$H259="",$J259=""),0,IF(ROUND(($J259-$H259)*1440,0)&gt;設定!$C$46,ROUND(($J259-$H259)*1440,0),0))</f>
        <v/>
      </c>
      <c r="P259" s="84">
        <f>IF(OR($C259="",$I259="",$K259=""),0,IF(ROUND(($I259-$K259)*1440,0)&gt;設定!$C$46,ROUND(($I259-$K259)*1440,0),0))</f>
        <v/>
      </c>
      <c r="Q259" s="85">
        <f>IF($M259="",0,IF(($M259-IFERROR(INDEX(設定!$G$6:$G$21,MATCH($G259,設定!$B$6:$B$21,0)),0))*60&gt;=設定!$C$44,ROUND(FLOOR(($M259-IFERROR(INDEX(設定!$G$6:$G$21,MATCH($G259,設定!$B$6:$B$21,0)),0))*60,設定!$C$45)/60,2),0))</f>
        <v/>
      </c>
      <c r="R259" s="16">
        <f>IF(OR($C259="",$Q259=0),"",IF($G259="國","國定假日",IF($B259="日","例假",IF($B259="六","休息日","平日"))))</f>
        <v/>
      </c>
      <c r="S259" s="19" t="n"/>
    </row>
    <row r="260">
      <c r="A260" s="82">
        <f>IF(OR(助理班表!$A13="",10&gt;DAY(EOMONTH(DATE(設定!$C$2,設定!$D$2,1),0))),"",DATE(設定!$C$2,設定!$D$2,10))</f>
        <v/>
      </c>
      <c r="B260" s="16">
        <f>IF($A260="","",INDEX(設定!$O$6:$O$12,WEEKDAY($A260,1)))</f>
        <v/>
      </c>
      <c r="C260" s="16">
        <f>IF($A260="","",助理班表!$A13)</f>
        <v/>
      </c>
      <c r="D260" s="16">
        <f>IF($C260="","",助理班表!$B13)</f>
        <v/>
      </c>
      <c r="E260" s="16">
        <f>IF($C260="","",助理班表!$D13)</f>
        <v/>
      </c>
      <c r="F260" s="16">
        <f>IF($C260="","",助理班表!$C13)</f>
        <v/>
      </c>
      <c r="G260" s="16">
        <f>IF($C260="","",助理班表!N13)</f>
        <v/>
      </c>
      <c r="H260" s="83">
        <f>IF($G260="","",IFERROR(IF(INDEX(設定!$D$6:$D$21,MATCH($G260,設定!$B$6:$B$21,0))=0,"",INDEX(設定!$D$6:$D$21,MATCH($G260,設定!$B$6:$B$21,0))),""))</f>
        <v/>
      </c>
      <c r="I260" s="83">
        <f>IF($G260="","",IFERROR(IF(INDEX(設定!$E$6:$E$21,MATCH($G260,設定!$B$6:$B$21,0))=0,"",INDEX(設定!$E$6:$E$21,MATCH($G260,設定!$B$6:$B$21,0))),""))</f>
        <v/>
      </c>
      <c r="J260" s="83">
        <f>IFERROR(INDEX(打卡匯入!$C$3:$C$2002,MATCH($C260&amp;"|"&amp;DAY($A260),打卡匯入!$E$3:$E$2002,0)),"")</f>
        <v/>
      </c>
      <c r="K260" s="83">
        <f>IFERROR(INDEX(打卡匯入!$D$3:$D$2002,MATCH($C260&amp;"|"&amp;DAY($A260),打卡匯入!$E$3:$E$2002,0)),"")</f>
        <v/>
      </c>
      <c r="L260" s="84">
        <f>IF(OR($J260="",$K260=""),"",IFERROR(INDEX(設定!$F$6:$F$21,MATCH($G260,設定!$B$6:$B$21,0)),0))</f>
        <v/>
      </c>
      <c r="M260" s="85">
        <f>IF(OR($J260="",$K260=""),"",ROUND(($K260-$J260)*24-$L260/60,2))</f>
        <v/>
      </c>
      <c r="N260" s="16">
        <f>IF($C260="","",IF(AND(COUNTIF(設定!$B$15:$B$21,$G260)&gt;0,$J260&lt;&gt;""),"假日出勤",IF(AND(COUNTIF(設定!$B$6:$B$14,$G260)&gt;0,$J260=""),"未打卡",IF($J260="","",IF($O260&gt;0,"遲到",IF($P260&gt;0,"早退","正常"))))))</f>
        <v/>
      </c>
      <c r="O260" s="84">
        <f>IF(OR($C260="",$H260="",$J260=""),0,IF(ROUND(($J260-$H260)*1440,0)&gt;設定!$C$46,ROUND(($J260-$H260)*1440,0),0))</f>
        <v/>
      </c>
      <c r="P260" s="84">
        <f>IF(OR($C260="",$I260="",$K260=""),0,IF(ROUND(($I260-$K260)*1440,0)&gt;設定!$C$46,ROUND(($I260-$K260)*1440,0),0))</f>
        <v/>
      </c>
      <c r="Q260" s="85">
        <f>IF($M260="",0,IF(($M260-IFERROR(INDEX(設定!$G$6:$G$21,MATCH($G260,設定!$B$6:$B$21,0)),0))*60&gt;=設定!$C$44,ROUND(FLOOR(($M260-IFERROR(INDEX(設定!$G$6:$G$21,MATCH($G260,設定!$B$6:$B$21,0)),0))*60,設定!$C$45)/60,2),0))</f>
        <v/>
      </c>
      <c r="R260" s="16">
        <f>IF(OR($C260="",$Q260=0),"",IF($G260="國","國定假日",IF($B260="日","例假",IF($B260="六","休息日","平日"))))</f>
        <v/>
      </c>
      <c r="S260" s="19" t="n"/>
    </row>
    <row r="261">
      <c r="A261" s="82">
        <f>IF(OR(助理班表!$A13="",11&gt;DAY(EOMONTH(DATE(設定!$C$2,設定!$D$2,1),0))),"",DATE(設定!$C$2,設定!$D$2,11))</f>
        <v/>
      </c>
      <c r="B261" s="16">
        <f>IF($A261="","",INDEX(設定!$O$6:$O$12,WEEKDAY($A261,1)))</f>
        <v/>
      </c>
      <c r="C261" s="16">
        <f>IF($A261="","",助理班表!$A13)</f>
        <v/>
      </c>
      <c r="D261" s="16">
        <f>IF($C261="","",助理班表!$B13)</f>
        <v/>
      </c>
      <c r="E261" s="16">
        <f>IF($C261="","",助理班表!$D13)</f>
        <v/>
      </c>
      <c r="F261" s="16">
        <f>IF($C261="","",助理班表!$C13)</f>
        <v/>
      </c>
      <c r="G261" s="16">
        <f>IF($C261="","",助理班表!O13)</f>
        <v/>
      </c>
      <c r="H261" s="83">
        <f>IF($G261="","",IFERROR(IF(INDEX(設定!$D$6:$D$21,MATCH($G261,設定!$B$6:$B$21,0))=0,"",INDEX(設定!$D$6:$D$21,MATCH($G261,設定!$B$6:$B$21,0))),""))</f>
        <v/>
      </c>
      <c r="I261" s="83">
        <f>IF($G261="","",IFERROR(IF(INDEX(設定!$E$6:$E$21,MATCH($G261,設定!$B$6:$B$21,0))=0,"",INDEX(設定!$E$6:$E$21,MATCH($G261,設定!$B$6:$B$21,0))),""))</f>
        <v/>
      </c>
      <c r="J261" s="83">
        <f>IFERROR(INDEX(打卡匯入!$C$3:$C$2002,MATCH($C261&amp;"|"&amp;DAY($A261),打卡匯入!$E$3:$E$2002,0)),"")</f>
        <v/>
      </c>
      <c r="K261" s="83">
        <f>IFERROR(INDEX(打卡匯入!$D$3:$D$2002,MATCH($C261&amp;"|"&amp;DAY($A261),打卡匯入!$E$3:$E$2002,0)),"")</f>
        <v/>
      </c>
      <c r="L261" s="84">
        <f>IF(OR($J261="",$K261=""),"",IFERROR(INDEX(設定!$F$6:$F$21,MATCH($G261,設定!$B$6:$B$21,0)),0))</f>
        <v/>
      </c>
      <c r="M261" s="85">
        <f>IF(OR($J261="",$K261=""),"",ROUND(($K261-$J261)*24-$L261/60,2))</f>
        <v/>
      </c>
      <c r="N261" s="16">
        <f>IF($C261="","",IF(AND(COUNTIF(設定!$B$15:$B$21,$G261)&gt;0,$J261&lt;&gt;""),"假日出勤",IF(AND(COUNTIF(設定!$B$6:$B$14,$G261)&gt;0,$J261=""),"未打卡",IF($J261="","",IF($O261&gt;0,"遲到",IF($P261&gt;0,"早退","正常"))))))</f>
        <v/>
      </c>
      <c r="O261" s="84">
        <f>IF(OR($C261="",$H261="",$J261=""),0,IF(ROUND(($J261-$H261)*1440,0)&gt;設定!$C$46,ROUND(($J261-$H261)*1440,0),0))</f>
        <v/>
      </c>
      <c r="P261" s="84">
        <f>IF(OR($C261="",$I261="",$K261=""),0,IF(ROUND(($I261-$K261)*1440,0)&gt;設定!$C$46,ROUND(($I261-$K261)*1440,0),0))</f>
        <v/>
      </c>
      <c r="Q261" s="85">
        <f>IF($M261="",0,IF(($M261-IFERROR(INDEX(設定!$G$6:$G$21,MATCH($G261,設定!$B$6:$B$21,0)),0))*60&gt;=設定!$C$44,ROUND(FLOOR(($M261-IFERROR(INDEX(設定!$G$6:$G$21,MATCH($G261,設定!$B$6:$B$21,0)),0))*60,設定!$C$45)/60,2),0))</f>
        <v/>
      </c>
      <c r="R261" s="16">
        <f>IF(OR($C261="",$Q261=0),"",IF($G261="國","國定假日",IF($B261="日","例假",IF($B261="六","休息日","平日"))))</f>
        <v/>
      </c>
      <c r="S261" s="19" t="n"/>
    </row>
    <row r="262">
      <c r="A262" s="82">
        <f>IF(OR(助理班表!$A13="",12&gt;DAY(EOMONTH(DATE(設定!$C$2,設定!$D$2,1),0))),"",DATE(設定!$C$2,設定!$D$2,12))</f>
        <v/>
      </c>
      <c r="B262" s="16">
        <f>IF($A262="","",INDEX(設定!$O$6:$O$12,WEEKDAY($A262,1)))</f>
        <v/>
      </c>
      <c r="C262" s="16">
        <f>IF($A262="","",助理班表!$A13)</f>
        <v/>
      </c>
      <c r="D262" s="16">
        <f>IF($C262="","",助理班表!$B13)</f>
        <v/>
      </c>
      <c r="E262" s="16">
        <f>IF($C262="","",助理班表!$D13)</f>
        <v/>
      </c>
      <c r="F262" s="16">
        <f>IF($C262="","",助理班表!$C13)</f>
        <v/>
      </c>
      <c r="G262" s="16">
        <f>IF($C262="","",助理班表!P13)</f>
        <v/>
      </c>
      <c r="H262" s="83">
        <f>IF($G262="","",IFERROR(IF(INDEX(設定!$D$6:$D$21,MATCH($G262,設定!$B$6:$B$21,0))=0,"",INDEX(設定!$D$6:$D$21,MATCH($G262,設定!$B$6:$B$21,0))),""))</f>
        <v/>
      </c>
      <c r="I262" s="83">
        <f>IF($G262="","",IFERROR(IF(INDEX(設定!$E$6:$E$21,MATCH($G262,設定!$B$6:$B$21,0))=0,"",INDEX(設定!$E$6:$E$21,MATCH($G262,設定!$B$6:$B$21,0))),""))</f>
        <v/>
      </c>
      <c r="J262" s="83">
        <f>IFERROR(INDEX(打卡匯入!$C$3:$C$2002,MATCH($C262&amp;"|"&amp;DAY($A262),打卡匯入!$E$3:$E$2002,0)),"")</f>
        <v/>
      </c>
      <c r="K262" s="83">
        <f>IFERROR(INDEX(打卡匯入!$D$3:$D$2002,MATCH($C262&amp;"|"&amp;DAY($A262),打卡匯入!$E$3:$E$2002,0)),"")</f>
        <v/>
      </c>
      <c r="L262" s="84">
        <f>IF(OR($J262="",$K262=""),"",IFERROR(INDEX(設定!$F$6:$F$21,MATCH($G262,設定!$B$6:$B$21,0)),0))</f>
        <v/>
      </c>
      <c r="M262" s="85">
        <f>IF(OR($J262="",$K262=""),"",ROUND(($K262-$J262)*24-$L262/60,2))</f>
        <v/>
      </c>
      <c r="N262" s="16">
        <f>IF($C262="","",IF(AND(COUNTIF(設定!$B$15:$B$21,$G262)&gt;0,$J262&lt;&gt;""),"假日出勤",IF(AND(COUNTIF(設定!$B$6:$B$14,$G262)&gt;0,$J262=""),"未打卡",IF($J262="","",IF($O262&gt;0,"遲到",IF($P262&gt;0,"早退","正常"))))))</f>
        <v/>
      </c>
      <c r="O262" s="84">
        <f>IF(OR($C262="",$H262="",$J262=""),0,IF(ROUND(($J262-$H262)*1440,0)&gt;設定!$C$46,ROUND(($J262-$H262)*1440,0),0))</f>
        <v/>
      </c>
      <c r="P262" s="84">
        <f>IF(OR($C262="",$I262="",$K262=""),0,IF(ROUND(($I262-$K262)*1440,0)&gt;設定!$C$46,ROUND(($I262-$K262)*1440,0),0))</f>
        <v/>
      </c>
      <c r="Q262" s="85">
        <f>IF($M262="",0,IF(($M262-IFERROR(INDEX(設定!$G$6:$G$21,MATCH($G262,設定!$B$6:$B$21,0)),0))*60&gt;=設定!$C$44,ROUND(FLOOR(($M262-IFERROR(INDEX(設定!$G$6:$G$21,MATCH($G262,設定!$B$6:$B$21,0)),0))*60,設定!$C$45)/60,2),0))</f>
        <v/>
      </c>
      <c r="R262" s="16">
        <f>IF(OR($C262="",$Q262=0),"",IF($G262="國","國定假日",IF($B262="日","例假",IF($B262="六","休息日","平日"))))</f>
        <v/>
      </c>
      <c r="S262" s="19" t="n"/>
    </row>
    <row r="263">
      <c r="A263" s="82">
        <f>IF(OR(助理班表!$A13="",13&gt;DAY(EOMONTH(DATE(設定!$C$2,設定!$D$2,1),0))),"",DATE(設定!$C$2,設定!$D$2,13))</f>
        <v/>
      </c>
      <c r="B263" s="16">
        <f>IF($A263="","",INDEX(設定!$O$6:$O$12,WEEKDAY($A263,1)))</f>
        <v/>
      </c>
      <c r="C263" s="16">
        <f>IF($A263="","",助理班表!$A13)</f>
        <v/>
      </c>
      <c r="D263" s="16">
        <f>IF($C263="","",助理班表!$B13)</f>
        <v/>
      </c>
      <c r="E263" s="16">
        <f>IF($C263="","",助理班表!$D13)</f>
        <v/>
      </c>
      <c r="F263" s="16">
        <f>IF($C263="","",助理班表!$C13)</f>
        <v/>
      </c>
      <c r="G263" s="16">
        <f>IF($C263="","",助理班表!Q13)</f>
        <v/>
      </c>
      <c r="H263" s="83">
        <f>IF($G263="","",IFERROR(IF(INDEX(設定!$D$6:$D$21,MATCH($G263,設定!$B$6:$B$21,0))=0,"",INDEX(設定!$D$6:$D$21,MATCH($G263,設定!$B$6:$B$21,0))),""))</f>
        <v/>
      </c>
      <c r="I263" s="83">
        <f>IF($G263="","",IFERROR(IF(INDEX(設定!$E$6:$E$21,MATCH($G263,設定!$B$6:$B$21,0))=0,"",INDEX(設定!$E$6:$E$21,MATCH($G263,設定!$B$6:$B$21,0))),""))</f>
        <v/>
      </c>
      <c r="J263" s="83">
        <f>IFERROR(INDEX(打卡匯入!$C$3:$C$2002,MATCH($C263&amp;"|"&amp;DAY($A263),打卡匯入!$E$3:$E$2002,0)),"")</f>
        <v/>
      </c>
      <c r="K263" s="83">
        <f>IFERROR(INDEX(打卡匯入!$D$3:$D$2002,MATCH($C263&amp;"|"&amp;DAY($A263),打卡匯入!$E$3:$E$2002,0)),"")</f>
        <v/>
      </c>
      <c r="L263" s="84">
        <f>IF(OR($J263="",$K263=""),"",IFERROR(INDEX(設定!$F$6:$F$21,MATCH($G263,設定!$B$6:$B$21,0)),0))</f>
        <v/>
      </c>
      <c r="M263" s="85">
        <f>IF(OR($J263="",$K263=""),"",ROUND(($K263-$J263)*24-$L263/60,2))</f>
        <v/>
      </c>
      <c r="N263" s="16">
        <f>IF($C263="","",IF(AND(COUNTIF(設定!$B$15:$B$21,$G263)&gt;0,$J263&lt;&gt;""),"假日出勤",IF(AND(COUNTIF(設定!$B$6:$B$14,$G263)&gt;0,$J263=""),"未打卡",IF($J263="","",IF($O263&gt;0,"遲到",IF($P263&gt;0,"早退","正常"))))))</f>
        <v/>
      </c>
      <c r="O263" s="84">
        <f>IF(OR($C263="",$H263="",$J263=""),0,IF(ROUND(($J263-$H263)*1440,0)&gt;設定!$C$46,ROUND(($J263-$H263)*1440,0),0))</f>
        <v/>
      </c>
      <c r="P263" s="84">
        <f>IF(OR($C263="",$I263="",$K263=""),0,IF(ROUND(($I263-$K263)*1440,0)&gt;設定!$C$46,ROUND(($I263-$K263)*1440,0),0))</f>
        <v/>
      </c>
      <c r="Q263" s="85">
        <f>IF($M263="",0,IF(($M263-IFERROR(INDEX(設定!$G$6:$G$21,MATCH($G263,設定!$B$6:$B$21,0)),0))*60&gt;=設定!$C$44,ROUND(FLOOR(($M263-IFERROR(INDEX(設定!$G$6:$G$21,MATCH($G263,設定!$B$6:$B$21,0)),0))*60,設定!$C$45)/60,2),0))</f>
        <v/>
      </c>
      <c r="R263" s="16">
        <f>IF(OR($C263="",$Q263=0),"",IF($G263="國","國定假日",IF($B263="日","例假",IF($B263="六","休息日","平日"))))</f>
        <v/>
      </c>
      <c r="S263" s="19" t="n"/>
    </row>
    <row r="264">
      <c r="A264" s="82">
        <f>IF(OR(助理班表!$A13="",14&gt;DAY(EOMONTH(DATE(設定!$C$2,設定!$D$2,1),0))),"",DATE(設定!$C$2,設定!$D$2,14))</f>
        <v/>
      </c>
      <c r="B264" s="16">
        <f>IF($A264="","",INDEX(設定!$O$6:$O$12,WEEKDAY($A264,1)))</f>
        <v/>
      </c>
      <c r="C264" s="16">
        <f>IF($A264="","",助理班表!$A13)</f>
        <v/>
      </c>
      <c r="D264" s="16">
        <f>IF($C264="","",助理班表!$B13)</f>
        <v/>
      </c>
      <c r="E264" s="16">
        <f>IF($C264="","",助理班表!$D13)</f>
        <v/>
      </c>
      <c r="F264" s="16">
        <f>IF($C264="","",助理班表!$C13)</f>
        <v/>
      </c>
      <c r="G264" s="16">
        <f>IF($C264="","",助理班表!R13)</f>
        <v/>
      </c>
      <c r="H264" s="83">
        <f>IF($G264="","",IFERROR(IF(INDEX(設定!$D$6:$D$21,MATCH($G264,設定!$B$6:$B$21,0))=0,"",INDEX(設定!$D$6:$D$21,MATCH($G264,設定!$B$6:$B$21,0))),""))</f>
        <v/>
      </c>
      <c r="I264" s="83">
        <f>IF($G264="","",IFERROR(IF(INDEX(設定!$E$6:$E$21,MATCH($G264,設定!$B$6:$B$21,0))=0,"",INDEX(設定!$E$6:$E$21,MATCH($G264,設定!$B$6:$B$21,0))),""))</f>
        <v/>
      </c>
      <c r="J264" s="83">
        <f>IFERROR(INDEX(打卡匯入!$C$3:$C$2002,MATCH($C264&amp;"|"&amp;DAY($A264),打卡匯入!$E$3:$E$2002,0)),"")</f>
        <v/>
      </c>
      <c r="K264" s="83">
        <f>IFERROR(INDEX(打卡匯入!$D$3:$D$2002,MATCH($C264&amp;"|"&amp;DAY($A264),打卡匯入!$E$3:$E$2002,0)),"")</f>
        <v/>
      </c>
      <c r="L264" s="84">
        <f>IF(OR($J264="",$K264=""),"",IFERROR(INDEX(設定!$F$6:$F$21,MATCH($G264,設定!$B$6:$B$21,0)),0))</f>
        <v/>
      </c>
      <c r="M264" s="85">
        <f>IF(OR($J264="",$K264=""),"",ROUND(($K264-$J264)*24-$L264/60,2))</f>
        <v/>
      </c>
      <c r="N264" s="16">
        <f>IF($C264="","",IF(AND(COUNTIF(設定!$B$15:$B$21,$G264)&gt;0,$J264&lt;&gt;""),"假日出勤",IF(AND(COUNTIF(設定!$B$6:$B$14,$G264)&gt;0,$J264=""),"未打卡",IF($J264="","",IF($O264&gt;0,"遲到",IF($P264&gt;0,"早退","正常"))))))</f>
        <v/>
      </c>
      <c r="O264" s="84">
        <f>IF(OR($C264="",$H264="",$J264=""),0,IF(ROUND(($J264-$H264)*1440,0)&gt;設定!$C$46,ROUND(($J264-$H264)*1440,0),0))</f>
        <v/>
      </c>
      <c r="P264" s="84">
        <f>IF(OR($C264="",$I264="",$K264=""),0,IF(ROUND(($I264-$K264)*1440,0)&gt;設定!$C$46,ROUND(($I264-$K264)*1440,0),0))</f>
        <v/>
      </c>
      <c r="Q264" s="85">
        <f>IF($M264="",0,IF(($M264-IFERROR(INDEX(設定!$G$6:$G$21,MATCH($G264,設定!$B$6:$B$21,0)),0))*60&gt;=設定!$C$44,ROUND(FLOOR(($M264-IFERROR(INDEX(設定!$G$6:$G$21,MATCH($G264,設定!$B$6:$B$21,0)),0))*60,設定!$C$45)/60,2),0))</f>
        <v/>
      </c>
      <c r="R264" s="16">
        <f>IF(OR($C264="",$Q264=0),"",IF($G264="國","國定假日",IF($B264="日","例假",IF($B264="六","休息日","平日"))))</f>
        <v/>
      </c>
      <c r="S264" s="19" t="n"/>
    </row>
    <row r="265">
      <c r="A265" s="82">
        <f>IF(OR(助理班表!$A13="",15&gt;DAY(EOMONTH(DATE(設定!$C$2,設定!$D$2,1),0))),"",DATE(設定!$C$2,設定!$D$2,15))</f>
        <v/>
      </c>
      <c r="B265" s="16">
        <f>IF($A265="","",INDEX(設定!$O$6:$O$12,WEEKDAY($A265,1)))</f>
        <v/>
      </c>
      <c r="C265" s="16">
        <f>IF($A265="","",助理班表!$A13)</f>
        <v/>
      </c>
      <c r="D265" s="16">
        <f>IF($C265="","",助理班表!$B13)</f>
        <v/>
      </c>
      <c r="E265" s="16">
        <f>IF($C265="","",助理班表!$D13)</f>
        <v/>
      </c>
      <c r="F265" s="16">
        <f>IF($C265="","",助理班表!$C13)</f>
        <v/>
      </c>
      <c r="G265" s="16">
        <f>IF($C265="","",助理班表!S13)</f>
        <v/>
      </c>
      <c r="H265" s="83">
        <f>IF($G265="","",IFERROR(IF(INDEX(設定!$D$6:$D$21,MATCH($G265,設定!$B$6:$B$21,0))=0,"",INDEX(設定!$D$6:$D$21,MATCH($G265,設定!$B$6:$B$21,0))),""))</f>
        <v/>
      </c>
      <c r="I265" s="83">
        <f>IF($G265="","",IFERROR(IF(INDEX(設定!$E$6:$E$21,MATCH($G265,設定!$B$6:$B$21,0))=0,"",INDEX(設定!$E$6:$E$21,MATCH($G265,設定!$B$6:$B$21,0))),""))</f>
        <v/>
      </c>
      <c r="J265" s="83">
        <f>IFERROR(INDEX(打卡匯入!$C$3:$C$2002,MATCH($C265&amp;"|"&amp;DAY($A265),打卡匯入!$E$3:$E$2002,0)),"")</f>
        <v/>
      </c>
      <c r="K265" s="83">
        <f>IFERROR(INDEX(打卡匯入!$D$3:$D$2002,MATCH($C265&amp;"|"&amp;DAY($A265),打卡匯入!$E$3:$E$2002,0)),"")</f>
        <v/>
      </c>
      <c r="L265" s="84">
        <f>IF(OR($J265="",$K265=""),"",IFERROR(INDEX(設定!$F$6:$F$21,MATCH($G265,設定!$B$6:$B$21,0)),0))</f>
        <v/>
      </c>
      <c r="M265" s="85">
        <f>IF(OR($J265="",$K265=""),"",ROUND(($K265-$J265)*24-$L265/60,2))</f>
        <v/>
      </c>
      <c r="N265" s="16">
        <f>IF($C265="","",IF(AND(COUNTIF(設定!$B$15:$B$21,$G265)&gt;0,$J265&lt;&gt;""),"假日出勤",IF(AND(COUNTIF(設定!$B$6:$B$14,$G265)&gt;0,$J265=""),"未打卡",IF($J265="","",IF($O265&gt;0,"遲到",IF($P265&gt;0,"早退","正常"))))))</f>
        <v/>
      </c>
      <c r="O265" s="84">
        <f>IF(OR($C265="",$H265="",$J265=""),0,IF(ROUND(($J265-$H265)*1440,0)&gt;設定!$C$46,ROUND(($J265-$H265)*1440,0),0))</f>
        <v/>
      </c>
      <c r="P265" s="84">
        <f>IF(OR($C265="",$I265="",$K265=""),0,IF(ROUND(($I265-$K265)*1440,0)&gt;設定!$C$46,ROUND(($I265-$K265)*1440,0),0))</f>
        <v/>
      </c>
      <c r="Q265" s="85">
        <f>IF($M265="",0,IF(($M265-IFERROR(INDEX(設定!$G$6:$G$21,MATCH($G265,設定!$B$6:$B$21,0)),0))*60&gt;=設定!$C$44,ROUND(FLOOR(($M265-IFERROR(INDEX(設定!$G$6:$G$21,MATCH($G265,設定!$B$6:$B$21,0)),0))*60,設定!$C$45)/60,2),0))</f>
        <v/>
      </c>
      <c r="R265" s="16">
        <f>IF(OR($C265="",$Q265=0),"",IF($G265="國","國定假日",IF($B265="日","例假",IF($B265="六","休息日","平日"))))</f>
        <v/>
      </c>
      <c r="S265" s="19" t="n"/>
    </row>
    <row r="266">
      <c r="A266" s="82">
        <f>IF(OR(助理班表!$A13="",16&gt;DAY(EOMONTH(DATE(設定!$C$2,設定!$D$2,1),0))),"",DATE(設定!$C$2,設定!$D$2,16))</f>
        <v/>
      </c>
      <c r="B266" s="16">
        <f>IF($A266="","",INDEX(設定!$O$6:$O$12,WEEKDAY($A266,1)))</f>
        <v/>
      </c>
      <c r="C266" s="16">
        <f>IF($A266="","",助理班表!$A13)</f>
        <v/>
      </c>
      <c r="D266" s="16">
        <f>IF($C266="","",助理班表!$B13)</f>
        <v/>
      </c>
      <c r="E266" s="16">
        <f>IF($C266="","",助理班表!$D13)</f>
        <v/>
      </c>
      <c r="F266" s="16">
        <f>IF($C266="","",助理班表!$C13)</f>
        <v/>
      </c>
      <c r="G266" s="16">
        <f>IF($C266="","",助理班表!T13)</f>
        <v/>
      </c>
      <c r="H266" s="83">
        <f>IF($G266="","",IFERROR(IF(INDEX(設定!$D$6:$D$21,MATCH($G266,設定!$B$6:$B$21,0))=0,"",INDEX(設定!$D$6:$D$21,MATCH($G266,設定!$B$6:$B$21,0))),""))</f>
        <v/>
      </c>
      <c r="I266" s="83">
        <f>IF($G266="","",IFERROR(IF(INDEX(設定!$E$6:$E$21,MATCH($G266,設定!$B$6:$B$21,0))=0,"",INDEX(設定!$E$6:$E$21,MATCH($G266,設定!$B$6:$B$21,0))),""))</f>
        <v/>
      </c>
      <c r="J266" s="83">
        <f>IFERROR(INDEX(打卡匯入!$C$3:$C$2002,MATCH($C266&amp;"|"&amp;DAY($A266),打卡匯入!$E$3:$E$2002,0)),"")</f>
        <v/>
      </c>
      <c r="K266" s="83">
        <f>IFERROR(INDEX(打卡匯入!$D$3:$D$2002,MATCH($C266&amp;"|"&amp;DAY($A266),打卡匯入!$E$3:$E$2002,0)),"")</f>
        <v/>
      </c>
      <c r="L266" s="84">
        <f>IF(OR($J266="",$K266=""),"",IFERROR(INDEX(設定!$F$6:$F$21,MATCH($G266,設定!$B$6:$B$21,0)),0))</f>
        <v/>
      </c>
      <c r="M266" s="85">
        <f>IF(OR($J266="",$K266=""),"",ROUND(($K266-$J266)*24-$L266/60,2))</f>
        <v/>
      </c>
      <c r="N266" s="16">
        <f>IF($C266="","",IF(AND(COUNTIF(設定!$B$15:$B$21,$G266)&gt;0,$J266&lt;&gt;""),"假日出勤",IF(AND(COUNTIF(設定!$B$6:$B$14,$G266)&gt;0,$J266=""),"未打卡",IF($J266="","",IF($O266&gt;0,"遲到",IF($P266&gt;0,"早退","正常"))))))</f>
        <v/>
      </c>
      <c r="O266" s="84">
        <f>IF(OR($C266="",$H266="",$J266=""),0,IF(ROUND(($J266-$H266)*1440,0)&gt;設定!$C$46,ROUND(($J266-$H266)*1440,0),0))</f>
        <v/>
      </c>
      <c r="P266" s="84">
        <f>IF(OR($C266="",$I266="",$K266=""),0,IF(ROUND(($I266-$K266)*1440,0)&gt;設定!$C$46,ROUND(($I266-$K266)*1440,0),0))</f>
        <v/>
      </c>
      <c r="Q266" s="85">
        <f>IF($M266="",0,IF(($M266-IFERROR(INDEX(設定!$G$6:$G$21,MATCH($G266,設定!$B$6:$B$21,0)),0))*60&gt;=設定!$C$44,ROUND(FLOOR(($M266-IFERROR(INDEX(設定!$G$6:$G$21,MATCH($G266,設定!$B$6:$B$21,0)),0))*60,設定!$C$45)/60,2),0))</f>
        <v/>
      </c>
      <c r="R266" s="16">
        <f>IF(OR($C266="",$Q266=0),"",IF($G266="國","國定假日",IF($B266="日","例假",IF($B266="六","休息日","平日"))))</f>
        <v/>
      </c>
      <c r="S266" s="19" t="n"/>
    </row>
    <row r="267">
      <c r="A267" s="82">
        <f>IF(OR(助理班表!$A13="",17&gt;DAY(EOMONTH(DATE(設定!$C$2,設定!$D$2,1),0))),"",DATE(設定!$C$2,設定!$D$2,17))</f>
        <v/>
      </c>
      <c r="B267" s="16">
        <f>IF($A267="","",INDEX(設定!$O$6:$O$12,WEEKDAY($A267,1)))</f>
        <v/>
      </c>
      <c r="C267" s="16">
        <f>IF($A267="","",助理班表!$A13)</f>
        <v/>
      </c>
      <c r="D267" s="16">
        <f>IF($C267="","",助理班表!$B13)</f>
        <v/>
      </c>
      <c r="E267" s="16">
        <f>IF($C267="","",助理班表!$D13)</f>
        <v/>
      </c>
      <c r="F267" s="16">
        <f>IF($C267="","",助理班表!$C13)</f>
        <v/>
      </c>
      <c r="G267" s="16">
        <f>IF($C267="","",助理班表!U13)</f>
        <v/>
      </c>
      <c r="H267" s="83">
        <f>IF($G267="","",IFERROR(IF(INDEX(設定!$D$6:$D$21,MATCH($G267,設定!$B$6:$B$21,0))=0,"",INDEX(設定!$D$6:$D$21,MATCH($G267,設定!$B$6:$B$21,0))),""))</f>
        <v/>
      </c>
      <c r="I267" s="83">
        <f>IF($G267="","",IFERROR(IF(INDEX(設定!$E$6:$E$21,MATCH($G267,設定!$B$6:$B$21,0))=0,"",INDEX(設定!$E$6:$E$21,MATCH($G267,設定!$B$6:$B$21,0))),""))</f>
        <v/>
      </c>
      <c r="J267" s="83">
        <f>IFERROR(INDEX(打卡匯入!$C$3:$C$2002,MATCH($C267&amp;"|"&amp;DAY($A267),打卡匯入!$E$3:$E$2002,0)),"")</f>
        <v/>
      </c>
      <c r="K267" s="83">
        <f>IFERROR(INDEX(打卡匯入!$D$3:$D$2002,MATCH($C267&amp;"|"&amp;DAY($A267),打卡匯入!$E$3:$E$2002,0)),"")</f>
        <v/>
      </c>
      <c r="L267" s="84">
        <f>IF(OR($J267="",$K267=""),"",IFERROR(INDEX(設定!$F$6:$F$21,MATCH($G267,設定!$B$6:$B$21,0)),0))</f>
        <v/>
      </c>
      <c r="M267" s="85">
        <f>IF(OR($J267="",$K267=""),"",ROUND(($K267-$J267)*24-$L267/60,2))</f>
        <v/>
      </c>
      <c r="N267" s="16">
        <f>IF($C267="","",IF(AND(COUNTIF(設定!$B$15:$B$21,$G267)&gt;0,$J267&lt;&gt;""),"假日出勤",IF(AND(COUNTIF(設定!$B$6:$B$14,$G267)&gt;0,$J267=""),"未打卡",IF($J267="","",IF($O267&gt;0,"遲到",IF($P267&gt;0,"早退","正常"))))))</f>
        <v/>
      </c>
      <c r="O267" s="84">
        <f>IF(OR($C267="",$H267="",$J267=""),0,IF(ROUND(($J267-$H267)*1440,0)&gt;設定!$C$46,ROUND(($J267-$H267)*1440,0),0))</f>
        <v/>
      </c>
      <c r="P267" s="84">
        <f>IF(OR($C267="",$I267="",$K267=""),0,IF(ROUND(($I267-$K267)*1440,0)&gt;設定!$C$46,ROUND(($I267-$K267)*1440,0),0))</f>
        <v/>
      </c>
      <c r="Q267" s="85">
        <f>IF($M267="",0,IF(($M267-IFERROR(INDEX(設定!$G$6:$G$21,MATCH($G267,設定!$B$6:$B$21,0)),0))*60&gt;=設定!$C$44,ROUND(FLOOR(($M267-IFERROR(INDEX(設定!$G$6:$G$21,MATCH($G267,設定!$B$6:$B$21,0)),0))*60,設定!$C$45)/60,2),0))</f>
        <v/>
      </c>
      <c r="R267" s="16">
        <f>IF(OR($C267="",$Q267=0),"",IF($G267="國","國定假日",IF($B267="日","例假",IF($B267="六","休息日","平日"))))</f>
        <v/>
      </c>
      <c r="S267" s="19" t="n"/>
    </row>
    <row r="268">
      <c r="A268" s="82">
        <f>IF(OR(助理班表!$A13="",18&gt;DAY(EOMONTH(DATE(設定!$C$2,設定!$D$2,1),0))),"",DATE(設定!$C$2,設定!$D$2,18))</f>
        <v/>
      </c>
      <c r="B268" s="16">
        <f>IF($A268="","",INDEX(設定!$O$6:$O$12,WEEKDAY($A268,1)))</f>
        <v/>
      </c>
      <c r="C268" s="16">
        <f>IF($A268="","",助理班表!$A13)</f>
        <v/>
      </c>
      <c r="D268" s="16">
        <f>IF($C268="","",助理班表!$B13)</f>
        <v/>
      </c>
      <c r="E268" s="16">
        <f>IF($C268="","",助理班表!$D13)</f>
        <v/>
      </c>
      <c r="F268" s="16">
        <f>IF($C268="","",助理班表!$C13)</f>
        <v/>
      </c>
      <c r="G268" s="16">
        <f>IF($C268="","",助理班表!V13)</f>
        <v/>
      </c>
      <c r="H268" s="83">
        <f>IF($G268="","",IFERROR(IF(INDEX(設定!$D$6:$D$21,MATCH($G268,設定!$B$6:$B$21,0))=0,"",INDEX(設定!$D$6:$D$21,MATCH($G268,設定!$B$6:$B$21,0))),""))</f>
        <v/>
      </c>
      <c r="I268" s="83">
        <f>IF($G268="","",IFERROR(IF(INDEX(設定!$E$6:$E$21,MATCH($G268,設定!$B$6:$B$21,0))=0,"",INDEX(設定!$E$6:$E$21,MATCH($G268,設定!$B$6:$B$21,0))),""))</f>
        <v/>
      </c>
      <c r="J268" s="83">
        <f>IFERROR(INDEX(打卡匯入!$C$3:$C$2002,MATCH($C268&amp;"|"&amp;DAY($A268),打卡匯入!$E$3:$E$2002,0)),"")</f>
        <v/>
      </c>
      <c r="K268" s="83">
        <f>IFERROR(INDEX(打卡匯入!$D$3:$D$2002,MATCH($C268&amp;"|"&amp;DAY($A268),打卡匯入!$E$3:$E$2002,0)),"")</f>
        <v/>
      </c>
      <c r="L268" s="84">
        <f>IF(OR($J268="",$K268=""),"",IFERROR(INDEX(設定!$F$6:$F$21,MATCH($G268,設定!$B$6:$B$21,0)),0))</f>
        <v/>
      </c>
      <c r="M268" s="85">
        <f>IF(OR($J268="",$K268=""),"",ROUND(($K268-$J268)*24-$L268/60,2))</f>
        <v/>
      </c>
      <c r="N268" s="16">
        <f>IF($C268="","",IF(AND(COUNTIF(設定!$B$15:$B$21,$G268)&gt;0,$J268&lt;&gt;""),"假日出勤",IF(AND(COUNTIF(設定!$B$6:$B$14,$G268)&gt;0,$J268=""),"未打卡",IF($J268="","",IF($O268&gt;0,"遲到",IF($P268&gt;0,"早退","正常"))))))</f>
        <v/>
      </c>
      <c r="O268" s="84">
        <f>IF(OR($C268="",$H268="",$J268=""),0,IF(ROUND(($J268-$H268)*1440,0)&gt;設定!$C$46,ROUND(($J268-$H268)*1440,0),0))</f>
        <v/>
      </c>
      <c r="P268" s="84">
        <f>IF(OR($C268="",$I268="",$K268=""),0,IF(ROUND(($I268-$K268)*1440,0)&gt;設定!$C$46,ROUND(($I268-$K268)*1440,0),0))</f>
        <v/>
      </c>
      <c r="Q268" s="85">
        <f>IF($M268="",0,IF(($M268-IFERROR(INDEX(設定!$G$6:$G$21,MATCH($G268,設定!$B$6:$B$21,0)),0))*60&gt;=設定!$C$44,ROUND(FLOOR(($M268-IFERROR(INDEX(設定!$G$6:$G$21,MATCH($G268,設定!$B$6:$B$21,0)),0))*60,設定!$C$45)/60,2),0))</f>
        <v/>
      </c>
      <c r="R268" s="16">
        <f>IF(OR($C268="",$Q268=0),"",IF($G268="國","國定假日",IF($B268="日","例假",IF($B268="六","休息日","平日"))))</f>
        <v/>
      </c>
      <c r="S268" s="19" t="n"/>
    </row>
    <row r="269">
      <c r="A269" s="82">
        <f>IF(OR(助理班表!$A13="",19&gt;DAY(EOMONTH(DATE(設定!$C$2,設定!$D$2,1),0))),"",DATE(設定!$C$2,設定!$D$2,19))</f>
        <v/>
      </c>
      <c r="B269" s="16">
        <f>IF($A269="","",INDEX(設定!$O$6:$O$12,WEEKDAY($A269,1)))</f>
        <v/>
      </c>
      <c r="C269" s="16">
        <f>IF($A269="","",助理班表!$A13)</f>
        <v/>
      </c>
      <c r="D269" s="16">
        <f>IF($C269="","",助理班表!$B13)</f>
        <v/>
      </c>
      <c r="E269" s="16">
        <f>IF($C269="","",助理班表!$D13)</f>
        <v/>
      </c>
      <c r="F269" s="16">
        <f>IF($C269="","",助理班表!$C13)</f>
        <v/>
      </c>
      <c r="G269" s="16">
        <f>IF($C269="","",助理班表!W13)</f>
        <v/>
      </c>
      <c r="H269" s="83">
        <f>IF($G269="","",IFERROR(IF(INDEX(設定!$D$6:$D$21,MATCH($G269,設定!$B$6:$B$21,0))=0,"",INDEX(設定!$D$6:$D$21,MATCH($G269,設定!$B$6:$B$21,0))),""))</f>
        <v/>
      </c>
      <c r="I269" s="83">
        <f>IF($G269="","",IFERROR(IF(INDEX(設定!$E$6:$E$21,MATCH($G269,設定!$B$6:$B$21,0))=0,"",INDEX(設定!$E$6:$E$21,MATCH($G269,設定!$B$6:$B$21,0))),""))</f>
        <v/>
      </c>
      <c r="J269" s="83">
        <f>IFERROR(INDEX(打卡匯入!$C$3:$C$2002,MATCH($C269&amp;"|"&amp;DAY($A269),打卡匯入!$E$3:$E$2002,0)),"")</f>
        <v/>
      </c>
      <c r="K269" s="83">
        <f>IFERROR(INDEX(打卡匯入!$D$3:$D$2002,MATCH($C269&amp;"|"&amp;DAY($A269),打卡匯入!$E$3:$E$2002,0)),"")</f>
        <v/>
      </c>
      <c r="L269" s="84">
        <f>IF(OR($J269="",$K269=""),"",IFERROR(INDEX(設定!$F$6:$F$21,MATCH($G269,設定!$B$6:$B$21,0)),0))</f>
        <v/>
      </c>
      <c r="M269" s="85">
        <f>IF(OR($J269="",$K269=""),"",ROUND(($K269-$J269)*24-$L269/60,2))</f>
        <v/>
      </c>
      <c r="N269" s="16">
        <f>IF($C269="","",IF(AND(COUNTIF(設定!$B$15:$B$21,$G269)&gt;0,$J269&lt;&gt;""),"假日出勤",IF(AND(COUNTIF(設定!$B$6:$B$14,$G269)&gt;0,$J269=""),"未打卡",IF($J269="","",IF($O269&gt;0,"遲到",IF($P269&gt;0,"早退","正常"))))))</f>
        <v/>
      </c>
      <c r="O269" s="84">
        <f>IF(OR($C269="",$H269="",$J269=""),0,IF(ROUND(($J269-$H269)*1440,0)&gt;設定!$C$46,ROUND(($J269-$H269)*1440,0),0))</f>
        <v/>
      </c>
      <c r="P269" s="84">
        <f>IF(OR($C269="",$I269="",$K269=""),0,IF(ROUND(($I269-$K269)*1440,0)&gt;設定!$C$46,ROUND(($I269-$K269)*1440,0),0))</f>
        <v/>
      </c>
      <c r="Q269" s="85">
        <f>IF($M269="",0,IF(($M269-IFERROR(INDEX(設定!$G$6:$G$21,MATCH($G269,設定!$B$6:$B$21,0)),0))*60&gt;=設定!$C$44,ROUND(FLOOR(($M269-IFERROR(INDEX(設定!$G$6:$G$21,MATCH($G269,設定!$B$6:$B$21,0)),0))*60,設定!$C$45)/60,2),0))</f>
        <v/>
      </c>
      <c r="R269" s="16">
        <f>IF(OR($C269="",$Q269=0),"",IF($G269="國","國定假日",IF($B269="日","例假",IF($B269="六","休息日","平日"))))</f>
        <v/>
      </c>
      <c r="S269" s="19" t="n"/>
    </row>
    <row r="270">
      <c r="A270" s="82">
        <f>IF(OR(助理班表!$A13="",20&gt;DAY(EOMONTH(DATE(設定!$C$2,設定!$D$2,1),0))),"",DATE(設定!$C$2,設定!$D$2,20))</f>
        <v/>
      </c>
      <c r="B270" s="16">
        <f>IF($A270="","",INDEX(設定!$O$6:$O$12,WEEKDAY($A270,1)))</f>
        <v/>
      </c>
      <c r="C270" s="16">
        <f>IF($A270="","",助理班表!$A13)</f>
        <v/>
      </c>
      <c r="D270" s="16">
        <f>IF($C270="","",助理班表!$B13)</f>
        <v/>
      </c>
      <c r="E270" s="16">
        <f>IF($C270="","",助理班表!$D13)</f>
        <v/>
      </c>
      <c r="F270" s="16">
        <f>IF($C270="","",助理班表!$C13)</f>
        <v/>
      </c>
      <c r="G270" s="16">
        <f>IF($C270="","",助理班表!X13)</f>
        <v/>
      </c>
      <c r="H270" s="83">
        <f>IF($G270="","",IFERROR(IF(INDEX(設定!$D$6:$D$21,MATCH($G270,設定!$B$6:$B$21,0))=0,"",INDEX(設定!$D$6:$D$21,MATCH($G270,設定!$B$6:$B$21,0))),""))</f>
        <v/>
      </c>
      <c r="I270" s="83">
        <f>IF($G270="","",IFERROR(IF(INDEX(設定!$E$6:$E$21,MATCH($G270,設定!$B$6:$B$21,0))=0,"",INDEX(設定!$E$6:$E$21,MATCH($G270,設定!$B$6:$B$21,0))),""))</f>
        <v/>
      </c>
      <c r="J270" s="83">
        <f>IFERROR(INDEX(打卡匯入!$C$3:$C$2002,MATCH($C270&amp;"|"&amp;DAY($A270),打卡匯入!$E$3:$E$2002,0)),"")</f>
        <v/>
      </c>
      <c r="K270" s="83">
        <f>IFERROR(INDEX(打卡匯入!$D$3:$D$2002,MATCH($C270&amp;"|"&amp;DAY($A270),打卡匯入!$E$3:$E$2002,0)),"")</f>
        <v/>
      </c>
      <c r="L270" s="84">
        <f>IF(OR($J270="",$K270=""),"",IFERROR(INDEX(設定!$F$6:$F$21,MATCH($G270,設定!$B$6:$B$21,0)),0))</f>
        <v/>
      </c>
      <c r="M270" s="85">
        <f>IF(OR($J270="",$K270=""),"",ROUND(($K270-$J270)*24-$L270/60,2))</f>
        <v/>
      </c>
      <c r="N270" s="16">
        <f>IF($C270="","",IF(AND(COUNTIF(設定!$B$15:$B$21,$G270)&gt;0,$J270&lt;&gt;""),"假日出勤",IF(AND(COUNTIF(設定!$B$6:$B$14,$G270)&gt;0,$J270=""),"未打卡",IF($J270="","",IF($O270&gt;0,"遲到",IF($P270&gt;0,"早退","正常"))))))</f>
        <v/>
      </c>
      <c r="O270" s="84">
        <f>IF(OR($C270="",$H270="",$J270=""),0,IF(ROUND(($J270-$H270)*1440,0)&gt;設定!$C$46,ROUND(($J270-$H270)*1440,0),0))</f>
        <v/>
      </c>
      <c r="P270" s="84">
        <f>IF(OR($C270="",$I270="",$K270=""),0,IF(ROUND(($I270-$K270)*1440,0)&gt;設定!$C$46,ROUND(($I270-$K270)*1440,0),0))</f>
        <v/>
      </c>
      <c r="Q270" s="85">
        <f>IF($M270="",0,IF(($M270-IFERROR(INDEX(設定!$G$6:$G$21,MATCH($G270,設定!$B$6:$B$21,0)),0))*60&gt;=設定!$C$44,ROUND(FLOOR(($M270-IFERROR(INDEX(設定!$G$6:$G$21,MATCH($G270,設定!$B$6:$B$21,0)),0))*60,設定!$C$45)/60,2),0))</f>
        <v/>
      </c>
      <c r="R270" s="16">
        <f>IF(OR($C270="",$Q270=0),"",IF($G270="國","國定假日",IF($B270="日","例假",IF($B270="六","休息日","平日"))))</f>
        <v/>
      </c>
      <c r="S270" s="19" t="n"/>
    </row>
    <row r="271">
      <c r="A271" s="82">
        <f>IF(OR(助理班表!$A13="",21&gt;DAY(EOMONTH(DATE(設定!$C$2,設定!$D$2,1),0))),"",DATE(設定!$C$2,設定!$D$2,21))</f>
        <v/>
      </c>
      <c r="B271" s="16">
        <f>IF($A271="","",INDEX(設定!$O$6:$O$12,WEEKDAY($A271,1)))</f>
        <v/>
      </c>
      <c r="C271" s="16">
        <f>IF($A271="","",助理班表!$A13)</f>
        <v/>
      </c>
      <c r="D271" s="16">
        <f>IF($C271="","",助理班表!$B13)</f>
        <v/>
      </c>
      <c r="E271" s="16">
        <f>IF($C271="","",助理班表!$D13)</f>
        <v/>
      </c>
      <c r="F271" s="16">
        <f>IF($C271="","",助理班表!$C13)</f>
        <v/>
      </c>
      <c r="G271" s="16">
        <f>IF($C271="","",助理班表!Y13)</f>
        <v/>
      </c>
      <c r="H271" s="83">
        <f>IF($G271="","",IFERROR(IF(INDEX(設定!$D$6:$D$21,MATCH($G271,設定!$B$6:$B$21,0))=0,"",INDEX(設定!$D$6:$D$21,MATCH($G271,設定!$B$6:$B$21,0))),""))</f>
        <v/>
      </c>
      <c r="I271" s="83">
        <f>IF($G271="","",IFERROR(IF(INDEX(設定!$E$6:$E$21,MATCH($G271,設定!$B$6:$B$21,0))=0,"",INDEX(設定!$E$6:$E$21,MATCH($G271,設定!$B$6:$B$21,0))),""))</f>
        <v/>
      </c>
      <c r="J271" s="83">
        <f>IFERROR(INDEX(打卡匯入!$C$3:$C$2002,MATCH($C271&amp;"|"&amp;DAY($A271),打卡匯入!$E$3:$E$2002,0)),"")</f>
        <v/>
      </c>
      <c r="K271" s="83">
        <f>IFERROR(INDEX(打卡匯入!$D$3:$D$2002,MATCH($C271&amp;"|"&amp;DAY($A271),打卡匯入!$E$3:$E$2002,0)),"")</f>
        <v/>
      </c>
      <c r="L271" s="84">
        <f>IF(OR($J271="",$K271=""),"",IFERROR(INDEX(設定!$F$6:$F$21,MATCH($G271,設定!$B$6:$B$21,0)),0))</f>
        <v/>
      </c>
      <c r="M271" s="85">
        <f>IF(OR($J271="",$K271=""),"",ROUND(($K271-$J271)*24-$L271/60,2))</f>
        <v/>
      </c>
      <c r="N271" s="16">
        <f>IF($C271="","",IF(AND(COUNTIF(設定!$B$15:$B$21,$G271)&gt;0,$J271&lt;&gt;""),"假日出勤",IF(AND(COUNTIF(設定!$B$6:$B$14,$G271)&gt;0,$J271=""),"未打卡",IF($J271="","",IF($O271&gt;0,"遲到",IF($P271&gt;0,"早退","正常"))))))</f>
        <v/>
      </c>
      <c r="O271" s="84">
        <f>IF(OR($C271="",$H271="",$J271=""),0,IF(ROUND(($J271-$H271)*1440,0)&gt;設定!$C$46,ROUND(($J271-$H271)*1440,0),0))</f>
        <v/>
      </c>
      <c r="P271" s="84">
        <f>IF(OR($C271="",$I271="",$K271=""),0,IF(ROUND(($I271-$K271)*1440,0)&gt;設定!$C$46,ROUND(($I271-$K271)*1440,0),0))</f>
        <v/>
      </c>
      <c r="Q271" s="85">
        <f>IF($M271="",0,IF(($M271-IFERROR(INDEX(設定!$G$6:$G$21,MATCH($G271,設定!$B$6:$B$21,0)),0))*60&gt;=設定!$C$44,ROUND(FLOOR(($M271-IFERROR(INDEX(設定!$G$6:$G$21,MATCH($G271,設定!$B$6:$B$21,0)),0))*60,設定!$C$45)/60,2),0))</f>
        <v/>
      </c>
      <c r="R271" s="16">
        <f>IF(OR($C271="",$Q271=0),"",IF($G271="國","國定假日",IF($B271="日","例假",IF($B271="六","休息日","平日"))))</f>
        <v/>
      </c>
      <c r="S271" s="19" t="n"/>
    </row>
    <row r="272">
      <c r="A272" s="82">
        <f>IF(OR(助理班表!$A13="",22&gt;DAY(EOMONTH(DATE(設定!$C$2,設定!$D$2,1),0))),"",DATE(設定!$C$2,設定!$D$2,22))</f>
        <v/>
      </c>
      <c r="B272" s="16">
        <f>IF($A272="","",INDEX(設定!$O$6:$O$12,WEEKDAY($A272,1)))</f>
        <v/>
      </c>
      <c r="C272" s="16">
        <f>IF($A272="","",助理班表!$A13)</f>
        <v/>
      </c>
      <c r="D272" s="16">
        <f>IF($C272="","",助理班表!$B13)</f>
        <v/>
      </c>
      <c r="E272" s="16">
        <f>IF($C272="","",助理班表!$D13)</f>
        <v/>
      </c>
      <c r="F272" s="16">
        <f>IF($C272="","",助理班表!$C13)</f>
        <v/>
      </c>
      <c r="G272" s="16">
        <f>IF($C272="","",助理班表!Z13)</f>
        <v/>
      </c>
      <c r="H272" s="83">
        <f>IF($G272="","",IFERROR(IF(INDEX(設定!$D$6:$D$21,MATCH($G272,設定!$B$6:$B$21,0))=0,"",INDEX(設定!$D$6:$D$21,MATCH($G272,設定!$B$6:$B$21,0))),""))</f>
        <v/>
      </c>
      <c r="I272" s="83">
        <f>IF($G272="","",IFERROR(IF(INDEX(設定!$E$6:$E$21,MATCH($G272,設定!$B$6:$B$21,0))=0,"",INDEX(設定!$E$6:$E$21,MATCH($G272,設定!$B$6:$B$21,0))),""))</f>
        <v/>
      </c>
      <c r="J272" s="83">
        <f>IFERROR(INDEX(打卡匯入!$C$3:$C$2002,MATCH($C272&amp;"|"&amp;DAY($A272),打卡匯入!$E$3:$E$2002,0)),"")</f>
        <v/>
      </c>
      <c r="K272" s="83">
        <f>IFERROR(INDEX(打卡匯入!$D$3:$D$2002,MATCH($C272&amp;"|"&amp;DAY($A272),打卡匯入!$E$3:$E$2002,0)),"")</f>
        <v/>
      </c>
      <c r="L272" s="84">
        <f>IF(OR($J272="",$K272=""),"",IFERROR(INDEX(設定!$F$6:$F$21,MATCH($G272,設定!$B$6:$B$21,0)),0))</f>
        <v/>
      </c>
      <c r="M272" s="85">
        <f>IF(OR($J272="",$K272=""),"",ROUND(($K272-$J272)*24-$L272/60,2))</f>
        <v/>
      </c>
      <c r="N272" s="16">
        <f>IF($C272="","",IF(AND(COUNTIF(設定!$B$15:$B$21,$G272)&gt;0,$J272&lt;&gt;""),"假日出勤",IF(AND(COUNTIF(設定!$B$6:$B$14,$G272)&gt;0,$J272=""),"未打卡",IF($J272="","",IF($O272&gt;0,"遲到",IF($P272&gt;0,"早退","正常"))))))</f>
        <v/>
      </c>
      <c r="O272" s="84">
        <f>IF(OR($C272="",$H272="",$J272=""),0,IF(ROUND(($J272-$H272)*1440,0)&gt;設定!$C$46,ROUND(($J272-$H272)*1440,0),0))</f>
        <v/>
      </c>
      <c r="P272" s="84">
        <f>IF(OR($C272="",$I272="",$K272=""),0,IF(ROUND(($I272-$K272)*1440,0)&gt;設定!$C$46,ROUND(($I272-$K272)*1440,0),0))</f>
        <v/>
      </c>
      <c r="Q272" s="85">
        <f>IF($M272="",0,IF(($M272-IFERROR(INDEX(設定!$G$6:$G$21,MATCH($G272,設定!$B$6:$B$21,0)),0))*60&gt;=設定!$C$44,ROUND(FLOOR(($M272-IFERROR(INDEX(設定!$G$6:$G$21,MATCH($G272,設定!$B$6:$B$21,0)),0))*60,設定!$C$45)/60,2),0))</f>
        <v/>
      </c>
      <c r="R272" s="16">
        <f>IF(OR($C272="",$Q272=0),"",IF($G272="國","國定假日",IF($B272="日","例假",IF($B272="六","休息日","平日"))))</f>
        <v/>
      </c>
      <c r="S272" s="19" t="n"/>
    </row>
    <row r="273">
      <c r="A273" s="82">
        <f>IF(OR(助理班表!$A13="",23&gt;DAY(EOMONTH(DATE(設定!$C$2,設定!$D$2,1),0))),"",DATE(設定!$C$2,設定!$D$2,23))</f>
        <v/>
      </c>
      <c r="B273" s="16">
        <f>IF($A273="","",INDEX(設定!$O$6:$O$12,WEEKDAY($A273,1)))</f>
        <v/>
      </c>
      <c r="C273" s="16">
        <f>IF($A273="","",助理班表!$A13)</f>
        <v/>
      </c>
      <c r="D273" s="16">
        <f>IF($C273="","",助理班表!$B13)</f>
        <v/>
      </c>
      <c r="E273" s="16">
        <f>IF($C273="","",助理班表!$D13)</f>
        <v/>
      </c>
      <c r="F273" s="16">
        <f>IF($C273="","",助理班表!$C13)</f>
        <v/>
      </c>
      <c r="G273" s="16">
        <f>IF($C273="","",助理班表!AA13)</f>
        <v/>
      </c>
      <c r="H273" s="83">
        <f>IF($G273="","",IFERROR(IF(INDEX(設定!$D$6:$D$21,MATCH($G273,設定!$B$6:$B$21,0))=0,"",INDEX(設定!$D$6:$D$21,MATCH($G273,設定!$B$6:$B$21,0))),""))</f>
        <v/>
      </c>
      <c r="I273" s="83">
        <f>IF($G273="","",IFERROR(IF(INDEX(設定!$E$6:$E$21,MATCH($G273,設定!$B$6:$B$21,0))=0,"",INDEX(設定!$E$6:$E$21,MATCH($G273,設定!$B$6:$B$21,0))),""))</f>
        <v/>
      </c>
      <c r="J273" s="83">
        <f>IFERROR(INDEX(打卡匯入!$C$3:$C$2002,MATCH($C273&amp;"|"&amp;DAY($A273),打卡匯入!$E$3:$E$2002,0)),"")</f>
        <v/>
      </c>
      <c r="K273" s="83">
        <f>IFERROR(INDEX(打卡匯入!$D$3:$D$2002,MATCH($C273&amp;"|"&amp;DAY($A273),打卡匯入!$E$3:$E$2002,0)),"")</f>
        <v/>
      </c>
      <c r="L273" s="84">
        <f>IF(OR($J273="",$K273=""),"",IFERROR(INDEX(設定!$F$6:$F$21,MATCH($G273,設定!$B$6:$B$21,0)),0))</f>
        <v/>
      </c>
      <c r="M273" s="85">
        <f>IF(OR($J273="",$K273=""),"",ROUND(($K273-$J273)*24-$L273/60,2))</f>
        <v/>
      </c>
      <c r="N273" s="16">
        <f>IF($C273="","",IF(AND(COUNTIF(設定!$B$15:$B$21,$G273)&gt;0,$J273&lt;&gt;""),"假日出勤",IF(AND(COUNTIF(設定!$B$6:$B$14,$G273)&gt;0,$J273=""),"未打卡",IF($J273="","",IF($O273&gt;0,"遲到",IF($P273&gt;0,"早退","正常"))))))</f>
        <v/>
      </c>
      <c r="O273" s="84">
        <f>IF(OR($C273="",$H273="",$J273=""),0,IF(ROUND(($J273-$H273)*1440,0)&gt;設定!$C$46,ROUND(($J273-$H273)*1440,0),0))</f>
        <v/>
      </c>
      <c r="P273" s="84">
        <f>IF(OR($C273="",$I273="",$K273=""),0,IF(ROUND(($I273-$K273)*1440,0)&gt;設定!$C$46,ROUND(($I273-$K273)*1440,0),0))</f>
        <v/>
      </c>
      <c r="Q273" s="85">
        <f>IF($M273="",0,IF(($M273-IFERROR(INDEX(設定!$G$6:$G$21,MATCH($G273,設定!$B$6:$B$21,0)),0))*60&gt;=設定!$C$44,ROUND(FLOOR(($M273-IFERROR(INDEX(設定!$G$6:$G$21,MATCH($G273,設定!$B$6:$B$21,0)),0))*60,設定!$C$45)/60,2),0))</f>
        <v/>
      </c>
      <c r="R273" s="16">
        <f>IF(OR($C273="",$Q273=0),"",IF($G273="國","國定假日",IF($B273="日","例假",IF($B273="六","休息日","平日"))))</f>
        <v/>
      </c>
      <c r="S273" s="19" t="n"/>
    </row>
    <row r="274">
      <c r="A274" s="82">
        <f>IF(OR(助理班表!$A13="",24&gt;DAY(EOMONTH(DATE(設定!$C$2,設定!$D$2,1),0))),"",DATE(設定!$C$2,設定!$D$2,24))</f>
        <v/>
      </c>
      <c r="B274" s="16">
        <f>IF($A274="","",INDEX(設定!$O$6:$O$12,WEEKDAY($A274,1)))</f>
        <v/>
      </c>
      <c r="C274" s="16">
        <f>IF($A274="","",助理班表!$A13)</f>
        <v/>
      </c>
      <c r="D274" s="16">
        <f>IF($C274="","",助理班表!$B13)</f>
        <v/>
      </c>
      <c r="E274" s="16">
        <f>IF($C274="","",助理班表!$D13)</f>
        <v/>
      </c>
      <c r="F274" s="16">
        <f>IF($C274="","",助理班表!$C13)</f>
        <v/>
      </c>
      <c r="G274" s="16">
        <f>IF($C274="","",助理班表!AB13)</f>
        <v/>
      </c>
      <c r="H274" s="83">
        <f>IF($G274="","",IFERROR(IF(INDEX(設定!$D$6:$D$21,MATCH($G274,設定!$B$6:$B$21,0))=0,"",INDEX(設定!$D$6:$D$21,MATCH($G274,設定!$B$6:$B$21,0))),""))</f>
        <v/>
      </c>
      <c r="I274" s="83">
        <f>IF($G274="","",IFERROR(IF(INDEX(設定!$E$6:$E$21,MATCH($G274,設定!$B$6:$B$21,0))=0,"",INDEX(設定!$E$6:$E$21,MATCH($G274,設定!$B$6:$B$21,0))),""))</f>
        <v/>
      </c>
      <c r="J274" s="83">
        <f>IFERROR(INDEX(打卡匯入!$C$3:$C$2002,MATCH($C274&amp;"|"&amp;DAY($A274),打卡匯入!$E$3:$E$2002,0)),"")</f>
        <v/>
      </c>
      <c r="K274" s="83">
        <f>IFERROR(INDEX(打卡匯入!$D$3:$D$2002,MATCH($C274&amp;"|"&amp;DAY($A274),打卡匯入!$E$3:$E$2002,0)),"")</f>
        <v/>
      </c>
      <c r="L274" s="84">
        <f>IF(OR($J274="",$K274=""),"",IFERROR(INDEX(設定!$F$6:$F$21,MATCH($G274,設定!$B$6:$B$21,0)),0))</f>
        <v/>
      </c>
      <c r="M274" s="85">
        <f>IF(OR($J274="",$K274=""),"",ROUND(($K274-$J274)*24-$L274/60,2))</f>
        <v/>
      </c>
      <c r="N274" s="16">
        <f>IF($C274="","",IF(AND(COUNTIF(設定!$B$15:$B$21,$G274)&gt;0,$J274&lt;&gt;""),"假日出勤",IF(AND(COUNTIF(設定!$B$6:$B$14,$G274)&gt;0,$J274=""),"未打卡",IF($J274="","",IF($O274&gt;0,"遲到",IF($P274&gt;0,"早退","正常"))))))</f>
        <v/>
      </c>
      <c r="O274" s="84">
        <f>IF(OR($C274="",$H274="",$J274=""),0,IF(ROUND(($J274-$H274)*1440,0)&gt;設定!$C$46,ROUND(($J274-$H274)*1440,0),0))</f>
        <v/>
      </c>
      <c r="P274" s="84">
        <f>IF(OR($C274="",$I274="",$K274=""),0,IF(ROUND(($I274-$K274)*1440,0)&gt;設定!$C$46,ROUND(($I274-$K274)*1440,0),0))</f>
        <v/>
      </c>
      <c r="Q274" s="85">
        <f>IF($M274="",0,IF(($M274-IFERROR(INDEX(設定!$G$6:$G$21,MATCH($G274,設定!$B$6:$B$21,0)),0))*60&gt;=設定!$C$44,ROUND(FLOOR(($M274-IFERROR(INDEX(設定!$G$6:$G$21,MATCH($G274,設定!$B$6:$B$21,0)),0))*60,設定!$C$45)/60,2),0))</f>
        <v/>
      </c>
      <c r="R274" s="16">
        <f>IF(OR($C274="",$Q274=0),"",IF($G274="國","國定假日",IF($B274="日","例假",IF($B274="六","休息日","平日"))))</f>
        <v/>
      </c>
      <c r="S274" s="19" t="n"/>
    </row>
    <row r="275">
      <c r="A275" s="82">
        <f>IF(OR(助理班表!$A13="",25&gt;DAY(EOMONTH(DATE(設定!$C$2,設定!$D$2,1),0))),"",DATE(設定!$C$2,設定!$D$2,25))</f>
        <v/>
      </c>
      <c r="B275" s="16">
        <f>IF($A275="","",INDEX(設定!$O$6:$O$12,WEEKDAY($A275,1)))</f>
        <v/>
      </c>
      <c r="C275" s="16">
        <f>IF($A275="","",助理班表!$A13)</f>
        <v/>
      </c>
      <c r="D275" s="16">
        <f>IF($C275="","",助理班表!$B13)</f>
        <v/>
      </c>
      <c r="E275" s="16">
        <f>IF($C275="","",助理班表!$D13)</f>
        <v/>
      </c>
      <c r="F275" s="16">
        <f>IF($C275="","",助理班表!$C13)</f>
        <v/>
      </c>
      <c r="G275" s="16">
        <f>IF($C275="","",助理班表!AC13)</f>
        <v/>
      </c>
      <c r="H275" s="83">
        <f>IF($G275="","",IFERROR(IF(INDEX(設定!$D$6:$D$21,MATCH($G275,設定!$B$6:$B$21,0))=0,"",INDEX(設定!$D$6:$D$21,MATCH($G275,設定!$B$6:$B$21,0))),""))</f>
        <v/>
      </c>
      <c r="I275" s="83">
        <f>IF($G275="","",IFERROR(IF(INDEX(設定!$E$6:$E$21,MATCH($G275,設定!$B$6:$B$21,0))=0,"",INDEX(設定!$E$6:$E$21,MATCH($G275,設定!$B$6:$B$21,0))),""))</f>
        <v/>
      </c>
      <c r="J275" s="83">
        <f>IFERROR(INDEX(打卡匯入!$C$3:$C$2002,MATCH($C275&amp;"|"&amp;DAY($A275),打卡匯入!$E$3:$E$2002,0)),"")</f>
        <v/>
      </c>
      <c r="K275" s="83">
        <f>IFERROR(INDEX(打卡匯入!$D$3:$D$2002,MATCH($C275&amp;"|"&amp;DAY($A275),打卡匯入!$E$3:$E$2002,0)),"")</f>
        <v/>
      </c>
      <c r="L275" s="84">
        <f>IF(OR($J275="",$K275=""),"",IFERROR(INDEX(設定!$F$6:$F$21,MATCH($G275,設定!$B$6:$B$21,0)),0))</f>
        <v/>
      </c>
      <c r="M275" s="85">
        <f>IF(OR($J275="",$K275=""),"",ROUND(($K275-$J275)*24-$L275/60,2))</f>
        <v/>
      </c>
      <c r="N275" s="16">
        <f>IF($C275="","",IF(AND(COUNTIF(設定!$B$15:$B$21,$G275)&gt;0,$J275&lt;&gt;""),"假日出勤",IF(AND(COUNTIF(設定!$B$6:$B$14,$G275)&gt;0,$J275=""),"未打卡",IF($J275="","",IF($O275&gt;0,"遲到",IF($P275&gt;0,"早退","正常"))))))</f>
        <v/>
      </c>
      <c r="O275" s="84">
        <f>IF(OR($C275="",$H275="",$J275=""),0,IF(ROUND(($J275-$H275)*1440,0)&gt;設定!$C$46,ROUND(($J275-$H275)*1440,0),0))</f>
        <v/>
      </c>
      <c r="P275" s="84">
        <f>IF(OR($C275="",$I275="",$K275=""),0,IF(ROUND(($I275-$K275)*1440,0)&gt;設定!$C$46,ROUND(($I275-$K275)*1440,0),0))</f>
        <v/>
      </c>
      <c r="Q275" s="85">
        <f>IF($M275="",0,IF(($M275-IFERROR(INDEX(設定!$G$6:$G$21,MATCH($G275,設定!$B$6:$B$21,0)),0))*60&gt;=設定!$C$44,ROUND(FLOOR(($M275-IFERROR(INDEX(設定!$G$6:$G$21,MATCH($G275,設定!$B$6:$B$21,0)),0))*60,設定!$C$45)/60,2),0))</f>
        <v/>
      </c>
      <c r="R275" s="16">
        <f>IF(OR($C275="",$Q275=0),"",IF($G275="國","國定假日",IF($B275="日","例假",IF($B275="六","休息日","平日"))))</f>
        <v/>
      </c>
      <c r="S275" s="19" t="n"/>
    </row>
    <row r="276">
      <c r="A276" s="82">
        <f>IF(OR(助理班表!$A13="",26&gt;DAY(EOMONTH(DATE(設定!$C$2,設定!$D$2,1),0))),"",DATE(設定!$C$2,設定!$D$2,26))</f>
        <v/>
      </c>
      <c r="B276" s="16">
        <f>IF($A276="","",INDEX(設定!$O$6:$O$12,WEEKDAY($A276,1)))</f>
        <v/>
      </c>
      <c r="C276" s="16">
        <f>IF($A276="","",助理班表!$A13)</f>
        <v/>
      </c>
      <c r="D276" s="16">
        <f>IF($C276="","",助理班表!$B13)</f>
        <v/>
      </c>
      <c r="E276" s="16">
        <f>IF($C276="","",助理班表!$D13)</f>
        <v/>
      </c>
      <c r="F276" s="16">
        <f>IF($C276="","",助理班表!$C13)</f>
        <v/>
      </c>
      <c r="G276" s="16">
        <f>IF($C276="","",助理班表!AD13)</f>
        <v/>
      </c>
      <c r="H276" s="83">
        <f>IF($G276="","",IFERROR(IF(INDEX(設定!$D$6:$D$21,MATCH($G276,設定!$B$6:$B$21,0))=0,"",INDEX(設定!$D$6:$D$21,MATCH($G276,設定!$B$6:$B$21,0))),""))</f>
        <v/>
      </c>
      <c r="I276" s="83">
        <f>IF($G276="","",IFERROR(IF(INDEX(設定!$E$6:$E$21,MATCH($G276,設定!$B$6:$B$21,0))=0,"",INDEX(設定!$E$6:$E$21,MATCH($G276,設定!$B$6:$B$21,0))),""))</f>
        <v/>
      </c>
      <c r="J276" s="83">
        <f>IFERROR(INDEX(打卡匯入!$C$3:$C$2002,MATCH($C276&amp;"|"&amp;DAY($A276),打卡匯入!$E$3:$E$2002,0)),"")</f>
        <v/>
      </c>
      <c r="K276" s="83">
        <f>IFERROR(INDEX(打卡匯入!$D$3:$D$2002,MATCH($C276&amp;"|"&amp;DAY($A276),打卡匯入!$E$3:$E$2002,0)),"")</f>
        <v/>
      </c>
      <c r="L276" s="84">
        <f>IF(OR($J276="",$K276=""),"",IFERROR(INDEX(設定!$F$6:$F$21,MATCH($G276,設定!$B$6:$B$21,0)),0))</f>
        <v/>
      </c>
      <c r="M276" s="85">
        <f>IF(OR($J276="",$K276=""),"",ROUND(($K276-$J276)*24-$L276/60,2))</f>
        <v/>
      </c>
      <c r="N276" s="16">
        <f>IF($C276="","",IF(AND(COUNTIF(設定!$B$15:$B$21,$G276)&gt;0,$J276&lt;&gt;""),"假日出勤",IF(AND(COUNTIF(設定!$B$6:$B$14,$G276)&gt;0,$J276=""),"未打卡",IF($J276="","",IF($O276&gt;0,"遲到",IF($P276&gt;0,"早退","正常"))))))</f>
        <v/>
      </c>
      <c r="O276" s="84">
        <f>IF(OR($C276="",$H276="",$J276=""),0,IF(ROUND(($J276-$H276)*1440,0)&gt;設定!$C$46,ROUND(($J276-$H276)*1440,0),0))</f>
        <v/>
      </c>
      <c r="P276" s="84">
        <f>IF(OR($C276="",$I276="",$K276=""),0,IF(ROUND(($I276-$K276)*1440,0)&gt;設定!$C$46,ROUND(($I276-$K276)*1440,0),0))</f>
        <v/>
      </c>
      <c r="Q276" s="85">
        <f>IF($M276="",0,IF(($M276-IFERROR(INDEX(設定!$G$6:$G$21,MATCH($G276,設定!$B$6:$B$21,0)),0))*60&gt;=設定!$C$44,ROUND(FLOOR(($M276-IFERROR(INDEX(設定!$G$6:$G$21,MATCH($G276,設定!$B$6:$B$21,0)),0))*60,設定!$C$45)/60,2),0))</f>
        <v/>
      </c>
      <c r="R276" s="16">
        <f>IF(OR($C276="",$Q276=0),"",IF($G276="國","國定假日",IF($B276="日","例假",IF($B276="六","休息日","平日"))))</f>
        <v/>
      </c>
      <c r="S276" s="19" t="n"/>
    </row>
    <row r="277">
      <c r="A277" s="82">
        <f>IF(OR(助理班表!$A13="",27&gt;DAY(EOMONTH(DATE(設定!$C$2,設定!$D$2,1),0))),"",DATE(設定!$C$2,設定!$D$2,27))</f>
        <v/>
      </c>
      <c r="B277" s="16">
        <f>IF($A277="","",INDEX(設定!$O$6:$O$12,WEEKDAY($A277,1)))</f>
        <v/>
      </c>
      <c r="C277" s="16">
        <f>IF($A277="","",助理班表!$A13)</f>
        <v/>
      </c>
      <c r="D277" s="16">
        <f>IF($C277="","",助理班表!$B13)</f>
        <v/>
      </c>
      <c r="E277" s="16">
        <f>IF($C277="","",助理班表!$D13)</f>
        <v/>
      </c>
      <c r="F277" s="16">
        <f>IF($C277="","",助理班表!$C13)</f>
        <v/>
      </c>
      <c r="G277" s="16">
        <f>IF($C277="","",助理班表!AE13)</f>
        <v/>
      </c>
      <c r="H277" s="83">
        <f>IF($G277="","",IFERROR(IF(INDEX(設定!$D$6:$D$21,MATCH($G277,設定!$B$6:$B$21,0))=0,"",INDEX(設定!$D$6:$D$21,MATCH($G277,設定!$B$6:$B$21,0))),""))</f>
        <v/>
      </c>
      <c r="I277" s="83">
        <f>IF($G277="","",IFERROR(IF(INDEX(設定!$E$6:$E$21,MATCH($G277,設定!$B$6:$B$21,0))=0,"",INDEX(設定!$E$6:$E$21,MATCH($G277,設定!$B$6:$B$21,0))),""))</f>
        <v/>
      </c>
      <c r="J277" s="83">
        <f>IFERROR(INDEX(打卡匯入!$C$3:$C$2002,MATCH($C277&amp;"|"&amp;DAY($A277),打卡匯入!$E$3:$E$2002,0)),"")</f>
        <v/>
      </c>
      <c r="K277" s="83">
        <f>IFERROR(INDEX(打卡匯入!$D$3:$D$2002,MATCH($C277&amp;"|"&amp;DAY($A277),打卡匯入!$E$3:$E$2002,0)),"")</f>
        <v/>
      </c>
      <c r="L277" s="84">
        <f>IF(OR($J277="",$K277=""),"",IFERROR(INDEX(設定!$F$6:$F$21,MATCH($G277,設定!$B$6:$B$21,0)),0))</f>
        <v/>
      </c>
      <c r="M277" s="85">
        <f>IF(OR($J277="",$K277=""),"",ROUND(($K277-$J277)*24-$L277/60,2))</f>
        <v/>
      </c>
      <c r="N277" s="16">
        <f>IF($C277="","",IF(AND(COUNTIF(設定!$B$15:$B$21,$G277)&gt;0,$J277&lt;&gt;""),"假日出勤",IF(AND(COUNTIF(設定!$B$6:$B$14,$G277)&gt;0,$J277=""),"未打卡",IF($J277="","",IF($O277&gt;0,"遲到",IF($P277&gt;0,"早退","正常"))))))</f>
        <v/>
      </c>
      <c r="O277" s="84">
        <f>IF(OR($C277="",$H277="",$J277=""),0,IF(ROUND(($J277-$H277)*1440,0)&gt;設定!$C$46,ROUND(($J277-$H277)*1440,0),0))</f>
        <v/>
      </c>
      <c r="P277" s="84">
        <f>IF(OR($C277="",$I277="",$K277=""),0,IF(ROUND(($I277-$K277)*1440,0)&gt;設定!$C$46,ROUND(($I277-$K277)*1440,0),0))</f>
        <v/>
      </c>
      <c r="Q277" s="85">
        <f>IF($M277="",0,IF(($M277-IFERROR(INDEX(設定!$G$6:$G$21,MATCH($G277,設定!$B$6:$B$21,0)),0))*60&gt;=設定!$C$44,ROUND(FLOOR(($M277-IFERROR(INDEX(設定!$G$6:$G$21,MATCH($G277,設定!$B$6:$B$21,0)),0))*60,設定!$C$45)/60,2),0))</f>
        <v/>
      </c>
      <c r="R277" s="16">
        <f>IF(OR($C277="",$Q277=0),"",IF($G277="國","國定假日",IF($B277="日","例假",IF($B277="六","休息日","平日"))))</f>
        <v/>
      </c>
      <c r="S277" s="19" t="n"/>
    </row>
    <row r="278">
      <c r="A278" s="82">
        <f>IF(OR(助理班表!$A13="",28&gt;DAY(EOMONTH(DATE(設定!$C$2,設定!$D$2,1),0))),"",DATE(設定!$C$2,設定!$D$2,28))</f>
        <v/>
      </c>
      <c r="B278" s="16">
        <f>IF($A278="","",INDEX(設定!$O$6:$O$12,WEEKDAY($A278,1)))</f>
        <v/>
      </c>
      <c r="C278" s="16">
        <f>IF($A278="","",助理班表!$A13)</f>
        <v/>
      </c>
      <c r="D278" s="16">
        <f>IF($C278="","",助理班表!$B13)</f>
        <v/>
      </c>
      <c r="E278" s="16">
        <f>IF($C278="","",助理班表!$D13)</f>
        <v/>
      </c>
      <c r="F278" s="16">
        <f>IF($C278="","",助理班表!$C13)</f>
        <v/>
      </c>
      <c r="G278" s="16">
        <f>IF($C278="","",助理班表!AF13)</f>
        <v/>
      </c>
      <c r="H278" s="83">
        <f>IF($G278="","",IFERROR(IF(INDEX(設定!$D$6:$D$21,MATCH($G278,設定!$B$6:$B$21,0))=0,"",INDEX(設定!$D$6:$D$21,MATCH($G278,設定!$B$6:$B$21,0))),""))</f>
        <v/>
      </c>
      <c r="I278" s="83">
        <f>IF($G278="","",IFERROR(IF(INDEX(設定!$E$6:$E$21,MATCH($G278,設定!$B$6:$B$21,0))=0,"",INDEX(設定!$E$6:$E$21,MATCH($G278,設定!$B$6:$B$21,0))),""))</f>
        <v/>
      </c>
      <c r="J278" s="83">
        <f>IFERROR(INDEX(打卡匯入!$C$3:$C$2002,MATCH($C278&amp;"|"&amp;DAY($A278),打卡匯入!$E$3:$E$2002,0)),"")</f>
        <v/>
      </c>
      <c r="K278" s="83">
        <f>IFERROR(INDEX(打卡匯入!$D$3:$D$2002,MATCH($C278&amp;"|"&amp;DAY($A278),打卡匯入!$E$3:$E$2002,0)),"")</f>
        <v/>
      </c>
      <c r="L278" s="84">
        <f>IF(OR($J278="",$K278=""),"",IFERROR(INDEX(設定!$F$6:$F$21,MATCH($G278,設定!$B$6:$B$21,0)),0))</f>
        <v/>
      </c>
      <c r="M278" s="85">
        <f>IF(OR($J278="",$K278=""),"",ROUND(($K278-$J278)*24-$L278/60,2))</f>
        <v/>
      </c>
      <c r="N278" s="16">
        <f>IF($C278="","",IF(AND(COUNTIF(設定!$B$15:$B$21,$G278)&gt;0,$J278&lt;&gt;""),"假日出勤",IF(AND(COUNTIF(設定!$B$6:$B$14,$G278)&gt;0,$J278=""),"未打卡",IF($J278="","",IF($O278&gt;0,"遲到",IF($P278&gt;0,"早退","正常"))))))</f>
        <v/>
      </c>
      <c r="O278" s="84">
        <f>IF(OR($C278="",$H278="",$J278=""),0,IF(ROUND(($J278-$H278)*1440,0)&gt;設定!$C$46,ROUND(($J278-$H278)*1440,0),0))</f>
        <v/>
      </c>
      <c r="P278" s="84">
        <f>IF(OR($C278="",$I278="",$K278=""),0,IF(ROUND(($I278-$K278)*1440,0)&gt;設定!$C$46,ROUND(($I278-$K278)*1440,0),0))</f>
        <v/>
      </c>
      <c r="Q278" s="85">
        <f>IF($M278="",0,IF(($M278-IFERROR(INDEX(設定!$G$6:$G$21,MATCH($G278,設定!$B$6:$B$21,0)),0))*60&gt;=設定!$C$44,ROUND(FLOOR(($M278-IFERROR(INDEX(設定!$G$6:$G$21,MATCH($G278,設定!$B$6:$B$21,0)),0))*60,設定!$C$45)/60,2),0))</f>
        <v/>
      </c>
      <c r="R278" s="16">
        <f>IF(OR($C278="",$Q278=0),"",IF($G278="國","國定假日",IF($B278="日","例假",IF($B278="六","休息日","平日"))))</f>
        <v/>
      </c>
      <c r="S278" s="19" t="n"/>
    </row>
    <row r="279">
      <c r="A279" s="82">
        <f>IF(OR(助理班表!$A13="",29&gt;DAY(EOMONTH(DATE(設定!$C$2,設定!$D$2,1),0))),"",DATE(設定!$C$2,設定!$D$2,29))</f>
        <v/>
      </c>
      <c r="B279" s="16">
        <f>IF($A279="","",INDEX(設定!$O$6:$O$12,WEEKDAY($A279,1)))</f>
        <v/>
      </c>
      <c r="C279" s="16">
        <f>IF($A279="","",助理班表!$A13)</f>
        <v/>
      </c>
      <c r="D279" s="16">
        <f>IF($C279="","",助理班表!$B13)</f>
        <v/>
      </c>
      <c r="E279" s="16">
        <f>IF($C279="","",助理班表!$D13)</f>
        <v/>
      </c>
      <c r="F279" s="16">
        <f>IF($C279="","",助理班表!$C13)</f>
        <v/>
      </c>
      <c r="G279" s="16">
        <f>IF($C279="","",助理班表!AG13)</f>
        <v/>
      </c>
      <c r="H279" s="83">
        <f>IF($G279="","",IFERROR(IF(INDEX(設定!$D$6:$D$21,MATCH($G279,設定!$B$6:$B$21,0))=0,"",INDEX(設定!$D$6:$D$21,MATCH($G279,設定!$B$6:$B$21,0))),""))</f>
        <v/>
      </c>
      <c r="I279" s="83">
        <f>IF($G279="","",IFERROR(IF(INDEX(設定!$E$6:$E$21,MATCH($G279,設定!$B$6:$B$21,0))=0,"",INDEX(設定!$E$6:$E$21,MATCH($G279,設定!$B$6:$B$21,0))),""))</f>
        <v/>
      </c>
      <c r="J279" s="83">
        <f>IFERROR(INDEX(打卡匯入!$C$3:$C$2002,MATCH($C279&amp;"|"&amp;DAY($A279),打卡匯入!$E$3:$E$2002,0)),"")</f>
        <v/>
      </c>
      <c r="K279" s="83">
        <f>IFERROR(INDEX(打卡匯入!$D$3:$D$2002,MATCH($C279&amp;"|"&amp;DAY($A279),打卡匯入!$E$3:$E$2002,0)),"")</f>
        <v/>
      </c>
      <c r="L279" s="84">
        <f>IF(OR($J279="",$K279=""),"",IFERROR(INDEX(設定!$F$6:$F$21,MATCH($G279,設定!$B$6:$B$21,0)),0))</f>
        <v/>
      </c>
      <c r="M279" s="85">
        <f>IF(OR($J279="",$K279=""),"",ROUND(($K279-$J279)*24-$L279/60,2))</f>
        <v/>
      </c>
      <c r="N279" s="16">
        <f>IF($C279="","",IF(AND(COUNTIF(設定!$B$15:$B$21,$G279)&gt;0,$J279&lt;&gt;""),"假日出勤",IF(AND(COUNTIF(設定!$B$6:$B$14,$G279)&gt;0,$J279=""),"未打卡",IF($J279="","",IF($O279&gt;0,"遲到",IF($P279&gt;0,"早退","正常"))))))</f>
        <v/>
      </c>
      <c r="O279" s="84">
        <f>IF(OR($C279="",$H279="",$J279=""),0,IF(ROUND(($J279-$H279)*1440,0)&gt;設定!$C$46,ROUND(($J279-$H279)*1440,0),0))</f>
        <v/>
      </c>
      <c r="P279" s="84">
        <f>IF(OR($C279="",$I279="",$K279=""),0,IF(ROUND(($I279-$K279)*1440,0)&gt;設定!$C$46,ROUND(($I279-$K279)*1440,0),0))</f>
        <v/>
      </c>
      <c r="Q279" s="85">
        <f>IF($M279="",0,IF(($M279-IFERROR(INDEX(設定!$G$6:$G$21,MATCH($G279,設定!$B$6:$B$21,0)),0))*60&gt;=設定!$C$44,ROUND(FLOOR(($M279-IFERROR(INDEX(設定!$G$6:$G$21,MATCH($G279,設定!$B$6:$B$21,0)),0))*60,設定!$C$45)/60,2),0))</f>
        <v/>
      </c>
      <c r="R279" s="16">
        <f>IF(OR($C279="",$Q279=0),"",IF($G279="國","國定假日",IF($B279="日","例假",IF($B279="六","休息日","平日"))))</f>
        <v/>
      </c>
      <c r="S279" s="19" t="n"/>
    </row>
    <row r="280">
      <c r="A280" s="82">
        <f>IF(OR(助理班表!$A13="",30&gt;DAY(EOMONTH(DATE(設定!$C$2,設定!$D$2,1),0))),"",DATE(設定!$C$2,設定!$D$2,30))</f>
        <v/>
      </c>
      <c r="B280" s="16">
        <f>IF($A280="","",INDEX(設定!$O$6:$O$12,WEEKDAY($A280,1)))</f>
        <v/>
      </c>
      <c r="C280" s="16">
        <f>IF($A280="","",助理班表!$A13)</f>
        <v/>
      </c>
      <c r="D280" s="16">
        <f>IF($C280="","",助理班表!$B13)</f>
        <v/>
      </c>
      <c r="E280" s="16">
        <f>IF($C280="","",助理班表!$D13)</f>
        <v/>
      </c>
      <c r="F280" s="16">
        <f>IF($C280="","",助理班表!$C13)</f>
        <v/>
      </c>
      <c r="G280" s="16">
        <f>IF($C280="","",助理班表!AH13)</f>
        <v/>
      </c>
      <c r="H280" s="83">
        <f>IF($G280="","",IFERROR(IF(INDEX(設定!$D$6:$D$21,MATCH($G280,設定!$B$6:$B$21,0))=0,"",INDEX(設定!$D$6:$D$21,MATCH($G280,設定!$B$6:$B$21,0))),""))</f>
        <v/>
      </c>
      <c r="I280" s="83">
        <f>IF($G280="","",IFERROR(IF(INDEX(設定!$E$6:$E$21,MATCH($G280,設定!$B$6:$B$21,0))=0,"",INDEX(設定!$E$6:$E$21,MATCH($G280,設定!$B$6:$B$21,0))),""))</f>
        <v/>
      </c>
      <c r="J280" s="83">
        <f>IFERROR(INDEX(打卡匯入!$C$3:$C$2002,MATCH($C280&amp;"|"&amp;DAY($A280),打卡匯入!$E$3:$E$2002,0)),"")</f>
        <v/>
      </c>
      <c r="K280" s="83">
        <f>IFERROR(INDEX(打卡匯入!$D$3:$D$2002,MATCH($C280&amp;"|"&amp;DAY($A280),打卡匯入!$E$3:$E$2002,0)),"")</f>
        <v/>
      </c>
      <c r="L280" s="84">
        <f>IF(OR($J280="",$K280=""),"",IFERROR(INDEX(設定!$F$6:$F$21,MATCH($G280,設定!$B$6:$B$21,0)),0))</f>
        <v/>
      </c>
      <c r="M280" s="85">
        <f>IF(OR($J280="",$K280=""),"",ROUND(($K280-$J280)*24-$L280/60,2))</f>
        <v/>
      </c>
      <c r="N280" s="16">
        <f>IF($C280="","",IF(AND(COUNTIF(設定!$B$15:$B$21,$G280)&gt;0,$J280&lt;&gt;""),"假日出勤",IF(AND(COUNTIF(設定!$B$6:$B$14,$G280)&gt;0,$J280=""),"未打卡",IF($J280="","",IF($O280&gt;0,"遲到",IF($P280&gt;0,"早退","正常"))))))</f>
        <v/>
      </c>
      <c r="O280" s="84">
        <f>IF(OR($C280="",$H280="",$J280=""),0,IF(ROUND(($J280-$H280)*1440,0)&gt;設定!$C$46,ROUND(($J280-$H280)*1440,0),0))</f>
        <v/>
      </c>
      <c r="P280" s="84">
        <f>IF(OR($C280="",$I280="",$K280=""),0,IF(ROUND(($I280-$K280)*1440,0)&gt;設定!$C$46,ROUND(($I280-$K280)*1440,0),0))</f>
        <v/>
      </c>
      <c r="Q280" s="85">
        <f>IF($M280="",0,IF(($M280-IFERROR(INDEX(設定!$G$6:$G$21,MATCH($G280,設定!$B$6:$B$21,0)),0))*60&gt;=設定!$C$44,ROUND(FLOOR(($M280-IFERROR(INDEX(設定!$G$6:$G$21,MATCH($G280,設定!$B$6:$B$21,0)),0))*60,設定!$C$45)/60,2),0))</f>
        <v/>
      </c>
      <c r="R280" s="16">
        <f>IF(OR($C280="",$Q280=0),"",IF($G280="國","國定假日",IF($B280="日","例假",IF($B280="六","休息日","平日"))))</f>
        <v/>
      </c>
      <c r="S280" s="19" t="n"/>
    </row>
    <row r="281">
      <c r="A281" s="82">
        <f>IF(OR(助理班表!$A13="",31&gt;DAY(EOMONTH(DATE(設定!$C$2,設定!$D$2,1),0))),"",DATE(設定!$C$2,設定!$D$2,31))</f>
        <v/>
      </c>
      <c r="B281" s="16">
        <f>IF($A281="","",INDEX(設定!$O$6:$O$12,WEEKDAY($A281,1)))</f>
        <v/>
      </c>
      <c r="C281" s="16">
        <f>IF($A281="","",助理班表!$A13)</f>
        <v/>
      </c>
      <c r="D281" s="16">
        <f>IF($C281="","",助理班表!$B13)</f>
        <v/>
      </c>
      <c r="E281" s="16">
        <f>IF($C281="","",助理班表!$D13)</f>
        <v/>
      </c>
      <c r="F281" s="16">
        <f>IF($C281="","",助理班表!$C13)</f>
        <v/>
      </c>
      <c r="G281" s="16">
        <f>IF($C281="","",助理班表!AI13)</f>
        <v/>
      </c>
      <c r="H281" s="83">
        <f>IF($G281="","",IFERROR(IF(INDEX(設定!$D$6:$D$21,MATCH($G281,設定!$B$6:$B$21,0))=0,"",INDEX(設定!$D$6:$D$21,MATCH($G281,設定!$B$6:$B$21,0))),""))</f>
        <v/>
      </c>
      <c r="I281" s="83">
        <f>IF($G281="","",IFERROR(IF(INDEX(設定!$E$6:$E$21,MATCH($G281,設定!$B$6:$B$21,0))=0,"",INDEX(設定!$E$6:$E$21,MATCH($G281,設定!$B$6:$B$21,0))),""))</f>
        <v/>
      </c>
      <c r="J281" s="83">
        <f>IFERROR(INDEX(打卡匯入!$C$3:$C$2002,MATCH($C281&amp;"|"&amp;DAY($A281),打卡匯入!$E$3:$E$2002,0)),"")</f>
        <v/>
      </c>
      <c r="K281" s="83">
        <f>IFERROR(INDEX(打卡匯入!$D$3:$D$2002,MATCH($C281&amp;"|"&amp;DAY($A281),打卡匯入!$E$3:$E$2002,0)),"")</f>
        <v/>
      </c>
      <c r="L281" s="84">
        <f>IF(OR($J281="",$K281=""),"",IFERROR(INDEX(設定!$F$6:$F$21,MATCH($G281,設定!$B$6:$B$21,0)),0))</f>
        <v/>
      </c>
      <c r="M281" s="85">
        <f>IF(OR($J281="",$K281=""),"",ROUND(($K281-$J281)*24-$L281/60,2))</f>
        <v/>
      </c>
      <c r="N281" s="16">
        <f>IF($C281="","",IF(AND(COUNTIF(設定!$B$15:$B$21,$G281)&gt;0,$J281&lt;&gt;""),"假日出勤",IF(AND(COUNTIF(設定!$B$6:$B$14,$G281)&gt;0,$J281=""),"未打卡",IF($J281="","",IF($O281&gt;0,"遲到",IF($P281&gt;0,"早退","正常"))))))</f>
        <v/>
      </c>
      <c r="O281" s="84">
        <f>IF(OR($C281="",$H281="",$J281=""),0,IF(ROUND(($J281-$H281)*1440,0)&gt;設定!$C$46,ROUND(($J281-$H281)*1440,0),0))</f>
        <v/>
      </c>
      <c r="P281" s="84">
        <f>IF(OR($C281="",$I281="",$K281=""),0,IF(ROUND(($I281-$K281)*1440,0)&gt;設定!$C$46,ROUND(($I281-$K281)*1440,0),0))</f>
        <v/>
      </c>
      <c r="Q281" s="85">
        <f>IF($M281="",0,IF(($M281-IFERROR(INDEX(設定!$G$6:$G$21,MATCH($G281,設定!$B$6:$B$21,0)),0))*60&gt;=設定!$C$44,ROUND(FLOOR(($M281-IFERROR(INDEX(設定!$G$6:$G$21,MATCH($G281,設定!$B$6:$B$21,0)),0))*60,設定!$C$45)/60,2),0))</f>
        <v/>
      </c>
      <c r="R281" s="16">
        <f>IF(OR($C281="",$Q281=0),"",IF($G281="國","國定假日",IF($B281="日","例假",IF($B281="六","休息日","平日"))))</f>
        <v/>
      </c>
      <c r="S281" s="19" t="n"/>
    </row>
    <row r="282">
      <c r="A282" s="82">
        <f>IF(OR(助理班表!$A14="",1&gt;DAY(EOMONTH(DATE(設定!$C$2,設定!$D$2,1),0))),"",DATE(設定!$C$2,設定!$D$2,1))</f>
        <v/>
      </c>
      <c r="B282" s="16">
        <f>IF($A282="","",INDEX(設定!$O$6:$O$12,WEEKDAY($A282,1)))</f>
        <v/>
      </c>
      <c r="C282" s="16">
        <f>IF($A282="","",助理班表!$A14)</f>
        <v/>
      </c>
      <c r="D282" s="16">
        <f>IF($C282="","",助理班表!$B14)</f>
        <v/>
      </c>
      <c r="E282" s="16">
        <f>IF($C282="","",助理班表!$D14)</f>
        <v/>
      </c>
      <c r="F282" s="16">
        <f>IF($C282="","",助理班表!$C14)</f>
        <v/>
      </c>
      <c r="G282" s="16">
        <f>IF($C282="","",助理班表!E14)</f>
        <v/>
      </c>
      <c r="H282" s="83">
        <f>IF($G282="","",IFERROR(IF(INDEX(設定!$D$6:$D$21,MATCH($G282,設定!$B$6:$B$21,0))=0,"",INDEX(設定!$D$6:$D$21,MATCH($G282,設定!$B$6:$B$21,0))),""))</f>
        <v/>
      </c>
      <c r="I282" s="83">
        <f>IF($G282="","",IFERROR(IF(INDEX(設定!$E$6:$E$21,MATCH($G282,設定!$B$6:$B$21,0))=0,"",INDEX(設定!$E$6:$E$21,MATCH($G282,設定!$B$6:$B$21,0))),""))</f>
        <v/>
      </c>
      <c r="J282" s="83">
        <f>IFERROR(INDEX(打卡匯入!$C$3:$C$2002,MATCH($C282&amp;"|"&amp;DAY($A282),打卡匯入!$E$3:$E$2002,0)),"")</f>
        <v/>
      </c>
      <c r="K282" s="83">
        <f>IFERROR(INDEX(打卡匯入!$D$3:$D$2002,MATCH($C282&amp;"|"&amp;DAY($A282),打卡匯入!$E$3:$E$2002,0)),"")</f>
        <v/>
      </c>
      <c r="L282" s="84">
        <f>IF(OR($J282="",$K282=""),"",IFERROR(INDEX(設定!$F$6:$F$21,MATCH($G282,設定!$B$6:$B$21,0)),0))</f>
        <v/>
      </c>
      <c r="M282" s="85">
        <f>IF(OR($J282="",$K282=""),"",ROUND(($K282-$J282)*24-$L282/60,2))</f>
        <v/>
      </c>
      <c r="N282" s="16">
        <f>IF($C282="","",IF(AND(COUNTIF(設定!$B$15:$B$21,$G282)&gt;0,$J282&lt;&gt;""),"假日出勤",IF(AND(COUNTIF(設定!$B$6:$B$14,$G282)&gt;0,$J282=""),"未打卡",IF($J282="","",IF($O282&gt;0,"遲到",IF($P282&gt;0,"早退","正常"))))))</f>
        <v/>
      </c>
      <c r="O282" s="84">
        <f>IF(OR($C282="",$H282="",$J282=""),0,IF(ROUND(($J282-$H282)*1440,0)&gt;設定!$C$46,ROUND(($J282-$H282)*1440,0),0))</f>
        <v/>
      </c>
      <c r="P282" s="84">
        <f>IF(OR($C282="",$I282="",$K282=""),0,IF(ROUND(($I282-$K282)*1440,0)&gt;設定!$C$46,ROUND(($I282-$K282)*1440,0),0))</f>
        <v/>
      </c>
      <c r="Q282" s="85">
        <f>IF($M282="",0,IF(($M282-IFERROR(INDEX(設定!$G$6:$G$21,MATCH($G282,設定!$B$6:$B$21,0)),0))*60&gt;=設定!$C$44,ROUND(FLOOR(($M282-IFERROR(INDEX(設定!$G$6:$G$21,MATCH($G282,設定!$B$6:$B$21,0)),0))*60,設定!$C$45)/60,2),0))</f>
        <v/>
      </c>
      <c r="R282" s="16">
        <f>IF(OR($C282="",$Q282=0),"",IF($G282="國","國定假日",IF($B282="日","例假",IF($B282="六","休息日","平日"))))</f>
        <v/>
      </c>
      <c r="S282" s="19" t="n"/>
    </row>
    <row r="283">
      <c r="A283" s="82">
        <f>IF(OR(助理班表!$A14="",2&gt;DAY(EOMONTH(DATE(設定!$C$2,設定!$D$2,1),0))),"",DATE(設定!$C$2,設定!$D$2,2))</f>
        <v/>
      </c>
      <c r="B283" s="16">
        <f>IF($A283="","",INDEX(設定!$O$6:$O$12,WEEKDAY($A283,1)))</f>
        <v/>
      </c>
      <c r="C283" s="16">
        <f>IF($A283="","",助理班表!$A14)</f>
        <v/>
      </c>
      <c r="D283" s="16">
        <f>IF($C283="","",助理班表!$B14)</f>
        <v/>
      </c>
      <c r="E283" s="16">
        <f>IF($C283="","",助理班表!$D14)</f>
        <v/>
      </c>
      <c r="F283" s="16">
        <f>IF($C283="","",助理班表!$C14)</f>
        <v/>
      </c>
      <c r="G283" s="16">
        <f>IF($C283="","",助理班表!F14)</f>
        <v/>
      </c>
      <c r="H283" s="83">
        <f>IF($G283="","",IFERROR(IF(INDEX(設定!$D$6:$D$21,MATCH($G283,設定!$B$6:$B$21,0))=0,"",INDEX(設定!$D$6:$D$21,MATCH($G283,設定!$B$6:$B$21,0))),""))</f>
        <v/>
      </c>
      <c r="I283" s="83">
        <f>IF($G283="","",IFERROR(IF(INDEX(設定!$E$6:$E$21,MATCH($G283,設定!$B$6:$B$21,0))=0,"",INDEX(設定!$E$6:$E$21,MATCH($G283,設定!$B$6:$B$21,0))),""))</f>
        <v/>
      </c>
      <c r="J283" s="83">
        <f>IFERROR(INDEX(打卡匯入!$C$3:$C$2002,MATCH($C283&amp;"|"&amp;DAY($A283),打卡匯入!$E$3:$E$2002,0)),"")</f>
        <v/>
      </c>
      <c r="K283" s="83">
        <f>IFERROR(INDEX(打卡匯入!$D$3:$D$2002,MATCH($C283&amp;"|"&amp;DAY($A283),打卡匯入!$E$3:$E$2002,0)),"")</f>
        <v/>
      </c>
      <c r="L283" s="84">
        <f>IF(OR($J283="",$K283=""),"",IFERROR(INDEX(設定!$F$6:$F$21,MATCH($G283,設定!$B$6:$B$21,0)),0))</f>
        <v/>
      </c>
      <c r="M283" s="85">
        <f>IF(OR($J283="",$K283=""),"",ROUND(($K283-$J283)*24-$L283/60,2))</f>
        <v/>
      </c>
      <c r="N283" s="16">
        <f>IF($C283="","",IF(AND(COUNTIF(設定!$B$15:$B$21,$G283)&gt;0,$J283&lt;&gt;""),"假日出勤",IF(AND(COUNTIF(設定!$B$6:$B$14,$G283)&gt;0,$J283=""),"未打卡",IF($J283="","",IF($O283&gt;0,"遲到",IF($P283&gt;0,"早退","正常"))))))</f>
        <v/>
      </c>
      <c r="O283" s="84">
        <f>IF(OR($C283="",$H283="",$J283=""),0,IF(ROUND(($J283-$H283)*1440,0)&gt;設定!$C$46,ROUND(($J283-$H283)*1440,0),0))</f>
        <v/>
      </c>
      <c r="P283" s="84">
        <f>IF(OR($C283="",$I283="",$K283=""),0,IF(ROUND(($I283-$K283)*1440,0)&gt;設定!$C$46,ROUND(($I283-$K283)*1440,0),0))</f>
        <v/>
      </c>
      <c r="Q283" s="85">
        <f>IF($M283="",0,IF(($M283-IFERROR(INDEX(設定!$G$6:$G$21,MATCH($G283,設定!$B$6:$B$21,0)),0))*60&gt;=設定!$C$44,ROUND(FLOOR(($M283-IFERROR(INDEX(設定!$G$6:$G$21,MATCH($G283,設定!$B$6:$B$21,0)),0))*60,設定!$C$45)/60,2),0))</f>
        <v/>
      </c>
      <c r="R283" s="16">
        <f>IF(OR($C283="",$Q283=0),"",IF($G283="國","國定假日",IF($B283="日","例假",IF($B283="六","休息日","平日"))))</f>
        <v/>
      </c>
      <c r="S283" s="19" t="n"/>
    </row>
    <row r="284">
      <c r="A284" s="82">
        <f>IF(OR(助理班表!$A14="",3&gt;DAY(EOMONTH(DATE(設定!$C$2,設定!$D$2,1),0))),"",DATE(設定!$C$2,設定!$D$2,3))</f>
        <v/>
      </c>
      <c r="B284" s="16">
        <f>IF($A284="","",INDEX(設定!$O$6:$O$12,WEEKDAY($A284,1)))</f>
        <v/>
      </c>
      <c r="C284" s="16">
        <f>IF($A284="","",助理班表!$A14)</f>
        <v/>
      </c>
      <c r="D284" s="16">
        <f>IF($C284="","",助理班表!$B14)</f>
        <v/>
      </c>
      <c r="E284" s="16">
        <f>IF($C284="","",助理班表!$D14)</f>
        <v/>
      </c>
      <c r="F284" s="16">
        <f>IF($C284="","",助理班表!$C14)</f>
        <v/>
      </c>
      <c r="G284" s="16">
        <f>IF($C284="","",助理班表!G14)</f>
        <v/>
      </c>
      <c r="H284" s="83">
        <f>IF($G284="","",IFERROR(IF(INDEX(設定!$D$6:$D$21,MATCH($G284,設定!$B$6:$B$21,0))=0,"",INDEX(設定!$D$6:$D$21,MATCH($G284,設定!$B$6:$B$21,0))),""))</f>
        <v/>
      </c>
      <c r="I284" s="83">
        <f>IF($G284="","",IFERROR(IF(INDEX(設定!$E$6:$E$21,MATCH($G284,設定!$B$6:$B$21,0))=0,"",INDEX(設定!$E$6:$E$21,MATCH($G284,設定!$B$6:$B$21,0))),""))</f>
        <v/>
      </c>
      <c r="J284" s="83">
        <f>IFERROR(INDEX(打卡匯入!$C$3:$C$2002,MATCH($C284&amp;"|"&amp;DAY($A284),打卡匯入!$E$3:$E$2002,0)),"")</f>
        <v/>
      </c>
      <c r="K284" s="83">
        <f>IFERROR(INDEX(打卡匯入!$D$3:$D$2002,MATCH($C284&amp;"|"&amp;DAY($A284),打卡匯入!$E$3:$E$2002,0)),"")</f>
        <v/>
      </c>
      <c r="L284" s="84">
        <f>IF(OR($J284="",$K284=""),"",IFERROR(INDEX(設定!$F$6:$F$21,MATCH($G284,設定!$B$6:$B$21,0)),0))</f>
        <v/>
      </c>
      <c r="M284" s="85">
        <f>IF(OR($J284="",$K284=""),"",ROUND(($K284-$J284)*24-$L284/60,2))</f>
        <v/>
      </c>
      <c r="N284" s="16">
        <f>IF($C284="","",IF(AND(COUNTIF(設定!$B$15:$B$21,$G284)&gt;0,$J284&lt;&gt;""),"假日出勤",IF(AND(COUNTIF(設定!$B$6:$B$14,$G284)&gt;0,$J284=""),"未打卡",IF($J284="","",IF($O284&gt;0,"遲到",IF($P284&gt;0,"早退","正常"))))))</f>
        <v/>
      </c>
      <c r="O284" s="84">
        <f>IF(OR($C284="",$H284="",$J284=""),0,IF(ROUND(($J284-$H284)*1440,0)&gt;設定!$C$46,ROUND(($J284-$H284)*1440,0),0))</f>
        <v/>
      </c>
      <c r="P284" s="84">
        <f>IF(OR($C284="",$I284="",$K284=""),0,IF(ROUND(($I284-$K284)*1440,0)&gt;設定!$C$46,ROUND(($I284-$K284)*1440,0),0))</f>
        <v/>
      </c>
      <c r="Q284" s="85">
        <f>IF($M284="",0,IF(($M284-IFERROR(INDEX(設定!$G$6:$G$21,MATCH($G284,設定!$B$6:$B$21,0)),0))*60&gt;=設定!$C$44,ROUND(FLOOR(($M284-IFERROR(INDEX(設定!$G$6:$G$21,MATCH($G284,設定!$B$6:$B$21,0)),0))*60,設定!$C$45)/60,2),0))</f>
        <v/>
      </c>
      <c r="R284" s="16">
        <f>IF(OR($C284="",$Q284=0),"",IF($G284="國","國定假日",IF($B284="日","例假",IF($B284="六","休息日","平日"))))</f>
        <v/>
      </c>
      <c r="S284" s="19" t="n"/>
    </row>
    <row r="285">
      <c r="A285" s="82">
        <f>IF(OR(助理班表!$A14="",4&gt;DAY(EOMONTH(DATE(設定!$C$2,設定!$D$2,1),0))),"",DATE(設定!$C$2,設定!$D$2,4))</f>
        <v/>
      </c>
      <c r="B285" s="16">
        <f>IF($A285="","",INDEX(設定!$O$6:$O$12,WEEKDAY($A285,1)))</f>
        <v/>
      </c>
      <c r="C285" s="16">
        <f>IF($A285="","",助理班表!$A14)</f>
        <v/>
      </c>
      <c r="D285" s="16">
        <f>IF($C285="","",助理班表!$B14)</f>
        <v/>
      </c>
      <c r="E285" s="16">
        <f>IF($C285="","",助理班表!$D14)</f>
        <v/>
      </c>
      <c r="F285" s="16">
        <f>IF($C285="","",助理班表!$C14)</f>
        <v/>
      </c>
      <c r="G285" s="16">
        <f>IF($C285="","",助理班表!H14)</f>
        <v/>
      </c>
      <c r="H285" s="83">
        <f>IF($G285="","",IFERROR(IF(INDEX(設定!$D$6:$D$21,MATCH($G285,設定!$B$6:$B$21,0))=0,"",INDEX(設定!$D$6:$D$21,MATCH($G285,設定!$B$6:$B$21,0))),""))</f>
        <v/>
      </c>
      <c r="I285" s="83">
        <f>IF($G285="","",IFERROR(IF(INDEX(設定!$E$6:$E$21,MATCH($G285,設定!$B$6:$B$21,0))=0,"",INDEX(設定!$E$6:$E$21,MATCH($G285,設定!$B$6:$B$21,0))),""))</f>
        <v/>
      </c>
      <c r="J285" s="83">
        <f>IFERROR(INDEX(打卡匯入!$C$3:$C$2002,MATCH($C285&amp;"|"&amp;DAY($A285),打卡匯入!$E$3:$E$2002,0)),"")</f>
        <v/>
      </c>
      <c r="K285" s="83">
        <f>IFERROR(INDEX(打卡匯入!$D$3:$D$2002,MATCH($C285&amp;"|"&amp;DAY($A285),打卡匯入!$E$3:$E$2002,0)),"")</f>
        <v/>
      </c>
      <c r="L285" s="84">
        <f>IF(OR($J285="",$K285=""),"",IFERROR(INDEX(設定!$F$6:$F$21,MATCH($G285,設定!$B$6:$B$21,0)),0))</f>
        <v/>
      </c>
      <c r="M285" s="85">
        <f>IF(OR($J285="",$K285=""),"",ROUND(($K285-$J285)*24-$L285/60,2))</f>
        <v/>
      </c>
      <c r="N285" s="16">
        <f>IF($C285="","",IF(AND(COUNTIF(設定!$B$15:$B$21,$G285)&gt;0,$J285&lt;&gt;""),"假日出勤",IF(AND(COUNTIF(設定!$B$6:$B$14,$G285)&gt;0,$J285=""),"未打卡",IF($J285="","",IF($O285&gt;0,"遲到",IF($P285&gt;0,"早退","正常"))))))</f>
        <v/>
      </c>
      <c r="O285" s="84">
        <f>IF(OR($C285="",$H285="",$J285=""),0,IF(ROUND(($J285-$H285)*1440,0)&gt;設定!$C$46,ROUND(($J285-$H285)*1440,0),0))</f>
        <v/>
      </c>
      <c r="P285" s="84">
        <f>IF(OR($C285="",$I285="",$K285=""),0,IF(ROUND(($I285-$K285)*1440,0)&gt;設定!$C$46,ROUND(($I285-$K285)*1440,0),0))</f>
        <v/>
      </c>
      <c r="Q285" s="85">
        <f>IF($M285="",0,IF(($M285-IFERROR(INDEX(設定!$G$6:$G$21,MATCH($G285,設定!$B$6:$B$21,0)),0))*60&gt;=設定!$C$44,ROUND(FLOOR(($M285-IFERROR(INDEX(設定!$G$6:$G$21,MATCH($G285,設定!$B$6:$B$21,0)),0))*60,設定!$C$45)/60,2),0))</f>
        <v/>
      </c>
      <c r="R285" s="16">
        <f>IF(OR($C285="",$Q285=0),"",IF($G285="國","國定假日",IF($B285="日","例假",IF($B285="六","休息日","平日"))))</f>
        <v/>
      </c>
      <c r="S285" s="19" t="n"/>
    </row>
    <row r="286">
      <c r="A286" s="82">
        <f>IF(OR(助理班表!$A14="",5&gt;DAY(EOMONTH(DATE(設定!$C$2,設定!$D$2,1),0))),"",DATE(設定!$C$2,設定!$D$2,5))</f>
        <v/>
      </c>
      <c r="B286" s="16">
        <f>IF($A286="","",INDEX(設定!$O$6:$O$12,WEEKDAY($A286,1)))</f>
        <v/>
      </c>
      <c r="C286" s="16">
        <f>IF($A286="","",助理班表!$A14)</f>
        <v/>
      </c>
      <c r="D286" s="16">
        <f>IF($C286="","",助理班表!$B14)</f>
        <v/>
      </c>
      <c r="E286" s="16">
        <f>IF($C286="","",助理班表!$D14)</f>
        <v/>
      </c>
      <c r="F286" s="16">
        <f>IF($C286="","",助理班表!$C14)</f>
        <v/>
      </c>
      <c r="G286" s="16">
        <f>IF($C286="","",助理班表!I14)</f>
        <v/>
      </c>
      <c r="H286" s="83">
        <f>IF($G286="","",IFERROR(IF(INDEX(設定!$D$6:$D$21,MATCH($G286,設定!$B$6:$B$21,0))=0,"",INDEX(設定!$D$6:$D$21,MATCH($G286,設定!$B$6:$B$21,0))),""))</f>
        <v/>
      </c>
      <c r="I286" s="83">
        <f>IF($G286="","",IFERROR(IF(INDEX(設定!$E$6:$E$21,MATCH($G286,設定!$B$6:$B$21,0))=0,"",INDEX(設定!$E$6:$E$21,MATCH($G286,設定!$B$6:$B$21,0))),""))</f>
        <v/>
      </c>
      <c r="J286" s="83">
        <f>IFERROR(INDEX(打卡匯入!$C$3:$C$2002,MATCH($C286&amp;"|"&amp;DAY($A286),打卡匯入!$E$3:$E$2002,0)),"")</f>
        <v/>
      </c>
      <c r="K286" s="83">
        <f>IFERROR(INDEX(打卡匯入!$D$3:$D$2002,MATCH($C286&amp;"|"&amp;DAY($A286),打卡匯入!$E$3:$E$2002,0)),"")</f>
        <v/>
      </c>
      <c r="L286" s="84">
        <f>IF(OR($J286="",$K286=""),"",IFERROR(INDEX(設定!$F$6:$F$21,MATCH($G286,設定!$B$6:$B$21,0)),0))</f>
        <v/>
      </c>
      <c r="M286" s="85">
        <f>IF(OR($J286="",$K286=""),"",ROUND(($K286-$J286)*24-$L286/60,2))</f>
        <v/>
      </c>
      <c r="N286" s="16">
        <f>IF($C286="","",IF(AND(COUNTIF(設定!$B$15:$B$21,$G286)&gt;0,$J286&lt;&gt;""),"假日出勤",IF(AND(COUNTIF(設定!$B$6:$B$14,$G286)&gt;0,$J286=""),"未打卡",IF($J286="","",IF($O286&gt;0,"遲到",IF($P286&gt;0,"早退","正常"))))))</f>
        <v/>
      </c>
      <c r="O286" s="84">
        <f>IF(OR($C286="",$H286="",$J286=""),0,IF(ROUND(($J286-$H286)*1440,0)&gt;設定!$C$46,ROUND(($J286-$H286)*1440,0),0))</f>
        <v/>
      </c>
      <c r="P286" s="84">
        <f>IF(OR($C286="",$I286="",$K286=""),0,IF(ROUND(($I286-$K286)*1440,0)&gt;設定!$C$46,ROUND(($I286-$K286)*1440,0),0))</f>
        <v/>
      </c>
      <c r="Q286" s="85">
        <f>IF($M286="",0,IF(($M286-IFERROR(INDEX(設定!$G$6:$G$21,MATCH($G286,設定!$B$6:$B$21,0)),0))*60&gt;=設定!$C$44,ROUND(FLOOR(($M286-IFERROR(INDEX(設定!$G$6:$G$21,MATCH($G286,設定!$B$6:$B$21,0)),0))*60,設定!$C$45)/60,2),0))</f>
        <v/>
      </c>
      <c r="R286" s="16">
        <f>IF(OR($C286="",$Q286=0),"",IF($G286="國","國定假日",IF($B286="日","例假",IF($B286="六","休息日","平日"))))</f>
        <v/>
      </c>
      <c r="S286" s="19" t="n"/>
    </row>
    <row r="287">
      <c r="A287" s="82">
        <f>IF(OR(助理班表!$A14="",6&gt;DAY(EOMONTH(DATE(設定!$C$2,設定!$D$2,1),0))),"",DATE(設定!$C$2,設定!$D$2,6))</f>
        <v/>
      </c>
      <c r="B287" s="16">
        <f>IF($A287="","",INDEX(設定!$O$6:$O$12,WEEKDAY($A287,1)))</f>
        <v/>
      </c>
      <c r="C287" s="16">
        <f>IF($A287="","",助理班表!$A14)</f>
        <v/>
      </c>
      <c r="D287" s="16">
        <f>IF($C287="","",助理班表!$B14)</f>
        <v/>
      </c>
      <c r="E287" s="16">
        <f>IF($C287="","",助理班表!$D14)</f>
        <v/>
      </c>
      <c r="F287" s="16">
        <f>IF($C287="","",助理班表!$C14)</f>
        <v/>
      </c>
      <c r="G287" s="16">
        <f>IF($C287="","",助理班表!J14)</f>
        <v/>
      </c>
      <c r="H287" s="83">
        <f>IF($G287="","",IFERROR(IF(INDEX(設定!$D$6:$D$21,MATCH($G287,設定!$B$6:$B$21,0))=0,"",INDEX(設定!$D$6:$D$21,MATCH($G287,設定!$B$6:$B$21,0))),""))</f>
        <v/>
      </c>
      <c r="I287" s="83">
        <f>IF($G287="","",IFERROR(IF(INDEX(設定!$E$6:$E$21,MATCH($G287,設定!$B$6:$B$21,0))=0,"",INDEX(設定!$E$6:$E$21,MATCH($G287,設定!$B$6:$B$21,0))),""))</f>
        <v/>
      </c>
      <c r="J287" s="83">
        <f>IFERROR(INDEX(打卡匯入!$C$3:$C$2002,MATCH($C287&amp;"|"&amp;DAY($A287),打卡匯入!$E$3:$E$2002,0)),"")</f>
        <v/>
      </c>
      <c r="K287" s="83">
        <f>IFERROR(INDEX(打卡匯入!$D$3:$D$2002,MATCH($C287&amp;"|"&amp;DAY($A287),打卡匯入!$E$3:$E$2002,0)),"")</f>
        <v/>
      </c>
      <c r="L287" s="84">
        <f>IF(OR($J287="",$K287=""),"",IFERROR(INDEX(設定!$F$6:$F$21,MATCH($G287,設定!$B$6:$B$21,0)),0))</f>
        <v/>
      </c>
      <c r="M287" s="85">
        <f>IF(OR($J287="",$K287=""),"",ROUND(($K287-$J287)*24-$L287/60,2))</f>
        <v/>
      </c>
      <c r="N287" s="16">
        <f>IF($C287="","",IF(AND(COUNTIF(設定!$B$15:$B$21,$G287)&gt;0,$J287&lt;&gt;""),"假日出勤",IF(AND(COUNTIF(設定!$B$6:$B$14,$G287)&gt;0,$J287=""),"未打卡",IF($J287="","",IF($O287&gt;0,"遲到",IF($P287&gt;0,"早退","正常"))))))</f>
        <v/>
      </c>
      <c r="O287" s="84">
        <f>IF(OR($C287="",$H287="",$J287=""),0,IF(ROUND(($J287-$H287)*1440,0)&gt;設定!$C$46,ROUND(($J287-$H287)*1440,0),0))</f>
        <v/>
      </c>
      <c r="P287" s="84">
        <f>IF(OR($C287="",$I287="",$K287=""),0,IF(ROUND(($I287-$K287)*1440,0)&gt;設定!$C$46,ROUND(($I287-$K287)*1440,0),0))</f>
        <v/>
      </c>
      <c r="Q287" s="85">
        <f>IF($M287="",0,IF(($M287-IFERROR(INDEX(設定!$G$6:$G$21,MATCH($G287,設定!$B$6:$B$21,0)),0))*60&gt;=設定!$C$44,ROUND(FLOOR(($M287-IFERROR(INDEX(設定!$G$6:$G$21,MATCH($G287,設定!$B$6:$B$21,0)),0))*60,設定!$C$45)/60,2),0))</f>
        <v/>
      </c>
      <c r="R287" s="16">
        <f>IF(OR($C287="",$Q287=0),"",IF($G287="國","國定假日",IF($B287="日","例假",IF($B287="六","休息日","平日"))))</f>
        <v/>
      </c>
      <c r="S287" s="19" t="n"/>
    </row>
    <row r="288">
      <c r="A288" s="82">
        <f>IF(OR(助理班表!$A14="",7&gt;DAY(EOMONTH(DATE(設定!$C$2,設定!$D$2,1),0))),"",DATE(設定!$C$2,設定!$D$2,7))</f>
        <v/>
      </c>
      <c r="B288" s="16">
        <f>IF($A288="","",INDEX(設定!$O$6:$O$12,WEEKDAY($A288,1)))</f>
        <v/>
      </c>
      <c r="C288" s="16">
        <f>IF($A288="","",助理班表!$A14)</f>
        <v/>
      </c>
      <c r="D288" s="16">
        <f>IF($C288="","",助理班表!$B14)</f>
        <v/>
      </c>
      <c r="E288" s="16">
        <f>IF($C288="","",助理班表!$D14)</f>
        <v/>
      </c>
      <c r="F288" s="16">
        <f>IF($C288="","",助理班表!$C14)</f>
        <v/>
      </c>
      <c r="G288" s="16">
        <f>IF($C288="","",助理班表!K14)</f>
        <v/>
      </c>
      <c r="H288" s="83">
        <f>IF($G288="","",IFERROR(IF(INDEX(設定!$D$6:$D$21,MATCH($G288,設定!$B$6:$B$21,0))=0,"",INDEX(設定!$D$6:$D$21,MATCH($G288,設定!$B$6:$B$21,0))),""))</f>
        <v/>
      </c>
      <c r="I288" s="83">
        <f>IF($G288="","",IFERROR(IF(INDEX(設定!$E$6:$E$21,MATCH($G288,設定!$B$6:$B$21,0))=0,"",INDEX(設定!$E$6:$E$21,MATCH($G288,設定!$B$6:$B$21,0))),""))</f>
        <v/>
      </c>
      <c r="J288" s="83">
        <f>IFERROR(INDEX(打卡匯入!$C$3:$C$2002,MATCH($C288&amp;"|"&amp;DAY($A288),打卡匯入!$E$3:$E$2002,0)),"")</f>
        <v/>
      </c>
      <c r="K288" s="83">
        <f>IFERROR(INDEX(打卡匯入!$D$3:$D$2002,MATCH($C288&amp;"|"&amp;DAY($A288),打卡匯入!$E$3:$E$2002,0)),"")</f>
        <v/>
      </c>
      <c r="L288" s="84">
        <f>IF(OR($J288="",$K288=""),"",IFERROR(INDEX(設定!$F$6:$F$21,MATCH($G288,設定!$B$6:$B$21,0)),0))</f>
        <v/>
      </c>
      <c r="M288" s="85">
        <f>IF(OR($J288="",$K288=""),"",ROUND(($K288-$J288)*24-$L288/60,2))</f>
        <v/>
      </c>
      <c r="N288" s="16">
        <f>IF($C288="","",IF(AND(COUNTIF(設定!$B$15:$B$21,$G288)&gt;0,$J288&lt;&gt;""),"假日出勤",IF(AND(COUNTIF(設定!$B$6:$B$14,$G288)&gt;0,$J288=""),"未打卡",IF($J288="","",IF($O288&gt;0,"遲到",IF($P288&gt;0,"早退","正常"))))))</f>
        <v/>
      </c>
      <c r="O288" s="84">
        <f>IF(OR($C288="",$H288="",$J288=""),0,IF(ROUND(($J288-$H288)*1440,0)&gt;設定!$C$46,ROUND(($J288-$H288)*1440,0),0))</f>
        <v/>
      </c>
      <c r="P288" s="84">
        <f>IF(OR($C288="",$I288="",$K288=""),0,IF(ROUND(($I288-$K288)*1440,0)&gt;設定!$C$46,ROUND(($I288-$K288)*1440,0),0))</f>
        <v/>
      </c>
      <c r="Q288" s="85">
        <f>IF($M288="",0,IF(($M288-IFERROR(INDEX(設定!$G$6:$G$21,MATCH($G288,設定!$B$6:$B$21,0)),0))*60&gt;=設定!$C$44,ROUND(FLOOR(($M288-IFERROR(INDEX(設定!$G$6:$G$21,MATCH($G288,設定!$B$6:$B$21,0)),0))*60,設定!$C$45)/60,2),0))</f>
        <v/>
      </c>
      <c r="R288" s="16">
        <f>IF(OR($C288="",$Q288=0),"",IF($G288="國","國定假日",IF($B288="日","例假",IF($B288="六","休息日","平日"))))</f>
        <v/>
      </c>
      <c r="S288" s="19" t="n"/>
    </row>
    <row r="289">
      <c r="A289" s="82">
        <f>IF(OR(助理班表!$A14="",8&gt;DAY(EOMONTH(DATE(設定!$C$2,設定!$D$2,1),0))),"",DATE(設定!$C$2,設定!$D$2,8))</f>
        <v/>
      </c>
      <c r="B289" s="16">
        <f>IF($A289="","",INDEX(設定!$O$6:$O$12,WEEKDAY($A289,1)))</f>
        <v/>
      </c>
      <c r="C289" s="16">
        <f>IF($A289="","",助理班表!$A14)</f>
        <v/>
      </c>
      <c r="D289" s="16">
        <f>IF($C289="","",助理班表!$B14)</f>
        <v/>
      </c>
      <c r="E289" s="16">
        <f>IF($C289="","",助理班表!$D14)</f>
        <v/>
      </c>
      <c r="F289" s="16">
        <f>IF($C289="","",助理班表!$C14)</f>
        <v/>
      </c>
      <c r="G289" s="16">
        <f>IF($C289="","",助理班表!L14)</f>
        <v/>
      </c>
      <c r="H289" s="83">
        <f>IF($G289="","",IFERROR(IF(INDEX(設定!$D$6:$D$21,MATCH($G289,設定!$B$6:$B$21,0))=0,"",INDEX(設定!$D$6:$D$21,MATCH($G289,設定!$B$6:$B$21,0))),""))</f>
        <v/>
      </c>
      <c r="I289" s="83">
        <f>IF($G289="","",IFERROR(IF(INDEX(設定!$E$6:$E$21,MATCH($G289,設定!$B$6:$B$21,0))=0,"",INDEX(設定!$E$6:$E$21,MATCH($G289,設定!$B$6:$B$21,0))),""))</f>
        <v/>
      </c>
      <c r="J289" s="83">
        <f>IFERROR(INDEX(打卡匯入!$C$3:$C$2002,MATCH($C289&amp;"|"&amp;DAY($A289),打卡匯入!$E$3:$E$2002,0)),"")</f>
        <v/>
      </c>
      <c r="K289" s="83">
        <f>IFERROR(INDEX(打卡匯入!$D$3:$D$2002,MATCH($C289&amp;"|"&amp;DAY($A289),打卡匯入!$E$3:$E$2002,0)),"")</f>
        <v/>
      </c>
      <c r="L289" s="84">
        <f>IF(OR($J289="",$K289=""),"",IFERROR(INDEX(設定!$F$6:$F$21,MATCH($G289,設定!$B$6:$B$21,0)),0))</f>
        <v/>
      </c>
      <c r="M289" s="85">
        <f>IF(OR($J289="",$K289=""),"",ROUND(($K289-$J289)*24-$L289/60,2))</f>
        <v/>
      </c>
      <c r="N289" s="16">
        <f>IF($C289="","",IF(AND(COUNTIF(設定!$B$15:$B$21,$G289)&gt;0,$J289&lt;&gt;""),"假日出勤",IF(AND(COUNTIF(設定!$B$6:$B$14,$G289)&gt;0,$J289=""),"未打卡",IF($J289="","",IF($O289&gt;0,"遲到",IF($P289&gt;0,"早退","正常"))))))</f>
        <v/>
      </c>
      <c r="O289" s="84">
        <f>IF(OR($C289="",$H289="",$J289=""),0,IF(ROUND(($J289-$H289)*1440,0)&gt;設定!$C$46,ROUND(($J289-$H289)*1440,0),0))</f>
        <v/>
      </c>
      <c r="P289" s="84">
        <f>IF(OR($C289="",$I289="",$K289=""),0,IF(ROUND(($I289-$K289)*1440,0)&gt;設定!$C$46,ROUND(($I289-$K289)*1440,0),0))</f>
        <v/>
      </c>
      <c r="Q289" s="85">
        <f>IF($M289="",0,IF(($M289-IFERROR(INDEX(設定!$G$6:$G$21,MATCH($G289,設定!$B$6:$B$21,0)),0))*60&gt;=設定!$C$44,ROUND(FLOOR(($M289-IFERROR(INDEX(設定!$G$6:$G$21,MATCH($G289,設定!$B$6:$B$21,0)),0))*60,設定!$C$45)/60,2),0))</f>
        <v/>
      </c>
      <c r="R289" s="16">
        <f>IF(OR($C289="",$Q289=0),"",IF($G289="國","國定假日",IF($B289="日","例假",IF($B289="六","休息日","平日"))))</f>
        <v/>
      </c>
      <c r="S289" s="19" t="n"/>
    </row>
    <row r="290">
      <c r="A290" s="82">
        <f>IF(OR(助理班表!$A14="",9&gt;DAY(EOMONTH(DATE(設定!$C$2,設定!$D$2,1),0))),"",DATE(設定!$C$2,設定!$D$2,9))</f>
        <v/>
      </c>
      <c r="B290" s="16">
        <f>IF($A290="","",INDEX(設定!$O$6:$O$12,WEEKDAY($A290,1)))</f>
        <v/>
      </c>
      <c r="C290" s="16">
        <f>IF($A290="","",助理班表!$A14)</f>
        <v/>
      </c>
      <c r="D290" s="16">
        <f>IF($C290="","",助理班表!$B14)</f>
        <v/>
      </c>
      <c r="E290" s="16">
        <f>IF($C290="","",助理班表!$D14)</f>
        <v/>
      </c>
      <c r="F290" s="16">
        <f>IF($C290="","",助理班表!$C14)</f>
        <v/>
      </c>
      <c r="G290" s="16">
        <f>IF($C290="","",助理班表!M14)</f>
        <v/>
      </c>
      <c r="H290" s="83">
        <f>IF($G290="","",IFERROR(IF(INDEX(設定!$D$6:$D$21,MATCH($G290,設定!$B$6:$B$21,0))=0,"",INDEX(設定!$D$6:$D$21,MATCH($G290,設定!$B$6:$B$21,0))),""))</f>
        <v/>
      </c>
      <c r="I290" s="83">
        <f>IF($G290="","",IFERROR(IF(INDEX(設定!$E$6:$E$21,MATCH($G290,設定!$B$6:$B$21,0))=0,"",INDEX(設定!$E$6:$E$21,MATCH($G290,設定!$B$6:$B$21,0))),""))</f>
        <v/>
      </c>
      <c r="J290" s="83">
        <f>IFERROR(INDEX(打卡匯入!$C$3:$C$2002,MATCH($C290&amp;"|"&amp;DAY($A290),打卡匯入!$E$3:$E$2002,0)),"")</f>
        <v/>
      </c>
      <c r="K290" s="83">
        <f>IFERROR(INDEX(打卡匯入!$D$3:$D$2002,MATCH($C290&amp;"|"&amp;DAY($A290),打卡匯入!$E$3:$E$2002,0)),"")</f>
        <v/>
      </c>
      <c r="L290" s="84">
        <f>IF(OR($J290="",$K290=""),"",IFERROR(INDEX(設定!$F$6:$F$21,MATCH($G290,設定!$B$6:$B$21,0)),0))</f>
        <v/>
      </c>
      <c r="M290" s="85">
        <f>IF(OR($J290="",$K290=""),"",ROUND(($K290-$J290)*24-$L290/60,2))</f>
        <v/>
      </c>
      <c r="N290" s="16">
        <f>IF($C290="","",IF(AND(COUNTIF(設定!$B$15:$B$21,$G290)&gt;0,$J290&lt;&gt;""),"假日出勤",IF(AND(COUNTIF(設定!$B$6:$B$14,$G290)&gt;0,$J290=""),"未打卡",IF($J290="","",IF($O290&gt;0,"遲到",IF($P290&gt;0,"早退","正常"))))))</f>
        <v/>
      </c>
      <c r="O290" s="84">
        <f>IF(OR($C290="",$H290="",$J290=""),0,IF(ROUND(($J290-$H290)*1440,0)&gt;設定!$C$46,ROUND(($J290-$H290)*1440,0),0))</f>
        <v/>
      </c>
      <c r="P290" s="84">
        <f>IF(OR($C290="",$I290="",$K290=""),0,IF(ROUND(($I290-$K290)*1440,0)&gt;設定!$C$46,ROUND(($I290-$K290)*1440,0),0))</f>
        <v/>
      </c>
      <c r="Q290" s="85">
        <f>IF($M290="",0,IF(($M290-IFERROR(INDEX(設定!$G$6:$G$21,MATCH($G290,設定!$B$6:$B$21,0)),0))*60&gt;=設定!$C$44,ROUND(FLOOR(($M290-IFERROR(INDEX(設定!$G$6:$G$21,MATCH($G290,設定!$B$6:$B$21,0)),0))*60,設定!$C$45)/60,2),0))</f>
        <v/>
      </c>
      <c r="R290" s="16">
        <f>IF(OR($C290="",$Q290=0),"",IF($G290="國","國定假日",IF($B290="日","例假",IF($B290="六","休息日","平日"))))</f>
        <v/>
      </c>
      <c r="S290" s="19" t="n"/>
    </row>
    <row r="291">
      <c r="A291" s="82">
        <f>IF(OR(助理班表!$A14="",10&gt;DAY(EOMONTH(DATE(設定!$C$2,設定!$D$2,1),0))),"",DATE(設定!$C$2,設定!$D$2,10))</f>
        <v/>
      </c>
      <c r="B291" s="16">
        <f>IF($A291="","",INDEX(設定!$O$6:$O$12,WEEKDAY($A291,1)))</f>
        <v/>
      </c>
      <c r="C291" s="16">
        <f>IF($A291="","",助理班表!$A14)</f>
        <v/>
      </c>
      <c r="D291" s="16">
        <f>IF($C291="","",助理班表!$B14)</f>
        <v/>
      </c>
      <c r="E291" s="16">
        <f>IF($C291="","",助理班表!$D14)</f>
        <v/>
      </c>
      <c r="F291" s="16">
        <f>IF($C291="","",助理班表!$C14)</f>
        <v/>
      </c>
      <c r="G291" s="16">
        <f>IF($C291="","",助理班表!N14)</f>
        <v/>
      </c>
      <c r="H291" s="83">
        <f>IF($G291="","",IFERROR(IF(INDEX(設定!$D$6:$D$21,MATCH($G291,設定!$B$6:$B$21,0))=0,"",INDEX(設定!$D$6:$D$21,MATCH($G291,設定!$B$6:$B$21,0))),""))</f>
        <v/>
      </c>
      <c r="I291" s="83">
        <f>IF($G291="","",IFERROR(IF(INDEX(設定!$E$6:$E$21,MATCH($G291,設定!$B$6:$B$21,0))=0,"",INDEX(設定!$E$6:$E$21,MATCH($G291,設定!$B$6:$B$21,0))),""))</f>
        <v/>
      </c>
      <c r="J291" s="83">
        <f>IFERROR(INDEX(打卡匯入!$C$3:$C$2002,MATCH($C291&amp;"|"&amp;DAY($A291),打卡匯入!$E$3:$E$2002,0)),"")</f>
        <v/>
      </c>
      <c r="K291" s="83">
        <f>IFERROR(INDEX(打卡匯入!$D$3:$D$2002,MATCH($C291&amp;"|"&amp;DAY($A291),打卡匯入!$E$3:$E$2002,0)),"")</f>
        <v/>
      </c>
      <c r="L291" s="84">
        <f>IF(OR($J291="",$K291=""),"",IFERROR(INDEX(設定!$F$6:$F$21,MATCH($G291,設定!$B$6:$B$21,0)),0))</f>
        <v/>
      </c>
      <c r="M291" s="85">
        <f>IF(OR($J291="",$K291=""),"",ROUND(($K291-$J291)*24-$L291/60,2))</f>
        <v/>
      </c>
      <c r="N291" s="16">
        <f>IF($C291="","",IF(AND(COUNTIF(設定!$B$15:$B$21,$G291)&gt;0,$J291&lt;&gt;""),"假日出勤",IF(AND(COUNTIF(設定!$B$6:$B$14,$G291)&gt;0,$J291=""),"未打卡",IF($J291="","",IF($O291&gt;0,"遲到",IF($P291&gt;0,"早退","正常"))))))</f>
        <v/>
      </c>
      <c r="O291" s="84">
        <f>IF(OR($C291="",$H291="",$J291=""),0,IF(ROUND(($J291-$H291)*1440,0)&gt;設定!$C$46,ROUND(($J291-$H291)*1440,0),0))</f>
        <v/>
      </c>
      <c r="P291" s="84">
        <f>IF(OR($C291="",$I291="",$K291=""),0,IF(ROUND(($I291-$K291)*1440,0)&gt;設定!$C$46,ROUND(($I291-$K291)*1440,0),0))</f>
        <v/>
      </c>
      <c r="Q291" s="85">
        <f>IF($M291="",0,IF(($M291-IFERROR(INDEX(設定!$G$6:$G$21,MATCH($G291,設定!$B$6:$B$21,0)),0))*60&gt;=設定!$C$44,ROUND(FLOOR(($M291-IFERROR(INDEX(設定!$G$6:$G$21,MATCH($G291,設定!$B$6:$B$21,0)),0))*60,設定!$C$45)/60,2),0))</f>
        <v/>
      </c>
      <c r="R291" s="16">
        <f>IF(OR($C291="",$Q291=0),"",IF($G291="國","國定假日",IF($B291="日","例假",IF($B291="六","休息日","平日"))))</f>
        <v/>
      </c>
      <c r="S291" s="19" t="n"/>
    </row>
    <row r="292">
      <c r="A292" s="82">
        <f>IF(OR(助理班表!$A14="",11&gt;DAY(EOMONTH(DATE(設定!$C$2,設定!$D$2,1),0))),"",DATE(設定!$C$2,設定!$D$2,11))</f>
        <v/>
      </c>
      <c r="B292" s="16">
        <f>IF($A292="","",INDEX(設定!$O$6:$O$12,WEEKDAY($A292,1)))</f>
        <v/>
      </c>
      <c r="C292" s="16">
        <f>IF($A292="","",助理班表!$A14)</f>
        <v/>
      </c>
      <c r="D292" s="16">
        <f>IF($C292="","",助理班表!$B14)</f>
        <v/>
      </c>
      <c r="E292" s="16">
        <f>IF($C292="","",助理班表!$D14)</f>
        <v/>
      </c>
      <c r="F292" s="16">
        <f>IF($C292="","",助理班表!$C14)</f>
        <v/>
      </c>
      <c r="G292" s="16">
        <f>IF($C292="","",助理班表!O14)</f>
        <v/>
      </c>
      <c r="H292" s="83">
        <f>IF($G292="","",IFERROR(IF(INDEX(設定!$D$6:$D$21,MATCH($G292,設定!$B$6:$B$21,0))=0,"",INDEX(設定!$D$6:$D$21,MATCH($G292,設定!$B$6:$B$21,0))),""))</f>
        <v/>
      </c>
      <c r="I292" s="83">
        <f>IF($G292="","",IFERROR(IF(INDEX(設定!$E$6:$E$21,MATCH($G292,設定!$B$6:$B$21,0))=0,"",INDEX(設定!$E$6:$E$21,MATCH($G292,設定!$B$6:$B$21,0))),""))</f>
        <v/>
      </c>
      <c r="J292" s="83">
        <f>IFERROR(INDEX(打卡匯入!$C$3:$C$2002,MATCH($C292&amp;"|"&amp;DAY($A292),打卡匯入!$E$3:$E$2002,0)),"")</f>
        <v/>
      </c>
      <c r="K292" s="83">
        <f>IFERROR(INDEX(打卡匯入!$D$3:$D$2002,MATCH($C292&amp;"|"&amp;DAY($A292),打卡匯入!$E$3:$E$2002,0)),"")</f>
        <v/>
      </c>
      <c r="L292" s="84">
        <f>IF(OR($J292="",$K292=""),"",IFERROR(INDEX(設定!$F$6:$F$21,MATCH($G292,設定!$B$6:$B$21,0)),0))</f>
        <v/>
      </c>
      <c r="M292" s="85">
        <f>IF(OR($J292="",$K292=""),"",ROUND(($K292-$J292)*24-$L292/60,2))</f>
        <v/>
      </c>
      <c r="N292" s="16">
        <f>IF($C292="","",IF(AND(COUNTIF(設定!$B$15:$B$21,$G292)&gt;0,$J292&lt;&gt;""),"假日出勤",IF(AND(COUNTIF(設定!$B$6:$B$14,$G292)&gt;0,$J292=""),"未打卡",IF($J292="","",IF($O292&gt;0,"遲到",IF($P292&gt;0,"早退","正常"))))))</f>
        <v/>
      </c>
      <c r="O292" s="84">
        <f>IF(OR($C292="",$H292="",$J292=""),0,IF(ROUND(($J292-$H292)*1440,0)&gt;設定!$C$46,ROUND(($J292-$H292)*1440,0),0))</f>
        <v/>
      </c>
      <c r="P292" s="84">
        <f>IF(OR($C292="",$I292="",$K292=""),0,IF(ROUND(($I292-$K292)*1440,0)&gt;設定!$C$46,ROUND(($I292-$K292)*1440,0),0))</f>
        <v/>
      </c>
      <c r="Q292" s="85">
        <f>IF($M292="",0,IF(($M292-IFERROR(INDEX(設定!$G$6:$G$21,MATCH($G292,設定!$B$6:$B$21,0)),0))*60&gt;=設定!$C$44,ROUND(FLOOR(($M292-IFERROR(INDEX(設定!$G$6:$G$21,MATCH($G292,設定!$B$6:$B$21,0)),0))*60,設定!$C$45)/60,2),0))</f>
        <v/>
      </c>
      <c r="R292" s="16">
        <f>IF(OR($C292="",$Q292=0),"",IF($G292="國","國定假日",IF($B292="日","例假",IF($B292="六","休息日","平日"))))</f>
        <v/>
      </c>
      <c r="S292" s="19" t="n"/>
    </row>
    <row r="293">
      <c r="A293" s="82">
        <f>IF(OR(助理班表!$A14="",12&gt;DAY(EOMONTH(DATE(設定!$C$2,設定!$D$2,1),0))),"",DATE(設定!$C$2,設定!$D$2,12))</f>
        <v/>
      </c>
      <c r="B293" s="16">
        <f>IF($A293="","",INDEX(設定!$O$6:$O$12,WEEKDAY($A293,1)))</f>
        <v/>
      </c>
      <c r="C293" s="16">
        <f>IF($A293="","",助理班表!$A14)</f>
        <v/>
      </c>
      <c r="D293" s="16">
        <f>IF($C293="","",助理班表!$B14)</f>
        <v/>
      </c>
      <c r="E293" s="16">
        <f>IF($C293="","",助理班表!$D14)</f>
        <v/>
      </c>
      <c r="F293" s="16">
        <f>IF($C293="","",助理班表!$C14)</f>
        <v/>
      </c>
      <c r="G293" s="16">
        <f>IF($C293="","",助理班表!P14)</f>
        <v/>
      </c>
      <c r="H293" s="83">
        <f>IF($G293="","",IFERROR(IF(INDEX(設定!$D$6:$D$21,MATCH($G293,設定!$B$6:$B$21,0))=0,"",INDEX(設定!$D$6:$D$21,MATCH($G293,設定!$B$6:$B$21,0))),""))</f>
        <v/>
      </c>
      <c r="I293" s="83">
        <f>IF($G293="","",IFERROR(IF(INDEX(設定!$E$6:$E$21,MATCH($G293,設定!$B$6:$B$21,0))=0,"",INDEX(設定!$E$6:$E$21,MATCH($G293,設定!$B$6:$B$21,0))),""))</f>
        <v/>
      </c>
      <c r="J293" s="83">
        <f>IFERROR(INDEX(打卡匯入!$C$3:$C$2002,MATCH($C293&amp;"|"&amp;DAY($A293),打卡匯入!$E$3:$E$2002,0)),"")</f>
        <v/>
      </c>
      <c r="K293" s="83">
        <f>IFERROR(INDEX(打卡匯入!$D$3:$D$2002,MATCH($C293&amp;"|"&amp;DAY($A293),打卡匯入!$E$3:$E$2002,0)),"")</f>
        <v/>
      </c>
      <c r="L293" s="84">
        <f>IF(OR($J293="",$K293=""),"",IFERROR(INDEX(設定!$F$6:$F$21,MATCH($G293,設定!$B$6:$B$21,0)),0))</f>
        <v/>
      </c>
      <c r="M293" s="85">
        <f>IF(OR($J293="",$K293=""),"",ROUND(($K293-$J293)*24-$L293/60,2))</f>
        <v/>
      </c>
      <c r="N293" s="16">
        <f>IF($C293="","",IF(AND(COUNTIF(設定!$B$15:$B$21,$G293)&gt;0,$J293&lt;&gt;""),"假日出勤",IF(AND(COUNTIF(設定!$B$6:$B$14,$G293)&gt;0,$J293=""),"未打卡",IF($J293="","",IF($O293&gt;0,"遲到",IF($P293&gt;0,"早退","正常"))))))</f>
        <v/>
      </c>
      <c r="O293" s="84">
        <f>IF(OR($C293="",$H293="",$J293=""),0,IF(ROUND(($J293-$H293)*1440,0)&gt;設定!$C$46,ROUND(($J293-$H293)*1440,0),0))</f>
        <v/>
      </c>
      <c r="P293" s="84">
        <f>IF(OR($C293="",$I293="",$K293=""),0,IF(ROUND(($I293-$K293)*1440,0)&gt;設定!$C$46,ROUND(($I293-$K293)*1440,0),0))</f>
        <v/>
      </c>
      <c r="Q293" s="85">
        <f>IF($M293="",0,IF(($M293-IFERROR(INDEX(設定!$G$6:$G$21,MATCH($G293,設定!$B$6:$B$21,0)),0))*60&gt;=設定!$C$44,ROUND(FLOOR(($M293-IFERROR(INDEX(設定!$G$6:$G$21,MATCH($G293,設定!$B$6:$B$21,0)),0))*60,設定!$C$45)/60,2),0))</f>
        <v/>
      </c>
      <c r="R293" s="16">
        <f>IF(OR($C293="",$Q293=0),"",IF($G293="國","國定假日",IF($B293="日","例假",IF($B293="六","休息日","平日"))))</f>
        <v/>
      </c>
      <c r="S293" s="19" t="n"/>
    </row>
    <row r="294">
      <c r="A294" s="82">
        <f>IF(OR(助理班表!$A14="",13&gt;DAY(EOMONTH(DATE(設定!$C$2,設定!$D$2,1),0))),"",DATE(設定!$C$2,設定!$D$2,13))</f>
        <v/>
      </c>
      <c r="B294" s="16">
        <f>IF($A294="","",INDEX(設定!$O$6:$O$12,WEEKDAY($A294,1)))</f>
        <v/>
      </c>
      <c r="C294" s="16">
        <f>IF($A294="","",助理班表!$A14)</f>
        <v/>
      </c>
      <c r="D294" s="16">
        <f>IF($C294="","",助理班表!$B14)</f>
        <v/>
      </c>
      <c r="E294" s="16">
        <f>IF($C294="","",助理班表!$D14)</f>
        <v/>
      </c>
      <c r="F294" s="16">
        <f>IF($C294="","",助理班表!$C14)</f>
        <v/>
      </c>
      <c r="G294" s="16">
        <f>IF($C294="","",助理班表!Q14)</f>
        <v/>
      </c>
      <c r="H294" s="83">
        <f>IF($G294="","",IFERROR(IF(INDEX(設定!$D$6:$D$21,MATCH($G294,設定!$B$6:$B$21,0))=0,"",INDEX(設定!$D$6:$D$21,MATCH($G294,設定!$B$6:$B$21,0))),""))</f>
        <v/>
      </c>
      <c r="I294" s="83">
        <f>IF($G294="","",IFERROR(IF(INDEX(設定!$E$6:$E$21,MATCH($G294,設定!$B$6:$B$21,0))=0,"",INDEX(設定!$E$6:$E$21,MATCH($G294,設定!$B$6:$B$21,0))),""))</f>
        <v/>
      </c>
      <c r="J294" s="83">
        <f>IFERROR(INDEX(打卡匯入!$C$3:$C$2002,MATCH($C294&amp;"|"&amp;DAY($A294),打卡匯入!$E$3:$E$2002,0)),"")</f>
        <v/>
      </c>
      <c r="K294" s="83">
        <f>IFERROR(INDEX(打卡匯入!$D$3:$D$2002,MATCH($C294&amp;"|"&amp;DAY($A294),打卡匯入!$E$3:$E$2002,0)),"")</f>
        <v/>
      </c>
      <c r="L294" s="84">
        <f>IF(OR($J294="",$K294=""),"",IFERROR(INDEX(設定!$F$6:$F$21,MATCH($G294,設定!$B$6:$B$21,0)),0))</f>
        <v/>
      </c>
      <c r="M294" s="85">
        <f>IF(OR($J294="",$K294=""),"",ROUND(($K294-$J294)*24-$L294/60,2))</f>
        <v/>
      </c>
      <c r="N294" s="16">
        <f>IF($C294="","",IF(AND(COUNTIF(設定!$B$15:$B$21,$G294)&gt;0,$J294&lt;&gt;""),"假日出勤",IF(AND(COUNTIF(設定!$B$6:$B$14,$G294)&gt;0,$J294=""),"未打卡",IF($J294="","",IF($O294&gt;0,"遲到",IF($P294&gt;0,"早退","正常"))))))</f>
        <v/>
      </c>
      <c r="O294" s="84">
        <f>IF(OR($C294="",$H294="",$J294=""),0,IF(ROUND(($J294-$H294)*1440,0)&gt;設定!$C$46,ROUND(($J294-$H294)*1440,0),0))</f>
        <v/>
      </c>
      <c r="P294" s="84">
        <f>IF(OR($C294="",$I294="",$K294=""),0,IF(ROUND(($I294-$K294)*1440,0)&gt;設定!$C$46,ROUND(($I294-$K294)*1440,0),0))</f>
        <v/>
      </c>
      <c r="Q294" s="85">
        <f>IF($M294="",0,IF(($M294-IFERROR(INDEX(設定!$G$6:$G$21,MATCH($G294,設定!$B$6:$B$21,0)),0))*60&gt;=設定!$C$44,ROUND(FLOOR(($M294-IFERROR(INDEX(設定!$G$6:$G$21,MATCH($G294,設定!$B$6:$B$21,0)),0))*60,設定!$C$45)/60,2),0))</f>
        <v/>
      </c>
      <c r="R294" s="16">
        <f>IF(OR($C294="",$Q294=0),"",IF($G294="國","國定假日",IF($B294="日","例假",IF($B294="六","休息日","平日"))))</f>
        <v/>
      </c>
      <c r="S294" s="19" t="n"/>
    </row>
    <row r="295">
      <c r="A295" s="82">
        <f>IF(OR(助理班表!$A14="",14&gt;DAY(EOMONTH(DATE(設定!$C$2,設定!$D$2,1),0))),"",DATE(設定!$C$2,設定!$D$2,14))</f>
        <v/>
      </c>
      <c r="B295" s="16">
        <f>IF($A295="","",INDEX(設定!$O$6:$O$12,WEEKDAY($A295,1)))</f>
        <v/>
      </c>
      <c r="C295" s="16">
        <f>IF($A295="","",助理班表!$A14)</f>
        <v/>
      </c>
      <c r="D295" s="16">
        <f>IF($C295="","",助理班表!$B14)</f>
        <v/>
      </c>
      <c r="E295" s="16">
        <f>IF($C295="","",助理班表!$D14)</f>
        <v/>
      </c>
      <c r="F295" s="16">
        <f>IF($C295="","",助理班表!$C14)</f>
        <v/>
      </c>
      <c r="G295" s="16">
        <f>IF($C295="","",助理班表!R14)</f>
        <v/>
      </c>
      <c r="H295" s="83">
        <f>IF($G295="","",IFERROR(IF(INDEX(設定!$D$6:$D$21,MATCH($G295,設定!$B$6:$B$21,0))=0,"",INDEX(設定!$D$6:$D$21,MATCH($G295,設定!$B$6:$B$21,0))),""))</f>
        <v/>
      </c>
      <c r="I295" s="83">
        <f>IF($G295="","",IFERROR(IF(INDEX(設定!$E$6:$E$21,MATCH($G295,設定!$B$6:$B$21,0))=0,"",INDEX(設定!$E$6:$E$21,MATCH($G295,設定!$B$6:$B$21,0))),""))</f>
        <v/>
      </c>
      <c r="J295" s="83">
        <f>IFERROR(INDEX(打卡匯入!$C$3:$C$2002,MATCH($C295&amp;"|"&amp;DAY($A295),打卡匯入!$E$3:$E$2002,0)),"")</f>
        <v/>
      </c>
      <c r="K295" s="83">
        <f>IFERROR(INDEX(打卡匯入!$D$3:$D$2002,MATCH($C295&amp;"|"&amp;DAY($A295),打卡匯入!$E$3:$E$2002,0)),"")</f>
        <v/>
      </c>
      <c r="L295" s="84">
        <f>IF(OR($J295="",$K295=""),"",IFERROR(INDEX(設定!$F$6:$F$21,MATCH($G295,設定!$B$6:$B$21,0)),0))</f>
        <v/>
      </c>
      <c r="M295" s="85">
        <f>IF(OR($J295="",$K295=""),"",ROUND(($K295-$J295)*24-$L295/60,2))</f>
        <v/>
      </c>
      <c r="N295" s="16">
        <f>IF($C295="","",IF(AND(COUNTIF(設定!$B$15:$B$21,$G295)&gt;0,$J295&lt;&gt;""),"假日出勤",IF(AND(COUNTIF(設定!$B$6:$B$14,$G295)&gt;0,$J295=""),"未打卡",IF($J295="","",IF($O295&gt;0,"遲到",IF($P295&gt;0,"早退","正常"))))))</f>
        <v/>
      </c>
      <c r="O295" s="84">
        <f>IF(OR($C295="",$H295="",$J295=""),0,IF(ROUND(($J295-$H295)*1440,0)&gt;設定!$C$46,ROUND(($J295-$H295)*1440,0),0))</f>
        <v/>
      </c>
      <c r="P295" s="84">
        <f>IF(OR($C295="",$I295="",$K295=""),0,IF(ROUND(($I295-$K295)*1440,0)&gt;設定!$C$46,ROUND(($I295-$K295)*1440,0),0))</f>
        <v/>
      </c>
      <c r="Q295" s="85">
        <f>IF($M295="",0,IF(($M295-IFERROR(INDEX(設定!$G$6:$G$21,MATCH($G295,設定!$B$6:$B$21,0)),0))*60&gt;=設定!$C$44,ROUND(FLOOR(($M295-IFERROR(INDEX(設定!$G$6:$G$21,MATCH($G295,設定!$B$6:$B$21,0)),0))*60,設定!$C$45)/60,2),0))</f>
        <v/>
      </c>
      <c r="R295" s="16">
        <f>IF(OR($C295="",$Q295=0),"",IF($G295="國","國定假日",IF($B295="日","例假",IF($B295="六","休息日","平日"))))</f>
        <v/>
      </c>
      <c r="S295" s="19" t="n"/>
    </row>
    <row r="296">
      <c r="A296" s="82">
        <f>IF(OR(助理班表!$A14="",15&gt;DAY(EOMONTH(DATE(設定!$C$2,設定!$D$2,1),0))),"",DATE(設定!$C$2,設定!$D$2,15))</f>
        <v/>
      </c>
      <c r="B296" s="16">
        <f>IF($A296="","",INDEX(設定!$O$6:$O$12,WEEKDAY($A296,1)))</f>
        <v/>
      </c>
      <c r="C296" s="16">
        <f>IF($A296="","",助理班表!$A14)</f>
        <v/>
      </c>
      <c r="D296" s="16">
        <f>IF($C296="","",助理班表!$B14)</f>
        <v/>
      </c>
      <c r="E296" s="16">
        <f>IF($C296="","",助理班表!$D14)</f>
        <v/>
      </c>
      <c r="F296" s="16">
        <f>IF($C296="","",助理班表!$C14)</f>
        <v/>
      </c>
      <c r="G296" s="16">
        <f>IF($C296="","",助理班表!S14)</f>
        <v/>
      </c>
      <c r="H296" s="83">
        <f>IF($G296="","",IFERROR(IF(INDEX(設定!$D$6:$D$21,MATCH($G296,設定!$B$6:$B$21,0))=0,"",INDEX(設定!$D$6:$D$21,MATCH($G296,設定!$B$6:$B$21,0))),""))</f>
        <v/>
      </c>
      <c r="I296" s="83">
        <f>IF($G296="","",IFERROR(IF(INDEX(設定!$E$6:$E$21,MATCH($G296,設定!$B$6:$B$21,0))=0,"",INDEX(設定!$E$6:$E$21,MATCH($G296,設定!$B$6:$B$21,0))),""))</f>
        <v/>
      </c>
      <c r="J296" s="83">
        <f>IFERROR(INDEX(打卡匯入!$C$3:$C$2002,MATCH($C296&amp;"|"&amp;DAY($A296),打卡匯入!$E$3:$E$2002,0)),"")</f>
        <v/>
      </c>
      <c r="K296" s="83">
        <f>IFERROR(INDEX(打卡匯入!$D$3:$D$2002,MATCH($C296&amp;"|"&amp;DAY($A296),打卡匯入!$E$3:$E$2002,0)),"")</f>
        <v/>
      </c>
      <c r="L296" s="84">
        <f>IF(OR($J296="",$K296=""),"",IFERROR(INDEX(設定!$F$6:$F$21,MATCH($G296,設定!$B$6:$B$21,0)),0))</f>
        <v/>
      </c>
      <c r="M296" s="85">
        <f>IF(OR($J296="",$K296=""),"",ROUND(($K296-$J296)*24-$L296/60,2))</f>
        <v/>
      </c>
      <c r="N296" s="16">
        <f>IF($C296="","",IF(AND(COUNTIF(設定!$B$15:$B$21,$G296)&gt;0,$J296&lt;&gt;""),"假日出勤",IF(AND(COUNTIF(設定!$B$6:$B$14,$G296)&gt;0,$J296=""),"未打卡",IF($J296="","",IF($O296&gt;0,"遲到",IF($P296&gt;0,"早退","正常"))))))</f>
        <v/>
      </c>
      <c r="O296" s="84">
        <f>IF(OR($C296="",$H296="",$J296=""),0,IF(ROUND(($J296-$H296)*1440,0)&gt;設定!$C$46,ROUND(($J296-$H296)*1440,0),0))</f>
        <v/>
      </c>
      <c r="P296" s="84">
        <f>IF(OR($C296="",$I296="",$K296=""),0,IF(ROUND(($I296-$K296)*1440,0)&gt;設定!$C$46,ROUND(($I296-$K296)*1440,0),0))</f>
        <v/>
      </c>
      <c r="Q296" s="85">
        <f>IF($M296="",0,IF(($M296-IFERROR(INDEX(設定!$G$6:$G$21,MATCH($G296,設定!$B$6:$B$21,0)),0))*60&gt;=設定!$C$44,ROUND(FLOOR(($M296-IFERROR(INDEX(設定!$G$6:$G$21,MATCH($G296,設定!$B$6:$B$21,0)),0))*60,設定!$C$45)/60,2),0))</f>
        <v/>
      </c>
      <c r="R296" s="16">
        <f>IF(OR($C296="",$Q296=0),"",IF($G296="國","國定假日",IF($B296="日","例假",IF($B296="六","休息日","平日"))))</f>
        <v/>
      </c>
      <c r="S296" s="19" t="n"/>
    </row>
    <row r="297">
      <c r="A297" s="82">
        <f>IF(OR(助理班表!$A14="",16&gt;DAY(EOMONTH(DATE(設定!$C$2,設定!$D$2,1),0))),"",DATE(設定!$C$2,設定!$D$2,16))</f>
        <v/>
      </c>
      <c r="B297" s="16">
        <f>IF($A297="","",INDEX(設定!$O$6:$O$12,WEEKDAY($A297,1)))</f>
        <v/>
      </c>
      <c r="C297" s="16">
        <f>IF($A297="","",助理班表!$A14)</f>
        <v/>
      </c>
      <c r="D297" s="16">
        <f>IF($C297="","",助理班表!$B14)</f>
        <v/>
      </c>
      <c r="E297" s="16">
        <f>IF($C297="","",助理班表!$D14)</f>
        <v/>
      </c>
      <c r="F297" s="16">
        <f>IF($C297="","",助理班表!$C14)</f>
        <v/>
      </c>
      <c r="G297" s="16">
        <f>IF($C297="","",助理班表!T14)</f>
        <v/>
      </c>
      <c r="H297" s="83">
        <f>IF($G297="","",IFERROR(IF(INDEX(設定!$D$6:$D$21,MATCH($G297,設定!$B$6:$B$21,0))=0,"",INDEX(設定!$D$6:$D$21,MATCH($G297,設定!$B$6:$B$21,0))),""))</f>
        <v/>
      </c>
      <c r="I297" s="83">
        <f>IF($G297="","",IFERROR(IF(INDEX(設定!$E$6:$E$21,MATCH($G297,設定!$B$6:$B$21,0))=0,"",INDEX(設定!$E$6:$E$21,MATCH($G297,設定!$B$6:$B$21,0))),""))</f>
        <v/>
      </c>
      <c r="J297" s="83">
        <f>IFERROR(INDEX(打卡匯入!$C$3:$C$2002,MATCH($C297&amp;"|"&amp;DAY($A297),打卡匯入!$E$3:$E$2002,0)),"")</f>
        <v/>
      </c>
      <c r="K297" s="83">
        <f>IFERROR(INDEX(打卡匯入!$D$3:$D$2002,MATCH($C297&amp;"|"&amp;DAY($A297),打卡匯入!$E$3:$E$2002,0)),"")</f>
        <v/>
      </c>
      <c r="L297" s="84">
        <f>IF(OR($J297="",$K297=""),"",IFERROR(INDEX(設定!$F$6:$F$21,MATCH($G297,設定!$B$6:$B$21,0)),0))</f>
        <v/>
      </c>
      <c r="M297" s="85">
        <f>IF(OR($J297="",$K297=""),"",ROUND(($K297-$J297)*24-$L297/60,2))</f>
        <v/>
      </c>
      <c r="N297" s="16">
        <f>IF($C297="","",IF(AND(COUNTIF(設定!$B$15:$B$21,$G297)&gt;0,$J297&lt;&gt;""),"假日出勤",IF(AND(COUNTIF(設定!$B$6:$B$14,$G297)&gt;0,$J297=""),"未打卡",IF($J297="","",IF($O297&gt;0,"遲到",IF($P297&gt;0,"早退","正常"))))))</f>
        <v/>
      </c>
      <c r="O297" s="84">
        <f>IF(OR($C297="",$H297="",$J297=""),0,IF(ROUND(($J297-$H297)*1440,0)&gt;設定!$C$46,ROUND(($J297-$H297)*1440,0),0))</f>
        <v/>
      </c>
      <c r="P297" s="84">
        <f>IF(OR($C297="",$I297="",$K297=""),0,IF(ROUND(($I297-$K297)*1440,0)&gt;設定!$C$46,ROUND(($I297-$K297)*1440,0),0))</f>
        <v/>
      </c>
      <c r="Q297" s="85">
        <f>IF($M297="",0,IF(($M297-IFERROR(INDEX(設定!$G$6:$G$21,MATCH($G297,設定!$B$6:$B$21,0)),0))*60&gt;=設定!$C$44,ROUND(FLOOR(($M297-IFERROR(INDEX(設定!$G$6:$G$21,MATCH($G297,設定!$B$6:$B$21,0)),0))*60,設定!$C$45)/60,2),0))</f>
        <v/>
      </c>
      <c r="R297" s="16">
        <f>IF(OR($C297="",$Q297=0),"",IF($G297="國","國定假日",IF($B297="日","例假",IF($B297="六","休息日","平日"))))</f>
        <v/>
      </c>
      <c r="S297" s="19" t="n"/>
    </row>
    <row r="298">
      <c r="A298" s="82">
        <f>IF(OR(助理班表!$A14="",17&gt;DAY(EOMONTH(DATE(設定!$C$2,設定!$D$2,1),0))),"",DATE(設定!$C$2,設定!$D$2,17))</f>
        <v/>
      </c>
      <c r="B298" s="16">
        <f>IF($A298="","",INDEX(設定!$O$6:$O$12,WEEKDAY($A298,1)))</f>
        <v/>
      </c>
      <c r="C298" s="16">
        <f>IF($A298="","",助理班表!$A14)</f>
        <v/>
      </c>
      <c r="D298" s="16">
        <f>IF($C298="","",助理班表!$B14)</f>
        <v/>
      </c>
      <c r="E298" s="16">
        <f>IF($C298="","",助理班表!$D14)</f>
        <v/>
      </c>
      <c r="F298" s="16">
        <f>IF($C298="","",助理班表!$C14)</f>
        <v/>
      </c>
      <c r="G298" s="16">
        <f>IF($C298="","",助理班表!U14)</f>
        <v/>
      </c>
      <c r="H298" s="83">
        <f>IF($G298="","",IFERROR(IF(INDEX(設定!$D$6:$D$21,MATCH($G298,設定!$B$6:$B$21,0))=0,"",INDEX(設定!$D$6:$D$21,MATCH($G298,設定!$B$6:$B$21,0))),""))</f>
        <v/>
      </c>
      <c r="I298" s="83">
        <f>IF($G298="","",IFERROR(IF(INDEX(設定!$E$6:$E$21,MATCH($G298,設定!$B$6:$B$21,0))=0,"",INDEX(設定!$E$6:$E$21,MATCH($G298,設定!$B$6:$B$21,0))),""))</f>
        <v/>
      </c>
      <c r="J298" s="83">
        <f>IFERROR(INDEX(打卡匯入!$C$3:$C$2002,MATCH($C298&amp;"|"&amp;DAY($A298),打卡匯入!$E$3:$E$2002,0)),"")</f>
        <v/>
      </c>
      <c r="K298" s="83">
        <f>IFERROR(INDEX(打卡匯入!$D$3:$D$2002,MATCH($C298&amp;"|"&amp;DAY($A298),打卡匯入!$E$3:$E$2002,0)),"")</f>
        <v/>
      </c>
      <c r="L298" s="84">
        <f>IF(OR($J298="",$K298=""),"",IFERROR(INDEX(設定!$F$6:$F$21,MATCH($G298,設定!$B$6:$B$21,0)),0))</f>
        <v/>
      </c>
      <c r="M298" s="85">
        <f>IF(OR($J298="",$K298=""),"",ROUND(($K298-$J298)*24-$L298/60,2))</f>
        <v/>
      </c>
      <c r="N298" s="16">
        <f>IF($C298="","",IF(AND(COUNTIF(設定!$B$15:$B$21,$G298)&gt;0,$J298&lt;&gt;""),"假日出勤",IF(AND(COUNTIF(設定!$B$6:$B$14,$G298)&gt;0,$J298=""),"未打卡",IF($J298="","",IF($O298&gt;0,"遲到",IF($P298&gt;0,"早退","正常"))))))</f>
        <v/>
      </c>
      <c r="O298" s="84">
        <f>IF(OR($C298="",$H298="",$J298=""),0,IF(ROUND(($J298-$H298)*1440,0)&gt;設定!$C$46,ROUND(($J298-$H298)*1440,0),0))</f>
        <v/>
      </c>
      <c r="P298" s="84">
        <f>IF(OR($C298="",$I298="",$K298=""),0,IF(ROUND(($I298-$K298)*1440,0)&gt;設定!$C$46,ROUND(($I298-$K298)*1440,0),0))</f>
        <v/>
      </c>
      <c r="Q298" s="85">
        <f>IF($M298="",0,IF(($M298-IFERROR(INDEX(設定!$G$6:$G$21,MATCH($G298,設定!$B$6:$B$21,0)),0))*60&gt;=設定!$C$44,ROUND(FLOOR(($M298-IFERROR(INDEX(設定!$G$6:$G$21,MATCH($G298,設定!$B$6:$B$21,0)),0))*60,設定!$C$45)/60,2),0))</f>
        <v/>
      </c>
      <c r="R298" s="16">
        <f>IF(OR($C298="",$Q298=0),"",IF($G298="國","國定假日",IF($B298="日","例假",IF($B298="六","休息日","平日"))))</f>
        <v/>
      </c>
      <c r="S298" s="19" t="n"/>
    </row>
    <row r="299">
      <c r="A299" s="82">
        <f>IF(OR(助理班表!$A14="",18&gt;DAY(EOMONTH(DATE(設定!$C$2,設定!$D$2,1),0))),"",DATE(設定!$C$2,設定!$D$2,18))</f>
        <v/>
      </c>
      <c r="B299" s="16">
        <f>IF($A299="","",INDEX(設定!$O$6:$O$12,WEEKDAY($A299,1)))</f>
        <v/>
      </c>
      <c r="C299" s="16">
        <f>IF($A299="","",助理班表!$A14)</f>
        <v/>
      </c>
      <c r="D299" s="16">
        <f>IF($C299="","",助理班表!$B14)</f>
        <v/>
      </c>
      <c r="E299" s="16">
        <f>IF($C299="","",助理班表!$D14)</f>
        <v/>
      </c>
      <c r="F299" s="16">
        <f>IF($C299="","",助理班表!$C14)</f>
        <v/>
      </c>
      <c r="G299" s="16">
        <f>IF($C299="","",助理班表!V14)</f>
        <v/>
      </c>
      <c r="H299" s="83">
        <f>IF($G299="","",IFERROR(IF(INDEX(設定!$D$6:$D$21,MATCH($G299,設定!$B$6:$B$21,0))=0,"",INDEX(設定!$D$6:$D$21,MATCH($G299,設定!$B$6:$B$21,0))),""))</f>
        <v/>
      </c>
      <c r="I299" s="83">
        <f>IF($G299="","",IFERROR(IF(INDEX(設定!$E$6:$E$21,MATCH($G299,設定!$B$6:$B$21,0))=0,"",INDEX(設定!$E$6:$E$21,MATCH($G299,設定!$B$6:$B$21,0))),""))</f>
        <v/>
      </c>
      <c r="J299" s="83">
        <f>IFERROR(INDEX(打卡匯入!$C$3:$C$2002,MATCH($C299&amp;"|"&amp;DAY($A299),打卡匯入!$E$3:$E$2002,0)),"")</f>
        <v/>
      </c>
      <c r="K299" s="83">
        <f>IFERROR(INDEX(打卡匯入!$D$3:$D$2002,MATCH($C299&amp;"|"&amp;DAY($A299),打卡匯入!$E$3:$E$2002,0)),"")</f>
        <v/>
      </c>
      <c r="L299" s="84">
        <f>IF(OR($J299="",$K299=""),"",IFERROR(INDEX(設定!$F$6:$F$21,MATCH($G299,設定!$B$6:$B$21,0)),0))</f>
        <v/>
      </c>
      <c r="M299" s="85">
        <f>IF(OR($J299="",$K299=""),"",ROUND(($K299-$J299)*24-$L299/60,2))</f>
        <v/>
      </c>
      <c r="N299" s="16">
        <f>IF($C299="","",IF(AND(COUNTIF(設定!$B$15:$B$21,$G299)&gt;0,$J299&lt;&gt;""),"假日出勤",IF(AND(COUNTIF(設定!$B$6:$B$14,$G299)&gt;0,$J299=""),"未打卡",IF($J299="","",IF($O299&gt;0,"遲到",IF($P299&gt;0,"早退","正常"))))))</f>
        <v/>
      </c>
      <c r="O299" s="84">
        <f>IF(OR($C299="",$H299="",$J299=""),0,IF(ROUND(($J299-$H299)*1440,0)&gt;設定!$C$46,ROUND(($J299-$H299)*1440,0),0))</f>
        <v/>
      </c>
      <c r="P299" s="84">
        <f>IF(OR($C299="",$I299="",$K299=""),0,IF(ROUND(($I299-$K299)*1440,0)&gt;設定!$C$46,ROUND(($I299-$K299)*1440,0),0))</f>
        <v/>
      </c>
      <c r="Q299" s="85">
        <f>IF($M299="",0,IF(($M299-IFERROR(INDEX(設定!$G$6:$G$21,MATCH($G299,設定!$B$6:$B$21,0)),0))*60&gt;=設定!$C$44,ROUND(FLOOR(($M299-IFERROR(INDEX(設定!$G$6:$G$21,MATCH($G299,設定!$B$6:$B$21,0)),0))*60,設定!$C$45)/60,2),0))</f>
        <v/>
      </c>
      <c r="R299" s="16">
        <f>IF(OR($C299="",$Q299=0),"",IF($G299="國","國定假日",IF($B299="日","例假",IF($B299="六","休息日","平日"))))</f>
        <v/>
      </c>
      <c r="S299" s="19" t="n"/>
    </row>
    <row r="300">
      <c r="A300" s="82">
        <f>IF(OR(助理班表!$A14="",19&gt;DAY(EOMONTH(DATE(設定!$C$2,設定!$D$2,1),0))),"",DATE(設定!$C$2,設定!$D$2,19))</f>
        <v/>
      </c>
      <c r="B300" s="16">
        <f>IF($A300="","",INDEX(設定!$O$6:$O$12,WEEKDAY($A300,1)))</f>
        <v/>
      </c>
      <c r="C300" s="16">
        <f>IF($A300="","",助理班表!$A14)</f>
        <v/>
      </c>
      <c r="D300" s="16">
        <f>IF($C300="","",助理班表!$B14)</f>
        <v/>
      </c>
      <c r="E300" s="16">
        <f>IF($C300="","",助理班表!$D14)</f>
        <v/>
      </c>
      <c r="F300" s="16">
        <f>IF($C300="","",助理班表!$C14)</f>
        <v/>
      </c>
      <c r="G300" s="16">
        <f>IF($C300="","",助理班表!W14)</f>
        <v/>
      </c>
      <c r="H300" s="83">
        <f>IF($G300="","",IFERROR(IF(INDEX(設定!$D$6:$D$21,MATCH($G300,設定!$B$6:$B$21,0))=0,"",INDEX(設定!$D$6:$D$21,MATCH($G300,設定!$B$6:$B$21,0))),""))</f>
        <v/>
      </c>
      <c r="I300" s="83">
        <f>IF($G300="","",IFERROR(IF(INDEX(設定!$E$6:$E$21,MATCH($G300,設定!$B$6:$B$21,0))=0,"",INDEX(設定!$E$6:$E$21,MATCH($G300,設定!$B$6:$B$21,0))),""))</f>
        <v/>
      </c>
      <c r="J300" s="83">
        <f>IFERROR(INDEX(打卡匯入!$C$3:$C$2002,MATCH($C300&amp;"|"&amp;DAY($A300),打卡匯入!$E$3:$E$2002,0)),"")</f>
        <v/>
      </c>
      <c r="K300" s="83">
        <f>IFERROR(INDEX(打卡匯入!$D$3:$D$2002,MATCH($C300&amp;"|"&amp;DAY($A300),打卡匯入!$E$3:$E$2002,0)),"")</f>
        <v/>
      </c>
      <c r="L300" s="84">
        <f>IF(OR($J300="",$K300=""),"",IFERROR(INDEX(設定!$F$6:$F$21,MATCH($G300,設定!$B$6:$B$21,0)),0))</f>
        <v/>
      </c>
      <c r="M300" s="85">
        <f>IF(OR($J300="",$K300=""),"",ROUND(($K300-$J300)*24-$L300/60,2))</f>
        <v/>
      </c>
      <c r="N300" s="16">
        <f>IF($C300="","",IF(AND(COUNTIF(設定!$B$15:$B$21,$G300)&gt;0,$J300&lt;&gt;""),"假日出勤",IF(AND(COUNTIF(設定!$B$6:$B$14,$G300)&gt;0,$J300=""),"未打卡",IF($J300="","",IF($O300&gt;0,"遲到",IF($P300&gt;0,"早退","正常"))))))</f>
        <v/>
      </c>
      <c r="O300" s="84">
        <f>IF(OR($C300="",$H300="",$J300=""),0,IF(ROUND(($J300-$H300)*1440,0)&gt;設定!$C$46,ROUND(($J300-$H300)*1440,0),0))</f>
        <v/>
      </c>
      <c r="P300" s="84">
        <f>IF(OR($C300="",$I300="",$K300=""),0,IF(ROUND(($I300-$K300)*1440,0)&gt;設定!$C$46,ROUND(($I300-$K300)*1440,0),0))</f>
        <v/>
      </c>
      <c r="Q300" s="85">
        <f>IF($M300="",0,IF(($M300-IFERROR(INDEX(設定!$G$6:$G$21,MATCH($G300,設定!$B$6:$B$21,0)),0))*60&gt;=設定!$C$44,ROUND(FLOOR(($M300-IFERROR(INDEX(設定!$G$6:$G$21,MATCH($G300,設定!$B$6:$B$21,0)),0))*60,設定!$C$45)/60,2),0))</f>
        <v/>
      </c>
      <c r="R300" s="16">
        <f>IF(OR($C300="",$Q300=0),"",IF($G300="國","國定假日",IF($B300="日","例假",IF($B300="六","休息日","平日"))))</f>
        <v/>
      </c>
      <c r="S300" s="19" t="n"/>
    </row>
    <row r="301">
      <c r="A301" s="82">
        <f>IF(OR(助理班表!$A14="",20&gt;DAY(EOMONTH(DATE(設定!$C$2,設定!$D$2,1),0))),"",DATE(設定!$C$2,設定!$D$2,20))</f>
        <v/>
      </c>
      <c r="B301" s="16">
        <f>IF($A301="","",INDEX(設定!$O$6:$O$12,WEEKDAY($A301,1)))</f>
        <v/>
      </c>
      <c r="C301" s="16">
        <f>IF($A301="","",助理班表!$A14)</f>
        <v/>
      </c>
      <c r="D301" s="16">
        <f>IF($C301="","",助理班表!$B14)</f>
        <v/>
      </c>
      <c r="E301" s="16">
        <f>IF($C301="","",助理班表!$D14)</f>
        <v/>
      </c>
      <c r="F301" s="16">
        <f>IF($C301="","",助理班表!$C14)</f>
        <v/>
      </c>
      <c r="G301" s="16">
        <f>IF($C301="","",助理班表!X14)</f>
        <v/>
      </c>
      <c r="H301" s="83">
        <f>IF($G301="","",IFERROR(IF(INDEX(設定!$D$6:$D$21,MATCH($G301,設定!$B$6:$B$21,0))=0,"",INDEX(設定!$D$6:$D$21,MATCH($G301,設定!$B$6:$B$21,0))),""))</f>
        <v/>
      </c>
      <c r="I301" s="83">
        <f>IF($G301="","",IFERROR(IF(INDEX(設定!$E$6:$E$21,MATCH($G301,設定!$B$6:$B$21,0))=0,"",INDEX(設定!$E$6:$E$21,MATCH($G301,設定!$B$6:$B$21,0))),""))</f>
        <v/>
      </c>
      <c r="J301" s="83">
        <f>IFERROR(INDEX(打卡匯入!$C$3:$C$2002,MATCH($C301&amp;"|"&amp;DAY($A301),打卡匯入!$E$3:$E$2002,0)),"")</f>
        <v/>
      </c>
      <c r="K301" s="83">
        <f>IFERROR(INDEX(打卡匯入!$D$3:$D$2002,MATCH($C301&amp;"|"&amp;DAY($A301),打卡匯入!$E$3:$E$2002,0)),"")</f>
        <v/>
      </c>
      <c r="L301" s="84">
        <f>IF(OR($J301="",$K301=""),"",IFERROR(INDEX(設定!$F$6:$F$21,MATCH($G301,設定!$B$6:$B$21,0)),0))</f>
        <v/>
      </c>
      <c r="M301" s="85">
        <f>IF(OR($J301="",$K301=""),"",ROUND(($K301-$J301)*24-$L301/60,2))</f>
        <v/>
      </c>
      <c r="N301" s="16">
        <f>IF($C301="","",IF(AND(COUNTIF(設定!$B$15:$B$21,$G301)&gt;0,$J301&lt;&gt;""),"假日出勤",IF(AND(COUNTIF(設定!$B$6:$B$14,$G301)&gt;0,$J301=""),"未打卡",IF($J301="","",IF($O301&gt;0,"遲到",IF($P301&gt;0,"早退","正常"))))))</f>
        <v/>
      </c>
      <c r="O301" s="84">
        <f>IF(OR($C301="",$H301="",$J301=""),0,IF(ROUND(($J301-$H301)*1440,0)&gt;設定!$C$46,ROUND(($J301-$H301)*1440,0),0))</f>
        <v/>
      </c>
      <c r="P301" s="84">
        <f>IF(OR($C301="",$I301="",$K301=""),0,IF(ROUND(($I301-$K301)*1440,0)&gt;設定!$C$46,ROUND(($I301-$K301)*1440,0),0))</f>
        <v/>
      </c>
      <c r="Q301" s="85">
        <f>IF($M301="",0,IF(($M301-IFERROR(INDEX(設定!$G$6:$G$21,MATCH($G301,設定!$B$6:$B$21,0)),0))*60&gt;=設定!$C$44,ROUND(FLOOR(($M301-IFERROR(INDEX(設定!$G$6:$G$21,MATCH($G301,設定!$B$6:$B$21,0)),0))*60,設定!$C$45)/60,2),0))</f>
        <v/>
      </c>
      <c r="R301" s="16">
        <f>IF(OR($C301="",$Q301=0),"",IF($G301="國","國定假日",IF($B301="日","例假",IF($B301="六","休息日","平日"))))</f>
        <v/>
      </c>
      <c r="S301" s="19" t="n"/>
    </row>
    <row r="302">
      <c r="A302" s="82">
        <f>IF(OR(助理班表!$A14="",21&gt;DAY(EOMONTH(DATE(設定!$C$2,設定!$D$2,1),0))),"",DATE(設定!$C$2,設定!$D$2,21))</f>
        <v/>
      </c>
      <c r="B302" s="16">
        <f>IF($A302="","",INDEX(設定!$O$6:$O$12,WEEKDAY($A302,1)))</f>
        <v/>
      </c>
      <c r="C302" s="16">
        <f>IF($A302="","",助理班表!$A14)</f>
        <v/>
      </c>
      <c r="D302" s="16">
        <f>IF($C302="","",助理班表!$B14)</f>
        <v/>
      </c>
      <c r="E302" s="16">
        <f>IF($C302="","",助理班表!$D14)</f>
        <v/>
      </c>
      <c r="F302" s="16">
        <f>IF($C302="","",助理班表!$C14)</f>
        <v/>
      </c>
      <c r="G302" s="16">
        <f>IF($C302="","",助理班表!Y14)</f>
        <v/>
      </c>
      <c r="H302" s="83">
        <f>IF($G302="","",IFERROR(IF(INDEX(設定!$D$6:$D$21,MATCH($G302,設定!$B$6:$B$21,0))=0,"",INDEX(設定!$D$6:$D$21,MATCH($G302,設定!$B$6:$B$21,0))),""))</f>
        <v/>
      </c>
      <c r="I302" s="83">
        <f>IF($G302="","",IFERROR(IF(INDEX(設定!$E$6:$E$21,MATCH($G302,設定!$B$6:$B$21,0))=0,"",INDEX(設定!$E$6:$E$21,MATCH($G302,設定!$B$6:$B$21,0))),""))</f>
        <v/>
      </c>
      <c r="J302" s="83">
        <f>IFERROR(INDEX(打卡匯入!$C$3:$C$2002,MATCH($C302&amp;"|"&amp;DAY($A302),打卡匯入!$E$3:$E$2002,0)),"")</f>
        <v/>
      </c>
      <c r="K302" s="83">
        <f>IFERROR(INDEX(打卡匯入!$D$3:$D$2002,MATCH($C302&amp;"|"&amp;DAY($A302),打卡匯入!$E$3:$E$2002,0)),"")</f>
        <v/>
      </c>
      <c r="L302" s="84">
        <f>IF(OR($J302="",$K302=""),"",IFERROR(INDEX(設定!$F$6:$F$21,MATCH($G302,設定!$B$6:$B$21,0)),0))</f>
        <v/>
      </c>
      <c r="M302" s="85">
        <f>IF(OR($J302="",$K302=""),"",ROUND(($K302-$J302)*24-$L302/60,2))</f>
        <v/>
      </c>
      <c r="N302" s="16">
        <f>IF($C302="","",IF(AND(COUNTIF(設定!$B$15:$B$21,$G302)&gt;0,$J302&lt;&gt;""),"假日出勤",IF(AND(COUNTIF(設定!$B$6:$B$14,$G302)&gt;0,$J302=""),"未打卡",IF($J302="","",IF($O302&gt;0,"遲到",IF($P302&gt;0,"早退","正常"))))))</f>
        <v/>
      </c>
      <c r="O302" s="84">
        <f>IF(OR($C302="",$H302="",$J302=""),0,IF(ROUND(($J302-$H302)*1440,0)&gt;設定!$C$46,ROUND(($J302-$H302)*1440,0),0))</f>
        <v/>
      </c>
      <c r="P302" s="84">
        <f>IF(OR($C302="",$I302="",$K302=""),0,IF(ROUND(($I302-$K302)*1440,0)&gt;設定!$C$46,ROUND(($I302-$K302)*1440,0),0))</f>
        <v/>
      </c>
      <c r="Q302" s="85">
        <f>IF($M302="",0,IF(($M302-IFERROR(INDEX(設定!$G$6:$G$21,MATCH($G302,設定!$B$6:$B$21,0)),0))*60&gt;=設定!$C$44,ROUND(FLOOR(($M302-IFERROR(INDEX(設定!$G$6:$G$21,MATCH($G302,設定!$B$6:$B$21,0)),0))*60,設定!$C$45)/60,2),0))</f>
        <v/>
      </c>
      <c r="R302" s="16">
        <f>IF(OR($C302="",$Q302=0),"",IF($G302="國","國定假日",IF($B302="日","例假",IF($B302="六","休息日","平日"))))</f>
        <v/>
      </c>
      <c r="S302" s="19" t="n"/>
    </row>
    <row r="303">
      <c r="A303" s="82">
        <f>IF(OR(助理班表!$A14="",22&gt;DAY(EOMONTH(DATE(設定!$C$2,設定!$D$2,1),0))),"",DATE(設定!$C$2,設定!$D$2,22))</f>
        <v/>
      </c>
      <c r="B303" s="16">
        <f>IF($A303="","",INDEX(設定!$O$6:$O$12,WEEKDAY($A303,1)))</f>
        <v/>
      </c>
      <c r="C303" s="16">
        <f>IF($A303="","",助理班表!$A14)</f>
        <v/>
      </c>
      <c r="D303" s="16">
        <f>IF($C303="","",助理班表!$B14)</f>
        <v/>
      </c>
      <c r="E303" s="16">
        <f>IF($C303="","",助理班表!$D14)</f>
        <v/>
      </c>
      <c r="F303" s="16">
        <f>IF($C303="","",助理班表!$C14)</f>
        <v/>
      </c>
      <c r="G303" s="16">
        <f>IF($C303="","",助理班表!Z14)</f>
        <v/>
      </c>
      <c r="H303" s="83">
        <f>IF($G303="","",IFERROR(IF(INDEX(設定!$D$6:$D$21,MATCH($G303,設定!$B$6:$B$21,0))=0,"",INDEX(設定!$D$6:$D$21,MATCH($G303,設定!$B$6:$B$21,0))),""))</f>
        <v/>
      </c>
      <c r="I303" s="83">
        <f>IF($G303="","",IFERROR(IF(INDEX(設定!$E$6:$E$21,MATCH($G303,設定!$B$6:$B$21,0))=0,"",INDEX(設定!$E$6:$E$21,MATCH($G303,設定!$B$6:$B$21,0))),""))</f>
        <v/>
      </c>
      <c r="J303" s="83">
        <f>IFERROR(INDEX(打卡匯入!$C$3:$C$2002,MATCH($C303&amp;"|"&amp;DAY($A303),打卡匯入!$E$3:$E$2002,0)),"")</f>
        <v/>
      </c>
      <c r="K303" s="83">
        <f>IFERROR(INDEX(打卡匯入!$D$3:$D$2002,MATCH($C303&amp;"|"&amp;DAY($A303),打卡匯入!$E$3:$E$2002,0)),"")</f>
        <v/>
      </c>
      <c r="L303" s="84">
        <f>IF(OR($J303="",$K303=""),"",IFERROR(INDEX(設定!$F$6:$F$21,MATCH($G303,設定!$B$6:$B$21,0)),0))</f>
        <v/>
      </c>
      <c r="M303" s="85">
        <f>IF(OR($J303="",$K303=""),"",ROUND(($K303-$J303)*24-$L303/60,2))</f>
        <v/>
      </c>
      <c r="N303" s="16">
        <f>IF($C303="","",IF(AND(COUNTIF(設定!$B$15:$B$21,$G303)&gt;0,$J303&lt;&gt;""),"假日出勤",IF(AND(COUNTIF(設定!$B$6:$B$14,$G303)&gt;0,$J303=""),"未打卡",IF($J303="","",IF($O303&gt;0,"遲到",IF($P303&gt;0,"早退","正常"))))))</f>
        <v/>
      </c>
      <c r="O303" s="84">
        <f>IF(OR($C303="",$H303="",$J303=""),0,IF(ROUND(($J303-$H303)*1440,0)&gt;設定!$C$46,ROUND(($J303-$H303)*1440,0),0))</f>
        <v/>
      </c>
      <c r="P303" s="84">
        <f>IF(OR($C303="",$I303="",$K303=""),0,IF(ROUND(($I303-$K303)*1440,0)&gt;設定!$C$46,ROUND(($I303-$K303)*1440,0),0))</f>
        <v/>
      </c>
      <c r="Q303" s="85">
        <f>IF($M303="",0,IF(($M303-IFERROR(INDEX(設定!$G$6:$G$21,MATCH($G303,設定!$B$6:$B$21,0)),0))*60&gt;=設定!$C$44,ROUND(FLOOR(($M303-IFERROR(INDEX(設定!$G$6:$G$21,MATCH($G303,設定!$B$6:$B$21,0)),0))*60,設定!$C$45)/60,2),0))</f>
        <v/>
      </c>
      <c r="R303" s="16">
        <f>IF(OR($C303="",$Q303=0),"",IF($G303="國","國定假日",IF($B303="日","例假",IF($B303="六","休息日","平日"))))</f>
        <v/>
      </c>
      <c r="S303" s="19" t="n"/>
    </row>
    <row r="304">
      <c r="A304" s="82">
        <f>IF(OR(助理班表!$A14="",23&gt;DAY(EOMONTH(DATE(設定!$C$2,設定!$D$2,1),0))),"",DATE(設定!$C$2,設定!$D$2,23))</f>
        <v/>
      </c>
      <c r="B304" s="16">
        <f>IF($A304="","",INDEX(設定!$O$6:$O$12,WEEKDAY($A304,1)))</f>
        <v/>
      </c>
      <c r="C304" s="16">
        <f>IF($A304="","",助理班表!$A14)</f>
        <v/>
      </c>
      <c r="D304" s="16">
        <f>IF($C304="","",助理班表!$B14)</f>
        <v/>
      </c>
      <c r="E304" s="16">
        <f>IF($C304="","",助理班表!$D14)</f>
        <v/>
      </c>
      <c r="F304" s="16">
        <f>IF($C304="","",助理班表!$C14)</f>
        <v/>
      </c>
      <c r="G304" s="16">
        <f>IF($C304="","",助理班表!AA14)</f>
        <v/>
      </c>
      <c r="H304" s="83">
        <f>IF($G304="","",IFERROR(IF(INDEX(設定!$D$6:$D$21,MATCH($G304,設定!$B$6:$B$21,0))=0,"",INDEX(設定!$D$6:$D$21,MATCH($G304,設定!$B$6:$B$21,0))),""))</f>
        <v/>
      </c>
      <c r="I304" s="83">
        <f>IF($G304="","",IFERROR(IF(INDEX(設定!$E$6:$E$21,MATCH($G304,設定!$B$6:$B$21,0))=0,"",INDEX(設定!$E$6:$E$21,MATCH($G304,設定!$B$6:$B$21,0))),""))</f>
        <v/>
      </c>
      <c r="J304" s="83">
        <f>IFERROR(INDEX(打卡匯入!$C$3:$C$2002,MATCH($C304&amp;"|"&amp;DAY($A304),打卡匯入!$E$3:$E$2002,0)),"")</f>
        <v/>
      </c>
      <c r="K304" s="83">
        <f>IFERROR(INDEX(打卡匯入!$D$3:$D$2002,MATCH($C304&amp;"|"&amp;DAY($A304),打卡匯入!$E$3:$E$2002,0)),"")</f>
        <v/>
      </c>
      <c r="L304" s="84">
        <f>IF(OR($J304="",$K304=""),"",IFERROR(INDEX(設定!$F$6:$F$21,MATCH($G304,設定!$B$6:$B$21,0)),0))</f>
        <v/>
      </c>
      <c r="M304" s="85">
        <f>IF(OR($J304="",$K304=""),"",ROUND(($K304-$J304)*24-$L304/60,2))</f>
        <v/>
      </c>
      <c r="N304" s="16">
        <f>IF($C304="","",IF(AND(COUNTIF(設定!$B$15:$B$21,$G304)&gt;0,$J304&lt;&gt;""),"假日出勤",IF(AND(COUNTIF(設定!$B$6:$B$14,$G304)&gt;0,$J304=""),"未打卡",IF($J304="","",IF($O304&gt;0,"遲到",IF($P304&gt;0,"早退","正常"))))))</f>
        <v/>
      </c>
      <c r="O304" s="84">
        <f>IF(OR($C304="",$H304="",$J304=""),0,IF(ROUND(($J304-$H304)*1440,0)&gt;設定!$C$46,ROUND(($J304-$H304)*1440,0),0))</f>
        <v/>
      </c>
      <c r="P304" s="84">
        <f>IF(OR($C304="",$I304="",$K304=""),0,IF(ROUND(($I304-$K304)*1440,0)&gt;設定!$C$46,ROUND(($I304-$K304)*1440,0),0))</f>
        <v/>
      </c>
      <c r="Q304" s="85">
        <f>IF($M304="",0,IF(($M304-IFERROR(INDEX(設定!$G$6:$G$21,MATCH($G304,設定!$B$6:$B$21,0)),0))*60&gt;=設定!$C$44,ROUND(FLOOR(($M304-IFERROR(INDEX(設定!$G$6:$G$21,MATCH($G304,設定!$B$6:$B$21,0)),0))*60,設定!$C$45)/60,2),0))</f>
        <v/>
      </c>
      <c r="R304" s="16">
        <f>IF(OR($C304="",$Q304=0),"",IF($G304="國","國定假日",IF($B304="日","例假",IF($B304="六","休息日","平日"))))</f>
        <v/>
      </c>
      <c r="S304" s="19" t="n"/>
    </row>
    <row r="305">
      <c r="A305" s="82">
        <f>IF(OR(助理班表!$A14="",24&gt;DAY(EOMONTH(DATE(設定!$C$2,設定!$D$2,1),0))),"",DATE(設定!$C$2,設定!$D$2,24))</f>
        <v/>
      </c>
      <c r="B305" s="16">
        <f>IF($A305="","",INDEX(設定!$O$6:$O$12,WEEKDAY($A305,1)))</f>
        <v/>
      </c>
      <c r="C305" s="16">
        <f>IF($A305="","",助理班表!$A14)</f>
        <v/>
      </c>
      <c r="D305" s="16">
        <f>IF($C305="","",助理班表!$B14)</f>
        <v/>
      </c>
      <c r="E305" s="16">
        <f>IF($C305="","",助理班表!$D14)</f>
        <v/>
      </c>
      <c r="F305" s="16">
        <f>IF($C305="","",助理班表!$C14)</f>
        <v/>
      </c>
      <c r="G305" s="16">
        <f>IF($C305="","",助理班表!AB14)</f>
        <v/>
      </c>
      <c r="H305" s="83">
        <f>IF($G305="","",IFERROR(IF(INDEX(設定!$D$6:$D$21,MATCH($G305,設定!$B$6:$B$21,0))=0,"",INDEX(設定!$D$6:$D$21,MATCH($G305,設定!$B$6:$B$21,0))),""))</f>
        <v/>
      </c>
      <c r="I305" s="83">
        <f>IF($G305="","",IFERROR(IF(INDEX(設定!$E$6:$E$21,MATCH($G305,設定!$B$6:$B$21,0))=0,"",INDEX(設定!$E$6:$E$21,MATCH($G305,設定!$B$6:$B$21,0))),""))</f>
        <v/>
      </c>
      <c r="J305" s="83">
        <f>IFERROR(INDEX(打卡匯入!$C$3:$C$2002,MATCH($C305&amp;"|"&amp;DAY($A305),打卡匯入!$E$3:$E$2002,0)),"")</f>
        <v/>
      </c>
      <c r="K305" s="83">
        <f>IFERROR(INDEX(打卡匯入!$D$3:$D$2002,MATCH($C305&amp;"|"&amp;DAY($A305),打卡匯入!$E$3:$E$2002,0)),"")</f>
        <v/>
      </c>
      <c r="L305" s="84">
        <f>IF(OR($J305="",$K305=""),"",IFERROR(INDEX(設定!$F$6:$F$21,MATCH($G305,設定!$B$6:$B$21,0)),0))</f>
        <v/>
      </c>
      <c r="M305" s="85">
        <f>IF(OR($J305="",$K305=""),"",ROUND(($K305-$J305)*24-$L305/60,2))</f>
        <v/>
      </c>
      <c r="N305" s="16">
        <f>IF($C305="","",IF(AND(COUNTIF(設定!$B$15:$B$21,$G305)&gt;0,$J305&lt;&gt;""),"假日出勤",IF(AND(COUNTIF(設定!$B$6:$B$14,$G305)&gt;0,$J305=""),"未打卡",IF($J305="","",IF($O305&gt;0,"遲到",IF($P305&gt;0,"早退","正常"))))))</f>
        <v/>
      </c>
      <c r="O305" s="84">
        <f>IF(OR($C305="",$H305="",$J305=""),0,IF(ROUND(($J305-$H305)*1440,0)&gt;設定!$C$46,ROUND(($J305-$H305)*1440,0),0))</f>
        <v/>
      </c>
      <c r="P305" s="84">
        <f>IF(OR($C305="",$I305="",$K305=""),0,IF(ROUND(($I305-$K305)*1440,0)&gt;設定!$C$46,ROUND(($I305-$K305)*1440,0),0))</f>
        <v/>
      </c>
      <c r="Q305" s="85">
        <f>IF($M305="",0,IF(($M305-IFERROR(INDEX(設定!$G$6:$G$21,MATCH($G305,設定!$B$6:$B$21,0)),0))*60&gt;=設定!$C$44,ROUND(FLOOR(($M305-IFERROR(INDEX(設定!$G$6:$G$21,MATCH($G305,設定!$B$6:$B$21,0)),0))*60,設定!$C$45)/60,2),0))</f>
        <v/>
      </c>
      <c r="R305" s="16">
        <f>IF(OR($C305="",$Q305=0),"",IF($G305="國","國定假日",IF($B305="日","例假",IF($B305="六","休息日","平日"))))</f>
        <v/>
      </c>
      <c r="S305" s="19" t="n"/>
    </row>
    <row r="306">
      <c r="A306" s="82">
        <f>IF(OR(助理班表!$A14="",25&gt;DAY(EOMONTH(DATE(設定!$C$2,設定!$D$2,1),0))),"",DATE(設定!$C$2,設定!$D$2,25))</f>
        <v/>
      </c>
      <c r="B306" s="16">
        <f>IF($A306="","",INDEX(設定!$O$6:$O$12,WEEKDAY($A306,1)))</f>
        <v/>
      </c>
      <c r="C306" s="16">
        <f>IF($A306="","",助理班表!$A14)</f>
        <v/>
      </c>
      <c r="D306" s="16">
        <f>IF($C306="","",助理班表!$B14)</f>
        <v/>
      </c>
      <c r="E306" s="16">
        <f>IF($C306="","",助理班表!$D14)</f>
        <v/>
      </c>
      <c r="F306" s="16">
        <f>IF($C306="","",助理班表!$C14)</f>
        <v/>
      </c>
      <c r="G306" s="16">
        <f>IF($C306="","",助理班表!AC14)</f>
        <v/>
      </c>
      <c r="H306" s="83">
        <f>IF($G306="","",IFERROR(IF(INDEX(設定!$D$6:$D$21,MATCH($G306,設定!$B$6:$B$21,0))=0,"",INDEX(設定!$D$6:$D$21,MATCH($G306,設定!$B$6:$B$21,0))),""))</f>
        <v/>
      </c>
      <c r="I306" s="83">
        <f>IF($G306="","",IFERROR(IF(INDEX(設定!$E$6:$E$21,MATCH($G306,設定!$B$6:$B$21,0))=0,"",INDEX(設定!$E$6:$E$21,MATCH($G306,設定!$B$6:$B$21,0))),""))</f>
        <v/>
      </c>
      <c r="J306" s="83">
        <f>IFERROR(INDEX(打卡匯入!$C$3:$C$2002,MATCH($C306&amp;"|"&amp;DAY($A306),打卡匯入!$E$3:$E$2002,0)),"")</f>
        <v/>
      </c>
      <c r="K306" s="83">
        <f>IFERROR(INDEX(打卡匯入!$D$3:$D$2002,MATCH($C306&amp;"|"&amp;DAY($A306),打卡匯入!$E$3:$E$2002,0)),"")</f>
        <v/>
      </c>
      <c r="L306" s="84">
        <f>IF(OR($J306="",$K306=""),"",IFERROR(INDEX(設定!$F$6:$F$21,MATCH($G306,設定!$B$6:$B$21,0)),0))</f>
        <v/>
      </c>
      <c r="M306" s="85">
        <f>IF(OR($J306="",$K306=""),"",ROUND(($K306-$J306)*24-$L306/60,2))</f>
        <v/>
      </c>
      <c r="N306" s="16">
        <f>IF($C306="","",IF(AND(COUNTIF(設定!$B$15:$B$21,$G306)&gt;0,$J306&lt;&gt;""),"假日出勤",IF(AND(COUNTIF(設定!$B$6:$B$14,$G306)&gt;0,$J306=""),"未打卡",IF($J306="","",IF($O306&gt;0,"遲到",IF($P306&gt;0,"早退","正常"))))))</f>
        <v/>
      </c>
      <c r="O306" s="84">
        <f>IF(OR($C306="",$H306="",$J306=""),0,IF(ROUND(($J306-$H306)*1440,0)&gt;設定!$C$46,ROUND(($J306-$H306)*1440,0),0))</f>
        <v/>
      </c>
      <c r="P306" s="84">
        <f>IF(OR($C306="",$I306="",$K306=""),0,IF(ROUND(($I306-$K306)*1440,0)&gt;設定!$C$46,ROUND(($I306-$K306)*1440,0),0))</f>
        <v/>
      </c>
      <c r="Q306" s="85">
        <f>IF($M306="",0,IF(($M306-IFERROR(INDEX(設定!$G$6:$G$21,MATCH($G306,設定!$B$6:$B$21,0)),0))*60&gt;=設定!$C$44,ROUND(FLOOR(($M306-IFERROR(INDEX(設定!$G$6:$G$21,MATCH($G306,設定!$B$6:$B$21,0)),0))*60,設定!$C$45)/60,2),0))</f>
        <v/>
      </c>
      <c r="R306" s="16">
        <f>IF(OR($C306="",$Q306=0),"",IF($G306="國","國定假日",IF($B306="日","例假",IF($B306="六","休息日","平日"))))</f>
        <v/>
      </c>
      <c r="S306" s="19" t="n"/>
    </row>
    <row r="307">
      <c r="A307" s="82">
        <f>IF(OR(助理班表!$A14="",26&gt;DAY(EOMONTH(DATE(設定!$C$2,設定!$D$2,1),0))),"",DATE(設定!$C$2,設定!$D$2,26))</f>
        <v/>
      </c>
      <c r="B307" s="16">
        <f>IF($A307="","",INDEX(設定!$O$6:$O$12,WEEKDAY($A307,1)))</f>
        <v/>
      </c>
      <c r="C307" s="16">
        <f>IF($A307="","",助理班表!$A14)</f>
        <v/>
      </c>
      <c r="D307" s="16">
        <f>IF($C307="","",助理班表!$B14)</f>
        <v/>
      </c>
      <c r="E307" s="16">
        <f>IF($C307="","",助理班表!$D14)</f>
        <v/>
      </c>
      <c r="F307" s="16">
        <f>IF($C307="","",助理班表!$C14)</f>
        <v/>
      </c>
      <c r="G307" s="16">
        <f>IF($C307="","",助理班表!AD14)</f>
        <v/>
      </c>
      <c r="H307" s="83">
        <f>IF($G307="","",IFERROR(IF(INDEX(設定!$D$6:$D$21,MATCH($G307,設定!$B$6:$B$21,0))=0,"",INDEX(設定!$D$6:$D$21,MATCH($G307,設定!$B$6:$B$21,0))),""))</f>
        <v/>
      </c>
      <c r="I307" s="83">
        <f>IF($G307="","",IFERROR(IF(INDEX(設定!$E$6:$E$21,MATCH($G307,設定!$B$6:$B$21,0))=0,"",INDEX(設定!$E$6:$E$21,MATCH($G307,設定!$B$6:$B$21,0))),""))</f>
        <v/>
      </c>
      <c r="J307" s="83">
        <f>IFERROR(INDEX(打卡匯入!$C$3:$C$2002,MATCH($C307&amp;"|"&amp;DAY($A307),打卡匯入!$E$3:$E$2002,0)),"")</f>
        <v/>
      </c>
      <c r="K307" s="83">
        <f>IFERROR(INDEX(打卡匯入!$D$3:$D$2002,MATCH($C307&amp;"|"&amp;DAY($A307),打卡匯入!$E$3:$E$2002,0)),"")</f>
        <v/>
      </c>
      <c r="L307" s="84">
        <f>IF(OR($J307="",$K307=""),"",IFERROR(INDEX(設定!$F$6:$F$21,MATCH($G307,設定!$B$6:$B$21,0)),0))</f>
        <v/>
      </c>
      <c r="M307" s="85">
        <f>IF(OR($J307="",$K307=""),"",ROUND(($K307-$J307)*24-$L307/60,2))</f>
        <v/>
      </c>
      <c r="N307" s="16">
        <f>IF($C307="","",IF(AND(COUNTIF(設定!$B$15:$B$21,$G307)&gt;0,$J307&lt;&gt;""),"假日出勤",IF(AND(COUNTIF(設定!$B$6:$B$14,$G307)&gt;0,$J307=""),"未打卡",IF($J307="","",IF($O307&gt;0,"遲到",IF($P307&gt;0,"早退","正常"))))))</f>
        <v/>
      </c>
      <c r="O307" s="84">
        <f>IF(OR($C307="",$H307="",$J307=""),0,IF(ROUND(($J307-$H307)*1440,0)&gt;設定!$C$46,ROUND(($J307-$H307)*1440,0),0))</f>
        <v/>
      </c>
      <c r="P307" s="84">
        <f>IF(OR($C307="",$I307="",$K307=""),0,IF(ROUND(($I307-$K307)*1440,0)&gt;設定!$C$46,ROUND(($I307-$K307)*1440,0),0))</f>
        <v/>
      </c>
      <c r="Q307" s="85">
        <f>IF($M307="",0,IF(($M307-IFERROR(INDEX(設定!$G$6:$G$21,MATCH($G307,設定!$B$6:$B$21,0)),0))*60&gt;=設定!$C$44,ROUND(FLOOR(($M307-IFERROR(INDEX(設定!$G$6:$G$21,MATCH($G307,設定!$B$6:$B$21,0)),0))*60,設定!$C$45)/60,2),0))</f>
        <v/>
      </c>
      <c r="R307" s="16">
        <f>IF(OR($C307="",$Q307=0),"",IF($G307="國","國定假日",IF($B307="日","例假",IF($B307="六","休息日","平日"))))</f>
        <v/>
      </c>
      <c r="S307" s="19" t="n"/>
    </row>
    <row r="308">
      <c r="A308" s="82">
        <f>IF(OR(助理班表!$A14="",27&gt;DAY(EOMONTH(DATE(設定!$C$2,設定!$D$2,1),0))),"",DATE(設定!$C$2,設定!$D$2,27))</f>
        <v/>
      </c>
      <c r="B308" s="16">
        <f>IF($A308="","",INDEX(設定!$O$6:$O$12,WEEKDAY($A308,1)))</f>
        <v/>
      </c>
      <c r="C308" s="16">
        <f>IF($A308="","",助理班表!$A14)</f>
        <v/>
      </c>
      <c r="D308" s="16">
        <f>IF($C308="","",助理班表!$B14)</f>
        <v/>
      </c>
      <c r="E308" s="16">
        <f>IF($C308="","",助理班表!$D14)</f>
        <v/>
      </c>
      <c r="F308" s="16">
        <f>IF($C308="","",助理班表!$C14)</f>
        <v/>
      </c>
      <c r="G308" s="16">
        <f>IF($C308="","",助理班表!AE14)</f>
        <v/>
      </c>
      <c r="H308" s="83">
        <f>IF($G308="","",IFERROR(IF(INDEX(設定!$D$6:$D$21,MATCH($G308,設定!$B$6:$B$21,0))=0,"",INDEX(設定!$D$6:$D$21,MATCH($G308,設定!$B$6:$B$21,0))),""))</f>
        <v/>
      </c>
      <c r="I308" s="83">
        <f>IF($G308="","",IFERROR(IF(INDEX(設定!$E$6:$E$21,MATCH($G308,設定!$B$6:$B$21,0))=0,"",INDEX(設定!$E$6:$E$21,MATCH($G308,設定!$B$6:$B$21,0))),""))</f>
        <v/>
      </c>
      <c r="J308" s="83">
        <f>IFERROR(INDEX(打卡匯入!$C$3:$C$2002,MATCH($C308&amp;"|"&amp;DAY($A308),打卡匯入!$E$3:$E$2002,0)),"")</f>
        <v/>
      </c>
      <c r="K308" s="83">
        <f>IFERROR(INDEX(打卡匯入!$D$3:$D$2002,MATCH($C308&amp;"|"&amp;DAY($A308),打卡匯入!$E$3:$E$2002,0)),"")</f>
        <v/>
      </c>
      <c r="L308" s="84">
        <f>IF(OR($J308="",$K308=""),"",IFERROR(INDEX(設定!$F$6:$F$21,MATCH($G308,設定!$B$6:$B$21,0)),0))</f>
        <v/>
      </c>
      <c r="M308" s="85">
        <f>IF(OR($J308="",$K308=""),"",ROUND(($K308-$J308)*24-$L308/60,2))</f>
        <v/>
      </c>
      <c r="N308" s="16">
        <f>IF($C308="","",IF(AND(COUNTIF(設定!$B$15:$B$21,$G308)&gt;0,$J308&lt;&gt;""),"假日出勤",IF(AND(COUNTIF(設定!$B$6:$B$14,$G308)&gt;0,$J308=""),"未打卡",IF($J308="","",IF($O308&gt;0,"遲到",IF($P308&gt;0,"早退","正常"))))))</f>
        <v/>
      </c>
      <c r="O308" s="84">
        <f>IF(OR($C308="",$H308="",$J308=""),0,IF(ROUND(($J308-$H308)*1440,0)&gt;設定!$C$46,ROUND(($J308-$H308)*1440,0),0))</f>
        <v/>
      </c>
      <c r="P308" s="84">
        <f>IF(OR($C308="",$I308="",$K308=""),0,IF(ROUND(($I308-$K308)*1440,0)&gt;設定!$C$46,ROUND(($I308-$K308)*1440,0),0))</f>
        <v/>
      </c>
      <c r="Q308" s="85">
        <f>IF($M308="",0,IF(($M308-IFERROR(INDEX(設定!$G$6:$G$21,MATCH($G308,設定!$B$6:$B$21,0)),0))*60&gt;=設定!$C$44,ROUND(FLOOR(($M308-IFERROR(INDEX(設定!$G$6:$G$21,MATCH($G308,設定!$B$6:$B$21,0)),0))*60,設定!$C$45)/60,2),0))</f>
        <v/>
      </c>
      <c r="R308" s="16">
        <f>IF(OR($C308="",$Q308=0),"",IF($G308="國","國定假日",IF($B308="日","例假",IF($B308="六","休息日","平日"))))</f>
        <v/>
      </c>
      <c r="S308" s="19" t="n"/>
    </row>
    <row r="309">
      <c r="A309" s="82">
        <f>IF(OR(助理班表!$A14="",28&gt;DAY(EOMONTH(DATE(設定!$C$2,設定!$D$2,1),0))),"",DATE(設定!$C$2,設定!$D$2,28))</f>
        <v/>
      </c>
      <c r="B309" s="16">
        <f>IF($A309="","",INDEX(設定!$O$6:$O$12,WEEKDAY($A309,1)))</f>
        <v/>
      </c>
      <c r="C309" s="16">
        <f>IF($A309="","",助理班表!$A14)</f>
        <v/>
      </c>
      <c r="D309" s="16">
        <f>IF($C309="","",助理班表!$B14)</f>
        <v/>
      </c>
      <c r="E309" s="16">
        <f>IF($C309="","",助理班表!$D14)</f>
        <v/>
      </c>
      <c r="F309" s="16">
        <f>IF($C309="","",助理班表!$C14)</f>
        <v/>
      </c>
      <c r="G309" s="16">
        <f>IF($C309="","",助理班表!AF14)</f>
        <v/>
      </c>
      <c r="H309" s="83">
        <f>IF($G309="","",IFERROR(IF(INDEX(設定!$D$6:$D$21,MATCH($G309,設定!$B$6:$B$21,0))=0,"",INDEX(設定!$D$6:$D$21,MATCH($G309,設定!$B$6:$B$21,0))),""))</f>
        <v/>
      </c>
      <c r="I309" s="83">
        <f>IF($G309="","",IFERROR(IF(INDEX(設定!$E$6:$E$21,MATCH($G309,設定!$B$6:$B$21,0))=0,"",INDEX(設定!$E$6:$E$21,MATCH($G309,設定!$B$6:$B$21,0))),""))</f>
        <v/>
      </c>
      <c r="J309" s="83">
        <f>IFERROR(INDEX(打卡匯入!$C$3:$C$2002,MATCH($C309&amp;"|"&amp;DAY($A309),打卡匯入!$E$3:$E$2002,0)),"")</f>
        <v/>
      </c>
      <c r="K309" s="83">
        <f>IFERROR(INDEX(打卡匯入!$D$3:$D$2002,MATCH($C309&amp;"|"&amp;DAY($A309),打卡匯入!$E$3:$E$2002,0)),"")</f>
        <v/>
      </c>
      <c r="L309" s="84">
        <f>IF(OR($J309="",$K309=""),"",IFERROR(INDEX(設定!$F$6:$F$21,MATCH($G309,設定!$B$6:$B$21,0)),0))</f>
        <v/>
      </c>
      <c r="M309" s="85">
        <f>IF(OR($J309="",$K309=""),"",ROUND(($K309-$J309)*24-$L309/60,2))</f>
        <v/>
      </c>
      <c r="N309" s="16">
        <f>IF($C309="","",IF(AND(COUNTIF(設定!$B$15:$B$21,$G309)&gt;0,$J309&lt;&gt;""),"假日出勤",IF(AND(COUNTIF(設定!$B$6:$B$14,$G309)&gt;0,$J309=""),"未打卡",IF($J309="","",IF($O309&gt;0,"遲到",IF($P309&gt;0,"早退","正常"))))))</f>
        <v/>
      </c>
      <c r="O309" s="84">
        <f>IF(OR($C309="",$H309="",$J309=""),0,IF(ROUND(($J309-$H309)*1440,0)&gt;設定!$C$46,ROUND(($J309-$H309)*1440,0),0))</f>
        <v/>
      </c>
      <c r="P309" s="84">
        <f>IF(OR($C309="",$I309="",$K309=""),0,IF(ROUND(($I309-$K309)*1440,0)&gt;設定!$C$46,ROUND(($I309-$K309)*1440,0),0))</f>
        <v/>
      </c>
      <c r="Q309" s="85">
        <f>IF($M309="",0,IF(($M309-IFERROR(INDEX(設定!$G$6:$G$21,MATCH($G309,設定!$B$6:$B$21,0)),0))*60&gt;=設定!$C$44,ROUND(FLOOR(($M309-IFERROR(INDEX(設定!$G$6:$G$21,MATCH($G309,設定!$B$6:$B$21,0)),0))*60,設定!$C$45)/60,2),0))</f>
        <v/>
      </c>
      <c r="R309" s="16">
        <f>IF(OR($C309="",$Q309=0),"",IF($G309="國","國定假日",IF($B309="日","例假",IF($B309="六","休息日","平日"))))</f>
        <v/>
      </c>
      <c r="S309" s="19" t="n"/>
    </row>
    <row r="310">
      <c r="A310" s="82">
        <f>IF(OR(助理班表!$A14="",29&gt;DAY(EOMONTH(DATE(設定!$C$2,設定!$D$2,1),0))),"",DATE(設定!$C$2,設定!$D$2,29))</f>
        <v/>
      </c>
      <c r="B310" s="16">
        <f>IF($A310="","",INDEX(設定!$O$6:$O$12,WEEKDAY($A310,1)))</f>
        <v/>
      </c>
      <c r="C310" s="16">
        <f>IF($A310="","",助理班表!$A14)</f>
        <v/>
      </c>
      <c r="D310" s="16">
        <f>IF($C310="","",助理班表!$B14)</f>
        <v/>
      </c>
      <c r="E310" s="16">
        <f>IF($C310="","",助理班表!$D14)</f>
        <v/>
      </c>
      <c r="F310" s="16">
        <f>IF($C310="","",助理班表!$C14)</f>
        <v/>
      </c>
      <c r="G310" s="16">
        <f>IF($C310="","",助理班表!AG14)</f>
        <v/>
      </c>
      <c r="H310" s="83">
        <f>IF($G310="","",IFERROR(IF(INDEX(設定!$D$6:$D$21,MATCH($G310,設定!$B$6:$B$21,0))=0,"",INDEX(設定!$D$6:$D$21,MATCH($G310,設定!$B$6:$B$21,0))),""))</f>
        <v/>
      </c>
      <c r="I310" s="83">
        <f>IF($G310="","",IFERROR(IF(INDEX(設定!$E$6:$E$21,MATCH($G310,設定!$B$6:$B$21,0))=0,"",INDEX(設定!$E$6:$E$21,MATCH($G310,設定!$B$6:$B$21,0))),""))</f>
        <v/>
      </c>
      <c r="J310" s="83">
        <f>IFERROR(INDEX(打卡匯入!$C$3:$C$2002,MATCH($C310&amp;"|"&amp;DAY($A310),打卡匯入!$E$3:$E$2002,0)),"")</f>
        <v/>
      </c>
      <c r="K310" s="83">
        <f>IFERROR(INDEX(打卡匯入!$D$3:$D$2002,MATCH($C310&amp;"|"&amp;DAY($A310),打卡匯入!$E$3:$E$2002,0)),"")</f>
        <v/>
      </c>
      <c r="L310" s="84">
        <f>IF(OR($J310="",$K310=""),"",IFERROR(INDEX(設定!$F$6:$F$21,MATCH($G310,設定!$B$6:$B$21,0)),0))</f>
        <v/>
      </c>
      <c r="M310" s="85">
        <f>IF(OR($J310="",$K310=""),"",ROUND(($K310-$J310)*24-$L310/60,2))</f>
        <v/>
      </c>
      <c r="N310" s="16">
        <f>IF($C310="","",IF(AND(COUNTIF(設定!$B$15:$B$21,$G310)&gt;0,$J310&lt;&gt;""),"假日出勤",IF(AND(COUNTIF(設定!$B$6:$B$14,$G310)&gt;0,$J310=""),"未打卡",IF($J310="","",IF($O310&gt;0,"遲到",IF($P310&gt;0,"早退","正常"))))))</f>
        <v/>
      </c>
      <c r="O310" s="84">
        <f>IF(OR($C310="",$H310="",$J310=""),0,IF(ROUND(($J310-$H310)*1440,0)&gt;設定!$C$46,ROUND(($J310-$H310)*1440,0),0))</f>
        <v/>
      </c>
      <c r="P310" s="84">
        <f>IF(OR($C310="",$I310="",$K310=""),0,IF(ROUND(($I310-$K310)*1440,0)&gt;設定!$C$46,ROUND(($I310-$K310)*1440,0),0))</f>
        <v/>
      </c>
      <c r="Q310" s="85">
        <f>IF($M310="",0,IF(($M310-IFERROR(INDEX(設定!$G$6:$G$21,MATCH($G310,設定!$B$6:$B$21,0)),0))*60&gt;=設定!$C$44,ROUND(FLOOR(($M310-IFERROR(INDEX(設定!$G$6:$G$21,MATCH($G310,設定!$B$6:$B$21,0)),0))*60,設定!$C$45)/60,2),0))</f>
        <v/>
      </c>
      <c r="R310" s="16">
        <f>IF(OR($C310="",$Q310=0),"",IF($G310="國","國定假日",IF($B310="日","例假",IF($B310="六","休息日","平日"))))</f>
        <v/>
      </c>
      <c r="S310" s="19" t="n"/>
    </row>
    <row r="311">
      <c r="A311" s="82">
        <f>IF(OR(助理班表!$A14="",30&gt;DAY(EOMONTH(DATE(設定!$C$2,設定!$D$2,1),0))),"",DATE(設定!$C$2,設定!$D$2,30))</f>
        <v/>
      </c>
      <c r="B311" s="16">
        <f>IF($A311="","",INDEX(設定!$O$6:$O$12,WEEKDAY($A311,1)))</f>
        <v/>
      </c>
      <c r="C311" s="16">
        <f>IF($A311="","",助理班表!$A14)</f>
        <v/>
      </c>
      <c r="D311" s="16">
        <f>IF($C311="","",助理班表!$B14)</f>
        <v/>
      </c>
      <c r="E311" s="16">
        <f>IF($C311="","",助理班表!$D14)</f>
        <v/>
      </c>
      <c r="F311" s="16">
        <f>IF($C311="","",助理班表!$C14)</f>
        <v/>
      </c>
      <c r="G311" s="16">
        <f>IF($C311="","",助理班表!AH14)</f>
        <v/>
      </c>
      <c r="H311" s="83">
        <f>IF($G311="","",IFERROR(IF(INDEX(設定!$D$6:$D$21,MATCH($G311,設定!$B$6:$B$21,0))=0,"",INDEX(設定!$D$6:$D$21,MATCH($G311,設定!$B$6:$B$21,0))),""))</f>
        <v/>
      </c>
      <c r="I311" s="83">
        <f>IF($G311="","",IFERROR(IF(INDEX(設定!$E$6:$E$21,MATCH($G311,設定!$B$6:$B$21,0))=0,"",INDEX(設定!$E$6:$E$21,MATCH($G311,設定!$B$6:$B$21,0))),""))</f>
        <v/>
      </c>
      <c r="J311" s="83">
        <f>IFERROR(INDEX(打卡匯入!$C$3:$C$2002,MATCH($C311&amp;"|"&amp;DAY($A311),打卡匯入!$E$3:$E$2002,0)),"")</f>
        <v/>
      </c>
      <c r="K311" s="83">
        <f>IFERROR(INDEX(打卡匯入!$D$3:$D$2002,MATCH($C311&amp;"|"&amp;DAY($A311),打卡匯入!$E$3:$E$2002,0)),"")</f>
        <v/>
      </c>
      <c r="L311" s="84">
        <f>IF(OR($J311="",$K311=""),"",IFERROR(INDEX(設定!$F$6:$F$21,MATCH($G311,設定!$B$6:$B$21,0)),0))</f>
        <v/>
      </c>
      <c r="M311" s="85">
        <f>IF(OR($J311="",$K311=""),"",ROUND(($K311-$J311)*24-$L311/60,2))</f>
        <v/>
      </c>
      <c r="N311" s="16">
        <f>IF($C311="","",IF(AND(COUNTIF(設定!$B$15:$B$21,$G311)&gt;0,$J311&lt;&gt;""),"假日出勤",IF(AND(COUNTIF(設定!$B$6:$B$14,$G311)&gt;0,$J311=""),"未打卡",IF($J311="","",IF($O311&gt;0,"遲到",IF($P311&gt;0,"早退","正常"))))))</f>
        <v/>
      </c>
      <c r="O311" s="84">
        <f>IF(OR($C311="",$H311="",$J311=""),0,IF(ROUND(($J311-$H311)*1440,0)&gt;設定!$C$46,ROUND(($J311-$H311)*1440,0),0))</f>
        <v/>
      </c>
      <c r="P311" s="84">
        <f>IF(OR($C311="",$I311="",$K311=""),0,IF(ROUND(($I311-$K311)*1440,0)&gt;設定!$C$46,ROUND(($I311-$K311)*1440,0),0))</f>
        <v/>
      </c>
      <c r="Q311" s="85">
        <f>IF($M311="",0,IF(($M311-IFERROR(INDEX(設定!$G$6:$G$21,MATCH($G311,設定!$B$6:$B$21,0)),0))*60&gt;=設定!$C$44,ROUND(FLOOR(($M311-IFERROR(INDEX(設定!$G$6:$G$21,MATCH($G311,設定!$B$6:$B$21,0)),0))*60,設定!$C$45)/60,2),0))</f>
        <v/>
      </c>
      <c r="R311" s="16">
        <f>IF(OR($C311="",$Q311=0),"",IF($G311="國","國定假日",IF($B311="日","例假",IF($B311="六","休息日","平日"))))</f>
        <v/>
      </c>
      <c r="S311" s="19" t="n"/>
    </row>
    <row r="312">
      <c r="A312" s="82">
        <f>IF(OR(助理班表!$A14="",31&gt;DAY(EOMONTH(DATE(設定!$C$2,設定!$D$2,1),0))),"",DATE(設定!$C$2,設定!$D$2,31))</f>
        <v/>
      </c>
      <c r="B312" s="16">
        <f>IF($A312="","",INDEX(設定!$O$6:$O$12,WEEKDAY($A312,1)))</f>
        <v/>
      </c>
      <c r="C312" s="16">
        <f>IF($A312="","",助理班表!$A14)</f>
        <v/>
      </c>
      <c r="D312" s="16">
        <f>IF($C312="","",助理班表!$B14)</f>
        <v/>
      </c>
      <c r="E312" s="16">
        <f>IF($C312="","",助理班表!$D14)</f>
        <v/>
      </c>
      <c r="F312" s="16">
        <f>IF($C312="","",助理班表!$C14)</f>
        <v/>
      </c>
      <c r="G312" s="16">
        <f>IF($C312="","",助理班表!AI14)</f>
        <v/>
      </c>
      <c r="H312" s="83">
        <f>IF($G312="","",IFERROR(IF(INDEX(設定!$D$6:$D$21,MATCH($G312,設定!$B$6:$B$21,0))=0,"",INDEX(設定!$D$6:$D$21,MATCH($G312,設定!$B$6:$B$21,0))),""))</f>
        <v/>
      </c>
      <c r="I312" s="83">
        <f>IF($G312="","",IFERROR(IF(INDEX(設定!$E$6:$E$21,MATCH($G312,設定!$B$6:$B$21,0))=0,"",INDEX(設定!$E$6:$E$21,MATCH($G312,設定!$B$6:$B$21,0))),""))</f>
        <v/>
      </c>
      <c r="J312" s="83">
        <f>IFERROR(INDEX(打卡匯入!$C$3:$C$2002,MATCH($C312&amp;"|"&amp;DAY($A312),打卡匯入!$E$3:$E$2002,0)),"")</f>
        <v/>
      </c>
      <c r="K312" s="83">
        <f>IFERROR(INDEX(打卡匯入!$D$3:$D$2002,MATCH($C312&amp;"|"&amp;DAY($A312),打卡匯入!$E$3:$E$2002,0)),"")</f>
        <v/>
      </c>
      <c r="L312" s="84">
        <f>IF(OR($J312="",$K312=""),"",IFERROR(INDEX(設定!$F$6:$F$21,MATCH($G312,設定!$B$6:$B$21,0)),0))</f>
        <v/>
      </c>
      <c r="M312" s="85">
        <f>IF(OR($J312="",$K312=""),"",ROUND(($K312-$J312)*24-$L312/60,2))</f>
        <v/>
      </c>
      <c r="N312" s="16">
        <f>IF($C312="","",IF(AND(COUNTIF(設定!$B$15:$B$21,$G312)&gt;0,$J312&lt;&gt;""),"假日出勤",IF(AND(COUNTIF(設定!$B$6:$B$14,$G312)&gt;0,$J312=""),"未打卡",IF($J312="","",IF($O312&gt;0,"遲到",IF($P312&gt;0,"早退","正常"))))))</f>
        <v/>
      </c>
      <c r="O312" s="84">
        <f>IF(OR($C312="",$H312="",$J312=""),0,IF(ROUND(($J312-$H312)*1440,0)&gt;設定!$C$46,ROUND(($J312-$H312)*1440,0),0))</f>
        <v/>
      </c>
      <c r="P312" s="84">
        <f>IF(OR($C312="",$I312="",$K312=""),0,IF(ROUND(($I312-$K312)*1440,0)&gt;設定!$C$46,ROUND(($I312-$K312)*1440,0),0))</f>
        <v/>
      </c>
      <c r="Q312" s="85">
        <f>IF($M312="",0,IF(($M312-IFERROR(INDEX(設定!$G$6:$G$21,MATCH($G312,設定!$B$6:$B$21,0)),0))*60&gt;=設定!$C$44,ROUND(FLOOR(($M312-IFERROR(INDEX(設定!$G$6:$G$21,MATCH($G312,設定!$B$6:$B$21,0)),0))*60,設定!$C$45)/60,2),0))</f>
        <v/>
      </c>
      <c r="R312" s="16">
        <f>IF(OR($C312="",$Q312=0),"",IF($G312="國","國定假日",IF($B312="日","例假",IF($B312="六","休息日","平日"))))</f>
        <v/>
      </c>
      <c r="S312" s="19" t="n"/>
    </row>
    <row r="313">
      <c r="A313" s="82">
        <f>IF(OR(助理班表!$A15="",1&gt;DAY(EOMONTH(DATE(設定!$C$2,設定!$D$2,1),0))),"",DATE(設定!$C$2,設定!$D$2,1))</f>
        <v/>
      </c>
      <c r="B313" s="16">
        <f>IF($A313="","",INDEX(設定!$O$6:$O$12,WEEKDAY($A313,1)))</f>
        <v/>
      </c>
      <c r="C313" s="16">
        <f>IF($A313="","",助理班表!$A15)</f>
        <v/>
      </c>
      <c r="D313" s="16">
        <f>IF($C313="","",助理班表!$B15)</f>
        <v/>
      </c>
      <c r="E313" s="16">
        <f>IF($C313="","",助理班表!$D15)</f>
        <v/>
      </c>
      <c r="F313" s="16">
        <f>IF($C313="","",助理班表!$C15)</f>
        <v/>
      </c>
      <c r="G313" s="16">
        <f>IF($C313="","",助理班表!E15)</f>
        <v/>
      </c>
      <c r="H313" s="83">
        <f>IF($G313="","",IFERROR(IF(INDEX(設定!$D$6:$D$21,MATCH($G313,設定!$B$6:$B$21,0))=0,"",INDEX(設定!$D$6:$D$21,MATCH($G313,設定!$B$6:$B$21,0))),""))</f>
        <v/>
      </c>
      <c r="I313" s="83">
        <f>IF($G313="","",IFERROR(IF(INDEX(設定!$E$6:$E$21,MATCH($G313,設定!$B$6:$B$21,0))=0,"",INDEX(設定!$E$6:$E$21,MATCH($G313,設定!$B$6:$B$21,0))),""))</f>
        <v/>
      </c>
      <c r="J313" s="83">
        <f>IFERROR(INDEX(打卡匯入!$C$3:$C$2002,MATCH($C313&amp;"|"&amp;DAY($A313),打卡匯入!$E$3:$E$2002,0)),"")</f>
        <v/>
      </c>
      <c r="K313" s="83">
        <f>IFERROR(INDEX(打卡匯入!$D$3:$D$2002,MATCH($C313&amp;"|"&amp;DAY($A313),打卡匯入!$E$3:$E$2002,0)),"")</f>
        <v/>
      </c>
      <c r="L313" s="84">
        <f>IF(OR($J313="",$K313=""),"",IFERROR(INDEX(設定!$F$6:$F$21,MATCH($G313,設定!$B$6:$B$21,0)),0))</f>
        <v/>
      </c>
      <c r="M313" s="85">
        <f>IF(OR($J313="",$K313=""),"",ROUND(($K313-$J313)*24-$L313/60,2))</f>
        <v/>
      </c>
      <c r="N313" s="16">
        <f>IF($C313="","",IF(AND(COUNTIF(設定!$B$15:$B$21,$G313)&gt;0,$J313&lt;&gt;""),"假日出勤",IF(AND(COUNTIF(設定!$B$6:$B$14,$G313)&gt;0,$J313=""),"未打卡",IF($J313="","",IF($O313&gt;0,"遲到",IF($P313&gt;0,"早退","正常"))))))</f>
        <v/>
      </c>
      <c r="O313" s="84">
        <f>IF(OR($C313="",$H313="",$J313=""),0,IF(ROUND(($J313-$H313)*1440,0)&gt;設定!$C$46,ROUND(($J313-$H313)*1440,0),0))</f>
        <v/>
      </c>
      <c r="P313" s="84">
        <f>IF(OR($C313="",$I313="",$K313=""),0,IF(ROUND(($I313-$K313)*1440,0)&gt;設定!$C$46,ROUND(($I313-$K313)*1440,0),0))</f>
        <v/>
      </c>
      <c r="Q313" s="85">
        <f>IF($M313="",0,IF(($M313-IFERROR(INDEX(設定!$G$6:$G$21,MATCH($G313,設定!$B$6:$B$21,0)),0))*60&gt;=設定!$C$44,ROUND(FLOOR(($M313-IFERROR(INDEX(設定!$G$6:$G$21,MATCH($G313,設定!$B$6:$B$21,0)),0))*60,設定!$C$45)/60,2),0))</f>
        <v/>
      </c>
      <c r="R313" s="16">
        <f>IF(OR($C313="",$Q313=0),"",IF($G313="國","國定假日",IF($B313="日","例假",IF($B313="六","休息日","平日"))))</f>
        <v/>
      </c>
      <c r="S313" s="19" t="n"/>
    </row>
    <row r="314">
      <c r="A314" s="82">
        <f>IF(OR(助理班表!$A15="",2&gt;DAY(EOMONTH(DATE(設定!$C$2,設定!$D$2,1),0))),"",DATE(設定!$C$2,設定!$D$2,2))</f>
        <v/>
      </c>
      <c r="B314" s="16">
        <f>IF($A314="","",INDEX(設定!$O$6:$O$12,WEEKDAY($A314,1)))</f>
        <v/>
      </c>
      <c r="C314" s="16">
        <f>IF($A314="","",助理班表!$A15)</f>
        <v/>
      </c>
      <c r="D314" s="16">
        <f>IF($C314="","",助理班表!$B15)</f>
        <v/>
      </c>
      <c r="E314" s="16">
        <f>IF($C314="","",助理班表!$D15)</f>
        <v/>
      </c>
      <c r="F314" s="16">
        <f>IF($C314="","",助理班表!$C15)</f>
        <v/>
      </c>
      <c r="G314" s="16">
        <f>IF($C314="","",助理班表!F15)</f>
        <v/>
      </c>
      <c r="H314" s="83">
        <f>IF($G314="","",IFERROR(IF(INDEX(設定!$D$6:$D$21,MATCH($G314,設定!$B$6:$B$21,0))=0,"",INDEX(設定!$D$6:$D$21,MATCH($G314,設定!$B$6:$B$21,0))),""))</f>
        <v/>
      </c>
      <c r="I314" s="83">
        <f>IF($G314="","",IFERROR(IF(INDEX(設定!$E$6:$E$21,MATCH($G314,設定!$B$6:$B$21,0))=0,"",INDEX(設定!$E$6:$E$21,MATCH($G314,設定!$B$6:$B$21,0))),""))</f>
        <v/>
      </c>
      <c r="J314" s="83">
        <f>IFERROR(INDEX(打卡匯入!$C$3:$C$2002,MATCH($C314&amp;"|"&amp;DAY($A314),打卡匯入!$E$3:$E$2002,0)),"")</f>
        <v/>
      </c>
      <c r="K314" s="83">
        <f>IFERROR(INDEX(打卡匯入!$D$3:$D$2002,MATCH($C314&amp;"|"&amp;DAY($A314),打卡匯入!$E$3:$E$2002,0)),"")</f>
        <v/>
      </c>
      <c r="L314" s="84">
        <f>IF(OR($J314="",$K314=""),"",IFERROR(INDEX(設定!$F$6:$F$21,MATCH($G314,設定!$B$6:$B$21,0)),0))</f>
        <v/>
      </c>
      <c r="M314" s="85">
        <f>IF(OR($J314="",$K314=""),"",ROUND(($K314-$J314)*24-$L314/60,2))</f>
        <v/>
      </c>
      <c r="N314" s="16">
        <f>IF($C314="","",IF(AND(COUNTIF(設定!$B$15:$B$21,$G314)&gt;0,$J314&lt;&gt;""),"假日出勤",IF(AND(COUNTIF(設定!$B$6:$B$14,$G314)&gt;0,$J314=""),"未打卡",IF($J314="","",IF($O314&gt;0,"遲到",IF($P314&gt;0,"早退","正常"))))))</f>
        <v/>
      </c>
      <c r="O314" s="84">
        <f>IF(OR($C314="",$H314="",$J314=""),0,IF(ROUND(($J314-$H314)*1440,0)&gt;設定!$C$46,ROUND(($J314-$H314)*1440,0),0))</f>
        <v/>
      </c>
      <c r="P314" s="84">
        <f>IF(OR($C314="",$I314="",$K314=""),0,IF(ROUND(($I314-$K314)*1440,0)&gt;設定!$C$46,ROUND(($I314-$K314)*1440,0),0))</f>
        <v/>
      </c>
      <c r="Q314" s="85">
        <f>IF($M314="",0,IF(($M314-IFERROR(INDEX(設定!$G$6:$G$21,MATCH($G314,設定!$B$6:$B$21,0)),0))*60&gt;=設定!$C$44,ROUND(FLOOR(($M314-IFERROR(INDEX(設定!$G$6:$G$21,MATCH($G314,設定!$B$6:$B$21,0)),0))*60,設定!$C$45)/60,2),0))</f>
        <v/>
      </c>
      <c r="R314" s="16">
        <f>IF(OR($C314="",$Q314=0),"",IF($G314="國","國定假日",IF($B314="日","例假",IF($B314="六","休息日","平日"))))</f>
        <v/>
      </c>
      <c r="S314" s="19" t="n"/>
    </row>
    <row r="315">
      <c r="A315" s="82">
        <f>IF(OR(助理班表!$A15="",3&gt;DAY(EOMONTH(DATE(設定!$C$2,設定!$D$2,1),0))),"",DATE(設定!$C$2,設定!$D$2,3))</f>
        <v/>
      </c>
      <c r="B315" s="16">
        <f>IF($A315="","",INDEX(設定!$O$6:$O$12,WEEKDAY($A315,1)))</f>
        <v/>
      </c>
      <c r="C315" s="16">
        <f>IF($A315="","",助理班表!$A15)</f>
        <v/>
      </c>
      <c r="D315" s="16">
        <f>IF($C315="","",助理班表!$B15)</f>
        <v/>
      </c>
      <c r="E315" s="16">
        <f>IF($C315="","",助理班表!$D15)</f>
        <v/>
      </c>
      <c r="F315" s="16">
        <f>IF($C315="","",助理班表!$C15)</f>
        <v/>
      </c>
      <c r="G315" s="16">
        <f>IF($C315="","",助理班表!G15)</f>
        <v/>
      </c>
      <c r="H315" s="83">
        <f>IF($G315="","",IFERROR(IF(INDEX(設定!$D$6:$D$21,MATCH($G315,設定!$B$6:$B$21,0))=0,"",INDEX(設定!$D$6:$D$21,MATCH($G315,設定!$B$6:$B$21,0))),""))</f>
        <v/>
      </c>
      <c r="I315" s="83">
        <f>IF($G315="","",IFERROR(IF(INDEX(設定!$E$6:$E$21,MATCH($G315,設定!$B$6:$B$21,0))=0,"",INDEX(設定!$E$6:$E$21,MATCH($G315,設定!$B$6:$B$21,0))),""))</f>
        <v/>
      </c>
      <c r="J315" s="83">
        <f>IFERROR(INDEX(打卡匯入!$C$3:$C$2002,MATCH($C315&amp;"|"&amp;DAY($A315),打卡匯入!$E$3:$E$2002,0)),"")</f>
        <v/>
      </c>
      <c r="K315" s="83">
        <f>IFERROR(INDEX(打卡匯入!$D$3:$D$2002,MATCH($C315&amp;"|"&amp;DAY($A315),打卡匯入!$E$3:$E$2002,0)),"")</f>
        <v/>
      </c>
      <c r="L315" s="84">
        <f>IF(OR($J315="",$K315=""),"",IFERROR(INDEX(設定!$F$6:$F$21,MATCH($G315,設定!$B$6:$B$21,0)),0))</f>
        <v/>
      </c>
      <c r="M315" s="85">
        <f>IF(OR($J315="",$K315=""),"",ROUND(($K315-$J315)*24-$L315/60,2))</f>
        <v/>
      </c>
      <c r="N315" s="16">
        <f>IF($C315="","",IF(AND(COUNTIF(設定!$B$15:$B$21,$G315)&gt;0,$J315&lt;&gt;""),"假日出勤",IF(AND(COUNTIF(設定!$B$6:$B$14,$G315)&gt;0,$J315=""),"未打卡",IF($J315="","",IF($O315&gt;0,"遲到",IF($P315&gt;0,"早退","正常"))))))</f>
        <v/>
      </c>
      <c r="O315" s="84">
        <f>IF(OR($C315="",$H315="",$J315=""),0,IF(ROUND(($J315-$H315)*1440,0)&gt;設定!$C$46,ROUND(($J315-$H315)*1440,0),0))</f>
        <v/>
      </c>
      <c r="P315" s="84">
        <f>IF(OR($C315="",$I315="",$K315=""),0,IF(ROUND(($I315-$K315)*1440,0)&gt;設定!$C$46,ROUND(($I315-$K315)*1440,0),0))</f>
        <v/>
      </c>
      <c r="Q315" s="85">
        <f>IF($M315="",0,IF(($M315-IFERROR(INDEX(設定!$G$6:$G$21,MATCH($G315,設定!$B$6:$B$21,0)),0))*60&gt;=設定!$C$44,ROUND(FLOOR(($M315-IFERROR(INDEX(設定!$G$6:$G$21,MATCH($G315,設定!$B$6:$B$21,0)),0))*60,設定!$C$45)/60,2),0))</f>
        <v/>
      </c>
      <c r="R315" s="16">
        <f>IF(OR($C315="",$Q315=0),"",IF($G315="國","國定假日",IF($B315="日","例假",IF($B315="六","休息日","平日"))))</f>
        <v/>
      </c>
      <c r="S315" s="19" t="n"/>
    </row>
    <row r="316">
      <c r="A316" s="82">
        <f>IF(OR(助理班表!$A15="",4&gt;DAY(EOMONTH(DATE(設定!$C$2,設定!$D$2,1),0))),"",DATE(設定!$C$2,設定!$D$2,4))</f>
        <v/>
      </c>
      <c r="B316" s="16">
        <f>IF($A316="","",INDEX(設定!$O$6:$O$12,WEEKDAY($A316,1)))</f>
        <v/>
      </c>
      <c r="C316" s="16">
        <f>IF($A316="","",助理班表!$A15)</f>
        <v/>
      </c>
      <c r="D316" s="16">
        <f>IF($C316="","",助理班表!$B15)</f>
        <v/>
      </c>
      <c r="E316" s="16">
        <f>IF($C316="","",助理班表!$D15)</f>
        <v/>
      </c>
      <c r="F316" s="16">
        <f>IF($C316="","",助理班表!$C15)</f>
        <v/>
      </c>
      <c r="G316" s="16">
        <f>IF($C316="","",助理班表!H15)</f>
        <v/>
      </c>
      <c r="H316" s="83">
        <f>IF($G316="","",IFERROR(IF(INDEX(設定!$D$6:$D$21,MATCH($G316,設定!$B$6:$B$21,0))=0,"",INDEX(設定!$D$6:$D$21,MATCH($G316,設定!$B$6:$B$21,0))),""))</f>
        <v/>
      </c>
      <c r="I316" s="83">
        <f>IF($G316="","",IFERROR(IF(INDEX(設定!$E$6:$E$21,MATCH($G316,設定!$B$6:$B$21,0))=0,"",INDEX(設定!$E$6:$E$21,MATCH($G316,設定!$B$6:$B$21,0))),""))</f>
        <v/>
      </c>
      <c r="J316" s="83">
        <f>IFERROR(INDEX(打卡匯入!$C$3:$C$2002,MATCH($C316&amp;"|"&amp;DAY($A316),打卡匯入!$E$3:$E$2002,0)),"")</f>
        <v/>
      </c>
      <c r="K316" s="83">
        <f>IFERROR(INDEX(打卡匯入!$D$3:$D$2002,MATCH($C316&amp;"|"&amp;DAY($A316),打卡匯入!$E$3:$E$2002,0)),"")</f>
        <v/>
      </c>
      <c r="L316" s="84">
        <f>IF(OR($J316="",$K316=""),"",IFERROR(INDEX(設定!$F$6:$F$21,MATCH($G316,設定!$B$6:$B$21,0)),0))</f>
        <v/>
      </c>
      <c r="M316" s="85">
        <f>IF(OR($J316="",$K316=""),"",ROUND(($K316-$J316)*24-$L316/60,2))</f>
        <v/>
      </c>
      <c r="N316" s="16">
        <f>IF($C316="","",IF(AND(COUNTIF(設定!$B$15:$B$21,$G316)&gt;0,$J316&lt;&gt;""),"假日出勤",IF(AND(COUNTIF(設定!$B$6:$B$14,$G316)&gt;0,$J316=""),"未打卡",IF($J316="","",IF($O316&gt;0,"遲到",IF($P316&gt;0,"早退","正常"))))))</f>
        <v/>
      </c>
      <c r="O316" s="84">
        <f>IF(OR($C316="",$H316="",$J316=""),0,IF(ROUND(($J316-$H316)*1440,0)&gt;設定!$C$46,ROUND(($J316-$H316)*1440,0),0))</f>
        <v/>
      </c>
      <c r="P316" s="84">
        <f>IF(OR($C316="",$I316="",$K316=""),0,IF(ROUND(($I316-$K316)*1440,0)&gt;設定!$C$46,ROUND(($I316-$K316)*1440,0),0))</f>
        <v/>
      </c>
      <c r="Q316" s="85">
        <f>IF($M316="",0,IF(($M316-IFERROR(INDEX(設定!$G$6:$G$21,MATCH($G316,設定!$B$6:$B$21,0)),0))*60&gt;=設定!$C$44,ROUND(FLOOR(($M316-IFERROR(INDEX(設定!$G$6:$G$21,MATCH($G316,設定!$B$6:$B$21,0)),0))*60,設定!$C$45)/60,2),0))</f>
        <v/>
      </c>
      <c r="R316" s="16">
        <f>IF(OR($C316="",$Q316=0),"",IF($G316="國","國定假日",IF($B316="日","例假",IF($B316="六","休息日","平日"))))</f>
        <v/>
      </c>
      <c r="S316" s="19" t="n"/>
    </row>
    <row r="317">
      <c r="A317" s="82">
        <f>IF(OR(助理班表!$A15="",5&gt;DAY(EOMONTH(DATE(設定!$C$2,設定!$D$2,1),0))),"",DATE(設定!$C$2,設定!$D$2,5))</f>
        <v/>
      </c>
      <c r="B317" s="16">
        <f>IF($A317="","",INDEX(設定!$O$6:$O$12,WEEKDAY($A317,1)))</f>
        <v/>
      </c>
      <c r="C317" s="16">
        <f>IF($A317="","",助理班表!$A15)</f>
        <v/>
      </c>
      <c r="D317" s="16">
        <f>IF($C317="","",助理班表!$B15)</f>
        <v/>
      </c>
      <c r="E317" s="16">
        <f>IF($C317="","",助理班表!$D15)</f>
        <v/>
      </c>
      <c r="F317" s="16">
        <f>IF($C317="","",助理班表!$C15)</f>
        <v/>
      </c>
      <c r="G317" s="16">
        <f>IF($C317="","",助理班表!I15)</f>
        <v/>
      </c>
      <c r="H317" s="83">
        <f>IF($G317="","",IFERROR(IF(INDEX(設定!$D$6:$D$21,MATCH($G317,設定!$B$6:$B$21,0))=0,"",INDEX(設定!$D$6:$D$21,MATCH($G317,設定!$B$6:$B$21,0))),""))</f>
        <v/>
      </c>
      <c r="I317" s="83">
        <f>IF($G317="","",IFERROR(IF(INDEX(設定!$E$6:$E$21,MATCH($G317,設定!$B$6:$B$21,0))=0,"",INDEX(設定!$E$6:$E$21,MATCH($G317,設定!$B$6:$B$21,0))),""))</f>
        <v/>
      </c>
      <c r="J317" s="83">
        <f>IFERROR(INDEX(打卡匯入!$C$3:$C$2002,MATCH($C317&amp;"|"&amp;DAY($A317),打卡匯入!$E$3:$E$2002,0)),"")</f>
        <v/>
      </c>
      <c r="K317" s="83">
        <f>IFERROR(INDEX(打卡匯入!$D$3:$D$2002,MATCH($C317&amp;"|"&amp;DAY($A317),打卡匯入!$E$3:$E$2002,0)),"")</f>
        <v/>
      </c>
      <c r="L317" s="84">
        <f>IF(OR($J317="",$K317=""),"",IFERROR(INDEX(設定!$F$6:$F$21,MATCH($G317,設定!$B$6:$B$21,0)),0))</f>
        <v/>
      </c>
      <c r="M317" s="85">
        <f>IF(OR($J317="",$K317=""),"",ROUND(($K317-$J317)*24-$L317/60,2))</f>
        <v/>
      </c>
      <c r="N317" s="16">
        <f>IF($C317="","",IF(AND(COUNTIF(設定!$B$15:$B$21,$G317)&gt;0,$J317&lt;&gt;""),"假日出勤",IF(AND(COUNTIF(設定!$B$6:$B$14,$G317)&gt;0,$J317=""),"未打卡",IF($J317="","",IF($O317&gt;0,"遲到",IF($P317&gt;0,"早退","正常"))))))</f>
        <v/>
      </c>
      <c r="O317" s="84">
        <f>IF(OR($C317="",$H317="",$J317=""),0,IF(ROUND(($J317-$H317)*1440,0)&gt;設定!$C$46,ROUND(($J317-$H317)*1440,0),0))</f>
        <v/>
      </c>
      <c r="P317" s="84">
        <f>IF(OR($C317="",$I317="",$K317=""),0,IF(ROUND(($I317-$K317)*1440,0)&gt;設定!$C$46,ROUND(($I317-$K317)*1440,0),0))</f>
        <v/>
      </c>
      <c r="Q317" s="85">
        <f>IF($M317="",0,IF(($M317-IFERROR(INDEX(設定!$G$6:$G$21,MATCH($G317,設定!$B$6:$B$21,0)),0))*60&gt;=設定!$C$44,ROUND(FLOOR(($M317-IFERROR(INDEX(設定!$G$6:$G$21,MATCH($G317,設定!$B$6:$B$21,0)),0))*60,設定!$C$45)/60,2),0))</f>
        <v/>
      </c>
      <c r="R317" s="16">
        <f>IF(OR($C317="",$Q317=0),"",IF($G317="國","國定假日",IF($B317="日","例假",IF($B317="六","休息日","平日"))))</f>
        <v/>
      </c>
      <c r="S317" s="19" t="n"/>
    </row>
    <row r="318">
      <c r="A318" s="82">
        <f>IF(OR(助理班表!$A15="",6&gt;DAY(EOMONTH(DATE(設定!$C$2,設定!$D$2,1),0))),"",DATE(設定!$C$2,設定!$D$2,6))</f>
        <v/>
      </c>
      <c r="B318" s="16">
        <f>IF($A318="","",INDEX(設定!$O$6:$O$12,WEEKDAY($A318,1)))</f>
        <v/>
      </c>
      <c r="C318" s="16">
        <f>IF($A318="","",助理班表!$A15)</f>
        <v/>
      </c>
      <c r="D318" s="16">
        <f>IF($C318="","",助理班表!$B15)</f>
        <v/>
      </c>
      <c r="E318" s="16">
        <f>IF($C318="","",助理班表!$D15)</f>
        <v/>
      </c>
      <c r="F318" s="16">
        <f>IF($C318="","",助理班表!$C15)</f>
        <v/>
      </c>
      <c r="G318" s="16">
        <f>IF($C318="","",助理班表!J15)</f>
        <v/>
      </c>
      <c r="H318" s="83">
        <f>IF($G318="","",IFERROR(IF(INDEX(設定!$D$6:$D$21,MATCH($G318,設定!$B$6:$B$21,0))=0,"",INDEX(設定!$D$6:$D$21,MATCH($G318,設定!$B$6:$B$21,0))),""))</f>
        <v/>
      </c>
      <c r="I318" s="83">
        <f>IF($G318="","",IFERROR(IF(INDEX(設定!$E$6:$E$21,MATCH($G318,設定!$B$6:$B$21,0))=0,"",INDEX(設定!$E$6:$E$21,MATCH($G318,設定!$B$6:$B$21,0))),""))</f>
        <v/>
      </c>
      <c r="J318" s="83">
        <f>IFERROR(INDEX(打卡匯入!$C$3:$C$2002,MATCH($C318&amp;"|"&amp;DAY($A318),打卡匯入!$E$3:$E$2002,0)),"")</f>
        <v/>
      </c>
      <c r="K318" s="83">
        <f>IFERROR(INDEX(打卡匯入!$D$3:$D$2002,MATCH($C318&amp;"|"&amp;DAY($A318),打卡匯入!$E$3:$E$2002,0)),"")</f>
        <v/>
      </c>
      <c r="L318" s="84">
        <f>IF(OR($J318="",$K318=""),"",IFERROR(INDEX(設定!$F$6:$F$21,MATCH($G318,設定!$B$6:$B$21,0)),0))</f>
        <v/>
      </c>
      <c r="M318" s="85">
        <f>IF(OR($J318="",$K318=""),"",ROUND(($K318-$J318)*24-$L318/60,2))</f>
        <v/>
      </c>
      <c r="N318" s="16">
        <f>IF($C318="","",IF(AND(COUNTIF(設定!$B$15:$B$21,$G318)&gt;0,$J318&lt;&gt;""),"假日出勤",IF(AND(COUNTIF(設定!$B$6:$B$14,$G318)&gt;0,$J318=""),"未打卡",IF($J318="","",IF($O318&gt;0,"遲到",IF($P318&gt;0,"早退","正常"))))))</f>
        <v/>
      </c>
      <c r="O318" s="84">
        <f>IF(OR($C318="",$H318="",$J318=""),0,IF(ROUND(($J318-$H318)*1440,0)&gt;設定!$C$46,ROUND(($J318-$H318)*1440,0),0))</f>
        <v/>
      </c>
      <c r="P318" s="84">
        <f>IF(OR($C318="",$I318="",$K318=""),0,IF(ROUND(($I318-$K318)*1440,0)&gt;設定!$C$46,ROUND(($I318-$K318)*1440,0),0))</f>
        <v/>
      </c>
      <c r="Q318" s="85">
        <f>IF($M318="",0,IF(($M318-IFERROR(INDEX(設定!$G$6:$G$21,MATCH($G318,設定!$B$6:$B$21,0)),0))*60&gt;=設定!$C$44,ROUND(FLOOR(($M318-IFERROR(INDEX(設定!$G$6:$G$21,MATCH($G318,設定!$B$6:$B$21,0)),0))*60,設定!$C$45)/60,2),0))</f>
        <v/>
      </c>
      <c r="R318" s="16">
        <f>IF(OR($C318="",$Q318=0),"",IF($G318="國","國定假日",IF($B318="日","例假",IF($B318="六","休息日","平日"))))</f>
        <v/>
      </c>
      <c r="S318" s="19" t="n"/>
    </row>
    <row r="319">
      <c r="A319" s="82">
        <f>IF(OR(助理班表!$A15="",7&gt;DAY(EOMONTH(DATE(設定!$C$2,設定!$D$2,1),0))),"",DATE(設定!$C$2,設定!$D$2,7))</f>
        <v/>
      </c>
      <c r="B319" s="16">
        <f>IF($A319="","",INDEX(設定!$O$6:$O$12,WEEKDAY($A319,1)))</f>
        <v/>
      </c>
      <c r="C319" s="16">
        <f>IF($A319="","",助理班表!$A15)</f>
        <v/>
      </c>
      <c r="D319" s="16">
        <f>IF($C319="","",助理班表!$B15)</f>
        <v/>
      </c>
      <c r="E319" s="16">
        <f>IF($C319="","",助理班表!$D15)</f>
        <v/>
      </c>
      <c r="F319" s="16">
        <f>IF($C319="","",助理班表!$C15)</f>
        <v/>
      </c>
      <c r="G319" s="16">
        <f>IF($C319="","",助理班表!K15)</f>
        <v/>
      </c>
      <c r="H319" s="83">
        <f>IF($G319="","",IFERROR(IF(INDEX(設定!$D$6:$D$21,MATCH($G319,設定!$B$6:$B$21,0))=0,"",INDEX(設定!$D$6:$D$21,MATCH($G319,設定!$B$6:$B$21,0))),""))</f>
        <v/>
      </c>
      <c r="I319" s="83">
        <f>IF($G319="","",IFERROR(IF(INDEX(設定!$E$6:$E$21,MATCH($G319,設定!$B$6:$B$21,0))=0,"",INDEX(設定!$E$6:$E$21,MATCH($G319,設定!$B$6:$B$21,0))),""))</f>
        <v/>
      </c>
      <c r="J319" s="83">
        <f>IFERROR(INDEX(打卡匯入!$C$3:$C$2002,MATCH($C319&amp;"|"&amp;DAY($A319),打卡匯入!$E$3:$E$2002,0)),"")</f>
        <v/>
      </c>
      <c r="K319" s="83">
        <f>IFERROR(INDEX(打卡匯入!$D$3:$D$2002,MATCH($C319&amp;"|"&amp;DAY($A319),打卡匯入!$E$3:$E$2002,0)),"")</f>
        <v/>
      </c>
      <c r="L319" s="84">
        <f>IF(OR($J319="",$K319=""),"",IFERROR(INDEX(設定!$F$6:$F$21,MATCH($G319,設定!$B$6:$B$21,0)),0))</f>
        <v/>
      </c>
      <c r="M319" s="85">
        <f>IF(OR($J319="",$K319=""),"",ROUND(($K319-$J319)*24-$L319/60,2))</f>
        <v/>
      </c>
      <c r="N319" s="16">
        <f>IF($C319="","",IF(AND(COUNTIF(設定!$B$15:$B$21,$G319)&gt;0,$J319&lt;&gt;""),"假日出勤",IF(AND(COUNTIF(設定!$B$6:$B$14,$G319)&gt;0,$J319=""),"未打卡",IF($J319="","",IF($O319&gt;0,"遲到",IF($P319&gt;0,"早退","正常"))))))</f>
        <v/>
      </c>
      <c r="O319" s="84">
        <f>IF(OR($C319="",$H319="",$J319=""),0,IF(ROUND(($J319-$H319)*1440,0)&gt;設定!$C$46,ROUND(($J319-$H319)*1440,0),0))</f>
        <v/>
      </c>
      <c r="P319" s="84">
        <f>IF(OR($C319="",$I319="",$K319=""),0,IF(ROUND(($I319-$K319)*1440,0)&gt;設定!$C$46,ROUND(($I319-$K319)*1440,0),0))</f>
        <v/>
      </c>
      <c r="Q319" s="85">
        <f>IF($M319="",0,IF(($M319-IFERROR(INDEX(設定!$G$6:$G$21,MATCH($G319,設定!$B$6:$B$21,0)),0))*60&gt;=設定!$C$44,ROUND(FLOOR(($M319-IFERROR(INDEX(設定!$G$6:$G$21,MATCH($G319,設定!$B$6:$B$21,0)),0))*60,設定!$C$45)/60,2),0))</f>
        <v/>
      </c>
      <c r="R319" s="16">
        <f>IF(OR($C319="",$Q319=0),"",IF($G319="國","國定假日",IF($B319="日","例假",IF($B319="六","休息日","平日"))))</f>
        <v/>
      </c>
      <c r="S319" s="19" t="n"/>
    </row>
    <row r="320">
      <c r="A320" s="82">
        <f>IF(OR(助理班表!$A15="",8&gt;DAY(EOMONTH(DATE(設定!$C$2,設定!$D$2,1),0))),"",DATE(設定!$C$2,設定!$D$2,8))</f>
        <v/>
      </c>
      <c r="B320" s="16">
        <f>IF($A320="","",INDEX(設定!$O$6:$O$12,WEEKDAY($A320,1)))</f>
        <v/>
      </c>
      <c r="C320" s="16">
        <f>IF($A320="","",助理班表!$A15)</f>
        <v/>
      </c>
      <c r="D320" s="16">
        <f>IF($C320="","",助理班表!$B15)</f>
        <v/>
      </c>
      <c r="E320" s="16">
        <f>IF($C320="","",助理班表!$D15)</f>
        <v/>
      </c>
      <c r="F320" s="16">
        <f>IF($C320="","",助理班表!$C15)</f>
        <v/>
      </c>
      <c r="G320" s="16">
        <f>IF($C320="","",助理班表!L15)</f>
        <v/>
      </c>
      <c r="H320" s="83">
        <f>IF($G320="","",IFERROR(IF(INDEX(設定!$D$6:$D$21,MATCH($G320,設定!$B$6:$B$21,0))=0,"",INDEX(設定!$D$6:$D$21,MATCH($G320,設定!$B$6:$B$21,0))),""))</f>
        <v/>
      </c>
      <c r="I320" s="83">
        <f>IF($G320="","",IFERROR(IF(INDEX(設定!$E$6:$E$21,MATCH($G320,設定!$B$6:$B$21,0))=0,"",INDEX(設定!$E$6:$E$21,MATCH($G320,設定!$B$6:$B$21,0))),""))</f>
        <v/>
      </c>
      <c r="J320" s="83">
        <f>IFERROR(INDEX(打卡匯入!$C$3:$C$2002,MATCH($C320&amp;"|"&amp;DAY($A320),打卡匯入!$E$3:$E$2002,0)),"")</f>
        <v/>
      </c>
      <c r="K320" s="83">
        <f>IFERROR(INDEX(打卡匯入!$D$3:$D$2002,MATCH($C320&amp;"|"&amp;DAY($A320),打卡匯入!$E$3:$E$2002,0)),"")</f>
        <v/>
      </c>
      <c r="L320" s="84">
        <f>IF(OR($J320="",$K320=""),"",IFERROR(INDEX(設定!$F$6:$F$21,MATCH($G320,設定!$B$6:$B$21,0)),0))</f>
        <v/>
      </c>
      <c r="M320" s="85">
        <f>IF(OR($J320="",$K320=""),"",ROUND(($K320-$J320)*24-$L320/60,2))</f>
        <v/>
      </c>
      <c r="N320" s="16">
        <f>IF($C320="","",IF(AND(COUNTIF(設定!$B$15:$B$21,$G320)&gt;0,$J320&lt;&gt;""),"假日出勤",IF(AND(COUNTIF(設定!$B$6:$B$14,$G320)&gt;0,$J320=""),"未打卡",IF($J320="","",IF($O320&gt;0,"遲到",IF($P320&gt;0,"早退","正常"))))))</f>
        <v/>
      </c>
      <c r="O320" s="84">
        <f>IF(OR($C320="",$H320="",$J320=""),0,IF(ROUND(($J320-$H320)*1440,0)&gt;設定!$C$46,ROUND(($J320-$H320)*1440,0),0))</f>
        <v/>
      </c>
      <c r="P320" s="84">
        <f>IF(OR($C320="",$I320="",$K320=""),0,IF(ROUND(($I320-$K320)*1440,0)&gt;設定!$C$46,ROUND(($I320-$K320)*1440,0),0))</f>
        <v/>
      </c>
      <c r="Q320" s="85">
        <f>IF($M320="",0,IF(($M320-IFERROR(INDEX(設定!$G$6:$G$21,MATCH($G320,設定!$B$6:$B$21,0)),0))*60&gt;=設定!$C$44,ROUND(FLOOR(($M320-IFERROR(INDEX(設定!$G$6:$G$21,MATCH($G320,設定!$B$6:$B$21,0)),0))*60,設定!$C$45)/60,2),0))</f>
        <v/>
      </c>
      <c r="R320" s="16">
        <f>IF(OR($C320="",$Q320=0),"",IF($G320="國","國定假日",IF($B320="日","例假",IF($B320="六","休息日","平日"))))</f>
        <v/>
      </c>
      <c r="S320" s="19" t="n"/>
    </row>
    <row r="321">
      <c r="A321" s="82">
        <f>IF(OR(助理班表!$A15="",9&gt;DAY(EOMONTH(DATE(設定!$C$2,設定!$D$2,1),0))),"",DATE(設定!$C$2,設定!$D$2,9))</f>
        <v/>
      </c>
      <c r="B321" s="16">
        <f>IF($A321="","",INDEX(設定!$O$6:$O$12,WEEKDAY($A321,1)))</f>
        <v/>
      </c>
      <c r="C321" s="16">
        <f>IF($A321="","",助理班表!$A15)</f>
        <v/>
      </c>
      <c r="D321" s="16">
        <f>IF($C321="","",助理班表!$B15)</f>
        <v/>
      </c>
      <c r="E321" s="16">
        <f>IF($C321="","",助理班表!$D15)</f>
        <v/>
      </c>
      <c r="F321" s="16">
        <f>IF($C321="","",助理班表!$C15)</f>
        <v/>
      </c>
      <c r="G321" s="16">
        <f>IF($C321="","",助理班表!M15)</f>
        <v/>
      </c>
      <c r="H321" s="83">
        <f>IF($G321="","",IFERROR(IF(INDEX(設定!$D$6:$D$21,MATCH($G321,設定!$B$6:$B$21,0))=0,"",INDEX(設定!$D$6:$D$21,MATCH($G321,設定!$B$6:$B$21,0))),""))</f>
        <v/>
      </c>
      <c r="I321" s="83">
        <f>IF($G321="","",IFERROR(IF(INDEX(設定!$E$6:$E$21,MATCH($G321,設定!$B$6:$B$21,0))=0,"",INDEX(設定!$E$6:$E$21,MATCH($G321,設定!$B$6:$B$21,0))),""))</f>
        <v/>
      </c>
      <c r="J321" s="83">
        <f>IFERROR(INDEX(打卡匯入!$C$3:$C$2002,MATCH($C321&amp;"|"&amp;DAY($A321),打卡匯入!$E$3:$E$2002,0)),"")</f>
        <v/>
      </c>
      <c r="K321" s="83">
        <f>IFERROR(INDEX(打卡匯入!$D$3:$D$2002,MATCH($C321&amp;"|"&amp;DAY($A321),打卡匯入!$E$3:$E$2002,0)),"")</f>
        <v/>
      </c>
      <c r="L321" s="84">
        <f>IF(OR($J321="",$K321=""),"",IFERROR(INDEX(設定!$F$6:$F$21,MATCH($G321,設定!$B$6:$B$21,0)),0))</f>
        <v/>
      </c>
      <c r="M321" s="85">
        <f>IF(OR($J321="",$K321=""),"",ROUND(($K321-$J321)*24-$L321/60,2))</f>
        <v/>
      </c>
      <c r="N321" s="16">
        <f>IF($C321="","",IF(AND(COUNTIF(設定!$B$15:$B$21,$G321)&gt;0,$J321&lt;&gt;""),"假日出勤",IF(AND(COUNTIF(設定!$B$6:$B$14,$G321)&gt;0,$J321=""),"未打卡",IF($J321="","",IF($O321&gt;0,"遲到",IF($P321&gt;0,"早退","正常"))))))</f>
        <v/>
      </c>
      <c r="O321" s="84">
        <f>IF(OR($C321="",$H321="",$J321=""),0,IF(ROUND(($J321-$H321)*1440,0)&gt;設定!$C$46,ROUND(($J321-$H321)*1440,0),0))</f>
        <v/>
      </c>
      <c r="P321" s="84">
        <f>IF(OR($C321="",$I321="",$K321=""),0,IF(ROUND(($I321-$K321)*1440,0)&gt;設定!$C$46,ROUND(($I321-$K321)*1440,0),0))</f>
        <v/>
      </c>
      <c r="Q321" s="85">
        <f>IF($M321="",0,IF(($M321-IFERROR(INDEX(設定!$G$6:$G$21,MATCH($G321,設定!$B$6:$B$21,0)),0))*60&gt;=設定!$C$44,ROUND(FLOOR(($M321-IFERROR(INDEX(設定!$G$6:$G$21,MATCH($G321,設定!$B$6:$B$21,0)),0))*60,設定!$C$45)/60,2),0))</f>
        <v/>
      </c>
      <c r="R321" s="16">
        <f>IF(OR($C321="",$Q321=0),"",IF($G321="國","國定假日",IF($B321="日","例假",IF($B321="六","休息日","平日"))))</f>
        <v/>
      </c>
      <c r="S321" s="19" t="n"/>
    </row>
    <row r="322">
      <c r="A322" s="82">
        <f>IF(OR(助理班表!$A15="",10&gt;DAY(EOMONTH(DATE(設定!$C$2,設定!$D$2,1),0))),"",DATE(設定!$C$2,設定!$D$2,10))</f>
        <v/>
      </c>
      <c r="B322" s="16">
        <f>IF($A322="","",INDEX(設定!$O$6:$O$12,WEEKDAY($A322,1)))</f>
        <v/>
      </c>
      <c r="C322" s="16">
        <f>IF($A322="","",助理班表!$A15)</f>
        <v/>
      </c>
      <c r="D322" s="16">
        <f>IF($C322="","",助理班表!$B15)</f>
        <v/>
      </c>
      <c r="E322" s="16">
        <f>IF($C322="","",助理班表!$D15)</f>
        <v/>
      </c>
      <c r="F322" s="16">
        <f>IF($C322="","",助理班表!$C15)</f>
        <v/>
      </c>
      <c r="G322" s="16">
        <f>IF($C322="","",助理班表!N15)</f>
        <v/>
      </c>
      <c r="H322" s="83">
        <f>IF($G322="","",IFERROR(IF(INDEX(設定!$D$6:$D$21,MATCH($G322,設定!$B$6:$B$21,0))=0,"",INDEX(設定!$D$6:$D$21,MATCH($G322,設定!$B$6:$B$21,0))),""))</f>
        <v/>
      </c>
      <c r="I322" s="83">
        <f>IF($G322="","",IFERROR(IF(INDEX(設定!$E$6:$E$21,MATCH($G322,設定!$B$6:$B$21,0))=0,"",INDEX(設定!$E$6:$E$21,MATCH($G322,設定!$B$6:$B$21,0))),""))</f>
        <v/>
      </c>
      <c r="J322" s="83">
        <f>IFERROR(INDEX(打卡匯入!$C$3:$C$2002,MATCH($C322&amp;"|"&amp;DAY($A322),打卡匯入!$E$3:$E$2002,0)),"")</f>
        <v/>
      </c>
      <c r="K322" s="83">
        <f>IFERROR(INDEX(打卡匯入!$D$3:$D$2002,MATCH($C322&amp;"|"&amp;DAY($A322),打卡匯入!$E$3:$E$2002,0)),"")</f>
        <v/>
      </c>
      <c r="L322" s="84">
        <f>IF(OR($J322="",$K322=""),"",IFERROR(INDEX(設定!$F$6:$F$21,MATCH($G322,設定!$B$6:$B$21,0)),0))</f>
        <v/>
      </c>
      <c r="M322" s="85">
        <f>IF(OR($J322="",$K322=""),"",ROUND(($K322-$J322)*24-$L322/60,2))</f>
        <v/>
      </c>
      <c r="N322" s="16">
        <f>IF($C322="","",IF(AND(COUNTIF(設定!$B$15:$B$21,$G322)&gt;0,$J322&lt;&gt;""),"假日出勤",IF(AND(COUNTIF(設定!$B$6:$B$14,$G322)&gt;0,$J322=""),"未打卡",IF($J322="","",IF($O322&gt;0,"遲到",IF($P322&gt;0,"早退","正常"))))))</f>
        <v/>
      </c>
      <c r="O322" s="84">
        <f>IF(OR($C322="",$H322="",$J322=""),0,IF(ROUND(($J322-$H322)*1440,0)&gt;設定!$C$46,ROUND(($J322-$H322)*1440,0),0))</f>
        <v/>
      </c>
      <c r="P322" s="84">
        <f>IF(OR($C322="",$I322="",$K322=""),0,IF(ROUND(($I322-$K322)*1440,0)&gt;設定!$C$46,ROUND(($I322-$K322)*1440,0),0))</f>
        <v/>
      </c>
      <c r="Q322" s="85">
        <f>IF($M322="",0,IF(($M322-IFERROR(INDEX(設定!$G$6:$G$21,MATCH($G322,設定!$B$6:$B$21,0)),0))*60&gt;=設定!$C$44,ROUND(FLOOR(($M322-IFERROR(INDEX(設定!$G$6:$G$21,MATCH($G322,設定!$B$6:$B$21,0)),0))*60,設定!$C$45)/60,2),0))</f>
        <v/>
      </c>
      <c r="R322" s="16">
        <f>IF(OR($C322="",$Q322=0),"",IF($G322="國","國定假日",IF($B322="日","例假",IF($B322="六","休息日","平日"))))</f>
        <v/>
      </c>
      <c r="S322" s="19" t="n"/>
    </row>
    <row r="323">
      <c r="A323" s="82">
        <f>IF(OR(助理班表!$A15="",11&gt;DAY(EOMONTH(DATE(設定!$C$2,設定!$D$2,1),0))),"",DATE(設定!$C$2,設定!$D$2,11))</f>
        <v/>
      </c>
      <c r="B323" s="16">
        <f>IF($A323="","",INDEX(設定!$O$6:$O$12,WEEKDAY($A323,1)))</f>
        <v/>
      </c>
      <c r="C323" s="16">
        <f>IF($A323="","",助理班表!$A15)</f>
        <v/>
      </c>
      <c r="D323" s="16">
        <f>IF($C323="","",助理班表!$B15)</f>
        <v/>
      </c>
      <c r="E323" s="16">
        <f>IF($C323="","",助理班表!$D15)</f>
        <v/>
      </c>
      <c r="F323" s="16">
        <f>IF($C323="","",助理班表!$C15)</f>
        <v/>
      </c>
      <c r="G323" s="16">
        <f>IF($C323="","",助理班表!O15)</f>
        <v/>
      </c>
      <c r="H323" s="83">
        <f>IF($G323="","",IFERROR(IF(INDEX(設定!$D$6:$D$21,MATCH($G323,設定!$B$6:$B$21,0))=0,"",INDEX(設定!$D$6:$D$21,MATCH($G323,設定!$B$6:$B$21,0))),""))</f>
        <v/>
      </c>
      <c r="I323" s="83">
        <f>IF($G323="","",IFERROR(IF(INDEX(設定!$E$6:$E$21,MATCH($G323,設定!$B$6:$B$21,0))=0,"",INDEX(設定!$E$6:$E$21,MATCH($G323,設定!$B$6:$B$21,0))),""))</f>
        <v/>
      </c>
      <c r="J323" s="83">
        <f>IFERROR(INDEX(打卡匯入!$C$3:$C$2002,MATCH($C323&amp;"|"&amp;DAY($A323),打卡匯入!$E$3:$E$2002,0)),"")</f>
        <v/>
      </c>
      <c r="K323" s="83">
        <f>IFERROR(INDEX(打卡匯入!$D$3:$D$2002,MATCH($C323&amp;"|"&amp;DAY($A323),打卡匯入!$E$3:$E$2002,0)),"")</f>
        <v/>
      </c>
      <c r="L323" s="84">
        <f>IF(OR($J323="",$K323=""),"",IFERROR(INDEX(設定!$F$6:$F$21,MATCH($G323,設定!$B$6:$B$21,0)),0))</f>
        <v/>
      </c>
      <c r="M323" s="85">
        <f>IF(OR($J323="",$K323=""),"",ROUND(($K323-$J323)*24-$L323/60,2))</f>
        <v/>
      </c>
      <c r="N323" s="16">
        <f>IF($C323="","",IF(AND(COUNTIF(設定!$B$15:$B$21,$G323)&gt;0,$J323&lt;&gt;""),"假日出勤",IF(AND(COUNTIF(設定!$B$6:$B$14,$G323)&gt;0,$J323=""),"未打卡",IF($J323="","",IF($O323&gt;0,"遲到",IF($P323&gt;0,"早退","正常"))))))</f>
        <v/>
      </c>
      <c r="O323" s="84">
        <f>IF(OR($C323="",$H323="",$J323=""),0,IF(ROUND(($J323-$H323)*1440,0)&gt;設定!$C$46,ROUND(($J323-$H323)*1440,0),0))</f>
        <v/>
      </c>
      <c r="P323" s="84">
        <f>IF(OR($C323="",$I323="",$K323=""),0,IF(ROUND(($I323-$K323)*1440,0)&gt;設定!$C$46,ROUND(($I323-$K323)*1440,0),0))</f>
        <v/>
      </c>
      <c r="Q323" s="85">
        <f>IF($M323="",0,IF(($M323-IFERROR(INDEX(設定!$G$6:$G$21,MATCH($G323,設定!$B$6:$B$21,0)),0))*60&gt;=設定!$C$44,ROUND(FLOOR(($M323-IFERROR(INDEX(設定!$G$6:$G$21,MATCH($G323,設定!$B$6:$B$21,0)),0))*60,設定!$C$45)/60,2),0))</f>
        <v/>
      </c>
      <c r="R323" s="16">
        <f>IF(OR($C323="",$Q323=0),"",IF($G323="國","國定假日",IF($B323="日","例假",IF($B323="六","休息日","平日"))))</f>
        <v/>
      </c>
      <c r="S323" s="19" t="n"/>
    </row>
    <row r="324">
      <c r="A324" s="82">
        <f>IF(OR(助理班表!$A15="",12&gt;DAY(EOMONTH(DATE(設定!$C$2,設定!$D$2,1),0))),"",DATE(設定!$C$2,設定!$D$2,12))</f>
        <v/>
      </c>
      <c r="B324" s="16">
        <f>IF($A324="","",INDEX(設定!$O$6:$O$12,WEEKDAY($A324,1)))</f>
        <v/>
      </c>
      <c r="C324" s="16">
        <f>IF($A324="","",助理班表!$A15)</f>
        <v/>
      </c>
      <c r="D324" s="16">
        <f>IF($C324="","",助理班表!$B15)</f>
        <v/>
      </c>
      <c r="E324" s="16">
        <f>IF($C324="","",助理班表!$D15)</f>
        <v/>
      </c>
      <c r="F324" s="16">
        <f>IF($C324="","",助理班表!$C15)</f>
        <v/>
      </c>
      <c r="G324" s="16">
        <f>IF($C324="","",助理班表!P15)</f>
        <v/>
      </c>
      <c r="H324" s="83">
        <f>IF($G324="","",IFERROR(IF(INDEX(設定!$D$6:$D$21,MATCH($G324,設定!$B$6:$B$21,0))=0,"",INDEX(設定!$D$6:$D$21,MATCH($G324,設定!$B$6:$B$21,0))),""))</f>
        <v/>
      </c>
      <c r="I324" s="83">
        <f>IF($G324="","",IFERROR(IF(INDEX(設定!$E$6:$E$21,MATCH($G324,設定!$B$6:$B$21,0))=0,"",INDEX(設定!$E$6:$E$21,MATCH($G324,設定!$B$6:$B$21,0))),""))</f>
        <v/>
      </c>
      <c r="J324" s="83">
        <f>IFERROR(INDEX(打卡匯入!$C$3:$C$2002,MATCH($C324&amp;"|"&amp;DAY($A324),打卡匯入!$E$3:$E$2002,0)),"")</f>
        <v/>
      </c>
      <c r="K324" s="83">
        <f>IFERROR(INDEX(打卡匯入!$D$3:$D$2002,MATCH($C324&amp;"|"&amp;DAY($A324),打卡匯入!$E$3:$E$2002,0)),"")</f>
        <v/>
      </c>
      <c r="L324" s="84">
        <f>IF(OR($J324="",$K324=""),"",IFERROR(INDEX(設定!$F$6:$F$21,MATCH($G324,設定!$B$6:$B$21,0)),0))</f>
        <v/>
      </c>
      <c r="M324" s="85">
        <f>IF(OR($J324="",$K324=""),"",ROUND(($K324-$J324)*24-$L324/60,2))</f>
        <v/>
      </c>
      <c r="N324" s="16">
        <f>IF($C324="","",IF(AND(COUNTIF(設定!$B$15:$B$21,$G324)&gt;0,$J324&lt;&gt;""),"假日出勤",IF(AND(COUNTIF(設定!$B$6:$B$14,$G324)&gt;0,$J324=""),"未打卡",IF($J324="","",IF($O324&gt;0,"遲到",IF($P324&gt;0,"早退","正常"))))))</f>
        <v/>
      </c>
      <c r="O324" s="84">
        <f>IF(OR($C324="",$H324="",$J324=""),0,IF(ROUND(($J324-$H324)*1440,0)&gt;設定!$C$46,ROUND(($J324-$H324)*1440,0),0))</f>
        <v/>
      </c>
      <c r="P324" s="84">
        <f>IF(OR($C324="",$I324="",$K324=""),0,IF(ROUND(($I324-$K324)*1440,0)&gt;設定!$C$46,ROUND(($I324-$K324)*1440,0),0))</f>
        <v/>
      </c>
      <c r="Q324" s="85">
        <f>IF($M324="",0,IF(($M324-IFERROR(INDEX(設定!$G$6:$G$21,MATCH($G324,設定!$B$6:$B$21,0)),0))*60&gt;=設定!$C$44,ROUND(FLOOR(($M324-IFERROR(INDEX(設定!$G$6:$G$21,MATCH($G324,設定!$B$6:$B$21,0)),0))*60,設定!$C$45)/60,2),0))</f>
        <v/>
      </c>
      <c r="R324" s="16">
        <f>IF(OR($C324="",$Q324=0),"",IF($G324="國","國定假日",IF($B324="日","例假",IF($B324="六","休息日","平日"))))</f>
        <v/>
      </c>
      <c r="S324" s="19" t="n"/>
    </row>
    <row r="325">
      <c r="A325" s="82">
        <f>IF(OR(助理班表!$A15="",13&gt;DAY(EOMONTH(DATE(設定!$C$2,設定!$D$2,1),0))),"",DATE(設定!$C$2,設定!$D$2,13))</f>
        <v/>
      </c>
      <c r="B325" s="16">
        <f>IF($A325="","",INDEX(設定!$O$6:$O$12,WEEKDAY($A325,1)))</f>
        <v/>
      </c>
      <c r="C325" s="16">
        <f>IF($A325="","",助理班表!$A15)</f>
        <v/>
      </c>
      <c r="D325" s="16">
        <f>IF($C325="","",助理班表!$B15)</f>
        <v/>
      </c>
      <c r="E325" s="16">
        <f>IF($C325="","",助理班表!$D15)</f>
        <v/>
      </c>
      <c r="F325" s="16">
        <f>IF($C325="","",助理班表!$C15)</f>
        <v/>
      </c>
      <c r="G325" s="16">
        <f>IF($C325="","",助理班表!Q15)</f>
        <v/>
      </c>
      <c r="H325" s="83">
        <f>IF($G325="","",IFERROR(IF(INDEX(設定!$D$6:$D$21,MATCH($G325,設定!$B$6:$B$21,0))=0,"",INDEX(設定!$D$6:$D$21,MATCH($G325,設定!$B$6:$B$21,0))),""))</f>
        <v/>
      </c>
      <c r="I325" s="83">
        <f>IF($G325="","",IFERROR(IF(INDEX(設定!$E$6:$E$21,MATCH($G325,設定!$B$6:$B$21,0))=0,"",INDEX(設定!$E$6:$E$21,MATCH($G325,設定!$B$6:$B$21,0))),""))</f>
        <v/>
      </c>
      <c r="J325" s="83">
        <f>IFERROR(INDEX(打卡匯入!$C$3:$C$2002,MATCH($C325&amp;"|"&amp;DAY($A325),打卡匯入!$E$3:$E$2002,0)),"")</f>
        <v/>
      </c>
      <c r="K325" s="83">
        <f>IFERROR(INDEX(打卡匯入!$D$3:$D$2002,MATCH($C325&amp;"|"&amp;DAY($A325),打卡匯入!$E$3:$E$2002,0)),"")</f>
        <v/>
      </c>
      <c r="L325" s="84">
        <f>IF(OR($J325="",$K325=""),"",IFERROR(INDEX(設定!$F$6:$F$21,MATCH($G325,設定!$B$6:$B$21,0)),0))</f>
        <v/>
      </c>
      <c r="M325" s="85">
        <f>IF(OR($J325="",$K325=""),"",ROUND(($K325-$J325)*24-$L325/60,2))</f>
        <v/>
      </c>
      <c r="N325" s="16">
        <f>IF($C325="","",IF(AND(COUNTIF(設定!$B$15:$B$21,$G325)&gt;0,$J325&lt;&gt;""),"假日出勤",IF(AND(COUNTIF(設定!$B$6:$B$14,$G325)&gt;0,$J325=""),"未打卡",IF($J325="","",IF($O325&gt;0,"遲到",IF($P325&gt;0,"早退","正常"))))))</f>
        <v/>
      </c>
      <c r="O325" s="84">
        <f>IF(OR($C325="",$H325="",$J325=""),0,IF(ROUND(($J325-$H325)*1440,0)&gt;設定!$C$46,ROUND(($J325-$H325)*1440,0),0))</f>
        <v/>
      </c>
      <c r="P325" s="84">
        <f>IF(OR($C325="",$I325="",$K325=""),0,IF(ROUND(($I325-$K325)*1440,0)&gt;設定!$C$46,ROUND(($I325-$K325)*1440,0),0))</f>
        <v/>
      </c>
      <c r="Q325" s="85">
        <f>IF($M325="",0,IF(($M325-IFERROR(INDEX(設定!$G$6:$G$21,MATCH($G325,設定!$B$6:$B$21,0)),0))*60&gt;=設定!$C$44,ROUND(FLOOR(($M325-IFERROR(INDEX(設定!$G$6:$G$21,MATCH($G325,設定!$B$6:$B$21,0)),0))*60,設定!$C$45)/60,2),0))</f>
        <v/>
      </c>
      <c r="R325" s="16">
        <f>IF(OR($C325="",$Q325=0),"",IF($G325="國","國定假日",IF($B325="日","例假",IF($B325="六","休息日","平日"))))</f>
        <v/>
      </c>
      <c r="S325" s="19" t="n"/>
    </row>
    <row r="326">
      <c r="A326" s="82">
        <f>IF(OR(助理班表!$A15="",14&gt;DAY(EOMONTH(DATE(設定!$C$2,設定!$D$2,1),0))),"",DATE(設定!$C$2,設定!$D$2,14))</f>
        <v/>
      </c>
      <c r="B326" s="16">
        <f>IF($A326="","",INDEX(設定!$O$6:$O$12,WEEKDAY($A326,1)))</f>
        <v/>
      </c>
      <c r="C326" s="16">
        <f>IF($A326="","",助理班表!$A15)</f>
        <v/>
      </c>
      <c r="D326" s="16">
        <f>IF($C326="","",助理班表!$B15)</f>
        <v/>
      </c>
      <c r="E326" s="16">
        <f>IF($C326="","",助理班表!$D15)</f>
        <v/>
      </c>
      <c r="F326" s="16">
        <f>IF($C326="","",助理班表!$C15)</f>
        <v/>
      </c>
      <c r="G326" s="16">
        <f>IF($C326="","",助理班表!R15)</f>
        <v/>
      </c>
      <c r="H326" s="83">
        <f>IF($G326="","",IFERROR(IF(INDEX(設定!$D$6:$D$21,MATCH($G326,設定!$B$6:$B$21,0))=0,"",INDEX(設定!$D$6:$D$21,MATCH($G326,設定!$B$6:$B$21,0))),""))</f>
        <v/>
      </c>
      <c r="I326" s="83">
        <f>IF($G326="","",IFERROR(IF(INDEX(設定!$E$6:$E$21,MATCH($G326,設定!$B$6:$B$21,0))=0,"",INDEX(設定!$E$6:$E$21,MATCH($G326,設定!$B$6:$B$21,0))),""))</f>
        <v/>
      </c>
      <c r="J326" s="83">
        <f>IFERROR(INDEX(打卡匯入!$C$3:$C$2002,MATCH($C326&amp;"|"&amp;DAY($A326),打卡匯入!$E$3:$E$2002,0)),"")</f>
        <v/>
      </c>
      <c r="K326" s="83">
        <f>IFERROR(INDEX(打卡匯入!$D$3:$D$2002,MATCH($C326&amp;"|"&amp;DAY($A326),打卡匯入!$E$3:$E$2002,0)),"")</f>
        <v/>
      </c>
      <c r="L326" s="84">
        <f>IF(OR($J326="",$K326=""),"",IFERROR(INDEX(設定!$F$6:$F$21,MATCH($G326,設定!$B$6:$B$21,0)),0))</f>
        <v/>
      </c>
      <c r="M326" s="85">
        <f>IF(OR($J326="",$K326=""),"",ROUND(($K326-$J326)*24-$L326/60,2))</f>
        <v/>
      </c>
      <c r="N326" s="16">
        <f>IF($C326="","",IF(AND(COUNTIF(設定!$B$15:$B$21,$G326)&gt;0,$J326&lt;&gt;""),"假日出勤",IF(AND(COUNTIF(設定!$B$6:$B$14,$G326)&gt;0,$J326=""),"未打卡",IF($J326="","",IF($O326&gt;0,"遲到",IF($P326&gt;0,"早退","正常"))))))</f>
        <v/>
      </c>
      <c r="O326" s="84">
        <f>IF(OR($C326="",$H326="",$J326=""),0,IF(ROUND(($J326-$H326)*1440,0)&gt;設定!$C$46,ROUND(($J326-$H326)*1440,0),0))</f>
        <v/>
      </c>
      <c r="P326" s="84">
        <f>IF(OR($C326="",$I326="",$K326=""),0,IF(ROUND(($I326-$K326)*1440,0)&gt;設定!$C$46,ROUND(($I326-$K326)*1440,0),0))</f>
        <v/>
      </c>
      <c r="Q326" s="85">
        <f>IF($M326="",0,IF(($M326-IFERROR(INDEX(設定!$G$6:$G$21,MATCH($G326,設定!$B$6:$B$21,0)),0))*60&gt;=設定!$C$44,ROUND(FLOOR(($M326-IFERROR(INDEX(設定!$G$6:$G$21,MATCH($G326,設定!$B$6:$B$21,0)),0))*60,設定!$C$45)/60,2),0))</f>
        <v/>
      </c>
      <c r="R326" s="16">
        <f>IF(OR($C326="",$Q326=0),"",IF($G326="國","國定假日",IF($B326="日","例假",IF($B326="六","休息日","平日"))))</f>
        <v/>
      </c>
      <c r="S326" s="19" t="n"/>
    </row>
    <row r="327">
      <c r="A327" s="82">
        <f>IF(OR(助理班表!$A15="",15&gt;DAY(EOMONTH(DATE(設定!$C$2,設定!$D$2,1),0))),"",DATE(設定!$C$2,設定!$D$2,15))</f>
        <v/>
      </c>
      <c r="B327" s="16">
        <f>IF($A327="","",INDEX(設定!$O$6:$O$12,WEEKDAY($A327,1)))</f>
        <v/>
      </c>
      <c r="C327" s="16">
        <f>IF($A327="","",助理班表!$A15)</f>
        <v/>
      </c>
      <c r="D327" s="16">
        <f>IF($C327="","",助理班表!$B15)</f>
        <v/>
      </c>
      <c r="E327" s="16">
        <f>IF($C327="","",助理班表!$D15)</f>
        <v/>
      </c>
      <c r="F327" s="16">
        <f>IF($C327="","",助理班表!$C15)</f>
        <v/>
      </c>
      <c r="G327" s="16">
        <f>IF($C327="","",助理班表!S15)</f>
        <v/>
      </c>
      <c r="H327" s="83">
        <f>IF($G327="","",IFERROR(IF(INDEX(設定!$D$6:$D$21,MATCH($G327,設定!$B$6:$B$21,0))=0,"",INDEX(設定!$D$6:$D$21,MATCH($G327,設定!$B$6:$B$21,0))),""))</f>
        <v/>
      </c>
      <c r="I327" s="83">
        <f>IF($G327="","",IFERROR(IF(INDEX(設定!$E$6:$E$21,MATCH($G327,設定!$B$6:$B$21,0))=0,"",INDEX(設定!$E$6:$E$21,MATCH($G327,設定!$B$6:$B$21,0))),""))</f>
        <v/>
      </c>
      <c r="J327" s="83">
        <f>IFERROR(INDEX(打卡匯入!$C$3:$C$2002,MATCH($C327&amp;"|"&amp;DAY($A327),打卡匯入!$E$3:$E$2002,0)),"")</f>
        <v/>
      </c>
      <c r="K327" s="83">
        <f>IFERROR(INDEX(打卡匯入!$D$3:$D$2002,MATCH($C327&amp;"|"&amp;DAY($A327),打卡匯入!$E$3:$E$2002,0)),"")</f>
        <v/>
      </c>
      <c r="L327" s="84">
        <f>IF(OR($J327="",$K327=""),"",IFERROR(INDEX(設定!$F$6:$F$21,MATCH($G327,設定!$B$6:$B$21,0)),0))</f>
        <v/>
      </c>
      <c r="M327" s="85">
        <f>IF(OR($J327="",$K327=""),"",ROUND(($K327-$J327)*24-$L327/60,2))</f>
        <v/>
      </c>
      <c r="N327" s="16">
        <f>IF($C327="","",IF(AND(COUNTIF(設定!$B$15:$B$21,$G327)&gt;0,$J327&lt;&gt;""),"假日出勤",IF(AND(COUNTIF(設定!$B$6:$B$14,$G327)&gt;0,$J327=""),"未打卡",IF($J327="","",IF($O327&gt;0,"遲到",IF($P327&gt;0,"早退","正常"))))))</f>
        <v/>
      </c>
      <c r="O327" s="84">
        <f>IF(OR($C327="",$H327="",$J327=""),0,IF(ROUND(($J327-$H327)*1440,0)&gt;設定!$C$46,ROUND(($J327-$H327)*1440,0),0))</f>
        <v/>
      </c>
      <c r="P327" s="84">
        <f>IF(OR($C327="",$I327="",$K327=""),0,IF(ROUND(($I327-$K327)*1440,0)&gt;設定!$C$46,ROUND(($I327-$K327)*1440,0),0))</f>
        <v/>
      </c>
      <c r="Q327" s="85">
        <f>IF($M327="",0,IF(($M327-IFERROR(INDEX(設定!$G$6:$G$21,MATCH($G327,設定!$B$6:$B$21,0)),0))*60&gt;=設定!$C$44,ROUND(FLOOR(($M327-IFERROR(INDEX(設定!$G$6:$G$21,MATCH($G327,設定!$B$6:$B$21,0)),0))*60,設定!$C$45)/60,2),0))</f>
        <v/>
      </c>
      <c r="R327" s="16">
        <f>IF(OR($C327="",$Q327=0),"",IF($G327="國","國定假日",IF($B327="日","例假",IF($B327="六","休息日","平日"))))</f>
        <v/>
      </c>
      <c r="S327" s="19" t="n"/>
    </row>
    <row r="328">
      <c r="A328" s="82">
        <f>IF(OR(助理班表!$A15="",16&gt;DAY(EOMONTH(DATE(設定!$C$2,設定!$D$2,1),0))),"",DATE(設定!$C$2,設定!$D$2,16))</f>
        <v/>
      </c>
      <c r="B328" s="16">
        <f>IF($A328="","",INDEX(設定!$O$6:$O$12,WEEKDAY($A328,1)))</f>
        <v/>
      </c>
      <c r="C328" s="16">
        <f>IF($A328="","",助理班表!$A15)</f>
        <v/>
      </c>
      <c r="D328" s="16">
        <f>IF($C328="","",助理班表!$B15)</f>
        <v/>
      </c>
      <c r="E328" s="16">
        <f>IF($C328="","",助理班表!$D15)</f>
        <v/>
      </c>
      <c r="F328" s="16">
        <f>IF($C328="","",助理班表!$C15)</f>
        <v/>
      </c>
      <c r="G328" s="16">
        <f>IF($C328="","",助理班表!T15)</f>
        <v/>
      </c>
      <c r="H328" s="83">
        <f>IF($G328="","",IFERROR(IF(INDEX(設定!$D$6:$D$21,MATCH($G328,設定!$B$6:$B$21,0))=0,"",INDEX(設定!$D$6:$D$21,MATCH($G328,設定!$B$6:$B$21,0))),""))</f>
        <v/>
      </c>
      <c r="I328" s="83">
        <f>IF($G328="","",IFERROR(IF(INDEX(設定!$E$6:$E$21,MATCH($G328,設定!$B$6:$B$21,0))=0,"",INDEX(設定!$E$6:$E$21,MATCH($G328,設定!$B$6:$B$21,0))),""))</f>
        <v/>
      </c>
      <c r="J328" s="83">
        <f>IFERROR(INDEX(打卡匯入!$C$3:$C$2002,MATCH($C328&amp;"|"&amp;DAY($A328),打卡匯入!$E$3:$E$2002,0)),"")</f>
        <v/>
      </c>
      <c r="K328" s="83">
        <f>IFERROR(INDEX(打卡匯入!$D$3:$D$2002,MATCH($C328&amp;"|"&amp;DAY($A328),打卡匯入!$E$3:$E$2002,0)),"")</f>
        <v/>
      </c>
      <c r="L328" s="84">
        <f>IF(OR($J328="",$K328=""),"",IFERROR(INDEX(設定!$F$6:$F$21,MATCH($G328,設定!$B$6:$B$21,0)),0))</f>
        <v/>
      </c>
      <c r="M328" s="85">
        <f>IF(OR($J328="",$K328=""),"",ROUND(($K328-$J328)*24-$L328/60,2))</f>
        <v/>
      </c>
      <c r="N328" s="16">
        <f>IF($C328="","",IF(AND(COUNTIF(設定!$B$15:$B$21,$G328)&gt;0,$J328&lt;&gt;""),"假日出勤",IF(AND(COUNTIF(設定!$B$6:$B$14,$G328)&gt;0,$J328=""),"未打卡",IF($J328="","",IF($O328&gt;0,"遲到",IF($P328&gt;0,"早退","正常"))))))</f>
        <v/>
      </c>
      <c r="O328" s="84">
        <f>IF(OR($C328="",$H328="",$J328=""),0,IF(ROUND(($J328-$H328)*1440,0)&gt;設定!$C$46,ROUND(($J328-$H328)*1440,0),0))</f>
        <v/>
      </c>
      <c r="P328" s="84">
        <f>IF(OR($C328="",$I328="",$K328=""),0,IF(ROUND(($I328-$K328)*1440,0)&gt;設定!$C$46,ROUND(($I328-$K328)*1440,0),0))</f>
        <v/>
      </c>
      <c r="Q328" s="85">
        <f>IF($M328="",0,IF(($M328-IFERROR(INDEX(設定!$G$6:$G$21,MATCH($G328,設定!$B$6:$B$21,0)),0))*60&gt;=設定!$C$44,ROUND(FLOOR(($M328-IFERROR(INDEX(設定!$G$6:$G$21,MATCH($G328,設定!$B$6:$B$21,0)),0))*60,設定!$C$45)/60,2),0))</f>
        <v/>
      </c>
      <c r="R328" s="16">
        <f>IF(OR($C328="",$Q328=0),"",IF($G328="國","國定假日",IF($B328="日","例假",IF($B328="六","休息日","平日"))))</f>
        <v/>
      </c>
      <c r="S328" s="19" t="n"/>
    </row>
    <row r="329">
      <c r="A329" s="82">
        <f>IF(OR(助理班表!$A15="",17&gt;DAY(EOMONTH(DATE(設定!$C$2,設定!$D$2,1),0))),"",DATE(設定!$C$2,設定!$D$2,17))</f>
        <v/>
      </c>
      <c r="B329" s="16">
        <f>IF($A329="","",INDEX(設定!$O$6:$O$12,WEEKDAY($A329,1)))</f>
        <v/>
      </c>
      <c r="C329" s="16">
        <f>IF($A329="","",助理班表!$A15)</f>
        <v/>
      </c>
      <c r="D329" s="16">
        <f>IF($C329="","",助理班表!$B15)</f>
        <v/>
      </c>
      <c r="E329" s="16">
        <f>IF($C329="","",助理班表!$D15)</f>
        <v/>
      </c>
      <c r="F329" s="16">
        <f>IF($C329="","",助理班表!$C15)</f>
        <v/>
      </c>
      <c r="G329" s="16">
        <f>IF($C329="","",助理班表!U15)</f>
        <v/>
      </c>
      <c r="H329" s="83">
        <f>IF($G329="","",IFERROR(IF(INDEX(設定!$D$6:$D$21,MATCH($G329,設定!$B$6:$B$21,0))=0,"",INDEX(設定!$D$6:$D$21,MATCH($G329,設定!$B$6:$B$21,0))),""))</f>
        <v/>
      </c>
      <c r="I329" s="83">
        <f>IF($G329="","",IFERROR(IF(INDEX(設定!$E$6:$E$21,MATCH($G329,設定!$B$6:$B$21,0))=0,"",INDEX(設定!$E$6:$E$21,MATCH($G329,設定!$B$6:$B$21,0))),""))</f>
        <v/>
      </c>
      <c r="J329" s="83">
        <f>IFERROR(INDEX(打卡匯入!$C$3:$C$2002,MATCH($C329&amp;"|"&amp;DAY($A329),打卡匯入!$E$3:$E$2002,0)),"")</f>
        <v/>
      </c>
      <c r="K329" s="83">
        <f>IFERROR(INDEX(打卡匯入!$D$3:$D$2002,MATCH($C329&amp;"|"&amp;DAY($A329),打卡匯入!$E$3:$E$2002,0)),"")</f>
        <v/>
      </c>
      <c r="L329" s="84">
        <f>IF(OR($J329="",$K329=""),"",IFERROR(INDEX(設定!$F$6:$F$21,MATCH($G329,設定!$B$6:$B$21,0)),0))</f>
        <v/>
      </c>
      <c r="M329" s="85">
        <f>IF(OR($J329="",$K329=""),"",ROUND(($K329-$J329)*24-$L329/60,2))</f>
        <v/>
      </c>
      <c r="N329" s="16">
        <f>IF($C329="","",IF(AND(COUNTIF(設定!$B$15:$B$21,$G329)&gt;0,$J329&lt;&gt;""),"假日出勤",IF(AND(COUNTIF(設定!$B$6:$B$14,$G329)&gt;0,$J329=""),"未打卡",IF($J329="","",IF($O329&gt;0,"遲到",IF($P329&gt;0,"早退","正常"))))))</f>
        <v/>
      </c>
      <c r="O329" s="84">
        <f>IF(OR($C329="",$H329="",$J329=""),0,IF(ROUND(($J329-$H329)*1440,0)&gt;設定!$C$46,ROUND(($J329-$H329)*1440,0),0))</f>
        <v/>
      </c>
      <c r="P329" s="84">
        <f>IF(OR($C329="",$I329="",$K329=""),0,IF(ROUND(($I329-$K329)*1440,0)&gt;設定!$C$46,ROUND(($I329-$K329)*1440,0),0))</f>
        <v/>
      </c>
      <c r="Q329" s="85">
        <f>IF($M329="",0,IF(($M329-IFERROR(INDEX(設定!$G$6:$G$21,MATCH($G329,設定!$B$6:$B$21,0)),0))*60&gt;=設定!$C$44,ROUND(FLOOR(($M329-IFERROR(INDEX(設定!$G$6:$G$21,MATCH($G329,設定!$B$6:$B$21,0)),0))*60,設定!$C$45)/60,2),0))</f>
        <v/>
      </c>
      <c r="R329" s="16">
        <f>IF(OR($C329="",$Q329=0),"",IF($G329="國","國定假日",IF($B329="日","例假",IF($B329="六","休息日","平日"))))</f>
        <v/>
      </c>
      <c r="S329" s="19" t="n"/>
    </row>
    <row r="330">
      <c r="A330" s="82">
        <f>IF(OR(助理班表!$A15="",18&gt;DAY(EOMONTH(DATE(設定!$C$2,設定!$D$2,1),0))),"",DATE(設定!$C$2,設定!$D$2,18))</f>
        <v/>
      </c>
      <c r="B330" s="16">
        <f>IF($A330="","",INDEX(設定!$O$6:$O$12,WEEKDAY($A330,1)))</f>
        <v/>
      </c>
      <c r="C330" s="16">
        <f>IF($A330="","",助理班表!$A15)</f>
        <v/>
      </c>
      <c r="D330" s="16">
        <f>IF($C330="","",助理班表!$B15)</f>
        <v/>
      </c>
      <c r="E330" s="16">
        <f>IF($C330="","",助理班表!$D15)</f>
        <v/>
      </c>
      <c r="F330" s="16">
        <f>IF($C330="","",助理班表!$C15)</f>
        <v/>
      </c>
      <c r="G330" s="16">
        <f>IF($C330="","",助理班表!V15)</f>
        <v/>
      </c>
      <c r="H330" s="83">
        <f>IF($G330="","",IFERROR(IF(INDEX(設定!$D$6:$D$21,MATCH($G330,設定!$B$6:$B$21,0))=0,"",INDEX(設定!$D$6:$D$21,MATCH($G330,設定!$B$6:$B$21,0))),""))</f>
        <v/>
      </c>
      <c r="I330" s="83">
        <f>IF($G330="","",IFERROR(IF(INDEX(設定!$E$6:$E$21,MATCH($G330,設定!$B$6:$B$21,0))=0,"",INDEX(設定!$E$6:$E$21,MATCH($G330,設定!$B$6:$B$21,0))),""))</f>
        <v/>
      </c>
      <c r="J330" s="83">
        <f>IFERROR(INDEX(打卡匯入!$C$3:$C$2002,MATCH($C330&amp;"|"&amp;DAY($A330),打卡匯入!$E$3:$E$2002,0)),"")</f>
        <v/>
      </c>
      <c r="K330" s="83">
        <f>IFERROR(INDEX(打卡匯入!$D$3:$D$2002,MATCH($C330&amp;"|"&amp;DAY($A330),打卡匯入!$E$3:$E$2002,0)),"")</f>
        <v/>
      </c>
      <c r="L330" s="84">
        <f>IF(OR($J330="",$K330=""),"",IFERROR(INDEX(設定!$F$6:$F$21,MATCH($G330,設定!$B$6:$B$21,0)),0))</f>
        <v/>
      </c>
      <c r="M330" s="85">
        <f>IF(OR($J330="",$K330=""),"",ROUND(($K330-$J330)*24-$L330/60,2))</f>
        <v/>
      </c>
      <c r="N330" s="16">
        <f>IF($C330="","",IF(AND(COUNTIF(設定!$B$15:$B$21,$G330)&gt;0,$J330&lt;&gt;""),"假日出勤",IF(AND(COUNTIF(設定!$B$6:$B$14,$G330)&gt;0,$J330=""),"未打卡",IF($J330="","",IF($O330&gt;0,"遲到",IF($P330&gt;0,"早退","正常"))))))</f>
        <v/>
      </c>
      <c r="O330" s="84">
        <f>IF(OR($C330="",$H330="",$J330=""),0,IF(ROUND(($J330-$H330)*1440,0)&gt;設定!$C$46,ROUND(($J330-$H330)*1440,0),0))</f>
        <v/>
      </c>
      <c r="P330" s="84">
        <f>IF(OR($C330="",$I330="",$K330=""),0,IF(ROUND(($I330-$K330)*1440,0)&gt;設定!$C$46,ROUND(($I330-$K330)*1440,0),0))</f>
        <v/>
      </c>
      <c r="Q330" s="85">
        <f>IF($M330="",0,IF(($M330-IFERROR(INDEX(設定!$G$6:$G$21,MATCH($G330,設定!$B$6:$B$21,0)),0))*60&gt;=設定!$C$44,ROUND(FLOOR(($M330-IFERROR(INDEX(設定!$G$6:$G$21,MATCH($G330,設定!$B$6:$B$21,0)),0))*60,設定!$C$45)/60,2),0))</f>
        <v/>
      </c>
      <c r="R330" s="16">
        <f>IF(OR($C330="",$Q330=0),"",IF($G330="國","國定假日",IF($B330="日","例假",IF($B330="六","休息日","平日"))))</f>
        <v/>
      </c>
      <c r="S330" s="19" t="n"/>
    </row>
    <row r="331">
      <c r="A331" s="82">
        <f>IF(OR(助理班表!$A15="",19&gt;DAY(EOMONTH(DATE(設定!$C$2,設定!$D$2,1),0))),"",DATE(設定!$C$2,設定!$D$2,19))</f>
        <v/>
      </c>
      <c r="B331" s="16">
        <f>IF($A331="","",INDEX(設定!$O$6:$O$12,WEEKDAY($A331,1)))</f>
        <v/>
      </c>
      <c r="C331" s="16">
        <f>IF($A331="","",助理班表!$A15)</f>
        <v/>
      </c>
      <c r="D331" s="16">
        <f>IF($C331="","",助理班表!$B15)</f>
        <v/>
      </c>
      <c r="E331" s="16">
        <f>IF($C331="","",助理班表!$D15)</f>
        <v/>
      </c>
      <c r="F331" s="16">
        <f>IF($C331="","",助理班表!$C15)</f>
        <v/>
      </c>
      <c r="G331" s="16">
        <f>IF($C331="","",助理班表!W15)</f>
        <v/>
      </c>
      <c r="H331" s="83">
        <f>IF($G331="","",IFERROR(IF(INDEX(設定!$D$6:$D$21,MATCH($G331,設定!$B$6:$B$21,0))=0,"",INDEX(設定!$D$6:$D$21,MATCH($G331,設定!$B$6:$B$21,0))),""))</f>
        <v/>
      </c>
      <c r="I331" s="83">
        <f>IF($G331="","",IFERROR(IF(INDEX(設定!$E$6:$E$21,MATCH($G331,設定!$B$6:$B$21,0))=0,"",INDEX(設定!$E$6:$E$21,MATCH($G331,設定!$B$6:$B$21,0))),""))</f>
        <v/>
      </c>
      <c r="J331" s="83">
        <f>IFERROR(INDEX(打卡匯入!$C$3:$C$2002,MATCH($C331&amp;"|"&amp;DAY($A331),打卡匯入!$E$3:$E$2002,0)),"")</f>
        <v/>
      </c>
      <c r="K331" s="83">
        <f>IFERROR(INDEX(打卡匯入!$D$3:$D$2002,MATCH($C331&amp;"|"&amp;DAY($A331),打卡匯入!$E$3:$E$2002,0)),"")</f>
        <v/>
      </c>
      <c r="L331" s="84">
        <f>IF(OR($J331="",$K331=""),"",IFERROR(INDEX(設定!$F$6:$F$21,MATCH($G331,設定!$B$6:$B$21,0)),0))</f>
        <v/>
      </c>
      <c r="M331" s="85">
        <f>IF(OR($J331="",$K331=""),"",ROUND(($K331-$J331)*24-$L331/60,2))</f>
        <v/>
      </c>
      <c r="N331" s="16">
        <f>IF($C331="","",IF(AND(COUNTIF(設定!$B$15:$B$21,$G331)&gt;0,$J331&lt;&gt;""),"假日出勤",IF(AND(COUNTIF(設定!$B$6:$B$14,$G331)&gt;0,$J331=""),"未打卡",IF($J331="","",IF($O331&gt;0,"遲到",IF($P331&gt;0,"早退","正常"))))))</f>
        <v/>
      </c>
      <c r="O331" s="84">
        <f>IF(OR($C331="",$H331="",$J331=""),0,IF(ROUND(($J331-$H331)*1440,0)&gt;設定!$C$46,ROUND(($J331-$H331)*1440,0),0))</f>
        <v/>
      </c>
      <c r="P331" s="84">
        <f>IF(OR($C331="",$I331="",$K331=""),0,IF(ROUND(($I331-$K331)*1440,0)&gt;設定!$C$46,ROUND(($I331-$K331)*1440,0),0))</f>
        <v/>
      </c>
      <c r="Q331" s="85">
        <f>IF($M331="",0,IF(($M331-IFERROR(INDEX(設定!$G$6:$G$21,MATCH($G331,設定!$B$6:$B$21,0)),0))*60&gt;=設定!$C$44,ROUND(FLOOR(($M331-IFERROR(INDEX(設定!$G$6:$G$21,MATCH($G331,設定!$B$6:$B$21,0)),0))*60,設定!$C$45)/60,2),0))</f>
        <v/>
      </c>
      <c r="R331" s="16">
        <f>IF(OR($C331="",$Q331=0),"",IF($G331="國","國定假日",IF($B331="日","例假",IF($B331="六","休息日","平日"))))</f>
        <v/>
      </c>
      <c r="S331" s="19" t="n"/>
    </row>
    <row r="332">
      <c r="A332" s="82">
        <f>IF(OR(助理班表!$A15="",20&gt;DAY(EOMONTH(DATE(設定!$C$2,設定!$D$2,1),0))),"",DATE(設定!$C$2,設定!$D$2,20))</f>
        <v/>
      </c>
      <c r="B332" s="16">
        <f>IF($A332="","",INDEX(設定!$O$6:$O$12,WEEKDAY($A332,1)))</f>
        <v/>
      </c>
      <c r="C332" s="16">
        <f>IF($A332="","",助理班表!$A15)</f>
        <v/>
      </c>
      <c r="D332" s="16">
        <f>IF($C332="","",助理班表!$B15)</f>
        <v/>
      </c>
      <c r="E332" s="16">
        <f>IF($C332="","",助理班表!$D15)</f>
        <v/>
      </c>
      <c r="F332" s="16">
        <f>IF($C332="","",助理班表!$C15)</f>
        <v/>
      </c>
      <c r="G332" s="16">
        <f>IF($C332="","",助理班表!X15)</f>
        <v/>
      </c>
      <c r="H332" s="83">
        <f>IF($G332="","",IFERROR(IF(INDEX(設定!$D$6:$D$21,MATCH($G332,設定!$B$6:$B$21,0))=0,"",INDEX(設定!$D$6:$D$21,MATCH($G332,設定!$B$6:$B$21,0))),""))</f>
        <v/>
      </c>
      <c r="I332" s="83">
        <f>IF($G332="","",IFERROR(IF(INDEX(設定!$E$6:$E$21,MATCH($G332,設定!$B$6:$B$21,0))=0,"",INDEX(設定!$E$6:$E$21,MATCH($G332,設定!$B$6:$B$21,0))),""))</f>
        <v/>
      </c>
      <c r="J332" s="83">
        <f>IFERROR(INDEX(打卡匯入!$C$3:$C$2002,MATCH($C332&amp;"|"&amp;DAY($A332),打卡匯入!$E$3:$E$2002,0)),"")</f>
        <v/>
      </c>
      <c r="K332" s="83">
        <f>IFERROR(INDEX(打卡匯入!$D$3:$D$2002,MATCH($C332&amp;"|"&amp;DAY($A332),打卡匯入!$E$3:$E$2002,0)),"")</f>
        <v/>
      </c>
      <c r="L332" s="84">
        <f>IF(OR($J332="",$K332=""),"",IFERROR(INDEX(設定!$F$6:$F$21,MATCH($G332,設定!$B$6:$B$21,0)),0))</f>
        <v/>
      </c>
      <c r="M332" s="85">
        <f>IF(OR($J332="",$K332=""),"",ROUND(($K332-$J332)*24-$L332/60,2))</f>
        <v/>
      </c>
      <c r="N332" s="16">
        <f>IF($C332="","",IF(AND(COUNTIF(設定!$B$15:$B$21,$G332)&gt;0,$J332&lt;&gt;""),"假日出勤",IF(AND(COUNTIF(設定!$B$6:$B$14,$G332)&gt;0,$J332=""),"未打卡",IF($J332="","",IF($O332&gt;0,"遲到",IF($P332&gt;0,"早退","正常"))))))</f>
        <v/>
      </c>
      <c r="O332" s="84">
        <f>IF(OR($C332="",$H332="",$J332=""),0,IF(ROUND(($J332-$H332)*1440,0)&gt;設定!$C$46,ROUND(($J332-$H332)*1440,0),0))</f>
        <v/>
      </c>
      <c r="P332" s="84">
        <f>IF(OR($C332="",$I332="",$K332=""),0,IF(ROUND(($I332-$K332)*1440,0)&gt;設定!$C$46,ROUND(($I332-$K332)*1440,0),0))</f>
        <v/>
      </c>
      <c r="Q332" s="85">
        <f>IF($M332="",0,IF(($M332-IFERROR(INDEX(設定!$G$6:$G$21,MATCH($G332,設定!$B$6:$B$21,0)),0))*60&gt;=設定!$C$44,ROUND(FLOOR(($M332-IFERROR(INDEX(設定!$G$6:$G$21,MATCH($G332,設定!$B$6:$B$21,0)),0))*60,設定!$C$45)/60,2),0))</f>
        <v/>
      </c>
      <c r="R332" s="16">
        <f>IF(OR($C332="",$Q332=0),"",IF($G332="國","國定假日",IF($B332="日","例假",IF($B332="六","休息日","平日"))))</f>
        <v/>
      </c>
      <c r="S332" s="19" t="n"/>
    </row>
    <row r="333">
      <c r="A333" s="82">
        <f>IF(OR(助理班表!$A15="",21&gt;DAY(EOMONTH(DATE(設定!$C$2,設定!$D$2,1),0))),"",DATE(設定!$C$2,設定!$D$2,21))</f>
        <v/>
      </c>
      <c r="B333" s="16">
        <f>IF($A333="","",INDEX(設定!$O$6:$O$12,WEEKDAY($A333,1)))</f>
        <v/>
      </c>
      <c r="C333" s="16">
        <f>IF($A333="","",助理班表!$A15)</f>
        <v/>
      </c>
      <c r="D333" s="16">
        <f>IF($C333="","",助理班表!$B15)</f>
        <v/>
      </c>
      <c r="E333" s="16">
        <f>IF($C333="","",助理班表!$D15)</f>
        <v/>
      </c>
      <c r="F333" s="16">
        <f>IF($C333="","",助理班表!$C15)</f>
        <v/>
      </c>
      <c r="G333" s="16">
        <f>IF($C333="","",助理班表!Y15)</f>
        <v/>
      </c>
      <c r="H333" s="83">
        <f>IF($G333="","",IFERROR(IF(INDEX(設定!$D$6:$D$21,MATCH($G333,設定!$B$6:$B$21,0))=0,"",INDEX(設定!$D$6:$D$21,MATCH($G333,設定!$B$6:$B$21,0))),""))</f>
        <v/>
      </c>
      <c r="I333" s="83">
        <f>IF($G333="","",IFERROR(IF(INDEX(設定!$E$6:$E$21,MATCH($G333,設定!$B$6:$B$21,0))=0,"",INDEX(設定!$E$6:$E$21,MATCH($G333,設定!$B$6:$B$21,0))),""))</f>
        <v/>
      </c>
      <c r="J333" s="83">
        <f>IFERROR(INDEX(打卡匯入!$C$3:$C$2002,MATCH($C333&amp;"|"&amp;DAY($A333),打卡匯入!$E$3:$E$2002,0)),"")</f>
        <v/>
      </c>
      <c r="K333" s="83">
        <f>IFERROR(INDEX(打卡匯入!$D$3:$D$2002,MATCH($C333&amp;"|"&amp;DAY($A333),打卡匯入!$E$3:$E$2002,0)),"")</f>
        <v/>
      </c>
      <c r="L333" s="84">
        <f>IF(OR($J333="",$K333=""),"",IFERROR(INDEX(設定!$F$6:$F$21,MATCH($G333,設定!$B$6:$B$21,0)),0))</f>
        <v/>
      </c>
      <c r="M333" s="85">
        <f>IF(OR($J333="",$K333=""),"",ROUND(($K333-$J333)*24-$L333/60,2))</f>
        <v/>
      </c>
      <c r="N333" s="16">
        <f>IF($C333="","",IF(AND(COUNTIF(設定!$B$15:$B$21,$G333)&gt;0,$J333&lt;&gt;""),"假日出勤",IF(AND(COUNTIF(設定!$B$6:$B$14,$G333)&gt;0,$J333=""),"未打卡",IF($J333="","",IF($O333&gt;0,"遲到",IF($P333&gt;0,"早退","正常"))))))</f>
        <v/>
      </c>
      <c r="O333" s="84">
        <f>IF(OR($C333="",$H333="",$J333=""),0,IF(ROUND(($J333-$H333)*1440,0)&gt;設定!$C$46,ROUND(($J333-$H333)*1440,0),0))</f>
        <v/>
      </c>
      <c r="P333" s="84">
        <f>IF(OR($C333="",$I333="",$K333=""),0,IF(ROUND(($I333-$K333)*1440,0)&gt;設定!$C$46,ROUND(($I333-$K333)*1440,0),0))</f>
        <v/>
      </c>
      <c r="Q333" s="85">
        <f>IF($M333="",0,IF(($M333-IFERROR(INDEX(設定!$G$6:$G$21,MATCH($G333,設定!$B$6:$B$21,0)),0))*60&gt;=設定!$C$44,ROUND(FLOOR(($M333-IFERROR(INDEX(設定!$G$6:$G$21,MATCH($G333,設定!$B$6:$B$21,0)),0))*60,設定!$C$45)/60,2),0))</f>
        <v/>
      </c>
      <c r="R333" s="16">
        <f>IF(OR($C333="",$Q333=0),"",IF($G333="國","國定假日",IF($B333="日","例假",IF($B333="六","休息日","平日"))))</f>
        <v/>
      </c>
      <c r="S333" s="19" t="n"/>
    </row>
    <row r="334">
      <c r="A334" s="82">
        <f>IF(OR(助理班表!$A15="",22&gt;DAY(EOMONTH(DATE(設定!$C$2,設定!$D$2,1),0))),"",DATE(設定!$C$2,設定!$D$2,22))</f>
        <v/>
      </c>
      <c r="B334" s="16">
        <f>IF($A334="","",INDEX(設定!$O$6:$O$12,WEEKDAY($A334,1)))</f>
        <v/>
      </c>
      <c r="C334" s="16">
        <f>IF($A334="","",助理班表!$A15)</f>
        <v/>
      </c>
      <c r="D334" s="16">
        <f>IF($C334="","",助理班表!$B15)</f>
        <v/>
      </c>
      <c r="E334" s="16">
        <f>IF($C334="","",助理班表!$D15)</f>
        <v/>
      </c>
      <c r="F334" s="16">
        <f>IF($C334="","",助理班表!$C15)</f>
        <v/>
      </c>
      <c r="G334" s="16">
        <f>IF($C334="","",助理班表!Z15)</f>
        <v/>
      </c>
      <c r="H334" s="83">
        <f>IF($G334="","",IFERROR(IF(INDEX(設定!$D$6:$D$21,MATCH($G334,設定!$B$6:$B$21,0))=0,"",INDEX(設定!$D$6:$D$21,MATCH($G334,設定!$B$6:$B$21,0))),""))</f>
        <v/>
      </c>
      <c r="I334" s="83">
        <f>IF($G334="","",IFERROR(IF(INDEX(設定!$E$6:$E$21,MATCH($G334,設定!$B$6:$B$21,0))=0,"",INDEX(設定!$E$6:$E$21,MATCH($G334,設定!$B$6:$B$21,0))),""))</f>
        <v/>
      </c>
      <c r="J334" s="83">
        <f>IFERROR(INDEX(打卡匯入!$C$3:$C$2002,MATCH($C334&amp;"|"&amp;DAY($A334),打卡匯入!$E$3:$E$2002,0)),"")</f>
        <v/>
      </c>
      <c r="K334" s="83">
        <f>IFERROR(INDEX(打卡匯入!$D$3:$D$2002,MATCH($C334&amp;"|"&amp;DAY($A334),打卡匯入!$E$3:$E$2002,0)),"")</f>
        <v/>
      </c>
      <c r="L334" s="84">
        <f>IF(OR($J334="",$K334=""),"",IFERROR(INDEX(設定!$F$6:$F$21,MATCH($G334,設定!$B$6:$B$21,0)),0))</f>
        <v/>
      </c>
      <c r="M334" s="85">
        <f>IF(OR($J334="",$K334=""),"",ROUND(($K334-$J334)*24-$L334/60,2))</f>
        <v/>
      </c>
      <c r="N334" s="16">
        <f>IF($C334="","",IF(AND(COUNTIF(設定!$B$15:$B$21,$G334)&gt;0,$J334&lt;&gt;""),"假日出勤",IF(AND(COUNTIF(設定!$B$6:$B$14,$G334)&gt;0,$J334=""),"未打卡",IF($J334="","",IF($O334&gt;0,"遲到",IF($P334&gt;0,"早退","正常"))))))</f>
        <v/>
      </c>
      <c r="O334" s="84">
        <f>IF(OR($C334="",$H334="",$J334=""),0,IF(ROUND(($J334-$H334)*1440,0)&gt;設定!$C$46,ROUND(($J334-$H334)*1440,0),0))</f>
        <v/>
      </c>
      <c r="P334" s="84">
        <f>IF(OR($C334="",$I334="",$K334=""),0,IF(ROUND(($I334-$K334)*1440,0)&gt;設定!$C$46,ROUND(($I334-$K334)*1440,0),0))</f>
        <v/>
      </c>
      <c r="Q334" s="85">
        <f>IF($M334="",0,IF(($M334-IFERROR(INDEX(設定!$G$6:$G$21,MATCH($G334,設定!$B$6:$B$21,0)),0))*60&gt;=設定!$C$44,ROUND(FLOOR(($M334-IFERROR(INDEX(設定!$G$6:$G$21,MATCH($G334,設定!$B$6:$B$21,0)),0))*60,設定!$C$45)/60,2),0))</f>
        <v/>
      </c>
      <c r="R334" s="16">
        <f>IF(OR($C334="",$Q334=0),"",IF($G334="國","國定假日",IF($B334="日","例假",IF($B334="六","休息日","平日"))))</f>
        <v/>
      </c>
      <c r="S334" s="19" t="n"/>
    </row>
    <row r="335">
      <c r="A335" s="82">
        <f>IF(OR(助理班表!$A15="",23&gt;DAY(EOMONTH(DATE(設定!$C$2,設定!$D$2,1),0))),"",DATE(設定!$C$2,設定!$D$2,23))</f>
        <v/>
      </c>
      <c r="B335" s="16">
        <f>IF($A335="","",INDEX(設定!$O$6:$O$12,WEEKDAY($A335,1)))</f>
        <v/>
      </c>
      <c r="C335" s="16">
        <f>IF($A335="","",助理班表!$A15)</f>
        <v/>
      </c>
      <c r="D335" s="16">
        <f>IF($C335="","",助理班表!$B15)</f>
        <v/>
      </c>
      <c r="E335" s="16">
        <f>IF($C335="","",助理班表!$D15)</f>
        <v/>
      </c>
      <c r="F335" s="16">
        <f>IF($C335="","",助理班表!$C15)</f>
        <v/>
      </c>
      <c r="G335" s="16">
        <f>IF($C335="","",助理班表!AA15)</f>
        <v/>
      </c>
      <c r="H335" s="83">
        <f>IF($G335="","",IFERROR(IF(INDEX(設定!$D$6:$D$21,MATCH($G335,設定!$B$6:$B$21,0))=0,"",INDEX(設定!$D$6:$D$21,MATCH($G335,設定!$B$6:$B$21,0))),""))</f>
        <v/>
      </c>
      <c r="I335" s="83">
        <f>IF($G335="","",IFERROR(IF(INDEX(設定!$E$6:$E$21,MATCH($G335,設定!$B$6:$B$21,0))=0,"",INDEX(設定!$E$6:$E$21,MATCH($G335,設定!$B$6:$B$21,0))),""))</f>
        <v/>
      </c>
      <c r="J335" s="83">
        <f>IFERROR(INDEX(打卡匯入!$C$3:$C$2002,MATCH($C335&amp;"|"&amp;DAY($A335),打卡匯入!$E$3:$E$2002,0)),"")</f>
        <v/>
      </c>
      <c r="K335" s="83">
        <f>IFERROR(INDEX(打卡匯入!$D$3:$D$2002,MATCH($C335&amp;"|"&amp;DAY($A335),打卡匯入!$E$3:$E$2002,0)),"")</f>
        <v/>
      </c>
      <c r="L335" s="84">
        <f>IF(OR($J335="",$K335=""),"",IFERROR(INDEX(設定!$F$6:$F$21,MATCH($G335,設定!$B$6:$B$21,0)),0))</f>
        <v/>
      </c>
      <c r="M335" s="85">
        <f>IF(OR($J335="",$K335=""),"",ROUND(($K335-$J335)*24-$L335/60,2))</f>
        <v/>
      </c>
      <c r="N335" s="16">
        <f>IF($C335="","",IF(AND(COUNTIF(設定!$B$15:$B$21,$G335)&gt;0,$J335&lt;&gt;""),"假日出勤",IF(AND(COUNTIF(設定!$B$6:$B$14,$G335)&gt;0,$J335=""),"未打卡",IF($J335="","",IF($O335&gt;0,"遲到",IF($P335&gt;0,"早退","正常"))))))</f>
        <v/>
      </c>
      <c r="O335" s="84">
        <f>IF(OR($C335="",$H335="",$J335=""),0,IF(ROUND(($J335-$H335)*1440,0)&gt;設定!$C$46,ROUND(($J335-$H335)*1440,0),0))</f>
        <v/>
      </c>
      <c r="P335" s="84">
        <f>IF(OR($C335="",$I335="",$K335=""),0,IF(ROUND(($I335-$K335)*1440,0)&gt;設定!$C$46,ROUND(($I335-$K335)*1440,0),0))</f>
        <v/>
      </c>
      <c r="Q335" s="85">
        <f>IF($M335="",0,IF(($M335-IFERROR(INDEX(設定!$G$6:$G$21,MATCH($G335,設定!$B$6:$B$21,0)),0))*60&gt;=設定!$C$44,ROUND(FLOOR(($M335-IFERROR(INDEX(設定!$G$6:$G$21,MATCH($G335,設定!$B$6:$B$21,0)),0))*60,設定!$C$45)/60,2),0))</f>
        <v/>
      </c>
      <c r="R335" s="16">
        <f>IF(OR($C335="",$Q335=0),"",IF($G335="國","國定假日",IF($B335="日","例假",IF($B335="六","休息日","平日"))))</f>
        <v/>
      </c>
      <c r="S335" s="19" t="n"/>
    </row>
    <row r="336">
      <c r="A336" s="82">
        <f>IF(OR(助理班表!$A15="",24&gt;DAY(EOMONTH(DATE(設定!$C$2,設定!$D$2,1),0))),"",DATE(設定!$C$2,設定!$D$2,24))</f>
        <v/>
      </c>
      <c r="B336" s="16">
        <f>IF($A336="","",INDEX(設定!$O$6:$O$12,WEEKDAY($A336,1)))</f>
        <v/>
      </c>
      <c r="C336" s="16">
        <f>IF($A336="","",助理班表!$A15)</f>
        <v/>
      </c>
      <c r="D336" s="16">
        <f>IF($C336="","",助理班表!$B15)</f>
        <v/>
      </c>
      <c r="E336" s="16">
        <f>IF($C336="","",助理班表!$D15)</f>
        <v/>
      </c>
      <c r="F336" s="16">
        <f>IF($C336="","",助理班表!$C15)</f>
        <v/>
      </c>
      <c r="G336" s="16">
        <f>IF($C336="","",助理班表!AB15)</f>
        <v/>
      </c>
      <c r="H336" s="83">
        <f>IF($G336="","",IFERROR(IF(INDEX(設定!$D$6:$D$21,MATCH($G336,設定!$B$6:$B$21,0))=0,"",INDEX(設定!$D$6:$D$21,MATCH($G336,設定!$B$6:$B$21,0))),""))</f>
        <v/>
      </c>
      <c r="I336" s="83">
        <f>IF($G336="","",IFERROR(IF(INDEX(設定!$E$6:$E$21,MATCH($G336,設定!$B$6:$B$21,0))=0,"",INDEX(設定!$E$6:$E$21,MATCH($G336,設定!$B$6:$B$21,0))),""))</f>
        <v/>
      </c>
      <c r="J336" s="83">
        <f>IFERROR(INDEX(打卡匯入!$C$3:$C$2002,MATCH($C336&amp;"|"&amp;DAY($A336),打卡匯入!$E$3:$E$2002,0)),"")</f>
        <v/>
      </c>
      <c r="K336" s="83">
        <f>IFERROR(INDEX(打卡匯入!$D$3:$D$2002,MATCH($C336&amp;"|"&amp;DAY($A336),打卡匯入!$E$3:$E$2002,0)),"")</f>
        <v/>
      </c>
      <c r="L336" s="84">
        <f>IF(OR($J336="",$K336=""),"",IFERROR(INDEX(設定!$F$6:$F$21,MATCH($G336,設定!$B$6:$B$21,0)),0))</f>
        <v/>
      </c>
      <c r="M336" s="85">
        <f>IF(OR($J336="",$K336=""),"",ROUND(($K336-$J336)*24-$L336/60,2))</f>
        <v/>
      </c>
      <c r="N336" s="16">
        <f>IF($C336="","",IF(AND(COUNTIF(設定!$B$15:$B$21,$G336)&gt;0,$J336&lt;&gt;""),"假日出勤",IF(AND(COUNTIF(設定!$B$6:$B$14,$G336)&gt;0,$J336=""),"未打卡",IF($J336="","",IF($O336&gt;0,"遲到",IF($P336&gt;0,"早退","正常"))))))</f>
        <v/>
      </c>
      <c r="O336" s="84">
        <f>IF(OR($C336="",$H336="",$J336=""),0,IF(ROUND(($J336-$H336)*1440,0)&gt;設定!$C$46,ROUND(($J336-$H336)*1440,0),0))</f>
        <v/>
      </c>
      <c r="P336" s="84">
        <f>IF(OR($C336="",$I336="",$K336=""),0,IF(ROUND(($I336-$K336)*1440,0)&gt;設定!$C$46,ROUND(($I336-$K336)*1440,0),0))</f>
        <v/>
      </c>
      <c r="Q336" s="85">
        <f>IF($M336="",0,IF(($M336-IFERROR(INDEX(設定!$G$6:$G$21,MATCH($G336,設定!$B$6:$B$21,0)),0))*60&gt;=設定!$C$44,ROUND(FLOOR(($M336-IFERROR(INDEX(設定!$G$6:$G$21,MATCH($G336,設定!$B$6:$B$21,0)),0))*60,設定!$C$45)/60,2),0))</f>
        <v/>
      </c>
      <c r="R336" s="16">
        <f>IF(OR($C336="",$Q336=0),"",IF($G336="國","國定假日",IF($B336="日","例假",IF($B336="六","休息日","平日"))))</f>
        <v/>
      </c>
      <c r="S336" s="19" t="n"/>
    </row>
    <row r="337">
      <c r="A337" s="82">
        <f>IF(OR(助理班表!$A15="",25&gt;DAY(EOMONTH(DATE(設定!$C$2,設定!$D$2,1),0))),"",DATE(設定!$C$2,設定!$D$2,25))</f>
        <v/>
      </c>
      <c r="B337" s="16">
        <f>IF($A337="","",INDEX(設定!$O$6:$O$12,WEEKDAY($A337,1)))</f>
        <v/>
      </c>
      <c r="C337" s="16">
        <f>IF($A337="","",助理班表!$A15)</f>
        <v/>
      </c>
      <c r="D337" s="16">
        <f>IF($C337="","",助理班表!$B15)</f>
        <v/>
      </c>
      <c r="E337" s="16">
        <f>IF($C337="","",助理班表!$D15)</f>
        <v/>
      </c>
      <c r="F337" s="16">
        <f>IF($C337="","",助理班表!$C15)</f>
        <v/>
      </c>
      <c r="G337" s="16">
        <f>IF($C337="","",助理班表!AC15)</f>
        <v/>
      </c>
      <c r="H337" s="83">
        <f>IF($G337="","",IFERROR(IF(INDEX(設定!$D$6:$D$21,MATCH($G337,設定!$B$6:$B$21,0))=0,"",INDEX(設定!$D$6:$D$21,MATCH($G337,設定!$B$6:$B$21,0))),""))</f>
        <v/>
      </c>
      <c r="I337" s="83">
        <f>IF($G337="","",IFERROR(IF(INDEX(設定!$E$6:$E$21,MATCH($G337,設定!$B$6:$B$21,0))=0,"",INDEX(設定!$E$6:$E$21,MATCH($G337,設定!$B$6:$B$21,0))),""))</f>
        <v/>
      </c>
      <c r="J337" s="83">
        <f>IFERROR(INDEX(打卡匯入!$C$3:$C$2002,MATCH($C337&amp;"|"&amp;DAY($A337),打卡匯入!$E$3:$E$2002,0)),"")</f>
        <v/>
      </c>
      <c r="K337" s="83">
        <f>IFERROR(INDEX(打卡匯入!$D$3:$D$2002,MATCH($C337&amp;"|"&amp;DAY($A337),打卡匯入!$E$3:$E$2002,0)),"")</f>
        <v/>
      </c>
      <c r="L337" s="84">
        <f>IF(OR($J337="",$K337=""),"",IFERROR(INDEX(設定!$F$6:$F$21,MATCH($G337,設定!$B$6:$B$21,0)),0))</f>
        <v/>
      </c>
      <c r="M337" s="85">
        <f>IF(OR($J337="",$K337=""),"",ROUND(($K337-$J337)*24-$L337/60,2))</f>
        <v/>
      </c>
      <c r="N337" s="16">
        <f>IF($C337="","",IF(AND(COUNTIF(設定!$B$15:$B$21,$G337)&gt;0,$J337&lt;&gt;""),"假日出勤",IF(AND(COUNTIF(設定!$B$6:$B$14,$G337)&gt;0,$J337=""),"未打卡",IF($J337="","",IF($O337&gt;0,"遲到",IF($P337&gt;0,"早退","正常"))))))</f>
        <v/>
      </c>
      <c r="O337" s="84">
        <f>IF(OR($C337="",$H337="",$J337=""),0,IF(ROUND(($J337-$H337)*1440,0)&gt;設定!$C$46,ROUND(($J337-$H337)*1440,0),0))</f>
        <v/>
      </c>
      <c r="P337" s="84">
        <f>IF(OR($C337="",$I337="",$K337=""),0,IF(ROUND(($I337-$K337)*1440,0)&gt;設定!$C$46,ROUND(($I337-$K337)*1440,0),0))</f>
        <v/>
      </c>
      <c r="Q337" s="85">
        <f>IF($M337="",0,IF(($M337-IFERROR(INDEX(設定!$G$6:$G$21,MATCH($G337,設定!$B$6:$B$21,0)),0))*60&gt;=設定!$C$44,ROUND(FLOOR(($M337-IFERROR(INDEX(設定!$G$6:$G$21,MATCH($G337,設定!$B$6:$B$21,0)),0))*60,設定!$C$45)/60,2),0))</f>
        <v/>
      </c>
      <c r="R337" s="16">
        <f>IF(OR($C337="",$Q337=0),"",IF($G337="國","國定假日",IF($B337="日","例假",IF($B337="六","休息日","平日"))))</f>
        <v/>
      </c>
      <c r="S337" s="19" t="n"/>
    </row>
    <row r="338">
      <c r="A338" s="82">
        <f>IF(OR(助理班表!$A15="",26&gt;DAY(EOMONTH(DATE(設定!$C$2,設定!$D$2,1),0))),"",DATE(設定!$C$2,設定!$D$2,26))</f>
        <v/>
      </c>
      <c r="B338" s="16">
        <f>IF($A338="","",INDEX(設定!$O$6:$O$12,WEEKDAY($A338,1)))</f>
        <v/>
      </c>
      <c r="C338" s="16">
        <f>IF($A338="","",助理班表!$A15)</f>
        <v/>
      </c>
      <c r="D338" s="16">
        <f>IF($C338="","",助理班表!$B15)</f>
        <v/>
      </c>
      <c r="E338" s="16">
        <f>IF($C338="","",助理班表!$D15)</f>
        <v/>
      </c>
      <c r="F338" s="16">
        <f>IF($C338="","",助理班表!$C15)</f>
        <v/>
      </c>
      <c r="G338" s="16">
        <f>IF($C338="","",助理班表!AD15)</f>
        <v/>
      </c>
      <c r="H338" s="83">
        <f>IF($G338="","",IFERROR(IF(INDEX(設定!$D$6:$D$21,MATCH($G338,設定!$B$6:$B$21,0))=0,"",INDEX(設定!$D$6:$D$21,MATCH($G338,設定!$B$6:$B$21,0))),""))</f>
        <v/>
      </c>
      <c r="I338" s="83">
        <f>IF($G338="","",IFERROR(IF(INDEX(設定!$E$6:$E$21,MATCH($G338,設定!$B$6:$B$21,0))=0,"",INDEX(設定!$E$6:$E$21,MATCH($G338,設定!$B$6:$B$21,0))),""))</f>
        <v/>
      </c>
      <c r="J338" s="83">
        <f>IFERROR(INDEX(打卡匯入!$C$3:$C$2002,MATCH($C338&amp;"|"&amp;DAY($A338),打卡匯入!$E$3:$E$2002,0)),"")</f>
        <v/>
      </c>
      <c r="K338" s="83">
        <f>IFERROR(INDEX(打卡匯入!$D$3:$D$2002,MATCH($C338&amp;"|"&amp;DAY($A338),打卡匯入!$E$3:$E$2002,0)),"")</f>
        <v/>
      </c>
      <c r="L338" s="84">
        <f>IF(OR($J338="",$K338=""),"",IFERROR(INDEX(設定!$F$6:$F$21,MATCH($G338,設定!$B$6:$B$21,0)),0))</f>
        <v/>
      </c>
      <c r="M338" s="85">
        <f>IF(OR($J338="",$K338=""),"",ROUND(($K338-$J338)*24-$L338/60,2))</f>
        <v/>
      </c>
      <c r="N338" s="16">
        <f>IF($C338="","",IF(AND(COUNTIF(設定!$B$15:$B$21,$G338)&gt;0,$J338&lt;&gt;""),"假日出勤",IF(AND(COUNTIF(設定!$B$6:$B$14,$G338)&gt;0,$J338=""),"未打卡",IF($J338="","",IF($O338&gt;0,"遲到",IF($P338&gt;0,"早退","正常"))))))</f>
        <v/>
      </c>
      <c r="O338" s="84">
        <f>IF(OR($C338="",$H338="",$J338=""),0,IF(ROUND(($J338-$H338)*1440,0)&gt;設定!$C$46,ROUND(($J338-$H338)*1440,0),0))</f>
        <v/>
      </c>
      <c r="P338" s="84">
        <f>IF(OR($C338="",$I338="",$K338=""),0,IF(ROUND(($I338-$K338)*1440,0)&gt;設定!$C$46,ROUND(($I338-$K338)*1440,0),0))</f>
        <v/>
      </c>
      <c r="Q338" s="85">
        <f>IF($M338="",0,IF(($M338-IFERROR(INDEX(設定!$G$6:$G$21,MATCH($G338,設定!$B$6:$B$21,0)),0))*60&gt;=設定!$C$44,ROUND(FLOOR(($M338-IFERROR(INDEX(設定!$G$6:$G$21,MATCH($G338,設定!$B$6:$B$21,0)),0))*60,設定!$C$45)/60,2),0))</f>
        <v/>
      </c>
      <c r="R338" s="16">
        <f>IF(OR($C338="",$Q338=0),"",IF($G338="國","國定假日",IF($B338="日","例假",IF($B338="六","休息日","平日"))))</f>
        <v/>
      </c>
      <c r="S338" s="19" t="n"/>
    </row>
    <row r="339">
      <c r="A339" s="82">
        <f>IF(OR(助理班表!$A15="",27&gt;DAY(EOMONTH(DATE(設定!$C$2,設定!$D$2,1),0))),"",DATE(設定!$C$2,設定!$D$2,27))</f>
        <v/>
      </c>
      <c r="B339" s="16">
        <f>IF($A339="","",INDEX(設定!$O$6:$O$12,WEEKDAY($A339,1)))</f>
        <v/>
      </c>
      <c r="C339" s="16">
        <f>IF($A339="","",助理班表!$A15)</f>
        <v/>
      </c>
      <c r="D339" s="16">
        <f>IF($C339="","",助理班表!$B15)</f>
        <v/>
      </c>
      <c r="E339" s="16">
        <f>IF($C339="","",助理班表!$D15)</f>
        <v/>
      </c>
      <c r="F339" s="16">
        <f>IF($C339="","",助理班表!$C15)</f>
        <v/>
      </c>
      <c r="G339" s="16">
        <f>IF($C339="","",助理班表!AE15)</f>
        <v/>
      </c>
      <c r="H339" s="83">
        <f>IF($G339="","",IFERROR(IF(INDEX(設定!$D$6:$D$21,MATCH($G339,設定!$B$6:$B$21,0))=0,"",INDEX(設定!$D$6:$D$21,MATCH($G339,設定!$B$6:$B$21,0))),""))</f>
        <v/>
      </c>
      <c r="I339" s="83">
        <f>IF($G339="","",IFERROR(IF(INDEX(設定!$E$6:$E$21,MATCH($G339,設定!$B$6:$B$21,0))=0,"",INDEX(設定!$E$6:$E$21,MATCH($G339,設定!$B$6:$B$21,0))),""))</f>
        <v/>
      </c>
      <c r="J339" s="83">
        <f>IFERROR(INDEX(打卡匯入!$C$3:$C$2002,MATCH($C339&amp;"|"&amp;DAY($A339),打卡匯入!$E$3:$E$2002,0)),"")</f>
        <v/>
      </c>
      <c r="K339" s="83">
        <f>IFERROR(INDEX(打卡匯入!$D$3:$D$2002,MATCH($C339&amp;"|"&amp;DAY($A339),打卡匯入!$E$3:$E$2002,0)),"")</f>
        <v/>
      </c>
      <c r="L339" s="84">
        <f>IF(OR($J339="",$K339=""),"",IFERROR(INDEX(設定!$F$6:$F$21,MATCH($G339,設定!$B$6:$B$21,0)),0))</f>
        <v/>
      </c>
      <c r="M339" s="85">
        <f>IF(OR($J339="",$K339=""),"",ROUND(($K339-$J339)*24-$L339/60,2))</f>
        <v/>
      </c>
      <c r="N339" s="16">
        <f>IF($C339="","",IF(AND(COUNTIF(設定!$B$15:$B$21,$G339)&gt;0,$J339&lt;&gt;""),"假日出勤",IF(AND(COUNTIF(設定!$B$6:$B$14,$G339)&gt;0,$J339=""),"未打卡",IF($J339="","",IF($O339&gt;0,"遲到",IF($P339&gt;0,"早退","正常"))))))</f>
        <v/>
      </c>
      <c r="O339" s="84">
        <f>IF(OR($C339="",$H339="",$J339=""),0,IF(ROUND(($J339-$H339)*1440,0)&gt;設定!$C$46,ROUND(($J339-$H339)*1440,0),0))</f>
        <v/>
      </c>
      <c r="P339" s="84">
        <f>IF(OR($C339="",$I339="",$K339=""),0,IF(ROUND(($I339-$K339)*1440,0)&gt;設定!$C$46,ROUND(($I339-$K339)*1440,0),0))</f>
        <v/>
      </c>
      <c r="Q339" s="85">
        <f>IF($M339="",0,IF(($M339-IFERROR(INDEX(設定!$G$6:$G$21,MATCH($G339,設定!$B$6:$B$21,0)),0))*60&gt;=設定!$C$44,ROUND(FLOOR(($M339-IFERROR(INDEX(設定!$G$6:$G$21,MATCH($G339,設定!$B$6:$B$21,0)),0))*60,設定!$C$45)/60,2),0))</f>
        <v/>
      </c>
      <c r="R339" s="16">
        <f>IF(OR($C339="",$Q339=0),"",IF($G339="國","國定假日",IF($B339="日","例假",IF($B339="六","休息日","平日"))))</f>
        <v/>
      </c>
      <c r="S339" s="19" t="n"/>
    </row>
    <row r="340">
      <c r="A340" s="82">
        <f>IF(OR(助理班表!$A15="",28&gt;DAY(EOMONTH(DATE(設定!$C$2,設定!$D$2,1),0))),"",DATE(設定!$C$2,設定!$D$2,28))</f>
        <v/>
      </c>
      <c r="B340" s="16">
        <f>IF($A340="","",INDEX(設定!$O$6:$O$12,WEEKDAY($A340,1)))</f>
        <v/>
      </c>
      <c r="C340" s="16">
        <f>IF($A340="","",助理班表!$A15)</f>
        <v/>
      </c>
      <c r="D340" s="16">
        <f>IF($C340="","",助理班表!$B15)</f>
        <v/>
      </c>
      <c r="E340" s="16">
        <f>IF($C340="","",助理班表!$D15)</f>
        <v/>
      </c>
      <c r="F340" s="16">
        <f>IF($C340="","",助理班表!$C15)</f>
        <v/>
      </c>
      <c r="G340" s="16">
        <f>IF($C340="","",助理班表!AF15)</f>
        <v/>
      </c>
      <c r="H340" s="83">
        <f>IF($G340="","",IFERROR(IF(INDEX(設定!$D$6:$D$21,MATCH($G340,設定!$B$6:$B$21,0))=0,"",INDEX(設定!$D$6:$D$21,MATCH($G340,設定!$B$6:$B$21,0))),""))</f>
        <v/>
      </c>
      <c r="I340" s="83">
        <f>IF($G340="","",IFERROR(IF(INDEX(設定!$E$6:$E$21,MATCH($G340,設定!$B$6:$B$21,0))=0,"",INDEX(設定!$E$6:$E$21,MATCH($G340,設定!$B$6:$B$21,0))),""))</f>
        <v/>
      </c>
      <c r="J340" s="83">
        <f>IFERROR(INDEX(打卡匯入!$C$3:$C$2002,MATCH($C340&amp;"|"&amp;DAY($A340),打卡匯入!$E$3:$E$2002,0)),"")</f>
        <v/>
      </c>
      <c r="K340" s="83">
        <f>IFERROR(INDEX(打卡匯入!$D$3:$D$2002,MATCH($C340&amp;"|"&amp;DAY($A340),打卡匯入!$E$3:$E$2002,0)),"")</f>
        <v/>
      </c>
      <c r="L340" s="84">
        <f>IF(OR($J340="",$K340=""),"",IFERROR(INDEX(設定!$F$6:$F$21,MATCH($G340,設定!$B$6:$B$21,0)),0))</f>
        <v/>
      </c>
      <c r="M340" s="85">
        <f>IF(OR($J340="",$K340=""),"",ROUND(($K340-$J340)*24-$L340/60,2))</f>
        <v/>
      </c>
      <c r="N340" s="16">
        <f>IF($C340="","",IF(AND(COUNTIF(設定!$B$15:$B$21,$G340)&gt;0,$J340&lt;&gt;""),"假日出勤",IF(AND(COUNTIF(設定!$B$6:$B$14,$G340)&gt;0,$J340=""),"未打卡",IF($J340="","",IF($O340&gt;0,"遲到",IF($P340&gt;0,"早退","正常"))))))</f>
        <v/>
      </c>
      <c r="O340" s="84">
        <f>IF(OR($C340="",$H340="",$J340=""),0,IF(ROUND(($J340-$H340)*1440,0)&gt;設定!$C$46,ROUND(($J340-$H340)*1440,0),0))</f>
        <v/>
      </c>
      <c r="P340" s="84">
        <f>IF(OR($C340="",$I340="",$K340=""),0,IF(ROUND(($I340-$K340)*1440,0)&gt;設定!$C$46,ROUND(($I340-$K340)*1440,0),0))</f>
        <v/>
      </c>
      <c r="Q340" s="85">
        <f>IF($M340="",0,IF(($M340-IFERROR(INDEX(設定!$G$6:$G$21,MATCH($G340,設定!$B$6:$B$21,0)),0))*60&gt;=設定!$C$44,ROUND(FLOOR(($M340-IFERROR(INDEX(設定!$G$6:$G$21,MATCH($G340,設定!$B$6:$B$21,0)),0))*60,設定!$C$45)/60,2),0))</f>
        <v/>
      </c>
      <c r="R340" s="16">
        <f>IF(OR($C340="",$Q340=0),"",IF($G340="國","國定假日",IF($B340="日","例假",IF($B340="六","休息日","平日"))))</f>
        <v/>
      </c>
      <c r="S340" s="19" t="n"/>
    </row>
    <row r="341">
      <c r="A341" s="82">
        <f>IF(OR(助理班表!$A15="",29&gt;DAY(EOMONTH(DATE(設定!$C$2,設定!$D$2,1),0))),"",DATE(設定!$C$2,設定!$D$2,29))</f>
        <v/>
      </c>
      <c r="B341" s="16">
        <f>IF($A341="","",INDEX(設定!$O$6:$O$12,WEEKDAY($A341,1)))</f>
        <v/>
      </c>
      <c r="C341" s="16">
        <f>IF($A341="","",助理班表!$A15)</f>
        <v/>
      </c>
      <c r="D341" s="16">
        <f>IF($C341="","",助理班表!$B15)</f>
        <v/>
      </c>
      <c r="E341" s="16">
        <f>IF($C341="","",助理班表!$D15)</f>
        <v/>
      </c>
      <c r="F341" s="16">
        <f>IF($C341="","",助理班表!$C15)</f>
        <v/>
      </c>
      <c r="G341" s="16">
        <f>IF($C341="","",助理班表!AG15)</f>
        <v/>
      </c>
      <c r="H341" s="83">
        <f>IF($G341="","",IFERROR(IF(INDEX(設定!$D$6:$D$21,MATCH($G341,設定!$B$6:$B$21,0))=0,"",INDEX(設定!$D$6:$D$21,MATCH($G341,設定!$B$6:$B$21,0))),""))</f>
        <v/>
      </c>
      <c r="I341" s="83">
        <f>IF($G341="","",IFERROR(IF(INDEX(設定!$E$6:$E$21,MATCH($G341,設定!$B$6:$B$21,0))=0,"",INDEX(設定!$E$6:$E$21,MATCH($G341,設定!$B$6:$B$21,0))),""))</f>
        <v/>
      </c>
      <c r="J341" s="83">
        <f>IFERROR(INDEX(打卡匯入!$C$3:$C$2002,MATCH($C341&amp;"|"&amp;DAY($A341),打卡匯入!$E$3:$E$2002,0)),"")</f>
        <v/>
      </c>
      <c r="K341" s="83">
        <f>IFERROR(INDEX(打卡匯入!$D$3:$D$2002,MATCH($C341&amp;"|"&amp;DAY($A341),打卡匯入!$E$3:$E$2002,0)),"")</f>
        <v/>
      </c>
      <c r="L341" s="84">
        <f>IF(OR($J341="",$K341=""),"",IFERROR(INDEX(設定!$F$6:$F$21,MATCH($G341,設定!$B$6:$B$21,0)),0))</f>
        <v/>
      </c>
      <c r="M341" s="85">
        <f>IF(OR($J341="",$K341=""),"",ROUND(($K341-$J341)*24-$L341/60,2))</f>
        <v/>
      </c>
      <c r="N341" s="16">
        <f>IF($C341="","",IF(AND(COUNTIF(設定!$B$15:$B$21,$G341)&gt;0,$J341&lt;&gt;""),"假日出勤",IF(AND(COUNTIF(設定!$B$6:$B$14,$G341)&gt;0,$J341=""),"未打卡",IF($J341="","",IF($O341&gt;0,"遲到",IF($P341&gt;0,"早退","正常"))))))</f>
        <v/>
      </c>
      <c r="O341" s="84">
        <f>IF(OR($C341="",$H341="",$J341=""),0,IF(ROUND(($J341-$H341)*1440,0)&gt;設定!$C$46,ROUND(($J341-$H341)*1440,0),0))</f>
        <v/>
      </c>
      <c r="P341" s="84">
        <f>IF(OR($C341="",$I341="",$K341=""),0,IF(ROUND(($I341-$K341)*1440,0)&gt;設定!$C$46,ROUND(($I341-$K341)*1440,0),0))</f>
        <v/>
      </c>
      <c r="Q341" s="85">
        <f>IF($M341="",0,IF(($M341-IFERROR(INDEX(設定!$G$6:$G$21,MATCH($G341,設定!$B$6:$B$21,0)),0))*60&gt;=設定!$C$44,ROUND(FLOOR(($M341-IFERROR(INDEX(設定!$G$6:$G$21,MATCH($G341,設定!$B$6:$B$21,0)),0))*60,設定!$C$45)/60,2),0))</f>
        <v/>
      </c>
      <c r="R341" s="16">
        <f>IF(OR($C341="",$Q341=0),"",IF($G341="國","國定假日",IF($B341="日","例假",IF($B341="六","休息日","平日"))))</f>
        <v/>
      </c>
      <c r="S341" s="19" t="n"/>
    </row>
    <row r="342">
      <c r="A342" s="82">
        <f>IF(OR(助理班表!$A15="",30&gt;DAY(EOMONTH(DATE(設定!$C$2,設定!$D$2,1),0))),"",DATE(設定!$C$2,設定!$D$2,30))</f>
        <v/>
      </c>
      <c r="B342" s="16">
        <f>IF($A342="","",INDEX(設定!$O$6:$O$12,WEEKDAY($A342,1)))</f>
        <v/>
      </c>
      <c r="C342" s="16">
        <f>IF($A342="","",助理班表!$A15)</f>
        <v/>
      </c>
      <c r="D342" s="16">
        <f>IF($C342="","",助理班表!$B15)</f>
        <v/>
      </c>
      <c r="E342" s="16">
        <f>IF($C342="","",助理班表!$D15)</f>
        <v/>
      </c>
      <c r="F342" s="16">
        <f>IF($C342="","",助理班表!$C15)</f>
        <v/>
      </c>
      <c r="G342" s="16">
        <f>IF($C342="","",助理班表!AH15)</f>
        <v/>
      </c>
      <c r="H342" s="83">
        <f>IF($G342="","",IFERROR(IF(INDEX(設定!$D$6:$D$21,MATCH($G342,設定!$B$6:$B$21,0))=0,"",INDEX(設定!$D$6:$D$21,MATCH($G342,設定!$B$6:$B$21,0))),""))</f>
        <v/>
      </c>
      <c r="I342" s="83">
        <f>IF($G342="","",IFERROR(IF(INDEX(設定!$E$6:$E$21,MATCH($G342,設定!$B$6:$B$21,0))=0,"",INDEX(設定!$E$6:$E$21,MATCH($G342,設定!$B$6:$B$21,0))),""))</f>
        <v/>
      </c>
      <c r="J342" s="83">
        <f>IFERROR(INDEX(打卡匯入!$C$3:$C$2002,MATCH($C342&amp;"|"&amp;DAY($A342),打卡匯入!$E$3:$E$2002,0)),"")</f>
        <v/>
      </c>
      <c r="K342" s="83">
        <f>IFERROR(INDEX(打卡匯入!$D$3:$D$2002,MATCH($C342&amp;"|"&amp;DAY($A342),打卡匯入!$E$3:$E$2002,0)),"")</f>
        <v/>
      </c>
      <c r="L342" s="84">
        <f>IF(OR($J342="",$K342=""),"",IFERROR(INDEX(設定!$F$6:$F$21,MATCH($G342,設定!$B$6:$B$21,0)),0))</f>
        <v/>
      </c>
      <c r="M342" s="85">
        <f>IF(OR($J342="",$K342=""),"",ROUND(($K342-$J342)*24-$L342/60,2))</f>
        <v/>
      </c>
      <c r="N342" s="16">
        <f>IF($C342="","",IF(AND(COUNTIF(設定!$B$15:$B$21,$G342)&gt;0,$J342&lt;&gt;""),"假日出勤",IF(AND(COUNTIF(設定!$B$6:$B$14,$G342)&gt;0,$J342=""),"未打卡",IF($J342="","",IF($O342&gt;0,"遲到",IF($P342&gt;0,"早退","正常"))))))</f>
        <v/>
      </c>
      <c r="O342" s="84">
        <f>IF(OR($C342="",$H342="",$J342=""),0,IF(ROUND(($J342-$H342)*1440,0)&gt;設定!$C$46,ROUND(($J342-$H342)*1440,0),0))</f>
        <v/>
      </c>
      <c r="P342" s="84">
        <f>IF(OR($C342="",$I342="",$K342=""),0,IF(ROUND(($I342-$K342)*1440,0)&gt;設定!$C$46,ROUND(($I342-$K342)*1440,0),0))</f>
        <v/>
      </c>
      <c r="Q342" s="85">
        <f>IF($M342="",0,IF(($M342-IFERROR(INDEX(設定!$G$6:$G$21,MATCH($G342,設定!$B$6:$B$21,0)),0))*60&gt;=設定!$C$44,ROUND(FLOOR(($M342-IFERROR(INDEX(設定!$G$6:$G$21,MATCH($G342,設定!$B$6:$B$21,0)),0))*60,設定!$C$45)/60,2),0))</f>
        <v/>
      </c>
      <c r="R342" s="16">
        <f>IF(OR($C342="",$Q342=0),"",IF($G342="國","國定假日",IF($B342="日","例假",IF($B342="六","休息日","平日"))))</f>
        <v/>
      </c>
      <c r="S342" s="19" t="n"/>
    </row>
    <row r="343">
      <c r="A343" s="82">
        <f>IF(OR(助理班表!$A15="",31&gt;DAY(EOMONTH(DATE(設定!$C$2,設定!$D$2,1),0))),"",DATE(設定!$C$2,設定!$D$2,31))</f>
        <v/>
      </c>
      <c r="B343" s="16">
        <f>IF($A343="","",INDEX(設定!$O$6:$O$12,WEEKDAY($A343,1)))</f>
        <v/>
      </c>
      <c r="C343" s="16">
        <f>IF($A343="","",助理班表!$A15)</f>
        <v/>
      </c>
      <c r="D343" s="16">
        <f>IF($C343="","",助理班表!$B15)</f>
        <v/>
      </c>
      <c r="E343" s="16">
        <f>IF($C343="","",助理班表!$D15)</f>
        <v/>
      </c>
      <c r="F343" s="16">
        <f>IF($C343="","",助理班表!$C15)</f>
        <v/>
      </c>
      <c r="G343" s="16">
        <f>IF($C343="","",助理班表!AI15)</f>
        <v/>
      </c>
      <c r="H343" s="83">
        <f>IF($G343="","",IFERROR(IF(INDEX(設定!$D$6:$D$21,MATCH($G343,設定!$B$6:$B$21,0))=0,"",INDEX(設定!$D$6:$D$21,MATCH($G343,設定!$B$6:$B$21,0))),""))</f>
        <v/>
      </c>
      <c r="I343" s="83">
        <f>IF($G343="","",IFERROR(IF(INDEX(設定!$E$6:$E$21,MATCH($G343,設定!$B$6:$B$21,0))=0,"",INDEX(設定!$E$6:$E$21,MATCH($G343,設定!$B$6:$B$21,0))),""))</f>
        <v/>
      </c>
      <c r="J343" s="83">
        <f>IFERROR(INDEX(打卡匯入!$C$3:$C$2002,MATCH($C343&amp;"|"&amp;DAY($A343),打卡匯入!$E$3:$E$2002,0)),"")</f>
        <v/>
      </c>
      <c r="K343" s="83">
        <f>IFERROR(INDEX(打卡匯入!$D$3:$D$2002,MATCH($C343&amp;"|"&amp;DAY($A343),打卡匯入!$E$3:$E$2002,0)),"")</f>
        <v/>
      </c>
      <c r="L343" s="84">
        <f>IF(OR($J343="",$K343=""),"",IFERROR(INDEX(設定!$F$6:$F$21,MATCH($G343,設定!$B$6:$B$21,0)),0))</f>
        <v/>
      </c>
      <c r="M343" s="85">
        <f>IF(OR($J343="",$K343=""),"",ROUND(($K343-$J343)*24-$L343/60,2))</f>
        <v/>
      </c>
      <c r="N343" s="16">
        <f>IF($C343="","",IF(AND(COUNTIF(設定!$B$15:$B$21,$G343)&gt;0,$J343&lt;&gt;""),"假日出勤",IF(AND(COUNTIF(設定!$B$6:$B$14,$G343)&gt;0,$J343=""),"未打卡",IF($J343="","",IF($O343&gt;0,"遲到",IF($P343&gt;0,"早退","正常"))))))</f>
        <v/>
      </c>
      <c r="O343" s="84">
        <f>IF(OR($C343="",$H343="",$J343=""),0,IF(ROUND(($J343-$H343)*1440,0)&gt;設定!$C$46,ROUND(($J343-$H343)*1440,0),0))</f>
        <v/>
      </c>
      <c r="P343" s="84">
        <f>IF(OR($C343="",$I343="",$K343=""),0,IF(ROUND(($I343-$K343)*1440,0)&gt;設定!$C$46,ROUND(($I343-$K343)*1440,0),0))</f>
        <v/>
      </c>
      <c r="Q343" s="85">
        <f>IF($M343="",0,IF(($M343-IFERROR(INDEX(設定!$G$6:$G$21,MATCH($G343,設定!$B$6:$B$21,0)),0))*60&gt;=設定!$C$44,ROUND(FLOOR(($M343-IFERROR(INDEX(設定!$G$6:$G$21,MATCH($G343,設定!$B$6:$B$21,0)),0))*60,設定!$C$45)/60,2),0))</f>
        <v/>
      </c>
      <c r="R343" s="16">
        <f>IF(OR($C343="",$Q343=0),"",IF($G343="國","國定假日",IF($B343="日","例假",IF($B343="六","休息日","平日"))))</f>
        <v/>
      </c>
      <c r="S343" s="19" t="n"/>
    </row>
    <row r="344">
      <c r="A344" s="82">
        <f>IF(OR(助理班表!$A16="",1&gt;DAY(EOMONTH(DATE(設定!$C$2,設定!$D$2,1),0))),"",DATE(設定!$C$2,設定!$D$2,1))</f>
        <v/>
      </c>
      <c r="B344" s="16">
        <f>IF($A344="","",INDEX(設定!$O$6:$O$12,WEEKDAY($A344,1)))</f>
        <v/>
      </c>
      <c r="C344" s="16">
        <f>IF($A344="","",助理班表!$A16)</f>
        <v/>
      </c>
      <c r="D344" s="16">
        <f>IF($C344="","",助理班表!$B16)</f>
        <v/>
      </c>
      <c r="E344" s="16">
        <f>IF($C344="","",助理班表!$D16)</f>
        <v/>
      </c>
      <c r="F344" s="16">
        <f>IF($C344="","",助理班表!$C16)</f>
        <v/>
      </c>
      <c r="G344" s="16">
        <f>IF($C344="","",助理班表!E16)</f>
        <v/>
      </c>
      <c r="H344" s="83">
        <f>IF($G344="","",IFERROR(IF(INDEX(設定!$D$6:$D$21,MATCH($G344,設定!$B$6:$B$21,0))=0,"",INDEX(設定!$D$6:$D$21,MATCH($G344,設定!$B$6:$B$21,0))),""))</f>
        <v/>
      </c>
      <c r="I344" s="83">
        <f>IF($G344="","",IFERROR(IF(INDEX(設定!$E$6:$E$21,MATCH($G344,設定!$B$6:$B$21,0))=0,"",INDEX(設定!$E$6:$E$21,MATCH($G344,設定!$B$6:$B$21,0))),""))</f>
        <v/>
      </c>
      <c r="J344" s="83">
        <f>IFERROR(INDEX(打卡匯入!$C$3:$C$2002,MATCH($C344&amp;"|"&amp;DAY($A344),打卡匯入!$E$3:$E$2002,0)),"")</f>
        <v/>
      </c>
      <c r="K344" s="83">
        <f>IFERROR(INDEX(打卡匯入!$D$3:$D$2002,MATCH($C344&amp;"|"&amp;DAY($A344),打卡匯入!$E$3:$E$2002,0)),"")</f>
        <v/>
      </c>
      <c r="L344" s="84">
        <f>IF(OR($J344="",$K344=""),"",IFERROR(INDEX(設定!$F$6:$F$21,MATCH($G344,設定!$B$6:$B$21,0)),0))</f>
        <v/>
      </c>
      <c r="M344" s="85">
        <f>IF(OR($J344="",$K344=""),"",ROUND(($K344-$J344)*24-$L344/60,2))</f>
        <v/>
      </c>
      <c r="N344" s="16">
        <f>IF($C344="","",IF(AND(COUNTIF(設定!$B$15:$B$21,$G344)&gt;0,$J344&lt;&gt;""),"假日出勤",IF(AND(COUNTIF(設定!$B$6:$B$14,$G344)&gt;0,$J344=""),"未打卡",IF($J344="","",IF($O344&gt;0,"遲到",IF($P344&gt;0,"早退","正常"))))))</f>
        <v/>
      </c>
      <c r="O344" s="84">
        <f>IF(OR($C344="",$H344="",$J344=""),0,IF(ROUND(($J344-$H344)*1440,0)&gt;設定!$C$46,ROUND(($J344-$H344)*1440,0),0))</f>
        <v/>
      </c>
      <c r="P344" s="84">
        <f>IF(OR($C344="",$I344="",$K344=""),0,IF(ROUND(($I344-$K344)*1440,0)&gt;設定!$C$46,ROUND(($I344-$K344)*1440,0),0))</f>
        <v/>
      </c>
      <c r="Q344" s="85">
        <f>IF($M344="",0,IF(($M344-IFERROR(INDEX(設定!$G$6:$G$21,MATCH($G344,設定!$B$6:$B$21,0)),0))*60&gt;=設定!$C$44,ROUND(FLOOR(($M344-IFERROR(INDEX(設定!$G$6:$G$21,MATCH($G344,設定!$B$6:$B$21,0)),0))*60,設定!$C$45)/60,2),0))</f>
        <v/>
      </c>
      <c r="R344" s="16">
        <f>IF(OR($C344="",$Q344=0),"",IF($G344="國","國定假日",IF($B344="日","例假",IF($B344="六","休息日","平日"))))</f>
        <v/>
      </c>
      <c r="S344" s="19" t="n"/>
    </row>
    <row r="345">
      <c r="A345" s="82">
        <f>IF(OR(助理班表!$A16="",2&gt;DAY(EOMONTH(DATE(設定!$C$2,設定!$D$2,1),0))),"",DATE(設定!$C$2,設定!$D$2,2))</f>
        <v/>
      </c>
      <c r="B345" s="16">
        <f>IF($A345="","",INDEX(設定!$O$6:$O$12,WEEKDAY($A345,1)))</f>
        <v/>
      </c>
      <c r="C345" s="16">
        <f>IF($A345="","",助理班表!$A16)</f>
        <v/>
      </c>
      <c r="D345" s="16">
        <f>IF($C345="","",助理班表!$B16)</f>
        <v/>
      </c>
      <c r="E345" s="16">
        <f>IF($C345="","",助理班表!$D16)</f>
        <v/>
      </c>
      <c r="F345" s="16">
        <f>IF($C345="","",助理班表!$C16)</f>
        <v/>
      </c>
      <c r="G345" s="16">
        <f>IF($C345="","",助理班表!F16)</f>
        <v/>
      </c>
      <c r="H345" s="83">
        <f>IF($G345="","",IFERROR(IF(INDEX(設定!$D$6:$D$21,MATCH($G345,設定!$B$6:$B$21,0))=0,"",INDEX(設定!$D$6:$D$21,MATCH($G345,設定!$B$6:$B$21,0))),""))</f>
        <v/>
      </c>
      <c r="I345" s="83">
        <f>IF($G345="","",IFERROR(IF(INDEX(設定!$E$6:$E$21,MATCH($G345,設定!$B$6:$B$21,0))=0,"",INDEX(設定!$E$6:$E$21,MATCH($G345,設定!$B$6:$B$21,0))),""))</f>
        <v/>
      </c>
      <c r="J345" s="83">
        <f>IFERROR(INDEX(打卡匯入!$C$3:$C$2002,MATCH($C345&amp;"|"&amp;DAY($A345),打卡匯入!$E$3:$E$2002,0)),"")</f>
        <v/>
      </c>
      <c r="K345" s="83">
        <f>IFERROR(INDEX(打卡匯入!$D$3:$D$2002,MATCH($C345&amp;"|"&amp;DAY($A345),打卡匯入!$E$3:$E$2002,0)),"")</f>
        <v/>
      </c>
      <c r="L345" s="84">
        <f>IF(OR($J345="",$K345=""),"",IFERROR(INDEX(設定!$F$6:$F$21,MATCH($G345,設定!$B$6:$B$21,0)),0))</f>
        <v/>
      </c>
      <c r="M345" s="85">
        <f>IF(OR($J345="",$K345=""),"",ROUND(($K345-$J345)*24-$L345/60,2))</f>
        <v/>
      </c>
      <c r="N345" s="16">
        <f>IF($C345="","",IF(AND(COUNTIF(設定!$B$15:$B$21,$G345)&gt;0,$J345&lt;&gt;""),"假日出勤",IF(AND(COUNTIF(設定!$B$6:$B$14,$G345)&gt;0,$J345=""),"未打卡",IF($J345="","",IF($O345&gt;0,"遲到",IF($P345&gt;0,"早退","正常"))))))</f>
        <v/>
      </c>
      <c r="O345" s="84">
        <f>IF(OR($C345="",$H345="",$J345=""),0,IF(ROUND(($J345-$H345)*1440,0)&gt;設定!$C$46,ROUND(($J345-$H345)*1440,0),0))</f>
        <v/>
      </c>
      <c r="P345" s="84">
        <f>IF(OR($C345="",$I345="",$K345=""),0,IF(ROUND(($I345-$K345)*1440,0)&gt;設定!$C$46,ROUND(($I345-$K345)*1440,0),0))</f>
        <v/>
      </c>
      <c r="Q345" s="85">
        <f>IF($M345="",0,IF(($M345-IFERROR(INDEX(設定!$G$6:$G$21,MATCH($G345,設定!$B$6:$B$21,0)),0))*60&gt;=設定!$C$44,ROUND(FLOOR(($M345-IFERROR(INDEX(設定!$G$6:$G$21,MATCH($G345,設定!$B$6:$B$21,0)),0))*60,設定!$C$45)/60,2),0))</f>
        <v/>
      </c>
      <c r="R345" s="16">
        <f>IF(OR($C345="",$Q345=0),"",IF($G345="國","國定假日",IF($B345="日","例假",IF($B345="六","休息日","平日"))))</f>
        <v/>
      </c>
      <c r="S345" s="19" t="n"/>
    </row>
    <row r="346">
      <c r="A346" s="82">
        <f>IF(OR(助理班表!$A16="",3&gt;DAY(EOMONTH(DATE(設定!$C$2,設定!$D$2,1),0))),"",DATE(設定!$C$2,設定!$D$2,3))</f>
        <v/>
      </c>
      <c r="B346" s="16">
        <f>IF($A346="","",INDEX(設定!$O$6:$O$12,WEEKDAY($A346,1)))</f>
        <v/>
      </c>
      <c r="C346" s="16">
        <f>IF($A346="","",助理班表!$A16)</f>
        <v/>
      </c>
      <c r="D346" s="16">
        <f>IF($C346="","",助理班表!$B16)</f>
        <v/>
      </c>
      <c r="E346" s="16">
        <f>IF($C346="","",助理班表!$D16)</f>
        <v/>
      </c>
      <c r="F346" s="16">
        <f>IF($C346="","",助理班表!$C16)</f>
        <v/>
      </c>
      <c r="G346" s="16">
        <f>IF($C346="","",助理班表!G16)</f>
        <v/>
      </c>
      <c r="H346" s="83">
        <f>IF($G346="","",IFERROR(IF(INDEX(設定!$D$6:$D$21,MATCH($G346,設定!$B$6:$B$21,0))=0,"",INDEX(設定!$D$6:$D$21,MATCH($G346,設定!$B$6:$B$21,0))),""))</f>
        <v/>
      </c>
      <c r="I346" s="83">
        <f>IF($G346="","",IFERROR(IF(INDEX(設定!$E$6:$E$21,MATCH($G346,設定!$B$6:$B$21,0))=0,"",INDEX(設定!$E$6:$E$21,MATCH($G346,設定!$B$6:$B$21,0))),""))</f>
        <v/>
      </c>
      <c r="J346" s="83">
        <f>IFERROR(INDEX(打卡匯入!$C$3:$C$2002,MATCH($C346&amp;"|"&amp;DAY($A346),打卡匯入!$E$3:$E$2002,0)),"")</f>
        <v/>
      </c>
      <c r="K346" s="83">
        <f>IFERROR(INDEX(打卡匯入!$D$3:$D$2002,MATCH($C346&amp;"|"&amp;DAY($A346),打卡匯入!$E$3:$E$2002,0)),"")</f>
        <v/>
      </c>
      <c r="L346" s="84">
        <f>IF(OR($J346="",$K346=""),"",IFERROR(INDEX(設定!$F$6:$F$21,MATCH($G346,設定!$B$6:$B$21,0)),0))</f>
        <v/>
      </c>
      <c r="M346" s="85">
        <f>IF(OR($J346="",$K346=""),"",ROUND(($K346-$J346)*24-$L346/60,2))</f>
        <v/>
      </c>
      <c r="N346" s="16">
        <f>IF($C346="","",IF(AND(COUNTIF(設定!$B$15:$B$21,$G346)&gt;0,$J346&lt;&gt;""),"假日出勤",IF(AND(COUNTIF(設定!$B$6:$B$14,$G346)&gt;0,$J346=""),"未打卡",IF($J346="","",IF($O346&gt;0,"遲到",IF($P346&gt;0,"早退","正常"))))))</f>
        <v/>
      </c>
      <c r="O346" s="84">
        <f>IF(OR($C346="",$H346="",$J346=""),0,IF(ROUND(($J346-$H346)*1440,0)&gt;設定!$C$46,ROUND(($J346-$H346)*1440,0),0))</f>
        <v/>
      </c>
      <c r="P346" s="84">
        <f>IF(OR($C346="",$I346="",$K346=""),0,IF(ROUND(($I346-$K346)*1440,0)&gt;設定!$C$46,ROUND(($I346-$K346)*1440,0),0))</f>
        <v/>
      </c>
      <c r="Q346" s="85">
        <f>IF($M346="",0,IF(($M346-IFERROR(INDEX(設定!$G$6:$G$21,MATCH($G346,設定!$B$6:$B$21,0)),0))*60&gt;=設定!$C$44,ROUND(FLOOR(($M346-IFERROR(INDEX(設定!$G$6:$G$21,MATCH($G346,設定!$B$6:$B$21,0)),0))*60,設定!$C$45)/60,2),0))</f>
        <v/>
      </c>
      <c r="R346" s="16">
        <f>IF(OR($C346="",$Q346=0),"",IF($G346="國","國定假日",IF($B346="日","例假",IF($B346="六","休息日","平日"))))</f>
        <v/>
      </c>
      <c r="S346" s="19" t="n"/>
    </row>
    <row r="347">
      <c r="A347" s="82">
        <f>IF(OR(助理班表!$A16="",4&gt;DAY(EOMONTH(DATE(設定!$C$2,設定!$D$2,1),0))),"",DATE(設定!$C$2,設定!$D$2,4))</f>
        <v/>
      </c>
      <c r="B347" s="16">
        <f>IF($A347="","",INDEX(設定!$O$6:$O$12,WEEKDAY($A347,1)))</f>
        <v/>
      </c>
      <c r="C347" s="16">
        <f>IF($A347="","",助理班表!$A16)</f>
        <v/>
      </c>
      <c r="D347" s="16">
        <f>IF($C347="","",助理班表!$B16)</f>
        <v/>
      </c>
      <c r="E347" s="16">
        <f>IF($C347="","",助理班表!$D16)</f>
        <v/>
      </c>
      <c r="F347" s="16">
        <f>IF($C347="","",助理班表!$C16)</f>
        <v/>
      </c>
      <c r="G347" s="16">
        <f>IF($C347="","",助理班表!H16)</f>
        <v/>
      </c>
      <c r="H347" s="83">
        <f>IF($G347="","",IFERROR(IF(INDEX(設定!$D$6:$D$21,MATCH($G347,設定!$B$6:$B$21,0))=0,"",INDEX(設定!$D$6:$D$21,MATCH($G347,設定!$B$6:$B$21,0))),""))</f>
        <v/>
      </c>
      <c r="I347" s="83">
        <f>IF($G347="","",IFERROR(IF(INDEX(設定!$E$6:$E$21,MATCH($G347,設定!$B$6:$B$21,0))=0,"",INDEX(設定!$E$6:$E$21,MATCH($G347,設定!$B$6:$B$21,0))),""))</f>
        <v/>
      </c>
      <c r="J347" s="83">
        <f>IFERROR(INDEX(打卡匯入!$C$3:$C$2002,MATCH($C347&amp;"|"&amp;DAY($A347),打卡匯入!$E$3:$E$2002,0)),"")</f>
        <v/>
      </c>
      <c r="K347" s="83">
        <f>IFERROR(INDEX(打卡匯入!$D$3:$D$2002,MATCH($C347&amp;"|"&amp;DAY($A347),打卡匯入!$E$3:$E$2002,0)),"")</f>
        <v/>
      </c>
      <c r="L347" s="84">
        <f>IF(OR($J347="",$K347=""),"",IFERROR(INDEX(設定!$F$6:$F$21,MATCH($G347,設定!$B$6:$B$21,0)),0))</f>
        <v/>
      </c>
      <c r="M347" s="85">
        <f>IF(OR($J347="",$K347=""),"",ROUND(($K347-$J347)*24-$L347/60,2))</f>
        <v/>
      </c>
      <c r="N347" s="16">
        <f>IF($C347="","",IF(AND(COUNTIF(設定!$B$15:$B$21,$G347)&gt;0,$J347&lt;&gt;""),"假日出勤",IF(AND(COUNTIF(設定!$B$6:$B$14,$G347)&gt;0,$J347=""),"未打卡",IF($J347="","",IF($O347&gt;0,"遲到",IF($P347&gt;0,"早退","正常"))))))</f>
        <v/>
      </c>
      <c r="O347" s="84">
        <f>IF(OR($C347="",$H347="",$J347=""),0,IF(ROUND(($J347-$H347)*1440,0)&gt;設定!$C$46,ROUND(($J347-$H347)*1440,0),0))</f>
        <v/>
      </c>
      <c r="P347" s="84">
        <f>IF(OR($C347="",$I347="",$K347=""),0,IF(ROUND(($I347-$K347)*1440,0)&gt;設定!$C$46,ROUND(($I347-$K347)*1440,0),0))</f>
        <v/>
      </c>
      <c r="Q347" s="85">
        <f>IF($M347="",0,IF(($M347-IFERROR(INDEX(設定!$G$6:$G$21,MATCH($G347,設定!$B$6:$B$21,0)),0))*60&gt;=設定!$C$44,ROUND(FLOOR(($M347-IFERROR(INDEX(設定!$G$6:$G$21,MATCH($G347,設定!$B$6:$B$21,0)),0))*60,設定!$C$45)/60,2),0))</f>
        <v/>
      </c>
      <c r="R347" s="16">
        <f>IF(OR($C347="",$Q347=0),"",IF($G347="國","國定假日",IF($B347="日","例假",IF($B347="六","休息日","平日"))))</f>
        <v/>
      </c>
      <c r="S347" s="19" t="n"/>
    </row>
    <row r="348">
      <c r="A348" s="82">
        <f>IF(OR(助理班表!$A16="",5&gt;DAY(EOMONTH(DATE(設定!$C$2,設定!$D$2,1),0))),"",DATE(設定!$C$2,設定!$D$2,5))</f>
        <v/>
      </c>
      <c r="B348" s="16">
        <f>IF($A348="","",INDEX(設定!$O$6:$O$12,WEEKDAY($A348,1)))</f>
        <v/>
      </c>
      <c r="C348" s="16">
        <f>IF($A348="","",助理班表!$A16)</f>
        <v/>
      </c>
      <c r="D348" s="16">
        <f>IF($C348="","",助理班表!$B16)</f>
        <v/>
      </c>
      <c r="E348" s="16">
        <f>IF($C348="","",助理班表!$D16)</f>
        <v/>
      </c>
      <c r="F348" s="16">
        <f>IF($C348="","",助理班表!$C16)</f>
        <v/>
      </c>
      <c r="G348" s="16">
        <f>IF($C348="","",助理班表!I16)</f>
        <v/>
      </c>
      <c r="H348" s="83">
        <f>IF($G348="","",IFERROR(IF(INDEX(設定!$D$6:$D$21,MATCH($G348,設定!$B$6:$B$21,0))=0,"",INDEX(設定!$D$6:$D$21,MATCH($G348,設定!$B$6:$B$21,0))),""))</f>
        <v/>
      </c>
      <c r="I348" s="83">
        <f>IF($G348="","",IFERROR(IF(INDEX(設定!$E$6:$E$21,MATCH($G348,設定!$B$6:$B$21,0))=0,"",INDEX(設定!$E$6:$E$21,MATCH($G348,設定!$B$6:$B$21,0))),""))</f>
        <v/>
      </c>
      <c r="J348" s="83">
        <f>IFERROR(INDEX(打卡匯入!$C$3:$C$2002,MATCH($C348&amp;"|"&amp;DAY($A348),打卡匯入!$E$3:$E$2002,0)),"")</f>
        <v/>
      </c>
      <c r="K348" s="83">
        <f>IFERROR(INDEX(打卡匯入!$D$3:$D$2002,MATCH($C348&amp;"|"&amp;DAY($A348),打卡匯入!$E$3:$E$2002,0)),"")</f>
        <v/>
      </c>
      <c r="L348" s="84">
        <f>IF(OR($J348="",$K348=""),"",IFERROR(INDEX(設定!$F$6:$F$21,MATCH($G348,設定!$B$6:$B$21,0)),0))</f>
        <v/>
      </c>
      <c r="M348" s="85">
        <f>IF(OR($J348="",$K348=""),"",ROUND(($K348-$J348)*24-$L348/60,2))</f>
        <v/>
      </c>
      <c r="N348" s="16">
        <f>IF($C348="","",IF(AND(COUNTIF(設定!$B$15:$B$21,$G348)&gt;0,$J348&lt;&gt;""),"假日出勤",IF(AND(COUNTIF(設定!$B$6:$B$14,$G348)&gt;0,$J348=""),"未打卡",IF($J348="","",IF($O348&gt;0,"遲到",IF($P348&gt;0,"早退","正常"))))))</f>
        <v/>
      </c>
      <c r="O348" s="84">
        <f>IF(OR($C348="",$H348="",$J348=""),0,IF(ROUND(($J348-$H348)*1440,0)&gt;設定!$C$46,ROUND(($J348-$H348)*1440,0),0))</f>
        <v/>
      </c>
      <c r="P348" s="84">
        <f>IF(OR($C348="",$I348="",$K348=""),0,IF(ROUND(($I348-$K348)*1440,0)&gt;設定!$C$46,ROUND(($I348-$K348)*1440,0),0))</f>
        <v/>
      </c>
      <c r="Q348" s="85">
        <f>IF($M348="",0,IF(($M348-IFERROR(INDEX(設定!$G$6:$G$21,MATCH($G348,設定!$B$6:$B$21,0)),0))*60&gt;=設定!$C$44,ROUND(FLOOR(($M348-IFERROR(INDEX(設定!$G$6:$G$21,MATCH($G348,設定!$B$6:$B$21,0)),0))*60,設定!$C$45)/60,2),0))</f>
        <v/>
      </c>
      <c r="R348" s="16">
        <f>IF(OR($C348="",$Q348=0),"",IF($G348="國","國定假日",IF($B348="日","例假",IF($B348="六","休息日","平日"))))</f>
        <v/>
      </c>
      <c r="S348" s="19" t="n"/>
    </row>
    <row r="349">
      <c r="A349" s="82">
        <f>IF(OR(助理班表!$A16="",6&gt;DAY(EOMONTH(DATE(設定!$C$2,設定!$D$2,1),0))),"",DATE(設定!$C$2,設定!$D$2,6))</f>
        <v/>
      </c>
      <c r="B349" s="16">
        <f>IF($A349="","",INDEX(設定!$O$6:$O$12,WEEKDAY($A349,1)))</f>
        <v/>
      </c>
      <c r="C349" s="16">
        <f>IF($A349="","",助理班表!$A16)</f>
        <v/>
      </c>
      <c r="D349" s="16">
        <f>IF($C349="","",助理班表!$B16)</f>
        <v/>
      </c>
      <c r="E349" s="16">
        <f>IF($C349="","",助理班表!$D16)</f>
        <v/>
      </c>
      <c r="F349" s="16">
        <f>IF($C349="","",助理班表!$C16)</f>
        <v/>
      </c>
      <c r="G349" s="16">
        <f>IF($C349="","",助理班表!J16)</f>
        <v/>
      </c>
      <c r="H349" s="83">
        <f>IF($G349="","",IFERROR(IF(INDEX(設定!$D$6:$D$21,MATCH($G349,設定!$B$6:$B$21,0))=0,"",INDEX(設定!$D$6:$D$21,MATCH($G349,設定!$B$6:$B$21,0))),""))</f>
        <v/>
      </c>
      <c r="I349" s="83">
        <f>IF($G349="","",IFERROR(IF(INDEX(設定!$E$6:$E$21,MATCH($G349,設定!$B$6:$B$21,0))=0,"",INDEX(設定!$E$6:$E$21,MATCH($G349,設定!$B$6:$B$21,0))),""))</f>
        <v/>
      </c>
      <c r="J349" s="83">
        <f>IFERROR(INDEX(打卡匯入!$C$3:$C$2002,MATCH($C349&amp;"|"&amp;DAY($A349),打卡匯入!$E$3:$E$2002,0)),"")</f>
        <v/>
      </c>
      <c r="K349" s="83">
        <f>IFERROR(INDEX(打卡匯入!$D$3:$D$2002,MATCH($C349&amp;"|"&amp;DAY($A349),打卡匯入!$E$3:$E$2002,0)),"")</f>
        <v/>
      </c>
      <c r="L349" s="84">
        <f>IF(OR($J349="",$K349=""),"",IFERROR(INDEX(設定!$F$6:$F$21,MATCH($G349,設定!$B$6:$B$21,0)),0))</f>
        <v/>
      </c>
      <c r="M349" s="85">
        <f>IF(OR($J349="",$K349=""),"",ROUND(($K349-$J349)*24-$L349/60,2))</f>
        <v/>
      </c>
      <c r="N349" s="16">
        <f>IF($C349="","",IF(AND(COUNTIF(設定!$B$15:$B$21,$G349)&gt;0,$J349&lt;&gt;""),"假日出勤",IF(AND(COUNTIF(設定!$B$6:$B$14,$G349)&gt;0,$J349=""),"未打卡",IF($J349="","",IF($O349&gt;0,"遲到",IF($P349&gt;0,"早退","正常"))))))</f>
        <v/>
      </c>
      <c r="O349" s="84">
        <f>IF(OR($C349="",$H349="",$J349=""),0,IF(ROUND(($J349-$H349)*1440,0)&gt;設定!$C$46,ROUND(($J349-$H349)*1440,0),0))</f>
        <v/>
      </c>
      <c r="P349" s="84">
        <f>IF(OR($C349="",$I349="",$K349=""),0,IF(ROUND(($I349-$K349)*1440,0)&gt;設定!$C$46,ROUND(($I349-$K349)*1440,0),0))</f>
        <v/>
      </c>
      <c r="Q349" s="85">
        <f>IF($M349="",0,IF(($M349-IFERROR(INDEX(設定!$G$6:$G$21,MATCH($G349,設定!$B$6:$B$21,0)),0))*60&gt;=設定!$C$44,ROUND(FLOOR(($M349-IFERROR(INDEX(設定!$G$6:$G$21,MATCH($G349,設定!$B$6:$B$21,0)),0))*60,設定!$C$45)/60,2),0))</f>
        <v/>
      </c>
      <c r="R349" s="16">
        <f>IF(OR($C349="",$Q349=0),"",IF($G349="國","國定假日",IF($B349="日","例假",IF($B349="六","休息日","平日"))))</f>
        <v/>
      </c>
      <c r="S349" s="19" t="n"/>
    </row>
    <row r="350">
      <c r="A350" s="82">
        <f>IF(OR(助理班表!$A16="",7&gt;DAY(EOMONTH(DATE(設定!$C$2,設定!$D$2,1),0))),"",DATE(設定!$C$2,設定!$D$2,7))</f>
        <v/>
      </c>
      <c r="B350" s="16">
        <f>IF($A350="","",INDEX(設定!$O$6:$O$12,WEEKDAY($A350,1)))</f>
        <v/>
      </c>
      <c r="C350" s="16">
        <f>IF($A350="","",助理班表!$A16)</f>
        <v/>
      </c>
      <c r="D350" s="16">
        <f>IF($C350="","",助理班表!$B16)</f>
        <v/>
      </c>
      <c r="E350" s="16">
        <f>IF($C350="","",助理班表!$D16)</f>
        <v/>
      </c>
      <c r="F350" s="16">
        <f>IF($C350="","",助理班表!$C16)</f>
        <v/>
      </c>
      <c r="G350" s="16">
        <f>IF($C350="","",助理班表!K16)</f>
        <v/>
      </c>
      <c r="H350" s="83">
        <f>IF($G350="","",IFERROR(IF(INDEX(設定!$D$6:$D$21,MATCH($G350,設定!$B$6:$B$21,0))=0,"",INDEX(設定!$D$6:$D$21,MATCH($G350,設定!$B$6:$B$21,0))),""))</f>
        <v/>
      </c>
      <c r="I350" s="83">
        <f>IF($G350="","",IFERROR(IF(INDEX(設定!$E$6:$E$21,MATCH($G350,設定!$B$6:$B$21,0))=0,"",INDEX(設定!$E$6:$E$21,MATCH($G350,設定!$B$6:$B$21,0))),""))</f>
        <v/>
      </c>
      <c r="J350" s="83">
        <f>IFERROR(INDEX(打卡匯入!$C$3:$C$2002,MATCH($C350&amp;"|"&amp;DAY($A350),打卡匯入!$E$3:$E$2002,0)),"")</f>
        <v/>
      </c>
      <c r="K350" s="83">
        <f>IFERROR(INDEX(打卡匯入!$D$3:$D$2002,MATCH($C350&amp;"|"&amp;DAY($A350),打卡匯入!$E$3:$E$2002,0)),"")</f>
        <v/>
      </c>
      <c r="L350" s="84">
        <f>IF(OR($J350="",$K350=""),"",IFERROR(INDEX(設定!$F$6:$F$21,MATCH($G350,設定!$B$6:$B$21,0)),0))</f>
        <v/>
      </c>
      <c r="M350" s="85">
        <f>IF(OR($J350="",$K350=""),"",ROUND(($K350-$J350)*24-$L350/60,2))</f>
        <v/>
      </c>
      <c r="N350" s="16">
        <f>IF($C350="","",IF(AND(COUNTIF(設定!$B$15:$B$21,$G350)&gt;0,$J350&lt;&gt;""),"假日出勤",IF(AND(COUNTIF(設定!$B$6:$B$14,$G350)&gt;0,$J350=""),"未打卡",IF($J350="","",IF($O350&gt;0,"遲到",IF($P350&gt;0,"早退","正常"))))))</f>
        <v/>
      </c>
      <c r="O350" s="84">
        <f>IF(OR($C350="",$H350="",$J350=""),0,IF(ROUND(($J350-$H350)*1440,0)&gt;設定!$C$46,ROUND(($J350-$H350)*1440,0),0))</f>
        <v/>
      </c>
      <c r="P350" s="84">
        <f>IF(OR($C350="",$I350="",$K350=""),0,IF(ROUND(($I350-$K350)*1440,0)&gt;設定!$C$46,ROUND(($I350-$K350)*1440,0),0))</f>
        <v/>
      </c>
      <c r="Q350" s="85">
        <f>IF($M350="",0,IF(($M350-IFERROR(INDEX(設定!$G$6:$G$21,MATCH($G350,設定!$B$6:$B$21,0)),0))*60&gt;=設定!$C$44,ROUND(FLOOR(($M350-IFERROR(INDEX(設定!$G$6:$G$21,MATCH($G350,設定!$B$6:$B$21,0)),0))*60,設定!$C$45)/60,2),0))</f>
        <v/>
      </c>
      <c r="R350" s="16">
        <f>IF(OR($C350="",$Q350=0),"",IF($G350="國","國定假日",IF($B350="日","例假",IF($B350="六","休息日","平日"))))</f>
        <v/>
      </c>
      <c r="S350" s="19" t="n"/>
    </row>
    <row r="351">
      <c r="A351" s="82">
        <f>IF(OR(助理班表!$A16="",8&gt;DAY(EOMONTH(DATE(設定!$C$2,設定!$D$2,1),0))),"",DATE(設定!$C$2,設定!$D$2,8))</f>
        <v/>
      </c>
      <c r="B351" s="16">
        <f>IF($A351="","",INDEX(設定!$O$6:$O$12,WEEKDAY($A351,1)))</f>
        <v/>
      </c>
      <c r="C351" s="16">
        <f>IF($A351="","",助理班表!$A16)</f>
        <v/>
      </c>
      <c r="D351" s="16">
        <f>IF($C351="","",助理班表!$B16)</f>
        <v/>
      </c>
      <c r="E351" s="16">
        <f>IF($C351="","",助理班表!$D16)</f>
        <v/>
      </c>
      <c r="F351" s="16">
        <f>IF($C351="","",助理班表!$C16)</f>
        <v/>
      </c>
      <c r="G351" s="16">
        <f>IF($C351="","",助理班表!L16)</f>
        <v/>
      </c>
      <c r="H351" s="83">
        <f>IF($G351="","",IFERROR(IF(INDEX(設定!$D$6:$D$21,MATCH($G351,設定!$B$6:$B$21,0))=0,"",INDEX(設定!$D$6:$D$21,MATCH($G351,設定!$B$6:$B$21,0))),""))</f>
        <v/>
      </c>
      <c r="I351" s="83">
        <f>IF($G351="","",IFERROR(IF(INDEX(設定!$E$6:$E$21,MATCH($G351,設定!$B$6:$B$21,0))=0,"",INDEX(設定!$E$6:$E$21,MATCH($G351,設定!$B$6:$B$21,0))),""))</f>
        <v/>
      </c>
      <c r="J351" s="83">
        <f>IFERROR(INDEX(打卡匯入!$C$3:$C$2002,MATCH($C351&amp;"|"&amp;DAY($A351),打卡匯入!$E$3:$E$2002,0)),"")</f>
        <v/>
      </c>
      <c r="K351" s="83">
        <f>IFERROR(INDEX(打卡匯入!$D$3:$D$2002,MATCH($C351&amp;"|"&amp;DAY($A351),打卡匯入!$E$3:$E$2002,0)),"")</f>
        <v/>
      </c>
      <c r="L351" s="84">
        <f>IF(OR($J351="",$K351=""),"",IFERROR(INDEX(設定!$F$6:$F$21,MATCH($G351,設定!$B$6:$B$21,0)),0))</f>
        <v/>
      </c>
      <c r="M351" s="85">
        <f>IF(OR($J351="",$K351=""),"",ROUND(($K351-$J351)*24-$L351/60,2))</f>
        <v/>
      </c>
      <c r="N351" s="16">
        <f>IF($C351="","",IF(AND(COUNTIF(設定!$B$15:$B$21,$G351)&gt;0,$J351&lt;&gt;""),"假日出勤",IF(AND(COUNTIF(設定!$B$6:$B$14,$G351)&gt;0,$J351=""),"未打卡",IF($J351="","",IF($O351&gt;0,"遲到",IF($P351&gt;0,"早退","正常"))))))</f>
        <v/>
      </c>
      <c r="O351" s="84">
        <f>IF(OR($C351="",$H351="",$J351=""),0,IF(ROUND(($J351-$H351)*1440,0)&gt;設定!$C$46,ROUND(($J351-$H351)*1440,0),0))</f>
        <v/>
      </c>
      <c r="P351" s="84">
        <f>IF(OR($C351="",$I351="",$K351=""),0,IF(ROUND(($I351-$K351)*1440,0)&gt;設定!$C$46,ROUND(($I351-$K351)*1440,0),0))</f>
        <v/>
      </c>
      <c r="Q351" s="85">
        <f>IF($M351="",0,IF(($M351-IFERROR(INDEX(設定!$G$6:$G$21,MATCH($G351,設定!$B$6:$B$21,0)),0))*60&gt;=設定!$C$44,ROUND(FLOOR(($M351-IFERROR(INDEX(設定!$G$6:$G$21,MATCH($G351,設定!$B$6:$B$21,0)),0))*60,設定!$C$45)/60,2),0))</f>
        <v/>
      </c>
      <c r="R351" s="16">
        <f>IF(OR($C351="",$Q351=0),"",IF($G351="國","國定假日",IF($B351="日","例假",IF($B351="六","休息日","平日"))))</f>
        <v/>
      </c>
      <c r="S351" s="19" t="n"/>
    </row>
    <row r="352">
      <c r="A352" s="82">
        <f>IF(OR(助理班表!$A16="",9&gt;DAY(EOMONTH(DATE(設定!$C$2,設定!$D$2,1),0))),"",DATE(設定!$C$2,設定!$D$2,9))</f>
        <v/>
      </c>
      <c r="B352" s="16">
        <f>IF($A352="","",INDEX(設定!$O$6:$O$12,WEEKDAY($A352,1)))</f>
        <v/>
      </c>
      <c r="C352" s="16">
        <f>IF($A352="","",助理班表!$A16)</f>
        <v/>
      </c>
      <c r="D352" s="16">
        <f>IF($C352="","",助理班表!$B16)</f>
        <v/>
      </c>
      <c r="E352" s="16">
        <f>IF($C352="","",助理班表!$D16)</f>
        <v/>
      </c>
      <c r="F352" s="16">
        <f>IF($C352="","",助理班表!$C16)</f>
        <v/>
      </c>
      <c r="G352" s="16">
        <f>IF($C352="","",助理班表!M16)</f>
        <v/>
      </c>
      <c r="H352" s="83">
        <f>IF($G352="","",IFERROR(IF(INDEX(設定!$D$6:$D$21,MATCH($G352,設定!$B$6:$B$21,0))=0,"",INDEX(設定!$D$6:$D$21,MATCH($G352,設定!$B$6:$B$21,0))),""))</f>
        <v/>
      </c>
      <c r="I352" s="83">
        <f>IF($G352="","",IFERROR(IF(INDEX(設定!$E$6:$E$21,MATCH($G352,設定!$B$6:$B$21,0))=0,"",INDEX(設定!$E$6:$E$21,MATCH($G352,設定!$B$6:$B$21,0))),""))</f>
        <v/>
      </c>
      <c r="J352" s="83">
        <f>IFERROR(INDEX(打卡匯入!$C$3:$C$2002,MATCH($C352&amp;"|"&amp;DAY($A352),打卡匯入!$E$3:$E$2002,0)),"")</f>
        <v/>
      </c>
      <c r="K352" s="83">
        <f>IFERROR(INDEX(打卡匯入!$D$3:$D$2002,MATCH($C352&amp;"|"&amp;DAY($A352),打卡匯入!$E$3:$E$2002,0)),"")</f>
        <v/>
      </c>
      <c r="L352" s="84">
        <f>IF(OR($J352="",$K352=""),"",IFERROR(INDEX(設定!$F$6:$F$21,MATCH($G352,設定!$B$6:$B$21,0)),0))</f>
        <v/>
      </c>
      <c r="M352" s="85">
        <f>IF(OR($J352="",$K352=""),"",ROUND(($K352-$J352)*24-$L352/60,2))</f>
        <v/>
      </c>
      <c r="N352" s="16">
        <f>IF($C352="","",IF(AND(COUNTIF(設定!$B$15:$B$21,$G352)&gt;0,$J352&lt;&gt;""),"假日出勤",IF(AND(COUNTIF(設定!$B$6:$B$14,$G352)&gt;0,$J352=""),"未打卡",IF($J352="","",IF($O352&gt;0,"遲到",IF($P352&gt;0,"早退","正常"))))))</f>
        <v/>
      </c>
      <c r="O352" s="84">
        <f>IF(OR($C352="",$H352="",$J352=""),0,IF(ROUND(($J352-$H352)*1440,0)&gt;設定!$C$46,ROUND(($J352-$H352)*1440,0),0))</f>
        <v/>
      </c>
      <c r="P352" s="84">
        <f>IF(OR($C352="",$I352="",$K352=""),0,IF(ROUND(($I352-$K352)*1440,0)&gt;設定!$C$46,ROUND(($I352-$K352)*1440,0),0))</f>
        <v/>
      </c>
      <c r="Q352" s="85">
        <f>IF($M352="",0,IF(($M352-IFERROR(INDEX(設定!$G$6:$G$21,MATCH($G352,設定!$B$6:$B$21,0)),0))*60&gt;=設定!$C$44,ROUND(FLOOR(($M352-IFERROR(INDEX(設定!$G$6:$G$21,MATCH($G352,設定!$B$6:$B$21,0)),0))*60,設定!$C$45)/60,2),0))</f>
        <v/>
      </c>
      <c r="R352" s="16">
        <f>IF(OR($C352="",$Q352=0),"",IF($G352="國","國定假日",IF($B352="日","例假",IF($B352="六","休息日","平日"))))</f>
        <v/>
      </c>
      <c r="S352" s="19" t="n"/>
    </row>
    <row r="353">
      <c r="A353" s="82">
        <f>IF(OR(助理班表!$A16="",10&gt;DAY(EOMONTH(DATE(設定!$C$2,設定!$D$2,1),0))),"",DATE(設定!$C$2,設定!$D$2,10))</f>
        <v/>
      </c>
      <c r="B353" s="16">
        <f>IF($A353="","",INDEX(設定!$O$6:$O$12,WEEKDAY($A353,1)))</f>
        <v/>
      </c>
      <c r="C353" s="16">
        <f>IF($A353="","",助理班表!$A16)</f>
        <v/>
      </c>
      <c r="D353" s="16">
        <f>IF($C353="","",助理班表!$B16)</f>
        <v/>
      </c>
      <c r="E353" s="16">
        <f>IF($C353="","",助理班表!$D16)</f>
        <v/>
      </c>
      <c r="F353" s="16">
        <f>IF($C353="","",助理班表!$C16)</f>
        <v/>
      </c>
      <c r="G353" s="16">
        <f>IF($C353="","",助理班表!N16)</f>
        <v/>
      </c>
      <c r="H353" s="83">
        <f>IF($G353="","",IFERROR(IF(INDEX(設定!$D$6:$D$21,MATCH($G353,設定!$B$6:$B$21,0))=0,"",INDEX(設定!$D$6:$D$21,MATCH($G353,設定!$B$6:$B$21,0))),""))</f>
        <v/>
      </c>
      <c r="I353" s="83">
        <f>IF($G353="","",IFERROR(IF(INDEX(設定!$E$6:$E$21,MATCH($G353,設定!$B$6:$B$21,0))=0,"",INDEX(設定!$E$6:$E$21,MATCH($G353,設定!$B$6:$B$21,0))),""))</f>
        <v/>
      </c>
      <c r="J353" s="83">
        <f>IFERROR(INDEX(打卡匯入!$C$3:$C$2002,MATCH($C353&amp;"|"&amp;DAY($A353),打卡匯入!$E$3:$E$2002,0)),"")</f>
        <v/>
      </c>
      <c r="K353" s="83">
        <f>IFERROR(INDEX(打卡匯入!$D$3:$D$2002,MATCH($C353&amp;"|"&amp;DAY($A353),打卡匯入!$E$3:$E$2002,0)),"")</f>
        <v/>
      </c>
      <c r="L353" s="84">
        <f>IF(OR($J353="",$K353=""),"",IFERROR(INDEX(設定!$F$6:$F$21,MATCH($G353,設定!$B$6:$B$21,0)),0))</f>
        <v/>
      </c>
      <c r="M353" s="85">
        <f>IF(OR($J353="",$K353=""),"",ROUND(($K353-$J353)*24-$L353/60,2))</f>
        <v/>
      </c>
      <c r="N353" s="16">
        <f>IF($C353="","",IF(AND(COUNTIF(設定!$B$15:$B$21,$G353)&gt;0,$J353&lt;&gt;""),"假日出勤",IF(AND(COUNTIF(設定!$B$6:$B$14,$G353)&gt;0,$J353=""),"未打卡",IF($J353="","",IF($O353&gt;0,"遲到",IF($P353&gt;0,"早退","正常"))))))</f>
        <v/>
      </c>
      <c r="O353" s="84">
        <f>IF(OR($C353="",$H353="",$J353=""),0,IF(ROUND(($J353-$H353)*1440,0)&gt;設定!$C$46,ROUND(($J353-$H353)*1440,0),0))</f>
        <v/>
      </c>
      <c r="P353" s="84">
        <f>IF(OR($C353="",$I353="",$K353=""),0,IF(ROUND(($I353-$K353)*1440,0)&gt;設定!$C$46,ROUND(($I353-$K353)*1440,0),0))</f>
        <v/>
      </c>
      <c r="Q353" s="85">
        <f>IF($M353="",0,IF(($M353-IFERROR(INDEX(設定!$G$6:$G$21,MATCH($G353,設定!$B$6:$B$21,0)),0))*60&gt;=設定!$C$44,ROUND(FLOOR(($M353-IFERROR(INDEX(設定!$G$6:$G$21,MATCH($G353,設定!$B$6:$B$21,0)),0))*60,設定!$C$45)/60,2),0))</f>
        <v/>
      </c>
      <c r="R353" s="16">
        <f>IF(OR($C353="",$Q353=0),"",IF($G353="國","國定假日",IF($B353="日","例假",IF($B353="六","休息日","平日"))))</f>
        <v/>
      </c>
      <c r="S353" s="19" t="n"/>
    </row>
    <row r="354">
      <c r="A354" s="82">
        <f>IF(OR(助理班表!$A16="",11&gt;DAY(EOMONTH(DATE(設定!$C$2,設定!$D$2,1),0))),"",DATE(設定!$C$2,設定!$D$2,11))</f>
        <v/>
      </c>
      <c r="B354" s="16">
        <f>IF($A354="","",INDEX(設定!$O$6:$O$12,WEEKDAY($A354,1)))</f>
        <v/>
      </c>
      <c r="C354" s="16">
        <f>IF($A354="","",助理班表!$A16)</f>
        <v/>
      </c>
      <c r="D354" s="16">
        <f>IF($C354="","",助理班表!$B16)</f>
        <v/>
      </c>
      <c r="E354" s="16">
        <f>IF($C354="","",助理班表!$D16)</f>
        <v/>
      </c>
      <c r="F354" s="16">
        <f>IF($C354="","",助理班表!$C16)</f>
        <v/>
      </c>
      <c r="G354" s="16">
        <f>IF($C354="","",助理班表!O16)</f>
        <v/>
      </c>
      <c r="H354" s="83">
        <f>IF($G354="","",IFERROR(IF(INDEX(設定!$D$6:$D$21,MATCH($G354,設定!$B$6:$B$21,0))=0,"",INDEX(設定!$D$6:$D$21,MATCH($G354,設定!$B$6:$B$21,0))),""))</f>
        <v/>
      </c>
      <c r="I354" s="83">
        <f>IF($G354="","",IFERROR(IF(INDEX(設定!$E$6:$E$21,MATCH($G354,設定!$B$6:$B$21,0))=0,"",INDEX(設定!$E$6:$E$21,MATCH($G354,設定!$B$6:$B$21,0))),""))</f>
        <v/>
      </c>
      <c r="J354" s="83">
        <f>IFERROR(INDEX(打卡匯入!$C$3:$C$2002,MATCH($C354&amp;"|"&amp;DAY($A354),打卡匯入!$E$3:$E$2002,0)),"")</f>
        <v/>
      </c>
      <c r="K354" s="83">
        <f>IFERROR(INDEX(打卡匯入!$D$3:$D$2002,MATCH($C354&amp;"|"&amp;DAY($A354),打卡匯入!$E$3:$E$2002,0)),"")</f>
        <v/>
      </c>
      <c r="L354" s="84">
        <f>IF(OR($J354="",$K354=""),"",IFERROR(INDEX(設定!$F$6:$F$21,MATCH($G354,設定!$B$6:$B$21,0)),0))</f>
        <v/>
      </c>
      <c r="M354" s="85">
        <f>IF(OR($J354="",$K354=""),"",ROUND(($K354-$J354)*24-$L354/60,2))</f>
        <v/>
      </c>
      <c r="N354" s="16">
        <f>IF($C354="","",IF(AND(COUNTIF(設定!$B$15:$B$21,$G354)&gt;0,$J354&lt;&gt;""),"假日出勤",IF(AND(COUNTIF(設定!$B$6:$B$14,$G354)&gt;0,$J354=""),"未打卡",IF($J354="","",IF($O354&gt;0,"遲到",IF($P354&gt;0,"早退","正常"))))))</f>
        <v/>
      </c>
      <c r="O354" s="84">
        <f>IF(OR($C354="",$H354="",$J354=""),0,IF(ROUND(($J354-$H354)*1440,0)&gt;設定!$C$46,ROUND(($J354-$H354)*1440,0),0))</f>
        <v/>
      </c>
      <c r="P354" s="84">
        <f>IF(OR($C354="",$I354="",$K354=""),0,IF(ROUND(($I354-$K354)*1440,0)&gt;設定!$C$46,ROUND(($I354-$K354)*1440,0),0))</f>
        <v/>
      </c>
      <c r="Q354" s="85">
        <f>IF($M354="",0,IF(($M354-IFERROR(INDEX(設定!$G$6:$G$21,MATCH($G354,設定!$B$6:$B$21,0)),0))*60&gt;=設定!$C$44,ROUND(FLOOR(($M354-IFERROR(INDEX(設定!$G$6:$G$21,MATCH($G354,設定!$B$6:$B$21,0)),0))*60,設定!$C$45)/60,2),0))</f>
        <v/>
      </c>
      <c r="R354" s="16">
        <f>IF(OR($C354="",$Q354=0),"",IF($G354="國","國定假日",IF($B354="日","例假",IF($B354="六","休息日","平日"))))</f>
        <v/>
      </c>
      <c r="S354" s="19" t="n"/>
    </row>
    <row r="355">
      <c r="A355" s="82">
        <f>IF(OR(助理班表!$A16="",12&gt;DAY(EOMONTH(DATE(設定!$C$2,設定!$D$2,1),0))),"",DATE(設定!$C$2,設定!$D$2,12))</f>
        <v/>
      </c>
      <c r="B355" s="16">
        <f>IF($A355="","",INDEX(設定!$O$6:$O$12,WEEKDAY($A355,1)))</f>
        <v/>
      </c>
      <c r="C355" s="16">
        <f>IF($A355="","",助理班表!$A16)</f>
        <v/>
      </c>
      <c r="D355" s="16">
        <f>IF($C355="","",助理班表!$B16)</f>
        <v/>
      </c>
      <c r="E355" s="16">
        <f>IF($C355="","",助理班表!$D16)</f>
        <v/>
      </c>
      <c r="F355" s="16">
        <f>IF($C355="","",助理班表!$C16)</f>
        <v/>
      </c>
      <c r="G355" s="16">
        <f>IF($C355="","",助理班表!P16)</f>
        <v/>
      </c>
      <c r="H355" s="83">
        <f>IF($G355="","",IFERROR(IF(INDEX(設定!$D$6:$D$21,MATCH($G355,設定!$B$6:$B$21,0))=0,"",INDEX(設定!$D$6:$D$21,MATCH($G355,設定!$B$6:$B$21,0))),""))</f>
        <v/>
      </c>
      <c r="I355" s="83">
        <f>IF($G355="","",IFERROR(IF(INDEX(設定!$E$6:$E$21,MATCH($G355,設定!$B$6:$B$21,0))=0,"",INDEX(設定!$E$6:$E$21,MATCH($G355,設定!$B$6:$B$21,0))),""))</f>
        <v/>
      </c>
      <c r="J355" s="83">
        <f>IFERROR(INDEX(打卡匯入!$C$3:$C$2002,MATCH($C355&amp;"|"&amp;DAY($A355),打卡匯入!$E$3:$E$2002,0)),"")</f>
        <v/>
      </c>
      <c r="K355" s="83">
        <f>IFERROR(INDEX(打卡匯入!$D$3:$D$2002,MATCH($C355&amp;"|"&amp;DAY($A355),打卡匯入!$E$3:$E$2002,0)),"")</f>
        <v/>
      </c>
      <c r="L355" s="84">
        <f>IF(OR($J355="",$K355=""),"",IFERROR(INDEX(設定!$F$6:$F$21,MATCH($G355,設定!$B$6:$B$21,0)),0))</f>
        <v/>
      </c>
      <c r="M355" s="85">
        <f>IF(OR($J355="",$K355=""),"",ROUND(($K355-$J355)*24-$L355/60,2))</f>
        <v/>
      </c>
      <c r="N355" s="16">
        <f>IF($C355="","",IF(AND(COUNTIF(設定!$B$15:$B$21,$G355)&gt;0,$J355&lt;&gt;""),"假日出勤",IF(AND(COUNTIF(設定!$B$6:$B$14,$G355)&gt;0,$J355=""),"未打卡",IF($J355="","",IF($O355&gt;0,"遲到",IF($P355&gt;0,"早退","正常"))))))</f>
        <v/>
      </c>
      <c r="O355" s="84">
        <f>IF(OR($C355="",$H355="",$J355=""),0,IF(ROUND(($J355-$H355)*1440,0)&gt;設定!$C$46,ROUND(($J355-$H355)*1440,0),0))</f>
        <v/>
      </c>
      <c r="P355" s="84">
        <f>IF(OR($C355="",$I355="",$K355=""),0,IF(ROUND(($I355-$K355)*1440,0)&gt;設定!$C$46,ROUND(($I355-$K355)*1440,0),0))</f>
        <v/>
      </c>
      <c r="Q355" s="85">
        <f>IF($M355="",0,IF(($M355-IFERROR(INDEX(設定!$G$6:$G$21,MATCH($G355,設定!$B$6:$B$21,0)),0))*60&gt;=設定!$C$44,ROUND(FLOOR(($M355-IFERROR(INDEX(設定!$G$6:$G$21,MATCH($G355,設定!$B$6:$B$21,0)),0))*60,設定!$C$45)/60,2),0))</f>
        <v/>
      </c>
      <c r="R355" s="16">
        <f>IF(OR($C355="",$Q355=0),"",IF($G355="國","國定假日",IF($B355="日","例假",IF($B355="六","休息日","平日"))))</f>
        <v/>
      </c>
      <c r="S355" s="19" t="n"/>
    </row>
    <row r="356">
      <c r="A356" s="82">
        <f>IF(OR(助理班表!$A16="",13&gt;DAY(EOMONTH(DATE(設定!$C$2,設定!$D$2,1),0))),"",DATE(設定!$C$2,設定!$D$2,13))</f>
        <v/>
      </c>
      <c r="B356" s="16">
        <f>IF($A356="","",INDEX(設定!$O$6:$O$12,WEEKDAY($A356,1)))</f>
        <v/>
      </c>
      <c r="C356" s="16">
        <f>IF($A356="","",助理班表!$A16)</f>
        <v/>
      </c>
      <c r="D356" s="16">
        <f>IF($C356="","",助理班表!$B16)</f>
        <v/>
      </c>
      <c r="E356" s="16">
        <f>IF($C356="","",助理班表!$D16)</f>
        <v/>
      </c>
      <c r="F356" s="16">
        <f>IF($C356="","",助理班表!$C16)</f>
        <v/>
      </c>
      <c r="G356" s="16">
        <f>IF($C356="","",助理班表!Q16)</f>
        <v/>
      </c>
      <c r="H356" s="83">
        <f>IF($G356="","",IFERROR(IF(INDEX(設定!$D$6:$D$21,MATCH($G356,設定!$B$6:$B$21,0))=0,"",INDEX(設定!$D$6:$D$21,MATCH($G356,設定!$B$6:$B$21,0))),""))</f>
        <v/>
      </c>
      <c r="I356" s="83">
        <f>IF($G356="","",IFERROR(IF(INDEX(設定!$E$6:$E$21,MATCH($G356,設定!$B$6:$B$21,0))=0,"",INDEX(設定!$E$6:$E$21,MATCH($G356,設定!$B$6:$B$21,0))),""))</f>
        <v/>
      </c>
      <c r="J356" s="83">
        <f>IFERROR(INDEX(打卡匯入!$C$3:$C$2002,MATCH($C356&amp;"|"&amp;DAY($A356),打卡匯入!$E$3:$E$2002,0)),"")</f>
        <v/>
      </c>
      <c r="K356" s="83">
        <f>IFERROR(INDEX(打卡匯入!$D$3:$D$2002,MATCH($C356&amp;"|"&amp;DAY($A356),打卡匯入!$E$3:$E$2002,0)),"")</f>
        <v/>
      </c>
      <c r="L356" s="84">
        <f>IF(OR($J356="",$K356=""),"",IFERROR(INDEX(設定!$F$6:$F$21,MATCH($G356,設定!$B$6:$B$21,0)),0))</f>
        <v/>
      </c>
      <c r="M356" s="85">
        <f>IF(OR($J356="",$K356=""),"",ROUND(($K356-$J356)*24-$L356/60,2))</f>
        <v/>
      </c>
      <c r="N356" s="16">
        <f>IF($C356="","",IF(AND(COUNTIF(設定!$B$15:$B$21,$G356)&gt;0,$J356&lt;&gt;""),"假日出勤",IF(AND(COUNTIF(設定!$B$6:$B$14,$G356)&gt;0,$J356=""),"未打卡",IF($J356="","",IF($O356&gt;0,"遲到",IF($P356&gt;0,"早退","正常"))))))</f>
        <v/>
      </c>
      <c r="O356" s="84">
        <f>IF(OR($C356="",$H356="",$J356=""),0,IF(ROUND(($J356-$H356)*1440,0)&gt;設定!$C$46,ROUND(($J356-$H356)*1440,0),0))</f>
        <v/>
      </c>
      <c r="P356" s="84">
        <f>IF(OR($C356="",$I356="",$K356=""),0,IF(ROUND(($I356-$K356)*1440,0)&gt;設定!$C$46,ROUND(($I356-$K356)*1440,0),0))</f>
        <v/>
      </c>
      <c r="Q356" s="85">
        <f>IF($M356="",0,IF(($M356-IFERROR(INDEX(設定!$G$6:$G$21,MATCH($G356,設定!$B$6:$B$21,0)),0))*60&gt;=設定!$C$44,ROUND(FLOOR(($M356-IFERROR(INDEX(設定!$G$6:$G$21,MATCH($G356,設定!$B$6:$B$21,0)),0))*60,設定!$C$45)/60,2),0))</f>
        <v/>
      </c>
      <c r="R356" s="16">
        <f>IF(OR($C356="",$Q356=0),"",IF($G356="國","國定假日",IF($B356="日","例假",IF($B356="六","休息日","平日"))))</f>
        <v/>
      </c>
      <c r="S356" s="19" t="n"/>
    </row>
    <row r="357">
      <c r="A357" s="82">
        <f>IF(OR(助理班表!$A16="",14&gt;DAY(EOMONTH(DATE(設定!$C$2,設定!$D$2,1),0))),"",DATE(設定!$C$2,設定!$D$2,14))</f>
        <v/>
      </c>
      <c r="B357" s="16">
        <f>IF($A357="","",INDEX(設定!$O$6:$O$12,WEEKDAY($A357,1)))</f>
        <v/>
      </c>
      <c r="C357" s="16">
        <f>IF($A357="","",助理班表!$A16)</f>
        <v/>
      </c>
      <c r="D357" s="16">
        <f>IF($C357="","",助理班表!$B16)</f>
        <v/>
      </c>
      <c r="E357" s="16">
        <f>IF($C357="","",助理班表!$D16)</f>
        <v/>
      </c>
      <c r="F357" s="16">
        <f>IF($C357="","",助理班表!$C16)</f>
        <v/>
      </c>
      <c r="G357" s="16">
        <f>IF($C357="","",助理班表!R16)</f>
        <v/>
      </c>
      <c r="H357" s="83">
        <f>IF($G357="","",IFERROR(IF(INDEX(設定!$D$6:$D$21,MATCH($G357,設定!$B$6:$B$21,0))=0,"",INDEX(設定!$D$6:$D$21,MATCH($G357,設定!$B$6:$B$21,0))),""))</f>
        <v/>
      </c>
      <c r="I357" s="83">
        <f>IF($G357="","",IFERROR(IF(INDEX(設定!$E$6:$E$21,MATCH($G357,設定!$B$6:$B$21,0))=0,"",INDEX(設定!$E$6:$E$21,MATCH($G357,設定!$B$6:$B$21,0))),""))</f>
        <v/>
      </c>
      <c r="J357" s="83">
        <f>IFERROR(INDEX(打卡匯入!$C$3:$C$2002,MATCH($C357&amp;"|"&amp;DAY($A357),打卡匯入!$E$3:$E$2002,0)),"")</f>
        <v/>
      </c>
      <c r="K357" s="83">
        <f>IFERROR(INDEX(打卡匯入!$D$3:$D$2002,MATCH($C357&amp;"|"&amp;DAY($A357),打卡匯入!$E$3:$E$2002,0)),"")</f>
        <v/>
      </c>
      <c r="L357" s="84">
        <f>IF(OR($J357="",$K357=""),"",IFERROR(INDEX(設定!$F$6:$F$21,MATCH($G357,設定!$B$6:$B$21,0)),0))</f>
        <v/>
      </c>
      <c r="M357" s="85">
        <f>IF(OR($J357="",$K357=""),"",ROUND(($K357-$J357)*24-$L357/60,2))</f>
        <v/>
      </c>
      <c r="N357" s="16">
        <f>IF($C357="","",IF(AND(COUNTIF(設定!$B$15:$B$21,$G357)&gt;0,$J357&lt;&gt;""),"假日出勤",IF(AND(COUNTIF(設定!$B$6:$B$14,$G357)&gt;0,$J357=""),"未打卡",IF($J357="","",IF($O357&gt;0,"遲到",IF($P357&gt;0,"早退","正常"))))))</f>
        <v/>
      </c>
      <c r="O357" s="84">
        <f>IF(OR($C357="",$H357="",$J357=""),0,IF(ROUND(($J357-$H357)*1440,0)&gt;設定!$C$46,ROUND(($J357-$H357)*1440,0),0))</f>
        <v/>
      </c>
      <c r="P357" s="84">
        <f>IF(OR($C357="",$I357="",$K357=""),0,IF(ROUND(($I357-$K357)*1440,0)&gt;設定!$C$46,ROUND(($I357-$K357)*1440,0),0))</f>
        <v/>
      </c>
      <c r="Q357" s="85">
        <f>IF($M357="",0,IF(($M357-IFERROR(INDEX(設定!$G$6:$G$21,MATCH($G357,設定!$B$6:$B$21,0)),0))*60&gt;=設定!$C$44,ROUND(FLOOR(($M357-IFERROR(INDEX(設定!$G$6:$G$21,MATCH($G357,設定!$B$6:$B$21,0)),0))*60,設定!$C$45)/60,2),0))</f>
        <v/>
      </c>
      <c r="R357" s="16">
        <f>IF(OR($C357="",$Q357=0),"",IF($G357="國","國定假日",IF($B357="日","例假",IF($B357="六","休息日","平日"))))</f>
        <v/>
      </c>
      <c r="S357" s="19" t="n"/>
    </row>
    <row r="358">
      <c r="A358" s="82">
        <f>IF(OR(助理班表!$A16="",15&gt;DAY(EOMONTH(DATE(設定!$C$2,設定!$D$2,1),0))),"",DATE(設定!$C$2,設定!$D$2,15))</f>
        <v/>
      </c>
      <c r="B358" s="16">
        <f>IF($A358="","",INDEX(設定!$O$6:$O$12,WEEKDAY($A358,1)))</f>
        <v/>
      </c>
      <c r="C358" s="16">
        <f>IF($A358="","",助理班表!$A16)</f>
        <v/>
      </c>
      <c r="D358" s="16">
        <f>IF($C358="","",助理班表!$B16)</f>
        <v/>
      </c>
      <c r="E358" s="16">
        <f>IF($C358="","",助理班表!$D16)</f>
        <v/>
      </c>
      <c r="F358" s="16">
        <f>IF($C358="","",助理班表!$C16)</f>
        <v/>
      </c>
      <c r="G358" s="16">
        <f>IF($C358="","",助理班表!S16)</f>
        <v/>
      </c>
      <c r="H358" s="83">
        <f>IF($G358="","",IFERROR(IF(INDEX(設定!$D$6:$D$21,MATCH($G358,設定!$B$6:$B$21,0))=0,"",INDEX(設定!$D$6:$D$21,MATCH($G358,設定!$B$6:$B$21,0))),""))</f>
        <v/>
      </c>
      <c r="I358" s="83">
        <f>IF($G358="","",IFERROR(IF(INDEX(設定!$E$6:$E$21,MATCH($G358,設定!$B$6:$B$21,0))=0,"",INDEX(設定!$E$6:$E$21,MATCH($G358,設定!$B$6:$B$21,0))),""))</f>
        <v/>
      </c>
      <c r="J358" s="83">
        <f>IFERROR(INDEX(打卡匯入!$C$3:$C$2002,MATCH($C358&amp;"|"&amp;DAY($A358),打卡匯入!$E$3:$E$2002,0)),"")</f>
        <v/>
      </c>
      <c r="K358" s="83">
        <f>IFERROR(INDEX(打卡匯入!$D$3:$D$2002,MATCH($C358&amp;"|"&amp;DAY($A358),打卡匯入!$E$3:$E$2002,0)),"")</f>
        <v/>
      </c>
      <c r="L358" s="84">
        <f>IF(OR($J358="",$K358=""),"",IFERROR(INDEX(設定!$F$6:$F$21,MATCH($G358,設定!$B$6:$B$21,0)),0))</f>
        <v/>
      </c>
      <c r="M358" s="85">
        <f>IF(OR($J358="",$K358=""),"",ROUND(($K358-$J358)*24-$L358/60,2))</f>
        <v/>
      </c>
      <c r="N358" s="16">
        <f>IF($C358="","",IF(AND(COUNTIF(設定!$B$15:$B$21,$G358)&gt;0,$J358&lt;&gt;""),"假日出勤",IF(AND(COUNTIF(設定!$B$6:$B$14,$G358)&gt;0,$J358=""),"未打卡",IF($J358="","",IF($O358&gt;0,"遲到",IF($P358&gt;0,"早退","正常"))))))</f>
        <v/>
      </c>
      <c r="O358" s="84">
        <f>IF(OR($C358="",$H358="",$J358=""),0,IF(ROUND(($J358-$H358)*1440,0)&gt;設定!$C$46,ROUND(($J358-$H358)*1440,0),0))</f>
        <v/>
      </c>
      <c r="P358" s="84">
        <f>IF(OR($C358="",$I358="",$K358=""),0,IF(ROUND(($I358-$K358)*1440,0)&gt;設定!$C$46,ROUND(($I358-$K358)*1440,0),0))</f>
        <v/>
      </c>
      <c r="Q358" s="85">
        <f>IF($M358="",0,IF(($M358-IFERROR(INDEX(設定!$G$6:$G$21,MATCH($G358,設定!$B$6:$B$21,0)),0))*60&gt;=設定!$C$44,ROUND(FLOOR(($M358-IFERROR(INDEX(設定!$G$6:$G$21,MATCH($G358,設定!$B$6:$B$21,0)),0))*60,設定!$C$45)/60,2),0))</f>
        <v/>
      </c>
      <c r="R358" s="16">
        <f>IF(OR($C358="",$Q358=0),"",IF($G358="國","國定假日",IF($B358="日","例假",IF($B358="六","休息日","平日"))))</f>
        <v/>
      </c>
      <c r="S358" s="19" t="n"/>
    </row>
    <row r="359">
      <c r="A359" s="82">
        <f>IF(OR(助理班表!$A16="",16&gt;DAY(EOMONTH(DATE(設定!$C$2,設定!$D$2,1),0))),"",DATE(設定!$C$2,設定!$D$2,16))</f>
        <v/>
      </c>
      <c r="B359" s="16">
        <f>IF($A359="","",INDEX(設定!$O$6:$O$12,WEEKDAY($A359,1)))</f>
        <v/>
      </c>
      <c r="C359" s="16">
        <f>IF($A359="","",助理班表!$A16)</f>
        <v/>
      </c>
      <c r="D359" s="16">
        <f>IF($C359="","",助理班表!$B16)</f>
        <v/>
      </c>
      <c r="E359" s="16">
        <f>IF($C359="","",助理班表!$D16)</f>
        <v/>
      </c>
      <c r="F359" s="16">
        <f>IF($C359="","",助理班表!$C16)</f>
        <v/>
      </c>
      <c r="G359" s="16">
        <f>IF($C359="","",助理班表!T16)</f>
        <v/>
      </c>
      <c r="H359" s="83">
        <f>IF($G359="","",IFERROR(IF(INDEX(設定!$D$6:$D$21,MATCH($G359,設定!$B$6:$B$21,0))=0,"",INDEX(設定!$D$6:$D$21,MATCH($G359,設定!$B$6:$B$21,0))),""))</f>
        <v/>
      </c>
      <c r="I359" s="83">
        <f>IF($G359="","",IFERROR(IF(INDEX(設定!$E$6:$E$21,MATCH($G359,設定!$B$6:$B$21,0))=0,"",INDEX(設定!$E$6:$E$21,MATCH($G359,設定!$B$6:$B$21,0))),""))</f>
        <v/>
      </c>
      <c r="J359" s="83">
        <f>IFERROR(INDEX(打卡匯入!$C$3:$C$2002,MATCH($C359&amp;"|"&amp;DAY($A359),打卡匯入!$E$3:$E$2002,0)),"")</f>
        <v/>
      </c>
      <c r="K359" s="83">
        <f>IFERROR(INDEX(打卡匯入!$D$3:$D$2002,MATCH($C359&amp;"|"&amp;DAY($A359),打卡匯入!$E$3:$E$2002,0)),"")</f>
        <v/>
      </c>
      <c r="L359" s="84">
        <f>IF(OR($J359="",$K359=""),"",IFERROR(INDEX(設定!$F$6:$F$21,MATCH($G359,設定!$B$6:$B$21,0)),0))</f>
        <v/>
      </c>
      <c r="M359" s="85">
        <f>IF(OR($J359="",$K359=""),"",ROUND(($K359-$J359)*24-$L359/60,2))</f>
        <v/>
      </c>
      <c r="N359" s="16">
        <f>IF($C359="","",IF(AND(COUNTIF(設定!$B$15:$B$21,$G359)&gt;0,$J359&lt;&gt;""),"假日出勤",IF(AND(COUNTIF(設定!$B$6:$B$14,$G359)&gt;0,$J359=""),"未打卡",IF($J359="","",IF($O359&gt;0,"遲到",IF($P359&gt;0,"早退","正常"))))))</f>
        <v/>
      </c>
      <c r="O359" s="84">
        <f>IF(OR($C359="",$H359="",$J359=""),0,IF(ROUND(($J359-$H359)*1440,0)&gt;設定!$C$46,ROUND(($J359-$H359)*1440,0),0))</f>
        <v/>
      </c>
      <c r="P359" s="84">
        <f>IF(OR($C359="",$I359="",$K359=""),0,IF(ROUND(($I359-$K359)*1440,0)&gt;設定!$C$46,ROUND(($I359-$K359)*1440,0),0))</f>
        <v/>
      </c>
      <c r="Q359" s="85">
        <f>IF($M359="",0,IF(($M359-IFERROR(INDEX(設定!$G$6:$G$21,MATCH($G359,設定!$B$6:$B$21,0)),0))*60&gt;=設定!$C$44,ROUND(FLOOR(($M359-IFERROR(INDEX(設定!$G$6:$G$21,MATCH($G359,設定!$B$6:$B$21,0)),0))*60,設定!$C$45)/60,2),0))</f>
        <v/>
      </c>
      <c r="R359" s="16">
        <f>IF(OR($C359="",$Q359=0),"",IF($G359="國","國定假日",IF($B359="日","例假",IF($B359="六","休息日","平日"))))</f>
        <v/>
      </c>
      <c r="S359" s="19" t="n"/>
    </row>
    <row r="360">
      <c r="A360" s="82">
        <f>IF(OR(助理班表!$A16="",17&gt;DAY(EOMONTH(DATE(設定!$C$2,設定!$D$2,1),0))),"",DATE(設定!$C$2,設定!$D$2,17))</f>
        <v/>
      </c>
      <c r="B360" s="16">
        <f>IF($A360="","",INDEX(設定!$O$6:$O$12,WEEKDAY($A360,1)))</f>
        <v/>
      </c>
      <c r="C360" s="16">
        <f>IF($A360="","",助理班表!$A16)</f>
        <v/>
      </c>
      <c r="D360" s="16">
        <f>IF($C360="","",助理班表!$B16)</f>
        <v/>
      </c>
      <c r="E360" s="16">
        <f>IF($C360="","",助理班表!$D16)</f>
        <v/>
      </c>
      <c r="F360" s="16">
        <f>IF($C360="","",助理班表!$C16)</f>
        <v/>
      </c>
      <c r="G360" s="16">
        <f>IF($C360="","",助理班表!U16)</f>
        <v/>
      </c>
      <c r="H360" s="83">
        <f>IF($G360="","",IFERROR(IF(INDEX(設定!$D$6:$D$21,MATCH($G360,設定!$B$6:$B$21,0))=0,"",INDEX(設定!$D$6:$D$21,MATCH($G360,設定!$B$6:$B$21,0))),""))</f>
        <v/>
      </c>
      <c r="I360" s="83">
        <f>IF($G360="","",IFERROR(IF(INDEX(設定!$E$6:$E$21,MATCH($G360,設定!$B$6:$B$21,0))=0,"",INDEX(設定!$E$6:$E$21,MATCH($G360,設定!$B$6:$B$21,0))),""))</f>
        <v/>
      </c>
      <c r="J360" s="83">
        <f>IFERROR(INDEX(打卡匯入!$C$3:$C$2002,MATCH($C360&amp;"|"&amp;DAY($A360),打卡匯入!$E$3:$E$2002,0)),"")</f>
        <v/>
      </c>
      <c r="K360" s="83">
        <f>IFERROR(INDEX(打卡匯入!$D$3:$D$2002,MATCH($C360&amp;"|"&amp;DAY($A360),打卡匯入!$E$3:$E$2002,0)),"")</f>
        <v/>
      </c>
      <c r="L360" s="84">
        <f>IF(OR($J360="",$K360=""),"",IFERROR(INDEX(設定!$F$6:$F$21,MATCH($G360,設定!$B$6:$B$21,0)),0))</f>
        <v/>
      </c>
      <c r="M360" s="85">
        <f>IF(OR($J360="",$K360=""),"",ROUND(($K360-$J360)*24-$L360/60,2))</f>
        <v/>
      </c>
      <c r="N360" s="16">
        <f>IF($C360="","",IF(AND(COUNTIF(設定!$B$15:$B$21,$G360)&gt;0,$J360&lt;&gt;""),"假日出勤",IF(AND(COUNTIF(設定!$B$6:$B$14,$G360)&gt;0,$J360=""),"未打卡",IF($J360="","",IF($O360&gt;0,"遲到",IF($P360&gt;0,"早退","正常"))))))</f>
        <v/>
      </c>
      <c r="O360" s="84">
        <f>IF(OR($C360="",$H360="",$J360=""),0,IF(ROUND(($J360-$H360)*1440,0)&gt;設定!$C$46,ROUND(($J360-$H360)*1440,0),0))</f>
        <v/>
      </c>
      <c r="P360" s="84">
        <f>IF(OR($C360="",$I360="",$K360=""),0,IF(ROUND(($I360-$K360)*1440,0)&gt;設定!$C$46,ROUND(($I360-$K360)*1440,0),0))</f>
        <v/>
      </c>
      <c r="Q360" s="85">
        <f>IF($M360="",0,IF(($M360-IFERROR(INDEX(設定!$G$6:$G$21,MATCH($G360,設定!$B$6:$B$21,0)),0))*60&gt;=設定!$C$44,ROUND(FLOOR(($M360-IFERROR(INDEX(設定!$G$6:$G$21,MATCH($G360,設定!$B$6:$B$21,0)),0))*60,設定!$C$45)/60,2),0))</f>
        <v/>
      </c>
      <c r="R360" s="16">
        <f>IF(OR($C360="",$Q360=0),"",IF($G360="國","國定假日",IF($B360="日","例假",IF($B360="六","休息日","平日"))))</f>
        <v/>
      </c>
      <c r="S360" s="19" t="n"/>
    </row>
    <row r="361">
      <c r="A361" s="82">
        <f>IF(OR(助理班表!$A16="",18&gt;DAY(EOMONTH(DATE(設定!$C$2,設定!$D$2,1),0))),"",DATE(設定!$C$2,設定!$D$2,18))</f>
        <v/>
      </c>
      <c r="B361" s="16">
        <f>IF($A361="","",INDEX(設定!$O$6:$O$12,WEEKDAY($A361,1)))</f>
        <v/>
      </c>
      <c r="C361" s="16">
        <f>IF($A361="","",助理班表!$A16)</f>
        <v/>
      </c>
      <c r="D361" s="16">
        <f>IF($C361="","",助理班表!$B16)</f>
        <v/>
      </c>
      <c r="E361" s="16">
        <f>IF($C361="","",助理班表!$D16)</f>
        <v/>
      </c>
      <c r="F361" s="16">
        <f>IF($C361="","",助理班表!$C16)</f>
        <v/>
      </c>
      <c r="G361" s="16">
        <f>IF($C361="","",助理班表!V16)</f>
        <v/>
      </c>
      <c r="H361" s="83">
        <f>IF($G361="","",IFERROR(IF(INDEX(設定!$D$6:$D$21,MATCH($G361,設定!$B$6:$B$21,0))=0,"",INDEX(設定!$D$6:$D$21,MATCH($G361,設定!$B$6:$B$21,0))),""))</f>
        <v/>
      </c>
      <c r="I361" s="83">
        <f>IF($G361="","",IFERROR(IF(INDEX(設定!$E$6:$E$21,MATCH($G361,設定!$B$6:$B$21,0))=0,"",INDEX(設定!$E$6:$E$21,MATCH($G361,設定!$B$6:$B$21,0))),""))</f>
        <v/>
      </c>
      <c r="J361" s="83">
        <f>IFERROR(INDEX(打卡匯入!$C$3:$C$2002,MATCH($C361&amp;"|"&amp;DAY($A361),打卡匯入!$E$3:$E$2002,0)),"")</f>
        <v/>
      </c>
      <c r="K361" s="83">
        <f>IFERROR(INDEX(打卡匯入!$D$3:$D$2002,MATCH($C361&amp;"|"&amp;DAY($A361),打卡匯入!$E$3:$E$2002,0)),"")</f>
        <v/>
      </c>
      <c r="L361" s="84">
        <f>IF(OR($J361="",$K361=""),"",IFERROR(INDEX(設定!$F$6:$F$21,MATCH($G361,設定!$B$6:$B$21,0)),0))</f>
        <v/>
      </c>
      <c r="M361" s="85">
        <f>IF(OR($J361="",$K361=""),"",ROUND(($K361-$J361)*24-$L361/60,2))</f>
        <v/>
      </c>
      <c r="N361" s="16">
        <f>IF($C361="","",IF(AND(COUNTIF(設定!$B$15:$B$21,$G361)&gt;0,$J361&lt;&gt;""),"假日出勤",IF(AND(COUNTIF(設定!$B$6:$B$14,$G361)&gt;0,$J361=""),"未打卡",IF($J361="","",IF($O361&gt;0,"遲到",IF($P361&gt;0,"早退","正常"))))))</f>
        <v/>
      </c>
      <c r="O361" s="84">
        <f>IF(OR($C361="",$H361="",$J361=""),0,IF(ROUND(($J361-$H361)*1440,0)&gt;設定!$C$46,ROUND(($J361-$H361)*1440,0),0))</f>
        <v/>
      </c>
      <c r="P361" s="84">
        <f>IF(OR($C361="",$I361="",$K361=""),0,IF(ROUND(($I361-$K361)*1440,0)&gt;設定!$C$46,ROUND(($I361-$K361)*1440,0),0))</f>
        <v/>
      </c>
      <c r="Q361" s="85">
        <f>IF($M361="",0,IF(($M361-IFERROR(INDEX(設定!$G$6:$G$21,MATCH($G361,設定!$B$6:$B$21,0)),0))*60&gt;=設定!$C$44,ROUND(FLOOR(($M361-IFERROR(INDEX(設定!$G$6:$G$21,MATCH($G361,設定!$B$6:$B$21,0)),0))*60,設定!$C$45)/60,2),0))</f>
        <v/>
      </c>
      <c r="R361" s="16">
        <f>IF(OR($C361="",$Q361=0),"",IF($G361="國","國定假日",IF($B361="日","例假",IF($B361="六","休息日","平日"))))</f>
        <v/>
      </c>
      <c r="S361" s="19" t="n"/>
    </row>
    <row r="362">
      <c r="A362" s="82">
        <f>IF(OR(助理班表!$A16="",19&gt;DAY(EOMONTH(DATE(設定!$C$2,設定!$D$2,1),0))),"",DATE(設定!$C$2,設定!$D$2,19))</f>
        <v/>
      </c>
      <c r="B362" s="16">
        <f>IF($A362="","",INDEX(設定!$O$6:$O$12,WEEKDAY($A362,1)))</f>
        <v/>
      </c>
      <c r="C362" s="16">
        <f>IF($A362="","",助理班表!$A16)</f>
        <v/>
      </c>
      <c r="D362" s="16">
        <f>IF($C362="","",助理班表!$B16)</f>
        <v/>
      </c>
      <c r="E362" s="16">
        <f>IF($C362="","",助理班表!$D16)</f>
        <v/>
      </c>
      <c r="F362" s="16">
        <f>IF($C362="","",助理班表!$C16)</f>
        <v/>
      </c>
      <c r="G362" s="16">
        <f>IF($C362="","",助理班表!W16)</f>
        <v/>
      </c>
      <c r="H362" s="83">
        <f>IF($G362="","",IFERROR(IF(INDEX(設定!$D$6:$D$21,MATCH($G362,設定!$B$6:$B$21,0))=0,"",INDEX(設定!$D$6:$D$21,MATCH($G362,設定!$B$6:$B$21,0))),""))</f>
        <v/>
      </c>
      <c r="I362" s="83">
        <f>IF($G362="","",IFERROR(IF(INDEX(設定!$E$6:$E$21,MATCH($G362,設定!$B$6:$B$21,0))=0,"",INDEX(設定!$E$6:$E$21,MATCH($G362,設定!$B$6:$B$21,0))),""))</f>
        <v/>
      </c>
      <c r="J362" s="83">
        <f>IFERROR(INDEX(打卡匯入!$C$3:$C$2002,MATCH($C362&amp;"|"&amp;DAY($A362),打卡匯入!$E$3:$E$2002,0)),"")</f>
        <v/>
      </c>
      <c r="K362" s="83">
        <f>IFERROR(INDEX(打卡匯入!$D$3:$D$2002,MATCH($C362&amp;"|"&amp;DAY($A362),打卡匯入!$E$3:$E$2002,0)),"")</f>
        <v/>
      </c>
      <c r="L362" s="84">
        <f>IF(OR($J362="",$K362=""),"",IFERROR(INDEX(設定!$F$6:$F$21,MATCH($G362,設定!$B$6:$B$21,0)),0))</f>
        <v/>
      </c>
      <c r="M362" s="85">
        <f>IF(OR($J362="",$K362=""),"",ROUND(($K362-$J362)*24-$L362/60,2))</f>
        <v/>
      </c>
      <c r="N362" s="16">
        <f>IF($C362="","",IF(AND(COUNTIF(設定!$B$15:$B$21,$G362)&gt;0,$J362&lt;&gt;""),"假日出勤",IF(AND(COUNTIF(設定!$B$6:$B$14,$G362)&gt;0,$J362=""),"未打卡",IF($J362="","",IF($O362&gt;0,"遲到",IF($P362&gt;0,"早退","正常"))))))</f>
        <v/>
      </c>
      <c r="O362" s="84">
        <f>IF(OR($C362="",$H362="",$J362=""),0,IF(ROUND(($J362-$H362)*1440,0)&gt;設定!$C$46,ROUND(($J362-$H362)*1440,0),0))</f>
        <v/>
      </c>
      <c r="P362" s="84">
        <f>IF(OR($C362="",$I362="",$K362=""),0,IF(ROUND(($I362-$K362)*1440,0)&gt;設定!$C$46,ROUND(($I362-$K362)*1440,0),0))</f>
        <v/>
      </c>
      <c r="Q362" s="85">
        <f>IF($M362="",0,IF(($M362-IFERROR(INDEX(設定!$G$6:$G$21,MATCH($G362,設定!$B$6:$B$21,0)),0))*60&gt;=設定!$C$44,ROUND(FLOOR(($M362-IFERROR(INDEX(設定!$G$6:$G$21,MATCH($G362,設定!$B$6:$B$21,0)),0))*60,設定!$C$45)/60,2),0))</f>
        <v/>
      </c>
      <c r="R362" s="16">
        <f>IF(OR($C362="",$Q362=0),"",IF($G362="國","國定假日",IF($B362="日","例假",IF($B362="六","休息日","平日"))))</f>
        <v/>
      </c>
      <c r="S362" s="19" t="n"/>
    </row>
    <row r="363">
      <c r="A363" s="82">
        <f>IF(OR(助理班表!$A16="",20&gt;DAY(EOMONTH(DATE(設定!$C$2,設定!$D$2,1),0))),"",DATE(設定!$C$2,設定!$D$2,20))</f>
        <v/>
      </c>
      <c r="B363" s="16">
        <f>IF($A363="","",INDEX(設定!$O$6:$O$12,WEEKDAY($A363,1)))</f>
        <v/>
      </c>
      <c r="C363" s="16">
        <f>IF($A363="","",助理班表!$A16)</f>
        <v/>
      </c>
      <c r="D363" s="16">
        <f>IF($C363="","",助理班表!$B16)</f>
        <v/>
      </c>
      <c r="E363" s="16">
        <f>IF($C363="","",助理班表!$D16)</f>
        <v/>
      </c>
      <c r="F363" s="16">
        <f>IF($C363="","",助理班表!$C16)</f>
        <v/>
      </c>
      <c r="G363" s="16">
        <f>IF($C363="","",助理班表!X16)</f>
        <v/>
      </c>
      <c r="H363" s="83">
        <f>IF($G363="","",IFERROR(IF(INDEX(設定!$D$6:$D$21,MATCH($G363,設定!$B$6:$B$21,0))=0,"",INDEX(設定!$D$6:$D$21,MATCH($G363,設定!$B$6:$B$21,0))),""))</f>
        <v/>
      </c>
      <c r="I363" s="83">
        <f>IF($G363="","",IFERROR(IF(INDEX(設定!$E$6:$E$21,MATCH($G363,設定!$B$6:$B$21,0))=0,"",INDEX(設定!$E$6:$E$21,MATCH($G363,設定!$B$6:$B$21,0))),""))</f>
        <v/>
      </c>
      <c r="J363" s="83">
        <f>IFERROR(INDEX(打卡匯入!$C$3:$C$2002,MATCH($C363&amp;"|"&amp;DAY($A363),打卡匯入!$E$3:$E$2002,0)),"")</f>
        <v/>
      </c>
      <c r="K363" s="83">
        <f>IFERROR(INDEX(打卡匯入!$D$3:$D$2002,MATCH($C363&amp;"|"&amp;DAY($A363),打卡匯入!$E$3:$E$2002,0)),"")</f>
        <v/>
      </c>
      <c r="L363" s="84">
        <f>IF(OR($J363="",$K363=""),"",IFERROR(INDEX(設定!$F$6:$F$21,MATCH($G363,設定!$B$6:$B$21,0)),0))</f>
        <v/>
      </c>
      <c r="M363" s="85">
        <f>IF(OR($J363="",$K363=""),"",ROUND(($K363-$J363)*24-$L363/60,2))</f>
        <v/>
      </c>
      <c r="N363" s="16">
        <f>IF($C363="","",IF(AND(COUNTIF(設定!$B$15:$B$21,$G363)&gt;0,$J363&lt;&gt;""),"假日出勤",IF(AND(COUNTIF(設定!$B$6:$B$14,$G363)&gt;0,$J363=""),"未打卡",IF($J363="","",IF($O363&gt;0,"遲到",IF($P363&gt;0,"早退","正常"))))))</f>
        <v/>
      </c>
      <c r="O363" s="84">
        <f>IF(OR($C363="",$H363="",$J363=""),0,IF(ROUND(($J363-$H363)*1440,0)&gt;設定!$C$46,ROUND(($J363-$H363)*1440,0),0))</f>
        <v/>
      </c>
      <c r="P363" s="84">
        <f>IF(OR($C363="",$I363="",$K363=""),0,IF(ROUND(($I363-$K363)*1440,0)&gt;設定!$C$46,ROUND(($I363-$K363)*1440,0),0))</f>
        <v/>
      </c>
      <c r="Q363" s="85">
        <f>IF($M363="",0,IF(($M363-IFERROR(INDEX(設定!$G$6:$G$21,MATCH($G363,設定!$B$6:$B$21,0)),0))*60&gt;=設定!$C$44,ROUND(FLOOR(($M363-IFERROR(INDEX(設定!$G$6:$G$21,MATCH($G363,設定!$B$6:$B$21,0)),0))*60,設定!$C$45)/60,2),0))</f>
        <v/>
      </c>
      <c r="R363" s="16">
        <f>IF(OR($C363="",$Q363=0),"",IF($G363="國","國定假日",IF($B363="日","例假",IF($B363="六","休息日","平日"))))</f>
        <v/>
      </c>
      <c r="S363" s="19" t="n"/>
    </row>
    <row r="364">
      <c r="A364" s="82">
        <f>IF(OR(助理班表!$A16="",21&gt;DAY(EOMONTH(DATE(設定!$C$2,設定!$D$2,1),0))),"",DATE(設定!$C$2,設定!$D$2,21))</f>
        <v/>
      </c>
      <c r="B364" s="16">
        <f>IF($A364="","",INDEX(設定!$O$6:$O$12,WEEKDAY($A364,1)))</f>
        <v/>
      </c>
      <c r="C364" s="16">
        <f>IF($A364="","",助理班表!$A16)</f>
        <v/>
      </c>
      <c r="D364" s="16">
        <f>IF($C364="","",助理班表!$B16)</f>
        <v/>
      </c>
      <c r="E364" s="16">
        <f>IF($C364="","",助理班表!$D16)</f>
        <v/>
      </c>
      <c r="F364" s="16">
        <f>IF($C364="","",助理班表!$C16)</f>
        <v/>
      </c>
      <c r="G364" s="16">
        <f>IF($C364="","",助理班表!Y16)</f>
        <v/>
      </c>
      <c r="H364" s="83">
        <f>IF($G364="","",IFERROR(IF(INDEX(設定!$D$6:$D$21,MATCH($G364,設定!$B$6:$B$21,0))=0,"",INDEX(設定!$D$6:$D$21,MATCH($G364,設定!$B$6:$B$21,0))),""))</f>
        <v/>
      </c>
      <c r="I364" s="83">
        <f>IF($G364="","",IFERROR(IF(INDEX(設定!$E$6:$E$21,MATCH($G364,設定!$B$6:$B$21,0))=0,"",INDEX(設定!$E$6:$E$21,MATCH($G364,設定!$B$6:$B$21,0))),""))</f>
        <v/>
      </c>
      <c r="J364" s="83">
        <f>IFERROR(INDEX(打卡匯入!$C$3:$C$2002,MATCH($C364&amp;"|"&amp;DAY($A364),打卡匯入!$E$3:$E$2002,0)),"")</f>
        <v/>
      </c>
      <c r="K364" s="83">
        <f>IFERROR(INDEX(打卡匯入!$D$3:$D$2002,MATCH($C364&amp;"|"&amp;DAY($A364),打卡匯入!$E$3:$E$2002,0)),"")</f>
        <v/>
      </c>
      <c r="L364" s="84">
        <f>IF(OR($J364="",$K364=""),"",IFERROR(INDEX(設定!$F$6:$F$21,MATCH($G364,設定!$B$6:$B$21,0)),0))</f>
        <v/>
      </c>
      <c r="M364" s="85">
        <f>IF(OR($J364="",$K364=""),"",ROUND(($K364-$J364)*24-$L364/60,2))</f>
        <v/>
      </c>
      <c r="N364" s="16">
        <f>IF($C364="","",IF(AND(COUNTIF(設定!$B$15:$B$21,$G364)&gt;0,$J364&lt;&gt;""),"假日出勤",IF(AND(COUNTIF(設定!$B$6:$B$14,$G364)&gt;0,$J364=""),"未打卡",IF($J364="","",IF($O364&gt;0,"遲到",IF($P364&gt;0,"早退","正常"))))))</f>
        <v/>
      </c>
      <c r="O364" s="84">
        <f>IF(OR($C364="",$H364="",$J364=""),0,IF(ROUND(($J364-$H364)*1440,0)&gt;設定!$C$46,ROUND(($J364-$H364)*1440,0),0))</f>
        <v/>
      </c>
      <c r="P364" s="84">
        <f>IF(OR($C364="",$I364="",$K364=""),0,IF(ROUND(($I364-$K364)*1440,0)&gt;設定!$C$46,ROUND(($I364-$K364)*1440,0),0))</f>
        <v/>
      </c>
      <c r="Q364" s="85">
        <f>IF($M364="",0,IF(($M364-IFERROR(INDEX(設定!$G$6:$G$21,MATCH($G364,設定!$B$6:$B$21,0)),0))*60&gt;=設定!$C$44,ROUND(FLOOR(($M364-IFERROR(INDEX(設定!$G$6:$G$21,MATCH($G364,設定!$B$6:$B$21,0)),0))*60,設定!$C$45)/60,2),0))</f>
        <v/>
      </c>
      <c r="R364" s="16">
        <f>IF(OR($C364="",$Q364=0),"",IF($G364="國","國定假日",IF($B364="日","例假",IF($B364="六","休息日","平日"))))</f>
        <v/>
      </c>
      <c r="S364" s="19" t="n"/>
    </row>
    <row r="365">
      <c r="A365" s="82">
        <f>IF(OR(助理班表!$A16="",22&gt;DAY(EOMONTH(DATE(設定!$C$2,設定!$D$2,1),0))),"",DATE(設定!$C$2,設定!$D$2,22))</f>
        <v/>
      </c>
      <c r="B365" s="16">
        <f>IF($A365="","",INDEX(設定!$O$6:$O$12,WEEKDAY($A365,1)))</f>
        <v/>
      </c>
      <c r="C365" s="16">
        <f>IF($A365="","",助理班表!$A16)</f>
        <v/>
      </c>
      <c r="D365" s="16">
        <f>IF($C365="","",助理班表!$B16)</f>
        <v/>
      </c>
      <c r="E365" s="16">
        <f>IF($C365="","",助理班表!$D16)</f>
        <v/>
      </c>
      <c r="F365" s="16">
        <f>IF($C365="","",助理班表!$C16)</f>
        <v/>
      </c>
      <c r="G365" s="16">
        <f>IF($C365="","",助理班表!Z16)</f>
        <v/>
      </c>
      <c r="H365" s="83">
        <f>IF($G365="","",IFERROR(IF(INDEX(設定!$D$6:$D$21,MATCH($G365,設定!$B$6:$B$21,0))=0,"",INDEX(設定!$D$6:$D$21,MATCH($G365,設定!$B$6:$B$21,0))),""))</f>
        <v/>
      </c>
      <c r="I365" s="83">
        <f>IF($G365="","",IFERROR(IF(INDEX(設定!$E$6:$E$21,MATCH($G365,設定!$B$6:$B$21,0))=0,"",INDEX(設定!$E$6:$E$21,MATCH($G365,設定!$B$6:$B$21,0))),""))</f>
        <v/>
      </c>
      <c r="J365" s="83">
        <f>IFERROR(INDEX(打卡匯入!$C$3:$C$2002,MATCH($C365&amp;"|"&amp;DAY($A365),打卡匯入!$E$3:$E$2002,0)),"")</f>
        <v/>
      </c>
      <c r="K365" s="83">
        <f>IFERROR(INDEX(打卡匯入!$D$3:$D$2002,MATCH($C365&amp;"|"&amp;DAY($A365),打卡匯入!$E$3:$E$2002,0)),"")</f>
        <v/>
      </c>
      <c r="L365" s="84">
        <f>IF(OR($J365="",$K365=""),"",IFERROR(INDEX(設定!$F$6:$F$21,MATCH($G365,設定!$B$6:$B$21,0)),0))</f>
        <v/>
      </c>
      <c r="M365" s="85">
        <f>IF(OR($J365="",$K365=""),"",ROUND(($K365-$J365)*24-$L365/60,2))</f>
        <v/>
      </c>
      <c r="N365" s="16">
        <f>IF($C365="","",IF(AND(COUNTIF(設定!$B$15:$B$21,$G365)&gt;0,$J365&lt;&gt;""),"假日出勤",IF(AND(COUNTIF(設定!$B$6:$B$14,$G365)&gt;0,$J365=""),"未打卡",IF($J365="","",IF($O365&gt;0,"遲到",IF($P365&gt;0,"早退","正常"))))))</f>
        <v/>
      </c>
      <c r="O365" s="84">
        <f>IF(OR($C365="",$H365="",$J365=""),0,IF(ROUND(($J365-$H365)*1440,0)&gt;設定!$C$46,ROUND(($J365-$H365)*1440,0),0))</f>
        <v/>
      </c>
      <c r="P365" s="84">
        <f>IF(OR($C365="",$I365="",$K365=""),0,IF(ROUND(($I365-$K365)*1440,0)&gt;設定!$C$46,ROUND(($I365-$K365)*1440,0),0))</f>
        <v/>
      </c>
      <c r="Q365" s="85">
        <f>IF($M365="",0,IF(($M365-IFERROR(INDEX(設定!$G$6:$G$21,MATCH($G365,設定!$B$6:$B$21,0)),0))*60&gt;=設定!$C$44,ROUND(FLOOR(($M365-IFERROR(INDEX(設定!$G$6:$G$21,MATCH($G365,設定!$B$6:$B$21,0)),0))*60,設定!$C$45)/60,2),0))</f>
        <v/>
      </c>
      <c r="R365" s="16">
        <f>IF(OR($C365="",$Q365=0),"",IF($G365="國","國定假日",IF($B365="日","例假",IF($B365="六","休息日","平日"))))</f>
        <v/>
      </c>
      <c r="S365" s="19" t="n"/>
    </row>
    <row r="366">
      <c r="A366" s="82">
        <f>IF(OR(助理班表!$A16="",23&gt;DAY(EOMONTH(DATE(設定!$C$2,設定!$D$2,1),0))),"",DATE(設定!$C$2,設定!$D$2,23))</f>
        <v/>
      </c>
      <c r="B366" s="16">
        <f>IF($A366="","",INDEX(設定!$O$6:$O$12,WEEKDAY($A366,1)))</f>
        <v/>
      </c>
      <c r="C366" s="16">
        <f>IF($A366="","",助理班表!$A16)</f>
        <v/>
      </c>
      <c r="D366" s="16">
        <f>IF($C366="","",助理班表!$B16)</f>
        <v/>
      </c>
      <c r="E366" s="16">
        <f>IF($C366="","",助理班表!$D16)</f>
        <v/>
      </c>
      <c r="F366" s="16">
        <f>IF($C366="","",助理班表!$C16)</f>
        <v/>
      </c>
      <c r="G366" s="16">
        <f>IF($C366="","",助理班表!AA16)</f>
        <v/>
      </c>
      <c r="H366" s="83">
        <f>IF($G366="","",IFERROR(IF(INDEX(設定!$D$6:$D$21,MATCH($G366,設定!$B$6:$B$21,0))=0,"",INDEX(設定!$D$6:$D$21,MATCH($G366,設定!$B$6:$B$21,0))),""))</f>
        <v/>
      </c>
      <c r="I366" s="83">
        <f>IF($G366="","",IFERROR(IF(INDEX(設定!$E$6:$E$21,MATCH($G366,設定!$B$6:$B$21,0))=0,"",INDEX(設定!$E$6:$E$21,MATCH($G366,設定!$B$6:$B$21,0))),""))</f>
        <v/>
      </c>
      <c r="J366" s="83">
        <f>IFERROR(INDEX(打卡匯入!$C$3:$C$2002,MATCH($C366&amp;"|"&amp;DAY($A366),打卡匯入!$E$3:$E$2002,0)),"")</f>
        <v/>
      </c>
      <c r="K366" s="83">
        <f>IFERROR(INDEX(打卡匯入!$D$3:$D$2002,MATCH($C366&amp;"|"&amp;DAY($A366),打卡匯入!$E$3:$E$2002,0)),"")</f>
        <v/>
      </c>
      <c r="L366" s="84">
        <f>IF(OR($J366="",$K366=""),"",IFERROR(INDEX(設定!$F$6:$F$21,MATCH($G366,設定!$B$6:$B$21,0)),0))</f>
        <v/>
      </c>
      <c r="M366" s="85">
        <f>IF(OR($J366="",$K366=""),"",ROUND(($K366-$J366)*24-$L366/60,2))</f>
        <v/>
      </c>
      <c r="N366" s="16">
        <f>IF($C366="","",IF(AND(COUNTIF(設定!$B$15:$B$21,$G366)&gt;0,$J366&lt;&gt;""),"假日出勤",IF(AND(COUNTIF(設定!$B$6:$B$14,$G366)&gt;0,$J366=""),"未打卡",IF($J366="","",IF($O366&gt;0,"遲到",IF($P366&gt;0,"早退","正常"))))))</f>
        <v/>
      </c>
      <c r="O366" s="84">
        <f>IF(OR($C366="",$H366="",$J366=""),0,IF(ROUND(($J366-$H366)*1440,0)&gt;設定!$C$46,ROUND(($J366-$H366)*1440,0),0))</f>
        <v/>
      </c>
      <c r="P366" s="84">
        <f>IF(OR($C366="",$I366="",$K366=""),0,IF(ROUND(($I366-$K366)*1440,0)&gt;設定!$C$46,ROUND(($I366-$K366)*1440,0),0))</f>
        <v/>
      </c>
      <c r="Q366" s="85">
        <f>IF($M366="",0,IF(($M366-IFERROR(INDEX(設定!$G$6:$G$21,MATCH($G366,設定!$B$6:$B$21,0)),0))*60&gt;=設定!$C$44,ROUND(FLOOR(($M366-IFERROR(INDEX(設定!$G$6:$G$21,MATCH($G366,設定!$B$6:$B$21,0)),0))*60,設定!$C$45)/60,2),0))</f>
        <v/>
      </c>
      <c r="R366" s="16">
        <f>IF(OR($C366="",$Q366=0),"",IF($G366="國","國定假日",IF($B366="日","例假",IF($B366="六","休息日","平日"))))</f>
        <v/>
      </c>
      <c r="S366" s="19" t="n"/>
    </row>
    <row r="367">
      <c r="A367" s="82">
        <f>IF(OR(助理班表!$A16="",24&gt;DAY(EOMONTH(DATE(設定!$C$2,設定!$D$2,1),0))),"",DATE(設定!$C$2,設定!$D$2,24))</f>
        <v/>
      </c>
      <c r="B367" s="16">
        <f>IF($A367="","",INDEX(設定!$O$6:$O$12,WEEKDAY($A367,1)))</f>
        <v/>
      </c>
      <c r="C367" s="16">
        <f>IF($A367="","",助理班表!$A16)</f>
        <v/>
      </c>
      <c r="D367" s="16">
        <f>IF($C367="","",助理班表!$B16)</f>
        <v/>
      </c>
      <c r="E367" s="16">
        <f>IF($C367="","",助理班表!$D16)</f>
        <v/>
      </c>
      <c r="F367" s="16">
        <f>IF($C367="","",助理班表!$C16)</f>
        <v/>
      </c>
      <c r="G367" s="16">
        <f>IF($C367="","",助理班表!AB16)</f>
        <v/>
      </c>
      <c r="H367" s="83">
        <f>IF($G367="","",IFERROR(IF(INDEX(設定!$D$6:$D$21,MATCH($G367,設定!$B$6:$B$21,0))=0,"",INDEX(設定!$D$6:$D$21,MATCH($G367,設定!$B$6:$B$21,0))),""))</f>
        <v/>
      </c>
      <c r="I367" s="83">
        <f>IF($G367="","",IFERROR(IF(INDEX(設定!$E$6:$E$21,MATCH($G367,設定!$B$6:$B$21,0))=0,"",INDEX(設定!$E$6:$E$21,MATCH($G367,設定!$B$6:$B$21,0))),""))</f>
        <v/>
      </c>
      <c r="J367" s="83">
        <f>IFERROR(INDEX(打卡匯入!$C$3:$C$2002,MATCH($C367&amp;"|"&amp;DAY($A367),打卡匯入!$E$3:$E$2002,0)),"")</f>
        <v/>
      </c>
      <c r="K367" s="83">
        <f>IFERROR(INDEX(打卡匯入!$D$3:$D$2002,MATCH($C367&amp;"|"&amp;DAY($A367),打卡匯入!$E$3:$E$2002,0)),"")</f>
        <v/>
      </c>
      <c r="L367" s="84">
        <f>IF(OR($J367="",$K367=""),"",IFERROR(INDEX(設定!$F$6:$F$21,MATCH($G367,設定!$B$6:$B$21,0)),0))</f>
        <v/>
      </c>
      <c r="M367" s="85">
        <f>IF(OR($J367="",$K367=""),"",ROUND(($K367-$J367)*24-$L367/60,2))</f>
        <v/>
      </c>
      <c r="N367" s="16">
        <f>IF($C367="","",IF(AND(COUNTIF(設定!$B$15:$B$21,$G367)&gt;0,$J367&lt;&gt;""),"假日出勤",IF(AND(COUNTIF(設定!$B$6:$B$14,$G367)&gt;0,$J367=""),"未打卡",IF($J367="","",IF($O367&gt;0,"遲到",IF($P367&gt;0,"早退","正常"))))))</f>
        <v/>
      </c>
      <c r="O367" s="84">
        <f>IF(OR($C367="",$H367="",$J367=""),0,IF(ROUND(($J367-$H367)*1440,0)&gt;設定!$C$46,ROUND(($J367-$H367)*1440,0),0))</f>
        <v/>
      </c>
      <c r="P367" s="84">
        <f>IF(OR($C367="",$I367="",$K367=""),0,IF(ROUND(($I367-$K367)*1440,0)&gt;設定!$C$46,ROUND(($I367-$K367)*1440,0),0))</f>
        <v/>
      </c>
      <c r="Q367" s="85">
        <f>IF($M367="",0,IF(($M367-IFERROR(INDEX(設定!$G$6:$G$21,MATCH($G367,設定!$B$6:$B$21,0)),0))*60&gt;=設定!$C$44,ROUND(FLOOR(($M367-IFERROR(INDEX(設定!$G$6:$G$21,MATCH($G367,設定!$B$6:$B$21,0)),0))*60,設定!$C$45)/60,2),0))</f>
        <v/>
      </c>
      <c r="R367" s="16">
        <f>IF(OR($C367="",$Q367=0),"",IF($G367="國","國定假日",IF($B367="日","例假",IF($B367="六","休息日","平日"))))</f>
        <v/>
      </c>
      <c r="S367" s="19" t="n"/>
    </row>
    <row r="368">
      <c r="A368" s="82">
        <f>IF(OR(助理班表!$A16="",25&gt;DAY(EOMONTH(DATE(設定!$C$2,設定!$D$2,1),0))),"",DATE(設定!$C$2,設定!$D$2,25))</f>
        <v/>
      </c>
      <c r="B368" s="16">
        <f>IF($A368="","",INDEX(設定!$O$6:$O$12,WEEKDAY($A368,1)))</f>
        <v/>
      </c>
      <c r="C368" s="16">
        <f>IF($A368="","",助理班表!$A16)</f>
        <v/>
      </c>
      <c r="D368" s="16">
        <f>IF($C368="","",助理班表!$B16)</f>
        <v/>
      </c>
      <c r="E368" s="16">
        <f>IF($C368="","",助理班表!$D16)</f>
        <v/>
      </c>
      <c r="F368" s="16">
        <f>IF($C368="","",助理班表!$C16)</f>
        <v/>
      </c>
      <c r="G368" s="16">
        <f>IF($C368="","",助理班表!AC16)</f>
        <v/>
      </c>
      <c r="H368" s="83">
        <f>IF($G368="","",IFERROR(IF(INDEX(設定!$D$6:$D$21,MATCH($G368,設定!$B$6:$B$21,0))=0,"",INDEX(設定!$D$6:$D$21,MATCH($G368,設定!$B$6:$B$21,0))),""))</f>
        <v/>
      </c>
      <c r="I368" s="83">
        <f>IF($G368="","",IFERROR(IF(INDEX(設定!$E$6:$E$21,MATCH($G368,設定!$B$6:$B$21,0))=0,"",INDEX(設定!$E$6:$E$21,MATCH($G368,設定!$B$6:$B$21,0))),""))</f>
        <v/>
      </c>
      <c r="J368" s="83">
        <f>IFERROR(INDEX(打卡匯入!$C$3:$C$2002,MATCH($C368&amp;"|"&amp;DAY($A368),打卡匯入!$E$3:$E$2002,0)),"")</f>
        <v/>
      </c>
      <c r="K368" s="83">
        <f>IFERROR(INDEX(打卡匯入!$D$3:$D$2002,MATCH($C368&amp;"|"&amp;DAY($A368),打卡匯入!$E$3:$E$2002,0)),"")</f>
        <v/>
      </c>
      <c r="L368" s="84">
        <f>IF(OR($J368="",$K368=""),"",IFERROR(INDEX(設定!$F$6:$F$21,MATCH($G368,設定!$B$6:$B$21,0)),0))</f>
        <v/>
      </c>
      <c r="M368" s="85">
        <f>IF(OR($J368="",$K368=""),"",ROUND(($K368-$J368)*24-$L368/60,2))</f>
        <v/>
      </c>
      <c r="N368" s="16">
        <f>IF($C368="","",IF(AND(COUNTIF(設定!$B$15:$B$21,$G368)&gt;0,$J368&lt;&gt;""),"假日出勤",IF(AND(COUNTIF(設定!$B$6:$B$14,$G368)&gt;0,$J368=""),"未打卡",IF($J368="","",IF($O368&gt;0,"遲到",IF($P368&gt;0,"早退","正常"))))))</f>
        <v/>
      </c>
      <c r="O368" s="84">
        <f>IF(OR($C368="",$H368="",$J368=""),0,IF(ROUND(($J368-$H368)*1440,0)&gt;設定!$C$46,ROUND(($J368-$H368)*1440,0),0))</f>
        <v/>
      </c>
      <c r="P368" s="84">
        <f>IF(OR($C368="",$I368="",$K368=""),0,IF(ROUND(($I368-$K368)*1440,0)&gt;設定!$C$46,ROUND(($I368-$K368)*1440,0),0))</f>
        <v/>
      </c>
      <c r="Q368" s="85">
        <f>IF($M368="",0,IF(($M368-IFERROR(INDEX(設定!$G$6:$G$21,MATCH($G368,設定!$B$6:$B$21,0)),0))*60&gt;=設定!$C$44,ROUND(FLOOR(($M368-IFERROR(INDEX(設定!$G$6:$G$21,MATCH($G368,設定!$B$6:$B$21,0)),0))*60,設定!$C$45)/60,2),0))</f>
        <v/>
      </c>
      <c r="R368" s="16">
        <f>IF(OR($C368="",$Q368=0),"",IF($G368="國","國定假日",IF($B368="日","例假",IF($B368="六","休息日","平日"))))</f>
        <v/>
      </c>
      <c r="S368" s="19" t="n"/>
    </row>
    <row r="369">
      <c r="A369" s="82">
        <f>IF(OR(助理班表!$A16="",26&gt;DAY(EOMONTH(DATE(設定!$C$2,設定!$D$2,1),0))),"",DATE(設定!$C$2,設定!$D$2,26))</f>
        <v/>
      </c>
      <c r="B369" s="16">
        <f>IF($A369="","",INDEX(設定!$O$6:$O$12,WEEKDAY($A369,1)))</f>
        <v/>
      </c>
      <c r="C369" s="16">
        <f>IF($A369="","",助理班表!$A16)</f>
        <v/>
      </c>
      <c r="D369" s="16">
        <f>IF($C369="","",助理班表!$B16)</f>
        <v/>
      </c>
      <c r="E369" s="16">
        <f>IF($C369="","",助理班表!$D16)</f>
        <v/>
      </c>
      <c r="F369" s="16">
        <f>IF($C369="","",助理班表!$C16)</f>
        <v/>
      </c>
      <c r="G369" s="16">
        <f>IF($C369="","",助理班表!AD16)</f>
        <v/>
      </c>
      <c r="H369" s="83">
        <f>IF($G369="","",IFERROR(IF(INDEX(設定!$D$6:$D$21,MATCH($G369,設定!$B$6:$B$21,0))=0,"",INDEX(設定!$D$6:$D$21,MATCH($G369,設定!$B$6:$B$21,0))),""))</f>
        <v/>
      </c>
      <c r="I369" s="83">
        <f>IF($G369="","",IFERROR(IF(INDEX(設定!$E$6:$E$21,MATCH($G369,設定!$B$6:$B$21,0))=0,"",INDEX(設定!$E$6:$E$21,MATCH($G369,設定!$B$6:$B$21,0))),""))</f>
        <v/>
      </c>
      <c r="J369" s="83">
        <f>IFERROR(INDEX(打卡匯入!$C$3:$C$2002,MATCH($C369&amp;"|"&amp;DAY($A369),打卡匯入!$E$3:$E$2002,0)),"")</f>
        <v/>
      </c>
      <c r="K369" s="83">
        <f>IFERROR(INDEX(打卡匯入!$D$3:$D$2002,MATCH($C369&amp;"|"&amp;DAY($A369),打卡匯入!$E$3:$E$2002,0)),"")</f>
        <v/>
      </c>
      <c r="L369" s="84">
        <f>IF(OR($J369="",$K369=""),"",IFERROR(INDEX(設定!$F$6:$F$21,MATCH($G369,設定!$B$6:$B$21,0)),0))</f>
        <v/>
      </c>
      <c r="M369" s="85">
        <f>IF(OR($J369="",$K369=""),"",ROUND(($K369-$J369)*24-$L369/60,2))</f>
        <v/>
      </c>
      <c r="N369" s="16">
        <f>IF($C369="","",IF(AND(COUNTIF(設定!$B$15:$B$21,$G369)&gt;0,$J369&lt;&gt;""),"假日出勤",IF(AND(COUNTIF(設定!$B$6:$B$14,$G369)&gt;0,$J369=""),"未打卡",IF($J369="","",IF($O369&gt;0,"遲到",IF($P369&gt;0,"早退","正常"))))))</f>
        <v/>
      </c>
      <c r="O369" s="84">
        <f>IF(OR($C369="",$H369="",$J369=""),0,IF(ROUND(($J369-$H369)*1440,0)&gt;設定!$C$46,ROUND(($J369-$H369)*1440,0),0))</f>
        <v/>
      </c>
      <c r="P369" s="84">
        <f>IF(OR($C369="",$I369="",$K369=""),0,IF(ROUND(($I369-$K369)*1440,0)&gt;設定!$C$46,ROUND(($I369-$K369)*1440,0),0))</f>
        <v/>
      </c>
      <c r="Q369" s="85">
        <f>IF($M369="",0,IF(($M369-IFERROR(INDEX(設定!$G$6:$G$21,MATCH($G369,設定!$B$6:$B$21,0)),0))*60&gt;=設定!$C$44,ROUND(FLOOR(($M369-IFERROR(INDEX(設定!$G$6:$G$21,MATCH($G369,設定!$B$6:$B$21,0)),0))*60,設定!$C$45)/60,2),0))</f>
        <v/>
      </c>
      <c r="R369" s="16">
        <f>IF(OR($C369="",$Q369=0),"",IF($G369="國","國定假日",IF($B369="日","例假",IF($B369="六","休息日","平日"))))</f>
        <v/>
      </c>
      <c r="S369" s="19" t="n"/>
    </row>
    <row r="370">
      <c r="A370" s="82">
        <f>IF(OR(助理班表!$A16="",27&gt;DAY(EOMONTH(DATE(設定!$C$2,設定!$D$2,1),0))),"",DATE(設定!$C$2,設定!$D$2,27))</f>
        <v/>
      </c>
      <c r="B370" s="16">
        <f>IF($A370="","",INDEX(設定!$O$6:$O$12,WEEKDAY($A370,1)))</f>
        <v/>
      </c>
      <c r="C370" s="16">
        <f>IF($A370="","",助理班表!$A16)</f>
        <v/>
      </c>
      <c r="D370" s="16">
        <f>IF($C370="","",助理班表!$B16)</f>
        <v/>
      </c>
      <c r="E370" s="16">
        <f>IF($C370="","",助理班表!$D16)</f>
        <v/>
      </c>
      <c r="F370" s="16">
        <f>IF($C370="","",助理班表!$C16)</f>
        <v/>
      </c>
      <c r="G370" s="16">
        <f>IF($C370="","",助理班表!AE16)</f>
        <v/>
      </c>
      <c r="H370" s="83">
        <f>IF($G370="","",IFERROR(IF(INDEX(設定!$D$6:$D$21,MATCH($G370,設定!$B$6:$B$21,0))=0,"",INDEX(設定!$D$6:$D$21,MATCH($G370,設定!$B$6:$B$21,0))),""))</f>
        <v/>
      </c>
      <c r="I370" s="83">
        <f>IF($G370="","",IFERROR(IF(INDEX(設定!$E$6:$E$21,MATCH($G370,設定!$B$6:$B$21,0))=0,"",INDEX(設定!$E$6:$E$21,MATCH($G370,設定!$B$6:$B$21,0))),""))</f>
        <v/>
      </c>
      <c r="J370" s="83">
        <f>IFERROR(INDEX(打卡匯入!$C$3:$C$2002,MATCH($C370&amp;"|"&amp;DAY($A370),打卡匯入!$E$3:$E$2002,0)),"")</f>
        <v/>
      </c>
      <c r="K370" s="83">
        <f>IFERROR(INDEX(打卡匯入!$D$3:$D$2002,MATCH($C370&amp;"|"&amp;DAY($A370),打卡匯入!$E$3:$E$2002,0)),"")</f>
        <v/>
      </c>
      <c r="L370" s="84">
        <f>IF(OR($J370="",$K370=""),"",IFERROR(INDEX(設定!$F$6:$F$21,MATCH($G370,設定!$B$6:$B$21,0)),0))</f>
        <v/>
      </c>
      <c r="M370" s="85">
        <f>IF(OR($J370="",$K370=""),"",ROUND(($K370-$J370)*24-$L370/60,2))</f>
        <v/>
      </c>
      <c r="N370" s="16">
        <f>IF($C370="","",IF(AND(COUNTIF(設定!$B$15:$B$21,$G370)&gt;0,$J370&lt;&gt;""),"假日出勤",IF(AND(COUNTIF(設定!$B$6:$B$14,$G370)&gt;0,$J370=""),"未打卡",IF($J370="","",IF($O370&gt;0,"遲到",IF($P370&gt;0,"早退","正常"))))))</f>
        <v/>
      </c>
      <c r="O370" s="84">
        <f>IF(OR($C370="",$H370="",$J370=""),0,IF(ROUND(($J370-$H370)*1440,0)&gt;設定!$C$46,ROUND(($J370-$H370)*1440,0),0))</f>
        <v/>
      </c>
      <c r="P370" s="84">
        <f>IF(OR($C370="",$I370="",$K370=""),0,IF(ROUND(($I370-$K370)*1440,0)&gt;設定!$C$46,ROUND(($I370-$K370)*1440,0),0))</f>
        <v/>
      </c>
      <c r="Q370" s="85">
        <f>IF($M370="",0,IF(($M370-IFERROR(INDEX(設定!$G$6:$G$21,MATCH($G370,設定!$B$6:$B$21,0)),0))*60&gt;=設定!$C$44,ROUND(FLOOR(($M370-IFERROR(INDEX(設定!$G$6:$G$21,MATCH($G370,設定!$B$6:$B$21,0)),0))*60,設定!$C$45)/60,2),0))</f>
        <v/>
      </c>
      <c r="R370" s="16">
        <f>IF(OR($C370="",$Q370=0),"",IF($G370="國","國定假日",IF($B370="日","例假",IF($B370="六","休息日","平日"))))</f>
        <v/>
      </c>
      <c r="S370" s="19" t="n"/>
    </row>
    <row r="371">
      <c r="A371" s="82">
        <f>IF(OR(助理班表!$A16="",28&gt;DAY(EOMONTH(DATE(設定!$C$2,設定!$D$2,1),0))),"",DATE(設定!$C$2,設定!$D$2,28))</f>
        <v/>
      </c>
      <c r="B371" s="16">
        <f>IF($A371="","",INDEX(設定!$O$6:$O$12,WEEKDAY($A371,1)))</f>
        <v/>
      </c>
      <c r="C371" s="16">
        <f>IF($A371="","",助理班表!$A16)</f>
        <v/>
      </c>
      <c r="D371" s="16">
        <f>IF($C371="","",助理班表!$B16)</f>
        <v/>
      </c>
      <c r="E371" s="16">
        <f>IF($C371="","",助理班表!$D16)</f>
        <v/>
      </c>
      <c r="F371" s="16">
        <f>IF($C371="","",助理班表!$C16)</f>
        <v/>
      </c>
      <c r="G371" s="16">
        <f>IF($C371="","",助理班表!AF16)</f>
        <v/>
      </c>
      <c r="H371" s="83">
        <f>IF($G371="","",IFERROR(IF(INDEX(設定!$D$6:$D$21,MATCH($G371,設定!$B$6:$B$21,0))=0,"",INDEX(設定!$D$6:$D$21,MATCH($G371,設定!$B$6:$B$21,0))),""))</f>
        <v/>
      </c>
      <c r="I371" s="83">
        <f>IF($G371="","",IFERROR(IF(INDEX(設定!$E$6:$E$21,MATCH($G371,設定!$B$6:$B$21,0))=0,"",INDEX(設定!$E$6:$E$21,MATCH($G371,設定!$B$6:$B$21,0))),""))</f>
        <v/>
      </c>
      <c r="J371" s="83">
        <f>IFERROR(INDEX(打卡匯入!$C$3:$C$2002,MATCH($C371&amp;"|"&amp;DAY($A371),打卡匯入!$E$3:$E$2002,0)),"")</f>
        <v/>
      </c>
      <c r="K371" s="83">
        <f>IFERROR(INDEX(打卡匯入!$D$3:$D$2002,MATCH($C371&amp;"|"&amp;DAY($A371),打卡匯入!$E$3:$E$2002,0)),"")</f>
        <v/>
      </c>
      <c r="L371" s="84">
        <f>IF(OR($J371="",$K371=""),"",IFERROR(INDEX(設定!$F$6:$F$21,MATCH($G371,設定!$B$6:$B$21,0)),0))</f>
        <v/>
      </c>
      <c r="M371" s="85">
        <f>IF(OR($J371="",$K371=""),"",ROUND(($K371-$J371)*24-$L371/60,2))</f>
        <v/>
      </c>
      <c r="N371" s="16">
        <f>IF($C371="","",IF(AND(COUNTIF(設定!$B$15:$B$21,$G371)&gt;0,$J371&lt;&gt;""),"假日出勤",IF(AND(COUNTIF(設定!$B$6:$B$14,$G371)&gt;0,$J371=""),"未打卡",IF($J371="","",IF($O371&gt;0,"遲到",IF($P371&gt;0,"早退","正常"))))))</f>
        <v/>
      </c>
      <c r="O371" s="84">
        <f>IF(OR($C371="",$H371="",$J371=""),0,IF(ROUND(($J371-$H371)*1440,0)&gt;設定!$C$46,ROUND(($J371-$H371)*1440,0),0))</f>
        <v/>
      </c>
      <c r="P371" s="84">
        <f>IF(OR($C371="",$I371="",$K371=""),0,IF(ROUND(($I371-$K371)*1440,0)&gt;設定!$C$46,ROUND(($I371-$K371)*1440,0),0))</f>
        <v/>
      </c>
      <c r="Q371" s="85">
        <f>IF($M371="",0,IF(($M371-IFERROR(INDEX(設定!$G$6:$G$21,MATCH($G371,設定!$B$6:$B$21,0)),0))*60&gt;=設定!$C$44,ROUND(FLOOR(($M371-IFERROR(INDEX(設定!$G$6:$G$21,MATCH($G371,設定!$B$6:$B$21,0)),0))*60,設定!$C$45)/60,2),0))</f>
        <v/>
      </c>
      <c r="R371" s="16">
        <f>IF(OR($C371="",$Q371=0),"",IF($G371="國","國定假日",IF($B371="日","例假",IF($B371="六","休息日","平日"))))</f>
        <v/>
      </c>
      <c r="S371" s="19" t="n"/>
    </row>
    <row r="372">
      <c r="A372" s="82">
        <f>IF(OR(助理班表!$A16="",29&gt;DAY(EOMONTH(DATE(設定!$C$2,設定!$D$2,1),0))),"",DATE(設定!$C$2,設定!$D$2,29))</f>
        <v/>
      </c>
      <c r="B372" s="16">
        <f>IF($A372="","",INDEX(設定!$O$6:$O$12,WEEKDAY($A372,1)))</f>
        <v/>
      </c>
      <c r="C372" s="16">
        <f>IF($A372="","",助理班表!$A16)</f>
        <v/>
      </c>
      <c r="D372" s="16">
        <f>IF($C372="","",助理班表!$B16)</f>
        <v/>
      </c>
      <c r="E372" s="16">
        <f>IF($C372="","",助理班表!$D16)</f>
        <v/>
      </c>
      <c r="F372" s="16">
        <f>IF($C372="","",助理班表!$C16)</f>
        <v/>
      </c>
      <c r="G372" s="16">
        <f>IF($C372="","",助理班表!AG16)</f>
        <v/>
      </c>
      <c r="H372" s="83">
        <f>IF($G372="","",IFERROR(IF(INDEX(設定!$D$6:$D$21,MATCH($G372,設定!$B$6:$B$21,0))=0,"",INDEX(設定!$D$6:$D$21,MATCH($G372,設定!$B$6:$B$21,0))),""))</f>
        <v/>
      </c>
      <c r="I372" s="83">
        <f>IF($G372="","",IFERROR(IF(INDEX(設定!$E$6:$E$21,MATCH($G372,設定!$B$6:$B$21,0))=0,"",INDEX(設定!$E$6:$E$21,MATCH($G372,設定!$B$6:$B$21,0))),""))</f>
        <v/>
      </c>
      <c r="J372" s="83">
        <f>IFERROR(INDEX(打卡匯入!$C$3:$C$2002,MATCH($C372&amp;"|"&amp;DAY($A372),打卡匯入!$E$3:$E$2002,0)),"")</f>
        <v/>
      </c>
      <c r="K372" s="83">
        <f>IFERROR(INDEX(打卡匯入!$D$3:$D$2002,MATCH($C372&amp;"|"&amp;DAY($A372),打卡匯入!$E$3:$E$2002,0)),"")</f>
        <v/>
      </c>
      <c r="L372" s="84">
        <f>IF(OR($J372="",$K372=""),"",IFERROR(INDEX(設定!$F$6:$F$21,MATCH($G372,設定!$B$6:$B$21,0)),0))</f>
        <v/>
      </c>
      <c r="M372" s="85">
        <f>IF(OR($J372="",$K372=""),"",ROUND(($K372-$J372)*24-$L372/60,2))</f>
        <v/>
      </c>
      <c r="N372" s="16">
        <f>IF($C372="","",IF(AND(COUNTIF(設定!$B$15:$B$21,$G372)&gt;0,$J372&lt;&gt;""),"假日出勤",IF(AND(COUNTIF(設定!$B$6:$B$14,$G372)&gt;0,$J372=""),"未打卡",IF($J372="","",IF($O372&gt;0,"遲到",IF($P372&gt;0,"早退","正常"))))))</f>
        <v/>
      </c>
      <c r="O372" s="84">
        <f>IF(OR($C372="",$H372="",$J372=""),0,IF(ROUND(($J372-$H372)*1440,0)&gt;設定!$C$46,ROUND(($J372-$H372)*1440,0),0))</f>
        <v/>
      </c>
      <c r="P372" s="84">
        <f>IF(OR($C372="",$I372="",$K372=""),0,IF(ROUND(($I372-$K372)*1440,0)&gt;設定!$C$46,ROUND(($I372-$K372)*1440,0),0))</f>
        <v/>
      </c>
      <c r="Q372" s="85">
        <f>IF($M372="",0,IF(($M372-IFERROR(INDEX(設定!$G$6:$G$21,MATCH($G372,設定!$B$6:$B$21,0)),0))*60&gt;=設定!$C$44,ROUND(FLOOR(($M372-IFERROR(INDEX(設定!$G$6:$G$21,MATCH($G372,設定!$B$6:$B$21,0)),0))*60,設定!$C$45)/60,2),0))</f>
        <v/>
      </c>
      <c r="R372" s="16">
        <f>IF(OR($C372="",$Q372=0),"",IF($G372="國","國定假日",IF($B372="日","例假",IF($B372="六","休息日","平日"))))</f>
        <v/>
      </c>
      <c r="S372" s="19" t="n"/>
    </row>
    <row r="373">
      <c r="A373" s="82">
        <f>IF(OR(助理班表!$A16="",30&gt;DAY(EOMONTH(DATE(設定!$C$2,設定!$D$2,1),0))),"",DATE(設定!$C$2,設定!$D$2,30))</f>
        <v/>
      </c>
      <c r="B373" s="16">
        <f>IF($A373="","",INDEX(設定!$O$6:$O$12,WEEKDAY($A373,1)))</f>
        <v/>
      </c>
      <c r="C373" s="16">
        <f>IF($A373="","",助理班表!$A16)</f>
        <v/>
      </c>
      <c r="D373" s="16">
        <f>IF($C373="","",助理班表!$B16)</f>
        <v/>
      </c>
      <c r="E373" s="16">
        <f>IF($C373="","",助理班表!$D16)</f>
        <v/>
      </c>
      <c r="F373" s="16">
        <f>IF($C373="","",助理班表!$C16)</f>
        <v/>
      </c>
      <c r="G373" s="16">
        <f>IF($C373="","",助理班表!AH16)</f>
        <v/>
      </c>
      <c r="H373" s="83">
        <f>IF($G373="","",IFERROR(IF(INDEX(設定!$D$6:$D$21,MATCH($G373,設定!$B$6:$B$21,0))=0,"",INDEX(設定!$D$6:$D$21,MATCH($G373,設定!$B$6:$B$21,0))),""))</f>
        <v/>
      </c>
      <c r="I373" s="83">
        <f>IF($G373="","",IFERROR(IF(INDEX(設定!$E$6:$E$21,MATCH($G373,設定!$B$6:$B$21,0))=0,"",INDEX(設定!$E$6:$E$21,MATCH($G373,設定!$B$6:$B$21,0))),""))</f>
        <v/>
      </c>
      <c r="J373" s="83">
        <f>IFERROR(INDEX(打卡匯入!$C$3:$C$2002,MATCH($C373&amp;"|"&amp;DAY($A373),打卡匯入!$E$3:$E$2002,0)),"")</f>
        <v/>
      </c>
      <c r="K373" s="83">
        <f>IFERROR(INDEX(打卡匯入!$D$3:$D$2002,MATCH($C373&amp;"|"&amp;DAY($A373),打卡匯入!$E$3:$E$2002,0)),"")</f>
        <v/>
      </c>
      <c r="L373" s="84">
        <f>IF(OR($J373="",$K373=""),"",IFERROR(INDEX(設定!$F$6:$F$21,MATCH($G373,設定!$B$6:$B$21,0)),0))</f>
        <v/>
      </c>
      <c r="M373" s="85">
        <f>IF(OR($J373="",$K373=""),"",ROUND(($K373-$J373)*24-$L373/60,2))</f>
        <v/>
      </c>
      <c r="N373" s="16">
        <f>IF($C373="","",IF(AND(COUNTIF(設定!$B$15:$B$21,$G373)&gt;0,$J373&lt;&gt;""),"假日出勤",IF(AND(COUNTIF(設定!$B$6:$B$14,$G373)&gt;0,$J373=""),"未打卡",IF($J373="","",IF($O373&gt;0,"遲到",IF($P373&gt;0,"早退","正常"))))))</f>
        <v/>
      </c>
      <c r="O373" s="84">
        <f>IF(OR($C373="",$H373="",$J373=""),0,IF(ROUND(($J373-$H373)*1440,0)&gt;設定!$C$46,ROUND(($J373-$H373)*1440,0),0))</f>
        <v/>
      </c>
      <c r="P373" s="84">
        <f>IF(OR($C373="",$I373="",$K373=""),0,IF(ROUND(($I373-$K373)*1440,0)&gt;設定!$C$46,ROUND(($I373-$K373)*1440,0),0))</f>
        <v/>
      </c>
      <c r="Q373" s="85">
        <f>IF($M373="",0,IF(($M373-IFERROR(INDEX(設定!$G$6:$G$21,MATCH($G373,設定!$B$6:$B$21,0)),0))*60&gt;=設定!$C$44,ROUND(FLOOR(($M373-IFERROR(INDEX(設定!$G$6:$G$21,MATCH($G373,設定!$B$6:$B$21,0)),0))*60,設定!$C$45)/60,2),0))</f>
        <v/>
      </c>
      <c r="R373" s="16">
        <f>IF(OR($C373="",$Q373=0),"",IF($G373="國","國定假日",IF($B373="日","例假",IF($B373="六","休息日","平日"))))</f>
        <v/>
      </c>
      <c r="S373" s="19" t="n"/>
    </row>
    <row r="374">
      <c r="A374" s="82">
        <f>IF(OR(助理班表!$A16="",31&gt;DAY(EOMONTH(DATE(設定!$C$2,設定!$D$2,1),0))),"",DATE(設定!$C$2,設定!$D$2,31))</f>
        <v/>
      </c>
      <c r="B374" s="16">
        <f>IF($A374="","",INDEX(設定!$O$6:$O$12,WEEKDAY($A374,1)))</f>
        <v/>
      </c>
      <c r="C374" s="16">
        <f>IF($A374="","",助理班表!$A16)</f>
        <v/>
      </c>
      <c r="D374" s="16">
        <f>IF($C374="","",助理班表!$B16)</f>
        <v/>
      </c>
      <c r="E374" s="16">
        <f>IF($C374="","",助理班表!$D16)</f>
        <v/>
      </c>
      <c r="F374" s="16">
        <f>IF($C374="","",助理班表!$C16)</f>
        <v/>
      </c>
      <c r="G374" s="16">
        <f>IF($C374="","",助理班表!AI16)</f>
        <v/>
      </c>
      <c r="H374" s="83">
        <f>IF($G374="","",IFERROR(IF(INDEX(設定!$D$6:$D$21,MATCH($G374,設定!$B$6:$B$21,0))=0,"",INDEX(設定!$D$6:$D$21,MATCH($G374,設定!$B$6:$B$21,0))),""))</f>
        <v/>
      </c>
      <c r="I374" s="83">
        <f>IF($G374="","",IFERROR(IF(INDEX(設定!$E$6:$E$21,MATCH($G374,設定!$B$6:$B$21,0))=0,"",INDEX(設定!$E$6:$E$21,MATCH($G374,設定!$B$6:$B$21,0))),""))</f>
        <v/>
      </c>
      <c r="J374" s="83">
        <f>IFERROR(INDEX(打卡匯入!$C$3:$C$2002,MATCH($C374&amp;"|"&amp;DAY($A374),打卡匯入!$E$3:$E$2002,0)),"")</f>
        <v/>
      </c>
      <c r="K374" s="83">
        <f>IFERROR(INDEX(打卡匯入!$D$3:$D$2002,MATCH($C374&amp;"|"&amp;DAY($A374),打卡匯入!$E$3:$E$2002,0)),"")</f>
        <v/>
      </c>
      <c r="L374" s="84">
        <f>IF(OR($J374="",$K374=""),"",IFERROR(INDEX(設定!$F$6:$F$21,MATCH($G374,設定!$B$6:$B$21,0)),0))</f>
        <v/>
      </c>
      <c r="M374" s="85">
        <f>IF(OR($J374="",$K374=""),"",ROUND(($K374-$J374)*24-$L374/60,2))</f>
        <v/>
      </c>
      <c r="N374" s="16">
        <f>IF($C374="","",IF(AND(COUNTIF(設定!$B$15:$B$21,$G374)&gt;0,$J374&lt;&gt;""),"假日出勤",IF(AND(COUNTIF(設定!$B$6:$B$14,$G374)&gt;0,$J374=""),"未打卡",IF($J374="","",IF($O374&gt;0,"遲到",IF($P374&gt;0,"早退","正常"))))))</f>
        <v/>
      </c>
      <c r="O374" s="84">
        <f>IF(OR($C374="",$H374="",$J374=""),0,IF(ROUND(($J374-$H374)*1440,0)&gt;設定!$C$46,ROUND(($J374-$H374)*1440,0),0))</f>
        <v/>
      </c>
      <c r="P374" s="84">
        <f>IF(OR($C374="",$I374="",$K374=""),0,IF(ROUND(($I374-$K374)*1440,0)&gt;設定!$C$46,ROUND(($I374-$K374)*1440,0),0))</f>
        <v/>
      </c>
      <c r="Q374" s="85">
        <f>IF($M374="",0,IF(($M374-IFERROR(INDEX(設定!$G$6:$G$21,MATCH($G374,設定!$B$6:$B$21,0)),0))*60&gt;=設定!$C$44,ROUND(FLOOR(($M374-IFERROR(INDEX(設定!$G$6:$G$21,MATCH($G374,設定!$B$6:$B$21,0)),0))*60,設定!$C$45)/60,2),0))</f>
        <v/>
      </c>
      <c r="R374" s="16">
        <f>IF(OR($C374="",$Q374=0),"",IF($G374="國","國定假日",IF($B374="日","例假",IF($B374="六","休息日","平日"))))</f>
        <v/>
      </c>
      <c r="S374" s="19" t="n"/>
    </row>
    <row r="375">
      <c r="A375" s="82">
        <f>IF(OR(助理班表!$A17="",1&gt;DAY(EOMONTH(DATE(設定!$C$2,設定!$D$2,1),0))),"",DATE(設定!$C$2,設定!$D$2,1))</f>
        <v/>
      </c>
      <c r="B375" s="16">
        <f>IF($A375="","",INDEX(設定!$O$6:$O$12,WEEKDAY($A375,1)))</f>
        <v/>
      </c>
      <c r="C375" s="16">
        <f>IF($A375="","",助理班表!$A17)</f>
        <v/>
      </c>
      <c r="D375" s="16">
        <f>IF($C375="","",助理班表!$B17)</f>
        <v/>
      </c>
      <c r="E375" s="16">
        <f>IF($C375="","",助理班表!$D17)</f>
        <v/>
      </c>
      <c r="F375" s="16">
        <f>IF($C375="","",助理班表!$C17)</f>
        <v/>
      </c>
      <c r="G375" s="16">
        <f>IF($C375="","",助理班表!E17)</f>
        <v/>
      </c>
      <c r="H375" s="83">
        <f>IF($G375="","",IFERROR(IF(INDEX(設定!$D$6:$D$21,MATCH($G375,設定!$B$6:$B$21,0))=0,"",INDEX(設定!$D$6:$D$21,MATCH($G375,設定!$B$6:$B$21,0))),""))</f>
        <v/>
      </c>
      <c r="I375" s="83">
        <f>IF($G375="","",IFERROR(IF(INDEX(設定!$E$6:$E$21,MATCH($G375,設定!$B$6:$B$21,0))=0,"",INDEX(設定!$E$6:$E$21,MATCH($G375,設定!$B$6:$B$21,0))),""))</f>
        <v/>
      </c>
      <c r="J375" s="83">
        <f>IFERROR(INDEX(打卡匯入!$C$3:$C$2002,MATCH($C375&amp;"|"&amp;DAY($A375),打卡匯入!$E$3:$E$2002,0)),"")</f>
        <v/>
      </c>
      <c r="K375" s="83">
        <f>IFERROR(INDEX(打卡匯入!$D$3:$D$2002,MATCH($C375&amp;"|"&amp;DAY($A375),打卡匯入!$E$3:$E$2002,0)),"")</f>
        <v/>
      </c>
      <c r="L375" s="84">
        <f>IF(OR($J375="",$K375=""),"",IFERROR(INDEX(設定!$F$6:$F$21,MATCH($G375,設定!$B$6:$B$21,0)),0))</f>
        <v/>
      </c>
      <c r="M375" s="85">
        <f>IF(OR($J375="",$K375=""),"",ROUND(($K375-$J375)*24-$L375/60,2))</f>
        <v/>
      </c>
      <c r="N375" s="16">
        <f>IF($C375="","",IF(AND(COUNTIF(設定!$B$15:$B$21,$G375)&gt;0,$J375&lt;&gt;""),"假日出勤",IF(AND(COUNTIF(設定!$B$6:$B$14,$G375)&gt;0,$J375=""),"未打卡",IF($J375="","",IF($O375&gt;0,"遲到",IF($P375&gt;0,"早退","正常"))))))</f>
        <v/>
      </c>
      <c r="O375" s="84">
        <f>IF(OR($C375="",$H375="",$J375=""),0,IF(ROUND(($J375-$H375)*1440,0)&gt;設定!$C$46,ROUND(($J375-$H375)*1440,0),0))</f>
        <v/>
      </c>
      <c r="P375" s="84">
        <f>IF(OR($C375="",$I375="",$K375=""),0,IF(ROUND(($I375-$K375)*1440,0)&gt;設定!$C$46,ROUND(($I375-$K375)*1440,0),0))</f>
        <v/>
      </c>
      <c r="Q375" s="85">
        <f>IF($M375="",0,IF(($M375-IFERROR(INDEX(設定!$G$6:$G$21,MATCH($G375,設定!$B$6:$B$21,0)),0))*60&gt;=設定!$C$44,ROUND(FLOOR(($M375-IFERROR(INDEX(設定!$G$6:$G$21,MATCH($G375,設定!$B$6:$B$21,0)),0))*60,設定!$C$45)/60,2),0))</f>
        <v/>
      </c>
      <c r="R375" s="16">
        <f>IF(OR($C375="",$Q375=0),"",IF($G375="國","國定假日",IF($B375="日","例假",IF($B375="六","休息日","平日"))))</f>
        <v/>
      </c>
      <c r="S375" s="19" t="n"/>
    </row>
    <row r="376">
      <c r="A376" s="82">
        <f>IF(OR(助理班表!$A17="",2&gt;DAY(EOMONTH(DATE(設定!$C$2,設定!$D$2,1),0))),"",DATE(設定!$C$2,設定!$D$2,2))</f>
        <v/>
      </c>
      <c r="B376" s="16">
        <f>IF($A376="","",INDEX(設定!$O$6:$O$12,WEEKDAY($A376,1)))</f>
        <v/>
      </c>
      <c r="C376" s="16">
        <f>IF($A376="","",助理班表!$A17)</f>
        <v/>
      </c>
      <c r="D376" s="16">
        <f>IF($C376="","",助理班表!$B17)</f>
        <v/>
      </c>
      <c r="E376" s="16">
        <f>IF($C376="","",助理班表!$D17)</f>
        <v/>
      </c>
      <c r="F376" s="16">
        <f>IF($C376="","",助理班表!$C17)</f>
        <v/>
      </c>
      <c r="G376" s="16">
        <f>IF($C376="","",助理班表!F17)</f>
        <v/>
      </c>
      <c r="H376" s="83">
        <f>IF($G376="","",IFERROR(IF(INDEX(設定!$D$6:$D$21,MATCH($G376,設定!$B$6:$B$21,0))=0,"",INDEX(設定!$D$6:$D$21,MATCH($G376,設定!$B$6:$B$21,0))),""))</f>
        <v/>
      </c>
      <c r="I376" s="83">
        <f>IF($G376="","",IFERROR(IF(INDEX(設定!$E$6:$E$21,MATCH($G376,設定!$B$6:$B$21,0))=0,"",INDEX(設定!$E$6:$E$21,MATCH($G376,設定!$B$6:$B$21,0))),""))</f>
        <v/>
      </c>
      <c r="J376" s="83">
        <f>IFERROR(INDEX(打卡匯入!$C$3:$C$2002,MATCH($C376&amp;"|"&amp;DAY($A376),打卡匯入!$E$3:$E$2002,0)),"")</f>
        <v/>
      </c>
      <c r="K376" s="83">
        <f>IFERROR(INDEX(打卡匯入!$D$3:$D$2002,MATCH($C376&amp;"|"&amp;DAY($A376),打卡匯入!$E$3:$E$2002,0)),"")</f>
        <v/>
      </c>
      <c r="L376" s="84">
        <f>IF(OR($J376="",$K376=""),"",IFERROR(INDEX(設定!$F$6:$F$21,MATCH($G376,設定!$B$6:$B$21,0)),0))</f>
        <v/>
      </c>
      <c r="M376" s="85">
        <f>IF(OR($J376="",$K376=""),"",ROUND(($K376-$J376)*24-$L376/60,2))</f>
        <v/>
      </c>
      <c r="N376" s="16">
        <f>IF($C376="","",IF(AND(COUNTIF(設定!$B$15:$B$21,$G376)&gt;0,$J376&lt;&gt;""),"假日出勤",IF(AND(COUNTIF(設定!$B$6:$B$14,$G376)&gt;0,$J376=""),"未打卡",IF($J376="","",IF($O376&gt;0,"遲到",IF($P376&gt;0,"早退","正常"))))))</f>
        <v/>
      </c>
      <c r="O376" s="84">
        <f>IF(OR($C376="",$H376="",$J376=""),0,IF(ROUND(($J376-$H376)*1440,0)&gt;設定!$C$46,ROUND(($J376-$H376)*1440,0),0))</f>
        <v/>
      </c>
      <c r="P376" s="84">
        <f>IF(OR($C376="",$I376="",$K376=""),0,IF(ROUND(($I376-$K376)*1440,0)&gt;設定!$C$46,ROUND(($I376-$K376)*1440,0),0))</f>
        <v/>
      </c>
      <c r="Q376" s="85">
        <f>IF($M376="",0,IF(($M376-IFERROR(INDEX(設定!$G$6:$G$21,MATCH($G376,設定!$B$6:$B$21,0)),0))*60&gt;=設定!$C$44,ROUND(FLOOR(($M376-IFERROR(INDEX(設定!$G$6:$G$21,MATCH($G376,設定!$B$6:$B$21,0)),0))*60,設定!$C$45)/60,2),0))</f>
        <v/>
      </c>
      <c r="R376" s="16">
        <f>IF(OR($C376="",$Q376=0),"",IF($G376="國","國定假日",IF($B376="日","例假",IF($B376="六","休息日","平日"))))</f>
        <v/>
      </c>
      <c r="S376" s="19" t="n"/>
    </row>
    <row r="377">
      <c r="A377" s="82">
        <f>IF(OR(助理班表!$A17="",3&gt;DAY(EOMONTH(DATE(設定!$C$2,設定!$D$2,1),0))),"",DATE(設定!$C$2,設定!$D$2,3))</f>
        <v/>
      </c>
      <c r="B377" s="16">
        <f>IF($A377="","",INDEX(設定!$O$6:$O$12,WEEKDAY($A377,1)))</f>
        <v/>
      </c>
      <c r="C377" s="16">
        <f>IF($A377="","",助理班表!$A17)</f>
        <v/>
      </c>
      <c r="D377" s="16">
        <f>IF($C377="","",助理班表!$B17)</f>
        <v/>
      </c>
      <c r="E377" s="16">
        <f>IF($C377="","",助理班表!$D17)</f>
        <v/>
      </c>
      <c r="F377" s="16">
        <f>IF($C377="","",助理班表!$C17)</f>
        <v/>
      </c>
      <c r="G377" s="16">
        <f>IF($C377="","",助理班表!G17)</f>
        <v/>
      </c>
      <c r="H377" s="83">
        <f>IF($G377="","",IFERROR(IF(INDEX(設定!$D$6:$D$21,MATCH($G377,設定!$B$6:$B$21,0))=0,"",INDEX(設定!$D$6:$D$21,MATCH($G377,設定!$B$6:$B$21,0))),""))</f>
        <v/>
      </c>
      <c r="I377" s="83">
        <f>IF($G377="","",IFERROR(IF(INDEX(設定!$E$6:$E$21,MATCH($G377,設定!$B$6:$B$21,0))=0,"",INDEX(設定!$E$6:$E$21,MATCH($G377,設定!$B$6:$B$21,0))),""))</f>
        <v/>
      </c>
      <c r="J377" s="83">
        <f>IFERROR(INDEX(打卡匯入!$C$3:$C$2002,MATCH($C377&amp;"|"&amp;DAY($A377),打卡匯入!$E$3:$E$2002,0)),"")</f>
        <v/>
      </c>
      <c r="K377" s="83">
        <f>IFERROR(INDEX(打卡匯入!$D$3:$D$2002,MATCH($C377&amp;"|"&amp;DAY($A377),打卡匯入!$E$3:$E$2002,0)),"")</f>
        <v/>
      </c>
      <c r="L377" s="84">
        <f>IF(OR($J377="",$K377=""),"",IFERROR(INDEX(設定!$F$6:$F$21,MATCH($G377,設定!$B$6:$B$21,0)),0))</f>
        <v/>
      </c>
      <c r="M377" s="85">
        <f>IF(OR($J377="",$K377=""),"",ROUND(($K377-$J377)*24-$L377/60,2))</f>
        <v/>
      </c>
      <c r="N377" s="16">
        <f>IF($C377="","",IF(AND(COUNTIF(設定!$B$15:$B$21,$G377)&gt;0,$J377&lt;&gt;""),"假日出勤",IF(AND(COUNTIF(設定!$B$6:$B$14,$G377)&gt;0,$J377=""),"未打卡",IF($J377="","",IF($O377&gt;0,"遲到",IF($P377&gt;0,"早退","正常"))))))</f>
        <v/>
      </c>
      <c r="O377" s="84">
        <f>IF(OR($C377="",$H377="",$J377=""),0,IF(ROUND(($J377-$H377)*1440,0)&gt;設定!$C$46,ROUND(($J377-$H377)*1440,0),0))</f>
        <v/>
      </c>
      <c r="P377" s="84">
        <f>IF(OR($C377="",$I377="",$K377=""),0,IF(ROUND(($I377-$K377)*1440,0)&gt;設定!$C$46,ROUND(($I377-$K377)*1440,0),0))</f>
        <v/>
      </c>
      <c r="Q377" s="85">
        <f>IF($M377="",0,IF(($M377-IFERROR(INDEX(設定!$G$6:$G$21,MATCH($G377,設定!$B$6:$B$21,0)),0))*60&gt;=設定!$C$44,ROUND(FLOOR(($M377-IFERROR(INDEX(設定!$G$6:$G$21,MATCH($G377,設定!$B$6:$B$21,0)),0))*60,設定!$C$45)/60,2),0))</f>
        <v/>
      </c>
      <c r="R377" s="16">
        <f>IF(OR($C377="",$Q377=0),"",IF($G377="國","國定假日",IF($B377="日","例假",IF($B377="六","休息日","平日"))))</f>
        <v/>
      </c>
      <c r="S377" s="19" t="n"/>
    </row>
    <row r="378">
      <c r="A378" s="82">
        <f>IF(OR(助理班表!$A17="",4&gt;DAY(EOMONTH(DATE(設定!$C$2,設定!$D$2,1),0))),"",DATE(設定!$C$2,設定!$D$2,4))</f>
        <v/>
      </c>
      <c r="B378" s="16">
        <f>IF($A378="","",INDEX(設定!$O$6:$O$12,WEEKDAY($A378,1)))</f>
        <v/>
      </c>
      <c r="C378" s="16">
        <f>IF($A378="","",助理班表!$A17)</f>
        <v/>
      </c>
      <c r="D378" s="16">
        <f>IF($C378="","",助理班表!$B17)</f>
        <v/>
      </c>
      <c r="E378" s="16">
        <f>IF($C378="","",助理班表!$D17)</f>
        <v/>
      </c>
      <c r="F378" s="16">
        <f>IF($C378="","",助理班表!$C17)</f>
        <v/>
      </c>
      <c r="G378" s="16">
        <f>IF($C378="","",助理班表!H17)</f>
        <v/>
      </c>
      <c r="H378" s="83">
        <f>IF($G378="","",IFERROR(IF(INDEX(設定!$D$6:$D$21,MATCH($G378,設定!$B$6:$B$21,0))=0,"",INDEX(設定!$D$6:$D$21,MATCH($G378,設定!$B$6:$B$21,0))),""))</f>
        <v/>
      </c>
      <c r="I378" s="83">
        <f>IF($G378="","",IFERROR(IF(INDEX(設定!$E$6:$E$21,MATCH($G378,設定!$B$6:$B$21,0))=0,"",INDEX(設定!$E$6:$E$21,MATCH($G378,設定!$B$6:$B$21,0))),""))</f>
        <v/>
      </c>
      <c r="J378" s="83">
        <f>IFERROR(INDEX(打卡匯入!$C$3:$C$2002,MATCH($C378&amp;"|"&amp;DAY($A378),打卡匯入!$E$3:$E$2002,0)),"")</f>
        <v/>
      </c>
      <c r="K378" s="83">
        <f>IFERROR(INDEX(打卡匯入!$D$3:$D$2002,MATCH($C378&amp;"|"&amp;DAY($A378),打卡匯入!$E$3:$E$2002,0)),"")</f>
        <v/>
      </c>
      <c r="L378" s="84">
        <f>IF(OR($J378="",$K378=""),"",IFERROR(INDEX(設定!$F$6:$F$21,MATCH($G378,設定!$B$6:$B$21,0)),0))</f>
        <v/>
      </c>
      <c r="M378" s="85">
        <f>IF(OR($J378="",$K378=""),"",ROUND(($K378-$J378)*24-$L378/60,2))</f>
        <v/>
      </c>
      <c r="N378" s="16">
        <f>IF($C378="","",IF(AND(COUNTIF(設定!$B$15:$B$21,$G378)&gt;0,$J378&lt;&gt;""),"假日出勤",IF(AND(COUNTIF(設定!$B$6:$B$14,$G378)&gt;0,$J378=""),"未打卡",IF($J378="","",IF($O378&gt;0,"遲到",IF($P378&gt;0,"早退","正常"))))))</f>
        <v/>
      </c>
      <c r="O378" s="84">
        <f>IF(OR($C378="",$H378="",$J378=""),0,IF(ROUND(($J378-$H378)*1440,0)&gt;設定!$C$46,ROUND(($J378-$H378)*1440,0),0))</f>
        <v/>
      </c>
      <c r="P378" s="84">
        <f>IF(OR($C378="",$I378="",$K378=""),0,IF(ROUND(($I378-$K378)*1440,0)&gt;設定!$C$46,ROUND(($I378-$K378)*1440,0),0))</f>
        <v/>
      </c>
      <c r="Q378" s="85">
        <f>IF($M378="",0,IF(($M378-IFERROR(INDEX(設定!$G$6:$G$21,MATCH($G378,設定!$B$6:$B$21,0)),0))*60&gt;=設定!$C$44,ROUND(FLOOR(($M378-IFERROR(INDEX(設定!$G$6:$G$21,MATCH($G378,設定!$B$6:$B$21,0)),0))*60,設定!$C$45)/60,2),0))</f>
        <v/>
      </c>
      <c r="R378" s="16">
        <f>IF(OR($C378="",$Q378=0),"",IF($G378="國","國定假日",IF($B378="日","例假",IF($B378="六","休息日","平日"))))</f>
        <v/>
      </c>
      <c r="S378" s="19" t="n"/>
    </row>
    <row r="379">
      <c r="A379" s="82">
        <f>IF(OR(助理班表!$A17="",5&gt;DAY(EOMONTH(DATE(設定!$C$2,設定!$D$2,1),0))),"",DATE(設定!$C$2,設定!$D$2,5))</f>
        <v/>
      </c>
      <c r="B379" s="16">
        <f>IF($A379="","",INDEX(設定!$O$6:$O$12,WEEKDAY($A379,1)))</f>
        <v/>
      </c>
      <c r="C379" s="16">
        <f>IF($A379="","",助理班表!$A17)</f>
        <v/>
      </c>
      <c r="D379" s="16">
        <f>IF($C379="","",助理班表!$B17)</f>
        <v/>
      </c>
      <c r="E379" s="16">
        <f>IF($C379="","",助理班表!$D17)</f>
        <v/>
      </c>
      <c r="F379" s="16">
        <f>IF($C379="","",助理班表!$C17)</f>
        <v/>
      </c>
      <c r="G379" s="16">
        <f>IF($C379="","",助理班表!I17)</f>
        <v/>
      </c>
      <c r="H379" s="83">
        <f>IF($G379="","",IFERROR(IF(INDEX(設定!$D$6:$D$21,MATCH($G379,設定!$B$6:$B$21,0))=0,"",INDEX(設定!$D$6:$D$21,MATCH($G379,設定!$B$6:$B$21,0))),""))</f>
        <v/>
      </c>
      <c r="I379" s="83">
        <f>IF($G379="","",IFERROR(IF(INDEX(設定!$E$6:$E$21,MATCH($G379,設定!$B$6:$B$21,0))=0,"",INDEX(設定!$E$6:$E$21,MATCH($G379,設定!$B$6:$B$21,0))),""))</f>
        <v/>
      </c>
      <c r="J379" s="83">
        <f>IFERROR(INDEX(打卡匯入!$C$3:$C$2002,MATCH($C379&amp;"|"&amp;DAY($A379),打卡匯入!$E$3:$E$2002,0)),"")</f>
        <v/>
      </c>
      <c r="K379" s="83">
        <f>IFERROR(INDEX(打卡匯入!$D$3:$D$2002,MATCH($C379&amp;"|"&amp;DAY($A379),打卡匯入!$E$3:$E$2002,0)),"")</f>
        <v/>
      </c>
      <c r="L379" s="84">
        <f>IF(OR($J379="",$K379=""),"",IFERROR(INDEX(設定!$F$6:$F$21,MATCH($G379,設定!$B$6:$B$21,0)),0))</f>
        <v/>
      </c>
      <c r="M379" s="85">
        <f>IF(OR($J379="",$K379=""),"",ROUND(($K379-$J379)*24-$L379/60,2))</f>
        <v/>
      </c>
      <c r="N379" s="16">
        <f>IF($C379="","",IF(AND(COUNTIF(設定!$B$15:$B$21,$G379)&gt;0,$J379&lt;&gt;""),"假日出勤",IF(AND(COUNTIF(設定!$B$6:$B$14,$G379)&gt;0,$J379=""),"未打卡",IF($J379="","",IF($O379&gt;0,"遲到",IF($P379&gt;0,"早退","正常"))))))</f>
        <v/>
      </c>
      <c r="O379" s="84">
        <f>IF(OR($C379="",$H379="",$J379=""),0,IF(ROUND(($J379-$H379)*1440,0)&gt;設定!$C$46,ROUND(($J379-$H379)*1440,0),0))</f>
        <v/>
      </c>
      <c r="P379" s="84">
        <f>IF(OR($C379="",$I379="",$K379=""),0,IF(ROUND(($I379-$K379)*1440,0)&gt;設定!$C$46,ROUND(($I379-$K379)*1440,0),0))</f>
        <v/>
      </c>
      <c r="Q379" s="85">
        <f>IF($M379="",0,IF(($M379-IFERROR(INDEX(設定!$G$6:$G$21,MATCH($G379,設定!$B$6:$B$21,0)),0))*60&gt;=設定!$C$44,ROUND(FLOOR(($M379-IFERROR(INDEX(設定!$G$6:$G$21,MATCH($G379,設定!$B$6:$B$21,0)),0))*60,設定!$C$45)/60,2),0))</f>
        <v/>
      </c>
      <c r="R379" s="16">
        <f>IF(OR($C379="",$Q379=0),"",IF($G379="國","國定假日",IF($B379="日","例假",IF($B379="六","休息日","平日"))))</f>
        <v/>
      </c>
      <c r="S379" s="19" t="n"/>
    </row>
    <row r="380">
      <c r="A380" s="82">
        <f>IF(OR(助理班表!$A17="",6&gt;DAY(EOMONTH(DATE(設定!$C$2,設定!$D$2,1),0))),"",DATE(設定!$C$2,設定!$D$2,6))</f>
        <v/>
      </c>
      <c r="B380" s="16">
        <f>IF($A380="","",INDEX(設定!$O$6:$O$12,WEEKDAY($A380,1)))</f>
        <v/>
      </c>
      <c r="C380" s="16">
        <f>IF($A380="","",助理班表!$A17)</f>
        <v/>
      </c>
      <c r="D380" s="16">
        <f>IF($C380="","",助理班表!$B17)</f>
        <v/>
      </c>
      <c r="E380" s="16">
        <f>IF($C380="","",助理班表!$D17)</f>
        <v/>
      </c>
      <c r="F380" s="16">
        <f>IF($C380="","",助理班表!$C17)</f>
        <v/>
      </c>
      <c r="G380" s="16">
        <f>IF($C380="","",助理班表!J17)</f>
        <v/>
      </c>
      <c r="H380" s="83">
        <f>IF($G380="","",IFERROR(IF(INDEX(設定!$D$6:$D$21,MATCH($G380,設定!$B$6:$B$21,0))=0,"",INDEX(設定!$D$6:$D$21,MATCH($G380,設定!$B$6:$B$21,0))),""))</f>
        <v/>
      </c>
      <c r="I380" s="83">
        <f>IF($G380="","",IFERROR(IF(INDEX(設定!$E$6:$E$21,MATCH($G380,設定!$B$6:$B$21,0))=0,"",INDEX(設定!$E$6:$E$21,MATCH($G380,設定!$B$6:$B$21,0))),""))</f>
        <v/>
      </c>
      <c r="J380" s="83">
        <f>IFERROR(INDEX(打卡匯入!$C$3:$C$2002,MATCH($C380&amp;"|"&amp;DAY($A380),打卡匯入!$E$3:$E$2002,0)),"")</f>
        <v/>
      </c>
      <c r="K380" s="83">
        <f>IFERROR(INDEX(打卡匯入!$D$3:$D$2002,MATCH($C380&amp;"|"&amp;DAY($A380),打卡匯入!$E$3:$E$2002,0)),"")</f>
        <v/>
      </c>
      <c r="L380" s="84">
        <f>IF(OR($J380="",$K380=""),"",IFERROR(INDEX(設定!$F$6:$F$21,MATCH($G380,設定!$B$6:$B$21,0)),0))</f>
        <v/>
      </c>
      <c r="M380" s="85">
        <f>IF(OR($J380="",$K380=""),"",ROUND(($K380-$J380)*24-$L380/60,2))</f>
        <v/>
      </c>
      <c r="N380" s="16">
        <f>IF($C380="","",IF(AND(COUNTIF(設定!$B$15:$B$21,$G380)&gt;0,$J380&lt;&gt;""),"假日出勤",IF(AND(COUNTIF(設定!$B$6:$B$14,$G380)&gt;0,$J380=""),"未打卡",IF($J380="","",IF($O380&gt;0,"遲到",IF($P380&gt;0,"早退","正常"))))))</f>
        <v/>
      </c>
      <c r="O380" s="84">
        <f>IF(OR($C380="",$H380="",$J380=""),0,IF(ROUND(($J380-$H380)*1440,0)&gt;設定!$C$46,ROUND(($J380-$H380)*1440,0),0))</f>
        <v/>
      </c>
      <c r="P380" s="84">
        <f>IF(OR($C380="",$I380="",$K380=""),0,IF(ROUND(($I380-$K380)*1440,0)&gt;設定!$C$46,ROUND(($I380-$K380)*1440,0),0))</f>
        <v/>
      </c>
      <c r="Q380" s="85">
        <f>IF($M380="",0,IF(($M380-IFERROR(INDEX(設定!$G$6:$G$21,MATCH($G380,設定!$B$6:$B$21,0)),0))*60&gt;=設定!$C$44,ROUND(FLOOR(($M380-IFERROR(INDEX(設定!$G$6:$G$21,MATCH($G380,設定!$B$6:$B$21,0)),0))*60,設定!$C$45)/60,2),0))</f>
        <v/>
      </c>
      <c r="R380" s="16">
        <f>IF(OR($C380="",$Q380=0),"",IF($G380="國","國定假日",IF($B380="日","例假",IF($B380="六","休息日","平日"))))</f>
        <v/>
      </c>
      <c r="S380" s="19" t="n"/>
    </row>
    <row r="381">
      <c r="A381" s="82">
        <f>IF(OR(助理班表!$A17="",7&gt;DAY(EOMONTH(DATE(設定!$C$2,設定!$D$2,1),0))),"",DATE(設定!$C$2,設定!$D$2,7))</f>
        <v/>
      </c>
      <c r="B381" s="16">
        <f>IF($A381="","",INDEX(設定!$O$6:$O$12,WEEKDAY($A381,1)))</f>
        <v/>
      </c>
      <c r="C381" s="16">
        <f>IF($A381="","",助理班表!$A17)</f>
        <v/>
      </c>
      <c r="D381" s="16">
        <f>IF($C381="","",助理班表!$B17)</f>
        <v/>
      </c>
      <c r="E381" s="16">
        <f>IF($C381="","",助理班表!$D17)</f>
        <v/>
      </c>
      <c r="F381" s="16">
        <f>IF($C381="","",助理班表!$C17)</f>
        <v/>
      </c>
      <c r="G381" s="16">
        <f>IF($C381="","",助理班表!K17)</f>
        <v/>
      </c>
      <c r="H381" s="83">
        <f>IF($G381="","",IFERROR(IF(INDEX(設定!$D$6:$D$21,MATCH($G381,設定!$B$6:$B$21,0))=0,"",INDEX(設定!$D$6:$D$21,MATCH($G381,設定!$B$6:$B$21,0))),""))</f>
        <v/>
      </c>
      <c r="I381" s="83">
        <f>IF($G381="","",IFERROR(IF(INDEX(設定!$E$6:$E$21,MATCH($G381,設定!$B$6:$B$21,0))=0,"",INDEX(設定!$E$6:$E$21,MATCH($G381,設定!$B$6:$B$21,0))),""))</f>
        <v/>
      </c>
      <c r="J381" s="83">
        <f>IFERROR(INDEX(打卡匯入!$C$3:$C$2002,MATCH($C381&amp;"|"&amp;DAY($A381),打卡匯入!$E$3:$E$2002,0)),"")</f>
        <v/>
      </c>
      <c r="K381" s="83">
        <f>IFERROR(INDEX(打卡匯入!$D$3:$D$2002,MATCH($C381&amp;"|"&amp;DAY($A381),打卡匯入!$E$3:$E$2002,0)),"")</f>
        <v/>
      </c>
      <c r="L381" s="84">
        <f>IF(OR($J381="",$K381=""),"",IFERROR(INDEX(設定!$F$6:$F$21,MATCH($G381,設定!$B$6:$B$21,0)),0))</f>
        <v/>
      </c>
      <c r="M381" s="85">
        <f>IF(OR($J381="",$K381=""),"",ROUND(($K381-$J381)*24-$L381/60,2))</f>
        <v/>
      </c>
      <c r="N381" s="16">
        <f>IF($C381="","",IF(AND(COUNTIF(設定!$B$15:$B$21,$G381)&gt;0,$J381&lt;&gt;""),"假日出勤",IF(AND(COUNTIF(設定!$B$6:$B$14,$G381)&gt;0,$J381=""),"未打卡",IF($J381="","",IF($O381&gt;0,"遲到",IF($P381&gt;0,"早退","正常"))))))</f>
        <v/>
      </c>
      <c r="O381" s="84">
        <f>IF(OR($C381="",$H381="",$J381=""),0,IF(ROUND(($J381-$H381)*1440,0)&gt;設定!$C$46,ROUND(($J381-$H381)*1440,0),0))</f>
        <v/>
      </c>
      <c r="P381" s="84">
        <f>IF(OR($C381="",$I381="",$K381=""),0,IF(ROUND(($I381-$K381)*1440,0)&gt;設定!$C$46,ROUND(($I381-$K381)*1440,0),0))</f>
        <v/>
      </c>
      <c r="Q381" s="85">
        <f>IF($M381="",0,IF(($M381-IFERROR(INDEX(設定!$G$6:$G$21,MATCH($G381,設定!$B$6:$B$21,0)),0))*60&gt;=設定!$C$44,ROUND(FLOOR(($M381-IFERROR(INDEX(設定!$G$6:$G$21,MATCH($G381,設定!$B$6:$B$21,0)),0))*60,設定!$C$45)/60,2),0))</f>
        <v/>
      </c>
      <c r="R381" s="16">
        <f>IF(OR($C381="",$Q381=0),"",IF($G381="國","國定假日",IF($B381="日","例假",IF($B381="六","休息日","平日"))))</f>
        <v/>
      </c>
      <c r="S381" s="19" t="n"/>
    </row>
    <row r="382">
      <c r="A382" s="82">
        <f>IF(OR(助理班表!$A17="",8&gt;DAY(EOMONTH(DATE(設定!$C$2,設定!$D$2,1),0))),"",DATE(設定!$C$2,設定!$D$2,8))</f>
        <v/>
      </c>
      <c r="B382" s="16">
        <f>IF($A382="","",INDEX(設定!$O$6:$O$12,WEEKDAY($A382,1)))</f>
        <v/>
      </c>
      <c r="C382" s="16">
        <f>IF($A382="","",助理班表!$A17)</f>
        <v/>
      </c>
      <c r="D382" s="16">
        <f>IF($C382="","",助理班表!$B17)</f>
        <v/>
      </c>
      <c r="E382" s="16">
        <f>IF($C382="","",助理班表!$D17)</f>
        <v/>
      </c>
      <c r="F382" s="16">
        <f>IF($C382="","",助理班表!$C17)</f>
        <v/>
      </c>
      <c r="G382" s="16">
        <f>IF($C382="","",助理班表!L17)</f>
        <v/>
      </c>
      <c r="H382" s="83">
        <f>IF($G382="","",IFERROR(IF(INDEX(設定!$D$6:$D$21,MATCH($G382,設定!$B$6:$B$21,0))=0,"",INDEX(設定!$D$6:$D$21,MATCH($G382,設定!$B$6:$B$21,0))),""))</f>
        <v/>
      </c>
      <c r="I382" s="83">
        <f>IF($G382="","",IFERROR(IF(INDEX(設定!$E$6:$E$21,MATCH($G382,設定!$B$6:$B$21,0))=0,"",INDEX(設定!$E$6:$E$21,MATCH($G382,設定!$B$6:$B$21,0))),""))</f>
        <v/>
      </c>
      <c r="J382" s="83">
        <f>IFERROR(INDEX(打卡匯入!$C$3:$C$2002,MATCH($C382&amp;"|"&amp;DAY($A382),打卡匯入!$E$3:$E$2002,0)),"")</f>
        <v/>
      </c>
      <c r="K382" s="83">
        <f>IFERROR(INDEX(打卡匯入!$D$3:$D$2002,MATCH($C382&amp;"|"&amp;DAY($A382),打卡匯入!$E$3:$E$2002,0)),"")</f>
        <v/>
      </c>
      <c r="L382" s="84">
        <f>IF(OR($J382="",$K382=""),"",IFERROR(INDEX(設定!$F$6:$F$21,MATCH($G382,設定!$B$6:$B$21,0)),0))</f>
        <v/>
      </c>
      <c r="M382" s="85">
        <f>IF(OR($J382="",$K382=""),"",ROUND(($K382-$J382)*24-$L382/60,2))</f>
        <v/>
      </c>
      <c r="N382" s="16">
        <f>IF($C382="","",IF(AND(COUNTIF(設定!$B$15:$B$21,$G382)&gt;0,$J382&lt;&gt;""),"假日出勤",IF(AND(COUNTIF(設定!$B$6:$B$14,$G382)&gt;0,$J382=""),"未打卡",IF($J382="","",IF($O382&gt;0,"遲到",IF($P382&gt;0,"早退","正常"))))))</f>
        <v/>
      </c>
      <c r="O382" s="84">
        <f>IF(OR($C382="",$H382="",$J382=""),0,IF(ROUND(($J382-$H382)*1440,0)&gt;設定!$C$46,ROUND(($J382-$H382)*1440,0),0))</f>
        <v/>
      </c>
      <c r="P382" s="84">
        <f>IF(OR($C382="",$I382="",$K382=""),0,IF(ROUND(($I382-$K382)*1440,0)&gt;設定!$C$46,ROUND(($I382-$K382)*1440,0),0))</f>
        <v/>
      </c>
      <c r="Q382" s="85">
        <f>IF($M382="",0,IF(($M382-IFERROR(INDEX(設定!$G$6:$G$21,MATCH($G382,設定!$B$6:$B$21,0)),0))*60&gt;=設定!$C$44,ROUND(FLOOR(($M382-IFERROR(INDEX(設定!$G$6:$G$21,MATCH($G382,設定!$B$6:$B$21,0)),0))*60,設定!$C$45)/60,2),0))</f>
        <v/>
      </c>
      <c r="R382" s="16">
        <f>IF(OR($C382="",$Q382=0),"",IF($G382="國","國定假日",IF($B382="日","例假",IF($B382="六","休息日","平日"))))</f>
        <v/>
      </c>
      <c r="S382" s="19" t="n"/>
    </row>
    <row r="383">
      <c r="A383" s="82">
        <f>IF(OR(助理班表!$A17="",9&gt;DAY(EOMONTH(DATE(設定!$C$2,設定!$D$2,1),0))),"",DATE(設定!$C$2,設定!$D$2,9))</f>
        <v/>
      </c>
      <c r="B383" s="16">
        <f>IF($A383="","",INDEX(設定!$O$6:$O$12,WEEKDAY($A383,1)))</f>
        <v/>
      </c>
      <c r="C383" s="16">
        <f>IF($A383="","",助理班表!$A17)</f>
        <v/>
      </c>
      <c r="D383" s="16">
        <f>IF($C383="","",助理班表!$B17)</f>
        <v/>
      </c>
      <c r="E383" s="16">
        <f>IF($C383="","",助理班表!$D17)</f>
        <v/>
      </c>
      <c r="F383" s="16">
        <f>IF($C383="","",助理班表!$C17)</f>
        <v/>
      </c>
      <c r="G383" s="16">
        <f>IF($C383="","",助理班表!M17)</f>
        <v/>
      </c>
      <c r="H383" s="83">
        <f>IF($G383="","",IFERROR(IF(INDEX(設定!$D$6:$D$21,MATCH($G383,設定!$B$6:$B$21,0))=0,"",INDEX(設定!$D$6:$D$21,MATCH($G383,設定!$B$6:$B$21,0))),""))</f>
        <v/>
      </c>
      <c r="I383" s="83">
        <f>IF($G383="","",IFERROR(IF(INDEX(設定!$E$6:$E$21,MATCH($G383,設定!$B$6:$B$21,0))=0,"",INDEX(設定!$E$6:$E$21,MATCH($G383,設定!$B$6:$B$21,0))),""))</f>
        <v/>
      </c>
      <c r="J383" s="83">
        <f>IFERROR(INDEX(打卡匯入!$C$3:$C$2002,MATCH($C383&amp;"|"&amp;DAY($A383),打卡匯入!$E$3:$E$2002,0)),"")</f>
        <v/>
      </c>
      <c r="K383" s="83">
        <f>IFERROR(INDEX(打卡匯入!$D$3:$D$2002,MATCH($C383&amp;"|"&amp;DAY($A383),打卡匯入!$E$3:$E$2002,0)),"")</f>
        <v/>
      </c>
      <c r="L383" s="84">
        <f>IF(OR($J383="",$K383=""),"",IFERROR(INDEX(設定!$F$6:$F$21,MATCH($G383,設定!$B$6:$B$21,0)),0))</f>
        <v/>
      </c>
      <c r="M383" s="85">
        <f>IF(OR($J383="",$K383=""),"",ROUND(($K383-$J383)*24-$L383/60,2))</f>
        <v/>
      </c>
      <c r="N383" s="16">
        <f>IF($C383="","",IF(AND(COUNTIF(設定!$B$15:$B$21,$G383)&gt;0,$J383&lt;&gt;""),"假日出勤",IF(AND(COUNTIF(設定!$B$6:$B$14,$G383)&gt;0,$J383=""),"未打卡",IF($J383="","",IF($O383&gt;0,"遲到",IF($P383&gt;0,"早退","正常"))))))</f>
        <v/>
      </c>
      <c r="O383" s="84">
        <f>IF(OR($C383="",$H383="",$J383=""),0,IF(ROUND(($J383-$H383)*1440,0)&gt;設定!$C$46,ROUND(($J383-$H383)*1440,0),0))</f>
        <v/>
      </c>
      <c r="P383" s="84">
        <f>IF(OR($C383="",$I383="",$K383=""),0,IF(ROUND(($I383-$K383)*1440,0)&gt;設定!$C$46,ROUND(($I383-$K383)*1440,0),0))</f>
        <v/>
      </c>
      <c r="Q383" s="85">
        <f>IF($M383="",0,IF(($M383-IFERROR(INDEX(設定!$G$6:$G$21,MATCH($G383,設定!$B$6:$B$21,0)),0))*60&gt;=設定!$C$44,ROUND(FLOOR(($M383-IFERROR(INDEX(設定!$G$6:$G$21,MATCH($G383,設定!$B$6:$B$21,0)),0))*60,設定!$C$45)/60,2),0))</f>
        <v/>
      </c>
      <c r="R383" s="16">
        <f>IF(OR($C383="",$Q383=0),"",IF($G383="國","國定假日",IF($B383="日","例假",IF($B383="六","休息日","平日"))))</f>
        <v/>
      </c>
      <c r="S383" s="19" t="n"/>
    </row>
    <row r="384">
      <c r="A384" s="82">
        <f>IF(OR(助理班表!$A17="",10&gt;DAY(EOMONTH(DATE(設定!$C$2,設定!$D$2,1),0))),"",DATE(設定!$C$2,設定!$D$2,10))</f>
        <v/>
      </c>
      <c r="B384" s="16">
        <f>IF($A384="","",INDEX(設定!$O$6:$O$12,WEEKDAY($A384,1)))</f>
        <v/>
      </c>
      <c r="C384" s="16">
        <f>IF($A384="","",助理班表!$A17)</f>
        <v/>
      </c>
      <c r="D384" s="16">
        <f>IF($C384="","",助理班表!$B17)</f>
        <v/>
      </c>
      <c r="E384" s="16">
        <f>IF($C384="","",助理班表!$D17)</f>
        <v/>
      </c>
      <c r="F384" s="16">
        <f>IF($C384="","",助理班表!$C17)</f>
        <v/>
      </c>
      <c r="G384" s="16">
        <f>IF($C384="","",助理班表!N17)</f>
        <v/>
      </c>
      <c r="H384" s="83">
        <f>IF($G384="","",IFERROR(IF(INDEX(設定!$D$6:$D$21,MATCH($G384,設定!$B$6:$B$21,0))=0,"",INDEX(設定!$D$6:$D$21,MATCH($G384,設定!$B$6:$B$21,0))),""))</f>
        <v/>
      </c>
      <c r="I384" s="83">
        <f>IF($G384="","",IFERROR(IF(INDEX(設定!$E$6:$E$21,MATCH($G384,設定!$B$6:$B$21,0))=0,"",INDEX(設定!$E$6:$E$21,MATCH($G384,設定!$B$6:$B$21,0))),""))</f>
        <v/>
      </c>
      <c r="J384" s="83">
        <f>IFERROR(INDEX(打卡匯入!$C$3:$C$2002,MATCH($C384&amp;"|"&amp;DAY($A384),打卡匯入!$E$3:$E$2002,0)),"")</f>
        <v/>
      </c>
      <c r="K384" s="83">
        <f>IFERROR(INDEX(打卡匯入!$D$3:$D$2002,MATCH($C384&amp;"|"&amp;DAY($A384),打卡匯入!$E$3:$E$2002,0)),"")</f>
        <v/>
      </c>
      <c r="L384" s="84">
        <f>IF(OR($J384="",$K384=""),"",IFERROR(INDEX(設定!$F$6:$F$21,MATCH($G384,設定!$B$6:$B$21,0)),0))</f>
        <v/>
      </c>
      <c r="M384" s="85">
        <f>IF(OR($J384="",$K384=""),"",ROUND(($K384-$J384)*24-$L384/60,2))</f>
        <v/>
      </c>
      <c r="N384" s="16">
        <f>IF($C384="","",IF(AND(COUNTIF(設定!$B$15:$B$21,$G384)&gt;0,$J384&lt;&gt;""),"假日出勤",IF(AND(COUNTIF(設定!$B$6:$B$14,$G384)&gt;0,$J384=""),"未打卡",IF($J384="","",IF($O384&gt;0,"遲到",IF($P384&gt;0,"早退","正常"))))))</f>
        <v/>
      </c>
      <c r="O384" s="84">
        <f>IF(OR($C384="",$H384="",$J384=""),0,IF(ROUND(($J384-$H384)*1440,0)&gt;設定!$C$46,ROUND(($J384-$H384)*1440,0),0))</f>
        <v/>
      </c>
      <c r="P384" s="84">
        <f>IF(OR($C384="",$I384="",$K384=""),0,IF(ROUND(($I384-$K384)*1440,0)&gt;設定!$C$46,ROUND(($I384-$K384)*1440,0),0))</f>
        <v/>
      </c>
      <c r="Q384" s="85">
        <f>IF($M384="",0,IF(($M384-IFERROR(INDEX(設定!$G$6:$G$21,MATCH($G384,設定!$B$6:$B$21,0)),0))*60&gt;=設定!$C$44,ROUND(FLOOR(($M384-IFERROR(INDEX(設定!$G$6:$G$21,MATCH($G384,設定!$B$6:$B$21,0)),0))*60,設定!$C$45)/60,2),0))</f>
        <v/>
      </c>
      <c r="R384" s="16">
        <f>IF(OR($C384="",$Q384=0),"",IF($G384="國","國定假日",IF($B384="日","例假",IF($B384="六","休息日","平日"))))</f>
        <v/>
      </c>
      <c r="S384" s="19" t="n"/>
    </row>
    <row r="385">
      <c r="A385" s="82">
        <f>IF(OR(助理班表!$A17="",11&gt;DAY(EOMONTH(DATE(設定!$C$2,設定!$D$2,1),0))),"",DATE(設定!$C$2,設定!$D$2,11))</f>
        <v/>
      </c>
      <c r="B385" s="16">
        <f>IF($A385="","",INDEX(設定!$O$6:$O$12,WEEKDAY($A385,1)))</f>
        <v/>
      </c>
      <c r="C385" s="16">
        <f>IF($A385="","",助理班表!$A17)</f>
        <v/>
      </c>
      <c r="D385" s="16">
        <f>IF($C385="","",助理班表!$B17)</f>
        <v/>
      </c>
      <c r="E385" s="16">
        <f>IF($C385="","",助理班表!$D17)</f>
        <v/>
      </c>
      <c r="F385" s="16">
        <f>IF($C385="","",助理班表!$C17)</f>
        <v/>
      </c>
      <c r="G385" s="16">
        <f>IF($C385="","",助理班表!O17)</f>
        <v/>
      </c>
      <c r="H385" s="83">
        <f>IF($G385="","",IFERROR(IF(INDEX(設定!$D$6:$D$21,MATCH($G385,設定!$B$6:$B$21,0))=0,"",INDEX(設定!$D$6:$D$21,MATCH($G385,設定!$B$6:$B$21,0))),""))</f>
        <v/>
      </c>
      <c r="I385" s="83">
        <f>IF($G385="","",IFERROR(IF(INDEX(設定!$E$6:$E$21,MATCH($G385,設定!$B$6:$B$21,0))=0,"",INDEX(設定!$E$6:$E$21,MATCH($G385,設定!$B$6:$B$21,0))),""))</f>
        <v/>
      </c>
      <c r="J385" s="83">
        <f>IFERROR(INDEX(打卡匯入!$C$3:$C$2002,MATCH($C385&amp;"|"&amp;DAY($A385),打卡匯入!$E$3:$E$2002,0)),"")</f>
        <v/>
      </c>
      <c r="K385" s="83">
        <f>IFERROR(INDEX(打卡匯入!$D$3:$D$2002,MATCH($C385&amp;"|"&amp;DAY($A385),打卡匯入!$E$3:$E$2002,0)),"")</f>
        <v/>
      </c>
      <c r="L385" s="84">
        <f>IF(OR($J385="",$K385=""),"",IFERROR(INDEX(設定!$F$6:$F$21,MATCH($G385,設定!$B$6:$B$21,0)),0))</f>
        <v/>
      </c>
      <c r="M385" s="85">
        <f>IF(OR($J385="",$K385=""),"",ROUND(($K385-$J385)*24-$L385/60,2))</f>
        <v/>
      </c>
      <c r="N385" s="16">
        <f>IF($C385="","",IF(AND(COUNTIF(設定!$B$15:$B$21,$G385)&gt;0,$J385&lt;&gt;""),"假日出勤",IF(AND(COUNTIF(設定!$B$6:$B$14,$G385)&gt;0,$J385=""),"未打卡",IF($J385="","",IF($O385&gt;0,"遲到",IF($P385&gt;0,"早退","正常"))))))</f>
        <v/>
      </c>
      <c r="O385" s="84">
        <f>IF(OR($C385="",$H385="",$J385=""),0,IF(ROUND(($J385-$H385)*1440,0)&gt;設定!$C$46,ROUND(($J385-$H385)*1440,0),0))</f>
        <v/>
      </c>
      <c r="P385" s="84">
        <f>IF(OR($C385="",$I385="",$K385=""),0,IF(ROUND(($I385-$K385)*1440,0)&gt;設定!$C$46,ROUND(($I385-$K385)*1440,0),0))</f>
        <v/>
      </c>
      <c r="Q385" s="85">
        <f>IF($M385="",0,IF(($M385-IFERROR(INDEX(設定!$G$6:$G$21,MATCH($G385,設定!$B$6:$B$21,0)),0))*60&gt;=設定!$C$44,ROUND(FLOOR(($M385-IFERROR(INDEX(設定!$G$6:$G$21,MATCH($G385,設定!$B$6:$B$21,0)),0))*60,設定!$C$45)/60,2),0))</f>
        <v/>
      </c>
      <c r="R385" s="16">
        <f>IF(OR($C385="",$Q385=0),"",IF($G385="國","國定假日",IF($B385="日","例假",IF($B385="六","休息日","平日"))))</f>
        <v/>
      </c>
      <c r="S385" s="19" t="n"/>
    </row>
    <row r="386">
      <c r="A386" s="82">
        <f>IF(OR(助理班表!$A17="",12&gt;DAY(EOMONTH(DATE(設定!$C$2,設定!$D$2,1),0))),"",DATE(設定!$C$2,設定!$D$2,12))</f>
        <v/>
      </c>
      <c r="B386" s="16">
        <f>IF($A386="","",INDEX(設定!$O$6:$O$12,WEEKDAY($A386,1)))</f>
        <v/>
      </c>
      <c r="C386" s="16">
        <f>IF($A386="","",助理班表!$A17)</f>
        <v/>
      </c>
      <c r="D386" s="16">
        <f>IF($C386="","",助理班表!$B17)</f>
        <v/>
      </c>
      <c r="E386" s="16">
        <f>IF($C386="","",助理班表!$D17)</f>
        <v/>
      </c>
      <c r="F386" s="16">
        <f>IF($C386="","",助理班表!$C17)</f>
        <v/>
      </c>
      <c r="G386" s="16">
        <f>IF($C386="","",助理班表!P17)</f>
        <v/>
      </c>
      <c r="H386" s="83">
        <f>IF($G386="","",IFERROR(IF(INDEX(設定!$D$6:$D$21,MATCH($G386,設定!$B$6:$B$21,0))=0,"",INDEX(設定!$D$6:$D$21,MATCH($G386,設定!$B$6:$B$21,0))),""))</f>
        <v/>
      </c>
      <c r="I386" s="83">
        <f>IF($G386="","",IFERROR(IF(INDEX(設定!$E$6:$E$21,MATCH($G386,設定!$B$6:$B$21,0))=0,"",INDEX(設定!$E$6:$E$21,MATCH($G386,設定!$B$6:$B$21,0))),""))</f>
        <v/>
      </c>
      <c r="J386" s="83">
        <f>IFERROR(INDEX(打卡匯入!$C$3:$C$2002,MATCH($C386&amp;"|"&amp;DAY($A386),打卡匯入!$E$3:$E$2002,0)),"")</f>
        <v/>
      </c>
      <c r="K386" s="83">
        <f>IFERROR(INDEX(打卡匯入!$D$3:$D$2002,MATCH($C386&amp;"|"&amp;DAY($A386),打卡匯入!$E$3:$E$2002,0)),"")</f>
        <v/>
      </c>
      <c r="L386" s="84">
        <f>IF(OR($J386="",$K386=""),"",IFERROR(INDEX(設定!$F$6:$F$21,MATCH($G386,設定!$B$6:$B$21,0)),0))</f>
        <v/>
      </c>
      <c r="M386" s="85">
        <f>IF(OR($J386="",$K386=""),"",ROUND(($K386-$J386)*24-$L386/60,2))</f>
        <v/>
      </c>
      <c r="N386" s="16">
        <f>IF($C386="","",IF(AND(COUNTIF(設定!$B$15:$B$21,$G386)&gt;0,$J386&lt;&gt;""),"假日出勤",IF(AND(COUNTIF(設定!$B$6:$B$14,$G386)&gt;0,$J386=""),"未打卡",IF($J386="","",IF($O386&gt;0,"遲到",IF($P386&gt;0,"早退","正常"))))))</f>
        <v/>
      </c>
      <c r="O386" s="84">
        <f>IF(OR($C386="",$H386="",$J386=""),0,IF(ROUND(($J386-$H386)*1440,0)&gt;設定!$C$46,ROUND(($J386-$H386)*1440,0),0))</f>
        <v/>
      </c>
      <c r="P386" s="84">
        <f>IF(OR($C386="",$I386="",$K386=""),0,IF(ROUND(($I386-$K386)*1440,0)&gt;設定!$C$46,ROUND(($I386-$K386)*1440,0),0))</f>
        <v/>
      </c>
      <c r="Q386" s="85">
        <f>IF($M386="",0,IF(($M386-IFERROR(INDEX(設定!$G$6:$G$21,MATCH($G386,設定!$B$6:$B$21,0)),0))*60&gt;=設定!$C$44,ROUND(FLOOR(($M386-IFERROR(INDEX(設定!$G$6:$G$21,MATCH($G386,設定!$B$6:$B$21,0)),0))*60,設定!$C$45)/60,2),0))</f>
        <v/>
      </c>
      <c r="R386" s="16">
        <f>IF(OR($C386="",$Q386=0),"",IF($G386="國","國定假日",IF($B386="日","例假",IF($B386="六","休息日","平日"))))</f>
        <v/>
      </c>
      <c r="S386" s="19" t="n"/>
    </row>
    <row r="387">
      <c r="A387" s="82">
        <f>IF(OR(助理班表!$A17="",13&gt;DAY(EOMONTH(DATE(設定!$C$2,設定!$D$2,1),0))),"",DATE(設定!$C$2,設定!$D$2,13))</f>
        <v/>
      </c>
      <c r="B387" s="16">
        <f>IF($A387="","",INDEX(設定!$O$6:$O$12,WEEKDAY($A387,1)))</f>
        <v/>
      </c>
      <c r="C387" s="16">
        <f>IF($A387="","",助理班表!$A17)</f>
        <v/>
      </c>
      <c r="D387" s="16">
        <f>IF($C387="","",助理班表!$B17)</f>
        <v/>
      </c>
      <c r="E387" s="16">
        <f>IF($C387="","",助理班表!$D17)</f>
        <v/>
      </c>
      <c r="F387" s="16">
        <f>IF($C387="","",助理班表!$C17)</f>
        <v/>
      </c>
      <c r="G387" s="16">
        <f>IF($C387="","",助理班表!Q17)</f>
        <v/>
      </c>
      <c r="H387" s="83">
        <f>IF($G387="","",IFERROR(IF(INDEX(設定!$D$6:$D$21,MATCH($G387,設定!$B$6:$B$21,0))=0,"",INDEX(設定!$D$6:$D$21,MATCH($G387,設定!$B$6:$B$21,0))),""))</f>
        <v/>
      </c>
      <c r="I387" s="83">
        <f>IF($G387="","",IFERROR(IF(INDEX(設定!$E$6:$E$21,MATCH($G387,設定!$B$6:$B$21,0))=0,"",INDEX(設定!$E$6:$E$21,MATCH($G387,設定!$B$6:$B$21,0))),""))</f>
        <v/>
      </c>
      <c r="J387" s="83">
        <f>IFERROR(INDEX(打卡匯入!$C$3:$C$2002,MATCH($C387&amp;"|"&amp;DAY($A387),打卡匯入!$E$3:$E$2002,0)),"")</f>
        <v/>
      </c>
      <c r="K387" s="83">
        <f>IFERROR(INDEX(打卡匯入!$D$3:$D$2002,MATCH($C387&amp;"|"&amp;DAY($A387),打卡匯入!$E$3:$E$2002,0)),"")</f>
        <v/>
      </c>
      <c r="L387" s="84">
        <f>IF(OR($J387="",$K387=""),"",IFERROR(INDEX(設定!$F$6:$F$21,MATCH($G387,設定!$B$6:$B$21,0)),0))</f>
        <v/>
      </c>
      <c r="M387" s="85">
        <f>IF(OR($J387="",$K387=""),"",ROUND(($K387-$J387)*24-$L387/60,2))</f>
        <v/>
      </c>
      <c r="N387" s="16">
        <f>IF($C387="","",IF(AND(COUNTIF(設定!$B$15:$B$21,$G387)&gt;0,$J387&lt;&gt;""),"假日出勤",IF(AND(COUNTIF(設定!$B$6:$B$14,$G387)&gt;0,$J387=""),"未打卡",IF($J387="","",IF($O387&gt;0,"遲到",IF($P387&gt;0,"早退","正常"))))))</f>
        <v/>
      </c>
      <c r="O387" s="84">
        <f>IF(OR($C387="",$H387="",$J387=""),0,IF(ROUND(($J387-$H387)*1440,0)&gt;設定!$C$46,ROUND(($J387-$H387)*1440,0),0))</f>
        <v/>
      </c>
      <c r="P387" s="84">
        <f>IF(OR($C387="",$I387="",$K387=""),0,IF(ROUND(($I387-$K387)*1440,0)&gt;設定!$C$46,ROUND(($I387-$K387)*1440,0),0))</f>
        <v/>
      </c>
      <c r="Q387" s="85">
        <f>IF($M387="",0,IF(($M387-IFERROR(INDEX(設定!$G$6:$G$21,MATCH($G387,設定!$B$6:$B$21,0)),0))*60&gt;=設定!$C$44,ROUND(FLOOR(($M387-IFERROR(INDEX(設定!$G$6:$G$21,MATCH($G387,設定!$B$6:$B$21,0)),0))*60,設定!$C$45)/60,2),0))</f>
        <v/>
      </c>
      <c r="R387" s="16">
        <f>IF(OR($C387="",$Q387=0),"",IF($G387="國","國定假日",IF($B387="日","例假",IF($B387="六","休息日","平日"))))</f>
        <v/>
      </c>
      <c r="S387" s="19" t="n"/>
    </row>
    <row r="388">
      <c r="A388" s="82">
        <f>IF(OR(助理班表!$A17="",14&gt;DAY(EOMONTH(DATE(設定!$C$2,設定!$D$2,1),0))),"",DATE(設定!$C$2,設定!$D$2,14))</f>
        <v/>
      </c>
      <c r="B388" s="16">
        <f>IF($A388="","",INDEX(設定!$O$6:$O$12,WEEKDAY($A388,1)))</f>
        <v/>
      </c>
      <c r="C388" s="16">
        <f>IF($A388="","",助理班表!$A17)</f>
        <v/>
      </c>
      <c r="D388" s="16">
        <f>IF($C388="","",助理班表!$B17)</f>
        <v/>
      </c>
      <c r="E388" s="16">
        <f>IF($C388="","",助理班表!$D17)</f>
        <v/>
      </c>
      <c r="F388" s="16">
        <f>IF($C388="","",助理班表!$C17)</f>
        <v/>
      </c>
      <c r="G388" s="16">
        <f>IF($C388="","",助理班表!R17)</f>
        <v/>
      </c>
      <c r="H388" s="83">
        <f>IF($G388="","",IFERROR(IF(INDEX(設定!$D$6:$D$21,MATCH($G388,設定!$B$6:$B$21,0))=0,"",INDEX(設定!$D$6:$D$21,MATCH($G388,設定!$B$6:$B$21,0))),""))</f>
        <v/>
      </c>
      <c r="I388" s="83">
        <f>IF($G388="","",IFERROR(IF(INDEX(設定!$E$6:$E$21,MATCH($G388,設定!$B$6:$B$21,0))=0,"",INDEX(設定!$E$6:$E$21,MATCH($G388,設定!$B$6:$B$21,0))),""))</f>
        <v/>
      </c>
      <c r="J388" s="83">
        <f>IFERROR(INDEX(打卡匯入!$C$3:$C$2002,MATCH($C388&amp;"|"&amp;DAY($A388),打卡匯入!$E$3:$E$2002,0)),"")</f>
        <v/>
      </c>
      <c r="K388" s="83">
        <f>IFERROR(INDEX(打卡匯入!$D$3:$D$2002,MATCH($C388&amp;"|"&amp;DAY($A388),打卡匯入!$E$3:$E$2002,0)),"")</f>
        <v/>
      </c>
      <c r="L388" s="84">
        <f>IF(OR($J388="",$K388=""),"",IFERROR(INDEX(設定!$F$6:$F$21,MATCH($G388,設定!$B$6:$B$21,0)),0))</f>
        <v/>
      </c>
      <c r="M388" s="85">
        <f>IF(OR($J388="",$K388=""),"",ROUND(($K388-$J388)*24-$L388/60,2))</f>
        <v/>
      </c>
      <c r="N388" s="16">
        <f>IF($C388="","",IF(AND(COUNTIF(設定!$B$15:$B$21,$G388)&gt;0,$J388&lt;&gt;""),"假日出勤",IF(AND(COUNTIF(設定!$B$6:$B$14,$G388)&gt;0,$J388=""),"未打卡",IF($J388="","",IF($O388&gt;0,"遲到",IF($P388&gt;0,"早退","正常"))))))</f>
        <v/>
      </c>
      <c r="O388" s="84">
        <f>IF(OR($C388="",$H388="",$J388=""),0,IF(ROUND(($J388-$H388)*1440,0)&gt;設定!$C$46,ROUND(($J388-$H388)*1440,0),0))</f>
        <v/>
      </c>
      <c r="P388" s="84">
        <f>IF(OR($C388="",$I388="",$K388=""),0,IF(ROUND(($I388-$K388)*1440,0)&gt;設定!$C$46,ROUND(($I388-$K388)*1440,0),0))</f>
        <v/>
      </c>
      <c r="Q388" s="85">
        <f>IF($M388="",0,IF(($M388-IFERROR(INDEX(設定!$G$6:$G$21,MATCH($G388,設定!$B$6:$B$21,0)),0))*60&gt;=設定!$C$44,ROUND(FLOOR(($M388-IFERROR(INDEX(設定!$G$6:$G$21,MATCH($G388,設定!$B$6:$B$21,0)),0))*60,設定!$C$45)/60,2),0))</f>
        <v/>
      </c>
      <c r="R388" s="16">
        <f>IF(OR($C388="",$Q388=0),"",IF($G388="國","國定假日",IF($B388="日","例假",IF($B388="六","休息日","平日"))))</f>
        <v/>
      </c>
      <c r="S388" s="19" t="n"/>
    </row>
    <row r="389">
      <c r="A389" s="82">
        <f>IF(OR(助理班表!$A17="",15&gt;DAY(EOMONTH(DATE(設定!$C$2,設定!$D$2,1),0))),"",DATE(設定!$C$2,設定!$D$2,15))</f>
        <v/>
      </c>
      <c r="B389" s="16">
        <f>IF($A389="","",INDEX(設定!$O$6:$O$12,WEEKDAY($A389,1)))</f>
        <v/>
      </c>
      <c r="C389" s="16">
        <f>IF($A389="","",助理班表!$A17)</f>
        <v/>
      </c>
      <c r="D389" s="16">
        <f>IF($C389="","",助理班表!$B17)</f>
        <v/>
      </c>
      <c r="E389" s="16">
        <f>IF($C389="","",助理班表!$D17)</f>
        <v/>
      </c>
      <c r="F389" s="16">
        <f>IF($C389="","",助理班表!$C17)</f>
        <v/>
      </c>
      <c r="G389" s="16">
        <f>IF($C389="","",助理班表!S17)</f>
        <v/>
      </c>
      <c r="H389" s="83">
        <f>IF($G389="","",IFERROR(IF(INDEX(設定!$D$6:$D$21,MATCH($G389,設定!$B$6:$B$21,0))=0,"",INDEX(設定!$D$6:$D$21,MATCH($G389,設定!$B$6:$B$21,0))),""))</f>
        <v/>
      </c>
      <c r="I389" s="83">
        <f>IF($G389="","",IFERROR(IF(INDEX(設定!$E$6:$E$21,MATCH($G389,設定!$B$6:$B$21,0))=0,"",INDEX(設定!$E$6:$E$21,MATCH($G389,設定!$B$6:$B$21,0))),""))</f>
        <v/>
      </c>
      <c r="J389" s="83">
        <f>IFERROR(INDEX(打卡匯入!$C$3:$C$2002,MATCH($C389&amp;"|"&amp;DAY($A389),打卡匯入!$E$3:$E$2002,0)),"")</f>
        <v/>
      </c>
      <c r="K389" s="83">
        <f>IFERROR(INDEX(打卡匯入!$D$3:$D$2002,MATCH($C389&amp;"|"&amp;DAY($A389),打卡匯入!$E$3:$E$2002,0)),"")</f>
        <v/>
      </c>
      <c r="L389" s="84">
        <f>IF(OR($J389="",$K389=""),"",IFERROR(INDEX(設定!$F$6:$F$21,MATCH($G389,設定!$B$6:$B$21,0)),0))</f>
        <v/>
      </c>
      <c r="M389" s="85">
        <f>IF(OR($J389="",$K389=""),"",ROUND(($K389-$J389)*24-$L389/60,2))</f>
        <v/>
      </c>
      <c r="N389" s="16">
        <f>IF($C389="","",IF(AND(COUNTIF(設定!$B$15:$B$21,$G389)&gt;0,$J389&lt;&gt;""),"假日出勤",IF(AND(COUNTIF(設定!$B$6:$B$14,$G389)&gt;0,$J389=""),"未打卡",IF($J389="","",IF($O389&gt;0,"遲到",IF($P389&gt;0,"早退","正常"))))))</f>
        <v/>
      </c>
      <c r="O389" s="84">
        <f>IF(OR($C389="",$H389="",$J389=""),0,IF(ROUND(($J389-$H389)*1440,0)&gt;設定!$C$46,ROUND(($J389-$H389)*1440,0),0))</f>
        <v/>
      </c>
      <c r="P389" s="84">
        <f>IF(OR($C389="",$I389="",$K389=""),0,IF(ROUND(($I389-$K389)*1440,0)&gt;設定!$C$46,ROUND(($I389-$K389)*1440,0),0))</f>
        <v/>
      </c>
      <c r="Q389" s="85">
        <f>IF($M389="",0,IF(($M389-IFERROR(INDEX(設定!$G$6:$G$21,MATCH($G389,設定!$B$6:$B$21,0)),0))*60&gt;=設定!$C$44,ROUND(FLOOR(($M389-IFERROR(INDEX(設定!$G$6:$G$21,MATCH($G389,設定!$B$6:$B$21,0)),0))*60,設定!$C$45)/60,2),0))</f>
        <v/>
      </c>
      <c r="R389" s="16">
        <f>IF(OR($C389="",$Q389=0),"",IF($G389="國","國定假日",IF($B389="日","例假",IF($B389="六","休息日","平日"))))</f>
        <v/>
      </c>
      <c r="S389" s="19" t="n"/>
    </row>
    <row r="390">
      <c r="A390" s="82">
        <f>IF(OR(助理班表!$A17="",16&gt;DAY(EOMONTH(DATE(設定!$C$2,設定!$D$2,1),0))),"",DATE(設定!$C$2,設定!$D$2,16))</f>
        <v/>
      </c>
      <c r="B390" s="16">
        <f>IF($A390="","",INDEX(設定!$O$6:$O$12,WEEKDAY($A390,1)))</f>
        <v/>
      </c>
      <c r="C390" s="16">
        <f>IF($A390="","",助理班表!$A17)</f>
        <v/>
      </c>
      <c r="D390" s="16">
        <f>IF($C390="","",助理班表!$B17)</f>
        <v/>
      </c>
      <c r="E390" s="16">
        <f>IF($C390="","",助理班表!$D17)</f>
        <v/>
      </c>
      <c r="F390" s="16">
        <f>IF($C390="","",助理班表!$C17)</f>
        <v/>
      </c>
      <c r="G390" s="16">
        <f>IF($C390="","",助理班表!T17)</f>
        <v/>
      </c>
      <c r="H390" s="83">
        <f>IF($G390="","",IFERROR(IF(INDEX(設定!$D$6:$D$21,MATCH($G390,設定!$B$6:$B$21,0))=0,"",INDEX(設定!$D$6:$D$21,MATCH($G390,設定!$B$6:$B$21,0))),""))</f>
        <v/>
      </c>
      <c r="I390" s="83">
        <f>IF($G390="","",IFERROR(IF(INDEX(設定!$E$6:$E$21,MATCH($G390,設定!$B$6:$B$21,0))=0,"",INDEX(設定!$E$6:$E$21,MATCH($G390,設定!$B$6:$B$21,0))),""))</f>
        <v/>
      </c>
      <c r="J390" s="83">
        <f>IFERROR(INDEX(打卡匯入!$C$3:$C$2002,MATCH($C390&amp;"|"&amp;DAY($A390),打卡匯入!$E$3:$E$2002,0)),"")</f>
        <v/>
      </c>
      <c r="K390" s="83">
        <f>IFERROR(INDEX(打卡匯入!$D$3:$D$2002,MATCH($C390&amp;"|"&amp;DAY($A390),打卡匯入!$E$3:$E$2002,0)),"")</f>
        <v/>
      </c>
      <c r="L390" s="84">
        <f>IF(OR($J390="",$K390=""),"",IFERROR(INDEX(設定!$F$6:$F$21,MATCH($G390,設定!$B$6:$B$21,0)),0))</f>
        <v/>
      </c>
      <c r="M390" s="85">
        <f>IF(OR($J390="",$K390=""),"",ROUND(($K390-$J390)*24-$L390/60,2))</f>
        <v/>
      </c>
      <c r="N390" s="16">
        <f>IF($C390="","",IF(AND(COUNTIF(設定!$B$15:$B$21,$G390)&gt;0,$J390&lt;&gt;""),"假日出勤",IF(AND(COUNTIF(設定!$B$6:$B$14,$G390)&gt;0,$J390=""),"未打卡",IF($J390="","",IF($O390&gt;0,"遲到",IF($P390&gt;0,"早退","正常"))))))</f>
        <v/>
      </c>
      <c r="O390" s="84">
        <f>IF(OR($C390="",$H390="",$J390=""),0,IF(ROUND(($J390-$H390)*1440,0)&gt;設定!$C$46,ROUND(($J390-$H390)*1440,0),0))</f>
        <v/>
      </c>
      <c r="P390" s="84">
        <f>IF(OR($C390="",$I390="",$K390=""),0,IF(ROUND(($I390-$K390)*1440,0)&gt;設定!$C$46,ROUND(($I390-$K390)*1440,0),0))</f>
        <v/>
      </c>
      <c r="Q390" s="85">
        <f>IF($M390="",0,IF(($M390-IFERROR(INDEX(設定!$G$6:$G$21,MATCH($G390,設定!$B$6:$B$21,0)),0))*60&gt;=設定!$C$44,ROUND(FLOOR(($M390-IFERROR(INDEX(設定!$G$6:$G$21,MATCH($G390,設定!$B$6:$B$21,0)),0))*60,設定!$C$45)/60,2),0))</f>
        <v/>
      </c>
      <c r="R390" s="16">
        <f>IF(OR($C390="",$Q390=0),"",IF($G390="國","國定假日",IF($B390="日","例假",IF($B390="六","休息日","平日"))))</f>
        <v/>
      </c>
      <c r="S390" s="19" t="n"/>
    </row>
    <row r="391">
      <c r="A391" s="82">
        <f>IF(OR(助理班表!$A17="",17&gt;DAY(EOMONTH(DATE(設定!$C$2,設定!$D$2,1),0))),"",DATE(設定!$C$2,設定!$D$2,17))</f>
        <v/>
      </c>
      <c r="B391" s="16">
        <f>IF($A391="","",INDEX(設定!$O$6:$O$12,WEEKDAY($A391,1)))</f>
        <v/>
      </c>
      <c r="C391" s="16">
        <f>IF($A391="","",助理班表!$A17)</f>
        <v/>
      </c>
      <c r="D391" s="16">
        <f>IF($C391="","",助理班表!$B17)</f>
        <v/>
      </c>
      <c r="E391" s="16">
        <f>IF($C391="","",助理班表!$D17)</f>
        <v/>
      </c>
      <c r="F391" s="16">
        <f>IF($C391="","",助理班表!$C17)</f>
        <v/>
      </c>
      <c r="G391" s="16">
        <f>IF($C391="","",助理班表!U17)</f>
        <v/>
      </c>
      <c r="H391" s="83">
        <f>IF($G391="","",IFERROR(IF(INDEX(設定!$D$6:$D$21,MATCH($G391,設定!$B$6:$B$21,0))=0,"",INDEX(設定!$D$6:$D$21,MATCH($G391,設定!$B$6:$B$21,0))),""))</f>
        <v/>
      </c>
      <c r="I391" s="83">
        <f>IF($G391="","",IFERROR(IF(INDEX(設定!$E$6:$E$21,MATCH($G391,設定!$B$6:$B$21,0))=0,"",INDEX(設定!$E$6:$E$21,MATCH($G391,設定!$B$6:$B$21,0))),""))</f>
        <v/>
      </c>
      <c r="J391" s="83">
        <f>IFERROR(INDEX(打卡匯入!$C$3:$C$2002,MATCH($C391&amp;"|"&amp;DAY($A391),打卡匯入!$E$3:$E$2002,0)),"")</f>
        <v/>
      </c>
      <c r="K391" s="83">
        <f>IFERROR(INDEX(打卡匯入!$D$3:$D$2002,MATCH($C391&amp;"|"&amp;DAY($A391),打卡匯入!$E$3:$E$2002,0)),"")</f>
        <v/>
      </c>
      <c r="L391" s="84">
        <f>IF(OR($J391="",$K391=""),"",IFERROR(INDEX(設定!$F$6:$F$21,MATCH($G391,設定!$B$6:$B$21,0)),0))</f>
        <v/>
      </c>
      <c r="M391" s="85">
        <f>IF(OR($J391="",$K391=""),"",ROUND(($K391-$J391)*24-$L391/60,2))</f>
        <v/>
      </c>
      <c r="N391" s="16">
        <f>IF($C391="","",IF(AND(COUNTIF(設定!$B$15:$B$21,$G391)&gt;0,$J391&lt;&gt;""),"假日出勤",IF(AND(COUNTIF(設定!$B$6:$B$14,$G391)&gt;0,$J391=""),"未打卡",IF($J391="","",IF($O391&gt;0,"遲到",IF($P391&gt;0,"早退","正常"))))))</f>
        <v/>
      </c>
      <c r="O391" s="84">
        <f>IF(OR($C391="",$H391="",$J391=""),0,IF(ROUND(($J391-$H391)*1440,0)&gt;設定!$C$46,ROUND(($J391-$H391)*1440,0),0))</f>
        <v/>
      </c>
      <c r="P391" s="84">
        <f>IF(OR($C391="",$I391="",$K391=""),0,IF(ROUND(($I391-$K391)*1440,0)&gt;設定!$C$46,ROUND(($I391-$K391)*1440,0),0))</f>
        <v/>
      </c>
      <c r="Q391" s="85">
        <f>IF($M391="",0,IF(($M391-IFERROR(INDEX(設定!$G$6:$G$21,MATCH($G391,設定!$B$6:$B$21,0)),0))*60&gt;=設定!$C$44,ROUND(FLOOR(($M391-IFERROR(INDEX(設定!$G$6:$G$21,MATCH($G391,設定!$B$6:$B$21,0)),0))*60,設定!$C$45)/60,2),0))</f>
        <v/>
      </c>
      <c r="R391" s="16">
        <f>IF(OR($C391="",$Q391=0),"",IF($G391="國","國定假日",IF($B391="日","例假",IF($B391="六","休息日","平日"))))</f>
        <v/>
      </c>
      <c r="S391" s="19" t="n"/>
    </row>
    <row r="392">
      <c r="A392" s="82">
        <f>IF(OR(助理班表!$A17="",18&gt;DAY(EOMONTH(DATE(設定!$C$2,設定!$D$2,1),0))),"",DATE(設定!$C$2,設定!$D$2,18))</f>
        <v/>
      </c>
      <c r="B392" s="16">
        <f>IF($A392="","",INDEX(設定!$O$6:$O$12,WEEKDAY($A392,1)))</f>
        <v/>
      </c>
      <c r="C392" s="16">
        <f>IF($A392="","",助理班表!$A17)</f>
        <v/>
      </c>
      <c r="D392" s="16">
        <f>IF($C392="","",助理班表!$B17)</f>
        <v/>
      </c>
      <c r="E392" s="16">
        <f>IF($C392="","",助理班表!$D17)</f>
        <v/>
      </c>
      <c r="F392" s="16">
        <f>IF($C392="","",助理班表!$C17)</f>
        <v/>
      </c>
      <c r="G392" s="16">
        <f>IF($C392="","",助理班表!V17)</f>
        <v/>
      </c>
      <c r="H392" s="83">
        <f>IF($G392="","",IFERROR(IF(INDEX(設定!$D$6:$D$21,MATCH($G392,設定!$B$6:$B$21,0))=0,"",INDEX(設定!$D$6:$D$21,MATCH($G392,設定!$B$6:$B$21,0))),""))</f>
        <v/>
      </c>
      <c r="I392" s="83">
        <f>IF($G392="","",IFERROR(IF(INDEX(設定!$E$6:$E$21,MATCH($G392,設定!$B$6:$B$21,0))=0,"",INDEX(設定!$E$6:$E$21,MATCH($G392,設定!$B$6:$B$21,0))),""))</f>
        <v/>
      </c>
      <c r="J392" s="83">
        <f>IFERROR(INDEX(打卡匯入!$C$3:$C$2002,MATCH($C392&amp;"|"&amp;DAY($A392),打卡匯入!$E$3:$E$2002,0)),"")</f>
        <v/>
      </c>
      <c r="K392" s="83">
        <f>IFERROR(INDEX(打卡匯入!$D$3:$D$2002,MATCH($C392&amp;"|"&amp;DAY($A392),打卡匯入!$E$3:$E$2002,0)),"")</f>
        <v/>
      </c>
      <c r="L392" s="84">
        <f>IF(OR($J392="",$K392=""),"",IFERROR(INDEX(設定!$F$6:$F$21,MATCH($G392,設定!$B$6:$B$21,0)),0))</f>
        <v/>
      </c>
      <c r="M392" s="85">
        <f>IF(OR($J392="",$K392=""),"",ROUND(($K392-$J392)*24-$L392/60,2))</f>
        <v/>
      </c>
      <c r="N392" s="16">
        <f>IF($C392="","",IF(AND(COUNTIF(設定!$B$15:$B$21,$G392)&gt;0,$J392&lt;&gt;""),"假日出勤",IF(AND(COUNTIF(設定!$B$6:$B$14,$G392)&gt;0,$J392=""),"未打卡",IF($J392="","",IF($O392&gt;0,"遲到",IF($P392&gt;0,"早退","正常"))))))</f>
        <v/>
      </c>
      <c r="O392" s="84">
        <f>IF(OR($C392="",$H392="",$J392=""),0,IF(ROUND(($J392-$H392)*1440,0)&gt;設定!$C$46,ROUND(($J392-$H392)*1440,0),0))</f>
        <v/>
      </c>
      <c r="P392" s="84">
        <f>IF(OR($C392="",$I392="",$K392=""),0,IF(ROUND(($I392-$K392)*1440,0)&gt;設定!$C$46,ROUND(($I392-$K392)*1440,0),0))</f>
        <v/>
      </c>
      <c r="Q392" s="85">
        <f>IF($M392="",0,IF(($M392-IFERROR(INDEX(設定!$G$6:$G$21,MATCH($G392,設定!$B$6:$B$21,0)),0))*60&gt;=設定!$C$44,ROUND(FLOOR(($M392-IFERROR(INDEX(設定!$G$6:$G$21,MATCH($G392,設定!$B$6:$B$21,0)),0))*60,設定!$C$45)/60,2),0))</f>
        <v/>
      </c>
      <c r="R392" s="16">
        <f>IF(OR($C392="",$Q392=0),"",IF($G392="國","國定假日",IF($B392="日","例假",IF($B392="六","休息日","平日"))))</f>
        <v/>
      </c>
      <c r="S392" s="19" t="n"/>
    </row>
    <row r="393">
      <c r="A393" s="82">
        <f>IF(OR(助理班表!$A17="",19&gt;DAY(EOMONTH(DATE(設定!$C$2,設定!$D$2,1),0))),"",DATE(設定!$C$2,設定!$D$2,19))</f>
        <v/>
      </c>
      <c r="B393" s="16">
        <f>IF($A393="","",INDEX(設定!$O$6:$O$12,WEEKDAY($A393,1)))</f>
        <v/>
      </c>
      <c r="C393" s="16">
        <f>IF($A393="","",助理班表!$A17)</f>
        <v/>
      </c>
      <c r="D393" s="16">
        <f>IF($C393="","",助理班表!$B17)</f>
        <v/>
      </c>
      <c r="E393" s="16">
        <f>IF($C393="","",助理班表!$D17)</f>
        <v/>
      </c>
      <c r="F393" s="16">
        <f>IF($C393="","",助理班表!$C17)</f>
        <v/>
      </c>
      <c r="G393" s="16">
        <f>IF($C393="","",助理班表!W17)</f>
        <v/>
      </c>
      <c r="H393" s="83">
        <f>IF($G393="","",IFERROR(IF(INDEX(設定!$D$6:$D$21,MATCH($G393,設定!$B$6:$B$21,0))=0,"",INDEX(設定!$D$6:$D$21,MATCH($G393,設定!$B$6:$B$21,0))),""))</f>
        <v/>
      </c>
      <c r="I393" s="83">
        <f>IF($G393="","",IFERROR(IF(INDEX(設定!$E$6:$E$21,MATCH($G393,設定!$B$6:$B$21,0))=0,"",INDEX(設定!$E$6:$E$21,MATCH($G393,設定!$B$6:$B$21,0))),""))</f>
        <v/>
      </c>
      <c r="J393" s="83">
        <f>IFERROR(INDEX(打卡匯入!$C$3:$C$2002,MATCH($C393&amp;"|"&amp;DAY($A393),打卡匯入!$E$3:$E$2002,0)),"")</f>
        <v/>
      </c>
      <c r="K393" s="83">
        <f>IFERROR(INDEX(打卡匯入!$D$3:$D$2002,MATCH($C393&amp;"|"&amp;DAY($A393),打卡匯入!$E$3:$E$2002,0)),"")</f>
        <v/>
      </c>
      <c r="L393" s="84">
        <f>IF(OR($J393="",$K393=""),"",IFERROR(INDEX(設定!$F$6:$F$21,MATCH($G393,設定!$B$6:$B$21,0)),0))</f>
        <v/>
      </c>
      <c r="M393" s="85">
        <f>IF(OR($J393="",$K393=""),"",ROUND(($K393-$J393)*24-$L393/60,2))</f>
        <v/>
      </c>
      <c r="N393" s="16">
        <f>IF($C393="","",IF(AND(COUNTIF(設定!$B$15:$B$21,$G393)&gt;0,$J393&lt;&gt;""),"假日出勤",IF(AND(COUNTIF(設定!$B$6:$B$14,$G393)&gt;0,$J393=""),"未打卡",IF($J393="","",IF($O393&gt;0,"遲到",IF($P393&gt;0,"早退","正常"))))))</f>
        <v/>
      </c>
      <c r="O393" s="84">
        <f>IF(OR($C393="",$H393="",$J393=""),0,IF(ROUND(($J393-$H393)*1440,0)&gt;設定!$C$46,ROUND(($J393-$H393)*1440,0),0))</f>
        <v/>
      </c>
      <c r="P393" s="84">
        <f>IF(OR($C393="",$I393="",$K393=""),0,IF(ROUND(($I393-$K393)*1440,0)&gt;設定!$C$46,ROUND(($I393-$K393)*1440,0),0))</f>
        <v/>
      </c>
      <c r="Q393" s="85">
        <f>IF($M393="",0,IF(($M393-IFERROR(INDEX(設定!$G$6:$G$21,MATCH($G393,設定!$B$6:$B$21,0)),0))*60&gt;=設定!$C$44,ROUND(FLOOR(($M393-IFERROR(INDEX(設定!$G$6:$G$21,MATCH($G393,設定!$B$6:$B$21,0)),0))*60,設定!$C$45)/60,2),0))</f>
        <v/>
      </c>
      <c r="R393" s="16">
        <f>IF(OR($C393="",$Q393=0),"",IF($G393="國","國定假日",IF($B393="日","例假",IF($B393="六","休息日","平日"))))</f>
        <v/>
      </c>
      <c r="S393" s="19" t="n"/>
    </row>
    <row r="394">
      <c r="A394" s="82">
        <f>IF(OR(助理班表!$A17="",20&gt;DAY(EOMONTH(DATE(設定!$C$2,設定!$D$2,1),0))),"",DATE(設定!$C$2,設定!$D$2,20))</f>
        <v/>
      </c>
      <c r="B394" s="16">
        <f>IF($A394="","",INDEX(設定!$O$6:$O$12,WEEKDAY($A394,1)))</f>
        <v/>
      </c>
      <c r="C394" s="16">
        <f>IF($A394="","",助理班表!$A17)</f>
        <v/>
      </c>
      <c r="D394" s="16">
        <f>IF($C394="","",助理班表!$B17)</f>
        <v/>
      </c>
      <c r="E394" s="16">
        <f>IF($C394="","",助理班表!$D17)</f>
        <v/>
      </c>
      <c r="F394" s="16">
        <f>IF($C394="","",助理班表!$C17)</f>
        <v/>
      </c>
      <c r="G394" s="16">
        <f>IF($C394="","",助理班表!X17)</f>
        <v/>
      </c>
      <c r="H394" s="83">
        <f>IF($G394="","",IFERROR(IF(INDEX(設定!$D$6:$D$21,MATCH($G394,設定!$B$6:$B$21,0))=0,"",INDEX(設定!$D$6:$D$21,MATCH($G394,設定!$B$6:$B$21,0))),""))</f>
        <v/>
      </c>
      <c r="I394" s="83">
        <f>IF($G394="","",IFERROR(IF(INDEX(設定!$E$6:$E$21,MATCH($G394,設定!$B$6:$B$21,0))=0,"",INDEX(設定!$E$6:$E$21,MATCH($G394,設定!$B$6:$B$21,0))),""))</f>
        <v/>
      </c>
      <c r="J394" s="83">
        <f>IFERROR(INDEX(打卡匯入!$C$3:$C$2002,MATCH($C394&amp;"|"&amp;DAY($A394),打卡匯入!$E$3:$E$2002,0)),"")</f>
        <v/>
      </c>
      <c r="K394" s="83">
        <f>IFERROR(INDEX(打卡匯入!$D$3:$D$2002,MATCH($C394&amp;"|"&amp;DAY($A394),打卡匯入!$E$3:$E$2002,0)),"")</f>
        <v/>
      </c>
      <c r="L394" s="84">
        <f>IF(OR($J394="",$K394=""),"",IFERROR(INDEX(設定!$F$6:$F$21,MATCH($G394,設定!$B$6:$B$21,0)),0))</f>
        <v/>
      </c>
      <c r="M394" s="85">
        <f>IF(OR($J394="",$K394=""),"",ROUND(($K394-$J394)*24-$L394/60,2))</f>
        <v/>
      </c>
      <c r="N394" s="16">
        <f>IF($C394="","",IF(AND(COUNTIF(設定!$B$15:$B$21,$G394)&gt;0,$J394&lt;&gt;""),"假日出勤",IF(AND(COUNTIF(設定!$B$6:$B$14,$G394)&gt;0,$J394=""),"未打卡",IF($J394="","",IF($O394&gt;0,"遲到",IF($P394&gt;0,"早退","正常"))))))</f>
        <v/>
      </c>
      <c r="O394" s="84">
        <f>IF(OR($C394="",$H394="",$J394=""),0,IF(ROUND(($J394-$H394)*1440,0)&gt;設定!$C$46,ROUND(($J394-$H394)*1440,0),0))</f>
        <v/>
      </c>
      <c r="P394" s="84">
        <f>IF(OR($C394="",$I394="",$K394=""),0,IF(ROUND(($I394-$K394)*1440,0)&gt;設定!$C$46,ROUND(($I394-$K394)*1440,0),0))</f>
        <v/>
      </c>
      <c r="Q394" s="85">
        <f>IF($M394="",0,IF(($M394-IFERROR(INDEX(設定!$G$6:$G$21,MATCH($G394,設定!$B$6:$B$21,0)),0))*60&gt;=設定!$C$44,ROUND(FLOOR(($M394-IFERROR(INDEX(設定!$G$6:$G$21,MATCH($G394,設定!$B$6:$B$21,0)),0))*60,設定!$C$45)/60,2),0))</f>
        <v/>
      </c>
      <c r="R394" s="16">
        <f>IF(OR($C394="",$Q394=0),"",IF($G394="國","國定假日",IF($B394="日","例假",IF($B394="六","休息日","平日"))))</f>
        <v/>
      </c>
      <c r="S394" s="19" t="n"/>
    </row>
    <row r="395">
      <c r="A395" s="82">
        <f>IF(OR(助理班表!$A17="",21&gt;DAY(EOMONTH(DATE(設定!$C$2,設定!$D$2,1),0))),"",DATE(設定!$C$2,設定!$D$2,21))</f>
        <v/>
      </c>
      <c r="B395" s="16">
        <f>IF($A395="","",INDEX(設定!$O$6:$O$12,WEEKDAY($A395,1)))</f>
        <v/>
      </c>
      <c r="C395" s="16">
        <f>IF($A395="","",助理班表!$A17)</f>
        <v/>
      </c>
      <c r="D395" s="16">
        <f>IF($C395="","",助理班表!$B17)</f>
        <v/>
      </c>
      <c r="E395" s="16">
        <f>IF($C395="","",助理班表!$D17)</f>
        <v/>
      </c>
      <c r="F395" s="16">
        <f>IF($C395="","",助理班表!$C17)</f>
        <v/>
      </c>
      <c r="G395" s="16">
        <f>IF($C395="","",助理班表!Y17)</f>
        <v/>
      </c>
      <c r="H395" s="83">
        <f>IF($G395="","",IFERROR(IF(INDEX(設定!$D$6:$D$21,MATCH($G395,設定!$B$6:$B$21,0))=0,"",INDEX(設定!$D$6:$D$21,MATCH($G395,設定!$B$6:$B$21,0))),""))</f>
        <v/>
      </c>
      <c r="I395" s="83">
        <f>IF($G395="","",IFERROR(IF(INDEX(設定!$E$6:$E$21,MATCH($G395,設定!$B$6:$B$21,0))=0,"",INDEX(設定!$E$6:$E$21,MATCH($G395,設定!$B$6:$B$21,0))),""))</f>
        <v/>
      </c>
      <c r="J395" s="83">
        <f>IFERROR(INDEX(打卡匯入!$C$3:$C$2002,MATCH($C395&amp;"|"&amp;DAY($A395),打卡匯入!$E$3:$E$2002,0)),"")</f>
        <v/>
      </c>
      <c r="K395" s="83">
        <f>IFERROR(INDEX(打卡匯入!$D$3:$D$2002,MATCH($C395&amp;"|"&amp;DAY($A395),打卡匯入!$E$3:$E$2002,0)),"")</f>
        <v/>
      </c>
      <c r="L395" s="84">
        <f>IF(OR($J395="",$K395=""),"",IFERROR(INDEX(設定!$F$6:$F$21,MATCH($G395,設定!$B$6:$B$21,0)),0))</f>
        <v/>
      </c>
      <c r="M395" s="85">
        <f>IF(OR($J395="",$K395=""),"",ROUND(($K395-$J395)*24-$L395/60,2))</f>
        <v/>
      </c>
      <c r="N395" s="16">
        <f>IF($C395="","",IF(AND(COUNTIF(設定!$B$15:$B$21,$G395)&gt;0,$J395&lt;&gt;""),"假日出勤",IF(AND(COUNTIF(設定!$B$6:$B$14,$G395)&gt;0,$J395=""),"未打卡",IF($J395="","",IF($O395&gt;0,"遲到",IF($P395&gt;0,"早退","正常"))))))</f>
        <v/>
      </c>
      <c r="O395" s="84">
        <f>IF(OR($C395="",$H395="",$J395=""),0,IF(ROUND(($J395-$H395)*1440,0)&gt;設定!$C$46,ROUND(($J395-$H395)*1440,0),0))</f>
        <v/>
      </c>
      <c r="P395" s="84">
        <f>IF(OR($C395="",$I395="",$K395=""),0,IF(ROUND(($I395-$K395)*1440,0)&gt;設定!$C$46,ROUND(($I395-$K395)*1440,0),0))</f>
        <v/>
      </c>
      <c r="Q395" s="85">
        <f>IF($M395="",0,IF(($M395-IFERROR(INDEX(設定!$G$6:$G$21,MATCH($G395,設定!$B$6:$B$21,0)),0))*60&gt;=設定!$C$44,ROUND(FLOOR(($M395-IFERROR(INDEX(設定!$G$6:$G$21,MATCH($G395,設定!$B$6:$B$21,0)),0))*60,設定!$C$45)/60,2),0))</f>
        <v/>
      </c>
      <c r="R395" s="16">
        <f>IF(OR($C395="",$Q395=0),"",IF($G395="國","國定假日",IF($B395="日","例假",IF($B395="六","休息日","平日"))))</f>
        <v/>
      </c>
      <c r="S395" s="19" t="n"/>
    </row>
    <row r="396">
      <c r="A396" s="82">
        <f>IF(OR(助理班表!$A17="",22&gt;DAY(EOMONTH(DATE(設定!$C$2,設定!$D$2,1),0))),"",DATE(設定!$C$2,設定!$D$2,22))</f>
        <v/>
      </c>
      <c r="B396" s="16">
        <f>IF($A396="","",INDEX(設定!$O$6:$O$12,WEEKDAY($A396,1)))</f>
        <v/>
      </c>
      <c r="C396" s="16">
        <f>IF($A396="","",助理班表!$A17)</f>
        <v/>
      </c>
      <c r="D396" s="16">
        <f>IF($C396="","",助理班表!$B17)</f>
        <v/>
      </c>
      <c r="E396" s="16">
        <f>IF($C396="","",助理班表!$D17)</f>
        <v/>
      </c>
      <c r="F396" s="16">
        <f>IF($C396="","",助理班表!$C17)</f>
        <v/>
      </c>
      <c r="G396" s="16">
        <f>IF($C396="","",助理班表!Z17)</f>
        <v/>
      </c>
      <c r="H396" s="83">
        <f>IF($G396="","",IFERROR(IF(INDEX(設定!$D$6:$D$21,MATCH($G396,設定!$B$6:$B$21,0))=0,"",INDEX(設定!$D$6:$D$21,MATCH($G396,設定!$B$6:$B$21,0))),""))</f>
        <v/>
      </c>
      <c r="I396" s="83">
        <f>IF($G396="","",IFERROR(IF(INDEX(設定!$E$6:$E$21,MATCH($G396,設定!$B$6:$B$21,0))=0,"",INDEX(設定!$E$6:$E$21,MATCH($G396,設定!$B$6:$B$21,0))),""))</f>
        <v/>
      </c>
      <c r="J396" s="83">
        <f>IFERROR(INDEX(打卡匯入!$C$3:$C$2002,MATCH($C396&amp;"|"&amp;DAY($A396),打卡匯入!$E$3:$E$2002,0)),"")</f>
        <v/>
      </c>
      <c r="K396" s="83">
        <f>IFERROR(INDEX(打卡匯入!$D$3:$D$2002,MATCH($C396&amp;"|"&amp;DAY($A396),打卡匯入!$E$3:$E$2002,0)),"")</f>
        <v/>
      </c>
      <c r="L396" s="84">
        <f>IF(OR($J396="",$K396=""),"",IFERROR(INDEX(設定!$F$6:$F$21,MATCH($G396,設定!$B$6:$B$21,0)),0))</f>
        <v/>
      </c>
      <c r="M396" s="85">
        <f>IF(OR($J396="",$K396=""),"",ROUND(($K396-$J396)*24-$L396/60,2))</f>
        <v/>
      </c>
      <c r="N396" s="16">
        <f>IF($C396="","",IF(AND(COUNTIF(設定!$B$15:$B$21,$G396)&gt;0,$J396&lt;&gt;""),"假日出勤",IF(AND(COUNTIF(設定!$B$6:$B$14,$G396)&gt;0,$J396=""),"未打卡",IF($J396="","",IF($O396&gt;0,"遲到",IF($P396&gt;0,"早退","正常"))))))</f>
        <v/>
      </c>
      <c r="O396" s="84">
        <f>IF(OR($C396="",$H396="",$J396=""),0,IF(ROUND(($J396-$H396)*1440,0)&gt;設定!$C$46,ROUND(($J396-$H396)*1440,0),0))</f>
        <v/>
      </c>
      <c r="P396" s="84">
        <f>IF(OR($C396="",$I396="",$K396=""),0,IF(ROUND(($I396-$K396)*1440,0)&gt;設定!$C$46,ROUND(($I396-$K396)*1440,0),0))</f>
        <v/>
      </c>
      <c r="Q396" s="85">
        <f>IF($M396="",0,IF(($M396-IFERROR(INDEX(設定!$G$6:$G$21,MATCH($G396,設定!$B$6:$B$21,0)),0))*60&gt;=設定!$C$44,ROUND(FLOOR(($M396-IFERROR(INDEX(設定!$G$6:$G$21,MATCH($G396,設定!$B$6:$B$21,0)),0))*60,設定!$C$45)/60,2),0))</f>
        <v/>
      </c>
      <c r="R396" s="16">
        <f>IF(OR($C396="",$Q396=0),"",IF($G396="國","國定假日",IF($B396="日","例假",IF($B396="六","休息日","平日"))))</f>
        <v/>
      </c>
      <c r="S396" s="19" t="n"/>
    </row>
    <row r="397">
      <c r="A397" s="82">
        <f>IF(OR(助理班表!$A17="",23&gt;DAY(EOMONTH(DATE(設定!$C$2,設定!$D$2,1),0))),"",DATE(設定!$C$2,設定!$D$2,23))</f>
        <v/>
      </c>
      <c r="B397" s="16">
        <f>IF($A397="","",INDEX(設定!$O$6:$O$12,WEEKDAY($A397,1)))</f>
        <v/>
      </c>
      <c r="C397" s="16">
        <f>IF($A397="","",助理班表!$A17)</f>
        <v/>
      </c>
      <c r="D397" s="16">
        <f>IF($C397="","",助理班表!$B17)</f>
        <v/>
      </c>
      <c r="E397" s="16">
        <f>IF($C397="","",助理班表!$D17)</f>
        <v/>
      </c>
      <c r="F397" s="16">
        <f>IF($C397="","",助理班表!$C17)</f>
        <v/>
      </c>
      <c r="G397" s="16">
        <f>IF($C397="","",助理班表!AA17)</f>
        <v/>
      </c>
      <c r="H397" s="83">
        <f>IF($G397="","",IFERROR(IF(INDEX(設定!$D$6:$D$21,MATCH($G397,設定!$B$6:$B$21,0))=0,"",INDEX(設定!$D$6:$D$21,MATCH($G397,設定!$B$6:$B$21,0))),""))</f>
        <v/>
      </c>
      <c r="I397" s="83">
        <f>IF($G397="","",IFERROR(IF(INDEX(設定!$E$6:$E$21,MATCH($G397,設定!$B$6:$B$21,0))=0,"",INDEX(設定!$E$6:$E$21,MATCH($G397,設定!$B$6:$B$21,0))),""))</f>
        <v/>
      </c>
      <c r="J397" s="83">
        <f>IFERROR(INDEX(打卡匯入!$C$3:$C$2002,MATCH($C397&amp;"|"&amp;DAY($A397),打卡匯入!$E$3:$E$2002,0)),"")</f>
        <v/>
      </c>
      <c r="K397" s="83">
        <f>IFERROR(INDEX(打卡匯入!$D$3:$D$2002,MATCH($C397&amp;"|"&amp;DAY($A397),打卡匯入!$E$3:$E$2002,0)),"")</f>
        <v/>
      </c>
      <c r="L397" s="84">
        <f>IF(OR($J397="",$K397=""),"",IFERROR(INDEX(設定!$F$6:$F$21,MATCH($G397,設定!$B$6:$B$21,0)),0))</f>
        <v/>
      </c>
      <c r="M397" s="85">
        <f>IF(OR($J397="",$K397=""),"",ROUND(($K397-$J397)*24-$L397/60,2))</f>
        <v/>
      </c>
      <c r="N397" s="16">
        <f>IF($C397="","",IF(AND(COUNTIF(設定!$B$15:$B$21,$G397)&gt;0,$J397&lt;&gt;""),"假日出勤",IF(AND(COUNTIF(設定!$B$6:$B$14,$G397)&gt;0,$J397=""),"未打卡",IF($J397="","",IF($O397&gt;0,"遲到",IF($P397&gt;0,"早退","正常"))))))</f>
        <v/>
      </c>
      <c r="O397" s="84">
        <f>IF(OR($C397="",$H397="",$J397=""),0,IF(ROUND(($J397-$H397)*1440,0)&gt;設定!$C$46,ROUND(($J397-$H397)*1440,0),0))</f>
        <v/>
      </c>
      <c r="P397" s="84">
        <f>IF(OR($C397="",$I397="",$K397=""),0,IF(ROUND(($I397-$K397)*1440,0)&gt;設定!$C$46,ROUND(($I397-$K397)*1440,0),0))</f>
        <v/>
      </c>
      <c r="Q397" s="85">
        <f>IF($M397="",0,IF(($M397-IFERROR(INDEX(設定!$G$6:$G$21,MATCH($G397,設定!$B$6:$B$21,0)),0))*60&gt;=設定!$C$44,ROUND(FLOOR(($M397-IFERROR(INDEX(設定!$G$6:$G$21,MATCH($G397,設定!$B$6:$B$21,0)),0))*60,設定!$C$45)/60,2),0))</f>
        <v/>
      </c>
      <c r="R397" s="16">
        <f>IF(OR($C397="",$Q397=0),"",IF($G397="國","國定假日",IF($B397="日","例假",IF($B397="六","休息日","平日"))))</f>
        <v/>
      </c>
      <c r="S397" s="19" t="n"/>
    </row>
    <row r="398">
      <c r="A398" s="82">
        <f>IF(OR(助理班表!$A17="",24&gt;DAY(EOMONTH(DATE(設定!$C$2,設定!$D$2,1),0))),"",DATE(設定!$C$2,設定!$D$2,24))</f>
        <v/>
      </c>
      <c r="B398" s="16">
        <f>IF($A398="","",INDEX(設定!$O$6:$O$12,WEEKDAY($A398,1)))</f>
        <v/>
      </c>
      <c r="C398" s="16">
        <f>IF($A398="","",助理班表!$A17)</f>
        <v/>
      </c>
      <c r="D398" s="16">
        <f>IF($C398="","",助理班表!$B17)</f>
        <v/>
      </c>
      <c r="E398" s="16">
        <f>IF($C398="","",助理班表!$D17)</f>
        <v/>
      </c>
      <c r="F398" s="16">
        <f>IF($C398="","",助理班表!$C17)</f>
        <v/>
      </c>
      <c r="G398" s="16">
        <f>IF($C398="","",助理班表!AB17)</f>
        <v/>
      </c>
      <c r="H398" s="83">
        <f>IF($G398="","",IFERROR(IF(INDEX(設定!$D$6:$D$21,MATCH($G398,設定!$B$6:$B$21,0))=0,"",INDEX(設定!$D$6:$D$21,MATCH($G398,設定!$B$6:$B$21,0))),""))</f>
        <v/>
      </c>
      <c r="I398" s="83">
        <f>IF($G398="","",IFERROR(IF(INDEX(設定!$E$6:$E$21,MATCH($G398,設定!$B$6:$B$21,0))=0,"",INDEX(設定!$E$6:$E$21,MATCH($G398,設定!$B$6:$B$21,0))),""))</f>
        <v/>
      </c>
      <c r="J398" s="83">
        <f>IFERROR(INDEX(打卡匯入!$C$3:$C$2002,MATCH($C398&amp;"|"&amp;DAY($A398),打卡匯入!$E$3:$E$2002,0)),"")</f>
        <v/>
      </c>
      <c r="K398" s="83">
        <f>IFERROR(INDEX(打卡匯入!$D$3:$D$2002,MATCH($C398&amp;"|"&amp;DAY($A398),打卡匯入!$E$3:$E$2002,0)),"")</f>
        <v/>
      </c>
      <c r="L398" s="84">
        <f>IF(OR($J398="",$K398=""),"",IFERROR(INDEX(設定!$F$6:$F$21,MATCH($G398,設定!$B$6:$B$21,0)),0))</f>
        <v/>
      </c>
      <c r="M398" s="85">
        <f>IF(OR($J398="",$K398=""),"",ROUND(($K398-$J398)*24-$L398/60,2))</f>
        <v/>
      </c>
      <c r="N398" s="16">
        <f>IF($C398="","",IF(AND(COUNTIF(設定!$B$15:$B$21,$G398)&gt;0,$J398&lt;&gt;""),"假日出勤",IF(AND(COUNTIF(設定!$B$6:$B$14,$G398)&gt;0,$J398=""),"未打卡",IF($J398="","",IF($O398&gt;0,"遲到",IF($P398&gt;0,"早退","正常"))))))</f>
        <v/>
      </c>
      <c r="O398" s="84">
        <f>IF(OR($C398="",$H398="",$J398=""),0,IF(ROUND(($J398-$H398)*1440,0)&gt;設定!$C$46,ROUND(($J398-$H398)*1440,0),0))</f>
        <v/>
      </c>
      <c r="P398" s="84">
        <f>IF(OR($C398="",$I398="",$K398=""),0,IF(ROUND(($I398-$K398)*1440,0)&gt;設定!$C$46,ROUND(($I398-$K398)*1440,0),0))</f>
        <v/>
      </c>
      <c r="Q398" s="85">
        <f>IF($M398="",0,IF(($M398-IFERROR(INDEX(設定!$G$6:$G$21,MATCH($G398,設定!$B$6:$B$21,0)),0))*60&gt;=設定!$C$44,ROUND(FLOOR(($M398-IFERROR(INDEX(設定!$G$6:$G$21,MATCH($G398,設定!$B$6:$B$21,0)),0))*60,設定!$C$45)/60,2),0))</f>
        <v/>
      </c>
      <c r="R398" s="16">
        <f>IF(OR($C398="",$Q398=0),"",IF($G398="國","國定假日",IF($B398="日","例假",IF($B398="六","休息日","平日"))))</f>
        <v/>
      </c>
      <c r="S398" s="19" t="n"/>
    </row>
    <row r="399">
      <c r="A399" s="82">
        <f>IF(OR(助理班表!$A17="",25&gt;DAY(EOMONTH(DATE(設定!$C$2,設定!$D$2,1),0))),"",DATE(設定!$C$2,設定!$D$2,25))</f>
        <v/>
      </c>
      <c r="B399" s="16">
        <f>IF($A399="","",INDEX(設定!$O$6:$O$12,WEEKDAY($A399,1)))</f>
        <v/>
      </c>
      <c r="C399" s="16">
        <f>IF($A399="","",助理班表!$A17)</f>
        <v/>
      </c>
      <c r="D399" s="16">
        <f>IF($C399="","",助理班表!$B17)</f>
        <v/>
      </c>
      <c r="E399" s="16">
        <f>IF($C399="","",助理班表!$D17)</f>
        <v/>
      </c>
      <c r="F399" s="16">
        <f>IF($C399="","",助理班表!$C17)</f>
        <v/>
      </c>
      <c r="G399" s="16">
        <f>IF($C399="","",助理班表!AC17)</f>
        <v/>
      </c>
      <c r="H399" s="83">
        <f>IF($G399="","",IFERROR(IF(INDEX(設定!$D$6:$D$21,MATCH($G399,設定!$B$6:$B$21,0))=0,"",INDEX(設定!$D$6:$D$21,MATCH($G399,設定!$B$6:$B$21,0))),""))</f>
        <v/>
      </c>
      <c r="I399" s="83">
        <f>IF($G399="","",IFERROR(IF(INDEX(設定!$E$6:$E$21,MATCH($G399,設定!$B$6:$B$21,0))=0,"",INDEX(設定!$E$6:$E$21,MATCH($G399,設定!$B$6:$B$21,0))),""))</f>
        <v/>
      </c>
      <c r="J399" s="83">
        <f>IFERROR(INDEX(打卡匯入!$C$3:$C$2002,MATCH($C399&amp;"|"&amp;DAY($A399),打卡匯入!$E$3:$E$2002,0)),"")</f>
        <v/>
      </c>
      <c r="K399" s="83">
        <f>IFERROR(INDEX(打卡匯入!$D$3:$D$2002,MATCH($C399&amp;"|"&amp;DAY($A399),打卡匯入!$E$3:$E$2002,0)),"")</f>
        <v/>
      </c>
      <c r="L399" s="84">
        <f>IF(OR($J399="",$K399=""),"",IFERROR(INDEX(設定!$F$6:$F$21,MATCH($G399,設定!$B$6:$B$21,0)),0))</f>
        <v/>
      </c>
      <c r="M399" s="85">
        <f>IF(OR($J399="",$K399=""),"",ROUND(($K399-$J399)*24-$L399/60,2))</f>
        <v/>
      </c>
      <c r="N399" s="16">
        <f>IF($C399="","",IF(AND(COUNTIF(設定!$B$15:$B$21,$G399)&gt;0,$J399&lt;&gt;""),"假日出勤",IF(AND(COUNTIF(設定!$B$6:$B$14,$G399)&gt;0,$J399=""),"未打卡",IF($J399="","",IF($O399&gt;0,"遲到",IF($P399&gt;0,"早退","正常"))))))</f>
        <v/>
      </c>
      <c r="O399" s="84">
        <f>IF(OR($C399="",$H399="",$J399=""),0,IF(ROUND(($J399-$H399)*1440,0)&gt;設定!$C$46,ROUND(($J399-$H399)*1440,0),0))</f>
        <v/>
      </c>
      <c r="P399" s="84">
        <f>IF(OR($C399="",$I399="",$K399=""),0,IF(ROUND(($I399-$K399)*1440,0)&gt;設定!$C$46,ROUND(($I399-$K399)*1440,0),0))</f>
        <v/>
      </c>
      <c r="Q399" s="85">
        <f>IF($M399="",0,IF(($M399-IFERROR(INDEX(設定!$G$6:$G$21,MATCH($G399,設定!$B$6:$B$21,0)),0))*60&gt;=設定!$C$44,ROUND(FLOOR(($M399-IFERROR(INDEX(設定!$G$6:$G$21,MATCH($G399,設定!$B$6:$B$21,0)),0))*60,設定!$C$45)/60,2),0))</f>
        <v/>
      </c>
      <c r="R399" s="16">
        <f>IF(OR($C399="",$Q399=0),"",IF($G399="國","國定假日",IF($B399="日","例假",IF($B399="六","休息日","平日"))))</f>
        <v/>
      </c>
      <c r="S399" s="19" t="n"/>
    </row>
    <row r="400">
      <c r="A400" s="82">
        <f>IF(OR(助理班表!$A17="",26&gt;DAY(EOMONTH(DATE(設定!$C$2,設定!$D$2,1),0))),"",DATE(設定!$C$2,設定!$D$2,26))</f>
        <v/>
      </c>
      <c r="B400" s="16">
        <f>IF($A400="","",INDEX(設定!$O$6:$O$12,WEEKDAY($A400,1)))</f>
        <v/>
      </c>
      <c r="C400" s="16">
        <f>IF($A400="","",助理班表!$A17)</f>
        <v/>
      </c>
      <c r="D400" s="16">
        <f>IF($C400="","",助理班表!$B17)</f>
        <v/>
      </c>
      <c r="E400" s="16">
        <f>IF($C400="","",助理班表!$D17)</f>
        <v/>
      </c>
      <c r="F400" s="16">
        <f>IF($C400="","",助理班表!$C17)</f>
        <v/>
      </c>
      <c r="G400" s="16">
        <f>IF($C400="","",助理班表!AD17)</f>
        <v/>
      </c>
      <c r="H400" s="83">
        <f>IF($G400="","",IFERROR(IF(INDEX(設定!$D$6:$D$21,MATCH($G400,設定!$B$6:$B$21,0))=0,"",INDEX(設定!$D$6:$D$21,MATCH($G400,設定!$B$6:$B$21,0))),""))</f>
        <v/>
      </c>
      <c r="I400" s="83">
        <f>IF($G400="","",IFERROR(IF(INDEX(設定!$E$6:$E$21,MATCH($G400,設定!$B$6:$B$21,0))=0,"",INDEX(設定!$E$6:$E$21,MATCH($G400,設定!$B$6:$B$21,0))),""))</f>
        <v/>
      </c>
      <c r="J400" s="83">
        <f>IFERROR(INDEX(打卡匯入!$C$3:$C$2002,MATCH($C400&amp;"|"&amp;DAY($A400),打卡匯入!$E$3:$E$2002,0)),"")</f>
        <v/>
      </c>
      <c r="K400" s="83">
        <f>IFERROR(INDEX(打卡匯入!$D$3:$D$2002,MATCH($C400&amp;"|"&amp;DAY($A400),打卡匯入!$E$3:$E$2002,0)),"")</f>
        <v/>
      </c>
      <c r="L400" s="84">
        <f>IF(OR($J400="",$K400=""),"",IFERROR(INDEX(設定!$F$6:$F$21,MATCH($G400,設定!$B$6:$B$21,0)),0))</f>
        <v/>
      </c>
      <c r="M400" s="85">
        <f>IF(OR($J400="",$K400=""),"",ROUND(($K400-$J400)*24-$L400/60,2))</f>
        <v/>
      </c>
      <c r="N400" s="16">
        <f>IF($C400="","",IF(AND(COUNTIF(設定!$B$15:$B$21,$G400)&gt;0,$J400&lt;&gt;""),"假日出勤",IF(AND(COUNTIF(設定!$B$6:$B$14,$G400)&gt;0,$J400=""),"未打卡",IF($J400="","",IF($O400&gt;0,"遲到",IF($P400&gt;0,"早退","正常"))))))</f>
        <v/>
      </c>
      <c r="O400" s="84">
        <f>IF(OR($C400="",$H400="",$J400=""),0,IF(ROUND(($J400-$H400)*1440,0)&gt;設定!$C$46,ROUND(($J400-$H400)*1440,0),0))</f>
        <v/>
      </c>
      <c r="P400" s="84">
        <f>IF(OR($C400="",$I400="",$K400=""),0,IF(ROUND(($I400-$K400)*1440,0)&gt;設定!$C$46,ROUND(($I400-$K400)*1440,0),0))</f>
        <v/>
      </c>
      <c r="Q400" s="85">
        <f>IF($M400="",0,IF(($M400-IFERROR(INDEX(設定!$G$6:$G$21,MATCH($G400,設定!$B$6:$B$21,0)),0))*60&gt;=設定!$C$44,ROUND(FLOOR(($M400-IFERROR(INDEX(設定!$G$6:$G$21,MATCH($G400,設定!$B$6:$B$21,0)),0))*60,設定!$C$45)/60,2),0))</f>
        <v/>
      </c>
      <c r="R400" s="16">
        <f>IF(OR($C400="",$Q400=0),"",IF($G400="國","國定假日",IF($B400="日","例假",IF($B400="六","休息日","平日"))))</f>
        <v/>
      </c>
      <c r="S400" s="19" t="n"/>
    </row>
    <row r="401">
      <c r="A401" s="82">
        <f>IF(OR(助理班表!$A17="",27&gt;DAY(EOMONTH(DATE(設定!$C$2,設定!$D$2,1),0))),"",DATE(設定!$C$2,設定!$D$2,27))</f>
        <v/>
      </c>
      <c r="B401" s="16">
        <f>IF($A401="","",INDEX(設定!$O$6:$O$12,WEEKDAY($A401,1)))</f>
        <v/>
      </c>
      <c r="C401" s="16">
        <f>IF($A401="","",助理班表!$A17)</f>
        <v/>
      </c>
      <c r="D401" s="16">
        <f>IF($C401="","",助理班表!$B17)</f>
        <v/>
      </c>
      <c r="E401" s="16">
        <f>IF($C401="","",助理班表!$D17)</f>
        <v/>
      </c>
      <c r="F401" s="16">
        <f>IF($C401="","",助理班表!$C17)</f>
        <v/>
      </c>
      <c r="G401" s="16">
        <f>IF($C401="","",助理班表!AE17)</f>
        <v/>
      </c>
      <c r="H401" s="83">
        <f>IF($G401="","",IFERROR(IF(INDEX(設定!$D$6:$D$21,MATCH($G401,設定!$B$6:$B$21,0))=0,"",INDEX(設定!$D$6:$D$21,MATCH($G401,設定!$B$6:$B$21,0))),""))</f>
        <v/>
      </c>
      <c r="I401" s="83">
        <f>IF($G401="","",IFERROR(IF(INDEX(設定!$E$6:$E$21,MATCH($G401,設定!$B$6:$B$21,0))=0,"",INDEX(設定!$E$6:$E$21,MATCH($G401,設定!$B$6:$B$21,0))),""))</f>
        <v/>
      </c>
      <c r="J401" s="83">
        <f>IFERROR(INDEX(打卡匯入!$C$3:$C$2002,MATCH($C401&amp;"|"&amp;DAY($A401),打卡匯入!$E$3:$E$2002,0)),"")</f>
        <v/>
      </c>
      <c r="K401" s="83">
        <f>IFERROR(INDEX(打卡匯入!$D$3:$D$2002,MATCH($C401&amp;"|"&amp;DAY($A401),打卡匯入!$E$3:$E$2002,0)),"")</f>
        <v/>
      </c>
      <c r="L401" s="84">
        <f>IF(OR($J401="",$K401=""),"",IFERROR(INDEX(設定!$F$6:$F$21,MATCH($G401,設定!$B$6:$B$21,0)),0))</f>
        <v/>
      </c>
      <c r="M401" s="85">
        <f>IF(OR($J401="",$K401=""),"",ROUND(($K401-$J401)*24-$L401/60,2))</f>
        <v/>
      </c>
      <c r="N401" s="16">
        <f>IF($C401="","",IF(AND(COUNTIF(設定!$B$15:$B$21,$G401)&gt;0,$J401&lt;&gt;""),"假日出勤",IF(AND(COUNTIF(設定!$B$6:$B$14,$G401)&gt;0,$J401=""),"未打卡",IF($J401="","",IF($O401&gt;0,"遲到",IF($P401&gt;0,"早退","正常"))))))</f>
        <v/>
      </c>
      <c r="O401" s="84">
        <f>IF(OR($C401="",$H401="",$J401=""),0,IF(ROUND(($J401-$H401)*1440,0)&gt;設定!$C$46,ROUND(($J401-$H401)*1440,0),0))</f>
        <v/>
      </c>
      <c r="P401" s="84">
        <f>IF(OR($C401="",$I401="",$K401=""),0,IF(ROUND(($I401-$K401)*1440,0)&gt;設定!$C$46,ROUND(($I401-$K401)*1440,0),0))</f>
        <v/>
      </c>
      <c r="Q401" s="85">
        <f>IF($M401="",0,IF(($M401-IFERROR(INDEX(設定!$G$6:$G$21,MATCH($G401,設定!$B$6:$B$21,0)),0))*60&gt;=設定!$C$44,ROUND(FLOOR(($M401-IFERROR(INDEX(設定!$G$6:$G$21,MATCH($G401,設定!$B$6:$B$21,0)),0))*60,設定!$C$45)/60,2),0))</f>
        <v/>
      </c>
      <c r="R401" s="16">
        <f>IF(OR($C401="",$Q401=0),"",IF($G401="國","國定假日",IF($B401="日","例假",IF($B401="六","休息日","平日"))))</f>
        <v/>
      </c>
      <c r="S401" s="19" t="n"/>
    </row>
    <row r="402">
      <c r="A402" s="82">
        <f>IF(OR(助理班表!$A17="",28&gt;DAY(EOMONTH(DATE(設定!$C$2,設定!$D$2,1),0))),"",DATE(設定!$C$2,設定!$D$2,28))</f>
        <v/>
      </c>
      <c r="B402" s="16">
        <f>IF($A402="","",INDEX(設定!$O$6:$O$12,WEEKDAY($A402,1)))</f>
        <v/>
      </c>
      <c r="C402" s="16">
        <f>IF($A402="","",助理班表!$A17)</f>
        <v/>
      </c>
      <c r="D402" s="16">
        <f>IF($C402="","",助理班表!$B17)</f>
        <v/>
      </c>
      <c r="E402" s="16">
        <f>IF($C402="","",助理班表!$D17)</f>
        <v/>
      </c>
      <c r="F402" s="16">
        <f>IF($C402="","",助理班表!$C17)</f>
        <v/>
      </c>
      <c r="G402" s="16">
        <f>IF($C402="","",助理班表!AF17)</f>
        <v/>
      </c>
      <c r="H402" s="83">
        <f>IF($G402="","",IFERROR(IF(INDEX(設定!$D$6:$D$21,MATCH($G402,設定!$B$6:$B$21,0))=0,"",INDEX(設定!$D$6:$D$21,MATCH($G402,設定!$B$6:$B$21,0))),""))</f>
        <v/>
      </c>
      <c r="I402" s="83">
        <f>IF($G402="","",IFERROR(IF(INDEX(設定!$E$6:$E$21,MATCH($G402,設定!$B$6:$B$21,0))=0,"",INDEX(設定!$E$6:$E$21,MATCH($G402,設定!$B$6:$B$21,0))),""))</f>
        <v/>
      </c>
      <c r="J402" s="83">
        <f>IFERROR(INDEX(打卡匯入!$C$3:$C$2002,MATCH($C402&amp;"|"&amp;DAY($A402),打卡匯入!$E$3:$E$2002,0)),"")</f>
        <v/>
      </c>
      <c r="K402" s="83">
        <f>IFERROR(INDEX(打卡匯入!$D$3:$D$2002,MATCH($C402&amp;"|"&amp;DAY($A402),打卡匯入!$E$3:$E$2002,0)),"")</f>
        <v/>
      </c>
      <c r="L402" s="84">
        <f>IF(OR($J402="",$K402=""),"",IFERROR(INDEX(設定!$F$6:$F$21,MATCH($G402,設定!$B$6:$B$21,0)),0))</f>
        <v/>
      </c>
      <c r="M402" s="85">
        <f>IF(OR($J402="",$K402=""),"",ROUND(($K402-$J402)*24-$L402/60,2))</f>
        <v/>
      </c>
      <c r="N402" s="16">
        <f>IF($C402="","",IF(AND(COUNTIF(設定!$B$15:$B$21,$G402)&gt;0,$J402&lt;&gt;""),"假日出勤",IF(AND(COUNTIF(設定!$B$6:$B$14,$G402)&gt;0,$J402=""),"未打卡",IF($J402="","",IF($O402&gt;0,"遲到",IF($P402&gt;0,"早退","正常"))))))</f>
        <v/>
      </c>
      <c r="O402" s="84">
        <f>IF(OR($C402="",$H402="",$J402=""),0,IF(ROUND(($J402-$H402)*1440,0)&gt;設定!$C$46,ROUND(($J402-$H402)*1440,0),0))</f>
        <v/>
      </c>
      <c r="P402" s="84">
        <f>IF(OR($C402="",$I402="",$K402=""),0,IF(ROUND(($I402-$K402)*1440,0)&gt;設定!$C$46,ROUND(($I402-$K402)*1440,0),0))</f>
        <v/>
      </c>
      <c r="Q402" s="85">
        <f>IF($M402="",0,IF(($M402-IFERROR(INDEX(設定!$G$6:$G$21,MATCH($G402,設定!$B$6:$B$21,0)),0))*60&gt;=設定!$C$44,ROUND(FLOOR(($M402-IFERROR(INDEX(設定!$G$6:$G$21,MATCH($G402,設定!$B$6:$B$21,0)),0))*60,設定!$C$45)/60,2),0))</f>
        <v/>
      </c>
      <c r="R402" s="16">
        <f>IF(OR($C402="",$Q402=0),"",IF($G402="國","國定假日",IF($B402="日","例假",IF($B402="六","休息日","平日"))))</f>
        <v/>
      </c>
      <c r="S402" s="19" t="n"/>
    </row>
    <row r="403">
      <c r="A403" s="82">
        <f>IF(OR(助理班表!$A17="",29&gt;DAY(EOMONTH(DATE(設定!$C$2,設定!$D$2,1),0))),"",DATE(設定!$C$2,設定!$D$2,29))</f>
        <v/>
      </c>
      <c r="B403" s="16">
        <f>IF($A403="","",INDEX(設定!$O$6:$O$12,WEEKDAY($A403,1)))</f>
        <v/>
      </c>
      <c r="C403" s="16">
        <f>IF($A403="","",助理班表!$A17)</f>
        <v/>
      </c>
      <c r="D403" s="16">
        <f>IF($C403="","",助理班表!$B17)</f>
        <v/>
      </c>
      <c r="E403" s="16">
        <f>IF($C403="","",助理班表!$D17)</f>
        <v/>
      </c>
      <c r="F403" s="16">
        <f>IF($C403="","",助理班表!$C17)</f>
        <v/>
      </c>
      <c r="G403" s="16">
        <f>IF($C403="","",助理班表!AG17)</f>
        <v/>
      </c>
      <c r="H403" s="83">
        <f>IF($G403="","",IFERROR(IF(INDEX(設定!$D$6:$D$21,MATCH($G403,設定!$B$6:$B$21,0))=0,"",INDEX(設定!$D$6:$D$21,MATCH($G403,設定!$B$6:$B$21,0))),""))</f>
        <v/>
      </c>
      <c r="I403" s="83">
        <f>IF($G403="","",IFERROR(IF(INDEX(設定!$E$6:$E$21,MATCH($G403,設定!$B$6:$B$21,0))=0,"",INDEX(設定!$E$6:$E$21,MATCH($G403,設定!$B$6:$B$21,0))),""))</f>
        <v/>
      </c>
      <c r="J403" s="83">
        <f>IFERROR(INDEX(打卡匯入!$C$3:$C$2002,MATCH($C403&amp;"|"&amp;DAY($A403),打卡匯入!$E$3:$E$2002,0)),"")</f>
        <v/>
      </c>
      <c r="K403" s="83">
        <f>IFERROR(INDEX(打卡匯入!$D$3:$D$2002,MATCH($C403&amp;"|"&amp;DAY($A403),打卡匯入!$E$3:$E$2002,0)),"")</f>
        <v/>
      </c>
      <c r="L403" s="84">
        <f>IF(OR($J403="",$K403=""),"",IFERROR(INDEX(設定!$F$6:$F$21,MATCH($G403,設定!$B$6:$B$21,0)),0))</f>
        <v/>
      </c>
      <c r="M403" s="85">
        <f>IF(OR($J403="",$K403=""),"",ROUND(($K403-$J403)*24-$L403/60,2))</f>
        <v/>
      </c>
      <c r="N403" s="16">
        <f>IF($C403="","",IF(AND(COUNTIF(設定!$B$15:$B$21,$G403)&gt;0,$J403&lt;&gt;""),"假日出勤",IF(AND(COUNTIF(設定!$B$6:$B$14,$G403)&gt;0,$J403=""),"未打卡",IF($J403="","",IF($O403&gt;0,"遲到",IF($P403&gt;0,"早退","正常"))))))</f>
        <v/>
      </c>
      <c r="O403" s="84">
        <f>IF(OR($C403="",$H403="",$J403=""),0,IF(ROUND(($J403-$H403)*1440,0)&gt;設定!$C$46,ROUND(($J403-$H403)*1440,0),0))</f>
        <v/>
      </c>
      <c r="P403" s="84">
        <f>IF(OR($C403="",$I403="",$K403=""),0,IF(ROUND(($I403-$K403)*1440,0)&gt;設定!$C$46,ROUND(($I403-$K403)*1440,0),0))</f>
        <v/>
      </c>
      <c r="Q403" s="85">
        <f>IF($M403="",0,IF(($M403-IFERROR(INDEX(設定!$G$6:$G$21,MATCH($G403,設定!$B$6:$B$21,0)),0))*60&gt;=設定!$C$44,ROUND(FLOOR(($M403-IFERROR(INDEX(設定!$G$6:$G$21,MATCH($G403,設定!$B$6:$B$21,0)),0))*60,設定!$C$45)/60,2),0))</f>
        <v/>
      </c>
      <c r="R403" s="16">
        <f>IF(OR($C403="",$Q403=0),"",IF($G403="國","國定假日",IF($B403="日","例假",IF($B403="六","休息日","平日"))))</f>
        <v/>
      </c>
      <c r="S403" s="19" t="n"/>
    </row>
    <row r="404">
      <c r="A404" s="82">
        <f>IF(OR(助理班表!$A17="",30&gt;DAY(EOMONTH(DATE(設定!$C$2,設定!$D$2,1),0))),"",DATE(設定!$C$2,設定!$D$2,30))</f>
        <v/>
      </c>
      <c r="B404" s="16">
        <f>IF($A404="","",INDEX(設定!$O$6:$O$12,WEEKDAY($A404,1)))</f>
        <v/>
      </c>
      <c r="C404" s="16">
        <f>IF($A404="","",助理班表!$A17)</f>
        <v/>
      </c>
      <c r="D404" s="16">
        <f>IF($C404="","",助理班表!$B17)</f>
        <v/>
      </c>
      <c r="E404" s="16">
        <f>IF($C404="","",助理班表!$D17)</f>
        <v/>
      </c>
      <c r="F404" s="16">
        <f>IF($C404="","",助理班表!$C17)</f>
        <v/>
      </c>
      <c r="G404" s="16">
        <f>IF($C404="","",助理班表!AH17)</f>
        <v/>
      </c>
      <c r="H404" s="83">
        <f>IF($G404="","",IFERROR(IF(INDEX(設定!$D$6:$D$21,MATCH($G404,設定!$B$6:$B$21,0))=0,"",INDEX(設定!$D$6:$D$21,MATCH($G404,設定!$B$6:$B$21,0))),""))</f>
        <v/>
      </c>
      <c r="I404" s="83">
        <f>IF($G404="","",IFERROR(IF(INDEX(設定!$E$6:$E$21,MATCH($G404,設定!$B$6:$B$21,0))=0,"",INDEX(設定!$E$6:$E$21,MATCH($G404,設定!$B$6:$B$21,0))),""))</f>
        <v/>
      </c>
      <c r="J404" s="83">
        <f>IFERROR(INDEX(打卡匯入!$C$3:$C$2002,MATCH($C404&amp;"|"&amp;DAY($A404),打卡匯入!$E$3:$E$2002,0)),"")</f>
        <v/>
      </c>
      <c r="K404" s="83">
        <f>IFERROR(INDEX(打卡匯入!$D$3:$D$2002,MATCH($C404&amp;"|"&amp;DAY($A404),打卡匯入!$E$3:$E$2002,0)),"")</f>
        <v/>
      </c>
      <c r="L404" s="84">
        <f>IF(OR($J404="",$K404=""),"",IFERROR(INDEX(設定!$F$6:$F$21,MATCH($G404,設定!$B$6:$B$21,0)),0))</f>
        <v/>
      </c>
      <c r="M404" s="85">
        <f>IF(OR($J404="",$K404=""),"",ROUND(($K404-$J404)*24-$L404/60,2))</f>
        <v/>
      </c>
      <c r="N404" s="16">
        <f>IF($C404="","",IF(AND(COUNTIF(設定!$B$15:$B$21,$G404)&gt;0,$J404&lt;&gt;""),"假日出勤",IF(AND(COUNTIF(設定!$B$6:$B$14,$G404)&gt;0,$J404=""),"未打卡",IF($J404="","",IF($O404&gt;0,"遲到",IF($P404&gt;0,"早退","正常"))))))</f>
        <v/>
      </c>
      <c r="O404" s="84">
        <f>IF(OR($C404="",$H404="",$J404=""),0,IF(ROUND(($J404-$H404)*1440,0)&gt;設定!$C$46,ROUND(($J404-$H404)*1440,0),0))</f>
        <v/>
      </c>
      <c r="P404" s="84">
        <f>IF(OR($C404="",$I404="",$K404=""),0,IF(ROUND(($I404-$K404)*1440,0)&gt;設定!$C$46,ROUND(($I404-$K404)*1440,0),0))</f>
        <v/>
      </c>
      <c r="Q404" s="85">
        <f>IF($M404="",0,IF(($M404-IFERROR(INDEX(設定!$G$6:$G$21,MATCH($G404,設定!$B$6:$B$21,0)),0))*60&gt;=設定!$C$44,ROUND(FLOOR(($M404-IFERROR(INDEX(設定!$G$6:$G$21,MATCH($G404,設定!$B$6:$B$21,0)),0))*60,設定!$C$45)/60,2),0))</f>
        <v/>
      </c>
      <c r="R404" s="16">
        <f>IF(OR($C404="",$Q404=0),"",IF($G404="國","國定假日",IF($B404="日","例假",IF($B404="六","休息日","平日"))))</f>
        <v/>
      </c>
      <c r="S404" s="19" t="n"/>
    </row>
    <row r="405">
      <c r="A405" s="82">
        <f>IF(OR(助理班表!$A17="",31&gt;DAY(EOMONTH(DATE(設定!$C$2,設定!$D$2,1),0))),"",DATE(設定!$C$2,設定!$D$2,31))</f>
        <v/>
      </c>
      <c r="B405" s="16">
        <f>IF($A405="","",INDEX(設定!$O$6:$O$12,WEEKDAY($A405,1)))</f>
        <v/>
      </c>
      <c r="C405" s="16">
        <f>IF($A405="","",助理班表!$A17)</f>
        <v/>
      </c>
      <c r="D405" s="16">
        <f>IF($C405="","",助理班表!$B17)</f>
        <v/>
      </c>
      <c r="E405" s="16">
        <f>IF($C405="","",助理班表!$D17)</f>
        <v/>
      </c>
      <c r="F405" s="16">
        <f>IF($C405="","",助理班表!$C17)</f>
        <v/>
      </c>
      <c r="G405" s="16">
        <f>IF($C405="","",助理班表!AI17)</f>
        <v/>
      </c>
      <c r="H405" s="83">
        <f>IF($G405="","",IFERROR(IF(INDEX(設定!$D$6:$D$21,MATCH($G405,設定!$B$6:$B$21,0))=0,"",INDEX(設定!$D$6:$D$21,MATCH($G405,設定!$B$6:$B$21,0))),""))</f>
        <v/>
      </c>
      <c r="I405" s="83">
        <f>IF($G405="","",IFERROR(IF(INDEX(設定!$E$6:$E$21,MATCH($G405,設定!$B$6:$B$21,0))=0,"",INDEX(設定!$E$6:$E$21,MATCH($G405,設定!$B$6:$B$21,0))),""))</f>
        <v/>
      </c>
      <c r="J405" s="83">
        <f>IFERROR(INDEX(打卡匯入!$C$3:$C$2002,MATCH($C405&amp;"|"&amp;DAY($A405),打卡匯入!$E$3:$E$2002,0)),"")</f>
        <v/>
      </c>
      <c r="K405" s="83">
        <f>IFERROR(INDEX(打卡匯入!$D$3:$D$2002,MATCH($C405&amp;"|"&amp;DAY($A405),打卡匯入!$E$3:$E$2002,0)),"")</f>
        <v/>
      </c>
      <c r="L405" s="84">
        <f>IF(OR($J405="",$K405=""),"",IFERROR(INDEX(設定!$F$6:$F$21,MATCH($G405,設定!$B$6:$B$21,0)),0))</f>
        <v/>
      </c>
      <c r="M405" s="85">
        <f>IF(OR($J405="",$K405=""),"",ROUND(($K405-$J405)*24-$L405/60,2))</f>
        <v/>
      </c>
      <c r="N405" s="16">
        <f>IF($C405="","",IF(AND(COUNTIF(設定!$B$15:$B$21,$G405)&gt;0,$J405&lt;&gt;""),"假日出勤",IF(AND(COUNTIF(設定!$B$6:$B$14,$G405)&gt;0,$J405=""),"未打卡",IF($J405="","",IF($O405&gt;0,"遲到",IF($P405&gt;0,"早退","正常"))))))</f>
        <v/>
      </c>
      <c r="O405" s="84">
        <f>IF(OR($C405="",$H405="",$J405=""),0,IF(ROUND(($J405-$H405)*1440,0)&gt;設定!$C$46,ROUND(($J405-$H405)*1440,0),0))</f>
        <v/>
      </c>
      <c r="P405" s="84">
        <f>IF(OR($C405="",$I405="",$K405=""),0,IF(ROUND(($I405-$K405)*1440,0)&gt;設定!$C$46,ROUND(($I405-$K405)*1440,0),0))</f>
        <v/>
      </c>
      <c r="Q405" s="85">
        <f>IF($M405="",0,IF(($M405-IFERROR(INDEX(設定!$G$6:$G$21,MATCH($G405,設定!$B$6:$B$21,0)),0))*60&gt;=設定!$C$44,ROUND(FLOOR(($M405-IFERROR(INDEX(設定!$G$6:$G$21,MATCH($G405,設定!$B$6:$B$21,0)),0))*60,設定!$C$45)/60,2),0))</f>
        <v/>
      </c>
      <c r="R405" s="16">
        <f>IF(OR($C405="",$Q405=0),"",IF($G405="國","國定假日",IF($B405="日","例假",IF($B405="六","休息日","平日"))))</f>
        <v/>
      </c>
      <c r="S405" s="19" t="n"/>
    </row>
    <row r="406">
      <c r="A406" s="82">
        <f>IF(OR(助理班表!$A18="",1&gt;DAY(EOMONTH(DATE(設定!$C$2,設定!$D$2,1),0))),"",DATE(設定!$C$2,設定!$D$2,1))</f>
        <v/>
      </c>
      <c r="B406" s="16">
        <f>IF($A406="","",INDEX(設定!$O$6:$O$12,WEEKDAY($A406,1)))</f>
        <v/>
      </c>
      <c r="C406" s="16">
        <f>IF($A406="","",助理班表!$A18)</f>
        <v/>
      </c>
      <c r="D406" s="16">
        <f>IF($C406="","",助理班表!$B18)</f>
        <v/>
      </c>
      <c r="E406" s="16">
        <f>IF($C406="","",助理班表!$D18)</f>
        <v/>
      </c>
      <c r="F406" s="16">
        <f>IF($C406="","",助理班表!$C18)</f>
        <v/>
      </c>
      <c r="G406" s="16">
        <f>IF($C406="","",助理班表!E18)</f>
        <v/>
      </c>
      <c r="H406" s="83">
        <f>IF($G406="","",IFERROR(IF(INDEX(設定!$D$6:$D$21,MATCH($G406,設定!$B$6:$B$21,0))=0,"",INDEX(設定!$D$6:$D$21,MATCH($G406,設定!$B$6:$B$21,0))),""))</f>
        <v/>
      </c>
      <c r="I406" s="83">
        <f>IF($G406="","",IFERROR(IF(INDEX(設定!$E$6:$E$21,MATCH($G406,設定!$B$6:$B$21,0))=0,"",INDEX(設定!$E$6:$E$21,MATCH($G406,設定!$B$6:$B$21,0))),""))</f>
        <v/>
      </c>
      <c r="J406" s="83">
        <f>IFERROR(INDEX(打卡匯入!$C$3:$C$2002,MATCH($C406&amp;"|"&amp;DAY($A406),打卡匯入!$E$3:$E$2002,0)),"")</f>
        <v/>
      </c>
      <c r="K406" s="83">
        <f>IFERROR(INDEX(打卡匯入!$D$3:$D$2002,MATCH($C406&amp;"|"&amp;DAY($A406),打卡匯入!$E$3:$E$2002,0)),"")</f>
        <v/>
      </c>
      <c r="L406" s="84">
        <f>IF(OR($J406="",$K406=""),"",IFERROR(INDEX(設定!$F$6:$F$21,MATCH($G406,設定!$B$6:$B$21,0)),0))</f>
        <v/>
      </c>
      <c r="M406" s="85">
        <f>IF(OR($J406="",$K406=""),"",ROUND(($K406-$J406)*24-$L406/60,2))</f>
        <v/>
      </c>
      <c r="N406" s="16">
        <f>IF($C406="","",IF(AND(COUNTIF(設定!$B$15:$B$21,$G406)&gt;0,$J406&lt;&gt;""),"假日出勤",IF(AND(COUNTIF(設定!$B$6:$B$14,$G406)&gt;0,$J406=""),"未打卡",IF($J406="","",IF($O406&gt;0,"遲到",IF($P406&gt;0,"早退","正常"))))))</f>
        <v/>
      </c>
      <c r="O406" s="84">
        <f>IF(OR($C406="",$H406="",$J406=""),0,IF(ROUND(($J406-$H406)*1440,0)&gt;設定!$C$46,ROUND(($J406-$H406)*1440,0),0))</f>
        <v/>
      </c>
      <c r="P406" s="84">
        <f>IF(OR($C406="",$I406="",$K406=""),0,IF(ROUND(($I406-$K406)*1440,0)&gt;設定!$C$46,ROUND(($I406-$K406)*1440,0),0))</f>
        <v/>
      </c>
      <c r="Q406" s="85">
        <f>IF($M406="",0,IF(($M406-IFERROR(INDEX(設定!$G$6:$G$21,MATCH($G406,設定!$B$6:$B$21,0)),0))*60&gt;=設定!$C$44,ROUND(FLOOR(($M406-IFERROR(INDEX(設定!$G$6:$G$21,MATCH($G406,設定!$B$6:$B$21,0)),0))*60,設定!$C$45)/60,2),0))</f>
        <v/>
      </c>
      <c r="R406" s="16">
        <f>IF(OR($C406="",$Q406=0),"",IF($G406="國","國定假日",IF($B406="日","例假",IF($B406="六","休息日","平日"))))</f>
        <v/>
      </c>
      <c r="S406" s="19" t="n"/>
    </row>
    <row r="407">
      <c r="A407" s="82">
        <f>IF(OR(助理班表!$A18="",2&gt;DAY(EOMONTH(DATE(設定!$C$2,設定!$D$2,1),0))),"",DATE(設定!$C$2,設定!$D$2,2))</f>
        <v/>
      </c>
      <c r="B407" s="16">
        <f>IF($A407="","",INDEX(設定!$O$6:$O$12,WEEKDAY($A407,1)))</f>
        <v/>
      </c>
      <c r="C407" s="16">
        <f>IF($A407="","",助理班表!$A18)</f>
        <v/>
      </c>
      <c r="D407" s="16">
        <f>IF($C407="","",助理班表!$B18)</f>
        <v/>
      </c>
      <c r="E407" s="16">
        <f>IF($C407="","",助理班表!$D18)</f>
        <v/>
      </c>
      <c r="F407" s="16">
        <f>IF($C407="","",助理班表!$C18)</f>
        <v/>
      </c>
      <c r="G407" s="16">
        <f>IF($C407="","",助理班表!F18)</f>
        <v/>
      </c>
      <c r="H407" s="83">
        <f>IF($G407="","",IFERROR(IF(INDEX(設定!$D$6:$D$21,MATCH($G407,設定!$B$6:$B$21,0))=0,"",INDEX(設定!$D$6:$D$21,MATCH($G407,設定!$B$6:$B$21,0))),""))</f>
        <v/>
      </c>
      <c r="I407" s="83">
        <f>IF($G407="","",IFERROR(IF(INDEX(設定!$E$6:$E$21,MATCH($G407,設定!$B$6:$B$21,0))=0,"",INDEX(設定!$E$6:$E$21,MATCH($G407,設定!$B$6:$B$21,0))),""))</f>
        <v/>
      </c>
      <c r="J407" s="83">
        <f>IFERROR(INDEX(打卡匯入!$C$3:$C$2002,MATCH($C407&amp;"|"&amp;DAY($A407),打卡匯入!$E$3:$E$2002,0)),"")</f>
        <v/>
      </c>
      <c r="K407" s="83">
        <f>IFERROR(INDEX(打卡匯入!$D$3:$D$2002,MATCH($C407&amp;"|"&amp;DAY($A407),打卡匯入!$E$3:$E$2002,0)),"")</f>
        <v/>
      </c>
      <c r="L407" s="84">
        <f>IF(OR($J407="",$K407=""),"",IFERROR(INDEX(設定!$F$6:$F$21,MATCH($G407,設定!$B$6:$B$21,0)),0))</f>
        <v/>
      </c>
      <c r="M407" s="85">
        <f>IF(OR($J407="",$K407=""),"",ROUND(($K407-$J407)*24-$L407/60,2))</f>
        <v/>
      </c>
      <c r="N407" s="16">
        <f>IF($C407="","",IF(AND(COUNTIF(設定!$B$15:$B$21,$G407)&gt;0,$J407&lt;&gt;""),"假日出勤",IF(AND(COUNTIF(設定!$B$6:$B$14,$G407)&gt;0,$J407=""),"未打卡",IF($J407="","",IF($O407&gt;0,"遲到",IF($P407&gt;0,"早退","正常"))))))</f>
        <v/>
      </c>
      <c r="O407" s="84">
        <f>IF(OR($C407="",$H407="",$J407=""),0,IF(ROUND(($J407-$H407)*1440,0)&gt;設定!$C$46,ROUND(($J407-$H407)*1440,0),0))</f>
        <v/>
      </c>
      <c r="P407" s="84">
        <f>IF(OR($C407="",$I407="",$K407=""),0,IF(ROUND(($I407-$K407)*1440,0)&gt;設定!$C$46,ROUND(($I407-$K407)*1440,0),0))</f>
        <v/>
      </c>
      <c r="Q407" s="85">
        <f>IF($M407="",0,IF(($M407-IFERROR(INDEX(設定!$G$6:$G$21,MATCH($G407,設定!$B$6:$B$21,0)),0))*60&gt;=設定!$C$44,ROUND(FLOOR(($M407-IFERROR(INDEX(設定!$G$6:$G$21,MATCH($G407,設定!$B$6:$B$21,0)),0))*60,設定!$C$45)/60,2),0))</f>
        <v/>
      </c>
      <c r="R407" s="16">
        <f>IF(OR($C407="",$Q407=0),"",IF($G407="國","國定假日",IF($B407="日","例假",IF($B407="六","休息日","平日"))))</f>
        <v/>
      </c>
      <c r="S407" s="19" t="n"/>
    </row>
    <row r="408">
      <c r="A408" s="82">
        <f>IF(OR(助理班表!$A18="",3&gt;DAY(EOMONTH(DATE(設定!$C$2,設定!$D$2,1),0))),"",DATE(設定!$C$2,設定!$D$2,3))</f>
        <v/>
      </c>
      <c r="B408" s="16">
        <f>IF($A408="","",INDEX(設定!$O$6:$O$12,WEEKDAY($A408,1)))</f>
        <v/>
      </c>
      <c r="C408" s="16">
        <f>IF($A408="","",助理班表!$A18)</f>
        <v/>
      </c>
      <c r="D408" s="16">
        <f>IF($C408="","",助理班表!$B18)</f>
        <v/>
      </c>
      <c r="E408" s="16">
        <f>IF($C408="","",助理班表!$D18)</f>
        <v/>
      </c>
      <c r="F408" s="16">
        <f>IF($C408="","",助理班表!$C18)</f>
        <v/>
      </c>
      <c r="G408" s="16">
        <f>IF($C408="","",助理班表!G18)</f>
        <v/>
      </c>
      <c r="H408" s="83">
        <f>IF($G408="","",IFERROR(IF(INDEX(設定!$D$6:$D$21,MATCH($G408,設定!$B$6:$B$21,0))=0,"",INDEX(設定!$D$6:$D$21,MATCH($G408,設定!$B$6:$B$21,0))),""))</f>
        <v/>
      </c>
      <c r="I408" s="83">
        <f>IF($G408="","",IFERROR(IF(INDEX(設定!$E$6:$E$21,MATCH($G408,設定!$B$6:$B$21,0))=0,"",INDEX(設定!$E$6:$E$21,MATCH($G408,設定!$B$6:$B$21,0))),""))</f>
        <v/>
      </c>
      <c r="J408" s="83">
        <f>IFERROR(INDEX(打卡匯入!$C$3:$C$2002,MATCH($C408&amp;"|"&amp;DAY($A408),打卡匯入!$E$3:$E$2002,0)),"")</f>
        <v/>
      </c>
      <c r="K408" s="83">
        <f>IFERROR(INDEX(打卡匯入!$D$3:$D$2002,MATCH($C408&amp;"|"&amp;DAY($A408),打卡匯入!$E$3:$E$2002,0)),"")</f>
        <v/>
      </c>
      <c r="L408" s="84">
        <f>IF(OR($J408="",$K408=""),"",IFERROR(INDEX(設定!$F$6:$F$21,MATCH($G408,設定!$B$6:$B$21,0)),0))</f>
        <v/>
      </c>
      <c r="M408" s="85">
        <f>IF(OR($J408="",$K408=""),"",ROUND(($K408-$J408)*24-$L408/60,2))</f>
        <v/>
      </c>
      <c r="N408" s="16">
        <f>IF($C408="","",IF(AND(COUNTIF(設定!$B$15:$B$21,$G408)&gt;0,$J408&lt;&gt;""),"假日出勤",IF(AND(COUNTIF(設定!$B$6:$B$14,$G408)&gt;0,$J408=""),"未打卡",IF($J408="","",IF($O408&gt;0,"遲到",IF($P408&gt;0,"早退","正常"))))))</f>
        <v/>
      </c>
      <c r="O408" s="84">
        <f>IF(OR($C408="",$H408="",$J408=""),0,IF(ROUND(($J408-$H408)*1440,0)&gt;設定!$C$46,ROUND(($J408-$H408)*1440,0),0))</f>
        <v/>
      </c>
      <c r="P408" s="84">
        <f>IF(OR($C408="",$I408="",$K408=""),0,IF(ROUND(($I408-$K408)*1440,0)&gt;設定!$C$46,ROUND(($I408-$K408)*1440,0),0))</f>
        <v/>
      </c>
      <c r="Q408" s="85">
        <f>IF($M408="",0,IF(($M408-IFERROR(INDEX(設定!$G$6:$G$21,MATCH($G408,設定!$B$6:$B$21,0)),0))*60&gt;=設定!$C$44,ROUND(FLOOR(($M408-IFERROR(INDEX(設定!$G$6:$G$21,MATCH($G408,設定!$B$6:$B$21,0)),0))*60,設定!$C$45)/60,2),0))</f>
        <v/>
      </c>
      <c r="R408" s="16">
        <f>IF(OR($C408="",$Q408=0),"",IF($G408="國","國定假日",IF($B408="日","例假",IF($B408="六","休息日","平日"))))</f>
        <v/>
      </c>
      <c r="S408" s="19" t="n"/>
    </row>
    <row r="409">
      <c r="A409" s="82">
        <f>IF(OR(助理班表!$A18="",4&gt;DAY(EOMONTH(DATE(設定!$C$2,設定!$D$2,1),0))),"",DATE(設定!$C$2,設定!$D$2,4))</f>
        <v/>
      </c>
      <c r="B409" s="16">
        <f>IF($A409="","",INDEX(設定!$O$6:$O$12,WEEKDAY($A409,1)))</f>
        <v/>
      </c>
      <c r="C409" s="16">
        <f>IF($A409="","",助理班表!$A18)</f>
        <v/>
      </c>
      <c r="D409" s="16">
        <f>IF($C409="","",助理班表!$B18)</f>
        <v/>
      </c>
      <c r="E409" s="16">
        <f>IF($C409="","",助理班表!$D18)</f>
        <v/>
      </c>
      <c r="F409" s="16">
        <f>IF($C409="","",助理班表!$C18)</f>
        <v/>
      </c>
      <c r="G409" s="16">
        <f>IF($C409="","",助理班表!H18)</f>
        <v/>
      </c>
      <c r="H409" s="83">
        <f>IF($G409="","",IFERROR(IF(INDEX(設定!$D$6:$D$21,MATCH($G409,設定!$B$6:$B$21,0))=0,"",INDEX(設定!$D$6:$D$21,MATCH($G409,設定!$B$6:$B$21,0))),""))</f>
        <v/>
      </c>
      <c r="I409" s="83">
        <f>IF($G409="","",IFERROR(IF(INDEX(設定!$E$6:$E$21,MATCH($G409,設定!$B$6:$B$21,0))=0,"",INDEX(設定!$E$6:$E$21,MATCH($G409,設定!$B$6:$B$21,0))),""))</f>
        <v/>
      </c>
      <c r="J409" s="83">
        <f>IFERROR(INDEX(打卡匯入!$C$3:$C$2002,MATCH($C409&amp;"|"&amp;DAY($A409),打卡匯入!$E$3:$E$2002,0)),"")</f>
        <v/>
      </c>
      <c r="K409" s="83">
        <f>IFERROR(INDEX(打卡匯入!$D$3:$D$2002,MATCH($C409&amp;"|"&amp;DAY($A409),打卡匯入!$E$3:$E$2002,0)),"")</f>
        <v/>
      </c>
      <c r="L409" s="84">
        <f>IF(OR($J409="",$K409=""),"",IFERROR(INDEX(設定!$F$6:$F$21,MATCH($G409,設定!$B$6:$B$21,0)),0))</f>
        <v/>
      </c>
      <c r="M409" s="85">
        <f>IF(OR($J409="",$K409=""),"",ROUND(($K409-$J409)*24-$L409/60,2))</f>
        <v/>
      </c>
      <c r="N409" s="16">
        <f>IF($C409="","",IF(AND(COUNTIF(設定!$B$15:$B$21,$G409)&gt;0,$J409&lt;&gt;""),"假日出勤",IF(AND(COUNTIF(設定!$B$6:$B$14,$G409)&gt;0,$J409=""),"未打卡",IF($J409="","",IF($O409&gt;0,"遲到",IF($P409&gt;0,"早退","正常"))))))</f>
        <v/>
      </c>
      <c r="O409" s="84">
        <f>IF(OR($C409="",$H409="",$J409=""),0,IF(ROUND(($J409-$H409)*1440,0)&gt;設定!$C$46,ROUND(($J409-$H409)*1440,0),0))</f>
        <v/>
      </c>
      <c r="P409" s="84">
        <f>IF(OR($C409="",$I409="",$K409=""),0,IF(ROUND(($I409-$K409)*1440,0)&gt;設定!$C$46,ROUND(($I409-$K409)*1440,0),0))</f>
        <v/>
      </c>
      <c r="Q409" s="85">
        <f>IF($M409="",0,IF(($M409-IFERROR(INDEX(設定!$G$6:$G$21,MATCH($G409,設定!$B$6:$B$21,0)),0))*60&gt;=設定!$C$44,ROUND(FLOOR(($M409-IFERROR(INDEX(設定!$G$6:$G$21,MATCH($G409,設定!$B$6:$B$21,0)),0))*60,設定!$C$45)/60,2),0))</f>
        <v/>
      </c>
      <c r="R409" s="16">
        <f>IF(OR($C409="",$Q409=0),"",IF($G409="國","國定假日",IF($B409="日","例假",IF($B409="六","休息日","平日"))))</f>
        <v/>
      </c>
      <c r="S409" s="19" t="n"/>
    </row>
    <row r="410">
      <c r="A410" s="82">
        <f>IF(OR(助理班表!$A18="",5&gt;DAY(EOMONTH(DATE(設定!$C$2,設定!$D$2,1),0))),"",DATE(設定!$C$2,設定!$D$2,5))</f>
        <v/>
      </c>
      <c r="B410" s="16">
        <f>IF($A410="","",INDEX(設定!$O$6:$O$12,WEEKDAY($A410,1)))</f>
        <v/>
      </c>
      <c r="C410" s="16">
        <f>IF($A410="","",助理班表!$A18)</f>
        <v/>
      </c>
      <c r="D410" s="16">
        <f>IF($C410="","",助理班表!$B18)</f>
        <v/>
      </c>
      <c r="E410" s="16">
        <f>IF($C410="","",助理班表!$D18)</f>
        <v/>
      </c>
      <c r="F410" s="16">
        <f>IF($C410="","",助理班表!$C18)</f>
        <v/>
      </c>
      <c r="G410" s="16">
        <f>IF($C410="","",助理班表!I18)</f>
        <v/>
      </c>
      <c r="H410" s="83">
        <f>IF($G410="","",IFERROR(IF(INDEX(設定!$D$6:$D$21,MATCH($G410,設定!$B$6:$B$21,0))=0,"",INDEX(設定!$D$6:$D$21,MATCH($G410,設定!$B$6:$B$21,0))),""))</f>
        <v/>
      </c>
      <c r="I410" s="83">
        <f>IF($G410="","",IFERROR(IF(INDEX(設定!$E$6:$E$21,MATCH($G410,設定!$B$6:$B$21,0))=0,"",INDEX(設定!$E$6:$E$21,MATCH($G410,設定!$B$6:$B$21,0))),""))</f>
        <v/>
      </c>
      <c r="J410" s="83">
        <f>IFERROR(INDEX(打卡匯入!$C$3:$C$2002,MATCH($C410&amp;"|"&amp;DAY($A410),打卡匯入!$E$3:$E$2002,0)),"")</f>
        <v/>
      </c>
      <c r="K410" s="83">
        <f>IFERROR(INDEX(打卡匯入!$D$3:$D$2002,MATCH($C410&amp;"|"&amp;DAY($A410),打卡匯入!$E$3:$E$2002,0)),"")</f>
        <v/>
      </c>
      <c r="L410" s="84">
        <f>IF(OR($J410="",$K410=""),"",IFERROR(INDEX(設定!$F$6:$F$21,MATCH($G410,設定!$B$6:$B$21,0)),0))</f>
        <v/>
      </c>
      <c r="M410" s="85">
        <f>IF(OR($J410="",$K410=""),"",ROUND(($K410-$J410)*24-$L410/60,2))</f>
        <v/>
      </c>
      <c r="N410" s="16">
        <f>IF($C410="","",IF(AND(COUNTIF(設定!$B$15:$B$21,$G410)&gt;0,$J410&lt;&gt;""),"假日出勤",IF(AND(COUNTIF(設定!$B$6:$B$14,$G410)&gt;0,$J410=""),"未打卡",IF($J410="","",IF($O410&gt;0,"遲到",IF($P410&gt;0,"早退","正常"))))))</f>
        <v/>
      </c>
      <c r="O410" s="84">
        <f>IF(OR($C410="",$H410="",$J410=""),0,IF(ROUND(($J410-$H410)*1440,0)&gt;設定!$C$46,ROUND(($J410-$H410)*1440,0),0))</f>
        <v/>
      </c>
      <c r="P410" s="84">
        <f>IF(OR($C410="",$I410="",$K410=""),0,IF(ROUND(($I410-$K410)*1440,0)&gt;設定!$C$46,ROUND(($I410-$K410)*1440,0),0))</f>
        <v/>
      </c>
      <c r="Q410" s="85">
        <f>IF($M410="",0,IF(($M410-IFERROR(INDEX(設定!$G$6:$G$21,MATCH($G410,設定!$B$6:$B$21,0)),0))*60&gt;=設定!$C$44,ROUND(FLOOR(($M410-IFERROR(INDEX(設定!$G$6:$G$21,MATCH($G410,設定!$B$6:$B$21,0)),0))*60,設定!$C$45)/60,2),0))</f>
        <v/>
      </c>
      <c r="R410" s="16">
        <f>IF(OR($C410="",$Q410=0),"",IF($G410="國","國定假日",IF($B410="日","例假",IF($B410="六","休息日","平日"))))</f>
        <v/>
      </c>
      <c r="S410" s="19" t="n"/>
    </row>
    <row r="411">
      <c r="A411" s="82">
        <f>IF(OR(助理班表!$A18="",6&gt;DAY(EOMONTH(DATE(設定!$C$2,設定!$D$2,1),0))),"",DATE(設定!$C$2,設定!$D$2,6))</f>
        <v/>
      </c>
      <c r="B411" s="16">
        <f>IF($A411="","",INDEX(設定!$O$6:$O$12,WEEKDAY($A411,1)))</f>
        <v/>
      </c>
      <c r="C411" s="16">
        <f>IF($A411="","",助理班表!$A18)</f>
        <v/>
      </c>
      <c r="D411" s="16">
        <f>IF($C411="","",助理班表!$B18)</f>
        <v/>
      </c>
      <c r="E411" s="16">
        <f>IF($C411="","",助理班表!$D18)</f>
        <v/>
      </c>
      <c r="F411" s="16">
        <f>IF($C411="","",助理班表!$C18)</f>
        <v/>
      </c>
      <c r="G411" s="16">
        <f>IF($C411="","",助理班表!J18)</f>
        <v/>
      </c>
      <c r="H411" s="83">
        <f>IF($G411="","",IFERROR(IF(INDEX(設定!$D$6:$D$21,MATCH($G411,設定!$B$6:$B$21,0))=0,"",INDEX(設定!$D$6:$D$21,MATCH($G411,設定!$B$6:$B$21,0))),""))</f>
        <v/>
      </c>
      <c r="I411" s="83">
        <f>IF($G411="","",IFERROR(IF(INDEX(設定!$E$6:$E$21,MATCH($G411,設定!$B$6:$B$21,0))=0,"",INDEX(設定!$E$6:$E$21,MATCH($G411,設定!$B$6:$B$21,0))),""))</f>
        <v/>
      </c>
      <c r="J411" s="83">
        <f>IFERROR(INDEX(打卡匯入!$C$3:$C$2002,MATCH($C411&amp;"|"&amp;DAY($A411),打卡匯入!$E$3:$E$2002,0)),"")</f>
        <v/>
      </c>
      <c r="K411" s="83">
        <f>IFERROR(INDEX(打卡匯入!$D$3:$D$2002,MATCH($C411&amp;"|"&amp;DAY($A411),打卡匯入!$E$3:$E$2002,0)),"")</f>
        <v/>
      </c>
      <c r="L411" s="84">
        <f>IF(OR($J411="",$K411=""),"",IFERROR(INDEX(設定!$F$6:$F$21,MATCH($G411,設定!$B$6:$B$21,0)),0))</f>
        <v/>
      </c>
      <c r="M411" s="85">
        <f>IF(OR($J411="",$K411=""),"",ROUND(($K411-$J411)*24-$L411/60,2))</f>
        <v/>
      </c>
      <c r="N411" s="16">
        <f>IF($C411="","",IF(AND(COUNTIF(設定!$B$15:$B$21,$G411)&gt;0,$J411&lt;&gt;""),"假日出勤",IF(AND(COUNTIF(設定!$B$6:$B$14,$G411)&gt;0,$J411=""),"未打卡",IF($J411="","",IF($O411&gt;0,"遲到",IF($P411&gt;0,"早退","正常"))))))</f>
        <v/>
      </c>
      <c r="O411" s="84">
        <f>IF(OR($C411="",$H411="",$J411=""),0,IF(ROUND(($J411-$H411)*1440,0)&gt;設定!$C$46,ROUND(($J411-$H411)*1440,0),0))</f>
        <v/>
      </c>
      <c r="P411" s="84">
        <f>IF(OR($C411="",$I411="",$K411=""),0,IF(ROUND(($I411-$K411)*1440,0)&gt;設定!$C$46,ROUND(($I411-$K411)*1440,0),0))</f>
        <v/>
      </c>
      <c r="Q411" s="85">
        <f>IF($M411="",0,IF(($M411-IFERROR(INDEX(設定!$G$6:$G$21,MATCH($G411,設定!$B$6:$B$21,0)),0))*60&gt;=設定!$C$44,ROUND(FLOOR(($M411-IFERROR(INDEX(設定!$G$6:$G$21,MATCH($G411,設定!$B$6:$B$21,0)),0))*60,設定!$C$45)/60,2),0))</f>
        <v/>
      </c>
      <c r="R411" s="16">
        <f>IF(OR($C411="",$Q411=0),"",IF($G411="國","國定假日",IF($B411="日","例假",IF($B411="六","休息日","平日"))))</f>
        <v/>
      </c>
      <c r="S411" s="19" t="n"/>
    </row>
    <row r="412">
      <c r="A412" s="82">
        <f>IF(OR(助理班表!$A18="",7&gt;DAY(EOMONTH(DATE(設定!$C$2,設定!$D$2,1),0))),"",DATE(設定!$C$2,設定!$D$2,7))</f>
        <v/>
      </c>
      <c r="B412" s="16">
        <f>IF($A412="","",INDEX(設定!$O$6:$O$12,WEEKDAY($A412,1)))</f>
        <v/>
      </c>
      <c r="C412" s="16">
        <f>IF($A412="","",助理班表!$A18)</f>
        <v/>
      </c>
      <c r="D412" s="16">
        <f>IF($C412="","",助理班表!$B18)</f>
        <v/>
      </c>
      <c r="E412" s="16">
        <f>IF($C412="","",助理班表!$D18)</f>
        <v/>
      </c>
      <c r="F412" s="16">
        <f>IF($C412="","",助理班表!$C18)</f>
        <v/>
      </c>
      <c r="G412" s="16">
        <f>IF($C412="","",助理班表!K18)</f>
        <v/>
      </c>
      <c r="H412" s="83">
        <f>IF($G412="","",IFERROR(IF(INDEX(設定!$D$6:$D$21,MATCH($G412,設定!$B$6:$B$21,0))=0,"",INDEX(設定!$D$6:$D$21,MATCH($G412,設定!$B$6:$B$21,0))),""))</f>
        <v/>
      </c>
      <c r="I412" s="83">
        <f>IF($G412="","",IFERROR(IF(INDEX(設定!$E$6:$E$21,MATCH($G412,設定!$B$6:$B$21,0))=0,"",INDEX(設定!$E$6:$E$21,MATCH($G412,設定!$B$6:$B$21,0))),""))</f>
        <v/>
      </c>
      <c r="J412" s="83">
        <f>IFERROR(INDEX(打卡匯入!$C$3:$C$2002,MATCH($C412&amp;"|"&amp;DAY($A412),打卡匯入!$E$3:$E$2002,0)),"")</f>
        <v/>
      </c>
      <c r="K412" s="83">
        <f>IFERROR(INDEX(打卡匯入!$D$3:$D$2002,MATCH($C412&amp;"|"&amp;DAY($A412),打卡匯入!$E$3:$E$2002,0)),"")</f>
        <v/>
      </c>
      <c r="L412" s="84">
        <f>IF(OR($J412="",$K412=""),"",IFERROR(INDEX(設定!$F$6:$F$21,MATCH($G412,設定!$B$6:$B$21,0)),0))</f>
        <v/>
      </c>
      <c r="M412" s="85">
        <f>IF(OR($J412="",$K412=""),"",ROUND(($K412-$J412)*24-$L412/60,2))</f>
        <v/>
      </c>
      <c r="N412" s="16">
        <f>IF($C412="","",IF(AND(COUNTIF(設定!$B$15:$B$21,$G412)&gt;0,$J412&lt;&gt;""),"假日出勤",IF(AND(COUNTIF(設定!$B$6:$B$14,$G412)&gt;0,$J412=""),"未打卡",IF($J412="","",IF($O412&gt;0,"遲到",IF($P412&gt;0,"早退","正常"))))))</f>
        <v/>
      </c>
      <c r="O412" s="84">
        <f>IF(OR($C412="",$H412="",$J412=""),0,IF(ROUND(($J412-$H412)*1440,0)&gt;設定!$C$46,ROUND(($J412-$H412)*1440,0),0))</f>
        <v/>
      </c>
      <c r="P412" s="84">
        <f>IF(OR($C412="",$I412="",$K412=""),0,IF(ROUND(($I412-$K412)*1440,0)&gt;設定!$C$46,ROUND(($I412-$K412)*1440,0),0))</f>
        <v/>
      </c>
      <c r="Q412" s="85">
        <f>IF($M412="",0,IF(($M412-IFERROR(INDEX(設定!$G$6:$G$21,MATCH($G412,設定!$B$6:$B$21,0)),0))*60&gt;=設定!$C$44,ROUND(FLOOR(($M412-IFERROR(INDEX(設定!$G$6:$G$21,MATCH($G412,設定!$B$6:$B$21,0)),0))*60,設定!$C$45)/60,2),0))</f>
        <v/>
      </c>
      <c r="R412" s="16">
        <f>IF(OR($C412="",$Q412=0),"",IF($G412="國","國定假日",IF($B412="日","例假",IF($B412="六","休息日","平日"))))</f>
        <v/>
      </c>
      <c r="S412" s="19" t="n"/>
    </row>
    <row r="413">
      <c r="A413" s="82">
        <f>IF(OR(助理班表!$A18="",8&gt;DAY(EOMONTH(DATE(設定!$C$2,設定!$D$2,1),0))),"",DATE(設定!$C$2,設定!$D$2,8))</f>
        <v/>
      </c>
      <c r="B413" s="16">
        <f>IF($A413="","",INDEX(設定!$O$6:$O$12,WEEKDAY($A413,1)))</f>
        <v/>
      </c>
      <c r="C413" s="16">
        <f>IF($A413="","",助理班表!$A18)</f>
        <v/>
      </c>
      <c r="D413" s="16">
        <f>IF($C413="","",助理班表!$B18)</f>
        <v/>
      </c>
      <c r="E413" s="16">
        <f>IF($C413="","",助理班表!$D18)</f>
        <v/>
      </c>
      <c r="F413" s="16">
        <f>IF($C413="","",助理班表!$C18)</f>
        <v/>
      </c>
      <c r="G413" s="16">
        <f>IF($C413="","",助理班表!L18)</f>
        <v/>
      </c>
      <c r="H413" s="83">
        <f>IF($G413="","",IFERROR(IF(INDEX(設定!$D$6:$D$21,MATCH($G413,設定!$B$6:$B$21,0))=0,"",INDEX(設定!$D$6:$D$21,MATCH($G413,設定!$B$6:$B$21,0))),""))</f>
        <v/>
      </c>
      <c r="I413" s="83">
        <f>IF($G413="","",IFERROR(IF(INDEX(設定!$E$6:$E$21,MATCH($G413,設定!$B$6:$B$21,0))=0,"",INDEX(設定!$E$6:$E$21,MATCH($G413,設定!$B$6:$B$21,0))),""))</f>
        <v/>
      </c>
      <c r="J413" s="83">
        <f>IFERROR(INDEX(打卡匯入!$C$3:$C$2002,MATCH($C413&amp;"|"&amp;DAY($A413),打卡匯入!$E$3:$E$2002,0)),"")</f>
        <v/>
      </c>
      <c r="K413" s="83">
        <f>IFERROR(INDEX(打卡匯入!$D$3:$D$2002,MATCH($C413&amp;"|"&amp;DAY($A413),打卡匯入!$E$3:$E$2002,0)),"")</f>
        <v/>
      </c>
      <c r="L413" s="84">
        <f>IF(OR($J413="",$K413=""),"",IFERROR(INDEX(設定!$F$6:$F$21,MATCH($G413,設定!$B$6:$B$21,0)),0))</f>
        <v/>
      </c>
      <c r="M413" s="85">
        <f>IF(OR($J413="",$K413=""),"",ROUND(($K413-$J413)*24-$L413/60,2))</f>
        <v/>
      </c>
      <c r="N413" s="16">
        <f>IF($C413="","",IF(AND(COUNTIF(設定!$B$15:$B$21,$G413)&gt;0,$J413&lt;&gt;""),"假日出勤",IF(AND(COUNTIF(設定!$B$6:$B$14,$G413)&gt;0,$J413=""),"未打卡",IF($J413="","",IF($O413&gt;0,"遲到",IF($P413&gt;0,"早退","正常"))))))</f>
        <v/>
      </c>
      <c r="O413" s="84">
        <f>IF(OR($C413="",$H413="",$J413=""),0,IF(ROUND(($J413-$H413)*1440,0)&gt;設定!$C$46,ROUND(($J413-$H413)*1440,0),0))</f>
        <v/>
      </c>
      <c r="P413" s="84">
        <f>IF(OR($C413="",$I413="",$K413=""),0,IF(ROUND(($I413-$K413)*1440,0)&gt;設定!$C$46,ROUND(($I413-$K413)*1440,0),0))</f>
        <v/>
      </c>
      <c r="Q413" s="85">
        <f>IF($M413="",0,IF(($M413-IFERROR(INDEX(設定!$G$6:$G$21,MATCH($G413,設定!$B$6:$B$21,0)),0))*60&gt;=設定!$C$44,ROUND(FLOOR(($M413-IFERROR(INDEX(設定!$G$6:$G$21,MATCH($G413,設定!$B$6:$B$21,0)),0))*60,設定!$C$45)/60,2),0))</f>
        <v/>
      </c>
      <c r="R413" s="16">
        <f>IF(OR($C413="",$Q413=0),"",IF($G413="國","國定假日",IF($B413="日","例假",IF($B413="六","休息日","平日"))))</f>
        <v/>
      </c>
      <c r="S413" s="19" t="n"/>
    </row>
    <row r="414">
      <c r="A414" s="82">
        <f>IF(OR(助理班表!$A18="",9&gt;DAY(EOMONTH(DATE(設定!$C$2,設定!$D$2,1),0))),"",DATE(設定!$C$2,設定!$D$2,9))</f>
        <v/>
      </c>
      <c r="B414" s="16">
        <f>IF($A414="","",INDEX(設定!$O$6:$O$12,WEEKDAY($A414,1)))</f>
        <v/>
      </c>
      <c r="C414" s="16">
        <f>IF($A414="","",助理班表!$A18)</f>
        <v/>
      </c>
      <c r="D414" s="16">
        <f>IF($C414="","",助理班表!$B18)</f>
        <v/>
      </c>
      <c r="E414" s="16">
        <f>IF($C414="","",助理班表!$D18)</f>
        <v/>
      </c>
      <c r="F414" s="16">
        <f>IF($C414="","",助理班表!$C18)</f>
        <v/>
      </c>
      <c r="G414" s="16">
        <f>IF($C414="","",助理班表!M18)</f>
        <v/>
      </c>
      <c r="H414" s="83">
        <f>IF($G414="","",IFERROR(IF(INDEX(設定!$D$6:$D$21,MATCH($G414,設定!$B$6:$B$21,0))=0,"",INDEX(設定!$D$6:$D$21,MATCH($G414,設定!$B$6:$B$21,0))),""))</f>
        <v/>
      </c>
      <c r="I414" s="83">
        <f>IF($G414="","",IFERROR(IF(INDEX(設定!$E$6:$E$21,MATCH($G414,設定!$B$6:$B$21,0))=0,"",INDEX(設定!$E$6:$E$21,MATCH($G414,設定!$B$6:$B$21,0))),""))</f>
        <v/>
      </c>
      <c r="J414" s="83">
        <f>IFERROR(INDEX(打卡匯入!$C$3:$C$2002,MATCH($C414&amp;"|"&amp;DAY($A414),打卡匯入!$E$3:$E$2002,0)),"")</f>
        <v/>
      </c>
      <c r="K414" s="83">
        <f>IFERROR(INDEX(打卡匯入!$D$3:$D$2002,MATCH($C414&amp;"|"&amp;DAY($A414),打卡匯入!$E$3:$E$2002,0)),"")</f>
        <v/>
      </c>
      <c r="L414" s="84">
        <f>IF(OR($J414="",$K414=""),"",IFERROR(INDEX(設定!$F$6:$F$21,MATCH($G414,設定!$B$6:$B$21,0)),0))</f>
        <v/>
      </c>
      <c r="M414" s="85">
        <f>IF(OR($J414="",$K414=""),"",ROUND(($K414-$J414)*24-$L414/60,2))</f>
        <v/>
      </c>
      <c r="N414" s="16">
        <f>IF($C414="","",IF(AND(COUNTIF(設定!$B$15:$B$21,$G414)&gt;0,$J414&lt;&gt;""),"假日出勤",IF(AND(COUNTIF(設定!$B$6:$B$14,$G414)&gt;0,$J414=""),"未打卡",IF($J414="","",IF($O414&gt;0,"遲到",IF($P414&gt;0,"早退","正常"))))))</f>
        <v/>
      </c>
      <c r="O414" s="84">
        <f>IF(OR($C414="",$H414="",$J414=""),0,IF(ROUND(($J414-$H414)*1440,0)&gt;設定!$C$46,ROUND(($J414-$H414)*1440,0),0))</f>
        <v/>
      </c>
      <c r="P414" s="84">
        <f>IF(OR($C414="",$I414="",$K414=""),0,IF(ROUND(($I414-$K414)*1440,0)&gt;設定!$C$46,ROUND(($I414-$K414)*1440,0),0))</f>
        <v/>
      </c>
      <c r="Q414" s="85">
        <f>IF($M414="",0,IF(($M414-IFERROR(INDEX(設定!$G$6:$G$21,MATCH($G414,設定!$B$6:$B$21,0)),0))*60&gt;=設定!$C$44,ROUND(FLOOR(($M414-IFERROR(INDEX(設定!$G$6:$G$21,MATCH($G414,設定!$B$6:$B$21,0)),0))*60,設定!$C$45)/60,2),0))</f>
        <v/>
      </c>
      <c r="R414" s="16">
        <f>IF(OR($C414="",$Q414=0),"",IF($G414="國","國定假日",IF($B414="日","例假",IF($B414="六","休息日","平日"))))</f>
        <v/>
      </c>
      <c r="S414" s="19" t="n"/>
    </row>
    <row r="415">
      <c r="A415" s="82">
        <f>IF(OR(助理班表!$A18="",10&gt;DAY(EOMONTH(DATE(設定!$C$2,設定!$D$2,1),0))),"",DATE(設定!$C$2,設定!$D$2,10))</f>
        <v/>
      </c>
      <c r="B415" s="16">
        <f>IF($A415="","",INDEX(設定!$O$6:$O$12,WEEKDAY($A415,1)))</f>
        <v/>
      </c>
      <c r="C415" s="16">
        <f>IF($A415="","",助理班表!$A18)</f>
        <v/>
      </c>
      <c r="D415" s="16">
        <f>IF($C415="","",助理班表!$B18)</f>
        <v/>
      </c>
      <c r="E415" s="16">
        <f>IF($C415="","",助理班表!$D18)</f>
        <v/>
      </c>
      <c r="F415" s="16">
        <f>IF($C415="","",助理班表!$C18)</f>
        <v/>
      </c>
      <c r="G415" s="16">
        <f>IF($C415="","",助理班表!N18)</f>
        <v/>
      </c>
      <c r="H415" s="83">
        <f>IF($G415="","",IFERROR(IF(INDEX(設定!$D$6:$D$21,MATCH($G415,設定!$B$6:$B$21,0))=0,"",INDEX(設定!$D$6:$D$21,MATCH($G415,設定!$B$6:$B$21,0))),""))</f>
        <v/>
      </c>
      <c r="I415" s="83">
        <f>IF($G415="","",IFERROR(IF(INDEX(設定!$E$6:$E$21,MATCH($G415,設定!$B$6:$B$21,0))=0,"",INDEX(設定!$E$6:$E$21,MATCH($G415,設定!$B$6:$B$21,0))),""))</f>
        <v/>
      </c>
      <c r="J415" s="83">
        <f>IFERROR(INDEX(打卡匯入!$C$3:$C$2002,MATCH($C415&amp;"|"&amp;DAY($A415),打卡匯入!$E$3:$E$2002,0)),"")</f>
        <v/>
      </c>
      <c r="K415" s="83">
        <f>IFERROR(INDEX(打卡匯入!$D$3:$D$2002,MATCH($C415&amp;"|"&amp;DAY($A415),打卡匯入!$E$3:$E$2002,0)),"")</f>
        <v/>
      </c>
      <c r="L415" s="84">
        <f>IF(OR($J415="",$K415=""),"",IFERROR(INDEX(設定!$F$6:$F$21,MATCH($G415,設定!$B$6:$B$21,0)),0))</f>
        <v/>
      </c>
      <c r="M415" s="85">
        <f>IF(OR($J415="",$K415=""),"",ROUND(($K415-$J415)*24-$L415/60,2))</f>
        <v/>
      </c>
      <c r="N415" s="16">
        <f>IF($C415="","",IF(AND(COUNTIF(設定!$B$15:$B$21,$G415)&gt;0,$J415&lt;&gt;""),"假日出勤",IF(AND(COUNTIF(設定!$B$6:$B$14,$G415)&gt;0,$J415=""),"未打卡",IF($J415="","",IF($O415&gt;0,"遲到",IF($P415&gt;0,"早退","正常"))))))</f>
        <v/>
      </c>
      <c r="O415" s="84">
        <f>IF(OR($C415="",$H415="",$J415=""),0,IF(ROUND(($J415-$H415)*1440,0)&gt;設定!$C$46,ROUND(($J415-$H415)*1440,0),0))</f>
        <v/>
      </c>
      <c r="P415" s="84">
        <f>IF(OR($C415="",$I415="",$K415=""),0,IF(ROUND(($I415-$K415)*1440,0)&gt;設定!$C$46,ROUND(($I415-$K415)*1440,0),0))</f>
        <v/>
      </c>
      <c r="Q415" s="85">
        <f>IF($M415="",0,IF(($M415-IFERROR(INDEX(設定!$G$6:$G$21,MATCH($G415,設定!$B$6:$B$21,0)),0))*60&gt;=設定!$C$44,ROUND(FLOOR(($M415-IFERROR(INDEX(設定!$G$6:$G$21,MATCH($G415,設定!$B$6:$B$21,0)),0))*60,設定!$C$45)/60,2),0))</f>
        <v/>
      </c>
      <c r="R415" s="16">
        <f>IF(OR($C415="",$Q415=0),"",IF($G415="國","國定假日",IF($B415="日","例假",IF($B415="六","休息日","平日"))))</f>
        <v/>
      </c>
      <c r="S415" s="19" t="n"/>
    </row>
    <row r="416">
      <c r="A416" s="82">
        <f>IF(OR(助理班表!$A18="",11&gt;DAY(EOMONTH(DATE(設定!$C$2,設定!$D$2,1),0))),"",DATE(設定!$C$2,設定!$D$2,11))</f>
        <v/>
      </c>
      <c r="B416" s="16">
        <f>IF($A416="","",INDEX(設定!$O$6:$O$12,WEEKDAY($A416,1)))</f>
        <v/>
      </c>
      <c r="C416" s="16">
        <f>IF($A416="","",助理班表!$A18)</f>
        <v/>
      </c>
      <c r="D416" s="16">
        <f>IF($C416="","",助理班表!$B18)</f>
        <v/>
      </c>
      <c r="E416" s="16">
        <f>IF($C416="","",助理班表!$D18)</f>
        <v/>
      </c>
      <c r="F416" s="16">
        <f>IF($C416="","",助理班表!$C18)</f>
        <v/>
      </c>
      <c r="G416" s="16">
        <f>IF($C416="","",助理班表!O18)</f>
        <v/>
      </c>
      <c r="H416" s="83">
        <f>IF($G416="","",IFERROR(IF(INDEX(設定!$D$6:$D$21,MATCH($G416,設定!$B$6:$B$21,0))=0,"",INDEX(設定!$D$6:$D$21,MATCH($G416,設定!$B$6:$B$21,0))),""))</f>
        <v/>
      </c>
      <c r="I416" s="83">
        <f>IF($G416="","",IFERROR(IF(INDEX(設定!$E$6:$E$21,MATCH($G416,設定!$B$6:$B$21,0))=0,"",INDEX(設定!$E$6:$E$21,MATCH($G416,設定!$B$6:$B$21,0))),""))</f>
        <v/>
      </c>
      <c r="J416" s="83">
        <f>IFERROR(INDEX(打卡匯入!$C$3:$C$2002,MATCH($C416&amp;"|"&amp;DAY($A416),打卡匯入!$E$3:$E$2002,0)),"")</f>
        <v/>
      </c>
      <c r="K416" s="83">
        <f>IFERROR(INDEX(打卡匯入!$D$3:$D$2002,MATCH($C416&amp;"|"&amp;DAY($A416),打卡匯入!$E$3:$E$2002,0)),"")</f>
        <v/>
      </c>
      <c r="L416" s="84">
        <f>IF(OR($J416="",$K416=""),"",IFERROR(INDEX(設定!$F$6:$F$21,MATCH($G416,設定!$B$6:$B$21,0)),0))</f>
        <v/>
      </c>
      <c r="M416" s="85">
        <f>IF(OR($J416="",$K416=""),"",ROUND(($K416-$J416)*24-$L416/60,2))</f>
        <v/>
      </c>
      <c r="N416" s="16">
        <f>IF($C416="","",IF(AND(COUNTIF(設定!$B$15:$B$21,$G416)&gt;0,$J416&lt;&gt;""),"假日出勤",IF(AND(COUNTIF(設定!$B$6:$B$14,$G416)&gt;0,$J416=""),"未打卡",IF($J416="","",IF($O416&gt;0,"遲到",IF($P416&gt;0,"早退","正常"))))))</f>
        <v/>
      </c>
      <c r="O416" s="84">
        <f>IF(OR($C416="",$H416="",$J416=""),0,IF(ROUND(($J416-$H416)*1440,0)&gt;設定!$C$46,ROUND(($J416-$H416)*1440,0),0))</f>
        <v/>
      </c>
      <c r="P416" s="84">
        <f>IF(OR($C416="",$I416="",$K416=""),0,IF(ROUND(($I416-$K416)*1440,0)&gt;設定!$C$46,ROUND(($I416-$K416)*1440,0),0))</f>
        <v/>
      </c>
      <c r="Q416" s="85">
        <f>IF($M416="",0,IF(($M416-IFERROR(INDEX(設定!$G$6:$G$21,MATCH($G416,設定!$B$6:$B$21,0)),0))*60&gt;=設定!$C$44,ROUND(FLOOR(($M416-IFERROR(INDEX(設定!$G$6:$G$21,MATCH($G416,設定!$B$6:$B$21,0)),0))*60,設定!$C$45)/60,2),0))</f>
        <v/>
      </c>
      <c r="R416" s="16">
        <f>IF(OR($C416="",$Q416=0),"",IF($G416="國","國定假日",IF($B416="日","例假",IF($B416="六","休息日","平日"))))</f>
        <v/>
      </c>
      <c r="S416" s="19" t="n"/>
    </row>
    <row r="417">
      <c r="A417" s="82">
        <f>IF(OR(助理班表!$A18="",12&gt;DAY(EOMONTH(DATE(設定!$C$2,設定!$D$2,1),0))),"",DATE(設定!$C$2,設定!$D$2,12))</f>
        <v/>
      </c>
      <c r="B417" s="16">
        <f>IF($A417="","",INDEX(設定!$O$6:$O$12,WEEKDAY($A417,1)))</f>
        <v/>
      </c>
      <c r="C417" s="16">
        <f>IF($A417="","",助理班表!$A18)</f>
        <v/>
      </c>
      <c r="D417" s="16">
        <f>IF($C417="","",助理班表!$B18)</f>
        <v/>
      </c>
      <c r="E417" s="16">
        <f>IF($C417="","",助理班表!$D18)</f>
        <v/>
      </c>
      <c r="F417" s="16">
        <f>IF($C417="","",助理班表!$C18)</f>
        <v/>
      </c>
      <c r="G417" s="16">
        <f>IF($C417="","",助理班表!P18)</f>
        <v/>
      </c>
      <c r="H417" s="83">
        <f>IF($G417="","",IFERROR(IF(INDEX(設定!$D$6:$D$21,MATCH($G417,設定!$B$6:$B$21,0))=0,"",INDEX(設定!$D$6:$D$21,MATCH($G417,設定!$B$6:$B$21,0))),""))</f>
        <v/>
      </c>
      <c r="I417" s="83">
        <f>IF($G417="","",IFERROR(IF(INDEX(設定!$E$6:$E$21,MATCH($G417,設定!$B$6:$B$21,0))=0,"",INDEX(設定!$E$6:$E$21,MATCH($G417,設定!$B$6:$B$21,0))),""))</f>
        <v/>
      </c>
      <c r="J417" s="83">
        <f>IFERROR(INDEX(打卡匯入!$C$3:$C$2002,MATCH($C417&amp;"|"&amp;DAY($A417),打卡匯入!$E$3:$E$2002,0)),"")</f>
        <v/>
      </c>
      <c r="K417" s="83">
        <f>IFERROR(INDEX(打卡匯入!$D$3:$D$2002,MATCH($C417&amp;"|"&amp;DAY($A417),打卡匯入!$E$3:$E$2002,0)),"")</f>
        <v/>
      </c>
      <c r="L417" s="84">
        <f>IF(OR($J417="",$K417=""),"",IFERROR(INDEX(設定!$F$6:$F$21,MATCH($G417,設定!$B$6:$B$21,0)),0))</f>
        <v/>
      </c>
      <c r="M417" s="85">
        <f>IF(OR($J417="",$K417=""),"",ROUND(($K417-$J417)*24-$L417/60,2))</f>
        <v/>
      </c>
      <c r="N417" s="16">
        <f>IF($C417="","",IF(AND(COUNTIF(設定!$B$15:$B$21,$G417)&gt;0,$J417&lt;&gt;""),"假日出勤",IF(AND(COUNTIF(設定!$B$6:$B$14,$G417)&gt;0,$J417=""),"未打卡",IF($J417="","",IF($O417&gt;0,"遲到",IF($P417&gt;0,"早退","正常"))))))</f>
        <v/>
      </c>
      <c r="O417" s="84">
        <f>IF(OR($C417="",$H417="",$J417=""),0,IF(ROUND(($J417-$H417)*1440,0)&gt;設定!$C$46,ROUND(($J417-$H417)*1440,0),0))</f>
        <v/>
      </c>
      <c r="P417" s="84">
        <f>IF(OR($C417="",$I417="",$K417=""),0,IF(ROUND(($I417-$K417)*1440,0)&gt;設定!$C$46,ROUND(($I417-$K417)*1440,0),0))</f>
        <v/>
      </c>
      <c r="Q417" s="85">
        <f>IF($M417="",0,IF(($M417-IFERROR(INDEX(設定!$G$6:$G$21,MATCH($G417,設定!$B$6:$B$21,0)),0))*60&gt;=設定!$C$44,ROUND(FLOOR(($M417-IFERROR(INDEX(設定!$G$6:$G$21,MATCH($G417,設定!$B$6:$B$21,0)),0))*60,設定!$C$45)/60,2),0))</f>
        <v/>
      </c>
      <c r="R417" s="16">
        <f>IF(OR($C417="",$Q417=0),"",IF($G417="國","國定假日",IF($B417="日","例假",IF($B417="六","休息日","平日"))))</f>
        <v/>
      </c>
      <c r="S417" s="19" t="n"/>
    </row>
    <row r="418">
      <c r="A418" s="82">
        <f>IF(OR(助理班表!$A18="",13&gt;DAY(EOMONTH(DATE(設定!$C$2,設定!$D$2,1),0))),"",DATE(設定!$C$2,設定!$D$2,13))</f>
        <v/>
      </c>
      <c r="B418" s="16">
        <f>IF($A418="","",INDEX(設定!$O$6:$O$12,WEEKDAY($A418,1)))</f>
        <v/>
      </c>
      <c r="C418" s="16">
        <f>IF($A418="","",助理班表!$A18)</f>
        <v/>
      </c>
      <c r="D418" s="16">
        <f>IF($C418="","",助理班表!$B18)</f>
        <v/>
      </c>
      <c r="E418" s="16">
        <f>IF($C418="","",助理班表!$D18)</f>
        <v/>
      </c>
      <c r="F418" s="16">
        <f>IF($C418="","",助理班表!$C18)</f>
        <v/>
      </c>
      <c r="G418" s="16">
        <f>IF($C418="","",助理班表!Q18)</f>
        <v/>
      </c>
      <c r="H418" s="83">
        <f>IF($G418="","",IFERROR(IF(INDEX(設定!$D$6:$D$21,MATCH($G418,設定!$B$6:$B$21,0))=0,"",INDEX(設定!$D$6:$D$21,MATCH($G418,設定!$B$6:$B$21,0))),""))</f>
        <v/>
      </c>
      <c r="I418" s="83">
        <f>IF($G418="","",IFERROR(IF(INDEX(設定!$E$6:$E$21,MATCH($G418,設定!$B$6:$B$21,0))=0,"",INDEX(設定!$E$6:$E$21,MATCH($G418,設定!$B$6:$B$21,0))),""))</f>
        <v/>
      </c>
      <c r="J418" s="83">
        <f>IFERROR(INDEX(打卡匯入!$C$3:$C$2002,MATCH($C418&amp;"|"&amp;DAY($A418),打卡匯入!$E$3:$E$2002,0)),"")</f>
        <v/>
      </c>
      <c r="K418" s="83">
        <f>IFERROR(INDEX(打卡匯入!$D$3:$D$2002,MATCH($C418&amp;"|"&amp;DAY($A418),打卡匯入!$E$3:$E$2002,0)),"")</f>
        <v/>
      </c>
      <c r="L418" s="84">
        <f>IF(OR($J418="",$K418=""),"",IFERROR(INDEX(設定!$F$6:$F$21,MATCH($G418,設定!$B$6:$B$21,0)),0))</f>
        <v/>
      </c>
      <c r="M418" s="85">
        <f>IF(OR($J418="",$K418=""),"",ROUND(($K418-$J418)*24-$L418/60,2))</f>
        <v/>
      </c>
      <c r="N418" s="16">
        <f>IF($C418="","",IF(AND(COUNTIF(設定!$B$15:$B$21,$G418)&gt;0,$J418&lt;&gt;""),"假日出勤",IF(AND(COUNTIF(設定!$B$6:$B$14,$G418)&gt;0,$J418=""),"未打卡",IF($J418="","",IF($O418&gt;0,"遲到",IF($P418&gt;0,"早退","正常"))))))</f>
        <v/>
      </c>
      <c r="O418" s="84">
        <f>IF(OR($C418="",$H418="",$J418=""),0,IF(ROUND(($J418-$H418)*1440,0)&gt;設定!$C$46,ROUND(($J418-$H418)*1440,0),0))</f>
        <v/>
      </c>
      <c r="P418" s="84">
        <f>IF(OR($C418="",$I418="",$K418=""),0,IF(ROUND(($I418-$K418)*1440,0)&gt;設定!$C$46,ROUND(($I418-$K418)*1440,0),0))</f>
        <v/>
      </c>
      <c r="Q418" s="85">
        <f>IF($M418="",0,IF(($M418-IFERROR(INDEX(設定!$G$6:$G$21,MATCH($G418,設定!$B$6:$B$21,0)),0))*60&gt;=設定!$C$44,ROUND(FLOOR(($M418-IFERROR(INDEX(設定!$G$6:$G$21,MATCH($G418,設定!$B$6:$B$21,0)),0))*60,設定!$C$45)/60,2),0))</f>
        <v/>
      </c>
      <c r="R418" s="16">
        <f>IF(OR($C418="",$Q418=0),"",IF($G418="國","國定假日",IF($B418="日","例假",IF($B418="六","休息日","平日"))))</f>
        <v/>
      </c>
      <c r="S418" s="19" t="n"/>
    </row>
    <row r="419">
      <c r="A419" s="82">
        <f>IF(OR(助理班表!$A18="",14&gt;DAY(EOMONTH(DATE(設定!$C$2,設定!$D$2,1),0))),"",DATE(設定!$C$2,設定!$D$2,14))</f>
        <v/>
      </c>
      <c r="B419" s="16">
        <f>IF($A419="","",INDEX(設定!$O$6:$O$12,WEEKDAY($A419,1)))</f>
        <v/>
      </c>
      <c r="C419" s="16">
        <f>IF($A419="","",助理班表!$A18)</f>
        <v/>
      </c>
      <c r="D419" s="16">
        <f>IF($C419="","",助理班表!$B18)</f>
        <v/>
      </c>
      <c r="E419" s="16">
        <f>IF($C419="","",助理班表!$D18)</f>
        <v/>
      </c>
      <c r="F419" s="16">
        <f>IF($C419="","",助理班表!$C18)</f>
        <v/>
      </c>
      <c r="G419" s="16">
        <f>IF($C419="","",助理班表!R18)</f>
        <v/>
      </c>
      <c r="H419" s="83">
        <f>IF($G419="","",IFERROR(IF(INDEX(設定!$D$6:$D$21,MATCH($G419,設定!$B$6:$B$21,0))=0,"",INDEX(設定!$D$6:$D$21,MATCH($G419,設定!$B$6:$B$21,0))),""))</f>
        <v/>
      </c>
      <c r="I419" s="83">
        <f>IF($G419="","",IFERROR(IF(INDEX(設定!$E$6:$E$21,MATCH($G419,設定!$B$6:$B$21,0))=0,"",INDEX(設定!$E$6:$E$21,MATCH($G419,設定!$B$6:$B$21,0))),""))</f>
        <v/>
      </c>
      <c r="J419" s="83">
        <f>IFERROR(INDEX(打卡匯入!$C$3:$C$2002,MATCH($C419&amp;"|"&amp;DAY($A419),打卡匯入!$E$3:$E$2002,0)),"")</f>
        <v/>
      </c>
      <c r="K419" s="83">
        <f>IFERROR(INDEX(打卡匯入!$D$3:$D$2002,MATCH($C419&amp;"|"&amp;DAY($A419),打卡匯入!$E$3:$E$2002,0)),"")</f>
        <v/>
      </c>
      <c r="L419" s="84">
        <f>IF(OR($J419="",$K419=""),"",IFERROR(INDEX(設定!$F$6:$F$21,MATCH($G419,設定!$B$6:$B$21,0)),0))</f>
        <v/>
      </c>
      <c r="M419" s="85">
        <f>IF(OR($J419="",$K419=""),"",ROUND(($K419-$J419)*24-$L419/60,2))</f>
        <v/>
      </c>
      <c r="N419" s="16">
        <f>IF($C419="","",IF(AND(COUNTIF(設定!$B$15:$B$21,$G419)&gt;0,$J419&lt;&gt;""),"假日出勤",IF(AND(COUNTIF(設定!$B$6:$B$14,$G419)&gt;0,$J419=""),"未打卡",IF($J419="","",IF($O419&gt;0,"遲到",IF($P419&gt;0,"早退","正常"))))))</f>
        <v/>
      </c>
      <c r="O419" s="84">
        <f>IF(OR($C419="",$H419="",$J419=""),0,IF(ROUND(($J419-$H419)*1440,0)&gt;設定!$C$46,ROUND(($J419-$H419)*1440,0),0))</f>
        <v/>
      </c>
      <c r="P419" s="84">
        <f>IF(OR($C419="",$I419="",$K419=""),0,IF(ROUND(($I419-$K419)*1440,0)&gt;設定!$C$46,ROUND(($I419-$K419)*1440,0),0))</f>
        <v/>
      </c>
      <c r="Q419" s="85">
        <f>IF($M419="",0,IF(($M419-IFERROR(INDEX(設定!$G$6:$G$21,MATCH($G419,設定!$B$6:$B$21,0)),0))*60&gt;=設定!$C$44,ROUND(FLOOR(($M419-IFERROR(INDEX(設定!$G$6:$G$21,MATCH($G419,設定!$B$6:$B$21,0)),0))*60,設定!$C$45)/60,2),0))</f>
        <v/>
      </c>
      <c r="R419" s="16">
        <f>IF(OR($C419="",$Q419=0),"",IF($G419="國","國定假日",IF($B419="日","例假",IF($B419="六","休息日","平日"))))</f>
        <v/>
      </c>
      <c r="S419" s="19" t="n"/>
    </row>
    <row r="420">
      <c r="A420" s="82">
        <f>IF(OR(助理班表!$A18="",15&gt;DAY(EOMONTH(DATE(設定!$C$2,設定!$D$2,1),0))),"",DATE(設定!$C$2,設定!$D$2,15))</f>
        <v/>
      </c>
      <c r="B420" s="16">
        <f>IF($A420="","",INDEX(設定!$O$6:$O$12,WEEKDAY($A420,1)))</f>
        <v/>
      </c>
      <c r="C420" s="16">
        <f>IF($A420="","",助理班表!$A18)</f>
        <v/>
      </c>
      <c r="D420" s="16">
        <f>IF($C420="","",助理班表!$B18)</f>
        <v/>
      </c>
      <c r="E420" s="16">
        <f>IF($C420="","",助理班表!$D18)</f>
        <v/>
      </c>
      <c r="F420" s="16">
        <f>IF($C420="","",助理班表!$C18)</f>
        <v/>
      </c>
      <c r="G420" s="16">
        <f>IF($C420="","",助理班表!S18)</f>
        <v/>
      </c>
      <c r="H420" s="83">
        <f>IF($G420="","",IFERROR(IF(INDEX(設定!$D$6:$D$21,MATCH($G420,設定!$B$6:$B$21,0))=0,"",INDEX(設定!$D$6:$D$21,MATCH($G420,設定!$B$6:$B$21,0))),""))</f>
        <v/>
      </c>
      <c r="I420" s="83">
        <f>IF($G420="","",IFERROR(IF(INDEX(設定!$E$6:$E$21,MATCH($G420,設定!$B$6:$B$21,0))=0,"",INDEX(設定!$E$6:$E$21,MATCH($G420,設定!$B$6:$B$21,0))),""))</f>
        <v/>
      </c>
      <c r="J420" s="83">
        <f>IFERROR(INDEX(打卡匯入!$C$3:$C$2002,MATCH($C420&amp;"|"&amp;DAY($A420),打卡匯入!$E$3:$E$2002,0)),"")</f>
        <v/>
      </c>
      <c r="K420" s="83">
        <f>IFERROR(INDEX(打卡匯入!$D$3:$D$2002,MATCH($C420&amp;"|"&amp;DAY($A420),打卡匯入!$E$3:$E$2002,0)),"")</f>
        <v/>
      </c>
      <c r="L420" s="84">
        <f>IF(OR($J420="",$K420=""),"",IFERROR(INDEX(設定!$F$6:$F$21,MATCH($G420,設定!$B$6:$B$21,0)),0))</f>
        <v/>
      </c>
      <c r="M420" s="85">
        <f>IF(OR($J420="",$K420=""),"",ROUND(($K420-$J420)*24-$L420/60,2))</f>
        <v/>
      </c>
      <c r="N420" s="16">
        <f>IF($C420="","",IF(AND(COUNTIF(設定!$B$15:$B$21,$G420)&gt;0,$J420&lt;&gt;""),"假日出勤",IF(AND(COUNTIF(設定!$B$6:$B$14,$G420)&gt;0,$J420=""),"未打卡",IF($J420="","",IF($O420&gt;0,"遲到",IF($P420&gt;0,"早退","正常"))))))</f>
        <v/>
      </c>
      <c r="O420" s="84">
        <f>IF(OR($C420="",$H420="",$J420=""),0,IF(ROUND(($J420-$H420)*1440,0)&gt;設定!$C$46,ROUND(($J420-$H420)*1440,0),0))</f>
        <v/>
      </c>
      <c r="P420" s="84">
        <f>IF(OR($C420="",$I420="",$K420=""),0,IF(ROUND(($I420-$K420)*1440,0)&gt;設定!$C$46,ROUND(($I420-$K420)*1440,0),0))</f>
        <v/>
      </c>
      <c r="Q420" s="85">
        <f>IF($M420="",0,IF(($M420-IFERROR(INDEX(設定!$G$6:$G$21,MATCH($G420,設定!$B$6:$B$21,0)),0))*60&gt;=設定!$C$44,ROUND(FLOOR(($M420-IFERROR(INDEX(設定!$G$6:$G$21,MATCH($G420,設定!$B$6:$B$21,0)),0))*60,設定!$C$45)/60,2),0))</f>
        <v/>
      </c>
      <c r="R420" s="16">
        <f>IF(OR($C420="",$Q420=0),"",IF($G420="國","國定假日",IF($B420="日","例假",IF($B420="六","休息日","平日"))))</f>
        <v/>
      </c>
      <c r="S420" s="19" t="n"/>
    </row>
    <row r="421">
      <c r="A421" s="82">
        <f>IF(OR(助理班表!$A18="",16&gt;DAY(EOMONTH(DATE(設定!$C$2,設定!$D$2,1),0))),"",DATE(設定!$C$2,設定!$D$2,16))</f>
        <v/>
      </c>
      <c r="B421" s="16">
        <f>IF($A421="","",INDEX(設定!$O$6:$O$12,WEEKDAY($A421,1)))</f>
        <v/>
      </c>
      <c r="C421" s="16">
        <f>IF($A421="","",助理班表!$A18)</f>
        <v/>
      </c>
      <c r="D421" s="16">
        <f>IF($C421="","",助理班表!$B18)</f>
        <v/>
      </c>
      <c r="E421" s="16">
        <f>IF($C421="","",助理班表!$D18)</f>
        <v/>
      </c>
      <c r="F421" s="16">
        <f>IF($C421="","",助理班表!$C18)</f>
        <v/>
      </c>
      <c r="G421" s="16">
        <f>IF($C421="","",助理班表!T18)</f>
        <v/>
      </c>
      <c r="H421" s="83">
        <f>IF($G421="","",IFERROR(IF(INDEX(設定!$D$6:$D$21,MATCH($G421,設定!$B$6:$B$21,0))=0,"",INDEX(設定!$D$6:$D$21,MATCH($G421,設定!$B$6:$B$21,0))),""))</f>
        <v/>
      </c>
      <c r="I421" s="83">
        <f>IF($G421="","",IFERROR(IF(INDEX(設定!$E$6:$E$21,MATCH($G421,設定!$B$6:$B$21,0))=0,"",INDEX(設定!$E$6:$E$21,MATCH($G421,設定!$B$6:$B$21,0))),""))</f>
        <v/>
      </c>
      <c r="J421" s="83">
        <f>IFERROR(INDEX(打卡匯入!$C$3:$C$2002,MATCH($C421&amp;"|"&amp;DAY($A421),打卡匯入!$E$3:$E$2002,0)),"")</f>
        <v/>
      </c>
      <c r="K421" s="83">
        <f>IFERROR(INDEX(打卡匯入!$D$3:$D$2002,MATCH($C421&amp;"|"&amp;DAY($A421),打卡匯入!$E$3:$E$2002,0)),"")</f>
        <v/>
      </c>
      <c r="L421" s="84">
        <f>IF(OR($J421="",$K421=""),"",IFERROR(INDEX(設定!$F$6:$F$21,MATCH($G421,設定!$B$6:$B$21,0)),0))</f>
        <v/>
      </c>
      <c r="M421" s="85">
        <f>IF(OR($J421="",$K421=""),"",ROUND(($K421-$J421)*24-$L421/60,2))</f>
        <v/>
      </c>
      <c r="N421" s="16">
        <f>IF($C421="","",IF(AND(COUNTIF(設定!$B$15:$B$21,$G421)&gt;0,$J421&lt;&gt;""),"假日出勤",IF(AND(COUNTIF(設定!$B$6:$B$14,$G421)&gt;0,$J421=""),"未打卡",IF($J421="","",IF($O421&gt;0,"遲到",IF($P421&gt;0,"早退","正常"))))))</f>
        <v/>
      </c>
      <c r="O421" s="84">
        <f>IF(OR($C421="",$H421="",$J421=""),0,IF(ROUND(($J421-$H421)*1440,0)&gt;設定!$C$46,ROUND(($J421-$H421)*1440,0),0))</f>
        <v/>
      </c>
      <c r="P421" s="84">
        <f>IF(OR($C421="",$I421="",$K421=""),0,IF(ROUND(($I421-$K421)*1440,0)&gt;設定!$C$46,ROUND(($I421-$K421)*1440,0),0))</f>
        <v/>
      </c>
      <c r="Q421" s="85">
        <f>IF($M421="",0,IF(($M421-IFERROR(INDEX(設定!$G$6:$G$21,MATCH($G421,設定!$B$6:$B$21,0)),0))*60&gt;=設定!$C$44,ROUND(FLOOR(($M421-IFERROR(INDEX(設定!$G$6:$G$21,MATCH($G421,設定!$B$6:$B$21,0)),0))*60,設定!$C$45)/60,2),0))</f>
        <v/>
      </c>
      <c r="R421" s="16">
        <f>IF(OR($C421="",$Q421=0),"",IF($G421="國","國定假日",IF($B421="日","例假",IF($B421="六","休息日","平日"))))</f>
        <v/>
      </c>
      <c r="S421" s="19" t="n"/>
    </row>
    <row r="422">
      <c r="A422" s="82">
        <f>IF(OR(助理班表!$A18="",17&gt;DAY(EOMONTH(DATE(設定!$C$2,設定!$D$2,1),0))),"",DATE(設定!$C$2,設定!$D$2,17))</f>
        <v/>
      </c>
      <c r="B422" s="16">
        <f>IF($A422="","",INDEX(設定!$O$6:$O$12,WEEKDAY($A422,1)))</f>
        <v/>
      </c>
      <c r="C422" s="16">
        <f>IF($A422="","",助理班表!$A18)</f>
        <v/>
      </c>
      <c r="D422" s="16">
        <f>IF($C422="","",助理班表!$B18)</f>
        <v/>
      </c>
      <c r="E422" s="16">
        <f>IF($C422="","",助理班表!$D18)</f>
        <v/>
      </c>
      <c r="F422" s="16">
        <f>IF($C422="","",助理班表!$C18)</f>
        <v/>
      </c>
      <c r="G422" s="16">
        <f>IF($C422="","",助理班表!U18)</f>
        <v/>
      </c>
      <c r="H422" s="83">
        <f>IF($G422="","",IFERROR(IF(INDEX(設定!$D$6:$D$21,MATCH($G422,設定!$B$6:$B$21,0))=0,"",INDEX(設定!$D$6:$D$21,MATCH($G422,設定!$B$6:$B$21,0))),""))</f>
        <v/>
      </c>
      <c r="I422" s="83">
        <f>IF($G422="","",IFERROR(IF(INDEX(設定!$E$6:$E$21,MATCH($G422,設定!$B$6:$B$21,0))=0,"",INDEX(設定!$E$6:$E$21,MATCH($G422,設定!$B$6:$B$21,0))),""))</f>
        <v/>
      </c>
      <c r="J422" s="83">
        <f>IFERROR(INDEX(打卡匯入!$C$3:$C$2002,MATCH($C422&amp;"|"&amp;DAY($A422),打卡匯入!$E$3:$E$2002,0)),"")</f>
        <v/>
      </c>
      <c r="K422" s="83">
        <f>IFERROR(INDEX(打卡匯入!$D$3:$D$2002,MATCH($C422&amp;"|"&amp;DAY($A422),打卡匯入!$E$3:$E$2002,0)),"")</f>
        <v/>
      </c>
      <c r="L422" s="84">
        <f>IF(OR($J422="",$K422=""),"",IFERROR(INDEX(設定!$F$6:$F$21,MATCH($G422,設定!$B$6:$B$21,0)),0))</f>
        <v/>
      </c>
      <c r="M422" s="85">
        <f>IF(OR($J422="",$K422=""),"",ROUND(($K422-$J422)*24-$L422/60,2))</f>
        <v/>
      </c>
      <c r="N422" s="16">
        <f>IF($C422="","",IF(AND(COUNTIF(設定!$B$15:$B$21,$G422)&gt;0,$J422&lt;&gt;""),"假日出勤",IF(AND(COUNTIF(設定!$B$6:$B$14,$G422)&gt;0,$J422=""),"未打卡",IF($J422="","",IF($O422&gt;0,"遲到",IF($P422&gt;0,"早退","正常"))))))</f>
        <v/>
      </c>
      <c r="O422" s="84">
        <f>IF(OR($C422="",$H422="",$J422=""),0,IF(ROUND(($J422-$H422)*1440,0)&gt;設定!$C$46,ROUND(($J422-$H422)*1440,0),0))</f>
        <v/>
      </c>
      <c r="P422" s="84">
        <f>IF(OR($C422="",$I422="",$K422=""),0,IF(ROUND(($I422-$K422)*1440,0)&gt;設定!$C$46,ROUND(($I422-$K422)*1440,0),0))</f>
        <v/>
      </c>
      <c r="Q422" s="85">
        <f>IF($M422="",0,IF(($M422-IFERROR(INDEX(設定!$G$6:$G$21,MATCH($G422,設定!$B$6:$B$21,0)),0))*60&gt;=設定!$C$44,ROUND(FLOOR(($M422-IFERROR(INDEX(設定!$G$6:$G$21,MATCH($G422,設定!$B$6:$B$21,0)),0))*60,設定!$C$45)/60,2),0))</f>
        <v/>
      </c>
      <c r="R422" s="16">
        <f>IF(OR($C422="",$Q422=0),"",IF($G422="國","國定假日",IF($B422="日","例假",IF($B422="六","休息日","平日"))))</f>
        <v/>
      </c>
      <c r="S422" s="19" t="n"/>
    </row>
    <row r="423">
      <c r="A423" s="82">
        <f>IF(OR(助理班表!$A18="",18&gt;DAY(EOMONTH(DATE(設定!$C$2,設定!$D$2,1),0))),"",DATE(設定!$C$2,設定!$D$2,18))</f>
        <v/>
      </c>
      <c r="B423" s="16">
        <f>IF($A423="","",INDEX(設定!$O$6:$O$12,WEEKDAY($A423,1)))</f>
        <v/>
      </c>
      <c r="C423" s="16">
        <f>IF($A423="","",助理班表!$A18)</f>
        <v/>
      </c>
      <c r="D423" s="16">
        <f>IF($C423="","",助理班表!$B18)</f>
        <v/>
      </c>
      <c r="E423" s="16">
        <f>IF($C423="","",助理班表!$D18)</f>
        <v/>
      </c>
      <c r="F423" s="16">
        <f>IF($C423="","",助理班表!$C18)</f>
        <v/>
      </c>
      <c r="G423" s="16">
        <f>IF($C423="","",助理班表!V18)</f>
        <v/>
      </c>
      <c r="H423" s="83">
        <f>IF($G423="","",IFERROR(IF(INDEX(設定!$D$6:$D$21,MATCH($G423,設定!$B$6:$B$21,0))=0,"",INDEX(設定!$D$6:$D$21,MATCH($G423,設定!$B$6:$B$21,0))),""))</f>
        <v/>
      </c>
      <c r="I423" s="83">
        <f>IF($G423="","",IFERROR(IF(INDEX(設定!$E$6:$E$21,MATCH($G423,設定!$B$6:$B$21,0))=0,"",INDEX(設定!$E$6:$E$21,MATCH($G423,設定!$B$6:$B$21,0))),""))</f>
        <v/>
      </c>
      <c r="J423" s="83">
        <f>IFERROR(INDEX(打卡匯入!$C$3:$C$2002,MATCH($C423&amp;"|"&amp;DAY($A423),打卡匯入!$E$3:$E$2002,0)),"")</f>
        <v/>
      </c>
      <c r="K423" s="83">
        <f>IFERROR(INDEX(打卡匯入!$D$3:$D$2002,MATCH($C423&amp;"|"&amp;DAY($A423),打卡匯入!$E$3:$E$2002,0)),"")</f>
        <v/>
      </c>
      <c r="L423" s="84">
        <f>IF(OR($J423="",$K423=""),"",IFERROR(INDEX(設定!$F$6:$F$21,MATCH($G423,設定!$B$6:$B$21,0)),0))</f>
        <v/>
      </c>
      <c r="M423" s="85">
        <f>IF(OR($J423="",$K423=""),"",ROUND(($K423-$J423)*24-$L423/60,2))</f>
        <v/>
      </c>
      <c r="N423" s="16">
        <f>IF($C423="","",IF(AND(COUNTIF(設定!$B$15:$B$21,$G423)&gt;0,$J423&lt;&gt;""),"假日出勤",IF(AND(COUNTIF(設定!$B$6:$B$14,$G423)&gt;0,$J423=""),"未打卡",IF($J423="","",IF($O423&gt;0,"遲到",IF($P423&gt;0,"早退","正常"))))))</f>
        <v/>
      </c>
      <c r="O423" s="84">
        <f>IF(OR($C423="",$H423="",$J423=""),0,IF(ROUND(($J423-$H423)*1440,0)&gt;設定!$C$46,ROUND(($J423-$H423)*1440,0),0))</f>
        <v/>
      </c>
      <c r="P423" s="84">
        <f>IF(OR($C423="",$I423="",$K423=""),0,IF(ROUND(($I423-$K423)*1440,0)&gt;設定!$C$46,ROUND(($I423-$K423)*1440,0),0))</f>
        <v/>
      </c>
      <c r="Q423" s="85">
        <f>IF($M423="",0,IF(($M423-IFERROR(INDEX(設定!$G$6:$G$21,MATCH($G423,設定!$B$6:$B$21,0)),0))*60&gt;=設定!$C$44,ROUND(FLOOR(($M423-IFERROR(INDEX(設定!$G$6:$G$21,MATCH($G423,設定!$B$6:$B$21,0)),0))*60,設定!$C$45)/60,2),0))</f>
        <v/>
      </c>
      <c r="R423" s="16">
        <f>IF(OR($C423="",$Q423=0),"",IF($G423="國","國定假日",IF($B423="日","例假",IF($B423="六","休息日","平日"))))</f>
        <v/>
      </c>
      <c r="S423" s="19" t="n"/>
    </row>
    <row r="424">
      <c r="A424" s="82">
        <f>IF(OR(助理班表!$A18="",19&gt;DAY(EOMONTH(DATE(設定!$C$2,設定!$D$2,1),0))),"",DATE(設定!$C$2,設定!$D$2,19))</f>
        <v/>
      </c>
      <c r="B424" s="16">
        <f>IF($A424="","",INDEX(設定!$O$6:$O$12,WEEKDAY($A424,1)))</f>
        <v/>
      </c>
      <c r="C424" s="16">
        <f>IF($A424="","",助理班表!$A18)</f>
        <v/>
      </c>
      <c r="D424" s="16">
        <f>IF($C424="","",助理班表!$B18)</f>
        <v/>
      </c>
      <c r="E424" s="16">
        <f>IF($C424="","",助理班表!$D18)</f>
        <v/>
      </c>
      <c r="F424" s="16">
        <f>IF($C424="","",助理班表!$C18)</f>
        <v/>
      </c>
      <c r="G424" s="16">
        <f>IF($C424="","",助理班表!W18)</f>
        <v/>
      </c>
      <c r="H424" s="83">
        <f>IF($G424="","",IFERROR(IF(INDEX(設定!$D$6:$D$21,MATCH($G424,設定!$B$6:$B$21,0))=0,"",INDEX(設定!$D$6:$D$21,MATCH($G424,設定!$B$6:$B$21,0))),""))</f>
        <v/>
      </c>
      <c r="I424" s="83">
        <f>IF($G424="","",IFERROR(IF(INDEX(設定!$E$6:$E$21,MATCH($G424,設定!$B$6:$B$21,0))=0,"",INDEX(設定!$E$6:$E$21,MATCH($G424,設定!$B$6:$B$21,0))),""))</f>
        <v/>
      </c>
      <c r="J424" s="83">
        <f>IFERROR(INDEX(打卡匯入!$C$3:$C$2002,MATCH($C424&amp;"|"&amp;DAY($A424),打卡匯入!$E$3:$E$2002,0)),"")</f>
        <v/>
      </c>
      <c r="K424" s="83">
        <f>IFERROR(INDEX(打卡匯入!$D$3:$D$2002,MATCH($C424&amp;"|"&amp;DAY($A424),打卡匯入!$E$3:$E$2002,0)),"")</f>
        <v/>
      </c>
      <c r="L424" s="84">
        <f>IF(OR($J424="",$K424=""),"",IFERROR(INDEX(設定!$F$6:$F$21,MATCH($G424,設定!$B$6:$B$21,0)),0))</f>
        <v/>
      </c>
      <c r="M424" s="85">
        <f>IF(OR($J424="",$K424=""),"",ROUND(($K424-$J424)*24-$L424/60,2))</f>
        <v/>
      </c>
      <c r="N424" s="16">
        <f>IF($C424="","",IF(AND(COUNTIF(設定!$B$15:$B$21,$G424)&gt;0,$J424&lt;&gt;""),"假日出勤",IF(AND(COUNTIF(設定!$B$6:$B$14,$G424)&gt;0,$J424=""),"未打卡",IF($J424="","",IF($O424&gt;0,"遲到",IF($P424&gt;0,"早退","正常"))))))</f>
        <v/>
      </c>
      <c r="O424" s="84">
        <f>IF(OR($C424="",$H424="",$J424=""),0,IF(ROUND(($J424-$H424)*1440,0)&gt;設定!$C$46,ROUND(($J424-$H424)*1440,0),0))</f>
        <v/>
      </c>
      <c r="P424" s="84">
        <f>IF(OR($C424="",$I424="",$K424=""),0,IF(ROUND(($I424-$K424)*1440,0)&gt;設定!$C$46,ROUND(($I424-$K424)*1440,0),0))</f>
        <v/>
      </c>
      <c r="Q424" s="85">
        <f>IF($M424="",0,IF(($M424-IFERROR(INDEX(設定!$G$6:$G$21,MATCH($G424,設定!$B$6:$B$21,0)),0))*60&gt;=設定!$C$44,ROUND(FLOOR(($M424-IFERROR(INDEX(設定!$G$6:$G$21,MATCH($G424,設定!$B$6:$B$21,0)),0))*60,設定!$C$45)/60,2),0))</f>
        <v/>
      </c>
      <c r="R424" s="16">
        <f>IF(OR($C424="",$Q424=0),"",IF($G424="國","國定假日",IF($B424="日","例假",IF($B424="六","休息日","平日"))))</f>
        <v/>
      </c>
      <c r="S424" s="19" t="n"/>
    </row>
    <row r="425">
      <c r="A425" s="82">
        <f>IF(OR(助理班表!$A18="",20&gt;DAY(EOMONTH(DATE(設定!$C$2,設定!$D$2,1),0))),"",DATE(設定!$C$2,設定!$D$2,20))</f>
        <v/>
      </c>
      <c r="B425" s="16">
        <f>IF($A425="","",INDEX(設定!$O$6:$O$12,WEEKDAY($A425,1)))</f>
        <v/>
      </c>
      <c r="C425" s="16">
        <f>IF($A425="","",助理班表!$A18)</f>
        <v/>
      </c>
      <c r="D425" s="16">
        <f>IF($C425="","",助理班表!$B18)</f>
        <v/>
      </c>
      <c r="E425" s="16">
        <f>IF($C425="","",助理班表!$D18)</f>
        <v/>
      </c>
      <c r="F425" s="16">
        <f>IF($C425="","",助理班表!$C18)</f>
        <v/>
      </c>
      <c r="G425" s="16">
        <f>IF($C425="","",助理班表!X18)</f>
        <v/>
      </c>
      <c r="H425" s="83">
        <f>IF($G425="","",IFERROR(IF(INDEX(設定!$D$6:$D$21,MATCH($G425,設定!$B$6:$B$21,0))=0,"",INDEX(設定!$D$6:$D$21,MATCH($G425,設定!$B$6:$B$21,0))),""))</f>
        <v/>
      </c>
      <c r="I425" s="83">
        <f>IF($G425="","",IFERROR(IF(INDEX(設定!$E$6:$E$21,MATCH($G425,設定!$B$6:$B$21,0))=0,"",INDEX(設定!$E$6:$E$21,MATCH($G425,設定!$B$6:$B$21,0))),""))</f>
        <v/>
      </c>
      <c r="J425" s="83">
        <f>IFERROR(INDEX(打卡匯入!$C$3:$C$2002,MATCH($C425&amp;"|"&amp;DAY($A425),打卡匯入!$E$3:$E$2002,0)),"")</f>
        <v/>
      </c>
      <c r="K425" s="83">
        <f>IFERROR(INDEX(打卡匯入!$D$3:$D$2002,MATCH($C425&amp;"|"&amp;DAY($A425),打卡匯入!$E$3:$E$2002,0)),"")</f>
        <v/>
      </c>
      <c r="L425" s="84">
        <f>IF(OR($J425="",$K425=""),"",IFERROR(INDEX(設定!$F$6:$F$21,MATCH($G425,設定!$B$6:$B$21,0)),0))</f>
        <v/>
      </c>
      <c r="M425" s="85">
        <f>IF(OR($J425="",$K425=""),"",ROUND(($K425-$J425)*24-$L425/60,2))</f>
        <v/>
      </c>
      <c r="N425" s="16">
        <f>IF($C425="","",IF(AND(COUNTIF(設定!$B$15:$B$21,$G425)&gt;0,$J425&lt;&gt;""),"假日出勤",IF(AND(COUNTIF(設定!$B$6:$B$14,$G425)&gt;0,$J425=""),"未打卡",IF($J425="","",IF($O425&gt;0,"遲到",IF($P425&gt;0,"早退","正常"))))))</f>
        <v/>
      </c>
      <c r="O425" s="84">
        <f>IF(OR($C425="",$H425="",$J425=""),0,IF(ROUND(($J425-$H425)*1440,0)&gt;設定!$C$46,ROUND(($J425-$H425)*1440,0),0))</f>
        <v/>
      </c>
      <c r="P425" s="84">
        <f>IF(OR($C425="",$I425="",$K425=""),0,IF(ROUND(($I425-$K425)*1440,0)&gt;設定!$C$46,ROUND(($I425-$K425)*1440,0),0))</f>
        <v/>
      </c>
      <c r="Q425" s="85">
        <f>IF($M425="",0,IF(($M425-IFERROR(INDEX(設定!$G$6:$G$21,MATCH($G425,設定!$B$6:$B$21,0)),0))*60&gt;=設定!$C$44,ROUND(FLOOR(($M425-IFERROR(INDEX(設定!$G$6:$G$21,MATCH($G425,設定!$B$6:$B$21,0)),0))*60,設定!$C$45)/60,2),0))</f>
        <v/>
      </c>
      <c r="R425" s="16">
        <f>IF(OR($C425="",$Q425=0),"",IF($G425="國","國定假日",IF($B425="日","例假",IF($B425="六","休息日","平日"))))</f>
        <v/>
      </c>
      <c r="S425" s="19" t="n"/>
    </row>
    <row r="426">
      <c r="A426" s="82">
        <f>IF(OR(助理班表!$A18="",21&gt;DAY(EOMONTH(DATE(設定!$C$2,設定!$D$2,1),0))),"",DATE(設定!$C$2,設定!$D$2,21))</f>
        <v/>
      </c>
      <c r="B426" s="16">
        <f>IF($A426="","",INDEX(設定!$O$6:$O$12,WEEKDAY($A426,1)))</f>
        <v/>
      </c>
      <c r="C426" s="16">
        <f>IF($A426="","",助理班表!$A18)</f>
        <v/>
      </c>
      <c r="D426" s="16">
        <f>IF($C426="","",助理班表!$B18)</f>
        <v/>
      </c>
      <c r="E426" s="16">
        <f>IF($C426="","",助理班表!$D18)</f>
        <v/>
      </c>
      <c r="F426" s="16">
        <f>IF($C426="","",助理班表!$C18)</f>
        <v/>
      </c>
      <c r="G426" s="16">
        <f>IF($C426="","",助理班表!Y18)</f>
        <v/>
      </c>
      <c r="H426" s="83">
        <f>IF($G426="","",IFERROR(IF(INDEX(設定!$D$6:$D$21,MATCH($G426,設定!$B$6:$B$21,0))=0,"",INDEX(設定!$D$6:$D$21,MATCH($G426,設定!$B$6:$B$21,0))),""))</f>
        <v/>
      </c>
      <c r="I426" s="83">
        <f>IF($G426="","",IFERROR(IF(INDEX(設定!$E$6:$E$21,MATCH($G426,設定!$B$6:$B$21,0))=0,"",INDEX(設定!$E$6:$E$21,MATCH($G426,設定!$B$6:$B$21,0))),""))</f>
        <v/>
      </c>
      <c r="J426" s="83">
        <f>IFERROR(INDEX(打卡匯入!$C$3:$C$2002,MATCH($C426&amp;"|"&amp;DAY($A426),打卡匯入!$E$3:$E$2002,0)),"")</f>
        <v/>
      </c>
      <c r="K426" s="83">
        <f>IFERROR(INDEX(打卡匯入!$D$3:$D$2002,MATCH($C426&amp;"|"&amp;DAY($A426),打卡匯入!$E$3:$E$2002,0)),"")</f>
        <v/>
      </c>
      <c r="L426" s="84">
        <f>IF(OR($J426="",$K426=""),"",IFERROR(INDEX(設定!$F$6:$F$21,MATCH($G426,設定!$B$6:$B$21,0)),0))</f>
        <v/>
      </c>
      <c r="M426" s="85">
        <f>IF(OR($J426="",$K426=""),"",ROUND(($K426-$J426)*24-$L426/60,2))</f>
        <v/>
      </c>
      <c r="N426" s="16">
        <f>IF($C426="","",IF(AND(COUNTIF(設定!$B$15:$B$21,$G426)&gt;0,$J426&lt;&gt;""),"假日出勤",IF(AND(COUNTIF(設定!$B$6:$B$14,$G426)&gt;0,$J426=""),"未打卡",IF($J426="","",IF($O426&gt;0,"遲到",IF($P426&gt;0,"早退","正常"))))))</f>
        <v/>
      </c>
      <c r="O426" s="84">
        <f>IF(OR($C426="",$H426="",$J426=""),0,IF(ROUND(($J426-$H426)*1440,0)&gt;設定!$C$46,ROUND(($J426-$H426)*1440,0),0))</f>
        <v/>
      </c>
      <c r="P426" s="84">
        <f>IF(OR($C426="",$I426="",$K426=""),0,IF(ROUND(($I426-$K426)*1440,0)&gt;設定!$C$46,ROUND(($I426-$K426)*1440,0),0))</f>
        <v/>
      </c>
      <c r="Q426" s="85">
        <f>IF($M426="",0,IF(($M426-IFERROR(INDEX(設定!$G$6:$G$21,MATCH($G426,設定!$B$6:$B$21,0)),0))*60&gt;=設定!$C$44,ROUND(FLOOR(($M426-IFERROR(INDEX(設定!$G$6:$G$21,MATCH($G426,設定!$B$6:$B$21,0)),0))*60,設定!$C$45)/60,2),0))</f>
        <v/>
      </c>
      <c r="R426" s="16">
        <f>IF(OR($C426="",$Q426=0),"",IF($G426="國","國定假日",IF($B426="日","例假",IF($B426="六","休息日","平日"))))</f>
        <v/>
      </c>
      <c r="S426" s="19" t="n"/>
    </row>
    <row r="427">
      <c r="A427" s="82">
        <f>IF(OR(助理班表!$A18="",22&gt;DAY(EOMONTH(DATE(設定!$C$2,設定!$D$2,1),0))),"",DATE(設定!$C$2,設定!$D$2,22))</f>
        <v/>
      </c>
      <c r="B427" s="16">
        <f>IF($A427="","",INDEX(設定!$O$6:$O$12,WEEKDAY($A427,1)))</f>
        <v/>
      </c>
      <c r="C427" s="16">
        <f>IF($A427="","",助理班表!$A18)</f>
        <v/>
      </c>
      <c r="D427" s="16">
        <f>IF($C427="","",助理班表!$B18)</f>
        <v/>
      </c>
      <c r="E427" s="16">
        <f>IF($C427="","",助理班表!$D18)</f>
        <v/>
      </c>
      <c r="F427" s="16">
        <f>IF($C427="","",助理班表!$C18)</f>
        <v/>
      </c>
      <c r="G427" s="16">
        <f>IF($C427="","",助理班表!Z18)</f>
        <v/>
      </c>
      <c r="H427" s="83">
        <f>IF($G427="","",IFERROR(IF(INDEX(設定!$D$6:$D$21,MATCH($G427,設定!$B$6:$B$21,0))=0,"",INDEX(設定!$D$6:$D$21,MATCH($G427,設定!$B$6:$B$21,0))),""))</f>
        <v/>
      </c>
      <c r="I427" s="83">
        <f>IF($G427="","",IFERROR(IF(INDEX(設定!$E$6:$E$21,MATCH($G427,設定!$B$6:$B$21,0))=0,"",INDEX(設定!$E$6:$E$21,MATCH($G427,設定!$B$6:$B$21,0))),""))</f>
        <v/>
      </c>
      <c r="J427" s="83">
        <f>IFERROR(INDEX(打卡匯入!$C$3:$C$2002,MATCH($C427&amp;"|"&amp;DAY($A427),打卡匯入!$E$3:$E$2002,0)),"")</f>
        <v/>
      </c>
      <c r="K427" s="83">
        <f>IFERROR(INDEX(打卡匯入!$D$3:$D$2002,MATCH($C427&amp;"|"&amp;DAY($A427),打卡匯入!$E$3:$E$2002,0)),"")</f>
        <v/>
      </c>
      <c r="L427" s="84">
        <f>IF(OR($J427="",$K427=""),"",IFERROR(INDEX(設定!$F$6:$F$21,MATCH($G427,設定!$B$6:$B$21,0)),0))</f>
        <v/>
      </c>
      <c r="M427" s="85">
        <f>IF(OR($J427="",$K427=""),"",ROUND(($K427-$J427)*24-$L427/60,2))</f>
        <v/>
      </c>
      <c r="N427" s="16">
        <f>IF($C427="","",IF(AND(COUNTIF(設定!$B$15:$B$21,$G427)&gt;0,$J427&lt;&gt;""),"假日出勤",IF(AND(COUNTIF(設定!$B$6:$B$14,$G427)&gt;0,$J427=""),"未打卡",IF($J427="","",IF($O427&gt;0,"遲到",IF($P427&gt;0,"早退","正常"))))))</f>
        <v/>
      </c>
      <c r="O427" s="84">
        <f>IF(OR($C427="",$H427="",$J427=""),0,IF(ROUND(($J427-$H427)*1440,0)&gt;設定!$C$46,ROUND(($J427-$H427)*1440,0),0))</f>
        <v/>
      </c>
      <c r="P427" s="84">
        <f>IF(OR($C427="",$I427="",$K427=""),0,IF(ROUND(($I427-$K427)*1440,0)&gt;設定!$C$46,ROUND(($I427-$K427)*1440,0),0))</f>
        <v/>
      </c>
      <c r="Q427" s="85">
        <f>IF($M427="",0,IF(($M427-IFERROR(INDEX(設定!$G$6:$G$21,MATCH($G427,設定!$B$6:$B$21,0)),0))*60&gt;=設定!$C$44,ROUND(FLOOR(($M427-IFERROR(INDEX(設定!$G$6:$G$21,MATCH($G427,設定!$B$6:$B$21,0)),0))*60,設定!$C$45)/60,2),0))</f>
        <v/>
      </c>
      <c r="R427" s="16">
        <f>IF(OR($C427="",$Q427=0),"",IF($G427="國","國定假日",IF($B427="日","例假",IF($B427="六","休息日","平日"))))</f>
        <v/>
      </c>
      <c r="S427" s="19" t="n"/>
    </row>
    <row r="428">
      <c r="A428" s="82">
        <f>IF(OR(助理班表!$A18="",23&gt;DAY(EOMONTH(DATE(設定!$C$2,設定!$D$2,1),0))),"",DATE(設定!$C$2,設定!$D$2,23))</f>
        <v/>
      </c>
      <c r="B428" s="16">
        <f>IF($A428="","",INDEX(設定!$O$6:$O$12,WEEKDAY($A428,1)))</f>
        <v/>
      </c>
      <c r="C428" s="16">
        <f>IF($A428="","",助理班表!$A18)</f>
        <v/>
      </c>
      <c r="D428" s="16">
        <f>IF($C428="","",助理班表!$B18)</f>
        <v/>
      </c>
      <c r="E428" s="16">
        <f>IF($C428="","",助理班表!$D18)</f>
        <v/>
      </c>
      <c r="F428" s="16">
        <f>IF($C428="","",助理班表!$C18)</f>
        <v/>
      </c>
      <c r="G428" s="16">
        <f>IF($C428="","",助理班表!AA18)</f>
        <v/>
      </c>
      <c r="H428" s="83">
        <f>IF($G428="","",IFERROR(IF(INDEX(設定!$D$6:$D$21,MATCH($G428,設定!$B$6:$B$21,0))=0,"",INDEX(設定!$D$6:$D$21,MATCH($G428,設定!$B$6:$B$21,0))),""))</f>
        <v/>
      </c>
      <c r="I428" s="83">
        <f>IF($G428="","",IFERROR(IF(INDEX(設定!$E$6:$E$21,MATCH($G428,設定!$B$6:$B$21,0))=0,"",INDEX(設定!$E$6:$E$21,MATCH($G428,設定!$B$6:$B$21,0))),""))</f>
        <v/>
      </c>
      <c r="J428" s="83">
        <f>IFERROR(INDEX(打卡匯入!$C$3:$C$2002,MATCH($C428&amp;"|"&amp;DAY($A428),打卡匯入!$E$3:$E$2002,0)),"")</f>
        <v/>
      </c>
      <c r="K428" s="83">
        <f>IFERROR(INDEX(打卡匯入!$D$3:$D$2002,MATCH($C428&amp;"|"&amp;DAY($A428),打卡匯入!$E$3:$E$2002,0)),"")</f>
        <v/>
      </c>
      <c r="L428" s="84">
        <f>IF(OR($J428="",$K428=""),"",IFERROR(INDEX(設定!$F$6:$F$21,MATCH($G428,設定!$B$6:$B$21,0)),0))</f>
        <v/>
      </c>
      <c r="M428" s="85">
        <f>IF(OR($J428="",$K428=""),"",ROUND(($K428-$J428)*24-$L428/60,2))</f>
        <v/>
      </c>
      <c r="N428" s="16">
        <f>IF($C428="","",IF(AND(COUNTIF(設定!$B$15:$B$21,$G428)&gt;0,$J428&lt;&gt;""),"假日出勤",IF(AND(COUNTIF(設定!$B$6:$B$14,$G428)&gt;0,$J428=""),"未打卡",IF($J428="","",IF($O428&gt;0,"遲到",IF($P428&gt;0,"早退","正常"))))))</f>
        <v/>
      </c>
      <c r="O428" s="84">
        <f>IF(OR($C428="",$H428="",$J428=""),0,IF(ROUND(($J428-$H428)*1440,0)&gt;設定!$C$46,ROUND(($J428-$H428)*1440,0),0))</f>
        <v/>
      </c>
      <c r="P428" s="84">
        <f>IF(OR($C428="",$I428="",$K428=""),0,IF(ROUND(($I428-$K428)*1440,0)&gt;設定!$C$46,ROUND(($I428-$K428)*1440,0),0))</f>
        <v/>
      </c>
      <c r="Q428" s="85">
        <f>IF($M428="",0,IF(($M428-IFERROR(INDEX(設定!$G$6:$G$21,MATCH($G428,設定!$B$6:$B$21,0)),0))*60&gt;=設定!$C$44,ROUND(FLOOR(($M428-IFERROR(INDEX(設定!$G$6:$G$21,MATCH($G428,設定!$B$6:$B$21,0)),0))*60,設定!$C$45)/60,2),0))</f>
        <v/>
      </c>
      <c r="R428" s="16">
        <f>IF(OR($C428="",$Q428=0),"",IF($G428="國","國定假日",IF($B428="日","例假",IF($B428="六","休息日","平日"))))</f>
        <v/>
      </c>
      <c r="S428" s="19" t="n"/>
    </row>
    <row r="429">
      <c r="A429" s="82">
        <f>IF(OR(助理班表!$A18="",24&gt;DAY(EOMONTH(DATE(設定!$C$2,設定!$D$2,1),0))),"",DATE(設定!$C$2,設定!$D$2,24))</f>
        <v/>
      </c>
      <c r="B429" s="16">
        <f>IF($A429="","",INDEX(設定!$O$6:$O$12,WEEKDAY($A429,1)))</f>
        <v/>
      </c>
      <c r="C429" s="16">
        <f>IF($A429="","",助理班表!$A18)</f>
        <v/>
      </c>
      <c r="D429" s="16">
        <f>IF($C429="","",助理班表!$B18)</f>
        <v/>
      </c>
      <c r="E429" s="16">
        <f>IF($C429="","",助理班表!$D18)</f>
        <v/>
      </c>
      <c r="F429" s="16">
        <f>IF($C429="","",助理班表!$C18)</f>
        <v/>
      </c>
      <c r="G429" s="16">
        <f>IF($C429="","",助理班表!AB18)</f>
        <v/>
      </c>
      <c r="H429" s="83">
        <f>IF($G429="","",IFERROR(IF(INDEX(設定!$D$6:$D$21,MATCH($G429,設定!$B$6:$B$21,0))=0,"",INDEX(設定!$D$6:$D$21,MATCH($G429,設定!$B$6:$B$21,0))),""))</f>
        <v/>
      </c>
      <c r="I429" s="83">
        <f>IF($G429="","",IFERROR(IF(INDEX(設定!$E$6:$E$21,MATCH($G429,設定!$B$6:$B$21,0))=0,"",INDEX(設定!$E$6:$E$21,MATCH($G429,設定!$B$6:$B$21,0))),""))</f>
        <v/>
      </c>
      <c r="J429" s="83">
        <f>IFERROR(INDEX(打卡匯入!$C$3:$C$2002,MATCH($C429&amp;"|"&amp;DAY($A429),打卡匯入!$E$3:$E$2002,0)),"")</f>
        <v/>
      </c>
      <c r="K429" s="83">
        <f>IFERROR(INDEX(打卡匯入!$D$3:$D$2002,MATCH($C429&amp;"|"&amp;DAY($A429),打卡匯入!$E$3:$E$2002,0)),"")</f>
        <v/>
      </c>
      <c r="L429" s="84">
        <f>IF(OR($J429="",$K429=""),"",IFERROR(INDEX(設定!$F$6:$F$21,MATCH($G429,設定!$B$6:$B$21,0)),0))</f>
        <v/>
      </c>
      <c r="M429" s="85">
        <f>IF(OR($J429="",$K429=""),"",ROUND(($K429-$J429)*24-$L429/60,2))</f>
        <v/>
      </c>
      <c r="N429" s="16">
        <f>IF($C429="","",IF(AND(COUNTIF(設定!$B$15:$B$21,$G429)&gt;0,$J429&lt;&gt;""),"假日出勤",IF(AND(COUNTIF(設定!$B$6:$B$14,$G429)&gt;0,$J429=""),"未打卡",IF($J429="","",IF($O429&gt;0,"遲到",IF($P429&gt;0,"早退","正常"))))))</f>
        <v/>
      </c>
      <c r="O429" s="84">
        <f>IF(OR($C429="",$H429="",$J429=""),0,IF(ROUND(($J429-$H429)*1440,0)&gt;設定!$C$46,ROUND(($J429-$H429)*1440,0),0))</f>
        <v/>
      </c>
      <c r="P429" s="84">
        <f>IF(OR($C429="",$I429="",$K429=""),0,IF(ROUND(($I429-$K429)*1440,0)&gt;設定!$C$46,ROUND(($I429-$K429)*1440,0),0))</f>
        <v/>
      </c>
      <c r="Q429" s="85">
        <f>IF($M429="",0,IF(($M429-IFERROR(INDEX(設定!$G$6:$G$21,MATCH($G429,設定!$B$6:$B$21,0)),0))*60&gt;=設定!$C$44,ROUND(FLOOR(($M429-IFERROR(INDEX(設定!$G$6:$G$21,MATCH($G429,設定!$B$6:$B$21,0)),0))*60,設定!$C$45)/60,2),0))</f>
        <v/>
      </c>
      <c r="R429" s="16">
        <f>IF(OR($C429="",$Q429=0),"",IF($G429="國","國定假日",IF($B429="日","例假",IF($B429="六","休息日","平日"))))</f>
        <v/>
      </c>
      <c r="S429" s="19" t="n"/>
    </row>
    <row r="430">
      <c r="A430" s="82">
        <f>IF(OR(助理班表!$A18="",25&gt;DAY(EOMONTH(DATE(設定!$C$2,設定!$D$2,1),0))),"",DATE(設定!$C$2,設定!$D$2,25))</f>
        <v/>
      </c>
      <c r="B430" s="16">
        <f>IF($A430="","",INDEX(設定!$O$6:$O$12,WEEKDAY($A430,1)))</f>
        <v/>
      </c>
      <c r="C430" s="16">
        <f>IF($A430="","",助理班表!$A18)</f>
        <v/>
      </c>
      <c r="D430" s="16">
        <f>IF($C430="","",助理班表!$B18)</f>
        <v/>
      </c>
      <c r="E430" s="16">
        <f>IF($C430="","",助理班表!$D18)</f>
        <v/>
      </c>
      <c r="F430" s="16">
        <f>IF($C430="","",助理班表!$C18)</f>
        <v/>
      </c>
      <c r="G430" s="16">
        <f>IF($C430="","",助理班表!AC18)</f>
        <v/>
      </c>
      <c r="H430" s="83">
        <f>IF($G430="","",IFERROR(IF(INDEX(設定!$D$6:$D$21,MATCH($G430,設定!$B$6:$B$21,0))=0,"",INDEX(設定!$D$6:$D$21,MATCH($G430,設定!$B$6:$B$21,0))),""))</f>
        <v/>
      </c>
      <c r="I430" s="83">
        <f>IF($G430="","",IFERROR(IF(INDEX(設定!$E$6:$E$21,MATCH($G430,設定!$B$6:$B$21,0))=0,"",INDEX(設定!$E$6:$E$21,MATCH($G430,設定!$B$6:$B$21,0))),""))</f>
        <v/>
      </c>
      <c r="J430" s="83">
        <f>IFERROR(INDEX(打卡匯入!$C$3:$C$2002,MATCH($C430&amp;"|"&amp;DAY($A430),打卡匯入!$E$3:$E$2002,0)),"")</f>
        <v/>
      </c>
      <c r="K430" s="83">
        <f>IFERROR(INDEX(打卡匯入!$D$3:$D$2002,MATCH($C430&amp;"|"&amp;DAY($A430),打卡匯入!$E$3:$E$2002,0)),"")</f>
        <v/>
      </c>
      <c r="L430" s="84">
        <f>IF(OR($J430="",$K430=""),"",IFERROR(INDEX(設定!$F$6:$F$21,MATCH($G430,設定!$B$6:$B$21,0)),0))</f>
        <v/>
      </c>
      <c r="M430" s="85">
        <f>IF(OR($J430="",$K430=""),"",ROUND(($K430-$J430)*24-$L430/60,2))</f>
        <v/>
      </c>
      <c r="N430" s="16">
        <f>IF($C430="","",IF(AND(COUNTIF(設定!$B$15:$B$21,$G430)&gt;0,$J430&lt;&gt;""),"假日出勤",IF(AND(COUNTIF(設定!$B$6:$B$14,$G430)&gt;0,$J430=""),"未打卡",IF($J430="","",IF($O430&gt;0,"遲到",IF($P430&gt;0,"早退","正常"))))))</f>
        <v/>
      </c>
      <c r="O430" s="84">
        <f>IF(OR($C430="",$H430="",$J430=""),0,IF(ROUND(($J430-$H430)*1440,0)&gt;設定!$C$46,ROUND(($J430-$H430)*1440,0),0))</f>
        <v/>
      </c>
      <c r="P430" s="84">
        <f>IF(OR($C430="",$I430="",$K430=""),0,IF(ROUND(($I430-$K430)*1440,0)&gt;設定!$C$46,ROUND(($I430-$K430)*1440,0),0))</f>
        <v/>
      </c>
      <c r="Q430" s="85">
        <f>IF($M430="",0,IF(($M430-IFERROR(INDEX(設定!$G$6:$G$21,MATCH($G430,設定!$B$6:$B$21,0)),0))*60&gt;=設定!$C$44,ROUND(FLOOR(($M430-IFERROR(INDEX(設定!$G$6:$G$21,MATCH($G430,設定!$B$6:$B$21,0)),0))*60,設定!$C$45)/60,2),0))</f>
        <v/>
      </c>
      <c r="R430" s="16">
        <f>IF(OR($C430="",$Q430=0),"",IF($G430="國","國定假日",IF($B430="日","例假",IF($B430="六","休息日","平日"))))</f>
        <v/>
      </c>
      <c r="S430" s="19" t="n"/>
    </row>
    <row r="431">
      <c r="A431" s="82">
        <f>IF(OR(助理班表!$A18="",26&gt;DAY(EOMONTH(DATE(設定!$C$2,設定!$D$2,1),0))),"",DATE(設定!$C$2,設定!$D$2,26))</f>
        <v/>
      </c>
      <c r="B431" s="16">
        <f>IF($A431="","",INDEX(設定!$O$6:$O$12,WEEKDAY($A431,1)))</f>
        <v/>
      </c>
      <c r="C431" s="16">
        <f>IF($A431="","",助理班表!$A18)</f>
        <v/>
      </c>
      <c r="D431" s="16">
        <f>IF($C431="","",助理班表!$B18)</f>
        <v/>
      </c>
      <c r="E431" s="16">
        <f>IF($C431="","",助理班表!$D18)</f>
        <v/>
      </c>
      <c r="F431" s="16">
        <f>IF($C431="","",助理班表!$C18)</f>
        <v/>
      </c>
      <c r="G431" s="16">
        <f>IF($C431="","",助理班表!AD18)</f>
        <v/>
      </c>
      <c r="H431" s="83">
        <f>IF($G431="","",IFERROR(IF(INDEX(設定!$D$6:$D$21,MATCH($G431,設定!$B$6:$B$21,0))=0,"",INDEX(設定!$D$6:$D$21,MATCH($G431,設定!$B$6:$B$21,0))),""))</f>
        <v/>
      </c>
      <c r="I431" s="83">
        <f>IF($G431="","",IFERROR(IF(INDEX(設定!$E$6:$E$21,MATCH($G431,設定!$B$6:$B$21,0))=0,"",INDEX(設定!$E$6:$E$21,MATCH($G431,設定!$B$6:$B$21,0))),""))</f>
        <v/>
      </c>
      <c r="J431" s="83">
        <f>IFERROR(INDEX(打卡匯入!$C$3:$C$2002,MATCH($C431&amp;"|"&amp;DAY($A431),打卡匯入!$E$3:$E$2002,0)),"")</f>
        <v/>
      </c>
      <c r="K431" s="83">
        <f>IFERROR(INDEX(打卡匯入!$D$3:$D$2002,MATCH($C431&amp;"|"&amp;DAY($A431),打卡匯入!$E$3:$E$2002,0)),"")</f>
        <v/>
      </c>
      <c r="L431" s="84">
        <f>IF(OR($J431="",$K431=""),"",IFERROR(INDEX(設定!$F$6:$F$21,MATCH($G431,設定!$B$6:$B$21,0)),0))</f>
        <v/>
      </c>
      <c r="M431" s="85">
        <f>IF(OR($J431="",$K431=""),"",ROUND(($K431-$J431)*24-$L431/60,2))</f>
        <v/>
      </c>
      <c r="N431" s="16">
        <f>IF($C431="","",IF(AND(COUNTIF(設定!$B$15:$B$21,$G431)&gt;0,$J431&lt;&gt;""),"假日出勤",IF(AND(COUNTIF(設定!$B$6:$B$14,$G431)&gt;0,$J431=""),"未打卡",IF($J431="","",IF($O431&gt;0,"遲到",IF($P431&gt;0,"早退","正常"))))))</f>
        <v/>
      </c>
      <c r="O431" s="84">
        <f>IF(OR($C431="",$H431="",$J431=""),0,IF(ROUND(($J431-$H431)*1440,0)&gt;設定!$C$46,ROUND(($J431-$H431)*1440,0),0))</f>
        <v/>
      </c>
      <c r="P431" s="84">
        <f>IF(OR($C431="",$I431="",$K431=""),0,IF(ROUND(($I431-$K431)*1440,0)&gt;設定!$C$46,ROUND(($I431-$K431)*1440,0),0))</f>
        <v/>
      </c>
      <c r="Q431" s="85">
        <f>IF($M431="",0,IF(($M431-IFERROR(INDEX(設定!$G$6:$G$21,MATCH($G431,設定!$B$6:$B$21,0)),0))*60&gt;=設定!$C$44,ROUND(FLOOR(($M431-IFERROR(INDEX(設定!$G$6:$G$21,MATCH($G431,設定!$B$6:$B$21,0)),0))*60,設定!$C$45)/60,2),0))</f>
        <v/>
      </c>
      <c r="R431" s="16">
        <f>IF(OR($C431="",$Q431=0),"",IF($G431="國","國定假日",IF($B431="日","例假",IF($B431="六","休息日","平日"))))</f>
        <v/>
      </c>
      <c r="S431" s="19" t="n"/>
    </row>
    <row r="432">
      <c r="A432" s="82">
        <f>IF(OR(助理班表!$A18="",27&gt;DAY(EOMONTH(DATE(設定!$C$2,設定!$D$2,1),0))),"",DATE(設定!$C$2,設定!$D$2,27))</f>
        <v/>
      </c>
      <c r="B432" s="16">
        <f>IF($A432="","",INDEX(設定!$O$6:$O$12,WEEKDAY($A432,1)))</f>
        <v/>
      </c>
      <c r="C432" s="16">
        <f>IF($A432="","",助理班表!$A18)</f>
        <v/>
      </c>
      <c r="D432" s="16">
        <f>IF($C432="","",助理班表!$B18)</f>
        <v/>
      </c>
      <c r="E432" s="16">
        <f>IF($C432="","",助理班表!$D18)</f>
        <v/>
      </c>
      <c r="F432" s="16">
        <f>IF($C432="","",助理班表!$C18)</f>
        <v/>
      </c>
      <c r="G432" s="16">
        <f>IF($C432="","",助理班表!AE18)</f>
        <v/>
      </c>
      <c r="H432" s="83">
        <f>IF($G432="","",IFERROR(IF(INDEX(設定!$D$6:$D$21,MATCH($G432,設定!$B$6:$B$21,0))=0,"",INDEX(設定!$D$6:$D$21,MATCH($G432,設定!$B$6:$B$21,0))),""))</f>
        <v/>
      </c>
      <c r="I432" s="83">
        <f>IF($G432="","",IFERROR(IF(INDEX(設定!$E$6:$E$21,MATCH($G432,設定!$B$6:$B$21,0))=0,"",INDEX(設定!$E$6:$E$21,MATCH($G432,設定!$B$6:$B$21,0))),""))</f>
        <v/>
      </c>
      <c r="J432" s="83">
        <f>IFERROR(INDEX(打卡匯入!$C$3:$C$2002,MATCH($C432&amp;"|"&amp;DAY($A432),打卡匯入!$E$3:$E$2002,0)),"")</f>
        <v/>
      </c>
      <c r="K432" s="83">
        <f>IFERROR(INDEX(打卡匯入!$D$3:$D$2002,MATCH($C432&amp;"|"&amp;DAY($A432),打卡匯入!$E$3:$E$2002,0)),"")</f>
        <v/>
      </c>
      <c r="L432" s="84">
        <f>IF(OR($J432="",$K432=""),"",IFERROR(INDEX(設定!$F$6:$F$21,MATCH($G432,設定!$B$6:$B$21,0)),0))</f>
        <v/>
      </c>
      <c r="M432" s="85">
        <f>IF(OR($J432="",$K432=""),"",ROUND(($K432-$J432)*24-$L432/60,2))</f>
        <v/>
      </c>
      <c r="N432" s="16">
        <f>IF($C432="","",IF(AND(COUNTIF(設定!$B$15:$B$21,$G432)&gt;0,$J432&lt;&gt;""),"假日出勤",IF(AND(COUNTIF(設定!$B$6:$B$14,$G432)&gt;0,$J432=""),"未打卡",IF($J432="","",IF($O432&gt;0,"遲到",IF($P432&gt;0,"早退","正常"))))))</f>
        <v/>
      </c>
      <c r="O432" s="84">
        <f>IF(OR($C432="",$H432="",$J432=""),0,IF(ROUND(($J432-$H432)*1440,0)&gt;設定!$C$46,ROUND(($J432-$H432)*1440,0),0))</f>
        <v/>
      </c>
      <c r="P432" s="84">
        <f>IF(OR($C432="",$I432="",$K432=""),0,IF(ROUND(($I432-$K432)*1440,0)&gt;設定!$C$46,ROUND(($I432-$K432)*1440,0),0))</f>
        <v/>
      </c>
      <c r="Q432" s="85">
        <f>IF($M432="",0,IF(($M432-IFERROR(INDEX(設定!$G$6:$G$21,MATCH($G432,設定!$B$6:$B$21,0)),0))*60&gt;=設定!$C$44,ROUND(FLOOR(($M432-IFERROR(INDEX(設定!$G$6:$G$21,MATCH($G432,設定!$B$6:$B$21,0)),0))*60,設定!$C$45)/60,2),0))</f>
        <v/>
      </c>
      <c r="R432" s="16">
        <f>IF(OR($C432="",$Q432=0),"",IF($G432="國","國定假日",IF($B432="日","例假",IF($B432="六","休息日","平日"))))</f>
        <v/>
      </c>
      <c r="S432" s="19" t="n"/>
    </row>
    <row r="433">
      <c r="A433" s="82">
        <f>IF(OR(助理班表!$A18="",28&gt;DAY(EOMONTH(DATE(設定!$C$2,設定!$D$2,1),0))),"",DATE(設定!$C$2,設定!$D$2,28))</f>
        <v/>
      </c>
      <c r="B433" s="16">
        <f>IF($A433="","",INDEX(設定!$O$6:$O$12,WEEKDAY($A433,1)))</f>
        <v/>
      </c>
      <c r="C433" s="16">
        <f>IF($A433="","",助理班表!$A18)</f>
        <v/>
      </c>
      <c r="D433" s="16">
        <f>IF($C433="","",助理班表!$B18)</f>
        <v/>
      </c>
      <c r="E433" s="16">
        <f>IF($C433="","",助理班表!$D18)</f>
        <v/>
      </c>
      <c r="F433" s="16">
        <f>IF($C433="","",助理班表!$C18)</f>
        <v/>
      </c>
      <c r="G433" s="16">
        <f>IF($C433="","",助理班表!AF18)</f>
        <v/>
      </c>
      <c r="H433" s="83">
        <f>IF($G433="","",IFERROR(IF(INDEX(設定!$D$6:$D$21,MATCH($G433,設定!$B$6:$B$21,0))=0,"",INDEX(設定!$D$6:$D$21,MATCH($G433,設定!$B$6:$B$21,0))),""))</f>
        <v/>
      </c>
      <c r="I433" s="83">
        <f>IF($G433="","",IFERROR(IF(INDEX(設定!$E$6:$E$21,MATCH($G433,設定!$B$6:$B$21,0))=0,"",INDEX(設定!$E$6:$E$21,MATCH($G433,設定!$B$6:$B$21,0))),""))</f>
        <v/>
      </c>
      <c r="J433" s="83">
        <f>IFERROR(INDEX(打卡匯入!$C$3:$C$2002,MATCH($C433&amp;"|"&amp;DAY($A433),打卡匯入!$E$3:$E$2002,0)),"")</f>
        <v/>
      </c>
      <c r="K433" s="83">
        <f>IFERROR(INDEX(打卡匯入!$D$3:$D$2002,MATCH($C433&amp;"|"&amp;DAY($A433),打卡匯入!$E$3:$E$2002,0)),"")</f>
        <v/>
      </c>
      <c r="L433" s="84">
        <f>IF(OR($J433="",$K433=""),"",IFERROR(INDEX(設定!$F$6:$F$21,MATCH($G433,設定!$B$6:$B$21,0)),0))</f>
        <v/>
      </c>
      <c r="M433" s="85">
        <f>IF(OR($J433="",$K433=""),"",ROUND(($K433-$J433)*24-$L433/60,2))</f>
        <v/>
      </c>
      <c r="N433" s="16">
        <f>IF($C433="","",IF(AND(COUNTIF(設定!$B$15:$B$21,$G433)&gt;0,$J433&lt;&gt;""),"假日出勤",IF(AND(COUNTIF(設定!$B$6:$B$14,$G433)&gt;0,$J433=""),"未打卡",IF($J433="","",IF($O433&gt;0,"遲到",IF($P433&gt;0,"早退","正常"))))))</f>
        <v/>
      </c>
      <c r="O433" s="84">
        <f>IF(OR($C433="",$H433="",$J433=""),0,IF(ROUND(($J433-$H433)*1440,0)&gt;設定!$C$46,ROUND(($J433-$H433)*1440,0),0))</f>
        <v/>
      </c>
      <c r="P433" s="84">
        <f>IF(OR($C433="",$I433="",$K433=""),0,IF(ROUND(($I433-$K433)*1440,0)&gt;設定!$C$46,ROUND(($I433-$K433)*1440,0),0))</f>
        <v/>
      </c>
      <c r="Q433" s="85">
        <f>IF($M433="",0,IF(($M433-IFERROR(INDEX(設定!$G$6:$G$21,MATCH($G433,設定!$B$6:$B$21,0)),0))*60&gt;=設定!$C$44,ROUND(FLOOR(($M433-IFERROR(INDEX(設定!$G$6:$G$21,MATCH($G433,設定!$B$6:$B$21,0)),0))*60,設定!$C$45)/60,2),0))</f>
        <v/>
      </c>
      <c r="R433" s="16">
        <f>IF(OR($C433="",$Q433=0),"",IF($G433="國","國定假日",IF($B433="日","例假",IF($B433="六","休息日","平日"))))</f>
        <v/>
      </c>
      <c r="S433" s="19" t="n"/>
    </row>
    <row r="434">
      <c r="A434" s="82">
        <f>IF(OR(助理班表!$A18="",29&gt;DAY(EOMONTH(DATE(設定!$C$2,設定!$D$2,1),0))),"",DATE(設定!$C$2,設定!$D$2,29))</f>
        <v/>
      </c>
      <c r="B434" s="16">
        <f>IF($A434="","",INDEX(設定!$O$6:$O$12,WEEKDAY($A434,1)))</f>
        <v/>
      </c>
      <c r="C434" s="16">
        <f>IF($A434="","",助理班表!$A18)</f>
        <v/>
      </c>
      <c r="D434" s="16">
        <f>IF($C434="","",助理班表!$B18)</f>
        <v/>
      </c>
      <c r="E434" s="16">
        <f>IF($C434="","",助理班表!$D18)</f>
        <v/>
      </c>
      <c r="F434" s="16">
        <f>IF($C434="","",助理班表!$C18)</f>
        <v/>
      </c>
      <c r="G434" s="16">
        <f>IF($C434="","",助理班表!AG18)</f>
        <v/>
      </c>
      <c r="H434" s="83">
        <f>IF($G434="","",IFERROR(IF(INDEX(設定!$D$6:$D$21,MATCH($G434,設定!$B$6:$B$21,0))=0,"",INDEX(設定!$D$6:$D$21,MATCH($G434,設定!$B$6:$B$21,0))),""))</f>
        <v/>
      </c>
      <c r="I434" s="83">
        <f>IF($G434="","",IFERROR(IF(INDEX(設定!$E$6:$E$21,MATCH($G434,設定!$B$6:$B$21,0))=0,"",INDEX(設定!$E$6:$E$21,MATCH($G434,設定!$B$6:$B$21,0))),""))</f>
        <v/>
      </c>
      <c r="J434" s="83">
        <f>IFERROR(INDEX(打卡匯入!$C$3:$C$2002,MATCH($C434&amp;"|"&amp;DAY($A434),打卡匯入!$E$3:$E$2002,0)),"")</f>
        <v/>
      </c>
      <c r="K434" s="83">
        <f>IFERROR(INDEX(打卡匯入!$D$3:$D$2002,MATCH($C434&amp;"|"&amp;DAY($A434),打卡匯入!$E$3:$E$2002,0)),"")</f>
        <v/>
      </c>
      <c r="L434" s="84">
        <f>IF(OR($J434="",$K434=""),"",IFERROR(INDEX(設定!$F$6:$F$21,MATCH($G434,設定!$B$6:$B$21,0)),0))</f>
        <v/>
      </c>
      <c r="M434" s="85">
        <f>IF(OR($J434="",$K434=""),"",ROUND(($K434-$J434)*24-$L434/60,2))</f>
        <v/>
      </c>
      <c r="N434" s="16">
        <f>IF($C434="","",IF(AND(COUNTIF(設定!$B$15:$B$21,$G434)&gt;0,$J434&lt;&gt;""),"假日出勤",IF(AND(COUNTIF(設定!$B$6:$B$14,$G434)&gt;0,$J434=""),"未打卡",IF($J434="","",IF($O434&gt;0,"遲到",IF($P434&gt;0,"早退","正常"))))))</f>
        <v/>
      </c>
      <c r="O434" s="84">
        <f>IF(OR($C434="",$H434="",$J434=""),0,IF(ROUND(($J434-$H434)*1440,0)&gt;設定!$C$46,ROUND(($J434-$H434)*1440,0),0))</f>
        <v/>
      </c>
      <c r="P434" s="84">
        <f>IF(OR($C434="",$I434="",$K434=""),0,IF(ROUND(($I434-$K434)*1440,0)&gt;設定!$C$46,ROUND(($I434-$K434)*1440,0),0))</f>
        <v/>
      </c>
      <c r="Q434" s="85">
        <f>IF($M434="",0,IF(($M434-IFERROR(INDEX(設定!$G$6:$G$21,MATCH($G434,設定!$B$6:$B$21,0)),0))*60&gt;=設定!$C$44,ROUND(FLOOR(($M434-IFERROR(INDEX(設定!$G$6:$G$21,MATCH($G434,設定!$B$6:$B$21,0)),0))*60,設定!$C$45)/60,2),0))</f>
        <v/>
      </c>
      <c r="R434" s="16">
        <f>IF(OR($C434="",$Q434=0),"",IF($G434="國","國定假日",IF($B434="日","例假",IF($B434="六","休息日","平日"))))</f>
        <v/>
      </c>
      <c r="S434" s="19" t="n"/>
    </row>
    <row r="435">
      <c r="A435" s="82">
        <f>IF(OR(助理班表!$A18="",30&gt;DAY(EOMONTH(DATE(設定!$C$2,設定!$D$2,1),0))),"",DATE(設定!$C$2,設定!$D$2,30))</f>
        <v/>
      </c>
      <c r="B435" s="16">
        <f>IF($A435="","",INDEX(設定!$O$6:$O$12,WEEKDAY($A435,1)))</f>
        <v/>
      </c>
      <c r="C435" s="16">
        <f>IF($A435="","",助理班表!$A18)</f>
        <v/>
      </c>
      <c r="D435" s="16">
        <f>IF($C435="","",助理班表!$B18)</f>
        <v/>
      </c>
      <c r="E435" s="16">
        <f>IF($C435="","",助理班表!$D18)</f>
        <v/>
      </c>
      <c r="F435" s="16">
        <f>IF($C435="","",助理班表!$C18)</f>
        <v/>
      </c>
      <c r="G435" s="16">
        <f>IF($C435="","",助理班表!AH18)</f>
        <v/>
      </c>
      <c r="H435" s="83">
        <f>IF($G435="","",IFERROR(IF(INDEX(設定!$D$6:$D$21,MATCH($G435,設定!$B$6:$B$21,0))=0,"",INDEX(設定!$D$6:$D$21,MATCH($G435,設定!$B$6:$B$21,0))),""))</f>
        <v/>
      </c>
      <c r="I435" s="83">
        <f>IF($G435="","",IFERROR(IF(INDEX(設定!$E$6:$E$21,MATCH($G435,設定!$B$6:$B$21,0))=0,"",INDEX(設定!$E$6:$E$21,MATCH($G435,設定!$B$6:$B$21,0))),""))</f>
        <v/>
      </c>
      <c r="J435" s="83">
        <f>IFERROR(INDEX(打卡匯入!$C$3:$C$2002,MATCH($C435&amp;"|"&amp;DAY($A435),打卡匯入!$E$3:$E$2002,0)),"")</f>
        <v/>
      </c>
      <c r="K435" s="83">
        <f>IFERROR(INDEX(打卡匯入!$D$3:$D$2002,MATCH($C435&amp;"|"&amp;DAY($A435),打卡匯入!$E$3:$E$2002,0)),"")</f>
        <v/>
      </c>
      <c r="L435" s="84">
        <f>IF(OR($J435="",$K435=""),"",IFERROR(INDEX(設定!$F$6:$F$21,MATCH($G435,設定!$B$6:$B$21,0)),0))</f>
        <v/>
      </c>
      <c r="M435" s="85">
        <f>IF(OR($J435="",$K435=""),"",ROUND(($K435-$J435)*24-$L435/60,2))</f>
        <v/>
      </c>
      <c r="N435" s="16">
        <f>IF($C435="","",IF(AND(COUNTIF(設定!$B$15:$B$21,$G435)&gt;0,$J435&lt;&gt;""),"假日出勤",IF(AND(COUNTIF(設定!$B$6:$B$14,$G435)&gt;0,$J435=""),"未打卡",IF($J435="","",IF($O435&gt;0,"遲到",IF($P435&gt;0,"早退","正常"))))))</f>
        <v/>
      </c>
      <c r="O435" s="84">
        <f>IF(OR($C435="",$H435="",$J435=""),0,IF(ROUND(($J435-$H435)*1440,0)&gt;設定!$C$46,ROUND(($J435-$H435)*1440,0),0))</f>
        <v/>
      </c>
      <c r="P435" s="84">
        <f>IF(OR($C435="",$I435="",$K435=""),0,IF(ROUND(($I435-$K435)*1440,0)&gt;設定!$C$46,ROUND(($I435-$K435)*1440,0),0))</f>
        <v/>
      </c>
      <c r="Q435" s="85">
        <f>IF($M435="",0,IF(($M435-IFERROR(INDEX(設定!$G$6:$G$21,MATCH($G435,設定!$B$6:$B$21,0)),0))*60&gt;=設定!$C$44,ROUND(FLOOR(($M435-IFERROR(INDEX(設定!$G$6:$G$21,MATCH($G435,設定!$B$6:$B$21,0)),0))*60,設定!$C$45)/60,2),0))</f>
        <v/>
      </c>
      <c r="R435" s="16">
        <f>IF(OR($C435="",$Q435=0),"",IF($G435="國","國定假日",IF($B435="日","例假",IF($B435="六","休息日","平日"))))</f>
        <v/>
      </c>
      <c r="S435" s="19" t="n"/>
    </row>
    <row r="436">
      <c r="A436" s="82">
        <f>IF(OR(助理班表!$A18="",31&gt;DAY(EOMONTH(DATE(設定!$C$2,設定!$D$2,1),0))),"",DATE(設定!$C$2,設定!$D$2,31))</f>
        <v/>
      </c>
      <c r="B436" s="16">
        <f>IF($A436="","",INDEX(設定!$O$6:$O$12,WEEKDAY($A436,1)))</f>
        <v/>
      </c>
      <c r="C436" s="16">
        <f>IF($A436="","",助理班表!$A18)</f>
        <v/>
      </c>
      <c r="D436" s="16">
        <f>IF($C436="","",助理班表!$B18)</f>
        <v/>
      </c>
      <c r="E436" s="16">
        <f>IF($C436="","",助理班表!$D18)</f>
        <v/>
      </c>
      <c r="F436" s="16">
        <f>IF($C436="","",助理班表!$C18)</f>
        <v/>
      </c>
      <c r="G436" s="16">
        <f>IF($C436="","",助理班表!AI18)</f>
        <v/>
      </c>
      <c r="H436" s="83">
        <f>IF($G436="","",IFERROR(IF(INDEX(設定!$D$6:$D$21,MATCH($G436,設定!$B$6:$B$21,0))=0,"",INDEX(設定!$D$6:$D$21,MATCH($G436,設定!$B$6:$B$21,0))),""))</f>
        <v/>
      </c>
      <c r="I436" s="83">
        <f>IF($G436="","",IFERROR(IF(INDEX(設定!$E$6:$E$21,MATCH($G436,設定!$B$6:$B$21,0))=0,"",INDEX(設定!$E$6:$E$21,MATCH($G436,設定!$B$6:$B$21,0))),""))</f>
        <v/>
      </c>
      <c r="J436" s="83">
        <f>IFERROR(INDEX(打卡匯入!$C$3:$C$2002,MATCH($C436&amp;"|"&amp;DAY($A436),打卡匯入!$E$3:$E$2002,0)),"")</f>
        <v/>
      </c>
      <c r="K436" s="83">
        <f>IFERROR(INDEX(打卡匯入!$D$3:$D$2002,MATCH($C436&amp;"|"&amp;DAY($A436),打卡匯入!$E$3:$E$2002,0)),"")</f>
        <v/>
      </c>
      <c r="L436" s="84">
        <f>IF(OR($J436="",$K436=""),"",IFERROR(INDEX(設定!$F$6:$F$21,MATCH($G436,設定!$B$6:$B$21,0)),0))</f>
        <v/>
      </c>
      <c r="M436" s="85">
        <f>IF(OR($J436="",$K436=""),"",ROUND(($K436-$J436)*24-$L436/60,2))</f>
        <v/>
      </c>
      <c r="N436" s="16">
        <f>IF($C436="","",IF(AND(COUNTIF(設定!$B$15:$B$21,$G436)&gt;0,$J436&lt;&gt;""),"假日出勤",IF(AND(COUNTIF(設定!$B$6:$B$14,$G436)&gt;0,$J436=""),"未打卡",IF($J436="","",IF($O436&gt;0,"遲到",IF($P436&gt;0,"早退","正常"))))))</f>
        <v/>
      </c>
      <c r="O436" s="84">
        <f>IF(OR($C436="",$H436="",$J436=""),0,IF(ROUND(($J436-$H436)*1440,0)&gt;設定!$C$46,ROUND(($J436-$H436)*1440,0),0))</f>
        <v/>
      </c>
      <c r="P436" s="84">
        <f>IF(OR($C436="",$I436="",$K436=""),0,IF(ROUND(($I436-$K436)*1440,0)&gt;設定!$C$46,ROUND(($I436-$K436)*1440,0),0))</f>
        <v/>
      </c>
      <c r="Q436" s="85">
        <f>IF($M436="",0,IF(($M436-IFERROR(INDEX(設定!$G$6:$G$21,MATCH($G436,設定!$B$6:$B$21,0)),0))*60&gt;=設定!$C$44,ROUND(FLOOR(($M436-IFERROR(INDEX(設定!$G$6:$G$21,MATCH($G436,設定!$B$6:$B$21,0)),0))*60,設定!$C$45)/60,2),0))</f>
        <v/>
      </c>
      <c r="R436" s="16">
        <f>IF(OR($C436="",$Q436=0),"",IF($G436="國","國定假日",IF($B436="日","例假",IF($B436="六","休息日","平日"))))</f>
        <v/>
      </c>
      <c r="S436" s="19" t="n"/>
    </row>
    <row r="437">
      <c r="A437" s="82">
        <f>IF(OR(助理班表!$A19="",1&gt;DAY(EOMONTH(DATE(設定!$C$2,設定!$D$2,1),0))),"",DATE(設定!$C$2,設定!$D$2,1))</f>
        <v/>
      </c>
      <c r="B437" s="16">
        <f>IF($A437="","",INDEX(設定!$O$6:$O$12,WEEKDAY($A437,1)))</f>
        <v/>
      </c>
      <c r="C437" s="16">
        <f>IF($A437="","",助理班表!$A19)</f>
        <v/>
      </c>
      <c r="D437" s="16">
        <f>IF($C437="","",助理班表!$B19)</f>
        <v/>
      </c>
      <c r="E437" s="16">
        <f>IF($C437="","",助理班表!$D19)</f>
        <v/>
      </c>
      <c r="F437" s="16">
        <f>IF($C437="","",助理班表!$C19)</f>
        <v/>
      </c>
      <c r="G437" s="16">
        <f>IF($C437="","",助理班表!E19)</f>
        <v/>
      </c>
      <c r="H437" s="83">
        <f>IF($G437="","",IFERROR(IF(INDEX(設定!$D$6:$D$21,MATCH($G437,設定!$B$6:$B$21,0))=0,"",INDEX(設定!$D$6:$D$21,MATCH($G437,設定!$B$6:$B$21,0))),""))</f>
        <v/>
      </c>
      <c r="I437" s="83">
        <f>IF($G437="","",IFERROR(IF(INDEX(設定!$E$6:$E$21,MATCH($G437,設定!$B$6:$B$21,0))=0,"",INDEX(設定!$E$6:$E$21,MATCH($G437,設定!$B$6:$B$21,0))),""))</f>
        <v/>
      </c>
      <c r="J437" s="83">
        <f>IFERROR(INDEX(打卡匯入!$C$3:$C$2002,MATCH($C437&amp;"|"&amp;DAY($A437),打卡匯入!$E$3:$E$2002,0)),"")</f>
        <v/>
      </c>
      <c r="K437" s="83">
        <f>IFERROR(INDEX(打卡匯入!$D$3:$D$2002,MATCH($C437&amp;"|"&amp;DAY($A437),打卡匯入!$E$3:$E$2002,0)),"")</f>
        <v/>
      </c>
      <c r="L437" s="84">
        <f>IF(OR($J437="",$K437=""),"",IFERROR(INDEX(設定!$F$6:$F$21,MATCH($G437,設定!$B$6:$B$21,0)),0))</f>
        <v/>
      </c>
      <c r="M437" s="85">
        <f>IF(OR($J437="",$K437=""),"",ROUND(($K437-$J437)*24-$L437/60,2))</f>
        <v/>
      </c>
      <c r="N437" s="16">
        <f>IF($C437="","",IF(AND(COUNTIF(設定!$B$15:$B$21,$G437)&gt;0,$J437&lt;&gt;""),"假日出勤",IF(AND(COUNTIF(設定!$B$6:$B$14,$G437)&gt;0,$J437=""),"未打卡",IF($J437="","",IF($O437&gt;0,"遲到",IF($P437&gt;0,"早退","正常"))))))</f>
        <v/>
      </c>
      <c r="O437" s="84">
        <f>IF(OR($C437="",$H437="",$J437=""),0,IF(ROUND(($J437-$H437)*1440,0)&gt;設定!$C$46,ROUND(($J437-$H437)*1440,0),0))</f>
        <v/>
      </c>
      <c r="P437" s="84">
        <f>IF(OR($C437="",$I437="",$K437=""),0,IF(ROUND(($I437-$K437)*1440,0)&gt;設定!$C$46,ROUND(($I437-$K437)*1440,0),0))</f>
        <v/>
      </c>
      <c r="Q437" s="85">
        <f>IF($M437="",0,IF(($M437-IFERROR(INDEX(設定!$G$6:$G$21,MATCH($G437,設定!$B$6:$B$21,0)),0))*60&gt;=設定!$C$44,ROUND(FLOOR(($M437-IFERROR(INDEX(設定!$G$6:$G$21,MATCH($G437,設定!$B$6:$B$21,0)),0))*60,設定!$C$45)/60,2),0))</f>
        <v/>
      </c>
      <c r="R437" s="16">
        <f>IF(OR($C437="",$Q437=0),"",IF($G437="國","國定假日",IF($B437="日","例假",IF($B437="六","休息日","平日"))))</f>
        <v/>
      </c>
      <c r="S437" s="19" t="n"/>
    </row>
    <row r="438">
      <c r="A438" s="82">
        <f>IF(OR(助理班表!$A19="",2&gt;DAY(EOMONTH(DATE(設定!$C$2,設定!$D$2,1),0))),"",DATE(設定!$C$2,設定!$D$2,2))</f>
        <v/>
      </c>
      <c r="B438" s="16">
        <f>IF($A438="","",INDEX(設定!$O$6:$O$12,WEEKDAY($A438,1)))</f>
        <v/>
      </c>
      <c r="C438" s="16">
        <f>IF($A438="","",助理班表!$A19)</f>
        <v/>
      </c>
      <c r="D438" s="16">
        <f>IF($C438="","",助理班表!$B19)</f>
        <v/>
      </c>
      <c r="E438" s="16">
        <f>IF($C438="","",助理班表!$D19)</f>
        <v/>
      </c>
      <c r="F438" s="16">
        <f>IF($C438="","",助理班表!$C19)</f>
        <v/>
      </c>
      <c r="G438" s="16">
        <f>IF($C438="","",助理班表!F19)</f>
        <v/>
      </c>
      <c r="H438" s="83">
        <f>IF($G438="","",IFERROR(IF(INDEX(設定!$D$6:$D$21,MATCH($G438,設定!$B$6:$B$21,0))=0,"",INDEX(設定!$D$6:$D$21,MATCH($G438,設定!$B$6:$B$21,0))),""))</f>
        <v/>
      </c>
      <c r="I438" s="83">
        <f>IF($G438="","",IFERROR(IF(INDEX(設定!$E$6:$E$21,MATCH($G438,設定!$B$6:$B$21,0))=0,"",INDEX(設定!$E$6:$E$21,MATCH($G438,設定!$B$6:$B$21,0))),""))</f>
        <v/>
      </c>
      <c r="J438" s="83">
        <f>IFERROR(INDEX(打卡匯入!$C$3:$C$2002,MATCH($C438&amp;"|"&amp;DAY($A438),打卡匯入!$E$3:$E$2002,0)),"")</f>
        <v/>
      </c>
      <c r="K438" s="83">
        <f>IFERROR(INDEX(打卡匯入!$D$3:$D$2002,MATCH($C438&amp;"|"&amp;DAY($A438),打卡匯入!$E$3:$E$2002,0)),"")</f>
        <v/>
      </c>
      <c r="L438" s="84">
        <f>IF(OR($J438="",$K438=""),"",IFERROR(INDEX(設定!$F$6:$F$21,MATCH($G438,設定!$B$6:$B$21,0)),0))</f>
        <v/>
      </c>
      <c r="M438" s="85">
        <f>IF(OR($J438="",$K438=""),"",ROUND(($K438-$J438)*24-$L438/60,2))</f>
        <v/>
      </c>
      <c r="N438" s="16">
        <f>IF($C438="","",IF(AND(COUNTIF(設定!$B$15:$B$21,$G438)&gt;0,$J438&lt;&gt;""),"假日出勤",IF(AND(COUNTIF(設定!$B$6:$B$14,$G438)&gt;0,$J438=""),"未打卡",IF($J438="","",IF($O438&gt;0,"遲到",IF($P438&gt;0,"早退","正常"))))))</f>
        <v/>
      </c>
      <c r="O438" s="84">
        <f>IF(OR($C438="",$H438="",$J438=""),0,IF(ROUND(($J438-$H438)*1440,0)&gt;設定!$C$46,ROUND(($J438-$H438)*1440,0),0))</f>
        <v/>
      </c>
      <c r="P438" s="84">
        <f>IF(OR($C438="",$I438="",$K438=""),0,IF(ROUND(($I438-$K438)*1440,0)&gt;設定!$C$46,ROUND(($I438-$K438)*1440,0),0))</f>
        <v/>
      </c>
      <c r="Q438" s="85">
        <f>IF($M438="",0,IF(($M438-IFERROR(INDEX(設定!$G$6:$G$21,MATCH($G438,設定!$B$6:$B$21,0)),0))*60&gt;=設定!$C$44,ROUND(FLOOR(($M438-IFERROR(INDEX(設定!$G$6:$G$21,MATCH($G438,設定!$B$6:$B$21,0)),0))*60,設定!$C$45)/60,2),0))</f>
        <v/>
      </c>
      <c r="R438" s="16">
        <f>IF(OR($C438="",$Q438=0),"",IF($G438="國","國定假日",IF($B438="日","例假",IF($B438="六","休息日","平日"))))</f>
        <v/>
      </c>
      <c r="S438" s="19" t="n"/>
    </row>
    <row r="439">
      <c r="A439" s="82">
        <f>IF(OR(助理班表!$A19="",3&gt;DAY(EOMONTH(DATE(設定!$C$2,設定!$D$2,1),0))),"",DATE(設定!$C$2,設定!$D$2,3))</f>
        <v/>
      </c>
      <c r="B439" s="16">
        <f>IF($A439="","",INDEX(設定!$O$6:$O$12,WEEKDAY($A439,1)))</f>
        <v/>
      </c>
      <c r="C439" s="16">
        <f>IF($A439="","",助理班表!$A19)</f>
        <v/>
      </c>
      <c r="D439" s="16">
        <f>IF($C439="","",助理班表!$B19)</f>
        <v/>
      </c>
      <c r="E439" s="16">
        <f>IF($C439="","",助理班表!$D19)</f>
        <v/>
      </c>
      <c r="F439" s="16">
        <f>IF($C439="","",助理班表!$C19)</f>
        <v/>
      </c>
      <c r="G439" s="16">
        <f>IF($C439="","",助理班表!G19)</f>
        <v/>
      </c>
      <c r="H439" s="83">
        <f>IF($G439="","",IFERROR(IF(INDEX(設定!$D$6:$D$21,MATCH($G439,設定!$B$6:$B$21,0))=0,"",INDEX(設定!$D$6:$D$21,MATCH($G439,設定!$B$6:$B$21,0))),""))</f>
        <v/>
      </c>
      <c r="I439" s="83">
        <f>IF($G439="","",IFERROR(IF(INDEX(設定!$E$6:$E$21,MATCH($G439,設定!$B$6:$B$21,0))=0,"",INDEX(設定!$E$6:$E$21,MATCH($G439,設定!$B$6:$B$21,0))),""))</f>
        <v/>
      </c>
      <c r="J439" s="83">
        <f>IFERROR(INDEX(打卡匯入!$C$3:$C$2002,MATCH($C439&amp;"|"&amp;DAY($A439),打卡匯入!$E$3:$E$2002,0)),"")</f>
        <v/>
      </c>
      <c r="K439" s="83">
        <f>IFERROR(INDEX(打卡匯入!$D$3:$D$2002,MATCH($C439&amp;"|"&amp;DAY($A439),打卡匯入!$E$3:$E$2002,0)),"")</f>
        <v/>
      </c>
      <c r="L439" s="84">
        <f>IF(OR($J439="",$K439=""),"",IFERROR(INDEX(設定!$F$6:$F$21,MATCH($G439,設定!$B$6:$B$21,0)),0))</f>
        <v/>
      </c>
      <c r="M439" s="85">
        <f>IF(OR($J439="",$K439=""),"",ROUND(($K439-$J439)*24-$L439/60,2))</f>
        <v/>
      </c>
      <c r="N439" s="16">
        <f>IF($C439="","",IF(AND(COUNTIF(設定!$B$15:$B$21,$G439)&gt;0,$J439&lt;&gt;""),"假日出勤",IF(AND(COUNTIF(設定!$B$6:$B$14,$G439)&gt;0,$J439=""),"未打卡",IF($J439="","",IF($O439&gt;0,"遲到",IF($P439&gt;0,"早退","正常"))))))</f>
        <v/>
      </c>
      <c r="O439" s="84">
        <f>IF(OR($C439="",$H439="",$J439=""),0,IF(ROUND(($J439-$H439)*1440,0)&gt;設定!$C$46,ROUND(($J439-$H439)*1440,0),0))</f>
        <v/>
      </c>
      <c r="P439" s="84">
        <f>IF(OR($C439="",$I439="",$K439=""),0,IF(ROUND(($I439-$K439)*1440,0)&gt;設定!$C$46,ROUND(($I439-$K439)*1440,0),0))</f>
        <v/>
      </c>
      <c r="Q439" s="85">
        <f>IF($M439="",0,IF(($M439-IFERROR(INDEX(設定!$G$6:$G$21,MATCH($G439,設定!$B$6:$B$21,0)),0))*60&gt;=設定!$C$44,ROUND(FLOOR(($M439-IFERROR(INDEX(設定!$G$6:$G$21,MATCH($G439,設定!$B$6:$B$21,0)),0))*60,設定!$C$45)/60,2),0))</f>
        <v/>
      </c>
      <c r="R439" s="16">
        <f>IF(OR($C439="",$Q439=0),"",IF($G439="國","國定假日",IF($B439="日","例假",IF($B439="六","休息日","平日"))))</f>
        <v/>
      </c>
      <c r="S439" s="19" t="n"/>
    </row>
    <row r="440">
      <c r="A440" s="82">
        <f>IF(OR(助理班表!$A19="",4&gt;DAY(EOMONTH(DATE(設定!$C$2,設定!$D$2,1),0))),"",DATE(設定!$C$2,設定!$D$2,4))</f>
        <v/>
      </c>
      <c r="B440" s="16">
        <f>IF($A440="","",INDEX(設定!$O$6:$O$12,WEEKDAY($A440,1)))</f>
        <v/>
      </c>
      <c r="C440" s="16">
        <f>IF($A440="","",助理班表!$A19)</f>
        <v/>
      </c>
      <c r="D440" s="16">
        <f>IF($C440="","",助理班表!$B19)</f>
        <v/>
      </c>
      <c r="E440" s="16">
        <f>IF($C440="","",助理班表!$D19)</f>
        <v/>
      </c>
      <c r="F440" s="16">
        <f>IF($C440="","",助理班表!$C19)</f>
        <v/>
      </c>
      <c r="G440" s="16">
        <f>IF($C440="","",助理班表!H19)</f>
        <v/>
      </c>
      <c r="H440" s="83">
        <f>IF($G440="","",IFERROR(IF(INDEX(設定!$D$6:$D$21,MATCH($G440,設定!$B$6:$B$21,0))=0,"",INDEX(設定!$D$6:$D$21,MATCH($G440,設定!$B$6:$B$21,0))),""))</f>
        <v/>
      </c>
      <c r="I440" s="83">
        <f>IF($G440="","",IFERROR(IF(INDEX(設定!$E$6:$E$21,MATCH($G440,設定!$B$6:$B$21,0))=0,"",INDEX(設定!$E$6:$E$21,MATCH($G440,設定!$B$6:$B$21,0))),""))</f>
        <v/>
      </c>
      <c r="J440" s="83">
        <f>IFERROR(INDEX(打卡匯入!$C$3:$C$2002,MATCH($C440&amp;"|"&amp;DAY($A440),打卡匯入!$E$3:$E$2002,0)),"")</f>
        <v/>
      </c>
      <c r="K440" s="83">
        <f>IFERROR(INDEX(打卡匯入!$D$3:$D$2002,MATCH($C440&amp;"|"&amp;DAY($A440),打卡匯入!$E$3:$E$2002,0)),"")</f>
        <v/>
      </c>
      <c r="L440" s="84">
        <f>IF(OR($J440="",$K440=""),"",IFERROR(INDEX(設定!$F$6:$F$21,MATCH($G440,設定!$B$6:$B$21,0)),0))</f>
        <v/>
      </c>
      <c r="M440" s="85">
        <f>IF(OR($J440="",$K440=""),"",ROUND(($K440-$J440)*24-$L440/60,2))</f>
        <v/>
      </c>
      <c r="N440" s="16">
        <f>IF($C440="","",IF(AND(COUNTIF(設定!$B$15:$B$21,$G440)&gt;0,$J440&lt;&gt;""),"假日出勤",IF(AND(COUNTIF(設定!$B$6:$B$14,$G440)&gt;0,$J440=""),"未打卡",IF($J440="","",IF($O440&gt;0,"遲到",IF($P440&gt;0,"早退","正常"))))))</f>
        <v/>
      </c>
      <c r="O440" s="84">
        <f>IF(OR($C440="",$H440="",$J440=""),0,IF(ROUND(($J440-$H440)*1440,0)&gt;設定!$C$46,ROUND(($J440-$H440)*1440,0),0))</f>
        <v/>
      </c>
      <c r="P440" s="84">
        <f>IF(OR($C440="",$I440="",$K440=""),0,IF(ROUND(($I440-$K440)*1440,0)&gt;設定!$C$46,ROUND(($I440-$K440)*1440,0),0))</f>
        <v/>
      </c>
      <c r="Q440" s="85">
        <f>IF($M440="",0,IF(($M440-IFERROR(INDEX(設定!$G$6:$G$21,MATCH($G440,設定!$B$6:$B$21,0)),0))*60&gt;=設定!$C$44,ROUND(FLOOR(($M440-IFERROR(INDEX(設定!$G$6:$G$21,MATCH($G440,設定!$B$6:$B$21,0)),0))*60,設定!$C$45)/60,2),0))</f>
        <v/>
      </c>
      <c r="R440" s="16">
        <f>IF(OR($C440="",$Q440=0),"",IF($G440="國","國定假日",IF($B440="日","例假",IF($B440="六","休息日","平日"))))</f>
        <v/>
      </c>
      <c r="S440" s="19" t="n"/>
    </row>
    <row r="441">
      <c r="A441" s="82">
        <f>IF(OR(助理班表!$A19="",5&gt;DAY(EOMONTH(DATE(設定!$C$2,設定!$D$2,1),0))),"",DATE(設定!$C$2,設定!$D$2,5))</f>
        <v/>
      </c>
      <c r="B441" s="16">
        <f>IF($A441="","",INDEX(設定!$O$6:$O$12,WEEKDAY($A441,1)))</f>
        <v/>
      </c>
      <c r="C441" s="16">
        <f>IF($A441="","",助理班表!$A19)</f>
        <v/>
      </c>
      <c r="D441" s="16">
        <f>IF($C441="","",助理班表!$B19)</f>
        <v/>
      </c>
      <c r="E441" s="16">
        <f>IF($C441="","",助理班表!$D19)</f>
        <v/>
      </c>
      <c r="F441" s="16">
        <f>IF($C441="","",助理班表!$C19)</f>
        <v/>
      </c>
      <c r="G441" s="16">
        <f>IF($C441="","",助理班表!I19)</f>
        <v/>
      </c>
      <c r="H441" s="83">
        <f>IF($G441="","",IFERROR(IF(INDEX(設定!$D$6:$D$21,MATCH($G441,設定!$B$6:$B$21,0))=0,"",INDEX(設定!$D$6:$D$21,MATCH($G441,設定!$B$6:$B$21,0))),""))</f>
        <v/>
      </c>
      <c r="I441" s="83">
        <f>IF($G441="","",IFERROR(IF(INDEX(設定!$E$6:$E$21,MATCH($G441,設定!$B$6:$B$21,0))=0,"",INDEX(設定!$E$6:$E$21,MATCH($G441,設定!$B$6:$B$21,0))),""))</f>
        <v/>
      </c>
      <c r="J441" s="83">
        <f>IFERROR(INDEX(打卡匯入!$C$3:$C$2002,MATCH($C441&amp;"|"&amp;DAY($A441),打卡匯入!$E$3:$E$2002,0)),"")</f>
        <v/>
      </c>
      <c r="K441" s="83">
        <f>IFERROR(INDEX(打卡匯入!$D$3:$D$2002,MATCH($C441&amp;"|"&amp;DAY($A441),打卡匯入!$E$3:$E$2002,0)),"")</f>
        <v/>
      </c>
      <c r="L441" s="84">
        <f>IF(OR($J441="",$K441=""),"",IFERROR(INDEX(設定!$F$6:$F$21,MATCH($G441,設定!$B$6:$B$21,0)),0))</f>
        <v/>
      </c>
      <c r="M441" s="85">
        <f>IF(OR($J441="",$K441=""),"",ROUND(($K441-$J441)*24-$L441/60,2))</f>
        <v/>
      </c>
      <c r="N441" s="16">
        <f>IF($C441="","",IF(AND(COUNTIF(設定!$B$15:$B$21,$G441)&gt;0,$J441&lt;&gt;""),"假日出勤",IF(AND(COUNTIF(設定!$B$6:$B$14,$G441)&gt;0,$J441=""),"未打卡",IF($J441="","",IF($O441&gt;0,"遲到",IF($P441&gt;0,"早退","正常"))))))</f>
        <v/>
      </c>
      <c r="O441" s="84">
        <f>IF(OR($C441="",$H441="",$J441=""),0,IF(ROUND(($J441-$H441)*1440,0)&gt;設定!$C$46,ROUND(($J441-$H441)*1440,0),0))</f>
        <v/>
      </c>
      <c r="P441" s="84">
        <f>IF(OR($C441="",$I441="",$K441=""),0,IF(ROUND(($I441-$K441)*1440,0)&gt;設定!$C$46,ROUND(($I441-$K441)*1440,0),0))</f>
        <v/>
      </c>
      <c r="Q441" s="85">
        <f>IF($M441="",0,IF(($M441-IFERROR(INDEX(設定!$G$6:$G$21,MATCH($G441,設定!$B$6:$B$21,0)),0))*60&gt;=設定!$C$44,ROUND(FLOOR(($M441-IFERROR(INDEX(設定!$G$6:$G$21,MATCH($G441,設定!$B$6:$B$21,0)),0))*60,設定!$C$45)/60,2),0))</f>
        <v/>
      </c>
      <c r="R441" s="16">
        <f>IF(OR($C441="",$Q441=0),"",IF($G441="國","國定假日",IF($B441="日","例假",IF($B441="六","休息日","平日"))))</f>
        <v/>
      </c>
      <c r="S441" s="19" t="n"/>
    </row>
    <row r="442">
      <c r="A442" s="82">
        <f>IF(OR(助理班表!$A19="",6&gt;DAY(EOMONTH(DATE(設定!$C$2,設定!$D$2,1),0))),"",DATE(設定!$C$2,設定!$D$2,6))</f>
        <v/>
      </c>
      <c r="B442" s="16">
        <f>IF($A442="","",INDEX(設定!$O$6:$O$12,WEEKDAY($A442,1)))</f>
        <v/>
      </c>
      <c r="C442" s="16">
        <f>IF($A442="","",助理班表!$A19)</f>
        <v/>
      </c>
      <c r="D442" s="16">
        <f>IF($C442="","",助理班表!$B19)</f>
        <v/>
      </c>
      <c r="E442" s="16">
        <f>IF($C442="","",助理班表!$D19)</f>
        <v/>
      </c>
      <c r="F442" s="16">
        <f>IF($C442="","",助理班表!$C19)</f>
        <v/>
      </c>
      <c r="G442" s="16">
        <f>IF($C442="","",助理班表!J19)</f>
        <v/>
      </c>
      <c r="H442" s="83">
        <f>IF($G442="","",IFERROR(IF(INDEX(設定!$D$6:$D$21,MATCH($G442,設定!$B$6:$B$21,0))=0,"",INDEX(設定!$D$6:$D$21,MATCH($G442,設定!$B$6:$B$21,0))),""))</f>
        <v/>
      </c>
      <c r="I442" s="83">
        <f>IF($G442="","",IFERROR(IF(INDEX(設定!$E$6:$E$21,MATCH($G442,設定!$B$6:$B$21,0))=0,"",INDEX(設定!$E$6:$E$21,MATCH($G442,設定!$B$6:$B$21,0))),""))</f>
        <v/>
      </c>
      <c r="J442" s="83">
        <f>IFERROR(INDEX(打卡匯入!$C$3:$C$2002,MATCH($C442&amp;"|"&amp;DAY($A442),打卡匯入!$E$3:$E$2002,0)),"")</f>
        <v/>
      </c>
      <c r="K442" s="83">
        <f>IFERROR(INDEX(打卡匯入!$D$3:$D$2002,MATCH($C442&amp;"|"&amp;DAY($A442),打卡匯入!$E$3:$E$2002,0)),"")</f>
        <v/>
      </c>
      <c r="L442" s="84">
        <f>IF(OR($J442="",$K442=""),"",IFERROR(INDEX(設定!$F$6:$F$21,MATCH($G442,設定!$B$6:$B$21,0)),0))</f>
        <v/>
      </c>
      <c r="M442" s="85">
        <f>IF(OR($J442="",$K442=""),"",ROUND(($K442-$J442)*24-$L442/60,2))</f>
        <v/>
      </c>
      <c r="N442" s="16">
        <f>IF($C442="","",IF(AND(COUNTIF(設定!$B$15:$B$21,$G442)&gt;0,$J442&lt;&gt;""),"假日出勤",IF(AND(COUNTIF(設定!$B$6:$B$14,$G442)&gt;0,$J442=""),"未打卡",IF($J442="","",IF($O442&gt;0,"遲到",IF($P442&gt;0,"早退","正常"))))))</f>
        <v/>
      </c>
      <c r="O442" s="84">
        <f>IF(OR($C442="",$H442="",$J442=""),0,IF(ROUND(($J442-$H442)*1440,0)&gt;設定!$C$46,ROUND(($J442-$H442)*1440,0),0))</f>
        <v/>
      </c>
      <c r="P442" s="84">
        <f>IF(OR($C442="",$I442="",$K442=""),0,IF(ROUND(($I442-$K442)*1440,0)&gt;設定!$C$46,ROUND(($I442-$K442)*1440,0),0))</f>
        <v/>
      </c>
      <c r="Q442" s="85">
        <f>IF($M442="",0,IF(($M442-IFERROR(INDEX(設定!$G$6:$G$21,MATCH($G442,設定!$B$6:$B$21,0)),0))*60&gt;=設定!$C$44,ROUND(FLOOR(($M442-IFERROR(INDEX(設定!$G$6:$G$21,MATCH($G442,設定!$B$6:$B$21,0)),0))*60,設定!$C$45)/60,2),0))</f>
        <v/>
      </c>
      <c r="R442" s="16">
        <f>IF(OR($C442="",$Q442=0),"",IF($G442="國","國定假日",IF($B442="日","例假",IF($B442="六","休息日","平日"))))</f>
        <v/>
      </c>
      <c r="S442" s="19" t="n"/>
    </row>
    <row r="443">
      <c r="A443" s="82">
        <f>IF(OR(助理班表!$A19="",7&gt;DAY(EOMONTH(DATE(設定!$C$2,設定!$D$2,1),0))),"",DATE(設定!$C$2,設定!$D$2,7))</f>
        <v/>
      </c>
      <c r="B443" s="16">
        <f>IF($A443="","",INDEX(設定!$O$6:$O$12,WEEKDAY($A443,1)))</f>
        <v/>
      </c>
      <c r="C443" s="16">
        <f>IF($A443="","",助理班表!$A19)</f>
        <v/>
      </c>
      <c r="D443" s="16">
        <f>IF($C443="","",助理班表!$B19)</f>
        <v/>
      </c>
      <c r="E443" s="16">
        <f>IF($C443="","",助理班表!$D19)</f>
        <v/>
      </c>
      <c r="F443" s="16">
        <f>IF($C443="","",助理班表!$C19)</f>
        <v/>
      </c>
      <c r="G443" s="16">
        <f>IF($C443="","",助理班表!K19)</f>
        <v/>
      </c>
      <c r="H443" s="83">
        <f>IF($G443="","",IFERROR(IF(INDEX(設定!$D$6:$D$21,MATCH($G443,設定!$B$6:$B$21,0))=0,"",INDEX(設定!$D$6:$D$21,MATCH($G443,設定!$B$6:$B$21,0))),""))</f>
        <v/>
      </c>
      <c r="I443" s="83">
        <f>IF($G443="","",IFERROR(IF(INDEX(設定!$E$6:$E$21,MATCH($G443,設定!$B$6:$B$21,0))=0,"",INDEX(設定!$E$6:$E$21,MATCH($G443,設定!$B$6:$B$21,0))),""))</f>
        <v/>
      </c>
      <c r="J443" s="83">
        <f>IFERROR(INDEX(打卡匯入!$C$3:$C$2002,MATCH($C443&amp;"|"&amp;DAY($A443),打卡匯入!$E$3:$E$2002,0)),"")</f>
        <v/>
      </c>
      <c r="K443" s="83">
        <f>IFERROR(INDEX(打卡匯入!$D$3:$D$2002,MATCH($C443&amp;"|"&amp;DAY($A443),打卡匯入!$E$3:$E$2002,0)),"")</f>
        <v/>
      </c>
      <c r="L443" s="84">
        <f>IF(OR($J443="",$K443=""),"",IFERROR(INDEX(設定!$F$6:$F$21,MATCH($G443,設定!$B$6:$B$21,0)),0))</f>
        <v/>
      </c>
      <c r="M443" s="85">
        <f>IF(OR($J443="",$K443=""),"",ROUND(($K443-$J443)*24-$L443/60,2))</f>
        <v/>
      </c>
      <c r="N443" s="16">
        <f>IF($C443="","",IF(AND(COUNTIF(設定!$B$15:$B$21,$G443)&gt;0,$J443&lt;&gt;""),"假日出勤",IF(AND(COUNTIF(設定!$B$6:$B$14,$G443)&gt;0,$J443=""),"未打卡",IF($J443="","",IF($O443&gt;0,"遲到",IF($P443&gt;0,"早退","正常"))))))</f>
        <v/>
      </c>
      <c r="O443" s="84">
        <f>IF(OR($C443="",$H443="",$J443=""),0,IF(ROUND(($J443-$H443)*1440,0)&gt;設定!$C$46,ROUND(($J443-$H443)*1440,0),0))</f>
        <v/>
      </c>
      <c r="P443" s="84">
        <f>IF(OR($C443="",$I443="",$K443=""),0,IF(ROUND(($I443-$K443)*1440,0)&gt;設定!$C$46,ROUND(($I443-$K443)*1440,0),0))</f>
        <v/>
      </c>
      <c r="Q443" s="85">
        <f>IF($M443="",0,IF(($M443-IFERROR(INDEX(設定!$G$6:$G$21,MATCH($G443,設定!$B$6:$B$21,0)),0))*60&gt;=設定!$C$44,ROUND(FLOOR(($M443-IFERROR(INDEX(設定!$G$6:$G$21,MATCH($G443,設定!$B$6:$B$21,0)),0))*60,設定!$C$45)/60,2),0))</f>
        <v/>
      </c>
      <c r="R443" s="16">
        <f>IF(OR($C443="",$Q443=0),"",IF($G443="國","國定假日",IF($B443="日","例假",IF($B443="六","休息日","平日"))))</f>
        <v/>
      </c>
      <c r="S443" s="19" t="n"/>
    </row>
    <row r="444">
      <c r="A444" s="82">
        <f>IF(OR(助理班表!$A19="",8&gt;DAY(EOMONTH(DATE(設定!$C$2,設定!$D$2,1),0))),"",DATE(設定!$C$2,設定!$D$2,8))</f>
        <v/>
      </c>
      <c r="B444" s="16">
        <f>IF($A444="","",INDEX(設定!$O$6:$O$12,WEEKDAY($A444,1)))</f>
        <v/>
      </c>
      <c r="C444" s="16">
        <f>IF($A444="","",助理班表!$A19)</f>
        <v/>
      </c>
      <c r="D444" s="16">
        <f>IF($C444="","",助理班表!$B19)</f>
        <v/>
      </c>
      <c r="E444" s="16">
        <f>IF($C444="","",助理班表!$D19)</f>
        <v/>
      </c>
      <c r="F444" s="16">
        <f>IF($C444="","",助理班表!$C19)</f>
        <v/>
      </c>
      <c r="G444" s="16">
        <f>IF($C444="","",助理班表!L19)</f>
        <v/>
      </c>
      <c r="H444" s="83">
        <f>IF($G444="","",IFERROR(IF(INDEX(設定!$D$6:$D$21,MATCH($G444,設定!$B$6:$B$21,0))=0,"",INDEX(設定!$D$6:$D$21,MATCH($G444,設定!$B$6:$B$21,0))),""))</f>
        <v/>
      </c>
      <c r="I444" s="83">
        <f>IF($G444="","",IFERROR(IF(INDEX(設定!$E$6:$E$21,MATCH($G444,設定!$B$6:$B$21,0))=0,"",INDEX(設定!$E$6:$E$21,MATCH($G444,設定!$B$6:$B$21,0))),""))</f>
        <v/>
      </c>
      <c r="J444" s="83">
        <f>IFERROR(INDEX(打卡匯入!$C$3:$C$2002,MATCH($C444&amp;"|"&amp;DAY($A444),打卡匯入!$E$3:$E$2002,0)),"")</f>
        <v/>
      </c>
      <c r="K444" s="83">
        <f>IFERROR(INDEX(打卡匯入!$D$3:$D$2002,MATCH($C444&amp;"|"&amp;DAY($A444),打卡匯入!$E$3:$E$2002,0)),"")</f>
        <v/>
      </c>
      <c r="L444" s="84">
        <f>IF(OR($J444="",$K444=""),"",IFERROR(INDEX(設定!$F$6:$F$21,MATCH($G444,設定!$B$6:$B$21,0)),0))</f>
        <v/>
      </c>
      <c r="M444" s="85">
        <f>IF(OR($J444="",$K444=""),"",ROUND(($K444-$J444)*24-$L444/60,2))</f>
        <v/>
      </c>
      <c r="N444" s="16">
        <f>IF($C444="","",IF(AND(COUNTIF(設定!$B$15:$B$21,$G444)&gt;0,$J444&lt;&gt;""),"假日出勤",IF(AND(COUNTIF(設定!$B$6:$B$14,$G444)&gt;0,$J444=""),"未打卡",IF($J444="","",IF($O444&gt;0,"遲到",IF($P444&gt;0,"早退","正常"))))))</f>
        <v/>
      </c>
      <c r="O444" s="84">
        <f>IF(OR($C444="",$H444="",$J444=""),0,IF(ROUND(($J444-$H444)*1440,0)&gt;設定!$C$46,ROUND(($J444-$H444)*1440,0),0))</f>
        <v/>
      </c>
      <c r="P444" s="84">
        <f>IF(OR($C444="",$I444="",$K444=""),0,IF(ROUND(($I444-$K444)*1440,0)&gt;設定!$C$46,ROUND(($I444-$K444)*1440,0),0))</f>
        <v/>
      </c>
      <c r="Q444" s="85">
        <f>IF($M444="",0,IF(($M444-IFERROR(INDEX(設定!$G$6:$G$21,MATCH($G444,設定!$B$6:$B$21,0)),0))*60&gt;=設定!$C$44,ROUND(FLOOR(($M444-IFERROR(INDEX(設定!$G$6:$G$21,MATCH($G444,設定!$B$6:$B$21,0)),0))*60,設定!$C$45)/60,2),0))</f>
        <v/>
      </c>
      <c r="R444" s="16">
        <f>IF(OR($C444="",$Q444=0),"",IF($G444="國","國定假日",IF($B444="日","例假",IF($B444="六","休息日","平日"))))</f>
        <v/>
      </c>
      <c r="S444" s="19" t="n"/>
    </row>
    <row r="445">
      <c r="A445" s="82">
        <f>IF(OR(助理班表!$A19="",9&gt;DAY(EOMONTH(DATE(設定!$C$2,設定!$D$2,1),0))),"",DATE(設定!$C$2,設定!$D$2,9))</f>
        <v/>
      </c>
      <c r="B445" s="16">
        <f>IF($A445="","",INDEX(設定!$O$6:$O$12,WEEKDAY($A445,1)))</f>
        <v/>
      </c>
      <c r="C445" s="16">
        <f>IF($A445="","",助理班表!$A19)</f>
        <v/>
      </c>
      <c r="D445" s="16">
        <f>IF($C445="","",助理班表!$B19)</f>
        <v/>
      </c>
      <c r="E445" s="16">
        <f>IF($C445="","",助理班表!$D19)</f>
        <v/>
      </c>
      <c r="F445" s="16">
        <f>IF($C445="","",助理班表!$C19)</f>
        <v/>
      </c>
      <c r="G445" s="16">
        <f>IF($C445="","",助理班表!M19)</f>
        <v/>
      </c>
      <c r="H445" s="83">
        <f>IF($G445="","",IFERROR(IF(INDEX(設定!$D$6:$D$21,MATCH($G445,設定!$B$6:$B$21,0))=0,"",INDEX(設定!$D$6:$D$21,MATCH($G445,設定!$B$6:$B$21,0))),""))</f>
        <v/>
      </c>
      <c r="I445" s="83">
        <f>IF($G445="","",IFERROR(IF(INDEX(設定!$E$6:$E$21,MATCH($G445,設定!$B$6:$B$21,0))=0,"",INDEX(設定!$E$6:$E$21,MATCH($G445,設定!$B$6:$B$21,0))),""))</f>
        <v/>
      </c>
      <c r="J445" s="83">
        <f>IFERROR(INDEX(打卡匯入!$C$3:$C$2002,MATCH($C445&amp;"|"&amp;DAY($A445),打卡匯入!$E$3:$E$2002,0)),"")</f>
        <v/>
      </c>
      <c r="K445" s="83">
        <f>IFERROR(INDEX(打卡匯入!$D$3:$D$2002,MATCH($C445&amp;"|"&amp;DAY($A445),打卡匯入!$E$3:$E$2002,0)),"")</f>
        <v/>
      </c>
      <c r="L445" s="84">
        <f>IF(OR($J445="",$K445=""),"",IFERROR(INDEX(設定!$F$6:$F$21,MATCH($G445,設定!$B$6:$B$21,0)),0))</f>
        <v/>
      </c>
      <c r="M445" s="85">
        <f>IF(OR($J445="",$K445=""),"",ROUND(($K445-$J445)*24-$L445/60,2))</f>
        <v/>
      </c>
      <c r="N445" s="16">
        <f>IF($C445="","",IF(AND(COUNTIF(設定!$B$15:$B$21,$G445)&gt;0,$J445&lt;&gt;""),"假日出勤",IF(AND(COUNTIF(設定!$B$6:$B$14,$G445)&gt;0,$J445=""),"未打卡",IF($J445="","",IF($O445&gt;0,"遲到",IF($P445&gt;0,"早退","正常"))))))</f>
        <v/>
      </c>
      <c r="O445" s="84">
        <f>IF(OR($C445="",$H445="",$J445=""),0,IF(ROUND(($J445-$H445)*1440,0)&gt;設定!$C$46,ROUND(($J445-$H445)*1440,0),0))</f>
        <v/>
      </c>
      <c r="P445" s="84">
        <f>IF(OR($C445="",$I445="",$K445=""),0,IF(ROUND(($I445-$K445)*1440,0)&gt;設定!$C$46,ROUND(($I445-$K445)*1440,0),0))</f>
        <v/>
      </c>
      <c r="Q445" s="85">
        <f>IF($M445="",0,IF(($M445-IFERROR(INDEX(設定!$G$6:$G$21,MATCH($G445,設定!$B$6:$B$21,0)),0))*60&gt;=設定!$C$44,ROUND(FLOOR(($M445-IFERROR(INDEX(設定!$G$6:$G$21,MATCH($G445,設定!$B$6:$B$21,0)),0))*60,設定!$C$45)/60,2),0))</f>
        <v/>
      </c>
      <c r="R445" s="16">
        <f>IF(OR($C445="",$Q445=0),"",IF($G445="國","國定假日",IF($B445="日","例假",IF($B445="六","休息日","平日"))))</f>
        <v/>
      </c>
      <c r="S445" s="19" t="n"/>
    </row>
    <row r="446">
      <c r="A446" s="82">
        <f>IF(OR(助理班表!$A19="",10&gt;DAY(EOMONTH(DATE(設定!$C$2,設定!$D$2,1),0))),"",DATE(設定!$C$2,設定!$D$2,10))</f>
        <v/>
      </c>
      <c r="B446" s="16">
        <f>IF($A446="","",INDEX(設定!$O$6:$O$12,WEEKDAY($A446,1)))</f>
        <v/>
      </c>
      <c r="C446" s="16">
        <f>IF($A446="","",助理班表!$A19)</f>
        <v/>
      </c>
      <c r="D446" s="16">
        <f>IF($C446="","",助理班表!$B19)</f>
        <v/>
      </c>
      <c r="E446" s="16">
        <f>IF($C446="","",助理班表!$D19)</f>
        <v/>
      </c>
      <c r="F446" s="16">
        <f>IF($C446="","",助理班表!$C19)</f>
        <v/>
      </c>
      <c r="G446" s="16">
        <f>IF($C446="","",助理班表!N19)</f>
        <v/>
      </c>
      <c r="H446" s="83">
        <f>IF($G446="","",IFERROR(IF(INDEX(設定!$D$6:$D$21,MATCH($G446,設定!$B$6:$B$21,0))=0,"",INDEX(設定!$D$6:$D$21,MATCH($G446,設定!$B$6:$B$21,0))),""))</f>
        <v/>
      </c>
      <c r="I446" s="83">
        <f>IF($G446="","",IFERROR(IF(INDEX(設定!$E$6:$E$21,MATCH($G446,設定!$B$6:$B$21,0))=0,"",INDEX(設定!$E$6:$E$21,MATCH($G446,設定!$B$6:$B$21,0))),""))</f>
        <v/>
      </c>
      <c r="J446" s="83">
        <f>IFERROR(INDEX(打卡匯入!$C$3:$C$2002,MATCH($C446&amp;"|"&amp;DAY($A446),打卡匯入!$E$3:$E$2002,0)),"")</f>
        <v/>
      </c>
      <c r="K446" s="83">
        <f>IFERROR(INDEX(打卡匯入!$D$3:$D$2002,MATCH($C446&amp;"|"&amp;DAY($A446),打卡匯入!$E$3:$E$2002,0)),"")</f>
        <v/>
      </c>
      <c r="L446" s="84">
        <f>IF(OR($J446="",$K446=""),"",IFERROR(INDEX(設定!$F$6:$F$21,MATCH($G446,設定!$B$6:$B$21,0)),0))</f>
        <v/>
      </c>
      <c r="M446" s="85">
        <f>IF(OR($J446="",$K446=""),"",ROUND(($K446-$J446)*24-$L446/60,2))</f>
        <v/>
      </c>
      <c r="N446" s="16">
        <f>IF($C446="","",IF(AND(COUNTIF(設定!$B$15:$B$21,$G446)&gt;0,$J446&lt;&gt;""),"假日出勤",IF(AND(COUNTIF(設定!$B$6:$B$14,$G446)&gt;0,$J446=""),"未打卡",IF($J446="","",IF($O446&gt;0,"遲到",IF($P446&gt;0,"早退","正常"))))))</f>
        <v/>
      </c>
      <c r="O446" s="84">
        <f>IF(OR($C446="",$H446="",$J446=""),0,IF(ROUND(($J446-$H446)*1440,0)&gt;設定!$C$46,ROUND(($J446-$H446)*1440,0),0))</f>
        <v/>
      </c>
      <c r="P446" s="84">
        <f>IF(OR($C446="",$I446="",$K446=""),0,IF(ROUND(($I446-$K446)*1440,0)&gt;設定!$C$46,ROUND(($I446-$K446)*1440,0),0))</f>
        <v/>
      </c>
      <c r="Q446" s="85">
        <f>IF($M446="",0,IF(($M446-IFERROR(INDEX(設定!$G$6:$G$21,MATCH($G446,設定!$B$6:$B$21,0)),0))*60&gt;=設定!$C$44,ROUND(FLOOR(($M446-IFERROR(INDEX(設定!$G$6:$G$21,MATCH($G446,設定!$B$6:$B$21,0)),0))*60,設定!$C$45)/60,2),0))</f>
        <v/>
      </c>
      <c r="R446" s="16">
        <f>IF(OR($C446="",$Q446=0),"",IF($G446="國","國定假日",IF($B446="日","例假",IF($B446="六","休息日","平日"))))</f>
        <v/>
      </c>
      <c r="S446" s="19" t="n"/>
    </row>
    <row r="447">
      <c r="A447" s="82">
        <f>IF(OR(助理班表!$A19="",11&gt;DAY(EOMONTH(DATE(設定!$C$2,設定!$D$2,1),0))),"",DATE(設定!$C$2,設定!$D$2,11))</f>
        <v/>
      </c>
      <c r="B447" s="16">
        <f>IF($A447="","",INDEX(設定!$O$6:$O$12,WEEKDAY($A447,1)))</f>
        <v/>
      </c>
      <c r="C447" s="16">
        <f>IF($A447="","",助理班表!$A19)</f>
        <v/>
      </c>
      <c r="D447" s="16">
        <f>IF($C447="","",助理班表!$B19)</f>
        <v/>
      </c>
      <c r="E447" s="16">
        <f>IF($C447="","",助理班表!$D19)</f>
        <v/>
      </c>
      <c r="F447" s="16">
        <f>IF($C447="","",助理班表!$C19)</f>
        <v/>
      </c>
      <c r="G447" s="16">
        <f>IF($C447="","",助理班表!O19)</f>
        <v/>
      </c>
      <c r="H447" s="83">
        <f>IF($G447="","",IFERROR(IF(INDEX(設定!$D$6:$D$21,MATCH($G447,設定!$B$6:$B$21,0))=0,"",INDEX(設定!$D$6:$D$21,MATCH($G447,設定!$B$6:$B$21,0))),""))</f>
        <v/>
      </c>
      <c r="I447" s="83">
        <f>IF($G447="","",IFERROR(IF(INDEX(設定!$E$6:$E$21,MATCH($G447,設定!$B$6:$B$21,0))=0,"",INDEX(設定!$E$6:$E$21,MATCH($G447,設定!$B$6:$B$21,0))),""))</f>
        <v/>
      </c>
      <c r="J447" s="83">
        <f>IFERROR(INDEX(打卡匯入!$C$3:$C$2002,MATCH($C447&amp;"|"&amp;DAY($A447),打卡匯入!$E$3:$E$2002,0)),"")</f>
        <v/>
      </c>
      <c r="K447" s="83">
        <f>IFERROR(INDEX(打卡匯入!$D$3:$D$2002,MATCH($C447&amp;"|"&amp;DAY($A447),打卡匯入!$E$3:$E$2002,0)),"")</f>
        <v/>
      </c>
      <c r="L447" s="84">
        <f>IF(OR($J447="",$K447=""),"",IFERROR(INDEX(設定!$F$6:$F$21,MATCH($G447,設定!$B$6:$B$21,0)),0))</f>
        <v/>
      </c>
      <c r="M447" s="85">
        <f>IF(OR($J447="",$K447=""),"",ROUND(($K447-$J447)*24-$L447/60,2))</f>
        <v/>
      </c>
      <c r="N447" s="16">
        <f>IF($C447="","",IF(AND(COUNTIF(設定!$B$15:$B$21,$G447)&gt;0,$J447&lt;&gt;""),"假日出勤",IF(AND(COUNTIF(設定!$B$6:$B$14,$G447)&gt;0,$J447=""),"未打卡",IF($J447="","",IF($O447&gt;0,"遲到",IF($P447&gt;0,"早退","正常"))))))</f>
        <v/>
      </c>
      <c r="O447" s="84">
        <f>IF(OR($C447="",$H447="",$J447=""),0,IF(ROUND(($J447-$H447)*1440,0)&gt;設定!$C$46,ROUND(($J447-$H447)*1440,0),0))</f>
        <v/>
      </c>
      <c r="P447" s="84">
        <f>IF(OR($C447="",$I447="",$K447=""),0,IF(ROUND(($I447-$K447)*1440,0)&gt;設定!$C$46,ROUND(($I447-$K447)*1440,0),0))</f>
        <v/>
      </c>
      <c r="Q447" s="85">
        <f>IF($M447="",0,IF(($M447-IFERROR(INDEX(設定!$G$6:$G$21,MATCH($G447,設定!$B$6:$B$21,0)),0))*60&gt;=設定!$C$44,ROUND(FLOOR(($M447-IFERROR(INDEX(設定!$G$6:$G$21,MATCH($G447,設定!$B$6:$B$21,0)),0))*60,設定!$C$45)/60,2),0))</f>
        <v/>
      </c>
      <c r="R447" s="16">
        <f>IF(OR($C447="",$Q447=0),"",IF($G447="國","國定假日",IF($B447="日","例假",IF($B447="六","休息日","平日"))))</f>
        <v/>
      </c>
      <c r="S447" s="19" t="n"/>
    </row>
    <row r="448">
      <c r="A448" s="82">
        <f>IF(OR(助理班表!$A19="",12&gt;DAY(EOMONTH(DATE(設定!$C$2,設定!$D$2,1),0))),"",DATE(設定!$C$2,設定!$D$2,12))</f>
        <v/>
      </c>
      <c r="B448" s="16">
        <f>IF($A448="","",INDEX(設定!$O$6:$O$12,WEEKDAY($A448,1)))</f>
        <v/>
      </c>
      <c r="C448" s="16">
        <f>IF($A448="","",助理班表!$A19)</f>
        <v/>
      </c>
      <c r="D448" s="16">
        <f>IF($C448="","",助理班表!$B19)</f>
        <v/>
      </c>
      <c r="E448" s="16">
        <f>IF($C448="","",助理班表!$D19)</f>
        <v/>
      </c>
      <c r="F448" s="16">
        <f>IF($C448="","",助理班表!$C19)</f>
        <v/>
      </c>
      <c r="G448" s="16">
        <f>IF($C448="","",助理班表!P19)</f>
        <v/>
      </c>
      <c r="H448" s="83">
        <f>IF($G448="","",IFERROR(IF(INDEX(設定!$D$6:$D$21,MATCH($G448,設定!$B$6:$B$21,0))=0,"",INDEX(設定!$D$6:$D$21,MATCH($G448,設定!$B$6:$B$21,0))),""))</f>
        <v/>
      </c>
      <c r="I448" s="83">
        <f>IF($G448="","",IFERROR(IF(INDEX(設定!$E$6:$E$21,MATCH($G448,設定!$B$6:$B$21,0))=0,"",INDEX(設定!$E$6:$E$21,MATCH($G448,設定!$B$6:$B$21,0))),""))</f>
        <v/>
      </c>
      <c r="J448" s="83">
        <f>IFERROR(INDEX(打卡匯入!$C$3:$C$2002,MATCH($C448&amp;"|"&amp;DAY($A448),打卡匯入!$E$3:$E$2002,0)),"")</f>
        <v/>
      </c>
      <c r="K448" s="83">
        <f>IFERROR(INDEX(打卡匯入!$D$3:$D$2002,MATCH($C448&amp;"|"&amp;DAY($A448),打卡匯入!$E$3:$E$2002,0)),"")</f>
        <v/>
      </c>
      <c r="L448" s="84">
        <f>IF(OR($J448="",$K448=""),"",IFERROR(INDEX(設定!$F$6:$F$21,MATCH($G448,設定!$B$6:$B$21,0)),0))</f>
        <v/>
      </c>
      <c r="M448" s="85">
        <f>IF(OR($J448="",$K448=""),"",ROUND(($K448-$J448)*24-$L448/60,2))</f>
        <v/>
      </c>
      <c r="N448" s="16">
        <f>IF($C448="","",IF(AND(COUNTIF(設定!$B$15:$B$21,$G448)&gt;0,$J448&lt;&gt;""),"假日出勤",IF(AND(COUNTIF(設定!$B$6:$B$14,$G448)&gt;0,$J448=""),"未打卡",IF($J448="","",IF($O448&gt;0,"遲到",IF($P448&gt;0,"早退","正常"))))))</f>
        <v/>
      </c>
      <c r="O448" s="84">
        <f>IF(OR($C448="",$H448="",$J448=""),0,IF(ROUND(($J448-$H448)*1440,0)&gt;設定!$C$46,ROUND(($J448-$H448)*1440,0),0))</f>
        <v/>
      </c>
      <c r="P448" s="84">
        <f>IF(OR($C448="",$I448="",$K448=""),0,IF(ROUND(($I448-$K448)*1440,0)&gt;設定!$C$46,ROUND(($I448-$K448)*1440,0),0))</f>
        <v/>
      </c>
      <c r="Q448" s="85">
        <f>IF($M448="",0,IF(($M448-IFERROR(INDEX(設定!$G$6:$G$21,MATCH($G448,設定!$B$6:$B$21,0)),0))*60&gt;=設定!$C$44,ROUND(FLOOR(($M448-IFERROR(INDEX(設定!$G$6:$G$21,MATCH($G448,設定!$B$6:$B$21,0)),0))*60,設定!$C$45)/60,2),0))</f>
        <v/>
      </c>
      <c r="R448" s="16">
        <f>IF(OR($C448="",$Q448=0),"",IF($G448="國","國定假日",IF($B448="日","例假",IF($B448="六","休息日","平日"))))</f>
        <v/>
      </c>
      <c r="S448" s="19" t="n"/>
    </row>
    <row r="449">
      <c r="A449" s="82">
        <f>IF(OR(助理班表!$A19="",13&gt;DAY(EOMONTH(DATE(設定!$C$2,設定!$D$2,1),0))),"",DATE(設定!$C$2,設定!$D$2,13))</f>
        <v/>
      </c>
      <c r="B449" s="16">
        <f>IF($A449="","",INDEX(設定!$O$6:$O$12,WEEKDAY($A449,1)))</f>
        <v/>
      </c>
      <c r="C449" s="16">
        <f>IF($A449="","",助理班表!$A19)</f>
        <v/>
      </c>
      <c r="D449" s="16">
        <f>IF($C449="","",助理班表!$B19)</f>
        <v/>
      </c>
      <c r="E449" s="16">
        <f>IF($C449="","",助理班表!$D19)</f>
        <v/>
      </c>
      <c r="F449" s="16">
        <f>IF($C449="","",助理班表!$C19)</f>
        <v/>
      </c>
      <c r="G449" s="16">
        <f>IF($C449="","",助理班表!Q19)</f>
        <v/>
      </c>
      <c r="H449" s="83">
        <f>IF($G449="","",IFERROR(IF(INDEX(設定!$D$6:$D$21,MATCH($G449,設定!$B$6:$B$21,0))=0,"",INDEX(設定!$D$6:$D$21,MATCH($G449,設定!$B$6:$B$21,0))),""))</f>
        <v/>
      </c>
      <c r="I449" s="83">
        <f>IF($G449="","",IFERROR(IF(INDEX(設定!$E$6:$E$21,MATCH($G449,設定!$B$6:$B$21,0))=0,"",INDEX(設定!$E$6:$E$21,MATCH($G449,設定!$B$6:$B$21,0))),""))</f>
        <v/>
      </c>
      <c r="J449" s="83">
        <f>IFERROR(INDEX(打卡匯入!$C$3:$C$2002,MATCH($C449&amp;"|"&amp;DAY($A449),打卡匯入!$E$3:$E$2002,0)),"")</f>
        <v/>
      </c>
      <c r="K449" s="83">
        <f>IFERROR(INDEX(打卡匯入!$D$3:$D$2002,MATCH($C449&amp;"|"&amp;DAY($A449),打卡匯入!$E$3:$E$2002,0)),"")</f>
        <v/>
      </c>
      <c r="L449" s="84">
        <f>IF(OR($J449="",$K449=""),"",IFERROR(INDEX(設定!$F$6:$F$21,MATCH($G449,設定!$B$6:$B$21,0)),0))</f>
        <v/>
      </c>
      <c r="M449" s="85">
        <f>IF(OR($J449="",$K449=""),"",ROUND(($K449-$J449)*24-$L449/60,2))</f>
        <v/>
      </c>
      <c r="N449" s="16">
        <f>IF($C449="","",IF(AND(COUNTIF(設定!$B$15:$B$21,$G449)&gt;0,$J449&lt;&gt;""),"假日出勤",IF(AND(COUNTIF(設定!$B$6:$B$14,$G449)&gt;0,$J449=""),"未打卡",IF($J449="","",IF($O449&gt;0,"遲到",IF($P449&gt;0,"早退","正常"))))))</f>
        <v/>
      </c>
      <c r="O449" s="84">
        <f>IF(OR($C449="",$H449="",$J449=""),0,IF(ROUND(($J449-$H449)*1440,0)&gt;設定!$C$46,ROUND(($J449-$H449)*1440,0),0))</f>
        <v/>
      </c>
      <c r="P449" s="84">
        <f>IF(OR($C449="",$I449="",$K449=""),0,IF(ROUND(($I449-$K449)*1440,0)&gt;設定!$C$46,ROUND(($I449-$K449)*1440,0),0))</f>
        <v/>
      </c>
      <c r="Q449" s="85">
        <f>IF($M449="",0,IF(($M449-IFERROR(INDEX(設定!$G$6:$G$21,MATCH($G449,設定!$B$6:$B$21,0)),0))*60&gt;=設定!$C$44,ROUND(FLOOR(($M449-IFERROR(INDEX(設定!$G$6:$G$21,MATCH($G449,設定!$B$6:$B$21,0)),0))*60,設定!$C$45)/60,2),0))</f>
        <v/>
      </c>
      <c r="R449" s="16">
        <f>IF(OR($C449="",$Q449=0),"",IF($G449="國","國定假日",IF($B449="日","例假",IF($B449="六","休息日","平日"))))</f>
        <v/>
      </c>
      <c r="S449" s="19" t="n"/>
    </row>
    <row r="450">
      <c r="A450" s="82">
        <f>IF(OR(助理班表!$A19="",14&gt;DAY(EOMONTH(DATE(設定!$C$2,設定!$D$2,1),0))),"",DATE(設定!$C$2,設定!$D$2,14))</f>
        <v/>
      </c>
      <c r="B450" s="16">
        <f>IF($A450="","",INDEX(設定!$O$6:$O$12,WEEKDAY($A450,1)))</f>
        <v/>
      </c>
      <c r="C450" s="16">
        <f>IF($A450="","",助理班表!$A19)</f>
        <v/>
      </c>
      <c r="D450" s="16">
        <f>IF($C450="","",助理班表!$B19)</f>
        <v/>
      </c>
      <c r="E450" s="16">
        <f>IF($C450="","",助理班表!$D19)</f>
        <v/>
      </c>
      <c r="F450" s="16">
        <f>IF($C450="","",助理班表!$C19)</f>
        <v/>
      </c>
      <c r="G450" s="16">
        <f>IF($C450="","",助理班表!R19)</f>
        <v/>
      </c>
      <c r="H450" s="83">
        <f>IF($G450="","",IFERROR(IF(INDEX(設定!$D$6:$D$21,MATCH($G450,設定!$B$6:$B$21,0))=0,"",INDEX(設定!$D$6:$D$21,MATCH($G450,設定!$B$6:$B$21,0))),""))</f>
        <v/>
      </c>
      <c r="I450" s="83">
        <f>IF($G450="","",IFERROR(IF(INDEX(設定!$E$6:$E$21,MATCH($G450,設定!$B$6:$B$21,0))=0,"",INDEX(設定!$E$6:$E$21,MATCH($G450,設定!$B$6:$B$21,0))),""))</f>
        <v/>
      </c>
      <c r="J450" s="83">
        <f>IFERROR(INDEX(打卡匯入!$C$3:$C$2002,MATCH($C450&amp;"|"&amp;DAY($A450),打卡匯入!$E$3:$E$2002,0)),"")</f>
        <v/>
      </c>
      <c r="K450" s="83">
        <f>IFERROR(INDEX(打卡匯入!$D$3:$D$2002,MATCH($C450&amp;"|"&amp;DAY($A450),打卡匯入!$E$3:$E$2002,0)),"")</f>
        <v/>
      </c>
      <c r="L450" s="84">
        <f>IF(OR($J450="",$K450=""),"",IFERROR(INDEX(設定!$F$6:$F$21,MATCH($G450,設定!$B$6:$B$21,0)),0))</f>
        <v/>
      </c>
      <c r="M450" s="85">
        <f>IF(OR($J450="",$K450=""),"",ROUND(($K450-$J450)*24-$L450/60,2))</f>
        <v/>
      </c>
      <c r="N450" s="16">
        <f>IF($C450="","",IF(AND(COUNTIF(設定!$B$15:$B$21,$G450)&gt;0,$J450&lt;&gt;""),"假日出勤",IF(AND(COUNTIF(設定!$B$6:$B$14,$G450)&gt;0,$J450=""),"未打卡",IF($J450="","",IF($O450&gt;0,"遲到",IF($P450&gt;0,"早退","正常"))))))</f>
        <v/>
      </c>
      <c r="O450" s="84">
        <f>IF(OR($C450="",$H450="",$J450=""),0,IF(ROUND(($J450-$H450)*1440,0)&gt;設定!$C$46,ROUND(($J450-$H450)*1440,0),0))</f>
        <v/>
      </c>
      <c r="P450" s="84">
        <f>IF(OR($C450="",$I450="",$K450=""),0,IF(ROUND(($I450-$K450)*1440,0)&gt;設定!$C$46,ROUND(($I450-$K450)*1440,0),0))</f>
        <v/>
      </c>
      <c r="Q450" s="85">
        <f>IF($M450="",0,IF(($M450-IFERROR(INDEX(設定!$G$6:$G$21,MATCH($G450,設定!$B$6:$B$21,0)),0))*60&gt;=設定!$C$44,ROUND(FLOOR(($M450-IFERROR(INDEX(設定!$G$6:$G$21,MATCH($G450,設定!$B$6:$B$21,0)),0))*60,設定!$C$45)/60,2),0))</f>
        <v/>
      </c>
      <c r="R450" s="16">
        <f>IF(OR($C450="",$Q450=0),"",IF($G450="國","國定假日",IF($B450="日","例假",IF($B450="六","休息日","平日"))))</f>
        <v/>
      </c>
      <c r="S450" s="19" t="n"/>
    </row>
    <row r="451">
      <c r="A451" s="82">
        <f>IF(OR(助理班表!$A19="",15&gt;DAY(EOMONTH(DATE(設定!$C$2,設定!$D$2,1),0))),"",DATE(設定!$C$2,設定!$D$2,15))</f>
        <v/>
      </c>
      <c r="B451" s="16">
        <f>IF($A451="","",INDEX(設定!$O$6:$O$12,WEEKDAY($A451,1)))</f>
        <v/>
      </c>
      <c r="C451" s="16">
        <f>IF($A451="","",助理班表!$A19)</f>
        <v/>
      </c>
      <c r="D451" s="16">
        <f>IF($C451="","",助理班表!$B19)</f>
        <v/>
      </c>
      <c r="E451" s="16">
        <f>IF($C451="","",助理班表!$D19)</f>
        <v/>
      </c>
      <c r="F451" s="16">
        <f>IF($C451="","",助理班表!$C19)</f>
        <v/>
      </c>
      <c r="G451" s="16">
        <f>IF($C451="","",助理班表!S19)</f>
        <v/>
      </c>
      <c r="H451" s="83">
        <f>IF($G451="","",IFERROR(IF(INDEX(設定!$D$6:$D$21,MATCH($G451,設定!$B$6:$B$21,0))=0,"",INDEX(設定!$D$6:$D$21,MATCH($G451,設定!$B$6:$B$21,0))),""))</f>
        <v/>
      </c>
      <c r="I451" s="83">
        <f>IF($G451="","",IFERROR(IF(INDEX(設定!$E$6:$E$21,MATCH($G451,設定!$B$6:$B$21,0))=0,"",INDEX(設定!$E$6:$E$21,MATCH($G451,設定!$B$6:$B$21,0))),""))</f>
        <v/>
      </c>
      <c r="J451" s="83">
        <f>IFERROR(INDEX(打卡匯入!$C$3:$C$2002,MATCH($C451&amp;"|"&amp;DAY($A451),打卡匯入!$E$3:$E$2002,0)),"")</f>
        <v/>
      </c>
      <c r="K451" s="83">
        <f>IFERROR(INDEX(打卡匯入!$D$3:$D$2002,MATCH($C451&amp;"|"&amp;DAY($A451),打卡匯入!$E$3:$E$2002,0)),"")</f>
        <v/>
      </c>
      <c r="L451" s="84">
        <f>IF(OR($J451="",$K451=""),"",IFERROR(INDEX(設定!$F$6:$F$21,MATCH($G451,設定!$B$6:$B$21,0)),0))</f>
        <v/>
      </c>
      <c r="M451" s="85">
        <f>IF(OR($J451="",$K451=""),"",ROUND(($K451-$J451)*24-$L451/60,2))</f>
        <v/>
      </c>
      <c r="N451" s="16">
        <f>IF($C451="","",IF(AND(COUNTIF(設定!$B$15:$B$21,$G451)&gt;0,$J451&lt;&gt;""),"假日出勤",IF(AND(COUNTIF(設定!$B$6:$B$14,$G451)&gt;0,$J451=""),"未打卡",IF($J451="","",IF($O451&gt;0,"遲到",IF($P451&gt;0,"早退","正常"))))))</f>
        <v/>
      </c>
      <c r="O451" s="84">
        <f>IF(OR($C451="",$H451="",$J451=""),0,IF(ROUND(($J451-$H451)*1440,0)&gt;設定!$C$46,ROUND(($J451-$H451)*1440,0),0))</f>
        <v/>
      </c>
      <c r="P451" s="84">
        <f>IF(OR($C451="",$I451="",$K451=""),0,IF(ROUND(($I451-$K451)*1440,0)&gt;設定!$C$46,ROUND(($I451-$K451)*1440,0),0))</f>
        <v/>
      </c>
      <c r="Q451" s="85">
        <f>IF($M451="",0,IF(($M451-IFERROR(INDEX(設定!$G$6:$G$21,MATCH($G451,設定!$B$6:$B$21,0)),0))*60&gt;=設定!$C$44,ROUND(FLOOR(($M451-IFERROR(INDEX(設定!$G$6:$G$21,MATCH($G451,設定!$B$6:$B$21,0)),0))*60,設定!$C$45)/60,2),0))</f>
        <v/>
      </c>
      <c r="R451" s="16">
        <f>IF(OR($C451="",$Q451=0),"",IF($G451="國","國定假日",IF($B451="日","例假",IF($B451="六","休息日","平日"))))</f>
        <v/>
      </c>
      <c r="S451" s="19" t="n"/>
    </row>
    <row r="452">
      <c r="A452" s="82">
        <f>IF(OR(助理班表!$A19="",16&gt;DAY(EOMONTH(DATE(設定!$C$2,設定!$D$2,1),0))),"",DATE(設定!$C$2,設定!$D$2,16))</f>
        <v/>
      </c>
      <c r="B452" s="16">
        <f>IF($A452="","",INDEX(設定!$O$6:$O$12,WEEKDAY($A452,1)))</f>
        <v/>
      </c>
      <c r="C452" s="16">
        <f>IF($A452="","",助理班表!$A19)</f>
        <v/>
      </c>
      <c r="D452" s="16">
        <f>IF($C452="","",助理班表!$B19)</f>
        <v/>
      </c>
      <c r="E452" s="16">
        <f>IF($C452="","",助理班表!$D19)</f>
        <v/>
      </c>
      <c r="F452" s="16">
        <f>IF($C452="","",助理班表!$C19)</f>
        <v/>
      </c>
      <c r="G452" s="16">
        <f>IF($C452="","",助理班表!T19)</f>
        <v/>
      </c>
      <c r="H452" s="83">
        <f>IF($G452="","",IFERROR(IF(INDEX(設定!$D$6:$D$21,MATCH($G452,設定!$B$6:$B$21,0))=0,"",INDEX(設定!$D$6:$D$21,MATCH($G452,設定!$B$6:$B$21,0))),""))</f>
        <v/>
      </c>
      <c r="I452" s="83">
        <f>IF($G452="","",IFERROR(IF(INDEX(設定!$E$6:$E$21,MATCH($G452,設定!$B$6:$B$21,0))=0,"",INDEX(設定!$E$6:$E$21,MATCH($G452,設定!$B$6:$B$21,0))),""))</f>
        <v/>
      </c>
      <c r="J452" s="83">
        <f>IFERROR(INDEX(打卡匯入!$C$3:$C$2002,MATCH($C452&amp;"|"&amp;DAY($A452),打卡匯入!$E$3:$E$2002,0)),"")</f>
        <v/>
      </c>
      <c r="K452" s="83">
        <f>IFERROR(INDEX(打卡匯入!$D$3:$D$2002,MATCH($C452&amp;"|"&amp;DAY($A452),打卡匯入!$E$3:$E$2002,0)),"")</f>
        <v/>
      </c>
      <c r="L452" s="84">
        <f>IF(OR($J452="",$K452=""),"",IFERROR(INDEX(設定!$F$6:$F$21,MATCH($G452,設定!$B$6:$B$21,0)),0))</f>
        <v/>
      </c>
      <c r="M452" s="85">
        <f>IF(OR($J452="",$K452=""),"",ROUND(($K452-$J452)*24-$L452/60,2))</f>
        <v/>
      </c>
      <c r="N452" s="16">
        <f>IF($C452="","",IF(AND(COUNTIF(設定!$B$15:$B$21,$G452)&gt;0,$J452&lt;&gt;""),"假日出勤",IF(AND(COUNTIF(設定!$B$6:$B$14,$G452)&gt;0,$J452=""),"未打卡",IF($J452="","",IF($O452&gt;0,"遲到",IF($P452&gt;0,"早退","正常"))))))</f>
        <v/>
      </c>
      <c r="O452" s="84">
        <f>IF(OR($C452="",$H452="",$J452=""),0,IF(ROUND(($J452-$H452)*1440,0)&gt;設定!$C$46,ROUND(($J452-$H452)*1440,0),0))</f>
        <v/>
      </c>
      <c r="P452" s="84">
        <f>IF(OR($C452="",$I452="",$K452=""),0,IF(ROUND(($I452-$K452)*1440,0)&gt;設定!$C$46,ROUND(($I452-$K452)*1440,0),0))</f>
        <v/>
      </c>
      <c r="Q452" s="85">
        <f>IF($M452="",0,IF(($M452-IFERROR(INDEX(設定!$G$6:$G$21,MATCH($G452,設定!$B$6:$B$21,0)),0))*60&gt;=設定!$C$44,ROUND(FLOOR(($M452-IFERROR(INDEX(設定!$G$6:$G$21,MATCH($G452,設定!$B$6:$B$21,0)),0))*60,設定!$C$45)/60,2),0))</f>
        <v/>
      </c>
      <c r="R452" s="16">
        <f>IF(OR($C452="",$Q452=0),"",IF($G452="國","國定假日",IF($B452="日","例假",IF($B452="六","休息日","平日"))))</f>
        <v/>
      </c>
      <c r="S452" s="19" t="n"/>
    </row>
    <row r="453">
      <c r="A453" s="82">
        <f>IF(OR(助理班表!$A19="",17&gt;DAY(EOMONTH(DATE(設定!$C$2,設定!$D$2,1),0))),"",DATE(設定!$C$2,設定!$D$2,17))</f>
        <v/>
      </c>
      <c r="B453" s="16">
        <f>IF($A453="","",INDEX(設定!$O$6:$O$12,WEEKDAY($A453,1)))</f>
        <v/>
      </c>
      <c r="C453" s="16">
        <f>IF($A453="","",助理班表!$A19)</f>
        <v/>
      </c>
      <c r="D453" s="16">
        <f>IF($C453="","",助理班表!$B19)</f>
        <v/>
      </c>
      <c r="E453" s="16">
        <f>IF($C453="","",助理班表!$D19)</f>
        <v/>
      </c>
      <c r="F453" s="16">
        <f>IF($C453="","",助理班表!$C19)</f>
        <v/>
      </c>
      <c r="G453" s="16">
        <f>IF($C453="","",助理班表!U19)</f>
        <v/>
      </c>
      <c r="H453" s="83">
        <f>IF($G453="","",IFERROR(IF(INDEX(設定!$D$6:$D$21,MATCH($G453,設定!$B$6:$B$21,0))=0,"",INDEX(設定!$D$6:$D$21,MATCH($G453,設定!$B$6:$B$21,0))),""))</f>
        <v/>
      </c>
      <c r="I453" s="83">
        <f>IF($G453="","",IFERROR(IF(INDEX(設定!$E$6:$E$21,MATCH($G453,設定!$B$6:$B$21,0))=0,"",INDEX(設定!$E$6:$E$21,MATCH($G453,設定!$B$6:$B$21,0))),""))</f>
        <v/>
      </c>
      <c r="J453" s="83">
        <f>IFERROR(INDEX(打卡匯入!$C$3:$C$2002,MATCH($C453&amp;"|"&amp;DAY($A453),打卡匯入!$E$3:$E$2002,0)),"")</f>
        <v/>
      </c>
      <c r="K453" s="83">
        <f>IFERROR(INDEX(打卡匯入!$D$3:$D$2002,MATCH($C453&amp;"|"&amp;DAY($A453),打卡匯入!$E$3:$E$2002,0)),"")</f>
        <v/>
      </c>
      <c r="L453" s="84">
        <f>IF(OR($J453="",$K453=""),"",IFERROR(INDEX(設定!$F$6:$F$21,MATCH($G453,設定!$B$6:$B$21,0)),0))</f>
        <v/>
      </c>
      <c r="M453" s="85">
        <f>IF(OR($J453="",$K453=""),"",ROUND(($K453-$J453)*24-$L453/60,2))</f>
        <v/>
      </c>
      <c r="N453" s="16">
        <f>IF($C453="","",IF(AND(COUNTIF(設定!$B$15:$B$21,$G453)&gt;0,$J453&lt;&gt;""),"假日出勤",IF(AND(COUNTIF(設定!$B$6:$B$14,$G453)&gt;0,$J453=""),"未打卡",IF($J453="","",IF($O453&gt;0,"遲到",IF($P453&gt;0,"早退","正常"))))))</f>
        <v/>
      </c>
      <c r="O453" s="84">
        <f>IF(OR($C453="",$H453="",$J453=""),0,IF(ROUND(($J453-$H453)*1440,0)&gt;設定!$C$46,ROUND(($J453-$H453)*1440,0),0))</f>
        <v/>
      </c>
      <c r="P453" s="84">
        <f>IF(OR($C453="",$I453="",$K453=""),0,IF(ROUND(($I453-$K453)*1440,0)&gt;設定!$C$46,ROUND(($I453-$K453)*1440,0),0))</f>
        <v/>
      </c>
      <c r="Q453" s="85">
        <f>IF($M453="",0,IF(($M453-IFERROR(INDEX(設定!$G$6:$G$21,MATCH($G453,設定!$B$6:$B$21,0)),0))*60&gt;=設定!$C$44,ROUND(FLOOR(($M453-IFERROR(INDEX(設定!$G$6:$G$21,MATCH($G453,設定!$B$6:$B$21,0)),0))*60,設定!$C$45)/60,2),0))</f>
        <v/>
      </c>
      <c r="R453" s="16">
        <f>IF(OR($C453="",$Q453=0),"",IF($G453="國","國定假日",IF($B453="日","例假",IF($B453="六","休息日","平日"))))</f>
        <v/>
      </c>
      <c r="S453" s="19" t="n"/>
    </row>
    <row r="454">
      <c r="A454" s="82">
        <f>IF(OR(助理班表!$A19="",18&gt;DAY(EOMONTH(DATE(設定!$C$2,設定!$D$2,1),0))),"",DATE(設定!$C$2,設定!$D$2,18))</f>
        <v/>
      </c>
      <c r="B454" s="16">
        <f>IF($A454="","",INDEX(設定!$O$6:$O$12,WEEKDAY($A454,1)))</f>
        <v/>
      </c>
      <c r="C454" s="16">
        <f>IF($A454="","",助理班表!$A19)</f>
        <v/>
      </c>
      <c r="D454" s="16">
        <f>IF($C454="","",助理班表!$B19)</f>
        <v/>
      </c>
      <c r="E454" s="16">
        <f>IF($C454="","",助理班表!$D19)</f>
        <v/>
      </c>
      <c r="F454" s="16">
        <f>IF($C454="","",助理班表!$C19)</f>
        <v/>
      </c>
      <c r="G454" s="16">
        <f>IF($C454="","",助理班表!V19)</f>
        <v/>
      </c>
      <c r="H454" s="83">
        <f>IF($G454="","",IFERROR(IF(INDEX(設定!$D$6:$D$21,MATCH($G454,設定!$B$6:$B$21,0))=0,"",INDEX(設定!$D$6:$D$21,MATCH($G454,設定!$B$6:$B$21,0))),""))</f>
        <v/>
      </c>
      <c r="I454" s="83">
        <f>IF($G454="","",IFERROR(IF(INDEX(設定!$E$6:$E$21,MATCH($G454,設定!$B$6:$B$21,0))=0,"",INDEX(設定!$E$6:$E$21,MATCH($G454,設定!$B$6:$B$21,0))),""))</f>
        <v/>
      </c>
      <c r="J454" s="83">
        <f>IFERROR(INDEX(打卡匯入!$C$3:$C$2002,MATCH($C454&amp;"|"&amp;DAY($A454),打卡匯入!$E$3:$E$2002,0)),"")</f>
        <v/>
      </c>
      <c r="K454" s="83">
        <f>IFERROR(INDEX(打卡匯入!$D$3:$D$2002,MATCH($C454&amp;"|"&amp;DAY($A454),打卡匯入!$E$3:$E$2002,0)),"")</f>
        <v/>
      </c>
      <c r="L454" s="84">
        <f>IF(OR($J454="",$K454=""),"",IFERROR(INDEX(設定!$F$6:$F$21,MATCH($G454,設定!$B$6:$B$21,0)),0))</f>
        <v/>
      </c>
      <c r="M454" s="85">
        <f>IF(OR($J454="",$K454=""),"",ROUND(($K454-$J454)*24-$L454/60,2))</f>
        <v/>
      </c>
      <c r="N454" s="16">
        <f>IF($C454="","",IF(AND(COUNTIF(設定!$B$15:$B$21,$G454)&gt;0,$J454&lt;&gt;""),"假日出勤",IF(AND(COUNTIF(設定!$B$6:$B$14,$G454)&gt;0,$J454=""),"未打卡",IF($J454="","",IF($O454&gt;0,"遲到",IF($P454&gt;0,"早退","正常"))))))</f>
        <v/>
      </c>
      <c r="O454" s="84">
        <f>IF(OR($C454="",$H454="",$J454=""),0,IF(ROUND(($J454-$H454)*1440,0)&gt;設定!$C$46,ROUND(($J454-$H454)*1440,0),0))</f>
        <v/>
      </c>
      <c r="P454" s="84">
        <f>IF(OR($C454="",$I454="",$K454=""),0,IF(ROUND(($I454-$K454)*1440,0)&gt;設定!$C$46,ROUND(($I454-$K454)*1440,0),0))</f>
        <v/>
      </c>
      <c r="Q454" s="85">
        <f>IF($M454="",0,IF(($M454-IFERROR(INDEX(設定!$G$6:$G$21,MATCH($G454,設定!$B$6:$B$21,0)),0))*60&gt;=設定!$C$44,ROUND(FLOOR(($M454-IFERROR(INDEX(設定!$G$6:$G$21,MATCH($G454,設定!$B$6:$B$21,0)),0))*60,設定!$C$45)/60,2),0))</f>
        <v/>
      </c>
      <c r="R454" s="16">
        <f>IF(OR($C454="",$Q454=0),"",IF($G454="國","國定假日",IF($B454="日","例假",IF($B454="六","休息日","平日"))))</f>
        <v/>
      </c>
      <c r="S454" s="19" t="n"/>
    </row>
    <row r="455">
      <c r="A455" s="82">
        <f>IF(OR(助理班表!$A19="",19&gt;DAY(EOMONTH(DATE(設定!$C$2,設定!$D$2,1),0))),"",DATE(設定!$C$2,設定!$D$2,19))</f>
        <v/>
      </c>
      <c r="B455" s="16">
        <f>IF($A455="","",INDEX(設定!$O$6:$O$12,WEEKDAY($A455,1)))</f>
        <v/>
      </c>
      <c r="C455" s="16">
        <f>IF($A455="","",助理班表!$A19)</f>
        <v/>
      </c>
      <c r="D455" s="16">
        <f>IF($C455="","",助理班表!$B19)</f>
        <v/>
      </c>
      <c r="E455" s="16">
        <f>IF($C455="","",助理班表!$D19)</f>
        <v/>
      </c>
      <c r="F455" s="16">
        <f>IF($C455="","",助理班表!$C19)</f>
        <v/>
      </c>
      <c r="G455" s="16">
        <f>IF($C455="","",助理班表!W19)</f>
        <v/>
      </c>
      <c r="H455" s="83">
        <f>IF($G455="","",IFERROR(IF(INDEX(設定!$D$6:$D$21,MATCH($G455,設定!$B$6:$B$21,0))=0,"",INDEX(設定!$D$6:$D$21,MATCH($G455,設定!$B$6:$B$21,0))),""))</f>
        <v/>
      </c>
      <c r="I455" s="83">
        <f>IF($G455="","",IFERROR(IF(INDEX(設定!$E$6:$E$21,MATCH($G455,設定!$B$6:$B$21,0))=0,"",INDEX(設定!$E$6:$E$21,MATCH($G455,設定!$B$6:$B$21,0))),""))</f>
        <v/>
      </c>
      <c r="J455" s="83">
        <f>IFERROR(INDEX(打卡匯入!$C$3:$C$2002,MATCH($C455&amp;"|"&amp;DAY($A455),打卡匯入!$E$3:$E$2002,0)),"")</f>
        <v/>
      </c>
      <c r="K455" s="83">
        <f>IFERROR(INDEX(打卡匯入!$D$3:$D$2002,MATCH($C455&amp;"|"&amp;DAY($A455),打卡匯入!$E$3:$E$2002,0)),"")</f>
        <v/>
      </c>
      <c r="L455" s="84">
        <f>IF(OR($J455="",$K455=""),"",IFERROR(INDEX(設定!$F$6:$F$21,MATCH($G455,設定!$B$6:$B$21,0)),0))</f>
        <v/>
      </c>
      <c r="M455" s="85">
        <f>IF(OR($J455="",$K455=""),"",ROUND(($K455-$J455)*24-$L455/60,2))</f>
        <v/>
      </c>
      <c r="N455" s="16">
        <f>IF($C455="","",IF(AND(COUNTIF(設定!$B$15:$B$21,$G455)&gt;0,$J455&lt;&gt;""),"假日出勤",IF(AND(COUNTIF(設定!$B$6:$B$14,$G455)&gt;0,$J455=""),"未打卡",IF($J455="","",IF($O455&gt;0,"遲到",IF($P455&gt;0,"早退","正常"))))))</f>
        <v/>
      </c>
      <c r="O455" s="84">
        <f>IF(OR($C455="",$H455="",$J455=""),0,IF(ROUND(($J455-$H455)*1440,0)&gt;設定!$C$46,ROUND(($J455-$H455)*1440,0),0))</f>
        <v/>
      </c>
      <c r="P455" s="84">
        <f>IF(OR($C455="",$I455="",$K455=""),0,IF(ROUND(($I455-$K455)*1440,0)&gt;設定!$C$46,ROUND(($I455-$K455)*1440,0),0))</f>
        <v/>
      </c>
      <c r="Q455" s="85">
        <f>IF($M455="",0,IF(($M455-IFERROR(INDEX(設定!$G$6:$G$21,MATCH($G455,設定!$B$6:$B$21,0)),0))*60&gt;=設定!$C$44,ROUND(FLOOR(($M455-IFERROR(INDEX(設定!$G$6:$G$21,MATCH($G455,設定!$B$6:$B$21,0)),0))*60,設定!$C$45)/60,2),0))</f>
        <v/>
      </c>
      <c r="R455" s="16">
        <f>IF(OR($C455="",$Q455=0),"",IF($G455="國","國定假日",IF($B455="日","例假",IF($B455="六","休息日","平日"))))</f>
        <v/>
      </c>
      <c r="S455" s="19" t="n"/>
    </row>
    <row r="456">
      <c r="A456" s="82">
        <f>IF(OR(助理班表!$A19="",20&gt;DAY(EOMONTH(DATE(設定!$C$2,設定!$D$2,1),0))),"",DATE(設定!$C$2,設定!$D$2,20))</f>
        <v/>
      </c>
      <c r="B456" s="16">
        <f>IF($A456="","",INDEX(設定!$O$6:$O$12,WEEKDAY($A456,1)))</f>
        <v/>
      </c>
      <c r="C456" s="16">
        <f>IF($A456="","",助理班表!$A19)</f>
        <v/>
      </c>
      <c r="D456" s="16">
        <f>IF($C456="","",助理班表!$B19)</f>
        <v/>
      </c>
      <c r="E456" s="16">
        <f>IF($C456="","",助理班表!$D19)</f>
        <v/>
      </c>
      <c r="F456" s="16">
        <f>IF($C456="","",助理班表!$C19)</f>
        <v/>
      </c>
      <c r="G456" s="16">
        <f>IF($C456="","",助理班表!X19)</f>
        <v/>
      </c>
      <c r="H456" s="83">
        <f>IF($G456="","",IFERROR(IF(INDEX(設定!$D$6:$D$21,MATCH($G456,設定!$B$6:$B$21,0))=0,"",INDEX(設定!$D$6:$D$21,MATCH($G456,設定!$B$6:$B$21,0))),""))</f>
        <v/>
      </c>
      <c r="I456" s="83">
        <f>IF($G456="","",IFERROR(IF(INDEX(設定!$E$6:$E$21,MATCH($G456,設定!$B$6:$B$21,0))=0,"",INDEX(設定!$E$6:$E$21,MATCH($G456,設定!$B$6:$B$21,0))),""))</f>
        <v/>
      </c>
      <c r="J456" s="83">
        <f>IFERROR(INDEX(打卡匯入!$C$3:$C$2002,MATCH($C456&amp;"|"&amp;DAY($A456),打卡匯入!$E$3:$E$2002,0)),"")</f>
        <v/>
      </c>
      <c r="K456" s="83">
        <f>IFERROR(INDEX(打卡匯入!$D$3:$D$2002,MATCH($C456&amp;"|"&amp;DAY($A456),打卡匯入!$E$3:$E$2002,0)),"")</f>
        <v/>
      </c>
      <c r="L456" s="84">
        <f>IF(OR($J456="",$K456=""),"",IFERROR(INDEX(設定!$F$6:$F$21,MATCH($G456,設定!$B$6:$B$21,0)),0))</f>
        <v/>
      </c>
      <c r="M456" s="85">
        <f>IF(OR($J456="",$K456=""),"",ROUND(($K456-$J456)*24-$L456/60,2))</f>
        <v/>
      </c>
      <c r="N456" s="16">
        <f>IF($C456="","",IF(AND(COUNTIF(設定!$B$15:$B$21,$G456)&gt;0,$J456&lt;&gt;""),"假日出勤",IF(AND(COUNTIF(設定!$B$6:$B$14,$G456)&gt;0,$J456=""),"未打卡",IF($J456="","",IF($O456&gt;0,"遲到",IF($P456&gt;0,"早退","正常"))))))</f>
        <v/>
      </c>
      <c r="O456" s="84">
        <f>IF(OR($C456="",$H456="",$J456=""),0,IF(ROUND(($J456-$H456)*1440,0)&gt;設定!$C$46,ROUND(($J456-$H456)*1440,0),0))</f>
        <v/>
      </c>
      <c r="P456" s="84">
        <f>IF(OR($C456="",$I456="",$K456=""),0,IF(ROUND(($I456-$K456)*1440,0)&gt;設定!$C$46,ROUND(($I456-$K456)*1440,0),0))</f>
        <v/>
      </c>
      <c r="Q456" s="85">
        <f>IF($M456="",0,IF(($M456-IFERROR(INDEX(設定!$G$6:$G$21,MATCH($G456,設定!$B$6:$B$21,0)),0))*60&gt;=設定!$C$44,ROUND(FLOOR(($M456-IFERROR(INDEX(設定!$G$6:$G$21,MATCH($G456,設定!$B$6:$B$21,0)),0))*60,設定!$C$45)/60,2),0))</f>
        <v/>
      </c>
      <c r="R456" s="16">
        <f>IF(OR($C456="",$Q456=0),"",IF($G456="國","國定假日",IF($B456="日","例假",IF($B456="六","休息日","平日"))))</f>
        <v/>
      </c>
      <c r="S456" s="19" t="n"/>
    </row>
    <row r="457">
      <c r="A457" s="82">
        <f>IF(OR(助理班表!$A19="",21&gt;DAY(EOMONTH(DATE(設定!$C$2,設定!$D$2,1),0))),"",DATE(設定!$C$2,設定!$D$2,21))</f>
        <v/>
      </c>
      <c r="B457" s="16">
        <f>IF($A457="","",INDEX(設定!$O$6:$O$12,WEEKDAY($A457,1)))</f>
        <v/>
      </c>
      <c r="C457" s="16">
        <f>IF($A457="","",助理班表!$A19)</f>
        <v/>
      </c>
      <c r="D457" s="16">
        <f>IF($C457="","",助理班表!$B19)</f>
        <v/>
      </c>
      <c r="E457" s="16">
        <f>IF($C457="","",助理班表!$D19)</f>
        <v/>
      </c>
      <c r="F457" s="16">
        <f>IF($C457="","",助理班表!$C19)</f>
        <v/>
      </c>
      <c r="G457" s="16">
        <f>IF($C457="","",助理班表!Y19)</f>
        <v/>
      </c>
      <c r="H457" s="83">
        <f>IF($G457="","",IFERROR(IF(INDEX(設定!$D$6:$D$21,MATCH($G457,設定!$B$6:$B$21,0))=0,"",INDEX(設定!$D$6:$D$21,MATCH($G457,設定!$B$6:$B$21,0))),""))</f>
        <v/>
      </c>
      <c r="I457" s="83">
        <f>IF($G457="","",IFERROR(IF(INDEX(設定!$E$6:$E$21,MATCH($G457,設定!$B$6:$B$21,0))=0,"",INDEX(設定!$E$6:$E$21,MATCH($G457,設定!$B$6:$B$21,0))),""))</f>
        <v/>
      </c>
      <c r="J457" s="83">
        <f>IFERROR(INDEX(打卡匯入!$C$3:$C$2002,MATCH($C457&amp;"|"&amp;DAY($A457),打卡匯入!$E$3:$E$2002,0)),"")</f>
        <v/>
      </c>
      <c r="K457" s="83">
        <f>IFERROR(INDEX(打卡匯入!$D$3:$D$2002,MATCH($C457&amp;"|"&amp;DAY($A457),打卡匯入!$E$3:$E$2002,0)),"")</f>
        <v/>
      </c>
      <c r="L457" s="84">
        <f>IF(OR($J457="",$K457=""),"",IFERROR(INDEX(設定!$F$6:$F$21,MATCH($G457,設定!$B$6:$B$21,0)),0))</f>
        <v/>
      </c>
      <c r="M457" s="85">
        <f>IF(OR($J457="",$K457=""),"",ROUND(($K457-$J457)*24-$L457/60,2))</f>
        <v/>
      </c>
      <c r="N457" s="16">
        <f>IF($C457="","",IF(AND(COUNTIF(設定!$B$15:$B$21,$G457)&gt;0,$J457&lt;&gt;""),"假日出勤",IF(AND(COUNTIF(設定!$B$6:$B$14,$G457)&gt;0,$J457=""),"未打卡",IF($J457="","",IF($O457&gt;0,"遲到",IF($P457&gt;0,"早退","正常"))))))</f>
        <v/>
      </c>
      <c r="O457" s="84">
        <f>IF(OR($C457="",$H457="",$J457=""),0,IF(ROUND(($J457-$H457)*1440,0)&gt;設定!$C$46,ROUND(($J457-$H457)*1440,0),0))</f>
        <v/>
      </c>
      <c r="P457" s="84">
        <f>IF(OR($C457="",$I457="",$K457=""),0,IF(ROUND(($I457-$K457)*1440,0)&gt;設定!$C$46,ROUND(($I457-$K457)*1440,0),0))</f>
        <v/>
      </c>
      <c r="Q457" s="85">
        <f>IF($M457="",0,IF(($M457-IFERROR(INDEX(設定!$G$6:$G$21,MATCH($G457,設定!$B$6:$B$21,0)),0))*60&gt;=設定!$C$44,ROUND(FLOOR(($M457-IFERROR(INDEX(設定!$G$6:$G$21,MATCH($G457,設定!$B$6:$B$21,0)),0))*60,設定!$C$45)/60,2),0))</f>
        <v/>
      </c>
      <c r="R457" s="16">
        <f>IF(OR($C457="",$Q457=0),"",IF($G457="國","國定假日",IF($B457="日","例假",IF($B457="六","休息日","平日"))))</f>
        <v/>
      </c>
      <c r="S457" s="19" t="n"/>
    </row>
    <row r="458">
      <c r="A458" s="82">
        <f>IF(OR(助理班表!$A19="",22&gt;DAY(EOMONTH(DATE(設定!$C$2,設定!$D$2,1),0))),"",DATE(設定!$C$2,設定!$D$2,22))</f>
        <v/>
      </c>
      <c r="B458" s="16">
        <f>IF($A458="","",INDEX(設定!$O$6:$O$12,WEEKDAY($A458,1)))</f>
        <v/>
      </c>
      <c r="C458" s="16">
        <f>IF($A458="","",助理班表!$A19)</f>
        <v/>
      </c>
      <c r="D458" s="16">
        <f>IF($C458="","",助理班表!$B19)</f>
        <v/>
      </c>
      <c r="E458" s="16">
        <f>IF($C458="","",助理班表!$D19)</f>
        <v/>
      </c>
      <c r="F458" s="16">
        <f>IF($C458="","",助理班表!$C19)</f>
        <v/>
      </c>
      <c r="G458" s="16">
        <f>IF($C458="","",助理班表!Z19)</f>
        <v/>
      </c>
      <c r="H458" s="83">
        <f>IF($G458="","",IFERROR(IF(INDEX(設定!$D$6:$D$21,MATCH($G458,設定!$B$6:$B$21,0))=0,"",INDEX(設定!$D$6:$D$21,MATCH($G458,設定!$B$6:$B$21,0))),""))</f>
        <v/>
      </c>
      <c r="I458" s="83">
        <f>IF($G458="","",IFERROR(IF(INDEX(設定!$E$6:$E$21,MATCH($G458,設定!$B$6:$B$21,0))=0,"",INDEX(設定!$E$6:$E$21,MATCH($G458,設定!$B$6:$B$21,0))),""))</f>
        <v/>
      </c>
      <c r="J458" s="83">
        <f>IFERROR(INDEX(打卡匯入!$C$3:$C$2002,MATCH($C458&amp;"|"&amp;DAY($A458),打卡匯入!$E$3:$E$2002,0)),"")</f>
        <v/>
      </c>
      <c r="K458" s="83">
        <f>IFERROR(INDEX(打卡匯入!$D$3:$D$2002,MATCH($C458&amp;"|"&amp;DAY($A458),打卡匯入!$E$3:$E$2002,0)),"")</f>
        <v/>
      </c>
      <c r="L458" s="84">
        <f>IF(OR($J458="",$K458=""),"",IFERROR(INDEX(設定!$F$6:$F$21,MATCH($G458,設定!$B$6:$B$21,0)),0))</f>
        <v/>
      </c>
      <c r="M458" s="85">
        <f>IF(OR($J458="",$K458=""),"",ROUND(($K458-$J458)*24-$L458/60,2))</f>
        <v/>
      </c>
      <c r="N458" s="16">
        <f>IF($C458="","",IF(AND(COUNTIF(設定!$B$15:$B$21,$G458)&gt;0,$J458&lt;&gt;""),"假日出勤",IF(AND(COUNTIF(設定!$B$6:$B$14,$G458)&gt;0,$J458=""),"未打卡",IF($J458="","",IF($O458&gt;0,"遲到",IF($P458&gt;0,"早退","正常"))))))</f>
        <v/>
      </c>
      <c r="O458" s="84">
        <f>IF(OR($C458="",$H458="",$J458=""),0,IF(ROUND(($J458-$H458)*1440,0)&gt;設定!$C$46,ROUND(($J458-$H458)*1440,0),0))</f>
        <v/>
      </c>
      <c r="P458" s="84">
        <f>IF(OR($C458="",$I458="",$K458=""),0,IF(ROUND(($I458-$K458)*1440,0)&gt;設定!$C$46,ROUND(($I458-$K458)*1440,0),0))</f>
        <v/>
      </c>
      <c r="Q458" s="85">
        <f>IF($M458="",0,IF(($M458-IFERROR(INDEX(設定!$G$6:$G$21,MATCH($G458,設定!$B$6:$B$21,0)),0))*60&gt;=設定!$C$44,ROUND(FLOOR(($M458-IFERROR(INDEX(設定!$G$6:$G$21,MATCH($G458,設定!$B$6:$B$21,0)),0))*60,設定!$C$45)/60,2),0))</f>
        <v/>
      </c>
      <c r="R458" s="16">
        <f>IF(OR($C458="",$Q458=0),"",IF($G458="國","國定假日",IF($B458="日","例假",IF($B458="六","休息日","平日"))))</f>
        <v/>
      </c>
      <c r="S458" s="19" t="n"/>
    </row>
    <row r="459">
      <c r="A459" s="82">
        <f>IF(OR(助理班表!$A19="",23&gt;DAY(EOMONTH(DATE(設定!$C$2,設定!$D$2,1),0))),"",DATE(設定!$C$2,設定!$D$2,23))</f>
        <v/>
      </c>
      <c r="B459" s="16">
        <f>IF($A459="","",INDEX(設定!$O$6:$O$12,WEEKDAY($A459,1)))</f>
        <v/>
      </c>
      <c r="C459" s="16">
        <f>IF($A459="","",助理班表!$A19)</f>
        <v/>
      </c>
      <c r="D459" s="16">
        <f>IF($C459="","",助理班表!$B19)</f>
        <v/>
      </c>
      <c r="E459" s="16">
        <f>IF($C459="","",助理班表!$D19)</f>
        <v/>
      </c>
      <c r="F459" s="16">
        <f>IF($C459="","",助理班表!$C19)</f>
        <v/>
      </c>
      <c r="G459" s="16">
        <f>IF($C459="","",助理班表!AA19)</f>
        <v/>
      </c>
      <c r="H459" s="83">
        <f>IF($G459="","",IFERROR(IF(INDEX(設定!$D$6:$D$21,MATCH($G459,設定!$B$6:$B$21,0))=0,"",INDEX(設定!$D$6:$D$21,MATCH($G459,設定!$B$6:$B$21,0))),""))</f>
        <v/>
      </c>
      <c r="I459" s="83">
        <f>IF($G459="","",IFERROR(IF(INDEX(設定!$E$6:$E$21,MATCH($G459,設定!$B$6:$B$21,0))=0,"",INDEX(設定!$E$6:$E$21,MATCH($G459,設定!$B$6:$B$21,0))),""))</f>
        <v/>
      </c>
      <c r="J459" s="83">
        <f>IFERROR(INDEX(打卡匯入!$C$3:$C$2002,MATCH($C459&amp;"|"&amp;DAY($A459),打卡匯入!$E$3:$E$2002,0)),"")</f>
        <v/>
      </c>
      <c r="K459" s="83">
        <f>IFERROR(INDEX(打卡匯入!$D$3:$D$2002,MATCH($C459&amp;"|"&amp;DAY($A459),打卡匯入!$E$3:$E$2002,0)),"")</f>
        <v/>
      </c>
      <c r="L459" s="84">
        <f>IF(OR($J459="",$K459=""),"",IFERROR(INDEX(設定!$F$6:$F$21,MATCH($G459,設定!$B$6:$B$21,0)),0))</f>
        <v/>
      </c>
      <c r="M459" s="85">
        <f>IF(OR($J459="",$K459=""),"",ROUND(($K459-$J459)*24-$L459/60,2))</f>
        <v/>
      </c>
      <c r="N459" s="16">
        <f>IF($C459="","",IF(AND(COUNTIF(設定!$B$15:$B$21,$G459)&gt;0,$J459&lt;&gt;""),"假日出勤",IF(AND(COUNTIF(設定!$B$6:$B$14,$G459)&gt;0,$J459=""),"未打卡",IF($J459="","",IF($O459&gt;0,"遲到",IF($P459&gt;0,"早退","正常"))))))</f>
        <v/>
      </c>
      <c r="O459" s="84">
        <f>IF(OR($C459="",$H459="",$J459=""),0,IF(ROUND(($J459-$H459)*1440,0)&gt;設定!$C$46,ROUND(($J459-$H459)*1440,0),0))</f>
        <v/>
      </c>
      <c r="P459" s="84">
        <f>IF(OR($C459="",$I459="",$K459=""),0,IF(ROUND(($I459-$K459)*1440,0)&gt;設定!$C$46,ROUND(($I459-$K459)*1440,0),0))</f>
        <v/>
      </c>
      <c r="Q459" s="85">
        <f>IF($M459="",0,IF(($M459-IFERROR(INDEX(設定!$G$6:$G$21,MATCH($G459,設定!$B$6:$B$21,0)),0))*60&gt;=設定!$C$44,ROUND(FLOOR(($M459-IFERROR(INDEX(設定!$G$6:$G$21,MATCH($G459,設定!$B$6:$B$21,0)),0))*60,設定!$C$45)/60,2),0))</f>
        <v/>
      </c>
      <c r="R459" s="16">
        <f>IF(OR($C459="",$Q459=0),"",IF($G459="國","國定假日",IF($B459="日","例假",IF($B459="六","休息日","平日"))))</f>
        <v/>
      </c>
      <c r="S459" s="19" t="n"/>
    </row>
    <row r="460">
      <c r="A460" s="82">
        <f>IF(OR(助理班表!$A19="",24&gt;DAY(EOMONTH(DATE(設定!$C$2,設定!$D$2,1),0))),"",DATE(設定!$C$2,設定!$D$2,24))</f>
        <v/>
      </c>
      <c r="B460" s="16">
        <f>IF($A460="","",INDEX(設定!$O$6:$O$12,WEEKDAY($A460,1)))</f>
        <v/>
      </c>
      <c r="C460" s="16">
        <f>IF($A460="","",助理班表!$A19)</f>
        <v/>
      </c>
      <c r="D460" s="16">
        <f>IF($C460="","",助理班表!$B19)</f>
        <v/>
      </c>
      <c r="E460" s="16">
        <f>IF($C460="","",助理班表!$D19)</f>
        <v/>
      </c>
      <c r="F460" s="16">
        <f>IF($C460="","",助理班表!$C19)</f>
        <v/>
      </c>
      <c r="G460" s="16">
        <f>IF($C460="","",助理班表!AB19)</f>
        <v/>
      </c>
      <c r="H460" s="83">
        <f>IF($G460="","",IFERROR(IF(INDEX(設定!$D$6:$D$21,MATCH($G460,設定!$B$6:$B$21,0))=0,"",INDEX(設定!$D$6:$D$21,MATCH($G460,設定!$B$6:$B$21,0))),""))</f>
        <v/>
      </c>
      <c r="I460" s="83">
        <f>IF($G460="","",IFERROR(IF(INDEX(設定!$E$6:$E$21,MATCH($G460,設定!$B$6:$B$21,0))=0,"",INDEX(設定!$E$6:$E$21,MATCH($G460,設定!$B$6:$B$21,0))),""))</f>
        <v/>
      </c>
      <c r="J460" s="83">
        <f>IFERROR(INDEX(打卡匯入!$C$3:$C$2002,MATCH($C460&amp;"|"&amp;DAY($A460),打卡匯入!$E$3:$E$2002,0)),"")</f>
        <v/>
      </c>
      <c r="K460" s="83">
        <f>IFERROR(INDEX(打卡匯入!$D$3:$D$2002,MATCH($C460&amp;"|"&amp;DAY($A460),打卡匯入!$E$3:$E$2002,0)),"")</f>
        <v/>
      </c>
      <c r="L460" s="84">
        <f>IF(OR($J460="",$K460=""),"",IFERROR(INDEX(設定!$F$6:$F$21,MATCH($G460,設定!$B$6:$B$21,0)),0))</f>
        <v/>
      </c>
      <c r="M460" s="85">
        <f>IF(OR($J460="",$K460=""),"",ROUND(($K460-$J460)*24-$L460/60,2))</f>
        <v/>
      </c>
      <c r="N460" s="16">
        <f>IF($C460="","",IF(AND(COUNTIF(設定!$B$15:$B$21,$G460)&gt;0,$J460&lt;&gt;""),"假日出勤",IF(AND(COUNTIF(設定!$B$6:$B$14,$G460)&gt;0,$J460=""),"未打卡",IF($J460="","",IF($O460&gt;0,"遲到",IF($P460&gt;0,"早退","正常"))))))</f>
        <v/>
      </c>
      <c r="O460" s="84">
        <f>IF(OR($C460="",$H460="",$J460=""),0,IF(ROUND(($J460-$H460)*1440,0)&gt;設定!$C$46,ROUND(($J460-$H460)*1440,0),0))</f>
        <v/>
      </c>
      <c r="P460" s="84">
        <f>IF(OR($C460="",$I460="",$K460=""),0,IF(ROUND(($I460-$K460)*1440,0)&gt;設定!$C$46,ROUND(($I460-$K460)*1440,0),0))</f>
        <v/>
      </c>
      <c r="Q460" s="85">
        <f>IF($M460="",0,IF(($M460-IFERROR(INDEX(設定!$G$6:$G$21,MATCH($G460,設定!$B$6:$B$21,0)),0))*60&gt;=設定!$C$44,ROUND(FLOOR(($M460-IFERROR(INDEX(設定!$G$6:$G$21,MATCH($G460,設定!$B$6:$B$21,0)),0))*60,設定!$C$45)/60,2),0))</f>
        <v/>
      </c>
      <c r="R460" s="16">
        <f>IF(OR($C460="",$Q460=0),"",IF($G460="國","國定假日",IF($B460="日","例假",IF($B460="六","休息日","平日"))))</f>
        <v/>
      </c>
      <c r="S460" s="19" t="n"/>
    </row>
    <row r="461">
      <c r="A461" s="82">
        <f>IF(OR(助理班表!$A19="",25&gt;DAY(EOMONTH(DATE(設定!$C$2,設定!$D$2,1),0))),"",DATE(設定!$C$2,設定!$D$2,25))</f>
        <v/>
      </c>
      <c r="B461" s="16">
        <f>IF($A461="","",INDEX(設定!$O$6:$O$12,WEEKDAY($A461,1)))</f>
        <v/>
      </c>
      <c r="C461" s="16">
        <f>IF($A461="","",助理班表!$A19)</f>
        <v/>
      </c>
      <c r="D461" s="16">
        <f>IF($C461="","",助理班表!$B19)</f>
        <v/>
      </c>
      <c r="E461" s="16">
        <f>IF($C461="","",助理班表!$D19)</f>
        <v/>
      </c>
      <c r="F461" s="16">
        <f>IF($C461="","",助理班表!$C19)</f>
        <v/>
      </c>
      <c r="G461" s="16">
        <f>IF($C461="","",助理班表!AC19)</f>
        <v/>
      </c>
      <c r="H461" s="83">
        <f>IF($G461="","",IFERROR(IF(INDEX(設定!$D$6:$D$21,MATCH($G461,設定!$B$6:$B$21,0))=0,"",INDEX(設定!$D$6:$D$21,MATCH($G461,設定!$B$6:$B$21,0))),""))</f>
        <v/>
      </c>
      <c r="I461" s="83">
        <f>IF($G461="","",IFERROR(IF(INDEX(設定!$E$6:$E$21,MATCH($G461,設定!$B$6:$B$21,0))=0,"",INDEX(設定!$E$6:$E$21,MATCH($G461,設定!$B$6:$B$21,0))),""))</f>
        <v/>
      </c>
      <c r="J461" s="83">
        <f>IFERROR(INDEX(打卡匯入!$C$3:$C$2002,MATCH($C461&amp;"|"&amp;DAY($A461),打卡匯入!$E$3:$E$2002,0)),"")</f>
        <v/>
      </c>
      <c r="K461" s="83">
        <f>IFERROR(INDEX(打卡匯入!$D$3:$D$2002,MATCH($C461&amp;"|"&amp;DAY($A461),打卡匯入!$E$3:$E$2002,0)),"")</f>
        <v/>
      </c>
      <c r="L461" s="84">
        <f>IF(OR($J461="",$K461=""),"",IFERROR(INDEX(設定!$F$6:$F$21,MATCH($G461,設定!$B$6:$B$21,0)),0))</f>
        <v/>
      </c>
      <c r="M461" s="85">
        <f>IF(OR($J461="",$K461=""),"",ROUND(($K461-$J461)*24-$L461/60,2))</f>
        <v/>
      </c>
      <c r="N461" s="16">
        <f>IF($C461="","",IF(AND(COUNTIF(設定!$B$15:$B$21,$G461)&gt;0,$J461&lt;&gt;""),"假日出勤",IF(AND(COUNTIF(設定!$B$6:$B$14,$G461)&gt;0,$J461=""),"未打卡",IF($J461="","",IF($O461&gt;0,"遲到",IF($P461&gt;0,"早退","正常"))))))</f>
        <v/>
      </c>
      <c r="O461" s="84">
        <f>IF(OR($C461="",$H461="",$J461=""),0,IF(ROUND(($J461-$H461)*1440,0)&gt;設定!$C$46,ROUND(($J461-$H461)*1440,0),0))</f>
        <v/>
      </c>
      <c r="P461" s="84">
        <f>IF(OR($C461="",$I461="",$K461=""),0,IF(ROUND(($I461-$K461)*1440,0)&gt;設定!$C$46,ROUND(($I461-$K461)*1440,0),0))</f>
        <v/>
      </c>
      <c r="Q461" s="85">
        <f>IF($M461="",0,IF(($M461-IFERROR(INDEX(設定!$G$6:$G$21,MATCH($G461,設定!$B$6:$B$21,0)),0))*60&gt;=設定!$C$44,ROUND(FLOOR(($M461-IFERROR(INDEX(設定!$G$6:$G$21,MATCH($G461,設定!$B$6:$B$21,0)),0))*60,設定!$C$45)/60,2),0))</f>
        <v/>
      </c>
      <c r="R461" s="16">
        <f>IF(OR($C461="",$Q461=0),"",IF($G461="國","國定假日",IF($B461="日","例假",IF($B461="六","休息日","平日"))))</f>
        <v/>
      </c>
      <c r="S461" s="19" t="n"/>
    </row>
    <row r="462">
      <c r="A462" s="82">
        <f>IF(OR(助理班表!$A19="",26&gt;DAY(EOMONTH(DATE(設定!$C$2,設定!$D$2,1),0))),"",DATE(設定!$C$2,設定!$D$2,26))</f>
        <v/>
      </c>
      <c r="B462" s="16">
        <f>IF($A462="","",INDEX(設定!$O$6:$O$12,WEEKDAY($A462,1)))</f>
        <v/>
      </c>
      <c r="C462" s="16">
        <f>IF($A462="","",助理班表!$A19)</f>
        <v/>
      </c>
      <c r="D462" s="16">
        <f>IF($C462="","",助理班表!$B19)</f>
        <v/>
      </c>
      <c r="E462" s="16">
        <f>IF($C462="","",助理班表!$D19)</f>
        <v/>
      </c>
      <c r="F462" s="16">
        <f>IF($C462="","",助理班表!$C19)</f>
        <v/>
      </c>
      <c r="G462" s="16">
        <f>IF($C462="","",助理班表!AD19)</f>
        <v/>
      </c>
      <c r="H462" s="83">
        <f>IF($G462="","",IFERROR(IF(INDEX(設定!$D$6:$D$21,MATCH($G462,設定!$B$6:$B$21,0))=0,"",INDEX(設定!$D$6:$D$21,MATCH($G462,設定!$B$6:$B$21,0))),""))</f>
        <v/>
      </c>
      <c r="I462" s="83">
        <f>IF($G462="","",IFERROR(IF(INDEX(設定!$E$6:$E$21,MATCH($G462,設定!$B$6:$B$21,0))=0,"",INDEX(設定!$E$6:$E$21,MATCH($G462,設定!$B$6:$B$21,0))),""))</f>
        <v/>
      </c>
      <c r="J462" s="83">
        <f>IFERROR(INDEX(打卡匯入!$C$3:$C$2002,MATCH($C462&amp;"|"&amp;DAY($A462),打卡匯入!$E$3:$E$2002,0)),"")</f>
        <v/>
      </c>
      <c r="K462" s="83">
        <f>IFERROR(INDEX(打卡匯入!$D$3:$D$2002,MATCH($C462&amp;"|"&amp;DAY($A462),打卡匯入!$E$3:$E$2002,0)),"")</f>
        <v/>
      </c>
      <c r="L462" s="84">
        <f>IF(OR($J462="",$K462=""),"",IFERROR(INDEX(設定!$F$6:$F$21,MATCH($G462,設定!$B$6:$B$21,0)),0))</f>
        <v/>
      </c>
      <c r="M462" s="85">
        <f>IF(OR($J462="",$K462=""),"",ROUND(($K462-$J462)*24-$L462/60,2))</f>
        <v/>
      </c>
      <c r="N462" s="16">
        <f>IF($C462="","",IF(AND(COUNTIF(設定!$B$15:$B$21,$G462)&gt;0,$J462&lt;&gt;""),"假日出勤",IF(AND(COUNTIF(設定!$B$6:$B$14,$G462)&gt;0,$J462=""),"未打卡",IF($J462="","",IF($O462&gt;0,"遲到",IF($P462&gt;0,"早退","正常"))))))</f>
        <v/>
      </c>
      <c r="O462" s="84">
        <f>IF(OR($C462="",$H462="",$J462=""),0,IF(ROUND(($J462-$H462)*1440,0)&gt;設定!$C$46,ROUND(($J462-$H462)*1440,0),0))</f>
        <v/>
      </c>
      <c r="P462" s="84">
        <f>IF(OR($C462="",$I462="",$K462=""),0,IF(ROUND(($I462-$K462)*1440,0)&gt;設定!$C$46,ROUND(($I462-$K462)*1440,0),0))</f>
        <v/>
      </c>
      <c r="Q462" s="85">
        <f>IF($M462="",0,IF(($M462-IFERROR(INDEX(設定!$G$6:$G$21,MATCH($G462,設定!$B$6:$B$21,0)),0))*60&gt;=設定!$C$44,ROUND(FLOOR(($M462-IFERROR(INDEX(設定!$G$6:$G$21,MATCH($G462,設定!$B$6:$B$21,0)),0))*60,設定!$C$45)/60,2),0))</f>
        <v/>
      </c>
      <c r="R462" s="16">
        <f>IF(OR($C462="",$Q462=0),"",IF($G462="國","國定假日",IF($B462="日","例假",IF($B462="六","休息日","平日"))))</f>
        <v/>
      </c>
      <c r="S462" s="19" t="n"/>
    </row>
    <row r="463">
      <c r="A463" s="82">
        <f>IF(OR(助理班表!$A19="",27&gt;DAY(EOMONTH(DATE(設定!$C$2,設定!$D$2,1),0))),"",DATE(設定!$C$2,設定!$D$2,27))</f>
        <v/>
      </c>
      <c r="B463" s="16">
        <f>IF($A463="","",INDEX(設定!$O$6:$O$12,WEEKDAY($A463,1)))</f>
        <v/>
      </c>
      <c r="C463" s="16">
        <f>IF($A463="","",助理班表!$A19)</f>
        <v/>
      </c>
      <c r="D463" s="16">
        <f>IF($C463="","",助理班表!$B19)</f>
        <v/>
      </c>
      <c r="E463" s="16">
        <f>IF($C463="","",助理班表!$D19)</f>
        <v/>
      </c>
      <c r="F463" s="16">
        <f>IF($C463="","",助理班表!$C19)</f>
        <v/>
      </c>
      <c r="G463" s="16">
        <f>IF($C463="","",助理班表!AE19)</f>
        <v/>
      </c>
      <c r="H463" s="83">
        <f>IF($G463="","",IFERROR(IF(INDEX(設定!$D$6:$D$21,MATCH($G463,設定!$B$6:$B$21,0))=0,"",INDEX(設定!$D$6:$D$21,MATCH($G463,設定!$B$6:$B$21,0))),""))</f>
        <v/>
      </c>
      <c r="I463" s="83">
        <f>IF($G463="","",IFERROR(IF(INDEX(設定!$E$6:$E$21,MATCH($G463,設定!$B$6:$B$21,0))=0,"",INDEX(設定!$E$6:$E$21,MATCH($G463,設定!$B$6:$B$21,0))),""))</f>
        <v/>
      </c>
      <c r="J463" s="83">
        <f>IFERROR(INDEX(打卡匯入!$C$3:$C$2002,MATCH($C463&amp;"|"&amp;DAY($A463),打卡匯入!$E$3:$E$2002,0)),"")</f>
        <v/>
      </c>
      <c r="K463" s="83">
        <f>IFERROR(INDEX(打卡匯入!$D$3:$D$2002,MATCH($C463&amp;"|"&amp;DAY($A463),打卡匯入!$E$3:$E$2002,0)),"")</f>
        <v/>
      </c>
      <c r="L463" s="84">
        <f>IF(OR($J463="",$K463=""),"",IFERROR(INDEX(設定!$F$6:$F$21,MATCH($G463,設定!$B$6:$B$21,0)),0))</f>
        <v/>
      </c>
      <c r="M463" s="85">
        <f>IF(OR($J463="",$K463=""),"",ROUND(($K463-$J463)*24-$L463/60,2))</f>
        <v/>
      </c>
      <c r="N463" s="16">
        <f>IF($C463="","",IF(AND(COUNTIF(設定!$B$15:$B$21,$G463)&gt;0,$J463&lt;&gt;""),"假日出勤",IF(AND(COUNTIF(設定!$B$6:$B$14,$G463)&gt;0,$J463=""),"未打卡",IF($J463="","",IF($O463&gt;0,"遲到",IF($P463&gt;0,"早退","正常"))))))</f>
        <v/>
      </c>
      <c r="O463" s="84">
        <f>IF(OR($C463="",$H463="",$J463=""),0,IF(ROUND(($J463-$H463)*1440,0)&gt;設定!$C$46,ROUND(($J463-$H463)*1440,0),0))</f>
        <v/>
      </c>
      <c r="P463" s="84">
        <f>IF(OR($C463="",$I463="",$K463=""),0,IF(ROUND(($I463-$K463)*1440,0)&gt;設定!$C$46,ROUND(($I463-$K463)*1440,0),0))</f>
        <v/>
      </c>
      <c r="Q463" s="85">
        <f>IF($M463="",0,IF(($M463-IFERROR(INDEX(設定!$G$6:$G$21,MATCH($G463,設定!$B$6:$B$21,0)),0))*60&gt;=設定!$C$44,ROUND(FLOOR(($M463-IFERROR(INDEX(設定!$G$6:$G$21,MATCH($G463,設定!$B$6:$B$21,0)),0))*60,設定!$C$45)/60,2),0))</f>
        <v/>
      </c>
      <c r="R463" s="16">
        <f>IF(OR($C463="",$Q463=0),"",IF($G463="國","國定假日",IF($B463="日","例假",IF($B463="六","休息日","平日"))))</f>
        <v/>
      </c>
      <c r="S463" s="19" t="n"/>
    </row>
    <row r="464">
      <c r="A464" s="82">
        <f>IF(OR(助理班表!$A19="",28&gt;DAY(EOMONTH(DATE(設定!$C$2,設定!$D$2,1),0))),"",DATE(設定!$C$2,設定!$D$2,28))</f>
        <v/>
      </c>
      <c r="B464" s="16">
        <f>IF($A464="","",INDEX(設定!$O$6:$O$12,WEEKDAY($A464,1)))</f>
        <v/>
      </c>
      <c r="C464" s="16">
        <f>IF($A464="","",助理班表!$A19)</f>
        <v/>
      </c>
      <c r="D464" s="16">
        <f>IF($C464="","",助理班表!$B19)</f>
        <v/>
      </c>
      <c r="E464" s="16">
        <f>IF($C464="","",助理班表!$D19)</f>
        <v/>
      </c>
      <c r="F464" s="16">
        <f>IF($C464="","",助理班表!$C19)</f>
        <v/>
      </c>
      <c r="G464" s="16">
        <f>IF($C464="","",助理班表!AF19)</f>
        <v/>
      </c>
      <c r="H464" s="83">
        <f>IF($G464="","",IFERROR(IF(INDEX(設定!$D$6:$D$21,MATCH($G464,設定!$B$6:$B$21,0))=0,"",INDEX(設定!$D$6:$D$21,MATCH($G464,設定!$B$6:$B$21,0))),""))</f>
        <v/>
      </c>
      <c r="I464" s="83">
        <f>IF($G464="","",IFERROR(IF(INDEX(設定!$E$6:$E$21,MATCH($G464,設定!$B$6:$B$21,0))=0,"",INDEX(設定!$E$6:$E$21,MATCH($G464,設定!$B$6:$B$21,0))),""))</f>
        <v/>
      </c>
      <c r="J464" s="83">
        <f>IFERROR(INDEX(打卡匯入!$C$3:$C$2002,MATCH($C464&amp;"|"&amp;DAY($A464),打卡匯入!$E$3:$E$2002,0)),"")</f>
        <v/>
      </c>
      <c r="K464" s="83">
        <f>IFERROR(INDEX(打卡匯入!$D$3:$D$2002,MATCH($C464&amp;"|"&amp;DAY($A464),打卡匯入!$E$3:$E$2002,0)),"")</f>
        <v/>
      </c>
      <c r="L464" s="84">
        <f>IF(OR($J464="",$K464=""),"",IFERROR(INDEX(設定!$F$6:$F$21,MATCH($G464,設定!$B$6:$B$21,0)),0))</f>
        <v/>
      </c>
      <c r="M464" s="85">
        <f>IF(OR($J464="",$K464=""),"",ROUND(($K464-$J464)*24-$L464/60,2))</f>
        <v/>
      </c>
      <c r="N464" s="16">
        <f>IF($C464="","",IF(AND(COUNTIF(設定!$B$15:$B$21,$G464)&gt;0,$J464&lt;&gt;""),"假日出勤",IF(AND(COUNTIF(設定!$B$6:$B$14,$G464)&gt;0,$J464=""),"未打卡",IF($J464="","",IF($O464&gt;0,"遲到",IF($P464&gt;0,"早退","正常"))))))</f>
        <v/>
      </c>
      <c r="O464" s="84">
        <f>IF(OR($C464="",$H464="",$J464=""),0,IF(ROUND(($J464-$H464)*1440,0)&gt;設定!$C$46,ROUND(($J464-$H464)*1440,0),0))</f>
        <v/>
      </c>
      <c r="P464" s="84">
        <f>IF(OR($C464="",$I464="",$K464=""),0,IF(ROUND(($I464-$K464)*1440,0)&gt;設定!$C$46,ROUND(($I464-$K464)*1440,0),0))</f>
        <v/>
      </c>
      <c r="Q464" s="85">
        <f>IF($M464="",0,IF(($M464-IFERROR(INDEX(設定!$G$6:$G$21,MATCH($G464,設定!$B$6:$B$21,0)),0))*60&gt;=設定!$C$44,ROUND(FLOOR(($M464-IFERROR(INDEX(設定!$G$6:$G$21,MATCH($G464,設定!$B$6:$B$21,0)),0))*60,設定!$C$45)/60,2),0))</f>
        <v/>
      </c>
      <c r="R464" s="16">
        <f>IF(OR($C464="",$Q464=0),"",IF($G464="國","國定假日",IF($B464="日","例假",IF($B464="六","休息日","平日"))))</f>
        <v/>
      </c>
      <c r="S464" s="19" t="n"/>
    </row>
    <row r="465">
      <c r="A465" s="82">
        <f>IF(OR(助理班表!$A19="",29&gt;DAY(EOMONTH(DATE(設定!$C$2,設定!$D$2,1),0))),"",DATE(設定!$C$2,設定!$D$2,29))</f>
        <v/>
      </c>
      <c r="B465" s="16">
        <f>IF($A465="","",INDEX(設定!$O$6:$O$12,WEEKDAY($A465,1)))</f>
        <v/>
      </c>
      <c r="C465" s="16">
        <f>IF($A465="","",助理班表!$A19)</f>
        <v/>
      </c>
      <c r="D465" s="16">
        <f>IF($C465="","",助理班表!$B19)</f>
        <v/>
      </c>
      <c r="E465" s="16">
        <f>IF($C465="","",助理班表!$D19)</f>
        <v/>
      </c>
      <c r="F465" s="16">
        <f>IF($C465="","",助理班表!$C19)</f>
        <v/>
      </c>
      <c r="G465" s="16">
        <f>IF($C465="","",助理班表!AG19)</f>
        <v/>
      </c>
      <c r="H465" s="83">
        <f>IF($G465="","",IFERROR(IF(INDEX(設定!$D$6:$D$21,MATCH($G465,設定!$B$6:$B$21,0))=0,"",INDEX(設定!$D$6:$D$21,MATCH($G465,設定!$B$6:$B$21,0))),""))</f>
        <v/>
      </c>
      <c r="I465" s="83">
        <f>IF($G465="","",IFERROR(IF(INDEX(設定!$E$6:$E$21,MATCH($G465,設定!$B$6:$B$21,0))=0,"",INDEX(設定!$E$6:$E$21,MATCH($G465,設定!$B$6:$B$21,0))),""))</f>
        <v/>
      </c>
      <c r="J465" s="83">
        <f>IFERROR(INDEX(打卡匯入!$C$3:$C$2002,MATCH($C465&amp;"|"&amp;DAY($A465),打卡匯入!$E$3:$E$2002,0)),"")</f>
        <v/>
      </c>
      <c r="K465" s="83">
        <f>IFERROR(INDEX(打卡匯入!$D$3:$D$2002,MATCH($C465&amp;"|"&amp;DAY($A465),打卡匯入!$E$3:$E$2002,0)),"")</f>
        <v/>
      </c>
      <c r="L465" s="84">
        <f>IF(OR($J465="",$K465=""),"",IFERROR(INDEX(設定!$F$6:$F$21,MATCH($G465,設定!$B$6:$B$21,0)),0))</f>
        <v/>
      </c>
      <c r="M465" s="85">
        <f>IF(OR($J465="",$K465=""),"",ROUND(($K465-$J465)*24-$L465/60,2))</f>
        <v/>
      </c>
      <c r="N465" s="16">
        <f>IF($C465="","",IF(AND(COUNTIF(設定!$B$15:$B$21,$G465)&gt;0,$J465&lt;&gt;""),"假日出勤",IF(AND(COUNTIF(設定!$B$6:$B$14,$G465)&gt;0,$J465=""),"未打卡",IF($J465="","",IF($O465&gt;0,"遲到",IF($P465&gt;0,"早退","正常"))))))</f>
        <v/>
      </c>
      <c r="O465" s="84">
        <f>IF(OR($C465="",$H465="",$J465=""),0,IF(ROUND(($J465-$H465)*1440,0)&gt;設定!$C$46,ROUND(($J465-$H465)*1440,0),0))</f>
        <v/>
      </c>
      <c r="P465" s="84">
        <f>IF(OR($C465="",$I465="",$K465=""),0,IF(ROUND(($I465-$K465)*1440,0)&gt;設定!$C$46,ROUND(($I465-$K465)*1440,0),0))</f>
        <v/>
      </c>
      <c r="Q465" s="85">
        <f>IF($M465="",0,IF(($M465-IFERROR(INDEX(設定!$G$6:$G$21,MATCH($G465,設定!$B$6:$B$21,0)),0))*60&gt;=設定!$C$44,ROUND(FLOOR(($M465-IFERROR(INDEX(設定!$G$6:$G$21,MATCH($G465,設定!$B$6:$B$21,0)),0))*60,設定!$C$45)/60,2),0))</f>
        <v/>
      </c>
      <c r="R465" s="16">
        <f>IF(OR($C465="",$Q465=0),"",IF($G465="國","國定假日",IF($B465="日","例假",IF($B465="六","休息日","平日"))))</f>
        <v/>
      </c>
      <c r="S465" s="19" t="n"/>
    </row>
    <row r="466">
      <c r="A466" s="82">
        <f>IF(OR(助理班表!$A19="",30&gt;DAY(EOMONTH(DATE(設定!$C$2,設定!$D$2,1),0))),"",DATE(設定!$C$2,設定!$D$2,30))</f>
        <v/>
      </c>
      <c r="B466" s="16">
        <f>IF($A466="","",INDEX(設定!$O$6:$O$12,WEEKDAY($A466,1)))</f>
        <v/>
      </c>
      <c r="C466" s="16">
        <f>IF($A466="","",助理班表!$A19)</f>
        <v/>
      </c>
      <c r="D466" s="16">
        <f>IF($C466="","",助理班表!$B19)</f>
        <v/>
      </c>
      <c r="E466" s="16">
        <f>IF($C466="","",助理班表!$D19)</f>
        <v/>
      </c>
      <c r="F466" s="16">
        <f>IF($C466="","",助理班表!$C19)</f>
        <v/>
      </c>
      <c r="G466" s="16">
        <f>IF($C466="","",助理班表!AH19)</f>
        <v/>
      </c>
      <c r="H466" s="83">
        <f>IF($G466="","",IFERROR(IF(INDEX(設定!$D$6:$D$21,MATCH($G466,設定!$B$6:$B$21,0))=0,"",INDEX(設定!$D$6:$D$21,MATCH($G466,設定!$B$6:$B$21,0))),""))</f>
        <v/>
      </c>
      <c r="I466" s="83">
        <f>IF($G466="","",IFERROR(IF(INDEX(設定!$E$6:$E$21,MATCH($G466,設定!$B$6:$B$21,0))=0,"",INDEX(設定!$E$6:$E$21,MATCH($G466,設定!$B$6:$B$21,0))),""))</f>
        <v/>
      </c>
      <c r="J466" s="83">
        <f>IFERROR(INDEX(打卡匯入!$C$3:$C$2002,MATCH($C466&amp;"|"&amp;DAY($A466),打卡匯入!$E$3:$E$2002,0)),"")</f>
        <v/>
      </c>
      <c r="K466" s="83">
        <f>IFERROR(INDEX(打卡匯入!$D$3:$D$2002,MATCH($C466&amp;"|"&amp;DAY($A466),打卡匯入!$E$3:$E$2002,0)),"")</f>
        <v/>
      </c>
      <c r="L466" s="84">
        <f>IF(OR($J466="",$K466=""),"",IFERROR(INDEX(設定!$F$6:$F$21,MATCH($G466,設定!$B$6:$B$21,0)),0))</f>
        <v/>
      </c>
      <c r="M466" s="85">
        <f>IF(OR($J466="",$K466=""),"",ROUND(($K466-$J466)*24-$L466/60,2))</f>
        <v/>
      </c>
      <c r="N466" s="16">
        <f>IF($C466="","",IF(AND(COUNTIF(設定!$B$15:$B$21,$G466)&gt;0,$J466&lt;&gt;""),"假日出勤",IF(AND(COUNTIF(設定!$B$6:$B$14,$G466)&gt;0,$J466=""),"未打卡",IF($J466="","",IF($O466&gt;0,"遲到",IF($P466&gt;0,"早退","正常"))))))</f>
        <v/>
      </c>
      <c r="O466" s="84">
        <f>IF(OR($C466="",$H466="",$J466=""),0,IF(ROUND(($J466-$H466)*1440,0)&gt;設定!$C$46,ROUND(($J466-$H466)*1440,0),0))</f>
        <v/>
      </c>
      <c r="P466" s="84">
        <f>IF(OR($C466="",$I466="",$K466=""),0,IF(ROUND(($I466-$K466)*1440,0)&gt;設定!$C$46,ROUND(($I466-$K466)*1440,0),0))</f>
        <v/>
      </c>
      <c r="Q466" s="85">
        <f>IF($M466="",0,IF(($M466-IFERROR(INDEX(設定!$G$6:$G$21,MATCH($G466,設定!$B$6:$B$21,0)),0))*60&gt;=設定!$C$44,ROUND(FLOOR(($M466-IFERROR(INDEX(設定!$G$6:$G$21,MATCH($G466,設定!$B$6:$B$21,0)),0))*60,設定!$C$45)/60,2),0))</f>
        <v/>
      </c>
      <c r="R466" s="16">
        <f>IF(OR($C466="",$Q466=0),"",IF($G466="國","國定假日",IF($B466="日","例假",IF($B466="六","休息日","平日"))))</f>
        <v/>
      </c>
      <c r="S466" s="19" t="n"/>
    </row>
    <row r="467">
      <c r="A467" s="82">
        <f>IF(OR(助理班表!$A19="",31&gt;DAY(EOMONTH(DATE(設定!$C$2,設定!$D$2,1),0))),"",DATE(設定!$C$2,設定!$D$2,31))</f>
        <v/>
      </c>
      <c r="B467" s="16">
        <f>IF($A467="","",INDEX(設定!$O$6:$O$12,WEEKDAY($A467,1)))</f>
        <v/>
      </c>
      <c r="C467" s="16">
        <f>IF($A467="","",助理班表!$A19)</f>
        <v/>
      </c>
      <c r="D467" s="16">
        <f>IF($C467="","",助理班表!$B19)</f>
        <v/>
      </c>
      <c r="E467" s="16">
        <f>IF($C467="","",助理班表!$D19)</f>
        <v/>
      </c>
      <c r="F467" s="16">
        <f>IF($C467="","",助理班表!$C19)</f>
        <v/>
      </c>
      <c r="G467" s="16">
        <f>IF($C467="","",助理班表!AI19)</f>
        <v/>
      </c>
      <c r="H467" s="83">
        <f>IF($G467="","",IFERROR(IF(INDEX(設定!$D$6:$D$21,MATCH($G467,設定!$B$6:$B$21,0))=0,"",INDEX(設定!$D$6:$D$21,MATCH($G467,設定!$B$6:$B$21,0))),""))</f>
        <v/>
      </c>
      <c r="I467" s="83">
        <f>IF($G467="","",IFERROR(IF(INDEX(設定!$E$6:$E$21,MATCH($G467,設定!$B$6:$B$21,0))=0,"",INDEX(設定!$E$6:$E$21,MATCH($G467,設定!$B$6:$B$21,0))),""))</f>
        <v/>
      </c>
      <c r="J467" s="83">
        <f>IFERROR(INDEX(打卡匯入!$C$3:$C$2002,MATCH($C467&amp;"|"&amp;DAY($A467),打卡匯入!$E$3:$E$2002,0)),"")</f>
        <v/>
      </c>
      <c r="K467" s="83">
        <f>IFERROR(INDEX(打卡匯入!$D$3:$D$2002,MATCH($C467&amp;"|"&amp;DAY($A467),打卡匯入!$E$3:$E$2002,0)),"")</f>
        <v/>
      </c>
      <c r="L467" s="84">
        <f>IF(OR($J467="",$K467=""),"",IFERROR(INDEX(設定!$F$6:$F$21,MATCH($G467,設定!$B$6:$B$21,0)),0))</f>
        <v/>
      </c>
      <c r="M467" s="85">
        <f>IF(OR($J467="",$K467=""),"",ROUND(($K467-$J467)*24-$L467/60,2))</f>
        <v/>
      </c>
      <c r="N467" s="16">
        <f>IF($C467="","",IF(AND(COUNTIF(設定!$B$15:$B$21,$G467)&gt;0,$J467&lt;&gt;""),"假日出勤",IF(AND(COUNTIF(設定!$B$6:$B$14,$G467)&gt;0,$J467=""),"未打卡",IF($J467="","",IF($O467&gt;0,"遲到",IF($P467&gt;0,"早退","正常"))))))</f>
        <v/>
      </c>
      <c r="O467" s="84">
        <f>IF(OR($C467="",$H467="",$J467=""),0,IF(ROUND(($J467-$H467)*1440,0)&gt;設定!$C$46,ROUND(($J467-$H467)*1440,0),0))</f>
        <v/>
      </c>
      <c r="P467" s="84">
        <f>IF(OR($C467="",$I467="",$K467=""),0,IF(ROUND(($I467-$K467)*1440,0)&gt;設定!$C$46,ROUND(($I467-$K467)*1440,0),0))</f>
        <v/>
      </c>
      <c r="Q467" s="85">
        <f>IF($M467="",0,IF(($M467-IFERROR(INDEX(設定!$G$6:$G$21,MATCH($G467,設定!$B$6:$B$21,0)),0))*60&gt;=設定!$C$44,ROUND(FLOOR(($M467-IFERROR(INDEX(設定!$G$6:$G$21,MATCH($G467,設定!$B$6:$B$21,0)),0))*60,設定!$C$45)/60,2),0))</f>
        <v/>
      </c>
      <c r="R467" s="16">
        <f>IF(OR($C467="",$Q467=0),"",IF($G467="國","國定假日",IF($B467="日","例假",IF($B467="六","休息日","平日"))))</f>
        <v/>
      </c>
      <c r="S467" s="19" t="n"/>
    </row>
    <row r="468">
      <c r="A468" s="82">
        <f>IF(OR(助理班表!$A20="",1&gt;DAY(EOMONTH(DATE(設定!$C$2,設定!$D$2,1),0))),"",DATE(設定!$C$2,設定!$D$2,1))</f>
        <v/>
      </c>
      <c r="B468" s="16">
        <f>IF($A468="","",INDEX(設定!$O$6:$O$12,WEEKDAY($A468,1)))</f>
        <v/>
      </c>
      <c r="C468" s="16">
        <f>IF($A468="","",助理班表!$A20)</f>
        <v/>
      </c>
      <c r="D468" s="16">
        <f>IF($C468="","",助理班表!$B20)</f>
        <v/>
      </c>
      <c r="E468" s="16">
        <f>IF($C468="","",助理班表!$D20)</f>
        <v/>
      </c>
      <c r="F468" s="16">
        <f>IF($C468="","",助理班表!$C20)</f>
        <v/>
      </c>
      <c r="G468" s="16">
        <f>IF($C468="","",助理班表!E20)</f>
        <v/>
      </c>
      <c r="H468" s="83">
        <f>IF($G468="","",IFERROR(IF(INDEX(設定!$D$6:$D$21,MATCH($G468,設定!$B$6:$B$21,0))=0,"",INDEX(設定!$D$6:$D$21,MATCH($G468,設定!$B$6:$B$21,0))),""))</f>
        <v/>
      </c>
      <c r="I468" s="83">
        <f>IF($G468="","",IFERROR(IF(INDEX(設定!$E$6:$E$21,MATCH($G468,設定!$B$6:$B$21,0))=0,"",INDEX(設定!$E$6:$E$21,MATCH($G468,設定!$B$6:$B$21,0))),""))</f>
        <v/>
      </c>
      <c r="J468" s="83">
        <f>IFERROR(INDEX(打卡匯入!$C$3:$C$2002,MATCH($C468&amp;"|"&amp;DAY($A468),打卡匯入!$E$3:$E$2002,0)),"")</f>
        <v/>
      </c>
      <c r="K468" s="83">
        <f>IFERROR(INDEX(打卡匯入!$D$3:$D$2002,MATCH($C468&amp;"|"&amp;DAY($A468),打卡匯入!$E$3:$E$2002,0)),"")</f>
        <v/>
      </c>
      <c r="L468" s="84">
        <f>IF(OR($J468="",$K468=""),"",IFERROR(INDEX(設定!$F$6:$F$21,MATCH($G468,設定!$B$6:$B$21,0)),0))</f>
        <v/>
      </c>
      <c r="M468" s="85">
        <f>IF(OR($J468="",$K468=""),"",ROUND(($K468-$J468)*24-$L468/60,2))</f>
        <v/>
      </c>
      <c r="N468" s="16">
        <f>IF($C468="","",IF(AND(COUNTIF(設定!$B$15:$B$21,$G468)&gt;0,$J468&lt;&gt;""),"假日出勤",IF(AND(COUNTIF(設定!$B$6:$B$14,$G468)&gt;0,$J468=""),"未打卡",IF($J468="","",IF($O468&gt;0,"遲到",IF($P468&gt;0,"早退","正常"))))))</f>
        <v/>
      </c>
      <c r="O468" s="84">
        <f>IF(OR($C468="",$H468="",$J468=""),0,IF(ROUND(($J468-$H468)*1440,0)&gt;設定!$C$46,ROUND(($J468-$H468)*1440,0),0))</f>
        <v/>
      </c>
      <c r="P468" s="84">
        <f>IF(OR($C468="",$I468="",$K468=""),0,IF(ROUND(($I468-$K468)*1440,0)&gt;設定!$C$46,ROUND(($I468-$K468)*1440,0),0))</f>
        <v/>
      </c>
      <c r="Q468" s="85">
        <f>IF($M468="",0,IF(($M468-IFERROR(INDEX(設定!$G$6:$G$21,MATCH($G468,設定!$B$6:$B$21,0)),0))*60&gt;=設定!$C$44,ROUND(FLOOR(($M468-IFERROR(INDEX(設定!$G$6:$G$21,MATCH($G468,設定!$B$6:$B$21,0)),0))*60,設定!$C$45)/60,2),0))</f>
        <v/>
      </c>
      <c r="R468" s="16">
        <f>IF(OR($C468="",$Q468=0),"",IF($G468="國","國定假日",IF($B468="日","例假",IF($B468="六","休息日","平日"))))</f>
        <v/>
      </c>
      <c r="S468" s="19" t="n"/>
    </row>
    <row r="469">
      <c r="A469" s="82">
        <f>IF(OR(助理班表!$A20="",2&gt;DAY(EOMONTH(DATE(設定!$C$2,設定!$D$2,1),0))),"",DATE(設定!$C$2,設定!$D$2,2))</f>
        <v/>
      </c>
      <c r="B469" s="16">
        <f>IF($A469="","",INDEX(設定!$O$6:$O$12,WEEKDAY($A469,1)))</f>
        <v/>
      </c>
      <c r="C469" s="16">
        <f>IF($A469="","",助理班表!$A20)</f>
        <v/>
      </c>
      <c r="D469" s="16">
        <f>IF($C469="","",助理班表!$B20)</f>
        <v/>
      </c>
      <c r="E469" s="16">
        <f>IF($C469="","",助理班表!$D20)</f>
        <v/>
      </c>
      <c r="F469" s="16">
        <f>IF($C469="","",助理班表!$C20)</f>
        <v/>
      </c>
      <c r="G469" s="16">
        <f>IF($C469="","",助理班表!F20)</f>
        <v/>
      </c>
      <c r="H469" s="83">
        <f>IF($G469="","",IFERROR(IF(INDEX(設定!$D$6:$D$21,MATCH($G469,設定!$B$6:$B$21,0))=0,"",INDEX(設定!$D$6:$D$21,MATCH($G469,設定!$B$6:$B$21,0))),""))</f>
        <v/>
      </c>
      <c r="I469" s="83">
        <f>IF($G469="","",IFERROR(IF(INDEX(設定!$E$6:$E$21,MATCH($G469,設定!$B$6:$B$21,0))=0,"",INDEX(設定!$E$6:$E$21,MATCH($G469,設定!$B$6:$B$21,0))),""))</f>
        <v/>
      </c>
      <c r="J469" s="83">
        <f>IFERROR(INDEX(打卡匯入!$C$3:$C$2002,MATCH($C469&amp;"|"&amp;DAY($A469),打卡匯入!$E$3:$E$2002,0)),"")</f>
        <v/>
      </c>
      <c r="K469" s="83">
        <f>IFERROR(INDEX(打卡匯入!$D$3:$D$2002,MATCH($C469&amp;"|"&amp;DAY($A469),打卡匯入!$E$3:$E$2002,0)),"")</f>
        <v/>
      </c>
      <c r="L469" s="84">
        <f>IF(OR($J469="",$K469=""),"",IFERROR(INDEX(設定!$F$6:$F$21,MATCH($G469,設定!$B$6:$B$21,0)),0))</f>
        <v/>
      </c>
      <c r="M469" s="85">
        <f>IF(OR($J469="",$K469=""),"",ROUND(($K469-$J469)*24-$L469/60,2))</f>
        <v/>
      </c>
      <c r="N469" s="16">
        <f>IF($C469="","",IF(AND(COUNTIF(設定!$B$15:$B$21,$G469)&gt;0,$J469&lt;&gt;""),"假日出勤",IF(AND(COUNTIF(設定!$B$6:$B$14,$G469)&gt;0,$J469=""),"未打卡",IF($J469="","",IF($O469&gt;0,"遲到",IF($P469&gt;0,"早退","正常"))))))</f>
        <v/>
      </c>
      <c r="O469" s="84">
        <f>IF(OR($C469="",$H469="",$J469=""),0,IF(ROUND(($J469-$H469)*1440,0)&gt;設定!$C$46,ROUND(($J469-$H469)*1440,0),0))</f>
        <v/>
      </c>
      <c r="P469" s="84">
        <f>IF(OR($C469="",$I469="",$K469=""),0,IF(ROUND(($I469-$K469)*1440,0)&gt;設定!$C$46,ROUND(($I469-$K469)*1440,0),0))</f>
        <v/>
      </c>
      <c r="Q469" s="85">
        <f>IF($M469="",0,IF(($M469-IFERROR(INDEX(設定!$G$6:$G$21,MATCH($G469,設定!$B$6:$B$21,0)),0))*60&gt;=設定!$C$44,ROUND(FLOOR(($M469-IFERROR(INDEX(設定!$G$6:$G$21,MATCH($G469,設定!$B$6:$B$21,0)),0))*60,設定!$C$45)/60,2),0))</f>
        <v/>
      </c>
      <c r="R469" s="16">
        <f>IF(OR($C469="",$Q469=0),"",IF($G469="國","國定假日",IF($B469="日","例假",IF($B469="六","休息日","平日"))))</f>
        <v/>
      </c>
      <c r="S469" s="19" t="n"/>
    </row>
    <row r="470">
      <c r="A470" s="82">
        <f>IF(OR(助理班表!$A20="",3&gt;DAY(EOMONTH(DATE(設定!$C$2,設定!$D$2,1),0))),"",DATE(設定!$C$2,設定!$D$2,3))</f>
        <v/>
      </c>
      <c r="B470" s="16">
        <f>IF($A470="","",INDEX(設定!$O$6:$O$12,WEEKDAY($A470,1)))</f>
        <v/>
      </c>
      <c r="C470" s="16">
        <f>IF($A470="","",助理班表!$A20)</f>
        <v/>
      </c>
      <c r="D470" s="16">
        <f>IF($C470="","",助理班表!$B20)</f>
        <v/>
      </c>
      <c r="E470" s="16">
        <f>IF($C470="","",助理班表!$D20)</f>
        <v/>
      </c>
      <c r="F470" s="16">
        <f>IF($C470="","",助理班表!$C20)</f>
        <v/>
      </c>
      <c r="G470" s="16">
        <f>IF($C470="","",助理班表!G20)</f>
        <v/>
      </c>
      <c r="H470" s="83">
        <f>IF($G470="","",IFERROR(IF(INDEX(設定!$D$6:$D$21,MATCH($G470,設定!$B$6:$B$21,0))=0,"",INDEX(設定!$D$6:$D$21,MATCH($G470,設定!$B$6:$B$21,0))),""))</f>
        <v/>
      </c>
      <c r="I470" s="83">
        <f>IF($G470="","",IFERROR(IF(INDEX(設定!$E$6:$E$21,MATCH($G470,設定!$B$6:$B$21,0))=0,"",INDEX(設定!$E$6:$E$21,MATCH($G470,設定!$B$6:$B$21,0))),""))</f>
        <v/>
      </c>
      <c r="J470" s="83">
        <f>IFERROR(INDEX(打卡匯入!$C$3:$C$2002,MATCH($C470&amp;"|"&amp;DAY($A470),打卡匯入!$E$3:$E$2002,0)),"")</f>
        <v/>
      </c>
      <c r="K470" s="83">
        <f>IFERROR(INDEX(打卡匯入!$D$3:$D$2002,MATCH($C470&amp;"|"&amp;DAY($A470),打卡匯入!$E$3:$E$2002,0)),"")</f>
        <v/>
      </c>
      <c r="L470" s="84">
        <f>IF(OR($J470="",$K470=""),"",IFERROR(INDEX(設定!$F$6:$F$21,MATCH($G470,設定!$B$6:$B$21,0)),0))</f>
        <v/>
      </c>
      <c r="M470" s="85">
        <f>IF(OR($J470="",$K470=""),"",ROUND(($K470-$J470)*24-$L470/60,2))</f>
        <v/>
      </c>
      <c r="N470" s="16">
        <f>IF($C470="","",IF(AND(COUNTIF(設定!$B$15:$B$21,$G470)&gt;0,$J470&lt;&gt;""),"假日出勤",IF(AND(COUNTIF(設定!$B$6:$B$14,$G470)&gt;0,$J470=""),"未打卡",IF($J470="","",IF($O470&gt;0,"遲到",IF($P470&gt;0,"早退","正常"))))))</f>
        <v/>
      </c>
      <c r="O470" s="84">
        <f>IF(OR($C470="",$H470="",$J470=""),0,IF(ROUND(($J470-$H470)*1440,0)&gt;設定!$C$46,ROUND(($J470-$H470)*1440,0),0))</f>
        <v/>
      </c>
      <c r="P470" s="84">
        <f>IF(OR($C470="",$I470="",$K470=""),0,IF(ROUND(($I470-$K470)*1440,0)&gt;設定!$C$46,ROUND(($I470-$K470)*1440,0),0))</f>
        <v/>
      </c>
      <c r="Q470" s="85">
        <f>IF($M470="",0,IF(($M470-IFERROR(INDEX(設定!$G$6:$G$21,MATCH($G470,設定!$B$6:$B$21,0)),0))*60&gt;=設定!$C$44,ROUND(FLOOR(($M470-IFERROR(INDEX(設定!$G$6:$G$21,MATCH($G470,設定!$B$6:$B$21,0)),0))*60,設定!$C$45)/60,2),0))</f>
        <v/>
      </c>
      <c r="R470" s="16">
        <f>IF(OR($C470="",$Q470=0),"",IF($G470="國","國定假日",IF($B470="日","例假",IF($B470="六","休息日","平日"))))</f>
        <v/>
      </c>
      <c r="S470" s="19" t="n"/>
    </row>
    <row r="471">
      <c r="A471" s="82">
        <f>IF(OR(助理班表!$A20="",4&gt;DAY(EOMONTH(DATE(設定!$C$2,設定!$D$2,1),0))),"",DATE(設定!$C$2,設定!$D$2,4))</f>
        <v/>
      </c>
      <c r="B471" s="16">
        <f>IF($A471="","",INDEX(設定!$O$6:$O$12,WEEKDAY($A471,1)))</f>
        <v/>
      </c>
      <c r="C471" s="16">
        <f>IF($A471="","",助理班表!$A20)</f>
        <v/>
      </c>
      <c r="D471" s="16">
        <f>IF($C471="","",助理班表!$B20)</f>
        <v/>
      </c>
      <c r="E471" s="16">
        <f>IF($C471="","",助理班表!$D20)</f>
        <v/>
      </c>
      <c r="F471" s="16">
        <f>IF($C471="","",助理班表!$C20)</f>
        <v/>
      </c>
      <c r="G471" s="16">
        <f>IF($C471="","",助理班表!H20)</f>
        <v/>
      </c>
      <c r="H471" s="83">
        <f>IF($G471="","",IFERROR(IF(INDEX(設定!$D$6:$D$21,MATCH($G471,設定!$B$6:$B$21,0))=0,"",INDEX(設定!$D$6:$D$21,MATCH($G471,設定!$B$6:$B$21,0))),""))</f>
        <v/>
      </c>
      <c r="I471" s="83">
        <f>IF($G471="","",IFERROR(IF(INDEX(設定!$E$6:$E$21,MATCH($G471,設定!$B$6:$B$21,0))=0,"",INDEX(設定!$E$6:$E$21,MATCH($G471,設定!$B$6:$B$21,0))),""))</f>
        <v/>
      </c>
      <c r="J471" s="83">
        <f>IFERROR(INDEX(打卡匯入!$C$3:$C$2002,MATCH($C471&amp;"|"&amp;DAY($A471),打卡匯入!$E$3:$E$2002,0)),"")</f>
        <v/>
      </c>
      <c r="K471" s="83">
        <f>IFERROR(INDEX(打卡匯入!$D$3:$D$2002,MATCH($C471&amp;"|"&amp;DAY($A471),打卡匯入!$E$3:$E$2002,0)),"")</f>
        <v/>
      </c>
      <c r="L471" s="84">
        <f>IF(OR($J471="",$K471=""),"",IFERROR(INDEX(設定!$F$6:$F$21,MATCH($G471,設定!$B$6:$B$21,0)),0))</f>
        <v/>
      </c>
      <c r="M471" s="85">
        <f>IF(OR($J471="",$K471=""),"",ROUND(($K471-$J471)*24-$L471/60,2))</f>
        <v/>
      </c>
      <c r="N471" s="16">
        <f>IF($C471="","",IF(AND(COUNTIF(設定!$B$15:$B$21,$G471)&gt;0,$J471&lt;&gt;""),"假日出勤",IF(AND(COUNTIF(設定!$B$6:$B$14,$G471)&gt;0,$J471=""),"未打卡",IF($J471="","",IF($O471&gt;0,"遲到",IF($P471&gt;0,"早退","正常"))))))</f>
        <v/>
      </c>
      <c r="O471" s="84">
        <f>IF(OR($C471="",$H471="",$J471=""),0,IF(ROUND(($J471-$H471)*1440,0)&gt;設定!$C$46,ROUND(($J471-$H471)*1440,0),0))</f>
        <v/>
      </c>
      <c r="P471" s="84">
        <f>IF(OR($C471="",$I471="",$K471=""),0,IF(ROUND(($I471-$K471)*1440,0)&gt;設定!$C$46,ROUND(($I471-$K471)*1440,0),0))</f>
        <v/>
      </c>
      <c r="Q471" s="85">
        <f>IF($M471="",0,IF(($M471-IFERROR(INDEX(設定!$G$6:$G$21,MATCH($G471,設定!$B$6:$B$21,0)),0))*60&gt;=設定!$C$44,ROUND(FLOOR(($M471-IFERROR(INDEX(設定!$G$6:$G$21,MATCH($G471,設定!$B$6:$B$21,0)),0))*60,設定!$C$45)/60,2),0))</f>
        <v/>
      </c>
      <c r="R471" s="16">
        <f>IF(OR($C471="",$Q471=0),"",IF($G471="國","國定假日",IF($B471="日","例假",IF($B471="六","休息日","平日"))))</f>
        <v/>
      </c>
      <c r="S471" s="19" t="n"/>
    </row>
    <row r="472">
      <c r="A472" s="82">
        <f>IF(OR(助理班表!$A20="",5&gt;DAY(EOMONTH(DATE(設定!$C$2,設定!$D$2,1),0))),"",DATE(設定!$C$2,設定!$D$2,5))</f>
        <v/>
      </c>
      <c r="B472" s="16">
        <f>IF($A472="","",INDEX(設定!$O$6:$O$12,WEEKDAY($A472,1)))</f>
        <v/>
      </c>
      <c r="C472" s="16">
        <f>IF($A472="","",助理班表!$A20)</f>
        <v/>
      </c>
      <c r="D472" s="16">
        <f>IF($C472="","",助理班表!$B20)</f>
        <v/>
      </c>
      <c r="E472" s="16">
        <f>IF($C472="","",助理班表!$D20)</f>
        <v/>
      </c>
      <c r="F472" s="16">
        <f>IF($C472="","",助理班表!$C20)</f>
        <v/>
      </c>
      <c r="G472" s="16">
        <f>IF($C472="","",助理班表!I20)</f>
        <v/>
      </c>
      <c r="H472" s="83">
        <f>IF($G472="","",IFERROR(IF(INDEX(設定!$D$6:$D$21,MATCH($G472,設定!$B$6:$B$21,0))=0,"",INDEX(設定!$D$6:$D$21,MATCH($G472,設定!$B$6:$B$21,0))),""))</f>
        <v/>
      </c>
      <c r="I472" s="83">
        <f>IF($G472="","",IFERROR(IF(INDEX(設定!$E$6:$E$21,MATCH($G472,設定!$B$6:$B$21,0))=0,"",INDEX(設定!$E$6:$E$21,MATCH($G472,設定!$B$6:$B$21,0))),""))</f>
        <v/>
      </c>
      <c r="J472" s="83">
        <f>IFERROR(INDEX(打卡匯入!$C$3:$C$2002,MATCH($C472&amp;"|"&amp;DAY($A472),打卡匯入!$E$3:$E$2002,0)),"")</f>
        <v/>
      </c>
      <c r="K472" s="83">
        <f>IFERROR(INDEX(打卡匯入!$D$3:$D$2002,MATCH($C472&amp;"|"&amp;DAY($A472),打卡匯入!$E$3:$E$2002,0)),"")</f>
        <v/>
      </c>
      <c r="L472" s="84">
        <f>IF(OR($J472="",$K472=""),"",IFERROR(INDEX(設定!$F$6:$F$21,MATCH($G472,設定!$B$6:$B$21,0)),0))</f>
        <v/>
      </c>
      <c r="M472" s="85">
        <f>IF(OR($J472="",$K472=""),"",ROUND(($K472-$J472)*24-$L472/60,2))</f>
        <v/>
      </c>
      <c r="N472" s="16">
        <f>IF($C472="","",IF(AND(COUNTIF(設定!$B$15:$B$21,$G472)&gt;0,$J472&lt;&gt;""),"假日出勤",IF(AND(COUNTIF(設定!$B$6:$B$14,$G472)&gt;0,$J472=""),"未打卡",IF($J472="","",IF($O472&gt;0,"遲到",IF($P472&gt;0,"早退","正常"))))))</f>
        <v/>
      </c>
      <c r="O472" s="84">
        <f>IF(OR($C472="",$H472="",$J472=""),0,IF(ROUND(($J472-$H472)*1440,0)&gt;設定!$C$46,ROUND(($J472-$H472)*1440,0),0))</f>
        <v/>
      </c>
      <c r="P472" s="84">
        <f>IF(OR($C472="",$I472="",$K472=""),0,IF(ROUND(($I472-$K472)*1440,0)&gt;設定!$C$46,ROUND(($I472-$K472)*1440,0),0))</f>
        <v/>
      </c>
      <c r="Q472" s="85">
        <f>IF($M472="",0,IF(($M472-IFERROR(INDEX(設定!$G$6:$G$21,MATCH($G472,設定!$B$6:$B$21,0)),0))*60&gt;=設定!$C$44,ROUND(FLOOR(($M472-IFERROR(INDEX(設定!$G$6:$G$21,MATCH($G472,設定!$B$6:$B$21,0)),0))*60,設定!$C$45)/60,2),0))</f>
        <v/>
      </c>
      <c r="R472" s="16">
        <f>IF(OR($C472="",$Q472=0),"",IF($G472="國","國定假日",IF($B472="日","例假",IF($B472="六","休息日","平日"))))</f>
        <v/>
      </c>
      <c r="S472" s="19" t="n"/>
    </row>
    <row r="473">
      <c r="A473" s="82">
        <f>IF(OR(助理班表!$A20="",6&gt;DAY(EOMONTH(DATE(設定!$C$2,設定!$D$2,1),0))),"",DATE(設定!$C$2,設定!$D$2,6))</f>
        <v/>
      </c>
      <c r="B473" s="16">
        <f>IF($A473="","",INDEX(設定!$O$6:$O$12,WEEKDAY($A473,1)))</f>
        <v/>
      </c>
      <c r="C473" s="16">
        <f>IF($A473="","",助理班表!$A20)</f>
        <v/>
      </c>
      <c r="D473" s="16">
        <f>IF($C473="","",助理班表!$B20)</f>
        <v/>
      </c>
      <c r="E473" s="16">
        <f>IF($C473="","",助理班表!$D20)</f>
        <v/>
      </c>
      <c r="F473" s="16">
        <f>IF($C473="","",助理班表!$C20)</f>
        <v/>
      </c>
      <c r="G473" s="16">
        <f>IF($C473="","",助理班表!J20)</f>
        <v/>
      </c>
      <c r="H473" s="83">
        <f>IF($G473="","",IFERROR(IF(INDEX(設定!$D$6:$D$21,MATCH($G473,設定!$B$6:$B$21,0))=0,"",INDEX(設定!$D$6:$D$21,MATCH($G473,設定!$B$6:$B$21,0))),""))</f>
        <v/>
      </c>
      <c r="I473" s="83">
        <f>IF($G473="","",IFERROR(IF(INDEX(設定!$E$6:$E$21,MATCH($G473,設定!$B$6:$B$21,0))=0,"",INDEX(設定!$E$6:$E$21,MATCH($G473,設定!$B$6:$B$21,0))),""))</f>
        <v/>
      </c>
      <c r="J473" s="83">
        <f>IFERROR(INDEX(打卡匯入!$C$3:$C$2002,MATCH($C473&amp;"|"&amp;DAY($A473),打卡匯入!$E$3:$E$2002,0)),"")</f>
        <v/>
      </c>
      <c r="K473" s="83">
        <f>IFERROR(INDEX(打卡匯入!$D$3:$D$2002,MATCH($C473&amp;"|"&amp;DAY($A473),打卡匯入!$E$3:$E$2002,0)),"")</f>
        <v/>
      </c>
      <c r="L473" s="84">
        <f>IF(OR($J473="",$K473=""),"",IFERROR(INDEX(設定!$F$6:$F$21,MATCH($G473,設定!$B$6:$B$21,0)),0))</f>
        <v/>
      </c>
      <c r="M473" s="85">
        <f>IF(OR($J473="",$K473=""),"",ROUND(($K473-$J473)*24-$L473/60,2))</f>
        <v/>
      </c>
      <c r="N473" s="16">
        <f>IF($C473="","",IF(AND(COUNTIF(設定!$B$15:$B$21,$G473)&gt;0,$J473&lt;&gt;""),"假日出勤",IF(AND(COUNTIF(設定!$B$6:$B$14,$G473)&gt;0,$J473=""),"未打卡",IF($J473="","",IF($O473&gt;0,"遲到",IF($P473&gt;0,"早退","正常"))))))</f>
        <v/>
      </c>
      <c r="O473" s="84">
        <f>IF(OR($C473="",$H473="",$J473=""),0,IF(ROUND(($J473-$H473)*1440,0)&gt;設定!$C$46,ROUND(($J473-$H473)*1440,0),0))</f>
        <v/>
      </c>
      <c r="P473" s="84">
        <f>IF(OR($C473="",$I473="",$K473=""),0,IF(ROUND(($I473-$K473)*1440,0)&gt;設定!$C$46,ROUND(($I473-$K473)*1440,0),0))</f>
        <v/>
      </c>
      <c r="Q473" s="85">
        <f>IF($M473="",0,IF(($M473-IFERROR(INDEX(設定!$G$6:$G$21,MATCH($G473,設定!$B$6:$B$21,0)),0))*60&gt;=設定!$C$44,ROUND(FLOOR(($M473-IFERROR(INDEX(設定!$G$6:$G$21,MATCH($G473,設定!$B$6:$B$21,0)),0))*60,設定!$C$45)/60,2),0))</f>
        <v/>
      </c>
      <c r="R473" s="16">
        <f>IF(OR($C473="",$Q473=0),"",IF($G473="國","國定假日",IF($B473="日","例假",IF($B473="六","休息日","平日"))))</f>
        <v/>
      </c>
      <c r="S473" s="19" t="n"/>
    </row>
    <row r="474">
      <c r="A474" s="82">
        <f>IF(OR(助理班表!$A20="",7&gt;DAY(EOMONTH(DATE(設定!$C$2,設定!$D$2,1),0))),"",DATE(設定!$C$2,設定!$D$2,7))</f>
        <v/>
      </c>
      <c r="B474" s="16">
        <f>IF($A474="","",INDEX(設定!$O$6:$O$12,WEEKDAY($A474,1)))</f>
        <v/>
      </c>
      <c r="C474" s="16">
        <f>IF($A474="","",助理班表!$A20)</f>
        <v/>
      </c>
      <c r="D474" s="16">
        <f>IF($C474="","",助理班表!$B20)</f>
        <v/>
      </c>
      <c r="E474" s="16">
        <f>IF($C474="","",助理班表!$D20)</f>
        <v/>
      </c>
      <c r="F474" s="16">
        <f>IF($C474="","",助理班表!$C20)</f>
        <v/>
      </c>
      <c r="G474" s="16">
        <f>IF($C474="","",助理班表!K20)</f>
        <v/>
      </c>
      <c r="H474" s="83">
        <f>IF($G474="","",IFERROR(IF(INDEX(設定!$D$6:$D$21,MATCH($G474,設定!$B$6:$B$21,0))=0,"",INDEX(設定!$D$6:$D$21,MATCH($G474,設定!$B$6:$B$21,0))),""))</f>
        <v/>
      </c>
      <c r="I474" s="83">
        <f>IF($G474="","",IFERROR(IF(INDEX(設定!$E$6:$E$21,MATCH($G474,設定!$B$6:$B$21,0))=0,"",INDEX(設定!$E$6:$E$21,MATCH($G474,設定!$B$6:$B$21,0))),""))</f>
        <v/>
      </c>
      <c r="J474" s="83">
        <f>IFERROR(INDEX(打卡匯入!$C$3:$C$2002,MATCH($C474&amp;"|"&amp;DAY($A474),打卡匯入!$E$3:$E$2002,0)),"")</f>
        <v/>
      </c>
      <c r="K474" s="83">
        <f>IFERROR(INDEX(打卡匯入!$D$3:$D$2002,MATCH($C474&amp;"|"&amp;DAY($A474),打卡匯入!$E$3:$E$2002,0)),"")</f>
        <v/>
      </c>
      <c r="L474" s="84">
        <f>IF(OR($J474="",$K474=""),"",IFERROR(INDEX(設定!$F$6:$F$21,MATCH($G474,設定!$B$6:$B$21,0)),0))</f>
        <v/>
      </c>
      <c r="M474" s="85">
        <f>IF(OR($J474="",$K474=""),"",ROUND(($K474-$J474)*24-$L474/60,2))</f>
        <v/>
      </c>
      <c r="N474" s="16">
        <f>IF($C474="","",IF(AND(COUNTIF(設定!$B$15:$B$21,$G474)&gt;0,$J474&lt;&gt;""),"假日出勤",IF(AND(COUNTIF(設定!$B$6:$B$14,$G474)&gt;0,$J474=""),"未打卡",IF($J474="","",IF($O474&gt;0,"遲到",IF($P474&gt;0,"早退","正常"))))))</f>
        <v/>
      </c>
      <c r="O474" s="84">
        <f>IF(OR($C474="",$H474="",$J474=""),0,IF(ROUND(($J474-$H474)*1440,0)&gt;設定!$C$46,ROUND(($J474-$H474)*1440,0),0))</f>
        <v/>
      </c>
      <c r="P474" s="84">
        <f>IF(OR($C474="",$I474="",$K474=""),0,IF(ROUND(($I474-$K474)*1440,0)&gt;設定!$C$46,ROUND(($I474-$K474)*1440,0),0))</f>
        <v/>
      </c>
      <c r="Q474" s="85">
        <f>IF($M474="",0,IF(($M474-IFERROR(INDEX(設定!$G$6:$G$21,MATCH($G474,設定!$B$6:$B$21,0)),0))*60&gt;=設定!$C$44,ROUND(FLOOR(($M474-IFERROR(INDEX(設定!$G$6:$G$21,MATCH($G474,設定!$B$6:$B$21,0)),0))*60,設定!$C$45)/60,2),0))</f>
        <v/>
      </c>
      <c r="R474" s="16">
        <f>IF(OR($C474="",$Q474=0),"",IF($G474="國","國定假日",IF($B474="日","例假",IF($B474="六","休息日","平日"))))</f>
        <v/>
      </c>
      <c r="S474" s="19" t="n"/>
    </row>
    <row r="475">
      <c r="A475" s="82">
        <f>IF(OR(助理班表!$A20="",8&gt;DAY(EOMONTH(DATE(設定!$C$2,設定!$D$2,1),0))),"",DATE(設定!$C$2,設定!$D$2,8))</f>
        <v/>
      </c>
      <c r="B475" s="16">
        <f>IF($A475="","",INDEX(設定!$O$6:$O$12,WEEKDAY($A475,1)))</f>
        <v/>
      </c>
      <c r="C475" s="16">
        <f>IF($A475="","",助理班表!$A20)</f>
        <v/>
      </c>
      <c r="D475" s="16">
        <f>IF($C475="","",助理班表!$B20)</f>
        <v/>
      </c>
      <c r="E475" s="16">
        <f>IF($C475="","",助理班表!$D20)</f>
        <v/>
      </c>
      <c r="F475" s="16">
        <f>IF($C475="","",助理班表!$C20)</f>
        <v/>
      </c>
      <c r="G475" s="16">
        <f>IF($C475="","",助理班表!L20)</f>
        <v/>
      </c>
      <c r="H475" s="83">
        <f>IF($G475="","",IFERROR(IF(INDEX(設定!$D$6:$D$21,MATCH($G475,設定!$B$6:$B$21,0))=0,"",INDEX(設定!$D$6:$D$21,MATCH($G475,設定!$B$6:$B$21,0))),""))</f>
        <v/>
      </c>
      <c r="I475" s="83">
        <f>IF($G475="","",IFERROR(IF(INDEX(設定!$E$6:$E$21,MATCH($G475,設定!$B$6:$B$21,0))=0,"",INDEX(設定!$E$6:$E$21,MATCH($G475,設定!$B$6:$B$21,0))),""))</f>
        <v/>
      </c>
      <c r="J475" s="83">
        <f>IFERROR(INDEX(打卡匯入!$C$3:$C$2002,MATCH($C475&amp;"|"&amp;DAY($A475),打卡匯入!$E$3:$E$2002,0)),"")</f>
        <v/>
      </c>
      <c r="K475" s="83">
        <f>IFERROR(INDEX(打卡匯入!$D$3:$D$2002,MATCH($C475&amp;"|"&amp;DAY($A475),打卡匯入!$E$3:$E$2002,0)),"")</f>
        <v/>
      </c>
      <c r="L475" s="84">
        <f>IF(OR($J475="",$K475=""),"",IFERROR(INDEX(設定!$F$6:$F$21,MATCH($G475,設定!$B$6:$B$21,0)),0))</f>
        <v/>
      </c>
      <c r="M475" s="85">
        <f>IF(OR($J475="",$K475=""),"",ROUND(($K475-$J475)*24-$L475/60,2))</f>
        <v/>
      </c>
      <c r="N475" s="16">
        <f>IF($C475="","",IF(AND(COUNTIF(設定!$B$15:$B$21,$G475)&gt;0,$J475&lt;&gt;""),"假日出勤",IF(AND(COUNTIF(設定!$B$6:$B$14,$G475)&gt;0,$J475=""),"未打卡",IF($J475="","",IF($O475&gt;0,"遲到",IF($P475&gt;0,"早退","正常"))))))</f>
        <v/>
      </c>
      <c r="O475" s="84">
        <f>IF(OR($C475="",$H475="",$J475=""),0,IF(ROUND(($J475-$H475)*1440,0)&gt;設定!$C$46,ROUND(($J475-$H475)*1440,0),0))</f>
        <v/>
      </c>
      <c r="P475" s="84">
        <f>IF(OR($C475="",$I475="",$K475=""),0,IF(ROUND(($I475-$K475)*1440,0)&gt;設定!$C$46,ROUND(($I475-$K475)*1440,0),0))</f>
        <v/>
      </c>
      <c r="Q475" s="85">
        <f>IF($M475="",0,IF(($M475-IFERROR(INDEX(設定!$G$6:$G$21,MATCH($G475,設定!$B$6:$B$21,0)),0))*60&gt;=設定!$C$44,ROUND(FLOOR(($M475-IFERROR(INDEX(設定!$G$6:$G$21,MATCH($G475,設定!$B$6:$B$21,0)),0))*60,設定!$C$45)/60,2),0))</f>
        <v/>
      </c>
      <c r="R475" s="16">
        <f>IF(OR($C475="",$Q475=0),"",IF($G475="國","國定假日",IF($B475="日","例假",IF($B475="六","休息日","平日"))))</f>
        <v/>
      </c>
      <c r="S475" s="19" t="n"/>
    </row>
    <row r="476">
      <c r="A476" s="82">
        <f>IF(OR(助理班表!$A20="",9&gt;DAY(EOMONTH(DATE(設定!$C$2,設定!$D$2,1),0))),"",DATE(設定!$C$2,設定!$D$2,9))</f>
        <v/>
      </c>
      <c r="B476" s="16">
        <f>IF($A476="","",INDEX(設定!$O$6:$O$12,WEEKDAY($A476,1)))</f>
        <v/>
      </c>
      <c r="C476" s="16">
        <f>IF($A476="","",助理班表!$A20)</f>
        <v/>
      </c>
      <c r="D476" s="16">
        <f>IF($C476="","",助理班表!$B20)</f>
        <v/>
      </c>
      <c r="E476" s="16">
        <f>IF($C476="","",助理班表!$D20)</f>
        <v/>
      </c>
      <c r="F476" s="16">
        <f>IF($C476="","",助理班表!$C20)</f>
        <v/>
      </c>
      <c r="G476" s="16">
        <f>IF($C476="","",助理班表!M20)</f>
        <v/>
      </c>
      <c r="H476" s="83">
        <f>IF($G476="","",IFERROR(IF(INDEX(設定!$D$6:$D$21,MATCH($G476,設定!$B$6:$B$21,0))=0,"",INDEX(設定!$D$6:$D$21,MATCH($G476,設定!$B$6:$B$21,0))),""))</f>
        <v/>
      </c>
      <c r="I476" s="83">
        <f>IF($G476="","",IFERROR(IF(INDEX(設定!$E$6:$E$21,MATCH($G476,設定!$B$6:$B$21,0))=0,"",INDEX(設定!$E$6:$E$21,MATCH($G476,設定!$B$6:$B$21,0))),""))</f>
        <v/>
      </c>
      <c r="J476" s="83">
        <f>IFERROR(INDEX(打卡匯入!$C$3:$C$2002,MATCH($C476&amp;"|"&amp;DAY($A476),打卡匯入!$E$3:$E$2002,0)),"")</f>
        <v/>
      </c>
      <c r="K476" s="83">
        <f>IFERROR(INDEX(打卡匯入!$D$3:$D$2002,MATCH($C476&amp;"|"&amp;DAY($A476),打卡匯入!$E$3:$E$2002,0)),"")</f>
        <v/>
      </c>
      <c r="L476" s="84">
        <f>IF(OR($J476="",$K476=""),"",IFERROR(INDEX(設定!$F$6:$F$21,MATCH($G476,設定!$B$6:$B$21,0)),0))</f>
        <v/>
      </c>
      <c r="M476" s="85">
        <f>IF(OR($J476="",$K476=""),"",ROUND(($K476-$J476)*24-$L476/60,2))</f>
        <v/>
      </c>
      <c r="N476" s="16">
        <f>IF($C476="","",IF(AND(COUNTIF(設定!$B$15:$B$21,$G476)&gt;0,$J476&lt;&gt;""),"假日出勤",IF(AND(COUNTIF(設定!$B$6:$B$14,$G476)&gt;0,$J476=""),"未打卡",IF($J476="","",IF($O476&gt;0,"遲到",IF($P476&gt;0,"早退","正常"))))))</f>
        <v/>
      </c>
      <c r="O476" s="84">
        <f>IF(OR($C476="",$H476="",$J476=""),0,IF(ROUND(($J476-$H476)*1440,0)&gt;設定!$C$46,ROUND(($J476-$H476)*1440,0),0))</f>
        <v/>
      </c>
      <c r="P476" s="84">
        <f>IF(OR($C476="",$I476="",$K476=""),0,IF(ROUND(($I476-$K476)*1440,0)&gt;設定!$C$46,ROUND(($I476-$K476)*1440,0),0))</f>
        <v/>
      </c>
      <c r="Q476" s="85">
        <f>IF($M476="",0,IF(($M476-IFERROR(INDEX(設定!$G$6:$G$21,MATCH($G476,設定!$B$6:$B$21,0)),0))*60&gt;=設定!$C$44,ROUND(FLOOR(($M476-IFERROR(INDEX(設定!$G$6:$G$21,MATCH($G476,設定!$B$6:$B$21,0)),0))*60,設定!$C$45)/60,2),0))</f>
        <v/>
      </c>
      <c r="R476" s="16">
        <f>IF(OR($C476="",$Q476=0),"",IF($G476="國","國定假日",IF($B476="日","例假",IF($B476="六","休息日","平日"))))</f>
        <v/>
      </c>
      <c r="S476" s="19" t="n"/>
    </row>
    <row r="477">
      <c r="A477" s="82">
        <f>IF(OR(助理班表!$A20="",10&gt;DAY(EOMONTH(DATE(設定!$C$2,設定!$D$2,1),0))),"",DATE(設定!$C$2,設定!$D$2,10))</f>
        <v/>
      </c>
      <c r="B477" s="16">
        <f>IF($A477="","",INDEX(設定!$O$6:$O$12,WEEKDAY($A477,1)))</f>
        <v/>
      </c>
      <c r="C477" s="16">
        <f>IF($A477="","",助理班表!$A20)</f>
        <v/>
      </c>
      <c r="D477" s="16">
        <f>IF($C477="","",助理班表!$B20)</f>
        <v/>
      </c>
      <c r="E477" s="16">
        <f>IF($C477="","",助理班表!$D20)</f>
        <v/>
      </c>
      <c r="F477" s="16">
        <f>IF($C477="","",助理班表!$C20)</f>
        <v/>
      </c>
      <c r="G477" s="16">
        <f>IF($C477="","",助理班表!N20)</f>
        <v/>
      </c>
      <c r="H477" s="83">
        <f>IF($G477="","",IFERROR(IF(INDEX(設定!$D$6:$D$21,MATCH($G477,設定!$B$6:$B$21,0))=0,"",INDEX(設定!$D$6:$D$21,MATCH($G477,設定!$B$6:$B$21,0))),""))</f>
        <v/>
      </c>
      <c r="I477" s="83">
        <f>IF($G477="","",IFERROR(IF(INDEX(設定!$E$6:$E$21,MATCH($G477,設定!$B$6:$B$21,0))=0,"",INDEX(設定!$E$6:$E$21,MATCH($G477,設定!$B$6:$B$21,0))),""))</f>
        <v/>
      </c>
      <c r="J477" s="83">
        <f>IFERROR(INDEX(打卡匯入!$C$3:$C$2002,MATCH($C477&amp;"|"&amp;DAY($A477),打卡匯入!$E$3:$E$2002,0)),"")</f>
        <v/>
      </c>
      <c r="K477" s="83">
        <f>IFERROR(INDEX(打卡匯入!$D$3:$D$2002,MATCH($C477&amp;"|"&amp;DAY($A477),打卡匯入!$E$3:$E$2002,0)),"")</f>
        <v/>
      </c>
      <c r="L477" s="84">
        <f>IF(OR($J477="",$K477=""),"",IFERROR(INDEX(設定!$F$6:$F$21,MATCH($G477,設定!$B$6:$B$21,0)),0))</f>
        <v/>
      </c>
      <c r="M477" s="85">
        <f>IF(OR($J477="",$K477=""),"",ROUND(($K477-$J477)*24-$L477/60,2))</f>
        <v/>
      </c>
      <c r="N477" s="16">
        <f>IF($C477="","",IF(AND(COUNTIF(設定!$B$15:$B$21,$G477)&gt;0,$J477&lt;&gt;""),"假日出勤",IF(AND(COUNTIF(設定!$B$6:$B$14,$G477)&gt;0,$J477=""),"未打卡",IF($J477="","",IF($O477&gt;0,"遲到",IF($P477&gt;0,"早退","正常"))))))</f>
        <v/>
      </c>
      <c r="O477" s="84">
        <f>IF(OR($C477="",$H477="",$J477=""),0,IF(ROUND(($J477-$H477)*1440,0)&gt;設定!$C$46,ROUND(($J477-$H477)*1440,0),0))</f>
        <v/>
      </c>
      <c r="P477" s="84">
        <f>IF(OR($C477="",$I477="",$K477=""),0,IF(ROUND(($I477-$K477)*1440,0)&gt;設定!$C$46,ROUND(($I477-$K477)*1440,0),0))</f>
        <v/>
      </c>
      <c r="Q477" s="85">
        <f>IF($M477="",0,IF(($M477-IFERROR(INDEX(設定!$G$6:$G$21,MATCH($G477,設定!$B$6:$B$21,0)),0))*60&gt;=設定!$C$44,ROUND(FLOOR(($M477-IFERROR(INDEX(設定!$G$6:$G$21,MATCH($G477,設定!$B$6:$B$21,0)),0))*60,設定!$C$45)/60,2),0))</f>
        <v/>
      </c>
      <c r="R477" s="16">
        <f>IF(OR($C477="",$Q477=0),"",IF($G477="國","國定假日",IF($B477="日","例假",IF($B477="六","休息日","平日"))))</f>
        <v/>
      </c>
      <c r="S477" s="19" t="n"/>
    </row>
    <row r="478">
      <c r="A478" s="82">
        <f>IF(OR(助理班表!$A20="",11&gt;DAY(EOMONTH(DATE(設定!$C$2,設定!$D$2,1),0))),"",DATE(設定!$C$2,設定!$D$2,11))</f>
        <v/>
      </c>
      <c r="B478" s="16">
        <f>IF($A478="","",INDEX(設定!$O$6:$O$12,WEEKDAY($A478,1)))</f>
        <v/>
      </c>
      <c r="C478" s="16">
        <f>IF($A478="","",助理班表!$A20)</f>
        <v/>
      </c>
      <c r="D478" s="16">
        <f>IF($C478="","",助理班表!$B20)</f>
        <v/>
      </c>
      <c r="E478" s="16">
        <f>IF($C478="","",助理班表!$D20)</f>
        <v/>
      </c>
      <c r="F478" s="16">
        <f>IF($C478="","",助理班表!$C20)</f>
        <v/>
      </c>
      <c r="G478" s="16">
        <f>IF($C478="","",助理班表!O20)</f>
        <v/>
      </c>
      <c r="H478" s="83">
        <f>IF($G478="","",IFERROR(IF(INDEX(設定!$D$6:$D$21,MATCH($G478,設定!$B$6:$B$21,0))=0,"",INDEX(設定!$D$6:$D$21,MATCH($G478,設定!$B$6:$B$21,0))),""))</f>
        <v/>
      </c>
      <c r="I478" s="83">
        <f>IF($G478="","",IFERROR(IF(INDEX(設定!$E$6:$E$21,MATCH($G478,設定!$B$6:$B$21,0))=0,"",INDEX(設定!$E$6:$E$21,MATCH($G478,設定!$B$6:$B$21,0))),""))</f>
        <v/>
      </c>
      <c r="J478" s="83">
        <f>IFERROR(INDEX(打卡匯入!$C$3:$C$2002,MATCH($C478&amp;"|"&amp;DAY($A478),打卡匯入!$E$3:$E$2002,0)),"")</f>
        <v/>
      </c>
      <c r="K478" s="83">
        <f>IFERROR(INDEX(打卡匯入!$D$3:$D$2002,MATCH($C478&amp;"|"&amp;DAY($A478),打卡匯入!$E$3:$E$2002,0)),"")</f>
        <v/>
      </c>
      <c r="L478" s="84">
        <f>IF(OR($J478="",$K478=""),"",IFERROR(INDEX(設定!$F$6:$F$21,MATCH($G478,設定!$B$6:$B$21,0)),0))</f>
        <v/>
      </c>
      <c r="M478" s="85">
        <f>IF(OR($J478="",$K478=""),"",ROUND(($K478-$J478)*24-$L478/60,2))</f>
        <v/>
      </c>
      <c r="N478" s="16">
        <f>IF($C478="","",IF(AND(COUNTIF(設定!$B$15:$B$21,$G478)&gt;0,$J478&lt;&gt;""),"假日出勤",IF(AND(COUNTIF(設定!$B$6:$B$14,$G478)&gt;0,$J478=""),"未打卡",IF($J478="","",IF($O478&gt;0,"遲到",IF($P478&gt;0,"早退","正常"))))))</f>
        <v/>
      </c>
      <c r="O478" s="84">
        <f>IF(OR($C478="",$H478="",$J478=""),0,IF(ROUND(($J478-$H478)*1440,0)&gt;設定!$C$46,ROUND(($J478-$H478)*1440,0),0))</f>
        <v/>
      </c>
      <c r="P478" s="84">
        <f>IF(OR($C478="",$I478="",$K478=""),0,IF(ROUND(($I478-$K478)*1440,0)&gt;設定!$C$46,ROUND(($I478-$K478)*1440,0),0))</f>
        <v/>
      </c>
      <c r="Q478" s="85">
        <f>IF($M478="",0,IF(($M478-IFERROR(INDEX(設定!$G$6:$G$21,MATCH($G478,設定!$B$6:$B$21,0)),0))*60&gt;=設定!$C$44,ROUND(FLOOR(($M478-IFERROR(INDEX(設定!$G$6:$G$21,MATCH($G478,設定!$B$6:$B$21,0)),0))*60,設定!$C$45)/60,2),0))</f>
        <v/>
      </c>
      <c r="R478" s="16">
        <f>IF(OR($C478="",$Q478=0),"",IF($G478="國","國定假日",IF($B478="日","例假",IF($B478="六","休息日","平日"))))</f>
        <v/>
      </c>
      <c r="S478" s="19" t="n"/>
    </row>
    <row r="479">
      <c r="A479" s="82">
        <f>IF(OR(助理班表!$A20="",12&gt;DAY(EOMONTH(DATE(設定!$C$2,設定!$D$2,1),0))),"",DATE(設定!$C$2,設定!$D$2,12))</f>
        <v/>
      </c>
      <c r="B479" s="16">
        <f>IF($A479="","",INDEX(設定!$O$6:$O$12,WEEKDAY($A479,1)))</f>
        <v/>
      </c>
      <c r="C479" s="16">
        <f>IF($A479="","",助理班表!$A20)</f>
        <v/>
      </c>
      <c r="D479" s="16">
        <f>IF($C479="","",助理班表!$B20)</f>
        <v/>
      </c>
      <c r="E479" s="16">
        <f>IF($C479="","",助理班表!$D20)</f>
        <v/>
      </c>
      <c r="F479" s="16">
        <f>IF($C479="","",助理班表!$C20)</f>
        <v/>
      </c>
      <c r="G479" s="16">
        <f>IF($C479="","",助理班表!P20)</f>
        <v/>
      </c>
      <c r="H479" s="83">
        <f>IF($G479="","",IFERROR(IF(INDEX(設定!$D$6:$D$21,MATCH($G479,設定!$B$6:$B$21,0))=0,"",INDEX(設定!$D$6:$D$21,MATCH($G479,設定!$B$6:$B$21,0))),""))</f>
        <v/>
      </c>
      <c r="I479" s="83">
        <f>IF($G479="","",IFERROR(IF(INDEX(設定!$E$6:$E$21,MATCH($G479,設定!$B$6:$B$21,0))=0,"",INDEX(設定!$E$6:$E$21,MATCH($G479,設定!$B$6:$B$21,0))),""))</f>
        <v/>
      </c>
      <c r="J479" s="83">
        <f>IFERROR(INDEX(打卡匯入!$C$3:$C$2002,MATCH($C479&amp;"|"&amp;DAY($A479),打卡匯入!$E$3:$E$2002,0)),"")</f>
        <v/>
      </c>
      <c r="K479" s="83">
        <f>IFERROR(INDEX(打卡匯入!$D$3:$D$2002,MATCH($C479&amp;"|"&amp;DAY($A479),打卡匯入!$E$3:$E$2002,0)),"")</f>
        <v/>
      </c>
      <c r="L479" s="84">
        <f>IF(OR($J479="",$K479=""),"",IFERROR(INDEX(設定!$F$6:$F$21,MATCH($G479,設定!$B$6:$B$21,0)),0))</f>
        <v/>
      </c>
      <c r="M479" s="85">
        <f>IF(OR($J479="",$K479=""),"",ROUND(($K479-$J479)*24-$L479/60,2))</f>
        <v/>
      </c>
      <c r="N479" s="16">
        <f>IF($C479="","",IF(AND(COUNTIF(設定!$B$15:$B$21,$G479)&gt;0,$J479&lt;&gt;""),"假日出勤",IF(AND(COUNTIF(設定!$B$6:$B$14,$G479)&gt;0,$J479=""),"未打卡",IF($J479="","",IF($O479&gt;0,"遲到",IF($P479&gt;0,"早退","正常"))))))</f>
        <v/>
      </c>
      <c r="O479" s="84">
        <f>IF(OR($C479="",$H479="",$J479=""),0,IF(ROUND(($J479-$H479)*1440,0)&gt;設定!$C$46,ROUND(($J479-$H479)*1440,0),0))</f>
        <v/>
      </c>
      <c r="P479" s="84">
        <f>IF(OR($C479="",$I479="",$K479=""),0,IF(ROUND(($I479-$K479)*1440,0)&gt;設定!$C$46,ROUND(($I479-$K479)*1440,0),0))</f>
        <v/>
      </c>
      <c r="Q479" s="85">
        <f>IF($M479="",0,IF(($M479-IFERROR(INDEX(設定!$G$6:$G$21,MATCH($G479,設定!$B$6:$B$21,0)),0))*60&gt;=設定!$C$44,ROUND(FLOOR(($M479-IFERROR(INDEX(設定!$G$6:$G$21,MATCH($G479,設定!$B$6:$B$21,0)),0))*60,設定!$C$45)/60,2),0))</f>
        <v/>
      </c>
      <c r="R479" s="16">
        <f>IF(OR($C479="",$Q479=0),"",IF($G479="國","國定假日",IF($B479="日","例假",IF($B479="六","休息日","平日"))))</f>
        <v/>
      </c>
      <c r="S479" s="19" t="n"/>
    </row>
    <row r="480">
      <c r="A480" s="82">
        <f>IF(OR(助理班表!$A20="",13&gt;DAY(EOMONTH(DATE(設定!$C$2,設定!$D$2,1),0))),"",DATE(設定!$C$2,設定!$D$2,13))</f>
        <v/>
      </c>
      <c r="B480" s="16">
        <f>IF($A480="","",INDEX(設定!$O$6:$O$12,WEEKDAY($A480,1)))</f>
        <v/>
      </c>
      <c r="C480" s="16">
        <f>IF($A480="","",助理班表!$A20)</f>
        <v/>
      </c>
      <c r="D480" s="16">
        <f>IF($C480="","",助理班表!$B20)</f>
        <v/>
      </c>
      <c r="E480" s="16">
        <f>IF($C480="","",助理班表!$D20)</f>
        <v/>
      </c>
      <c r="F480" s="16">
        <f>IF($C480="","",助理班表!$C20)</f>
        <v/>
      </c>
      <c r="G480" s="16">
        <f>IF($C480="","",助理班表!Q20)</f>
        <v/>
      </c>
      <c r="H480" s="83">
        <f>IF($G480="","",IFERROR(IF(INDEX(設定!$D$6:$D$21,MATCH($G480,設定!$B$6:$B$21,0))=0,"",INDEX(設定!$D$6:$D$21,MATCH($G480,設定!$B$6:$B$21,0))),""))</f>
        <v/>
      </c>
      <c r="I480" s="83">
        <f>IF($G480="","",IFERROR(IF(INDEX(設定!$E$6:$E$21,MATCH($G480,設定!$B$6:$B$21,0))=0,"",INDEX(設定!$E$6:$E$21,MATCH($G480,設定!$B$6:$B$21,0))),""))</f>
        <v/>
      </c>
      <c r="J480" s="83">
        <f>IFERROR(INDEX(打卡匯入!$C$3:$C$2002,MATCH($C480&amp;"|"&amp;DAY($A480),打卡匯入!$E$3:$E$2002,0)),"")</f>
        <v/>
      </c>
      <c r="K480" s="83">
        <f>IFERROR(INDEX(打卡匯入!$D$3:$D$2002,MATCH($C480&amp;"|"&amp;DAY($A480),打卡匯入!$E$3:$E$2002,0)),"")</f>
        <v/>
      </c>
      <c r="L480" s="84">
        <f>IF(OR($J480="",$K480=""),"",IFERROR(INDEX(設定!$F$6:$F$21,MATCH($G480,設定!$B$6:$B$21,0)),0))</f>
        <v/>
      </c>
      <c r="M480" s="85">
        <f>IF(OR($J480="",$K480=""),"",ROUND(($K480-$J480)*24-$L480/60,2))</f>
        <v/>
      </c>
      <c r="N480" s="16">
        <f>IF($C480="","",IF(AND(COUNTIF(設定!$B$15:$B$21,$G480)&gt;0,$J480&lt;&gt;""),"假日出勤",IF(AND(COUNTIF(設定!$B$6:$B$14,$G480)&gt;0,$J480=""),"未打卡",IF($J480="","",IF($O480&gt;0,"遲到",IF($P480&gt;0,"早退","正常"))))))</f>
        <v/>
      </c>
      <c r="O480" s="84">
        <f>IF(OR($C480="",$H480="",$J480=""),0,IF(ROUND(($J480-$H480)*1440,0)&gt;設定!$C$46,ROUND(($J480-$H480)*1440,0),0))</f>
        <v/>
      </c>
      <c r="P480" s="84">
        <f>IF(OR($C480="",$I480="",$K480=""),0,IF(ROUND(($I480-$K480)*1440,0)&gt;設定!$C$46,ROUND(($I480-$K480)*1440,0),0))</f>
        <v/>
      </c>
      <c r="Q480" s="85">
        <f>IF($M480="",0,IF(($M480-IFERROR(INDEX(設定!$G$6:$G$21,MATCH($G480,設定!$B$6:$B$21,0)),0))*60&gt;=設定!$C$44,ROUND(FLOOR(($M480-IFERROR(INDEX(設定!$G$6:$G$21,MATCH($G480,設定!$B$6:$B$21,0)),0))*60,設定!$C$45)/60,2),0))</f>
        <v/>
      </c>
      <c r="R480" s="16">
        <f>IF(OR($C480="",$Q480=0),"",IF($G480="國","國定假日",IF($B480="日","例假",IF($B480="六","休息日","平日"))))</f>
        <v/>
      </c>
      <c r="S480" s="19" t="n"/>
    </row>
    <row r="481">
      <c r="A481" s="82">
        <f>IF(OR(助理班表!$A20="",14&gt;DAY(EOMONTH(DATE(設定!$C$2,設定!$D$2,1),0))),"",DATE(設定!$C$2,設定!$D$2,14))</f>
        <v/>
      </c>
      <c r="B481" s="16">
        <f>IF($A481="","",INDEX(設定!$O$6:$O$12,WEEKDAY($A481,1)))</f>
        <v/>
      </c>
      <c r="C481" s="16">
        <f>IF($A481="","",助理班表!$A20)</f>
        <v/>
      </c>
      <c r="D481" s="16">
        <f>IF($C481="","",助理班表!$B20)</f>
        <v/>
      </c>
      <c r="E481" s="16">
        <f>IF($C481="","",助理班表!$D20)</f>
        <v/>
      </c>
      <c r="F481" s="16">
        <f>IF($C481="","",助理班表!$C20)</f>
        <v/>
      </c>
      <c r="G481" s="16">
        <f>IF($C481="","",助理班表!R20)</f>
        <v/>
      </c>
      <c r="H481" s="83">
        <f>IF($G481="","",IFERROR(IF(INDEX(設定!$D$6:$D$21,MATCH($G481,設定!$B$6:$B$21,0))=0,"",INDEX(設定!$D$6:$D$21,MATCH($G481,設定!$B$6:$B$21,0))),""))</f>
        <v/>
      </c>
      <c r="I481" s="83">
        <f>IF($G481="","",IFERROR(IF(INDEX(設定!$E$6:$E$21,MATCH($G481,設定!$B$6:$B$21,0))=0,"",INDEX(設定!$E$6:$E$21,MATCH($G481,設定!$B$6:$B$21,0))),""))</f>
        <v/>
      </c>
      <c r="J481" s="83">
        <f>IFERROR(INDEX(打卡匯入!$C$3:$C$2002,MATCH($C481&amp;"|"&amp;DAY($A481),打卡匯入!$E$3:$E$2002,0)),"")</f>
        <v/>
      </c>
      <c r="K481" s="83">
        <f>IFERROR(INDEX(打卡匯入!$D$3:$D$2002,MATCH($C481&amp;"|"&amp;DAY($A481),打卡匯入!$E$3:$E$2002,0)),"")</f>
        <v/>
      </c>
      <c r="L481" s="84">
        <f>IF(OR($J481="",$K481=""),"",IFERROR(INDEX(設定!$F$6:$F$21,MATCH($G481,設定!$B$6:$B$21,0)),0))</f>
        <v/>
      </c>
      <c r="M481" s="85">
        <f>IF(OR($J481="",$K481=""),"",ROUND(($K481-$J481)*24-$L481/60,2))</f>
        <v/>
      </c>
      <c r="N481" s="16">
        <f>IF($C481="","",IF(AND(COUNTIF(設定!$B$15:$B$21,$G481)&gt;0,$J481&lt;&gt;""),"假日出勤",IF(AND(COUNTIF(設定!$B$6:$B$14,$G481)&gt;0,$J481=""),"未打卡",IF($J481="","",IF($O481&gt;0,"遲到",IF($P481&gt;0,"早退","正常"))))))</f>
        <v/>
      </c>
      <c r="O481" s="84">
        <f>IF(OR($C481="",$H481="",$J481=""),0,IF(ROUND(($J481-$H481)*1440,0)&gt;設定!$C$46,ROUND(($J481-$H481)*1440,0),0))</f>
        <v/>
      </c>
      <c r="P481" s="84">
        <f>IF(OR($C481="",$I481="",$K481=""),0,IF(ROUND(($I481-$K481)*1440,0)&gt;設定!$C$46,ROUND(($I481-$K481)*1440,0),0))</f>
        <v/>
      </c>
      <c r="Q481" s="85">
        <f>IF($M481="",0,IF(($M481-IFERROR(INDEX(設定!$G$6:$G$21,MATCH($G481,設定!$B$6:$B$21,0)),0))*60&gt;=設定!$C$44,ROUND(FLOOR(($M481-IFERROR(INDEX(設定!$G$6:$G$21,MATCH($G481,設定!$B$6:$B$21,0)),0))*60,設定!$C$45)/60,2),0))</f>
        <v/>
      </c>
      <c r="R481" s="16">
        <f>IF(OR($C481="",$Q481=0),"",IF($G481="國","國定假日",IF($B481="日","例假",IF($B481="六","休息日","平日"))))</f>
        <v/>
      </c>
      <c r="S481" s="19" t="n"/>
    </row>
    <row r="482">
      <c r="A482" s="82">
        <f>IF(OR(助理班表!$A20="",15&gt;DAY(EOMONTH(DATE(設定!$C$2,設定!$D$2,1),0))),"",DATE(設定!$C$2,設定!$D$2,15))</f>
        <v/>
      </c>
      <c r="B482" s="16">
        <f>IF($A482="","",INDEX(設定!$O$6:$O$12,WEEKDAY($A482,1)))</f>
        <v/>
      </c>
      <c r="C482" s="16">
        <f>IF($A482="","",助理班表!$A20)</f>
        <v/>
      </c>
      <c r="D482" s="16">
        <f>IF($C482="","",助理班表!$B20)</f>
        <v/>
      </c>
      <c r="E482" s="16">
        <f>IF($C482="","",助理班表!$D20)</f>
        <v/>
      </c>
      <c r="F482" s="16">
        <f>IF($C482="","",助理班表!$C20)</f>
        <v/>
      </c>
      <c r="G482" s="16">
        <f>IF($C482="","",助理班表!S20)</f>
        <v/>
      </c>
      <c r="H482" s="83">
        <f>IF($G482="","",IFERROR(IF(INDEX(設定!$D$6:$D$21,MATCH($G482,設定!$B$6:$B$21,0))=0,"",INDEX(設定!$D$6:$D$21,MATCH($G482,設定!$B$6:$B$21,0))),""))</f>
        <v/>
      </c>
      <c r="I482" s="83">
        <f>IF($G482="","",IFERROR(IF(INDEX(設定!$E$6:$E$21,MATCH($G482,設定!$B$6:$B$21,0))=0,"",INDEX(設定!$E$6:$E$21,MATCH($G482,設定!$B$6:$B$21,0))),""))</f>
        <v/>
      </c>
      <c r="J482" s="83">
        <f>IFERROR(INDEX(打卡匯入!$C$3:$C$2002,MATCH($C482&amp;"|"&amp;DAY($A482),打卡匯入!$E$3:$E$2002,0)),"")</f>
        <v/>
      </c>
      <c r="K482" s="83">
        <f>IFERROR(INDEX(打卡匯入!$D$3:$D$2002,MATCH($C482&amp;"|"&amp;DAY($A482),打卡匯入!$E$3:$E$2002,0)),"")</f>
        <v/>
      </c>
      <c r="L482" s="84">
        <f>IF(OR($J482="",$K482=""),"",IFERROR(INDEX(設定!$F$6:$F$21,MATCH($G482,設定!$B$6:$B$21,0)),0))</f>
        <v/>
      </c>
      <c r="M482" s="85">
        <f>IF(OR($J482="",$K482=""),"",ROUND(($K482-$J482)*24-$L482/60,2))</f>
        <v/>
      </c>
      <c r="N482" s="16">
        <f>IF($C482="","",IF(AND(COUNTIF(設定!$B$15:$B$21,$G482)&gt;0,$J482&lt;&gt;""),"假日出勤",IF(AND(COUNTIF(設定!$B$6:$B$14,$G482)&gt;0,$J482=""),"未打卡",IF($J482="","",IF($O482&gt;0,"遲到",IF($P482&gt;0,"早退","正常"))))))</f>
        <v/>
      </c>
      <c r="O482" s="84">
        <f>IF(OR($C482="",$H482="",$J482=""),0,IF(ROUND(($J482-$H482)*1440,0)&gt;設定!$C$46,ROUND(($J482-$H482)*1440,0),0))</f>
        <v/>
      </c>
      <c r="P482" s="84">
        <f>IF(OR($C482="",$I482="",$K482=""),0,IF(ROUND(($I482-$K482)*1440,0)&gt;設定!$C$46,ROUND(($I482-$K482)*1440,0),0))</f>
        <v/>
      </c>
      <c r="Q482" s="85">
        <f>IF($M482="",0,IF(($M482-IFERROR(INDEX(設定!$G$6:$G$21,MATCH($G482,設定!$B$6:$B$21,0)),0))*60&gt;=設定!$C$44,ROUND(FLOOR(($M482-IFERROR(INDEX(設定!$G$6:$G$21,MATCH($G482,設定!$B$6:$B$21,0)),0))*60,設定!$C$45)/60,2),0))</f>
        <v/>
      </c>
      <c r="R482" s="16">
        <f>IF(OR($C482="",$Q482=0),"",IF($G482="國","國定假日",IF($B482="日","例假",IF($B482="六","休息日","平日"))))</f>
        <v/>
      </c>
      <c r="S482" s="19" t="n"/>
    </row>
    <row r="483">
      <c r="A483" s="82">
        <f>IF(OR(助理班表!$A20="",16&gt;DAY(EOMONTH(DATE(設定!$C$2,設定!$D$2,1),0))),"",DATE(設定!$C$2,設定!$D$2,16))</f>
        <v/>
      </c>
      <c r="B483" s="16">
        <f>IF($A483="","",INDEX(設定!$O$6:$O$12,WEEKDAY($A483,1)))</f>
        <v/>
      </c>
      <c r="C483" s="16">
        <f>IF($A483="","",助理班表!$A20)</f>
        <v/>
      </c>
      <c r="D483" s="16">
        <f>IF($C483="","",助理班表!$B20)</f>
        <v/>
      </c>
      <c r="E483" s="16">
        <f>IF($C483="","",助理班表!$D20)</f>
        <v/>
      </c>
      <c r="F483" s="16">
        <f>IF($C483="","",助理班表!$C20)</f>
        <v/>
      </c>
      <c r="G483" s="16">
        <f>IF($C483="","",助理班表!T20)</f>
        <v/>
      </c>
      <c r="H483" s="83">
        <f>IF($G483="","",IFERROR(IF(INDEX(設定!$D$6:$D$21,MATCH($G483,設定!$B$6:$B$21,0))=0,"",INDEX(設定!$D$6:$D$21,MATCH($G483,設定!$B$6:$B$21,0))),""))</f>
        <v/>
      </c>
      <c r="I483" s="83">
        <f>IF($G483="","",IFERROR(IF(INDEX(設定!$E$6:$E$21,MATCH($G483,設定!$B$6:$B$21,0))=0,"",INDEX(設定!$E$6:$E$21,MATCH($G483,設定!$B$6:$B$21,0))),""))</f>
        <v/>
      </c>
      <c r="J483" s="83">
        <f>IFERROR(INDEX(打卡匯入!$C$3:$C$2002,MATCH($C483&amp;"|"&amp;DAY($A483),打卡匯入!$E$3:$E$2002,0)),"")</f>
        <v/>
      </c>
      <c r="K483" s="83">
        <f>IFERROR(INDEX(打卡匯入!$D$3:$D$2002,MATCH($C483&amp;"|"&amp;DAY($A483),打卡匯入!$E$3:$E$2002,0)),"")</f>
        <v/>
      </c>
      <c r="L483" s="84">
        <f>IF(OR($J483="",$K483=""),"",IFERROR(INDEX(設定!$F$6:$F$21,MATCH($G483,設定!$B$6:$B$21,0)),0))</f>
        <v/>
      </c>
      <c r="M483" s="85">
        <f>IF(OR($J483="",$K483=""),"",ROUND(($K483-$J483)*24-$L483/60,2))</f>
        <v/>
      </c>
      <c r="N483" s="16">
        <f>IF($C483="","",IF(AND(COUNTIF(設定!$B$15:$B$21,$G483)&gt;0,$J483&lt;&gt;""),"假日出勤",IF(AND(COUNTIF(設定!$B$6:$B$14,$G483)&gt;0,$J483=""),"未打卡",IF($J483="","",IF($O483&gt;0,"遲到",IF($P483&gt;0,"早退","正常"))))))</f>
        <v/>
      </c>
      <c r="O483" s="84">
        <f>IF(OR($C483="",$H483="",$J483=""),0,IF(ROUND(($J483-$H483)*1440,0)&gt;設定!$C$46,ROUND(($J483-$H483)*1440,0),0))</f>
        <v/>
      </c>
      <c r="P483" s="84">
        <f>IF(OR($C483="",$I483="",$K483=""),0,IF(ROUND(($I483-$K483)*1440,0)&gt;設定!$C$46,ROUND(($I483-$K483)*1440,0),0))</f>
        <v/>
      </c>
      <c r="Q483" s="85">
        <f>IF($M483="",0,IF(($M483-IFERROR(INDEX(設定!$G$6:$G$21,MATCH($G483,設定!$B$6:$B$21,0)),0))*60&gt;=設定!$C$44,ROUND(FLOOR(($M483-IFERROR(INDEX(設定!$G$6:$G$21,MATCH($G483,設定!$B$6:$B$21,0)),0))*60,設定!$C$45)/60,2),0))</f>
        <v/>
      </c>
      <c r="R483" s="16">
        <f>IF(OR($C483="",$Q483=0),"",IF($G483="國","國定假日",IF($B483="日","例假",IF($B483="六","休息日","平日"))))</f>
        <v/>
      </c>
      <c r="S483" s="19" t="n"/>
    </row>
    <row r="484">
      <c r="A484" s="82">
        <f>IF(OR(助理班表!$A20="",17&gt;DAY(EOMONTH(DATE(設定!$C$2,設定!$D$2,1),0))),"",DATE(設定!$C$2,設定!$D$2,17))</f>
        <v/>
      </c>
      <c r="B484" s="16">
        <f>IF($A484="","",INDEX(設定!$O$6:$O$12,WEEKDAY($A484,1)))</f>
        <v/>
      </c>
      <c r="C484" s="16">
        <f>IF($A484="","",助理班表!$A20)</f>
        <v/>
      </c>
      <c r="D484" s="16">
        <f>IF($C484="","",助理班表!$B20)</f>
        <v/>
      </c>
      <c r="E484" s="16">
        <f>IF($C484="","",助理班表!$D20)</f>
        <v/>
      </c>
      <c r="F484" s="16">
        <f>IF($C484="","",助理班表!$C20)</f>
        <v/>
      </c>
      <c r="G484" s="16">
        <f>IF($C484="","",助理班表!U20)</f>
        <v/>
      </c>
      <c r="H484" s="83">
        <f>IF($G484="","",IFERROR(IF(INDEX(設定!$D$6:$D$21,MATCH($G484,設定!$B$6:$B$21,0))=0,"",INDEX(設定!$D$6:$D$21,MATCH($G484,設定!$B$6:$B$21,0))),""))</f>
        <v/>
      </c>
      <c r="I484" s="83">
        <f>IF($G484="","",IFERROR(IF(INDEX(設定!$E$6:$E$21,MATCH($G484,設定!$B$6:$B$21,0))=0,"",INDEX(設定!$E$6:$E$21,MATCH($G484,設定!$B$6:$B$21,0))),""))</f>
        <v/>
      </c>
      <c r="J484" s="83">
        <f>IFERROR(INDEX(打卡匯入!$C$3:$C$2002,MATCH($C484&amp;"|"&amp;DAY($A484),打卡匯入!$E$3:$E$2002,0)),"")</f>
        <v/>
      </c>
      <c r="K484" s="83">
        <f>IFERROR(INDEX(打卡匯入!$D$3:$D$2002,MATCH($C484&amp;"|"&amp;DAY($A484),打卡匯入!$E$3:$E$2002,0)),"")</f>
        <v/>
      </c>
      <c r="L484" s="84">
        <f>IF(OR($J484="",$K484=""),"",IFERROR(INDEX(設定!$F$6:$F$21,MATCH($G484,設定!$B$6:$B$21,0)),0))</f>
        <v/>
      </c>
      <c r="M484" s="85">
        <f>IF(OR($J484="",$K484=""),"",ROUND(($K484-$J484)*24-$L484/60,2))</f>
        <v/>
      </c>
      <c r="N484" s="16">
        <f>IF($C484="","",IF(AND(COUNTIF(設定!$B$15:$B$21,$G484)&gt;0,$J484&lt;&gt;""),"假日出勤",IF(AND(COUNTIF(設定!$B$6:$B$14,$G484)&gt;0,$J484=""),"未打卡",IF($J484="","",IF($O484&gt;0,"遲到",IF($P484&gt;0,"早退","正常"))))))</f>
        <v/>
      </c>
      <c r="O484" s="84">
        <f>IF(OR($C484="",$H484="",$J484=""),0,IF(ROUND(($J484-$H484)*1440,0)&gt;設定!$C$46,ROUND(($J484-$H484)*1440,0),0))</f>
        <v/>
      </c>
      <c r="P484" s="84">
        <f>IF(OR($C484="",$I484="",$K484=""),0,IF(ROUND(($I484-$K484)*1440,0)&gt;設定!$C$46,ROUND(($I484-$K484)*1440,0),0))</f>
        <v/>
      </c>
      <c r="Q484" s="85">
        <f>IF($M484="",0,IF(($M484-IFERROR(INDEX(設定!$G$6:$G$21,MATCH($G484,設定!$B$6:$B$21,0)),0))*60&gt;=設定!$C$44,ROUND(FLOOR(($M484-IFERROR(INDEX(設定!$G$6:$G$21,MATCH($G484,設定!$B$6:$B$21,0)),0))*60,設定!$C$45)/60,2),0))</f>
        <v/>
      </c>
      <c r="R484" s="16">
        <f>IF(OR($C484="",$Q484=0),"",IF($G484="國","國定假日",IF($B484="日","例假",IF($B484="六","休息日","平日"))))</f>
        <v/>
      </c>
      <c r="S484" s="19" t="n"/>
    </row>
    <row r="485">
      <c r="A485" s="82">
        <f>IF(OR(助理班表!$A20="",18&gt;DAY(EOMONTH(DATE(設定!$C$2,設定!$D$2,1),0))),"",DATE(設定!$C$2,設定!$D$2,18))</f>
        <v/>
      </c>
      <c r="B485" s="16">
        <f>IF($A485="","",INDEX(設定!$O$6:$O$12,WEEKDAY($A485,1)))</f>
        <v/>
      </c>
      <c r="C485" s="16">
        <f>IF($A485="","",助理班表!$A20)</f>
        <v/>
      </c>
      <c r="D485" s="16">
        <f>IF($C485="","",助理班表!$B20)</f>
        <v/>
      </c>
      <c r="E485" s="16">
        <f>IF($C485="","",助理班表!$D20)</f>
        <v/>
      </c>
      <c r="F485" s="16">
        <f>IF($C485="","",助理班表!$C20)</f>
        <v/>
      </c>
      <c r="G485" s="16">
        <f>IF($C485="","",助理班表!V20)</f>
        <v/>
      </c>
      <c r="H485" s="83">
        <f>IF($G485="","",IFERROR(IF(INDEX(設定!$D$6:$D$21,MATCH($G485,設定!$B$6:$B$21,0))=0,"",INDEX(設定!$D$6:$D$21,MATCH($G485,設定!$B$6:$B$21,0))),""))</f>
        <v/>
      </c>
      <c r="I485" s="83">
        <f>IF($G485="","",IFERROR(IF(INDEX(設定!$E$6:$E$21,MATCH($G485,設定!$B$6:$B$21,0))=0,"",INDEX(設定!$E$6:$E$21,MATCH($G485,設定!$B$6:$B$21,0))),""))</f>
        <v/>
      </c>
      <c r="J485" s="83">
        <f>IFERROR(INDEX(打卡匯入!$C$3:$C$2002,MATCH($C485&amp;"|"&amp;DAY($A485),打卡匯入!$E$3:$E$2002,0)),"")</f>
        <v/>
      </c>
      <c r="K485" s="83">
        <f>IFERROR(INDEX(打卡匯入!$D$3:$D$2002,MATCH($C485&amp;"|"&amp;DAY($A485),打卡匯入!$E$3:$E$2002,0)),"")</f>
        <v/>
      </c>
      <c r="L485" s="84">
        <f>IF(OR($J485="",$K485=""),"",IFERROR(INDEX(設定!$F$6:$F$21,MATCH($G485,設定!$B$6:$B$21,0)),0))</f>
        <v/>
      </c>
      <c r="M485" s="85">
        <f>IF(OR($J485="",$K485=""),"",ROUND(($K485-$J485)*24-$L485/60,2))</f>
        <v/>
      </c>
      <c r="N485" s="16">
        <f>IF($C485="","",IF(AND(COUNTIF(設定!$B$15:$B$21,$G485)&gt;0,$J485&lt;&gt;""),"假日出勤",IF(AND(COUNTIF(設定!$B$6:$B$14,$G485)&gt;0,$J485=""),"未打卡",IF($J485="","",IF($O485&gt;0,"遲到",IF($P485&gt;0,"早退","正常"))))))</f>
        <v/>
      </c>
      <c r="O485" s="84">
        <f>IF(OR($C485="",$H485="",$J485=""),0,IF(ROUND(($J485-$H485)*1440,0)&gt;設定!$C$46,ROUND(($J485-$H485)*1440,0),0))</f>
        <v/>
      </c>
      <c r="P485" s="84">
        <f>IF(OR($C485="",$I485="",$K485=""),0,IF(ROUND(($I485-$K485)*1440,0)&gt;設定!$C$46,ROUND(($I485-$K485)*1440,0),0))</f>
        <v/>
      </c>
      <c r="Q485" s="85">
        <f>IF($M485="",0,IF(($M485-IFERROR(INDEX(設定!$G$6:$G$21,MATCH($G485,設定!$B$6:$B$21,0)),0))*60&gt;=設定!$C$44,ROUND(FLOOR(($M485-IFERROR(INDEX(設定!$G$6:$G$21,MATCH($G485,設定!$B$6:$B$21,0)),0))*60,設定!$C$45)/60,2),0))</f>
        <v/>
      </c>
      <c r="R485" s="16">
        <f>IF(OR($C485="",$Q485=0),"",IF($G485="國","國定假日",IF($B485="日","例假",IF($B485="六","休息日","平日"))))</f>
        <v/>
      </c>
      <c r="S485" s="19" t="n"/>
    </row>
    <row r="486">
      <c r="A486" s="82">
        <f>IF(OR(助理班表!$A20="",19&gt;DAY(EOMONTH(DATE(設定!$C$2,設定!$D$2,1),0))),"",DATE(設定!$C$2,設定!$D$2,19))</f>
        <v/>
      </c>
      <c r="B486" s="16">
        <f>IF($A486="","",INDEX(設定!$O$6:$O$12,WEEKDAY($A486,1)))</f>
        <v/>
      </c>
      <c r="C486" s="16">
        <f>IF($A486="","",助理班表!$A20)</f>
        <v/>
      </c>
      <c r="D486" s="16">
        <f>IF($C486="","",助理班表!$B20)</f>
        <v/>
      </c>
      <c r="E486" s="16">
        <f>IF($C486="","",助理班表!$D20)</f>
        <v/>
      </c>
      <c r="F486" s="16">
        <f>IF($C486="","",助理班表!$C20)</f>
        <v/>
      </c>
      <c r="G486" s="16">
        <f>IF($C486="","",助理班表!W20)</f>
        <v/>
      </c>
      <c r="H486" s="83">
        <f>IF($G486="","",IFERROR(IF(INDEX(設定!$D$6:$D$21,MATCH($G486,設定!$B$6:$B$21,0))=0,"",INDEX(設定!$D$6:$D$21,MATCH($G486,設定!$B$6:$B$21,0))),""))</f>
        <v/>
      </c>
      <c r="I486" s="83">
        <f>IF($G486="","",IFERROR(IF(INDEX(設定!$E$6:$E$21,MATCH($G486,設定!$B$6:$B$21,0))=0,"",INDEX(設定!$E$6:$E$21,MATCH($G486,設定!$B$6:$B$21,0))),""))</f>
        <v/>
      </c>
      <c r="J486" s="83">
        <f>IFERROR(INDEX(打卡匯入!$C$3:$C$2002,MATCH($C486&amp;"|"&amp;DAY($A486),打卡匯入!$E$3:$E$2002,0)),"")</f>
        <v/>
      </c>
      <c r="K486" s="83">
        <f>IFERROR(INDEX(打卡匯入!$D$3:$D$2002,MATCH($C486&amp;"|"&amp;DAY($A486),打卡匯入!$E$3:$E$2002,0)),"")</f>
        <v/>
      </c>
      <c r="L486" s="84">
        <f>IF(OR($J486="",$K486=""),"",IFERROR(INDEX(設定!$F$6:$F$21,MATCH($G486,設定!$B$6:$B$21,0)),0))</f>
        <v/>
      </c>
      <c r="M486" s="85">
        <f>IF(OR($J486="",$K486=""),"",ROUND(($K486-$J486)*24-$L486/60,2))</f>
        <v/>
      </c>
      <c r="N486" s="16">
        <f>IF($C486="","",IF(AND(COUNTIF(設定!$B$15:$B$21,$G486)&gt;0,$J486&lt;&gt;""),"假日出勤",IF(AND(COUNTIF(設定!$B$6:$B$14,$G486)&gt;0,$J486=""),"未打卡",IF($J486="","",IF($O486&gt;0,"遲到",IF($P486&gt;0,"早退","正常"))))))</f>
        <v/>
      </c>
      <c r="O486" s="84">
        <f>IF(OR($C486="",$H486="",$J486=""),0,IF(ROUND(($J486-$H486)*1440,0)&gt;設定!$C$46,ROUND(($J486-$H486)*1440,0),0))</f>
        <v/>
      </c>
      <c r="P486" s="84">
        <f>IF(OR($C486="",$I486="",$K486=""),0,IF(ROUND(($I486-$K486)*1440,0)&gt;設定!$C$46,ROUND(($I486-$K486)*1440,0),0))</f>
        <v/>
      </c>
      <c r="Q486" s="85">
        <f>IF($M486="",0,IF(($M486-IFERROR(INDEX(設定!$G$6:$G$21,MATCH($G486,設定!$B$6:$B$21,0)),0))*60&gt;=設定!$C$44,ROUND(FLOOR(($M486-IFERROR(INDEX(設定!$G$6:$G$21,MATCH($G486,設定!$B$6:$B$21,0)),0))*60,設定!$C$45)/60,2),0))</f>
        <v/>
      </c>
      <c r="R486" s="16">
        <f>IF(OR($C486="",$Q486=0),"",IF($G486="國","國定假日",IF($B486="日","例假",IF($B486="六","休息日","平日"))))</f>
        <v/>
      </c>
      <c r="S486" s="19" t="n"/>
    </row>
    <row r="487">
      <c r="A487" s="82">
        <f>IF(OR(助理班表!$A20="",20&gt;DAY(EOMONTH(DATE(設定!$C$2,設定!$D$2,1),0))),"",DATE(設定!$C$2,設定!$D$2,20))</f>
        <v/>
      </c>
      <c r="B487" s="16">
        <f>IF($A487="","",INDEX(設定!$O$6:$O$12,WEEKDAY($A487,1)))</f>
        <v/>
      </c>
      <c r="C487" s="16">
        <f>IF($A487="","",助理班表!$A20)</f>
        <v/>
      </c>
      <c r="D487" s="16">
        <f>IF($C487="","",助理班表!$B20)</f>
        <v/>
      </c>
      <c r="E487" s="16">
        <f>IF($C487="","",助理班表!$D20)</f>
        <v/>
      </c>
      <c r="F487" s="16">
        <f>IF($C487="","",助理班表!$C20)</f>
        <v/>
      </c>
      <c r="G487" s="16">
        <f>IF($C487="","",助理班表!X20)</f>
        <v/>
      </c>
      <c r="H487" s="83">
        <f>IF($G487="","",IFERROR(IF(INDEX(設定!$D$6:$D$21,MATCH($G487,設定!$B$6:$B$21,0))=0,"",INDEX(設定!$D$6:$D$21,MATCH($G487,設定!$B$6:$B$21,0))),""))</f>
        <v/>
      </c>
      <c r="I487" s="83">
        <f>IF($G487="","",IFERROR(IF(INDEX(設定!$E$6:$E$21,MATCH($G487,設定!$B$6:$B$21,0))=0,"",INDEX(設定!$E$6:$E$21,MATCH($G487,設定!$B$6:$B$21,0))),""))</f>
        <v/>
      </c>
      <c r="J487" s="83">
        <f>IFERROR(INDEX(打卡匯入!$C$3:$C$2002,MATCH($C487&amp;"|"&amp;DAY($A487),打卡匯入!$E$3:$E$2002,0)),"")</f>
        <v/>
      </c>
      <c r="K487" s="83">
        <f>IFERROR(INDEX(打卡匯入!$D$3:$D$2002,MATCH($C487&amp;"|"&amp;DAY($A487),打卡匯入!$E$3:$E$2002,0)),"")</f>
        <v/>
      </c>
      <c r="L487" s="84">
        <f>IF(OR($J487="",$K487=""),"",IFERROR(INDEX(設定!$F$6:$F$21,MATCH($G487,設定!$B$6:$B$21,0)),0))</f>
        <v/>
      </c>
      <c r="M487" s="85">
        <f>IF(OR($J487="",$K487=""),"",ROUND(($K487-$J487)*24-$L487/60,2))</f>
        <v/>
      </c>
      <c r="N487" s="16">
        <f>IF($C487="","",IF(AND(COUNTIF(設定!$B$15:$B$21,$G487)&gt;0,$J487&lt;&gt;""),"假日出勤",IF(AND(COUNTIF(設定!$B$6:$B$14,$G487)&gt;0,$J487=""),"未打卡",IF($J487="","",IF($O487&gt;0,"遲到",IF($P487&gt;0,"早退","正常"))))))</f>
        <v/>
      </c>
      <c r="O487" s="84">
        <f>IF(OR($C487="",$H487="",$J487=""),0,IF(ROUND(($J487-$H487)*1440,0)&gt;設定!$C$46,ROUND(($J487-$H487)*1440,0),0))</f>
        <v/>
      </c>
      <c r="P487" s="84">
        <f>IF(OR($C487="",$I487="",$K487=""),0,IF(ROUND(($I487-$K487)*1440,0)&gt;設定!$C$46,ROUND(($I487-$K487)*1440,0),0))</f>
        <v/>
      </c>
      <c r="Q487" s="85">
        <f>IF($M487="",0,IF(($M487-IFERROR(INDEX(設定!$G$6:$G$21,MATCH($G487,設定!$B$6:$B$21,0)),0))*60&gt;=設定!$C$44,ROUND(FLOOR(($M487-IFERROR(INDEX(設定!$G$6:$G$21,MATCH($G487,設定!$B$6:$B$21,0)),0))*60,設定!$C$45)/60,2),0))</f>
        <v/>
      </c>
      <c r="R487" s="16">
        <f>IF(OR($C487="",$Q487=0),"",IF($G487="國","國定假日",IF($B487="日","例假",IF($B487="六","休息日","平日"))))</f>
        <v/>
      </c>
      <c r="S487" s="19" t="n"/>
    </row>
    <row r="488">
      <c r="A488" s="82">
        <f>IF(OR(助理班表!$A20="",21&gt;DAY(EOMONTH(DATE(設定!$C$2,設定!$D$2,1),0))),"",DATE(設定!$C$2,設定!$D$2,21))</f>
        <v/>
      </c>
      <c r="B488" s="16">
        <f>IF($A488="","",INDEX(設定!$O$6:$O$12,WEEKDAY($A488,1)))</f>
        <v/>
      </c>
      <c r="C488" s="16">
        <f>IF($A488="","",助理班表!$A20)</f>
        <v/>
      </c>
      <c r="D488" s="16">
        <f>IF($C488="","",助理班表!$B20)</f>
        <v/>
      </c>
      <c r="E488" s="16">
        <f>IF($C488="","",助理班表!$D20)</f>
        <v/>
      </c>
      <c r="F488" s="16">
        <f>IF($C488="","",助理班表!$C20)</f>
        <v/>
      </c>
      <c r="G488" s="16">
        <f>IF($C488="","",助理班表!Y20)</f>
        <v/>
      </c>
      <c r="H488" s="83">
        <f>IF($G488="","",IFERROR(IF(INDEX(設定!$D$6:$D$21,MATCH($G488,設定!$B$6:$B$21,0))=0,"",INDEX(設定!$D$6:$D$21,MATCH($G488,設定!$B$6:$B$21,0))),""))</f>
        <v/>
      </c>
      <c r="I488" s="83">
        <f>IF($G488="","",IFERROR(IF(INDEX(設定!$E$6:$E$21,MATCH($G488,設定!$B$6:$B$21,0))=0,"",INDEX(設定!$E$6:$E$21,MATCH($G488,設定!$B$6:$B$21,0))),""))</f>
        <v/>
      </c>
      <c r="J488" s="83">
        <f>IFERROR(INDEX(打卡匯入!$C$3:$C$2002,MATCH($C488&amp;"|"&amp;DAY($A488),打卡匯入!$E$3:$E$2002,0)),"")</f>
        <v/>
      </c>
      <c r="K488" s="83">
        <f>IFERROR(INDEX(打卡匯入!$D$3:$D$2002,MATCH($C488&amp;"|"&amp;DAY($A488),打卡匯入!$E$3:$E$2002,0)),"")</f>
        <v/>
      </c>
      <c r="L488" s="84">
        <f>IF(OR($J488="",$K488=""),"",IFERROR(INDEX(設定!$F$6:$F$21,MATCH($G488,設定!$B$6:$B$21,0)),0))</f>
        <v/>
      </c>
      <c r="M488" s="85">
        <f>IF(OR($J488="",$K488=""),"",ROUND(($K488-$J488)*24-$L488/60,2))</f>
        <v/>
      </c>
      <c r="N488" s="16">
        <f>IF($C488="","",IF(AND(COUNTIF(設定!$B$15:$B$21,$G488)&gt;0,$J488&lt;&gt;""),"假日出勤",IF(AND(COUNTIF(設定!$B$6:$B$14,$G488)&gt;0,$J488=""),"未打卡",IF($J488="","",IF($O488&gt;0,"遲到",IF($P488&gt;0,"早退","正常"))))))</f>
        <v/>
      </c>
      <c r="O488" s="84">
        <f>IF(OR($C488="",$H488="",$J488=""),0,IF(ROUND(($J488-$H488)*1440,0)&gt;設定!$C$46,ROUND(($J488-$H488)*1440,0),0))</f>
        <v/>
      </c>
      <c r="P488" s="84">
        <f>IF(OR($C488="",$I488="",$K488=""),0,IF(ROUND(($I488-$K488)*1440,0)&gt;設定!$C$46,ROUND(($I488-$K488)*1440,0),0))</f>
        <v/>
      </c>
      <c r="Q488" s="85">
        <f>IF($M488="",0,IF(($M488-IFERROR(INDEX(設定!$G$6:$G$21,MATCH($G488,設定!$B$6:$B$21,0)),0))*60&gt;=設定!$C$44,ROUND(FLOOR(($M488-IFERROR(INDEX(設定!$G$6:$G$21,MATCH($G488,設定!$B$6:$B$21,0)),0))*60,設定!$C$45)/60,2),0))</f>
        <v/>
      </c>
      <c r="R488" s="16">
        <f>IF(OR($C488="",$Q488=0),"",IF($G488="國","國定假日",IF($B488="日","例假",IF($B488="六","休息日","平日"))))</f>
        <v/>
      </c>
      <c r="S488" s="19" t="n"/>
    </row>
    <row r="489">
      <c r="A489" s="82">
        <f>IF(OR(助理班表!$A20="",22&gt;DAY(EOMONTH(DATE(設定!$C$2,設定!$D$2,1),0))),"",DATE(設定!$C$2,設定!$D$2,22))</f>
        <v/>
      </c>
      <c r="B489" s="16">
        <f>IF($A489="","",INDEX(設定!$O$6:$O$12,WEEKDAY($A489,1)))</f>
        <v/>
      </c>
      <c r="C489" s="16">
        <f>IF($A489="","",助理班表!$A20)</f>
        <v/>
      </c>
      <c r="D489" s="16">
        <f>IF($C489="","",助理班表!$B20)</f>
        <v/>
      </c>
      <c r="E489" s="16">
        <f>IF($C489="","",助理班表!$D20)</f>
        <v/>
      </c>
      <c r="F489" s="16">
        <f>IF($C489="","",助理班表!$C20)</f>
        <v/>
      </c>
      <c r="G489" s="16">
        <f>IF($C489="","",助理班表!Z20)</f>
        <v/>
      </c>
      <c r="H489" s="83">
        <f>IF($G489="","",IFERROR(IF(INDEX(設定!$D$6:$D$21,MATCH($G489,設定!$B$6:$B$21,0))=0,"",INDEX(設定!$D$6:$D$21,MATCH($G489,設定!$B$6:$B$21,0))),""))</f>
        <v/>
      </c>
      <c r="I489" s="83">
        <f>IF($G489="","",IFERROR(IF(INDEX(設定!$E$6:$E$21,MATCH($G489,設定!$B$6:$B$21,0))=0,"",INDEX(設定!$E$6:$E$21,MATCH($G489,設定!$B$6:$B$21,0))),""))</f>
        <v/>
      </c>
      <c r="J489" s="83">
        <f>IFERROR(INDEX(打卡匯入!$C$3:$C$2002,MATCH($C489&amp;"|"&amp;DAY($A489),打卡匯入!$E$3:$E$2002,0)),"")</f>
        <v/>
      </c>
      <c r="K489" s="83">
        <f>IFERROR(INDEX(打卡匯入!$D$3:$D$2002,MATCH($C489&amp;"|"&amp;DAY($A489),打卡匯入!$E$3:$E$2002,0)),"")</f>
        <v/>
      </c>
      <c r="L489" s="84">
        <f>IF(OR($J489="",$K489=""),"",IFERROR(INDEX(設定!$F$6:$F$21,MATCH($G489,設定!$B$6:$B$21,0)),0))</f>
        <v/>
      </c>
      <c r="M489" s="85">
        <f>IF(OR($J489="",$K489=""),"",ROUND(($K489-$J489)*24-$L489/60,2))</f>
        <v/>
      </c>
      <c r="N489" s="16">
        <f>IF($C489="","",IF(AND(COUNTIF(設定!$B$15:$B$21,$G489)&gt;0,$J489&lt;&gt;""),"假日出勤",IF(AND(COUNTIF(設定!$B$6:$B$14,$G489)&gt;0,$J489=""),"未打卡",IF($J489="","",IF($O489&gt;0,"遲到",IF($P489&gt;0,"早退","正常"))))))</f>
        <v/>
      </c>
      <c r="O489" s="84">
        <f>IF(OR($C489="",$H489="",$J489=""),0,IF(ROUND(($J489-$H489)*1440,0)&gt;設定!$C$46,ROUND(($J489-$H489)*1440,0),0))</f>
        <v/>
      </c>
      <c r="P489" s="84">
        <f>IF(OR($C489="",$I489="",$K489=""),0,IF(ROUND(($I489-$K489)*1440,0)&gt;設定!$C$46,ROUND(($I489-$K489)*1440,0),0))</f>
        <v/>
      </c>
      <c r="Q489" s="85">
        <f>IF($M489="",0,IF(($M489-IFERROR(INDEX(設定!$G$6:$G$21,MATCH($G489,設定!$B$6:$B$21,0)),0))*60&gt;=設定!$C$44,ROUND(FLOOR(($M489-IFERROR(INDEX(設定!$G$6:$G$21,MATCH($G489,設定!$B$6:$B$21,0)),0))*60,設定!$C$45)/60,2),0))</f>
        <v/>
      </c>
      <c r="R489" s="16">
        <f>IF(OR($C489="",$Q489=0),"",IF($G489="國","國定假日",IF($B489="日","例假",IF($B489="六","休息日","平日"))))</f>
        <v/>
      </c>
      <c r="S489" s="19" t="n"/>
    </row>
    <row r="490">
      <c r="A490" s="82">
        <f>IF(OR(助理班表!$A20="",23&gt;DAY(EOMONTH(DATE(設定!$C$2,設定!$D$2,1),0))),"",DATE(設定!$C$2,設定!$D$2,23))</f>
        <v/>
      </c>
      <c r="B490" s="16">
        <f>IF($A490="","",INDEX(設定!$O$6:$O$12,WEEKDAY($A490,1)))</f>
        <v/>
      </c>
      <c r="C490" s="16">
        <f>IF($A490="","",助理班表!$A20)</f>
        <v/>
      </c>
      <c r="D490" s="16">
        <f>IF($C490="","",助理班表!$B20)</f>
        <v/>
      </c>
      <c r="E490" s="16">
        <f>IF($C490="","",助理班表!$D20)</f>
        <v/>
      </c>
      <c r="F490" s="16">
        <f>IF($C490="","",助理班表!$C20)</f>
        <v/>
      </c>
      <c r="G490" s="16">
        <f>IF($C490="","",助理班表!AA20)</f>
        <v/>
      </c>
      <c r="H490" s="83">
        <f>IF($G490="","",IFERROR(IF(INDEX(設定!$D$6:$D$21,MATCH($G490,設定!$B$6:$B$21,0))=0,"",INDEX(設定!$D$6:$D$21,MATCH($G490,設定!$B$6:$B$21,0))),""))</f>
        <v/>
      </c>
      <c r="I490" s="83">
        <f>IF($G490="","",IFERROR(IF(INDEX(設定!$E$6:$E$21,MATCH($G490,設定!$B$6:$B$21,0))=0,"",INDEX(設定!$E$6:$E$21,MATCH($G490,設定!$B$6:$B$21,0))),""))</f>
        <v/>
      </c>
      <c r="J490" s="83">
        <f>IFERROR(INDEX(打卡匯入!$C$3:$C$2002,MATCH($C490&amp;"|"&amp;DAY($A490),打卡匯入!$E$3:$E$2002,0)),"")</f>
        <v/>
      </c>
      <c r="K490" s="83">
        <f>IFERROR(INDEX(打卡匯入!$D$3:$D$2002,MATCH($C490&amp;"|"&amp;DAY($A490),打卡匯入!$E$3:$E$2002,0)),"")</f>
        <v/>
      </c>
      <c r="L490" s="84">
        <f>IF(OR($J490="",$K490=""),"",IFERROR(INDEX(設定!$F$6:$F$21,MATCH($G490,設定!$B$6:$B$21,0)),0))</f>
        <v/>
      </c>
      <c r="M490" s="85">
        <f>IF(OR($J490="",$K490=""),"",ROUND(($K490-$J490)*24-$L490/60,2))</f>
        <v/>
      </c>
      <c r="N490" s="16">
        <f>IF($C490="","",IF(AND(COUNTIF(設定!$B$15:$B$21,$G490)&gt;0,$J490&lt;&gt;""),"假日出勤",IF(AND(COUNTIF(設定!$B$6:$B$14,$G490)&gt;0,$J490=""),"未打卡",IF($J490="","",IF($O490&gt;0,"遲到",IF($P490&gt;0,"早退","正常"))))))</f>
        <v/>
      </c>
      <c r="O490" s="84">
        <f>IF(OR($C490="",$H490="",$J490=""),0,IF(ROUND(($J490-$H490)*1440,0)&gt;設定!$C$46,ROUND(($J490-$H490)*1440,0),0))</f>
        <v/>
      </c>
      <c r="P490" s="84">
        <f>IF(OR($C490="",$I490="",$K490=""),0,IF(ROUND(($I490-$K490)*1440,0)&gt;設定!$C$46,ROUND(($I490-$K490)*1440,0),0))</f>
        <v/>
      </c>
      <c r="Q490" s="85">
        <f>IF($M490="",0,IF(($M490-IFERROR(INDEX(設定!$G$6:$G$21,MATCH($G490,設定!$B$6:$B$21,0)),0))*60&gt;=設定!$C$44,ROUND(FLOOR(($M490-IFERROR(INDEX(設定!$G$6:$G$21,MATCH($G490,設定!$B$6:$B$21,0)),0))*60,設定!$C$45)/60,2),0))</f>
        <v/>
      </c>
      <c r="R490" s="16">
        <f>IF(OR($C490="",$Q490=0),"",IF($G490="國","國定假日",IF($B490="日","例假",IF($B490="六","休息日","平日"))))</f>
        <v/>
      </c>
      <c r="S490" s="19" t="n"/>
    </row>
    <row r="491">
      <c r="A491" s="82">
        <f>IF(OR(助理班表!$A20="",24&gt;DAY(EOMONTH(DATE(設定!$C$2,設定!$D$2,1),0))),"",DATE(設定!$C$2,設定!$D$2,24))</f>
        <v/>
      </c>
      <c r="B491" s="16">
        <f>IF($A491="","",INDEX(設定!$O$6:$O$12,WEEKDAY($A491,1)))</f>
        <v/>
      </c>
      <c r="C491" s="16">
        <f>IF($A491="","",助理班表!$A20)</f>
        <v/>
      </c>
      <c r="D491" s="16">
        <f>IF($C491="","",助理班表!$B20)</f>
        <v/>
      </c>
      <c r="E491" s="16">
        <f>IF($C491="","",助理班表!$D20)</f>
        <v/>
      </c>
      <c r="F491" s="16">
        <f>IF($C491="","",助理班表!$C20)</f>
        <v/>
      </c>
      <c r="G491" s="16">
        <f>IF($C491="","",助理班表!AB20)</f>
        <v/>
      </c>
      <c r="H491" s="83">
        <f>IF($G491="","",IFERROR(IF(INDEX(設定!$D$6:$D$21,MATCH($G491,設定!$B$6:$B$21,0))=0,"",INDEX(設定!$D$6:$D$21,MATCH($G491,設定!$B$6:$B$21,0))),""))</f>
        <v/>
      </c>
      <c r="I491" s="83">
        <f>IF($G491="","",IFERROR(IF(INDEX(設定!$E$6:$E$21,MATCH($G491,設定!$B$6:$B$21,0))=0,"",INDEX(設定!$E$6:$E$21,MATCH($G491,設定!$B$6:$B$21,0))),""))</f>
        <v/>
      </c>
      <c r="J491" s="83">
        <f>IFERROR(INDEX(打卡匯入!$C$3:$C$2002,MATCH($C491&amp;"|"&amp;DAY($A491),打卡匯入!$E$3:$E$2002,0)),"")</f>
        <v/>
      </c>
      <c r="K491" s="83">
        <f>IFERROR(INDEX(打卡匯入!$D$3:$D$2002,MATCH($C491&amp;"|"&amp;DAY($A491),打卡匯入!$E$3:$E$2002,0)),"")</f>
        <v/>
      </c>
      <c r="L491" s="84">
        <f>IF(OR($J491="",$K491=""),"",IFERROR(INDEX(設定!$F$6:$F$21,MATCH($G491,設定!$B$6:$B$21,0)),0))</f>
        <v/>
      </c>
      <c r="M491" s="85">
        <f>IF(OR($J491="",$K491=""),"",ROUND(($K491-$J491)*24-$L491/60,2))</f>
        <v/>
      </c>
      <c r="N491" s="16">
        <f>IF($C491="","",IF(AND(COUNTIF(設定!$B$15:$B$21,$G491)&gt;0,$J491&lt;&gt;""),"假日出勤",IF(AND(COUNTIF(設定!$B$6:$B$14,$G491)&gt;0,$J491=""),"未打卡",IF($J491="","",IF($O491&gt;0,"遲到",IF($P491&gt;0,"早退","正常"))))))</f>
        <v/>
      </c>
      <c r="O491" s="84">
        <f>IF(OR($C491="",$H491="",$J491=""),0,IF(ROUND(($J491-$H491)*1440,0)&gt;設定!$C$46,ROUND(($J491-$H491)*1440,0),0))</f>
        <v/>
      </c>
      <c r="P491" s="84">
        <f>IF(OR($C491="",$I491="",$K491=""),0,IF(ROUND(($I491-$K491)*1440,0)&gt;設定!$C$46,ROUND(($I491-$K491)*1440,0),0))</f>
        <v/>
      </c>
      <c r="Q491" s="85">
        <f>IF($M491="",0,IF(($M491-IFERROR(INDEX(設定!$G$6:$G$21,MATCH($G491,設定!$B$6:$B$21,0)),0))*60&gt;=設定!$C$44,ROUND(FLOOR(($M491-IFERROR(INDEX(設定!$G$6:$G$21,MATCH($G491,設定!$B$6:$B$21,0)),0))*60,設定!$C$45)/60,2),0))</f>
        <v/>
      </c>
      <c r="R491" s="16">
        <f>IF(OR($C491="",$Q491=0),"",IF($G491="國","國定假日",IF($B491="日","例假",IF($B491="六","休息日","平日"))))</f>
        <v/>
      </c>
      <c r="S491" s="19" t="n"/>
    </row>
    <row r="492">
      <c r="A492" s="82">
        <f>IF(OR(助理班表!$A20="",25&gt;DAY(EOMONTH(DATE(設定!$C$2,設定!$D$2,1),0))),"",DATE(設定!$C$2,設定!$D$2,25))</f>
        <v/>
      </c>
      <c r="B492" s="16">
        <f>IF($A492="","",INDEX(設定!$O$6:$O$12,WEEKDAY($A492,1)))</f>
        <v/>
      </c>
      <c r="C492" s="16">
        <f>IF($A492="","",助理班表!$A20)</f>
        <v/>
      </c>
      <c r="D492" s="16">
        <f>IF($C492="","",助理班表!$B20)</f>
        <v/>
      </c>
      <c r="E492" s="16">
        <f>IF($C492="","",助理班表!$D20)</f>
        <v/>
      </c>
      <c r="F492" s="16">
        <f>IF($C492="","",助理班表!$C20)</f>
        <v/>
      </c>
      <c r="G492" s="16">
        <f>IF($C492="","",助理班表!AC20)</f>
        <v/>
      </c>
      <c r="H492" s="83">
        <f>IF($G492="","",IFERROR(IF(INDEX(設定!$D$6:$D$21,MATCH($G492,設定!$B$6:$B$21,0))=0,"",INDEX(設定!$D$6:$D$21,MATCH($G492,設定!$B$6:$B$21,0))),""))</f>
        <v/>
      </c>
      <c r="I492" s="83">
        <f>IF($G492="","",IFERROR(IF(INDEX(設定!$E$6:$E$21,MATCH($G492,設定!$B$6:$B$21,0))=0,"",INDEX(設定!$E$6:$E$21,MATCH($G492,設定!$B$6:$B$21,0))),""))</f>
        <v/>
      </c>
      <c r="J492" s="83">
        <f>IFERROR(INDEX(打卡匯入!$C$3:$C$2002,MATCH($C492&amp;"|"&amp;DAY($A492),打卡匯入!$E$3:$E$2002,0)),"")</f>
        <v/>
      </c>
      <c r="K492" s="83">
        <f>IFERROR(INDEX(打卡匯入!$D$3:$D$2002,MATCH($C492&amp;"|"&amp;DAY($A492),打卡匯入!$E$3:$E$2002,0)),"")</f>
        <v/>
      </c>
      <c r="L492" s="84">
        <f>IF(OR($J492="",$K492=""),"",IFERROR(INDEX(設定!$F$6:$F$21,MATCH($G492,設定!$B$6:$B$21,0)),0))</f>
        <v/>
      </c>
      <c r="M492" s="85">
        <f>IF(OR($J492="",$K492=""),"",ROUND(($K492-$J492)*24-$L492/60,2))</f>
        <v/>
      </c>
      <c r="N492" s="16">
        <f>IF($C492="","",IF(AND(COUNTIF(設定!$B$15:$B$21,$G492)&gt;0,$J492&lt;&gt;""),"假日出勤",IF(AND(COUNTIF(設定!$B$6:$B$14,$G492)&gt;0,$J492=""),"未打卡",IF($J492="","",IF($O492&gt;0,"遲到",IF($P492&gt;0,"早退","正常"))))))</f>
        <v/>
      </c>
      <c r="O492" s="84">
        <f>IF(OR($C492="",$H492="",$J492=""),0,IF(ROUND(($J492-$H492)*1440,0)&gt;設定!$C$46,ROUND(($J492-$H492)*1440,0),0))</f>
        <v/>
      </c>
      <c r="P492" s="84">
        <f>IF(OR($C492="",$I492="",$K492=""),0,IF(ROUND(($I492-$K492)*1440,0)&gt;設定!$C$46,ROUND(($I492-$K492)*1440,0),0))</f>
        <v/>
      </c>
      <c r="Q492" s="85">
        <f>IF($M492="",0,IF(($M492-IFERROR(INDEX(設定!$G$6:$G$21,MATCH($G492,設定!$B$6:$B$21,0)),0))*60&gt;=設定!$C$44,ROUND(FLOOR(($M492-IFERROR(INDEX(設定!$G$6:$G$21,MATCH($G492,設定!$B$6:$B$21,0)),0))*60,設定!$C$45)/60,2),0))</f>
        <v/>
      </c>
      <c r="R492" s="16">
        <f>IF(OR($C492="",$Q492=0),"",IF($G492="國","國定假日",IF($B492="日","例假",IF($B492="六","休息日","平日"))))</f>
        <v/>
      </c>
      <c r="S492" s="19" t="n"/>
    </row>
    <row r="493">
      <c r="A493" s="82">
        <f>IF(OR(助理班表!$A20="",26&gt;DAY(EOMONTH(DATE(設定!$C$2,設定!$D$2,1),0))),"",DATE(設定!$C$2,設定!$D$2,26))</f>
        <v/>
      </c>
      <c r="B493" s="16">
        <f>IF($A493="","",INDEX(設定!$O$6:$O$12,WEEKDAY($A493,1)))</f>
        <v/>
      </c>
      <c r="C493" s="16">
        <f>IF($A493="","",助理班表!$A20)</f>
        <v/>
      </c>
      <c r="D493" s="16">
        <f>IF($C493="","",助理班表!$B20)</f>
        <v/>
      </c>
      <c r="E493" s="16">
        <f>IF($C493="","",助理班表!$D20)</f>
        <v/>
      </c>
      <c r="F493" s="16">
        <f>IF($C493="","",助理班表!$C20)</f>
        <v/>
      </c>
      <c r="G493" s="16">
        <f>IF($C493="","",助理班表!AD20)</f>
        <v/>
      </c>
      <c r="H493" s="83">
        <f>IF($G493="","",IFERROR(IF(INDEX(設定!$D$6:$D$21,MATCH($G493,設定!$B$6:$B$21,0))=0,"",INDEX(設定!$D$6:$D$21,MATCH($G493,設定!$B$6:$B$21,0))),""))</f>
        <v/>
      </c>
      <c r="I493" s="83">
        <f>IF($G493="","",IFERROR(IF(INDEX(設定!$E$6:$E$21,MATCH($G493,設定!$B$6:$B$21,0))=0,"",INDEX(設定!$E$6:$E$21,MATCH($G493,設定!$B$6:$B$21,0))),""))</f>
        <v/>
      </c>
      <c r="J493" s="83">
        <f>IFERROR(INDEX(打卡匯入!$C$3:$C$2002,MATCH($C493&amp;"|"&amp;DAY($A493),打卡匯入!$E$3:$E$2002,0)),"")</f>
        <v/>
      </c>
      <c r="K493" s="83">
        <f>IFERROR(INDEX(打卡匯入!$D$3:$D$2002,MATCH($C493&amp;"|"&amp;DAY($A493),打卡匯入!$E$3:$E$2002,0)),"")</f>
        <v/>
      </c>
      <c r="L493" s="84">
        <f>IF(OR($J493="",$K493=""),"",IFERROR(INDEX(設定!$F$6:$F$21,MATCH($G493,設定!$B$6:$B$21,0)),0))</f>
        <v/>
      </c>
      <c r="M493" s="85">
        <f>IF(OR($J493="",$K493=""),"",ROUND(($K493-$J493)*24-$L493/60,2))</f>
        <v/>
      </c>
      <c r="N493" s="16">
        <f>IF($C493="","",IF(AND(COUNTIF(設定!$B$15:$B$21,$G493)&gt;0,$J493&lt;&gt;""),"假日出勤",IF(AND(COUNTIF(設定!$B$6:$B$14,$G493)&gt;0,$J493=""),"未打卡",IF($J493="","",IF($O493&gt;0,"遲到",IF($P493&gt;0,"早退","正常"))))))</f>
        <v/>
      </c>
      <c r="O493" s="84">
        <f>IF(OR($C493="",$H493="",$J493=""),0,IF(ROUND(($J493-$H493)*1440,0)&gt;設定!$C$46,ROUND(($J493-$H493)*1440,0),0))</f>
        <v/>
      </c>
      <c r="P493" s="84">
        <f>IF(OR($C493="",$I493="",$K493=""),0,IF(ROUND(($I493-$K493)*1440,0)&gt;設定!$C$46,ROUND(($I493-$K493)*1440,0),0))</f>
        <v/>
      </c>
      <c r="Q493" s="85">
        <f>IF($M493="",0,IF(($M493-IFERROR(INDEX(設定!$G$6:$G$21,MATCH($G493,設定!$B$6:$B$21,0)),0))*60&gt;=設定!$C$44,ROUND(FLOOR(($M493-IFERROR(INDEX(設定!$G$6:$G$21,MATCH($G493,設定!$B$6:$B$21,0)),0))*60,設定!$C$45)/60,2),0))</f>
        <v/>
      </c>
      <c r="R493" s="16">
        <f>IF(OR($C493="",$Q493=0),"",IF($G493="國","國定假日",IF($B493="日","例假",IF($B493="六","休息日","平日"))))</f>
        <v/>
      </c>
      <c r="S493" s="19" t="n"/>
    </row>
    <row r="494">
      <c r="A494" s="82">
        <f>IF(OR(助理班表!$A20="",27&gt;DAY(EOMONTH(DATE(設定!$C$2,設定!$D$2,1),0))),"",DATE(設定!$C$2,設定!$D$2,27))</f>
        <v/>
      </c>
      <c r="B494" s="16">
        <f>IF($A494="","",INDEX(設定!$O$6:$O$12,WEEKDAY($A494,1)))</f>
        <v/>
      </c>
      <c r="C494" s="16">
        <f>IF($A494="","",助理班表!$A20)</f>
        <v/>
      </c>
      <c r="D494" s="16">
        <f>IF($C494="","",助理班表!$B20)</f>
        <v/>
      </c>
      <c r="E494" s="16">
        <f>IF($C494="","",助理班表!$D20)</f>
        <v/>
      </c>
      <c r="F494" s="16">
        <f>IF($C494="","",助理班表!$C20)</f>
        <v/>
      </c>
      <c r="G494" s="16">
        <f>IF($C494="","",助理班表!AE20)</f>
        <v/>
      </c>
      <c r="H494" s="83">
        <f>IF($G494="","",IFERROR(IF(INDEX(設定!$D$6:$D$21,MATCH($G494,設定!$B$6:$B$21,0))=0,"",INDEX(設定!$D$6:$D$21,MATCH($G494,設定!$B$6:$B$21,0))),""))</f>
        <v/>
      </c>
      <c r="I494" s="83">
        <f>IF($G494="","",IFERROR(IF(INDEX(設定!$E$6:$E$21,MATCH($G494,設定!$B$6:$B$21,0))=0,"",INDEX(設定!$E$6:$E$21,MATCH($G494,設定!$B$6:$B$21,0))),""))</f>
        <v/>
      </c>
      <c r="J494" s="83">
        <f>IFERROR(INDEX(打卡匯入!$C$3:$C$2002,MATCH($C494&amp;"|"&amp;DAY($A494),打卡匯入!$E$3:$E$2002,0)),"")</f>
        <v/>
      </c>
      <c r="K494" s="83">
        <f>IFERROR(INDEX(打卡匯入!$D$3:$D$2002,MATCH($C494&amp;"|"&amp;DAY($A494),打卡匯入!$E$3:$E$2002,0)),"")</f>
        <v/>
      </c>
      <c r="L494" s="84">
        <f>IF(OR($J494="",$K494=""),"",IFERROR(INDEX(設定!$F$6:$F$21,MATCH($G494,設定!$B$6:$B$21,0)),0))</f>
        <v/>
      </c>
      <c r="M494" s="85">
        <f>IF(OR($J494="",$K494=""),"",ROUND(($K494-$J494)*24-$L494/60,2))</f>
        <v/>
      </c>
      <c r="N494" s="16">
        <f>IF($C494="","",IF(AND(COUNTIF(設定!$B$15:$B$21,$G494)&gt;0,$J494&lt;&gt;""),"假日出勤",IF(AND(COUNTIF(設定!$B$6:$B$14,$G494)&gt;0,$J494=""),"未打卡",IF($J494="","",IF($O494&gt;0,"遲到",IF($P494&gt;0,"早退","正常"))))))</f>
        <v/>
      </c>
      <c r="O494" s="84">
        <f>IF(OR($C494="",$H494="",$J494=""),0,IF(ROUND(($J494-$H494)*1440,0)&gt;設定!$C$46,ROUND(($J494-$H494)*1440,0),0))</f>
        <v/>
      </c>
      <c r="P494" s="84">
        <f>IF(OR($C494="",$I494="",$K494=""),0,IF(ROUND(($I494-$K494)*1440,0)&gt;設定!$C$46,ROUND(($I494-$K494)*1440,0),0))</f>
        <v/>
      </c>
      <c r="Q494" s="85">
        <f>IF($M494="",0,IF(($M494-IFERROR(INDEX(設定!$G$6:$G$21,MATCH($G494,設定!$B$6:$B$21,0)),0))*60&gt;=設定!$C$44,ROUND(FLOOR(($M494-IFERROR(INDEX(設定!$G$6:$G$21,MATCH($G494,設定!$B$6:$B$21,0)),0))*60,設定!$C$45)/60,2),0))</f>
        <v/>
      </c>
      <c r="R494" s="16">
        <f>IF(OR($C494="",$Q494=0),"",IF($G494="國","國定假日",IF($B494="日","例假",IF($B494="六","休息日","平日"))))</f>
        <v/>
      </c>
      <c r="S494" s="19" t="n"/>
    </row>
    <row r="495">
      <c r="A495" s="82">
        <f>IF(OR(助理班表!$A20="",28&gt;DAY(EOMONTH(DATE(設定!$C$2,設定!$D$2,1),0))),"",DATE(設定!$C$2,設定!$D$2,28))</f>
        <v/>
      </c>
      <c r="B495" s="16">
        <f>IF($A495="","",INDEX(設定!$O$6:$O$12,WEEKDAY($A495,1)))</f>
        <v/>
      </c>
      <c r="C495" s="16">
        <f>IF($A495="","",助理班表!$A20)</f>
        <v/>
      </c>
      <c r="D495" s="16">
        <f>IF($C495="","",助理班表!$B20)</f>
        <v/>
      </c>
      <c r="E495" s="16">
        <f>IF($C495="","",助理班表!$D20)</f>
        <v/>
      </c>
      <c r="F495" s="16">
        <f>IF($C495="","",助理班表!$C20)</f>
        <v/>
      </c>
      <c r="G495" s="16">
        <f>IF($C495="","",助理班表!AF20)</f>
        <v/>
      </c>
      <c r="H495" s="83">
        <f>IF($G495="","",IFERROR(IF(INDEX(設定!$D$6:$D$21,MATCH($G495,設定!$B$6:$B$21,0))=0,"",INDEX(設定!$D$6:$D$21,MATCH($G495,設定!$B$6:$B$21,0))),""))</f>
        <v/>
      </c>
      <c r="I495" s="83">
        <f>IF($G495="","",IFERROR(IF(INDEX(設定!$E$6:$E$21,MATCH($G495,設定!$B$6:$B$21,0))=0,"",INDEX(設定!$E$6:$E$21,MATCH($G495,設定!$B$6:$B$21,0))),""))</f>
        <v/>
      </c>
      <c r="J495" s="83">
        <f>IFERROR(INDEX(打卡匯入!$C$3:$C$2002,MATCH($C495&amp;"|"&amp;DAY($A495),打卡匯入!$E$3:$E$2002,0)),"")</f>
        <v/>
      </c>
      <c r="K495" s="83">
        <f>IFERROR(INDEX(打卡匯入!$D$3:$D$2002,MATCH($C495&amp;"|"&amp;DAY($A495),打卡匯入!$E$3:$E$2002,0)),"")</f>
        <v/>
      </c>
      <c r="L495" s="84">
        <f>IF(OR($J495="",$K495=""),"",IFERROR(INDEX(設定!$F$6:$F$21,MATCH($G495,設定!$B$6:$B$21,0)),0))</f>
        <v/>
      </c>
      <c r="M495" s="85">
        <f>IF(OR($J495="",$K495=""),"",ROUND(($K495-$J495)*24-$L495/60,2))</f>
        <v/>
      </c>
      <c r="N495" s="16">
        <f>IF($C495="","",IF(AND(COUNTIF(設定!$B$15:$B$21,$G495)&gt;0,$J495&lt;&gt;""),"假日出勤",IF(AND(COUNTIF(設定!$B$6:$B$14,$G495)&gt;0,$J495=""),"未打卡",IF($J495="","",IF($O495&gt;0,"遲到",IF($P495&gt;0,"早退","正常"))))))</f>
        <v/>
      </c>
      <c r="O495" s="84">
        <f>IF(OR($C495="",$H495="",$J495=""),0,IF(ROUND(($J495-$H495)*1440,0)&gt;設定!$C$46,ROUND(($J495-$H495)*1440,0),0))</f>
        <v/>
      </c>
      <c r="P495" s="84">
        <f>IF(OR($C495="",$I495="",$K495=""),0,IF(ROUND(($I495-$K495)*1440,0)&gt;設定!$C$46,ROUND(($I495-$K495)*1440,0),0))</f>
        <v/>
      </c>
      <c r="Q495" s="85">
        <f>IF($M495="",0,IF(($M495-IFERROR(INDEX(設定!$G$6:$G$21,MATCH($G495,設定!$B$6:$B$21,0)),0))*60&gt;=設定!$C$44,ROUND(FLOOR(($M495-IFERROR(INDEX(設定!$G$6:$G$21,MATCH($G495,設定!$B$6:$B$21,0)),0))*60,設定!$C$45)/60,2),0))</f>
        <v/>
      </c>
      <c r="R495" s="16">
        <f>IF(OR($C495="",$Q495=0),"",IF($G495="國","國定假日",IF($B495="日","例假",IF($B495="六","休息日","平日"))))</f>
        <v/>
      </c>
      <c r="S495" s="19" t="n"/>
    </row>
    <row r="496">
      <c r="A496" s="82">
        <f>IF(OR(助理班表!$A20="",29&gt;DAY(EOMONTH(DATE(設定!$C$2,設定!$D$2,1),0))),"",DATE(設定!$C$2,設定!$D$2,29))</f>
        <v/>
      </c>
      <c r="B496" s="16">
        <f>IF($A496="","",INDEX(設定!$O$6:$O$12,WEEKDAY($A496,1)))</f>
        <v/>
      </c>
      <c r="C496" s="16">
        <f>IF($A496="","",助理班表!$A20)</f>
        <v/>
      </c>
      <c r="D496" s="16">
        <f>IF($C496="","",助理班表!$B20)</f>
        <v/>
      </c>
      <c r="E496" s="16">
        <f>IF($C496="","",助理班表!$D20)</f>
        <v/>
      </c>
      <c r="F496" s="16">
        <f>IF($C496="","",助理班表!$C20)</f>
        <v/>
      </c>
      <c r="G496" s="16">
        <f>IF($C496="","",助理班表!AG20)</f>
        <v/>
      </c>
      <c r="H496" s="83">
        <f>IF($G496="","",IFERROR(IF(INDEX(設定!$D$6:$D$21,MATCH($G496,設定!$B$6:$B$21,0))=0,"",INDEX(設定!$D$6:$D$21,MATCH($G496,設定!$B$6:$B$21,0))),""))</f>
        <v/>
      </c>
      <c r="I496" s="83">
        <f>IF($G496="","",IFERROR(IF(INDEX(設定!$E$6:$E$21,MATCH($G496,設定!$B$6:$B$21,0))=0,"",INDEX(設定!$E$6:$E$21,MATCH($G496,設定!$B$6:$B$21,0))),""))</f>
        <v/>
      </c>
      <c r="J496" s="83">
        <f>IFERROR(INDEX(打卡匯入!$C$3:$C$2002,MATCH($C496&amp;"|"&amp;DAY($A496),打卡匯入!$E$3:$E$2002,0)),"")</f>
        <v/>
      </c>
      <c r="K496" s="83">
        <f>IFERROR(INDEX(打卡匯入!$D$3:$D$2002,MATCH($C496&amp;"|"&amp;DAY($A496),打卡匯入!$E$3:$E$2002,0)),"")</f>
        <v/>
      </c>
      <c r="L496" s="84">
        <f>IF(OR($J496="",$K496=""),"",IFERROR(INDEX(設定!$F$6:$F$21,MATCH($G496,設定!$B$6:$B$21,0)),0))</f>
        <v/>
      </c>
      <c r="M496" s="85">
        <f>IF(OR($J496="",$K496=""),"",ROUND(($K496-$J496)*24-$L496/60,2))</f>
        <v/>
      </c>
      <c r="N496" s="16">
        <f>IF($C496="","",IF(AND(COUNTIF(設定!$B$15:$B$21,$G496)&gt;0,$J496&lt;&gt;""),"假日出勤",IF(AND(COUNTIF(設定!$B$6:$B$14,$G496)&gt;0,$J496=""),"未打卡",IF($J496="","",IF($O496&gt;0,"遲到",IF($P496&gt;0,"早退","正常"))))))</f>
        <v/>
      </c>
      <c r="O496" s="84">
        <f>IF(OR($C496="",$H496="",$J496=""),0,IF(ROUND(($J496-$H496)*1440,0)&gt;設定!$C$46,ROUND(($J496-$H496)*1440,0),0))</f>
        <v/>
      </c>
      <c r="P496" s="84">
        <f>IF(OR($C496="",$I496="",$K496=""),0,IF(ROUND(($I496-$K496)*1440,0)&gt;設定!$C$46,ROUND(($I496-$K496)*1440,0),0))</f>
        <v/>
      </c>
      <c r="Q496" s="85">
        <f>IF($M496="",0,IF(($M496-IFERROR(INDEX(設定!$G$6:$G$21,MATCH($G496,設定!$B$6:$B$21,0)),0))*60&gt;=設定!$C$44,ROUND(FLOOR(($M496-IFERROR(INDEX(設定!$G$6:$G$21,MATCH($G496,設定!$B$6:$B$21,0)),0))*60,設定!$C$45)/60,2),0))</f>
        <v/>
      </c>
      <c r="R496" s="16">
        <f>IF(OR($C496="",$Q496=0),"",IF($G496="國","國定假日",IF($B496="日","例假",IF($B496="六","休息日","平日"))))</f>
        <v/>
      </c>
      <c r="S496" s="19" t="n"/>
    </row>
    <row r="497">
      <c r="A497" s="82">
        <f>IF(OR(助理班表!$A20="",30&gt;DAY(EOMONTH(DATE(設定!$C$2,設定!$D$2,1),0))),"",DATE(設定!$C$2,設定!$D$2,30))</f>
        <v/>
      </c>
      <c r="B497" s="16">
        <f>IF($A497="","",INDEX(設定!$O$6:$O$12,WEEKDAY($A497,1)))</f>
        <v/>
      </c>
      <c r="C497" s="16">
        <f>IF($A497="","",助理班表!$A20)</f>
        <v/>
      </c>
      <c r="D497" s="16">
        <f>IF($C497="","",助理班表!$B20)</f>
        <v/>
      </c>
      <c r="E497" s="16">
        <f>IF($C497="","",助理班表!$D20)</f>
        <v/>
      </c>
      <c r="F497" s="16">
        <f>IF($C497="","",助理班表!$C20)</f>
        <v/>
      </c>
      <c r="G497" s="16">
        <f>IF($C497="","",助理班表!AH20)</f>
        <v/>
      </c>
      <c r="H497" s="83">
        <f>IF($G497="","",IFERROR(IF(INDEX(設定!$D$6:$D$21,MATCH($G497,設定!$B$6:$B$21,0))=0,"",INDEX(設定!$D$6:$D$21,MATCH($G497,設定!$B$6:$B$21,0))),""))</f>
        <v/>
      </c>
      <c r="I497" s="83">
        <f>IF($G497="","",IFERROR(IF(INDEX(設定!$E$6:$E$21,MATCH($G497,設定!$B$6:$B$21,0))=0,"",INDEX(設定!$E$6:$E$21,MATCH($G497,設定!$B$6:$B$21,0))),""))</f>
        <v/>
      </c>
      <c r="J497" s="83">
        <f>IFERROR(INDEX(打卡匯入!$C$3:$C$2002,MATCH($C497&amp;"|"&amp;DAY($A497),打卡匯入!$E$3:$E$2002,0)),"")</f>
        <v/>
      </c>
      <c r="K497" s="83">
        <f>IFERROR(INDEX(打卡匯入!$D$3:$D$2002,MATCH($C497&amp;"|"&amp;DAY($A497),打卡匯入!$E$3:$E$2002,0)),"")</f>
        <v/>
      </c>
      <c r="L497" s="84">
        <f>IF(OR($J497="",$K497=""),"",IFERROR(INDEX(設定!$F$6:$F$21,MATCH($G497,設定!$B$6:$B$21,0)),0))</f>
        <v/>
      </c>
      <c r="M497" s="85">
        <f>IF(OR($J497="",$K497=""),"",ROUND(($K497-$J497)*24-$L497/60,2))</f>
        <v/>
      </c>
      <c r="N497" s="16">
        <f>IF($C497="","",IF(AND(COUNTIF(設定!$B$15:$B$21,$G497)&gt;0,$J497&lt;&gt;""),"假日出勤",IF(AND(COUNTIF(設定!$B$6:$B$14,$G497)&gt;0,$J497=""),"未打卡",IF($J497="","",IF($O497&gt;0,"遲到",IF($P497&gt;0,"早退","正常"))))))</f>
        <v/>
      </c>
      <c r="O497" s="84">
        <f>IF(OR($C497="",$H497="",$J497=""),0,IF(ROUND(($J497-$H497)*1440,0)&gt;設定!$C$46,ROUND(($J497-$H497)*1440,0),0))</f>
        <v/>
      </c>
      <c r="P497" s="84">
        <f>IF(OR($C497="",$I497="",$K497=""),0,IF(ROUND(($I497-$K497)*1440,0)&gt;設定!$C$46,ROUND(($I497-$K497)*1440,0),0))</f>
        <v/>
      </c>
      <c r="Q497" s="85">
        <f>IF($M497="",0,IF(($M497-IFERROR(INDEX(設定!$G$6:$G$21,MATCH($G497,設定!$B$6:$B$21,0)),0))*60&gt;=設定!$C$44,ROUND(FLOOR(($M497-IFERROR(INDEX(設定!$G$6:$G$21,MATCH($G497,設定!$B$6:$B$21,0)),0))*60,設定!$C$45)/60,2),0))</f>
        <v/>
      </c>
      <c r="R497" s="16">
        <f>IF(OR($C497="",$Q497=0),"",IF($G497="國","國定假日",IF($B497="日","例假",IF($B497="六","休息日","平日"))))</f>
        <v/>
      </c>
      <c r="S497" s="19" t="n"/>
    </row>
    <row r="498">
      <c r="A498" s="82">
        <f>IF(OR(助理班表!$A20="",31&gt;DAY(EOMONTH(DATE(設定!$C$2,設定!$D$2,1),0))),"",DATE(設定!$C$2,設定!$D$2,31))</f>
        <v/>
      </c>
      <c r="B498" s="16">
        <f>IF($A498="","",INDEX(設定!$O$6:$O$12,WEEKDAY($A498,1)))</f>
        <v/>
      </c>
      <c r="C498" s="16">
        <f>IF($A498="","",助理班表!$A20)</f>
        <v/>
      </c>
      <c r="D498" s="16">
        <f>IF($C498="","",助理班表!$B20)</f>
        <v/>
      </c>
      <c r="E498" s="16">
        <f>IF($C498="","",助理班表!$D20)</f>
        <v/>
      </c>
      <c r="F498" s="16">
        <f>IF($C498="","",助理班表!$C20)</f>
        <v/>
      </c>
      <c r="G498" s="16">
        <f>IF($C498="","",助理班表!AI20)</f>
        <v/>
      </c>
      <c r="H498" s="83">
        <f>IF($G498="","",IFERROR(IF(INDEX(設定!$D$6:$D$21,MATCH($G498,設定!$B$6:$B$21,0))=0,"",INDEX(設定!$D$6:$D$21,MATCH($G498,設定!$B$6:$B$21,0))),""))</f>
        <v/>
      </c>
      <c r="I498" s="83">
        <f>IF($G498="","",IFERROR(IF(INDEX(設定!$E$6:$E$21,MATCH($G498,設定!$B$6:$B$21,0))=0,"",INDEX(設定!$E$6:$E$21,MATCH($G498,設定!$B$6:$B$21,0))),""))</f>
        <v/>
      </c>
      <c r="J498" s="83">
        <f>IFERROR(INDEX(打卡匯入!$C$3:$C$2002,MATCH($C498&amp;"|"&amp;DAY($A498),打卡匯入!$E$3:$E$2002,0)),"")</f>
        <v/>
      </c>
      <c r="K498" s="83">
        <f>IFERROR(INDEX(打卡匯入!$D$3:$D$2002,MATCH($C498&amp;"|"&amp;DAY($A498),打卡匯入!$E$3:$E$2002,0)),"")</f>
        <v/>
      </c>
      <c r="L498" s="84">
        <f>IF(OR($J498="",$K498=""),"",IFERROR(INDEX(設定!$F$6:$F$21,MATCH($G498,設定!$B$6:$B$21,0)),0))</f>
        <v/>
      </c>
      <c r="M498" s="85">
        <f>IF(OR($J498="",$K498=""),"",ROUND(($K498-$J498)*24-$L498/60,2))</f>
        <v/>
      </c>
      <c r="N498" s="16">
        <f>IF($C498="","",IF(AND(COUNTIF(設定!$B$15:$B$21,$G498)&gt;0,$J498&lt;&gt;""),"假日出勤",IF(AND(COUNTIF(設定!$B$6:$B$14,$G498)&gt;0,$J498=""),"未打卡",IF($J498="","",IF($O498&gt;0,"遲到",IF($P498&gt;0,"早退","正常"))))))</f>
        <v/>
      </c>
      <c r="O498" s="84">
        <f>IF(OR($C498="",$H498="",$J498=""),0,IF(ROUND(($J498-$H498)*1440,0)&gt;設定!$C$46,ROUND(($J498-$H498)*1440,0),0))</f>
        <v/>
      </c>
      <c r="P498" s="84">
        <f>IF(OR($C498="",$I498="",$K498=""),0,IF(ROUND(($I498-$K498)*1440,0)&gt;設定!$C$46,ROUND(($I498-$K498)*1440,0),0))</f>
        <v/>
      </c>
      <c r="Q498" s="85">
        <f>IF($M498="",0,IF(($M498-IFERROR(INDEX(設定!$G$6:$G$21,MATCH($G498,設定!$B$6:$B$21,0)),0))*60&gt;=設定!$C$44,ROUND(FLOOR(($M498-IFERROR(INDEX(設定!$G$6:$G$21,MATCH($G498,設定!$B$6:$B$21,0)),0))*60,設定!$C$45)/60,2),0))</f>
        <v/>
      </c>
      <c r="R498" s="16">
        <f>IF(OR($C498="",$Q498=0),"",IF($G498="國","國定假日",IF($B498="日","例假",IF($B498="六","休息日","平日"))))</f>
        <v/>
      </c>
      <c r="S498" s="19" t="n"/>
    </row>
    <row r="499">
      <c r="A499" s="82">
        <f>IF(OR(助理班表!$A21="",1&gt;DAY(EOMONTH(DATE(設定!$C$2,設定!$D$2,1),0))),"",DATE(設定!$C$2,設定!$D$2,1))</f>
        <v/>
      </c>
      <c r="B499" s="16">
        <f>IF($A499="","",INDEX(設定!$O$6:$O$12,WEEKDAY($A499,1)))</f>
        <v/>
      </c>
      <c r="C499" s="16">
        <f>IF($A499="","",助理班表!$A21)</f>
        <v/>
      </c>
      <c r="D499" s="16">
        <f>IF($C499="","",助理班表!$B21)</f>
        <v/>
      </c>
      <c r="E499" s="16">
        <f>IF($C499="","",助理班表!$D21)</f>
        <v/>
      </c>
      <c r="F499" s="16">
        <f>IF($C499="","",助理班表!$C21)</f>
        <v/>
      </c>
      <c r="G499" s="16">
        <f>IF($C499="","",助理班表!E21)</f>
        <v/>
      </c>
      <c r="H499" s="83">
        <f>IF($G499="","",IFERROR(IF(INDEX(設定!$D$6:$D$21,MATCH($G499,設定!$B$6:$B$21,0))=0,"",INDEX(設定!$D$6:$D$21,MATCH($G499,設定!$B$6:$B$21,0))),""))</f>
        <v/>
      </c>
      <c r="I499" s="83">
        <f>IF($G499="","",IFERROR(IF(INDEX(設定!$E$6:$E$21,MATCH($G499,設定!$B$6:$B$21,0))=0,"",INDEX(設定!$E$6:$E$21,MATCH($G499,設定!$B$6:$B$21,0))),""))</f>
        <v/>
      </c>
      <c r="J499" s="83">
        <f>IFERROR(INDEX(打卡匯入!$C$3:$C$2002,MATCH($C499&amp;"|"&amp;DAY($A499),打卡匯入!$E$3:$E$2002,0)),"")</f>
        <v/>
      </c>
      <c r="K499" s="83">
        <f>IFERROR(INDEX(打卡匯入!$D$3:$D$2002,MATCH($C499&amp;"|"&amp;DAY($A499),打卡匯入!$E$3:$E$2002,0)),"")</f>
        <v/>
      </c>
      <c r="L499" s="84">
        <f>IF(OR($J499="",$K499=""),"",IFERROR(INDEX(設定!$F$6:$F$21,MATCH($G499,設定!$B$6:$B$21,0)),0))</f>
        <v/>
      </c>
      <c r="M499" s="85">
        <f>IF(OR($J499="",$K499=""),"",ROUND(($K499-$J499)*24-$L499/60,2))</f>
        <v/>
      </c>
      <c r="N499" s="16">
        <f>IF($C499="","",IF(AND(COUNTIF(設定!$B$15:$B$21,$G499)&gt;0,$J499&lt;&gt;""),"假日出勤",IF(AND(COUNTIF(設定!$B$6:$B$14,$G499)&gt;0,$J499=""),"未打卡",IF($J499="","",IF($O499&gt;0,"遲到",IF($P499&gt;0,"早退","正常"))))))</f>
        <v/>
      </c>
      <c r="O499" s="84">
        <f>IF(OR($C499="",$H499="",$J499=""),0,IF(ROUND(($J499-$H499)*1440,0)&gt;設定!$C$46,ROUND(($J499-$H499)*1440,0),0))</f>
        <v/>
      </c>
      <c r="P499" s="84">
        <f>IF(OR($C499="",$I499="",$K499=""),0,IF(ROUND(($I499-$K499)*1440,0)&gt;設定!$C$46,ROUND(($I499-$K499)*1440,0),0))</f>
        <v/>
      </c>
      <c r="Q499" s="85">
        <f>IF($M499="",0,IF(($M499-IFERROR(INDEX(設定!$G$6:$G$21,MATCH($G499,設定!$B$6:$B$21,0)),0))*60&gt;=設定!$C$44,ROUND(FLOOR(($M499-IFERROR(INDEX(設定!$G$6:$G$21,MATCH($G499,設定!$B$6:$B$21,0)),0))*60,設定!$C$45)/60,2),0))</f>
        <v/>
      </c>
      <c r="R499" s="16">
        <f>IF(OR($C499="",$Q499=0),"",IF($G499="國","國定假日",IF($B499="日","例假",IF($B499="六","休息日","平日"))))</f>
        <v/>
      </c>
      <c r="S499" s="19" t="n"/>
    </row>
    <row r="500">
      <c r="A500" s="82">
        <f>IF(OR(助理班表!$A21="",2&gt;DAY(EOMONTH(DATE(設定!$C$2,設定!$D$2,1),0))),"",DATE(設定!$C$2,設定!$D$2,2))</f>
        <v/>
      </c>
      <c r="B500" s="16">
        <f>IF($A500="","",INDEX(設定!$O$6:$O$12,WEEKDAY($A500,1)))</f>
        <v/>
      </c>
      <c r="C500" s="16">
        <f>IF($A500="","",助理班表!$A21)</f>
        <v/>
      </c>
      <c r="D500" s="16">
        <f>IF($C500="","",助理班表!$B21)</f>
        <v/>
      </c>
      <c r="E500" s="16">
        <f>IF($C500="","",助理班表!$D21)</f>
        <v/>
      </c>
      <c r="F500" s="16">
        <f>IF($C500="","",助理班表!$C21)</f>
        <v/>
      </c>
      <c r="G500" s="16">
        <f>IF($C500="","",助理班表!F21)</f>
        <v/>
      </c>
      <c r="H500" s="83">
        <f>IF($G500="","",IFERROR(IF(INDEX(設定!$D$6:$D$21,MATCH($G500,設定!$B$6:$B$21,0))=0,"",INDEX(設定!$D$6:$D$21,MATCH($G500,設定!$B$6:$B$21,0))),""))</f>
        <v/>
      </c>
      <c r="I500" s="83">
        <f>IF($G500="","",IFERROR(IF(INDEX(設定!$E$6:$E$21,MATCH($G500,設定!$B$6:$B$21,0))=0,"",INDEX(設定!$E$6:$E$21,MATCH($G500,設定!$B$6:$B$21,0))),""))</f>
        <v/>
      </c>
      <c r="J500" s="83">
        <f>IFERROR(INDEX(打卡匯入!$C$3:$C$2002,MATCH($C500&amp;"|"&amp;DAY($A500),打卡匯入!$E$3:$E$2002,0)),"")</f>
        <v/>
      </c>
      <c r="K500" s="83">
        <f>IFERROR(INDEX(打卡匯入!$D$3:$D$2002,MATCH($C500&amp;"|"&amp;DAY($A500),打卡匯入!$E$3:$E$2002,0)),"")</f>
        <v/>
      </c>
      <c r="L500" s="84">
        <f>IF(OR($J500="",$K500=""),"",IFERROR(INDEX(設定!$F$6:$F$21,MATCH($G500,設定!$B$6:$B$21,0)),0))</f>
        <v/>
      </c>
      <c r="M500" s="85">
        <f>IF(OR($J500="",$K500=""),"",ROUND(($K500-$J500)*24-$L500/60,2))</f>
        <v/>
      </c>
      <c r="N500" s="16">
        <f>IF($C500="","",IF(AND(COUNTIF(設定!$B$15:$B$21,$G500)&gt;0,$J500&lt;&gt;""),"假日出勤",IF(AND(COUNTIF(設定!$B$6:$B$14,$G500)&gt;0,$J500=""),"未打卡",IF($J500="","",IF($O500&gt;0,"遲到",IF($P500&gt;0,"早退","正常"))))))</f>
        <v/>
      </c>
      <c r="O500" s="84">
        <f>IF(OR($C500="",$H500="",$J500=""),0,IF(ROUND(($J500-$H500)*1440,0)&gt;設定!$C$46,ROUND(($J500-$H500)*1440,0),0))</f>
        <v/>
      </c>
      <c r="P500" s="84">
        <f>IF(OR($C500="",$I500="",$K500=""),0,IF(ROUND(($I500-$K500)*1440,0)&gt;設定!$C$46,ROUND(($I500-$K500)*1440,0),0))</f>
        <v/>
      </c>
      <c r="Q500" s="85">
        <f>IF($M500="",0,IF(($M500-IFERROR(INDEX(設定!$G$6:$G$21,MATCH($G500,設定!$B$6:$B$21,0)),0))*60&gt;=設定!$C$44,ROUND(FLOOR(($M500-IFERROR(INDEX(設定!$G$6:$G$21,MATCH($G500,設定!$B$6:$B$21,0)),0))*60,設定!$C$45)/60,2),0))</f>
        <v/>
      </c>
      <c r="R500" s="16">
        <f>IF(OR($C500="",$Q500=0),"",IF($G500="國","國定假日",IF($B500="日","例假",IF($B500="六","休息日","平日"))))</f>
        <v/>
      </c>
      <c r="S500" s="19" t="n"/>
    </row>
    <row r="501">
      <c r="A501" s="82">
        <f>IF(OR(助理班表!$A21="",3&gt;DAY(EOMONTH(DATE(設定!$C$2,設定!$D$2,1),0))),"",DATE(設定!$C$2,設定!$D$2,3))</f>
        <v/>
      </c>
      <c r="B501" s="16">
        <f>IF($A501="","",INDEX(設定!$O$6:$O$12,WEEKDAY($A501,1)))</f>
        <v/>
      </c>
      <c r="C501" s="16">
        <f>IF($A501="","",助理班表!$A21)</f>
        <v/>
      </c>
      <c r="D501" s="16">
        <f>IF($C501="","",助理班表!$B21)</f>
        <v/>
      </c>
      <c r="E501" s="16">
        <f>IF($C501="","",助理班表!$D21)</f>
        <v/>
      </c>
      <c r="F501" s="16">
        <f>IF($C501="","",助理班表!$C21)</f>
        <v/>
      </c>
      <c r="G501" s="16">
        <f>IF($C501="","",助理班表!G21)</f>
        <v/>
      </c>
      <c r="H501" s="83">
        <f>IF($G501="","",IFERROR(IF(INDEX(設定!$D$6:$D$21,MATCH($G501,設定!$B$6:$B$21,0))=0,"",INDEX(設定!$D$6:$D$21,MATCH($G501,設定!$B$6:$B$21,0))),""))</f>
        <v/>
      </c>
      <c r="I501" s="83">
        <f>IF($G501="","",IFERROR(IF(INDEX(設定!$E$6:$E$21,MATCH($G501,設定!$B$6:$B$21,0))=0,"",INDEX(設定!$E$6:$E$21,MATCH($G501,設定!$B$6:$B$21,0))),""))</f>
        <v/>
      </c>
      <c r="J501" s="83">
        <f>IFERROR(INDEX(打卡匯入!$C$3:$C$2002,MATCH($C501&amp;"|"&amp;DAY($A501),打卡匯入!$E$3:$E$2002,0)),"")</f>
        <v/>
      </c>
      <c r="K501" s="83">
        <f>IFERROR(INDEX(打卡匯入!$D$3:$D$2002,MATCH($C501&amp;"|"&amp;DAY($A501),打卡匯入!$E$3:$E$2002,0)),"")</f>
        <v/>
      </c>
      <c r="L501" s="84">
        <f>IF(OR($J501="",$K501=""),"",IFERROR(INDEX(設定!$F$6:$F$21,MATCH($G501,設定!$B$6:$B$21,0)),0))</f>
        <v/>
      </c>
      <c r="M501" s="85">
        <f>IF(OR($J501="",$K501=""),"",ROUND(($K501-$J501)*24-$L501/60,2))</f>
        <v/>
      </c>
      <c r="N501" s="16">
        <f>IF($C501="","",IF(AND(COUNTIF(設定!$B$15:$B$21,$G501)&gt;0,$J501&lt;&gt;""),"假日出勤",IF(AND(COUNTIF(設定!$B$6:$B$14,$G501)&gt;0,$J501=""),"未打卡",IF($J501="","",IF($O501&gt;0,"遲到",IF($P501&gt;0,"早退","正常"))))))</f>
        <v/>
      </c>
      <c r="O501" s="84">
        <f>IF(OR($C501="",$H501="",$J501=""),0,IF(ROUND(($J501-$H501)*1440,0)&gt;設定!$C$46,ROUND(($J501-$H501)*1440,0),0))</f>
        <v/>
      </c>
      <c r="P501" s="84">
        <f>IF(OR($C501="",$I501="",$K501=""),0,IF(ROUND(($I501-$K501)*1440,0)&gt;設定!$C$46,ROUND(($I501-$K501)*1440,0),0))</f>
        <v/>
      </c>
      <c r="Q501" s="85">
        <f>IF($M501="",0,IF(($M501-IFERROR(INDEX(設定!$G$6:$G$21,MATCH($G501,設定!$B$6:$B$21,0)),0))*60&gt;=設定!$C$44,ROUND(FLOOR(($M501-IFERROR(INDEX(設定!$G$6:$G$21,MATCH($G501,設定!$B$6:$B$21,0)),0))*60,設定!$C$45)/60,2),0))</f>
        <v/>
      </c>
      <c r="R501" s="16">
        <f>IF(OR($C501="",$Q501=0),"",IF($G501="國","國定假日",IF($B501="日","例假",IF($B501="六","休息日","平日"))))</f>
        <v/>
      </c>
      <c r="S501" s="19" t="n"/>
    </row>
    <row r="502">
      <c r="A502" s="82">
        <f>IF(OR(助理班表!$A21="",4&gt;DAY(EOMONTH(DATE(設定!$C$2,設定!$D$2,1),0))),"",DATE(設定!$C$2,設定!$D$2,4))</f>
        <v/>
      </c>
      <c r="B502" s="16">
        <f>IF($A502="","",INDEX(設定!$O$6:$O$12,WEEKDAY($A502,1)))</f>
        <v/>
      </c>
      <c r="C502" s="16">
        <f>IF($A502="","",助理班表!$A21)</f>
        <v/>
      </c>
      <c r="D502" s="16">
        <f>IF($C502="","",助理班表!$B21)</f>
        <v/>
      </c>
      <c r="E502" s="16">
        <f>IF($C502="","",助理班表!$D21)</f>
        <v/>
      </c>
      <c r="F502" s="16">
        <f>IF($C502="","",助理班表!$C21)</f>
        <v/>
      </c>
      <c r="G502" s="16">
        <f>IF($C502="","",助理班表!H21)</f>
        <v/>
      </c>
      <c r="H502" s="83">
        <f>IF($G502="","",IFERROR(IF(INDEX(設定!$D$6:$D$21,MATCH($G502,設定!$B$6:$B$21,0))=0,"",INDEX(設定!$D$6:$D$21,MATCH($G502,設定!$B$6:$B$21,0))),""))</f>
        <v/>
      </c>
      <c r="I502" s="83">
        <f>IF($G502="","",IFERROR(IF(INDEX(設定!$E$6:$E$21,MATCH($G502,設定!$B$6:$B$21,0))=0,"",INDEX(設定!$E$6:$E$21,MATCH($G502,設定!$B$6:$B$21,0))),""))</f>
        <v/>
      </c>
      <c r="J502" s="83">
        <f>IFERROR(INDEX(打卡匯入!$C$3:$C$2002,MATCH($C502&amp;"|"&amp;DAY($A502),打卡匯入!$E$3:$E$2002,0)),"")</f>
        <v/>
      </c>
      <c r="K502" s="83">
        <f>IFERROR(INDEX(打卡匯入!$D$3:$D$2002,MATCH($C502&amp;"|"&amp;DAY($A502),打卡匯入!$E$3:$E$2002,0)),"")</f>
        <v/>
      </c>
      <c r="L502" s="84">
        <f>IF(OR($J502="",$K502=""),"",IFERROR(INDEX(設定!$F$6:$F$21,MATCH($G502,設定!$B$6:$B$21,0)),0))</f>
        <v/>
      </c>
      <c r="M502" s="85">
        <f>IF(OR($J502="",$K502=""),"",ROUND(($K502-$J502)*24-$L502/60,2))</f>
        <v/>
      </c>
      <c r="N502" s="16">
        <f>IF($C502="","",IF(AND(COUNTIF(設定!$B$15:$B$21,$G502)&gt;0,$J502&lt;&gt;""),"假日出勤",IF(AND(COUNTIF(設定!$B$6:$B$14,$G502)&gt;0,$J502=""),"未打卡",IF($J502="","",IF($O502&gt;0,"遲到",IF($P502&gt;0,"早退","正常"))))))</f>
        <v/>
      </c>
      <c r="O502" s="84">
        <f>IF(OR($C502="",$H502="",$J502=""),0,IF(ROUND(($J502-$H502)*1440,0)&gt;設定!$C$46,ROUND(($J502-$H502)*1440,0),0))</f>
        <v/>
      </c>
      <c r="P502" s="84">
        <f>IF(OR($C502="",$I502="",$K502=""),0,IF(ROUND(($I502-$K502)*1440,0)&gt;設定!$C$46,ROUND(($I502-$K502)*1440,0),0))</f>
        <v/>
      </c>
      <c r="Q502" s="85">
        <f>IF($M502="",0,IF(($M502-IFERROR(INDEX(設定!$G$6:$G$21,MATCH($G502,設定!$B$6:$B$21,0)),0))*60&gt;=設定!$C$44,ROUND(FLOOR(($M502-IFERROR(INDEX(設定!$G$6:$G$21,MATCH($G502,設定!$B$6:$B$21,0)),0))*60,設定!$C$45)/60,2),0))</f>
        <v/>
      </c>
      <c r="R502" s="16">
        <f>IF(OR($C502="",$Q502=0),"",IF($G502="國","國定假日",IF($B502="日","例假",IF($B502="六","休息日","平日"))))</f>
        <v/>
      </c>
      <c r="S502" s="19" t="n"/>
    </row>
    <row r="503">
      <c r="A503" s="82">
        <f>IF(OR(助理班表!$A21="",5&gt;DAY(EOMONTH(DATE(設定!$C$2,設定!$D$2,1),0))),"",DATE(設定!$C$2,設定!$D$2,5))</f>
        <v/>
      </c>
      <c r="B503" s="16">
        <f>IF($A503="","",INDEX(設定!$O$6:$O$12,WEEKDAY($A503,1)))</f>
        <v/>
      </c>
      <c r="C503" s="16">
        <f>IF($A503="","",助理班表!$A21)</f>
        <v/>
      </c>
      <c r="D503" s="16">
        <f>IF($C503="","",助理班表!$B21)</f>
        <v/>
      </c>
      <c r="E503" s="16">
        <f>IF($C503="","",助理班表!$D21)</f>
        <v/>
      </c>
      <c r="F503" s="16">
        <f>IF($C503="","",助理班表!$C21)</f>
        <v/>
      </c>
      <c r="G503" s="16">
        <f>IF($C503="","",助理班表!I21)</f>
        <v/>
      </c>
      <c r="H503" s="83">
        <f>IF($G503="","",IFERROR(IF(INDEX(設定!$D$6:$D$21,MATCH($G503,設定!$B$6:$B$21,0))=0,"",INDEX(設定!$D$6:$D$21,MATCH($G503,設定!$B$6:$B$21,0))),""))</f>
        <v/>
      </c>
      <c r="I503" s="83">
        <f>IF($G503="","",IFERROR(IF(INDEX(設定!$E$6:$E$21,MATCH($G503,設定!$B$6:$B$21,0))=0,"",INDEX(設定!$E$6:$E$21,MATCH($G503,設定!$B$6:$B$21,0))),""))</f>
        <v/>
      </c>
      <c r="J503" s="83">
        <f>IFERROR(INDEX(打卡匯入!$C$3:$C$2002,MATCH($C503&amp;"|"&amp;DAY($A503),打卡匯入!$E$3:$E$2002,0)),"")</f>
        <v/>
      </c>
      <c r="K503" s="83">
        <f>IFERROR(INDEX(打卡匯入!$D$3:$D$2002,MATCH($C503&amp;"|"&amp;DAY($A503),打卡匯入!$E$3:$E$2002,0)),"")</f>
        <v/>
      </c>
      <c r="L503" s="84">
        <f>IF(OR($J503="",$K503=""),"",IFERROR(INDEX(設定!$F$6:$F$21,MATCH($G503,設定!$B$6:$B$21,0)),0))</f>
        <v/>
      </c>
      <c r="M503" s="85">
        <f>IF(OR($J503="",$K503=""),"",ROUND(($K503-$J503)*24-$L503/60,2))</f>
        <v/>
      </c>
      <c r="N503" s="16">
        <f>IF($C503="","",IF(AND(COUNTIF(設定!$B$15:$B$21,$G503)&gt;0,$J503&lt;&gt;""),"假日出勤",IF(AND(COUNTIF(設定!$B$6:$B$14,$G503)&gt;0,$J503=""),"未打卡",IF($J503="","",IF($O503&gt;0,"遲到",IF($P503&gt;0,"早退","正常"))))))</f>
        <v/>
      </c>
      <c r="O503" s="84">
        <f>IF(OR($C503="",$H503="",$J503=""),0,IF(ROUND(($J503-$H503)*1440,0)&gt;設定!$C$46,ROUND(($J503-$H503)*1440,0),0))</f>
        <v/>
      </c>
      <c r="P503" s="84">
        <f>IF(OR($C503="",$I503="",$K503=""),0,IF(ROUND(($I503-$K503)*1440,0)&gt;設定!$C$46,ROUND(($I503-$K503)*1440,0),0))</f>
        <v/>
      </c>
      <c r="Q503" s="85">
        <f>IF($M503="",0,IF(($M503-IFERROR(INDEX(設定!$G$6:$G$21,MATCH($G503,設定!$B$6:$B$21,0)),0))*60&gt;=設定!$C$44,ROUND(FLOOR(($M503-IFERROR(INDEX(設定!$G$6:$G$21,MATCH($G503,設定!$B$6:$B$21,0)),0))*60,設定!$C$45)/60,2),0))</f>
        <v/>
      </c>
      <c r="R503" s="16">
        <f>IF(OR($C503="",$Q503=0),"",IF($G503="國","國定假日",IF($B503="日","例假",IF($B503="六","休息日","平日"))))</f>
        <v/>
      </c>
      <c r="S503" s="19" t="n"/>
    </row>
    <row r="504">
      <c r="A504" s="82">
        <f>IF(OR(助理班表!$A21="",6&gt;DAY(EOMONTH(DATE(設定!$C$2,設定!$D$2,1),0))),"",DATE(設定!$C$2,設定!$D$2,6))</f>
        <v/>
      </c>
      <c r="B504" s="16">
        <f>IF($A504="","",INDEX(設定!$O$6:$O$12,WEEKDAY($A504,1)))</f>
        <v/>
      </c>
      <c r="C504" s="16">
        <f>IF($A504="","",助理班表!$A21)</f>
        <v/>
      </c>
      <c r="D504" s="16">
        <f>IF($C504="","",助理班表!$B21)</f>
        <v/>
      </c>
      <c r="E504" s="16">
        <f>IF($C504="","",助理班表!$D21)</f>
        <v/>
      </c>
      <c r="F504" s="16">
        <f>IF($C504="","",助理班表!$C21)</f>
        <v/>
      </c>
      <c r="G504" s="16">
        <f>IF($C504="","",助理班表!J21)</f>
        <v/>
      </c>
      <c r="H504" s="83">
        <f>IF($G504="","",IFERROR(IF(INDEX(設定!$D$6:$D$21,MATCH($G504,設定!$B$6:$B$21,0))=0,"",INDEX(設定!$D$6:$D$21,MATCH($G504,設定!$B$6:$B$21,0))),""))</f>
        <v/>
      </c>
      <c r="I504" s="83">
        <f>IF($G504="","",IFERROR(IF(INDEX(設定!$E$6:$E$21,MATCH($G504,設定!$B$6:$B$21,0))=0,"",INDEX(設定!$E$6:$E$21,MATCH($G504,設定!$B$6:$B$21,0))),""))</f>
        <v/>
      </c>
      <c r="J504" s="83">
        <f>IFERROR(INDEX(打卡匯入!$C$3:$C$2002,MATCH($C504&amp;"|"&amp;DAY($A504),打卡匯入!$E$3:$E$2002,0)),"")</f>
        <v/>
      </c>
      <c r="K504" s="83">
        <f>IFERROR(INDEX(打卡匯入!$D$3:$D$2002,MATCH($C504&amp;"|"&amp;DAY($A504),打卡匯入!$E$3:$E$2002,0)),"")</f>
        <v/>
      </c>
      <c r="L504" s="84">
        <f>IF(OR($J504="",$K504=""),"",IFERROR(INDEX(設定!$F$6:$F$21,MATCH($G504,設定!$B$6:$B$21,0)),0))</f>
        <v/>
      </c>
      <c r="M504" s="85">
        <f>IF(OR($J504="",$K504=""),"",ROUND(($K504-$J504)*24-$L504/60,2))</f>
        <v/>
      </c>
      <c r="N504" s="16">
        <f>IF($C504="","",IF(AND(COUNTIF(設定!$B$15:$B$21,$G504)&gt;0,$J504&lt;&gt;""),"假日出勤",IF(AND(COUNTIF(設定!$B$6:$B$14,$G504)&gt;0,$J504=""),"未打卡",IF($J504="","",IF($O504&gt;0,"遲到",IF($P504&gt;0,"早退","正常"))))))</f>
        <v/>
      </c>
      <c r="O504" s="84">
        <f>IF(OR($C504="",$H504="",$J504=""),0,IF(ROUND(($J504-$H504)*1440,0)&gt;設定!$C$46,ROUND(($J504-$H504)*1440,0),0))</f>
        <v/>
      </c>
      <c r="P504" s="84">
        <f>IF(OR($C504="",$I504="",$K504=""),0,IF(ROUND(($I504-$K504)*1440,0)&gt;設定!$C$46,ROUND(($I504-$K504)*1440,0),0))</f>
        <v/>
      </c>
      <c r="Q504" s="85">
        <f>IF($M504="",0,IF(($M504-IFERROR(INDEX(設定!$G$6:$G$21,MATCH($G504,設定!$B$6:$B$21,0)),0))*60&gt;=設定!$C$44,ROUND(FLOOR(($M504-IFERROR(INDEX(設定!$G$6:$G$21,MATCH($G504,設定!$B$6:$B$21,0)),0))*60,設定!$C$45)/60,2),0))</f>
        <v/>
      </c>
      <c r="R504" s="16">
        <f>IF(OR($C504="",$Q504=0),"",IF($G504="國","國定假日",IF($B504="日","例假",IF($B504="六","休息日","平日"))))</f>
        <v/>
      </c>
      <c r="S504" s="19" t="n"/>
    </row>
    <row r="505">
      <c r="A505" s="82">
        <f>IF(OR(助理班表!$A21="",7&gt;DAY(EOMONTH(DATE(設定!$C$2,設定!$D$2,1),0))),"",DATE(設定!$C$2,設定!$D$2,7))</f>
        <v/>
      </c>
      <c r="B505" s="16">
        <f>IF($A505="","",INDEX(設定!$O$6:$O$12,WEEKDAY($A505,1)))</f>
        <v/>
      </c>
      <c r="C505" s="16">
        <f>IF($A505="","",助理班表!$A21)</f>
        <v/>
      </c>
      <c r="D505" s="16">
        <f>IF($C505="","",助理班表!$B21)</f>
        <v/>
      </c>
      <c r="E505" s="16">
        <f>IF($C505="","",助理班表!$D21)</f>
        <v/>
      </c>
      <c r="F505" s="16">
        <f>IF($C505="","",助理班表!$C21)</f>
        <v/>
      </c>
      <c r="G505" s="16">
        <f>IF($C505="","",助理班表!K21)</f>
        <v/>
      </c>
      <c r="H505" s="83">
        <f>IF($G505="","",IFERROR(IF(INDEX(設定!$D$6:$D$21,MATCH($G505,設定!$B$6:$B$21,0))=0,"",INDEX(設定!$D$6:$D$21,MATCH($G505,設定!$B$6:$B$21,0))),""))</f>
        <v/>
      </c>
      <c r="I505" s="83">
        <f>IF($G505="","",IFERROR(IF(INDEX(設定!$E$6:$E$21,MATCH($G505,設定!$B$6:$B$21,0))=0,"",INDEX(設定!$E$6:$E$21,MATCH($G505,設定!$B$6:$B$21,0))),""))</f>
        <v/>
      </c>
      <c r="J505" s="83">
        <f>IFERROR(INDEX(打卡匯入!$C$3:$C$2002,MATCH($C505&amp;"|"&amp;DAY($A505),打卡匯入!$E$3:$E$2002,0)),"")</f>
        <v/>
      </c>
      <c r="K505" s="83">
        <f>IFERROR(INDEX(打卡匯入!$D$3:$D$2002,MATCH($C505&amp;"|"&amp;DAY($A505),打卡匯入!$E$3:$E$2002,0)),"")</f>
        <v/>
      </c>
      <c r="L505" s="84">
        <f>IF(OR($J505="",$K505=""),"",IFERROR(INDEX(設定!$F$6:$F$21,MATCH($G505,設定!$B$6:$B$21,0)),0))</f>
        <v/>
      </c>
      <c r="M505" s="85">
        <f>IF(OR($J505="",$K505=""),"",ROUND(($K505-$J505)*24-$L505/60,2))</f>
        <v/>
      </c>
      <c r="N505" s="16">
        <f>IF($C505="","",IF(AND(COUNTIF(設定!$B$15:$B$21,$G505)&gt;0,$J505&lt;&gt;""),"假日出勤",IF(AND(COUNTIF(設定!$B$6:$B$14,$G505)&gt;0,$J505=""),"未打卡",IF($J505="","",IF($O505&gt;0,"遲到",IF($P505&gt;0,"早退","正常"))))))</f>
        <v/>
      </c>
      <c r="O505" s="84">
        <f>IF(OR($C505="",$H505="",$J505=""),0,IF(ROUND(($J505-$H505)*1440,0)&gt;設定!$C$46,ROUND(($J505-$H505)*1440,0),0))</f>
        <v/>
      </c>
      <c r="P505" s="84">
        <f>IF(OR($C505="",$I505="",$K505=""),0,IF(ROUND(($I505-$K505)*1440,0)&gt;設定!$C$46,ROUND(($I505-$K505)*1440,0),0))</f>
        <v/>
      </c>
      <c r="Q505" s="85">
        <f>IF($M505="",0,IF(($M505-IFERROR(INDEX(設定!$G$6:$G$21,MATCH($G505,設定!$B$6:$B$21,0)),0))*60&gt;=設定!$C$44,ROUND(FLOOR(($M505-IFERROR(INDEX(設定!$G$6:$G$21,MATCH($G505,設定!$B$6:$B$21,0)),0))*60,設定!$C$45)/60,2),0))</f>
        <v/>
      </c>
      <c r="R505" s="16">
        <f>IF(OR($C505="",$Q505=0),"",IF($G505="國","國定假日",IF($B505="日","例假",IF($B505="六","休息日","平日"))))</f>
        <v/>
      </c>
      <c r="S505" s="19" t="n"/>
    </row>
    <row r="506">
      <c r="A506" s="82">
        <f>IF(OR(助理班表!$A21="",8&gt;DAY(EOMONTH(DATE(設定!$C$2,設定!$D$2,1),0))),"",DATE(設定!$C$2,設定!$D$2,8))</f>
        <v/>
      </c>
      <c r="B506" s="16">
        <f>IF($A506="","",INDEX(設定!$O$6:$O$12,WEEKDAY($A506,1)))</f>
        <v/>
      </c>
      <c r="C506" s="16">
        <f>IF($A506="","",助理班表!$A21)</f>
        <v/>
      </c>
      <c r="D506" s="16">
        <f>IF($C506="","",助理班表!$B21)</f>
        <v/>
      </c>
      <c r="E506" s="16">
        <f>IF($C506="","",助理班表!$D21)</f>
        <v/>
      </c>
      <c r="F506" s="16">
        <f>IF($C506="","",助理班表!$C21)</f>
        <v/>
      </c>
      <c r="G506" s="16">
        <f>IF($C506="","",助理班表!L21)</f>
        <v/>
      </c>
      <c r="H506" s="83">
        <f>IF($G506="","",IFERROR(IF(INDEX(設定!$D$6:$D$21,MATCH($G506,設定!$B$6:$B$21,0))=0,"",INDEX(設定!$D$6:$D$21,MATCH($G506,設定!$B$6:$B$21,0))),""))</f>
        <v/>
      </c>
      <c r="I506" s="83">
        <f>IF($G506="","",IFERROR(IF(INDEX(設定!$E$6:$E$21,MATCH($G506,設定!$B$6:$B$21,0))=0,"",INDEX(設定!$E$6:$E$21,MATCH($G506,設定!$B$6:$B$21,0))),""))</f>
        <v/>
      </c>
      <c r="J506" s="83">
        <f>IFERROR(INDEX(打卡匯入!$C$3:$C$2002,MATCH($C506&amp;"|"&amp;DAY($A506),打卡匯入!$E$3:$E$2002,0)),"")</f>
        <v/>
      </c>
      <c r="K506" s="83">
        <f>IFERROR(INDEX(打卡匯入!$D$3:$D$2002,MATCH($C506&amp;"|"&amp;DAY($A506),打卡匯入!$E$3:$E$2002,0)),"")</f>
        <v/>
      </c>
      <c r="L506" s="84">
        <f>IF(OR($J506="",$K506=""),"",IFERROR(INDEX(設定!$F$6:$F$21,MATCH($G506,設定!$B$6:$B$21,0)),0))</f>
        <v/>
      </c>
      <c r="M506" s="85">
        <f>IF(OR($J506="",$K506=""),"",ROUND(($K506-$J506)*24-$L506/60,2))</f>
        <v/>
      </c>
      <c r="N506" s="16">
        <f>IF($C506="","",IF(AND(COUNTIF(設定!$B$15:$B$21,$G506)&gt;0,$J506&lt;&gt;""),"假日出勤",IF(AND(COUNTIF(設定!$B$6:$B$14,$G506)&gt;0,$J506=""),"未打卡",IF($J506="","",IF($O506&gt;0,"遲到",IF($P506&gt;0,"早退","正常"))))))</f>
        <v/>
      </c>
      <c r="O506" s="84">
        <f>IF(OR($C506="",$H506="",$J506=""),0,IF(ROUND(($J506-$H506)*1440,0)&gt;設定!$C$46,ROUND(($J506-$H506)*1440,0),0))</f>
        <v/>
      </c>
      <c r="P506" s="84">
        <f>IF(OR($C506="",$I506="",$K506=""),0,IF(ROUND(($I506-$K506)*1440,0)&gt;設定!$C$46,ROUND(($I506-$K506)*1440,0),0))</f>
        <v/>
      </c>
      <c r="Q506" s="85">
        <f>IF($M506="",0,IF(($M506-IFERROR(INDEX(設定!$G$6:$G$21,MATCH($G506,設定!$B$6:$B$21,0)),0))*60&gt;=設定!$C$44,ROUND(FLOOR(($M506-IFERROR(INDEX(設定!$G$6:$G$21,MATCH($G506,設定!$B$6:$B$21,0)),0))*60,設定!$C$45)/60,2),0))</f>
        <v/>
      </c>
      <c r="R506" s="16">
        <f>IF(OR($C506="",$Q506=0),"",IF($G506="國","國定假日",IF($B506="日","例假",IF($B506="六","休息日","平日"))))</f>
        <v/>
      </c>
      <c r="S506" s="19" t="n"/>
    </row>
    <row r="507">
      <c r="A507" s="82">
        <f>IF(OR(助理班表!$A21="",9&gt;DAY(EOMONTH(DATE(設定!$C$2,設定!$D$2,1),0))),"",DATE(設定!$C$2,設定!$D$2,9))</f>
        <v/>
      </c>
      <c r="B507" s="16">
        <f>IF($A507="","",INDEX(設定!$O$6:$O$12,WEEKDAY($A507,1)))</f>
        <v/>
      </c>
      <c r="C507" s="16">
        <f>IF($A507="","",助理班表!$A21)</f>
        <v/>
      </c>
      <c r="D507" s="16">
        <f>IF($C507="","",助理班表!$B21)</f>
        <v/>
      </c>
      <c r="E507" s="16">
        <f>IF($C507="","",助理班表!$D21)</f>
        <v/>
      </c>
      <c r="F507" s="16">
        <f>IF($C507="","",助理班表!$C21)</f>
        <v/>
      </c>
      <c r="G507" s="16">
        <f>IF($C507="","",助理班表!M21)</f>
        <v/>
      </c>
      <c r="H507" s="83">
        <f>IF($G507="","",IFERROR(IF(INDEX(設定!$D$6:$D$21,MATCH($G507,設定!$B$6:$B$21,0))=0,"",INDEX(設定!$D$6:$D$21,MATCH($G507,設定!$B$6:$B$21,0))),""))</f>
        <v/>
      </c>
      <c r="I507" s="83">
        <f>IF($G507="","",IFERROR(IF(INDEX(設定!$E$6:$E$21,MATCH($G507,設定!$B$6:$B$21,0))=0,"",INDEX(設定!$E$6:$E$21,MATCH($G507,設定!$B$6:$B$21,0))),""))</f>
        <v/>
      </c>
      <c r="J507" s="83">
        <f>IFERROR(INDEX(打卡匯入!$C$3:$C$2002,MATCH($C507&amp;"|"&amp;DAY($A507),打卡匯入!$E$3:$E$2002,0)),"")</f>
        <v/>
      </c>
      <c r="K507" s="83">
        <f>IFERROR(INDEX(打卡匯入!$D$3:$D$2002,MATCH($C507&amp;"|"&amp;DAY($A507),打卡匯入!$E$3:$E$2002,0)),"")</f>
        <v/>
      </c>
      <c r="L507" s="84">
        <f>IF(OR($J507="",$K507=""),"",IFERROR(INDEX(設定!$F$6:$F$21,MATCH($G507,設定!$B$6:$B$21,0)),0))</f>
        <v/>
      </c>
      <c r="M507" s="85">
        <f>IF(OR($J507="",$K507=""),"",ROUND(($K507-$J507)*24-$L507/60,2))</f>
        <v/>
      </c>
      <c r="N507" s="16">
        <f>IF($C507="","",IF(AND(COUNTIF(設定!$B$15:$B$21,$G507)&gt;0,$J507&lt;&gt;""),"假日出勤",IF(AND(COUNTIF(設定!$B$6:$B$14,$G507)&gt;0,$J507=""),"未打卡",IF($J507="","",IF($O507&gt;0,"遲到",IF($P507&gt;0,"早退","正常"))))))</f>
        <v/>
      </c>
      <c r="O507" s="84">
        <f>IF(OR($C507="",$H507="",$J507=""),0,IF(ROUND(($J507-$H507)*1440,0)&gt;設定!$C$46,ROUND(($J507-$H507)*1440,0),0))</f>
        <v/>
      </c>
      <c r="P507" s="84">
        <f>IF(OR($C507="",$I507="",$K507=""),0,IF(ROUND(($I507-$K507)*1440,0)&gt;設定!$C$46,ROUND(($I507-$K507)*1440,0),0))</f>
        <v/>
      </c>
      <c r="Q507" s="85">
        <f>IF($M507="",0,IF(($M507-IFERROR(INDEX(設定!$G$6:$G$21,MATCH($G507,設定!$B$6:$B$21,0)),0))*60&gt;=設定!$C$44,ROUND(FLOOR(($M507-IFERROR(INDEX(設定!$G$6:$G$21,MATCH($G507,設定!$B$6:$B$21,0)),0))*60,設定!$C$45)/60,2),0))</f>
        <v/>
      </c>
      <c r="R507" s="16">
        <f>IF(OR($C507="",$Q507=0),"",IF($G507="國","國定假日",IF($B507="日","例假",IF($B507="六","休息日","平日"))))</f>
        <v/>
      </c>
      <c r="S507" s="19" t="n"/>
    </row>
    <row r="508">
      <c r="A508" s="82">
        <f>IF(OR(助理班表!$A21="",10&gt;DAY(EOMONTH(DATE(設定!$C$2,設定!$D$2,1),0))),"",DATE(設定!$C$2,設定!$D$2,10))</f>
        <v/>
      </c>
      <c r="B508" s="16">
        <f>IF($A508="","",INDEX(設定!$O$6:$O$12,WEEKDAY($A508,1)))</f>
        <v/>
      </c>
      <c r="C508" s="16">
        <f>IF($A508="","",助理班表!$A21)</f>
        <v/>
      </c>
      <c r="D508" s="16">
        <f>IF($C508="","",助理班表!$B21)</f>
        <v/>
      </c>
      <c r="E508" s="16">
        <f>IF($C508="","",助理班表!$D21)</f>
        <v/>
      </c>
      <c r="F508" s="16">
        <f>IF($C508="","",助理班表!$C21)</f>
        <v/>
      </c>
      <c r="G508" s="16">
        <f>IF($C508="","",助理班表!N21)</f>
        <v/>
      </c>
      <c r="H508" s="83">
        <f>IF($G508="","",IFERROR(IF(INDEX(設定!$D$6:$D$21,MATCH($G508,設定!$B$6:$B$21,0))=0,"",INDEX(設定!$D$6:$D$21,MATCH($G508,設定!$B$6:$B$21,0))),""))</f>
        <v/>
      </c>
      <c r="I508" s="83">
        <f>IF($G508="","",IFERROR(IF(INDEX(設定!$E$6:$E$21,MATCH($G508,設定!$B$6:$B$21,0))=0,"",INDEX(設定!$E$6:$E$21,MATCH($G508,設定!$B$6:$B$21,0))),""))</f>
        <v/>
      </c>
      <c r="J508" s="83">
        <f>IFERROR(INDEX(打卡匯入!$C$3:$C$2002,MATCH($C508&amp;"|"&amp;DAY($A508),打卡匯入!$E$3:$E$2002,0)),"")</f>
        <v/>
      </c>
      <c r="K508" s="83">
        <f>IFERROR(INDEX(打卡匯入!$D$3:$D$2002,MATCH($C508&amp;"|"&amp;DAY($A508),打卡匯入!$E$3:$E$2002,0)),"")</f>
        <v/>
      </c>
      <c r="L508" s="84">
        <f>IF(OR($J508="",$K508=""),"",IFERROR(INDEX(設定!$F$6:$F$21,MATCH($G508,設定!$B$6:$B$21,0)),0))</f>
        <v/>
      </c>
      <c r="M508" s="85">
        <f>IF(OR($J508="",$K508=""),"",ROUND(($K508-$J508)*24-$L508/60,2))</f>
        <v/>
      </c>
      <c r="N508" s="16">
        <f>IF($C508="","",IF(AND(COUNTIF(設定!$B$15:$B$21,$G508)&gt;0,$J508&lt;&gt;""),"假日出勤",IF(AND(COUNTIF(設定!$B$6:$B$14,$G508)&gt;0,$J508=""),"未打卡",IF($J508="","",IF($O508&gt;0,"遲到",IF($P508&gt;0,"早退","正常"))))))</f>
        <v/>
      </c>
      <c r="O508" s="84">
        <f>IF(OR($C508="",$H508="",$J508=""),0,IF(ROUND(($J508-$H508)*1440,0)&gt;設定!$C$46,ROUND(($J508-$H508)*1440,0),0))</f>
        <v/>
      </c>
      <c r="P508" s="84">
        <f>IF(OR($C508="",$I508="",$K508=""),0,IF(ROUND(($I508-$K508)*1440,0)&gt;設定!$C$46,ROUND(($I508-$K508)*1440,0),0))</f>
        <v/>
      </c>
      <c r="Q508" s="85">
        <f>IF($M508="",0,IF(($M508-IFERROR(INDEX(設定!$G$6:$G$21,MATCH($G508,設定!$B$6:$B$21,0)),0))*60&gt;=設定!$C$44,ROUND(FLOOR(($M508-IFERROR(INDEX(設定!$G$6:$G$21,MATCH($G508,設定!$B$6:$B$21,0)),0))*60,設定!$C$45)/60,2),0))</f>
        <v/>
      </c>
      <c r="R508" s="16">
        <f>IF(OR($C508="",$Q508=0),"",IF($G508="國","國定假日",IF($B508="日","例假",IF($B508="六","休息日","平日"))))</f>
        <v/>
      </c>
      <c r="S508" s="19" t="n"/>
    </row>
    <row r="509">
      <c r="A509" s="82">
        <f>IF(OR(助理班表!$A21="",11&gt;DAY(EOMONTH(DATE(設定!$C$2,設定!$D$2,1),0))),"",DATE(設定!$C$2,設定!$D$2,11))</f>
        <v/>
      </c>
      <c r="B509" s="16">
        <f>IF($A509="","",INDEX(設定!$O$6:$O$12,WEEKDAY($A509,1)))</f>
        <v/>
      </c>
      <c r="C509" s="16">
        <f>IF($A509="","",助理班表!$A21)</f>
        <v/>
      </c>
      <c r="D509" s="16">
        <f>IF($C509="","",助理班表!$B21)</f>
        <v/>
      </c>
      <c r="E509" s="16">
        <f>IF($C509="","",助理班表!$D21)</f>
        <v/>
      </c>
      <c r="F509" s="16">
        <f>IF($C509="","",助理班表!$C21)</f>
        <v/>
      </c>
      <c r="G509" s="16">
        <f>IF($C509="","",助理班表!O21)</f>
        <v/>
      </c>
      <c r="H509" s="83">
        <f>IF($G509="","",IFERROR(IF(INDEX(設定!$D$6:$D$21,MATCH($G509,設定!$B$6:$B$21,0))=0,"",INDEX(設定!$D$6:$D$21,MATCH($G509,設定!$B$6:$B$21,0))),""))</f>
        <v/>
      </c>
      <c r="I509" s="83">
        <f>IF($G509="","",IFERROR(IF(INDEX(設定!$E$6:$E$21,MATCH($G509,設定!$B$6:$B$21,0))=0,"",INDEX(設定!$E$6:$E$21,MATCH($G509,設定!$B$6:$B$21,0))),""))</f>
        <v/>
      </c>
      <c r="J509" s="83">
        <f>IFERROR(INDEX(打卡匯入!$C$3:$C$2002,MATCH($C509&amp;"|"&amp;DAY($A509),打卡匯入!$E$3:$E$2002,0)),"")</f>
        <v/>
      </c>
      <c r="K509" s="83">
        <f>IFERROR(INDEX(打卡匯入!$D$3:$D$2002,MATCH($C509&amp;"|"&amp;DAY($A509),打卡匯入!$E$3:$E$2002,0)),"")</f>
        <v/>
      </c>
      <c r="L509" s="84">
        <f>IF(OR($J509="",$K509=""),"",IFERROR(INDEX(設定!$F$6:$F$21,MATCH($G509,設定!$B$6:$B$21,0)),0))</f>
        <v/>
      </c>
      <c r="M509" s="85">
        <f>IF(OR($J509="",$K509=""),"",ROUND(($K509-$J509)*24-$L509/60,2))</f>
        <v/>
      </c>
      <c r="N509" s="16">
        <f>IF($C509="","",IF(AND(COUNTIF(設定!$B$15:$B$21,$G509)&gt;0,$J509&lt;&gt;""),"假日出勤",IF(AND(COUNTIF(設定!$B$6:$B$14,$G509)&gt;0,$J509=""),"未打卡",IF($J509="","",IF($O509&gt;0,"遲到",IF($P509&gt;0,"早退","正常"))))))</f>
        <v/>
      </c>
      <c r="O509" s="84">
        <f>IF(OR($C509="",$H509="",$J509=""),0,IF(ROUND(($J509-$H509)*1440,0)&gt;設定!$C$46,ROUND(($J509-$H509)*1440,0),0))</f>
        <v/>
      </c>
      <c r="P509" s="84">
        <f>IF(OR($C509="",$I509="",$K509=""),0,IF(ROUND(($I509-$K509)*1440,0)&gt;設定!$C$46,ROUND(($I509-$K509)*1440,0),0))</f>
        <v/>
      </c>
      <c r="Q509" s="85">
        <f>IF($M509="",0,IF(($M509-IFERROR(INDEX(設定!$G$6:$G$21,MATCH($G509,設定!$B$6:$B$21,0)),0))*60&gt;=設定!$C$44,ROUND(FLOOR(($M509-IFERROR(INDEX(設定!$G$6:$G$21,MATCH($G509,設定!$B$6:$B$21,0)),0))*60,設定!$C$45)/60,2),0))</f>
        <v/>
      </c>
      <c r="R509" s="16">
        <f>IF(OR($C509="",$Q509=0),"",IF($G509="國","國定假日",IF($B509="日","例假",IF($B509="六","休息日","平日"))))</f>
        <v/>
      </c>
      <c r="S509" s="19" t="n"/>
    </row>
    <row r="510">
      <c r="A510" s="82">
        <f>IF(OR(助理班表!$A21="",12&gt;DAY(EOMONTH(DATE(設定!$C$2,設定!$D$2,1),0))),"",DATE(設定!$C$2,設定!$D$2,12))</f>
        <v/>
      </c>
      <c r="B510" s="16">
        <f>IF($A510="","",INDEX(設定!$O$6:$O$12,WEEKDAY($A510,1)))</f>
        <v/>
      </c>
      <c r="C510" s="16">
        <f>IF($A510="","",助理班表!$A21)</f>
        <v/>
      </c>
      <c r="D510" s="16">
        <f>IF($C510="","",助理班表!$B21)</f>
        <v/>
      </c>
      <c r="E510" s="16">
        <f>IF($C510="","",助理班表!$D21)</f>
        <v/>
      </c>
      <c r="F510" s="16">
        <f>IF($C510="","",助理班表!$C21)</f>
        <v/>
      </c>
      <c r="G510" s="16">
        <f>IF($C510="","",助理班表!P21)</f>
        <v/>
      </c>
      <c r="H510" s="83">
        <f>IF($G510="","",IFERROR(IF(INDEX(設定!$D$6:$D$21,MATCH($G510,設定!$B$6:$B$21,0))=0,"",INDEX(設定!$D$6:$D$21,MATCH($G510,設定!$B$6:$B$21,0))),""))</f>
        <v/>
      </c>
      <c r="I510" s="83">
        <f>IF($G510="","",IFERROR(IF(INDEX(設定!$E$6:$E$21,MATCH($G510,設定!$B$6:$B$21,0))=0,"",INDEX(設定!$E$6:$E$21,MATCH($G510,設定!$B$6:$B$21,0))),""))</f>
        <v/>
      </c>
      <c r="J510" s="83">
        <f>IFERROR(INDEX(打卡匯入!$C$3:$C$2002,MATCH($C510&amp;"|"&amp;DAY($A510),打卡匯入!$E$3:$E$2002,0)),"")</f>
        <v/>
      </c>
      <c r="K510" s="83">
        <f>IFERROR(INDEX(打卡匯入!$D$3:$D$2002,MATCH($C510&amp;"|"&amp;DAY($A510),打卡匯入!$E$3:$E$2002,0)),"")</f>
        <v/>
      </c>
      <c r="L510" s="84">
        <f>IF(OR($J510="",$K510=""),"",IFERROR(INDEX(設定!$F$6:$F$21,MATCH($G510,設定!$B$6:$B$21,0)),0))</f>
        <v/>
      </c>
      <c r="M510" s="85">
        <f>IF(OR($J510="",$K510=""),"",ROUND(($K510-$J510)*24-$L510/60,2))</f>
        <v/>
      </c>
      <c r="N510" s="16">
        <f>IF($C510="","",IF(AND(COUNTIF(設定!$B$15:$B$21,$G510)&gt;0,$J510&lt;&gt;""),"假日出勤",IF(AND(COUNTIF(設定!$B$6:$B$14,$G510)&gt;0,$J510=""),"未打卡",IF($J510="","",IF($O510&gt;0,"遲到",IF($P510&gt;0,"早退","正常"))))))</f>
        <v/>
      </c>
      <c r="O510" s="84">
        <f>IF(OR($C510="",$H510="",$J510=""),0,IF(ROUND(($J510-$H510)*1440,0)&gt;設定!$C$46,ROUND(($J510-$H510)*1440,0),0))</f>
        <v/>
      </c>
      <c r="P510" s="84">
        <f>IF(OR($C510="",$I510="",$K510=""),0,IF(ROUND(($I510-$K510)*1440,0)&gt;設定!$C$46,ROUND(($I510-$K510)*1440,0),0))</f>
        <v/>
      </c>
      <c r="Q510" s="85">
        <f>IF($M510="",0,IF(($M510-IFERROR(INDEX(設定!$G$6:$G$21,MATCH($G510,設定!$B$6:$B$21,0)),0))*60&gt;=設定!$C$44,ROUND(FLOOR(($M510-IFERROR(INDEX(設定!$G$6:$G$21,MATCH($G510,設定!$B$6:$B$21,0)),0))*60,設定!$C$45)/60,2),0))</f>
        <v/>
      </c>
      <c r="R510" s="16">
        <f>IF(OR($C510="",$Q510=0),"",IF($G510="國","國定假日",IF($B510="日","例假",IF($B510="六","休息日","平日"))))</f>
        <v/>
      </c>
      <c r="S510" s="19" t="n"/>
    </row>
    <row r="511">
      <c r="A511" s="82">
        <f>IF(OR(助理班表!$A21="",13&gt;DAY(EOMONTH(DATE(設定!$C$2,設定!$D$2,1),0))),"",DATE(設定!$C$2,設定!$D$2,13))</f>
        <v/>
      </c>
      <c r="B511" s="16">
        <f>IF($A511="","",INDEX(設定!$O$6:$O$12,WEEKDAY($A511,1)))</f>
        <v/>
      </c>
      <c r="C511" s="16">
        <f>IF($A511="","",助理班表!$A21)</f>
        <v/>
      </c>
      <c r="D511" s="16">
        <f>IF($C511="","",助理班表!$B21)</f>
        <v/>
      </c>
      <c r="E511" s="16">
        <f>IF($C511="","",助理班表!$D21)</f>
        <v/>
      </c>
      <c r="F511" s="16">
        <f>IF($C511="","",助理班表!$C21)</f>
        <v/>
      </c>
      <c r="G511" s="16">
        <f>IF($C511="","",助理班表!Q21)</f>
        <v/>
      </c>
      <c r="H511" s="83">
        <f>IF($G511="","",IFERROR(IF(INDEX(設定!$D$6:$D$21,MATCH($G511,設定!$B$6:$B$21,0))=0,"",INDEX(設定!$D$6:$D$21,MATCH($G511,設定!$B$6:$B$21,0))),""))</f>
        <v/>
      </c>
      <c r="I511" s="83">
        <f>IF($G511="","",IFERROR(IF(INDEX(設定!$E$6:$E$21,MATCH($G511,設定!$B$6:$B$21,0))=0,"",INDEX(設定!$E$6:$E$21,MATCH($G511,設定!$B$6:$B$21,0))),""))</f>
        <v/>
      </c>
      <c r="J511" s="83">
        <f>IFERROR(INDEX(打卡匯入!$C$3:$C$2002,MATCH($C511&amp;"|"&amp;DAY($A511),打卡匯入!$E$3:$E$2002,0)),"")</f>
        <v/>
      </c>
      <c r="K511" s="83">
        <f>IFERROR(INDEX(打卡匯入!$D$3:$D$2002,MATCH($C511&amp;"|"&amp;DAY($A511),打卡匯入!$E$3:$E$2002,0)),"")</f>
        <v/>
      </c>
      <c r="L511" s="84">
        <f>IF(OR($J511="",$K511=""),"",IFERROR(INDEX(設定!$F$6:$F$21,MATCH($G511,設定!$B$6:$B$21,0)),0))</f>
        <v/>
      </c>
      <c r="M511" s="85">
        <f>IF(OR($J511="",$K511=""),"",ROUND(($K511-$J511)*24-$L511/60,2))</f>
        <v/>
      </c>
      <c r="N511" s="16">
        <f>IF($C511="","",IF(AND(COUNTIF(設定!$B$15:$B$21,$G511)&gt;0,$J511&lt;&gt;""),"假日出勤",IF(AND(COUNTIF(設定!$B$6:$B$14,$G511)&gt;0,$J511=""),"未打卡",IF($J511="","",IF($O511&gt;0,"遲到",IF($P511&gt;0,"早退","正常"))))))</f>
        <v/>
      </c>
      <c r="O511" s="84">
        <f>IF(OR($C511="",$H511="",$J511=""),0,IF(ROUND(($J511-$H511)*1440,0)&gt;設定!$C$46,ROUND(($J511-$H511)*1440,0),0))</f>
        <v/>
      </c>
      <c r="P511" s="84">
        <f>IF(OR($C511="",$I511="",$K511=""),0,IF(ROUND(($I511-$K511)*1440,0)&gt;設定!$C$46,ROUND(($I511-$K511)*1440,0),0))</f>
        <v/>
      </c>
      <c r="Q511" s="85">
        <f>IF($M511="",0,IF(($M511-IFERROR(INDEX(設定!$G$6:$G$21,MATCH($G511,設定!$B$6:$B$21,0)),0))*60&gt;=設定!$C$44,ROUND(FLOOR(($M511-IFERROR(INDEX(設定!$G$6:$G$21,MATCH($G511,設定!$B$6:$B$21,0)),0))*60,設定!$C$45)/60,2),0))</f>
        <v/>
      </c>
      <c r="R511" s="16">
        <f>IF(OR($C511="",$Q511=0),"",IF($G511="國","國定假日",IF($B511="日","例假",IF($B511="六","休息日","平日"))))</f>
        <v/>
      </c>
      <c r="S511" s="19" t="n"/>
    </row>
    <row r="512">
      <c r="A512" s="82">
        <f>IF(OR(助理班表!$A21="",14&gt;DAY(EOMONTH(DATE(設定!$C$2,設定!$D$2,1),0))),"",DATE(設定!$C$2,設定!$D$2,14))</f>
        <v/>
      </c>
      <c r="B512" s="16">
        <f>IF($A512="","",INDEX(設定!$O$6:$O$12,WEEKDAY($A512,1)))</f>
        <v/>
      </c>
      <c r="C512" s="16">
        <f>IF($A512="","",助理班表!$A21)</f>
        <v/>
      </c>
      <c r="D512" s="16">
        <f>IF($C512="","",助理班表!$B21)</f>
        <v/>
      </c>
      <c r="E512" s="16">
        <f>IF($C512="","",助理班表!$D21)</f>
        <v/>
      </c>
      <c r="F512" s="16">
        <f>IF($C512="","",助理班表!$C21)</f>
        <v/>
      </c>
      <c r="G512" s="16">
        <f>IF($C512="","",助理班表!R21)</f>
        <v/>
      </c>
      <c r="H512" s="83">
        <f>IF($G512="","",IFERROR(IF(INDEX(設定!$D$6:$D$21,MATCH($G512,設定!$B$6:$B$21,0))=0,"",INDEX(設定!$D$6:$D$21,MATCH($G512,設定!$B$6:$B$21,0))),""))</f>
        <v/>
      </c>
      <c r="I512" s="83">
        <f>IF($G512="","",IFERROR(IF(INDEX(設定!$E$6:$E$21,MATCH($G512,設定!$B$6:$B$21,0))=0,"",INDEX(設定!$E$6:$E$21,MATCH($G512,設定!$B$6:$B$21,0))),""))</f>
        <v/>
      </c>
      <c r="J512" s="83">
        <f>IFERROR(INDEX(打卡匯入!$C$3:$C$2002,MATCH($C512&amp;"|"&amp;DAY($A512),打卡匯入!$E$3:$E$2002,0)),"")</f>
        <v/>
      </c>
      <c r="K512" s="83">
        <f>IFERROR(INDEX(打卡匯入!$D$3:$D$2002,MATCH($C512&amp;"|"&amp;DAY($A512),打卡匯入!$E$3:$E$2002,0)),"")</f>
        <v/>
      </c>
      <c r="L512" s="84">
        <f>IF(OR($J512="",$K512=""),"",IFERROR(INDEX(設定!$F$6:$F$21,MATCH($G512,設定!$B$6:$B$21,0)),0))</f>
        <v/>
      </c>
      <c r="M512" s="85">
        <f>IF(OR($J512="",$K512=""),"",ROUND(($K512-$J512)*24-$L512/60,2))</f>
        <v/>
      </c>
      <c r="N512" s="16">
        <f>IF($C512="","",IF(AND(COUNTIF(設定!$B$15:$B$21,$G512)&gt;0,$J512&lt;&gt;""),"假日出勤",IF(AND(COUNTIF(設定!$B$6:$B$14,$G512)&gt;0,$J512=""),"未打卡",IF($J512="","",IF($O512&gt;0,"遲到",IF($P512&gt;0,"早退","正常"))))))</f>
        <v/>
      </c>
      <c r="O512" s="84">
        <f>IF(OR($C512="",$H512="",$J512=""),0,IF(ROUND(($J512-$H512)*1440,0)&gt;設定!$C$46,ROUND(($J512-$H512)*1440,0),0))</f>
        <v/>
      </c>
      <c r="P512" s="84">
        <f>IF(OR($C512="",$I512="",$K512=""),0,IF(ROUND(($I512-$K512)*1440,0)&gt;設定!$C$46,ROUND(($I512-$K512)*1440,0),0))</f>
        <v/>
      </c>
      <c r="Q512" s="85">
        <f>IF($M512="",0,IF(($M512-IFERROR(INDEX(設定!$G$6:$G$21,MATCH($G512,設定!$B$6:$B$21,0)),0))*60&gt;=設定!$C$44,ROUND(FLOOR(($M512-IFERROR(INDEX(設定!$G$6:$G$21,MATCH($G512,設定!$B$6:$B$21,0)),0))*60,設定!$C$45)/60,2),0))</f>
        <v/>
      </c>
      <c r="R512" s="16">
        <f>IF(OR($C512="",$Q512=0),"",IF($G512="國","國定假日",IF($B512="日","例假",IF($B512="六","休息日","平日"))))</f>
        <v/>
      </c>
      <c r="S512" s="19" t="n"/>
    </row>
    <row r="513">
      <c r="A513" s="82">
        <f>IF(OR(助理班表!$A21="",15&gt;DAY(EOMONTH(DATE(設定!$C$2,設定!$D$2,1),0))),"",DATE(設定!$C$2,設定!$D$2,15))</f>
        <v/>
      </c>
      <c r="B513" s="16">
        <f>IF($A513="","",INDEX(設定!$O$6:$O$12,WEEKDAY($A513,1)))</f>
        <v/>
      </c>
      <c r="C513" s="16">
        <f>IF($A513="","",助理班表!$A21)</f>
        <v/>
      </c>
      <c r="D513" s="16">
        <f>IF($C513="","",助理班表!$B21)</f>
        <v/>
      </c>
      <c r="E513" s="16">
        <f>IF($C513="","",助理班表!$D21)</f>
        <v/>
      </c>
      <c r="F513" s="16">
        <f>IF($C513="","",助理班表!$C21)</f>
        <v/>
      </c>
      <c r="G513" s="16">
        <f>IF($C513="","",助理班表!S21)</f>
        <v/>
      </c>
      <c r="H513" s="83">
        <f>IF($G513="","",IFERROR(IF(INDEX(設定!$D$6:$D$21,MATCH($G513,設定!$B$6:$B$21,0))=0,"",INDEX(設定!$D$6:$D$21,MATCH($G513,設定!$B$6:$B$21,0))),""))</f>
        <v/>
      </c>
      <c r="I513" s="83">
        <f>IF($G513="","",IFERROR(IF(INDEX(設定!$E$6:$E$21,MATCH($G513,設定!$B$6:$B$21,0))=0,"",INDEX(設定!$E$6:$E$21,MATCH($G513,設定!$B$6:$B$21,0))),""))</f>
        <v/>
      </c>
      <c r="J513" s="83">
        <f>IFERROR(INDEX(打卡匯入!$C$3:$C$2002,MATCH($C513&amp;"|"&amp;DAY($A513),打卡匯入!$E$3:$E$2002,0)),"")</f>
        <v/>
      </c>
      <c r="K513" s="83">
        <f>IFERROR(INDEX(打卡匯入!$D$3:$D$2002,MATCH($C513&amp;"|"&amp;DAY($A513),打卡匯入!$E$3:$E$2002,0)),"")</f>
        <v/>
      </c>
      <c r="L513" s="84">
        <f>IF(OR($J513="",$K513=""),"",IFERROR(INDEX(設定!$F$6:$F$21,MATCH($G513,設定!$B$6:$B$21,0)),0))</f>
        <v/>
      </c>
      <c r="M513" s="85">
        <f>IF(OR($J513="",$K513=""),"",ROUND(($K513-$J513)*24-$L513/60,2))</f>
        <v/>
      </c>
      <c r="N513" s="16">
        <f>IF($C513="","",IF(AND(COUNTIF(設定!$B$15:$B$21,$G513)&gt;0,$J513&lt;&gt;""),"假日出勤",IF(AND(COUNTIF(設定!$B$6:$B$14,$G513)&gt;0,$J513=""),"未打卡",IF($J513="","",IF($O513&gt;0,"遲到",IF($P513&gt;0,"早退","正常"))))))</f>
        <v/>
      </c>
      <c r="O513" s="84">
        <f>IF(OR($C513="",$H513="",$J513=""),0,IF(ROUND(($J513-$H513)*1440,0)&gt;設定!$C$46,ROUND(($J513-$H513)*1440,0),0))</f>
        <v/>
      </c>
      <c r="P513" s="84">
        <f>IF(OR($C513="",$I513="",$K513=""),0,IF(ROUND(($I513-$K513)*1440,0)&gt;設定!$C$46,ROUND(($I513-$K513)*1440,0),0))</f>
        <v/>
      </c>
      <c r="Q513" s="85">
        <f>IF($M513="",0,IF(($M513-IFERROR(INDEX(設定!$G$6:$G$21,MATCH($G513,設定!$B$6:$B$21,0)),0))*60&gt;=設定!$C$44,ROUND(FLOOR(($M513-IFERROR(INDEX(設定!$G$6:$G$21,MATCH($G513,設定!$B$6:$B$21,0)),0))*60,設定!$C$45)/60,2),0))</f>
        <v/>
      </c>
      <c r="R513" s="16">
        <f>IF(OR($C513="",$Q513=0),"",IF($G513="國","國定假日",IF($B513="日","例假",IF($B513="六","休息日","平日"))))</f>
        <v/>
      </c>
      <c r="S513" s="19" t="n"/>
    </row>
    <row r="514">
      <c r="A514" s="82">
        <f>IF(OR(助理班表!$A21="",16&gt;DAY(EOMONTH(DATE(設定!$C$2,設定!$D$2,1),0))),"",DATE(設定!$C$2,設定!$D$2,16))</f>
        <v/>
      </c>
      <c r="B514" s="16">
        <f>IF($A514="","",INDEX(設定!$O$6:$O$12,WEEKDAY($A514,1)))</f>
        <v/>
      </c>
      <c r="C514" s="16">
        <f>IF($A514="","",助理班表!$A21)</f>
        <v/>
      </c>
      <c r="D514" s="16">
        <f>IF($C514="","",助理班表!$B21)</f>
        <v/>
      </c>
      <c r="E514" s="16">
        <f>IF($C514="","",助理班表!$D21)</f>
        <v/>
      </c>
      <c r="F514" s="16">
        <f>IF($C514="","",助理班表!$C21)</f>
        <v/>
      </c>
      <c r="G514" s="16">
        <f>IF($C514="","",助理班表!T21)</f>
        <v/>
      </c>
      <c r="H514" s="83">
        <f>IF($G514="","",IFERROR(IF(INDEX(設定!$D$6:$D$21,MATCH($G514,設定!$B$6:$B$21,0))=0,"",INDEX(設定!$D$6:$D$21,MATCH($G514,設定!$B$6:$B$21,0))),""))</f>
        <v/>
      </c>
      <c r="I514" s="83">
        <f>IF($G514="","",IFERROR(IF(INDEX(設定!$E$6:$E$21,MATCH($G514,設定!$B$6:$B$21,0))=0,"",INDEX(設定!$E$6:$E$21,MATCH($G514,設定!$B$6:$B$21,0))),""))</f>
        <v/>
      </c>
      <c r="J514" s="83">
        <f>IFERROR(INDEX(打卡匯入!$C$3:$C$2002,MATCH($C514&amp;"|"&amp;DAY($A514),打卡匯入!$E$3:$E$2002,0)),"")</f>
        <v/>
      </c>
      <c r="K514" s="83">
        <f>IFERROR(INDEX(打卡匯入!$D$3:$D$2002,MATCH($C514&amp;"|"&amp;DAY($A514),打卡匯入!$E$3:$E$2002,0)),"")</f>
        <v/>
      </c>
      <c r="L514" s="84">
        <f>IF(OR($J514="",$K514=""),"",IFERROR(INDEX(設定!$F$6:$F$21,MATCH($G514,設定!$B$6:$B$21,0)),0))</f>
        <v/>
      </c>
      <c r="M514" s="85">
        <f>IF(OR($J514="",$K514=""),"",ROUND(($K514-$J514)*24-$L514/60,2))</f>
        <v/>
      </c>
      <c r="N514" s="16">
        <f>IF($C514="","",IF(AND(COUNTIF(設定!$B$15:$B$21,$G514)&gt;0,$J514&lt;&gt;""),"假日出勤",IF(AND(COUNTIF(設定!$B$6:$B$14,$G514)&gt;0,$J514=""),"未打卡",IF($J514="","",IF($O514&gt;0,"遲到",IF($P514&gt;0,"早退","正常"))))))</f>
        <v/>
      </c>
      <c r="O514" s="84">
        <f>IF(OR($C514="",$H514="",$J514=""),0,IF(ROUND(($J514-$H514)*1440,0)&gt;設定!$C$46,ROUND(($J514-$H514)*1440,0),0))</f>
        <v/>
      </c>
      <c r="P514" s="84">
        <f>IF(OR($C514="",$I514="",$K514=""),0,IF(ROUND(($I514-$K514)*1440,0)&gt;設定!$C$46,ROUND(($I514-$K514)*1440,0),0))</f>
        <v/>
      </c>
      <c r="Q514" s="85">
        <f>IF($M514="",0,IF(($M514-IFERROR(INDEX(設定!$G$6:$G$21,MATCH($G514,設定!$B$6:$B$21,0)),0))*60&gt;=設定!$C$44,ROUND(FLOOR(($M514-IFERROR(INDEX(設定!$G$6:$G$21,MATCH($G514,設定!$B$6:$B$21,0)),0))*60,設定!$C$45)/60,2),0))</f>
        <v/>
      </c>
      <c r="R514" s="16">
        <f>IF(OR($C514="",$Q514=0),"",IF($G514="國","國定假日",IF($B514="日","例假",IF($B514="六","休息日","平日"))))</f>
        <v/>
      </c>
      <c r="S514" s="19" t="n"/>
    </row>
    <row r="515">
      <c r="A515" s="82">
        <f>IF(OR(助理班表!$A21="",17&gt;DAY(EOMONTH(DATE(設定!$C$2,設定!$D$2,1),0))),"",DATE(設定!$C$2,設定!$D$2,17))</f>
        <v/>
      </c>
      <c r="B515" s="16">
        <f>IF($A515="","",INDEX(設定!$O$6:$O$12,WEEKDAY($A515,1)))</f>
        <v/>
      </c>
      <c r="C515" s="16">
        <f>IF($A515="","",助理班表!$A21)</f>
        <v/>
      </c>
      <c r="D515" s="16">
        <f>IF($C515="","",助理班表!$B21)</f>
        <v/>
      </c>
      <c r="E515" s="16">
        <f>IF($C515="","",助理班表!$D21)</f>
        <v/>
      </c>
      <c r="F515" s="16">
        <f>IF($C515="","",助理班表!$C21)</f>
        <v/>
      </c>
      <c r="G515" s="16">
        <f>IF($C515="","",助理班表!U21)</f>
        <v/>
      </c>
      <c r="H515" s="83">
        <f>IF($G515="","",IFERROR(IF(INDEX(設定!$D$6:$D$21,MATCH($G515,設定!$B$6:$B$21,0))=0,"",INDEX(設定!$D$6:$D$21,MATCH($G515,設定!$B$6:$B$21,0))),""))</f>
        <v/>
      </c>
      <c r="I515" s="83">
        <f>IF($G515="","",IFERROR(IF(INDEX(設定!$E$6:$E$21,MATCH($G515,設定!$B$6:$B$21,0))=0,"",INDEX(設定!$E$6:$E$21,MATCH($G515,設定!$B$6:$B$21,0))),""))</f>
        <v/>
      </c>
      <c r="J515" s="83">
        <f>IFERROR(INDEX(打卡匯入!$C$3:$C$2002,MATCH($C515&amp;"|"&amp;DAY($A515),打卡匯入!$E$3:$E$2002,0)),"")</f>
        <v/>
      </c>
      <c r="K515" s="83">
        <f>IFERROR(INDEX(打卡匯入!$D$3:$D$2002,MATCH($C515&amp;"|"&amp;DAY($A515),打卡匯入!$E$3:$E$2002,0)),"")</f>
        <v/>
      </c>
      <c r="L515" s="84">
        <f>IF(OR($J515="",$K515=""),"",IFERROR(INDEX(設定!$F$6:$F$21,MATCH($G515,設定!$B$6:$B$21,0)),0))</f>
        <v/>
      </c>
      <c r="M515" s="85">
        <f>IF(OR($J515="",$K515=""),"",ROUND(($K515-$J515)*24-$L515/60,2))</f>
        <v/>
      </c>
      <c r="N515" s="16">
        <f>IF($C515="","",IF(AND(COUNTIF(設定!$B$15:$B$21,$G515)&gt;0,$J515&lt;&gt;""),"假日出勤",IF(AND(COUNTIF(設定!$B$6:$B$14,$G515)&gt;0,$J515=""),"未打卡",IF($J515="","",IF($O515&gt;0,"遲到",IF($P515&gt;0,"早退","正常"))))))</f>
        <v/>
      </c>
      <c r="O515" s="84">
        <f>IF(OR($C515="",$H515="",$J515=""),0,IF(ROUND(($J515-$H515)*1440,0)&gt;設定!$C$46,ROUND(($J515-$H515)*1440,0),0))</f>
        <v/>
      </c>
      <c r="P515" s="84">
        <f>IF(OR($C515="",$I515="",$K515=""),0,IF(ROUND(($I515-$K515)*1440,0)&gt;設定!$C$46,ROUND(($I515-$K515)*1440,0),0))</f>
        <v/>
      </c>
      <c r="Q515" s="85">
        <f>IF($M515="",0,IF(($M515-IFERROR(INDEX(設定!$G$6:$G$21,MATCH($G515,設定!$B$6:$B$21,0)),0))*60&gt;=設定!$C$44,ROUND(FLOOR(($M515-IFERROR(INDEX(設定!$G$6:$G$21,MATCH($G515,設定!$B$6:$B$21,0)),0))*60,設定!$C$45)/60,2),0))</f>
        <v/>
      </c>
      <c r="R515" s="16">
        <f>IF(OR($C515="",$Q515=0),"",IF($G515="國","國定假日",IF($B515="日","例假",IF($B515="六","休息日","平日"))))</f>
        <v/>
      </c>
      <c r="S515" s="19" t="n"/>
    </row>
    <row r="516">
      <c r="A516" s="82">
        <f>IF(OR(助理班表!$A21="",18&gt;DAY(EOMONTH(DATE(設定!$C$2,設定!$D$2,1),0))),"",DATE(設定!$C$2,設定!$D$2,18))</f>
        <v/>
      </c>
      <c r="B516" s="16">
        <f>IF($A516="","",INDEX(設定!$O$6:$O$12,WEEKDAY($A516,1)))</f>
        <v/>
      </c>
      <c r="C516" s="16">
        <f>IF($A516="","",助理班表!$A21)</f>
        <v/>
      </c>
      <c r="D516" s="16">
        <f>IF($C516="","",助理班表!$B21)</f>
        <v/>
      </c>
      <c r="E516" s="16">
        <f>IF($C516="","",助理班表!$D21)</f>
        <v/>
      </c>
      <c r="F516" s="16">
        <f>IF($C516="","",助理班表!$C21)</f>
        <v/>
      </c>
      <c r="G516" s="16">
        <f>IF($C516="","",助理班表!V21)</f>
        <v/>
      </c>
      <c r="H516" s="83">
        <f>IF($G516="","",IFERROR(IF(INDEX(設定!$D$6:$D$21,MATCH($G516,設定!$B$6:$B$21,0))=0,"",INDEX(設定!$D$6:$D$21,MATCH($G516,設定!$B$6:$B$21,0))),""))</f>
        <v/>
      </c>
      <c r="I516" s="83">
        <f>IF($G516="","",IFERROR(IF(INDEX(設定!$E$6:$E$21,MATCH($G516,設定!$B$6:$B$21,0))=0,"",INDEX(設定!$E$6:$E$21,MATCH($G516,設定!$B$6:$B$21,0))),""))</f>
        <v/>
      </c>
      <c r="J516" s="83">
        <f>IFERROR(INDEX(打卡匯入!$C$3:$C$2002,MATCH($C516&amp;"|"&amp;DAY($A516),打卡匯入!$E$3:$E$2002,0)),"")</f>
        <v/>
      </c>
      <c r="K516" s="83">
        <f>IFERROR(INDEX(打卡匯入!$D$3:$D$2002,MATCH($C516&amp;"|"&amp;DAY($A516),打卡匯入!$E$3:$E$2002,0)),"")</f>
        <v/>
      </c>
      <c r="L516" s="84">
        <f>IF(OR($J516="",$K516=""),"",IFERROR(INDEX(設定!$F$6:$F$21,MATCH($G516,設定!$B$6:$B$21,0)),0))</f>
        <v/>
      </c>
      <c r="M516" s="85">
        <f>IF(OR($J516="",$K516=""),"",ROUND(($K516-$J516)*24-$L516/60,2))</f>
        <v/>
      </c>
      <c r="N516" s="16">
        <f>IF($C516="","",IF(AND(COUNTIF(設定!$B$15:$B$21,$G516)&gt;0,$J516&lt;&gt;""),"假日出勤",IF(AND(COUNTIF(設定!$B$6:$B$14,$G516)&gt;0,$J516=""),"未打卡",IF($J516="","",IF($O516&gt;0,"遲到",IF($P516&gt;0,"早退","正常"))))))</f>
        <v/>
      </c>
      <c r="O516" s="84">
        <f>IF(OR($C516="",$H516="",$J516=""),0,IF(ROUND(($J516-$H516)*1440,0)&gt;設定!$C$46,ROUND(($J516-$H516)*1440,0),0))</f>
        <v/>
      </c>
      <c r="P516" s="84">
        <f>IF(OR($C516="",$I516="",$K516=""),0,IF(ROUND(($I516-$K516)*1440,0)&gt;設定!$C$46,ROUND(($I516-$K516)*1440,0),0))</f>
        <v/>
      </c>
      <c r="Q516" s="85">
        <f>IF($M516="",0,IF(($M516-IFERROR(INDEX(設定!$G$6:$G$21,MATCH($G516,設定!$B$6:$B$21,0)),0))*60&gt;=設定!$C$44,ROUND(FLOOR(($M516-IFERROR(INDEX(設定!$G$6:$G$21,MATCH($G516,設定!$B$6:$B$21,0)),0))*60,設定!$C$45)/60,2),0))</f>
        <v/>
      </c>
      <c r="R516" s="16">
        <f>IF(OR($C516="",$Q516=0),"",IF($G516="國","國定假日",IF($B516="日","例假",IF($B516="六","休息日","平日"))))</f>
        <v/>
      </c>
      <c r="S516" s="19" t="n"/>
    </row>
    <row r="517">
      <c r="A517" s="82">
        <f>IF(OR(助理班表!$A21="",19&gt;DAY(EOMONTH(DATE(設定!$C$2,設定!$D$2,1),0))),"",DATE(設定!$C$2,設定!$D$2,19))</f>
        <v/>
      </c>
      <c r="B517" s="16">
        <f>IF($A517="","",INDEX(設定!$O$6:$O$12,WEEKDAY($A517,1)))</f>
        <v/>
      </c>
      <c r="C517" s="16">
        <f>IF($A517="","",助理班表!$A21)</f>
        <v/>
      </c>
      <c r="D517" s="16">
        <f>IF($C517="","",助理班表!$B21)</f>
        <v/>
      </c>
      <c r="E517" s="16">
        <f>IF($C517="","",助理班表!$D21)</f>
        <v/>
      </c>
      <c r="F517" s="16">
        <f>IF($C517="","",助理班表!$C21)</f>
        <v/>
      </c>
      <c r="G517" s="16">
        <f>IF($C517="","",助理班表!W21)</f>
        <v/>
      </c>
      <c r="H517" s="83">
        <f>IF($G517="","",IFERROR(IF(INDEX(設定!$D$6:$D$21,MATCH($G517,設定!$B$6:$B$21,0))=0,"",INDEX(設定!$D$6:$D$21,MATCH($G517,設定!$B$6:$B$21,0))),""))</f>
        <v/>
      </c>
      <c r="I517" s="83">
        <f>IF($G517="","",IFERROR(IF(INDEX(設定!$E$6:$E$21,MATCH($G517,設定!$B$6:$B$21,0))=0,"",INDEX(設定!$E$6:$E$21,MATCH($G517,設定!$B$6:$B$21,0))),""))</f>
        <v/>
      </c>
      <c r="J517" s="83">
        <f>IFERROR(INDEX(打卡匯入!$C$3:$C$2002,MATCH($C517&amp;"|"&amp;DAY($A517),打卡匯入!$E$3:$E$2002,0)),"")</f>
        <v/>
      </c>
      <c r="K517" s="83">
        <f>IFERROR(INDEX(打卡匯入!$D$3:$D$2002,MATCH($C517&amp;"|"&amp;DAY($A517),打卡匯入!$E$3:$E$2002,0)),"")</f>
        <v/>
      </c>
      <c r="L517" s="84">
        <f>IF(OR($J517="",$K517=""),"",IFERROR(INDEX(設定!$F$6:$F$21,MATCH($G517,設定!$B$6:$B$21,0)),0))</f>
        <v/>
      </c>
      <c r="M517" s="85">
        <f>IF(OR($J517="",$K517=""),"",ROUND(($K517-$J517)*24-$L517/60,2))</f>
        <v/>
      </c>
      <c r="N517" s="16">
        <f>IF($C517="","",IF(AND(COUNTIF(設定!$B$15:$B$21,$G517)&gt;0,$J517&lt;&gt;""),"假日出勤",IF(AND(COUNTIF(設定!$B$6:$B$14,$G517)&gt;0,$J517=""),"未打卡",IF($J517="","",IF($O517&gt;0,"遲到",IF($P517&gt;0,"早退","正常"))))))</f>
        <v/>
      </c>
      <c r="O517" s="84">
        <f>IF(OR($C517="",$H517="",$J517=""),0,IF(ROUND(($J517-$H517)*1440,0)&gt;設定!$C$46,ROUND(($J517-$H517)*1440,0),0))</f>
        <v/>
      </c>
      <c r="P517" s="84">
        <f>IF(OR($C517="",$I517="",$K517=""),0,IF(ROUND(($I517-$K517)*1440,0)&gt;設定!$C$46,ROUND(($I517-$K517)*1440,0),0))</f>
        <v/>
      </c>
      <c r="Q517" s="85">
        <f>IF($M517="",0,IF(($M517-IFERROR(INDEX(設定!$G$6:$G$21,MATCH($G517,設定!$B$6:$B$21,0)),0))*60&gt;=設定!$C$44,ROUND(FLOOR(($M517-IFERROR(INDEX(設定!$G$6:$G$21,MATCH($G517,設定!$B$6:$B$21,0)),0))*60,設定!$C$45)/60,2),0))</f>
        <v/>
      </c>
      <c r="R517" s="16">
        <f>IF(OR($C517="",$Q517=0),"",IF($G517="國","國定假日",IF($B517="日","例假",IF($B517="六","休息日","平日"))))</f>
        <v/>
      </c>
      <c r="S517" s="19" t="n"/>
    </row>
    <row r="518">
      <c r="A518" s="82">
        <f>IF(OR(助理班表!$A21="",20&gt;DAY(EOMONTH(DATE(設定!$C$2,設定!$D$2,1),0))),"",DATE(設定!$C$2,設定!$D$2,20))</f>
        <v/>
      </c>
      <c r="B518" s="16">
        <f>IF($A518="","",INDEX(設定!$O$6:$O$12,WEEKDAY($A518,1)))</f>
        <v/>
      </c>
      <c r="C518" s="16">
        <f>IF($A518="","",助理班表!$A21)</f>
        <v/>
      </c>
      <c r="D518" s="16">
        <f>IF($C518="","",助理班表!$B21)</f>
        <v/>
      </c>
      <c r="E518" s="16">
        <f>IF($C518="","",助理班表!$D21)</f>
        <v/>
      </c>
      <c r="F518" s="16">
        <f>IF($C518="","",助理班表!$C21)</f>
        <v/>
      </c>
      <c r="G518" s="16">
        <f>IF($C518="","",助理班表!X21)</f>
        <v/>
      </c>
      <c r="H518" s="83">
        <f>IF($G518="","",IFERROR(IF(INDEX(設定!$D$6:$D$21,MATCH($G518,設定!$B$6:$B$21,0))=0,"",INDEX(設定!$D$6:$D$21,MATCH($G518,設定!$B$6:$B$21,0))),""))</f>
        <v/>
      </c>
      <c r="I518" s="83">
        <f>IF($G518="","",IFERROR(IF(INDEX(設定!$E$6:$E$21,MATCH($G518,設定!$B$6:$B$21,0))=0,"",INDEX(設定!$E$6:$E$21,MATCH($G518,設定!$B$6:$B$21,0))),""))</f>
        <v/>
      </c>
      <c r="J518" s="83">
        <f>IFERROR(INDEX(打卡匯入!$C$3:$C$2002,MATCH($C518&amp;"|"&amp;DAY($A518),打卡匯入!$E$3:$E$2002,0)),"")</f>
        <v/>
      </c>
      <c r="K518" s="83">
        <f>IFERROR(INDEX(打卡匯入!$D$3:$D$2002,MATCH($C518&amp;"|"&amp;DAY($A518),打卡匯入!$E$3:$E$2002,0)),"")</f>
        <v/>
      </c>
      <c r="L518" s="84">
        <f>IF(OR($J518="",$K518=""),"",IFERROR(INDEX(設定!$F$6:$F$21,MATCH($G518,設定!$B$6:$B$21,0)),0))</f>
        <v/>
      </c>
      <c r="M518" s="85">
        <f>IF(OR($J518="",$K518=""),"",ROUND(($K518-$J518)*24-$L518/60,2))</f>
        <v/>
      </c>
      <c r="N518" s="16">
        <f>IF($C518="","",IF(AND(COUNTIF(設定!$B$15:$B$21,$G518)&gt;0,$J518&lt;&gt;""),"假日出勤",IF(AND(COUNTIF(設定!$B$6:$B$14,$G518)&gt;0,$J518=""),"未打卡",IF($J518="","",IF($O518&gt;0,"遲到",IF($P518&gt;0,"早退","正常"))))))</f>
        <v/>
      </c>
      <c r="O518" s="84">
        <f>IF(OR($C518="",$H518="",$J518=""),0,IF(ROUND(($J518-$H518)*1440,0)&gt;設定!$C$46,ROUND(($J518-$H518)*1440,0),0))</f>
        <v/>
      </c>
      <c r="P518" s="84">
        <f>IF(OR($C518="",$I518="",$K518=""),0,IF(ROUND(($I518-$K518)*1440,0)&gt;設定!$C$46,ROUND(($I518-$K518)*1440,0),0))</f>
        <v/>
      </c>
      <c r="Q518" s="85">
        <f>IF($M518="",0,IF(($M518-IFERROR(INDEX(設定!$G$6:$G$21,MATCH($G518,設定!$B$6:$B$21,0)),0))*60&gt;=設定!$C$44,ROUND(FLOOR(($M518-IFERROR(INDEX(設定!$G$6:$G$21,MATCH($G518,設定!$B$6:$B$21,0)),0))*60,設定!$C$45)/60,2),0))</f>
        <v/>
      </c>
      <c r="R518" s="16">
        <f>IF(OR($C518="",$Q518=0),"",IF($G518="國","國定假日",IF($B518="日","例假",IF($B518="六","休息日","平日"))))</f>
        <v/>
      </c>
      <c r="S518" s="19" t="n"/>
    </row>
    <row r="519">
      <c r="A519" s="82">
        <f>IF(OR(助理班表!$A21="",21&gt;DAY(EOMONTH(DATE(設定!$C$2,設定!$D$2,1),0))),"",DATE(設定!$C$2,設定!$D$2,21))</f>
        <v/>
      </c>
      <c r="B519" s="16">
        <f>IF($A519="","",INDEX(設定!$O$6:$O$12,WEEKDAY($A519,1)))</f>
        <v/>
      </c>
      <c r="C519" s="16">
        <f>IF($A519="","",助理班表!$A21)</f>
        <v/>
      </c>
      <c r="D519" s="16">
        <f>IF($C519="","",助理班表!$B21)</f>
        <v/>
      </c>
      <c r="E519" s="16">
        <f>IF($C519="","",助理班表!$D21)</f>
        <v/>
      </c>
      <c r="F519" s="16">
        <f>IF($C519="","",助理班表!$C21)</f>
        <v/>
      </c>
      <c r="G519" s="16">
        <f>IF($C519="","",助理班表!Y21)</f>
        <v/>
      </c>
      <c r="H519" s="83">
        <f>IF($G519="","",IFERROR(IF(INDEX(設定!$D$6:$D$21,MATCH($G519,設定!$B$6:$B$21,0))=0,"",INDEX(設定!$D$6:$D$21,MATCH($G519,設定!$B$6:$B$21,0))),""))</f>
        <v/>
      </c>
      <c r="I519" s="83">
        <f>IF($G519="","",IFERROR(IF(INDEX(設定!$E$6:$E$21,MATCH($G519,設定!$B$6:$B$21,0))=0,"",INDEX(設定!$E$6:$E$21,MATCH($G519,設定!$B$6:$B$21,0))),""))</f>
        <v/>
      </c>
      <c r="J519" s="83">
        <f>IFERROR(INDEX(打卡匯入!$C$3:$C$2002,MATCH($C519&amp;"|"&amp;DAY($A519),打卡匯入!$E$3:$E$2002,0)),"")</f>
        <v/>
      </c>
      <c r="K519" s="83">
        <f>IFERROR(INDEX(打卡匯入!$D$3:$D$2002,MATCH($C519&amp;"|"&amp;DAY($A519),打卡匯入!$E$3:$E$2002,0)),"")</f>
        <v/>
      </c>
      <c r="L519" s="84">
        <f>IF(OR($J519="",$K519=""),"",IFERROR(INDEX(設定!$F$6:$F$21,MATCH($G519,設定!$B$6:$B$21,0)),0))</f>
        <v/>
      </c>
      <c r="M519" s="85">
        <f>IF(OR($J519="",$K519=""),"",ROUND(($K519-$J519)*24-$L519/60,2))</f>
        <v/>
      </c>
      <c r="N519" s="16">
        <f>IF($C519="","",IF(AND(COUNTIF(設定!$B$15:$B$21,$G519)&gt;0,$J519&lt;&gt;""),"假日出勤",IF(AND(COUNTIF(設定!$B$6:$B$14,$G519)&gt;0,$J519=""),"未打卡",IF($J519="","",IF($O519&gt;0,"遲到",IF($P519&gt;0,"早退","正常"))))))</f>
        <v/>
      </c>
      <c r="O519" s="84">
        <f>IF(OR($C519="",$H519="",$J519=""),0,IF(ROUND(($J519-$H519)*1440,0)&gt;設定!$C$46,ROUND(($J519-$H519)*1440,0),0))</f>
        <v/>
      </c>
      <c r="P519" s="84">
        <f>IF(OR($C519="",$I519="",$K519=""),0,IF(ROUND(($I519-$K519)*1440,0)&gt;設定!$C$46,ROUND(($I519-$K519)*1440,0),0))</f>
        <v/>
      </c>
      <c r="Q519" s="85">
        <f>IF($M519="",0,IF(($M519-IFERROR(INDEX(設定!$G$6:$G$21,MATCH($G519,設定!$B$6:$B$21,0)),0))*60&gt;=設定!$C$44,ROUND(FLOOR(($M519-IFERROR(INDEX(設定!$G$6:$G$21,MATCH($G519,設定!$B$6:$B$21,0)),0))*60,設定!$C$45)/60,2),0))</f>
        <v/>
      </c>
      <c r="R519" s="16">
        <f>IF(OR($C519="",$Q519=0),"",IF($G519="國","國定假日",IF($B519="日","例假",IF($B519="六","休息日","平日"))))</f>
        <v/>
      </c>
      <c r="S519" s="19" t="n"/>
    </row>
    <row r="520">
      <c r="A520" s="82">
        <f>IF(OR(助理班表!$A21="",22&gt;DAY(EOMONTH(DATE(設定!$C$2,設定!$D$2,1),0))),"",DATE(設定!$C$2,設定!$D$2,22))</f>
        <v/>
      </c>
      <c r="B520" s="16">
        <f>IF($A520="","",INDEX(設定!$O$6:$O$12,WEEKDAY($A520,1)))</f>
        <v/>
      </c>
      <c r="C520" s="16">
        <f>IF($A520="","",助理班表!$A21)</f>
        <v/>
      </c>
      <c r="D520" s="16">
        <f>IF($C520="","",助理班表!$B21)</f>
        <v/>
      </c>
      <c r="E520" s="16">
        <f>IF($C520="","",助理班表!$D21)</f>
        <v/>
      </c>
      <c r="F520" s="16">
        <f>IF($C520="","",助理班表!$C21)</f>
        <v/>
      </c>
      <c r="G520" s="16">
        <f>IF($C520="","",助理班表!Z21)</f>
        <v/>
      </c>
      <c r="H520" s="83">
        <f>IF($G520="","",IFERROR(IF(INDEX(設定!$D$6:$D$21,MATCH($G520,設定!$B$6:$B$21,0))=0,"",INDEX(設定!$D$6:$D$21,MATCH($G520,設定!$B$6:$B$21,0))),""))</f>
        <v/>
      </c>
      <c r="I520" s="83">
        <f>IF($G520="","",IFERROR(IF(INDEX(設定!$E$6:$E$21,MATCH($G520,設定!$B$6:$B$21,0))=0,"",INDEX(設定!$E$6:$E$21,MATCH($G520,設定!$B$6:$B$21,0))),""))</f>
        <v/>
      </c>
      <c r="J520" s="83">
        <f>IFERROR(INDEX(打卡匯入!$C$3:$C$2002,MATCH($C520&amp;"|"&amp;DAY($A520),打卡匯入!$E$3:$E$2002,0)),"")</f>
        <v/>
      </c>
      <c r="K520" s="83">
        <f>IFERROR(INDEX(打卡匯入!$D$3:$D$2002,MATCH($C520&amp;"|"&amp;DAY($A520),打卡匯入!$E$3:$E$2002,0)),"")</f>
        <v/>
      </c>
      <c r="L520" s="84">
        <f>IF(OR($J520="",$K520=""),"",IFERROR(INDEX(設定!$F$6:$F$21,MATCH($G520,設定!$B$6:$B$21,0)),0))</f>
        <v/>
      </c>
      <c r="M520" s="85">
        <f>IF(OR($J520="",$K520=""),"",ROUND(($K520-$J520)*24-$L520/60,2))</f>
        <v/>
      </c>
      <c r="N520" s="16">
        <f>IF($C520="","",IF(AND(COUNTIF(設定!$B$15:$B$21,$G520)&gt;0,$J520&lt;&gt;""),"假日出勤",IF(AND(COUNTIF(設定!$B$6:$B$14,$G520)&gt;0,$J520=""),"未打卡",IF($J520="","",IF($O520&gt;0,"遲到",IF($P520&gt;0,"早退","正常"))))))</f>
        <v/>
      </c>
      <c r="O520" s="84">
        <f>IF(OR($C520="",$H520="",$J520=""),0,IF(ROUND(($J520-$H520)*1440,0)&gt;設定!$C$46,ROUND(($J520-$H520)*1440,0),0))</f>
        <v/>
      </c>
      <c r="P520" s="84">
        <f>IF(OR($C520="",$I520="",$K520=""),0,IF(ROUND(($I520-$K520)*1440,0)&gt;設定!$C$46,ROUND(($I520-$K520)*1440,0),0))</f>
        <v/>
      </c>
      <c r="Q520" s="85">
        <f>IF($M520="",0,IF(($M520-IFERROR(INDEX(設定!$G$6:$G$21,MATCH($G520,設定!$B$6:$B$21,0)),0))*60&gt;=設定!$C$44,ROUND(FLOOR(($M520-IFERROR(INDEX(設定!$G$6:$G$21,MATCH($G520,設定!$B$6:$B$21,0)),0))*60,設定!$C$45)/60,2),0))</f>
        <v/>
      </c>
      <c r="R520" s="16">
        <f>IF(OR($C520="",$Q520=0),"",IF($G520="國","國定假日",IF($B520="日","例假",IF($B520="六","休息日","平日"))))</f>
        <v/>
      </c>
      <c r="S520" s="19" t="n"/>
    </row>
    <row r="521">
      <c r="A521" s="82">
        <f>IF(OR(助理班表!$A21="",23&gt;DAY(EOMONTH(DATE(設定!$C$2,設定!$D$2,1),0))),"",DATE(設定!$C$2,設定!$D$2,23))</f>
        <v/>
      </c>
      <c r="B521" s="16">
        <f>IF($A521="","",INDEX(設定!$O$6:$O$12,WEEKDAY($A521,1)))</f>
        <v/>
      </c>
      <c r="C521" s="16">
        <f>IF($A521="","",助理班表!$A21)</f>
        <v/>
      </c>
      <c r="D521" s="16">
        <f>IF($C521="","",助理班表!$B21)</f>
        <v/>
      </c>
      <c r="E521" s="16">
        <f>IF($C521="","",助理班表!$D21)</f>
        <v/>
      </c>
      <c r="F521" s="16">
        <f>IF($C521="","",助理班表!$C21)</f>
        <v/>
      </c>
      <c r="G521" s="16">
        <f>IF($C521="","",助理班表!AA21)</f>
        <v/>
      </c>
      <c r="H521" s="83">
        <f>IF($G521="","",IFERROR(IF(INDEX(設定!$D$6:$D$21,MATCH($G521,設定!$B$6:$B$21,0))=0,"",INDEX(設定!$D$6:$D$21,MATCH($G521,設定!$B$6:$B$21,0))),""))</f>
        <v/>
      </c>
      <c r="I521" s="83">
        <f>IF($G521="","",IFERROR(IF(INDEX(設定!$E$6:$E$21,MATCH($G521,設定!$B$6:$B$21,0))=0,"",INDEX(設定!$E$6:$E$21,MATCH($G521,設定!$B$6:$B$21,0))),""))</f>
        <v/>
      </c>
      <c r="J521" s="83">
        <f>IFERROR(INDEX(打卡匯入!$C$3:$C$2002,MATCH($C521&amp;"|"&amp;DAY($A521),打卡匯入!$E$3:$E$2002,0)),"")</f>
        <v/>
      </c>
      <c r="K521" s="83">
        <f>IFERROR(INDEX(打卡匯入!$D$3:$D$2002,MATCH($C521&amp;"|"&amp;DAY($A521),打卡匯入!$E$3:$E$2002,0)),"")</f>
        <v/>
      </c>
      <c r="L521" s="84">
        <f>IF(OR($J521="",$K521=""),"",IFERROR(INDEX(設定!$F$6:$F$21,MATCH($G521,設定!$B$6:$B$21,0)),0))</f>
        <v/>
      </c>
      <c r="M521" s="85">
        <f>IF(OR($J521="",$K521=""),"",ROUND(($K521-$J521)*24-$L521/60,2))</f>
        <v/>
      </c>
      <c r="N521" s="16">
        <f>IF($C521="","",IF(AND(COUNTIF(設定!$B$15:$B$21,$G521)&gt;0,$J521&lt;&gt;""),"假日出勤",IF(AND(COUNTIF(設定!$B$6:$B$14,$G521)&gt;0,$J521=""),"未打卡",IF($J521="","",IF($O521&gt;0,"遲到",IF($P521&gt;0,"早退","正常"))))))</f>
        <v/>
      </c>
      <c r="O521" s="84">
        <f>IF(OR($C521="",$H521="",$J521=""),0,IF(ROUND(($J521-$H521)*1440,0)&gt;設定!$C$46,ROUND(($J521-$H521)*1440,0),0))</f>
        <v/>
      </c>
      <c r="P521" s="84">
        <f>IF(OR($C521="",$I521="",$K521=""),0,IF(ROUND(($I521-$K521)*1440,0)&gt;設定!$C$46,ROUND(($I521-$K521)*1440,0),0))</f>
        <v/>
      </c>
      <c r="Q521" s="85">
        <f>IF($M521="",0,IF(($M521-IFERROR(INDEX(設定!$G$6:$G$21,MATCH($G521,設定!$B$6:$B$21,0)),0))*60&gt;=設定!$C$44,ROUND(FLOOR(($M521-IFERROR(INDEX(設定!$G$6:$G$21,MATCH($G521,設定!$B$6:$B$21,0)),0))*60,設定!$C$45)/60,2),0))</f>
        <v/>
      </c>
      <c r="R521" s="16">
        <f>IF(OR($C521="",$Q521=0),"",IF($G521="國","國定假日",IF($B521="日","例假",IF($B521="六","休息日","平日"))))</f>
        <v/>
      </c>
      <c r="S521" s="19" t="n"/>
    </row>
    <row r="522">
      <c r="A522" s="82">
        <f>IF(OR(助理班表!$A21="",24&gt;DAY(EOMONTH(DATE(設定!$C$2,設定!$D$2,1),0))),"",DATE(設定!$C$2,設定!$D$2,24))</f>
        <v/>
      </c>
      <c r="B522" s="16">
        <f>IF($A522="","",INDEX(設定!$O$6:$O$12,WEEKDAY($A522,1)))</f>
        <v/>
      </c>
      <c r="C522" s="16">
        <f>IF($A522="","",助理班表!$A21)</f>
        <v/>
      </c>
      <c r="D522" s="16">
        <f>IF($C522="","",助理班表!$B21)</f>
        <v/>
      </c>
      <c r="E522" s="16">
        <f>IF($C522="","",助理班表!$D21)</f>
        <v/>
      </c>
      <c r="F522" s="16">
        <f>IF($C522="","",助理班表!$C21)</f>
        <v/>
      </c>
      <c r="G522" s="16">
        <f>IF($C522="","",助理班表!AB21)</f>
        <v/>
      </c>
      <c r="H522" s="83">
        <f>IF($G522="","",IFERROR(IF(INDEX(設定!$D$6:$D$21,MATCH($G522,設定!$B$6:$B$21,0))=0,"",INDEX(設定!$D$6:$D$21,MATCH($G522,設定!$B$6:$B$21,0))),""))</f>
        <v/>
      </c>
      <c r="I522" s="83">
        <f>IF($G522="","",IFERROR(IF(INDEX(設定!$E$6:$E$21,MATCH($G522,設定!$B$6:$B$21,0))=0,"",INDEX(設定!$E$6:$E$21,MATCH($G522,設定!$B$6:$B$21,0))),""))</f>
        <v/>
      </c>
      <c r="J522" s="83">
        <f>IFERROR(INDEX(打卡匯入!$C$3:$C$2002,MATCH($C522&amp;"|"&amp;DAY($A522),打卡匯入!$E$3:$E$2002,0)),"")</f>
        <v/>
      </c>
      <c r="K522" s="83">
        <f>IFERROR(INDEX(打卡匯入!$D$3:$D$2002,MATCH($C522&amp;"|"&amp;DAY($A522),打卡匯入!$E$3:$E$2002,0)),"")</f>
        <v/>
      </c>
      <c r="L522" s="84">
        <f>IF(OR($J522="",$K522=""),"",IFERROR(INDEX(設定!$F$6:$F$21,MATCH($G522,設定!$B$6:$B$21,0)),0))</f>
        <v/>
      </c>
      <c r="M522" s="85">
        <f>IF(OR($J522="",$K522=""),"",ROUND(($K522-$J522)*24-$L522/60,2))</f>
        <v/>
      </c>
      <c r="N522" s="16">
        <f>IF($C522="","",IF(AND(COUNTIF(設定!$B$15:$B$21,$G522)&gt;0,$J522&lt;&gt;""),"假日出勤",IF(AND(COUNTIF(設定!$B$6:$B$14,$G522)&gt;0,$J522=""),"未打卡",IF($J522="","",IF($O522&gt;0,"遲到",IF($P522&gt;0,"早退","正常"))))))</f>
        <v/>
      </c>
      <c r="O522" s="84">
        <f>IF(OR($C522="",$H522="",$J522=""),0,IF(ROUND(($J522-$H522)*1440,0)&gt;設定!$C$46,ROUND(($J522-$H522)*1440,0),0))</f>
        <v/>
      </c>
      <c r="P522" s="84">
        <f>IF(OR($C522="",$I522="",$K522=""),0,IF(ROUND(($I522-$K522)*1440,0)&gt;設定!$C$46,ROUND(($I522-$K522)*1440,0),0))</f>
        <v/>
      </c>
      <c r="Q522" s="85">
        <f>IF($M522="",0,IF(($M522-IFERROR(INDEX(設定!$G$6:$G$21,MATCH($G522,設定!$B$6:$B$21,0)),0))*60&gt;=設定!$C$44,ROUND(FLOOR(($M522-IFERROR(INDEX(設定!$G$6:$G$21,MATCH($G522,設定!$B$6:$B$21,0)),0))*60,設定!$C$45)/60,2),0))</f>
        <v/>
      </c>
      <c r="R522" s="16">
        <f>IF(OR($C522="",$Q522=0),"",IF($G522="國","國定假日",IF($B522="日","例假",IF($B522="六","休息日","平日"))))</f>
        <v/>
      </c>
      <c r="S522" s="19" t="n"/>
    </row>
    <row r="523">
      <c r="A523" s="82">
        <f>IF(OR(助理班表!$A21="",25&gt;DAY(EOMONTH(DATE(設定!$C$2,設定!$D$2,1),0))),"",DATE(設定!$C$2,設定!$D$2,25))</f>
        <v/>
      </c>
      <c r="B523" s="16">
        <f>IF($A523="","",INDEX(設定!$O$6:$O$12,WEEKDAY($A523,1)))</f>
        <v/>
      </c>
      <c r="C523" s="16">
        <f>IF($A523="","",助理班表!$A21)</f>
        <v/>
      </c>
      <c r="D523" s="16">
        <f>IF($C523="","",助理班表!$B21)</f>
        <v/>
      </c>
      <c r="E523" s="16">
        <f>IF($C523="","",助理班表!$D21)</f>
        <v/>
      </c>
      <c r="F523" s="16">
        <f>IF($C523="","",助理班表!$C21)</f>
        <v/>
      </c>
      <c r="G523" s="16">
        <f>IF($C523="","",助理班表!AC21)</f>
        <v/>
      </c>
      <c r="H523" s="83">
        <f>IF($G523="","",IFERROR(IF(INDEX(設定!$D$6:$D$21,MATCH($G523,設定!$B$6:$B$21,0))=0,"",INDEX(設定!$D$6:$D$21,MATCH($G523,設定!$B$6:$B$21,0))),""))</f>
        <v/>
      </c>
      <c r="I523" s="83">
        <f>IF($G523="","",IFERROR(IF(INDEX(設定!$E$6:$E$21,MATCH($G523,設定!$B$6:$B$21,0))=0,"",INDEX(設定!$E$6:$E$21,MATCH($G523,設定!$B$6:$B$21,0))),""))</f>
        <v/>
      </c>
      <c r="J523" s="83">
        <f>IFERROR(INDEX(打卡匯入!$C$3:$C$2002,MATCH($C523&amp;"|"&amp;DAY($A523),打卡匯入!$E$3:$E$2002,0)),"")</f>
        <v/>
      </c>
      <c r="K523" s="83">
        <f>IFERROR(INDEX(打卡匯入!$D$3:$D$2002,MATCH($C523&amp;"|"&amp;DAY($A523),打卡匯入!$E$3:$E$2002,0)),"")</f>
        <v/>
      </c>
      <c r="L523" s="84">
        <f>IF(OR($J523="",$K523=""),"",IFERROR(INDEX(設定!$F$6:$F$21,MATCH($G523,設定!$B$6:$B$21,0)),0))</f>
        <v/>
      </c>
      <c r="M523" s="85">
        <f>IF(OR($J523="",$K523=""),"",ROUND(($K523-$J523)*24-$L523/60,2))</f>
        <v/>
      </c>
      <c r="N523" s="16">
        <f>IF($C523="","",IF(AND(COUNTIF(設定!$B$15:$B$21,$G523)&gt;0,$J523&lt;&gt;""),"假日出勤",IF(AND(COUNTIF(設定!$B$6:$B$14,$G523)&gt;0,$J523=""),"未打卡",IF($J523="","",IF($O523&gt;0,"遲到",IF($P523&gt;0,"早退","正常"))))))</f>
        <v/>
      </c>
      <c r="O523" s="84">
        <f>IF(OR($C523="",$H523="",$J523=""),0,IF(ROUND(($J523-$H523)*1440,0)&gt;設定!$C$46,ROUND(($J523-$H523)*1440,0),0))</f>
        <v/>
      </c>
      <c r="P523" s="84">
        <f>IF(OR($C523="",$I523="",$K523=""),0,IF(ROUND(($I523-$K523)*1440,0)&gt;設定!$C$46,ROUND(($I523-$K523)*1440,0),0))</f>
        <v/>
      </c>
      <c r="Q523" s="85">
        <f>IF($M523="",0,IF(($M523-IFERROR(INDEX(設定!$G$6:$G$21,MATCH($G523,設定!$B$6:$B$21,0)),0))*60&gt;=設定!$C$44,ROUND(FLOOR(($M523-IFERROR(INDEX(設定!$G$6:$G$21,MATCH($G523,設定!$B$6:$B$21,0)),0))*60,設定!$C$45)/60,2),0))</f>
        <v/>
      </c>
      <c r="R523" s="16">
        <f>IF(OR($C523="",$Q523=0),"",IF($G523="國","國定假日",IF($B523="日","例假",IF($B523="六","休息日","平日"))))</f>
        <v/>
      </c>
      <c r="S523" s="19" t="n"/>
    </row>
    <row r="524">
      <c r="A524" s="82">
        <f>IF(OR(助理班表!$A21="",26&gt;DAY(EOMONTH(DATE(設定!$C$2,設定!$D$2,1),0))),"",DATE(設定!$C$2,設定!$D$2,26))</f>
        <v/>
      </c>
      <c r="B524" s="16">
        <f>IF($A524="","",INDEX(設定!$O$6:$O$12,WEEKDAY($A524,1)))</f>
        <v/>
      </c>
      <c r="C524" s="16">
        <f>IF($A524="","",助理班表!$A21)</f>
        <v/>
      </c>
      <c r="D524" s="16">
        <f>IF($C524="","",助理班表!$B21)</f>
        <v/>
      </c>
      <c r="E524" s="16">
        <f>IF($C524="","",助理班表!$D21)</f>
        <v/>
      </c>
      <c r="F524" s="16">
        <f>IF($C524="","",助理班表!$C21)</f>
        <v/>
      </c>
      <c r="G524" s="16">
        <f>IF($C524="","",助理班表!AD21)</f>
        <v/>
      </c>
      <c r="H524" s="83">
        <f>IF($G524="","",IFERROR(IF(INDEX(設定!$D$6:$D$21,MATCH($G524,設定!$B$6:$B$21,0))=0,"",INDEX(設定!$D$6:$D$21,MATCH($G524,設定!$B$6:$B$21,0))),""))</f>
        <v/>
      </c>
      <c r="I524" s="83">
        <f>IF($G524="","",IFERROR(IF(INDEX(設定!$E$6:$E$21,MATCH($G524,設定!$B$6:$B$21,0))=0,"",INDEX(設定!$E$6:$E$21,MATCH($G524,設定!$B$6:$B$21,0))),""))</f>
        <v/>
      </c>
      <c r="J524" s="83">
        <f>IFERROR(INDEX(打卡匯入!$C$3:$C$2002,MATCH($C524&amp;"|"&amp;DAY($A524),打卡匯入!$E$3:$E$2002,0)),"")</f>
        <v/>
      </c>
      <c r="K524" s="83">
        <f>IFERROR(INDEX(打卡匯入!$D$3:$D$2002,MATCH($C524&amp;"|"&amp;DAY($A524),打卡匯入!$E$3:$E$2002,0)),"")</f>
        <v/>
      </c>
      <c r="L524" s="84">
        <f>IF(OR($J524="",$K524=""),"",IFERROR(INDEX(設定!$F$6:$F$21,MATCH($G524,設定!$B$6:$B$21,0)),0))</f>
        <v/>
      </c>
      <c r="M524" s="85">
        <f>IF(OR($J524="",$K524=""),"",ROUND(($K524-$J524)*24-$L524/60,2))</f>
        <v/>
      </c>
      <c r="N524" s="16">
        <f>IF($C524="","",IF(AND(COUNTIF(設定!$B$15:$B$21,$G524)&gt;0,$J524&lt;&gt;""),"假日出勤",IF(AND(COUNTIF(設定!$B$6:$B$14,$G524)&gt;0,$J524=""),"未打卡",IF($J524="","",IF($O524&gt;0,"遲到",IF($P524&gt;0,"早退","正常"))))))</f>
        <v/>
      </c>
      <c r="O524" s="84">
        <f>IF(OR($C524="",$H524="",$J524=""),0,IF(ROUND(($J524-$H524)*1440,0)&gt;設定!$C$46,ROUND(($J524-$H524)*1440,0),0))</f>
        <v/>
      </c>
      <c r="P524" s="84">
        <f>IF(OR($C524="",$I524="",$K524=""),0,IF(ROUND(($I524-$K524)*1440,0)&gt;設定!$C$46,ROUND(($I524-$K524)*1440,0),0))</f>
        <v/>
      </c>
      <c r="Q524" s="85">
        <f>IF($M524="",0,IF(($M524-IFERROR(INDEX(設定!$G$6:$G$21,MATCH($G524,設定!$B$6:$B$21,0)),0))*60&gt;=設定!$C$44,ROUND(FLOOR(($M524-IFERROR(INDEX(設定!$G$6:$G$21,MATCH($G524,設定!$B$6:$B$21,0)),0))*60,設定!$C$45)/60,2),0))</f>
        <v/>
      </c>
      <c r="R524" s="16">
        <f>IF(OR($C524="",$Q524=0),"",IF($G524="國","國定假日",IF($B524="日","例假",IF($B524="六","休息日","平日"))))</f>
        <v/>
      </c>
      <c r="S524" s="19" t="n"/>
    </row>
    <row r="525">
      <c r="A525" s="82">
        <f>IF(OR(助理班表!$A21="",27&gt;DAY(EOMONTH(DATE(設定!$C$2,設定!$D$2,1),0))),"",DATE(設定!$C$2,設定!$D$2,27))</f>
        <v/>
      </c>
      <c r="B525" s="16">
        <f>IF($A525="","",INDEX(設定!$O$6:$O$12,WEEKDAY($A525,1)))</f>
        <v/>
      </c>
      <c r="C525" s="16">
        <f>IF($A525="","",助理班表!$A21)</f>
        <v/>
      </c>
      <c r="D525" s="16">
        <f>IF($C525="","",助理班表!$B21)</f>
        <v/>
      </c>
      <c r="E525" s="16">
        <f>IF($C525="","",助理班表!$D21)</f>
        <v/>
      </c>
      <c r="F525" s="16">
        <f>IF($C525="","",助理班表!$C21)</f>
        <v/>
      </c>
      <c r="G525" s="16">
        <f>IF($C525="","",助理班表!AE21)</f>
        <v/>
      </c>
      <c r="H525" s="83">
        <f>IF($G525="","",IFERROR(IF(INDEX(設定!$D$6:$D$21,MATCH($G525,設定!$B$6:$B$21,0))=0,"",INDEX(設定!$D$6:$D$21,MATCH($G525,設定!$B$6:$B$21,0))),""))</f>
        <v/>
      </c>
      <c r="I525" s="83">
        <f>IF($G525="","",IFERROR(IF(INDEX(設定!$E$6:$E$21,MATCH($G525,設定!$B$6:$B$21,0))=0,"",INDEX(設定!$E$6:$E$21,MATCH($G525,設定!$B$6:$B$21,0))),""))</f>
        <v/>
      </c>
      <c r="J525" s="83">
        <f>IFERROR(INDEX(打卡匯入!$C$3:$C$2002,MATCH($C525&amp;"|"&amp;DAY($A525),打卡匯入!$E$3:$E$2002,0)),"")</f>
        <v/>
      </c>
      <c r="K525" s="83">
        <f>IFERROR(INDEX(打卡匯入!$D$3:$D$2002,MATCH($C525&amp;"|"&amp;DAY($A525),打卡匯入!$E$3:$E$2002,0)),"")</f>
        <v/>
      </c>
      <c r="L525" s="84">
        <f>IF(OR($J525="",$K525=""),"",IFERROR(INDEX(設定!$F$6:$F$21,MATCH($G525,設定!$B$6:$B$21,0)),0))</f>
        <v/>
      </c>
      <c r="M525" s="85">
        <f>IF(OR($J525="",$K525=""),"",ROUND(($K525-$J525)*24-$L525/60,2))</f>
        <v/>
      </c>
      <c r="N525" s="16">
        <f>IF($C525="","",IF(AND(COUNTIF(設定!$B$15:$B$21,$G525)&gt;0,$J525&lt;&gt;""),"假日出勤",IF(AND(COUNTIF(設定!$B$6:$B$14,$G525)&gt;0,$J525=""),"未打卡",IF($J525="","",IF($O525&gt;0,"遲到",IF($P525&gt;0,"早退","正常"))))))</f>
        <v/>
      </c>
      <c r="O525" s="84">
        <f>IF(OR($C525="",$H525="",$J525=""),0,IF(ROUND(($J525-$H525)*1440,0)&gt;設定!$C$46,ROUND(($J525-$H525)*1440,0),0))</f>
        <v/>
      </c>
      <c r="P525" s="84">
        <f>IF(OR($C525="",$I525="",$K525=""),0,IF(ROUND(($I525-$K525)*1440,0)&gt;設定!$C$46,ROUND(($I525-$K525)*1440,0),0))</f>
        <v/>
      </c>
      <c r="Q525" s="85">
        <f>IF($M525="",0,IF(($M525-IFERROR(INDEX(設定!$G$6:$G$21,MATCH($G525,設定!$B$6:$B$21,0)),0))*60&gt;=設定!$C$44,ROUND(FLOOR(($M525-IFERROR(INDEX(設定!$G$6:$G$21,MATCH($G525,設定!$B$6:$B$21,0)),0))*60,設定!$C$45)/60,2),0))</f>
        <v/>
      </c>
      <c r="R525" s="16">
        <f>IF(OR($C525="",$Q525=0),"",IF($G525="國","國定假日",IF($B525="日","例假",IF($B525="六","休息日","平日"))))</f>
        <v/>
      </c>
      <c r="S525" s="19" t="n"/>
    </row>
    <row r="526">
      <c r="A526" s="82">
        <f>IF(OR(助理班表!$A21="",28&gt;DAY(EOMONTH(DATE(設定!$C$2,設定!$D$2,1),0))),"",DATE(設定!$C$2,設定!$D$2,28))</f>
        <v/>
      </c>
      <c r="B526" s="16">
        <f>IF($A526="","",INDEX(設定!$O$6:$O$12,WEEKDAY($A526,1)))</f>
        <v/>
      </c>
      <c r="C526" s="16">
        <f>IF($A526="","",助理班表!$A21)</f>
        <v/>
      </c>
      <c r="D526" s="16">
        <f>IF($C526="","",助理班表!$B21)</f>
        <v/>
      </c>
      <c r="E526" s="16">
        <f>IF($C526="","",助理班表!$D21)</f>
        <v/>
      </c>
      <c r="F526" s="16">
        <f>IF($C526="","",助理班表!$C21)</f>
        <v/>
      </c>
      <c r="G526" s="16">
        <f>IF($C526="","",助理班表!AF21)</f>
        <v/>
      </c>
      <c r="H526" s="83">
        <f>IF($G526="","",IFERROR(IF(INDEX(設定!$D$6:$D$21,MATCH($G526,設定!$B$6:$B$21,0))=0,"",INDEX(設定!$D$6:$D$21,MATCH($G526,設定!$B$6:$B$21,0))),""))</f>
        <v/>
      </c>
      <c r="I526" s="83">
        <f>IF($G526="","",IFERROR(IF(INDEX(設定!$E$6:$E$21,MATCH($G526,設定!$B$6:$B$21,0))=0,"",INDEX(設定!$E$6:$E$21,MATCH($G526,設定!$B$6:$B$21,0))),""))</f>
        <v/>
      </c>
      <c r="J526" s="83">
        <f>IFERROR(INDEX(打卡匯入!$C$3:$C$2002,MATCH($C526&amp;"|"&amp;DAY($A526),打卡匯入!$E$3:$E$2002,0)),"")</f>
        <v/>
      </c>
      <c r="K526" s="83">
        <f>IFERROR(INDEX(打卡匯入!$D$3:$D$2002,MATCH($C526&amp;"|"&amp;DAY($A526),打卡匯入!$E$3:$E$2002,0)),"")</f>
        <v/>
      </c>
      <c r="L526" s="84">
        <f>IF(OR($J526="",$K526=""),"",IFERROR(INDEX(設定!$F$6:$F$21,MATCH($G526,設定!$B$6:$B$21,0)),0))</f>
        <v/>
      </c>
      <c r="M526" s="85">
        <f>IF(OR($J526="",$K526=""),"",ROUND(($K526-$J526)*24-$L526/60,2))</f>
        <v/>
      </c>
      <c r="N526" s="16">
        <f>IF($C526="","",IF(AND(COUNTIF(設定!$B$15:$B$21,$G526)&gt;0,$J526&lt;&gt;""),"假日出勤",IF(AND(COUNTIF(設定!$B$6:$B$14,$G526)&gt;0,$J526=""),"未打卡",IF($J526="","",IF($O526&gt;0,"遲到",IF($P526&gt;0,"早退","正常"))))))</f>
        <v/>
      </c>
      <c r="O526" s="84">
        <f>IF(OR($C526="",$H526="",$J526=""),0,IF(ROUND(($J526-$H526)*1440,0)&gt;設定!$C$46,ROUND(($J526-$H526)*1440,0),0))</f>
        <v/>
      </c>
      <c r="P526" s="84">
        <f>IF(OR($C526="",$I526="",$K526=""),0,IF(ROUND(($I526-$K526)*1440,0)&gt;設定!$C$46,ROUND(($I526-$K526)*1440,0),0))</f>
        <v/>
      </c>
      <c r="Q526" s="85">
        <f>IF($M526="",0,IF(($M526-IFERROR(INDEX(設定!$G$6:$G$21,MATCH($G526,設定!$B$6:$B$21,0)),0))*60&gt;=設定!$C$44,ROUND(FLOOR(($M526-IFERROR(INDEX(設定!$G$6:$G$21,MATCH($G526,設定!$B$6:$B$21,0)),0))*60,設定!$C$45)/60,2),0))</f>
        <v/>
      </c>
      <c r="R526" s="16">
        <f>IF(OR($C526="",$Q526=0),"",IF($G526="國","國定假日",IF($B526="日","例假",IF($B526="六","休息日","平日"))))</f>
        <v/>
      </c>
      <c r="S526" s="19" t="n"/>
    </row>
    <row r="527">
      <c r="A527" s="82">
        <f>IF(OR(助理班表!$A21="",29&gt;DAY(EOMONTH(DATE(設定!$C$2,設定!$D$2,1),0))),"",DATE(設定!$C$2,設定!$D$2,29))</f>
        <v/>
      </c>
      <c r="B527" s="16">
        <f>IF($A527="","",INDEX(設定!$O$6:$O$12,WEEKDAY($A527,1)))</f>
        <v/>
      </c>
      <c r="C527" s="16">
        <f>IF($A527="","",助理班表!$A21)</f>
        <v/>
      </c>
      <c r="D527" s="16">
        <f>IF($C527="","",助理班表!$B21)</f>
        <v/>
      </c>
      <c r="E527" s="16">
        <f>IF($C527="","",助理班表!$D21)</f>
        <v/>
      </c>
      <c r="F527" s="16">
        <f>IF($C527="","",助理班表!$C21)</f>
        <v/>
      </c>
      <c r="G527" s="16">
        <f>IF($C527="","",助理班表!AG21)</f>
        <v/>
      </c>
      <c r="H527" s="83">
        <f>IF($G527="","",IFERROR(IF(INDEX(設定!$D$6:$D$21,MATCH($G527,設定!$B$6:$B$21,0))=0,"",INDEX(設定!$D$6:$D$21,MATCH($G527,設定!$B$6:$B$21,0))),""))</f>
        <v/>
      </c>
      <c r="I527" s="83">
        <f>IF($G527="","",IFERROR(IF(INDEX(設定!$E$6:$E$21,MATCH($G527,設定!$B$6:$B$21,0))=0,"",INDEX(設定!$E$6:$E$21,MATCH($G527,設定!$B$6:$B$21,0))),""))</f>
        <v/>
      </c>
      <c r="J527" s="83">
        <f>IFERROR(INDEX(打卡匯入!$C$3:$C$2002,MATCH($C527&amp;"|"&amp;DAY($A527),打卡匯入!$E$3:$E$2002,0)),"")</f>
        <v/>
      </c>
      <c r="K527" s="83">
        <f>IFERROR(INDEX(打卡匯入!$D$3:$D$2002,MATCH($C527&amp;"|"&amp;DAY($A527),打卡匯入!$E$3:$E$2002,0)),"")</f>
        <v/>
      </c>
      <c r="L527" s="84">
        <f>IF(OR($J527="",$K527=""),"",IFERROR(INDEX(設定!$F$6:$F$21,MATCH($G527,設定!$B$6:$B$21,0)),0))</f>
        <v/>
      </c>
      <c r="M527" s="85">
        <f>IF(OR($J527="",$K527=""),"",ROUND(($K527-$J527)*24-$L527/60,2))</f>
        <v/>
      </c>
      <c r="N527" s="16">
        <f>IF($C527="","",IF(AND(COUNTIF(設定!$B$15:$B$21,$G527)&gt;0,$J527&lt;&gt;""),"假日出勤",IF(AND(COUNTIF(設定!$B$6:$B$14,$G527)&gt;0,$J527=""),"未打卡",IF($J527="","",IF($O527&gt;0,"遲到",IF($P527&gt;0,"早退","正常"))))))</f>
        <v/>
      </c>
      <c r="O527" s="84">
        <f>IF(OR($C527="",$H527="",$J527=""),0,IF(ROUND(($J527-$H527)*1440,0)&gt;設定!$C$46,ROUND(($J527-$H527)*1440,0),0))</f>
        <v/>
      </c>
      <c r="P527" s="84">
        <f>IF(OR($C527="",$I527="",$K527=""),0,IF(ROUND(($I527-$K527)*1440,0)&gt;設定!$C$46,ROUND(($I527-$K527)*1440,0),0))</f>
        <v/>
      </c>
      <c r="Q527" s="85">
        <f>IF($M527="",0,IF(($M527-IFERROR(INDEX(設定!$G$6:$G$21,MATCH($G527,設定!$B$6:$B$21,0)),0))*60&gt;=設定!$C$44,ROUND(FLOOR(($M527-IFERROR(INDEX(設定!$G$6:$G$21,MATCH($G527,設定!$B$6:$B$21,0)),0))*60,設定!$C$45)/60,2),0))</f>
        <v/>
      </c>
      <c r="R527" s="16">
        <f>IF(OR($C527="",$Q527=0),"",IF($G527="國","國定假日",IF($B527="日","例假",IF($B527="六","休息日","平日"))))</f>
        <v/>
      </c>
      <c r="S527" s="19" t="n"/>
    </row>
    <row r="528">
      <c r="A528" s="82">
        <f>IF(OR(助理班表!$A21="",30&gt;DAY(EOMONTH(DATE(設定!$C$2,設定!$D$2,1),0))),"",DATE(設定!$C$2,設定!$D$2,30))</f>
        <v/>
      </c>
      <c r="B528" s="16">
        <f>IF($A528="","",INDEX(設定!$O$6:$O$12,WEEKDAY($A528,1)))</f>
        <v/>
      </c>
      <c r="C528" s="16">
        <f>IF($A528="","",助理班表!$A21)</f>
        <v/>
      </c>
      <c r="D528" s="16">
        <f>IF($C528="","",助理班表!$B21)</f>
        <v/>
      </c>
      <c r="E528" s="16">
        <f>IF($C528="","",助理班表!$D21)</f>
        <v/>
      </c>
      <c r="F528" s="16">
        <f>IF($C528="","",助理班表!$C21)</f>
        <v/>
      </c>
      <c r="G528" s="16">
        <f>IF($C528="","",助理班表!AH21)</f>
        <v/>
      </c>
      <c r="H528" s="83">
        <f>IF($G528="","",IFERROR(IF(INDEX(設定!$D$6:$D$21,MATCH($G528,設定!$B$6:$B$21,0))=0,"",INDEX(設定!$D$6:$D$21,MATCH($G528,設定!$B$6:$B$21,0))),""))</f>
        <v/>
      </c>
      <c r="I528" s="83">
        <f>IF($G528="","",IFERROR(IF(INDEX(設定!$E$6:$E$21,MATCH($G528,設定!$B$6:$B$21,0))=0,"",INDEX(設定!$E$6:$E$21,MATCH($G528,設定!$B$6:$B$21,0))),""))</f>
        <v/>
      </c>
      <c r="J528" s="83">
        <f>IFERROR(INDEX(打卡匯入!$C$3:$C$2002,MATCH($C528&amp;"|"&amp;DAY($A528),打卡匯入!$E$3:$E$2002,0)),"")</f>
        <v/>
      </c>
      <c r="K528" s="83">
        <f>IFERROR(INDEX(打卡匯入!$D$3:$D$2002,MATCH($C528&amp;"|"&amp;DAY($A528),打卡匯入!$E$3:$E$2002,0)),"")</f>
        <v/>
      </c>
      <c r="L528" s="84">
        <f>IF(OR($J528="",$K528=""),"",IFERROR(INDEX(設定!$F$6:$F$21,MATCH($G528,設定!$B$6:$B$21,0)),0))</f>
        <v/>
      </c>
      <c r="M528" s="85">
        <f>IF(OR($J528="",$K528=""),"",ROUND(($K528-$J528)*24-$L528/60,2))</f>
        <v/>
      </c>
      <c r="N528" s="16">
        <f>IF($C528="","",IF(AND(COUNTIF(設定!$B$15:$B$21,$G528)&gt;0,$J528&lt;&gt;""),"假日出勤",IF(AND(COUNTIF(設定!$B$6:$B$14,$G528)&gt;0,$J528=""),"未打卡",IF($J528="","",IF($O528&gt;0,"遲到",IF($P528&gt;0,"早退","正常"))))))</f>
        <v/>
      </c>
      <c r="O528" s="84">
        <f>IF(OR($C528="",$H528="",$J528=""),0,IF(ROUND(($J528-$H528)*1440,0)&gt;設定!$C$46,ROUND(($J528-$H528)*1440,0),0))</f>
        <v/>
      </c>
      <c r="P528" s="84">
        <f>IF(OR($C528="",$I528="",$K528=""),0,IF(ROUND(($I528-$K528)*1440,0)&gt;設定!$C$46,ROUND(($I528-$K528)*1440,0),0))</f>
        <v/>
      </c>
      <c r="Q528" s="85">
        <f>IF($M528="",0,IF(($M528-IFERROR(INDEX(設定!$G$6:$G$21,MATCH($G528,設定!$B$6:$B$21,0)),0))*60&gt;=設定!$C$44,ROUND(FLOOR(($M528-IFERROR(INDEX(設定!$G$6:$G$21,MATCH($G528,設定!$B$6:$B$21,0)),0))*60,設定!$C$45)/60,2),0))</f>
        <v/>
      </c>
      <c r="R528" s="16">
        <f>IF(OR($C528="",$Q528=0),"",IF($G528="國","國定假日",IF($B528="日","例假",IF($B528="六","休息日","平日"))))</f>
        <v/>
      </c>
      <c r="S528" s="19" t="n"/>
    </row>
    <row r="529">
      <c r="A529" s="82">
        <f>IF(OR(助理班表!$A21="",31&gt;DAY(EOMONTH(DATE(設定!$C$2,設定!$D$2,1),0))),"",DATE(設定!$C$2,設定!$D$2,31))</f>
        <v/>
      </c>
      <c r="B529" s="16">
        <f>IF($A529="","",INDEX(設定!$O$6:$O$12,WEEKDAY($A529,1)))</f>
        <v/>
      </c>
      <c r="C529" s="16">
        <f>IF($A529="","",助理班表!$A21)</f>
        <v/>
      </c>
      <c r="D529" s="16">
        <f>IF($C529="","",助理班表!$B21)</f>
        <v/>
      </c>
      <c r="E529" s="16">
        <f>IF($C529="","",助理班表!$D21)</f>
        <v/>
      </c>
      <c r="F529" s="16">
        <f>IF($C529="","",助理班表!$C21)</f>
        <v/>
      </c>
      <c r="G529" s="16">
        <f>IF($C529="","",助理班表!AI21)</f>
        <v/>
      </c>
      <c r="H529" s="83">
        <f>IF($G529="","",IFERROR(IF(INDEX(設定!$D$6:$D$21,MATCH($G529,設定!$B$6:$B$21,0))=0,"",INDEX(設定!$D$6:$D$21,MATCH($G529,設定!$B$6:$B$21,0))),""))</f>
        <v/>
      </c>
      <c r="I529" s="83">
        <f>IF($G529="","",IFERROR(IF(INDEX(設定!$E$6:$E$21,MATCH($G529,設定!$B$6:$B$21,0))=0,"",INDEX(設定!$E$6:$E$21,MATCH($G529,設定!$B$6:$B$21,0))),""))</f>
        <v/>
      </c>
      <c r="J529" s="83">
        <f>IFERROR(INDEX(打卡匯入!$C$3:$C$2002,MATCH($C529&amp;"|"&amp;DAY($A529),打卡匯入!$E$3:$E$2002,0)),"")</f>
        <v/>
      </c>
      <c r="K529" s="83">
        <f>IFERROR(INDEX(打卡匯入!$D$3:$D$2002,MATCH($C529&amp;"|"&amp;DAY($A529),打卡匯入!$E$3:$E$2002,0)),"")</f>
        <v/>
      </c>
      <c r="L529" s="84">
        <f>IF(OR($J529="",$K529=""),"",IFERROR(INDEX(設定!$F$6:$F$21,MATCH($G529,設定!$B$6:$B$21,0)),0))</f>
        <v/>
      </c>
      <c r="M529" s="85">
        <f>IF(OR($J529="",$K529=""),"",ROUND(($K529-$J529)*24-$L529/60,2))</f>
        <v/>
      </c>
      <c r="N529" s="16">
        <f>IF($C529="","",IF(AND(COUNTIF(設定!$B$15:$B$21,$G529)&gt;0,$J529&lt;&gt;""),"假日出勤",IF(AND(COUNTIF(設定!$B$6:$B$14,$G529)&gt;0,$J529=""),"未打卡",IF($J529="","",IF($O529&gt;0,"遲到",IF($P529&gt;0,"早退","正常"))))))</f>
        <v/>
      </c>
      <c r="O529" s="84">
        <f>IF(OR($C529="",$H529="",$J529=""),0,IF(ROUND(($J529-$H529)*1440,0)&gt;設定!$C$46,ROUND(($J529-$H529)*1440,0),0))</f>
        <v/>
      </c>
      <c r="P529" s="84">
        <f>IF(OR($C529="",$I529="",$K529=""),0,IF(ROUND(($I529-$K529)*1440,0)&gt;設定!$C$46,ROUND(($I529-$K529)*1440,0),0))</f>
        <v/>
      </c>
      <c r="Q529" s="85">
        <f>IF($M529="",0,IF(($M529-IFERROR(INDEX(設定!$G$6:$G$21,MATCH($G529,設定!$B$6:$B$21,0)),0))*60&gt;=設定!$C$44,ROUND(FLOOR(($M529-IFERROR(INDEX(設定!$G$6:$G$21,MATCH($G529,設定!$B$6:$B$21,0)),0))*60,設定!$C$45)/60,2),0))</f>
        <v/>
      </c>
      <c r="R529" s="16">
        <f>IF(OR($C529="",$Q529=0),"",IF($G529="國","國定假日",IF($B529="日","例假",IF($B529="六","休息日","平日"))))</f>
        <v/>
      </c>
      <c r="S529" s="19" t="n"/>
    </row>
    <row r="530">
      <c r="A530" s="82">
        <f>IF(OR(助理班表!$A22="",1&gt;DAY(EOMONTH(DATE(設定!$C$2,設定!$D$2,1),0))),"",DATE(設定!$C$2,設定!$D$2,1))</f>
        <v/>
      </c>
      <c r="B530" s="16">
        <f>IF($A530="","",INDEX(設定!$O$6:$O$12,WEEKDAY($A530,1)))</f>
        <v/>
      </c>
      <c r="C530" s="16">
        <f>IF($A530="","",助理班表!$A22)</f>
        <v/>
      </c>
      <c r="D530" s="16">
        <f>IF($C530="","",助理班表!$B22)</f>
        <v/>
      </c>
      <c r="E530" s="16">
        <f>IF($C530="","",助理班表!$D22)</f>
        <v/>
      </c>
      <c r="F530" s="16">
        <f>IF($C530="","",助理班表!$C22)</f>
        <v/>
      </c>
      <c r="G530" s="16">
        <f>IF($C530="","",助理班表!E22)</f>
        <v/>
      </c>
      <c r="H530" s="83">
        <f>IF($G530="","",IFERROR(IF(INDEX(設定!$D$6:$D$21,MATCH($G530,設定!$B$6:$B$21,0))=0,"",INDEX(設定!$D$6:$D$21,MATCH($G530,設定!$B$6:$B$21,0))),""))</f>
        <v/>
      </c>
      <c r="I530" s="83">
        <f>IF($G530="","",IFERROR(IF(INDEX(設定!$E$6:$E$21,MATCH($G530,設定!$B$6:$B$21,0))=0,"",INDEX(設定!$E$6:$E$21,MATCH($G530,設定!$B$6:$B$21,0))),""))</f>
        <v/>
      </c>
      <c r="J530" s="83">
        <f>IFERROR(INDEX(打卡匯入!$C$3:$C$2002,MATCH($C530&amp;"|"&amp;DAY($A530),打卡匯入!$E$3:$E$2002,0)),"")</f>
        <v/>
      </c>
      <c r="K530" s="83">
        <f>IFERROR(INDEX(打卡匯入!$D$3:$D$2002,MATCH($C530&amp;"|"&amp;DAY($A530),打卡匯入!$E$3:$E$2002,0)),"")</f>
        <v/>
      </c>
      <c r="L530" s="84">
        <f>IF(OR($J530="",$K530=""),"",IFERROR(INDEX(設定!$F$6:$F$21,MATCH($G530,設定!$B$6:$B$21,0)),0))</f>
        <v/>
      </c>
      <c r="M530" s="85">
        <f>IF(OR($J530="",$K530=""),"",ROUND(($K530-$J530)*24-$L530/60,2))</f>
        <v/>
      </c>
      <c r="N530" s="16">
        <f>IF($C530="","",IF(AND(COUNTIF(設定!$B$15:$B$21,$G530)&gt;0,$J530&lt;&gt;""),"假日出勤",IF(AND(COUNTIF(設定!$B$6:$B$14,$G530)&gt;0,$J530=""),"未打卡",IF($J530="","",IF($O530&gt;0,"遲到",IF($P530&gt;0,"早退","正常"))))))</f>
        <v/>
      </c>
      <c r="O530" s="84">
        <f>IF(OR($C530="",$H530="",$J530=""),0,IF(ROUND(($J530-$H530)*1440,0)&gt;設定!$C$46,ROUND(($J530-$H530)*1440,0),0))</f>
        <v/>
      </c>
      <c r="P530" s="84">
        <f>IF(OR($C530="",$I530="",$K530=""),0,IF(ROUND(($I530-$K530)*1440,0)&gt;設定!$C$46,ROUND(($I530-$K530)*1440,0),0))</f>
        <v/>
      </c>
      <c r="Q530" s="85">
        <f>IF($M530="",0,IF(($M530-IFERROR(INDEX(設定!$G$6:$G$21,MATCH($G530,設定!$B$6:$B$21,0)),0))*60&gt;=設定!$C$44,ROUND(FLOOR(($M530-IFERROR(INDEX(設定!$G$6:$G$21,MATCH($G530,設定!$B$6:$B$21,0)),0))*60,設定!$C$45)/60,2),0))</f>
        <v/>
      </c>
      <c r="R530" s="16">
        <f>IF(OR($C530="",$Q530=0),"",IF($G530="國","國定假日",IF($B530="日","例假",IF($B530="六","休息日","平日"))))</f>
        <v/>
      </c>
      <c r="S530" s="19" t="n"/>
    </row>
    <row r="531">
      <c r="A531" s="82">
        <f>IF(OR(助理班表!$A22="",2&gt;DAY(EOMONTH(DATE(設定!$C$2,設定!$D$2,1),0))),"",DATE(設定!$C$2,設定!$D$2,2))</f>
        <v/>
      </c>
      <c r="B531" s="16">
        <f>IF($A531="","",INDEX(設定!$O$6:$O$12,WEEKDAY($A531,1)))</f>
        <v/>
      </c>
      <c r="C531" s="16">
        <f>IF($A531="","",助理班表!$A22)</f>
        <v/>
      </c>
      <c r="D531" s="16">
        <f>IF($C531="","",助理班表!$B22)</f>
        <v/>
      </c>
      <c r="E531" s="16">
        <f>IF($C531="","",助理班表!$D22)</f>
        <v/>
      </c>
      <c r="F531" s="16">
        <f>IF($C531="","",助理班表!$C22)</f>
        <v/>
      </c>
      <c r="G531" s="16">
        <f>IF($C531="","",助理班表!F22)</f>
        <v/>
      </c>
      <c r="H531" s="83">
        <f>IF($G531="","",IFERROR(IF(INDEX(設定!$D$6:$D$21,MATCH($G531,設定!$B$6:$B$21,0))=0,"",INDEX(設定!$D$6:$D$21,MATCH($G531,設定!$B$6:$B$21,0))),""))</f>
        <v/>
      </c>
      <c r="I531" s="83">
        <f>IF($G531="","",IFERROR(IF(INDEX(設定!$E$6:$E$21,MATCH($G531,設定!$B$6:$B$21,0))=0,"",INDEX(設定!$E$6:$E$21,MATCH($G531,設定!$B$6:$B$21,0))),""))</f>
        <v/>
      </c>
      <c r="J531" s="83">
        <f>IFERROR(INDEX(打卡匯入!$C$3:$C$2002,MATCH($C531&amp;"|"&amp;DAY($A531),打卡匯入!$E$3:$E$2002,0)),"")</f>
        <v/>
      </c>
      <c r="K531" s="83">
        <f>IFERROR(INDEX(打卡匯入!$D$3:$D$2002,MATCH($C531&amp;"|"&amp;DAY($A531),打卡匯入!$E$3:$E$2002,0)),"")</f>
        <v/>
      </c>
      <c r="L531" s="84">
        <f>IF(OR($J531="",$K531=""),"",IFERROR(INDEX(設定!$F$6:$F$21,MATCH($G531,設定!$B$6:$B$21,0)),0))</f>
        <v/>
      </c>
      <c r="M531" s="85">
        <f>IF(OR($J531="",$K531=""),"",ROUND(($K531-$J531)*24-$L531/60,2))</f>
        <v/>
      </c>
      <c r="N531" s="16">
        <f>IF($C531="","",IF(AND(COUNTIF(設定!$B$15:$B$21,$G531)&gt;0,$J531&lt;&gt;""),"假日出勤",IF(AND(COUNTIF(設定!$B$6:$B$14,$G531)&gt;0,$J531=""),"未打卡",IF($J531="","",IF($O531&gt;0,"遲到",IF($P531&gt;0,"早退","正常"))))))</f>
        <v/>
      </c>
      <c r="O531" s="84">
        <f>IF(OR($C531="",$H531="",$J531=""),0,IF(ROUND(($J531-$H531)*1440,0)&gt;設定!$C$46,ROUND(($J531-$H531)*1440,0),0))</f>
        <v/>
      </c>
      <c r="P531" s="84">
        <f>IF(OR($C531="",$I531="",$K531=""),0,IF(ROUND(($I531-$K531)*1440,0)&gt;設定!$C$46,ROUND(($I531-$K531)*1440,0),0))</f>
        <v/>
      </c>
      <c r="Q531" s="85">
        <f>IF($M531="",0,IF(($M531-IFERROR(INDEX(設定!$G$6:$G$21,MATCH($G531,設定!$B$6:$B$21,0)),0))*60&gt;=設定!$C$44,ROUND(FLOOR(($M531-IFERROR(INDEX(設定!$G$6:$G$21,MATCH($G531,設定!$B$6:$B$21,0)),0))*60,設定!$C$45)/60,2),0))</f>
        <v/>
      </c>
      <c r="R531" s="16">
        <f>IF(OR($C531="",$Q531=0),"",IF($G531="國","國定假日",IF($B531="日","例假",IF($B531="六","休息日","平日"))))</f>
        <v/>
      </c>
      <c r="S531" s="19" t="n"/>
    </row>
    <row r="532">
      <c r="A532" s="82">
        <f>IF(OR(助理班表!$A22="",3&gt;DAY(EOMONTH(DATE(設定!$C$2,設定!$D$2,1),0))),"",DATE(設定!$C$2,設定!$D$2,3))</f>
        <v/>
      </c>
      <c r="B532" s="16">
        <f>IF($A532="","",INDEX(設定!$O$6:$O$12,WEEKDAY($A532,1)))</f>
        <v/>
      </c>
      <c r="C532" s="16">
        <f>IF($A532="","",助理班表!$A22)</f>
        <v/>
      </c>
      <c r="D532" s="16">
        <f>IF($C532="","",助理班表!$B22)</f>
        <v/>
      </c>
      <c r="E532" s="16">
        <f>IF($C532="","",助理班表!$D22)</f>
        <v/>
      </c>
      <c r="F532" s="16">
        <f>IF($C532="","",助理班表!$C22)</f>
        <v/>
      </c>
      <c r="G532" s="16">
        <f>IF($C532="","",助理班表!G22)</f>
        <v/>
      </c>
      <c r="H532" s="83">
        <f>IF($G532="","",IFERROR(IF(INDEX(設定!$D$6:$D$21,MATCH($G532,設定!$B$6:$B$21,0))=0,"",INDEX(設定!$D$6:$D$21,MATCH($G532,設定!$B$6:$B$21,0))),""))</f>
        <v/>
      </c>
      <c r="I532" s="83">
        <f>IF($G532="","",IFERROR(IF(INDEX(設定!$E$6:$E$21,MATCH($G532,設定!$B$6:$B$21,0))=0,"",INDEX(設定!$E$6:$E$21,MATCH($G532,設定!$B$6:$B$21,0))),""))</f>
        <v/>
      </c>
      <c r="J532" s="83">
        <f>IFERROR(INDEX(打卡匯入!$C$3:$C$2002,MATCH($C532&amp;"|"&amp;DAY($A532),打卡匯入!$E$3:$E$2002,0)),"")</f>
        <v/>
      </c>
      <c r="K532" s="83">
        <f>IFERROR(INDEX(打卡匯入!$D$3:$D$2002,MATCH($C532&amp;"|"&amp;DAY($A532),打卡匯入!$E$3:$E$2002,0)),"")</f>
        <v/>
      </c>
      <c r="L532" s="84">
        <f>IF(OR($J532="",$K532=""),"",IFERROR(INDEX(設定!$F$6:$F$21,MATCH($G532,設定!$B$6:$B$21,0)),0))</f>
        <v/>
      </c>
      <c r="M532" s="85">
        <f>IF(OR($J532="",$K532=""),"",ROUND(($K532-$J532)*24-$L532/60,2))</f>
        <v/>
      </c>
      <c r="N532" s="16">
        <f>IF($C532="","",IF(AND(COUNTIF(設定!$B$15:$B$21,$G532)&gt;0,$J532&lt;&gt;""),"假日出勤",IF(AND(COUNTIF(設定!$B$6:$B$14,$G532)&gt;0,$J532=""),"未打卡",IF($J532="","",IF($O532&gt;0,"遲到",IF($P532&gt;0,"早退","正常"))))))</f>
        <v/>
      </c>
      <c r="O532" s="84">
        <f>IF(OR($C532="",$H532="",$J532=""),0,IF(ROUND(($J532-$H532)*1440,0)&gt;設定!$C$46,ROUND(($J532-$H532)*1440,0),0))</f>
        <v/>
      </c>
      <c r="P532" s="84">
        <f>IF(OR($C532="",$I532="",$K532=""),0,IF(ROUND(($I532-$K532)*1440,0)&gt;設定!$C$46,ROUND(($I532-$K532)*1440,0),0))</f>
        <v/>
      </c>
      <c r="Q532" s="85">
        <f>IF($M532="",0,IF(($M532-IFERROR(INDEX(設定!$G$6:$G$21,MATCH($G532,設定!$B$6:$B$21,0)),0))*60&gt;=設定!$C$44,ROUND(FLOOR(($M532-IFERROR(INDEX(設定!$G$6:$G$21,MATCH($G532,設定!$B$6:$B$21,0)),0))*60,設定!$C$45)/60,2),0))</f>
        <v/>
      </c>
      <c r="R532" s="16">
        <f>IF(OR($C532="",$Q532=0),"",IF($G532="國","國定假日",IF($B532="日","例假",IF($B532="六","休息日","平日"))))</f>
        <v/>
      </c>
      <c r="S532" s="19" t="n"/>
    </row>
    <row r="533">
      <c r="A533" s="82">
        <f>IF(OR(助理班表!$A22="",4&gt;DAY(EOMONTH(DATE(設定!$C$2,設定!$D$2,1),0))),"",DATE(設定!$C$2,設定!$D$2,4))</f>
        <v/>
      </c>
      <c r="B533" s="16">
        <f>IF($A533="","",INDEX(設定!$O$6:$O$12,WEEKDAY($A533,1)))</f>
        <v/>
      </c>
      <c r="C533" s="16">
        <f>IF($A533="","",助理班表!$A22)</f>
        <v/>
      </c>
      <c r="D533" s="16">
        <f>IF($C533="","",助理班表!$B22)</f>
        <v/>
      </c>
      <c r="E533" s="16">
        <f>IF($C533="","",助理班表!$D22)</f>
        <v/>
      </c>
      <c r="F533" s="16">
        <f>IF($C533="","",助理班表!$C22)</f>
        <v/>
      </c>
      <c r="G533" s="16">
        <f>IF($C533="","",助理班表!H22)</f>
        <v/>
      </c>
      <c r="H533" s="83">
        <f>IF($G533="","",IFERROR(IF(INDEX(設定!$D$6:$D$21,MATCH($G533,設定!$B$6:$B$21,0))=0,"",INDEX(設定!$D$6:$D$21,MATCH($G533,設定!$B$6:$B$21,0))),""))</f>
        <v/>
      </c>
      <c r="I533" s="83">
        <f>IF($G533="","",IFERROR(IF(INDEX(設定!$E$6:$E$21,MATCH($G533,設定!$B$6:$B$21,0))=0,"",INDEX(設定!$E$6:$E$21,MATCH($G533,設定!$B$6:$B$21,0))),""))</f>
        <v/>
      </c>
      <c r="J533" s="83">
        <f>IFERROR(INDEX(打卡匯入!$C$3:$C$2002,MATCH($C533&amp;"|"&amp;DAY($A533),打卡匯入!$E$3:$E$2002,0)),"")</f>
        <v/>
      </c>
      <c r="K533" s="83">
        <f>IFERROR(INDEX(打卡匯入!$D$3:$D$2002,MATCH($C533&amp;"|"&amp;DAY($A533),打卡匯入!$E$3:$E$2002,0)),"")</f>
        <v/>
      </c>
      <c r="L533" s="84">
        <f>IF(OR($J533="",$K533=""),"",IFERROR(INDEX(設定!$F$6:$F$21,MATCH($G533,設定!$B$6:$B$21,0)),0))</f>
        <v/>
      </c>
      <c r="M533" s="85">
        <f>IF(OR($J533="",$K533=""),"",ROUND(($K533-$J533)*24-$L533/60,2))</f>
        <v/>
      </c>
      <c r="N533" s="16">
        <f>IF($C533="","",IF(AND(COUNTIF(設定!$B$15:$B$21,$G533)&gt;0,$J533&lt;&gt;""),"假日出勤",IF(AND(COUNTIF(設定!$B$6:$B$14,$G533)&gt;0,$J533=""),"未打卡",IF($J533="","",IF($O533&gt;0,"遲到",IF($P533&gt;0,"早退","正常"))))))</f>
        <v/>
      </c>
      <c r="O533" s="84">
        <f>IF(OR($C533="",$H533="",$J533=""),0,IF(ROUND(($J533-$H533)*1440,0)&gt;設定!$C$46,ROUND(($J533-$H533)*1440,0),0))</f>
        <v/>
      </c>
      <c r="P533" s="84">
        <f>IF(OR($C533="",$I533="",$K533=""),0,IF(ROUND(($I533-$K533)*1440,0)&gt;設定!$C$46,ROUND(($I533-$K533)*1440,0),0))</f>
        <v/>
      </c>
      <c r="Q533" s="85">
        <f>IF($M533="",0,IF(($M533-IFERROR(INDEX(設定!$G$6:$G$21,MATCH($G533,設定!$B$6:$B$21,0)),0))*60&gt;=設定!$C$44,ROUND(FLOOR(($M533-IFERROR(INDEX(設定!$G$6:$G$21,MATCH($G533,設定!$B$6:$B$21,0)),0))*60,設定!$C$45)/60,2),0))</f>
        <v/>
      </c>
      <c r="R533" s="16">
        <f>IF(OR($C533="",$Q533=0),"",IF($G533="國","國定假日",IF($B533="日","例假",IF($B533="六","休息日","平日"))))</f>
        <v/>
      </c>
      <c r="S533" s="19" t="n"/>
    </row>
    <row r="534">
      <c r="A534" s="82">
        <f>IF(OR(助理班表!$A22="",5&gt;DAY(EOMONTH(DATE(設定!$C$2,設定!$D$2,1),0))),"",DATE(設定!$C$2,設定!$D$2,5))</f>
        <v/>
      </c>
      <c r="B534" s="16">
        <f>IF($A534="","",INDEX(設定!$O$6:$O$12,WEEKDAY($A534,1)))</f>
        <v/>
      </c>
      <c r="C534" s="16">
        <f>IF($A534="","",助理班表!$A22)</f>
        <v/>
      </c>
      <c r="D534" s="16">
        <f>IF($C534="","",助理班表!$B22)</f>
        <v/>
      </c>
      <c r="E534" s="16">
        <f>IF($C534="","",助理班表!$D22)</f>
        <v/>
      </c>
      <c r="F534" s="16">
        <f>IF($C534="","",助理班表!$C22)</f>
        <v/>
      </c>
      <c r="G534" s="16">
        <f>IF($C534="","",助理班表!I22)</f>
        <v/>
      </c>
      <c r="H534" s="83">
        <f>IF($G534="","",IFERROR(IF(INDEX(設定!$D$6:$D$21,MATCH($G534,設定!$B$6:$B$21,0))=0,"",INDEX(設定!$D$6:$D$21,MATCH($G534,設定!$B$6:$B$21,0))),""))</f>
        <v/>
      </c>
      <c r="I534" s="83">
        <f>IF($G534="","",IFERROR(IF(INDEX(設定!$E$6:$E$21,MATCH($G534,設定!$B$6:$B$21,0))=0,"",INDEX(設定!$E$6:$E$21,MATCH($G534,設定!$B$6:$B$21,0))),""))</f>
        <v/>
      </c>
      <c r="J534" s="83">
        <f>IFERROR(INDEX(打卡匯入!$C$3:$C$2002,MATCH($C534&amp;"|"&amp;DAY($A534),打卡匯入!$E$3:$E$2002,0)),"")</f>
        <v/>
      </c>
      <c r="K534" s="83">
        <f>IFERROR(INDEX(打卡匯入!$D$3:$D$2002,MATCH($C534&amp;"|"&amp;DAY($A534),打卡匯入!$E$3:$E$2002,0)),"")</f>
        <v/>
      </c>
      <c r="L534" s="84">
        <f>IF(OR($J534="",$K534=""),"",IFERROR(INDEX(設定!$F$6:$F$21,MATCH($G534,設定!$B$6:$B$21,0)),0))</f>
        <v/>
      </c>
      <c r="M534" s="85">
        <f>IF(OR($J534="",$K534=""),"",ROUND(($K534-$J534)*24-$L534/60,2))</f>
        <v/>
      </c>
      <c r="N534" s="16">
        <f>IF($C534="","",IF(AND(COUNTIF(設定!$B$15:$B$21,$G534)&gt;0,$J534&lt;&gt;""),"假日出勤",IF(AND(COUNTIF(設定!$B$6:$B$14,$G534)&gt;0,$J534=""),"未打卡",IF($J534="","",IF($O534&gt;0,"遲到",IF($P534&gt;0,"早退","正常"))))))</f>
        <v/>
      </c>
      <c r="O534" s="84">
        <f>IF(OR($C534="",$H534="",$J534=""),0,IF(ROUND(($J534-$H534)*1440,0)&gt;設定!$C$46,ROUND(($J534-$H534)*1440,0),0))</f>
        <v/>
      </c>
      <c r="P534" s="84">
        <f>IF(OR($C534="",$I534="",$K534=""),0,IF(ROUND(($I534-$K534)*1440,0)&gt;設定!$C$46,ROUND(($I534-$K534)*1440,0),0))</f>
        <v/>
      </c>
      <c r="Q534" s="85">
        <f>IF($M534="",0,IF(($M534-IFERROR(INDEX(設定!$G$6:$G$21,MATCH($G534,設定!$B$6:$B$21,0)),0))*60&gt;=設定!$C$44,ROUND(FLOOR(($M534-IFERROR(INDEX(設定!$G$6:$G$21,MATCH($G534,設定!$B$6:$B$21,0)),0))*60,設定!$C$45)/60,2),0))</f>
        <v/>
      </c>
      <c r="R534" s="16">
        <f>IF(OR($C534="",$Q534=0),"",IF($G534="國","國定假日",IF($B534="日","例假",IF($B534="六","休息日","平日"))))</f>
        <v/>
      </c>
      <c r="S534" s="19" t="n"/>
    </row>
    <row r="535">
      <c r="A535" s="82">
        <f>IF(OR(助理班表!$A22="",6&gt;DAY(EOMONTH(DATE(設定!$C$2,設定!$D$2,1),0))),"",DATE(設定!$C$2,設定!$D$2,6))</f>
        <v/>
      </c>
      <c r="B535" s="16">
        <f>IF($A535="","",INDEX(設定!$O$6:$O$12,WEEKDAY($A535,1)))</f>
        <v/>
      </c>
      <c r="C535" s="16">
        <f>IF($A535="","",助理班表!$A22)</f>
        <v/>
      </c>
      <c r="D535" s="16">
        <f>IF($C535="","",助理班表!$B22)</f>
        <v/>
      </c>
      <c r="E535" s="16">
        <f>IF($C535="","",助理班表!$D22)</f>
        <v/>
      </c>
      <c r="F535" s="16">
        <f>IF($C535="","",助理班表!$C22)</f>
        <v/>
      </c>
      <c r="G535" s="16">
        <f>IF($C535="","",助理班表!J22)</f>
        <v/>
      </c>
      <c r="H535" s="83">
        <f>IF($G535="","",IFERROR(IF(INDEX(設定!$D$6:$D$21,MATCH($G535,設定!$B$6:$B$21,0))=0,"",INDEX(設定!$D$6:$D$21,MATCH($G535,設定!$B$6:$B$21,0))),""))</f>
        <v/>
      </c>
      <c r="I535" s="83">
        <f>IF($G535="","",IFERROR(IF(INDEX(設定!$E$6:$E$21,MATCH($G535,設定!$B$6:$B$21,0))=0,"",INDEX(設定!$E$6:$E$21,MATCH($G535,設定!$B$6:$B$21,0))),""))</f>
        <v/>
      </c>
      <c r="J535" s="83">
        <f>IFERROR(INDEX(打卡匯入!$C$3:$C$2002,MATCH($C535&amp;"|"&amp;DAY($A535),打卡匯入!$E$3:$E$2002,0)),"")</f>
        <v/>
      </c>
      <c r="K535" s="83">
        <f>IFERROR(INDEX(打卡匯入!$D$3:$D$2002,MATCH($C535&amp;"|"&amp;DAY($A535),打卡匯入!$E$3:$E$2002,0)),"")</f>
        <v/>
      </c>
      <c r="L535" s="84">
        <f>IF(OR($J535="",$K535=""),"",IFERROR(INDEX(設定!$F$6:$F$21,MATCH($G535,設定!$B$6:$B$21,0)),0))</f>
        <v/>
      </c>
      <c r="M535" s="85">
        <f>IF(OR($J535="",$K535=""),"",ROUND(($K535-$J535)*24-$L535/60,2))</f>
        <v/>
      </c>
      <c r="N535" s="16">
        <f>IF($C535="","",IF(AND(COUNTIF(設定!$B$15:$B$21,$G535)&gt;0,$J535&lt;&gt;""),"假日出勤",IF(AND(COUNTIF(設定!$B$6:$B$14,$G535)&gt;0,$J535=""),"未打卡",IF($J535="","",IF($O535&gt;0,"遲到",IF($P535&gt;0,"早退","正常"))))))</f>
        <v/>
      </c>
      <c r="O535" s="84">
        <f>IF(OR($C535="",$H535="",$J535=""),0,IF(ROUND(($J535-$H535)*1440,0)&gt;設定!$C$46,ROUND(($J535-$H535)*1440,0),0))</f>
        <v/>
      </c>
      <c r="P535" s="84">
        <f>IF(OR($C535="",$I535="",$K535=""),0,IF(ROUND(($I535-$K535)*1440,0)&gt;設定!$C$46,ROUND(($I535-$K535)*1440,0),0))</f>
        <v/>
      </c>
      <c r="Q535" s="85">
        <f>IF($M535="",0,IF(($M535-IFERROR(INDEX(設定!$G$6:$G$21,MATCH($G535,設定!$B$6:$B$21,0)),0))*60&gt;=設定!$C$44,ROUND(FLOOR(($M535-IFERROR(INDEX(設定!$G$6:$G$21,MATCH($G535,設定!$B$6:$B$21,0)),0))*60,設定!$C$45)/60,2),0))</f>
        <v/>
      </c>
      <c r="R535" s="16">
        <f>IF(OR($C535="",$Q535=0),"",IF($G535="國","國定假日",IF($B535="日","例假",IF($B535="六","休息日","平日"))))</f>
        <v/>
      </c>
      <c r="S535" s="19" t="n"/>
    </row>
    <row r="536">
      <c r="A536" s="82">
        <f>IF(OR(助理班表!$A22="",7&gt;DAY(EOMONTH(DATE(設定!$C$2,設定!$D$2,1),0))),"",DATE(設定!$C$2,設定!$D$2,7))</f>
        <v/>
      </c>
      <c r="B536" s="16">
        <f>IF($A536="","",INDEX(設定!$O$6:$O$12,WEEKDAY($A536,1)))</f>
        <v/>
      </c>
      <c r="C536" s="16">
        <f>IF($A536="","",助理班表!$A22)</f>
        <v/>
      </c>
      <c r="D536" s="16">
        <f>IF($C536="","",助理班表!$B22)</f>
        <v/>
      </c>
      <c r="E536" s="16">
        <f>IF($C536="","",助理班表!$D22)</f>
        <v/>
      </c>
      <c r="F536" s="16">
        <f>IF($C536="","",助理班表!$C22)</f>
        <v/>
      </c>
      <c r="G536" s="16">
        <f>IF($C536="","",助理班表!K22)</f>
        <v/>
      </c>
      <c r="H536" s="83">
        <f>IF($G536="","",IFERROR(IF(INDEX(設定!$D$6:$D$21,MATCH($G536,設定!$B$6:$B$21,0))=0,"",INDEX(設定!$D$6:$D$21,MATCH($G536,設定!$B$6:$B$21,0))),""))</f>
        <v/>
      </c>
      <c r="I536" s="83">
        <f>IF($G536="","",IFERROR(IF(INDEX(設定!$E$6:$E$21,MATCH($G536,設定!$B$6:$B$21,0))=0,"",INDEX(設定!$E$6:$E$21,MATCH($G536,設定!$B$6:$B$21,0))),""))</f>
        <v/>
      </c>
      <c r="J536" s="83">
        <f>IFERROR(INDEX(打卡匯入!$C$3:$C$2002,MATCH($C536&amp;"|"&amp;DAY($A536),打卡匯入!$E$3:$E$2002,0)),"")</f>
        <v/>
      </c>
      <c r="K536" s="83">
        <f>IFERROR(INDEX(打卡匯入!$D$3:$D$2002,MATCH($C536&amp;"|"&amp;DAY($A536),打卡匯入!$E$3:$E$2002,0)),"")</f>
        <v/>
      </c>
      <c r="L536" s="84">
        <f>IF(OR($J536="",$K536=""),"",IFERROR(INDEX(設定!$F$6:$F$21,MATCH($G536,設定!$B$6:$B$21,0)),0))</f>
        <v/>
      </c>
      <c r="M536" s="85">
        <f>IF(OR($J536="",$K536=""),"",ROUND(($K536-$J536)*24-$L536/60,2))</f>
        <v/>
      </c>
      <c r="N536" s="16">
        <f>IF($C536="","",IF(AND(COUNTIF(設定!$B$15:$B$21,$G536)&gt;0,$J536&lt;&gt;""),"假日出勤",IF(AND(COUNTIF(設定!$B$6:$B$14,$G536)&gt;0,$J536=""),"未打卡",IF($J536="","",IF($O536&gt;0,"遲到",IF($P536&gt;0,"早退","正常"))))))</f>
        <v/>
      </c>
      <c r="O536" s="84">
        <f>IF(OR($C536="",$H536="",$J536=""),0,IF(ROUND(($J536-$H536)*1440,0)&gt;設定!$C$46,ROUND(($J536-$H536)*1440,0),0))</f>
        <v/>
      </c>
      <c r="P536" s="84">
        <f>IF(OR($C536="",$I536="",$K536=""),0,IF(ROUND(($I536-$K536)*1440,0)&gt;設定!$C$46,ROUND(($I536-$K536)*1440,0),0))</f>
        <v/>
      </c>
      <c r="Q536" s="85">
        <f>IF($M536="",0,IF(($M536-IFERROR(INDEX(設定!$G$6:$G$21,MATCH($G536,設定!$B$6:$B$21,0)),0))*60&gt;=設定!$C$44,ROUND(FLOOR(($M536-IFERROR(INDEX(設定!$G$6:$G$21,MATCH($G536,設定!$B$6:$B$21,0)),0))*60,設定!$C$45)/60,2),0))</f>
        <v/>
      </c>
      <c r="R536" s="16">
        <f>IF(OR($C536="",$Q536=0),"",IF($G536="國","國定假日",IF($B536="日","例假",IF($B536="六","休息日","平日"))))</f>
        <v/>
      </c>
      <c r="S536" s="19" t="n"/>
    </row>
    <row r="537">
      <c r="A537" s="82">
        <f>IF(OR(助理班表!$A22="",8&gt;DAY(EOMONTH(DATE(設定!$C$2,設定!$D$2,1),0))),"",DATE(設定!$C$2,設定!$D$2,8))</f>
        <v/>
      </c>
      <c r="B537" s="16">
        <f>IF($A537="","",INDEX(設定!$O$6:$O$12,WEEKDAY($A537,1)))</f>
        <v/>
      </c>
      <c r="C537" s="16">
        <f>IF($A537="","",助理班表!$A22)</f>
        <v/>
      </c>
      <c r="D537" s="16">
        <f>IF($C537="","",助理班表!$B22)</f>
        <v/>
      </c>
      <c r="E537" s="16">
        <f>IF($C537="","",助理班表!$D22)</f>
        <v/>
      </c>
      <c r="F537" s="16">
        <f>IF($C537="","",助理班表!$C22)</f>
        <v/>
      </c>
      <c r="G537" s="16">
        <f>IF($C537="","",助理班表!L22)</f>
        <v/>
      </c>
      <c r="H537" s="83">
        <f>IF($G537="","",IFERROR(IF(INDEX(設定!$D$6:$D$21,MATCH($G537,設定!$B$6:$B$21,0))=0,"",INDEX(設定!$D$6:$D$21,MATCH($G537,設定!$B$6:$B$21,0))),""))</f>
        <v/>
      </c>
      <c r="I537" s="83">
        <f>IF($G537="","",IFERROR(IF(INDEX(設定!$E$6:$E$21,MATCH($G537,設定!$B$6:$B$21,0))=0,"",INDEX(設定!$E$6:$E$21,MATCH($G537,設定!$B$6:$B$21,0))),""))</f>
        <v/>
      </c>
      <c r="J537" s="83">
        <f>IFERROR(INDEX(打卡匯入!$C$3:$C$2002,MATCH($C537&amp;"|"&amp;DAY($A537),打卡匯入!$E$3:$E$2002,0)),"")</f>
        <v/>
      </c>
      <c r="K537" s="83">
        <f>IFERROR(INDEX(打卡匯入!$D$3:$D$2002,MATCH($C537&amp;"|"&amp;DAY($A537),打卡匯入!$E$3:$E$2002,0)),"")</f>
        <v/>
      </c>
      <c r="L537" s="84">
        <f>IF(OR($J537="",$K537=""),"",IFERROR(INDEX(設定!$F$6:$F$21,MATCH($G537,設定!$B$6:$B$21,0)),0))</f>
        <v/>
      </c>
      <c r="M537" s="85">
        <f>IF(OR($J537="",$K537=""),"",ROUND(($K537-$J537)*24-$L537/60,2))</f>
        <v/>
      </c>
      <c r="N537" s="16">
        <f>IF($C537="","",IF(AND(COUNTIF(設定!$B$15:$B$21,$G537)&gt;0,$J537&lt;&gt;""),"假日出勤",IF(AND(COUNTIF(設定!$B$6:$B$14,$G537)&gt;0,$J537=""),"未打卡",IF($J537="","",IF($O537&gt;0,"遲到",IF($P537&gt;0,"早退","正常"))))))</f>
        <v/>
      </c>
      <c r="O537" s="84">
        <f>IF(OR($C537="",$H537="",$J537=""),0,IF(ROUND(($J537-$H537)*1440,0)&gt;設定!$C$46,ROUND(($J537-$H537)*1440,0),0))</f>
        <v/>
      </c>
      <c r="P537" s="84">
        <f>IF(OR($C537="",$I537="",$K537=""),0,IF(ROUND(($I537-$K537)*1440,0)&gt;設定!$C$46,ROUND(($I537-$K537)*1440,0),0))</f>
        <v/>
      </c>
      <c r="Q537" s="85">
        <f>IF($M537="",0,IF(($M537-IFERROR(INDEX(設定!$G$6:$G$21,MATCH($G537,設定!$B$6:$B$21,0)),0))*60&gt;=設定!$C$44,ROUND(FLOOR(($M537-IFERROR(INDEX(設定!$G$6:$G$21,MATCH($G537,設定!$B$6:$B$21,0)),0))*60,設定!$C$45)/60,2),0))</f>
        <v/>
      </c>
      <c r="R537" s="16">
        <f>IF(OR($C537="",$Q537=0),"",IF($G537="國","國定假日",IF($B537="日","例假",IF($B537="六","休息日","平日"))))</f>
        <v/>
      </c>
      <c r="S537" s="19" t="n"/>
    </row>
    <row r="538">
      <c r="A538" s="82">
        <f>IF(OR(助理班表!$A22="",9&gt;DAY(EOMONTH(DATE(設定!$C$2,設定!$D$2,1),0))),"",DATE(設定!$C$2,設定!$D$2,9))</f>
        <v/>
      </c>
      <c r="B538" s="16">
        <f>IF($A538="","",INDEX(設定!$O$6:$O$12,WEEKDAY($A538,1)))</f>
        <v/>
      </c>
      <c r="C538" s="16">
        <f>IF($A538="","",助理班表!$A22)</f>
        <v/>
      </c>
      <c r="D538" s="16">
        <f>IF($C538="","",助理班表!$B22)</f>
        <v/>
      </c>
      <c r="E538" s="16">
        <f>IF($C538="","",助理班表!$D22)</f>
        <v/>
      </c>
      <c r="F538" s="16">
        <f>IF($C538="","",助理班表!$C22)</f>
        <v/>
      </c>
      <c r="G538" s="16">
        <f>IF($C538="","",助理班表!M22)</f>
        <v/>
      </c>
      <c r="H538" s="83">
        <f>IF($G538="","",IFERROR(IF(INDEX(設定!$D$6:$D$21,MATCH($G538,設定!$B$6:$B$21,0))=0,"",INDEX(設定!$D$6:$D$21,MATCH($G538,設定!$B$6:$B$21,0))),""))</f>
        <v/>
      </c>
      <c r="I538" s="83">
        <f>IF($G538="","",IFERROR(IF(INDEX(設定!$E$6:$E$21,MATCH($G538,設定!$B$6:$B$21,0))=0,"",INDEX(設定!$E$6:$E$21,MATCH($G538,設定!$B$6:$B$21,0))),""))</f>
        <v/>
      </c>
      <c r="J538" s="83">
        <f>IFERROR(INDEX(打卡匯入!$C$3:$C$2002,MATCH($C538&amp;"|"&amp;DAY($A538),打卡匯入!$E$3:$E$2002,0)),"")</f>
        <v/>
      </c>
      <c r="K538" s="83">
        <f>IFERROR(INDEX(打卡匯入!$D$3:$D$2002,MATCH($C538&amp;"|"&amp;DAY($A538),打卡匯入!$E$3:$E$2002,0)),"")</f>
        <v/>
      </c>
      <c r="L538" s="84">
        <f>IF(OR($J538="",$K538=""),"",IFERROR(INDEX(設定!$F$6:$F$21,MATCH($G538,設定!$B$6:$B$21,0)),0))</f>
        <v/>
      </c>
      <c r="M538" s="85">
        <f>IF(OR($J538="",$K538=""),"",ROUND(($K538-$J538)*24-$L538/60,2))</f>
        <v/>
      </c>
      <c r="N538" s="16">
        <f>IF($C538="","",IF(AND(COUNTIF(設定!$B$15:$B$21,$G538)&gt;0,$J538&lt;&gt;""),"假日出勤",IF(AND(COUNTIF(設定!$B$6:$B$14,$G538)&gt;0,$J538=""),"未打卡",IF($J538="","",IF($O538&gt;0,"遲到",IF($P538&gt;0,"早退","正常"))))))</f>
        <v/>
      </c>
      <c r="O538" s="84">
        <f>IF(OR($C538="",$H538="",$J538=""),0,IF(ROUND(($J538-$H538)*1440,0)&gt;設定!$C$46,ROUND(($J538-$H538)*1440,0),0))</f>
        <v/>
      </c>
      <c r="P538" s="84">
        <f>IF(OR($C538="",$I538="",$K538=""),0,IF(ROUND(($I538-$K538)*1440,0)&gt;設定!$C$46,ROUND(($I538-$K538)*1440,0),0))</f>
        <v/>
      </c>
      <c r="Q538" s="85">
        <f>IF($M538="",0,IF(($M538-IFERROR(INDEX(設定!$G$6:$G$21,MATCH($G538,設定!$B$6:$B$21,0)),0))*60&gt;=設定!$C$44,ROUND(FLOOR(($M538-IFERROR(INDEX(設定!$G$6:$G$21,MATCH($G538,設定!$B$6:$B$21,0)),0))*60,設定!$C$45)/60,2),0))</f>
        <v/>
      </c>
      <c r="R538" s="16">
        <f>IF(OR($C538="",$Q538=0),"",IF($G538="國","國定假日",IF($B538="日","例假",IF($B538="六","休息日","平日"))))</f>
        <v/>
      </c>
      <c r="S538" s="19" t="n"/>
    </row>
    <row r="539">
      <c r="A539" s="82">
        <f>IF(OR(助理班表!$A22="",10&gt;DAY(EOMONTH(DATE(設定!$C$2,設定!$D$2,1),0))),"",DATE(設定!$C$2,設定!$D$2,10))</f>
        <v/>
      </c>
      <c r="B539" s="16">
        <f>IF($A539="","",INDEX(設定!$O$6:$O$12,WEEKDAY($A539,1)))</f>
        <v/>
      </c>
      <c r="C539" s="16">
        <f>IF($A539="","",助理班表!$A22)</f>
        <v/>
      </c>
      <c r="D539" s="16">
        <f>IF($C539="","",助理班表!$B22)</f>
        <v/>
      </c>
      <c r="E539" s="16">
        <f>IF($C539="","",助理班表!$D22)</f>
        <v/>
      </c>
      <c r="F539" s="16">
        <f>IF($C539="","",助理班表!$C22)</f>
        <v/>
      </c>
      <c r="G539" s="16">
        <f>IF($C539="","",助理班表!N22)</f>
        <v/>
      </c>
      <c r="H539" s="83">
        <f>IF($G539="","",IFERROR(IF(INDEX(設定!$D$6:$D$21,MATCH($G539,設定!$B$6:$B$21,0))=0,"",INDEX(設定!$D$6:$D$21,MATCH($G539,設定!$B$6:$B$21,0))),""))</f>
        <v/>
      </c>
      <c r="I539" s="83">
        <f>IF($G539="","",IFERROR(IF(INDEX(設定!$E$6:$E$21,MATCH($G539,設定!$B$6:$B$21,0))=0,"",INDEX(設定!$E$6:$E$21,MATCH($G539,設定!$B$6:$B$21,0))),""))</f>
        <v/>
      </c>
      <c r="J539" s="83">
        <f>IFERROR(INDEX(打卡匯入!$C$3:$C$2002,MATCH($C539&amp;"|"&amp;DAY($A539),打卡匯入!$E$3:$E$2002,0)),"")</f>
        <v/>
      </c>
      <c r="K539" s="83">
        <f>IFERROR(INDEX(打卡匯入!$D$3:$D$2002,MATCH($C539&amp;"|"&amp;DAY($A539),打卡匯入!$E$3:$E$2002,0)),"")</f>
        <v/>
      </c>
      <c r="L539" s="84">
        <f>IF(OR($J539="",$K539=""),"",IFERROR(INDEX(設定!$F$6:$F$21,MATCH($G539,設定!$B$6:$B$21,0)),0))</f>
        <v/>
      </c>
      <c r="M539" s="85">
        <f>IF(OR($J539="",$K539=""),"",ROUND(($K539-$J539)*24-$L539/60,2))</f>
        <v/>
      </c>
      <c r="N539" s="16">
        <f>IF($C539="","",IF(AND(COUNTIF(設定!$B$15:$B$21,$G539)&gt;0,$J539&lt;&gt;""),"假日出勤",IF(AND(COUNTIF(設定!$B$6:$B$14,$G539)&gt;0,$J539=""),"未打卡",IF($J539="","",IF($O539&gt;0,"遲到",IF($P539&gt;0,"早退","正常"))))))</f>
        <v/>
      </c>
      <c r="O539" s="84">
        <f>IF(OR($C539="",$H539="",$J539=""),0,IF(ROUND(($J539-$H539)*1440,0)&gt;設定!$C$46,ROUND(($J539-$H539)*1440,0),0))</f>
        <v/>
      </c>
      <c r="P539" s="84">
        <f>IF(OR($C539="",$I539="",$K539=""),0,IF(ROUND(($I539-$K539)*1440,0)&gt;設定!$C$46,ROUND(($I539-$K539)*1440,0),0))</f>
        <v/>
      </c>
      <c r="Q539" s="85">
        <f>IF($M539="",0,IF(($M539-IFERROR(INDEX(設定!$G$6:$G$21,MATCH($G539,設定!$B$6:$B$21,0)),0))*60&gt;=設定!$C$44,ROUND(FLOOR(($M539-IFERROR(INDEX(設定!$G$6:$G$21,MATCH($G539,設定!$B$6:$B$21,0)),0))*60,設定!$C$45)/60,2),0))</f>
        <v/>
      </c>
      <c r="R539" s="16">
        <f>IF(OR($C539="",$Q539=0),"",IF($G539="國","國定假日",IF($B539="日","例假",IF($B539="六","休息日","平日"))))</f>
        <v/>
      </c>
      <c r="S539" s="19" t="n"/>
    </row>
    <row r="540">
      <c r="A540" s="82">
        <f>IF(OR(助理班表!$A22="",11&gt;DAY(EOMONTH(DATE(設定!$C$2,設定!$D$2,1),0))),"",DATE(設定!$C$2,設定!$D$2,11))</f>
        <v/>
      </c>
      <c r="B540" s="16">
        <f>IF($A540="","",INDEX(設定!$O$6:$O$12,WEEKDAY($A540,1)))</f>
        <v/>
      </c>
      <c r="C540" s="16">
        <f>IF($A540="","",助理班表!$A22)</f>
        <v/>
      </c>
      <c r="D540" s="16">
        <f>IF($C540="","",助理班表!$B22)</f>
        <v/>
      </c>
      <c r="E540" s="16">
        <f>IF($C540="","",助理班表!$D22)</f>
        <v/>
      </c>
      <c r="F540" s="16">
        <f>IF($C540="","",助理班表!$C22)</f>
        <v/>
      </c>
      <c r="G540" s="16">
        <f>IF($C540="","",助理班表!O22)</f>
        <v/>
      </c>
      <c r="H540" s="83">
        <f>IF($G540="","",IFERROR(IF(INDEX(設定!$D$6:$D$21,MATCH($G540,設定!$B$6:$B$21,0))=0,"",INDEX(設定!$D$6:$D$21,MATCH($G540,設定!$B$6:$B$21,0))),""))</f>
        <v/>
      </c>
      <c r="I540" s="83">
        <f>IF($G540="","",IFERROR(IF(INDEX(設定!$E$6:$E$21,MATCH($G540,設定!$B$6:$B$21,0))=0,"",INDEX(設定!$E$6:$E$21,MATCH($G540,設定!$B$6:$B$21,0))),""))</f>
        <v/>
      </c>
      <c r="J540" s="83">
        <f>IFERROR(INDEX(打卡匯入!$C$3:$C$2002,MATCH($C540&amp;"|"&amp;DAY($A540),打卡匯入!$E$3:$E$2002,0)),"")</f>
        <v/>
      </c>
      <c r="K540" s="83">
        <f>IFERROR(INDEX(打卡匯入!$D$3:$D$2002,MATCH($C540&amp;"|"&amp;DAY($A540),打卡匯入!$E$3:$E$2002,0)),"")</f>
        <v/>
      </c>
      <c r="L540" s="84">
        <f>IF(OR($J540="",$K540=""),"",IFERROR(INDEX(設定!$F$6:$F$21,MATCH($G540,設定!$B$6:$B$21,0)),0))</f>
        <v/>
      </c>
      <c r="M540" s="85">
        <f>IF(OR($J540="",$K540=""),"",ROUND(($K540-$J540)*24-$L540/60,2))</f>
        <v/>
      </c>
      <c r="N540" s="16">
        <f>IF($C540="","",IF(AND(COUNTIF(設定!$B$15:$B$21,$G540)&gt;0,$J540&lt;&gt;""),"假日出勤",IF(AND(COUNTIF(設定!$B$6:$B$14,$G540)&gt;0,$J540=""),"未打卡",IF($J540="","",IF($O540&gt;0,"遲到",IF($P540&gt;0,"早退","正常"))))))</f>
        <v/>
      </c>
      <c r="O540" s="84">
        <f>IF(OR($C540="",$H540="",$J540=""),0,IF(ROUND(($J540-$H540)*1440,0)&gt;設定!$C$46,ROUND(($J540-$H540)*1440,0),0))</f>
        <v/>
      </c>
      <c r="P540" s="84">
        <f>IF(OR($C540="",$I540="",$K540=""),0,IF(ROUND(($I540-$K540)*1440,0)&gt;設定!$C$46,ROUND(($I540-$K540)*1440,0),0))</f>
        <v/>
      </c>
      <c r="Q540" s="85">
        <f>IF($M540="",0,IF(($M540-IFERROR(INDEX(設定!$G$6:$G$21,MATCH($G540,設定!$B$6:$B$21,0)),0))*60&gt;=設定!$C$44,ROUND(FLOOR(($M540-IFERROR(INDEX(設定!$G$6:$G$21,MATCH($G540,設定!$B$6:$B$21,0)),0))*60,設定!$C$45)/60,2),0))</f>
        <v/>
      </c>
      <c r="R540" s="16">
        <f>IF(OR($C540="",$Q540=0),"",IF($G540="國","國定假日",IF($B540="日","例假",IF($B540="六","休息日","平日"))))</f>
        <v/>
      </c>
      <c r="S540" s="19" t="n"/>
    </row>
    <row r="541">
      <c r="A541" s="82">
        <f>IF(OR(助理班表!$A22="",12&gt;DAY(EOMONTH(DATE(設定!$C$2,設定!$D$2,1),0))),"",DATE(設定!$C$2,設定!$D$2,12))</f>
        <v/>
      </c>
      <c r="B541" s="16">
        <f>IF($A541="","",INDEX(設定!$O$6:$O$12,WEEKDAY($A541,1)))</f>
        <v/>
      </c>
      <c r="C541" s="16">
        <f>IF($A541="","",助理班表!$A22)</f>
        <v/>
      </c>
      <c r="D541" s="16">
        <f>IF($C541="","",助理班表!$B22)</f>
        <v/>
      </c>
      <c r="E541" s="16">
        <f>IF($C541="","",助理班表!$D22)</f>
        <v/>
      </c>
      <c r="F541" s="16">
        <f>IF($C541="","",助理班表!$C22)</f>
        <v/>
      </c>
      <c r="G541" s="16">
        <f>IF($C541="","",助理班表!P22)</f>
        <v/>
      </c>
      <c r="H541" s="83">
        <f>IF($G541="","",IFERROR(IF(INDEX(設定!$D$6:$D$21,MATCH($G541,設定!$B$6:$B$21,0))=0,"",INDEX(設定!$D$6:$D$21,MATCH($G541,設定!$B$6:$B$21,0))),""))</f>
        <v/>
      </c>
      <c r="I541" s="83">
        <f>IF($G541="","",IFERROR(IF(INDEX(設定!$E$6:$E$21,MATCH($G541,設定!$B$6:$B$21,0))=0,"",INDEX(設定!$E$6:$E$21,MATCH($G541,設定!$B$6:$B$21,0))),""))</f>
        <v/>
      </c>
      <c r="J541" s="83">
        <f>IFERROR(INDEX(打卡匯入!$C$3:$C$2002,MATCH($C541&amp;"|"&amp;DAY($A541),打卡匯入!$E$3:$E$2002,0)),"")</f>
        <v/>
      </c>
      <c r="K541" s="83">
        <f>IFERROR(INDEX(打卡匯入!$D$3:$D$2002,MATCH($C541&amp;"|"&amp;DAY($A541),打卡匯入!$E$3:$E$2002,0)),"")</f>
        <v/>
      </c>
      <c r="L541" s="84">
        <f>IF(OR($J541="",$K541=""),"",IFERROR(INDEX(設定!$F$6:$F$21,MATCH($G541,設定!$B$6:$B$21,0)),0))</f>
        <v/>
      </c>
      <c r="M541" s="85">
        <f>IF(OR($J541="",$K541=""),"",ROUND(($K541-$J541)*24-$L541/60,2))</f>
        <v/>
      </c>
      <c r="N541" s="16">
        <f>IF($C541="","",IF(AND(COUNTIF(設定!$B$15:$B$21,$G541)&gt;0,$J541&lt;&gt;""),"假日出勤",IF(AND(COUNTIF(設定!$B$6:$B$14,$G541)&gt;0,$J541=""),"未打卡",IF($J541="","",IF($O541&gt;0,"遲到",IF($P541&gt;0,"早退","正常"))))))</f>
        <v/>
      </c>
      <c r="O541" s="84">
        <f>IF(OR($C541="",$H541="",$J541=""),0,IF(ROUND(($J541-$H541)*1440,0)&gt;設定!$C$46,ROUND(($J541-$H541)*1440,0),0))</f>
        <v/>
      </c>
      <c r="P541" s="84">
        <f>IF(OR($C541="",$I541="",$K541=""),0,IF(ROUND(($I541-$K541)*1440,0)&gt;設定!$C$46,ROUND(($I541-$K541)*1440,0),0))</f>
        <v/>
      </c>
      <c r="Q541" s="85">
        <f>IF($M541="",0,IF(($M541-IFERROR(INDEX(設定!$G$6:$G$21,MATCH($G541,設定!$B$6:$B$21,0)),0))*60&gt;=設定!$C$44,ROUND(FLOOR(($M541-IFERROR(INDEX(設定!$G$6:$G$21,MATCH($G541,設定!$B$6:$B$21,0)),0))*60,設定!$C$45)/60,2),0))</f>
        <v/>
      </c>
      <c r="R541" s="16">
        <f>IF(OR($C541="",$Q541=0),"",IF($G541="國","國定假日",IF($B541="日","例假",IF($B541="六","休息日","平日"))))</f>
        <v/>
      </c>
      <c r="S541" s="19" t="n"/>
    </row>
    <row r="542">
      <c r="A542" s="82">
        <f>IF(OR(助理班表!$A22="",13&gt;DAY(EOMONTH(DATE(設定!$C$2,設定!$D$2,1),0))),"",DATE(設定!$C$2,設定!$D$2,13))</f>
        <v/>
      </c>
      <c r="B542" s="16">
        <f>IF($A542="","",INDEX(設定!$O$6:$O$12,WEEKDAY($A542,1)))</f>
        <v/>
      </c>
      <c r="C542" s="16">
        <f>IF($A542="","",助理班表!$A22)</f>
        <v/>
      </c>
      <c r="D542" s="16">
        <f>IF($C542="","",助理班表!$B22)</f>
        <v/>
      </c>
      <c r="E542" s="16">
        <f>IF($C542="","",助理班表!$D22)</f>
        <v/>
      </c>
      <c r="F542" s="16">
        <f>IF($C542="","",助理班表!$C22)</f>
        <v/>
      </c>
      <c r="G542" s="16">
        <f>IF($C542="","",助理班表!Q22)</f>
        <v/>
      </c>
      <c r="H542" s="83">
        <f>IF($G542="","",IFERROR(IF(INDEX(設定!$D$6:$D$21,MATCH($G542,設定!$B$6:$B$21,0))=0,"",INDEX(設定!$D$6:$D$21,MATCH($G542,設定!$B$6:$B$21,0))),""))</f>
        <v/>
      </c>
      <c r="I542" s="83">
        <f>IF($G542="","",IFERROR(IF(INDEX(設定!$E$6:$E$21,MATCH($G542,設定!$B$6:$B$21,0))=0,"",INDEX(設定!$E$6:$E$21,MATCH($G542,設定!$B$6:$B$21,0))),""))</f>
        <v/>
      </c>
      <c r="J542" s="83">
        <f>IFERROR(INDEX(打卡匯入!$C$3:$C$2002,MATCH($C542&amp;"|"&amp;DAY($A542),打卡匯入!$E$3:$E$2002,0)),"")</f>
        <v/>
      </c>
      <c r="K542" s="83">
        <f>IFERROR(INDEX(打卡匯入!$D$3:$D$2002,MATCH($C542&amp;"|"&amp;DAY($A542),打卡匯入!$E$3:$E$2002,0)),"")</f>
        <v/>
      </c>
      <c r="L542" s="84">
        <f>IF(OR($J542="",$K542=""),"",IFERROR(INDEX(設定!$F$6:$F$21,MATCH($G542,設定!$B$6:$B$21,0)),0))</f>
        <v/>
      </c>
      <c r="M542" s="85">
        <f>IF(OR($J542="",$K542=""),"",ROUND(($K542-$J542)*24-$L542/60,2))</f>
        <v/>
      </c>
      <c r="N542" s="16">
        <f>IF($C542="","",IF(AND(COUNTIF(設定!$B$15:$B$21,$G542)&gt;0,$J542&lt;&gt;""),"假日出勤",IF(AND(COUNTIF(設定!$B$6:$B$14,$G542)&gt;0,$J542=""),"未打卡",IF($J542="","",IF($O542&gt;0,"遲到",IF($P542&gt;0,"早退","正常"))))))</f>
        <v/>
      </c>
      <c r="O542" s="84">
        <f>IF(OR($C542="",$H542="",$J542=""),0,IF(ROUND(($J542-$H542)*1440,0)&gt;設定!$C$46,ROUND(($J542-$H542)*1440,0),0))</f>
        <v/>
      </c>
      <c r="P542" s="84">
        <f>IF(OR($C542="",$I542="",$K542=""),0,IF(ROUND(($I542-$K542)*1440,0)&gt;設定!$C$46,ROUND(($I542-$K542)*1440,0),0))</f>
        <v/>
      </c>
      <c r="Q542" s="85">
        <f>IF($M542="",0,IF(($M542-IFERROR(INDEX(設定!$G$6:$G$21,MATCH($G542,設定!$B$6:$B$21,0)),0))*60&gt;=設定!$C$44,ROUND(FLOOR(($M542-IFERROR(INDEX(設定!$G$6:$G$21,MATCH($G542,設定!$B$6:$B$21,0)),0))*60,設定!$C$45)/60,2),0))</f>
        <v/>
      </c>
      <c r="R542" s="16">
        <f>IF(OR($C542="",$Q542=0),"",IF($G542="國","國定假日",IF($B542="日","例假",IF($B542="六","休息日","平日"))))</f>
        <v/>
      </c>
      <c r="S542" s="19" t="n"/>
    </row>
    <row r="543">
      <c r="A543" s="82">
        <f>IF(OR(助理班表!$A22="",14&gt;DAY(EOMONTH(DATE(設定!$C$2,設定!$D$2,1),0))),"",DATE(設定!$C$2,設定!$D$2,14))</f>
        <v/>
      </c>
      <c r="B543" s="16">
        <f>IF($A543="","",INDEX(設定!$O$6:$O$12,WEEKDAY($A543,1)))</f>
        <v/>
      </c>
      <c r="C543" s="16">
        <f>IF($A543="","",助理班表!$A22)</f>
        <v/>
      </c>
      <c r="D543" s="16">
        <f>IF($C543="","",助理班表!$B22)</f>
        <v/>
      </c>
      <c r="E543" s="16">
        <f>IF($C543="","",助理班表!$D22)</f>
        <v/>
      </c>
      <c r="F543" s="16">
        <f>IF($C543="","",助理班表!$C22)</f>
        <v/>
      </c>
      <c r="G543" s="16">
        <f>IF($C543="","",助理班表!R22)</f>
        <v/>
      </c>
      <c r="H543" s="83">
        <f>IF($G543="","",IFERROR(IF(INDEX(設定!$D$6:$D$21,MATCH($G543,設定!$B$6:$B$21,0))=0,"",INDEX(設定!$D$6:$D$21,MATCH($G543,設定!$B$6:$B$21,0))),""))</f>
        <v/>
      </c>
      <c r="I543" s="83">
        <f>IF($G543="","",IFERROR(IF(INDEX(設定!$E$6:$E$21,MATCH($G543,設定!$B$6:$B$21,0))=0,"",INDEX(設定!$E$6:$E$21,MATCH($G543,設定!$B$6:$B$21,0))),""))</f>
        <v/>
      </c>
      <c r="J543" s="83">
        <f>IFERROR(INDEX(打卡匯入!$C$3:$C$2002,MATCH($C543&amp;"|"&amp;DAY($A543),打卡匯入!$E$3:$E$2002,0)),"")</f>
        <v/>
      </c>
      <c r="K543" s="83">
        <f>IFERROR(INDEX(打卡匯入!$D$3:$D$2002,MATCH($C543&amp;"|"&amp;DAY($A543),打卡匯入!$E$3:$E$2002,0)),"")</f>
        <v/>
      </c>
      <c r="L543" s="84">
        <f>IF(OR($J543="",$K543=""),"",IFERROR(INDEX(設定!$F$6:$F$21,MATCH($G543,設定!$B$6:$B$21,0)),0))</f>
        <v/>
      </c>
      <c r="M543" s="85">
        <f>IF(OR($J543="",$K543=""),"",ROUND(($K543-$J543)*24-$L543/60,2))</f>
        <v/>
      </c>
      <c r="N543" s="16">
        <f>IF($C543="","",IF(AND(COUNTIF(設定!$B$15:$B$21,$G543)&gt;0,$J543&lt;&gt;""),"假日出勤",IF(AND(COUNTIF(設定!$B$6:$B$14,$G543)&gt;0,$J543=""),"未打卡",IF($J543="","",IF($O543&gt;0,"遲到",IF($P543&gt;0,"早退","正常"))))))</f>
        <v/>
      </c>
      <c r="O543" s="84">
        <f>IF(OR($C543="",$H543="",$J543=""),0,IF(ROUND(($J543-$H543)*1440,0)&gt;設定!$C$46,ROUND(($J543-$H543)*1440,0),0))</f>
        <v/>
      </c>
      <c r="P543" s="84">
        <f>IF(OR($C543="",$I543="",$K543=""),0,IF(ROUND(($I543-$K543)*1440,0)&gt;設定!$C$46,ROUND(($I543-$K543)*1440,0),0))</f>
        <v/>
      </c>
      <c r="Q543" s="85">
        <f>IF($M543="",0,IF(($M543-IFERROR(INDEX(設定!$G$6:$G$21,MATCH($G543,設定!$B$6:$B$21,0)),0))*60&gt;=設定!$C$44,ROUND(FLOOR(($M543-IFERROR(INDEX(設定!$G$6:$G$21,MATCH($G543,設定!$B$6:$B$21,0)),0))*60,設定!$C$45)/60,2),0))</f>
        <v/>
      </c>
      <c r="R543" s="16">
        <f>IF(OR($C543="",$Q543=0),"",IF($G543="國","國定假日",IF($B543="日","例假",IF($B543="六","休息日","平日"))))</f>
        <v/>
      </c>
      <c r="S543" s="19" t="n"/>
    </row>
    <row r="544">
      <c r="A544" s="82">
        <f>IF(OR(助理班表!$A22="",15&gt;DAY(EOMONTH(DATE(設定!$C$2,設定!$D$2,1),0))),"",DATE(設定!$C$2,設定!$D$2,15))</f>
        <v/>
      </c>
      <c r="B544" s="16">
        <f>IF($A544="","",INDEX(設定!$O$6:$O$12,WEEKDAY($A544,1)))</f>
        <v/>
      </c>
      <c r="C544" s="16">
        <f>IF($A544="","",助理班表!$A22)</f>
        <v/>
      </c>
      <c r="D544" s="16">
        <f>IF($C544="","",助理班表!$B22)</f>
        <v/>
      </c>
      <c r="E544" s="16">
        <f>IF($C544="","",助理班表!$D22)</f>
        <v/>
      </c>
      <c r="F544" s="16">
        <f>IF($C544="","",助理班表!$C22)</f>
        <v/>
      </c>
      <c r="G544" s="16">
        <f>IF($C544="","",助理班表!S22)</f>
        <v/>
      </c>
      <c r="H544" s="83">
        <f>IF($G544="","",IFERROR(IF(INDEX(設定!$D$6:$D$21,MATCH($G544,設定!$B$6:$B$21,0))=0,"",INDEX(設定!$D$6:$D$21,MATCH($G544,設定!$B$6:$B$21,0))),""))</f>
        <v/>
      </c>
      <c r="I544" s="83">
        <f>IF($G544="","",IFERROR(IF(INDEX(設定!$E$6:$E$21,MATCH($G544,設定!$B$6:$B$21,0))=0,"",INDEX(設定!$E$6:$E$21,MATCH($G544,設定!$B$6:$B$21,0))),""))</f>
        <v/>
      </c>
      <c r="J544" s="83">
        <f>IFERROR(INDEX(打卡匯入!$C$3:$C$2002,MATCH($C544&amp;"|"&amp;DAY($A544),打卡匯入!$E$3:$E$2002,0)),"")</f>
        <v/>
      </c>
      <c r="K544" s="83">
        <f>IFERROR(INDEX(打卡匯入!$D$3:$D$2002,MATCH($C544&amp;"|"&amp;DAY($A544),打卡匯入!$E$3:$E$2002,0)),"")</f>
        <v/>
      </c>
      <c r="L544" s="84">
        <f>IF(OR($J544="",$K544=""),"",IFERROR(INDEX(設定!$F$6:$F$21,MATCH($G544,設定!$B$6:$B$21,0)),0))</f>
        <v/>
      </c>
      <c r="M544" s="85">
        <f>IF(OR($J544="",$K544=""),"",ROUND(($K544-$J544)*24-$L544/60,2))</f>
        <v/>
      </c>
      <c r="N544" s="16">
        <f>IF($C544="","",IF(AND(COUNTIF(設定!$B$15:$B$21,$G544)&gt;0,$J544&lt;&gt;""),"假日出勤",IF(AND(COUNTIF(設定!$B$6:$B$14,$G544)&gt;0,$J544=""),"未打卡",IF($J544="","",IF($O544&gt;0,"遲到",IF($P544&gt;0,"早退","正常"))))))</f>
        <v/>
      </c>
      <c r="O544" s="84">
        <f>IF(OR($C544="",$H544="",$J544=""),0,IF(ROUND(($J544-$H544)*1440,0)&gt;設定!$C$46,ROUND(($J544-$H544)*1440,0),0))</f>
        <v/>
      </c>
      <c r="P544" s="84">
        <f>IF(OR($C544="",$I544="",$K544=""),0,IF(ROUND(($I544-$K544)*1440,0)&gt;設定!$C$46,ROUND(($I544-$K544)*1440,0),0))</f>
        <v/>
      </c>
      <c r="Q544" s="85">
        <f>IF($M544="",0,IF(($M544-IFERROR(INDEX(設定!$G$6:$G$21,MATCH($G544,設定!$B$6:$B$21,0)),0))*60&gt;=設定!$C$44,ROUND(FLOOR(($M544-IFERROR(INDEX(設定!$G$6:$G$21,MATCH($G544,設定!$B$6:$B$21,0)),0))*60,設定!$C$45)/60,2),0))</f>
        <v/>
      </c>
      <c r="R544" s="16">
        <f>IF(OR($C544="",$Q544=0),"",IF($G544="國","國定假日",IF($B544="日","例假",IF($B544="六","休息日","平日"))))</f>
        <v/>
      </c>
      <c r="S544" s="19" t="n"/>
    </row>
    <row r="545">
      <c r="A545" s="82">
        <f>IF(OR(助理班表!$A22="",16&gt;DAY(EOMONTH(DATE(設定!$C$2,設定!$D$2,1),0))),"",DATE(設定!$C$2,設定!$D$2,16))</f>
        <v/>
      </c>
      <c r="B545" s="16">
        <f>IF($A545="","",INDEX(設定!$O$6:$O$12,WEEKDAY($A545,1)))</f>
        <v/>
      </c>
      <c r="C545" s="16">
        <f>IF($A545="","",助理班表!$A22)</f>
        <v/>
      </c>
      <c r="D545" s="16">
        <f>IF($C545="","",助理班表!$B22)</f>
        <v/>
      </c>
      <c r="E545" s="16">
        <f>IF($C545="","",助理班表!$D22)</f>
        <v/>
      </c>
      <c r="F545" s="16">
        <f>IF($C545="","",助理班表!$C22)</f>
        <v/>
      </c>
      <c r="G545" s="16">
        <f>IF($C545="","",助理班表!T22)</f>
        <v/>
      </c>
      <c r="H545" s="83">
        <f>IF($G545="","",IFERROR(IF(INDEX(設定!$D$6:$D$21,MATCH($G545,設定!$B$6:$B$21,0))=0,"",INDEX(設定!$D$6:$D$21,MATCH($G545,設定!$B$6:$B$21,0))),""))</f>
        <v/>
      </c>
      <c r="I545" s="83">
        <f>IF($G545="","",IFERROR(IF(INDEX(設定!$E$6:$E$21,MATCH($G545,設定!$B$6:$B$21,0))=0,"",INDEX(設定!$E$6:$E$21,MATCH($G545,設定!$B$6:$B$21,0))),""))</f>
        <v/>
      </c>
      <c r="J545" s="83">
        <f>IFERROR(INDEX(打卡匯入!$C$3:$C$2002,MATCH($C545&amp;"|"&amp;DAY($A545),打卡匯入!$E$3:$E$2002,0)),"")</f>
        <v/>
      </c>
      <c r="K545" s="83">
        <f>IFERROR(INDEX(打卡匯入!$D$3:$D$2002,MATCH($C545&amp;"|"&amp;DAY($A545),打卡匯入!$E$3:$E$2002,0)),"")</f>
        <v/>
      </c>
      <c r="L545" s="84">
        <f>IF(OR($J545="",$K545=""),"",IFERROR(INDEX(設定!$F$6:$F$21,MATCH($G545,設定!$B$6:$B$21,0)),0))</f>
        <v/>
      </c>
      <c r="M545" s="85">
        <f>IF(OR($J545="",$K545=""),"",ROUND(($K545-$J545)*24-$L545/60,2))</f>
        <v/>
      </c>
      <c r="N545" s="16">
        <f>IF($C545="","",IF(AND(COUNTIF(設定!$B$15:$B$21,$G545)&gt;0,$J545&lt;&gt;""),"假日出勤",IF(AND(COUNTIF(設定!$B$6:$B$14,$G545)&gt;0,$J545=""),"未打卡",IF($J545="","",IF($O545&gt;0,"遲到",IF($P545&gt;0,"早退","正常"))))))</f>
        <v/>
      </c>
      <c r="O545" s="84">
        <f>IF(OR($C545="",$H545="",$J545=""),0,IF(ROUND(($J545-$H545)*1440,0)&gt;設定!$C$46,ROUND(($J545-$H545)*1440,0),0))</f>
        <v/>
      </c>
      <c r="P545" s="84">
        <f>IF(OR($C545="",$I545="",$K545=""),0,IF(ROUND(($I545-$K545)*1440,0)&gt;設定!$C$46,ROUND(($I545-$K545)*1440,0),0))</f>
        <v/>
      </c>
      <c r="Q545" s="85">
        <f>IF($M545="",0,IF(($M545-IFERROR(INDEX(設定!$G$6:$G$21,MATCH($G545,設定!$B$6:$B$21,0)),0))*60&gt;=設定!$C$44,ROUND(FLOOR(($M545-IFERROR(INDEX(設定!$G$6:$G$21,MATCH($G545,設定!$B$6:$B$21,0)),0))*60,設定!$C$45)/60,2),0))</f>
        <v/>
      </c>
      <c r="R545" s="16">
        <f>IF(OR($C545="",$Q545=0),"",IF($G545="國","國定假日",IF($B545="日","例假",IF($B545="六","休息日","平日"))))</f>
        <v/>
      </c>
      <c r="S545" s="19" t="n"/>
    </row>
    <row r="546">
      <c r="A546" s="82">
        <f>IF(OR(助理班表!$A22="",17&gt;DAY(EOMONTH(DATE(設定!$C$2,設定!$D$2,1),0))),"",DATE(設定!$C$2,設定!$D$2,17))</f>
        <v/>
      </c>
      <c r="B546" s="16">
        <f>IF($A546="","",INDEX(設定!$O$6:$O$12,WEEKDAY($A546,1)))</f>
        <v/>
      </c>
      <c r="C546" s="16">
        <f>IF($A546="","",助理班表!$A22)</f>
        <v/>
      </c>
      <c r="D546" s="16">
        <f>IF($C546="","",助理班表!$B22)</f>
        <v/>
      </c>
      <c r="E546" s="16">
        <f>IF($C546="","",助理班表!$D22)</f>
        <v/>
      </c>
      <c r="F546" s="16">
        <f>IF($C546="","",助理班表!$C22)</f>
        <v/>
      </c>
      <c r="G546" s="16">
        <f>IF($C546="","",助理班表!U22)</f>
        <v/>
      </c>
      <c r="H546" s="83">
        <f>IF($G546="","",IFERROR(IF(INDEX(設定!$D$6:$D$21,MATCH($G546,設定!$B$6:$B$21,0))=0,"",INDEX(設定!$D$6:$D$21,MATCH($G546,設定!$B$6:$B$21,0))),""))</f>
        <v/>
      </c>
      <c r="I546" s="83">
        <f>IF($G546="","",IFERROR(IF(INDEX(設定!$E$6:$E$21,MATCH($G546,設定!$B$6:$B$21,0))=0,"",INDEX(設定!$E$6:$E$21,MATCH($G546,設定!$B$6:$B$21,0))),""))</f>
        <v/>
      </c>
      <c r="J546" s="83">
        <f>IFERROR(INDEX(打卡匯入!$C$3:$C$2002,MATCH($C546&amp;"|"&amp;DAY($A546),打卡匯入!$E$3:$E$2002,0)),"")</f>
        <v/>
      </c>
      <c r="K546" s="83">
        <f>IFERROR(INDEX(打卡匯入!$D$3:$D$2002,MATCH($C546&amp;"|"&amp;DAY($A546),打卡匯入!$E$3:$E$2002,0)),"")</f>
        <v/>
      </c>
      <c r="L546" s="84">
        <f>IF(OR($J546="",$K546=""),"",IFERROR(INDEX(設定!$F$6:$F$21,MATCH($G546,設定!$B$6:$B$21,0)),0))</f>
        <v/>
      </c>
      <c r="M546" s="85">
        <f>IF(OR($J546="",$K546=""),"",ROUND(($K546-$J546)*24-$L546/60,2))</f>
        <v/>
      </c>
      <c r="N546" s="16">
        <f>IF($C546="","",IF(AND(COUNTIF(設定!$B$15:$B$21,$G546)&gt;0,$J546&lt;&gt;""),"假日出勤",IF(AND(COUNTIF(設定!$B$6:$B$14,$G546)&gt;0,$J546=""),"未打卡",IF($J546="","",IF($O546&gt;0,"遲到",IF($P546&gt;0,"早退","正常"))))))</f>
        <v/>
      </c>
      <c r="O546" s="84">
        <f>IF(OR($C546="",$H546="",$J546=""),0,IF(ROUND(($J546-$H546)*1440,0)&gt;設定!$C$46,ROUND(($J546-$H546)*1440,0),0))</f>
        <v/>
      </c>
      <c r="P546" s="84">
        <f>IF(OR($C546="",$I546="",$K546=""),0,IF(ROUND(($I546-$K546)*1440,0)&gt;設定!$C$46,ROUND(($I546-$K546)*1440,0),0))</f>
        <v/>
      </c>
      <c r="Q546" s="85">
        <f>IF($M546="",0,IF(($M546-IFERROR(INDEX(設定!$G$6:$G$21,MATCH($G546,設定!$B$6:$B$21,0)),0))*60&gt;=設定!$C$44,ROUND(FLOOR(($M546-IFERROR(INDEX(設定!$G$6:$G$21,MATCH($G546,設定!$B$6:$B$21,0)),0))*60,設定!$C$45)/60,2),0))</f>
        <v/>
      </c>
      <c r="R546" s="16">
        <f>IF(OR($C546="",$Q546=0),"",IF($G546="國","國定假日",IF($B546="日","例假",IF($B546="六","休息日","平日"))))</f>
        <v/>
      </c>
      <c r="S546" s="19" t="n"/>
    </row>
    <row r="547">
      <c r="A547" s="82">
        <f>IF(OR(助理班表!$A22="",18&gt;DAY(EOMONTH(DATE(設定!$C$2,設定!$D$2,1),0))),"",DATE(設定!$C$2,設定!$D$2,18))</f>
        <v/>
      </c>
      <c r="B547" s="16">
        <f>IF($A547="","",INDEX(設定!$O$6:$O$12,WEEKDAY($A547,1)))</f>
        <v/>
      </c>
      <c r="C547" s="16">
        <f>IF($A547="","",助理班表!$A22)</f>
        <v/>
      </c>
      <c r="D547" s="16">
        <f>IF($C547="","",助理班表!$B22)</f>
        <v/>
      </c>
      <c r="E547" s="16">
        <f>IF($C547="","",助理班表!$D22)</f>
        <v/>
      </c>
      <c r="F547" s="16">
        <f>IF($C547="","",助理班表!$C22)</f>
        <v/>
      </c>
      <c r="G547" s="16">
        <f>IF($C547="","",助理班表!V22)</f>
        <v/>
      </c>
      <c r="H547" s="83">
        <f>IF($G547="","",IFERROR(IF(INDEX(設定!$D$6:$D$21,MATCH($G547,設定!$B$6:$B$21,0))=0,"",INDEX(設定!$D$6:$D$21,MATCH($G547,設定!$B$6:$B$21,0))),""))</f>
        <v/>
      </c>
      <c r="I547" s="83">
        <f>IF($G547="","",IFERROR(IF(INDEX(設定!$E$6:$E$21,MATCH($G547,設定!$B$6:$B$21,0))=0,"",INDEX(設定!$E$6:$E$21,MATCH($G547,設定!$B$6:$B$21,0))),""))</f>
        <v/>
      </c>
      <c r="J547" s="83">
        <f>IFERROR(INDEX(打卡匯入!$C$3:$C$2002,MATCH($C547&amp;"|"&amp;DAY($A547),打卡匯入!$E$3:$E$2002,0)),"")</f>
        <v/>
      </c>
      <c r="K547" s="83">
        <f>IFERROR(INDEX(打卡匯入!$D$3:$D$2002,MATCH($C547&amp;"|"&amp;DAY($A547),打卡匯入!$E$3:$E$2002,0)),"")</f>
        <v/>
      </c>
      <c r="L547" s="84">
        <f>IF(OR($J547="",$K547=""),"",IFERROR(INDEX(設定!$F$6:$F$21,MATCH($G547,設定!$B$6:$B$21,0)),0))</f>
        <v/>
      </c>
      <c r="M547" s="85">
        <f>IF(OR($J547="",$K547=""),"",ROUND(($K547-$J547)*24-$L547/60,2))</f>
        <v/>
      </c>
      <c r="N547" s="16">
        <f>IF($C547="","",IF(AND(COUNTIF(設定!$B$15:$B$21,$G547)&gt;0,$J547&lt;&gt;""),"假日出勤",IF(AND(COUNTIF(設定!$B$6:$B$14,$G547)&gt;0,$J547=""),"未打卡",IF($J547="","",IF($O547&gt;0,"遲到",IF($P547&gt;0,"早退","正常"))))))</f>
        <v/>
      </c>
      <c r="O547" s="84">
        <f>IF(OR($C547="",$H547="",$J547=""),0,IF(ROUND(($J547-$H547)*1440,0)&gt;設定!$C$46,ROUND(($J547-$H547)*1440,0),0))</f>
        <v/>
      </c>
      <c r="P547" s="84">
        <f>IF(OR($C547="",$I547="",$K547=""),0,IF(ROUND(($I547-$K547)*1440,0)&gt;設定!$C$46,ROUND(($I547-$K547)*1440,0),0))</f>
        <v/>
      </c>
      <c r="Q547" s="85">
        <f>IF($M547="",0,IF(($M547-IFERROR(INDEX(設定!$G$6:$G$21,MATCH($G547,設定!$B$6:$B$21,0)),0))*60&gt;=設定!$C$44,ROUND(FLOOR(($M547-IFERROR(INDEX(設定!$G$6:$G$21,MATCH($G547,設定!$B$6:$B$21,0)),0))*60,設定!$C$45)/60,2),0))</f>
        <v/>
      </c>
      <c r="R547" s="16">
        <f>IF(OR($C547="",$Q547=0),"",IF($G547="國","國定假日",IF($B547="日","例假",IF($B547="六","休息日","平日"))))</f>
        <v/>
      </c>
      <c r="S547" s="19" t="n"/>
    </row>
    <row r="548">
      <c r="A548" s="82">
        <f>IF(OR(助理班表!$A22="",19&gt;DAY(EOMONTH(DATE(設定!$C$2,設定!$D$2,1),0))),"",DATE(設定!$C$2,設定!$D$2,19))</f>
        <v/>
      </c>
      <c r="B548" s="16">
        <f>IF($A548="","",INDEX(設定!$O$6:$O$12,WEEKDAY($A548,1)))</f>
        <v/>
      </c>
      <c r="C548" s="16">
        <f>IF($A548="","",助理班表!$A22)</f>
        <v/>
      </c>
      <c r="D548" s="16">
        <f>IF($C548="","",助理班表!$B22)</f>
        <v/>
      </c>
      <c r="E548" s="16">
        <f>IF($C548="","",助理班表!$D22)</f>
        <v/>
      </c>
      <c r="F548" s="16">
        <f>IF($C548="","",助理班表!$C22)</f>
        <v/>
      </c>
      <c r="G548" s="16">
        <f>IF($C548="","",助理班表!W22)</f>
        <v/>
      </c>
      <c r="H548" s="83">
        <f>IF($G548="","",IFERROR(IF(INDEX(設定!$D$6:$D$21,MATCH($G548,設定!$B$6:$B$21,0))=0,"",INDEX(設定!$D$6:$D$21,MATCH($G548,設定!$B$6:$B$21,0))),""))</f>
        <v/>
      </c>
      <c r="I548" s="83">
        <f>IF($G548="","",IFERROR(IF(INDEX(設定!$E$6:$E$21,MATCH($G548,設定!$B$6:$B$21,0))=0,"",INDEX(設定!$E$6:$E$21,MATCH($G548,設定!$B$6:$B$21,0))),""))</f>
        <v/>
      </c>
      <c r="J548" s="83">
        <f>IFERROR(INDEX(打卡匯入!$C$3:$C$2002,MATCH($C548&amp;"|"&amp;DAY($A548),打卡匯入!$E$3:$E$2002,0)),"")</f>
        <v/>
      </c>
      <c r="K548" s="83">
        <f>IFERROR(INDEX(打卡匯入!$D$3:$D$2002,MATCH($C548&amp;"|"&amp;DAY($A548),打卡匯入!$E$3:$E$2002,0)),"")</f>
        <v/>
      </c>
      <c r="L548" s="84">
        <f>IF(OR($J548="",$K548=""),"",IFERROR(INDEX(設定!$F$6:$F$21,MATCH($G548,設定!$B$6:$B$21,0)),0))</f>
        <v/>
      </c>
      <c r="M548" s="85">
        <f>IF(OR($J548="",$K548=""),"",ROUND(($K548-$J548)*24-$L548/60,2))</f>
        <v/>
      </c>
      <c r="N548" s="16">
        <f>IF($C548="","",IF(AND(COUNTIF(設定!$B$15:$B$21,$G548)&gt;0,$J548&lt;&gt;""),"假日出勤",IF(AND(COUNTIF(設定!$B$6:$B$14,$G548)&gt;0,$J548=""),"未打卡",IF($J548="","",IF($O548&gt;0,"遲到",IF($P548&gt;0,"早退","正常"))))))</f>
        <v/>
      </c>
      <c r="O548" s="84">
        <f>IF(OR($C548="",$H548="",$J548=""),0,IF(ROUND(($J548-$H548)*1440,0)&gt;設定!$C$46,ROUND(($J548-$H548)*1440,0),0))</f>
        <v/>
      </c>
      <c r="P548" s="84">
        <f>IF(OR($C548="",$I548="",$K548=""),0,IF(ROUND(($I548-$K548)*1440,0)&gt;設定!$C$46,ROUND(($I548-$K548)*1440,0),0))</f>
        <v/>
      </c>
      <c r="Q548" s="85">
        <f>IF($M548="",0,IF(($M548-IFERROR(INDEX(設定!$G$6:$G$21,MATCH($G548,設定!$B$6:$B$21,0)),0))*60&gt;=設定!$C$44,ROUND(FLOOR(($M548-IFERROR(INDEX(設定!$G$6:$G$21,MATCH($G548,設定!$B$6:$B$21,0)),0))*60,設定!$C$45)/60,2),0))</f>
        <v/>
      </c>
      <c r="R548" s="16">
        <f>IF(OR($C548="",$Q548=0),"",IF($G548="國","國定假日",IF($B548="日","例假",IF($B548="六","休息日","平日"))))</f>
        <v/>
      </c>
      <c r="S548" s="19" t="n"/>
    </row>
    <row r="549">
      <c r="A549" s="82">
        <f>IF(OR(助理班表!$A22="",20&gt;DAY(EOMONTH(DATE(設定!$C$2,設定!$D$2,1),0))),"",DATE(設定!$C$2,設定!$D$2,20))</f>
        <v/>
      </c>
      <c r="B549" s="16">
        <f>IF($A549="","",INDEX(設定!$O$6:$O$12,WEEKDAY($A549,1)))</f>
        <v/>
      </c>
      <c r="C549" s="16">
        <f>IF($A549="","",助理班表!$A22)</f>
        <v/>
      </c>
      <c r="D549" s="16">
        <f>IF($C549="","",助理班表!$B22)</f>
        <v/>
      </c>
      <c r="E549" s="16">
        <f>IF($C549="","",助理班表!$D22)</f>
        <v/>
      </c>
      <c r="F549" s="16">
        <f>IF($C549="","",助理班表!$C22)</f>
        <v/>
      </c>
      <c r="G549" s="16">
        <f>IF($C549="","",助理班表!X22)</f>
        <v/>
      </c>
      <c r="H549" s="83">
        <f>IF($G549="","",IFERROR(IF(INDEX(設定!$D$6:$D$21,MATCH($G549,設定!$B$6:$B$21,0))=0,"",INDEX(設定!$D$6:$D$21,MATCH($G549,設定!$B$6:$B$21,0))),""))</f>
        <v/>
      </c>
      <c r="I549" s="83">
        <f>IF($G549="","",IFERROR(IF(INDEX(設定!$E$6:$E$21,MATCH($G549,設定!$B$6:$B$21,0))=0,"",INDEX(設定!$E$6:$E$21,MATCH($G549,設定!$B$6:$B$21,0))),""))</f>
        <v/>
      </c>
      <c r="J549" s="83">
        <f>IFERROR(INDEX(打卡匯入!$C$3:$C$2002,MATCH($C549&amp;"|"&amp;DAY($A549),打卡匯入!$E$3:$E$2002,0)),"")</f>
        <v/>
      </c>
      <c r="K549" s="83">
        <f>IFERROR(INDEX(打卡匯入!$D$3:$D$2002,MATCH($C549&amp;"|"&amp;DAY($A549),打卡匯入!$E$3:$E$2002,0)),"")</f>
        <v/>
      </c>
      <c r="L549" s="84">
        <f>IF(OR($J549="",$K549=""),"",IFERROR(INDEX(設定!$F$6:$F$21,MATCH($G549,設定!$B$6:$B$21,0)),0))</f>
        <v/>
      </c>
      <c r="M549" s="85">
        <f>IF(OR($J549="",$K549=""),"",ROUND(($K549-$J549)*24-$L549/60,2))</f>
        <v/>
      </c>
      <c r="N549" s="16">
        <f>IF($C549="","",IF(AND(COUNTIF(設定!$B$15:$B$21,$G549)&gt;0,$J549&lt;&gt;""),"假日出勤",IF(AND(COUNTIF(設定!$B$6:$B$14,$G549)&gt;0,$J549=""),"未打卡",IF($J549="","",IF($O549&gt;0,"遲到",IF($P549&gt;0,"早退","正常"))))))</f>
        <v/>
      </c>
      <c r="O549" s="84">
        <f>IF(OR($C549="",$H549="",$J549=""),0,IF(ROUND(($J549-$H549)*1440,0)&gt;設定!$C$46,ROUND(($J549-$H549)*1440,0),0))</f>
        <v/>
      </c>
      <c r="P549" s="84">
        <f>IF(OR($C549="",$I549="",$K549=""),0,IF(ROUND(($I549-$K549)*1440,0)&gt;設定!$C$46,ROUND(($I549-$K549)*1440,0),0))</f>
        <v/>
      </c>
      <c r="Q549" s="85">
        <f>IF($M549="",0,IF(($M549-IFERROR(INDEX(設定!$G$6:$G$21,MATCH($G549,設定!$B$6:$B$21,0)),0))*60&gt;=設定!$C$44,ROUND(FLOOR(($M549-IFERROR(INDEX(設定!$G$6:$G$21,MATCH($G549,設定!$B$6:$B$21,0)),0))*60,設定!$C$45)/60,2),0))</f>
        <v/>
      </c>
      <c r="R549" s="16">
        <f>IF(OR($C549="",$Q549=0),"",IF($G549="國","國定假日",IF($B549="日","例假",IF($B549="六","休息日","平日"))))</f>
        <v/>
      </c>
      <c r="S549" s="19" t="n"/>
    </row>
    <row r="550">
      <c r="A550" s="82">
        <f>IF(OR(助理班表!$A22="",21&gt;DAY(EOMONTH(DATE(設定!$C$2,設定!$D$2,1),0))),"",DATE(設定!$C$2,設定!$D$2,21))</f>
        <v/>
      </c>
      <c r="B550" s="16">
        <f>IF($A550="","",INDEX(設定!$O$6:$O$12,WEEKDAY($A550,1)))</f>
        <v/>
      </c>
      <c r="C550" s="16">
        <f>IF($A550="","",助理班表!$A22)</f>
        <v/>
      </c>
      <c r="D550" s="16">
        <f>IF($C550="","",助理班表!$B22)</f>
        <v/>
      </c>
      <c r="E550" s="16">
        <f>IF($C550="","",助理班表!$D22)</f>
        <v/>
      </c>
      <c r="F550" s="16">
        <f>IF($C550="","",助理班表!$C22)</f>
        <v/>
      </c>
      <c r="G550" s="16">
        <f>IF($C550="","",助理班表!Y22)</f>
        <v/>
      </c>
      <c r="H550" s="83">
        <f>IF($G550="","",IFERROR(IF(INDEX(設定!$D$6:$D$21,MATCH($G550,設定!$B$6:$B$21,0))=0,"",INDEX(設定!$D$6:$D$21,MATCH($G550,設定!$B$6:$B$21,0))),""))</f>
        <v/>
      </c>
      <c r="I550" s="83">
        <f>IF($G550="","",IFERROR(IF(INDEX(設定!$E$6:$E$21,MATCH($G550,設定!$B$6:$B$21,0))=0,"",INDEX(設定!$E$6:$E$21,MATCH($G550,設定!$B$6:$B$21,0))),""))</f>
        <v/>
      </c>
      <c r="J550" s="83">
        <f>IFERROR(INDEX(打卡匯入!$C$3:$C$2002,MATCH($C550&amp;"|"&amp;DAY($A550),打卡匯入!$E$3:$E$2002,0)),"")</f>
        <v/>
      </c>
      <c r="K550" s="83">
        <f>IFERROR(INDEX(打卡匯入!$D$3:$D$2002,MATCH($C550&amp;"|"&amp;DAY($A550),打卡匯入!$E$3:$E$2002,0)),"")</f>
        <v/>
      </c>
      <c r="L550" s="84">
        <f>IF(OR($J550="",$K550=""),"",IFERROR(INDEX(設定!$F$6:$F$21,MATCH($G550,設定!$B$6:$B$21,0)),0))</f>
        <v/>
      </c>
      <c r="M550" s="85">
        <f>IF(OR($J550="",$K550=""),"",ROUND(($K550-$J550)*24-$L550/60,2))</f>
        <v/>
      </c>
      <c r="N550" s="16">
        <f>IF($C550="","",IF(AND(COUNTIF(設定!$B$15:$B$21,$G550)&gt;0,$J550&lt;&gt;""),"假日出勤",IF(AND(COUNTIF(設定!$B$6:$B$14,$G550)&gt;0,$J550=""),"未打卡",IF($J550="","",IF($O550&gt;0,"遲到",IF($P550&gt;0,"早退","正常"))))))</f>
        <v/>
      </c>
      <c r="O550" s="84">
        <f>IF(OR($C550="",$H550="",$J550=""),0,IF(ROUND(($J550-$H550)*1440,0)&gt;設定!$C$46,ROUND(($J550-$H550)*1440,0),0))</f>
        <v/>
      </c>
      <c r="P550" s="84">
        <f>IF(OR($C550="",$I550="",$K550=""),0,IF(ROUND(($I550-$K550)*1440,0)&gt;設定!$C$46,ROUND(($I550-$K550)*1440,0),0))</f>
        <v/>
      </c>
      <c r="Q550" s="85">
        <f>IF($M550="",0,IF(($M550-IFERROR(INDEX(設定!$G$6:$G$21,MATCH($G550,設定!$B$6:$B$21,0)),0))*60&gt;=設定!$C$44,ROUND(FLOOR(($M550-IFERROR(INDEX(設定!$G$6:$G$21,MATCH($G550,設定!$B$6:$B$21,0)),0))*60,設定!$C$45)/60,2),0))</f>
        <v/>
      </c>
      <c r="R550" s="16">
        <f>IF(OR($C550="",$Q550=0),"",IF($G550="國","國定假日",IF($B550="日","例假",IF($B550="六","休息日","平日"))))</f>
        <v/>
      </c>
      <c r="S550" s="19" t="n"/>
    </row>
    <row r="551">
      <c r="A551" s="82">
        <f>IF(OR(助理班表!$A22="",22&gt;DAY(EOMONTH(DATE(設定!$C$2,設定!$D$2,1),0))),"",DATE(設定!$C$2,設定!$D$2,22))</f>
        <v/>
      </c>
      <c r="B551" s="16">
        <f>IF($A551="","",INDEX(設定!$O$6:$O$12,WEEKDAY($A551,1)))</f>
        <v/>
      </c>
      <c r="C551" s="16">
        <f>IF($A551="","",助理班表!$A22)</f>
        <v/>
      </c>
      <c r="D551" s="16">
        <f>IF($C551="","",助理班表!$B22)</f>
        <v/>
      </c>
      <c r="E551" s="16">
        <f>IF($C551="","",助理班表!$D22)</f>
        <v/>
      </c>
      <c r="F551" s="16">
        <f>IF($C551="","",助理班表!$C22)</f>
        <v/>
      </c>
      <c r="G551" s="16">
        <f>IF($C551="","",助理班表!Z22)</f>
        <v/>
      </c>
      <c r="H551" s="83">
        <f>IF($G551="","",IFERROR(IF(INDEX(設定!$D$6:$D$21,MATCH($G551,設定!$B$6:$B$21,0))=0,"",INDEX(設定!$D$6:$D$21,MATCH($G551,設定!$B$6:$B$21,0))),""))</f>
        <v/>
      </c>
      <c r="I551" s="83">
        <f>IF($G551="","",IFERROR(IF(INDEX(設定!$E$6:$E$21,MATCH($G551,設定!$B$6:$B$21,0))=0,"",INDEX(設定!$E$6:$E$21,MATCH($G551,設定!$B$6:$B$21,0))),""))</f>
        <v/>
      </c>
      <c r="J551" s="83">
        <f>IFERROR(INDEX(打卡匯入!$C$3:$C$2002,MATCH($C551&amp;"|"&amp;DAY($A551),打卡匯入!$E$3:$E$2002,0)),"")</f>
        <v/>
      </c>
      <c r="K551" s="83">
        <f>IFERROR(INDEX(打卡匯入!$D$3:$D$2002,MATCH($C551&amp;"|"&amp;DAY($A551),打卡匯入!$E$3:$E$2002,0)),"")</f>
        <v/>
      </c>
      <c r="L551" s="84">
        <f>IF(OR($J551="",$K551=""),"",IFERROR(INDEX(設定!$F$6:$F$21,MATCH($G551,設定!$B$6:$B$21,0)),0))</f>
        <v/>
      </c>
      <c r="M551" s="85">
        <f>IF(OR($J551="",$K551=""),"",ROUND(($K551-$J551)*24-$L551/60,2))</f>
        <v/>
      </c>
      <c r="N551" s="16">
        <f>IF($C551="","",IF(AND(COUNTIF(設定!$B$15:$B$21,$G551)&gt;0,$J551&lt;&gt;""),"假日出勤",IF(AND(COUNTIF(設定!$B$6:$B$14,$G551)&gt;0,$J551=""),"未打卡",IF($J551="","",IF($O551&gt;0,"遲到",IF($P551&gt;0,"早退","正常"))))))</f>
        <v/>
      </c>
      <c r="O551" s="84">
        <f>IF(OR($C551="",$H551="",$J551=""),0,IF(ROUND(($J551-$H551)*1440,0)&gt;設定!$C$46,ROUND(($J551-$H551)*1440,0),0))</f>
        <v/>
      </c>
      <c r="P551" s="84">
        <f>IF(OR($C551="",$I551="",$K551=""),0,IF(ROUND(($I551-$K551)*1440,0)&gt;設定!$C$46,ROUND(($I551-$K551)*1440,0),0))</f>
        <v/>
      </c>
      <c r="Q551" s="85">
        <f>IF($M551="",0,IF(($M551-IFERROR(INDEX(設定!$G$6:$G$21,MATCH($G551,設定!$B$6:$B$21,0)),0))*60&gt;=設定!$C$44,ROUND(FLOOR(($M551-IFERROR(INDEX(設定!$G$6:$G$21,MATCH($G551,設定!$B$6:$B$21,0)),0))*60,設定!$C$45)/60,2),0))</f>
        <v/>
      </c>
      <c r="R551" s="16">
        <f>IF(OR($C551="",$Q551=0),"",IF($G551="國","國定假日",IF($B551="日","例假",IF($B551="六","休息日","平日"))))</f>
        <v/>
      </c>
      <c r="S551" s="19" t="n"/>
    </row>
    <row r="552">
      <c r="A552" s="82">
        <f>IF(OR(助理班表!$A22="",23&gt;DAY(EOMONTH(DATE(設定!$C$2,設定!$D$2,1),0))),"",DATE(設定!$C$2,設定!$D$2,23))</f>
        <v/>
      </c>
      <c r="B552" s="16">
        <f>IF($A552="","",INDEX(設定!$O$6:$O$12,WEEKDAY($A552,1)))</f>
        <v/>
      </c>
      <c r="C552" s="16">
        <f>IF($A552="","",助理班表!$A22)</f>
        <v/>
      </c>
      <c r="D552" s="16">
        <f>IF($C552="","",助理班表!$B22)</f>
        <v/>
      </c>
      <c r="E552" s="16">
        <f>IF($C552="","",助理班表!$D22)</f>
        <v/>
      </c>
      <c r="F552" s="16">
        <f>IF($C552="","",助理班表!$C22)</f>
        <v/>
      </c>
      <c r="G552" s="16">
        <f>IF($C552="","",助理班表!AA22)</f>
        <v/>
      </c>
      <c r="H552" s="83">
        <f>IF($G552="","",IFERROR(IF(INDEX(設定!$D$6:$D$21,MATCH($G552,設定!$B$6:$B$21,0))=0,"",INDEX(設定!$D$6:$D$21,MATCH($G552,設定!$B$6:$B$21,0))),""))</f>
        <v/>
      </c>
      <c r="I552" s="83">
        <f>IF($G552="","",IFERROR(IF(INDEX(設定!$E$6:$E$21,MATCH($G552,設定!$B$6:$B$21,0))=0,"",INDEX(設定!$E$6:$E$21,MATCH($G552,設定!$B$6:$B$21,0))),""))</f>
        <v/>
      </c>
      <c r="J552" s="83">
        <f>IFERROR(INDEX(打卡匯入!$C$3:$C$2002,MATCH($C552&amp;"|"&amp;DAY($A552),打卡匯入!$E$3:$E$2002,0)),"")</f>
        <v/>
      </c>
      <c r="K552" s="83">
        <f>IFERROR(INDEX(打卡匯入!$D$3:$D$2002,MATCH($C552&amp;"|"&amp;DAY($A552),打卡匯入!$E$3:$E$2002,0)),"")</f>
        <v/>
      </c>
      <c r="L552" s="84">
        <f>IF(OR($J552="",$K552=""),"",IFERROR(INDEX(設定!$F$6:$F$21,MATCH($G552,設定!$B$6:$B$21,0)),0))</f>
        <v/>
      </c>
      <c r="M552" s="85">
        <f>IF(OR($J552="",$K552=""),"",ROUND(($K552-$J552)*24-$L552/60,2))</f>
        <v/>
      </c>
      <c r="N552" s="16">
        <f>IF($C552="","",IF(AND(COUNTIF(設定!$B$15:$B$21,$G552)&gt;0,$J552&lt;&gt;""),"假日出勤",IF(AND(COUNTIF(設定!$B$6:$B$14,$G552)&gt;0,$J552=""),"未打卡",IF($J552="","",IF($O552&gt;0,"遲到",IF($P552&gt;0,"早退","正常"))))))</f>
        <v/>
      </c>
      <c r="O552" s="84">
        <f>IF(OR($C552="",$H552="",$J552=""),0,IF(ROUND(($J552-$H552)*1440,0)&gt;設定!$C$46,ROUND(($J552-$H552)*1440,0),0))</f>
        <v/>
      </c>
      <c r="P552" s="84">
        <f>IF(OR($C552="",$I552="",$K552=""),0,IF(ROUND(($I552-$K552)*1440,0)&gt;設定!$C$46,ROUND(($I552-$K552)*1440,0),0))</f>
        <v/>
      </c>
      <c r="Q552" s="85">
        <f>IF($M552="",0,IF(($M552-IFERROR(INDEX(設定!$G$6:$G$21,MATCH($G552,設定!$B$6:$B$21,0)),0))*60&gt;=設定!$C$44,ROUND(FLOOR(($M552-IFERROR(INDEX(設定!$G$6:$G$21,MATCH($G552,設定!$B$6:$B$21,0)),0))*60,設定!$C$45)/60,2),0))</f>
        <v/>
      </c>
      <c r="R552" s="16">
        <f>IF(OR($C552="",$Q552=0),"",IF($G552="國","國定假日",IF($B552="日","例假",IF($B552="六","休息日","平日"))))</f>
        <v/>
      </c>
      <c r="S552" s="19" t="n"/>
    </row>
    <row r="553">
      <c r="A553" s="82">
        <f>IF(OR(助理班表!$A22="",24&gt;DAY(EOMONTH(DATE(設定!$C$2,設定!$D$2,1),0))),"",DATE(設定!$C$2,設定!$D$2,24))</f>
        <v/>
      </c>
      <c r="B553" s="16">
        <f>IF($A553="","",INDEX(設定!$O$6:$O$12,WEEKDAY($A553,1)))</f>
        <v/>
      </c>
      <c r="C553" s="16">
        <f>IF($A553="","",助理班表!$A22)</f>
        <v/>
      </c>
      <c r="D553" s="16">
        <f>IF($C553="","",助理班表!$B22)</f>
        <v/>
      </c>
      <c r="E553" s="16">
        <f>IF($C553="","",助理班表!$D22)</f>
        <v/>
      </c>
      <c r="F553" s="16">
        <f>IF($C553="","",助理班表!$C22)</f>
        <v/>
      </c>
      <c r="G553" s="16">
        <f>IF($C553="","",助理班表!AB22)</f>
        <v/>
      </c>
      <c r="H553" s="83">
        <f>IF($G553="","",IFERROR(IF(INDEX(設定!$D$6:$D$21,MATCH($G553,設定!$B$6:$B$21,0))=0,"",INDEX(設定!$D$6:$D$21,MATCH($G553,設定!$B$6:$B$21,0))),""))</f>
        <v/>
      </c>
      <c r="I553" s="83">
        <f>IF($G553="","",IFERROR(IF(INDEX(設定!$E$6:$E$21,MATCH($G553,設定!$B$6:$B$21,0))=0,"",INDEX(設定!$E$6:$E$21,MATCH($G553,設定!$B$6:$B$21,0))),""))</f>
        <v/>
      </c>
      <c r="J553" s="83">
        <f>IFERROR(INDEX(打卡匯入!$C$3:$C$2002,MATCH($C553&amp;"|"&amp;DAY($A553),打卡匯入!$E$3:$E$2002,0)),"")</f>
        <v/>
      </c>
      <c r="K553" s="83">
        <f>IFERROR(INDEX(打卡匯入!$D$3:$D$2002,MATCH($C553&amp;"|"&amp;DAY($A553),打卡匯入!$E$3:$E$2002,0)),"")</f>
        <v/>
      </c>
      <c r="L553" s="84">
        <f>IF(OR($J553="",$K553=""),"",IFERROR(INDEX(設定!$F$6:$F$21,MATCH($G553,設定!$B$6:$B$21,0)),0))</f>
        <v/>
      </c>
      <c r="M553" s="85">
        <f>IF(OR($J553="",$K553=""),"",ROUND(($K553-$J553)*24-$L553/60,2))</f>
        <v/>
      </c>
      <c r="N553" s="16">
        <f>IF($C553="","",IF(AND(COUNTIF(設定!$B$15:$B$21,$G553)&gt;0,$J553&lt;&gt;""),"假日出勤",IF(AND(COUNTIF(設定!$B$6:$B$14,$G553)&gt;0,$J553=""),"未打卡",IF($J553="","",IF($O553&gt;0,"遲到",IF($P553&gt;0,"早退","正常"))))))</f>
        <v/>
      </c>
      <c r="O553" s="84">
        <f>IF(OR($C553="",$H553="",$J553=""),0,IF(ROUND(($J553-$H553)*1440,0)&gt;設定!$C$46,ROUND(($J553-$H553)*1440,0),0))</f>
        <v/>
      </c>
      <c r="P553" s="84">
        <f>IF(OR($C553="",$I553="",$K553=""),0,IF(ROUND(($I553-$K553)*1440,0)&gt;設定!$C$46,ROUND(($I553-$K553)*1440,0),0))</f>
        <v/>
      </c>
      <c r="Q553" s="85">
        <f>IF($M553="",0,IF(($M553-IFERROR(INDEX(設定!$G$6:$G$21,MATCH($G553,設定!$B$6:$B$21,0)),0))*60&gt;=設定!$C$44,ROUND(FLOOR(($M553-IFERROR(INDEX(設定!$G$6:$G$21,MATCH($G553,設定!$B$6:$B$21,0)),0))*60,設定!$C$45)/60,2),0))</f>
        <v/>
      </c>
      <c r="R553" s="16">
        <f>IF(OR($C553="",$Q553=0),"",IF($G553="國","國定假日",IF($B553="日","例假",IF($B553="六","休息日","平日"))))</f>
        <v/>
      </c>
      <c r="S553" s="19" t="n"/>
    </row>
    <row r="554">
      <c r="A554" s="82">
        <f>IF(OR(助理班表!$A22="",25&gt;DAY(EOMONTH(DATE(設定!$C$2,設定!$D$2,1),0))),"",DATE(設定!$C$2,設定!$D$2,25))</f>
        <v/>
      </c>
      <c r="B554" s="16">
        <f>IF($A554="","",INDEX(設定!$O$6:$O$12,WEEKDAY($A554,1)))</f>
        <v/>
      </c>
      <c r="C554" s="16">
        <f>IF($A554="","",助理班表!$A22)</f>
        <v/>
      </c>
      <c r="D554" s="16">
        <f>IF($C554="","",助理班表!$B22)</f>
        <v/>
      </c>
      <c r="E554" s="16">
        <f>IF($C554="","",助理班表!$D22)</f>
        <v/>
      </c>
      <c r="F554" s="16">
        <f>IF($C554="","",助理班表!$C22)</f>
        <v/>
      </c>
      <c r="G554" s="16">
        <f>IF($C554="","",助理班表!AC22)</f>
        <v/>
      </c>
      <c r="H554" s="83">
        <f>IF($G554="","",IFERROR(IF(INDEX(設定!$D$6:$D$21,MATCH($G554,設定!$B$6:$B$21,0))=0,"",INDEX(設定!$D$6:$D$21,MATCH($G554,設定!$B$6:$B$21,0))),""))</f>
        <v/>
      </c>
      <c r="I554" s="83">
        <f>IF($G554="","",IFERROR(IF(INDEX(設定!$E$6:$E$21,MATCH($G554,設定!$B$6:$B$21,0))=0,"",INDEX(設定!$E$6:$E$21,MATCH($G554,設定!$B$6:$B$21,0))),""))</f>
        <v/>
      </c>
      <c r="J554" s="83">
        <f>IFERROR(INDEX(打卡匯入!$C$3:$C$2002,MATCH($C554&amp;"|"&amp;DAY($A554),打卡匯入!$E$3:$E$2002,0)),"")</f>
        <v/>
      </c>
      <c r="K554" s="83">
        <f>IFERROR(INDEX(打卡匯入!$D$3:$D$2002,MATCH($C554&amp;"|"&amp;DAY($A554),打卡匯入!$E$3:$E$2002,0)),"")</f>
        <v/>
      </c>
      <c r="L554" s="84">
        <f>IF(OR($J554="",$K554=""),"",IFERROR(INDEX(設定!$F$6:$F$21,MATCH($G554,設定!$B$6:$B$21,0)),0))</f>
        <v/>
      </c>
      <c r="M554" s="85">
        <f>IF(OR($J554="",$K554=""),"",ROUND(($K554-$J554)*24-$L554/60,2))</f>
        <v/>
      </c>
      <c r="N554" s="16">
        <f>IF($C554="","",IF(AND(COUNTIF(設定!$B$15:$B$21,$G554)&gt;0,$J554&lt;&gt;""),"假日出勤",IF(AND(COUNTIF(設定!$B$6:$B$14,$G554)&gt;0,$J554=""),"未打卡",IF($J554="","",IF($O554&gt;0,"遲到",IF($P554&gt;0,"早退","正常"))))))</f>
        <v/>
      </c>
      <c r="O554" s="84">
        <f>IF(OR($C554="",$H554="",$J554=""),0,IF(ROUND(($J554-$H554)*1440,0)&gt;設定!$C$46,ROUND(($J554-$H554)*1440,0),0))</f>
        <v/>
      </c>
      <c r="P554" s="84">
        <f>IF(OR($C554="",$I554="",$K554=""),0,IF(ROUND(($I554-$K554)*1440,0)&gt;設定!$C$46,ROUND(($I554-$K554)*1440,0),0))</f>
        <v/>
      </c>
      <c r="Q554" s="85">
        <f>IF($M554="",0,IF(($M554-IFERROR(INDEX(設定!$G$6:$G$21,MATCH($G554,設定!$B$6:$B$21,0)),0))*60&gt;=設定!$C$44,ROUND(FLOOR(($M554-IFERROR(INDEX(設定!$G$6:$G$21,MATCH($G554,設定!$B$6:$B$21,0)),0))*60,設定!$C$45)/60,2),0))</f>
        <v/>
      </c>
      <c r="R554" s="16">
        <f>IF(OR($C554="",$Q554=0),"",IF($G554="國","國定假日",IF($B554="日","例假",IF($B554="六","休息日","平日"))))</f>
        <v/>
      </c>
      <c r="S554" s="19" t="n"/>
    </row>
    <row r="555">
      <c r="A555" s="82">
        <f>IF(OR(助理班表!$A22="",26&gt;DAY(EOMONTH(DATE(設定!$C$2,設定!$D$2,1),0))),"",DATE(設定!$C$2,設定!$D$2,26))</f>
        <v/>
      </c>
      <c r="B555" s="16">
        <f>IF($A555="","",INDEX(設定!$O$6:$O$12,WEEKDAY($A555,1)))</f>
        <v/>
      </c>
      <c r="C555" s="16">
        <f>IF($A555="","",助理班表!$A22)</f>
        <v/>
      </c>
      <c r="D555" s="16">
        <f>IF($C555="","",助理班表!$B22)</f>
        <v/>
      </c>
      <c r="E555" s="16">
        <f>IF($C555="","",助理班表!$D22)</f>
        <v/>
      </c>
      <c r="F555" s="16">
        <f>IF($C555="","",助理班表!$C22)</f>
        <v/>
      </c>
      <c r="G555" s="16">
        <f>IF($C555="","",助理班表!AD22)</f>
        <v/>
      </c>
      <c r="H555" s="83">
        <f>IF($G555="","",IFERROR(IF(INDEX(設定!$D$6:$D$21,MATCH($G555,設定!$B$6:$B$21,0))=0,"",INDEX(設定!$D$6:$D$21,MATCH($G555,設定!$B$6:$B$21,0))),""))</f>
        <v/>
      </c>
      <c r="I555" s="83">
        <f>IF($G555="","",IFERROR(IF(INDEX(設定!$E$6:$E$21,MATCH($G555,設定!$B$6:$B$21,0))=0,"",INDEX(設定!$E$6:$E$21,MATCH($G555,設定!$B$6:$B$21,0))),""))</f>
        <v/>
      </c>
      <c r="J555" s="83">
        <f>IFERROR(INDEX(打卡匯入!$C$3:$C$2002,MATCH($C555&amp;"|"&amp;DAY($A555),打卡匯入!$E$3:$E$2002,0)),"")</f>
        <v/>
      </c>
      <c r="K555" s="83">
        <f>IFERROR(INDEX(打卡匯入!$D$3:$D$2002,MATCH($C555&amp;"|"&amp;DAY($A555),打卡匯入!$E$3:$E$2002,0)),"")</f>
        <v/>
      </c>
      <c r="L555" s="84">
        <f>IF(OR($J555="",$K555=""),"",IFERROR(INDEX(設定!$F$6:$F$21,MATCH($G555,設定!$B$6:$B$21,0)),0))</f>
        <v/>
      </c>
      <c r="M555" s="85">
        <f>IF(OR($J555="",$K555=""),"",ROUND(($K555-$J555)*24-$L555/60,2))</f>
        <v/>
      </c>
      <c r="N555" s="16">
        <f>IF($C555="","",IF(AND(COUNTIF(設定!$B$15:$B$21,$G555)&gt;0,$J555&lt;&gt;""),"假日出勤",IF(AND(COUNTIF(設定!$B$6:$B$14,$G555)&gt;0,$J555=""),"未打卡",IF($J555="","",IF($O555&gt;0,"遲到",IF($P555&gt;0,"早退","正常"))))))</f>
        <v/>
      </c>
      <c r="O555" s="84">
        <f>IF(OR($C555="",$H555="",$J555=""),0,IF(ROUND(($J555-$H555)*1440,0)&gt;設定!$C$46,ROUND(($J555-$H555)*1440,0),0))</f>
        <v/>
      </c>
      <c r="P555" s="84">
        <f>IF(OR($C555="",$I555="",$K555=""),0,IF(ROUND(($I555-$K555)*1440,0)&gt;設定!$C$46,ROUND(($I555-$K555)*1440,0),0))</f>
        <v/>
      </c>
      <c r="Q555" s="85">
        <f>IF($M555="",0,IF(($M555-IFERROR(INDEX(設定!$G$6:$G$21,MATCH($G555,設定!$B$6:$B$21,0)),0))*60&gt;=設定!$C$44,ROUND(FLOOR(($M555-IFERROR(INDEX(設定!$G$6:$G$21,MATCH($G555,設定!$B$6:$B$21,0)),0))*60,設定!$C$45)/60,2),0))</f>
        <v/>
      </c>
      <c r="R555" s="16">
        <f>IF(OR($C555="",$Q555=0),"",IF($G555="國","國定假日",IF($B555="日","例假",IF($B555="六","休息日","平日"))))</f>
        <v/>
      </c>
      <c r="S555" s="19" t="n"/>
    </row>
    <row r="556">
      <c r="A556" s="82">
        <f>IF(OR(助理班表!$A22="",27&gt;DAY(EOMONTH(DATE(設定!$C$2,設定!$D$2,1),0))),"",DATE(設定!$C$2,設定!$D$2,27))</f>
        <v/>
      </c>
      <c r="B556" s="16">
        <f>IF($A556="","",INDEX(設定!$O$6:$O$12,WEEKDAY($A556,1)))</f>
        <v/>
      </c>
      <c r="C556" s="16">
        <f>IF($A556="","",助理班表!$A22)</f>
        <v/>
      </c>
      <c r="D556" s="16">
        <f>IF($C556="","",助理班表!$B22)</f>
        <v/>
      </c>
      <c r="E556" s="16">
        <f>IF($C556="","",助理班表!$D22)</f>
        <v/>
      </c>
      <c r="F556" s="16">
        <f>IF($C556="","",助理班表!$C22)</f>
        <v/>
      </c>
      <c r="G556" s="16">
        <f>IF($C556="","",助理班表!AE22)</f>
        <v/>
      </c>
      <c r="H556" s="83">
        <f>IF($G556="","",IFERROR(IF(INDEX(設定!$D$6:$D$21,MATCH($G556,設定!$B$6:$B$21,0))=0,"",INDEX(設定!$D$6:$D$21,MATCH($G556,設定!$B$6:$B$21,0))),""))</f>
        <v/>
      </c>
      <c r="I556" s="83">
        <f>IF($G556="","",IFERROR(IF(INDEX(設定!$E$6:$E$21,MATCH($G556,設定!$B$6:$B$21,0))=0,"",INDEX(設定!$E$6:$E$21,MATCH($G556,設定!$B$6:$B$21,0))),""))</f>
        <v/>
      </c>
      <c r="J556" s="83">
        <f>IFERROR(INDEX(打卡匯入!$C$3:$C$2002,MATCH($C556&amp;"|"&amp;DAY($A556),打卡匯入!$E$3:$E$2002,0)),"")</f>
        <v/>
      </c>
      <c r="K556" s="83">
        <f>IFERROR(INDEX(打卡匯入!$D$3:$D$2002,MATCH($C556&amp;"|"&amp;DAY($A556),打卡匯入!$E$3:$E$2002,0)),"")</f>
        <v/>
      </c>
      <c r="L556" s="84">
        <f>IF(OR($J556="",$K556=""),"",IFERROR(INDEX(設定!$F$6:$F$21,MATCH($G556,設定!$B$6:$B$21,0)),0))</f>
        <v/>
      </c>
      <c r="M556" s="85">
        <f>IF(OR($J556="",$K556=""),"",ROUND(($K556-$J556)*24-$L556/60,2))</f>
        <v/>
      </c>
      <c r="N556" s="16">
        <f>IF($C556="","",IF(AND(COUNTIF(設定!$B$15:$B$21,$G556)&gt;0,$J556&lt;&gt;""),"假日出勤",IF(AND(COUNTIF(設定!$B$6:$B$14,$G556)&gt;0,$J556=""),"未打卡",IF($J556="","",IF($O556&gt;0,"遲到",IF($P556&gt;0,"早退","正常"))))))</f>
        <v/>
      </c>
      <c r="O556" s="84">
        <f>IF(OR($C556="",$H556="",$J556=""),0,IF(ROUND(($J556-$H556)*1440,0)&gt;設定!$C$46,ROUND(($J556-$H556)*1440,0),0))</f>
        <v/>
      </c>
      <c r="P556" s="84">
        <f>IF(OR($C556="",$I556="",$K556=""),0,IF(ROUND(($I556-$K556)*1440,0)&gt;設定!$C$46,ROUND(($I556-$K556)*1440,0),0))</f>
        <v/>
      </c>
      <c r="Q556" s="85">
        <f>IF($M556="",0,IF(($M556-IFERROR(INDEX(設定!$G$6:$G$21,MATCH($G556,設定!$B$6:$B$21,0)),0))*60&gt;=設定!$C$44,ROUND(FLOOR(($M556-IFERROR(INDEX(設定!$G$6:$G$21,MATCH($G556,設定!$B$6:$B$21,0)),0))*60,設定!$C$45)/60,2),0))</f>
        <v/>
      </c>
      <c r="R556" s="16">
        <f>IF(OR($C556="",$Q556=0),"",IF($G556="國","國定假日",IF($B556="日","例假",IF($B556="六","休息日","平日"))))</f>
        <v/>
      </c>
      <c r="S556" s="19" t="n"/>
    </row>
    <row r="557">
      <c r="A557" s="82">
        <f>IF(OR(助理班表!$A22="",28&gt;DAY(EOMONTH(DATE(設定!$C$2,設定!$D$2,1),0))),"",DATE(設定!$C$2,設定!$D$2,28))</f>
        <v/>
      </c>
      <c r="B557" s="16">
        <f>IF($A557="","",INDEX(設定!$O$6:$O$12,WEEKDAY($A557,1)))</f>
        <v/>
      </c>
      <c r="C557" s="16">
        <f>IF($A557="","",助理班表!$A22)</f>
        <v/>
      </c>
      <c r="D557" s="16">
        <f>IF($C557="","",助理班表!$B22)</f>
        <v/>
      </c>
      <c r="E557" s="16">
        <f>IF($C557="","",助理班表!$D22)</f>
        <v/>
      </c>
      <c r="F557" s="16">
        <f>IF($C557="","",助理班表!$C22)</f>
        <v/>
      </c>
      <c r="G557" s="16">
        <f>IF($C557="","",助理班表!AF22)</f>
        <v/>
      </c>
      <c r="H557" s="83">
        <f>IF($G557="","",IFERROR(IF(INDEX(設定!$D$6:$D$21,MATCH($G557,設定!$B$6:$B$21,0))=0,"",INDEX(設定!$D$6:$D$21,MATCH($G557,設定!$B$6:$B$21,0))),""))</f>
        <v/>
      </c>
      <c r="I557" s="83">
        <f>IF($G557="","",IFERROR(IF(INDEX(設定!$E$6:$E$21,MATCH($G557,設定!$B$6:$B$21,0))=0,"",INDEX(設定!$E$6:$E$21,MATCH($G557,設定!$B$6:$B$21,0))),""))</f>
        <v/>
      </c>
      <c r="J557" s="83">
        <f>IFERROR(INDEX(打卡匯入!$C$3:$C$2002,MATCH($C557&amp;"|"&amp;DAY($A557),打卡匯入!$E$3:$E$2002,0)),"")</f>
        <v/>
      </c>
      <c r="K557" s="83">
        <f>IFERROR(INDEX(打卡匯入!$D$3:$D$2002,MATCH($C557&amp;"|"&amp;DAY($A557),打卡匯入!$E$3:$E$2002,0)),"")</f>
        <v/>
      </c>
      <c r="L557" s="84">
        <f>IF(OR($J557="",$K557=""),"",IFERROR(INDEX(設定!$F$6:$F$21,MATCH($G557,設定!$B$6:$B$21,0)),0))</f>
        <v/>
      </c>
      <c r="M557" s="85">
        <f>IF(OR($J557="",$K557=""),"",ROUND(($K557-$J557)*24-$L557/60,2))</f>
        <v/>
      </c>
      <c r="N557" s="16">
        <f>IF($C557="","",IF(AND(COUNTIF(設定!$B$15:$B$21,$G557)&gt;0,$J557&lt;&gt;""),"假日出勤",IF(AND(COUNTIF(設定!$B$6:$B$14,$G557)&gt;0,$J557=""),"未打卡",IF($J557="","",IF($O557&gt;0,"遲到",IF($P557&gt;0,"早退","正常"))))))</f>
        <v/>
      </c>
      <c r="O557" s="84">
        <f>IF(OR($C557="",$H557="",$J557=""),0,IF(ROUND(($J557-$H557)*1440,0)&gt;設定!$C$46,ROUND(($J557-$H557)*1440,0),0))</f>
        <v/>
      </c>
      <c r="P557" s="84">
        <f>IF(OR($C557="",$I557="",$K557=""),0,IF(ROUND(($I557-$K557)*1440,0)&gt;設定!$C$46,ROUND(($I557-$K557)*1440,0),0))</f>
        <v/>
      </c>
      <c r="Q557" s="85">
        <f>IF($M557="",0,IF(($M557-IFERROR(INDEX(設定!$G$6:$G$21,MATCH($G557,設定!$B$6:$B$21,0)),0))*60&gt;=設定!$C$44,ROUND(FLOOR(($M557-IFERROR(INDEX(設定!$G$6:$G$21,MATCH($G557,設定!$B$6:$B$21,0)),0))*60,設定!$C$45)/60,2),0))</f>
        <v/>
      </c>
      <c r="R557" s="16">
        <f>IF(OR($C557="",$Q557=0),"",IF($G557="國","國定假日",IF($B557="日","例假",IF($B557="六","休息日","平日"))))</f>
        <v/>
      </c>
      <c r="S557" s="19" t="n"/>
    </row>
    <row r="558">
      <c r="A558" s="82">
        <f>IF(OR(助理班表!$A22="",29&gt;DAY(EOMONTH(DATE(設定!$C$2,設定!$D$2,1),0))),"",DATE(設定!$C$2,設定!$D$2,29))</f>
        <v/>
      </c>
      <c r="B558" s="16">
        <f>IF($A558="","",INDEX(設定!$O$6:$O$12,WEEKDAY($A558,1)))</f>
        <v/>
      </c>
      <c r="C558" s="16">
        <f>IF($A558="","",助理班表!$A22)</f>
        <v/>
      </c>
      <c r="D558" s="16">
        <f>IF($C558="","",助理班表!$B22)</f>
        <v/>
      </c>
      <c r="E558" s="16">
        <f>IF($C558="","",助理班表!$D22)</f>
        <v/>
      </c>
      <c r="F558" s="16">
        <f>IF($C558="","",助理班表!$C22)</f>
        <v/>
      </c>
      <c r="G558" s="16">
        <f>IF($C558="","",助理班表!AG22)</f>
        <v/>
      </c>
      <c r="H558" s="83">
        <f>IF($G558="","",IFERROR(IF(INDEX(設定!$D$6:$D$21,MATCH($G558,設定!$B$6:$B$21,0))=0,"",INDEX(設定!$D$6:$D$21,MATCH($G558,設定!$B$6:$B$21,0))),""))</f>
        <v/>
      </c>
      <c r="I558" s="83">
        <f>IF($G558="","",IFERROR(IF(INDEX(設定!$E$6:$E$21,MATCH($G558,設定!$B$6:$B$21,0))=0,"",INDEX(設定!$E$6:$E$21,MATCH($G558,設定!$B$6:$B$21,0))),""))</f>
        <v/>
      </c>
      <c r="J558" s="83">
        <f>IFERROR(INDEX(打卡匯入!$C$3:$C$2002,MATCH($C558&amp;"|"&amp;DAY($A558),打卡匯入!$E$3:$E$2002,0)),"")</f>
        <v/>
      </c>
      <c r="K558" s="83">
        <f>IFERROR(INDEX(打卡匯入!$D$3:$D$2002,MATCH($C558&amp;"|"&amp;DAY($A558),打卡匯入!$E$3:$E$2002,0)),"")</f>
        <v/>
      </c>
      <c r="L558" s="84">
        <f>IF(OR($J558="",$K558=""),"",IFERROR(INDEX(設定!$F$6:$F$21,MATCH($G558,設定!$B$6:$B$21,0)),0))</f>
        <v/>
      </c>
      <c r="M558" s="85">
        <f>IF(OR($J558="",$K558=""),"",ROUND(($K558-$J558)*24-$L558/60,2))</f>
        <v/>
      </c>
      <c r="N558" s="16">
        <f>IF($C558="","",IF(AND(COUNTIF(設定!$B$15:$B$21,$G558)&gt;0,$J558&lt;&gt;""),"假日出勤",IF(AND(COUNTIF(設定!$B$6:$B$14,$G558)&gt;0,$J558=""),"未打卡",IF($J558="","",IF($O558&gt;0,"遲到",IF($P558&gt;0,"早退","正常"))))))</f>
        <v/>
      </c>
      <c r="O558" s="84">
        <f>IF(OR($C558="",$H558="",$J558=""),0,IF(ROUND(($J558-$H558)*1440,0)&gt;設定!$C$46,ROUND(($J558-$H558)*1440,0),0))</f>
        <v/>
      </c>
      <c r="P558" s="84">
        <f>IF(OR($C558="",$I558="",$K558=""),0,IF(ROUND(($I558-$K558)*1440,0)&gt;設定!$C$46,ROUND(($I558-$K558)*1440,0),0))</f>
        <v/>
      </c>
      <c r="Q558" s="85">
        <f>IF($M558="",0,IF(($M558-IFERROR(INDEX(設定!$G$6:$G$21,MATCH($G558,設定!$B$6:$B$21,0)),0))*60&gt;=設定!$C$44,ROUND(FLOOR(($M558-IFERROR(INDEX(設定!$G$6:$G$21,MATCH($G558,設定!$B$6:$B$21,0)),0))*60,設定!$C$45)/60,2),0))</f>
        <v/>
      </c>
      <c r="R558" s="16">
        <f>IF(OR($C558="",$Q558=0),"",IF($G558="國","國定假日",IF($B558="日","例假",IF($B558="六","休息日","平日"))))</f>
        <v/>
      </c>
      <c r="S558" s="19" t="n"/>
    </row>
    <row r="559">
      <c r="A559" s="82">
        <f>IF(OR(助理班表!$A22="",30&gt;DAY(EOMONTH(DATE(設定!$C$2,設定!$D$2,1),0))),"",DATE(設定!$C$2,設定!$D$2,30))</f>
        <v/>
      </c>
      <c r="B559" s="16">
        <f>IF($A559="","",INDEX(設定!$O$6:$O$12,WEEKDAY($A559,1)))</f>
        <v/>
      </c>
      <c r="C559" s="16">
        <f>IF($A559="","",助理班表!$A22)</f>
        <v/>
      </c>
      <c r="D559" s="16">
        <f>IF($C559="","",助理班表!$B22)</f>
        <v/>
      </c>
      <c r="E559" s="16">
        <f>IF($C559="","",助理班表!$D22)</f>
        <v/>
      </c>
      <c r="F559" s="16">
        <f>IF($C559="","",助理班表!$C22)</f>
        <v/>
      </c>
      <c r="G559" s="16">
        <f>IF($C559="","",助理班表!AH22)</f>
        <v/>
      </c>
      <c r="H559" s="83">
        <f>IF($G559="","",IFERROR(IF(INDEX(設定!$D$6:$D$21,MATCH($G559,設定!$B$6:$B$21,0))=0,"",INDEX(設定!$D$6:$D$21,MATCH($G559,設定!$B$6:$B$21,0))),""))</f>
        <v/>
      </c>
      <c r="I559" s="83">
        <f>IF($G559="","",IFERROR(IF(INDEX(設定!$E$6:$E$21,MATCH($G559,設定!$B$6:$B$21,0))=0,"",INDEX(設定!$E$6:$E$21,MATCH($G559,設定!$B$6:$B$21,0))),""))</f>
        <v/>
      </c>
      <c r="J559" s="83">
        <f>IFERROR(INDEX(打卡匯入!$C$3:$C$2002,MATCH($C559&amp;"|"&amp;DAY($A559),打卡匯入!$E$3:$E$2002,0)),"")</f>
        <v/>
      </c>
      <c r="K559" s="83">
        <f>IFERROR(INDEX(打卡匯入!$D$3:$D$2002,MATCH($C559&amp;"|"&amp;DAY($A559),打卡匯入!$E$3:$E$2002,0)),"")</f>
        <v/>
      </c>
      <c r="L559" s="84">
        <f>IF(OR($J559="",$K559=""),"",IFERROR(INDEX(設定!$F$6:$F$21,MATCH($G559,設定!$B$6:$B$21,0)),0))</f>
        <v/>
      </c>
      <c r="M559" s="85">
        <f>IF(OR($J559="",$K559=""),"",ROUND(($K559-$J559)*24-$L559/60,2))</f>
        <v/>
      </c>
      <c r="N559" s="16">
        <f>IF($C559="","",IF(AND(COUNTIF(設定!$B$15:$B$21,$G559)&gt;0,$J559&lt;&gt;""),"假日出勤",IF(AND(COUNTIF(設定!$B$6:$B$14,$G559)&gt;0,$J559=""),"未打卡",IF($J559="","",IF($O559&gt;0,"遲到",IF($P559&gt;0,"早退","正常"))))))</f>
        <v/>
      </c>
      <c r="O559" s="84">
        <f>IF(OR($C559="",$H559="",$J559=""),0,IF(ROUND(($J559-$H559)*1440,0)&gt;設定!$C$46,ROUND(($J559-$H559)*1440,0),0))</f>
        <v/>
      </c>
      <c r="P559" s="84">
        <f>IF(OR($C559="",$I559="",$K559=""),0,IF(ROUND(($I559-$K559)*1440,0)&gt;設定!$C$46,ROUND(($I559-$K559)*1440,0),0))</f>
        <v/>
      </c>
      <c r="Q559" s="85">
        <f>IF($M559="",0,IF(($M559-IFERROR(INDEX(設定!$G$6:$G$21,MATCH($G559,設定!$B$6:$B$21,0)),0))*60&gt;=設定!$C$44,ROUND(FLOOR(($M559-IFERROR(INDEX(設定!$G$6:$G$21,MATCH($G559,設定!$B$6:$B$21,0)),0))*60,設定!$C$45)/60,2),0))</f>
        <v/>
      </c>
      <c r="R559" s="16">
        <f>IF(OR($C559="",$Q559=0),"",IF($G559="國","國定假日",IF($B559="日","例假",IF($B559="六","休息日","平日"))))</f>
        <v/>
      </c>
      <c r="S559" s="19" t="n"/>
    </row>
    <row r="560">
      <c r="A560" s="82">
        <f>IF(OR(助理班表!$A22="",31&gt;DAY(EOMONTH(DATE(設定!$C$2,設定!$D$2,1),0))),"",DATE(設定!$C$2,設定!$D$2,31))</f>
        <v/>
      </c>
      <c r="B560" s="16">
        <f>IF($A560="","",INDEX(設定!$O$6:$O$12,WEEKDAY($A560,1)))</f>
        <v/>
      </c>
      <c r="C560" s="16">
        <f>IF($A560="","",助理班表!$A22)</f>
        <v/>
      </c>
      <c r="D560" s="16">
        <f>IF($C560="","",助理班表!$B22)</f>
        <v/>
      </c>
      <c r="E560" s="16">
        <f>IF($C560="","",助理班表!$D22)</f>
        <v/>
      </c>
      <c r="F560" s="16">
        <f>IF($C560="","",助理班表!$C22)</f>
        <v/>
      </c>
      <c r="G560" s="16">
        <f>IF($C560="","",助理班表!AI22)</f>
        <v/>
      </c>
      <c r="H560" s="83">
        <f>IF($G560="","",IFERROR(IF(INDEX(設定!$D$6:$D$21,MATCH($G560,設定!$B$6:$B$21,0))=0,"",INDEX(設定!$D$6:$D$21,MATCH($G560,設定!$B$6:$B$21,0))),""))</f>
        <v/>
      </c>
      <c r="I560" s="83">
        <f>IF($G560="","",IFERROR(IF(INDEX(設定!$E$6:$E$21,MATCH($G560,設定!$B$6:$B$21,0))=0,"",INDEX(設定!$E$6:$E$21,MATCH($G560,設定!$B$6:$B$21,0))),""))</f>
        <v/>
      </c>
      <c r="J560" s="83">
        <f>IFERROR(INDEX(打卡匯入!$C$3:$C$2002,MATCH($C560&amp;"|"&amp;DAY($A560),打卡匯入!$E$3:$E$2002,0)),"")</f>
        <v/>
      </c>
      <c r="K560" s="83">
        <f>IFERROR(INDEX(打卡匯入!$D$3:$D$2002,MATCH($C560&amp;"|"&amp;DAY($A560),打卡匯入!$E$3:$E$2002,0)),"")</f>
        <v/>
      </c>
      <c r="L560" s="84">
        <f>IF(OR($J560="",$K560=""),"",IFERROR(INDEX(設定!$F$6:$F$21,MATCH($G560,設定!$B$6:$B$21,0)),0))</f>
        <v/>
      </c>
      <c r="M560" s="85">
        <f>IF(OR($J560="",$K560=""),"",ROUND(($K560-$J560)*24-$L560/60,2))</f>
        <v/>
      </c>
      <c r="N560" s="16">
        <f>IF($C560="","",IF(AND(COUNTIF(設定!$B$15:$B$21,$G560)&gt;0,$J560&lt;&gt;""),"假日出勤",IF(AND(COUNTIF(設定!$B$6:$B$14,$G560)&gt;0,$J560=""),"未打卡",IF($J560="","",IF($O560&gt;0,"遲到",IF($P560&gt;0,"早退","正常"))))))</f>
        <v/>
      </c>
      <c r="O560" s="84">
        <f>IF(OR($C560="",$H560="",$J560=""),0,IF(ROUND(($J560-$H560)*1440,0)&gt;設定!$C$46,ROUND(($J560-$H560)*1440,0),0))</f>
        <v/>
      </c>
      <c r="P560" s="84">
        <f>IF(OR($C560="",$I560="",$K560=""),0,IF(ROUND(($I560-$K560)*1440,0)&gt;設定!$C$46,ROUND(($I560-$K560)*1440,0),0))</f>
        <v/>
      </c>
      <c r="Q560" s="85">
        <f>IF($M560="",0,IF(($M560-IFERROR(INDEX(設定!$G$6:$G$21,MATCH($G560,設定!$B$6:$B$21,0)),0))*60&gt;=設定!$C$44,ROUND(FLOOR(($M560-IFERROR(INDEX(設定!$G$6:$G$21,MATCH($G560,設定!$B$6:$B$21,0)),0))*60,設定!$C$45)/60,2),0))</f>
        <v/>
      </c>
      <c r="R560" s="16">
        <f>IF(OR($C560="",$Q560=0),"",IF($G560="國","國定假日",IF($B560="日","例假",IF($B560="六","休息日","平日"))))</f>
        <v/>
      </c>
      <c r="S560" s="19" t="n"/>
    </row>
    <row r="561">
      <c r="A561" s="82">
        <f>IF(OR(助理班表!$A23="",1&gt;DAY(EOMONTH(DATE(設定!$C$2,設定!$D$2,1),0))),"",DATE(設定!$C$2,設定!$D$2,1))</f>
        <v/>
      </c>
      <c r="B561" s="16">
        <f>IF($A561="","",INDEX(設定!$O$6:$O$12,WEEKDAY($A561,1)))</f>
        <v/>
      </c>
      <c r="C561" s="16">
        <f>IF($A561="","",助理班表!$A23)</f>
        <v/>
      </c>
      <c r="D561" s="16">
        <f>IF($C561="","",助理班表!$B23)</f>
        <v/>
      </c>
      <c r="E561" s="16">
        <f>IF($C561="","",助理班表!$D23)</f>
        <v/>
      </c>
      <c r="F561" s="16">
        <f>IF($C561="","",助理班表!$C23)</f>
        <v/>
      </c>
      <c r="G561" s="16">
        <f>IF($C561="","",助理班表!E23)</f>
        <v/>
      </c>
      <c r="H561" s="83">
        <f>IF($G561="","",IFERROR(IF(INDEX(設定!$D$6:$D$21,MATCH($G561,設定!$B$6:$B$21,0))=0,"",INDEX(設定!$D$6:$D$21,MATCH($G561,設定!$B$6:$B$21,0))),""))</f>
        <v/>
      </c>
      <c r="I561" s="83">
        <f>IF($G561="","",IFERROR(IF(INDEX(設定!$E$6:$E$21,MATCH($G561,設定!$B$6:$B$21,0))=0,"",INDEX(設定!$E$6:$E$21,MATCH($G561,設定!$B$6:$B$21,0))),""))</f>
        <v/>
      </c>
      <c r="J561" s="83">
        <f>IFERROR(INDEX(打卡匯入!$C$3:$C$2002,MATCH($C561&amp;"|"&amp;DAY($A561),打卡匯入!$E$3:$E$2002,0)),"")</f>
        <v/>
      </c>
      <c r="K561" s="83">
        <f>IFERROR(INDEX(打卡匯入!$D$3:$D$2002,MATCH($C561&amp;"|"&amp;DAY($A561),打卡匯入!$E$3:$E$2002,0)),"")</f>
        <v/>
      </c>
      <c r="L561" s="84">
        <f>IF(OR($J561="",$K561=""),"",IFERROR(INDEX(設定!$F$6:$F$21,MATCH($G561,設定!$B$6:$B$21,0)),0))</f>
        <v/>
      </c>
      <c r="M561" s="85">
        <f>IF(OR($J561="",$K561=""),"",ROUND(($K561-$J561)*24-$L561/60,2))</f>
        <v/>
      </c>
      <c r="N561" s="16">
        <f>IF($C561="","",IF(AND(COUNTIF(設定!$B$15:$B$21,$G561)&gt;0,$J561&lt;&gt;""),"假日出勤",IF(AND(COUNTIF(設定!$B$6:$B$14,$G561)&gt;0,$J561=""),"未打卡",IF($J561="","",IF($O561&gt;0,"遲到",IF($P561&gt;0,"早退","正常"))))))</f>
        <v/>
      </c>
      <c r="O561" s="84">
        <f>IF(OR($C561="",$H561="",$J561=""),0,IF(ROUND(($J561-$H561)*1440,0)&gt;設定!$C$46,ROUND(($J561-$H561)*1440,0),0))</f>
        <v/>
      </c>
      <c r="P561" s="84">
        <f>IF(OR($C561="",$I561="",$K561=""),0,IF(ROUND(($I561-$K561)*1440,0)&gt;設定!$C$46,ROUND(($I561-$K561)*1440,0),0))</f>
        <v/>
      </c>
      <c r="Q561" s="85">
        <f>IF($M561="",0,IF(($M561-IFERROR(INDEX(設定!$G$6:$G$21,MATCH($G561,設定!$B$6:$B$21,0)),0))*60&gt;=設定!$C$44,ROUND(FLOOR(($M561-IFERROR(INDEX(設定!$G$6:$G$21,MATCH($G561,設定!$B$6:$B$21,0)),0))*60,設定!$C$45)/60,2),0))</f>
        <v/>
      </c>
      <c r="R561" s="16">
        <f>IF(OR($C561="",$Q561=0),"",IF($G561="國","國定假日",IF($B561="日","例假",IF($B561="六","休息日","平日"))))</f>
        <v/>
      </c>
      <c r="S561" s="19" t="n"/>
    </row>
    <row r="562">
      <c r="A562" s="82">
        <f>IF(OR(助理班表!$A23="",2&gt;DAY(EOMONTH(DATE(設定!$C$2,設定!$D$2,1),0))),"",DATE(設定!$C$2,設定!$D$2,2))</f>
        <v/>
      </c>
      <c r="B562" s="16">
        <f>IF($A562="","",INDEX(設定!$O$6:$O$12,WEEKDAY($A562,1)))</f>
        <v/>
      </c>
      <c r="C562" s="16">
        <f>IF($A562="","",助理班表!$A23)</f>
        <v/>
      </c>
      <c r="D562" s="16">
        <f>IF($C562="","",助理班表!$B23)</f>
        <v/>
      </c>
      <c r="E562" s="16">
        <f>IF($C562="","",助理班表!$D23)</f>
        <v/>
      </c>
      <c r="F562" s="16">
        <f>IF($C562="","",助理班表!$C23)</f>
        <v/>
      </c>
      <c r="G562" s="16">
        <f>IF($C562="","",助理班表!F23)</f>
        <v/>
      </c>
      <c r="H562" s="83">
        <f>IF($G562="","",IFERROR(IF(INDEX(設定!$D$6:$D$21,MATCH($G562,設定!$B$6:$B$21,0))=0,"",INDEX(設定!$D$6:$D$21,MATCH($G562,設定!$B$6:$B$21,0))),""))</f>
        <v/>
      </c>
      <c r="I562" s="83">
        <f>IF($G562="","",IFERROR(IF(INDEX(設定!$E$6:$E$21,MATCH($G562,設定!$B$6:$B$21,0))=0,"",INDEX(設定!$E$6:$E$21,MATCH($G562,設定!$B$6:$B$21,0))),""))</f>
        <v/>
      </c>
      <c r="J562" s="83">
        <f>IFERROR(INDEX(打卡匯入!$C$3:$C$2002,MATCH($C562&amp;"|"&amp;DAY($A562),打卡匯入!$E$3:$E$2002,0)),"")</f>
        <v/>
      </c>
      <c r="K562" s="83">
        <f>IFERROR(INDEX(打卡匯入!$D$3:$D$2002,MATCH($C562&amp;"|"&amp;DAY($A562),打卡匯入!$E$3:$E$2002,0)),"")</f>
        <v/>
      </c>
      <c r="L562" s="84">
        <f>IF(OR($J562="",$K562=""),"",IFERROR(INDEX(設定!$F$6:$F$21,MATCH($G562,設定!$B$6:$B$21,0)),0))</f>
        <v/>
      </c>
      <c r="M562" s="85">
        <f>IF(OR($J562="",$K562=""),"",ROUND(($K562-$J562)*24-$L562/60,2))</f>
        <v/>
      </c>
      <c r="N562" s="16">
        <f>IF($C562="","",IF(AND(COUNTIF(設定!$B$15:$B$21,$G562)&gt;0,$J562&lt;&gt;""),"假日出勤",IF(AND(COUNTIF(設定!$B$6:$B$14,$G562)&gt;0,$J562=""),"未打卡",IF($J562="","",IF($O562&gt;0,"遲到",IF($P562&gt;0,"早退","正常"))))))</f>
        <v/>
      </c>
      <c r="O562" s="84">
        <f>IF(OR($C562="",$H562="",$J562=""),0,IF(ROUND(($J562-$H562)*1440,0)&gt;設定!$C$46,ROUND(($J562-$H562)*1440,0),0))</f>
        <v/>
      </c>
      <c r="P562" s="84">
        <f>IF(OR($C562="",$I562="",$K562=""),0,IF(ROUND(($I562-$K562)*1440,0)&gt;設定!$C$46,ROUND(($I562-$K562)*1440,0),0))</f>
        <v/>
      </c>
      <c r="Q562" s="85">
        <f>IF($M562="",0,IF(($M562-IFERROR(INDEX(設定!$G$6:$G$21,MATCH($G562,設定!$B$6:$B$21,0)),0))*60&gt;=設定!$C$44,ROUND(FLOOR(($M562-IFERROR(INDEX(設定!$G$6:$G$21,MATCH($G562,設定!$B$6:$B$21,0)),0))*60,設定!$C$45)/60,2),0))</f>
        <v/>
      </c>
      <c r="R562" s="16">
        <f>IF(OR($C562="",$Q562=0),"",IF($G562="國","國定假日",IF($B562="日","例假",IF($B562="六","休息日","平日"))))</f>
        <v/>
      </c>
      <c r="S562" s="19" t="n"/>
    </row>
    <row r="563">
      <c r="A563" s="82">
        <f>IF(OR(助理班表!$A23="",3&gt;DAY(EOMONTH(DATE(設定!$C$2,設定!$D$2,1),0))),"",DATE(設定!$C$2,設定!$D$2,3))</f>
        <v/>
      </c>
      <c r="B563" s="16">
        <f>IF($A563="","",INDEX(設定!$O$6:$O$12,WEEKDAY($A563,1)))</f>
        <v/>
      </c>
      <c r="C563" s="16">
        <f>IF($A563="","",助理班表!$A23)</f>
        <v/>
      </c>
      <c r="D563" s="16">
        <f>IF($C563="","",助理班表!$B23)</f>
        <v/>
      </c>
      <c r="E563" s="16">
        <f>IF($C563="","",助理班表!$D23)</f>
        <v/>
      </c>
      <c r="F563" s="16">
        <f>IF($C563="","",助理班表!$C23)</f>
        <v/>
      </c>
      <c r="G563" s="16">
        <f>IF($C563="","",助理班表!G23)</f>
        <v/>
      </c>
      <c r="H563" s="83">
        <f>IF($G563="","",IFERROR(IF(INDEX(設定!$D$6:$D$21,MATCH($G563,設定!$B$6:$B$21,0))=0,"",INDEX(設定!$D$6:$D$21,MATCH($G563,設定!$B$6:$B$21,0))),""))</f>
        <v/>
      </c>
      <c r="I563" s="83">
        <f>IF($G563="","",IFERROR(IF(INDEX(設定!$E$6:$E$21,MATCH($G563,設定!$B$6:$B$21,0))=0,"",INDEX(設定!$E$6:$E$21,MATCH($G563,設定!$B$6:$B$21,0))),""))</f>
        <v/>
      </c>
      <c r="J563" s="83">
        <f>IFERROR(INDEX(打卡匯入!$C$3:$C$2002,MATCH($C563&amp;"|"&amp;DAY($A563),打卡匯入!$E$3:$E$2002,0)),"")</f>
        <v/>
      </c>
      <c r="K563" s="83">
        <f>IFERROR(INDEX(打卡匯入!$D$3:$D$2002,MATCH($C563&amp;"|"&amp;DAY($A563),打卡匯入!$E$3:$E$2002,0)),"")</f>
        <v/>
      </c>
      <c r="L563" s="84">
        <f>IF(OR($J563="",$K563=""),"",IFERROR(INDEX(設定!$F$6:$F$21,MATCH($G563,設定!$B$6:$B$21,0)),0))</f>
        <v/>
      </c>
      <c r="M563" s="85">
        <f>IF(OR($J563="",$K563=""),"",ROUND(($K563-$J563)*24-$L563/60,2))</f>
        <v/>
      </c>
      <c r="N563" s="16">
        <f>IF($C563="","",IF(AND(COUNTIF(設定!$B$15:$B$21,$G563)&gt;0,$J563&lt;&gt;""),"假日出勤",IF(AND(COUNTIF(設定!$B$6:$B$14,$G563)&gt;0,$J563=""),"未打卡",IF($J563="","",IF($O563&gt;0,"遲到",IF($P563&gt;0,"早退","正常"))))))</f>
        <v/>
      </c>
      <c r="O563" s="84">
        <f>IF(OR($C563="",$H563="",$J563=""),0,IF(ROUND(($J563-$H563)*1440,0)&gt;設定!$C$46,ROUND(($J563-$H563)*1440,0),0))</f>
        <v/>
      </c>
      <c r="P563" s="84">
        <f>IF(OR($C563="",$I563="",$K563=""),0,IF(ROUND(($I563-$K563)*1440,0)&gt;設定!$C$46,ROUND(($I563-$K563)*1440,0),0))</f>
        <v/>
      </c>
      <c r="Q563" s="85">
        <f>IF($M563="",0,IF(($M563-IFERROR(INDEX(設定!$G$6:$G$21,MATCH($G563,設定!$B$6:$B$21,0)),0))*60&gt;=設定!$C$44,ROUND(FLOOR(($M563-IFERROR(INDEX(設定!$G$6:$G$21,MATCH($G563,設定!$B$6:$B$21,0)),0))*60,設定!$C$45)/60,2),0))</f>
        <v/>
      </c>
      <c r="R563" s="16">
        <f>IF(OR($C563="",$Q563=0),"",IF($G563="國","國定假日",IF($B563="日","例假",IF($B563="六","休息日","平日"))))</f>
        <v/>
      </c>
      <c r="S563" s="19" t="n"/>
    </row>
    <row r="564">
      <c r="A564" s="82">
        <f>IF(OR(助理班表!$A23="",4&gt;DAY(EOMONTH(DATE(設定!$C$2,設定!$D$2,1),0))),"",DATE(設定!$C$2,設定!$D$2,4))</f>
        <v/>
      </c>
      <c r="B564" s="16">
        <f>IF($A564="","",INDEX(設定!$O$6:$O$12,WEEKDAY($A564,1)))</f>
        <v/>
      </c>
      <c r="C564" s="16">
        <f>IF($A564="","",助理班表!$A23)</f>
        <v/>
      </c>
      <c r="D564" s="16">
        <f>IF($C564="","",助理班表!$B23)</f>
        <v/>
      </c>
      <c r="E564" s="16">
        <f>IF($C564="","",助理班表!$D23)</f>
        <v/>
      </c>
      <c r="F564" s="16">
        <f>IF($C564="","",助理班表!$C23)</f>
        <v/>
      </c>
      <c r="G564" s="16">
        <f>IF($C564="","",助理班表!H23)</f>
        <v/>
      </c>
      <c r="H564" s="83">
        <f>IF($G564="","",IFERROR(IF(INDEX(設定!$D$6:$D$21,MATCH($G564,設定!$B$6:$B$21,0))=0,"",INDEX(設定!$D$6:$D$21,MATCH($G564,設定!$B$6:$B$21,0))),""))</f>
        <v/>
      </c>
      <c r="I564" s="83">
        <f>IF($G564="","",IFERROR(IF(INDEX(設定!$E$6:$E$21,MATCH($G564,設定!$B$6:$B$21,0))=0,"",INDEX(設定!$E$6:$E$21,MATCH($G564,設定!$B$6:$B$21,0))),""))</f>
        <v/>
      </c>
      <c r="J564" s="83">
        <f>IFERROR(INDEX(打卡匯入!$C$3:$C$2002,MATCH($C564&amp;"|"&amp;DAY($A564),打卡匯入!$E$3:$E$2002,0)),"")</f>
        <v/>
      </c>
      <c r="K564" s="83">
        <f>IFERROR(INDEX(打卡匯入!$D$3:$D$2002,MATCH($C564&amp;"|"&amp;DAY($A564),打卡匯入!$E$3:$E$2002,0)),"")</f>
        <v/>
      </c>
      <c r="L564" s="84">
        <f>IF(OR($J564="",$K564=""),"",IFERROR(INDEX(設定!$F$6:$F$21,MATCH($G564,設定!$B$6:$B$21,0)),0))</f>
        <v/>
      </c>
      <c r="M564" s="85">
        <f>IF(OR($J564="",$K564=""),"",ROUND(($K564-$J564)*24-$L564/60,2))</f>
        <v/>
      </c>
      <c r="N564" s="16">
        <f>IF($C564="","",IF(AND(COUNTIF(設定!$B$15:$B$21,$G564)&gt;0,$J564&lt;&gt;""),"假日出勤",IF(AND(COUNTIF(設定!$B$6:$B$14,$G564)&gt;0,$J564=""),"未打卡",IF($J564="","",IF($O564&gt;0,"遲到",IF($P564&gt;0,"早退","正常"))))))</f>
        <v/>
      </c>
      <c r="O564" s="84">
        <f>IF(OR($C564="",$H564="",$J564=""),0,IF(ROUND(($J564-$H564)*1440,0)&gt;設定!$C$46,ROUND(($J564-$H564)*1440,0),0))</f>
        <v/>
      </c>
      <c r="P564" s="84">
        <f>IF(OR($C564="",$I564="",$K564=""),0,IF(ROUND(($I564-$K564)*1440,0)&gt;設定!$C$46,ROUND(($I564-$K564)*1440,0),0))</f>
        <v/>
      </c>
      <c r="Q564" s="85">
        <f>IF($M564="",0,IF(($M564-IFERROR(INDEX(設定!$G$6:$G$21,MATCH($G564,設定!$B$6:$B$21,0)),0))*60&gt;=設定!$C$44,ROUND(FLOOR(($M564-IFERROR(INDEX(設定!$G$6:$G$21,MATCH($G564,設定!$B$6:$B$21,0)),0))*60,設定!$C$45)/60,2),0))</f>
        <v/>
      </c>
      <c r="R564" s="16">
        <f>IF(OR($C564="",$Q564=0),"",IF($G564="國","國定假日",IF($B564="日","例假",IF($B564="六","休息日","平日"))))</f>
        <v/>
      </c>
      <c r="S564" s="19" t="n"/>
    </row>
    <row r="565">
      <c r="A565" s="82">
        <f>IF(OR(助理班表!$A23="",5&gt;DAY(EOMONTH(DATE(設定!$C$2,設定!$D$2,1),0))),"",DATE(設定!$C$2,設定!$D$2,5))</f>
        <v/>
      </c>
      <c r="B565" s="16">
        <f>IF($A565="","",INDEX(設定!$O$6:$O$12,WEEKDAY($A565,1)))</f>
        <v/>
      </c>
      <c r="C565" s="16">
        <f>IF($A565="","",助理班表!$A23)</f>
        <v/>
      </c>
      <c r="D565" s="16">
        <f>IF($C565="","",助理班表!$B23)</f>
        <v/>
      </c>
      <c r="E565" s="16">
        <f>IF($C565="","",助理班表!$D23)</f>
        <v/>
      </c>
      <c r="F565" s="16">
        <f>IF($C565="","",助理班表!$C23)</f>
        <v/>
      </c>
      <c r="G565" s="16">
        <f>IF($C565="","",助理班表!I23)</f>
        <v/>
      </c>
      <c r="H565" s="83">
        <f>IF($G565="","",IFERROR(IF(INDEX(設定!$D$6:$D$21,MATCH($G565,設定!$B$6:$B$21,0))=0,"",INDEX(設定!$D$6:$D$21,MATCH($G565,設定!$B$6:$B$21,0))),""))</f>
        <v/>
      </c>
      <c r="I565" s="83">
        <f>IF($G565="","",IFERROR(IF(INDEX(設定!$E$6:$E$21,MATCH($G565,設定!$B$6:$B$21,0))=0,"",INDEX(設定!$E$6:$E$21,MATCH($G565,設定!$B$6:$B$21,0))),""))</f>
        <v/>
      </c>
      <c r="J565" s="83">
        <f>IFERROR(INDEX(打卡匯入!$C$3:$C$2002,MATCH($C565&amp;"|"&amp;DAY($A565),打卡匯入!$E$3:$E$2002,0)),"")</f>
        <v/>
      </c>
      <c r="K565" s="83">
        <f>IFERROR(INDEX(打卡匯入!$D$3:$D$2002,MATCH($C565&amp;"|"&amp;DAY($A565),打卡匯入!$E$3:$E$2002,0)),"")</f>
        <v/>
      </c>
      <c r="L565" s="84">
        <f>IF(OR($J565="",$K565=""),"",IFERROR(INDEX(設定!$F$6:$F$21,MATCH($G565,設定!$B$6:$B$21,0)),0))</f>
        <v/>
      </c>
      <c r="M565" s="85">
        <f>IF(OR($J565="",$K565=""),"",ROUND(($K565-$J565)*24-$L565/60,2))</f>
        <v/>
      </c>
      <c r="N565" s="16">
        <f>IF($C565="","",IF(AND(COUNTIF(設定!$B$15:$B$21,$G565)&gt;0,$J565&lt;&gt;""),"假日出勤",IF(AND(COUNTIF(設定!$B$6:$B$14,$G565)&gt;0,$J565=""),"未打卡",IF($J565="","",IF($O565&gt;0,"遲到",IF($P565&gt;0,"早退","正常"))))))</f>
        <v/>
      </c>
      <c r="O565" s="84">
        <f>IF(OR($C565="",$H565="",$J565=""),0,IF(ROUND(($J565-$H565)*1440,0)&gt;設定!$C$46,ROUND(($J565-$H565)*1440,0),0))</f>
        <v/>
      </c>
      <c r="P565" s="84">
        <f>IF(OR($C565="",$I565="",$K565=""),0,IF(ROUND(($I565-$K565)*1440,0)&gt;設定!$C$46,ROUND(($I565-$K565)*1440,0),0))</f>
        <v/>
      </c>
      <c r="Q565" s="85">
        <f>IF($M565="",0,IF(($M565-IFERROR(INDEX(設定!$G$6:$G$21,MATCH($G565,設定!$B$6:$B$21,0)),0))*60&gt;=設定!$C$44,ROUND(FLOOR(($M565-IFERROR(INDEX(設定!$G$6:$G$21,MATCH($G565,設定!$B$6:$B$21,0)),0))*60,設定!$C$45)/60,2),0))</f>
        <v/>
      </c>
      <c r="R565" s="16">
        <f>IF(OR($C565="",$Q565=0),"",IF($G565="國","國定假日",IF($B565="日","例假",IF($B565="六","休息日","平日"))))</f>
        <v/>
      </c>
      <c r="S565" s="19" t="n"/>
    </row>
    <row r="566">
      <c r="A566" s="82">
        <f>IF(OR(助理班表!$A23="",6&gt;DAY(EOMONTH(DATE(設定!$C$2,設定!$D$2,1),0))),"",DATE(設定!$C$2,設定!$D$2,6))</f>
        <v/>
      </c>
      <c r="B566" s="16">
        <f>IF($A566="","",INDEX(設定!$O$6:$O$12,WEEKDAY($A566,1)))</f>
        <v/>
      </c>
      <c r="C566" s="16">
        <f>IF($A566="","",助理班表!$A23)</f>
        <v/>
      </c>
      <c r="D566" s="16">
        <f>IF($C566="","",助理班表!$B23)</f>
        <v/>
      </c>
      <c r="E566" s="16">
        <f>IF($C566="","",助理班表!$D23)</f>
        <v/>
      </c>
      <c r="F566" s="16">
        <f>IF($C566="","",助理班表!$C23)</f>
        <v/>
      </c>
      <c r="G566" s="16">
        <f>IF($C566="","",助理班表!J23)</f>
        <v/>
      </c>
      <c r="H566" s="83">
        <f>IF($G566="","",IFERROR(IF(INDEX(設定!$D$6:$D$21,MATCH($G566,設定!$B$6:$B$21,0))=0,"",INDEX(設定!$D$6:$D$21,MATCH($G566,設定!$B$6:$B$21,0))),""))</f>
        <v/>
      </c>
      <c r="I566" s="83">
        <f>IF($G566="","",IFERROR(IF(INDEX(設定!$E$6:$E$21,MATCH($G566,設定!$B$6:$B$21,0))=0,"",INDEX(設定!$E$6:$E$21,MATCH($G566,設定!$B$6:$B$21,0))),""))</f>
        <v/>
      </c>
      <c r="J566" s="83">
        <f>IFERROR(INDEX(打卡匯入!$C$3:$C$2002,MATCH($C566&amp;"|"&amp;DAY($A566),打卡匯入!$E$3:$E$2002,0)),"")</f>
        <v/>
      </c>
      <c r="K566" s="83">
        <f>IFERROR(INDEX(打卡匯入!$D$3:$D$2002,MATCH($C566&amp;"|"&amp;DAY($A566),打卡匯入!$E$3:$E$2002,0)),"")</f>
        <v/>
      </c>
      <c r="L566" s="84">
        <f>IF(OR($J566="",$K566=""),"",IFERROR(INDEX(設定!$F$6:$F$21,MATCH($G566,設定!$B$6:$B$21,0)),0))</f>
        <v/>
      </c>
      <c r="M566" s="85">
        <f>IF(OR($J566="",$K566=""),"",ROUND(($K566-$J566)*24-$L566/60,2))</f>
        <v/>
      </c>
      <c r="N566" s="16">
        <f>IF($C566="","",IF(AND(COUNTIF(設定!$B$15:$B$21,$G566)&gt;0,$J566&lt;&gt;""),"假日出勤",IF(AND(COUNTIF(設定!$B$6:$B$14,$G566)&gt;0,$J566=""),"未打卡",IF($J566="","",IF($O566&gt;0,"遲到",IF($P566&gt;0,"早退","正常"))))))</f>
        <v/>
      </c>
      <c r="O566" s="84">
        <f>IF(OR($C566="",$H566="",$J566=""),0,IF(ROUND(($J566-$H566)*1440,0)&gt;設定!$C$46,ROUND(($J566-$H566)*1440,0),0))</f>
        <v/>
      </c>
      <c r="P566" s="84">
        <f>IF(OR($C566="",$I566="",$K566=""),0,IF(ROUND(($I566-$K566)*1440,0)&gt;設定!$C$46,ROUND(($I566-$K566)*1440,0),0))</f>
        <v/>
      </c>
      <c r="Q566" s="85">
        <f>IF($M566="",0,IF(($M566-IFERROR(INDEX(設定!$G$6:$G$21,MATCH($G566,設定!$B$6:$B$21,0)),0))*60&gt;=設定!$C$44,ROUND(FLOOR(($M566-IFERROR(INDEX(設定!$G$6:$G$21,MATCH($G566,設定!$B$6:$B$21,0)),0))*60,設定!$C$45)/60,2),0))</f>
        <v/>
      </c>
      <c r="R566" s="16">
        <f>IF(OR($C566="",$Q566=0),"",IF($G566="國","國定假日",IF($B566="日","例假",IF($B566="六","休息日","平日"))))</f>
        <v/>
      </c>
      <c r="S566" s="19" t="n"/>
    </row>
    <row r="567">
      <c r="A567" s="82">
        <f>IF(OR(助理班表!$A23="",7&gt;DAY(EOMONTH(DATE(設定!$C$2,設定!$D$2,1),0))),"",DATE(設定!$C$2,設定!$D$2,7))</f>
        <v/>
      </c>
      <c r="B567" s="16">
        <f>IF($A567="","",INDEX(設定!$O$6:$O$12,WEEKDAY($A567,1)))</f>
        <v/>
      </c>
      <c r="C567" s="16">
        <f>IF($A567="","",助理班表!$A23)</f>
        <v/>
      </c>
      <c r="D567" s="16">
        <f>IF($C567="","",助理班表!$B23)</f>
        <v/>
      </c>
      <c r="E567" s="16">
        <f>IF($C567="","",助理班表!$D23)</f>
        <v/>
      </c>
      <c r="F567" s="16">
        <f>IF($C567="","",助理班表!$C23)</f>
        <v/>
      </c>
      <c r="G567" s="16">
        <f>IF($C567="","",助理班表!K23)</f>
        <v/>
      </c>
      <c r="H567" s="83">
        <f>IF($G567="","",IFERROR(IF(INDEX(設定!$D$6:$D$21,MATCH($G567,設定!$B$6:$B$21,0))=0,"",INDEX(設定!$D$6:$D$21,MATCH($G567,設定!$B$6:$B$21,0))),""))</f>
        <v/>
      </c>
      <c r="I567" s="83">
        <f>IF($G567="","",IFERROR(IF(INDEX(設定!$E$6:$E$21,MATCH($G567,設定!$B$6:$B$21,0))=0,"",INDEX(設定!$E$6:$E$21,MATCH($G567,設定!$B$6:$B$21,0))),""))</f>
        <v/>
      </c>
      <c r="J567" s="83">
        <f>IFERROR(INDEX(打卡匯入!$C$3:$C$2002,MATCH($C567&amp;"|"&amp;DAY($A567),打卡匯入!$E$3:$E$2002,0)),"")</f>
        <v/>
      </c>
      <c r="K567" s="83">
        <f>IFERROR(INDEX(打卡匯入!$D$3:$D$2002,MATCH($C567&amp;"|"&amp;DAY($A567),打卡匯入!$E$3:$E$2002,0)),"")</f>
        <v/>
      </c>
      <c r="L567" s="84">
        <f>IF(OR($J567="",$K567=""),"",IFERROR(INDEX(設定!$F$6:$F$21,MATCH($G567,設定!$B$6:$B$21,0)),0))</f>
        <v/>
      </c>
      <c r="M567" s="85">
        <f>IF(OR($J567="",$K567=""),"",ROUND(($K567-$J567)*24-$L567/60,2))</f>
        <v/>
      </c>
      <c r="N567" s="16">
        <f>IF($C567="","",IF(AND(COUNTIF(設定!$B$15:$B$21,$G567)&gt;0,$J567&lt;&gt;""),"假日出勤",IF(AND(COUNTIF(設定!$B$6:$B$14,$G567)&gt;0,$J567=""),"未打卡",IF($J567="","",IF($O567&gt;0,"遲到",IF($P567&gt;0,"早退","正常"))))))</f>
        <v/>
      </c>
      <c r="O567" s="84">
        <f>IF(OR($C567="",$H567="",$J567=""),0,IF(ROUND(($J567-$H567)*1440,0)&gt;設定!$C$46,ROUND(($J567-$H567)*1440,0),0))</f>
        <v/>
      </c>
      <c r="P567" s="84">
        <f>IF(OR($C567="",$I567="",$K567=""),0,IF(ROUND(($I567-$K567)*1440,0)&gt;設定!$C$46,ROUND(($I567-$K567)*1440,0),0))</f>
        <v/>
      </c>
      <c r="Q567" s="85">
        <f>IF($M567="",0,IF(($M567-IFERROR(INDEX(設定!$G$6:$G$21,MATCH($G567,設定!$B$6:$B$21,0)),0))*60&gt;=設定!$C$44,ROUND(FLOOR(($M567-IFERROR(INDEX(設定!$G$6:$G$21,MATCH($G567,設定!$B$6:$B$21,0)),0))*60,設定!$C$45)/60,2),0))</f>
        <v/>
      </c>
      <c r="R567" s="16">
        <f>IF(OR($C567="",$Q567=0),"",IF($G567="國","國定假日",IF($B567="日","例假",IF($B567="六","休息日","平日"))))</f>
        <v/>
      </c>
      <c r="S567" s="19" t="n"/>
    </row>
    <row r="568">
      <c r="A568" s="82">
        <f>IF(OR(助理班表!$A23="",8&gt;DAY(EOMONTH(DATE(設定!$C$2,設定!$D$2,1),0))),"",DATE(設定!$C$2,設定!$D$2,8))</f>
        <v/>
      </c>
      <c r="B568" s="16">
        <f>IF($A568="","",INDEX(設定!$O$6:$O$12,WEEKDAY($A568,1)))</f>
        <v/>
      </c>
      <c r="C568" s="16">
        <f>IF($A568="","",助理班表!$A23)</f>
        <v/>
      </c>
      <c r="D568" s="16">
        <f>IF($C568="","",助理班表!$B23)</f>
        <v/>
      </c>
      <c r="E568" s="16">
        <f>IF($C568="","",助理班表!$D23)</f>
        <v/>
      </c>
      <c r="F568" s="16">
        <f>IF($C568="","",助理班表!$C23)</f>
        <v/>
      </c>
      <c r="G568" s="16">
        <f>IF($C568="","",助理班表!L23)</f>
        <v/>
      </c>
      <c r="H568" s="83">
        <f>IF($G568="","",IFERROR(IF(INDEX(設定!$D$6:$D$21,MATCH($G568,設定!$B$6:$B$21,0))=0,"",INDEX(設定!$D$6:$D$21,MATCH($G568,設定!$B$6:$B$21,0))),""))</f>
        <v/>
      </c>
      <c r="I568" s="83">
        <f>IF($G568="","",IFERROR(IF(INDEX(設定!$E$6:$E$21,MATCH($G568,設定!$B$6:$B$21,0))=0,"",INDEX(設定!$E$6:$E$21,MATCH($G568,設定!$B$6:$B$21,0))),""))</f>
        <v/>
      </c>
      <c r="J568" s="83">
        <f>IFERROR(INDEX(打卡匯入!$C$3:$C$2002,MATCH($C568&amp;"|"&amp;DAY($A568),打卡匯入!$E$3:$E$2002,0)),"")</f>
        <v/>
      </c>
      <c r="K568" s="83">
        <f>IFERROR(INDEX(打卡匯入!$D$3:$D$2002,MATCH($C568&amp;"|"&amp;DAY($A568),打卡匯入!$E$3:$E$2002,0)),"")</f>
        <v/>
      </c>
      <c r="L568" s="84">
        <f>IF(OR($J568="",$K568=""),"",IFERROR(INDEX(設定!$F$6:$F$21,MATCH($G568,設定!$B$6:$B$21,0)),0))</f>
        <v/>
      </c>
      <c r="M568" s="85">
        <f>IF(OR($J568="",$K568=""),"",ROUND(($K568-$J568)*24-$L568/60,2))</f>
        <v/>
      </c>
      <c r="N568" s="16">
        <f>IF($C568="","",IF(AND(COUNTIF(設定!$B$15:$B$21,$G568)&gt;0,$J568&lt;&gt;""),"假日出勤",IF(AND(COUNTIF(設定!$B$6:$B$14,$G568)&gt;0,$J568=""),"未打卡",IF($J568="","",IF($O568&gt;0,"遲到",IF($P568&gt;0,"早退","正常"))))))</f>
        <v/>
      </c>
      <c r="O568" s="84">
        <f>IF(OR($C568="",$H568="",$J568=""),0,IF(ROUND(($J568-$H568)*1440,0)&gt;設定!$C$46,ROUND(($J568-$H568)*1440,0),0))</f>
        <v/>
      </c>
      <c r="P568" s="84">
        <f>IF(OR($C568="",$I568="",$K568=""),0,IF(ROUND(($I568-$K568)*1440,0)&gt;設定!$C$46,ROUND(($I568-$K568)*1440,0),0))</f>
        <v/>
      </c>
      <c r="Q568" s="85">
        <f>IF($M568="",0,IF(($M568-IFERROR(INDEX(設定!$G$6:$G$21,MATCH($G568,設定!$B$6:$B$21,0)),0))*60&gt;=設定!$C$44,ROUND(FLOOR(($M568-IFERROR(INDEX(設定!$G$6:$G$21,MATCH($G568,設定!$B$6:$B$21,0)),0))*60,設定!$C$45)/60,2),0))</f>
        <v/>
      </c>
      <c r="R568" s="16">
        <f>IF(OR($C568="",$Q568=0),"",IF($G568="國","國定假日",IF($B568="日","例假",IF($B568="六","休息日","平日"))))</f>
        <v/>
      </c>
      <c r="S568" s="19" t="n"/>
    </row>
    <row r="569">
      <c r="A569" s="82">
        <f>IF(OR(助理班表!$A23="",9&gt;DAY(EOMONTH(DATE(設定!$C$2,設定!$D$2,1),0))),"",DATE(設定!$C$2,設定!$D$2,9))</f>
        <v/>
      </c>
      <c r="B569" s="16">
        <f>IF($A569="","",INDEX(設定!$O$6:$O$12,WEEKDAY($A569,1)))</f>
        <v/>
      </c>
      <c r="C569" s="16">
        <f>IF($A569="","",助理班表!$A23)</f>
        <v/>
      </c>
      <c r="D569" s="16">
        <f>IF($C569="","",助理班表!$B23)</f>
        <v/>
      </c>
      <c r="E569" s="16">
        <f>IF($C569="","",助理班表!$D23)</f>
        <v/>
      </c>
      <c r="F569" s="16">
        <f>IF($C569="","",助理班表!$C23)</f>
        <v/>
      </c>
      <c r="G569" s="16">
        <f>IF($C569="","",助理班表!M23)</f>
        <v/>
      </c>
      <c r="H569" s="83">
        <f>IF($G569="","",IFERROR(IF(INDEX(設定!$D$6:$D$21,MATCH($G569,設定!$B$6:$B$21,0))=0,"",INDEX(設定!$D$6:$D$21,MATCH($G569,設定!$B$6:$B$21,0))),""))</f>
        <v/>
      </c>
      <c r="I569" s="83">
        <f>IF($G569="","",IFERROR(IF(INDEX(設定!$E$6:$E$21,MATCH($G569,設定!$B$6:$B$21,0))=0,"",INDEX(設定!$E$6:$E$21,MATCH($G569,設定!$B$6:$B$21,0))),""))</f>
        <v/>
      </c>
      <c r="J569" s="83">
        <f>IFERROR(INDEX(打卡匯入!$C$3:$C$2002,MATCH($C569&amp;"|"&amp;DAY($A569),打卡匯入!$E$3:$E$2002,0)),"")</f>
        <v/>
      </c>
      <c r="K569" s="83">
        <f>IFERROR(INDEX(打卡匯入!$D$3:$D$2002,MATCH($C569&amp;"|"&amp;DAY($A569),打卡匯入!$E$3:$E$2002,0)),"")</f>
        <v/>
      </c>
      <c r="L569" s="84">
        <f>IF(OR($J569="",$K569=""),"",IFERROR(INDEX(設定!$F$6:$F$21,MATCH($G569,設定!$B$6:$B$21,0)),0))</f>
        <v/>
      </c>
      <c r="M569" s="85">
        <f>IF(OR($J569="",$K569=""),"",ROUND(($K569-$J569)*24-$L569/60,2))</f>
        <v/>
      </c>
      <c r="N569" s="16">
        <f>IF($C569="","",IF(AND(COUNTIF(設定!$B$15:$B$21,$G569)&gt;0,$J569&lt;&gt;""),"假日出勤",IF(AND(COUNTIF(設定!$B$6:$B$14,$G569)&gt;0,$J569=""),"未打卡",IF($J569="","",IF($O569&gt;0,"遲到",IF($P569&gt;0,"早退","正常"))))))</f>
        <v/>
      </c>
      <c r="O569" s="84">
        <f>IF(OR($C569="",$H569="",$J569=""),0,IF(ROUND(($J569-$H569)*1440,0)&gt;設定!$C$46,ROUND(($J569-$H569)*1440,0),0))</f>
        <v/>
      </c>
      <c r="P569" s="84">
        <f>IF(OR($C569="",$I569="",$K569=""),0,IF(ROUND(($I569-$K569)*1440,0)&gt;設定!$C$46,ROUND(($I569-$K569)*1440,0),0))</f>
        <v/>
      </c>
      <c r="Q569" s="85">
        <f>IF($M569="",0,IF(($M569-IFERROR(INDEX(設定!$G$6:$G$21,MATCH($G569,設定!$B$6:$B$21,0)),0))*60&gt;=設定!$C$44,ROUND(FLOOR(($M569-IFERROR(INDEX(設定!$G$6:$G$21,MATCH($G569,設定!$B$6:$B$21,0)),0))*60,設定!$C$45)/60,2),0))</f>
        <v/>
      </c>
      <c r="R569" s="16">
        <f>IF(OR($C569="",$Q569=0),"",IF($G569="國","國定假日",IF($B569="日","例假",IF($B569="六","休息日","平日"))))</f>
        <v/>
      </c>
      <c r="S569" s="19" t="n"/>
    </row>
    <row r="570">
      <c r="A570" s="82">
        <f>IF(OR(助理班表!$A23="",10&gt;DAY(EOMONTH(DATE(設定!$C$2,設定!$D$2,1),0))),"",DATE(設定!$C$2,設定!$D$2,10))</f>
        <v/>
      </c>
      <c r="B570" s="16">
        <f>IF($A570="","",INDEX(設定!$O$6:$O$12,WEEKDAY($A570,1)))</f>
        <v/>
      </c>
      <c r="C570" s="16">
        <f>IF($A570="","",助理班表!$A23)</f>
        <v/>
      </c>
      <c r="D570" s="16">
        <f>IF($C570="","",助理班表!$B23)</f>
        <v/>
      </c>
      <c r="E570" s="16">
        <f>IF($C570="","",助理班表!$D23)</f>
        <v/>
      </c>
      <c r="F570" s="16">
        <f>IF($C570="","",助理班表!$C23)</f>
        <v/>
      </c>
      <c r="G570" s="16">
        <f>IF($C570="","",助理班表!N23)</f>
        <v/>
      </c>
      <c r="H570" s="83">
        <f>IF($G570="","",IFERROR(IF(INDEX(設定!$D$6:$D$21,MATCH($G570,設定!$B$6:$B$21,0))=0,"",INDEX(設定!$D$6:$D$21,MATCH($G570,設定!$B$6:$B$21,0))),""))</f>
        <v/>
      </c>
      <c r="I570" s="83">
        <f>IF($G570="","",IFERROR(IF(INDEX(設定!$E$6:$E$21,MATCH($G570,設定!$B$6:$B$21,0))=0,"",INDEX(設定!$E$6:$E$21,MATCH($G570,設定!$B$6:$B$21,0))),""))</f>
        <v/>
      </c>
      <c r="J570" s="83">
        <f>IFERROR(INDEX(打卡匯入!$C$3:$C$2002,MATCH($C570&amp;"|"&amp;DAY($A570),打卡匯入!$E$3:$E$2002,0)),"")</f>
        <v/>
      </c>
      <c r="K570" s="83">
        <f>IFERROR(INDEX(打卡匯入!$D$3:$D$2002,MATCH($C570&amp;"|"&amp;DAY($A570),打卡匯入!$E$3:$E$2002,0)),"")</f>
        <v/>
      </c>
      <c r="L570" s="84">
        <f>IF(OR($J570="",$K570=""),"",IFERROR(INDEX(設定!$F$6:$F$21,MATCH($G570,設定!$B$6:$B$21,0)),0))</f>
        <v/>
      </c>
      <c r="M570" s="85">
        <f>IF(OR($J570="",$K570=""),"",ROUND(($K570-$J570)*24-$L570/60,2))</f>
        <v/>
      </c>
      <c r="N570" s="16">
        <f>IF($C570="","",IF(AND(COUNTIF(設定!$B$15:$B$21,$G570)&gt;0,$J570&lt;&gt;""),"假日出勤",IF(AND(COUNTIF(設定!$B$6:$B$14,$G570)&gt;0,$J570=""),"未打卡",IF($J570="","",IF($O570&gt;0,"遲到",IF($P570&gt;0,"早退","正常"))))))</f>
        <v/>
      </c>
      <c r="O570" s="84">
        <f>IF(OR($C570="",$H570="",$J570=""),0,IF(ROUND(($J570-$H570)*1440,0)&gt;設定!$C$46,ROUND(($J570-$H570)*1440,0),0))</f>
        <v/>
      </c>
      <c r="P570" s="84">
        <f>IF(OR($C570="",$I570="",$K570=""),0,IF(ROUND(($I570-$K570)*1440,0)&gt;設定!$C$46,ROUND(($I570-$K570)*1440,0),0))</f>
        <v/>
      </c>
      <c r="Q570" s="85">
        <f>IF($M570="",0,IF(($M570-IFERROR(INDEX(設定!$G$6:$G$21,MATCH($G570,設定!$B$6:$B$21,0)),0))*60&gt;=設定!$C$44,ROUND(FLOOR(($M570-IFERROR(INDEX(設定!$G$6:$G$21,MATCH($G570,設定!$B$6:$B$21,0)),0))*60,設定!$C$45)/60,2),0))</f>
        <v/>
      </c>
      <c r="R570" s="16">
        <f>IF(OR($C570="",$Q570=0),"",IF($G570="國","國定假日",IF($B570="日","例假",IF($B570="六","休息日","平日"))))</f>
        <v/>
      </c>
      <c r="S570" s="19" t="n"/>
    </row>
    <row r="571">
      <c r="A571" s="82">
        <f>IF(OR(助理班表!$A23="",11&gt;DAY(EOMONTH(DATE(設定!$C$2,設定!$D$2,1),0))),"",DATE(設定!$C$2,設定!$D$2,11))</f>
        <v/>
      </c>
      <c r="B571" s="16">
        <f>IF($A571="","",INDEX(設定!$O$6:$O$12,WEEKDAY($A571,1)))</f>
        <v/>
      </c>
      <c r="C571" s="16">
        <f>IF($A571="","",助理班表!$A23)</f>
        <v/>
      </c>
      <c r="D571" s="16">
        <f>IF($C571="","",助理班表!$B23)</f>
        <v/>
      </c>
      <c r="E571" s="16">
        <f>IF($C571="","",助理班表!$D23)</f>
        <v/>
      </c>
      <c r="F571" s="16">
        <f>IF($C571="","",助理班表!$C23)</f>
        <v/>
      </c>
      <c r="G571" s="16">
        <f>IF($C571="","",助理班表!O23)</f>
        <v/>
      </c>
      <c r="H571" s="83">
        <f>IF($G571="","",IFERROR(IF(INDEX(設定!$D$6:$D$21,MATCH($G571,設定!$B$6:$B$21,0))=0,"",INDEX(設定!$D$6:$D$21,MATCH($G571,設定!$B$6:$B$21,0))),""))</f>
        <v/>
      </c>
      <c r="I571" s="83">
        <f>IF($G571="","",IFERROR(IF(INDEX(設定!$E$6:$E$21,MATCH($G571,設定!$B$6:$B$21,0))=0,"",INDEX(設定!$E$6:$E$21,MATCH($G571,設定!$B$6:$B$21,0))),""))</f>
        <v/>
      </c>
      <c r="J571" s="83">
        <f>IFERROR(INDEX(打卡匯入!$C$3:$C$2002,MATCH($C571&amp;"|"&amp;DAY($A571),打卡匯入!$E$3:$E$2002,0)),"")</f>
        <v/>
      </c>
      <c r="K571" s="83">
        <f>IFERROR(INDEX(打卡匯入!$D$3:$D$2002,MATCH($C571&amp;"|"&amp;DAY($A571),打卡匯入!$E$3:$E$2002,0)),"")</f>
        <v/>
      </c>
      <c r="L571" s="84">
        <f>IF(OR($J571="",$K571=""),"",IFERROR(INDEX(設定!$F$6:$F$21,MATCH($G571,設定!$B$6:$B$21,0)),0))</f>
        <v/>
      </c>
      <c r="M571" s="85">
        <f>IF(OR($J571="",$K571=""),"",ROUND(($K571-$J571)*24-$L571/60,2))</f>
        <v/>
      </c>
      <c r="N571" s="16">
        <f>IF($C571="","",IF(AND(COUNTIF(設定!$B$15:$B$21,$G571)&gt;0,$J571&lt;&gt;""),"假日出勤",IF(AND(COUNTIF(設定!$B$6:$B$14,$G571)&gt;0,$J571=""),"未打卡",IF($J571="","",IF($O571&gt;0,"遲到",IF($P571&gt;0,"早退","正常"))))))</f>
        <v/>
      </c>
      <c r="O571" s="84">
        <f>IF(OR($C571="",$H571="",$J571=""),0,IF(ROUND(($J571-$H571)*1440,0)&gt;設定!$C$46,ROUND(($J571-$H571)*1440,0),0))</f>
        <v/>
      </c>
      <c r="P571" s="84">
        <f>IF(OR($C571="",$I571="",$K571=""),0,IF(ROUND(($I571-$K571)*1440,0)&gt;設定!$C$46,ROUND(($I571-$K571)*1440,0),0))</f>
        <v/>
      </c>
      <c r="Q571" s="85">
        <f>IF($M571="",0,IF(($M571-IFERROR(INDEX(設定!$G$6:$G$21,MATCH($G571,設定!$B$6:$B$21,0)),0))*60&gt;=設定!$C$44,ROUND(FLOOR(($M571-IFERROR(INDEX(設定!$G$6:$G$21,MATCH($G571,設定!$B$6:$B$21,0)),0))*60,設定!$C$45)/60,2),0))</f>
        <v/>
      </c>
      <c r="R571" s="16">
        <f>IF(OR($C571="",$Q571=0),"",IF($G571="國","國定假日",IF($B571="日","例假",IF($B571="六","休息日","平日"))))</f>
        <v/>
      </c>
      <c r="S571" s="19" t="n"/>
    </row>
    <row r="572">
      <c r="A572" s="82">
        <f>IF(OR(助理班表!$A23="",12&gt;DAY(EOMONTH(DATE(設定!$C$2,設定!$D$2,1),0))),"",DATE(設定!$C$2,設定!$D$2,12))</f>
        <v/>
      </c>
      <c r="B572" s="16">
        <f>IF($A572="","",INDEX(設定!$O$6:$O$12,WEEKDAY($A572,1)))</f>
        <v/>
      </c>
      <c r="C572" s="16">
        <f>IF($A572="","",助理班表!$A23)</f>
        <v/>
      </c>
      <c r="D572" s="16">
        <f>IF($C572="","",助理班表!$B23)</f>
        <v/>
      </c>
      <c r="E572" s="16">
        <f>IF($C572="","",助理班表!$D23)</f>
        <v/>
      </c>
      <c r="F572" s="16">
        <f>IF($C572="","",助理班表!$C23)</f>
        <v/>
      </c>
      <c r="G572" s="16">
        <f>IF($C572="","",助理班表!P23)</f>
        <v/>
      </c>
      <c r="H572" s="83">
        <f>IF($G572="","",IFERROR(IF(INDEX(設定!$D$6:$D$21,MATCH($G572,設定!$B$6:$B$21,0))=0,"",INDEX(設定!$D$6:$D$21,MATCH($G572,設定!$B$6:$B$21,0))),""))</f>
        <v/>
      </c>
      <c r="I572" s="83">
        <f>IF($G572="","",IFERROR(IF(INDEX(設定!$E$6:$E$21,MATCH($G572,設定!$B$6:$B$21,0))=0,"",INDEX(設定!$E$6:$E$21,MATCH($G572,設定!$B$6:$B$21,0))),""))</f>
        <v/>
      </c>
      <c r="J572" s="83">
        <f>IFERROR(INDEX(打卡匯入!$C$3:$C$2002,MATCH($C572&amp;"|"&amp;DAY($A572),打卡匯入!$E$3:$E$2002,0)),"")</f>
        <v/>
      </c>
      <c r="K572" s="83">
        <f>IFERROR(INDEX(打卡匯入!$D$3:$D$2002,MATCH($C572&amp;"|"&amp;DAY($A572),打卡匯入!$E$3:$E$2002,0)),"")</f>
        <v/>
      </c>
      <c r="L572" s="84">
        <f>IF(OR($J572="",$K572=""),"",IFERROR(INDEX(設定!$F$6:$F$21,MATCH($G572,設定!$B$6:$B$21,0)),0))</f>
        <v/>
      </c>
      <c r="M572" s="85">
        <f>IF(OR($J572="",$K572=""),"",ROUND(($K572-$J572)*24-$L572/60,2))</f>
        <v/>
      </c>
      <c r="N572" s="16">
        <f>IF($C572="","",IF(AND(COUNTIF(設定!$B$15:$B$21,$G572)&gt;0,$J572&lt;&gt;""),"假日出勤",IF(AND(COUNTIF(設定!$B$6:$B$14,$G572)&gt;0,$J572=""),"未打卡",IF($J572="","",IF($O572&gt;0,"遲到",IF($P572&gt;0,"早退","正常"))))))</f>
        <v/>
      </c>
      <c r="O572" s="84">
        <f>IF(OR($C572="",$H572="",$J572=""),0,IF(ROUND(($J572-$H572)*1440,0)&gt;設定!$C$46,ROUND(($J572-$H572)*1440,0),0))</f>
        <v/>
      </c>
      <c r="P572" s="84">
        <f>IF(OR($C572="",$I572="",$K572=""),0,IF(ROUND(($I572-$K572)*1440,0)&gt;設定!$C$46,ROUND(($I572-$K572)*1440,0),0))</f>
        <v/>
      </c>
      <c r="Q572" s="85">
        <f>IF($M572="",0,IF(($M572-IFERROR(INDEX(設定!$G$6:$G$21,MATCH($G572,設定!$B$6:$B$21,0)),0))*60&gt;=設定!$C$44,ROUND(FLOOR(($M572-IFERROR(INDEX(設定!$G$6:$G$21,MATCH($G572,設定!$B$6:$B$21,0)),0))*60,設定!$C$45)/60,2),0))</f>
        <v/>
      </c>
      <c r="R572" s="16">
        <f>IF(OR($C572="",$Q572=0),"",IF($G572="國","國定假日",IF($B572="日","例假",IF($B572="六","休息日","平日"))))</f>
        <v/>
      </c>
      <c r="S572" s="19" t="n"/>
    </row>
    <row r="573">
      <c r="A573" s="82">
        <f>IF(OR(助理班表!$A23="",13&gt;DAY(EOMONTH(DATE(設定!$C$2,設定!$D$2,1),0))),"",DATE(設定!$C$2,設定!$D$2,13))</f>
        <v/>
      </c>
      <c r="B573" s="16">
        <f>IF($A573="","",INDEX(設定!$O$6:$O$12,WEEKDAY($A573,1)))</f>
        <v/>
      </c>
      <c r="C573" s="16">
        <f>IF($A573="","",助理班表!$A23)</f>
        <v/>
      </c>
      <c r="D573" s="16">
        <f>IF($C573="","",助理班表!$B23)</f>
        <v/>
      </c>
      <c r="E573" s="16">
        <f>IF($C573="","",助理班表!$D23)</f>
        <v/>
      </c>
      <c r="F573" s="16">
        <f>IF($C573="","",助理班表!$C23)</f>
        <v/>
      </c>
      <c r="G573" s="16">
        <f>IF($C573="","",助理班表!Q23)</f>
        <v/>
      </c>
      <c r="H573" s="83">
        <f>IF($G573="","",IFERROR(IF(INDEX(設定!$D$6:$D$21,MATCH($G573,設定!$B$6:$B$21,0))=0,"",INDEX(設定!$D$6:$D$21,MATCH($G573,設定!$B$6:$B$21,0))),""))</f>
        <v/>
      </c>
      <c r="I573" s="83">
        <f>IF($G573="","",IFERROR(IF(INDEX(設定!$E$6:$E$21,MATCH($G573,設定!$B$6:$B$21,0))=0,"",INDEX(設定!$E$6:$E$21,MATCH($G573,設定!$B$6:$B$21,0))),""))</f>
        <v/>
      </c>
      <c r="J573" s="83">
        <f>IFERROR(INDEX(打卡匯入!$C$3:$C$2002,MATCH($C573&amp;"|"&amp;DAY($A573),打卡匯入!$E$3:$E$2002,0)),"")</f>
        <v/>
      </c>
      <c r="K573" s="83">
        <f>IFERROR(INDEX(打卡匯入!$D$3:$D$2002,MATCH($C573&amp;"|"&amp;DAY($A573),打卡匯入!$E$3:$E$2002,0)),"")</f>
        <v/>
      </c>
      <c r="L573" s="84">
        <f>IF(OR($J573="",$K573=""),"",IFERROR(INDEX(設定!$F$6:$F$21,MATCH($G573,設定!$B$6:$B$21,0)),0))</f>
        <v/>
      </c>
      <c r="M573" s="85">
        <f>IF(OR($J573="",$K573=""),"",ROUND(($K573-$J573)*24-$L573/60,2))</f>
        <v/>
      </c>
      <c r="N573" s="16">
        <f>IF($C573="","",IF(AND(COUNTIF(設定!$B$15:$B$21,$G573)&gt;0,$J573&lt;&gt;""),"假日出勤",IF(AND(COUNTIF(設定!$B$6:$B$14,$G573)&gt;0,$J573=""),"未打卡",IF($J573="","",IF($O573&gt;0,"遲到",IF($P573&gt;0,"早退","正常"))))))</f>
        <v/>
      </c>
      <c r="O573" s="84">
        <f>IF(OR($C573="",$H573="",$J573=""),0,IF(ROUND(($J573-$H573)*1440,0)&gt;設定!$C$46,ROUND(($J573-$H573)*1440,0),0))</f>
        <v/>
      </c>
      <c r="P573" s="84">
        <f>IF(OR($C573="",$I573="",$K573=""),0,IF(ROUND(($I573-$K573)*1440,0)&gt;設定!$C$46,ROUND(($I573-$K573)*1440,0),0))</f>
        <v/>
      </c>
      <c r="Q573" s="85">
        <f>IF($M573="",0,IF(($M573-IFERROR(INDEX(設定!$G$6:$G$21,MATCH($G573,設定!$B$6:$B$21,0)),0))*60&gt;=設定!$C$44,ROUND(FLOOR(($M573-IFERROR(INDEX(設定!$G$6:$G$21,MATCH($G573,設定!$B$6:$B$21,0)),0))*60,設定!$C$45)/60,2),0))</f>
        <v/>
      </c>
      <c r="R573" s="16">
        <f>IF(OR($C573="",$Q573=0),"",IF($G573="國","國定假日",IF($B573="日","例假",IF($B573="六","休息日","平日"))))</f>
        <v/>
      </c>
      <c r="S573" s="19" t="n"/>
    </row>
    <row r="574">
      <c r="A574" s="82">
        <f>IF(OR(助理班表!$A23="",14&gt;DAY(EOMONTH(DATE(設定!$C$2,設定!$D$2,1),0))),"",DATE(設定!$C$2,設定!$D$2,14))</f>
        <v/>
      </c>
      <c r="B574" s="16">
        <f>IF($A574="","",INDEX(設定!$O$6:$O$12,WEEKDAY($A574,1)))</f>
        <v/>
      </c>
      <c r="C574" s="16">
        <f>IF($A574="","",助理班表!$A23)</f>
        <v/>
      </c>
      <c r="D574" s="16">
        <f>IF($C574="","",助理班表!$B23)</f>
        <v/>
      </c>
      <c r="E574" s="16">
        <f>IF($C574="","",助理班表!$D23)</f>
        <v/>
      </c>
      <c r="F574" s="16">
        <f>IF($C574="","",助理班表!$C23)</f>
        <v/>
      </c>
      <c r="G574" s="16">
        <f>IF($C574="","",助理班表!R23)</f>
        <v/>
      </c>
      <c r="H574" s="83">
        <f>IF($G574="","",IFERROR(IF(INDEX(設定!$D$6:$D$21,MATCH($G574,設定!$B$6:$B$21,0))=0,"",INDEX(設定!$D$6:$D$21,MATCH($G574,設定!$B$6:$B$21,0))),""))</f>
        <v/>
      </c>
      <c r="I574" s="83">
        <f>IF($G574="","",IFERROR(IF(INDEX(設定!$E$6:$E$21,MATCH($G574,設定!$B$6:$B$21,0))=0,"",INDEX(設定!$E$6:$E$21,MATCH($G574,設定!$B$6:$B$21,0))),""))</f>
        <v/>
      </c>
      <c r="J574" s="83">
        <f>IFERROR(INDEX(打卡匯入!$C$3:$C$2002,MATCH($C574&amp;"|"&amp;DAY($A574),打卡匯入!$E$3:$E$2002,0)),"")</f>
        <v/>
      </c>
      <c r="K574" s="83">
        <f>IFERROR(INDEX(打卡匯入!$D$3:$D$2002,MATCH($C574&amp;"|"&amp;DAY($A574),打卡匯入!$E$3:$E$2002,0)),"")</f>
        <v/>
      </c>
      <c r="L574" s="84">
        <f>IF(OR($J574="",$K574=""),"",IFERROR(INDEX(設定!$F$6:$F$21,MATCH($G574,設定!$B$6:$B$21,0)),0))</f>
        <v/>
      </c>
      <c r="M574" s="85">
        <f>IF(OR($J574="",$K574=""),"",ROUND(($K574-$J574)*24-$L574/60,2))</f>
        <v/>
      </c>
      <c r="N574" s="16">
        <f>IF($C574="","",IF(AND(COUNTIF(設定!$B$15:$B$21,$G574)&gt;0,$J574&lt;&gt;""),"假日出勤",IF(AND(COUNTIF(設定!$B$6:$B$14,$G574)&gt;0,$J574=""),"未打卡",IF($J574="","",IF($O574&gt;0,"遲到",IF($P574&gt;0,"早退","正常"))))))</f>
        <v/>
      </c>
      <c r="O574" s="84">
        <f>IF(OR($C574="",$H574="",$J574=""),0,IF(ROUND(($J574-$H574)*1440,0)&gt;設定!$C$46,ROUND(($J574-$H574)*1440,0),0))</f>
        <v/>
      </c>
      <c r="P574" s="84">
        <f>IF(OR($C574="",$I574="",$K574=""),0,IF(ROUND(($I574-$K574)*1440,0)&gt;設定!$C$46,ROUND(($I574-$K574)*1440,0),0))</f>
        <v/>
      </c>
      <c r="Q574" s="85">
        <f>IF($M574="",0,IF(($M574-IFERROR(INDEX(設定!$G$6:$G$21,MATCH($G574,設定!$B$6:$B$21,0)),0))*60&gt;=設定!$C$44,ROUND(FLOOR(($M574-IFERROR(INDEX(設定!$G$6:$G$21,MATCH($G574,設定!$B$6:$B$21,0)),0))*60,設定!$C$45)/60,2),0))</f>
        <v/>
      </c>
      <c r="R574" s="16">
        <f>IF(OR($C574="",$Q574=0),"",IF($G574="國","國定假日",IF($B574="日","例假",IF($B574="六","休息日","平日"))))</f>
        <v/>
      </c>
      <c r="S574" s="19" t="n"/>
    </row>
    <row r="575">
      <c r="A575" s="82">
        <f>IF(OR(助理班表!$A23="",15&gt;DAY(EOMONTH(DATE(設定!$C$2,設定!$D$2,1),0))),"",DATE(設定!$C$2,設定!$D$2,15))</f>
        <v/>
      </c>
      <c r="B575" s="16">
        <f>IF($A575="","",INDEX(設定!$O$6:$O$12,WEEKDAY($A575,1)))</f>
        <v/>
      </c>
      <c r="C575" s="16">
        <f>IF($A575="","",助理班表!$A23)</f>
        <v/>
      </c>
      <c r="D575" s="16">
        <f>IF($C575="","",助理班表!$B23)</f>
        <v/>
      </c>
      <c r="E575" s="16">
        <f>IF($C575="","",助理班表!$D23)</f>
        <v/>
      </c>
      <c r="F575" s="16">
        <f>IF($C575="","",助理班表!$C23)</f>
        <v/>
      </c>
      <c r="G575" s="16">
        <f>IF($C575="","",助理班表!S23)</f>
        <v/>
      </c>
      <c r="H575" s="83">
        <f>IF($G575="","",IFERROR(IF(INDEX(設定!$D$6:$D$21,MATCH($G575,設定!$B$6:$B$21,0))=0,"",INDEX(設定!$D$6:$D$21,MATCH($G575,設定!$B$6:$B$21,0))),""))</f>
        <v/>
      </c>
      <c r="I575" s="83">
        <f>IF($G575="","",IFERROR(IF(INDEX(設定!$E$6:$E$21,MATCH($G575,設定!$B$6:$B$21,0))=0,"",INDEX(設定!$E$6:$E$21,MATCH($G575,設定!$B$6:$B$21,0))),""))</f>
        <v/>
      </c>
      <c r="J575" s="83">
        <f>IFERROR(INDEX(打卡匯入!$C$3:$C$2002,MATCH($C575&amp;"|"&amp;DAY($A575),打卡匯入!$E$3:$E$2002,0)),"")</f>
        <v/>
      </c>
      <c r="K575" s="83">
        <f>IFERROR(INDEX(打卡匯入!$D$3:$D$2002,MATCH($C575&amp;"|"&amp;DAY($A575),打卡匯入!$E$3:$E$2002,0)),"")</f>
        <v/>
      </c>
      <c r="L575" s="84">
        <f>IF(OR($J575="",$K575=""),"",IFERROR(INDEX(設定!$F$6:$F$21,MATCH($G575,設定!$B$6:$B$21,0)),0))</f>
        <v/>
      </c>
      <c r="M575" s="85">
        <f>IF(OR($J575="",$K575=""),"",ROUND(($K575-$J575)*24-$L575/60,2))</f>
        <v/>
      </c>
      <c r="N575" s="16">
        <f>IF($C575="","",IF(AND(COUNTIF(設定!$B$15:$B$21,$G575)&gt;0,$J575&lt;&gt;""),"假日出勤",IF(AND(COUNTIF(設定!$B$6:$B$14,$G575)&gt;0,$J575=""),"未打卡",IF($J575="","",IF($O575&gt;0,"遲到",IF($P575&gt;0,"早退","正常"))))))</f>
        <v/>
      </c>
      <c r="O575" s="84">
        <f>IF(OR($C575="",$H575="",$J575=""),0,IF(ROUND(($J575-$H575)*1440,0)&gt;設定!$C$46,ROUND(($J575-$H575)*1440,0),0))</f>
        <v/>
      </c>
      <c r="P575" s="84">
        <f>IF(OR($C575="",$I575="",$K575=""),0,IF(ROUND(($I575-$K575)*1440,0)&gt;設定!$C$46,ROUND(($I575-$K575)*1440,0),0))</f>
        <v/>
      </c>
      <c r="Q575" s="85">
        <f>IF($M575="",0,IF(($M575-IFERROR(INDEX(設定!$G$6:$G$21,MATCH($G575,設定!$B$6:$B$21,0)),0))*60&gt;=設定!$C$44,ROUND(FLOOR(($M575-IFERROR(INDEX(設定!$G$6:$G$21,MATCH($G575,設定!$B$6:$B$21,0)),0))*60,設定!$C$45)/60,2),0))</f>
        <v/>
      </c>
      <c r="R575" s="16">
        <f>IF(OR($C575="",$Q575=0),"",IF($G575="國","國定假日",IF($B575="日","例假",IF($B575="六","休息日","平日"))))</f>
        <v/>
      </c>
      <c r="S575" s="19" t="n"/>
    </row>
    <row r="576">
      <c r="A576" s="82">
        <f>IF(OR(助理班表!$A23="",16&gt;DAY(EOMONTH(DATE(設定!$C$2,設定!$D$2,1),0))),"",DATE(設定!$C$2,設定!$D$2,16))</f>
        <v/>
      </c>
      <c r="B576" s="16">
        <f>IF($A576="","",INDEX(設定!$O$6:$O$12,WEEKDAY($A576,1)))</f>
        <v/>
      </c>
      <c r="C576" s="16">
        <f>IF($A576="","",助理班表!$A23)</f>
        <v/>
      </c>
      <c r="D576" s="16">
        <f>IF($C576="","",助理班表!$B23)</f>
        <v/>
      </c>
      <c r="E576" s="16">
        <f>IF($C576="","",助理班表!$D23)</f>
        <v/>
      </c>
      <c r="F576" s="16">
        <f>IF($C576="","",助理班表!$C23)</f>
        <v/>
      </c>
      <c r="G576" s="16">
        <f>IF($C576="","",助理班表!T23)</f>
        <v/>
      </c>
      <c r="H576" s="83">
        <f>IF($G576="","",IFERROR(IF(INDEX(設定!$D$6:$D$21,MATCH($G576,設定!$B$6:$B$21,0))=0,"",INDEX(設定!$D$6:$D$21,MATCH($G576,設定!$B$6:$B$21,0))),""))</f>
        <v/>
      </c>
      <c r="I576" s="83">
        <f>IF($G576="","",IFERROR(IF(INDEX(設定!$E$6:$E$21,MATCH($G576,設定!$B$6:$B$21,0))=0,"",INDEX(設定!$E$6:$E$21,MATCH($G576,設定!$B$6:$B$21,0))),""))</f>
        <v/>
      </c>
      <c r="J576" s="83">
        <f>IFERROR(INDEX(打卡匯入!$C$3:$C$2002,MATCH($C576&amp;"|"&amp;DAY($A576),打卡匯入!$E$3:$E$2002,0)),"")</f>
        <v/>
      </c>
      <c r="K576" s="83">
        <f>IFERROR(INDEX(打卡匯入!$D$3:$D$2002,MATCH($C576&amp;"|"&amp;DAY($A576),打卡匯入!$E$3:$E$2002,0)),"")</f>
        <v/>
      </c>
      <c r="L576" s="84">
        <f>IF(OR($J576="",$K576=""),"",IFERROR(INDEX(設定!$F$6:$F$21,MATCH($G576,設定!$B$6:$B$21,0)),0))</f>
        <v/>
      </c>
      <c r="M576" s="85">
        <f>IF(OR($J576="",$K576=""),"",ROUND(($K576-$J576)*24-$L576/60,2))</f>
        <v/>
      </c>
      <c r="N576" s="16">
        <f>IF($C576="","",IF(AND(COUNTIF(設定!$B$15:$B$21,$G576)&gt;0,$J576&lt;&gt;""),"假日出勤",IF(AND(COUNTIF(設定!$B$6:$B$14,$G576)&gt;0,$J576=""),"未打卡",IF($J576="","",IF($O576&gt;0,"遲到",IF($P576&gt;0,"早退","正常"))))))</f>
        <v/>
      </c>
      <c r="O576" s="84">
        <f>IF(OR($C576="",$H576="",$J576=""),0,IF(ROUND(($J576-$H576)*1440,0)&gt;設定!$C$46,ROUND(($J576-$H576)*1440,0),0))</f>
        <v/>
      </c>
      <c r="P576" s="84">
        <f>IF(OR($C576="",$I576="",$K576=""),0,IF(ROUND(($I576-$K576)*1440,0)&gt;設定!$C$46,ROUND(($I576-$K576)*1440,0),0))</f>
        <v/>
      </c>
      <c r="Q576" s="85">
        <f>IF($M576="",0,IF(($M576-IFERROR(INDEX(設定!$G$6:$G$21,MATCH($G576,設定!$B$6:$B$21,0)),0))*60&gt;=設定!$C$44,ROUND(FLOOR(($M576-IFERROR(INDEX(設定!$G$6:$G$21,MATCH($G576,設定!$B$6:$B$21,0)),0))*60,設定!$C$45)/60,2),0))</f>
        <v/>
      </c>
      <c r="R576" s="16">
        <f>IF(OR($C576="",$Q576=0),"",IF($G576="國","國定假日",IF($B576="日","例假",IF($B576="六","休息日","平日"))))</f>
        <v/>
      </c>
      <c r="S576" s="19" t="n"/>
    </row>
    <row r="577">
      <c r="A577" s="82">
        <f>IF(OR(助理班表!$A23="",17&gt;DAY(EOMONTH(DATE(設定!$C$2,設定!$D$2,1),0))),"",DATE(設定!$C$2,設定!$D$2,17))</f>
        <v/>
      </c>
      <c r="B577" s="16">
        <f>IF($A577="","",INDEX(設定!$O$6:$O$12,WEEKDAY($A577,1)))</f>
        <v/>
      </c>
      <c r="C577" s="16">
        <f>IF($A577="","",助理班表!$A23)</f>
        <v/>
      </c>
      <c r="D577" s="16">
        <f>IF($C577="","",助理班表!$B23)</f>
        <v/>
      </c>
      <c r="E577" s="16">
        <f>IF($C577="","",助理班表!$D23)</f>
        <v/>
      </c>
      <c r="F577" s="16">
        <f>IF($C577="","",助理班表!$C23)</f>
        <v/>
      </c>
      <c r="G577" s="16">
        <f>IF($C577="","",助理班表!U23)</f>
        <v/>
      </c>
      <c r="H577" s="83">
        <f>IF($G577="","",IFERROR(IF(INDEX(設定!$D$6:$D$21,MATCH($G577,設定!$B$6:$B$21,0))=0,"",INDEX(設定!$D$6:$D$21,MATCH($G577,設定!$B$6:$B$21,0))),""))</f>
        <v/>
      </c>
      <c r="I577" s="83">
        <f>IF($G577="","",IFERROR(IF(INDEX(設定!$E$6:$E$21,MATCH($G577,設定!$B$6:$B$21,0))=0,"",INDEX(設定!$E$6:$E$21,MATCH($G577,設定!$B$6:$B$21,0))),""))</f>
        <v/>
      </c>
      <c r="J577" s="83">
        <f>IFERROR(INDEX(打卡匯入!$C$3:$C$2002,MATCH($C577&amp;"|"&amp;DAY($A577),打卡匯入!$E$3:$E$2002,0)),"")</f>
        <v/>
      </c>
      <c r="K577" s="83">
        <f>IFERROR(INDEX(打卡匯入!$D$3:$D$2002,MATCH($C577&amp;"|"&amp;DAY($A577),打卡匯入!$E$3:$E$2002,0)),"")</f>
        <v/>
      </c>
      <c r="L577" s="84">
        <f>IF(OR($J577="",$K577=""),"",IFERROR(INDEX(設定!$F$6:$F$21,MATCH($G577,設定!$B$6:$B$21,0)),0))</f>
        <v/>
      </c>
      <c r="M577" s="85">
        <f>IF(OR($J577="",$K577=""),"",ROUND(($K577-$J577)*24-$L577/60,2))</f>
        <v/>
      </c>
      <c r="N577" s="16">
        <f>IF($C577="","",IF(AND(COUNTIF(設定!$B$15:$B$21,$G577)&gt;0,$J577&lt;&gt;""),"假日出勤",IF(AND(COUNTIF(設定!$B$6:$B$14,$G577)&gt;0,$J577=""),"未打卡",IF($J577="","",IF($O577&gt;0,"遲到",IF($P577&gt;0,"早退","正常"))))))</f>
        <v/>
      </c>
      <c r="O577" s="84">
        <f>IF(OR($C577="",$H577="",$J577=""),0,IF(ROUND(($J577-$H577)*1440,0)&gt;設定!$C$46,ROUND(($J577-$H577)*1440,0),0))</f>
        <v/>
      </c>
      <c r="P577" s="84">
        <f>IF(OR($C577="",$I577="",$K577=""),0,IF(ROUND(($I577-$K577)*1440,0)&gt;設定!$C$46,ROUND(($I577-$K577)*1440,0),0))</f>
        <v/>
      </c>
      <c r="Q577" s="85">
        <f>IF($M577="",0,IF(($M577-IFERROR(INDEX(設定!$G$6:$G$21,MATCH($G577,設定!$B$6:$B$21,0)),0))*60&gt;=設定!$C$44,ROUND(FLOOR(($M577-IFERROR(INDEX(設定!$G$6:$G$21,MATCH($G577,設定!$B$6:$B$21,0)),0))*60,設定!$C$45)/60,2),0))</f>
        <v/>
      </c>
      <c r="R577" s="16">
        <f>IF(OR($C577="",$Q577=0),"",IF($G577="國","國定假日",IF($B577="日","例假",IF($B577="六","休息日","平日"))))</f>
        <v/>
      </c>
      <c r="S577" s="19" t="n"/>
    </row>
    <row r="578">
      <c r="A578" s="82">
        <f>IF(OR(助理班表!$A23="",18&gt;DAY(EOMONTH(DATE(設定!$C$2,設定!$D$2,1),0))),"",DATE(設定!$C$2,設定!$D$2,18))</f>
        <v/>
      </c>
      <c r="B578" s="16">
        <f>IF($A578="","",INDEX(設定!$O$6:$O$12,WEEKDAY($A578,1)))</f>
        <v/>
      </c>
      <c r="C578" s="16">
        <f>IF($A578="","",助理班表!$A23)</f>
        <v/>
      </c>
      <c r="D578" s="16">
        <f>IF($C578="","",助理班表!$B23)</f>
        <v/>
      </c>
      <c r="E578" s="16">
        <f>IF($C578="","",助理班表!$D23)</f>
        <v/>
      </c>
      <c r="F578" s="16">
        <f>IF($C578="","",助理班表!$C23)</f>
        <v/>
      </c>
      <c r="G578" s="16">
        <f>IF($C578="","",助理班表!V23)</f>
        <v/>
      </c>
      <c r="H578" s="83">
        <f>IF($G578="","",IFERROR(IF(INDEX(設定!$D$6:$D$21,MATCH($G578,設定!$B$6:$B$21,0))=0,"",INDEX(設定!$D$6:$D$21,MATCH($G578,設定!$B$6:$B$21,0))),""))</f>
        <v/>
      </c>
      <c r="I578" s="83">
        <f>IF($G578="","",IFERROR(IF(INDEX(設定!$E$6:$E$21,MATCH($G578,設定!$B$6:$B$21,0))=0,"",INDEX(設定!$E$6:$E$21,MATCH($G578,設定!$B$6:$B$21,0))),""))</f>
        <v/>
      </c>
      <c r="J578" s="83">
        <f>IFERROR(INDEX(打卡匯入!$C$3:$C$2002,MATCH($C578&amp;"|"&amp;DAY($A578),打卡匯入!$E$3:$E$2002,0)),"")</f>
        <v/>
      </c>
      <c r="K578" s="83">
        <f>IFERROR(INDEX(打卡匯入!$D$3:$D$2002,MATCH($C578&amp;"|"&amp;DAY($A578),打卡匯入!$E$3:$E$2002,0)),"")</f>
        <v/>
      </c>
      <c r="L578" s="84">
        <f>IF(OR($J578="",$K578=""),"",IFERROR(INDEX(設定!$F$6:$F$21,MATCH($G578,設定!$B$6:$B$21,0)),0))</f>
        <v/>
      </c>
      <c r="M578" s="85">
        <f>IF(OR($J578="",$K578=""),"",ROUND(($K578-$J578)*24-$L578/60,2))</f>
        <v/>
      </c>
      <c r="N578" s="16">
        <f>IF($C578="","",IF(AND(COUNTIF(設定!$B$15:$B$21,$G578)&gt;0,$J578&lt;&gt;""),"假日出勤",IF(AND(COUNTIF(設定!$B$6:$B$14,$G578)&gt;0,$J578=""),"未打卡",IF($J578="","",IF($O578&gt;0,"遲到",IF($P578&gt;0,"早退","正常"))))))</f>
        <v/>
      </c>
      <c r="O578" s="84">
        <f>IF(OR($C578="",$H578="",$J578=""),0,IF(ROUND(($J578-$H578)*1440,0)&gt;設定!$C$46,ROUND(($J578-$H578)*1440,0),0))</f>
        <v/>
      </c>
      <c r="P578" s="84">
        <f>IF(OR($C578="",$I578="",$K578=""),0,IF(ROUND(($I578-$K578)*1440,0)&gt;設定!$C$46,ROUND(($I578-$K578)*1440,0),0))</f>
        <v/>
      </c>
      <c r="Q578" s="85">
        <f>IF($M578="",0,IF(($M578-IFERROR(INDEX(設定!$G$6:$G$21,MATCH($G578,設定!$B$6:$B$21,0)),0))*60&gt;=設定!$C$44,ROUND(FLOOR(($M578-IFERROR(INDEX(設定!$G$6:$G$21,MATCH($G578,設定!$B$6:$B$21,0)),0))*60,設定!$C$45)/60,2),0))</f>
        <v/>
      </c>
      <c r="R578" s="16">
        <f>IF(OR($C578="",$Q578=0),"",IF($G578="國","國定假日",IF($B578="日","例假",IF($B578="六","休息日","平日"))))</f>
        <v/>
      </c>
      <c r="S578" s="19" t="n"/>
    </row>
    <row r="579">
      <c r="A579" s="82">
        <f>IF(OR(助理班表!$A23="",19&gt;DAY(EOMONTH(DATE(設定!$C$2,設定!$D$2,1),0))),"",DATE(設定!$C$2,設定!$D$2,19))</f>
        <v/>
      </c>
      <c r="B579" s="16">
        <f>IF($A579="","",INDEX(設定!$O$6:$O$12,WEEKDAY($A579,1)))</f>
        <v/>
      </c>
      <c r="C579" s="16">
        <f>IF($A579="","",助理班表!$A23)</f>
        <v/>
      </c>
      <c r="D579" s="16">
        <f>IF($C579="","",助理班表!$B23)</f>
        <v/>
      </c>
      <c r="E579" s="16">
        <f>IF($C579="","",助理班表!$D23)</f>
        <v/>
      </c>
      <c r="F579" s="16">
        <f>IF($C579="","",助理班表!$C23)</f>
        <v/>
      </c>
      <c r="G579" s="16">
        <f>IF($C579="","",助理班表!W23)</f>
        <v/>
      </c>
      <c r="H579" s="83">
        <f>IF($G579="","",IFERROR(IF(INDEX(設定!$D$6:$D$21,MATCH($G579,設定!$B$6:$B$21,0))=0,"",INDEX(設定!$D$6:$D$21,MATCH($G579,設定!$B$6:$B$21,0))),""))</f>
        <v/>
      </c>
      <c r="I579" s="83">
        <f>IF($G579="","",IFERROR(IF(INDEX(設定!$E$6:$E$21,MATCH($G579,設定!$B$6:$B$21,0))=0,"",INDEX(設定!$E$6:$E$21,MATCH($G579,設定!$B$6:$B$21,0))),""))</f>
        <v/>
      </c>
      <c r="J579" s="83">
        <f>IFERROR(INDEX(打卡匯入!$C$3:$C$2002,MATCH($C579&amp;"|"&amp;DAY($A579),打卡匯入!$E$3:$E$2002,0)),"")</f>
        <v/>
      </c>
      <c r="K579" s="83">
        <f>IFERROR(INDEX(打卡匯入!$D$3:$D$2002,MATCH($C579&amp;"|"&amp;DAY($A579),打卡匯入!$E$3:$E$2002,0)),"")</f>
        <v/>
      </c>
      <c r="L579" s="84">
        <f>IF(OR($J579="",$K579=""),"",IFERROR(INDEX(設定!$F$6:$F$21,MATCH($G579,設定!$B$6:$B$21,0)),0))</f>
        <v/>
      </c>
      <c r="M579" s="85">
        <f>IF(OR($J579="",$K579=""),"",ROUND(($K579-$J579)*24-$L579/60,2))</f>
        <v/>
      </c>
      <c r="N579" s="16">
        <f>IF($C579="","",IF(AND(COUNTIF(設定!$B$15:$B$21,$G579)&gt;0,$J579&lt;&gt;""),"假日出勤",IF(AND(COUNTIF(設定!$B$6:$B$14,$G579)&gt;0,$J579=""),"未打卡",IF($J579="","",IF($O579&gt;0,"遲到",IF($P579&gt;0,"早退","正常"))))))</f>
        <v/>
      </c>
      <c r="O579" s="84">
        <f>IF(OR($C579="",$H579="",$J579=""),0,IF(ROUND(($J579-$H579)*1440,0)&gt;設定!$C$46,ROUND(($J579-$H579)*1440,0),0))</f>
        <v/>
      </c>
      <c r="P579" s="84">
        <f>IF(OR($C579="",$I579="",$K579=""),0,IF(ROUND(($I579-$K579)*1440,0)&gt;設定!$C$46,ROUND(($I579-$K579)*1440,0),0))</f>
        <v/>
      </c>
      <c r="Q579" s="85">
        <f>IF($M579="",0,IF(($M579-IFERROR(INDEX(設定!$G$6:$G$21,MATCH($G579,設定!$B$6:$B$21,0)),0))*60&gt;=設定!$C$44,ROUND(FLOOR(($M579-IFERROR(INDEX(設定!$G$6:$G$21,MATCH($G579,設定!$B$6:$B$21,0)),0))*60,設定!$C$45)/60,2),0))</f>
        <v/>
      </c>
      <c r="R579" s="16">
        <f>IF(OR($C579="",$Q579=0),"",IF($G579="國","國定假日",IF($B579="日","例假",IF($B579="六","休息日","平日"))))</f>
        <v/>
      </c>
      <c r="S579" s="19" t="n"/>
    </row>
    <row r="580">
      <c r="A580" s="82">
        <f>IF(OR(助理班表!$A23="",20&gt;DAY(EOMONTH(DATE(設定!$C$2,設定!$D$2,1),0))),"",DATE(設定!$C$2,設定!$D$2,20))</f>
        <v/>
      </c>
      <c r="B580" s="16">
        <f>IF($A580="","",INDEX(設定!$O$6:$O$12,WEEKDAY($A580,1)))</f>
        <v/>
      </c>
      <c r="C580" s="16">
        <f>IF($A580="","",助理班表!$A23)</f>
        <v/>
      </c>
      <c r="D580" s="16">
        <f>IF($C580="","",助理班表!$B23)</f>
        <v/>
      </c>
      <c r="E580" s="16">
        <f>IF($C580="","",助理班表!$D23)</f>
        <v/>
      </c>
      <c r="F580" s="16">
        <f>IF($C580="","",助理班表!$C23)</f>
        <v/>
      </c>
      <c r="G580" s="16">
        <f>IF($C580="","",助理班表!X23)</f>
        <v/>
      </c>
      <c r="H580" s="83">
        <f>IF($G580="","",IFERROR(IF(INDEX(設定!$D$6:$D$21,MATCH($G580,設定!$B$6:$B$21,0))=0,"",INDEX(設定!$D$6:$D$21,MATCH($G580,設定!$B$6:$B$21,0))),""))</f>
        <v/>
      </c>
      <c r="I580" s="83">
        <f>IF($G580="","",IFERROR(IF(INDEX(設定!$E$6:$E$21,MATCH($G580,設定!$B$6:$B$21,0))=0,"",INDEX(設定!$E$6:$E$21,MATCH($G580,設定!$B$6:$B$21,0))),""))</f>
        <v/>
      </c>
      <c r="J580" s="83">
        <f>IFERROR(INDEX(打卡匯入!$C$3:$C$2002,MATCH($C580&amp;"|"&amp;DAY($A580),打卡匯入!$E$3:$E$2002,0)),"")</f>
        <v/>
      </c>
      <c r="K580" s="83">
        <f>IFERROR(INDEX(打卡匯入!$D$3:$D$2002,MATCH($C580&amp;"|"&amp;DAY($A580),打卡匯入!$E$3:$E$2002,0)),"")</f>
        <v/>
      </c>
      <c r="L580" s="84">
        <f>IF(OR($J580="",$K580=""),"",IFERROR(INDEX(設定!$F$6:$F$21,MATCH($G580,設定!$B$6:$B$21,0)),0))</f>
        <v/>
      </c>
      <c r="M580" s="85">
        <f>IF(OR($J580="",$K580=""),"",ROUND(($K580-$J580)*24-$L580/60,2))</f>
        <v/>
      </c>
      <c r="N580" s="16">
        <f>IF($C580="","",IF(AND(COUNTIF(設定!$B$15:$B$21,$G580)&gt;0,$J580&lt;&gt;""),"假日出勤",IF(AND(COUNTIF(設定!$B$6:$B$14,$G580)&gt;0,$J580=""),"未打卡",IF($J580="","",IF($O580&gt;0,"遲到",IF($P580&gt;0,"早退","正常"))))))</f>
        <v/>
      </c>
      <c r="O580" s="84">
        <f>IF(OR($C580="",$H580="",$J580=""),0,IF(ROUND(($J580-$H580)*1440,0)&gt;設定!$C$46,ROUND(($J580-$H580)*1440,0),0))</f>
        <v/>
      </c>
      <c r="P580" s="84">
        <f>IF(OR($C580="",$I580="",$K580=""),0,IF(ROUND(($I580-$K580)*1440,0)&gt;設定!$C$46,ROUND(($I580-$K580)*1440,0),0))</f>
        <v/>
      </c>
      <c r="Q580" s="85">
        <f>IF($M580="",0,IF(($M580-IFERROR(INDEX(設定!$G$6:$G$21,MATCH($G580,設定!$B$6:$B$21,0)),0))*60&gt;=設定!$C$44,ROUND(FLOOR(($M580-IFERROR(INDEX(設定!$G$6:$G$21,MATCH($G580,設定!$B$6:$B$21,0)),0))*60,設定!$C$45)/60,2),0))</f>
        <v/>
      </c>
      <c r="R580" s="16">
        <f>IF(OR($C580="",$Q580=0),"",IF($G580="國","國定假日",IF($B580="日","例假",IF($B580="六","休息日","平日"))))</f>
        <v/>
      </c>
      <c r="S580" s="19" t="n"/>
    </row>
    <row r="581">
      <c r="A581" s="82">
        <f>IF(OR(助理班表!$A23="",21&gt;DAY(EOMONTH(DATE(設定!$C$2,設定!$D$2,1),0))),"",DATE(設定!$C$2,設定!$D$2,21))</f>
        <v/>
      </c>
      <c r="B581" s="16">
        <f>IF($A581="","",INDEX(設定!$O$6:$O$12,WEEKDAY($A581,1)))</f>
        <v/>
      </c>
      <c r="C581" s="16">
        <f>IF($A581="","",助理班表!$A23)</f>
        <v/>
      </c>
      <c r="D581" s="16">
        <f>IF($C581="","",助理班表!$B23)</f>
        <v/>
      </c>
      <c r="E581" s="16">
        <f>IF($C581="","",助理班表!$D23)</f>
        <v/>
      </c>
      <c r="F581" s="16">
        <f>IF($C581="","",助理班表!$C23)</f>
        <v/>
      </c>
      <c r="G581" s="16">
        <f>IF($C581="","",助理班表!Y23)</f>
        <v/>
      </c>
      <c r="H581" s="83">
        <f>IF($G581="","",IFERROR(IF(INDEX(設定!$D$6:$D$21,MATCH($G581,設定!$B$6:$B$21,0))=0,"",INDEX(設定!$D$6:$D$21,MATCH($G581,設定!$B$6:$B$21,0))),""))</f>
        <v/>
      </c>
      <c r="I581" s="83">
        <f>IF($G581="","",IFERROR(IF(INDEX(設定!$E$6:$E$21,MATCH($G581,設定!$B$6:$B$21,0))=0,"",INDEX(設定!$E$6:$E$21,MATCH($G581,設定!$B$6:$B$21,0))),""))</f>
        <v/>
      </c>
      <c r="J581" s="83">
        <f>IFERROR(INDEX(打卡匯入!$C$3:$C$2002,MATCH($C581&amp;"|"&amp;DAY($A581),打卡匯入!$E$3:$E$2002,0)),"")</f>
        <v/>
      </c>
      <c r="K581" s="83">
        <f>IFERROR(INDEX(打卡匯入!$D$3:$D$2002,MATCH($C581&amp;"|"&amp;DAY($A581),打卡匯入!$E$3:$E$2002,0)),"")</f>
        <v/>
      </c>
      <c r="L581" s="84">
        <f>IF(OR($J581="",$K581=""),"",IFERROR(INDEX(設定!$F$6:$F$21,MATCH($G581,設定!$B$6:$B$21,0)),0))</f>
        <v/>
      </c>
      <c r="M581" s="85">
        <f>IF(OR($J581="",$K581=""),"",ROUND(($K581-$J581)*24-$L581/60,2))</f>
        <v/>
      </c>
      <c r="N581" s="16">
        <f>IF($C581="","",IF(AND(COUNTIF(設定!$B$15:$B$21,$G581)&gt;0,$J581&lt;&gt;""),"假日出勤",IF(AND(COUNTIF(設定!$B$6:$B$14,$G581)&gt;0,$J581=""),"未打卡",IF($J581="","",IF($O581&gt;0,"遲到",IF($P581&gt;0,"早退","正常"))))))</f>
        <v/>
      </c>
      <c r="O581" s="84">
        <f>IF(OR($C581="",$H581="",$J581=""),0,IF(ROUND(($J581-$H581)*1440,0)&gt;設定!$C$46,ROUND(($J581-$H581)*1440,0),0))</f>
        <v/>
      </c>
      <c r="P581" s="84">
        <f>IF(OR($C581="",$I581="",$K581=""),0,IF(ROUND(($I581-$K581)*1440,0)&gt;設定!$C$46,ROUND(($I581-$K581)*1440,0),0))</f>
        <v/>
      </c>
      <c r="Q581" s="85">
        <f>IF($M581="",0,IF(($M581-IFERROR(INDEX(設定!$G$6:$G$21,MATCH($G581,設定!$B$6:$B$21,0)),0))*60&gt;=設定!$C$44,ROUND(FLOOR(($M581-IFERROR(INDEX(設定!$G$6:$G$21,MATCH($G581,設定!$B$6:$B$21,0)),0))*60,設定!$C$45)/60,2),0))</f>
        <v/>
      </c>
      <c r="R581" s="16">
        <f>IF(OR($C581="",$Q581=0),"",IF($G581="國","國定假日",IF($B581="日","例假",IF($B581="六","休息日","平日"))))</f>
        <v/>
      </c>
      <c r="S581" s="19" t="n"/>
    </row>
    <row r="582">
      <c r="A582" s="82">
        <f>IF(OR(助理班表!$A23="",22&gt;DAY(EOMONTH(DATE(設定!$C$2,設定!$D$2,1),0))),"",DATE(設定!$C$2,設定!$D$2,22))</f>
        <v/>
      </c>
      <c r="B582" s="16">
        <f>IF($A582="","",INDEX(設定!$O$6:$O$12,WEEKDAY($A582,1)))</f>
        <v/>
      </c>
      <c r="C582" s="16">
        <f>IF($A582="","",助理班表!$A23)</f>
        <v/>
      </c>
      <c r="D582" s="16">
        <f>IF($C582="","",助理班表!$B23)</f>
        <v/>
      </c>
      <c r="E582" s="16">
        <f>IF($C582="","",助理班表!$D23)</f>
        <v/>
      </c>
      <c r="F582" s="16">
        <f>IF($C582="","",助理班表!$C23)</f>
        <v/>
      </c>
      <c r="G582" s="16">
        <f>IF($C582="","",助理班表!Z23)</f>
        <v/>
      </c>
      <c r="H582" s="83">
        <f>IF($G582="","",IFERROR(IF(INDEX(設定!$D$6:$D$21,MATCH($G582,設定!$B$6:$B$21,0))=0,"",INDEX(設定!$D$6:$D$21,MATCH($G582,設定!$B$6:$B$21,0))),""))</f>
        <v/>
      </c>
      <c r="I582" s="83">
        <f>IF($G582="","",IFERROR(IF(INDEX(設定!$E$6:$E$21,MATCH($G582,設定!$B$6:$B$21,0))=0,"",INDEX(設定!$E$6:$E$21,MATCH($G582,設定!$B$6:$B$21,0))),""))</f>
        <v/>
      </c>
      <c r="J582" s="83">
        <f>IFERROR(INDEX(打卡匯入!$C$3:$C$2002,MATCH($C582&amp;"|"&amp;DAY($A582),打卡匯入!$E$3:$E$2002,0)),"")</f>
        <v/>
      </c>
      <c r="K582" s="83">
        <f>IFERROR(INDEX(打卡匯入!$D$3:$D$2002,MATCH($C582&amp;"|"&amp;DAY($A582),打卡匯入!$E$3:$E$2002,0)),"")</f>
        <v/>
      </c>
      <c r="L582" s="84">
        <f>IF(OR($J582="",$K582=""),"",IFERROR(INDEX(設定!$F$6:$F$21,MATCH($G582,設定!$B$6:$B$21,0)),0))</f>
        <v/>
      </c>
      <c r="M582" s="85">
        <f>IF(OR($J582="",$K582=""),"",ROUND(($K582-$J582)*24-$L582/60,2))</f>
        <v/>
      </c>
      <c r="N582" s="16">
        <f>IF($C582="","",IF(AND(COUNTIF(設定!$B$15:$B$21,$G582)&gt;0,$J582&lt;&gt;""),"假日出勤",IF(AND(COUNTIF(設定!$B$6:$B$14,$G582)&gt;0,$J582=""),"未打卡",IF($J582="","",IF($O582&gt;0,"遲到",IF($P582&gt;0,"早退","正常"))))))</f>
        <v/>
      </c>
      <c r="O582" s="84">
        <f>IF(OR($C582="",$H582="",$J582=""),0,IF(ROUND(($J582-$H582)*1440,0)&gt;設定!$C$46,ROUND(($J582-$H582)*1440,0),0))</f>
        <v/>
      </c>
      <c r="P582" s="84">
        <f>IF(OR($C582="",$I582="",$K582=""),0,IF(ROUND(($I582-$K582)*1440,0)&gt;設定!$C$46,ROUND(($I582-$K582)*1440,0),0))</f>
        <v/>
      </c>
      <c r="Q582" s="85">
        <f>IF($M582="",0,IF(($M582-IFERROR(INDEX(設定!$G$6:$G$21,MATCH($G582,設定!$B$6:$B$21,0)),0))*60&gt;=設定!$C$44,ROUND(FLOOR(($M582-IFERROR(INDEX(設定!$G$6:$G$21,MATCH($G582,設定!$B$6:$B$21,0)),0))*60,設定!$C$45)/60,2),0))</f>
        <v/>
      </c>
      <c r="R582" s="16">
        <f>IF(OR($C582="",$Q582=0),"",IF($G582="國","國定假日",IF($B582="日","例假",IF($B582="六","休息日","平日"))))</f>
        <v/>
      </c>
      <c r="S582" s="19" t="n"/>
    </row>
    <row r="583">
      <c r="A583" s="82">
        <f>IF(OR(助理班表!$A23="",23&gt;DAY(EOMONTH(DATE(設定!$C$2,設定!$D$2,1),0))),"",DATE(設定!$C$2,設定!$D$2,23))</f>
        <v/>
      </c>
      <c r="B583" s="16">
        <f>IF($A583="","",INDEX(設定!$O$6:$O$12,WEEKDAY($A583,1)))</f>
        <v/>
      </c>
      <c r="C583" s="16">
        <f>IF($A583="","",助理班表!$A23)</f>
        <v/>
      </c>
      <c r="D583" s="16">
        <f>IF($C583="","",助理班表!$B23)</f>
        <v/>
      </c>
      <c r="E583" s="16">
        <f>IF($C583="","",助理班表!$D23)</f>
        <v/>
      </c>
      <c r="F583" s="16">
        <f>IF($C583="","",助理班表!$C23)</f>
        <v/>
      </c>
      <c r="G583" s="16">
        <f>IF($C583="","",助理班表!AA23)</f>
        <v/>
      </c>
      <c r="H583" s="83">
        <f>IF($G583="","",IFERROR(IF(INDEX(設定!$D$6:$D$21,MATCH($G583,設定!$B$6:$B$21,0))=0,"",INDEX(設定!$D$6:$D$21,MATCH($G583,設定!$B$6:$B$21,0))),""))</f>
        <v/>
      </c>
      <c r="I583" s="83">
        <f>IF($G583="","",IFERROR(IF(INDEX(設定!$E$6:$E$21,MATCH($G583,設定!$B$6:$B$21,0))=0,"",INDEX(設定!$E$6:$E$21,MATCH($G583,設定!$B$6:$B$21,0))),""))</f>
        <v/>
      </c>
      <c r="J583" s="83">
        <f>IFERROR(INDEX(打卡匯入!$C$3:$C$2002,MATCH($C583&amp;"|"&amp;DAY($A583),打卡匯入!$E$3:$E$2002,0)),"")</f>
        <v/>
      </c>
      <c r="K583" s="83">
        <f>IFERROR(INDEX(打卡匯入!$D$3:$D$2002,MATCH($C583&amp;"|"&amp;DAY($A583),打卡匯入!$E$3:$E$2002,0)),"")</f>
        <v/>
      </c>
      <c r="L583" s="84">
        <f>IF(OR($J583="",$K583=""),"",IFERROR(INDEX(設定!$F$6:$F$21,MATCH($G583,設定!$B$6:$B$21,0)),0))</f>
        <v/>
      </c>
      <c r="M583" s="85">
        <f>IF(OR($J583="",$K583=""),"",ROUND(($K583-$J583)*24-$L583/60,2))</f>
        <v/>
      </c>
      <c r="N583" s="16">
        <f>IF($C583="","",IF(AND(COUNTIF(設定!$B$15:$B$21,$G583)&gt;0,$J583&lt;&gt;""),"假日出勤",IF(AND(COUNTIF(設定!$B$6:$B$14,$G583)&gt;0,$J583=""),"未打卡",IF($J583="","",IF($O583&gt;0,"遲到",IF($P583&gt;0,"早退","正常"))))))</f>
        <v/>
      </c>
      <c r="O583" s="84">
        <f>IF(OR($C583="",$H583="",$J583=""),0,IF(ROUND(($J583-$H583)*1440,0)&gt;設定!$C$46,ROUND(($J583-$H583)*1440,0),0))</f>
        <v/>
      </c>
      <c r="P583" s="84">
        <f>IF(OR($C583="",$I583="",$K583=""),0,IF(ROUND(($I583-$K583)*1440,0)&gt;設定!$C$46,ROUND(($I583-$K583)*1440,0),0))</f>
        <v/>
      </c>
      <c r="Q583" s="85">
        <f>IF($M583="",0,IF(($M583-IFERROR(INDEX(設定!$G$6:$G$21,MATCH($G583,設定!$B$6:$B$21,0)),0))*60&gt;=設定!$C$44,ROUND(FLOOR(($M583-IFERROR(INDEX(設定!$G$6:$G$21,MATCH($G583,設定!$B$6:$B$21,0)),0))*60,設定!$C$45)/60,2),0))</f>
        <v/>
      </c>
      <c r="R583" s="16">
        <f>IF(OR($C583="",$Q583=0),"",IF($G583="國","國定假日",IF($B583="日","例假",IF($B583="六","休息日","平日"))))</f>
        <v/>
      </c>
      <c r="S583" s="19" t="n"/>
    </row>
    <row r="584">
      <c r="A584" s="82">
        <f>IF(OR(助理班表!$A23="",24&gt;DAY(EOMONTH(DATE(設定!$C$2,設定!$D$2,1),0))),"",DATE(設定!$C$2,設定!$D$2,24))</f>
        <v/>
      </c>
      <c r="B584" s="16">
        <f>IF($A584="","",INDEX(設定!$O$6:$O$12,WEEKDAY($A584,1)))</f>
        <v/>
      </c>
      <c r="C584" s="16">
        <f>IF($A584="","",助理班表!$A23)</f>
        <v/>
      </c>
      <c r="D584" s="16">
        <f>IF($C584="","",助理班表!$B23)</f>
        <v/>
      </c>
      <c r="E584" s="16">
        <f>IF($C584="","",助理班表!$D23)</f>
        <v/>
      </c>
      <c r="F584" s="16">
        <f>IF($C584="","",助理班表!$C23)</f>
        <v/>
      </c>
      <c r="G584" s="16">
        <f>IF($C584="","",助理班表!AB23)</f>
        <v/>
      </c>
      <c r="H584" s="83">
        <f>IF($G584="","",IFERROR(IF(INDEX(設定!$D$6:$D$21,MATCH($G584,設定!$B$6:$B$21,0))=0,"",INDEX(設定!$D$6:$D$21,MATCH($G584,設定!$B$6:$B$21,0))),""))</f>
        <v/>
      </c>
      <c r="I584" s="83">
        <f>IF($G584="","",IFERROR(IF(INDEX(設定!$E$6:$E$21,MATCH($G584,設定!$B$6:$B$21,0))=0,"",INDEX(設定!$E$6:$E$21,MATCH($G584,設定!$B$6:$B$21,0))),""))</f>
        <v/>
      </c>
      <c r="J584" s="83">
        <f>IFERROR(INDEX(打卡匯入!$C$3:$C$2002,MATCH($C584&amp;"|"&amp;DAY($A584),打卡匯入!$E$3:$E$2002,0)),"")</f>
        <v/>
      </c>
      <c r="K584" s="83">
        <f>IFERROR(INDEX(打卡匯入!$D$3:$D$2002,MATCH($C584&amp;"|"&amp;DAY($A584),打卡匯入!$E$3:$E$2002,0)),"")</f>
        <v/>
      </c>
      <c r="L584" s="84">
        <f>IF(OR($J584="",$K584=""),"",IFERROR(INDEX(設定!$F$6:$F$21,MATCH($G584,設定!$B$6:$B$21,0)),0))</f>
        <v/>
      </c>
      <c r="M584" s="85">
        <f>IF(OR($J584="",$K584=""),"",ROUND(($K584-$J584)*24-$L584/60,2))</f>
        <v/>
      </c>
      <c r="N584" s="16">
        <f>IF($C584="","",IF(AND(COUNTIF(設定!$B$15:$B$21,$G584)&gt;0,$J584&lt;&gt;""),"假日出勤",IF(AND(COUNTIF(設定!$B$6:$B$14,$G584)&gt;0,$J584=""),"未打卡",IF($J584="","",IF($O584&gt;0,"遲到",IF($P584&gt;0,"早退","正常"))))))</f>
        <v/>
      </c>
      <c r="O584" s="84">
        <f>IF(OR($C584="",$H584="",$J584=""),0,IF(ROUND(($J584-$H584)*1440,0)&gt;設定!$C$46,ROUND(($J584-$H584)*1440,0),0))</f>
        <v/>
      </c>
      <c r="P584" s="84">
        <f>IF(OR($C584="",$I584="",$K584=""),0,IF(ROUND(($I584-$K584)*1440,0)&gt;設定!$C$46,ROUND(($I584-$K584)*1440,0),0))</f>
        <v/>
      </c>
      <c r="Q584" s="85">
        <f>IF($M584="",0,IF(($M584-IFERROR(INDEX(設定!$G$6:$G$21,MATCH($G584,設定!$B$6:$B$21,0)),0))*60&gt;=設定!$C$44,ROUND(FLOOR(($M584-IFERROR(INDEX(設定!$G$6:$G$21,MATCH($G584,設定!$B$6:$B$21,0)),0))*60,設定!$C$45)/60,2),0))</f>
        <v/>
      </c>
      <c r="R584" s="16">
        <f>IF(OR($C584="",$Q584=0),"",IF($G584="國","國定假日",IF($B584="日","例假",IF($B584="六","休息日","平日"))))</f>
        <v/>
      </c>
      <c r="S584" s="19" t="n"/>
    </row>
    <row r="585">
      <c r="A585" s="82">
        <f>IF(OR(助理班表!$A23="",25&gt;DAY(EOMONTH(DATE(設定!$C$2,設定!$D$2,1),0))),"",DATE(設定!$C$2,設定!$D$2,25))</f>
        <v/>
      </c>
      <c r="B585" s="16">
        <f>IF($A585="","",INDEX(設定!$O$6:$O$12,WEEKDAY($A585,1)))</f>
        <v/>
      </c>
      <c r="C585" s="16">
        <f>IF($A585="","",助理班表!$A23)</f>
        <v/>
      </c>
      <c r="D585" s="16">
        <f>IF($C585="","",助理班表!$B23)</f>
        <v/>
      </c>
      <c r="E585" s="16">
        <f>IF($C585="","",助理班表!$D23)</f>
        <v/>
      </c>
      <c r="F585" s="16">
        <f>IF($C585="","",助理班表!$C23)</f>
        <v/>
      </c>
      <c r="G585" s="16">
        <f>IF($C585="","",助理班表!AC23)</f>
        <v/>
      </c>
      <c r="H585" s="83">
        <f>IF($G585="","",IFERROR(IF(INDEX(設定!$D$6:$D$21,MATCH($G585,設定!$B$6:$B$21,0))=0,"",INDEX(設定!$D$6:$D$21,MATCH($G585,設定!$B$6:$B$21,0))),""))</f>
        <v/>
      </c>
      <c r="I585" s="83">
        <f>IF($G585="","",IFERROR(IF(INDEX(設定!$E$6:$E$21,MATCH($G585,設定!$B$6:$B$21,0))=0,"",INDEX(設定!$E$6:$E$21,MATCH($G585,設定!$B$6:$B$21,0))),""))</f>
        <v/>
      </c>
      <c r="J585" s="83">
        <f>IFERROR(INDEX(打卡匯入!$C$3:$C$2002,MATCH($C585&amp;"|"&amp;DAY($A585),打卡匯入!$E$3:$E$2002,0)),"")</f>
        <v/>
      </c>
      <c r="K585" s="83">
        <f>IFERROR(INDEX(打卡匯入!$D$3:$D$2002,MATCH($C585&amp;"|"&amp;DAY($A585),打卡匯入!$E$3:$E$2002,0)),"")</f>
        <v/>
      </c>
      <c r="L585" s="84">
        <f>IF(OR($J585="",$K585=""),"",IFERROR(INDEX(設定!$F$6:$F$21,MATCH($G585,設定!$B$6:$B$21,0)),0))</f>
        <v/>
      </c>
      <c r="M585" s="85">
        <f>IF(OR($J585="",$K585=""),"",ROUND(($K585-$J585)*24-$L585/60,2))</f>
        <v/>
      </c>
      <c r="N585" s="16">
        <f>IF($C585="","",IF(AND(COUNTIF(設定!$B$15:$B$21,$G585)&gt;0,$J585&lt;&gt;""),"假日出勤",IF(AND(COUNTIF(設定!$B$6:$B$14,$G585)&gt;0,$J585=""),"未打卡",IF($J585="","",IF($O585&gt;0,"遲到",IF($P585&gt;0,"早退","正常"))))))</f>
        <v/>
      </c>
      <c r="O585" s="84">
        <f>IF(OR($C585="",$H585="",$J585=""),0,IF(ROUND(($J585-$H585)*1440,0)&gt;設定!$C$46,ROUND(($J585-$H585)*1440,0),0))</f>
        <v/>
      </c>
      <c r="P585" s="84">
        <f>IF(OR($C585="",$I585="",$K585=""),0,IF(ROUND(($I585-$K585)*1440,0)&gt;設定!$C$46,ROUND(($I585-$K585)*1440,0),0))</f>
        <v/>
      </c>
      <c r="Q585" s="85">
        <f>IF($M585="",0,IF(($M585-IFERROR(INDEX(設定!$G$6:$G$21,MATCH($G585,設定!$B$6:$B$21,0)),0))*60&gt;=設定!$C$44,ROUND(FLOOR(($M585-IFERROR(INDEX(設定!$G$6:$G$21,MATCH($G585,設定!$B$6:$B$21,0)),0))*60,設定!$C$45)/60,2),0))</f>
        <v/>
      </c>
      <c r="R585" s="16">
        <f>IF(OR($C585="",$Q585=0),"",IF($G585="國","國定假日",IF($B585="日","例假",IF($B585="六","休息日","平日"))))</f>
        <v/>
      </c>
      <c r="S585" s="19" t="n"/>
    </row>
    <row r="586">
      <c r="A586" s="82">
        <f>IF(OR(助理班表!$A23="",26&gt;DAY(EOMONTH(DATE(設定!$C$2,設定!$D$2,1),0))),"",DATE(設定!$C$2,設定!$D$2,26))</f>
        <v/>
      </c>
      <c r="B586" s="16">
        <f>IF($A586="","",INDEX(設定!$O$6:$O$12,WEEKDAY($A586,1)))</f>
        <v/>
      </c>
      <c r="C586" s="16">
        <f>IF($A586="","",助理班表!$A23)</f>
        <v/>
      </c>
      <c r="D586" s="16">
        <f>IF($C586="","",助理班表!$B23)</f>
        <v/>
      </c>
      <c r="E586" s="16">
        <f>IF($C586="","",助理班表!$D23)</f>
        <v/>
      </c>
      <c r="F586" s="16">
        <f>IF($C586="","",助理班表!$C23)</f>
        <v/>
      </c>
      <c r="G586" s="16">
        <f>IF($C586="","",助理班表!AD23)</f>
        <v/>
      </c>
      <c r="H586" s="83">
        <f>IF($G586="","",IFERROR(IF(INDEX(設定!$D$6:$D$21,MATCH($G586,設定!$B$6:$B$21,0))=0,"",INDEX(設定!$D$6:$D$21,MATCH($G586,設定!$B$6:$B$21,0))),""))</f>
        <v/>
      </c>
      <c r="I586" s="83">
        <f>IF($G586="","",IFERROR(IF(INDEX(設定!$E$6:$E$21,MATCH($G586,設定!$B$6:$B$21,0))=0,"",INDEX(設定!$E$6:$E$21,MATCH($G586,設定!$B$6:$B$21,0))),""))</f>
        <v/>
      </c>
      <c r="J586" s="83">
        <f>IFERROR(INDEX(打卡匯入!$C$3:$C$2002,MATCH($C586&amp;"|"&amp;DAY($A586),打卡匯入!$E$3:$E$2002,0)),"")</f>
        <v/>
      </c>
      <c r="K586" s="83">
        <f>IFERROR(INDEX(打卡匯入!$D$3:$D$2002,MATCH($C586&amp;"|"&amp;DAY($A586),打卡匯入!$E$3:$E$2002,0)),"")</f>
        <v/>
      </c>
      <c r="L586" s="84">
        <f>IF(OR($J586="",$K586=""),"",IFERROR(INDEX(設定!$F$6:$F$21,MATCH($G586,設定!$B$6:$B$21,0)),0))</f>
        <v/>
      </c>
      <c r="M586" s="85">
        <f>IF(OR($J586="",$K586=""),"",ROUND(($K586-$J586)*24-$L586/60,2))</f>
        <v/>
      </c>
      <c r="N586" s="16">
        <f>IF($C586="","",IF(AND(COUNTIF(設定!$B$15:$B$21,$G586)&gt;0,$J586&lt;&gt;""),"假日出勤",IF(AND(COUNTIF(設定!$B$6:$B$14,$G586)&gt;0,$J586=""),"未打卡",IF($J586="","",IF($O586&gt;0,"遲到",IF($P586&gt;0,"早退","正常"))))))</f>
        <v/>
      </c>
      <c r="O586" s="84">
        <f>IF(OR($C586="",$H586="",$J586=""),0,IF(ROUND(($J586-$H586)*1440,0)&gt;設定!$C$46,ROUND(($J586-$H586)*1440,0),0))</f>
        <v/>
      </c>
      <c r="P586" s="84">
        <f>IF(OR($C586="",$I586="",$K586=""),0,IF(ROUND(($I586-$K586)*1440,0)&gt;設定!$C$46,ROUND(($I586-$K586)*1440,0),0))</f>
        <v/>
      </c>
      <c r="Q586" s="85">
        <f>IF($M586="",0,IF(($M586-IFERROR(INDEX(設定!$G$6:$G$21,MATCH($G586,設定!$B$6:$B$21,0)),0))*60&gt;=設定!$C$44,ROUND(FLOOR(($M586-IFERROR(INDEX(設定!$G$6:$G$21,MATCH($G586,設定!$B$6:$B$21,0)),0))*60,設定!$C$45)/60,2),0))</f>
        <v/>
      </c>
      <c r="R586" s="16">
        <f>IF(OR($C586="",$Q586=0),"",IF($G586="國","國定假日",IF($B586="日","例假",IF($B586="六","休息日","平日"))))</f>
        <v/>
      </c>
      <c r="S586" s="19" t="n"/>
    </row>
    <row r="587">
      <c r="A587" s="82">
        <f>IF(OR(助理班表!$A23="",27&gt;DAY(EOMONTH(DATE(設定!$C$2,設定!$D$2,1),0))),"",DATE(設定!$C$2,設定!$D$2,27))</f>
        <v/>
      </c>
      <c r="B587" s="16">
        <f>IF($A587="","",INDEX(設定!$O$6:$O$12,WEEKDAY($A587,1)))</f>
        <v/>
      </c>
      <c r="C587" s="16">
        <f>IF($A587="","",助理班表!$A23)</f>
        <v/>
      </c>
      <c r="D587" s="16">
        <f>IF($C587="","",助理班表!$B23)</f>
        <v/>
      </c>
      <c r="E587" s="16">
        <f>IF($C587="","",助理班表!$D23)</f>
        <v/>
      </c>
      <c r="F587" s="16">
        <f>IF($C587="","",助理班表!$C23)</f>
        <v/>
      </c>
      <c r="G587" s="16">
        <f>IF($C587="","",助理班表!AE23)</f>
        <v/>
      </c>
      <c r="H587" s="83">
        <f>IF($G587="","",IFERROR(IF(INDEX(設定!$D$6:$D$21,MATCH($G587,設定!$B$6:$B$21,0))=0,"",INDEX(設定!$D$6:$D$21,MATCH($G587,設定!$B$6:$B$21,0))),""))</f>
        <v/>
      </c>
      <c r="I587" s="83">
        <f>IF($G587="","",IFERROR(IF(INDEX(設定!$E$6:$E$21,MATCH($G587,設定!$B$6:$B$21,0))=0,"",INDEX(設定!$E$6:$E$21,MATCH($G587,設定!$B$6:$B$21,0))),""))</f>
        <v/>
      </c>
      <c r="J587" s="83">
        <f>IFERROR(INDEX(打卡匯入!$C$3:$C$2002,MATCH($C587&amp;"|"&amp;DAY($A587),打卡匯入!$E$3:$E$2002,0)),"")</f>
        <v/>
      </c>
      <c r="K587" s="83">
        <f>IFERROR(INDEX(打卡匯入!$D$3:$D$2002,MATCH($C587&amp;"|"&amp;DAY($A587),打卡匯入!$E$3:$E$2002,0)),"")</f>
        <v/>
      </c>
      <c r="L587" s="84">
        <f>IF(OR($J587="",$K587=""),"",IFERROR(INDEX(設定!$F$6:$F$21,MATCH($G587,設定!$B$6:$B$21,0)),0))</f>
        <v/>
      </c>
      <c r="M587" s="85">
        <f>IF(OR($J587="",$K587=""),"",ROUND(($K587-$J587)*24-$L587/60,2))</f>
        <v/>
      </c>
      <c r="N587" s="16">
        <f>IF($C587="","",IF(AND(COUNTIF(設定!$B$15:$B$21,$G587)&gt;0,$J587&lt;&gt;""),"假日出勤",IF(AND(COUNTIF(設定!$B$6:$B$14,$G587)&gt;0,$J587=""),"未打卡",IF($J587="","",IF($O587&gt;0,"遲到",IF($P587&gt;0,"早退","正常"))))))</f>
        <v/>
      </c>
      <c r="O587" s="84">
        <f>IF(OR($C587="",$H587="",$J587=""),0,IF(ROUND(($J587-$H587)*1440,0)&gt;設定!$C$46,ROUND(($J587-$H587)*1440,0),0))</f>
        <v/>
      </c>
      <c r="P587" s="84">
        <f>IF(OR($C587="",$I587="",$K587=""),0,IF(ROUND(($I587-$K587)*1440,0)&gt;設定!$C$46,ROUND(($I587-$K587)*1440,0),0))</f>
        <v/>
      </c>
      <c r="Q587" s="85">
        <f>IF($M587="",0,IF(($M587-IFERROR(INDEX(設定!$G$6:$G$21,MATCH($G587,設定!$B$6:$B$21,0)),0))*60&gt;=設定!$C$44,ROUND(FLOOR(($M587-IFERROR(INDEX(設定!$G$6:$G$21,MATCH($G587,設定!$B$6:$B$21,0)),0))*60,設定!$C$45)/60,2),0))</f>
        <v/>
      </c>
      <c r="R587" s="16">
        <f>IF(OR($C587="",$Q587=0),"",IF($G587="國","國定假日",IF($B587="日","例假",IF($B587="六","休息日","平日"))))</f>
        <v/>
      </c>
      <c r="S587" s="19" t="n"/>
    </row>
    <row r="588">
      <c r="A588" s="82">
        <f>IF(OR(助理班表!$A23="",28&gt;DAY(EOMONTH(DATE(設定!$C$2,設定!$D$2,1),0))),"",DATE(設定!$C$2,設定!$D$2,28))</f>
        <v/>
      </c>
      <c r="B588" s="16">
        <f>IF($A588="","",INDEX(設定!$O$6:$O$12,WEEKDAY($A588,1)))</f>
        <v/>
      </c>
      <c r="C588" s="16">
        <f>IF($A588="","",助理班表!$A23)</f>
        <v/>
      </c>
      <c r="D588" s="16">
        <f>IF($C588="","",助理班表!$B23)</f>
        <v/>
      </c>
      <c r="E588" s="16">
        <f>IF($C588="","",助理班表!$D23)</f>
        <v/>
      </c>
      <c r="F588" s="16">
        <f>IF($C588="","",助理班表!$C23)</f>
        <v/>
      </c>
      <c r="G588" s="16">
        <f>IF($C588="","",助理班表!AF23)</f>
        <v/>
      </c>
      <c r="H588" s="83">
        <f>IF($G588="","",IFERROR(IF(INDEX(設定!$D$6:$D$21,MATCH($G588,設定!$B$6:$B$21,0))=0,"",INDEX(設定!$D$6:$D$21,MATCH($G588,設定!$B$6:$B$21,0))),""))</f>
        <v/>
      </c>
      <c r="I588" s="83">
        <f>IF($G588="","",IFERROR(IF(INDEX(設定!$E$6:$E$21,MATCH($G588,設定!$B$6:$B$21,0))=0,"",INDEX(設定!$E$6:$E$21,MATCH($G588,設定!$B$6:$B$21,0))),""))</f>
        <v/>
      </c>
      <c r="J588" s="83">
        <f>IFERROR(INDEX(打卡匯入!$C$3:$C$2002,MATCH($C588&amp;"|"&amp;DAY($A588),打卡匯入!$E$3:$E$2002,0)),"")</f>
        <v/>
      </c>
      <c r="K588" s="83">
        <f>IFERROR(INDEX(打卡匯入!$D$3:$D$2002,MATCH($C588&amp;"|"&amp;DAY($A588),打卡匯入!$E$3:$E$2002,0)),"")</f>
        <v/>
      </c>
      <c r="L588" s="84">
        <f>IF(OR($J588="",$K588=""),"",IFERROR(INDEX(設定!$F$6:$F$21,MATCH($G588,設定!$B$6:$B$21,0)),0))</f>
        <v/>
      </c>
      <c r="M588" s="85">
        <f>IF(OR($J588="",$K588=""),"",ROUND(($K588-$J588)*24-$L588/60,2))</f>
        <v/>
      </c>
      <c r="N588" s="16">
        <f>IF($C588="","",IF(AND(COUNTIF(設定!$B$15:$B$21,$G588)&gt;0,$J588&lt;&gt;""),"假日出勤",IF(AND(COUNTIF(設定!$B$6:$B$14,$G588)&gt;0,$J588=""),"未打卡",IF($J588="","",IF($O588&gt;0,"遲到",IF($P588&gt;0,"早退","正常"))))))</f>
        <v/>
      </c>
      <c r="O588" s="84">
        <f>IF(OR($C588="",$H588="",$J588=""),0,IF(ROUND(($J588-$H588)*1440,0)&gt;設定!$C$46,ROUND(($J588-$H588)*1440,0),0))</f>
        <v/>
      </c>
      <c r="P588" s="84">
        <f>IF(OR($C588="",$I588="",$K588=""),0,IF(ROUND(($I588-$K588)*1440,0)&gt;設定!$C$46,ROUND(($I588-$K588)*1440,0),0))</f>
        <v/>
      </c>
      <c r="Q588" s="85">
        <f>IF($M588="",0,IF(($M588-IFERROR(INDEX(設定!$G$6:$G$21,MATCH($G588,設定!$B$6:$B$21,0)),0))*60&gt;=設定!$C$44,ROUND(FLOOR(($M588-IFERROR(INDEX(設定!$G$6:$G$21,MATCH($G588,設定!$B$6:$B$21,0)),0))*60,設定!$C$45)/60,2),0))</f>
        <v/>
      </c>
      <c r="R588" s="16">
        <f>IF(OR($C588="",$Q588=0),"",IF($G588="國","國定假日",IF($B588="日","例假",IF($B588="六","休息日","平日"))))</f>
        <v/>
      </c>
      <c r="S588" s="19" t="n"/>
    </row>
    <row r="589">
      <c r="A589" s="82">
        <f>IF(OR(助理班表!$A23="",29&gt;DAY(EOMONTH(DATE(設定!$C$2,設定!$D$2,1),0))),"",DATE(設定!$C$2,設定!$D$2,29))</f>
        <v/>
      </c>
      <c r="B589" s="16">
        <f>IF($A589="","",INDEX(設定!$O$6:$O$12,WEEKDAY($A589,1)))</f>
        <v/>
      </c>
      <c r="C589" s="16">
        <f>IF($A589="","",助理班表!$A23)</f>
        <v/>
      </c>
      <c r="D589" s="16">
        <f>IF($C589="","",助理班表!$B23)</f>
        <v/>
      </c>
      <c r="E589" s="16">
        <f>IF($C589="","",助理班表!$D23)</f>
        <v/>
      </c>
      <c r="F589" s="16">
        <f>IF($C589="","",助理班表!$C23)</f>
        <v/>
      </c>
      <c r="G589" s="16">
        <f>IF($C589="","",助理班表!AG23)</f>
        <v/>
      </c>
      <c r="H589" s="83">
        <f>IF($G589="","",IFERROR(IF(INDEX(設定!$D$6:$D$21,MATCH($G589,設定!$B$6:$B$21,0))=0,"",INDEX(設定!$D$6:$D$21,MATCH($G589,設定!$B$6:$B$21,0))),""))</f>
        <v/>
      </c>
      <c r="I589" s="83">
        <f>IF($G589="","",IFERROR(IF(INDEX(設定!$E$6:$E$21,MATCH($G589,設定!$B$6:$B$21,0))=0,"",INDEX(設定!$E$6:$E$21,MATCH($G589,設定!$B$6:$B$21,0))),""))</f>
        <v/>
      </c>
      <c r="J589" s="83">
        <f>IFERROR(INDEX(打卡匯入!$C$3:$C$2002,MATCH($C589&amp;"|"&amp;DAY($A589),打卡匯入!$E$3:$E$2002,0)),"")</f>
        <v/>
      </c>
      <c r="K589" s="83">
        <f>IFERROR(INDEX(打卡匯入!$D$3:$D$2002,MATCH($C589&amp;"|"&amp;DAY($A589),打卡匯入!$E$3:$E$2002,0)),"")</f>
        <v/>
      </c>
      <c r="L589" s="84">
        <f>IF(OR($J589="",$K589=""),"",IFERROR(INDEX(設定!$F$6:$F$21,MATCH($G589,設定!$B$6:$B$21,0)),0))</f>
        <v/>
      </c>
      <c r="M589" s="85">
        <f>IF(OR($J589="",$K589=""),"",ROUND(($K589-$J589)*24-$L589/60,2))</f>
        <v/>
      </c>
      <c r="N589" s="16">
        <f>IF($C589="","",IF(AND(COUNTIF(設定!$B$15:$B$21,$G589)&gt;0,$J589&lt;&gt;""),"假日出勤",IF(AND(COUNTIF(設定!$B$6:$B$14,$G589)&gt;0,$J589=""),"未打卡",IF($J589="","",IF($O589&gt;0,"遲到",IF($P589&gt;0,"早退","正常"))))))</f>
        <v/>
      </c>
      <c r="O589" s="84">
        <f>IF(OR($C589="",$H589="",$J589=""),0,IF(ROUND(($J589-$H589)*1440,0)&gt;設定!$C$46,ROUND(($J589-$H589)*1440,0),0))</f>
        <v/>
      </c>
      <c r="P589" s="84">
        <f>IF(OR($C589="",$I589="",$K589=""),0,IF(ROUND(($I589-$K589)*1440,0)&gt;設定!$C$46,ROUND(($I589-$K589)*1440,0),0))</f>
        <v/>
      </c>
      <c r="Q589" s="85">
        <f>IF($M589="",0,IF(($M589-IFERROR(INDEX(設定!$G$6:$G$21,MATCH($G589,設定!$B$6:$B$21,0)),0))*60&gt;=設定!$C$44,ROUND(FLOOR(($M589-IFERROR(INDEX(設定!$G$6:$G$21,MATCH($G589,設定!$B$6:$B$21,0)),0))*60,設定!$C$45)/60,2),0))</f>
        <v/>
      </c>
      <c r="R589" s="16">
        <f>IF(OR($C589="",$Q589=0),"",IF($G589="國","國定假日",IF($B589="日","例假",IF($B589="六","休息日","平日"))))</f>
        <v/>
      </c>
      <c r="S589" s="19" t="n"/>
    </row>
    <row r="590">
      <c r="A590" s="82">
        <f>IF(OR(助理班表!$A23="",30&gt;DAY(EOMONTH(DATE(設定!$C$2,設定!$D$2,1),0))),"",DATE(設定!$C$2,設定!$D$2,30))</f>
        <v/>
      </c>
      <c r="B590" s="16">
        <f>IF($A590="","",INDEX(設定!$O$6:$O$12,WEEKDAY($A590,1)))</f>
        <v/>
      </c>
      <c r="C590" s="16">
        <f>IF($A590="","",助理班表!$A23)</f>
        <v/>
      </c>
      <c r="D590" s="16">
        <f>IF($C590="","",助理班表!$B23)</f>
        <v/>
      </c>
      <c r="E590" s="16">
        <f>IF($C590="","",助理班表!$D23)</f>
        <v/>
      </c>
      <c r="F590" s="16">
        <f>IF($C590="","",助理班表!$C23)</f>
        <v/>
      </c>
      <c r="G590" s="16">
        <f>IF($C590="","",助理班表!AH23)</f>
        <v/>
      </c>
      <c r="H590" s="83">
        <f>IF($G590="","",IFERROR(IF(INDEX(設定!$D$6:$D$21,MATCH($G590,設定!$B$6:$B$21,0))=0,"",INDEX(設定!$D$6:$D$21,MATCH($G590,設定!$B$6:$B$21,0))),""))</f>
        <v/>
      </c>
      <c r="I590" s="83">
        <f>IF($G590="","",IFERROR(IF(INDEX(設定!$E$6:$E$21,MATCH($G590,設定!$B$6:$B$21,0))=0,"",INDEX(設定!$E$6:$E$21,MATCH($G590,設定!$B$6:$B$21,0))),""))</f>
        <v/>
      </c>
      <c r="J590" s="83">
        <f>IFERROR(INDEX(打卡匯入!$C$3:$C$2002,MATCH($C590&amp;"|"&amp;DAY($A590),打卡匯入!$E$3:$E$2002,0)),"")</f>
        <v/>
      </c>
      <c r="K590" s="83">
        <f>IFERROR(INDEX(打卡匯入!$D$3:$D$2002,MATCH($C590&amp;"|"&amp;DAY($A590),打卡匯入!$E$3:$E$2002,0)),"")</f>
        <v/>
      </c>
      <c r="L590" s="84">
        <f>IF(OR($J590="",$K590=""),"",IFERROR(INDEX(設定!$F$6:$F$21,MATCH($G590,設定!$B$6:$B$21,0)),0))</f>
        <v/>
      </c>
      <c r="M590" s="85">
        <f>IF(OR($J590="",$K590=""),"",ROUND(($K590-$J590)*24-$L590/60,2))</f>
        <v/>
      </c>
      <c r="N590" s="16">
        <f>IF($C590="","",IF(AND(COUNTIF(設定!$B$15:$B$21,$G590)&gt;0,$J590&lt;&gt;""),"假日出勤",IF(AND(COUNTIF(設定!$B$6:$B$14,$G590)&gt;0,$J590=""),"未打卡",IF($J590="","",IF($O590&gt;0,"遲到",IF($P590&gt;0,"早退","正常"))))))</f>
        <v/>
      </c>
      <c r="O590" s="84">
        <f>IF(OR($C590="",$H590="",$J590=""),0,IF(ROUND(($J590-$H590)*1440,0)&gt;設定!$C$46,ROUND(($J590-$H590)*1440,0),0))</f>
        <v/>
      </c>
      <c r="P590" s="84">
        <f>IF(OR($C590="",$I590="",$K590=""),0,IF(ROUND(($I590-$K590)*1440,0)&gt;設定!$C$46,ROUND(($I590-$K590)*1440,0),0))</f>
        <v/>
      </c>
      <c r="Q590" s="85">
        <f>IF($M590="",0,IF(($M590-IFERROR(INDEX(設定!$G$6:$G$21,MATCH($G590,設定!$B$6:$B$21,0)),0))*60&gt;=設定!$C$44,ROUND(FLOOR(($M590-IFERROR(INDEX(設定!$G$6:$G$21,MATCH($G590,設定!$B$6:$B$21,0)),0))*60,設定!$C$45)/60,2),0))</f>
        <v/>
      </c>
      <c r="R590" s="16">
        <f>IF(OR($C590="",$Q590=0),"",IF($G590="國","國定假日",IF($B590="日","例假",IF($B590="六","休息日","平日"))))</f>
        <v/>
      </c>
      <c r="S590" s="19" t="n"/>
    </row>
    <row r="591">
      <c r="A591" s="82">
        <f>IF(OR(助理班表!$A23="",31&gt;DAY(EOMONTH(DATE(設定!$C$2,設定!$D$2,1),0))),"",DATE(設定!$C$2,設定!$D$2,31))</f>
        <v/>
      </c>
      <c r="B591" s="16">
        <f>IF($A591="","",INDEX(設定!$O$6:$O$12,WEEKDAY($A591,1)))</f>
        <v/>
      </c>
      <c r="C591" s="16">
        <f>IF($A591="","",助理班表!$A23)</f>
        <v/>
      </c>
      <c r="D591" s="16">
        <f>IF($C591="","",助理班表!$B23)</f>
        <v/>
      </c>
      <c r="E591" s="16">
        <f>IF($C591="","",助理班表!$D23)</f>
        <v/>
      </c>
      <c r="F591" s="16">
        <f>IF($C591="","",助理班表!$C23)</f>
        <v/>
      </c>
      <c r="G591" s="16">
        <f>IF($C591="","",助理班表!AI23)</f>
        <v/>
      </c>
      <c r="H591" s="83">
        <f>IF($G591="","",IFERROR(IF(INDEX(設定!$D$6:$D$21,MATCH($G591,設定!$B$6:$B$21,0))=0,"",INDEX(設定!$D$6:$D$21,MATCH($G591,設定!$B$6:$B$21,0))),""))</f>
        <v/>
      </c>
      <c r="I591" s="83">
        <f>IF($G591="","",IFERROR(IF(INDEX(設定!$E$6:$E$21,MATCH($G591,設定!$B$6:$B$21,0))=0,"",INDEX(設定!$E$6:$E$21,MATCH($G591,設定!$B$6:$B$21,0))),""))</f>
        <v/>
      </c>
      <c r="J591" s="83">
        <f>IFERROR(INDEX(打卡匯入!$C$3:$C$2002,MATCH($C591&amp;"|"&amp;DAY($A591),打卡匯入!$E$3:$E$2002,0)),"")</f>
        <v/>
      </c>
      <c r="K591" s="83">
        <f>IFERROR(INDEX(打卡匯入!$D$3:$D$2002,MATCH($C591&amp;"|"&amp;DAY($A591),打卡匯入!$E$3:$E$2002,0)),"")</f>
        <v/>
      </c>
      <c r="L591" s="84">
        <f>IF(OR($J591="",$K591=""),"",IFERROR(INDEX(設定!$F$6:$F$21,MATCH($G591,設定!$B$6:$B$21,0)),0))</f>
        <v/>
      </c>
      <c r="M591" s="85">
        <f>IF(OR($J591="",$K591=""),"",ROUND(($K591-$J591)*24-$L591/60,2))</f>
        <v/>
      </c>
      <c r="N591" s="16">
        <f>IF($C591="","",IF(AND(COUNTIF(設定!$B$15:$B$21,$G591)&gt;0,$J591&lt;&gt;""),"假日出勤",IF(AND(COUNTIF(設定!$B$6:$B$14,$G591)&gt;0,$J591=""),"未打卡",IF($J591="","",IF($O591&gt;0,"遲到",IF($P591&gt;0,"早退","正常"))))))</f>
        <v/>
      </c>
      <c r="O591" s="84">
        <f>IF(OR($C591="",$H591="",$J591=""),0,IF(ROUND(($J591-$H591)*1440,0)&gt;設定!$C$46,ROUND(($J591-$H591)*1440,0),0))</f>
        <v/>
      </c>
      <c r="P591" s="84">
        <f>IF(OR($C591="",$I591="",$K591=""),0,IF(ROUND(($I591-$K591)*1440,0)&gt;設定!$C$46,ROUND(($I591-$K591)*1440,0),0))</f>
        <v/>
      </c>
      <c r="Q591" s="85">
        <f>IF($M591="",0,IF(($M591-IFERROR(INDEX(設定!$G$6:$G$21,MATCH($G591,設定!$B$6:$B$21,0)),0))*60&gt;=設定!$C$44,ROUND(FLOOR(($M591-IFERROR(INDEX(設定!$G$6:$G$21,MATCH($G591,設定!$B$6:$B$21,0)),0))*60,設定!$C$45)/60,2),0))</f>
        <v/>
      </c>
      <c r="R591" s="16">
        <f>IF(OR($C591="",$Q591=0),"",IF($G591="國","國定假日",IF($B591="日","例假",IF($B591="六","休息日","平日"))))</f>
        <v/>
      </c>
      <c r="S591" s="19" t="n"/>
    </row>
    <row r="592">
      <c r="A592" s="82">
        <f>IF(OR(助理班表!$A24="",1&gt;DAY(EOMONTH(DATE(設定!$C$2,設定!$D$2,1),0))),"",DATE(設定!$C$2,設定!$D$2,1))</f>
        <v/>
      </c>
      <c r="B592" s="16">
        <f>IF($A592="","",INDEX(設定!$O$6:$O$12,WEEKDAY($A592,1)))</f>
        <v/>
      </c>
      <c r="C592" s="16">
        <f>IF($A592="","",助理班表!$A24)</f>
        <v/>
      </c>
      <c r="D592" s="16">
        <f>IF($C592="","",助理班表!$B24)</f>
        <v/>
      </c>
      <c r="E592" s="16">
        <f>IF($C592="","",助理班表!$D24)</f>
        <v/>
      </c>
      <c r="F592" s="16">
        <f>IF($C592="","",助理班表!$C24)</f>
        <v/>
      </c>
      <c r="G592" s="16">
        <f>IF($C592="","",助理班表!E24)</f>
        <v/>
      </c>
      <c r="H592" s="83">
        <f>IF($G592="","",IFERROR(IF(INDEX(設定!$D$6:$D$21,MATCH($G592,設定!$B$6:$B$21,0))=0,"",INDEX(設定!$D$6:$D$21,MATCH($G592,設定!$B$6:$B$21,0))),""))</f>
        <v/>
      </c>
      <c r="I592" s="83">
        <f>IF($G592="","",IFERROR(IF(INDEX(設定!$E$6:$E$21,MATCH($G592,設定!$B$6:$B$21,0))=0,"",INDEX(設定!$E$6:$E$21,MATCH($G592,設定!$B$6:$B$21,0))),""))</f>
        <v/>
      </c>
      <c r="J592" s="83">
        <f>IFERROR(INDEX(打卡匯入!$C$3:$C$2002,MATCH($C592&amp;"|"&amp;DAY($A592),打卡匯入!$E$3:$E$2002,0)),"")</f>
        <v/>
      </c>
      <c r="K592" s="83">
        <f>IFERROR(INDEX(打卡匯入!$D$3:$D$2002,MATCH($C592&amp;"|"&amp;DAY($A592),打卡匯入!$E$3:$E$2002,0)),"")</f>
        <v/>
      </c>
      <c r="L592" s="84">
        <f>IF(OR($J592="",$K592=""),"",IFERROR(INDEX(設定!$F$6:$F$21,MATCH($G592,設定!$B$6:$B$21,0)),0))</f>
        <v/>
      </c>
      <c r="M592" s="85">
        <f>IF(OR($J592="",$K592=""),"",ROUND(($K592-$J592)*24-$L592/60,2))</f>
        <v/>
      </c>
      <c r="N592" s="16">
        <f>IF($C592="","",IF(AND(COUNTIF(設定!$B$15:$B$21,$G592)&gt;0,$J592&lt;&gt;""),"假日出勤",IF(AND(COUNTIF(設定!$B$6:$B$14,$G592)&gt;0,$J592=""),"未打卡",IF($J592="","",IF($O592&gt;0,"遲到",IF($P592&gt;0,"早退","正常"))))))</f>
        <v/>
      </c>
      <c r="O592" s="84">
        <f>IF(OR($C592="",$H592="",$J592=""),0,IF(ROUND(($J592-$H592)*1440,0)&gt;設定!$C$46,ROUND(($J592-$H592)*1440,0),0))</f>
        <v/>
      </c>
      <c r="P592" s="84">
        <f>IF(OR($C592="",$I592="",$K592=""),0,IF(ROUND(($I592-$K592)*1440,0)&gt;設定!$C$46,ROUND(($I592-$K592)*1440,0),0))</f>
        <v/>
      </c>
      <c r="Q592" s="85">
        <f>IF($M592="",0,IF(($M592-IFERROR(INDEX(設定!$G$6:$G$21,MATCH($G592,設定!$B$6:$B$21,0)),0))*60&gt;=設定!$C$44,ROUND(FLOOR(($M592-IFERROR(INDEX(設定!$G$6:$G$21,MATCH($G592,設定!$B$6:$B$21,0)),0))*60,設定!$C$45)/60,2),0))</f>
        <v/>
      </c>
      <c r="R592" s="16">
        <f>IF(OR($C592="",$Q592=0),"",IF($G592="國","國定假日",IF($B592="日","例假",IF($B592="六","休息日","平日"))))</f>
        <v/>
      </c>
      <c r="S592" s="19" t="n"/>
    </row>
    <row r="593">
      <c r="A593" s="82">
        <f>IF(OR(助理班表!$A24="",2&gt;DAY(EOMONTH(DATE(設定!$C$2,設定!$D$2,1),0))),"",DATE(設定!$C$2,設定!$D$2,2))</f>
        <v/>
      </c>
      <c r="B593" s="16">
        <f>IF($A593="","",INDEX(設定!$O$6:$O$12,WEEKDAY($A593,1)))</f>
        <v/>
      </c>
      <c r="C593" s="16">
        <f>IF($A593="","",助理班表!$A24)</f>
        <v/>
      </c>
      <c r="D593" s="16">
        <f>IF($C593="","",助理班表!$B24)</f>
        <v/>
      </c>
      <c r="E593" s="16">
        <f>IF($C593="","",助理班表!$D24)</f>
        <v/>
      </c>
      <c r="F593" s="16">
        <f>IF($C593="","",助理班表!$C24)</f>
        <v/>
      </c>
      <c r="G593" s="16">
        <f>IF($C593="","",助理班表!F24)</f>
        <v/>
      </c>
      <c r="H593" s="83">
        <f>IF($G593="","",IFERROR(IF(INDEX(設定!$D$6:$D$21,MATCH($G593,設定!$B$6:$B$21,0))=0,"",INDEX(設定!$D$6:$D$21,MATCH($G593,設定!$B$6:$B$21,0))),""))</f>
        <v/>
      </c>
      <c r="I593" s="83">
        <f>IF($G593="","",IFERROR(IF(INDEX(設定!$E$6:$E$21,MATCH($G593,設定!$B$6:$B$21,0))=0,"",INDEX(設定!$E$6:$E$21,MATCH($G593,設定!$B$6:$B$21,0))),""))</f>
        <v/>
      </c>
      <c r="J593" s="83">
        <f>IFERROR(INDEX(打卡匯入!$C$3:$C$2002,MATCH($C593&amp;"|"&amp;DAY($A593),打卡匯入!$E$3:$E$2002,0)),"")</f>
        <v/>
      </c>
      <c r="K593" s="83">
        <f>IFERROR(INDEX(打卡匯入!$D$3:$D$2002,MATCH($C593&amp;"|"&amp;DAY($A593),打卡匯入!$E$3:$E$2002,0)),"")</f>
        <v/>
      </c>
      <c r="L593" s="84">
        <f>IF(OR($J593="",$K593=""),"",IFERROR(INDEX(設定!$F$6:$F$21,MATCH($G593,設定!$B$6:$B$21,0)),0))</f>
        <v/>
      </c>
      <c r="M593" s="85">
        <f>IF(OR($J593="",$K593=""),"",ROUND(($K593-$J593)*24-$L593/60,2))</f>
        <v/>
      </c>
      <c r="N593" s="16">
        <f>IF($C593="","",IF(AND(COUNTIF(設定!$B$15:$B$21,$G593)&gt;0,$J593&lt;&gt;""),"假日出勤",IF(AND(COUNTIF(設定!$B$6:$B$14,$G593)&gt;0,$J593=""),"未打卡",IF($J593="","",IF($O593&gt;0,"遲到",IF($P593&gt;0,"早退","正常"))))))</f>
        <v/>
      </c>
      <c r="O593" s="84">
        <f>IF(OR($C593="",$H593="",$J593=""),0,IF(ROUND(($J593-$H593)*1440,0)&gt;設定!$C$46,ROUND(($J593-$H593)*1440,0),0))</f>
        <v/>
      </c>
      <c r="P593" s="84">
        <f>IF(OR($C593="",$I593="",$K593=""),0,IF(ROUND(($I593-$K593)*1440,0)&gt;設定!$C$46,ROUND(($I593-$K593)*1440,0),0))</f>
        <v/>
      </c>
      <c r="Q593" s="85">
        <f>IF($M593="",0,IF(($M593-IFERROR(INDEX(設定!$G$6:$G$21,MATCH($G593,設定!$B$6:$B$21,0)),0))*60&gt;=設定!$C$44,ROUND(FLOOR(($M593-IFERROR(INDEX(設定!$G$6:$G$21,MATCH($G593,設定!$B$6:$B$21,0)),0))*60,設定!$C$45)/60,2),0))</f>
        <v/>
      </c>
      <c r="R593" s="16">
        <f>IF(OR($C593="",$Q593=0),"",IF($G593="國","國定假日",IF($B593="日","例假",IF($B593="六","休息日","平日"))))</f>
        <v/>
      </c>
      <c r="S593" s="19" t="n"/>
    </row>
    <row r="594">
      <c r="A594" s="82">
        <f>IF(OR(助理班表!$A24="",3&gt;DAY(EOMONTH(DATE(設定!$C$2,設定!$D$2,1),0))),"",DATE(設定!$C$2,設定!$D$2,3))</f>
        <v/>
      </c>
      <c r="B594" s="16">
        <f>IF($A594="","",INDEX(設定!$O$6:$O$12,WEEKDAY($A594,1)))</f>
        <v/>
      </c>
      <c r="C594" s="16">
        <f>IF($A594="","",助理班表!$A24)</f>
        <v/>
      </c>
      <c r="D594" s="16">
        <f>IF($C594="","",助理班表!$B24)</f>
        <v/>
      </c>
      <c r="E594" s="16">
        <f>IF($C594="","",助理班表!$D24)</f>
        <v/>
      </c>
      <c r="F594" s="16">
        <f>IF($C594="","",助理班表!$C24)</f>
        <v/>
      </c>
      <c r="G594" s="16">
        <f>IF($C594="","",助理班表!G24)</f>
        <v/>
      </c>
      <c r="H594" s="83">
        <f>IF($G594="","",IFERROR(IF(INDEX(設定!$D$6:$D$21,MATCH($G594,設定!$B$6:$B$21,0))=0,"",INDEX(設定!$D$6:$D$21,MATCH($G594,設定!$B$6:$B$21,0))),""))</f>
        <v/>
      </c>
      <c r="I594" s="83">
        <f>IF($G594="","",IFERROR(IF(INDEX(設定!$E$6:$E$21,MATCH($G594,設定!$B$6:$B$21,0))=0,"",INDEX(設定!$E$6:$E$21,MATCH($G594,設定!$B$6:$B$21,0))),""))</f>
        <v/>
      </c>
      <c r="J594" s="83">
        <f>IFERROR(INDEX(打卡匯入!$C$3:$C$2002,MATCH($C594&amp;"|"&amp;DAY($A594),打卡匯入!$E$3:$E$2002,0)),"")</f>
        <v/>
      </c>
      <c r="K594" s="83">
        <f>IFERROR(INDEX(打卡匯入!$D$3:$D$2002,MATCH($C594&amp;"|"&amp;DAY($A594),打卡匯入!$E$3:$E$2002,0)),"")</f>
        <v/>
      </c>
      <c r="L594" s="84">
        <f>IF(OR($J594="",$K594=""),"",IFERROR(INDEX(設定!$F$6:$F$21,MATCH($G594,設定!$B$6:$B$21,0)),0))</f>
        <v/>
      </c>
      <c r="M594" s="85">
        <f>IF(OR($J594="",$K594=""),"",ROUND(($K594-$J594)*24-$L594/60,2))</f>
        <v/>
      </c>
      <c r="N594" s="16">
        <f>IF($C594="","",IF(AND(COUNTIF(設定!$B$15:$B$21,$G594)&gt;0,$J594&lt;&gt;""),"假日出勤",IF(AND(COUNTIF(設定!$B$6:$B$14,$G594)&gt;0,$J594=""),"未打卡",IF($J594="","",IF($O594&gt;0,"遲到",IF($P594&gt;0,"早退","正常"))))))</f>
        <v/>
      </c>
      <c r="O594" s="84">
        <f>IF(OR($C594="",$H594="",$J594=""),0,IF(ROUND(($J594-$H594)*1440,0)&gt;設定!$C$46,ROUND(($J594-$H594)*1440,0),0))</f>
        <v/>
      </c>
      <c r="P594" s="84">
        <f>IF(OR($C594="",$I594="",$K594=""),0,IF(ROUND(($I594-$K594)*1440,0)&gt;設定!$C$46,ROUND(($I594-$K594)*1440,0),0))</f>
        <v/>
      </c>
      <c r="Q594" s="85">
        <f>IF($M594="",0,IF(($M594-IFERROR(INDEX(設定!$G$6:$G$21,MATCH($G594,設定!$B$6:$B$21,0)),0))*60&gt;=設定!$C$44,ROUND(FLOOR(($M594-IFERROR(INDEX(設定!$G$6:$G$21,MATCH($G594,設定!$B$6:$B$21,0)),0))*60,設定!$C$45)/60,2),0))</f>
        <v/>
      </c>
      <c r="R594" s="16">
        <f>IF(OR($C594="",$Q594=0),"",IF($G594="國","國定假日",IF($B594="日","例假",IF($B594="六","休息日","平日"))))</f>
        <v/>
      </c>
      <c r="S594" s="19" t="n"/>
    </row>
    <row r="595">
      <c r="A595" s="82">
        <f>IF(OR(助理班表!$A24="",4&gt;DAY(EOMONTH(DATE(設定!$C$2,設定!$D$2,1),0))),"",DATE(設定!$C$2,設定!$D$2,4))</f>
        <v/>
      </c>
      <c r="B595" s="16">
        <f>IF($A595="","",INDEX(設定!$O$6:$O$12,WEEKDAY($A595,1)))</f>
        <v/>
      </c>
      <c r="C595" s="16">
        <f>IF($A595="","",助理班表!$A24)</f>
        <v/>
      </c>
      <c r="D595" s="16">
        <f>IF($C595="","",助理班表!$B24)</f>
        <v/>
      </c>
      <c r="E595" s="16">
        <f>IF($C595="","",助理班表!$D24)</f>
        <v/>
      </c>
      <c r="F595" s="16">
        <f>IF($C595="","",助理班表!$C24)</f>
        <v/>
      </c>
      <c r="G595" s="16">
        <f>IF($C595="","",助理班表!H24)</f>
        <v/>
      </c>
      <c r="H595" s="83">
        <f>IF($G595="","",IFERROR(IF(INDEX(設定!$D$6:$D$21,MATCH($G595,設定!$B$6:$B$21,0))=0,"",INDEX(設定!$D$6:$D$21,MATCH($G595,設定!$B$6:$B$21,0))),""))</f>
        <v/>
      </c>
      <c r="I595" s="83">
        <f>IF($G595="","",IFERROR(IF(INDEX(設定!$E$6:$E$21,MATCH($G595,設定!$B$6:$B$21,0))=0,"",INDEX(設定!$E$6:$E$21,MATCH($G595,設定!$B$6:$B$21,0))),""))</f>
        <v/>
      </c>
      <c r="J595" s="83">
        <f>IFERROR(INDEX(打卡匯入!$C$3:$C$2002,MATCH($C595&amp;"|"&amp;DAY($A595),打卡匯入!$E$3:$E$2002,0)),"")</f>
        <v/>
      </c>
      <c r="K595" s="83">
        <f>IFERROR(INDEX(打卡匯入!$D$3:$D$2002,MATCH($C595&amp;"|"&amp;DAY($A595),打卡匯入!$E$3:$E$2002,0)),"")</f>
        <v/>
      </c>
      <c r="L595" s="84">
        <f>IF(OR($J595="",$K595=""),"",IFERROR(INDEX(設定!$F$6:$F$21,MATCH($G595,設定!$B$6:$B$21,0)),0))</f>
        <v/>
      </c>
      <c r="M595" s="85">
        <f>IF(OR($J595="",$K595=""),"",ROUND(($K595-$J595)*24-$L595/60,2))</f>
        <v/>
      </c>
      <c r="N595" s="16">
        <f>IF($C595="","",IF(AND(COUNTIF(設定!$B$15:$B$21,$G595)&gt;0,$J595&lt;&gt;""),"假日出勤",IF(AND(COUNTIF(設定!$B$6:$B$14,$G595)&gt;0,$J595=""),"未打卡",IF($J595="","",IF($O595&gt;0,"遲到",IF($P595&gt;0,"早退","正常"))))))</f>
        <v/>
      </c>
      <c r="O595" s="84">
        <f>IF(OR($C595="",$H595="",$J595=""),0,IF(ROUND(($J595-$H595)*1440,0)&gt;設定!$C$46,ROUND(($J595-$H595)*1440,0),0))</f>
        <v/>
      </c>
      <c r="P595" s="84">
        <f>IF(OR($C595="",$I595="",$K595=""),0,IF(ROUND(($I595-$K595)*1440,0)&gt;設定!$C$46,ROUND(($I595-$K595)*1440,0),0))</f>
        <v/>
      </c>
      <c r="Q595" s="85">
        <f>IF($M595="",0,IF(($M595-IFERROR(INDEX(設定!$G$6:$G$21,MATCH($G595,設定!$B$6:$B$21,0)),0))*60&gt;=設定!$C$44,ROUND(FLOOR(($M595-IFERROR(INDEX(設定!$G$6:$G$21,MATCH($G595,設定!$B$6:$B$21,0)),0))*60,設定!$C$45)/60,2),0))</f>
        <v/>
      </c>
      <c r="R595" s="16">
        <f>IF(OR($C595="",$Q595=0),"",IF($G595="國","國定假日",IF($B595="日","例假",IF($B595="六","休息日","平日"))))</f>
        <v/>
      </c>
      <c r="S595" s="19" t="n"/>
    </row>
    <row r="596">
      <c r="A596" s="82">
        <f>IF(OR(助理班表!$A24="",5&gt;DAY(EOMONTH(DATE(設定!$C$2,設定!$D$2,1),0))),"",DATE(設定!$C$2,設定!$D$2,5))</f>
        <v/>
      </c>
      <c r="B596" s="16">
        <f>IF($A596="","",INDEX(設定!$O$6:$O$12,WEEKDAY($A596,1)))</f>
        <v/>
      </c>
      <c r="C596" s="16">
        <f>IF($A596="","",助理班表!$A24)</f>
        <v/>
      </c>
      <c r="D596" s="16">
        <f>IF($C596="","",助理班表!$B24)</f>
        <v/>
      </c>
      <c r="E596" s="16">
        <f>IF($C596="","",助理班表!$D24)</f>
        <v/>
      </c>
      <c r="F596" s="16">
        <f>IF($C596="","",助理班表!$C24)</f>
        <v/>
      </c>
      <c r="G596" s="16">
        <f>IF($C596="","",助理班表!I24)</f>
        <v/>
      </c>
      <c r="H596" s="83">
        <f>IF($G596="","",IFERROR(IF(INDEX(設定!$D$6:$D$21,MATCH($G596,設定!$B$6:$B$21,0))=0,"",INDEX(設定!$D$6:$D$21,MATCH($G596,設定!$B$6:$B$21,0))),""))</f>
        <v/>
      </c>
      <c r="I596" s="83">
        <f>IF($G596="","",IFERROR(IF(INDEX(設定!$E$6:$E$21,MATCH($G596,設定!$B$6:$B$21,0))=0,"",INDEX(設定!$E$6:$E$21,MATCH($G596,設定!$B$6:$B$21,0))),""))</f>
        <v/>
      </c>
      <c r="J596" s="83">
        <f>IFERROR(INDEX(打卡匯入!$C$3:$C$2002,MATCH($C596&amp;"|"&amp;DAY($A596),打卡匯入!$E$3:$E$2002,0)),"")</f>
        <v/>
      </c>
      <c r="K596" s="83">
        <f>IFERROR(INDEX(打卡匯入!$D$3:$D$2002,MATCH($C596&amp;"|"&amp;DAY($A596),打卡匯入!$E$3:$E$2002,0)),"")</f>
        <v/>
      </c>
      <c r="L596" s="84">
        <f>IF(OR($J596="",$K596=""),"",IFERROR(INDEX(設定!$F$6:$F$21,MATCH($G596,設定!$B$6:$B$21,0)),0))</f>
        <v/>
      </c>
      <c r="M596" s="85">
        <f>IF(OR($J596="",$K596=""),"",ROUND(($K596-$J596)*24-$L596/60,2))</f>
        <v/>
      </c>
      <c r="N596" s="16">
        <f>IF($C596="","",IF(AND(COUNTIF(設定!$B$15:$B$21,$G596)&gt;0,$J596&lt;&gt;""),"假日出勤",IF(AND(COUNTIF(設定!$B$6:$B$14,$G596)&gt;0,$J596=""),"未打卡",IF($J596="","",IF($O596&gt;0,"遲到",IF($P596&gt;0,"早退","正常"))))))</f>
        <v/>
      </c>
      <c r="O596" s="84">
        <f>IF(OR($C596="",$H596="",$J596=""),0,IF(ROUND(($J596-$H596)*1440,0)&gt;設定!$C$46,ROUND(($J596-$H596)*1440,0),0))</f>
        <v/>
      </c>
      <c r="P596" s="84">
        <f>IF(OR($C596="",$I596="",$K596=""),0,IF(ROUND(($I596-$K596)*1440,0)&gt;設定!$C$46,ROUND(($I596-$K596)*1440,0),0))</f>
        <v/>
      </c>
      <c r="Q596" s="85">
        <f>IF($M596="",0,IF(($M596-IFERROR(INDEX(設定!$G$6:$G$21,MATCH($G596,設定!$B$6:$B$21,0)),0))*60&gt;=設定!$C$44,ROUND(FLOOR(($M596-IFERROR(INDEX(設定!$G$6:$G$21,MATCH($G596,設定!$B$6:$B$21,0)),0))*60,設定!$C$45)/60,2),0))</f>
        <v/>
      </c>
      <c r="R596" s="16">
        <f>IF(OR($C596="",$Q596=0),"",IF($G596="國","國定假日",IF($B596="日","例假",IF($B596="六","休息日","平日"))))</f>
        <v/>
      </c>
      <c r="S596" s="19" t="n"/>
    </row>
    <row r="597">
      <c r="A597" s="82">
        <f>IF(OR(助理班表!$A24="",6&gt;DAY(EOMONTH(DATE(設定!$C$2,設定!$D$2,1),0))),"",DATE(設定!$C$2,設定!$D$2,6))</f>
        <v/>
      </c>
      <c r="B597" s="16">
        <f>IF($A597="","",INDEX(設定!$O$6:$O$12,WEEKDAY($A597,1)))</f>
        <v/>
      </c>
      <c r="C597" s="16">
        <f>IF($A597="","",助理班表!$A24)</f>
        <v/>
      </c>
      <c r="D597" s="16">
        <f>IF($C597="","",助理班表!$B24)</f>
        <v/>
      </c>
      <c r="E597" s="16">
        <f>IF($C597="","",助理班表!$D24)</f>
        <v/>
      </c>
      <c r="F597" s="16">
        <f>IF($C597="","",助理班表!$C24)</f>
        <v/>
      </c>
      <c r="G597" s="16">
        <f>IF($C597="","",助理班表!J24)</f>
        <v/>
      </c>
      <c r="H597" s="83">
        <f>IF($G597="","",IFERROR(IF(INDEX(設定!$D$6:$D$21,MATCH($G597,設定!$B$6:$B$21,0))=0,"",INDEX(設定!$D$6:$D$21,MATCH($G597,設定!$B$6:$B$21,0))),""))</f>
        <v/>
      </c>
      <c r="I597" s="83">
        <f>IF($G597="","",IFERROR(IF(INDEX(設定!$E$6:$E$21,MATCH($G597,設定!$B$6:$B$21,0))=0,"",INDEX(設定!$E$6:$E$21,MATCH($G597,設定!$B$6:$B$21,0))),""))</f>
        <v/>
      </c>
      <c r="J597" s="83">
        <f>IFERROR(INDEX(打卡匯入!$C$3:$C$2002,MATCH($C597&amp;"|"&amp;DAY($A597),打卡匯入!$E$3:$E$2002,0)),"")</f>
        <v/>
      </c>
      <c r="K597" s="83">
        <f>IFERROR(INDEX(打卡匯入!$D$3:$D$2002,MATCH($C597&amp;"|"&amp;DAY($A597),打卡匯入!$E$3:$E$2002,0)),"")</f>
        <v/>
      </c>
      <c r="L597" s="84">
        <f>IF(OR($J597="",$K597=""),"",IFERROR(INDEX(設定!$F$6:$F$21,MATCH($G597,設定!$B$6:$B$21,0)),0))</f>
        <v/>
      </c>
      <c r="M597" s="85">
        <f>IF(OR($J597="",$K597=""),"",ROUND(($K597-$J597)*24-$L597/60,2))</f>
        <v/>
      </c>
      <c r="N597" s="16">
        <f>IF($C597="","",IF(AND(COUNTIF(設定!$B$15:$B$21,$G597)&gt;0,$J597&lt;&gt;""),"假日出勤",IF(AND(COUNTIF(設定!$B$6:$B$14,$G597)&gt;0,$J597=""),"未打卡",IF($J597="","",IF($O597&gt;0,"遲到",IF($P597&gt;0,"早退","正常"))))))</f>
        <v/>
      </c>
      <c r="O597" s="84">
        <f>IF(OR($C597="",$H597="",$J597=""),0,IF(ROUND(($J597-$H597)*1440,0)&gt;設定!$C$46,ROUND(($J597-$H597)*1440,0),0))</f>
        <v/>
      </c>
      <c r="P597" s="84">
        <f>IF(OR($C597="",$I597="",$K597=""),0,IF(ROUND(($I597-$K597)*1440,0)&gt;設定!$C$46,ROUND(($I597-$K597)*1440,0),0))</f>
        <v/>
      </c>
      <c r="Q597" s="85">
        <f>IF($M597="",0,IF(($M597-IFERROR(INDEX(設定!$G$6:$G$21,MATCH($G597,設定!$B$6:$B$21,0)),0))*60&gt;=設定!$C$44,ROUND(FLOOR(($M597-IFERROR(INDEX(設定!$G$6:$G$21,MATCH($G597,設定!$B$6:$B$21,0)),0))*60,設定!$C$45)/60,2),0))</f>
        <v/>
      </c>
      <c r="R597" s="16">
        <f>IF(OR($C597="",$Q597=0),"",IF($G597="國","國定假日",IF($B597="日","例假",IF($B597="六","休息日","平日"))))</f>
        <v/>
      </c>
      <c r="S597" s="19" t="n"/>
    </row>
    <row r="598">
      <c r="A598" s="82">
        <f>IF(OR(助理班表!$A24="",7&gt;DAY(EOMONTH(DATE(設定!$C$2,設定!$D$2,1),0))),"",DATE(設定!$C$2,設定!$D$2,7))</f>
        <v/>
      </c>
      <c r="B598" s="16">
        <f>IF($A598="","",INDEX(設定!$O$6:$O$12,WEEKDAY($A598,1)))</f>
        <v/>
      </c>
      <c r="C598" s="16">
        <f>IF($A598="","",助理班表!$A24)</f>
        <v/>
      </c>
      <c r="D598" s="16">
        <f>IF($C598="","",助理班表!$B24)</f>
        <v/>
      </c>
      <c r="E598" s="16">
        <f>IF($C598="","",助理班表!$D24)</f>
        <v/>
      </c>
      <c r="F598" s="16">
        <f>IF($C598="","",助理班表!$C24)</f>
        <v/>
      </c>
      <c r="G598" s="16">
        <f>IF($C598="","",助理班表!K24)</f>
        <v/>
      </c>
      <c r="H598" s="83">
        <f>IF($G598="","",IFERROR(IF(INDEX(設定!$D$6:$D$21,MATCH($G598,設定!$B$6:$B$21,0))=0,"",INDEX(設定!$D$6:$D$21,MATCH($G598,設定!$B$6:$B$21,0))),""))</f>
        <v/>
      </c>
      <c r="I598" s="83">
        <f>IF($G598="","",IFERROR(IF(INDEX(設定!$E$6:$E$21,MATCH($G598,設定!$B$6:$B$21,0))=0,"",INDEX(設定!$E$6:$E$21,MATCH($G598,設定!$B$6:$B$21,0))),""))</f>
        <v/>
      </c>
      <c r="J598" s="83">
        <f>IFERROR(INDEX(打卡匯入!$C$3:$C$2002,MATCH($C598&amp;"|"&amp;DAY($A598),打卡匯入!$E$3:$E$2002,0)),"")</f>
        <v/>
      </c>
      <c r="K598" s="83">
        <f>IFERROR(INDEX(打卡匯入!$D$3:$D$2002,MATCH($C598&amp;"|"&amp;DAY($A598),打卡匯入!$E$3:$E$2002,0)),"")</f>
        <v/>
      </c>
      <c r="L598" s="84">
        <f>IF(OR($J598="",$K598=""),"",IFERROR(INDEX(設定!$F$6:$F$21,MATCH($G598,設定!$B$6:$B$21,0)),0))</f>
        <v/>
      </c>
      <c r="M598" s="85">
        <f>IF(OR($J598="",$K598=""),"",ROUND(($K598-$J598)*24-$L598/60,2))</f>
        <v/>
      </c>
      <c r="N598" s="16">
        <f>IF($C598="","",IF(AND(COUNTIF(設定!$B$15:$B$21,$G598)&gt;0,$J598&lt;&gt;""),"假日出勤",IF(AND(COUNTIF(設定!$B$6:$B$14,$G598)&gt;0,$J598=""),"未打卡",IF($J598="","",IF($O598&gt;0,"遲到",IF($P598&gt;0,"早退","正常"))))))</f>
        <v/>
      </c>
      <c r="O598" s="84">
        <f>IF(OR($C598="",$H598="",$J598=""),0,IF(ROUND(($J598-$H598)*1440,0)&gt;設定!$C$46,ROUND(($J598-$H598)*1440,0),0))</f>
        <v/>
      </c>
      <c r="P598" s="84">
        <f>IF(OR($C598="",$I598="",$K598=""),0,IF(ROUND(($I598-$K598)*1440,0)&gt;設定!$C$46,ROUND(($I598-$K598)*1440,0),0))</f>
        <v/>
      </c>
      <c r="Q598" s="85">
        <f>IF($M598="",0,IF(($M598-IFERROR(INDEX(設定!$G$6:$G$21,MATCH($G598,設定!$B$6:$B$21,0)),0))*60&gt;=設定!$C$44,ROUND(FLOOR(($M598-IFERROR(INDEX(設定!$G$6:$G$21,MATCH($G598,設定!$B$6:$B$21,0)),0))*60,設定!$C$45)/60,2),0))</f>
        <v/>
      </c>
      <c r="R598" s="16">
        <f>IF(OR($C598="",$Q598=0),"",IF($G598="國","國定假日",IF($B598="日","例假",IF($B598="六","休息日","平日"))))</f>
        <v/>
      </c>
      <c r="S598" s="19" t="n"/>
    </row>
    <row r="599">
      <c r="A599" s="82">
        <f>IF(OR(助理班表!$A24="",8&gt;DAY(EOMONTH(DATE(設定!$C$2,設定!$D$2,1),0))),"",DATE(設定!$C$2,設定!$D$2,8))</f>
        <v/>
      </c>
      <c r="B599" s="16">
        <f>IF($A599="","",INDEX(設定!$O$6:$O$12,WEEKDAY($A599,1)))</f>
        <v/>
      </c>
      <c r="C599" s="16">
        <f>IF($A599="","",助理班表!$A24)</f>
        <v/>
      </c>
      <c r="D599" s="16">
        <f>IF($C599="","",助理班表!$B24)</f>
        <v/>
      </c>
      <c r="E599" s="16">
        <f>IF($C599="","",助理班表!$D24)</f>
        <v/>
      </c>
      <c r="F599" s="16">
        <f>IF($C599="","",助理班表!$C24)</f>
        <v/>
      </c>
      <c r="G599" s="16">
        <f>IF($C599="","",助理班表!L24)</f>
        <v/>
      </c>
      <c r="H599" s="83">
        <f>IF($G599="","",IFERROR(IF(INDEX(設定!$D$6:$D$21,MATCH($G599,設定!$B$6:$B$21,0))=0,"",INDEX(設定!$D$6:$D$21,MATCH($G599,設定!$B$6:$B$21,0))),""))</f>
        <v/>
      </c>
      <c r="I599" s="83">
        <f>IF($G599="","",IFERROR(IF(INDEX(設定!$E$6:$E$21,MATCH($G599,設定!$B$6:$B$21,0))=0,"",INDEX(設定!$E$6:$E$21,MATCH($G599,設定!$B$6:$B$21,0))),""))</f>
        <v/>
      </c>
      <c r="J599" s="83">
        <f>IFERROR(INDEX(打卡匯入!$C$3:$C$2002,MATCH($C599&amp;"|"&amp;DAY($A599),打卡匯入!$E$3:$E$2002,0)),"")</f>
        <v/>
      </c>
      <c r="K599" s="83">
        <f>IFERROR(INDEX(打卡匯入!$D$3:$D$2002,MATCH($C599&amp;"|"&amp;DAY($A599),打卡匯入!$E$3:$E$2002,0)),"")</f>
        <v/>
      </c>
      <c r="L599" s="84">
        <f>IF(OR($J599="",$K599=""),"",IFERROR(INDEX(設定!$F$6:$F$21,MATCH($G599,設定!$B$6:$B$21,0)),0))</f>
        <v/>
      </c>
      <c r="M599" s="85">
        <f>IF(OR($J599="",$K599=""),"",ROUND(($K599-$J599)*24-$L599/60,2))</f>
        <v/>
      </c>
      <c r="N599" s="16">
        <f>IF($C599="","",IF(AND(COUNTIF(設定!$B$15:$B$21,$G599)&gt;0,$J599&lt;&gt;""),"假日出勤",IF(AND(COUNTIF(設定!$B$6:$B$14,$G599)&gt;0,$J599=""),"未打卡",IF($J599="","",IF($O599&gt;0,"遲到",IF($P599&gt;0,"早退","正常"))))))</f>
        <v/>
      </c>
      <c r="O599" s="84">
        <f>IF(OR($C599="",$H599="",$J599=""),0,IF(ROUND(($J599-$H599)*1440,0)&gt;設定!$C$46,ROUND(($J599-$H599)*1440,0),0))</f>
        <v/>
      </c>
      <c r="P599" s="84">
        <f>IF(OR($C599="",$I599="",$K599=""),0,IF(ROUND(($I599-$K599)*1440,0)&gt;設定!$C$46,ROUND(($I599-$K599)*1440,0),0))</f>
        <v/>
      </c>
      <c r="Q599" s="85">
        <f>IF($M599="",0,IF(($M599-IFERROR(INDEX(設定!$G$6:$G$21,MATCH($G599,設定!$B$6:$B$21,0)),0))*60&gt;=設定!$C$44,ROUND(FLOOR(($M599-IFERROR(INDEX(設定!$G$6:$G$21,MATCH($G599,設定!$B$6:$B$21,0)),0))*60,設定!$C$45)/60,2),0))</f>
        <v/>
      </c>
      <c r="R599" s="16">
        <f>IF(OR($C599="",$Q599=0),"",IF($G599="國","國定假日",IF($B599="日","例假",IF($B599="六","休息日","平日"))))</f>
        <v/>
      </c>
      <c r="S599" s="19" t="n"/>
    </row>
    <row r="600">
      <c r="A600" s="82">
        <f>IF(OR(助理班表!$A24="",9&gt;DAY(EOMONTH(DATE(設定!$C$2,設定!$D$2,1),0))),"",DATE(設定!$C$2,設定!$D$2,9))</f>
        <v/>
      </c>
      <c r="B600" s="16">
        <f>IF($A600="","",INDEX(設定!$O$6:$O$12,WEEKDAY($A600,1)))</f>
        <v/>
      </c>
      <c r="C600" s="16">
        <f>IF($A600="","",助理班表!$A24)</f>
        <v/>
      </c>
      <c r="D600" s="16">
        <f>IF($C600="","",助理班表!$B24)</f>
        <v/>
      </c>
      <c r="E600" s="16">
        <f>IF($C600="","",助理班表!$D24)</f>
        <v/>
      </c>
      <c r="F600" s="16">
        <f>IF($C600="","",助理班表!$C24)</f>
        <v/>
      </c>
      <c r="G600" s="16">
        <f>IF($C600="","",助理班表!M24)</f>
        <v/>
      </c>
      <c r="H600" s="83">
        <f>IF($G600="","",IFERROR(IF(INDEX(設定!$D$6:$D$21,MATCH($G600,設定!$B$6:$B$21,0))=0,"",INDEX(設定!$D$6:$D$21,MATCH($G600,設定!$B$6:$B$21,0))),""))</f>
        <v/>
      </c>
      <c r="I600" s="83">
        <f>IF($G600="","",IFERROR(IF(INDEX(設定!$E$6:$E$21,MATCH($G600,設定!$B$6:$B$21,0))=0,"",INDEX(設定!$E$6:$E$21,MATCH($G600,設定!$B$6:$B$21,0))),""))</f>
        <v/>
      </c>
      <c r="J600" s="83">
        <f>IFERROR(INDEX(打卡匯入!$C$3:$C$2002,MATCH($C600&amp;"|"&amp;DAY($A600),打卡匯入!$E$3:$E$2002,0)),"")</f>
        <v/>
      </c>
      <c r="K600" s="83">
        <f>IFERROR(INDEX(打卡匯入!$D$3:$D$2002,MATCH($C600&amp;"|"&amp;DAY($A600),打卡匯入!$E$3:$E$2002,0)),"")</f>
        <v/>
      </c>
      <c r="L600" s="84">
        <f>IF(OR($J600="",$K600=""),"",IFERROR(INDEX(設定!$F$6:$F$21,MATCH($G600,設定!$B$6:$B$21,0)),0))</f>
        <v/>
      </c>
      <c r="M600" s="85">
        <f>IF(OR($J600="",$K600=""),"",ROUND(($K600-$J600)*24-$L600/60,2))</f>
        <v/>
      </c>
      <c r="N600" s="16">
        <f>IF($C600="","",IF(AND(COUNTIF(設定!$B$15:$B$21,$G600)&gt;0,$J600&lt;&gt;""),"假日出勤",IF(AND(COUNTIF(設定!$B$6:$B$14,$G600)&gt;0,$J600=""),"未打卡",IF($J600="","",IF($O600&gt;0,"遲到",IF($P600&gt;0,"早退","正常"))))))</f>
        <v/>
      </c>
      <c r="O600" s="84">
        <f>IF(OR($C600="",$H600="",$J600=""),0,IF(ROUND(($J600-$H600)*1440,0)&gt;設定!$C$46,ROUND(($J600-$H600)*1440,0),0))</f>
        <v/>
      </c>
      <c r="P600" s="84">
        <f>IF(OR($C600="",$I600="",$K600=""),0,IF(ROUND(($I600-$K600)*1440,0)&gt;設定!$C$46,ROUND(($I600-$K600)*1440,0),0))</f>
        <v/>
      </c>
      <c r="Q600" s="85">
        <f>IF($M600="",0,IF(($M600-IFERROR(INDEX(設定!$G$6:$G$21,MATCH($G600,設定!$B$6:$B$21,0)),0))*60&gt;=設定!$C$44,ROUND(FLOOR(($M600-IFERROR(INDEX(設定!$G$6:$G$21,MATCH($G600,設定!$B$6:$B$21,0)),0))*60,設定!$C$45)/60,2),0))</f>
        <v/>
      </c>
      <c r="R600" s="16">
        <f>IF(OR($C600="",$Q600=0),"",IF($G600="國","國定假日",IF($B600="日","例假",IF($B600="六","休息日","平日"))))</f>
        <v/>
      </c>
      <c r="S600" s="19" t="n"/>
    </row>
    <row r="601">
      <c r="A601" s="82">
        <f>IF(OR(助理班表!$A24="",10&gt;DAY(EOMONTH(DATE(設定!$C$2,設定!$D$2,1),0))),"",DATE(設定!$C$2,設定!$D$2,10))</f>
        <v/>
      </c>
      <c r="B601" s="16">
        <f>IF($A601="","",INDEX(設定!$O$6:$O$12,WEEKDAY($A601,1)))</f>
        <v/>
      </c>
      <c r="C601" s="16">
        <f>IF($A601="","",助理班表!$A24)</f>
        <v/>
      </c>
      <c r="D601" s="16">
        <f>IF($C601="","",助理班表!$B24)</f>
        <v/>
      </c>
      <c r="E601" s="16">
        <f>IF($C601="","",助理班表!$D24)</f>
        <v/>
      </c>
      <c r="F601" s="16">
        <f>IF($C601="","",助理班表!$C24)</f>
        <v/>
      </c>
      <c r="G601" s="16">
        <f>IF($C601="","",助理班表!N24)</f>
        <v/>
      </c>
      <c r="H601" s="83">
        <f>IF($G601="","",IFERROR(IF(INDEX(設定!$D$6:$D$21,MATCH($G601,設定!$B$6:$B$21,0))=0,"",INDEX(設定!$D$6:$D$21,MATCH($G601,設定!$B$6:$B$21,0))),""))</f>
        <v/>
      </c>
      <c r="I601" s="83">
        <f>IF($G601="","",IFERROR(IF(INDEX(設定!$E$6:$E$21,MATCH($G601,設定!$B$6:$B$21,0))=0,"",INDEX(設定!$E$6:$E$21,MATCH($G601,設定!$B$6:$B$21,0))),""))</f>
        <v/>
      </c>
      <c r="J601" s="83">
        <f>IFERROR(INDEX(打卡匯入!$C$3:$C$2002,MATCH($C601&amp;"|"&amp;DAY($A601),打卡匯入!$E$3:$E$2002,0)),"")</f>
        <v/>
      </c>
      <c r="K601" s="83">
        <f>IFERROR(INDEX(打卡匯入!$D$3:$D$2002,MATCH($C601&amp;"|"&amp;DAY($A601),打卡匯入!$E$3:$E$2002,0)),"")</f>
        <v/>
      </c>
      <c r="L601" s="84">
        <f>IF(OR($J601="",$K601=""),"",IFERROR(INDEX(設定!$F$6:$F$21,MATCH($G601,設定!$B$6:$B$21,0)),0))</f>
        <v/>
      </c>
      <c r="M601" s="85">
        <f>IF(OR($J601="",$K601=""),"",ROUND(($K601-$J601)*24-$L601/60,2))</f>
        <v/>
      </c>
      <c r="N601" s="16">
        <f>IF($C601="","",IF(AND(COUNTIF(設定!$B$15:$B$21,$G601)&gt;0,$J601&lt;&gt;""),"假日出勤",IF(AND(COUNTIF(設定!$B$6:$B$14,$G601)&gt;0,$J601=""),"未打卡",IF($J601="","",IF($O601&gt;0,"遲到",IF($P601&gt;0,"早退","正常"))))))</f>
        <v/>
      </c>
      <c r="O601" s="84">
        <f>IF(OR($C601="",$H601="",$J601=""),0,IF(ROUND(($J601-$H601)*1440,0)&gt;設定!$C$46,ROUND(($J601-$H601)*1440,0),0))</f>
        <v/>
      </c>
      <c r="P601" s="84">
        <f>IF(OR($C601="",$I601="",$K601=""),0,IF(ROUND(($I601-$K601)*1440,0)&gt;設定!$C$46,ROUND(($I601-$K601)*1440,0),0))</f>
        <v/>
      </c>
      <c r="Q601" s="85">
        <f>IF($M601="",0,IF(($M601-IFERROR(INDEX(設定!$G$6:$G$21,MATCH($G601,設定!$B$6:$B$21,0)),0))*60&gt;=設定!$C$44,ROUND(FLOOR(($M601-IFERROR(INDEX(設定!$G$6:$G$21,MATCH($G601,設定!$B$6:$B$21,0)),0))*60,設定!$C$45)/60,2),0))</f>
        <v/>
      </c>
      <c r="R601" s="16">
        <f>IF(OR($C601="",$Q601=0),"",IF($G601="國","國定假日",IF($B601="日","例假",IF($B601="六","休息日","平日"))))</f>
        <v/>
      </c>
      <c r="S601" s="19" t="n"/>
    </row>
    <row r="602">
      <c r="A602" s="82">
        <f>IF(OR(助理班表!$A24="",11&gt;DAY(EOMONTH(DATE(設定!$C$2,設定!$D$2,1),0))),"",DATE(設定!$C$2,設定!$D$2,11))</f>
        <v/>
      </c>
      <c r="B602" s="16">
        <f>IF($A602="","",INDEX(設定!$O$6:$O$12,WEEKDAY($A602,1)))</f>
        <v/>
      </c>
      <c r="C602" s="16">
        <f>IF($A602="","",助理班表!$A24)</f>
        <v/>
      </c>
      <c r="D602" s="16">
        <f>IF($C602="","",助理班表!$B24)</f>
        <v/>
      </c>
      <c r="E602" s="16">
        <f>IF($C602="","",助理班表!$D24)</f>
        <v/>
      </c>
      <c r="F602" s="16">
        <f>IF($C602="","",助理班表!$C24)</f>
        <v/>
      </c>
      <c r="G602" s="16">
        <f>IF($C602="","",助理班表!O24)</f>
        <v/>
      </c>
      <c r="H602" s="83">
        <f>IF($G602="","",IFERROR(IF(INDEX(設定!$D$6:$D$21,MATCH($G602,設定!$B$6:$B$21,0))=0,"",INDEX(設定!$D$6:$D$21,MATCH($G602,設定!$B$6:$B$21,0))),""))</f>
        <v/>
      </c>
      <c r="I602" s="83">
        <f>IF($G602="","",IFERROR(IF(INDEX(設定!$E$6:$E$21,MATCH($G602,設定!$B$6:$B$21,0))=0,"",INDEX(設定!$E$6:$E$21,MATCH($G602,設定!$B$6:$B$21,0))),""))</f>
        <v/>
      </c>
      <c r="J602" s="83">
        <f>IFERROR(INDEX(打卡匯入!$C$3:$C$2002,MATCH($C602&amp;"|"&amp;DAY($A602),打卡匯入!$E$3:$E$2002,0)),"")</f>
        <v/>
      </c>
      <c r="K602" s="83">
        <f>IFERROR(INDEX(打卡匯入!$D$3:$D$2002,MATCH($C602&amp;"|"&amp;DAY($A602),打卡匯入!$E$3:$E$2002,0)),"")</f>
        <v/>
      </c>
      <c r="L602" s="84">
        <f>IF(OR($J602="",$K602=""),"",IFERROR(INDEX(設定!$F$6:$F$21,MATCH($G602,設定!$B$6:$B$21,0)),0))</f>
        <v/>
      </c>
      <c r="M602" s="85">
        <f>IF(OR($J602="",$K602=""),"",ROUND(($K602-$J602)*24-$L602/60,2))</f>
        <v/>
      </c>
      <c r="N602" s="16">
        <f>IF($C602="","",IF(AND(COUNTIF(設定!$B$15:$B$21,$G602)&gt;0,$J602&lt;&gt;""),"假日出勤",IF(AND(COUNTIF(設定!$B$6:$B$14,$G602)&gt;0,$J602=""),"未打卡",IF($J602="","",IF($O602&gt;0,"遲到",IF($P602&gt;0,"早退","正常"))))))</f>
        <v/>
      </c>
      <c r="O602" s="84">
        <f>IF(OR($C602="",$H602="",$J602=""),0,IF(ROUND(($J602-$H602)*1440,0)&gt;設定!$C$46,ROUND(($J602-$H602)*1440,0),0))</f>
        <v/>
      </c>
      <c r="P602" s="84">
        <f>IF(OR($C602="",$I602="",$K602=""),0,IF(ROUND(($I602-$K602)*1440,0)&gt;設定!$C$46,ROUND(($I602-$K602)*1440,0),0))</f>
        <v/>
      </c>
      <c r="Q602" s="85">
        <f>IF($M602="",0,IF(($M602-IFERROR(INDEX(設定!$G$6:$G$21,MATCH($G602,設定!$B$6:$B$21,0)),0))*60&gt;=設定!$C$44,ROUND(FLOOR(($M602-IFERROR(INDEX(設定!$G$6:$G$21,MATCH($G602,設定!$B$6:$B$21,0)),0))*60,設定!$C$45)/60,2),0))</f>
        <v/>
      </c>
      <c r="R602" s="16">
        <f>IF(OR($C602="",$Q602=0),"",IF($G602="國","國定假日",IF($B602="日","例假",IF($B602="六","休息日","平日"))))</f>
        <v/>
      </c>
      <c r="S602" s="19" t="n"/>
    </row>
    <row r="603">
      <c r="A603" s="82">
        <f>IF(OR(助理班表!$A24="",12&gt;DAY(EOMONTH(DATE(設定!$C$2,設定!$D$2,1),0))),"",DATE(設定!$C$2,設定!$D$2,12))</f>
        <v/>
      </c>
      <c r="B603" s="16">
        <f>IF($A603="","",INDEX(設定!$O$6:$O$12,WEEKDAY($A603,1)))</f>
        <v/>
      </c>
      <c r="C603" s="16">
        <f>IF($A603="","",助理班表!$A24)</f>
        <v/>
      </c>
      <c r="D603" s="16">
        <f>IF($C603="","",助理班表!$B24)</f>
        <v/>
      </c>
      <c r="E603" s="16">
        <f>IF($C603="","",助理班表!$D24)</f>
        <v/>
      </c>
      <c r="F603" s="16">
        <f>IF($C603="","",助理班表!$C24)</f>
        <v/>
      </c>
      <c r="G603" s="16">
        <f>IF($C603="","",助理班表!P24)</f>
        <v/>
      </c>
      <c r="H603" s="83">
        <f>IF($G603="","",IFERROR(IF(INDEX(設定!$D$6:$D$21,MATCH($G603,設定!$B$6:$B$21,0))=0,"",INDEX(設定!$D$6:$D$21,MATCH($G603,設定!$B$6:$B$21,0))),""))</f>
        <v/>
      </c>
      <c r="I603" s="83">
        <f>IF($G603="","",IFERROR(IF(INDEX(設定!$E$6:$E$21,MATCH($G603,設定!$B$6:$B$21,0))=0,"",INDEX(設定!$E$6:$E$21,MATCH($G603,設定!$B$6:$B$21,0))),""))</f>
        <v/>
      </c>
      <c r="J603" s="83">
        <f>IFERROR(INDEX(打卡匯入!$C$3:$C$2002,MATCH($C603&amp;"|"&amp;DAY($A603),打卡匯入!$E$3:$E$2002,0)),"")</f>
        <v/>
      </c>
      <c r="K603" s="83">
        <f>IFERROR(INDEX(打卡匯入!$D$3:$D$2002,MATCH($C603&amp;"|"&amp;DAY($A603),打卡匯入!$E$3:$E$2002,0)),"")</f>
        <v/>
      </c>
      <c r="L603" s="84">
        <f>IF(OR($J603="",$K603=""),"",IFERROR(INDEX(設定!$F$6:$F$21,MATCH($G603,設定!$B$6:$B$21,0)),0))</f>
        <v/>
      </c>
      <c r="M603" s="85">
        <f>IF(OR($J603="",$K603=""),"",ROUND(($K603-$J603)*24-$L603/60,2))</f>
        <v/>
      </c>
      <c r="N603" s="16">
        <f>IF($C603="","",IF(AND(COUNTIF(設定!$B$15:$B$21,$G603)&gt;0,$J603&lt;&gt;""),"假日出勤",IF(AND(COUNTIF(設定!$B$6:$B$14,$G603)&gt;0,$J603=""),"未打卡",IF($J603="","",IF($O603&gt;0,"遲到",IF($P603&gt;0,"早退","正常"))))))</f>
        <v/>
      </c>
      <c r="O603" s="84">
        <f>IF(OR($C603="",$H603="",$J603=""),0,IF(ROUND(($J603-$H603)*1440,0)&gt;設定!$C$46,ROUND(($J603-$H603)*1440,0),0))</f>
        <v/>
      </c>
      <c r="P603" s="84">
        <f>IF(OR($C603="",$I603="",$K603=""),0,IF(ROUND(($I603-$K603)*1440,0)&gt;設定!$C$46,ROUND(($I603-$K603)*1440,0),0))</f>
        <v/>
      </c>
      <c r="Q603" s="85">
        <f>IF($M603="",0,IF(($M603-IFERROR(INDEX(設定!$G$6:$G$21,MATCH($G603,設定!$B$6:$B$21,0)),0))*60&gt;=設定!$C$44,ROUND(FLOOR(($M603-IFERROR(INDEX(設定!$G$6:$G$21,MATCH($G603,設定!$B$6:$B$21,0)),0))*60,設定!$C$45)/60,2),0))</f>
        <v/>
      </c>
      <c r="R603" s="16">
        <f>IF(OR($C603="",$Q603=0),"",IF($G603="國","國定假日",IF($B603="日","例假",IF($B603="六","休息日","平日"))))</f>
        <v/>
      </c>
      <c r="S603" s="19" t="n"/>
    </row>
    <row r="604">
      <c r="A604" s="82">
        <f>IF(OR(助理班表!$A24="",13&gt;DAY(EOMONTH(DATE(設定!$C$2,設定!$D$2,1),0))),"",DATE(設定!$C$2,設定!$D$2,13))</f>
        <v/>
      </c>
      <c r="B604" s="16">
        <f>IF($A604="","",INDEX(設定!$O$6:$O$12,WEEKDAY($A604,1)))</f>
        <v/>
      </c>
      <c r="C604" s="16">
        <f>IF($A604="","",助理班表!$A24)</f>
        <v/>
      </c>
      <c r="D604" s="16">
        <f>IF($C604="","",助理班表!$B24)</f>
        <v/>
      </c>
      <c r="E604" s="16">
        <f>IF($C604="","",助理班表!$D24)</f>
        <v/>
      </c>
      <c r="F604" s="16">
        <f>IF($C604="","",助理班表!$C24)</f>
        <v/>
      </c>
      <c r="G604" s="16">
        <f>IF($C604="","",助理班表!Q24)</f>
        <v/>
      </c>
      <c r="H604" s="83">
        <f>IF($G604="","",IFERROR(IF(INDEX(設定!$D$6:$D$21,MATCH($G604,設定!$B$6:$B$21,0))=0,"",INDEX(設定!$D$6:$D$21,MATCH($G604,設定!$B$6:$B$21,0))),""))</f>
        <v/>
      </c>
      <c r="I604" s="83">
        <f>IF($G604="","",IFERROR(IF(INDEX(設定!$E$6:$E$21,MATCH($G604,設定!$B$6:$B$21,0))=0,"",INDEX(設定!$E$6:$E$21,MATCH($G604,設定!$B$6:$B$21,0))),""))</f>
        <v/>
      </c>
      <c r="J604" s="83">
        <f>IFERROR(INDEX(打卡匯入!$C$3:$C$2002,MATCH($C604&amp;"|"&amp;DAY($A604),打卡匯入!$E$3:$E$2002,0)),"")</f>
        <v/>
      </c>
      <c r="K604" s="83">
        <f>IFERROR(INDEX(打卡匯入!$D$3:$D$2002,MATCH($C604&amp;"|"&amp;DAY($A604),打卡匯入!$E$3:$E$2002,0)),"")</f>
        <v/>
      </c>
      <c r="L604" s="84">
        <f>IF(OR($J604="",$K604=""),"",IFERROR(INDEX(設定!$F$6:$F$21,MATCH($G604,設定!$B$6:$B$21,0)),0))</f>
        <v/>
      </c>
      <c r="M604" s="85">
        <f>IF(OR($J604="",$K604=""),"",ROUND(($K604-$J604)*24-$L604/60,2))</f>
        <v/>
      </c>
      <c r="N604" s="16">
        <f>IF($C604="","",IF(AND(COUNTIF(設定!$B$15:$B$21,$G604)&gt;0,$J604&lt;&gt;""),"假日出勤",IF(AND(COUNTIF(設定!$B$6:$B$14,$G604)&gt;0,$J604=""),"未打卡",IF($J604="","",IF($O604&gt;0,"遲到",IF($P604&gt;0,"早退","正常"))))))</f>
        <v/>
      </c>
      <c r="O604" s="84">
        <f>IF(OR($C604="",$H604="",$J604=""),0,IF(ROUND(($J604-$H604)*1440,0)&gt;設定!$C$46,ROUND(($J604-$H604)*1440,0),0))</f>
        <v/>
      </c>
      <c r="P604" s="84">
        <f>IF(OR($C604="",$I604="",$K604=""),0,IF(ROUND(($I604-$K604)*1440,0)&gt;設定!$C$46,ROUND(($I604-$K604)*1440,0),0))</f>
        <v/>
      </c>
      <c r="Q604" s="85">
        <f>IF($M604="",0,IF(($M604-IFERROR(INDEX(設定!$G$6:$G$21,MATCH($G604,設定!$B$6:$B$21,0)),0))*60&gt;=設定!$C$44,ROUND(FLOOR(($M604-IFERROR(INDEX(設定!$G$6:$G$21,MATCH($G604,設定!$B$6:$B$21,0)),0))*60,設定!$C$45)/60,2),0))</f>
        <v/>
      </c>
      <c r="R604" s="16">
        <f>IF(OR($C604="",$Q604=0),"",IF($G604="國","國定假日",IF($B604="日","例假",IF($B604="六","休息日","平日"))))</f>
        <v/>
      </c>
      <c r="S604" s="19" t="n"/>
    </row>
    <row r="605">
      <c r="A605" s="82">
        <f>IF(OR(助理班表!$A24="",14&gt;DAY(EOMONTH(DATE(設定!$C$2,設定!$D$2,1),0))),"",DATE(設定!$C$2,設定!$D$2,14))</f>
        <v/>
      </c>
      <c r="B605" s="16">
        <f>IF($A605="","",INDEX(設定!$O$6:$O$12,WEEKDAY($A605,1)))</f>
        <v/>
      </c>
      <c r="C605" s="16">
        <f>IF($A605="","",助理班表!$A24)</f>
        <v/>
      </c>
      <c r="D605" s="16">
        <f>IF($C605="","",助理班表!$B24)</f>
        <v/>
      </c>
      <c r="E605" s="16">
        <f>IF($C605="","",助理班表!$D24)</f>
        <v/>
      </c>
      <c r="F605" s="16">
        <f>IF($C605="","",助理班表!$C24)</f>
        <v/>
      </c>
      <c r="G605" s="16">
        <f>IF($C605="","",助理班表!R24)</f>
        <v/>
      </c>
      <c r="H605" s="83">
        <f>IF($G605="","",IFERROR(IF(INDEX(設定!$D$6:$D$21,MATCH($G605,設定!$B$6:$B$21,0))=0,"",INDEX(設定!$D$6:$D$21,MATCH($G605,設定!$B$6:$B$21,0))),""))</f>
        <v/>
      </c>
      <c r="I605" s="83">
        <f>IF($G605="","",IFERROR(IF(INDEX(設定!$E$6:$E$21,MATCH($G605,設定!$B$6:$B$21,0))=0,"",INDEX(設定!$E$6:$E$21,MATCH($G605,設定!$B$6:$B$21,0))),""))</f>
        <v/>
      </c>
      <c r="J605" s="83">
        <f>IFERROR(INDEX(打卡匯入!$C$3:$C$2002,MATCH($C605&amp;"|"&amp;DAY($A605),打卡匯入!$E$3:$E$2002,0)),"")</f>
        <v/>
      </c>
      <c r="K605" s="83">
        <f>IFERROR(INDEX(打卡匯入!$D$3:$D$2002,MATCH($C605&amp;"|"&amp;DAY($A605),打卡匯入!$E$3:$E$2002,0)),"")</f>
        <v/>
      </c>
      <c r="L605" s="84">
        <f>IF(OR($J605="",$K605=""),"",IFERROR(INDEX(設定!$F$6:$F$21,MATCH($G605,設定!$B$6:$B$21,0)),0))</f>
        <v/>
      </c>
      <c r="M605" s="85">
        <f>IF(OR($J605="",$K605=""),"",ROUND(($K605-$J605)*24-$L605/60,2))</f>
        <v/>
      </c>
      <c r="N605" s="16">
        <f>IF($C605="","",IF(AND(COUNTIF(設定!$B$15:$B$21,$G605)&gt;0,$J605&lt;&gt;""),"假日出勤",IF(AND(COUNTIF(設定!$B$6:$B$14,$G605)&gt;0,$J605=""),"未打卡",IF($J605="","",IF($O605&gt;0,"遲到",IF($P605&gt;0,"早退","正常"))))))</f>
        <v/>
      </c>
      <c r="O605" s="84">
        <f>IF(OR($C605="",$H605="",$J605=""),0,IF(ROUND(($J605-$H605)*1440,0)&gt;設定!$C$46,ROUND(($J605-$H605)*1440,0),0))</f>
        <v/>
      </c>
      <c r="P605" s="84">
        <f>IF(OR($C605="",$I605="",$K605=""),0,IF(ROUND(($I605-$K605)*1440,0)&gt;設定!$C$46,ROUND(($I605-$K605)*1440,0),0))</f>
        <v/>
      </c>
      <c r="Q605" s="85">
        <f>IF($M605="",0,IF(($M605-IFERROR(INDEX(設定!$G$6:$G$21,MATCH($G605,設定!$B$6:$B$21,0)),0))*60&gt;=設定!$C$44,ROUND(FLOOR(($M605-IFERROR(INDEX(設定!$G$6:$G$21,MATCH($G605,設定!$B$6:$B$21,0)),0))*60,設定!$C$45)/60,2),0))</f>
        <v/>
      </c>
      <c r="R605" s="16">
        <f>IF(OR($C605="",$Q605=0),"",IF($G605="國","國定假日",IF($B605="日","例假",IF($B605="六","休息日","平日"))))</f>
        <v/>
      </c>
      <c r="S605" s="19" t="n"/>
    </row>
    <row r="606">
      <c r="A606" s="82">
        <f>IF(OR(助理班表!$A24="",15&gt;DAY(EOMONTH(DATE(設定!$C$2,設定!$D$2,1),0))),"",DATE(設定!$C$2,設定!$D$2,15))</f>
        <v/>
      </c>
      <c r="B606" s="16">
        <f>IF($A606="","",INDEX(設定!$O$6:$O$12,WEEKDAY($A606,1)))</f>
        <v/>
      </c>
      <c r="C606" s="16">
        <f>IF($A606="","",助理班表!$A24)</f>
        <v/>
      </c>
      <c r="D606" s="16">
        <f>IF($C606="","",助理班表!$B24)</f>
        <v/>
      </c>
      <c r="E606" s="16">
        <f>IF($C606="","",助理班表!$D24)</f>
        <v/>
      </c>
      <c r="F606" s="16">
        <f>IF($C606="","",助理班表!$C24)</f>
        <v/>
      </c>
      <c r="G606" s="16">
        <f>IF($C606="","",助理班表!S24)</f>
        <v/>
      </c>
      <c r="H606" s="83">
        <f>IF($G606="","",IFERROR(IF(INDEX(設定!$D$6:$D$21,MATCH($G606,設定!$B$6:$B$21,0))=0,"",INDEX(設定!$D$6:$D$21,MATCH($G606,設定!$B$6:$B$21,0))),""))</f>
        <v/>
      </c>
      <c r="I606" s="83">
        <f>IF($G606="","",IFERROR(IF(INDEX(設定!$E$6:$E$21,MATCH($G606,設定!$B$6:$B$21,0))=0,"",INDEX(設定!$E$6:$E$21,MATCH($G606,設定!$B$6:$B$21,0))),""))</f>
        <v/>
      </c>
      <c r="J606" s="83">
        <f>IFERROR(INDEX(打卡匯入!$C$3:$C$2002,MATCH($C606&amp;"|"&amp;DAY($A606),打卡匯入!$E$3:$E$2002,0)),"")</f>
        <v/>
      </c>
      <c r="K606" s="83">
        <f>IFERROR(INDEX(打卡匯入!$D$3:$D$2002,MATCH($C606&amp;"|"&amp;DAY($A606),打卡匯入!$E$3:$E$2002,0)),"")</f>
        <v/>
      </c>
      <c r="L606" s="84">
        <f>IF(OR($J606="",$K606=""),"",IFERROR(INDEX(設定!$F$6:$F$21,MATCH($G606,設定!$B$6:$B$21,0)),0))</f>
        <v/>
      </c>
      <c r="M606" s="85">
        <f>IF(OR($J606="",$K606=""),"",ROUND(($K606-$J606)*24-$L606/60,2))</f>
        <v/>
      </c>
      <c r="N606" s="16">
        <f>IF($C606="","",IF(AND(COUNTIF(設定!$B$15:$B$21,$G606)&gt;0,$J606&lt;&gt;""),"假日出勤",IF(AND(COUNTIF(設定!$B$6:$B$14,$G606)&gt;0,$J606=""),"未打卡",IF($J606="","",IF($O606&gt;0,"遲到",IF($P606&gt;0,"早退","正常"))))))</f>
        <v/>
      </c>
      <c r="O606" s="84">
        <f>IF(OR($C606="",$H606="",$J606=""),0,IF(ROUND(($J606-$H606)*1440,0)&gt;設定!$C$46,ROUND(($J606-$H606)*1440,0),0))</f>
        <v/>
      </c>
      <c r="P606" s="84">
        <f>IF(OR($C606="",$I606="",$K606=""),0,IF(ROUND(($I606-$K606)*1440,0)&gt;設定!$C$46,ROUND(($I606-$K606)*1440,0),0))</f>
        <v/>
      </c>
      <c r="Q606" s="85">
        <f>IF($M606="",0,IF(($M606-IFERROR(INDEX(設定!$G$6:$G$21,MATCH($G606,設定!$B$6:$B$21,0)),0))*60&gt;=設定!$C$44,ROUND(FLOOR(($M606-IFERROR(INDEX(設定!$G$6:$G$21,MATCH($G606,設定!$B$6:$B$21,0)),0))*60,設定!$C$45)/60,2),0))</f>
        <v/>
      </c>
      <c r="R606" s="16">
        <f>IF(OR($C606="",$Q606=0),"",IF($G606="國","國定假日",IF($B606="日","例假",IF($B606="六","休息日","平日"))))</f>
        <v/>
      </c>
      <c r="S606" s="19" t="n"/>
    </row>
    <row r="607">
      <c r="A607" s="82">
        <f>IF(OR(助理班表!$A24="",16&gt;DAY(EOMONTH(DATE(設定!$C$2,設定!$D$2,1),0))),"",DATE(設定!$C$2,設定!$D$2,16))</f>
        <v/>
      </c>
      <c r="B607" s="16">
        <f>IF($A607="","",INDEX(設定!$O$6:$O$12,WEEKDAY($A607,1)))</f>
        <v/>
      </c>
      <c r="C607" s="16">
        <f>IF($A607="","",助理班表!$A24)</f>
        <v/>
      </c>
      <c r="D607" s="16">
        <f>IF($C607="","",助理班表!$B24)</f>
        <v/>
      </c>
      <c r="E607" s="16">
        <f>IF($C607="","",助理班表!$D24)</f>
        <v/>
      </c>
      <c r="F607" s="16">
        <f>IF($C607="","",助理班表!$C24)</f>
        <v/>
      </c>
      <c r="G607" s="16">
        <f>IF($C607="","",助理班表!T24)</f>
        <v/>
      </c>
      <c r="H607" s="83">
        <f>IF($G607="","",IFERROR(IF(INDEX(設定!$D$6:$D$21,MATCH($G607,設定!$B$6:$B$21,0))=0,"",INDEX(設定!$D$6:$D$21,MATCH($G607,設定!$B$6:$B$21,0))),""))</f>
        <v/>
      </c>
      <c r="I607" s="83">
        <f>IF($G607="","",IFERROR(IF(INDEX(設定!$E$6:$E$21,MATCH($G607,設定!$B$6:$B$21,0))=0,"",INDEX(設定!$E$6:$E$21,MATCH($G607,設定!$B$6:$B$21,0))),""))</f>
        <v/>
      </c>
      <c r="J607" s="83">
        <f>IFERROR(INDEX(打卡匯入!$C$3:$C$2002,MATCH($C607&amp;"|"&amp;DAY($A607),打卡匯入!$E$3:$E$2002,0)),"")</f>
        <v/>
      </c>
      <c r="K607" s="83">
        <f>IFERROR(INDEX(打卡匯入!$D$3:$D$2002,MATCH($C607&amp;"|"&amp;DAY($A607),打卡匯入!$E$3:$E$2002,0)),"")</f>
        <v/>
      </c>
      <c r="L607" s="84">
        <f>IF(OR($J607="",$K607=""),"",IFERROR(INDEX(設定!$F$6:$F$21,MATCH($G607,設定!$B$6:$B$21,0)),0))</f>
        <v/>
      </c>
      <c r="M607" s="85">
        <f>IF(OR($J607="",$K607=""),"",ROUND(($K607-$J607)*24-$L607/60,2))</f>
        <v/>
      </c>
      <c r="N607" s="16">
        <f>IF($C607="","",IF(AND(COUNTIF(設定!$B$15:$B$21,$G607)&gt;0,$J607&lt;&gt;""),"假日出勤",IF(AND(COUNTIF(設定!$B$6:$B$14,$G607)&gt;0,$J607=""),"未打卡",IF($J607="","",IF($O607&gt;0,"遲到",IF($P607&gt;0,"早退","正常"))))))</f>
        <v/>
      </c>
      <c r="O607" s="84">
        <f>IF(OR($C607="",$H607="",$J607=""),0,IF(ROUND(($J607-$H607)*1440,0)&gt;設定!$C$46,ROUND(($J607-$H607)*1440,0),0))</f>
        <v/>
      </c>
      <c r="P607" s="84">
        <f>IF(OR($C607="",$I607="",$K607=""),0,IF(ROUND(($I607-$K607)*1440,0)&gt;設定!$C$46,ROUND(($I607-$K607)*1440,0),0))</f>
        <v/>
      </c>
      <c r="Q607" s="85">
        <f>IF($M607="",0,IF(($M607-IFERROR(INDEX(設定!$G$6:$G$21,MATCH($G607,設定!$B$6:$B$21,0)),0))*60&gt;=設定!$C$44,ROUND(FLOOR(($M607-IFERROR(INDEX(設定!$G$6:$G$21,MATCH($G607,設定!$B$6:$B$21,0)),0))*60,設定!$C$45)/60,2),0))</f>
        <v/>
      </c>
      <c r="R607" s="16">
        <f>IF(OR($C607="",$Q607=0),"",IF($G607="國","國定假日",IF($B607="日","例假",IF($B607="六","休息日","平日"))))</f>
        <v/>
      </c>
      <c r="S607" s="19" t="n"/>
    </row>
    <row r="608">
      <c r="A608" s="82">
        <f>IF(OR(助理班表!$A24="",17&gt;DAY(EOMONTH(DATE(設定!$C$2,設定!$D$2,1),0))),"",DATE(設定!$C$2,設定!$D$2,17))</f>
        <v/>
      </c>
      <c r="B608" s="16">
        <f>IF($A608="","",INDEX(設定!$O$6:$O$12,WEEKDAY($A608,1)))</f>
        <v/>
      </c>
      <c r="C608" s="16">
        <f>IF($A608="","",助理班表!$A24)</f>
        <v/>
      </c>
      <c r="D608" s="16">
        <f>IF($C608="","",助理班表!$B24)</f>
        <v/>
      </c>
      <c r="E608" s="16">
        <f>IF($C608="","",助理班表!$D24)</f>
        <v/>
      </c>
      <c r="F608" s="16">
        <f>IF($C608="","",助理班表!$C24)</f>
        <v/>
      </c>
      <c r="G608" s="16">
        <f>IF($C608="","",助理班表!U24)</f>
        <v/>
      </c>
      <c r="H608" s="83">
        <f>IF($G608="","",IFERROR(IF(INDEX(設定!$D$6:$D$21,MATCH($G608,設定!$B$6:$B$21,0))=0,"",INDEX(設定!$D$6:$D$21,MATCH($G608,設定!$B$6:$B$21,0))),""))</f>
        <v/>
      </c>
      <c r="I608" s="83">
        <f>IF($G608="","",IFERROR(IF(INDEX(設定!$E$6:$E$21,MATCH($G608,設定!$B$6:$B$21,0))=0,"",INDEX(設定!$E$6:$E$21,MATCH($G608,設定!$B$6:$B$21,0))),""))</f>
        <v/>
      </c>
      <c r="J608" s="83">
        <f>IFERROR(INDEX(打卡匯入!$C$3:$C$2002,MATCH($C608&amp;"|"&amp;DAY($A608),打卡匯入!$E$3:$E$2002,0)),"")</f>
        <v/>
      </c>
      <c r="K608" s="83">
        <f>IFERROR(INDEX(打卡匯入!$D$3:$D$2002,MATCH($C608&amp;"|"&amp;DAY($A608),打卡匯入!$E$3:$E$2002,0)),"")</f>
        <v/>
      </c>
      <c r="L608" s="84">
        <f>IF(OR($J608="",$K608=""),"",IFERROR(INDEX(設定!$F$6:$F$21,MATCH($G608,設定!$B$6:$B$21,0)),0))</f>
        <v/>
      </c>
      <c r="M608" s="85">
        <f>IF(OR($J608="",$K608=""),"",ROUND(($K608-$J608)*24-$L608/60,2))</f>
        <v/>
      </c>
      <c r="N608" s="16">
        <f>IF($C608="","",IF(AND(COUNTIF(設定!$B$15:$B$21,$G608)&gt;0,$J608&lt;&gt;""),"假日出勤",IF(AND(COUNTIF(設定!$B$6:$B$14,$G608)&gt;0,$J608=""),"未打卡",IF($J608="","",IF($O608&gt;0,"遲到",IF($P608&gt;0,"早退","正常"))))))</f>
        <v/>
      </c>
      <c r="O608" s="84">
        <f>IF(OR($C608="",$H608="",$J608=""),0,IF(ROUND(($J608-$H608)*1440,0)&gt;設定!$C$46,ROUND(($J608-$H608)*1440,0),0))</f>
        <v/>
      </c>
      <c r="P608" s="84">
        <f>IF(OR($C608="",$I608="",$K608=""),0,IF(ROUND(($I608-$K608)*1440,0)&gt;設定!$C$46,ROUND(($I608-$K608)*1440,0),0))</f>
        <v/>
      </c>
      <c r="Q608" s="85">
        <f>IF($M608="",0,IF(($M608-IFERROR(INDEX(設定!$G$6:$G$21,MATCH($G608,設定!$B$6:$B$21,0)),0))*60&gt;=設定!$C$44,ROUND(FLOOR(($M608-IFERROR(INDEX(設定!$G$6:$G$21,MATCH($G608,設定!$B$6:$B$21,0)),0))*60,設定!$C$45)/60,2),0))</f>
        <v/>
      </c>
      <c r="R608" s="16">
        <f>IF(OR($C608="",$Q608=0),"",IF($G608="國","國定假日",IF($B608="日","例假",IF($B608="六","休息日","平日"))))</f>
        <v/>
      </c>
      <c r="S608" s="19" t="n"/>
    </row>
    <row r="609">
      <c r="A609" s="82">
        <f>IF(OR(助理班表!$A24="",18&gt;DAY(EOMONTH(DATE(設定!$C$2,設定!$D$2,1),0))),"",DATE(設定!$C$2,設定!$D$2,18))</f>
        <v/>
      </c>
      <c r="B609" s="16">
        <f>IF($A609="","",INDEX(設定!$O$6:$O$12,WEEKDAY($A609,1)))</f>
        <v/>
      </c>
      <c r="C609" s="16">
        <f>IF($A609="","",助理班表!$A24)</f>
        <v/>
      </c>
      <c r="D609" s="16">
        <f>IF($C609="","",助理班表!$B24)</f>
        <v/>
      </c>
      <c r="E609" s="16">
        <f>IF($C609="","",助理班表!$D24)</f>
        <v/>
      </c>
      <c r="F609" s="16">
        <f>IF($C609="","",助理班表!$C24)</f>
        <v/>
      </c>
      <c r="G609" s="16">
        <f>IF($C609="","",助理班表!V24)</f>
        <v/>
      </c>
      <c r="H609" s="83">
        <f>IF($G609="","",IFERROR(IF(INDEX(設定!$D$6:$D$21,MATCH($G609,設定!$B$6:$B$21,0))=0,"",INDEX(設定!$D$6:$D$21,MATCH($G609,設定!$B$6:$B$21,0))),""))</f>
        <v/>
      </c>
      <c r="I609" s="83">
        <f>IF($G609="","",IFERROR(IF(INDEX(設定!$E$6:$E$21,MATCH($G609,設定!$B$6:$B$21,0))=0,"",INDEX(設定!$E$6:$E$21,MATCH($G609,設定!$B$6:$B$21,0))),""))</f>
        <v/>
      </c>
      <c r="J609" s="83">
        <f>IFERROR(INDEX(打卡匯入!$C$3:$C$2002,MATCH($C609&amp;"|"&amp;DAY($A609),打卡匯入!$E$3:$E$2002,0)),"")</f>
        <v/>
      </c>
      <c r="K609" s="83">
        <f>IFERROR(INDEX(打卡匯入!$D$3:$D$2002,MATCH($C609&amp;"|"&amp;DAY($A609),打卡匯入!$E$3:$E$2002,0)),"")</f>
        <v/>
      </c>
      <c r="L609" s="84">
        <f>IF(OR($J609="",$K609=""),"",IFERROR(INDEX(設定!$F$6:$F$21,MATCH($G609,設定!$B$6:$B$21,0)),0))</f>
        <v/>
      </c>
      <c r="M609" s="85">
        <f>IF(OR($J609="",$K609=""),"",ROUND(($K609-$J609)*24-$L609/60,2))</f>
        <v/>
      </c>
      <c r="N609" s="16">
        <f>IF($C609="","",IF(AND(COUNTIF(設定!$B$15:$B$21,$G609)&gt;0,$J609&lt;&gt;""),"假日出勤",IF(AND(COUNTIF(設定!$B$6:$B$14,$G609)&gt;0,$J609=""),"未打卡",IF($J609="","",IF($O609&gt;0,"遲到",IF($P609&gt;0,"早退","正常"))))))</f>
        <v/>
      </c>
      <c r="O609" s="84">
        <f>IF(OR($C609="",$H609="",$J609=""),0,IF(ROUND(($J609-$H609)*1440,0)&gt;設定!$C$46,ROUND(($J609-$H609)*1440,0),0))</f>
        <v/>
      </c>
      <c r="P609" s="84">
        <f>IF(OR($C609="",$I609="",$K609=""),0,IF(ROUND(($I609-$K609)*1440,0)&gt;設定!$C$46,ROUND(($I609-$K609)*1440,0),0))</f>
        <v/>
      </c>
      <c r="Q609" s="85">
        <f>IF($M609="",0,IF(($M609-IFERROR(INDEX(設定!$G$6:$G$21,MATCH($G609,設定!$B$6:$B$21,0)),0))*60&gt;=設定!$C$44,ROUND(FLOOR(($M609-IFERROR(INDEX(設定!$G$6:$G$21,MATCH($G609,設定!$B$6:$B$21,0)),0))*60,設定!$C$45)/60,2),0))</f>
        <v/>
      </c>
      <c r="R609" s="16">
        <f>IF(OR($C609="",$Q609=0),"",IF($G609="國","國定假日",IF($B609="日","例假",IF($B609="六","休息日","平日"))))</f>
        <v/>
      </c>
      <c r="S609" s="19" t="n"/>
    </row>
    <row r="610">
      <c r="A610" s="82">
        <f>IF(OR(助理班表!$A24="",19&gt;DAY(EOMONTH(DATE(設定!$C$2,設定!$D$2,1),0))),"",DATE(設定!$C$2,設定!$D$2,19))</f>
        <v/>
      </c>
      <c r="B610" s="16">
        <f>IF($A610="","",INDEX(設定!$O$6:$O$12,WEEKDAY($A610,1)))</f>
        <v/>
      </c>
      <c r="C610" s="16">
        <f>IF($A610="","",助理班表!$A24)</f>
        <v/>
      </c>
      <c r="D610" s="16">
        <f>IF($C610="","",助理班表!$B24)</f>
        <v/>
      </c>
      <c r="E610" s="16">
        <f>IF($C610="","",助理班表!$D24)</f>
        <v/>
      </c>
      <c r="F610" s="16">
        <f>IF($C610="","",助理班表!$C24)</f>
        <v/>
      </c>
      <c r="G610" s="16">
        <f>IF($C610="","",助理班表!W24)</f>
        <v/>
      </c>
      <c r="H610" s="83">
        <f>IF($G610="","",IFERROR(IF(INDEX(設定!$D$6:$D$21,MATCH($G610,設定!$B$6:$B$21,0))=0,"",INDEX(設定!$D$6:$D$21,MATCH($G610,設定!$B$6:$B$21,0))),""))</f>
        <v/>
      </c>
      <c r="I610" s="83">
        <f>IF($G610="","",IFERROR(IF(INDEX(設定!$E$6:$E$21,MATCH($G610,設定!$B$6:$B$21,0))=0,"",INDEX(設定!$E$6:$E$21,MATCH($G610,設定!$B$6:$B$21,0))),""))</f>
        <v/>
      </c>
      <c r="J610" s="83">
        <f>IFERROR(INDEX(打卡匯入!$C$3:$C$2002,MATCH($C610&amp;"|"&amp;DAY($A610),打卡匯入!$E$3:$E$2002,0)),"")</f>
        <v/>
      </c>
      <c r="K610" s="83">
        <f>IFERROR(INDEX(打卡匯入!$D$3:$D$2002,MATCH($C610&amp;"|"&amp;DAY($A610),打卡匯入!$E$3:$E$2002,0)),"")</f>
        <v/>
      </c>
      <c r="L610" s="84">
        <f>IF(OR($J610="",$K610=""),"",IFERROR(INDEX(設定!$F$6:$F$21,MATCH($G610,設定!$B$6:$B$21,0)),0))</f>
        <v/>
      </c>
      <c r="M610" s="85">
        <f>IF(OR($J610="",$K610=""),"",ROUND(($K610-$J610)*24-$L610/60,2))</f>
        <v/>
      </c>
      <c r="N610" s="16">
        <f>IF($C610="","",IF(AND(COUNTIF(設定!$B$15:$B$21,$G610)&gt;0,$J610&lt;&gt;""),"假日出勤",IF(AND(COUNTIF(設定!$B$6:$B$14,$G610)&gt;0,$J610=""),"未打卡",IF($J610="","",IF($O610&gt;0,"遲到",IF($P610&gt;0,"早退","正常"))))))</f>
        <v/>
      </c>
      <c r="O610" s="84">
        <f>IF(OR($C610="",$H610="",$J610=""),0,IF(ROUND(($J610-$H610)*1440,0)&gt;設定!$C$46,ROUND(($J610-$H610)*1440,0),0))</f>
        <v/>
      </c>
      <c r="P610" s="84">
        <f>IF(OR($C610="",$I610="",$K610=""),0,IF(ROUND(($I610-$K610)*1440,0)&gt;設定!$C$46,ROUND(($I610-$K610)*1440,0),0))</f>
        <v/>
      </c>
      <c r="Q610" s="85">
        <f>IF($M610="",0,IF(($M610-IFERROR(INDEX(設定!$G$6:$G$21,MATCH($G610,設定!$B$6:$B$21,0)),0))*60&gt;=設定!$C$44,ROUND(FLOOR(($M610-IFERROR(INDEX(設定!$G$6:$G$21,MATCH($G610,設定!$B$6:$B$21,0)),0))*60,設定!$C$45)/60,2),0))</f>
        <v/>
      </c>
      <c r="R610" s="16">
        <f>IF(OR($C610="",$Q610=0),"",IF($G610="國","國定假日",IF($B610="日","例假",IF($B610="六","休息日","平日"))))</f>
        <v/>
      </c>
      <c r="S610" s="19" t="n"/>
    </row>
    <row r="611">
      <c r="A611" s="82">
        <f>IF(OR(助理班表!$A24="",20&gt;DAY(EOMONTH(DATE(設定!$C$2,設定!$D$2,1),0))),"",DATE(設定!$C$2,設定!$D$2,20))</f>
        <v/>
      </c>
      <c r="B611" s="16">
        <f>IF($A611="","",INDEX(設定!$O$6:$O$12,WEEKDAY($A611,1)))</f>
        <v/>
      </c>
      <c r="C611" s="16">
        <f>IF($A611="","",助理班表!$A24)</f>
        <v/>
      </c>
      <c r="D611" s="16">
        <f>IF($C611="","",助理班表!$B24)</f>
        <v/>
      </c>
      <c r="E611" s="16">
        <f>IF($C611="","",助理班表!$D24)</f>
        <v/>
      </c>
      <c r="F611" s="16">
        <f>IF($C611="","",助理班表!$C24)</f>
        <v/>
      </c>
      <c r="G611" s="16">
        <f>IF($C611="","",助理班表!X24)</f>
        <v/>
      </c>
      <c r="H611" s="83">
        <f>IF($G611="","",IFERROR(IF(INDEX(設定!$D$6:$D$21,MATCH($G611,設定!$B$6:$B$21,0))=0,"",INDEX(設定!$D$6:$D$21,MATCH($G611,設定!$B$6:$B$21,0))),""))</f>
        <v/>
      </c>
      <c r="I611" s="83">
        <f>IF($G611="","",IFERROR(IF(INDEX(設定!$E$6:$E$21,MATCH($G611,設定!$B$6:$B$21,0))=0,"",INDEX(設定!$E$6:$E$21,MATCH($G611,設定!$B$6:$B$21,0))),""))</f>
        <v/>
      </c>
      <c r="J611" s="83">
        <f>IFERROR(INDEX(打卡匯入!$C$3:$C$2002,MATCH($C611&amp;"|"&amp;DAY($A611),打卡匯入!$E$3:$E$2002,0)),"")</f>
        <v/>
      </c>
      <c r="K611" s="83">
        <f>IFERROR(INDEX(打卡匯入!$D$3:$D$2002,MATCH($C611&amp;"|"&amp;DAY($A611),打卡匯入!$E$3:$E$2002,0)),"")</f>
        <v/>
      </c>
      <c r="L611" s="84">
        <f>IF(OR($J611="",$K611=""),"",IFERROR(INDEX(設定!$F$6:$F$21,MATCH($G611,設定!$B$6:$B$21,0)),0))</f>
        <v/>
      </c>
      <c r="M611" s="85">
        <f>IF(OR($J611="",$K611=""),"",ROUND(($K611-$J611)*24-$L611/60,2))</f>
        <v/>
      </c>
      <c r="N611" s="16">
        <f>IF($C611="","",IF(AND(COUNTIF(設定!$B$15:$B$21,$G611)&gt;0,$J611&lt;&gt;""),"假日出勤",IF(AND(COUNTIF(設定!$B$6:$B$14,$G611)&gt;0,$J611=""),"未打卡",IF($J611="","",IF($O611&gt;0,"遲到",IF($P611&gt;0,"早退","正常"))))))</f>
        <v/>
      </c>
      <c r="O611" s="84">
        <f>IF(OR($C611="",$H611="",$J611=""),0,IF(ROUND(($J611-$H611)*1440,0)&gt;設定!$C$46,ROUND(($J611-$H611)*1440,0),0))</f>
        <v/>
      </c>
      <c r="P611" s="84">
        <f>IF(OR($C611="",$I611="",$K611=""),0,IF(ROUND(($I611-$K611)*1440,0)&gt;設定!$C$46,ROUND(($I611-$K611)*1440,0),0))</f>
        <v/>
      </c>
      <c r="Q611" s="85">
        <f>IF($M611="",0,IF(($M611-IFERROR(INDEX(設定!$G$6:$G$21,MATCH($G611,設定!$B$6:$B$21,0)),0))*60&gt;=設定!$C$44,ROUND(FLOOR(($M611-IFERROR(INDEX(設定!$G$6:$G$21,MATCH($G611,設定!$B$6:$B$21,0)),0))*60,設定!$C$45)/60,2),0))</f>
        <v/>
      </c>
      <c r="R611" s="16">
        <f>IF(OR($C611="",$Q611=0),"",IF($G611="國","國定假日",IF($B611="日","例假",IF($B611="六","休息日","平日"))))</f>
        <v/>
      </c>
      <c r="S611" s="19" t="n"/>
    </row>
    <row r="612">
      <c r="A612" s="82">
        <f>IF(OR(助理班表!$A24="",21&gt;DAY(EOMONTH(DATE(設定!$C$2,設定!$D$2,1),0))),"",DATE(設定!$C$2,設定!$D$2,21))</f>
        <v/>
      </c>
      <c r="B612" s="16">
        <f>IF($A612="","",INDEX(設定!$O$6:$O$12,WEEKDAY($A612,1)))</f>
        <v/>
      </c>
      <c r="C612" s="16">
        <f>IF($A612="","",助理班表!$A24)</f>
        <v/>
      </c>
      <c r="D612" s="16">
        <f>IF($C612="","",助理班表!$B24)</f>
        <v/>
      </c>
      <c r="E612" s="16">
        <f>IF($C612="","",助理班表!$D24)</f>
        <v/>
      </c>
      <c r="F612" s="16">
        <f>IF($C612="","",助理班表!$C24)</f>
        <v/>
      </c>
      <c r="G612" s="16">
        <f>IF($C612="","",助理班表!Y24)</f>
        <v/>
      </c>
      <c r="H612" s="83">
        <f>IF($G612="","",IFERROR(IF(INDEX(設定!$D$6:$D$21,MATCH($G612,設定!$B$6:$B$21,0))=0,"",INDEX(設定!$D$6:$D$21,MATCH($G612,設定!$B$6:$B$21,0))),""))</f>
        <v/>
      </c>
      <c r="I612" s="83">
        <f>IF($G612="","",IFERROR(IF(INDEX(設定!$E$6:$E$21,MATCH($G612,設定!$B$6:$B$21,0))=0,"",INDEX(設定!$E$6:$E$21,MATCH($G612,設定!$B$6:$B$21,0))),""))</f>
        <v/>
      </c>
      <c r="J612" s="83">
        <f>IFERROR(INDEX(打卡匯入!$C$3:$C$2002,MATCH($C612&amp;"|"&amp;DAY($A612),打卡匯入!$E$3:$E$2002,0)),"")</f>
        <v/>
      </c>
      <c r="K612" s="83">
        <f>IFERROR(INDEX(打卡匯入!$D$3:$D$2002,MATCH($C612&amp;"|"&amp;DAY($A612),打卡匯入!$E$3:$E$2002,0)),"")</f>
        <v/>
      </c>
      <c r="L612" s="84">
        <f>IF(OR($J612="",$K612=""),"",IFERROR(INDEX(設定!$F$6:$F$21,MATCH($G612,設定!$B$6:$B$21,0)),0))</f>
        <v/>
      </c>
      <c r="M612" s="85">
        <f>IF(OR($J612="",$K612=""),"",ROUND(($K612-$J612)*24-$L612/60,2))</f>
        <v/>
      </c>
      <c r="N612" s="16">
        <f>IF($C612="","",IF(AND(COUNTIF(設定!$B$15:$B$21,$G612)&gt;0,$J612&lt;&gt;""),"假日出勤",IF(AND(COUNTIF(設定!$B$6:$B$14,$G612)&gt;0,$J612=""),"未打卡",IF($J612="","",IF($O612&gt;0,"遲到",IF($P612&gt;0,"早退","正常"))))))</f>
        <v/>
      </c>
      <c r="O612" s="84">
        <f>IF(OR($C612="",$H612="",$J612=""),0,IF(ROUND(($J612-$H612)*1440,0)&gt;設定!$C$46,ROUND(($J612-$H612)*1440,0),0))</f>
        <v/>
      </c>
      <c r="P612" s="84">
        <f>IF(OR($C612="",$I612="",$K612=""),0,IF(ROUND(($I612-$K612)*1440,0)&gt;設定!$C$46,ROUND(($I612-$K612)*1440,0),0))</f>
        <v/>
      </c>
      <c r="Q612" s="85">
        <f>IF($M612="",0,IF(($M612-IFERROR(INDEX(設定!$G$6:$G$21,MATCH($G612,設定!$B$6:$B$21,0)),0))*60&gt;=設定!$C$44,ROUND(FLOOR(($M612-IFERROR(INDEX(設定!$G$6:$G$21,MATCH($G612,設定!$B$6:$B$21,0)),0))*60,設定!$C$45)/60,2),0))</f>
        <v/>
      </c>
      <c r="R612" s="16">
        <f>IF(OR($C612="",$Q612=0),"",IF($G612="國","國定假日",IF($B612="日","例假",IF($B612="六","休息日","平日"))))</f>
        <v/>
      </c>
      <c r="S612" s="19" t="n"/>
    </row>
    <row r="613">
      <c r="A613" s="82">
        <f>IF(OR(助理班表!$A24="",22&gt;DAY(EOMONTH(DATE(設定!$C$2,設定!$D$2,1),0))),"",DATE(設定!$C$2,設定!$D$2,22))</f>
        <v/>
      </c>
      <c r="B613" s="16">
        <f>IF($A613="","",INDEX(設定!$O$6:$O$12,WEEKDAY($A613,1)))</f>
        <v/>
      </c>
      <c r="C613" s="16">
        <f>IF($A613="","",助理班表!$A24)</f>
        <v/>
      </c>
      <c r="D613" s="16">
        <f>IF($C613="","",助理班表!$B24)</f>
        <v/>
      </c>
      <c r="E613" s="16">
        <f>IF($C613="","",助理班表!$D24)</f>
        <v/>
      </c>
      <c r="F613" s="16">
        <f>IF($C613="","",助理班表!$C24)</f>
        <v/>
      </c>
      <c r="G613" s="16">
        <f>IF($C613="","",助理班表!Z24)</f>
        <v/>
      </c>
      <c r="H613" s="83">
        <f>IF($G613="","",IFERROR(IF(INDEX(設定!$D$6:$D$21,MATCH($G613,設定!$B$6:$B$21,0))=0,"",INDEX(設定!$D$6:$D$21,MATCH($G613,設定!$B$6:$B$21,0))),""))</f>
        <v/>
      </c>
      <c r="I613" s="83">
        <f>IF($G613="","",IFERROR(IF(INDEX(設定!$E$6:$E$21,MATCH($G613,設定!$B$6:$B$21,0))=0,"",INDEX(設定!$E$6:$E$21,MATCH($G613,設定!$B$6:$B$21,0))),""))</f>
        <v/>
      </c>
      <c r="J613" s="83">
        <f>IFERROR(INDEX(打卡匯入!$C$3:$C$2002,MATCH($C613&amp;"|"&amp;DAY($A613),打卡匯入!$E$3:$E$2002,0)),"")</f>
        <v/>
      </c>
      <c r="K613" s="83">
        <f>IFERROR(INDEX(打卡匯入!$D$3:$D$2002,MATCH($C613&amp;"|"&amp;DAY($A613),打卡匯入!$E$3:$E$2002,0)),"")</f>
        <v/>
      </c>
      <c r="L613" s="84">
        <f>IF(OR($J613="",$K613=""),"",IFERROR(INDEX(設定!$F$6:$F$21,MATCH($G613,設定!$B$6:$B$21,0)),0))</f>
        <v/>
      </c>
      <c r="M613" s="85">
        <f>IF(OR($J613="",$K613=""),"",ROUND(($K613-$J613)*24-$L613/60,2))</f>
        <v/>
      </c>
      <c r="N613" s="16">
        <f>IF($C613="","",IF(AND(COUNTIF(設定!$B$15:$B$21,$G613)&gt;0,$J613&lt;&gt;""),"假日出勤",IF(AND(COUNTIF(設定!$B$6:$B$14,$G613)&gt;0,$J613=""),"未打卡",IF($J613="","",IF($O613&gt;0,"遲到",IF($P613&gt;0,"早退","正常"))))))</f>
        <v/>
      </c>
      <c r="O613" s="84">
        <f>IF(OR($C613="",$H613="",$J613=""),0,IF(ROUND(($J613-$H613)*1440,0)&gt;設定!$C$46,ROUND(($J613-$H613)*1440,0),0))</f>
        <v/>
      </c>
      <c r="P613" s="84">
        <f>IF(OR($C613="",$I613="",$K613=""),0,IF(ROUND(($I613-$K613)*1440,0)&gt;設定!$C$46,ROUND(($I613-$K613)*1440,0),0))</f>
        <v/>
      </c>
      <c r="Q613" s="85">
        <f>IF($M613="",0,IF(($M613-IFERROR(INDEX(設定!$G$6:$G$21,MATCH($G613,設定!$B$6:$B$21,0)),0))*60&gt;=設定!$C$44,ROUND(FLOOR(($M613-IFERROR(INDEX(設定!$G$6:$G$21,MATCH($G613,設定!$B$6:$B$21,0)),0))*60,設定!$C$45)/60,2),0))</f>
        <v/>
      </c>
      <c r="R613" s="16">
        <f>IF(OR($C613="",$Q613=0),"",IF($G613="國","國定假日",IF($B613="日","例假",IF($B613="六","休息日","平日"))))</f>
        <v/>
      </c>
      <c r="S613" s="19" t="n"/>
    </row>
    <row r="614">
      <c r="A614" s="82">
        <f>IF(OR(助理班表!$A24="",23&gt;DAY(EOMONTH(DATE(設定!$C$2,設定!$D$2,1),0))),"",DATE(設定!$C$2,設定!$D$2,23))</f>
        <v/>
      </c>
      <c r="B614" s="16">
        <f>IF($A614="","",INDEX(設定!$O$6:$O$12,WEEKDAY($A614,1)))</f>
        <v/>
      </c>
      <c r="C614" s="16">
        <f>IF($A614="","",助理班表!$A24)</f>
        <v/>
      </c>
      <c r="D614" s="16">
        <f>IF($C614="","",助理班表!$B24)</f>
        <v/>
      </c>
      <c r="E614" s="16">
        <f>IF($C614="","",助理班表!$D24)</f>
        <v/>
      </c>
      <c r="F614" s="16">
        <f>IF($C614="","",助理班表!$C24)</f>
        <v/>
      </c>
      <c r="G614" s="16">
        <f>IF($C614="","",助理班表!AA24)</f>
        <v/>
      </c>
      <c r="H614" s="83">
        <f>IF($G614="","",IFERROR(IF(INDEX(設定!$D$6:$D$21,MATCH($G614,設定!$B$6:$B$21,0))=0,"",INDEX(設定!$D$6:$D$21,MATCH($G614,設定!$B$6:$B$21,0))),""))</f>
        <v/>
      </c>
      <c r="I614" s="83">
        <f>IF($G614="","",IFERROR(IF(INDEX(設定!$E$6:$E$21,MATCH($G614,設定!$B$6:$B$21,0))=0,"",INDEX(設定!$E$6:$E$21,MATCH($G614,設定!$B$6:$B$21,0))),""))</f>
        <v/>
      </c>
      <c r="J614" s="83">
        <f>IFERROR(INDEX(打卡匯入!$C$3:$C$2002,MATCH($C614&amp;"|"&amp;DAY($A614),打卡匯入!$E$3:$E$2002,0)),"")</f>
        <v/>
      </c>
      <c r="K614" s="83">
        <f>IFERROR(INDEX(打卡匯入!$D$3:$D$2002,MATCH($C614&amp;"|"&amp;DAY($A614),打卡匯入!$E$3:$E$2002,0)),"")</f>
        <v/>
      </c>
      <c r="L614" s="84">
        <f>IF(OR($J614="",$K614=""),"",IFERROR(INDEX(設定!$F$6:$F$21,MATCH($G614,設定!$B$6:$B$21,0)),0))</f>
        <v/>
      </c>
      <c r="M614" s="85">
        <f>IF(OR($J614="",$K614=""),"",ROUND(($K614-$J614)*24-$L614/60,2))</f>
        <v/>
      </c>
      <c r="N614" s="16">
        <f>IF($C614="","",IF(AND(COUNTIF(設定!$B$15:$B$21,$G614)&gt;0,$J614&lt;&gt;""),"假日出勤",IF(AND(COUNTIF(設定!$B$6:$B$14,$G614)&gt;0,$J614=""),"未打卡",IF($J614="","",IF($O614&gt;0,"遲到",IF($P614&gt;0,"早退","正常"))))))</f>
        <v/>
      </c>
      <c r="O614" s="84">
        <f>IF(OR($C614="",$H614="",$J614=""),0,IF(ROUND(($J614-$H614)*1440,0)&gt;設定!$C$46,ROUND(($J614-$H614)*1440,0),0))</f>
        <v/>
      </c>
      <c r="P614" s="84">
        <f>IF(OR($C614="",$I614="",$K614=""),0,IF(ROUND(($I614-$K614)*1440,0)&gt;設定!$C$46,ROUND(($I614-$K614)*1440,0),0))</f>
        <v/>
      </c>
      <c r="Q614" s="85">
        <f>IF($M614="",0,IF(($M614-IFERROR(INDEX(設定!$G$6:$G$21,MATCH($G614,設定!$B$6:$B$21,0)),0))*60&gt;=設定!$C$44,ROUND(FLOOR(($M614-IFERROR(INDEX(設定!$G$6:$G$21,MATCH($G614,設定!$B$6:$B$21,0)),0))*60,設定!$C$45)/60,2),0))</f>
        <v/>
      </c>
      <c r="R614" s="16">
        <f>IF(OR($C614="",$Q614=0),"",IF($G614="國","國定假日",IF($B614="日","例假",IF($B614="六","休息日","平日"))))</f>
        <v/>
      </c>
      <c r="S614" s="19" t="n"/>
    </row>
    <row r="615">
      <c r="A615" s="82">
        <f>IF(OR(助理班表!$A24="",24&gt;DAY(EOMONTH(DATE(設定!$C$2,設定!$D$2,1),0))),"",DATE(設定!$C$2,設定!$D$2,24))</f>
        <v/>
      </c>
      <c r="B615" s="16">
        <f>IF($A615="","",INDEX(設定!$O$6:$O$12,WEEKDAY($A615,1)))</f>
        <v/>
      </c>
      <c r="C615" s="16">
        <f>IF($A615="","",助理班表!$A24)</f>
        <v/>
      </c>
      <c r="D615" s="16">
        <f>IF($C615="","",助理班表!$B24)</f>
        <v/>
      </c>
      <c r="E615" s="16">
        <f>IF($C615="","",助理班表!$D24)</f>
        <v/>
      </c>
      <c r="F615" s="16">
        <f>IF($C615="","",助理班表!$C24)</f>
        <v/>
      </c>
      <c r="G615" s="16">
        <f>IF($C615="","",助理班表!AB24)</f>
        <v/>
      </c>
      <c r="H615" s="83">
        <f>IF($G615="","",IFERROR(IF(INDEX(設定!$D$6:$D$21,MATCH($G615,設定!$B$6:$B$21,0))=0,"",INDEX(設定!$D$6:$D$21,MATCH($G615,設定!$B$6:$B$21,0))),""))</f>
        <v/>
      </c>
      <c r="I615" s="83">
        <f>IF($G615="","",IFERROR(IF(INDEX(設定!$E$6:$E$21,MATCH($G615,設定!$B$6:$B$21,0))=0,"",INDEX(設定!$E$6:$E$21,MATCH($G615,設定!$B$6:$B$21,0))),""))</f>
        <v/>
      </c>
      <c r="J615" s="83">
        <f>IFERROR(INDEX(打卡匯入!$C$3:$C$2002,MATCH($C615&amp;"|"&amp;DAY($A615),打卡匯入!$E$3:$E$2002,0)),"")</f>
        <v/>
      </c>
      <c r="K615" s="83">
        <f>IFERROR(INDEX(打卡匯入!$D$3:$D$2002,MATCH($C615&amp;"|"&amp;DAY($A615),打卡匯入!$E$3:$E$2002,0)),"")</f>
        <v/>
      </c>
      <c r="L615" s="84">
        <f>IF(OR($J615="",$K615=""),"",IFERROR(INDEX(設定!$F$6:$F$21,MATCH($G615,設定!$B$6:$B$21,0)),0))</f>
        <v/>
      </c>
      <c r="M615" s="85">
        <f>IF(OR($J615="",$K615=""),"",ROUND(($K615-$J615)*24-$L615/60,2))</f>
        <v/>
      </c>
      <c r="N615" s="16">
        <f>IF($C615="","",IF(AND(COUNTIF(設定!$B$15:$B$21,$G615)&gt;0,$J615&lt;&gt;""),"假日出勤",IF(AND(COUNTIF(設定!$B$6:$B$14,$G615)&gt;0,$J615=""),"未打卡",IF($J615="","",IF($O615&gt;0,"遲到",IF($P615&gt;0,"早退","正常"))))))</f>
        <v/>
      </c>
      <c r="O615" s="84">
        <f>IF(OR($C615="",$H615="",$J615=""),0,IF(ROUND(($J615-$H615)*1440,0)&gt;設定!$C$46,ROUND(($J615-$H615)*1440,0),0))</f>
        <v/>
      </c>
      <c r="P615" s="84">
        <f>IF(OR($C615="",$I615="",$K615=""),0,IF(ROUND(($I615-$K615)*1440,0)&gt;設定!$C$46,ROUND(($I615-$K615)*1440,0),0))</f>
        <v/>
      </c>
      <c r="Q615" s="85">
        <f>IF($M615="",0,IF(($M615-IFERROR(INDEX(設定!$G$6:$G$21,MATCH($G615,設定!$B$6:$B$21,0)),0))*60&gt;=設定!$C$44,ROUND(FLOOR(($M615-IFERROR(INDEX(設定!$G$6:$G$21,MATCH($G615,設定!$B$6:$B$21,0)),0))*60,設定!$C$45)/60,2),0))</f>
        <v/>
      </c>
      <c r="R615" s="16">
        <f>IF(OR($C615="",$Q615=0),"",IF($G615="國","國定假日",IF($B615="日","例假",IF($B615="六","休息日","平日"))))</f>
        <v/>
      </c>
      <c r="S615" s="19" t="n"/>
    </row>
    <row r="616">
      <c r="A616" s="82">
        <f>IF(OR(助理班表!$A24="",25&gt;DAY(EOMONTH(DATE(設定!$C$2,設定!$D$2,1),0))),"",DATE(設定!$C$2,設定!$D$2,25))</f>
        <v/>
      </c>
      <c r="B616" s="16">
        <f>IF($A616="","",INDEX(設定!$O$6:$O$12,WEEKDAY($A616,1)))</f>
        <v/>
      </c>
      <c r="C616" s="16">
        <f>IF($A616="","",助理班表!$A24)</f>
        <v/>
      </c>
      <c r="D616" s="16">
        <f>IF($C616="","",助理班表!$B24)</f>
        <v/>
      </c>
      <c r="E616" s="16">
        <f>IF($C616="","",助理班表!$D24)</f>
        <v/>
      </c>
      <c r="F616" s="16">
        <f>IF($C616="","",助理班表!$C24)</f>
        <v/>
      </c>
      <c r="G616" s="16">
        <f>IF($C616="","",助理班表!AC24)</f>
        <v/>
      </c>
      <c r="H616" s="83">
        <f>IF($G616="","",IFERROR(IF(INDEX(設定!$D$6:$D$21,MATCH($G616,設定!$B$6:$B$21,0))=0,"",INDEX(設定!$D$6:$D$21,MATCH($G616,設定!$B$6:$B$21,0))),""))</f>
        <v/>
      </c>
      <c r="I616" s="83">
        <f>IF($G616="","",IFERROR(IF(INDEX(設定!$E$6:$E$21,MATCH($G616,設定!$B$6:$B$21,0))=0,"",INDEX(設定!$E$6:$E$21,MATCH($G616,設定!$B$6:$B$21,0))),""))</f>
        <v/>
      </c>
      <c r="J616" s="83">
        <f>IFERROR(INDEX(打卡匯入!$C$3:$C$2002,MATCH($C616&amp;"|"&amp;DAY($A616),打卡匯入!$E$3:$E$2002,0)),"")</f>
        <v/>
      </c>
      <c r="K616" s="83">
        <f>IFERROR(INDEX(打卡匯入!$D$3:$D$2002,MATCH($C616&amp;"|"&amp;DAY($A616),打卡匯入!$E$3:$E$2002,0)),"")</f>
        <v/>
      </c>
      <c r="L616" s="84">
        <f>IF(OR($J616="",$K616=""),"",IFERROR(INDEX(設定!$F$6:$F$21,MATCH($G616,設定!$B$6:$B$21,0)),0))</f>
        <v/>
      </c>
      <c r="M616" s="85">
        <f>IF(OR($J616="",$K616=""),"",ROUND(($K616-$J616)*24-$L616/60,2))</f>
        <v/>
      </c>
      <c r="N616" s="16">
        <f>IF($C616="","",IF(AND(COUNTIF(設定!$B$15:$B$21,$G616)&gt;0,$J616&lt;&gt;""),"假日出勤",IF(AND(COUNTIF(設定!$B$6:$B$14,$G616)&gt;0,$J616=""),"未打卡",IF($J616="","",IF($O616&gt;0,"遲到",IF($P616&gt;0,"早退","正常"))))))</f>
        <v/>
      </c>
      <c r="O616" s="84">
        <f>IF(OR($C616="",$H616="",$J616=""),0,IF(ROUND(($J616-$H616)*1440,0)&gt;設定!$C$46,ROUND(($J616-$H616)*1440,0),0))</f>
        <v/>
      </c>
      <c r="P616" s="84">
        <f>IF(OR($C616="",$I616="",$K616=""),0,IF(ROUND(($I616-$K616)*1440,0)&gt;設定!$C$46,ROUND(($I616-$K616)*1440,0),0))</f>
        <v/>
      </c>
      <c r="Q616" s="85">
        <f>IF($M616="",0,IF(($M616-IFERROR(INDEX(設定!$G$6:$G$21,MATCH($G616,設定!$B$6:$B$21,0)),0))*60&gt;=設定!$C$44,ROUND(FLOOR(($M616-IFERROR(INDEX(設定!$G$6:$G$21,MATCH($G616,設定!$B$6:$B$21,0)),0))*60,設定!$C$45)/60,2),0))</f>
        <v/>
      </c>
      <c r="R616" s="16">
        <f>IF(OR($C616="",$Q616=0),"",IF($G616="國","國定假日",IF($B616="日","例假",IF($B616="六","休息日","平日"))))</f>
        <v/>
      </c>
      <c r="S616" s="19" t="n"/>
    </row>
    <row r="617">
      <c r="A617" s="82">
        <f>IF(OR(助理班表!$A24="",26&gt;DAY(EOMONTH(DATE(設定!$C$2,設定!$D$2,1),0))),"",DATE(設定!$C$2,設定!$D$2,26))</f>
        <v/>
      </c>
      <c r="B617" s="16">
        <f>IF($A617="","",INDEX(設定!$O$6:$O$12,WEEKDAY($A617,1)))</f>
        <v/>
      </c>
      <c r="C617" s="16">
        <f>IF($A617="","",助理班表!$A24)</f>
        <v/>
      </c>
      <c r="D617" s="16">
        <f>IF($C617="","",助理班表!$B24)</f>
        <v/>
      </c>
      <c r="E617" s="16">
        <f>IF($C617="","",助理班表!$D24)</f>
        <v/>
      </c>
      <c r="F617" s="16">
        <f>IF($C617="","",助理班表!$C24)</f>
        <v/>
      </c>
      <c r="G617" s="16">
        <f>IF($C617="","",助理班表!AD24)</f>
        <v/>
      </c>
      <c r="H617" s="83">
        <f>IF($G617="","",IFERROR(IF(INDEX(設定!$D$6:$D$21,MATCH($G617,設定!$B$6:$B$21,0))=0,"",INDEX(設定!$D$6:$D$21,MATCH($G617,設定!$B$6:$B$21,0))),""))</f>
        <v/>
      </c>
      <c r="I617" s="83">
        <f>IF($G617="","",IFERROR(IF(INDEX(設定!$E$6:$E$21,MATCH($G617,設定!$B$6:$B$21,0))=0,"",INDEX(設定!$E$6:$E$21,MATCH($G617,設定!$B$6:$B$21,0))),""))</f>
        <v/>
      </c>
      <c r="J617" s="83">
        <f>IFERROR(INDEX(打卡匯入!$C$3:$C$2002,MATCH($C617&amp;"|"&amp;DAY($A617),打卡匯入!$E$3:$E$2002,0)),"")</f>
        <v/>
      </c>
      <c r="K617" s="83">
        <f>IFERROR(INDEX(打卡匯入!$D$3:$D$2002,MATCH($C617&amp;"|"&amp;DAY($A617),打卡匯入!$E$3:$E$2002,0)),"")</f>
        <v/>
      </c>
      <c r="L617" s="84">
        <f>IF(OR($J617="",$K617=""),"",IFERROR(INDEX(設定!$F$6:$F$21,MATCH($G617,設定!$B$6:$B$21,0)),0))</f>
        <v/>
      </c>
      <c r="M617" s="85">
        <f>IF(OR($J617="",$K617=""),"",ROUND(($K617-$J617)*24-$L617/60,2))</f>
        <v/>
      </c>
      <c r="N617" s="16">
        <f>IF($C617="","",IF(AND(COUNTIF(設定!$B$15:$B$21,$G617)&gt;0,$J617&lt;&gt;""),"假日出勤",IF(AND(COUNTIF(設定!$B$6:$B$14,$G617)&gt;0,$J617=""),"未打卡",IF($J617="","",IF($O617&gt;0,"遲到",IF($P617&gt;0,"早退","正常"))))))</f>
        <v/>
      </c>
      <c r="O617" s="84">
        <f>IF(OR($C617="",$H617="",$J617=""),0,IF(ROUND(($J617-$H617)*1440,0)&gt;設定!$C$46,ROUND(($J617-$H617)*1440,0),0))</f>
        <v/>
      </c>
      <c r="P617" s="84">
        <f>IF(OR($C617="",$I617="",$K617=""),0,IF(ROUND(($I617-$K617)*1440,0)&gt;設定!$C$46,ROUND(($I617-$K617)*1440,0),0))</f>
        <v/>
      </c>
      <c r="Q617" s="85">
        <f>IF($M617="",0,IF(($M617-IFERROR(INDEX(設定!$G$6:$G$21,MATCH($G617,設定!$B$6:$B$21,0)),0))*60&gt;=設定!$C$44,ROUND(FLOOR(($M617-IFERROR(INDEX(設定!$G$6:$G$21,MATCH($G617,設定!$B$6:$B$21,0)),0))*60,設定!$C$45)/60,2),0))</f>
        <v/>
      </c>
      <c r="R617" s="16">
        <f>IF(OR($C617="",$Q617=0),"",IF($G617="國","國定假日",IF($B617="日","例假",IF($B617="六","休息日","平日"))))</f>
        <v/>
      </c>
      <c r="S617" s="19" t="n"/>
    </row>
    <row r="618">
      <c r="A618" s="82">
        <f>IF(OR(助理班表!$A24="",27&gt;DAY(EOMONTH(DATE(設定!$C$2,設定!$D$2,1),0))),"",DATE(設定!$C$2,設定!$D$2,27))</f>
        <v/>
      </c>
      <c r="B618" s="16">
        <f>IF($A618="","",INDEX(設定!$O$6:$O$12,WEEKDAY($A618,1)))</f>
        <v/>
      </c>
      <c r="C618" s="16">
        <f>IF($A618="","",助理班表!$A24)</f>
        <v/>
      </c>
      <c r="D618" s="16">
        <f>IF($C618="","",助理班表!$B24)</f>
        <v/>
      </c>
      <c r="E618" s="16">
        <f>IF($C618="","",助理班表!$D24)</f>
        <v/>
      </c>
      <c r="F618" s="16">
        <f>IF($C618="","",助理班表!$C24)</f>
        <v/>
      </c>
      <c r="G618" s="16">
        <f>IF($C618="","",助理班表!AE24)</f>
        <v/>
      </c>
      <c r="H618" s="83">
        <f>IF($G618="","",IFERROR(IF(INDEX(設定!$D$6:$D$21,MATCH($G618,設定!$B$6:$B$21,0))=0,"",INDEX(設定!$D$6:$D$21,MATCH($G618,設定!$B$6:$B$21,0))),""))</f>
        <v/>
      </c>
      <c r="I618" s="83">
        <f>IF($G618="","",IFERROR(IF(INDEX(設定!$E$6:$E$21,MATCH($G618,設定!$B$6:$B$21,0))=0,"",INDEX(設定!$E$6:$E$21,MATCH($G618,設定!$B$6:$B$21,0))),""))</f>
        <v/>
      </c>
      <c r="J618" s="83">
        <f>IFERROR(INDEX(打卡匯入!$C$3:$C$2002,MATCH($C618&amp;"|"&amp;DAY($A618),打卡匯入!$E$3:$E$2002,0)),"")</f>
        <v/>
      </c>
      <c r="K618" s="83">
        <f>IFERROR(INDEX(打卡匯入!$D$3:$D$2002,MATCH($C618&amp;"|"&amp;DAY($A618),打卡匯入!$E$3:$E$2002,0)),"")</f>
        <v/>
      </c>
      <c r="L618" s="84">
        <f>IF(OR($J618="",$K618=""),"",IFERROR(INDEX(設定!$F$6:$F$21,MATCH($G618,設定!$B$6:$B$21,0)),0))</f>
        <v/>
      </c>
      <c r="M618" s="85">
        <f>IF(OR($J618="",$K618=""),"",ROUND(($K618-$J618)*24-$L618/60,2))</f>
        <v/>
      </c>
      <c r="N618" s="16">
        <f>IF($C618="","",IF(AND(COUNTIF(設定!$B$15:$B$21,$G618)&gt;0,$J618&lt;&gt;""),"假日出勤",IF(AND(COUNTIF(設定!$B$6:$B$14,$G618)&gt;0,$J618=""),"未打卡",IF($J618="","",IF($O618&gt;0,"遲到",IF($P618&gt;0,"早退","正常"))))))</f>
        <v/>
      </c>
      <c r="O618" s="84">
        <f>IF(OR($C618="",$H618="",$J618=""),0,IF(ROUND(($J618-$H618)*1440,0)&gt;設定!$C$46,ROUND(($J618-$H618)*1440,0),0))</f>
        <v/>
      </c>
      <c r="P618" s="84">
        <f>IF(OR($C618="",$I618="",$K618=""),0,IF(ROUND(($I618-$K618)*1440,0)&gt;設定!$C$46,ROUND(($I618-$K618)*1440,0),0))</f>
        <v/>
      </c>
      <c r="Q618" s="85">
        <f>IF($M618="",0,IF(($M618-IFERROR(INDEX(設定!$G$6:$G$21,MATCH($G618,設定!$B$6:$B$21,0)),0))*60&gt;=設定!$C$44,ROUND(FLOOR(($M618-IFERROR(INDEX(設定!$G$6:$G$21,MATCH($G618,設定!$B$6:$B$21,0)),0))*60,設定!$C$45)/60,2),0))</f>
        <v/>
      </c>
      <c r="R618" s="16">
        <f>IF(OR($C618="",$Q618=0),"",IF($G618="國","國定假日",IF($B618="日","例假",IF($B618="六","休息日","平日"))))</f>
        <v/>
      </c>
      <c r="S618" s="19" t="n"/>
    </row>
    <row r="619">
      <c r="A619" s="82">
        <f>IF(OR(助理班表!$A24="",28&gt;DAY(EOMONTH(DATE(設定!$C$2,設定!$D$2,1),0))),"",DATE(設定!$C$2,設定!$D$2,28))</f>
        <v/>
      </c>
      <c r="B619" s="16">
        <f>IF($A619="","",INDEX(設定!$O$6:$O$12,WEEKDAY($A619,1)))</f>
        <v/>
      </c>
      <c r="C619" s="16">
        <f>IF($A619="","",助理班表!$A24)</f>
        <v/>
      </c>
      <c r="D619" s="16">
        <f>IF($C619="","",助理班表!$B24)</f>
        <v/>
      </c>
      <c r="E619" s="16">
        <f>IF($C619="","",助理班表!$D24)</f>
        <v/>
      </c>
      <c r="F619" s="16">
        <f>IF($C619="","",助理班表!$C24)</f>
        <v/>
      </c>
      <c r="G619" s="16">
        <f>IF($C619="","",助理班表!AF24)</f>
        <v/>
      </c>
      <c r="H619" s="83">
        <f>IF($G619="","",IFERROR(IF(INDEX(設定!$D$6:$D$21,MATCH($G619,設定!$B$6:$B$21,0))=0,"",INDEX(設定!$D$6:$D$21,MATCH($G619,設定!$B$6:$B$21,0))),""))</f>
        <v/>
      </c>
      <c r="I619" s="83">
        <f>IF($G619="","",IFERROR(IF(INDEX(設定!$E$6:$E$21,MATCH($G619,設定!$B$6:$B$21,0))=0,"",INDEX(設定!$E$6:$E$21,MATCH($G619,設定!$B$6:$B$21,0))),""))</f>
        <v/>
      </c>
      <c r="J619" s="83">
        <f>IFERROR(INDEX(打卡匯入!$C$3:$C$2002,MATCH($C619&amp;"|"&amp;DAY($A619),打卡匯入!$E$3:$E$2002,0)),"")</f>
        <v/>
      </c>
      <c r="K619" s="83">
        <f>IFERROR(INDEX(打卡匯入!$D$3:$D$2002,MATCH($C619&amp;"|"&amp;DAY($A619),打卡匯入!$E$3:$E$2002,0)),"")</f>
        <v/>
      </c>
      <c r="L619" s="84">
        <f>IF(OR($J619="",$K619=""),"",IFERROR(INDEX(設定!$F$6:$F$21,MATCH($G619,設定!$B$6:$B$21,0)),0))</f>
        <v/>
      </c>
      <c r="M619" s="85">
        <f>IF(OR($J619="",$K619=""),"",ROUND(($K619-$J619)*24-$L619/60,2))</f>
        <v/>
      </c>
      <c r="N619" s="16">
        <f>IF($C619="","",IF(AND(COUNTIF(設定!$B$15:$B$21,$G619)&gt;0,$J619&lt;&gt;""),"假日出勤",IF(AND(COUNTIF(設定!$B$6:$B$14,$G619)&gt;0,$J619=""),"未打卡",IF($J619="","",IF($O619&gt;0,"遲到",IF($P619&gt;0,"早退","正常"))))))</f>
        <v/>
      </c>
      <c r="O619" s="84">
        <f>IF(OR($C619="",$H619="",$J619=""),0,IF(ROUND(($J619-$H619)*1440,0)&gt;設定!$C$46,ROUND(($J619-$H619)*1440,0),0))</f>
        <v/>
      </c>
      <c r="P619" s="84">
        <f>IF(OR($C619="",$I619="",$K619=""),0,IF(ROUND(($I619-$K619)*1440,0)&gt;設定!$C$46,ROUND(($I619-$K619)*1440,0),0))</f>
        <v/>
      </c>
      <c r="Q619" s="85">
        <f>IF($M619="",0,IF(($M619-IFERROR(INDEX(設定!$G$6:$G$21,MATCH($G619,設定!$B$6:$B$21,0)),0))*60&gt;=設定!$C$44,ROUND(FLOOR(($M619-IFERROR(INDEX(設定!$G$6:$G$21,MATCH($G619,設定!$B$6:$B$21,0)),0))*60,設定!$C$45)/60,2),0))</f>
        <v/>
      </c>
      <c r="R619" s="16">
        <f>IF(OR($C619="",$Q619=0),"",IF($G619="國","國定假日",IF($B619="日","例假",IF($B619="六","休息日","平日"))))</f>
        <v/>
      </c>
      <c r="S619" s="19" t="n"/>
    </row>
    <row r="620">
      <c r="A620" s="82">
        <f>IF(OR(助理班表!$A24="",29&gt;DAY(EOMONTH(DATE(設定!$C$2,設定!$D$2,1),0))),"",DATE(設定!$C$2,設定!$D$2,29))</f>
        <v/>
      </c>
      <c r="B620" s="16">
        <f>IF($A620="","",INDEX(設定!$O$6:$O$12,WEEKDAY($A620,1)))</f>
        <v/>
      </c>
      <c r="C620" s="16">
        <f>IF($A620="","",助理班表!$A24)</f>
        <v/>
      </c>
      <c r="D620" s="16">
        <f>IF($C620="","",助理班表!$B24)</f>
        <v/>
      </c>
      <c r="E620" s="16">
        <f>IF($C620="","",助理班表!$D24)</f>
        <v/>
      </c>
      <c r="F620" s="16">
        <f>IF($C620="","",助理班表!$C24)</f>
        <v/>
      </c>
      <c r="G620" s="16">
        <f>IF($C620="","",助理班表!AG24)</f>
        <v/>
      </c>
      <c r="H620" s="83">
        <f>IF($G620="","",IFERROR(IF(INDEX(設定!$D$6:$D$21,MATCH($G620,設定!$B$6:$B$21,0))=0,"",INDEX(設定!$D$6:$D$21,MATCH($G620,設定!$B$6:$B$21,0))),""))</f>
        <v/>
      </c>
      <c r="I620" s="83">
        <f>IF($G620="","",IFERROR(IF(INDEX(設定!$E$6:$E$21,MATCH($G620,設定!$B$6:$B$21,0))=0,"",INDEX(設定!$E$6:$E$21,MATCH($G620,設定!$B$6:$B$21,0))),""))</f>
        <v/>
      </c>
      <c r="J620" s="83">
        <f>IFERROR(INDEX(打卡匯入!$C$3:$C$2002,MATCH($C620&amp;"|"&amp;DAY($A620),打卡匯入!$E$3:$E$2002,0)),"")</f>
        <v/>
      </c>
      <c r="K620" s="83">
        <f>IFERROR(INDEX(打卡匯入!$D$3:$D$2002,MATCH($C620&amp;"|"&amp;DAY($A620),打卡匯入!$E$3:$E$2002,0)),"")</f>
        <v/>
      </c>
      <c r="L620" s="84">
        <f>IF(OR($J620="",$K620=""),"",IFERROR(INDEX(設定!$F$6:$F$21,MATCH($G620,設定!$B$6:$B$21,0)),0))</f>
        <v/>
      </c>
      <c r="M620" s="85">
        <f>IF(OR($J620="",$K620=""),"",ROUND(($K620-$J620)*24-$L620/60,2))</f>
        <v/>
      </c>
      <c r="N620" s="16">
        <f>IF($C620="","",IF(AND(COUNTIF(設定!$B$15:$B$21,$G620)&gt;0,$J620&lt;&gt;""),"假日出勤",IF(AND(COUNTIF(設定!$B$6:$B$14,$G620)&gt;0,$J620=""),"未打卡",IF($J620="","",IF($O620&gt;0,"遲到",IF($P620&gt;0,"早退","正常"))))))</f>
        <v/>
      </c>
      <c r="O620" s="84">
        <f>IF(OR($C620="",$H620="",$J620=""),0,IF(ROUND(($J620-$H620)*1440,0)&gt;設定!$C$46,ROUND(($J620-$H620)*1440,0),0))</f>
        <v/>
      </c>
      <c r="P620" s="84">
        <f>IF(OR($C620="",$I620="",$K620=""),0,IF(ROUND(($I620-$K620)*1440,0)&gt;設定!$C$46,ROUND(($I620-$K620)*1440,0),0))</f>
        <v/>
      </c>
      <c r="Q620" s="85">
        <f>IF($M620="",0,IF(($M620-IFERROR(INDEX(設定!$G$6:$G$21,MATCH($G620,設定!$B$6:$B$21,0)),0))*60&gt;=設定!$C$44,ROUND(FLOOR(($M620-IFERROR(INDEX(設定!$G$6:$G$21,MATCH($G620,設定!$B$6:$B$21,0)),0))*60,設定!$C$45)/60,2),0))</f>
        <v/>
      </c>
      <c r="R620" s="16">
        <f>IF(OR($C620="",$Q620=0),"",IF($G620="國","國定假日",IF($B620="日","例假",IF($B620="六","休息日","平日"))))</f>
        <v/>
      </c>
      <c r="S620" s="19" t="n"/>
    </row>
    <row r="621">
      <c r="A621" s="82">
        <f>IF(OR(助理班表!$A24="",30&gt;DAY(EOMONTH(DATE(設定!$C$2,設定!$D$2,1),0))),"",DATE(設定!$C$2,設定!$D$2,30))</f>
        <v/>
      </c>
      <c r="B621" s="16">
        <f>IF($A621="","",INDEX(設定!$O$6:$O$12,WEEKDAY($A621,1)))</f>
        <v/>
      </c>
      <c r="C621" s="16">
        <f>IF($A621="","",助理班表!$A24)</f>
        <v/>
      </c>
      <c r="D621" s="16">
        <f>IF($C621="","",助理班表!$B24)</f>
        <v/>
      </c>
      <c r="E621" s="16">
        <f>IF($C621="","",助理班表!$D24)</f>
        <v/>
      </c>
      <c r="F621" s="16">
        <f>IF($C621="","",助理班表!$C24)</f>
        <v/>
      </c>
      <c r="G621" s="16">
        <f>IF($C621="","",助理班表!AH24)</f>
        <v/>
      </c>
      <c r="H621" s="83">
        <f>IF($G621="","",IFERROR(IF(INDEX(設定!$D$6:$D$21,MATCH($G621,設定!$B$6:$B$21,0))=0,"",INDEX(設定!$D$6:$D$21,MATCH($G621,設定!$B$6:$B$21,0))),""))</f>
        <v/>
      </c>
      <c r="I621" s="83">
        <f>IF($G621="","",IFERROR(IF(INDEX(設定!$E$6:$E$21,MATCH($G621,設定!$B$6:$B$21,0))=0,"",INDEX(設定!$E$6:$E$21,MATCH($G621,設定!$B$6:$B$21,0))),""))</f>
        <v/>
      </c>
      <c r="J621" s="83">
        <f>IFERROR(INDEX(打卡匯入!$C$3:$C$2002,MATCH($C621&amp;"|"&amp;DAY($A621),打卡匯入!$E$3:$E$2002,0)),"")</f>
        <v/>
      </c>
      <c r="K621" s="83">
        <f>IFERROR(INDEX(打卡匯入!$D$3:$D$2002,MATCH($C621&amp;"|"&amp;DAY($A621),打卡匯入!$E$3:$E$2002,0)),"")</f>
        <v/>
      </c>
      <c r="L621" s="84">
        <f>IF(OR($J621="",$K621=""),"",IFERROR(INDEX(設定!$F$6:$F$21,MATCH($G621,設定!$B$6:$B$21,0)),0))</f>
        <v/>
      </c>
      <c r="M621" s="85">
        <f>IF(OR($J621="",$K621=""),"",ROUND(($K621-$J621)*24-$L621/60,2))</f>
        <v/>
      </c>
      <c r="N621" s="16">
        <f>IF($C621="","",IF(AND(COUNTIF(設定!$B$15:$B$21,$G621)&gt;0,$J621&lt;&gt;""),"假日出勤",IF(AND(COUNTIF(設定!$B$6:$B$14,$G621)&gt;0,$J621=""),"未打卡",IF($J621="","",IF($O621&gt;0,"遲到",IF($P621&gt;0,"早退","正常"))))))</f>
        <v/>
      </c>
      <c r="O621" s="84">
        <f>IF(OR($C621="",$H621="",$J621=""),0,IF(ROUND(($J621-$H621)*1440,0)&gt;設定!$C$46,ROUND(($J621-$H621)*1440,0),0))</f>
        <v/>
      </c>
      <c r="P621" s="84">
        <f>IF(OR($C621="",$I621="",$K621=""),0,IF(ROUND(($I621-$K621)*1440,0)&gt;設定!$C$46,ROUND(($I621-$K621)*1440,0),0))</f>
        <v/>
      </c>
      <c r="Q621" s="85">
        <f>IF($M621="",0,IF(($M621-IFERROR(INDEX(設定!$G$6:$G$21,MATCH($G621,設定!$B$6:$B$21,0)),0))*60&gt;=設定!$C$44,ROUND(FLOOR(($M621-IFERROR(INDEX(設定!$G$6:$G$21,MATCH($G621,設定!$B$6:$B$21,0)),0))*60,設定!$C$45)/60,2),0))</f>
        <v/>
      </c>
      <c r="R621" s="16">
        <f>IF(OR($C621="",$Q621=0),"",IF($G621="國","國定假日",IF($B621="日","例假",IF($B621="六","休息日","平日"))))</f>
        <v/>
      </c>
      <c r="S621" s="19" t="n"/>
    </row>
    <row r="622">
      <c r="A622" s="82">
        <f>IF(OR(助理班表!$A24="",31&gt;DAY(EOMONTH(DATE(設定!$C$2,設定!$D$2,1),0))),"",DATE(設定!$C$2,設定!$D$2,31))</f>
        <v/>
      </c>
      <c r="B622" s="16">
        <f>IF($A622="","",INDEX(設定!$O$6:$O$12,WEEKDAY($A622,1)))</f>
        <v/>
      </c>
      <c r="C622" s="16">
        <f>IF($A622="","",助理班表!$A24)</f>
        <v/>
      </c>
      <c r="D622" s="16">
        <f>IF($C622="","",助理班表!$B24)</f>
        <v/>
      </c>
      <c r="E622" s="16">
        <f>IF($C622="","",助理班表!$D24)</f>
        <v/>
      </c>
      <c r="F622" s="16">
        <f>IF($C622="","",助理班表!$C24)</f>
        <v/>
      </c>
      <c r="G622" s="16">
        <f>IF($C622="","",助理班表!AI24)</f>
        <v/>
      </c>
      <c r="H622" s="83">
        <f>IF($G622="","",IFERROR(IF(INDEX(設定!$D$6:$D$21,MATCH($G622,設定!$B$6:$B$21,0))=0,"",INDEX(設定!$D$6:$D$21,MATCH($G622,設定!$B$6:$B$21,0))),""))</f>
        <v/>
      </c>
      <c r="I622" s="83">
        <f>IF($G622="","",IFERROR(IF(INDEX(設定!$E$6:$E$21,MATCH($G622,設定!$B$6:$B$21,0))=0,"",INDEX(設定!$E$6:$E$21,MATCH($G622,設定!$B$6:$B$21,0))),""))</f>
        <v/>
      </c>
      <c r="J622" s="83">
        <f>IFERROR(INDEX(打卡匯入!$C$3:$C$2002,MATCH($C622&amp;"|"&amp;DAY($A622),打卡匯入!$E$3:$E$2002,0)),"")</f>
        <v/>
      </c>
      <c r="K622" s="83">
        <f>IFERROR(INDEX(打卡匯入!$D$3:$D$2002,MATCH($C622&amp;"|"&amp;DAY($A622),打卡匯入!$E$3:$E$2002,0)),"")</f>
        <v/>
      </c>
      <c r="L622" s="84">
        <f>IF(OR($J622="",$K622=""),"",IFERROR(INDEX(設定!$F$6:$F$21,MATCH($G622,設定!$B$6:$B$21,0)),0))</f>
        <v/>
      </c>
      <c r="M622" s="85">
        <f>IF(OR($J622="",$K622=""),"",ROUND(($K622-$J622)*24-$L622/60,2))</f>
        <v/>
      </c>
      <c r="N622" s="16">
        <f>IF($C622="","",IF(AND(COUNTIF(設定!$B$15:$B$21,$G622)&gt;0,$J622&lt;&gt;""),"假日出勤",IF(AND(COUNTIF(設定!$B$6:$B$14,$G622)&gt;0,$J622=""),"未打卡",IF($J622="","",IF($O622&gt;0,"遲到",IF($P622&gt;0,"早退","正常"))))))</f>
        <v/>
      </c>
      <c r="O622" s="84">
        <f>IF(OR($C622="",$H622="",$J622=""),0,IF(ROUND(($J622-$H622)*1440,0)&gt;設定!$C$46,ROUND(($J622-$H622)*1440,0),0))</f>
        <v/>
      </c>
      <c r="P622" s="84">
        <f>IF(OR($C622="",$I622="",$K622=""),0,IF(ROUND(($I622-$K622)*1440,0)&gt;設定!$C$46,ROUND(($I622-$K622)*1440,0),0))</f>
        <v/>
      </c>
      <c r="Q622" s="85">
        <f>IF($M622="",0,IF(($M622-IFERROR(INDEX(設定!$G$6:$G$21,MATCH($G622,設定!$B$6:$B$21,0)),0))*60&gt;=設定!$C$44,ROUND(FLOOR(($M622-IFERROR(INDEX(設定!$G$6:$G$21,MATCH($G622,設定!$B$6:$B$21,0)),0))*60,設定!$C$45)/60,2),0))</f>
        <v/>
      </c>
      <c r="R622" s="16">
        <f>IF(OR($C622="",$Q622=0),"",IF($G622="國","國定假日",IF($B622="日","例假",IF($B622="六","休息日","平日"))))</f>
        <v/>
      </c>
      <c r="S622" s="19" t="n"/>
    </row>
    <row r="623">
      <c r="A623" s="82">
        <f>IF(OR(助理班表!$A25="",1&gt;DAY(EOMONTH(DATE(設定!$C$2,設定!$D$2,1),0))),"",DATE(設定!$C$2,設定!$D$2,1))</f>
        <v/>
      </c>
      <c r="B623" s="16">
        <f>IF($A623="","",INDEX(設定!$O$6:$O$12,WEEKDAY($A623,1)))</f>
        <v/>
      </c>
      <c r="C623" s="16">
        <f>IF($A623="","",助理班表!$A25)</f>
        <v/>
      </c>
      <c r="D623" s="16">
        <f>IF($C623="","",助理班表!$B25)</f>
        <v/>
      </c>
      <c r="E623" s="16">
        <f>IF($C623="","",助理班表!$D25)</f>
        <v/>
      </c>
      <c r="F623" s="16">
        <f>IF($C623="","",助理班表!$C25)</f>
        <v/>
      </c>
      <c r="G623" s="16">
        <f>IF($C623="","",助理班表!E25)</f>
        <v/>
      </c>
      <c r="H623" s="83">
        <f>IF($G623="","",IFERROR(IF(INDEX(設定!$D$6:$D$21,MATCH($G623,設定!$B$6:$B$21,0))=0,"",INDEX(設定!$D$6:$D$21,MATCH($G623,設定!$B$6:$B$21,0))),""))</f>
        <v/>
      </c>
      <c r="I623" s="83">
        <f>IF($G623="","",IFERROR(IF(INDEX(設定!$E$6:$E$21,MATCH($G623,設定!$B$6:$B$21,0))=0,"",INDEX(設定!$E$6:$E$21,MATCH($G623,設定!$B$6:$B$21,0))),""))</f>
        <v/>
      </c>
      <c r="J623" s="83">
        <f>IFERROR(INDEX(打卡匯入!$C$3:$C$2002,MATCH($C623&amp;"|"&amp;DAY($A623),打卡匯入!$E$3:$E$2002,0)),"")</f>
        <v/>
      </c>
      <c r="K623" s="83">
        <f>IFERROR(INDEX(打卡匯入!$D$3:$D$2002,MATCH($C623&amp;"|"&amp;DAY($A623),打卡匯入!$E$3:$E$2002,0)),"")</f>
        <v/>
      </c>
      <c r="L623" s="84">
        <f>IF(OR($J623="",$K623=""),"",IFERROR(INDEX(設定!$F$6:$F$21,MATCH($G623,設定!$B$6:$B$21,0)),0))</f>
        <v/>
      </c>
      <c r="M623" s="85">
        <f>IF(OR($J623="",$K623=""),"",ROUND(($K623-$J623)*24-$L623/60,2))</f>
        <v/>
      </c>
      <c r="N623" s="16">
        <f>IF($C623="","",IF(AND(COUNTIF(設定!$B$15:$B$21,$G623)&gt;0,$J623&lt;&gt;""),"假日出勤",IF(AND(COUNTIF(設定!$B$6:$B$14,$G623)&gt;0,$J623=""),"未打卡",IF($J623="","",IF($O623&gt;0,"遲到",IF($P623&gt;0,"早退","正常"))))))</f>
        <v/>
      </c>
      <c r="O623" s="84">
        <f>IF(OR($C623="",$H623="",$J623=""),0,IF(ROUND(($J623-$H623)*1440,0)&gt;設定!$C$46,ROUND(($J623-$H623)*1440,0),0))</f>
        <v/>
      </c>
      <c r="P623" s="84">
        <f>IF(OR($C623="",$I623="",$K623=""),0,IF(ROUND(($I623-$K623)*1440,0)&gt;設定!$C$46,ROUND(($I623-$K623)*1440,0),0))</f>
        <v/>
      </c>
      <c r="Q623" s="85">
        <f>IF($M623="",0,IF(($M623-IFERROR(INDEX(設定!$G$6:$G$21,MATCH($G623,設定!$B$6:$B$21,0)),0))*60&gt;=設定!$C$44,ROUND(FLOOR(($M623-IFERROR(INDEX(設定!$G$6:$G$21,MATCH($G623,設定!$B$6:$B$21,0)),0))*60,設定!$C$45)/60,2),0))</f>
        <v/>
      </c>
      <c r="R623" s="16">
        <f>IF(OR($C623="",$Q623=0),"",IF($G623="國","國定假日",IF($B623="日","例假",IF($B623="六","休息日","平日"))))</f>
        <v/>
      </c>
      <c r="S623" s="19" t="n"/>
    </row>
    <row r="624">
      <c r="A624" s="82">
        <f>IF(OR(助理班表!$A25="",2&gt;DAY(EOMONTH(DATE(設定!$C$2,設定!$D$2,1),0))),"",DATE(設定!$C$2,設定!$D$2,2))</f>
        <v/>
      </c>
      <c r="B624" s="16">
        <f>IF($A624="","",INDEX(設定!$O$6:$O$12,WEEKDAY($A624,1)))</f>
        <v/>
      </c>
      <c r="C624" s="16">
        <f>IF($A624="","",助理班表!$A25)</f>
        <v/>
      </c>
      <c r="D624" s="16">
        <f>IF($C624="","",助理班表!$B25)</f>
        <v/>
      </c>
      <c r="E624" s="16">
        <f>IF($C624="","",助理班表!$D25)</f>
        <v/>
      </c>
      <c r="F624" s="16">
        <f>IF($C624="","",助理班表!$C25)</f>
        <v/>
      </c>
      <c r="G624" s="16">
        <f>IF($C624="","",助理班表!F25)</f>
        <v/>
      </c>
      <c r="H624" s="83">
        <f>IF($G624="","",IFERROR(IF(INDEX(設定!$D$6:$D$21,MATCH($G624,設定!$B$6:$B$21,0))=0,"",INDEX(設定!$D$6:$D$21,MATCH($G624,設定!$B$6:$B$21,0))),""))</f>
        <v/>
      </c>
      <c r="I624" s="83">
        <f>IF($G624="","",IFERROR(IF(INDEX(設定!$E$6:$E$21,MATCH($G624,設定!$B$6:$B$21,0))=0,"",INDEX(設定!$E$6:$E$21,MATCH($G624,設定!$B$6:$B$21,0))),""))</f>
        <v/>
      </c>
      <c r="J624" s="83">
        <f>IFERROR(INDEX(打卡匯入!$C$3:$C$2002,MATCH($C624&amp;"|"&amp;DAY($A624),打卡匯入!$E$3:$E$2002,0)),"")</f>
        <v/>
      </c>
      <c r="K624" s="83">
        <f>IFERROR(INDEX(打卡匯入!$D$3:$D$2002,MATCH($C624&amp;"|"&amp;DAY($A624),打卡匯入!$E$3:$E$2002,0)),"")</f>
        <v/>
      </c>
      <c r="L624" s="84">
        <f>IF(OR($J624="",$K624=""),"",IFERROR(INDEX(設定!$F$6:$F$21,MATCH($G624,設定!$B$6:$B$21,0)),0))</f>
        <v/>
      </c>
      <c r="M624" s="85">
        <f>IF(OR($J624="",$K624=""),"",ROUND(($K624-$J624)*24-$L624/60,2))</f>
        <v/>
      </c>
      <c r="N624" s="16">
        <f>IF($C624="","",IF(AND(COUNTIF(設定!$B$15:$B$21,$G624)&gt;0,$J624&lt;&gt;""),"假日出勤",IF(AND(COUNTIF(設定!$B$6:$B$14,$G624)&gt;0,$J624=""),"未打卡",IF($J624="","",IF($O624&gt;0,"遲到",IF($P624&gt;0,"早退","正常"))))))</f>
        <v/>
      </c>
      <c r="O624" s="84">
        <f>IF(OR($C624="",$H624="",$J624=""),0,IF(ROUND(($J624-$H624)*1440,0)&gt;設定!$C$46,ROUND(($J624-$H624)*1440,0),0))</f>
        <v/>
      </c>
      <c r="P624" s="84">
        <f>IF(OR($C624="",$I624="",$K624=""),0,IF(ROUND(($I624-$K624)*1440,0)&gt;設定!$C$46,ROUND(($I624-$K624)*1440,0),0))</f>
        <v/>
      </c>
      <c r="Q624" s="85">
        <f>IF($M624="",0,IF(($M624-IFERROR(INDEX(設定!$G$6:$G$21,MATCH($G624,設定!$B$6:$B$21,0)),0))*60&gt;=設定!$C$44,ROUND(FLOOR(($M624-IFERROR(INDEX(設定!$G$6:$G$21,MATCH($G624,設定!$B$6:$B$21,0)),0))*60,設定!$C$45)/60,2),0))</f>
        <v/>
      </c>
      <c r="R624" s="16">
        <f>IF(OR($C624="",$Q624=0),"",IF($G624="國","國定假日",IF($B624="日","例假",IF($B624="六","休息日","平日"))))</f>
        <v/>
      </c>
      <c r="S624" s="19" t="n"/>
    </row>
    <row r="625">
      <c r="A625" s="82">
        <f>IF(OR(助理班表!$A25="",3&gt;DAY(EOMONTH(DATE(設定!$C$2,設定!$D$2,1),0))),"",DATE(設定!$C$2,設定!$D$2,3))</f>
        <v/>
      </c>
      <c r="B625" s="16">
        <f>IF($A625="","",INDEX(設定!$O$6:$O$12,WEEKDAY($A625,1)))</f>
        <v/>
      </c>
      <c r="C625" s="16">
        <f>IF($A625="","",助理班表!$A25)</f>
        <v/>
      </c>
      <c r="D625" s="16">
        <f>IF($C625="","",助理班表!$B25)</f>
        <v/>
      </c>
      <c r="E625" s="16">
        <f>IF($C625="","",助理班表!$D25)</f>
        <v/>
      </c>
      <c r="F625" s="16">
        <f>IF($C625="","",助理班表!$C25)</f>
        <v/>
      </c>
      <c r="G625" s="16">
        <f>IF($C625="","",助理班表!G25)</f>
        <v/>
      </c>
      <c r="H625" s="83">
        <f>IF($G625="","",IFERROR(IF(INDEX(設定!$D$6:$D$21,MATCH($G625,設定!$B$6:$B$21,0))=0,"",INDEX(設定!$D$6:$D$21,MATCH($G625,設定!$B$6:$B$21,0))),""))</f>
        <v/>
      </c>
      <c r="I625" s="83">
        <f>IF($G625="","",IFERROR(IF(INDEX(設定!$E$6:$E$21,MATCH($G625,設定!$B$6:$B$21,0))=0,"",INDEX(設定!$E$6:$E$21,MATCH($G625,設定!$B$6:$B$21,0))),""))</f>
        <v/>
      </c>
      <c r="J625" s="83">
        <f>IFERROR(INDEX(打卡匯入!$C$3:$C$2002,MATCH($C625&amp;"|"&amp;DAY($A625),打卡匯入!$E$3:$E$2002,0)),"")</f>
        <v/>
      </c>
      <c r="K625" s="83">
        <f>IFERROR(INDEX(打卡匯入!$D$3:$D$2002,MATCH($C625&amp;"|"&amp;DAY($A625),打卡匯入!$E$3:$E$2002,0)),"")</f>
        <v/>
      </c>
      <c r="L625" s="84">
        <f>IF(OR($J625="",$K625=""),"",IFERROR(INDEX(設定!$F$6:$F$21,MATCH($G625,設定!$B$6:$B$21,0)),0))</f>
        <v/>
      </c>
      <c r="M625" s="85">
        <f>IF(OR($J625="",$K625=""),"",ROUND(($K625-$J625)*24-$L625/60,2))</f>
        <v/>
      </c>
      <c r="N625" s="16">
        <f>IF($C625="","",IF(AND(COUNTIF(設定!$B$15:$B$21,$G625)&gt;0,$J625&lt;&gt;""),"假日出勤",IF(AND(COUNTIF(設定!$B$6:$B$14,$G625)&gt;0,$J625=""),"未打卡",IF($J625="","",IF($O625&gt;0,"遲到",IF($P625&gt;0,"早退","正常"))))))</f>
        <v/>
      </c>
      <c r="O625" s="84">
        <f>IF(OR($C625="",$H625="",$J625=""),0,IF(ROUND(($J625-$H625)*1440,0)&gt;設定!$C$46,ROUND(($J625-$H625)*1440,0),0))</f>
        <v/>
      </c>
      <c r="P625" s="84">
        <f>IF(OR($C625="",$I625="",$K625=""),0,IF(ROUND(($I625-$K625)*1440,0)&gt;設定!$C$46,ROUND(($I625-$K625)*1440,0),0))</f>
        <v/>
      </c>
      <c r="Q625" s="85">
        <f>IF($M625="",0,IF(($M625-IFERROR(INDEX(設定!$G$6:$G$21,MATCH($G625,設定!$B$6:$B$21,0)),0))*60&gt;=設定!$C$44,ROUND(FLOOR(($M625-IFERROR(INDEX(設定!$G$6:$G$21,MATCH($G625,設定!$B$6:$B$21,0)),0))*60,設定!$C$45)/60,2),0))</f>
        <v/>
      </c>
      <c r="R625" s="16">
        <f>IF(OR($C625="",$Q625=0),"",IF($G625="國","國定假日",IF($B625="日","例假",IF($B625="六","休息日","平日"))))</f>
        <v/>
      </c>
      <c r="S625" s="19" t="n"/>
    </row>
    <row r="626">
      <c r="A626" s="82">
        <f>IF(OR(助理班表!$A25="",4&gt;DAY(EOMONTH(DATE(設定!$C$2,設定!$D$2,1),0))),"",DATE(設定!$C$2,設定!$D$2,4))</f>
        <v/>
      </c>
      <c r="B626" s="16">
        <f>IF($A626="","",INDEX(設定!$O$6:$O$12,WEEKDAY($A626,1)))</f>
        <v/>
      </c>
      <c r="C626" s="16">
        <f>IF($A626="","",助理班表!$A25)</f>
        <v/>
      </c>
      <c r="D626" s="16">
        <f>IF($C626="","",助理班表!$B25)</f>
        <v/>
      </c>
      <c r="E626" s="16">
        <f>IF($C626="","",助理班表!$D25)</f>
        <v/>
      </c>
      <c r="F626" s="16">
        <f>IF($C626="","",助理班表!$C25)</f>
        <v/>
      </c>
      <c r="G626" s="16">
        <f>IF($C626="","",助理班表!H25)</f>
        <v/>
      </c>
      <c r="H626" s="83">
        <f>IF($G626="","",IFERROR(IF(INDEX(設定!$D$6:$D$21,MATCH($G626,設定!$B$6:$B$21,0))=0,"",INDEX(設定!$D$6:$D$21,MATCH($G626,設定!$B$6:$B$21,0))),""))</f>
        <v/>
      </c>
      <c r="I626" s="83">
        <f>IF($G626="","",IFERROR(IF(INDEX(設定!$E$6:$E$21,MATCH($G626,設定!$B$6:$B$21,0))=0,"",INDEX(設定!$E$6:$E$21,MATCH($G626,設定!$B$6:$B$21,0))),""))</f>
        <v/>
      </c>
      <c r="J626" s="83">
        <f>IFERROR(INDEX(打卡匯入!$C$3:$C$2002,MATCH($C626&amp;"|"&amp;DAY($A626),打卡匯入!$E$3:$E$2002,0)),"")</f>
        <v/>
      </c>
      <c r="K626" s="83">
        <f>IFERROR(INDEX(打卡匯入!$D$3:$D$2002,MATCH($C626&amp;"|"&amp;DAY($A626),打卡匯入!$E$3:$E$2002,0)),"")</f>
        <v/>
      </c>
      <c r="L626" s="84">
        <f>IF(OR($J626="",$K626=""),"",IFERROR(INDEX(設定!$F$6:$F$21,MATCH($G626,設定!$B$6:$B$21,0)),0))</f>
        <v/>
      </c>
      <c r="M626" s="85">
        <f>IF(OR($J626="",$K626=""),"",ROUND(($K626-$J626)*24-$L626/60,2))</f>
        <v/>
      </c>
      <c r="N626" s="16">
        <f>IF($C626="","",IF(AND(COUNTIF(設定!$B$15:$B$21,$G626)&gt;0,$J626&lt;&gt;""),"假日出勤",IF(AND(COUNTIF(設定!$B$6:$B$14,$G626)&gt;0,$J626=""),"未打卡",IF($J626="","",IF($O626&gt;0,"遲到",IF($P626&gt;0,"早退","正常"))))))</f>
        <v/>
      </c>
      <c r="O626" s="84">
        <f>IF(OR($C626="",$H626="",$J626=""),0,IF(ROUND(($J626-$H626)*1440,0)&gt;設定!$C$46,ROUND(($J626-$H626)*1440,0),0))</f>
        <v/>
      </c>
      <c r="P626" s="84">
        <f>IF(OR($C626="",$I626="",$K626=""),0,IF(ROUND(($I626-$K626)*1440,0)&gt;設定!$C$46,ROUND(($I626-$K626)*1440,0),0))</f>
        <v/>
      </c>
      <c r="Q626" s="85">
        <f>IF($M626="",0,IF(($M626-IFERROR(INDEX(設定!$G$6:$G$21,MATCH($G626,設定!$B$6:$B$21,0)),0))*60&gt;=設定!$C$44,ROUND(FLOOR(($M626-IFERROR(INDEX(設定!$G$6:$G$21,MATCH($G626,設定!$B$6:$B$21,0)),0))*60,設定!$C$45)/60,2),0))</f>
        <v/>
      </c>
      <c r="R626" s="16">
        <f>IF(OR($C626="",$Q626=0),"",IF($G626="國","國定假日",IF($B626="日","例假",IF($B626="六","休息日","平日"))))</f>
        <v/>
      </c>
      <c r="S626" s="19" t="n"/>
    </row>
    <row r="627">
      <c r="A627" s="82">
        <f>IF(OR(助理班表!$A25="",5&gt;DAY(EOMONTH(DATE(設定!$C$2,設定!$D$2,1),0))),"",DATE(設定!$C$2,設定!$D$2,5))</f>
        <v/>
      </c>
      <c r="B627" s="16">
        <f>IF($A627="","",INDEX(設定!$O$6:$O$12,WEEKDAY($A627,1)))</f>
        <v/>
      </c>
      <c r="C627" s="16">
        <f>IF($A627="","",助理班表!$A25)</f>
        <v/>
      </c>
      <c r="D627" s="16">
        <f>IF($C627="","",助理班表!$B25)</f>
        <v/>
      </c>
      <c r="E627" s="16">
        <f>IF($C627="","",助理班表!$D25)</f>
        <v/>
      </c>
      <c r="F627" s="16">
        <f>IF($C627="","",助理班表!$C25)</f>
        <v/>
      </c>
      <c r="G627" s="16">
        <f>IF($C627="","",助理班表!I25)</f>
        <v/>
      </c>
      <c r="H627" s="83">
        <f>IF($G627="","",IFERROR(IF(INDEX(設定!$D$6:$D$21,MATCH($G627,設定!$B$6:$B$21,0))=0,"",INDEX(設定!$D$6:$D$21,MATCH($G627,設定!$B$6:$B$21,0))),""))</f>
        <v/>
      </c>
      <c r="I627" s="83">
        <f>IF($G627="","",IFERROR(IF(INDEX(設定!$E$6:$E$21,MATCH($G627,設定!$B$6:$B$21,0))=0,"",INDEX(設定!$E$6:$E$21,MATCH($G627,設定!$B$6:$B$21,0))),""))</f>
        <v/>
      </c>
      <c r="J627" s="83">
        <f>IFERROR(INDEX(打卡匯入!$C$3:$C$2002,MATCH($C627&amp;"|"&amp;DAY($A627),打卡匯入!$E$3:$E$2002,0)),"")</f>
        <v/>
      </c>
      <c r="K627" s="83">
        <f>IFERROR(INDEX(打卡匯入!$D$3:$D$2002,MATCH($C627&amp;"|"&amp;DAY($A627),打卡匯入!$E$3:$E$2002,0)),"")</f>
        <v/>
      </c>
      <c r="L627" s="84">
        <f>IF(OR($J627="",$K627=""),"",IFERROR(INDEX(設定!$F$6:$F$21,MATCH($G627,設定!$B$6:$B$21,0)),0))</f>
        <v/>
      </c>
      <c r="M627" s="85">
        <f>IF(OR($J627="",$K627=""),"",ROUND(($K627-$J627)*24-$L627/60,2))</f>
        <v/>
      </c>
      <c r="N627" s="16">
        <f>IF($C627="","",IF(AND(COUNTIF(設定!$B$15:$B$21,$G627)&gt;0,$J627&lt;&gt;""),"假日出勤",IF(AND(COUNTIF(設定!$B$6:$B$14,$G627)&gt;0,$J627=""),"未打卡",IF($J627="","",IF($O627&gt;0,"遲到",IF($P627&gt;0,"早退","正常"))))))</f>
        <v/>
      </c>
      <c r="O627" s="84">
        <f>IF(OR($C627="",$H627="",$J627=""),0,IF(ROUND(($J627-$H627)*1440,0)&gt;設定!$C$46,ROUND(($J627-$H627)*1440,0),0))</f>
        <v/>
      </c>
      <c r="P627" s="84">
        <f>IF(OR($C627="",$I627="",$K627=""),0,IF(ROUND(($I627-$K627)*1440,0)&gt;設定!$C$46,ROUND(($I627-$K627)*1440,0),0))</f>
        <v/>
      </c>
      <c r="Q627" s="85">
        <f>IF($M627="",0,IF(($M627-IFERROR(INDEX(設定!$G$6:$G$21,MATCH($G627,設定!$B$6:$B$21,0)),0))*60&gt;=設定!$C$44,ROUND(FLOOR(($M627-IFERROR(INDEX(設定!$G$6:$G$21,MATCH($G627,設定!$B$6:$B$21,0)),0))*60,設定!$C$45)/60,2),0))</f>
        <v/>
      </c>
      <c r="R627" s="16">
        <f>IF(OR($C627="",$Q627=0),"",IF($G627="國","國定假日",IF($B627="日","例假",IF($B627="六","休息日","平日"))))</f>
        <v/>
      </c>
      <c r="S627" s="19" t="n"/>
    </row>
    <row r="628">
      <c r="A628" s="82">
        <f>IF(OR(助理班表!$A25="",6&gt;DAY(EOMONTH(DATE(設定!$C$2,設定!$D$2,1),0))),"",DATE(設定!$C$2,設定!$D$2,6))</f>
        <v/>
      </c>
      <c r="B628" s="16">
        <f>IF($A628="","",INDEX(設定!$O$6:$O$12,WEEKDAY($A628,1)))</f>
        <v/>
      </c>
      <c r="C628" s="16">
        <f>IF($A628="","",助理班表!$A25)</f>
        <v/>
      </c>
      <c r="D628" s="16">
        <f>IF($C628="","",助理班表!$B25)</f>
        <v/>
      </c>
      <c r="E628" s="16">
        <f>IF($C628="","",助理班表!$D25)</f>
        <v/>
      </c>
      <c r="F628" s="16">
        <f>IF($C628="","",助理班表!$C25)</f>
        <v/>
      </c>
      <c r="G628" s="16">
        <f>IF($C628="","",助理班表!J25)</f>
        <v/>
      </c>
      <c r="H628" s="83">
        <f>IF($G628="","",IFERROR(IF(INDEX(設定!$D$6:$D$21,MATCH($G628,設定!$B$6:$B$21,0))=0,"",INDEX(設定!$D$6:$D$21,MATCH($G628,設定!$B$6:$B$21,0))),""))</f>
        <v/>
      </c>
      <c r="I628" s="83">
        <f>IF($G628="","",IFERROR(IF(INDEX(設定!$E$6:$E$21,MATCH($G628,設定!$B$6:$B$21,0))=0,"",INDEX(設定!$E$6:$E$21,MATCH($G628,設定!$B$6:$B$21,0))),""))</f>
        <v/>
      </c>
      <c r="J628" s="83">
        <f>IFERROR(INDEX(打卡匯入!$C$3:$C$2002,MATCH($C628&amp;"|"&amp;DAY($A628),打卡匯入!$E$3:$E$2002,0)),"")</f>
        <v/>
      </c>
      <c r="K628" s="83">
        <f>IFERROR(INDEX(打卡匯入!$D$3:$D$2002,MATCH($C628&amp;"|"&amp;DAY($A628),打卡匯入!$E$3:$E$2002,0)),"")</f>
        <v/>
      </c>
      <c r="L628" s="84">
        <f>IF(OR($J628="",$K628=""),"",IFERROR(INDEX(設定!$F$6:$F$21,MATCH($G628,設定!$B$6:$B$21,0)),0))</f>
        <v/>
      </c>
      <c r="M628" s="85">
        <f>IF(OR($J628="",$K628=""),"",ROUND(($K628-$J628)*24-$L628/60,2))</f>
        <v/>
      </c>
      <c r="N628" s="16">
        <f>IF($C628="","",IF(AND(COUNTIF(設定!$B$15:$B$21,$G628)&gt;0,$J628&lt;&gt;""),"假日出勤",IF(AND(COUNTIF(設定!$B$6:$B$14,$G628)&gt;0,$J628=""),"未打卡",IF($J628="","",IF($O628&gt;0,"遲到",IF($P628&gt;0,"早退","正常"))))))</f>
        <v/>
      </c>
      <c r="O628" s="84">
        <f>IF(OR($C628="",$H628="",$J628=""),0,IF(ROUND(($J628-$H628)*1440,0)&gt;設定!$C$46,ROUND(($J628-$H628)*1440,0),0))</f>
        <v/>
      </c>
      <c r="P628" s="84">
        <f>IF(OR($C628="",$I628="",$K628=""),0,IF(ROUND(($I628-$K628)*1440,0)&gt;設定!$C$46,ROUND(($I628-$K628)*1440,0),0))</f>
        <v/>
      </c>
      <c r="Q628" s="85">
        <f>IF($M628="",0,IF(($M628-IFERROR(INDEX(設定!$G$6:$G$21,MATCH($G628,設定!$B$6:$B$21,0)),0))*60&gt;=設定!$C$44,ROUND(FLOOR(($M628-IFERROR(INDEX(設定!$G$6:$G$21,MATCH($G628,設定!$B$6:$B$21,0)),0))*60,設定!$C$45)/60,2),0))</f>
        <v/>
      </c>
      <c r="R628" s="16">
        <f>IF(OR($C628="",$Q628=0),"",IF($G628="國","國定假日",IF($B628="日","例假",IF($B628="六","休息日","平日"))))</f>
        <v/>
      </c>
      <c r="S628" s="19" t="n"/>
    </row>
    <row r="629">
      <c r="A629" s="82">
        <f>IF(OR(助理班表!$A25="",7&gt;DAY(EOMONTH(DATE(設定!$C$2,設定!$D$2,1),0))),"",DATE(設定!$C$2,設定!$D$2,7))</f>
        <v/>
      </c>
      <c r="B629" s="16">
        <f>IF($A629="","",INDEX(設定!$O$6:$O$12,WEEKDAY($A629,1)))</f>
        <v/>
      </c>
      <c r="C629" s="16">
        <f>IF($A629="","",助理班表!$A25)</f>
        <v/>
      </c>
      <c r="D629" s="16">
        <f>IF($C629="","",助理班表!$B25)</f>
        <v/>
      </c>
      <c r="E629" s="16">
        <f>IF($C629="","",助理班表!$D25)</f>
        <v/>
      </c>
      <c r="F629" s="16">
        <f>IF($C629="","",助理班表!$C25)</f>
        <v/>
      </c>
      <c r="G629" s="16">
        <f>IF($C629="","",助理班表!K25)</f>
        <v/>
      </c>
      <c r="H629" s="83">
        <f>IF($G629="","",IFERROR(IF(INDEX(設定!$D$6:$D$21,MATCH($G629,設定!$B$6:$B$21,0))=0,"",INDEX(設定!$D$6:$D$21,MATCH($G629,設定!$B$6:$B$21,0))),""))</f>
        <v/>
      </c>
      <c r="I629" s="83">
        <f>IF($G629="","",IFERROR(IF(INDEX(設定!$E$6:$E$21,MATCH($G629,設定!$B$6:$B$21,0))=0,"",INDEX(設定!$E$6:$E$21,MATCH($G629,設定!$B$6:$B$21,0))),""))</f>
        <v/>
      </c>
      <c r="J629" s="83">
        <f>IFERROR(INDEX(打卡匯入!$C$3:$C$2002,MATCH($C629&amp;"|"&amp;DAY($A629),打卡匯入!$E$3:$E$2002,0)),"")</f>
        <v/>
      </c>
      <c r="K629" s="83">
        <f>IFERROR(INDEX(打卡匯入!$D$3:$D$2002,MATCH($C629&amp;"|"&amp;DAY($A629),打卡匯入!$E$3:$E$2002,0)),"")</f>
        <v/>
      </c>
      <c r="L629" s="84">
        <f>IF(OR($J629="",$K629=""),"",IFERROR(INDEX(設定!$F$6:$F$21,MATCH($G629,設定!$B$6:$B$21,0)),0))</f>
        <v/>
      </c>
      <c r="M629" s="85">
        <f>IF(OR($J629="",$K629=""),"",ROUND(($K629-$J629)*24-$L629/60,2))</f>
        <v/>
      </c>
      <c r="N629" s="16">
        <f>IF($C629="","",IF(AND(COUNTIF(設定!$B$15:$B$21,$G629)&gt;0,$J629&lt;&gt;""),"假日出勤",IF(AND(COUNTIF(設定!$B$6:$B$14,$G629)&gt;0,$J629=""),"未打卡",IF($J629="","",IF($O629&gt;0,"遲到",IF($P629&gt;0,"早退","正常"))))))</f>
        <v/>
      </c>
      <c r="O629" s="84">
        <f>IF(OR($C629="",$H629="",$J629=""),0,IF(ROUND(($J629-$H629)*1440,0)&gt;設定!$C$46,ROUND(($J629-$H629)*1440,0),0))</f>
        <v/>
      </c>
      <c r="P629" s="84">
        <f>IF(OR($C629="",$I629="",$K629=""),0,IF(ROUND(($I629-$K629)*1440,0)&gt;設定!$C$46,ROUND(($I629-$K629)*1440,0),0))</f>
        <v/>
      </c>
      <c r="Q629" s="85">
        <f>IF($M629="",0,IF(($M629-IFERROR(INDEX(設定!$G$6:$G$21,MATCH($G629,設定!$B$6:$B$21,0)),0))*60&gt;=設定!$C$44,ROUND(FLOOR(($M629-IFERROR(INDEX(設定!$G$6:$G$21,MATCH($G629,設定!$B$6:$B$21,0)),0))*60,設定!$C$45)/60,2),0))</f>
        <v/>
      </c>
      <c r="R629" s="16">
        <f>IF(OR($C629="",$Q629=0),"",IF($G629="國","國定假日",IF($B629="日","例假",IF($B629="六","休息日","平日"))))</f>
        <v/>
      </c>
      <c r="S629" s="19" t="n"/>
    </row>
    <row r="630">
      <c r="A630" s="82">
        <f>IF(OR(助理班表!$A25="",8&gt;DAY(EOMONTH(DATE(設定!$C$2,設定!$D$2,1),0))),"",DATE(設定!$C$2,設定!$D$2,8))</f>
        <v/>
      </c>
      <c r="B630" s="16">
        <f>IF($A630="","",INDEX(設定!$O$6:$O$12,WEEKDAY($A630,1)))</f>
        <v/>
      </c>
      <c r="C630" s="16">
        <f>IF($A630="","",助理班表!$A25)</f>
        <v/>
      </c>
      <c r="D630" s="16">
        <f>IF($C630="","",助理班表!$B25)</f>
        <v/>
      </c>
      <c r="E630" s="16">
        <f>IF($C630="","",助理班表!$D25)</f>
        <v/>
      </c>
      <c r="F630" s="16">
        <f>IF($C630="","",助理班表!$C25)</f>
        <v/>
      </c>
      <c r="G630" s="16">
        <f>IF($C630="","",助理班表!L25)</f>
        <v/>
      </c>
      <c r="H630" s="83">
        <f>IF($G630="","",IFERROR(IF(INDEX(設定!$D$6:$D$21,MATCH($G630,設定!$B$6:$B$21,0))=0,"",INDEX(設定!$D$6:$D$21,MATCH($G630,設定!$B$6:$B$21,0))),""))</f>
        <v/>
      </c>
      <c r="I630" s="83">
        <f>IF($G630="","",IFERROR(IF(INDEX(設定!$E$6:$E$21,MATCH($G630,設定!$B$6:$B$21,0))=0,"",INDEX(設定!$E$6:$E$21,MATCH($G630,設定!$B$6:$B$21,0))),""))</f>
        <v/>
      </c>
      <c r="J630" s="83">
        <f>IFERROR(INDEX(打卡匯入!$C$3:$C$2002,MATCH($C630&amp;"|"&amp;DAY($A630),打卡匯入!$E$3:$E$2002,0)),"")</f>
        <v/>
      </c>
      <c r="K630" s="83">
        <f>IFERROR(INDEX(打卡匯入!$D$3:$D$2002,MATCH($C630&amp;"|"&amp;DAY($A630),打卡匯入!$E$3:$E$2002,0)),"")</f>
        <v/>
      </c>
      <c r="L630" s="84">
        <f>IF(OR($J630="",$K630=""),"",IFERROR(INDEX(設定!$F$6:$F$21,MATCH($G630,設定!$B$6:$B$21,0)),0))</f>
        <v/>
      </c>
      <c r="M630" s="85">
        <f>IF(OR($J630="",$K630=""),"",ROUND(($K630-$J630)*24-$L630/60,2))</f>
        <v/>
      </c>
      <c r="N630" s="16">
        <f>IF($C630="","",IF(AND(COUNTIF(設定!$B$15:$B$21,$G630)&gt;0,$J630&lt;&gt;""),"假日出勤",IF(AND(COUNTIF(設定!$B$6:$B$14,$G630)&gt;0,$J630=""),"未打卡",IF($J630="","",IF($O630&gt;0,"遲到",IF($P630&gt;0,"早退","正常"))))))</f>
        <v/>
      </c>
      <c r="O630" s="84">
        <f>IF(OR($C630="",$H630="",$J630=""),0,IF(ROUND(($J630-$H630)*1440,0)&gt;設定!$C$46,ROUND(($J630-$H630)*1440,0),0))</f>
        <v/>
      </c>
      <c r="P630" s="84">
        <f>IF(OR($C630="",$I630="",$K630=""),0,IF(ROUND(($I630-$K630)*1440,0)&gt;設定!$C$46,ROUND(($I630-$K630)*1440,0),0))</f>
        <v/>
      </c>
      <c r="Q630" s="85">
        <f>IF($M630="",0,IF(($M630-IFERROR(INDEX(設定!$G$6:$G$21,MATCH($G630,設定!$B$6:$B$21,0)),0))*60&gt;=設定!$C$44,ROUND(FLOOR(($M630-IFERROR(INDEX(設定!$G$6:$G$21,MATCH($G630,設定!$B$6:$B$21,0)),0))*60,設定!$C$45)/60,2),0))</f>
        <v/>
      </c>
      <c r="R630" s="16">
        <f>IF(OR($C630="",$Q630=0),"",IF($G630="國","國定假日",IF($B630="日","例假",IF($B630="六","休息日","平日"))))</f>
        <v/>
      </c>
      <c r="S630" s="19" t="n"/>
    </row>
    <row r="631">
      <c r="A631" s="82">
        <f>IF(OR(助理班表!$A25="",9&gt;DAY(EOMONTH(DATE(設定!$C$2,設定!$D$2,1),0))),"",DATE(設定!$C$2,設定!$D$2,9))</f>
        <v/>
      </c>
      <c r="B631" s="16">
        <f>IF($A631="","",INDEX(設定!$O$6:$O$12,WEEKDAY($A631,1)))</f>
        <v/>
      </c>
      <c r="C631" s="16">
        <f>IF($A631="","",助理班表!$A25)</f>
        <v/>
      </c>
      <c r="D631" s="16">
        <f>IF($C631="","",助理班表!$B25)</f>
        <v/>
      </c>
      <c r="E631" s="16">
        <f>IF($C631="","",助理班表!$D25)</f>
        <v/>
      </c>
      <c r="F631" s="16">
        <f>IF($C631="","",助理班表!$C25)</f>
        <v/>
      </c>
      <c r="G631" s="16">
        <f>IF($C631="","",助理班表!M25)</f>
        <v/>
      </c>
      <c r="H631" s="83">
        <f>IF($G631="","",IFERROR(IF(INDEX(設定!$D$6:$D$21,MATCH($G631,設定!$B$6:$B$21,0))=0,"",INDEX(設定!$D$6:$D$21,MATCH($G631,設定!$B$6:$B$21,0))),""))</f>
        <v/>
      </c>
      <c r="I631" s="83">
        <f>IF($G631="","",IFERROR(IF(INDEX(設定!$E$6:$E$21,MATCH($G631,設定!$B$6:$B$21,0))=0,"",INDEX(設定!$E$6:$E$21,MATCH($G631,設定!$B$6:$B$21,0))),""))</f>
        <v/>
      </c>
      <c r="J631" s="83">
        <f>IFERROR(INDEX(打卡匯入!$C$3:$C$2002,MATCH($C631&amp;"|"&amp;DAY($A631),打卡匯入!$E$3:$E$2002,0)),"")</f>
        <v/>
      </c>
      <c r="K631" s="83">
        <f>IFERROR(INDEX(打卡匯入!$D$3:$D$2002,MATCH($C631&amp;"|"&amp;DAY($A631),打卡匯入!$E$3:$E$2002,0)),"")</f>
        <v/>
      </c>
      <c r="L631" s="84">
        <f>IF(OR($J631="",$K631=""),"",IFERROR(INDEX(設定!$F$6:$F$21,MATCH($G631,設定!$B$6:$B$21,0)),0))</f>
        <v/>
      </c>
      <c r="M631" s="85">
        <f>IF(OR($J631="",$K631=""),"",ROUND(($K631-$J631)*24-$L631/60,2))</f>
        <v/>
      </c>
      <c r="N631" s="16">
        <f>IF($C631="","",IF(AND(COUNTIF(設定!$B$15:$B$21,$G631)&gt;0,$J631&lt;&gt;""),"假日出勤",IF(AND(COUNTIF(設定!$B$6:$B$14,$G631)&gt;0,$J631=""),"未打卡",IF($J631="","",IF($O631&gt;0,"遲到",IF($P631&gt;0,"早退","正常"))))))</f>
        <v/>
      </c>
      <c r="O631" s="84">
        <f>IF(OR($C631="",$H631="",$J631=""),0,IF(ROUND(($J631-$H631)*1440,0)&gt;設定!$C$46,ROUND(($J631-$H631)*1440,0),0))</f>
        <v/>
      </c>
      <c r="P631" s="84">
        <f>IF(OR($C631="",$I631="",$K631=""),0,IF(ROUND(($I631-$K631)*1440,0)&gt;設定!$C$46,ROUND(($I631-$K631)*1440,0),0))</f>
        <v/>
      </c>
      <c r="Q631" s="85">
        <f>IF($M631="",0,IF(($M631-IFERROR(INDEX(設定!$G$6:$G$21,MATCH($G631,設定!$B$6:$B$21,0)),0))*60&gt;=設定!$C$44,ROUND(FLOOR(($M631-IFERROR(INDEX(設定!$G$6:$G$21,MATCH($G631,設定!$B$6:$B$21,0)),0))*60,設定!$C$45)/60,2),0))</f>
        <v/>
      </c>
      <c r="R631" s="16">
        <f>IF(OR($C631="",$Q631=0),"",IF($G631="國","國定假日",IF($B631="日","例假",IF($B631="六","休息日","平日"))))</f>
        <v/>
      </c>
      <c r="S631" s="19" t="n"/>
    </row>
    <row r="632">
      <c r="A632" s="82">
        <f>IF(OR(助理班表!$A25="",10&gt;DAY(EOMONTH(DATE(設定!$C$2,設定!$D$2,1),0))),"",DATE(設定!$C$2,設定!$D$2,10))</f>
        <v/>
      </c>
      <c r="B632" s="16">
        <f>IF($A632="","",INDEX(設定!$O$6:$O$12,WEEKDAY($A632,1)))</f>
        <v/>
      </c>
      <c r="C632" s="16">
        <f>IF($A632="","",助理班表!$A25)</f>
        <v/>
      </c>
      <c r="D632" s="16">
        <f>IF($C632="","",助理班表!$B25)</f>
        <v/>
      </c>
      <c r="E632" s="16">
        <f>IF($C632="","",助理班表!$D25)</f>
        <v/>
      </c>
      <c r="F632" s="16">
        <f>IF($C632="","",助理班表!$C25)</f>
        <v/>
      </c>
      <c r="G632" s="16">
        <f>IF($C632="","",助理班表!N25)</f>
        <v/>
      </c>
      <c r="H632" s="83">
        <f>IF($G632="","",IFERROR(IF(INDEX(設定!$D$6:$D$21,MATCH($G632,設定!$B$6:$B$21,0))=0,"",INDEX(設定!$D$6:$D$21,MATCH($G632,設定!$B$6:$B$21,0))),""))</f>
        <v/>
      </c>
      <c r="I632" s="83">
        <f>IF($G632="","",IFERROR(IF(INDEX(設定!$E$6:$E$21,MATCH($G632,設定!$B$6:$B$21,0))=0,"",INDEX(設定!$E$6:$E$21,MATCH($G632,設定!$B$6:$B$21,0))),""))</f>
        <v/>
      </c>
      <c r="J632" s="83">
        <f>IFERROR(INDEX(打卡匯入!$C$3:$C$2002,MATCH($C632&amp;"|"&amp;DAY($A632),打卡匯入!$E$3:$E$2002,0)),"")</f>
        <v/>
      </c>
      <c r="K632" s="83">
        <f>IFERROR(INDEX(打卡匯入!$D$3:$D$2002,MATCH($C632&amp;"|"&amp;DAY($A632),打卡匯入!$E$3:$E$2002,0)),"")</f>
        <v/>
      </c>
      <c r="L632" s="84">
        <f>IF(OR($J632="",$K632=""),"",IFERROR(INDEX(設定!$F$6:$F$21,MATCH($G632,設定!$B$6:$B$21,0)),0))</f>
        <v/>
      </c>
      <c r="M632" s="85">
        <f>IF(OR($J632="",$K632=""),"",ROUND(($K632-$J632)*24-$L632/60,2))</f>
        <v/>
      </c>
      <c r="N632" s="16">
        <f>IF($C632="","",IF(AND(COUNTIF(設定!$B$15:$B$21,$G632)&gt;0,$J632&lt;&gt;""),"假日出勤",IF(AND(COUNTIF(設定!$B$6:$B$14,$G632)&gt;0,$J632=""),"未打卡",IF($J632="","",IF($O632&gt;0,"遲到",IF($P632&gt;0,"早退","正常"))))))</f>
        <v/>
      </c>
      <c r="O632" s="84">
        <f>IF(OR($C632="",$H632="",$J632=""),0,IF(ROUND(($J632-$H632)*1440,0)&gt;設定!$C$46,ROUND(($J632-$H632)*1440,0),0))</f>
        <v/>
      </c>
      <c r="P632" s="84">
        <f>IF(OR($C632="",$I632="",$K632=""),0,IF(ROUND(($I632-$K632)*1440,0)&gt;設定!$C$46,ROUND(($I632-$K632)*1440,0),0))</f>
        <v/>
      </c>
      <c r="Q632" s="85">
        <f>IF($M632="",0,IF(($M632-IFERROR(INDEX(設定!$G$6:$G$21,MATCH($G632,設定!$B$6:$B$21,0)),0))*60&gt;=設定!$C$44,ROUND(FLOOR(($M632-IFERROR(INDEX(設定!$G$6:$G$21,MATCH($G632,設定!$B$6:$B$21,0)),0))*60,設定!$C$45)/60,2),0))</f>
        <v/>
      </c>
      <c r="R632" s="16">
        <f>IF(OR($C632="",$Q632=0),"",IF($G632="國","國定假日",IF($B632="日","例假",IF($B632="六","休息日","平日"))))</f>
        <v/>
      </c>
      <c r="S632" s="19" t="n"/>
    </row>
    <row r="633">
      <c r="A633" s="82">
        <f>IF(OR(助理班表!$A25="",11&gt;DAY(EOMONTH(DATE(設定!$C$2,設定!$D$2,1),0))),"",DATE(設定!$C$2,設定!$D$2,11))</f>
        <v/>
      </c>
      <c r="B633" s="16">
        <f>IF($A633="","",INDEX(設定!$O$6:$O$12,WEEKDAY($A633,1)))</f>
        <v/>
      </c>
      <c r="C633" s="16">
        <f>IF($A633="","",助理班表!$A25)</f>
        <v/>
      </c>
      <c r="D633" s="16">
        <f>IF($C633="","",助理班表!$B25)</f>
        <v/>
      </c>
      <c r="E633" s="16">
        <f>IF($C633="","",助理班表!$D25)</f>
        <v/>
      </c>
      <c r="F633" s="16">
        <f>IF($C633="","",助理班表!$C25)</f>
        <v/>
      </c>
      <c r="G633" s="16">
        <f>IF($C633="","",助理班表!O25)</f>
        <v/>
      </c>
      <c r="H633" s="83">
        <f>IF($G633="","",IFERROR(IF(INDEX(設定!$D$6:$D$21,MATCH($G633,設定!$B$6:$B$21,0))=0,"",INDEX(設定!$D$6:$D$21,MATCH($G633,設定!$B$6:$B$21,0))),""))</f>
        <v/>
      </c>
      <c r="I633" s="83">
        <f>IF($G633="","",IFERROR(IF(INDEX(設定!$E$6:$E$21,MATCH($G633,設定!$B$6:$B$21,0))=0,"",INDEX(設定!$E$6:$E$21,MATCH($G633,設定!$B$6:$B$21,0))),""))</f>
        <v/>
      </c>
      <c r="J633" s="83">
        <f>IFERROR(INDEX(打卡匯入!$C$3:$C$2002,MATCH($C633&amp;"|"&amp;DAY($A633),打卡匯入!$E$3:$E$2002,0)),"")</f>
        <v/>
      </c>
      <c r="K633" s="83">
        <f>IFERROR(INDEX(打卡匯入!$D$3:$D$2002,MATCH($C633&amp;"|"&amp;DAY($A633),打卡匯入!$E$3:$E$2002,0)),"")</f>
        <v/>
      </c>
      <c r="L633" s="84">
        <f>IF(OR($J633="",$K633=""),"",IFERROR(INDEX(設定!$F$6:$F$21,MATCH($G633,設定!$B$6:$B$21,0)),0))</f>
        <v/>
      </c>
      <c r="M633" s="85">
        <f>IF(OR($J633="",$K633=""),"",ROUND(($K633-$J633)*24-$L633/60,2))</f>
        <v/>
      </c>
      <c r="N633" s="16">
        <f>IF($C633="","",IF(AND(COUNTIF(設定!$B$15:$B$21,$G633)&gt;0,$J633&lt;&gt;""),"假日出勤",IF(AND(COUNTIF(設定!$B$6:$B$14,$G633)&gt;0,$J633=""),"未打卡",IF($J633="","",IF($O633&gt;0,"遲到",IF($P633&gt;0,"早退","正常"))))))</f>
        <v/>
      </c>
      <c r="O633" s="84">
        <f>IF(OR($C633="",$H633="",$J633=""),0,IF(ROUND(($J633-$H633)*1440,0)&gt;設定!$C$46,ROUND(($J633-$H633)*1440,0),0))</f>
        <v/>
      </c>
      <c r="P633" s="84">
        <f>IF(OR($C633="",$I633="",$K633=""),0,IF(ROUND(($I633-$K633)*1440,0)&gt;設定!$C$46,ROUND(($I633-$K633)*1440,0),0))</f>
        <v/>
      </c>
      <c r="Q633" s="85">
        <f>IF($M633="",0,IF(($M633-IFERROR(INDEX(設定!$G$6:$G$21,MATCH($G633,設定!$B$6:$B$21,0)),0))*60&gt;=設定!$C$44,ROUND(FLOOR(($M633-IFERROR(INDEX(設定!$G$6:$G$21,MATCH($G633,設定!$B$6:$B$21,0)),0))*60,設定!$C$45)/60,2),0))</f>
        <v/>
      </c>
      <c r="R633" s="16">
        <f>IF(OR($C633="",$Q633=0),"",IF($G633="國","國定假日",IF($B633="日","例假",IF($B633="六","休息日","平日"))))</f>
        <v/>
      </c>
      <c r="S633" s="19" t="n"/>
    </row>
    <row r="634">
      <c r="A634" s="82">
        <f>IF(OR(助理班表!$A25="",12&gt;DAY(EOMONTH(DATE(設定!$C$2,設定!$D$2,1),0))),"",DATE(設定!$C$2,設定!$D$2,12))</f>
        <v/>
      </c>
      <c r="B634" s="16">
        <f>IF($A634="","",INDEX(設定!$O$6:$O$12,WEEKDAY($A634,1)))</f>
        <v/>
      </c>
      <c r="C634" s="16">
        <f>IF($A634="","",助理班表!$A25)</f>
        <v/>
      </c>
      <c r="D634" s="16">
        <f>IF($C634="","",助理班表!$B25)</f>
        <v/>
      </c>
      <c r="E634" s="16">
        <f>IF($C634="","",助理班表!$D25)</f>
        <v/>
      </c>
      <c r="F634" s="16">
        <f>IF($C634="","",助理班表!$C25)</f>
        <v/>
      </c>
      <c r="G634" s="16">
        <f>IF($C634="","",助理班表!P25)</f>
        <v/>
      </c>
      <c r="H634" s="83">
        <f>IF($G634="","",IFERROR(IF(INDEX(設定!$D$6:$D$21,MATCH($G634,設定!$B$6:$B$21,0))=0,"",INDEX(設定!$D$6:$D$21,MATCH($G634,設定!$B$6:$B$21,0))),""))</f>
        <v/>
      </c>
      <c r="I634" s="83">
        <f>IF($G634="","",IFERROR(IF(INDEX(設定!$E$6:$E$21,MATCH($G634,設定!$B$6:$B$21,0))=0,"",INDEX(設定!$E$6:$E$21,MATCH($G634,設定!$B$6:$B$21,0))),""))</f>
        <v/>
      </c>
      <c r="J634" s="83">
        <f>IFERROR(INDEX(打卡匯入!$C$3:$C$2002,MATCH($C634&amp;"|"&amp;DAY($A634),打卡匯入!$E$3:$E$2002,0)),"")</f>
        <v/>
      </c>
      <c r="K634" s="83">
        <f>IFERROR(INDEX(打卡匯入!$D$3:$D$2002,MATCH($C634&amp;"|"&amp;DAY($A634),打卡匯入!$E$3:$E$2002,0)),"")</f>
        <v/>
      </c>
      <c r="L634" s="84">
        <f>IF(OR($J634="",$K634=""),"",IFERROR(INDEX(設定!$F$6:$F$21,MATCH($G634,設定!$B$6:$B$21,0)),0))</f>
        <v/>
      </c>
      <c r="M634" s="85">
        <f>IF(OR($J634="",$K634=""),"",ROUND(($K634-$J634)*24-$L634/60,2))</f>
        <v/>
      </c>
      <c r="N634" s="16">
        <f>IF($C634="","",IF(AND(COUNTIF(設定!$B$15:$B$21,$G634)&gt;0,$J634&lt;&gt;""),"假日出勤",IF(AND(COUNTIF(設定!$B$6:$B$14,$G634)&gt;0,$J634=""),"未打卡",IF($J634="","",IF($O634&gt;0,"遲到",IF($P634&gt;0,"早退","正常"))))))</f>
        <v/>
      </c>
      <c r="O634" s="84">
        <f>IF(OR($C634="",$H634="",$J634=""),0,IF(ROUND(($J634-$H634)*1440,0)&gt;設定!$C$46,ROUND(($J634-$H634)*1440,0),0))</f>
        <v/>
      </c>
      <c r="P634" s="84">
        <f>IF(OR($C634="",$I634="",$K634=""),0,IF(ROUND(($I634-$K634)*1440,0)&gt;設定!$C$46,ROUND(($I634-$K634)*1440,0),0))</f>
        <v/>
      </c>
      <c r="Q634" s="85">
        <f>IF($M634="",0,IF(($M634-IFERROR(INDEX(設定!$G$6:$G$21,MATCH($G634,設定!$B$6:$B$21,0)),0))*60&gt;=設定!$C$44,ROUND(FLOOR(($M634-IFERROR(INDEX(設定!$G$6:$G$21,MATCH($G634,設定!$B$6:$B$21,0)),0))*60,設定!$C$45)/60,2),0))</f>
        <v/>
      </c>
      <c r="R634" s="16">
        <f>IF(OR($C634="",$Q634=0),"",IF($G634="國","國定假日",IF($B634="日","例假",IF($B634="六","休息日","平日"))))</f>
        <v/>
      </c>
      <c r="S634" s="19" t="n"/>
    </row>
    <row r="635">
      <c r="A635" s="82">
        <f>IF(OR(助理班表!$A25="",13&gt;DAY(EOMONTH(DATE(設定!$C$2,設定!$D$2,1),0))),"",DATE(設定!$C$2,設定!$D$2,13))</f>
        <v/>
      </c>
      <c r="B635" s="16">
        <f>IF($A635="","",INDEX(設定!$O$6:$O$12,WEEKDAY($A635,1)))</f>
        <v/>
      </c>
      <c r="C635" s="16">
        <f>IF($A635="","",助理班表!$A25)</f>
        <v/>
      </c>
      <c r="D635" s="16">
        <f>IF($C635="","",助理班表!$B25)</f>
        <v/>
      </c>
      <c r="E635" s="16">
        <f>IF($C635="","",助理班表!$D25)</f>
        <v/>
      </c>
      <c r="F635" s="16">
        <f>IF($C635="","",助理班表!$C25)</f>
        <v/>
      </c>
      <c r="G635" s="16">
        <f>IF($C635="","",助理班表!Q25)</f>
        <v/>
      </c>
      <c r="H635" s="83">
        <f>IF($G635="","",IFERROR(IF(INDEX(設定!$D$6:$D$21,MATCH($G635,設定!$B$6:$B$21,0))=0,"",INDEX(設定!$D$6:$D$21,MATCH($G635,設定!$B$6:$B$21,0))),""))</f>
        <v/>
      </c>
      <c r="I635" s="83">
        <f>IF($G635="","",IFERROR(IF(INDEX(設定!$E$6:$E$21,MATCH($G635,設定!$B$6:$B$21,0))=0,"",INDEX(設定!$E$6:$E$21,MATCH($G635,設定!$B$6:$B$21,0))),""))</f>
        <v/>
      </c>
      <c r="J635" s="83">
        <f>IFERROR(INDEX(打卡匯入!$C$3:$C$2002,MATCH($C635&amp;"|"&amp;DAY($A635),打卡匯入!$E$3:$E$2002,0)),"")</f>
        <v/>
      </c>
      <c r="K635" s="83">
        <f>IFERROR(INDEX(打卡匯入!$D$3:$D$2002,MATCH($C635&amp;"|"&amp;DAY($A635),打卡匯入!$E$3:$E$2002,0)),"")</f>
        <v/>
      </c>
      <c r="L635" s="84">
        <f>IF(OR($J635="",$K635=""),"",IFERROR(INDEX(設定!$F$6:$F$21,MATCH($G635,設定!$B$6:$B$21,0)),0))</f>
        <v/>
      </c>
      <c r="M635" s="85">
        <f>IF(OR($J635="",$K635=""),"",ROUND(($K635-$J635)*24-$L635/60,2))</f>
        <v/>
      </c>
      <c r="N635" s="16">
        <f>IF($C635="","",IF(AND(COUNTIF(設定!$B$15:$B$21,$G635)&gt;0,$J635&lt;&gt;""),"假日出勤",IF(AND(COUNTIF(設定!$B$6:$B$14,$G635)&gt;0,$J635=""),"未打卡",IF($J635="","",IF($O635&gt;0,"遲到",IF($P635&gt;0,"早退","正常"))))))</f>
        <v/>
      </c>
      <c r="O635" s="84">
        <f>IF(OR($C635="",$H635="",$J635=""),0,IF(ROUND(($J635-$H635)*1440,0)&gt;設定!$C$46,ROUND(($J635-$H635)*1440,0),0))</f>
        <v/>
      </c>
      <c r="P635" s="84">
        <f>IF(OR($C635="",$I635="",$K635=""),0,IF(ROUND(($I635-$K635)*1440,0)&gt;設定!$C$46,ROUND(($I635-$K635)*1440,0),0))</f>
        <v/>
      </c>
      <c r="Q635" s="85">
        <f>IF($M635="",0,IF(($M635-IFERROR(INDEX(設定!$G$6:$G$21,MATCH($G635,設定!$B$6:$B$21,0)),0))*60&gt;=設定!$C$44,ROUND(FLOOR(($M635-IFERROR(INDEX(設定!$G$6:$G$21,MATCH($G635,設定!$B$6:$B$21,0)),0))*60,設定!$C$45)/60,2),0))</f>
        <v/>
      </c>
      <c r="R635" s="16">
        <f>IF(OR($C635="",$Q635=0),"",IF($G635="國","國定假日",IF($B635="日","例假",IF($B635="六","休息日","平日"))))</f>
        <v/>
      </c>
      <c r="S635" s="19" t="n"/>
    </row>
    <row r="636">
      <c r="A636" s="82">
        <f>IF(OR(助理班表!$A25="",14&gt;DAY(EOMONTH(DATE(設定!$C$2,設定!$D$2,1),0))),"",DATE(設定!$C$2,設定!$D$2,14))</f>
        <v/>
      </c>
      <c r="B636" s="16">
        <f>IF($A636="","",INDEX(設定!$O$6:$O$12,WEEKDAY($A636,1)))</f>
        <v/>
      </c>
      <c r="C636" s="16">
        <f>IF($A636="","",助理班表!$A25)</f>
        <v/>
      </c>
      <c r="D636" s="16">
        <f>IF($C636="","",助理班表!$B25)</f>
        <v/>
      </c>
      <c r="E636" s="16">
        <f>IF($C636="","",助理班表!$D25)</f>
        <v/>
      </c>
      <c r="F636" s="16">
        <f>IF($C636="","",助理班表!$C25)</f>
        <v/>
      </c>
      <c r="G636" s="16">
        <f>IF($C636="","",助理班表!R25)</f>
        <v/>
      </c>
      <c r="H636" s="83">
        <f>IF($G636="","",IFERROR(IF(INDEX(設定!$D$6:$D$21,MATCH($G636,設定!$B$6:$B$21,0))=0,"",INDEX(設定!$D$6:$D$21,MATCH($G636,設定!$B$6:$B$21,0))),""))</f>
        <v/>
      </c>
      <c r="I636" s="83">
        <f>IF($G636="","",IFERROR(IF(INDEX(設定!$E$6:$E$21,MATCH($G636,設定!$B$6:$B$21,0))=0,"",INDEX(設定!$E$6:$E$21,MATCH($G636,設定!$B$6:$B$21,0))),""))</f>
        <v/>
      </c>
      <c r="J636" s="83">
        <f>IFERROR(INDEX(打卡匯入!$C$3:$C$2002,MATCH($C636&amp;"|"&amp;DAY($A636),打卡匯入!$E$3:$E$2002,0)),"")</f>
        <v/>
      </c>
      <c r="K636" s="83">
        <f>IFERROR(INDEX(打卡匯入!$D$3:$D$2002,MATCH($C636&amp;"|"&amp;DAY($A636),打卡匯入!$E$3:$E$2002,0)),"")</f>
        <v/>
      </c>
      <c r="L636" s="84">
        <f>IF(OR($J636="",$K636=""),"",IFERROR(INDEX(設定!$F$6:$F$21,MATCH($G636,設定!$B$6:$B$21,0)),0))</f>
        <v/>
      </c>
      <c r="M636" s="85">
        <f>IF(OR($J636="",$K636=""),"",ROUND(($K636-$J636)*24-$L636/60,2))</f>
        <v/>
      </c>
      <c r="N636" s="16">
        <f>IF($C636="","",IF(AND(COUNTIF(設定!$B$15:$B$21,$G636)&gt;0,$J636&lt;&gt;""),"假日出勤",IF(AND(COUNTIF(設定!$B$6:$B$14,$G636)&gt;0,$J636=""),"未打卡",IF($J636="","",IF($O636&gt;0,"遲到",IF($P636&gt;0,"早退","正常"))))))</f>
        <v/>
      </c>
      <c r="O636" s="84">
        <f>IF(OR($C636="",$H636="",$J636=""),0,IF(ROUND(($J636-$H636)*1440,0)&gt;設定!$C$46,ROUND(($J636-$H636)*1440,0),0))</f>
        <v/>
      </c>
      <c r="P636" s="84">
        <f>IF(OR($C636="",$I636="",$K636=""),0,IF(ROUND(($I636-$K636)*1440,0)&gt;設定!$C$46,ROUND(($I636-$K636)*1440,0),0))</f>
        <v/>
      </c>
      <c r="Q636" s="85">
        <f>IF($M636="",0,IF(($M636-IFERROR(INDEX(設定!$G$6:$G$21,MATCH($G636,設定!$B$6:$B$21,0)),0))*60&gt;=設定!$C$44,ROUND(FLOOR(($M636-IFERROR(INDEX(設定!$G$6:$G$21,MATCH($G636,設定!$B$6:$B$21,0)),0))*60,設定!$C$45)/60,2),0))</f>
        <v/>
      </c>
      <c r="R636" s="16">
        <f>IF(OR($C636="",$Q636=0),"",IF($G636="國","國定假日",IF($B636="日","例假",IF($B636="六","休息日","平日"))))</f>
        <v/>
      </c>
      <c r="S636" s="19" t="n"/>
    </row>
    <row r="637">
      <c r="A637" s="82">
        <f>IF(OR(助理班表!$A25="",15&gt;DAY(EOMONTH(DATE(設定!$C$2,設定!$D$2,1),0))),"",DATE(設定!$C$2,設定!$D$2,15))</f>
        <v/>
      </c>
      <c r="B637" s="16">
        <f>IF($A637="","",INDEX(設定!$O$6:$O$12,WEEKDAY($A637,1)))</f>
        <v/>
      </c>
      <c r="C637" s="16">
        <f>IF($A637="","",助理班表!$A25)</f>
        <v/>
      </c>
      <c r="D637" s="16">
        <f>IF($C637="","",助理班表!$B25)</f>
        <v/>
      </c>
      <c r="E637" s="16">
        <f>IF($C637="","",助理班表!$D25)</f>
        <v/>
      </c>
      <c r="F637" s="16">
        <f>IF($C637="","",助理班表!$C25)</f>
        <v/>
      </c>
      <c r="G637" s="16">
        <f>IF($C637="","",助理班表!S25)</f>
        <v/>
      </c>
      <c r="H637" s="83">
        <f>IF($G637="","",IFERROR(IF(INDEX(設定!$D$6:$D$21,MATCH($G637,設定!$B$6:$B$21,0))=0,"",INDEX(設定!$D$6:$D$21,MATCH($G637,設定!$B$6:$B$21,0))),""))</f>
        <v/>
      </c>
      <c r="I637" s="83">
        <f>IF($G637="","",IFERROR(IF(INDEX(設定!$E$6:$E$21,MATCH($G637,設定!$B$6:$B$21,0))=0,"",INDEX(設定!$E$6:$E$21,MATCH($G637,設定!$B$6:$B$21,0))),""))</f>
        <v/>
      </c>
      <c r="J637" s="83">
        <f>IFERROR(INDEX(打卡匯入!$C$3:$C$2002,MATCH($C637&amp;"|"&amp;DAY($A637),打卡匯入!$E$3:$E$2002,0)),"")</f>
        <v/>
      </c>
      <c r="K637" s="83">
        <f>IFERROR(INDEX(打卡匯入!$D$3:$D$2002,MATCH($C637&amp;"|"&amp;DAY($A637),打卡匯入!$E$3:$E$2002,0)),"")</f>
        <v/>
      </c>
      <c r="L637" s="84">
        <f>IF(OR($J637="",$K637=""),"",IFERROR(INDEX(設定!$F$6:$F$21,MATCH($G637,設定!$B$6:$B$21,0)),0))</f>
        <v/>
      </c>
      <c r="M637" s="85">
        <f>IF(OR($J637="",$K637=""),"",ROUND(($K637-$J637)*24-$L637/60,2))</f>
        <v/>
      </c>
      <c r="N637" s="16">
        <f>IF($C637="","",IF(AND(COUNTIF(設定!$B$15:$B$21,$G637)&gt;0,$J637&lt;&gt;""),"假日出勤",IF(AND(COUNTIF(設定!$B$6:$B$14,$G637)&gt;0,$J637=""),"未打卡",IF($J637="","",IF($O637&gt;0,"遲到",IF($P637&gt;0,"早退","正常"))))))</f>
        <v/>
      </c>
      <c r="O637" s="84">
        <f>IF(OR($C637="",$H637="",$J637=""),0,IF(ROUND(($J637-$H637)*1440,0)&gt;設定!$C$46,ROUND(($J637-$H637)*1440,0),0))</f>
        <v/>
      </c>
      <c r="P637" s="84">
        <f>IF(OR($C637="",$I637="",$K637=""),0,IF(ROUND(($I637-$K637)*1440,0)&gt;設定!$C$46,ROUND(($I637-$K637)*1440,0),0))</f>
        <v/>
      </c>
      <c r="Q637" s="85">
        <f>IF($M637="",0,IF(($M637-IFERROR(INDEX(設定!$G$6:$G$21,MATCH($G637,設定!$B$6:$B$21,0)),0))*60&gt;=設定!$C$44,ROUND(FLOOR(($M637-IFERROR(INDEX(設定!$G$6:$G$21,MATCH($G637,設定!$B$6:$B$21,0)),0))*60,設定!$C$45)/60,2),0))</f>
        <v/>
      </c>
      <c r="R637" s="16">
        <f>IF(OR($C637="",$Q637=0),"",IF($G637="國","國定假日",IF($B637="日","例假",IF($B637="六","休息日","平日"))))</f>
        <v/>
      </c>
      <c r="S637" s="19" t="n"/>
    </row>
    <row r="638">
      <c r="A638" s="82">
        <f>IF(OR(助理班表!$A25="",16&gt;DAY(EOMONTH(DATE(設定!$C$2,設定!$D$2,1),0))),"",DATE(設定!$C$2,設定!$D$2,16))</f>
        <v/>
      </c>
      <c r="B638" s="16">
        <f>IF($A638="","",INDEX(設定!$O$6:$O$12,WEEKDAY($A638,1)))</f>
        <v/>
      </c>
      <c r="C638" s="16">
        <f>IF($A638="","",助理班表!$A25)</f>
        <v/>
      </c>
      <c r="D638" s="16">
        <f>IF($C638="","",助理班表!$B25)</f>
        <v/>
      </c>
      <c r="E638" s="16">
        <f>IF($C638="","",助理班表!$D25)</f>
        <v/>
      </c>
      <c r="F638" s="16">
        <f>IF($C638="","",助理班表!$C25)</f>
        <v/>
      </c>
      <c r="G638" s="16">
        <f>IF($C638="","",助理班表!T25)</f>
        <v/>
      </c>
      <c r="H638" s="83">
        <f>IF($G638="","",IFERROR(IF(INDEX(設定!$D$6:$D$21,MATCH($G638,設定!$B$6:$B$21,0))=0,"",INDEX(設定!$D$6:$D$21,MATCH($G638,設定!$B$6:$B$21,0))),""))</f>
        <v/>
      </c>
      <c r="I638" s="83">
        <f>IF($G638="","",IFERROR(IF(INDEX(設定!$E$6:$E$21,MATCH($G638,設定!$B$6:$B$21,0))=0,"",INDEX(設定!$E$6:$E$21,MATCH($G638,設定!$B$6:$B$21,0))),""))</f>
        <v/>
      </c>
      <c r="J638" s="83">
        <f>IFERROR(INDEX(打卡匯入!$C$3:$C$2002,MATCH($C638&amp;"|"&amp;DAY($A638),打卡匯入!$E$3:$E$2002,0)),"")</f>
        <v/>
      </c>
      <c r="K638" s="83">
        <f>IFERROR(INDEX(打卡匯入!$D$3:$D$2002,MATCH($C638&amp;"|"&amp;DAY($A638),打卡匯入!$E$3:$E$2002,0)),"")</f>
        <v/>
      </c>
      <c r="L638" s="84">
        <f>IF(OR($J638="",$K638=""),"",IFERROR(INDEX(設定!$F$6:$F$21,MATCH($G638,設定!$B$6:$B$21,0)),0))</f>
        <v/>
      </c>
      <c r="M638" s="85">
        <f>IF(OR($J638="",$K638=""),"",ROUND(($K638-$J638)*24-$L638/60,2))</f>
        <v/>
      </c>
      <c r="N638" s="16">
        <f>IF($C638="","",IF(AND(COUNTIF(設定!$B$15:$B$21,$G638)&gt;0,$J638&lt;&gt;""),"假日出勤",IF(AND(COUNTIF(設定!$B$6:$B$14,$G638)&gt;0,$J638=""),"未打卡",IF($J638="","",IF($O638&gt;0,"遲到",IF($P638&gt;0,"早退","正常"))))))</f>
        <v/>
      </c>
      <c r="O638" s="84">
        <f>IF(OR($C638="",$H638="",$J638=""),0,IF(ROUND(($J638-$H638)*1440,0)&gt;設定!$C$46,ROUND(($J638-$H638)*1440,0),0))</f>
        <v/>
      </c>
      <c r="P638" s="84">
        <f>IF(OR($C638="",$I638="",$K638=""),0,IF(ROUND(($I638-$K638)*1440,0)&gt;設定!$C$46,ROUND(($I638-$K638)*1440,0),0))</f>
        <v/>
      </c>
      <c r="Q638" s="85">
        <f>IF($M638="",0,IF(($M638-IFERROR(INDEX(設定!$G$6:$G$21,MATCH($G638,設定!$B$6:$B$21,0)),0))*60&gt;=設定!$C$44,ROUND(FLOOR(($M638-IFERROR(INDEX(設定!$G$6:$G$21,MATCH($G638,設定!$B$6:$B$21,0)),0))*60,設定!$C$45)/60,2),0))</f>
        <v/>
      </c>
      <c r="R638" s="16">
        <f>IF(OR($C638="",$Q638=0),"",IF($G638="國","國定假日",IF($B638="日","例假",IF($B638="六","休息日","平日"))))</f>
        <v/>
      </c>
      <c r="S638" s="19" t="n"/>
    </row>
    <row r="639">
      <c r="A639" s="82">
        <f>IF(OR(助理班表!$A25="",17&gt;DAY(EOMONTH(DATE(設定!$C$2,設定!$D$2,1),0))),"",DATE(設定!$C$2,設定!$D$2,17))</f>
        <v/>
      </c>
      <c r="B639" s="16">
        <f>IF($A639="","",INDEX(設定!$O$6:$O$12,WEEKDAY($A639,1)))</f>
        <v/>
      </c>
      <c r="C639" s="16">
        <f>IF($A639="","",助理班表!$A25)</f>
        <v/>
      </c>
      <c r="D639" s="16">
        <f>IF($C639="","",助理班表!$B25)</f>
        <v/>
      </c>
      <c r="E639" s="16">
        <f>IF($C639="","",助理班表!$D25)</f>
        <v/>
      </c>
      <c r="F639" s="16">
        <f>IF($C639="","",助理班表!$C25)</f>
        <v/>
      </c>
      <c r="G639" s="16">
        <f>IF($C639="","",助理班表!U25)</f>
        <v/>
      </c>
      <c r="H639" s="83">
        <f>IF($G639="","",IFERROR(IF(INDEX(設定!$D$6:$D$21,MATCH($G639,設定!$B$6:$B$21,0))=0,"",INDEX(設定!$D$6:$D$21,MATCH($G639,設定!$B$6:$B$21,0))),""))</f>
        <v/>
      </c>
      <c r="I639" s="83">
        <f>IF($G639="","",IFERROR(IF(INDEX(設定!$E$6:$E$21,MATCH($G639,設定!$B$6:$B$21,0))=0,"",INDEX(設定!$E$6:$E$21,MATCH($G639,設定!$B$6:$B$21,0))),""))</f>
        <v/>
      </c>
      <c r="J639" s="83">
        <f>IFERROR(INDEX(打卡匯入!$C$3:$C$2002,MATCH($C639&amp;"|"&amp;DAY($A639),打卡匯入!$E$3:$E$2002,0)),"")</f>
        <v/>
      </c>
      <c r="K639" s="83">
        <f>IFERROR(INDEX(打卡匯入!$D$3:$D$2002,MATCH($C639&amp;"|"&amp;DAY($A639),打卡匯入!$E$3:$E$2002,0)),"")</f>
        <v/>
      </c>
      <c r="L639" s="84">
        <f>IF(OR($J639="",$K639=""),"",IFERROR(INDEX(設定!$F$6:$F$21,MATCH($G639,設定!$B$6:$B$21,0)),0))</f>
        <v/>
      </c>
      <c r="M639" s="85">
        <f>IF(OR($J639="",$K639=""),"",ROUND(($K639-$J639)*24-$L639/60,2))</f>
        <v/>
      </c>
      <c r="N639" s="16">
        <f>IF($C639="","",IF(AND(COUNTIF(設定!$B$15:$B$21,$G639)&gt;0,$J639&lt;&gt;""),"假日出勤",IF(AND(COUNTIF(設定!$B$6:$B$14,$G639)&gt;0,$J639=""),"未打卡",IF($J639="","",IF($O639&gt;0,"遲到",IF($P639&gt;0,"早退","正常"))))))</f>
        <v/>
      </c>
      <c r="O639" s="84">
        <f>IF(OR($C639="",$H639="",$J639=""),0,IF(ROUND(($J639-$H639)*1440,0)&gt;設定!$C$46,ROUND(($J639-$H639)*1440,0),0))</f>
        <v/>
      </c>
      <c r="P639" s="84">
        <f>IF(OR($C639="",$I639="",$K639=""),0,IF(ROUND(($I639-$K639)*1440,0)&gt;設定!$C$46,ROUND(($I639-$K639)*1440,0),0))</f>
        <v/>
      </c>
      <c r="Q639" s="85">
        <f>IF($M639="",0,IF(($M639-IFERROR(INDEX(設定!$G$6:$G$21,MATCH($G639,設定!$B$6:$B$21,0)),0))*60&gt;=設定!$C$44,ROUND(FLOOR(($M639-IFERROR(INDEX(設定!$G$6:$G$21,MATCH($G639,設定!$B$6:$B$21,0)),0))*60,設定!$C$45)/60,2),0))</f>
        <v/>
      </c>
      <c r="R639" s="16">
        <f>IF(OR($C639="",$Q639=0),"",IF($G639="國","國定假日",IF($B639="日","例假",IF($B639="六","休息日","平日"))))</f>
        <v/>
      </c>
      <c r="S639" s="19" t="n"/>
    </row>
    <row r="640">
      <c r="A640" s="82">
        <f>IF(OR(助理班表!$A25="",18&gt;DAY(EOMONTH(DATE(設定!$C$2,設定!$D$2,1),0))),"",DATE(設定!$C$2,設定!$D$2,18))</f>
        <v/>
      </c>
      <c r="B640" s="16">
        <f>IF($A640="","",INDEX(設定!$O$6:$O$12,WEEKDAY($A640,1)))</f>
        <v/>
      </c>
      <c r="C640" s="16">
        <f>IF($A640="","",助理班表!$A25)</f>
        <v/>
      </c>
      <c r="D640" s="16">
        <f>IF($C640="","",助理班表!$B25)</f>
        <v/>
      </c>
      <c r="E640" s="16">
        <f>IF($C640="","",助理班表!$D25)</f>
        <v/>
      </c>
      <c r="F640" s="16">
        <f>IF($C640="","",助理班表!$C25)</f>
        <v/>
      </c>
      <c r="G640" s="16">
        <f>IF($C640="","",助理班表!V25)</f>
        <v/>
      </c>
      <c r="H640" s="83">
        <f>IF($G640="","",IFERROR(IF(INDEX(設定!$D$6:$D$21,MATCH($G640,設定!$B$6:$B$21,0))=0,"",INDEX(設定!$D$6:$D$21,MATCH($G640,設定!$B$6:$B$21,0))),""))</f>
        <v/>
      </c>
      <c r="I640" s="83">
        <f>IF($G640="","",IFERROR(IF(INDEX(設定!$E$6:$E$21,MATCH($G640,設定!$B$6:$B$21,0))=0,"",INDEX(設定!$E$6:$E$21,MATCH($G640,設定!$B$6:$B$21,0))),""))</f>
        <v/>
      </c>
      <c r="J640" s="83">
        <f>IFERROR(INDEX(打卡匯入!$C$3:$C$2002,MATCH($C640&amp;"|"&amp;DAY($A640),打卡匯入!$E$3:$E$2002,0)),"")</f>
        <v/>
      </c>
      <c r="K640" s="83">
        <f>IFERROR(INDEX(打卡匯入!$D$3:$D$2002,MATCH($C640&amp;"|"&amp;DAY($A640),打卡匯入!$E$3:$E$2002,0)),"")</f>
        <v/>
      </c>
      <c r="L640" s="84">
        <f>IF(OR($J640="",$K640=""),"",IFERROR(INDEX(設定!$F$6:$F$21,MATCH($G640,設定!$B$6:$B$21,0)),0))</f>
        <v/>
      </c>
      <c r="M640" s="85">
        <f>IF(OR($J640="",$K640=""),"",ROUND(($K640-$J640)*24-$L640/60,2))</f>
        <v/>
      </c>
      <c r="N640" s="16">
        <f>IF($C640="","",IF(AND(COUNTIF(設定!$B$15:$B$21,$G640)&gt;0,$J640&lt;&gt;""),"假日出勤",IF(AND(COUNTIF(設定!$B$6:$B$14,$G640)&gt;0,$J640=""),"未打卡",IF($J640="","",IF($O640&gt;0,"遲到",IF($P640&gt;0,"早退","正常"))))))</f>
        <v/>
      </c>
      <c r="O640" s="84">
        <f>IF(OR($C640="",$H640="",$J640=""),0,IF(ROUND(($J640-$H640)*1440,0)&gt;設定!$C$46,ROUND(($J640-$H640)*1440,0),0))</f>
        <v/>
      </c>
      <c r="P640" s="84">
        <f>IF(OR($C640="",$I640="",$K640=""),0,IF(ROUND(($I640-$K640)*1440,0)&gt;設定!$C$46,ROUND(($I640-$K640)*1440,0),0))</f>
        <v/>
      </c>
      <c r="Q640" s="85">
        <f>IF($M640="",0,IF(($M640-IFERROR(INDEX(設定!$G$6:$G$21,MATCH($G640,設定!$B$6:$B$21,0)),0))*60&gt;=設定!$C$44,ROUND(FLOOR(($M640-IFERROR(INDEX(設定!$G$6:$G$21,MATCH($G640,設定!$B$6:$B$21,0)),0))*60,設定!$C$45)/60,2),0))</f>
        <v/>
      </c>
      <c r="R640" s="16">
        <f>IF(OR($C640="",$Q640=0),"",IF($G640="國","國定假日",IF($B640="日","例假",IF($B640="六","休息日","平日"))))</f>
        <v/>
      </c>
      <c r="S640" s="19" t="n"/>
    </row>
    <row r="641">
      <c r="A641" s="82">
        <f>IF(OR(助理班表!$A25="",19&gt;DAY(EOMONTH(DATE(設定!$C$2,設定!$D$2,1),0))),"",DATE(設定!$C$2,設定!$D$2,19))</f>
        <v/>
      </c>
      <c r="B641" s="16">
        <f>IF($A641="","",INDEX(設定!$O$6:$O$12,WEEKDAY($A641,1)))</f>
        <v/>
      </c>
      <c r="C641" s="16">
        <f>IF($A641="","",助理班表!$A25)</f>
        <v/>
      </c>
      <c r="D641" s="16">
        <f>IF($C641="","",助理班表!$B25)</f>
        <v/>
      </c>
      <c r="E641" s="16">
        <f>IF($C641="","",助理班表!$D25)</f>
        <v/>
      </c>
      <c r="F641" s="16">
        <f>IF($C641="","",助理班表!$C25)</f>
        <v/>
      </c>
      <c r="G641" s="16">
        <f>IF($C641="","",助理班表!W25)</f>
        <v/>
      </c>
      <c r="H641" s="83">
        <f>IF($G641="","",IFERROR(IF(INDEX(設定!$D$6:$D$21,MATCH($G641,設定!$B$6:$B$21,0))=0,"",INDEX(設定!$D$6:$D$21,MATCH($G641,設定!$B$6:$B$21,0))),""))</f>
        <v/>
      </c>
      <c r="I641" s="83">
        <f>IF($G641="","",IFERROR(IF(INDEX(設定!$E$6:$E$21,MATCH($G641,設定!$B$6:$B$21,0))=0,"",INDEX(設定!$E$6:$E$21,MATCH($G641,設定!$B$6:$B$21,0))),""))</f>
        <v/>
      </c>
      <c r="J641" s="83">
        <f>IFERROR(INDEX(打卡匯入!$C$3:$C$2002,MATCH($C641&amp;"|"&amp;DAY($A641),打卡匯入!$E$3:$E$2002,0)),"")</f>
        <v/>
      </c>
      <c r="K641" s="83">
        <f>IFERROR(INDEX(打卡匯入!$D$3:$D$2002,MATCH($C641&amp;"|"&amp;DAY($A641),打卡匯入!$E$3:$E$2002,0)),"")</f>
        <v/>
      </c>
      <c r="L641" s="84">
        <f>IF(OR($J641="",$K641=""),"",IFERROR(INDEX(設定!$F$6:$F$21,MATCH($G641,設定!$B$6:$B$21,0)),0))</f>
        <v/>
      </c>
      <c r="M641" s="85">
        <f>IF(OR($J641="",$K641=""),"",ROUND(($K641-$J641)*24-$L641/60,2))</f>
        <v/>
      </c>
      <c r="N641" s="16">
        <f>IF($C641="","",IF(AND(COUNTIF(設定!$B$15:$B$21,$G641)&gt;0,$J641&lt;&gt;""),"假日出勤",IF(AND(COUNTIF(設定!$B$6:$B$14,$G641)&gt;0,$J641=""),"未打卡",IF($J641="","",IF($O641&gt;0,"遲到",IF($P641&gt;0,"早退","正常"))))))</f>
        <v/>
      </c>
      <c r="O641" s="84">
        <f>IF(OR($C641="",$H641="",$J641=""),0,IF(ROUND(($J641-$H641)*1440,0)&gt;設定!$C$46,ROUND(($J641-$H641)*1440,0),0))</f>
        <v/>
      </c>
      <c r="P641" s="84">
        <f>IF(OR($C641="",$I641="",$K641=""),0,IF(ROUND(($I641-$K641)*1440,0)&gt;設定!$C$46,ROUND(($I641-$K641)*1440,0),0))</f>
        <v/>
      </c>
      <c r="Q641" s="85">
        <f>IF($M641="",0,IF(($M641-IFERROR(INDEX(設定!$G$6:$G$21,MATCH($G641,設定!$B$6:$B$21,0)),0))*60&gt;=設定!$C$44,ROUND(FLOOR(($M641-IFERROR(INDEX(設定!$G$6:$G$21,MATCH($G641,設定!$B$6:$B$21,0)),0))*60,設定!$C$45)/60,2),0))</f>
        <v/>
      </c>
      <c r="R641" s="16">
        <f>IF(OR($C641="",$Q641=0),"",IF($G641="國","國定假日",IF($B641="日","例假",IF($B641="六","休息日","平日"))))</f>
        <v/>
      </c>
      <c r="S641" s="19" t="n"/>
    </row>
    <row r="642">
      <c r="A642" s="82">
        <f>IF(OR(助理班表!$A25="",20&gt;DAY(EOMONTH(DATE(設定!$C$2,設定!$D$2,1),0))),"",DATE(設定!$C$2,設定!$D$2,20))</f>
        <v/>
      </c>
      <c r="B642" s="16">
        <f>IF($A642="","",INDEX(設定!$O$6:$O$12,WEEKDAY($A642,1)))</f>
        <v/>
      </c>
      <c r="C642" s="16">
        <f>IF($A642="","",助理班表!$A25)</f>
        <v/>
      </c>
      <c r="D642" s="16">
        <f>IF($C642="","",助理班表!$B25)</f>
        <v/>
      </c>
      <c r="E642" s="16">
        <f>IF($C642="","",助理班表!$D25)</f>
        <v/>
      </c>
      <c r="F642" s="16">
        <f>IF($C642="","",助理班表!$C25)</f>
        <v/>
      </c>
      <c r="G642" s="16">
        <f>IF($C642="","",助理班表!X25)</f>
        <v/>
      </c>
      <c r="H642" s="83">
        <f>IF($G642="","",IFERROR(IF(INDEX(設定!$D$6:$D$21,MATCH($G642,設定!$B$6:$B$21,0))=0,"",INDEX(設定!$D$6:$D$21,MATCH($G642,設定!$B$6:$B$21,0))),""))</f>
        <v/>
      </c>
      <c r="I642" s="83">
        <f>IF($G642="","",IFERROR(IF(INDEX(設定!$E$6:$E$21,MATCH($G642,設定!$B$6:$B$21,0))=0,"",INDEX(設定!$E$6:$E$21,MATCH($G642,設定!$B$6:$B$21,0))),""))</f>
        <v/>
      </c>
      <c r="J642" s="83">
        <f>IFERROR(INDEX(打卡匯入!$C$3:$C$2002,MATCH($C642&amp;"|"&amp;DAY($A642),打卡匯入!$E$3:$E$2002,0)),"")</f>
        <v/>
      </c>
      <c r="K642" s="83">
        <f>IFERROR(INDEX(打卡匯入!$D$3:$D$2002,MATCH($C642&amp;"|"&amp;DAY($A642),打卡匯入!$E$3:$E$2002,0)),"")</f>
        <v/>
      </c>
      <c r="L642" s="84">
        <f>IF(OR($J642="",$K642=""),"",IFERROR(INDEX(設定!$F$6:$F$21,MATCH($G642,設定!$B$6:$B$21,0)),0))</f>
        <v/>
      </c>
      <c r="M642" s="85">
        <f>IF(OR($J642="",$K642=""),"",ROUND(($K642-$J642)*24-$L642/60,2))</f>
        <v/>
      </c>
      <c r="N642" s="16">
        <f>IF($C642="","",IF(AND(COUNTIF(設定!$B$15:$B$21,$G642)&gt;0,$J642&lt;&gt;""),"假日出勤",IF(AND(COUNTIF(設定!$B$6:$B$14,$G642)&gt;0,$J642=""),"未打卡",IF($J642="","",IF($O642&gt;0,"遲到",IF($P642&gt;0,"早退","正常"))))))</f>
        <v/>
      </c>
      <c r="O642" s="84">
        <f>IF(OR($C642="",$H642="",$J642=""),0,IF(ROUND(($J642-$H642)*1440,0)&gt;設定!$C$46,ROUND(($J642-$H642)*1440,0),0))</f>
        <v/>
      </c>
      <c r="P642" s="84">
        <f>IF(OR($C642="",$I642="",$K642=""),0,IF(ROUND(($I642-$K642)*1440,0)&gt;設定!$C$46,ROUND(($I642-$K642)*1440,0),0))</f>
        <v/>
      </c>
      <c r="Q642" s="85">
        <f>IF($M642="",0,IF(($M642-IFERROR(INDEX(設定!$G$6:$G$21,MATCH($G642,設定!$B$6:$B$21,0)),0))*60&gt;=設定!$C$44,ROUND(FLOOR(($M642-IFERROR(INDEX(設定!$G$6:$G$21,MATCH($G642,設定!$B$6:$B$21,0)),0))*60,設定!$C$45)/60,2),0))</f>
        <v/>
      </c>
      <c r="R642" s="16">
        <f>IF(OR($C642="",$Q642=0),"",IF($G642="國","國定假日",IF($B642="日","例假",IF($B642="六","休息日","平日"))))</f>
        <v/>
      </c>
      <c r="S642" s="19" t="n"/>
    </row>
    <row r="643">
      <c r="A643" s="82">
        <f>IF(OR(助理班表!$A25="",21&gt;DAY(EOMONTH(DATE(設定!$C$2,設定!$D$2,1),0))),"",DATE(設定!$C$2,設定!$D$2,21))</f>
        <v/>
      </c>
      <c r="B643" s="16">
        <f>IF($A643="","",INDEX(設定!$O$6:$O$12,WEEKDAY($A643,1)))</f>
        <v/>
      </c>
      <c r="C643" s="16">
        <f>IF($A643="","",助理班表!$A25)</f>
        <v/>
      </c>
      <c r="D643" s="16">
        <f>IF($C643="","",助理班表!$B25)</f>
        <v/>
      </c>
      <c r="E643" s="16">
        <f>IF($C643="","",助理班表!$D25)</f>
        <v/>
      </c>
      <c r="F643" s="16">
        <f>IF($C643="","",助理班表!$C25)</f>
        <v/>
      </c>
      <c r="G643" s="16">
        <f>IF($C643="","",助理班表!Y25)</f>
        <v/>
      </c>
      <c r="H643" s="83">
        <f>IF($G643="","",IFERROR(IF(INDEX(設定!$D$6:$D$21,MATCH($G643,設定!$B$6:$B$21,0))=0,"",INDEX(設定!$D$6:$D$21,MATCH($G643,設定!$B$6:$B$21,0))),""))</f>
        <v/>
      </c>
      <c r="I643" s="83">
        <f>IF($G643="","",IFERROR(IF(INDEX(設定!$E$6:$E$21,MATCH($G643,設定!$B$6:$B$21,0))=0,"",INDEX(設定!$E$6:$E$21,MATCH($G643,設定!$B$6:$B$21,0))),""))</f>
        <v/>
      </c>
      <c r="J643" s="83">
        <f>IFERROR(INDEX(打卡匯入!$C$3:$C$2002,MATCH($C643&amp;"|"&amp;DAY($A643),打卡匯入!$E$3:$E$2002,0)),"")</f>
        <v/>
      </c>
      <c r="K643" s="83">
        <f>IFERROR(INDEX(打卡匯入!$D$3:$D$2002,MATCH($C643&amp;"|"&amp;DAY($A643),打卡匯入!$E$3:$E$2002,0)),"")</f>
        <v/>
      </c>
      <c r="L643" s="84">
        <f>IF(OR($J643="",$K643=""),"",IFERROR(INDEX(設定!$F$6:$F$21,MATCH($G643,設定!$B$6:$B$21,0)),0))</f>
        <v/>
      </c>
      <c r="M643" s="85">
        <f>IF(OR($J643="",$K643=""),"",ROUND(($K643-$J643)*24-$L643/60,2))</f>
        <v/>
      </c>
      <c r="N643" s="16">
        <f>IF($C643="","",IF(AND(COUNTIF(設定!$B$15:$B$21,$G643)&gt;0,$J643&lt;&gt;""),"假日出勤",IF(AND(COUNTIF(設定!$B$6:$B$14,$G643)&gt;0,$J643=""),"未打卡",IF($J643="","",IF($O643&gt;0,"遲到",IF($P643&gt;0,"早退","正常"))))))</f>
        <v/>
      </c>
      <c r="O643" s="84">
        <f>IF(OR($C643="",$H643="",$J643=""),0,IF(ROUND(($J643-$H643)*1440,0)&gt;設定!$C$46,ROUND(($J643-$H643)*1440,0),0))</f>
        <v/>
      </c>
      <c r="P643" s="84">
        <f>IF(OR($C643="",$I643="",$K643=""),0,IF(ROUND(($I643-$K643)*1440,0)&gt;設定!$C$46,ROUND(($I643-$K643)*1440,0),0))</f>
        <v/>
      </c>
      <c r="Q643" s="85">
        <f>IF($M643="",0,IF(($M643-IFERROR(INDEX(設定!$G$6:$G$21,MATCH($G643,設定!$B$6:$B$21,0)),0))*60&gt;=設定!$C$44,ROUND(FLOOR(($M643-IFERROR(INDEX(設定!$G$6:$G$21,MATCH($G643,設定!$B$6:$B$21,0)),0))*60,設定!$C$45)/60,2),0))</f>
        <v/>
      </c>
      <c r="R643" s="16">
        <f>IF(OR($C643="",$Q643=0),"",IF($G643="國","國定假日",IF($B643="日","例假",IF($B643="六","休息日","平日"))))</f>
        <v/>
      </c>
      <c r="S643" s="19" t="n"/>
    </row>
    <row r="644">
      <c r="A644" s="82">
        <f>IF(OR(助理班表!$A25="",22&gt;DAY(EOMONTH(DATE(設定!$C$2,設定!$D$2,1),0))),"",DATE(設定!$C$2,設定!$D$2,22))</f>
        <v/>
      </c>
      <c r="B644" s="16">
        <f>IF($A644="","",INDEX(設定!$O$6:$O$12,WEEKDAY($A644,1)))</f>
        <v/>
      </c>
      <c r="C644" s="16">
        <f>IF($A644="","",助理班表!$A25)</f>
        <v/>
      </c>
      <c r="D644" s="16">
        <f>IF($C644="","",助理班表!$B25)</f>
        <v/>
      </c>
      <c r="E644" s="16">
        <f>IF($C644="","",助理班表!$D25)</f>
        <v/>
      </c>
      <c r="F644" s="16">
        <f>IF($C644="","",助理班表!$C25)</f>
        <v/>
      </c>
      <c r="G644" s="16">
        <f>IF($C644="","",助理班表!Z25)</f>
        <v/>
      </c>
      <c r="H644" s="83">
        <f>IF($G644="","",IFERROR(IF(INDEX(設定!$D$6:$D$21,MATCH($G644,設定!$B$6:$B$21,0))=0,"",INDEX(設定!$D$6:$D$21,MATCH($G644,設定!$B$6:$B$21,0))),""))</f>
        <v/>
      </c>
      <c r="I644" s="83">
        <f>IF($G644="","",IFERROR(IF(INDEX(設定!$E$6:$E$21,MATCH($G644,設定!$B$6:$B$21,0))=0,"",INDEX(設定!$E$6:$E$21,MATCH($G644,設定!$B$6:$B$21,0))),""))</f>
        <v/>
      </c>
      <c r="J644" s="83">
        <f>IFERROR(INDEX(打卡匯入!$C$3:$C$2002,MATCH($C644&amp;"|"&amp;DAY($A644),打卡匯入!$E$3:$E$2002,0)),"")</f>
        <v/>
      </c>
      <c r="K644" s="83">
        <f>IFERROR(INDEX(打卡匯入!$D$3:$D$2002,MATCH($C644&amp;"|"&amp;DAY($A644),打卡匯入!$E$3:$E$2002,0)),"")</f>
        <v/>
      </c>
      <c r="L644" s="84">
        <f>IF(OR($J644="",$K644=""),"",IFERROR(INDEX(設定!$F$6:$F$21,MATCH($G644,設定!$B$6:$B$21,0)),0))</f>
        <v/>
      </c>
      <c r="M644" s="85">
        <f>IF(OR($J644="",$K644=""),"",ROUND(($K644-$J644)*24-$L644/60,2))</f>
        <v/>
      </c>
      <c r="N644" s="16">
        <f>IF($C644="","",IF(AND(COUNTIF(設定!$B$15:$B$21,$G644)&gt;0,$J644&lt;&gt;""),"假日出勤",IF(AND(COUNTIF(設定!$B$6:$B$14,$G644)&gt;0,$J644=""),"未打卡",IF($J644="","",IF($O644&gt;0,"遲到",IF($P644&gt;0,"早退","正常"))))))</f>
        <v/>
      </c>
      <c r="O644" s="84">
        <f>IF(OR($C644="",$H644="",$J644=""),0,IF(ROUND(($J644-$H644)*1440,0)&gt;設定!$C$46,ROUND(($J644-$H644)*1440,0),0))</f>
        <v/>
      </c>
      <c r="P644" s="84">
        <f>IF(OR($C644="",$I644="",$K644=""),0,IF(ROUND(($I644-$K644)*1440,0)&gt;設定!$C$46,ROUND(($I644-$K644)*1440,0),0))</f>
        <v/>
      </c>
      <c r="Q644" s="85">
        <f>IF($M644="",0,IF(($M644-IFERROR(INDEX(設定!$G$6:$G$21,MATCH($G644,設定!$B$6:$B$21,0)),0))*60&gt;=設定!$C$44,ROUND(FLOOR(($M644-IFERROR(INDEX(設定!$G$6:$G$21,MATCH($G644,設定!$B$6:$B$21,0)),0))*60,設定!$C$45)/60,2),0))</f>
        <v/>
      </c>
      <c r="R644" s="16">
        <f>IF(OR($C644="",$Q644=0),"",IF($G644="國","國定假日",IF($B644="日","例假",IF($B644="六","休息日","平日"))))</f>
        <v/>
      </c>
      <c r="S644" s="19" t="n"/>
    </row>
    <row r="645">
      <c r="A645" s="82">
        <f>IF(OR(助理班表!$A25="",23&gt;DAY(EOMONTH(DATE(設定!$C$2,設定!$D$2,1),0))),"",DATE(設定!$C$2,設定!$D$2,23))</f>
        <v/>
      </c>
      <c r="B645" s="16">
        <f>IF($A645="","",INDEX(設定!$O$6:$O$12,WEEKDAY($A645,1)))</f>
        <v/>
      </c>
      <c r="C645" s="16">
        <f>IF($A645="","",助理班表!$A25)</f>
        <v/>
      </c>
      <c r="D645" s="16">
        <f>IF($C645="","",助理班表!$B25)</f>
        <v/>
      </c>
      <c r="E645" s="16">
        <f>IF($C645="","",助理班表!$D25)</f>
        <v/>
      </c>
      <c r="F645" s="16">
        <f>IF($C645="","",助理班表!$C25)</f>
        <v/>
      </c>
      <c r="G645" s="16">
        <f>IF($C645="","",助理班表!AA25)</f>
        <v/>
      </c>
      <c r="H645" s="83">
        <f>IF($G645="","",IFERROR(IF(INDEX(設定!$D$6:$D$21,MATCH($G645,設定!$B$6:$B$21,0))=0,"",INDEX(設定!$D$6:$D$21,MATCH($G645,設定!$B$6:$B$21,0))),""))</f>
        <v/>
      </c>
      <c r="I645" s="83">
        <f>IF($G645="","",IFERROR(IF(INDEX(設定!$E$6:$E$21,MATCH($G645,設定!$B$6:$B$21,0))=0,"",INDEX(設定!$E$6:$E$21,MATCH($G645,設定!$B$6:$B$21,0))),""))</f>
        <v/>
      </c>
      <c r="J645" s="83">
        <f>IFERROR(INDEX(打卡匯入!$C$3:$C$2002,MATCH($C645&amp;"|"&amp;DAY($A645),打卡匯入!$E$3:$E$2002,0)),"")</f>
        <v/>
      </c>
      <c r="K645" s="83">
        <f>IFERROR(INDEX(打卡匯入!$D$3:$D$2002,MATCH($C645&amp;"|"&amp;DAY($A645),打卡匯入!$E$3:$E$2002,0)),"")</f>
        <v/>
      </c>
      <c r="L645" s="84">
        <f>IF(OR($J645="",$K645=""),"",IFERROR(INDEX(設定!$F$6:$F$21,MATCH($G645,設定!$B$6:$B$21,0)),0))</f>
        <v/>
      </c>
      <c r="M645" s="85">
        <f>IF(OR($J645="",$K645=""),"",ROUND(($K645-$J645)*24-$L645/60,2))</f>
        <v/>
      </c>
      <c r="N645" s="16">
        <f>IF($C645="","",IF(AND(COUNTIF(設定!$B$15:$B$21,$G645)&gt;0,$J645&lt;&gt;""),"假日出勤",IF(AND(COUNTIF(設定!$B$6:$B$14,$G645)&gt;0,$J645=""),"未打卡",IF($J645="","",IF($O645&gt;0,"遲到",IF($P645&gt;0,"早退","正常"))))))</f>
        <v/>
      </c>
      <c r="O645" s="84">
        <f>IF(OR($C645="",$H645="",$J645=""),0,IF(ROUND(($J645-$H645)*1440,0)&gt;設定!$C$46,ROUND(($J645-$H645)*1440,0),0))</f>
        <v/>
      </c>
      <c r="P645" s="84">
        <f>IF(OR($C645="",$I645="",$K645=""),0,IF(ROUND(($I645-$K645)*1440,0)&gt;設定!$C$46,ROUND(($I645-$K645)*1440,0),0))</f>
        <v/>
      </c>
      <c r="Q645" s="85">
        <f>IF($M645="",0,IF(($M645-IFERROR(INDEX(設定!$G$6:$G$21,MATCH($G645,設定!$B$6:$B$21,0)),0))*60&gt;=設定!$C$44,ROUND(FLOOR(($M645-IFERROR(INDEX(設定!$G$6:$G$21,MATCH($G645,設定!$B$6:$B$21,0)),0))*60,設定!$C$45)/60,2),0))</f>
        <v/>
      </c>
      <c r="R645" s="16">
        <f>IF(OR($C645="",$Q645=0),"",IF($G645="國","國定假日",IF($B645="日","例假",IF($B645="六","休息日","平日"))))</f>
        <v/>
      </c>
      <c r="S645" s="19" t="n"/>
    </row>
    <row r="646">
      <c r="A646" s="82">
        <f>IF(OR(助理班表!$A25="",24&gt;DAY(EOMONTH(DATE(設定!$C$2,設定!$D$2,1),0))),"",DATE(設定!$C$2,設定!$D$2,24))</f>
        <v/>
      </c>
      <c r="B646" s="16">
        <f>IF($A646="","",INDEX(設定!$O$6:$O$12,WEEKDAY($A646,1)))</f>
        <v/>
      </c>
      <c r="C646" s="16">
        <f>IF($A646="","",助理班表!$A25)</f>
        <v/>
      </c>
      <c r="D646" s="16">
        <f>IF($C646="","",助理班表!$B25)</f>
        <v/>
      </c>
      <c r="E646" s="16">
        <f>IF($C646="","",助理班表!$D25)</f>
        <v/>
      </c>
      <c r="F646" s="16">
        <f>IF($C646="","",助理班表!$C25)</f>
        <v/>
      </c>
      <c r="G646" s="16">
        <f>IF($C646="","",助理班表!AB25)</f>
        <v/>
      </c>
      <c r="H646" s="83">
        <f>IF($G646="","",IFERROR(IF(INDEX(設定!$D$6:$D$21,MATCH($G646,設定!$B$6:$B$21,0))=0,"",INDEX(設定!$D$6:$D$21,MATCH($G646,設定!$B$6:$B$21,0))),""))</f>
        <v/>
      </c>
      <c r="I646" s="83">
        <f>IF($G646="","",IFERROR(IF(INDEX(設定!$E$6:$E$21,MATCH($G646,設定!$B$6:$B$21,0))=0,"",INDEX(設定!$E$6:$E$21,MATCH($G646,設定!$B$6:$B$21,0))),""))</f>
        <v/>
      </c>
      <c r="J646" s="83">
        <f>IFERROR(INDEX(打卡匯入!$C$3:$C$2002,MATCH($C646&amp;"|"&amp;DAY($A646),打卡匯入!$E$3:$E$2002,0)),"")</f>
        <v/>
      </c>
      <c r="K646" s="83">
        <f>IFERROR(INDEX(打卡匯入!$D$3:$D$2002,MATCH($C646&amp;"|"&amp;DAY($A646),打卡匯入!$E$3:$E$2002,0)),"")</f>
        <v/>
      </c>
      <c r="L646" s="84">
        <f>IF(OR($J646="",$K646=""),"",IFERROR(INDEX(設定!$F$6:$F$21,MATCH($G646,設定!$B$6:$B$21,0)),0))</f>
        <v/>
      </c>
      <c r="M646" s="85">
        <f>IF(OR($J646="",$K646=""),"",ROUND(($K646-$J646)*24-$L646/60,2))</f>
        <v/>
      </c>
      <c r="N646" s="16">
        <f>IF($C646="","",IF(AND(COUNTIF(設定!$B$15:$B$21,$G646)&gt;0,$J646&lt;&gt;""),"假日出勤",IF(AND(COUNTIF(設定!$B$6:$B$14,$G646)&gt;0,$J646=""),"未打卡",IF($J646="","",IF($O646&gt;0,"遲到",IF($P646&gt;0,"早退","正常"))))))</f>
        <v/>
      </c>
      <c r="O646" s="84">
        <f>IF(OR($C646="",$H646="",$J646=""),0,IF(ROUND(($J646-$H646)*1440,0)&gt;設定!$C$46,ROUND(($J646-$H646)*1440,0),0))</f>
        <v/>
      </c>
      <c r="P646" s="84">
        <f>IF(OR($C646="",$I646="",$K646=""),0,IF(ROUND(($I646-$K646)*1440,0)&gt;設定!$C$46,ROUND(($I646-$K646)*1440,0),0))</f>
        <v/>
      </c>
      <c r="Q646" s="85">
        <f>IF($M646="",0,IF(($M646-IFERROR(INDEX(設定!$G$6:$G$21,MATCH($G646,設定!$B$6:$B$21,0)),0))*60&gt;=設定!$C$44,ROUND(FLOOR(($M646-IFERROR(INDEX(設定!$G$6:$G$21,MATCH($G646,設定!$B$6:$B$21,0)),0))*60,設定!$C$45)/60,2),0))</f>
        <v/>
      </c>
      <c r="R646" s="16">
        <f>IF(OR($C646="",$Q646=0),"",IF($G646="國","國定假日",IF($B646="日","例假",IF($B646="六","休息日","平日"))))</f>
        <v/>
      </c>
      <c r="S646" s="19" t="n"/>
    </row>
    <row r="647">
      <c r="A647" s="82">
        <f>IF(OR(助理班表!$A25="",25&gt;DAY(EOMONTH(DATE(設定!$C$2,設定!$D$2,1),0))),"",DATE(設定!$C$2,設定!$D$2,25))</f>
        <v/>
      </c>
      <c r="B647" s="16">
        <f>IF($A647="","",INDEX(設定!$O$6:$O$12,WEEKDAY($A647,1)))</f>
        <v/>
      </c>
      <c r="C647" s="16">
        <f>IF($A647="","",助理班表!$A25)</f>
        <v/>
      </c>
      <c r="D647" s="16">
        <f>IF($C647="","",助理班表!$B25)</f>
        <v/>
      </c>
      <c r="E647" s="16">
        <f>IF($C647="","",助理班表!$D25)</f>
        <v/>
      </c>
      <c r="F647" s="16">
        <f>IF($C647="","",助理班表!$C25)</f>
        <v/>
      </c>
      <c r="G647" s="16">
        <f>IF($C647="","",助理班表!AC25)</f>
        <v/>
      </c>
      <c r="H647" s="83">
        <f>IF($G647="","",IFERROR(IF(INDEX(設定!$D$6:$D$21,MATCH($G647,設定!$B$6:$B$21,0))=0,"",INDEX(設定!$D$6:$D$21,MATCH($G647,設定!$B$6:$B$21,0))),""))</f>
        <v/>
      </c>
      <c r="I647" s="83">
        <f>IF($G647="","",IFERROR(IF(INDEX(設定!$E$6:$E$21,MATCH($G647,設定!$B$6:$B$21,0))=0,"",INDEX(設定!$E$6:$E$21,MATCH($G647,設定!$B$6:$B$21,0))),""))</f>
        <v/>
      </c>
      <c r="J647" s="83">
        <f>IFERROR(INDEX(打卡匯入!$C$3:$C$2002,MATCH($C647&amp;"|"&amp;DAY($A647),打卡匯入!$E$3:$E$2002,0)),"")</f>
        <v/>
      </c>
      <c r="K647" s="83">
        <f>IFERROR(INDEX(打卡匯入!$D$3:$D$2002,MATCH($C647&amp;"|"&amp;DAY($A647),打卡匯入!$E$3:$E$2002,0)),"")</f>
        <v/>
      </c>
      <c r="L647" s="84">
        <f>IF(OR($J647="",$K647=""),"",IFERROR(INDEX(設定!$F$6:$F$21,MATCH($G647,設定!$B$6:$B$21,0)),0))</f>
        <v/>
      </c>
      <c r="M647" s="85">
        <f>IF(OR($J647="",$K647=""),"",ROUND(($K647-$J647)*24-$L647/60,2))</f>
        <v/>
      </c>
      <c r="N647" s="16">
        <f>IF($C647="","",IF(AND(COUNTIF(設定!$B$15:$B$21,$G647)&gt;0,$J647&lt;&gt;""),"假日出勤",IF(AND(COUNTIF(設定!$B$6:$B$14,$G647)&gt;0,$J647=""),"未打卡",IF($J647="","",IF($O647&gt;0,"遲到",IF($P647&gt;0,"早退","正常"))))))</f>
        <v/>
      </c>
      <c r="O647" s="84">
        <f>IF(OR($C647="",$H647="",$J647=""),0,IF(ROUND(($J647-$H647)*1440,0)&gt;設定!$C$46,ROUND(($J647-$H647)*1440,0),0))</f>
        <v/>
      </c>
      <c r="P647" s="84">
        <f>IF(OR($C647="",$I647="",$K647=""),0,IF(ROUND(($I647-$K647)*1440,0)&gt;設定!$C$46,ROUND(($I647-$K647)*1440,0),0))</f>
        <v/>
      </c>
      <c r="Q647" s="85">
        <f>IF($M647="",0,IF(($M647-IFERROR(INDEX(設定!$G$6:$G$21,MATCH($G647,設定!$B$6:$B$21,0)),0))*60&gt;=設定!$C$44,ROUND(FLOOR(($M647-IFERROR(INDEX(設定!$G$6:$G$21,MATCH($G647,設定!$B$6:$B$21,0)),0))*60,設定!$C$45)/60,2),0))</f>
        <v/>
      </c>
      <c r="R647" s="16">
        <f>IF(OR($C647="",$Q647=0),"",IF($G647="國","國定假日",IF($B647="日","例假",IF($B647="六","休息日","平日"))))</f>
        <v/>
      </c>
      <c r="S647" s="19" t="n"/>
    </row>
    <row r="648">
      <c r="A648" s="82">
        <f>IF(OR(助理班表!$A25="",26&gt;DAY(EOMONTH(DATE(設定!$C$2,設定!$D$2,1),0))),"",DATE(設定!$C$2,設定!$D$2,26))</f>
        <v/>
      </c>
      <c r="B648" s="16">
        <f>IF($A648="","",INDEX(設定!$O$6:$O$12,WEEKDAY($A648,1)))</f>
        <v/>
      </c>
      <c r="C648" s="16">
        <f>IF($A648="","",助理班表!$A25)</f>
        <v/>
      </c>
      <c r="D648" s="16">
        <f>IF($C648="","",助理班表!$B25)</f>
        <v/>
      </c>
      <c r="E648" s="16">
        <f>IF($C648="","",助理班表!$D25)</f>
        <v/>
      </c>
      <c r="F648" s="16">
        <f>IF($C648="","",助理班表!$C25)</f>
        <v/>
      </c>
      <c r="G648" s="16">
        <f>IF($C648="","",助理班表!AD25)</f>
        <v/>
      </c>
      <c r="H648" s="83">
        <f>IF($G648="","",IFERROR(IF(INDEX(設定!$D$6:$D$21,MATCH($G648,設定!$B$6:$B$21,0))=0,"",INDEX(設定!$D$6:$D$21,MATCH($G648,設定!$B$6:$B$21,0))),""))</f>
        <v/>
      </c>
      <c r="I648" s="83">
        <f>IF($G648="","",IFERROR(IF(INDEX(設定!$E$6:$E$21,MATCH($G648,設定!$B$6:$B$21,0))=0,"",INDEX(設定!$E$6:$E$21,MATCH($G648,設定!$B$6:$B$21,0))),""))</f>
        <v/>
      </c>
      <c r="J648" s="83">
        <f>IFERROR(INDEX(打卡匯入!$C$3:$C$2002,MATCH($C648&amp;"|"&amp;DAY($A648),打卡匯入!$E$3:$E$2002,0)),"")</f>
        <v/>
      </c>
      <c r="K648" s="83">
        <f>IFERROR(INDEX(打卡匯入!$D$3:$D$2002,MATCH($C648&amp;"|"&amp;DAY($A648),打卡匯入!$E$3:$E$2002,0)),"")</f>
        <v/>
      </c>
      <c r="L648" s="84">
        <f>IF(OR($J648="",$K648=""),"",IFERROR(INDEX(設定!$F$6:$F$21,MATCH($G648,設定!$B$6:$B$21,0)),0))</f>
        <v/>
      </c>
      <c r="M648" s="85">
        <f>IF(OR($J648="",$K648=""),"",ROUND(($K648-$J648)*24-$L648/60,2))</f>
        <v/>
      </c>
      <c r="N648" s="16">
        <f>IF($C648="","",IF(AND(COUNTIF(設定!$B$15:$B$21,$G648)&gt;0,$J648&lt;&gt;""),"假日出勤",IF(AND(COUNTIF(設定!$B$6:$B$14,$G648)&gt;0,$J648=""),"未打卡",IF($J648="","",IF($O648&gt;0,"遲到",IF($P648&gt;0,"早退","正常"))))))</f>
        <v/>
      </c>
      <c r="O648" s="84">
        <f>IF(OR($C648="",$H648="",$J648=""),0,IF(ROUND(($J648-$H648)*1440,0)&gt;設定!$C$46,ROUND(($J648-$H648)*1440,0),0))</f>
        <v/>
      </c>
      <c r="P648" s="84">
        <f>IF(OR($C648="",$I648="",$K648=""),0,IF(ROUND(($I648-$K648)*1440,0)&gt;設定!$C$46,ROUND(($I648-$K648)*1440,0),0))</f>
        <v/>
      </c>
      <c r="Q648" s="85">
        <f>IF($M648="",0,IF(($M648-IFERROR(INDEX(設定!$G$6:$G$21,MATCH($G648,設定!$B$6:$B$21,0)),0))*60&gt;=設定!$C$44,ROUND(FLOOR(($M648-IFERROR(INDEX(設定!$G$6:$G$21,MATCH($G648,設定!$B$6:$B$21,0)),0))*60,設定!$C$45)/60,2),0))</f>
        <v/>
      </c>
      <c r="R648" s="16">
        <f>IF(OR($C648="",$Q648=0),"",IF($G648="國","國定假日",IF($B648="日","例假",IF($B648="六","休息日","平日"))))</f>
        <v/>
      </c>
      <c r="S648" s="19" t="n"/>
    </row>
    <row r="649">
      <c r="A649" s="82">
        <f>IF(OR(助理班表!$A25="",27&gt;DAY(EOMONTH(DATE(設定!$C$2,設定!$D$2,1),0))),"",DATE(設定!$C$2,設定!$D$2,27))</f>
        <v/>
      </c>
      <c r="B649" s="16">
        <f>IF($A649="","",INDEX(設定!$O$6:$O$12,WEEKDAY($A649,1)))</f>
        <v/>
      </c>
      <c r="C649" s="16">
        <f>IF($A649="","",助理班表!$A25)</f>
        <v/>
      </c>
      <c r="D649" s="16">
        <f>IF($C649="","",助理班表!$B25)</f>
        <v/>
      </c>
      <c r="E649" s="16">
        <f>IF($C649="","",助理班表!$D25)</f>
        <v/>
      </c>
      <c r="F649" s="16">
        <f>IF($C649="","",助理班表!$C25)</f>
        <v/>
      </c>
      <c r="G649" s="16">
        <f>IF($C649="","",助理班表!AE25)</f>
        <v/>
      </c>
      <c r="H649" s="83">
        <f>IF($G649="","",IFERROR(IF(INDEX(設定!$D$6:$D$21,MATCH($G649,設定!$B$6:$B$21,0))=0,"",INDEX(設定!$D$6:$D$21,MATCH($G649,設定!$B$6:$B$21,0))),""))</f>
        <v/>
      </c>
      <c r="I649" s="83">
        <f>IF($G649="","",IFERROR(IF(INDEX(設定!$E$6:$E$21,MATCH($G649,設定!$B$6:$B$21,0))=0,"",INDEX(設定!$E$6:$E$21,MATCH($G649,設定!$B$6:$B$21,0))),""))</f>
        <v/>
      </c>
      <c r="J649" s="83">
        <f>IFERROR(INDEX(打卡匯入!$C$3:$C$2002,MATCH($C649&amp;"|"&amp;DAY($A649),打卡匯入!$E$3:$E$2002,0)),"")</f>
        <v/>
      </c>
      <c r="K649" s="83">
        <f>IFERROR(INDEX(打卡匯入!$D$3:$D$2002,MATCH($C649&amp;"|"&amp;DAY($A649),打卡匯入!$E$3:$E$2002,0)),"")</f>
        <v/>
      </c>
      <c r="L649" s="84">
        <f>IF(OR($J649="",$K649=""),"",IFERROR(INDEX(設定!$F$6:$F$21,MATCH($G649,設定!$B$6:$B$21,0)),0))</f>
        <v/>
      </c>
      <c r="M649" s="85">
        <f>IF(OR($J649="",$K649=""),"",ROUND(($K649-$J649)*24-$L649/60,2))</f>
        <v/>
      </c>
      <c r="N649" s="16">
        <f>IF($C649="","",IF(AND(COUNTIF(設定!$B$15:$B$21,$G649)&gt;0,$J649&lt;&gt;""),"假日出勤",IF(AND(COUNTIF(設定!$B$6:$B$14,$G649)&gt;0,$J649=""),"未打卡",IF($J649="","",IF($O649&gt;0,"遲到",IF($P649&gt;0,"早退","正常"))))))</f>
        <v/>
      </c>
      <c r="O649" s="84">
        <f>IF(OR($C649="",$H649="",$J649=""),0,IF(ROUND(($J649-$H649)*1440,0)&gt;設定!$C$46,ROUND(($J649-$H649)*1440,0),0))</f>
        <v/>
      </c>
      <c r="P649" s="84">
        <f>IF(OR($C649="",$I649="",$K649=""),0,IF(ROUND(($I649-$K649)*1440,0)&gt;設定!$C$46,ROUND(($I649-$K649)*1440,0),0))</f>
        <v/>
      </c>
      <c r="Q649" s="85">
        <f>IF($M649="",0,IF(($M649-IFERROR(INDEX(設定!$G$6:$G$21,MATCH($G649,設定!$B$6:$B$21,0)),0))*60&gt;=設定!$C$44,ROUND(FLOOR(($M649-IFERROR(INDEX(設定!$G$6:$G$21,MATCH($G649,設定!$B$6:$B$21,0)),0))*60,設定!$C$45)/60,2),0))</f>
        <v/>
      </c>
      <c r="R649" s="16">
        <f>IF(OR($C649="",$Q649=0),"",IF($G649="國","國定假日",IF($B649="日","例假",IF($B649="六","休息日","平日"))))</f>
        <v/>
      </c>
      <c r="S649" s="19" t="n"/>
    </row>
    <row r="650">
      <c r="A650" s="82">
        <f>IF(OR(助理班表!$A25="",28&gt;DAY(EOMONTH(DATE(設定!$C$2,設定!$D$2,1),0))),"",DATE(設定!$C$2,設定!$D$2,28))</f>
        <v/>
      </c>
      <c r="B650" s="16">
        <f>IF($A650="","",INDEX(設定!$O$6:$O$12,WEEKDAY($A650,1)))</f>
        <v/>
      </c>
      <c r="C650" s="16">
        <f>IF($A650="","",助理班表!$A25)</f>
        <v/>
      </c>
      <c r="D650" s="16">
        <f>IF($C650="","",助理班表!$B25)</f>
        <v/>
      </c>
      <c r="E650" s="16">
        <f>IF($C650="","",助理班表!$D25)</f>
        <v/>
      </c>
      <c r="F650" s="16">
        <f>IF($C650="","",助理班表!$C25)</f>
        <v/>
      </c>
      <c r="G650" s="16">
        <f>IF($C650="","",助理班表!AF25)</f>
        <v/>
      </c>
      <c r="H650" s="83">
        <f>IF($G650="","",IFERROR(IF(INDEX(設定!$D$6:$D$21,MATCH($G650,設定!$B$6:$B$21,0))=0,"",INDEX(設定!$D$6:$D$21,MATCH($G650,設定!$B$6:$B$21,0))),""))</f>
        <v/>
      </c>
      <c r="I650" s="83">
        <f>IF($G650="","",IFERROR(IF(INDEX(設定!$E$6:$E$21,MATCH($G650,設定!$B$6:$B$21,0))=0,"",INDEX(設定!$E$6:$E$21,MATCH($G650,設定!$B$6:$B$21,0))),""))</f>
        <v/>
      </c>
      <c r="J650" s="83">
        <f>IFERROR(INDEX(打卡匯入!$C$3:$C$2002,MATCH($C650&amp;"|"&amp;DAY($A650),打卡匯入!$E$3:$E$2002,0)),"")</f>
        <v/>
      </c>
      <c r="K650" s="83">
        <f>IFERROR(INDEX(打卡匯入!$D$3:$D$2002,MATCH($C650&amp;"|"&amp;DAY($A650),打卡匯入!$E$3:$E$2002,0)),"")</f>
        <v/>
      </c>
      <c r="L650" s="84">
        <f>IF(OR($J650="",$K650=""),"",IFERROR(INDEX(設定!$F$6:$F$21,MATCH($G650,設定!$B$6:$B$21,0)),0))</f>
        <v/>
      </c>
      <c r="M650" s="85">
        <f>IF(OR($J650="",$K650=""),"",ROUND(($K650-$J650)*24-$L650/60,2))</f>
        <v/>
      </c>
      <c r="N650" s="16">
        <f>IF($C650="","",IF(AND(COUNTIF(設定!$B$15:$B$21,$G650)&gt;0,$J650&lt;&gt;""),"假日出勤",IF(AND(COUNTIF(設定!$B$6:$B$14,$G650)&gt;0,$J650=""),"未打卡",IF($J650="","",IF($O650&gt;0,"遲到",IF($P650&gt;0,"早退","正常"))))))</f>
        <v/>
      </c>
      <c r="O650" s="84">
        <f>IF(OR($C650="",$H650="",$J650=""),0,IF(ROUND(($J650-$H650)*1440,0)&gt;設定!$C$46,ROUND(($J650-$H650)*1440,0),0))</f>
        <v/>
      </c>
      <c r="P650" s="84">
        <f>IF(OR($C650="",$I650="",$K650=""),0,IF(ROUND(($I650-$K650)*1440,0)&gt;設定!$C$46,ROUND(($I650-$K650)*1440,0),0))</f>
        <v/>
      </c>
      <c r="Q650" s="85">
        <f>IF($M650="",0,IF(($M650-IFERROR(INDEX(設定!$G$6:$G$21,MATCH($G650,設定!$B$6:$B$21,0)),0))*60&gt;=設定!$C$44,ROUND(FLOOR(($M650-IFERROR(INDEX(設定!$G$6:$G$21,MATCH($G650,設定!$B$6:$B$21,0)),0))*60,設定!$C$45)/60,2),0))</f>
        <v/>
      </c>
      <c r="R650" s="16">
        <f>IF(OR($C650="",$Q650=0),"",IF($G650="國","國定假日",IF($B650="日","例假",IF($B650="六","休息日","平日"))))</f>
        <v/>
      </c>
      <c r="S650" s="19" t="n"/>
    </row>
    <row r="651">
      <c r="A651" s="82">
        <f>IF(OR(助理班表!$A25="",29&gt;DAY(EOMONTH(DATE(設定!$C$2,設定!$D$2,1),0))),"",DATE(設定!$C$2,設定!$D$2,29))</f>
        <v/>
      </c>
      <c r="B651" s="16">
        <f>IF($A651="","",INDEX(設定!$O$6:$O$12,WEEKDAY($A651,1)))</f>
        <v/>
      </c>
      <c r="C651" s="16">
        <f>IF($A651="","",助理班表!$A25)</f>
        <v/>
      </c>
      <c r="D651" s="16">
        <f>IF($C651="","",助理班表!$B25)</f>
        <v/>
      </c>
      <c r="E651" s="16">
        <f>IF($C651="","",助理班表!$D25)</f>
        <v/>
      </c>
      <c r="F651" s="16">
        <f>IF($C651="","",助理班表!$C25)</f>
        <v/>
      </c>
      <c r="G651" s="16">
        <f>IF($C651="","",助理班表!AG25)</f>
        <v/>
      </c>
      <c r="H651" s="83">
        <f>IF($G651="","",IFERROR(IF(INDEX(設定!$D$6:$D$21,MATCH($G651,設定!$B$6:$B$21,0))=0,"",INDEX(設定!$D$6:$D$21,MATCH($G651,設定!$B$6:$B$21,0))),""))</f>
        <v/>
      </c>
      <c r="I651" s="83">
        <f>IF($G651="","",IFERROR(IF(INDEX(設定!$E$6:$E$21,MATCH($G651,設定!$B$6:$B$21,0))=0,"",INDEX(設定!$E$6:$E$21,MATCH($G651,設定!$B$6:$B$21,0))),""))</f>
        <v/>
      </c>
      <c r="J651" s="83">
        <f>IFERROR(INDEX(打卡匯入!$C$3:$C$2002,MATCH($C651&amp;"|"&amp;DAY($A651),打卡匯入!$E$3:$E$2002,0)),"")</f>
        <v/>
      </c>
      <c r="K651" s="83">
        <f>IFERROR(INDEX(打卡匯入!$D$3:$D$2002,MATCH($C651&amp;"|"&amp;DAY($A651),打卡匯入!$E$3:$E$2002,0)),"")</f>
        <v/>
      </c>
      <c r="L651" s="84">
        <f>IF(OR($J651="",$K651=""),"",IFERROR(INDEX(設定!$F$6:$F$21,MATCH($G651,設定!$B$6:$B$21,0)),0))</f>
        <v/>
      </c>
      <c r="M651" s="85">
        <f>IF(OR($J651="",$K651=""),"",ROUND(($K651-$J651)*24-$L651/60,2))</f>
        <v/>
      </c>
      <c r="N651" s="16">
        <f>IF($C651="","",IF(AND(COUNTIF(設定!$B$15:$B$21,$G651)&gt;0,$J651&lt;&gt;""),"假日出勤",IF(AND(COUNTIF(設定!$B$6:$B$14,$G651)&gt;0,$J651=""),"未打卡",IF($J651="","",IF($O651&gt;0,"遲到",IF($P651&gt;0,"早退","正常"))))))</f>
        <v/>
      </c>
      <c r="O651" s="84">
        <f>IF(OR($C651="",$H651="",$J651=""),0,IF(ROUND(($J651-$H651)*1440,0)&gt;設定!$C$46,ROUND(($J651-$H651)*1440,0),0))</f>
        <v/>
      </c>
      <c r="P651" s="84">
        <f>IF(OR($C651="",$I651="",$K651=""),0,IF(ROUND(($I651-$K651)*1440,0)&gt;設定!$C$46,ROUND(($I651-$K651)*1440,0),0))</f>
        <v/>
      </c>
      <c r="Q651" s="85">
        <f>IF($M651="",0,IF(($M651-IFERROR(INDEX(設定!$G$6:$G$21,MATCH($G651,設定!$B$6:$B$21,0)),0))*60&gt;=設定!$C$44,ROUND(FLOOR(($M651-IFERROR(INDEX(設定!$G$6:$G$21,MATCH($G651,設定!$B$6:$B$21,0)),0))*60,設定!$C$45)/60,2),0))</f>
        <v/>
      </c>
      <c r="R651" s="16">
        <f>IF(OR($C651="",$Q651=0),"",IF($G651="國","國定假日",IF($B651="日","例假",IF($B651="六","休息日","平日"))))</f>
        <v/>
      </c>
      <c r="S651" s="19" t="n"/>
    </row>
    <row r="652">
      <c r="A652" s="82">
        <f>IF(OR(助理班表!$A25="",30&gt;DAY(EOMONTH(DATE(設定!$C$2,設定!$D$2,1),0))),"",DATE(設定!$C$2,設定!$D$2,30))</f>
        <v/>
      </c>
      <c r="B652" s="16">
        <f>IF($A652="","",INDEX(設定!$O$6:$O$12,WEEKDAY($A652,1)))</f>
        <v/>
      </c>
      <c r="C652" s="16">
        <f>IF($A652="","",助理班表!$A25)</f>
        <v/>
      </c>
      <c r="D652" s="16">
        <f>IF($C652="","",助理班表!$B25)</f>
        <v/>
      </c>
      <c r="E652" s="16">
        <f>IF($C652="","",助理班表!$D25)</f>
        <v/>
      </c>
      <c r="F652" s="16">
        <f>IF($C652="","",助理班表!$C25)</f>
        <v/>
      </c>
      <c r="G652" s="16">
        <f>IF($C652="","",助理班表!AH25)</f>
        <v/>
      </c>
      <c r="H652" s="83">
        <f>IF($G652="","",IFERROR(IF(INDEX(設定!$D$6:$D$21,MATCH($G652,設定!$B$6:$B$21,0))=0,"",INDEX(設定!$D$6:$D$21,MATCH($G652,設定!$B$6:$B$21,0))),""))</f>
        <v/>
      </c>
      <c r="I652" s="83">
        <f>IF($G652="","",IFERROR(IF(INDEX(設定!$E$6:$E$21,MATCH($G652,設定!$B$6:$B$21,0))=0,"",INDEX(設定!$E$6:$E$21,MATCH($G652,設定!$B$6:$B$21,0))),""))</f>
        <v/>
      </c>
      <c r="J652" s="83">
        <f>IFERROR(INDEX(打卡匯入!$C$3:$C$2002,MATCH($C652&amp;"|"&amp;DAY($A652),打卡匯入!$E$3:$E$2002,0)),"")</f>
        <v/>
      </c>
      <c r="K652" s="83">
        <f>IFERROR(INDEX(打卡匯入!$D$3:$D$2002,MATCH($C652&amp;"|"&amp;DAY($A652),打卡匯入!$E$3:$E$2002,0)),"")</f>
        <v/>
      </c>
      <c r="L652" s="84">
        <f>IF(OR($J652="",$K652=""),"",IFERROR(INDEX(設定!$F$6:$F$21,MATCH($G652,設定!$B$6:$B$21,0)),0))</f>
        <v/>
      </c>
      <c r="M652" s="85">
        <f>IF(OR($J652="",$K652=""),"",ROUND(($K652-$J652)*24-$L652/60,2))</f>
        <v/>
      </c>
      <c r="N652" s="16">
        <f>IF($C652="","",IF(AND(COUNTIF(設定!$B$15:$B$21,$G652)&gt;0,$J652&lt;&gt;""),"假日出勤",IF(AND(COUNTIF(設定!$B$6:$B$14,$G652)&gt;0,$J652=""),"未打卡",IF($J652="","",IF($O652&gt;0,"遲到",IF($P652&gt;0,"早退","正常"))))))</f>
        <v/>
      </c>
      <c r="O652" s="84">
        <f>IF(OR($C652="",$H652="",$J652=""),0,IF(ROUND(($J652-$H652)*1440,0)&gt;設定!$C$46,ROUND(($J652-$H652)*1440,0),0))</f>
        <v/>
      </c>
      <c r="P652" s="84">
        <f>IF(OR($C652="",$I652="",$K652=""),0,IF(ROUND(($I652-$K652)*1440,0)&gt;設定!$C$46,ROUND(($I652-$K652)*1440,0),0))</f>
        <v/>
      </c>
      <c r="Q652" s="85">
        <f>IF($M652="",0,IF(($M652-IFERROR(INDEX(設定!$G$6:$G$21,MATCH($G652,設定!$B$6:$B$21,0)),0))*60&gt;=設定!$C$44,ROUND(FLOOR(($M652-IFERROR(INDEX(設定!$G$6:$G$21,MATCH($G652,設定!$B$6:$B$21,0)),0))*60,設定!$C$45)/60,2),0))</f>
        <v/>
      </c>
      <c r="R652" s="16">
        <f>IF(OR($C652="",$Q652=0),"",IF($G652="國","國定假日",IF($B652="日","例假",IF($B652="六","休息日","平日"))))</f>
        <v/>
      </c>
      <c r="S652" s="19" t="n"/>
    </row>
    <row r="653">
      <c r="A653" s="82">
        <f>IF(OR(助理班表!$A25="",31&gt;DAY(EOMONTH(DATE(設定!$C$2,設定!$D$2,1),0))),"",DATE(設定!$C$2,設定!$D$2,31))</f>
        <v/>
      </c>
      <c r="B653" s="16">
        <f>IF($A653="","",INDEX(設定!$O$6:$O$12,WEEKDAY($A653,1)))</f>
        <v/>
      </c>
      <c r="C653" s="16">
        <f>IF($A653="","",助理班表!$A25)</f>
        <v/>
      </c>
      <c r="D653" s="16">
        <f>IF($C653="","",助理班表!$B25)</f>
        <v/>
      </c>
      <c r="E653" s="16">
        <f>IF($C653="","",助理班表!$D25)</f>
        <v/>
      </c>
      <c r="F653" s="16">
        <f>IF($C653="","",助理班表!$C25)</f>
        <v/>
      </c>
      <c r="G653" s="16">
        <f>IF($C653="","",助理班表!AI25)</f>
        <v/>
      </c>
      <c r="H653" s="83">
        <f>IF($G653="","",IFERROR(IF(INDEX(設定!$D$6:$D$21,MATCH($G653,設定!$B$6:$B$21,0))=0,"",INDEX(設定!$D$6:$D$21,MATCH($G653,設定!$B$6:$B$21,0))),""))</f>
        <v/>
      </c>
      <c r="I653" s="83">
        <f>IF($G653="","",IFERROR(IF(INDEX(設定!$E$6:$E$21,MATCH($G653,設定!$B$6:$B$21,0))=0,"",INDEX(設定!$E$6:$E$21,MATCH($G653,設定!$B$6:$B$21,0))),""))</f>
        <v/>
      </c>
      <c r="J653" s="83">
        <f>IFERROR(INDEX(打卡匯入!$C$3:$C$2002,MATCH($C653&amp;"|"&amp;DAY($A653),打卡匯入!$E$3:$E$2002,0)),"")</f>
        <v/>
      </c>
      <c r="K653" s="83">
        <f>IFERROR(INDEX(打卡匯入!$D$3:$D$2002,MATCH($C653&amp;"|"&amp;DAY($A653),打卡匯入!$E$3:$E$2002,0)),"")</f>
        <v/>
      </c>
      <c r="L653" s="84">
        <f>IF(OR($J653="",$K653=""),"",IFERROR(INDEX(設定!$F$6:$F$21,MATCH($G653,設定!$B$6:$B$21,0)),0))</f>
        <v/>
      </c>
      <c r="M653" s="85">
        <f>IF(OR($J653="",$K653=""),"",ROUND(($K653-$J653)*24-$L653/60,2))</f>
        <v/>
      </c>
      <c r="N653" s="16">
        <f>IF($C653="","",IF(AND(COUNTIF(設定!$B$15:$B$21,$G653)&gt;0,$J653&lt;&gt;""),"假日出勤",IF(AND(COUNTIF(設定!$B$6:$B$14,$G653)&gt;0,$J653=""),"未打卡",IF($J653="","",IF($O653&gt;0,"遲到",IF($P653&gt;0,"早退","正常"))))))</f>
        <v/>
      </c>
      <c r="O653" s="84">
        <f>IF(OR($C653="",$H653="",$J653=""),0,IF(ROUND(($J653-$H653)*1440,0)&gt;設定!$C$46,ROUND(($J653-$H653)*1440,0),0))</f>
        <v/>
      </c>
      <c r="P653" s="84">
        <f>IF(OR($C653="",$I653="",$K653=""),0,IF(ROUND(($I653-$K653)*1440,0)&gt;設定!$C$46,ROUND(($I653-$K653)*1440,0),0))</f>
        <v/>
      </c>
      <c r="Q653" s="85">
        <f>IF($M653="",0,IF(($M653-IFERROR(INDEX(設定!$G$6:$G$21,MATCH($G653,設定!$B$6:$B$21,0)),0))*60&gt;=設定!$C$44,ROUND(FLOOR(($M653-IFERROR(INDEX(設定!$G$6:$G$21,MATCH($G653,設定!$B$6:$B$21,0)),0))*60,設定!$C$45)/60,2),0))</f>
        <v/>
      </c>
      <c r="R653" s="16">
        <f>IF(OR($C653="",$Q653=0),"",IF($G653="國","國定假日",IF($B653="日","例假",IF($B653="六","休息日","平日"))))</f>
        <v/>
      </c>
      <c r="S653" s="19" t="n"/>
    </row>
    <row r="654">
      <c r="A654" s="82">
        <f>IF(OR(助理班表!$A26="",1&gt;DAY(EOMONTH(DATE(設定!$C$2,設定!$D$2,1),0))),"",DATE(設定!$C$2,設定!$D$2,1))</f>
        <v/>
      </c>
      <c r="B654" s="16">
        <f>IF($A654="","",INDEX(設定!$O$6:$O$12,WEEKDAY($A654,1)))</f>
        <v/>
      </c>
      <c r="C654" s="16">
        <f>IF($A654="","",助理班表!$A26)</f>
        <v/>
      </c>
      <c r="D654" s="16">
        <f>IF($C654="","",助理班表!$B26)</f>
        <v/>
      </c>
      <c r="E654" s="16">
        <f>IF($C654="","",助理班表!$D26)</f>
        <v/>
      </c>
      <c r="F654" s="16">
        <f>IF($C654="","",助理班表!$C26)</f>
        <v/>
      </c>
      <c r="G654" s="16">
        <f>IF($C654="","",助理班表!E26)</f>
        <v/>
      </c>
      <c r="H654" s="83">
        <f>IF($G654="","",IFERROR(IF(INDEX(設定!$D$6:$D$21,MATCH($G654,設定!$B$6:$B$21,0))=0,"",INDEX(設定!$D$6:$D$21,MATCH($G654,設定!$B$6:$B$21,0))),""))</f>
        <v/>
      </c>
      <c r="I654" s="83">
        <f>IF($G654="","",IFERROR(IF(INDEX(設定!$E$6:$E$21,MATCH($G654,設定!$B$6:$B$21,0))=0,"",INDEX(設定!$E$6:$E$21,MATCH($G654,設定!$B$6:$B$21,0))),""))</f>
        <v/>
      </c>
      <c r="J654" s="83">
        <f>IFERROR(INDEX(打卡匯入!$C$3:$C$2002,MATCH($C654&amp;"|"&amp;DAY($A654),打卡匯入!$E$3:$E$2002,0)),"")</f>
        <v/>
      </c>
      <c r="K654" s="83">
        <f>IFERROR(INDEX(打卡匯入!$D$3:$D$2002,MATCH($C654&amp;"|"&amp;DAY($A654),打卡匯入!$E$3:$E$2002,0)),"")</f>
        <v/>
      </c>
      <c r="L654" s="84">
        <f>IF(OR($J654="",$K654=""),"",IFERROR(INDEX(設定!$F$6:$F$21,MATCH($G654,設定!$B$6:$B$21,0)),0))</f>
        <v/>
      </c>
      <c r="M654" s="85">
        <f>IF(OR($J654="",$K654=""),"",ROUND(($K654-$J654)*24-$L654/60,2))</f>
        <v/>
      </c>
      <c r="N654" s="16">
        <f>IF($C654="","",IF(AND(COUNTIF(設定!$B$15:$B$21,$G654)&gt;0,$J654&lt;&gt;""),"假日出勤",IF(AND(COUNTIF(設定!$B$6:$B$14,$G654)&gt;0,$J654=""),"未打卡",IF($J654="","",IF($O654&gt;0,"遲到",IF($P654&gt;0,"早退","正常"))))))</f>
        <v/>
      </c>
      <c r="O654" s="84">
        <f>IF(OR($C654="",$H654="",$J654=""),0,IF(ROUND(($J654-$H654)*1440,0)&gt;設定!$C$46,ROUND(($J654-$H654)*1440,0),0))</f>
        <v/>
      </c>
      <c r="P654" s="84">
        <f>IF(OR($C654="",$I654="",$K654=""),0,IF(ROUND(($I654-$K654)*1440,0)&gt;設定!$C$46,ROUND(($I654-$K654)*1440,0),0))</f>
        <v/>
      </c>
      <c r="Q654" s="85">
        <f>IF($M654="",0,IF(($M654-IFERROR(INDEX(設定!$G$6:$G$21,MATCH($G654,設定!$B$6:$B$21,0)),0))*60&gt;=設定!$C$44,ROUND(FLOOR(($M654-IFERROR(INDEX(設定!$G$6:$G$21,MATCH($G654,設定!$B$6:$B$21,0)),0))*60,設定!$C$45)/60,2),0))</f>
        <v/>
      </c>
      <c r="R654" s="16">
        <f>IF(OR($C654="",$Q654=0),"",IF($G654="國","國定假日",IF($B654="日","例假",IF($B654="六","休息日","平日"))))</f>
        <v/>
      </c>
      <c r="S654" s="19" t="n"/>
    </row>
    <row r="655">
      <c r="A655" s="82">
        <f>IF(OR(助理班表!$A26="",2&gt;DAY(EOMONTH(DATE(設定!$C$2,設定!$D$2,1),0))),"",DATE(設定!$C$2,設定!$D$2,2))</f>
        <v/>
      </c>
      <c r="B655" s="16">
        <f>IF($A655="","",INDEX(設定!$O$6:$O$12,WEEKDAY($A655,1)))</f>
        <v/>
      </c>
      <c r="C655" s="16">
        <f>IF($A655="","",助理班表!$A26)</f>
        <v/>
      </c>
      <c r="D655" s="16">
        <f>IF($C655="","",助理班表!$B26)</f>
        <v/>
      </c>
      <c r="E655" s="16">
        <f>IF($C655="","",助理班表!$D26)</f>
        <v/>
      </c>
      <c r="F655" s="16">
        <f>IF($C655="","",助理班表!$C26)</f>
        <v/>
      </c>
      <c r="G655" s="16">
        <f>IF($C655="","",助理班表!F26)</f>
        <v/>
      </c>
      <c r="H655" s="83">
        <f>IF($G655="","",IFERROR(IF(INDEX(設定!$D$6:$D$21,MATCH($G655,設定!$B$6:$B$21,0))=0,"",INDEX(設定!$D$6:$D$21,MATCH($G655,設定!$B$6:$B$21,0))),""))</f>
        <v/>
      </c>
      <c r="I655" s="83">
        <f>IF($G655="","",IFERROR(IF(INDEX(設定!$E$6:$E$21,MATCH($G655,設定!$B$6:$B$21,0))=0,"",INDEX(設定!$E$6:$E$21,MATCH($G655,設定!$B$6:$B$21,0))),""))</f>
        <v/>
      </c>
      <c r="J655" s="83">
        <f>IFERROR(INDEX(打卡匯入!$C$3:$C$2002,MATCH($C655&amp;"|"&amp;DAY($A655),打卡匯入!$E$3:$E$2002,0)),"")</f>
        <v/>
      </c>
      <c r="K655" s="83">
        <f>IFERROR(INDEX(打卡匯入!$D$3:$D$2002,MATCH($C655&amp;"|"&amp;DAY($A655),打卡匯入!$E$3:$E$2002,0)),"")</f>
        <v/>
      </c>
      <c r="L655" s="84">
        <f>IF(OR($J655="",$K655=""),"",IFERROR(INDEX(設定!$F$6:$F$21,MATCH($G655,設定!$B$6:$B$21,0)),0))</f>
        <v/>
      </c>
      <c r="M655" s="85">
        <f>IF(OR($J655="",$K655=""),"",ROUND(($K655-$J655)*24-$L655/60,2))</f>
        <v/>
      </c>
      <c r="N655" s="16">
        <f>IF($C655="","",IF(AND(COUNTIF(設定!$B$15:$B$21,$G655)&gt;0,$J655&lt;&gt;""),"假日出勤",IF(AND(COUNTIF(設定!$B$6:$B$14,$G655)&gt;0,$J655=""),"未打卡",IF($J655="","",IF($O655&gt;0,"遲到",IF($P655&gt;0,"早退","正常"))))))</f>
        <v/>
      </c>
      <c r="O655" s="84">
        <f>IF(OR($C655="",$H655="",$J655=""),0,IF(ROUND(($J655-$H655)*1440,0)&gt;設定!$C$46,ROUND(($J655-$H655)*1440,0),0))</f>
        <v/>
      </c>
      <c r="P655" s="84">
        <f>IF(OR($C655="",$I655="",$K655=""),0,IF(ROUND(($I655-$K655)*1440,0)&gt;設定!$C$46,ROUND(($I655-$K655)*1440,0),0))</f>
        <v/>
      </c>
      <c r="Q655" s="85">
        <f>IF($M655="",0,IF(($M655-IFERROR(INDEX(設定!$G$6:$G$21,MATCH($G655,設定!$B$6:$B$21,0)),0))*60&gt;=設定!$C$44,ROUND(FLOOR(($M655-IFERROR(INDEX(設定!$G$6:$G$21,MATCH($G655,設定!$B$6:$B$21,0)),0))*60,設定!$C$45)/60,2),0))</f>
        <v/>
      </c>
      <c r="R655" s="16">
        <f>IF(OR($C655="",$Q655=0),"",IF($G655="國","國定假日",IF($B655="日","例假",IF($B655="六","休息日","平日"))))</f>
        <v/>
      </c>
      <c r="S655" s="19" t="n"/>
    </row>
    <row r="656">
      <c r="A656" s="82">
        <f>IF(OR(助理班表!$A26="",3&gt;DAY(EOMONTH(DATE(設定!$C$2,設定!$D$2,1),0))),"",DATE(設定!$C$2,設定!$D$2,3))</f>
        <v/>
      </c>
      <c r="B656" s="16">
        <f>IF($A656="","",INDEX(設定!$O$6:$O$12,WEEKDAY($A656,1)))</f>
        <v/>
      </c>
      <c r="C656" s="16">
        <f>IF($A656="","",助理班表!$A26)</f>
        <v/>
      </c>
      <c r="D656" s="16">
        <f>IF($C656="","",助理班表!$B26)</f>
        <v/>
      </c>
      <c r="E656" s="16">
        <f>IF($C656="","",助理班表!$D26)</f>
        <v/>
      </c>
      <c r="F656" s="16">
        <f>IF($C656="","",助理班表!$C26)</f>
        <v/>
      </c>
      <c r="G656" s="16">
        <f>IF($C656="","",助理班表!G26)</f>
        <v/>
      </c>
      <c r="H656" s="83">
        <f>IF($G656="","",IFERROR(IF(INDEX(設定!$D$6:$D$21,MATCH($G656,設定!$B$6:$B$21,0))=0,"",INDEX(設定!$D$6:$D$21,MATCH($G656,設定!$B$6:$B$21,0))),""))</f>
        <v/>
      </c>
      <c r="I656" s="83">
        <f>IF($G656="","",IFERROR(IF(INDEX(設定!$E$6:$E$21,MATCH($G656,設定!$B$6:$B$21,0))=0,"",INDEX(設定!$E$6:$E$21,MATCH($G656,設定!$B$6:$B$21,0))),""))</f>
        <v/>
      </c>
      <c r="J656" s="83">
        <f>IFERROR(INDEX(打卡匯入!$C$3:$C$2002,MATCH($C656&amp;"|"&amp;DAY($A656),打卡匯入!$E$3:$E$2002,0)),"")</f>
        <v/>
      </c>
      <c r="K656" s="83">
        <f>IFERROR(INDEX(打卡匯入!$D$3:$D$2002,MATCH($C656&amp;"|"&amp;DAY($A656),打卡匯入!$E$3:$E$2002,0)),"")</f>
        <v/>
      </c>
      <c r="L656" s="84">
        <f>IF(OR($J656="",$K656=""),"",IFERROR(INDEX(設定!$F$6:$F$21,MATCH($G656,設定!$B$6:$B$21,0)),0))</f>
        <v/>
      </c>
      <c r="M656" s="85">
        <f>IF(OR($J656="",$K656=""),"",ROUND(($K656-$J656)*24-$L656/60,2))</f>
        <v/>
      </c>
      <c r="N656" s="16">
        <f>IF($C656="","",IF(AND(COUNTIF(設定!$B$15:$B$21,$G656)&gt;0,$J656&lt;&gt;""),"假日出勤",IF(AND(COUNTIF(設定!$B$6:$B$14,$G656)&gt;0,$J656=""),"未打卡",IF($J656="","",IF($O656&gt;0,"遲到",IF($P656&gt;0,"早退","正常"))))))</f>
        <v/>
      </c>
      <c r="O656" s="84">
        <f>IF(OR($C656="",$H656="",$J656=""),0,IF(ROUND(($J656-$H656)*1440,0)&gt;設定!$C$46,ROUND(($J656-$H656)*1440,0),0))</f>
        <v/>
      </c>
      <c r="P656" s="84">
        <f>IF(OR($C656="",$I656="",$K656=""),0,IF(ROUND(($I656-$K656)*1440,0)&gt;設定!$C$46,ROUND(($I656-$K656)*1440,0),0))</f>
        <v/>
      </c>
      <c r="Q656" s="85">
        <f>IF($M656="",0,IF(($M656-IFERROR(INDEX(設定!$G$6:$G$21,MATCH($G656,設定!$B$6:$B$21,0)),0))*60&gt;=設定!$C$44,ROUND(FLOOR(($M656-IFERROR(INDEX(設定!$G$6:$G$21,MATCH($G656,設定!$B$6:$B$21,0)),0))*60,設定!$C$45)/60,2),0))</f>
        <v/>
      </c>
      <c r="R656" s="16">
        <f>IF(OR($C656="",$Q656=0),"",IF($G656="國","國定假日",IF($B656="日","例假",IF($B656="六","休息日","平日"))))</f>
        <v/>
      </c>
      <c r="S656" s="19" t="n"/>
    </row>
    <row r="657">
      <c r="A657" s="82">
        <f>IF(OR(助理班表!$A26="",4&gt;DAY(EOMONTH(DATE(設定!$C$2,設定!$D$2,1),0))),"",DATE(設定!$C$2,設定!$D$2,4))</f>
        <v/>
      </c>
      <c r="B657" s="16">
        <f>IF($A657="","",INDEX(設定!$O$6:$O$12,WEEKDAY($A657,1)))</f>
        <v/>
      </c>
      <c r="C657" s="16">
        <f>IF($A657="","",助理班表!$A26)</f>
        <v/>
      </c>
      <c r="D657" s="16">
        <f>IF($C657="","",助理班表!$B26)</f>
        <v/>
      </c>
      <c r="E657" s="16">
        <f>IF($C657="","",助理班表!$D26)</f>
        <v/>
      </c>
      <c r="F657" s="16">
        <f>IF($C657="","",助理班表!$C26)</f>
        <v/>
      </c>
      <c r="G657" s="16">
        <f>IF($C657="","",助理班表!H26)</f>
        <v/>
      </c>
      <c r="H657" s="83">
        <f>IF($G657="","",IFERROR(IF(INDEX(設定!$D$6:$D$21,MATCH($G657,設定!$B$6:$B$21,0))=0,"",INDEX(設定!$D$6:$D$21,MATCH($G657,設定!$B$6:$B$21,0))),""))</f>
        <v/>
      </c>
      <c r="I657" s="83">
        <f>IF($G657="","",IFERROR(IF(INDEX(設定!$E$6:$E$21,MATCH($G657,設定!$B$6:$B$21,0))=0,"",INDEX(設定!$E$6:$E$21,MATCH($G657,設定!$B$6:$B$21,0))),""))</f>
        <v/>
      </c>
      <c r="J657" s="83">
        <f>IFERROR(INDEX(打卡匯入!$C$3:$C$2002,MATCH($C657&amp;"|"&amp;DAY($A657),打卡匯入!$E$3:$E$2002,0)),"")</f>
        <v/>
      </c>
      <c r="K657" s="83">
        <f>IFERROR(INDEX(打卡匯入!$D$3:$D$2002,MATCH($C657&amp;"|"&amp;DAY($A657),打卡匯入!$E$3:$E$2002,0)),"")</f>
        <v/>
      </c>
      <c r="L657" s="84">
        <f>IF(OR($J657="",$K657=""),"",IFERROR(INDEX(設定!$F$6:$F$21,MATCH($G657,設定!$B$6:$B$21,0)),0))</f>
        <v/>
      </c>
      <c r="M657" s="85">
        <f>IF(OR($J657="",$K657=""),"",ROUND(($K657-$J657)*24-$L657/60,2))</f>
        <v/>
      </c>
      <c r="N657" s="16">
        <f>IF($C657="","",IF(AND(COUNTIF(設定!$B$15:$B$21,$G657)&gt;0,$J657&lt;&gt;""),"假日出勤",IF(AND(COUNTIF(設定!$B$6:$B$14,$G657)&gt;0,$J657=""),"未打卡",IF($J657="","",IF($O657&gt;0,"遲到",IF($P657&gt;0,"早退","正常"))))))</f>
        <v/>
      </c>
      <c r="O657" s="84">
        <f>IF(OR($C657="",$H657="",$J657=""),0,IF(ROUND(($J657-$H657)*1440,0)&gt;設定!$C$46,ROUND(($J657-$H657)*1440,0),0))</f>
        <v/>
      </c>
      <c r="P657" s="84">
        <f>IF(OR($C657="",$I657="",$K657=""),0,IF(ROUND(($I657-$K657)*1440,0)&gt;設定!$C$46,ROUND(($I657-$K657)*1440,0),0))</f>
        <v/>
      </c>
      <c r="Q657" s="85">
        <f>IF($M657="",0,IF(($M657-IFERROR(INDEX(設定!$G$6:$G$21,MATCH($G657,設定!$B$6:$B$21,0)),0))*60&gt;=設定!$C$44,ROUND(FLOOR(($M657-IFERROR(INDEX(設定!$G$6:$G$21,MATCH($G657,設定!$B$6:$B$21,0)),0))*60,設定!$C$45)/60,2),0))</f>
        <v/>
      </c>
      <c r="R657" s="16">
        <f>IF(OR($C657="",$Q657=0),"",IF($G657="國","國定假日",IF($B657="日","例假",IF($B657="六","休息日","平日"))))</f>
        <v/>
      </c>
      <c r="S657" s="19" t="n"/>
    </row>
    <row r="658">
      <c r="A658" s="82">
        <f>IF(OR(助理班表!$A26="",5&gt;DAY(EOMONTH(DATE(設定!$C$2,設定!$D$2,1),0))),"",DATE(設定!$C$2,設定!$D$2,5))</f>
        <v/>
      </c>
      <c r="B658" s="16">
        <f>IF($A658="","",INDEX(設定!$O$6:$O$12,WEEKDAY($A658,1)))</f>
        <v/>
      </c>
      <c r="C658" s="16">
        <f>IF($A658="","",助理班表!$A26)</f>
        <v/>
      </c>
      <c r="D658" s="16">
        <f>IF($C658="","",助理班表!$B26)</f>
        <v/>
      </c>
      <c r="E658" s="16">
        <f>IF($C658="","",助理班表!$D26)</f>
        <v/>
      </c>
      <c r="F658" s="16">
        <f>IF($C658="","",助理班表!$C26)</f>
        <v/>
      </c>
      <c r="G658" s="16">
        <f>IF($C658="","",助理班表!I26)</f>
        <v/>
      </c>
      <c r="H658" s="83">
        <f>IF($G658="","",IFERROR(IF(INDEX(設定!$D$6:$D$21,MATCH($G658,設定!$B$6:$B$21,0))=0,"",INDEX(設定!$D$6:$D$21,MATCH($G658,設定!$B$6:$B$21,0))),""))</f>
        <v/>
      </c>
      <c r="I658" s="83">
        <f>IF($G658="","",IFERROR(IF(INDEX(設定!$E$6:$E$21,MATCH($G658,設定!$B$6:$B$21,0))=0,"",INDEX(設定!$E$6:$E$21,MATCH($G658,設定!$B$6:$B$21,0))),""))</f>
        <v/>
      </c>
      <c r="J658" s="83">
        <f>IFERROR(INDEX(打卡匯入!$C$3:$C$2002,MATCH($C658&amp;"|"&amp;DAY($A658),打卡匯入!$E$3:$E$2002,0)),"")</f>
        <v/>
      </c>
      <c r="K658" s="83">
        <f>IFERROR(INDEX(打卡匯入!$D$3:$D$2002,MATCH($C658&amp;"|"&amp;DAY($A658),打卡匯入!$E$3:$E$2002,0)),"")</f>
        <v/>
      </c>
      <c r="L658" s="84">
        <f>IF(OR($J658="",$K658=""),"",IFERROR(INDEX(設定!$F$6:$F$21,MATCH($G658,設定!$B$6:$B$21,0)),0))</f>
        <v/>
      </c>
      <c r="M658" s="85">
        <f>IF(OR($J658="",$K658=""),"",ROUND(($K658-$J658)*24-$L658/60,2))</f>
        <v/>
      </c>
      <c r="N658" s="16">
        <f>IF($C658="","",IF(AND(COUNTIF(設定!$B$15:$B$21,$G658)&gt;0,$J658&lt;&gt;""),"假日出勤",IF(AND(COUNTIF(設定!$B$6:$B$14,$G658)&gt;0,$J658=""),"未打卡",IF($J658="","",IF($O658&gt;0,"遲到",IF($P658&gt;0,"早退","正常"))))))</f>
        <v/>
      </c>
      <c r="O658" s="84">
        <f>IF(OR($C658="",$H658="",$J658=""),0,IF(ROUND(($J658-$H658)*1440,0)&gt;設定!$C$46,ROUND(($J658-$H658)*1440,0),0))</f>
        <v/>
      </c>
      <c r="P658" s="84">
        <f>IF(OR($C658="",$I658="",$K658=""),0,IF(ROUND(($I658-$K658)*1440,0)&gt;設定!$C$46,ROUND(($I658-$K658)*1440,0),0))</f>
        <v/>
      </c>
      <c r="Q658" s="85">
        <f>IF($M658="",0,IF(($M658-IFERROR(INDEX(設定!$G$6:$G$21,MATCH($G658,設定!$B$6:$B$21,0)),0))*60&gt;=設定!$C$44,ROUND(FLOOR(($M658-IFERROR(INDEX(設定!$G$6:$G$21,MATCH($G658,設定!$B$6:$B$21,0)),0))*60,設定!$C$45)/60,2),0))</f>
        <v/>
      </c>
      <c r="R658" s="16">
        <f>IF(OR($C658="",$Q658=0),"",IF($G658="國","國定假日",IF($B658="日","例假",IF($B658="六","休息日","平日"))))</f>
        <v/>
      </c>
      <c r="S658" s="19" t="n"/>
    </row>
    <row r="659">
      <c r="A659" s="82">
        <f>IF(OR(助理班表!$A26="",6&gt;DAY(EOMONTH(DATE(設定!$C$2,設定!$D$2,1),0))),"",DATE(設定!$C$2,設定!$D$2,6))</f>
        <v/>
      </c>
      <c r="B659" s="16">
        <f>IF($A659="","",INDEX(設定!$O$6:$O$12,WEEKDAY($A659,1)))</f>
        <v/>
      </c>
      <c r="C659" s="16">
        <f>IF($A659="","",助理班表!$A26)</f>
        <v/>
      </c>
      <c r="D659" s="16">
        <f>IF($C659="","",助理班表!$B26)</f>
        <v/>
      </c>
      <c r="E659" s="16">
        <f>IF($C659="","",助理班表!$D26)</f>
        <v/>
      </c>
      <c r="F659" s="16">
        <f>IF($C659="","",助理班表!$C26)</f>
        <v/>
      </c>
      <c r="G659" s="16">
        <f>IF($C659="","",助理班表!J26)</f>
        <v/>
      </c>
      <c r="H659" s="83">
        <f>IF($G659="","",IFERROR(IF(INDEX(設定!$D$6:$D$21,MATCH($G659,設定!$B$6:$B$21,0))=0,"",INDEX(設定!$D$6:$D$21,MATCH($G659,設定!$B$6:$B$21,0))),""))</f>
        <v/>
      </c>
      <c r="I659" s="83">
        <f>IF($G659="","",IFERROR(IF(INDEX(設定!$E$6:$E$21,MATCH($G659,設定!$B$6:$B$21,0))=0,"",INDEX(設定!$E$6:$E$21,MATCH($G659,設定!$B$6:$B$21,0))),""))</f>
        <v/>
      </c>
      <c r="J659" s="83">
        <f>IFERROR(INDEX(打卡匯入!$C$3:$C$2002,MATCH($C659&amp;"|"&amp;DAY($A659),打卡匯入!$E$3:$E$2002,0)),"")</f>
        <v/>
      </c>
      <c r="K659" s="83">
        <f>IFERROR(INDEX(打卡匯入!$D$3:$D$2002,MATCH($C659&amp;"|"&amp;DAY($A659),打卡匯入!$E$3:$E$2002,0)),"")</f>
        <v/>
      </c>
      <c r="L659" s="84">
        <f>IF(OR($J659="",$K659=""),"",IFERROR(INDEX(設定!$F$6:$F$21,MATCH($G659,設定!$B$6:$B$21,0)),0))</f>
        <v/>
      </c>
      <c r="M659" s="85">
        <f>IF(OR($J659="",$K659=""),"",ROUND(($K659-$J659)*24-$L659/60,2))</f>
        <v/>
      </c>
      <c r="N659" s="16">
        <f>IF($C659="","",IF(AND(COUNTIF(設定!$B$15:$B$21,$G659)&gt;0,$J659&lt;&gt;""),"假日出勤",IF(AND(COUNTIF(設定!$B$6:$B$14,$G659)&gt;0,$J659=""),"未打卡",IF($J659="","",IF($O659&gt;0,"遲到",IF($P659&gt;0,"早退","正常"))))))</f>
        <v/>
      </c>
      <c r="O659" s="84">
        <f>IF(OR($C659="",$H659="",$J659=""),0,IF(ROUND(($J659-$H659)*1440,0)&gt;設定!$C$46,ROUND(($J659-$H659)*1440,0),0))</f>
        <v/>
      </c>
      <c r="P659" s="84">
        <f>IF(OR($C659="",$I659="",$K659=""),0,IF(ROUND(($I659-$K659)*1440,0)&gt;設定!$C$46,ROUND(($I659-$K659)*1440,0),0))</f>
        <v/>
      </c>
      <c r="Q659" s="85">
        <f>IF($M659="",0,IF(($M659-IFERROR(INDEX(設定!$G$6:$G$21,MATCH($G659,設定!$B$6:$B$21,0)),0))*60&gt;=設定!$C$44,ROUND(FLOOR(($M659-IFERROR(INDEX(設定!$G$6:$G$21,MATCH($G659,設定!$B$6:$B$21,0)),0))*60,設定!$C$45)/60,2),0))</f>
        <v/>
      </c>
      <c r="R659" s="16">
        <f>IF(OR($C659="",$Q659=0),"",IF($G659="國","國定假日",IF($B659="日","例假",IF($B659="六","休息日","平日"))))</f>
        <v/>
      </c>
      <c r="S659" s="19" t="n"/>
    </row>
    <row r="660">
      <c r="A660" s="82">
        <f>IF(OR(助理班表!$A26="",7&gt;DAY(EOMONTH(DATE(設定!$C$2,設定!$D$2,1),0))),"",DATE(設定!$C$2,設定!$D$2,7))</f>
        <v/>
      </c>
      <c r="B660" s="16">
        <f>IF($A660="","",INDEX(設定!$O$6:$O$12,WEEKDAY($A660,1)))</f>
        <v/>
      </c>
      <c r="C660" s="16">
        <f>IF($A660="","",助理班表!$A26)</f>
        <v/>
      </c>
      <c r="D660" s="16">
        <f>IF($C660="","",助理班表!$B26)</f>
        <v/>
      </c>
      <c r="E660" s="16">
        <f>IF($C660="","",助理班表!$D26)</f>
        <v/>
      </c>
      <c r="F660" s="16">
        <f>IF($C660="","",助理班表!$C26)</f>
        <v/>
      </c>
      <c r="G660" s="16">
        <f>IF($C660="","",助理班表!K26)</f>
        <v/>
      </c>
      <c r="H660" s="83">
        <f>IF($G660="","",IFERROR(IF(INDEX(設定!$D$6:$D$21,MATCH($G660,設定!$B$6:$B$21,0))=0,"",INDEX(設定!$D$6:$D$21,MATCH($G660,設定!$B$6:$B$21,0))),""))</f>
        <v/>
      </c>
      <c r="I660" s="83">
        <f>IF($G660="","",IFERROR(IF(INDEX(設定!$E$6:$E$21,MATCH($G660,設定!$B$6:$B$21,0))=0,"",INDEX(設定!$E$6:$E$21,MATCH($G660,設定!$B$6:$B$21,0))),""))</f>
        <v/>
      </c>
      <c r="J660" s="83">
        <f>IFERROR(INDEX(打卡匯入!$C$3:$C$2002,MATCH($C660&amp;"|"&amp;DAY($A660),打卡匯入!$E$3:$E$2002,0)),"")</f>
        <v/>
      </c>
      <c r="K660" s="83">
        <f>IFERROR(INDEX(打卡匯入!$D$3:$D$2002,MATCH($C660&amp;"|"&amp;DAY($A660),打卡匯入!$E$3:$E$2002,0)),"")</f>
        <v/>
      </c>
      <c r="L660" s="84">
        <f>IF(OR($J660="",$K660=""),"",IFERROR(INDEX(設定!$F$6:$F$21,MATCH($G660,設定!$B$6:$B$21,0)),0))</f>
        <v/>
      </c>
      <c r="M660" s="85">
        <f>IF(OR($J660="",$K660=""),"",ROUND(($K660-$J660)*24-$L660/60,2))</f>
        <v/>
      </c>
      <c r="N660" s="16">
        <f>IF($C660="","",IF(AND(COUNTIF(設定!$B$15:$B$21,$G660)&gt;0,$J660&lt;&gt;""),"假日出勤",IF(AND(COUNTIF(設定!$B$6:$B$14,$G660)&gt;0,$J660=""),"未打卡",IF($J660="","",IF($O660&gt;0,"遲到",IF($P660&gt;0,"早退","正常"))))))</f>
        <v/>
      </c>
      <c r="O660" s="84">
        <f>IF(OR($C660="",$H660="",$J660=""),0,IF(ROUND(($J660-$H660)*1440,0)&gt;設定!$C$46,ROUND(($J660-$H660)*1440,0),0))</f>
        <v/>
      </c>
      <c r="P660" s="84">
        <f>IF(OR($C660="",$I660="",$K660=""),0,IF(ROUND(($I660-$K660)*1440,0)&gt;設定!$C$46,ROUND(($I660-$K660)*1440,0),0))</f>
        <v/>
      </c>
      <c r="Q660" s="85">
        <f>IF($M660="",0,IF(($M660-IFERROR(INDEX(設定!$G$6:$G$21,MATCH($G660,設定!$B$6:$B$21,0)),0))*60&gt;=設定!$C$44,ROUND(FLOOR(($M660-IFERROR(INDEX(設定!$G$6:$G$21,MATCH($G660,設定!$B$6:$B$21,0)),0))*60,設定!$C$45)/60,2),0))</f>
        <v/>
      </c>
      <c r="R660" s="16">
        <f>IF(OR($C660="",$Q660=0),"",IF($G660="國","國定假日",IF($B660="日","例假",IF($B660="六","休息日","平日"))))</f>
        <v/>
      </c>
      <c r="S660" s="19" t="n"/>
    </row>
    <row r="661">
      <c r="A661" s="82">
        <f>IF(OR(助理班表!$A26="",8&gt;DAY(EOMONTH(DATE(設定!$C$2,設定!$D$2,1),0))),"",DATE(設定!$C$2,設定!$D$2,8))</f>
        <v/>
      </c>
      <c r="B661" s="16">
        <f>IF($A661="","",INDEX(設定!$O$6:$O$12,WEEKDAY($A661,1)))</f>
        <v/>
      </c>
      <c r="C661" s="16">
        <f>IF($A661="","",助理班表!$A26)</f>
        <v/>
      </c>
      <c r="D661" s="16">
        <f>IF($C661="","",助理班表!$B26)</f>
        <v/>
      </c>
      <c r="E661" s="16">
        <f>IF($C661="","",助理班表!$D26)</f>
        <v/>
      </c>
      <c r="F661" s="16">
        <f>IF($C661="","",助理班表!$C26)</f>
        <v/>
      </c>
      <c r="G661" s="16">
        <f>IF($C661="","",助理班表!L26)</f>
        <v/>
      </c>
      <c r="H661" s="83">
        <f>IF($G661="","",IFERROR(IF(INDEX(設定!$D$6:$D$21,MATCH($G661,設定!$B$6:$B$21,0))=0,"",INDEX(設定!$D$6:$D$21,MATCH($G661,設定!$B$6:$B$21,0))),""))</f>
        <v/>
      </c>
      <c r="I661" s="83">
        <f>IF($G661="","",IFERROR(IF(INDEX(設定!$E$6:$E$21,MATCH($G661,設定!$B$6:$B$21,0))=0,"",INDEX(設定!$E$6:$E$21,MATCH($G661,設定!$B$6:$B$21,0))),""))</f>
        <v/>
      </c>
      <c r="J661" s="83">
        <f>IFERROR(INDEX(打卡匯入!$C$3:$C$2002,MATCH($C661&amp;"|"&amp;DAY($A661),打卡匯入!$E$3:$E$2002,0)),"")</f>
        <v/>
      </c>
      <c r="K661" s="83">
        <f>IFERROR(INDEX(打卡匯入!$D$3:$D$2002,MATCH($C661&amp;"|"&amp;DAY($A661),打卡匯入!$E$3:$E$2002,0)),"")</f>
        <v/>
      </c>
      <c r="L661" s="84">
        <f>IF(OR($J661="",$K661=""),"",IFERROR(INDEX(設定!$F$6:$F$21,MATCH($G661,設定!$B$6:$B$21,0)),0))</f>
        <v/>
      </c>
      <c r="M661" s="85">
        <f>IF(OR($J661="",$K661=""),"",ROUND(($K661-$J661)*24-$L661/60,2))</f>
        <v/>
      </c>
      <c r="N661" s="16">
        <f>IF($C661="","",IF(AND(COUNTIF(設定!$B$15:$B$21,$G661)&gt;0,$J661&lt;&gt;""),"假日出勤",IF(AND(COUNTIF(設定!$B$6:$B$14,$G661)&gt;0,$J661=""),"未打卡",IF($J661="","",IF($O661&gt;0,"遲到",IF($P661&gt;0,"早退","正常"))))))</f>
        <v/>
      </c>
      <c r="O661" s="84">
        <f>IF(OR($C661="",$H661="",$J661=""),0,IF(ROUND(($J661-$H661)*1440,0)&gt;設定!$C$46,ROUND(($J661-$H661)*1440,0),0))</f>
        <v/>
      </c>
      <c r="P661" s="84">
        <f>IF(OR($C661="",$I661="",$K661=""),0,IF(ROUND(($I661-$K661)*1440,0)&gt;設定!$C$46,ROUND(($I661-$K661)*1440,0),0))</f>
        <v/>
      </c>
      <c r="Q661" s="85">
        <f>IF($M661="",0,IF(($M661-IFERROR(INDEX(設定!$G$6:$G$21,MATCH($G661,設定!$B$6:$B$21,0)),0))*60&gt;=設定!$C$44,ROUND(FLOOR(($M661-IFERROR(INDEX(設定!$G$6:$G$21,MATCH($G661,設定!$B$6:$B$21,0)),0))*60,設定!$C$45)/60,2),0))</f>
        <v/>
      </c>
      <c r="R661" s="16">
        <f>IF(OR($C661="",$Q661=0),"",IF($G661="國","國定假日",IF($B661="日","例假",IF($B661="六","休息日","平日"))))</f>
        <v/>
      </c>
      <c r="S661" s="19" t="n"/>
    </row>
    <row r="662">
      <c r="A662" s="82">
        <f>IF(OR(助理班表!$A26="",9&gt;DAY(EOMONTH(DATE(設定!$C$2,設定!$D$2,1),0))),"",DATE(設定!$C$2,設定!$D$2,9))</f>
        <v/>
      </c>
      <c r="B662" s="16">
        <f>IF($A662="","",INDEX(設定!$O$6:$O$12,WEEKDAY($A662,1)))</f>
        <v/>
      </c>
      <c r="C662" s="16">
        <f>IF($A662="","",助理班表!$A26)</f>
        <v/>
      </c>
      <c r="D662" s="16">
        <f>IF($C662="","",助理班表!$B26)</f>
        <v/>
      </c>
      <c r="E662" s="16">
        <f>IF($C662="","",助理班表!$D26)</f>
        <v/>
      </c>
      <c r="F662" s="16">
        <f>IF($C662="","",助理班表!$C26)</f>
        <v/>
      </c>
      <c r="G662" s="16">
        <f>IF($C662="","",助理班表!M26)</f>
        <v/>
      </c>
      <c r="H662" s="83">
        <f>IF($G662="","",IFERROR(IF(INDEX(設定!$D$6:$D$21,MATCH($G662,設定!$B$6:$B$21,0))=0,"",INDEX(設定!$D$6:$D$21,MATCH($G662,設定!$B$6:$B$21,0))),""))</f>
        <v/>
      </c>
      <c r="I662" s="83">
        <f>IF($G662="","",IFERROR(IF(INDEX(設定!$E$6:$E$21,MATCH($G662,設定!$B$6:$B$21,0))=0,"",INDEX(設定!$E$6:$E$21,MATCH($G662,設定!$B$6:$B$21,0))),""))</f>
        <v/>
      </c>
      <c r="J662" s="83">
        <f>IFERROR(INDEX(打卡匯入!$C$3:$C$2002,MATCH($C662&amp;"|"&amp;DAY($A662),打卡匯入!$E$3:$E$2002,0)),"")</f>
        <v/>
      </c>
      <c r="K662" s="83">
        <f>IFERROR(INDEX(打卡匯入!$D$3:$D$2002,MATCH($C662&amp;"|"&amp;DAY($A662),打卡匯入!$E$3:$E$2002,0)),"")</f>
        <v/>
      </c>
      <c r="L662" s="84">
        <f>IF(OR($J662="",$K662=""),"",IFERROR(INDEX(設定!$F$6:$F$21,MATCH($G662,設定!$B$6:$B$21,0)),0))</f>
        <v/>
      </c>
      <c r="M662" s="85">
        <f>IF(OR($J662="",$K662=""),"",ROUND(($K662-$J662)*24-$L662/60,2))</f>
        <v/>
      </c>
      <c r="N662" s="16">
        <f>IF($C662="","",IF(AND(COUNTIF(設定!$B$15:$B$21,$G662)&gt;0,$J662&lt;&gt;""),"假日出勤",IF(AND(COUNTIF(設定!$B$6:$B$14,$G662)&gt;0,$J662=""),"未打卡",IF($J662="","",IF($O662&gt;0,"遲到",IF($P662&gt;0,"早退","正常"))))))</f>
        <v/>
      </c>
      <c r="O662" s="84">
        <f>IF(OR($C662="",$H662="",$J662=""),0,IF(ROUND(($J662-$H662)*1440,0)&gt;設定!$C$46,ROUND(($J662-$H662)*1440,0),0))</f>
        <v/>
      </c>
      <c r="P662" s="84">
        <f>IF(OR($C662="",$I662="",$K662=""),0,IF(ROUND(($I662-$K662)*1440,0)&gt;設定!$C$46,ROUND(($I662-$K662)*1440,0),0))</f>
        <v/>
      </c>
      <c r="Q662" s="85">
        <f>IF($M662="",0,IF(($M662-IFERROR(INDEX(設定!$G$6:$G$21,MATCH($G662,設定!$B$6:$B$21,0)),0))*60&gt;=設定!$C$44,ROUND(FLOOR(($M662-IFERROR(INDEX(設定!$G$6:$G$21,MATCH($G662,設定!$B$6:$B$21,0)),0))*60,設定!$C$45)/60,2),0))</f>
        <v/>
      </c>
      <c r="R662" s="16">
        <f>IF(OR($C662="",$Q662=0),"",IF($G662="國","國定假日",IF($B662="日","例假",IF($B662="六","休息日","平日"))))</f>
        <v/>
      </c>
      <c r="S662" s="19" t="n"/>
    </row>
    <row r="663">
      <c r="A663" s="82">
        <f>IF(OR(助理班表!$A26="",10&gt;DAY(EOMONTH(DATE(設定!$C$2,設定!$D$2,1),0))),"",DATE(設定!$C$2,設定!$D$2,10))</f>
        <v/>
      </c>
      <c r="B663" s="16">
        <f>IF($A663="","",INDEX(設定!$O$6:$O$12,WEEKDAY($A663,1)))</f>
        <v/>
      </c>
      <c r="C663" s="16">
        <f>IF($A663="","",助理班表!$A26)</f>
        <v/>
      </c>
      <c r="D663" s="16">
        <f>IF($C663="","",助理班表!$B26)</f>
        <v/>
      </c>
      <c r="E663" s="16">
        <f>IF($C663="","",助理班表!$D26)</f>
        <v/>
      </c>
      <c r="F663" s="16">
        <f>IF($C663="","",助理班表!$C26)</f>
        <v/>
      </c>
      <c r="G663" s="16">
        <f>IF($C663="","",助理班表!N26)</f>
        <v/>
      </c>
      <c r="H663" s="83">
        <f>IF($G663="","",IFERROR(IF(INDEX(設定!$D$6:$D$21,MATCH($G663,設定!$B$6:$B$21,0))=0,"",INDEX(設定!$D$6:$D$21,MATCH($G663,設定!$B$6:$B$21,0))),""))</f>
        <v/>
      </c>
      <c r="I663" s="83">
        <f>IF($G663="","",IFERROR(IF(INDEX(設定!$E$6:$E$21,MATCH($G663,設定!$B$6:$B$21,0))=0,"",INDEX(設定!$E$6:$E$21,MATCH($G663,設定!$B$6:$B$21,0))),""))</f>
        <v/>
      </c>
      <c r="J663" s="83">
        <f>IFERROR(INDEX(打卡匯入!$C$3:$C$2002,MATCH($C663&amp;"|"&amp;DAY($A663),打卡匯入!$E$3:$E$2002,0)),"")</f>
        <v/>
      </c>
      <c r="K663" s="83">
        <f>IFERROR(INDEX(打卡匯入!$D$3:$D$2002,MATCH($C663&amp;"|"&amp;DAY($A663),打卡匯入!$E$3:$E$2002,0)),"")</f>
        <v/>
      </c>
      <c r="L663" s="84">
        <f>IF(OR($J663="",$K663=""),"",IFERROR(INDEX(設定!$F$6:$F$21,MATCH($G663,設定!$B$6:$B$21,0)),0))</f>
        <v/>
      </c>
      <c r="M663" s="85">
        <f>IF(OR($J663="",$K663=""),"",ROUND(($K663-$J663)*24-$L663/60,2))</f>
        <v/>
      </c>
      <c r="N663" s="16">
        <f>IF($C663="","",IF(AND(COUNTIF(設定!$B$15:$B$21,$G663)&gt;0,$J663&lt;&gt;""),"假日出勤",IF(AND(COUNTIF(設定!$B$6:$B$14,$G663)&gt;0,$J663=""),"未打卡",IF($J663="","",IF($O663&gt;0,"遲到",IF($P663&gt;0,"早退","正常"))))))</f>
        <v/>
      </c>
      <c r="O663" s="84">
        <f>IF(OR($C663="",$H663="",$J663=""),0,IF(ROUND(($J663-$H663)*1440,0)&gt;設定!$C$46,ROUND(($J663-$H663)*1440,0),0))</f>
        <v/>
      </c>
      <c r="P663" s="84">
        <f>IF(OR($C663="",$I663="",$K663=""),0,IF(ROUND(($I663-$K663)*1440,0)&gt;設定!$C$46,ROUND(($I663-$K663)*1440,0),0))</f>
        <v/>
      </c>
      <c r="Q663" s="85">
        <f>IF($M663="",0,IF(($M663-IFERROR(INDEX(設定!$G$6:$G$21,MATCH($G663,設定!$B$6:$B$21,0)),0))*60&gt;=設定!$C$44,ROUND(FLOOR(($M663-IFERROR(INDEX(設定!$G$6:$G$21,MATCH($G663,設定!$B$6:$B$21,0)),0))*60,設定!$C$45)/60,2),0))</f>
        <v/>
      </c>
      <c r="R663" s="16">
        <f>IF(OR($C663="",$Q663=0),"",IF($G663="國","國定假日",IF($B663="日","例假",IF($B663="六","休息日","平日"))))</f>
        <v/>
      </c>
      <c r="S663" s="19" t="n"/>
    </row>
    <row r="664">
      <c r="A664" s="82">
        <f>IF(OR(助理班表!$A26="",11&gt;DAY(EOMONTH(DATE(設定!$C$2,設定!$D$2,1),0))),"",DATE(設定!$C$2,設定!$D$2,11))</f>
        <v/>
      </c>
      <c r="B664" s="16">
        <f>IF($A664="","",INDEX(設定!$O$6:$O$12,WEEKDAY($A664,1)))</f>
        <v/>
      </c>
      <c r="C664" s="16">
        <f>IF($A664="","",助理班表!$A26)</f>
        <v/>
      </c>
      <c r="D664" s="16">
        <f>IF($C664="","",助理班表!$B26)</f>
        <v/>
      </c>
      <c r="E664" s="16">
        <f>IF($C664="","",助理班表!$D26)</f>
        <v/>
      </c>
      <c r="F664" s="16">
        <f>IF($C664="","",助理班表!$C26)</f>
        <v/>
      </c>
      <c r="G664" s="16">
        <f>IF($C664="","",助理班表!O26)</f>
        <v/>
      </c>
      <c r="H664" s="83">
        <f>IF($G664="","",IFERROR(IF(INDEX(設定!$D$6:$D$21,MATCH($G664,設定!$B$6:$B$21,0))=0,"",INDEX(設定!$D$6:$D$21,MATCH($G664,設定!$B$6:$B$21,0))),""))</f>
        <v/>
      </c>
      <c r="I664" s="83">
        <f>IF($G664="","",IFERROR(IF(INDEX(設定!$E$6:$E$21,MATCH($G664,設定!$B$6:$B$21,0))=0,"",INDEX(設定!$E$6:$E$21,MATCH($G664,設定!$B$6:$B$21,0))),""))</f>
        <v/>
      </c>
      <c r="J664" s="83">
        <f>IFERROR(INDEX(打卡匯入!$C$3:$C$2002,MATCH($C664&amp;"|"&amp;DAY($A664),打卡匯入!$E$3:$E$2002,0)),"")</f>
        <v/>
      </c>
      <c r="K664" s="83">
        <f>IFERROR(INDEX(打卡匯入!$D$3:$D$2002,MATCH($C664&amp;"|"&amp;DAY($A664),打卡匯入!$E$3:$E$2002,0)),"")</f>
        <v/>
      </c>
      <c r="L664" s="84">
        <f>IF(OR($J664="",$K664=""),"",IFERROR(INDEX(設定!$F$6:$F$21,MATCH($G664,設定!$B$6:$B$21,0)),0))</f>
        <v/>
      </c>
      <c r="M664" s="85">
        <f>IF(OR($J664="",$K664=""),"",ROUND(($K664-$J664)*24-$L664/60,2))</f>
        <v/>
      </c>
      <c r="N664" s="16">
        <f>IF($C664="","",IF(AND(COUNTIF(設定!$B$15:$B$21,$G664)&gt;0,$J664&lt;&gt;""),"假日出勤",IF(AND(COUNTIF(設定!$B$6:$B$14,$G664)&gt;0,$J664=""),"未打卡",IF($J664="","",IF($O664&gt;0,"遲到",IF($P664&gt;0,"早退","正常"))))))</f>
        <v/>
      </c>
      <c r="O664" s="84">
        <f>IF(OR($C664="",$H664="",$J664=""),0,IF(ROUND(($J664-$H664)*1440,0)&gt;設定!$C$46,ROUND(($J664-$H664)*1440,0),0))</f>
        <v/>
      </c>
      <c r="P664" s="84">
        <f>IF(OR($C664="",$I664="",$K664=""),0,IF(ROUND(($I664-$K664)*1440,0)&gt;設定!$C$46,ROUND(($I664-$K664)*1440,0),0))</f>
        <v/>
      </c>
      <c r="Q664" s="85">
        <f>IF($M664="",0,IF(($M664-IFERROR(INDEX(設定!$G$6:$G$21,MATCH($G664,設定!$B$6:$B$21,0)),0))*60&gt;=設定!$C$44,ROUND(FLOOR(($M664-IFERROR(INDEX(設定!$G$6:$G$21,MATCH($G664,設定!$B$6:$B$21,0)),0))*60,設定!$C$45)/60,2),0))</f>
        <v/>
      </c>
      <c r="R664" s="16">
        <f>IF(OR($C664="",$Q664=0),"",IF($G664="國","國定假日",IF($B664="日","例假",IF($B664="六","休息日","平日"))))</f>
        <v/>
      </c>
      <c r="S664" s="19" t="n"/>
    </row>
    <row r="665">
      <c r="A665" s="82">
        <f>IF(OR(助理班表!$A26="",12&gt;DAY(EOMONTH(DATE(設定!$C$2,設定!$D$2,1),0))),"",DATE(設定!$C$2,設定!$D$2,12))</f>
        <v/>
      </c>
      <c r="B665" s="16">
        <f>IF($A665="","",INDEX(設定!$O$6:$O$12,WEEKDAY($A665,1)))</f>
        <v/>
      </c>
      <c r="C665" s="16">
        <f>IF($A665="","",助理班表!$A26)</f>
        <v/>
      </c>
      <c r="D665" s="16">
        <f>IF($C665="","",助理班表!$B26)</f>
        <v/>
      </c>
      <c r="E665" s="16">
        <f>IF($C665="","",助理班表!$D26)</f>
        <v/>
      </c>
      <c r="F665" s="16">
        <f>IF($C665="","",助理班表!$C26)</f>
        <v/>
      </c>
      <c r="G665" s="16">
        <f>IF($C665="","",助理班表!P26)</f>
        <v/>
      </c>
      <c r="H665" s="83">
        <f>IF($G665="","",IFERROR(IF(INDEX(設定!$D$6:$D$21,MATCH($G665,設定!$B$6:$B$21,0))=0,"",INDEX(設定!$D$6:$D$21,MATCH($G665,設定!$B$6:$B$21,0))),""))</f>
        <v/>
      </c>
      <c r="I665" s="83">
        <f>IF($G665="","",IFERROR(IF(INDEX(設定!$E$6:$E$21,MATCH($G665,設定!$B$6:$B$21,0))=0,"",INDEX(設定!$E$6:$E$21,MATCH($G665,設定!$B$6:$B$21,0))),""))</f>
        <v/>
      </c>
      <c r="J665" s="83">
        <f>IFERROR(INDEX(打卡匯入!$C$3:$C$2002,MATCH($C665&amp;"|"&amp;DAY($A665),打卡匯入!$E$3:$E$2002,0)),"")</f>
        <v/>
      </c>
      <c r="K665" s="83">
        <f>IFERROR(INDEX(打卡匯入!$D$3:$D$2002,MATCH($C665&amp;"|"&amp;DAY($A665),打卡匯入!$E$3:$E$2002,0)),"")</f>
        <v/>
      </c>
      <c r="L665" s="84">
        <f>IF(OR($J665="",$K665=""),"",IFERROR(INDEX(設定!$F$6:$F$21,MATCH($G665,設定!$B$6:$B$21,0)),0))</f>
        <v/>
      </c>
      <c r="M665" s="85">
        <f>IF(OR($J665="",$K665=""),"",ROUND(($K665-$J665)*24-$L665/60,2))</f>
        <v/>
      </c>
      <c r="N665" s="16">
        <f>IF($C665="","",IF(AND(COUNTIF(設定!$B$15:$B$21,$G665)&gt;0,$J665&lt;&gt;""),"假日出勤",IF(AND(COUNTIF(設定!$B$6:$B$14,$G665)&gt;0,$J665=""),"未打卡",IF($J665="","",IF($O665&gt;0,"遲到",IF($P665&gt;0,"早退","正常"))))))</f>
        <v/>
      </c>
      <c r="O665" s="84">
        <f>IF(OR($C665="",$H665="",$J665=""),0,IF(ROUND(($J665-$H665)*1440,0)&gt;設定!$C$46,ROUND(($J665-$H665)*1440,0),0))</f>
        <v/>
      </c>
      <c r="P665" s="84">
        <f>IF(OR($C665="",$I665="",$K665=""),0,IF(ROUND(($I665-$K665)*1440,0)&gt;設定!$C$46,ROUND(($I665-$K665)*1440,0),0))</f>
        <v/>
      </c>
      <c r="Q665" s="85">
        <f>IF($M665="",0,IF(($M665-IFERROR(INDEX(設定!$G$6:$G$21,MATCH($G665,設定!$B$6:$B$21,0)),0))*60&gt;=設定!$C$44,ROUND(FLOOR(($M665-IFERROR(INDEX(設定!$G$6:$G$21,MATCH($G665,設定!$B$6:$B$21,0)),0))*60,設定!$C$45)/60,2),0))</f>
        <v/>
      </c>
      <c r="R665" s="16">
        <f>IF(OR($C665="",$Q665=0),"",IF($G665="國","國定假日",IF($B665="日","例假",IF($B665="六","休息日","平日"))))</f>
        <v/>
      </c>
      <c r="S665" s="19" t="n"/>
    </row>
    <row r="666">
      <c r="A666" s="82">
        <f>IF(OR(助理班表!$A26="",13&gt;DAY(EOMONTH(DATE(設定!$C$2,設定!$D$2,1),0))),"",DATE(設定!$C$2,設定!$D$2,13))</f>
        <v/>
      </c>
      <c r="B666" s="16">
        <f>IF($A666="","",INDEX(設定!$O$6:$O$12,WEEKDAY($A666,1)))</f>
        <v/>
      </c>
      <c r="C666" s="16">
        <f>IF($A666="","",助理班表!$A26)</f>
        <v/>
      </c>
      <c r="D666" s="16">
        <f>IF($C666="","",助理班表!$B26)</f>
        <v/>
      </c>
      <c r="E666" s="16">
        <f>IF($C666="","",助理班表!$D26)</f>
        <v/>
      </c>
      <c r="F666" s="16">
        <f>IF($C666="","",助理班表!$C26)</f>
        <v/>
      </c>
      <c r="G666" s="16">
        <f>IF($C666="","",助理班表!Q26)</f>
        <v/>
      </c>
      <c r="H666" s="83">
        <f>IF($G666="","",IFERROR(IF(INDEX(設定!$D$6:$D$21,MATCH($G666,設定!$B$6:$B$21,0))=0,"",INDEX(設定!$D$6:$D$21,MATCH($G666,設定!$B$6:$B$21,0))),""))</f>
        <v/>
      </c>
      <c r="I666" s="83">
        <f>IF($G666="","",IFERROR(IF(INDEX(設定!$E$6:$E$21,MATCH($G666,設定!$B$6:$B$21,0))=0,"",INDEX(設定!$E$6:$E$21,MATCH($G666,設定!$B$6:$B$21,0))),""))</f>
        <v/>
      </c>
      <c r="J666" s="83">
        <f>IFERROR(INDEX(打卡匯入!$C$3:$C$2002,MATCH($C666&amp;"|"&amp;DAY($A666),打卡匯入!$E$3:$E$2002,0)),"")</f>
        <v/>
      </c>
      <c r="K666" s="83">
        <f>IFERROR(INDEX(打卡匯入!$D$3:$D$2002,MATCH($C666&amp;"|"&amp;DAY($A666),打卡匯入!$E$3:$E$2002,0)),"")</f>
        <v/>
      </c>
      <c r="L666" s="84">
        <f>IF(OR($J666="",$K666=""),"",IFERROR(INDEX(設定!$F$6:$F$21,MATCH($G666,設定!$B$6:$B$21,0)),0))</f>
        <v/>
      </c>
      <c r="M666" s="85">
        <f>IF(OR($J666="",$K666=""),"",ROUND(($K666-$J666)*24-$L666/60,2))</f>
        <v/>
      </c>
      <c r="N666" s="16">
        <f>IF($C666="","",IF(AND(COUNTIF(設定!$B$15:$B$21,$G666)&gt;0,$J666&lt;&gt;""),"假日出勤",IF(AND(COUNTIF(設定!$B$6:$B$14,$G666)&gt;0,$J666=""),"未打卡",IF($J666="","",IF($O666&gt;0,"遲到",IF($P666&gt;0,"早退","正常"))))))</f>
        <v/>
      </c>
      <c r="O666" s="84">
        <f>IF(OR($C666="",$H666="",$J666=""),0,IF(ROUND(($J666-$H666)*1440,0)&gt;設定!$C$46,ROUND(($J666-$H666)*1440,0),0))</f>
        <v/>
      </c>
      <c r="P666" s="84">
        <f>IF(OR($C666="",$I666="",$K666=""),0,IF(ROUND(($I666-$K666)*1440,0)&gt;設定!$C$46,ROUND(($I666-$K666)*1440,0),0))</f>
        <v/>
      </c>
      <c r="Q666" s="85">
        <f>IF($M666="",0,IF(($M666-IFERROR(INDEX(設定!$G$6:$G$21,MATCH($G666,設定!$B$6:$B$21,0)),0))*60&gt;=設定!$C$44,ROUND(FLOOR(($M666-IFERROR(INDEX(設定!$G$6:$G$21,MATCH($G666,設定!$B$6:$B$21,0)),0))*60,設定!$C$45)/60,2),0))</f>
        <v/>
      </c>
      <c r="R666" s="16">
        <f>IF(OR($C666="",$Q666=0),"",IF($G666="國","國定假日",IF($B666="日","例假",IF($B666="六","休息日","平日"))))</f>
        <v/>
      </c>
      <c r="S666" s="19" t="n"/>
    </row>
    <row r="667">
      <c r="A667" s="82">
        <f>IF(OR(助理班表!$A26="",14&gt;DAY(EOMONTH(DATE(設定!$C$2,設定!$D$2,1),0))),"",DATE(設定!$C$2,設定!$D$2,14))</f>
        <v/>
      </c>
      <c r="B667" s="16">
        <f>IF($A667="","",INDEX(設定!$O$6:$O$12,WEEKDAY($A667,1)))</f>
        <v/>
      </c>
      <c r="C667" s="16">
        <f>IF($A667="","",助理班表!$A26)</f>
        <v/>
      </c>
      <c r="D667" s="16">
        <f>IF($C667="","",助理班表!$B26)</f>
        <v/>
      </c>
      <c r="E667" s="16">
        <f>IF($C667="","",助理班表!$D26)</f>
        <v/>
      </c>
      <c r="F667" s="16">
        <f>IF($C667="","",助理班表!$C26)</f>
        <v/>
      </c>
      <c r="G667" s="16">
        <f>IF($C667="","",助理班表!R26)</f>
        <v/>
      </c>
      <c r="H667" s="83">
        <f>IF($G667="","",IFERROR(IF(INDEX(設定!$D$6:$D$21,MATCH($G667,設定!$B$6:$B$21,0))=0,"",INDEX(設定!$D$6:$D$21,MATCH($G667,設定!$B$6:$B$21,0))),""))</f>
        <v/>
      </c>
      <c r="I667" s="83">
        <f>IF($G667="","",IFERROR(IF(INDEX(設定!$E$6:$E$21,MATCH($G667,設定!$B$6:$B$21,0))=0,"",INDEX(設定!$E$6:$E$21,MATCH($G667,設定!$B$6:$B$21,0))),""))</f>
        <v/>
      </c>
      <c r="J667" s="83">
        <f>IFERROR(INDEX(打卡匯入!$C$3:$C$2002,MATCH($C667&amp;"|"&amp;DAY($A667),打卡匯入!$E$3:$E$2002,0)),"")</f>
        <v/>
      </c>
      <c r="K667" s="83">
        <f>IFERROR(INDEX(打卡匯入!$D$3:$D$2002,MATCH($C667&amp;"|"&amp;DAY($A667),打卡匯入!$E$3:$E$2002,0)),"")</f>
        <v/>
      </c>
      <c r="L667" s="84">
        <f>IF(OR($J667="",$K667=""),"",IFERROR(INDEX(設定!$F$6:$F$21,MATCH($G667,設定!$B$6:$B$21,0)),0))</f>
        <v/>
      </c>
      <c r="M667" s="85">
        <f>IF(OR($J667="",$K667=""),"",ROUND(($K667-$J667)*24-$L667/60,2))</f>
        <v/>
      </c>
      <c r="N667" s="16">
        <f>IF($C667="","",IF(AND(COUNTIF(設定!$B$15:$B$21,$G667)&gt;0,$J667&lt;&gt;""),"假日出勤",IF(AND(COUNTIF(設定!$B$6:$B$14,$G667)&gt;0,$J667=""),"未打卡",IF($J667="","",IF($O667&gt;0,"遲到",IF($P667&gt;0,"早退","正常"))))))</f>
        <v/>
      </c>
      <c r="O667" s="84">
        <f>IF(OR($C667="",$H667="",$J667=""),0,IF(ROUND(($J667-$H667)*1440,0)&gt;設定!$C$46,ROUND(($J667-$H667)*1440,0),0))</f>
        <v/>
      </c>
      <c r="P667" s="84">
        <f>IF(OR($C667="",$I667="",$K667=""),0,IF(ROUND(($I667-$K667)*1440,0)&gt;設定!$C$46,ROUND(($I667-$K667)*1440,0),0))</f>
        <v/>
      </c>
      <c r="Q667" s="85">
        <f>IF($M667="",0,IF(($M667-IFERROR(INDEX(設定!$G$6:$G$21,MATCH($G667,設定!$B$6:$B$21,0)),0))*60&gt;=設定!$C$44,ROUND(FLOOR(($M667-IFERROR(INDEX(設定!$G$6:$G$21,MATCH($G667,設定!$B$6:$B$21,0)),0))*60,設定!$C$45)/60,2),0))</f>
        <v/>
      </c>
      <c r="R667" s="16">
        <f>IF(OR($C667="",$Q667=0),"",IF($G667="國","國定假日",IF($B667="日","例假",IF($B667="六","休息日","平日"))))</f>
        <v/>
      </c>
      <c r="S667" s="19" t="n"/>
    </row>
    <row r="668">
      <c r="A668" s="82">
        <f>IF(OR(助理班表!$A26="",15&gt;DAY(EOMONTH(DATE(設定!$C$2,設定!$D$2,1),0))),"",DATE(設定!$C$2,設定!$D$2,15))</f>
        <v/>
      </c>
      <c r="B668" s="16">
        <f>IF($A668="","",INDEX(設定!$O$6:$O$12,WEEKDAY($A668,1)))</f>
        <v/>
      </c>
      <c r="C668" s="16">
        <f>IF($A668="","",助理班表!$A26)</f>
        <v/>
      </c>
      <c r="D668" s="16">
        <f>IF($C668="","",助理班表!$B26)</f>
        <v/>
      </c>
      <c r="E668" s="16">
        <f>IF($C668="","",助理班表!$D26)</f>
        <v/>
      </c>
      <c r="F668" s="16">
        <f>IF($C668="","",助理班表!$C26)</f>
        <v/>
      </c>
      <c r="G668" s="16">
        <f>IF($C668="","",助理班表!S26)</f>
        <v/>
      </c>
      <c r="H668" s="83">
        <f>IF($G668="","",IFERROR(IF(INDEX(設定!$D$6:$D$21,MATCH($G668,設定!$B$6:$B$21,0))=0,"",INDEX(設定!$D$6:$D$21,MATCH($G668,設定!$B$6:$B$21,0))),""))</f>
        <v/>
      </c>
      <c r="I668" s="83">
        <f>IF($G668="","",IFERROR(IF(INDEX(設定!$E$6:$E$21,MATCH($G668,設定!$B$6:$B$21,0))=0,"",INDEX(設定!$E$6:$E$21,MATCH($G668,設定!$B$6:$B$21,0))),""))</f>
        <v/>
      </c>
      <c r="J668" s="83">
        <f>IFERROR(INDEX(打卡匯入!$C$3:$C$2002,MATCH($C668&amp;"|"&amp;DAY($A668),打卡匯入!$E$3:$E$2002,0)),"")</f>
        <v/>
      </c>
      <c r="K668" s="83">
        <f>IFERROR(INDEX(打卡匯入!$D$3:$D$2002,MATCH($C668&amp;"|"&amp;DAY($A668),打卡匯入!$E$3:$E$2002,0)),"")</f>
        <v/>
      </c>
      <c r="L668" s="84">
        <f>IF(OR($J668="",$K668=""),"",IFERROR(INDEX(設定!$F$6:$F$21,MATCH($G668,設定!$B$6:$B$21,0)),0))</f>
        <v/>
      </c>
      <c r="M668" s="85">
        <f>IF(OR($J668="",$K668=""),"",ROUND(($K668-$J668)*24-$L668/60,2))</f>
        <v/>
      </c>
      <c r="N668" s="16">
        <f>IF($C668="","",IF(AND(COUNTIF(設定!$B$15:$B$21,$G668)&gt;0,$J668&lt;&gt;""),"假日出勤",IF(AND(COUNTIF(設定!$B$6:$B$14,$G668)&gt;0,$J668=""),"未打卡",IF($J668="","",IF($O668&gt;0,"遲到",IF($P668&gt;0,"早退","正常"))))))</f>
        <v/>
      </c>
      <c r="O668" s="84">
        <f>IF(OR($C668="",$H668="",$J668=""),0,IF(ROUND(($J668-$H668)*1440,0)&gt;設定!$C$46,ROUND(($J668-$H668)*1440,0),0))</f>
        <v/>
      </c>
      <c r="P668" s="84">
        <f>IF(OR($C668="",$I668="",$K668=""),0,IF(ROUND(($I668-$K668)*1440,0)&gt;設定!$C$46,ROUND(($I668-$K668)*1440,0),0))</f>
        <v/>
      </c>
      <c r="Q668" s="85">
        <f>IF($M668="",0,IF(($M668-IFERROR(INDEX(設定!$G$6:$G$21,MATCH($G668,設定!$B$6:$B$21,0)),0))*60&gt;=設定!$C$44,ROUND(FLOOR(($M668-IFERROR(INDEX(設定!$G$6:$G$21,MATCH($G668,設定!$B$6:$B$21,0)),0))*60,設定!$C$45)/60,2),0))</f>
        <v/>
      </c>
      <c r="R668" s="16">
        <f>IF(OR($C668="",$Q668=0),"",IF($G668="國","國定假日",IF($B668="日","例假",IF($B668="六","休息日","平日"))))</f>
        <v/>
      </c>
      <c r="S668" s="19" t="n"/>
    </row>
    <row r="669">
      <c r="A669" s="82">
        <f>IF(OR(助理班表!$A26="",16&gt;DAY(EOMONTH(DATE(設定!$C$2,設定!$D$2,1),0))),"",DATE(設定!$C$2,設定!$D$2,16))</f>
        <v/>
      </c>
      <c r="B669" s="16">
        <f>IF($A669="","",INDEX(設定!$O$6:$O$12,WEEKDAY($A669,1)))</f>
        <v/>
      </c>
      <c r="C669" s="16">
        <f>IF($A669="","",助理班表!$A26)</f>
        <v/>
      </c>
      <c r="D669" s="16">
        <f>IF($C669="","",助理班表!$B26)</f>
        <v/>
      </c>
      <c r="E669" s="16">
        <f>IF($C669="","",助理班表!$D26)</f>
        <v/>
      </c>
      <c r="F669" s="16">
        <f>IF($C669="","",助理班表!$C26)</f>
        <v/>
      </c>
      <c r="G669" s="16">
        <f>IF($C669="","",助理班表!T26)</f>
        <v/>
      </c>
      <c r="H669" s="83">
        <f>IF($G669="","",IFERROR(IF(INDEX(設定!$D$6:$D$21,MATCH($G669,設定!$B$6:$B$21,0))=0,"",INDEX(設定!$D$6:$D$21,MATCH($G669,設定!$B$6:$B$21,0))),""))</f>
        <v/>
      </c>
      <c r="I669" s="83">
        <f>IF($G669="","",IFERROR(IF(INDEX(設定!$E$6:$E$21,MATCH($G669,設定!$B$6:$B$21,0))=0,"",INDEX(設定!$E$6:$E$21,MATCH($G669,設定!$B$6:$B$21,0))),""))</f>
        <v/>
      </c>
      <c r="J669" s="83">
        <f>IFERROR(INDEX(打卡匯入!$C$3:$C$2002,MATCH($C669&amp;"|"&amp;DAY($A669),打卡匯入!$E$3:$E$2002,0)),"")</f>
        <v/>
      </c>
      <c r="K669" s="83">
        <f>IFERROR(INDEX(打卡匯入!$D$3:$D$2002,MATCH($C669&amp;"|"&amp;DAY($A669),打卡匯入!$E$3:$E$2002,0)),"")</f>
        <v/>
      </c>
      <c r="L669" s="84">
        <f>IF(OR($J669="",$K669=""),"",IFERROR(INDEX(設定!$F$6:$F$21,MATCH($G669,設定!$B$6:$B$21,0)),0))</f>
        <v/>
      </c>
      <c r="M669" s="85">
        <f>IF(OR($J669="",$K669=""),"",ROUND(($K669-$J669)*24-$L669/60,2))</f>
        <v/>
      </c>
      <c r="N669" s="16">
        <f>IF($C669="","",IF(AND(COUNTIF(設定!$B$15:$B$21,$G669)&gt;0,$J669&lt;&gt;""),"假日出勤",IF(AND(COUNTIF(設定!$B$6:$B$14,$G669)&gt;0,$J669=""),"未打卡",IF($J669="","",IF($O669&gt;0,"遲到",IF($P669&gt;0,"早退","正常"))))))</f>
        <v/>
      </c>
      <c r="O669" s="84">
        <f>IF(OR($C669="",$H669="",$J669=""),0,IF(ROUND(($J669-$H669)*1440,0)&gt;設定!$C$46,ROUND(($J669-$H669)*1440,0),0))</f>
        <v/>
      </c>
      <c r="P669" s="84">
        <f>IF(OR($C669="",$I669="",$K669=""),0,IF(ROUND(($I669-$K669)*1440,0)&gt;設定!$C$46,ROUND(($I669-$K669)*1440,0),0))</f>
        <v/>
      </c>
      <c r="Q669" s="85">
        <f>IF($M669="",0,IF(($M669-IFERROR(INDEX(設定!$G$6:$G$21,MATCH($G669,設定!$B$6:$B$21,0)),0))*60&gt;=設定!$C$44,ROUND(FLOOR(($M669-IFERROR(INDEX(設定!$G$6:$G$21,MATCH($G669,設定!$B$6:$B$21,0)),0))*60,設定!$C$45)/60,2),0))</f>
        <v/>
      </c>
      <c r="R669" s="16">
        <f>IF(OR($C669="",$Q669=0),"",IF($G669="國","國定假日",IF($B669="日","例假",IF($B669="六","休息日","平日"))))</f>
        <v/>
      </c>
      <c r="S669" s="19" t="n"/>
    </row>
    <row r="670">
      <c r="A670" s="82">
        <f>IF(OR(助理班表!$A26="",17&gt;DAY(EOMONTH(DATE(設定!$C$2,設定!$D$2,1),0))),"",DATE(設定!$C$2,設定!$D$2,17))</f>
        <v/>
      </c>
      <c r="B670" s="16">
        <f>IF($A670="","",INDEX(設定!$O$6:$O$12,WEEKDAY($A670,1)))</f>
        <v/>
      </c>
      <c r="C670" s="16">
        <f>IF($A670="","",助理班表!$A26)</f>
        <v/>
      </c>
      <c r="D670" s="16">
        <f>IF($C670="","",助理班表!$B26)</f>
        <v/>
      </c>
      <c r="E670" s="16">
        <f>IF($C670="","",助理班表!$D26)</f>
        <v/>
      </c>
      <c r="F670" s="16">
        <f>IF($C670="","",助理班表!$C26)</f>
        <v/>
      </c>
      <c r="G670" s="16">
        <f>IF($C670="","",助理班表!U26)</f>
        <v/>
      </c>
      <c r="H670" s="83">
        <f>IF($G670="","",IFERROR(IF(INDEX(設定!$D$6:$D$21,MATCH($G670,設定!$B$6:$B$21,0))=0,"",INDEX(設定!$D$6:$D$21,MATCH($G670,設定!$B$6:$B$21,0))),""))</f>
        <v/>
      </c>
      <c r="I670" s="83">
        <f>IF($G670="","",IFERROR(IF(INDEX(設定!$E$6:$E$21,MATCH($G670,設定!$B$6:$B$21,0))=0,"",INDEX(設定!$E$6:$E$21,MATCH($G670,設定!$B$6:$B$21,0))),""))</f>
        <v/>
      </c>
      <c r="J670" s="83">
        <f>IFERROR(INDEX(打卡匯入!$C$3:$C$2002,MATCH($C670&amp;"|"&amp;DAY($A670),打卡匯入!$E$3:$E$2002,0)),"")</f>
        <v/>
      </c>
      <c r="K670" s="83">
        <f>IFERROR(INDEX(打卡匯入!$D$3:$D$2002,MATCH($C670&amp;"|"&amp;DAY($A670),打卡匯入!$E$3:$E$2002,0)),"")</f>
        <v/>
      </c>
      <c r="L670" s="84">
        <f>IF(OR($J670="",$K670=""),"",IFERROR(INDEX(設定!$F$6:$F$21,MATCH($G670,設定!$B$6:$B$21,0)),0))</f>
        <v/>
      </c>
      <c r="M670" s="85">
        <f>IF(OR($J670="",$K670=""),"",ROUND(($K670-$J670)*24-$L670/60,2))</f>
        <v/>
      </c>
      <c r="N670" s="16">
        <f>IF($C670="","",IF(AND(COUNTIF(設定!$B$15:$B$21,$G670)&gt;0,$J670&lt;&gt;""),"假日出勤",IF(AND(COUNTIF(設定!$B$6:$B$14,$G670)&gt;0,$J670=""),"未打卡",IF($J670="","",IF($O670&gt;0,"遲到",IF($P670&gt;0,"早退","正常"))))))</f>
        <v/>
      </c>
      <c r="O670" s="84">
        <f>IF(OR($C670="",$H670="",$J670=""),0,IF(ROUND(($J670-$H670)*1440,0)&gt;設定!$C$46,ROUND(($J670-$H670)*1440,0),0))</f>
        <v/>
      </c>
      <c r="P670" s="84">
        <f>IF(OR($C670="",$I670="",$K670=""),0,IF(ROUND(($I670-$K670)*1440,0)&gt;設定!$C$46,ROUND(($I670-$K670)*1440,0),0))</f>
        <v/>
      </c>
      <c r="Q670" s="85">
        <f>IF($M670="",0,IF(($M670-IFERROR(INDEX(設定!$G$6:$G$21,MATCH($G670,設定!$B$6:$B$21,0)),0))*60&gt;=設定!$C$44,ROUND(FLOOR(($M670-IFERROR(INDEX(設定!$G$6:$G$21,MATCH($G670,設定!$B$6:$B$21,0)),0))*60,設定!$C$45)/60,2),0))</f>
        <v/>
      </c>
      <c r="R670" s="16">
        <f>IF(OR($C670="",$Q670=0),"",IF($G670="國","國定假日",IF($B670="日","例假",IF($B670="六","休息日","平日"))))</f>
        <v/>
      </c>
      <c r="S670" s="19" t="n"/>
    </row>
    <row r="671">
      <c r="A671" s="82">
        <f>IF(OR(助理班表!$A26="",18&gt;DAY(EOMONTH(DATE(設定!$C$2,設定!$D$2,1),0))),"",DATE(設定!$C$2,設定!$D$2,18))</f>
        <v/>
      </c>
      <c r="B671" s="16">
        <f>IF($A671="","",INDEX(設定!$O$6:$O$12,WEEKDAY($A671,1)))</f>
        <v/>
      </c>
      <c r="C671" s="16">
        <f>IF($A671="","",助理班表!$A26)</f>
        <v/>
      </c>
      <c r="D671" s="16">
        <f>IF($C671="","",助理班表!$B26)</f>
        <v/>
      </c>
      <c r="E671" s="16">
        <f>IF($C671="","",助理班表!$D26)</f>
        <v/>
      </c>
      <c r="F671" s="16">
        <f>IF($C671="","",助理班表!$C26)</f>
        <v/>
      </c>
      <c r="G671" s="16">
        <f>IF($C671="","",助理班表!V26)</f>
        <v/>
      </c>
      <c r="H671" s="83">
        <f>IF($G671="","",IFERROR(IF(INDEX(設定!$D$6:$D$21,MATCH($G671,設定!$B$6:$B$21,0))=0,"",INDEX(設定!$D$6:$D$21,MATCH($G671,設定!$B$6:$B$21,0))),""))</f>
        <v/>
      </c>
      <c r="I671" s="83">
        <f>IF($G671="","",IFERROR(IF(INDEX(設定!$E$6:$E$21,MATCH($G671,設定!$B$6:$B$21,0))=0,"",INDEX(設定!$E$6:$E$21,MATCH($G671,設定!$B$6:$B$21,0))),""))</f>
        <v/>
      </c>
      <c r="J671" s="83">
        <f>IFERROR(INDEX(打卡匯入!$C$3:$C$2002,MATCH($C671&amp;"|"&amp;DAY($A671),打卡匯入!$E$3:$E$2002,0)),"")</f>
        <v/>
      </c>
      <c r="K671" s="83">
        <f>IFERROR(INDEX(打卡匯入!$D$3:$D$2002,MATCH($C671&amp;"|"&amp;DAY($A671),打卡匯入!$E$3:$E$2002,0)),"")</f>
        <v/>
      </c>
      <c r="L671" s="84">
        <f>IF(OR($J671="",$K671=""),"",IFERROR(INDEX(設定!$F$6:$F$21,MATCH($G671,設定!$B$6:$B$21,0)),0))</f>
        <v/>
      </c>
      <c r="M671" s="85">
        <f>IF(OR($J671="",$K671=""),"",ROUND(($K671-$J671)*24-$L671/60,2))</f>
        <v/>
      </c>
      <c r="N671" s="16">
        <f>IF($C671="","",IF(AND(COUNTIF(設定!$B$15:$B$21,$G671)&gt;0,$J671&lt;&gt;""),"假日出勤",IF(AND(COUNTIF(設定!$B$6:$B$14,$G671)&gt;0,$J671=""),"未打卡",IF($J671="","",IF($O671&gt;0,"遲到",IF($P671&gt;0,"早退","正常"))))))</f>
        <v/>
      </c>
      <c r="O671" s="84">
        <f>IF(OR($C671="",$H671="",$J671=""),0,IF(ROUND(($J671-$H671)*1440,0)&gt;設定!$C$46,ROUND(($J671-$H671)*1440,0),0))</f>
        <v/>
      </c>
      <c r="P671" s="84">
        <f>IF(OR($C671="",$I671="",$K671=""),0,IF(ROUND(($I671-$K671)*1440,0)&gt;設定!$C$46,ROUND(($I671-$K671)*1440,0),0))</f>
        <v/>
      </c>
      <c r="Q671" s="85">
        <f>IF($M671="",0,IF(($M671-IFERROR(INDEX(設定!$G$6:$G$21,MATCH($G671,設定!$B$6:$B$21,0)),0))*60&gt;=設定!$C$44,ROUND(FLOOR(($M671-IFERROR(INDEX(設定!$G$6:$G$21,MATCH($G671,設定!$B$6:$B$21,0)),0))*60,設定!$C$45)/60,2),0))</f>
        <v/>
      </c>
      <c r="R671" s="16">
        <f>IF(OR($C671="",$Q671=0),"",IF($G671="國","國定假日",IF($B671="日","例假",IF($B671="六","休息日","平日"))))</f>
        <v/>
      </c>
      <c r="S671" s="19" t="n"/>
    </row>
    <row r="672">
      <c r="A672" s="82">
        <f>IF(OR(助理班表!$A26="",19&gt;DAY(EOMONTH(DATE(設定!$C$2,設定!$D$2,1),0))),"",DATE(設定!$C$2,設定!$D$2,19))</f>
        <v/>
      </c>
      <c r="B672" s="16">
        <f>IF($A672="","",INDEX(設定!$O$6:$O$12,WEEKDAY($A672,1)))</f>
        <v/>
      </c>
      <c r="C672" s="16">
        <f>IF($A672="","",助理班表!$A26)</f>
        <v/>
      </c>
      <c r="D672" s="16">
        <f>IF($C672="","",助理班表!$B26)</f>
        <v/>
      </c>
      <c r="E672" s="16">
        <f>IF($C672="","",助理班表!$D26)</f>
        <v/>
      </c>
      <c r="F672" s="16">
        <f>IF($C672="","",助理班表!$C26)</f>
        <v/>
      </c>
      <c r="G672" s="16">
        <f>IF($C672="","",助理班表!W26)</f>
        <v/>
      </c>
      <c r="H672" s="83">
        <f>IF($G672="","",IFERROR(IF(INDEX(設定!$D$6:$D$21,MATCH($G672,設定!$B$6:$B$21,0))=0,"",INDEX(設定!$D$6:$D$21,MATCH($G672,設定!$B$6:$B$21,0))),""))</f>
        <v/>
      </c>
      <c r="I672" s="83">
        <f>IF($G672="","",IFERROR(IF(INDEX(設定!$E$6:$E$21,MATCH($G672,設定!$B$6:$B$21,0))=0,"",INDEX(設定!$E$6:$E$21,MATCH($G672,設定!$B$6:$B$21,0))),""))</f>
        <v/>
      </c>
      <c r="J672" s="83">
        <f>IFERROR(INDEX(打卡匯入!$C$3:$C$2002,MATCH($C672&amp;"|"&amp;DAY($A672),打卡匯入!$E$3:$E$2002,0)),"")</f>
        <v/>
      </c>
      <c r="K672" s="83">
        <f>IFERROR(INDEX(打卡匯入!$D$3:$D$2002,MATCH($C672&amp;"|"&amp;DAY($A672),打卡匯入!$E$3:$E$2002,0)),"")</f>
        <v/>
      </c>
      <c r="L672" s="84">
        <f>IF(OR($J672="",$K672=""),"",IFERROR(INDEX(設定!$F$6:$F$21,MATCH($G672,設定!$B$6:$B$21,0)),0))</f>
        <v/>
      </c>
      <c r="M672" s="85">
        <f>IF(OR($J672="",$K672=""),"",ROUND(($K672-$J672)*24-$L672/60,2))</f>
        <v/>
      </c>
      <c r="N672" s="16">
        <f>IF($C672="","",IF(AND(COUNTIF(設定!$B$15:$B$21,$G672)&gt;0,$J672&lt;&gt;""),"假日出勤",IF(AND(COUNTIF(設定!$B$6:$B$14,$G672)&gt;0,$J672=""),"未打卡",IF($J672="","",IF($O672&gt;0,"遲到",IF($P672&gt;0,"早退","正常"))))))</f>
        <v/>
      </c>
      <c r="O672" s="84">
        <f>IF(OR($C672="",$H672="",$J672=""),0,IF(ROUND(($J672-$H672)*1440,0)&gt;設定!$C$46,ROUND(($J672-$H672)*1440,0),0))</f>
        <v/>
      </c>
      <c r="P672" s="84">
        <f>IF(OR($C672="",$I672="",$K672=""),0,IF(ROUND(($I672-$K672)*1440,0)&gt;設定!$C$46,ROUND(($I672-$K672)*1440,0),0))</f>
        <v/>
      </c>
      <c r="Q672" s="85">
        <f>IF($M672="",0,IF(($M672-IFERROR(INDEX(設定!$G$6:$G$21,MATCH($G672,設定!$B$6:$B$21,0)),0))*60&gt;=設定!$C$44,ROUND(FLOOR(($M672-IFERROR(INDEX(設定!$G$6:$G$21,MATCH($G672,設定!$B$6:$B$21,0)),0))*60,設定!$C$45)/60,2),0))</f>
        <v/>
      </c>
      <c r="R672" s="16">
        <f>IF(OR($C672="",$Q672=0),"",IF($G672="國","國定假日",IF($B672="日","例假",IF($B672="六","休息日","平日"))))</f>
        <v/>
      </c>
      <c r="S672" s="19" t="n"/>
    </row>
    <row r="673">
      <c r="A673" s="82">
        <f>IF(OR(助理班表!$A26="",20&gt;DAY(EOMONTH(DATE(設定!$C$2,設定!$D$2,1),0))),"",DATE(設定!$C$2,設定!$D$2,20))</f>
        <v/>
      </c>
      <c r="B673" s="16">
        <f>IF($A673="","",INDEX(設定!$O$6:$O$12,WEEKDAY($A673,1)))</f>
        <v/>
      </c>
      <c r="C673" s="16">
        <f>IF($A673="","",助理班表!$A26)</f>
        <v/>
      </c>
      <c r="D673" s="16">
        <f>IF($C673="","",助理班表!$B26)</f>
        <v/>
      </c>
      <c r="E673" s="16">
        <f>IF($C673="","",助理班表!$D26)</f>
        <v/>
      </c>
      <c r="F673" s="16">
        <f>IF($C673="","",助理班表!$C26)</f>
        <v/>
      </c>
      <c r="G673" s="16">
        <f>IF($C673="","",助理班表!X26)</f>
        <v/>
      </c>
      <c r="H673" s="83">
        <f>IF($G673="","",IFERROR(IF(INDEX(設定!$D$6:$D$21,MATCH($G673,設定!$B$6:$B$21,0))=0,"",INDEX(設定!$D$6:$D$21,MATCH($G673,設定!$B$6:$B$21,0))),""))</f>
        <v/>
      </c>
      <c r="I673" s="83">
        <f>IF($G673="","",IFERROR(IF(INDEX(設定!$E$6:$E$21,MATCH($G673,設定!$B$6:$B$21,0))=0,"",INDEX(設定!$E$6:$E$21,MATCH($G673,設定!$B$6:$B$21,0))),""))</f>
        <v/>
      </c>
      <c r="J673" s="83">
        <f>IFERROR(INDEX(打卡匯入!$C$3:$C$2002,MATCH($C673&amp;"|"&amp;DAY($A673),打卡匯入!$E$3:$E$2002,0)),"")</f>
        <v/>
      </c>
      <c r="K673" s="83">
        <f>IFERROR(INDEX(打卡匯入!$D$3:$D$2002,MATCH($C673&amp;"|"&amp;DAY($A673),打卡匯入!$E$3:$E$2002,0)),"")</f>
        <v/>
      </c>
      <c r="L673" s="84">
        <f>IF(OR($J673="",$K673=""),"",IFERROR(INDEX(設定!$F$6:$F$21,MATCH($G673,設定!$B$6:$B$21,0)),0))</f>
        <v/>
      </c>
      <c r="M673" s="85">
        <f>IF(OR($J673="",$K673=""),"",ROUND(($K673-$J673)*24-$L673/60,2))</f>
        <v/>
      </c>
      <c r="N673" s="16">
        <f>IF($C673="","",IF(AND(COUNTIF(設定!$B$15:$B$21,$G673)&gt;0,$J673&lt;&gt;""),"假日出勤",IF(AND(COUNTIF(設定!$B$6:$B$14,$G673)&gt;0,$J673=""),"未打卡",IF($J673="","",IF($O673&gt;0,"遲到",IF($P673&gt;0,"早退","正常"))))))</f>
        <v/>
      </c>
      <c r="O673" s="84">
        <f>IF(OR($C673="",$H673="",$J673=""),0,IF(ROUND(($J673-$H673)*1440,0)&gt;設定!$C$46,ROUND(($J673-$H673)*1440,0),0))</f>
        <v/>
      </c>
      <c r="P673" s="84">
        <f>IF(OR($C673="",$I673="",$K673=""),0,IF(ROUND(($I673-$K673)*1440,0)&gt;設定!$C$46,ROUND(($I673-$K673)*1440,0),0))</f>
        <v/>
      </c>
      <c r="Q673" s="85">
        <f>IF($M673="",0,IF(($M673-IFERROR(INDEX(設定!$G$6:$G$21,MATCH($G673,設定!$B$6:$B$21,0)),0))*60&gt;=設定!$C$44,ROUND(FLOOR(($M673-IFERROR(INDEX(設定!$G$6:$G$21,MATCH($G673,設定!$B$6:$B$21,0)),0))*60,設定!$C$45)/60,2),0))</f>
        <v/>
      </c>
      <c r="R673" s="16">
        <f>IF(OR($C673="",$Q673=0),"",IF($G673="國","國定假日",IF($B673="日","例假",IF($B673="六","休息日","平日"))))</f>
        <v/>
      </c>
      <c r="S673" s="19" t="n"/>
    </row>
    <row r="674">
      <c r="A674" s="82">
        <f>IF(OR(助理班表!$A26="",21&gt;DAY(EOMONTH(DATE(設定!$C$2,設定!$D$2,1),0))),"",DATE(設定!$C$2,設定!$D$2,21))</f>
        <v/>
      </c>
      <c r="B674" s="16">
        <f>IF($A674="","",INDEX(設定!$O$6:$O$12,WEEKDAY($A674,1)))</f>
        <v/>
      </c>
      <c r="C674" s="16">
        <f>IF($A674="","",助理班表!$A26)</f>
        <v/>
      </c>
      <c r="D674" s="16">
        <f>IF($C674="","",助理班表!$B26)</f>
        <v/>
      </c>
      <c r="E674" s="16">
        <f>IF($C674="","",助理班表!$D26)</f>
        <v/>
      </c>
      <c r="F674" s="16">
        <f>IF($C674="","",助理班表!$C26)</f>
        <v/>
      </c>
      <c r="G674" s="16">
        <f>IF($C674="","",助理班表!Y26)</f>
        <v/>
      </c>
      <c r="H674" s="83">
        <f>IF($G674="","",IFERROR(IF(INDEX(設定!$D$6:$D$21,MATCH($G674,設定!$B$6:$B$21,0))=0,"",INDEX(設定!$D$6:$D$21,MATCH($G674,設定!$B$6:$B$21,0))),""))</f>
        <v/>
      </c>
      <c r="I674" s="83">
        <f>IF($G674="","",IFERROR(IF(INDEX(設定!$E$6:$E$21,MATCH($G674,設定!$B$6:$B$21,0))=0,"",INDEX(設定!$E$6:$E$21,MATCH($G674,設定!$B$6:$B$21,0))),""))</f>
        <v/>
      </c>
      <c r="J674" s="83">
        <f>IFERROR(INDEX(打卡匯入!$C$3:$C$2002,MATCH($C674&amp;"|"&amp;DAY($A674),打卡匯入!$E$3:$E$2002,0)),"")</f>
        <v/>
      </c>
      <c r="K674" s="83">
        <f>IFERROR(INDEX(打卡匯入!$D$3:$D$2002,MATCH($C674&amp;"|"&amp;DAY($A674),打卡匯入!$E$3:$E$2002,0)),"")</f>
        <v/>
      </c>
      <c r="L674" s="84">
        <f>IF(OR($J674="",$K674=""),"",IFERROR(INDEX(設定!$F$6:$F$21,MATCH($G674,設定!$B$6:$B$21,0)),0))</f>
        <v/>
      </c>
      <c r="M674" s="85">
        <f>IF(OR($J674="",$K674=""),"",ROUND(($K674-$J674)*24-$L674/60,2))</f>
        <v/>
      </c>
      <c r="N674" s="16">
        <f>IF($C674="","",IF(AND(COUNTIF(設定!$B$15:$B$21,$G674)&gt;0,$J674&lt;&gt;""),"假日出勤",IF(AND(COUNTIF(設定!$B$6:$B$14,$G674)&gt;0,$J674=""),"未打卡",IF($J674="","",IF($O674&gt;0,"遲到",IF($P674&gt;0,"早退","正常"))))))</f>
        <v/>
      </c>
      <c r="O674" s="84">
        <f>IF(OR($C674="",$H674="",$J674=""),0,IF(ROUND(($J674-$H674)*1440,0)&gt;設定!$C$46,ROUND(($J674-$H674)*1440,0),0))</f>
        <v/>
      </c>
      <c r="P674" s="84">
        <f>IF(OR($C674="",$I674="",$K674=""),0,IF(ROUND(($I674-$K674)*1440,0)&gt;設定!$C$46,ROUND(($I674-$K674)*1440,0),0))</f>
        <v/>
      </c>
      <c r="Q674" s="85">
        <f>IF($M674="",0,IF(($M674-IFERROR(INDEX(設定!$G$6:$G$21,MATCH($G674,設定!$B$6:$B$21,0)),0))*60&gt;=設定!$C$44,ROUND(FLOOR(($M674-IFERROR(INDEX(設定!$G$6:$G$21,MATCH($G674,設定!$B$6:$B$21,0)),0))*60,設定!$C$45)/60,2),0))</f>
        <v/>
      </c>
      <c r="R674" s="16">
        <f>IF(OR($C674="",$Q674=0),"",IF($G674="國","國定假日",IF($B674="日","例假",IF($B674="六","休息日","平日"))))</f>
        <v/>
      </c>
      <c r="S674" s="19" t="n"/>
    </row>
    <row r="675">
      <c r="A675" s="82">
        <f>IF(OR(助理班表!$A26="",22&gt;DAY(EOMONTH(DATE(設定!$C$2,設定!$D$2,1),0))),"",DATE(設定!$C$2,設定!$D$2,22))</f>
        <v/>
      </c>
      <c r="B675" s="16">
        <f>IF($A675="","",INDEX(設定!$O$6:$O$12,WEEKDAY($A675,1)))</f>
        <v/>
      </c>
      <c r="C675" s="16">
        <f>IF($A675="","",助理班表!$A26)</f>
        <v/>
      </c>
      <c r="D675" s="16">
        <f>IF($C675="","",助理班表!$B26)</f>
        <v/>
      </c>
      <c r="E675" s="16">
        <f>IF($C675="","",助理班表!$D26)</f>
        <v/>
      </c>
      <c r="F675" s="16">
        <f>IF($C675="","",助理班表!$C26)</f>
        <v/>
      </c>
      <c r="G675" s="16">
        <f>IF($C675="","",助理班表!Z26)</f>
        <v/>
      </c>
      <c r="H675" s="83">
        <f>IF($G675="","",IFERROR(IF(INDEX(設定!$D$6:$D$21,MATCH($G675,設定!$B$6:$B$21,0))=0,"",INDEX(設定!$D$6:$D$21,MATCH($G675,設定!$B$6:$B$21,0))),""))</f>
        <v/>
      </c>
      <c r="I675" s="83">
        <f>IF($G675="","",IFERROR(IF(INDEX(設定!$E$6:$E$21,MATCH($G675,設定!$B$6:$B$21,0))=0,"",INDEX(設定!$E$6:$E$21,MATCH($G675,設定!$B$6:$B$21,0))),""))</f>
        <v/>
      </c>
      <c r="J675" s="83">
        <f>IFERROR(INDEX(打卡匯入!$C$3:$C$2002,MATCH($C675&amp;"|"&amp;DAY($A675),打卡匯入!$E$3:$E$2002,0)),"")</f>
        <v/>
      </c>
      <c r="K675" s="83">
        <f>IFERROR(INDEX(打卡匯入!$D$3:$D$2002,MATCH($C675&amp;"|"&amp;DAY($A675),打卡匯入!$E$3:$E$2002,0)),"")</f>
        <v/>
      </c>
      <c r="L675" s="84">
        <f>IF(OR($J675="",$K675=""),"",IFERROR(INDEX(設定!$F$6:$F$21,MATCH($G675,設定!$B$6:$B$21,0)),0))</f>
        <v/>
      </c>
      <c r="M675" s="85">
        <f>IF(OR($J675="",$K675=""),"",ROUND(($K675-$J675)*24-$L675/60,2))</f>
        <v/>
      </c>
      <c r="N675" s="16">
        <f>IF($C675="","",IF(AND(COUNTIF(設定!$B$15:$B$21,$G675)&gt;0,$J675&lt;&gt;""),"假日出勤",IF(AND(COUNTIF(設定!$B$6:$B$14,$G675)&gt;0,$J675=""),"未打卡",IF($J675="","",IF($O675&gt;0,"遲到",IF($P675&gt;0,"早退","正常"))))))</f>
        <v/>
      </c>
      <c r="O675" s="84">
        <f>IF(OR($C675="",$H675="",$J675=""),0,IF(ROUND(($J675-$H675)*1440,0)&gt;設定!$C$46,ROUND(($J675-$H675)*1440,0),0))</f>
        <v/>
      </c>
      <c r="P675" s="84">
        <f>IF(OR($C675="",$I675="",$K675=""),0,IF(ROUND(($I675-$K675)*1440,0)&gt;設定!$C$46,ROUND(($I675-$K675)*1440,0),0))</f>
        <v/>
      </c>
      <c r="Q675" s="85">
        <f>IF($M675="",0,IF(($M675-IFERROR(INDEX(設定!$G$6:$G$21,MATCH($G675,設定!$B$6:$B$21,0)),0))*60&gt;=設定!$C$44,ROUND(FLOOR(($M675-IFERROR(INDEX(設定!$G$6:$G$21,MATCH($G675,設定!$B$6:$B$21,0)),0))*60,設定!$C$45)/60,2),0))</f>
        <v/>
      </c>
      <c r="R675" s="16">
        <f>IF(OR($C675="",$Q675=0),"",IF($G675="國","國定假日",IF($B675="日","例假",IF($B675="六","休息日","平日"))))</f>
        <v/>
      </c>
      <c r="S675" s="19" t="n"/>
    </row>
    <row r="676">
      <c r="A676" s="82">
        <f>IF(OR(助理班表!$A26="",23&gt;DAY(EOMONTH(DATE(設定!$C$2,設定!$D$2,1),0))),"",DATE(設定!$C$2,設定!$D$2,23))</f>
        <v/>
      </c>
      <c r="B676" s="16">
        <f>IF($A676="","",INDEX(設定!$O$6:$O$12,WEEKDAY($A676,1)))</f>
        <v/>
      </c>
      <c r="C676" s="16">
        <f>IF($A676="","",助理班表!$A26)</f>
        <v/>
      </c>
      <c r="D676" s="16">
        <f>IF($C676="","",助理班表!$B26)</f>
        <v/>
      </c>
      <c r="E676" s="16">
        <f>IF($C676="","",助理班表!$D26)</f>
        <v/>
      </c>
      <c r="F676" s="16">
        <f>IF($C676="","",助理班表!$C26)</f>
        <v/>
      </c>
      <c r="G676" s="16">
        <f>IF($C676="","",助理班表!AA26)</f>
        <v/>
      </c>
      <c r="H676" s="83">
        <f>IF($G676="","",IFERROR(IF(INDEX(設定!$D$6:$D$21,MATCH($G676,設定!$B$6:$B$21,0))=0,"",INDEX(設定!$D$6:$D$21,MATCH($G676,設定!$B$6:$B$21,0))),""))</f>
        <v/>
      </c>
      <c r="I676" s="83">
        <f>IF($G676="","",IFERROR(IF(INDEX(設定!$E$6:$E$21,MATCH($G676,設定!$B$6:$B$21,0))=0,"",INDEX(設定!$E$6:$E$21,MATCH($G676,設定!$B$6:$B$21,0))),""))</f>
        <v/>
      </c>
      <c r="J676" s="83">
        <f>IFERROR(INDEX(打卡匯入!$C$3:$C$2002,MATCH($C676&amp;"|"&amp;DAY($A676),打卡匯入!$E$3:$E$2002,0)),"")</f>
        <v/>
      </c>
      <c r="K676" s="83">
        <f>IFERROR(INDEX(打卡匯入!$D$3:$D$2002,MATCH($C676&amp;"|"&amp;DAY($A676),打卡匯入!$E$3:$E$2002,0)),"")</f>
        <v/>
      </c>
      <c r="L676" s="84">
        <f>IF(OR($J676="",$K676=""),"",IFERROR(INDEX(設定!$F$6:$F$21,MATCH($G676,設定!$B$6:$B$21,0)),0))</f>
        <v/>
      </c>
      <c r="M676" s="85">
        <f>IF(OR($J676="",$K676=""),"",ROUND(($K676-$J676)*24-$L676/60,2))</f>
        <v/>
      </c>
      <c r="N676" s="16">
        <f>IF($C676="","",IF(AND(COUNTIF(設定!$B$15:$B$21,$G676)&gt;0,$J676&lt;&gt;""),"假日出勤",IF(AND(COUNTIF(設定!$B$6:$B$14,$G676)&gt;0,$J676=""),"未打卡",IF($J676="","",IF($O676&gt;0,"遲到",IF($P676&gt;0,"早退","正常"))))))</f>
        <v/>
      </c>
      <c r="O676" s="84">
        <f>IF(OR($C676="",$H676="",$J676=""),0,IF(ROUND(($J676-$H676)*1440,0)&gt;設定!$C$46,ROUND(($J676-$H676)*1440,0),0))</f>
        <v/>
      </c>
      <c r="P676" s="84">
        <f>IF(OR($C676="",$I676="",$K676=""),0,IF(ROUND(($I676-$K676)*1440,0)&gt;設定!$C$46,ROUND(($I676-$K676)*1440,0),0))</f>
        <v/>
      </c>
      <c r="Q676" s="85">
        <f>IF($M676="",0,IF(($M676-IFERROR(INDEX(設定!$G$6:$G$21,MATCH($G676,設定!$B$6:$B$21,0)),0))*60&gt;=設定!$C$44,ROUND(FLOOR(($M676-IFERROR(INDEX(設定!$G$6:$G$21,MATCH($G676,設定!$B$6:$B$21,0)),0))*60,設定!$C$45)/60,2),0))</f>
        <v/>
      </c>
      <c r="R676" s="16">
        <f>IF(OR($C676="",$Q676=0),"",IF($G676="國","國定假日",IF($B676="日","例假",IF($B676="六","休息日","平日"))))</f>
        <v/>
      </c>
      <c r="S676" s="19" t="n"/>
    </row>
    <row r="677">
      <c r="A677" s="82">
        <f>IF(OR(助理班表!$A26="",24&gt;DAY(EOMONTH(DATE(設定!$C$2,設定!$D$2,1),0))),"",DATE(設定!$C$2,設定!$D$2,24))</f>
        <v/>
      </c>
      <c r="B677" s="16">
        <f>IF($A677="","",INDEX(設定!$O$6:$O$12,WEEKDAY($A677,1)))</f>
        <v/>
      </c>
      <c r="C677" s="16">
        <f>IF($A677="","",助理班表!$A26)</f>
        <v/>
      </c>
      <c r="D677" s="16">
        <f>IF($C677="","",助理班表!$B26)</f>
        <v/>
      </c>
      <c r="E677" s="16">
        <f>IF($C677="","",助理班表!$D26)</f>
        <v/>
      </c>
      <c r="F677" s="16">
        <f>IF($C677="","",助理班表!$C26)</f>
        <v/>
      </c>
      <c r="G677" s="16">
        <f>IF($C677="","",助理班表!AB26)</f>
        <v/>
      </c>
      <c r="H677" s="83">
        <f>IF($G677="","",IFERROR(IF(INDEX(設定!$D$6:$D$21,MATCH($G677,設定!$B$6:$B$21,0))=0,"",INDEX(設定!$D$6:$D$21,MATCH($G677,設定!$B$6:$B$21,0))),""))</f>
        <v/>
      </c>
      <c r="I677" s="83">
        <f>IF($G677="","",IFERROR(IF(INDEX(設定!$E$6:$E$21,MATCH($G677,設定!$B$6:$B$21,0))=0,"",INDEX(設定!$E$6:$E$21,MATCH($G677,設定!$B$6:$B$21,0))),""))</f>
        <v/>
      </c>
      <c r="J677" s="83">
        <f>IFERROR(INDEX(打卡匯入!$C$3:$C$2002,MATCH($C677&amp;"|"&amp;DAY($A677),打卡匯入!$E$3:$E$2002,0)),"")</f>
        <v/>
      </c>
      <c r="K677" s="83">
        <f>IFERROR(INDEX(打卡匯入!$D$3:$D$2002,MATCH($C677&amp;"|"&amp;DAY($A677),打卡匯入!$E$3:$E$2002,0)),"")</f>
        <v/>
      </c>
      <c r="L677" s="84">
        <f>IF(OR($J677="",$K677=""),"",IFERROR(INDEX(設定!$F$6:$F$21,MATCH($G677,設定!$B$6:$B$21,0)),0))</f>
        <v/>
      </c>
      <c r="M677" s="85">
        <f>IF(OR($J677="",$K677=""),"",ROUND(($K677-$J677)*24-$L677/60,2))</f>
        <v/>
      </c>
      <c r="N677" s="16">
        <f>IF($C677="","",IF(AND(COUNTIF(設定!$B$15:$B$21,$G677)&gt;0,$J677&lt;&gt;""),"假日出勤",IF(AND(COUNTIF(設定!$B$6:$B$14,$G677)&gt;0,$J677=""),"未打卡",IF($J677="","",IF($O677&gt;0,"遲到",IF($P677&gt;0,"早退","正常"))))))</f>
        <v/>
      </c>
      <c r="O677" s="84">
        <f>IF(OR($C677="",$H677="",$J677=""),0,IF(ROUND(($J677-$H677)*1440,0)&gt;設定!$C$46,ROUND(($J677-$H677)*1440,0),0))</f>
        <v/>
      </c>
      <c r="P677" s="84">
        <f>IF(OR($C677="",$I677="",$K677=""),0,IF(ROUND(($I677-$K677)*1440,0)&gt;設定!$C$46,ROUND(($I677-$K677)*1440,0),0))</f>
        <v/>
      </c>
      <c r="Q677" s="85">
        <f>IF($M677="",0,IF(($M677-IFERROR(INDEX(設定!$G$6:$G$21,MATCH($G677,設定!$B$6:$B$21,0)),0))*60&gt;=設定!$C$44,ROUND(FLOOR(($M677-IFERROR(INDEX(設定!$G$6:$G$21,MATCH($G677,設定!$B$6:$B$21,0)),0))*60,設定!$C$45)/60,2),0))</f>
        <v/>
      </c>
      <c r="R677" s="16">
        <f>IF(OR($C677="",$Q677=0),"",IF($G677="國","國定假日",IF($B677="日","例假",IF($B677="六","休息日","平日"))))</f>
        <v/>
      </c>
      <c r="S677" s="19" t="n"/>
    </row>
    <row r="678">
      <c r="A678" s="82">
        <f>IF(OR(助理班表!$A26="",25&gt;DAY(EOMONTH(DATE(設定!$C$2,設定!$D$2,1),0))),"",DATE(設定!$C$2,設定!$D$2,25))</f>
        <v/>
      </c>
      <c r="B678" s="16">
        <f>IF($A678="","",INDEX(設定!$O$6:$O$12,WEEKDAY($A678,1)))</f>
        <v/>
      </c>
      <c r="C678" s="16">
        <f>IF($A678="","",助理班表!$A26)</f>
        <v/>
      </c>
      <c r="D678" s="16">
        <f>IF($C678="","",助理班表!$B26)</f>
        <v/>
      </c>
      <c r="E678" s="16">
        <f>IF($C678="","",助理班表!$D26)</f>
        <v/>
      </c>
      <c r="F678" s="16">
        <f>IF($C678="","",助理班表!$C26)</f>
        <v/>
      </c>
      <c r="G678" s="16">
        <f>IF($C678="","",助理班表!AC26)</f>
        <v/>
      </c>
      <c r="H678" s="83">
        <f>IF($G678="","",IFERROR(IF(INDEX(設定!$D$6:$D$21,MATCH($G678,設定!$B$6:$B$21,0))=0,"",INDEX(設定!$D$6:$D$21,MATCH($G678,設定!$B$6:$B$21,0))),""))</f>
        <v/>
      </c>
      <c r="I678" s="83">
        <f>IF($G678="","",IFERROR(IF(INDEX(設定!$E$6:$E$21,MATCH($G678,設定!$B$6:$B$21,0))=0,"",INDEX(設定!$E$6:$E$21,MATCH($G678,設定!$B$6:$B$21,0))),""))</f>
        <v/>
      </c>
      <c r="J678" s="83">
        <f>IFERROR(INDEX(打卡匯入!$C$3:$C$2002,MATCH($C678&amp;"|"&amp;DAY($A678),打卡匯入!$E$3:$E$2002,0)),"")</f>
        <v/>
      </c>
      <c r="K678" s="83">
        <f>IFERROR(INDEX(打卡匯入!$D$3:$D$2002,MATCH($C678&amp;"|"&amp;DAY($A678),打卡匯入!$E$3:$E$2002,0)),"")</f>
        <v/>
      </c>
      <c r="L678" s="84">
        <f>IF(OR($J678="",$K678=""),"",IFERROR(INDEX(設定!$F$6:$F$21,MATCH($G678,設定!$B$6:$B$21,0)),0))</f>
        <v/>
      </c>
      <c r="M678" s="85">
        <f>IF(OR($J678="",$K678=""),"",ROUND(($K678-$J678)*24-$L678/60,2))</f>
        <v/>
      </c>
      <c r="N678" s="16">
        <f>IF($C678="","",IF(AND(COUNTIF(設定!$B$15:$B$21,$G678)&gt;0,$J678&lt;&gt;""),"假日出勤",IF(AND(COUNTIF(設定!$B$6:$B$14,$G678)&gt;0,$J678=""),"未打卡",IF($J678="","",IF($O678&gt;0,"遲到",IF($P678&gt;0,"早退","正常"))))))</f>
        <v/>
      </c>
      <c r="O678" s="84">
        <f>IF(OR($C678="",$H678="",$J678=""),0,IF(ROUND(($J678-$H678)*1440,0)&gt;設定!$C$46,ROUND(($J678-$H678)*1440,0),0))</f>
        <v/>
      </c>
      <c r="P678" s="84">
        <f>IF(OR($C678="",$I678="",$K678=""),0,IF(ROUND(($I678-$K678)*1440,0)&gt;設定!$C$46,ROUND(($I678-$K678)*1440,0),0))</f>
        <v/>
      </c>
      <c r="Q678" s="85">
        <f>IF($M678="",0,IF(($M678-IFERROR(INDEX(設定!$G$6:$G$21,MATCH($G678,設定!$B$6:$B$21,0)),0))*60&gt;=設定!$C$44,ROUND(FLOOR(($M678-IFERROR(INDEX(設定!$G$6:$G$21,MATCH($G678,設定!$B$6:$B$21,0)),0))*60,設定!$C$45)/60,2),0))</f>
        <v/>
      </c>
      <c r="R678" s="16">
        <f>IF(OR($C678="",$Q678=0),"",IF($G678="國","國定假日",IF($B678="日","例假",IF($B678="六","休息日","平日"))))</f>
        <v/>
      </c>
      <c r="S678" s="19" t="n"/>
    </row>
    <row r="679">
      <c r="A679" s="82">
        <f>IF(OR(助理班表!$A26="",26&gt;DAY(EOMONTH(DATE(設定!$C$2,設定!$D$2,1),0))),"",DATE(設定!$C$2,設定!$D$2,26))</f>
        <v/>
      </c>
      <c r="B679" s="16">
        <f>IF($A679="","",INDEX(設定!$O$6:$O$12,WEEKDAY($A679,1)))</f>
        <v/>
      </c>
      <c r="C679" s="16">
        <f>IF($A679="","",助理班表!$A26)</f>
        <v/>
      </c>
      <c r="D679" s="16">
        <f>IF($C679="","",助理班表!$B26)</f>
        <v/>
      </c>
      <c r="E679" s="16">
        <f>IF($C679="","",助理班表!$D26)</f>
        <v/>
      </c>
      <c r="F679" s="16">
        <f>IF($C679="","",助理班表!$C26)</f>
        <v/>
      </c>
      <c r="G679" s="16">
        <f>IF($C679="","",助理班表!AD26)</f>
        <v/>
      </c>
      <c r="H679" s="83">
        <f>IF($G679="","",IFERROR(IF(INDEX(設定!$D$6:$D$21,MATCH($G679,設定!$B$6:$B$21,0))=0,"",INDEX(設定!$D$6:$D$21,MATCH($G679,設定!$B$6:$B$21,0))),""))</f>
        <v/>
      </c>
      <c r="I679" s="83">
        <f>IF($G679="","",IFERROR(IF(INDEX(設定!$E$6:$E$21,MATCH($G679,設定!$B$6:$B$21,0))=0,"",INDEX(設定!$E$6:$E$21,MATCH($G679,設定!$B$6:$B$21,0))),""))</f>
        <v/>
      </c>
      <c r="J679" s="83">
        <f>IFERROR(INDEX(打卡匯入!$C$3:$C$2002,MATCH($C679&amp;"|"&amp;DAY($A679),打卡匯入!$E$3:$E$2002,0)),"")</f>
        <v/>
      </c>
      <c r="K679" s="83">
        <f>IFERROR(INDEX(打卡匯入!$D$3:$D$2002,MATCH($C679&amp;"|"&amp;DAY($A679),打卡匯入!$E$3:$E$2002,0)),"")</f>
        <v/>
      </c>
      <c r="L679" s="84">
        <f>IF(OR($J679="",$K679=""),"",IFERROR(INDEX(設定!$F$6:$F$21,MATCH($G679,設定!$B$6:$B$21,0)),0))</f>
        <v/>
      </c>
      <c r="M679" s="85">
        <f>IF(OR($J679="",$K679=""),"",ROUND(($K679-$J679)*24-$L679/60,2))</f>
        <v/>
      </c>
      <c r="N679" s="16">
        <f>IF($C679="","",IF(AND(COUNTIF(設定!$B$15:$B$21,$G679)&gt;0,$J679&lt;&gt;""),"假日出勤",IF(AND(COUNTIF(設定!$B$6:$B$14,$G679)&gt;0,$J679=""),"未打卡",IF($J679="","",IF($O679&gt;0,"遲到",IF($P679&gt;0,"早退","正常"))))))</f>
        <v/>
      </c>
      <c r="O679" s="84">
        <f>IF(OR($C679="",$H679="",$J679=""),0,IF(ROUND(($J679-$H679)*1440,0)&gt;設定!$C$46,ROUND(($J679-$H679)*1440,0),0))</f>
        <v/>
      </c>
      <c r="P679" s="84">
        <f>IF(OR($C679="",$I679="",$K679=""),0,IF(ROUND(($I679-$K679)*1440,0)&gt;設定!$C$46,ROUND(($I679-$K679)*1440,0),0))</f>
        <v/>
      </c>
      <c r="Q679" s="85">
        <f>IF($M679="",0,IF(($M679-IFERROR(INDEX(設定!$G$6:$G$21,MATCH($G679,設定!$B$6:$B$21,0)),0))*60&gt;=設定!$C$44,ROUND(FLOOR(($M679-IFERROR(INDEX(設定!$G$6:$G$21,MATCH($G679,設定!$B$6:$B$21,0)),0))*60,設定!$C$45)/60,2),0))</f>
        <v/>
      </c>
      <c r="R679" s="16">
        <f>IF(OR($C679="",$Q679=0),"",IF($G679="國","國定假日",IF($B679="日","例假",IF($B679="六","休息日","平日"))))</f>
        <v/>
      </c>
      <c r="S679" s="19" t="n"/>
    </row>
    <row r="680">
      <c r="A680" s="82">
        <f>IF(OR(助理班表!$A26="",27&gt;DAY(EOMONTH(DATE(設定!$C$2,設定!$D$2,1),0))),"",DATE(設定!$C$2,設定!$D$2,27))</f>
        <v/>
      </c>
      <c r="B680" s="16">
        <f>IF($A680="","",INDEX(設定!$O$6:$O$12,WEEKDAY($A680,1)))</f>
        <v/>
      </c>
      <c r="C680" s="16">
        <f>IF($A680="","",助理班表!$A26)</f>
        <v/>
      </c>
      <c r="D680" s="16">
        <f>IF($C680="","",助理班表!$B26)</f>
        <v/>
      </c>
      <c r="E680" s="16">
        <f>IF($C680="","",助理班表!$D26)</f>
        <v/>
      </c>
      <c r="F680" s="16">
        <f>IF($C680="","",助理班表!$C26)</f>
        <v/>
      </c>
      <c r="G680" s="16">
        <f>IF($C680="","",助理班表!AE26)</f>
        <v/>
      </c>
      <c r="H680" s="83">
        <f>IF($G680="","",IFERROR(IF(INDEX(設定!$D$6:$D$21,MATCH($G680,設定!$B$6:$B$21,0))=0,"",INDEX(設定!$D$6:$D$21,MATCH($G680,設定!$B$6:$B$21,0))),""))</f>
        <v/>
      </c>
      <c r="I680" s="83">
        <f>IF($G680="","",IFERROR(IF(INDEX(設定!$E$6:$E$21,MATCH($G680,設定!$B$6:$B$21,0))=0,"",INDEX(設定!$E$6:$E$21,MATCH($G680,設定!$B$6:$B$21,0))),""))</f>
        <v/>
      </c>
      <c r="J680" s="83">
        <f>IFERROR(INDEX(打卡匯入!$C$3:$C$2002,MATCH($C680&amp;"|"&amp;DAY($A680),打卡匯入!$E$3:$E$2002,0)),"")</f>
        <v/>
      </c>
      <c r="K680" s="83">
        <f>IFERROR(INDEX(打卡匯入!$D$3:$D$2002,MATCH($C680&amp;"|"&amp;DAY($A680),打卡匯入!$E$3:$E$2002,0)),"")</f>
        <v/>
      </c>
      <c r="L680" s="84">
        <f>IF(OR($J680="",$K680=""),"",IFERROR(INDEX(設定!$F$6:$F$21,MATCH($G680,設定!$B$6:$B$21,0)),0))</f>
        <v/>
      </c>
      <c r="M680" s="85">
        <f>IF(OR($J680="",$K680=""),"",ROUND(($K680-$J680)*24-$L680/60,2))</f>
        <v/>
      </c>
      <c r="N680" s="16">
        <f>IF($C680="","",IF(AND(COUNTIF(設定!$B$15:$B$21,$G680)&gt;0,$J680&lt;&gt;""),"假日出勤",IF(AND(COUNTIF(設定!$B$6:$B$14,$G680)&gt;0,$J680=""),"未打卡",IF($J680="","",IF($O680&gt;0,"遲到",IF($P680&gt;0,"早退","正常"))))))</f>
        <v/>
      </c>
      <c r="O680" s="84">
        <f>IF(OR($C680="",$H680="",$J680=""),0,IF(ROUND(($J680-$H680)*1440,0)&gt;設定!$C$46,ROUND(($J680-$H680)*1440,0),0))</f>
        <v/>
      </c>
      <c r="P680" s="84">
        <f>IF(OR($C680="",$I680="",$K680=""),0,IF(ROUND(($I680-$K680)*1440,0)&gt;設定!$C$46,ROUND(($I680-$K680)*1440,0),0))</f>
        <v/>
      </c>
      <c r="Q680" s="85">
        <f>IF($M680="",0,IF(($M680-IFERROR(INDEX(設定!$G$6:$G$21,MATCH($G680,設定!$B$6:$B$21,0)),0))*60&gt;=設定!$C$44,ROUND(FLOOR(($M680-IFERROR(INDEX(設定!$G$6:$G$21,MATCH($G680,設定!$B$6:$B$21,0)),0))*60,設定!$C$45)/60,2),0))</f>
        <v/>
      </c>
      <c r="R680" s="16">
        <f>IF(OR($C680="",$Q680=0),"",IF($G680="國","國定假日",IF($B680="日","例假",IF($B680="六","休息日","平日"))))</f>
        <v/>
      </c>
      <c r="S680" s="19" t="n"/>
    </row>
    <row r="681">
      <c r="A681" s="82">
        <f>IF(OR(助理班表!$A26="",28&gt;DAY(EOMONTH(DATE(設定!$C$2,設定!$D$2,1),0))),"",DATE(設定!$C$2,設定!$D$2,28))</f>
        <v/>
      </c>
      <c r="B681" s="16">
        <f>IF($A681="","",INDEX(設定!$O$6:$O$12,WEEKDAY($A681,1)))</f>
        <v/>
      </c>
      <c r="C681" s="16">
        <f>IF($A681="","",助理班表!$A26)</f>
        <v/>
      </c>
      <c r="D681" s="16">
        <f>IF($C681="","",助理班表!$B26)</f>
        <v/>
      </c>
      <c r="E681" s="16">
        <f>IF($C681="","",助理班表!$D26)</f>
        <v/>
      </c>
      <c r="F681" s="16">
        <f>IF($C681="","",助理班表!$C26)</f>
        <v/>
      </c>
      <c r="G681" s="16">
        <f>IF($C681="","",助理班表!AF26)</f>
        <v/>
      </c>
      <c r="H681" s="83">
        <f>IF($G681="","",IFERROR(IF(INDEX(設定!$D$6:$D$21,MATCH($G681,設定!$B$6:$B$21,0))=0,"",INDEX(設定!$D$6:$D$21,MATCH($G681,設定!$B$6:$B$21,0))),""))</f>
        <v/>
      </c>
      <c r="I681" s="83">
        <f>IF($G681="","",IFERROR(IF(INDEX(設定!$E$6:$E$21,MATCH($G681,設定!$B$6:$B$21,0))=0,"",INDEX(設定!$E$6:$E$21,MATCH($G681,設定!$B$6:$B$21,0))),""))</f>
        <v/>
      </c>
      <c r="J681" s="83">
        <f>IFERROR(INDEX(打卡匯入!$C$3:$C$2002,MATCH($C681&amp;"|"&amp;DAY($A681),打卡匯入!$E$3:$E$2002,0)),"")</f>
        <v/>
      </c>
      <c r="K681" s="83">
        <f>IFERROR(INDEX(打卡匯入!$D$3:$D$2002,MATCH($C681&amp;"|"&amp;DAY($A681),打卡匯入!$E$3:$E$2002,0)),"")</f>
        <v/>
      </c>
      <c r="L681" s="84">
        <f>IF(OR($J681="",$K681=""),"",IFERROR(INDEX(設定!$F$6:$F$21,MATCH($G681,設定!$B$6:$B$21,0)),0))</f>
        <v/>
      </c>
      <c r="M681" s="85">
        <f>IF(OR($J681="",$K681=""),"",ROUND(($K681-$J681)*24-$L681/60,2))</f>
        <v/>
      </c>
      <c r="N681" s="16">
        <f>IF($C681="","",IF(AND(COUNTIF(設定!$B$15:$B$21,$G681)&gt;0,$J681&lt;&gt;""),"假日出勤",IF(AND(COUNTIF(設定!$B$6:$B$14,$G681)&gt;0,$J681=""),"未打卡",IF($J681="","",IF($O681&gt;0,"遲到",IF($P681&gt;0,"早退","正常"))))))</f>
        <v/>
      </c>
      <c r="O681" s="84">
        <f>IF(OR($C681="",$H681="",$J681=""),0,IF(ROUND(($J681-$H681)*1440,0)&gt;設定!$C$46,ROUND(($J681-$H681)*1440,0),0))</f>
        <v/>
      </c>
      <c r="P681" s="84">
        <f>IF(OR($C681="",$I681="",$K681=""),0,IF(ROUND(($I681-$K681)*1440,0)&gt;設定!$C$46,ROUND(($I681-$K681)*1440,0),0))</f>
        <v/>
      </c>
      <c r="Q681" s="85">
        <f>IF($M681="",0,IF(($M681-IFERROR(INDEX(設定!$G$6:$G$21,MATCH($G681,設定!$B$6:$B$21,0)),0))*60&gt;=設定!$C$44,ROUND(FLOOR(($M681-IFERROR(INDEX(設定!$G$6:$G$21,MATCH($G681,設定!$B$6:$B$21,0)),0))*60,設定!$C$45)/60,2),0))</f>
        <v/>
      </c>
      <c r="R681" s="16">
        <f>IF(OR($C681="",$Q681=0),"",IF($G681="國","國定假日",IF($B681="日","例假",IF($B681="六","休息日","平日"))))</f>
        <v/>
      </c>
      <c r="S681" s="19" t="n"/>
    </row>
    <row r="682">
      <c r="A682" s="82">
        <f>IF(OR(助理班表!$A26="",29&gt;DAY(EOMONTH(DATE(設定!$C$2,設定!$D$2,1),0))),"",DATE(設定!$C$2,設定!$D$2,29))</f>
        <v/>
      </c>
      <c r="B682" s="16">
        <f>IF($A682="","",INDEX(設定!$O$6:$O$12,WEEKDAY($A682,1)))</f>
        <v/>
      </c>
      <c r="C682" s="16">
        <f>IF($A682="","",助理班表!$A26)</f>
        <v/>
      </c>
      <c r="D682" s="16">
        <f>IF($C682="","",助理班表!$B26)</f>
        <v/>
      </c>
      <c r="E682" s="16">
        <f>IF($C682="","",助理班表!$D26)</f>
        <v/>
      </c>
      <c r="F682" s="16">
        <f>IF($C682="","",助理班表!$C26)</f>
        <v/>
      </c>
      <c r="G682" s="16">
        <f>IF($C682="","",助理班表!AG26)</f>
        <v/>
      </c>
      <c r="H682" s="83">
        <f>IF($G682="","",IFERROR(IF(INDEX(設定!$D$6:$D$21,MATCH($G682,設定!$B$6:$B$21,0))=0,"",INDEX(設定!$D$6:$D$21,MATCH($G682,設定!$B$6:$B$21,0))),""))</f>
        <v/>
      </c>
      <c r="I682" s="83">
        <f>IF($G682="","",IFERROR(IF(INDEX(設定!$E$6:$E$21,MATCH($G682,設定!$B$6:$B$21,0))=0,"",INDEX(設定!$E$6:$E$21,MATCH($G682,設定!$B$6:$B$21,0))),""))</f>
        <v/>
      </c>
      <c r="J682" s="83">
        <f>IFERROR(INDEX(打卡匯入!$C$3:$C$2002,MATCH($C682&amp;"|"&amp;DAY($A682),打卡匯入!$E$3:$E$2002,0)),"")</f>
        <v/>
      </c>
      <c r="K682" s="83">
        <f>IFERROR(INDEX(打卡匯入!$D$3:$D$2002,MATCH($C682&amp;"|"&amp;DAY($A682),打卡匯入!$E$3:$E$2002,0)),"")</f>
        <v/>
      </c>
      <c r="L682" s="84">
        <f>IF(OR($J682="",$K682=""),"",IFERROR(INDEX(設定!$F$6:$F$21,MATCH($G682,設定!$B$6:$B$21,0)),0))</f>
        <v/>
      </c>
      <c r="M682" s="85">
        <f>IF(OR($J682="",$K682=""),"",ROUND(($K682-$J682)*24-$L682/60,2))</f>
        <v/>
      </c>
      <c r="N682" s="16">
        <f>IF($C682="","",IF(AND(COUNTIF(設定!$B$15:$B$21,$G682)&gt;0,$J682&lt;&gt;""),"假日出勤",IF(AND(COUNTIF(設定!$B$6:$B$14,$G682)&gt;0,$J682=""),"未打卡",IF($J682="","",IF($O682&gt;0,"遲到",IF($P682&gt;0,"早退","正常"))))))</f>
        <v/>
      </c>
      <c r="O682" s="84">
        <f>IF(OR($C682="",$H682="",$J682=""),0,IF(ROUND(($J682-$H682)*1440,0)&gt;設定!$C$46,ROUND(($J682-$H682)*1440,0),0))</f>
        <v/>
      </c>
      <c r="P682" s="84">
        <f>IF(OR($C682="",$I682="",$K682=""),0,IF(ROUND(($I682-$K682)*1440,0)&gt;設定!$C$46,ROUND(($I682-$K682)*1440,0),0))</f>
        <v/>
      </c>
      <c r="Q682" s="85">
        <f>IF($M682="",0,IF(($M682-IFERROR(INDEX(設定!$G$6:$G$21,MATCH($G682,設定!$B$6:$B$21,0)),0))*60&gt;=設定!$C$44,ROUND(FLOOR(($M682-IFERROR(INDEX(設定!$G$6:$G$21,MATCH($G682,設定!$B$6:$B$21,0)),0))*60,設定!$C$45)/60,2),0))</f>
        <v/>
      </c>
      <c r="R682" s="16">
        <f>IF(OR($C682="",$Q682=0),"",IF($G682="國","國定假日",IF($B682="日","例假",IF($B682="六","休息日","平日"))))</f>
        <v/>
      </c>
      <c r="S682" s="19" t="n"/>
    </row>
    <row r="683">
      <c r="A683" s="82">
        <f>IF(OR(助理班表!$A26="",30&gt;DAY(EOMONTH(DATE(設定!$C$2,設定!$D$2,1),0))),"",DATE(設定!$C$2,設定!$D$2,30))</f>
        <v/>
      </c>
      <c r="B683" s="16">
        <f>IF($A683="","",INDEX(設定!$O$6:$O$12,WEEKDAY($A683,1)))</f>
        <v/>
      </c>
      <c r="C683" s="16">
        <f>IF($A683="","",助理班表!$A26)</f>
        <v/>
      </c>
      <c r="D683" s="16">
        <f>IF($C683="","",助理班表!$B26)</f>
        <v/>
      </c>
      <c r="E683" s="16">
        <f>IF($C683="","",助理班表!$D26)</f>
        <v/>
      </c>
      <c r="F683" s="16">
        <f>IF($C683="","",助理班表!$C26)</f>
        <v/>
      </c>
      <c r="G683" s="16">
        <f>IF($C683="","",助理班表!AH26)</f>
        <v/>
      </c>
      <c r="H683" s="83">
        <f>IF($G683="","",IFERROR(IF(INDEX(設定!$D$6:$D$21,MATCH($G683,設定!$B$6:$B$21,0))=0,"",INDEX(設定!$D$6:$D$21,MATCH($G683,設定!$B$6:$B$21,0))),""))</f>
        <v/>
      </c>
      <c r="I683" s="83">
        <f>IF($G683="","",IFERROR(IF(INDEX(設定!$E$6:$E$21,MATCH($G683,設定!$B$6:$B$21,0))=0,"",INDEX(設定!$E$6:$E$21,MATCH($G683,設定!$B$6:$B$21,0))),""))</f>
        <v/>
      </c>
      <c r="J683" s="83">
        <f>IFERROR(INDEX(打卡匯入!$C$3:$C$2002,MATCH($C683&amp;"|"&amp;DAY($A683),打卡匯入!$E$3:$E$2002,0)),"")</f>
        <v/>
      </c>
      <c r="K683" s="83">
        <f>IFERROR(INDEX(打卡匯入!$D$3:$D$2002,MATCH($C683&amp;"|"&amp;DAY($A683),打卡匯入!$E$3:$E$2002,0)),"")</f>
        <v/>
      </c>
      <c r="L683" s="84">
        <f>IF(OR($J683="",$K683=""),"",IFERROR(INDEX(設定!$F$6:$F$21,MATCH($G683,設定!$B$6:$B$21,0)),0))</f>
        <v/>
      </c>
      <c r="M683" s="85">
        <f>IF(OR($J683="",$K683=""),"",ROUND(($K683-$J683)*24-$L683/60,2))</f>
        <v/>
      </c>
      <c r="N683" s="16">
        <f>IF($C683="","",IF(AND(COUNTIF(設定!$B$15:$B$21,$G683)&gt;0,$J683&lt;&gt;""),"假日出勤",IF(AND(COUNTIF(設定!$B$6:$B$14,$G683)&gt;0,$J683=""),"未打卡",IF($J683="","",IF($O683&gt;0,"遲到",IF($P683&gt;0,"早退","正常"))))))</f>
        <v/>
      </c>
      <c r="O683" s="84">
        <f>IF(OR($C683="",$H683="",$J683=""),0,IF(ROUND(($J683-$H683)*1440,0)&gt;設定!$C$46,ROUND(($J683-$H683)*1440,0),0))</f>
        <v/>
      </c>
      <c r="P683" s="84">
        <f>IF(OR($C683="",$I683="",$K683=""),0,IF(ROUND(($I683-$K683)*1440,0)&gt;設定!$C$46,ROUND(($I683-$K683)*1440,0),0))</f>
        <v/>
      </c>
      <c r="Q683" s="85">
        <f>IF($M683="",0,IF(($M683-IFERROR(INDEX(設定!$G$6:$G$21,MATCH($G683,設定!$B$6:$B$21,0)),0))*60&gt;=設定!$C$44,ROUND(FLOOR(($M683-IFERROR(INDEX(設定!$G$6:$G$21,MATCH($G683,設定!$B$6:$B$21,0)),0))*60,設定!$C$45)/60,2),0))</f>
        <v/>
      </c>
      <c r="R683" s="16">
        <f>IF(OR($C683="",$Q683=0),"",IF($G683="國","國定假日",IF($B683="日","例假",IF($B683="六","休息日","平日"))))</f>
        <v/>
      </c>
      <c r="S683" s="19" t="n"/>
    </row>
    <row r="684">
      <c r="A684" s="82">
        <f>IF(OR(助理班表!$A26="",31&gt;DAY(EOMONTH(DATE(設定!$C$2,設定!$D$2,1),0))),"",DATE(設定!$C$2,設定!$D$2,31))</f>
        <v/>
      </c>
      <c r="B684" s="16">
        <f>IF($A684="","",INDEX(設定!$O$6:$O$12,WEEKDAY($A684,1)))</f>
        <v/>
      </c>
      <c r="C684" s="16">
        <f>IF($A684="","",助理班表!$A26)</f>
        <v/>
      </c>
      <c r="D684" s="16">
        <f>IF($C684="","",助理班表!$B26)</f>
        <v/>
      </c>
      <c r="E684" s="16">
        <f>IF($C684="","",助理班表!$D26)</f>
        <v/>
      </c>
      <c r="F684" s="16">
        <f>IF($C684="","",助理班表!$C26)</f>
        <v/>
      </c>
      <c r="G684" s="16">
        <f>IF($C684="","",助理班表!AI26)</f>
        <v/>
      </c>
      <c r="H684" s="83">
        <f>IF($G684="","",IFERROR(IF(INDEX(設定!$D$6:$D$21,MATCH($G684,設定!$B$6:$B$21,0))=0,"",INDEX(設定!$D$6:$D$21,MATCH($G684,設定!$B$6:$B$21,0))),""))</f>
        <v/>
      </c>
      <c r="I684" s="83">
        <f>IF($G684="","",IFERROR(IF(INDEX(設定!$E$6:$E$21,MATCH($G684,設定!$B$6:$B$21,0))=0,"",INDEX(設定!$E$6:$E$21,MATCH($G684,設定!$B$6:$B$21,0))),""))</f>
        <v/>
      </c>
      <c r="J684" s="83">
        <f>IFERROR(INDEX(打卡匯入!$C$3:$C$2002,MATCH($C684&amp;"|"&amp;DAY($A684),打卡匯入!$E$3:$E$2002,0)),"")</f>
        <v/>
      </c>
      <c r="K684" s="83">
        <f>IFERROR(INDEX(打卡匯入!$D$3:$D$2002,MATCH($C684&amp;"|"&amp;DAY($A684),打卡匯入!$E$3:$E$2002,0)),"")</f>
        <v/>
      </c>
      <c r="L684" s="84">
        <f>IF(OR($J684="",$K684=""),"",IFERROR(INDEX(設定!$F$6:$F$21,MATCH($G684,設定!$B$6:$B$21,0)),0))</f>
        <v/>
      </c>
      <c r="M684" s="85">
        <f>IF(OR($J684="",$K684=""),"",ROUND(($K684-$J684)*24-$L684/60,2))</f>
        <v/>
      </c>
      <c r="N684" s="16">
        <f>IF($C684="","",IF(AND(COUNTIF(設定!$B$15:$B$21,$G684)&gt;0,$J684&lt;&gt;""),"假日出勤",IF(AND(COUNTIF(設定!$B$6:$B$14,$G684)&gt;0,$J684=""),"未打卡",IF($J684="","",IF($O684&gt;0,"遲到",IF($P684&gt;0,"早退","正常"))))))</f>
        <v/>
      </c>
      <c r="O684" s="84">
        <f>IF(OR($C684="",$H684="",$J684=""),0,IF(ROUND(($J684-$H684)*1440,0)&gt;設定!$C$46,ROUND(($J684-$H684)*1440,0),0))</f>
        <v/>
      </c>
      <c r="P684" s="84">
        <f>IF(OR($C684="",$I684="",$K684=""),0,IF(ROUND(($I684-$K684)*1440,0)&gt;設定!$C$46,ROUND(($I684-$K684)*1440,0),0))</f>
        <v/>
      </c>
      <c r="Q684" s="85">
        <f>IF($M684="",0,IF(($M684-IFERROR(INDEX(設定!$G$6:$G$21,MATCH($G684,設定!$B$6:$B$21,0)),0))*60&gt;=設定!$C$44,ROUND(FLOOR(($M684-IFERROR(INDEX(設定!$G$6:$G$21,MATCH($G684,設定!$B$6:$B$21,0)),0))*60,設定!$C$45)/60,2),0))</f>
        <v/>
      </c>
      <c r="R684" s="16">
        <f>IF(OR($C684="",$Q684=0),"",IF($G684="國","國定假日",IF($B684="日","例假",IF($B684="六","休息日","平日"))))</f>
        <v/>
      </c>
      <c r="S684" s="19" t="n"/>
    </row>
    <row r="685">
      <c r="A685" s="82">
        <f>IF(OR(助理班表!$A27="",1&gt;DAY(EOMONTH(DATE(設定!$C$2,設定!$D$2,1),0))),"",DATE(設定!$C$2,設定!$D$2,1))</f>
        <v/>
      </c>
      <c r="B685" s="16">
        <f>IF($A685="","",INDEX(設定!$O$6:$O$12,WEEKDAY($A685,1)))</f>
        <v/>
      </c>
      <c r="C685" s="16">
        <f>IF($A685="","",助理班表!$A27)</f>
        <v/>
      </c>
      <c r="D685" s="16">
        <f>IF($C685="","",助理班表!$B27)</f>
        <v/>
      </c>
      <c r="E685" s="16">
        <f>IF($C685="","",助理班表!$D27)</f>
        <v/>
      </c>
      <c r="F685" s="16">
        <f>IF($C685="","",助理班表!$C27)</f>
        <v/>
      </c>
      <c r="G685" s="16">
        <f>IF($C685="","",助理班表!E27)</f>
        <v/>
      </c>
      <c r="H685" s="83">
        <f>IF($G685="","",IFERROR(IF(INDEX(設定!$D$6:$D$21,MATCH($G685,設定!$B$6:$B$21,0))=0,"",INDEX(設定!$D$6:$D$21,MATCH($G685,設定!$B$6:$B$21,0))),""))</f>
        <v/>
      </c>
      <c r="I685" s="83">
        <f>IF($G685="","",IFERROR(IF(INDEX(設定!$E$6:$E$21,MATCH($G685,設定!$B$6:$B$21,0))=0,"",INDEX(設定!$E$6:$E$21,MATCH($G685,設定!$B$6:$B$21,0))),""))</f>
        <v/>
      </c>
      <c r="J685" s="83">
        <f>IFERROR(INDEX(打卡匯入!$C$3:$C$2002,MATCH($C685&amp;"|"&amp;DAY($A685),打卡匯入!$E$3:$E$2002,0)),"")</f>
        <v/>
      </c>
      <c r="K685" s="83">
        <f>IFERROR(INDEX(打卡匯入!$D$3:$D$2002,MATCH($C685&amp;"|"&amp;DAY($A685),打卡匯入!$E$3:$E$2002,0)),"")</f>
        <v/>
      </c>
      <c r="L685" s="84">
        <f>IF(OR($J685="",$K685=""),"",IFERROR(INDEX(設定!$F$6:$F$21,MATCH($G685,設定!$B$6:$B$21,0)),0))</f>
        <v/>
      </c>
      <c r="M685" s="85">
        <f>IF(OR($J685="",$K685=""),"",ROUND(($K685-$J685)*24-$L685/60,2))</f>
        <v/>
      </c>
      <c r="N685" s="16">
        <f>IF($C685="","",IF(AND(COUNTIF(設定!$B$15:$B$21,$G685)&gt;0,$J685&lt;&gt;""),"假日出勤",IF(AND(COUNTIF(設定!$B$6:$B$14,$G685)&gt;0,$J685=""),"未打卡",IF($J685="","",IF($O685&gt;0,"遲到",IF($P685&gt;0,"早退","正常"))))))</f>
        <v/>
      </c>
      <c r="O685" s="84">
        <f>IF(OR($C685="",$H685="",$J685=""),0,IF(ROUND(($J685-$H685)*1440,0)&gt;設定!$C$46,ROUND(($J685-$H685)*1440,0),0))</f>
        <v/>
      </c>
      <c r="P685" s="84">
        <f>IF(OR($C685="",$I685="",$K685=""),0,IF(ROUND(($I685-$K685)*1440,0)&gt;設定!$C$46,ROUND(($I685-$K685)*1440,0),0))</f>
        <v/>
      </c>
      <c r="Q685" s="85">
        <f>IF($M685="",0,IF(($M685-IFERROR(INDEX(設定!$G$6:$G$21,MATCH($G685,設定!$B$6:$B$21,0)),0))*60&gt;=設定!$C$44,ROUND(FLOOR(($M685-IFERROR(INDEX(設定!$G$6:$G$21,MATCH($G685,設定!$B$6:$B$21,0)),0))*60,設定!$C$45)/60,2),0))</f>
        <v/>
      </c>
      <c r="R685" s="16">
        <f>IF(OR($C685="",$Q685=0),"",IF($G685="國","國定假日",IF($B685="日","例假",IF($B685="六","休息日","平日"))))</f>
        <v/>
      </c>
      <c r="S685" s="19" t="n"/>
    </row>
    <row r="686">
      <c r="A686" s="82">
        <f>IF(OR(助理班表!$A27="",2&gt;DAY(EOMONTH(DATE(設定!$C$2,設定!$D$2,1),0))),"",DATE(設定!$C$2,設定!$D$2,2))</f>
        <v/>
      </c>
      <c r="B686" s="16">
        <f>IF($A686="","",INDEX(設定!$O$6:$O$12,WEEKDAY($A686,1)))</f>
        <v/>
      </c>
      <c r="C686" s="16">
        <f>IF($A686="","",助理班表!$A27)</f>
        <v/>
      </c>
      <c r="D686" s="16">
        <f>IF($C686="","",助理班表!$B27)</f>
        <v/>
      </c>
      <c r="E686" s="16">
        <f>IF($C686="","",助理班表!$D27)</f>
        <v/>
      </c>
      <c r="F686" s="16">
        <f>IF($C686="","",助理班表!$C27)</f>
        <v/>
      </c>
      <c r="G686" s="16">
        <f>IF($C686="","",助理班表!F27)</f>
        <v/>
      </c>
      <c r="H686" s="83">
        <f>IF($G686="","",IFERROR(IF(INDEX(設定!$D$6:$D$21,MATCH($G686,設定!$B$6:$B$21,0))=0,"",INDEX(設定!$D$6:$D$21,MATCH($G686,設定!$B$6:$B$21,0))),""))</f>
        <v/>
      </c>
      <c r="I686" s="83">
        <f>IF($G686="","",IFERROR(IF(INDEX(設定!$E$6:$E$21,MATCH($G686,設定!$B$6:$B$21,0))=0,"",INDEX(設定!$E$6:$E$21,MATCH($G686,設定!$B$6:$B$21,0))),""))</f>
        <v/>
      </c>
      <c r="J686" s="83">
        <f>IFERROR(INDEX(打卡匯入!$C$3:$C$2002,MATCH($C686&amp;"|"&amp;DAY($A686),打卡匯入!$E$3:$E$2002,0)),"")</f>
        <v/>
      </c>
      <c r="K686" s="83">
        <f>IFERROR(INDEX(打卡匯入!$D$3:$D$2002,MATCH($C686&amp;"|"&amp;DAY($A686),打卡匯入!$E$3:$E$2002,0)),"")</f>
        <v/>
      </c>
      <c r="L686" s="84">
        <f>IF(OR($J686="",$K686=""),"",IFERROR(INDEX(設定!$F$6:$F$21,MATCH($G686,設定!$B$6:$B$21,0)),0))</f>
        <v/>
      </c>
      <c r="M686" s="85">
        <f>IF(OR($J686="",$K686=""),"",ROUND(($K686-$J686)*24-$L686/60,2))</f>
        <v/>
      </c>
      <c r="N686" s="16">
        <f>IF($C686="","",IF(AND(COUNTIF(設定!$B$15:$B$21,$G686)&gt;0,$J686&lt;&gt;""),"假日出勤",IF(AND(COUNTIF(設定!$B$6:$B$14,$G686)&gt;0,$J686=""),"未打卡",IF($J686="","",IF($O686&gt;0,"遲到",IF($P686&gt;0,"早退","正常"))))))</f>
        <v/>
      </c>
      <c r="O686" s="84">
        <f>IF(OR($C686="",$H686="",$J686=""),0,IF(ROUND(($J686-$H686)*1440,0)&gt;設定!$C$46,ROUND(($J686-$H686)*1440,0),0))</f>
        <v/>
      </c>
      <c r="P686" s="84">
        <f>IF(OR($C686="",$I686="",$K686=""),0,IF(ROUND(($I686-$K686)*1440,0)&gt;設定!$C$46,ROUND(($I686-$K686)*1440,0),0))</f>
        <v/>
      </c>
      <c r="Q686" s="85">
        <f>IF($M686="",0,IF(($M686-IFERROR(INDEX(設定!$G$6:$G$21,MATCH($G686,設定!$B$6:$B$21,0)),0))*60&gt;=設定!$C$44,ROUND(FLOOR(($M686-IFERROR(INDEX(設定!$G$6:$G$21,MATCH($G686,設定!$B$6:$B$21,0)),0))*60,設定!$C$45)/60,2),0))</f>
        <v/>
      </c>
      <c r="R686" s="16">
        <f>IF(OR($C686="",$Q686=0),"",IF($G686="國","國定假日",IF($B686="日","例假",IF($B686="六","休息日","平日"))))</f>
        <v/>
      </c>
      <c r="S686" s="19" t="n"/>
    </row>
    <row r="687">
      <c r="A687" s="82">
        <f>IF(OR(助理班表!$A27="",3&gt;DAY(EOMONTH(DATE(設定!$C$2,設定!$D$2,1),0))),"",DATE(設定!$C$2,設定!$D$2,3))</f>
        <v/>
      </c>
      <c r="B687" s="16">
        <f>IF($A687="","",INDEX(設定!$O$6:$O$12,WEEKDAY($A687,1)))</f>
        <v/>
      </c>
      <c r="C687" s="16">
        <f>IF($A687="","",助理班表!$A27)</f>
        <v/>
      </c>
      <c r="D687" s="16">
        <f>IF($C687="","",助理班表!$B27)</f>
        <v/>
      </c>
      <c r="E687" s="16">
        <f>IF($C687="","",助理班表!$D27)</f>
        <v/>
      </c>
      <c r="F687" s="16">
        <f>IF($C687="","",助理班表!$C27)</f>
        <v/>
      </c>
      <c r="G687" s="16">
        <f>IF($C687="","",助理班表!G27)</f>
        <v/>
      </c>
      <c r="H687" s="83">
        <f>IF($G687="","",IFERROR(IF(INDEX(設定!$D$6:$D$21,MATCH($G687,設定!$B$6:$B$21,0))=0,"",INDEX(設定!$D$6:$D$21,MATCH($G687,設定!$B$6:$B$21,0))),""))</f>
        <v/>
      </c>
      <c r="I687" s="83">
        <f>IF($G687="","",IFERROR(IF(INDEX(設定!$E$6:$E$21,MATCH($G687,設定!$B$6:$B$21,0))=0,"",INDEX(設定!$E$6:$E$21,MATCH($G687,設定!$B$6:$B$21,0))),""))</f>
        <v/>
      </c>
      <c r="J687" s="83">
        <f>IFERROR(INDEX(打卡匯入!$C$3:$C$2002,MATCH($C687&amp;"|"&amp;DAY($A687),打卡匯入!$E$3:$E$2002,0)),"")</f>
        <v/>
      </c>
      <c r="K687" s="83">
        <f>IFERROR(INDEX(打卡匯入!$D$3:$D$2002,MATCH($C687&amp;"|"&amp;DAY($A687),打卡匯入!$E$3:$E$2002,0)),"")</f>
        <v/>
      </c>
      <c r="L687" s="84">
        <f>IF(OR($J687="",$K687=""),"",IFERROR(INDEX(設定!$F$6:$F$21,MATCH($G687,設定!$B$6:$B$21,0)),0))</f>
        <v/>
      </c>
      <c r="M687" s="85">
        <f>IF(OR($J687="",$K687=""),"",ROUND(($K687-$J687)*24-$L687/60,2))</f>
        <v/>
      </c>
      <c r="N687" s="16">
        <f>IF($C687="","",IF(AND(COUNTIF(設定!$B$15:$B$21,$G687)&gt;0,$J687&lt;&gt;""),"假日出勤",IF(AND(COUNTIF(設定!$B$6:$B$14,$G687)&gt;0,$J687=""),"未打卡",IF($J687="","",IF($O687&gt;0,"遲到",IF($P687&gt;0,"早退","正常"))))))</f>
        <v/>
      </c>
      <c r="O687" s="84">
        <f>IF(OR($C687="",$H687="",$J687=""),0,IF(ROUND(($J687-$H687)*1440,0)&gt;設定!$C$46,ROUND(($J687-$H687)*1440,0),0))</f>
        <v/>
      </c>
      <c r="P687" s="84">
        <f>IF(OR($C687="",$I687="",$K687=""),0,IF(ROUND(($I687-$K687)*1440,0)&gt;設定!$C$46,ROUND(($I687-$K687)*1440,0),0))</f>
        <v/>
      </c>
      <c r="Q687" s="85">
        <f>IF($M687="",0,IF(($M687-IFERROR(INDEX(設定!$G$6:$G$21,MATCH($G687,設定!$B$6:$B$21,0)),0))*60&gt;=設定!$C$44,ROUND(FLOOR(($M687-IFERROR(INDEX(設定!$G$6:$G$21,MATCH($G687,設定!$B$6:$B$21,0)),0))*60,設定!$C$45)/60,2),0))</f>
        <v/>
      </c>
      <c r="R687" s="16">
        <f>IF(OR($C687="",$Q687=0),"",IF($G687="國","國定假日",IF($B687="日","例假",IF($B687="六","休息日","平日"))))</f>
        <v/>
      </c>
      <c r="S687" s="19" t="n"/>
    </row>
    <row r="688">
      <c r="A688" s="82">
        <f>IF(OR(助理班表!$A27="",4&gt;DAY(EOMONTH(DATE(設定!$C$2,設定!$D$2,1),0))),"",DATE(設定!$C$2,設定!$D$2,4))</f>
        <v/>
      </c>
      <c r="B688" s="16">
        <f>IF($A688="","",INDEX(設定!$O$6:$O$12,WEEKDAY($A688,1)))</f>
        <v/>
      </c>
      <c r="C688" s="16">
        <f>IF($A688="","",助理班表!$A27)</f>
        <v/>
      </c>
      <c r="D688" s="16">
        <f>IF($C688="","",助理班表!$B27)</f>
        <v/>
      </c>
      <c r="E688" s="16">
        <f>IF($C688="","",助理班表!$D27)</f>
        <v/>
      </c>
      <c r="F688" s="16">
        <f>IF($C688="","",助理班表!$C27)</f>
        <v/>
      </c>
      <c r="G688" s="16">
        <f>IF($C688="","",助理班表!H27)</f>
        <v/>
      </c>
      <c r="H688" s="83">
        <f>IF($G688="","",IFERROR(IF(INDEX(設定!$D$6:$D$21,MATCH($G688,設定!$B$6:$B$21,0))=0,"",INDEX(設定!$D$6:$D$21,MATCH($G688,設定!$B$6:$B$21,0))),""))</f>
        <v/>
      </c>
      <c r="I688" s="83">
        <f>IF($G688="","",IFERROR(IF(INDEX(設定!$E$6:$E$21,MATCH($G688,設定!$B$6:$B$21,0))=0,"",INDEX(設定!$E$6:$E$21,MATCH($G688,設定!$B$6:$B$21,0))),""))</f>
        <v/>
      </c>
      <c r="J688" s="83">
        <f>IFERROR(INDEX(打卡匯入!$C$3:$C$2002,MATCH($C688&amp;"|"&amp;DAY($A688),打卡匯入!$E$3:$E$2002,0)),"")</f>
        <v/>
      </c>
      <c r="K688" s="83">
        <f>IFERROR(INDEX(打卡匯入!$D$3:$D$2002,MATCH($C688&amp;"|"&amp;DAY($A688),打卡匯入!$E$3:$E$2002,0)),"")</f>
        <v/>
      </c>
      <c r="L688" s="84">
        <f>IF(OR($J688="",$K688=""),"",IFERROR(INDEX(設定!$F$6:$F$21,MATCH($G688,設定!$B$6:$B$21,0)),0))</f>
        <v/>
      </c>
      <c r="M688" s="85">
        <f>IF(OR($J688="",$K688=""),"",ROUND(($K688-$J688)*24-$L688/60,2))</f>
        <v/>
      </c>
      <c r="N688" s="16">
        <f>IF($C688="","",IF(AND(COUNTIF(設定!$B$15:$B$21,$G688)&gt;0,$J688&lt;&gt;""),"假日出勤",IF(AND(COUNTIF(設定!$B$6:$B$14,$G688)&gt;0,$J688=""),"未打卡",IF($J688="","",IF($O688&gt;0,"遲到",IF($P688&gt;0,"早退","正常"))))))</f>
        <v/>
      </c>
      <c r="O688" s="84">
        <f>IF(OR($C688="",$H688="",$J688=""),0,IF(ROUND(($J688-$H688)*1440,0)&gt;設定!$C$46,ROUND(($J688-$H688)*1440,0),0))</f>
        <v/>
      </c>
      <c r="P688" s="84">
        <f>IF(OR($C688="",$I688="",$K688=""),0,IF(ROUND(($I688-$K688)*1440,0)&gt;設定!$C$46,ROUND(($I688-$K688)*1440,0),0))</f>
        <v/>
      </c>
      <c r="Q688" s="85">
        <f>IF($M688="",0,IF(($M688-IFERROR(INDEX(設定!$G$6:$G$21,MATCH($G688,設定!$B$6:$B$21,0)),0))*60&gt;=設定!$C$44,ROUND(FLOOR(($M688-IFERROR(INDEX(設定!$G$6:$G$21,MATCH($G688,設定!$B$6:$B$21,0)),0))*60,設定!$C$45)/60,2),0))</f>
        <v/>
      </c>
      <c r="R688" s="16">
        <f>IF(OR($C688="",$Q688=0),"",IF($G688="國","國定假日",IF($B688="日","例假",IF($B688="六","休息日","平日"))))</f>
        <v/>
      </c>
      <c r="S688" s="19" t="n"/>
    </row>
    <row r="689">
      <c r="A689" s="82">
        <f>IF(OR(助理班表!$A27="",5&gt;DAY(EOMONTH(DATE(設定!$C$2,設定!$D$2,1),0))),"",DATE(設定!$C$2,設定!$D$2,5))</f>
        <v/>
      </c>
      <c r="B689" s="16">
        <f>IF($A689="","",INDEX(設定!$O$6:$O$12,WEEKDAY($A689,1)))</f>
        <v/>
      </c>
      <c r="C689" s="16">
        <f>IF($A689="","",助理班表!$A27)</f>
        <v/>
      </c>
      <c r="D689" s="16">
        <f>IF($C689="","",助理班表!$B27)</f>
        <v/>
      </c>
      <c r="E689" s="16">
        <f>IF($C689="","",助理班表!$D27)</f>
        <v/>
      </c>
      <c r="F689" s="16">
        <f>IF($C689="","",助理班表!$C27)</f>
        <v/>
      </c>
      <c r="G689" s="16">
        <f>IF($C689="","",助理班表!I27)</f>
        <v/>
      </c>
      <c r="H689" s="83">
        <f>IF($G689="","",IFERROR(IF(INDEX(設定!$D$6:$D$21,MATCH($G689,設定!$B$6:$B$21,0))=0,"",INDEX(設定!$D$6:$D$21,MATCH($G689,設定!$B$6:$B$21,0))),""))</f>
        <v/>
      </c>
      <c r="I689" s="83">
        <f>IF($G689="","",IFERROR(IF(INDEX(設定!$E$6:$E$21,MATCH($G689,設定!$B$6:$B$21,0))=0,"",INDEX(設定!$E$6:$E$21,MATCH($G689,設定!$B$6:$B$21,0))),""))</f>
        <v/>
      </c>
      <c r="J689" s="83">
        <f>IFERROR(INDEX(打卡匯入!$C$3:$C$2002,MATCH($C689&amp;"|"&amp;DAY($A689),打卡匯入!$E$3:$E$2002,0)),"")</f>
        <v/>
      </c>
      <c r="K689" s="83">
        <f>IFERROR(INDEX(打卡匯入!$D$3:$D$2002,MATCH($C689&amp;"|"&amp;DAY($A689),打卡匯入!$E$3:$E$2002,0)),"")</f>
        <v/>
      </c>
      <c r="L689" s="84">
        <f>IF(OR($J689="",$K689=""),"",IFERROR(INDEX(設定!$F$6:$F$21,MATCH($G689,設定!$B$6:$B$21,0)),0))</f>
        <v/>
      </c>
      <c r="M689" s="85">
        <f>IF(OR($J689="",$K689=""),"",ROUND(($K689-$J689)*24-$L689/60,2))</f>
        <v/>
      </c>
      <c r="N689" s="16">
        <f>IF($C689="","",IF(AND(COUNTIF(設定!$B$15:$B$21,$G689)&gt;0,$J689&lt;&gt;""),"假日出勤",IF(AND(COUNTIF(設定!$B$6:$B$14,$G689)&gt;0,$J689=""),"未打卡",IF($J689="","",IF($O689&gt;0,"遲到",IF($P689&gt;0,"早退","正常"))))))</f>
        <v/>
      </c>
      <c r="O689" s="84">
        <f>IF(OR($C689="",$H689="",$J689=""),0,IF(ROUND(($J689-$H689)*1440,0)&gt;設定!$C$46,ROUND(($J689-$H689)*1440,0),0))</f>
        <v/>
      </c>
      <c r="P689" s="84">
        <f>IF(OR($C689="",$I689="",$K689=""),0,IF(ROUND(($I689-$K689)*1440,0)&gt;設定!$C$46,ROUND(($I689-$K689)*1440,0),0))</f>
        <v/>
      </c>
      <c r="Q689" s="85">
        <f>IF($M689="",0,IF(($M689-IFERROR(INDEX(設定!$G$6:$G$21,MATCH($G689,設定!$B$6:$B$21,0)),0))*60&gt;=設定!$C$44,ROUND(FLOOR(($M689-IFERROR(INDEX(設定!$G$6:$G$21,MATCH($G689,設定!$B$6:$B$21,0)),0))*60,設定!$C$45)/60,2),0))</f>
        <v/>
      </c>
      <c r="R689" s="16">
        <f>IF(OR($C689="",$Q689=0),"",IF($G689="國","國定假日",IF($B689="日","例假",IF($B689="六","休息日","平日"))))</f>
        <v/>
      </c>
      <c r="S689" s="19" t="n"/>
    </row>
    <row r="690">
      <c r="A690" s="82">
        <f>IF(OR(助理班表!$A27="",6&gt;DAY(EOMONTH(DATE(設定!$C$2,設定!$D$2,1),0))),"",DATE(設定!$C$2,設定!$D$2,6))</f>
        <v/>
      </c>
      <c r="B690" s="16">
        <f>IF($A690="","",INDEX(設定!$O$6:$O$12,WEEKDAY($A690,1)))</f>
        <v/>
      </c>
      <c r="C690" s="16">
        <f>IF($A690="","",助理班表!$A27)</f>
        <v/>
      </c>
      <c r="D690" s="16">
        <f>IF($C690="","",助理班表!$B27)</f>
        <v/>
      </c>
      <c r="E690" s="16">
        <f>IF($C690="","",助理班表!$D27)</f>
        <v/>
      </c>
      <c r="F690" s="16">
        <f>IF($C690="","",助理班表!$C27)</f>
        <v/>
      </c>
      <c r="G690" s="16">
        <f>IF($C690="","",助理班表!J27)</f>
        <v/>
      </c>
      <c r="H690" s="83">
        <f>IF($G690="","",IFERROR(IF(INDEX(設定!$D$6:$D$21,MATCH($G690,設定!$B$6:$B$21,0))=0,"",INDEX(設定!$D$6:$D$21,MATCH($G690,設定!$B$6:$B$21,0))),""))</f>
        <v/>
      </c>
      <c r="I690" s="83">
        <f>IF($G690="","",IFERROR(IF(INDEX(設定!$E$6:$E$21,MATCH($G690,設定!$B$6:$B$21,0))=0,"",INDEX(設定!$E$6:$E$21,MATCH($G690,設定!$B$6:$B$21,0))),""))</f>
        <v/>
      </c>
      <c r="J690" s="83">
        <f>IFERROR(INDEX(打卡匯入!$C$3:$C$2002,MATCH($C690&amp;"|"&amp;DAY($A690),打卡匯入!$E$3:$E$2002,0)),"")</f>
        <v/>
      </c>
      <c r="K690" s="83">
        <f>IFERROR(INDEX(打卡匯入!$D$3:$D$2002,MATCH($C690&amp;"|"&amp;DAY($A690),打卡匯入!$E$3:$E$2002,0)),"")</f>
        <v/>
      </c>
      <c r="L690" s="84">
        <f>IF(OR($J690="",$K690=""),"",IFERROR(INDEX(設定!$F$6:$F$21,MATCH($G690,設定!$B$6:$B$21,0)),0))</f>
        <v/>
      </c>
      <c r="M690" s="85">
        <f>IF(OR($J690="",$K690=""),"",ROUND(($K690-$J690)*24-$L690/60,2))</f>
        <v/>
      </c>
      <c r="N690" s="16">
        <f>IF($C690="","",IF(AND(COUNTIF(設定!$B$15:$B$21,$G690)&gt;0,$J690&lt;&gt;""),"假日出勤",IF(AND(COUNTIF(設定!$B$6:$B$14,$G690)&gt;0,$J690=""),"未打卡",IF($J690="","",IF($O690&gt;0,"遲到",IF($P690&gt;0,"早退","正常"))))))</f>
        <v/>
      </c>
      <c r="O690" s="84">
        <f>IF(OR($C690="",$H690="",$J690=""),0,IF(ROUND(($J690-$H690)*1440,0)&gt;設定!$C$46,ROUND(($J690-$H690)*1440,0),0))</f>
        <v/>
      </c>
      <c r="P690" s="84">
        <f>IF(OR($C690="",$I690="",$K690=""),0,IF(ROUND(($I690-$K690)*1440,0)&gt;設定!$C$46,ROUND(($I690-$K690)*1440,0),0))</f>
        <v/>
      </c>
      <c r="Q690" s="85">
        <f>IF($M690="",0,IF(($M690-IFERROR(INDEX(設定!$G$6:$G$21,MATCH($G690,設定!$B$6:$B$21,0)),0))*60&gt;=設定!$C$44,ROUND(FLOOR(($M690-IFERROR(INDEX(設定!$G$6:$G$21,MATCH($G690,設定!$B$6:$B$21,0)),0))*60,設定!$C$45)/60,2),0))</f>
        <v/>
      </c>
      <c r="R690" s="16">
        <f>IF(OR($C690="",$Q690=0),"",IF($G690="國","國定假日",IF($B690="日","例假",IF($B690="六","休息日","平日"))))</f>
        <v/>
      </c>
      <c r="S690" s="19" t="n"/>
    </row>
    <row r="691">
      <c r="A691" s="82">
        <f>IF(OR(助理班表!$A27="",7&gt;DAY(EOMONTH(DATE(設定!$C$2,設定!$D$2,1),0))),"",DATE(設定!$C$2,設定!$D$2,7))</f>
        <v/>
      </c>
      <c r="B691" s="16">
        <f>IF($A691="","",INDEX(設定!$O$6:$O$12,WEEKDAY($A691,1)))</f>
        <v/>
      </c>
      <c r="C691" s="16">
        <f>IF($A691="","",助理班表!$A27)</f>
        <v/>
      </c>
      <c r="D691" s="16">
        <f>IF($C691="","",助理班表!$B27)</f>
        <v/>
      </c>
      <c r="E691" s="16">
        <f>IF($C691="","",助理班表!$D27)</f>
        <v/>
      </c>
      <c r="F691" s="16">
        <f>IF($C691="","",助理班表!$C27)</f>
        <v/>
      </c>
      <c r="G691" s="16">
        <f>IF($C691="","",助理班表!K27)</f>
        <v/>
      </c>
      <c r="H691" s="83">
        <f>IF($G691="","",IFERROR(IF(INDEX(設定!$D$6:$D$21,MATCH($G691,設定!$B$6:$B$21,0))=0,"",INDEX(設定!$D$6:$D$21,MATCH($G691,設定!$B$6:$B$21,0))),""))</f>
        <v/>
      </c>
      <c r="I691" s="83">
        <f>IF($G691="","",IFERROR(IF(INDEX(設定!$E$6:$E$21,MATCH($G691,設定!$B$6:$B$21,0))=0,"",INDEX(設定!$E$6:$E$21,MATCH($G691,設定!$B$6:$B$21,0))),""))</f>
        <v/>
      </c>
      <c r="J691" s="83">
        <f>IFERROR(INDEX(打卡匯入!$C$3:$C$2002,MATCH($C691&amp;"|"&amp;DAY($A691),打卡匯入!$E$3:$E$2002,0)),"")</f>
        <v/>
      </c>
      <c r="K691" s="83">
        <f>IFERROR(INDEX(打卡匯入!$D$3:$D$2002,MATCH($C691&amp;"|"&amp;DAY($A691),打卡匯入!$E$3:$E$2002,0)),"")</f>
        <v/>
      </c>
      <c r="L691" s="84">
        <f>IF(OR($J691="",$K691=""),"",IFERROR(INDEX(設定!$F$6:$F$21,MATCH($G691,設定!$B$6:$B$21,0)),0))</f>
        <v/>
      </c>
      <c r="M691" s="85">
        <f>IF(OR($J691="",$K691=""),"",ROUND(($K691-$J691)*24-$L691/60,2))</f>
        <v/>
      </c>
      <c r="N691" s="16">
        <f>IF($C691="","",IF(AND(COUNTIF(設定!$B$15:$B$21,$G691)&gt;0,$J691&lt;&gt;""),"假日出勤",IF(AND(COUNTIF(設定!$B$6:$B$14,$G691)&gt;0,$J691=""),"未打卡",IF($J691="","",IF($O691&gt;0,"遲到",IF($P691&gt;0,"早退","正常"))))))</f>
        <v/>
      </c>
      <c r="O691" s="84">
        <f>IF(OR($C691="",$H691="",$J691=""),0,IF(ROUND(($J691-$H691)*1440,0)&gt;設定!$C$46,ROUND(($J691-$H691)*1440,0),0))</f>
        <v/>
      </c>
      <c r="P691" s="84">
        <f>IF(OR($C691="",$I691="",$K691=""),0,IF(ROUND(($I691-$K691)*1440,0)&gt;設定!$C$46,ROUND(($I691-$K691)*1440,0),0))</f>
        <v/>
      </c>
      <c r="Q691" s="85">
        <f>IF($M691="",0,IF(($M691-IFERROR(INDEX(設定!$G$6:$G$21,MATCH($G691,設定!$B$6:$B$21,0)),0))*60&gt;=設定!$C$44,ROUND(FLOOR(($M691-IFERROR(INDEX(設定!$G$6:$G$21,MATCH($G691,設定!$B$6:$B$21,0)),0))*60,設定!$C$45)/60,2),0))</f>
        <v/>
      </c>
      <c r="R691" s="16">
        <f>IF(OR($C691="",$Q691=0),"",IF($G691="國","國定假日",IF($B691="日","例假",IF($B691="六","休息日","平日"))))</f>
        <v/>
      </c>
      <c r="S691" s="19" t="n"/>
    </row>
    <row r="692">
      <c r="A692" s="82">
        <f>IF(OR(助理班表!$A27="",8&gt;DAY(EOMONTH(DATE(設定!$C$2,設定!$D$2,1),0))),"",DATE(設定!$C$2,設定!$D$2,8))</f>
        <v/>
      </c>
      <c r="B692" s="16">
        <f>IF($A692="","",INDEX(設定!$O$6:$O$12,WEEKDAY($A692,1)))</f>
        <v/>
      </c>
      <c r="C692" s="16">
        <f>IF($A692="","",助理班表!$A27)</f>
        <v/>
      </c>
      <c r="D692" s="16">
        <f>IF($C692="","",助理班表!$B27)</f>
        <v/>
      </c>
      <c r="E692" s="16">
        <f>IF($C692="","",助理班表!$D27)</f>
        <v/>
      </c>
      <c r="F692" s="16">
        <f>IF($C692="","",助理班表!$C27)</f>
        <v/>
      </c>
      <c r="G692" s="16">
        <f>IF($C692="","",助理班表!L27)</f>
        <v/>
      </c>
      <c r="H692" s="83">
        <f>IF($G692="","",IFERROR(IF(INDEX(設定!$D$6:$D$21,MATCH($G692,設定!$B$6:$B$21,0))=0,"",INDEX(設定!$D$6:$D$21,MATCH($G692,設定!$B$6:$B$21,0))),""))</f>
        <v/>
      </c>
      <c r="I692" s="83">
        <f>IF($G692="","",IFERROR(IF(INDEX(設定!$E$6:$E$21,MATCH($G692,設定!$B$6:$B$21,0))=0,"",INDEX(設定!$E$6:$E$21,MATCH($G692,設定!$B$6:$B$21,0))),""))</f>
        <v/>
      </c>
      <c r="J692" s="83">
        <f>IFERROR(INDEX(打卡匯入!$C$3:$C$2002,MATCH($C692&amp;"|"&amp;DAY($A692),打卡匯入!$E$3:$E$2002,0)),"")</f>
        <v/>
      </c>
      <c r="K692" s="83">
        <f>IFERROR(INDEX(打卡匯入!$D$3:$D$2002,MATCH($C692&amp;"|"&amp;DAY($A692),打卡匯入!$E$3:$E$2002,0)),"")</f>
        <v/>
      </c>
      <c r="L692" s="84">
        <f>IF(OR($J692="",$K692=""),"",IFERROR(INDEX(設定!$F$6:$F$21,MATCH($G692,設定!$B$6:$B$21,0)),0))</f>
        <v/>
      </c>
      <c r="M692" s="85">
        <f>IF(OR($J692="",$K692=""),"",ROUND(($K692-$J692)*24-$L692/60,2))</f>
        <v/>
      </c>
      <c r="N692" s="16">
        <f>IF($C692="","",IF(AND(COUNTIF(設定!$B$15:$B$21,$G692)&gt;0,$J692&lt;&gt;""),"假日出勤",IF(AND(COUNTIF(設定!$B$6:$B$14,$G692)&gt;0,$J692=""),"未打卡",IF($J692="","",IF($O692&gt;0,"遲到",IF($P692&gt;0,"早退","正常"))))))</f>
        <v/>
      </c>
      <c r="O692" s="84">
        <f>IF(OR($C692="",$H692="",$J692=""),0,IF(ROUND(($J692-$H692)*1440,0)&gt;設定!$C$46,ROUND(($J692-$H692)*1440,0),0))</f>
        <v/>
      </c>
      <c r="P692" s="84">
        <f>IF(OR($C692="",$I692="",$K692=""),0,IF(ROUND(($I692-$K692)*1440,0)&gt;設定!$C$46,ROUND(($I692-$K692)*1440,0),0))</f>
        <v/>
      </c>
      <c r="Q692" s="85">
        <f>IF($M692="",0,IF(($M692-IFERROR(INDEX(設定!$G$6:$G$21,MATCH($G692,設定!$B$6:$B$21,0)),0))*60&gt;=設定!$C$44,ROUND(FLOOR(($M692-IFERROR(INDEX(設定!$G$6:$G$21,MATCH($G692,設定!$B$6:$B$21,0)),0))*60,設定!$C$45)/60,2),0))</f>
        <v/>
      </c>
      <c r="R692" s="16">
        <f>IF(OR($C692="",$Q692=0),"",IF($G692="國","國定假日",IF($B692="日","例假",IF($B692="六","休息日","平日"))))</f>
        <v/>
      </c>
      <c r="S692" s="19" t="n"/>
    </row>
    <row r="693">
      <c r="A693" s="82">
        <f>IF(OR(助理班表!$A27="",9&gt;DAY(EOMONTH(DATE(設定!$C$2,設定!$D$2,1),0))),"",DATE(設定!$C$2,設定!$D$2,9))</f>
        <v/>
      </c>
      <c r="B693" s="16">
        <f>IF($A693="","",INDEX(設定!$O$6:$O$12,WEEKDAY($A693,1)))</f>
        <v/>
      </c>
      <c r="C693" s="16">
        <f>IF($A693="","",助理班表!$A27)</f>
        <v/>
      </c>
      <c r="D693" s="16">
        <f>IF($C693="","",助理班表!$B27)</f>
        <v/>
      </c>
      <c r="E693" s="16">
        <f>IF($C693="","",助理班表!$D27)</f>
        <v/>
      </c>
      <c r="F693" s="16">
        <f>IF($C693="","",助理班表!$C27)</f>
        <v/>
      </c>
      <c r="G693" s="16">
        <f>IF($C693="","",助理班表!M27)</f>
        <v/>
      </c>
      <c r="H693" s="83">
        <f>IF($G693="","",IFERROR(IF(INDEX(設定!$D$6:$D$21,MATCH($G693,設定!$B$6:$B$21,0))=0,"",INDEX(設定!$D$6:$D$21,MATCH($G693,設定!$B$6:$B$21,0))),""))</f>
        <v/>
      </c>
      <c r="I693" s="83">
        <f>IF($G693="","",IFERROR(IF(INDEX(設定!$E$6:$E$21,MATCH($G693,設定!$B$6:$B$21,0))=0,"",INDEX(設定!$E$6:$E$21,MATCH($G693,設定!$B$6:$B$21,0))),""))</f>
        <v/>
      </c>
      <c r="J693" s="83">
        <f>IFERROR(INDEX(打卡匯入!$C$3:$C$2002,MATCH($C693&amp;"|"&amp;DAY($A693),打卡匯入!$E$3:$E$2002,0)),"")</f>
        <v/>
      </c>
      <c r="K693" s="83">
        <f>IFERROR(INDEX(打卡匯入!$D$3:$D$2002,MATCH($C693&amp;"|"&amp;DAY($A693),打卡匯入!$E$3:$E$2002,0)),"")</f>
        <v/>
      </c>
      <c r="L693" s="84">
        <f>IF(OR($J693="",$K693=""),"",IFERROR(INDEX(設定!$F$6:$F$21,MATCH($G693,設定!$B$6:$B$21,0)),0))</f>
        <v/>
      </c>
      <c r="M693" s="85">
        <f>IF(OR($J693="",$K693=""),"",ROUND(($K693-$J693)*24-$L693/60,2))</f>
        <v/>
      </c>
      <c r="N693" s="16">
        <f>IF($C693="","",IF(AND(COUNTIF(設定!$B$15:$B$21,$G693)&gt;0,$J693&lt;&gt;""),"假日出勤",IF(AND(COUNTIF(設定!$B$6:$B$14,$G693)&gt;0,$J693=""),"未打卡",IF($J693="","",IF($O693&gt;0,"遲到",IF($P693&gt;0,"早退","正常"))))))</f>
        <v/>
      </c>
      <c r="O693" s="84">
        <f>IF(OR($C693="",$H693="",$J693=""),0,IF(ROUND(($J693-$H693)*1440,0)&gt;設定!$C$46,ROUND(($J693-$H693)*1440,0),0))</f>
        <v/>
      </c>
      <c r="P693" s="84">
        <f>IF(OR($C693="",$I693="",$K693=""),0,IF(ROUND(($I693-$K693)*1440,0)&gt;設定!$C$46,ROUND(($I693-$K693)*1440,0),0))</f>
        <v/>
      </c>
      <c r="Q693" s="85">
        <f>IF($M693="",0,IF(($M693-IFERROR(INDEX(設定!$G$6:$G$21,MATCH($G693,設定!$B$6:$B$21,0)),0))*60&gt;=設定!$C$44,ROUND(FLOOR(($M693-IFERROR(INDEX(設定!$G$6:$G$21,MATCH($G693,設定!$B$6:$B$21,0)),0))*60,設定!$C$45)/60,2),0))</f>
        <v/>
      </c>
      <c r="R693" s="16">
        <f>IF(OR($C693="",$Q693=0),"",IF($G693="國","國定假日",IF($B693="日","例假",IF($B693="六","休息日","平日"))))</f>
        <v/>
      </c>
      <c r="S693" s="19" t="n"/>
    </row>
    <row r="694">
      <c r="A694" s="82">
        <f>IF(OR(助理班表!$A27="",10&gt;DAY(EOMONTH(DATE(設定!$C$2,設定!$D$2,1),0))),"",DATE(設定!$C$2,設定!$D$2,10))</f>
        <v/>
      </c>
      <c r="B694" s="16">
        <f>IF($A694="","",INDEX(設定!$O$6:$O$12,WEEKDAY($A694,1)))</f>
        <v/>
      </c>
      <c r="C694" s="16">
        <f>IF($A694="","",助理班表!$A27)</f>
        <v/>
      </c>
      <c r="D694" s="16">
        <f>IF($C694="","",助理班表!$B27)</f>
        <v/>
      </c>
      <c r="E694" s="16">
        <f>IF($C694="","",助理班表!$D27)</f>
        <v/>
      </c>
      <c r="F694" s="16">
        <f>IF($C694="","",助理班表!$C27)</f>
        <v/>
      </c>
      <c r="G694" s="16">
        <f>IF($C694="","",助理班表!N27)</f>
        <v/>
      </c>
      <c r="H694" s="83">
        <f>IF($G694="","",IFERROR(IF(INDEX(設定!$D$6:$D$21,MATCH($G694,設定!$B$6:$B$21,0))=0,"",INDEX(設定!$D$6:$D$21,MATCH($G694,設定!$B$6:$B$21,0))),""))</f>
        <v/>
      </c>
      <c r="I694" s="83">
        <f>IF($G694="","",IFERROR(IF(INDEX(設定!$E$6:$E$21,MATCH($G694,設定!$B$6:$B$21,0))=0,"",INDEX(設定!$E$6:$E$21,MATCH($G694,設定!$B$6:$B$21,0))),""))</f>
        <v/>
      </c>
      <c r="J694" s="83">
        <f>IFERROR(INDEX(打卡匯入!$C$3:$C$2002,MATCH($C694&amp;"|"&amp;DAY($A694),打卡匯入!$E$3:$E$2002,0)),"")</f>
        <v/>
      </c>
      <c r="K694" s="83">
        <f>IFERROR(INDEX(打卡匯入!$D$3:$D$2002,MATCH($C694&amp;"|"&amp;DAY($A694),打卡匯入!$E$3:$E$2002,0)),"")</f>
        <v/>
      </c>
      <c r="L694" s="84">
        <f>IF(OR($J694="",$K694=""),"",IFERROR(INDEX(設定!$F$6:$F$21,MATCH($G694,設定!$B$6:$B$21,0)),0))</f>
        <v/>
      </c>
      <c r="M694" s="85">
        <f>IF(OR($J694="",$K694=""),"",ROUND(($K694-$J694)*24-$L694/60,2))</f>
        <v/>
      </c>
      <c r="N694" s="16">
        <f>IF($C694="","",IF(AND(COUNTIF(設定!$B$15:$B$21,$G694)&gt;0,$J694&lt;&gt;""),"假日出勤",IF(AND(COUNTIF(設定!$B$6:$B$14,$G694)&gt;0,$J694=""),"未打卡",IF($J694="","",IF($O694&gt;0,"遲到",IF($P694&gt;0,"早退","正常"))))))</f>
        <v/>
      </c>
      <c r="O694" s="84">
        <f>IF(OR($C694="",$H694="",$J694=""),0,IF(ROUND(($J694-$H694)*1440,0)&gt;設定!$C$46,ROUND(($J694-$H694)*1440,0),0))</f>
        <v/>
      </c>
      <c r="P694" s="84">
        <f>IF(OR($C694="",$I694="",$K694=""),0,IF(ROUND(($I694-$K694)*1440,0)&gt;設定!$C$46,ROUND(($I694-$K694)*1440,0),0))</f>
        <v/>
      </c>
      <c r="Q694" s="85">
        <f>IF($M694="",0,IF(($M694-IFERROR(INDEX(設定!$G$6:$G$21,MATCH($G694,設定!$B$6:$B$21,0)),0))*60&gt;=設定!$C$44,ROUND(FLOOR(($M694-IFERROR(INDEX(設定!$G$6:$G$21,MATCH($G694,設定!$B$6:$B$21,0)),0))*60,設定!$C$45)/60,2),0))</f>
        <v/>
      </c>
      <c r="R694" s="16">
        <f>IF(OR($C694="",$Q694=0),"",IF($G694="國","國定假日",IF($B694="日","例假",IF($B694="六","休息日","平日"))))</f>
        <v/>
      </c>
      <c r="S694" s="19" t="n"/>
    </row>
    <row r="695">
      <c r="A695" s="82">
        <f>IF(OR(助理班表!$A27="",11&gt;DAY(EOMONTH(DATE(設定!$C$2,設定!$D$2,1),0))),"",DATE(設定!$C$2,設定!$D$2,11))</f>
        <v/>
      </c>
      <c r="B695" s="16">
        <f>IF($A695="","",INDEX(設定!$O$6:$O$12,WEEKDAY($A695,1)))</f>
        <v/>
      </c>
      <c r="C695" s="16">
        <f>IF($A695="","",助理班表!$A27)</f>
        <v/>
      </c>
      <c r="D695" s="16">
        <f>IF($C695="","",助理班表!$B27)</f>
        <v/>
      </c>
      <c r="E695" s="16">
        <f>IF($C695="","",助理班表!$D27)</f>
        <v/>
      </c>
      <c r="F695" s="16">
        <f>IF($C695="","",助理班表!$C27)</f>
        <v/>
      </c>
      <c r="G695" s="16">
        <f>IF($C695="","",助理班表!O27)</f>
        <v/>
      </c>
      <c r="H695" s="83">
        <f>IF($G695="","",IFERROR(IF(INDEX(設定!$D$6:$D$21,MATCH($G695,設定!$B$6:$B$21,0))=0,"",INDEX(設定!$D$6:$D$21,MATCH($G695,設定!$B$6:$B$21,0))),""))</f>
        <v/>
      </c>
      <c r="I695" s="83">
        <f>IF($G695="","",IFERROR(IF(INDEX(設定!$E$6:$E$21,MATCH($G695,設定!$B$6:$B$21,0))=0,"",INDEX(設定!$E$6:$E$21,MATCH($G695,設定!$B$6:$B$21,0))),""))</f>
        <v/>
      </c>
      <c r="J695" s="83">
        <f>IFERROR(INDEX(打卡匯入!$C$3:$C$2002,MATCH($C695&amp;"|"&amp;DAY($A695),打卡匯入!$E$3:$E$2002,0)),"")</f>
        <v/>
      </c>
      <c r="K695" s="83">
        <f>IFERROR(INDEX(打卡匯入!$D$3:$D$2002,MATCH($C695&amp;"|"&amp;DAY($A695),打卡匯入!$E$3:$E$2002,0)),"")</f>
        <v/>
      </c>
      <c r="L695" s="84">
        <f>IF(OR($J695="",$K695=""),"",IFERROR(INDEX(設定!$F$6:$F$21,MATCH($G695,設定!$B$6:$B$21,0)),0))</f>
        <v/>
      </c>
      <c r="M695" s="85">
        <f>IF(OR($J695="",$K695=""),"",ROUND(($K695-$J695)*24-$L695/60,2))</f>
        <v/>
      </c>
      <c r="N695" s="16">
        <f>IF($C695="","",IF(AND(COUNTIF(設定!$B$15:$B$21,$G695)&gt;0,$J695&lt;&gt;""),"假日出勤",IF(AND(COUNTIF(設定!$B$6:$B$14,$G695)&gt;0,$J695=""),"未打卡",IF($J695="","",IF($O695&gt;0,"遲到",IF($P695&gt;0,"早退","正常"))))))</f>
        <v/>
      </c>
      <c r="O695" s="84">
        <f>IF(OR($C695="",$H695="",$J695=""),0,IF(ROUND(($J695-$H695)*1440,0)&gt;設定!$C$46,ROUND(($J695-$H695)*1440,0),0))</f>
        <v/>
      </c>
      <c r="P695" s="84">
        <f>IF(OR($C695="",$I695="",$K695=""),0,IF(ROUND(($I695-$K695)*1440,0)&gt;設定!$C$46,ROUND(($I695-$K695)*1440,0),0))</f>
        <v/>
      </c>
      <c r="Q695" s="85">
        <f>IF($M695="",0,IF(($M695-IFERROR(INDEX(設定!$G$6:$G$21,MATCH($G695,設定!$B$6:$B$21,0)),0))*60&gt;=設定!$C$44,ROUND(FLOOR(($M695-IFERROR(INDEX(設定!$G$6:$G$21,MATCH($G695,設定!$B$6:$B$21,0)),0))*60,設定!$C$45)/60,2),0))</f>
        <v/>
      </c>
      <c r="R695" s="16">
        <f>IF(OR($C695="",$Q695=0),"",IF($G695="國","國定假日",IF($B695="日","例假",IF($B695="六","休息日","平日"))))</f>
        <v/>
      </c>
      <c r="S695" s="19" t="n"/>
    </row>
    <row r="696">
      <c r="A696" s="82">
        <f>IF(OR(助理班表!$A27="",12&gt;DAY(EOMONTH(DATE(設定!$C$2,設定!$D$2,1),0))),"",DATE(設定!$C$2,設定!$D$2,12))</f>
        <v/>
      </c>
      <c r="B696" s="16">
        <f>IF($A696="","",INDEX(設定!$O$6:$O$12,WEEKDAY($A696,1)))</f>
        <v/>
      </c>
      <c r="C696" s="16">
        <f>IF($A696="","",助理班表!$A27)</f>
        <v/>
      </c>
      <c r="D696" s="16">
        <f>IF($C696="","",助理班表!$B27)</f>
        <v/>
      </c>
      <c r="E696" s="16">
        <f>IF($C696="","",助理班表!$D27)</f>
        <v/>
      </c>
      <c r="F696" s="16">
        <f>IF($C696="","",助理班表!$C27)</f>
        <v/>
      </c>
      <c r="G696" s="16">
        <f>IF($C696="","",助理班表!P27)</f>
        <v/>
      </c>
      <c r="H696" s="83">
        <f>IF($G696="","",IFERROR(IF(INDEX(設定!$D$6:$D$21,MATCH($G696,設定!$B$6:$B$21,0))=0,"",INDEX(設定!$D$6:$D$21,MATCH($G696,設定!$B$6:$B$21,0))),""))</f>
        <v/>
      </c>
      <c r="I696" s="83">
        <f>IF($G696="","",IFERROR(IF(INDEX(設定!$E$6:$E$21,MATCH($G696,設定!$B$6:$B$21,0))=0,"",INDEX(設定!$E$6:$E$21,MATCH($G696,設定!$B$6:$B$21,0))),""))</f>
        <v/>
      </c>
      <c r="J696" s="83">
        <f>IFERROR(INDEX(打卡匯入!$C$3:$C$2002,MATCH($C696&amp;"|"&amp;DAY($A696),打卡匯入!$E$3:$E$2002,0)),"")</f>
        <v/>
      </c>
      <c r="K696" s="83">
        <f>IFERROR(INDEX(打卡匯入!$D$3:$D$2002,MATCH($C696&amp;"|"&amp;DAY($A696),打卡匯入!$E$3:$E$2002,0)),"")</f>
        <v/>
      </c>
      <c r="L696" s="84">
        <f>IF(OR($J696="",$K696=""),"",IFERROR(INDEX(設定!$F$6:$F$21,MATCH($G696,設定!$B$6:$B$21,0)),0))</f>
        <v/>
      </c>
      <c r="M696" s="85">
        <f>IF(OR($J696="",$K696=""),"",ROUND(($K696-$J696)*24-$L696/60,2))</f>
        <v/>
      </c>
      <c r="N696" s="16">
        <f>IF($C696="","",IF(AND(COUNTIF(設定!$B$15:$B$21,$G696)&gt;0,$J696&lt;&gt;""),"假日出勤",IF(AND(COUNTIF(設定!$B$6:$B$14,$G696)&gt;0,$J696=""),"未打卡",IF($J696="","",IF($O696&gt;0,"遲到",IF($P696&gt;0,"早退","正常"))))))</f>
        <v/>
      </c>
      <c r="O696" s="84">
        <f>IF(OR($C696="",$H696="",$J696=""),0,IF(ROUND(($J696-$H696)*1440,0)&gt;設定!$C$46,ROUND(($J696-$H696)*1440,0),0))</f>
        <v/>
      </c>
      <c r="P696" s="84">
        <f>IF(OR($C696="",$I696="",$K696=""),0,IF(ROUND(($I696-$K696)*1440,0)&gt;設定!$C$46,ROUND(($I696-$K696)*1440,0),0))</f>
        <v/>
      </c>
      <c r="Q696" s="85">
        <f>IF($M696="",0,IF(($M696-IFERROR(INDEX(設定!$G$6:$G$21,MATCH($G696,設定!$B$6:$B$21,0)),0))*60&gt;=設定!$C$44,ROUND(FLOOR(($M696-IFERROR(INDEX(設定!$G$6:$G$21,MATCH($G696,設定!$B$6:$B$21,0)),0))*60,設定!$C$45)/60,2),0))</f>
        <v/>
      </c>
      <c r="R696" s="16">
        <f>IF(OR($C696="",$Q696=0),"",IF($G696="國","國定假日",IF($B696="日","例假",IF($B696="六","休息日","平日"))))</f>
        <v/>
      </c>
      <c r="S696" s="19" t="n"/>
    </row>
    <row r="697">
      <c r="A697" s="82">
        <f>IF(OR(助理班表!$A27="",13&gt;DAY(EOMONTH(DATE(設定!$C$2,設定!$D$2,1),0))),"",DATE(設定!$C$2,設定!$D$2,13))</f>
        <v/>
      </c>
      <c r="B697" s="16">
        <f>IF($A697="","",INDEX(設定!$O$6:$O$12,WEEKDAY($A697,1)))</f>
        <v/>
      </c>
      <c r="C697" s="16">
        <f>IF($A697="","",助理班表!$A27)</f>
        <v/>
      </c>
      <c r="D697" s="16">
        <f>IF($C697="","",助理班表!$B27)</f>
        <v/>
      </c>
      <c r="E697" s="16">
        <f>IF($C697="","",助理班表!$D27)</f>
        <v/>
      </c>
      <c r="F697" s="16">
        <f>IF($C697="","",助理班表!$C27)</f>
        <v/>
      </c>
      <c r="G697" s="16">
        <f>IF($C697="","",助理班表!Q27)</f>
        <v/>
      </c>
      <c r="H697" s="83">
        <f>IF($G697="","",IFERROR(IF(INDEX(設定!$D$6:$D$21,MATCH($G697,設定!$B$6:$B$21,0))=0,"",INDEX(設定!$D$6:$D$21,MATCH($G697,設定!$B$6:$B$21,0))),""))</f>
        <v/>
      </c>
      <c r="I697" s="83">
        <f>IF($G697="","",IFERROR(IF(INDEX(設定!$E$6:$E$21,MATCH($G697,設定!$B$6:$B$21,0))=0,"",INDEX(設定!$E$6:$E$21,MATCH($G697,設定!$B$6:$B$21,0))),""))</f>
        <v/>
      </c>
      <c r="J697" s="83">
        <f>IFERROR(INDEX(打卡匯入!$C$3:$C$2002,MATCH($C697&amp;"|"&amp;DAY($A697),打卡匯入!$E$3:$E$2002,0)),"")</f>
        <v/>
      </c>
      <c r="K697" s="83">
        <f>IFERROR(INDEX(打卡匯入!$D$3:$D$2002,MATCH($C697&amp;"|"&amp;DAY($A697),打卡匯入!$E$3:$E$2002,0)),"")</f>
        <v/>
      </c>
      <c r="L697" s="84">
        <f>IF(OR($J697="",$K697=""),"",IFERROR(INDEX(設定!$F$6:$F$21,MATCH($G697,設定!$B$6:$B$21,0)),0))</f>
        <v/>
      </c>
      <c r="M697" s="85">
        <f>IF(OR($J697="",$K697=""),"",ROUND(($K697-$J697)*24-$L697/60,2))</f>
        <v/>
      </c>
      <c r="N697" s="16">
        <f>IF($C697="","",IF(AND(COUNTIF(設定!$B$15:$B$21,$G697)&gt;0,$J697&lt;&gt;""),"假日出勤",IF(AND(COUNTIF(設定!$B$6:$B$14,$G697)&gt;0,$J697=""),"未打卡",IF($J697="","",IF($O697&gt;0,"遲到",IF($P697&gt;0,"早退","正常"))))))</f>
        <v/>
      </c>
      <c r="O697" s="84">
        <f>IF(OR($C697="",$H697="",$J697=""),0,IF(ROUND(($J697-$H697)*1440,0)&gt;設定!$C$46,ROUND(($J697-$H697)*1440,0),0))</f>
        <v/>
      </c>
      <c r="P697" s="84">
        <f>IF(OR($C697="",$I697="",$K697=""),0,IF(ROUND(($I697-$K697)*1440,0)&gt;設定!$C$46,ROUND(($I697-$K697)*1440,0),0))</f>
        <v/>
      </c>
      <c r="Q697" s="85">
        <f>IF($M697="",0,IF(($M697-IFERROR(INDEX(設定!$G$6:$G$21,MATCH($G697,設定!$B$6:$B$21,0)),0))*60&gt;=設定!$C$44,ROUND(FLOOR(($M697-IFERROR(INDEX(設定!$G$6:$G$21,MATCH($G697,設定!$B$6:$B$21,0)),0))*60,設定!$C$45)/60,2),0))</f>
        <v/>
      </c>
      <c r="R697" s="16">
        <f>IF(OR($C697="",$Q697=0),"",IF($G697="國","國定假日",IF($B697="日","例假",IF($B697="六","休息日","平日"))))</f>
        <v/>
      </c>
      <c r="S697" s="19" t="n"/>
    </row>
    <row r="698">
      <c r="A698" s="82">
        <f>IF(OR(助理班表!$A27="",14&gt;DAY(EOMONTH(DATE(設定!$C$2,設定!$D$2,1),0))),"",DATE(設定!$C$2,設定!$D$2,14))</f>
        <v/>
      </c>
      <c r="B698" s="16">
        <f>IF($A698="","",INDEX(設定!$O$6:$O$12,WEEKDAY($A698,1)))</f>
        <v/>
      </c>
      <c r="C698" s="16">
        <f>IF($A698="","",助理班表!$A27)</f>
        <v/>
      </c>
      <c r="D698" s="16">
        <f>IF($C698="","",助理班表!$B27)</f>
        <v/>
      </c>
      <c r="E698" s="16">
        <f>IF($C698="","",助理班表!$D27)</f>
        <v/>
      </c>
      <c r="F698" s="16">
        <f>IF($C698="","",助理班表!$C27)</f>
        <v/>
      </c>
      <c r="G698" s="16">
        <f>IF($C698="","",助理班表!R27)</f>
        <v/>
      </c>
      <c r="H698" s="83">
        <f>IF($G698="","",IFERROR(IF(INDEX(設定!$D$6:$D$21,MATCH($G698,設定!$B$6:$B$21,0))=0,"",INDEX(設定!$D$6:$D$21,MATCH($G698,設定!$B$6:$B$21,0))),""))</f>
        <v/>
      </c>
      <c r="I698" s="83">
        <f>IF($G698="","",IFERROR(IF(INDEX(設定!$E$6:$E$21,MATCH($G698,設定!$B$6:$B$21,0))=0,"",INDEX(設定!$E$6:$E$21,MATCH($G698,設定!$B$6:$B$21,0))),""))</f>
        <v/>
      </c>
      <c r="J698" s="83">
        <f>IFERROR(INDEX(打卡匯入!$C$3:$C$2002,MATCH($C698&amp;"|"&amp;DAY($A698),打卡匯入!$E$3:$E$2002,0)),"")</f>
        <v/>
      </c>
      <c r="K698" s="83">
        <f>IFERROR(INDEX(打卡匯入!$D$3:$D$2002,MATCH($C698&amp;"|"&amp;DAY($A698),打卡匯入!$E$3:$E$2002,0)),"")</f>
        <v/>
      </c>
      <c r="L698" s="84">
        <f>IF(OR($J698="",$K698=""),"",IFERROR(INDEX(設定!$F$6:$F$21,MATCH($G698,設定!$B$6:$B$21,0)),0))</f>
        <v/>
      </c>
      <c r="M698" s="85">
        <f>IF(OR($J698="",$K698=""),"",ROUND(($K698-$J698)*24-$L698/60,2))</f>
        <v/>
      </c>
      <c r="N698" s="16">
        <f>IF($C698="","",IF(AND(COUNTIF(設定!$B$15:$B$21,$G698)&gt;0,$J698&lt;&gt;""),"假日出勤",IF(AND(COUNTIF(設定!$B$6:$B$14,$G698)&gt;0,$J698=""),"未打卡",IF($J698="","",IF($O698&gt;0,"遲到",IF($P698&gt;0,"早退","正常"))))))</f>
        <v/>
      </c>
      <c r="O698" s="84">
        <f>IF(OR($C698="",$H698="",$J698=""),0,IF(ROUND(($J698-$H698)*1440,0)&gt;設定!$C$46,ROUND(($J698-$H698)*1440,0),0))</f>
        <v/>
      </c>
      <c r="P698" s="84">
        <f>IF(OR($C698="",$I698="",$K698=""),0,IF(ROUND(($I698-$K698)*1440,0)&gt;設定!$C$46,ROUND(($I698-$K698)*1440,0),0))</f>
        <v/>
      </c>
      <c r="Q698" s="85">
        <f>IF($M698="",0,IF(($M698-IFERROR(INDEX(設定!$G$6:$G$21,MATCH($G698,設定!$B$6:$B$21,0)),0))*60&gt;=設定!$C$44,ROUND(FLOOR(($M698-IFERROR(INDEX(設定!$G$6:$G$21,MATCH($G698,設定!$B$6:$B$21,0)),0))*60,設定!$C$45)/60,2),0))</f>
        <v/>
      </c>
      <c r="R698" s="16">
        <f>IF(OR($C698="",$Q698=0),"",IF($G698="國","國定假日",IF($B698="日","例假",IF($B698="六","休息日","平日"))))</f>
        <v/>
      </c>
      <c r="S698" s="19" t="n"/>
    </row>
    <row r="699">
      <c r="A699" s="82">
        <f>IF(OR(助理班表!$A27="",15&gt;DAY(EOMONTH(DATE(設定!$C$2,設定!$D$2,1),0))),"",DATE(設定!$C$2,設定!$D$2,15))</f>
        <v/>
      </c>
      <c r="B699" s="16">
        <f>IF($A699="","",INDEX(設定!$O$6:$O$12,WEEKDAY($A699,1)))</f>
        <v/>
      </c>
      <c r="C699" s="16">
        <f>IF($A699="","",助理班表!$A27)</f>
        <v/>
      </c>
      <c r="D699" s="16">
        <f>IF($C699="","",助理班表!$B27)</f>
        <v/>
      </c>
      <c r="E699" s="16">
        <f>IF($C699="","",助理班表!$D27)</f>
        <v/>
      </c>
      <c r="F699" s="16">
        <f>IF($C699="","",助理班表!$C27)</f>
        <v/>
      </c>
      <c r="G699" s="16">
        <f>IF($C699="","",助理班表!S27)</f>
        <v/>
      </c>
      <c r="H699" s="83">
        <f>IF($G699="","",IFERROR(IF(INDEX(設定!$D$6:$D$21,MATCH($G699,設定!$B$6:$B$21,0))=0,"",INDEX(設定!$D$6:$D$21,MATCH($G699,設定!$B$6:$B$21,0))),""))</f>
        <v/>
      </c>
      <c r="I699" s="83">
        <f>IF($G699="","",IFERROR(IF(INDEX(設定!$E$6:$E$21,MATCH($G699,設定!$B$6:$B$21,0))=0,"",INDEX(設定!$E$6:$E$21,MATCH($G699,設定!$B$6:$B$21,0))),""))</f>
        <v/>
      </c>
      <c r="J699" s="83">
        <f>IFERROR(INDEX(打卡匯入!$C$3:$C$2002,MATCH($C699&amp;"|"&amp;DAY($A699),打卡匯入!$E$3:$E$2002,0)),"")</f>
        <v/>
      </c>
      <c r="K699" s="83">
        <f>IFERROR(INDEX(打卡匯入!$D$3:$D$2002,MATCH($C699&amp;"|"&amp;DAY($A699),打卡匯入!$E$3:$E$2002,0)),"")</f>
        <v/>
      </c>
      <c r="L699" s="84">
        <f>IF(OR($J699="",$K699=""),"",IFERROR(INDEX(設定!$F$6:$F$21,MATCH($G699,設定!$B$6:$B$21,0)),0))</f>
        <v/>
      </c>
      <c r="M699" s="85">
        <f>IF(OR($J699="",$K699=""),"",ROUND(($K699-$J699)*24-$L699/60,2))</f>
        <v/>
      </c>
      <c r="N699" s="16">
        <f>IF($C699="","",IF(AND(COUNTIF(設定!$B$15:$B$21,$G699)&gt;0,$J699&lt;&gt;""),"假日出勤",IF(AND(COUNTIF(設定!$B$6:$B$14,$G699)&gt;0,$J699=""),"未打卡",IF($J699="","",IF($O699&gt;0,"遲到",IF($P699&gt;0,"早退","正常"))))))</f>
        <v/>
      </c>
      <c r="O699" s="84">
        <f>IF(OR($C699="",$H699="",$J699=""),0,IF(ROUND(($J699-$H699)*1440,0)&gt;設定!$C$46,ROUND(($J699-$H699)*1440,0),0))</f>
        <v/>
      </c>
      <c r="P699" s="84">
        <f>IF(OR($C699="",$I699="",$K699=""),0,IF(ROUND(($I699-$K699)*1440,0)&gt;設定!$C$46,ROUND(($I699-$K699)*1440,0),0))</f>
        <v/>
      </c>
      <c r="Q699" s="85">
        <f>IF($M699="",0,IF(($M699-IFERROR(INDEX(設定!$G$6:$G$21,MATCH($G699,設定!$B$6:$B$21,0)),0))*60&gt;=設定!$C$44,ROUND(FLOOR(($M699-IFERROR(INDEX(設定!$G$6:$G$21,MATCH($G699,設定!$B$6:$B$21,0)),0))*60,設定!$C$45)/60,2),0))</f>
        <v/>
      </c>
      <c r="R699" s="16">
        <f>IF(OR($C699="",$Q699=0),"",IF($G699="國","國定假日",IF($B699="日","例假",IF($B699="六","休息日","平日"))))</f>
        <v/>
      </c>
      <c r="S699" s="19" t="n"/>
    </row>
    <row r="700">
      <c r="A700" s="82">
        <f>IF(OR(助理班表!$A27="",16&gt;DAY(EOMONTH(DATE(設定!$C$2,設定!$D$2,1),0))),"",DATE(設定!$C$2,設定!$D$2,16))</f>
        <v/>
      </c>
      <c r="B700" s="16">
        <f>IF($A700="","",INDEX(設定!$O$6:$O$12,WEEKDAY($A700,1)))</f>
        <v/>
      </c>
      <c r="C700" s="16">
        <f>IF($A700="","",助理班表!$A27)</f>
        <v/>
      </c>
      <c r="D700" s="16">
        <f>IF($C700="","",助理班表!$B27)</f>
        <v/>
      </c>
      <c r="E700" s="16">
        <f>IF($C700="","",助理班表!$D27)</f>
        <v/>
      </c>
      <c r="F700" s="16">
        <f>IF($C700="","",助理班表!$C27)</f>
        <v/>
      </c>
      <c r="G700" s="16">
        <f>IF($C700="","",助理班表!T27)</f>
        <v/>
      </c>
      <c r="H700" s="83">
        <f>IF($G700="","",IFERROR(IF(INDEX(設定!$D$6:$D$21,MATCH($G700,設定!$B$6:$B$21,0))=0,"",INDEX(設定!$D$6:$D$21,MATCH($G700,設定!$B$6:$B$21,0))),""))</f>
        <v/>
      </c>
      <c r="I700" s="83">
        <f>IF($G700="","",IFERROR(IF(INDEX(設定!$E$6:$E$21,MATCH($G700,設定!$B$6:$B$21,0))=0,"",INDEX(設定!$E$6:$E$21,MATCH($G700,設定!$B$6:$B$21,0))),""))</f>
        <v/>
      </c>
      <c r="J700" s="83">
        <f>IFERROR(INDEX(打卡匯入!$C$3:$C$2002,MATCH($C700&amp;"|"&amp;DAY($A700),打卡匯入!$E$3:$E$2002,0)),"")</f>
        <v/>
      </c>
      <c r="K700" s="83">
        <f>IFERROR(INDEX(打卡匯入!$D$3:$D$2002,MATCH($C700&amp;"|"&amp;DAY($A700),打卡匯入!$E$3:$E$2002,0)),"")</f>
        <v/>
      </c>
      <c r="L700" s="84">
        <f>IF(OR($J700="",$K700=""),"",IFERROR(INDEX(設定!$F$6:$F$21,MATCH($G700,設定!$B$6:$B$21,0)),0))</f>
        <v/>
      </c>
      <c r="M700" s="85">
        <f>IF(OR($J700="",$K700=""),"",ROUND(($K700-$J700)*24-$L700/60,2))</f>
        <v/>
      </c>
      <c r="N700" s="16">
        <f>IF($C700="","",IF(AND(COUNTIF(設定!$B$15:$B$21,$G700)&gt;0,$J700&lt;&gt;""),"假日出勤",IF(AND(COUNTIF(設定!$B$6:$B$14,$G700)&gt;0,$J700=""),"未打卡",IF($J700="","",IF($O700&gt;0,"遲到",IF($P700&gt;0,"早退","正常"))))))</f>
        <v/>
      </c>
      <c r="O700" s="84">
        <f>IF(OR($C700="",$H700="",$J700=""),0,IF(ROUND(($J700-$H700)*1440,0)&gt;設定!$C$46,ROUND(($J700-$H700)*1440,0),0))</f>
        <v/>
      </c>
      <c r="P700" s="84">
        <f>IF(OR($C700="",$I700="",$K700=""),0,IF(ROUND(($I700-$K700)*1440,0)&gt;設定!$C$46,ROUND(($I700-$K700)*1440,0),0))</f>
        <v/>
      </c>
      <c r="Q700" s="85">
        <f>IF($M700="",0,IF(($M700-IFERROR(INDEX(設定!$G$6:$G$21,MATCH($G700,設定!$B$6:$B$21,0)),0))*60&gt;=設定!$C$44,ROUND(FLOOR(($M700-IFERROR(INDEX(設定!$G$6:$G$21,MATCH($G700,設定!$B$6:$B$21,0)),0))*60,設定!$C$45)/60,2),0))</f>
        <v/>
      </c>
      <c r="R700" s="16">
        <f>IF(OR($C700="",$Q700=0),"",IF($G700="國","國定假日",IF($B700="日","例假",IF($B700="六","休息日","平日"))))</f>
        <v/>
      </c>
      <c r="S700" s="19" t="n"/>
    </row>
    <row r="701">
      <c r="A701" s="82">
        <f>IF(OR(助理班表!$A27="",17&gt;DAY(EOMONTH(DATE(設定!$C$2,設定!$D$2,1),0))),"",DATE(設定!$C$2,設定!$D$2,17))</f>
        <v/>
      </c>
      <c r="B701" s="16">
        <f>IF($A701="","",INDEX(設定!$O$6:$O$12,WEEKDAY($A701,1)))</f>
        <v/>
      </c>
      <c r="C701" s="16">
        <f>IF($A701="","",助理班表!$A27)</f>
        <v/>
      </c>
      <c r="D701" s="16">
        <f>IF($C701="","",助理班表!$B27)</f>
        <v/>
      </c>
      <c r="E701" s="16">
        <f>IF($C701="","",助理班表!$D27)</f>
        <v/>
      </c>
      <c r="F701" s="16">
        <f>IF($C701="","",助理班表!$C27)</f>
        <v/>
      </c>
      <c r="G701" s="16">
        <f>IF($C701="","",助理班表!U27)</f>
        <v/>
      </c>
      <c r="H701" s="83">
        <f>IF($G701="","",IFERROR(IF(INDEX(設定!$D$6:$D$21,MATCH($G701,設定!$B$6:$B$21,0))=0,"",INDEX(設定!$D$6:$D$21,MATCH($G701,設定!$B$6:$B$21,0))),""))</f>
        <v/>
      </c>
      <c r="I701" s="83">
        <f>IF($G701="","",IFERROR(IF(INDEX(設定!$E$6:$E$21,MATCH($G701,設定!$B$6:$B$21,0))=0,"",INDEX(設定!$E$6:$E$21,MATCH($G701,設定!$B$6:$B$21,0))),""))</f>
        <v/>
      </c>
      <c r="J701" s="83">
        <f>IFERROR(INDEX(打卡匯入!$C$3:$C$2002,MATCH($C701&amp;"|"&amp;DAY($A701),打卡匯入!$E$3:$E$2002,0)),"")</f>
        <v/>
      </c>
      <c r="K701" s="83">
        <f>IFERROR(INDEX(打卡匯入!$D$3:$D$2002,MATCH($C701&amp;"|"&amp;DAY($A701),打卡匯入!$E$3:$E$2002,0)),"")</f>
        <v/>
      </c>
      <c r="L701" s="84">
        <f>IF(OR($J701="",$K701=""),"",IFERROR(INDEX(設定!$F$6:$F$21,MATCH($G701,設定!$B$6:$B$21,0)),0))</f>
        <v/>
      </c>
      <c r="M701" s="85">
        <f>IF(OR($J701="",$K701=""),"",ROUND(($K701-$J701)*24-$L701/60,2))</f>
        <v/>
      </c>
      <c r="N701" s="16">
        <f>IF($C701="","",IF(AND(COUNTIF(設定!$B$15:$B$21,$G701)&gt;0,$J701&lt;&gt;""),"假日出勤",IF(AND(COUNTIF(設定!$B$6:$B$14,$G701)&gt;0,$J701=""),"未打卡",IF($J701="","",IF($O701&gt;0,"遲到",IF($P701&gt;0,"早退","正常"))))))</f>
        <v/>
      </c>
      <c r="O701" s="84">
        <f>IF(OR($C701="",$H701="",$J701=""),0,IF(ROUND(($J701-$H701)*1440,0)&gt;設定!$C$46,ROUND(($J701-$H701)*1440,0),0))</f>
        <v/>
      </c>
      <c r="P701" s="84">
        <f>IF(OR($C701="",$I701="",$K701=""),0,IF(ROUND(($I701-$K701)*1440,0)&gt;設定!$C$46,ROUND(($I701-$K701)*1440,0),0))</f>
        <v/>
      </c>
      <c r="Q701" s="85">
        <f>IF($M701="",0,IF(($M701-IFERROR(INDEX(設定!$G$6:$G$21,MATCH($G701,設定!$B$6:$B$21,0)),0))*60&gt;=設定!$C$44,ROUND(FLOOR(($M701-IFERROR(INDEX(設定!$G$6:$G$21,MATCH($G701,設定!$B$6:$B$21,0)),0))*60,設定!$C$45)/60,2),0))</f>
        <v/>
      </c>
      <c r="R701" s="16">
        <f>IF(OR($C701="",$Q701=0),"",IF($G701="國","國定假日",IF($B701="日","例假",IF($B701="六","休息日","平日"))))</f>
        <v/>
      </c>
      <c r="S701" s="19" t="n"/>
    </row>
    <row r="702">
      <c r="A702" s="82">
        <f>IF(OR(助理班表!$A27="",18&gt;DAY(EOMONTH(DATE(設定!$C$2,設定!$D$2,1),0))),"",DATE(設定!$C$2,設定!$D$2,18))</f>
        <v/>
      </c>
      <c r="B702" s="16">
        <f>IF($A702="","",INDEX(設定!$O$6:$O$12,WEEKDAY($A702,1)))</f>
        <v/>
      </c>
      <c r="C702" s="16">
        <f>IF($A702="","",助理班表!$A27)</f>
        <v/>
      </c>
      <c r="D702" s="16">
        <f>IF($C702="","",助理班表!$B27)</f>
        <v/>
      </c>
      <c r="E702" s="16">
        <f>IF($C702="","",助理班表!$D27)</f>
        <v/>
      </c>
      <c r="F702" s="16">
        <f>IF($C702="","",助理班表!$C27)</f>
        <v/>
      </c>
      <c r="G702" s="16">
        <f>IF($C702="","",助理班表!V27)</f>
        <v/>
      </c>
      <c r="H702" s="83">
        <f>IF($G702="","",IFERROR(IF(INDEX(設定!$D$6:$D$21,MATCH($G702,設定!$B$6:$B$21,0))=0,"",INDEX(設定!$D$6:$D$21,MATCH($G702,設定!$B$6:$B$21,0))),""))</f>
        <v/>
      </c>
      <c r="I702" s="83">
        <f>IF($G702="","",IFERROR(IF(INDEX(設定!$E$6:$E$21,MATCH($G702,設定!$B$6:$B$21,0))=0,"",INDEX(設定!$E$6:$E$21,MATCH($G702,設定!$B$6:$B$21,0))),""))</f>
        <v/>
      </c>
      <c r="J702" s="83">
        <f>IFERROR(INDEX(打卡匯入!$C$3:$C$2002,MATCH($C702&amp;"|"&amp;DAY($A702),打卡匯入!$E$3:$E$2002,0)),"")</f>
        <v/>
      </c>
      <c r="K702" s="83">
        <f>IFERROR(INDEX(打卡匯入!$D$3:$D$2002,MATCH($C702&amp;"|"&amp;DAY($A702),打卡匯入!$E$3:$E$2002,0)),"")</f>
        <v/>
      </c>
      <c r="L702" s="84">
        <f>IF(OR($J702="",$K702=""),"",IFERROR(INDEX(設定!$F$6:$F$21,MATCH($G702,設定!$B$6:$B$21,0)),0))</f>
        <v/>
      </c>
      <c r="M702" s="85">
        <f>IF(OR($J702="",$K702=""),"",ROUND(($K702-$J702)*24-$L702/60,2))</f>
        <v/>
      </c>
      <c r="N702" s="16">
        <f>IF($C702="","",IF(AND(COUNTIF(設定!$B$15:$B$21,$G702)&gt;0,$J702&lt;&gt;""),"假日出勤",IF(AND(COUNTIF(設定!$B$6:$B$14,$G702)&gt;0,$J702=""),"未打卡",IF($J702="","",IF($O702&gt;0,"遲到",IF($P702&gt;0,"早退","正常"))))))</f>
        <v/>
      </c>
      <c r="O702" s="84">
        <f>IF(OR($C702="",$H702="",$J702=""),0,IF(ROUND(($J702-$H702)*1440,0)&gt;設定!$C$46,ROUND(($J702-$H702)*1440,0),0))</f>
        <v/>
      </c>
      <c r="P702" s="84">
        <f>IF(OR($C702="",$I702="",$K702=""),0,IF(ROUND(($I702-$K702)*1440,0)&gt;設定!$C$46,ROUND(($I702-$K702)*1440,0),0))</f>
        <v/>
      </c>
      <c r="Q702" s="85">
        <f>IF($M702="",0,IF(($M702-IFERROR(INDEX(設定!$G$6:$G$21,MATCH($G702,設定!$B$6:$B$21,0)),0))*60&gt;=設定!$C$44,ROUND(FLOOR(($M702-IFERROR(INDEX(設定!$G$6:$G$21,MATCH($G702,設定!$B$6:$B$21,0)),0))*60,設定!$C$45)/60,2),0))</f>
        <v/>
      </c>
      <c r="R702" s="16">
        <f>IF(OR($C702="",$Q702=0),"",IF($G702="國","國定假日",IF($B702="日","例假",IF($B702="六","休息日","平日"))))</f>
        <v/>
      </c>
      <c r="S702" s="19" t="n"/>
    </row>
    <row r="703">
      <c r="A703" s="82">
        <f>IF(OR(助理班表!$A27="",19&gt;DAY(EOMONTH(DATE(設定!$C$2,設定!$D$2,1),0))),"",DATE(設定!$C$2,設定!$D$2,19))</f>
        <v/>
      </c>
      <c r="B703" s="16">
        <f>IF($A703="","",INDEX(設定!$O$6:$O$12,WEEKDAY($A703,1)))</f>
        <v/>
      </c>
      <c r="C703" s="16">
        <f>IF($A703="","",助理班表!$A27)</f>
        <v/>
      </c>
      <c r="D703" s="16">
        <f>IF($C703="","",助理班表!$B27)</f>
        <v/>
      </c>
      <c r="E703" s="16">
        <f>IF($C703="","",助理班表!$D27)</f>
        <v/>
      </c>
      <c r="F703" s="16">
        <f>IF($C703="","",助理班表!$C27)</f>
        <v/>
      </c>
      <c r="G703" s="16">
        <f>IF($C703="","",助理班表!W27)</f>
        <v/>
      </c>
      <c r="H703" s="83">
        <f>IF($G703="","",IFERROR(IF(INDEX(設定!$D$6:$D$21,MATCH($G703,設定!$B$6:$B$21,0))=0,"",INDEX(設定!$D$6:$D$21,MATCH($G703,設定!$B$6:$B$21,0))),""))</f>
        <v/>
      </c>
      <c r="I703" s="83">
        <f>IF($G703="","",IFERROR(IF(INDEX(設定!$E$6:$E$21,MATCH($G703,設定!$B$6:$B$21,0))=0,"",INDEX(設定!$E$6:$E$21,MATCH($G703,設定!$B$6:$B$21,0))),""))</f>
        <v/>
      </c>
      <c r="J703" s="83">
        <f>IFERROR(INDEX(打卡匯入!$C$3:$C$2002,MATCH($C703&amp;"|"&amp;DAY($A703),打卡匯入!$E$3:$E$2002,0)),"")</f>
        <v/>
      </c>
      <c r="K703" s="83">
        <f>IFERROR(INDEX(打卡匯入!$D$3:$D$2002,MATCH($C703&amp;"|"&amp;DAY($A703),打卡匯入!$E$3:$E$2002,0)),"")</f>
        <v/>
      </c>
      <c r="L703" s="84">
        <f>IF(OR($J703="",$K703=""),"",IFERROR(INDEX(設定!$F$6:$F$21,MATCH($G703,設定!$B$6:$B$21,0)),0))</f>
        <v/>
      </c>
      <c r="M703" s="85">
        <f>IF(OR($J703="",$K703=""),"",ROUND(($K703-$J703)*24-$L703/60,2))</f>
        <v/>
      </c>
      <c r="N703" s="16">
        <f>IF($C703="","",IF(AND(COUNTIF(設定!$B$15:$B$21,$G703)&gt;0,$J703&lt;&gt;""),"假日出勤",IF(AND(COUNTIF(設定!$B$6:$B$14,$G703)&gt;0,$J703=""),"未打卡",IF($J703="","",IF($O703&gt;0,"遲到",IF($P703&gt;0,"早退","正常"))))))</f>
        <v/>
      </c>
      <c r="O703" s="84">
        <f>IF(OR($C703="",$H703="",$J703=""),0,IF(ROUND(($J703-$H703)*1440,0)&gt;設定!$C$46,ROUND(($J703-$H703)*1440,0),0))</f>
        <v/>
      </c>
      <c r="P703" s="84">
        <f>IF(OR($C703="",$I703="",$K703=""),0,IF(ROUND(($I703-$K703)*1440,0)&gt;設定!$C$46,ROUND(($I703-$K703)*1440,0),0))</f>
        <v/>
      </c>
      <c r="Q703" s="85">
        <f>IF($M703="",0,IF(($M703-IFERROR(INDEX(設定!$G$6:$G$21,MATCH($G703,設定!$B$6:$B$21,0)),0))*60&gt;=設定!$C$44,ROUND(FLOOR(($M703-IFERROR(INDEX(設定!$G$6:$G$21,MATCH($G703,設定!$B$6:$B$21,0)),0))*60,設定!$C$45)/60,2),0))</f>
        <v/>
      </c>
      <c r="R703" s="16">
        <f>IF(OR($C703="",$Q703=0),"",IF($G703="國","國定假日",IF($B703="日","例假",IF($B703="六","休息日","平日"))))</f>
        <v/>
      </c>
      <c r="S703" s="19" t="n"/>
    </row>
    <row r="704">
      <c r="A704" s="82">
        <f>IF(OR(助理班表!$A27="",20&gt;DAY(EOMONTH(DATE(設定!$C$2,設定!$D$2,1),0))),"",DATE(設定!$C$2,設定!$D$2,20))</f>
        <v/>
      </c>
      <c r="B704" s="16">
        <f>IF($A704="","",INDEX(設定!$O$6:$O$12,WEEKDAY($A704,1)))</f>
        <v/>
      </c>
      <c r="C704" s="16">
        <f>IF($A704="","",助理班表!$A27)</f>
        <v/>
      </c>
      <c r="D704" s="16">
        <f>IF($C704="","",助理班表!$B27)</f>
        <v/>
      </c>
      <c r="E704" s="16">
        <f>IF($C704="","",助理班表!$D27)</f>
        <v/>
      </c>
      <c r="F704" s="16">
        <f>IF($C704="","",助理班表!$C27)</f>
        <v/>
      </c>
      <c r="G704" s="16">
        <f>IF($C704="","",助理班表!X27)</f>
        <v/>
      </c>
      <c r="H704" s="83">
        <f>IF($G704="","",IFERROR(IF(INDEX(設定!$D$6:$D$21,MATCH($G704,設定!$B$6:$B$21,0))=0,"",INDEX(設定!$D$6:$D$21,MATCH($G704,設定!$B$6:$B$21,0))),""))</f>
        <v/>
      </c>
      <c r="I704" s="83">
        <f>IF($G704="","",IFERROR(IF(INDEX(設定!$E$6:$E$21,MATCH($G704,設定!$B$6:$B$21,0))=0,"",INDEX(設定!$E$6:$E$21,MATCH($G704,設定!$B$6:$B$21,0))),""))</f>
        <v/>
      </c>
      <c r="J704" s="83">
        <f>IFERROR(INDEX(打卡匯入!$C$3:$C$2002,MATCH($C704&amp;"|"&amp;DAY($A704),打卡匯入!$E$3:$E$2002,0)),"")</f>
        <v/>
      </c>
      <c r="K704" s="83">
        <f>IFERROR(INDEX(打卡匯入!$D$3:$D$2002,MATCH($C704&amp;"|"&amp;DAY($A704),打卡匯入!$E$3:$E$2002,0)),"")</f>
        <v/>
      </c>
      <c r="L704" s="84">
        <f>IF(OR($J704="",$K704=""),"",IFERROR(INDEX(設定!$F$6:$F$21,MATCH($G704,設定!$B$6:$B$21,0)),0))</f>
        <v/>
      </c>
      <c r="M704" s="85">
        <f>IF(OR($J704="",$K704=""),"",ROUND(($K704-$J704)*24-$L704/60,2))</f>
        <v/>
      </c>
      <c r="N704" s="16">
        <f>IF($C704="","",IF(AND(COUNTIF(設定!$B$15:$B$21,$G704)&gt;0,$J704&lt;&gt;""),"假日出勤",IF(AND(COUNTIF(設定!$B$6:$B$14,$G704)&gt;0,$J704=""),"未打卡",IF($J704="","",IF($O704&gt;0,"遲到",IF($P704&gt;0,"早退","正常"))))))</f>
        <v/>
      </c>
      <c r="O704" s="84">
        <f>IF(OR($C704="",$H704="",$J704=""),0,IF(ROUND(($J704-$H704)*1440,0)&gt;設定!$C$46,ROUND(($J704-$H704)*1440,0),0))</f>
        <v/>
      </c>
      <c r="P704" s="84">
        <f>IF(OR($C704="",$I704="",$K704=""),0,IF(ROUND(($I704-$K704)*1440,0)&gt;設定!$C$46,ROUND(($I704-$K704)*1440,0),0))</f>
        <v/>
      </c>
      <c r="Q704" s="85">
        <f>IF($M704="",0,IF(($M704-IFERROR(INDEX(設定!$G$6:$G$21,MATCH($G704,設定!$B$6:$B$21,0)),0))*60&gt;=設定!$C$44,ROUND(FLOOR(($M704-IFERROR(INDEX(設定!$G$6:$G$21,MATCH($G704,設定!$B$6:$B$21,0)),0))*60,設定!$C$45)/60,2),0))</f>
        <v/>
      </c>
      <c r="R704" s="16">
        <f>IF(OR($C704="",$Q704=0),"",IF($G704="國","國定假日",IF($B704="日","例假",IF($B704="六","休息日","平日"))))</f>
        <v/>
      </c>
      <c r="S704" s="19" t="n"/>
    </row>
    <row r="705">
      <c r="A705" s="82">
        <f>IF(OR(助理班表!$A27="",21&gt;DAY(EOMONTH(DATE(設定!$C$2,設定!$D$2,1),0))),"",DATE(設定!$C$2,設定!$D$2,21))</f>
        <v/>
      </c>
      <c r="B705" s="16">
        <f>IF($A705="","",INDEX(設定!$O$6:$O$12,WEEKDAY($A705,1)))</f>
        <v/>
      </c>
      <c r="C705" s="16">
        <f>IF($A705="","",助理班表!$A27)</f>
        <v/>
      </c>
      <c r="D705" s="16">
        <f>IF($C705="","",助理班表!$B27)</f>
        <v/>
      </c>
      <c r="E705" s="16">
        <f>IF($C705="","",助理班表!$D27)</f>
        <v/>
      </c>
      <c r="F705" s="16">
        <f>IF($C705="","",助理班表!$C27)</f>
        <v/>
      </c>
      <c r="G705" s="16">
        <f>IF($C705="","",助理班表!Y27)</f>
        <v/>
      </c>
      <c r="H705" s="83">
        <f>IF($G705="","",IFERROR(IF(INDEX(設定!$D$6:$D$21,MATCH($G705,設定!$B$6:$B$21,0))=0,"",INDEX(設定!$D$6:$D$21,MATCH($G705,設定!$B$6:$B$21,0))),""))</f>
        <v/>
      </c>
      <c r="I705" s="83">
        <f>IF($G705="","",IFERROR(IF(INDEX(設定!$E$6:$E$21,MATCH($G705,設定!$B$6:$B$21,0))=0,"",INDEX(設定!$E$6:$E$21,MATCH($G705,設定!$B$6:$B$21,0))),""))</f>
        <v/>
      </c>
      <c r="J705" s="83">
        <f>IFERROR(INDEX(打卡匯入!$C$3:$C$2002,MATCH($C705&amp;"|"&amp;DAY($A705),打卡匯入!$E$3:$E$2002,0)),"")</f>
        <v/>
      </c>
      <c r="K705" s="83">
        <f>IFERROR(INDEX(打卡匯入!$D$3:$D$2002,MATCH($C705&amp;"|"&amp;DAY($A705),打卡匯入!$E$3:$E$2002,0)),"")</f>
        <v/>
      </c>
      <c r="L705" s="84">
        <f>IF(OR($J705="",$K705=""),"",IFERROR(INDEX(設定!$F$6:$F$21,MATCH($G705,設定!$B$6:$B$21,0)),0))</f>
        <v/>
      </c>
      <c r="M705" s="85">
        <f>IF(OR($J705="",$K705=""),"",ROUND(($K705-$J705)*24-$L705/60,2))</f>
        <v/>
      </c>
      <c r="N705" s="16">
        <f>IF($C705="","",IF(AND(COUNTIF(設定!$B$15:$B$21,$G705)&gt;0,$J705&lt;&gt;""),"假日出勤",IF(AND(COUNTIF(設定!$B$6:$B$14,$G705)&gt;0,$J705=""),"未打卡",IF($J705="","",IF($O705&gt;0,"遲到",IF($P705&gt;0,"早退","正常"))))))</f>
        <v/>
      </c>
      <c r="O705" s="84">
        <f>IF(OR($C705="",$H705="",$J705=""),0,IF(ROUND(($J705-$H705)*1440,0)&gt;設定!$C$46,ROUND(($J705-$H705)*1440,0),0))</f>
        <v/>
      </c>
      <c r="P705" s="84">
        <f>IF(OR($C705="",$I705="",$K705=""),0,IF(ROUND(($I705-$K705)*1440,0)&gt;設定!$C$46,ROUND(($I705-$K705)*1440,0),0))</f>
        <v/>
      </c>
      <c r="Q705" s="85">
        <f>IF($M705="",0,IF(($M705-IFERROR(INDEX(設定!$G$6:$G$21,MATCH($G705,設定!$B$6:$B$21,0)),0))*60&gt;=設定!$C$44,ROUND(FLOOR(($M705-IFERROR(INDEX(設定!$G$6:$G$21,MATCH($G705,設定!$B$6:$B$21,0)),0))*60,設定!$C$45)/60,2),0))</f>
        <v/>
      </c>
      <c r="R705" s="16">
        <f>IF(OR($C705="",$Q705=0),"",IF($G705="國","國定假日",IF($B705="日","例假",IF($B705="六","休息日","平日"))))</f>
        <v/>
      </c>
      <c r="S705" s="19" t="n"/>
    </row>
    <row r="706">
      <c r="A706" s="82">
        <f>IF(OR(助理班表!$A27="",22&gt;DAY(EOMONTH(DATE(設定!$C$2,設定!$D$2,1),0))),"",DATE(設定!$C$2,設定!$D$2,22))</f>
        <v/>
      </c>
      <c r="B706" s="16">
        <f>IF($A706="","",INDEX(設定!$O$6:$O$12,WEEKDAY($A706,1)))</f>
        <v/>
      </c>
      <c r="C706" s="16">
        <f>IF($A706="","",助理班表!$A27)</f>
        <v/>
      </c>
      <c r="D706" s="16">
        <f>IF($C706="","",助理班表!$B27)</f>
        <v/>
      </c>
      <c r="E706" s="16">
        <f>IF($C706="","",助理班表!$D27)</f>
        <v/>
      </c>
      <c r="F706" s="16">
        <f>IF($C706="","",助理班表!$C27)</f>
        <v/>
      </c>
      <c r="G706" s="16">
        <f>IF($C706="","",助理班表!Z27)</f>
        <v/>
      </c>
      <c r="H706" s="83">
        <f>IF($G706="","",IFERROR(IF(INDEX(設定!$D$6:$D$21,MATCH($G706,設定!$B$6:$B$21,0))=0,"",INDEX(設定!$D$6:$D$21,MATCH($G706,設定!$B$6:$B$21,0))),""))</f>
        <v/>
      </c>
      <c r="I706" s="83">
        <f>IF($G706="","",IFERROR(IF(INDEX(設定!$E$6:$E$21,MATCH($G706,設定!$B$6:$B$21,0))=0,"",INDEX(設定!$E$6:$E$21,MATCH($G706,設定!$B$6:$B$21,0))),""))</f>
        <v/>
      </c>
      <c r="J706" s="83">
        <f>IFERROR(INDEX(打卡匯入!$C$3:$C$2002,MATCH($C706&amp;"|"&amp;DAY($A706),打卡匯入!$E$3:$E$2002,0)),"")</f>
        <v/>
      </c>
      <c r="K706" s="83">
        <f>IFERROR(INDEX(打卡匯入!$D$3:$D$2002,MATCH($C706&amp;"|"&amp;DAY($A706),打卡匯入!$E$3:$E$2002,0)),"")</f>
        <v/>
      </c>
      <c r="L706" s="84">
        <f>IF(OR($J706="",$K706=""),"",IFERROR(INDEX(設定!$F$6:$F$21,MATCH($G706,設定!$B$6:$B$21,0)),0))</f>
        <v/>
      </c>
      <c r="M706" s="85">
        <f>IF(OR($J706="",$K706=""),"",ROUND(($K706-$J706)*24-$L706/60,2))</f>
        <v/>
      </c>
      <c r="N706" s="16">
        <f>IF($C706="","",IF(AND(COUNTIF(設定!$B$15:$B$21,$G706)&gt;0,$J706&lt;&gt;""),"假日出勤",IF(AND(COUNTIF(設定!$B$6:$B$14,$G706)&gt;0,$J706=""),"未打卡",IF($J706="","",IF($O706&gt;0,"遲到",IF($P706&gt;0,"早退","正常"))))))</f>
        <v/>
      </c>
      <c r="O706" s="84">
        <f>IF(OR($C706="",$H706="",$J706=""),0,IF(ROUND(($J706-$H706)*1440,0)&gt;設定!$C$46,ROUND(($J706-$H706)*1440,0),0))</f>
        <v/>
      </c>
      <c r="P706" s="84">
        <f>IF(OR($C706="",$I706="",$K706=""),0,IF(ROUND(($I706-$K706)*1440,0)&gt;設定!$C$46,ROUND(($I706-$K706)*1440,0),0))</f>
        <v/>
      </c>
      <c r="Q706" s="85">
        <f>IF($M706="",0,IF(($M706-IFERROR(INDEX(設定!$G$6:$G$21,MATCH($G706,設定!$B$6:$B$21,0)),0))*60&gt;=設定!$C$44,ROUND(FLOOR(($M706-IFERROR(INDEX(設定!$G$6:$G$21,MATCH($G706,設定!$B$6:$B$21,0)),0))*60,設定!$C$45)/60,2),0))</f>
        <v/>
      </c>
      <c r="R706" s="16">
        <f>IF(OR($C706="",$Q706=0),"",IF($G706="國","國定假日",IF($B706="日","例假",IF($B706="六","休息日","平日"))))</f>
        <v/>
      </c>
      <c r="S706" s="19" t="n"/>
    </row>
    <row r="707">
      <c r="A707" s="82">
        <f>IF(OR(助理班表!$A27="",23&gt;DAY(EOMONTH(DATE(設定!$C$2,設定!$D$2,1),0))),"",DATE(設定!$C$2,設定!$D$2,23))</f>
        <v/>
      </c>
      <c r="B707" s="16">
        <f>IF($A707="","",INDEX(設定!$O$6:$O$12,WEEKDAY($A707,1)))</f>
        <v/>
      </c>
      <c r="C707" s="16">
        <f>IF($A707="","",助理班表!$A27)</f>
        <v/>
      </c>
      <c r="D707" s="16">
        <f>IF($C707="","",助理班表!$B27)</f>
        <v/>
      </c>
      <c r="E707" s="16">
        <f>IF($C707="","",助理班表!$D27)</f>
        <v/>
      </c>
      <c r="F707" s="16">
        <f>IF($C707="","",助理班表!$C27)</f>
        <v/>
      </c>
      <c r="G707" s="16">
        <f>IF($C707="","",助理班表!AA27)</f>
        <v/>
      </c>
      <c r="H707" s="83">
        <f>IF($G707="","",IFERROR(IF(INDEX(設定!$D$6:$D$21,MATCH($G707,設定!$B$6:$B$21,0))=0,"",INDEX(設定!$D$6:$D$21,MATCH($G707,設定!$B$6:$B$21,0))),""))</f>
        <v/>
      </c>
      <c r="I707" s="83">
        <f>IF($G707="","",IFERROR(IF(INDEX(設定!$E$6:$E$21,MATCH($G707,設定!$B$6:$B$21,0))=0,"",INDEX(設定!$E$6:$E$21,MATCH($G707,設定!$B$6:$B$21,0))),""))</f>
        <v/>
      </c>
      <c r="J707" s="83">
        <f>IFERROR(INDEX(打卡匯入!$C$3:$C$2002,MATCH($C707&amp;"|"&amp;DAY($A707),打卡匯入!$E$3:$E$2002,0)),"")</f>
        <v/>
      </c>
      <c r="K707" s="83">
        <f>IFERROR(INDEX(打卡匯入!$D$3:$D$2002,MATCH($C707&amp;"|"&amp;DAY($A707),打卡匯入!$E$3:$E$2002,0)),"")</f>
        <v/>
      </c>
      <c r="L707" s="84">
        <f>IF(OR($J707="",$K707=""),"",IFERROR(INDEX(設定!$F$6:$F$21,MATCH($G707,設定!$B$6:$B$21,0)),0))</f>
        <v/>
      </c>
      <c r="M707" s="85">
        <f>IF(OR($J707="",$K707=""),"",ROUND(($K707-$J707)*24-$L707/60,2))</f>
        <v/>
      </c>
      <c r="N707" s="16">
        <f>IF($C707="","",IF(AND(COUNTIF(設定!$B$15:$B$21,$G707)&gt;0,$J707&lt;&gt;""),"假日出勤",IF(AND(COUNTIF(設定!$B$6:$B$14,$G707)&gt;0,$J707=""),"未打卡",IF($J707="","",IF($O707&gt;0,"遲到",IF($P707&gt;0,"早退","正常"))))))</f>
        <v/>
      </c>
      <c r="O707" s="84">
        <f>IF(OR($C707="",$H707="",$J707=""),0,IF(ROUND(($J707-$H707)*1440,0)&gt;設定!$C$46,ROUND(($J707-$H707)*1440,0),0))</f>
        <v/>
      </c>
      <c r="P707" s="84">
        <f>IF(OR($C707="",$I707="",$K707=""),0,IF(ROUND(($I707-$K707)*1440,0)&gt;設定!$C$46,ROUND(($I707-$K707)*1440,0),0))</f>
        <v/>
      </c>
      <c r="Q707" s="85">
        <f>IF($M707="",0,IF(($M707-IFERROR(INDEX(設定!$G$6:$G$21,MATCH($G707,設定!$B$6:$B$21,0)),0))*60&gt;=設定!$C$44,ROUND(FLOOR(($M707-IFERROR(INDEX(設定!$G$6:$G$21,MATCH($G707,設定!$B$6:$B$21,0)),0))*60,設定!$C$45)/60,2),0))</f>
        <v/>
      </c>
      <c r="R707" s="16">
        <f>IF(OR($C707="",$Q707=0),"",IF($G707="國","國定假日",IF($B707="日","例假",IF($B707="六","休息日","平日"))))</f>
        <v/>
      </c>
      <c r="S707" s="19" t="n"/>
    </row>
    <row r="708">
      <c r="A708" s="82">
        <f>IF(OR(助理班表!$A27="",24&gt;DAY(EOMONTH(DATE(設定!$C$2,設定!$D$2,1),0))),"",DATE(設定!$C$2,設定!$D$2,24))</f>
        <v/>
      </c>
      <c r="B708" s="16">
        <f>IF($A708="","",INDEX(設定!$O$6:$O$12,WEEKDAY($A708,1)))</f>
        <v/>
      </c>
      <c r="C708" s="16">
        <f>IF($A708="","",助理班表!$A27)</f>
        <v/>
      </c>
      <c r="D708" s="16">
        <f>IF($C708="","",助理班表!$B27)</f>
        <v/>
      </c>
      <c r="E708" s="16">
        <f>IF($C708="","",助理班表!$D27)</f>
        <v/>
      </c>
      <c r="F708" s="16">
        <f>IF($C708="","",助理班表!$C27)</f>
        <v/>
      </c>
      <c r="G708" s="16">
        <f>IF($C708="","",助理班表!AB27)</f>
        <v/>
      </c>
      <c r="H708" s="83">
        <f>IF($G708="","",IFERROR(IF(INDEX(設定!$D$6:$D$21,MATCH($G708,設定!$B$6:$B$21,0))=0,"",INDEX(設定!$D$6:$D$21,MATCH($G708,設定!$B$6:$B$21,0))),""))</f>
        <v/>
      </c>
      <c r="I708" s="83">
        <f>IF($G708="","",IFERROR(IF(INDEX(設定!$E$6:$E$21,MATCH($G708,設定!$B$6:$B$21,0))=0,"",INDEX(設定!$E$6:$E$21,MATCH($G708,設定!$B$6:$B$21,0))),""))</f>
        <v/>
      </c>
      <c r="J708" s="83">
        <f>IFERROR(INDEX(打卡匯入!$C$3:$C$2002,MATCH($C708&amp;"|"&amp;DAY($A708),打卡匯入!$E$3:$E$2002,0)),"")</f>
        <v/>
      </c>
      <c r="K708" s="83">
        <f>IFERROR(INDEX(打卡匯入!$D$3:$D$2002,MATCH($C708&amp;"|"&amp;DAY($A708),打卡匯入!$E$3:$E$2002,0)),"")</f>
        <v/>
      </c>
      <c r="L708" s="84">
        <f>IF(OR($J708="",$K708=""),"",IFERROR(INDEX(設定!$F$6:$F$21,MATCH($G708,設定!$B$6:$B$21,0)),0))</f>
        <v/>
      </c>
      <c r="M708" s="85">
        <f>IF(OR($J708="",$K708=""),"",ROUND(($K708-$J708)*24-$L708/60,2))</f>
        <v/>
      </c>
      <c r="N708" s="16">
        <f>IF($C708="","",IF(AND(COUNTIF(設定!$B$15:$B$21,$G708)&gt;0,$J708&lt;&gt;""),"假日出勤",IF(AND(COUNTIF(設定!$B$6:$B$14,$G708)&gt;0,$J708=""),"未打卡",IF($J708="","",IF($O708&gt;0,"遲到",IF($P708&gt;0,"早退","正常"))))))</f>
        <v/>
      </c>
      <c r="O708" s="84">
        <f>IF(OR($C708="",$H708="",$J708=""),0,IF(ROUND(($J708-$H708)*1440,0)&gt;設定!$C$46,ROUND(($J708-$H708)*1440,0),0))</f>
        <v/>
      </c>
      <c r="P708" s="84">
        <f>IF(OR($C708="",$I708="",$K708=""),0,IF(ROUND(($I708-$K708)*1440,0)&gt;設定!$C$46,ROUND(($I708-$K708)*1440,0),0))</f>
        <v/>
      </c>
      <c r="Q708" s="85">
        <f>IF($M708="",0,IF(($M708-IFERROR(INDEX(設定!$G$6:$G$21,MATCH($G708,設定!$B$6:$B$21,0)),0))*60&gt;=設定!$C$44,ROUND(FLOOR(($M708-IFERROR(INDEX(設定!$G$6:$G$21,MATCH($G708,設定!$B$6:$B$21,0)),0))*60,設定!$C$45)/60,2),0))</f>
        <v/>
      </c>
      <c r="R708" s="16">
        <f>IF(OR($C708="",$Q708=0),"",IF($G708="國","國定假日",IF($B708="日","例假",IF($B708="六","休息日","平日"))))</f>
        <v/>
      </c>
      <c r="S708" s="19" t="n"/>
    </row>
    <row r="709">
      <c r="A709" s="82">
        <f>IF(OR(助理班表!$A27="",25&gt;DAY(EOMONTH(DATE(設定!$C$2,設定!$D$2,1),0))),"",DATE(設定!$C$2,設定!$D$2,25))</f>
        <v/>
      </c>
      <c r="B709" s="16">
        <f>IF($A709="","",INDEX(設定!$O$6:$O$12,WEEKDAY($A709,1)))</f>
        <v/>
      </c>
      <c r="C709" s="16">
        <f>IF($A709="","",助理班表!$A27)</f>
        <v/>
      </c>
      <c r="D709" s="16">
        <f>IF($C709="","",助理班表!$B27)</f>
        <v/>
      </c>
      <c r="E709" s="16">
        <f>IF($C709="","",助理班表!$D27)</f>
        <v/>
      </c>
      <c r="F709" s="16">
        <f>IF($C709="","",助理班表!$C27)</f>
        <v/>
      </c>
      <c r="G709" s="16">
        <f>IF($C709="","",助理班表!AC27)</f>
        <v/>
      </c>
      <c r="H709" s="83">
        <f>IF($G709="","",IFERROR(IF(INDEX(設定!$D$6:$D$21,MATCH($G709,設定!$B$6:$B$21,0))=0,"",INDEX(設定!$D$6:$D$21,MATCH($G709,設定!$B$6:$B$21,0))),""))</f>
        <v/>
      </c>
      <c r="I709" s="83">
        <f>IF($G709="","",IFERROR(IF(INDEX(設定!$E$6:$E$21,MATCH($G709,設定!$B$6:$B$21,0))=0,"",INDEX(設定!$E$6:$E$21,MATCH($G709,設定!$B$6:$B$21,0))),""))</f>
        <v/>
      </c>
      <c r="J709" s="83">
        <f>IFERROR(INDEX(打卡匯入!$C$3:$C$2002,MATCH($C709&amp;"|"&amp;DAY($A709),打卡匯入!$E$3:$E$2002,0)),"")</f>
        <v/>
      </c>
      <c r="K709" s="83">
        <f>IFERROR(INDEX(打卡匯入!$D$3:$D$2002,MATCH($C709&amp;"|"&amp;DAY($A709),打卡匯入!$E$3:$E$2002,0)),"")</f>
        <v/>
      </c>
      <c r="L709" s="84">
        <f>IF(OR($J709="",$K709=""),"",IFERROR(INDEX(設定!$F$6:$F$21,MATCH($G709,設定!$B$6:$B$21,0)),0))</f>
        <v/>
      </c>
      <c r="M709" s="85">
        <f>IF(OR($J709="",$K709=""),"",ROUND(($K709-$J709)*24-$L709/60,2))</f>
        <v/>
      </c>
      <c r="N709" s="16">
        <f>IF($C709="","",IF(AND(COUNTIF(設定!$B$15:$B$21,$G709)&gt;0,$J709&lt;&gt;""),"假日出勤",IF(AND(COUNTIF(設定!$B$6:$B$14,$G709)&gt;0,$J709=""),"未打卡",IF($J709="","",IF($O709&gt;0,"遲到",IF($P709&gt;0,"早退","正常"))))))</f>
        <v/>
      </c>
      <c r="O709" s="84">
        <f>IF(OR($C709="",$H709="",$J709=""),0,IF(ROUND(($J709-$H709)*1440,0)&gt;設定!$C$46,ROUND(($J709-$H709)*1440,0),0))</f>
        <v/>
      </c>
      <c r="P709" s="84">
        <f>IF(OR($C709="",$I709="",$K709=""),0,IF(ROUND(($I709-$K709)*1440,0)&gt;設定!$C$46,ROUND(($I709-$K709)*1440,0),0))</f>
        <v/>
      </c>
      <c r="Q709" s="85">
        <f>IF($M709="",0,IF(($M709-IFERROR(INDEX(設定!$G$6:$G$21,MATCH($G709,設定!$B$6:$B$21,0)),0))*60&gt;=設定!$C$44,ROUND(FLOOR(($M709-IFERROR(INDEX(設定!$G$6:$G$21,MATCH($G709,設定!$B$6:$B$21,0)),0))*60,設定!$C$45)/60,2),0))</f>
        <v/>
      </c>
      <c r="R709" s="16">
        <f>IF(OR($C709="",$Q709=0),"",IF($G709="國","國定假日",IF($B709="日","例假",IF($B709="六","休息日","平日"))))</f>
        <v/>
      </c>
      <c r="S709" s="19" t="n"/>
    </row>
    <row r="710">
      <c r="A710" s="82">
        <f>IF(OR(助理班表!$A27="",26&gt;DAY(EOMONTH(DATE(設定!$C$2,設定!$D$2,1),0))),"",DATE(設定!$C$2,設定!$D$2,26))</f>
        <v/>
      </c>
      <c r="B710" s="16">
        <f>IF($A710="","",INDEX(設定!$O$6:$O$12,WEEKDAY($A710,1)))</f>
        <v/>
      </c>
      <c r="C710" s="16">
        <f>IF($A710="","",助理班表!$A27)</f>
        <v/>
      </c>
      <c r="D710" s="16">
        <f>IF($C710="","",助理班表!$B27)</f>
        <v/>
      </c>
      <c r="E710" s="16">
        <f>IF($C710="","",助理班表!$D27)</f>
        <v/>
      </c>
      <c r="F710" s="16">
        <f>IF($C710="","",助理班表!$C27)</f>
        <v/>
      </c>
      <c r="G710" s="16">
        <f>IF($C710="","",助理班表!AD27)</f>
        <v/>
      </c>
      <c r="H710" s="83">
        <f>IF($G710="","",IFERROR(IF(INDEX(設定!$D$6:$D$21,MATCH($G710,設定!$B$6:$B$21,0))=0,"",INDEX(設定!$D$6:$D$21,MATCH($G710,設定!$B$6:$B$21,0))),""))</f>
        <v/>
      </c>
      <c r="I710" s="83">
        <f>IF($G710="","",IFERROR(IF(INDEX(設定!$E$6:$E$21,MATCH($G710,設定!$B$6:$B$21,0))=0,"",INDEX(設定!$E$6:$E$21,MATCH($G710,設定!$B$6:$B$21,0))),""))</f>
        <v/>
      </c>
      <c r="J710" s="83">
        <f>IFERROR(INDEX(打卡匯入!$C$3:$C$2002,MATCH($C710&amp;"|"&amp;DAY($A710),打卡匯入!$E$3:$E$2002,0)),"")</f>
        <v/>
      </c>
      <c r="K710" s="83">
        <f>IFERROR(INDEX(打卡匯入!$D$3:$D$2002,MATCH($C710&amp;"|"&amp;DAY($A710),打卡匯入!$E$3:$E$2002,0)),"")</f>
        <v/>
      </c>
      <c r="L710" s="84">
        <f>IF(OR($J710="",$K710=""),"",IFERROR(INDEX(設定!$F$6:$F$21,MATCH($G710,設定!$B$6:$B$21,0)),0))</f>
        <v/>
      </c>
      <c r="M710" s="85">
        <f>IF(OR($J710="",$K710=""),"",ROUND(($K710-$J710)*24-$L710/60,2))</f>
        <v/>
      </c>
      <c r="N710" s="16">
        <f>IF($C710="","",IF(AND(COUNTIF(設定!$B$15:$B$21,$G710)&gt;0,$J710&lt;&gt;""),"假日出勤",IF(AND(COUNTIF(設定!$B$6:$B$14,$G710)&gt;0,$J710=""),"未打卡",IF($J710="","",IF($O710&gt;0,"遲到",IF($P710&gt;0,"早退","正常"))))))</f>
        <v/>
      </c>
      <c r="O710" s="84">
        <f>IF(OR($C710="",$H710="",$J710=""),0,IF(ROUND(($J710-$H710)*1440,0)&gt;設定!$C$46,ROUND(($J710-$H710)*1440,0),0))</f>
        <v/>
      </c>
      <c r="P710" s="84">
        <f>IF(OR($C710="",$I710="",$K710=""),0,IF(ROUND(($I710-$K710)*1440,0)&gt;設定!$C$46,ROUND(($I710-$K710)*1440,0),0))</f>
        <v/>
      </c>
      <c r="Q710" s="85">
        <f>IF($M710="",0,IF(($M710-IFERROR(INDEX(設定!$G$6:$G$21,MATCH($G710,設定!$B$6:$B$21,0)),0))*60&gt;=設定!$C$44,ROUND(FLOOR(($M710-IFERROR(INDEX(設定!$G$6:$G$21,MATCH($G710,設定!$B$6:$B$21,0)),0))*60,設定!$C$45)/60,2),0))</f>
        <v/>
      </c>
      <c r="R710" s="16">
        <f>IF(OR($C710="",$Q710=0),"",IF($G710="國","國定假日",IF($B710="日","例假",IF($B710="六","休息日","平日"))))</f>
        <v/>
      </c>
      <c r="S710" s="19" t="n"/>
    </row>
    <row r="711">
      <c r="A711" s="82">
        <f>IF(OR(助理班表!$A27="",27&gt;DAY(EOMONTH(DATE(設定!$C$2,設定!$D$2,1),0))),"",DATE(設定!$C$2,設定!$D$2,27))</f>
        <v/>
      </c>
      <c r="B711" s="16">
        <f>IF($A711="","",INDEX(設定!$O$6:$O$12,WEEKDAY($A711,1)))</f>
        <v/>
      </c>
      <c r="C711" s="16">
        <f>IF($A711="","",助理班表!$A27)</f>
        <v/>
      </c>
      <c r="D711" s="16">
        <f>IF($C711="","",助理班表!$B27)</f>
        <v/>
      </c>
      <c r="E711" s="16">
        <f>IF($C711="","",助理班表!$D27)</f>
        <v/>
      </c>
      <c r="F711" s="16">
        <f>IF($C711="","",助理班表!$C27)</f>
        <v/>
      </c>
      <c r="G711" s="16">
        <f>IF($C711="","",助理班表!AE27)</f>
        <v/>
      </c>
      <c r="H711" s="83">
        <f>IF($G711="","",IFERROR(IF(INDEX(設定!$D$6:$D$21,MATCH($G711,設定!$B$6:$B$21,0))=0,"",INDEX(設定!$D$6:$D$21,MATCH($G711,設定!$B$6:$B$21,0))),""))</f>
        <v/>
      </c>
      <c r="I711" s="83">
        <f>IF($G711="","",IFERROR(IF(INDEX(設定!$E$6:$E$21,MATCH($G711,設定!$B$6:$B$21,0))=0,"",INDEX(設定!$E$6:$E$21,MATCH($G711,設定!$B$6:$B$21,0))),""))</f>
        <v/>
      </c>
      <c r="J711" s="83">
        <f>IFERROR(INDEX(打卡匯入!$C$3:$C$2002,MATCH($C711&amp;"|"&amp;DAY($A711),打卡匯入!$E$3:$E$2002,0)),"")</f>
        <v/>
      </c>
      <c r="K711" s="83">
        <f>IFERROR(INDEX(打卡匯入!$D$3:$D$2002,MATCH($C711&amp;"|"&amp;DAY($A711),打卡匯入!$E$3:$E$2002,0)),"")</f>
        <v/>
      </c>
      <c r="L711" s="84">
        <f>IF(OR($J711="",$K711=""),"",IFERROR(INDEX(設定!$F$6:$F$21,MATCH($G711,設定!$B$6:$B$21,0)),0))</f>
        <v/>
      </c>
      <c r="M711" s="85">
        <f>IF(OR($J711="",$K711=""),"",ROUND(($K711-$J711)*24-$L711/60,2))</f>
        <v/>
      </c>
      <c r="N711" s="16">
        <f>IF($C711="","",IF(AND(COUNTIF(設定!$B$15:$B$21,$G711)&gt;0,$J711&lt;&gt;""),"假日出勤",IF(AND(COUNTIF(設定!$B$6:$B$14,$G711)&gt;0,$J711=""),"未打卡",IF($J711="","",IF($O711&gt;0,"遲到",IF($P711&gt;0,"早退","正常"))))))</f>
        <v/>
      </c>
      <c r="O711" s="84">
        <f>IF(OR($C711="",$H711="",$J711=""),0,IF(ROUND(($J711-$H711)*1440,0)&gt;設定!$C$46,ROUND(($J711-$H711)*1440,0),0))</f>
        <v/>
      </c>
      <c r="P711" s="84">
        <f>IF(OR($C711="",$I711="",$K711=""),0,IF(ROUND(($I711-$K711)*1440,0)&gt;設定!$C$46,ROUND(($I711-$K711)*1440,0),0))</f>
        <v/>
      </c>
      <c r="Q711" s="85">
        <f>IF($M711="",0,IF(($M711-IFERROR(INDEX(設定!$G$6:$G$21,MATCH($G711,設定!$B$6:$B$21,0)),0))*60&gt;=設定!$C$44,ROUND(FLOOR(($M711-IFERROR(INDEX(設定!$G$6:$G$21,MATCH($G711,設定!$B$6:$B$21,0)),0))*60,設定!$C$45)/60,2),0))</f>
        <v/>
      </c>
      <c r="R711" s="16">
        <f>IF(OR($C711="",$Q711=0),"",IF($G711="國","國定假日",IF($B711="日","例假",IF($B711="六","休息日","平日"))))</f>
        <v/>
      </c>
      <c r="S711" s="19" t="n"/>
    </row>
    <row r="712">
      <c r="A712" s="82">
        <f>IF(OR(助理班表!$A27="",28&gt;DAY(EOMONTH(DATE(設定!$C$2,設定!$D$2,1),0))),"",DATE(設定!$C$2,設定!$D$2,28))</f>
        <v/>
      </c>
      <c r="B712" s="16">
        <f>IF($A712="","",INDEX(設定!$O$6:$O$12,WEEKDAY($A712,1)))</f>
        <v/>
      </c>
      <c r="C712" s="16">
        <f>IF($A712="","",助理班表!$A27)</f>
        <v/>
      </c>
      <c r="D712" s="16">
        <f>IF($C712="","",助理班表!$B27)</f>
        <v/>
      </c>
      <c r="E712" s="16">
        <f>IF($C712="","",助理班表!$D27)</f>
        <v/>
      </c>
      <c r="F712" s="16">
        <f>IF($C712="","",助理班表!$C27)</f>
        <v/>
      </c>
      <c r="G712" s="16">
        <f>IF($C712="","",助理班表!AF27)</f>
        <v/>
      </c>
      <c r="H712" s="83">
        <f>IF($G712="","",IFERROR(IF(INDEX(設定!$D$6:$D$21,MATCH($G712,設定!$B$6:$B$21,0))=0,"",INDEX(設定!$D$6:$D$21,MATCH($G712,設定!$B$6:$B$21,0))),""))</f>
        <v/>
      </c>
      <c r="I712" s="83">
        <f>IF($G712="","",IFERROR(IF(INDEX(設定!$E$6:$E$21,MATCH($G712,設定!$B$6:$B$21,0))=0,"",INDEX(設定!$E$6:$E$21,MATCH($G712,設定!$B$6:$B$21,0))),""))</f>
        <v/>
      </c>
      <c r="J712" s="83">
        <f>IFERROR(INDEX(打卡匯入!$C$3:$C$2002,MATCH($C712&amp;"|"&amp;DAY($A712),打卡匯入!$E$3:$E$2002,0)),"")</f>
        <v/>
      </c>
      <c r="K712" s="83">
        <f>IFERROR(INDEX(打卡匯入!$D$3:$D$2002,MATCH($C712&amp;"|"&amp;DAY($A712),打卡匯入!$E$3:$E$2002,0)),"")</f>
        <v/>
      </c>
      <c r="L712" s="84">
        <f>IF(OR($J712="",$K712=""),"",IFERROR(INDEX(設定!$F$6:$F$21,MATCH($G712,設定!$B$6:$B$21,0)),0))</f>
        <v/>
      </c>
      <c r="M712" s="85">
        <f>IF(OR($J712="",$K712=""),"",ROUND(($K712-$J712)*24-$L712/60,2))</f>
        <v/>
      </c>
      <c r="N712" s="16">
        <f>IF($C712="","",IF(AND(COUNTIF(設定!$B$15:$B$21,$G712)&gt;0,$J712&lt;&gt;""),"假日出勤",IF(AND(COUNTIF(設定!$B$6:$B$14,$G712)&gt;0,$J712=""),"未打卡",IF($J712="","",IF($O712&gt;0,"遲到",IF($P712&gt;0,"早退","正常"))))))</f>
        <v/>
      </c>
      <c r="O712" s="84">
        <f>IF(OR($C712="",$H712="",$J712=""),0,IF(ROUND(($J712-$H712)*1440,0)&gt;設定!$C$46,ROUND(($J712-$H712)*1440,0),0))</f>
        <v/>
      </c>
      <c r="P712" s="84">
        <f>IF(OR($C712="",$I712="",$K712=""),0,IF(ROUND(($I712-$K712)*1440,0)&gt;設定!$C$46,ROUND(($I712-$K712)*1440,0),0))</f>
        <v/>
      </c>
      <c r="Q712" s="85">
        <f>IF($M712="",0,IF(($M712-IFERROR(INDEX(設定!$G$6:$G$21,MATCH($G712,設定!$B$6:$B$21,0)),0))*60&gt;=設定!$C$44,ROUND(FLOOR(($M712-IFERROR(INDEX(設定!$G$6:$G$21,MATCH($G712,設定!$B$6:$B$21,0)),0))*60,設定!$C$45)/60,2),0))</f>
        <v/>
      </c>
      <c r="R712" s="16">
        <f>IF(OR($C712="",$Q712=0),"",IF($G712="國","國定假日",IF($B712="日","例假",IF($B712="六","休息日","平日"))))</f>
        <v/>
      </c>
      <c r="S712" s="19" t="n"/>
    </row>
    <row r="713">
      <c r="A713" s="82">
        <f>IF(OR(助理班表!$A27="",29&gt;DAY(EOMONTH(DATE(設定!$C$2,設定!$D$2,1),0))),"",DATE(設定!$C$2,設定!$D$2,29))</f>
        <v/>
      </c>
      <c r="B713" s="16">
        <f>IF($A713="","",INDEX(設定!$O$6:$O$12,WEEKDAY($A713,1)))</f>
        <v/>
      </c>
      <c r="C713" s="16">
        <f>IF($A713="","",助理班表!$A27)</f>
        <v/>
      </c>
      <c r="D713" s="16">
        <f>IF($C713="","",助理班表!$B27)</f>
        <v/>
      </c>
      <c r="E713" s="16">
        <f>IF($C713="","",助理班表!$D27)</f>
        <v/>
      </c>
      <c r="F713" s="16">
        <f>IF($C713="","",助理班表!$C27)</f>
        <v/>
      </c>
      <c r="G713" s="16">
        <f>IF($C713="","",助理班表!AG27)</f>
        <v/>
      </c>
      <c r="H713" s="83">
        <f>IF($G713="","",IFERROR(IF(INDEX(設定!$D$6:$D$21,MATCH($G713,設定!$B$6:$B$21,0))=0,"",INDEX(設定!$D$6:$D$21,MATCH($G713,設定!$B$6:$B$21,0))),""))</f>
        <v/>
      </c>
      <c r="I713" s="83">
        <f>IF($G713="","",IFERROR(IF(INDEX(設定!$E$6:$E$21,MATCH($G713,設定!$B$6:$B$21,0))=0,"",INDEX(設定!$E$6:$E$21,MATCH($G713,設定!$B$6:$B$21,0))),""))</f>
        <v/>
      </c>
      <c r="J713" s="83">
        <f>IFERROR(INDEX(打卡匯入!$C$3:$C$2002,MATCH($C713&amp;"|"&amp;DAY($A713),打卡匯入!$E$3:$E$2002,0)),"")</f>
        <v/>
      </c>
      <c r="K713" s="83">
        <f>IFERROR(INDEX(打卡匯入!$D$3:$D$2002,MATCH($C713&amp;"|"&amp;DAY($A713),打卡匯入!$E$3:$E$2002,0)),"")</f>
        <v/>
      </c>
      <c r="L713" s="84">
        <f>IF(OR($J713="",$K713=""),"",IFERROR(INDEX(設定!$F$6:$F$21,MATCH($G713,設定!$B$6:$B$21,0)),0))</f>
        <v/>
      </c>
      <c r="M713" s="85">
        <f>IF(OR($J713="",$K713=""),"",ROUND(($K713-$J713)*24-$L713/60,2))</f>
        <v/>
      </c>
      <c r="N713" s="16">
        <f>IF($C713="","",IF(AND(COUNTIF(設定!$B$15:$B$21,$G713)&gt;0,$J713&lt;&gt;""),"假日出勤",IF(AND(COUNTIF(設定!$B$6:$B$14,$G713)&gt;0,$J713=""),"未打卡",IF($J713="","",IF($O713&gt;0,"遲到",IF($P713&gt;0,"早退","正常"))))))</f>
        <v/>
      </c>
      <c r="O713" s="84">
        <f>IF(OR($C713="",$H713="",$J713=""),0,IF(ROUND(($J713-$H713)*1440,0)&gt;設定!$C$46,ROUND(($J713-$H713)*1440,0),0))</f>
        <v/>
      </c>
      <c r="P713" s="84">
        <f>IF(OR($C713="",$I713="",$K713=""),0,IF(ROUND(($I713-$K713)*1440,0)&gt;設定!$C$46,ROUND(($I713-$K713)*1440,0),0))</f>
        <v/>
      </c>
      <c r="Q713" s="85">
        <f>IF($M713="",0,IF(($M713-IFERROR(INDEX(設定!$G$6:$G$21,MATCH($G713,設定!$B$6:$B$21,0)),0))*60&gt;=設定!$C$44,ROUND(FLOOR(($M713-IFERROR(INDEX(設定!$G$6:$G$21,MATCH($G713,設定!$B$6:$B$21,0)),0))*60,設定!$C$45)/60,2),0))</f>
        <v/>
      </c>
      <c r="R713" s="16">
        <f>IF(OR($C713="",$Q713=0),"",IF($G713="國","國定假日",IF($B713="日","例假",IF($B713="六","休息日","平日"))))</f>
        <v/>
      </c>
      <c r="S713" s="19" t="n"/>
    </row>
    <row r="714">
      <c r="A714" s="82">
        <f>IF(OR(助理班表!$A27="",30&gt;DAY(EOMONTH(DATE(設定!$C$2,設定!$D$2,1),0))),"",DATE(設定!$C$2,設定!$D$2,30))</f>
        <v/>
      </c>
      <c r="B714" s="16">
        <f>IF($A714="","",INDEX(設定!$O$6:$O$12,WEEKDAY($A714,1)))</f>
        <v/>
      </c>
      <c r="C714" s="16">
        <f>IF($A714="","",助理班表!$A27)</f>
        <v/>
      </c>
      <c r="D714" s="16">
        <f>IF($C714="","",助理班表!$B27)</f>
        <v/>
      </c>
      <c r="E714" s="16">
        <f>IF($C714="","",助理班表!$D27)</f>
        <v/>
      </c>
      <c r="F714" s="16">
        <f>IF($C714="","",助理班表!$C27)</f>
        <v/>
      </c>
      <c r="G714" s="16">
        <f>IF($C714="","",助理班表!AH27)</f>
        <v/>
      </c>
      <c r="H714" s="83">
        <f>IF($G714="","",IFERROR(IF(INDEX(設定!$D$6:$D$21,MATCH($G714,設定!$B$6:$B$21,0))=0,"",INDEX(設定!$D$6:$D$21,MATCH($G714,設定!$B$6:$B$21,0))),""))</f>
        <v/>
      </c>
      <c r="I714" s="83">
        <f>IF($G714="","",IFERROR(IF(INDEX(設定!$E$6:$E$21,MATCH($G714,設定!$B$6:$B$21,0))=0,"",INDEX(設定!$E$6:$E$21,MATCH($G714,設定!$B$6:$B$21,0))),""))</f>
        <v/>
      </c>
      <c r="J714" s="83">
        <f>IFERROR(INDEX(打卡匯入!$C$3:$C$2002,MATCH($C714&amp;"|"&amp;DAY($A714),打卡匯入!$E$3:$E$2002,0)),"")</f>
        <v/>
      </c>
      <c r="K714" s="83">
        <f>IFERROR(INDEX(打卡匯入!$D$3:$D$2002,MATCH($C714&amp;"|"&amp;DAY($A714),打卡匯入!$E$3:$E$2002,0)),"")</f>
        <v/>
      </c>
      <c r="L714" s="84">
        <f>IF(OR($J714="",$K714=""),"",IFERROR(INDEX(設定!$F$6:$F$21,MATCH($G714,設定!$B$6:$B$21,0)),0))</f>
        <v/>
      </c>
      <c r="M714" s="85">
        <f>IF(OR($J714="",$K714=""),"",ROUND(($K714-$J714)*24-$L714/60,2))</f>
        <v/>
      </c>
      <c r="N714" s="16">
        <f>IF($C714="","",IF(AND(COUNTIF(設定!$B$15:$B$21,$G714)&gt;0,$J714&lt;&gt;""),"假日出勤",IF(AND(COUNTIF(設定!$B$6:$B$14,$G714)&gt;0,$J714=""),"未打卡",IF($J714="","",IF($O714&gt;0,"遲到",IF($P714&gt;0,"早退","正常"))))))</f>
        <v/>
      </c>
      <c r="O714" s="84">
        <f>IF(OR($C714="",$H714="",$J714=""),0,IF(ROUND(($J714-$H714)*1440,0)&gt;設定!$C$46,ROUND(($J714-$H714)*1440,0),0))</f>
        <v/>
      </c>
      <c r="P714" s="84">
        <f>IF(OR($C714="",$I714="",$K714=""),0,IF(ROUND(($I714-$K714)*1440,0)&gt;設定!$C$46,ROUND(($I714-$K714)*1440,0),0))</f>
        <v/>
      </c>
      <c r="Q714" s="85">
        <f>IF($M714="",0,IF(($M714-IFERROR(INDEX(設定!$G$6:$G$21,MATCH($G714,設定!$B$6:$B$21,0)),0))*60&gt;=設定!$C$44,ROUND(FLOOR(($M714-IFERROR(INDEX(設定!$G$6:$G$21,MATCH($G714,設定!$B$6:$B$21,0)),0))*60,設定!$C$45)/60,2),0))</f>
        <v/>
      </c>
      <c r="R714" s="16">
        <f>IF(OR($C714="",$Q714=0),"",IF($G714="國","國定假日",IF($B714="日","例假",IF($B714="六","休息日","平日"))))</f>
        <v/>
      </c>
      <c r="S714" s="19" t="n"/>
    </row>
    <row r="715">
      <c r="A715" s="82">
        <f>IF(OR(助理班表!$A27="",31&gt;DAY(EOMONTH(DATE(設定!$C$2,設定!$D$2,1),0))),"",DATE(設定!$C$2,設定!$D$2,31))</f>
        <v/>
      </c>
      <c r="B715" s="16">
        <f>IF($A715="","",INDEX(設定!$O$6:$O$12,WEEKDAY($A715,1)))</f>
        <v/>
      </c>
      <c r="C715" s="16">
        <f>IF($A715="","",助理班表!$A27)</f>
        <v/>
      </c>
      <c r="D715" s="16">
        <f>IF($C715="","",助理班表!$B27)</f>
        <v/>
      </c>
      <c r="E715" s="16">
        <f>IF($C715="","",助理班表!$D27)</f>
        <v/>
      </c>
      <c r="F715" s="16">
        <f>IF($C715="","",助理班表!$C27)</f>
        <v/>
      </c>
      <c r="G715" s="16">
        <f>IF($C715="","",助理班表!AI27)</f>
        <v/>
      </c>
      <c r="H715" s="83">
        <f>IF($G715="","",IFERROR(IF(INDEX(設定!$D$6:$D$21,MATCH($G715,設定!$B$6:$B$21,0))=0,"",INDEX(設定!$D$6:$D$21,MATCH($G715,設定!$B$6:$B$21,0))),""))</f>
        <v/>
      </c>
      <c r="I715" s="83">
        <f>IF($G715="","",IFERROR(IF(INDEX(設定!$E$6:$E$21,MATCH($G715,設定!$B$6:$B$21,0))=0,"",INDEX(設定!$E$6:$E$21,MATCH($G715,設定!$B$6:$B$21,0))),""))</f>
        <v/>
      </c>
      <c r="J715" s="83">
        <f>IFERROR(INDEX(打卡匯入!$C$3:$C$2002,MATCH($C715&amp;"|"&amp;DAY($A715),打卡匯入!$E$3:$E$2002,0)),"")</f>
        <v/>
      </c>
      <c r="K715" s="83">
        <f>IFERROR(INDEX(打卡匯入!$D$3:$D$2002,MATCH($C715&amp;"|"&amp;DAY($A715),打卡匯入!$E$3:$E$2002,0)),"")</f>
        <v/>
      </c>
      <c r="L715" s="84">
        <f>IF(OR($J715="",$K715=""),"",IFERROR(INDEX(設定!$F$6:$F$21,MATCH($G715,設定!$B$6:$B$21,0)),0))</f>
        <v/>
      </c>
      <c r="M715" s="85">
        <f>IF(OR($J715="",$K715=""),"",ROUND(($K715-$J715)*24-$L715/60,2))</f>
        <v/>
      </c>
      <c r="N715" s="16">
        <f>IF($C715="","",IF(AND(COUNTIF(設定!$B$15:$B$21,$G715)&gt;0,$J715&lt;&gt;""),"假日出勤",IF(AND(COUNTIF(設定!$B$6:$B$14,$G715)&gt;0,$J715=""),"未打卡",IF($J715="","",IF($O715&gt;0,"遲到",IF($P715&gt;0,"早退","正常"))))))</f>
        <v/>
      </c>
      <c r="O715" s="84">
        <f>IF(OR($C715="",$H715="",$J715=""),0,IF(ROUND(($J715-$H715)*1440,0)&gt;設定!$C$46,ROUND(($J715-$H715)*1440,0),0))</f>
        <v/>
      </c>
      <c r="P715" s="84">
        <f>IF(OR($C715="",$I715="",$K715=""),0,IF(ROUND(($I715-$K715)*1440,0)&gt;設定!$C$46,ROUND(($I715-$K715)*1440,0),0))</f>
        <v/>
      </c>
      <c r="Q715" s="85">
        <f>IF($M715="",0,IF(($M715-IFERROR(INDEX(設定!$G$6:$G$21,MATCH($G715,設定!$B$6:$B$21,0)),0))*60&gt;=設定!$C$44,ROUND(FLOOR(($M715-IFERROR(INDEX(設定!$G$6:$G$21,MATCH($G715,設定!$B$6:$B$21,0)),0))*60,設定!$C$45)/60,2),0))</f>
        <v/>
      </c>
      <c r="R715" s="16">
        <f>IF(OR($C715="",$Q715=0),"",IF($G715="國","國定假日",IF($B715="日","例假",IF($B715="六","休息日","平日"))))</f>
        <v/>
      </c>
      <c r="S715" s="19" t="n"/>
    </row>
    <row r="716">
      <c r="A716" s="82">
        <f>IF(OR(助理班表!$A28="",1&gt;DAY(EOMONTH(DATE(設定!$C$2,設定!$D$2,1),0))),"",DATE(設定!$C$2,設定!$D$2,1))</f>
        <v/>
      </c>
      <c r="B716" s="16">
        <f>IF($A716="","",INDEX(設定!$O$6:$O$12,WEEKDAY($A716,1)))</f>
        <v/>
      </c>
      <c r="C716" s="16">
        <f>IF($A716="","",助理班表!$A28)</f>
        <v/>
      </c>
      <c r="D716" s="16">
        <f>IF($C716="","",助理班表!$B28)</f>
        <v/>
      </c>
      <c r="E716" s="16">
        <f>IF($C716="","",助理班表!$D28)</f>
        <v/>
      </c>
      <c r="F716" s="16">
        <f>IF($C716="","",助理班表!$C28)</f>
        <v/>
      </c>
      <c r="G716" s="16">
        <f>IF($C716="","",助理班表!E28)</f>
        <v/>
      </c>
      <c r="H716" s="83">
        <f>IF($G716="","",IFERROR(IF(INDEX(設定!$D$6:$D$21,MATCH($G716,設定!$B$6:$B$21,0))=0,"",INDEX(設定!$D$6:$D$21,MATCH($G716,設定!$B$6:$B$21,0))),""))</f>
        <v/>
      </c>
      <c r="I716" s="83">
        <f>IF($G716="","",IFERROR(IF(INDEX(設定!$E$6:$E$21,MATCH($G716,設定!$B$6:$B$21,0))=0,"",INDEX(設定!$E$6:$E$21,MATCH($G716,設定!$B$6:$B$21,0))),""))</f>
        <v/>
      </c>
      <c r="J716" s="83">
        <f>IFERROR(INDEX(打卡匯入!$C$3:$C$2002,MATCH($C716&amp;"|"&amp;DAY($A716),打卡匯入!$E$3:$E$2002,0)),"")</f>
        <v/>
      </c>
      <c r="K716" s="83">
        <f>IFERROR(INDEX(打卡匯入!$D$3:$D$2002,MATCH($C716&amp;"|"&amp;DAY($A716),打卡匯入!$E$3:$E$2002,0)),"")</f>
        <v/>
      </c>
      <c r="L716" s="84">
        <f>IF(OR($J716="",$K716=""),"",IFERROR(INDEX(設定!$F$6:$F$21,MATCH($G716,設定!$B$6:$B$21,0)),0))</f>
        <v/>
      </c>
      <c r="M716" s="85">
        <f>IF(OR($J716="",$K716=""),"",ROUND(($K716-$J716)*24-$L716/60,2))</f>
        <v/>
      </c>
      <c r="N716" s="16">
        <f>IF($C716="","",IF(AND(COUNTIF(設定!$B$15:$B$21,$G716)&gt;0,$J716&lt;&gt;""),"假日出勤",IF(AND(COUNTIF(設定!$B$6:$B$14,$G716)&gt;0,$J716=""),"未打卡",IF($J716="","",IF($O716&gt;0,"遲到",IF($P716&gt;0,"早退","正常"))))))</f>
        <v/>
      </c>
      <c r="O716" s="84">
        <f>IF(OR($C716="",$H716="",$J716=""),0,IF(ROUND(($J716-$H716)*1440,0)&gt;設定!$C$46,ROUND(($J716-$H716)*1440,0),0))</f>
        <v/>
      </c>
      <c r="P716" s="84">
        <f>IF(OR($C716="",$I716="",$K716=""),0,IF(ROUND(($I716-$K716)*1440,0)&gt;設定!$C$46,ROUND(($I716-$K716)*1440,0),0))</f>
        <v/>
      </c>
      <c r="Q716" s="85">
        <f>IF($M716="",0,IF(($M716-IFERROR(INDEX(設定!$G$6:$G$21,MATCH($G716,設定!$B$6:$B$21,0)),0))*60&gt;=設定!$C$44,ROUND(FLOOR(($M716-IFERROR(INDEX(設定!$G$6:$G$21,MATCH($G716,設定!$B$6:$B$21,0)),0))*60,設定!$C$45)/60,2),0))</f>
        <v/>
      </c>
      <c r="R716" s="16">
        <f>IF(OR($C716="",$Q716=0),"",IF($G716="國","國定假日",IF($B716="日","例假",IF($B716="六","休息日","平日"))))</f>
        <v/>
      </c>
      <c r="S716" s="19" t="n"/>
    </row>
    <row r="717">
      <c r="A717" s="82">
        <f>IF(OR(助理班表!$A28="",2&gt;DAY(EOMONTH(DATE(設定!$C$2,設定!$D$2,1),0))),"",DATE(設定!$C$2,設定!$D$2,2))</f>
        <v/>
      </c>
      <c r="B717" s="16">
        <f>IF($A717="","",INDEX(設定!$O$6:$O$12,WEEKDAY($A717,1)))</f>
        <v/>
      </c>
      <c r="C717" s="16">
        <f>IF($A717="","",助理班表!$A28)</f>
        <v/>
      </c>
      <c r="D717" s="16">
        <f>IF($C717="","",助理班表!$B28)</f>
        <v/>
      </c>
      <c r="E717" s="16">
        <f>IF($C717="","",助理班表!$D28)</f>
        <v/>
      </c>
      <c r="F717" s="16">
        <f>IF($C717="","",助理班表!$C28)</f>
        <v/>
      </c>
      <c r="G717" s="16">
        <f>IF($C717="","",助理班表!F28)</f>
        <v/>
      </c>
      <c r="H717" s="83">
        <f>IF($G717="","",IFERROR(IF(INDEX(設定!$D$6:$D$21,MATCH($G717,設定!$B$6:$B$21,0))=0,"",INDEX(設定!$D$6:$D$21,MATCH($G717,設定!$B$6:$B$21,0))),""))</f>
        <v/>
      </c>
      <c r="I717" s="83">
        <f>IF($G717="","",IFERROR(IF(INDEX(設定!$E$6:$E$21,MATCH($G717,設定!$B$6:$B$21,0))=0,"",INDEX(設定!$E$6:$E$21,MATCH($G717,設定!$B$6:$B$21,0))),""))</f>
        <v/>
      </c>
      <c r="J717" s="83">
        <f>IFERROR(INDEX(打卡匯入!$C$3:$C$2002,MATCH($C717&amp;"|"&amp;DAY($A717),打卡匯入!$E$3:$E$2002,0)),"")</f>
        <v/>
      </c>
      <c r="K717" s="83">
        <f>IFERROR(INDEX(打卡匯入!$D$3:$D$2002,MATCH($C717&amp;"|"&amp;DAY($A717),打卡匯入!$E$3:$E$2002,0)),"")</f>
        <v/>
      </c>
      <c r="L717" s="84">
        <f>IF(OR($J717="",$K717=""),"",IFERROR(INDEX(設定!$F$6:$F$21,MATCH($G717,設定!$B$6:$B$21,0)),0))</f>
        <v/>
      </c>
      <c r="M717" s="85">
        <f>IF(OR($J717="",$K717=""),"",ROUND(($K717-$J717)*24-$L717/60,2))</f>
        <v/>
      </c>
      <c r="N717" s="16">
        <f>IF($C717="","",IF(AND(COUNTIF(設定!$B$15:$B$21,$G717)&gt;0,$J717&lt;&gt;""),"假日出勤",IF(AND(COUNTIF(設定!$B$6:$B$14,$G717)&gt;0,$J717=""),"未打卡",IF($J717="","",IF($O717&gt;0,"遲到",IF($P717&gt;0,"早退","正常"))))))</f>
        <v/>
      </c>
      <c r="O717" s="84">
        <f>IF(OR($C717="",$H717="",$J717=""),0,IF(ROUND(($J717-$H717)*1440,0)&gt;設定!$C$46,ROUND(($J717-$H717)*1440,0),0))</f>
        <v/>
      </c>
      <c r="P717" s="84">
        <f>IF(OR($C717="",$I717="",$K717=""),0,IF(ROUND(($I717-$K717)*1440,0)&gt;設定!$C$46,ROUND(($I717-$K717)*1440,0),0))</f>
        <v/>
      </c>
      <c r="Q717" s="85">
        <f>IF($M717="",0,IF(($M717-IFERROR(INDEX(設定!$G$6:$G$21,MATCH($G717,設定!$B$6:$B$21,0)),0))*60&gt;=設定!$C$44,ROUND(FLOOR(($M717-IFERROR(INDEX(設定!$G$6:$G$21,MATCH($G717,設定!$B$6:$B$21,0)),0))*60,設定!$C$45)/60,2),0))</f>
        <v/>
      </c>
      <c r="R717" s="16">
        <f>IF(OR($C717="",$Q717=0),"",IF($G717="國","國定假日",IF($B717="日","例假",IF($B717="六","休息日","平日"))))</f>
        <v/>
      </c>
      <c r="S717" s="19" t="n"/>
    </row>
    <row r="718">
      <c r="A718" s="82">
        <f>IF(OR(助理班表!$A28="",3&gt;DAY(EOMONTH(DATE(設定!$C$2,設定!$D$2,1),0))),"",DATE(設定!$C$2,設定!$D$2,3))</f>
        <v/>
      </c>
      <c r="B718" s="16">
        <f>IF($A718="","",INDEX(設定!$O$6:$O$12,WEEKDAY($A718,1)))</f>
        <v/>
      </c>
      <c r="C718" s="16">
        <f>IF($A718="","",助理班表!$A28)</f>
        <v/>
      </c>
      <c r="D718" s="16">
        <f>IF($C718="","",助理班表!$B28)</f>
        <v/>
      </c>
      <c r="E718" s="16">
        <f>IF($C718="","",助理班表!$D28)</f>
        <v/>
      </c>
      <c r="F718" s="16">
        <f>IF($C718="","",助理班表!$C28)</f>
        <v/>
      </c>
      <c r="G718" s="16">
        <f>IF($C718="","",助理班表!G28)</f>
        <v/>
      </c>
      <c r="H718" s="83">
        <f>IF($G718="","",IFERROR(IF(INDEX(設定!$D$6:$D$21,MATCH($G718,設定!$B$6:$B$21,0))=0,"",INDEX(設定!$D$6:$D$21,MATCH($G718,設定!$B$6:$B$21,0))),""))</f>
        <v/>
      </c>
      <c r="I718" s="83">
        <f>IF($G718="","",IFERROR(IF(INDEX(設定!$E$6:$E$21,MATCH($G718,設定!$B$6:$B$21,0))=0,"",INDEX(設定!$E$6:$E$21,MATCH($G718,設定!$B$6:$B$21,0))),""))</f>
        <v/>
      </c>
      <c r="J718" s="83">
        <f>IFERROR(INDEX(打卡匯入!$C$3:$C$2002,MATCH($C718&amp;"|"&amp;DAY($A718),打卡匯入!$E$3:$E$2002,0)),"")</f>
        <v/>
      </c>
      <c r="K718" s="83">
        <f>IFERROR(INDEX(打卡匯入!$D$3:$D$2002,MATCH($C718&amp;"|"&amp;DAY($A718),打卡匯入!$E$3:$E$2002,0)),"")</f>
        <v/>
      </c>
      <c r="L718" s="84">
        <f>IF(OR($J718="",$K718=""),"",IFERROR(INDEX(設定!$F$6:$F$21,MATCH($G718,設定!$B$6:$B$21,0)),0))</f>
        <v/>
      </c>
      <c r="M718" s="85">
        <f>IF(OR($J718="",$K718=""),"",ROUND(($K718-$J718)*24-$L718/60,2))</f>
        <v/>
      </c>
      <c r="N718" s="16">
        <f>IF($C718="","",IF(AND(COUNTIF(設定!$B$15:$B$21,$G718)&gt;0,$J718&lt;&gt;""),"假日出勤",IF(AND(COUNTIF(設定!$B$6:$B$14,$G718)&gt;0,$J718=""),"未打卡",IF($J718="","",IF($O718&gt;0,"遲到",IF($P718&gt;0,"早退","正常"))))))</f>
        <v/>
      </c>
      <c r="O718" s="84">
        <f>IF(OR($C718="",$H718="",$J718=""),0,IF(ROUND(($J718-$H718)*1440,0)&gt;設定!$C$46,ROUND(($J718-$H718)*1440,0),0))</f>
        <v/>
      </c>
      <c r="P718" s="84">
        <f>IF(OR($C718="",$I718="",$K718=""),0,IF(ROUND(($I718-$K718)*1440,0)&gt;設定!$C$46,ROUND(($I718-$K718)*1440,0),0))</f>
        <v/>
      </c>
      <c r="Q718" s="85">
        <f>IF($M718="",0,IF(($M718-IFERROR(INDEX(設定!$G$6:$G$21,MATCH($G718,設定!$B$6:$B$21,0)),0))*60&gt;=設定!$C$44,ROUND(FLOOR(($M718-IFERROR(INDEX(設定!$G$6:$G$21,MATCH($G718,設定!$B$6:$B$21,0)),0))*60,設定!$C$45)/60,2),0))</f>
        <v/>
      </c>
      <c r="R718" s="16">
        <f>IF(OR($C718="",$Q718=0),"",IF($G718="國","國定假日",IF($B718="日","例假",IF($B718="六","休息日","平日"))))</f>
        <v/>
      </c>
      <c r="S718" s="19" t="n"/>
    </row>
    <row r="719">
      <c r="A719" s="82">
        <f>IF(OR(助理班表!$A28="",4&gt;DAY(EOMONTH(DATE(設定!$C$2,設定!$D$2,1),0))),"",DATE(設定!$C$2,設定!$D$2,4))</f>
        <v/>
      </c>
      <c r="B719" s="16">
        <f>IF($A719="","",INDEX(設定!$O$6:$O$12,WEEKDAY($A719,1)))</f>
        <v/>
      </c>
      <c r="C719" s="16">
        <f>IF($A719="","",助理班表!$A28)</f>
        <v/>
      </c>
      <c r="D719" s="16">
        <f>IF($C719="","",助理班表!$B28)</f>
        <v/>
      </c>
      <c r="E719" s="16">
        <f>IF($C719="","",助理班表!$D28)</f>
        <v/>
      </c>
      <c r="F719" s="16">
        <f>IF($C719="","",助理班表!$C28)</f>
        <v/>
      </c>
      <c r="G719" s="16">
        <f>IF($C719="","",助理班表!H28)</f>
        <v/>
      </c>
      <c r="H719" s="83">
        <f>IF($G719="","",IFERROR(IF(INDEX(設定!$D$6:$D$21,MATCH($G719,設定!$B$6:$B$21,0))=0,"",INDEX(設定!$D$6:$D$21,MATCH($G719,設定!$B$6:$B$21,0))),""))</f>
        <v/>
      </c>
      <c r="I719" s="83">
        <f>IF($G719="","",IFERROR(IF(INDEX(設定!$E$6:$E$21,MATCH($G719,設定!$B$6:$B$21,0))=0,"",INDEX(設定!$E$6:$E$21,MATCH($G719,設定!$B$6:$B$21,0))),""))</f>
        <v/>
      </c>
      <c r="J719" s="83">
        <f>IFERROR(INDEX(打卡匯入!$C$3:$C$2002,MATCH($C719&amp;"|"&amp;DAY($A719),打卡匯入!$E$3:$E$2002,0)),"")</f>
        <v/>
      </c>
      <c r="K719" s="83">
        <f>IFERROR(INDEX(打卡匯入!$D$3:$D$2002,MATCH($C719&amp;"|"&amp;DAY($A719),打卡匯入!$E$3:$E$2002,0)),"")</f>
        <v/>
      </c>
      <c r="L719" s="84">
        <f>IF(OR($J719="",$K719=""),"",IFERROR(INDEX(設定!$F$6:$F$21,MATCH($G719,設定!$B$6:$B$21,0)),0))</f>
        <v/>
      </c>
      <c r="M719" s="85">
        <f>IF(OR($J719="",$K719=""),"",ROUND(($K719-$J719)*24-$L719/60,2))</f>
        <v/>
      </c>
      <c r="N719" s="16">
        <f>IF($C719="","",IF(AND(COUNTIF(設定!$B$15:$B$21,$G719)&gt;0,$J719&lt;&gt;""),"假日出勤",IF(AND(COUNTIF(設定!$B$6:$B$14,$G719)&gt;0,$J719=""),"未打卡",IF($J719="","",IF($O719&gt;0,"遲到",IF($P719&gt;0,"早退","正常"))))))</f>
        <v/>
      </c>
      <c r="O719" s="84">
        <f>IF(OR($C719="",$H719="",$J719=""),0,IF(ROUND(($J719-$H719)*1440,0)&gt;設定!$C$46,ROUND(($J719-$H719)*1440,0),0))</f>
        <v/>
      </c>
      <c r="P719" s="84">
        <f>IF(OR($C719="",$I719="",$K719=""),0,IF(ROUND(($I719-$K719)*1440,0)&gt;設定!$C$46,ROUND(($I719-$K719)*1440,0),0))</f>
        <v/>
      </c>
      <c r="Q719" s="85">
        <f>IF($M719="",0,IF(($M719-IFERROR(INDEX(設定!$G$6:$G$21,MATCH($G719,設定!$B$6:$B$21,0)),0))*60&gt;=設定!$C$44,ROUND(FLOOR(($M719-IFERROR(INDEX(設定!$G$6:$G$21,MATCH($G719,設定!$B$6:$B$21,0)),0))*60,設定!$C$45)/60,2),0))</f>
        <v/>
      </c>
      <c r="R719" s="16">
        <f>IF(OR($C719="",$Q719=0),"",IF($G719="國","國定假日",IF($B719="日","例假",IF($B719="六","休息日","平日"))))</f>
        <v/>
      </c>
      <c r="S719" s="19" t="n"/>
    </row>
    <row r="720">
      <c r="A720" s="82">
        <f>IF(OR(助理班表!$A28="",5&gt;DAY(EOMONTH(DATE(設定!$C$2,設定!$D$2,1),0))),"",DATE(設定!$C$2,設定!$D$2,5))</f>
        <v/>
      </c>
      <c r="B720" s="16">
        <f>IF($A720="","",INDEX(設定!$O$6:$O$12,WEEKDAY($A720,1)))</f>
        <v/>
      </c>
      <c r="C720" s="16">
        <f>IF($A720="","",助理班表!$A28)</f>
        <v/>
      </c>
      <c r="D720" s="16">
        <f>IF($C720="","",助理班表!$B28)</f>
        <v/>
      </c>
      <c r="E720" s="16">
        <f>IF($C720="","",助理班表!$D28)</f>
        <v/>
      </c>
      <c r="F720" s="16">
        <f>IF($C720="","",助理班表!$C28)</f>
        <v/>
      </c>
      <c r="G720" s="16">
        <f>IF($C720="","",助理班表!I28)</f>
        <v/>
      </c>
      <c r="H720" s="83">
        <f>IF($G720="","",IFERROR(IF(INDEX(設定!$D$6:$D$21,MATCH($G720,設定!$B$6:$B$21,0))=0,"",INDEX(設定!$D$6:$D$21,MATCH($G720,設定!$B$6:$B$21,0))),""))</f>
        <v/>
      </c>
      <c r="I720" s="83">
        <f>IF($G720="","",IFERROR(IF(INDEX(設定!$E$6:$E$21,MATCH($G720,設定!$B$6:$B$21,0))=0,"",INDEX(設定!$E$6:$E$21,MATCH($G720,設定!$B$6:$B$21,0))),""))</f>
        <v/>
      </c>
      <c r="J720" s="83">
        <f>IFERROR(INDEX(打卡匯入!$C$3:$C$2002,MATCH($C720&amp;"|"&amp;DAY($A720),打卡匯入!$E$3:$E$2002,0)),"")</f>
        <v/>
      </c>
      <c r="K720" s="83">
        <f>IFERROR(INDEX(打卡匯入!$D$3:$D$2002,MATCH($C720&amp;"|"&amp;DAY($A720),打卡匯入!$E$3:$E$2002,0)),"")</f>
        <v/>
      </c>
      <c r="L720" s="84">
        <f>IF(OR($J720="",$K720=""),"",IFERROR(INDEX(設定!$F$6:$F$21,MATCH($G720,設定!$B$6:$B$21,0)),0))</f>
        <v/>
      </c>
      <c r="M720" s="85">
        <f>IF(OR($J720="",$K720=""),"",ROUND(($K720-$J720)*24-$L720/60,2))</f>
        <v/>
      </c>
      <c r="N720" s="16">
        <f>IF($C720="","",IF(AND(COUNTIF(設定!$B$15:$B$21,$G720)&gt;0,$J720&lt;&gt;""),"假日出勤",IF(AND(COUNTIF(設定!$B$6:$B$14,$G720)&gt;0,$J720=""),"未打卡",IF($J720="","",IF($O720&gt;0,"遲到",IF($P720&gt;0,"早退","正常"))))))</f>
        <v/>
      </c>
      <c r="O720" s="84">
        <f>IF(OR($C720="",$H720="",$J720=""),0,IF(ROUND(($J720-$H720)*1440,0)&gt;設定!$C$46,ROUND(($J720-$H720)*1440,0),0))</f>
        <v/>
      </c>
      <c r="P720" s="84">
        <f>IF(OR($C720="",$I720="",$K720=""),0,IF(ROUND(($I720-$K720)*1440,0)&gt;設定!$C$46,ROUND(($I720-$K720)*1440,0),0))</f>
        <v/>
      </c>
      <c r="Q720" s="85">
        <f>IF($M720="",0,IF(($M720-IFERROR(INDEX(設定!$G$6:$G$21,MATCH($G720,設定!$B$6:$B$21,0)),0))*60&gt;=設定!$C$44,ROUND(FLOOR(($M720-IFERROR(INDEX(設定!$G$6:$G$21,MATCH($G720,設定!$B$6:$B$21,0)),0))*60,設定!$C$45)/60,2),0))</f>
        <v/>
      </c>
      <c r="R720" s="16">
        <f>IF(OR($C720="",$Q720=0),"",IF($G720="國","國定假日",IF($B720="日","例假",IF($B720="六","休息日","平日"))))</f>
        <v/>
      </c>
      <c r="S720" s="19" t="n"/>
    </row>
    <row r="721">
      <c r="A721" s="82">
        <f>IF(OR(助理班表!$A28="",6&gt;DAY(EOMONTH(DATE(設定!$C$2,設定!$D$2,1),0))),"",DATE(設定!$C$2,設定!$D$2,6))</f>
        <v/>
      </c>
      <c r="B721" s="16">
        <f>IF($A721="","",INDEX(設定!$O$6:$O$12,WEEKDAY($A721,1)))</f>
        <v/>
      </c>
      <c r="C721" s="16">
        <f>IF($A721="","",助理班表!$A28)</f>
        <v/>
      </c>
      <c r="D721" s="16">
        <f>IF($C721="","",助理班表!$B28)</f>
        <v/>
      </c>
      <c r="E721" s="16">
        <f>IF($C721="","",助理班表!$D28)</f>
        <v/>
      </c>
      <c r="F721" s="16">
        <f>IF($C721="","",助理班表!$C28)</f>
        <v/>
      </c>
      <c r="G721" s="16">
        <f>IF($C721="","",助理班表!J28)</f>
        <v/>
      </c>
      <c r="H721" s="83">
        <f>IF($G721="","",IFERROR(IF(INDEX(設定!$D$6:$D$21,MATCH($G721,設定!$B$6:$B$21,0))=0,"",INDEX(設定!$D$6:$D$21,MATCH($G721,設定!$B$6:$B$21,0))),""))</f>
        <v/>
      </c>
      <c r="I721" s="83">
        <f>IF($G721="","",IFERROR(IF(INDEX(設定!$E$6:$E$21,MATCH($G721,設定!$B$6:$B$21,0))=0,"",INDEX(設定!$E$6:$E$21,MATCH($G721,設定!$B$6:$B$21,0))),""))</f>
        <v/>
      </c>
      <c r="J721" s="83">
        <f>IFERROR(INDEX(打卡匯入!$C$3:$C$2002,MATCH($C721&amp;"|"&amp;DAY($A721),打卡匯入!$E$3:$E$2002,0)),"")</f>
        <v/>
      </c>
      <c r="K721" s="83">
        <f>IFERROR(INDEX(打卡匯入!$D$3:$D$2002,MATCH($C721&amp;"|"&amp;DAY($A721),打卡匯入!$E$3:$E$2002,0)),"")</f>
        <v/>
      </c>
      <c r="L721" s="84">
        <f>IF(OR($J721="",$K721=""),"",IFERROR(INDEX(設定!$F$6:$F$21,MATCH($G721,設定!$B$6:$B$21,0)),0))</f>
        <v/>
      </c>
      <c r="M721" s="85">
        <f>IF(OR($J721="",$K721=""),"",ROUND(($K721-$J721)*24-$L721/60,2))</f>
        <v/>
      </c>
      <c r="N721" s="16">
        <f>IF($C721="","",IF(AND(COUNTIF(設定!$B$15:$B$21,$G721)&gt;0,$J721&lt;&gt;""),"假日出勤",IF(AND(COUNTIF(設定!$B$6:$B$14,$G721)&gt;0,$J721=""),"未打卡",IF($J721="","",IF($O721&gt;0,"遲到",IF($P721&gt;0,"早退","正常"))))))</f>
        <v/>
      </c>
      <c r="O721" s="84">
        <f>IF(OR($C721="",$H721="",$J721=""),0,IF(ROUND(($J721-$H721)*1440,0)&gt;設定!$C$46,ROUND(($J721-$H721)*1440,0),0))</f>
        <v/>
      </c>
      <c r="P721" s="84">
        <f>IF(OR($C721="",$I721="",$K721=""),0,IF(ROUND(($I721-$K721)*1440,0)&gt;設定!$C$46,ROUND(($I721-$K721)*1440,0),0))</f>
        <v/>
      </c>
      <c r="Q721" s="85">
        <f>IF($M721="",0,IF(($M721-IFERROR(INDEX(設定!$G$6:$G$21,MATCH($G721,設定!$B$6:$B$21,0)),0))*60&gt;=設定!$C$44,ROUND(FLOOR(($M721-IFERROR(INDEX(設定!$G$6:$G$21,MATCH($G721,設定!$B$6:$B$21,0)),0))*60,設定!$C$45)/60,2),0))</f>
        <v/>
      </c>
      <c r="R721" s="16">
        <f>IF(OR($C721="",$Q721=0),"",IF($G721="國","國定假日",IF($B721="日","例假",IF($B721="六","休息日","平日"))))</f>
        <v/>
      </c>
      <c r="S721" s="19" t="n"/>
    </row>
    <row r="722">
      <c r="A722" s="82">
        <f>IF(OR(助理班表!$A28="",7&gt;DAY(EOMONTH(DATE(設定!$C$2,設定!$D$2,1),0))),"",DATE(設定!$C$2,設定!$D$2,7))</f>
        <v/>
      </c>
      <c r="B722" s="16">
        <f>IF($A722="","",INDEX(設定!$O$6:$O$12,WEEKDAY($A722,1)))</f>
        <v/>
      </c>
      <c r="C722" s="16">
        <f>IF($A722="","",助理班表!$A28)</f>
        <v/>
      </c>
      <c r="D722" s="16">
        <f>IF($C722="","",助理班表!$B28)</f>
        <v/>
      </c>
      <c r="E722" s="16">
        <f>IF($C722="","",助理班表!$D28)</f>
        <v/>
      </c>
      <c r="F722" s="16">
        <f>IF($C722="","",助理班表!$C28)</f>
        <v/>
      </c>
      <c r="G722" s="16">
        <f>IF($C722="","",助理班表!K28)</f>
        <v/>
      </c>
      <c r="H722" s="83">
        <f>IF($G722="","",IFERROR(IF(INDEX(設定!$D$6:$D$21,MATCH($G722,設定!$B$6:$B$21,0))=0,"",INDEX(設定!$D$6:$D$21,MATCH($G722,設定!$B$6:$B$21,0))),""))</f>
        <v/>
      </c>
      <c r="I722" s="83">
        <f>IF($G722="","",IFERROR(IF(INDEX(設定!$E$6:$E$21,MATCH($G722,設定!$B$6:$B$21,0))=0,"",INDEX(設定!$E$6:$E$21,MATCH($G722,設定!$B$6:$B$21,0))),""))</f>
        <v/>
      </c>
      <c r="J722" s="83">
        <f>IFERROR(INDEX(打卡匯入!$C$3:$C$2002,MATCH($C722&amp;"|"&amp;DAY($A722),打卡匯入!$E$3:$E$2002,0)),"")</f>
        <v/>
      </c>
      <c r="K722" s="83">
        <f>IFERROR(INDEX(打卡匯入!$D$3:$D$2002,MATCH($C722&amp;"|"&amp;DAY($A722),打卡匯入!$E$3:$E$2002,0)),"")</f>
        <v/>
      </c>
      <c r="L722" s="84">
        <f>IF(OR($J722="",$K722=""),"",IFERROR(INDEX(設定!$F$6:$F$21,MATCH($G722,設定!$B$6:$B$21,0)),0))</f>
        <v/>
      </c>
      <c r="M722" s="85">
        <f>IF(OR($J722="",$K722=""),"",ROUND(($K722-$J722)*24-$L722/60,2))</f>
        <v/>
      </c>
      <c r="N722" s="16">
        <f>IF($C722="","",IF(AND(COUNTIF(設定!$B$15:$B$21,$G722)&gt;0,$J722&lt;&gt;""),"假日出勤",IF(AND(COUNTIF(設定!$B$6:$B$14,$G722)&gt;0,$J722=""),"未打卡",IF($J722="","",IF($O722&gt;0,"遲到",IF($P722&gt;0,"早退","正常"))))))</f>
        <v/>
      </c>
      <c r="O722" s="84">
        <f>IF(OR($C722="",$H722="",$J722=""),0,IF(ROUND(($J722-$H722)*1440,0)&gt;設定!$C$46,ROUND(($J722-$H722)*1440,0),0))</f>
        <v/>
      </c>
      <c r="P722" s="84">
        <f>IF(OR($C722="",$I722="",$K722=""),0,IF(ROUND(($I722-$K722)*1440,0)&gt;設定!$C$46,ROUND(($I722-$K722)*1440,0),0))</f>
        <v/>
      </c>
      <c r="Q722" s="85">
        <f>IF($M722="",0,IF(($M722-IFERROR(INDEX(設定!$G$6:$G$21,MATCH($G722,設定!$B$6:$B$21,0)),0))*60&gt;=設定!$C$44,ROUND(FLOOR(($M722-IFERROR(INDEX(設定!$G$6:$G$21,MATCH($G722,設定!$B$6:$B$21,0)),0))*60,設定!$C$45)/60,2),0))</f>
        <v/>
      </c>
      <c r="R722" s="16">
        <f>IF(OR($C722="",$Q722=0),"",IF($G722="國","國定假日",IF($B722="日","例假",IF($B722="六","休息日","平日"))))</f>
        <v/>
      </c>
      <c r="S722" s="19" t="n"/>
    </row>
    <row r="723">
      <c r="A723" s="82">
        <f>IF(OR(助理班表!$A28="",8&gt;DAY(EOMONTH(DATE(設定!$C$2,設定!$D$2,1),0))),"",DATE(設定!$C$2,設定!$D$2,8))</f>
        <v/>
      </c>
      <c r="B723" s="16">
        <f>IF($A723="","",INDEX(設定!$O$6:$O$12,WEEKDAY($A723,1)))</f>
        <v/>
      </c>
      <c r="C723" s="16">
        <f>IF($A723="","",助理班表!$A28)</f>
        <v/>
      </c>
      <c r="D723" s="16">
        <f>IF($C723="","",助理班表!$B28)</f>
        <v/>
      </c>
      <c r="E723" s="16">
        <f>IF($C723="","",助理班表!$D28)</f>
        <v/>
      </c>
      <c r="F723" s="16">
        <f>IF($C723="","",助理班表!$C28)</f>
        <v/>
      </c>
      <c r="G723" s="16">
        <f>IF($C723="","",助理班表!L28)</f>
        <v/>
      </c>
      <c r="H723" s="83">
        <f>IF($G723="","",IFERROR(IF(INDEX(設定!$D$6:$D$21,MATCH($G723,設定!$B$6:$B$21,0))=0,"",INDEX(設定!$D$6:$D$21,MATCH($G723,設定!$B$6:$B$21,0))),""))</f>
        <v/>
      </c>
      <c r="I723" s="83">
        <f>IF($G723="","",IFERROR(IF(INDEX(設定!$E$6:$E$21,MATCH($G723,設定!$B$6:$B$21,0))=0,"",INDEX(設定!$E$6:$E$21,MATCH($G723,設定!$B$6:$B$21,0))),""))</f>
        <v/>
      </c>
      <c r="J723" s="83">
        <f>IFERROR(INDEX(打卡匯入!$C$3:$C$2002,MATCH($C723&amp;"|"&amp;DAY($A723),打卡匯入!$E$3:$E$2002,0)),"")</f>
        <v/>
      </c>
      <c r="K723" s="83">
        <f>IFERROR(INDEX(打卡匯入!$D$3:$D$2002,MATCH($C723&amp;"|"&amp;DAY($A723),打卡匯入!$E$3:$E$2002,0)),"")</f>
        <v/>
      </c>
      <c r="L723" s="84">
        <f>IF(OR($J723="",$K723=""),"",IFERROR(INDEX(設定!$F$6:$F$21,MATCH($G723,設定!$B$6:$B$21,0)),0))</f>
        <v/>
      </c>
      <c r="M723" s="85">
        <f>IF(OR($J723="",$K723=""),"",ROUND(($K723-$J723)*24-$L723/60,2))</f>
        <v/>
      </c>
      <c r="N723" s="16">
        <f>IF($C723="","",IF(AND(COUNTIF(設定!$B$15:$B$21,$G723)&gt;0,$J723&lt;&gt;""),"假日出勤",IF(AND(COUNTIF(設定!$B$6:$B$14,$G723)&gt;0,$J723=""),"未打卡",IF($J723="","",IF($O723&gt;0,"遲到",IF($P723&gt;0,"早退","正常"))))))</f>
        <v/>
      </c>
      <c r="O723" s="84">
        <f>IF(OR($C723="",$H723="",$J723=""),0,IF(ROUND(($J723-$H723)*1440,0)&gt;設定!$C$46,ROUND(($J723-$H723)*1440,0),0))</f>
        <v/>
      </c>
      <c r="P723" s="84">
        <f>IF(OR($C723="",$I723="",$K723=""),0,IF(ROUND(($I723-$K723)*1440,0)&gt;設定!$C$46,ROUND(($I723-$K723)*1440,0),0))</f>
        <v/>
      </c>
      <c r="Q723" s="85">
        <f>IF($M723="",0,IF(($M723-IFERROR(INDEX(設定!$G$6:$G$21,MATCH($G723,設定!$B$6:$B$21,0)),0))*60&gt;=設定!$C$44,ROUND(FLOOR(($M723-IFERROR(INDEX(設定!$G$6:$G$21,MATCH($G723,設定!$B$6:$B$21,0)),0))*60,設定!$C$45)/60,2),0))</f>
        <v/>
      </c>
      <c r="R723" s="16">
        <f>IF(OR($C723="",$Q723=0),"",IF($G723="國","國定假日",IF($B723="日","例假",IF($B723="六","休息日","平日"))))</f>
        <v/>
      </c>
      <c r="S723" s="19" t="n"/>
    </row>
    <row r="724">
      <c r="A724" s="82">
        <f>IF(OR(助理班表!$A28="",9&gt;DAY(EOMONTH(DATE(設定!$C$2,設定!$D$2,1),0))),"",DATE(設定!$C$2,設定!$D$2,9))</f>
        <v/>
      </c>
      <c r="B724" s="16">
        <f>IF($A724="","",INDEX(設定!$O$6:$O$12,WEEKDAY($A724,1)))</f>
        <v/>
      </c>
      <c r="C724" s="16">
        <f>IF($A724="","",助理班表!$A28)</f>
        <v/>
      </c>
      <c r="D724" s="16">
        <f>IF($C724="","",助理班表!$B28)</f>
        <v/>
      </c>
      <c r="E724" s="16">
        <f>IF($C724="","",助理班表!$D28)</f>
        <v/>
      </c>
      <c r="F724" s="16">
        <f>IF($C724="","",助理班表!$C28)</f>
        <v/>
      </c>
      <c r="G724" s="16">
        <f>IF($C724="","",助理班表!M28)</f>
        <v/>
      </c>
      <c r="H724" s="83">
        <f>IF($G724="","",IFERROR(IF(INDEX(設定!$D$6:$D$21,MATCH($G724,設定!$B$6:$B$21,0))=0,"",INDEX(設定!$D$6:$D$21,MATCH($G724,設定!$B$6:$B$21,0))),""))</f>
        <v/>
      </c>
      <c r="I724" s="83">
        <f>IF($G724="","",IFERROR(IF(INDEX(設定!$E$6:$E$21,MATCH($G724,設定!$B$6:$B$21,0))=0,"",INDEX(設定!$E$6:$E$21,MATCH($G724,設定!$B$6:$B$21,0))),""))</f>
        <v/>
      </c>
      <c r="J724" s="83">
        <f>IFERROR(INDEX(打卡匯入!$C$3:$C$2002,MATCH($C724&amp;"|"&amp;DAY($A724),打卡匯入!$E$3:$E$2002,0)),"")</f>
        <v/>
      </c>
      <c r="K724" s="83">
        <f>IFERROR(INDEX(打卡匯入!$D$3:$D$2002,MATCH($C724&amp;"|"&amp;DAY($A724),打卡匯入!$E$3:$E$2002,0)),"")</f>
        <v/>
      </c>
      <c r="L724" s="84">
        <f>IF(OR($J724="",$K724=""),"",IFERROR(INDEX(設定!$F$6:$F$21,MATCH($G724,設定!$B$6:$B$21,0)),0))</f>
        <v/>
      </c>
      <c r="M724" s="85">
        <f>IF(OR($J724="",$K724=""),"",ROUND(($K724-$J724)*24-$L724/60,2))</f>
        <v/>
      </c>
      <c r="N724" s="16">
        <f>IF($C724="","",IF(AND(COUNTIF(設定!$B$15:$B$21,$G724)&gt;0,$J724&lt;&gt;""),"假日出勤",IF(AND(COUNTIF(設定!$B$6:$B$14,$G724)&gt;0,$J724=""),"未打卡",IF($J724="","",IF($O724&gt;0,"遲到",IF($P724&gt;0,"早退","正常"))))))</f>
        <v/>
      </c>
      <c r="O724" s="84">
        <f>IF(OR($C724="",$H724="",$J724=""),0,IF(ROUND(($J724-$H724)*1440,0)&gt;設定!$C$46,ROUND(($J724-$H724)*1440,0),0))</f>
        <v/>
      </c>
      <c r="P724" s="84">
        <f>IF(OR($C724="",$I724="",$K724=""),0,IF(ROUND(($I724-$K724)*1440,0)&gt;設定!$C$46,ROUND(($I724-$K724)*1440,0),0))</f>
        <v/>
      </c>
      <c r="Q724" s="85">
        <f>IF($M724="",0,IF(($M724-IFERROR(INDEX(設定!$G$6:$G$21,MATCH($G724,設定!$B$6:$B$21,0)),0))*60&gt;=設定!$C$44,ROUND(FLOOR(($M724-IFERROR(INDEX(設定!$G$6:$G$21,MATCH($G724,設定!$B$6:$B$21,0)),0))*60,設定!$C$45)/60,2),0))</f>
        <v/>
      </c>
      <c r="R724" s="16">
        <f>IF(OR($C724="",$Q724=0),"",IF($G724="國","國定假日",IF($B724="日","例假",IF($B724="六","休息日","平日"))))</f>
        <v/>
      </c>
      <c r="S724" s="19" t="n"/>
    </row>
    <row r="725">
      <c r="A725" s="82">
        <f>IF(OR(助理班表!$A28="",10&gt;DAY(EOMONTH(DATE(設定!$C$2,設定!$D$2,1),0))),"",DATE(設定!$C$2,設定!$D$2,10))</f>
        <v/>
      </c>
      <c r="B725" s="16">
        <f>IF($A725="","",INDEX(設定!$O$6:$O$12,WEEKDAY($A725,1)))</f>
        <v/>
      </c>
      <c r="C725" s="16">
        <f>IF($A725="","",助理班表!$A28)</f>
        <v/>
      </c>
      <c r="D725" s="16">
        <f>IF($C725="","",助理班表!$B28)</f>
        <v/>
      </c>
      <c r="E725" s="16">
        <f>IF($C725="","",助理班表!$D28)</f>
        <v/>
      </c>
      <c r="F725" s="16">
        <f>IF($C725="","",助理班表!$C28)</f>
        <v/>
      </c>
      <c r="G725" s="16">
        <f>IF($C725="","",助理班表!N28)</f>
        <v/>
      </c>
      <c r="H725" s="83">
        <f>IF($G725="","",IFERROR(IF(INDEX(設定!$D$6:$D$21,MATCH($G725,設定!$B$6:$B$21,0))=0,"",INDEX(設定!$D$6:$D$21,MATCH($G725,設定!$B$6:$B$21,0))),""))</f>
        <v/>
      </c>
      <c r="I725" s="83">
        <f>IF($G725="","",IFERROR(IF(INDEX(設定!$E$6:$E$21,MATCH($G725,設定!$B$6:$B$21,0))=0,"",INDEX(設定!$E$6:$E$21,MATCH($G725,設定!$B$6:$B$21,0))),""))</f>
        <v/>
      </c>
      <c r="J725" s="83">
        <f>IFERROR(INDEX(打卡匯入!$C$3:$C$2002,MATCH($C725&amp;"|"&amp;DAY($A725),打卡匯入!$E$3:$E$2002,0)),"")</f>
        <v/>
      </c>
      <c r="K725" s="83">
        <f>IFERROR(INDEX(打卡匯入!$D$3:$D$2002,MATCH($C725&amp;"|"&amp;DAY($A725),打卡匯入!$E$3:$E$2002,0)),"")</f>
        <v/>
      </c>
      <c r="L725" s="84">
        <f>IF(OR($J725="",$K725=""),"",IFERROR(INDEX(設定!$F$6:$F$21,MATCH($G725,設定!$B$6:$B$21,0)),0))</f>
        <v/>
      </c>
      <c r="M725" s="85">
        <f>IF(OR($J725="",$K725=""),"",ROUND(($K725-$J725)*24-$L725/60,2))</f>
        <v/>
      </c>
      <c r="N725" s="16">
        <f>IF($C725="","",IF(AND(COUNTIF(設定!$B$15:$B$21,$G725)&gt;0,$J725&lt;&gt;""),"假日出勤",IF(AND(COUNTIF(設定!$B$6:$B$14,$G725)&gt;0,$J725=""),"未打卡",IF($J725="","",IF($O725&gt;0,"遲到",IF($P725&gt;0,"早退","正常"))))))</f>
        <v/>
      </c>
      <c r="O725" s="84">
        <f>IF(OR($C725="",$H725="",$J725=""),0,IF(ROUND(($J725-$H725)*1440,0)&gt;設定!$C$46,ROUND(($J725-$H725)*1440,0),0))</f>
        <v/>
      </c>
      <c r="P725" s="84">
        <f>IF(OR($C725="",$I725="",$K725=""),0,IF(ROUND(($I725-$K725)*1440,0)&gt;設定!$C$46,ROUND(($I725-$K725)*1440,0),0))</f>
        <v/>
      </c>
      <c r="Q725" s="85">
        <f>IF($M725="",0,IF(($M725-IFERROR(INDEX(設定!$G$6:$G$21,MATCH($G725,設定!$B$6:$B$21,0)),0))*60&gt;=設定!$C$44,ROUND(FLOOR(($M725-IFERROR(INDEX(設定!$G$6:$G$21,MATCH($G725,設定!$B$6:$B$21,0)),0))*60,設定!$C$45)/60,2),0))</f>
        <v/>
      </c>
      <c r="R725" s="16">
        <f>IF(OR($C725="",$Q725=0),"",IF($G725="國","國定假日",IF($B725="日","例假",IF($B725="六","休息日","平日"))))</f>
        <v/>
      </c>
      <c r="S725" s="19" t="n"/>
    </row>
    <row r="726">
      <c r="A726" s="82">
        <f>IF(OR(助理班表!$A28="",11&gt;DAY(EOMONTH(DATE(設定!$C$2,設定!$D$2,1),0))),"",DATE(設定!$C$2,設定!$D$2,11))</f>
        <v/>
      </c>
      <c r="B726" s="16">
        <f>IF($A726="","",INDEX(設定!$O$6:$O$12,WEEKDAY($A726,1)))</f>
        <v/>
      </c>
      <c r="C726" s="16">
        <f>IF($A726="","",助理班表!$A28)</f>
        <v/>
      </c>
      <c r="D726" s="16">
        <f>IF($C726="","",助理班表!$B28)</f>
        <v/>
      </c>
      <c r="E726" s="16">
        <f>IF($C726="","",助理班表!$D28)</f>
        <v/>
      </c>
      <c r="F726" s="16">
        <f>IF($C726="","",助理班表!$C28)</f>
        <v/>
      </c>
      <c r="G726" s="16">
        <f>IF($C726="","",助理班表!O28)</f>
        <v/>
      </c>
      <c r="H726" s="83">
        <f>IF($G726="","",IFERROR(IF(INDEX(設定!$D$6:$D$21,MATCH($G726,設定!$B$6:$B$21,0))=0,"",INDEX(設定!$D$6:$D$21,MATCH($G726,設定!$B$6:$B$21,0))),""))</f>
        <v/>
      </c>
      <c r="I726" s="83">
        <f>IF($G726="","",IFERROR(IF(INDEX(設定!$E$6:$E$21,MATCH($G726,設定!$B$6:$B$21,0))=0,"",INDEX(設定!$E$6:$E$21,MATCH($G726,設定!$B$6:$B$21,0))),""))</f>
        <v/>
      </c>
      <c r="J726" s="83">
        <f>IFERROR(INDEX(打卡匯入!$C$3:$C$2002,MATCH($C726&amp;"|"&amp;DAY($A726),打卡匯入!$E$3:$E$2002,0)),"")</f>
        <v/>
      </c>
      <c r="K726" s="83">
        <f>IFERROR(INDEX(打卡匯入!$D$3:$D$2002,MATCH($C726&amp;"|"&amp;DAY($A726),打卡匯入!$E$3:$E$2002,0)),"")</f>
        <v/>
      </c>
      <c r="L726" s="84">
        <f>IF(OR($J726="",$K726=""),"",IFERROR(INDEX(設定!$F$6:$F$21,MATCH($G726,設定!$B$6:$B$21,0)),0))</f>
        <v/>
      </c>
      <c r="M726" s="85">
        <f>IF(OR($J726="",$K726=""),"",ROUND(($K726-$J726)*24-$L726/60,2))</f>
        <v/>
      </c>
      <c r="N726" s="16">
        <f>IF($C726="","",IF(AND(COUNTIF(設定!$B$15:$B$21,$G726)&gt;0,$J726&lt;&gt;""),"假日出勤",IF(AND(COUNTIF(設定!$B$6:$B$14,$G726)&gt;0,$J726=""),"未打卡",IF($J726="","",IF($O726&gt;0,"遲到",IF($P726&gt;0,"早退","正常"))))))</f>
        <v/>
      </c>
      <c r="O726" s="84">
        <f>IF(OR($C726="",$H726="",$J726=""),0,IF(ROUND(($J726-$H726)*1440,0)&gt;設定!$C$46,ROUND(($J726-$H726)*1440,0),0))</f>
        <v/>
      </c>
      <c r="P726" s="84">
        <f>IF(OR($C726="",$I726="",$K726=""),0,IF(ROUND(($I726-$K726)*1440,0)&gt;設定!$C$46,ROUND(($I726-$K726)*1440,0),0))</f>
        <v/>
      </c>
      <c r="Q726" s="85">
        <f>IF($M726="",0,IF(($M726-IFERROR(INDEX(設定!$G$6:$G$21,MATCH($G726,設定!$B$6:$B$21,0)),0))*60&gt;=設定!$C$44,ROUND(FLOOR(($M726-IFERROR(INDEX(設定!$G$6:$G$21,MATCH($G726,設定!$B$6:$B$21,0)),0))*60,設定!$C$45)/60,2),0))</f>
        <v/>
      </c>
      <c r="R726" s="16">
        <f>IF(OR($C726="",$Q726=0),"",IF($G726="國","國定假日",IF($B726="日","例假",IF($B726="六","休息日","平日"))))</f>
        <v/>
      </c>
      <c r="S726" s="19" t="n"/>
    </row>
    <row r="727">
      <c r="A727" s="82">
        <f>IF(OR(助理班表!$A28="",12&gt;DAY(EOMONTH(DATE(設定!$C$2,設定!$D$2,1),0))),"",DATE(設定!$C$2,設定!$D$2,12))</f>
        <v/>
      </c>
      <c r="B727" s="16">
        <f>IF($A727="","",INDEX(設定!$O$6:$O$12,WEEKDAY($A727,1)))</f>
        <v/>
      </c>
      <c r="C727" s="16">
        <f>IF($A727="","",助理班表!$A28)</f>
        <v/>
      </c>
      <c r="D727" s="16">
        <f>IF($C727="","",助理班表!$B28)</f>
        <v/>
      </c>
      <c r="E727" s="16">
        <f>IF($C727="","",助理班表!$D28)</f>
        <v/>
      </c>
      <c r="F727" s="16">
        <f>IF($C727="","",助理班表!$C28)</f>
        <v/>
      </c>
      <c r="G727" s="16">
        <f>IF($C727="","",助理班表!P28)</f>
        <v/>
      </c>
      <c r="H727" s="83">
        <f>IF($G727="","",IFERROR(IF(INDEX(設定!$D$6:$D$21,MATCH($G727,設定!$B$6:$B$21,0))=0,"",INDEX(設定!$D$6:$D$21,MATCH($G727,設定!$B$6:$B$21,0))),""))</f>
        <v/>
      </c>
      <c r="I727" s="83">
        <f>IF($G727="","",IFERROR(IF(INDEX(設定!$E$6:$E$21,MATCH($G727,設定!$B$6:$B$21,0))=0,"",INDEX(設定!$E$6:$E$21,MATCH($G727,設定!$B$6:$B$21,0))),""))</f>
        <v/>
      </c>
      <c r="J727" s="83">
        <f>IFERROR(INDEX(打卡匯入!$C$3:$C$2002,MATCH($C727&amp;"|"&amp;DAY($A727),打卡匯入!$E$3:$E$2002,0)),"")</f>
        <v/>
      </c>
      <c r="K727" s="83">
        <f>IFERROR(INDEX(打卡匯入!$D$3:$D$2002,MATCH($C727&amp;"|"&amp;DAY($A727),打卡匯入!$E$3:$E$2002,0)),"")</f>
        <v/>
      </c>
      <c r="L727" s="84">
        <f>IF(OR($J727="",$K727=""),"",IFERROR(INDEX(設定!$F$6:$F$21,MATCH($G727,設定!$B$6:$B$21,0)),0))</f>
        <v/>
      </c>
      <c r="M727" s="85">
        <f>IF(OR($J727="",$K727=""),"",ROUND(($K727-$J727)*24-$L727/60,2))</f>
        <v/>
      </c>
      <c r="N727" s="16">
        <f>IF($C727="","",IF(AND(COUNTIF(設定!$B$15:$B$21,$G727)&gt;0,$J727&lt;&gt;""),"假日出勤",IF(AND(COUNTIF(設定!$B$6:$B$14,$G727)&gt;0,$J727=""),"未打卡",IF($J727="","",IF($O727&gt;0,"遲到",IF($P727&gt;0,"早退","正常"))))))</f>
        <v/>
      </c>
      <c r="O727" s="84">
        <f>IF(OR($C727="",$H727="",$J727=""),0,IF(ROUND(($J727-$H727)*1440,0)&gt;設定!$C$46,ROUND(($J727-$H727)*1440,0),0))</f>
        <v/>
      </c>
      <c r="P727" s="84">
        <f>IF(OR($C727="",$I727="",$K727=""),0,IF(ROUND(($I727-$K727)*1440,0)&gt;設定!$C$46,ROUND(($I727-$K727)*1440,0),0))</f>
        <v/>
      </c>
      <c r="Q727" s="85">
        <f>IF($M727="",0,IF(($M727-IFERROR(INDEX(設定!$G$6:$G$21,MATCH($G727,設定!$B$6:$B$21,0)),0))*60&gt;=設定!$C$44,ROUND(FLOOR(($M727-IFERROR(INDEX(設定!$G$6:$G$21,MATCH($G727,設定!$B$6:$B$21,0)),0))*60,設定!$C$45)/60,2),0))</f>
        <v/>
      </c>
      <c r="R727" s="16">
        <f>IF(OR($C727="",$Q727=0),"",IF($G727="國","國定假日",IF($B727="日","例假",IF($B727="六","休息日","平日"))))</f>
        <v/>
      </c>
      <c r="S727" s="19" t="n"/>
    </row>
    <row r="728">
      <c r="A728" s="82">
        <f>IF(OR(助理班表!$A28="",13&gt;DAY(EOMONTH(DATE(設定!$C$2,設定!$D$2,1),0))),"",DATE(設定!$C$2,設定!$D$2,13))</f>
        <v/>
      </c>
      <c r="B728" s="16">
        <f>IF($A728="","",INDEX(設定!$O$6:$O$12,WEEKDAY($A728,1)))</f>
        <v/>
      </c>
      <c r="C728" s="16">
        <f>IF($A728="","",助理班表!$A28)</f>
        <v/>
      </c>
      <c r="D728" s="16">
        <f>IF($C728="","",助理班表!$B28)</f>
        <v/>
      </c>
      <c r="E728" s="16">
        <f>IF($C728="","",助理班表!$D28)</f>
        <v/>
      </c>
      <c r="F728" s="16">
        <f>IF($C728="","",助理班表!$C28)</f>
        <v/>
      </c>
      <c r="G728" s="16">
        <f>IF($C728="","",助理班表!Q28)</f>
        <v/>
      </c>
      <c r="H728" s="83">
        <f>IF($G728="","",IFERROR(IF(INDEX(設定!$D$6:$D$21,MATCH($G728,設定!$B$6:$B$21,0))=0,"",INDEX(設定!$D$6:$D$21,MATCH($G728,設定!$B$6:$B$21,0))),""))</f>
        <v/>
      </c>
      <c r="I728" s="83">
        <f>IF($G728="","",IFERROR(IF(INDEX(設定!$E$6:$E$21,MATCH($G728,設定!$B$6:$B$21,0))=0,"",INDEX(設定!$E$6:$E$21,MATCH($G728,設定!$B$6:$B$21,0))),""))</f>
        <v/>
      </c>
      <c r="J728" s="83">
        <f>IFERROR(INDEX(打卡匯入!$C$3:$C$2002,MATCH($C728&amp;"|"&amp;DAY($A728),打卡匯入!$E$3:$E$2002,0)),"")</f>
        <v/>
      </c>
      <c r="K728" s="83">
        <f>IFERROR(INDEX(打卡匯入!$D$3:$D$2002,MATCH($C728&amp;"|"&amp;DAY($A728),打卡匯入!$E$3:$E$2002,0)),"")</f>
        <v/>
      </c>
      <c r="L728" s="84">
        <f>IF(OR($J728="",$K728=""),"",IFERROR(INDEX(設定!$F$6:$F$21,MATCH($G728,設定!$B$6:$B$21,0)),0))</f>
        <v/>
      </c>
      <c r="M728" s="85">
        <f>IF(OR($J728="",$K728=""),"",ROUND(($K728-$J728)*24-$L728/60,2))</f>
        <v/>
      </c>
      <c r="N728" s="16">
        <f>IF($C728="","",IF(AND(COUNTIF(設定!$B$15:$B$21,$G728)&gt;0,$J728&lt;&gt;""),"假日出勤",IF(AND(COUNTIF(設定!$B$6:$B$14,$G728)&gt;0,$J728=""),"未打卡",IF($J728="","",IF($O728&gt;0,"遲到",IF($P728&gt;0,"早退","正常"))))))</f>
        <v/>
      </c>
      <c r="O728" s="84">
        <f>IF(OR($C728="",$H728="",$J728=""),0,IF(ROUND(($J728-$H728)*1440,0)&gt;設定!$C$46,ROUND(($J728-$H728)*1440,0),0))</f>
        <v/>
      </c>
      <c r="P728" s="84">
        <f>IF(OR($C728="",$I728="",$K728=""),0,IF(ROUND(($I728-$K728)*1440,0)&gt;設定!$C$46,ROUND(($I728-$K728)*1440,0),0))</f>
        <v/>
      </c>
      <c r="Q728" s="85">
        <f>IF($M728="",0,IF(($M728-IFERROR(INDEX(設定!$G$6:$G$21,MATCH($G728,設定!$B$6:$B$21,0)),0))*60&gt;=設定!$C$44,ROUND(FLOOR(($M728-IFERROR(INDEX(設定!$G$6:$G$21,MATCH($G728,設定!$B$6:$B$21,0)),0))*60,設定!$C$45)/60,2),0))</f>
        <v/>
      </c>
      <c r="R728" s="16">
        <f>IF(OR($C728="",$Q728=0),"",IF($G728="國","國定假日",IF($B728="日","例假",IF($B728="六","休息日","平日"))))</f>
        <v/>
      </c>
      <c r="S728" s="19" t="n"/>
    </row>
    <row r="729">
      <c r="A729" s="82">
        <f>IF(OR(助理班表!$A28="",14&gt;DAY(EOMONTH(DATE(設定!$C$2,設定!$D$2,1),0))),"",DATE(設定!$C$2,設定!$D$2,14))</f>
        <v/>
      </c>
      <c r="B729" s="16">
        <f>IF($A729="","",INDEX(設定!$O$6:$O$12,WEEKDAY($A729,1)))</f>
        <v/>
      </c>
      <c r="C729" s="16">
        <f>IF($A729="","",助理班表!$A28)</f>
        <v/>
      </c>
      <c r="D729" s="16">
        <f>IF($C729="","",助理班表!$B28)</f>
        <v/>
      </c>
      <c r="E729" s="16">
        <f>IF($C729="","",助理班表!$D28)</f>
        <v/>
      </c>
      <c r="F729" s="16">
        <f>IF($C729="","",助理班表!$C28)</f>
        <v/>
      </c>
      <c r="G729" s="16">
        <f>IF($C729="","",助理班表!R28)</f>
        <v/>
      </c>
      <c r="H729" s="83">
        <f>IF($G729="","",IFERROR(IF(INDEX(設定!$D$6:$D$21,MATCH($G729,設定!$B$6:$B$21,0))=0,"",INDEX(設定!$D$6:$D$21,MATCH($G729,設定!$B$6:$B$21,0))),""))</f>
        <v/>
      </c>
      <c r="I729" s="83">
        <f>IF($G729="","",IFERROR(IF(INDEX(設定!$E$6:$E$21,MATCH($G729,設定!$B$6:$B$21,0))=0,"",INDEX(設定!$E$6:$E$21,MATCH($G729,設定!$B$6:$B$21,0))),""))</f>
        <v/>
      </c>
      <c r="J729" s="83">
        <f>IFERROR(INDEX(打卡匯入!$C$3:$C$2002,MATCH($C729&amp;"|"&amp;DAY($A729),打卡匯入!$E$3:$E$2002,0)),"")</f>
        <v/>
      </c>
      <c r="K729" s="83">
        <f>IFERROR(INDEX(打卡匯入!$D$3:$D$2002,MATCH($C729&amp;"|"&amp;DAY($A729),打卡匯入!$E$3:$E$2002,0)),"")</f>
        <v/>
      </c>
      <c r="L729" s="84">
        <f>IF(OR($J729="",$K729=""),"",IFERROR(INDEX(設定!$F$6:$F$21,MATCH($G729,設定!$B$6:$B$21,0)),0))</f>
        <v/>
      </c>
      <c r="M729" s="85">
        <f>IF(OR($J729="",$K729=""),"",ROUND(($K729-$J729)*24-$L729/60,2))</f>
        <v/>
      </c>
      <c r="N729" s="16">
        <f>IF($C729="","",IF(AND(COUNTIF(設定!$B$15:$B$21,$G729)&gt;0,$J729&lt;&gt;""),"假日出勤",IF(AND(COUNTIF(設定!$B$6:$B$14,$G729)&gt;0,$J729=""),"未打卡",IF($J729="","",IF($O729&gt;0,"遲到",IF($P729&gt;0,"早退","正常"))))))</f>
        <v/>
      </c>
      <c r="O729" s="84">
        <f>IF(OR($C729="",$H729="",$J729=""),0,IF(ROUND(($J729-$H729)*1440,0)&gt;設定!$C$46,ROUND(($J729-$H729)*1440,0),0))</f>
        <v/>
      </c>
      <c r="P729" s="84">
        <f>IF(OR($C729="",$I729="",$K729=""),0,IF(ROUND(($I729-$K729)*1440,0)&gt;設定!$C$46,ROUND(($I729-$K729)*1440,0),0))</f>
        <v/>
      </c>
      <c r="Q729" s="85">
        <f>IF($M729="",0,IF(($M729-IFERROR(INDEX(設定!$G$6:$G$21,MATCH($G729,設定!$B$6:$B$21,0)),0))*60&gt;=設定!$C$44,ROUND(FLOOR(($M729-IFERROR(INDEX(設定!$G$6:$G$21,MATCH($G729,設定!$B$6:$B$21,0)),0))*60,設定!$C$45)/60,2),0))</f>
        <v/>
      </c>
      <c r="R729" s="16">
        <f>IF(OR($C729="",$Q729=0),"",IF($G729="國","國定假日",IF($B729="日","例假",IF($B729="六","休息日","平日"))))</f>
        <v/>
      </c>
      <c r="S729" s="19" t="n"/>
    </row>
    <row r="730">
      <c r="A730" s="82">
        <f>IF(OR(助理班表!$A28="",15&gt;DAY(EOMONTH(DATE(設定!$C$2,設定!$D$2,1),0))),"",DATE(設定!$C$2,設定!$D$2,15))</f>
        <v/>
      </c>
      <c r="B730" s="16">
        <f>IF($A730="","",INDEX(設定!$O$6:$O$12,WEEKDAY($A730,1)))</f>
        <v/>
      </c>
      <c r="C730" s="16">
        <f>IF($A730="","",助理班表!$A28)</f>
        <v/>
      </c>
      <c r="D730" s="16">
        <f>IF($C730="","",助理班表!$B28)</f>
        <v/>
      </c>
      <c r="E730" s="16">
        <f>IF($C730="","",助理班表!$D28)</f>
        <v/>
      </c>
      <c r="F730" s="16">
        <f>IF($C730="","",助理班表!$C28)</f>
        <v/>
      </c>
      <c r="G730" s="16">
        <f>IF($C730="","",助理班表!S28)</f>
        <v/>
      </c>
      <c r="H730" s="83">
        <f>IF($G730="","",IFERROR(IF(INDEX(設定!$D$6:$D$21,MATCH($G730,設定!$B$6:$B$21,0))=0,"",INDEX(設定!$D$6:$D$21,MATCH($G730,設定!$B$6:$B$21,0))),""))</f>
        <v/>
      </c>
      <c r="I730" s="83">
        <f>IF($G730="","",IFERROR(IF(INDEX(設定!$E$6:$E$21,MATCH($G730,設定!$B$6:$B$21,0))=0,"",INDEX(設定!$E$6:$E$21,MATCH($G730,設定!$B$6:$B$21,0))),""))</f>
        <v/>
      </c>
      <c r="J730" s="83">
        <f>IFERROR(INDEX(打卡匯入!$C$3:$C$2002,MATCH($C730&amp;"|"&amp;DAY($A730),打卡匯入!$E$3:$E$2002,0)),"")</f>
        <v/>
      </c>
      <c r="K730" s="83">
        <f>IFERROR(INDEX(打卡匯入!$D$3:$D$2002,MATCH($C730&amp;"|"&amp;DAY($A730),打卡匯入!$E$3:$E$2002,0)),"")</f>
        <v/>
      </c>
      <c r="L730" s="84">
        <f>IF(OR($J730="",$K730=""),"",IFERROR(INDEX(設定!$F$6:$F$21,MATCH($G730,設定!$B$6:$B$21,0)),0))</f>
        <v/>
      </c>
      <c r="M730" s="85">
        <f>IF(OR($J730="",$K730=""),"",ROUND(($K730-$J730)*24-$L730/60,2))</f>
        <v/>
      </c>
      <c r="N730" s="16">
        <f>IF($C730="","",IF(AND(COUNTIF(設定!$B$15:$B$21,$G730)&gt;0,$J730&lt;&gt;""),"假日出勤",IF(AND(COUNTIF(設定!$B$6:$B$14,$G730)&gt;0,$J730=""),"未打卡",IF($J730="","",IF($O730&gt;0,"遲到",IF($P730&gt;0,"早退","正常"))))))</f>
        <v/>
      </c>
      <c r="O730" s="84">
        <f>IF(OR($C730="",$H730="",$J730=""),0,IF(ROUND(($J730-$H730)*1440,0)&gt;設定!$C$46,ROUND(($J730-$H730)*1440,0),0))</f>
        <v/>
      </c>
      <c r="P730" s="84">
        <f>IF(OR($C730="",$I730="",$K730=""),0,IF(ROUND(($I730-$K730)*1440,0)&gt;設定!$C$46,ROUND(($I730-$K730)*1440,0),0))</f>
        <v/>
      </c>
      <c r="Q730" s="85">
        <f>IF($M730="",0,IF(($M730-IFERROR(INDEX(設定!$G$6:$G$21,MATCH($G730,設定!$B$6:$B$21,0)),0))*60&gt;=設定!$C$44,ROUND(FLOOR(($M730-IFERROR(INDEX(設定!$G$6:$G$21,MATCH($G730,設定!$B$6:$B$21,0)),0))*60,設定!$C$45)/60,2),0))</f>
        <v/>
      </c>
      <c r="R730" s="16">
        <f>IF(OR($C730="",$Q730=0),"",IF($G730="國","國定假日",IF($B730="日","例假",IF($B730="六","休息日","平日"))))</f>
        <v/>
      </c>
      <c r="S730" s="19" t="n"/>
    </row>
    <row r="731">
      <c r="A731" s="82">
        <f>IF(OR(助理班表!$A28="",16&gt;DAY(EOMONTH(DATE(設定!$C$2,設定!$D$2,1),0))),"",DATE(設定!$C$2,設定!$D$2,16))</f>
        <v/>
      </c>
      <c r="B731" s="16">
        <f>IF($A731="","",INDEX(設定!$O$6:$O$12,WEEKDAY($A731,1)))</f>
        <v/>
      </c>
      <c r="C731" s="16">
        <f>IF($A731="","",助理班表!$A28)</f>
        <v/>
      </c>
      <c r="D731" s="16">
        <f>IF($C731="","",助理班表!$B28)</f>
        <v/>
      </c>
      <c r="E731" s="16">
        <f>IF($C731="","",助理班表!$D28)</f>
        <v/>
      </c>
      <c r="F731" s="16">
        <f>IF($C731="","",助理班表!$C28)</f>
        <v/>
      </c>
      <c r="G731" s="16">
        <f>IF($C731="","",助理班表!T28)</f>
        <v/>
      </c>
      <c r="H731" s="83">
        <f>IF($G731="","",IFERROR(IF(INDEX(設定!$D$6:$D$21,MATCH($G731,設定!$B$6:$B$21,0))=0,"",INDEX(設定!$D$6:$D$21,MATCH($G731,設定!$B$6:$B$21,0))),""))</f>
        <v/>
      </c>
      <c r="I731" s="83">
        <f>IF($G731="","",IFERROR(IF(INDEX(設定!$E$6:$E$21,MATCH($G731,設定!$B$6:$B$21,0))=0,"",INDEX(設定!$E$6:$E$21,MATCH($G731,設定!$B$6:$B$21,0))),""))</f>
        <v/>
      </c>
      <c r="J731" s="83">
        <f>IFERROR(INDEX(打卡匯入!$C$3:$C$2002,MATCH($C731&amp;"|"&amp;DAY($A731),打卡匯入!$E$3:$E$2002,0)),"")</f>
        <v/>
      </c>
      <c r="K731" s="83">
        <f>IFERROR(INDEX(打卡匯入!$D$3:$D$2002,MATCH($C731&amp;"|"&amp;DAY($A731),打卡匯入!$E$3:$E$2002,0)),"")</f>
        <v/>
      </c>
      <c r="L731" s="84">
        <f>IF(OR($J731="",$K731=""),"",IFERROR(INDEX(設定!$F$6:$F$21,MATCH($G731,設定!$B$6:$B$21,0)),0))</f>
        <v/>
      </c>
      <c r="M731" s="85">
        <f>IF(OR($J731="",$K731=""),"",ROUND(($K731-$J731)*24-$L731/60,2))</f>
        <v/>
      </c>
      <c r="N731" s="16">
        <f>IF($C731="","",IF(AND(COUNTIF(設定!$B$15:$B$21,$G731)&gt;0,$J731&lt;&gt;""),"假日出勤",IF(AND(COUNTIF(設定!$B$6:$B$14,$G731)&gt;0,$J731=""),"未打卡",IF($J731="","",IF($O731&gt;0,"遲到",IF($P731&gt;0,"早退","正常"))))))</f>
        <v/>
      </c>
      <c r="O731" s="84">
        <f>IF(OR($C731="",$H731="",$J731=""),0,IF(ROUND(($J731-$H731)*1440,0)&gt;設定!$C$46,ROUND(($J731-$H731)*1440,0),0))</f>
        <v/>
      </c>
      <c r="P731" s="84">
        <f>IF(OR($C731="",$I731="",$K731=""),0,IF(ROUND(($I731-$K731)*1440,0)&gt;設定!$C$46,ROUND(($I731-$K731)*1440,0),0))</f>
        <v/>
      </c>
      <c r="Q731" s="85">
        <f>IF($M731="",0,IF(($M731-IFERROR(INDEX(設定!$G$6:$G$21,MATCH($G731,設定!$B$6:$B$21,0)),0))*60&gt;=設定!$C$44,ROUND(FLOOR(($M731-IFERROR(INDEX(設定!$G$6:$G$21,MATCH($G731,設定!$B$6:$B$21,0)),0))*60,設定!$C$45)/60,2),0))</f>
        <v/>
      </c>
      <c r="R731" s="16">
        <f>IF(OR($C731="",$Q731=0),"",IF($G731="國","國定假日",IF($B731="日","例假",IF($B731="六","休息日","平日"))))</f>
        <v/>
      </c>
      <c r="S731" s="19" t="n"/>
    </row>
    <row r="732">
      <c r="A732" s="82">
        <f>IF(OR(助理班表!$A28="",17&gt;DAY(EOMONTH(DATE(設定!$C$2,設定!$D$2,1),0))),"",DATE(設定!$C$2,設定!$D$2,17))</f>
        <v/>
      </c>
      <c r="B732" s="16">
        <f>IF($A732="","",INDEX(設定!$O$6:$O$12,WEEKDAY($A732,1)))</f>
        <v/>
      </c>
      <c r="C732" s="16">
        <f>IF($A732="","",助理班表!$A28)</f>
        <v/>
      </c>
      <c r="D732" s="16">
        <f>IF($C732="","",助理班表!$B28)</f>
        <v/>
      </c>
      <c r="E732" s="16">
        <f>IF($C732="","",助理班表!$D28)</f>
        <v/>
      </c>
      <c r="F732" s="16">
        <f>IF($C732="","",助理班表!$C28)</f>
        <v/>
      </c>
      <c r="G732" s="16">
        <f>IF($C732="","",助理班表!U28)</f>
        <v/>
      </c>
      <c r="H732" s="83">
        <f>IF($G732="","",IFERROR(IF(INDEX(設定!$D$6:$D$21,MATCH($G732,設定!$B$6:$B$21,0))=0,"",INDEX(設定!$D$6:$D$21,MATCH($G732,設定!$B$6:$B$21,0))),""))</f>
        <v/>
      </c>
      <c r="I732" s="83">
        <f>IF($G732="","",IFERROR(IF(INDEX(設定!$E$6:$E$21,MATCH($G732,設定!$B$6:$B$21,0))=0,"",INDEX(設定!$E$6:$E$21,MATCH($G732,設定!$B$6:$B$21,0))),""))</f>
        <v/>
      </c>
      <c r="J732" s="83">
        <f>IFERROR(INDEX(打卡匯入!$C$3:$C$2002,MATCH($C732&amp;"|"&amp;DAY($A732),打卡匯入!$E$3:$E$2002,0)),"")</f>
        <v/>
      </c>
      <c r="K732" s="83">
        <f>IFERROR(INDEX(打卡匯入!$D$3:$D$2002,MATCH($C732&amp;"|"&amp;DAY($A732),打卡匯入!$E$3:$E$2002,0)),"")</f>
        <v/>
      </c>
      <c r="L732" s="84">
        <f>IF(OR($J732="",$K732=""),"",IFERROR(INDEX(設定!$F$6:$F$21,MATCH($G732,設定!$B$6:$B$21,0)),0))</f>
        <v/>
      </c>
      <c r="M732" s="85">
        <f>IF(OR($J732="",$K732=""),"",ROUND(($K732-$J732)*24-$L732/60,2))</f>
        <v/>
      </c>
      <c r="N732" s="16">
        <f>IF($C732="","",IF(AND(COUNTIF(設定!$B$15:$B$21,$G732)&gt;0,$J732&lt;&gt;""),"假日出勤",IF(AND(COUNTIF(設定!$B$6:$B$14,$G732)&gt;0,$J732=""),"未打卡",IF($J732="","",IF($O732&gt;0,"遲到",IF($P732&gt;0,"早退","正常"))))))</f>
        <v/>
      </c>
      <c r="O732" s="84">
        <f>IF(OR($C732="",$H732="",$J732=""),0,IF(ROUND(($J732-$H732)*1440,0)&gt;設定!$C$46,ROUND(($J732-$H732)*1440,0),0))</f>
        <v/>
      </c>
      <c r="P732" s="84">
        <f>IF(OR($C732="",$I732="",$K732=""),0,IF(ROUND(($I732-$K732)*1440,0)&gt;設定!$C$46,ROUND(($I732-$K732)*1440,0),0))</f>
        <v/>
      </c>
      <c r="Q732" s="85">
        <f>IF($M732="",0,IF(($M732-IFERROR(INDEX(設定!$G$6:$G$21,MATCH($G732,設定!$B$6:$B$21,0)),0))*60&gt;=設定!$C$44,ROUND(FLOOR(($M732-IFERROR(INDEX(設定!$G$6:$G$21,MATCH($G732,設定!$B$6:$B$21,0)),0))*60,設定!$C$45)/60,2),0))</f>
        <v/>
      </c>
      <c r="R732" s="16">
        <f>IF(OR($C732="",$Q732=0),"",IF($G732="國","國定假日",IF($B732="日","例假",IF($B732="六","休息日","平日"))))</f>
        <v/>
      </c>
      <c r="S732" s="19" t="n"/>
    </row>
    <row r="733">
      <c r="A733" s="82">
        <f>IF(OR(助理班表!$A28="",18&gt;DAY(EOMONTH(DATE(設定!$C$2,設定!$D$2,1),0))),"",DATE(設定!$C$2,設定!$D$2,18))</f>
        <v/>
      </c>
      <c r="B733" s="16">
        <f>IF($A733="","",INDEX(設定!$O$6:$O$12,WEEKDAY($A733,1)))</f>
        <v/>
      </c>
      <c r="C733" s="16">
        <f>IF($A733="","",助理班表!$A28)</f>
        <v/>
      </c>
      <c r="D733" s="16">
        <f>IF($C733="","",助理班表!$B28)</f>
        <v/>
      </c>
      <c r="E733" s="16">
        <f>IF($C733="","",助理班表!$D28)</f>
        <v/>
      </c>
      <c r="F733" s="16">
        <f>IF($C733="","",助理班表!$C28)</f>
        <v/>
      </c>
      <c r="G733" s="16">
        <f>IF($C733="","",助理班表!V28)</f>
        <v/>
      </c>
      <c r="H733" s="83">
        <f>IF($G733="","",IFERROR(IF(INDEX(設定!$D$6:$D$21,MATCH($G733,設定!$B$6:$B$21,0))=0,"",INDEX(設定!$D$6:$D$21,MATCH($G733,設定!$B$6:$B$21,0))),""))</f>
        <v/>
      </c>
      <c r="I733" s="83">
        <f>IF($G733="","",IFERROR(IF(INDEX(設定!$E$6:$E$21,MATCH($G733,設定!$B$6:$B$21,0))=0,"",INDEX(設定!$E$6:$E$21,MATCH($G733,設定!$B$6:$B$21,0))),""))</f>
        <v/>
      </c>
      <c r="J733" s="83">
        <f>IFERROR(INDEX(打卡匯入!$C$3:$C$2002,MATCH($C733&amp;"|"&amp;DAY($A733),打卡匯入!$E$3:$E$2002,0)),"")</f>
        <v/>
      </c>
      <c r="K733" s="83">
        <f>IFERROR(INDEX(打卡匯入!$D$3:$D$2002,MATCH($C733&amp;"|"&amp;DAY($A733),打卡匯入!$E$3:$E$2002,0)),"")</f>
        <v/>
      </c>
      <c r="L733" s="84">
        <f>IF(OR($J733="",$K733=""),"",IFERROR(INDEX(設定!$F$6:$F$21,MATCH($G733,設定!$B$6:$B$21,0)),0))</f>
        <v/>
      </c>
      <c r="M733" s="85">
        <f>IF(OR($J733="",$K733=""),"",ROUND(($K733-$J733)*24-$L733/60,2))</f>
        <v/>
      </c>
      <c r="N733" s="16">
        <f>IF($C733="","",IF(AND(COUNTIF(設定!$B$15:$B$21,$G733)&gt;0,$J733&lt;&gt;""),"假日出勤",IF(AND(COUNTIF(設定!$B$6:$B$14,$G733)&gt;0,$J733=""),"未打卡",IF($J733="","",IF($O733&gt;0,"遲到",IF($P733&gt;0,"早退","正常"))))))</f>
        <v/>
      </c>
      <c r="O733" s="84">
        <f>IF(OR($C733="",$H733="",$J733=""),0,IF(ROUND(($J733-$H733)*1440,0)&gt;設定!$C$46,ROUND(($J733-$H733)*1440,0),0))</f>
        <v/>
      </c>
      <c r="P733" s="84">
        <f>IF(OR($C733="",$I733="",$K733=""),0,IF(ROUND(($I733-$K733)*1440,0)&gt;設定!$C$46,ROUND(($I733-$K733)*1440,0),0))</f>
        <v/>
      </c>
      <c r="Q733" s="85">
        <f>IF($M733="",0,IF(($M733-IFERROR(INDEX(設定!$G$6:$G$21,MATCH($G733,設定!$B$6:$B$21,0)),0))*60&gt;=設定!$C$44,ROUND(FLOOR(($M733-IFERROR(INDEX(設定!$G$6:$G$21,MATCH($G733,設定!$B$6:$B$21,0)),0))*60,設定!$C$45)/60,2),0))</f>
        <v/>
      </c>
      <c r="R733" s="16">
        <f>IF(OR($C733="",$Q733=0),"",IF($G733="國","國定假日",IF($B733="日","例假",IF($B733="六","休息日","平日"))))</f>
        <v/>
      </c>
      <c r="S733" s="19" t="n"/>
    </row>
    <row r="734">
      <c r="A734" s="82">
        <f>IF(OR(助理班表!$A28="",19&gt;DAY(EOMONTH(DATE(設定!$C$2,設定!$D$2,1),0))),"",DATE(設定!$C$2,設定!$D$2,19))</f>
        <v/>
      </c>
      <c r="B734" s="16">
        <f>IF($A734="","",INDEX(設定!$O$6:$O$12,WEEKDAY($A734,1)))</f>
        <v/>
      </c>
      <c r="C734" s="16">
        <f>IF($A734="","",助理班表!$A28)</f>
        <v/>
      </c>
      <c r="D734" s="16">
        <f>IF($C734="","",助理班表!$B28)</f>
        <v/>
      </c>
      <c r="E734" s="16">
        <f>IF($C734="","",助理班表!$D28)</f>
        <v/>
      </c>
      <c r="F734" s="16">
        <f>IF($C734="","",助理班表!$C28)</f>
        <v/>
      </c>
      <c r="G734" s="16">
        <f>IF($C734="","",助理班表!W28)</f>
        <v/>
      </c>
      <c r="H734" s="83">
        <f>IF($G734="","",IFERROR(IF(INDEX(設定!$D$6:$D$21,MATCH($G734,設定!$B$6:$B$21,0))=0,"",INDEX(設定!$D$6:$D$21,MATCH($G734,設定!$B$6:$B$21,0))),""))</f>
        <v/>
      </c>
      <c r="I734" s="83">
        <f>IF($G734="","",IFERROR(IF(INDEX(設定!$E$6:$E$21,MATCH($G734,設定!$B$6:$B$21,0))=0,"",INDEX(設定!$E$6:$E$21,MATCH($G734,設定!$B$6:$B$21,0))),""))</f>
        <v/>
      </c>
      <c r="J734" s="83">
        <f>IFERROR(INDEX(打卡匯入!$C$3:$C$2002,MATCH($C734&amp;"|"&amp;DAY($A734),打卡匯入!$E$3:$E$2002,0)),"")</f>
        <v/>
      </c>
      <c r="K734" s="83">
        <f>IFERROR(INDEX(打卡匯入!$D$3:$D$2002,MATCH($C734&amp;"|"&amp;DAY($A734),打卡匯入!$E$3:$E$2002,0)),"")</f>
        <v/>
      </c>
      <c r="L734" s="84">
        <f>IF(OR($J734="",$K734=""),"",IFERROR(INDEX(設定!$F$6:$F$21,MATCH($G734,設定!$B$6:$B$21,0)),0))</f>
        <v/>
      </c>
      <c r="M734" s="85">
        <f>IF(OR($J734="",$K734=""),"",ROUND(($K734-$J734)*24-$L734/60,2))</f>
        <v/>
      </c>
      <c r="N734" s="16">
        <f>IF($C734="","",IF(AND(COUNTIF(設定!$B$15:$B$21,$G734)&gt;0,$J734&lt;&gt;""),"假日出勤",IF(AND(COUNTIF(設定!$B$6:$B$14,$G734)&gt;0,$J734=""),"未打卡",IF($J734="","",IF($O734&gt;0,"遲到",IF($P734&gt;0,"早退","正常"))))))</f>
        <v/>
      </c>
      <c r="O734" s="84">
        <f>IF(OR($C734="",$H734="",$J734=""),0,IF(ROUND(($J734-$H734)*1440,0)&gt;設定!$C$46,ROUND(($J734-$H734)*1440,0),0))</f>
        <v/>
      </c>
      <c r="P734" s="84">
        <f>IF(OR($C734="",$I734="",$K734=""),0,IF(ROUND(($I734-$K734)*1440,0)&gt;設定!$C$46,ROUND(($I734-$K734)*1440,0),0))</f>
        <v/>
      </c>
      <c r="Q734" s="85">
        <f>IF($M734="",0,IF(($M734-IFERROR(INDEX(設定!$G$6:$G$21,MATCH($G734,設定!$B$6:$B$21,0)),0))*60&gt;=設定!$C$44,ROUND(FLOOR(($M734-IFERROR(INDEX(設定!$G$6:$G$21,MATCH($G734,設定!$B$6:$B$21,0)),0))*60,設定!$C$45)/60,2),0))</f>
        <v/>
      </c>
      <c r="R734" s="16">
        <f>IF(OR($C734="",$Q734=0),"",IF($G734="國","國定假日",IF($B734="日","例假",IF($B734="六","休息日","平日"))))</f>
        <v/>
      </c>
      <c r="S734" s="19" t="n"/>
    </row>
    <row r="735">
      <c r="A735" s="82">
        <f>IF(OR(助理班表!$A28="",20&gt;DAY(EOMONTH(DATE(設定!$C$2,設定!$D$2,1),0))),"",DATE(設定!$C$2,設定!$D$2,20))</f>
        <v/>
      </c>
      <c r="B735" s="16">
        <f>IF($A735="","",INDEX(設定!$O$6:$O$12,WEEKDAY($A735,1)))</f>
        <v/>
      </c>
      <c r="C735" s="16">
        <f>IF($A735="","",助理班表!$A28)</f>
        <v/>
      </c>
      <c r="D735" s="16">
        <f>IF($C735="","",助理班表!$B28)</f>
        <v/>
      </c>
      <c r="E735" s="16">
        <f>IF($C735="","",助理班表!$D28)</f>
        <v/>
      </c>
      <c r="F735" s="16">
        <f>IF($C735="","",助理班表!$C28)</f>
        <v/>
      </c>
      <c r="G735" s="16">
        <f>IF($C735="","",助理班表!X28)</f>
        <v/>
      </c>
      <c r="H735" s="83">
        <f>IF($G735="","",IFERROR(IF(INDEX(設定!$D$6:$D$21,MATCH($G735,設定!$B$6:$B$21,0))=0,"",INDEX(設定!$D$6:$D$21,MATCH($G735,設定!$B$6:$B$21,0))),""))</f>
        <v/>
      </c>
      <c r="I735" s="83">
        <f>IF($G735="","",IFERROR(IF(INDEX(設定!$E$6:$E$21,MATCH($G735,設定!$B$6:$B$21,0))=0,"",INDEX(設定!$E$6:$E$21,MATCH($G735,設定!$B$6:$B$21,0))),""))</f>
        <v/>
      </c>
      <c r="J735" s="83">
        <f>IFERROR(INDEX(打卡匯入!$C$3:$C$2002,MATCH($C735&amp;"|"&amp;DAY($A735),打卡匯入!$E$3:$E$2002,0)),"")</f>
        <v/>
      </c>
      <c r="K735" s="83">
        <f>IFERROR(INDEX(打卡匯入!$D$3:$D$2002,MATCH($C735&amp;"|"&amp;DAY($A735),打卡匯入!$E$3:$E$2002,0)),"")</f>
        <v/>
      </c>
      <c r="L735" s="84">
        <f>IF(OR($J735="",$K735=""),"",IFERROR(INDEX(設定!$F$6:$F$21,MATCH($G735,設定!$B$6:$B$21,0)),0))</f>
        <v/>
      </c>
      <c r="M735" s="85">
        <f>IF(OR($J735="",$K735=""),"",ROUND(($K735-$J735)*24-$L735/60,2))</f>
        <v/>
      </c>
      <c r="N735" s="16">
        <f>IF($C735="","",IF(AND(COUNTIF(設定!$B$15:$B$21,$G735)&gt;0,$J735&lt;&gt;""),"假日出勤",IF(AND(COUNTIF(設定!$B$6:$B$14,$G735)&gt;0,$J735=""),"未打卡",IF($J735="","",IF($O735&gt;0,"遲到",IF($P735&gt;0,"早退","正常"))))))</f>
        <v/>
      </c>
      <c r="O735" s="84">
        <f>IF(OR($C735="",$H735="",$J735=""),0,IF(ROUND(($J735-$H735)*1440,0)&gt;設定!$C$46,ROUND(($J735-$H735)*1440,0),0))</f>
        <v/>
      </c>
      <c r="P735" s="84">
        <f>IF(OR($C735="",$I735="",$K735=""),0,IF(ROUND(($I735-$K735)*1440,0)&gt;設定!$C$46,ROUND(($I735-$K735)*1440,0),0))</f>
        <v/>
      </c>
      <c r="Q735" s="85">
        <f>IF($M735="",0,IF(($M735-IFERROR(INDEX(設定!$G$6:$G$21,MATCH($G735,設定!$B$6:$B$21,0)),0))*60&gt;=設定!$C$44,ROUND(FLOOR(($M735-IFERROR(INDEX(設定!$G$6:$G$21,MATCH($G735,設定!$B$6:$B$21,0)),0))*60,設定!$C$45)/60,2),0))</f>
        <v/>
      </c>
      <c r="R735" s="16">
        <f>IF(OR($C735="",$Q735=0),"",IF($G735="國","國定假日",IF($B735="日","例假",IF($B735="六","休息日","平日"))))</f>
        <v/>
      </c>
      <c r="S735" s="19" t="n"/>
    </row>
    <row r="736">
      <c r="A736" s="82">
        <f>IF(OR(助理班表!$A28="",21&gt;DAY(EOMONTH(DATE(設定!$C$2,設定!$D$2,1),0))),"",DATE(設定!$C$2,設定!$D$2,21))</f>
        <v/>
      </c>
      <c r="B736" s="16">
        <f>IF($A736="","",INDEX(設定!$O$6:$O$12,WEEKDAY($A736,1)))</f>
        <v/>
      </c>
      <c r="C736" s="16">
        <f>IF($A736="","",助理班表!$A28)</f>
        <v/>
      </c>
      <c r="D736" s="16">
        <f>IF($C736="","",助理班表!$B28)</f>
        <v/>
      </c>
      <c r="E736" s="16">
        <f>IF($C736="","",助理班表!$D28)</f>
        <v/>
      </c>
      <c r="F736" s="16">
        <f>IF($C736="","",助理班表!$C28)</f>
        <v/>
      </c>
      <c r="G736" s="16">
        <f>IF($C736="","",助理班表!Y28)</f>
        <v/>
      </c>
      <c r="H736" s="83">
        <f>IF($G736="","",IFERROR(IF(INDEX(設定!$D$6:$D$21,MATCH($G736,設定!$B$6:$B$21,0))=0,"",INDEX(設定!$D$6:$D$21,MATCH($G736,設定!$B$6:$B$21,0))),""))</f>
        <v/>
      </c>
      <c r="I736" s="83">
        <f>IF($G736="","",IFERROR(IF(INDEX(設定!$E$6:$E$21,MATCH($G736,設定!$B$6:$B$21,0))=0,"",INDEX(設定!$E$6:$E$21,MATCH($G736,設定!$B$6:$B$21,0))),""))</f>
        <v/>
      </c>
      <c r="J736" s="83">
        <f>IFERROR(INDEX(打卡匯入!$C$3:$C$2002,MATCH($C736&amp;"|"&amp;DAY($A736),打卡匯入!$E$3:$E$2002,0)),"")</f>
        <v/>
      </c>
      <c r="K736" s="83">
        <f>IFERROR(INDEX(打卡匯入!$D$3:$D$2002,MATCH($C736&amp;"|"&amp;DAY($A736),打卡匯入!$E$3:$E$2002,0)),"")</f>
        <v/>
      </c>
      <c r="L736" s="84">
        <f>IF(OR($J736="",$K736=""),"",IFERROR(INDEX(設定!$F$6:$F$21,MATCH($G736,設定!$B$6:$B$21,0)),0))</f>
        <v/>
      </c>
      <c r="M736" s="85">
        <f>IF(OR($J736="",$K736=""),"",ROUND(($K736-$J736)*24-$L736/60,2))</f>
        <v/>
      </c>
      <c r="N736" s="16">
        <f>IF($C736="","",IF(AND(COUNTIF(設定!$B$15:$B$21,$G736)&gt;0,$J736&lt;&gt;""),"假日出勤",IF(AND(COUNTIF(設定!$B$6:$B$14,$G736)&gt;0,$J736=""),"未打卡",IF($J736="","",IF($O736&gt;0,"遲到",IF($P736&gt;0,"早退","正常"))))))</f>
        <v/>
      </c>
      <c r="O736" s="84">
        <f>IF(OR($C736="",$H736="",$J736=""),0,IF(ROUND(($J736-$H736)*1440,0)&gt;設定!$C$46,ROUND(($J736-$H736)*1440,0),0))</f>
        <v/>
      </c>
      <c r="P736" s="84">
        <f>IF(OR($C736="",$I736="",$K736=""),0,IF(ROUND(($I736-$K736)*1440,0)&gt;設定!$C$46,ROUND(($I736-$K736)*1440,0),0))</f>
        <v/>
      </c>
      <c r="Q736" s="85">
        <f>IF($M736="",0,IF(($M736-IFERROR(INDEX(設定!$G$6:$G$21,MATCH($G736,設定!$B$6:$B$21,0)),0))*60&gt;=設定!$C$44,ROUND(FLOOR(($M736-IFERROR(INDEX(設定!$G$6:$G$21,MATCH($G736,設定!$B$6:$B$21,0)),0))*60,設定!$C$45)/60,2),0))</f>
        <v/>
      </c>
      <c r="R736" s="16">
        <f>IF(OR($C736="",$Q736=0),"",IF($G736="國","國定假日",IF($B736="日","例假",IF($B736="六","休息日","平日"))))</f>
        <v/>
      </c>
      <c r="S736" s="19" t="n"/>
    </row>
    <row r="737">
      <c r="A737" s="82">
        <f>IF(OR(助理班表!$A28="",22&gt;DAY(EOMONTH(DATE(設定!$C$2,設定!$D$2,1),0))),"",DATE(設定!$C$2,設定!$D$2,22))</f>
        <v/>
      </c>
      <c r="B737" s="16">
        <f>IF($A737="","",INDEX(設定!$O$6:$O$12,WEEKDAY($A737,1)))</f>
        <v/>
      </c>
      <c r="C737" s="16">
        <f>IF($A737="","",助理班表!$A28)</f>
        <v/>
      </c>
      <c r="D737" s="16">
        <f>IF($C737="","",助理班表!$B28)</f>
        <v/>
      </c>
      <c r="E737" s="16">
        <f>IF($C737="","",助理班表!$D28)</f>
        <v/>
      </c>
      <c r="F737" s="16">
        <f>IF($C737="","",助理班表!$C28)</f>
        <v/>
      </c>
      <c r="G737" s="16">
        <f>IF($C737="","",助理班表!Z28)</f>
        <v/>
      </c>
      <c r="H737" s="83">
        <f>IF($G737="","",IFERROR(IF(INDEX(設定!$D$6:$D$21,MATCH($G737,設定!$B$6:$B$21,0))=0,"",INDEX(設定!$D$6:$D$21,MATCH($G737,設定!$B$6:$B$21,0))),""))</f>
        <v/>
      </c>
      <c r="I737" s="83">
        <f>IF($G737="","",IFERROR(IF(INDEX(設定!$E$6:$E$21,MATCH($G737,設定!$B$6:$B$21,0))=0,"",INDEX(設定!$E$6:$E$21,MATCH($G737,設定!$B$6:$B$21,0))),""))</f>
        <v/>
      </c>
      <c r="J737" s="83">
        <f>IFERROR(INDEX(打卡匯入!$C$3:$C$2002,MATCH($C737&amp;"|"&amp;DAY($A737),打卡匯入!$E$3:$E$2002,0)),"")</f>
        <v/>
      </c>
      <c r="K737" s="83">
        <f>IFERROR(INDEX(打卡匯入!$D$3:$D$2002,MATCH($C737&amp;"|"&amp;DAY($A737),打卡匯入!$E$3:$E$2002,0)),"")</f>
        <v/>
      </c>
      <c r="L737" s="84">
        <f>IF(OR($J737="",$K737=""),"",IFERROR(INDEX(設定!$F$6:$F$21,MATCH($G737,設定!$B$6:$B$21,0)),0))</f>
        <v/>
      </c>
      <c r="M737" s="85">
        <f>IF(OR($J737="",$K737=""),"",ROUND(($K737-$J737)*24-$L737/60,2))</f>
        <v/>
      </c>
      <c r="N737" s="16">
        <f>IF($C737="","",IF(AND(COUNTIF(設定!$B$15:$B$21,$G737)&gt;0,$J737&lt;&gt;""),"假日出勤",IF(AND(COUNTIF(設定!$B$6:$B$14,$G737)&gt;0,$J737=""),"未打卡",IF($J737="","",IF($O737&gt;0,"遲到",IF($P737&gt;0,"早退","正常"))))))</f>
        <v/>
      </c>
      <c r="O737" s="84">
        <f>IF(OR($C737="",$H737="",$J737=""),0,IF(ROUND(($J737-$H737)*1440,0)&gt;設定!$C$46,ROUND(($J737-$H737)*1440,0),0))</f>
        <v/>
      </c>
      <c r="P737" s="84">
        <f>IF(OR($C737="",$I737="",$K737=""),0,IF(ROUND(($I737-$K737)*1440,0)&gt;設定!$C$46,ROUND(($I737-$K737)*1440,0),0))</f>
        <v/>
      </c>
      <c r="Q737" s="85">
        <f>IF($M737="",0,IF(($M737-IFERROR(INDEX(設定!$G$6:$G$21,MATCH($G737,設定!$B$6:$B$21,0)),0))*60&gt;=設定!$C$44,ROUND(FLOOR(($M737-IFERROR(INDEX(設定!$G$6:$G$21,MATCH($G737,設定!$B$6:$B$21,0)),0))*60,設定!$C$45)/60,2),0))</f>
        <v/>
      </c>
      <c r="R737" s="16">
        <f>IF(OR($C737="",$Q737=0),"",IF($G737="國","國定假日",IF($B737="日","例假",IF($B737="六","休息日","平日"))))</f>
        <v/>
      </c>
      <c r="S737" s="19" t="n"/>
    </row>
    <row r="738">
      <c r="A738" s="82">
        <f>IF(OR(助理班表!$A28="",23&gt;DAY(EOMONTH(DATE(設定!$C$2,設定!$D$2,1),0))),"",DATE(設定!$C$2,設定!$D$2,23))</f>
        <v/>
      </c>
      <c r="B738" s="16">
        <f>IF($A738="","",INDEX(設定!$O$6:$O$12,WEEKDAY($A738,1)))</f>
        <v/>
      </c>
      <c r="C738" s="16">
        <f>IF($A738="","",助理班表!$A28)</f>
        <v/>
      </c>
      <c r="D738" s="16">
        <f>IF($C738="","",助理班表!$B28)</f>
        <v/>
      </c>
      <c r="E738" s="16">
        <f>IF($C738="","",助理班表!$D28)</f>
        <v/>
      </c>
      <c r="F738" s="16">
        <f>IF($C738="","",助理班表!$C28)</f>
        <v/>
      </c>
      <c r="G738" s="16">
        <f>IF($C738="","",助理班表!AA28)</f>
        <v/>
      </c>
      <c r="H738" s="83">
        <f>IF($G738="","",IFERROR(IF(INDEX(設定!$D$6:$D$21,MATCH($G738,設定!$B$6:$B$21,0))=0,"",INDEX(設定!$D$6:$D$21,MATCH($G738,設定!$B$6:$B$21,0))),""))</f>
        <v/>
      </c>
      <c r="I738" s="83">
        <f>IF($G738="","",IFERROR(IF(INDEX(設定!$E$6:$E$21,MATCH($G738,設定!$B$6:$B$21,0))=0,"",INDEX(設定!$E$6:$E$21,MATCH($G738,設定!$B$6:$B$21,0))),""))</f>
        <v/>
      </c>
      <c r="J738" s="83">
        <f>IFERROR(INDEX(打卡匯入!$C$3:$C$2002,MATCH($C738&amp;"|"&amp;DAY($A738),打卡匯入!$E$3:$E$2002,0)),"")</f>
        <v/>
      </c>
      <c r="K738" s="83">
        <f>IFERROR(INDEX(打卡匯入!$D$3:$D$2002,MATCH($C738&amp;"|"&amp;DAY($A738),打卡匯入!$E$3:$E$2002,0)),"")</f>
        <v/>
      </c>
      <c r="L738" s="84">
        <f>IF(OR($J738="",$K738=""),"",IFERROR(INDEX(設定!$F$6:$F$21,MATCH($G738,設定!$B$6:$B$21,0)),0))</f>
        <v/>
      </c>
      <c r="M738" s="85">
        <f>IF(OR($J738="",$K738=""),"",ROUND(($K738-$J738)*24-$L738/60,2))</f>
        <v/>
      </c>
      <c r="N738" s="16">
        <f>IF($C738="","",IF(AND(COUNTIF(設定!$B$15:$B$21,$G738)&gt;0,$J738&lt;&gt;""),"假日出勤",IF(AND(COUNTIF(設定!$B$6:$B$14,$G738)&gt;0,$J738=""),"未打卡",IF($J738="","",IF($O738&gt;0,"遲到",IF($P738&gt;0,"早退","正常"))))))</f>
        <v/>
      </c>
      <c r="O738" s="84">
        <f>IF(OR($C738="",$H738="",$J738=""),0,IF(ROUND(($J738-$H738)*1440,0)&gt;設定!$C$46,ROUND(($J738-$H738)*1440,0),0))</f>
        <v/>
      </c>
      <c r="P738" s="84">
        <f>IF(OR($C738="",$I738="",$K738=""),0,IF(ROUND(($I738-$K738)*1440,0)&gt;設定!$C$46,ROUND(($I738-$K738)*1440,0),0))</f>
        <v/>
      </c>
      <c r="Q738" s="85">
        <f>IF($M738="",0,IF(($M738-IFERROR(INDEX(設定!$G$6:$G$21,MATCH($G738,設定!$B$6:$B$21,0)),0))*60&gt;=設定!$C$44,ROUND(FLOOR(($M738-IFERROR(INDEX(設定!$G$6:$G$21,MATCH($G738,設定!$B$6:$B$21,0)),0))*60,設定!$C$45)/60,2),0))</f>
        <v/>
      </c>
      <c r="R738" s="16">
        <f>IF(OR($C738="",$Q738=0),"",IF($G738="國","國定假日",IF($B738="日","例假",IF($B738="六","休息日","平日"))))</f>
        <v/>
      </c>
      <c r="S738" s="19" t="n"/>
    </row>
    <row r="739">
      <c r="A739" s="82">
        <f>IF(OR(助理班表!$A28="",24&gt;DAY(EOMONTH(DATE(設定!$C$2,設定!$D$2,1),0))),"",DATE(設定!$C$2,設定!$D$2,24))</f>
        <v/>
      </c>
      <c r="B739" s="16">
        <f>IF($A739="","",INDEX(設定!$O$6:$O$12,WEEKDAY($A739,1)))</f>
        <v/>
      </c>
      <c r="C739" s="16">
        <f>IF($A739="","",助理班表!$A28)</f>
        <v/>
      </c>
      <c r="D739" s="16">
        <f>IF($C739="","",助理班表!$B28)</f>
        <v/>
      </c>
      <c r="E739" s="16">
        <f>IF($C739="","",助理班表!$D28)</f>
        <v/>
      </c>
      <c r="F739" s="16">
        <f>IF($C739="","",助理班表!$C28)</f>
        <v/>
      </c>
      <c r="G739" s="16">
        <f>IF($C739="","",助理班表!AB28)</f>
        <v/>
      </c>
      <c r="H739" s="83">
        <f>IF($G739="","",IFERROR(IF(INDEX(設定!$D$6:$D$21,MATCH($G739,設定!$B$6:$B$21,0))=0,"",INDEX(設定!$D$6:$D$21,MATCH($G739,設定!$B$6:$B$21,0))),""))</f>
        <v/>
      </c>
      <c r="I739" s="83">
        <f>IF($G739="","",IFERROR(IF(INDEX(設定!$E$6:$E$21,MATCH($G739,設定!$B$6:$B$21,0))=0,"",INDEX(設定!$E$6:$E$21,MATCH($G739,設定!$B$6:$B$21,0))),""))</f>
        <v/>
      </c>
      <c r="J739" s="83">
        <f>IFERROR(INDEX(打卡匯入!$C$3:$C$2002,MATCH($C739&amp;"|"&amp;DAY($A739),打卡匯入!$E$3:$E$2002,0)),"")</f>
        <v/>
      </c>
      <c r="K739" s="83">
        <f>IFERROR(INDEX(打卡匯入!$D$3:$D$2002,MATCH($C739&amp;"|"&amp;DAY($A739),打卡匯入!$E$3:$E$2002,0)),"")</f>
        <v/>
      </c>
      <c r="L739" s="84">
        <f>IF(OR($J739="",$K739=""),"",IFERROR(INDEX(設定!$F$6:$F$21,MATCH($G739,設定!$B$6:$B$21,0)),0))</f>
        <v/>
      </c>
      <c r="M739" s="85">
        <f>IF(OR($J739="",$K739=""),"",ROUND(($K739-$J739)*24-$L739/60,2))</f>
        <v/>
      </c>
      <c r="N739" s="16">
        <f>IF($C739="","",IF(AND(COUNTIF(設定!$B$15:$B$21,$G739)&gt;0,$J739&lt;&gt;""),"假日出勤",IF(AND(COUNTIF(設定!$B$6:$B$14,$G739)&gt;0,$J739=""),"未打卡",IF($J739="","",IF($O739&gt;0,"遲到",IF($P739&gt;0,"早退","正常"))))))</f>
        <v/>
      </c>
      <c r="O739" s="84">
        <f>IF(OR($C739="",$H739="",$J739=""),0,IF(ROUND(($J739-$H739)*1440,0)&gt;設定!$C$46,ROUND(($J739-$H739)*1440,0),0))</f>
        <v/>
      </c>
      <c r="P739" s="84">
        <f>IF(OR($C739="",$I739="",$K739=""),0,IF(ROUND(($I739-$K739)*1440,0)&gt;設定!$C$46,ROUND(($I739-$K739)*1440,0),0))</f>
        <v/>
      </c>
      <c r="Q739" s="85">
        <f>IF($M739="",0,IF(($M739-IFERROR(INDEX(設定!$G$6:$G$21,MATCH($G739,設定!$B$6:$B$21,0)),0))*60&gt;=設定!$C$44,ROUND(FLOOR(($M739-IFERROR(INDEX(設定!$G$6:$G$21,MATCH($G739,設定!$B$6:$B$21,0)),0))*60,設定!$C$45)/60,2),0))</f>
        <v/>
      </c>
      <c r="R739" s="16">
        <f>IF(OR($C739="",$Q739=0),"",IF($G739="國","國定假日",IF($B739="日","例假",IF($B739="六","休息日","平日"))))</f>
        <v/>
      </c>
      <c r="S739" s="19" t="n"/>
    </row>
    <row r="740">
      <c r="A740" s="82">
        <f>IF(OR(助理班表!$A28="",25&gt;DAY(EOMONTH(DATE(設定!$C$2,設定!$D$2,1),0))),"",DATE(設定!$C$2,設定!$D$2,25))</f>
        <v/>
      </c>
      <c r="B740" s="16">
        <f>IF($A740="","",INDEX(設定!$O$6:$O$12,WEEKDAY($A740,1)))</f>
        <v/>
      </c>
      <c r="C740" s="16">
        <f>IF($A740="","",助理班表!$A28)</f>
        <v/>
      </c>
      <c r="D740" s="16">
        <f>IF($C740="","",助理班表!$B28)</f>
        <v/>
      </c>
      <c r="E740" s="16">
        <f>IF($C740="","",助理班表!$D28)</f>
        <v/>
      </c>
      <c r="F740" s="16">
        <f>IF($C740="","",助理班表!$C28)</f>
        <v/>
      </c>
      <c r="G740" s="16">
        <f>IF($C740="","",助理班表!AC28)</f>
        <v/>
      </c>
      <c r="H740" s="83">
        <f>IF($G740="","",IFERROR(IF(INDEX(設定!$D$6:$D$21,MATCH($G740,設定!$B$6:$B$21,0))=0,"",INDEX(設定!$D$6:$D$21,MATCH($G740,設定!$B$6:$B$21,0))),""))</f>
        <v/>
      </c>
      <c r="I740" s="83">
        <f>IF($G740="","",IFERROR(IF(INDEX(設定!$E$6:$E$21,MATCH($G740,設定!$B$6:$B$21,0))=0,"",INDEX(設定!$E$6:$E$21,MATCH($G740,設定!$B$6:$B$21,0))),""))</f>
        <v/>
      </c>
      <c r="J740" s="83">
        <f>IFERROR(INDEX(打卡匯入!$C$3:$C$2002,MATCH($C740&amp;"|"&amp;DAY($A740),打卡匯入!$E$3:$E$2002,0)),"")</f>
        <v/>
      </c>
      <c r="K740" s="83">
        <f>IFERROR(INDEX(打卡匯入!$D$3:$D$2002,MATCH($C740&amp;"|"&amp;DAY($A740),打卡匯入!$E$3:$E$2002,0)),"")</f>
        <v/>
      </c>
      <c r="L740" s="84">
        <f>IF(OR($J740="",$K740=""),"",IFERROR(INDEX(設定!$F$6:$F$21,MATCH($G740,設定!$B$6:$B$21,0)),0))</f>
        <v/>
      </c>
      <c r="M740" s="85">
        <f>IF(OR($J740="",$K740=""),"",ROUND(($K740-$J740)*24-$L740/60,2))</f>
        <v/>
      </c>
      <c r="N740" s="16">
        <f>IF($C740="","",IF(AND(COUNTIF(設定!$B$15:$B$21,$G740)&gt;0,$J740&lt;&gt;""),"假日出勤",IF(AND(COUNTIF(設定!$B$6:$B$14,$G740)&gt;0,$J740=""),"未打卡",IF($J740="","",IF($O740&gt;0,"遲到",IF($P740&gt;0,"早退","正常"))))))</f>
        <v/>
      </c>
      <c r="O740" s="84">
        <f>IF(OR($C740="",$H740="",$J740=""),0,IF(ROUND(($J740-$H740)*1440,0)&gt;設定!$C$46,ROUND(($J740-$H740)*1440,0),0))</f>
        <v/>
      </c>
      <c r="P740" s="84">
        <f>IF(OR($C740="",$I740="",$K740=""),0,IF(ROUND(($I740-$K740)*1440,0)&gt;設定!$C$46,ROUND(($I740-$K740)*1440,0),0))</f>
        <v/>
      </c>
      <c r="Q740" s="85">
        <f>IF($M740="",0,IF(($M740-IFERROR(INDEX(設定!$G$6:$G$21,MATCH($G740,設定!$B$6:$B$21,0)),0))*60&gt;=設定!$C$44,ROUND(FLOOR(($M740-IFERROR(INDEX(設定!$G$6:$G$21,MATCH($G740,設定!$B$6:$B$21,0)),0))*60,設定!$C$45)/60,2),0))</f>
        <v/>
      </c>
      <c r="R740" s="16">
        <f>IF(OR($C740="",$Q740=0),"",IF($G740="國","國定假日",IF($B740="日","例假",IF($B740="六","休息日","平日"))))</f>
        <v/>
      </c>
      <c r="S740" s="19" t="n"/>
    </row>
    <row r="741">
      <c r="A741" s="82">
        <f>IF(OR(助理班表!$A28="",26&gt;DAY(EOMONTH(DATE(設定!$C$2,設定!$D$2,1),0))),"",DATE(設定!$C$2,設定!$D$2,26))</f>
        <v/>
      </c>
      <c r="B741" s="16">
        <f>IF($A741="","",INDEX(設定!$O$6:$O$12,WEEKDAY($A741,1)))</f>
        <v/>
      </c>
      <c r="C741" s="16">
        <f>IF($A741="","",助理班表!$A28)</f>
        <v/>
      </c>
      <c r="D741" s="16">
        <f>IF($C741="","",助理班表!$B28)</f>
        <v/>
      </c>
      <c r="E741" s="16">
        <f>IF($C741="","",助理班表!$D28)</f>
        <v/>
      </c>
      <c r="F741" s="16">
        <f>IF($C741="","",助理班表!$C28)</f>
        <v/>
      </c>
      <c r="G741" s="16">
        <f>IF($C741="","",助理班表!AD28)</f>
        <v/>
      </c>
      <c r="H741" s="83">
        <f>IF($G741="","",IFERROR(IF(INDEX(設定!$D$6:$D$21,MATCH($G741,設定!$B$6:$B$21,0))=0,"",INDEX(設定!$D$6:$D$21,MATCH($G741,設定!$B$6:$B$21,0))),""))</f>
        <v/>
      </c>
      <c r="I741" s="83">
        <f>IF($G741="","",IFERROR(IF(INDEX(設定!$E$6:$E$21,MATCH($G741,設定!$B$6:$B$21,0))=0,"",INDEX(設定!$E$6:$E$21,MATCH($G741,設定!$B$6:$B$21,0))),""))</f>
        <v/>
      </c>
      <c r="J741" s="83">
        <f>IFERROR(INDEX(打卡匯入!$C$3:$C$2002,MATCH($C741&amp;"|"&amp;DAY($A741),打卡匯入!$E$3:$E$2002,0)),"")</f>
        <v/>
      </c>
      <c r="K741" s="83">
        <f>IFERROR(INDEX(打卡匯入!$D$3:$D$2002,MATCH($C741&amp;"|"&amp;DAY($A741),打卡匯入!$E$3:$E$2002,0)),"")</f>
        <v/>
      </c>
      <c r="L741" s="84">
        <f>IF(OR($J741="",$K741=""),"",IFERROR(INDEX(設定!$F$6:$F$21,MATCH($G741,設定!$B$6:$B$21,0)),0))</f>
        <v/>
      </c>
      <c r="M741" s="85">
        <f>IF(OR($J741="",$K741=""),"",ROUND(($K741-$J741)*24-$L741/60,2))</f>
        <v/>
      </c>
      <c r="N741" s="16">
        <f>IF($C741="","",IF(AND(COUNTIF(設定!$B$15:$B$21,$G741)&gt;0,$J741&lt;&gt;""),"假日出勤",IF(AND(COUNTIF(設定!$B$6:$B$14,$G741)&gt;0,$J741=""),"未打卡",IF($J741="","",IF($O741&gt;0,"遲到",IF($P741&gt;0,"早退","正常"))))))</f>
        <v/>
      </c>
      <c r="O741" s="84">
        <f>IF(OR($C741="",$H741="",$J741=""),0,IF(ROUND(($J741-$H741)*1440,0)&gt;設定!$C$46,ROUND(($J741-$H741)*1440,0),0))</f>
        <v/>
      </c>
      <c r="P741" s="84">
        <f>IF(OR($C741="",$I741="",$K741=""),0,IF(ROUND(($I741-$K741)*1440,0)&gt;設定!$C$46,ROUND(($I741-$K741)*1440,0),0))</f>
        <v/>
      </c>
      <c r="Q741" s="85">
        <f>IF($M741="",0,IF(($M741-IFERROR(INDEX(設定!$G$6:$G$21,MATCH($G741,設定!$B$6:$B$21,0)),0))*60&gt;=設定!$C$44,ROUND(FLOOR(($M741-IFERROR(INDEX(設定!$G$6:$G$21,MATCH($G741,設定!$B$6:$B$21,0)),0))*60,設定!$C$45)/60,2),0))</f>
        <v/>
      </c>
      <c r="R741" s="16">
        <f>IF(OR($C741="",$Q741=0),"",IF($G741="國","國定假日",IF($B741="日","例假",IF($B741="六","休息日","平日"))))</f>
        <v/>
      </c>
      <c r="S741" s="19" t="n"/>
    </row>
    <row r="742">
      <c r="A742" s="82">
        <f>IF(OR(助理班表!$A28="",27&gt;DAY(EOMONTH(DATE(設定!$C$2,設定!$D$2,1),0))),"",DATE(設定!$C$2,設定!$D$2,27))</f>
        <v/>
      </c>
      <c r="B742" s="16">
        <f>IF($A742="","",INDEX(設定!$O$6:$O$12,WEEKDAY($A742,1)))</f>
        <v/>
      </c>
      <c r="C742" s="16">
        <f>IF($A742="","",助理班表!$A28)</f>
        <v/>
      </c>
      <c r="D742" s="16">
        <f>IF($C742="","",助理班表!$B28)</f>
        <v/>
      </c>
      <c r="E742" s="16">
        <f>IF($C742="","",助理班表!$D28)</f>
        <v/>
      </c>
      <c r="F742" s="16">
        <f>IF($C742="","",助理班表!$C28)</f>
        <v/>
      </c>
      <c r="G742" s="16">
        <f>IF($C742="","",助理班表!AE28)</f>
        <v/>
      </c>
      <c r="H742" s="83">
        <f>IF($G742="","",IFERROR(IF(INDEX(設定!$D$6:$D$21,MATCH($G742,設定!$B$6:$B$21,0))=0,"",INDEX(設定!$D$6:$D$21,MATCH($G742,設定!$B$6:$B$21,0))),""))</f>
        <v/>
      </c>
      <c r="I742" s="83">
        <f>IF($G742="","",IFERROR(IF(INDEX(設定!$E$6:$E$21,MATCH($G742,設定!$B$6:$B$21,0))=0,"",INDEX(設定!$E$6:$E$21,MATCH($G742,設定!$B$6:$B$21,0))),""))</f>
        <v/>
      </c>
      <c r="J742" s="83">
        <f>IFERROR(INDEX(打卡匯入!$C$3:$C$2002,MATCH($C742&amp;"|"&amp;DAY($A742),打卡匯入!$E$3:$E$2002,0)),"")</f>
        <v/>
      </c>
      <c r="K742" s="83">
        <f>IFERROR(INDEX(打卡匯入!$D$3:$D$2002,MATCH($C742&amp;"|"&amp;DAY($A742),打卡匯入!$E$3:$E$2002,0)),"")</f>
        <v/>
      </c>
      <c r="L742" s="84">
        <f>IF(OR($J742="",$K742=""),"",IFERROR(INDEX(設定!$F$6:$F$21,MATCH($G742,設定!$B$6:$B$21,0)),0))</f>
        <v/>
      </c>
      <c r="M742" s="85">
        <f>IF(OR($J742="",$K742=""),"",ROUND(($K742-$J742)*24-$L742/60,2))</f>
        <v/>
      </c>
      <c r="N742" s="16">
        <f>IF($C742="","",IF(AND(COUNTIF(設定!$B$15:$B$21,$G742)&gt;0,$J742&lt;&gt;""),"假日出勤",IF(AND(COUNTIF(設定!$B$6:$B$14,$G742)&gt;0,$J742=""),"未打卡",IF($J742="","",IF($O742&gt;0,"遲到",IF($P742&gt;0,"早退","正常"))))))</f>
        <v/>
      </c>
      <c r="O742" s="84">
        <f>IF(OR($C742="",$H742="",$J742=""),0,IF(ROUND(($J742-$H742)*1440,0)&gt;設定!$C$46,ROUND(($J742-$H742)*1440,0),0))</f>
        <v/>
      </c>
      <c r="P742" s="84">
        <f>IF(OR($C742="",$I742="",$K742=""),0,IF(ROUND(($I742-$K742)*1440,0)&gt;設定!$C$46,ROUND(($I742-$K742)*1440,0),0))</f>
        <v/>
      </c>
      <c r="Q742" s="85">
        <f>IF($M742="",0,IF(($M742-IFERROR(INDEX(設定!$G$6:$G$21,MATCH($G742,設定!$B$6:$B$21,0)),0))*60&gt;=設定!$C$44,ROUND(FLOOR(($M742-IFERROR(INDEX(設定!$G$6:$G$21,MATCH($G742,設定!$B$6:$B$21,0)),0))*60,設定!$C$45)/60,2),0))</f>
        <v/>
      </c>
      <c r="R742" s="16">
        <f>IF(OR($C742="",$Q742=0),"",IF($G742="國","國定假日",IF($B742="日","例假",IF($B742="六","休息日","平日"))))</f>
        <v/>
      </c>
      <c r="S742" s="19" t="n"/>
    </row>
    <row r="743">
      <c r="A743" s="82">
        <f>IF(OR(助理班表!$A28="",28&gt;DAY(EOMONTH(DATE(設定!$C$2,設定!$D$2,1),0))),"",DATE(設定!$C$2,設定!$D$2,28))</f>
        <v/>
      </c>
      <c r="B743" s="16">
        <f>IF($A743="","",INDEX(設定!$O$6:$O$12,WEEKDAY($A743,1)))</f>
        <v/>
      </c>
      <c r="C743" s="16">
        <f>IF($A743="","",助理班表!$A28)</f>
        <v/>
      </c>
      <c r="D743" s="16">
        <f>IF($C743="","",助理班表!$B28)</f>
        <v/>
      </c>
      <c r="E743" s="16">
        <f>IF($C743="","",助理班表!$D28)</f>
        <v/>
      </c>
      <c r="F743" s="16">
        <f>IF($C743="","",助理班表!$C28)</f>
        <v/>
      </c>
      <c r="G743" s="16">
        <f>IF($C743="","",助理班表!AF28)</f>
        <v/>
      </c>
      <c r="H743" s="83">
        <f>IF($G743="","",IFERROR(IF(INDEX(設定!$D$6:$D$21,MATCH($G743,設定!$B$6:$B$21,0))=0,"",INDEX(設定!$D$6:$D$21,MATCH($G743,設定!$B$6:$B$21,0))),""))</f>
        <v/>
      </c>
      <c r="I743" s="83">
        <f>IF($G743="","",IFERROR(IF(INDEX(設定!$E$6:$E$21,MATCH($G743,設定!$B$6:$B$21,0))=0,"",INDEX(設定!$E$6:$E$21,MATCH($G743,設定!$B$6:$B$21,0))),""))</f>
        <v/>
      </c>
      <c r="J743" s="83">
        <f>IFERROR(INDEX(打卡匯入!$C$3:$C$2002,MATCH($C743&amp;"|"&amp;DAY($A743),打卡匯入!$E$3:$E$2002,0)),"")</f>
        <v/>
      </c>
      <c r="K743" s="83">
        <f>IFERROR(INDEX(打卡匯入!$D$3:$D$2002,MATCH($C743&amp;"|"&amp;DAY($A743),打卡匯入!$E$3:$E$2002,0)),"")</f>
        <v/>
      </c>
      <c r="L743" s="84">
        <f>IF(OR($J743="",$K743=""),"",IFERROR(INDEX(設定!$F$6:$F$21,MATCH($G743,設定!$B$6:$B$21,0)),0))</f>
        <v/>
      </c>
      <c r="M743" s="85">
        <f>IF(OR($J743="",$K743=""),"",ROUND(($K743-$J743)*24-$L743/60,2))</f>
        <v/>
      </c>
      <c r="N743" s="16">
        <f>IF($C743="","",IF(AND(COUNTIF(設定!$B$15:$B$21,$G743)&gt;0,$J743&lt;&gt;""),"假日出勤",IF(AND(COUNTIF(設定!$B$6:$B$14,$G743)&gt;0,$J743=""),"未打卡",IF($J743="","",IF($O743&gt;0,"遲到",IF($P743&gt;0,"早退","正常"))))))</f>
        <v/>
      </c>
      <c r="O743" s="84">
        <f>IF(OR($C743="",$H743="",$J743=""),0,IF(ROUND(($J743-$H743)*1440,0)&gt;設定!$C$46,ROUND(($J743-$H743)*1440,0),0))</f>
        <v/>
      </c>
      <c r="P743" s="84">
        <f>IF(OR($C743="",$I743="",$K743=""),0,IF(ROUND(($I743-$K743)*1440,0)&gt;設定!$C$46,ROUND(($I743-$K743)*1440,0),0))</f>
        <v/>
      </c>
      <c r="Q743" s="85">
        <f>IF($M743="",0,IF(($M743-IFERROR(INDEX(設定!$G$6:$G$21,MATCH($G743,設定!$B$6:$B$21,0)),0))*60&gt;=設定!$C$44,ROUND(FLOOR(($M743-IFERROR(INDEX(設定!$G$6:$G$21,MATCH($G743,設定!$B$6:$B$21,0)),0))*60,設定!$C$45)/60,2),0))</f>
        <v/>
      </c>
      <c r="R743" s="16">
        <f>IF(OR($C743="",$Q743=0),"",IF($G743="國","國定假日",IF($B743="日","例假",IF($B743="六","休息日","平日"))))</f>
        <v/>
      </c>
      <c r="S743" s="19" t="n"/>
    </row>
    <row r="744">
      <c r="A744" s="82">
        <f>IF(OR(助理班表!$A28="",29&gt;DAY(EOMONTH(DATE(設定!$C$2,設定!$D$2,1),0))),"",DATE(設定!$C$2,設定!$D$2,29))</f>
        <v/>
      </c>
      <c r="B744" s="16">
        <f>IF($A744="","",INDEX(設定!$O$6:$O$12,WEEKDAY($A744,1)))</f>
        <v/>
      </c>
      <c r="C744" s="16">
        <f>IF($A744="","",助理班表!$A28)</f>
        <v/>
      </c>
      <c r="D744" s="16">
        <f>IF($C744="","",助理班表!$B28)</f>
        <v/>
      </c>
      <c r="E744" s="16">
        <f>IF($C744="","",助理班表!$D28)</f>
        <v/>
      </c>
      <c r="F744" s="16">
        <f>IF($C744="","",助理班表!$C28)</f>
        <v/>
      </c>
      <c r="G744" s="16">
        <f>IF($C744="","",助理班表!AG28)</f>
        <v/>
      </c>
      <c r="H744" s="83">
        <f>IF($G744="","",IFERROR(IF(INDEX(設定!$D$6:$D$21,MATCH($G744,設定!$B$6:$B$21,0))=0,"",INDEX(設定!$D$6:$D$21,MATCH($G744,設定!$B$6:$B$21,0))),""))</f>
        <v/>
      </c>
      <c r="I744" s="83">
        <f>IF($G744="","",IFERROR(IF(INDEX(設定!$E$6:$E$21,MATCH($G744,設定!$B$6:$B$21,0))=0,"",INDEX(設定!$E$6:$E$21,MATCH($G744,設定!$B$6:$B$21,0))),""))</f>
        <v/>
      </c>
      <c r="J744" s="83">
        <f>IFERROR(INDEX(打卡匯入!$C$3:$C$2002,MATCH($C744&amp;"|"&amp;DAY($A744),打卡匯入!$E$3:$E$2002,0)),"")</f>
        <v/>
      </c>
      <c r="K744" s="83">
        <f>IFERROR(INDEX(打卡匯入!$D$3:$D$2002,MATCH($C744&amp;"|"&amp;DAY($A744),打卡匯入!$E$3:$E$2002,0)),"")</f>
        <v/>
      </c>
      <c r="L744" s="84">
        <f>IF(OR($J744="",$K744=""),"",IFERROR(INDEX(設定!$F$6:$F$21,MATCH($G744,設定!$B$6:$B$21,0)),0))</f>
        <v/>
      </c>
      <c r="M744" s="85">
        <f>IF(OR($J744="",$K744=""),"",ROUND(($K744-$J744)*24-$L744/60,2))</f>
        <v/>
      </c>
      <c r="N744" s="16">
        <f>IF($C744="","",IF(AND(COUNTIF(設定!$B$15:$B$21,$G744)&gt;0,$J744&lt;&gt;""),"假日出勤",IF(AND(COUNTIF(設定!$B$6:$B$14,$G744)&gt;0,$J744=""),"未打卡",IF($J744="","",IF($O744&gt;0,"遲到",IF($P744&gt;0,"早退","正常"))))))</f>
        <v/>
      </c>
      <c r="O744" s="84">
        <f>IF(OR($C744="",$H744="",$J744=""),0,IF(ROUND(($J744-$H744)*1440,0)&gt;設定!$C$46,ROUND(($J744-$H744)*1440,0),0))</f>
        <v/>
      </c>
      <c r="P744" s="84">
        <f>IF(OR($C744="",$I744="",$K744=""),0,IF(ROUND(($I744-$K744)*1440,0)&gt;設定!$C$46,ROUND(($I744-$K744)*1440,0),0))</f>
        <v/>
      </c>
      <c r="Q744" s="85">
        <f>IF($M744="",0,IF(($M744-IFERROR(INDEX(設定!$G$6:$G$21,MATCH($G744,設定!$B$6:$B$21,0)),0))*60&gt;=設定!$C$44,ROUND(FLOOR(($M744-IFERROR(INDEX(設定!$G$6:$G$21,MATCH($G744,設定!$B$6:$B$21,0)),0))*60,設定!$C$45)/60,2),0))</f>
        <v/>
      </c>
      <c r="R744" s="16">
        <f>IF(OR($C744="",$Q744=0),"",IF($G744="國","國定假日",IF($B744="日","例假",IF($B744="六","休息日","平日"))))</f>
        <v/>
      </c>
      <c r="S744" s="19" t="n"/>
    </row>
    <row r="745">
      <c r="A745" s="82">
        <f>IF(OR(助理班表!$A28="",30&gt;DAY(EOMONTH(DATE(設定!$C$2,設定!$D$2,1),0))),"",DATE(設定!$C$2,設定!$D$2,30))</f>
        <v/>
      </c>
      <c r="B745" s="16">
        <f>IF($A745="","",INDEX(設定!$O$6:$O$12,WEEKDAY($A745,1)))</f>
        <v/>
      </c>
      <c r="C745" s="16">
        <f>IF($A745="","",助理班表!$A28)</f>
        <v/>
      </c>
      <c r="D745" s="16">
        <f>IF($C745="","",助理班表!$B28)</f>
        <v/>
      </c>
      <c r="E745" s="16">
        <f>IF($C745="","",助理班表!$D28)</f>
        <v/>
      </c>
      <c r="F745" s="16">
        <f>IF($C745="","",助理班表!$C28)</f>
        <v/>
      </c>
      <c r="G745" s="16">
        <f>IF($C745="","",助理班表!AH28)</f>
        <v/>
      </c>
      <c r="H745" s="83">
        <f>IF($G745="","",IFERROR(IF(INDEX(設定!$D$6:$D$21,MATCH($G745,設定!$B$6:$B$21,0))=0,"",INDEX(設定!$D$6:$D$21,MATCH($G745,設定!$B$6:$B$21,0))),""))</f>
        <v/>
      </c>
      <c r="I745" s="83">
        <f>IF($G745="","",IFERROR(IF(INDEX(設定!$E$6:$E$21,MATCH($G745,設定!$B$6:$B$21,0))=0,"",INDEX(設定!$E$6:$E$21,MATCH($G745,設定!$B$6:$B$21,0))),""))</f>
        <v/>
      </c>
      <c r="J745" s="83">
        <f>IFERROR(INDEX(打卡匯入!$C$3:$C$2002,MATCH($C745&amp;"|"&amp;DAY($A745),打卡匯入!$E$3:$E$2002,0)),"")</f>
        <v/>
      </c>
      <c r="K745" s="83">
        <f>IFERROR(INDEX(打卡匯入!$D$3:$D$2002,MATCH($C745&amp;"|"&amp;DAY($A745),打卡匯入!$E$3:$E$2002,0)),"")</f>
        <v/>
      </c>
      <c r="L745" s="84">
        <f>IF(OR($J745="",$K745=""),"",IFERROR(INDEX(設定!$F$6:$F$21,MATCH($G745,設定!$B$6:$B$21,0)),0))</f>
        <v/>
      </c>
      <c r="M745" s="85">
        <f>IF(OR($J745="",$K745=""),"",ROUND(($K745-$J745)*24-$L745/60,2))</f>
        <v/>
      </c>
      <c r="N745" s="16">
        <f>IF($C745="","",IF(AND(COUNTIF(設定!$B$15:$B$21,$G745)&gt;0,$J745&lt;&gt;""),"假日出勤",IF(AND(COUNTIF(設定!$B$6:$B$14,$G745)&gt;0,$J745=""),"未打卡",IF($J745="","",IF($O745&gt;0,"遲到",IF($P745&gt;0,"早退","正常"))))))</f>
        <v/>
      </c>
      <c r="O745" s="84">
        <f>IF(OR($C745="",$H745="",$J745=""),0,IF(ROUND(($J745-$H745)*1440,0)&gt;設定!$C$46,ROUND(($J745-$H745)*1440,0),0))</f>
        <v/>
      </c>
      <c r="P745" s="84">
        <f>IF(OR($C745="",$I745="",$K745=""),0,IF(ROUND(($I745-$K745)*1440,0)&gt;設定!$C$46,ROUND(($I745-$K745)*1440,0),0))</f>
        <v/>
      </c>
      <c r="Q745" s="85">
        <f>IF($M745="",0,IF(($M745-IFERROR(INDEX(設定!$G$6:$G$21,MATCH($G745,設定!$B$6:$B$21,0)),0))*60&gt;=設定!$C$44,ROUND(FLOOR(($M745-IFERROR(INDEX(設定!$G$6:$G$21,MATCH($G745,設定!$B$6:$B$21,0)),0))*60,設定!$C$45)/60,2),0))</f>
        <v/>
      </c>
      <c r="R745" s="16">
        <f>IF(OR($C745="",$Q745=0),"",IF($G745="國","國定假日",IF($B745="日","例假",IF($B745="六","休息日","平日"))))</f>
        <v/>
      </c>
      <c r="S745" s="19" t="n"/>
    </row>
    <row r="746">
      <c r="A746" s="82">
        <f>IF(OR(助理班表!$A28="",31&gt;DAY(EOMONTH(DATE(設定!$C$2,設定!$D$2,1),0))),"",DATE(設定!$C$2,設定!$D$2,31))</f>
        <v/>
      </c>
      <c r="B746" s="16">
        <f>IF($A746="","",INDEX(設定!$O$6:$O$12,WEEKDAY($A746,1)))</f>
        <v/>
      </c>
      <c r="C746" s="16">
        <f>IF($A746="","",助理班表!$A28)</f>
        <v/>
      </c>
      <c r="D746" s="16">
        <f>IF($C746="","",助理班表!$B28)</f>
        <v/>
      </c>
      <c r="E746" s="16">
        <f>IF($C746="","",助理班表!$D28)</f>
        <v/>
      </c>
      <c r="F746" s="16">
        <f>IF($C746="","",助理班表!$C28)</f>
        <v/>
      </c>
      <c r="G746" s="16">
        <f>IF($C746="","",助理班表!AI28)</f>
        <v/>
      </c>
      <c r="H746" s="83">
        <f>IF($G746="","",IFERROR(IF(INDEX(設定!$D$6:$D$21,MATCH($G746,設定!$B$6:$B$21,0))=0,"",INDEX(設定!$D$6:$D$21,MATCH($G746,設定!$B$6:$B$21,0))),""))</f>
        <v/>
      </c>
      <c r="I746" s="83">
        <f>IF($G746="","",IFERROR(IF(INDEX(設定!$E$6:$E$21,MATCH($G746,設定!$B$6:$B$21,0))=0,"",INDEX(設定!$E$6:$E$21,MATCH($G746,設定!$B$6:$B$21,0))),""))</f>
        <v/>
      </c>
      <c r="J746" s="83">
        <f>IFERROR(INDEX(打卡匯入!$C$3:$C$2002,MATCH($C746&amp;"|"&amp;DAY($A746),打卡匯入!$E$3:$E$2002,0)),"")</f>
        <v/>
      </c>
      <c r="K746" s="83">
        <f>IFERROR(INDEX(打卡匯入!$D$3:$D$2002,MATCH($C746&amp;"|"&amp;DAY($A746),打卡匯入!$E$3:$E$2002,0)),"")</f>
        <v/>
      </c>
      <c r="L746" s="84">
        <f>IF(OR($J746="",$K746=""),"",IFERROR(INDEX(設定!$F$6:$F$21,MATCH($G746,設定!$B$6:$B$21,0)),0))</f>
        <v/>
      </c>
      <c r="M746" s="85">
        <f>IF(OR($J746="",$K746=""),"",ROUND(($K746-$J746)*24-$L746/60,2))</f>
        <v/>
      </c>
      <c r="N746" s="16">
        <f>IF($C746="","",IF(AND(COUNTIF(設定!$B$15:$B$21,$G746)&gt;0,$J746&lt;&gt;""),"假日出勤",IF(AND(COUNTIF(設定!$B$6:$B$14,$G746)&gt;0,$J746=""),"未打卡",IF($J746="","",IF($O746&gt;0,"遲到",IF($P746&gt;0,"早退","正常"))))))</f>
        <v/>
      </c>
      <c r="O746" s="84">
        <f>IF(OR($C746="",$H746="",$J746=""),0,IF(ROUND(($J746-$H746)*1440,0)&gt;設定!$C$46,ROUND(($J746-$H746)*1440,0),0))</f>
        <v/>
      </c>
      <c r="P746" s="84">
        <f>IF(OR($C746="",$I746="",$K746=""),0,IF(ROUND(($I746-$K746)*1440,0)&gt;設定!$C$46,ROUND(($I746-$K746)*1440,0),0))</f>
        <v/>
      </c>
      <c r="Q746" s="85">
        <f>IF($M746="",0,IF(($M746-IFERROR(INDEX(設定!$G$6:$G$21,MATCH($G746,設定!$B$6:$B$21,0)),0))*60&gt;=設定!$C$44,ROUND(FLOOR(($M746-IFERROR(INDEX(設定!$G$6:$G$21,MATCH($G746,設定!$B$6:$B$21,0)),0))*60,設定!$C$45)/60,2),0))</f>
        <v/>
      </c>
      <c r="R746" s="16">
        <f>IF(OR($C746="",$Q746=0),"",IF($G746="國","國定假日",IF($B746="日","例假",IF($B746="六","休息日","平日"))))</f>
        <v/>
      </c>
      <c r="S746" s="19" t="n"/>
    </row>
    <row r="747">
      <c r="A747" s="82">
        <f>IF(OR(助理班表!$A29="",1&gt;DAY(EOMONTH(DATE(設定!$C$2,設定!$D$2,1),0))),"",DATE(設定!$C$2,設定!$D$2,1))</f>
        <v/>
      </c>
      <c r="B747" s="16">
        <f>IF($A747="","",INDEX(設定!$O$6:$O$12,WEEKDAY($A747,1)))</f>
        <v/>
      </c>
      <c r="C747" s="16">
        <f>IF($A747="","",助理班表!$A29)</f>
        <v/>
      </c>
      <c r="D747" s="16">
        <f>IF($C747="","",助理班表!$B29)</f>
        <v/>
      </c>
      <c r="E747" s="16">
        <f>IF($C747="","",助理班表!$D29)</f>
        <v/>
      </c>
      <c r="F747" s="16">
        <f>IF($C747="","",助理班表!$C29)</f>
        <v/>
      </c>
      <c r="G747" s="16">
        <f>IF($C747="","",助理班表!E29)</f>
        <v/>
      </c>
      <c r="H747" s="83">
        <f>IF($G747="","",IFERROR(IF(INDEX(設定!$D$6:$D$21,MATCH($G747,設定!$B$6:$B$21,0))=0,"",INDEX(設定!$D$6:$D$21,MATCH($G747,設定!$B$6:$B$21,0))),""))</f>
        <v/>
      </c>
      <c r="I747" s="83">
        <f>IF($G747="","",IFERROR(IF(INDEX(設定!$E$6:$E$21,MATCH($G747,設定!$B$6:$B$21,0))=0,"",INDEX(設定!$E$6:$E$21,MATCH($G747,設定!$B$6:$B$21,0))),""))</f>
        <v/>
      </c>
      <c r="J747" s="83">
        <f>IFERROR(INDEX(打卡匯入!$C$3:$C$2002,MATCH($C747&amp;"|"&amp;DAY($A747),打卡匯入!$E$3:$E$2002,0)),"")</f>
        <v/>
      </c>
      <c r="K747" s="83">
        <f>IFERROR(INDEX(打卡匯入!$D$3:$D$2002,MATCH($C747&amp;"|"&amp;DAY($A747),打卡匯入!$E$3:$E$2002,0)),"")</f>
        <v/>
      </c>
      <c r="L747" s="84">
        <f>IF(OR($J747="",$K747=""),"",IFERROR(INDEX(設定!$F$6:$F$21,MATCH($G747,設定!$B$6:$B$21,0)),0))</f>
        <v/>
      </c>
      <c r="M747" s="85">
        <f>IF(OR($J747="",$K747=""),"",ROUND(($K747-$J747)*24-$L747/60,2))</f>
        <v/>
      </c>
      <c r="N747" s="16">
        <f>IF($C747="","",IF(AND(COUNTIF(設定!$B$15:$B$21,$G747)&gt;0,$J747&lt;&gt;""),"假日出勤",IF(AND(COUNTIF(設定!$B$6:$B$14,$G747)&gt;0,$J747=""),"未打卡",IF($J747="","",IF($O747&gt;0,"遲到",IF($P747&gt;0,"早退","正常"))))))</f>
        <v/>
      </c>
      <c r="O747" s="84">
        <f>IF(OR($C747="",$H747="",$J747=""),0,IF(ROUND(($J747-$H747)*1440,0)&gt;設定!$C$46,ROUND(($J747-$H747)*1440,0),0))</f>
        <v/>
      </c>
      <c r="P747" s="84">
        <f>IF(OR($C747="",$I747="",$K747=""),0,IF(ROUND(($I747-$K747)*1440,0)&gt;設定!$C$46,ROUND(($I747-$K747)*1440,0),0))</f>
        <v/>
      </c>
      <c r="Q747" s="85">
        <f>IF($M747="",0,IF(($M747-IFERROR(INDEX(設定!$G$6:$G$21,MATCH($G747,設定!$B$6:$B$21,0)),0))*60&gt;=設定!$C$44,ROUND(FLOOR(($M747-IFERROR(INDEX(設定!$G$6:$G$21,MATCH($G747,設定!$B$6:$B$21,0)),0))*60,設定!$C$45)/60,2),0))</f>
        <v/>
      </c>
      <c r="R747" s="16">
        <f>IF(OR($C747="",$Q747=0),"",IF($G747="國","國定假日",IF($B747="日","例假",IF($B747="六","休息日","平日"))))</f>
        <v/>
      </c>
      <c r="S747" s="19" t="n"/>
    </row>
    <row r="748">
      <c r="A748" s="82">
        <f>IF(OR(助理班表!$A29="",2&gt;DAY(EOMONTH(DATE(設定!$C$2,設定!$D$2,1),0))),"",DATE(設定!$C$2,設定!$D$2,2))</f>
        <v/>
      </c>
      <c r="B748" s="16">
        <f>IF($A748="","",INDEX(設定!$O$6:$O$12,WEEKDAY($A748,1)))</f>
        <v/>
      </c>
      <c r="C748" s="16">
        <f>IF($A748="","",助理班表!$A29)</f>
        <v/>
      </c>
      <c r="D748" s="16">
        <f>IF($C748="","",助理班表!$B29)</f>
        <v/>
      </c>
      <c r="E748" s="16">
        <f>IF($C748="","",助理班表!$D29)</f>
        <v/>
      </c>
      <c r="F748" s="16">
        <f>IF($C748="","",助理班表!$C29)</f>
        <v/>
      </c>
      <c r="G748" s="16">
        <f>IF($C748="","",助理班表!F29)</f>
        <v/>
      </c>
      <c r="H748" s="83">
        <f>IF($G748="","",IFERROR(IF(INDEX(設定!$D$6:$D$21,MATCH($G748,設定!$B$6:$B$21,0))=0,"",INDEX(設定!$D$6:$D$21,MATCH($G748,設定!$B$6:$B$21,0))),""))</f>
        <v/>
      </c>
      <c r="I748" s="83">
        <f>IF($G748="","",IFERROR(IF(INDEX(設定!$E$6:$E$21,MATCH($G748,設定!$B$6:$B$21,0))=0,"",INDEX(設定!$E$6:$E$21,MATCH($G748,設定!$B$6:$B$21,0))),""))</f>
        <v/>
      </c>
      <c r="J748" s="83">
        <f>IFERROR(INDEX(打卡匯入!$C$3:$C$2002,MATCH($C748&amp;"|"&amp;DAY($A748),打卡匯入!$E$3:$E$2002,0)),"")</f>
        <v/>
      </c>
      <c r="K748" s="83">
        <f>IFERROR(INDEX(打卡匯入!$D$3:$D$2002,MATCH($C748&amp;"|"&amp;DAY($A748),打卡匯入!$E$3:$E$2002,0)),"")</f>
        <v/>
      </c>
      <c r="L748" s="84">
        <f>IF(OR($J748="",$K748=""),"",IFERROR(INDEX(設定!$F$6:$F$21,MATCH($G748,設定!$B$6:$B$21,0)),0))</f>
        <v/>
      </c>
      <c r="M748" s="85">
        <f>IF(OR($J748="",$K748=""),"",ROUND(($K748-$J748)*24-$L748/60,2))</f>
        <v/>
      </c>
      <c r="N748" s="16">
        <f>IF($C748="","",IF(AND(COUNTIF(設定!$B$15:$B$21,$G748)&gt;0,$J748&lt;&gt;""),"假日出勤",IF(AND(COUNTIF(設定!$B$6:$B$14,$G748)&gt;0,$J748=""),"未打卡",IF($J748="","",IF($O748&gt;0,"遲到",IF($P748&gt;0,"早退","正常"))))))</f>
        <v/>
      </c>
      <c r="O748" s="84">
        <f>IF(OR($C748="",$H748="",$J748=""),0,IF(ROUND(($J748-$H748)*1440,0)&gt;設定!$C$46,ROUND(($J748-$H748)*1440,0),0))</f>
        <v/>
      </c>
      <c r="P748" s="84">
        <f>IF(OR($C748="",$I748="",$K748=""),0,IF(ROUND(($I748-$K748)*1440,0)&gt;設定!$C$46,ROUND(($I748-$K748)*1440,0),0))</f>
        <v/>
      </c>
      <c r="Q748" s="85">
        <f>IF($M748="",0,IF(($M748-IFERROR(INDEX(設定!$G$6:$G$21,MATCH($G748,設定!$B$6:$B$21,0)),0))*60&gt;=設定!$C$44,ROUND(FLOOR(($M748-IFERROR(INDEX(設定!$G$6:$G$21,MATCH($G748,設定!$B$6:$B$21,0)),0))*60,設定!$C$45)/60,2),0))</f>
        <v/>
      </c>
      <c r="R748" s="16">
        <f>IF(OR($C748="",$Q748=0),"",IF($G748="國","國定假日",IF($B748="日","例假",IF($B748="六","休息日","平日"))))</f>
        <v/>
      </c>
      <c r="S748" s="19" t="n"/>
    </row>
    <row r="749">
      <c r="A749" s="82">
        <f>IF(OR(助理班表!$A29="",3&gt;DAY(EOMONTH(DATE(設定!$C$2,設定!$D$2,1),0))),"",DATE(設定!$C$2,設定!$D$2,3))</f>
        <v/>
      </c>
      <c r="B749" s="16">
        <f>IF($A749="","",INDEX(設定!$O$6:$O$12,WEEKDAY($A749,1)))</f>
        <v/>
      </c>
      <c r="C749" s="16">
        <f>IF($A749="","",助理班表!$A29)</f>
        <v/>
      </c>
      <c r="D749" s="16">
        <f>IF($C749="","",助理班表!$B29)</f>
        <v/>
      </c>
      <c r="E749" s="16">
        <f>IF($C749="","",助理班表!$D29)</f>
        <v/>
      </c>
      <c r="F749" s="16">
        <f>IF($C749="","",助理班表!$C29)</f>
        <v/>
      </c>
      <c r="G749" s="16">
        <f>IF($C749="","",助理班表!G29)</f>
        <v/>
      </c>
      <c r="H749" s="83">
        <f>IF($G749="","",IFERROR(IF(INDEX(設定!$D$6:$D$21,MATCH($G749,設定!$B$6:$B$21,0))=0,"",INDEX(設定!$D$6:$D$21,MATCH($G749,設定!$B$6:$B$21,0))),""))</f>
        <v/>
      </c>
      <c r="I749" s="83">
        <f>IF($G749="","",IFERROR(IF(INDEX(設定!$E$6:$E$21,MATCH($G749,設定!$B$6:$B$21,0))=0,"",INDEX(設定!$E$6:$E$21,MATCH($G749,設定!$B$6:$B$21,0))),""))</f>
        <v/>
      </c>
      <c r="J749" s="83">
        <f>IFERROR(INDEX(打卡匯入!$C$3:$C$2002,MATCH($C749&amp;"|"&amp;DAY($A749),打卡匯入!$E$3:$E$2002,0)),"")</f>
        <v/>
      </c>
      <c r="K749" s="83">
        <f>IFERROR(INDEX(打卡匯入!$D$3:$D$2002,MATCH($C749&amp;"|"&amp;DAY($A749),打卡匯入!$E$3:$E$2002,0)),"")</f>
        <v/>
      </c>
      <c r="L749" s="84">
        <f>IF(OR($J749="",$K749=""),"",IFERROR(INDEX(設定!$F$6:$F$21,MATCH($G749,設定!$B$6:$B$21,0)),0))</f>
        <v/>
      </c>
      <c r="M749" s="85">
        <f>IF(OR($J749="",$K749=""),"",ROUND(($K749-$J749)*24-$L749/60,2))</f>
        <v/>
      </c>
      <c r="N749" s="16">
        <f>IF($C749="","",IF(AND(COUNTIF(設定!$B$15:$B$21,$G749)&gt;0,$J749&lt;&gt;""),"假日出勤",IF(AND(COUNTIF(設定!$B$6:$B$14,$G749)&gt;0,$J749=""),"未打卡",IF($J749="","",IF($O749&gt;0,"遲到",IF($P749&gt;0,"早退","正常"))))))</f>
        <v/>
      </c>
      <c r="O749" s="84">
        <f>IF(OR($C749="",$H749="",$J749=""),0,IF(ROUND(($J749-$H749)*1440,0)&gt;設定!$C$46,ROUND(($J749-$H749)*1440,0),0))</f>
        <v/>
      </c>
      <c r="P749" s="84">
        <f>IF(OR($C749="",$I749="",$K749=""),0,IF(ROUND(($I749-$K749)*1440,0)&gt;設定!$C$46,ROUND(($I749-$K749)*1440,0),0))</f>
        <v/>
      </c>
      <c r="Q749" s="85">
        <f>IF($M749="",0,IF(($M749-IFERROR(INDEX(設定!$G$6:$G$21,MATCH($G749,設定!$B$6:$B$21,0)),0))*60&gt;=設定!$C$44,ROUND(FLOOR(($M749-IFERROR(INDEX(設定!$G$6:$G$21,MATCH($G749,設定!$B$6:$B$21,0)),0))*60,設定!$C$45)/60,2),0))</f>
        <v/>
      </c>
      <c r="R749" s="16">
        <f>IF(OR($C749="",$Q749=0),"",IF($G749="國","國定假日",IF($B749="日","例假",IF($B749="六","休息日","平日"))))</f>
        <v/>
      </c>
      <c r="S749" s="19" t="n"/>
    </row>
    <row r="750">
      <c r="A750" s="82">
        <f>IF(OR(助理班表!$A29="",4&gt;DAY(EOMONTH(DATE(設定!$C$2,設定!$D$2,1),0))),"",DATE(設定!$C$2,設定!$D$2,4))</f>
        <v/>
      </c>
      <c r="B750" s="16">
        <f>IF($A750="","",INDEX(設定!$O$6:$O$12,WEEKDAY($A750,1)))</f>
        <v/>
      </c>
      <c r="C750" s="16">
        <f>IF($A750="","",助理班表!$A29)</f>
        <v/>
      </c>
      <c r="D750" s="16">
        <f>IF($C750="","",助理班表!$B29)</f>
        <v/>
      </c>
      <c r="E750" s="16">
        <f>IF($C750="","",助理班表!$D29)</f>
        <v/>
      </c>
      <c r="F750" s="16">
        <f>IF($C750="","",助理班表!$C29)</f>
        <v/>
      </c>
      <c r="G750" s="16">
        <f>IF($C750="","",助理班表!H29)</f>
        <v/>
      </c>
      <c r="H750" s="83">
        <f>IF($G750="","",IFERROR(IF(INDEX(設定!$D$6:$D$21,MATCH($G750,設定!$B$6:$B$21,0))=0,"",INDEX(設定!$D$6:$D$21,MATCH($G750,設定!$B$6:$B$21,0))),""))</f>
        <v/>
      </c>
      <c r="I750" s="83">
        <f>IF($G750="","",IFERROR(IF(INDEX(設定!$E$6:$E$21,MATCH($G750,設定!$B$6:$B$21,0))=0,"",INDEX(設定!$E$6:$E$21,MATCH($G750,設定!$B$6:$B$21,0))),""))</f>
        <v/>
      </c>
      <c r="J750" s="83">
        <f>IFERROR(INDEX(打卡匯入!$C$3:$C$2002,MATCH($C750&amp;"|"&amp;DAY($A750),打卡匯入!$E$3:$E$2002,0)),"")</f>
        <v/>
      </c>
      <c r="K750" s="83">
        <f>IFERROR(INDEX(打卡匯入!$D$3:$D$2002,MATCH($C750&amp;"|"&amp;DAY($A750),打卡匯入!$E$3:$E$2002,0)),"")</f>
        <v/>
      </c>
      <c r="L750" s="84">
        <f>IF(OR($J750="",$K750=""),"",IFERROR(INDEX(設定!$F$6:$F$21,MATCH($G750,設定!$B$6:$B$21,0)),0))</f>
        <v/>
      </c>
      <c r="M750" s="85">
        <f>IF(OR($J750="",$K750=""),"",ROUND(($K750-$J750)*24-$L750/60,2))</f>
        <v/>
      </c>
      <c r="N750" s="16">
        <f>IF($C750="","",IF(AND(COUNTIF(設定!$B$15:$B$21,$G750)&gt;0,$J750&lt;&gt;""),"假日出勤",IF(AND(COUNTIF(設定!$B$6:$B$14,$G750)&gt;0,$J750=""),"未打卡",IF($J750="","",IF($O750&gt;0,"遲到",IF($P750&gt;0,"早退","正常"))))))</f>
        <v/>
      </c>
      <c r="O750" s="84">
        <f>IF(OR($C750="",$H750="",$J750=""),0,IF(ROUND(($J750-$H750)*1440,0)&gt;設定!$C$46,ROUND(($J750-$H750)*1440,0),0))</f>
        <v/>
      </c>
      <c r="P750" s="84">
        <f>IF(OR($C750="",$I750="",$K750=""),0,IF(ROUND(($I750-$K750)*1440,0)&gt;設定!$C$46,ROUND(($I750-$K750)*1440,0),0))</f>
        <v/>
      </c>
      <c r="Q750" s="85">
        <f>IF($M750="",0,IF(($M750-IFERROR(INDEX(設定!$G$6:$G$21,MATCH($G750,設定!$B$6:$B$21,0)),0))*60&gt;=設定!$C$44,ROUND(FLOOR(($M750-IFERROR(INDEX(設定!$G$6:$G$21,MATCH($G750,設定!$B$6:$B$21,0)),0))*60,設定!$C$45)/60,2),0))</f>
        <v/>
      </c>
      <c r="R750" s="16">
        <f>IF(OR($C750="",$Q750=0),"",IF($G750="國","國定假日",IF($B750="日","例假",IF($B750="六","休息日","平日"))))</f>
        <v/>
      </c>
      <c r="S750" s="19" t="n"/>
    </row>
    <row r="751">
      <c r="A751" s="82">
        <f>IF(OR(助理班表!$A29="",5&gt;DAY(EOMONTH(DATE(設定!$C$2,設定!$D$2,1),0))),"",DATE(設定!$C$2,設定!$D$2,5))</f>
        <v/>
      </c>
      <c r="B751" s="16">
        <f>IF($A751="","",INDEX(設定!$O$6:$O$12,WEEKDAY($A751,1)))</f>
        <v/>
      </c>
      <c r="C751" s="16">
        <f>IF($A751="","",助理班表!$A29)</f>
        <v/>
      </c>
      <c r="D751" s="16">
        <f>IF($C751="","",助理班表!$B29)</f>
        <v/>
      </c>
      <c r="E751" s="16">
        <f>IF($C751="","",助理班表!$D29)</f>
        <v/>
      </c>
      <c r="F751" s="16">
        <f>IF($C751="","",助理班表!$C29)</f>
        <v/>
      </c>
      <c r="G751" s="16">
        <f>IF($C751="","",助理班表!I29)</f>
        <v/>
      </c>
      <c r="H751" s="83">
        <f>IF($G751="","",IFERROR(IF(INDEX(設定!$D$6:$D$21,MATCH($G751,設定!$B$6:$B$21,0))=0,"",INDEX(設定!$D$6:$D$21,MATCH($G751,設定!$B$6:$B$21,0))),""))</f>
        <v/>
      </c>
      <c r="I751" s="83">
        <f>IF($G751="","",IFERROR(IF(INDEX(設定!$E$6:$E$21,MATCH($G751,設定!$B$6:$B$21,0))=0,"",INDEX(設定!$E$6:$E$21,MATCH($G751,設定!$B$6:$B$21,0))),""))</f>
        <v/>
      </c>
      <c r="J751" s="83">
        <f>IFERROR(INDEX(打卡匯入!$C$3:$C$2002,MATCH($C751&amp;"|"&amp;DAY($A751),打卡匯入!$E$3:$E$2002,0)),"")</f>
        <v/>
      </c>
      <c r="K751" s="83">
        <f>IFERROR(INDEX(打卡匯入!$D$3:$D$2002,MATCH($C751&amp;"|"&amp;DAY($A751),打卡匯入!$E$3:$E$2002,0)),"")</f>
        <v/>
      </c>
      <c r="L751" s="84">
        <f>IF(OR($J751="",$K751=""),"",IFERROR(INDEX(設定!$F$6:$F$21,MATCH($G751,設定!$B$6:$B$21,0)),0))</f>
        <v/>
      </c>
      <c r="M751" s="85">
        <f>IF(OR($J751="",$K751=""),"",ROUND(($K751-$J751)*24-$L751/60,2))</f>
        <v/>
      </c>
      <c r="N751" s="16">
        <f>IF($C751="","",IF(AND(COUNTIF(設定!$B$15:$B$21,$G751)&gt;0,$J751&lt;&gt;""),"假日出勤",IF(AND(COUNTIF(設定!$B$6:$B$14,$G751)&gt;0,$J751=""),"未打卡",IF($J751="","",IF($O751&gt;0,"遲到",IF($P751&gt;0,"早退","正常"))))))</f>
        <v/>
      </c>
      <c r="O751" s="84">
        <f>IF(OR($C751="",$H751="",$J751=""),0,IF(ROUND(($J751-$H751)*1440,0)&gt;設定!$C$46,ROUND(($J751-$H751)*1440,0),0))</f>
        <v/>
      </c>
      <c r="P751" s="84">
        <f>IF(OR($C751="",$I751="",$K751=""),0,IF(ROUND(($I751-$K751)*1440,0)&gt;設定!$C$46,ROUND(($I751-$K751)*1440,0),0))</f>
        <v/>
      </c>
      <c r="Q751" s="85">
        <f>IF($M751="",0,IF(($M751-IFERROR(INDEX(設定!$G$6:$G$21,MATCH($G751,設定!$B$6:$B$21,0)),0))*60&gt;=設定!$C$44,ROUND(FLOOR(($M751-IFERROR(INDEX(設定!$G$6:$G$21,MATCH($G751,設定!$B$6:$B$21,0)),0))*60,設定!$C$45)/60,2),0))</f>
        <v/>
      </c>
      <c r="R751" s="16">
        <f>IF(OR($C751="",$Q751=0),"",IF($G751="國","國定假日",IF($B751="日","例假",IF($B751="六","休息日","平日"))))</f>
        <v/>
      </c>
      <c r="S751" s="19" t="n"/>
    </row>
    <row r="752">
      <c r="A752" s="82">
        <f>IF(OR(助理班表!$A29="",6&gt;DAY(EOMONTH(DATE(設定!$C$2,設定!$D$2,1),0))),"",DATE(設定!$C$2,設定!$D$2,6))</f>
        <v/>
      </c>
      <c r="B752" s="16">
        <f>IF($A752="","",INDEX(設定!$O$6:$O$12,WEEKDAY($A752,1)))</f>
        <v/>
      </c>
      <c r="C752" s="16">
        <f>IF($A752="","",助理班表!$A29)</f>
        <v/>
      </c>
      <c r="D752" s="16">
        <f>IF($C752="","",助理班表!$B29)</f>
        <v/>
      </c>
      <c r="E752" s="16">
        <f>IF($C752="","",助理班表!$D29)</f>
        <v/>
      </c>
      <c r="F752" s="16">
        <f>IF($C752="","",助理班表!$C29)</f>
        <v/>
      </c>
      <c r="G752" s="16">
        <f>IF($C752="","",助理班表!J29)</f>
        <v/>
      </c>
      <c r="H752" s="83">
        <f>IF($G752="","",IFERROR(IF(INDEX(設定!$D$6:$D$21,MATCH($G752,設定!$B$6:$B$21,0))=0,"",INDEX(設定!$D$6:$D$21,MATCH($G752,設定!$B$6:$B$21,0))),""))</f>
        <v/>
      </c>
      <c r="I752" s="83">
        <f>IF($G752="","",IFERROR(IF(INDEX(設定!$E$6:$E$21,MATCH($G752,設定!$B$6:$B$21,0))=0,"",INDEX(設定!$E$6:$E$21,MATCH($G752,設定!$B$6:$B$21,0))),""))</f>
        <v/>
      </c>
      <c r="J752" s="83">
        <f>IFERROR(INDEX(打卡匯入!$C$3:$C$2002,MATCH($C752&amp;"|"&amp;DAY($A752),打卡匯入!$E$3:$E$2002,0)),"")</f>
        <v/>
      </c>
      <c r="K752" s="83">
        <f>IFERROR(INDEX(打卡匯入!$D$3:$D$2002,MATCH($C752&amp;"|"&amp;DAY($A752),打卡匯入!$E$3:$E$2002,0)),"")</f>
        <v/>
      </c>
      <c r="L752" s="84">
        <f>IF(OR($J752="",$K752=""),"",IFERROR(INDEX(設定!$F$6:$F$21,MATCH($G752,設定!$B$6:$B$21,0)),0))</f>
        <v/>
      </c>
      <c r="M752" s="85">
        <f>IF(OR($J752="",$K752=""),"",ROUND(($K752-$J752)*24-$L752/60,2))</f>
        <v/>
      </c>
      <c r="N752" s="16">
        <f>IF($C752="","",IF(AND(COUNTIF(設定!$B$15:$B$21,$G752)&gt;0,$J752&lt;&gt;""),"假日出勤",IF(AND(COUNTIF(設定!$B$6:$B$14,$G752)&gt;0,$J752=""),"未打卡",IF($J752="","",IF($O752&gt;0,"遲到",IF($P752&gt;0,"早退","正常"))))))</f>
        <v/>
      </c>
      <c r="O752" s="84">
        <f>IF(OR($C752="",$H752="",$J752=""),0,IF(ROUND(($J752-$H752)*1440,0)&gt;設定!$C$46,ROUND(($J752-$H752)*1440,0),0))</f>
        <v/>
      </c>
      <c r="P752" s="84">
        <f>IF(OR($C752="",$I752="",$K752=""),0,IF(ROUND(($I752-$K752)*1440,0)&gt;設定!$C$46,ROUND(($I752-$K752)*1440,0),0))</f>
        <v/>
      </c>
      <c r="Q752" s="85">
        <f>IF($M752="",0,IF(($M752-IFERROR(INDEX(設定!$G$6:$G$21,MATCH($G752,設定!$B$6:$B$21,0)),0))*60&gt;=設定!$C$44,ROUND(FLOOR(($M752-IFERROR(INDEX(設定!$G$6:$G$21,MATCH($G752,設定!$B$6:$B$21,0)),0))*60,設定!$C$45)/60,2),0))</f>
        <v/>
      </c>
      <c r="R752" s="16">
        <f>IF(OR($C752="",$Q752=0),"",IF($G752="國","國定假日",IF($B752="日","例假",IF($B752="六","休息日","平日"))))</f>
        <v/>
      </c>
      <c r="S752" s="19" t="n"/>
    </row>
    <row r="753">
      <c r="A753" s="82">
        <f>IF(OR(助理班表!$A29="",7&gt;DAY(EOMONTH(DATE(設定!$C$2,設定!$D$2,1),0))),"",DATE(設定!$C$2,設定!$D$2,7))</f>
        <v/>
      </c>
      <c r="B753" s="16">
        <f>IF($A753="","",INDEX(設定!$O$6:$O$12,WEEKDAY($A753,1)))</f>
        <v/>
      </c>
      <c r="C753" s="16">
        <f>IF($A753="","",助理班表!$A29)</f>
        <v/>
      </c>
      <c r="D753" s="16">
        <f>IF($C753="","",助理班表!$B29)</f>
        <v/>
      </c>
      <c r="E753" s="16">
        <f>IF($C753="","",助理班表!$D29)</f>
        <v/>
      </c>
      <c r="F753" s="16">
        <f>IF($C753="","",助理班表!$C29)</f>
        <v/>
      </c>
      <c r="G753" s="16">
        <f>IF($C753="","",助理班表!K29)</f>
        <v/>
      </c>
      <c r="H753" s="83">
        <f>IF($G753="","",IFERROR(IF(INDEX(設定!$D$6:$D$21,MATCH($G753,設定!$B$6:$B$21,0))=0,"",INDEX(設定!$D$6:$D$21,MATCH($G753,設定!$B$6:$B$21,0))),""))</f>
        <v/>
      </c>
      <c r="I753" s="83">
        <f>IF($G753="","",IFERROR(IF(INDEX(設定!$E$6:$E$21,MATCH($G753,設定!$B$6:$B$21,0))=0,"",INDEX(設定!$E$6:$E$21,MATCH($G753,設定!$B$6:$B$21,0))),""))</f>
        <v/>
      </c>
      <c r="J753" s="83">
        <f>IFERROR(INDEX(打卡匯入!$C$3:$C$2002,MATCH($C753&amp;"|"&amp;DAY($A753),打卡匯入!$E$3:$E$2002,0)),"")</f>
        <v/>
      </c>
      <c r="K753" s="83">
        <f>IFERROR(INDEX(打卡匯入!$D$3:$D$2002,MATCH($C753&amp;"|"&amp;DAY($A753),打卡匯入!$E$3:$E$2002,0)),"")</f>
        <v/>
      </c>
      <c r="L753" s="84">
        <f>IF(OR($J753="",$K753=""),"",IFERROR(INDEX(設定!$F$6:$F$21,MATCH($G753,設定!$B$6:$B$21,0)),0))</f>
        <v/>
      </c>
      <c r="M753" s="85">
        <f>IF(OR($J753="",$K753=""),"",ROUND(($K753-$J753)*24-$L753/60,2))</f>
        <v/>
      </c>
      <c r="N753" s="16">
        <f>IF($C753="","",IF(AND(COUNTIF(設定!$B$15:$B$21,$G753)&gt;0,$J753&lt;&gt;""),"假日出勤",IF(AND(COUNTIF(設定!$B$6:$B$14,$G753)&gt;0,$J753=""),"未打卡",IF($J753="","",IF($O753&gt;0,"遲到",IF($P753&gt;0,"早退","正常"))))))</f>
        <v/>
      </c>
      <c r="O753" s="84">
        <f>IF(OR($C753="",$H753="",$J753=""),0,IF(ROUND(($J753-$H753)*1440,0)&gt;設定!$C$46,ROUND(($J753-$H753)*1440,0),0))</f>
        <v/>
      </c>
      <c r="P753" s="84">
        <f>IF(OR($C753="",$I753="",$K753=""),0,IF(ROUND(($I753-$K753)*1440,0)&gt;設定!$C$46,ROUND(($I753-$K753)*1440,0),0))</f>
        <v/>
      </c>
      <c r="Q753" s="85">
        <f>IF($M753="",0,IF(($M753-IFERROR(INDEX(設定!$G$6:$G$21,MATCH($G753,設定!$B$6:$B$21,0)),0))*60&gt;=設定!$C$44,ROUND(FLOOR(($M753-IFERROR(INDEX(設定!$G$6:$G$21,MATCH($G753,設定!$B$6:$B$21,0)),0))*60,設定!$C$45)/60,2),0))</f>
        <v/>
      </c>
      <c r="R753" s="16">
        <f>IF(OR($C753="",$Q753=0),"",IF($G753="國","國定假日",IF($B753="日","例假",IF($B753="六","休息日","平日"))))</f>
        <v/>
      </c>
      <c r="S753" s="19" t="n"/>
    </row>
    <row r="754">
      <c r="A754" s="82">
        <f>IF(OR(助理班表!$A29="",8&gt;DAY(EOMONTH(DATE(設定!$C$2,設定!$D$2,1),0))),"",DATE(設定!$C$2,設定!$D$2,8))</f>
        <v/>
      </c>
      <c r="B754" s="16">
        <f>IF($A754="","",INDEX(設定!$O$6:$O$12,WEEKDAY($A754,1)))</f>
        <v/>
      </c>
      <c r="C754" s="16">
        <f>IF($A754="","",助理班表!$A29)</f>
        <v/>
      </c>
      <c r="D754" s="16">
        <f>IF($C754="","",助理班表!$B29)</f>
        <v/>
      </c>
      <c r="E754" s="16">
        <f>IF($C754="","",助理班表!$D29)</f>
        <v/>
      </c>
      <c r="F754" s="16">
        <f>IF($C754="","",助理班表!$C29)</f>
        <v/>
      </c>
      <c r="G754" s="16">
        <f>IF($C754="","",助理班表!L29)</f>
        <v/>
      </c>
      <c r="H754" s="83">
        <f>IF($G754="","",IFERROR(IF(INDEX(設定!$D$6:$D$21,MATCH($G754,設定!$B$6:$B$21,0))=0,"",INDEX(設定!$D$6:$D$21,MATCH($G754,設定!$B$6:$B$21,0))),""))</f>
        <v/>
      </c>
      <c r="I754" s="83">
        <f>IF($G754="","",IFERROR(IF(INDEX(設定!$E$6:$E$21,MATCH($G754,設定!$B$6:$B$21,0))=0,"",INDEX(設定!$E$6:$E$21,MATCH($G754,設定!$B$6:$B$21,0))),""))</f>
        <v/>
      </c>
      <c r="J754" s="83">
        <f>IFERROR(INDEX(打卡匯入!$C$3:$C$2002,MATCH($C754&amp;"|"&amp;DAY($A754),打卡匯入!$E$3:$E$2002,0)),"")</f>
        <v/>
      </c>
      <c r="K754" s="83">
        <f>IFERROR(INDEX(打卡匯入!$D$3:$D$2002,MATCH($C754&amp;"|"&amp;DAY($A754),打卡匯入!$E$3:$E$2002,0)),"")</f>
        <v/>
      </c>
      <c r="L754" s="84">
        <f>IF(OR($J754="",$K754=""),"",IFERROR(INDEX(設定!$F$6:$F$21,MATCH($G754,設定!$B$6:$B$21,0)),0))</f>
        <v/>
      </c>
      <c r="M754" s="85">
        <f>IF(OR($J754="",$K754=""),"",ROUND(($K754-$J754)*24-$L754/60,2))</f>
        <v/>
      </c>
      <c r="N754" s="16">
        <f>IF($C754="","",IF(AND(COUNTIF(設定!$B$15:$B$21,$G754)&gt;0,$J754&lt;&gt;""),"假日出勤",IF(AND(COUNTIF(設定!$B$6:$B$14,$G754)&gt;0,$J754=""),"未打卡",IF($J754="","",IF($O754&gt;0,"遲到",IF($P754&gt;0,"早退","正常"))))))</f>
        <v/>
      </c>
      <c r="O754" s="84">
        <f>IF(OR($C754="",$H754="",$J754=""),0,IF(ROUND(($J754-$H754)*1440,0)&gt;設定!$C$46,ROUND(($J754-$H754)*1440,0),0))</f>
        <v/>
      </c>
      <c r="P754" s="84">
        <f>IF(OR($C754="",$I754="",$K754=""),0,IF(ROUND(($I754-$K754)*1440,0)&gt;設定!$C$46,ROUND(($I754-$K754)*1440,0),0))</f>
        <v/>
      </c>
      <c r="Q754" s="85">
        <f>IF($M754="",0,IF(($M754-IFERROR(INDEX(設定!$G$6:$G$21,MATCH($G754,設定!$B$6:$B$21,0)),0))*60&gt;=設定!$C$44,ROUND(FLOOR(($M754-IFERROR(INDEX(設定!$G$6:$G$21,MATCH($G754,設定!$B$6:$B$21,0)),0))*60,設定!$C$45)/60,2),0))</f>
        <v/>
      </c>
      <c r="R754" s="16">
        <f>IF(OR($C754="",$Q754=0),"",IF($G754="國","國定假日",IF($B754="日","例假",IF($B754="六","休息日","平日"))))</f>
        <v/>
      </c>
      <c r="S754" s="19" t="n"/>
    </row>
    <row r="755">
      <c r="A755" s="82">
        <f>IF(OR(助理班表!$A29="",9&gt;DAY(EOMONTH(DATE(設定!$C$2,設定!$D$2,1),0))),"",DATE(設定!$C$2,設定!$D$2,9))</f>
        <v/>
      </c>
      <c r="B755" s="16">
        <f>IF($A755="","",INDEX(設定!$O$6:$O$12,WEEKDAY($A755,1)))</f>
        <v/>
      </c>
      <c r="C755" s="16">
        <f>IF($A755="","",助理班表!$A29)</f>
        <v/>
      </c>
      <c r="D755" s="16">
        <f>IF($C755="","",助理班表!$B29)</f>
        <v/>
      </c>
      <c r="E755" s="16">
        <f>IF($C755="","",助理班表!$D29)</f>
        <v/>
      </c>
      <c r="F755" s="16">
        <f>IF($C755="","",助理班表!$C29)</f>
        <v/>
      </c>
      <c r="G755" s="16">
        <f>IF($C755="","",助理班表!M29)</f>
        <v/>
      </c>
      <c r="H755" s="83">
        <f>IF($G755="","",IFERROR(IF(INDEX(設定!$D$6:$D$21,MATCH($G755,設定!$B$6:$B$21,0))=0,"",INDEX(設定!$D$6:$D$21,MATCH($G755,設定!$B$6:$B$21,0))),""))</f>
        <v/>
      </c>
      <c r="I755" s="83">
        <f>IF($G755="","",IFERROR(IF(INDEX(設定!$E$6:$E$21,MATCH($G755,設定!$B$6:$B$21,0))=0,"",INDEX(設定!$E$6:$E$21,MATCH($G755,設定!$B$6:$B$21,0))),""))</f>
        <v/>
      </c>
      <c r="J755" s="83">
        <f>IFERROR(INDEX(打卡匯入!$C$3:$C$2002,MATCH($C755&amp;"|"&amp;DAY($A755),打卡匯入!$E$3:$E$2002,0)),"")</f>
        <v/>
      </c>
      <c r="K755" s="83">
        <f>IFERROR(INDEX(打卡匯入!$D$3:$D$2002,MATCH($C755&amp;"|"&amp;DAY($A755),打卡匯入!$E$3:$E$2002,0)),"")</f>
        <v/>
      </c>
      <c r="L755" s="84">
        <f>IF(OR($J755="",$K755=""),"",IFERROR(INDEX(設定!$F$6:$F$21,MATCH($G755,設定!$B$6:$B$21,0)),0))</f>
        <v/>
      </c>
      <c r="M755" s="85">
        <f>IF(OR($J755="",$K755=""),"",ROUND(($K755-$J755)*24-$L755/60,2))</f>
        <v/>
      </c>
      <c r="N755" s="16">
        <f>IF($C755="","",IF(AND(COUNTIF(設定!$B$15:$B$21,$G755)&gt;0,$J755&lt;&gt;""),"假日出勤",IF(AND(COUNTIF(設定!$B$6:$B$14,$G755)&gt;0,$J755=""),"未打卡",IF($J755="","",IF($O755&gt;0,"遲到",IF($P755&gt;0,"早退","正常"))))))</f>
        <v/>
      </c>
      <c r="O755" s="84">
        <f>IF(OR($C755="",$H755="",$J755=""),0,IF(ROUND(($J755-$H755)*1440,0)&gt;設定!$C$46,ROUND(($J755-$H755)*1440,0),0))</f>
        <v/>
      </c>
      <c r="P755" s="84">
        <f>IF(OR($C755="",$I755="",$K755=""),0,IF(ROUND(($I755-$K755)*1440,0)&gt;設定!$C$46,ROUND(($I755-$K755)*1440,0),0))</f>
        <v/>
      </c>
      <c r="Q755" s="85">
        <f>IF($M755="",0,IF(($M755-IFERROR(INDEX(設定!$G$6:$G$21,MATCH($G755,設定!$B$6:$B$21,0)),0))*60&gt;=設定!$C$44,ROUND(FLOOR(($M755-IFERROR(INDEX(設定!$G$6:$G$21,MATCH($G755,設定!$B$6:$B$21,0)),0))*60,設定!$C$45)/60,2),0))</f>
        <v/>
      </c>
      <c r="R755" s="16">
        <f>IF(OR($C755="",$Q755=0),"",IF($G755="國","國定假日",IF($B755="日","例假",IF($B755="六","休息日","平日"))))</f>
        <v/>
      </c>
      <c r="S755" s="19" t="n"/>
    </row>
    <row r="756">
      <c r="A756" s="82">
        <f>IF(OR(助理班表!$A29="",10&gt;DAY(EOMONTH(DATE(設定!$C$2,設定!$D$2,1),0))),"",DATE(設定!$C$2,設定!$D$2,10))</f>
        <v/>
      </c>
      <c r="B756" s="16">
        <f>IF($A756="","",INDEX(設定!$O$6:$O$12,WEEKDAY($A756,1)))</f>
        <v/>
      </c>
      <c r="C756" s="16">
        <f>IF($A756="","",助理班表!$A29)</f>
        <v/>
      </c>
      <c r="D756" s="16">
        <f>IF($C756="","",助理班表!$B29)</f>
        <v/>
      </c>
      <c r="E756" s="16">
        <f>IF($C756="","",助理班表!$D29)</f>
        <v/>
      </c>
      <c r="F756" s="16">
        <f>IF($C756="","",助理班表!$C29)</f>
        <v/>
      </c>
      <c r="G756" s="16">
        <f>IF($C756="","",助理班表!N29)</f>
        <v/>
      </c>
      <c r="H756" s="83">
        <f>IF($G756="","",IFERROR(IF(INDEX(設定!$D$6:$D$21,MATCH($G756,設定!$B$6:$B$21,0))=0,"",INDEX(設定!$D$6:$D$21,MATCH($G756,設定!$B$6:$B$21,0))),""))</f>
        <v/>
      </c>
      <c r="I756" s="83">
        <f>IF($G756="","",IFERROR(IF(INDEX(設定!$E$6:$E$21,MATCH($G756,設定!$B$6:$B$21,0))=0,"",INDEX(設定!$E$6:$E$21,MATCH($G756,設定!$B$6:$B$21,0))),""))</f>
        <v/>
      </c>
      <c r="J756" s="83">
        <f>IFERROR(INDEX(打卡匯入!$C$3:$C$2002,MATCH($C756&amp;"|"&amp;DAY($A756),打卡匯入!$E$3:$E$2002,0)),"")</f>
        <v/>
      </c>
      <c r="K756" s="83">
        <f>IFERROR(INDEX(打卡匯入!$D$3:$D$2002,MATCH($C756&amp;"|"&amp;DAY($A756),打卡匯入!$E$3:$E$2002,0)),"")</f>
        <v/>
      </c>
      <c r="L756" s="84">
        <f>IF(OR($J756="",$K756=""),"",IFERROR(INDEX(設定!$F$6:$F$21,MATCH($G756,設定!$B$6:$B$21,0)),0))</f>
        <v/>
      </c>
      <c r="M756" s="85">
        <f>IF(OR($J756="",$K756=""),"",ROUND(($K756-$J756)*24-$L756/60,2))</f>
        <v/>
      </c>
      <c r="N756" s="16">
        <f>IF($C756="","",IF(AND(COUNTIF(設定!$B$15:$B$21,$G756)&gt;0,$J756&lt;&gt;""),"假日出勤",IF(AND(COUNTIF(設定!$B$6:$B$14,$G756)&gt;0,$J756=""),"未打卡",IF($J756="","",IF($O756&gt;0,"遲到",IF($P756&gt;0,"早退","正常"))))))</f>
        <v/>
      </c>
      <c r="O756" s="84">
        <f>IF(OR($C756="",$H756="",$J756=""),0,IF(ROUND(($J756-$H756)*1440,0)&gt;設定!$C$46,ROUND(($J756-$H756)*1440,0),0))</f>
        <v/>
      </c>
      <c r="P756" s="84">
        <f>IF(OR($C756="",$I756="",$K756=""),0,IF(ROUND(($I756-$K756)*1440,0)&gt;設定!$C$46,ROUND(($I756-$K756)*1440,0),0))</f>
        <v/>
      </c>
      <c r="Q756" s="85">
        <f>IF($M756="",0,IF(($M756-IFERROR(INDEX(設定!$G$6:$G$21,MATCH($G756,設定!$B$6:$B$21,0)),0))*60&gt;=設定!$C$44,ROUND(FLOOR(($M756-IFERROR(INDEX(設定!$G$6:$G$21,MATCH($G756,設定!$B$6:$B$21,0)),0))*60,設定!$C$45)/60,2),0))</f>
        <v/>
      </c>
      <c r="R756" s="16">
        <f>IF(OR($C756="",$Q756=0),"",IF($G756="國","國定假日",IF($B756="日","例假",IF($B756="六","休息日","平日"))))</f>
        <v/>
      </c>
      <c r="S756" s="19" t="n"/>
    </row>
    <row r="757">
      <c r="A757" s="82">
        <f>IF(OR(助理班表!$A29="",11&gt;DAY(EOMONTH(DATE(設定!$C$2,設定!$D$2,1),0))),"",DATE(設定!$C$2,設定!$D$2,11))</f>
        <v/>
      </c>
      <c r="B757" s="16">
        <f>IF($A757="","",INDEX(設定!$O$6:$O$12,WEEKDAY($A757,1)))</f>
        <v/>
      </c>
      <c r="C757" s="16">
        <f>IF($A757="","",助理班表!$A29)</f>
        <v/>
      </c>
      <c r="D757" s="16">
        <f>IF($C757="","",助理班表!$B29)</f>
        <v/>
      </c>
      <c r="E757" s="16">
        <f>IF($C757="","",助理班表!$D29)</f>
        <v/>
      </c>
      <c r="F757" s="16">
        <f>IF($C757="","",助理班表!$C29)</f>
        <v/>
      </c>
      <c r="G757" s="16">
        <f>IF($C757="","",助理班表!O29)</f>
        <v/>
      </c>
      <c r="H757" s="83">
        <f>IF($G757="","",IFERROR(IF(INDEX(設定!$D$6:$D$21,MATCH($G757,設定!$B$6:$B$21,0))=0,"",INDEX(設定!$D$6:$D$21,MATCH($G757,設定!$B$6:$B$21,0))),""))</f>
        <v/>
      </c>
      <c r="I757" s="83">
        <f>IF($G757="","",IFERROR(IF(INDEX(設定!$E$6:$E$21,MATCH($G757,設定!$B$6:$B$21,0))=0,"",INDEX(設定!$E$6:$E$21,MATCH($G757,設定!$B$6:$B$21,0))),""))</f>
        <v/>
      </c>
      <c r="J757" s="83">
        <f>IFERROR(INDEX(打卡匯入!$C$3:$C$2002,MATCH($C757&amp;"|"&amp;DAY($A757),打卡匯入!$E$3:$E$2002,0)),"")</f>
        <v/>
      </c>
      <c r="K757" s="83">
        <f>IFERROR(INDEX(打卡匯入!$D$3:$D$2002,MATCH($C757&amp;"|"&amp;DAY($A757),打卡匯入!$E$3:$E$2002,0)),"")</f>
        <v/>
      </c>
      <c r="L757" s="84">
        <f>IF(OR($J757="",$K757=""),"",IFERROR(INDEX(設定!$F$6:$F$21,MATCH($G757,設定!$B$6:$B$21,0)),0))</f>
        <v/>
      </c>
      <c r="M757" s="85">
        <f>IF(OR($J757="",$K757=""),"",ROUND(($K757-$J757)*24-$L757/60,2))</f>
        <v/>
      </c>
      <c r="N757" s="16">
        <f>IF($C757="","",IF(AND(COUNTIF(設定!$B$15:$B$21,$G757)&gt;0,$J757&lt;&gt;""),"假日出勤",IF(AND(COUNTIF(設定!$B$6:$B$14,$G757)&gt;0,$J757=""),"未打卡",IF($J757="","",IF($O757&gt;0,"遲到",IF($P757&gt;0,"早退","正常"))))))</f>
        <v/>
      </c>
      <c r="O757" s="84">
        <f>IF(OR($C757="",$H757="",$J757=""),0,IF(ROUND(($J757-$H757)*1440,0)&gt;設定!$C$46,ROUND(($J757-$H757)*1440,0),0))</f>
        <v/>
      </c>
      <c r="P757" s="84">
        <f>IF(OR($C757="",$I757="",$K757=""),0,IF(ROUND(($I757-$K757)*1440,0)&gt;設定!$C$46,ROUND(($I757-$K757)*1440,0),0))</f>
        <v/>
      </c>
      <c r="Q757" s="85">
        <f>IF($M757="",0,IF(($M757-IFERROR(INDEX(設定!$G$6:$G$21,MATCH($G757,設定!$B$6:$B$21,0)),0))*60&gt;=設定!$C$44,ROUND(FLOOR(($M757-IFERROR(INDEX(設定!$G$6:$G$21,MATCH($G757,設定!$B$6:$B$21,0)),0))*60,設定!$C$45)/60,2),0))</f>
        <v/>
      </c>
      <c r="R757" s="16">
        <f>IF(OR($C757="",$Q757=0),"",IF($G757="國","國定假日",IF($B757="日","例假",IF($B757="六","休息日","平日"))))</f>
        <v/>
      </c>
      <c r="S757" s="19" t="n"/>
    </row>
    <row r="758">
      <c r="A758" s="82">
        <f>IF(OR(助理班表!$A29="",12&gt;DAY(EOMONTH(DATE(設定!$C$2,設定!$D$2,1),0))),"",DATE(設定!$C$2,設定!$D$2,12))</f>
        <v/>
      </c>
      <c r="B758" s="16">
        <f>IF($A758="","",INDEX(設定!$O$6:$O$12,WEEKDAY($A758,1)))</f>
        <v/>
      </c>
      <c r="C758" s="16">
        <f>IF($A758="","",助理班表!$A29)</f>
        <v/>
      </c>
      <c r="D758" s="16">
        <f>IF($C758="","",助理班表!$B29)</f>
        <v/>
      </c>
      <c r="E758" s="16">
        <f>IF($C758="","",助理班表!$D29)</f>
        <v/>
      </c>
      <c r="F758" s="16">
        <f>IF($C758="","",助理班表!$C29)</f>
        <v/>
      </c>
      <c r="G758" s="16">
        <f>IF($C758="","",助理班表!P29)</f>
        <v/>
      </c>
      <c r="H758" s="83">
        <f>IF($G758="","",IFERROR(IF(INDEX(設定!$D$6:$D$21,MATCH($G758,設定!$B$6:$B$21,0))=0,"",INDEX(設定!$D$6:$D$21,MATCH($G758,設定!$B$6:$B$21,0))),""))</f>
        <v/>
      </c>
      <c r="I758" s="83">
        <f>IF($G758="","",IFERROR(IF(INDEX(設定!$E$6:$E$21,MATCH($G758,設定!$B$6:$B$21,0))=0,"",INDEX(設定!$E$6:$E$21,MATCH($G758,設定!$B$6:$B$21,0))),""))</f>
        <v/>
      </c>
      <c r="J758" s="83">
        <f>IFERROR(INDEX(打卡匯入!$C$3:$C$2002,MATCH($C758&amp;"|"&amp;DAY($A758),打卡匯入!$E$3:$E$2002,0)),"")</f>
        <v/>
      </c>
      <c r="K758" s="83">
        <f>IFERROR(INDEX(打卡匯入!$D$3:$D$2002,MATCH($C758&amp;"|"&amp;DAY($A758),打卡匯入!$E$3:$E$2002,0)),"")</f>
        <v/>
      </c>
      <c r="L758" s="84">
        <f>IF(OR($J758="",$K758=""),"",IFERROR(INDEX(設定!$F$6:$F$21,MATCH($G758,設定!$B$6:$B$21,0)),0))</f>
        <v/>
      </c>
      <c r="M758" s="85">
        <f>IF(OR($J758="",$K758=""),"",ROUND(($K758-$J758)*24-$L758/60,2))</f>
        <v/>
      </c>
      <c r="N758" s="16">
        <f>IF($C758="","",IF(AND(COUNTIF(設定!$B$15:$B$21,$G758)&gt;0,$J758&lt;&gt;""),"假日出勤",IF(AND(COUNTIF(設定!$B$6:$B$14,$G758)&gt;0,$J758=""),"未打卡",IF($J758="","",IF($O758&gt;0,"遲到",IF($P758&gt;0,"早退","正常"))))))</f>
        <v/>
      </c>
      <c r="O758" s="84">
        <f>IF(OR($C758="",$H758="",$J758=""),0,IF(ROUND(($J758-$H758)*1440,0)&gt;設定!$C$46,ROUND(($J758-$H758)*1440,0),0))</f>
        <v/>
      </c>
      <c r="P758" s="84">
        <f>IF(OR($C758="",$I758="",$K758=""),0,IF(ROUND(($I758-$K758)*1440,0)&gt;設定!$C$46,ROUND(($I758-$K758)*1440,0),0))</f>
        <v/>
      </c>
      <c r="Q758" s="85">
        <f>IF($M758="",0,IF(($M758-IFERROR(INDEX(設定!$G$6:$G$21,MATCH($G758,設定!$B$6:$B$21,0)),0))*60&gt;=設定!$C$44,ROUND(FLOOR(($M758-IFERROR(INDEX(設定!$G$6:$G$21,MATCH($G758,設定!$B$6:$B$21,0)),0))*60,設定!$C$45)/60,2),0))</f>
        <v/>
      </c>
      <c r="R758" s="16">
        <f>IF(OR($C758="",$Q758=0),"",IF($G758="國","國定假日",IF($B758="日","例假",IF($B758="六","休息日","平日"))))</f>
        <v/>
      </c>
      <c r="S758" s="19" t="n"/>
    </row>
    <row r="759">
      <c r="A759" s="82">
        <f>IF(OR(助理班表!$A29="",13&gt;DAY(EOMONTH(DATE(設定!$C$2,設定!$D$2,1),0))),"",DATE(設定!$C$2,設定!$D$2,13))</f>
        <v/>
      </c>
      <c r="B759" s="16">
        <f>IF($A759="","",INDEX(設定!$O$6:$O$12,WEEKDAY($A759,1)))</f>
        <v/>
      </c>
      <c r="C759" s="16">
        <f>IF($A759="","",助理班表!$A29)</f>
        <v/>
      </c>
      <c r="D759" s="16">
        <f>IF($C759="","",助理班表!$B29)</f>
        <v/>
      </c>
      <c r="E759" s="16">
        <f>IF($C759="","",助理班表!$D29)</f>
        <v/>
      </c>
      <c r="F759" s="16">
        <f>IF($C759="","",助理班表!$C29)</f>
        <v/>
      </c>
      <c r="G759" s="16">
        <f>IF($C759="","",助理班表!Q29)</f>
        <v/>
      </c>
      <c r="H759" s="83">
        <f>IF($G759="","",IFERROR(IF(INDEX(設定!$D$6:$D$21,MATCH($G759,設定!$B$6:$B$21,0))=0,"",INDEX(設定!$D$6:$D$21,MATCH($G759,設定!$B$6:$B$21,0))),""))</f>
        <v/>
      </c>
      <c r="I759" s="83">
        <f>IF($G759="","",IFERROR(IF(INDEX(設定!$E$6:$E$21,MATCH($G759,設定!$B$6:$B$21,0))=0,"",INDEX(設定!$E$6:$E$21,MATCH($G759,設定!$B$6:$B$21,0))),""))</f>
        <v/>
      </c>
      <c r="J759" s="83">
        <f>IFERROR(INDEX(打卡匯入!$C$3:$C$2002,MATCH($C759&amp;"|"&amp;DAY($A759),打卡匯入!$E$3:$E$2002,0)),"")</f>
        <v/>
      </c>
      <c r="K759" s="83">
        <f>IFERROR(INDEX(打卡匯入!$D$3:$D$2002,MATCH($C759&amp;"|"&amp;DAY($A759),打卡匯入!$E$3:$E$2002,0)),"")</f>
        <v/>
      </c>
      <c r="L759" s="84">
        <f>IF(OR($J759="",$K759=""),"",IFERROR(INDEX(設定!$F$6:$F$21,MATCH($G759,設定!$B$6:$B$21,0)),0))</f>
        <v/>
      </c>
      <c r="M759" s="85">
        <f>IF(OR($J759="",$K759=""),"",ROUND(($K759-$J759)*24-$L759/60,2))</f>
        <v/>
      </c>
      <c r="N759" s="16">
        <f>IF($C759="","",IF(AND(COUNTIF(設定!$B$15:$B$21,$G759)&gt;0,$J759&lt;&gt;""),"假日出勤",IF(AND(COUNTIF(設定!$B$6:$B$14,$G759)&gt;0,$J759=""),"未打卡",IF($J759="","",IF($O759&gt;0,"遲到",IF($P759&gt;0,"早退","正常"))))))</f>
        <v/>
      </c>
      <c r="O759" s="84">
        <f>IF(OR($C759="",$H759="",$J759=""),0,IF(ROUND(($J759-$H759)*1440,0)&gt;設定!$C$46,ROUND(($J759-$H759)*1440,0),0))</f>
        <v/>
      </c>
      <c r="P759" s="84">
        <f>IF(OR($C759="",$I759="",$K759=""),0,IF(ROUND(($I759-$K759)*1440,0)&gt;設定!$C$46,ROUND(($I759-$K759)*1440,0),0))</f>
        <v/>
      </c>
      <c r="Q759" s="85">
        <f>IF($M759="",0,IF(($M759-IFERROR(INDEX(設定!$G$6:$G$21,MATCH($G759,設定!$B$6:$B$21,0)),0))*60&gt;=設定!$C$44,ROUND(FLOOR(($M759-IFERROR(INDEX(設定!$G$6:$G$21,MATCH($G759,設定!$B$6:$B$21,0)),0))*60,設定!$C$45)/60,2),0))</f>
        <v/>
      </c>
      <c r="R759" s="16">
        <f>IF(OR($C759="",$Q759=0),"",IF($G759="國","國定假日",IF($B759="日","例假",IF($B759="六","休息日","平日"))))</f>
        <v/>
      </c>
      <c r="S759" s="19" t="n"/>
    </row>
    <row r="760">
      <c r="A760" s="82">
        <f>IF(OR(助理班表!$A29="",14&gt;DAY(EOMONTH(DATE(設定!$C$2,設定!$D$2,1),0))),"",DATE(設定!$C$2,設定!$D$2,14))</f>
        <v/>
      </c>
      <c r="B760" s="16">
        <f>IF($A760="","",INDEX(設定!$O$6:$O$12,WEEKDAY($A760,1)))</f>
        <v/>
      </c>
      <c r="C760" s="16">
        <f>IF($A760="","",助理班表!$A29)</f>
        <v/>
      </c>
      <c r="D760" s="16">
        <f>IF($C760="","",助理班表!$B29)</f>
        <v/>
      </c>
      <c r="E760" s="16">
        <f>IF($C760="","",助理班表!$D29)</f>
        <v/>
      </c>
      <c r="F760" s="16">
        <f>IF($C760="","",助理班表!$C29)</f>
        <v/>
      </c>
      <c r="G760" s="16">
        <f>IF($C760="","",助理班表!R29)</f>
        <v/>
      </c>
      <c r="H760" s="83">
        <f>IF($G760="","",IFERROR(IF(INDEX(設定!$D$6:$D$21,MATCH($G760,設定!$B$6:$B$21,0))=0,"",INDEX(設定!$D$6:$D$21,MATCH($G760,設定!$B$6:$B$21,0))),""))</f>
        <v/>
      </c>
      <c r="I760" s="83">
        <f>IF($G760="","",IFERROR(IF(INDEX(設定!$E$6:$E$21,MATCH($G760,設定!$B$6:$B$21,0))=0,"",INDEX(設定!$E$6:$E$21,MATCH($G760,設定!$B$6:$B$21,0))),""))</f>
        <v/>
      </c>
      <c r="J760" s="83">
        <f>IFERROR(INDEX(打卡匯入!$C$3:$C$2002,MATCH($C760&amp;"|"&amp;DAY($A760),打卡匯入!$E$3:$E$2002,0)),"")</f>
        <v/>
      </c>
      <c r="K760" s="83">
        <f>IFERROR(INDEX(打卡匯入!$D$3:$D$2002,MATCH($C760&amp;"|"&amp;DAY($A760),打卡匯入!$E$3:$E$2002,0)),"")</f>
        <v/>
      </c>
      <c r="L760" s="84">
        <f>IF(OR($J760="",$K760=""),"",IFERROR(INDEX(設定!$F$6:$F$21,MATCH($G760,設定!$B$6:$B$21,0)),0))</f>
        <v/>
      </c>
      <c r="M760" s="85">
        <f>IF(OR($J760="",$K760=""),"",ROUND(($K760-$J760)*24-$L760/60,2))</f>
        <v/>
      </c>
      <c r="N760" s="16">
        <f>IF($C760="","",IF(AND(COUNTIF(設定!$B$15:$B$21,$G760)&gt;0,$J760&lt;&gt;""),"假日出勤",IF(AND(COUNTIF(設定!$B$6:$B$14,$G760)&gt;0,$J760=""),"未打卡",IF($J760="","",IF($O760&gt;0,"遲到",IF($P760&gt;0,"早退","正常"))))))</f>
        <v/>
      </c>
      <c r="O760" s="84">
        <f>IF(OR($C760="",$H760="",$J760=""),0,IF(ROUND(($J760-$H760)*1440,0)&gt;設定!$C$46,ROUND(($J760-$H760)*1440,0),0))</f>
        <v/>
      </c>
      <c r="P760" s="84">
        <f>IF(OR($C760="",$I760="",$K760=""),0,IF(ROUND(($I760-$K760)*1440,0)&gt;設定!$C$46,ROUND(($I760-$K760)*1440,0),0))</f>
        <v/>
      </c>
      <c r="Q760" s="85">
        <f>IF($M760="",0,IF(($M760-IFERROR(INDEX(設定!$G$6:$G$21,MATCH($G760,設定!$B$6:$B$21,0)),0))*60&gt;=設定!$C$44,ROUND(FLOOR(($M760-IFERROR(INDEX(設定!$G$6:$G$21,MATCH($G760,設定!$B$6:$B$21,0)),0))*60,設定!$C$45)/60,2),0))</f>
        <v/>
      </c>
      <c r="R760" s="16">
        <f>IF(OR($C760="",$Q760=0),"",IF($G760="國","國定假日",IF($B760="日","例假",IF($B760="六","休息日","平日"))))</f>
        <v/>
      </c>
      <c r="S760" s="19" t="n"/>
    </row>
    <row r="761">
      <c r="A761" s="82">
        <f>IF(OR(助理班表!$A29="",15&gt;DAY(EOMONTH(DATE(設定!$C$2,設定!$D$2,1),0))),"",DATE(設定!$C$2,設定!$D$2,15))</f>
        <v/>
      </c>
      <c r="B761" s="16">
        <f>IF($A761="","",INDEX(設定!$O$6:$O$12,WEEKDAY($A761,1)))</f>
        <v/>
      </c>
      <c r="C761" s="16">
        <f>IF($A761="","",助理班表!$A29)</f>
        <v/>
      </c>
      <c r="D761" s="16">
        <f>IF($C761="","",助理班表!$B29)</f>
        <v/>
      </c>
      <c r="E761" s="16">
        <f>IF($C761="","",助理班表!$D29)</f>
        <v/>
      </c>
      <c r="F761" s="16">
        <f>IF($C761="","",助理班表!$C29)</f>
        <v/>
      </c>
      <c r="G761" s="16">
        <f>IF($C761="","",助理班表!S29)</f>
        <v/>
      </c>
      <c r="H761" s="83">
        <f>IF($G761="","",IFERROR(IF(INDEX(設定!$D$6:$D$21,MATCH($G761,設定!$B$6:$B$21,0))=0,"",INDEX(設定!$D$6:$D$21,MATCH($G761,設定!$B$6:$B$21,0))),""))</f>
        <v/>
      </c>
      <c r="I761" s="83">
        <f>IF($G761="","",IFERROR(IF(INDEX(設定!$E$6:$E$21,MATCH($G761,設定!$B$6:$B$21,0))=0,"",INDEX(設定!$E$6:$E$21,MATCH($G761,設定!$B$6:$B$21,0))),""))</f>
        <v/>
      </c>
      <c r="J761" s="83">
        <f>IFERROR(INDEX(打卡匯入!$C$3:$C$2002,MATCH($C761&amp;"|"&amp;DAY($A761),打卡匯入!$E$3:$E$2002,0)),"")</f>
        <v/>
      </c>
      <c r="K761" s="83">
        <f>IFERROR(INDEX(打卡匯入!$D$3:$D$2002,MATCH($C761&amp;"|"&amp;DAY($A761),打卡匯入!$E$3:$E$2002,0)),"")</f>
        <v/>
      </c>
      <c r="L761" s="84">
        <f>IF(OR($J761="",$K761=""),"",IFERROR(INDEX(設定!$F$6:$F$21,MATCH($G761,設定!$B$6:$B$21,0)),0))</f>
        <v/>
      </c>
      <c r="M761" s="85">
        <f>IF(OR($J761="",$K761=""),"",ROUND(($K761-$J761)*24-$L761/60,2))</f>
        <v/>
      </c>
      <c r="N761" s="16">
        <f>IF($C761="","",IF(AND(COUNTIF(設定!$B$15:$B$21,$G761)&gt;0,$J761&lt;&gt;""),"假日出勤",IF(AND(COUNTIF(設定!$B$6:$B$14,$G761)&gt;0,$J761=""),"未打卡",IF($J761="","",IF($O761&gt;0,"遲到",IF($P761&gt;0,"早退","正常"))))))</f>
        <v/>
      </c>
      <c r="O761" s="84">
        <f>IF(OR($C761="",$H761="",$J761=""),0,IF(ROUND(($J761-$H761)*1440,0)&gt;設定!$C$46,ROUND(($J761-$H761)*1440,0),0))</f>
        <v/>
      </c>
      <c r="P761" s="84">
        <f>IF(OR($C761="",$I761="",$K761=""),0,IF(ROUND(($I761-$K761)*1440,0)&gt;設定!$C$46,ROUND(($I761-$K761)*1440,0),0))</f>
        <v/>
      </c>
      <c r="Q761" s="85">
        <f>IF($M761="",0,IF(($M761-IFERROR(INDEX(設定!$G$6:$G$21,MATCH($G761,設定!$B$6:$B$21,0)),0))*60&gt;=設定!$C$44,ROUND(FLOOR(($M761-IFERROR(INDEX(設定!$G$6:$G$21,MATCH($G761,設定!$B$6:$B$21,0)),0))*60,設定!$C$45)/60,2),0))</f>
        <v/>
      </c>
      <c r="R761" s="16">
        <f>IF(OR($C761="",$Q761=0),"",IF($G761="國","國定假日",IF($B761="日","例假",IF($B761="六","休息日","平日"))))</f>
        <v/>
      </c>
      <c r="S761" s="19" t="n"/>
    </row>
    <row r="762">
      <c r="A762" s="82">
        <f>IF(OR(助理班表!$A29="",16&gt;DAY(EOMONTH(DATE(設定!$C$2,設定!$D$2,1),0))),"",DATE(設定!$C$2,設定!$D$2,16))</f>
        <v/>
      </c>
      <c r="B762" s="16">
        <f>IF($A762="","",INDEX(設定!$O$6:$O$12,WEEKDAY($A762,1)))</f>
        <v/>
      </c>
      <c r="C762" s="16">
        <f>IF($A762="","",助理班表!$A29)</f>
        <v/>
      </c>
      <c r="D762" s="16">
        <f>IF($C762="","",助理班表!$B29)</f>
        <v/>
      </c>
      <c r="E762" s="16">
        <f>IF($C762="","",助理班表!$D29)</f>
        <v/>
      </c>
      <c r="F762" s="16">
        <f>IF($C762="","",助理班表!$C29)</f>
        <v/>
      </c>
      <c r="G762" s="16">
        <f>IF($C762="","",助理班表!T29)</f>
        <v/>
      </c>
      <c r="H762" s="83">
        <f>IF($G762="","",IFERROR(IF(INDEX(設定!$D$6:$D$21,MATCH($G762,設定!$B$6:$B$21,0))=0,"",INDEX(設定!$D$6:$D$21,MATCH($G762,設定!$B$6:$B$21,0))),""))</f>
        <v/>
      </c>
      <c r="I762" s="83">
        <f>IF($G762="","",IFERROR(IF(INDEX(設定!$E$6:$E$21,MATCH($G762,設定!$B$6:$B$21,0))=0,"",INDEX(設定!$E$6:$E$21,MATCH($G762,設定!$B$6:$B$21,0))),""))</f>
        <v/>
      </c>
      <c r="J762" s="83">
        <f>IFERROR(INDEX(打卡匯入!$C$3:$C$2002,MATCH($C762&amp;"|"&amp;DAY($A762),打卡匯入!$E$3:$E$2002,0)),"")</f>
        <v/>
      </c>
      <c r="K762" s="83">
        <f>IFERROR(INDEX(打卡匯入!$D$3:$D$2002,MATCH($C762&amp;"|"&amp;DAY($A762),打卡匯入!$E$3:$E$2002,0)),"")</f>
        <v/>
      </c>
      <c r="L762" s="84">
        <f>IF(OR($J762="",$K762=""),"",IFERROR(INDEX(設定!$F$6:$F$21,MATCH($G762,設定!$B$6:$B$21,0)),0))</f>
        <v/>
      </c>
      <c r="M762" s="85">
        <f>IF(OR($J762="",$K762=""),"",ROUND(($K762-$J762)*24-$L762/60,2))</f>
        <v/>
      </c>
      <c r="N762" s="16">
        <f>IF($C762="","",IF(AND(COUNTIF(設定!$B$15:$B$21,$G762)&gt;0,$J762&lt;&gt;""),"假日出勤",IF(AND(COUNTIF(設定!$B$6:$B$14,$G762)&gt;0,$J762=""),"未打卡",IF($J762="","",IF($O762&gt;0,"遲到",IF($P762&gt;0,"早退","正常"))))))</f>
        <v/>
      </c>
      <c r="O762" s="84">
        <f>IF(OR($C762="",$H762="",$J762=""),0,IF(ROUND(($J762-$H762)*1440,0)&gt;設定!$C$46,ROUND(($J762-$H762)*1440,0),0))</f>
        <v/>
      </c>
      <c r="P762" s="84">
        <f>IF(OR($C762="",$I762="",$K762=""),0,IF(ROUND(($I762-$K762)*1440,0)&gt;設定!$C$46,ROUND(($I762-$K762)*1440,0),0))</f>
        <v/>
      </c>
      <c r="Q762" s="85">
        <f>IF($M762="",0,IF(($M762-IFERROR(INDEX(設定!$G$6:$G$21,MATCH($G762,設定!$B$6:$B$21,0)),0))*60&gt;=設定!$C$44,ROUND(FLOOR(($M762-IFERROR(INDEX(設定!$G$6:$G$21,MATCH($G762,設定!$B$6:$B$21,0)),0))*60,設定!$C$45)/60,2),0))</f>
        <v/>
      </c>
      <c r="R762" s="16">
        <f>IF(OR($C762="",$Q762=0),"",IF($G762="國","國定假日",IF($B762="日","例假",IF($B762="六","休息日","平日"))))</f>
        <v/>
      </c>
      <c r="S762" s="19" t="n"/>
    </row>
    <row r="763">
      <c r="A763" s="82">
        <f>IF(OR(助理班表!$A29="",17&gt;DAY(EOMONTH(DATE(設定!$C$2,設定!$D$2,1),0))),"",DATE(設定!$C$2,設定!$D$2,17))</f>
        <v/>
      </c>
      <c r="B763" s="16">
        <f>IF($A763="","",INDEX(設定!$O$6:$O$12,WEEKDAY($A763,1)))</f>
        <v/>
      </c>
      <c r="C763" s="16">
        <f>IF($A763="","",助理班表!$A29)</f>
        <v/>
      </c>
      <c r="D763" s="16">
        <f>IF($C763="","",助理班表!$B29)</f>
        <v/>
      </c>
      <c r="E763" s="16">
        <f>IF($C763="","",助理班表!$D29)</f>
        <v/>
      </c>
      <c r="F763" s="16">
        <f>IF($C763="","",助理班表!$C29)</f>
        <v/>
      </c>
      <c r="G763" s="16">
        <f>IF($C763="","",助理班表!U29)</f>
        <v/>
      </c>
      <c r="H763" s="83">
        <f>IF($G763="","",IFERROR(IF(INDEX(設定!$D$6:$D$21,MATCH($G763,設定!$B$6:$B$21,0))=0,"",INDEX(設定!$D$6:$D$21,MATCH($G763,設定!$B$6:$B$21,0))),""))</f>
        <v/>
      </c>
      <c r="I763" s="83">
        <f>IF($G763="","",IFERROR(IF(INDEX(設定!$E$6:$E$21,MATCH($G763,設定!$B$6:$B$21,0))=0,"",INDEX(設定!$E$6:$E$21,MATCH($G763,設定!$B$6:$B$21,0))),""))</f>
        <v/>
      </c>
      <c r="J763" s="83">
        <f>IFERROR(INDEX(打卡匯入!$C$3:$C$2002,MATCH($C763&amp;"|"&amp;DAY($A763),打卡匯入!$E$3:$E$2002,0)),"")</f>
        <v/>
      </c>
      <c r="K763" s="83">
        <f>IFERROR(INDEX(打卡匯入!$D$3:$D$2002,MATCH($C763&amp;"|"&amp;DAY($A763),打卡匯入!$E$3:$E$2002,0)),"")</f>
        <v/>
      </c>
      <c r="L763" s="84">
        <f>IF(OR($J763="",$K763=""),"",IFERROR(INDEX(設定!$F$6:$F$21,MATCH($G763,設定!$B$6:$B$21,0)),0))</f>
        <v/>
      </c>
      <c r="M763" s="85">
        <f>IF(OR($J763="",$K763=""),"",ROUND(($K763-$J763)*24-$L763/60,2))</f>
        <v/>
      </c>
      <c r="N763" s="16">
        <f>IF($C763="","",IF(AND(COUNTIF(設定!$B$15:$B$21,$G763)&gt;0,$J763&lt;&gt;""),"假日出勤",IF(AND(COUNTIF(設定!$B$6:$B$14,$G763)&gt;0,$J763=""),"未打卡",IF($J763="","",IF($O763&gt;0,"遲到",IF($P763&gt;0,"早退","正常"))))))</f>
        <v/>
      </c>
      <c r="O763" s="84">
        <f>IF(OR($C763="",$H763="",$J763=""),0,IF(ROUND(($J763-$H763)*1440,0)&gt;設定!$C$46,ROUND(($J763-$H763)*1440,0),0))</f>
        <v/>
      </c>
      <c r="P763" s="84">
        <f>IF(OR($C763="",$I763="",$K763=""),0,IF(ROUND(($I763-$K763)*1440,0)&gt;設定!$C$46,ROUND(($I763-$K763)*1440,0),0))</f>
        <v/>
      </c>
      <c r="Q763" s="85">
        <f>IF($M763="",0,IF(($M763-IFERROR(INDEX(設定!$G$6:$G$21,MATCH($G763,設定!$B$6:$B$21,0)),0))*60&gt;=設定!$C$44,ROUND(FLOOR(($M763-IFERROR(INDEX(設定!$G$6:$G$21,MATCH($G763,設定!$B$6:$B$21,0)),0))*60,設定!$C$45)/60,2),0))</f>
        <v/>
      </c>
      <c r="R763" s="16">
        <f>IF(OR($C763="",$Q763=0),"",IF($G763="國","國定假日",IF($B763="日","例假",IF($B763="六","休息日","平日"))))</f>
        <v/>
      </c>
      <c r="S763" s="19" t="n"/>
    </row>
    <row r="764">
      <c r="A764" s="82">
        <f>IF(OR(助理班表!$A29="",18&gt;DAY(EOMONTH(DATE(設定!$C$2,設定!$D$2,1),0))),"",DATE(設定!$C$2,設定!$D$2,18))</f>
        <v/>
      </c>
      <c r="B764" s="16">
        <f>IF($A764="","",INDEX(設定!$O$6:$O$12,WEEKDAY($A764,1)))</f>
        <v/>
      </c>
      <c r="C764" s="16">
        <f>IF($A764="","",助理班表!$A29)</f>
        <v/>
      </c>
      <c r="D764" s="16">
        <f>IF($C764="","",助理班表!$B29)</f>
        <v/>
      </c>
      <c r="E764" s="16">
        <f>IF($C764="","",助理班表!$D29)</f>
        <v/>
      </c>
      <c r="F764" s="16">
        <f>IF($C764="","",助理班表!$C29)</f>
        <v/>
      </c>
      <c r="G764" s="16">
        <f>IF($C764="","",助理班表!V29)</f>
        <v/>
      </c>
      <c r="H764" s="83">
        <f>IF($G764="","",IFERROR(IF(INDEX(設定!$D$6:$D$21,MATCH($G764,設定!$B$6:$B$21,0))=0,"",INDEX(設定!$D$6:$D$21,MATCH($G764,設定!$B$6:$B$21,0))),""))</f>
        <v/>
      </c>
      <c r="I764" s="83">
        <f>IF($G764="","",IFERROR(IF(INDEX(設定!$E$6:$E$21,MATCH($G764,設定!$B$6:$B$21,0))=0,"",INDEX(設定!$E$6:$E$21,MATCH($G764,設定!$B$6:$B$21,0))),""))</f>
        <v/>
      </c>
      <c r="J764" s="83">
        <f>IFERROR(INDEX(打卡匯入!$C$3:$C$2002,MATCH($C764&amp;"|"&amp;DAY($A764),打卡匯入!$E$3:$E$2002,0)),"")</f>
        <v/>
      </c>
      <c r="K764" s="83">
        <f>IFERROR(INDEX(打卡匯入!$D$3:$D$2002,MATCH($C764&amp;"|"&amp;DAY($A764),打卡匯入!$E$3:$E$2002,0)),"")</f>
        <v/>
      </c>
      <c r="L764" s="84">
        <f>IF(OR($J764="",$K764=""),"",IFERROR(INDEX(設定!$F$6:$F$21,MATCH($G764,設定!$B$6:$B$21,0)),0))</f>
        <v/>
      </c>
      <c r="M764" s="85">
        <f>IF(OR($J764="",$K764=""),"",ROUND(($K764-$J764)*24-$L764/60,2))</f>
        <v/>
      </c>
      <c r="N764" s="16">
        <f>IF($C764="","",IF(AND(COUNTIF(設定!$B$15:$B$21,$G764)&gt;0,$J764&lt;&gt;""),"假日出勤",IF(AND(COUNTIF(設定!$B$6:$B$14,$G764)&gt;0,$J764=""),"未打卡",IF($J764="","",IF($O764&gt;0,"遲到",IF($P764&gt;0,"早退","正常"))))))</f>
        <v/>
      </c>
      <c r="O764" s="84">
        <f>IF(OR($C764="",$H764="",$J764=""),0,IF(ROUND(($J764-$H764)*1440,0)&gt;設定!$C$46,ROUND(($J764-$H764)*1440,0),0))</f>
        <v/>
      </c>
      <c r="P764" s="84">
        <f>IF(OR($C764="",$I764="",$K764=""),0,IF(ROUND(($I764-$K764)*1440,0)&gt;設定!$C$46,ROUND(($I764-$K764)*1440,0),0))</f>
        <v/>
      </c>
      <c r="Q764" s="85">
        <f>IF($M764="",0,IF(($M764-IFERROR(INDEX(設定!$G$6:$G$21,MATCH($G764,設定!$B$6:$B$21,0)),0))*60&gt;=設定!$C$44,ROUND(FLOOR(($M764-IFERROR(INDEX(設定!$G$6:$G$21,MATCH($G764,設定!$B$6:$B$21,0)),0))*60,設定!$C$45)/60,2),0))</f>
        <v/>
      </c>
      <c r="R764" s="16">
        <f>IF(OR($C764="",$Q764=0),"",IF($G764="國","國定假日",IF($B764="日","例假",IF($B764="六","休息日","平日"))))</f>
        <v/>
      </c>
      <c r="S764" s="19" t="n"/>
    </row>
    <row r="765">
      <c r="A765" s="82">
        <f>IF(OR(助理班表!$A29="",19&gt;DAY(EOMONTH(DATE(設定!$C$2,設定!$D$2,1),0))),"",DATE(設定!$C$2,設定!$D$2,19))</f>
        <v/>
      </c>
      <c r="B765" s="16">
        <f>IF($A765="","",INDEX(設定!$O$6:$O$12,WEEKDAY($A765,1)))</f>
        <v/>
      </c>
      <c r="C765" s="16">
        <f>IF($A765="","",助理班表!$A29)</f>
        <v/>
      </c>
      <c r="D765" s="16">
        <f>IF($C765="","",助理班表!$B29)</f>
        <v/>
      </c>
      <c r="E765" s="16">
        <f>IF($C765="","",助理班表!$D29)</f>
        <v/>
      </c>
      <c r="F765" s="16">
        <f>IF($C765="","",助理班表!$C29)</f>
        <v/>
      </c>
      <c r="G765" s="16">
        <f>IF($C765="","",助理班表!W29)</f>
        <v/>
      </c>
      <c r="H765" s="83">
        <f>IF($G765="","",IFERROR(IF(INDEX(設定!$D$6:$D$21,MATCH($G765,設定!$B$6:$B$21,0))=0,"",INDEX(設定!$D$6:$D$21,MATCH($G765,設定!$B$6:$B$21,0))),""))</f>
        <v/>
      </c>
      <c r="I765" s="83">
        <f>IF($G765="","",IFERROR(IF(INDEX(設定!$E$6:$E$21,MATCH($G765,設定!$B$6:$B$21,0))=0,"",INDEX(設定!$E$6:$E$21,MATCH($G765,設定!$B$6:$B$21,0))),""))</f>
        <v/>
      </c>
      <c r="J765" s="83">
        <f>IFERROR(INDEX(打卡匯入!$C$3:$C$2002,MATCH($C765&amp;"|"&amp;DAY($A765),打卡匯入!$E$3:$E$2002,0)),"")</f>
        <v/>
      </c>
      <c r="K765" s="83">
        <f>IFERROR(INDEX(打卡匯入!$D$3:$D$2002,MATCH($C765&amp;"|"&amp;DAY($A765),打卡匯入!$E$3:$E$2002,0)),"")</f>
        <v/>
      </c>
      <c r="L765" s="84">
        <f>IF(OR($J765="",$K765=""),"",IFERROR(INDEX(設定!$F$6:$F$21,MATCH($G765,設定!$B$6:$B$21,0)),0))</f>
        <v/>
      </c>
      <c r="M765" s="85">
        <f>IF(OR($J765="",$K765=""),"",ROUND(($K765-$J765)*24-$L765/60,2))</f>
        <v/>
      </c>
      <c r="N765" s="16">
        <f>IF($C765="","",IF(AND(COUNTIF(設定!$B$15:$B$21,$G765)&gt;0,$J765&lt;&gt;""),"假日出勤",IF(AND(COUNTIF(設定!$B$6:$B$14,$G765)&gt;0,$J765=""),"未打卡",IF($J765="","",IF($O765&gt;0,"遲到",IF($P765&gt;0,"早退","正常"))))))</f>
        <v/>
      </c>
      <c r="O765" s="84">
        <f>IF(OR($C765="",$H765="",$J765=""),0,IF(ROUND(($J765-$H765)*1440,0)&gt;設定!$C$46,ROUND(($J765-$H765)*1440,0),0))</f>
        <v/>
      </c>
      <c r="P765" s="84">
        <f>IF(OR($C765="",$I765="",$K765=""),0,IF(ROUND(($I765-$K765)*1440,0)&gt;設定!$C$46,ROUND(($I765-$K765)*1440,0),0))</f>
        <v/>
      </c>
      <c r="Q765" s="85">
        <f>IF($M765="",0,IF(($M765-IFERROR(INDEX(設定!$G$6:$G$21,MATCH($G765,設定!$B$6:$B$21,0)),0))*60&gt;=設定!$C$44,ROUND(FLOOR(($M765-IFERROR(INDEX(設定!$G$6:$G$21,MATCH($G765,設定!$B$6:$B$21,0)),0))*60,設定!$C$45)/60,2),0))</f>
        <v/>
      </c>
      <c r="R765" s="16">
        <f>IF(OR($C765="",$Q765=0),"",IF($G765="國","國定假日",IF($B765="日","例假",IF($B765="六","休息日","平日"))))</f>
        <v/>
      </c>
      <c r="S765" s="19" t="n"/>
    </row>
    <row r="766">
      <c r="A766" s="82">
        <f>IF(OR(助理班表!$A29="",20&gt;DAY(EOMONTH(DATE(設定!$C$2,設定!$D$2,1),0))),"",DATE(設定!$C$2,設定!$D$2,20))</f>
        <v/>
      </c>
      <c r="B766" s="16">
        <f>IF($A766="","",INDEX(設定!$O$6:$O$12,WEEKDAY($A766,1)))</f>
        <v/>
      </c>
      <c r="C766" s="16">
        <f>IF($A766="","",助理班表!$A29)</f>
        <v/>
      </c>
      <c r="D766" s="16">
        <f>IF($C766="","",助理班表!$B29)</f>
        <v/>
      </c>
      <c r="E766" s="16">
        <f>IF($C766="","",助理班表!$D29)</f>
        <v/>
      </c>
      <c r="F766" s="16">
        <f>IF($C766="","",助理班表!$C29)</f>
        <v/>
      </c>
      <c r="G766" s="16">
        <f>IF($C766="","",助理班表!X29)</f>
        <v/>
      </c>
      <c r="H766" s="83">
        <f>IF($G766="","",IFERROR(IF(INDEX(設定!$D$6:$D$21,MATCH($G766,設定!$B$6:$B$21,0))=0,"",INDEX(設定!$D$6:$D$21,MATCH($G766,設定!$B$6:$B$21,0))),""))</f>
        <v/>
      </c>
      <c r="I766" s="83">
        <f>IF($G766="","",IFERROR(IF(INDEX(設定!$E$6:$E$21,MATCH($G766,設定!$B$6:$B$21,0))=0,"",INDEX(設定!$E$6:$E$21,MATCH($G766,設定!$B$6:$B$21,0))),""))</f>
        <v/>
      </c>
      <c r="J766" s="83">
        <f>IFERROR(INDEX(打卡匯入!$C$3:$C$2002,MATCH($C766&amp;"|"&amp;DAY($A766),打卡匯入!$E$3:$E$2002,0)),"")</f>
        <v/>
      </c>
      <c r="K766" s="83">
        <f>IFERROR(INDEX(打卡匯入!$D$3:$D$2002,MATCH($C766&amp;"|"&amp;DAY($A766),打卡匯入!$E$3:$E$2002,0)),"")</f>
        <v/>
      </c>
      <c r="L766" s="84">
        <f>IF(OR($J766="",$K766=""),"",IFERROR(INDEX(設定!$F$6:$F$21,MATCH($G766,設定!$B$6:$B$21,0)),0))</f>
        <v/>
      </c>
      <c r="M766" s="85">
        <f>IF(OR($J766="",$K766=""),"",ROUND(($K766-$J766)*24-$L766/60,2))</f>
        <v/>
      </c>
      <c r="N766" s="16">
        <f>IF($C766="","",IF(AND(COUNTIF(設定!$B$15:$B$21,$G766)&gt;0,$J766&lt;&gt;""),"假日出勤",IF(AND(COUNTIF(設定!$B$6:$B$14,$G766)&gt;0,$J766=""),"未打卡",IF($J766="","",IF($O766&gt;0,"遲到",IF($P766&gt;0,"早退","正常"))))))</f>
        <v/>
      </c>
      <c r="O766" s="84">
        <f>IF(OR($C766="",$H766="",$J766=""),0,IF(ROUND(($J766-$H766)*1440,0)&gt;設定!$C$46,ROUND(($J766-$H766)*1440,0),0))</f>
        <v/>
      </c>
      <c r="P766" s="84">
        <f>IF(OR($C766="",$I766="",$K766=""),0,IF(ROUND(($I766-$K766)*1440,0)&gt;設定!$C$46,ROUND(($I766-$K766)*1440,0),0))</f>
        <v/>
      </c>
      <c r="Q766" s="85">
        <f>IF($M766="",0,IF(($M766-IFERROR(INDEX(設定!$G$6:$G$21,MATCH($G766,設定!$B$6:$B$21,0)),0))*60&gt;=設定!$C$44,ROUND(FLOOR(($M766-IFERROR(INDEX(設定!$G$6:$G$21,MATCH($G766,設定!$B$6:$B$21,0)),0))*60,設定!$C$45)/60,2),0))</f>
        <v/>
      </c>
      <c r="R766" s="16">
        <f>IF(OR($C766="",$Q766=0),"",IF($G766="國","國定假日",IF($B766="日","例假",IF($B766="六","休息日","平日"))))</f>
        <v/>
      </c>
      <c r="S766" s="19" t="n"/>
    </row>
    <row r="767">
      <c r="A767" s="82">
        <f>IF(OR(助理班表!$A29="",21&gt;DAY(EOMONTH(DATE(設定!$C$2,設定!$D$2,1),0))),"",DATE(設定!$C$2,設定!$D$2,21))</f>
        <v/>
      </c>
      <c r="B767" s="16">
        <f>IF($A767="","",INDEX(設定!$O$6:$O$12,WEEKDAY($A767,1)))</f>
        <v/>
      </c>
      <c r="C767" s="16">
        <f>IF($A767="","",助理班表!$A29)</f>
        <v/>
      </c>
      <c r="D767" s="16">
        <f>IF($C767="","",助理班表!$B29)</f>
        <v/>
      </c>
      <c r="E767" s="16">
        <f>IF($C767="","",助理班表!$D29)</f>
        <v/>
      </c>
      <c r="F767" s="16">
        <f>IF($C767="","",助理班表!$C29)</f>
        <v/>
      </c>
      <c r="G767" s="16">
        <f>IF($C767="","",助理班表!Y29)</f>
        <v/>
      </c>
      <c r="H767" s="83">
        <f>IF($G767="","",IFERROR(IF(INDEX(設定!$D$6:$D$21,MATCH($G767,設定!$B$6:$B$21,0))=0,"",INDEX(設定!$D$6:$D$21,MATCH($G767,設定!$B$6:$B$21,0))),""))</f>
        <v/>
      </c>
      <c r="I767" s="83">
        <f>IF($G767="","",IFERROR(IF(INDEX(設定!$E$6:$E$21,MATCH($G767,設定!$B$6:$B$21,0))=0,"",INDEX(設定!$E$6:$E$21,MATCH($G767,設定!$B$6:$B$21,0))),""))</f>
        <v/>
      </c>
      <c r="J767" s="83">
        <f>IFERROR(INDEX(打卡匯入!$C$3:$C$2002,MATCH($C767&amp;"|"&amp;DAY($A767),打卡匯入!$E$3:$E$2002,0)),"")</f>
        <v/>
      </c>
      <c r="K767" s="83">
        <f>IFERROR(INDEX(打卡匯入!$D$3:$D$2002,MATCH($C767&amp;"|"&amp;DAY($A767),打卡匯入!$E$3:$E$2002,0)),"")</f>
        <v/>
      </c>
      <c r="L767" s="84">
        <f>IF(OR($J767="",$K767=""),"",IFERROR(INDEX(設定!$F$6:$F$21,MATCH($G767,設定!$B$6:$B$21,0)),0))</f>
        <v/>
      </c>
      <c r="M767" s="85">
        <f>IF(OR($J767="",$K767=""),"",ROUND(($K767-$J767)*24-$L767/60,2))</f>
        <v/>
      </c>
      <c r="N767" s="16">
        <f>IF($C767="","",IF(AND(COUNTIF(設定!$B$15:$B$21,$G767)&gt;0,$J767&lt;&gt;""),"假日出勤",IF(AND(COUNTIF(設定!$B$6:$B$14,$G767)&gt;0,$J767=""),"未打卡",IF($J767="","",IF($O767&gt;0,"遲到",IF($P767&gt;0,"早退","正常"))))))</f>
        <v/>
      </c>
      <c r="O767" s="84">
        <f>IF(OR($C767="",$H767="",$J767=""),0,IF(ROUND(($J767-$H767)*1440,0)&gt;設定!$C$46,ROUND(($J767-$H767)*1440,0),0))</f>
        <v/>
      </c>
      <c r="P767" s="84">
        <f>IF(OR($C767="",$I767="",$K767=""),0,IF(ROUND(($I767-$K767)*1440,0)&gt;設定!$C$46,ROUND(($I767-$K767)*1440,0),0))</f>
        <v/>
      </c>
      <c r="Q767" s="85">
        <f>IF($M767="",0,IF(($M767-IFERROR(INDEX(設定!$G$6:$G$21,MATCH($G767,設定!$B$6:$B$21,0)),0))*60&gt;=設定!$C$44,ROUND(FLOOR(($M767-IFERROR(INDEX(設定!$G$6:$G$21,MATCH($G767,設定!$B$6:$B$21,0)),0))*60,設定!$C$45)/60,2),0))</f>
        <v/>
      </c>
      <c r="R767" s="16">
        <f>IF(OR($C767="",$Q767=0),"",IF($G767="國","國定假日",IF($B767="日","例假",IF($B767="六","休息日","平日"))))</f>
        <v/>
      </c>
      <c r="S767" s="19" t="n"/>
    </row>
    <row r="768">
      <c r="A768" s="82">
        <f>IF(OR(助理班表!$A29="",22&gt;DAY(EOMONTH(DATE(設定!$C$2,設定!$D$2,1),0))),"",DATE(設定!$C$2,設定!$D$2,22))</f>
        <v/>
      </c>
      <c r="B768" s="16">
        <f>IF($A768="","",INDEX(設定!$O$6:$O$12,WEEKDAY($A768,1)))</f>
        <v/>
      </c>
      <c r="C768" s="16">
        <f>IF($A768="","",助理班表!$A29)</f>
        <v/>
      </c>
      <c r="D768" s="16">
        <f>IF($C768="","",助理班表!$B29)</f>
        <v/>
      </c>
      <c r="E768" s="16">
        <f>IF($C768="","",助理班表!$D29)</f>
        <v/>
      </c>
      <c r="F768" s="16">
        <f>IF($C768="","",助理班表!$C29)</f>
        <v/>
      </c>
      <c r="G768" s="16">
        <f>IF($C768="","",助理班表!Z29)</f>
        <v/>
      </c>
      <c r="H768" s="83">
        <f>IF($G768="","",IFERROR(IF(INDEX(設定!$D$6:$D$21,MATCH($G768,設定!$B$6:$B$21,0))=0,"",INDEX(設定!$D$6:$D$21,MATCH($G768,設定!$B$6:$B$21,0))),""))</f>
        <v/>
      </c>
      <c r="I768" s="83">
        <f>IF($G768="","",IFERROR(IF(INDEX(設定!$E$6:$E$21,MATCH($G768,設定!$B$6:$B$21,0))=0,"",INDEX(設定!$E$6:$E$21,MATCH($G768,設定!$B$6:$B$21,0))),""))</f>
        <v/>
      </c>
      <c r="J768" s="83">
        <f>IFERROR(INDEX(打卡匯入!$C$3:$C$2002,MATCH($C768&amp;"|"&amp;DAY($A768),打卡匯入!$E$3:$E$2002,0)),"")</f>
        <v/>
      </c>
      <c r="K768" s="83">
        <f>IFERROR(INDEX(打卡匯入!$D$3:$D$2002,MATCH($C768&amp;"|"&amp;DAY($A768),打卡匯入!$E$3:$E$2002,0)),"")</f>
        <v/>
      </c>
      <c r="L768" s="84">
        <f>IF(OR($J768="",$K768=""),"",IFERROR(INDEX(設定!$F$6:$F$21,MATCH($G768,設定!$B$6:$B$21,0)),0))</f>
        <v/>
      </c>
      <c r="M768" s="85">
        <f>IF(OR($J768="",$K768=""),"",ROUND(($K768-$J768)*24-$L768/60,2))</f>
        <v/>
      </c>
      <c r="N768" s="16">
        <f>IF($C768="","",IF(AND(COUNTIF(設定!$B$15:$B$21,$G768)&gt;0,$J768&lt;&gt;""),"假日出勤",IF(AND(COUNTIF(設定!$B$6:$B$14,$G768)&gt;0,$J768=""),"未打卡",IF($J768="","",IF($O768&gt;0,"遲到",IF($P768&gt;0,"早退","正常"))))))</f>
        <v/>
      </c>
      <c r="O768" s="84">
        <f>IF(OR($C768="",$H768="",$J768=""),0,IF(ROUND(($J768-$H768)*1440,0)&gt;設定!$C$46,ROUND(($J768-$H768)*1440,0),0))</f>
        <v/>
      </c>
      <c r="P768" s="84">
        <f>IF(OR($C768="",$I768="",$K768=""),0,IF(ROUND(($I768-$K768)*1440,0)&gt;設定!$C$46,ROUND(($I768-$K768)*1440,0),0))</f>
        <v/>
      </c>
      <c r="Q768" s="85">
        <f>IF($M768="",0,IF(($M768-IFERROR(INDEX(設定!$G$6:$G$21,MATCH($G768,設定!$B$6:$B$21,0)),0))*60&gt;=設定!$C$44,ROUND(FLOOR(($M768-IFERROR(INDEX(設定!$G$6:$G$21,MATCH($G768,設定!$B$6:$B$21,0)),0))*60,設定!$C$45)/60,2),0))</f>
        <v/>
      </c>
      <c r="R768" s="16">
        <f>IF(OR($C768="",$Q768=0),"",IF($G768="國","國定假日",IF($B768="日","例假",IF($B768="六","休息日","平日"))))</f>
        <v/>
      </c>
      <c r="S768" s="19" t="n"/>
    </row>
    <row r="769">
      <c r="A769" s="82">
        <f>IF(OR(助理班表!$A29="",23&gt;DAY(EOMONTH(DATE(設定!$C$2,設定!$D$2,1),0))),"",DATE(設定!$C$2,設定!$D$2,23))</f>
        <v/>
      </c>
      <c r="B769" s="16">
        <f>IF($A769="","",INDEX(設定!$O$6:$O$12,WEEKDAY($A769,1)))</f>
        <v/>
      </c>
      <c r="C769" s="16">
        <f>IF($A769="","",助理班表!$A29)</f>
        <v/>
      </c>
      <c r="D769" s="16">
        <f>IF($C769="","",助理班表!$B29)</f>
        <v/>
      </c>
      <c r="E769" s="16">
        <f>IF($C769="","",助理班表!$D29)</f>
        <v/>
      </c>
      <c r="F769" s="16">
        <f>IF($C769="","",助理班表!$C29)</f>
        <v/>
      </c>
      <c r="G769" s="16">
        <f>IF($C769="","",助理班表!AA29)</f>
        <v/>
      </c>
      <c r="H769" s="83">
        <f>IF($G769="","",IFERROR(IF(INDEX(設定!$D$6:$D$21,MATCH($G769,設定!$B$6:$B$21,0))=0,"",INDEX(設定!$D$6:$D$21,MATCH($G769,設定!$B$6:$B$21,0))),""))</f>
        <v/>
      </c>
      <c r="I769" s="83">
        <f>IF($G769="","",IFERROR(IF(INDEX(設定!$E$6:$E$21,MATCH($G769,設定!$B$6:$B$21,0))=0,"",INDEX(設定!$E$6:$E$21,MATCH($G769,設定!$B$6:$B$21,0))),""))</f>
        <v/>
      </c>
      <c r="J769" s="83">
        <f>IFERROR(INDEX(打卡匯入!$C$3:$C$2002,MATCH($C769&amp;"|"&amp;DAY($A769),打卡匯入!$E$3:$E$2002,0)),"")</f>
        <v/>
      </c>
      <c r="K769" s="83">
        <f>IFERROR(INDEX(打卡匯入!$D$3:$D$2002,MATCH($C769&amp;"|"&amp;DAY($A769),打卡匯入!$E$3:$E$2002,0)),"")</f>
        <v/>
      </c>
      <c r="L769" s="84">
        <f>IF(OR($J769="",$K769=""),"",IFERROR(INDEX(設定!$F$6:$F$21,MATCH($G769,設定!$B$6:$B$21,0)),0))</f>
        <v/>
      </c>
      <c r="M769" s="85">
        <f>IF(OR($J769="",$K769=""),"",ROUND(($K769-$J769)*24-$L769/60,2))</f>
        <v/>
      </c>
      <c r="N769" s="16">
        <f>IF($C769="","",IF(AND(COUNTIF(設定!$B$15:$B$21,$G769)&gt;0,$J769&lt;&gt;""),"假日出勤",IF(AND(COUNTIF(設定!$B$6:$B$14,$G769)&gt;0,$J769=""),"未打卡",IF($J769="","",IF($O769&gt;0,"遲到",IF($P769&gt;0,"早退","正常"))))))</f>
        <v/>
      </c>
      <c r="O769" s="84">
        <f>IF(OR($C769="",$H769="",$J769=""),0,IF(ROUND(($J769-$H769)*1440,0)&gt;設定!$C$46,ROUND(($J769-$H769)*1440,0),0))</f>
        <v/>
      </c>
      <c r="P769" s="84">
        <f>IF(OR($C769="",$I769="",$K769=""),0,IF(ROUND(($I769-$K769)*1440,0)&gt;設定!$C$46,ROUND(($I769-$K769)*1440,0),0))</f>
        <v/>
      </c>
      <c r="Q769" s="85">
        <f>IF($M769="",0,IF(($M769-IFERROR(INDEX(設定!$G$6:$G$21,MATCH($G769,設定!$B$6:$B$21,0)),0))*60&gt;=設定!$C$44,ROUND(FLOOR(($M769-IFERROR(INDEX(設定!$G$6:$G$21,MATCH($G769,設定!$B$6:$B$21,0)),0))*60,設定!$C$45)/60,2),0))</f>
        <v/>
      </c>
      <c r="R769" s="16">
        <f>IF(OR($C769="",$Q769=0),"",IF($G769="國","國定假日",IF($B769="日","例假",IF($B769="六","休息日","平日"))))</f>
        <v/>
      </c>
      <c r="S769" s="19" t="n"/>
    </row>
    <row r="770">
      <c r="A770" s="82">
        <f>IF(OR(助理班表!$A29="",24&gt;DAY(EOMONTH(DATE(設定!$C$2,設定!$D$2,1),0))),"",DATE(設定!$C$2,設定!$D$2,24))</f>
        <v/>
      </c>
      <c r="B770" s="16">
        <f>IF($A770="","",INDEX(設定!$O$6:$O$12,WEEKDAY($A770,1)))</f>
        <v/>
      </c>
      <c r="C770" s="16">
        <f>IF($A770="","",助理班表!$A29)</f>
        <v/>
      </c>
      <c r="D770" s="16">
        <f>IF($C770="","",助理班表!$B29)</f>
        <v/>
      </c>
      <c r="E770" s="16">
        <f>IF($C770="","",助理班表!$D29)</f>
        <v/>
      </c>
      <c r="F770" s="16">
        <f>IF($C770="","",助理班表!$C29)</f>
        <v/>
      </c>
      <c r="G770" s="16">
        <f>IF($C770="","",助理班表!AB29)</f>
        <v/>
      </c>
      <c r="H770" s="83">
        <f>IF($G770="","",IFERROR(IF(INDEX(設定!$D$6:$D$21,MATCH($G770,設定!$B$6:$B$21,0))=0,"",INDEX(設定!$D$6:$D$21,MATCH($G770,設定!$B$6:$B$21,0))),""))</f>
        <v/>
      </c>
      <c r="I770" s="83">
        <f>IF($G770="","",IFERROR(IF(INDEX(設定!$E$6:$E$21,MATCH($G770,設定!$B$6:$B$21,0))=0,"",INDEX(設定!$E$6:$E$21,MATCH($G770,設定!$B$6:$B$21,0))),""))</f>
        <v/>
      </c>
      <c r="J770" s="83">
        <f>IFERROR(INDEX(打卡匯入!$C$3:$C$2002,MATCH($C770&amp;"|"&amp;DAY($A770),打卡匯入!$E$3:$E$2002,0)),"")</f>
        <v/>
      </c>
      <c r="K770" s="83">
        <f>IFERROR(INDEX(打卡匯入!$D$3:$D$2002,MATCH($C770&amp;"|"&amp;DAY($A770),打卡匯入!$E$3:$E$2002,0)),"")</f>
        <v/>
      </c>
      <c r="L770" s="84">
        <f>IF(OR($J770="",$K770=""),"",IFERROR(INDEX(設定!$F$6:$F$21,MATCH($G770,設定!$B$6:$B$21,0)),0))</f>
        <v/>
      </c>
      <c r="M770" s="85">
        <f>IF(OR($J770="",$K770=""),"",ROUND(($K770-$J770)*24-$L770/60,2))</f>
        <v/>
      </c>
      <c r="N770" s="16">
        <f>IF($C770="","",IF(AND(COUNTIF(設定!$B$15:$B$21,$G770)&gt;0,$J770&lt;&gt;""),"假日出勤",IF(AND(COUNTIF(設定!$B$6:$B$14,$G770)&gt;0,$J770=""),"未打卡",IF($J770="","",IF($O770&gt;0,"遲到",IF($P770&gt;0,"早退","正常"))))))</f>
        <v/>
      </c>
      <c r="O770" s="84">
        <f>IF(OR($C770="",$H770="",$J770=""),0,IF(ROUND(($J770-$H770)*1440,0)&gt;設定!$C$46,ROUND(($J770-$H770)*1440,0),0))</f>
        <v/>
      </c>
      <c r="P770" s="84">
        <f>IF(OR($C770="",$I770="",$K770=""),0,IF(ROUND(($I770-$K770)*1440,0)&gt;設定!$C$46,ROUND(($I770-$K770)*1440,0),0))</f>
        <v/>
      </c>
      <c r="Q770" s="85">
        <f>IF($M770="",0,IF(($M770-IFERROR(INDEX(設定!$G$6:$G$21,MATCH($G770,設定!$B$6:$B$21,0)),0))*60&gt;=設定!$C$44,ROUND(FLOOR(($M770-IFERROR(INDEX(設定!$G$6:$G$21,MATCH($G770,設定!$B$6:$B$21,0)),0))*60,設定!$C$45)/60,2),0))</f>
        <v/>
      </c>
      <c r="R770" s="16">
        <f>IF(OR($C770="",$Q770=0),"",IF($G770="國","國定假日",IF($B770="日","例假",IF($B770="六","休息日","平日"))))</f>
        <v/>
      </c>
      <c r="S770" s="19" t="n"/>
    </row>
    <row r="771">
      <c r="A771" s="82">
        <f>IF(OR(助理班表!$A29="",25&gt;DAY(EOMONTH(DATE(設定!$C$2,設定!$D$2,1),0))),"",DATE(設定!$C$2,設定!$D$2,25))</f>
        <v/>
      </c>
      <c r="B771" s="16">
        <f>IF($A771="","",INDEX(設定!$O$6:$O$12,WEEKDAY($A771,1)))</f>
        <v/>
      </c>
      <c r="C771" s="16">
        <f>IF($A771="","",助理班表!$A29)</f>
        <v/>
      </c>
      <c r="D771" s="16">
        <f>IF($C771="","",助理班表!$B29)</f>
        <v/>
      </c>
      <c r="E771" s="16">
        <f>IF($C771="","",助理班表!$D29)</f>
        <v/>
      </c>
      <c r="F771" s="16">
        <f>IF($C771="","",助理班表!$C29)</f>
        <v/>
      </c>
      <c r="G771" s="16">
        <f>IF($C771="","",助理班表!AC29)</f>
        <v/>
      </c>
      <c r="H771" s="83">
        <f>IF($G771="","",IFERROR(IF(INDEX(設定!$D$6:$D$21,MATCH($G771,設定!$B$6:$B$21,0))=0,"",INDEX(設定!$D$6:$D$21,MATCH($G771,設定!$B$6:$B$21,0))),""))</f>
        <v/>
      </c>
      <c r="I771" s="83">
        <f>IF($G771="","",IFERROR(IF(INDEX(設定!$E$6:$E$21,MATCH($G771,設定!$B$6:$B$21,0))=0,"",INDEX(設定!$E$6:$E$21,MATCH($G771,設定!$B$6:$B$21,0))),""))</f>
        <v/>
      </c>
      <c r="J771" s="83">
        <f>IFERROR(INDEX(打卡匯入!$C$3:$C$2002,MATCH($C771&amp;"|"&amp;DAY($A771),打卡匯入!$E$3:$E$2002,0)),"")</f>
        <v/>
      </c>
      <c r="K771" s="83">
        <f>IFERROR(INDEX(打卡匯入!$D$3:$D$2002,MATCH($C771&amp;"|"&amp;DAY($A771),打卡匯入!$E$3:$E$2002,0)),"")</f>
        <v/>
      </c>
      <c r="L771" s="84">
        <f>IF(OR($J771="",$K771=""),"",IFERROR(INDEX(設定!$F$6:$F$21,MATCH($G771,設定!$B$6:$B$21,0)),0))</f>
        <v/>
      </c>
      <c r="M771" s="85">
        <f>IF(OR($J771="",$K771=""),"",ROUND(($K771-$J771)*24-$L771/60,2))</f>
        <v/>
      </c>
      <c r="N771" s="16">
        <f>IF($C771="","",IF(AND(COUNTIF(設定!$B$15:$B$21,$G771)&gt;0,$J771&lt;&gt;""),"假日出勤",IF(AND(COUNTIF(設定!$B$6:$B$14,$G771)&gt;0,$J771=""),"未打卡",IF($J771="","",IF($O771&gt;0,"遲到",IF($P771&gt;0,"早退","正常"))))))</f>
        <v/>
      </c>
      <c r="O771" s="84">
        <f>IF(OR($C771="",$H771="",$J771=""),0,IF(ROUND(($J771-$H771)*1440,0)&gt;設定!$C$46,ROUND(($J771-$H771)*1440,0),0))</f>
        <v/>
      </c>
      <c r="P771" s="84">
        <f>IF(OR($C771="",$I771="",$K771=""),0,IF(ROUND(($I771-$K771)*1440,0)&gt;設定!$C$46,ROUND(($I771-$K771)*1440,0),0))</f>
        <v/>
      </c>
      <c r="Q771" s="85">
        <f>IF($M771="",0,IF(($M771-IFERROR(INDEX(設定!$G$6:$G$21,MATCH($G771,設定!$B$6:$B$21,0)),0))*60&gt;=設定!$C$44,ROUND(FLOOR(($M771-IFERROR(INDEX(設定!$G$6:$G$21,MATCH($G771,設定!$B$6:$B$21,0)),0))*60,設定!$C$45)/60,2),0))</f>
        <v/>
      </c>
      <c r="R771" s="16">
        <f>IF(OR($C771="",$Q771=0),"",IF($G771="國","國定假日",IF($B771="日","例假",IF($B771="六","休息日","平日"))))</f>
        <v/>
      </c>
      <c r="S771" s="19" t="n"/>
    </row>
    <row r="772">
      <c r="A772" s="82">
        <f>IF(OR(助理班表!$A29="",26&gt;DAY(EOMONTH(DATE(設定!$C$2,設定!$D$2,1),0))),"",DATE(設定!$C$2,設定!$D$2,26))</f>
        <v/>
      </c>
      <c r="B772" s="16">
        <f>IF($A772="","",INDEX(設定!$O$6:$O$12,WEEKDAY($A772,1)))</f>
        <v/>
      </c>
      <c r="C772" s="16">
        <f>IF($A772="","",助理班表!$A29)</f>
        <v/>
      </c>
      <c r="D772" s="16">
        <f>IF($C772="","",助理班表!$B29)</f>
        <v/>
      </c>
      <c r="E772" s="16">
        <f>IF($C772="","",助理班表!$D29)</f>
        <v/>
      </c>
      <c r="F772" s="16">
        <f>IF($C772="","",助理班表!$C29)</f>
        <v/>
      </c>
      <c r="G772" s="16">
        <f>IF($C772="","",助理班表!AD29)</f>
        <v/>
      </c>
      <c r="H772" s="83">
        <f>IF($G772="","",IFERROR(IF(INDEX(設定!$D$6:$D$21,MATCH($G772,設定!$B$6:$B$21,0))=0,"",INDEX(設定!$D$6:$D$21,MATCH($G772,設定!$B$6:$B$21,0))),""))</f>
        <v/>
      </c>
      <c r="I772" s="83">
        <f>IF($G772="","",IFERROR(IF(INDEX(設定!$E$6:$E$21,MATCH($G772,設定!$B$6:$B$21,0))=0,"",INDEX(設定!$E$6:$E$21,MATCH($G772,設定!$B$6:$B$21,0))),""))</f>
        <v/>
      </c>
      <c r="J772" s="83">
        <f>IFERROR(INDEX(打卡匯入!$C$3:$C$2002,MATCH($C772&amp;"|"&amp;DAY($A772),打卡匯入!$E$3:$E$2002,0)),"")</f>
        <v/>
      </c>
      <c r="K772" s="83">
        <f>IFERROR(INDEX(打卡匯入!$D$3:$D$2002,MATCH($C772&amp;"|"&amp;DAY($A772),打卡匯入!$E$3:$E$2002,0)),"")</f>
        <v/>
      </c>
      <c r="L772" s="84">
        <f>IF(OR($J772="",$K772=""),"",IFERROR(INDEX(設定!$F$6:$F$21,MATCH($G772,設定!$B$6:$B$21,0)),0))</f>
        <v/>
      </c>
      <c r="M772" s="85">
        <f>IF(OR($J772="",$K772=""),"",ROUND(($K772-$J772)*24-$L772/60,2))</f>
        <v/>
      </c>
      <c r="N772" s="16">
        <f>IF($C772="","",IF(AND(COUNTIF(設定!$B$15:$B$21,$G772)&gt;0,$J772&lt;&gt;""),"假日出勤",IF(AND(COUNTIF(設定!$B$6:$B$14,$G772)&gt;0,$J772=""),"未打卡",IF($J772="","",IF($O772&gt;0,"遲到",IF($P772&gt;0,"早退","正常"))))))</f>
        <v/>
      </c>
      <c r="O772" s="84">
        <f>IF(OR($C772="",$H772="",$J772=""),0,IF(ROUND(($J772-$H772)*1440,0)&gt;設定!$C$46,ROUND(($J772-$H772)*1440,0),0))</f>
        <v/>
      </c>
      <c r="P772" s="84">
        <f>IF(OR($C772="",$I772="",$K772=""),0,IF(ROUND(($I772-$K772)*1440,0)&gt;設定!$C$46,ROUND(($I772-$K772)*1440,0),0))</f>
        <v/>
      </c>
      <c r="Q772" s="85">
        <f>IF($M772="",0,IF(($M772-IFERROR(INDEX(設定!$G$6:$G$21,MATCH($G772,設定!$B$6:$B$21,0)),0))*60&gt;=設定!$C$44,ROUND(FLOOR(($M772-IFERROR(INDEX(設定!$G$6:$G$21,MATCH($G772,設定!$B$6:$B$21,0)),0))*60,設定!$C$45)/60,2),0))</f>
        <v/>
      </c>
      <c r="R772" s="16">
        <f>IF(OR($C772="",$Q772=0),"",IF($G772="國","國定假日",IF($B772="日","例假",IF($B772="六","休息日","平日"))))</f>
        <v/>
      </c>
      <c r="S772" s="19" t="n"/>
    </row>
    <row r="773">
      <c r="A773" s="82">
        <f>IF(OR(助理班表!$A29="",27&gt;DAY(EOMONTH(DATE(設定!$C$2,設定!$D$2,1),0))),"",DATE(設定!$C$2,設定!$D$2,27))</f>
        <v/>
      </c>
      <c r="B773" s="16">
        <f>IF($A773="","",INDEX(設定!$O$6:$O$12,WEEKDAY($A773,1)))</f>
        <v/>
      </c>
      <c r="C773" s="16">
        <f>IF($A773="","",助理班表!$A29)</f>
        <v/>
      </c>
      <c r="D773" s="16">
        <f>IF($C773="","",助理班表!$B29)</f>
        <v/>
      </c>
      <c r="E773" s="16">
        <f>IF($C773="","",助理班表!$D29)</f>
        <v/>
      </c>
      <c r="F773" s="16">
        <f>IF($C773="","",助理班表!$C29)</f>
        <v/>
      </c>
      <c r="G773" s="16">
        <f>IF($C773="","",助理班表!AE29)</f>
        <v/>
      </c>
      <c r="H773" s="83">
        <f>IF($G773="","",IFERROR(IF(INDEX(設定!$D$6:$D$21,MATCH($G773,設定!$B$6:$B$21,0))=0,"",INDEX(設定!$D$6:$D$21,MATCH($G773,設定!$B$6:$B$21,0))),""))</f>
        <v/>
      </c>
      <c r="I773" s="83">
        <f>IF($G773="","",IFERROR(IF(INDEX(設定!$E$6:$E$21,MATCH($G773,設定!$B$6:$B$21,0))=0,"",INDEX(設定!$E$6:$E$21,MATCH($G773,設定!$B$6:$B$21,0))),""))</f>
        <v/>
      </c>
      <c r="J773" s="83">
        <f>IFERROR(INDEX(打卡匯入!$C$3:$C$2002,MATCH($C773&amp;"|"&amp;DAY($A773),打卡匯入!$E$3:$E$2002,0)),"")</f>
        <v/>
      </c>
      <c r="K773" s="83">
        <f>IFERROR(INDEX(打卡匯入!$D$3:$D$2002,MATCH($C773&amp;"|"&amp;DAY($A773),打卡匯入!$E$3:$E$2002,0)),"")</f>
        <v/>
      </c>
      <c r="L773" s="84">
        <f>IF(OR($J773="",$K773=""),"",IFERROR(INDEX(設定!$F$6:$F$21,MATCH($G773,設定!$B$6:$B$21,0)),0))</f>
        <v/>
      </c>
      <c r="M773" s="85">
        <f>IF(OR($J773="",$K773=""),"",ROUND(($K773-$J773)*24-$L773/60,2))</f>
        <v/>
      </c>
      <c r="N773" s="16">
        <f>IF($C773="","",IF(AND(COUNTIF(設定!$B$15:$B$21,$G773)&gt;0,$J773&lt;&gt;""),"假日出勤",IF(AND(COUNTIF(設定!$B$6:$B$14,$G773)&gt;0,$J773=""),"未打卡",IF($J773="","",IF($O773&gt;0,"遲到",IF($P773&gt;0,"早退","正常"))))))</f>
        <v/>
      </c>
      <c r="O773" s="84">
        <f>IF(OR($C773="",$H773="",$J773=""),0,IF(ROUND(($J773-$H773)*1440,0)&gt;設定!$C$46,ROUND(($J773-$H773)*1440,0),0))</f>
        <v/>
      </c>
      <c r="P773" s="84">
        <f>IF(OR($C773="",$I773="",$K773=""),0,IF(ROUND(($I773-$K773)*1440,0)&gt;設定!$C$46,ROUND(($I773-$K773)*1440,0),0))</f>
        <v/>
      </c>
      <c r="Q773" s="85">
        <f>IF($M773="",0,IF(($M773-IFERROR(INDEX(設定!$G$6:$G$21,MATCH($G773,設定!$B$6:$B$21,0)),0))*60&gt;=設定!$C$44,ROUND(FLOOR(($M773-IFERROR(INDEX(設定!$G$6:$G$21,MATCH($G773,設定!$B$6:$B$21,0)),0))*60,設定!$C$45)/60,2),0))</f>
        <v/>
      </c>
      <c r="R773" s="16">
        <f>IF(OR($C773="",$Q773=0),"",IF($G773="國","國定假日",IF($B773="日","例假",IF($B773="六","休息日","平日"))))</f>
        <v/>
      </c>
      <c r="S773" s="19" t="n"/>
    </row>
    <row r="774">
      <c r="A774" s="82">
        <f>IF(OR(助理班表!$A29="",28&gt;DAY(EOMONTH(DATE(設定!$C$2,設定!$D$2,1),0))),"",DATE(設定!$C$2,設定!$D$2,28))</f>
        <v/>
      </c>
      <c r="B774" s="16">
        <f>IF($A774="","",INDEX(設定!$O$6:$O$12,WEEKDAY($A774,1)))</f>
        <v/>
      </c>
      <c r="C774" s="16">
        <f>IF($A774="","",助理班表!$A29)</f>
        <v/>
      </c>
      <c r="D774" s="16">
        <f>IF($C774="","",助理班表!$B29)</f>
        <v/>
      </c>
      <c r="E774" s="16">
        <f>IF($C774="","",助理班表!$D29)</f>
        <v/>
      </c>
      <c r="F774" s="16">
        <f>IF($C774="","",助理班表!$C29)</f>
        <v/>
      </c>
      <c r="G774" s="16">
        <f>IF($C774="","",助理班表!AF29)</f>
        <v/>
      </c>
      <c r="H774" s="83">
        <f>IF($G774="","",IFERROR(IF(INDEX(設定!$D$6:$D$21,MATCH($G774,設定!$B$6:$B$21,0))=0,"",INDEX(設定!$D$6:$D$21,MATCH($G774,設定!$B$6:$B$21,0))),""))</f>
        <v/>
      </c>
      <c r="I774" s="83">
        <f>IF($G774="","",IFERROR(IF(INDEX(設定!$E$6:$E$21,MATCH($G774,設定!$B$6:$B$21,0))=0,"",INDEX(設定!$E$6:$E$21,MATCH($G774,設定!$B$6:$B$21,0))),""))</f>
        <v/>
      </c>
      <c r="J774" s="83">
        <f>IFERROR(INDEX(打卡匯入!$C$3:$C$2002,MATCH($C774&amp;"|"&amp;DAY($A774),打卡匯入!$E$3:$E$2002,0)),"")</f>
        <v/>
      </c>
      <c r="K774" s="83">
        <f>IFERROR(INDEX(打卡匯入!$D$3:$D$2002,MATCH($C774&amp;"|"&amp;DAY($A774),打卡匯入!$E$3:$E$2002,0)),"")</f>
        <v/>
      </c>
      <c r="L774" s="84">
        <f>IF(OR($J774="",$K774=""),"",IFERROR(INDEX(設定!$F$6:$F$21,MATCH($G774,設定!$B$6:$B$21,0)),0))</f>
        <v/>
      </c>
      <c r="M774" s="85">
        <f>IF(OR($J774="",$K774=""),"",ROUND(($K774-$J774)*24-$L774/60,2))</f>
        <v/>
      </c>
      <c r="N774" s="16">
        <f>IF($C774="","",IF(AND(COUNTIF(設定!$B$15:$B$21,$G774)&gt;0,$J774&lt;&gt;""),"假日出勤",IF(AND(COUNTIF(設定!$B$6:$B$14,$G774)&gt;0,$J774=""),"未打卡",IF($J774="","",IF($O774&gt;0,"遲到",IF($P774&gt;0,"早退","正常"))))))</f>
        <v/>
      </c>
      <c r="O774" s="84">
        <f>IF(OR($C774="",$H774="",$J774=""),0,IF(ROUND(($J774-$H774)*1440,0)&gt;設定!$C$46,ROUND(($J774-$H774)*1440,0),0))</f>
        <v/>
      </c>
      <c r="P774" s="84">
        <f>IF(OR($C774="",$I774="",$K774=""),0,IF(ROUND(($I774-$K774)*1440,0)&gt;設定!$C$46,ROUND(($I774-$K774)*1440,0),0))</f>
        <v/>
      </c>
      <c r="Q774" s="85">
        <f>IF($M774="",0,IF(($M774-IFERROR(INDEX(設定!$G$6:$G$21,MATCH($G774,設定!$B$6:$B$21,0)),0))*60&gt;=設定!$C$44,ROUND(FLOOR(($M774-IFERROR(INDEX(設定!$G$6:$G$21,MATCH($G774,設定!$B$6:$B$21,0)),0))*60,設定!$C$45)/60,2),0))</f>
        <v/>
      </c>
      <c r="R774" s="16">
        <f>IF(OR($C774="",$Q774=0),"",IF($G774="國","國定假日",IF($B774="日","例假",IF($B774="六","休息日","平日"))))</f>
        <v/>
      </c>
      <c r="S774" s="19" t="n"/>
    </row>
    <row r="775">
      <c r="A775" s="82">
        <f>IF(OR(助理班表!$A29="",29&gt;DAY(EOMONTH(DATE(設定!$C$2,設定!$D$2,1),0))),"",DATE(設定!$C$2,設定!$D$2,29))</f>
        <v/>
      </c>
      <c r="B775" s="16">
        <f>IF($A775="","",INDEX(設定!$O$6:$O$12,WEEKDAY($A775,1)))</f>
        <v/>
      </c>
      <c r="C775" s="16">
        <f>IF($A775="","",助理班表!$A29)</f>
        <v/>
      </c>
      <c r="D775" s="16">
        <f>IF($C775="","",助理班表!$B29)</f>
        <v/>
      </c>
      <c r="E775" s="16">
        <f>IF($C775="","",助理班表!$D29)</f>
        <v/>
      </c>
      <c r="F775" s="16">
        <f>IF($C775="","",助理班表!$C29)</f>
        <v/>
      </c>
      <c r="G775" s="16">
        <f>IF($C775="","",助理班表!AG29)</f>
        <v/>
      </c>
      <c r="H775" s="83">
        <f>IF($G775="","",IFERROR(IF(INDEX(設定!$D$6:$D$21,MATCH($G775,設定!$B$6:$B$21,0))=0,"",INDEX(設定!$D$6:$D$21,MATCH($G775,設定!$B$6:$B$21,0))),""))</f>
        <v/>
      </c>
      <c r="I775" s="83">
        <f>IF($G775="","",IFERROR(IF(INDEX(設定!$E$6:$E$21,MATCH($G775,設定!$B$6:$B$21,0))=0,"",INDEX(設定!$E$6:$E$21,MATCH($G775,設定!$B$6:$B$21,0))),""))</f>
        <v/>
      </c>
      <c r="J775" s="83">
        <f>IFERROR(INDEX(打卡匯入!$C$3:$C$2002,MATCH($C775&amp;"|"&amp;DAY($A775),打卡匯入!$E$3:$E$2002,0)),"")</f>
        <v/>
      </c>
      <c r="K775" s="83">
        <f>IFERROR(INDEX(打卡匯入!$D$3:$D$2002,MATCH($C775&amp;"|"&amp;DAY($A775),打卡匯入!$E$3:$E$2002,0)),"")</f>
        <v/>
      </c>
      <c r="L775" s="84">
        <f>IF(OR($J775="",$K775=""),"",IFERROR(INDEX(設定!$F$6:$F$21,MATCH($G775,設定!$B$6:$B$21,0)),0))</f>
        <v/>
      </c>
      <c r="M775" s="85">
        <f>IF(OR($J775="",$K775=""),"",ROUND(($K775-$J775)*24-$L775/60,2))</f>
        <v/>
      </c>
      <c r="N775" s="16">
        <f>IF($C775="","",IF(AND(COUNTIF(設定!$B$15:$B$21,$G775)&gt;0,$J775&lt;&gt;""),"假日出勤",IF(AND(COUNTIF(設定!$B$6:$B$14,$G775)&gt;0,$J775=""),"未打卡",IF($J775="","",IF($O775&gt;0,"遲到",IF($P775&gt;0,"早退","正常"))))))</f>
        <v/>
      </c>
      <c r="O775" s="84">
        <f>IF(OR($C775="",$H775="",$J775=""),0,IF(ROUND(($J775-$H775)*1440,0)&gt;設定!$C$46,ROUND(($J775-$H775)*1440,0),0))</f>
        <v/>
      </c>
      <c r="P775" s="84">
        <f>IF(OR($C775="",$I775="",$K775=""),0,IF(ROUND(($I775-$K775)*1440,0)&gt;設定!$C$46,ROUND(($I775-$K775)*1440,0),0))</f>
        <v/>
      </c>
      <c r="Q775" s="85">
        <f>IF($M775="",0,IF(($M775-IFERROR(INDEX(設定!$G$6:$G$21,MATCH($G775,設定!$B$6:$B$21,0)),0))*60&gt;=設定!$C$44,ROUND(FLOOR(($M775-IFERROR(INDEX(設定!$G$6:$G$21,MATCH($G775,設定!$B$6:$B$21,0)),0))*60,設定!$C$45)/60,2),0))</f>
        <v/>
      </c>
      <c r="R775" s="16">
        <f>IF(OR($C775="",$Q775=0),"",IF($G775="國","國定假日",IF($B775="日","例假",IF($B775="六","休息日","平日"))))</f>
        <v/>
      </c>
      <c r="S775" s="19" t="n"/>
    </row>
    <row r="776">
      <c r="A776" s="82">
        <f>IF(OR(助理班表!$A29="",30&gt;DAY(EOMONTH(DATE(設定!$C$2,設定!$D$2,1),0))),"",DATE(設定!$C$2,設定!$D$2,30))</f>
        <v/>
      </c>
      <c r="B776" s="16">
        <f>IF($A776="","",INDEX(設定!$O$6:$O$12,WEEKDAY($A776,1)))</f>
        <v/>
      </c>
      <c r="C776" s="16">
        <f>IF($A776="","",助理班表!$A29)</f>
        <v/>
      </c>
      <c r="D776" s="16">
        <f>IF($C776="","",助理班表!$B29)</f>
        <v/>
      </c>
      <c r="E776" s="16">
        <f>IF($C776="","",助理班表!$D29)</f>
        <v/>
      </c>
      <c r="F776" s="16">
        <f>IF($C776="","",助理班表!$C29)</f>
        <v/>
      </c>
      <c r="G776" s="16">
        <f>IF($C776="","",助理班表!AH29)</f>
        <v/>
      </c>
      <c r="H776" s="83">
        <f>IF($G776="","",IFERROR(IF(INDEX(設定!$D$6:$D$21,MATCH($G776,設定!$B$6:$B$21,0))=0,"",INDEX(設定!$D$6:$D$21,MATCH($G776,設定!$B$6:$B$21,0))),""))</f>
        <v/>
      </c>
      <c r="I776" s="83">
        <f>IF($G776="","",IFERROR(IF(INDEX(設定!$E$6:$E$21,MATCH($G776,設定!$B$6:$B$21,0))=0,"",INDEX(設定!$E$6:$E$21,MATCH($G776,設定!$B$6:$B$21,0))),""))</f>
        <v/>
      </c>
      <c r="J776" s="83">
        <f>IFERROR(INDEX(打卡匯入!$C$3:$C$2002,MATCH($C776&amp;"|"&amp;DAY($A776),打卡匯入!$E$3:$E$2002,0)),"")</f>
        <v/>
      </c>
      <c r="K776" s="83">
        <f>IFERROR(INDEX(打卡匯入!$D$3:$D$2002,MATCH($C776&amp;"|"&amp;DAY($A776),打卡匯入!$E$3:$E$2002,0)),"")</f>
        <v/>
      </c>
      <c r="L776" s="84">
        <f>IF(OR($J776="",$K776=""),"",IFERROR(INDEX(設定!$F$6:$F$21,MATCH($G776,設定!$B$6:$B$21,0)),0))</f>
        <v/>
      </c>
      <c r="M776" s="85">
        <f>IF(OR($J776="",$K776=""),"",ROUND(($K776-$J776)*24-$L776/60,2))</f>
        <v/>
      </c>
      <c r="N776" s="16">
        <f>IF($C776="","",IF(AND(COUNTIF(設定!$B$15:$B$21,$G776)&gt;0,$J776&lt;&gt;""),"假日出勤",IF(AND(COUNTIF(設定!$B$6:$B$14,$G776)&gt;0,$J776=""),"未打卡",IF($J776="","",IF($O776&gt;0,"遲到",IF($P776&gt;0,"早退","正常"))))))</f>
        <v/>
      </c>
      <c r="O776" s="84">
        <f>IF(OR($C776="",$H776="",$J776=""),0,IF(ROUND(($J776-$H776)*1440,0)&gt;設定!$C$46,ROUND(($J776-$H776)*1440,0),0))</f>
        <v/>
      </c>
      <c r="P776" s="84">
        <f>IF(OR($C776="",$I776="",$K776=""),0,IF(ROUND(($I776-$K776)*1440,0)&gt;設定!$C$46,ROUND(($I776-$K776)*1440,0),0))</f>
        <v/>
      </c>
      <c r="Q776" s="85">
        <f>IF($M776="",0,IF(($M776-IFERROR(INDEX(設定!$G$6:$G$21,MATCH($G776,設定!$B$6:$B$21,0)),0))*60&gt;=設定!$C$44,ROUND(FLOOR(($M776-IFERROR(INDEX(設定!$G$6:$G$21,MATCH($G776,設定!$B$6:$B$21,0)),0))*60,設定!$C$45)/60,2),0))</f>
        <v/>
      </c>
      <c r="R776" s="16">
        <f>IF(OR($C776="",$Q776=0),"",IF($G776="國","國定假日",IF($B776="日","例假",IF($B776="六","休息日","平日"))))</f>
        <v/>
      </c>
      <c r="S776" s="19" t="n"/>
    </row>
    <row r="777">
      <c r="A777" s="82">
        <f>IF(OR(助理班表!$A29="",31&gt;DAY(EOMONTH(DATE(設定!$C$2,設定!$D$2,1),0))),"",DATE(設定!$C$2,設定!$D$2,31))</f>
        <v/>
      </c>
      <c r="B777" s="16">
        <f>IF($A777="","",INDEX(設定!$O$6:$O$12,WEEKDAY($A777,1)))</f>
        <v/>
      </c>
      <c r="C777" s="16">
        <f>IF($A777="","",助理班表!$A29)</f>
        <v/>
      </c>
      <c r="D777" s="16">
        <f>IF($C777="","",助理班表!$B29)</f>
        <v/>
      </c>
      <c r="E777" s="16">
        <f>IF($C777="","",助理班表!$D29)</f>
        <v/>
      </c>
      <c r="F777" s="16">
        <f>IF($C777="","",助理班表!$C29)</f>
        <v/>
      </c>
      <c r="G777" s="16">
        <f>IF($C777="","",助理班表!AI29)</f>
        <v/>
      </c>
      <c r="H777" s="83">
        <f>IF($G777="","",IFERROR(IF(INDEX(設定!$D$6:$D$21,MATCH($G777,設定!$B$6:$B$21,0))=0,"",INDEX(設定!$D$6:$D$21,MATCH($G777,設定!$B$6:$B$21,0))),""))</f>
        <v/>
      </c>
      <c r="I777" s="83">
        <f>IF($G777="","",IFERROR(IF(INDEX(設定!$E$6:$E$21,MATCH($G777,設定!$B$6:$B$21,0))=0,"",INDEX(設定!$E$6:$E$21,MATCH($G777,設定!$B$6:$B$21,0))),""))</f>
        <v/>
      </c>
      <c r="J777" s="83">
        <f>IFERROR(INDEX(打卡匯入!$C$3:$C$2002,MATCH($C777&amp;"|"&amp;DAY($A777),打卡匯入!$E$3:$E$2002,0)),"")</f>
        <v/>
      </c>
      <c r="K777" s="83">
        <f>IFERROR(INDEX(打卡匯入!$D$3:$D$2002,MATCH($C777&amp;"|"&amp;DAY($A777),打卡匯入!$E$3:$E$2002,0)),"")</f>
        <v/>
      </c>
      <c r="L777" s="84">
        <f>IF(OR($J777="",$K777=""),"",IFERROR(INDEX(設定!$F$6:$F$21,MATCH($G777,設定!$B$6:$B$21,0)),0))</f>
        <v/>
      </c>
      <c r="M777" s="85">
        <f>IF(OR($J777="",$K777=""),"",ROUND(($K777-$J777)*24-$L777/60,2))</f>
        <v/>
      </c>
      <c r="N777" s="16">
        <f>IF($C777="","",IF(AND(COUNTIF(設定!$B$15:$B$21,$G777)&gt;0,$J777&lt;&gt;""),"假日出勤",IF(AND(COUNTIF(設定!$B$6:$B$14,$G777)&gt;0,$J777=""),"未打卡",IF($J777="","",IF($O777&gt;0,"遲到",IF($P777&gt;0,"早退","正常"))))))</f>
        <v/>
      </c>
      <c r="O777" s="84">
        <f>IF(OR($C777="",$H777="",$J777=""),0,IF(ROUND(($J777-$H777)*1440,0)&gt;設定!$C$46,ROUND(($J777-$H777)*1440,0),0))</f>
        <v/>
      </c>
      <c r="P777" s="84">
        <f>IF(OR($C777="",$I777="",$K777=""),0,IF(ROUND(($I777-$K777)*1440,0)&gt;設定!$C$46,ROUND(($I777-$K777)*1440,0),0))</f>
        <v/>
      </c>
      <c r="Q777" s="85">
        <f>IF($M777="",0,IF(($M777-IFERROR(INDEX(設定!$G$6:$G$21,MATCH($G777,設定!$B$6:$B$21,0)),0))*60&gt;=設定!$C$44,ROUND(FLOOR(($M777-IFERROR(INDEX(設定!$G$6:$G$21,MATCH($G777,設定!$B$6:$B$21,0)),0))*60,設定!$C$45)/60,2),0))</f>
        <v/>
      </c>
      <c r="R777" s="16">
        <f>IF(OR($C777="",$Q777=0),"",IF($G777="國","國定假日",IF($B777="日","例假",IF($B777="六","休息日","平日"))))</f>
        <v/>
      </c>
      <c r="S777" s="19" t="n"/>
    </row>
    <row r="778">
      <c r="A778" s="82">
        <f>IF(OR(助理班表!$A30="",1&gt;DAY(EOMONTH(DATE(設定!$C$2,設定!$D$2,1),0))),"",DATE(設定!$C$2,設定!$D$2,1))</f>
        <v/>
      </c>
      <c r="B778" s="16">
        <f>IF($A778="","",INDEX(設定!$O$6:$O$12,WEEKDAY($A778,1)))</f>
        <v/>
      </c>
      <c r="C778" s="16">
        <f>IF($A778="","",助理班表!$A30)</f>
        <v/>
      </c>
      <c r="D778" s="16">
        <f>IF($C778="","",助理班表!$B30)</f>
        <v/>
      </c>
      <c r="E778" s="16">
        <f>IF($C778="","",助理班表!$D30)</f>
        <v/>
      </c>
      <c r="F778" s="16">
        <f>IF($C778="","",助理班表!$C30)</f>
        <v/>
      </c>
      <c r="G778" s="16">
        <f>IF($C778="","",助理班表!E30)</f>
        <v/>
      </c>
      <c r="H778" s="83">
        <f>IF($G778="","",IFERROR(IF(INDEX(設定!$D$6:$D$21,MATCH($G778,設定!$B$6:$B$21,0))=0,"",INDEX(設定!$D$6:$D$21,MATCH($G778,設定!$B$6:$B$21,0))),""))</f>
        <v/>
      </c>
      <c r="I778" s="83">
        <f>IF($G778="","",IFERROR(IF(INDEX(設定!$E$6:$E$21,MATCH($G778,設定!$B$6:$B$21,0))=0,"",INDEX(設定!$E$6:$E$21,MATCH($G778,設定!$B$6:$B$21,0))),""))</f>
        <v/>
      </c>
      <c r="J778" s="83">
        <f>IFERROR(INDEX(打卡匯入!$C$3:$C$2002,MATCH($C778&amp;"|"&amp;DAY($A778),打卡匯入!$E$3:$E$2002,0)),"")</f>
        <v/>
      </c>
      <c r="K778" s="83">
        <f>IFERROR(INDEX(打卡匯入!$D$3:$D$2002,MATCH($C778&amp;"|"&amp;DAY($A778),打卡匯入!$E$3:$E$2002,0)),"")</f>
        <v/>
      </c>
      <c r="L778" s="84">
        <f>IF(OR($J778="",$K778=""),"",IFERROR(INDEX(設定!$F$6:$F$21,MATCH($G778,設定!$B$6:$B$21,0)),0))</f>
        <v/>
      </c>
      <c r="M778" s="85">
        <f>IF(OR($J778="",$K778=""),"",ROUND(($K778-$J778)*24-$L778/60,2))</f>
        <v/>
      </c>
      <c r="N778" s="16">
        <f>IF($C778="","",IF(AND(COUNTIF(設定!$B$15:$B$21,$G778)&gt;0,$J778&lt;&gt;""),"假日出勤",IF(AND(COUNTIF(設定!$B$6:$B$14,$G778)&gt;0,$J778=""),"未打卡",IF($J778="","",IF($O778&gt;0,"遲到",IF($P778&gt;0,"早退","正常"))))))</f>
        <v/>
      </c>
      <c r="O778" s="84">
        <f>IF(OR($C778="",$H778="",$J778=""),0,IF(ROUND(($J778-$H778)*1440,0)&gt;設定!$C$46,ROUND(($J778-$H778)*1440,0),0))</f>
        <v/>
      </c>
      <c r="P778" s="84">
        <f>IF(OR($C778="",$I778="",$K778=""),0,IF(ROUND(($I778-$K778)*1440,0)&gt;設定!$C$46,ROUND(($I778-$K778)*1440,0),0))</f>
        <v/>
      </c>
      <c r="Q778" s="85">
        <f>IF($M778="",0,IF(($M778-IFERROR(INDEX(設定!$G$6:$G$21,MATCH($G778,設定!$B$6:$B$21,0)),0))*60&gt;=設定!$C$44,ROUND(FLOOR(($M778-IFERROR(INDEX(設定!$G$6:$G$21,MATCH($G778,設定!$B$6:$B$21,0)),0))*60,設定!$C$45)/60,2),0))</f>
        <v/>
      </c>
      <c r="R778" s="16">
        <f>IF(OR($C778="",$Q778=0),"",IF($G778="國","國定假日",IF($B778="日","例假",IF($B778="六","休息日","平日"))))</f>
        <v/>
      </c>
      <c r="S778" s="19" t="n"/>
    </row>
    <row r="779">
      <c r="A779" s="82">
        <f>IF(OR(助理班表!$A30="",2&gt;DAY(EOMONTH(DATE(設定!$C$2,設定!$D$2,1),0))),"",DATE(設定!$C$2,設定!$D$2,2))</f>
        <v/>
      </c>
      <c r="B779" s="16">
        <f>IF($A779="","",INDEX(設定!$O$6:$O$12,WEEKDAY($A779,1)))</f>
        <v/>
      </c>
      <c r="C779" s="16">
        <f>IF($A779="","",助理班表!$A30)</f>
        <v/>
      </c>
      <c r="D779" s="16">
        <f>IF($C779="","",助理班表!$B30)</f>
        <v/>
      </c>
      <c r="E779" s="16">
        <f>IF($C779="","",助理班表!$D30)</f>
        <v/>
      </c>
      <c r="F779" s="16">
        <f>IF($C779="","",助理班表!$C30)</f>
        <v/>
      </c>
      <c r="G779" s="16">
        <f>IF($C779="","",助理班表!F30)</f>
        <v/>
      </c>
      <c r="H779" s="83">
        <f>IF($G779="","",IFERROR(IF(INDEX(設定!$D$6:$D$21,MATCH($G779,設定!$B$6:$B$21,0))=0,"",INDEX(設定!$D$6:$D$21,MATCH($G779,設定!$B$6:$B$21,0))),""))</f>
        <v/>
      </c>
      <c r="I779" s="83">
        <f>IF($G779="","",IFERROR(IF(INDEX(設定!$E$6:$E$21,MATCH($G779,設定!$B$6:$B$21,0))=0,"",INDEX(設定!$E$6:$E$21,MATCH($G779,設定!$B$6:$B$21,0))),""))</f>
        <v/>
      </c>
      <c r="J779" s="83">
        <f>IFERROR(INDEX(打卡匯入!$C$3:$C$2002,MATCH($C779&amp;"|"&amp;DAY($A779),打卡匯入!$E$3:$E$2002,0)),"")</f>
        <v/>
      </c>
      <c r="K779" s="83">
        <f>IFERROR(INDEX(打卡匯入!$D$3:$D$2002,MATCH($C779&amp;"|"&amp;DAY($A779),打卡匯入!$E$3:$E$2002,0)),"")</f>
        <v/>
      </c>
      <c r="L779" s="84">
        <f>IF(OR($J779="",$K779=""),"",IFERROR(INDEX(設定!$F$6:$F$21,MATCH($G779,設定!$B$6:$B$21,0)),0))</f>
        <v/>
      </c>
      <c r="M779" s="85">
        <f>IF(OR($J779="",$K779=""),"",ROUND(($K779-$J779)*24-$L779/60,2))</f>
        <v/>
      </c>
      <c r="N779" s="16">
        <f>IF($C779="","",IF(AND(COUNTIF(設定!$B$15:$B$21,$G779)&gt;0,$J779&lt;&gt;""),"假日出勤",IF(AND(COUNTIF(設定!$B$6:$B$14,$G779)&gt;0,$J779=""),"未打卡",IF($J779="","",IF($O779&gt;0,"遲到",IF($P779&gt;0,"早退","正常"))))))</f>
        <v/>
      </c>
      <c r="O779" s="84">
        <f>IF(OR($C779="",$H779="",$J779=""),0,IF(ROUND(($J779-$H779)*1440,0)&gt;設定!$C$46,ROUND(($J779-$H779)*1440,0),0))</f>
        <v/>
      </c>
      <c r="P779" s="84">
        <f>IF(OR($C779="",$I779="",$K779=""),0,IF(ROUND(($I779-$K779)*1440,0)&gt;設定!$C$46,ROUND(($I779-$K779)*1440,0),0))</f>
        <v/>
      </c>
      <c r="Q779" s="85">
        <f>IF($M779="",0,IF(($M779-IFERROR(INDEX(設定!$G$6:$G$21,MATCH($G779,設定!$B$6:$B$21,0)),0))*60&gt;=設定!$C$44,ROUND(FLOOR(($M779-IFERROR(INDEX(設定!$G$6:$G$21,MATCH($G779,設定!$B$6:$B$21,0)),0))*60,設定!$C$45)/60,2),0))</f>
        <v/>
      </c>
      <c r="R779" s="16">
        <f>IF(OR($C779="",$Q779=0),"",IF($G779="國","國定假日",IF($B779="日","例假",IF($B779="六","休息日","平日"))))</f>
        <v/>
      </c>
      <c r="S779" s="19" t="n"/>
    </row>
    <row r="780">
      <c r="A780" s="82">
        <f>IF(OR(助理班表!$A30="",3&gt;DAY(EOMONTH(DATE(設定!$C$2,設定!$D$2,1),0))),"",DATE(設定!$C$2,設定!$D$2,3))</f>
        <v/>
      </c>
      <c r="B780" s="16">
        <f>IF($A780="","",INDEX(設定!$O$6:$O$12,WEEKDAY($A780,1)))</f>
        <v/>
      </c>
      <c r="C780" s="16">
        <f>IF($A780="","",助理班表!$A30)</f>
        <v/>
      </c>
      <c r="D780" s="16">
        <f>IF($C780="","",助理班表!$B30)</f>
        <v/>
      </c>
      <c r="E780" s="16">
        <f>IF($C780="","",助理班表!$D30)</f>
        <v/>
      </c>
      <c r="F780" s="16">
        <f>IF($C780="","",助理班表!$C30)</f>
        <v/>
      </c>
      <c r="G780" s="16">
        <f>IF($C780="","",助理班表!G30)</f>
        <v/>
      </c>
      <c r="H780" s="83">
        <f>IF($G780="","",IFERROR(IF(INDEX(設定!$D$6:$D$21,MATCH($G780,設定!$B$6:$B$21,0))=0,"",INDEX(設定!$D$6:$D$21,MATCH($G780,設定!$B$6:$B$21,0))),""))</f>
        <v/>
      </c>
      <c r="I780" s="83">
        <f>IF($G780="","",IFERROR(IF(INDEX(設定!$E$6:$E$21,MATCH($G780,設定!$B$6:$B$21,0))=0,"",INDEX(設定!$E$6:$E$21,MATCH($G780,設定!$B$6:$B$21,0))),""))</f>
        <v/>
      </c>
      <c r="J780" s="83">
        <f>IFERROR(INDEX(打卡匯入!$C$3:$C$2002,MATCH($C780&amp;"|"&amp;DAY($A780),打卡匯入!$E$3:$E$2002,0)),"")</f>
        <v/>
      </c>
      <c r="K780" s="83">
        <f>IFERROR(INDEX(打卡匯入!$D$3:$D$2002,MATCH($C780&amp;"|"&amp;DAY($A780),打卡匯入!$E$3:$E$2002,0)),"")</f>
        <v/>
      </c>
      <c r="L780" s="84">
        <f>IF(OR($J780="",$K780=""),"",IFERROR(INDEX(設定!$F$6:$F$21,MATCH($G780,設定!$B$6:$B$21,0)),0))</f>
        <v/>
      </c>
      <c r="M780" s="85">
        <f>IF(OR($J780="",$K780=""),"",ROUND(($K780-$J780)*24-$L780/60,2))</f>
        <v/>
      </c>
      <c r="N780" s="16">
        <f>IF($C780="","",IF(AND(COUNTIF(設定!$B$15:$B$21,$G780)&gt;0,$J780&lt;&gt;""),"假日出勤",IF(AND(COUNTIF(設定!$B$6:$B$14,$G780)&gt;0,$J780=""),"未打卡",IF($J780="","",IF($O780&gt;0,"遲到",IF($P780&gt;0,"早退","正常"))))))</f>
        <v/>
      </c>
      <c r="O780" s="84">
        <f>IF(OR($C780="",$H780="",$J780=""),0,IF(ROUND(($J780-$H780)*1440,0)&gt;設定!$C$46,ROUND(($J780-$H780)*1440,0),0))</f>
        <v/>
      </c>
      <c r="P780" s="84">
        <f>IF(OR($C780="",$I780="",$K780=""),0,IF(ROUND(($I780-$K780)*1440,0)&gt;設定!$C$46,ROUND(($I780-$K780)*1440,0),0))</f>
        <v/>
      </c>
      <c r="Q780" s="85">
        <f>IF($M780="",0,IF(($M780-IFERROR(INDEX(設定!$G$6:$G$21,MATCH($G780,設定!$B$6:$B$21,0)),0))*60&gt;=設定!$C$44,ROUND(FLOOR(($M780-IFERROR(INDEX(設定!$G$6:$G$21,MATCH($G780,設定!$B$6:$B$21,0)),0))*60,設定!$C$45)/60,2),0))</f>
        <v/>
      </c>
      <c r="R780" s="16">
        <f>IF(OR($C780="",$Q780=0),"",IF($G780="國","國定假日",IF($B780="日","例假",IF($B780="六","休息日","平日"))))</f>
        <v/>
      </c>
      <c r="S780" s="19" t="n"/>
    </row>
    <row r="781">
      <c r="A781" s="82">
        <f>IF(OR(助理班表!$A30="",4&gt;DAY(EOMONTH(DATE(設定!$C$2,設定!$D$2,1),0))),"",DATE(設定!$C$2,設定!$D$2,4))</f>
        <v/>
      </c>
      <c r="B781" s="16">
        <f>IF($A781="","",INDEX(設定!$O$6:$O$12,WEEKDAY($A781,1)))</f>
        <v/>
      </c>
      <c r="C781" s="16">
        <f>IF($A781="","",助理班表!$A30)</f>
        <v/>
      </c>
      <c r="D781" s="16">
        <f>IF($C781="","",助理班表!$B30)</f>
        <v/>
      </c>
      <c r="E781" s="16">
        <f>IF($C781="","",助理班表!$D30)</f>
        <v/>
      </c>
      <c r="F781" s="16">
        <f>IF($C781="","",助理班表!$C30)</f>
        <v/>
      </c>
      <c r="G781" s="16">
        <f>IF($C781="","",助理班表!H30)</f>
        <v/>
      </c>
      <c r="H781" s="83">
        <f>IF($G781="","",IFERROR(IF(INDEX(設定!$D$6:$D$21,MATCH($G781,設定!$B$6:$B$21,0))=0,"",INDEX(設定!$D$6:$D$21,MATCH($G781,設定!$B$6:$B$21,0))),""))</f>
        <v/>
      </c>
      <c r="I781" s="83">
        <f>IF($G781="","",IFERROR(IF(INDEX(設定!$E$6:$E$21,MATCH($G781,設定!$B$6:$B$21,0))=0,"",INDEX(設定!$E$6:$E$21,MATCH($G781,設定!$B$6:$B$21,0))),""))</f>
        <v/>
      </c>
      <c r="J781" s="83">
        <f>IFERROR(INDEX(打卡匯入!$C$3:$C$2002,MATCH($C781&amp;"|"&amp;DAY($A781),打卡匯入!$E$3:$E$2002,0)),"")</f>
        <v/>
      </c>
      <c r="K781" s="83">
        <f>IFERROR(INDEX(打卡匯入!$D$3:$D$2002,MATCH($C781&amp;"|"&amp;DAY($A781),打卡匯入!$E$3:$E$2002,0)),"")</f>
        <v/>
      </c>
      <c r="L781" s="84">
        <f>IF(OR($J781="",$K781=""),"",IFERROR(INDEX(設定!$F$6:$F$21,MATCH($G781,設定!$B$6:$B$21,0)),0))</f>
        <v/>
      </c>
      <c r="M781" s="85">
        <f>IF(OR($J781="",$K781=""),"",ROUND(($K781-$J781)*24-$L781/60,2))</f>
        <v/>
      </c>
      <c r="N781" s="16">
        <f>IF($C781="","",IF(AND(COUNTIF(設定!$B$15:$B$21,$G781)&gt;0,$J781&lt;&gt;""),"假日出勤",IF(AND(COUNTIF(設定!$B$6:$B$14,$G781)&gt;0,$J781=""),"未打卡",IF($J781="","",IF($O781&gt;0,"遲到",IF($P781&gt;0,"早退","正常"))))))</f>
        <v/>
      </c>
      <c r="O781" s="84">
        <f>IF(OR($C781="",$H781="",$J781=""),0,IF(ROUND(($J781-$H781)*1440,0)&gt;設定!$C$46,ROUND(($J781-$H781)*1440,0),0))</f>
        <v/>
      </c>
      <c r="P781" s="84">
        <f>IF(OR($C781="",$I781="",$K781=""),0,IF(ROUND(($I781-$K781)*1440,0)&gt;設定!$C$46,ROUND(($I781-$K781)*1440,0),0))</f>
        <v/>
      </c>
      <c r="Q781" s="85">
        <f>IF($M781="",0,IF(($M781-IFERROR(INDEX(設定!$G$6:$G$21,MATCH($G781,設定!$B$6:$B$21,0)),0))*60&gt;=設定!$C$44,ROUND(FLOOR(($M781-IFERROR(INDEX(設定!$G$6:$G$21,MATCH($G781,設定!$B$6:$B$21,0)),0))*60,設定!$C$45)/60,2),0))</f>
        <v/>
      </c>
      <c r="R781" s="16">
        <f>IF(OR($C781="",$Q781=0),"",IF($G781="國","國定假日",IF($B781="日","例假",IF($B781="六","休息日","平日"))))</f>
        <v/>
      </c>
      <c r="S781" s="19" t="n"/>
    </row>
    <row r="782">
      <c r="A782" s="82">
        <f>IF(OR(助理班表!$A30="",5&gt;DAY(EOMONTH(DATE(設定!$C$2,設定!$D$2,1),0))),"",DATE(設定!$C$2,設定!$D$2,5))</f>
        <v/>
      </c>
      <c r="B782" s="16">
        <f>IF($A782="","",INDEX(設定!$O$6:$O$12,WEEKDAY($A782,1)))</f>
        <v/>
      </c>
      <c r="C782" s="16">
        <f>IF($A782="","",助理班表!$A30)</f>
        <v/>
      </c>
      <c r="D782" s="16">
        <f>IF($C782="","",助理班表!$B30)</f>
        <v/>
      </c>
      <c r="E782" s="16">
        <f>IF($C782="","",助理班表!$D30)</f>
        <v/>
      </c>
      <c r="F782" s="16">
        <f>IF($C782="","",助理班表!$C30)</f>
        <v/>
      </c>
      <c r="G782" s="16">
        <f>IF($C782="","",助理班表!I30)</f>
        <v/>
      </c>
      <c r="H782" s="83">
        <f>IF($G782="","",IFERROR(IF(INDEX(設定!$D$6:$D$21,MATCH($G782,設定!$B$6:$B$21,0))=0,"",INDEX(設定!$D$6:$D$21,MATCH($G782,設定!$B$6:$B$21,0))),""))</f>
        <v/>
      </c>
      <c r="I782" s="83">
        <f>IF($G782="","",IFERROR(IF(INDEX(設定!$E$6:$E$21,MATCH($G782,設定!$B$6:$B$21,0))=0,"",INDEX(設定!$E$6:$E$21,MATCH($G782,設定!$B$6:$B$21,0))),""))</f>
        <v/>
      </c>
      <c r="J782" s="83">
        <f>IFERROR(INDEX(打卡匯入!$C$3:$C$2002,MATCH($C782&amp;"|"&amp;DAY($A782),打卡匯入!$E$3:$E$2002,0)),"")</f>
        <v/>
      </c>
      <c r="K782" s="83">
        <f>IFERROR(INDEX(打卡匯入!$D$3:$D$2002,MATCH($C782&amp;"|"&amp;DAY($A782),打卡匯入!$E$3:$E$2002,0)),"")</f>
        <v/>
      </c>
      <c r="L782" s="84">
        <f>IF(OR($J782="",$K782=""),"",IFERROR(INDEX(設定!$F$6:$F$21,MATCH($G782,設定!$B$6:$B$21,0)),0))</f>
        <v/>
      </c>
      <c r="M782" s="85">
        <f>IF(OR($J782="",$K782=""),"",ROUND(($K782-$J782)*24-$L782/60,2))</f>
        <v/>
      </c>
      <c r="N782" s="16">
        <f>IF($C782="","",IF(AND(COUNTIF(設定!$B$15:$B$21,$G782)&gt;0,$J782&lt;&gt;""),"假日出勤",IF(AND(COUNTIF(設定!$B$6:$B$14,$G782)&gt;0,$J782=""),"未打卡",IF($J782="","",IF($O782&gt;0,"遲到",IF($P782&gt;0,"早退","正常"))))))</f>
        <v/>
      </c>
      <c r="O782" s="84">
        <f>IF(OR($C782="",$H782="",$J782=""),0,IF(ROUND(($J782-$H782)*1440,0)&gt;設定!$C$46,ROUND(($J782-$H782)*1440,0),0))</f>
        <v/>
      </c>
      <c r="P782" s="84">
        <f>IF(OR($C782="",$I782="",$K782=""),0,IF(ROUND(($I782-$K782)*1440,0)&gt;設定!$C$46,ROUND(($I782-$K782)*1440,0),0))</f>
        <v/>
      </c>
      <c r="Q782" s="85">
        <f>IF($M782="",0,IF(($M782-IFERROR(INDEX(設定!$G$6:$G$21,MATCH($G782,設定!$B$6:$B$21,0)),0))*60&gt;=設定!$C$44,ROUND(FLOOR(($M782-IFERROR(INDEX(設定!$G$6:$G$21,MATCH($G782,設定!$B$6:$B$21,0)),0))*60,設定!$C$45)/60,2),0))</f>
        <v/>
      </c>
      <c r="R782" s="16">
        <f>IF(OR($C782="",$Q782=0),"",IF($G782="國","國定假日",IF($B782="日","例假",IF($B782="六","休息日","平日"))))</f>
        <v/>
      </c>
      <c r="S782" s="19" t="n"/>
    </row>
    <row r="783">
      <c r="A783" s="82">
        <f>IF(OR(助理班表!$A30="",6&gt;DAY(EOMONTH(DATE(設定!$C$2,設定!$D$2,1),0))),"",DATE(設定!$C$2,設定!$D$2,6))</f>
        <v/>
      </c>
      <c r="B783" s="16">
        <f>IF($A783="","",INDEX(設定!$O$6:$O$12,WEEKDAY($A783,1)))</f>
        <v/>
      </c>
      <c r="C783" s="16">
        <f>IF($A783="","",助理班表!$A30)</f>
        <v/>
      </c>
      <c r="D783" s="16">
        <f>IF($C783="","",助理班表!$B30)</f>
        <v/>
      </c>
      <c r="E783" s="16">
        <f>IF($C783="","",助理班表!$D30)</f>
        <v/>
      </c>
      <c r="F783" s="16">
        <f>IF($C783="","",助理班表!$C30)</f>
        <v/>
      </c>
      <c r="G783" s="16">
        <f>IF($C783="","",助理班表!J30)</f>
        <v/>
      </c>
      <c r="H783" s="83">
        <f>IF($G783="","",IFERROR(IF(INDEX(設定!$D$6:$D$21,MATCH($G783,設定!$B$6:$B$21,0))=0,"",INDEX(設定!$D$6:$D$21,MATCH($G783,設定!$B$6:$B$21,0))),""))</f>
        <v/>
      </c>
      <c r="I783" s="83">
        <f>IF($G783="","",IFERROR(IF(INDEX(設定!$E$6:$E$21,MATCH($G783,設定!$B$6:$B$21,0))=0,"",INDEX(設定!$E$6:$E$21,MATCH($G783,設定!$B$6:$B$21,0))),""))</f>
        <v/>
      </c>
      <c r="J783" s="83">
        <f>IFERROR(INDEX(打卡匯入!$C$3:$C$2002,MATCH($C783&amp;"|"&amp;DAY($A783),打卡匯入!$E$3:$E$2002,0)),"")</f>
        <v/>
      </c>
      <c r="K783" s="83">
        <f>IFERROR(INDEX(打卡匯入!$D$3:$D$2002,MATCH($C783&amp;"|"&amp;DAY($A783),打卡匯入!$E$3:$E$2002,0)),"")</f>
        <v/>
      </c>
      <c r="L783" s="84">
        <f>IF(OR($J783="",$K783=""),"",IFERROR(INDEX(設定!$F$6:$F$21,MATCH($G783,設定!$B$6:$B$21,0)),0))</f>
        <v/>
      </c>
      <c r="M783" s="85">
        <f>IF(OR($J783="",$K783=""),"",ROUND(($K783-$J783)*24-$L783/60,2))</f>
        <v/>
      </c>
      <c r="N783" s="16">
        <f>IF($C783="","",IF(AND(COUNTIF(設定!$B$15:$B$21,$G783)&gt;0,$J783&lt;&gt;""),"假日出勤",IF(AND(COUNTIF(設定!$B$6:$B$14,$G783)&gt;0,$J783=""),"未打卡",IF($J783="","",IF($O783&gt;0,"遲到",IF($P783&gt;0,"早退","正常"))))))</f>
        <v/>
      </c>
      <c r="O783" s="84">
        <f>IF(OR($C783="",$H783="",$J783=""),0,IF(ROUND(($J783-$H783)*1440,0)&gt;設定!$C$46,ROUND(($J783-$H783)*1440,0),0))</f>
        <v/>
      </c>
      <c r="P783" s="84">
        <f>IF(OR($C783="",$I783="",$K783=""),0,IF(ROUND(($I783-$K783)*1440,0)&gt;設定!$C$46,ROUND(($I783-$K783)*1440,0),0))</f>
        <v/>
      </c>
      <c r="Q783" s="85">
        <f>IF($M783="",0,IF(($M783-IFERROR(INDEX(設定!$G$6:$G$21,MATCH($G783,設定!$B$6:$B$21,0)),0))*60&gt;=設定!$C$44,ROUND(FLOOR(($M783-IFERROR(INDEX(設定!$G$6:$G$21,MATCH($G783,設定!$B$6:$B$21,0)),0))*60,設定!$C$45)/60,2),0))</f>
        <v/>
      </c>
      <c r="R783" s="16">
        <f>IF(OR($C783="",$Q783=0),"",IF($G783="國","國定假日",IF($B783="日","例假",IF($B783="六","休息日","平日"))))</f>
        <v/>
      </c>
      <c r="S783" s="19" t="n"/>
    </row>
    <row r="784">
      <c r="A784" s="82">
        <f>IF(OR(助理班表!$A30="",7&gt;DAY(EOMONTH(DATE(設定!$C$2,設定!$D$2,1),0))),"",DATE(設定!$C$2,設定!$D$2,7))</f>
        <v/>
      </c>
      <c r="B784" s="16">
        <f>IF($A784="","",INDEX(設定!$O$6:$O$12,WEEKDAY($A784,1)))</f>
        <v/>
      </c>
      <c r="C784" s="16">
        <f>IF($A784="","",助理班表!$A30)</f>
        <v/>
      </c>
      <c r="D784" s="16">
        <f>IF($C784="","",助理班表!$B30)</f>
        <v/>
      </c>
      <c r="E784" s="16">
        <f>IF($C784="","",助理班表!$D30)</f>
        <v/>
      </c>
      <c r="F784" s="16">
        <f>IF($C784="","",助理班表!$C30)</f>
        <v/>
      </c>
      <c r="G784" s="16">
        <f>IF($C784="","",助理班表!K30)</f>
        <v/>
      </c>
      <c r="H784" s="83">
        <f>IF($G784="","",IFERROR(IF(INDEX(設定!$D$6:$D$21,MATCH($G784,設定!$B$6:$B$21,0))=0,"",INDEX(設定!$D$6:$D$21,MATCH($G784,設定!$B$6:$B$21,0))),""))</f>
        <v/>
      </c>
      <c r="I784" s="83">
        <f>IF($G784="","",IFERROR(IF(INDEX(設定!$E$6:$E$21,MATCH($G784,設定!$B$6:$B$21,0))=0,"",INDEX(設定!$E$6:$E$21,MATCH($G784,設定!$B$6:$B$21,0))),""))</f>
        <v/>
      </c>
      <c r="J784" s="83">
        <f>IFERROR(INDEX(打卡匯入!$C$3:$C$2002,MATCH($C784&amp;"|"&amp;DAY($A784),打卡匯入!$E$3:$E$2002,0)),"")</f>
        <v/>
      </c>
      <c r="K784" s="83">
        <f>IFERROR(INDEX(打卡匯入!$D$3:$D$2002,MATCH($C784&amp;"|"&amp;DAY($A784),打卡匯入!$E$3:$E$2002,0)),"")</f>
        <v/>
      </c>
      <c r="L784" s="84">
        <f>IF(OR($J784="",$K784=""),"",IFERROR(INDEX(設定!$F$6:$F$21,MATCH($G784,設定!$B$6:$B$21,0)),0))</f>
        <v/>
      </c>
      <c r="M784" s="85">
        <f>IF(OR($J784="",$K784=""),"",ROUND(($K784-$J784)*24-$L784/60,2))</f>
        <v/>
      </c>
      <c r="N784" s="16">
        <f>IF($C784="","",IF(AND(COUNTIF(設定!$B$15:$B$21,$G784)&gt;0,$J784&lt;&gt;""),"假日出勤",IF(AND(COUNTIF(設定!$B$6:$B$14,$G784)&gt;0,$J784=""),"未打卡",IF($J784="","",IF($O784&gt;0,"遲到",IF($P784&gt;0,"早退","正常"))))))</f>
        <v/>
      </c>
      <c r="O784" s="84">
        <f>IF(OR($C784="",$H784="",$J784=""),0,IF(ROUND(($J784-$H784)*1440,0)&gt;設定!$C$46,ROUND(($J784-$H784)*1440,0),0))</f>
        <v/>
      </c>
      <c r="P784" s="84">
        <f>IF(OR($C784="",$I784="",$K784=""),0,IF(ROUND(($I784-$K784)*1440,0)&gt;設定!$C$46,ROUND(($I784-$K784)*1440,0),0))</f>
        <v/>
      </c>
      <c r="Q784" s="85">
        <f>IF($M784="",0,IF(($M784-IFERROR(INDEX(設定!$G$6:$G$21,MATCH($G784,設定!$B$6:$B$21,0)),0))*60&gt;=設定!$C$44,ROUND(FLOOR(($M784-IFERROR(INDEX(設定!$G$6:$G$21,MATCH($G784,設定!$B$6:$B$21,0)),0))*60,設定!$C$45)/60,2),0))</f>
        <v/>
      </c>
      <c r="R784" s="16">
        <f>IF(OR($C784="",$Q784=0),"",IF($G784="國","國定假日",IF($B784="日","例假",IF($B784="六","休息日","平日"))))</f>
        <v/>
      </c>
      <c r="S784" s="19" t="n"/>
    </row>
    <row r="785">
      <c r="A785" s="82">
        <f>IF(OR(助理班表!$A30="",8&gt;DAY(EOMONTH(DATE(設定!$C$2,設定!$D$2,1),0))),"",DATE(設定!$C$2,設定!$D$2,8))</f>
        <v/>
      </c>
      <c r="B785" s="16">
        <f>IF($A785="","",INDEX(設定!$O$6:$O$12,WEEKDAY($A785,1)))</f>
        <v/>
      </c>
      <c r="C785" s="16">
        <f>IF($A785="","",助理班表!$A30)</f>
        <v/>
      </c>
      <c r="D785" s="16">
        <f>IF($C785="","",助理班表!$B30)</f>
        <v/>
      </c>
      <c r="E785" s="16">
        <f>IF($C785="","",助理班表!$D30)</f>
        <v/>
      </c>
      <c r="F785" s="16">
        <f>IF($C785="","",助理班表!$C30)</f>
        <v/>
      </c>
      <c r="G785" s="16">
        <f>IF($C785="","",助理班表!L30)</f>
        <v/>
      </c>
      <c r="H785" s="83">
        <f>IF($G785="","",IFERROR(IF(INDEX(設定!$D$6:$D$21,MATCH($G785,設定!$B$6:$B$21,0))=0,"",INDEX(設定!$D$6:$D$21,MATCH($G785,設定!$B$6:$B$21,0))),""))</f>
        <v/>
      </c>
      <c r="I785" s="83">
        <f>IF($G785="","",IFERROR(IF(INDEX(設定!$E$6:$E$21,MATCH($G785,設定!$B$6:$B$21,0))=0,"",INDEX(設定!$E$6:$E$21,MATCH($G785,設定!$B$6:$B$21,0))),""))</f>
        <v/>
      </c>
      <c r="J785" s="83">
        <f>IFERROR(INDEX(打卡匯入!$C$3:$C$2002,MATCH($C785&amp;"|"&amp;DAY($A785),打卡匯入!$E$3:$E$2002,0)),"")</f>
        <v/>
      </c>
      <c r="K785" s="83">
        <f>IFERROR(INDEX(打卡匯入!$D$3:$D$2002,MATCH($C785&amp;"|"&amp;DAY($A785),打卡匯入!$E$3:$E$2002,0)),"")</f>
        <v/>
      </c>
      <c r="L785" s="84">
        <f>IF(OR($J785="",$K785=""),"",IFERROR(INDEX(設定!$F$6:$F$21,MATCH($G785,設定!$B$6:$B$21,0)),0))</f>
        <v/>
      </c>
      <c r="M785" s="85">
        <f>IF(OR($J785="",$K785=""),"",ROUND(($K785-$J785)*24-$L785/60,2))</f>
        <v/>
      </c>
      <c r="N785" s="16">
        <f>IF($C785="","",IF(AND(COUNTIF(設定!$B$15:$B$21,$G785)&gt;0,$J785&lt;&gt;""),"假日出勤",IF(AND(COUNTIF(設定!$B$6:$B$14,$G785)&gt;0,$J785=""),"未打卡",IF($J785="","",IF($O785&gt;0,"遲到",IF($P785&gt;0,"早退","正常"))))))</f>
        <v/>
      </c>
      <c r="O785" s="84">
        <f>IF(OR($C785="",$H785="",$J785=""),0,IF(ROUND(($J785-$H785)*1440,0)&gt;設定!$C$46,ROUND(($J785-$H785)*1440,0),0))</f>
        <v/>
      </c>
      <c r="P785" s="84">
        <f>IF(OR($C785="",$I785="",$K785=""),0,IF(ROUND(($I785-$K785)*1440,0)&gt;設定!$C$46,ROUND(($I785-$K785)*1440,0),0))</f>
        <v/>
      </c>
      <c r="Q785" s="85">
        <f>IF($M785="",0,IF(($M785-IFERROR(INDEX(設定!$G$6:$G$21,MATCH($G785,設定!$B$6:$B$21,0)),0))*60&gt;=設定!$C$44,ROUND(FLOOR(($M785-IFERROR(INDEX(設定!$G$6:$G$21,MATCH($G785,設定!$B$6:$B$21,0)),0))*60,設定!$C$45)/60,2),0))</f>
        <v/>
      </c>
      <c r="R785" s="16">
        <f>IF(OR($C785="",$Q785=0),"",IF($G785="國","國定假日",IF($B785="日","例假",IF($B785="六","休息日","平日"))))</f>
        <v/>
      </c>
      <c r="S785" s="19" t="n"/>
    </row>
    <row r="786">
      <c r="A786" s="82">
        <f>IF(OR(助理班表!$A30="",9&gt;DAY(EOMONTH(DATE(設定!$C$2,設定!$D$2,1),0))),"",DATE(設定!$C$2,設定!$D$2,9))</f>
        <v/>
      </c>
      <c r="B786" s="16">
        <f>IF($A786="","",INDEX(設定!$O$6:$O$12,WEEKDAY($A786,1)))</f>
        <v/>
      </c>
      <c r="C786" s="16">
        <f>IF($A786="","",助理班表!$A30)</f>
        <v/>
      </c>
      <c r="D786" s="16">
        <f>IF($C786="","",助理班表!$B30)</f>
        <v/>
      </c>
      <c r="E786" s="16">
        <f>IF($C786="","",助理班表!$D30)</f>
        <v/>
      </c>
      <c r="F786" s="16">
        <f>IF($C786="","",助理班表!$C30)</f>
        <v/>
      </c>
      <c r="G786" s="16">
        <f>IF($C786="","",助理班表!M30)</f>
        <v/>
      </c>
      <c r="H786" s="83">
        <f>IF($G786="","",IFERROR(IF(INDEX(設定!$D$6:$D$21,MATCH($G786,設定!$B$6:$B$21,0))=0,"",INDEX(設定!$D$6:$D$21,MATCH($G786,設定!$B$6:$B$21,0))),""))</f>
        <v/>
      </c>
      <c r="I786" s="83">
        <f>IF($G786="","",IFERROR(IF(INDEX(設定!$E$6:$E$21,MATCH($G786,設定!$B$6:$B$21,0))=0,"",INDEX(設定!$E$6:$E$21,MATCH($G786,設定!$B$6:$B$21,0))),""))</f>
        <v/>
      </c>
      <c r="J786" s="83">
        <f>IFERROR(INDEX(打卡匯入!$C$3:$C$2002,MATCH($C786&amp;"|"&amp;DAY($A786),打卡匯入!$E$3:$E$2002,0)),"")</f>
        <v/>
      </c>
      <c r="K786" s="83">
        <f>IFERROR(INDEX(打卡匯入!$D$3:$D$2002,MATCH($C786&amp;"|"&amp;DAY($A786),打卡匯入!$E$3:$E$2002,0)),"")</f>
        <v/>
      </c>
      <c r="L786" s="84">
        <f>IF(OR($J786="",$K786=""),"",IFERROR(INDEX(設定!$F$6:$F$21,MATCH($G786,設定!$B$6:$B$21,0)),0))</f>
        <v/>
      </c>
      <c r="M786" s="85">
        <f>IF(OR($J786="",$K786=""),"",ROUND(($K786-$J786)*24-$L786/60,2))</f>
        <v/>
      </c>
      <c r="N786" s="16">
        <f>IF($C786="","",IF(AND(COUNTIF(設定!$B$15:$B$21,$G786)&gt;0,$J786&lt;&gt;""),"假日出勤",IF(AND(COUNTIF(設定!$B$6:$B$14,$G786)&gt;0,$J786=""),"未打卡",IF($J786="","",IF($O786&gt;0,"遲到",IF($P786&gt;0,"早退","正常"))))))</f>
        <v/>
      </c>
      <c r="O786" s="84">
        <f>IF(OR($C786="",$H786="",$J786=""),0,IF(ROUND(($J786-$H786)*1440,0)&gt;設定!$C$46,ROUND(($J786-$H786)*1440,0),0))</f>
        <v/>
      </c>
      <c r="P786" s="84">
        <f>IF(OR($C786="",$I786="",$K786=""),0,IF(ROUND(($I786-$K786)*1440,0)&gt;設定!$C$46,ROUND(($I786-$K786)*1440,0),0))</f>
        <v/>
      </c>
      <c r="Q786" s="85">
        <f>IF($M786="",0,IF(($M786-IFERROR(INDEX(設定!$G$6:$G$21,MATCH($G786,設定!$B$6:$B$21,0)),0))*60&gt;=設定!$C$44,ROUND(FLOOR(($M786-IFERROR(INDEX(設定!$G$6:$G$21,MATCH($G786,設定!$B$6:$B$21,0)),0))*60,設定!$C$45)/60,2),0))</f>
        <v/>
      </c>
      <c r="R786" s="16">
        <f>IF(OR($C786="",$Q786=0),"",IF($G786="國","國定假日",IF($B786="日","例假",IF($B786="六","休息日","平日"))))</f>
        <v/>
      </c>
      <c r="S786" s="19" t="n"/>
    </row>
    <row r="787">
      <c r="A787" s="82">
        <f>IF(OR(助理班表!$A30="",10&gt;DAY(EOMONTH(DATE(設定!$C$2,設定!$D$2,1),0))),"",DATE(設定!$C$2,設定!$D$2,10))</f>
        <v/>
      </c>
      <c r="B787" s="16">
        <f>IF($A787="","",INDEX(設定!$O$6:$O$12,WEEKDAY($A787,1)))</f>
        <v/>
      </c>
      <c r="C787" s="16">
        <f>IF($A787="","",助理班表!$A30)</f>
        <v/>
      </c>
      <c r="D787" s="16">
        <f>IF($C787="","",助理班表!$B30)</f>
        <v/>
      </c>
      <c r="E787" s="16">
        <f>IF($C787="","",助理班表!$D30)</f>
        <v/>
      </c>
      <c r="F787" s="16">
        <f>IF($C787="","",助理班表!$C30)</f>
        <v/>
      </c>
      <c r="G787" s="16">
        <f>IF($C787="","",助理班表!N30)</f>
        <v/>
      </c>
      <c r="H787" s="83">
        <f>IF($G787="","",IFERROR(IF(INDEX(設定!$D$6:$D$21,MATCH($G787,設定!$B$6:$B$21,0))=0,"",INDEX(設定!$D$6:$D$21,MATCH($G787,設定!$B$6:$B$21,0))),""))</f>
        <v/>
      </c>
      <c r="I787" s="83">
        <f>IF($G787="","",IFERROR(IF(INDEX(設定!$E$6:$E$21,MATCH($G787,設定!$B$6:$B$21,0))=0,"",INDEX(設定!$E$6:$E$21,MATCH($G787,設定!$B$6:$B$21,0))),""))</f>
        <v/>
      </c>
      <c r="J787" s="83">
        <f>IFERROR(INDEX(打卡匯入!$C$3:$C$2002,MATCH($C787&amp;"|"&amp;DAY($A787),打卡匯入!$E$3:$E$2002,0)),"")</f>
        <v/>
      </c>
      <c r="K787" s="83">
        <f>IFERROR(INDEX(打卡匯入!$D$3:$D$2002,MATCH($C787&amp;"|"&amp;DAY($A787),打卡匯入!$E$3:$E$2002,0)),"")</f>
        <v/>
      </c>
      <c r="L787" s="84">
        <f>IF(OR($J787="",$K787=""),"",IFERROR(INDEX(設定!$F$6:$F$21,MATCH($G787,設定!$B$6:$B$21,0)),0))</f>
        <v/>
      </c>
      <c r="M787" s="85">
        <f>IF(OR($J787="",$K787=""),"",ROUND(($K787-$J787)*24-$L787/60,2))</f>
        <v/>
      </c>
      <c r="N787" s="16">
        <f>IF($C787="","",IF(AND(COUNTIF(設定!$B$15:$B$21,$G787)&gt;0,$J787&lt;&gt;""),"假日出勤",IF(AND(COUNTIF(設定!$B$6:$B$14,$G787)&gt;0,$J787=""),"未打卡",IF($J787="","",IF($O787&gt;0,"遲到",IF($P787&gt;0,"早退","正常"))))))</f>
        <v/>
      </c>
      <c r="O787" s="84">
        <f>IF(OR($C787="",$H787="",$J787=""),0,IF(ROUND(($J787-$H787)*1440,0)&gt;設定!$C$46,ROUND(($J787-$H787)*1440,0),0))</f>
        <v/>
      </c>
      <c r="P787" s="84">
        <f>IF(OR($C787="",$I787="",$K787=""),0,IF(ROUND(($I787-$K787)*1440,0)&gt;設定!$C$46,ROUND(($I787-$K787)*1440,0),0))</f>
        <v/>
      </c>
      <c r="Q787" s="85">
        <f>IF($M787="",0,IF(($M787-IFERROR(INDEX(設定!$G$6:$G$21,MATCH($G787,設定!$B$6:$B$21,0)),0))*60&gt;=設定!$C$44,ROUND(FLOOR(($M787-IFERROR(INDEX(設定!$G$6:$G$21,MATCH($G787,設定!$B$6:$B$21,0)),0))*60,設定!$C$45)/60,2),0))</f>
        <v/>
      </c>
      <c r="R787" s="16">
        <f>IF(OR($C787="",$Q787=0),"",IF($G787="國","國定假日",IF($B787="日","例假",IF($B787="六","休息日","平日"))))</f>
        <v/>
      </c>
      <c r="S787" s="19" t="n"/>
    </row>
    <row r="788">
      <c r="A788" s="82">
        <f>IF(OR(助理班表!$A30="",11&gt;DAY(EOMONTH(DATE(設定!$C$2,設定!$D$2,1),0))),"",DATE(設定!$C$2,設定!$D$2,11))</f>
        <v/>
      </c>
      <c r="B788" s="16">
        <f>IF($A788="","",INDEX(設定!$O$6:$O$12,WEEKDAY($A788,1)))</f>
        <v/>
      </c>
      <c r="C788" s="16">
        <f>IF($A788="","",助理班表!$A30)</f>
        <v/>
      </c>
      <c r="D788" s="16">
        <f>IF($C788="","",助理班表!$B30)</f>
        <v/>
      </c>
      <c r="E788" s="16">
        <f>IF($C788="","",助理班表!$D30)</f>
        <v/>
      </c>
      <c r="F788" s="16">
        <f>IF($C788="","",助理班表!$C30)</f>
        <v/>
      </c>
      <c r="G788" s="16">
        <f>IF($C788="","",助理班表!O30)</f>
        <v/>
      </c>
      <c r="H788" s="83">
        <f>IF($G788="","",IFERROR(IF(INDEX(設定!$D$6:$D$21,MATCH($G788,設定!$B$6:$B$21,0))=0,"",INDEX(設定!$D$6:$D$21,MATCH($G788,設定!$B$6:$B$21,0))),""))</f>
        <v/>
      </c>
      <c r="I788" s="83">
        <f>IF($G788="","",IFERROR(IF(INDEX(設定!$E$6:$E$21,MATCH($G788,設定!$B$6:$B$21,0))=0,"",INDEX(設定!$E$6:$E$21,MATCH($G788,設定!$B$6:$B$21,0))),""))</f>
        <v/>
      </c>
      <c r="J788" s="83">
        <f>IFERROR(INDEX(打卡匯入!$C$3:$C$2002,MATCH($C788&amp;"|"&amp;DAY($A788),打卡匯入!$E$3:$E$2002,0)),"")</f>
        <v/>
      </c>
      <c r="K788" s="83">
        <f>IFERROR(INDEX(打卡匯入!$D$3:$D$2002,MATCH($C788&amp;"|"&amp;DAY($A788),打卡匯入!$E$3:$E$2002,0)),"")</f>
        <v/>
      </c>
      <c r="L788" s="84">
        <f>IF(OR($J788="",$K788=""),"",IFERROR(INDEX(設定!$F$6:$F$21,MATCH($G788,設定!$B$6:$B$21,0)),0))</f>
        <v/>
      </c>
      <c r="M788" s="85">
        <f>IF(OR($J788="",$K788=""),"",ROUND(($K788-$J788)*24-$L788/60,2))</f>
        <v/>
      </c>
      <c r="N788" s="16">
        <f>IF($C788="","",IF(AND(COUNTIF(設定!$B$15:$B$21,$G788)&gt;0,$J788&lt;&gt;""),"假日出勤",IF(AND(COUNTIF(設定!$B$6:$B$14,$G788)&gt;0,$J788=""),"未打卡",IF($J788="","",IF($O788&gt;0,"遲到",IF($P788&gt;0,"早退","正常"))))))</f>
        <v/>
      </c>
      <c r="O788" s="84">
        <f>IF(OR($C788="",$H788="",$J788=""),0,IF(ROUND(($J788-$H788)*1440,0)&gt;設定!$C$46,ROUND(($J788-$H788)*1440,0),0))</f>
        <v/>
      </c>
      <c r="P788" s="84">
        <f>IF(OR($C788="",$I788="",$K788=""),0,IF(ROUND(($I788-$K788)*1440,0)&gt;設定!$C$46,ROUND(($I788-$K788)*1440,0),0))</f>
        <v/>
      </c>
      <c r="Q788" s="85">
        <f>IF($M788="",0,IF(($M788-IFERROR(INDEX(設定!$G$6:$G$21,MATCH($G788,設定!$B$6:$B$21,0)),0))*60&gt;=設定!$C$44,ROUND(FLOOR(($M788-IFERROR(INDEX(設定!$G$6:$G$21,MATCH($G788,設定!$B$6:$B$21,0)),0))*60,設定!$C$45)/60,2),0))</f>
        <v/>
      </c>
      <c r="R788" s="16">
        <f>IF(OR($C788="",$Q788=0),"",IF($G788="國","國定假日",IF($B788="日","例假",IF($B788="六","休息日","平日"))))</f>
        <v/>
      </c>
      <c r="S788" s="19" t="n"/>
    </row>
    <row r="789">
      <c r="A789" s="82">
        <f>IF(OR(助理班表!$A30="",12&gt;DAY(EOMONTH(DATE(設定!$C$2,設定!$D$2,1),0))),"",DATE(設定!$C$2,設定!$D$2,12))</f>
        <v/>
      </c>
      <c r="B789" s="16">
        <f>IF($A789="","",INDEX(設定!$O$6:$O$12,WEEKDAY($A789,1)))</f>
        <v/>
      </c>
      <c r="C789" s="16">
        <f>IF($A789="","",助理班表!$A30)</f>
        <v/>
      </c>
      <c r="D789" s="16">
        <f>IF($C789="","",助理班表!$B30)</f>
        <v/>
      </c>
      <c r="E789" s="16">
        <f>IF($C789="","",助理班表!$D30)</f>
        <v/>
      </c>
      <c r="F789" s="16">
        <f>IF($C789="","",助理班表!$C30)</f>
        <v/>
      </c>
      <c r="G789" s="16">
        <f>IF($C789="","",助理班表!P30)</f>
        <v/>
      </c>
      <c r="H789" s="83">
        <f>IF($G789="","",IFERROR(IF(INDEX(設定!$D$6:$D$21,MATCH($G789,設定!$B$6:$B$21,0))=0,"",INDEX(設定!$D$6:$D$21,MATCH($G789,設定!$B$6:$B$21,0))),""))</f>
        <v/>
      </c>
      <c r="I789" s="83">
        <f>IF($G789="","",IFERROR(IF(INDEX(設定!$E$6:$E$21,MATCH($G789,設定!$B$6:$B$21,0))=0,"",INDEX(設定!$E$6:$E$21,MATCH($G789,設定!$B$6:$B$21,0))),""))</f>
        <v/>
      </c>
      <c r="J789" s="83">
        <f>IFERROR(INDEX(打卡匯入!$C$3:$C$2002,MATCH($C789&amp;"|"&amp;DAY($A789),打卡匯入!$E$3:$E$2002,0)),"")</f>
        <v/>
      </c>
      <c r="K789" s="83">
        <f>IFERROR(INDEX(打卡匯入!$D$3:$D$2002,MATCH($C789&amp;"|"&amp;DAY($A789),打卡匯入!$E$3:$E$2002,0)),"")</f>
        <v/>
      </c>
      <c r="L789" s="84">
        <f>IF(OR($J789="",$K789=""),"",IFERROR(INDEX(設定!$F$6:$F$21,MATCH($G789,設定!$B$6:$B$21,0)),0))</f>
        <v/>
      </c>
      <c r="M789" s="85">
        <f>IF(OR($J789="",$K789=""),"",ROUND(($K789-$J789)*24-$L789/60,2))</f>
        <v/>
      </c>
      <c r="N789" s="16">
        <f>IF($C789="","",IF(AND(COUNTIF(設定!$B$15:$B$21,$G789)&gt;0,$J789&lt;&gt;""),"假日出勤",IF(AND(COUNTIF(設定!$B$6:$B$14,$G789)&gt;0,$J789=""),"未打卡",IF($J789="","",IF($O789&gt;0,"遲到",IF($P789&gt;0,"早退","正常"))))))</f>
        <v/>
      </c>
      <c r="O789" s="84">
        <f>IF(OR($C789="",$H789="",$J789=""),0,IF(ROUND(($J789-$H789)*1440,0)&gt;設定!$C$46,ROUND(($J789-$H789)*1440,0),0))</f>
        <v/>
      </c>
      <c r="P789" s="84">
        <f>IF(OR($C789="",$I789="",$K789=""),0,IF(ROUND(($I789-$K789)*1440,0)&gt;設定!$C$46,ROUND(($I789-$K789)*1440,0),0))</f>
        <v/>
      </c>
      <c r="Q789" s="85">
        <f>IF($M789="",0,IF(($M789-IFERROR(INDEX(設定!$G$6:$G$21,MATCH($G789,設定!$B$6:$B$21,0)),0))*60&gt;=設定!$C$44,ROUND(FLOOR(($M789-IFERROR(INDEX(設定!$G$6:$G$21,MATCH($G789,設定!$B$6:$B$21,0)),0))*60,設定!$C$45)/60,2),0))</f>
        <v/>
      </c>
      <c r="R789" s="16">
        <f>IF(OR($C789="",$Q789=0),"",IF($G789="國","國定假日",IF($B789="日","例假",IF($B789="六","休息日","平日"))))</f>
        <v/>
      </c>
      <c r="S789" s="19" t="n"/>
    </row>
    <row r="790">
      <c r="A790" s="82">
        <f>IF(OR(助理班表!$A30="",13&gt;DAY(EOMONTH(DATE(設定!$C$2,設定!$D$2,1),0))),"",DATE(設定!$C$2,設定!$D$2,13))</f>
        <v/>
      </c>
      <c r="B790" s="16">
        <f>IF($A790="","",INDEX(設定!$O$6:$O$12,WEEKDAY($A790,1)))</f>
        <v/>
      </c>
      <c r="C790" s="16">
        <f>IF($A790="","",助理班表!$A30)</f>
        <v/>
      </c>
      <c r="D790" s="16">
        <f>IF($C790="","",助理班表!$B30)</f>
        <v/>
      </c>
      <c r="E790" s="16">
        <f>IF($C790="","",助理班表!$D30)</f>
        <v/>
      </c>
      <c r="F790" s="16">
        <f>IF($C790="","",助理班表!$C30)</f>
        <v/>
      </c>
      <c r="G790" s="16">
        <f>IF($C790="","",助理班表!Q30)</f>
        <v/>
      </c>
      <c r="H790" s="83">
        <f>IF($G790="","",IFERROR(IF(INDEX(設定!$D$6:$D$21,MATCH($G790,設定!$B$6:$B$21,0))=0,"",INDEX(設定!$D$6:$D$21,MATCH($G790,設定!$B$6:$B$21,0))),""))</f>
        <v/>
      </c>
      <c r="I790" s="83">
        <f>IF($G790="","",IFERROR(IF(INDEX(設定!$E$6:$E$21,MATCH($G790,設定!$B$6:$B$21,0))=0,"",INDEX(設定!$E$6:$E$21,MATCH($G790,設定!$B$6:$B$21,0))),""))</f>
        <v/>
      </c>
      <c r="J790" s="83">
        <f>IFERROR(INDEX(打卡匯入!$C$3:$C$2002,MATCH($C790&amp;"|"&amp;DAY($A790),打卡匯入!$E$3:$E$2002,0)),"")</f>
        <v/>
      </c>
      <c r="K790" s="83">
        <f>IFERROR(INDEX(打卡匯入!$D$3:$D$2002,MATCH($C790&amp;"|"&amp;DAY($A790),打卡匯入!$E$3:$E$2002,0)),"")</f>
        <v/>
      </c>
      <c r="L790" s="84">
        <f>IF(OR($J790="",$K790=""),"",IFERROR(INDEX(設定!$F$6:$F$21,MATCH($G790,設定!$B$6:$B$21,0)),0))</f>
        <v/>
      </c>
      <c r="M790" s="85">
        <f>IF(OR($J790="",$K790=""),"",ROUND(($K790-$J790)*24-$L790/60,2))</f>
        <v/>
      </c>
      <c r="N790" s="16">
        <f>IF($C790="","",IF(AND(COUNTIF(設定!$B$15:$B$21,$G790)&gt;0,$J790&lt;&gt;""),"假日出勤",IF(AND(COUNTIF(設定!$B$6:$B$14,$G790)&gt;0,$J790=""),"未打卡",IF($J790="","",IF($O790&gt;0,"遲到",IF($P790&gt;0,"早退","正常"))))))</f>
        <v/>
      </c>
      <c r="O790" s="84">
        <f>IF(OR($C790="",$H790="",$J790=""),0,IF(ROUND(($J790-$H790)*1440,0)&gt;設定!$C$46,ROUND(($J790-$H790)*1440,0),0))</f>
        <v/>
      </c>
      <c r="P790" s="84">
        <f>IF(OR($C790="",$I790="",$K790=""),0,IF(ROUND(($I790-$K790)*1440,0)&gt;設定!$C$46,ROUND(($I790-$K790)*1440,0),0))</f>
        <v/>
      </c>
      <c r="Q790" s="85">
        <f>IF($M790="",0,IF(($M790-IFERROR(INDEX(設定!$G$6:$G$21,MATCH($G790,設定!$B$6:$B$21,0)),0))*60&gt;=設定!$C$44,ROUND(FLOOR(($M790-IFERROR(INDEX(設定!$G$6:$G$21,MATCH($G790,設定!$B$6:$B$21,0)),0))*60,設定!$C$45)/60,2),0))</f>
        <v/>
      </c>
      <c r="R790" s="16">
        <f>IF(OR($C790="",$Q790=0),"",IF($G790="國","國定假日",IF($B790="日","例假",IF($B790="六","休息日","平日"))))</f>
        <v/>
      </c>
      <c r="S790" s="19" t="n"/>
    </row>
    <row r="791">
      <c r="A791" s="82">
        <f>IF(OR(助理班表!$A30="",14&gt;DAY(EOMONTH(DATE(設定!$C$2,設定!$D$2,1),0))),"",DATE(設定!$C$2,設定!$D$2,14))</f>
        <v/>
      </c>
      <c r="B791" s="16">
        <f>IF($A791="","",INDEX(設定!$O$6:$O$12,WEEKDAY($A791,1)))</f>
        <v/>
      </c>
      <c r="C791" s="16">
        <f>IF($A791="","",助理班表!$A30)</f>
        <v/>
      </c>
      <c r="D791" s="16">
        <f>IF($C791="","",助理班表!$B30)</f>
        <v/>
      </c>
      <c r="E791" s="16">
        <f>IF($C791="","",助理班表!$D30)</f>
        <v/>
      </c>
      <c r="F791" s="16">
        <f>IF($C791="","",助理班表!$C30)</f>
        <v/>
      </c>
      <c r="G791" s="16">
        <f>IF($C791="","",助理班表!R30)</f>
        <v/>
      </c>
      <c r="H791" s="83">
        <f>IF($G791="","",IFERROR(IF(INDEX(設定!$D$6:$D$21,MATCH($G791,設定!$B$6:$B$21,0))=0,"",INDEX(設定!$D$6:$D$21,MATCH($G791,設定!$B$6:$B$21,0))),""))</f>
        <v/>
      </c>
      <c r="I791" s="83">
        <f>IF($G791="","",IFERROR(IF(INDEX(設定!$E$6:$E$21,MATCH($G791,設定!$B$6:$B$21,0))=0,"",INDEX(設定!$E$6:$E$21,MATCH($G791,設定!$B$6:$B$21,0))),""))</f>
        <v/>
      </c>
      <c r="J791" s="83">
        <f>IFERROR(INDEX(打卡匯入!$C$3:$C$2002,MATCH($C791&amp;"|"&amp;DAY($A791),打卡匯入!$E$3:$E$2002,0)),"")</f>
        <v/>
      </c>
      <c r="K791" s="83">
        <f>IFERROR(INDEX(打卡匯入!$D$3:$D$2002,MATCH($C791&amp;"|"&amp;DAY($A791),打卡匯入!$E$3:$E$2002,0)),"")</f>
        <v/>
      </c>
      <c r="L791" s="84">
        <f>IF(OR($J791="",$K791=""),"",IFERROR(INDEX(設定!$F$6:$F$21,MATCH($G791,設定!$B$6:$B$21,0)),0))</f>
        <v/>
      </c>
      <c r="M791" s="85">
        <f>IF(OR($J791="",$K791=""),"",ROUND(($K791-$J791)*24-$L791/60,2))</f>
        <v/>
      </c>
      <c r="N791" s="16">
        <f>IF($C791="","",IF(AND(COUNTIF(設定!$B$15:$B$21,$G791)&gt;0,$J791&lt;&gt;""),"假日出勤",IF(AND(COUNTIF(設定!$B$6:$B$14,$G791)&gt;0,$J791=""),"未打卡",IF($J791="","",IF($O791&gt;0,"遲到",IF($P791&gt;0,"早退","正常"))))))</f>
        <v/>
      </c>
      <c r="O791" s="84">
        <f>IF(OR($C791="",$H791="",$J791=""),0,IF(ROUND(($J791-$H791)*1440,0)&gt;設定!$C$46,ROUND(($J791-$H791)*1440,0),0))</f>
        <v/>
      </c>
      <c r="P791" s="84">
        <f>IF(OR($C791="",$I791="",$K791=""),0,IF(ROUND(($I791-$K791)*1440,0)&gt;設定!$C$46,ROUND(($I791-$K791)*1440,0),0))</f>
        <v/>
      </c>
      <c r="Q791" s="85">
        <f>IF($M791="",0,IF(($M791-IFERROR(INDEX(設定!$G$6:$G$21,MATCH($G791,設定!$B$6:$B$21,0)),0))*60&gt;=設定!$C$44,ROUND(FLOOR(($M791-IFERROR(INDEX(設定!$G$6:$G$21,MATCH($G791,設定!$B$6:$B$21,0)),0))*60,設定!$C$45)/60,2),0))</f>
        <v/>
      </c>
      <c r="R791" s="16">
        <f>IF(OR($C791="",$Q791=0),"",IF($G791="國","國定假日",IF($B791="日","例假",IF($B791="六","休息日","平日"))))</f>
        <v/>
      </c>
      <c r="S791" s="19" t="n"/>
    </row>
    <row r="792">
      <c r="A792" s="82">
        <f>IF(OR(助理班表!$A30="",15&gt;DAY(EOMONTH(DATE(設定!$C$2,設定!$D$2,1),0))),"",DATE(設定!$C$2,設定!$D$2,15))</f>
        <v/>
      </c>
      <c r="B792" s="16">
        <f>IF($A792="","",INDEX(設定!$O$6:$O$12,WEEKDAY($A792,1)))</f>
        <v/>
      </c>
      <c r="C792" s="16">
        <f>IF($A792="","",助理班表!$A30)</f>
        <v/>
      </c>
      <c r="D792" s="16">
        <f>IF($C792="","",助理班表!$B30)</f>
        <v/>
      </c>
      <c r="E792" s="16">
        <f>IF($C792="","",助理班表!$D30)</f>
        <v/>
      </c>
      <c r="F792" s="16">
        <f>IF($C792="","",助理班表!$C30)</f>
        <v/>
      </c>
      <c r="G792" s="16">
        <f>IF($C792="","",助理班表!S30)</f>
        <v/>
      </c>
      <c r="H792" s="83">
        <f>IF($G792="","",IFERROR(IF(INDEX(設定!$D$6:$D$21,MATCH($G792,設定!$B$6:$B$21,0))=0,"",INDEX(設定!$D$6:$D$21,MATCH($G792,設定!$B$6:$B$21,0))),""))</f>
        <v/>
      </c>
      <c r="I792" s="83">
        <f>IF($G792="","",IFERROR(IF(INDEX(設定!$E$6:$E$21,MATCH($G792,設定!$B$6:$B$21,0))=0,"",INDEX(設定!$E$6:$E$21,MATCH($G792,設定!$B$6:$B$21,0))),""))</f>
        <v/>
      </c>
      <c r="J792" s="83">
        <f>IFERROR(INDEX(打卡匯入!$C$3:$C$2002,MATCH($C792&amp;"|"&amp;DAY($A792),打卡匯入!$E$3:$E$2002,0)),"")</f>
        <v/>
      </c>
      <c r="K792" s="83">
        <f>IFERROR(INDEX(打卡匯入!$D$3:$D$2002,MATCH($C792&amp;"|"&amp;DAY($A792),打卡匯入!$E$3:$E$2002,0)),"")</f>
        <v/>
      </c>
      <c r="L792" s="84">
        <f>IF(OR($J792="",$K792=""),"",IFERROR(INDEX(設定!$F$6:$F$21,MATCH($G792,設定!$B$6:$B$21,0)),0))</f>
        <v/>
      </c>
      <c r="M792" s="85">
        <f>IF(OR($J792="",$K792=""),"",ROUND(($K792-$J792)*24-$L792/60,2))</f>
        <v/>
      </c>
      <c r="N792" s="16">
        <f>IF($C792="","",IF(AND(COUNTIF(設定!$B$15:$B$21,$G792)&gt;0,$J792&lt;&gt;""),"假日出勤",IF(AND(COUNTIF(設定!$B$6:$B$14,$G792)&gt;0,$J792=""),"未打卡",IF($J792="","",IF($O792&gt;0,"遲到",IF($P792&gt;0,"早退","正常"))))))</f>
        <v/>
      </c>
      <c r="O792" s="84">
        <f>IF(OR($C792="",$H792="",$J792=""),0,IF(ROUND(($J792-$H792)*1440,0)&gt;設定!$C$46,ROUND(($J792-$H792)*1440,0),0))</f>
        <v/>
      </c>
      <c r="P792" s="84">
        <f>IF(OR($C792="",$I792="",$K792=""),0,IF(ROUND(($I792-$K792)*1440,0)&gt;設定!$C$46,ROUND(($I792-$K792)*1440,0),0))</f>
        <v/>
      </c>
      <c r="Q792" s="85">
        <f>IF($M792="",0,IF(($M792-IFERROR(INDEX(設定!$G$6:$G$21,MATCH($G792,設定!$B$6:$B$21,0)),0))*60&gt;=設定!$C$44,ROUND(FLOOR(($M792-IFERROR(INDEX(設定!$G$6:$G$21,MATCH($G792,設定!$B$6:$B$21,0)),0))*60,設定!$C$45)/60,2),0))</f>
        <v/>
      </c>
      <c r="R792" s="16">
        <f>IF(OR($C792="",$Q792=0),"",IF($G792="國","國定假日",IF($B792="日","例假",IF($B792="六","休息日","平日"))))</f>
        <v/>
      </c>
      <c r="S792" s="19" t="n"/>
    </row>
    <row r="793">
      <c r="A793" s="82">
        <f>IF(OR(助理班表!$A30="",16&gt;DAY(EOMONTH(DATE(設定!$C$2,設定!$D$2,1),0))),"",DATE(設定!$C$2,設定!$D$2,16))</f>
        <v/>
      </c>
      <c r="B793" s="16">
        <f>IF($A793="","",INDEX(設定!$O$6:$O$12,WEEKDAY($A793,1)))</f>
        <v/>
      </c>
      <c r="C793" s="16">
        <f>IF($A793="","",助理班表!$A30)</f>
        <v/>
      </c>
      <c r="D793" s="16">
        <f>IF($C793="","",助理班表!$B30)</f>
        <v/>
      </c>
      <c r="E793" s="16">
        <f>IF($C793="","",助理班表!$D30)</f>
        <v/>
      </c>
      <c r="F793" s="16">
        <f>IF($C793="","",助理班表!$C30)</f>
        <v/>
      </c>
      <c r="G793" s="16">
        <f>IF($C793="","",助理班表!T30)</f>
        <v/>
      </c>
      <c r="H793" s="83">
        <f>IF($G793="","",IFERROR(IF(INDEX(設定!$D$6:$D$21,MATCH($G793,設定!$B$6:$B$21,0))=0,"",INDEX(設定!$D$6:$D$21,MATCH($G793,設定!$B$6:$B$21,0))),""))</f>
        <v/>
      </c>
      <c r="I793" s="83">
        <f>IF($G793="","",IFERROR(IF(INDEX(設定!$E$6:$E$21,MATCH($G793,設定!$B$6:$B$21,0))=0,"",INDEX(設定!$E$6:$E$21,MATCH($G793,設定!$B$6:$B$21,0))),""))</f>
        <v/>
      </c>
      <c r="J793" s="83">
        <f>IFERROR(INDEX(打卡匯入!$C$3:$C$2002,MATCH($C793&amp;"|"&amp;DAY($A793),打卡匯入!$E$3:$E$2002,0)),"")</f>
        <v/>
      </c>
      <c r="K793" s="83">
        <f>IFERROR(INDEX(打卡匯入!$D$3:$D$2002,MATCH($C793&amp;"|"&amp;DAY($A793),打卡匯入!$E$3:$E$2002,0)),"")</f>
        <v/>
      </c>
      <c r="L793" s="84">
        <f>IF(OR($J793="",$K793=""),"",IFERROR(INDEX(設定!$F$6:$F$21,MATCH($G793,設定!$B$6:$B$21,0)),0))</f>
        <v/>
      </c>
      <c r="M793" s="85">
        <f>IF(OR($J793="",$K793=""),"",ROUND(($K793-$J793)*24-$L793/60,2))</f>
        <v/>
      </c>
      <c r="N793" s="16">
        <f>IF($C793="","",IF(AND(COUNTIF(設定!$B$15:$B$21,$G793)&gt;0,$J793&lt;&gt;""),"假日出勤",IF(AND(COUNTIF(設定!$B$6:$B$14,$G793)&gt;0,$J793=""),"未打卡",IF($J793="","",IF($O793&gt;0,"遲到",IF($P793&gt;0,"早退","正常"))))))</f>
        <v/>
      </c>
      <c r="O793" s="84">
        <f>IF(OR($C793="",$H793="",$J793=""),0,IF(ROUND(($J793-$H793)*1440,0)&gt;設定!$C$46,ROUND(($J793-$H793)*1440,0),0))</f>
        <v/>
      </c>
      <c r="P793" s="84">
        <f>IF(OR($C793="",$I793="",$K793=""),0,IF(ROUND(($I793-$K793)*1440,0)&gt;設定!$C$46,ROUND(($I793-$K793)*1440,0),0))</f>
        <v/>
      </c>
      <c r="Q793" s="85">
        <f>IF($M793="",0,IF(($M793-IFERROR(INDEX(設定!$G$6:$G$21,MATCH($G793,設定!$B$6:$B$21,0)),0))*60&gt;=設定!$C$44,ROUND(FLOOR(($M793-IFERROR(INDEX(設定!$G$6:$G$21,MATCH($G793,設定!$B$6:$B$21,0)),0))*60,設定!$C$45)/60,2),0))</f>
        <v/>
      </c>
      <c r="R793" s="16">
        <f>IF(OR($C793="",$Q793=0),"",IF($G793="國","國定假日",IF($B793="日","例假",IF($B793="六","休息日","平日"))))</f>
        <v/>
      </c>
      <c r="S793" s="19" t="n"/>
    </row>
    <row r="794">
      <c r="A794" s="82">
        <f>IF(OR(助理班表!$A30="",17&gt;DAY(EOMONTH(DATE(設定!$C$2,設定!$D$2,1),0))),"",DATE(設定!$C$2,設定!$D$2,17))</f>
        <v/>
      </c>
      <c r="B794" s="16">
        <f>IF($A794="","",INDEX(設定!$O$6:$O$12,WEEKDAY($A794,1)))</f>
        <v/>
      </c>
      <c r="C794" s="16">
        <f>IF($A794="","",助理班表!$A30)</f>
        <v/>
      </c>
      <c r="D794" s="16">
        <f>IF($C794="","",助理班表!$B30)</f>
        <v/>
      </c>
      <c r="E794" s="16">
        <f>IF($C794="","",助理班表!$D30)</f>
        <v/>
      </c>
      <c r="F794" s="16">
        <f>IF($C794="","",助理班表!$C30)</f>
        <v/>
      </c>
      <c r="G794" s="16">
        <f>IF($C794="","",助理班表!U30)</f>
        <v/>
      </c>
      <c r="H794" s="83">
        <f>IF($G794="","",IFERROR(IF(INDEX(設定!$D$6:$D$21,MATCH($G794,設定!$B$6:$B$21,0))=0,"",INDEX(設定!$D$6:$D$21,MATCH($G794,設定!$B$6:$B$21,0))),""))</f>
        <v/>
      </c>
      <c r="I794" s="83">
        <f>IF($G794="","",IFERROR(IF(INDEX(設定!$E$6:$E$21,MATCH($G794,設定!$B$6:$B$21,0))=0,"",INDEX(設定!$E$6:$E$21,MATCH($G794,設定!$B$6:$B$21,0))),""))</f>
        <v/>
      </c>
      <c r="J794" s="83">
        <f>IFERROR(INDEX(打卡匯入!$C$3:$C$2002,MATCH($C794&amp;"|"&amp;DAY($A794),打卡匯入!$E$3:$E$2002,0)),"")</f>
        <v/>
      </c>
      <c r="K794" s="83">
        <f>IFERROR(INDEX(打卡匯入!$D$3:$D$2002,MATCH($C794&amp;"|"&amp;DAY($A794),打卡匯入!$E$3:$E$2002,0)),"")</f>
        <v/>
      </c>
      <c r="L794" s="84">
        <f>IF(OR($J794="",$K794=""),"",IFERROR(INDEX(設定!$F$6:$F$21,MATCH($G794,設定!$B$6:$B$21,0)),0))</f>
        <v/>
      </c>
      <c r="M794" s="85">
        <f>IF(OR($J794="",$K794=""),"",ROUND(($K794-$J794)*24-$L794/60,2))</f>
        <v/>
      </c>
      <c r="N794" s="16">
        <f>IF($C794="","",IF(AND(COUNTIF(設定!$B$15:$B$21,$G794)&gt;0,$J794&lt;&gt;""),"假日出勤",IF(AND(COUNTIF(設定!$B$6:$B$14,$G794)&gt;0,$J794=""),"未打卡",IF($J794="","",IF($O794&gt;0,"遲到",IF($P794&gt;0,"早退","正常"))))))</f>
        <v/>
      </c>
      <c r="O794" s="84">
        <f>IF(OR($C794="",$H794="",$J794=""),0,IF(ROUND(($J794-$H794)*1440,0)&gt;設定!$C$46,ROUND(($J794-$H794)*1440,0),0))</f>
        <v/>
      </c>
      <c r="P794" s="84">
        <f>IF(OR($C794="",$I794="",$K794=""),0,IF(ROUND(($I794-$K794)*1440,0)&gt;設定!$C$46,ROUND(($I794-$K794)*1440,0),0))</f>
        <v/>
      </c>
      <c r="Q794" s="85">
        <f>IF($M794="",0,IF(($M794-IFERROR(INDEX(設定!$G$6:$G$21,MATCH($G794,設定!$B$6:$B$21,0)),0))*60&gt;=設定!$C$44,ROUND(FLOOR(($M794-IFERROR(INDEX(設定!$G$6:$G$21,MATCH($G794,設定!$B$6:$B$21,0)),0))*60,設定!$C$45)/60,2),0))</f>
        <v/>
      </c>
      <c r="R794" s="16">
        <f>IF(OR($C794="",$Q794=0),"",IF($G794="國","國定假日",IF($B794="日","例假",IF($B794="六","休息日","平日"))))</f>
        <v/>
      </c>
      <c r="S794" s="19" t="n"/>
    </row>
    <row r="795">
      <c r="A795" s="82">
        <f>IF(OR(助理班表!$A30="",18&gt;DAY(EOMONTH(DATE(設定!$C$2,設定!$D$2,1),0))),"",DATE(設定!$C$2,設定!$D$2,18))</f>
        <v/>
      </c>
      <c r="B795" s="16">
        <f>IF($A795="","",INDEX(設定!$O$6:$O$12,WEEKDAY($A795,1)))</f>
        <v/>
      </c>
      <c r="C795" s="16">
        <f>IF($A795="","",助理班表!$A30)</f>
        <v/>
      </c>
      <c r="D795" s="16">
        <f>IF($C795="","",助理班表!$B30)</f>
        <v/>
      </c>
      <c r="E795" s="16">
        <f>IF($C795="","",助理班表!$D30)</f>
        <v/>
      </c>
      <c r="F795" s="16">
        <f>IF($C795="","",助理班表!$C30)</f>
        <v/>
      </c>
      <c r="G795" s="16">
        <f>IF($C795="","",助理班表!V30)</f>
        <v/>
      </c>
      <c r="H795" s="83">
        <f>IF($G795="","",IFERROR(IF(INDEX(設定!$D$6:$D$21,MATCH($G795,設定!$B$6:$B$21,0))=0,"",INDEX(設定!$D$6:$D$21,MATCH($G795,設定!$B$6:$B$21,0))),""))</f>
        <v/>
      </c>
      <c r="I795" s="83">
        <f>IF($G795="","",IFERROR(IF(INDEX(設定!$E$6:$E$21,MATCH($G795,設定!$B$6:$B$21,0))=0,"",INDEX(設定!$E$6:$E$21,MATCH($G795,設定!$B$6:$B$21,0))),""))</f>
        <v/>
      </c>
      <c r="J795" s="83">
        <f>IFERROR(INDEX(打卡匯入!$C$3:$C$2002,MATCH($C795&amp;"|"&amp;DAY($A795),打卡匯入!$E$3:$E$2002,0)),"")</f>
        <v/>
      </c>
      <c r="K795" s="83">
        <f>IFERROR(INDEX(打卡匯入!$D$3:$D$2002,MATCH($C795&amp;"|"&amp;DAY($A795),打卡匯入!$E$3:$E$2002,0)),"")</f>
        <v/>
      </c>
      <c r="L795" s="84">
        <f>IF(OR($J795="",$K795=""),"",IFERROR(INDEX(設定!$F$6:$F$21,MATCH($G795,設定!$B$6:$B$21,0)),0))</f>
        <v/>
      </c>
      <c r="M795" s="85">
        <f>IF(OR($J795="",$K795=""),"",ROUND(($K795-$J795)*24-$L795/60,2))</f>
        <v/>
      </c>
      <c r="N795" s="16">
        <f>IF($C795="","",IF(AND(COUNTIF(設定!$B$15:$B$21,$G795)&gt;0,$J795&lt;&gt;""),"假日出勤",IF(AND(COUNTIF(設定!$B$6:$B$14,$G795)&gt;0,$J795=""),"未打卡",IF($J795="","",IF($O795&gt;0,"遲到",IF($P795&gt;0,"早退","正常"))))))</f>
        <v/>
      </c>
      <c r="O795" s="84">
        <f>IF(OR($C795="",$H795="",$J795=""),0,IF(ROUND(($J795-$H795)*1440,0)&gt;設定!$C$46,ROUND(($J795-$H795)*1440,0),0))</f>
        <v/>
      </c>
      <c r="P795" s="84">
        <f>IF(OR($C795="",$I795="",$K795=""),0,IF(ROUND(($I795-$K795)*1440,0)&gt;設定!$C$46,ROUND(($I795-$K795)*1440,0),0))</f>
        <v/>
      </c>
      <c r="Q795" s="85">
        <f>IF($M795="",0,IF(($M795-IFERROR(INDEX(設定!$G$6:$G$21,MATCH($G795,設定!$B$6:$B$21,0)),0))*60&gt;=設定!$C$44,ROUND(FLOOR(($M795-IFERROR(INDEX(設定!$G$6:$G$21,MATCH($G795,設定!$B$6:$B$21,0)),0))*60,設定!$C$45)/60,2),0))</f>
        <v/>
      </c>
      <c r="R795" s="16">
        <f>IF(OR($C795="",$Q795=0),"",IF($G795="國","國定假日",IF($B795="日","例假",IF($B795="六","休息日","平日"))))</f>
        <v/>
      </c>
      <c r="S795" s="19" t="n"/>
    </row>
    <row r="796">
      <c r="A796" s="82">
        <f>IF(OR(助理班表!$A30="",19&gt;DAY(EOMONTH(DATE(設定!$C$2,設定!$D$2,1),0))),"",DATE(設定!$C$2,設定!$D$2,19))</f>
        <v/>
      </c>
      <c r="B796" s="16">
        <f>IF($A796="","",INDEX(設定!$O$6:$O$12,WEEKDAY($A796,1)))</f>
        <v/>
      </c>
      <c r="C796" s="16">
        <f>IF($A796="","",助理班表!$A30)</f>
        <v/>
      </c>
      <c r="D796" s="16">
        <f>IF($C796="","",助理班表!$B30)</f>
        <v/>
      </c>
      <c r="E796" s="16">
        <f>IF($C796="","",助理班表!$D30)</f>
        <v/>
      </c>
      <c r="F796" s="16">
        <f>IF($C796="","",助理班表!$C30)</f>
        <v/>
      </c>
      <c r="G796" s="16">
        <f>IF($C796="","",助理班表!W30)</f>
        <v/>
      </c>
      <c r="H796" s="83">
        <f>IF($G796="","",IFERROR(IF(INDEX(設定!$D$6:$D$21,MATCH($G796,設定!$B$6:$B$21,0))=0,"",INDEX(設定!$D$6:$D$21,MATCH($G796,設定!$B$6:$B$21,0))),""))</f>
        <v/>
      </c>
      <c r="I796" s="83">
        <f>IF($G796="","",IFERROR(IF(INDEX(設定!$E$6:$E$21,MATCH($G796,設定!$B$6:$B$21,0))=0,"",INDEX(設定!$E$6:$E$21,MATCH($G796,設定!$B$6:$B$21,0))),""))</f>
        <v/>
      </c>
      <c r="J796" s="83">
        <f>IFERROR(INDEX(打卡匯入!$C$3:$C$2002,MATCH($C796&amp;"|"&amp;DAY($A796),打卡匯入!$E$3:$E$2002,0)),"")</f>
        <v/>
      </c>
      <c r="K796" s="83">
        <f>IFERROR(INDEX(打卡匯入!$D$3:$D$2002,MATCH($C796&amp;"|"&amp;DAY($A796),打卡匯入!$E$3:$E$2002,0)),"")</f>
        <v/>
      </c>
      <c r="L796" s="84">
        <f>IF(OR($J796="",$K796=""),"",IFERROR(INDEX(設定!$F$6:$F$21,MATCH($G796,設定!$B$6:$B$21,0)),0))</f>
        <v/>
      </c>
      <c r="M796" s="85">
        <f>IF(OR($J796="",$K796=""),"",ROUND(($K796-$J796)*24-$L796/60,2))</f>
        <v/>
      </c>
      <c r="N796" s="16">
        <f>IF($C796="","",IF(AND(COUNTIF(設定!$B$15:$B$21,$G796)&gt;0,$J796&lt;&gt;""),"假日出勤",IF(AND(COUNTIF(設定!$B$6:$B$14,$G796)&gt;0,$J796=""),"未打卡",IF($J796="","",IF($O796&gt;0,"遲到",IF($P796&gt;0,"早退","正常"))))))</f>
        <v/>
      </c>
      <c r="O796" s="84">
        <f>IF(OR($C796="",$H796="",$J796=""),0,IF(ROUND(($J796-$H796)*1440,0)&gt;設定!$C$46,ROUND(($J796-$H796)*1440,0),0))</f>
        <v/>
      </c>
      <c r="P796" s="84">
        <f>IF(OR($C796="",$I796="",$K796=""),0,IF(ROUND(($I796-$K796)*1440,0)&gt;設定!$C$46,ROUND(($I796-$K796)*1440,0),0))</f>
        <v/>
      </c>
      <c r="Q796" s="85">
        <f>IF($M796="",0,IF(($M796-IFERROR(INDEX(設定!$G$6:$G$21,MATCH($G796,設定!$B$6:$B$21,0)),0))*60&gt;=設定!$C$44,ROUND(FLOOR(($M796-IFERROR(INDEX(設定!$G$6:$G$21,MATCH($G796,設定!$B$6:$B$21,0)),0))*60,設定!$C$45)/60,2),0))</f>
        <v/>
      </c>
      <c r="R796" s="16">
        <f>IF(OR($C796="",$Q796=0),"",IF($G796="國","國定假日",IF($B796="日","例假",IF($B796="六","休息日","平日"))))</f>
        <v/>
      </c>
      <c r="S796" s="19" t="n"/>
    </row>
    <row r="797">
      <c r="A797" s="82">
        <f>IF(OR(助理班表!$A30="",20&gt;DAY(EOMONTH(DATE(設定!$C$2,設定!$D$2,1),0))),"",DATE(設定!$C$2,設定!$D$2,20))</f>
        <v/>
      </c>
      <c r="B797" s="16">
        <f>IF($A797="","",INDEX(設定!$O$6:$O$12,WEEKDAY($A797,1)))</f>
        <v/>
      </c>
      <c r="C797" s="16">
        <f>IF($A797="","",助理班表!$A30)</f>
        <v/>
      </c>
      <c r="D797" s="16">
        <f>IF($C797="","",助理班表!$B30)</f>
        <v/>
      </c>
      <c r="E797" s="16">
        <f>IF($C797="","",助理班表!$D30)</f>
        <v/>
      </c>
      <c r="F797" s="16">
        <f>IF($C797="","",助理班表!$C30)</f>
        <v/>
      </c>
      <c r="G797" s="16">
        <f>IF($C797="","",助理班表!X30)</f>
        <v/>
      </c>
      <c r="H797" s="83">
        <f>IF($G797="","",IFERROR(IF(INDEX(設定!$D$6:$D$21,MATCH($G797,設定!$B$6:$B$21,0))=0,"",INDEX(設定!$D$6:$D$21,MATCH($G797,設定!$B$6:$B$21,0))),""))</f>
        <v/>
      </c>
      <c r="I797" s="83">
        <f>IF($G797="","",IFERROR(IF(INDEX(設定!$E$6:$E$21,MATCH($G797,設定!$B$6:$B$21,0))=0,"",INDEX(設定!$E$6:$E$21,MATCH($G797,設定!$B$6:$B$21,0))),""))</f>
        <v/>
      </c>
      <c r="J797" s="83">
        <f>IFERROR(INDEX(打卡匯入!$C$3:$C$2002,MATCH($C797&amp;"|"&amp;DAY($A797),打卡匯入!$E$3:$E$2002,0)),"")</f>
        <v/>
      </c>
      <c r="K797" s="83">
        <f>IFERROR(INDEX(打卡匯入!$D$3:$D$2002,MATCH($C797&amp;"|"&amp;DAY($A797),打卡匯入!$E$3:$E$2002,0)),"")</f>
        <v/>
      </c>
      <c r="L797" s="84">
        <f>IF(OR($J797="",$K797=""),"",IFERROR(INDEX(設定!$F$6:$F$21,MATCH($G797,設定!$B$6:$B$21,0)),0))</f>
        <v/>
      </c>
      <c r="M797" s="85">
        <f>IF(OR($J797="",$K797=""),"",ROUND(($K797-$J797)*24-$L797/60,2))</f>
        <v/>
      </c>
      <c r="N797" s="16">
        <f>IF($C797="","",IF(AND(COUNTIF(設定!$B$15:$B$21,$G797)&gt;0,$J797&lt;&gt;""),"假日出勤",IF(AND(COUNTIF(設定!$B$6:$B$14,$G797)&gt;0,$J797=""),"未打卡",IF($J797="","",IF($O797&gt;0,"遲到",IF($P797&gt;0,"早退","正常"))))))</f>
        <v/>
      </c>
      <c r="O797" s="84">
        <f>IF(OR($C797="",$H797="",$J797=""),0,IF(ROUND(($J797-$H797)*1440,0)&gt;設定!$C$46,ROUND(($J797-$H797)*1440,0),0))</f>
        <v/>
      </c>
      <c r="P797" s="84">
        <f>IF(OR($C797="",$I797="",$K797=""),0,IF(ROUND(($I797-$K797)*1440,0)&gt;設定!$C$46,ROUND(($I797-$K797)*1440,0),0))</f>
        <v/>
      </c>
      <c r="Q797" s="85">
        <f>IF($M797="",0,IF(($M797-IFERROR(INDEX(設定!$G$6:$G$21,MATCH($G797,設定!$B$6:$B$21,0)),0))*60&gt;=設定!$C$44,ROUND(FLOOR(($M797-IFERROR(INDEX(設定!$G$6:$G$21,MATCH($G797,設定!$B$6:$B$21,0)),0))*60,設定!$C$45)/60,2),0))</f>
        <v/>
      </c>
      <c r="R797" s="16">
        <f>IF(OR($C797="",$Q797=0),"",IF($G797="國","國定假日",IF($B797="日","例假",IF($B797="六","休息日","平日"))))</f>
        <v/>
      </c>
      <c r="S797" s="19" t="n"/>
    </row>
    <row r="798">
      <c r="A798" s="82">
        <f>IF(OR(助理班表!$A30="",21&gt;DAY(EOMONTH(DATE(設定!$C$2,設定!$D$2,1),0))),"",DATE(設定!$C$2,設定!$D$2,21))</f>
        <v/>
      </c>
      <c r="B798" s="16">
        <f>IF($A798="","",INDEX(設定!$O$6:$O$12,WEEKDAY($A798,1)))</f>
        <v/>
      </c>
      <c r="C798" s="16">
        <f>IF($A798="","",助理班表!$A30)</f>
        <v/>
      </c>
      <c r="D798" s="16">
        <f>IF($C798="","",助理班表!$B30)</f>
        <v/>
      </c>
      <c r="E798" s="16">
        <f>IF($C798="","",助理班表!$D30)</f>
        <v/>
      </c>
      <c r="F798" s="16">
        <f>IF($C798="","",助理班表!$C30)</f>
        <v/>
      </c>
      <c r="G798" s="16">
        <f>IF($C798="","",助理班表!Y30)</f>
        <v/>
      </c>
      <c r="H798" s="83">
        <f>IF($G798="","",IFERROR(IF(INDEX(設定!$D$6:$D$21,MATCH($G798,設定!$B$6:$B$21,0))=0,"",INDEX(設定!$D$6:$D$21,MATCH($G798,設定!$B$6:$B$21,0))),""))</f>
        <v/>
      </c>
      <c r="I798" s="83">
        <f>IF($G798="","",IFERROR(IF(INDEX(設定!$E$6:$E$21,MATCH($G798,設定!$B$6:$B$21,0))=0,"",INDEX(設定!$E$6:$E$21,MATCH($G798,設定!$B$6:$B$21,0))),""))</f>
        <v/>
      </c>
      <c r="J798" s="83">
        <f>IFERROR(INDEX(打卡匯入!$C$3:$C$2002,MATCH($C798&amp;"|"&amp;DAY($A798),打卡匯入!$E$3:$E$2002,0)),"")</f>
        <v/>
      </c>
      <c r="K798" s="83">
        <f>IFERROR(INDEX(打卡匯入!$D$3:$D$2002,MATCH($C798&amp;"|"&amp;DAY($A798),打卡匯入!$E$3:$E$2002,0)),"")</f>
        <v/>
      </c>
      <c r="L798" s="84">
        <f>IF(OR($J798="",$K798=""),"",IFERROR(INDEX(設定!$F$6:$F$21,MATCH($G798,設定!$B$6:$B$21,0)),0))</f>
        <v/>
      </c>
      <c r="M798" s="85">
        <f>IF(OR($J798="",$K798=""),"",ROUND(($K798-$J798)*24-$L798/60,2))</f>
        <v/>
      </c>
      <c r="N798" s="16">
        <f>IF($C798="","",IF(AND(COUNTIF(設定!$B$15:$B$21,$G798)&gt;0,$J798&lt;&gt;""),"假日出勤",IF(AND(COUNTIF(設定!$B$6:$B$14,$G798)&gt;0,$J798=""),"未打卡",IF($J798="","",IF($O798&gt;0,"遲到",IF($P798&gt;0,"早退","正常"))))))</f>
        <v/>
      </c>
      <c r="O798" s="84">
        <f>IF(OR($C798="",$H798="",$J798=""),0,IF(ROUND(($J798-$H798)*1440,0)&gt;設定!$C$46,ROUND(($J798-$H798)*1440,0),0))</f>
        <v/>
      </c>
      <c r="P798" s="84">
        <f>IF(OR($C798="",$I798="",$K798=""),0,IF(ROUND(($I798-$K798)*1440,0)&gt;設定!$C$46,ROUND(($I798-$K798)*1440,0),0))</f>
        <v/>
      </c>
      <c r="Q798" s="85">
        <f>IF($M798="",0,IF(($M798-IFERROR(INDEX(設定!$G$6:$G$21,MATCH($G798,設定!$B$6:$B$21,0)),0))*60&gt;=設定!$C$44,ROUND(FLOOR(($M798-IFERROR(INDEX(設定!$G$6:$G$21,MATCH($G798,設定!$B$6:$B$21,0)),0))*60,設定!$C$45)/60,2),0))</f>
        <v/>
      </c>
      <c r="R798" s="16">
        <f>IF(OR($C798="",$Q798=0),"",IF($G798="國","國定假日",IF($B798="日","例假",IF($B798="六","休息日","平日"))))</f>
        <v/>
      </c>
      <c r="S798" s="19" t="n"/>
    </row>
    <row r="799">
      <c r="A799" s="82">
        <f>IF(OR(助理班表!$A30="",22&gt;DAY(EOMONTH(DATE(設定!$C$2,設定!$D$2,1),0))),"",DATE(設定!$C$2,設定!$D$2,22))</f>
        <v/>
      </c>
      <c r="B799" s="16">
        <f>IF($A799="","",INDEX(設定!$O$6:$O$12,WEEKDAY($A799,1)))</f>
        <v/>
      </c>
      <c r="C799" s="16">
        <f>IF($A799="","",助理班表!$A30)</f>
        <v/>
      </c>
      <c r="D799" s="16">
        <f>IF($C799="","",助理班表!$B30)</f>
        <v/>
      </c>
      <c r="E799" s="16">
        <f>IF($C799="","",助理班表!$D30)</f>
        <v/>
      </c>
      <c r="F799" s="16">
        <f>IF($C799="","",助理班表!$C30)</f>
        <v/>
      </c>
      <c r="G799" s="16">
        <f>IF($C799="","",助理班表!Z30)</f>
        <v/>
      </c>
      <c r="H799" s="83">
        <f>IF($G799="","",IFERROR(IF(INDEX(設定!$D$6:$D$21,MATCH($G799,設定!$B$6:$B$21,0))=0,"",INDEX(設定!$D$6:$D$21,MATCH($G799,設定!$B$6:$B$21,0))),""))</f>
        <v/>
      </c>
      <c r="I799" s="83">
        <f>IF($G799="","",IFERROR(IF(INDEX(設定!$E$6:$E$21,MATCH($G799,設定!$B$6:$B$21,0))=0,"",INDEX(設定!$E$6:$E$21,MATCH($G799,設定!$B$6:$B$21,0))),""))</f>
        <v/>
      </c>
      <c r="J799" s="83">
        <f>IFERROR(INDEX(打卡匯入!$C$3:$C$2002,MATCH($C799&amp;"|"&amp;DAY($A799),打卡匯入!$E$3:$E$2002,0)),"")</f>
        <v/>
      </c>
      <c r="K799" s="83">
        <f>IFERROR(INDEX(打卡匯入!$D$3:$D$2002,MATCH($C799&amp;"|"&amp;DAY($A799),打卡匯入!$E$3:$E$2002,0)),"")</f>
        <v/>
      </c>
      <c r="L799" s="84">
        <f>IF(OR($J799="",$K799=""),"",IFERROR(INDEX(設定!$F$6:$F$21,MATCH($G799,設定!$B$6:$B$21,0)),0))</f>
        <v/>
      </c>
      <c r="M799" s="85">
        <f>IF(OR($J799="",$K799=""),"",ROUND(($K799-$J799)*24-$L799/60,2))</f>
        <v/>
      </c>
      <c r="N799" s="16">
        <f>IF($C799="","",IF(AND(COUNTIF(設定!$B$15:$B$21,$G799)&gt;0,$J799&lt;&gt;""),"假日出勤",IF(AND(COUNTIF(設定!$B$6:$B$14,$G799)&gt;0,$J799=""),"未打卡",IF($J799="","",IF($O799&gt;0,"遲到",IF($P799&gt;0,"早退","正常"))))))</f>
        <v/>
      </c>
      <c r="O799" s="84">
        <f>IF(OR($C799="",$H799="",$J799=""),0,IF(ROUND(($J799-$H799)*1440,0)&gt;設定!$C$46,ROUND(($J799-$H799)*1440,0),0))</f>
        <v/>
      </c>
      <c r="P799" s="84">
        <f>IF(OR($C799="",$I799="",$K799=""),0,IF(ROUND(($I799-$K799)*1440,0)&gt;設定!$C$46,ROUND(($I799-$K799)*1440,0),0))</f>
        <v/>
      </c>
      <c r="Q799" s="85">
        <f>IF($M799="",0,IF(($M799-IFERROR(INDEX(設定!$G$6:$G$21,MATCH($G799,設定!$B$6:$B$21,0)),0))*60&gt;=設定!$C$44,ROUND(FLOOR(($M799-IFERROR(INDEX(設定!$G$6:$G$21,MATCH($G799,設定!$B$6:$B$21,0)),0))*60,設定!$C$45)/60,2),0))</f>
        <v/>
      </c>
      <c r="R799" s="16">
        <f>IF(OR($C799="",$Q799=0),"",IF($G799="國","國定假日",IF($B799="日","例假",IF($B799="六","休息日","平日"))))</f>
        <v/>
      </c>
      <c r="S799" s="19" t="n"/>
    </row>
    <row r="800">
      <c r="A800" s="82">
        <f>IF(OR(助理班表!$A30="",23&gt;DAY(EOMONTH(DATE(設定!$C$2,設定!$D$2,1),0))),"",DATE(設定!$C$2,設定!$D$2,23))</f>
        <v/>
      </c>
      <c r="B800" s="16">
        <f>IF($A800="","",INDEX(設定!$O$6:$O$12,WEEKDAY($A800,1)))</f>
        <v/>
      </c>
      <c r="C800" s="16">
        <f>IF($A800="","",助理班表!$A30)</f>
        <v/>
      </c>
      <c r="D800" s="16">
        <f>IF($C800="","",助理班表!$B30)</f>
        <v/>
      </c>
      <c r="E800" s="16">
        <f>IF($C800="","",助理班表!$D30)</f>
        <v/>
      </c>
      <c r="F800" s="16">
        <f>IF($C800="","",助理班表!$C30)</f>
        <v/>
      </c>
      <c r="G800" s="16">
        <f>IF($C800="","",助理班表!AA30)</f>
        <v/>
      </c>
      <c r="H800" s="83">
        <f>IF($G800="","",IFERROR(IF(INDEX(設定!$D$6:$D$21,MATCH($G800,設定!$B$6:$B$21,0))=0,"",INDEX(設定!$D$6:$D$21,MATCH($G800,設定!$B$6:$B$21,0))),""))</f>
        <v/>
      </c>
      <c r="I800" s="83">
        <f>IF($G800="","",IFERROR(IF(INDEX(設定!$E$6:$E$21,MATCH($G800,設定!$B$6:$B$21,0))=0,"",INDEX(設定!$E$6:$E$21,MATCH($G800,設定!$B$6:$B$21,0))),""))</f>
        <v/>
      </c>
      <c r="J800" s="83">
        <f>IFERROR(INDEX(打卡匯入!$C$3:$C$2002,MATCH($C800&amp;"|"&amp;DAY($A800),打卡匯入!$E$3:$E$2002,0)),"")</f>
        <v/>
      </c>
      <c r="K800" s="83">
        <f>IFERROR(INDEX(打卡匯入!$D$3:$D$2002,MATCH($C800&amp;"|"&amp;DAY($A800),打卡匯入!$E$3:$E$2002,0)),"")</f>
        <v/>
      </c>
      <c r="L800" s="84">
        <f>IF(OR($J800="",$K800=""),"",IFERROR(INDEX(設定!$F$6:$F$21,MATCH($G800,設定!$B$6:$B$21,0)),0))</f>
        <v/>
      </c>
      <c r="M800" s="85">
        <f>IF(OR($J800="",$K800=""),"",ROUND(($K800-$J800)*24-$L800/60,2))</f>
        <v/>
      </c>
      <c r="N800" s="16">
        <f>IF($C800="","",IF(AND(COUNTIF(設定!$B$15:$B$21,$G800)&gt;0,$J800&lt;&gt;""),"假日出勤",IF(AND(COUNTIF(設定!$B$6:$B$14,$G800)&gt;0,$J800=""),"未打卡",IF($J800="","",IF($O800&gt;0,"遲到",IF($P800&gt;0,"早退","正常"))))))</f>
        <v/>
      </c>
      <c r="O800" s="84">
        <f>IF(OR($C800="",$H800="",$J800=""),0,IF(ROUND(($J800-$H800)*1440,0)&gt;設定!$C$46,ROUND(($J800-$H800)*1440,0),0))</f>
        <v/>
      </c>
      <c r="P800" s="84">
        <f>IF(OR($C800="",$I800="",$K800=""),0,IF(ROUND(($I800-$K800)*1440,0)&gt;設定!$C$46,ROUND(($I800-$K800)*1440,0),0))</f>
        <v/>
      </c>
      <c r="Q800" s="85">
        <f>IF($M800="",0,IF(($M800-IFERROR(INDEX(設定!$G$6:$G$21,MATCH($G800,設定!$B$6:$B$21,0)),0))*60&gt;=設定!$C$44,ROUND(FLOOR(($M800-IFERROR(INDEX(設定!$G$6:$G$21,MATCH($G800,設定!$B$6:$B$21,0)),0))*60,設定!$C$45)/60,2),0))</f>
        <v/>
      </c>
      <c r="R800" s="16">
        <f>IF(OR($C800="",$Q800=0),"",IF($G800="國","國定假日",IF($B800="日","例假",IF($B800="六","休息日","平日"))))</f>
        <v/>
      </c>
      <c r="S800" s="19" t="n"/>
    </row>
    <row r="801">
      <c r="A801" s="82">
        <f>IF(OR(助理班表!$A30="",24&gt;DAY(EOMONTH(DATE(設定!$C$2,設定!$D$2,1),0))),"",DATE(設定!$C$2,設定!$D$2,24))</f>
        <v/>
      </c>
      <c r="B801" s="16">
        <f>IF($A801="","",INDEX(設定!$O$6:$O$12,WEEKDAY($A801,1)))</f>
        <v/>
      </c>
      <c r="C801" s="16">
        <f>IF($A801="","",助理班表!$A30)</f>
        <v/>
      </c>
      <c r="D801" s="16">
        <f>IF($C801="","",助理班表!$B30)</f>
        <v/>
      </c>
      <c r="E801" s="16">
        <f>IF($C801="","",助理班表!$D30)</f>
        <v/>
      </c>
      <c r="F801" s="16">
        <f>IF($C801="","",助理班表!$C30)</f>
        <v/>
      </c>
      <c r="G801" s="16">
        <f>IF($C801="","",助理班表!AB30)</f>
        <v/>
      </c>
      <c r="H801" s="83">
        <f>IF($G801="","",IFERROR(IF(INDEX(設定!$D$6:$D$21,MATCH($G801,設定!$B$6:$B$21,0))=0,"",INDEX(設定!$D$6:$D$21,MATCH($G801,設定!$B$6:$B$21,0))),""))</f>
        <v/>
      </c>
      <c r="I801" s="83">
        <f>IF($G801="","",IFERROR(IF(INDEX(設定!$E$6:$E$21,MATCH($G801,設定!$B$6:$B$21,0))=0,"",INDEX(設定!$E$6:$E$21,MATCH($G801,設定!$B$6:$B$21,0))),""))</f>
        <v/>
      </c>
      <c r="J801" s="83">
        <f>IFERROR(INDEX(打卡匯入!$C$3:$C$2002,MATCH($C801&amp;"|"&amp;DAY($A801),打卡匯入!$E$3:$E$2002,0)),"")</f>
        <v/>
      </c>
      <c r="K801" s="83">
        <f>IFERROR(INDEX(打卡匯入!$D$3:$D$2002,MATCH($C801&amp;"|"&amp;DAY($A801),打卡匯入!$E$3:$E$2002,0)),"")</f>
        <v/>
      </c>
      <c r="L801" s="84">
        <f>IF(OR($J801="",$K801=""),"",IFERROR(INDEX(設定!$F$6:$F$21,MATCH($G801,設定!$B$6:$B$21,0)),0))</f>
        <v/>
      </c>
      <c r="M801" s="85">
        <f>IF(OR($J801="",$K801=""),"",ROUND(($K801-$J801)*24-$L801/60,2))</f>
        <v/>
      </c>
      <c r="N801" s="16">
        <f>IF($C801="","",IF(AND(COUNTIF(設定!$B$15:$B$21,$G801)&gt;0,$J801&lt;&gt;""),"假日出勤",IF(AND(COUNTIF(設定!$B$6:$B$14,$G801)&gt;0,$J801=""),"未打卡",IF($J801="","",IF($O801&gt;0,"遲到",IF($P801&gt;0,"早退","正常"))))))</f>
        <v/>
      </c>
      <c r="O801" s="84">
        <f>IF(OR($C801="",$H801="",$J801=""),0,IF(ROUND(($J801-$H801)*1440,0)&gt;設定!$C$46,ROUND(($J801-$H801)*1440,0),0))</f>
        <v/>
      </c>
      <c r="P801" s="84">
        <f>IF(OR($C801="",$I801="",$K801=""),0,IF(ROUND(($I801-$K801)*1440,0)&gt;設定!$C$46,ROUND(($I801-$K801)*1440,0),0))</f>
        <v/>
      </c>
      <c r="Q801" s="85">
        <f>IF($M801="",0,IF(($M801-IFERROR(INDEX(設定!$G$6:$G$21,MATCH($G801,設定!$B$6:$B$21,0)),0))*60&gt;=設定!$C$44,ROUND(FLOOR(($M801-IFERROR(INDEX(設定!$G$6:$G$21,MATCH($G801,設定!$B$6:$B$21,0)),0))*60,設定!$C$45)/60,2),0))</f>
        <v/>
      </c>
      <c r="R801" s="16">
        <f>IF(OR($C801="",$Q801=0),"",IF($G801="國","國定假日",IF($B801="日","例假",IF($B801="六","休息日","平日"))))</f>
        <v/>
      </c>
      <c r="S801" s="19" t="n"/>
    </row>
    <row r="802">
      <c r="A802" s="82">
        <f>IF(OR(助理班表!$A30="",25&gt;DAY(EOMONTH(DATE(設定!$C$2,設定!$D$2,1),0))),"",DATE(設定!$C$2,設定!$D$2,25))</f>
        <v/>
      </c>
      <c r="B802" s="16">
        <f>IF($A802="","",INDEX(設定!$O$6:$O$12,WEEKDAY($A802,1)))</f>
        <v/>
      </c>
      <c r="C802" s="16">
        <f>IF($A802="","",助理班表!$A30)</f>
        <v/>
      </c>
      <c r="D802" s="16">
        <f>IF($C802="","",助理班表!$B30)</f>
        <v/>
      </c>
      <c r="E802" s="16">
        <f>IF($C802="","",助理班表!$D30)</f>
        <v/>
      </c>
      <c r="F802" s="16">
        <f>IF($C802="","",助理班表!$C30)</f>
        <v/>
      </c>
      <c r="G802" s="16">
        <f>IF($C802="","",助理班表!AC30)</f>
        <v/>
      </c>
      <c r="H802" s="83">
        <f>IF($G802="","",IFERROR(IF(INDEX(設定!$D$6:$D$21,MATCH($G802,設定!$B$6:$B$21,0))=0,"",INDEX(設定!$D$6:$D$21,MATCH($G802,設定!$B$6:$B$21,0))),""))</f>
        <v/>
      </c>
      <c r="I802" s="83">
        <f>IF($G802="","",IFERROR(IF(INDEX(設定!$E$6:$E$21,MATCH($G802,設定!$B$6:$B$21,0))=0,"",INDEX(設定!$E$6:$E$21,MATCH($G802,設定!$B$6:$B$21,0))),""))</f>
        <v/>
      </c>
      <c r="J802" s="83">
        <f>IFERROR(INDEX(打卡匯入!$C$3:$C$2002,MATCH($C802&amp;"|"&amp;DAY($A802),打卡匯入!$E$3:$E$2002,0)),"")</f>
        <v/>
      </c>
      <c r="K802" s="83">
        <f>IFERROR(INDEX(打卡匯入!$D$3:$D$2002,MATCH($C802&amp;"|"&amp;DAY($A802),打卡匯入!$E$3:$E$2002,0)),"")</f>
        <v/>
      </c>
      <c r="L802" s="84">
        <f>IF(OR($J802="",$K802=""),"",IFERROR(INDEX(設定!$F$6:$F$21,MATCH($G802,設定!$B$6:$B$21,0)),0))</f>
        <v/>
      </c>
      <c r="M802" s="85">
        <f>IF(OR($J802="",$K802=""),"",ROUND(($K802-$J802)*24-$L802/60,2))</f>
        <v/>
      </c>
      <c r="N802" s="16">
        <f>IF($C802="","",IF(AND(COUNTIF(設定!$B$15:$B$21,$G802)&gt;0,$J802&lt;&gt;""),"假日出勤",IF(AND(COUNTIF(設定!$B$6:$B$14,$G802)&gt;0,$J802=""),"未打卡",IF($J802="","",IF($O802&gt;0,"遲到",IF($P802&gt;0,"早退","正常"))))))</f>
        <v/>
      </c>
      <c r="O802" s="84">
        <f>IF(OR($C802="",$H802="",$J802=""),0,IF(ROUND(($J802-$H802)*1440,0)&gt;設定!$C$46,ROUND(($J802-$H802)*1440,0),0))</f>
        <v/>
      </c>
      <c r="P802" s="84">
        <f>IF(OR($C802="",$I802="",$K802=""),0,IF(ROUND(($I802-$K802)*1440,0)&gt;設定!$C$46,ROUND(($I802-$K802)*1440,0),0))</f>
        <v/>
      </c>
      <c r="Q802" s="85">
        <f>IF($M802="",0,IF(($M802-IFERROR(INDEX(設定!$G$6:$G$21,MATCH($G802,設定!$B$6:$B$21,0)),0))*60&gt;=設定!$C$44,ROUND(FLOOR(($M802-IFERROR(INDEX(設定!$G$6:$G$21,MATCH($G802,設定!$B$6:$B$21,0)),0))*60,設定!$C$45)/60,2),0))</f>
        <v/>
      </c>
      <c r="R802" s="16">
        <f>IF(OR($C802="",$Q802=0),"",IF($G802="國","國定假日",IF($B802="日","例假",IF($B802="六","休息日","平日"))))</f>
        <v/>
      </c>
      <c r="S802" s="19" t="n"/>
    </row>
    <row r="803">
      <c r="A803" s="82">
        <f>IF(OR(助理班表!$A30="",26&gt;DAY(EOMONTH(DATE(設定!$C$2,設定!$D$2,1),0))),"",DATE(設定!$C$2,設定!$D$2,26))</f>
        <v/>
      </c>
      <c r="B803" s="16">
        <f>IF($A803="","",INDEX(設定!$O$6:$O$12,WEEKDAY($A803,1)))</f>
        <v/>
      </c>
      <c r="C803" s="16">
        <f>IF($A803="","",助理班表!$A30)</f>
        <v/>
      </c>
      <c r="D803" s="16">
        <f>IF($C803="","",助理班表!$B30)</f>
        <v/>
      </c>
      <c r="E803" s="16">
        <f>IF($C803="","",助理班表!$D30)</f>
        <v/>
      </c>
      <c r="F803" s="16">
        <f>IF($C803="","",助理班表!$C30)</f>
        <v/>
      </c>
      <c r="G803" s="16">
        <f>IF($C803="","",助理班表!AD30)</f>
        <v/>
      </c>
      <c r="H803" s="83">
        <f>IF($G803="","",IFERROR(IF(INDEX(設定!$D$6:$D$21,MATCH($G803,設定!$B$6:$B$21,0))=0,"",INDEX(設定!$D$6:$D$21,MATCH($G803,設定!$B$6:$B$21,0))),""))</f>
        <v/>
      </c>
      <c r="I803" s="83">
        <f>IF($G803="","",IFERROR(IF(INDEX(設定!$E$6:$E$21,MATCH($G803,設定!$B$6:$B$21,0))=0,"",INDEX(設定!$E$6:$E$21,MATCH($G803,設定!$B$6:$B$21,0))),""))</f>
        <v/>
      </c>
      <c r="J803" s="83">
        <f>IFERROR(INDEX(打卡匯入!$C$3:$C$2002,MATCH($C803&amp;"|"&amp;DAY($A803),打卡匯入!$E$3:$E$2002,0)),"")</f>
        <v/>
      </c>
      <c r="K803" s="83">
        <f>IFERROR(INDEX(打卡匯入!$D$3:$D$2002,MATCH($C803&amp;"|"&amp;DAY($A803),打卡匯入!$E$3:$E$2002,0)),"")</f>
        <v/>
      </c>
      <c r="L803" s="84">
        <f>IF(OR($J803="",$K803=""),"",IFERROR(INDEX(設定!$F$6:$F$21,MATCH($G803,設定!$B$6:$B$21,0)),0))</f>
        <v/>
      </c>
      <c r="M803" s="85">
        <f>IF(OR($J803="",$K803=""),"",ROUND(($K803-$J803)*24-$L803/60,2))</f>
        <v/>
      </c>
      <c r="N803" s="16">
        <f>IF($C803="","",IF(AND(COUNTIF(設定!$B$15:$B$21,$G803)&gt;0,$J803&lt;&gt;""),"假日出勤",IF(AND(COUNTIF(設定!$B$6:$B$14,$G803)&gt;0,$J803=""),"未打卡",IF($J803="","",IF($O803&gt;0,"遲到",IF($P803&gt;0,"早退","正常"))))))</f>
        <v/>
      </c>
      <c r="O803" s="84">
        <f>IF(OR($C803="",$H803="",$J803=""),0,IF(ROUND(($J803-$H803)*1440,0)&gt;設定!$C$46,ROUND(($J803-$H803)*1440,0),0))</f>
        <v/>
      </c>
      <c r="P803" s="84">
        <f>IF(OR($C803="",$I803="",$K803=""),0,IF(ROUND(($I803-$K803)*1440,0)&gt;設定!$C$46,ROUND(($I803-$K803)*1440,0),0))</f>
        <v/>
      </c>
      <c r="Q803" s="85">
        <f>IF($M803="",0,IF(($M803-IFERROR(INDEX(設定!$G$6:$G$21,MATCH($G803,設定!$B$6:$B$21,0)),0))*60&gt;=設定!$C$44,ROUND(FLOOR(($M803-IFERROR(INDEX(設定!$G$6:$G$21,MATCH($G803,設定!$B$6:$B$21,0)),0))*60,設定!$C$45)/60,2),0))</f>
        <v/>
      </c>
      <c r="R803" s="16">
        <f>IF(OR($C803="",$Q803=0),"",IF($G803="國","國定假日",IF($B803="日","例假",IF($B803="六","休息日","平日"))))</f>
        <v/>
      </c>
      <c r="S803" s="19" t="n"/>
    </row>
    <row r="804">
      <c r="A804" s="82">
        <f>IF(OR(助理班表!$A30="",27&gt;DAY(EOMONTH(DATE(設定!$C$2,設定!$D$2,1),0))),"",DATE(設定!$C$2,設定!$D$2,27))</f>
        <v/>
      </c>
      <c r="B804" s="16">
        <f>IF($A804="","",INDEX(設定!$O$6:$O$12,WEEKDAY($A804,1)))</f>
        <v/>
      </c>
      <c r="C804" s="16">
        <f>IF($A804="","",助理班表!$A30)</f>
        <v/>
      </c>
      <c r="D804" s="16">
        <f>IF($C804="","",助理班表!$B30)</f>
        <v/>
      </c>
      <c r="E804" s="16">
        <f>IF($C804="","",助理班表!$D30)</f>
        <v/>
      </c>
      <c r="F804" s="16">
        <f>IF($C804="","",助理班表!$C30)</f>
        <v/>
      </c>
      <c r="G804" s="16">
        <f>IF($C804="","",助理班表!AE30)</f>
        <v/>
      </c>
      <c r="H804" s="83">
        <f>IF($G804="","",IFERROR(IF(INDEX(設定!$D$6:$D$21,MATCH($G804,設定!$B$6:$B$21,0))=0,"",INDEX(設定!$D$6:$D$21,MATCH($G804,設定!$B$6:$B$21,0))),""))</f>
        <v/>
      </c>
      <c r="I804" s="83">
        <f>IF($G804="","",IFERROR(IF(INDEX(設定!$E$6:$E$21,MATCH($G804,設定!$B$6:$B$21,0))=0,"",INDEX(設定!$E$6:$E$21,MATCH($G804,設定!$B$6:$B$21,0))),""))</f>
        <v/>
      </c>
      <c r="J804" s="83">
        <f>IFERROR(INDEX(打卡匯入!$C$3:$C$2002,MATCH($C804&amp;"|"&amp;DAY($A804),打卡匯入!$E$3:$E$2002,0)),"")</f>
        <v/>
      </c>
      <c r="K804" s="83">
        <f>IFERROR(INDEX(打卡匯入!$D$3:$D$2002,MATCH($C804&amp;"|"&amp;DAY($A804),打卡匯入!$E$3:$E$2002,0)),"")</f>
        <v/>
      </c>
      <c r="L804" s="84">
        <f>IF(OR($J804="",$K804=""),"",IFERROR(INDEX(設定!$F$6:$F$21,MATCH($G804,設定!$B$6:$B$21,0)),0))</f>
        <v/>
      </c>
      <c r="M804" s="85">
        <f>IF(OR($J804="",$K804=""),"",ROUND(($K804-$J804)*24-$L804/60,2))</f>
        <v/>
      </c>
      <c r="N804" s="16">
        <f>IF($C804="","",IF(AND(COUNTIF(設定!$B$15:$B$21,$G804)&gt;0,$J804&lt;&gt;""),"假日出勤",IF(AND(COUNTIF(設定!$B$6:$B$14,$G804)&gt;0,$J804=""),"未打卡",IF($J804="","",IF($O804&gt;0,"遲到",IF($P804&gt;0,"早退","正常"))))))</f>
        <v/>
      </c>
      <c r="O804" s="84">
        <f>IF(OR($C804="",$H804="",$J804=""),0,IF(ROUND(($J804-$H804)*1440,0)&gt;設定!$C$46,ROUND(($J804-$H804)*1440,0),0))</f>
        <v/>
      </c>
      <c r="P804" s="84">
        <f>IF(OR($C804="",$I804="",$K804=""),0,IF(ROUND(($I804-$K804)*1440,0)&gt;設定!$C$46,ROUND(($I804-$K804)*1440,0),0))</f>
        <v/>
      </c>
      <c r="Q804" s="85">
        <f>IF($M804="",0,IF(($M804-IFERROR(INDEX(設定!$G$6:$G$21,MATCH($G804,設定!$B$6:$B$21,0)),0))*60&gt;=設定!$C$44,ROUND(FLOOR(($M804-IFERROR(INDEX(設定!$G$6:$G$21,MATCH($G804,設定!$B$6:$B$21,0)),0))*60,設定!$C$45)/60,2),0))</f>
        <v/>
      </c>
      <c r="R804" s="16">
        <f>IF(OR($C804="",$Q804=0),"",IF($G804="國","國定假日",IF($B804="日","例假",IF($B804="六","休息日","平日"))))</f>
        <v/>
      </c>
      <c r="S804" s="19" t="n"/>
    </row>
    <row r="805">
      <c r="A805" s="82">
        <f>IF(OR(助理班表!$A30="",28&gt;DAY(EOMONTH(DATE(設定!$C$2,設定!$D$2,1),0))),"",DATE(設定!$C$2,設定!$D$2,28))</f>
        <v/>
      </c>
      <c r="B805" s="16">
        <f>IF($A805="","",INDEX(設定!$O$6:$O$12,WEEKDAY($A805,1)))</f>
        <v/>
      </c>
      <c r="C805" s="16">
        <f>IF($A805="","",助理班表!$A30)</f>
        <v/>
      </c>
      <c r="D805" s="16">
        <f>IF($C805="","",助理班表!$B30)</f>
        <v/>
      </c>
      <c r="E805" s="16">
        <f>IF($C805="","",助理班表!$D30)</f>
        <v/>
      </c>
      <c r="F805" s="16">
        <f>IF($C805="","",助理班表!$C30)</f>
        <v/>
      </c>
      <c r="G805" s="16">
        <f>IF($C805="","",助理班表!AF30)</f>
        <v/>
      </c>
      <c r="H805" s="83">
        <f>IF($G805="","",IFERROR(IF(INDEX(設定!$D$6:$D$21,MATCH($G805,設定!$B$6:$B$21,0))=0,"",INDEX(設定!$D$6:$D$21,MATCH($G805,設定!$B$6:$B$21,0))),""))</f>
        <v/>
      </c>
      <c r="I805" s="83">
        <f>IF($G805="","",IFERROR(IF(INDEX(設定!$E$6:$E$21,MATCH($G805,設定!$B$6:$B$21,0))=0,"",INDEX(設定!$E$6:$E$21,MATCH($G805,設定!$B$6:$B$21,0))),""))</f>
        <v/>
      </c>
      <c r="J805" s="83">
        <f>IFERROR(INDEX(打卡匯入!$C$3:$C$2002,MATCH($C805&amp;"|"&amp;DAY($A805),打卡匯入!$E$3:$E$2002,0)),"")</f>
        <v/>
      </c>
      <c r="K805" s="83">
        <f>IFERROR(INDEX(打卡匯入!$D$3:$D$2002,MATCH($C805&amp;"|"&amp;DAY($A805),打卡匯入!$E$3:$E$2002,0)),"")</f>
        <v/>
      </c>
      <c r="L805" s="84">
        <f>IF(OR($J805="",$K805=""),"",IFERROR(INDEX(設定!$F$6:$F$21,MATCH($G805,設定!$B$6:$B$21,0)),0))</f>
        <v/>
      </c>
      <c r="M805" s="85">
        <f>IF(OR($J805="",$K805=""),"",ROUND(($K805-$J805)*24-$L805/60,2))</f>
        <v/>
      </c>
      <c r="N805" s="16">
        <f>IF($C805="","",IF(AND(COUNTIF(設定!$B$15:$B$21,$G805)&gt;0,$J805&lt;&gt;""),"假日出勤",IF(AND(COUNTIF(設定!$B$6:$B$14,$G805)&gt;0,$J805=""),"未打卡",IF($J805="","",IF($O805&gt;0,"遲到",IF($P805&gt;0,"早退","正常"))))))</f>
        <v/>
      </c>
      <c r="O805" s="84">
        <f>IF(OR($C805="",$H805="",$J805=""),0,IF(ROUND(($J805-$H805)*1440,0)&gt;設定!$C$46,ROUND(($J805-$H805)*1440,0),0))</f>
        <v/>
      </c>
      <c r="P805" s="84">
        <f>IF(OR($C805="",$I805="",$K805=""),0,IF(ROUND(($I805-$K805)*1440,0)&gt;設定!$C$46,ROUND(($I805-$K805)*1440,0),0))</f>
        <v/>
      </c>
      <c r="Q805" s="85">
        <f>IF($M805="",0,IF(($M805-IFERROR(INDEX(設定!$G$6:$G$21,MATCH($G805,設定!$B$6:$B$21,0)),0))*60&gt;=設定!$C$44,ROUND(FLOOR(($M805-IFERROR(INDEX(設定!$G$6:$G$21,MATCH($G805,設定!$B$6:$B$21,0)),0))*60,設定!$C$45)/60,2),0))</f>
        <v/>
      </c>
      <c r="R805" s="16">
        <f>IF(OR($C805="",$Q805=0),"",IF($G805="國","國定假日",IF($B805="日","例假",IF($B805="六","休息日","平日"))))</f>
        <v/>
      </c>
      <c r="S805" s="19" t="n"/>
    </row>
    <row r="806">
      <c r="A806" s="82">
        <f>IF(OR(助理班表!$A30="",29&gt;DAY(EOMONTH(DATE(設定!$C$2,設定!$D$2,1),0))),"",DATE(設定!$C$2,設定!$D$2,29))</f>
        <v/>
      </c>
      <c r="B806" s="16">
        <f>IF($A806="","",INDEX(設定!$O$6:$O$12,WEEKDAY($A806,1)))</f>
        <v/>
      </c>
      <c r="C806" s="16">
        <f>IF($A806="","",助理班表!$A30)</f>
        <v/>
      </c>
      <c r="D806" s="16">
        <f>IF($C806="","",助理班表!$B30)</f>
        <v/>
      </c>
      <c r="E806" s="16">
        <f>IF($C806="","",助理班表!$D30)</f>
        <v/>
      </c>
      <c r="F806" s="16">
        <f>IF($C806="","",助理班表!$C30)</f>
        <v/>
      </c>
      <c r="G806" s="16">
        <f>IF($C806="","",助理班表!AG30)</f>
        <v/>
      </c>
      <c r="H806" s="83">
        <f>IF($G806="","",IFERROR(IF(INDEX(設定!$D$6:$D$21,MATCH($G806,設定!$B$6:$B$21,0))=0,"",INDEX(設定!$D$6:$D$21,MATCH($G806,設定!$B$6:$B$21,0))),""))</f>
        <v/>
      </c>
      <c r="I806" s="83">
        <f>IF($G806="","",IFERROR(IF(INDEX(設定!$E$6:$E$21,MATCH($G806,設定!$B$6:$B$21,0))=0,"",INDEX(設定!$E$6:$E$21,MATCH($G806,設定!$B$6:$B$21,0))),""))</f>
        <v/>
      </c>
      <c r="J806" s="83">
        <f>IFERROR(INDEX(打卡匯入!$C$3:$C$2002,MATCH($C806&amp;"|"&amp;DAY($A806),打卡匯入!$E$3:$E$2002,0)),"")</f>
        <v/>
      </c>
      <c r="K806" s="83">
        <f>IFERROR(INDEX(打卡匯入!$D$3:$D$2002,MATCH($C806&amp;"|"&amp;DAY($A806),打卡匯入!$E$3:$E$2002,0)),"")</f>
        <v/>
      </c>
      <c r="L806" s="84">
        <f>IF(OR($J806="",$K806=""),"",IFERROR(INDEX(設定!$F$6:$F$21,MATCH($G806,設定!$B$6:$B$21,0)),0))</f>
        <v/>
      </c>
      <c r="M806" s="85">
        <f>IF(OR($J806="",$K806=""),"",ROUND(($K806-$J806)*24-$L806/60,2))</f>
        <v/>
      </c>
      <c r="N806" s="16">
        <f>IF($C806="","",IF(AND(COUNTIF(設定!$B$15:$B$21,$G806)&gt;0,$J806&lt;&gt;""),"假日出勤",IF(AND(COUNTIF(設定!$B$6:$B$14,$G806)&gt;0,$J806=""),"未打卡",IF($J806="","",IF($O806&gt;0,"遲到",IF($P806&gt;0,"早退","正常"))))))</f>
        <v/>
      </c>
      <c r="O806" s="84">
        <f>IF(OR($C806="",$H806="",$J806=""),0,IF(ROUND(($J806-$H806)*1440,0)&gt;設定!$C$46,ROUND(($J806-$H806)*1440,0),0))</f>
        <v/>
      </c>
      <c r="P806" s="84">
        <f>IF(OR($C806="",$I806="",$K806=""),0,IF(ROUND(($I806-$K806)*1440,0)&gt;設定!$C$46,ROUND(($I806-$K806)*1440,0),0))</f>
        <v/>
      </c>
      <c r="Q806" s="85">
        <f>IF($M806="",0,IF(($M806-IFERROR(INDEX(設定!$G$6:$G$21,MATCH($G806,設定!$B$6:$B$21,0)),0))*60&gt;=設定!$C$44,ROUND(FLOOR(($M806-IFERROR(INDEX(設定!$G$6:$G$21,MATCH($G806,設定!$B$6:$B$21,0)),0))*60,設定!$C$45)/60,2),0))</f>
        <v/>
      </c>
      <c r="R806" s="16">
        <f>IF(OR($C806="",$Q806=0),"",IF($G806="國","國定假日",IF($B806="日","例假",IF($B806="六","休息日","平日"))))</f>
        <v/>
      </c>
      <c r="S806" s="19" t="n"/>
    </row>
    <row r="807">
      <c r="A807" s="82">
        <f>IF(OR(助理班表!$A30="",30&gt;DAY(EOMONTH(DATE(設定!$C$2,設定!$D$2,1),0))),"",DATE(設定!$C$2,設定!$D$2,30))</f>
        <v/>
      </c>
      <c r="B807" s="16">
        <f>IF($A807="","",INDEX(設定!$O$6:$O$12,WEEKDAY($A807,1)))</f>
        <v/>
      </c>
      <c r="C807" s="16">
        <f>IF($A807="","",助理班表!$A30)</f>
        <v/>
      </c>
      <c r="D807" s="16">
        <f>IF($C807="","",助理班表!$B30)</f>
        <v/>
      </c>
      <c r="E807" s="16">
        <f>IF($C807="","",助理班表!$D30)</f>
        <v/>
      </c>
      <c r="F807" s="16">
        <f>IF($C807="","",助理班表!$C30)</f>
        <v/>
      </c>
      <c r="G807" s="16">
        <f>IF($C807="","",助理班表!AH30)</f>
        <v/>
      </c>
      <c r="H807" s="83">
        <f>IF($G807="","",IFERROR(IF(INDEX(設定!$D$6:$D$21,MATCH($G807,設定!$B$6:$B$21,0))=0,"",INDEX(設定!$D$6:$D$21,MATCH($G807,設定!$B$6:$B$21,0))),""))</f>
        <v/>
      </c>
      <c r="I807" s="83">
        <f>IF($G807="","",IFERROR(IF(INDEX(設定!$E$6:$E$21,MATCH($G807,設定!$B$6:$B$21,0))=0,"",INDEX(設定!$E$6:$E$21,MATCH($G807,設定!$B$6:$B$21,0))),""))</f>
        <v/>
      </c>
      <c r="J807" s="83">
        <f>IFERROR(INDEX(打卡匯入!$C$3:$C$2002,MATCH($C807&amp;"|"&amp;DAY($A807),打卡匯入!$E$3:$E$2002,0)),"")</f>
        <v/>
      </c>
      <c r="K807" s="83">
        <f>IFERROR(INDEX(打卡匯入!$D$3:$D$2002,MATCH($C807&amp;"|"&amp;DAY($A807),打卡匯入!$E$3:$E$2002,0)),"")</f>
        <v/>
      </c>
      <c r="L807" s="84">
        <f>IF(OR($J807="",$K807=""),"",IFERROR(INDEX(設定!$F$6:$F$21,MATCH($G807,設定!$B$6:$B$21,0)),0))</f>
        <v/>
      </c>
      <c r="M807" s="85">
        <f>IF(OR($J807="",$K807=""),"",ROUND(($K807-$J807)*24-$L807/60,2))</f>
        <v/>
      </c>
      <c r="N807" s="16">
        <f>IF($C807="","",IF(AND(COUNTIF(設定!$B$15:$B$21,$G807)&gt;0,$J807&lt;&gt;""),"假日出勤",IF(AND(COUNTIF(設定!$B$6:$B$14,$G807)&gt;0,$J807=""),"未打卡",IF($J807="","",IF($O807&gt;0,"遲到",IF($P807&gt;0,"早退","正常"))))))</f>
        <v/>
      </c>
      <c r="O807" s="84">
        <f>IF(OR($C807="",$H807="",$J807=""),0,IF(ROUND(($J807-$H807)*1440,0)&gt;設定!$C$46,ROUND(($J807-$H807)*1440,0),0))</f>
        <v/>
      </c>
      <c r="P807" s="84">
        <f>IF(OR($C807="",$I807="",$K807=""),0,IF(ROUND(($I807-$K807)*1440,0)&gt;設定!$C$46,ROUND(($I807-$K807)*1440,0),0))</f>
        <v/>
      </c>
      <c r="Q807" s="85">
        <f>IF($M807="",0,IF(($M807-IFERROR(INDEX(設定!$G$6:$G$21,MATCH($G807,設定!$B$6:$B$21,0)),0))*60&gt;=設定!$C$44,ROUND(FLOOR(($M807-IFERROR(INDEX(設定!$G$6:$G$21,MATCH($G807,設定!$B$6:$B$21,0)),0))*60,設定!$C$45)/60,2),0))</f>
        <v/>
      </c>
      <c r="R807" s="16">
        <f>IF(OR($C807="",$Q807=0),"",IF($G807="國","國定假日",IF($B807="日","例假",IF($B807="六","休息日","平日"))))</f>
        <v/>
      </c>
      <c r="S807" s="19" t="n"/>
    </row>
    <row r="808">
      <c r="A808" s="82">
        <f>IF(OR(助理班表!$A30="",31&gt;DAY(EOMONTH(DATE(設定!$C$2,設定!$D$2,1),0))),"",DATE(設定!$C$2,設定!$D$2,31))</f>
        <v/>
      </c>
      <c r="B808" s="16">
        <f>IF($A808="","",INDEX(設定!$O$6:$O$12,WEEKDAY($A808,1)))</f>
        <v/>
      </c>
      <c r="C808" s="16">
        <f>IF($A808="","",助理班表!$A30)</f>
        <v/>
      </c>
      <c r="D808" s="16">
        <f>IF($C808="","",助理班表!$B30)</f>
        <v/>
      </c>
      <c r="E808" s="16">
        <f>IF($C808="","",助理班表!$D30)</f>
        <v/>
      </c>
      <c r="F808" s="16">
        <f>IF($C808="","",助理班表!$C30)</f>
        <v/>
      </c>
      <c r="G808" s="16">
        <f>IF($C808="","",助理班表!AI30)</f>
        <v/>
      </c>
      <c r="H808" s="83">
        <f>IF($G808="","",IFERROR(IF(INDEX(設定!$D$6:$D$21,MATCH($G808,設定!$B$6:$B$21,0))=0,"",INDEX(設定!$D$6:$D$21,MATCH($G808,設定!$B$6:$B$21,0))),""))</f>
        <v/>
      </c>
      <c r="I808" s="83">
        <f>IF($G808="","",IFERROR(IF(INDEX(設定!$E$6:$E$21,MATCH($G808,設定!$B$6:$B$21,0))=0,"",INDEX(設定!$E$6:$E$21,MATCH($G808,設定!$B$6:$B$21,0))),""))</f>
        <v/>
      </c>
      <c r="J808" s="83">
        <f>IFERROR(INDEX(打卡匯入!$C$3:$C$2002,MATCH($C808&amp;"|"&amp;DAY($A808),打卡匯入!$E$3:$E$2002,0)),"")</f>
        <v/>
      </c>
      <c r="K808" s="83">
        <f>IFERROR(INDEX(打卡匯入!$D$3:$D$2002,MATCH($C808&amp;"|"&amp;DAY($A808),打卡匯入!$E$3:$E$2002,0)),"")</f>
        <v/>
      </c>
      <c r="L808" s="84">
        <f>IF(OR($J808="",$K808=""),"",IFERROR(INDEX(設定!$F$6:$F$21,MATCH($G808,設定!$B$6:$B$21,0)),0))</f>
        <v/>
      </c>
      <c r="M808" s="85">
        <f>IF(OR($J808="",$K808=""),"",ROUND(($K808-$J808)*24-$L808/60,2))</f>
        <v/>
      </c>
      <c r="N808" s="16">
        <f>IF($C808="","",IF(AND(COUNTIF(設定!$B$15:$B$21,$G808)&gt;0,$J808&lt;&gt;""),"假日出勤",IF(AND(COUNTIF(設定!$B$6:$B$14,$G808)&gt;0,$J808=""),"未打卡",IF($J808="","",IF($O808&gt;0,"遲到",IF($P808&gt;0,"早退","正常"))))))</f>
        <v/>
      </c>
      <c r="O808" s="84">
        <f>IF(OR($C808="",$H808="",$J808=""),0,IF(ROUND(($J808-$H808)*1440,0)&gt;設定!$C$46,ROUND(($J808-$H808)*1440,0),0))</f>
        <v/>
      </c>
      <c r="P808" s="84">
        <f>IF(OR($C808="",$I808="",$K808=""),0,IF(ROUND(($I808-$K808)*1440,0)&gt;設定!$C$46,ROUND(($I808-$K808)*1440,0),0))</f>
        <v/>
      </c>
      <c r="Q808" s="85">
        <f>IF($M808="",0,IF(($M808-IFERROR(INDEX(設定!$G$6:$G$21,MATCH($G808,設定!$B$6:$B$21,0)),0))*60&gt;=設定!$C$44,ROUND(FLOOR(($M808-IFERROR(INDEX(設定!$G$6:$G$21,MATCH($G808,設定!$B$6:$B$21,0)),0))*60,設定!$C$45)/60,2),0))</f>
        <v/>
      </c>
      <c r="R808" s="16">
        <f>IF(OR($C808="",$Q808=0),"",IF($G808="國","國定假日",IF($B808="日","例假",IF($B808="六","休息日","平日"))))</f>
        <v/>
      </c>
      <c r="S808" s="19" t="n"/>
    </row>
    <row r="809">
      <c r="A809" s="82">
        <f>IF(OR(助理班表!$A31="",1&gt;DAY(EOMONTH(DATE(設定!$C$2,設定!$D$2,1),0))),"",DATE(設定!$C$2,設定!$D$2,1))</f>
        <v/>
      </c>
      <c r="B809" s="16">
        <f>IF($A809="","",INDEX(設定!$O$6:$O$12,WEEKDAY($A809,1)))</f>
        <v/>
      </c>
      <c r="C809" s="16">
        <f>IF($A809="","",助理班表!$A31)</f>
        <v/>
      </c>
      <c r="D809" s="16">
        <f>IF($C809="","",助理班表!$B31)</f>
        <v/>
      </c>
      <c r="E809" s="16">
        <f>IF($C809="","",助理班表!$D31)</f>
        <v/>
      </c>
      <c r="F809" s="16">
        <f>IF($C809="","",助理班表!$C31)</f>
        <v/>
      </c>
      <c r="G809" s="16">
        <f>IF($C809="","",助理班表!E31)</f>
        <v/>
      </c>
      <c r="H809" s="83">
        <f>IF($G809="","",IFERROR(IF(INDEX(設定!$D$6:$D$21,MATCH($G809,設定!$B$6:$B$21,0))=0,"",INDEX(設定!$D$6:$D$21,MATCH($G809,設定!$B$6:$B$21,0))),""))</f>
        <v/>
      </c>
      <c r="I809" s="83">
        <f>IF($G809="","",IFERROR(IF(INDEX(設定!$E$6:$E$21,MATCH($G809,設定!$B$6:$B$21,0))=0,"",INDEX(設定!$E$6:$E$21,MATCH($G809,設定!$B$6:$B$21,0))),""))</f>
        <v/>
      </c>
      <c r="J809" s="83">
        <f>IFERROR(INDEX(打卡匯入!$C$3:$C$2002,MATCH($C809&amp;"|"&amp;DAY($A809),打卡匯入!$E$3:$E$2002,0)),"")</f>
        <v/>
      </c>
      <c r="K809" s="83">
        <f>IFERROR(INDEX(打卡匯入!$D$3:$D$2002,MATCH($C809&amp;"|"&amp;DAY($A809),打卡匯入!$E$3:$E$2002,0)),"")</f>
        <v/>
      </c>
      <c r="L809" s="84">
        <f>IF(OR($J809="",$K809=""),"",IFERROR(INDEX(設定!$F$6:$F$21,MATCH($G809,設定!$B$6:$B$21,0)),0))</f>
        <v/>
      </c>
      <c r="M809" s="85">
        <f>IF(OR($J809="",$K809=""),"",ROUND(($K809-$J809)*24-$L809/60,2))</f>
        <v/>
      </c>
      <c r="N809" s="16">
        <f>IF($C809="","",IF(AND(COUNTIF(設定!$B$15:$B$21,$G809)&gt;0,$J809&lt;&gt;""),"假日出勤",IF(AND(COUNTIF(設定!$B$6:$B$14,$G809)&gt;0,$J809=""),"未打卡",IF($J809="","",IF($O809&gt;0,"遲到",IF($P809&gt;0,"早退","正常"))))))</f>
        <v/>
      </c>
      <c r="O809" s="84">
        <f>IF(OR($C809="",$H809="",$J809=""),0,IF(ROUND(($J809-$H809)*1440,0)&gt;設定!$C$46,ROUND(($J809-$H809)*1440,0),0))</f>
        <v/>
      </c>
      <c r="P809" s="84">
        <f>IF(OR($C809="",$I809="",$K809=""),0,IF(ROUND(($I809-$K809)*1440,0)&gt;設定!$C$46,ROUND(($I809-$K809)*1440,0),0))</f>
        <v/>
      </c>
      <c r="Q809" s="85">
        <f>IF($M809="",0,IF(($M809-IFERROR(INDEX(設定!$G$6:$G$21,MATCH($G809,設定!$B$6:$B$21,0)),0))*60&gt;=設定!$C$44,ROUND(FLOOR(($M809-IFERROR(INDEX(設定!$G$6:$G$21,MATCH($G809,設定!$B$6:$B$21,0)),0))*60,設定!$C$45)/60,2),0))</f>
        <v/>
      </c>
      <c r="R809" s="16">
        <f>IF(OR($C809="",$Q809=0),"",IF($G809="國","國定假日",IF($B809="日","例假",IF($B809="六","休息日","平日"))))</f>
        <v/>
      </c>
      <c r="S809" s="19" t="n"/>
    </row>
    <row r="810">
      <c r="A810" s="82">
        <f>IF(OR(助理班表!$A31="",2&gt;DAY(EOMONTH(DATE(設定!$C$2,設定!$D$2,1),0))),"",DATE(設定!$C$2,設定!$D$2,2))</f>
        <v/>
      </c>
      <c r="B810" s="16">
        <f>IF($A810="","",INDEX(設定!$O$6:$O$12,WEEKDAY($A810,1)))</f>
        <v/>
      </c>
      <c r="C810" s="16">
        <f>IF($A810="","",助理班表!$A31)</f>
        <v/>
      </c>
      <c r="D810" s="16">
        <f>IF($C810="","",助理班表!$B31)</f>
        <v/>
      </c>
      <c r="E810" s="16">
        <f>IF($C810="","",助理班表!$D31)</f>
        <v/>
      </c>
      <c r="F810" s="16">
        <f>IF($C810="","",助理班表!$C31)</f>
        <v/>
      </c>
      <c r="G810" s="16">
        <f>IF($C810="","",助理班表!F31)</f>
        <v/>
      </c>
      <c r="H810" s="83">
        <f>IF($G810="","",IFERROR(IF(INDEX(設定!$D$6:$D$21,MATCH($G810,設定!$B$6:$B$21,0))=0,"",INDEX(設定!$D$6:$D$21,MATCH($G810,設定!$B$6:$B$21,0))),""))</f>
        <v/>
      </c>
      <c r="I810" s="83">
        <f>IF($G810="","",IFERROR(IF(INDEX(設定!$E$6:$E$21,MATCH($G810,設定!$B$6:$B$21,0))=0,"",INDEX(設定!$E$6:$E$21,MATCH($G810,設定!$B$6:$B$21,0))),""))</f>
        <v/>
      </c>
      <c r="J810" s="83">
        <f>IFERROR(INDEX(打卡匯入!$C$3:$C$2002,MATCH($C810&amp;"|"&amp;DAY($A810),打卡匯入!$E$3:$E$2002,0)),"")</f>
        <v/>
      </c>
      <c r="K810" s="83">
        <f>IFERROR(INDEX(打卡匯入!$D$3:$D$2002,MATCH($C810&amp;"|"&amp;DAY($A810),打卡匯入!$E$3:$E$2002,0)),"")</f>
        <v/>
      </c>
      <c r="L810" s="84">
        <f>IF(OR($J810="",$K810=""),"",IFERROR(INDEX(設定!$F$6:$F$21,MATCH($G810,設定!$B$6:$B$21,0)),0))</f>
        <v/>
      </c>
      <c r="M810" s="85">
        <f>IF(OR($J810="",$K810=""),"",ROUND(($K810-$J810)*24-$L810/60,2))</f>
        <v/>
      </c>
      <c r="N810" s="16">
        <f>IF($C810="","",IF(AND(COUNTIF(設定!$B$15:$B$21,$G810)&gt;0,$J810&lt;&gt;""),"假日出勤",IF(AND(COUNTIF(設定!$B$6:$B$14,$G810)&gt;0,$J810=""),"未打卡",IF($J810="","",IF($O810&gt;0,"遲到",IF($P810&gt;0,"早退","正常"))))))</f>
        <v/>
      </c>
      <c r="O810" s="84">
        <f>IF(OR($C810="",$H810="",$J810=""),0,IF(ROUND(($J810-$H810)*1440,0)&gt;設定!$C$46,ROUND(($J810-$H810)*1440,0),0))</f>
        <v/>
      </c>
      <c r="P810" s="84">
        <f>IF(OR($C810="",$I810="",$K810=""),0,IF(ROUND(($I810-$K810)*1440,0)&gt;設定!$C$46,ROUND(($I810-$K810)*1440,0),0))</f>
        <v/>
      </c>
      <c r="Q810" s="85">
        <f>IF($M810="",0,IF(($M810-IFERROR(INDEX(設定!$G$6:$G$21,MATCH($G810,設定!$B$6:$B$21,0)),0))*60&gt;=設定!$C$44,ROUND(FLOOR(($M810-IFERROR(INDEX(設定!$G$6:$G$21,MATCH($G810,設定!$B$6:$B$21,0)),0))*60,設定!$C$45)/60,2),0))</f>
        <v/>
      </c>
      <c r="R810" s="16">
        <f>IF(OR($C810="",$Q810=0),"",IF($G810="國","國定假日",IF($B810="日","例假",IF($B810="六","休息日","平日"))))</f>
        <v/>
      </c>
      <c r="S810" s="19" t="n"/>
    </row>
    <row r="811">
      <c r="A811" s="82">
        <f>IF(OR(助理班表!$A31="",3&gt;DAY(EOMONTH(DATE(設定!$C$2,設定!$D$2,1),0))),"",DATE(設定!$C$2,設定!$D$2,3))</f>
        <v/>
      </c>
      <c r="B811" s="16">
        <f>IF($A811="","",INDEX(設定!$O$6:$O$12,WEEKDAY($A811,1)))</f>
        <v/>
      </c>
      <c r="C811" s="16">
        <f>IF($A811="","",助理班表!$A31)</f>
        <v/>
      </c>
      <c r="D811" s="16">
        <f>IF($C811="","",助理班表!$B31)</f>
        <v/>
      </c>
      <c r="E811" s="16">
        <f>IF($C811="","",助理班表!$D31)</f>
        <v/>
      </c>
      <c r="F811" s="16">
        <f>IF($C811="","",助理班表!$C31)</f>
        <v/>
      </c>
      <c r="G811" s="16">
        <f>IF($C811="","",助理班表!G31)</f>
        <v/>
      </c>
      <c r="H811" s="83">
        <f>IF($G811="","",IFERROR(IF(INDEX(設定!$D$6:$D$21,MATCH($G811,設定!$B$6:$B$21,0))=0,"",INDEX(設定!$D$6:$D$21,MATCH($G811,設定!$B$6:$B$21,0))),""))</f>
        <v/>
      </c>
      <c r="I811" s="83">
        <f>IF($G811="","",IFERROR(IF(INDEX(設定!$E$6:$E$21,MATCH($G811,設定!$B$6:$B$21,0))=0,"",INDEX(設定!$E$6:$E$21,MATCH($G811,設定!$B$6:$B$21,0))),""))</f>
        <v/>
      </c>
      <c r="J811" s="83">
        <f>IFERROR(INDEX(打卡匯入!$C$3:$C$2002,MATCH($C811&amp;"|"&amp;DAY($A811),打卡匯入!$E$3:$E$2002,0)),"")</f>
        <v/>
      </c>
      <c r="K811" s="83">
        <f>IFERROR(INDEX(打卡匯入!$D$3:$D$2002,MATCH($C811&amp;"|"&amp;DAY($A811),打卡匯入!$E$3:$E$2002,0)),"")</f>
        <v/>
      </c>
      <c r="L811" s="84">
        <f>IF(OR($J811="",$K811=""),"",IFERROR(INDEX(設定!$F$6:$F$21,MATCH($G811,設定!$B$6:$B$21,0)),0))</f>
        <v/>
      </c>
      <c r="M811" s="85">
        <f>IF(OR($J811="",$K811=""),"",ROUND(($K811-$J811)*24-$L811/60,2))</f>
        <v/>
      </c>
      <c r="N811" s="16">
        <f>IF($C811="","",IF(AND(COUNTIF(設定!$B$15:$B$21,$G811)&gt;0,$J811&lt;&gt;""),"假日出勤",IF(AND(COUNTIF(設定!$B$6:$B$14,$G811)&gt;0,$J811=""),"未打卡",IF($J811="","",IF($O811&gt;0,"遲到",IF($P811&gt;0,"早退","正常"))))))</f>
        <v/>
      </c>
      <c r="O811" s="84">
        <f>IF(OR($C811="",$H811="",$J811=""),0,IF(ROUND(($J811-$H811)*1440,0)&gt;設定!$C$46,ROUND(($J811-$H811)*1440,0),0))</f>
        <v/>
      </c>
      <c r="P811" s="84">
        <f>IF(OR($C811="",$I811="",$K811=""),0,IF(ROUND(($I811-$K811)*1440,0)&gt;設定!$C$46,ROUND(($I811-$K811)*1440,0),0))</f>
        <v/>
      </c>
      <c r="Q811" s="85">
        <f>IF($M811="",0,IF(($M811-IFERROR(INDEX(設定!$G$6:$G$21,MATCH($G811,設定!$B$6:$B$21,0)),0))*60&gt;=設定!$C$44,ROUND(FLOOR(($M811-IFERROR(INDEX(設定!$G$6:$G$21,MATCH($G811,設定!$B$6:$B$21,0)),0))*60,設定!$C$45)/60,2),0))</f>
        <v/>
      </c>
      <c r="R811" s="16">
        <f>IF(OR($C811="",$Q811=0),"",IF($G811="國","國定假日",IF($B811="日","例假",IF($B811="六","休息日","平日"))))</f>
        <v/>
      </c>
      <c r="S811" s="19" t="n"/>
    </row>
    <row r="812">
      <c r="A812" s="82">
        <f>IF(OR(助理班表!$A31="",4&gt;DAY(EOMONTH(DATE(設定!$C$2,設定!$D$2,1),0))),"",DATE(設定!$C$2,設定!$D$2,4))</f>
        <v/>
      </c>
      <c r="B812" s="16">
        <f>IF($A812="","",INDEX(設定!$O$6:$O$12,WEEKDAY($A812,1)))</f>
        <v/>
      </c>
      <c r="C812" s="16">
        <f>IF($A812="","",助理班表!$A31)</f>
        <v/>
      </c>
      <c r="D812" s="16">
        <f>IF($C812="","",助理班表!$B31)</f>
        <v/>
      </c>
      <c r="E812" s="16">
        <f>IF($C812="","",助理班表!$D31)</f>
        <v/>
      </c>
      <c r="F812" s="16">
        <f>IF($C812="","",助理班表!$C31)</f>
        <v/>
      </c>
      <c r="G812" s="16">
        <f>IF($C812="","",助理班表!H31)</f>
        <v/>
      </c>
      <c r="H812" s="83">
        <f>IF($G812="","",IFERROR(IF(INDEX(設定!$D$6:$D$21,MATCH($G812,設定!$B$6:$B$21,0))=0,"",INDEX(設定!$D$6:$D$21,MATCH($G812,設定!$B$6:$B$21,0))),""))</f>
        <v/>
      </c>
      <c r="I812" s="83">
        <f>IF($G812="","",IFERROR(IF(INDEX(設定!$E$6:$E$21,MATCH($G812,設定!$B$6:$B$21,0))=0,"",INDEX(設定!$E$6:$E$21,MATCH($G812,設定!$B$6:$B$21,0))),""))</f>
        <v/>
      </c>
      <c r="J812" s="83">
        <f>IFERROR(INDEX(打卡匯入!$C$3:$C$2002,MATCH($C812&amp;"|"&amp;DAY($A812),打卡匯入!$E$3:$E$2002,0)),"")</f>
        <v/>
      </c>
      <c r="K812" s="83">
        <f>IFERROR(INDEX(打卡匯入!$D$3:$D$2002,MATCH($C812&amp;"|"&amp;DAY($A812),打卡匯入!$E$3:$E$2002,0)),"")</f>
        <v/>
      </c>
      <c r="L812" s="84">
        <f>IF(OR($J812="",$K812=""),"",IFERROR(INDEX(設定!$F$6:$F$21,MATCH($G812,設定!$B$6:$B$21,0)),0))</f>
        <v/>
      </c>
      <c r="M812" s="85">
        <f>IF(OR($J812="",$K812=""),"",ROUND(($K812-$J812)*24-$L812/60,2))</f>
        <v/>
      </c>
      <c r="N812" s="16">
        <f>IF($C812="","",IF(AND(COUNTIF(設定!$B$15:$B$21,$G812)&gt;0,$J812&lt;&gt;""),"假日出勤",IF(AND(COUNTIF(設定!$B$6:$B$14,$G812)&gt;0,$J812=""),"未打卡",IF($J812="","",IF($O812&gt;0,"遲到",IF($P812&gt;0,"早退","正常"))))))</f>
        <v/>
      </c>
      <c r="O812" s="84">
        <f>IF(OR($C812="",$H812="",$J812=""),0,IF(ROUND(($J812-$H812)*1440,0)&gt;設定!$C$46,ROUND(($J812-$H812)*1440,0),0))</f>
        <v/>
      </c>
      <c r="P812" s="84">
        <f>IF(OR($C812="",$I812="",$K812=""),0,IF(ROUND(($I812-$K812)*1440,0)&gt;設定!$C$46,ROUND(($I812-$K812)*1440,0),0))</f>
        <v/>
      </c>
      <c r="Q812" s="85">
        <f>IF($M812="",0,IF(($M812-IFERROR(INDEX(設定!$G$6:$G$21,MATCH($G812,設定!$B$6:$B$21,0)),0))*60&gt;=設定!$C$44,ROUND(FLOOR(($M812-IFERROR(INDEX(設定!$G$6:$G$21,MATCH($G812,設定!$B$6:$B$21,0)),0))*60,設定!$C$45)/60,2),0))</f>
        <v/>
      </c>
      <c r="R812" s="16">
        <f>IF(OR($C812="",$Q812=0),"",IF($G812="國","國定假日",IF($B812="日","例假",IF($B812="六","休息日","平日"))))</f>
        <v/>
      </c>
      <c r="S812" s="19" t="n"/>
    </row>
    <row r="813">
      <c r="A813" s="82">
        <f>IF(OR(助理班表!$A31="",5&gt;DAY(EOMONTH(DATE(設定!$C$2,設定!$D$2,1),0))),"",DATE(設定!$C$2,設定!$D$2,5))</f>
        <v/>
      </c>
      <c r="B813" s="16">
        <f>IF($A813="","",INDEX(設定!$O$6:$O$12,WEEKDAY($A813,1)))</f>
        <v/>
      </c>
      <c r="C813" s="16">
        <f>IF($A813="","",助理班表!$A31)</f>
        <v/>
      </c>
      <c r="D813" s="16">
        <f>IF($C813="","",助理班表!$B31)</f>
        <v/>
      </c>
      <c r="E813" s="16">
        <f>IF($C813="","",助理班表!$D31)</f>
        <v/>
      </c>
      <c r="F813" s="16">
        <f>IF($C813="","",助理班表!$C31)</f>
        <v/>
      </c>
      <c r="G813" s="16">
        <f>IF($C813="","",助理班表!I31)</f>
        <v/>
      </c>
      <c r="H813" s="83">
        <f>IF($G813="","",IFERROR(IF(INDEX(設定!$D$6:$D$21,MATCH($G813,設定!$B$6:$B$21,0))=0,"",INDEX(設定!$D$6:$D$21,MATCH($G813,設定!$B$6:$B$21,0))),""))</f>
        <v/>
      </c>
      <c r="I813" s="83">
        <f>IF($G813="","",IFERROR(IF(INDEX(設定!$E$6:$E$21,MATCH($G813,設定!$B$6:$B$21,0))=0,"",INDEX(設定!$E$6:$E$21,MATCH($G813,設定!$B$6:$B$21,0))),""))</f>
        <v/>
      </c>
      <c r="J813" s="83">
        <f>IFERROR(INDEX(打卡匯入!$C$3:$C$2002,MATCH($C813&amp;"|"&amp;DAY($A813),打卡匯入!$E$3:$E$2002,0)),"")</f>
        <v/>
      </c>
      <c r="K813" s="83">
        <f>IFERROR(INDEX(打卡匯入!$D$3:$D$2002,MATCH($C813&amp;"|"&amp;DAY($A813),打卡匯入!$E$3:$E$2002,0)),"")</f>
        <v/>
      </c>
      <c r="L813" s="84">
        <f>IF(OR($J813="",$K813=""),"",IFERROR(INDEX(設定!$F$6:$F$21,MATCH($G813,設定!$B$6:$B$21,0)),0))</f>
        <v/>
      </c>
      <c r="M813" s="85">
        <f>IF(OR($J813="",$K813=""),"",ROUND(($K813-$J813)*24-$L813/60,2))</f>
        <v/>
      </c>
      <c r="N813" s="16">
        <f>IF($C813="","",IF(AND(COUNTIF(設定!$B$15:$B$21,$G813)&gt;0,$J813&lt;&gt;""),"假日出勤",IF(AND(COUNTIF(設定!$B$6:$B$14,$G813)&gt;0,$J813=""),"未打卡",IF($J813="","",IF($O813&gt;0,"遲到",IF($P813&gt;0,"早退","正常"))))))</f>
        <v/>
      </c>
      <c r="O813" s="84">
        <f>IF(OR($C813="",$H813="",$J813=""),0,IF(ROUND(($J813-$H813)*1440,0)&gt;設定!$C$46,ROUND(($J813-$H813)*1440,0),0))</f>
        <v/>
      </c>
      <c r="P813" s="84">
        <f>IF(OR($C813="",$I813="",$K813=""),0,IF(ROUND(($I813-$K813)*1440,0)&gt;設定!$C$46,ROUND(($I813-$K813)*1440,0),0))</f>
        <v/>
      </c>
      <c r="Q813" s="85">
        <f>IF($M813="",0,IF(($M813-IFERROR(INDEX(設定!$G$6:$G$21,MATCH($G813,設定!$B$6:$B$21,0)),0))*60&gt;=設定!$C$44,ROUND(FLOOR(($M813-IFERROR(INDEX(設定!$G$6:$G$21,MATCH($G813,設定!$B$6:$B$21,0)),0))*60,設定!$C$45)/60,2),0))</f>
        <v/>
      </c>
      <c r="R813" s="16">
        <f>IF(OR($C813="",$Q813=0),"",IF($G813="國","國定假日",IF($B813="日","例假",IF($B813="六","休息日","平日"))))</f>
        <v/>
      </c>
      <c r="S813" s="19" t="n"/>
    </row>
    <row r="814">
      <c r="A814" s="82">
        <f>IF(OR(助理班表!$A31="",6&gt;DAY(EOMONTH(DATE(設定!$C$2,設定!$D$2,1),0))),"",DATE(設定!$C$2,設定!$D$2,6))</f>
        <v/>
      </c>
      <c r="B814" s="16">
        <f>IF($A814="","",INDEX(設定!$O$6:$O$12,WEEKDAY($A814,1)))</f>
        <v/>
      </c>
      <c r="C814" s="16">
        <f>IF($A814="","",助理班表!$A31)</f>
        <v/>
      </c>
      <c r="D814" s="16">
        <f>IF($C814="","",助理班表!$B31)</f>
        <v/>
      </c>
      <c r="E814" s="16">
        <f>IF($C814="","",助理班表!$D31)</f>
        <v/>
      </c>
      <c r="F814" s="16">
        <f>IF($C814="","",助理班表!$C31)</f>
        <v/>
      </c>
      <c r="G814" s="16">
        <f>IF($C814="","",助理班表!J31)</f>
        <v/>
      </c>
      <c r="H814" s="83">
        <f>IF($G814="","",IFERROR(IF(INDEX(設定!$D$6:$D$21,MATCH($G814,設定!$B$6:$B$21,0))=0,"",INDEX(設定!$D$6:$D$21,MATCH($G814,設定!$B$6:$B$21,0))),""))</f>
        <v/>
      </c>
      <c r="I814" s="83">
        <f>IF($G814="","",IFERROR(IF(INDEX(設定!$E$6:$E$21,MATCH($G814,設定!$B$6:$B$21,0))=0,"",INDEX(設定!$E$6:$E$21,MATCH($G814,設定!$B$6:$B$21,0))),""))</f>
        <v/>
      </c>
      <c r="J814" s="83">
        <f>IFERROR(INDEX(打卡匯入!$C$3:$C$2002,MATCH($C814&amp;"|"&amp;DAY($A814),打卡匯入!$E$3:$E$2002,0)),"")</f>
        <v/>
      </c>
      <c r="K814" s="83">
        <f>IFERROR(INDEX(打卡匯入!$D$3:$D$2002,MATCH($C814&amp;"|"&amp;DAY($A814),打卡匯入!$E$3:$E$2002,0)),"")</f>
        <v/>
      </c>
      <c r="L814" s="84">
        <f>IF(OR($J814="",$K814=""),"",IFERROR(INDEX(設定!$F$6:$F$21,MATCH($G814,設定!$B$6:$B$21,0)),0))</f>
        <v/>
      </c>
      <c r="M814" s="85">
        <f>IF(OR($J814="",$K814=""),"",ROUND(($K814-$J814)*24-$L814/60,2))</f>
        <v/>
      </c>
      <c r="N814" s="16">
        <f>IF($C814="","",IF(AND(COUNTIF(設定!$B$15:$B$21,$G814)&gt;0,$J814&lt;&gt;""),"假日出勤",IF(AND(COUNTIF(設定!$B$6:$B$14,$G814)&gt;0,$J814=""),"未打卡",IF($J814="","",IF($O814&gt;0,"遲到",IF($P814&gt;0,"早退","正常"))))))</f>
        <v/>
      </c>
      <c r="O814" s="84">
        <f>IF(OR($C814="",$H814="",$J814=""),0,IF(ROUND(($J814-$H814)*1440,0)&gt;設定!$C$46,ROUND(($J814-$H814)*1440,0),0))</f>
        <v/>
      </c>
      <c r="P814" s="84">
        <f>IF(OR($C814="",$I814="",$K814=""),0,IF(ROUND(($I814-$K814)*1440,0)&gt;設定!$C$46,ROUND(($I814-$K814)*1440,0),0))</f>
        <v/>
      </c>
      <c r="Q814" s="85">
        <f>IF($M814="",0,IF(($M814-IFERROR(INDEX(設定!$G$6:$G$21,MATCH($G814,設定!$B$6:$B$21,0)),0))*60&gt;=設定!$C$44,ROUND(FLOOR(($M814-IFERROR(INDEX(設定!$G$6:$G$21,MATCH($G814,設定!$B$6:$B$21,0)),0))*60,設定!$C$45)/60,2),0))</f>
        <v/>
      </c>
      <c r="R814" s="16">
        <f>IF(OR($C814="",$Q814=0),"",IF($G814="國","國定假日",IF($B814="日","例假",IF($B814="六","休息日","平日"))))</f>
        <v/>
      </c>
      <c r="S814" s="19" t="n"/>
    </row>
    <row r="815">
      <c r="A815" s="82">
        <f>IF(OR(助理班表!$A31="",7&gt;DAY(EOMONTH(DATE(設定!$C$2,設定!$D$2,1),0))),"",DATE(設定!$C$2,設定!$D$2,7))</f>
        <v/>
      </c>
      <c r="B815" s="16">
        <f>IF($A815="","",INDEX(設定!$O$6:$O$12,WEEKDAY($A815,1)))</f>
        <v/>
      </c>
      <c r="C815" s="16">
        <f>IF($A815="","",助理班表!$A31)</f>
        <v/>
      </c>
      <c r="D815" s="16">
        <f>IF($C815="","",助理班表!$B31)</f>
        <v/>
      </c>
      <c r="E815" s="16">
        <f>IF($C815="","",助理班表!$D31)</f>
        <v/>
      </c>
      <c r="F815" s="16">
        <f>IF($C815="","",助理班表!$C31)</f>
        <v/>
      </c>
      <c r="G815" s="16">
        <f>IF($C815="","",助理班表!K31)</f>
        <v/>
      </c>
      <c r="H815" s="83">
        <f>IF($G815="","",IFERROR(IF(INDEX(設定!$D$6:$D$21,MATCH($G815,設定!$B$6:$B$21,0))=0,"",INDEX(設定!$D$6:$D$21,MATCH($G815,設定!$B$6:$B$21,0))),""))</f>
        <v/>
      </c>
      <c r="I815" s="83">
        <f>IF($G815="","",IFERROR(IF(INDEX(設定!$E$6:$E$21,MATCH($G815,設定!$B$6:$B$21,0))=0,"",INDEX(設定!$E$6:$E$21,MATCH($G815,設定!$B$6:$B$21,0))),""))</f>
        <v/>
      </c>
      <c r="J815" s="83">
        <f>IFERROR(INDEX(打卡匯入!$C$3:$C$2002,MATCH($C815&amp;"|"&amp;DAY($A815),打卡匯入!$E$3:$E$2002,0)),"")</f>
        <v/>
      </c>
      <c r="K815" s="83">
        <f>IFERROR(INDEX(打卡匯入!$D$3:$D$2002,MATCH($C815&amp;"|"&amp;DAY($A815),打卡匯入!$E$3:$E$2002,0)),"")</f>
        <v/>
      </c>
      <c r="L815" s="84">
        <f>IF(OR($J815="",$K815=""),"",IFERROR(INDEX(設定!$F$6:$F$21,MATCH($G815,設定!$B$6:$B$21,0)),0))</f>
        <v/>
      </c>
      <c r="M815" s="85">
        <f>IF(OR($J815="",$K815=""),"",ROUND(($K815-$J815)*24-$L815/60,2))</f>
        <v/>
      </c>
      <c r="N815" s="16">
        <f>IF($C815="","",IF(AND(COUNTIF(設定!$B$15:$B$21,$G815)&gt;0,$J815&lt;&gt;""),"假日出勤",IF(AND(COUNTIF(設定!$B$6:$B$14,$G815)&gt;0,$J815=""),"未打卡",IF($J815="","",IF($O815&gt;0,"遲到",IF($P815&gt;0,"早退","正常"))))))</f>
        <v/>
      </c>
      <c r="O815" s="84">
        <f>IF(OR($C815="",$H815="",$J815=""),0,IF(ROUND(($J815-$H815)*1440,0)&gt;設定!$C$46,ROUND(($J815-$H815)*1440,0),0))</f>
        <v/>
      </c>
      <c r="P815" s="84">
        <f>IF(OR($C815="",$I815="",$K815=""),0,IF(ROUND(($I815-$K815)*1440,0)&gt;設定!$C$46,ROUND(($I815-$K815)*1440,0),0))</f>
        <v/>
      </c>
      <c r="Q815" s="85">
        <f>IF($M815="",0,IF(($M815-IFERROR(INDEX(設定!$G$6:$G$21,MATCH($G815,設定!$B$6:$B$21,0)),0))*60&gt;=設定!$C$44,ROUND(FLOOR(($M815-IFERROR(INDEX(設定!$G$6:$G$21,MATCH($G815,設定!$B$6:$B$21,0)),0))*60,設定!$C$45)/60,2),0))</f>
        <v/>
      </c>
      <c r="R815" s="16">
        <f>IF(OR($C815="",$Q815=0),"",IF($G815="國","國定假日",IF($B815="日","例假",IF($B815="六","休息日","平日"))))</f>
        <v/>
      </c>
      <c r="S815" s="19" t="n"/>
    </row>
    <row r="816">
      <c r="A816" s="82">
        <f>IF(OR(助理班表!$A31="",8&gt;DAY(EOMONTH(DATE(設定!$C$2,設定!$D$2,1),0))),"",DATE(設定!$C$2,設定!$D$2,8))</f>
        <v/>
      </c>
      <c r="B816" s="16">
        <f>IF($A816="","",INDEX(設定!$O$6:$O$12,WEEKDAY($A816,1)))</f>
        <v/>
      </c>
      <c r="C816" s="16">
        <f>IF($A816="","",助理班表!$A31)</f>
        <v/>
      </c>
      <c r="D816" s="16">
        <f>IF($C816="","",助理班表!$B31)</f>
        <v/>
      </c>
      <c r="E816" s="16">
        <f>IF($C816="","",助理班表!$D31)</f>
        <v/>
      </c>
      <c r="F816" s="16">
        <f>IF($C816="","",助理班表!$C31)</f>
        <v/>
      </c>
      <c r="G816" s="16">
        <f>IF($C816="","",助理班表!L31)</f>
        <v/>
      </c>
      <c r="H816" s="83">
        <f>IF($G816="","",IFERROR(IF(INDEX(設定!$D$6:$D$21,MATCH($G816,設定!$B$6:$B$21,0))=0,"",INDEX(設定!$D$6:$D$21,MATCH($G816,設定!$B$6:$B$21,0))),""))</f>
        <v/>
      </c>
      <c r="I816" s="83">
        <f>IF($G816="","",IFERROR(IF(INDEX(設定!$E$6:$E$21,MATCH($G816,設定!$B$6:$B$21,0))=0,"",INDEX(設定!$E$6:$E$21,MATCH($G816,設定!$B$6:$B$21,0))),""))</f>
        <v/>
      </c>
      <c r="J816" s="83">
        <f>IFERROR(INDEX(打卡匯入!$C$3:$C$2002,MATCH($C816&amp;"|"&amp;DAY($A816),打卡匯入!$E$3:$E$2002,0)),"")</f>
        <v/>
      </c>
      <c r="K816" s="83">
        <f>IFERROR(INDEX(打卡匯入!$D$3:$D$2002,MATCH($C816&amp;"|"&amp;DAY($A816),打卡匯入!$E$3:$E$2002,0)),"")</f>
        <v/>
      </c>
      <c r="L816" s="84">
        <f>IF(OR($J816="",$K816=""),"",IFERROR(INDEX(設定!$F$6:$F$21,MATCH($G816,設定!$B$6:$B$21,0)),0))</f>
        <v/>
      </c>
      <c r="M816" s="85">
        <f>IF(OR($J816="",$K816=""),"",ROUND(($K816-$J816)*24-$L816/60,2))</f>
        <v/>
      </c>
      <c r="N816" s="16">
        <f>IF($C816="","",IF(AND(COUNTIF(設定!$B$15:$B$21,$G816)&gt;0,$J816&lt;&gt;""),"假日出勤",IF(AND(COUNTIF(設定!$B$6:$B$14,$G816)&gt;0,$J816=""),"未打卡",IF($J816="","",IF($O816&gt;0,"遲到",IF($P816&gt;0,"早退","正常"))))))</f>
        <v/>
      </c>
      <c r="O816" s="84">
        <f>IF(OR($C816="",$H816="",$J816=""),0,IF(ROUND(($J816-$H816)*1440,0)&gt;設定!$C$46,ROUND(($J816-$H816)*1440,0),0))</f>
        <v/>
      </c>
      <c r="P816" s="84">
        <f>IF(OR($C816="",$I816="",$K816=""),0,IF(ROUND(($I816-$K816)*1440,0)&gt;設定!$C$46,ROUND(($I816-$K816)*1440,0),0))</f>
        <v/>
      </c>
      <c r="Q816" s="85">
        <f>IF($M816="",0,IF(($M816-IFERROR(INDEX(設定!$G$6:$G$21,MATCH($G816,設定!$B$6:$B$21,0)),0))*60&gt;=設定!$C$44,ROUND(FLOOR(($M816-IFERROR(INDEX(設定!$G$6:$G$21,MATCH($G816,設定!$B$6:$B$21,0)),0))*60,設定!$C$45)/60,2),0))</f>
        <v/>
      </c>
      <c r="R816" s="16">
        <f>IF(OR($C816="",$Q816=0),"",IF($G816="國","國定假日",IF($B816="日","例假",IF($B816="六","休息日","平日"))))</f>
        <v/>
      </c>
      <c r="S816" s="19" t="n"/>
    </row>
    <row r="817">
      <c r="A817" s="82">
        <f>IF(OR(助理班表!$A31="",9&gt;DAY(EOMONTH(DATE(設定!$C$2,設定!$D$2,1),0))),"",DATE(設定!$C$2,設定!$D$2,9))</f>
        <v/>
      </c>
      <c r="B817" s="16">
        <f>IF($A817="","",INDEX(設定!$O$6:$O$12,WEEKDAY($A817,1)))</f>
        <v/>
      </c>
      <c r="C817" s="16">
        <f>IF($A817="","",助理班表!$A31)</f>
        <v/>
      </c>
      <c r="D817" s="16">
        <f>IF($C817="","",助理班表!$B31)</f>
        <v/>
      </c>
      <c r="E817" s="16">
        <f>IF($C817="","",助理班表!$D31)</f>
        <v/>
      </c>
      <c r="F817" s="16">
        <f>IF($C817="","",助理班表!$C31)</f>
        <v/>
      </c>
      <c r="G817" s="16">
        <f>IF($C817="","",助理班表!M31)</f>
        <v/>
      </c>
      <c r="H817" s="83">
        <f>IF($G817="","",IFERROR(IF(INDEX(設定!$D$6:$D$21,MATCH($G817,設定!$B$6:$B$21,0))=0,"",INDEX(設定!$D$6:$D$21,MATCH($G817,設定!$B$6:$B$21,0))),""))</f>
        <v/>
      </c>
      <c r="I817" s="83">
        <f>IF($G817="","",IFERROR(IF(INDEX(設定!$E$6:$E$21,MATCH($G817,設定!$B$6:$B$21,0))=0,"",INDEX(設定!$E$6:$E$21,MATCH($G817,設定!$B$6:$B$21,0))),""))</f>
        <v/>
      </c>
      <c r="J817" s="83">
        <f>IFERROR(INDEX(打卡匯入!$C$3:$C$2002,MATCH($C817&amp;"|"&amp;DAY($A817),打卡匯入!$E$3:$E$2002,0)),"")</f>
        <v/>
      </c>
      <c r="K817" s="83">
        <f>IFERROR(INDEX(打卡匯入!$D$3:$D$2002,MATCH($C817&amp;"|"&amp;DAY($A817),打卡匯入!$E$3:$E$2002,0)),"")</f>
        <v/>
      </c>
      <c r="L817" s="84">
        <f>IF(OR($J817="",$K817=""),"",IFERROR(INDEX(設定!$F$6:$F$21,MATCH($G817,設定!$B$6:$B$21,0)),0))</f>
        <v/>
      </c>
      <c r="M817" s="85">
        <f>IF(OR($J817="",$K817=""),"",ROUND(($K817-$J817)*24-$L817/60,2))</f>
        <v/>
      </c>
      <c r="N817" s="16">
        <f>IF($C817="","",IF(AND(COUNTIF(設定!$B$15:$B$21,$G817)&gt;0,$J817&lt;&gt;""),"假日出勤",IF(AND(COUNTIF(設定!$B$6:$B$14,$G817)&gt;0,$J817=""),"未打卡",IF($J817="","",IF($O817&gt;0,"遲到",IF($P817&gt;0,"早退","正常"))))))</f>
        <v/>
      </c>
      <c r="O817" s="84">
        <f>IF(OR($C817="",$H817="",$J817=""),0,IF(ROUND(($J817-$H817)*1440,0)&gt;設定!$C$46,ROUND(($J817-$H817)*1440,0),0))</f>
        <v/>
      </c>
      <c r="P817" s="84">
        <f>IF(OR($C817="",$I817="",$K817=""),0,IF(ROUND(($I817-$K817)*1440,0)&gt;設定!$C$46,ROUND(($I817-$K817)*1440,0),0))</f>
        <v/>
      </c>
      <c r="Q817" s="85">
        <f>IF($M817="",0,IF(($M817-IFERROR(INDEX(設定!$G$6:$G$21,MATCH($G817,設定!$B$6:$B$21,0)),0))*60&gt;=設定!$C$44,ROUND(FLOOR(($M817-IFERROR(INDEX(設定!$G$6:$G$21,MATCH($G817,設定!$B$6:$B$21,0)),0))*60,設定!$C$45)/60,2),0))</f>
        <v/>
      </c>
      <c r="R817" s="16">
        <f>IF(OR($C817="",$Q817=0),"",IF($G817="國","國定假日",IF($B817="日","例假",IF($B817="六","休息日","平日"))))</f>
        <v/>
      </c>
      <c r="S817" s="19" t="n"/>
    </row>
    <row r="818">
      <c r="A818" s="82">
        <f>IF(OR(助理班表!$A31="",10&gt;DAY(EOMONTH(DATE(設定!$C$2,設定!$D$2,1),0))),"",DATE(設定!$C$2,設定!$D$2,10))</f>
        <v/>
      </c>
      <c r="B818" s="16">
        <f>IF($A818="","",INDEX(設定!$O$6:$O$12,WEEKDAY($A818,1)))</f>
        <v/>
      </c>
      <c r="C818" s="16">
        <f>IF($A818="","",助理班表!$A31)</f>
        <v/>
      </c>
      <c r="D818" s="16">
        <f>IF($C818="","",助理班表!$B31)</f>
        <v/>
      </c>
      <c r="E818" s="16">
        <f>IF($C818="","",助理班表!$D31)</f>
        <v/>
      </c>
      <c r="F818" s="16">
        <f>IF($C818="","",助理班表!$C31)</f>
        <v/>
      </c>
      <c r="G818" s="16">
        <f>IF($C818="","",助理班表!N31)</f>
        <v/>
      </c>
      <c r="H818" s="83">
        <f>IF($G818="","",IFERROR(IF(INDEX(設定!$D$6:$D$21,MATCH($G818,設定!$B$6:$B$21,0))=0,"",INDEX(設定!$D$6:$D$21,MATCH($G818,設定!$B$6:$B$21,0))),""))</f>
        <v/>
      </c>
      <c r="I818" s="83">
        <f>IF($G818="","",IFERROR(IF(INDEX(設定!$E$6:$E$21,MATCH($G818,設定!$B$6:$B$21,0))=0,"",INDEX(設定!$E$6:$E$21,MATCH($G818,設定!$B$6:$B$21,0))),""))</f>
        <v/>
      </c>
      <c r="J818" s="83">
        <f>IFERROR(INDEX(打卡匯入!$C$3:$C$2002,MATCH($C818&amp;"|"&amp;DAY($A818),打卡匯入!$E$3:$E$2002,0)),"")</f>
        <v/>
      </c>
      <c r="K818" s="83">
        <f>IFERROR(INDEX(打卡匯入!$D$3:$D$2002,MATCH($C818&amp;"|"&amp;DAY($A818),打卡匯入!$E$3:$E$2002,0)),"")</f>
        <v/>
      </c>
      <c r="L818" s="84">
        <f>IF(OR($J818="",$K818=""),"",IFERROR(INDEX(設定!$F$6:$F$21,MATCH($G818,設定!$B$6:$B$21,0)),0))</f>
        <v/>
      </c>
      <c r="M818" s="85">
        <f>IF(OR($J818="",$K818=""),"",ROUND(($K818-$J818)*24-$L818/60,2))</f>
        <v/>
      </c>
      <c r="N818" s="16">
        <f>IF($C818="","",IF(AND(COUNTIF(設定!$B$15:$B$21,$G818)&gt;0,$J818&lt;&gt;""),"假日出勤",IF(AND(COUNTIF(設定!$B$6:$B$14,$G818)&gt;0,$J818=""),"未打卡",IF($J818="","",IF($O818&gt;0,"遲到",IF($P818&gt;0,"早退","正常"))))))</f>
        <v/>
      </c>
      <c r="O818" s="84">
        <f>IF(OR($C818="",$H818="",$J818=""),0,IF(ROUND(($J818-$H818)*1440,0)&gt;設定!$C$46,ROUND(($J818-$H818)*1440,0),0))</f>
        <v/>
      </c>
      <c r="P818" s="84">
        <f>IF(OR($C818="",$I818="",$K818=""),0,IF(ROUND(($I818-$K818)*1440,0)&gt;設定!$C$46,ROUND(($I818-$K818)*1440,0),0))</f>
        <v/>
      </c>
      <c r="Q818" s="85">
        <f>IF($M818="",0,IF(($M818-IFERROR(INDEX(設定!$G$6:$G$21,MATCH($G818,設定!$B$6:$B$21,0)),0))*60&gt;=設定!$C$44,ROUND(FLOOR(($M818-IFERROR(INDEX(設定!$G$6:$G$21,MATCH($G818,設定!$B$6:$B$21,0)),0))*60,設定!$C$45)/60,2),0))</f>
        <v/>
      </c>
      <c r="R818" s="16">
        <f>IF(OR($C818="",$Q818=0),"",IF($G818="國","國定假日",IF($B818="日","例假",IF($B818="六","休息日","平日"))))</f>
        <v/>
      </c>
      <c r="S818" s="19" t="n"/>
    </row>
    <row r="819">
      <c r="A819" s="82">
        <f>IF(OR(助理班表!$A31="",11&gt;DAY(EOMONTH(DATE(設定!$C$2,設定!$D$2,1),0))),"",DATE(設定!$C$2,設定!$D$2,11))</f>
        <v/>
      </c>
      <c r="B819" s="16">
        <f>IF($A819="","",INDEX(設定!$O$6:$O$12,WEEKDAY($A819,1)))</f>
        <v/>
      </c>
      <c r="C819" s="16">
        <f>IF($A819="","",助理班表!$A31)</f>
        <v/>
      </c>
      <c r="D819" s="16">
        <f>IF($C819="","",助理班表!$B31)</f>
        <v/>
      </c>
      <c r="E819" s="16">
        <f>IF($C819="","",助理班表!$D31)</f>
        <v/>
      </c>
      <c r="F819" s="16">
        <f>IF($C819="","",助理班表!$C31)</f>
        <v/>
      </c>
      <c r="G819" s="16">
        <f>IF($C819="","",助理班表!O31)</f>
        <v/>
      </c>
      <c r="H819" s="83">
        <f>IF($G819="","",IFERROR(IF(INDEX(設定!$D$6:$D$21,MATCH($G819,設定!$B$6:$B$21,0))=0,"",INDEX(設定!$D$6:$D$21,MATCH($G819,設定!$B$6:$B$21,0))),""))</f>
        <v/>
      </c>
      <c r="I819" s="83">
        <f>IF($G819="","",IFERROR(IF(INDEX(設定!$E$6:$E$21,MATCH($G819,設定!$B$6:$B$21,0))=0,"",INDEX(設定!$E$6:$E$21,MATCH($G819,設定!$B$6:$B$21,0))),""))</f>
        <v/>
      </c>
      <c r="J819" s="83">
        <f>IFERROR(INDEX(打卡匯入!$C$3:$C$2002,MATCH($C819&amp;"|"&amp;DAY($A819),打卡匯入!$E$3:$E$2002,0)),"")</f>
        <v/>
      </c>
      <c r="K819" s="83">
        <f>IFERROR(INDEX(打卡匯入!$D$3:$D$2002,MATCH($C819&amp;"|"&amp;DAY($A819),打卡匯入!$E$3:$E$2002,0)),"")</f>
        <v/>
      </c>
      <c r="L819" s="84">
        <f>IF(OR($J819="",$K819=""),"",IFERROR(INDEX(設定!$F$6:$F$21,MATCH($G819,設定!$B$6:$B$21,0)),0))</f>
        <v/>
      </c>
      <c r="M819" s="85">
        <f>IF(OR($J819="",$K819=""),"",ROUND(($K819-$J819)*24-$L819/60,2))</f>
        <v/>
      </c>
      <c r="N819" s="16">
        <f>IF($C819="","",IF(AND(COUNTIF(設定!$B$15:$B$21,$G819)&gt;0,$J819&lt;&gt;""),"假日出勤",IF(AND(COUNTIF(設定!$B$6:$B$14,$G819)&gt;0,$J819=""),"未打卡",IF($J819="","",IF($O819&gt;0,"遲到",IF($P819&gt;0,"早退","正常"))))))</f>
        <v/>
      </c>
      <c r="O819" s="84">
        <f>IF(OR($C819="",$H819="",$J819=""),0,IF(ROUND(($J819-$H819)*1440,0)&gt;設定!$C$46,ROUND(($J819-$H819)*1440,0),0))</f>
        <v/>
      </c>
      <c r="P819" s="84">
        <f>IF(OR($C819="",$I819="",$K819=""),0,IF(ROUND(($I819-$K819)*1440,0)&gt;設定!$C$46,ROUND(($I819-$K819)*1440,0),0))</f>
        <v/>
      </c>
      <c r="Q819" s="85">
        <f>IF($M819="",0,IF(($M819-IFERROR(INDEX(設定!$G$6:$G$21,MATCH($G819,設定!$B$6:$B$21,0)),0))*60&gt;=設定!$C$44,ROUND(FLOOR(($M819-IFERROR(INDEX(設定!$G$6:$G$21,MATCH($G819,設定!$B$6:$B$21,0)),0))*60,設定!$C$45)/60,2),0))</f>
        <v/>
      </c>
      <c r="R819" s="16">
        <f>IF(OR($C819="",$Q819=0),"",IF($G819="國","國定假日",IF($B819="日","例假",IF($B819="六","休息日","平日"))))</f>
        <v/>
      </c>
      <c r="S819" s="19" t="n"/>
    </row>
    <row r="820">
      <c r="A820" s="82">
        <f>IF(OR(助理班表!$A31="",12&gt;DAY(EOMONTH(DATE(設定!$C$2,設定!$D$2,1),0))),"",DATE(設定!$C$2,設定!$D$2,12))</f>
        <v/>
      </c>
      <c r="B820" s="16">
        <f>IF($A820="","",INDEX(設定!$O$6:$O$12,WEEKDAY($A820,1)))</f>
        <v/>
      </c>
      <c r="C820" s="16">
        <f>IF($A820="","",助理班表!$A31)</f>
        <v/>
      </c>
      <c r="D820" s="16">
        <f>IF($C820="","",助理班表!$B31)</f>
        <v/>
      </c>
      <c r="E820" s="16">
        <f>IF($C820="","",助理班表!$D31)</f>
        <v/>
      </c>
      <c r="F820" s="16">
        <f>IF($C820="","",助理班表!$C31)</f>
        <v/>
      </c>
      <c r="G820" s="16">
        <f>IF($C820="","",助理班表!P31)</f>
        <v/>
      </c>
      <c r="H820" s="83">
        <f>IF($G820="","",IFERROR(IF(INDEX(設定!$D$6:$D$21,MATCH($G820,設定!$B$6:$B$21,0))=0,"",INDEX(設定!$D$6:$D$21,MATCH($G820,設定!$B$6:$B$21,0))),""))</f>
        <v/>
      </c>
      <c r="I820" s="83">
        <f>IF($G820="","",IFERROR(IF(INDEX(設定!$E$6:$E$21,MATCH($G820,設定!$B$6:$B$21,0))=0,"",INDEX(設定!$E$6:$E$21,MATCH($G820,設定!$B$6:$B$21,0))),""))</f>
        <v/>
      </c>
      <c r="J820" s="83">
        <f>IFERROR(INDEX(打卡匯入!$C$3:$C$2002,MATCH($C820&amp;"|"&amp;DAY($A820),打卡匯入!$E$3:$E$2002,0)),"")</f>
        <v/>
      </c>
      <c r="K820" s="83">
        <f>IFERROR(INDEX(打卡匯入!$D$3:$D$2002,MATCH($C820&amp;"|"&amp;DAY($A820),打卡匯入!$E$3:$E$2002,0)),"")</f>
        <v/>
      </c>
      <c r="L820" s="84">
        <f>IF(OR($J820="",$K820=""),"",IFERROR(INDEX(設定!$F$6:$F$21,MATCH($G820,設定!$B$6:$B$21,0)),0))</f>
        <v/>
      </c>
      <c r="M820" s="85">
        <f>IF(OR($J820="",$K820=""),"",ROUND(($K820-$J820)*24-$L820/60,2))</f>
        <v/>
      </c>
      <c r="N820" s="16">
        <f>IF($C820="","",IF(AND(COUNTIF(設定!$B$15:$B$21,$G820)&gt;0,$J820&lt;&gt;""),"假日出勤",IF(AND(COUNTIF(設定!$B$6:$B$14,$G820)&gt;0,$J820=""),"未打卡",IF($J820="","",IF($O820&gt;0,"遲到",IF($P820&gt;0,"早退","正常"))))))</f>
        <v/>
      </c>
      <c r="O820" s="84">
        <f>IF(OR($C820="",$H820="",$J820=""),0,IF(ROUND(($J820-$H820)*1440,0)&gt;設定!$C$46,ROUND(($J820-$H820)*1440,0),0))</f>
        <v/>
      </c>
      <c r="P820" s="84">
        <f>IF(OR($C820="",$I820="",$K820=""),0,IF(ROUND(($I820-$K820)*1440,0)&gt;設定!$C$46,ROUND(($I820-$K820)*1440,0),0))</f>
        <v/>
      </c>
      <c r="Q820" s="85">
        <f>IF($M820="",0,IF(($M820-IFERROR(INDEX(設定!$G$6:$G$21,MATCH($G820,設定!$B$6:$B$21,0)),0))*60&gt;=設定!$C$44,ROUND(FLOOR(($M820-IFERROR(INDEX(設定!$G$6:$G$21,MATCH($G820,設定!$B$6:$B$21,0)),0))*60,設定!$C$45)/60,2),0))</f>
        <v/>
      </c>
      <c r="R820" s="16">
        <f>IF(OR($C820="",$Q820=0),"",IF($G820="國","國定假日",IF($B820="日","例假",IF($B820="六","休息日","平日"))))</f>
        <v/>
      </c>
      <c r="S820" s="19" t="n"/>
    </row>
    <row r="821">
      <c r="A821" s="82">
        <f>IF(OR(助理班表!$A31="",13&gt;DAY(EOMONTH(DATE(設定!$C$2,設定!$D$2,1),0))),"",DATE(設定!$C$2,設定!$D$2,13))</f>
        <v/>
      </c>
      <c r="B821" s="16">
        <f>IF($A821="","",INDEX(設定!$O$6:$O$12,WEEKDAY($A821,1)))</f>
        <v/>
      </c>
      <c r="C821" s="16">
        <f>IF($A821="","",助理班表!$A31)</f>
        <v/>
      </c>
      <c r="D821" s="16">
        <f>IF($C821="","",助理班表!$B31)</f>
        <v/>
      </c>
      <c r="E821" s="16">
        <f>IF($C821="","",助理班表!$D31)</f>
        <v/>
      </c>
      <c r="F821" s="16">
        <f>IF($C821="","",助理班表!$C31)</f>
        <v/>
      </c>
      <c r="G821" s="16">
        <f>IF($C821="","",助理班表!Q31)</f>
        <v/>
      </c>
      <c r="H821" s="83">
        <f>IF($G821="","",IFERROR(IF(INDEX(設定!$D$6:$D$21,MATCH($G821,設定!$B$6:$B$21,0))=0,"",INDEX(設定!$D$6:$D$21,MATCH($G821,設定!$B$6:$B$21,0))),""))</f>
        <v/>
      </c>
      <c r="I821" s="83">
        <f>IF($G821="","",IFERROR(IF(INDEX(設定!$E$6:$E$21,MATCH($G821,設定!$B$6:$B$21,0))=0,"",INDEX(設定!$E$6:$E$21,MATCH($G821,設定!$B$6:$B$21,0))),""))</f>
        <v/>
      </c>
      <c r="J821" s="83">
        <f>IFERROR(INDEX(打卡匯入!$C$3:$C$2002,MATCH($C821&amp;"|"&amp;DAY($A821),打卡匯入!$E$3:$E$2002,0)),"")</f>
        <v/>
      </c>
      <c r="K821" s="83">
        <f>IFERROR(INDEX(打卡匯入!$D$3:$D$2002,MATCH($C821&amp;"|"&amp;DAY($A821),打卡匯入!$E$3:$E$2002,0)),"")</f>
        <v/>
      </c>
      <c r="L821" s="84">
        <f>IF(OR($J821="",$K821=""),"",IFERROR(INDEX(設定!$F$6:$F$21,MATCH($G821,設定!$B$6:$B$21,0)),0))</f>
        <v/>
      </c>
      <c r="M821" s="85">
        <f>IF(OR($J821="",$K821=""),"",ROUND(($K821-$J821)*24-$L821/60,2))</f>
        <v/>
      </c>
      <c r="N821" s="16">
        <f>IF($C821="","",IF(AND(COUNTIF(設定!$B$15:$B$21,$G821)&gt;0,$J821&lt;&gt;""),"假日出勤",IF(AND(COUNTIF(設定!$B$6:$B$14,$G821)&gt;0,$J821=""),"未打卡",IF($J821="","",IF($O821&gt;0,"遲到",IF($P821&gt;0,"早退","正常"))))))</f>
        <v/>
      </c>
      <c r="O821" s="84">
        <f>IF(OR($C821="",$H821="",$J821=""),0,IF(ROUND(($J821-$H821)*1440,0)&gt;設定!$C$46,ROUND(($J821-$H821)*1440,0),0))</f>
        <v/>
      </c>
      <c r="P821" s="84">
        <f>IF(OR($C821="",$I821="",$K821=""),0,IF(ROUND(($I821-$K821)*1440,0)&gt;設定!$C$46,ROUND(($I821-$K821)*1440,0),0))</f>
        <v/>
      </c>
      <c r="Q821" s="85">
        <f>IF($M821="",0,IF(($M821-IFERROR(INDEX(設定!$G$6:$G$21,MATCH($G821,設定!$B$6:$B$21,0)),0))*60&gt;=設定!$C$44,ROUND(FLOOR(($M821-IFERROR(INDEX(設定!$G$6:$G$21,MATCH($G821,設定!$B$6:$B$21,0)),0))*60,設定!$C$45)/60,2),0))</f>
        <v/>
      </c>
      <c r="R821" s="16">
        <f>IF(OR($C821="",$Q821=0),"",IF($G821="國","國定假日",IF($B821="日","例假",IF($B821="六","休息日","平日"))))</f>
        <v/>
      </c>
      <c r="S821" s="19" t="n"/>
    </row>
    <row r="822">
      <c r="A822" s="82">
        <f>IF(OR(助理班表!$A31="",14&gt;DAY(EOMONTH(DATE(設定!$C$2,設定!$D$2,1),0))),"",DATE(設定!$C$2,設定!$D$2,14))</f>
        <v/>
      </c>
      <c r="B822" s="16">
        <f>IF($A822="","",INDEX(設定!$O$6:$O$12,WEEKDAY($A822,1)))</f>
        <v/>
      </c>
      <c r="C822" s="16">
        <f>IF($A822="","",助理班表!$A31)</f>
        <v/>
      </c>
      <c r="D822" s="16">
        <f>IF($C822="","",助理班表!$B31)</f>
        <v/>
      </c>
      <c r="E822" s="16">
        <f>IF($C822="","",助理班表!$D31)</f>
        <v/>
      </c>
      <c r="F822" s="16">
        <f>IF($C822="","",助理班表!$C31)</f>
        <v/>
      </c>
      <c r="G822" s="16">
        <f>IF($C822="","",助理班表!R31)</f>
        <v/>
      </c>
      <c r="H822" s="83">
        <f>IF($G822="","",IFERROR(IF(INDEX(設定!$D$6:$D$21,MATCH($G822,設定!$B$6:$B$21,0))=0,"",INDEX(設定!$D$6:$D$21,MATCH($G822,設定!$B$6:$B$21,0))),""))</f>
        <v/>
      </c>
      <c r="I822" s="83">
        <f>IF($G822="","",IFERROR(IF(INDEX(設定!$E$6:$E$21,MATCH($G822,設定!$B$6:$B$21,0))=0,"",INDEX(設定!$E$6:$E$21,MATCH($G822,設定!$B$6:$B$21,0))),""))</f>
        <v/>
      </c>
      <c r="J822" s="83">
        <f>IFERROR(INDEX(打卡匯入!$C$3:$C$2002,MATCH($C822&amp;"|"&amp;DAY($A822),打卡匯入!$E$3:$E$2002,0)),"")</f>
        <v/>
      </c>
      <c r="K822" s="83">
        <f>IFERROR(INDEX(打卡匯入!$D$3:$D$2002,MATCH($C822&amp;"|"&amp;DAY($A822),打卡匯入!$E$3:$E$2002,0)),"")</f>
        <v/>
      </c>
      <c r="L822" s="84">
        <f>IF(OR($J822="",$K822=""),"",IFERROR(INDEX(設定!$F$6:$F$21,MATCH($G822,設定!$B$6:$B$21,0)),0))</f>
        <v/>
      </c>
      <c r="M822" s="85">
        <f>IF(OR($J822="",$K822=""),"",ROUND(($K822-$J822)*24-$L822/60,2))</f>
        <v/>
      </c>
      <c r="N822" s="16">
        <f>IF($C822="","",IF(AND(COUNTIF(設定!$B$15:$B$21,$G822)&gt;0,$J822&lt;&gt;""),"假日出勤",IF(AND(COUNTIF(設定!$B$6:$B$14,$G822)&gt;0,$J822=""),"未打卡",IF($J822="","",IF($O822&gt;0,"遲到",IF($P822&gt;0,"早退","正常"))))))</f>
        <v/>
      </c>
      <c r="O822" s="84">
        <f>IF(OR($C822="",$H822="",$J822=""),0,IF(ROUND(($J822-$H822)*1440,0)&gt;設定!$C$46,ROUND(($J822-$H822)*1440,0),0))</f>
        <v/>
      </c>
      <c r="P822" s="84">
        <f>IF(OR($C822="",$I822="",$K822=""),0,IF(ROUND(($I822-$K822)*1440,0)&gt;設定!$C$46,ROUND(($I822-$K822)*1440,0),0))</f>
        <v/>
      </c>
      <c r="Q822" s="85">
        <f>IF($M822="",0,IF(($M822-IFERROR(INDEX(設定!$G$6:$G$21,MATCH($G822,設定!$B$6:$B$21,0)),0))*60&gt;=設定!$C$44,ROUND(FLOOR(($M822-IFERROR(INDEX(設定!$G$6:$G$21,MATCH($G822,設定!$B$6:$B$21,0)),0))*60,設定!$C$45)/60,2),0))</f>
        <v/>
      </c>
      <c r="R822" s="16">
        <f>IF(OR($C822="",$Q822=0),"",IF($G822="國","國定假日",IF($B822="日","例假",IF($B822="六","休息日","平日"))))</f>
        <v/>
      </c>
      <c r="S822" s="19" t="n"/>
    </row>
    <row r="823">
      <c r="A823" s="82">
        <f>IF(OR(助理班表!$A31="",15&gt;DAY(EOMONTH(DATE(設定!$C$2,設定!$D$2,1),0))),"",DATE(設定!$C$2,設定!$D$2,15))</f>
        <v/>
      </c>
      <c r="B823" s="16">
        <f>IF($A823="","",INDEX(設定!$O$6:$O$12,WEEKDAY($A823,1)))</f>
        <v/>
      </c>
      <c r="C823" s="16">
        <f>IF($A823="","",助理班表!$A31)</f>
        <v/>
      </c>
      <c r="D823" s="16">
        <f>IF($C823="","",助理班表!$B31)</f>
        <v/>
      </c>
      <c r="E823" s="16">
        <f>IF($C823="","",助理班表!$D31)</f>
        <v/>
      </c>
      <c r="F823" s="16">
        <f>IF($C823="","",助理班表!$C31)</f>
        <v/>
      </c>
      <c r="G823" s="16">
        <f>IF($C823="","",助理班表!S31)</f>
        <v/>
      </c>
      <c r="H823" s="83">
        <f>IF($G823="","",IFERROR(IF(INDEX(設定!$D$6:$D$21,MATCH($G823,設定!$B$6:$B$21,0))=0,"",INDEX(設定!$D$6:$D$21,MATCH($G823,設定!$B$6:$B$21,0))),""))</f>
        <v/>
      </c>
      <c r="I823" s="83">
        <f>IF($G823="","",IFERROR(IF(INDEX(設定!$E$6:$E$21,MATCH($G823,設定!$B$6:$B$21,0))=0,"",INDEX(設定!$E$6:$E$21,MATCH($G823,設定!$B$6:$B$21,0))),""))</f>
        <v/>
      </c>
      <c r="J823" s="83">
        <f>IFERROR(INDEX(打卡匯入!$C$3:$C$2002,MATCH($C823&amp;"|"&amp;DAY($A823),打卡匯入!$E$3:$E$2002,0)),"")</f>
        <v/>
      </c>
      <c r="K823" s="83">
        <f>IFERROR(INDEX(打卡匯入!$D$3:$D$2002,MATCH($C823&amp;"|"&amp;DAY($A823),打卡匯入!$E$3:$E$2002,0)),"")</f>
        <v/>
      </c>
      <c r="L823" s="84">
        <f>IF(OR($J823="",$K823=""),"",IFERROR(INDEX(設定!$F$6:$F$21,MATCH($G823,設定!$B$6:$B$21,0)),0))</f>
        <v/>
      </c>
      <c r="M823" s="85">
        <f>IF(OR($J823="",$K823=""),"",ROUND(($K823-$J823)*24-$L823/60,2))</f>
        <v/>
      </c>
      <c r="N823" s="16">
        <f>IF($C823="","",IF(AND(COUNTIF(設定!$B$15:$B$21,$G823)&gt;0,$J823&lt;&gt;""),"假日出勤",IF(AND(COUNTIF(設定!$B$6:$B$14,$G823)&gt;0,$J823=""),"未打卡",IF($J823="","",IF($O823&gt;0,"遲到",IF($P823&gt;0,"早退","正常"))))))</f>
        <v/>
      </c>
      <c r="O823" s="84">
        <f>IF(OR($C823="",$H823="",$J823=""),0,IF(ROUND(($J823-$H823)*1440,0)&gt;設定!$C$46,ROUND(($J823-$H823)*1440,0),0))</f>
        <v/>
      </c>
      <c r="P823" s="84">
        <f>IF(OR($C823="",$I823="",$K823=""),0,IF(ROUND(($I823-$K823)*1440,0)&gt;設定!$C$46,ROUND(($I823-$K823)*1440,0),0))</f>
        <v/>
      </c>
      <c r="Q823" s="85">
        <f>IF($M823="",0,IF(($M823-IFERROR(INDEX(設定!$G$6:$G$21,MATCH($G823,設定!$B$6:$B$21,0)),0))*60&gt;=設定!$C$44,ROUND(FLOOR(($M823-IFERROR(INDEX(設定!$G$6:$G$21,MATCH($G823,設定!$B$6:$B$21,0)),0))*60,設定!$C$45)/60,2),0))</f>
        <v/>
      </c>
      <c r="R823" s="16">
        <f>IF(OR($C823="",$Q823=0),"",IF($G823="國","國定假日",IF($B823="日","例假",IF($B823="六","休息日","平日"))))</f>
        <v/>
      </c>
      <c r="S823" s="19" t="n"/>
    </row>
    <row r="824">
      <c r="A824" s="82">
        <f>IF(OR(助理班表!$A31="",16&gt;DAY(EOMONTH(DATE(設定!$C$2,設定!$D$2,1),0))),"",DATE(設定!$C$2,設定!$D$2,16))</f>
        <v/>
      </c>
      <c r="B824" s="16">
        <f>IF($A824="","",INDEX(設定!$O$6:$O$12,WEEKDAY($A824,1)))</f>
        <v/>
      </c>
      <c r="C824" s="16">
        <f>IF($A824="","",助理班表!$A31)</f>
        <v/>
      </c>
      <c r="D824" s="16">
        <f>IF($C824="","",助理班表!$B31)</f>
        <v/>
      </c>
      <c r="E824" s="16">
        <f>IF($C824="","",助理班表!$D31)</f>
        <v/>
      </c>
      <c r="F824" s="16">
        <f>IF($C824="","",助理班表!$C31)</f>
        <v/>
      </c>
      <c r="G824" s="16">
        <f>IF($C824="","",助理班表!T31)</f>
        <v/>
      </c>
      <c r="H824" s="83">
        <f>IF($G824="","",IFERROR(IF(INDEX(設定!$D$6:$D$21,MATCH($G824,設定!$B$6:$B$21,0))=0,"",INDEX(設定!$D$6:$D$21,MATCH($G824,設定!$B$6:$B$21,0))),""))</f>
        <v/>
      </c>
      <c r="I824" s="83">
        <f>IF($G824="","",IFERROR(IF(INDEX(設定!$E$6:$E$21,MATCH($G824,設定!$B$6:$B$21,0))=0,"",INDEX(設定!$E$6:$E$21,MATCH($G824,設定!$B$6:$B$21,0))),""))</f>
        <v/>
      </c>
      <c r="J824" s="83">
        <f>IFERROR(INDEX(打卡匯入!$C$3:$C$2002,MATCH($C824&amp;"|"&amp;DAY($A824),打卡匯入!$E$3:$E$2002,0)),"")</f>
        <v/>
      </c>
      <c r="K824" s="83">
        <f>IFERROR(INDEX(打卡匯入!$D$3:$D$2002,MATCH($C824&amp;"|"&amp;DAY($A824),打卡匯入!$E$3:$E$2002,0)),"")</f>
        <v/>
      </c>
      <c r="L824" s="84">
        <f>IF(OR($J824="",$K824=""),"",IFERROR(INDEX(設定!$F$6:$F$21,MATCH($G824,設定!$B$6:$B$21,0)),0))</f>
        <v/>
      </c>
      <c r="M824" s="85">
        <f>IF(OR($J824="",$K824=""),"",ROUND(($K824-$J824)*24-$L824/60,2))</f>
        <v/>
      </c>
      <c r="N824" s="16">
        <f>IF($C824="","",IF(AND(COUNTIF(設定!$B$15:$B$21,$G824)&gt;0,$J824&lt;&gt;""),"假日出勤",IF(AND(COUNTIF(設定!$B$6:$B$14,$G824)&gt;0,$J824=""),"未打卡",IF($J824="","",IF($O824&gt;0,"遲到",IF($P824&gt;0,"早退","正常"))))))</f>
        <v/>
      </c>
      <c r="O824" s="84">
        <f>IF(OR($C824="",$H824="",$J824=""),0,IF(ROUND(($J824-$H824)*1440,0)&gt;設定!$C$46,ROUND(($J824-$H824)*1440,0),0))</f>
        <v/>
      </c>
      <c r="P824" s="84">
        <f>IF(OR($C824="",$I824="",$K824=""),0,IF(ROUND(($I824-$K824)*1440,0)&gt;設定!$C$46,ROUND(($I824-$K824)*1440,0),0))</f>
        <v/>
      </c>
      <c r="Q824" s="85">
        <f>IF($M824="",0,IF(($M824-IFERROR(INDEX(設定!$G$6:$G$21,MATCH($G824,設定!$B$6:$B$21,0)),0))*60&gt;=設定!$C$44,ROUND(FLOOR(($M824-IFERROR(INDEX(設定!$G$6:$G$21,MATCH($G824,設定!$B$6:$B$21,0)),0))*60,設定!$C$45)/60,2),0))</f>
        <v/>
      </c>
      <c r="R824" s="16">
        <f>IF(OR($C824="",$Q824=0),"",IF($G824="國","國定假日",IF($B824="日","例假",IF($B824="六","休息日","平日"))))</f>
        <v/>
      </c>
      <c r="S824" s="19" t="n"/>
    </row>
    <row r="825">
      <c r="A825" s="82">
        <f>IF(OR(助理班表!$A31="",17&gt;DAY(EOMONTH(DATE(設定!$C$2,設定!$D$2,1),0))),"",DATE(設定!$C$2,設定!$D$2,17))</f>
        <v/>
      </c>
      <c r="B825" s="16">
        <f>IF($A825="","",INDEX(設定!$O$6:$O$12,WEEKDAY($A825,1)))</f>
        <v/>
      </c>
      <c r="C825" s="16">
        <f>IF($A825="","",助理班表!$A31)</f>
        <v/>
      </c>
      <c r="D825" s="16">
        <f>IF($C825="","",助理班表!$B31)</f>
        <v/>
      </c>
      <c r="E825" s="16">
        <f>IF($C825="","",助理班表!$D31)</f>
        <v/>
      </c>
      <c r="F825" s="16">
        <f>IF($C825="","",助理班表!$C31)</f>
        <v/>
      </c>
      <c r="G825" s="16">
        <f>IF($C825="","",助理班表!U31)</f>
        <v/>
      </c>
      <c r="H825" s="83">
        <f>IF($G825="","",IFERROR(IF(INDEX(設定!$D$6:$D$21,MATCH($G825,設定!$B$6:$B$21,0))=0,"",INDEX(設定!$D$6:$D$21,MATCH($G825,設定!$B$6:$B$21,0))),""))</f>
        <v/>
      </c>
      <c r="I825" s="83">
        <f>IF($G825="","",IFERROR(IF(INDEX(設定!$E$6:$E$21,MATCH($G825,設定!$B$6:$B$21,0))=0,"",INDEX(設定!$E$6:$E$21,MATCH($G825,設定!$B$6:$B$21,0))),""))</f>
        <v/>
      </c>
      <c r="J825" s="83">
        <f>IFERROR(INDEX(打卡匯入!$C$3:$C$2002,MATCH($C825&amp;"|"&amp;DAY($A825),打卡匯入!$E$3:$E$2002,0)),"")</f>
        <v/>
      </c>
      <c r="K825" s="83">
        <f>IFERROR(INDEX(打卡匯入!$D$3:$D$2002,MATCH($C825&amp;"|"&amp;DAY($A825),打卡匯入!$E$3:$E$2002,0)),"")</f>
        <v/>
      </c>
      <c r="L825" s="84">
        <f>IF(OR($J825="",$K825=""),"",IFERROR(INDEX(設定!$F$6:$F$21,MATCH($G825,設定!$B$6:$B$21,0)),0))</f>
        <v/>
      </c>
      <c r="M825" s="85">
        <f>IF(OR($J825="",$K825=""),"",ROUND(($K825-$J825)*24-$L825/60,2))</f>
        <v/>
      </c>
      <c r="N825" s="16">
        <f>IF($C825="","",IF(AND(COUNTIF(設定!$B$15:$B$21,$G825)&gt;0,$J825&lt;&gt;""),"假日出勤",IF(AND(COUNTIF(設定!$B$6:$B$14,$G825)&gt;0,$J825=""),"未打卡",IF($J825="","",IF($O825&gt;0,"遲到",IF($P825&gt;0,"早退","正常"))))))</f>
        <v/>
      </c>
      <c r="O825" s="84">
        <f>IF(OR($C825="",$H825="",$J825=""),0,IF(ROUND(($J825-$H825)*1440,0)&gt;設定!$C$46,ROUND(($J825-$H825)*1440,0),0))</f>
        <v/>
      </c>
      <c r="P825" s="84">
        <f>IF(OR($C825="",$I825="",$K825=""),0,IF(ROUND(($I825-$K825)*1440,0)&gt;設定!$C$46,ROUND(($I825-$K825)*1440,0),0))</f>
        <v/>
      </c>
      <c r="Q825" s="85">
        <f>IF($M825="",0,IF(($M825-IFERROR(INDEX(設定!$G$6:$G$21,MATCH($G825,設定!$B$6:$B$21,0)),0))*60&gt;=設定!$C$44,ROUND(FLOOR(($M825-IFERROR(INDEX(設定!$G$6:$G$21,MATCH($G825,設定!$B$6:$B$21,0)),0))*60,設定!$C$45)/60,2),0))</f>
        <v/>
      </c>
      <c r="R825" s="16">
        <f>IF(OR($C825="",$Q825=0),"",IF($G825="國","國定假日",IF($B825="日","例假",IF($B825="六","休息日","平日"))))</f>
        <v/>
      </c>
      <c r="S825" s="19" t="n"/>
    </row>
    <row r="826">
      <c r="A826" s="82">
        <f>IF(OR(助理班表!$A31="",18&gt;DAY(EOMONTH(DATE(設定!$C$2,設定!$D$2,1),0))),"",DATE(設定!$C$2,設定!$D$2,18))</f>
        <v/>
      </c>
      <c r="B826" s="16">
        <f>IF($A826="","",INDEX(設定!$O$6:$O$12,WEEKDAY($A826,1)))</f>
        <v/>
      </c>
      <c r="C826" s="16">
        <f>IF($A826="","",助理班表!$A31)</f>
        <v/>
      </c>
      <c r="D826" s="16">
        <f>IF($C826="","",助理班表!$B31)</f>
        <v/>
      </c>
      <c r="E826" s="16">
        <f>IF($C826="","",助理班表!$D31)</f>
        <v/>
      </c>
      <c r="F826" s="16">
        <f>IF($C826="","",助理班表!$C31)</f>
        <v/>
      </c>
      <c r="G826" s="16">
        <f>IF($C826="","",助理班表!V31)</f>
        <v/>
      </c>
      <c r="H826" s="83">
        <f>IF($G826="","",IFERROR(IF(INDEX(設定!$D$6:$D$21,MATCH($G826,設定!$B$6:$B$21,0))=0,"",INDEX(設定!$D$6:$D$21,MATCH($G826,設定!$B$6:$B$21,0))),""))</f>
        <v/>
      </c>
      <c r="I826" s="83">
        <f>IF($G826="","",IFERROR(IF(INDEX(設定!$E$6:$E$21,MATCH($G826,設定!$B$6:$B$21,0))=0,"",INDEX(設定!$E$6:$E$21,MATCH($G826,設定!$B$6:$B$21,0))),""))</f>
        <v/>
      </c>
      <c r="J826" s="83">
        <f>IFERROR(INDEX(打卡匯入!$C$3:$C$2002,MATCH($C826&amp;"|"&amp;DAY($A826),打卡匯入!$E$3:$E$2002,0)),"")</f>
        <v/>
      </c>
      <c r="K826" s="83">
        <f>IFERROR(INDEX(打卡匯入!$D$3:$D$2002,MATCH($C826&amp;"|"&amp;DAY($A826),打卡匯入!$E$3:$E$2002,0)),"")</f>
        <v/>
      </c>
      <c r="L826" s="84">
        <f>IF(OR($J826="",$K826=""),"",IFERROR(INDEX(設定!$F$6:$F$21,MATCH($G826,設定!$B$6:$B$21,0)),0))</f>
        <v/>
      </c>
      <c r="M826" s="85">
        <f>IF(OR($J826="",$K826=""),"",ROUND(($K826-$J826)*24-$L826/60,2))</f>
        <v/>
      </c>
      <c r="N826" s="16">
        <f>IF($C826="","",IF(AND(COUNTIF(設定!$B$15:$B$21,$G826)&gt;0,$J826&lt;&gt;""),"假日出勤",IF(AND(COUNTIF(設定!$B$6:$B$14,$G826)&gt;0,$J826=""),"未打卡",IF($J826="","",IF($O826&gt;0,"遲到",IF($P826&gt;0,"早退","正常"))))))</f>
        <v/>
      </c>
      <c r="O826" s="84">
        <f>IF(OR($C826="",$H826="",$J826=""),0,IF(ROUND(($J826-$H826)*1440,0)&gt;設定!$C$46,ROUND(($J826-$H826)*1440,0),0))</f>
        <v/>
      </c>
      <c r="P826" s="84">
        <f>IF(OR($C826="",$I826="",$K826=""),0,IF(ROUND(($I826-$K826)*1440,0)&gt;設定!$C$46,ROUND(($I826-$K826)*1440,0),0))</f>
        <v/>
      </c>
      <c r="Q826" s="85">
        <f>IF($M826="",0,IF(($M826-IFERROR(INDEX(設定!$G$6:$G$21,MATCH($G826,設定!$B$6:$B$21,0)),0))*60&gt;=設定!$C$44,ROUND(FLOOR(($M826-IFERROR(INDEX(設定!$G$6:$G$21,MATCH($G826,設定!$B$6:$B$21,0)),0))*60,設定!$C$45)/60,2),0))</f>
        <v/>
      </c>
      <c r="R826" s="16">
        <f>IF(OR($C826="",$Q826=0),"",IF($G826="國","國定假日",IF($B826="日","例假",IF($B826="六","休息日","平日"))))</f>
        <v/>
      </c>
      <c r="S826" s="19" t="n"/>
    </row>
    <row r="827">
      <c r="A827" s="82">
        <f>IF(OR(助理班表!$A31="",19&gt;DAY(EOMONTH(DATE(設定!$C$2,設定!$D$2,1),0))),"",DATE(設定!$C$2,設定!$D$2,19))</f>
        <v/>
      </c>
      <c r="B827" s="16">
        <f>IF($A827="","",INDEX(設定!$O$6:$O$12,WEEKDAY($A827,1)))</f>
        <v/>
      </c>
      <c r="C827" s="16">
        <f>IF($A827="","",助理班表!$A31)</f>
        <v/>
      </c>
      <c r="D827" s="16">
        <f>IF($C827="","",助理班表!$B31)</f>
        <v/>
      </c>
      <c r="E827" s="16">
        <f>IF($C827="","",助理班表!$D31)</f>
        <v/>
      </c>
      <c r="F827" s="16">
        <f>IF($C827="","",助理班表!$C31)</f>
        <v/>
      </c>
      <c r="G827" s="16">
        <f>IF($C827="","",助理班表!W31)</f>
        <v/>
      </c>
      <c r="H827" s="83">
        <f>IF($G827="","",IFERROR(IF(INDEX(設定!$D$6:$D$21,MATCH($G827,設定!$B$6:$B$21,0))=0,"",INDEX(設定!$D$6:$D$21,MATCH($G827,設定!$B$6:$B$21,0))),""))</f>
        <v/>
      </c>
      <c r="I827" s="83">
        <f>IF($G827="","",IFERROR(IF(INDEX(設定!$E$6:$E$21,MATCH($G827,設定!$B$6:$B$21,0))=0,"",INDEX(設定!$E$6:$E$21,MATCH($G827,設定!$B$6:$B$21,0))),""))</f>
        <v/>
      </c>
      <c r="J827" s="83">
        <f>IFERROR(INDEX(打卡匯入!$C$3:$C$2002,MATCH($C827&amp;"|"&amp;DAY($A827),打卡匯入!$E$3:$E$2002,0)),"")</f>
        <v/>
      </c>
      <c r="K827" s="83">
        <f>IFERROR(INDEX(打卡匯入!$D$3:$D$2002,MATCH($C827&amp;"|"&amp;DAY($A827),打卡匯入!$E$3:$E$2002,0)),"")</f>
        <v/>
      </c>
      <c r="L827" s="84">
        <f>IF(OR($J827="",$K827=""),"",IFERROR(INDEX(設定!$F$6:$F$21,MATCH($G827,設定!$B$6:$B$21,0)),0))</f>
        <v/>
      </c>
      <c r="M827" s="85">
        <f>IF(OR($J827="",$K827=""),"",ROUND(($K827-$J827)*24-$L827/60,2))</f>
        <v/>
      </c>
      <c r="N827" s="16">
        <f>IF($C827="","",IF(AND(COUNTIF(設定!$B$15:$B$21,$G827)&gt;0,$J827&lt;&gt;""),"假日出勤",IF(AND(COUNTIF(設定!$B$6:$B$14,$G827)&gt;0,$J827=""),"未打卡",IF($J827="","",IF($O827&gt;0,"遲到",IF($P827&gt;0,"早退","正常"))))))</f>
        <v/>
      </c>
      <c r="O827" s="84">
        <f>IF(OR($C827="",$H827="",$J827=""),0,IF(ROUND(($J827-$H827)*1440,0)&gt;設定!$C$46,ROUND(($J827-$H827)*1440,0),0))</f>
        <v/>
      </c>
      <c r="P827" s="84">
        <f>IF(OR($C827="",$I827="",$K827=""),0,IF(ROUND(($I827-$K827)*1440,0)&gt;設定!$C$46,ROUND(($I827-$K827)*1440,0),0))</f>
        <v/>
      </c>
      <c r="Q827" s="85">
        <f>IF($M827="",0,IF(($M827-IFERROR(INDEX(設定!$G$6:$G$21,MATCH($G827,設定!$B$6:$B$21,0)),0))*60&gt;=設定!$C$44,ROUND(FLOOR(($M827-IFERROR(INDEX(設定!$G$6:$G$21,MATCH($G827,設定!$B$6:$B$21,0)),0))*60,設定!$C$45)/60,2),0))</f>
        <v/>
      </c>
      <c r="R827" s="16">
        <f>IF(OR($C827="",$Q827=0),"",IF($G827="國","國定假日",IF($B827="日","例假",IF($B827="六","休息日","平日"))))</f>
        <v/>
      </c>
      <c r="S827" s="19" t="n"/>
    </row>
    <row r="828">
      <c r="A828" s="82">
        <f>IF(OR(助理班表!$A31="",20&gt;DAY(EOMONTH(DATE(設定!$C$2,設定!$D$2,1),0))),"",DATE(設定!$C$2,設定!$D$2,20))</f>
        <v/>
      </c>
      <c r="B828" s="16">
        <f>IF($A828="","",INDEX(設定!$O$6:$O$12,WEEKDAY($A828,1)))</f>
        <v/>
      </c>
      <c r="C828" s="16">
        <f>IF($A828="","",助理班表!$A31)</f>
        <v/>
      </c>
      <c r="D828" s="16">
        <f>IF($C828="","",助理班表!$B31)</f>
        <v/>
      </c>
      <c r="E828" s="16">
        <f>IF($C828="","",助理班表!$D31)</f>
        <v/>
      </c>
      <c r="F828" s="16">
        <f>IF($C828="","",助理班表!$C31)</f>
        <v/>
      </c>
      <c r="G828" s="16">
        <f>IF($C828="","",助理班表!X31)</f>
        <v/>
      </c>
      <c r="H828" s="83">
        <f>IF($G828="","",IFERROR(IF(INDEX(設定!$D$6:$D$21,MATCH($G828,設定!$B$6:$B$21,0))=0,"",INDEX(設定!$D$6:$D$21,MATCH($G828,設定!$B$6:$B$21,0))),""))</f>
        <v/>
      </c>
      <c r="I828" s="83">
        <f>IF($G828="","",IFERROR(IF(INDEX(設定!$E$6:$E$21,MATCH($G828,設定!$B$6:$B$21,0))=0,"",INDEX(設定!$E$6:$E$21,MATCH($G828,設定!$B$6:$B$21,0))),""))</f>
        <v/>
      </c>
      <c r="J828" s="83">
        <f>IFERROR(INDEX(打卡匯入!$C$3:$C$2002,MATCH($C828&amp;"|"&amp;DAY($A828),打卡匯入!$E$3:$E$2002,0)),"")</f>
        <v/>
      </c>
      <c r="K828" s="83">
        <f>IFERROR(INDEX(打卡匯入!$D$3:$D$2002,MATCH($C828&amp;"|"&amp;DAY($A828),打卡匯入!$E$3:$E$2002,0)),"")</f>
        <v/>
      </c>
      <c r="L828" s="84">
        <f>IF(OR($J828="",$K828=""),"",IFERROR(INDEX(設定!$F$6:$F$21,MATCH($G828,設定!$B$6:$B$21,0)),0))</f>
        <v/>
      </c>
      <c r="M828" s="85">
        <f>IF(OR($J828="",$K828=""),"",ROUND(($K828-$J828)*24-$L828/60,2))</f>
        <v/>
      </c>
      <c r="N828" s="16">
        <f>IF($C828="","",IF(AND(COUNTIF(設定!$B$15:$B$21,$G828)&gt;0,$J828&lt;&gt;""),"假日出勤",IF(AND(COUNTIF(設定!$B$6:$B$14,$G828)&gt;0,$J828=""),"未打卡",IF($J828="","",IF($O828&gt;0,"遲到",IF($P828&gt;0,"早退","正常"))))))</f>
        <v/>
      </c>
      <c r="O828" s="84">
        <f>IF(OR($C828="",$H828="",$J828=""),0,IF(ROUND(($J828-$H828)*1440,0)&gt;設定!$C$46,ROUND(($J828-$H828)*1440,0),0))</f>
        <v/>
      </c>
      <c r="P828" s="84">
        <f>IF(OR($C828="",$I828="",$K828=""),0,IF(ROUND(($I828-$K828)*1440,0)&gt;設定!$C$46,ROUND(($I828-$K828)*1440,0),0))</f>
        <v/>
      </c>
      <c r="Q828" s="85">
        <f>IF($M828="",0,IF(($M828-IFERROR(INDEX(設定!$G$6:$G$21,MATCH($G828,設定!$B$6:$B$21,0)),0))*60&gt;=設定!$C$44,ROUND(FLOOR(($M828-IFERROR(INDEX(設定!$G$6:$G$21,MATCH($G828,設定!$B$6:$B$21,0)),0))*60,設定!$C$45)/60,2),0))</f>
        <v/>
      </c>
      <c r="R828" s="16">
        <f>IF(OR($C828="",$Q828=0),"",IF($G828="國","國定假日",IF($B828="日","例假",IF($B828="六","休息日","平日"))))</f>
        <v/>
      </c>
      <c r="S828" s="19" t="n"/>
    </row>
    <row r="829">
      <c r="A829" s="82">
        <f>IF(OR(助理班表!$A31="",21&gt;DAY(EOMONTH(DATE(設定!$C$2,設定!$D$2,1),0))),"",DATE(設定!$C$2,設定!$D$2,21))</f>
        <v/>
      </c>
      <c r="B829" s="16">
        <f>IF($A829="","",INDEX(設定!$O$6:$O$12,WEEKDAY($A829,1)))</f>
        <v/>
      </c>
      <c r="C829" s="16">
        <f>IF($A829="","",助理班表!$A31)</f>
        <v/>
      </c>
      <c r="D829" s="16">
        <f>IF($C829="","",助理班表!$B31)</f>
        <v/>
      </c>
      <c r="E829" s="16">
        <f>IF($C829="","",助理班表!$D31)</f>
        <v/>
      </c>
      <c r="F829" s="16">
        <f>IF($C829="","",助理班表!$C31)</f>
        <v/>
      </c>
      <c r="G829" s="16">
        <f>IF($C829="","",助理班表!Y31)</f>
        <v/>
      </c>
      <c r="H829" s="83">
        <f>IF($G829="","",IFERROR(IF(INDEX(設定!$D$6:$D$21,MATCH($G829,設定!$B$6:$B$21,0))=0,"",INDEX(設定!$D$6:$D$21,MATCH($G829,設定!$B$6:$B$21,0))),""))</f>
        <v/>
      </c>
      <c r="I829" s="83">
        <f>IF($G829="","",IFERROR(IF(INDEX(設定!$E$6:$E$21,MATCH($G829,設定!$B$6:$B$21,0))=0,"",INDEX(設定!$E$6:$E$21,MATCH($G829,設定!$B$6:$B$21,0))),""))</f>
        <v/>
      </c>
      <c r="J829" s="83">
        <f>IFERROR(INDEX(打卡匯入!$C$3:$C$2002,MATCH($C829&amp;"|"&amp;DAY($A829),打卡匯入!$E$3:$E$2002,0)),"")</f>
        <v/>
      </c>
      <c r="K829" s="83">
        <f>IFERROR(INDEX(打卡匯入!$D$3:$D$2002,MATCH($C829&amp;"|"&amp;DAY($A829),打卡匯入!$E$3:$E$2002,0)),"")</f>
        <v/>
      </c>
      <c r="L829" s="84">
        <f>IF(OR($J829="",$K829=""),"",IFERROR(INDEX(設定!$F$6:$F$21,MATCH($G829,設定!$B$6:$B$21,0)),0))</f>
        <v/>
      </c>
      <c r="M829" s="85">
        <f>IF(OR($J829="",$K829=""),"",ROUND(($K829-$J829)*24-$L829/60,2))</f>
        <v/>
      </c>
      <c r="N829" s="16">
        <f>IF($C829="","",IF(AND(COUNTIF(設定!$B$15:$B$21,$G829)&gt;0,$J829&lt;&gt;""),"假日出勤",IF(AND(COUNTIF(設定!$B$6:$B$14,$G829)&gt;0,$J829=""),"未打卡",IF($J829="","",IF($O829&gt;0,"遲到",IF($P829&gt;0,"早退","正常"))))))</f>
        <v/>
      </c>
      <c r="O829" s="84">
        <f>IF(OR($C829="",$H829="",$J829=""),0,IF(ROUND(($J829-$H829)*1440,0)&gt;設定!$C$46,ROUND(($J829-$H829)*1440,0),0))</f>
        <v/>
      </c>
      <c r="P829" s="84">
        <f>IF(OR($C829="",$I829="",$K829=""),0,IF(ROUND(($I829-$K829)*1440,0)&gt;設定!$C$46,ROUND(($I829-$K829)*1440,0),0))</f>
        <v/>
      </c>
      <c r="Q829" s="85">
        <f>IF($M829="",0,IF(($M829-IFERROR(INDEX(設定!$G$6:$G$21,MATCH($G829,設定!$B$6:$B$21,0)),0))*60&gt;=設定!$C$44,ROUND(FLOOR(($M829-IFERROR(INDEX(設定!$G$6:$G$21,MATCH($G829,設定!$B$6:$B$21,0)),0))*60,設定!$C$45)/60,2),0))</f>
        <v/>
      </c>
      <c r="R829" s="16">
        <f>IF(OR($C829="",$Q829=0),"",IF($G829="國","國定假日",IF($B829="日","例假",IF($B829="六","休息日","平日"))))</f>
        <v/>
      </c>
      <c r="S829" s="19" t="n"/>
    </row>
    <row r="830">
      <c r="A830" s="82">
        <f>IF(OR(助理班表!$A31="",22&gt;DAY(EOMONTH(DATE(設定!$C$2,設定!$D$2,1),0))),"",DATE(設定!$C$2,設定!$D$2,22))</f>
        <v/>
      </c>
      <c r="B830" s="16">
        <f>IF($A830="","",INDEX(設定!$O$6:$O$12,WEEKDAY($A830,1)))</f>
        <v/>
      </c>
      <c r="C830" s="16">
        <f>IF($A830="","",助理班表!$A31)</f>
        <v/>
      </c>
      <c r="D830" s="16">
        <f>IF($C830="","",助理班表!$B31)</f>
        <v/>
      </c>
      <c r="E830" s="16">
        <f>IF($C830="","",助理班表!$D31)</f>
        <v/>
      </c>
      <c r="F830" s="16">
        <f>IF($C830="","",助理班表!$C31)</f>
        <v/>
      </c>
      <c r="G830" s="16">
        <f>IF($C830="","",助理班表!Z31)</f>
        <v/>
      </c>
      <c r="H830" s="83">
        <f>IF($G830="","",IFERROR(IF(INDEX(設定!$D$6:$D$21,MATCH($G830,設定!$B$6:$B$21,0))=0,"",INDEX(設定!$D$6:$D$21,MATCH($G830,設定!$B$6:$B$21,0))),""))</f>
        <v/>
      </c>
      <c r="I830" s="83">
        <f>IF($G830="","",IFERROR(IF(INDEX(設定!$E$6:$E$21,MATCH($G830,設定!$B$6:$B$21,0))=0,"",INDEX(設定!$E$6:$E$21,MATCH($G830,設定!$B$6:$B$21,0))),""))</f>
        <v/>
      </c>
      <c r="J830" s="83">
        <f>IFERROR(INDEX(打卡匯入!$C$3:$C$2002,MATCH($C830&amp;"|"&amp;DAY($A830),打卡匯入!$E$3:$E$2002,0)),"")</f>
        <v/>
      </c>
      <c r="K830" s="83">
        <f>IFERROR(INDEX(打卡匯入!$D$3:$D$2002,MATCH($C830&amp;"|"&amp;DAY($A830),打卡匯入!$E$3:$E$2002,0)),"")</f>
        <v/>
      </c>
      <c r="L830" s="84">
        <f>IF(OR($J830="",$K830=""),"",IFERROR(INDEX(設定!$F$6:$F$21,MATCH($G830,設定!$B$6:$B$21,0)),0))</f>
        <v/>
      </c>
      <c r="M830" s="85">
        <f>IF(OR($J830="",$K830=""),"",ROUND(($K830-$J830)*24-$L830/60,2))</f>
        <v/>
      </c>
      <c r="N830" s="16">
        <f>IF($C830="","",IF(AND(COUNTIF(設定!$B$15:$B$21,$G830)&gt;0,$J830&lt;&gt;""),"假日出勤",IF(AND(COUNTIF(設定!$B$6:$B$14,$G830)&gt;0,$J830=""),"未打卡",IF($J830="","",IF($O830&gt;0,"遲到",IF($P830&gt;0,"早退","正常"))))))</f>
        <v/>
      </c>
      <c r="O830" s="84">
        <f>IF(OR($C830="",$H830="",$J830=""),0,IF(ROUND(($J830-$H830)*1440,0)&gt;設定!$C$46,ROUND(($J830-$H830)*1440,0),0))</f>
        <v/>
      </c>
      <c r="P830" s="84">
        <f>IF(OR($C830="",$I830="",$K830=""),0,IF(ROUND(($I830-$K830)*1440,0)&gt;設定!$C$46,ROUND(($I830-$K830)*1440,0),0))</f>
        <v/>
      </c>
      <c r="Q830" s="85">
        <f>IF($M830="",0,IF(($M830-IFERROR(INDEX(設定!$G$6:$G$21,MATCH($G830,設定!$B$6:$B$21,0)),0))*60&gt;=設定!$C$44,ROUND(FLOOR(($M830-IFERROR(INDEX(設定!$G$6:$G$21,MATCH($G830,設定!$B$6:$B$21,0)),0))*60,設定!$C$45)/60,2),0))</f>
        <v/>
      </c>
      <c r="R830" s="16">
        <f>IF(OR($C830="",$Q830=0),"",IF($G830="國","國定假日",IF($B830="日","例假",IF($B830="六","休息日","平日"))))</f>
        <v/>
      </c>
      <c r="S830" s="19" t="n"/>
    </row>
    <row r="831">
      <c r="A831" s="82">
        <f>IF(OR(助理班表!$A31="",23&gt;DAY(EOMONTH(DATE(設定!$C$2,設定!$D$2,1),0))),"",DATE(設定!$C$2,設定!$D$2,23))</f>
        <v/>
      </c>
      <c r="B831" s="16">
        <f>IF($A831="","",INDEX(設定!$O$6:$O$12,WEEKDAY($A831,1)))</f>
        <v/>
      </c>
      <c r="C831" s="16">
        <f>IF($A831="","",助理班表!$A31)</f>
        <v/>
      </c>
      <c r="D831" s="16">
        <f>IF($C831="","",助理班表!$B31)</f>
        <v/>
      </c>
      <c r="E831" s="16">
        <f>IF($C831="","",助理班表!$D31)</f>
        <v/>
      </c>
      <c r="F831" s="16">
        <f>IF($C831="","",助理班表!$C31)</f>
        <v/>
      </c>
      <c r="G831" s="16">
        <f>IF($C831="","",助理班表!AA31)</f>
        <v/>
      </c>
      <c r="H831" s="83">
        <f>IF($G831="","",IFERROR(IF(INDEX(設定!$D$6:$D$21,MATCH($G831,設定!$B$6:$B$21,0))=0,"",INDEX(設定!$D$6:$D$21,MATCH($G831,設定!$B$6:$B$21,0))),""))</f>
        <v/>
      </c>
      <c r="I831" s="83">
        <f>IF($G831="","",IFERROR(IF(INDEX(設定!$E$6:$E$21,MATCH($G831,設定!$B$6:$B$21,0))=0,"",INDEX(設定!$E$6:$E$21,MATCH($G831,設定!$B$6:$B$21,0))),""))</f>
        <v/>
      </c>
      <c r="J831" s="83">
        <f>IFERROR(INDEX(打卡匯入!$C$3:$C$2002,MATCH($C831&amp;"|"&amp;DAY($A831),打卡匯入!$E$3:$E$2002,0)),"")</f>
        <v/>
      </c>
      <c r="K831" s="83">
        <f>IFERROR(INDEX(打卡匯入!$D$3:$D$2002,MATCH($C831&amp;"|"&amp;DAY($A831),打卡匯入!$E$3:$E$2002,0)),"")</f>
        <v/>
      </c>
      <c r="L831" s="84">
        <f>IF(OR($J831="",$K831=""),"",IFERROR(INDEX(設定!$F$6:$F$21,MATCH($G831,設定!$B$6:$B$21,0)),0))</f>
        <v/>
      </c>
      <c r="M831" s="85">
        <f>IF(OR($J831="",$K831=""),"",ROUND(($K831-$J831)*24-$L831/60,2))</f>
        <v/>
      </c>
      <c r="N831" s="16">
        <f>IF($C831="","",IF(AND(COUNTIF(設定!$B$15:$B$21,$G831)&gt;0,$J831&lt;&gt;""),"假日出勤",IF(AND(COUNTIF(設定!$B$6:$B$14,$G831)&gt;0,$J831=""),"未打卡",IF($J831="","",IF($O831&gt;0,"遲到",IF($P831&gt;0,"早退","正常"))))))</f>
        <v/>
      </c>
      <c r="O831" s="84">
        <f>IF(OR($C831="",$H831="",$J831=""),0,IF(ROUND(($J831-$H831)*1440,0)&gt;設定!$C$46,ROUND(($J831-$H831)*1440,0),0))</f>
        <v/>
      </c>
      <c r="P831" s="84">
        <f>IF(OR($C831="",$I831="",$K831=""),0,IF(ROUND(($I831-$K831)*1440,0)&gt;設定!$C$46,ROUND(($I831-$K831)*1440,0),0))</f>
        <v/>
      </c>
      <c r="Q831" s="85">
        <f>IF($M831="",0,IF(($M831-IFERROR(INDEX(設定!$G$6:$G$21,MATCH($G831,設定!$B$6:$B$21,0)),0))*60&gt;=設定!$C$44,ROUND(FLOOR(($M831-IFERROR(INDEX(設定!$G$6:$G$21,MATCH($G831,設定!$B$6:$B$21,0)),0))*60,設定!$C$45)/60,2),0))</f>
        <v/>
      </c>
      <c r="R831" s="16">
        <f>IF(OR($C831="",$Q831=0),"",IF($G831="國","國定假日",IF($B831="日","例假",IF($B831="六","休息日","平日"))))</f>
        <v/>
      </c>
      <c r="S831" s="19" t="n"/>
    </row>
    <row r="832">
      <c r="A832" s="82">
        <f>IF(OR(助理班表!$A31="",24&gt;DAY(EOMONTH(DATE(設定!$C$2,設定!$D$2,1),0))),"",DATE(設定!$C$2,設定!$D$2,24))</f>
        <v/>
      </c>
      <c r="B832" s="16">
        <f>IF($A832="","",INDEX(設定!$O$6:$O$12,WEEKDAY($A832,1)))</f>
        <v/>
      </c>
      <c r="C832" s="16">
        <f>IF($A832="","",助理班表!$A31)</f>
        <v/>
      </c>
      <c r="D832" s="16">
        <f>IF($C832="","",助理班表!$B31)</f>
        <v/>
      </c>
      <c r="E832" s="16">
        <f>IF($C832="","",助理班表!$D31)</f>
        <v/>
      </c>
      <c r="F832" s="16">
        <f>IF($C832="","",助理班表!$C31)</f>
        <v/>
      </c>
      <c r="G832" s="16">
        <f>IF($C832="","",助理班表!AB31)</f>
        <v/>
      </c>
      <c r="H832" s="83">
        <f>IF($G832="","",IFERROR(IF(INDEX(設定!$D$6:$D$21,MATCH($G832,設定!$B$6:$B$21,0))=0,"",INDEX(設定!$D$6:$D$21,MATCH($G832,設定!$B$6:$B$21,0))),""))</f>
        <v/>
      </c>
      <c r="I832" s="83">
        <f>IF($G832="","",IFERROR(IF(INDEX(設定!$E$6:$E$21,MATCH($G832,設定!$B$6:$B$21,0))=0,"",INDEX(設定!$E$6:$E$21,MATCH($G832,設定!$B$6:$B$21,0))),""))</f>
        <v/>
      </c>
      <c r="J832" s="83">
        <f>IFERROR(INDEX(打卡匯入!$C$3:$C$2002,MATCH($C832&amp;"|"&amp;DAY($A832),打卡匯入!$E$3:$E$2002,0)),"")</f>
        <v/>
      </c>
      <c r="K832" s="83">
        <f>IFERROR(INDEX(打卡匯入!$D$3:$D$2002,MATCH($C832&amp;"|"&amp;DAY($A832),打卡匯入!$E$3:$E$2002,0)),"")</f>
        <v/>
      </c>
      <c r="L832" s="84">
        <f>IF(OR($J832="",$K832=""),"",IFERROR(INDEX(設定!$F$6:$F$21,MATCH($G832,設定!$B$6:$B$21,0)),0))</f>
        <v/>
      </c>
      <c r="M832" s="85">
        <f>IF(OR($J832="",$K832=""),"",ROUND(($K832-$J832)*24-$L832/60,2))</f>
        <v/>
      </c>
      <c r="N832" s="16">
        <f>IF($C832="","",IF(AND(COUNTIF(設定!$B$15:$B$21,$G832)&gt;0,$J832&lt;&gt;""),"假日出勤",IF(AND(COUNTIF(設定!$B$6:$B$14,$G832)&gt;0,$J832=""),"未打卡",IF($J832="","",IF($O832&gt;0,"遲到",IF($P832&gt;0,"早退","正常"))))))</f>
        <v/>
      </c>
      <c r="O832" s="84">
        <f>IF(OR($C832="",$H832="",$J832=""),0,IF(ROUND(($J832-$H832)*1440,0)&gt;設定!$C$46,ROUND(($J832-$H832)*1440,0),0))</f>
        <v/>
      </c>
      <c r="P832" s="84">
        <f>IF(OR($C832="",$I832="",$K832=""),0,IF(ROUND(($I832-$K832)*1440,0)&gt;設定!$C$46,ROUND(($I832-$K832)*1440,0),0))</f>
        <v/>
      </c>
      <c r="Q832" s="85">
        <f>IF($M832="",0,IF(($M832-IFERROR(INDEX(設定!$G$6:$G$21,MATCH($G832,設定!$B$6:$B$21,0)),0))*60&gt;=設定!$C$44,ROUND(FLOOR(($M832-IFERROR(INDEX(設定!$G$6:$G$21,MATCH($G832,設定!$B$6:$B$21,0)),0))*60,設定!$C$45)/60,2),0))</f>
        <v/>
      </c>
      <c r="R832" s="16">
        <f>IF(OR($C832="",$Q832=0),"",IF($G832="國","國定假日",IF($B832="日","例假",IF($B832="六","休息日","平日"))))</f>
        <v/>
      </c>
      <c r="S832" s="19" t="n"/>
    </row>
    <row r="833">
      <c r="A833" s="82">
        <f>IF(OR(助理班表!$A31="",25&gt;DAY(EOMONTH(DATE(設定!$C$2,設定!$D$2,1),0))),"",DATE(設定!$C$2,設定!$D$2,25))</f>
        <v/>
      </c>
      <c r="B833" s="16">
        <f>IF($A833="","",INDEX(設定!$O$6:$O$12,WEEKDAY($A833,1)))</f>
        <v/>
      </c>
      <c r="C833" s="16">
        <f>IF($A833="","",助理班表!$A31)</f>
        <v/>
      </c>
      <c r="D833" s="16">
        <f>IF($C833="","",助理班表!$B31)</f>
        <v/>
      </c>
      <c r="E833" s="16">
        <f>IF($C833="","",助理班表!$D31)</f>
        <v/>
      </c>
      <c r="F833" s="16">
        <f>IF($C833="","",助理班表!$C31)</f>
        <v/>
      </c>
      <c r="G833" s="16">
        <f>IF($C833="","",助理班表!AC31)</f>
        <v/>
      </c>
      <c r="H833" s="83">
        <f>IF($G833="","",IFERROR(IF(INDEX(設定!$D$6:$D$21,MATCH($G833,設定!$B$6:$B$21,0))=0,"",INDEX(設定!$D$6:$D$21,MATCH($G833,設定!$B$6:$B$21,0))),""))</f>
        <v/>
      </c>
      <c r="I833" s="83">
        <f>IF($G833="","",IFERROR(IF(INDEX(設定!$E$6:$E$21,MATCH($G833,設定!$B$6:$B$21,0))=0,"",INDEX(設定!$E$6:$E$21,MATCH($G833,設定!$B$6:$B$21,0))),""))</f>
        <v/>
      </c>
      <c r="J833" s="83">
        <f>IFERROR(INDEX(打卡匯入!$C$3:$C$2002,MATCH($C833&amp;"|"&amp;DAY($A833),打卡匯入!$E$3:$E$2002,0)),"")</f>
        <v/>
      </c>
      <c r="K833" s="83">
        <f>IFERROR(INDEX(打卡匯入!$D$3:$D$2002,MATCH($C833&amp;"|"&amp;DAY($A833),打卡匯入!$E$3:$E$2002,0)),"")</f>
        <v/>
      </c>
      <c r="L833" s="84">
        <f>IF(OR($J833="",$K833=""),"",IFERROR(INDEX(設定!$F$6:$F$21,MATCH($G833,設定!$B$6:$B$21,0)),0))</f>
        <v/>
      </c>
      <c r="M833" s="85">
        <f>IF(OR($J833="",$K833=""),"",ROUND(($K833-$J833)*24-$L833/60,2))</f>
        <v/>
      </c>
      <c r="N833" s="16">
        <f>IF($C833="","",IF(AND(COUNTIF(設定!$B$15:$B$21,$G833)&gt;0,$J833&lt;&gt;""),"假日出勤",IF(AND(COUNTIF(設定!$B$6:$B$14,$G833)&gt;0,$J833=""),"未打卡",IF($J833="","",IF($O833&gt;0,"遲到",IF($P833&gt;0,"早退","正常"))))))</f>
        <v/>
      </c>
      <c r="O833" s="84">
        <f>IF(OR($C833="",$H833="",$J833=""),0,IF(ROUND(($J833-$H833)*1440,0)&gt;設定!$C$46,ROUND(($J833-$H833)*1440,0),0))</f>
        <v/>
      </c>
      <c r="P833" s="84">
        <f>IF(OR($C833="",$I833="",$K833=""),0,IF(ROUND(($I833-$K833)*1440,0)&gt;設定!$C$46,ROUND(($I833-$K833)*1440,0),0))</f>
        <v/>
      </c>
      <c r="Q833" s="85">
        <f>IF($M833="",0,IF(($M833-IFERROR(INDEX(設定!$G$6:$G$21,MATCH($G833,設定!$B$6:$B$21,0)),0))*60&gt;=設定!$C$44,ROUND(FLOOR(($M833-IFERROR(INDEX(設定!$G$6:$G$21,MATCH($G833,設定!$B$6:$B$21,0)),0))*60,設定!$C$45)/60,2),0))</f>
        <v/>
      </c>
      <c r="R833" s="16">
        <f>IF(OR($C833="",$Q833=0),"",IF($G833="國","國定假日",IF($B833="日","例假",IF($B833="六","休息日","平日"))))</f>
        <v/>
      </c>
      <c r="S833" s="19" t="n"/>
    </row>
    <row r="834">
      <c r="A834" s="82">
        <f>IF(OR(助理班表!$A31="",26&gt;DAY(EOMONTH(DATE(設定!$C$2,設定!$D$2,1),0))),"",DATE(設定!$C$2,設定!$D$2,26))</f>
        <v/>
      </c>
      <c r="B834" s="16">
        <f>IF($A834="","",INDEX(設定!$O$6:$O$12,WEEKDAY($A834,1)))</f>
        <v/>
      </c>
      <c r="C834" s="16">
        <f>IF($A834="","",助理班表!$A31)</f>
        <v/>
      </c>
      <c r="D834" s="16">
        <f>IF($C834="","",助理班表!$B31)</f>
        <v/>
      </c>
      <c r="E834" s="16">
        <f>IF($C834="","",助理班表!$D31)</f>
        <v/>
      </c>
      <c r="F834" s="16">
        <f>IF($C834="","",助理班表!$C31)</f>
        <v/>
      </c>
      <c r="G834" s="16">
        <f>IF($C834="","",助理班表!AD31)</f>
        <v/>
      </c>
      <c r="H834" s="83">
        <f>IF($G834="","",IFERROR(IF(INDEX(設定!$D$6:$D$21,MATCH($G834,設定!$B$6:$B$21,0))=0,"",INDEX(設定!$D$6:$D$21,MATCH($G834,設定!$B$6:$B$21,0))),""))</f>
        <v/>
      </c>
      <c r="I834" s="83">
        <f>IF($G834="","",IFERROR(IF(INDEX(設定!$E$6:$E$21,MATCH($G834,設定!$B$6:$B$21,0))=0,"",INDEX(設定!$E$6:$E$21,MATCH($G834,設定!$B$6:$B$21,0))),""))</f>
        <v/>
      </c>
      <c r="J834" s="83">
        <f>IFERROR(INDEX(打卡匯入!$C$3:$C$2002,MATCH($C834&amp;"|"&amp;DAY($A834),打卡匯入!$E$3:$E$2002,0)),"")</f>
        <v/>
      </c>
      <c r="K834" s="83">
        <f>IFERROR(INDEX(打卡匯入!$D$3:$D$2002,MATCH($C834&amp;"|"&amp;DAY($A834),打卡匯入!$E$3:$E$2002,0)),"")</f>
        <v/>
      </c>
      <c r="L834" s="84">
        <f>IF(OR($J834="",$K834=""),"",IFERROR(INDEX(設定!$F$6:$F$21,MATCH($G834,設定!$B$6:$B$21,0)),0))</f>
        <v/>
      </c>
      <c r="M834" s="85">
        <f>IF(OR($J834="",$K834=""),"",ROUND(($K834-$J834)*24-$L834/60,2))</f>
        <v/>
      </c>
      <c r="N834" s="16">
        <f>IF($C834="","",IF(AND(COUNTIF(設定!$B$15:$B$21,$G834)&gt;0,$J834&lt;&gt;""),"假日出勤",IF(AND(COUNTIF(設定!$B$6:$B$14,$G834)&gt;0,$J834=""),"未打卡",IF($J834="","",IF($O834&gt;0,"遲到",IF($P834&gt;0,"早退","正常"))))))</f>
        <v/>
      </c>
      <c r="O834" s="84">
        <f>IF(OR($C834="",$H834="",$J834=""),0,IF(ROUND(($J834-$H834)*1440,0)&gt;設定!$C$46,ROUND(($J834-$H834)*1440,0),0))</f>
        <v/>
      </c>
      <c r="P834" s="84">
        <f>IF(OR($C834="",$I834="",$K834=""),0,IF(ROUND(($I834-$K834)*1440,0)&gt;設定!$C$46,ROUND(($I834-$K834)*1440,0),0))</f>
        <v/>
      </c>
      <c r="Q834" s="85">
        <f>IF($M834="",0,IF(($M834-IFERROR(INDEX(設定!$G$6:$G$21,MATCH($G834,設定!$B$6:$B$21,0)),0))*60&gt;=設定!$C$44,ROUND(FLOOR(($M834-IFERROR(INDEX(設定!$G$6:$G$21,MATCH($G834,設定!$B$6:$B$21,0)),0))*60,設定!$C$45)/60,2),0))</f>
        <v/>
      </c>
      <c r="R834" s="16">
        <f>IF(OR($C834="",$Q834=0),"",IF($G834="國","國定假日",IF($B834="日","例假",IF($B834="六","休息日","平日"))))</f>
        <v/>
      </c>
      <c r="S834" s="19" t="n"/>
    </row>
    <row r="835">
      <c r="A835" s="82">
        <f>IF(OR(助理班表!$A31="",27&gt;DAY(EOMONTH(DATE(設定!$C$2,設定!$D$2,1),0))),"",DATE(設定!$C$2,設定!$D$2,27))</f>
        <v/>
      </c>
      <c r="B835" s="16">
        <f>IF($A835="","",INDEX(設定!$O$6:$O$12,WEEKDAY($A835,1)))</f>
        <v/>
      </c>
      <c r="C835" s="16">
        <f>IF($A835="","",助理班表!$A31)</f>
        <v/>
      </c>
      <c r="D835" s="16">
        <f>IF($C835="","",助理班表!$B31)</f>
        <v/>
      </c>
      <c r="E835" s="16">
        <f>IF($C835="","",助理班表!$D31)</f>
        <v/>
      </c>
      <c r="F835" s="16">
        <f>IF($C835="","",助理班表!$C31)</f>
        <v/>
      </c>
      <c r="G835" s="16">
        <f>IF($C835="","",助理班表!AE31)</f>
        <v/>
      </c>
      <c r="H835" s="83">
        <f>IF($G835="","",IFERROR(IF(INDEX(設定!$D$6:$D$21,MATCH($G835,設定!$B$6:$B$21,0))=0,"",INDEX(設定!$D$6:$D$21,MATCH($G835,設定!$B$6:$B$21,0))),""))</f>
        <v/>
      </c>
      <c r="I835" s="83">
        <f>IF($G835="","",IFERROR(IF(INDEX(設定!$E$6:$E$21,MATCH($G835,設定!$B$6:$B$21,0))=0,"",INDEX(設定!$E$6:$E$21,MATCH($G835,設定!$B$6:$B$21,0))),""))</f>
        <v/>
      </c>
      <c r="J835" s="83">
        <f>IFERROR(INDEX(打卡匯入!$C$3:$C$2002,MATCH($C835&amp;"|"&amp;DAY($A835),打卡匯入!$E$3:$E$2002,0)),"")</f>
        <v/>
      </c>
      <c r="K835" s="83">
        <f>IFERROR(INDEX(打卡匯入!$D$3:$D$2002,MATCH($C835&amp;"|"&amp;DAY($A835),打卡匯入!$E$3:$E$2002,0)),"")</f>
        <v/>
      </c>
      <c r="L835" s="84">
        <f>IF(OR($J835="",$K835=""),"",IFERROR(INDEX(設定!$F$6:$F$21,MATCH($G835,設定!$B$6:$B$21,0)),0))</f>
        <v/>
      </c>
      <c r="M835" s="85">
        <f>IF(OR($J835="",$K835=""),"",ROUND(($K835-$J835)*24-$L835/60,2))</f>
        <v/>
      </c>
      <c r="N835" s="16">
        <f>IF($C835="","",IF(AND(COUNTIF(設定!$B$15:$B$21,$G835)&gt;0,$J835&lt;&gt;""),"假日出勤",IF(AND(COUNTIF(設定!$B$6:$B$14,$G835)&gt;0,$J835=""),"未打卡",IF($J835="","",IF($O835&gt;0,"遲到",IF($P835&gt;0,"早退","正常"))))))</f>
        <v/>
      </c>
      <c r="O835" s="84">
        <f>IF(OR($C835="",$H835="",$J835=""),0,IF(ROUND(($J835-$H835)*1440,0)&gt;設定!$C$46,ROUND(($J835-$H835)*1440,0),0))</f>
        <v/>
      </c>
      <c r="P835" s="84">
        <f>IF(OR($C835="",$I835="",$K835=""),0,IF(ROUND(($I835-$K835)*1440,0)&gt;設定!$C$46,ROUND(($I835-$K835)*1440,0),0))</f>
        <v/>
      </c>
      <c r="Q835" s="85">
        <f>IF($M835="",0,IF(($M835-IFERROR(INDEX(設定!$G$6:$G$21,MATCH($G835,設定!$B$6:$B$21,0)),0))*60&gt;=設定!$C$44,ROUND(FLOOR(($M835-IFERROR(INDEX(設定!$G$6:$G$21,MATCH($G835,設定!$B$6:$B$21,0)),0))*60,設定!$C$45)/60,2),0))</f>
        <v/>
      </c>
      <c r="R835" s="16">
        <f>IF(OR($C835="",$Q835=0),"",IF($G835="國","國定假日",IF($B835="日","例假",IF($B835="六","休息日","平日"))))</f>
        <v/>
      </c>
      <c r="S835" s="19" t="n"/>
    </row>
    <row r="836">
      <c r="A836" s="82">
        <f>IF(OR(助理班表!$A31="",28&gt;DAY(EOMONTH(DATE(設定!$C$2,設定!$D$2,1),0))),"",DATE(設定!$C$2,設定!$D$2,28))</f>
        <v/>
      </c>
      <c r="B836" s="16">
        <f>IF($A836="","",INDEX(設定!$O$6:$O$12,WEEKDAY($A836,1)))</f>
        <v/>
      </c>
      <c r="C836" s="16">
        <f>IF($A836="","",助理班表!$A31)</f>
        <v/>
      </c>
      <c r="D836" s="16">
        <f>IF($C836="","",助理班表!$B31)</f>
        <v/>
      </c>
      <c r="E836" s="16">
        <f>IF($C836="","",助理班表!$D31)</f>
        <v/>
      </c>
      <c r="F836" s="16">
        <f>IF($C836="","",助理班表!$C31)</f>
        <v/>
      </c>
      <c r="G836" s="16">
        <f>IF($C836="","",助理班表!AF31)</f>
        <v/>
      </c>
      <c r="H836" s="83">
        <f>IF($G836="","",IFERROR(IF(INDEX(設定!$D$6:$D$21,MATCH($G836,設定!$B$6:$B$21,0))=0,"",INDEX(設定!$D$6:$D$21,MATCH($G836,設定!$B$6:$B$21,0))),""))</f>
        <v/>
      </c>
      <c r="I836" s="83">
        <f>IF($G836="","",IFERROR(IF(INDEX(設定!$E$6:$E$21,MATCH($G836,設定!$B$6:$B$21,0))=0,"",INDEX(設定!$E$6:$E$21,MATCH($G836,設定!$B$6:$B$21,0))),""))</f>
        <v/>
      </c>
      <c r="J836" s="83">
        <f>IFERROR(INDEX(打卡匯入!$C$3:$C$2002,MATCH($C836&amp;"|"&amp;DAY($A836),打卡匯入!$E$3:$E$2002,0)),"")</f>
        <v/>
      </c>
      <c r="K836" s="83">
        <f>IFERROR(INDEX(打卡匯入!$D$3:$D$2002,MATCH($C836&amp;"|"&amp;DAY($A836),打卡匯入!$E$3:$E$2002,0)),"")</f>
        <v/>
      </c>
      <c r="L836" s="84">
        <f>IF(OR($J836="",$K836=""),"",IFERROR(INDEX(設定!$F$6:$F$21,MATCH($G836,設定!$B$6:$B$21,0)),0))</f>
        <v/>
      </c>
      <c r="M836" s="85">
        <f>IF(OR($J836="",$K836=""),"",ROUND(($K836-$J836)*24-$L836/60,2))</f>
        <v/>
      </c>
      <c r="N836" s="16">
        <f>IF($C836="","",IF(AND(COUNTIF(設定!$B$15:$B$21,$G836)&gt;0,$J836&lt;&gt;""),"假日出勤",IF(AND(COUNTIF(設定!$B$6:$B$14,$G836)&gt;0,$J836=""),"未打卡",IF($J836="","",IF($O836&gt;0,"遲到",IF($P836&gt;0,"早退","正常"))))))</f>
        <v/>
      </c>
      <c r="O836" s="84">
        <f>IF(OR($C836="",$H836="",$J836=""),0,IF(ROUND(($J836-$H836)*1440,0)&gt;設定!$C$46,ROUND(($J836-$H836)*1440,0),0))</f>
        <v/>
      </c>
      <c r="P836" s="84">
        <f>IF(OR($C836="",$I836="",$K836=""),0,IF(ROUND(($I836-$K836)*1440,0)&gt;設定!$C$46,ROUND(($I836-$K836)*1440,0),0))</f>
        <v/>
      </c>
      <c r="Q836" s="85">
        <f>IF($M836="",0,IF(($M836-IFERROR(INDEX(設定!$G$6:$G$21,MATCH($G836,設定!$B$6:$B$21,0)),0))*60&gt;=設定!$C$44,ROUND(FLOOR(($M836-IFERROR(INDEX(設定!$G$6:$G$21,MATCH($G836,設定!$B$6:$B$21,0)),0))*60,設定!$C$45)/60,2),0))</f>
        <v/>
      </c>
      <c r="R836" s="16">
        <f>IF(OR($C836="",$Q836=0),"",IF($G836="國","國定假日",IF($B836="日","例假",IF($B836="六","休息日","平日"))))</f>
        <v/>
      </c>
      <c r="S836" s="19" t="n"/>
    </row>
    <row r="837">
      <c r="A837" s="82">
        <f>IF(OR(助理班表!$A31="",29&gt;DAY(EOMONTH(DATE(設定!$C$2,設定!$D$2,1),0))),"",DATE(設定!$C$2,設定!$D$2,29))</f>
        <v/>
      </c>
      <c r="B837" s="16">
        <f>IF($A837="","",INDEX(設定!$O$6:$O$12,WEEKDAY($A837,1)))</f>
        <v/>
      </c>
      <c r="C837" s="16">
        <f>IF($A837="","",助理班表!$A31)</f>
        <v/>
      </c>
      <c r="D837" s="16">
        <f>IF($C837="","",助理班表!$B31)</f>
        <v/>
      </c>
      <c r="E837" s="16">
        <f>IF($C837="","",助理班表!$D31)</f>
        <v/>
      </c>
      <c r="F837" s="16">
        <f>IF($C837="","",助理班表!$C31)</f>
        <v/>
      </c>
      <c r="G837" s="16">
        <f>IF($C837="","",助理班表!AG31)</f>
        <v/>
      </c>
      <c r="H837" s="83">
        <f>IF($G837="","",IFERROR(IF(INDEX(設定!$D$6:$D$21,MATCH($G837,設定!$B$6:$B$21,0))=0,"",INDEX(設定!$D$6:$D$21,MATCH($G837,設定!$B$6:$B$21,0))),""))</f>
        <v/>
      </c>
      <c r="I837" s="83">
        <f>IF($G837="","",IFERROR(IF(INDEX(設定!$E$6:$E$21,MATCH($G837,設定!$B$6:$B$21,0))=0,"",INDEX(設定!$E$6:$E$21,MATCH($G837,設定!$B$6:$B$21,0))),""))</f>
        <v/>
      </c>
      <c r="J837" s="83">
        <f>IFERROR(INDEX(打卡匯入!$C$3:$C$2002,MATCH($C837&amp;"|"&amp;DAY($A837),打卡匯入!$E$3:$E$2002,0)),"")</f>
        <v/>
      </c>
      <c r="K837" s="83">
        <f>IFERROR(INDEX(打卡匯入!$D$3:$D$2002,MATCH($C837&amp;"|"&amp;DAY($A837),打卡匯入!$E$3:$E$2002,0)),"")</f>
        <v/>
      </c>
      <c r="L837" s="84">
        <f>IF(OR($J837="",$K837=""),"",IFERROR(INDEX(設定!$F$6:$F$21,MATCH($G837,設定!$B$6:$B$21,0)),0))</f>
        <v/>
      </c>
      <c r="M837" s="85">
        <f>IF(OR($J837="",$K837=""),"",ROUND(($K837-$J837)*24-$L837/60,2))</f>
        <v/>
      </c>
      <c r="N837" s="16">
        <f>IF($C837="","",IF(AND(COUNTIF(設定!$B$15:$B$21,$G837)&gt;0,$J837&lt;&gt;""),"假日出勤",IF(AND(COUNTIF(設定!$B$6:$B$14,$G837)&gt;0,$J837=""),"未打卡",IF($J837="","",IF($O837&gt;0,"遲到",IF($P837&gt;0,"早退","正常"))))))</f>
        <v/>
      </c>
      <c r="O837" s="84">
        <f>IF(OR($C837="",$H837="",$J837=""),0,IF(ROUND(($J837-$H837)*1440,0)&gt;設定!$C$46,ROUND(($J837-$H837)*1440,0),0))</f>
        <v/>
      </c>
      <c r="P837" s="84">
        <f>IF(OR($C837="",$I837="",$K837=""),0,IF(ROUND(($I837-$K837)*1440,0)&gt;設定!$C$46,ROUND(($I837-$K837)*1440,0),0))</f>
        <v/>
      </c>
      <c r="Q837" s="85">
        <f>IF($M837="",0,IF(($M837-IFERROR(INDEX(設定!$G$6:$G$21,MATCH($G837,設定!$B$6:$B$21,0)),0))*60&gt;=設定!$C$44,ROUND(FLOOR(($M837-IFERROR(INDEX(設定!$G$6:$G$21,MATCH($G837,設定!$B$6:$B$21,0)),0))*60,設定!$C$45)/60,2),0))</f>
        <v/>
      </c>
      <c r="R837" s="16">
        <f>IF(OR($C837="",$Q837=0),"",IF($G837="國","國定假日",IF($B837="日","例假",IF($B837="六","休息日","平日"))))</f>
        <v/>
      </c>
      <c r="S837" s="19" t="n"/>
    </row>
    <row r="838">
      <c r="A838" s="82">
        <f>IF(OR(助理班表!$A31="",30&gt;DAY(EOMONTH(DATE(設定!$C$2,設定!$D$2,1),0))),"",DATE(設定!$C$2,設定!$D$2,30))</f>
        <v/>
      </c>
      <c r="B838" s="16">
        <f>IF($A838="","",INDEX(設定!$O$6:$O$12,WEEKDAY($A838,1)))</f>
        <v/>
      </c>
      <c r="C838" s="16">
        <f>IF($A838="","",助理班表!$A31)</f>
        <v/>
      </c>
      <c r="D838" s="16">
        <f>IF($C838="","",助理班表!$B31)</f>
        <v/>
      </c>
      <c r="E838" s="16">
        <f>IF($C838="","",助理班表!$D31)</f>
        <v/>
      </c>
      <c r="F838" s="16">
        <f>IF($C838="","",助理班表!$C31)</f>
        <v/>
      </c>
      <c r="G838" s="16">
        <f>IF($C838="","",助理班表!AH31)</f>
        <v/>
      </c>
      <c r="H838" s="83">
        <f>IF($G838="","",IFERROR(IF(INDEX(設定!$D$6:$D$21,MATCH($G838,設定!$B$6:$B$21,0))=0,"",INDEX(設定!$D$6:$D$21,MATCH($G838,設定!$B$6:$B$21,0))),""))</f>
        <v/>
      </c>
      <c r="I838" s="83">
        <f>IF($G838="","",IFERROR(IF(INDEX(設定!$E$6:$E$21,MATCH($G838,設定!$B$6:$B$21,0))=0,"",INDEX(設定!$E$6:$E$21,MATCH($G838,設定!$B$6:$B$21,0))),""))</f>
        <v/>
      </c>
      <c r="J838" s="83">
        <f>IFERROR(INDEX(打卡匯入!$C$3:$C$2002,MATCH($C838&amp;"|"&amp;DAY($A838),打卡匯入!$E$3:$E$2002,0)),"")</f>
        <v/>
      </c>
      <c r="K838" s="83">
        <f>IFERROR(INDEX(打卡匯入!$D$3:$D$2002,MATCH($C838&amp;"|"&amp;DAY($A838),打卡匯入!$E$3:$E$2002,0)),"")</f>
        <v/>
      </c>
      <c r="L838" s="84">
        <f>IF(OR($J838="",$K838=""),"",IFERROR(INDEX(設定!$F$6:$F$21,MATCH($G838,設定!$B$6:$B$21,0)),0))</f>
        <v/>
      </c>
      <c r="M838" s="85">
        <f>IF(OR($J838="",$K838=""),"",ROUND(($K838-$J838)*24-$L838/60,2))</f>
        <v/>
      </c>
      <c r="N838" s="16">
        <f>IF($C838="","",IF(AND(COUNTIF(設定!$B$15:$B$21,$G838)&gt;0,$J838&lt;&gt;""),"假日出勤",IF(AND(COUNTIF(設定!$B$6:$B$14,$G838)&gt;0,$J838=""),"未打卡",IF($J838="","",IF($O838&gt;0,"遲到",IF($P838&gt;0,"早退","正常"))))))</f>
        <v/>
      </c>
      <c r="O838" s="84">
        <f>IF(OR($C838="",$H838="",$J838=""),0,IF(ROUND(($J838-$H838)*1440,0)&gt;設定!$C$46,ROUND(($J838-$H838)*1440,0),0))</f>
        <v/>
      </c>
      <c r="P838" s="84">
        <f>IF(OR($C838="",$I838="",$K838=""),0,IF(ROUND(($I838-$K838)*1440,0)&gt;設定!$C$46,ROUND(($I838-$K838)*1440,0),0))</f>
        <v/>
      </c>
      <c r="Q838" s="85">
        <f>IF($M838="",0,IF(($M838-IFERROR(INDEX(設定!$G$6:$G$21,MATCH($G838,設定!$B$6:$B$21,0)),0))*60&gt;=設定!$C$44,ROUND(FLOOR(($M838-IFERROR(INDEX(設定!$G$6:$G$21,MATCH($G838,設定!$B$6:$B$21,0)),0))*60,設定!$C$45)/60,2),0))</f>
        <v/>
      </c>
      <c r="R838" s="16">
        <f>IF(OR($C838="",$Q838=0),"",IF($G838="國","國定假日",IF($B838="日","例假",IF($B838="六","休息日","平日"))))</f>
        <v/>
      </c>
      <c r="S838" s="19" t="n"/>
    </row>
    <row r="839">
      <c r="A839" s="82">
        <f>IF(OR(助理班表!$A31="",31&gt;DAY(EOMONTH(DATE(設定!$C$2,設定!$D$2,1),0))),"",DATE(設定!$C$2,設定!$D$2,31))</f>
        <v/>
      </c>
      <c r="B839" s="16">
        <f>IF($A839="","",INDEX(設定!$O$6:$O$12,WEEKDAY($A839,1)))</f>
        <v/>
      </c>
      <c r="C839" s="16">
        <f>IF($A839="","",助理班表!$A31)</f>
        <v/>
      </c>
      <c r="D839" s="16">
        <f>IF($C839="","",助理班表!$B31)</f>
        <v/>
      </c>
      <c r="E839" s="16">
        <f>IF($C839="","",助理班表!$D31)</f>
        <v/>
      </c>
      <c r="F839" s="16">
        <f>IF($C839="","",助理班表!$C31)</f>
        <v/>
      </c>
      <c r="G839" s="16">
        <f>IF($C839="","",助理班表!AI31)</f>
        <v/>
      </c>
      <c r="H839" s="83">
        <f>IF($G839="","",IFERROR(IF(INDEX(設定!$D$6:$D$21,MATCH($G839,設定!$B$6:$B$21,0))=0,"",INDEX(設定!$D$6:$D$21,MATCH($G839,設定!$B$6:$B$21,0))),""))</f>
        <v/>
      </c>
      <c r="I839" s="83">
        <f>IF($G839="","",IFERROR(IF(INDEX(設定!$E$6:$E$21,MATCH($G839,設定!$B$6:$B$21,0))=0,"",INDEX(設定!$E$6:$E$21,MATCH($G839,設定!$B$6:$B$21,0))),""))</f>
        <v/>
      </c>
      <c r="J839" s="83">
        <f>IFERROR(INDEX(打卡匯入!$C$3:$C$2002,MATCH($C839&amp;"|"&amp;DAY($A839),打卡匯入!$E$3:$E$2002,0)),"")</f>
        <v/>
      </c>
      <c r="K839" s="83">
        <f>IFERROR(INDEX(打卡匯入!$D$3:$D$2002,MATCH($C839&amp;"|"&amp;DAY($A839),打卡匯入!$E$3:$E$2002,0)),"")</f>
        <v/>
      </c>
      <c r="L839" s="84">
        <f>IF(OR($J839="",$K839=""),"",IFERROR(INDEX(設定!$F$6:$F$21,MATCH($G839,設定!$B$6:$B$21,0)),0))</f>
        <v/>
      </c>
      <c r="M839" s="85">
        <f>IF(OR($J839="",$K839=""),"",ROUND(($K839-$J839)*24-$L839/60,2))</f>
        <v/>
      </c>
      <c r="N839" s="16">
        <f>IF($C839="","",IF(AND(COUNTIF(設定!$B$15:$B$21,$G839)&gt;0,$J839&lt;&gt;""),"假日出勤",IF(AND(COUNTIF(設定!$B$6:$B$14,$G839)&gt;0,$J839=""),"未打卡",IF($J839="","",IF($O839&gt;0,"遲到",IF($P839&gt;0,"早退","正常"))))))</f>
        <v/>
      </c>
      <c r="O839" s="84">
        <f>IF(OR($C839="",$H839="",$J839=""),0,IF(ROUND(($J839-$H839)*1440,0)&gt;設定!$C$46,ROUND(($J839-$H839)*1440,0),0))</f>
        <v/>
      </c>
      <c r="P839" s="84">
        <f>IF(OR($C839="",$I839="",$K839=""),0,IF(ROUND(($I839-$K839)*1440,0)&gt;設定!$C$46,ROUND(($I839-$K839)*1440,0),0))</f>
        <v/>
      </c>
      <c r="Q839" s="85">
        <f>IF($M839="",0,IF(($M839-IFERROR(INDEX(設定!$G$6:$G$21,MATCH($G839,設定!$B$6:$B$21,0)),0))*60&gt;=設定!$C$44,ROUND(FLOOR(($M839-IFERROR(INDEX(設定!$G$6:$G$21,MATCH($G839,設定!$B$6:$B$21,0)),0))*60,設定!$C$45)/60,2),0))</f>
        <v/>
      </c>
      <c r="R839" s="16">
        <f>IF(OR($C839="",$Q839=0),"",IF($G839="國","國定假日",IF($B839="日","例假",IF($B839="六","休息日","平日"))))</f>
        <v/>
      </c>
      <c r="S839" s="19" t="n"/>
    </row>
    <row r="840">
      <c r="A840" s="82">
        <f>IF(OR(助理班表!$A32="",1&gt;DAY(EOMONTH(DATE(設定!$C$2,設定!$D$2,1),0))),"",DATE(設定!$C$2,設定!$D$2,1))</f>
        <v/>
      </c>
      <c r="B840" s="16">
        <f>IF($A840="","",INDEX(設定!$O$6:$O$12,WEEKDAY($A840,1)))</f>
        <v/>
      </c>
      <c r="C840" s="16">
        <f>IF($A840="","",助理班表!$A32)</f>
        <v/>
      </c>
      <c r="D840" s="16">
        <f>IF($C840="","",助理班表!$B32)</f>
        <v/>
      </c>
      <c r="E840" s="16">
        <f>IF($C840="","",助理班表!$D32)</f>
        <v/>
      </c>
      <c r="F840" s="16">
        <f>IF($C840="","",助理班表!$C32)</f>
        <v/>
      </c>
      <c r="G840" s="16">
        <f>IF($C840="","",助理班表!E32)</f>
        <v/>
      </c>
      <c r="H840" s="83">
        <f>IF($G840="","",IFERROR(IF(INDEX(設定!$D$6:$D$21,MATCH($G840,設定!$B$6:$B$21,0))=0,"",INDEX(設定!$D$6:$D$21,MATCH($G840,設定!$B$6:$B$21,0))),""))</f>
        <v/>
      </c>
      <c r="I840" s="83">
        <f>IF($G840="","",IFERROR(IF(INDEX(設定!$E$6:$E$21,MATCH($G840,設定!$B$6:$B$21,0))=0,"",INDEX(設定!$E$6:$E$21,MATCH($G840,設定!$B$6:$B$21,0))),""))</f>
        <v/>
      </c>
      <c r="J840" s="83">
        <f>IFERROR(INDEX(打卡匯入!$C$3:$C$2002,MATCH($C840&amp;"|"&amp;DAY($A840),打卡匯入!$E$3:$E$2002,0)),"")</f>
        <v/>
      </c>
      <c r="K840" s="83">
        <f>IFERROR(INDEX(打卡匯入!$D$3:$D$2002,MATCH($C840&amp;"|"&amp;DAY($A840),打卡匯入!$E$3:$E$2002,0)),"")</f>
        <v/>
      </c>
      <c r="L840" s="84">
        <f>IF(OR($J840="",$K840=""),"",IFERROR(INDEX(設定!$F$6:$F$21,MATCH($G840,設定!$B$6:$B$21,0)),0))</f>
        <v/>
      </c>
      <c r="M840" s="85">
        <f>IF(OR($J840="",$K840=""),"",ROUND(($K840-$J840)*24-$L840/60,2))</f>
        <v/>
      </c>
      <c r="N840" s="16">
        <f>IF($C840="","",IF(AND(COUNTIF(設定!$B$15:$B$21,$G840)&gt;0,$J840&lt;&gt;""),"假日出勤",IF(AND(COUNTIF(設定!$B$6:$B$14,$G840)&gt;0,$J840=""),"未打卡",IF($J840="","",IF($O840&gt;0,"遲到",IF($P840&gt;0,"早退","正常"))))))</f>
        <v/>
      </c>
      <c r="O840" s="84">
        <f>IF(OR($C840="",$H840="",$J840=""),0,IF(ROUND(($J840-$H840)*1440,0)&gt;設定!$C$46,ROUND(($J840-$H840)*1440,0),0))</f>
        <v/>
      </c>
      <c r="P840" s="84">
        <f>IF(OR($C840="",$I840="",$K840=""),0,IF(ROUND(($I840-$K840)*1440,0)&gt;設定!$C$46,ROUND(($I840-$K840)*1440,0),0))</f>
        <v/>
      </c>
      <c r="Q840" s="85">
        <f>IF($M840="",0,IF(($M840-IFERROR(INDEX(設定!$G$6:$G$21,MATCH($G840,設定!$B$6:$B$21,0)),0))*60&gt;=設定!$C$44,ROUND(FLOOR(($M840-IFERROR(INDEX(設定!$G$6:$G$21,MATCH($G840,設定!$B$6:$B$21,0)),0))*60,設定!$C$45)/60,2),0))</f>
        <v/>
      </c>
      <c r="R840" s="16">
        <f>IF(OR($C840="",$Q840=0),"",IF($G840="國","國定假日",IF($B840="日","例假",IF($B840="六","休息日","平日"))))</f>
        <v/>
      </c>
      <c r="S840" s="19" t="n"/>
    </row>
    <row r="841">
      <c r="A841" s="82">
        <f>IF(OR(助理班表!$A32="",2&gt;DAY(EOMONTH(DATE(設定!$C$2,設定!$D$2,1),0))),"",DATE(設定!$C$2,設定!$D$2,2))</f>
        <v/>
      </c>
      <c r="B841" s="16">
        <f>IF($A841="","",INDEX(設定!$O$6:$O$12,WEEKDAY($A841,1)))</f>
        <v/>
      </c>
      <c r="C841" s="16">
        <f>IF($A841="","",助理班表!$A32)</f>
        <v/>
      </c>
      <c r="D841" s="16">
        <f>IF($C841="","",助理班表!$B32)</f>
        <v/>
      </c>
      <c r="E841" s="16">
        <f>IF($C841="","",助理班表!$D32)</f>
        <v/>
      </c>
      <c r="F841" s="16">
        <f>IF($C841="","",助理班表!$C32)</f>
        <v/>
      </c>
      <c r="G841" s="16">
        <f>IF($C841="","",助理班表!F32)</f>
        <v/>
      </c>
      <c r="H841" s="83">
        <f>IF($G841="","",IFERROR(IF(INDEX(設定!$D$6:$D$21,MATCH($G841,設定!$B$6:$B$21,0))=0,"",INDEX(設定!$D$6:$D$21,MATCH($G841,設定!$B$6:$B$21,0))),""))</f>
        <v/>
      </c>
      <c r="I841" s="83">
        <f>IF($G841="","",IFERROR(IF(INDEX(設定!$E$6:$E$21,MATCH($G841,設定!$B$6:$B$21,0))=0,"",INDEX(設定!$E$6:$E$21,MATCH($G841,設定!$B$6:$B$21,0))),""))</f>
        <v/>
      </c>
      <c r="J841" s="83">
        <f>IFERROR(INDEX(打卡匯入!$C$3:$C$2002,MATCH($C841&amp;"|"&amp;DAY($A841),打卡匯入!$E$3:$E$2002,0)),"")</f>
        <v/>
      </c>
      <c r="K841" s="83">
        <f>IFERROR(INDEX(打卡匯入!$D$3:$D$2002,MATCH($C841&amp;"|"&amp;DAY($A841),打卡匯入!$E$3:$E$2002,0)),"")</f>
        <v/>
      </c>
      <c r="L841" s="84">
        <f>IF(OR($J841="",$K841=""),"",IFERROR(INDEX(設定!$F$6:$F$21,MATCH($G841,設定!$B$6:$B$21,0)),0))</f>
        <v/>
      </c>
      <c r="M841" s="85">
        <f>IF(OR($J841="",$K841=""),"",ROUND(($K841-$J841)*24-$L841/60,2))</f>
        <v/>
      </c>
      <c r="N841" s="16">
        <f>IF($C841="","",IF(AND(COUNTIF(設定!$B$15:$B$21,$G841)&gt;0,$J841&lt;&gt;""),"假日出勤",IF(AND(COUNTIF(設定!$B$6:$B$14,$G841)&gt;0,$J841=""),"未打卡",IF($J841="","",IF($O841&gt;0,"遲到",IF($P841&gt;0,"早退","正常"))))))</f>
        <v/>
      </c>
      <c r="O841" s="84">
        <f>IF(OR($C841="",$H841="",$J841=""),0,IF(ROUND(($J841-$H841)*1440,0)&gt;設定!$C$46,ROUND(($J841-$H841)*1440,0),0))</f>
        <v/>
      </c>
      <c r="P841" s="84">
        <f>IF(OR($C841="",$I841="",$K841=""),0,IF(ROUND(($I841-$K841)*1440,0)&gt;設定!$C$46,ROUND(($I841-$K841)*1440,0),0))</f>
        <v/>
      </c>
      <c r="Q841" s="85">
        <f>IF($M841="",0,IF(($M841-IFERROR(INDEX(設定!$G$6:$G$21,MATCH($G841,設定!$B$6:$B$21,0)),0))*60&gt;=設定!$C$44,ROUND(FLOOR(($M841-IFERROR(INDEX(設定!$G$6:$G$21,MATCH($G841,設定!$B$6:$B$21,0)),0))*60,設定!$C$45)/60,2),0))</f>
        <v/>
      </c>
      <c r="R841" s="16">
        <f>IF(OR($C841="",$Q841=0),"",IF($G841="國","國定假日",IF($B841="日","例假",IF($B841="六","休息日","平日"))))</f>
        <v/>
      </c>
      <c r="S841" s="19" t="n"/>
    </row>
    <row r="842">
      <c r="A842" s="82">
        <f>IF(OR(助理班表!$A32="",3&gt;DAY(EOMONTH(DATE(設定!$C$2,設定!$D$2,1),0))),"",DATE(設定!$C$2,設定!$D$2,3))</f>
        <v/>
      </c>
      <c r="B842" s="16">
        <f>IF($A842="","",INDEX(設定!$O$6:$O$12,WEEKDAY($A842,1)))</f>
        <v/>
      </c>
      <c r="C842" s="16">
        <f>IF($A842="","",助理班表!$A32)</f>
        <v/>
      </c>
      <c r="D842" s="16">
        <f>IF($C842="","",助理班表!$B32)</f>
        <v/>
      </c>
      <c r="E842" s="16">
        <f>IF($C842="","",助理班表!$D32)</f>
        <v/>
      </c>
      <c r="F842" s="16">
        <f>IF($C842="","",助理班表!$C32)</f>
        <v/>
      </c>
      <c r="G842" s="16">
        <f>IF($C842="","",助理班表!G32)</f>
        <v/>
      </c>
      <c r="H842" s="83">
        <f>IF($G842="","",IFERROR(IF(INDEX(設定!$D$6:$D$21,MATCH($G842,設定!$B$6:$B$21,0))=0,"",INDEX(設定!$D$6:$D$21,MATCH($G842,設定!$B$6:$B$21,0))),""))</f>
        <v/>
      </c>
      <c r="I842" s="83">
        <f>IF($G842="","",IFERROR(IF(INDEX(設定!$E$6:$E$21,MATCH($G842,設定!$B$6:$B$21,0))=0,"",INDEX(設定!$E$6:$E$21,MATCH($G842,設定!$B$6:$B$21,0))),""))</f>
        <v/>
      </c>
      <c r="J842" s="83">
        <f>IFERROR(INDEX(打卡匯入!$C$3:$C$2002,MATCH($C842&amp;"|"&amp;DAY($A842),打卡匯入!$E$3:$E$2002,0)),"")</f>
        <v/>
      </c>
      <c r="K842" s="83">
        <f>IFERROR(INDEX(打卡匯入!$D$3:$D$2002,MATCH($C842&amp;"|"&amp;DAY($A842),打卡匯入!$E$3:$E$2002,0)),"")</f>
        <v/>
      </c>
      <c r="L842" s="84">
        <f>IF(OR($J842="",$K842=""),"",IFERROR(INDEX(設定!$F$6:$F$21,MATCH($G842,設定!$B$6:$B$21,0)),0))</f>
        <v/>
      </c>
      <c r="M842" s="85">
        <f>IF(OR($J842="",$K842=""),"",ROUND(($K842-$J842)*24-$L842/60,2))</f>
        <v/>
      </c>
      <c r="N842" s="16">
        <f>IF($C842="","",IF(AND(COUNTIF(設定!$B$15:$B$21,$G842)&gt;0,$J842&lt;&gt;""),"假日出勤",IF(AND(COUNTIF(設定!$B$6:$B$14,$G842)&gt;0,$J842=""),"未打卡",IF($J842="","",IF($O842&gt;0,"遲到",IF($P842&gt;0,"早退","正常"))))))</f>
        <v/>
      </c>
      <c r="O842" s="84">
        <f>IF(OR($C842="",$H842="",$J842=""),0,IF(ROUND(($J842-$H842)*1440,0)&gt;設定!$C$46,ROUND(($J842-$H842)*1440,0),0))</f>
        <v/>
      </c>
      <c r="P842" s="84">
        <f>IF(OR($C842="",$I842="",$K842=""),0,IF(ROUND(($I842-$K842)*1440,0)&gt;設定!$C$46,ROUND(($I842-$K842)*1440,0),0))</f>
        <v/>
      </c>
      <c r="Q842" s="85">
        <f>IF($M842="",0,IF(($M842-IFERROR(INDEX(設定!$G$6:$G$21,MATCH($G842,設定!$B$6:$B$21,0)),0))*60&gt;=設定!$C$44,ROUND(FLOOR(($M842-IFERROR(INDEX(設定!$G$6:$G$21,MATCH($G842,設定!$B$6:$B$21,0)),0))*60,設定!$C$45)/60,2),0))</f>
        <v/>
      </c>
      <c r="R842" s="16">
        <f>IF(OR($C842="",$Q842=0),"",IF($G842="國","國定假日",IF($B842="日","例假",IF($B842="六","休息日","平日"))))</f>
        <v/>
      </c>
      <c r="S842" s="19" t="n"/>
    </row>
    <row r="843">
      <c r="A843" s="82">
        <f>IF(OR(助理班表!$A32="",4&gt;DAY(EOMONTH(DATE(設定!$C$2,設定!$D$2,1),0))),"",DATE(設定!$C$2,設定!$D$2,4))</f>
        <v/>
      </c>
      <c r="B843" s="16">
        <f>IF($A843="","",INDEX(設定!$O$6:$O$12,WEEKDAY($A843,1)))</f>
        <v/>
      </c>
      <c r="C843" s="16">
        <f>IF($A843="","",助理班表!$A32)</f>
        <v/>
      </c>
      <c r="D843" s="16">
        <f>IF($C843="","",助理班表!$B32)</f>
        <v/>
      </c>
      <c r="E843" s="16">
        <f>IF($C843="","",助理班表!$D32)</f>
        <v/>
      </c>
      <c r="F843" s="16">
        <f>IF($C843="","",助理班表!$C32)</f>
        <v/>
      </c>
      <c r="G843" s="16">
        <f>IF($C843="","",助理班表!H32)</f>
        <v/>
      </c>
      <c r="H843" s="83">
        <f>IF($G843="","",IFERROR(IF(INDEX(設定!$D$6:$D$21,MATCH($G843,設定!$B$6:$B$21,0))=0,"",INDEX(設定!$D$6:$D$21,MATCH($G843,設定!$B$6:$B$21,0))),""))</f>
        <v/>
      </c>
      <c r="I843" s="83">
        <f>IF($G843="","",IFERROR(IF(INDEX(設定!$E$6:$E$21,MATCH($G843,設定!$B$6:$B$21,0))=0,"",INDEX(設定!$E$6:$E$21,MATCH($G843,設定!$B$6:$B$21,0))),""))</f>
        <v/>
      </c>
      <c r="J843" s="83">
        <f>IFERROR(INDEX(打卡匯入!$C$3:$C$2002,MATCH($C843&amp;"|"&amp;DAY($A843),打卡匯入!$E$3:$E$2002,0)),"")</f>
        <v/>
      </c>
      <c r="K843" s="83">
        <f>IFERROR(INDEX(打卡匯入!$D$3:$D$2002,MATCH($C843&amp;"|"&amp;DAY($A843),打卡匯入!$E$3:$E$2002,0)),"")</f>
        <v/>
      </c>
      <c r="L843" s="84">
        <f>IF(OR($J843="",$K843=""),"",IFERROR(INDEX(設定!$F$6:$F$21,MATCH($G843,設定!$B$6:$B$21,0)),0))</f>
        <v/>
      </c>
      <c r="M843" s="85">
        <f>IF(OR($J843="",$K843=""),"",ROUND(($K843-$J843)*24-$L843/60,2))</f>
        <v/>
      </c>
      <c r="N843" s="16">
        <f>IF($C843="","",IF(AND(COUNTIF(設定!$B$15:$B$21,$G843)&gt;0,$J843&lt;&gt;""),"假日出勤",IF(AND(COUNTIF(設定!$B$6:$B$14,$G843)&gt;0,$J843=""),"未打卡",IF($J843="","",IF($O843&gt;0,"遲到",IF($P843&gt;0,"早退","正常"))))))</f>
        <v/>
      </c>
      <c r="O843" s="84">
        <f>IF(OR($C843="",$H843="",$J843=""),0,IF(ROUND(($J843-$H843)*1440,0)&gt;設定!$C$46,ROUND(($J843-$H843)*1440,0),0))</f>
        <v/>
      </c>
      <c r="P843" s="84">
        <f>IF(OR($C843="",$I843="",$K843=""),0,IF(ROUND(($I843-$K843)*1440,0)&gt;設定!$C$46,ROUND(($I843-$K843)*1440,0),0))</f>
        <v/>
      </c>
      <c r="Q843" s="85">
        <f>IF($M843="",0,IF(($M843-IFERROR(INDEX(設定!$G$6:$G$21,MATCH($G843,設定!$B$6:$B$21,0)),0))*60&gt;=設定!$C$44,ROUND(FLOOR(($M843-IFERROR(INDEX(設定!$G$6:$G$21,MATCH($G843,設定!$B$6:$B$21,0)),0))*60,設定!$C$45)/60,2),0))</f>
        <v/>
      </c>
      <c r="R843" s="16">
        <f>IF(OR($C843="",$Q843=0),"",IF($G843="國","國定假日",IF($B843="日","例假",IF($B843="六","休息日","平日"))))</f>
        <v/>
      </c>
      <c r="S843" s="19" t="n"/>
    </row>
    <row r="844">
      <c r="A844" s="82">
        <f>IF(OR(助理班表!$A32="",5&gt;DAY(EOMONTH(DATE(設定!$C$2,設定!$D$2,1),0))),"",DATE(設定!$C$2,設定!$D$2,5))</f>
        <v/>
      </c>
      <c r="B844" s="16">
        <f>IF($A844="","",INDEX(設定!$O$6:$O$12,WEEKDAY($A844,1)))</f>
        <v/>
      </c>
      <c r="C844" s="16">
        <f>IF($A844="","",助理班表!$A32)</f>
        <v/>
      </c>
      <c r="D844" s="16">
        <f>IF($C844="","",助理班表!$B32)</f>
        <v/>
      </c>
      <c r="E844" s="16">
        <f>IF($C844="","",助理班表!$D32)</f>
        <v/>
      </c>
      <c r="F844" s="16">
        <f>IF($C844="","",助理班表!$C32)</f>
        <v/>
      </c>
      <c r="G844" s="16">
        <f>IF($C844="","",助理班表!I32)</f>
        <v/>
      </c>
      <c r="H844" s="83">
        <f>IF($G844="","",IFERROR(IF(INDEX(設定!$D$6:$D$21,MATCH($G844,設定!$B$6:$B$21,0))=0,"",INDEX(設定!$D$6:$D$21,MATCH($G844,設定!$B$6:$B$21,0))),""))</f>
        <v/>
      </c>
      <c r="I844" s="83">
        <f>IF($G844="","",IFERROR(IF(INDEX(設定!$E$6:$E$21,MATCH($G844,設定!$B$6:$B$21,0))=0,"",INDEX(設定!$E$6:$E$21,MATCH($G844,設定!$B$6:$B$21,0))),""))</f>
        <v/>
      </c>
      <c r="J844" s="83">
        <f>IFERROR(INDEX(打卡匯入!$C$3:$C$2002,MATCH($C844&amp;"|"&amp;DAY($A844),打卡匯入!$E$3:$E$2002,0)),"")</f>
        <v/>
      </c>
      <c r="K844" s="83">
        <f>IFERROR(INDEX(打卡匯入!$D$3:$D$2002,MATCH($C844&amp;"|"&amp;DAY($A844),打卡匯入!$E$3:$E$2002,0)),"")</f>
        <v/>
      </c>
      <c r="L844" s="84">
        <f>IF(OR($J844="",$K844=""),"",IFERROR(INDEX(設定!$F$6:$F$21,MATCH($G844,設定!$B$6:$B$21,0)),0))</f>
        <v/>
      </c>
      <c r="M844" s="85">
        <f>IF(OR($J844="",$K844=""),"",ROUND(($K844-$J844)*24-$L844/60,2))</f>
        <v/>
      </c>
      <c r="N844" s="16">
        <f>IF($C844="","",IF(AND(COUNTIF(設定!$B$15:$B$21,$G844)&gt;0,$J844&lt;&gt;""),"假日出勤",IF(AND(COUNTIF(設定!$B$6:$B$14,$G844)&gt;0,$J844=""),"未打卡",IF($J844="","",IF($O844&gt;0,"遲到",IF($P844&gt;0,"早退","正常"))))))</f>
        <v/>
      </c>
      <c r="O844" s="84">
        <f>IF(OR($C844="",$H844="",$J844=""),0,IF(ROUND(($J844-$H844)*1440,0)&gt;設定!$C$46,ROUND(($J844-$H844)*1440,0),0))</f>
        <v/>
      </c>
      <c r="P844" s="84">
        <f>IF(OR($C844="",$I844="",$K844=""),0,IF(ROUND(($I844-$K844)*1440,0)&gt;設定!$C$46,ROUND(($I844-$K844)*1440,0),0))</f>
        <v/>
      </c>
      <c r="Q844" s="85">
        <f>IF($M844="",0,IF(($M844-IFERROR(INDEX(設定!$G$6:$G$21,MATCH($G844,設定!$B$6:$B$21,0)),0))*60&gt;=設定!$C$44,ROUND(FLOOR(($M844-IFERROR(INDEX(設定!$G$6:$G$21,MATCH($G844,設定!$B$6:$B$21,0)),0))*60,設定!$C$45)/60,2),0))</f>
        <v/>
      </c>
      <c r="R844" s="16">
        <f>IF(OR($C844="",$Q844=0),"",IF($G844="國","國定假日",IF($B844="日","例假",IF($B844="六","休息日","平日"))))</f>
        <v/>
      </c>
      <c r="S844" s="19" t="n"/>
    </row>
    <row r="845">
      <c r="A845" s="82">
        <f>IF(OR(助理班表!$A32="",6&gt;DAY(EOMONTH(DATE(設定!$C$2,設定!$D$2,1),0))),"",DATE(設定!$C$2,設定!$D$2,6))</f>
        <v/>
      </c>
      <c r="B845" s="16">
        <f>IF($A845="","",INDEX(設定!$O$6:$O$12,WEEKDAY($A845,1)))</f>
        <v/>
      </c>
      <c r="C845" s="16">
        <f>IF($A845="","",助理班表!$A32)</f>
        <v/>
      </c>
      <c r="D845" s="16">
        <f>IF($C845="","",助理班表!$B32)</f>
        <v/>
      </c>
      <c r="E845" s="16">
        <f>IF($C845="","",助理班表!$D32)</f>
        <v/>
      </c>
      <c r="F845" s="16">
        <f>IF($C845="","",助理班表!$C32)</f>
        <v/>
      </c>
      <c r="G845" s="16">
        <f>IF($C845="","",助理班表!J32)</f>
        <v/>
      </c>
      <c r="H845" s="83">
        <f>IF($G845="","",IFERROR(IF(INDEX(設定!$D$6:$D$21,MATCH($G845,設定!$B$6:$B$21,0))=0,"",INDEX(設定!$D$6:$D$21,MATCH($G845,設定!$B$6:$B$21,0))),""))</f>
        <v/>
      </c>
      <c r="I845" s="83">
        <f>IF($G845="","",IFERROR(IF(INDEX(設定!$E$6:$E$21,MATCH($G845,設定!$B$6:$B$21,0))=0,"",INDEX(設定!$E$6:$E$21,MATCH($G845,設定!$B$6:$B$21,0))),""))</f>
        <v/>
      </c>
      <c r="J845" s="83">
        <f>IFERROR(INDEX(打卡匯入!$C$3:$C$2002,MATCH($C845&amp;"|"&amp;DAY($A845),打卡匯入!$E$3:$E$2002,0)),"")</f>
        <v/>
      </c>
      <c r="K845" s="83">
        <f>IFERROR(INDEX(打卡匯入!$D$3:$D$2002,MATCH($C845&amp;"|"&amp;DAY($A845),打卡匯入!$E$3:$E$2002,0)),"")</f>
        <v/>
      </c>
      <c r="L845" s="84">
        <f>IF(OR($J845="",$K845=""),"",IFERROR(INDEX(設定!$F$6:$F$21,MATCH($G845,設定!$B$6:$B$21,0)),0))</f>
        <v/>
      </c>
      <c r="M845" s="85">
        <f>IF(OR($J845="",$K845=""),"",ROUND(($K845-$J845)*24-$L845/60,2))</f>
        <v/>
      </c>
      <c r="N845" s="16">
        <f>IF($C845="","",IF(AND(COUNTIF(設定!$B$15:$B$21,$G845)&gt;0,$J845&lt;&gt;""),"假日出勤",IF(AND(COUNTIF(設定!$B$6:$B$14,$G845)&gt;0,$J845=""),"未打卡",IF($J845="","",IF($O845&gt;0,"遲到",IF($P845&gt;0,"早退","正常"))))))</f>
        <v/>
      </c>
      <c r="O845" s="84">
        <f>IF(OR($C845="",$H845="",$J845=""),0,IF(ROUND(($J845-$H845)*1440,0)&gt;設定!$C$46,ROUND(($J845-$H845)*1440,0),0))</f>
        <v/>
      </c>
      <c r="P845" s="84">
        <f>IF(OR($C845="",$I845="",$K845=""),0,IF(ROUND(($I845-$K845)*1440,0)&gt;設定!$C$46,ROUND(($I845-$K845)*1440,0),0))</f>
        <v/>
      </c>
      <c r="Q845" s="85">
        <f>IF($M845="",0,IF(($M845-IFERROR(INDEX(設定!$G$6:$G$21,MATCH($G845,設定!$B$6:$B$21,0)),0))*60&gt;=設定!$C$44,ROUND(FLOOR(($M845-IFERROR(INDEX(設定!$G$6:$G$21,MATCH($G845,設定!$B$6:$B$21,0)),0))*60,設定!$C$45)/60,2),0))</f>
        <v/>
      </c>
      <c r="R845" s="16">
        <f>IF(OR($C845="",$Q845=0),"",IF($G845="國","國定假日",IF($B845="日","例假",IF($B845="六","休息日","平日"))))</f>
        <v/>
      </c>
      <c r="S845" s="19" t="n"/>
    </row>
    <row r="846">
      <c r="A846" s="82">
        <f>IF(OR(助理班表!$A32="",7&gt;DAY(EOMONTH(DATE(設定!$C$2,設定!$D$2,1),0))),"",DATE(設定!$C$2,設定!$D$2,7))</f>
        <v/>
      </c>
      <c r="B846" s="16">
        <f>IF($A846="","",INDEX(設定!$O$6:$O$12,WEEKDAY($A846,1)))</f>
        <v/>
      </c>
      <c r="C846" s="16">
        <f>IF($A846="","",助理班表!$A32)</f>
        <v/>
      </c>
      <c r="D846" s="16">
        <f>IF($C846="","",助理班表!$B32)</f>
        <v/>
      </c>
      <c r="E846" s="16">
        <f>IF($C846="","",助理班表!$D32)</f>
        <v/>
      </c>
      <c r="F846" s="16">
        <f>IF($C846="","",助理班表!$C32)</f>
        <v/>
      </c>
      <c r="G846" s="16">
        <f>IF($C846="","",助理班表!K32)</f>
        <v/>
      </c>
      <c r="H846" s="83">
        <f>IF($G846="","",IFERROR(IF(INDEX(設定!$D$6:$D$21,MATCH($G846,設定!$B$6:$B$21,0))=0,"",INDEX(設定!$D$6:$D$21,MATCH($G846,設定!$B$6:$B$21,0))),""))</f>
        <v/>
      </c>
      <c r="I846" s="83">
        <f>IF($G846="","",IFERROR(IF(INDEX(設定!$E$6:$E$21,MATCH($G846,設定!$B$6:$B$21,0))=0,"",INDEX(設定!$E$6:$E$21,MATCH($G846,設定!$B$6:$B$21,0))),""))</f>
        <v/>
      </c>
      <c r="J846" s="83">
        <f>IFERROR(INDEX(打卡匯入!$C$3:$C$2002,MATCH($C846&amp;"|"&amp;DAY($A846),打卡匯入!$E$3:$E$2002,0)),"")</f>
        <v/>
      </c>
      <c r="K846" s="83">
        <f>IFERROR(INDEX(打卡匯入!$D$3:$D$2002,MATCH($C846&amp;"|"&amp;DAY($A846),打卡匯入!$E$3:$E$2002,0)),"")</f>
        <v/>
      </c>
      <c r="L846" s="84">
        <f>IF(OR($J846="",$K846=""),"",IFERROR(INDEX(設定!$F$6:$F$21,MATCH($G846,設定!$B$6:$B$21,0)),0))</f>
        <v/>
      </c>
      <c r="M846" s="85">
        <f>IF(OR($J846="",$K846=""),"",ROUND(($K846-$J846)*24-$L846/60,2))</f>
        <v/>
      </c>
      <c r="N846" s="16">
        <f>IF($C846="","",IF(AND(COUNTIF(設定!$B$15:$B$21,$G846)&gt;0,$J846&lt;&gt;""),"假日出勤",IF(AND(COUNTIF(設定!$B$6:$B$14,$G846)&gt;0,$J846=""),"未打卡",IF($J846="","",IF($O846&gt;0,"遲到",IF($P846&gt;0,"早退","正常"))))))</f>
        <v/>
      </c>
      <c r="O846" s="84">
        <f>IF(OR($C846="",$H846="",$J846=""),0,IF(ROUND(($J846-$H846)*1440,0)&gt;設定!$C$46,ROUND(($J846-$H846)*1440,0),0))</f>
        <v/>
      </c>
      <c r="P846" s="84">
        <f>IF(OR($C846="",$I846="",$K846=""),0,IF(ROUND(($I846-$K846)*1440,0)&gt;設定!$C$46,ROUND(($I846-$K846)*1440,0),0))</f>
        <v/>
      </c>
      <c r="Q846" s="85">
        <f>IF($M846="",0,IF(($M846-IFERROR(INDEX(設定!$G$6:$G$21,MATCH($G846,設定!$B$6:$B$21,0)),0))*60&gt;=設定!$C$44,ROUND(FLOOR(($M846-IFERROR(INDEX(設定!$G$6:$G$21,MATCH($G846,設定!$B$6:$B$21,0)),0))*60,設定!$C$45)/60,2),0))</f>
        <v/>
      </c>
      <c r="R846" s="16">
        <f>IF(OR($C846="",$Q846=0),"",IF($G846="國","國定假日",IF($B846="日","例假",IF($B846="六","休息日","平日"))))</f>
        <v/>
      </c>
      <c r="S846" s="19" t="n"/>
    </row>
    <row r="847">
      <c r="A847" s="82">
        <f>IF(OR(助理班表!$A32="",8&gt;DAY(EOMONTH(DATE(設定!$C$2,設定!$D$2,1),0))),"",DATE(設定!$C$2,設定!$D$2,8))</f>
        <v/>
      </c>
      <c r="B847" s="16">
        <f>IF($A847="","",INDEX(設定!$O$6:$O$12,WEEKDAY($A847,1)))</f>
        <v/>
      </c>
      <c r="C847" s="16">
        <f>IF($A847="","",助理班表!$A32)</f>
        <v/>
      </c>
      <c r="D847" s="16">
        <f>IF($C847="","",助理班表!$B32)</f>
        <v/>
      </c>
      <c r="E847" s="16">
        <f>IF($C847="","",助理班表!$D32)</f>
        <v/>
      </c>
      <c r="F847" s="16">
        <f>IF($C847="","",助理班表!$C32)</f>
        <v/>
      </c>
      <c r="G847" s="16">
        <f>IF($C847="","",助理班表!L32)</f>
        <v/>
      </c>
      <c r="H847" s="83">
        <f>IF($G847="","",IFERROR(IF(INDEX(設定!$D$6:$D$21,MATCH($G847,設定!$B$6:$B$21,0))=0,"",INDEX(設定!$D$6:$D$21,MATCH($G847,設定!$B$6:$B$21,0))),""))</f>
        <v/>
      </c>
      <c r="I847" s="83">
        <f>IF($G847="","",IFERROR(IF(INDEX(設定!$E$6:$E$21,MATCH($G847,設定!$B$6:$B$21,0))=0,"",INDEX(設定!$E$6:$E$21,MATCH($G847,設定!$B$6:$B$21,0))),""))</f>
        <v/>
      </c>
      <c r="J847" s="83">
        <f>IFERROR(INDEX(打卡匯入!$C$3:$C$2002,MATCH($C847&amp;"|"&amp;DAY($A847),打卡匯入!$E$3:$E$2002,0)),"")</f>
        <v/>
      </c>
      <c r="K847" s="83">
        <f>IFERROR(INDEX(打卡匯入!$D$3:$D$2002,MATCH($C847&amp;"|"&amp;DAY($A847),打卡匯入!$E$3:$E$2002,0)),"")</f>
        <v/>
      </c>
      <c r="L847" s="84">
        <f>IF(OR($J847="",$K847=""),"",IFERROR(INDEX(設定!$F$6:$F$21,MATCH($G847,設定!$B$6:$B$21,0)),0))</f>
        <v/>
      </c>
      <c r="M847" s="85">
        <f>IF(OR($J847="",$K847=""),"",ROUND(($K847-$J847)*24-$L847/60,2))</f>
        <v/>
      </c>
      <c r="N847" s="16">
        <f>IF($C847="","",IF(AND(COUNTIF(設定!$B$15:$B$21,$G847)&gt;0,$J847&lt;&gt;""),"假日出勤",IF(AND(COUNTIF(設定!$B$6:$B$14,$G847)&gt;0,$J847=""),"未打卡",IF($J847="","",IF($O847&gt;0,"遲到",IF($P847&gt;0,"早退","正常"))))))</f>
        <v/>
      </c>
      <c r="O847" s="84">
        <f>IF(OR($C847="",$H847="",$J847=""),0,IF(ROUND(($J847-$H847)*1440,0)&gt;設定!$C$46,ROUND(($J847-$H847)*1440,0),0))</f>
        <v/>
      </c>
      <c r="P847" s="84">
        <f>IF(OR($C847="",$I847="",$K847=""),0,IF(ROUND(($I847-$K847)*1440,0)&gt;設定!$C$46,ROUND(($I847-$K847)*1440,0),0))</f>
        <v/>
      </c>
      <c r="Q847" s="85">
        <f>IF($M847="",0,IF(($M847-IFERROR(INDEX(設定!$G$6:$G$21,MATCH($G847,設定!$B$6:$B$21,0)),0))*60&gt;=設定!$C$44,ROUND(FLOOR(($M847-IFERROR(INDEX(設定!$G$6:$G$21,MATCH($G847,設定!$B$6:$B$21,0)),0))*60,設定!$C$45)/60,2),0))</f>
        <v/>
      </c>
      <c r="R847" s="16">
        <f>IF(OR($C847="",$Q847=0),"",IF($G847="國","國定假日",IF($B847="日","例假",IF($B847="六","休息日","平日"))))</f>
        <v/>
      </c>
      <c r="S847" s="19" t="n"/>
    </row>
    <row r="848">
      <c r="A848" s="82">
        <f>IF(OR(助理班表!$A32="",9&gt;DAY(EOMONTH(DATE(設定!$C$2,設定!$D$2,1),0))),"",DATE(設定!$C$2,設定!$D$2,9))</f>
        <v/>
      </c>
      <c r="B848" s="16">
        <f>IF($A848="","",INDEX(設定!$O$6:$O$12,WEEKDAY($A848,1)))</f>
        <v/>
      </c>
      <c r="C848" s="16">
        <f>IF($A848="","",助理班表!$A32)</f>
        <v/>
      </c>
      <c r="D848" s="16">
        <f>IF($C848="","",助理班表!$B32)</f>
        <v/>
      </c>
      <c r="E848" s="16">
        <f>IF($C848="","",助理班表!$D32)</f>
        <v/>
      </c>
      <c r="F848" s="16">
        <f>IF($C848="","",助理班表!$C32)</f>
        <v/>
      </c>
      <c r="G848" s="16">
        <f>IF($C848="","",助理班表!M32)</f>
        <v/>
      </c>
      <c r="H848" s="83">
        <f>IF($G848="","",IFERROR(IF(INDEX(設定!$D$6:$D$21,MATCH($G848,設定!$B$6:$B$21,0))=0,"",INDEX(設定!$D$6:$D$21,MATCH($G848,設定!$B$6:$B$21,0))),""))</f>
        <v/>
      </c>
      <c r="I848" s="83">
        <f>IF($G848="","",IFERROR(IF(INDEX(設定!$E$6:$E$21,MATCH($G848,設定!$B$6:$B$21,0))=0,"",INDEX(設定!$E$6:$E$21,MATCH($G848,設定!$B$6:$B$21,0))),""))</f>
        <v/>
      </c>
      <c r="J848" s="83">
        <f>IFERROR(INDEX(打卡匯入!$C$3:$C$2002,MATCH($C848&amp;"|"&amp;DAY($A848),打卡匯入!$E$3:$E$2002,0)),"")</f>
        <v/>
      </c>
      <c r="K848" s="83">
        <f>IFERROR(INDEX(打卡匯入!$D$3:$D$2002,MATCH($C848&amp;"|"&amp;DAY($A848),打卡匯入!$E$3:$E$2002,0)),"")</f>
        <v/>
      </c>
      <c r="L848" s="84">
        <f>IF(OR($J848="",$K848=""),"",IFERROR(INDEX(設定!$F$6:$F$21,MATCH($G848,設定!$B$6:$B$21,0)),0))</f>
        <v/>
      </c>
      <c r="M848" s="85">
        <f>IF(OR($J848="",$K848=""),"",ROUND(($K848-$J848)*24-$L848/60,2))</f>
        <v/>
      </c>
      <c r="N848" s="16">
        <f>IF($C848="","",IF(AND(COUNTIF(設定!$B$15:$B$21,$G848)&gt;0,$J848&lt;&gt;""),"假日出勤",IF(AND(COUNTIF(設定!$B$6:$B$14,$G848)&gt;0,$J848=""),"未打卡",IF($J848="","",IF($O848&gt;0,"遲到",IF($P848&gt;0,"早退","正常"))))))</f>
        <v/>
      </c>
      <c r="O848" s="84">
        <f>IF(OR($C848="",$H848="",$J848=""),0,IF(ROUND(($J848-$H848)*1440,0)&gt;設定!$C$46,ROUND(($J848-$H848)*1440,0),0))</f>
        <v/>
      </c>
      <c r="P848" s="84">
        <f>IF(OR($C848="",$I848="",$K848=""),0,IF(ROUND(($I848-$K848)*1440,0)&gt;設定!$C$46,ROUND(($I848-$K848)*1440,0),0))</f>
        <v/>
      </c>
      <c r="Q848" s="85">
        <f>IF($M848="",0,IF(($M848-IFERROR(INDEX(設定!$G$6:$G$21,MATCH($G848,設定!$B$6:$B$21,0)),0))*60&gt;=設定!$C$44,ROUND(FLOOR(($M848-IFERROR(INDEX(設定!$G$6:$G$21,MATCH($G848,設定!$B$6:$B$21,0)),0))*60,設定!$C$45)/60,2),0))</f>
        <v/>
      </c>
      <c r="R848" s="16">
        <f>IF(OR($C848="",$Q848=0),"",IF($G848="國","國定假日",IF($B848="日","例假",IF($B848="六","休息日","平日"))))</f>
        <v/>
      </c>
      <c r="S848" s="19" t="n"/>
    </row>
    <row r="849">
      <c r="A849" s="82">
        <f>IF(OR(助理班表!$A32="",10&gt;DAY(EOMONTH(DATE(設定!$C$2,設定!$D$2,1),0))),"",DATE(設定!$C$2,設定!$D$2,10))</f>
        <v/>
      </c>
      <c r="B849" s="16">
        <f>IF($A849="","",INDEX(設定!$O$6:$O$12,WEEKDAY($A849,1)))</f>
        <v/>
      </c>
      <c r="C849" s="16">
        <f>IF($A849="","",助理班表!$A32)</f>
        <v/>
      </c>
      <c r="D849" s="16">
        <f>IF($C849="","",助理班表!$B32)</f>
        <v/>
      </c>
      <c r="E849" s="16">
        <f>IF($C849="","",助理班表!$D32)</f>
        <v/>
      </c>
      <c r="F849" s="16">
        <f>IF($C849="","",助理班表!$C32)</f>
        <v/>
      </c>
      <c r="G849" s="16">
        <f>IF($C849="","",助理班表!N32)</f>
        <v/>
      </c>
      <c r="H849" s="83">
        <f>IF($G849="","",IFERROR(IF(INDEX(設定!$D$6:$D$21,MATCH($G849,設定!$B$6:$B$21,0))=0,"",INDEX(設定!$D$6:$D$21,MATCH($G849,設定!$B$6:$B$21,0))),""))</f>
        <v/>
      </c>
      <c r="I849" s="83">
        <f>IF($G849="","",IFERROR(IF(INDEX(設定!$E$6:$E$21,MATCH($G849,設定!$B$6:$B$21,0))=0,"",INDEX(設定!$E$6:$E$21,MATCH($G849,設定!$B$6:$B$21,0))),""))</f>
        <v/>
      </c>
      <c r="J849" s="83">
        <f>IFERROR(INDEX(打卡匯入!$C$3:$C$2002,MATCH($C849&amp;"|"&amp;DAY($A849),打卡匯入!$E$3:$E$2002,0)),"")</f>
        <v/>
      </c>
      <c r="K849" s="83">
        <f>IFERROR(INDEX(打卡匯入!$D$3:$D$2002,MATCH($C849&amp;"|"&amp;DAY($A849),打卡匯入!$E$3:$E$2002,0)),"")</f>
        <v/>
      </c>
      <c r="L849" s="84">
        <f>IF(OR($J849="",$K849=""),"",IFERROR(INDEX(設定!$F$6:$F$21,MATCH($G849,設定!$B$6:$B$21,0)),0))</f>
        <v/>
      </c>
      <c r="M849" s="85">
        <f>IF(OR($J849="",$K849=""),"",ROUND(($K849-$J849)*24-$L849/60,2))</f>
        <v/>
      </c>
      <c r="N849" s="16">
        <f>IF($C849="","",IF(AND(COUNTIF(設定!$B$15:$B$21,$G849)&gt;0,$J849&lt;&gt;""),"假日出勤",IF(AND(COUNTIF(設定!$B$6:$B$14,$G849)&gt;0,$J849=""),"未打卡",IF($J849="","",IF($O849&gt;0,"遲到",IF($P849&gt;0,"早退","正常"))))))</f>
        <v/>
      </c>
      <c r="O849" s="84">
        <f>IF(OR($C849="",$H849="",$J849=""),0,IF(ROUND(($J849-$H849)*1440,0)&gt;設定!$C$46,ROUND(($J849-$H849)*1440,0),0))</f>
        <v/>
      </c>
      <c r="P849" s="84">
        <f>IF(OR($C849="",$I849="",$K849=""),0,IF(ROUND(($I849-$K849)*1440,0)&gt;設定!$C$46,ROUND(($I849-$K849)*1440,0),0))</f>
        <v/>
      </c>
      <c r="Q849" s="85">
        <f>IF($M849="",0,IF(($M849-IFERROR(INDEX(設定!$G$6:$G$21,MATCH($G849,設定!$B$6:$B$21,0)),0))*60&gt;=設定!$C$44,ROUND(FLOOR(($M849-IFERROR(INDEX(設定!$G$6:$G$21,MATCH($G849,設定!$B$6:$B$21,0)),0))*60,設定!$C$45)/60,2),0))</f>
        <v/>
      </c>
      <c r="R849" s="16">
        <f>IF(OR($C849="",$Q849=0),"",IF($G849="國","國定假日",IF($B849="日","例假",IF($B849="六","休息日","平日"))))</f>
        <v/>
      </c>
      <c r="S849" s="19" t="n"/>
    </row>
    <row r="850">
      <c r="A850" s="82">
        <f>IF(OR(助理班表!$A32="",11&gt;DAY(EOMONTH(DATE(設定!$C$2,設定!$D$2,1),0))),"",DATE(設定!$C$2,設定!$D$2,11))</f>
        <v/>
      </c>
      <c r="B850" s="16">
        <f>IF($A850="","",INDEX(設定!$O$6:$O$12,WEEKDAY($A850,1)))</f>
        <v/>
      </c>
      <c r="C850" s="16">
        <f>IF($A850="","",助理班表!$A32)</f>
        <v/>
      </c>
      <c r="D850" s="16">
        <f>IF($C850="","",助理班表!$B32)</f>
        <v/>
      </c>
      <c r="E850" s="16">
        <f>IF($C850="","",助理班表!$D32)</f>
        <v/>
      </c>
      <c r="F850" s="16">
        <f>IF($C850="","",助理班表!$C32)</f>
        <v/>
      </c>
      <c r="G850" s="16">
        <f>IF($C850="","",助理班表!O32)</f>
        <v/>
      </c>
      <c r="H850" s="83">
        <f>IF($G850="","",IFERROR(IF(INDEX(設定!$D$6:$D$21,MATCH($G850,設定!$B$6:$B$21,0))=0,"",INDEX(設定!$D$6:$D$21,MATCH($G850,設定!$B$6:$B$21,0))),""))</f>
        <v/>
      </c>
      <c r="I850" s="83">
        <f>IF($G850="","",IFERROR(IF(INDEX(設定!$E$6:$E$21,MATCH($G850,設定!$B$6:$B$21,0))=0,"",INDEX(設定!$E$6:$E$21,MATCH($G850,設定!$B$6:$B$21,0))),""))</f>
        <v/>
      </c>
      <c r="J850" s="83">
        <f>IFERROR(INDEX(打卡匯入!$C$3:$C$2002,MATCH($C850&amp;"|"&amp;DAY($A850),打卡匯入!$E$3:$E$2002,0)),"")</f>
        <v/>
      </c>
      <c r="K850" s="83">
        <f>IFERROR(INDEX(打卡匯入!$D$3:$D$2002,MATCH($C850&amp;"|"&amp;DAY($A850),打卡匯入!$E$3:$E$2002,0)),"")</f>
        <v/>
      </c>
      <c r="L850" s="84">
        <f>IF(OR($J850="",$K850=""),"",IFERROR(INDEX(設定!$F$6:$F$21,MATCH($G850,設定!$B$6:$B$21,0)),0))</f>
        <v/>
      </c>
      <c r="M850" s="85">
        <f>IF(OR($J850="",$K850=""),"",ROUND(($K850-$J850)*24-$L850/60,2))</f>
        <v/>
      </c>
      <c r="N850" s="16">
        <f>IF($C850="","",IF(AND(COUNTIF(設定!$B$15:$B$21,$G850)&gt;0,$J850&lt;&gt;""),"假日出勤",IF(AND(COUNTIF(設定!$B$6:$B$14,$G850)&gt;0,$J850=""),"未打卡",IF($J850="","",IF($O850&gt;0,"遲到",IF($P850&gt;0,"早退","正常"))))))</f>
        <v/>
      </c>
      <c r="O850" s="84">
        <f>IF(OR($C850="",$H850="",$J850=""),0,IF(ROUND(($J850-$H850)*1440,0)&gt;設定!$C$46,ROUND(($J850-$H850)*1440,0),0))</f>
        <v/>
      </c>
      <c r="P850" s="84">
        <f>IF(OR($C850="",$I850="",$K850=""),0,IF(ROUND(($I850-$K850)*1440,0)&gt;設定!$C$46,ROUND(($I850-$K850)*1440,0),0))</f>
        <v/>
      </c>
      <c r="Q850" s="85">
        <f>IF($M850="",0,IF(($M850-IFERROR(INDEX(設定!$G$6:$G$21,MATCH($G850,設定!$B$6:$B$21,0)),0))*60&gt;=設定!$C$44,ROUND(FLOOR(($M850-IFERROR(INDEX(設定!$G$6:$G$21,MATCH($G850,設定!$B$6:$B$21,0)),0))*60,設定!$C$45)/60,2),0))</f>
        <v/>
      </c>
      <c r="R850" s="16">
        <f>IF(OR($C850="",$Q850=0),"",IF($G850="國","國定假日",IF($B850="日","例假",IF($B850="六","休息日","平日"))))</f>
        <v/>
      </c>
      <c r="S850" s="19" t="n"/>
    </row>
    <row r="851">
      <c r="A851" s="82">
        <f>IF(OR(助理班表!$A32="",12&gt;DAY(EOMONTH(DATE(設定!$C$2,設定!$D$2,1),0))),"",DATE(設定!$C$2,設定!$D$2,12))</f>
        <v/>
      </c>
      <c r="B851" s="16">
        <f>IF($A851="","",INDEX(設定!$O$6:$O$12,WEEKDAY($A851,1)))</f>
        <v/>
      </c>
      <c r="C851" s="16">
        <f>IF($A851="","",助理班表!$A32)</f>
        <v/>
      </c>
      <c r="D851" s="16">
        <f>IF($C851="","",助理班表!$B32)</f>
        <v/>
      </c>
      <c r="E851" s="16">
        <f>IF($C851="","",助理班表!$D32)</f>
        <v/>
      </c>
      <c r="F851" s="16">
        <f>IF($C851="","",助理班表!$C32)</f>
        <v/>
      </c>
      <c r="G851" s="16">
        <f>IF($C851="","",助理班表!P32)</f>
        <v/>
      </c>
      <c r="H851" s="83">
        <f>IF($G851="","",IFERROR(IF(INDEX(設定!$D$6:$D$21,MATCH($G851,設定!$B$6:$B$21,0))=0,"",INDEX(設定!$D$6:$D$21,MATCH($G851,設定!$B$6:$B$21,0))),""))</f>
        <v/>
      </c>
      <c r="I851" s="83">
        <f>IF($G851="","",IFERROR(IF(INDEX(設定!$E$6:$E$21,MATCH($G851,設定!$B$6:$B$21,0))=0,"",INDEX(設定!$E$6:$E$21,MATCH($G851,設定!$B$6:$B$21,0))),""))</f>
        <v/>
      </c>
      <c r="J851" s="83">
        <f>IFERROR(INDEX(打卡匯入!$C$3:$C$2002,MATCH($C851&amp;"|"&amp;DAY($A851),打卡匯入!$E$3:$E$2002,0)),"")</f>
        <v/>
      </c>
      <c r="K851" s="83">
        <f>IFERROR(INDEX(打卡匯入!$D$3:$D$2002,MATCH($C851&amp;"|"&amp;DAY($A851),打卡匯入!$E$3:$E$2002,0)),"")</f>
        <v/>
      </c>
      <c r="L851" s="84">
        <f>IF(OR($J851="",$K851=""),"",IFERROR(INDEX(設定!$F$6:$F$21,MATCH($G851,設定!$B$6:$B$21,0)),0))</f>
        <v/>
      </c>
      <c r="M851" s="85">
        <f>IF(OR($J851="",$K851=""),"",ROUND(($K851-$J851)*24-$L851/60,2))</f>
        <v/>
      </c>
      <c r="N851" s="16">
        <f>IF($C851="","",IF(AND(COUNTIF(設定!$B$15:$B$21,$G851)&gt;0,$J851&lt;&gt;""),"假日出勤",IF(AND(COUNTIF(設定!$B$6:$B$14,$G851)&gt;0,$J851=""),"未打卡",IF($J851="","",IF($O851&gt;0,"遲到",IF($P851&gt;0,"早退","正常"))))))</f>
        <v/>
      </c>
      <c r="O851" s="84">
        <f>IF(OR($C851="",$H851="",$J851=""),0,IF(ROUND(($J851-$H851)*1440,0)&gt;設定!$C$46,ROUND(($J851-$H851)*1440,0),0))</f>
        <v/>
      </c>
      <c r="P851" s="84">
        <f>IF(OR($C851="",$I851="",$K851=""),0,IF(ROUND(($I851-$K851)*1440,0)&gt;設定!$C$46,ROUND(($I851-$K851)*1440,0),0))</f>
        <v/>
      </c>
      <c r="Q851" s="85">
        <f>IF($M851="",0,IF(($M851-IFERROR(INDEX(設定!$G$6:$G$21,MATCH($G851,設定!$B$6:$B$21,0)),0))*60&gt;=設定!$C$44,ROUND(FLOOR(($M851-IFERROR(INDEX(設定!$G$6:$G$21,MATCH($G851,設定!$B$6:$B$21,0)),0))*60,設定!$C$45)/60,2),0))</f>
        <v/>
      </c>
      <c r="R851" s="16">
        <f>IF(OR($C851="",$Q851=0),"",IF($G851="國","國定假日",IF($B851="日","例假",IF($B851="六","休息日","平日"))))</f>
        <v/>
      </c>
      <c r="S851" s="19" t="n"/>
    </row>
    <row r="852">
      <c r="A852" s="82">
        <f>IF(OR(助理班表!$A32="",13&gt;DAY(EOMONTH(DATE(設定!$C$2,設定!$D$2,1),0))),"",DATE(設定!$C$2,設定!$D$2,13))</f>
        <v/>
      </c>
      <c r="B852" s="16">
        <f>IF($A852="","",INDEX(設定!$O$6:$O$12,WEEKDAY($A852,1)))</f>
        <v/>
      </c>
      <c r="C852" s="16">
        <f>IF($A852="","",助理班表!$A32)</f>
        <v/>
      </c>
      <c r="D852" s="16">
        <f>IF($C852="","",助理班表!$B32)</f>
        <v/>
      </c>
      <c r="E852" s="16">
        <f>IF($C852="","",助理班表!$D32)</f>
        <v/>
      </c>
      <c r="F852" s="16">
        <f>IF($C852="","",助理班表!$C32)</f>
        <v/>
      </c>
      <c r="G852" s="16">
        <f>IF($C852="","",助理班表!Q32)</f>
        <v/>
      </c>
      <c r="H852" s="83">
        <f>IF($G852="","",IFERROR(IF(INDEX(設定!$D$6:$D$21,MATCH($G852,設定!$B$6:$B$21,0))=0,"",INDEX(設定!$D$6:$D$21,MATCH($G852,設定!$B$6:$B$21,0))),""))</f>
        <v/>
      </c>
      <c r="I852" s="83">
        <f>IF($G852="","",IFERROR(IF(INDEX(設定!$E$6:$E$21,MATCH($G852,設定!$B$6:$B$21,0))=0,"",INDEX(設定!$E$6:$E$21,MATCH($G852,設定!$B$6:$B$21,0))),""))</f>
        <v/>
      </c>
      <c r="J852" s="83">
        <f>IFERROR(INDEX(打卡匯入!$C$3:$C$2002,MATCH($C852&amp;"|"&amp;DAY($A852),打卡匯入!$E$3:$E$2002,0)),"")</f>
        <v/>
      </c>
      <c r="K852" s="83">
        <f>IFERROR(INDEX(打卡匯入!$D$3:$D$2002,MATCH($C852&amp;"|"&amp;DAY($A852),打卡匯入!$E$3:$E$2002,0)),"")</f>
        <v/>
      </c>
      <c r="L852" s="84">
        <f>IF(OR($J852="",$K852=""),"",IFERROR(INDEX(設定!$F$6:$F$21,MATCH($G852,設定!$B$6:$B$21,0)),0))</f>
        <v/>
      </c>
      <c r="M852" s="85">
        <f>IF(OR($J852="",$K852=""),"",ROUND(($K852-$J852)*24-$L852/60,2))</f>
        <v/>
      </c>
      <c r="N852" s="16">
        <f>IF($C852="","",IF(AND(COUNTIF(設定!$B$15:$B$21,$G852)&gt;0,$J852&lt;&gt;""),"假日出勤",IF(AND(COUNTIF(設定!$B$6:$B$14,$G852)&gt;0,$J852=""),"未打卡",IF($J852="","",IF($O852&gt;0,"遲到",IF($P852&gt;0,"早退","正常"))))))</f>
        <v/>
      </c>
      <c r="O852" s="84">
        <f>IF(OR($C852="",$H852="",$J852=""),0,IF(ROUND(($J852-$H852)*1440,0)&gt;設定!$C$46,ROUND(($J852-$H852)*1440,0),0))</f>
        <v/>
      </c>
      <c r="P852" s="84">
        <f>IF(OR($C852="",$I852="",$K852=""),0,IF(ROUND(($I852-$K852)*1440,0)&gt;設定!$C$46,ROUND(($I852-$K852)*1440,0),0))</f>
        <v/>
      </c>
      <c r="Q852" s="85">
        <f>IF($M852="",0,IF(($M852-IFERROR(INDEX(設定!$G$6:$G$21,MATCH($G852,設定!$B$6:$B$21,0)),0))*60&gt;=設定!$C$44,ROUND(FLOOR(($M852-IFERROR(INDEX(設定!$G$6:$G$21,MATCH($G852,設定!$B$6:$B$21,0)),0))*60,設定!$C$45)/60,2),0))</f>
        <v/>
      </c>
      <c r="R852" s="16">
        <f>IF(OR($C852="",$Q852=0),"",IF($G852="國","國定假日",IF($B852="日","例假",IF($B852="六","休息日","平日"))))</f>
        <v/>
      </c>
      <c r="S852" s="19" t="n"/>
    </row>
    <row r="853">
      <c r="A853" s="82">
        <f>IF(OR(助理班表!$A32="",14&gt;DAY(EOMONTH(DATE(設定!$C$2,設定!$D$2,1),0))),"",DATE(設定!$C$2,設定!$D$2,14))</f>
        <v/>
      </c>
      <c r="B853" s="16">
        <f>IF($A853="","",INDEX(設定!$O$6:$O$12,WEEKDAY($A853,1)))</f>
        <v/>
      </c>
      <c r="C853" s="16">
        <f>IF($A853="","",助理班表!$A32)</f>
        <v/>
      </c>
      <c r="D853" s="16">
        <f>IF($C853="","",助理班表!$B32)</f>
        <v/>
      </c>
      <c r="E853" s="16">
        <f>IF($C853="","",助理班表!$D32)</f>
        <v/>
      </c>
      <c r="F853" s="16">
        <f>IF($C853="","",助理班表!$C32)</f>
        <v/>
      </c>
      <c r="G853" s="16">
        <f>IF($C853="","",助理班表!R32)</f>
        <v/>
      </c>
      <c r="H853" s="83">
        <f>IF($G853="","",IFERROR(IF(INDEX(設定!$D$6:$D$21,MATCH($G853,設定!$B$6:$B$21,0))=0,"",INDEX(設定!$D$6:$D$21,MATCH($G853,設定!$B$6:$B$21,0))),""))</f>
        <v/>
      </c>
      <c r="I853" s="83">
        <f>IF($G853="","",IFERROR(IF(INDEX(設定!$E$6:$E$21,MATCH($G853,設定!$B$6:$B$21,0))=0,"",INDEX(設定!$E$6:$E$21,MATCH($G853,設定!$B$6:$B$21,0))),""))</f>
        <v/>
      </c>
      <c r="J853" s="83">
        <f>IFERROR(INDEX(打卡匯入!$C$3:$C$2002,MATCH($C853&amp;"|"&amp;DAY($A853),打卡匯入!$E$3:$E$2002,0)),"")</f>
        <v/>
      </c>
      <c r="K853" s="83">
        <f>IFERROR(INDEX(打卡匯入!$D$3:$D$2002,MATCH($C853&amp;"|"&amp;DAY($A853),打卡匯入!$E$3:$E$2002,0)),"")</f>
        <v/>
      </c>
      <c r="L853" s="84">
        <f>IF(OR($J853="",$K853=""),"",IFERROR(INDEX(設定!$F$6:$F$21,MATCH($G853,設定!$B$6:$B$21,0)),0))</f>
        <v/>
      </c>
      <c r="M853" s="85">
        <f>IF(OR($J853="",$K853=""),"",ROUND(($K853-$J853)*24-$L853/60,2))</f>
        <v/>
      </c>
      <c r="N853" s="16">
        <f>IF($C853="","",IF(AND(COUNTIF(設定!$B$15:$B$21,$G853)&gt;0,$J853&lt;&gt;""),"假日出勤",IF(AND(COUNTIF(設定!$B$6:$B$14,$G853)&gt;0,$J853=""),"未打卡",IF($J853="","",IF($O853&gt;0,"遲到",IF($P853&gt;0,"早退","正常"))))))</f>
        <v/>
      </c>
      <c r="O853" s="84">
        <f>IF(OR($C853="",$H853="",$J853=""),0,IF(ROUND(($J853-$H853)*1440,0)&gt;設定!$C$46,ROUND(($J853-$H853)*1440,0),0))</f>
        <v/>
      </c>
      <c r="P853" s="84">
        <f>IF(OR($C853="",$I853="",$K853=""),0,IF(ROUND(($I853-$K853)*1440,0)&gt;設定!$C$46,ROUND(($I853-$K853)*1440,0),0))</f>
        <v/>
      </c>
      <c r="Q853" s="85">
        <f>IF($M853="",0,IF(($M853-IFERROR(INDEX(設定!$G$6:$G$21,MATCH($G853,設定!$B$6:$B$21,0)),0))*60&gt;=設定!$C$44,ROUND(FLOOR(($M853-IFERROR(INDEX(設定!$G$6:$G$21,MATCH($G853,設定!$B$6:$B$21,0)),0))*60,設定!$C$45)/60,2),0))</f>
        <v/>
      </c>
      <c r="R853" s="16">
        <f>IF(OR($C853="",$Q853=0),"",IF($G853="國","國定假日",IF($B853="日","例假",IF($B853="六","休息日","平日"))))</f>
        <v/>
      </c>
      <c r="S853" s="19" t="n"/>
    </row>
    <row r="854">
      <c r="A854" s="82">
        <f>IF(OR(助理班表!$A32="",15&gt;DAY(EOMONTH(DATE(設定!$C$2,設定!$D$2,1),0))),"",DATE(設定!$C$2,設定!$D$2,15))</f>
        <v/>
      </c>
      <c r="B854" s="16">
        <f>IF($A854="","",INDEX(設定!$O$6:$O$12,WEEKDAY($A854,1)))</f>
        <v/>
      </c>
      <c r="C854" s="16">
        <f>IF($A854="","",助理班表!$A32)</f>
        <v/>
      </c>
      <c r="D854" s="16">
        <f>IF($C854="","",助理班表!$B32)</f>
        <v/>
      </c>
      <c r="E854" s="16">
        <f>IF($C854="","",助理班表!$D32)</f>
        <v/>
      </c>
      <c r="F854" s="16">
        <f>IF($C854="","",助理班表!$C32)</f>
        <v/>
      </c>
      <c r="G854" s="16">
        <f>IF($C854="","",助理班表!S32)</f>
        <v/>
      </c>
      <c r="H854" s="83">
        <f>IF($G854="","",IFERROR(IF(INDEX(設定!$D$6:$D$21,MATCH($G854,設定!$B$6:$B$21,0))=0,"",INDEX(設定!$D$6:$D$21,MATCH($G854,設定!$B$6:$B$21,0))),""))</f>
        <v/>
      </c>
      <c r="I854" s="83">
        <f>IF($G854="","",IFERROR(IF(INDEX(設定!$E$6:$E$21,MATCH($G854,設定!$B$6:$B$21,0))=0,"",INDEX(設定!$E$6:$E$21,MATCH($G854,設定!$B$6:$B$21,0))),""))</f>
        <v/>
      </c>
      <c r="J854" s="83">
        <f>IFERROR(INDEX(打卡匯入!$C$3:$C$2002,MATCH($C854&amp;"|"&amp;DAY($A854),打卡匯入!$E$3:$E$2002,0)),"")</f>
        <v/>
      </c>
      <c r="K854" s="83">
        <f>IFERROR(INDEX(打卡匯入!$D$3:$D$2002,MATCH($C854&amp;"|"&amp;DAY($A854),打卡匯入!$E$3:$E$2002,0)),"")</f>
        <v/>
      </c>
      <c r="L854" s="84">
        <f>IF(OR($J854="",$K854=""),"",IFERROR(INDEX(設定!$F$6:$F$21,MATCH($G854,設定!$B$6:$B$21,0)),0))</f>
        <v/>
      </c>
      <c r="M854" s="85">
        <f>IF(OR($J854="",$K854=""),"",ROUND(($K854-$J854)*24-$L854/60,2))</f>
        <v/>
      </c>
      <c r="N854" s="16">
        <f>IF($C854="","",IF(AND(COUNTIF(設定!$B$15:$B$21,$G854)&gt;0,$J854&lt;&gt;""),"假日出勤",IF(AND(COUNTIF(設定!$B$6:$B$14,$G854)&gt;0,$J854=""),"未打卡",IF($J854="","",IF($O854&gt;0,"遲到",IF($P854&gt;0,"早退","正常"))))))</f>
        <v/>
      </c>
      <c r="O854" s="84">
        <f>IF(OR($C854="",$H854="",$J854=""),0,IF(ROUND(($J854-$H854)*1440,0)&gt;設定!$C$46,ROUND(($J854-$H854)*1440,0),0))</f>
        <v/>
      </c>
      <c r="P854" s="84">
        <f>IF(OR($C854="",$I854="",$K854=""),0,IF(ROUND(($I854-$K854)*1440,0)&gt;設定!$C$46,ROUND(($I854-$K854)*1440,0),0))</f>
        <v/>
      </c>
      <c r="Q854" s="85">
        <f>IF($M854="",0,IF(($M854-IFERROR(INDEX(設定!$G$6:$G$21,MATCH($G854,設定!$B$6:$B$21,0)),0))*60&gt;=設定!$C$44,ROUND(FLOOR(($M854-IFERROR(INDEX(設定!$G$6:$G$21,MATCH($G854,設定!$B$6:$B$21,0)),0))*60,設定!$C$45)/60,2),0))</f>
        <v/>
      </c>
      <c r="R854" s="16">
        <f>IF(OR($C854="",$Q854=0),"",IF($G854="國","國定假日",IF($B854="日","例假",IF($B854="六","休息日","平日"))))</f>
        <v/>
      </c>
      <c r="S854" s="19" t="n"/>
    </row>
    <row r="855">
      <c r="A855" s="82">
        <f>IF(OR(助理班表!$A32="",16&gt;DAY(EOMONTH(DATE(設定!$C$2,設定!$D$2,1),0))),"",DATE(設定!$C$2,設定!$D$2,16))</f>
        <v/>
      </c>
      <c r="B855" s="16">
        <f>IF($A855="","",INDEX(設定!$O$6:$O$12,WEEKDAY($A855,1)))</f>
        <v/>
      </c>
      <c r="C855" s="16">
        <f>IF($A855="","",助理班表!$A32)</f>
        <v/>
      </c>
      <c r="D855" s="16">
        <f>IF($C855="","",助理班表!$B32)</f>
        <v/>
      </c>
      <c r="E855" s="16">
        <f>IF($C855="","",助理班表!$D32)</f>
        <v/>
      </c>
      <c r="F855" s="16">
        <f>IF($C855="","",助理班表!$C32)</f>
        <v/>
      </c>
      <c r="G855" s="16">
        <f>IF($C855="","",助理班表!T32)</f>
        <v/>
      </c>
      <c r="H855" s="83">
        <f>IF($G855="","",IFERROR(IF(INDEX(設定!$D$6:$D$21,MATCH($G855,設定!$B$6:$B$21,0))=0,"",INDEX(設定!$D$6:$D$21,MATCH($G855,設定!$B$6:$B$21,0))),""))</f>
        <v/>
      </c>
      <c r="I855" s="83">
        <f>IF($G855="","",IFERROR(IF(INDEX(設定!$E$6:$E$21,MATCH($G855,設定!$B$6:$B$21,0))=0,"",INDEX(設定!$E$6:$E$21,MATCH($G855,設定!$B$6:$B$21,0))),""))</f>
        <v/>
      </c>
      <c r="J855" s="83">
        <f>IFERROR(INDEX(打卡匯入!$C$3:$C$2002,MATCH($C855&amp;"|"&amp;DAY($A855),打卡匯入!$E$3:$E$2002,0)),"")</f>
        <v/>
      </c>
      <c r="K855" s="83">
        <f>IFERROR(INDEX(打卡匯入!$D$3:$D$2002,MATCH($C855&amp;"|"&amp;DAY($A855),打卡匯入!$E$3:$E$2002,0)),"")</f>
        <v/>
      </c>
      <c r="L855" s="84">
        <f>IF(OR($J855="",$K855=""),"",IFERROR(INDEX(設定!$F$6:$F$21,MATCH($G855,設定!$B$6:$B$21,0)),0))</f>
        <v/>
      </c>
      <c r="M855" s="85">
        <f>IF(OR($J855="",$K855=""),"",ROUND(($K855-$J855)*24-$L855/60,2))</f>
        <v/>
      </c>
      <c r="N855" s="16">
        <f>IF($C855="","",IF(AND(COUNTIF(設定!$B$15:$B$21,$G855)&gt;0,$J855&lt;&gt;""),"假日出勤",IF(AND(COUNTIF(設定!$B$6:$B$14,$G855)&gt;0,$J855=""),"未打卡",IF($J855="","",IF($O855&gt;0,"遲到",IF($P855&gt;0,"早退","正常"))))))</f>
        <v/>
      </c>
      <c r="O855" s="84">
        <f>IF(OR($C855="",$H855="",$J855=""),0,IF(ROUND(($J855-$H855)*1440,0)&gt;設定!$C$46,ROUND(($J855-$H855)*1440,0),0))</f>
        <v/>
      </c>
      <c r="P855" s="84">
        <f>IF(OR($C855="",$I855="",$K855=""),0,IF(ROUND(($I855-$K855)*1440,0)&gt;設定!$C$46,ROUND(($I855-$K855)*1440,0),0))</f>
        <v/>
      </c>
      <c r="Q855" s="85">
        <f>IF($M855="",0,IF(($M855-IFERROR(INDEX(設定!$G$6:$G$21,MATCH($G855,設定!$B$6:$B$21,0)),0))*60&gt;=設定!$C$44,ROUND(FLOOR(($M855-IFERROR(INDEX(設定!$G$6:$G$21,MATCH($G855,設定!$B$6:$B$21,0)),0))*60,設定!$C$45)/60,2),0))</f>
        <v/>
      </c>
      <c r="R855" s="16">
        <f>IF(OR($C855="",$Q855=0),"",IF($G855="國","國定假日",IF($B855="日","例假",IF($B855="六","休息日","平日"))))</f>
        <v/>
      </c>
      <c r="S855" s="19" t="n"/>
    </row>
    <row r="856">
      <c r="A856" s="82">
        <f>IF(OR(助理班表!$A32="",17&gt;DAY(EOMONTH(DATE(設定!$C$2,設定!$D$2,1),0))),"",DATE(設定!$C$2,設定!$D$2,17))</f>
        <v/>
      </c>
      <c r="B856" s="16">
        <f>IF($A856="","",INDEX(設定!$O$6:$O$12,WEEKDAY($A856,1)))</f>
        <v/>
      </c>
      <c r="C856" s="16">
        <f>IF($A856="","",助理班表!$A32)</f>
        <v/>
      </c>
      <c r="D856" s="16">
        <f>IF($C856="","",助理班表!$B32)</f>
        <v/>
      </c>
      <c r="E856" s="16">
        <f>IF($C856="","",助理班表!$D32)</f>
        <v/>
      </c>
      <c r="F856" s="16">
        <f>IF($C856="","",助理班表!$C32)</f>
        <v/>
      </c>
      <c r="G856" s="16">
        <f>IF($C856="","",助理班表!U32)</f>
        <v/>
      </c>
      <c r="H856" s="83">
        <f>IF($G856="","",IFERROR(IF(INDEX(設定!$D$6:$D$21,MATCH($G856,設定!$B$6:$B$21,0))=0,"",INDEX(設定!$D$6:$D$21,MATCH($G856,設定!$B$6:$B$21,0))),""))</f>
        <v/>
      </c>
      <c r="I856" s="83">
        <f>IF($G856="","",IFERROR(IF(INDEX(設定!$E$6:$E$21,MATCH($G856,設定!$B$6:$B$21,0))=0,"",INDEX(設定!$E$6:$E$21,MATCH($G856,設定!$B$6:$B$21,0))),""))</f>
        <v/>
      </c>
      <c r="J856" s="83">
        <f>IFERROR(INDEX(打卡匯入!$C$3:$C$2002,MATCH($C856&amp;"|"&amp;DAY($A856),打卡匯入!$E$3:$E$2002,0)),"")</f>
        <v/>
      </c>
      <c r="K856" s="83">
        <f>IFERROR(INDEX(打卡匯入!$D$3:$D$2002,MATCH($C856&amp;"|"&amp;DAY($A856),打卡匯入!$E$3:$E$2002,0)),"")</f>
        <v/>
      </c>
      <c r="L856" s="84">
        <f>IF(OR($J856="",$K856=""),"",IFERROR(INDEX(設定!$F$6:$F$21,MATCH($G856,設定!$B$6:$B$21,0)),0))</f>
        <v/>
      </c>
      <c r="M856" s="85">
        <f>IF(OR($J856="",$K856=""),"",ROUND(($K856-$J856)*24-$L856/60,2))</f>
        <v/>
      </c>
      <c r="N856" s="16">
        <f>IF($C856="","",IF(AND(COUNTIF(設定!$B$15:$B$21,$G856)&gt;0,$J856&lt;&gt;""),"假日出勤",IF(AND(COUNTIF(設定!$B$6:$B$14,$G856)&gt;0,$J856=""),"未打卡",IF($J856="","",IF($O856&gt;0,"遲到",IF($P856&gt;0,"早退","正常"))))))</f>
        <v/>
      </c>
      <c r="O856" s="84">
        <f>IF(OR($C856="",$H856="",$J856=""),0,IF(ROUND(($J856-$H856)*1440,0)&gt;設定!$C$46,ROUND(($J856-$H856)*1440,0),0))</f>
        <v/>
      </c>
      <c r="P856" s="84">
        <f>IF(OR($C856="",$I856="",$K856=""),0,IF(ROUND(($I856-$K856)*1440,0)&gt;設定!$C$46,ROUND(($I856-$K856)*1440,0),0))</f>
        <v/>
      </c>
      <c r="Q856" s="85">
        <f>IF($M856="",0,IF(($M856-IFERROR(INDEX(設定!$G$6:$G$21,MATCH($G856,設定!$B$6:$B$21,0)),0))*60&gt;=設定!$C$44,ROUND(FLOOR(($M856-IFERROR(INDEX(設定!$G$6:$G$21,MATCH($G856,設定!$B$6:$B$21,0)),0))*60,設定!$C$45)/60,2),0))</f>
        <v/>
      </c>
      <c r="R856" s="16">
        <f>IF(OR($C856="",$Q856=0),"",IF($G856="國","國定假日",IF($B856="日","例假",IF($B856="六","休息日","平日"))))</f>
        <v/>
      </c>
      <c r="S856" s="19" t="n"/>
    </row>
    <row r="857">
      <c r="A857" s="82">
        <f>IF(OR(助理班表!$A32="",18&gt;DAY(EOMONTH(DATE(設定!$C$2,設定!$D$2,1),0))),"",DATE(設定!$C$2,設定!$D$2,18))</f>
        <v/>
      </c>
      <c r="B857" s="16">
        <f>IF($A857="","",INDEX(設定!$O$6:$O$12,WEEKDAY($A857,1)))</f>
        <v/>
      </c>
      <c r="C857" s="16">
        <f>IF($A857="","",助理班表!$A32)</f>
        <v/>
      </c>
      <c r="D857" s="16">
        <f>IF($C857="","",助理班表!$B32)</f>
        <v/>
      </c>
      <c r="E857" s="16">
        <f>IF($C857="","",助理班表!$D32)</f>
        <v/>
      </c>
      <c r="F857" s="16">
        <f>IF($C857="","",助理班表!$C32)</f>
        <v/>
      </c>
      <c r="G857" s="16">
        <f>IF($C857="","",助理班表!V32)</f>
        <v/>
      </c>
      <c r="H857" s="83">
        <f>IF($G857="","",IFERROR(IF(INDEX(設定!$D$6:$D$21,MATCH($G857,設定!$B$6:$B$21,0))=0,"",INDEX(設定!$D$6:$D$21,MATCH($G857,設定!$B$6:$B$21,0))),""))</f>
        <v/>
      </c>
      <c r="I857" s="83">
        <f>IF($G857="","",IFERROR(IF(INDEX(設定!$E$6:$E$21,MATCH($G857,設定!$B$6:$B$21,0))=0,"",INDEX(設定!$E$6:$E$21,MATCH($G857,設定!$B$6:$B$21,0))),""))</f>
        <v/>
      </c>
      <c r="J857" s="83">
        <f>IFERROR(INDEX(打卡匯入!$C$3:$C$2002,MATCH($C857&amp;"|"&amp;DAY($A857),打卡匯入!$E$3:$E$2002,0)),"")</f>
        <v/>
      </c>
      <c r="K857" s="83">
        <f>IFERROR(INDEX(打卡匯入!$D$3:$D$2002,MATCH($C857&amp;"|"&amp;DAY($A857),打卡匯入!$E$3:$E$2002,0)),"")</f>
        <v/>
      </c>
      <c r="L857" s="84">
        <f>IF(OR($J857="",$K857=""),"",IFERROR(INDEX(設定!$F$6:$F$21,MATCH($G857,設定!$B$6:$B$21,0)),0))</f>
        <v/>
      </c>
      <c r="M857" s="85">
        <f>IF(OR($J857="",$K857=""),"",ROUND(($K857-$J857)*24-$L857/60,2))</f>
        <v/>
      </c>
      <c r="N857" s="16">
        <f>IF($C857="","",IF(AND(COUNTIF(設定!$B$15:$B$21,$G857)&gt;0,$J857&lt;&gt;""),"假日出勤",IF(AND(COUNTIF(設定!$B$6:$B$14,$G857)&gt;0,$J857=""),"未打卡",IF($J857="","",IF($O857&gt;0,"遲到",IF($P857&gt;0,"早退","正常"))))))</f>
        <v/>
      </c>
      <c r="O857" s="84">
        <f>IF(OR($C857="",$H857="",$J857=""),0,IF(ROUND(($J857-$H857)*1440,0)&gt;設定!$C$46,ROUND(($J857-$H857)*1440,0),0))</f>
        <v/>
      </c>
      <c r="P857" s="84">
        <f>IF(OR($C857="",$I857="",$K857=""),0,IF(ROUND(($I857-$K857)*1440,0)&gt;設定!$C$46,ROUND(($I857-$K857)*1440,0),0))</f>
        <v/>
      </c>
      <c r="Q857" s="85">
        <f>IF($M857="",0,IF(($M857-IFERROR(INDEX(設定!$G$6:$G$21,MATCH($G857,設定!$B$6:$B$21,0)),0))*60&gt;=設定!$C$44,ROUND(FLOOR(($M857-IFERROR(INDEX(設定!$G$6:$G$21,MATCH($G857,設定!$B$6:$B$21,0)),0))*60,設定!$C$45)/60,2),0))</f>
        <v/>
      </c>
      <c r="R857" s="16">
        <f>IF(OR($C857="",$Q857=0),"",IF($G857="國","國定假日",IF($B857="日","例假",IF($B857="六","休息日","平日"))))</f>
        <v/>
      </c>
      <c r="S857" s="19" t="n"/>
    </row>
    <row r="858">
      <c r="A858" s="82">
        <f>IF(OR(助理班表!$A32="",19&gt;DAY(EOMONTH(DATE(設定!$C$2,設定!$D$2,1),0))),"",DATE(設定!$C$2,設定!$D$2,19))</f>
        <v/>
      </c>
      <c r="B858" s="16">
        <f>IF($A858="","",INDEX(設定!$O$6:$O$12,WEEKDAY($A858,1)))</f>
        <v/>
      </c>
      <c r="C858" s="16">
        <f>IF($A858="","",助理班表!$A32)</f>
        <v/>
      </c>
      <c r="D858" s="16">
        <f>IF($C858="","",助理班表!$B32)</f>
        <v/>
      </c>
      <c r="E858" s="16">
        <f>IF($C858="","",助理班表!$D32)</f>
        <v/>
      </c>
      <c r="F858" s="16">
        <f>IF($C858="","",助理班表!$C32)</f>
        <v/>
      </c>
      <c r="G858" s="16">
        <f>IF($C858="","",助理班表!W32)</f>
        <v/>
      </c>
      <c r="H858" s="83">
        <f>IF($G858="","",IFERROR(IF(INDEX(設定!$D$6:$D$21,MATCH($G858,設定!$B$6:$B$21,0))=0,"",INDEX(設定!$D$6:$D$21,MATCH($G858,設定!$B$6:$B$21,0))),""))</f>
        <v/>
      </c>
      <c r="I858" s="83">
        <f>IF($G858="","",IFERROR(IF(INDEX(設定!$E$6:$E$21,MATCH($G858,設定!$B$6:$B$21,0))=0,"",INDEX(設定!$E$6:$E$21,MATCH($G858,設定!$B$6:$B$21,0))),""))</f>
        <v/>
      </c>
      <c r="J858" s="83">
        <f>IFERROR(INDEX(打卡匯入!$C$3:$C$2002,MATCH($C858&amp;"|"&amp;DAY($A858),打卡匯入!$E$3:$E$2002,0)),"")</f>
        <v/>
      </c>
      <c r="K858" s="83">
        <f>IFERROR(INDEX(打卡匯入!$D$3:$D$2002,MATCH($C858&amp;"|"&amp;DAY($A858),打卡匯入!$E$3:$E$2002,0)),"")</f>
        <v/>
      </c>
      <c r="L858" s="84">
        <f>IF(OR($J858="",$K858=""),"",IFERROR(INDEX(設定!$F$6:$F$21,MATCH($G858,設定!$B$6:$B$21,0)),0))</f>
        <v/>
      </c>
      <c r="M858" s="85">
        <f>IF(OR($J858="",$K858=""),"",ROUND(($K858-$J858)*24-$L858/60,2))</f>
        <v/>
      </c>
      <c r="N858" s="16">
        <f>IF($C858="","",IF(AND(COUNTIF(設定!$B$15:$B$21,$G858)&gt;0,$J858&lt;&gt;""),"假日出勤",IF(AND(COUNTIF(設定!$B$6:$B$14,$G858)&gt;0,$J858=""),"未打卡",IF($J858="","",IF($O858&gt;0,"遲到",IF($P858&gt;0,"早退","正常"))))))</f>
        <v/>
      </c>
      <c r="O858" s="84">
        <f>IF(OR($C858="",$H858="",$J858=""),0,IF(ROUND(($J858-$H858)*1440,0)&gt;設定!$C$46,ROUND(($J858-$H858)*1440,0),0))</f>
        <v/>
      </c>
      <c r="P858" s="84">
        <f>IF(OR($C858="",$I858="",$K858=""),0,IF(ROUND(($I858-$K858)*1440,0)&gt;設定!$C$46,ROUND(($I858-$K858)*1440,0),0))</f>
        <v/>
      </c>
      <c r="Q858" s="85">
        <f>IF($M858="",0,IF(($M858-IFERROR(INDEX(設定!$G$6:$G$21,MATCH($G858,設定!$B$6:$B$21,0)),0))*60&gt;=設定!$C$44,ROUND(FLOOR(($M858-IFERROR(INDEX(設定!$G$6:$G$21,MATCH($G858,設定!$B$6:$B$21,0)),0))*60,設定!$C$45)/60,2),0))</f>
        <v/>
      </c>
      <c r="R858" s="16">
        <f>IF(OR($C858="",$Q858=0),"",IF($G858="國","國定假日",IF($B858="日","例假",IF($B858="六","休息日","平日"))))</f>
        <v/>
      </c>
      <c r="S858" s="19" t="n"/>
    </row>
    <row r="859">
      <c r="A859" s="82">
        <f>IF(OR(助理班表!$A32="",20&gt;DAY(EOMONTH(DATE(設定!$C$2,設定!$D$2,1),0))),"",DATE(設定!$C$2,設定!$D$2,20))</f>
        <v/>
      </c>
      <c r="B859" s="16">
        <f>IF($A859="","",INDEX(設定!$O$6:$O$12,WEEKDAY($A859,1)))</f>
        <v/>
      </c>
      <c r="C859" s="16">
        <f>IF($A859="","",助理班表!$A32)</f>
        <v/>
      </c>
      <c r="D859" s="16">
        <f>IF($C859="","",助理班表!$B32)</f>
        <v/>
      </c>
      <c r="E859" s="16">
        <f>IF($C859="","",助理班表!$D32)</f>
        <v/>
      </c>
      <c r="F859" s="16">
        <f>IF($C859="","",助理班表!$C32)</f>
        <v/>
      </c>
      <c r="G859" s="16">
        <f>IF($C859="","",助理班表!X32)</f>
        <v/>
      </c>
      <c r="H859" s="83">
        <f>IF($G859="","",IFERROR(IF(INDEX(設定!$D$6:$D$21,MATCH($G859,設定!$B$6:$B$21,0))=0,"",INDEX(設定!$D$6:$D$21,MATCH($G859,設定!$B$6:$B$21,0))),""))</f>
        <v/>
      </c>
      <c r="I859" s="83">
        <f>IF($G859="","",IFERROR(IF(INDEX(設定!$E$6:$E$21,MATCH($G859,設定!$B$6:$B$21,0))=0,"",INDEX(設定!$E$6:$E$21,MATCH($G859,設定!$B$6:$B$21,0))),""))</f>
        <v/>
      </c>
      <c r="J859" s="83">
        <f>IFERROR(INDEX(打卡匯入!$C$3:$C$2002,MATCH($C859&amp;"|"&amp;DAY($A859),打卡匯入!$E$3:$E$2002,0)),"")</f>
        <v/>
      </c>
      <c r="K859" s="83">
        <f>IFERROR(INDEX(打卡匯入!$D$3:$D$2002,MATCH($C859&amp;"|"&amp;DAY($A859),打卡匯入!$E$3:$E$2002,0)),"")</f>
        <v/>
      </c>
      <c r="L859" s="84">
        <f>IF(OR($J859="",$K859=""),"",IFERROR(INDEX(設定!$F$6:$F$21,MATCH($G859,設定!$B$6:$B$21,0)),0))</f>
        <v/>
      </c>
      <c r="M859" s="85">
        <f>IF(OR($J859="",$K859=""),"",ROUND(($K859-$J859)*24-$L859/60,2))</f>
        <v/>
      </c>
      <c r="N859" s="16">
        <f>IF($C859="","",IF(AND(COUNTIF(設定!$B$15:$B$21,$G859)&gt;0,$J859&lt;&gt;""),"假日出勤",IF(AND(COUNTIF(設定!$B$6:$B$14,$G859)&gt;0,$J859=""),"未打卡",IF($J859="","",IF($O859&gt;0,"遲到",IF($P859&gt;0,"早退","正常"))))))</f>
        <v/>
      </c>
      <c r="O859" s="84">
        <f>IF(OR($C859="",$H859="",$J859=""),0,IF(ROUND(($J859-$H859)*1440,0)&gt;設定!$C$46,ROUND(($J859-$H859)*1440,0),0))</f>
        <v/>
      </c>
      <c r="P859" s="84">
        <f>IF(OR($C859="",$I859="",$K859=""),0,IF(ROUND(($I859-$K859)*1440,0)&gt;設定!$C$46,ROUND(($I859-$K859)*1440,0),0))</f>
        <v/>
      </c>
      <c r="Q859" s="85">
        <f>IF($M859="",0,IF(($M859-IFERROR(INDEX(設定!$G$6:$G$21,MATCH($G859,設定!$B$6:$B$21,0)),0))*60&gt;=設定!$C$44,ROUND(FLOOR(($M859-IFERROR(INDEX(設定!$G$6:$G$21,MATCH($G859,設定!$B$6:$B$21,0)),0))*60,設定!$C$45)/60,2),0))</f>
        <v/>
      </c>
      <c r="R859" s="16">
        <f>IF(OR($C859="",$Q859=0),"",IF($G859="國","國定假日",IF($B859="日","例假",IF($B859="六","休息日","平日"))))</f>
        <v/>
      </c>
      <c r="S859" s="19" t="n"/>
    </row>
    <row r="860">
      <c r="A860" s="82">
        <f>IF(OR(助理班表!$A32="",21&gt;DAY(EOMONTH(DATE(設定!$C$2,設定!$D$2,1),0))),"",DATE(設定!$C$2,設定!$D$2,21))</f>
        <v/>
      </c>
      <c r="B860" s="16">
        <f>IF($A860="","",INDEX(設定!$O$6:$O$12,WEEKDAY($A860,1)))</f>
        <v/>
      </c>
      <c r="C860" s="16">
        <f>IF($A860="","",助理班表!$A32)</f>
        <v/>
      </c>
      <c r="D860" s="16">
        <f>IF($C860="","",助理班表!$B32)</f>
        <v/>
      </c>
      <c r="E860" s="16">
        <f>IF($C860="","",助理班表!$D32)</f>
        <v/>
      </c>
      <c r="F860" s="16">
        <f>IF($C860="","",助理班表!$C32)</f>
        <v/>
      </c>
      <c r="G860" s="16">
        <f>IF($C860="","",助理班表!Y32)</f>
        <v/>
      </c>
      <c r="H860" s="83">
        <f>IF($G860="","",IFERROR(IF(INDEX(設定!$D$6:$D$21,MATCH($G860,設定!$B$6:$B$21,0))=0,"",INDEX(設定!$D$6:$D$21,MATCH($G860,設定!$B$6:$B$21,0))),""))</f>
        <v/>
      </c>
      <c r="I860" s="83">
        <f>IF($G860="","",IFERROR(IF(INDEX(設定!$E$6:$E$21,MATCH($G860,設定!$B$6:$B$21,0))=0,"",INDEX(設定!$E$6:$E$21,MATCH($G860,設定!$B$6:$B$21,0))),""))</f>
        <v/>
      </c>
      <c r="J860" s="83">
        <f>IFERROR(INDEX(打卡匯入!$C$3:$C$2002,MATCH($C860&amp;"|"&amp;DAY($A860),打卡匯入!$E$3:$E$2002,0)),"")</f>
        <v/>
      </c>
      <c r="K860" s="83">
        <f>IFERROR(INDEX(打卡匯入!$D$3:$D$2002,MATCH($C860&amp;"|"&amp;DAY($A860),打卡匯入!$E$3:$E$2002,0)),"")</f>
        <v/>
      </c>
      <c r="L860" s="84">
        <f>IF(OR($J860="",$K860=""),"",IFERROR(INDEX(設定!$F$6:$F$21,MATCH($G860,設定!$B$6:$B$21,0)),0))</f>
        <v/>
      </c>
      <c r="M860" s="85">
        <f>IF(OR($J860="",$K860=""),"",ROUND(($K860-$J860)*24-$L860/60,2))</f>
        <v/>
      </c>
      <c r="N860" s="16">
        <f>IF($C860="","",IF(AND(COUNTIF(設定!$B$15:$B$21,$G860)&gt;0,$J860&lt;&gt;""),"假日出勤",IF(AND(COUNTIF(設定!$B$6:$B$14,$G860)&gt;0,$J860=""),"未打卡",IF($J860="","",IF($O860&gt;0,"遲到",IF($P860&gt;0,"早退","正常"))))))</f>
        <v/>
      </c>
      <c r="O860" s="84">
        <f>IF(OR($C860="",$H860="",$J860=""),0,IF(ROUND(($J860-$H860)*1440,0)&gt;設定!$C$46,ROUND(($J860-$H860)*1440,0),0))</f>
        <v/>
      </c>
      <c r="P860" s="84">
        <f>IF(OR($C860="",$I860="",$K860=""),0,IF(ROUND(($I860-$K860)*1440,0)&gt;設定!$C$46,ROUND(($I860-$K860)*1440,0),0))</f>
        <v/>
      </c>
      <c r="Q860" s="85">
        <f>IF($M860="",0,IF(($M860-IFERROR(INDEX(設定!$G$6:$G$21,MATCH($G860,設定!$B$6:$B$21,0)),0))*60&gt;=設定!$C$44,ROUND(FLOOR(($M860-IFERROR(INDEX(設定!$G$6:$G$21,MATCH($G860,設定!$B$6:$B$21,0)),0))*60,設定!$C$45)/60,2),0))</f>
        <v/>
      </c>
      <c r="R860" s="16">
        <f>IF(OR($C860="",$Q860=0),"",IF($G860="國","國定假日",IF($B860="日","例假",IF($B860="六","休息日","平日"))))</f>
        <v/>
      </c>
      <c r="S860" s="19" t="n"/>
    </row>
    <row r="861">
      <c r="A861" s="82">
        <f>IF(OR(助理班表!$A32="",22&gt;DAY(EOMONTH(DATE(設定!$C$2,設定!$D$2,1),0))),"",DATE(設定!$C$2,設定!$D$2,22))</f>
        <v/>
      </c>
      <c r="B861" s="16">
        <f>IF($A861="","",INDEX(設定!$O$6:$O$12,WEEKDAY($A861,1)))</f>
        <v/>
      </c>
      <c r="C861" s="16">
        <f>IF($A861="","",助理班表!$A32)</f>
        <v/>
      </c>
      <c r="D861" s="16">
        <f>IF($C861="","",助理班表!$B32)</f>
        <v/>
      </c>
      <c r="E861" s="16">
        <f>IF($C861="","",助理班表!$D32)</f>
        <v/>
      </c>
      <c r="F861" s="16">
        <f>IF($C861="","",助理班表!$C32)</f>
        <v/>
      </c>
      <c r="G861" s="16">
        <f>IF($C861="","",助理班表!Z32)</f>
        <v/>
      </c>
      <c r="H861" s="83">
        <f>IF($G861="","",IFERROR(IF(INDEX(設定!$D$6:$D$21,MATCH($G861,設定!$B$6:$B$21,0))=0,"",INDEX(設定!$D$6:$D$21,MATCH($G861,設定!$B$6:$B$21,0))),""))</f>
        <v/>
      </c>
      <c r="I861" s="83">
        <f>IF($G861="","",IFERROR(IF(INDEX(設定!$E$6:$E$21,MATCH($G861,設定!$B$6:$B$21,0))=0,"",INDEX(設定!$E$6:$E$21,MATCH($G861,設定!$B$6:$B$21,0))),""))</f>
        <v/>
      </c>
      <c r="J861" s="83">
        <f>IFERROR(INDEX(打卡匯入!$C$3:$C$2002,MATCH($C861&amp;"|"&amp;DAY($A861),打卡匯入!$E$3:$E$2002,0)),"")</f>
        <v/>
      </c>
      <c r="K861" s="83">
        <f>IFERROR(INDEX(打卡匯入!$D$3:$D$2002,MATCH($C861&amp;"|"&amp;DAY($A861),打卡匯入!$E$3:$E$2002,0)),"")</f>
        <v/>
      </c>
      <c r="L861" s="84">
        <f>IF(OR($J861="",$K861=""),"",IFERROR(INDEX(設定!$F$6:$F$21,MATCH($G861,設定!$B$6:$B$21,0)),0))</f>
        <v/>
      </c>
      <c r="M861" s="85">
        <f>IF(OR($J861="",$K861=""),"",ROUND(($K861-$J861)*24-$L861/60,2))</f>
        <v/>
      </c>
      <c r="N861" s="16">
        <f>IF($C861="","",IF(AND(COUNTIF(設定!$B$15:$B$21,$G861)&gt;0,$J861&lt;&gt;""),"假日出勤",IF(AND(COUNTIF(設定!$B$6:$B$14,$G861)&gt;0,$J861=""),"未打卡",IF($J861="","",IF($O861&gt;0,"遲到",IF($P861&gt;0,"早退","正常"))))))</f>
        <v/>
      </c>
      <c r="O861" s="84">
        <f>IF(OR($C861="",$H861="",$J861=""),0,IF(ROUND(($J861-$H861)*1440,0)&gt;設定!$C$46,ROUND(($J861-$H861)*1440,0),0))</f>
        <v/>
      </c>
      <c r="P861" s="84">
        <f>IF(OR($C861="",$I861="",$K861=""),0,IF(ROUND(($I861-$K861)*1440,0)&gt;設定!$C$46,ROUND(($I861-$K861)*1440,0),0))</f>
        <v/>
      </c>
      <c r="Q861" s="85">
        <f>IF($M861="",0,IF(($M861-IFERROR(INDEX(設定!$G$6:$G$21,MATCH($G861,設定!$B$6:$B$21,0)),0))*60&gt;=設定!$C$44,ROUND(FLOOR(($M861-IFERROR(INDEX(設定!$G$6:$G$21,MATCH($G861,設定!$B$6:$B$21,0)),0))*60,設定!$C$45)/60,2),0))</f>
        <v/>
      </c>
      <c r="R861" s="16">
        <f>IF(OR($C861="",$Q861=0),"",IF($G861="國","國定假日",IF($B861="日","例假",IF($B861="六","休息日","平日"))))</f>
        <v/>
      </c>
      <c r="S861" s="19" t="n"/>
    </row>
    <row r="862">
      <c r="A862" s="82">
        <f>IF(OR(助理班表!$A32="",23&gt;DAY(EOMONTH(DATE(設定!$C$2,設定!$D$2,1),0))),"",DATE(設定!$C$2,設定!$D$2,23))</f>
        <v/>
      </c>
      <c r="B862" s="16">
        <f>IF($A862="","",INDEX(設定!$O$6:$O$12,WEEKDAY($A862,1)))</f>
        <v/>
      </c>
      <c r="C862" s="16">
        <f>IF($A862="","",助理班表!$A32)</f>
        <v/>
      </c>
      <c r="D862" s="16">
        <f>IF($C862="","",助理班表!$B32)</f>
        <v/>
      </c>
      <c r="E862" s="16">
        <f>IF($C862="","",助理班表!$D32)</f>
        <v/>
      </c>
      <c r="F862" s="16">
        <f>IF($C862="","",助理班表!$C32)</f>
        <v/>
      </c>
      <c r="G862" s="16">
        <f>IF($C862="","",助理班表!AA32)</f>
        <v/>
      </c>
      <c r="H862" s="83">
        <f>IF($G862="","",IFERROR(IF(INDEX(設定!$D$6:$D$21,MATCH($G862,設定!$B$6:$B$21,0))=0,"",INDEX(設定!$D$6:$D$21,MATCH($G862,設定!$B$6:$B$21,0))),""))</f>
        <v/>
      </c>
      <c r="I862" s="83">
        <f>IF($G862="","",IFERROR(IF(INDEX(設定!$E$6:$E$21,MATCH($G862,設定!$B$6:$B$21,0))=0,"",INDEX(設定!$E$6:$E$21,MATCH($G862,設定!$B$6:$B$21,0))),""))</f>
        <v/>
      </c>
      <c r="J862" s="83">
        <f>IFERROR(INDEX(打卡匯入!$C$3:$C$2002,MATCH($C862&amp;"|"&amp;DAY($A862),打卡匯入!$E$3:$E$2002,0)),"")</f>
        <v/>
      </c>
      <c r="K862" s="83">
        <f>IFERROR(INDEX(打卡匯入!$D$3:$D$2002,MATCH($C862&amp;"|"&amp;DAY($A862),打卡匯入!$E$3:$E$2002,0)),"")</f>
        <v/>
      </c>
      <c r="L862" s="84">
        <f>IF(OR($J862="",$K862=""),"",IFERROR(INDEX(設定!$F$6:$F$21,MATCH($G862,設定!$B$6:$B$21,0)),0))</f>
        <v/>
      </c>
      <c r="M862" s="85">
        <f>IF(OR($J862="",$K862=""),"",ROUND(($K862-$J862)*24-$L862/60,2))</f>
        <v/>
      </c>
      <c r="N862" s="16">
        <f>IF($C862="","",IF(AND(COUNTIF(設定!$B$15:$B$21,$G862)&gt;0,$J862&lt;&gt;""),"假日出勤",IF(AND(COUNTIF(設定!$B$6:$B$14,$G862)&gt;0,$J862=""),"未打卡",IF($J862="","",IF($O862&gt;0,"遲到",IF($P862&gt;0,"早退","正常"))))))</f>
        <v/>
      </c>
      <c r="O862" s="84">
        <f>IF(OR($C862="",$H862="",$J862=""),0,IF(ROUND(($J862-$H862)*1440,0)&gt;設定!$C$46,ROUND(($J862-$H862)*1440,0),0))</f>
        <v/>
      </c>
      <c r="P862" s="84">
        <f>IF(OR($C862="",$I862="",$K862=""),0,IF(ROUND(($I862-$K862)*1440,0)&gt;設定!$C$46,ROUND(($I862-$K862)*1440,0),0))</f>
        <v/>
      </c>
      <c r="Q862" s="85">
        <f>IF($M862="",0,IF(($M862-IFERROR(INDEX(設定!$G$6:$G$21,MATCH($G862,設定!$B$6:$B$21,0)),0))*60&gt;=設定!$C$44,ROUND(FLOOR(($M862-IFERROR(INDEX(設定!$G$6:$G$21,MATCH($G862,設定!$B$6:$B$21,0)),0))*60,設定!$C$45)/60,2),0))</f>
        <v/>
      </c>
      <c r="R862" s="16">
        <f>IF(OR($C862="",$Q862=0),"",IF($G862="國","國定假日",IF($B862="日","例假",IF($B862="六","休息日","平日"))))</f>
        <v/>
      </c>
      <c r="S862" s="19" t="n"/>
    </row>
    <row r="863">
      <c r="A863" s="82">
        <f>IF(OR(助理班表!$A32="",24&gt;DAY(EOMONTH(DATE(設定!$C$2,設定!$D$2,1),0))),"",DATE(設定!$C$2,設定!$D$2,24))</f>
        <v/>
      </c>
      <c r="B863" s="16">
        <f>IF($A863="","",INDEX(設定!$O$6:$O$12,WEEKDAY($A863,1)))</f>
        <v/>
      </c>
      <c r="C863" s="16">
        <f>IF($A863="","",助理班表!$A32)</f>
        <v/>
      </c>
      <c r="D863" s="16">
        <f>IF($C863="","",助理班表!$B32)</f>
        <v/>
      </c>
      <c r="E863" s="16">
        <f>IF($C863="","",助理班表!$D32)</f>
        <v/>
      </c>
      <c r="F863" s="16">
        <f>IF($C863="","",助理班表!$C32)</f>
        <v/>
      </c>
      <c r="G863" s="16">
        <f>IF($C863="","",助理班表!AB32)</f>
        <v/>
      </c>
      <c r="H863" s="83">
        <f>IF($G863="","",IFERROR(IF(INDEX(設定!$D$6:$D$21,MATCH($G863,設定!$B$6:$B$21,0))=0,"",INDEX(設定!$D$6:$D$21,MATCH($G863,設定!$B$6:$B$21,0))),""))</f>
        <v/>
      </c>
      <c r="I863" s="83">
        <f>IF($G863="","",IFERROR(IF(INDEX(設定!$E$6:$E$21,MATCH($G863,設定!$B$6:$B$21,0))=0,"",INDEX(設定!$E$6:$E$21,MATCH($G863,設定!$B$6:$B$21,0))),""))</f>
        <v/>
      </c>
      <c r="J863" s="83">
        <f>IFERROR(INDEX(打卡匯入!$C$3:$C$2002,MATCH($C863&amp;"|"&amp;DAY($A863),打卡匯入!$E$3:$E$2002,0)),"")</f>
        <v/>
      </c>
      <c r="K863" s="83">
        <f>IFERROR(INDEX(打卡匯入!$D$3:$D$2002,MATCH($C863&amp;"|"&amp;DAY($A863),打卡匯入!$E$3:$E$2002,0)),"")</f>
        <v/>
      </c>
      <c r="L863" s="84">
        <f>IF(OR($J863="",$K863=""),"",IFERROR(INDEX(設定!$F$6:$F$21,MATCH($G863,設定!$B$6:$B$21,0)),0))</f>
        <v/>
      </c>
      <c r="M863" s="85">
        <f>IF(OR($J863="",$K863=""),"",ROUND(($K863-$J863)*24-$L863/60,2))</f>
        <v/>
      </c>
      <c r="N863" s="16">
        <f>IF($C863="","",IF(AND(COUNTIF(設定!$B$15:$B$21,$G863)&gt;0,$J863&lt;&gt;""),"假日出勤",IF(AND(COUNTIF(設定!$B$6:$B$14,$G863)&gt;0,$J863=""),"未打卡",IF($J863="","",IF($O863&gt;0,"遲到",IF($P863&gt;0,"早退","正常"))))))</f>
        <v/>
      </c>
      <c r="O863" s="84">
        <f>IF(OR($C863="",$H863="",$J863=""),0,IF(ROUND(($J863-$H863)*1440,0)&gt;設定!$C$46,ROUND(($J863-$H863)*1440,0),0))</f>
        <v/>
      </c>
      <c r="P863" s="84">
        <f>IF(OR($C863="",$I863="",$K863=""),0,IF(ROUND(($I863-$K863)*1440,0)&gt;設定!$C$46,ROUND(($I863-$K863)*1440,0),0))</f>
        <v/>
      </c>
      <c r="Q863" s="85">
        <f>IF($M863="",0,IF(($M863-IFERROR(INDEX(設定!$G$6:$G$21,MATCH($G863,設定!$B$6:$B$21,0)),0))*60&gt;=設定!$C$44,ROUND(FLOOR(($M863-IFERROR(INDEX(設定!$G$6:$G$21,MATCH($G863,設定!$B$6:$B$21,0)),0))*60,設定!$C$45)/60,2),0))</f>
        <v/>
      </c>
      <c r="R863" s="16">
        <f>IF(OR($C863="",$Q863=0),"",IF($G863="國","國定假日",IF($B863="日","例假",IF($B863="六","休息日","平日"))))</f>
        <v/>
      </c>
      <c r="S863" s="19" t="n"/>
    </row>
    <row r="864">
      <c r="A864" s="82">
        <f>IF(OR(助理班表!$A32="",25&gt;DAY(EOMONTH(DATE(設定!$C$2,設定!$D$2,1),0))),"",DATE(設定!$C$2,設定!$D$2,25))</f>
        <v/>
      </c>
      <c r="B864" s="16">
        <f>IF($A864="","",INDEX(設定!$O$6:$O$12,WEEKDAY($A864,1)))</f>
        <v/>
      </c>
      <c r="C864" s="16">
        <f>IF($A864="","",助理班表!$A32)</f>
        <v/>
      </c>
      <c r="D864" s="16">
        <f>IF($C864="","",助理班表!$B32)</f>
        <v/>
      </c>
      <c r="E864" s="16">
        <f>IF($C864="","",助理班表!$D32)</f>
        <v/>
      </c>
      <c r="F864" s="16">
        <f>IF($C864="","",助理班表!$C32)</f>
        <v/>
      </c>
      <c r="G864" s="16">
        <f>IF($C864="","",助理班表!AC32)</f>
        <v/>
      </c>
      <c r="H864" s="83">
        <f>IF($G864="","",IFERROR(IF(INDEX(設定!$D$6:$D$21,MATCH($G864,設定!$B$6:$B$21,0))=0,"",INDEX(設定!$D$6:$D$21,MATCH($G864,設定!$B$6:$B$21,0))),""))</f>
        <v/>
      </c>
      <c r="I864" s="83">
        <f>IF($G864="","",IFERROR(IF(INDEX(設定!$E$6:$E$21,MATCH($G864,設定!$B$6:$B$21,0))=0,"",INDEX(設定!$E$6:$E$21,MATCH($G864,設定!$B$6:$B$21,0))),""))</f>
        <v/>
      </c>
      <c r="J864" s="83">
        <f>IFERROR(INDEX(打卡匯入!$C$3:$C$2002,MATCH($C864&amp;"|"&amp;DAY($A864),打卡匯入!$E$3:$E$2002,0)),"")</f>
        <v/>
      </c>
      <c r="K864" s="83">
        <f>IFERROR(INDEX(打卡匯入!$D$3:$D$2002,MATCH($C864&amp;"|"&amp;DAY($A864),打卡匯入!$E$3:$E$2002,0)),"")</f>
        <v/>
      </c>
      <c r="L864" s="84">
        <f>IF(OR($J864="",$K864=""),"",IFERROR(INDEX(設定!$F$6:$F$21,MATCH($G864,設定!$B$6:$B$21,0)),0))</f>
        <v/>
      </c>
      <c r="M864" s="85">
        <f>IF(OR($J864="",$K864=""),"",ROUND(($K864-$J864)*24-$L864/60,2))</f>
        <v/>
      </c>
      <c r="N864" s="16">
        <f>IF($C864="","",IF(AND(COUNTIF(設定!$B$15:$B$21,$G864)&gt;0,$J864&lt;&gt;""),"假日出勤",IF(AND(COUNTIF(設定!$B$6:$B$14,$G864)&gt;0,$J864=""),"未打卡",IF($J864="","",IF($O864&gt;0,"遲到",IF($P864&gt;0,"早退","正常"))))))</f>
        <v/>
      </c>
      <c r="O864" s="84">
        <f>IF(OR($C864="",$H864="",$J864=""),0,IF(ROUND(($J864-$H864)*1440,0)&gt;設定!$C$46,ROUND(($J864-$H864)*1440,0),0))</f>
        <v/>
      </c>
      <c r="P864" s="84">
        <f>IF(OR($C864="",$I864="",$K864=""),0,IF(ROUND(($I864-$K864)*1440,0)&gt;設定!$C$46,ROUND(($I864-$K864)*1440,0),0))</f>
        <v/>
      </c>
      <c r="Q864" s="85">
        <f>IF($M864="",0,IF(($M864-IFERROR(INDEX(設定!$G$6:$G$21,MATCH($G864,設定!$B$6:$B$21,0)),0))*60&gt;=設定!$C$44,ROUND(FLOOR(($M864-IFERROR(INDEX(設定!$G$6:$G$21,MATCH($G864,設定!$B$6:$B$21,0)),0))*60,設定!$C$45)/60,2),0))</f>
        <v/>
      </c>
      <c r="R864" s="16">
        <f>IF(OR($C864="",$Q864=0),"",IF($G864="國","國定假日",IF($B864="日","例假",IF($B864="六","休息日","平日"))))</f>
        <v/>
      </c>
      <c r="S864" s="19" t="n"/>
    </row>
    <row r="865">
      <c r="A865" s="82">
        <f>IF(OR(助理班表!$A32="",26&gt;DAY(EOMONTH(DATE(設定!$C$2,設定!$D$2,1),0))),"",DATE(設定!$C$2,設定!$D$2,26))</f>
        <v/>
      </c>
      <c r="B865" s="16">
        <f>IF($A865="","",INDEX(設定!$O$6:$O$12,WEEKDAY($A865,1)))</f>
        <v/>
      </c>
      <c r="C865" s="16">
        <f>IF($A865="","",助理班表!$A32)</f>
        <v/>
      </c>
      <c r="D865" s="16">
        <f>IF($C865="","",助理班表!$B32)</f>
        <v/>
      </c>
      <c r="E865" s="16">
        <f>IF($C865="","",助理班表!$D32)</f>
        <v/>
      </c>
      <c r="F865" s="16">
        <f>IF($C865="","",助理班表!$C32)</f>
        <v/>
      </c>
      <c r="G865" s="16">
        <f>IF($C865="","",助理班表!AD32)</f>
        <v/>
      </c>
      <c r="H865" s="83">
        <f>IF($G865="","",IFERROR(IF(INDEX(設定!$D$6:$D$21,MATCH($G865,設定!$B$6:$B$21,0))=0,"",INDEX(設定!$D$6:$D$21,MATCH($G865,設定!$B$6:$B$21,0))),""))</f>
        <v/>
      </c>
      <c r="I865" s="83">
        <f>IF($G865="","",IFERROR(IF(INDEX(設定!$E$6:$E$21,MATCH($G865,設定!$B$6:$B$21,0))=0,"",INDEX(設定!$E$6:$E$21,MATCH($G865,設定!$B$6:$B$21,0))),""))</f>
        <v/>
      </c>
      <c r="J865" s="83">
        <f>IFERROR(INDEX(打卡匯入!$C$3:$C$2002,MATCH($C865&amp;"|"&amp;DAY($A865),打卡匯入!$E$3:$E$2002,0)),"")</f>
        <v/>
      </c>
      <c r="K865" s="83">
        <f>IFERROR(INDEX(打卡匯入!$D$3:$D$2002,MATCH($C865&amp;"|"&amp;DAY($A865),打卡匯入!$E$3:$E$2002,0)),"")</f>
        <v/>
      </c>
      <c r="L865" s="84">
        <f>IF(OR($J865="",$K865=""),"",IFERROR(INDEX(設定!$F$6:$F$21,MATCH($G865,設定!$B$6:$B$21,0)),0))</f>
        <v/>
      </c>
      <c r="M865" s="85">
        <f>IF(OR($J865="",$K865=""),"",ROUND(($K865-$J865)*24-$L865/60,2))</f>
        <v/>
      </c>
      <c r="N865" s="16">
        <f>IF($C865="","",IF(AND(COUNTIF(設定!$B$15:$B$21,$G865)&gt;0,$J865&lt;&gt;""),"假日出勤",IF(AND(COUNTIF(設定!$B$6:$B$14,$G865)&gt;0,$J865=""),"未打卡",IF($J865="","",IF($O865&gt;0,"遲到",IF($P865&gt;0,"早退","正常"))))))</f>
        <v/>
      </c>
      <c r="O865" s="84">
        <f>IF(OR($C865="",$H865="",$J865=""),0,IF(ROUND(($J865-$H865)*1440,0)&gt;設定!$C$46,ROUND(($J865-$H865)*1440,0),0))</f>
        <v/>
      </c>
      <c r="P865" s="84">
        <f>IF(OR($C865="",$I865="",$K865=""),0,IF(ROUND(($I865-$K865)*1440,0)&gt;設定!$C$46,ROUND(($I865-$K865)*1440,0),0))</f>
        <v/>
      </c>
      <c r="Q865" s="85">
        <f>IF($M865="",0,IF(($M865-IFERROR(INDEX(設定!$G$6:$G$21,MATCH($G865,設定!$B$6:$B$21,0)),0))*60&gt;=設定!$C$44,ROUND(FLOOR(($M865-IFERROR(INDEX(設定!$G$6:$G$21,MATCH($G865,設定!$B$6:$B$21,0)),0))*60,設定!$C$45)/60,2),0))</f>
        <v/>
      </c>
      <c r="R865" s="16">
        <f>IF(OR($C865="",$Q865=0),"",IF($G865="國","國定假日",IF($B865="日","例假",IF($B865="六","休息日","平日"))))</f>
        <v/>
      </c>
      <c r="S865" s="19" t="n"/>
    </row>
    <row r="866">
      <c r="A866" s="82">
        <f>IF(OR(助理班表!$A32="",27&gt;DAY(EOMONTH(DATE(設定!$C$2,設定!$D$2,1),0))),"",DATE(設定!$C$2,設定!$D$2,27))</f>
        <v/>
      </c>
      <c r="B866" s="16">
        <f>IF($A866="","",INDEX(設定!$O$6:$O$12,WEEKDAY($A866,1)))</f>
        <v/>
      </c>
      <c r="C866" s="16">
        <f>IF($A866="","",助理班表!$A32)</f>
        <v/>
      </c>
      <c r="D866" s="16">
        <f>IF($C866="","",助理班表!$B32)</f>
        <v/>
      </c>
      <c r="E866" s="16">
        <f>IF($C866="","",助理班表!$D32)</f>
        <v/>
      </c>
      <c r="F866" s="16">
        <f>IF($C866="","",助理班表!$C32)</f>
        <v/>
      </c>
      <c r="G866" s="16">
        <f>IF($C866="","",助理班表!AE32)</f>
        <v/>
      </c>
      <c r="H866" s="83">
        <f>IF($G866="","",IFERROR(IF(INDEX(設定!$D$6:$D$21,MATCH($G866,設定!$B$6:$B$21,0))=0,"",INDEX(設定!$D$6:$D$21,MATCH($G866,設定!$B$6:$B$21,0))),""))</f>
        <v/>
      </c>
      <c r="I866" s="83">
        <f>IF($G866="","",IFERROR(IF(INDEX(設定!$E$6:$E$21,MATCH($G866,設定!$B$6:$B$21,0))=0,"",INDEX(設定!$E$6:$E$21,MATCH($G866,設定!$B$6:$B$21,0))),""))</f>
        <v/>
      </c>
      <c r="J866" s="83">
        <f>IFERROR(INDEX(打卡匯入!$C$3:$C$2002,MATCH($C866&amp;"|"&amp;DAY($A866),打卡匯入!$E$3:$E$2002,0)),"")</f>
        <v/>
      </c>
      <c r="K866" s="83">
        <f>IFERROR(INDEX(打卡匯入!$D$3:$D$2002,MATCH($C866&amp;"|"&amp;DAY($A866),打卡匯入!$E$3:$E$2002,0)),"")</f>
        <v/>
      </c>
      <c r="L866" s="84">
        <f>IF(OR($J866="",$K866=""),"",IFERROR(INDEX(設定!$F$6:$F$21,MATCH($G866,設定!$B$6:$B$21,0)),0))</f>
        <v/>
      </c>
      <c r="M866" s="85">
        <f>IF(OR($J866="",$K866=""),"",ROUND(($K866-$J866)*24-$L866/60,2))</f>
        <v/>
      </c>
      <c r="N866" s="16">
        <f>IF($C866="","",IF(AND(COUNTIF(設定!$B$15:$B$21,$G866)&gt;0,$J866&lt;&gt;""),"假日出勤",IF(AND(COUNTIF(設定!$B$6:$B$14,$G866)&gt;0,$J866=""),"未打卡",IF($J866="","",IF($O866&gt;0,"遲到",IF($P866&gt;0,"早退","正常"))))))</f>
        <v/>
      </c>
      <c r="O866" s="84">
        <f>IF(OR($C866="",$H866="",$J866=""),0,IF(ROUND(($J866-$H866)*1440,0)&gt;設定!$C$46,ROUND(($J866-$H866)*1440,0),0))</f>
        <v/>
      </c>
      <c r="P866" s="84">
        <f>IF(OR($C866="",$I866="",$K866=""),0,IF(ROUND(($I866-$K866)*1440,0)&gt;設定!$C$46,ROUND(($I866-$K866)*1440,0),0))</f>
        <v/>
      </c>
      <c r="Q866" s="85">
        <f>IF($M866="",0,IF(($M866-IFERROR(INDEX(設定!$G$6:$G$21,MATCH($G866,設定!$B$6:$B$21,0)),0))*60&gt;=設定!$C$44,ROUND(FLOOR(($M866-IFERROR(INDEX(設定!$G$6:$G$21,MATCH($G866,設定!$B$6:$B$21,0)),0))*60,設定!$C$45)/60,2),0))</f>
        <v/>
      </c>
      <c r="R866" s="16">
        <f>IF(OR($C866="",$Q866=0),"",IF($G866="國","國定假日",IF($B866="日","例假",IF($B866="六","休息日","平日"))))</f>
        <v/>
      </c>
      <c r="S866" s="19" t="n"/>
    </row>
    <row r="867">
      <c r="A867" s="82">
        <f>IF(OR(助理班表!$A32="",28&gt;DAY(EOMONTH(DATE(設定!$C$2,設定!$D$2,1),0))),"",DATE(設定!$C$2,設定!$D$2,28))</f>
        <v/>
      </c>
      <c r="B867" s="16">
        <f>IF($A867="","",INDEX(設定!$O$6:$O$12,WEEKDAY($A867,1)))</f>
        <v/>
      </c>
      <c r="C867" s="16">
        <f>IF($A867="","",助理班表!$A32)</f>
        <v/>
      </c>
      <c r="D867" s="16">
        <f>IF($C867="","",助理班表!$B32)</f>
        <v/>
      </c>
      <c r="E867" s="16">
        <f>IF($C867="","",助理班表!$D32)</f>
        <v/>
      </c>
      <c r="F867" s="16">
        <f>IF($C867="","",助理班表!$C32)</f>
        <v/>
      </c>
      <c r="G867" s="16">
        <f>IF($C867="","",助理班表!AF32)</f>
        <v/>
      </c>
      <c r="H867" s="83">
        <f>IF($G867="","",IFERROR(IF(INDEX(設定!$D$6:$D$21,MATCH($G867,設定!$B$6:$B$21,0))=0,"",INDEX(設定!$D$6:$D$21,MATCH($G867,設定!$B$6:$B$21,0))),""))</f>
        <v/>
      </c>
      <c r="I867" s="83">
        <f>IF($G867="","",IFERROR(IF(INDEX(設定!$E$6:$E$21,MATCH($G867,設定!$B$6:$B$21,0))=0,"",INDEX(設定!$E$6:$E$21,MATCH($G867,設定!$B$6:$B$21,0))),""))</f>
        <v/>
      </c>
      <c r="J867" s="83">
        <f>IFERROR(INDEX(打卡匯入!$C$3:$C$2002,MATCH($C867&amp;"|"&amp;DAY($A867),打卡匯入!$E$3:$E$2002,0)),"")</f>
        <v/>
      </c>
      <c r="K867" s="83">
        <f>IFERROR(INDEX(打卡匯入!$D$3:$D$2002,MATCH($C867&amp;"|"&amp;DAY($A867),打卡匯入!$E$3:$E$2002,0)),"")</f>
        <v/>
      </c>
      <c r="L867" s="84">
        <f>IF(OR($J867="",$K867=""),"",IFERROR(INDEX(設定!$F$6:$F$21,MATCH($G867,設定!$B$6:$B$21,0)),0))</f>
        <v/>
      </c>
      <c r="M867" s="85">
        <f>IF(OR($J867="",$K867=""),"",ROUND(($K867-$J867)*24-$L867/60,2))</f>
        <v/>
      </c>
      <c r="N867" s="16">
        <f>IF($C867="","",IF(AND(COUNTIF(設定!$B$15:$B$21,$G867)&gt;0,$J867&lt;&gt;""),"假日出勤",IF(AND(COUNTIF(設定!$B$6:$B$14,$G867)&gt;0,$J867=""),"未打卡",IF($J867="","",IF($O867&gt;0,"遲到",IF($P867&gt;0,"早退","正常"))))))</f>
        <v/>
      </c>
      <c r="O867" s="84">
        <f>IF(OR($C867="",$H867="",$J867=""),0,IF(ROUND(($J867-$H867)*1440,0)&gt;設定!$C$46,ROUND(($J867-$H867)*1440,0),0))</f>
        <v/>
      </c>
      <c r="P867" s="84">
        <f>IF(OR($C867="",$I867="",$K867=""),0,IF(ROUND(($I867-$K867)*1440,0)&gt;設定!$C$46,ROUND(($I867-$K867)*1440,0),0))</f>
        <v/>
      </c>
      <c r="Q867" s="85">
        <f>IF($M867="",0,IF(($M867-IFERROR(INDEX(設定!$G$6:$G$21,MATCH($G867,設定!$B$6:$B$21,0)),0))*60&gt;=設定!$C$44,ROUND(FLOOR(($M867-IFERROR(INDEX(設定!$G$6:$G$21,MATCH($G867,設定!$B$6:$B$21,0)),0))*60,設定!$C$45)/60,2),0))</f>
        <v/>
      </c>
      <c r="R867" s="16">
        <f>IF(OR($C867="",$Q867=0),"",IF($G867="國","國定假日",IF($B867="日","例假",IF($B867="六","休息日","平日"))))</f>
        <v/>
      </c>
      <c r="S867" s="19" t="n"/>
    </row>
    <row r="868">
      <c r="A868" s="82">
        <f>IF(OR(助理班表!$A32="",29&gt;DAY(EOMONTH(DATE(設定!$C$2,設定!$D$2,1),0))),"",DATE(設定!$C$2,設定!$D$2,29))</f>
        <v/>
      </c>
      <c r="B868" s="16">
        <f>IF($A868="","",INDEX(設定!$O$6:$O$12,WEEKDAY($A868,1)))</f>
        <v/>
      </c>
      <c r="C868" s="16">
        <f>IF($A868="","",助理班表!$A32)</f>
        <v/>
      </c>
      <c r="D868" s="16">
        <f>IF($C868="","",助理班表!$B32)</f>
        <v/>
      </c>
      <c r="E868" s="16">
        <f>IF($C868="","",助理班表!$D32)</f>
        <v/>
      </c>
      <c r="F868" s="16">
        <f>IF($C868="","",助理班表!$C32)</f>
        <v/>
      </c>
      <c r="G868" s="16">
        <f>IF($C868="","",助理班表!AG32)</f>
        <v/>
      </c>
      <c r="H868" s="83">
        <f>IF($G868="","",IFERROR(IF(INDEX(設定!$D$6:$D$21,MATCH($G868,設定!$B$6:$B$21,0))=0,"",INDEX(設定!$D$6:$D$21,MATCH($G868,設定!$B$6:$B$21,0))),""))</f>
        <v/>
      </c>
      <c r="I868" s="83">
        <f>IF($G868="","",IFERROR(IF(INDEX(設定!$E$6:$E$21,MATCH($G868,設定!$B$6:$B$21,0))=0,"",INDEX(設定!$E$6:$E$21,MATCH($G868,設定!$B$6:$B$21,0))),""))</f>
        <v/>
      </c>
      <c r="J868" s="83">
        <f>IFERROR(INDEX(打卡匯入!$C$3:$C$2002,MATCH($C868&amp;"|"&amp;DAY($A868),打卡匯入!$E$3:$E$2002,0)),"")</f>
        <v/>
      </c>
      <c r="K868" s="83">
        <f>IFERROR(INDEX(打卡匯入!$D$3:$D$2002,MATCH($C868&amp;"|"&amp;DAY($A868),打卡匯入!$E$3:$E$2002,0)),"")</f>
        <v/>
      </c>
      <c r="L868" s="84">
        <f>IF(OR($J868="",$K868=""),"",IFERROR(INDEX(設定!$F$6:$F$21,MATCH($G868,設定!$B$6:$B$21,0)),0))</f>
        <v/>
      </c>
      <c r="M868" s="85">
        <f>IF(OR($J868="",$K868=""),"",ROUND(($K868-$J868)*24-$L868/60,2))</f>
        <v/>
      </c>
      <c r="N868" s="16">
        <f>IF($C868="","",IF(AND(COUNTIF(設定!$B$15:$B$21,$G868)&gt;0,$J868&lt;&gt;""),"假日出勤",IF(AND(COUNTIF(設定!$B$6:$B$14,$G868)&gt;0,$J868=""),"未打卡",IF($J868="","",IF($O868&gt;0,"遲到",IF($P868&gt;0,"早退","正常"))))))</f>
        <v/>
      </c>
      <c r="O868" s="84">
        <f>IF(OR($C868="",$H868="",$J868=""),0,IF(ROUND(($J868-$H868)*1440,0)&gt;設定!$C$46,ROUND(($J868-$H868)*1440,0),0))</f>
        <v/>
      </c>
      <c r="P868" s="84">
        <f>IF(OR($C868="",$I868="",$K868=""),0,IF(ROUND(($I868-$K868)*1440,0)&gt;設定!$C$46,ROUND(($I868-$K868)*1440,0),0))</f>
        <v/>
      </c>
      <c r="Q868" s="85">
        <f>IF($M868="",0,IF(($M868-IFERROR(INDEX(設定!$G$6:$G$21,MATCH($G868,設定!$B$6:$B$21,0)),0))*60&gt;=設定!$C$44,ROUND(FLOOR(($M868-IFERROR(INDEX(設定!$G$6:$G$21,MATCH($G868,設定!$B$6:$B$21,0)),0))*60,設定!$C$45)/60,2),0))</f>
        <v/>
      </c>
      <c r="R868" s="16">
        <f>IF(OR($C868="",$Q868=0),"",IF($G868="國","國定假日",IF($B868="日","例假",IF($B868="六","休息日","平日"))))</f>
        <v/>
      </c>
      <c r="S868" s="19" t="n"/>
    </row>
    <row r="869">
      <c r="A869" s="82">
        <f>IF(OR(助理班表!$A32="",30&gt;DAY(EOMONTH(DATE(設定!$C$2,設定!$D$2,1),0))),"",DATE(設定!$C$2,設定!$D$2,30))</f>
        <v/>
      </c>
      <c r="B869" s="16">
        <f>IF($A869="","",INDEX(設定!$O$6:$O$12,WEEKDAY($A869,1)))</f>
        <v/>
      </c>
      <c r="C869" s="16">
        <f>IF($A869="","",助理班表!$A32)</f>
        <v/>
      </c>
      <c r="D869" s="16">
        <f>IF($C869="","",助理班表!$B32)</f>
        <v/>
      </c>
      <c r="E869" s="16">
        <f>IF($C869="","",助理班表!$D32)</f>
        <v/>
      </c>
      <c r="F869" s="16">
        <f>IF($C869="","",助理班表!$C32)</f>
        <v/>
      </c>
      <c r="G869" s="16">
        <f>IF($C869="","",助理班表!AH32)</f>
        <v/>
      </c>
      <c r="H869" s="83">
        <f>IF($G869="","",IFERROR(IF(INDEX(設定!$D$6:$D$21,MATCH($G869,設定!$B$6:$B$21,0))=0,"",INDEX(設定!$D$6:$D$21,MATCH($G869,設定!$B$6:$B$21,0))),""))</f>
        <v/>
      </c>
      <c r="I869" s="83">
        <f>IF($G869="","",IFERROR(IF(INDEX(設定!$E$6:$E$21,MATCH($G869,設定!$B$6:$B$21,0))=0,"",INDEX(設定!$E$6:$E$21,MATCH($G869,設定!$B$6:$B$21,0))),""))</f>
        <v/>
      </c>
      <c r="J869" s="83">
        <f>IFERROR(INDEX(打卡匯入!$C$3:$C$2002,MATCH($C869&amp;"|"&amp;DAY($A869),打卡匯入!$E$3:$E$2002,0)),"")</f>
        <v/>
      </c>
      <c r="K869" s="83">
        <f>IFERROR(INDEX(打卡匯入!$D$3:$D$2002,MATCH($C869&amp;"|"&amp;DAY($A869),打卡匯入!$E$3:$E$2002,0)),"")</f>
        <v/>
      </c>
      <c r="L869" s="84">
        <f>IF(OR($J869="",$K869=""),"",IFERROR(INDEX(設定!$F$6:$F$21,MATCH($G869,設定!$B$6:$B$21,0)),0))</f>
        <v/>
      </c>
      <c r="M869" s="85">
        <f>IF(OR($J869="",$K869=""),"",ROUND(($K869-$J869)*24-$L869/60,2))</f>
        <v/>
      </c>
      <c r="N869" s="16">
        <f>IF($C869="","",IF(AND(COUNTIF(設定!$B$15:$B$21,$G869)&gt;0,$J869&lt;&gt;""),"假日出勤",IF(AND(COUNTIF(設定!$B$6:$B$14,$G869)&gt;0,$J869=""),"未打卡",IF($J869="","",IF($O869&gt;0,"遲到",IF($P869&gt;0,"早退","正常"))))))</f>
        <v/>
      </c>
      <c r="O869" s="84">
        <f>IF(OR($C869="",$H869="",$J869=""),0,IF(ROUND(($J869-$H869)*1440,0)&gt;設定!$C$46,ROUND(($J869-$H869)*1440,0),0))</f>
        <v/>
      </c>
      <c r="P869" s="84">
        <f>IF(OR($C869="",$I869="",$K869=""),0,IF(ROUND(($I869-$K869)*1440,0)&gt;設定!$C$46,ROUND(($I869-$K869)*1440,0),0))</f>
        <v/>
      </c>
      <c r="Q869" s="85">
        <f>IF($M869="",0,IF(($M869-IFERROR(INDEX(設定!$G$6:$G$21,MATCH($G869,設定!$B$6:$B$21,0)),0))*60&gt;=設定!$C$44,ROUND(FLOOR(($M869-IFERROR(INDEX(設定!$G$6:$G$21,MATCH($G869,設定!$B$6:$B$21,0)),0))*60,設定!$C$45)/60,2),0))</f>
        <v/>
      </c>
      <c r="R869" s="16">
        <f>IF(OR($C869="",$Q869=0),"",IF($G869="國","國定假日",IF($B869="日","例假",IF($B869="六","休息日","平日"))))</f>
        <v/>
      </c>
      <c r="S869" s="19" t="n"/>
    </row>
    <row r="870">
      <c r="A870" s="82">
        <f>IF(OR(助理班表!$A32="",31&gt;DAY(EOMONTH(DATE(設定!$C$2,設定!$D$2,1),0))),"",DATE(設定!$C$2,設定!$D$2,31))</f>
        <v/>
      </c>
      <c r="B870" s="16">
        <f>IF($A870="","",INDEX(設定!$O$6:$O$12,WEEKDAY($A870,1)))</f>
        <v/>
      </c>
      <c r="C870" s="16">
        <f>IF($A870="","",助理班表!$A32)</f>
        <v/>
      </c>
      <c r="D870" s="16">
        <f>IF($C870="","",助理班表!$B32)</f>
        <v/>
      </c>
      <c r="E870" s="16">
        <f>IF($C870="","",助理班表!$D32)</f>
        <v/>
      </c>
      <c r="F870" s="16">
        <f>IF($C870="","",助理班表!$C32)</f>
        <v/>
      </c>
      <c r="G870" s="16">
        <f>IF($C870="","",助理班表!AI32)</f>
        <v/>
      </c>
      <c r="H870" s="83">
        <f>IF($G870="","",IFERROR(IF(INDEX(設定!$D$6:$D$21,MATCH($G870,設定!$B$6:$B$21,0))=0,"",INDEX(設定!$D$6:$D$21,MATCH($G870,設定!$B$6:$B$21,0))),""))</f>
        <v/>
      </c>
      <c r="I870" s="83">
        <f>IF($G870="","",IFERROR(IF(INDEX(設定!$E$6:$E$21,MATCH($G870,設定!$B$6:$B$21,0))=0,"",INDEX(設定!$E$6:$E$21,MATCH($G870,設定!$B$6:$B$21,0))),""))</f>
        <v/>
      </c>
      <c r="J870" s="83">
        <f>IFERROR(INDEX(打卡匯入!$C$3:$C$2002,MATCH($C870&amp;"|"&amp;DAY($A870),打卡匯入!$E$3:$E$2002,0)),"")</f>
        <v/>
      </c>
      <c r="K870" s="83">
        <f>IFERROR(INDEX(打卡匯入!$D$3:$D$2002,MATCH($C870&amp;"|"&amp;DAY($A870),打卡匯入!$E$3:$E$2002,0)),"")</f>
        <v/>
      </c>
      <c r="L870" s="84">
        <f>IF(OR($J870="",$K870=""),"",IFERROR(INDEX(設定!$F$6:$F$21,MATCH($G870,設定!$B$6:$B$21,0)),0))</f>
        <v/>
      </c>
      <c r="M870" s="85">
        <f>IF(OR($J870="",$K870=""),"",ROUND(($K870-$J870)*24-$L870/60,2))</f>
        <v/>
      </c>
      <c r="N870" s="16">
        <f>IF($C870="","",IF(AND(COUNTIF(設定!$B$15:$B$21,$G870)&gt;0,$J870&lt;&gt;""),"假日出勤",IF(AND(COUNTIF(設定!$B$6:$B$14,$G870)&gt;0,$J870=""),"未打卡",IF($J870="","",IF($O870&gt;0,"遲到",IF($P870&gt;0,"早退","正常"))))))</f>
        <v/>
      </c>
      <c r="O870" s="84">
        <f>IF(OR($C870="",$H870="",$J870=""),0,IF(ROUND(($J870-$H870)*1440,0)&gt;設定!$C$46,ROUND(($J870-$H870)*1440,0),0))</f>
        <v/>
      </c>
      <c r="P870" s="84">
        <f>IF(OR($C870="",$I870="",$K870=""),0,IF(ROUND(($I870-$K870)*1440,0)&gt;設定!$C$46,ROUND(($I870-$K870)*1440,0),0))</f>
        <v/>
      </c>
      <c r="Q870" s="85">
        <f>IF($M870="",0,IF(($M870-IFERROR(INDEX(設定!$G$6:$G$21,MATCH($G870,設定!$B$6:$B$21,0)),0))*60&gt;=設定!$C$44,ROUND(FLOOR(($M870-IFERROR(INDEX(設定!$G$6:$G$21,MATCH($G870,設定!$B$6:$B$21,0)),0))*60,設定!$C$45)/60,2),0))</f>
        <v/>
      </c>
      <c r="R870" s="16">
        <f>IF(OR($C870="",$Q870=0),"",IF($G870="國","國定假日",IF($B870="日","例假",IF($B870="六","休息日","平日"))))</f>
        <v/>
      </c>
      <c r="S870" s="19" t="n"/>
    </row>
    <row r="871">
      <c r="A871" s="82">
        <f>IF(OR(助理班表!$A33="",1&gt;DAY(EOMONTH(DATE(設定!$C$2,設定!$D$2,1),0))),"",DATE(設定!$C$2,設定!$D$2,1))</f>
        <v/>
      </c>
      <c r="B871" s="16">
        <f>IF($A871="","",INDEX(設定!$O$6:$O$12,WEEKDAY($A871,1)))</f>
        <v/>
      </c>
      <c r="C871" s="16">
        <f>IF($A871="","",助理班表!$A33)</f>
        <v/>
      </c>
      <c r="D871" s="16">
        <f>IF($C871="","",助理班表!$B33)</f>
        <v/>
      </c>
      <c r="E871" s="16">
        <f>IF($C871="","",助理班表!$D33)</f>
        <v/>
      </c>
      <c r="F871" s="16">
        <f>IF($C871="","",助理班表!$C33)</f>
        <v/>
      </c>
      <c r="G871" s="16">
        <f>IF($C871="","",助理班表!E33)</f>
        <v/>
      </c>
      <c r="H871" s="83">
        <f>IF($G871="","",IFERROR(IF(INDEX(設定!$D$6:$D$21,MATCH($G871,設定!$B$6:$B$21,0))=0,"",INDEX(設定!$D$6:$D$21,MATCH($G871,設定!$B$6:$B$21,0))),""))</f>
        <v/>
      </c>
      <c r="I871" s="83">
        <f>IF($G871="","",IFERROR(IF(INDEX(設定!$E$6:$E$21,MATCH($G871,設定!$B$6:$B$21,0))=0,"",INDEX(設定!$E$6:$E$21,MATCH($G871,設定!$B$6:$B$21,0))),""))</f>
        <v/>
      </c>
      <c r="J871" s="83">
        <f>IFERROR(INDEX(打卡匯入!$C$3:$C$2002,MATCH($C871&amp;"|"&amp;DAY($A871),打卡匯入!$E$3:$E$2002,0)),"")</f>
        <v/>
      </c>
      <c r="K871" s="83">
        <f>IFERROR(INDEX(打卡匯入!$D$3:$D$2002,MATCH($C871&amp;"|"&amp;DAY($A871),打卡匯入!$E$3:$E$2002,0)),"")</f>
        <v/>
      </c>
      <c r="L871" s="84">
        <f>IF(OR($J871="",$K871=""),"",IFERROR(INDEX(設定!$F$6:$F$21,MATCH($G871,設定!$B$6:$B$21,0)),0))</f>
        <v/>
      </c>
      <c r="M871" s="85">
        <f>IF(OR($J871="",$K871=""),"",ROUND(($K871-$J871)*24-$L871/60,2))</f>
        <v/>
      </c>
      <c r="N871" s="16">
        <f>IF($C871="","",IF(AND(COUNTIF(設定!$B$15:$B$21,$G871)&gt;0,$J871&lt;&gt;""),"假日出勤",IF(AND(COUNTIF(設定!$B$6:$B$14,$G871)&gt;0,$J871=""),"未打卡",IF($J871="","",IF($O871&gt;0,"遲到",IF($P871&gt;0,"早退","正常"))))))</f>
        <v/>
      </c>
      <c r="O871" s="84">
        <f>IF(OR($C871="",$H871="",$J871=""),0,IF(ROUND(($J871-$H871)*1440,0)&gt;設定!$C$46,ROUND(($J871-$H871)*1440,0),0))</f>
        <v/>
      </c>
      <c r="P871" s="84">
        <f>IF(OR($C871="",$I871="",$K871=""),0,IF(ROUND(($I871-$K871)*1440,0)&gt;設定!$C$46,ROUND(($I871-$K871)*1440,0),0))</f>
        <v/>
      </c>
      <c r="Q871" s="85">
        <f>IF($M871="",0,IF(($M871-IFERROR(INDEX(設定!$G$6:$G$21,MATCH($G871,設定!$B$6:$B$21,0)),0))*60&gt;=設定!$C$44,ROUND(FLOOR(($M871-IFERROR(INDEX(設定!$G$6:$G$21,MATCH($G871,設定!$B$6:$B$21,0)),0))*60,設定!$C$45)/60,2),0))</f>
        <v/>
      </c>
      <c r="R871" s="16">
        <f>IF(OR($C871="",$Q871=0),"",IF($G871="國","國定假日",IF($B871="日","例假",IF($B871="六","休息日","平日"))))</f>
        <v/>
      </c>
      <c r="S871" s="19" t="n"/>
    </row>
    <row r="872">
      <c r="A872" s="82">
        <f>IF(OR(助理班表!$A33="",2&gt;DAY(EOMONTH(DATE(設定!$C$2,設定!$D$2,1),0))),"",DATE(設定!$C$2,設定!$D$2,2))</f>
        <v/>
      </c>
      <c r="B872" s="16">
        <f>IF($A872="","",INDEX(設定!$O$6:$O$12,WEEKDAY($A872,1)))</f>
        <v/>
      </c>
      <c r="C872" s="16">
        <f>IF($A872="","",助理班表!$A33)</f>
        <v/>
      </c>
      <c r="D872" s="16">
        <f>IF($C872="","",助理班表!$B33)</f>
        <v/>
      </c>
      <c r="E872" s="16">
        <f>IF($C872="","",助理班表!$D33)</f>
        <v/>
      </c>
      <c r="F872" s="16">
        <f>IF($C872="","",助理班表!$C33)</f>
        <v/>
      </c>
      <c r="G872" s="16">
        <f>IF($C872="","",助理班表!F33)</f>
        <v/>
      </c>
      <c r="H872" s="83">
        <f>IF($G872="","",IFERROR(IF(INDEX(設定!$D$6:$D$21,MATCH($G872,設定!$B$6:$B$21,0))=0,"",INDEX(設定!$D$6:$D$21,MATCH($G872,設定!$B$6:$B$21,0))),""))</f>
        <v/>
      </c>
      <c r="I872" s="83">
        <f>IF($G872="","",IFERROR(IF(INDEX(設定!$E$6:$E$21,MATCH($G872,設定!$B$6:$B$21,0))=0,"",INDEX(設定!$E$6:$E$21,MATCH($G872,設定!$B$6:$B$21,0))),""))</f>
        <v/>
      </c>
      <c r="J872" s="83">
        <f>IFERROR(INDEX(打卡匯入!$C$3:$C$2002,MATCH($C872&amp;"|"&amp;DAY($A872),打卡匯入!$E$3:$E$2002,0)),"")</f>
        <v/>
      </c>
      <c r="K872" s="83">
        <f>IFERROR(INDEX(打卡匯入!$D$3:$D$2002,MATCH($C872&amp;"|"&amp;DAY($A872),打卡匯入!$E$3:$E$2002,0)),"")</f>
        <v/>
      </c>
      <c r="L872" s="84">
        <f>IF(OR($J872="",$K872=""),"",IFERROR(INDEX(設定!$F$6:$F$21,MATCH($G872,設定!$B$6:$B$21,0)),0))</f>
        <v/>
      </c>
      <c r="M872" s="85">
        <f>IF(OR($J872="",$K872=""),"",ROUND(($K872-$J872)*24-$L872/60,2))</f>
        <v/>
      </c>
      <c r="N872" s="16">
        <f>IF($C872="","",IF(AND(COUNTIF(設定!$B$15:$B$21,$G872)&gt;0,$J872&lt;&gt;""),"假日出勤",IF(AND(COUNTIF(設定!$B$6:$B$14,$G872)&gt;0,$J872=""),"未打卡",IF($J872="","",IF($O872&gt;0,"遲到",IF($P872&gt;0,"早退","正常"))))))</f>
        <v/>
      </c>
      <c r="O872" s="84">
        <f>IF(OR($C872="",$H872="",$J872=""),0,IF(ROUND(($J872-$H872)*1440,0)&gt;設定!$C$46,ROUND(($J872-$H872)*1440,0),0))</f>
        <v/>
      </c>
      <c r="P872" s="84">
        <f>IF(OR($C872="",$I872="",$K872=""),0,IF(ROUND(($I872-$K872)*1440,0)&gt;設定!$C$46,ROUND(($I872-$K872)*1440,0),0))</f>
        <v/>
      </c>
      <c r="Q872" s="85">
        <f>IF($M872="",0,IF(($M872-IFERROR(INDEX(設定!$G$6:$G$21,MATCH($G872,設定!$B$6:$B$21,0)),0))*60&gt;=設定!$C$44,ROUND(FLOOR(($M872-IFERROR(INDEX(設定!$G$6:$G$21,MATCH($G872,設定!$B$6:$B$21,0)),0))*60,設定!$C$45)/60,2),0))</f>
        <v/>
      </c>
      <c r="R872" s="16">
        <f>IF(OR($C872="",$Q872=0),"",IF($G872="國","國定假日",IF($B872="日","例假",IF($B872="六","休息日","平日"))))</f>
        <v/>
      </c>
      <c r="S872" s="19" t="n"/>
    </row>
    <row r="873">
      <c r="A873" s="82">
        <f>IF(OR(助理班表!$A33="",3&gt;DAY(EOMONTH(DATE(設定!$C$2,設定!$D$2,1),0))),"",DATE(設定!$C$2,設定!$D$2,3))</f>
        <v/>
      </c>
      <c r="B873" s="16">
        <f>IF($A873="","",INDEX(設定!$O$6:$O$12,WEEKDAY($A873,1)))</f>
        <v/>
      </c>
      <c r="C873" s="16">
        <f>IF($A873="","",助理班表!$A33)</f>
        <v/>
      </c>
      <c r="D873" s="16">
        <f>IF($C873="","",助理班表!$B33)</f>
        <v/>
      </c>
      <c r="E873" s="16">
        <f>IF($C873="","",助理班表!$D33)</f>
        <v/>
      </c>
      <c r="F873" s="16">
        <f>IF($C873="","",助理班表!$C33)</f>
        <v/>
      </c>
      <c r="G873" s="16">
        <f>IF($C873="","",助理班表!G33)</f>
        <v/>
      </c>
      <c r="H873" s="83">
        <f>IF($G873="","",IFERROR(IF(INDEX(設定!$D$6:$D$21,MATCH($G873,設定!$B$6:$B$21,0))=0,"",INDEX(設定!$D$6:$D$21,MATCH($G873,設定!$B$6:$B$21,0))),""))</f>
        <v/>
      </c>
      <c r="I873" s="83">
        <f>IF($G873="","",IFERROR(IF(INDEX(設定!$E$6:$E$21,MATCH($G873,設定!$B$6:$B$21,0))=0,"",INDEX(設定!$E$6:$E$21,MATCH($G873,設定!$B$6:$B$21,0))),""))</f>
        <v/>
      </c>
      <c r="J873" s="83">
        <f>IFERROR(INDEX(打卡匯入!$C$3:$C$2002,MATCH($C873&amp;"|"&amp;DAY($A873),打卡匯入!$E$3:$E$2002,0)),"")</f>
        <v/>
      </c>
      <c r="K873" s="83">
        <f>IFERROR(INDEX(打卡匯入!$D$3:$D$2002,MATCH($C873&amp;"|"&amp;DAY($A873),打卡匯入!$E$3:$E$2002,0)),"")</f>
        <v/>
      </c>
      <c r="L873" s="84">
        <f>IF(OR($J873="",$K873=""),"",IFERROR(INDEX(設定!$F$6:$F$21,MATCH($G873,設定!$B$6:$B$21,0)),0))</f>
        <v/>
      </c>
      <c r="M873" s="85">
        <f>IF(OR($J873="",$K873=""),"",ROUND(($K873-$J873)*24-$L873/60,2))</f>
        <v/>
      </c>
      <c r="N873" s="16">
        <f>IF($C873="","",IF(AND(COUNTIF(設定!$B$15:$B$21,$G873)&gt;0,$J873&lt;&gt;""),"假日出勤",IF(AND(COUNTIF(設定!$B$6:$B$14,$G873)&gt;0,$J873=""),"未打卡",IF($J873="","",IF($O873&gt;0,"遲到",IF($P873&gt;0,"早退","正常"))))))</f>
        <v/>
      </c>
      <c r="O873" s="84">
        <f>IF(OR($C873="",$H873="",$J873=""),0,IF(ROUND(($J873-$H873)*1440,0)&gt;設定!$C$46,ROUND(($J873-$H873)*1440,0),0))</f>
        <v/>
      </c>
      <c r="P873" s="84">
        <f>IF(OR($C873="",$I873="",$K873=""),0,IF(ROUND(($I873-$K873)*1440,0)&gt;設定!$C$46,ROUND(($I873-$K873)*1440,0),0))</f>
        <v/>
      </c>
      <c r="Q873" s="85">
        <f>IF($M873="",0,IF(($M873-IFERROR(INDEX(設定!$G$6:$G$21,MATCH($G873,設定!$B$6:$B$21,0)),0))*60&gt;=設定!$C$44,ROUND(FLOOR(($M873-IFERROR(INDEX(設定!$G$6:$G$21,MATCH($G873,設定!$B$6:$B$21,0)),0))*60,設定!$C$45)/60,2),0))</f>
        <v/>
      </c>
      <c r="R873" s="16">
        <f>IF(OR($C873="",$Q873=0),"",IF($G873="國","國定假日",IF($B873="日","例假",IF($B873="六","休息日","平日"))))</f>
        <v/>
      </c>
      <c r="S873" s="19" t="n"/>
    </row>
    <row r="874">
      <c r="A874" s="82">
        <f>IF(OR(助理班表!$A33="",4&gt;DAY(EOMONTH(DATE(設定!$C$2,設定!$D$2,1),0))),"",DATE(設定!$C$2,設定!$D$2,4))</f>
        <v/>
      </c>
      <c r="B874" s="16">
        <f>IF($A874="","",INDEX(設定!$O$6:$O$12,WEEKDAY($A874,1)))</f>
        <v/>
      </c>
      <c r="C874" s="16">
        <f>IF($A874="","",助理班表!$A33)</f>
        <v/>
      </c>
      <c r="D874" s="16">
        <f>IF($C874="","",助理班表!$B33)</f>
        <v/>
      </c>
      <c r="E874" s="16">
        <f>IF($C874="","",助理班表!$D33)</f>
        <v/>
      </c>
      <c r="F874" s="16">
        <f>IF($C874="","",助理班表!$C33)</f>
        <v/>
      </c>
      <c r="G874" s="16">
        <f>IF($C874="","",助理班表!H33)</f>
        <v/>
      </c>
      <c r="H874" s="83">
        <f>IF($G874="","",IFERROR(IF(INDEX(設定!$D$6:$D$21,MATCH($G874,設定!$B$6:$B$21,0))=0,"",INDEX(設定!$D$6:$D$21,MATCH($G874,設定!$B$6:$B$21,0))),""))</f>
        <v/>
      </c>
      <c r="I874" s="83">
        <f>IF($G874="","",IFERROR(IF(INDEX(設定!$E$6:$E$21,MATCH($G874,設定!$B$6:$B$21,0))=0,"",INDEX(設定!$E$6:$E$21,MATCH($G874,設定!$B$6:$B$21,0))),""))</f>
        <v/>
      </c>
      <c r="J874" s="83">
        <f>IFERROR(INDEX(打卡匯入!$C$3:$C$2002,MATCH($C874&amp;"|"&amp;DAY($A874),打卡匯入!$E$3:$E$2002,0)),"")</f>
        <v/>
      </c>
      <c r="K874" s="83">
        <f>IFERROR(INDEX(打卡匯入!$D$3:$D$2002,MATCH($C874&amp;"|"&amp;DAY($A874),打卡匯入!$E$3:$E$2002,0)),"")</f>
        <v/>
      </c>
      <c r="L874" s="84">
        <f>IF(OR($J874="",$K874=""),"",IFERROR(INDEX(設定!$F$6:$F$21,MATCH($G874,設定!$B$6:$B$21,0)),0))</f>
        <v/>
      </c>
      <c r="M874" s="85">
        <f>IF(OR($J874="",$K874=""),"",ROUND(($K874-$J874)*24-$L874/60,2))</f>
        <v/>
      </c>
      <c r="N874" s="16">
        <f>IF($C874="","",IF(AND(COUNTIF(設定!$B$15:$B$21,$G874)&gt;0,$J874&lt;&gt;""),"假日出勤",IF(AND(COUNTIF(設定!$B$6:$B$14,$G874)&gt;0,$J874=""),"未打卡",IF($J874="","",IF($O874&gt;0,"遲到",IF($P874&gt;0,"早退","正常"))))))</f>
        <v/>
      </c>
      <c r="O874" s="84">
        <f>IF(OR($C874="",$H874="",$J874=""),0,IF(ROUND(($J874-$H874)*1440,0)&gt;設定!$C$46,ROUND(($J874-$H874)*1440,0),0))</f>
        <v/>
      </c>
      <c r="P874" s="84">
        <f>IF(OR($C874="",$I874="",$K874=""),0,IF(ROUND(($I874-$K874)*1440,0)&gt;設定!$C$46,ROUND(($I874-$K874)*1440,0),0))</f>
        <v/>
      </c>
      <c r="Q874" s="85">
        <f>IF($M874="",0,IF(($M874-IFERROR(INDEX(設定!$G$6:$G$21,MATCH($G874,設定!$B$6:$B$21,0)),0))*60&gt;=設定!$C$44,ROUND(FLOOR(($M874-IFERROR(INDEX(設定!$G$6:$G$21,MATCH($G874,設定!$B$6:$B$21,0)),0))*60,設定!$C$45)/60,2),0))</f>
        <v/>
      </c>
      <c r="R874" s="16">
        <f>IF(OR($C874="",$Q874=0),"",IF($G874="國","國定假日",IF($B874="日","例假",IF($B874="六","休息日","平日"))))</f>
        <v/>
      </c>
      <c r="S874" s="19" t="n"/>
    </row>
    <row r="875">
      <c r="A875" s="82">
        <f>IF(OR(助理班表!$A33="",5&gt;DAY(EOMONTH(DATE(設定!$C$2,設定!$D$2,1),0))),"",DATE(設定!$C$2,設定!$D$2,5))</f>
        <v/>
      </c>
      <c r="B875" s="16">
        <f>IF($A875="","",INDEX(設定!$O$6:$O$12,WEEKDAY($A875,1)))</f>
        <v/>
      </c>
      <c r="C875" s="16">
        <f>IF($A875="","",助理班表!$A33)</f>
        <v/>
      </c>
      <c r="D875" s="16">
        <f>IF($C875="","",助理班表!$B33)</f>
        <v/>
      </c>
      <c r="E875" s="16">
        <f>IF($C875="","",助理班表!$D33)</f>
        <v/>
      </c>
      <c r="F875" s="16">
        <f>IF($C875="","",助理班表!$C33)</f>
        <v/>
      </c>
      <c r="G875" s="16">
        <f>IF($C875="","",助理班表!I33)</f>
        <v/>
      </c>
      <c r="H875" s="83">
        <f>IF($G875="","",IFERROR(IF(INDEX(設定!$D$6:$D$21,MATCH($G875,設定!$B$6:$B$21,0))=0,"",INDEX(設定!$D$6:$D$21,MATCH($G875,設定!$B$6:$B$21,0))),""))</f>
        <v/>
      </c>
      <c r="I875" s="83">
        <f>IF($G875="","",IFERROR(IF(INDEX(設定!$E$6:$E$21,MATCH($G875,設定!$B$6:$B$21,0))=0,"",INDEX(設定!$E$6:$E$21,MATCH($G875,設定!$B$6:$B$21,0))),""))</f>
        <v/>
      </c>
      <c r="J875" s="83">
        <f>IFERROR(INDEX(打卡匯入!$C$3:$C$2002,MATCH($C875&amp;"|"&amp;DAY($A875),打卡匯入!$E$3:$E$2002,0)),"")</f>
        <v/>
      </c>
      <c r="K875" s="83">
        <f>IFERROR(INDEX(打卡匯入!$D$3:$D$2002,MATCH($C875&amp;"|"&amp;DAY($A875),打卡匯入!$E$3:$E$2002,0)),"")</f>
        <v/>
      </c>
      <c r="L875" s="84">
        <f>IF(OR($J875="",$K875=""),"",IFERROR(INDEX(設定!$F$6:$F$21,MATCH($G875,設定!$B$6:$B$21,0)),0))</f>
        <v/>
      </c>
      <c r="M875" s="85">
        <f>IF(OR($J875="",$K875=""),"",ROUND(($K875-$J875)*24-$L875/60,2))</f>
        <v/>
      </c>
      <c r="N875" s="16">
        <f>IF($C875="","",IF(AND(COUNTIF(設定!$B$15:$B$21,$G875)&gt;0,$J875&lt;&gt;""),"假日出勤",IF(AND(COUNTIF(設定!$B$6:$B$14,$G875)&gt;0,$J875=""),"未打卡",IF($J875="","",IF($O875&gt;0,"遲到",IF($P875&gt;0,"早退","正常"))))))</f>
        <v/>
      </c>
      <c r="O875" s="84">
        <f>IF(OR($C875="",$H875="",$J875=""),0,IF(ROUND(($J875-$H875)*1440,0)&gt;設定!$C$46,ROUND(($J875-$H875)*1440,0),0))</f>
        <v/>
      </c>
      <c r="P875" s="84">
        <f>IF(OR($C875="",$I875="",$K875=""),0,IF(ROUND(($I875-$K875)*1440,0)&gt;設定!$C$46,ROUND(($I875-$K875)*1440,0),0))</f>
        <v/>
      </c>
      <c r="Q875" s="85">
        <f>IF($M875="",0,IF(($M875-IFERROR(INDEX(設定!$G$6:$G$21,MATCH($G875,設定!$B$6:$B$21,0)),0))*60&gt;=設定!$C$44,ROUND(FLOOR(($M875-IFERROR(INDEX(設定!$G$6:$G$21,MATCH($G875,設定!$B$6:$B$21,0)),0))*60,設定!$C$45)/60,2),0))</f>
        <v/>
      </c>
      <c r="R875" s="16">
        <f>IF(OR($C875="",$Q875=0),"",IF($G875="國","國定假日",IF($B875="日","例假",IF($B875="六","休息日","平日"))))</f>
        <v/>
      </c>
      <c r="S875" s="19" t="n"/>
    </row>
    <row r="876">
      <c r="A876" s="82">
        <f>IF(OR(助理班表!$A33="",6&gt;DAY(EOMONTH(DATE(設定!$C$2,設定!$D$2,1),0))),"",DATE(設定!$C$2,設定!$D$2,6))</f>
        <v/>
      </c>
      <c r="B876" s="16">
        <f>IF($A876="","",INDEX(設定!$O$6:$O$12,WEEKDAY($A876,1)))</f>
        <v/>
      </c>
      <c r="C876" s="16">
        <f>IF($A876="","",助理班表!$A33)</f>
        <v/>
      </c>
      <c r="D876" s="16">
        <f>IF($C876="","",助理班表!$B33)</f>
        <v/>
      </c>
      <c r="E876" s="16">
        <f>IF($C876="","",助理班表!$D33)</f>
        <v/>
      </c>
      <c r="F876" s="16">
        <f>IF($C876="","",助理班表!$C33)</f>
        <v/>
      </c>
      <c r="G876" s="16">
        <f>IF($C876="","",助理班表!J33)</f>
        <v/>
      </c>
      <c r="H876" s="83">
        <f>IF($G876="","",IFERROR(IF(INDEX(設定!$D$6:$D$21,MATCH($G876,設定!$B$6:$B$21,0))=0,"",INDEX(設定!$D$6:$D$21,MATCH($G876,設定!$B$6:$B$21,0))),""))</f>
        <v/>
      </c>
      <c r="I876" s="83">
        <f>IF($G876="","",IFERROR(IF(INDEX(設定!$E$6:$E$21,MATCH($G876,設定!$B$6:$B$21,0))=0,"",INDEX(設定!$E$6:$E$21,MATCH($G876,設定!$B$6:$B$21,0))),""))</f>
        <v/>
      </c>
      <c r="J876" s="83">
        <f>IFERROR(INDEX(打卡匯入!$C$3:$C$2002,MATCH($C876&amp;"|"&amp;DAY($A876),打卡匯入!$E$3:$E$2002,0)),"")</f>
        <v/>
      </c>
      <c r="K876" s="83">
        <f>IFERROR(INDEX(打卡匯入!$D$3:$D$2002,MATCH($C876&amp;"|"&amp;DAY($A876),打卡匯入!$E$3:$E$2002,0)),"")</f>
        <v/>
      </c>
      <c r="L876" s="84">
        <f>IF(OR($J876="",$K876=""),"",IFERROR(INDEX(設定!$F$6:$F$21,MATCH($G876,設定!$B$6:$B$21,0)),0))</f>
        <v/>
      </c>
      <c r="M876" s="85">
        <f>IF(OR($J876="",$K876=""),"",ROUND(($K876-$J876)*24-$L876/60,2))</f>
        <v/>
      </c>
      <c r="N876" s="16">
        <f>IF($C876="","",IF(AND(COUNTIF(設定!$B$15:$B$21,$G876)&gt;0,$J876&lt;&gt;""),"假日出勤",IF(AND(COUNTIF(設定!$B$6:$B$14,$G876)&gt;0,$J876=""),"未打卡",IF($J876="","",IF($O876&gt;0,"遲到",IF($P876&gt;0,"早退","正常"))))))</f>
        <v/>
      </c>
      <c r="O876" s="84">
        <f>IF(OR($C876="",$H876="",$J876=""),0,IF(ROUND(($J876-$H876)*1440,0)&gt;設定!$C$46,ROUND(($J876-$H876)*1440,0),0))</f>
        <v/>
      </c>
      <c r="P876" s="84">
        <f>IF(OR($C876="",$I876="",$K876=""),0,IF(ROUND(($I876-$K876)*1440,0)&gt;設定!$C$46,ROUND(($I876-$K876)*1440,0),0))</f>
        <v/>
      </c>
      <c r="Q876" s="85">
        <f>IF($M876="",0,IF(($M876-IFERROR(INDEX(設定!$G$6:$G$21,MATCH($G876,設定!$B$6:$B$21,0)),0))*60&gt;=設定!$C$44,ROUND(FLOOR(($M876-IFERROR(INDEX(設定!$G$6:$G$21,MATCH($G876,設定!$B$6:$B$21,0)),0))*60,設定!$C$45)/60,2),0))</f>
        <v/>
      </c>
      <c r="R876" s="16">
        <f>IF(OR($C876="",$Q876=0),"",IF($G876="國","國定假日",IF($B876="日","例假",IF($B876="六","休息日","平日"))))</f>
        <v/>
      </c>
      <c r="S876" s="19" t="n"/>
    </row>
    <row r="877">
      <c r="A877" s="82">
        <f>IF(OR(助理班表!$A33="",7&gt;DAY(EOMONTH(DATE(設定!$C$2,設定!$D$2,1),0))),"",DATE(設定!$C$2,設定!$D$2,7))</f>
        <v/>
      </c>
      <c r="B877" s="16">
        <f>IF($A877="","",INDEX(設定!$O$6:$O$12,WEEKDAY($A877,1)))</f>
        <v/>
      </c>
      <c r="C877" s="16">
        <f>IF($A877="","",助理班表!$A33)</f>
        <v/>
      </c>
      <c r="D877" s="16">
        <f>IF($C877="","",助理班表!$B33)</f>
        <v/>
      </c>
      <c r="E877" s="16">
        <f>IF($C877="","",助理班表!$D33)</f>
        <v/>
      </c>
      <c r="F877" s="16">
        <f>IF($C877="","",助理班表!$C33)</f>
        <v/>
      </c>
      <c r="G877" s="16">
        <f>IF($C877="","",助理班表!K33)</f>
        <v/>
      </c>
      <c r="H877" s="83">
        <f>IF($G877="","",IFERROR(IF(INDEX(設定!$D$6:$D$21,MATCH($G877,設定!$B$6:$B$21,0))=0,"",INDEX(設定!$D$6:$D$21,MATCH($G877,設定!$B$6:$B$21,0))),""))</f>
        <v/>
      </c>
      <c r="I877" s="83">
        <f>IF($G877="","",IFERROR(IF(INDEX(設定!$E$6:$E$21,MATCH($G877,設定!$B$6:$B$21,0))=0,"",INDEX(設定!$E$6:$E$21,MATCH($G877,設定!$B$6:$B$21,0))),""))</f>
        <v/>
      </c>
      <c r="J877" s="83">
        <f>IFERROR(INDEX(打卡匯入!$C$3:$C$2002,MATCH($C877&amp;"|"&amp;DAY($A877),打卡匯入!$E$3:$E$2002,0)),"")</f>
        <v/>
      </c>
      <c r="K877" s="83">
        <f>IFERROR(INDEX(打卡匯入!$D$3:$D$2002,MATCH($C877&amp;"|"&amp;DAY($A877),打卡匯入!$E$3:$E$2002,0)),"")</f>
        <v/>
      </c>
      <c r="L877" s="84">
        <f>IF(OR($J877="",$K877=""),"",IFERROR(INDEX(設定!$F$6:$F$21,MATCH($G877,設定!$B$6:$B$21,0)),0))</f>
        <v/>
      </c>
      <c r="M877" s="85">
        <f>IF(OR($J877="",$K877=""),"",ROUND(($K877-$J877)*24-$L877/60,2))</f>
        <v/>
      </c>
      <c r="N877" s="16">
        <f>IF($C877="","",IF(AND(COUNTIF(設定!$B$15:$B$21,$G877)&gt;0,$J877&lt;&gt;""),"假日出勤",IF(AND(COUNTIF(設定!$B$6:$B$14,$G877)&gt;0,$J877=""),"未打卡",IF($J877="","",IF($O877&gt;0,"遲到",IF($P877&gt;0,"早退","正常"))))))</f>
        <v/>
      </c>
      <c r="O877" s="84">
        <f>IF(OR($C877="",$H877="",$J877=""),0,IF(ROUND(($J877-$H877)*1440,0)&gt;設定!$C$46,ROUND(($J877-$H877)*1440,0),0))</f>
        <v/>
      </c>
      <c r="P877" s="84">
        <f>IF(OR($C877="",$I877="",$K877=""),0,IF(ROUND(($I877-$K877)*1440,0)&gt;設定!$C$46,ROUND(($I877-$K877)*1440,0),0))</f>
        <v/>
      </c>
      <c r="Q877" s="85">
        <f>IF($M877="",0,IF(($M877-IFERROR(INDEX(設定!$G$6:$G$21,MATCH($G877,設定!$B$6:$B$21,0)),0))*60&gt;=設定!$C$44,ROUND(FLOOR(($M877-IFERROR(INDEX(設定!$G$6:$G$21,MATCH($G877,設定!$B$6:$B$21,0)),0))*60,設定!$C$45)/60,2),0))</f>
        <v/>
      </c>
      <c r="R877" s="16">
        <f>IF(OR($C877="",$Q877=0),"",IF($G877="國","國定假日",IF($B877="日","例假",IF($B877="六","休息日","平日"))))</f>
        <v/>
      </c>
      <c r="S877" s="19" t="n"/>
    </row>
    <row r="878">
      <c r="A878" s="82">
        <f>IF(OR(助理班表!$A33="",8&gt;DAY(EOMONTH(DATE(設定!$C$2,設定!$D$2,1),0))),"",DATE(設定!$C$2,設定!$D$2,8))</f>
        <v/>
      </c>
      <c r="B878" s="16">
        <f>IF($A878="","",INDEX(設定!$O$6:$O$12,WEEKDAY($A878,1)))</f>
        <v/>
      </c>
      <c r="C878" s="16">
        <f>IF($A878="","",助理班表!$A33)</f>
        <v/>
      </c>
      <c r="D878" s="16">
        <f>IF($C878="","",助理班表!$B33)</f>
        <v/>
      </c>
      <c r="E878" s="16">
        <f>IF($C878="","",助理班表!$D33)</f>
        <v/>
      </c>
      <c r="F878" s="16">
        <f>IF($C878="","",助理班表!$C33)</f>
        <v/>
      </c>
      <c r="G878" s="16">
        <f>IF($C878="","",助理班表!L33)</f>
        <v/>
      </c>
      <c r="H878" s="83">
        <f>IF($G878="","",IFERROR(IF(INDEX(設定!$D$6:$D$21,MATCH($G878,設定!$B$6:$B$21,0))=0,"",INDEX(設定!$D$6:$D$21,MATCH($G878,設定!$B$6:$B$21,0))),""))</f>
        <v/>
      </c>
      <c r="I878" s="83">
        <f>IF($G878="","",IFERROR(IF(INDEX(設定!$E$6:$E$21,MATCH($G878,設定!$B$6:$B$21,0))=0,"",INDEX(設定!$E$6:$E$21,MATCH($G878,設定!$B$6:$B$21,0))),""))</f>
        <v/>
      </c>
      <c r="J878" s="83">
        <f>IFERROR(INDEX(打卡匯入!$C$3:$C$2002,MATCH($C878&amp;"|"&amp;DAY($A878),打卡匯入!$E$3:$E$2002,0)),"")</f>
        <v/>
      </c>
      <c r="K878" s="83">
        <f>IFERROR(INDEX(打卡匯入!$D$3:$D$2002,MATCH($C878&amp;"|"&amp;DAY($A878),打卡匯入!$E$3:$E$2002,0)),"")</f>
        <v/>
      </c>
      <c r="L878" s="84">
        <f>IF(OR($J878="",$K878=""),"",IFERROR(INDEX(設定!$F$6:$F$21,MATCH($G878,設定!$B$6:$B$21,0)),0))</f>
        <v/>
      </c>
      <c r="M878" s="85">
        <f>IF(OR($J878="",$K878=""),"",ROUND(($K878-$J878)*24-$L878/60,2))</f>
        <v/>
      </c>
      <c r="N878" s="16">
        <f>IF($C878="","",IF(AND(COUNTIF(設定!$B$15:$B$21,$G878)&gt;0,$J878&lt;&gt;""),"假日出勤",IF(AND(COUNTIF(設定!$B$6:$B$14,$G878)&gt;0,$J878=""),"未打卡",IF($J878="","",IF($O878&gt;0,"遲到",IF($P878&gt;0,"早退","正常"))))))</f>
        <v/>
      </c>
      <c r="O878" s="84">
        <f>IF(OR($C878="",$H878="",$J878=""),0,IF(ROUND(($J878-$H878)*1440,0)&gt;設定!$C$46,ROUND(($J878-$H878)*1440,0),0))</f>
        <v/>
      </c>
      <c r="P878" s="84">
        <f>IF(OR($C878="",$I878="",$K878=""),0,IF(ROUND(($I878-$K878)*1440,0)&gt;設定!$C$46,ROUND(($I878-$K878)*1440,0),0))</f>
        <v/>
      </c>
      <c r="Q878" s="85">
        <f>IF($M878="",0,IF(($M878-IFERROR(INDEX(設定!$G$6:$G$21,MATCH($G878,設定!$B$6:$B$21,0)),0))*60&gt;=設定!$C$44,ROUND(FLOOR(($M878-IFERROR(INDEX(設定!$G$6:$G$21,MATCH($G878,設定!$B$6:$B$21,0)),0))*60,設定!$C$45)/60,2),0))</f>
        <v/>
      </c>
      <c r="R878" s="16">
        <f>IF(OR($C878="",$Q878=0),"",IF($G878="國","國定假日",IF($B878="日","例假",IF($B878="六","休息日","平日"))))</f>
        <v/>
      </c>
      <c r="S878" s="19" t="n"/>
    </row>
    <row r="879">
      <c r="A879" s="82">
        <f>IF(OR(助理班表!$A33="",9&gt;DAY(EOMONTH(DATE(設定!$C$2,設定!$D$2,1),0))),"",DATE(設定!$C$2,設定!$D$2,9))</f>
        <v/>
      </c>
      <c r="B879" s="16">
        <f>IF($A879="","",INDEX(設定!$O$6:$O$12,WEEKDAY($A879,1)))</f>
        <v/>
      </c>
      <c r="C879" s="16">
        <f>IF($A879="","",助理班表!$A33)</f>
        <v/>
      </c>
      <c r="D879" s="16">
        <f>IF($C879="","",助理班表!$B33)</f>
        <v/>
      </c>
      <c r="E879" s="16">
        <f>IF($C879="","",助理班表!$D33)</f>
        <v/>
      </c>
      <c r="F879" s="16">
        <f>IF($C879="","",助理班表!$C33)</f>
        <v/>
      </c>
      <c r="G879" s="16">
        <f>IF($C879="","",助理班表!M33)</f>
        <v/>
      </c>
      <c r="H879" s="83">
        <f>IF($G879="","",IFERROR(IF(INDEX(設定!$D$6:$D$21,MATCH($G879,設定!$B$6:$B$21,0))=0,"",INDEX(設定!$D$6:$D$21,MATCH($G879,設定!$B$6:$B$21,0))),""))</f>
        <v/>
      </c>
      <c r="I879" s="83">
        <f>IF($G879="","",IFERROR(IF(INDEX(設定!$E$6:$E$21,MATCH($G879,設定!$B$6:$B$21,0))=0,"",INDEX(設定!$E$6:$E$21,MATCH($G879,設定!$B$6:$B$21,0))),""))</f>
        <v/>
      </c>
      <c r="J879" s="83">
        <f>IFERROR(INDEX(打卡匯入!$C$3:$C$2002,MATCH($C879&amp;"|"&amp;DAY($A879),打卡匯入!$E$3:$E$2002,0)),"")</f>
        <v/>
      </c>
      <c r="K879" s="83">
        <f>IFERROR(INDEX(打卡匯入!$D$3:$D$2002,MATCH($C879&amp;"|"&amp;DAY($A879),打卡匯入!$E$3:$E$2002,0)),"")</f>
        <v/>
      </c>
      <c r="L879" s="84">
        <f>IF(OR($J879="",$K879=""),"",IFERROR(INDEX(設定!$F$6:$F$21,MATCH($G879,設定!$B$6:$B$21,0)),0))</f>
        <v/>
      </c>
      <c r="M879" s="85">
        <f>IF(OR($J879="",$K879=""),"",ROUND(($K879-$J879)*24-$L879/60,2))</f>
        <v/>
      </c>
      <c r="N879" s="16">
        <f>IF($C879="","",IF(AND(COUNTIF(設定!$B$15:$B$21,$G879)&gt;0,$J879&lt;&gt;""),"假日出勤",IF(AND(COUNTIF(設定!$B$6:$B$14,$G879)&gt;0,$J879=""),"未打卡",IF($J879="","",IF($O879&gt;0,"遲到",IF($P879&gt;0,"早退","正常"))))))</f>
        <v/>
      </c>
      <c r="O879" s="84">
        <f>IF(OR($C879="",$H879="",$J879=""),0,IF(ROUND(($J879-$H879)*1440,0)&gt;設定!$C$46,ROUND(($J879-$H879)*1440,0),0))</f>
        <v/>
      </c>
      <c r="P879" s="84">
        <f>IF(OR($C879="",$I879="",$K879=""),0,IF(ROUND(($I879-$K879)*1440,0)&gt;設定!$C$46,ROUND(($I879-$K879)*1440,0),0))</f>
        <v/>
      </c>
      <c r="Q879" s="85">
        <f>IF($M879="",0,IF(($M879-IFERROR(INDEX(設定!$G$6:$G$21,MATCH($G879,設定!$B$6:$B$21,0)),0))*60&gt;=設定!$C$44,ROUND(FLOOR(($M879-IFERROR(INDEX(設定!$G$6:$G$21,MATCH($G879,設定!$B$6:$B$21,0)),0))*60,設定!$C$45)/60,2),0))</f>
        <v/>
      </c>
      <c r="R879" s="16">
        <f>IF(OR($C879="",$Q879=0),"",IF($G879="國","國定假日",IF($B879="日","例假",IF($B879="六","休息日","平日"))))</f>
        <v/>
      </c>
      <c r="S879" s="19" t="n"/>
    </row>
    <row r="880">
      <c r="A880" s="82">
        <f>IF(OR(助理班表!$A33="",10&gt;DAY(EOMONTH(DATE(設定!$C$2,設定!$D$2,1),0))),"",DATE(設定!$C$2,設定!$D$2,10))</f>
        <v/>
      </c>
      <c r="B880" s="16">
        <f>IF($A880="","",INDEX(設定!$O$6:$O$12,WEEKDAY($A880,1)))</f>
        <v/>
      </c>
      <c r="C880" s="16">
        <f>IF($A880="","",助理班表!$A33)</f>
        <v/>
      </c>
      <c r="D880" s="16">
        <f>IF($C880="","",助理班表!$B33)</f>
        <v/>
      </c>
      <c r="E880" s="16">
        <f>IF($C880="","",助理班表!$D33)</f>
        <v/>
      </c>
      <c r="F880" s="16">
        <f>IF($C880="","",助理班表!$C33)</f>
        <v/>
      </c>
      <c r="G880" s="16">
        <f>IF($C880="","",助理班表!N33)</f>
        <v/>
      </c>
      <c r="H880" s="83">
        <f>IF($G880="","",IFERROR(IF(INDEX(設定!$D$6:$D$21,MATCH($G880,設定!$B$6:$B$21,0))=0,"",INDEX(設定!$D$6:$D$21,MATCH($G880,設定!$B$6:$B$21,0))),""))</f>
        <v/>
      </c>
      <c r="I880" s="83">
        <f>IF($G880="","",IFERROR(IF(INDEX(設定!$E$6:$E$21,MATCH($G880,設定!$B$6:$B$21,0))=0,"",INDEX(設定!$E$6:$E$21,MATCH($G880,設定!$B$6:$B$21,0))),""))</f>
        <v/>
      </c>
      <c r="J880" s="83">
        <f>IFERROR(INDEX(打卡匯入!$C$3:$C$2002,MATCH($C880&amp;"|"&amp;DAY($A880),打卡匯入!$E$3:$E$2002,0)),"")</f>
        <v/>
      </c>
      <c r="K880" s="83">
        <f>IFERROR(INDEX(打卡匯入!$D$3:$D$2002,MATCH($C880&amp;"|"&amp;DAY($A880),打卡匯入!$E$3:$E$2002,0)),"")</f>
        <v/>
      </c>
      <c r="L880" s="84">
        <f>IF(OR($J880="",$K880=""),"",IFERROR(INDEX(設定!$F$6:$F$21,MATCH($G880,設定!$B$6:$B$21,0)),0))</f>
        <v/>
      </c>
      <c r="M880" s="85">
        <f>IF(OR($J880="",$K880=""),"",ROUND(($K880-$J880)*24-$L880/60,2))</f>
        <v/>
      </c>
      <c r="N880" s="16">
        <f>IF($C880="","",IF(AND(COUNTIF(設定!$B$15:$B$21,$G880)&gt;0,$J880&lt;&gt;""),"假日出勤",IF(AND(COUNTIF(設定!$B$6:$B$14,$G880)&gt;0,$J880=""),"未打卡",IF($J880="","",IF($O880&gt;0,"遲到",IF($P880&gt;0,"早退","正常"))))))</f>
        <v/>
      </c>
      <c r="O880" s="84">
        <f>IF(OR($C880="",$H880="",$J880=""),0,IF(ROUND(($J880-$H880)*1440,0)&gt;設定!$C$46,ROUND(($J880-$H880)*1440,0),0))</f>
        <v/>
      </c>
      <c r="P880" s="84">
        <f>IF(OR($C880="",$I880="",$K880=""),0,IF(ROUND(($I880-$K880)*1440,0)&gt;設定!$C$46,ROUND(($I880-$K880)*1440,0),0))</f>
        <v/>
      </c>
      <c r="Q880" s="85">
        <f>IF($M880="",0,IF(($M880-IFERROR(INDEX(設定!$G$6:$G$21,MATCH($G880,設定!$B$6:$B$21,0)),0))*60&gt;=設定!$C$44,ROUND(FLOOR(($M880-IFERROR(INDEX(設定!$G$6:$G$21,MATCH($G880,設定!$B$6:$B$21,0)),0))*60,設定!$C$45)/60,2),0))</f>
        <v/>
      </c>
      <c r="R880" s="16">
        <f>IF(OR($C880="",$Q880=0),"",IF($G880="國","國定假日",IF($B880="日","例假",IF($B880="六","休息日","平日"))))</f>
        <v/>
      </c>
      <c r="S880" s="19" t="n"/>
    </row>
    <row r="881">
      <c r="A881" s="82">
        <f>IF(OR(助理班表!$A33="",11&gt;DAY(EOMONTH(DATE(設定!$C$2,設定!$D$2,1),0))),"",DATE(設定!$C$2,設定!$D$2,11))</f>
        <v/>
      </c>
      <c r="B881" s="16">
        <f>IF($A881="","",INDEX(設定!$O$6:$O$12,WEEKDAY($A881,1)))</f>
        <v/>
      </c>
      <c r="C881" s="16">
        <f>IF($A881="","",助理班表!$A33)</f>
        <v/>
      </c>
      <c r="D881" s="16">
        <f>IF($C881="","",助理班表!$B33)</f>
        <v/>
      </c>
      <c r="E881" s="16">
        <f>IF($C881="","",助理班表!$D33)</f>
        <v/>
      </c>
      <c r="F881" s="16">
        <f>IF($C881="","",助理班表!$C33)</f>
        <v/>
      </c>
      <c r="G881" s="16">
        <f>IF($C881="","",助理班表!O33)</f>
        <v/>
      </c>
      <c r="H881" s="83">
        <f>IF($G881="","",IFERROR(IF(INDEX(設定!$D$6:$D$21,MATCH($G881,設定!$B$6:$B$21,0))=0,"",INDEX(設定!$D$6:$D$21,MATCH($G881,設定!$B$6:$B$21,0))),""))</f>
        <v/>
      </c>
      <c r="I881" s="83">
        <f>IF($G881="","",IFERROR(IF(INDEX(設定!$E$6:$E$21,MATCH($G881,設定!$B$6:$B$21,0))=0,"",INDEX(設定!$E$6:$E$21,MATCH($G881,設定!$B$6:$B$21,0))),""))</f>
        <v/>
      </c>
      <c r="J881" s="83">
        <f>IFERROR(INDEX(打卡匯入!$C$3:$C$2002,MATCH($C881&amp;"|"&amp;DAY($A881),打卡匯入!$E$3:$E$2002,0)),"")</f>
        <v/>
      </c>
      <c r="K881" s="83">
        <f>IFERROR(INDEX(打卡匯入!$D$3:$D$2002,MATCH($C881&amp;"|"&amp;DAY($A881),打卡匯入!$E$3:$E$2002,0)),"")</f>
        <v/>
      </c>
      <c r="L881" s="84">
        <f>IF(OR($J881="",$K881=""),"",IFERROR(INDEX(設定!$F$6:$F$21,MATCH($G881,設定!$B$6:$B$21,0)),0))</f>
        <v/>
      </c>
      <c r="M881" s="85">
        <f>IF(OR($J881="",$K881=""),"",ROUND(($K881-$J881)*24-$L881/60,2))</f>
        <v/>
      </c>
      <c r="N881" s="16">
        <f>IF($C881="","",IF(AND(COUNTIF(設定!$B$15:$B$21,$G881)&gt;0,$J881&lt;&gt;""),"假日出勤",IF(AND(COUNTIF(設定!$B$6:$B$14,$G881)&gt;0,$J881=""),"未打卡",IF($J881="","",IF($O881&gt;0,"遲到",IF($P881&gt;0,"早退","正常"))))))</f>
        <v/>
      </c>
      <c r="O881" s="84">
        <f>IF(OR($C881="",$H881="",$J881=""),0,IF(ROUND(($J881-$H881)*1440,0)&gt;設定!$C$46,ROUND(($J881-$H881)*1440,0),0))</f>
        <v/>
      </c>
      <c r="P881" s="84">
        <f>IF(OR($C881="",$I881="",$K881=""),0,IF(ROUND(($I881-$K881)*1440,0)&gt;設定!$C$46,ROUND(($I881-$K881)*1440,0),0))</f>
        <v/>
      </c>
      <c r="Q881" s="85">
        <f>IF($M881="",0,IF(($M881-IFERROR(INDEX(設定!$G$6:$G$21,MATCH($G881,設定!$B$6:$B$21,0)),0))*60&gt;=設定!$C$44,ROUND(FLOOR(($M881-IFERROR(INDEX(設定!$G$6:$G$21,MATCH($G881,設定!$B$6:$B$21,0)),0))*60,設定!$C$45)/60,2),0))</f>
        <v/>
      </c>
      <c r="R881" s="16">
        <f>IF(OR($C881="",$Q881=0),"",IF($G881="國","國定假日",IF($B881="日","例假",IF($B881="六","休息日","平日"))))</f>
        <v/>
      </c>
      <c r="S881" s="19" t="n"/>
    </row>
    <row r="882">
      <c r="A882" s="82">
        <f>IF(OR(助理班表!$A33="",12&gt;DAY(EOMONTH(DATE(設定!$C$2,設定!$D$2,1),0))),"",DATE(設定!$C$2,設定!$D$2,12))</f>
        <v/>
      </c>
      <c r="B882" s="16">
        <f>IF($A882="","",INDEX(設定!$O$6:$O$12,WEEKDAY($A882,1)))</f>
        <v/>
      </c>
      <c r="C882" s="16">
        <f>IF($A882="","",助理班表!$A33)</f>
        <v/>
      </c>
      <c r="D882" s="16">
        <f>IF($C882="","",助理班表!$B33)</f>
        <v/>
      </c>
      <c r="E882" s="16">
        <f>IF($C882="","",助理班表!$D33)</f>
        <v/>
      </c>
      <c r="F882" s="16">
        <f>IF($C882="","",助理班表!$C33)</f>
        <v/>
      </c>
      <c r="G882" s="16">
        <f>IF($C882="","",助理班表!P33)</f>
        <v/>
      </c>
      <c r="H882" s="83">
        <f>IF($G882="","",IFERROR(IF(INDEX(設定!$D$6:$D$21,MATCH($G882,設定!$B$6:$B$21,0))=0,"",INDEX(設定!$D$6:$D$21,MATCH($G882,設定!$B$6:$B$21,0))),""))</f>
        <v/>
      </c>
      <c r="I882" s="83">
        <f>IF($G882="","",IFERROR(IF(INDEX(設定!$E$6:$E$21,MATCH($G882,設定!$B$6:$B$21,0))=0,"",INDEX(設定!$E$6:$E$21,MATCH($G882,設定!$B$6:$B$21,0))),""))</f>
        <v/>
      </c>
      <c r="J882" s="83">
        <f>IFERROR(INDEX(打卡匯入!$C$3:$C$2002,MATCH($C882&amp;"|"&amp;DAY($A882),打卡匯入!$E$3:$E$2002,0)),"")</f>
        <v/>
      </c>
      <c r="K882" s="83">
        <f>IFERROR(INDEX(打卡匯入!$D$3:$D$2002,MATCH($C882&amp;"|"&amp;DAY($A882),打卡匯入!$E$3:$E$2002,0)),"")</f>
        <v/>
      </c>
      <c r="L882" s="84">
        <f>IF(OR($J882="",$K882=""),"",IFERROR(INDEX(設定!$F$6:$F$21,MATCH($G882,設定!$B$6:$B$21,0)),0))</f>
        <v/>
      </c>
      <c r="M882" s="85">
        <f>IF(OR($J882="",$K882=""),"",ROUND(($K882-$J882)*24-$L882/60,2))</f>
        <v/>
      </c>
      <c r="N882" s="16">
        <f>IF($C882="","",IF(AND(COUNTIF(設定!$B$15:$B$21,$G882)&gt;0,$J882&lt;&gt;""),"假日出勤",IF(AND(COUNTIF(設定!$B$6:$B$14,$G882)&gt;0,$J882=""),"未打卡",IF($J882="","",IF($O882&gt;0,"遲到",IF($P882&gt;0,"早退","正常"))))))</f>
        <v/>
      </c>
      <c r="O882" s="84">
        <f>IF(OR($C882="",$H882="",$J882=""),0,IF(ROUND(($J882-$H882)*1440,0)&gt;設定!$C$46,ROUND(($J882-$H882)*1440,0),0))</f>
        <v/>
      </c>
      <c r="P882" s="84">
        <f>IF(OR($C882="",$I882="",$K882=""),0,IF(ROUND(($I882-$K882)*1440,0)&gt;設定!$C$46,ROUND(($I882-$K882)*1440,0),0))</f>
        <v/>
      </c>
      <c r="Q882" s="85">
        <f>IF($M882="",0,IF(($M882-IFERROR(INDEX(設定!$G$6:$G$21,MATCH($G882,設定!$B$6:$B$21,0)),0))*60&gt;=設定!$C$44,ROUND(FLOOR(($M882-IFERROR(INDEX(設定!$G$6:$G$21,MATCH($G882,設定!$B$6:$B$21,0)),0))*60,設定!$C$45)/60,2),0))</f>
        <v/>
      </c>
      <c r="R882" s="16">
        <f>IF(OR($C882="",$Q882=0),"",IF($G882="國","國定假日",IF($B882="日","例假",IF($B882="六","休息日","平日"))))</f>
        <v/>
      </c>
      <c r="S882" s="19" t="n"/>
    </row>
    <row r="883">
      <c r="A883" s="82">
        <f>IF(OR(助理班表!$A33="",13&gt;DAY(EOMONTH(DATE(設定!$C$2,設定!$D$2,1),0))),"",DATE(設定!$C$2,設定!$D$2,13))</f>
        <v/>
      </c>
      <c r="B883" s="16">
        <f>IF($A883="","",INDEX(設定!$O$6:$O$12,WEEKDAY($A883,1)))</f>
        <v/>
      </c>
      <c r="C883" s="16">
        <f>IF($A883="","",助理班表!$A33)</f>
        <v/>
      </c>
      <c r="D883" s="16">
        <f>IF($C883="","",助理班表!$B33)</f>
        <v/>
      </c>
      <c r="E883" s="16">
        <f>IF($C883="","",助理班表!$D33)</f>
        <v/>
      </c>
      <c r="F883" s="16">
        <f>IF($C883="","",助理班表!$C33)</f>
        <v/>
      </c>
      <c r="G883" s="16">
        <f>IF($C883="","",助理班表!Q33)</f>
        <v/>
      </c>
      <c r="H883" s="83">
        <f>IF($G883="","",IFERROR(IF(INDEX(設定!$D$6:$D$21,MATCH($G883,設定!$B$6:$B$21,0))=0,"",INDEX(設定!$D$6:$D$21,MATCH($G883,設定!$B$6:$B$21,0))),""))</f>
        <v/>
      </c>
      <c r="I883" s="83">
        <f>IF($G883="","",IFERROR(IF(INDEX(設定!$E$6:$E$21,MATCH($G883,設定!$B$6:$B$21,0))=0,"",INDEX(設定!$E$6:$E$21,MATCH($G883,設定!$B$6:$B$21,0))),""))</f>
        <v/>
      </c>
      <c r="J883" s="83">
        <f>IFERROR(INDEX(打卡匯入!$C$3:$C$2002,MATCH($C883&amp;"|"&amp;DAY($A883),打卡匯入!$E$3:$E$2002,0)),"")</f>
        <v/>
      </c>
      <c r="K883" s="83">
        <f>IFERROR(INDEX(打卡匯入!$D$3:$D$2002,MATCH($C883&amp;"|"&amp;DAY($A883),打卡匯入!$E$3:$E$2002,0)),"")</f>
        <v/>
      </c>
      <c r="L883" s="84">
        <f>IF(OR($J883="",$K883=""),"",IFERROR(INDEX(設定!$F$6:$F$21,MATCH($G883,設定!$B$6:$B$21,0)),0))</f>
        <v/>
      </c>
      <c r="M883" s="85">
        <f>IF(OR($J883="",$K883=""),"",ROUND(($K883-$J883)*24-$L883/60,2))</f>
        <v/>
      </c>
      <c r="N883" s="16">
        <f>IF($C883="","",IF(AND(COUNTIF(設定!$B$15:$B$21,$G883)&gt;0,$J883&lt;&gt;""),"假日出勤",IF(AND(COUNTIF(設定!$B$6:$B$14,$G883)&gt;0,$J883=""),"未打卡",IF($J883="","",IF($O883&gt;0,"遲到",IF($P883&gt;0,"早退","正常"))))))</f>
        <v/>
      </c>
      <c r="O883" s="84">
        <f>IF(OR($C883="",$H883="",$J883=""),0,IF(ROUND(($J883-$H883)*1440,0)&gt;設定!$C$46,ROUND(($J883-$H883)*1440,0),0))</f>
        <v/>
      </c>
      <c r="P883" s="84">
        <f>IF(OR($C883="",$I883="",$K883=""),0,IF(ROUND(($I883-$K883)*1440,0)&gt;設定!$C$46,ROUND(($I883-$K883)*1440,0),0))</f>
        <v/>
      </c>
      <c r="Q883" s="85">
        <f>IF($M883="",0,IF(($M883-IFERROR(INDEX(設定!$G$6:$G$21,MATCH($G883,設定!$B$6:$B$21,0)),0))*60&gt;=設定!$C$44,ROUND(FLOOR(($M883-IFERROR(INDEX(設定!$G$6:$G$21,MATCH($G883,設定!$B$6:$B$21,0)),0))*60,設定!$C$45)/60,2),0))</f>
        <v/>
      </c>
      <c r="R883" s="16">
        <f>IF(OR($C883="",$Q883=0),"",IF($G883="國","國定假日",IF($B883="日","例假",IF($B883="六","休息日","平日"))))</f>
        <v/>
      </c>
      <c r="S883" s="19" t="n"/>
    </row>
    <row r="884">
      <c r="A884" s="82">
        <f>IF(OR(助理班表!$A33="",14&gt;DAY(EOMONTH(DATE(設定!$C$2,設定!$D$2,1),0))),"",DATE(設定!$C$2,設定!$D$2,14))</f>
        <v/>
      </c>
      <c r="B884" s="16">
        <f>IF($A884="","",INDEX(設定!$O$6:$O$12,WEEKDAY($A884,1)))</f>
        <v/>
      </c>
      <c r="C884" s="16">
        <f>IF($A884="","",助理班表!$A33)</f>
        <v/>
      </c>
      <c r="D884" s="16">
        <f>IF($C884="","",助理班表!$B33)</f>
        <v/>
      </c>
      <c r="E884" s="16">
        <f>IF($C884="","",助理班表!$D33)</f>
        <v/>
      </c>
      <c r="F884" s="16">
        <f>IF($C884="","",助理班表!$C33)</f>
        <v/>
      </c>
      <c r="G884" s="16">
        <f>IF($C884="","",助理班表!R33)</f>
        <v/>
      </c>
      <c r="H884" s="83">
        <f>IF($G884="","",IFERROR(IF(INDEX(設定!$D$6:$D$21,MATCH($G884,設定!$B$6:$B$21,0))=0,"",INDEX(設定!$D$6:$D$21,MATCH($G884,設定!$B$6:$B$21,0))),""))</f>
        <v/>
      </c>
      <c r="I884" s="83">
        <f>IF($G884="","",IFERROR(IF(INDEX(設定!$E$6:$E$21,MATCH($G884,設定!$B$6:$B$21,0))=0,"",INDEX(設定!$E$6:$E$21,MATCH($G884,設定!$B$6:$B$21,0))),""))</f>
        <v/>
      </c>
      <c r="J884" s="83">
        <f>IFERROR(INDEX(打卡匯入!$C$3:$C$2002,MATCH($C884&amp;"|"&amp;DAY($A884),打卡匯入!$E$3:$E$2002,0)),"")</f>
        <v/>
      </c>
      <c r="K884" s="83">
        <f>IFERROR(INDEX(打卡匯入!$D$3:$D$2002,MATCH($C884&amp;"|"&amp;DAY($A884),打卡匯入!$E$3:$E$2002,0)),"")</f>
        <v/>
      </c>
      <c r="L884" s="84">
        <f>IF(OR($J884="",$K884=""),"",IFERROR(INDEX(設定!$F$6:$F$21,MATCH($G884,設定!$B$6:$B$21,0)),0))</f>
        <v/>
      </c>
      <c r="M884" s="85">
        <f>IF(OR($J884="",$K884=""),"",ROUND(($K884-$J884)*24-$L884/60,2))</f>
        <v/>
      </c>
      <c r="N884" s="16">
        <f>IF($C884="","",IF(AND(COUNTIF(設定!$B$15:$B$21,$G884)&gt;0,$J884&lt;&gt;""),"假日出勤",IF(AND(COUNTIF(設定!$B$6:$B$14,$G884)&gt;0,$J884=""),"未打卡",IF($J884="","",IF($O884&gt;0,"遲到",IF($P884&gt;0,"早退","正常"))))))</f>
        <v/>
      </c>
      <c r="O884" s="84">
        <f>IF(OR($C884="",$H884="",$J884=""),0,IF(ROUND(($J884-$H884)*1440,0)&gt;設定!$C$46,ROUND(($J884-$H884)*1440,0),0))</f>
        <v/>
      </c>
      <c r="P884" s="84">
        <f>IF(OR($C884="",$I884="",$K884=""),0,IF(ROUND(($I884-$K884)*1440,0)&gt;設定!$C$46,ROUND(($I884-$K884)*1440,0),0))</f>
        <v/>
      </c>
      <c r="Q884" s="85">
        <f>IF($M884="",0,IF(($M884-IFERROR(INDEX(設定!$G$6:$G$21,MATCH($G884,設定!$B$6:$B$21,0)),0))*60&gt;=設定!$C$44,ROUND(FLOOR(($M884-IFERROR(INDEX(設定!$G$6:$G$21,MATCH($G884,設定!$B$6:$B$21,0)),0))*60,設定!$C$45)/60,2),0))</f>
        <v/>
      </c>
      <c r="R884" s="16">
        <f>IF(OR($C884="",$Q884=0),"",IF($G884="國","國定假日",IF($B884="日","例假",IF($B884="六","休息日","平日"))))</f>
        <v/>
      </c>
      <c r="S884" s="19" t="n"/>
    </row>
    <row r="885">
      <c r="A885" s="82">
        <f>IF(OR(助理班表!$A33="",15&gt;DAY(EOMONTH(DATE(設定!$C$2,設定!$D$2,1),0))),"",DATE(設定!$C$2,設定!$D$2,15))</f>
        <v/>
      </c>
      <c r="B885" s="16">
        <f>IF($A885="","",INDEX(設定!$O$6:$O$12,WEEKDAY($A885,1)))</f>
        <v/>
      </c>
      <c r="C885" s="16">
        <f>IF($A885="","",助理班表!$A33)</f>
        <v/>
      </c>
      <c r="D885" s="16">
        <f>IF($C885="","",助理班表!$B33)</f>
        <v/>
      </c>
      <c r="E885" s="16">
        <f>IF($C885="","",助理班表!$D33)</f>
        <v/>
      </c>
      <c r="F885" s="16">
        <f>IF($C885="","",助理班表!$C33)</f>
        <v/>
      </c>
      <c r="G885" s="16">
        <f>IF($C885="","",助理班表!S33)</f>
        <v/>
      </c>
      <c r="H885" s="83">
        <f>IF($G885="","",IFERROR(IF(INDEX(設定!$D$6:$D$21,MATCH($G885,設定!$B$6:$B$21,0))=0,"",INDEX(設定!$D$6:$D$21,MATCH($G885,設定!$B$6:$B$21,0))),""))</f>
        <v/>
      </c>
      <c r="I885" s="83">
        <f>IF($G885="","",IFERROR(IF(INDEX(設定!$E$6:$E$21,MATCH($G885,設定!$B$6:$B$21,0))=0,"",INDEX(設定!$E$6:$E$21,MATCH($G885,設定!$B$6:$B$21,0))),""))</f>
        <v/>
      </c>
      <c r="J885" s="83">
        <f>IFERROR(INDEX(打卡匯入!$C$3:$C$2002,MATCH($C885&amp;"|"&amp;DAY($A885),打卡匯入!$E$3:$E$2002,0)),"")</f>
        <v/>
      </c>
      <c r="K885" s="83">
        <f>IFERROR(INDEX(打卡匯入!$D$3:$D$2002,MATCH($C885&amp;"|"&amp;DAY($A885),打卡匯入!$E$3:$E$2002,0)),"")</f>
        <v/>
      </c>
      <c r="L885" s="84">
        <f>IF(OR($J885="",$K885=""),"",IFERROR(INDEX(設定!$F$6:$F$21,MATCH($G885,設定!$B$6:$B$21,0)),0))</f>
        <v/>
      </c>
      <c r="M885" s="85">
        <f>IF(OR($J885="",$K885=""),"",ROUND(($K885-$J885)*24-$L885/60,2))</f>
        <v/>
      </c>
      <c r="N885" s="16">
        <f>IF($C885="","",IF(AND(COUNTIF(設定!$B$15:$B$21,$G885)&gt;0,$J885&lt;&gt;""),"假日出勤",IF(AND(COUNTIF(設定!$B$6:$B$14,$G885)&gt;0,$J885=""),"未打卡",IF($J885="","",IF($O885&gt;0,"遲到",IF($P885&gt;0,"早退","正常"))))))</f>
        <v/>
      </c>
      <c r="O885" s="84">
        <f>IF(OR($C885="",$H885="",$J885=""),0,IF(ROUND(($J885-$H885)*1440,0)&gt;設定!$C$46,ROUND(($J885-$H885)*1440,0),0))</f>
        <v/>
      </c>
      <c r="P885" s="84">
        <f>IF(OR($C885="",$I885="",$K885=""),0,IF(ROUND(($I885-$K885)*1440,0)&gt;設定!$C$46,ROUND(($I885-$K885)*1440,0),0))</f>
        <v/>
      </c>
      <c r="Q885" s="85">
        <f>IF($M885="",0,IF(($M885-IFERROR(INDEX(設定!$G$6:$G$21,MATCH($G885,設定!$B$6:$B$21,0)),0))*60&gt;=設定!$C$44,ROUND(FLOOR(($M885-IFERROR(INDEX(設定!$G$6:$G$21,MATCH($G885,設定!$B$6:$B$21,0)),0))*60,設定!$C$45)/60,2),0))</f>
        <v/>
      </c>
      <c r="R885" s="16">
        <f>IF(OR($C885="",$Q885=0),"",IF($G885="國","國定假日",IF($B885="日","例假",IF($B885="六","休息日","平日"))))</f>
        <v/>
      </c>
      <c r="S885" s="19" t="n"/>
    </row>
    <row r="886">
      <c r="A886" s="82">
        <f>IF(OR(助理班表!$A33="",16&gt;DAY(EOMONTH(DATE(設定!$C$2,設定!$D$2,1),0))),"",DATE(設定!$C$2,設定!$D$2,16))</f>
        <v/>
      </c>
      <c r="B886" s="16">
        <f>IF($A886="","",INDEX(設定!$O$6:$O$12,WEEKDAY($A886,1)))</f>
        <v/>
      </c>
      <c r="C886" s="16">
        <f>IF($A886="","",助理班表!$A33)</f>
        <v/>
      </c>
      <c r="D886" s="16">
        <f>IF($C886="","",助理班表!$B33)</f>
        <v/>
      </c>
      <c r="E886" s="16">
        <f>IF($C886="","",助理班表!$D33)</f>
        <v/>
      </c>
      <c r="F886" s="16">
        <f>IF($C886="","",助理班表!$C33)</f>
        <v/>
      </c>
      <c r="G886" s="16">
        <f>IF($C886="","",助理班表!T33)</f>
        <v/>
      </c>
      <c r="H886" s="83">
        <f>IF($G886="","",IFERROR(IF(INDEX(設定!$D$6:$D$21,MATCH($G886,設定!$B$6:$B$21,0))=0,"",INDEX(設定!$D$6:$D$21,MATCH($G886,設定!$B$6:$B$21,0))),""))</f>
        <v/>
      </c>
      <c r="I886" s="83">
        <f>IF($G886="","",IFERROR(IF(INDEX(設定!$E$6:$E$21,MATCH($G886,設定!$B$6:$B$21,0))=0,"",INDEX(設定!$E$6:$E$21,MATCH($G886,設定!$B$6:$B$21,0))),""))</f>
        <v/>
      </c>
      <c r="J886" s="83">
        <f>IFERROR(INDEX(打卡匯入!$C$3:$C$2002,MATCH($C886&amp;"|"&amp;DAY($A886),打卡匯入!$E$3:$E$2002,0)),"")</f>
        <v/>
      </c>
      <c r="K886" s="83">
        <f>IFERROR(INDEX(打卡匯入!$D$3:$D$2002,MATCH($C886&amp;"|"&amp;DAY($A886),打卡匯入!$E$3:$E$2002,0)),"")</f>
        <v/>
      </c>
      <c r="L886" s="84">
        <f>IF(OR($J886="",$K886=""),"",IFERROR(INDEX(設定!$F$6:$F$21,MATCH($G886,設定!$B$6:$B$21,0)),0))</f>
        <v/>
      </c>
      <c r="M886" s="85">
        <f>IF(OR($J886="",$K886=""),"",ROUND(($K886-$J886)*24-$L886/60,2))</f>
        <v/>
      </c>
      <c r="N886" s="16">
        <f>IF($C886="","",IF(AND(COUNTIF(設定!$B$15:$B$21,$G886)&gt;0,$J886&lt;&gt;""),"假日出勤",IF(AND(COUNTIF(設定!$B$6:$B$14,$G886)&gt;0,$J886=""),"未打卡",IF($J886="","",IF($O886&gt;0,"遲到",IF($P886&gt;0,"早退","正常"))))))</f>
        <v/>
      </c>
      <c r="O886" s="84">
        <f>IF(OR($C886="",$H886="",$J886=""),0,IF(ROUND(($J886-$H886)*1440,0)&gt;設定!$C$46,ROUND(($J886-$H886)*1440,0),0))</f>
        <v/>
      </c>
      <c r="P886" s="84">
        <f>IF(OR($C886="",$I886="",$K886=""),0,IF(ROUND(($I886-$K886)*1440,0)&gt;設定!$C$46,ROUND(($I886-$K886)*1440,0),0))</f>
        <v/>
      </c>
      <c r="Q886" s="85">
        <f>IF($M886="",0,IF(($M886-IFERROR(INDEX(設定!$G$6:$G$21,MATCH($G886,設定!$B$6:$B$21,0)),0))*60&gt;=設定!$C$44,ROUND(FLOOR(($M886-IFERROR(INDEX(設定!$G$6:$G$21,MATCH($G886,設定!$B$6:$B$21,0)),0))*60,設定!$C$45)/60,2),0))</f>
        <v/>
      </c>
      <c r="R886" s="16">
        <f>IF(OR($C886="",$Q886=0),"",IF($G886="國","國定假日",IF($B886="日","例假",IF($B886="六","休息日","平日"))))</f>
        <v/>
      </c>
      <c r="S886" s="19" t="n"/>
    </row>
    <row r="887">
      <c r="A887" s="82">
        <f>IF(OR(助理班表!$A33="",17&gt;DAY(EOMONTH(DATE(設定!$C$2,設定!$D$2,1),0))),"",DATE(設定!$C$2,設定!$D$2,17))</f>
        <v/>
      </c>
      <c r="B887" s="16">
        <f>IF($A887="","",INDEX(設定!$O$6:$O$12,WEEKDAY($A887,1)))</f>
        <v/>
      </c>
      <c r="C887" s="16">
        <f>IF($A887="","",助理班表!$A33)</f>
        <v/>
      </c>
      <c r="D887" s="16">
        <f>IF($C887="","",助理班表!$B33)</f>
        <v/>
      </c>
      <c r="E887" s="16">
        <f>IF($C887="","",助理班表!$D33)</f>
        <v/>
      </c>
      <c r="F887" s="16">
        <f>IF($C887="","",助理班表!$C33)</f>
        <v/>
      </c>
      <c r="G887" s="16">
        <f>IF($C887="","",助理班表!U33)</f>
        <v/>
      </c>
      <c r="H887" s="83">
        <f>IF($G887="","",IFERROR(IF(INDEX(設定!$D$6:$D$21,MATCH($G887,設定!$B$6:$B$21,0))=0,"",INDEX(設定!$D$6:$D$21,MATCH($G887,設定!$B$6:$B$21,0))),""))</f>
        <v/>
      </c>
      <c r="I887" s="83">
        <f>IF($G887="","",IFERROR(IF(INDEX(設定!$E$6:$E$21,MATCH($G887,設定!$B$6:$B$21,0))=0,"",INDEX(設定!$E$6:$E$21,MATCH($G887,設定!$B$6:$B$21,0))),""))</f>
        <v/>
      </c>
      <c r="J887" s="83">
        <f>IFERROR(INDEX(打卡匯入!$C$3:$C$2002,MATCH($C887&amp;"|"&amp;DAY($A887),打卡匯入!$E$3:$E$2002,0)),"")</f>
        <v/>
      </c>
      <c r="K887" s="83">
        <f>IFERROR(INDEX(打卡匯入!$D$3:$D$2002,MATCH($C887&amp;"|"&amp;DAY($A887),打卡匯入!$E$3:$E$2002,0)),"")</f>
        <v/>
      </c>
      <c r="L887" s="84">
        <f>IF(OR($J887="",$K887=""),"",IFERROR(INDEX(設定!$F$6:$F$21,MATCH($G887,設定!$B$6:$B$21,0)),0))</f>
        <v/>
      </c>
      <c r="M887" s="85">
        <f>IF(OR($J887="",$K887=""),"",ROUND(($K887-$J887)*24-$L887/60,2))</f>
        <v/>
      </c>
      <c r="N887" s="16">
        <f>IF($C887="","",IF(AND(COUNTIF(設定!$B$15:$B$21,$G887)&gt;0,$J887&lt;&gt;""),"假日出勤",IF(AND(COUNTIF(設定!$B$6:$B$14,$G887)&gt;0,$J887=""),"未打卡",IF($J887="","",IF($O887&gt;0,"遲到",IF($P887&gt;0,"早退","正常"))))))</f>
        <v/>
      </c>
      <c r="O887" s="84">
        <f>IF(OR($C887="",$H887="",$J887=""),0,IF(ROUND(($J887-$H887)*1440,0)&gt;設定!$C$46,ROUND(($J887-$H887)*1440,0),0))</f>
        <v/>
      </c>
      <c r="P887" s="84">
        <f>IF(OR($C887="",$I887="",$K887=""),0,IF(ROUND(($I887-$K887)*1440,0)&gt;設定!$C$46,ROUND(($I887-$K887)*1440,0),0))</f>
        <v/>
      </c>
      <c r="Q887" s="85">
        <f>IF($M887="",0,IF(($M887-IFERROR(INDEX(設定!$G$6:$G$21,MATCH($G887,設定!$B$6:$B$21,0)),0))*60&gt;=設定!$C$44,ROUND(FLOOR(($M887-IFERROR(INDEX(設定!$G$6:$G$21,MATCH($G887,設定!$B$6:$B$21,0)),0))*60,設定!$C$45)/60,2),0))</f>
        <v/>
      </c>
      <c r="R887" s="16">
        <f>IF(OR($C887="",$Q887=0),"",IF($G887="國","國定假日",IF($B887="日","例假",IF($B887="六","休息日","平日"))))</f>
        <v/>
      </c>
      <c r="S887" s="19" t="n"/>
    </row>
    <row r="888">
      <c r="A888" s="82">
        <f>IF(OR(助理班表!$A33="",18&gt;DAY(EOMONTH(DATE(設定!$C$2,設定!$D$2,1),0))),"",DATE(設定!$C$2,設定!$D$2,18))</f>
        <v/>
      </c>
      <c r="B888" s="16">
        <f>IF($A888="","",INDEX(設定!$O$6:$O$12,WEEKDAY($A888,1)))</f>
        <v/>
      </c>
      <c r="C888" s="16">
        <f>IF($A888="","",助理班表!$A33)</f>
        <v/>
      </c>
      <c r="D888" s="16">
        <f>IF($C888="","",助理班表!$B33)</f>
        <v/>
      </c>
      <c r="E888" s="16">
        <f>IF($C888="","",助理班表!$D33)</f>
        <v/>
      </c>
      <c r="F888" s="16">
        <f>IF($C888="","",助理班表!$C33)</f>
        <v/>
      </c>
      <c r="G888" s="16">
        <f>IF($C888="","",助理班表!V33)</f>
        <v/>
      </c>
      <c r="H888" s="83">
        <f>IF($G888="","",IFERROR(IF(INDEX(設定!$D$6:$D$21,MATCH($G888,設定!$B$6:$B$21,0))=0,"",INDEX(設定!$D$6:$D$21,MATCH($G888,設定!$B$6:$B$21,0))),""))</f>
        <v/>
      </c>
      <c r="I888" s="83">
        <f>IF($G888="","",IFERROR(IF(INDEX(設定!$E$6:$E$21,MATCH($G888,設定!$B$6:$B$21,0))=0,"",INDEX(設定!$E$6:$E$21,MATCH($G888,設定!$B$6:$B$21,0))),""))</f>
        <v/>
      </c>
      <c r="J888" s="83">
        <f>IFERROR(INDEX(打卡匯入!$C$3:$C$2002,MATCH($C888&amp;"|"&amp;DAY($A888),打卡匯入!$E$3:$E$2002,0)),"")</f>
        <v/>
      </c>
      <c r="K888" s="83">
        <f>IFERROR(INDEX(打卡匯入!$D$3:$D$2002,MATCH($C888&amp;"|"&amp;DAY($A888),打卡匯入!$E$3:$E$2002,0)),"")</f>
        <v/>
      </c>
      <c r="L888" s="84">
        <f>IF(OR($J888="",$K888=""),"",IFERROR(INDEX(設定!$F$6:$F$21,MATCH($G888,設定!$B$6:$B$21,0)),0))</f>
        <v/>
      </c>
      <c r="M888" s="85">
        <f>IF(OR($J888="",$K888=""),"",ROUND(($K888-$J888)*24-$L888/60,2))</f>
        <v/>
      </c>
      <c r="N888" s="16">
        <f>IF($C888="","",IF(AND(COUNTIF(設定!$B$15:$B$21,$G888)&gt;0,$J888&lt;&gt;""),"假日出勤",IF(AND(COUNTIF(設定!$B$6:$B$14,$G888)&gt;0,$J888=""),"未打卡",IF($J888="","",IF($O888&gt;0,"遲到",IF($P888&gt;0,"早退","正常"))))))</f>
        <v/>
      </c>
      <c r="O888" s="84">
        <f>IF(OR($C888="",$H888="",$J888=""),0,IF(ROUND(($J888-$H888)*1440,0)&gt;設定!$C$46,ROUND(($J888-$H888)*1440,0),0))</f>
        <v/>
      </c>
      <c r="P888" s="84">
        <f>IF(OR($C888="",$I888="",$K888=""),0,IF(ROUND(($I888-$K888)*1440,0)&gt;設定!$C$46,ROUND(($I888-$K888)*1440,0),0))</f>
        <v/>
      </c>
      <c r="Q888" s="85">
        <f>IF($M888="",0,IF(($M888-IFERROR(INDEX(設定!$G$6:$G$21,MATCH($G888,設定!$B$6:$B$21,0)),0))*60&gt;=設定!$C$44,ROUND(FLOOR(($M888-IFERROR(INDEX(設定!$G$6:$G$21,MATCH($G888,設定!$B$6:$B$21,0)),0))*60,設定!$C$45)/60,2),0))</f>
        <v/>
      </c>
      <c r="R888" s="16">
        <f>IF(OR($C888="",$Q888=0),"",IF($G888="國","國定假日",IF($B888="日","例假",IF($B888="六","休息日","平日"))))</f>
        <v/>
      </c>
      <c r="S888" s="19" t="n"/>
    </row>
    <row r="889">
      <c r="A889" s="82">
        <f>IF(OR(助理班表!$A33="",19&gt;DAY(EOMONTH(DATE(設定!$C$2,設定!$D$2,1),0))),"",DATE(設定!$C$2,設定!$D$2,19))</f>
        <v/>
      </c>
      <c r="B889" s="16">
        <f>IF($A889="","",INDEX(設定!$O$6:$O$12,WEEKDAY($A889,1)))</f>
        <v/>
      </c>
      <c r="C889" s="16">
        <f>IF($A889="","",助理班表!$A33)</f>
        <v/>
      </c>
      <c r="D889" s="16">
        <f>IF($C889="","",助理班表!$B33)</f>
        <v/>
      </c>
      <c r="E889" s="16">
        <f>IF($C889="","",助理班表!$D33)</f>
        <v/>
      </c>
      <c r="F889" s="16">
        <f>IF($C889="","",助理班表!$C33)</f>
        <v/>
      </c>
      <c r="G889" s="16">
        <f>IF($C889="","",助理班表!W33)</f>
        <v/>
      </c>
      <c r="H889" s="83">
        <f>IF($G889="","",IFERROR(IF(INDEX(設定!$D$6:$D$21,MATCH($G889,設定!$B$6:$B$21,0))=0,"",INDEX(設定!$D$6:$D$21,MATCH($G889,設定!$B$6:$B$21,0))),""))</f>
        <v/>
      </c>
      <c r="I889" s="83">
        <f>IF($G889="","",IFERROR(IF(INDEX(設定!$E$6:$E$21,MATCH($G889,設定!$B$6:$B$21,0))=0,"",INDEX(設定!$E$6:$E$21,MATCH($G889,設定!$B$6:$B$21,0))),""))</f>
        <v/>
      </c>
      <c r="J889" s="83">
        <f>IFERROR(INDEX(打卡匯入!$C$3:$C$2002,MATCH($C889&amp;"|"&amp;DAY($A889),打卡匯入!$E$3:$E$2002,0)),"")</f>
        <v/>
      </c>
      <c r="K889" s="83">
        <f>IFERROR(INDEX(打卡匯入!$D$3:$D$2002,MATCH($C889&amp;"|"&amp;DAY($A889),打卡匯入!$E$3:$E$2002,0)),"")</f>
        <v/>
      </c>
      <c r="L889" s="84">
        <f>IF(OR($J889="",$K889=""),"",IFERROR(INDEX(設定!$F$6:$F$21,MATCH($G889,設定!$B$6:$B$21,0)),0))</f>
        <v/>
      </c>
      <c r="M889" s="85">
        <f>IF(OR($J889="",$K889=""),"",ROUND(($K889-$J889)*24-$L889/60,2))</f>
        <v/>
      </c>
      <c r="N889" s="16">
        <f>IF($C889="","",IF(AND(COUNTIF(設定!$B$15:$B$21,$G889)&gt;0,$J889&lt;&gt;""),"假日出勤",IF(AND(COUNTIF(設定!$B$6:$B$14,$G889)&gt;0,$J889=""),"未打卡",IF($J889="","",IF($O889&gt;0,"遲到",IF($P889&gt;0,"早退","正常"))))))</f>
        <v/>
      </c>
      <c r="O889" s="84">
        <f>IF(OR($C889="",$H889="",$J889=""),0,IF(ROUND(($J889-$H889)*1440,0)&gt;設定!$C$46,ROUND(($J889-$H889)*1440,0),0))</f>
        <v/>
      </c>
      <c r="P889" s="84">
        <f>IF(OR($C889="",$I889="",$K889=""),0,IF(ROUND(($I889-$K889)*1440,0)&gt;設定!$C$46,ROUND(($I889-$K889)*1440,0),0))</f>
        <v/>
      </c>
      <c r="Q889" s="85">
        <f>IF($M889="",0,IF(($M889-IFERROR(INDEX(設定!$G$6:$G$21,MATCH($G889,設定!$B$6:$B$21,0)),0))*60&gt;=設定!$C$44,ROUND(FLOOR(($M889-IFERROR(INDEX(設定!$G$6:$G$21,MATCH($G889,設定!$B$6:$B$21,0)),0))*60,設定!$C$45)/60,2),0))</f>
        <v/>
      </c>
      <c r="R889" s="16">
        <f>IF(OR($C889="",$Q889=0),"",IF($G889="國","國定假日",IF($B889="日","例假",IF($B889="六","休息日","平日"))))</f>
        <v/>
      </c>
      <c r="S889" s="19" t="n"/>
    </row>
    <row r="890">
      <c r="A890" s="82">
        <f>IF(OR(助理班表!$A33="",20&gt;DAY(EOMONTH(DATE(設定!$C$2,設定!$D$2,1),0))),"",DATE(設定!$C$2,設定!$D$2,20))</f>
        <v/>
      </c>
      <c r="B890" s="16">
        <f>IF($A890="","",INDEX(設定!$O$6:$O$12,WEEKDAY($A890,1)))</f>
        <v/>
      </c>
      <c r="C890" s="16">
        <f>IF($A890="","",助理班表!$A33)</f>
        <v/>
      </c>
      <c r="D890" s="16">
        <f>IF($C890="","",助理班表!$B33)</f>
        <v/>
      </c>
      <c r="E890" s="16">
        <f>IF($C890="","",助理班表!$D33)</f>
        <v/>
      </c>
      <c r="F890" s="16">
        <f>IF($C890="","",助理班表!$C33)</f>
        <v/>
      </c>
      <c r="G890" s="16">
        <f>IF($C890="","",助理班表!X33)</f>
        <v/>
      </c>
      <c r="H890" s="83">
        <f>IF($G890="","",IFERROR(IF(INDEX(設定!$D$6:$D$21,MATCH($G890,設定!$B$6:$B$21,0))=0,"",INDEX(設定!$D$6:$D$21,MATCH($G890,設定!$B$6:$B$21,0))),""))</f>
        <v/>
      </c>
      <c r="I890" s="83">
        <f>IF($G890="","",IFERROR(IF(INDEX(設定!$E$6:$E$21,MATCH($G890,設定!$B$6:$B$21,0))=0,"",INDEX(設定!$E$6:$E$21,MATCH($G890,設定!$B$6:$B$21,0))),""))</f>
        <v/>
      </c>
      <c r="J890" s="83">
        <f>IFERROR(INDEX(打卡匯入!$C$3:$C$2002,MATCH($C890&amp;"|"&amp;DAY($A890),打卡匯入!$E$3:$E$2002,0)),"")</f>
        <v/>
      </c>
      <c r="K890" s="83">
        <f>IFERROR(INDEX(打卡匯入!$D$3:$D$2002,MATCH($C890&amp;"|"&amp;DAY($A890),打卡匯入!$E$3:$E$2002,0)),"")</f>
        <v/>
      </c>
      <c r="L890" s="84">
        <f>IF(OR($J890="",$K890=""),"",IFERROR(INDEX(設定!$F$6:$F$21,MATCH($G890,設定!$B$6:$B$21,0)),0))</f>
        <v/>
      </c>
      <c r="M890" s="85">
        <f>IF(OR($J890="",$K890=""),"",ROUND(($K890-$J890)*24-$L890/60,2))</f>
        <v/>
      </c>
      <c r="N890" s="16">
        <f>IF($C890="","",IF(AND(COUNTIF(設定!$B$15:$B$21,$G890)&gt;0,$J890&lt;&gt;""),"假日出勤",IF(AND(COUNTIF(設定!$B$6:$B$14,$G890)&gt;0,$J890=""),"未打卡",IF($J890="","",IF($O890&gt;0,"遲到",IF($P890&gt;0,"早退","正常"))))))</f>
        <v/>
      </c>
      <c r="O890" s="84">
        <f>IF(OR($C890="",$H890="",$J890=""),0,IF(ROUND(($J890-$H890)*1440,0)&gt;設定!$C$46,ROUND(($J890-$H890)*1440,0),0))</f>
        <v/>
      </c>
      <c r="P890" s="84">
        <f>IF(OR($C890="",$I890="",$K890=""),0,IF(ROUND(($I890-$K890)*1440,0)&gt;設定!$C$46,ROUND(($I890-$K890)*1440,0),0))</f>
        <v/>
      </c>
      <c r="Q890" s="85">
        <f>IF($M890="",0,IF(($M890-IFERROR(INDEX(設定!$G$6:$G$21,MATCH($G890,設定!$B$6:$B$21,0)),0))*60&gt;=設定!$C$44,ROUND(FLOOR(($M890-IFERROR(INDEX(設定!$G$6:$G$21,MATCH($G890,設定!$B$6:$B$21,0)),0))*60,設定!$C$45)/60,2),0))</f>
        <v/>
      </c>
      <c r="R890" s="16">
        <f>IF(OR($C890="",$Q890=0),"",IF($G890="國","國定假日",IF($B890="日","例假",IF($B890="六","休息日","平日"))))</f>
        <v/>
      </c>
      <c r="S890" s="19" t="n"/>
    </row>
    <row r="891">
      <c r="A891" s="82">
        <f>IF(OR(助理班表!$A33="",21&gt;DAY(EOMONTH(DATE(設定!$C$2,設定!$D$2,1),0))),"",DATE(設定!$C$2,設定!$D$2,21))</f>
        <v/>
      </c>
      <c r="B891" s="16">
        <f>IF($A891="","",INDEX(設定!$O$6:$O$12,WEEKDAY($A891,1)))</f>
        <v/>
      </c>
      <c r="C891" s="16">
        <f>IF($A891="","",助理班表!$A33)</f>
        <v/>
      </c>
      <c r="D891" s="16">
        <f>IF($C891="","",助理班表!$B33)</f>
        <v/>
      </c>
      <c r="E891" s="16">
        <f>IF($C891="","",助理班表!$D33)</f>
        <v/>
      </c>
      <c r="F891" s="16">
        <f>IF($C891="","",助理班表!$C33)</f>
        <v/>
      </c>
      <c r="G891" s="16">
        <f>IF($C891="","",助理班表!Y33)</f>
        <v/>
      </c>
      <c r="H891" s="83">
        <f>IF($G891="","",IFERROR(IF(INDEX(設定!$D$6:$D$21,MATCH($G891,設定!$B$6:$B$21,0))=0,"",INDEX(設定!$D$6:$D$21,MATCH($G891,設定!$B$6:$B$21,0))),""))</f>
        <v/>
      </c>
      <c r="I891" s="83">
        <f>IF($G891="","",IFERROR(IF(INDEX(設定!$E$6:$E$21,MATCH($G891,設定!$B$6:$B$21,0))=0,"",INDEX(設定!$E$6:$E$21,MATCH($G891,設定!$B$6:$B$21,0))),""))</f>
        <v/>
      </c>
      <c r="J891" s="83">
        <f>IFERROR(INDEX(打卡匯入!$C$3:$C$2002,MATCH($C891&amp;"|"&amp;DAY($A891),打卡匯入!$E$3:$E$2002,0)),"")</f>
        <v/>
      </c>
      <c r="K891" s="83">
        <f>IFERROR(INDEX(打卡匯入!$D$3:$D$2002,MATCH($C891&amp;"|"&amp;DAY($A891),打卡匯入!$E$3:$E$2002,0)),"")</f>
        <v/>
      </c>
      <c r="L891" s="84">
        <f>IF(OR($J891="",$K891=""),"",IFERROR(INDEX(設定!$F$6:$F$21,MATCH($G891,設定!$B$6:$B$21,0)),0))</f>
        <v/>
      </c>
      <c r="M891" s="85">
        <f>IF(OR($J891="",$K891=""),"",ROUND(($K891-$J891)*24-$L891/60,2))</f>
        <v/>
      </c>
      <c r="N891" s="16">
        <f>IF($C891="","",IF(AND(COUNTIF(設定!$B$15:$B$21,$G891)&gt;0,$J891&lt;&gt;""),"假日出勤",IF(AND(COUNTIF(設定!$B$6:$B$14,$G891)&gt;0,$J891=""),"未打卡",IF($J891="","",IF($O891&gt;0,"遲到",IF($P891&gt;0,"早退","正常"))))))</f>
        <v/>
      </c>
      <c r="O891" s="84">
        <f>IF(OR($C891="",$H891="",$J891=""),0,IF(ROUND(($J891-$H891)*1440,0)&gt;設定!$C$46,ROUND(($J891-$H891)*1440,0),0))</f>
        <v/>
      </c>
      <c r="P891" s="84">
        <f>IF(OR($C891="",$I891="",$K891=""),0,IF(ROUND(($I891-$K891)*1440,0)&gt;設定!$C$46,ROUND(($I891-$K891)*1440,0),0))</f>
        <v/>
      </c>
      <c r="Q891" s="85">
        <f>IF($M891="",0,IF(($M891-IFERROR(INDEX(設定!$G$6:$G$21,MATCH($G891,設定!$B$6:$B$21,0)),0))*60&gt;=設定!$C$44,ROUND(FLOOR(($M891-IFERROR(INDEX(設定!$G$6:$G$21,MATCH($G891,設定!$B$6:$B$21,0)),0))*60,設定!$C$45)/60,2),0))</f>
        <v/>
      </c>
      <c r="R891" s="16">
        <f>IF(OR($C891="",$Q891=0),"",IF($G891="國","國定假日",IF($B891="日","例假",IF($B891="六","休息日","平日"))))</f>
        <v/>
      </c>
      <c r="S891" s="19" t="n"/>
    </row>
    <row r="892">
      <c r="A892" s="82">
        <f>IF(OR(助理班表!$A33="",22&gt;DAY(EOMONTH(DATE(設定!$C$2,設定!$D$2,1),0))),"",DATE(設定!$C$2,設定!$D$2,22))</f>
        <v/>
      </c>
      <c r="B892" s="16">
        <f>IF($A892="","",INDEX(設定!$O$6:$O$12,WEEKDAY($A892,1)))</f>
        <v/>
      </c>
      <c r="C892" s="16">
        <f>IF($A892="","",助理班表!$A33)</f>
        <v/>
      </c>
      <c r="D892" s="16">
        <f>IF($C892="","",助理班表!$B33)</f>
        <v/>
      </c>
      <c r="E892" s="16">
        <f>IF($C892="","",助理班表!$D33)</f>
        <v/>
      </c>
      <c r="F892" s="16">
        <f>IF($C892="","",助理班表!$C33)</f>
        <v/>
      </c>
      <c r="G892" s="16">
        <f>IF($C892="","",助理班表!Z33)</f>
        <v/>
      </c>
      <c r="H892" s="83">
        <f>IF($G892="","",IFERROR(IF(INDEX(設定!$D$6:$D$21,MATCH($G892,設定!$B$6:$B$21,0))=0,"",INDEX(設定!$D$6:$D$21,MATCH($G892,設定!$B$6:$B$21,0))),""))</f>
        <v/>
      </c>
      <c r="I892" s="83">
        <f>IF($G892="","",IFERROR(IF(INDEX(設定!$E$6:$E$21,MATCH($G892,設定!$B$6:$B$21,0))=0,"",INDEX(設定!$E$6:$E$21,MATCH($G892,設定!$B$6:$B$21,0))),""))</f>
        <v/>
      </c>
      <c r="J892" s="83">
        <f>IFERROR(INDEX(打卡匯入!$C$3:$C$2002,MATCH($C892&amp;"|"&amp;DAY($A892),打卡匯入!$E$3:$E$2002,0)),"")</f>
        <v/>
      </c>
      <c r="K892" s="83">
        <f>IFERROR(INDEX(打卡匯入!$D$3:$D$2002,MATCH($C892&amp;"|"&amp;DAY($A892),打卡匯入!$E$3:$E$2002,0)),"")</f>
        <v/>
      </c>
      <c r="L892" s="84">
        <f>IF(OR($J892="",$K892=""),"",IFERROR(INDEX(設定!$F$6:$F$21,MATCH($G892,設定!$B$6:$B$21,0)),0))</f>
        <v/>
      </c>
      <c r="M892" s="85">
        <f>IF(OR($J892="",$K892=""),"",ROUND(($K892-$J892)*24-$L892/60,2))</f>
        <v/>
      </c>
      <c r="N892" s="16">
        <f>IF($C892="","",IF(AND(COUNTIF(設定!$B$15:$B$21,$G892)&gt;0,$J892&lt;&gt;""),"假日出勤",IF(AND(COUNTIF(設定!$B$6:$B$14,$G892)&gt;0,$J892=""),"未打卡",IF($J892="","",IF($O892&gt;0,"遲到",IF($P892&gt;0,"早退","正常"))))))</f>
        <v/>
      </c>
      <c r="O892" s="84">
        <f>IF(OR($C892="",$H892="",$J892=""),0,IF(ROUND(($J892-$H892)*1440,0)&gt;設定!$C$46,ROUND(($J892-$H892)*1440,0),0))</f>
        <v/>
      </c>
      <c r="P892" s="84">
        <f>IF(OR($C892="",$I892="",$K892=""),0,IF(ROUND(($I892-$K892)*1440,0)&gt;設定!$C$46,ROUND(($I892-$K892)*1440,0),0))</f>
        <v/>
      </c>
      <c r="Q892" s="85">
        <f>IF($M892="",0,IF(($M892-IFERROR(INDEX(設定!$G$6:$G$21,MATCH($G892,設定!$B$6:$B$21,0)),0))*60&gt;=設定!$C$44,ROUND(FLOOR(($M892-IFERROR(INDEX(設定!$G$6:$G$21,MATCH($G892,設定!$B$6:$B$21,0)),0))*60,設定!$C$45)/60,2),0))</f>
        <v/>
      </c>
      <c r="R892" s="16">
        <f>IF(OR($C892="",$Q892=0),"",IF($G892="國","國定假日",IF($B892="日","例假",IF($B892="六","休息日","平日"))))</f>
        <v/>
      </c>
      <c r="S892" s="19" t="n"/>
    </row>
    <row r="893">
      <c r="A893" s="82">
        <f>IF(OR(助理班表!$A33="",23&gt;DAY(EOMONTH(DATE(設定!$C$2,設定!$D$2,1),0))),"",DATE(設定!$C$2,設定!$D$2,23))</f>
        <v/>
      </c>
      <c r="B893" s="16">
        <f>IF($A893="","",INDEX(設定!$O$6:$O$12,WEEKDAY($A893,1)))</f>
        <v/>
      </c>
      <c r="C893" s="16">
        <f>IF($A893="","",助理班表!$A33)</f>
        <v/>
      </c>
      <c r="D893" s="16">
        <f>IF($C893="","",助理班表!$B33)</f>
        <v/>
      </c>
      <c r="E893" s="16">
        <f>IF($C893="","",助理班表!$D33)</f>
        <v/>
      </c>
      <c r="F893" s="16">
        <f>IF($C893="","",助理班表!$C33)</f>
        <v/>
      </c>
      <c r="G893" s="16">
        <f>IF($C893="","",助理班表!AA33)</f>
        <v/>
      </c>
      <c r="H893" s="83">
        <f>IF($G893="","",IFERROR(IF(INDEX(設定!$D$6:$D$21,MATCH($G893,設定!$B$6:$B$21,0))=0,"",INDEX(設定!$D$6:$D$21,MATCH($G893,設定!$B$6:$B$21,0))),""))</f>
        <v/>
      </c>
      <c r="I893" s="83">
        <f>IF($G893="","",IFERROR(IF(INDEX(設定!$E$6:$E$21,MATCH($G893,設定!$B$6:$B$21,0))=0,"",INDEX(設定!$E$6:$E$21,MATCH($G893,設定!$B$6:$B$21,0))),""))</f>
        <v/>
      </c>
      <c r="J893" s="83">
        <f>IFERROR(INDEX(打卡匯入!$C$3:$C$2002,MATCH($C893&amp;"|"&amp;DAY($A893),打卡匯入!$E$3:$E$2002,0)),"")</f>
        <v/>
      </c>
      <c r="K893" s="83">
        <f>IFERROR(INDEX(打卡匯入!$D$3:$D$2002,MATCH($C893&amp;"|"&amp;DAY($A893),打卡匯入!$E$3:$E$2002,0)),"")</f>
        <v/>
      </c>
      <c r="L893" s="84">
        <f>IF(OR($J893="",$K893=""),"",IFERROR(INDEX(設定!$F$6:$F$21,MATCH($G893,設定!$B$6:$B$21,0)),0))</f>
        <v/>
      </c>
      <c r="M893" s="85">
        <f>IF(OR($J893="",$K893=""),"",ROUND(($K893-$J893)*24-$L893/60,2))</f>
        <v/>
      </c>
      <c r="N893" s="16">
        <f>IF($C893="","",IF(AND(COUNTIF(設定!$B$15:$B$21,$G893)&gt;0,$J893&lt;&gt;""),"假日出勤",IF(AND(COUNTIF(設定!$B$6:$B$14,$G893)&gt;0,$J893=""),"未打卡",IF($J893="","",IF($O893&gt;0,"遲到",IF($P893&gt;0,"早退","正常"))))))</f>
        <v/>
      </c>
      <c r="O893" s="84">
        <f>IF(OR($C893="",$H893="",$J893=""),0,IF(ROUND(($J893-$H893)*1440,0)&gt;設定!$C$46,ROUND(($J893-$H893)*1440,0),0))</f>
        <v/>
      </c>
      <c r="P893" s="84">
        <f>IF(OR($C893="",$I893="",$K893=""),0,IF(ROUND(($I893-$K893)*1440,0)&gt;設定!$C$46,ROUND(($I893-$K893)*1440,0),0))</f>
        <v/>
      </c>
      <c r="Q893" s="85">
        <f>IF($M893="",0,IF(($M893-IFERROR(INDEX(設定!$G$6:$G$21,MATCH($G893,設定!$B$6:$B$21,0)),0))*60&gt;=設定!$C$44,ROUND(FLOOR(($M893-IFERROR(INDEX(設定!$G$6:$G$21,MATCH($G893,設定!$B$6:$B$21,0)),0))*60,設定!$C$45)/60,2),0))</f>
        <v/>
      </c>
      <c r="R893" s="16">
        <f>IF(OR($C893="",$Q893=0),"",IF($G893="國","國定假日",IF($B893="日","例假",IF($B893="六","休息日","平日"))))</f>
        <v/>
      </c>
      <c r="S893" s="19" t="n"/>
    </row>
    <row r="894">
      <c r="A894" s="82">
        <f>IF(OR(助理班表!$A33="",24&gt;DAY(EOMONTH(DATE(設定!$C$2,設定!$D$2,1),0))),"",DATE(設定!$C$2,設定!$D$2,24))</f>
        <v/>
      </c>
      <c r="B894" s="16">
        <f>IF($A894="","",INDEX(設定!$O$6:$O$12,WEEKDAY($A894,1)))</f>
        <v/>
      </c>
      <c r="C894" s="16">
        <f>IF($A894="","",助理班表!$A33)</f>
        <v/>
      </c>
      <c r="D894" s="16">
        <f>IF($C894="","",助理班表!$B33)</f>
        <v/>
      </c>
      <c r="E894" s="16">
        <f>IF($C894="","",助理班表!$D33)</f>
        <v/>
      </c>
      <c r="F894" s="16">
        <f>IF($C894="","",助理班表!$C33)</f>
        <v/>
      </c>
      <c r="G894" s="16">
        <f>IF($C894="","",助理班表!AB33)</f>
        <v/>
      </c>
      <c r="H894" s="83">
        <f>IF($G894="","",IFERROR(IF(INDEX(設定!$D$6:$D$21,MATCH($G894,設定!$B$6:$B$21,0))=0,"",INDEX(設定!$D$6:$D$21,MATCH($G894,設定!$B$6:$B$21,0))),""))</f>
        <v/>
      </c>
      <c r="I894" s="83">
        <f>IF($G894="","",IFERROR(IF(INDEX(設定!$E$6:$E$21,MATCH($G894,設定!$B$6:$B$21,0))=0,"",INDEX(設定!$E$6:$E$21,MATCH($G894,設定!$B$6:$B$21,0))),""))</f>
        <v/>
      </c>
      <c r="J894" s="83">
        <f>IFERROR(INDEX(打卡匯入!$C$3:$C$2002,MATCH($C894&amp;"|"&amp;DAY($A894),打卡匯入!$E$3:$E$2002,0)),"")</f>
        <v/>
      </c>
      <c r="K894" s="83">
        <f>IFERROR(INDEX(打卡匯入!$D$3:$D$2002,MATCH($C894&amp;"|"&amp;DAY($A894),打卡匯入!$E$3:$E$2002,0)),"")</f>
        <v/>
      </c>
      <c r="L894" s="84">
        <f>IF(OR($J894="",$K894=""),"",IFERROR(INDEX(設定!$F$6:$F$21,MATCH($G894,設定!$B$6:$B$21,0)),0))</f>
        <v/>
      </c>
      <c r="M894" s="85">
        <f>IF(OR($J894="",$K894=""),"",ROUND(($K894-$J894)*24-$L894/60,2))</f>
        <v/>
      </c>
      <c r="N894" s="16">
        <f>IF($C894="","",IF(AND(COUNTIF(設定!$B$15:$B$21,$G894)&gt;0,$J894&lt;&gt;""),"假日出勤",IF(AND(COUNTIF(設定!$B$6:$B$14,$G894)&gt;0,$J894=""),"未打卡",IF($J894="","",IF($O894&gt;0,"遲到",IF($P894&gt;0,"早退","正常"))))))</f>
        <v/>
      </c>
      <c r="O894" s="84">
        <f>IF(OR($C894="",$H894="",$J894=""),0,IF(ROUND(($J894-$H894)*1440,0)&gt;設定!$C$46,ROUND(($J894-$H894)*1440,0),0))</f>
        <v/>
      </c>
      <c r="P894" s="84">
        <f>IF(OR($C894="",$I894="",$K894=""),0,IF(ROUND(($I894-$K894)*1440,0)&gt;設定!$C$46,ROUND(($I894-$K894)*1440,0),0))</f>
        <v/>
      </c>
      <c r="Q894" s="85">
        <f>IF($M894="",0,IF(($M894-IFERROR(INDEX(設定!$G$6:$G$21,MATCH($G894,設定!$B$6:$B$21,0)),0))*60&gt;=設定!$C$44,ROUND(FLOOR(($M894-IFERROR(INDEX(設定!$G$6:$G$21,MATCH($G894,設定!$B$6:$B$21,0)),0))*60,設定!$C$45)/60,2),0))</f>
        <v/>
      </c>
      <c r="R894" s="16">
        <f>IF(OR($C894="",$Q894=0),"",IF($G894="國","國定假日",IF($B894="日","例假",IF($B894="六","休息日","平日"))))</f>
        <v/>
      </c>
      <c r="S894" s="19" t="n"/>
    </row>
    <row r="895">
      <c r="A895" s="82">
        <f>IF(OR(助理班表!$A33="",25&gt;DAY(EOMONTH(DATE(設定!$C$2,設定!$D$2,1),0))),"",DATE(設定!$C$2,設定!$D$2,25))</f>
        <v/>
      </c>
      <c r="B895" s="16">
        <f>IF($A895="","",INDEX(設定!$O$6:$O$12,WEEKDAY($A895,1)))</f>
        <v/>
      </c>
      <c r="C895" s="16">
        <f>IF($A895="","",助理班表!$A33)</f>
        <v/>
      </c>
      <c r="D895" s="16">
        <f>IF($C895="","",助理班表!$B33)</f>
        <v/>
      </c>
      <c r="E895" s="16">
        <f>IF($C895="","",助理班表!$D33)</f>
        <v/>
      </c>
      <c r="F895" s="16">
        <f>IF($C895="","",助理班表!$C33)</f>
        <v/>
      </c>
      <c r="G895" s="16">
        <f>IF($C895="","",助理班表!AC33)</f>
        <v/>
      </c>
      <c r="H895" s="83">
        <f>IF($G895="","",IFERROR(IF(INDEX(設定!$D$6:$D$21,MATCH($G895,設定!$B$6:$B$21,0))=0,"",INDEX(設定!$D$6:$D$21,MATCH($G895,設定!$B$6:$B$21,0))),""))</f>
        <v/>
      </c>
      <c r="I895" s="83">
        <f>IF($G895="","",IFERROR(IF(INDEX(設定!$E$6:$E$21,MATCH($G895,設定!$B$6:$B$21,0))=0,"",INDEX(設定!$E$6:$E$21,MATCH($G895,設定!$B$6:$B$21,0))),""))</f>
        <v/>
      </c>
      <c r="J895" s="83">
        <f>IFERROR(INDEX(打卡匯入!$C$3:$C$2002,MATCH($C895&amp;"|"&amp;DAY($A895),打卡匯入!$E$3:$E$2002,0)),"")</f>
        <v/>
      </c>
      <c r="K895" s="83">
        <f>IFERROR(INDEX(打卡匯入!$D$3:$D$2002,MATCH($C895&amp;"|"&amp;DAY($A895),打卡匯入!$E$3:$E$2002,0)),"")</f>
        <v/>
      </c>
      <c r="L895" s="84">
        <f>IF(OR($J895="",$K895=""),"",IFERROR(INDEX(設定!$F$6:$F$21,MATCH($G895,設定!$B$6:$B$21,0)),0))</f>
        <v/>
      </c>
      <c r="M895" s="85">
        <f>IF(OR($J895="",$K895=""),"",ROUND(($K895-$J895)*24-$L895/60,2))</f>
        <v/>
      </c>
      <c r="N895" s="16">
        <f>IF($C895="","",IF(AND(COUNTIF(設定!$B$15:$B$21,$G895)&gt;0,$J895&lt;&gt;""),"假日出勤",IF(AND(COUNTIF(設定!$B$6:$B$14,$G895)&gt;0,$J895=""),"未打卡",IF($J895="","",IF($O895&gt;0,"遲到",IF($P895&gt;0,"早退","正常"))))))</f>
        <v/>
      </c>
      <c r="O895" s="84">
        <f>IF(OR($C895="",$H895="",$J895=""),0,IF(ROUND(($J895-$H895)*1440,0)&gt;設定!$C$46,ROUND(($J895-$H895)*1440,0),0))</f>
        <v/>
      </c>
      <c r="P895" s="84">
        <f>IF(OR($C895="",$I895="",$K895=""),0,IF(ROUND(($I895-$K895)*1440,0)&gt;設定!$C$46,ROUND(($I895-$K895)*1440,0),0))</f>
        <v/>
      </c>
      <c r="Q895" s="85">
        <f>IF($M895="",0,IF(($M895-IFERROR(INDEX(設定!$G$6:$G$21,MATCH($G895,設定!$B$6:$B$21,0)),0))*60&gt;=設定!$C$44,ROUND(FLOOR(($M895-IFERROR(INDEX(設定!$G$6:$G$21,MATCH($G895,設定!$B$6:$B$21,0)),0))*60,設定!$C$45)/60,2),0))</f>
        <v/>
      </c>
      <c r="R895" s="16">
        <f>IF(OR($C895="",$Q895=0),"",IF($G895="國","國定假日",IF($B895="日","例假",IF($B895="六","休息日","平日"))))</f>
        <v/>
      </c>
      <c r="S895" s="19" t="n"/>
    </row>
    <row r="896">
      <c r="A896" s="82">
        <f>IF(OR(助理班表!$A33="",26&gt;DAY(EOMONTH(DATE(設定!$C$2,設定!$D$2,1),0))),"",DATE(設定!$C$2,設定!$D$2,26))</f>
        <v/>
      </c>
      <c r="B896" s="16">
        <f>IF($A896="","",INDEX(設定!$O$6:$O$12,WEEKDAY($A896,1)))</f>
        <v/>
      </c>
      <c r="C896" s="16">
        <f>IF($A896="","",助理班表!$A33)</f>
        <v/>
      </c>
      <c r="D896" s="16">
        <f>IF($C896="","",助理班表!$B33)</f>
        <v/>
      </c>
      <c r="E896" s="16">
        <f>IF($C896="","",助理班表!$D33)</f>
        <v/>
      </c>
      <c r="F896" s="16">
        <f>IF($C896="","",助理班表!$C33)</f>
        <v/>
      </c>
      <c r="G896" s="16">
        <f>IF($C896="","",助理班表!AD33)</f>
        <v/>
      </c>
      <c r="H896" s="83">
        <f>IF($G896="","",IFERROR(IF(INDEX(設定!$D$6:$D$21,MATCH($G896,設定!$B$6:$B$21,0))=0,"",INDEX(設定!$D$6:$D$21,MATCH($G896,設定!$B$6:$B$21,0))),""))</f>
        <v/>
      </c>
      <c r="I896" s="83">
        <f>IF($G896="","",IFERROR(IF(INDEX(設定!$E$6:$E$21,MATCH($G896,設定!$B$6:$B$21,0))=0,"",INDEX(設定!$E$6:$E$21,MATCH($G896,設定!$B$6:$B$21,0))),""))</f>
        <v/>
      </c>
      <c r="J896" s="83">
        <f>IFERROR(INDEX(打卡匯入!$C$3:$C$2002,MATCH($C896&amp;"|"&amp;DAY($A896),打卡匯入!$E$3:$E$2002,0)),"")</f>
        <v/>
      </c>
      <c r="K896" s="83">
        <f>IFERROR(INDEX(打卡匯入!$D$3:$D$2002,MATCH($C896&amp;"|"&amp;DAY($A896),打卡匯入!$E$3:$E$2002,0)),"")</f>
        <v/>
      </c>
      <c r="L896" s="84">
        <f>IF(OR($J896="",$K896=""),"",IFERROR(INDEX(設定!$F$6:$F$21,MATCH($G896,設定!$B$6:$B$21,0)),0))</f>
        <v/>
      </c>
      <c r="M896" s="85">
        <f>IF(OR($J896="",$K896=""),"",ROUND(($K896-$J896)*24-$L896/60,2))</f>
        <v/>
      </c>
      <c r="N896" s="16">
        <f>IF($C896="","",IF(AND(COUNTIF(設定!$B$15:$B$21,$G896)&gt;0,$J896&lt;&gt;""),"假日出勤",IF(AND(COUNTIF(設定!$B$6:$B$14,$G896)&gt;0,$J896=""),"未打卡",IF($J896="","",IF($O896&gt;0,"遲到",IF($P896&gt;0,"早退","正常"))))))</f>
        <v/>
      </c>
      <c r="O896" s="84">
        <f>IF(OR($C896="",$H896="",$J896=""),0,IF(ROUND(($J896-$H896)*1440,0)&gt;設定!$C$46,ROUND(($J896-$H896)*1440,0),0))</f>
        <v/>
      </c>
      <c r="P896" s="84">
        <f>IF(OR($C896="",$I896="",$K896=""),0,IF(ROUND(($I896-$K896)*1440,0)&gt;設定!$C$46,ROUND(($I896-$K896)*1440,0),0))</f>
        <v/>
      </c>
      <c r="Q896" s="85">
        <f>IF($M896="",0,IF(($M896-IFERROR(INDEX(設定!$G$6:$G$21,MATCH($G896,設定!$B$6:$B$21,0)),0))*60&gt;=設定!$C$44,ROUND(FLOOR(($M896-IFERROR(INDEX(設定!$G$6:$G$21,MATCH($G896,設定!$B$6:$B$21,0)),0))*60,設定!$C$45)/60,2),0))</f>
        <v/>
      </c>
      <c r="R896" s="16">
        <f>IF(OR($C896="",$Q896=0),"",IF($G896="國","國定假日",IF($B896="日","例假",IF($B896="六","休息日","平日"))))</f>
        <v/>
      </c>
      <c r="S896" s="19" t="n"/>
    </row>
    <row r="897">
      <c r="A897" s="82">
        <f>IF(OR(助理班表!$A33="",27&gt;DAY(EOMONTH(DATE(設定!$C$2,設定!$D$2,1),0))),"",DATE(設定!$C$2,設定!$D$2,27))</f>
        <v/>
      </c>
      <c r="B897" s="16">
        <f>IF($A897="","",INDEX(設定!$O$6:$O$12,WEEKDAY($A897,1)))</f>
        <v/>
      </c>
      <c r="C897" s="16">
        <f>IF($A897="","",助理班表!$A33)</f>
        <v/>
      </c>
      <c r="D897" s="16">
        <f>IF($C897="","",助理班表!$B33)</f>
        <v/>
      </c>
      <c r="E897" s="16">
        <f>IF($C897="","",助理班表!$D33)</f>
        <v/>
      </c>
      <c r="F897" s="16">
        <f>IF($C897="","",助理班表!$C33)</f>
        <v/>
      </c>
      <c r="G897" s="16">
        <f>IF($C897="","",助理班表!AE33)</f>
        <v/>
      </c>
      <c r="H897" s="83">
        <f>IF($G897="","",IFERROR(IF(INDEX(設定!$D$6:$D$21,MATCH($G897,設定!$B$6:$B$21,0))=0,"",INDEX(設定!$D$6:$D$21,MATCH($G897,設定!$B$6:$B$21,0))),""))</f>
        <v/>
      </c>
      <c r="I897" s="83">
        <f>IF($G897="","",IFERROR(IF(INDEX(設定!$E$6:$E$21,MATCH($G897,設定!$B$6:$B$21,0))=0,"",INDEX(設定!$E$6:$E$21,MATCH($G897,設定!$B$6:$B$21,0))),""))</f>
        <v/>
      </c>
      <c r="J897" s="83">
        <f>IFERROR(INDEX(打卡匯入!$C$3:$C$2002,MATCH($C897&amp;"|"&amp;DAY($A897),打卡匯入!$E$3:$E$2002,0)),"")</f>
        <v/>
      </c>
      <c r="K897" s="83">
        <f>IFERROR(INDEX(打卡匯入!$D$3:$D$2002,MATCH($C897&amp;"|"&amp;DAY($A897),打卡匯入!$E$3:$E$2002,0)),"")</f>
        <v/>
      </c>
      <c r="L897" s="84">
        <f>IF(OR($J897="",$K897=""),"",IFERROR(INDEX(設定!$F$6:$F$21,MATCH($G897,設定!$B$6:$B$21,0)),0))</f>
        <v/>
      </c>
      <c r="M897" s="85">
        <f>IF(OR($J897="",$K897=""),"",ROUND(($K897-$J897)*24-$L897/60,2))</f>
        <v/>
      </c>
      <c r="N897" s="16">
        <f>IF($C897="","",IF(AND(COUNTIF(設定!$B$15:$B$21,$G897)&gt;0,$J897&lt;&gt;""),"假日出勤",IF(AND(COUNTIF(設定!$B$6:$B$14,$G897)&gt;0,$J897=""),"未打卡",IF($J897="","",IF($O897&gt;0,"遲到",IF($P897&gt;0,"早退","正常"))))))</f>
        <v/>
      </c>
      <c r="O897" s="84">
        <f>IF(OR($C897="",$H897="",$J897=""),0,IF(ROUND(($J897-$H897)*1440,0)&gt;設定!$C$46,ROUND(($J897-$H897)*1440,0),0))</f>
        <v/>
      </c>
      <c r="P897" s="84">
        <f>IF(OR($C897="",$I897="",$K897=""),0,IF(ROUND(($I897-$K897)*1440,0)&gt;設定!$C$46,ROUND(($I897-$K897)*1440,0),0))</f>
        <v/>
      </c>
      <c r="Q897" s="85">
        <f>IF($M897="",0,IF(($M897-IFERROR(INDEX(設定!$G$6:$G$21,MATCH($G897,設定!$B$6:$B$21,0)),0))*60&gt;=設定!$C$44,ROUND(FLOOR(($M897-IFERROR(INDEX(設定!$G$6:$G$21,MATCH($G897,設定!$B$6:$B$21,0)),0))*60,設定!$C$45)/60,2),0))</f>
        <v/>
      </c>
      <c r="R897" s="16">
        <f>IF(OR($C897="",$Q897=0),"",IF($G897="國","國定假日",IF($B897="日","例假",IF($B897="六","休息日","平日"))))</f>
        <v/>
      </c>
      <c r="S897" s="19" t="n"/>
    </row>
    <row r="898">
      <c r="A898" s="82">
        <f>IF(OR(助理班表!$A33="",28&gt;DAY(EOMONTH(DATE(設定!$C$2,設定!$D$2,1),0))),"",DATE(設定!$C$2,設定!$D$2,28))</f>
        <v/>
      </c>
      <c r="B898" s="16">
        <f>IF($A898="","",INDEX(設定!$O$6:$O$12,WEEKDAY($A898,1)))</f>
        <v/>
      </c>
      <c r="C898" s="16">
        <f>IF($A898="","",助理班表!$A33)</f>
        <v/>
      </c>
      <c r="D898" s="16">
        <f>IF($C898="","",助理班表!$B33)</f>
        <v/>
      </c>
      <c r="E898" s="16">
        <f>IF($C898="","",助理班表!$D33)</f>
        <v/>
      </c>
      <c r="F898" s="16">
        <f>IF($C898="","",助理班表!$C33)</f>
        <v/>
      </c>
      <c r="G898" s="16">
        <f>IF($C898="","",助理班表!AF33)</f>
        <v/>
      </c>
      <c r="H898" s="83">
        <f>IF($G898="","",IFERROR(IF(INDEX(設定!$D$6:$D$21,MATCH($G898,設定!$B$6:$B$21,0))=0,"",INDEX(設定!$D$6:$D$21,MATCH($G898,設定!$B$6:$B$21,0))),""))</f>
        <v/>
      </c>
      <c r="I898" s="83">
        <f>IF($G898="","",IFERROR(IF(INDEX(設定!$E$6:$E$21,MATCH($G898,設定!$B$6:$B$21,0))=0,"",INDEX(設定!$E$6:$E$21,MATCH($G898,設定!$B$6:$B$21,0))),""))</f>
        <v/>
      </c>
      <c r="J898" s="83">
        <f>IFERROR(INDEX(打卡匯入!$C$3:$C$2002,MATCH($C898&amp;"|"&amp;DAY($A898),打卡匯入!$E$3:$E$2002,0)),"")</f>
        <v/>
      </c>
      <c r="K898" s="83">
        <f>IFERROR(INDEX(打卡匯入!$D$3:$D$2002,MATCH($C898&amp;"|"&amp;DAY($A898),打卡匯入!$E$3:$E$2002,0)),"")</f>
        <v/>
      </c>
      <c r="L898" s="84">
        <f>IF(OR($J898="",$K898=""),"",IFERROR(INDEX(設定!$F$6:$F$21,MATCH($G898,設定!$B$6:$B$21,0)),0))</f>
        <v/>
      </c>
      <c r="M898" s="85">
        <f>IF(OR($J898="",$K898=""),"",ROUND(($K898-$J898)*24-$L898/60,2))</f>
        <v/>
      </c>
      <c r="N898" s="16">
        <f>IF($C898="","",IF(AND(COUNTIF(設定!$B$15:$B$21,$G898)&gt;0,$J898&lt;&gt;""),"假日出勤",IF(AND(COUNTIF(設定!$B$6:$B$14,$G898)&gt;0,$J898=""),"未打卡",IF($J898="","",IF($O898&gt;0,"遲到",IF($P898&gt;0,"早退","正常"))))))</f>
        <v/>
      </c>
      <c r="O898" s="84">
        <f>IF(OR($C898="",$H898="",$J898=""),0,IF(ROUND(($J898-$H898)*1440,0)&gt;設定!$C$46,ROUND(($J898-$H898)*1440,0),0))</f>
        <v/>
      </c>
      <c r="P898" s="84">
        <f>IF(OR($C898="",$I898="",$K898=""),0,IF(ROUND(($I898-$K898)*1440,0)&gt;設定!$C$46,ROUND(($I898-$K898)*1440,0),0))</f>
        <v/>
      </c>
      <c r="Q898" s="85">
        <f>IF($M898="",0,IF(($M898-IFERROR(INDEX(設定!$G$6:$G$21,MATCH($G898,設定!$B$6:$B$21,0)),0))*60&gt;=設定!$C$44,ROUND(FLOOR(($M898-IFERROR(INDEX(設定!$G$6:$G$21,MATCH($G898,設定!$B$6:$B$21,0)),0))*60,設定!$C$45)/60,2),0))</f>
        <v/>
      </c>
      <c r="R898" s="16">
        <f>IF(OR($C898="",$Q898=0),"",IF($G898="國","國定假日",IF($B898="日","例假",IF($B898="六","休息日","平日"))))</f>
        <v/>
      </c>
      <c r="S898" s="19" t="n"/>
    </row>
    <row r="899">
      <c r="A899" s="82">
        <f>IF(OR(助理班表!$A33="",29&gt;DAY(EOMONTH(DATE(設定!$C$2,設定!$D$2,1),0))),"",DATE(設定!$C$2,設定!$D$2,29))</f>
        <v/>
      </c>
      <c r="B899" s="16">
        <f>IF($A899="","",INDEX(設定!$O$6:$O$12,WEEKDAY($A899,1)))</f>
        <v/>
      </c>
      <c r="C899" s="16">
        <f>IF($A899="","",助理班表!$A33)</f>
        <v/>
      </c>
      <c r="D899" s="16">
        <f>IF($C899="","",助理班表!$B33)</f>
        <v/>
      </c>
      <c r="E899" s="16">
        <f>IF($C899="","",助理班表!$D33)</f>
        <v/>
      </c>
      <c r="F899" s="16">
        <f>IF($C899="","",助理班表!$C33)</f>
        <v/>
      </c>
      <c r="G899" s="16">
        <f>IF($C899="","",助理班表!AG33)</f>
        <v/>
      </c>
      <c r="H899" s="83">
        <f>IF($G899="","",IFERROR(IF(INDEX(設定!$D$6:$D$21,MATCH($G899,設定!$B$6:$B$21,0))=0,"",INDEX(設定!$D$6:$D$21,MATCH($G899,設定!$B$6:$B$21,0))),""))</f>
        <v/>
      </c>
      <c r="I899" s="83">
        <f>IF($G899="","",IFERROR(IF(INDEX(設定!$E$6:$E$21,MATCH($G899,設定!$B$6:$B$21,0))=0,"",INDEX(設定!$E$6:$E$21,MATCH($G899,設定!$B$6:$B$21,0))),""))</f>
        <v/>
      </c>
      <c r="J899" s="83">
        <f>IFERROR(INDEX(打卡匯入!$C$3:$C$2002,MATCH($C899&amp;"|"&amp;DAY($A899),打卡匯入!$E$3:$E$2002,0)),"")</f>
        <v/>
      </c>
      <c r="K899" s="83">
        <f>IFERROR(INDEX(打卡匯入!$D$3:$D$2002,MATCH($C899&amp;"|"&amp;DAY($A899),打卡匯入!$E$3:$E$2002,0)),"")</f>
        <v/>
      </c>
      <c r="L899" s="84">
        <f>IF(OR($J899="",$K899=""),"",IFERROR(INDEX(設定!$F$6:$F$21,MATCH($G899,設定!$B$6:$B$21,0)),0))</f>
        <v/>
      </c>
      <c r="M899" s="85">
        <f>IF(OR($J899="",$K899=""),"",ROUND(($K899-$J899)*24-$L899/60,2))</f>
        <v/>
      </c>
      <c r="N899" s="16">
        <f>IF($C899="","",IF(AND(COUNTIF(設定!$B$15:$B$21,$G899)&gt;0,$J899&lt;&gt;""),"假日出勤",IF(AND(COUNTIF(設定!$B$6:$B$14,$G899)&gt;0,$J899=""),"未打卡",IF($J899="","",IF($O899&gt;0,"遲到",IF($P899&gt;0,"早退","正常"))))))</f>
        <v/>
      </c>
      <c r="O899" s="84">
        <f>IF(OR($C899="",$H899="",$J899=""),0,IF(ROUND(($J899-$H899)*1440,0)&gt;設定!$C$46,ROUND(($J899-$H899)*1440,0),0))</f>
        <v/>
      </c>
      <c r="P899" s="84">
        <f>IF(OR($C899="",$I899="",$K899=""),0,IF(ROUND(($I899-$K899)*1440,0)&gt;設定!$C$46,ROUND(($I899-$K899)*1440,0),0))</f>
        <v/>
      </c>
      <c r="Q899" s="85">
        <f>IF($M899="",0,IF(($M899-IFERROR(INDEX(設定!$G$6:$G$21,MATCH($G899,設定!$B$6:$B$21,0)),0))*60&gt;=設定!$C$44,ROUND(FLOOR(($M899-IFERROR(INDEX(設定!$G$6:$G$21,MATCH($G899,設定!$B$6:$B$21,0)),0))*60,設定!$C$45)/60,2),0))</f>
        <v/>
      </c>
      <c r="R899" s="16">
        <f>IF(OR($C899="",$Q899=0),"",IF($G899="國","國定假日",IF($B899="日","例假",IF($B899="六","休息日","平日"))))</f>
        <v/>
      </c>
      <c r="S899" s="19" t="n"/>
    </row>
    <row r="900">
      <c r="A900" s="82">
        <f>IF(OR(助理班表!$A33="",30&gt;DAY(EOMONTH(DATE(設定!$C$2,設定!$D$2,1),0))),"",DATE(設定!$C$2,設定!$D$2,30))</f>
        <v/>
      </c>
      <c r="B900" s="16">
        <f>IF($A900="","",INDEX(設定!$O$6:$O$12,WEEKDAY($A900,1)))</f>
        <v/>
      </c>
      <c r="C900" s="16">
        <f>IF($A900="","",助理班表!$A33)</f>
        <v/>
      </c>
      <c r="D900" s="16">
        <f>IF($C900="","",助理班表!$B33)</f>
        <v/>
      </c>
      <c r="E900" s="16">
        <f>IF($C900="","",助理班表!$D33)</f>
        <v/>
      </c>
      <c r="F900" s="16">
        <f>IF($C900="","",助理班表!$C33)</f>
        <v/>
      </c>
      <c r="G900" s="16">
        <f>IF($C900="","",助理班表!AH33)</f>
        <v/>
      </c>
      <c r="H900" s="83">
        <f>IF($G900="","",IFERROR(IF(INDEX(設定!$D$6:$D$21,MATCH($G900,設定!$B$6:$B$21,0))=0,"",INDEX(設定!$D$6:$D$21,MATCH($G900,設定!$B$6:$B$21,0))),""))</f>
        <v/>
      </c>
      <c r="I900" s="83">
        <f>IF($G900="","",IFERROR(IF(INDEX(設定!$E$6:$E$21,MATCH($G900,設定!$B$6:$B$21,0))=0,"",INDEX(設定!$E$6:$E$21,MATCH($G900,設定!$B$6:$B$21,0))),""))</f>
        <v/>
      </c>
      <c r="J900" s="83">
        <f>IFERROR(INDEX(打卡匯入!$C$3:$C$2002,MATCH($C900&amp;"|"&amp;DAY($A900),打卡匯入!$E$3:$E$2002,0)),"")</f>
        <v/>
      </c>
      <c r="K900" s="83">
        <f>IFERROR(INDEX(打卡匯入!$D$3:$D$2002,MATCH($C900&amp;"|"&amp;DAY($A900),打卡匯入!$E$3:$E$2002,0)),"")</f>
        <v/>
      </c>
      <c r="L900" s="84">
        <f>IF(OR($J900="",$K900=""),"",IFERROR(INDEX(設定!$F$6:$F$21,MATCH($G900,設定!$B$6:$B$21,0)),0))</f>
        <v/>
      </c>
      <c r="M900" s="85">
        <f>IF(OR($J900="",$K900=""),"",ROUND(($K900-$J900)*24-$L900/60,2))</f>
        <v/>
      </c>
      <c r="N900" s="16">
        <f>IF($C900="","",IF(AND(COUNTIF(設定!$B$15:$B$21,$G900)&gt;0,$J900&lt;&gt;""),"假日出勤",IF(AND(COUNTIF(設定!$B$6:$B$14,$G900)&gt;0,$J900=""),"未打卡",IF($J900="","",IF($O900&gt;0,"遲到",IF($P900&gt;0,"早退","正常"))))))</f>
        <v/>
      </c>
      <c r="O900" s="84">
        <f>IF(OR($C900="",$H900="",$J900=""),0,IF(ROUND(($J900-$H900)*1440,0)&gt;設定!$C$46,ROUND(($J900-$H900)*1440,0),0))</f>
        <v/>
      </c>
      <c r="P900" s="84">
        <f>IF(OR($C900="",$I900="",$K900=""),0,IF(ROUND(($I900-$K900)*1440,0)&gt;設定!$C$46,ROUND(($I900-$K900)*1440,0),0))</f>
        <v/>
      </c>
      <c r="Q900" s="85">
        <f>IF($M900="",0,IF(($M900-IFERROR(INDEX(設定!$G$6:$G$21,MATCH($G900,設定!$B$6:$B$21,0)),0))*60&gt;=設定!$C$44,ROUND(FLOOR(($M900-IFERROR(INDEX(設定!$G$6:$G$21,MATCH($G900,設定!$B$6:$B$21,0)),0))*60,設定!$C$45)/60,2),0))</f>
        <v/>
      </c>
      <c r="R900" s="16">
        <f>IF(OR($C900="",$Q900=0),"",IF($G900="國","國定假日",IF($B900="日","例假",IF($B900="六","休息日","平日"))))</f>
        <v/>
      </c>
      <c r="S900" s="19" t="n"/>
    </row>
    <row r="901">
      <c r="A901" s="82">
        <f>IF(OR(助理班表!$A33="",31&gt;DAY(EOMONTH(DATE(設定!$C$2,設定!$D$2,1),0))),"",DATE(設定!$C$2,設定!$D$2,31))</f>
        <v/>
      </c>
      <c r="B901" s="16">
        <f>IF($A901="","",INDEX(設定!$O$6:$O$12,WEEKDAY($A901,1)))</f>
        <v/>
      </c>
      <c r="C901" s="16">
        <f>IF($A901="","",助理班表!$A33)</f>
        <v/>
      </c>
      <c r="D901" s="16">
        <f>IF($C901="","",助理班表!$B33)</f>
        <v/>
      </c>
      <c r="E901" s="16">
        <f>IF($C901="","",助理班表!$D33)</f>
        <v/>
      </c>
      <c r="F901" s="16">
        <f>IF($C901="","",助理班表!$C33)</f>
        <v/>
      </c>
      <c r="G901" s="16">
        <f>IF($C901="","",助理班表!AI33)</f>
        <v/>
      </c>
      <c r="H901" s="83">
        <f>IF($G901="","",IFERROR(IF(INDEX(設定!$D$6:$D$21,MATCH($G901,設定!$B$6:$B$21,0))=0,"",INDEX(設定!$D$6:$D$21,MATCH($G901,設定!$B$6:$B$21,0))),""))</f>
        <v/>
      </c>
      <c r="I901" s="83">
        <f>IF($G901="","",IFERROR(IF(INDEX(設定!$E$6:$E$21,MATCH($G901,設定!$B$6:$B$21,0))=0,"",INDEX(設定!$E$6:$E$21,MATCH($G901,設定!$B$6:$B$21,0))),""))</f>
        <v/>
      </c>
      <c r="J901" s="83">
        <f>IFERROR(INDEX(打卡匯入!$C$3:$C$2002,MATCH($C901&amp;"|"&amp;DAY($A901),打卡匯入!$E$3:$E$2002,0)),"")</f>
        <v/>
      </c>
      <c r="K901" s="83">
        <f>IFERROR(INDEX(打卡匯入!$D$3:$D$2002,MATCH($C901&amp;"|"&amp;DAY($A901),打卡匯入!$E$3:$E$2002,0)),"")</f>
        <v/>
      </c>
      <c r="L901" s="84">
        <f>IF(OR($J901="",$K901=""),"",IFERROR(INDEX(設定!$F$6:$F$21,MATCH($G901,設定!$B$6:$B$21,0)),0))</f>
        <v/>
      </c>
      <c r="M901" s="85">
        <f>IF(OR($J901="",$K901=""),"",ROUND(($K901-$J901)*24-$L901/60,2))</f>
        <v/>
      </c>
      <c r="N901" s="16">
        <f>IF($C901="","",IF(AND(COUNTIF(設定!$B$15:$B$21,$G901)&gt;0,$J901&lt;&gt;""),"假日出勤",IF(AND(COUNTIF(設定!$B$6:$B$14,$G901)&gt;0,$J901=""),"未打卡",IF($J901="","",IF($O901&gt;0,"遲到",IF($P901&gt;0,"早退","正常"))))))</f>
        <v/>
      </c>
      <c r="O901" s="84">
        <f>IF(OR($C901="",$H901="",$J901=""),0,IF(ROUND(($J901-$H901)*1440,0)&gt;設定!$C$46,ROUND(($J901-$H901)*1440,0),0))</f>
        <v/>
      </c>
      <c r="P901" s="84">
        <f>IF(OR($C901="",$I901="",$K901=""),0,IF(ROUND(($I901-$K901)*1440,0)&gt;設定!$C$46,ROUND(($I901-$K901)*1440,0),0))</f>
        <v/>
      </c>
      <c r="Q901" s="85">
        <f>IF($M901="",0,IF(($M901-IFERROR(INDEX(設定!$G$6:$G$21,MATCH($G901,設定!$B$6:$B$21,0)),0))*60&gt;=設定!$C$44,ROUND(FLOOR(($M901-IFERROR(INDEX(設定!$G$6:$G$21,MATCH($G901,設定!$B$6:$B$21,0)),0))*60,設定!$C$45)/60,2),0))</f>
        <v/>
      </c>
      <c r="R901" s="16">
        <f>IF(OR($C901="",$Q901=0),"",IF($G901="國","國定假日",IF($B901="日","例假",IF($B901="六","休息日","平日"))))</f>
        <v/>
      </c>
      <c r="S901" s="19" t="n"/>
    </row>
    <row r="902">
      <c r="A902" s="82">
        <f>IF(OR(助理班表!$A34="",1&gt;DAY(EOMONTH(DATE(設定!$C$2,設定!$D$2,1),0))),"",DATE(設定!$C$2,設定!$D$2,1))</f>
        <v/>
      </c>
      <c r="B902" s="16">
        <f>IF($A902="","",INDEX(設定!$O$6:$O$12,WEEKDAY($A902,1)))</f>
        <v/>
      </c>
      <c r="C902" s="16">
        <f>IF($A902="","",助理班表!$A34)</f>
        <v/>
      </c>
      <c r="D902" s="16">
        <f>IF($C902="","",助理班表!$B34)</f>
        <v/>
      </c>
      <c r="E902" s="16">
        <f>IF($C902="","",助理班表!$D34)</f>
        <v/>
      </c>
      <c r="F902" s="16">
        <f>IF($C902="","",助理班表!$C34)</f>
        <v/>
      </c>
      <c r="G902" s="16">
        <f>IF($C902="","",助理班表!E34)</f>
        <v/>
      </c>
      <c r="H902" s="83">
        <f>IF($G902="","",IFERROR(IF(INDEX(設定!$D$6:$D$21,MATCH($G902,設定!$B$6:$B$21,0))=0,"",INDEX(設定!$D$6:$D$21,MATCH($G902,設定!$B$6:$B$21,0))),""))</f>
        <v/>
      </c>
      <c r="I902" s="83">
        <f>IF($G902="","",IFERROR(IF(INDEX(設定!$E$6:$E$21,MATCH($G902,設定!$B$6:$B$21,0))=0,"",INDEX(設定!$E$6:$E$21,MATCH($G902,設定!$B$6:$B$21,0))),""))</f>
        <v/>
      </c>
      <c r="J902" s="83">
        <f>IFERROR(INDEX(打卡匯入!$C$3:$C$2002,MATCH($C902&amp;"|"&amp;DAY($A902),打卡匯入!$E$3:$E$2002,0)),"")</f>
        <v/>
      </c>
      <c r="K902" s="83">
        <f>IFERROR(INDEX(打卡匯入!$D$3:$D$2002,MATCH($C902&amp;"|"&amp;DAY($A902),打卡匯入!$E$3:$E$2002,0)),"")</f>
        <v/>
      </c>
      <c r="L902" s="84">
        <f>IF(OR($J902="",$K902=""),"",IFERROR(INDEX(設定!$F$6:$F$21,MATCH($G902,設定!$B$6:$B$21,0)),0))</f>
        <v/>
      </c>
      <c r="M902" s="85">
        <f>IF(OR($J902="",$K902=""),"",ROUND(($K902-$J902)*24-$L902/60,2))</f>
        <v/>
      </c>
      <c r="N902" s="16">
        <f>IF($C902="","",IF(AND(COUNTIF(設定!$B$15:$B$21,$G902)&gt;0,$J902&lt;&gt;""),"假日出勤",IF(AND(COUNTIF(設定!$B$6:$B$14,$G902)&gt;0,$J902=""),"未打卡",IF($J902="","",IF($O902&gt;0,"遲到",IF($P902&gt;0,"早退","正常"))))))</f>
        <v/>
      </c>
      <c r="O902" s="84">
        <f>IF(OR($C902="",$H902="",$J902=""),0,IF(ROUND(($J902-$H902)*1440,0)&gt;設定!$C$46,ROUND(($J902-$H902)*1440,0),0))</f>
        <v/>
      </c>
      <c r="P902" s="84">
        <f>IF(OR($C902="",$I902="",$K902=""),0,IF(ROUND(($I902-$K902)*1440,0)&gt;設定!$C$46,ROUND(($I902-$K902)*1440,0),0))</f>
        <v/>
      </c>
      <c r="Q902" s="85">
        <f>IF($M902="",0,IF(($M902-IFERROR(INDEX(設定!$G$6:$G$21,MATCH($G902,設定!$B$6:$B$21,0)),0))*60&gt;=設定!$C$44,ROUND(FLOOR(($M902-IFERROR(INDEX(設定!$G$6:$G$21,MATCH($G902,設定!$B$6:$B$21,0)),0))*60,設定!$C$45)/60,2),0))</f>
        <v/>
      </c>
      <c r="R902" s="16">
        <f>IF(OR($C902="",$Q902=0),"",IF($G902="國","國定假日",IF($B902="日","例假",IF($B902="六","休息日","平日"))))</f>
        <v/>
      </c>
      <c r="S902" s="19" t="n"/>
    </row>
    <row r="903">
      <c r="A903" s="82">
        <f>IF(OR(助理班表!$A34="",2&gt;DAY(EOMONTH(DATE(設定!$C$2,設定!$D$2,1),0))),"",DATE(設定!$C$2,設定!$D$2,2))</f>
        <v/>
      </c>
      <c r="B903" s="16">
        <f>IF($A903="","",INDEX(設定!$O$6:$O$12,WEEKDAY($A903,1)))</f>
        <v/>
      </c>
      <c r="C903" s="16">
        <f>IF($A903="","",助理班表!$A34)</f>
        <v/>
      </c>
      <c r="D903" s="16">
        <f>IF($C903="","",助理班表!$B34)</f>
        <v/>
      </c>
      <c r="E903" s="16">
        <f>IF($C903="","",助理班表!$D34)</f>
        <v/>
      </c>
      <c r="F903" s="16">
        <f>IF($C903="","",助理班表!$C34)</f>
        <v/>
      </c>
      <c r="G903" s="16">
        <f>IF($C903="","",助理班表!F34)</f>
        <v/>
      </c>
      <c r="H903" s="83">
        <f>IF($G903="","",IFERROR(IF(INDEX(設定!$D$6:$D$21,MATCH($G903,設定!$B$6:$B$21,0))=0,"",INDEX(設定!$D$6:$D$21,MATCH($G903,設定!$B$6:$B$21,0))),""))</f>
        <v/>
      </c>
      <c r="I903" s="83">
        <f>IF($G903="","",IFERROR(IF(INDEX(設定!$E$6:$E$21,MATCH($G903,設定!$B$6:$B$21,0))=0,"",INDEX(設定!$E$6:$E$21,MATCH($G903,設定!$B$6:$B$21,0))),""))</f>
        <v/>
      </c>
      <c r="J903" s="83">
        <f>IFERROR(INDEX(打卡匯入!$C$3:$C$2002,MATCH($C903&amp;"|"&amp;DAY($A903),打卡匯入!$E$3:$E$2002,0)),"")</f>
        <v/>
      </c>
      <c r="K903" s="83">
        <f>IFERROR(INDEX(打卡匯入!$D$3:$D$2002,MATCH($C903&amp;"|"&amp;DAY($A903),打卡匯入!$E$3:$E$2002,0)),"")</f>
        <v/>
      </c>
      <c r="L903" s="84">
        <f>IF(OR($J903="",$K903=""),"",IFERROR(INDEX(設定!$F$6:$F$21,MATCH($G903,設定!$B$6:$B$21,0)),0))</f>
        <v/>
      </c>
      <c r="M903" s="85">
        <f>IF(OR($J903="",$K903=""),"",ROUND(($K903-$J903)*24-$L903/60,2))</f>
        <v/>
      </c>
      <c r="N903" s="16">
        <f>IF($C903="","",IF(AND(COUNTIF(設定!$B$15:$B$21,$G903)&gt;0,$J903&lt;&gt;""),"假日出勤",IF(AND(COUNTIF(設定!$B$6:$B$14,$G903)&gt;0,$J903=""),"未打卡",IF($J903="","",IF($O903&gt;0,"遲到",IF($P903&gt;0,"早退","正常"))))))</f>
        <v/>
      </c>
      <c r="O903" s="84">
        <f>IF(OR($C903="",$H903="",$J903=""),0,IF(ROUND(($J903-$H903)*1440,0)&gt;設定!$C$46,ROUND(($J903-$H903)*1440,0),0))</f>
        <v/>
      </c>
      <c r="P903" s="84">
        <f>IF(OR($C903="",$I903="",$K903=""),0,IF(ROUND(($I903-$K903)*1440,0)&gt;設定!$C$46,ROUND(($I903-$K903)*1440,0),0))</f>
        <v/>
      </c>
      <c r="Q903" s="85">
        <f>IF($M903="",0,IF(($M903-IFERROR(INDEX(設定!$G$6:$G$21,MATCH($G903,設定!$B$6:$B$21,0)),0))*60&gt;=設定!$C$44,ROUND(FLOOR(($M903-IFERROR(INDEX(設定!$G$6:$G$21,MATCH($G903,設定!$B$6:$B$21,0)),0))*60,設定!$C$45)/60,2),0))</f>
        <v/>
      </c>
      <c r="R903" s="16">
        <f>IF(OR($C903="",$Q903=0),"",IF($G903="國","國定假日",IF($B903="日","例假",IF($B903="六","休息日","平日"))))</f>
        <v/>
      </c>
      <c r="S903" s="19" t="n"/>
    </row>
    <row r="904">
      <c r="A904" s="82">
        <f>IF(OR(助理班表!$A34="",3&gt;DAY(EOMONTH(DATE(設定!$C$2,設定!$D$2,1),0))),"",DATE(設定!$C$2,設定!$D$2,3))</f>
        <v/>
      </c>
      <c r="B904" s="16">
        <f>IF($A904="","",INDEX(設定!$O$6:$O$12,WEEKDAY($A904,1)))</f>
        <v/>
      </c>
      <c r="C904" s="16">
        <f>IF($A904="","",助理班表!$A34)</f>
        <v/>
      </c>
      <c r="D904" s="16">
        <f>IF($C904="","",助理班表!$B34)</f>
        <v/>
      </c>
      <c r="E904" s="16">
        <f>IF($C904="","",助理班表!$D34)</f>
        <v/>
      </c>
      <c r="F904" s="16">
        <f>IF($C904="","",助理班表!$C34)</f>
        <v/>
      </c>
      <c r="G904" s="16">
        <f>IF($C904="","",助理班表!G34)</f>
        <v/>
      </c>
      <c r="H904" s="83">
        <f>IF($G904="","",IFERROR(IF(INDEX(設定!$D$6:$D$21,MATCH($G904,設定!$B$6:$B$21,0))=0,"",INDEX(設定!$D$6:$D$21,MATCH($G904,設定!$B$6:$B$21,0))),""))</f>
        <v/>
      </c>
      <c r="I904" s="83">
        <f>IF($G904="","",IFERROR(IF(INDEX(設定!$E$6:$E$21,MATCH($G904,設定!$B$6:$B$21,0))=0,"",INDEX(設定!$E$6:$E$21,MATCH($G904,設定!$B$6:$B$21,0))),""))</f>
        <v/>
      </c>
      <c r="J904" s="83">
        <f>IFERROR(INDEX(打卡匯入!$C$3:$C$2002,MATCH($C904&amp;"|"&amp;DAY($A904),打卡匯入!$E$3:$E$2002,0)),"")</f>
        <v/>
      </c>
      <c r="K904" s="83">
        <f>IFERROR(INDEX(打卡匯入!$D$3:$D$2002,MATCH($C904&amp;"|"&amp;DAY($A904),打卡匯入!$E$3:$E$2002,0)),"")</f>
        <v/>
      </c>
      <c r="L904" s="84">
        <f>IF(OR($J904="",$K904=""),"",IFERROR(INDEX(設定!$F$6:$F$21,MATCH($G904,設定!$B$6:$B$21,0)),0))</f>
        <v/>
      </c>
      <c r="M904" s="85">
        <f>IF(OR($J904="",$K904=""),"",ROUND(($K904-$J904)*24-$L904/60,2))</f>
        <v/>
      </c>
      <c r="N904" s="16">
        <f>IF($C904="","",IF(AND(COUNTIF(設定!$B$15:$B$21,$G904)&gt;0,$J904&lt;&gt;""),"假日出勤",IF(AND(COUNTIF(設定!$B$6:$B$14,$G904)&gt;0,$J904=""),"未打卡",IF($J904="","",IF($O904&gt;0,"遲到",IF($P904&gt;0,"早退","正常"))))))</f>
        <v/>
      </c>
      <c r="O904" s="84">
        <f>IF(OR($C904="",$H904="",$J904=""),0,IF(ROUND(($J904-$H904)*1440,0)&gt;設定!$C$46,ROUND(($J904-$H904)*1440,0),0))</f>
        <v/>
      </c>
      <c r="P904" s="84">
        <f>IF(OR($C904="",$I904="",$K904=""),0,IF(ROUND(($I904-$K904)*1440,0)&gt;設定!$C$46,ROUND(($I904-$K904)*1440,0),0))</f>
        <v/>
      </c>
      <c r="Q904" s="85">
        <f>IF($M904="",0,IF(($M904-IFERROR(INDEX(設定!$G$6:$G$21,MATCH($G904,設定!$B$6:$B$21,0)),0))*60&gt;=設定!$C$44,ROUND(FLOOR(($M904-IFERROR(INDEX(設定!$G$6:$G$21,MATCH($G904,設定!$B$6:$B$21,0)),0))*60,設定!$C$45)/60,2),0))</f>
        <v/>
      </c>
      <c r="R904" s="16">
        <f>IF(OR($C904="",$Q904=0),"",IF($G904="國","國定假日",IF($B904="日","例假",IF($B904="六","休息日","平日"))))</f>
        <v/>
      </c>
      <c r="S904" s="19" t="n"/>
    </row>
    <row r="905">
      <c r="A905" s="82">
        <f>IF(OR(助理班表!$A34="",4&gt;DAY(EOMONTH(DATE(設定!$C$2,設定!$D$2,1),0))),"",DATE(設定!$C$2,設定!$D$2,4))</f>
        <v/>
      </c>
      <c r="B905" s="16">
        <f>IF($A905="","",INDEX(設定!$O$6:$O$12,WEEKDAY($A905,1)))</f>
        <v/>
      </c>
      <c r="C905" s="16">
        <f>IF($A905="","",助理班表!$A34)</f>
        <v/>
      </c>
      <c r="D905" s="16">
        <f>IF($C905="","",助理班表!$B34)</f>
        <v/>
      </c>
      <c r="E905" s="16">
        <f>IF($C905="","",助理班表!$D34)</f>
        <v/>
      </c>
      <c r="F905" s="16">
        <f>IF($C905="","",助理班表!$C34)</f>
        <v/>
      </c>
      <c r="G905" s="16">
        <f>IF($C905="","",助理班表!H34)</f>
        <v/>
      </c>
      <c r="H905" s="83">
        <f>IF($G905="","",IFERROR(IF(INDEX(設定!$D$6:$D$21,MATCH($G905,設定!$B$6:$B$21,0))=0,"",INDEX(設定!$D$6:$D$21,MATCH($G905,設定!$B$6:$B$21,0))),""))</f>
        <v/>
      </c>
      <c r="I905" s="83">
        <f>IF($G905="","",IFERROR(IF(INDEX(設定!$E$6:$E$21,MATCH($G905,設定!$B$6:$B$21,0))=0,"",INDEX(設定!$E$6:$E$21,MATCH($G905,設定!$B$6:$B$21,0))),""))</f>
        <v/>
      </c>
      <c r="J905" s="83">
        <f>IFERROR(INDEX(打卡匯入!$C$3:$C$2002,MATCH($C905&amp;"|"&amp;DAY($A905),打卡匯入!$E$3:$E$2002,0)),"")</f>
        <v/>
      </c>
      <c r="K905" s="83">
        <f>IFERROR(INDEX(打卡匯入!$D$3:$D$2002,MATCH($C905&amp;"|"&amp;DAY($A905),打卡匯入!$E$3:$E$2002,0)),"")</f>
        <v/>
      </c>
      <c r="L905" s="84">
        <f>IF(OR($J905="",$K905=""),"",IFERROR(INDEX(設定!$F$6:$F$21,MATCH($G905,設定!$B$6:$B$21,0)),0))</f>
        <v/>
      </c>
      <c r="M905" s="85">
        <f>IF(OR($J905="",$K905=""),"",ROUND(($K905-$J905)*24-$L905/60,2))</f>
        <v/>
      </c>
      <c r="N905" s="16">
        <f>IF($C905="","",IF(AND(COUNTIF(設定!$B$15:$B$21,$G905)&gt;0,$J905&lt;&gt;""),"假日出勤",IF(AND(COUNTIF(設定!$B$6:$B$14,$G905)&gt;0,$J905=""),"未打卡",IF($J905="","",IF($O905&gt;0,"遲到",IF($P905&gt;0,"早退","正常"))))))</f>
        <v/>
      </c>
      <c r="O905" s="84">
        <f>IF(OR($C905="",$H905="",$J905=""),0,IF(ROUND(($J905-$H905)*1440,0)&gt;設定!$C$46,ROUND(($J905-$H905)*1440,0),0))</f>
        <v/>
      </c>
      <c r="P905" s="84">
        <f>IF(OR($C905="",$I905="",$K905=""),0,IF(ROUND(($I905-$K905)*1440,0)&gt;設定!$C$46,ROUND(($I905-$K905)*1440,0),0))</f>
        <v/>
      </c>
      <c r="Q905" s="85">
        <f>IF($M905="",0,IF(($M905-IFERROR(INDEX(設定!$G$6:$G$21,MATCH($G905,設定!$B$6:$B$21,0)),0))*60&gt;=設定!$C$44,ROUND(FLOOR(($M905-IFERROR(INDEX(設定!$G$6:$G$21,MATCH($G905,設定!$B$6:$B$21,0)),0))*60,設定!$C$45)/60,2),0))</f>
        <v/>
      </c>
      <c r="R905" s="16">
        <f>IF(OR($C905="",$Q905=0),"",IF($G905="國","國定假日",IF($B905="日","例假",IF($B905="六","休息日","平日"))))</f>
        <v/>
      </c>
      <c r="S905" s="19" t="n"/>
    </row>
    <row r="906">
      <c r="A906" s="82">
        <f>IF(OR(助理班表!$A34="",5&gt;DAY(EOMONTH(DATE(設定!$C$2,設定!$D$2,1),0))),"",DATE(設定!$C$2,設定!$D$2,5))</f>
        <v/>
      </c>
      <c r="B906" s="16">
        <f>IF($A906="","",INDEX(設定!$O$6:$O$12,WEEKDAY($A906,1)))</f>
        <v/>
      </c>
      <c r="C906" s="16">
        <f>IF($A906="","",助理班表!$A34)</f>
        <v/>
      </c>
      <c r="D906" s="16">
        <f>IF($C906="","",助理班表!$B34)</f>
        <v/>
      </c>
      <c r="E906" s="16">
        <f>IF($C906="","",助理班表!$D34)</f>
        <v/>
      </c>
      <c r="F906" s="16">
        <f>IF($C906="","",助理班表!$C34)</f>
        <v/>
      </c>
      <c r="G906" s="16">
        <f>IF($C906="","",助理班表!I34)</f>
        <v/>
      </c>
      <c r="H906" s="83">
        <f>IF($G906="","",IFERROR(IF(INDEX(設定!$D$6:$D$21,MATCH($G906,設定!$B$6:$B$21,0))=0,"",INDEX(設定!$D$6:$D$21,MATCH($G906,設定!$B$6:$B$21,0))),""))</f>
        <v/>
      </c>
      <c r="I906" s="83">
        <f>IF($G906="","",IFERROR(IF(INDEX(設定!$E$6:$E$21,MATCH($G906,設定!$B$6:$B$21,0))=0,"",INDEX(設定!$E$6:$E$21,MATCH($G906,設定!$B$6:$B$21,0))),""))</f>
        <v/>
      </c>
      <c r="J906" s="83">
        <f>IFERROR(INDEX(打卡匯入!$C$3:$C$2002,MATCH($C906&amp;"|"&amp;DAY($A906),打卡匯入!$E$3:$E$2002,0)),"")</f>
        <v/>
      </c>
      <c r="K906" s="83">
        <f>IFERROR(INDEX(打卡匯入!$D$3:$D$2002,MATCH($C906&amp;"|"&amp;DAY($A906),打卡匯入!$E$3:$E$2002,0)),"")</f>
        <v/>
      </c>
      <c r="L906" s="84">
        <f>IF(OR($J906="",$K906=""),"",IFERROR(INDEX(設定!$F$6:$F$21,MATCH($G906,設定!$B$6:$B$21,0)),0))</f>
        <v/>
      </c>
      <c r="M906" s="85">
        <f>IF(OR($J906="",$K906=""),"",ROUND(($K906-$J906)*24-$L906/60,2))</f>
        <v/>
      </c>
      <c r="N906" s="16">
        <f>IF($C906="","",IF(AND(COUNTIF(設定!$B$15:$B$21,$G906)&gt;0,$J906&lt;&gt;""),"假日出勤",IF(AND(COUNTIF(設定!$B$6:$B$14,$G906)&gt;0,$J906=""),"未打卡",IF($J906="","",IF($O906&gt;0,"遲到",IF($P906&gt;0,"早退","正常"))))))</f>
        <v/>
      </c>
      <c r="O906" s="84">
        <f>IF(OR($C906="",$H906="",$J906=""),0,IF(ROUND(($J906-$H906)*1440,0)&gt;設定!$C$46,ROUND(($J906-$H906)*1440,0),0))</f>
        <v/>
      </c>
      <c r="P906" s="84">
        <f>IF(OR($C906="",$I906="",$K906=""),0,IF(ROUND(($I906-$K906)*1440,0)&gt;設定!$C$46,ROUND(($I906-$K906)*1440,0),0))</f>
        <v/>
      </c>
      <c r="Q906" s="85">
        <f>IF($M906="",0,IF(($M906-IFERROR(INDEX(設定!$G$6:$G$21,MATCH($G906,設定!$B$6:$B$21,0)),0))*60&gt;=設定!$C$44,ROUND(FLOOR(($M906-IFERROR(INDEX(設定!$G$6:$G$21,MATCH($G906,設定!$B$6:$B$21,0)),0))*60,設定!$C$45)/60,2),0))</f>
        <v/>
      </c>
      <c r="R906" s="16">
        <f>IF(OR($C906="",$Q906=0),"",IF($G906="國","國定假日",IF($B906="日","例假",IF($B906="六","休息日","平日"))))</f>
        <v/>
      </c>
      <c r="S906" s="19" t="n"/>
    </row>
    <row r="907">
      <c r="A907" s="82">
        <f>IF(OR(助理班表!$A34="",6&gt;DAY(EOMONTH(DATE(設定!$C$2,設定!$D$2,1),0))),"",DATE(設定!$C$2,設定!$D$2,6))</f>
        <v/>
      </c>
      <c r="B907" s="16">
        <f>IF($A907="","",INDEX(設定!$O$6:$O$12,WEEKDAY($A907,1)))</f>
        <v/>
      </c>
      <c r="C907" s="16">
        <f>IF($A907="","",助理班表!$A34)</f>
        <v/>
      </c>
      <c r="D907" s="16">
        <f>IF($C907="","",助理班表!$B34)</f>
        <v/>
      </c>
      <c r="E907" s="16">
        <f>IF($C907="","",助理班表!$D34)</f>
        <v/>
      </c>
      <c r="F907" s="16">
        <f>IF($C907="","",助理班表!$C34)</f>
        <v/>
      </c>
      <c r="G907" s="16">
        <f>IF($C907="","",助理班表!J34)</f>
        <v/>
      </c>
      <c r="H907" s="83">
        <f>IF($G907="","",IFERROR(IF(INDEX(設定!$D$6:$D$21,MATCH($G907,設定!$B$6:$B$21,0))=0,"",INDEX(設定!$D$6:$D$21,MATCH($G907,設定!$B$6:$B$21,0))),""))</f>
        <v/>
      </c>
      <c r="I907" s="83">
        <f>IF($G907="","",IFERROR(IF(INDEX(設定!$E$6:$E$21,MATCH($G907,設定!$B$6:$B$21,0))=0,"",INDEX(設定!$E$6:$E$21,MATCH($G907,設定!$B$6:$B$21,0))),""))</f>
        <v/>
      </c>
      <c r="J907" s="83">
        <f>IFERROR(INDEX(打卡匯入!$C$3:$C$2002,MATCH($C907&amp;"|"&amp;DAY($A907),打卡匯入!$E$3:$E$2002,0)),"")</f>
        <v/>
      </c>
      <c r="K907" s="83">
        <f>IFERROR(INDEX(打卡匯入!$D$3:$D$2002,MATCH($C907&amp;"|"&amp;DAY($A907),打卡匯入!$E$3:$E$2002,0)),"")</f>
        <v/>
      </c>
      <c r="L907" s="84">
        <f>IF(OR($J907="",$K907=""),"",IFERROR(INDEX(設定!$F$6:$F$21,MATCH($G907,設定!$B$6:$B$21,0)),0))</f>
        <v/>
      </c>
      <c r="M907" s="85">
        <f>IF(OR($J907="",$K907=""),"",ROUND(($K907-$J907)*24-$L907/60,2))</f>
        <v/>
      </c>
      <c r="N907" s="16">
        <f>IF($C907="","",IF(AND(COUNTIF(設定!$B$15:$B$21,$G907)&gt;0,$J907&lt;&gt;""),"假日出勤",IF(AND(COUNTIF(設定!$B$6:$B$14,$G907)&gt;0,$J907=""),"未打卡",IF($J907="","",IF($O907&gt;0,"遲到",IF($P907&gt;0,"早退","正常"))))))</f>
        <v/>
      </c>
      <c r="O907" s="84">
        <f>IF(OR($C907="",$H907="",$J907=""),0,IF(ROUND(($J907-$H907)*1440,0)&gt;設定!$C$46,ROUND(($J907-$H907)*1440,0),0))</f>
        <v/>
      </c>
      <c r="P907" s="84">
        <f>IF(OR($C907="",$I907="",$K907=""),0,IF(ROUND(($I907-$K907)*1440,0)&gt;設定!$C$46,ROUND(($I907-$K907)*1440,0),0))</f>
        <v/>
      </c>
      <c r="Q907" s="85">
        <f>IF($M907="",0,IF(($M907-IFERROR(INDEX(設定!$G$6:$G$21,MATCH($G907,設定!$B$6:$B$21,0)),0))*60&gt;=設定!$C$44,ROUND(FLOOR(($M907-IFERROR(INDEX(設定!$G$6:$G$21,MATCH($G907,設定!$B$6:$B$21,0)),0))*60,設定!$C$45)/60,2),0))</f>
        <v/>
      </c>
      <c r="R907" s="16">
        <f>IF(OR($C907="",$Q907=0),"",IF($G907="國","國定假日",IF($B907="日","例假",IF($B907="六","休息日","平日"))))</f>
        <v/>
      </c>
      <c r="S907" s="19" t="n"/>
    </row>
    <row r="908">
      <c r="A908" s="82">
        <f>IF(OR(助理班表!$A34="",7&gt;DAY(EOMONTH(DATE(設定!$C$2,設定!$D$2,1),0))),"",DATE(設定!$C$2,設定!$D$2,7))</f>
        <v/>
      </c>
      <c r="B908" s="16">
        <f>IF($A908="","",INDEX(設定!$O$6:$O$12,WEEKDAY($A908,1)))</f>
        <v/>
      </c>
      <c r="C908" s="16">
        <f>IF($A908="","",助理班表!$A34)</f>
        <v/>
      </c>
      <c r="D908" s="16">
        <f>IF($C908="","",助理班表!$B34)</f>
        <v/>
      </c>
      <c r="E908" s="16">
        <f>IF($C908="","",助理班表!$D34)</f>
        <v/>
      </c>
      <c r="F908" s="16">
        <f>IF($C908="","",助理班表!$C34)</f>
        <v/>
      </c>
      <c r="G908" s="16">
        <f>IF($C908="","",助理班表!K34)</f>
        <v/>
      </c>
      <c r="H908" s="83">
        <f>IF($G908="","",IFERROR(IF(INDEX(設定!$D$6:$D$21,MATCH($G908,設定!$B$6:$B$21,0))=0,"",INDEX(設定!$D$6:$D$21,MATCH($G908,設定!$B$6:$B$21,0))),""))</f>
        <v/>
      </c>
      <c r="I908" s="83">
        <f>IF($G908="","",IFERROR(IF(INDEX(設定!$E$6:$E$21,MATCH($G908,設定!$B$6:$B$21,0))=0,"",INDEX(設定!$E$6:$E$21,MATCH($G908,設定!$B$6:$B$21,0))),""))</f>
        <v/>
      </c>
      <c r="J908" s="83">
        <f>IFERROR(INDEX(打卡匯入!$C$3:$C$2002,MATCH($C908&amp;"|"&amp;DAY($A908),打卡匯入!$E$3:$E$2002,0)),"")</f>
        <v/>
      </c>
      <c r="K908" s="83">
        <f>IFERROR(INDEX(打卡匯入!$D$3:$D$2002,MATCH($C908&amp;"|"&amp;DAY($A908),打卡匯入!$E$3:$E$2002,0)),"")</f>
        <v/>
      </c>
      <c r="L908" s="84">
        <f>IF(OR($J908="",$K908=""),"",IFERROR(INDEX(設定!$F$6:$F$21,MATCH($G908,設定!$B$6:$B$21,0)),0))</f>
        <v/>
      </c>
      <c r="M908" s="85">
        <f>IF(OR($J908="",$K908=""),"",ROUND(($K908-$J908)*24-$L908/60,2))</f>
        <v/>
      </c>
      <c r="N908" s="16">
        <f>IF($C908="","",IF(AND(COUNTIF(設定!$B$15:$B$21,$G908)&gt;0,$J908&lt;&gt;""),"假日出勤",IF(AND(COUNTIF(設定!$B$6:$B$14,$G908)&gt;0,$J908=""),"未打卡",IF($J908="","",IF($O908&gt;0,"遲到",IF($P908&gt;0,"早退","正常"))))))</f>
        <v/>
      </c>
      <c r="O908" s="84">
        <f>IF(OR($C908="",$H908="",$J908=""),0,IF(ROUND(($J908-$H908)*1440,0)&gt;設定!$C$46,ROUND(($J908-$H908)*1440,0),0))</f>
        <v/>
      </c>
      <c r="P908" s="84">
        <f>IF(OR($C908="",$I908="",$K908=""),0,IF(ROUND(($I908-$K908)*1440,0)&gt;設定!$C$46,ROUND(($I908-$K908)*1440,0),0))</f>
        <v/>
      </c>
      <c r="Q908" s="85">
        <f>IF($M908="",0,IF(($M908-IFERROR(INDEX(設定!$G$6:$G$21,MATCH($G908,設定!$B$6:$B$21,0)),0))*60&gt;=設定!$C$44,ROUND(FLOOR(($M908-IFERROR(INDEX(設定!$G$6:$G$21,MATCH($G908,設定!$B$6:$B$21,0)),0))*60,設定!$C$45)/60,2),0))</f>
        <v/>
      </c>
      <c r="R908" s="16">
        <f>IF(OR($C908="",$Q908=0),"",IF($G908="國","國定假日",IF($B908="日","例假",IF($B908="六","休息日","平日"))))</f>
        <v/>
      </c>
      <c r="S908" s="19" t="n"/>
    </row>
    <row r="909">
      <c r="A909" s="82">
        <f>IF(OR(助理班表!$A34="",8&gt;DAY(EOMONTH(DATE(設定!$C$2,設定!$D$2,1),0))),"",DATE(設定!$C$2,設定!$D$2,8))</f>
        <v/>
      </c>
      <c r="B909" s="16">
        <f>IF($A909="","",INDEX(設定!$O$6:$O$12,WEEKDAY($A909,1)))</f>
        <v/>
      </c>
      <c r="C909" s="16">
        <f>IF($A909="","",助理班表!$A34)</f>
        <v/>
      </c>
      <c r="D909" s="16">
        <f>IF($C909="","",助理班表!$B34)</f>
        <v/>
      </c>
      <c r="E909" s="16">
        <f>IF($C909="","",助理班表!$D34)</f>
        <v/>
      </c>
      <c r="F909" s="16">
        <f>IF($C909="","",助理班表!$C34)</f>
        <v/>
      </c>
      <c r="G909" s="16">
        <f>IF($C909="","",助理班表!L34)</f>
        <v/>
      </c>
      <c r="H909" s="83">
        <f>IF($G909="","",IFERROR(IF(INDEX(設定!$D$6:$D$21,MATCH($G909,設定!$B$6:$B$21,0))=0,"",INDEX(設定!$D$6:$D$21,MATCH($G909,設定!$B$6:$B$21,0))),""))</f>
        <v/>
      </c>
      <c r="I909" s="83">
        <f>IF($G909="","",IFERROR(IF(INDEX(設定!$E$6:$E$21,MATCH($G909,設定!$B$6:$B$21,0))=0,"",INDEX(設定!$E$6:$E$21,MATCH($G909,設定!$B$6:$B$21,0))),""))</f>
        <v/>
      </c>
      <c r="J909" s="83">
        <f>IFERROR(INDEX(打卡匯入!$C$3:$C$2002,MATCH($C909&amp;"|"&amp;DAY($A909),打卡匯入!$E$3:$E$2002,0)),"")</f>
        <v/>
      </c>
      <c r="K909" s="83">
        <f>IFERROR(INDEX(打卡匯入!$D$3:$D$2002,MATCH($C909&amp;"|"&amp;DAY($A909),打卡匯入!$E$3:$E$2002,0)),"")</f>
        <v/>
      </c>
      <c r="L909" s="84">
        <f>IF(OR($J909="",$K909=""),"",IFERROR(INDEX(設定!$F$6:$F$21,MATCH($G909,設定!$B$6:$B$21,0)),0))</f>
        <v/>
      </c>
      <c r="M909" s="85">
        <f>IF(OR($J909="",$K909=""),"",ROUND(($K909-$J909)*24-$L909/60,2))</f>
        <v/>
      </c>
      <c r="N909" s="16">
        <f>IF($C909="","",IF(AND(COUNTIF(設定!$B$15:$B$21,$G909)&gt;0,$J909&lt;&gt;""),"假日出勤",IF(AND(COUNTIF(設定!$B$6:$B$14,$G909)&gt;0,$J909=""),"未打卡",IF($J909="","",IF($O909&gt;0,"遲到",IF($P909&gt;0,"早退","正常"))))))</f>
        <v/>
      </c>
      <c r="O909" s="84">
        <f>IF(OR($C909="",$H909="",$J909=""),0,IF(ROUND(($J909-$H909)*1440,0)&gt;設定!$C$46,ROUND(($J909-$H909)*1440,0),0))</f>
        <v/>
      </c>
      <c r="P909" s="84">
        <f>IF(OR($C909="",$I909="",$K909=""),0,IF(ROUND(($I909-$K909)*1440,0)&gt;設定!$C$46,ROUND(($I909-$K909)*1440,0),0))</f>
        <v/>
      </c>
      <c r="Q909" s="85">
        <f>IF($M909="",0,IF(($M909-IFERROR(INDEX(設定!$G$6:$G$21,MATCH($G909,設定!$B$6:$B$21,0)),0))*60&gt;=設定!$C$44,ROUND(FLOOR(($M909-IFERROR(INDEX(設定!$G$6:$G$21,MATCH($G909,設定!$B$6:$B$21,0)),0))*60,設定!$C$45)/60,2),0))</f>
        <v/>
      </c>
      <c r="R909" s="16">
        <f>IF(OR($C909="",$Q909=0),"",IF($G909="國","國定假日",IF($B909="日","例假",IF($B909="六","休息日","平日"))))</f>
        <v/>
      </c>
      <c r="S909" s="19" t="n"/>
    </row>
    <row r="910">
      <c r="A910" s="82">
        <f>IF(OR(助理班表!$A34="",9&gt;DAY(EOMONTH(DATE(設定!$C$2,設定!$D$2,1),0))),"",DATE(設定!$C$2,設定!$D$2,9))</f>
        <v/>
      </c>
      <c r="B910" s="16">
        <f>IF($A910="","",INDEX(設定!$O$6:$O$12,WEEKDAY($A910,1)))</f>
        <v/>
      </c>
      <c r="C910" s="16">
        <f>IF($A910="","",助理班表!$A34)</f>
        <v/>
      </c>
      <c r="D910" s="16">
        <f>IF($C910="","",助理班表!$B34)</f>
        <v/>
      </c>
      <c r="E910" s="16">
        <f>IF($C910="","",助理班表!$D34)</f>
        <v/>
      </c>
      <c r="F910" s="16">
        <f>IF($C910="","",助理班表!$C34)</f>
        <v/>
      </c>
      <c r="G910" s="16">
        <f>IF($C910="","",助理班表!M34)</f>
        <v/>
      </c>
      <c r="H910" s="83">
        <f>IF($G910="","",IFERROR(IF(INDEX(設定!$D$6:$D$21,MATCH($G910,設定!$B$6:$B$21,0))=0,"",INDEX(設定!$D$6:$D$21,MATCH($G910,設定!$B$6:$B$21,0))),""))</f>
        <v/>
      </c>
      <c r="I910" s="83">
        <f>IF($G910="","",IFERROR(IF(INDEX(設定!$E$6:$E$21,MATCH($G910,設定!$B$6:$B$21,0))=0,"",INDEX(設定!$E$6:$E$21,MATCH($G910,設定!$B$6:$B$21,0))),""))</f>
        <v/>
      </c>
      <c r="J910" s="83">
        <f>IFERROR(INDEX(打卡匯入!$C$3:$C$2002,MATCH($C910&amp;"|"&amp;DAY($A910),打卡匯入!$E$3:$E$2002,0)),"")</f>
        <v/>
      </c>
      <c r="K910" s="83">
        <f>IFERROR(INDEX(打卡匯入!$D$3:$D$2002,MATCH($C910&amp;"|"&amp;DAY($A910),打卡匯入!$E$3:$E$2002,0)),"")</f>
        <v/>
      </c>
      <c r="L910" s="84">
        <f>IF(OR($J910="",$K910=""),"",IFERROR(INDEX(設定!$F$6:$F$21,MATCH($G910,設定!$B$6:$B$21,0)),0))</f>
        <v/>
      </c>
      <c r="M910" s="85">
        <f>IF(OR($J910="",$K910=""),"",ROUND(($K910-$J910)*24-$L910/60,2))</f>
        <v/>
      </c>
      <c r="N910" s="16">
        <f>IF($C910="","",IF(AND(COUNTIF(設定!$B$15:$B$21,$G910)&gt;0,$J910&lt;&gt;""),"假日出勤",IF(AND(COUNTIF(設定!$B$6:$B$14,$G910)&gt;0,$J910=""),"未打卡",IF($J910="","",IF($O910&gt;0,"遲到",IF($P910&gt;0,"早退","正常"))))))</f>
        <v/>
      </c>
      <c r="O910" s="84">
        <f>IF(OR($C910="",$H910="",$J910=""),0,IF(ROUND(($J910-$H910)*1440,0)&gt;設定!$C$46,ROUND(($J910-$H910)*1440,0),0))</f>
        <v/>
      </c>
      <c r="P910" s="84">
        <f>IF(OR($C910="",$I910="",$K910=""),0,IF(ROUND(($I910-$K910)*1440,0)&gt;設定!$C$46,ROUND(($I910-$K910)*1440,0),0))</f>
        <v/>
      </c>
      <c r="Q910" s="85">
        <f>IF($M910="",0,IF(($M910-IFERROR(INDEX(設定!$G$6:$G$21,MATCH($G910,設定!$B$6:$B$21,0)),0))*60&gt;=設定!$C$44,ROUND(FLOOR(($M910-IFERROR(INDEX(設定!$G$6:$G$21,MATCH($G910,設定!$B$6:$B$21,0)),0))*60,設定!$C$45)/60,2),0))</f>
        <v/>
      </c>
      <c r="R910" s="16">
        <f>IF(OR($C910="",$Q910=0),"",IF($G910="國","國定假日",IF($B910="日","例假",IF($B910="六","休息日","平日"))))</f>
        <v/>
      </c>
      <c r="S910" s="19" t="n"/>
    </row>
    <row r="911">
      <c r="A911" s="82">
        <f>IF(OR(助理班表!$A34="",10&gt;DAY(EOMONTH(DATE(設定!$C$2,設定!$D$2,1),0))),"",DATE(設定!$C$2,設定!$D$2,10))</f>
        <v/>
      </c>
      <c r="B911" s="16">
        <f>IF($A911="","",INDEX(設定!$O$6:$O$12,WEEKDAY($A911,1)))</f>
        <v/>
      </c>
      <c r="C911" s="16">
        <f>IF($A911="","",助理班表!$A34)</f>
        <v/>
      </c>
      <c r="D911" s="16">
        <f>IF($C911="","",助理班表!$B34)</f>
        <v/>
      </c>
      <c r="E911" s="16">
        <f>IF($C911="","",助理班表!$D34)</f>
        <v/>
      </c>
      <c r="F911" s="16">
        <f>IF($C911="","",助理班表!$C34)</f>
        <v/>
      </c>
      <c r="G911" s="16">
        <f>IF($C911="","",助理班表!N34)</f>
        <v/>
      </c>
      <c r="H911" s="83">
        <f>IF($G911="","",IFERROR(IF(INDEX(設定!$D$6:$D$21,MATCH($G911,設定!$B$6:$B$21,0))=0,"",INDEX(設定!$D$6:$D$21,MATCH($G911,設定!$B$6:$B$21,0))),""))</f>
        <v/>
      </c>
      <c r="I911" s="83">
        <f>IF($G911="","",IFERROR(IF(INDEX(設定!$E$6:$E$21,MATCH($G911,設定!$B$6:$B$21,0))=0,"",INDEX(設定!$E$6:$E$21,MATCH($G911,設定!$B$6:$B$21,0))),""))</f>
        <v/>
      </c>
      <c r="J911" s="83">
        <f>IFERROR(INDEX(打卡匯入!$C$3:$C$2002,MATCH($C911&amp;"|"&amp;DAY($A911),打卡匯入!$E$3:$E$2002,0)),"")</f>
        <v/>
      </c>
      <c r="K911" s="83">
        <f>IFERROR(INDEX(打卡匯入!$D$3:$D$2002,MATCH($C911&amp;"|"&amp;DAY($A911),打卡匯入!$E$3:$E$2002,0)),"")</f>
        <v/>
      </c>
      <c r="L911" s="84">
        <f>IF(OR($J911="",$K911=""),"",IFERROR(INDEX(設定!$F$6:$F$21,MATCH($G911,設定!$B$6:$B$21,0)),0))</f>
        <v/>
      </c>
      <c r="M911" s="85">
        <f>IF(OR($J911="",$K911=""),"",ROUND(($K911-$J911)*24-$L911/60,2))</f>
        <v/>
      </c>
      <c r="N911" s="16">
        <f>IF($C911="","",IF(AND(COUNTIF(設定!$B$15:$B$21,$G911)&gt;0,$J911&lt;&gt;""),"假日出勤",IF(AND(COUNTIF(設定!$B$6:$B$14,$G911)&gt;0,$J911=""),"未打卡",IF($J911="","",IF($O911&gt;0,"遲到",IF($P911&gt;0,"早退","正常"))))))</f>
        <v/>
      </c>
      <c r="O911" s="84">
        <f>IF(OR($C911="",$H911="",$J911=""),0,IF(ROUND(($J911-$H911)*1440,0)&gt;設定!$C$46,ROUND(($J911-$H911)*1440,0),0))</f>
        <v/>
      </c>
      <c r="P911" s="84">
        <f>IF(OR($C911="",$I911="",$K911=""),0,IF(ROUND(($I911-$K911)*1440,0)&gt;設定!$C$46,ROUND(($I911-$K911)*1440,0),0))</f>
        <v/>
      </c>
      <c r="Q911" s="85">
        <f>IF($M911="",0,IF(($M911-IFERROR(INDEX(設定!$G$6:$G$21,MATCH($G911,設定!$B$6:$B$21,0)),0))*60&gt;=設定!$C$44,ROUND(FLOOR(($M911-IFERROR(INDEX(設定!$G$6:$G$21,MATCH($G911,設定!$B$6:$B$21,0)),0))*60,設定!$C$45)/60,2),0))</f>
        <v/>
      </c>
      <c r="R911" s="16">
        <f>IF(OR($C911="",$Q911=0),"",IF($G911="國","國定假日",IF($B911="日","例假",IF($B911="六","休息日","平日"))))</f>
        <v/>
      </c>
      <c r="S911" s="19" t="n"/>
    </row>
    <row r="912">
      <c r="A912" s="82">
        <f>IF(OR(助理班表!$A34="",11&gt;DAY(EOMONTH(DATE(設定!$C$2,設定!$D$2,1),0))),"",DATE(設定!$C$2,設定!$D$2,11))</f>
        <v/>
      </c>
      <c r="B912" s="16">
        <f>IF($A912="","",INDEX(設定!$O$6:$O$12,WEEKDAY($A912,1)))</f>
        <v/>
      </c>
      <c r="C912" s="16">
        <f>IF($A912="","",助理班表!$A34)</f>
        <v/>
      </c>
      <c r="D912" s="16">
        <f>IF($C912="","",助理班表!$B34)</f>
        <v/>
      </c>
      <c r="E912" s="16">
        <f>IF($C912="","",助理班表!$D34)</f>
        <v/>
      </c>
      <c r="F912" s="16">
        <f>IF($C912="","",助理班表!$C34)</f>
        <v/>
      </c>
      <c r="G912" s="16">
        <f>IF($C912="","",助理班表!O34)</f>
        <v/>
      </c>
      <c r="H912" s="83">
        <f>IF($G912="","",IFERROR(IF(INDEX(設定!$D$6:$D$21,MATCH($G912,設定!$B$6:$B$21,0))=0,"",INDEX(設定!$D$6:$D$21,MATCH($G912,設定!$B$6:$B$21,0))),""))</f>
        <v/>
      </c>
      <c r="I912" s="83">
        <f>IF($G912="","",IFERROR(IF(INDEX(設定!$E$6:$E$21,MATCH($G912,設定!$B$6:$B$21,0))=0,"",INDEX(設定!$E$6:$E$21,MATCH($G912,設定!$B$6:$B$21,0))),""))</f>
        <v/>
      </c>
      <c r="J912" s="83">
        <f>IFERROR(INDEX(打卡匯入!$C$3:$C$2002,MATCH($C912&amp;"|"&amp;DAY($A912),打卡匯入!$E$3:$E$2002,0)),"")</f>
        <v/>
      </c>
      <c r="K912" s="83">
        <f>IFERROR(INDEX(打卡匯入!$D$3:$D$2002,MATCH($C912&amp;"|"&amp;DAY($A912),打卡匯入!$E$3:$E$2002,0)),"")</f>
        <v/>
      </c>
      <c r="L912" s="84">
        <f>IF(OR($J912="",$K912=""),"",IFERROR(INDEX(設定!$F$6:$F$21,MATCH($G912,設定!$B$6:$B$21,0)),0))</f>
        <v/>
      </c>
      <c r="M912" s="85">
        <f>IF(OR($J912="",$K912=""),"",ROUND(($K912-$J912)*24-$L912/60,2))</f>
        <v/>
      </c>
      <c r="N912" s="16">
        <f>IF($C912="","",IF(AND(COUNTIF(設定!$B$15:$B$21,$G912)&gt;0,$J912&lt;&gt;""),"假日出勤",IF(AND(COUNTIF(設定!$B$6:$B$14,$G912)&gt;0,$J912=""),"未打卡",IF($J912="","",IF($O912&gt;0,"遲到",IF($P912&gt;0,"早退","正常"))))))</f>
        <v/>
      </c>
      <c r="O912" s="84">
        <f>IF(OR($C912="",$H912="",$J912=""),0,IF(ROUND(($J912-$H912)*1440,0)&gt;設定!$C$46,ROUND(($J912-$H912)*1440,0),0))</f>
        <v/>
      </c>
      <c r="P912" s="84">
        <f>IF(OR($C912="",$I912="",$K912=""),0,IF(ROUND(($I912-$K912)*1440,0)&gt;設定!$C$46,ROUND(($I912-$K912)*1440,0),0))</f>
        <v/>
      </c>
      <c r="Q912" s="85">
        <f>IF($M912="",0,IF(($M912-IFERROR(INDEX(設定!$G$6:$G$21,MATCH($G912,設定!$B$6:$B$21,0)),0))*60&gt;=設定!$C$44,ROUND(FLOOR(($M912-IFERROR(INDEX(設定!$G$6:$G$21,MATCH($G912,設定!$B$6:$B$21,0)),0))*60,設定!$C$45)/60,2),0))</f>
        <v/>
      </c>
      <c r="R912" s="16">
        <f>IF(OR($C912="",$Q912=0),"",IF($G912="國","國定假日",IF($B912="日","例假",IF($B912="六","休息日","平日"))))</f>
        <v/>
      </c>
      <c r="S912" s="19" t="n"/>
    </row>
    <row r="913">
      <c r="A913" s="82">
        <f>IF(OR(助理班表!$A34="",12&gt;DAY(EOMONTH(DATE(設定!$C$2,設定!$D$2,1),0))),"",DATE(設定!$C$2,設定!$D$2,12))</f>
        <v/>
      </c>
      <c r="B913" s="16">
        <f>IF($A913="","",INDEX(設定!$O$6:$O$12,WEEKDAY($A913,1)))</f>
        <v/>
      </c>
      <c r="C913" s="16">
        <f>IF($A913="","",助理班表!$A34)</f>
        <v/>
      </c>
      <c r="D913" s="16">
        <f>IF($C913="","",助理班表!$B34)</f>
        <v/>
      </c>
      <c r="E913" s="16">
        <f>IF($C913="","",助理班表!$D34)</f>
        <v/>
      </c>
      <c r="F913" s="16">
        <f>IF($C913="","",助理班表!$C34)</f>
        <v/>
      </c>
      <c r="G913" s="16">
        <f>IF($C913="","",助理班表!P34)</f>
        <v/>
      </c>
      <c r="H913" s="83">
        <f>IF($G913="","",IFERROR(IF(INDEX(設定!$D$6:$D$21,MATCH($G913,設定!$B$6:$B$21,0))=0,"",INDEX(設定!$D$6:$D$21,MATCH($G913,設定!$B$6:$B$21,0))),""))</f>
        <v/>
      </c>
      <c r="I913" s="83">
        <f>IF($G913="","",IFERROR(IF(INDEX(設定!$E$6:$E$21,MATCH($G913,設定!$B$6:$B$21,0))=0,"",INDEX(設定!$E$6:$E$21,MATCH($G913,設定!$B$6:$B$21,0))),""))</f>
        <v/>
      </c>
      <c r="J913" s="83">
        <f>IFERROR(INDEX(打卡匯入!$C$3:$C$2002,MATCH($C913&amp;"|"&amp;DAY($A913),打卡匯入!$E$3:$E$2002,0)),"")</f>
        <v/>
      </c>
      <c r="K913" s="83">
        <f>IFERROR(INDEX(打卡匯入!$D$3:$D$2002,MATCH($C913&amp;"|"&amp;DAY($A913),打卡匯入!$E$3:$E$2002,0)),"")</f>
        <v/>
      </c>
      <c r="L913" s="84">
        <f>IF(OR($J913="",$K913=""),"",IFERROR(INDEX(設定!$F$6:$F$21,MATCH($G913,設定!$B$6:$B$21,0)),0))</f>
        <v/>
      </c>
      <c r="M913" s="85">
        <f>IF(OR($J913="",$K913=""),"",ROUND(($K913-$J913)*24-$L913/60,2))</f>
        <v/>
      </c>
      <c r="N913" s="16">
        <f>IF($C913="","",IF(AND(COUNTIF(設定!$B$15:$B$21,$G913)&gt;0,$J913&lt;&gt;""),"假日出勤",IF(AND(COUNTIF(設定!$B$6:$B$14,$G913)&gt;0,$J913=""),"未打卡",IF($J913="","",IF($O913&gt;0,"遲到",IF($P913&gt;0,"早退","正常"))))))</f>
        <v/>
      </c>
      <c r="O913" s="84">
        <f>IF(OR($C913="",$H913="",$J913=""),0,IF(ROUND(($J913-$H913)*1440,0)&gt;設定!$C$46,ROUND(($J913-$H913)*1440,0),0))</f>
        <v/>
      </c>
      <c r="P913" s="84">
        <f>IF(OR($C913="",$I913="",$K913=""),0,IF(ROUND(($I913-$K913)*1440,0)&gt;設定!$C$46,ROUND(($I913-$K913)*1440,0),0))</f>
        <v/>
      </c>
      <c r="Q913" s="85">
        <f>IF($M913="",0,IF(($M913-IFERROR(INDEX(設定!$G$6:$G$21,MATCH($G913,設定!$B$6:$B$21,0)),0))*60&gt;=設定!$C$44,ROUND(FLOOR(($M913-IFERROR(INDEX(設定!$G$6:$G$21,MATCH($G913,設定!$B$6:$B$21,0)),0))*60,設定!$C$45)/60,2),0))</f>
        <v/>
      </c>
      <c r="R913" s="16">
        <f>IF(OR($C913="",$Q913=0),"",IF($G913="國","國定假日",IF($B913="日","例假",IF($B913="六","休息日","平日"))))</f>
        <v/>
      </c>
      <c r="S913" s="19" t="n"/>
    </row>
    <row r="914">
      <c r="A914" s="82">
        <f>IF(OR(助理班表!$A34="",13&gt;DAY(EOMONTH(DATE(設定!$C$2,設定!$D$2,1),0))),"",DATE(設定!$C$2,設定!$D$2,13))</f>
        <v/>
      </c>
      <c r="B914" s="16">
        <f>IF($A914="","",INDEX(設定!$O$6:$O$12,WEEKDAY($A914,1)))</f>
        <v/>
      </c>
      <c r="C914" s="16">
        <f>IF($A914="","",助理班表!$A34)</f>
        <v/>
      </c>
      <c r="D914" s="16">
        <f>IF($C914="","",助理班表!$B34)</f>
        <v/>
      </c>
      <c r="E914" s="16">
        <f>IF($C914="","",助理班表!$D34)</f>
        <v/>
      </c>
      <c r="F914" s="16">
        <f>IF($C914="","",助理班表!$C34)</f>
        <v/>
      </c>
      <c r="G914" s="16">
        <f>IF($C914="","",助理班表!Q34)</f>
        <v/>
      </c>
      <c r="H914" s="83">
        <f>IF($G914="","",IFERROR(IF(INDEX(設定!$D$6:$D$21,MATCH($G914,設定!$B$6:$B$21,0))=0,"",INDEX(設定!$D$6:$D$21,MATCH($G914,設定!$B$6:$B$21,0))),""))</f>
        <v/>
      </c>
      <c r="I914" s="83">
        <f>IF($G914="","",IFERROR(IF(INDEX(設定!$E$6:$E$21,MATCH($G914,設定!$B$6:$B$21,0))=0,"",INDEX(設定!$E$6:$E$21,MATCH($G914,設定!$B$6:$B$21,0))),""))</f>
        <v/>
      </c>
      <c r="J914" s="83">
        <f>IFERROR(INDEX(打卡匯入!$C$3:$C$2002,MATCH($C914&amp;"|"&amp;DAY($A914),打卡匯入!$E$3:$E$2002,0)),"")</f>
        <v/>
      </c>
      <c r="K914" s="83">
        <f>IFERROR(INDEX(打卡匯入!$D$3:$D$2002,MATCH($C914&amp;"|"&amp;DAY($A914),打卡匯入!$E$3:$E$2002,0)),"")</f>
        <v/>
      </c>
      <c r="L914" s="84">
        <f>IF(OR($J914="",$K914=""),"",IFERROR(INDEX(設定!$F$6:$F$21,MATCH($G914,設定!$B$6:$B$21,0)),0))</f>
        <v/>
      </c>
      <c r="M914" s="85">
        <f>IF(OR($J914="",$K914=""),"",ROUND(($K914-$J914)*24-$L914/60,2))</f>
        <v/>
      </c>
      <c r="N914" s="16">
        <f>IF($C914="","",IF(AND(COUNTIF(設定!$B$15:$B$21,$G914)&gt;0,$J914&lt;&gt;""),"假日出勤",IF(AND(COUNTIF(設定!$B$6:$B$14,$G914)&gt;0,$J914=""),"未打卡",IF($J914="","",IF($O914&gt;0,"遲到",IF($P914&gt;0,"早退","正常"))))))</f>
        <v/>
      </c>
      <c r="O914" s="84">
        <f>IF(OR($C914="",$H914="",$J914=""),0,IF(ROUND(($J914-$H914)*1440,0)&gt;設定!$C$46,ROUND(($J914-$H914)*1440,0),0))</f>
        <v/>
      </c>
      <c r="P914" s="84">
        <f>IF(OR($C914="",$I914="",$K914=""),0,IF(ROUND(($I914-$K914)*1440,0)&gt;設定!$C$46,ROUND(($I914-$K914)*1440,0),0))</f>
        <v/>
      </c>
      <c r="Q914" s="85">
        <f>IF($M914="",0,IF(($M914-IFERROR(INDEX(設定!$G$6:$G$21,MATCH($G914,設定!$B$6:$B$21,0)),0))*60&gt;=設定!$C$44,ROUND(FLOOR(($M914-IFERROR(INDEX(設定!$G$6:$G$21,MATCH($G914,設定!$B$6:$B$21,0)),0))*60,設定!$C$45)/60,2),0))</f>
        <v/>
      </c>
      <c r="R914" s="16">
        <f>IF(OR($C914="",$Q914=0),"",IF($G914="國","國定假日",IF($B914="日","例假",IF($B914="六","休息日","平日"))))</f>
        <v/>
      </c>
      <c r="S914" s="19" t="n"/>
    </row>
    <row r="915">
      <c r="A915" s="82">
        <f>IF(OR(助理班表!$A34="",14&gt;DAY(EOMONTH(DATE(設定!$C$2,設定!$D$2,1),0))),"",DATE(設定!$C$2,設定!$D$2,14))</f>
        <v/>
      </c>
      <c r="B915" s="16">
        <f>IF($A915="","",INDEX(設定!$O$6:$O$12,WEEKDAY($A915,1)))</f>
        <v/>
      </c>
      <c r="C915" s="16">
        <f>IF($A915="","",助理班表!$A34)</f>
        <v/>
      </c>
      <c r="D915" s="16">
        <f>IF($C915="","",助理班表!$B34)</f>
        <v/>
      </c>
      <c r="E915" s="16">
        <f>IF($C915="","",助理班表!$D34)</f>
        <v/>
      </c>
      <c r="F915" s="16">
        <f>IF($C915="","",助理班表!$C34)</f>
        <v/>
      </c>
      <c r="G915" s="16">
        <f>IF($C915="","",助理班表!R34)</f>
        <v/>
      </c>
      <c r="H915" s="83">
        <f>IF($G915="","",IFERROR(IF(INDEX(設定!$D$6:$D$21,MATCH($G915,設定!$B$6:$B$21,0))=0,"",INDEX(設定!$D$6:$D$21,MATCH($G915,設定!$B$6:$B$21,0))),""))</f>
        <v/>
      </c>
      <c r="I915" s="83">
        <f>IF($G915="","",IFERROR(IF(INDEX(設定!$E$6:$E$21,MATCH($G915,設定!$B$6:$B$21,0))=0,"",INDEX(設定!$E$6:$E$21,MATCH($G915,設定!$B$6:$B$21,0))),""))</f>
        <v/>
      </c>
      <c r="J915" s="83">
        <f>IFERROR(INDEX(打卡匯入!$C$3:$C$2002,MATCH($C915&amp;"|"&amp;DAY($A915),打卡匯入!$E$3:$E$2002,0)),"")</f>
        <v/>
      </c>
      <c r="K915" s="83">
        <f>IFERROR(INDEX(打卡匯入!$D$3:$D$2002,MATCH($C915&amp;"|"&amp;DAY($A915),打卡匯入!$E$3:$E$2002,0)),"")</f>
        <v/>
      </c>
      <c r="L915" s="84">
        <f>IF(OR($J915="",$K915=""),"",IFERROR(INDEX(設定!$F$6:$F$21,MATCH($G915,設定!$B$6:$B$21,0)),0))</f>
        <v/>
      </c>
      <c r="M915" s="85">
        <f>IF(OR($J915="",$K915=""),"",ROUND(($K915-$J915)*24-$L915/60,2))</f>
        <v/>
      </c>
      <c r="N915" s="16">
        <f>IF($C915="","",IF(AND(COUNTIF(設定!$B$15:$B$21,$G915)&gt;0,$J915&lt;&gt;""),"假日出勤",IF(AND(COUNTIF(設定!$B$6:$B$14,$G915)&gt;0,$J915=""),"未打卡",IF($J915="","",IF($O915&gt;0,"遲到",IF($P915&gt;0,"早退","正常"))))))</f>
        <v/>
      </c>
      <c r="O915" s="84">
        <f>IF(OR($C915="",$H915="",$J915=""),0,IF(ROUND(($J915-$H915)*1440,0)&gt;設定!$C$46,ROUND(($J915-$H915)*1440,0),0))</f>
        <v/>
      </c>
      <c r="P915" s="84">
        <f>IF(OR($C915="",$I915="",$K915=""),0,IF(ROUND(($I915-$K915)*1440,0)&gt;設定!$C$46,ROUND(($I915-$K915)*1440,0),0))</f>
        <v/>
      </c>
      <c r="Q915" s="85">
        <f>IF($M915="",0,IF(($M915-IFERROR(INDEX(設定!$G$6:$G$21,MATCH($G915,設定!$B$6:$B$21,0)),0))*60&gt;=設定!$C$44,ROUND(FLOOR(($M915-IFERROR(INDEX(設定!$G$6:$G$21,MATCH($G915,設定!$B$6:$B$21,0)),0))*60,設定!$C$45)/60,2),0))</f>
        <v/>
      </c>
      <c r="R915" s="16">
        <f>IF(OR($C915="",$Q915=0),"",IF($G915="國","國定假日",IF($B915="日","例假",IF($B915="六","休息日","平日"))))</f>
        <v/>
      </c>
      <c r="S915" s="19" t="n"/>
    </row>
    <row r="916">
      <c r="A916" s="82">
        <f>IF(OR(助理班表!$A34="",15&gt;DAY(EOMONTH(DATE(設定!$C$2,設定!$D$2,1),0))),"",DATE(設定!$C$2,設定!$D$2,15))</f>
        <v/>
      </c>
      <c r="B916" s="16">
        <f>IF($A916="","",INDEX(設定!$O$6:$O$12,WEEKDAY($A916,1)))</f>
        <v/>
      </c>
      <c r="C916" s="16">
        <f>IF($A916="","",助理班表!$A34)</f>
        <v/>
      </c>
      <c r="D916" s="16">
        <f>IF($C916="","",助理班表!$B34)</f>
        <v/>
      </c>
      <c r="E916" s="16">
        <f>IF($C916="","",助理班表!$D34)</f>
        <v/>
      </c>
      <c r="F916" s="16">
        <f>IF($C916="","",助理班表!$C34)</f>
        <v/>
      </c>
      <c r="G916" s="16">
        <f>IF($C916="","",助理班表!S34)</f>
        <v/>
      </c>
      <c r="H916" s="83">
        <f>IF($G916="","",IFERROR(IF(INDEX(設定!$D$6:$D$21,MATCH($G916,設定!$B$6:$B$21,0))=0,"",INDEX(設定!$D$6:$D$21,MATCH($G916,設定!$B$6:$B$21,0))),""))</f>
        <v/>
      </c>
      <c r="I916" s="83">
        <f>IF($G916="","",IFERROR(IF(INDEX(設定!$E$6:$E$21,MATCH($G916,設定!$B$6:$B$21,0))=0,"",INDEX(設定!$E$6:$E$21,MATCH($G916,設定!$B$6:$B$21,0))),""))</f>
        <v/>
      </c>
      <c r="J916" s="83">
        <f>IFERROR(INDEX(打卡匯入!$C$3:$C$2002,MATCH($C916&amp;"|"&amp;DAY($A916),打卡匯入!$E$3:$E$2002,0)),"")</f>
        <v/>
      </c>
      <c r="K916" s="83">
        <f>IFERROR(INDEX(打卡匯入!$D$3:$D$2002,MATCH($C916&amp;"|"&amp;DAY($A916),打卡匯入!$E$3:$E$2002,0)),"")</f>
        <v/>
      </c>
      <c r="L916" s="84">
        <f>IF(OR($J916="",$K916=""),"",IFERROR(INDEX(設定!$F$6:$F$21,MATCH($G916,設定!$B$6:$B$21,0)),0))</f>
        <v/>
      </c>
      <c r="M916" s="85">
        <f>IF(OR($J916="",$K916=""),"",ROUND(($K916-$J916)*24-$L916/60,2))</f>
        <v/>
      </c>
      <c r="N916" s="16">
        <f>IF($C916="","",IF(AND(COUNTIF(設定!$B$15:$B$21,$G916)&gt;0,$J916&lt;&gt;""),"假日出勤",IF(AND(COUNTIF(設定!$B$6:$B$14,$G916)&gt;0,$J916=""),"未打卡",IF($J916="","",IF($O916&gt;0,"遲到",IF($P916&gt;0,"早退","正常"))))))</f>
        <v/>
      </c>
      <c r="O916" s="84">
        <f>IF(OR($C916="",$H916="",$J916=""),0,IF(ROUND(($J916-$H916)*1440,0)&gt;設定!$C$46,ROUND(($J916-$H916)*1440,0),0))</f>
        <v/>
      </c>
      <c r="P916" s="84">
        <f>IF(OR($C916="",$I916="",$K916=""),0,IF(ROUND(($I916-$K916)*1440,0)&gt;設定!$C$46,ROUND(($I916-$K916)*1440,0),0))</f>
        <v/>
      </c>
      <c r="Q916" s="85">
        <f>IF($M916="",0,IF(($M916-IFERROR(INDEX(設定!$G$6:$G$21,MATCH($G916,設定!$B$6:$B$21,0)),0))*60&gt;=設定!$C$44,ROUND(FLOOR(($M916-IFERROR(INDEX(設定!$G$6:$G$21,MATCH($G916,設定!$B$6:$B$21,0)),0))*60,設定!$C$45)/60,2),0))</f>
        <v/>
      </c>
      <c r="R916" s="16">
        <f>IF(OR($C916="",$Q916=0),"",IF($G916="國","國定假日",IF($B916="日","例假",IF($B916="六","休息日","平日"))))</f>
        <v/>
      </c>
      <c r="S916" s="19" t="n"/>
    </row>
    <row r="917">
      <c r="A917" s="82">
        <f>IF(OR(助理班表!$A34="",16&gt;DAY(EOMONTH(DATE(設定!$C$2,設定!$D$2,1),0))),"",DATE(設定!$C$2,設定!$D$2,16))</f>
        <v/>
      </c>
      <c r="B917" s="16">
        <f>IF($A917="","",INDEX(設定!$O$6:$O$12,WEEKDAY($A917,1)))</f>
        <v/>
      </c>
      <c r="C917" s="16">
        <f>IF($A917="","",助理班表!$A34)</f>
        <v/>
      </c>
      <c r="D917" s="16">
        <f>IF($C917="","",助理班表!$B34)</f>
        <v/>
      </c>
      <c r="E917" s="16">
        <f>IF($C917="","",助理班表!$D34)</f>
        <v/>
      </c>
      <c r="F917" s="16">
        <f>IF($C917="","",助理班表!$C34)</f>
        <v/>
      </c>
      <c r="G917" s="16">
        <f>IF($C917="","",助理班表!T34)</f>
        <v/>
      </c>
      <c r="H917" s="83">
        <f>IF($G917="","",IFERROR(IF(INDEX(設定!$D$6:$D$21,MATCH($G917,設定!$B$6:$B$21,0))=0,"",INDEX(設定!$D$6:$D$21,MATCH($G917,設定!$B$6:$B$21,0))),""))</f>
        <v/>
      </c>
      <c r="I917" s="83">
        <f>IF($G917="","",IFERROR(IF(INDEX(設定!$E$6:$E$21,MATCH($G917,設定!$B$6:$B$21,0))=0,"",INDEX(設定!$E$6:$E$21,MATCH($G917,設定!$B$6:$B$21,0))),""))</f>
        <v/>
      </c>
      <c r="J917" s="83">
        <f>IFERROR(INDEX(打卡匯入!$C$3:$C$2002,MATCH($C917&amp;"|"&amp;DAY($A917),打卡匯入!$E$3:$E$2002,0)),"")</f>
        <v/>
      </c>
      <c r="K917" s="83">
        <f>IFERROR(INDEX(打卡匯入!$D$3:$D$2002,MATCH($C917&amp;"|"&amp;DAY($A917),打卡匯入!$E$3:$E$2002,0)),"")</f>
        <v/>
      </c>
      <c r="L917" s="84">
        <f>IF(OR($J917="",$K917=""),"",IFERROR(INDEX(設定!$F$6:$F$21,MATCH($G917,設定!$B$6:$B$21,0)),0))</f>
        <v/>
      </c>
      <c r="M917" s="85">
        <f>IF(OR($J917="",$K917=""),"",ROUND(($K917-$J917)*24-$L917/60,2))</f>
        <v/>
      </c>
      <c r="N917" s="16">
        <f>IF($C917="","",IF(AND(COUNTIF(設定!$B$15:$B$21,$G917)&gt;0,$J917&lt;&gt;""),"假日出勤",IF(AND(COUNTIF(設定!$B$6:$B$14,$G917)&gt;0,$J917=""),"未打卡",IF($J917="","",IF($O917&gt;0,"遲到",IF($P917&gt;0,"早退","正常"))))))</f>
        <v/>
      </c>
      <c r="O917" s="84">
        <f>IF(OR($C917="",$H917="",$J917=""),0,IF(ROUND(($J917-$H917)*1440,0)&gt;設定!$C$46,ROUND(($J917-$H917)*1440,0),0))</f>
        <v/>
      </c>
      <c r="P917" s="84">
        <f>IF(OR($C917="",$I917="",$K917=""),0,IF(ROUND(($I917-$K917)*1440,0)&gt;設定!$C$46,ROUND(($I917-$K917)*1440,0),0))</f>
        <v/>
      </c>
      <c r="Q917" s="85">
        <f>IF($M917="",0,IF(($M917-IFERROR(INDEX(設定!$G$6:$G$21,MATCH($G917,設定!$B$6:$B$21,0)),0))*60&gt;=設定!$C$44,ROUND(FLOOR(($M917-IFERROR(INDEX(設定!$G$6:$G$21,MATCH($G917,設定!$B$6:$B$21,0)),0))*60,設定!$C$45)/60,2),0))</f>
        <v/>
      </c>
      <c r="R917" s="16">
        <f>IF(OR($C917="",$Q917=0),"",IF($G917="國","國定假日",IF($B917="日","例假",IF($B917="六","休息日","平日"))))</f>
        <v/>
      </c>
      <c r="S917" s="19" t="n"/>
    </row>
    <row r="918">
      <c r="A918" s="82">
        <f>IF(OR(助理班表!$A34="",17&gt;DAY(EOMONTH(DATE(設定!$C$2,設定!$D$2,1),0))),"",DATE(設定!$C$2,設定!$D$2,17))</f>
        <v/>
      </c>
      <c r="B918" s="16">
        <f>IF($A918="","",INDEX(設定!$O$6:$O$12,WEEKDAY($A918,1)))</f>
        <v/>
      </c>
      <c r="C918" s="16">
        <f>IF($A918="","",助理班表!$A34)</f>
        <v/>
      </c>
      <c r="D918" s="16">
        <f>IF($C918="","",助理班表!$B34)</f>
        <v/>
      </c>
      <c r="E918" s="16">
        <f>IF($C918="","",助理班表!$D34)</f>
        <v/>
      </c>
      <c r="F918" s="16">
        <f>IF($C918="","",助理班表!$C34)</f>
        <v/>
      </c>
      <c r="G918" s="16">
        <f>IF($C918="","",助理班表!U34)</f>
        <v/>
      </c>
      <c r="H918" s="83">
        <f>IF($G918="","",IFERROR(IF(INDEX(設定!$D$6:$D$21,MATCH($G918,設定!$B$6:$B$21,0))=0,"",INDEX(設定!$D$6:$D$21,MATCH($G918,設定!$B$6:$B$21,0))),""))</f>
        <v/>
      </c>
      <c r="I918" s="83">
        <f>IF($G918="","",IFERROR(IF(INDEX(設定!$E$6:$E$21,MATCH($G918,設定!$B$6:$B$21,0))=0,"",INDEX(設定!$E$6:$E$21,MATCH($G918,設定!$B$6:$B$21,0))),""))</f>
        <v/>
      </c>
      <c r="J918" s="83">
        <f>IFERROR(INDEX(打卡匯入!$C$3:$C$2002,MATCH($C918&amp;"|"&amp;DAY($A918),打卡匯入!$E$3:$E$2002,0)),"")</f>
        <v/>
      </c>
      <c r="K918" s="83">
        <f>IFERROR(INDEX(打卡匯入!$D$3:$D$2002,MATCH($C918&amp;"|"&amp;DAY($A918),打卡匯入!$E$3:$E$2002,0)),"")</f>
        <v/>
      </c>
      <c r="L918" s="84">
        <f>IF(OR($J918="",$K918=""),"",IFERROR(INDEX(設定!$F$6:$F$21,MATCH($G918,設定!$B$6:$B$21,0)),0))</f>
        <v/>
      </c>
      <c r="M918" s="85">
        <f>IF(OR($J918="",$K918=""),"",ROUND(($K918-$J918)*24-$L918/60,2))</f>
        <v/>
      </c>
      <c r="N918" s="16">
        <f>IF($C918="","",IF(AND(COUNTIF(設定!$B$15:$B$21,$G918)&gt;0,$J918&lt;&gt;""),"假日出勤",IF(AND(COUNTIF(設定!$B$6:$B$14,$G918)&gt;0,$J918=""),"未打卡",IF($J918="","",IF($O918&gt;0,"遲到",IF($P918&gt;0,"早退","正常"))))))</f>
        <v/>
      </c>
      <c r="O918" s="84">
        <f>IF(OR($C918="",$H918="",$J918=""),0,IF(ROUND(($J918-$H918)*1440,0)&gt;設定!$C$46,ROUND(($J918-$H918)*1440,0),0))</f>
        <v/>
      </c>
      <c r="P918" s="84">
        <f>IF(OR($C918="",$I918="",$K918=""),0,IF(ROUND(($I918-$K918)*1440,0)&gt;設定!$C$46,ROUND(($I918-$K918)*1440,0),0))</f>
        <v/>
      </c>
      <c r="Q918" s="85">
        <f>IF($M918="",0,IF(($M918-IFERROR(INDEX(設定!$G$6:$G$21,MATCH($G918,設定!$B$6:$B$21,0)),0))*60&gt;=設定!$C$44,ROUND(FLOOR(($M918-IFERROR(INDEX(設定!$G$6:$G$21,MATCH($G918,設定!$B$6:$B$21,0)),0))*60,設定!$C$45)/60,2),0))</f>
        <v/>
      </c>
      <c r="R918" s="16">
        <f>IF(OR($C918="",$Q918=0),"",IF($G918="國","國定假日",IF($B918="日","例假",IF($B918="六","休息日","平日"))))</f>
        <v/>
      </c>
      <c r="S918" s="19" t="n"/>
    </row>
    <row r="919">
      <c r="A919" s="82">
        <f>IF(OR(助理班表!$A34="",18&gt;DAY(EOMONTH(DATE(設定!$C$2,設定!$D$2,1),0))),"",DATE(設定!$C$2,設定!$D$2,18))</f>
        <v/>
      </c>
      <c r="B919" s="16">
        <f>IF($A919="","",INDEX(設定!$O$6:$O$12,WEEKDAY($A919,1)))</f>
        <v/>
      </c>
      <c r="C919" s="16">
        <f>IF($A919="","",助理班表!$A34)</f>
        <v/>
      </c>
      <c r="D919" s="16">
        <f>IF($C919="","",助理班表!$B34)</f>
        <v/>
      </c>
      <c r="E919" s="16">
        <f>IF($C919="","",助理班表!$D34)</f>
        <v/>
      </c>
      <c r="F919" s="16">
        <f>IF($C919="","",助理班表!$C34)</f>
        <v/>
      </c>
      <c r="G919" s="16">
        <f>IF($C919="","",助理班表!V34)</f>
        <v/>
      </c>
      <c r="H919" s="83">
        <f>IF($G919="","",IFERROR(IF(INDEX(設定!$D$6:$D$21,MATCH($G919,設定!$B$6:$B$21,0))=0,"",INDEX(設定!$D$6:$D$21,MATCH($G919,設定!$B$6:$B$21,0))),""))</f>
        <v/>
      </c>
      <c r="I919" s="83">
        <f>IF($G919="","",IFERROR(IF(INDEX(設定!$E$6:$E$21,MATCH($G919,設定!$B$6:$B$21,0))=0,"",INDEX(設定!$E$6:$E$21,MATCH($G919,設定!$B$6:$B$21,0))),""))</f>
        <v/>
      </c>
      <c r="J919" s="83">
        <f>IFERROR(INDEX(打卡匯入!$C$3:$C$2002,MATCH($C919&amp;"|"&amp;DAY($A919),打卡匯入!$E$3:$E$2002,0)),"")</f>
        <v/>
      </c>
      <c r="K919" s="83">
        <f>IFERROR(INDEX(打卡匯入!$D$3:$D$2002,MATCH($C919&amp;"|"&amp;DAY($A919),打卡匯入!$E$3:$E$2002,0)),"")</f>
        <v/>
      </c>
      <c r="L919" s="84">
        <f>IF(OR($J919="",$K919=""),"",IFERROR(INDEX(設定!$F$6:$F$21,MATCH($G919,設定!$B$6:$B$21,0)),0))</f>
        <v/>
      </c>
      <c r="M919" s="85">
        <f>IF(OR($J919="",$K919=""),"",ROUND(($K919-$J919)*24-$L919/60,2))</f>
        <v/>
      </c>
      <c r="N919" s="16">
        <f>IF($C919="","",IF(AND(COUNTIF(設定!$B$15:$B$21,$G919)&gt;0,$J919&lt;&gt;""),"假日出勤",IF(AND(COUNTIF(設定!$B$6:$B$14,$G919)&gt;0,$J919=""),"未打卡",IF($J919="","",IF($O919&gt;0,"遲到",IF($P919&gt;0,"早退","正常"))))))</f>
        <v/>
      </c>
      <c r="O919" s="84">
        <f>IF(OR($C919="",$H919="",$J919=""),0,IF(ROUND(($J919-$H919)*1440,0)&gt;設定!$C$46,ROUND(($J919-$H919)*1440,0),0))</f>
        <v/>
      </c>
      <c r="P919" s="84">
        <f>IF(OR($C919="",$I919="",$K919=""),0,IF(ROUND(($I919-$K919)*1440,0)&gt;設定!$C$46,ROUND(($I919-$K919)*1440,0),0))</f>
        <v/>
      </c>
      <c r="Q919" s="85">
        <f>IF($M919="",0,IF(($M919-IFERROR(INDEX(設定!$G$6:$G$21,MATCH($G919,設定!$B$6:$B$21,0)),0))*60&gt;=設定!$C$44,ROUND(FLOOR(($M919-IFERROR(INDEX(設定!$G$6:$G$21,MATCH($G919,設定!$B$6:$B$21,0)),0))*60,設定!$C$45)/60,2),0))</f>
        <v/>
      </c>
      <c r="R919" s="16">
        <f>IF(OR($C919="",$Q919=0),"",IF($G919="國","國定假日",IF($B919="日","例假",IF($B919="六","休息日","平日"))))</f>
        <v/>
      </c>
      <c r="S919" s="19" t="n"/>
    </row>
    <row r="920">
      <c r="A920" s="82">
        <f>IF(OR(助理班表!$A34="",19&gt;DAY(EOMONTH(DATE(設定!$C$2,設定!$D$2,1),0))),"",DATE(設定!$C$2,設定!$D$2,19))</f>
        <v/>
      </c>
      <c r="B920" s="16">
        <f>IF($A920="","",INDEX(設定!$O$6:$O$12,WEEKDAY($A920,1)))</f>
        <v/>
      </c>
      <c r="C920" s="16">
        <f>IF($A920="","",助理班表!$A34)</f>
        <v/>
      </c>
      <c r="D920" s="16">
        <f>IF($C920="","",助理班表!$B34)</f>
        <v/>
      </c>
      <c r="E920" s="16">
        <f>IF($C920="","",助理班表!$D34)</f>
        <v/>
      </c>
      <c r="F920" s="16">
        <f>IF($C920="","",助理班表!$C34)</f>
        <v/>
      </c>
      <c r="G920" s="16">
        <f>IF($C920="","",助理班表!W34)</f>
        <v/>
      </c>
      <c r="H920" s="83">
        <f>IF($G920="","",IFERROR(IF(INDEX(設定!$D$6:$D$21,MATCH($G920,設定!$B$6:$B$21,0))=0,"",INDEX(設定!$D$6:$D$21,MATCH($G920,設定!$B$6:$B$21,0))),""))</f>
        <v/>
      </c>
      <c r="I920" s="83">
        <f>IF($G920="","",IFERROR(IF(INDEX(設定!$E$6:$E$21,MATCH($G920,設定!$B$6:$B$21,0))=0,"",INDEX(設定!$E$6:$E$21,MATCH($G920,設定!$B$6:$B$21,0))),""))</f>
        <v/>
      </c>
      <c r="J920" s="83">
        <f>IFERROR(INDEX(打卡匯入!$C$3:$C$2002,MATCH($C920&amp;"|"&amp;DAY($A920),打卡匯入!$E$3:$E$2002,0)),"")</f>
        <v/>
      </c>
      <c r="K920" s="83">
        <f>IFERROR(INDEX(打卡匯入!$D$3:$D$2002,MATCH($C920&amp;"|"&amp;DAY($A920),打卡匯入!$E$3:$E$2002,0)),"")</f>
        <v/>
      </c>
      <c r="L920" s="84">
        <f>IF(OR($J920="",$K920=""),"",IFERROR(INDEX(設定!$F$6:$F$21,MATCH($G920,設定!$B$6:$B$21,0)),0))</f>
        <v/>
      </c>
      <c r="M920" s="85">
        <f>IF(OR($J920="",$K920=""),"",ROUND(($K920-$J920)*24-$L920/60,2))</f>
        <v/>
      </c>
      <c r="N920" s="16">
        <f>IF($C920="","",IF(AND(COUNTIF(設定!$B$15:$B$21,$G920)&gt;0,$J920&lt;&gt;""),"假日出勤",IF(AND(COUNTIF(設定!$B$6:$B$14,$G920)&gt;0,$J920=""),"未打卡",IF($J920="","",IF($O920&gt;0,"遲到",IF($P920&gt;0,"早退","正常"))))))</f>
        <v/>
      </c>
      <c r="O920" s="84">
        <f>IF(OR($C920="",$H920="",$J920=""),0,IF(ROUND(($J920-$H920)*1440,0)&gt;設定!$C$46,ROUND(($J920-$H920)*1440,0),0))</f>
        <v/>
      </c>
      <c r="P920" s="84">
        <f>IF(OR($C920="",$I920="",$K920=""),0,IF(ROUND(($I920-$K920)*1440,0)&gt;設定!$C$46,ROUND(($I920-$K920)*1440,0),0))</f>
        <v/>
      </c>
      <c r="Q920" s="85">
        <f>IF($M920="",0,IF(($M920-IFERROR(INDEX(設定!$G$6:$G$21,MATCH($G920,設定!$B$6:$B$21,0)),0))*60&gt;=設定!$C$44,ROUND(FLOOR(($M920-IFERROR(INDEX(設定!$G$6:$G$21,MATCH($G920,設定!$B$6:$B$21,0)),0))*60,設定!$C$45)/60,2),0))</f>
        <v/>
      </c>
      <c r="R920" s="16">
        <f>IF(OR($C920="",$Q920=0),"",IF($G920="國","國定假日",IF($B920="日","例假",IF($B920="六","休息日","平日"))))</f>
        <v/>
      </c>
      <c r="S920" s="19" t="n"/>
    </row>
    <row r="921">
      <c r="A921" s="82">
        <f>IF(OR(助理班表!$A34="",20&gt;DAY(EOMONTH(DATE(設定!$C$2,設定!$D$2,1),0))),"",DATE(設定!$C$2,設定!$D$2,20))</f>
        <v/>
      </c>
      <c r="B921" s="16">
        <f>IF($A921="","",INDEX(設定!$O$6:$O$12,WEEKDAY($A921,1)))</f>
        <v/>
      </c>
      <c r="C921" s="16">
        <f>IF($A921="","",助理班表!$A34)</f>
        <v/>
      </c>
      <c r="D921" s="16">
        <f>IF($C921="","",助理班表!$B34)</f>
        <v/>
      </c>
      <c r="E921" s="16">
        <f>IF($C921="","",助理班表!$D34)</f>
        <v/>
      </c>
      <c r="F921" s="16">
        <f>IF($C921="","",助理班表!$C34)</f>
        <v/>
      </c>
      <c r="G921" s="16">
        <f>IF($C921="","",助理班表!X34)</f>
        <v/>
      </c>
      <c r="H921" s="83">
        <f>IF($G921="","",IFERROR(IF(INDEX(設定!$D$6:$D$21,MATCH($G921,設定!$B$6:$B$21,0))=0,"",INDEX(設定!$D$6:$D$21,MATCH($G921,設定!$B$6:$B$21,0))),""))</f>
        <v/>
      </c>
      <c r="I921" s="83">
        <f>IF($G921="","",IFERROR(IF(INDEX(設定!$E$6:$E$21,MATCH($G921,設定!$B$6:$B$21,0))=0,"",INDEX(設定!$E$6:$E$21,MATCH($G921,設定!$B$6:$B$21,0))),""))</f>
        <v/>
      </c>
      <c r="J921" s="83">
        <f>IFERROR(INDEX(打卡匯入!$C$3:$C$2002,MATCH($C921&amp;"|"&amp;DAY($A921),打卡匯入!$E$3:$E$2002,0)),"")</f>
        <v/>
      </c>
      <c r="K921" s="83">
        <f>IFERROR(INDEX(打卡匯入!$D$3:$D$2002,MATCH($C921&amp;"|"&amp;DAY($A921),打卡匯入!$E$3:$E$2002,0)),"")</f>
        <v/>
      </c>
      <c r="L921" s="84">
        <f>IF(OR($J921="",$K921=""),"",IFERROR(INDEX(設定!$F$6:$F$21,MATCH($G921,設定!$B$6:$B$21,0)),0))</f>
        <v/>
      </c>
      <c r="M921" s="85">
        <f>IF(OR($J921="",$K921=""),"",ROUND(($K921-$J921)*24-$L921/60,2))</f>
        <v/>
      </c>
      <c r="N921" s="16">
        <f>IF($C921="","",IF(AND(COUNTIF(設定!$B$15:$B$21,$G921)&gt;0,$J921&lt;&gt;""),"假日出勤",IF(AND(COUNTIF(設定!$B$6:$B$14,$G921)&gt;0,$J921=""),"未打卡",IF($J921="","",IF($O921&gt;0,"遲到",IF($P921&gt;0,"早退","正常"))))))</f>
        <v/>
      </c>
      <c r="O921" s="84">
        <f>IF(OR($C921="",$H921="",$J921=""),0,IF(ROUND(($J921-$H921)*1440,0)&gt;設定!$C$46,ROUND(($J921-$H921)*1440,0),0))</f>
        <v/>
      </c>
      <c r="P921" s="84">
        <f>IF(OR($C921="",$I921="",$K921=""),0,IF(ROUND(($I921-$K921)*1440,0)&gt;設定!$C$46,ROUND(($I921-$K921)*1440,0),0))</f>
        <v/>
      </c>
      <c r="Q921" s="85">
        <f>IF($M921="",0,IF(($M921-IFERROR(INDEX(設定!$G$6:$G$21,MATCH($G921,設定!$B$6:$B$21,0)),0))*60&gt;=設定!$C$44,ROUND(FLOOR(($M921-IFERROR(INDEX(設定!$G$6:$G$21,MATCH($G921,設定!$B$6:$B$21,0)),0))*60,設定!$C$45)/60,2),0))</f>
        <v/>
      </c>
      <c r="R921" s="16">
        <f>IF(OR($C921="",$Q921=0),"",IF($G921="國","國定假日",IF($B921="日","例假",IF($B921="六","休息日","平日"))))</f>
        <v/>
      </c>
      <c r="S921" s="19" t="n"/>
    </row>
    <row r="922">
      <c r="A922" s="82">
        <f>IF(OR(助理班表!$A34="",21&gt;DAY(EOMONTH(DATE(設定!$C$2,設定!$D$2,1),0))),"",DATE(設定!$C$2,設定!$D$2,21))</f>
        <v/>
      </c>
      <c r="B922" s="16">
        <f>IF($A922="","",INDEX(設定!$O$6:$O$12,WEEKDAY($A922,1)))</f>
        <v/>
      </c>
      <c r="C922" s="16">
        <f>IF($A922="","",助理班表!$A34)</f>
        <v/>
      </c>
      <c r="D922" s="16">
        <f>IF($C922="","",助理班表!$B34)</f>
        <v/>
      </c>
      <c r="E922" s="16">
        <f>IF($C922="","",助理班表!$D34)</f>
        <v/>
      </c>
      <c r="F922" s="16">
        <f>IF($C922="","",助理班表!$C34)</f>
        <v/>
      </c>
      <c r="G922" s="16">
        <f>IF($C922="","",助理班表!Y34)</f>
        <v/>
      </c>
      <c r="H922" s="83">
        <f>IF($G922="","",IFERROR(IF(INDEX(設定!$D$6:$D$21,MATCH($G922,設定!$B$6:$B$21,0))=0,"",INDEX(設定!$D$6:$D$21,MATCH($G922,設定!$B$6:$B$21,0))),""))</f>
        <v/>
      </c>
      <c r="I922" s="83">
        <f>IF($G922="","",IFERROR(IF(INDEX(設定!$E$6:$E$21,MATCH($G922,設定!$B$6:$B$21,0))=0,"",INDEX(設定!$E$6:$E$21,MATCH($G922,設定!$B$6:$B$21,0))),""))</f>
        <v/>
      </c>
      <c r="J922" s="83">
        <f>IFERROR(INDEX(打卡匯入!$C$3:$C$2002,MATCH($C922&amp;"|"&amp;DAY($A922),打卡匯入!$E$3:$E$2002,0)),"")</f>
        <v/>
      </c>
      <c r="K922" s="83">
        <f>IFERROR(INDEX(打卡匯入!$D$3:$D$2002,MATCH($C922&amp;"|"&amp;DAY($A922),打卡匯入!$E$3:$E$2002,0)),"")</f>
        <v/>
      </c>
      <c r="L922" s="84">
        <f>IF(OR($J922="",$K922=""),"",IFERROR(INDEX(設定!$F$6:$F$21,MATCH($G922,設定!$B$6:$B$21,0)),0))</f>
        <v/>
      </c>
      <c r="M922" s="85">
        <f>IF(OR($J922="",$K922=""),"",ROUND(($K922-$J922)*24-$L922/60,2))</f>
        <v/>
      </c>
      <c r="N922" s="16">
        <f>IF($C922="","",IF(AND(COUNTIF(設定!$B$15:$B$21,$G922)&gt;0,$J922&lt;&gt;""),"假日出勤",IF(AND(COUNTIF(設定!$B$6:$B$14,$G922)&gt;0,$J922=""),"未打卡",IF($J922="","",IF($O922&gt;0,"遲到",IF($P922&gt;0,"早退","正常"))))))</f>
        <v/>
      </c>
      <c r="O922" s="84">
        <f>IF(OR($C922="",$H922="",$J922=""),0,IF(ROUND(($J922-$H922)*1440,0)&gt;設定!$C$46,ROUND(($J922-$H922)*1440,0),0))</f>
        <v/>
      </c>
      <c r="P922" s="84">
        <f>IF(OR($C922="",$I922="",$K922=""),0,IF(ROUND(($I922-$K922)*1440,0)&gt;設定!$C$46,ROUND(($I922-$K922)*1440,0),0))</f>
        <v/>
      </c>
      <c r="Q922" s="85">
        <f>IF($M922="",0,IF(($M922-IFERROR(INDEX(設定!$G$6:$G$21,MATCH($G922,設定!$B$6:$B$21,0)),0))*60&gt;=設定!$C$44,ROUND(FLOOR(($M922-IFERROR(INDEX(設定!$G$6:$G$21,MATCH($G922,設定!$B$6:$B$21,0)),0))*60,設定!$C$45)/60,2),0))</f>
        <v/>
      </c>
      <c r="R922" s="16">
        <f>IF(OR($C922="",$Q922=0),"",IF($G922="國","國定假日",IF($B922="日","例假",IF($B922="六","休息日","平日"))))</f>
        <v/>
      </c>
      <c r="S922" s="19" t="n"/>
    </row>
    <row r="923">
      <c r="A923" s="82">
        <f>IF(OR(助理班表!$A34="",22&gt;DAY(EOMONTH(DATE(設定!$C$2,設定!$D$2,1),0))),"",DATE(設定!$C$2,設定!$D$2,22))</f>
        <v/>
      </c>
      <c r="B923" s="16">
        <f>IF($A923="","",INDEX(設定!$O$6:$O$12,WEEKDAY($A923,1)))</f>
        <v/>
      </c>
      <c r="C923" s="16">
        <f>IF($A923="","",助理班表!$A34)</f>
        <v/>
      </c>
      <c r="D923" s="16">
        <f>IF($C923="","",助理班表!$B34)</f>
        <v/>
      </c>
      <c r="E923" s="16">
        <f>IF($C923="","",助理班表!$D34)</f>
        <v/>
      </c>
      <c r="F923" s="16">
        <f>IF($C923="","",助理班表!$C34)</f>
        <v/>
      </c>
      <c r="G923" s="16">
        <f>IF($C923="","",助理班表!Z34)</f>
        <v/>
      </c>
      <c r="H923" s="83">
        <f>IF($G923="","",IFERROR(IF(INDEX(設定!$D$6:$D$21,MATCH($G923,設定!$B$6:$B$21,0))=0,"",INDEX(設定!$D$6:$D$21,MATCH($G923,設定!$B$6:$B$21,0))),""))</f>
        <v/>
      </c>
      <c r="I923" s="83">
        <f>IF($G923="","",IFERROR(IF(INDEX(設定!$E$6:$E$21,MATCH($G923,設定!$B$6:$B$21,0))=0,"",INDEX(設定!$E$6:$E$21,MATCH($G923,設定!$B$6:$B$21,0))),""))</f>
        <v/>
      </c>
      <c r="J923" s="83">
        <f>IFERROR(INDEX(打卡匯入!$C$3:$C$2002,MATCH($C923&amp;"|"&amp;DAY($A923),打卡匯入!$E$3:$E$2002,0)),"")</f>
        <v/>
      </c>
      <c r="K923" s="83">
        <f>IFERROR(INDEX(打卡匯入!$D$3:$D$2002,MATCH($C923&amp;"|"&amp;DAY($A923),打卡匯入!$E$3:$E$2002,0)),"")</f>
        <v/>
      </c>
      <c r="L923" s="84">
        <f>IF(OR($J923="",$K923=""),"",IFERROR(INDEX(設定!$F$6:$F$21,MATCH($G923,設定!$B$6:$B$21,0)),0))</f>
        <v/>
      </c>
      <c r="M923" s="85">
        <f>IF(OR($J923="",$K923=""),"",ROUND(($K923-$J923)*24-$L923/60,2))</f>
        <v/>
      </c>
      <c r="N923" s="16">
        <f>IF($C923="","",IF(AND(COUNTIF(設定!$B$15:$B$21,$G923)&gt;0,$J923&lt;&gt;""),"假日出勤",IF(AND(COUNTIF(設定!$B$6:$B$14,$G923)&gt;0,$J923=""),"未打卡",IF($J923="","",IF($O923&gt;0,"遲到",IF($P923&gt;0,"早退","正常"))))))</f>
        <v/>
      </c>
      <c r="O923" s="84">
        <f>IF(OR($C923="",$H923="",$J923=""),0,IF(ROUND(($J923-$H923)*1440,0)&gt;設定!$C$46,ROUND(($J923-$H923)*1440,0),0))</f>
        <v/>
      </c>
      <c r="P923" s="84">
        <f>IF(OR($C923="",$I923="",$K923=""),0,IF(ROUND(($I923-$K923)*1440,0)&gt;設定!$C$46,ROUND(($I923-$K923)*1440,0),0))</f>
        <v/>
      </c>
      <c r="Q923" s="85">
        <f>IF($M923="",0,IF(($M923-IFERROR(INDEX(設定!$G$6:$G$21,MATCH($G923,設定!$B$6:$B$21,0)),0))*60&gt;=設定!$C$44,ROUND(FLOOR(($M923-IFERROR(INDEX(設定!$G$6:$G$21,MATCH($G923,設定!$B$6:$B$21,0)),0))*60,設定!$C$45)/60,2),0))</f>
        <v/>
      </c>
      <c r="R923" s="16">
        <f>IF(OR($C923="",$Q923=0),"",IF($G923="國","國定假日",IF($B923="日","例假",IF($B923="六","休息日","平日"))))</f>
        <v/>
      </c>
      <c r="S923" s="19" t="n"/>
    </row>
    <row r="924">
      <c r="A924" s="82">
        <f>IF(OR(助理班表!$A34="",23&gt;DAY(EOMONTH(DATE(設定!$C$2,設定!$D$2,1),0))),"",DATE(設定!$C$2,設定!$D$2,23))</f>
        <v/>
      </c>
      <c r="B924" s="16">
        <f>IF($A924="","",INDEX(設定!$O$6:$O$12,WEEKDAY($A924,1)))</f>
        <v/>
      </c>
      <c r="C924" s="16">
        <f>IF($A924="","",助理班表!$A34)</f>
        <v/>
      </c>
      <c r="D924" s="16">
        <f>IF($C924="","",助理班表!$B34)</f>
        <v/>
      </c>
      <c r="E924" s="16">
        <f>IF($C924="","",助理班表!$D34)</f>
        <v/>
      </c>
      <c r="F924" s="16">
        <f>IF($C924="","",助理班表!$C34)</f>
        <v/>
      </c>
      <c r="G924" s="16">
        <f>IF($C924="","",助理班表!AA34)</f>
        <v/>
      </c>
      <c r="H924" s="83">
        <f>IF($G924="","",IFERROR(IF(INDEX(設定!$D$6:$D$21,MATCH($G924,設定!$B$6:$B$21,0))=0,"",INDEX(設定!$D$6:$D$21,MATCH($G924,設定!$B$6:$B$21,0))),""))</f>
        <v/>
      </c>
      <c r="I924" s="83">
        <f>IF($G924="","",IFERROR(IF(INDEX(設定!$E$6:$E$21,MATCH($G924,設定!$B$6:$B$21,0))=0,"",INDEX(設定!$E$6:$E$21,MATCH($G924,設定!$B$6:$B$21,0))),""))</f>
        <v/>
      </c>
      <c r="J924" s="83">
        <f>IFERROR(INDEX(打卡匯入!$C$3:$C$2002,MATCH($C924&amp;"|"&amp;DAY($A924),打卡匯入!$E$3:$E$2002,0)),"")</f>
        <v/>
      </c>
      <c r="K924" s="83">
        <f>IFERROR(INDEX(打卡匯入!$D$3:$D$2002,MATCH($C924&amp;"|"&amp;DAY($A924),打卡匯入!$E$3:$E$2002,0)),"")</f>
        <v/>
      </c>
      <c r="L924" s="84">
        <f>IF(OR($J924="",$K924=""),"",IFERROR(INDEX(設定!$F$6:$F$21,MATCH($G924,設定!$B$6:$B$21,0)),0))</f>
        <v/>
      </c>
      <c r="M924" s="85">
        <f>IF(OR($J924="",$K924=""),"",ROUND(($K924-$J924)*24-$L924/60,2))</f>
        <v/>
      </c>
      <c r="N924" s="16">
        <f>IF($C924="","",IF(AND(COUNTIF(設定!$B$15:$B$21,$G924)&gt;0,$J924&lt;&gt;""),"假日出勤",IF(AND(COUNTIF(設定!$B$6:$B$14,$G924)&gt;0,$J924=""),"未打卡",IF($J924="","",IF($O924&gt;0,"遲到",IF($P924&gt;0,"早退","正常"))))))</f>
        <v/>
      </c>
      <c r="O924" s="84">
        <f>IF(OR($C924="",$H924="",$J924=""),0,IF(ROUND(($J924-$H924)*1440,0)&gt;設定!$C$46,ROUND(($J924-$H924)*1440,0),0))</f>
        <v/>
      </c>
      <c r="P924" s="84">
        <f>IF(OR($C924="",$I924="",$K924=""),0,IF(ROUND(($I924-$K924)*1440,0)&gt;設定!$C$46,ROUND(($I924-$K924)*1440,0),0))</f>
        <v/>
      </c>
      <c r="Q924" s="85">
        <f>IF($M924="",0,IF(($M924-IFERROR(INDEX(設定!$G$6:$G$21,MATCH($G924,設定!$B$6:$B$21,0)),0))*60&gt;=設定!$C$44,ROUND(FLOOR(($M924-IFERROR(INDEX(設定!$G$6:$G$21,MATCH($G924,設定!$B$6:$B$21,0)),0))*60,設定!$C$45)/60,2),0))</f>
        <v/>
      </c>
      <c r="R924" s="16">
        <f>IF(OR($C924="",$Q924=0),"",IF($G924="國","國定假日",IF($B924="日","例假",IF($B924="六","休息日","平日"))))</f>
        <v/>
      </c>
      <c r="S924" s="19" t="n"/>
    </row>
    <row r="925">
      <c r="A925" s="82">
        <f>IF(OR(助理班表!$A34="",24&gt;DAY(EOMONTH(DATE(設定!$C$2,設定!$D$2,1),0))),"",DATE(設定!$C$2,設定!$D$2,24))</f>
        <v/>
      </c>
      <c r="B925" s="16">
        <f>IF($A925="","",INDEX(設定!$O$6:$O$12,WEEKDAY($A925,1)))</f>
        <v/>
      </c>
      <c r="C925" s="16">
        <f>IF($A925="","",助理班表!$A34)</f>
        <v/>
      </c>
      <c r="D925" s="16">
        <f>IF($C925="","",助理班表!$B34)</f>
        <v/>
      </c>
      <c r="E925" s="16">
        <f>IF($C925="","",助理班表!$D34)</f>
        <v/>
      </c>
      <c r="F925" s="16">
        <f>IF($C925="","",助理班表!$C34)</f>
        <v/>
      </c>
      <c r="G925" s="16">
        <f>IF($C925="","",助理班表!AB34)</f>
        <v/>
      </c>
      <c r="H925" s="83">
        <f>IF($G925="","",IFERROR(IF(INDEX(設定!$D$6:$D$21,MATCH($G925,設定!$B$6:$B$21,0))=0,"",INDEX(設定!$D$6:$D$21,MATCH($G925,設定!$B$6:$B$21,0))),""))</f>
        <v/>
      </c>
      <c r="I925" s="83">
        <f>IF($G925="","",IFERROR(IF(INDEX(設定!$E$6:$E$21,MATCH($G925,設定!$B$6:$B$21,0))=0,"",INDEX(設定!$E$6:$E$21,MATCH($G925,設定!$B$6:$B$21,0))),""))</f>
        <v/>
      </c>
      <c r="J925" s="83">
        <f>IFERROR(INDEX(打卡匯入!$C$3:$C$2002,MATCH($C925&amp;"|"&amp;DAY($A925),打卡匯入!$E$3:$E$2002,0)),"")</f>
        <v/>
      </c>
      <c r="K925" s="83">
        <f>IFERROR(INDEX(打卡匯入!$D$3:$D$2002,MATCH($C925&amp;"|"&amp;DAY($A925),打卡匯入!$E$3:$E$2002,0)),"")</f>
        <v/>
      </c>
      <c r="L925" s="84">
        <f>IF(OR($J925="",$K925=""),"",IFERROR(INDEX(設定!$F$6:$F$21,MATCH($G925,設定!$B$6:$B$21,0)),0))</f>
        <v/>
      </c>
      <c r="M925" s="85">
        <f>IF(OR($J925="",$K925=""),"",ROUND(($K925-$J925)*24-$L925/60,2))</f>
        <v/>
      </c>
      <c r="N925" s="16">
        <f>IF($C925="","",IF(AND(COUNTIF(設定!$B$15:$B$21,$G925)&gt;0,$J925&lt;&gt;""),"假日出勤",IF(AND(COUNTIF(設定!$B$6:$B$14,$G925)&gt;0,$J925=""),"未打卡",IF($J925="","",IF($O925&gt;0,"遲到",IF($P925&gt;0,"早退","正常"))))))</f>
        <v/>
      </c>
      <c r="O925" s="84">
        <f>IF(OR($C925="",$H925="",$J925=""),0,IF(ROUND(($J925-$H925)*1440,0)&gt;設定!$C$46,ROUND(($J925-$H925)*1440,0),0))</f>
        <v/>
      </c>
      <c r="P925" s="84">
        <f>IF(OR($C925="",$I925="",$K925=""),0,IF(ROUND(($I925-$K925)*1440,0)&gt;設定!$C$46,ROUND(($I925-$K925)*1440,0),0))</f>
        <v/>
      </c>
      <c r="Q925" s="85">
        <f>IF($M925="",0,IF(($M925-IFERROR(INDEX(設定!$G$6:$G$21,MATCH($G925,設定!$B$6:$B$21,0)),0))*60&gt;=設定!$C$44,ROUND(FLOOR(($M925-IFERROR(INDEX(設定!$G$6:$G$21,MATCH($G925,設定!$B$6:$B$21,0)),0))*60,設定!$C$45)/60,2),0))</f>
        <v/>
      </c>
      <c r="R925" s="16">
        <f>IF(OR($C925="",$Q925=0),"",IF($G925="國","國定假日",IF($B925="日","例假",IF($B925="六","休息日","平日"))))</f>
        <v/>
      </c>
      <c r="S925" s="19" t="n"/>
    </row>
    <row r="926">
      <c r="A926" s="82">
        <f>IF(OR(助理班表!$A34="",25&gt;DAY(EOMONTH(DATE(設定!$C$2,設定!$D$2,1),0))),"",DATE(設定!$C$2,設定!$D$2,25))</f>
        <v/>
      </c>
      <c r="B926" s="16">
        <f>IF($A926="","",INDEX(設定!$O$6:$O$12,WEEKDAY($A926,1)))</f>
        <v/>
      </c>
      <c r="C926" s="16">
        <f>IF($A926="","",助理班表!$A34)</f>
        <v/>
      </c>
      <c r="D926" s="16">
        <f>IF($C926="","",助理班表!$B34)</f>
        <v/>
      </c>
      <c r="E926" s="16">
        <f>IF($C926="","",助理班表!$D34)</f>
        <v/>
      </c>
      <c r="F926" s="16">
        <f>IF($C926="","",助理班表!$C34)</f>
        <v/>
      </c>
      <c r="G926" s="16">
        <f>IF($C926="","",助理班表!AC34)</f>
        <v/>
      </c>
      <c r="H926" s="83">
        <f>IF($G926="","",IFERROR(IF(INDEX(設定!$D$6:$D$21,MATCH($G926,設定!$B$6:$B$21,0))=0,"",INDEX(設定!$D$6:$D$21,MATCH($G926,設定!$B$6:$B$21,0))),""))</f>
        <v/>
      </c>
      <c r="I926" s="83">
        <f>IF($G926="","",IFERROR(IF(INDEX(設定!$E$6:$E$21,MATCH($G926,設定!$B$6:$B$21,0))=0,"",INDEX(設定!$E$6:$E$21,MATCH($G926,設定!$B$6:$B$21,0))),""))</f>
        <v/>
      </c>
      <c r="J926" s="83">
        <f>IFERROR(INDEX(打卡匯入!$C$3:$C$2002,MATCH($C926&amp;"|"&amp;DAY($A926),打卡匯入!$E$3:$E$2002,0)),"")</f>
        <v/>
      </c>
      <c r="K926" s="83">
        <f>IFERROR(INDEX(打卡匯入!$D$3:$D$2002,MATCH($C926&amp;"|"&amp;DAY($A926),打卡匯入!$E$3:$E$2002,0)),"")</f>
        <v/>
      </c>
      <c r="L926" s="84">
        <f>IF(OR($J926="",$K926=""),"",IFERROR(INDEX(設定!$F$6:$F$21,MATCH($G926,設定!$B$6:$B$21,0)),0))</f>
        <v/>
      </c>
      <c r="M926" s="85">
        <f>IF(OR($J926="",$K926=""),"",ROUND(($K926-$J926)*24-$L926/60,2))</f>
        <v/>
      </c>
      <c r="N926" s="16">
        <f>IF($C926="","",IF(AND(COUNTIF(設定!$B$15:$B$21,$G926)&gt;0,$J926&lt;&gt;""),"假日出勤",IF(AND(COUNTIF(設定!$B$6:$B$14,$G926)&gt;0,$J926=""),"未打卡",IF($J926="","",IF($O926&gt;0,"遲到",IF($P926&gt;0,"早退","正常"))))))</f>
        <v/>
      </c>
      <c r="O926" s="84">
        <f>IF(OR($C926="",$H926="",$J926=""),0,IF(ROUND(($J926-$H926)*1440,0)&gt;設定!$C$46,ROUND(($J926-$H926)*1440,0),0))</f>
        <v/>
      </c>
      <c r="P926" s="84">
        <f>IF(OR($C926="",$I926="",$K926=""),0,IF(ROUND(($I926-$K926)*1440,0)&gt;設定!$C$46,ROUND(($I926-$K926)*1440,0),0))</f>
        <v/>
      </c>
      <c r="Q926" s="85">
        <f>IF($M926="",0,IF(($M926-IFERROR(INDEX(設定!$G$6:$G$21,MATCH($G926,設定!$B$6:$B$21,0)),0))*60&gt;=設定!$C$44,ROUND(FLOOR(($M926-IFERROR(INDEX(設定!$G$6:$G$21,MATCH($G926,設定!$B$6:$B$21,0)),0))*60,設定!$C$45)/60,2),0))</f>
        <v/>
      </c>
      <c r="R926" s="16">
        <f>IF(OR($C926="",$Q926=0),"",IF($G926="國","國定假日",IF($B926="日","例假",IF($B926="六","休息日","平日"))))</f>
        <v/>
      </c>
      <c r="S926" s="19" t="n"/>
    </row>
    <row r="927">
      <c r="A927" s="82">
        <f>IF(OR(助理班表!$A34="",26&gt;DAY(EOMONTH(DATE(設定!$C$2,設定!$D$2,1),0))),"",DATE(設定!$C$2,設定!$D$2,26))</f>
        <v/>
      </c>
      <c r="B927" s="16">
        <f>IF($A927="","",INDEX(設定!$O$6:$O$12,WEEKDAY($A927,1)))</f>
        <v/>
      </c>
      <c r="C927" s="16">
        <f>IF($A927="","",助理班表!$A34)</f>
        <v/>
      </c>
      <c r="D927" s="16">
        <f>IF($C927="","",助理班表!$B34)</f>
        <v/>
      </c>
      <c r="E927" s="16">
        <f>IF($C927="","",助理班表!$D34)</f>
        <v/>
      </c>
      <c r="F927" s="16">
        <f>IF($C927="","",助理班表!$C34)</f>
        <v/>
      </c>
      <c r="G927" s="16">
        <f>IF($C927="","",助理班表!AD34)</f>
        <v/>
      </c>
      <c r="H927" s="83">
        <f>IF($G927="","",IFERROR(IF(INDEX(設定!$D$6:$D$21,MATCH($G927,設定!$B$6:$B$21,0))=0,"",INDEX(設定!$D$6:$D$21,MATCH($G927,設定!$B$6:$B$21,0))),""))</f>
        <v/>
      </c>
      <c r="I927" s="83">
        <f>IF($G927="","",IFERROR(IF(INDEX(設定!$E$6:$E$21,MATCH($G927,設定!$B$6:$B$21,0))=0,"",INDEX(設定!$E$6:$E$21,MATCH($G927,設定!$B$6:$B$21,0))),""))</f>
        <v/>
      </c>
      <c r="J927" s="83">
        <f>IFERROR(INDEX(打卡匯入!$C$3:$C$2002,MATCH($C927&amp;"|"&amp;DAY($A927),打卡匯入!$E$3:$E$2002,0)),"")</f>
        <v/>
      </c>
      <c r="K927" s="83">
        <f>IFERROR(INDEX(打卡匯入!$D$3:$D$2002,MATCH($C927&amp;"|"&amp;DAY($A927),打卡匯入!$E$3:$E$2002,0)),"")</f>
        <v/>
      </c>
      <c r="L927" s="84">
        <f>IF(OR($J927="",$K927=""),"",IFERROR(INDEX(設定!$F$6:$F$21,MATCH($G927,設定!$B$6:$B$21,0)),0))</f>
        <v/>
      </c>
      <c r="M927" s="85">
        <f>IF(OR($J927="",$K927=""),"",ROUND(($K927-$J927)*24-$L927/60,2))</f>
        <v/>
      </c>
      <c r="N927" s="16">
        <f>IF($C927="","",IF(AND(COUNTIF(設定!$B$15:$B$21,$G927)&gt;0,$J927&lt;&gt;""),"假日出勤",IF(AND(COUNTIF(設定!$B$6:$B$14,$G927)&gt;0,$J927=""),"未打卡",IF($J927="","",IF($O927&gt;0,"遲到",IF($P927&gt;0,"早退","正常"))))))</f>
        <v/>
      </c>
      <c r="O927" s="84">
        <f>IF(OR($C927="",$H927="",$J927=""),0,IF(ROUND(($J927-$H927)*1440,0)&gt;設定!$C$46,ROUND(($J927-$H927)*1440,0),0))</f>
        <v/>
      </c>
      <c r="P927" s="84">
        <f>IF(OR($C927="",$I927="",$K927=""),0,IF(ROUND(($I927-$K927)*1440,0)&gt;設定!$C$46,ROUND(($I927-$K927)*1440,0),0))</f>
        <v/>
      </c>
      <c r="Q927" s="85">
        <f>IF($M927="",0,IF(($M927-IFERROR(INDEX(設定!$G$6:$G$21,MATCH($G927,設定!$B$6:$B$21,0)),0))*60&gt;=設定!$C$44,ROUND(FLOOR(($M927-IFERROR(INDEX(設定!$G$6:$G$21,MATCH($G927,設定!$B$6:$B$21,0)),0))*60,設定!$C$45)/60,2),0))</f>
        <v/>
      </c>
      <c r="R927" s="16">
        <f>IF(OR($C927="",$Q927=0),"",IF($G927="國","國定假日",IF($B927="日","例假",IF($B927="六","休息日","平日"))))</f>
        <v/>
      </c>
      <c r="S927" s="19" t="n"/>
    </row>
    <row r="928">
      <c r="A928" s="82">
        <f>IF(OR(助理班表!$A34="",27&gt;DAY(EOMONTH(DATE(設定!$C$2,設定!$D$2,1),0))),"",DATE(設定!$C$2,設定!$D$2,27))</f>
        <v/>
      </c>
      <c r="B928" s="16">
        <f>IF($A928="","",INDEX(設定!$O$6:$O$12,WEEKDAY($A928,1)))</f>
        <v/>
      </c>
      <c r="C928" s="16">
        <f>IF($A928="","",助理班表!$A34)</f>
        <v/>
      </c>
      <c r="D928" s="16">
        <f>IF($C928="","",助理班表!$B34)</f>
        <v/>
      </c>
      <c r="E928" s="16">
        <f>IF($C928="","",助理班表!$D34)</f>
        <v/>
      </c>
      <c r="F928" s="16">
        <f>IF($C928="","",助理班表!$C34)</f>
        <v/>
      </c>
      <c r="G928" s="16">
        <f>IF($C928="","",助理班表!AE34)</f>
        <v/>
      </c>
      <c r="H928" s="83">
        <f>IF($G928="","",IFERROR(IF(INDEX(設定!$D$6:$D$21,MATCH($G928,設定!$B$6:$B$21,0))=0,"",INDEX(設定!$D$6:$D$21,MATCH($G928,設定!$B$6:$B$21,0))),""))</f>
        <v/>
      </c>
      <c r="I928" s="83">
        <f>IF($G928="","",IFERROR(IF(INDEX(設定!$E$6:$E$21,MATCH($G928,設定!$B$6:$B$21,0))=0,"",INDEX(設定!$E$6:$E$21,MATCH($G928,設定!$B$6:$B$21,0))),""))</f>
        <v/>
      </c>
      <c r="J928" s="83">
        <f>IFERROR(INDEX(打卡匯入!$C$3:$C$2002,MATCH($C928&amp;"|"&amp;DAY($A928),打卡匯入!$E$3:$E$2002,0)),"")</f>
        <v/>
      </c>
      <c r="K928" s="83">
        <f>IFERROR(INDEX(打卡匯入!$D$3:$D$2002,MATCH($C928&amp;"|"&amp;DAY($A928),打卡匯入!$E$3:$E$2002,0)),"")</f>
        <v/>
      </c>
      <c r="L928" s="84">
        <f>IF(OR($J928="",$K928=""),"",IFERROR(INDEX(設定!$F$6:$F$21,MATCH($G928,設定!$B$6:$B$21,0)),0))</f>
        <v/>
      </c>
      <c r="M928" s="85">
        <f>IF(OR($J928="",$K928=""),"",ROUND(($K928-$J928)*24-$L928/60,2))</f>
        <v/>
      </c>
      <c r="N928" s="16">
        <f>IF($C928="","",IF(AND(COUNTIF(設定!$B$15:$B$21,$G928)&gt;0,$J928&lt;&gt;""),"假日出勤",IF(AND(COUNTIF(設定!$B$6:$B$14,$G928)&gt;0,$J928=""),"未打卡",IF($J928="","",IF($O928&gt;0,"遲到",IF($P928&gt;0,"早退","正常"))))))</f>
        <v/>
      </c>
      <c r="O928" s="84">
        <f>IF(OR($C928="",$H928="",$J928=""),0,IF(ROUND(($J928-$H928)*1440,0)&gt;設定!$C$46,ROUND(($J928-$H928)*1440,0),0))</f>
        <v/>
      </c>
      <c r="P928" s="84">
        <f>IF(OR($C928="",$I928="",$K928=""),0,IF(ROUND(($I928-$K928)*1440,0)&gt;設定!$C$46,ROUND(($I928-$K928)*1440,0),0))</f>
        <v/>
      </c>
      <c r="Q928" s="85">
        <f>IF($M928="",0,IF(($M928-IFERROR(INDEX(設定!$G$6:$G$21,MATCH($G928,設定!$B$6:$B$21,0)),0))*60&gt;=設定!$C$44,ROUND(FLOOR(($M928-IFERROR(INDEX(設定!$G$6:$G$21,MATCH($G928,設定!$B$6:$B$21,0)),0))*60,設定!$C$45)/60,2),0))</f>
        <v/>
      </c>
      <c r="R928" s="16">
        <f>IF(OR($C928="",$Q928=0),"",IF($G928="國","國定假日",IF($B928="日","例假",IF($B928="六","休息日","平日"))))</f>
        <v/>
      </c>
      <c r="S928" s="19" t="n"/>
    </row>
    <row r="929">
      <c r="A929" s="82">
        <f>IF(OR(助理班表!$A34="",28&gt;DAY(EOMONTH(DATE(設定!$C$2,設定!$D$2,1),0))),"",DATE(設定!$C$2,設定!$D$2,28))</f>
        <v/>
      </c>
      <c r="B929" s="16">
        <f>IF($A929="","",INDEX(設定!$O$6:$O$12,WEEKDAY($A929,1)))</f>
        <v/>
      </c>
      <c r="C929" s="16">
        <f>IF($A929="","",助理班表!$A34)</f>
        <v/>
      </c>
      <c r="D929" s="16">
        <f>IF($C929="","",助理班表!$B34)</f>
        <v/>
      </c>
      <c r="E929" s="16">
        <f>IF($C929="","",助理班表!$D34)</f>
        <v/>
      </c>
      <c r="F929" s="16">
        <f>IF($C929="","",助理班表!$C34)</f>
        <v/>
      </c>
      <c r="G929" s="16">
        <f>IF($C929="","",助理班表!AF34)</f>
        <v/>
      </c>
      <c r="H929" s="83">
        <f>IF($G929="","",IFERROR(IF(INDEX(設定!$D$6:$D$21,MATCH($G929,設定!$B$6:$B$21,0))=0,"",INDEX(設定!$D$6:$D$21,MATCH($G929,設定!$B$6:$B$21,0))),""))</f>
        <v/>
      </c>
      <c r="I929" s="83">
        <f>IF($G929="","",IFERROR(IF(INDEX(設定!$E$6:$E$21,MATCH($G929,設定!$B$6:$B$21,0))=0,"",INDEX(設定!$E$6:$E$21,MATCH($G929,設定!$B$6:$B$21,0))),""))</f>
        <v/>
      </c>
      <c r="J929" s="83">
        <f>IFERROR(INDEX(打卡匯入!$C$3:$C$2002,MATCH($C929&amp;"|"&amp;DAY($A929),打卡匯入!$E$3:$E$2002,0)),"")</f>
        <v/>
      </c>
      <c r="K929" s="83">
        <f>IFERROR(INDEX(打卡匯入!$D$3:$D$2002,MATCH($C929&amp;"|"&amp;DAY($A929),打卡匯入!$E$3:$E$2002,0)),"")</f>
        <v/>
      </c>
      <c r="L929" s="84">
        <f>IF(OR($J929="",$K929=""),"",IFERROR(INDEX(設定!$F$6:$F$21,MATCH($G929,設定!$B$6:$B$21,0)),0))</f>
        <v/>
      </c>
      <c r="M929" s="85">
        <f>IF(OR($J929="",$K929=""),"",ROUND(($K929-$J929)*24-$L929/60,2))</f>
        <v/>
      </c>
      <c r="N929" s="16">
        <f>IF($C929="","",IF(AND(COUNTIF(設定!$B$15:$B$21,$G929)&gt;0,$J929&lt;&gt;""),"假日出勤",IF(AND(COUNTIF(設定!$B$6:$B$14,$G929)&gt;0,$J929=""),"未打卡",IF($J929="","",IF($O929&gt;0,"遲到",IF($P929&gt;0,"早退","正常"))))))</f>
        <v/>
      </c>
      <c r="O929" s="84">
        <f>IF(OR($C929="",$H929="",$J929=""),0,IF(ROUND(($J929-$H929)*1440,0)&gt;設定!$C$46,ROUND(($J929-$H929)*1440,0),0))</f>
        <v/>
      </c>
      <c r="P929" s="84">
        <f>IF(OR($C929="",$I929="",$K929=""),0,IF(ROUND(($I929-$K929)*1440,0)&gt;設定!$C$46,ROUND(($I929-$K929)*1440,0),0))</f>
        <v/>
      </c>
      <c r="Q929" s="85">
        <f>IF($M929="",0,IF(($M929-IFERROR(INDEX(設定!$G$6:$G$21,MATCH($G929,設定!$B$6:$B$21,0)),0))*60&gt;=設定!$C$44,ROUND(FLOOR(($M929-IFERROR(INDEX(設定!$G$6:$G$21,MATCH($G929,設定!$B$6:$B$21,0)),0))*60,設定!$C$45)/60,2),0))</f>
        <v/>
      </c>
      <c r="R929" s="16">
        <f>IF(OR($C929="",$Q929=0),"",IF($G929="國","國定假日",IF($B929="日","例假",IF($B929="六","休息日","平日"))))</f>
        <v/>
      </c>
      <c r="S929" s="19" t="n"/>
    </row>
    <row r="930">
      <c r="A930" s="82">
        <f>IF(OR(助理班表!$A34="",29&gt;DAY(EOMONTH(DATE(設定!$C$2,設定!$D$2,1),0))),"",DATE(設定!$C$2,設定!$D$2,29))</f>
        <v/>
      </c>
      <c r="B930" s="16">
        <f>IF($A930="","",INDEX(設定!$O$6:$O$12,WEEKDAY($A930,1)))</f>
        <v/>
      </c>
      <c r="C930" s="16">
        <f>IF($A930="","",助理班表!$A34)</f>
        <v/>
      </c>
      <c r="D930" s="16">
        <f>IF($C930="","",助理班表!$B34)</f>
        <v/>
      </c>
      <c r="E930" s="16">
        <f>IF($C930="","",助理班表!$D34)</f>
        <v/>
      </c>
      <c r="F930" s="16">
        <f>IF($C930="","",助理班表!$C34)</f>
        <v/>
      </c>
      <c r="G930" s="16">
        <f>IF($C930="","",助理班表!AG34)</f>
        <v/>
      </c>
      <c r="H930" s="83">
        <f>IF($G930="","",IFERROR(IF(INDEX(設定!$D$6:$D$21,MATCH($G930,設定!$B$6:$B$21,0))=0,"",INDEX(設定!$D$6:$D$21,MATCH($G930,設定!$B$6:$B$21,0))),""))</f>
        <v/>
      </c>
      <c r="I930" s="83">
        <f>IF($G930="","",IFERROR(IF(INDEX(設定!$E$6:$E$21,MATCH($G930,設定!$B$6:$B$21,0))=0,"",INDEX(設定!$E$6:$E$21,MATCH($G930,設定!$B$6:$B$21,0))),""))</f>
        <v/>
      </c>
      <c r="J930" s="83">
        <f>IFERROR(INDEX(打卡匯入!$C$3:$C$2002,MATCH($C930&amp;"|"&amp;DAY($A930),打卡匯入!$E$3:$E$2002,0)),"")</f>
        <v/>
      </c>
      <c r="K930" s="83">
        <f>IFERROR(INDEX(打卡匯入!$D$3:$D$2002,MATCH($C930&amp;"|"&amp;DAY($A930),打卡匯入!$E$3:$E$2002,0)),"")</f>
        <v/>
      </c>
      <c r="L930" s="84">
        <f>IF(OR($J930="",$K930=""),"",IFERROR(INDEX(設定!$F$6:$F$21,MATCH($G930,設定!$B$6:$B$21,0)),0))</f>
        <v/>
      </c>
      <c r="M930" s="85">
        <f>IF(OR($J930="",$K930=""),"",ROUND(($K930-$J930)*24-$L930/60,2))</f>
        <v/>
      </c>
      <c r="N930" s="16">
        <f>IF($C930="","",IF(AND(COUNTIF(設定!$B$15:$B$21,$G930)&gt;0,$J930&lt;&gt;""),"假日出勤",IF(AND(COUNTIF(設定!$B$6:$B$14,$G930)&gt;0,$J930=""),"未打卡",IF($J930="","",IF($O930&gt;0,"遲到",IF($P930&gt;0,"早退","正常"))))))</f>
        <v/>
      </c>
      <c r="O930" s="84">
        <f>IF(OR($C930="",$H930="",$J930=""),0,IF(ROUND(($J930-$H930)*1440,0)&gt;設定!$C$46,ROUND(($J930-$H930)*1440,0),0))</f>
        <v/>
      </c>
      <c r="P930" s="84">
        <f>IF(OR($C930="",$I930="",$K930=""),0,IF(ROUND(($I930-$K930)*1440,0)&gt;設定!$C$46,ROUND(($I930-$K930)*1440,0),0))</f>
        <v/>
      </c>
      <c r="Q930" s="85">
        <f>IF($M930="",0,IF(($M930-IFERROR(INDEX(設定!$G$6:$G$21,MATCH($G930,設定!$B$6:$B$21,0)),0))*60&gt;=設定!$C$44,ROUND(FLOOR(($M930-IFERROR(INDEX(設定!$G$6:$G$21,MATCH($G930,設定!$B$6:$B$21,0)),0))*60,設定!$C$45)/60,2),0))</f>
        <v/>
      </c>
      <c r="R930" s="16">
        <f>IF(OR($C930="",$Q930=0),"",IF($G930="國","國定假日",IF($B930="日","例假",IF($B930="六","休息日","平日"))))</f>
        <v/>
      </c>
      <c r="S930" s="19" t="n"/>
    </row>
    <row r="931">
      <c r="A931" s="82">
        <f>IF(OR(助理班表!$A34="",30&gt;DAY(EOMONTH(DATE(設定!$C$2,設定!$D$2,1),0))),"",DATE(設定!$C$2,設定!$D$2,30))</f>
        <v/>
      </c>
      <c r="B931" s="16">
        <f>IF($A931="","",INDEX(設定!$O$6:$O$12,WEEKDAY($A931,1)))</f>
        <v/>
      </c>
      <c r="C931" s="16">
        <f>IF($A931="","",助理班表!$A34)</f>
        <v/>
      </c>
      <c r="D931" s="16">
        <f>IF($C931="","",助理班表!$B34)</f>
        <v/>
      </c>
      <c r="E931" s="16">
        <f>IF($C931="","",助理班表!$D34)</f>
        <v/>
      </c>
      <c r="F931" s="16">
        <f>IF($C931="","",助理班表!$C34)</f>
        <v/>
      </c>
      <c r="G931" s="16">
        <f>IF($C931="","",助理班表!AH34)</f>
        <v/>
      </c>
      <c r="H931" s="83">
        <f>IF($G931="","",IFERROR(IF(INDEX(設定!$D$6:$D$21,MATCH($G931,設定!$B$6:$B$21,0))=0,"",INDEX(設定!$D$6:$D$21,MATCH($G931,設定!$B$6:$B$21,0))),""))</f>
        <v/>
      </c>
      <c r="I931" s="83">
        <f>IF($G931="","",IFERROR(IF(INDEX(設定!$E$6:$E$21,MATCH($G931,設定!$B$6:$B$21,0))=0,"",INDEX(設定!$E$6:$E$21,MATCH($G931,設定!$B$6:$B$21,0))),""))</f>
        <v/>
      </c>
      <c r="J931" s="83">
        <f>IFERROR(INDEX(打卡匯入!$C$3:$C$2002,MATCH($C931&amp;"|"&amp;DAY($A931),打卡匯入!$E$3:$E$2002,0)),"")</f>
        <v/>
      </c>
      <c r="K931" s="83">
        <f>IFERROR(INDEX(打卡匯入!$D$3:$D$2002,MATCH($C931&amp;"|"&amp;DAY($A931),打卡匯入!$E$3:$E$2002,0)),"")</f>
        <v/>
      </c>
      <c r="L931" s="84">
        <f>IF(OR($J931="",$K931=""),"",IFERROR(INDEX(設定!$F$6:$F$21,MATCH($G931,設定!$B$6:$B$21,0)),0))</f>
        <v/>
      </c>
      <c r="M931" s="85">
        <f>IF(OR($J931="",$K931=""),"",ROUND(($K931-$J931)*24-$L931/60,2))</f>
        <v/>
      </c>
      <c r="N931" s="16">
        <f>IF($C931="","",IF(AND(COUNTIF(設定!$B$15:$B$21,$G931)&gt;0,$J931&lt;&gt;""),"假日出勤",IF(AND(COUNTIF(設定!$B$6:$B$14,$G931)&gt;0,$J931=""),"未打卡",IF($J931="","",IF($O931&gt;0,"遲到",IF($P931&gt;0,"早退","正常"))))))</f>
        <v/>
      </c>
      <c r="O931" s="84">
        <f>IF(OR($C931="",$H931="",$J931=""),0,IF(ROUND(($J931-$H931)*1440,0)&gt;設定!$C$46,ROUND(($J931-$H931)*1440,0),0))</f>
        <v/>
      </c>
      <c r="P931" s="84">
        <f>IF(OR($C931="",$I931="",$K931=""),0,IF(ROUND(($I931-$K931)*1440,0)&gt;設定!$C$46,ROUND(($I931-$K931)*1440,0),0))</f>
        <v/>
      </c>
      <c r="Q931" s="85">
        <f>IF($M931="",0,IF(($M931-IFERROR(INDEX(設定!$G$6:$G$21,MATCH($G931,設定!$B$6:$B$21,0)),0))*60&gt;=設定!$C$44,ROUND(FLOOR(($M931-IFERROR(INDEX(設定!$G$6:$G$21,MATCH($G931,設定!$B$6:$B$21,0)),0))*60,設定!$C$45)/60,2),0))</f>
        <v/>
      </c>
      <c r="R931" s="16">
        <f>IF(OR($C931="",$Q931=0),"",IF($G931="國","國定假日",IF($B931="日","例假",IF($B931="六","休息日","平日"))))</f>
        <v/>
      </c>
      <c r="S931" s="19" t="n"/>
    </row>
    <row r="932">
      <c r="A932" s="82">
        <f>IF(OR(助理班表!$A34="",31&gt;DAY(EOMONTH(DATE(設定!$C$2,設定!$D$2,1),0))),"",DATE(設定!$C$2,設定!$D$2,31))</f>
        <v/>
      </c>
      <c r="B932" s="16">
        <f>IF($A932="","",INDEX(設定!$O$6:$O$12,WEEKDAY($A932,1)))</f>
        <v/>
      </c>
      <c r="C932" s="16">
        <f>IF($A932="","",助理班表!$A34)</f>
        <v/>
      </c>
      <c r="D932" s="16">
        <f>IF($C932="","",助理班表!$B34)</f>
        <v/>
      </c>
      <c r="E932" s="16">
        <f>IF($C932="","",助理班表!$D34)</f>
        <v/>
      </c>
      <c r="F932" s="16">
        <f>IF($C932="","",助理班表!$C34)</f>
        <v/>
      </c>
      <c r="G932" s="16">
        <f>IF($C932="","",助理班表!AI34)</f>
        <v/>
      </c>
      <c r="H932" s="83">
        <f>IF($G932="","",IFERROR(IF(INDEX(設定!$D$6:$D$21,MATCH($G932,設定!$B$6:$B$21,0))=0,"",INDEX(設定!$D$6:$D$21,MATCH($G932,設定!$B$6:$B$21,0))),""))</f>
        <v/>
      </c>
      <c r="I932" s="83">
        <f>IF($G932="","",IFERROR(IF(INDEX(設定!$E$6:$E$21,MATCH($G932,設定!$B$6:$B$21,0))=0,"",INDEX(設定!$E$6:$E$21,MATCH($G932,設定!$B$6:$B$21,0))),""))</f>
        <v/>
      </c>
      <c r="J932" s="83">
        <f>IFERROR(INDEX(打卡匯入!$C$3:$C$2002,MATCH($C932&amp;"|"&amp;DAY($A932),打卡匯入!$E$3:$E$2002,0)),"")</f>
        <v/>
      </c>
      <c r="K932" s="83">
        <f>IFERROR(INDEX(打卡匯入!$D$3:$D$2002,MATCH($C932&amp;"|"&amp;DAY($A932),打卡匯入!$E$3:$E$2002,0)),"")</f>
        <v/>
      </c>
      <c r="L932" s="84">
        <f>IF(OR($J932="",$K932=""),"",IFERROR(INDEX(設定!$F$6:$F$21,MATCH($G932,設定!$B$6:$B$21,0)),0))</f>
        <v/>
      </c>
      <c r="M932" s="85">
        <f>IF(OR($J932="",$K932=""),"",ROUND(($K932-$J932)*24-$L932/60,2))</f>
        <v/>
      </c>
      <c r="N932" s="16">
        <f>IF($C932="","",IF(AND(COUNTIF(設定!$B$15:$B$21,$G932)&gt;0,$J932&lt;&gt;""),"假日出勤",IF(AND(COUNTIF(設定!$B$6:$B$14,$G932)&gt;0,$J932=""),"未打卡",IF($J932="","",IF($O932&gt;0,"遲到",IF($P932&gt;0,"早退","正常"))))))</f>
        <v/>
      </c>
      <c r="O932" s="84">
        <f>IF(OR($C932="",$H932="",$J932=""),0,IF(ROUND(($J932-$H932)*1440,0)&gt;設定!$C$46,ROUND(($J932-$H932)*1440,0),0))</f>
        <v/>
      </c>
      <c r="P932" s="84">
        <f>IF(OR($C932="",$I932="",$K932=""),0,IF(ROUND(($I932-$K932)*1440,0)&gt;設定!$C$46,ROUND(($I932-$K932)*1440,0),0))</f>
        <v/>
      </c>
      <c r="Q932" s="85">
        <f>IF($M932="",0,IF(($M932-IFERROR(INDEX(設定!$G$6:$G$21,MATCH($G932,設定!$B$6:$B$21,0)),0))*60&gt;=設定!$C$44,ROUND(FLOOR(($M932-IFERROR(INDEX(設定!$G$6:$G$21,MATCH($G932,設定!$B$6:$B$21,0)),0))*60,設定!$C$45)/60,2),0))</f>
        <v/>
      </c>
      <c r="R932" s="16">
        <f>IF(OR($C932="",$Q932=0),"",IF($G932="國","國定假日",IF($B932="日","例假",IF($B932="六","休息日","平日"))))</f>
        <v/>
      </c>
      <c r="S932" s="19" t="n"/>
    </row>
    <row r="933">
      <c r="A933" s="82">
        <f>IF(OR(助理班表!$A35="",1&gt;DAY(EOMONTH(DATE(設定!$C$2,設定!$D$2,1),0))),"",DATE(設定!$C$2,設定!$D$2,1))</f>
        <v/>
      </c>
      <c r="B933" s="16">
        <f>IF($A933="","",INDEX(設定!$O$6:$O$12,WEEKDAY($A933,1)))</f>
        <v/>
      </c>
      <c r="C933" s="16">
        <f>IF($A933="","",助理班表!$A35)</f>
        <v/>
      </c>
      <c r="D933" s="16">
        <f>IF($C933="","",助理班表!$B35)</f>
        <v/>
      </c>
      <c r="E933" s="16">
        <f>IF($C933="","",助理班表!$D35)</f>
        <v/>
      </c>
      <c r="F933" s="16">
        <f>IF($C933="","",助理班表!$C35)</f>
        <v/>
      </c>
      <c r="G933" s="16">
        <f>IF($C933="","",助理班表!E35)</f>
        <v/>
      </c>
      <c r="H933" s="83">
        <f>IF($G933="","",IFERROR(IF(INDEX(設定!$D$6:$D$21,MATCH($G933,設定!$B$6:$B$21,0))=0,"",INDEX(設定!$D$6:$D$21,MATCH($G933,設定!$B$6:$B$21,0))),""))</f>
        <v/>
      </c>
      <c r="I933" s="83">
        <f>IF($G933="","",IFERROR(IF(INDEX(設定!$E$6:$E$21,MATCH($G933,設定!$B$6:$B$21,0))=0,"",INDEX(設定!$E$6:$E$21,MATCH($G933,設定!$B$6:$B$21,0))),""))</f>
        <v/>
      </c>
      <c r="J933" s="83">
        <f>IFERROR(INDEX(打卡匯入!$C$3:$C$2002,MATCH($C933&amp;"|"&amp;DAY($A933),打卡匯入!$E$3:$E$2002,0)),"")</f>
        <v/>
      </c>
      <c r="K933" s="83">
        <f>IFERROR(INDEX(打卡匯入!$D$3:$D$2002,MATCH($C933&amp;"|"&amp;DAY($A933),打卡匯入!$E$3:$E$2002,0)),"")</f>
        <v/>
      </c>
      <c r="L933" s="84">
        <f>IF(OR($J933="",$K933=""),"",IFERROR(INDEX(設定!$F$6:$F$21,MATCH($G933,設定!$B$6:$B$21,0)),0))</f>
        <v/>
      </c>
      <c r="M933" s="85">
        <f>IF(OR($J933="",$K933=""),"",ROUND(($K933-$J933)*24-$L933/60,2))</f>
        <v/>
      </c>
      <c r="N933" s="16">
        <f>IF($C933="","",IF(AND(COUNTIF(設定!$B$15:$B$21,$G933)&gt;0,$J933&lt;&gt;""),"假日出勤",IF(AND(COUNTIF(設定!$B$6:$B$14,$G933)&gt;0,$J933=""),"未打卡",IF($J933="","",IF($O933&gt;0,"遲到",IF($P933&gt;0,"早退","正常"))))))</f>
        <v/>
      </c>
      <c r="O933" s="84">
        <f>IF(OR($C933="",$H933="",$J933=""),0,IF(ROUND(($J933-$H933)*1440,0)&gt;設定!$C$46,ROUND(($J933-$H933)*1440,0),0))</f>
        <v/>
      </c>
      <c r="P933" s="84">
        <f>IF(OR($C933="",$I933="",$K933=""),0,IF(ROUND(($I933-$K933)*1440,0)&gt;設定!$C$46,ROUND(($I933-$K933)*1440,0),0))</f>
        <v/>
      </c>
      <c r="Q933" s="85">
        <f>IF($M933="",0,IF(($M933-IFERROR(INDEX(設定!$G$6:$G$21,MATCH($G933,設定!$B$6:$B$21,0)),0))*60&gt;=設定!$C$44,ROUND(FLOOR(($M933-IFERROR(INDEX(設定!$G$6:$G$21,MATCH($G933,設定!$B$6:$B$21,0)),0))*60,設定!$C$45)/60,2),0))</f>
        <v/>
      </c>
      <c r="R933" s="16">
        <f>IF(OR($C933="",$Q933=0),"",IF($G933="國","國定假日",IF($B933="日","例假",IF($B933="六","休息日","平日"))))</f>
        <v/>
      </c>
      <c r="S933" s="19" t="n"/>
    </row>
    <row r="934">
      <c r="A934" s="82">
        <f>IF(OR(助理班表!$A35="",2&gt;DAY(EOMONTH(DATE(設定!$C$2,設定!$D$2,1),0))),"",DATE(設定!$C$2,設定!$D$2,2))</f>
        <v/>
      </c>
      <c r="B934" s="16">
        <f>IF($A934="","",INDEX(設定!$O$6:$O$12,WEEKDAY($A934,1)))</f>
        <v/>
      </c>
      <c r="C934" s="16">
        <f>IF($A934="","",助理班表!$A35)</f>
        <v/>
      </c>
      <c r="D934" s="16">
        <f>IF($C934="","",助理班表!$B35)</f>
        <v/>
      </c>
      <c r="E934" s="16">
        <f>IF($C934="","",助理班表!$D35)</f>
        <v/>
      </c>
      <c r="F934" s="16">
        <f>IF($C934="","",助理班表!$C35)</f>
        <v/>
      </c>
      <c r="G934" s="16">
        <f>IF($C934="","",助理班表!F35)</f>
        <v/>
      </c>
      <c r="H934" s="83">
        <f>IF($G934="","",IFERROR(IF(INDEX(設定!$D$6:$D$21,MATCH($G934,設定!$B$6:$B$21,0))=0,"",INDEX(設定!$D$6:$D$21,MATCH($G934,設定!$B$6:$B$21,0))),""))</f>
        <v/>
      </c>
      <c r="I934" s="83">
        <f>IF($G934="","",IFERROR(IF(INDEX(設定!$E$6:$E$21,MATCH($G934,設定!$B$6:$B$21,0))=0,"",INDEX(設定!$E$6:$E$21,MATCH($G934,設定!$B$6:$B$21,0))),""))</f>
        <v/>
      </c>
      <c r="J934" s="83">
        <f>IFERROR(INDEX(打卡匯入!$C$3:$C$2002,MATCH($C934&amp;"|"&amp;DAY($A934),打卡匯入!$E$3:$E$2002,0)),"")</f>
        <v/>
      </c>
      <c r="K934" s="83">
        <f>IFERROR(INDEX(打卡匯入!$D$3:$D$2002,MATCH($C934&amp;"|"&amp;DAY($A934),打卡匯入!$E$3:$E$2002,0)),"")</f>
        <v/>
      </c>
      <c r="L934" s="84">
        <f>IF(OR($J934="",$K934=""),"",IFERROR(INDEX(設定!$F$6:$F$21,MATCH($G934,設定!$B$6:$B$21,0)),0))</f>
        <v/>
      </c>
      <c r="M934" s="85">
        <f>IF(OR($J934="",$K934=""),"",ROUND(($K934-$J934)*24-$L934/60,2))</f>
        <v/>
      </c>
      <c r="N934" s="16">
        <f>IF($C934="","",IF(AND(COUNTIF(設定!$B$15:$B$21,$G934)&gt;0,$J934&lt;&gt;""),"假日出勤",IF(AND(COUNTIF(設定!$B$6:$B$14,$G934)&gt;0,$J934=""),"未打卡",IF($J934="","",IF($O934&gt;0,"遲到",IF($P934&gt;0,"早退","正常"))))))</f>
        <v/>
      </c>
      <c r="O934" s="84">
        <f>IF(OR($C934="",$H934="",$J934=""),0,IF(ROUND(($J934-$H934)*1440,0)&gt;設定!$C$46,ROUND(($J934-$H934)*1440,0),0))</f>
        <v/>
      </c>
      <c r="P934" s="84">
        <f>IF(OR($C934="",$I934="",$K934=""),0,IF(ROUND(($I934-$K934)*1440,0)&gt;設定!$C$46,ROUND(($I934-$K934)*1440,0),0))</f>
        <v/>
      </c>
      <c r="Q934" s="85">
        <f>IF($M934="",0,IF(($M934-IFERROR(INDEX(設定!$G$6:$G$21,MATCH($G934,設定!$B$6:$B$21,0)),0))*60&gt;=設定!$C$44,ROUND(FLOOR(($M934-IFERROR(INDEX(設定!$G$6:$G$21,MATCH($G934,設定!$B$6:$B$21,0)),0))*60,設定!$C$45)/60,2),0))</f>
        <v/>
      </c>
      <c r="R934" s="16">
        <f>IF(OR($C934="",$Q934=0),"",IF($G934="國","國定假日",IF($B934="日","例假",IF($B934="六","休息日","平日"))))</f>
        <v/>
      </c>
      <c r="S934" s="19" t="n"/>
    </row>
    <row r="935">
      <c r="A935" s="82">
        <f>IF(OR(助理班表!$A35="",3&gt;DAY(EOMONTH(DATE(設定!$C$2,設定!$D$2,1),0))),"",DATE(設定!$C$2,設定!$D$2,3))</f>
        <v/>
      </c>
      <c r="B935" s="16">
        <f>IF($A935="","",INDEX(設定!$O$6:$O$12,WEEKDAY($A935,1)))</f>
        <v/>
      </c>
      <c r="C935" s="16">
        <f>IF($A935="","",助理班表!$A35)</f>
        <v/>
      </c>
      <c r="D935" s="16">
        <f>IF($C935="","",助理班表!$B35)</f>
        <v/>
      </c>
      <c r="E935" s="16">
        <f>IF($C935="","",助理班表!$D35)</f>
        <v/>
      </c>
      <c r="F935" s="16">
        <f>IF($C935="","",助理班表!$C35)</f>
        <v/>
      </c>
      <c r="G935" s="16">
        <f>IF($C935="","",助理班表!G35)</f>
        <v/>
      </c>
      <c r="H935" s="83">
        <f>IF($G935="","",IFERROR(IF(INDEX(設定!$D$6:$D$21,MATCH($G935,設定!$B$6:$B$21,0))=0,"",INDEX(設定!$D$6:$D$21,MATCH($G935,設定!$B$6:$B$21,0))),""))</f>
        <v/>
      </c>
      <c r="I935" s="83">
        <f>IF($G935="","",IFERROR(IF(INDEX(設定!$E$6:$E$21,MATCH($G935,設定!$B$6:$B$21,0))=0,"",INDEX(設定!$E$6:$E$21,MATCH($G935,設定!$B$6:$B$21,0))),""))</f>
        <v/>
      </c>
      <c r="J935" s="83">
        <f>IFERROR(INDEX(打卡匯入!$C$3:$C$2002,MATCH($C935&amp;"|"&amp;DAY($A935),打卡匯入!$E$3:$E$2002,0)),"")</f>
        <v/>
      </c>
      <c r="K935" s="83">
        <f>IFERROR(INDEX(打卡匯入!$D$3:$D$2002,MATCH($C935&amp;"|"&amp;DAY($A935),打卡匯入!$E$3:$E$2002,0)),"")</f>
        <v/>
      </c>
      <c r="L935" s="84">
        <f>IF(OR($J935="",$K935=""),"",IFERROR(INDEX(設定!$F$6:$F$21,MATCH($G935,設定!$B$6:$B$21,0)),0))</f>
        <v/>
      </c>
      <c r="M935" s="85">
        <f>IF(OR($J935="",$K935=""),"",ROUND(($K935-$J935)*24-$L935/60,2))</f>
        <v/>
      </c>
      <c r="N935" s="16">
        <f>IF($C935="","",IF(AND(COUNTIF(設定!$B$15:$B$21,$G935)&gt;0,$J935&lt;&gt;""),"假日出勤",IF(AND(COUNTIF(設定!$B$6:$B$14,$G935)&gt;0,$J935=""),"未打卡",IF($J935="","",IF($O935&gt;0,"遲到",IF($P935&gt;0,"早退","正常"))))))</f>
        <v/>
      </c>
      <c r="O935" s="84">
        <f>IF(OR($C935="",$H935="",$J935=""),0,IF(ROUND(($J935-$H935)*1440,0)&gt;設定!$C$46,ROUND(($J935-$H935)*1440,0),0))</f>
        <v/>
      </c>
      <c r="P935" s="84">
        <f>IF(OR($C935="",$I935="",$K935=""),0,IF(ROUND(($I935-$K935)*1440,0)&gt;設定!$C$46,ROUND(($I935-$K935)*1440,0),0))</f>
        <v/>
      </c>
      <c r="Q935" s="85">
        <f>IF($M935="",0,IF(($M935-IFERROR(INDEX(設定!$G$6:$G$21,MATCH($G935,設定!$B$6:$B$21,0)),0))*60&gt;=設定!$C$44,ROUND(FLOOR(($M935-IFERROR(INDEX(設定!$G$6:$G$21,MATCH($G935,設定!$B$6:$B$21,0)),0))*60,設定!$C$45)/60,2),0))</f>
        <v/>
      </c>
      <c r="R935" s="16">
        <f>IF(OR($C935="",$Q935=0),"",IF($G935="國","國定假日",IF($B935="日","例假",IF($B935="六","休息日","平日"))))</f>
        <v/>
      </c>
      <c r="S935" s="19" t="n"/>
    </row>
    <row r="936">
      <c r="A936" s="82">
        <f>IF(OR(助理班表!$A35="",4&gt;DAY(EOMONTH(DATE(設定!$C$2,設定!$D$2,1),0))),"",DATE(設定!$C$2,設定!$D$2,4))</f>
        <v/>
      </c>
      <c r="B936" s="16">
        <f>IF($A936="","",INDEX(設定!$O$6:$O$12,WEEKDAY($A936,1)))</f>
        <v/>
      </c>
      <c r="C936" s="16">
        <f>IF($A936="","",助理班表!$A35)</f>
        <v/>
      </c>
      <c r="D936" s="16">
        <f>IF($C936="","",助理班表!$B35)</f>
        <v/>
      </c>
      <c r="E936" s="16">
        <f>IF($C936="","",助理班表!$D35)</f>
        <v/>
      </c>
      <c r="F936" s="16">
        <f>IF($C936="","",助理班表!$C35)</f>
        <v/>
      </c>
      <c r="G936" s="16">
        <f>IF($C936="","",助理班表!H35)</f>
        <v/>
      </c>
      <c r="H936" s="83">
        <f>IF($G936="","",IFERROR(IF(INDEX(設定!$D$6:$D$21,MATCH($G936,設定!$B$6:$B$21,0))=0,"",INDEX(設定!$D$6:$D$21,MATCH($G936,設定!$B$6:$B$21,0))),""))</f>
        <v/>
      </c>
      <c r="I936" s="83">
        <f>IF($G936="","",IFERROR(IF(INDEX(設定!$E$6:$E$21,MATCH($G936,設定!$B$6:$B$21,0))=0,"",INDEX(設定!$E$6:$E$21,MATCH($G936,設定!$B$6:$B$21,0))),""))</f>
        <v/>
      </c>
      <c r="J936" s="83">
        <f>IFERROR(INDEX(打卡匯入!$C$3:$C$2002,MATCH($C936&amp;"|"&amp;DAY($A936),打卡匯入!$E$3:$E$2002,0)),"")</f>
        <v/>
      </c>
      <c r="K936" s="83">
        <f>IFERROR(INDEX(打卡匯入!$D$3:$D$2002,MATCH($C936&amp;"|"&amp;DAY($A936),打卡匯入!$E$3:$E$2002,0)),"")</f>
        <v/>
      </c>
      <c r="L936" s="84">
        <f>IF(OR($J936="",$K936=""),"",IFERROR(INDEX(設定!$F$6:$F$21,MATCH($G936,設定!$B$6:$B$21,0)),0))</f>
        <v/>
      </c>
      <c r="M936" s="85">
        <f>IF(OR($J936="",$K936=""),"",ROUND(($K936-$J936)*24-$L936/60,2))</f>
        <v/>
      </c>
      <c r="N936" s="16">
        <f>IF($C936="","",IF(AND(COUNTIF(設定!$B$15:$B$21,$G936)&gt;0,$J936&lt;&gt;""),"假日出勤",IF(AND(COUNTIF(設定!$B$6:$B$14,$G936)&gt;0,$J936=""),"未打卡",IF($J936="","",IF($O936&gt;0,"遲到",IF($P936&gt;0,"早退","正常"))))))</f>
        <v/>
      </c>
      <c r="O936" s="84">
        <f>IF(OR($C936="",$H936="",$J936=""),0,IF(ROUND(($J936-$H936)*1440,0)&gt;設定!$C$46,ROUND(($J936-$H936)*1440,0),0))</f>
        <v/>
      </c>
      <c r="P936" s="84">
        <f>IF(OR($C936="",$I936="",$K936=""),0,IF(ROUND(($I936-$K936)*1440,0)&gt;設定!$C$46,ROUND(($I936-$K936)*1440,0),0))</f>
        <v/>
      </c>
      <c r="Q936" s="85">
        <f>IF($M936="",0,IF(($M936-IFERROR(INDEX(設定!$G$6:$G$21,MATCH($G936,設定!$B$6:$B$21,0)),0))*60&gt;=設定!$C$44,ROUND(FLOOR(($M936-IFERROR(INDEX(設定!$G$6:$G$21,MATCH($G936,設定!$B$6:$B$21,0)),0))*60,設定!$C$45)/60,2),0))</f>
        <v/>
      </c>
      <c r="R936" s="16">
        <f>IF(OR($C936="",$Q936=0),"",IF($G936="國","國定假日",IF($B936="日","例假",IF($B936="六","休息日","平日"))))</f>
        <v/>
      </c>
      <c r="S936" s="19" t="n"/>
    </row>
    <row r="937">
      <c r="A937" s="82">
        <f>IF(OR(助理班表!$A35="",5&gt;DAY(EOMONTH(DATE(設定!$C$2,設定!$D$2,1),0))),"",DATE(設定!$C$2,設定!$D$2,5))</f>
        <v/>
      </c>
      <c r="B937" s="16">
        <f>IF($A937="","",INDEX(設定!$O$6:$O$12,WEEKDAY($A937,1)))</f>
        <v/>
      </c>
      <c r="C937" s="16">
        <f>IF($A937="","",助理班表!$A35)</f>
        <v/>
      </c>
      <c r="D937" s="16">
        <f>IF($C937="","",助理班表!$B35)</f>
        <v/>
      </c>
      <c r="E937" s="16">
        <f>IF($C937="","",助理班表!$D35)</f>
        <v/>
      </c>
      <c r="F937" s="16">
        <f>IF($C937="","",助理班表!$C35)</f>
        <v/>
      </c>
      <c r="G937" s="16">
        <f>IF($C937="","",助理班表!I35)</f>
        <v/>
      </c>
      <c r="H937" s="83">
        <f>IF($G937="","",IFERROR(IF(INDEX(設定!$D$6:$D$21,MATCH($G937,設定!$B$6:$B$21,0))=0,"",INDEX(設定!$D$6:$D$21,MATCH($G937,設定!$B$6:$B$21,0))),""))</f>
        <v/>
      </c>
      <c r="I937" s="83">
        <f>IF($G937="","",IFERROR(IF(INDEX(設定!$E$6:$E$21,MATCH($G937,設定!$B$6:$B$21,0))=0,"",INDEX(設定!$E$6:$E$21,MATCH($G937,設定!$B$6:$B$21,0))),""))</f>
        <v/>
      </c>
      <c r="J937" s="83">
        <f>IFERROR(INDEX(打卡匯入!$C$3:$C$2002,MATCH($C937&amp;"|"&amp;DAY($A937),打卡匯入!$E$3:$E$2002,0)),"")</f>
        <v/>
      </c>
      <c r="K937" s="83">
        <f>IFERROR(INDEX(打卡匯入!$D$3:$D$2002,MATCH($C937&amp;"|"&amp;DAY($A937),打卡匯入!$E$3:$E$2002,0)),"")</f>
        <v/>
      </c>
      <c r="L937" s="84">
        <f>IF(OR($J937="",$K937=""),"",IFERROR(INDEX(設定!$F$6:$F$21,MATCH($G937,設定!$B$6:$B$21,0)),0))</f>
        <v/>
      </c>
      <c r="M937" s="85">
        <f>IF(OR($J937="",$K937=""),"",ROUND(($K937-$J937)*24-$L937/60,2))</f>
        <v/>
      </c>
      <c r="N937" s="16">
        <f>IF($C937="","",IF(AND(COUNTIF(設定!$B$15:$B$21,$G937)&gt;0,$J937&lt;&gt;""),"假日出勤",IF(AND(COUNTIF(設定!$B$6:$B$14,$G937)&gt;0,$J937=""),"未打卡",IF($J937="","",IF($O937&gt;0,"遲到",IF($P937&gt;0,"早退","正常"))))))</f>
        <v/>
      </c>
      <c r="O937" s="84">
        <f>IF(OR($C937="",$H937="",$J937=""),0,IF(ROUND(($J937-$H937)*1440,0)&gt;設定!$C$46,ROUND(($J937-$H937)*1440,0),0))</f>
        <v/>
      </c>
      <c r="P937" s="84">
        <f>IF(OR($C937="",$I937="",$K937=""),0,IF(ROUND(($I937-$K937)*1440,0)&gt;設定!$C$46,ROUND(($I937-$K937)*1440,0),0))</f>
        <v/>
      </c>
      <c r="Q937" s="85">
        <f>IF($M937="",0,IF(($M937-IFERROR(INDEX(設定!$G$6:$G$21,MATCH($G937,設定!$B$6:$B$21,0)),0))*60&gt;=設定!$C$44,ROUND(FLOOR(($M937-IFERROR(INDEX(設定!$G$6:$G$21,MATCH($G937,設定!$B$6:$B$21,0)),0))*60,設定!$C$45)/60,2),0))</f>
        <v/>
      </c>
      <c r="R937" s="16">
        <f>IF(OR($C937="",$Q937=0),"",IF($G937="國","國定假日",IF($B937="日","例假",IF($B937="六","休息日","平日"))))</f>
        <v/>
      </c>
      <c r="S937" s="19" t="n"/>
    </row>
    <row r="938">
      <c r="A938" s="82">
        <f>IF(OR(助理班表!$A35="",6&gt;DAY(EOMONTH(DATE(設定!$C$2,設定!$D$2,1),0))),"",DATE(設定!$C$2,設定!$D$2,6))</f>
        <v/>
      </c>
      <c r="B938" s="16">
        <f>IF($A938="","",INDEX(設定!$O$6:$O$12,WEEKDAY($A938,1)))</f>
        <v/>
      </c>
      <c r="C938" s="16">
        <f>IF($A938="","",助理班表!$A35)</f>
        <v/>
      </c>
      <c r="D938" s="16">
        <f>IF($C938="","",助理班表!$B35)</f>
        <v/>
      </c>
      <c r="E938" s="16">
        <f>IF($C938="","",助理班表!$D35)</f>
        <v/>
      </c>
      <c r="F938" s="16">
        <f>IF($C938="","",助理班表!$C35)</f>
        <v/>
      </c>
      <c r="G938" s="16">
        <f>IF($C938="","",助理班表!J35)</f>
        <v/>
      </c>
      <c r="H938" s="83">
        <f>IF($G938="","",IFERROR(IF(INDEX(設定!$D$6:$D$21,MATCH($G938,設定!$B$6:$B$21,0))=0,"",INDEX(設定!$D$6:$D$21,MATCH($G938,設定!$B$6:$B$21,0))),""))</f>
        <v/>
      </c>
      <c r="I938" s="83">
        <f>IF($G938="","",IFERROR(IF(INDEX(設定!$E$6:$E$21,MATCH($G938,設定!$B$6:$B$21,0))=0,"",INDEX(設定!$E$6:$E$21,MATCH($G938,設定!$B$6:$B$21,0))),""))</f>
        <v/>
      </c>
      <c r="J938" s="83">
        <f>IFERROR(INDEX(打卡匯入!$C$3:$C$2002,MATCH($C938&amp;"|"&amp;DAY($A938),打卡匯入!$E$3:$E$2002,0)),"")</f>
        <v/>
      </c>
      <c r="K938" s="83">
        <f>IFERROR(INDEX(打卡匯入!$D$3:$D$2002,MATCH($C938&amp;"|"&amp;DAY($A938),打卡匯入!$E$3:$E$2002,0)),"")</f>
        <v/>
      </c>
      <c r="L938" s="84">
        <f>IF(OR($J938="",$K938=""),"",IFERROR(INDEX(設定!$F$6:$F$21,MATCH($G938,設定!$B$6:$B$21,0)),0))</f>
        <v/>
      </c>
      <c r="M938" s="85">
        <f>IF(OR($J938="",$K938=""),"",ROUND(($K938-$J938)*24-$L938/60,2))</f>
        <v/>
      </c>
      <c r="N938" s="16">
        <f>IF($C938="","",IF(AND(COUNTIF(設定!$B$15:$B$21,$G938)&gt;0,$J938&lt;&gt;""),"假日出勤",IF(AND(COUNTIF(設定!$B$6:$B$14,$G938)&gt;0,$J938=""),"未打卡",IF($J938="","",IF($O938&gt;0,"遲到",IF($P938&gt;0,"早退","正常"))))))</f>
        <v/>
      </c>
      <c r="O938" s="84">
        <f>IF(OR($C938="",$H938="",$J938=""),0,IF(ROUND(($J938-$H938)*1440,0)&gt;設定!$C$46,ROUND(($J938-$H938)*1440,0),0))</f>
        <v/>
      </c>
      <c r="P938" s="84">
        <f>IF(OR($C938="",$I938="",$K938=""),0,IF(ROUND(($I938-$K938)*1440,0)&gt;設定!$C$46,ROUND(($I938-$K938)*1440,0),0))</f>
        <v/>
      </c>
      <c r="Q938" s="85">
        <f>IF($M938="",0,IF(($M938-IFERROR(INDEX(設定!$G$6:$G$21,MATCH($G938,設定!$B$6:$B$21,0)),0))*60&gt;=設定!$C$44,ROUND(FLOOR(($M938-IFERROR(INDEX(設定!$G$6:$G$21,MATCH($G938,設定!$B$6:$B$21,0)),0))*60,設定!$C$45)/60,2),0))</f>
        <v/>
      </c>
      <c r="R938" s="16">
        <f>IF(OR($C938="",$Q938=0),"",IF($G938="國","國定假日",IF($B938="日","例假",IF($B938="六","休息日","平日"))))</f>
        <v/>
      </c>
      <c r="S938" s="19" t="n"/>
    </row>
    <row r="939">
      <c r="A939" s="82">
        <f>IF(OR(助理班表!$A35="",7&gt;DAY(EOMONTH(DATE(設定!$C$2,設定!$D$2,1),0))),"",DATE(設定!$C$2,設定!$D$2,7))</f>
        <v/>
      </c>
      <c r="B939" s="16">
        <f>IF($A939="","",INDEX(設定!$O$6:$O$12,WEEKDAY($A939,1)))</f>
        <v/>
      </c>
      <c r="C939" s="16">
        <f>IF($A939="","",助理班表!$A35)</f>
        <v/>
      </c>
      <c r="D939" s="16">
        <f>IF($C939="","",助理班表!$B35)</f>
        <v/>
      </c>
      <c r="E939" s="16">
        <f>IF($C939="","",助理班表!$D35)</f>
        <v/>
      </c>
      <c r="F939" s="16">
        <f>IF($C939="","",助理班表!$C35)</f>
        <v/>
      </c>
      <c r="G939" s="16">
        <f>IF($C939="","",助理班表!K35)</f>
        <v/>
      </c>
      <c r="H939" s="83">
        <f>IF($G939="","",IFERROR(IF(INDEX(設定!$D$6:$D$21,MATCH($G939,設定!$B$6:$B$21,0))=0,"",INDEX(設定!$D$6:$D$21,MATCH($G939,設定!$B$6:$B$21,0))),""))</f>
        <v/>
      </c>
      <c r="I939" s="83">
        <f>IF($G939="","",IFERROR(IF(INDEX(設定!$E$6:$E$21,MATCH($G939,設定!$B$6:$B$21,0))=0,"",INDEX(設定!$E$6:$E$21,MATCH($G939,設定!$B$6:$B$21,0))),""))</f>
        <v/>
      </c>
      <c r="J939" s="83">
        <f>IFERROR(INDEX(打卡匯入!$C$3:$C$2002,MATCH($C939&amp;"|"&amp;DAY($A939),打卡匯入!$E$3:$E$2002,0)),"")</f>
        <v/>
      </c>
      <c r="K939" s="83">
        <f>IFERROR(INDEX(打卡匯入!$D$3:$D$2002,MATCH($C939&amp;"|"&amp;DAY($A939),打卡匯入!$E$3:$E$2002,0)),"")</f>
        <v/>
      </c>
      <c r="L939" s="84">
        <f>IF(OR($J939="",$K939=""),"",IFERROR(INDEX(設定!$F$6:$F$21,MATCH($G939,設定!$B$6:$B$21,0)),0))</f>
        <v/>
      </c>
      <c r="M939" s="85">
        <f>IF(OR($J939="",$K939=""),"",ROUND(($K939-$J939)*24-$L939/60,2))</f>
        <v/>
      </c>
      <c r="N939" s="16">
        <f>IF($C939="","",IF(AND(COUNTIF(設定!$B$15:$B$21,$G939)&gt;0,$J939&lt;&gt;""),"假日出勤",IF(AND(COUNTIF(設定!$B$6:$B$14,$G939)&gt;0,$J939=""),"未打卡",IF($J939="","",IF($O939&gt;0,"遲到",IF($P939&gt;0,"早退","正常"))))))</f>
        <v/>
      </c>
      <c r="O939" s="84">
        <f>IF(OR($C939="",$H939="",$J939=""),0,IF(ROUND(($J939-$H939)*1440,0)&gt;設定!$C$46,ROUND(($J939-$H939)*1440,0),0))</f>
        <v/>
      </c>
      <c r="P939" s="84">
        <f>IF(OR($C939="",$I939="",$K939=""),0,IF(ROUND(($I939-$K939)*1440,0)&gt;設定!$C$46,ROUND(($I939-$K939)*1440,0),0))</f>
        <v/>
      </c>
      <c r="Q939" s="85">
        <f>IF($M939="",0,IF(($M939-IFERROR(INDEX(設定!$G$6:$G$21,MATCH($G939,設定!$B$6:$B$21,0)),0))*60&gt;=設定!$C$44,ROUND(FLOOR(($M939-IFERROR(INDEX(設定!$G$6:$G$21,MATCH($G939,設定!$B$6:$B$21,0)),0))*60,設定!$C$45)/60,2),0))</f>
        <v/>
      </c>
      <c r="R939" s="16">
        <f>IF(OR($C939="",$Q939=0),"",IF($G939="國","國定假日",IF($B939="日","例假",IF($B939="六","休息日","平日"))))</f>
        <v/>
      </c>
      <c r="S939" s="19" t="n"/>
    </row>
    <row r="940">
      <c r="A940" s="82">
        <f>IF(OR(助理班表!$A35="",8&gt;DAY(EOMONTH(DATE(設定!$C$2,設定!$D$2,1),0))),"",DATE(設定!$C$2,設定!$D$2,8))</f>
        <v/>
      </c>
      <c r="B940" s="16">
        <f>IF($A940="","",INDEX(設定!$O$6:$O$12,WEEKDAY($A940,1)))</f>
        <v/>
      </c>
      <c r="C940" s="16">
        <f>IF($A940="","",助理班表!$A35)</f>
        <v/>
      </c>
      <c r="D940" s="16">
        <f>IF($C940="","",助理班表!$B35)</f>
        <v/>
      </c>
      <c r="E940" s="16">
        <f>IF($C940="","",助理班表!$D35)</f>
        <v/>
      </c>
      <c r="F940" s="16">
        <f>IF($C940="","",助理班表!$C35)</f>
        <v/>
      </c>
      <c r="G940" s="16">
        <f>IF($C940="","",助理班表!L35)</f>
        <v/>
      </c>
      <c r="H940" s="83">
        <f>IF($G940="","",IFERROR(IF(INDEX(設定!$D$6:$D$21,MATCH($G940,設定!$B$6:$B$21,0))=0,"",INDEX(設定!$D$6:$D$21,MATCH($G940,設定!$B$6:$B$21,0))),""))</f>
        <v/>
      </c>
      <c r="I940" s="83">
        <f>IF($G940="","",IFERROR(IF(INDEX(設定!$E$6:$E$21,MATCH($G940,設定!$B$6:$B$21,0))=0,"",INDEX(設定!$E$6:$E$21,MATCH($G940,設定!$B$6:$B$21,0))),""))</f>
        <v/>
      </c>
      <c r="J940" s="83">
        <f>IFERROR(INDEX(打卡匯入!$C$3:$C$2002,MATCH($C940&amp;"|"&amp;DAY($A940),打卡匯入!$E$3:$E$2002,0)),"")</f>
        <v/>
      </c>
      <c r="K940" s="83">
        <f>IFERROR(INDEX(打卡匯入!$D$3:$D$2002,MATCH($C940&amp;"|"&amp;DAY($A940),打卡匯入!$E$3:$E$2002,0)),"")</f>
        <v/>
      </c>
      <c r="L940" s="84">
        <f>IF(OR($J940="",$K940=""),"",IFERROR(INDEX(設定!$F$6:$F$21,MATCH($G940,設定!$B$6:$B$21,0)),0))</f>
        <v/>
      </c>
      <c r="M940" s="85">
        <f>IF(OR($J940="",$K940=""),"",ROUND(($K940-$J940)*24-$L940/60,2))</f>
        <v/>
      </c>
      <c r="N940" s="16">
        <f>IF($C940="","",IF(AND(COUNTIF(設定!$B$15:$B$21,$G940)&gt;0,$J940&lt;&gt;""),"假日出勤",IF(AND(COUNTIF(設定!$B$6:$B$14,$G940)&gt;0,$J940=""),"未打卡",IF($J940="","",IF($O940&gt;0,"遲到",IF($P940&gt;0,"早退","正常"))))))</f>
        <v/>
      </c>
      <c r="O940" s="84">
        <f>IF(OR($C940="",$H940="",$J940=""),0,IF(ROUND(($J940-$H940)*1440,0)&gt;設定!$C$46,ROUND(($J940-$H940)*1440,0),0))</f>
        <v/>
      </c>
      <c r="P940" s="84">
        <f>IF(OR($C940="",$I940="",$K940=""),0,IF(ROUND(($I940-$K940)*1440,0)&gt;設定!$C$46,ROUND(($I940-$K940)*1440,0),0))</f>
        <v/>
      </c>
      <c r="Q940" s="85">
        <f>IF($M940="",0,IF(($M940-IFERROR(INDEX(設定!$G$6:$G$21,MATCH($G940,設定!$B$6:$B$21,0)),0))*60&gt;=設定!$C$44,ROUND(FLOOR(($M940-IFERROR(INDEX(設定!$G$6:$G$21,MATCH($G940,設定!$B$6:$B$21,0)),0))*60,設定!$C$45)/60,2),0))</f>
        <v/>
      </c>
      <c r="R940" s="16">
        <f>IF(OR($C940="",$Q940=0),"",IF($G940="國","國定假日",IF($B940="日","例假",IF($B940="六","休息日","平日"))))</f>
        <v/>
      </c>
      <c r="S940" s="19" t="n"/>
    </row>
    <row r="941">
      <c r="A941" s="82">
        <f>IF(OR(助理班表!$A35="",9&gt;DAY(EOMONTH(DATE(設定!$C$2,設定!$D$2,1),0))),"",DATE(設定!$C$2,設定!$D$2,9))</f>
        <v/>
      </c>
      <c r="B941" s="16">
        <f>IF($A941="","",INDEX(設定!$O$6:$O$12,WEEKDAY($A941,1)))</f>
        <v/>
      </c>
      <c r="C941" s="16">
        <f>IF($A941="","",助理班表!$A35)</f>
        <v/>
      </c>
      <c r="D941" s="16">
        <f>IF($C941="","",助理班表!$B35)</f>
        <v/>
      </c>
      <c r="E941" s="16">
        <f>IF($C941="","",助理班表!$D35)</f>
        <v/>
      </c>
      <c r="F941" s="16">
        <f>IF($C941="","",助理班表!$C35)</f>
        <v/>
      </c>
      <c r="G941" s="16">
        <f>IF($C941="","",助理班表!M35)</f>
        <v/>
      </c>
      <c r="H941" s="83">
        <f>IF($G941="","",IFERROR(IF(INDEX(設定!$D$6:$D$21,MATCH($G941,設定!$B$6:$B$21,0))=0,"",INDEX(設定!$D$6:$D$21,MATCH($G941,設定!$B$6:$B$21,0))),""))</f>
        <v/>
      </c>
      <c r="I941" s="83">
        <f>IF($G941="","",IFERROR(IF(INDEX(設定!$E$6:$E$21,MATCH($G941,設定!$B$6:$B$21,0))=0,"",INDEX(設定!$E$6:$E$21,MATCH($G941,設定!$B$6:$B$21,0))),""))</f>
        <v/>
      </c>
      <c r="J941" s="83">
        <f>IFERROR(INDEX(打卡匯入!$C$3:$C$2002,MATCH($C941&amp;"|"&amp;DAY($A941),打卡匯入!$E$3:$E$2002,0)),"")</f>
        <v/>
      </c>
      <c r="K941" s="83">
        <f>IFERROR(INDEX(打卡匯入!$D$3:$D$2002,MATCH($C941&amp;"|"&amp;DAY($A941),打卡匯入!$E$3:$E$2002,0)),"")</f>
        <v/>
      </c>
      <c r="L941" s="84">
        <f>IF(OR($J941="",$K941=""),"",IFERROR(INDEX(設定!$F$6:$F$21,MATCH($G941,設定!$B$6:$B$21,0)),0))</f>
        <v/>
      </c>
      <c r="M941" s="85">
        <f>IF(OR($J941="",$K941=""),"",ROUND(($K941-$J941)*24-$L941/60,2))</f>
        <v/>
      </c>
      <c r="N941" s="16">
        <f>IF($C941="","",IF(AND(COUNTIF(設定!$B$15:$B$21,$G941)&gt;0,$J941&lt;&gt;""),"假日出勤",IF(AND(COUNTIF(設定!$B$6:$B$14,$G941)&gt;0,$J941=""),"未打卡",IF($J941="","",IF($O941&gt;0,"遲到",IF($P941&gt;0,"早退","正常"))))))</f>
        <v/>
      </c>
      <c r="O941" s="84">
        <f>IF(OR($C941="",$H941="",$J941=""),0,IF(ROUND(($J941-$H941)*1440,0)&gt;設定!$C$46,ROUND(($J941-$H941)*1440,0),0))</f>
        <v/>
      </c>
      <c r="P941" s="84">
        <f>IF(OR($C941="",$I941="",$K941=""),0,IF(ROUND(($I941-$K941)*1440,0)&gt;設定!$C$46,ROUND(($I941-$K941)*1440,0),0))</f>
        <v/>
      </c>
      <c r="Q941" s="85">
        <f>IF($M941="",0,IF(($M941-IFERROR(INDEX(設定!$G$6:$G$21,MATCH($G941,設定!$B$6:$B$21,0)),0))*60&gt;=設定!$C$44,ROUND(FLOOR(($M941-IFERROR(INDEX(設定!$G$6:$G$21,MATCH($G941,設定!$B$6:$B$21,0)),0))*60,設定!$C$45)/60,2),0))</f>
        <v/>
      </c>
      <c r="R941" s="16">
        <f>IF(OR($C941="",$Q941=0),"",IF($G941="國","國定假日",IF($B941="日","例假",IF($B941="六","休息日","平日"))))</f>
        <v/>
      </c>
      <c r="S941" s="19" t="n"/>
    </row>
    <row r="942">
      <c r="A942" s="82">
        <f>IF(OR(助理班表!$A35="",10&gt;DAY(EOMONTH(DATE(設定!$C$2,設定!$D$2,1),0))),"",DATE(設定!$C$2,設定!$D$2,10))</f>
        <v/>
      </c>
      <c r="B942" s="16">
        <f>IF($A942="","",INDEX(設定!$O$6:$O$12,WEEKDAY($A942,1)))</f>
        <v/>
      </c>
      <c r="C942" s="16">
        <f>IF($A942="","",助理班表!$A35)</f>
        <v/>
      </c>
      <c r="D942" s="16">
        <f>IF($C942="","",助理班表!$B35)</f>
        <v/>
      </c>
      <c r="E942" s="16">
        <f>IF($C942="","",助理班表!$D35)</f>
        <v/>
      </c>
      <c r="F942" s="16">
        <f>IF($C942="","",助理班表!$C35)</f>
        <v/>
      </c>
      <c r="G942" s="16">
        <f>IF($C942="","",助理班表!N35)</f>
        <v/>
      </c>
      <c r="H942" s="83">
        <f>IF($G942="","",IFERROR(IF(INDEX(設定!$D$6:$D$21,MATCH($G942,設定!$B$6:$B$21,0))=0,"",INDEX(設定!$D$6:$D$21,MATCH($G942,設定!$B$6:$B$21,0))),""))</f>
        <v/>
      </c>
      <c r="I942" s="83">
        <f>IF($G942="","",IFERROR(IF(INDEX(設定!$E$6:$E$21,MATCH($G942,設定!$B$6:$B$21,0))=0,"",INDEX(設定!$E$6:$E$21,MATCH($G942,設定!$B$6:$B$21,0))),""))</f>
        <v/>
      </c>
      <c r="J942" s="83">
        <f>IFERROR(INDEX(打卡匯入!$C$3:$C$2002,MATCH($C942&amp;"|"&amp;DAY($A942),打卡匯入!$E$3:$E$2002,0)),"")</f>
        <v/>
      </c>
      <c r="K942" s="83">
        <f>IFERROR(INDEX(打卡匯入!$D$3:$D$2002,MATCH($C942&amp;"|"&amp;DAY($A942),打卡匯入!$E$3:$E$2002,0)),"")</f>
        <v/>
      </c>
      <c r="L942" s="84">
        <f>IF(OR($J942="",$K942=""),"",IFERROR(INDEX(設定!$F$6:$F$21,MATCH($G942,設定!$B$6:$B$21,0)),0))</f>
        <v/>
      </c>
      <c r="M942" s="85">
        <f>IF(OR($J942="",$K942=""),"",ROUND(($K942-$J942)*24-$L942/60,2))</f>
        <v/>
      </c>
      <c r="N942" s="16">
        <f>IF($C942="","",IF(AND(COUNTIF(設定!$B$15:$B$21,$G942)&gt;0,$J942&lt;&gt;""),"假日出勤",IF(AND(COUNTIF(設定!$B$6:$B$14,$G942)&gt;0,$J942=""),"未打卡",IF($J942="","",IF($O942&gt;0,"遲到",IF($P942&gt;0,"早退","正常"))))))</f>
        <v/>
      </c>
      <c r="O942" s="84">
        <f>IF(OR($C942="",$H942="",$J942=""),0,IF(ROUND(($J942-$H942)*1440,0)&gt;設定!$C$46,ROUND(($J942-$H942)*1440,0),0))</f>
        <v/>
      </c>
      <c r="P942" s="84">
        <f>IF(OR($C942="",$I942="",$K942=""),0,IF(ROUND(($I942-$K942)*1440,0)&gt;設定!$C$46,ROUND(($I942-$K942)*1440,0),0))</f>
        <v/>
      </c>
      <c r="Q942" s="85">
        <f>IF($M942="",0,IF(($M942-IFERROR(INDEX(設定!$G$6:$G$21,MATCH($G942,設定!$B$6:$B$21,0)),0))*60&gt;=設定!$C$44,ROUND(FLOOR(($M942-IFERROR(INDEX(設定!$G$6:$G$21,MATCH($G942,設定!$B$6:$B$21,0)),0))*60,設定!$C$45)/60,2),0))</f>
        <v/>
      </c>
      <c r="R942" s="16">
        <f>IF(OR($C942="",$Q942=0),"",IF($G942="國","國定假日",IF($B942="日","例假",IF($B942="六","休息日","平日"))))</f>
        <v/>
      </c>
      <c r="S942" s="19" t="n"/>
    </row>
    <row r="943">
      <c r="A943" s="82">
        <f>IF(OR(助理班表!$A35="",11&gt;DAY(EOMONTH(DATE(設定!$C$2,設定!$D$2,1),0))),"",DATE(設定!$C$2,設定!$D$2,11))</f>
        <v/>
      </c>
      <c r="B943" s="16">
        <f>IF($A943="","",INDEX(設定!$O$6:$O$12,WEEKDAY($A943,1)))</f>
        <v/>
      </c>
      <c r="C943" s="16">
        <f>IF($A943="","",助理班表!$A35)</f>
        <v/>
      </c>
      <c r="D943" s="16">
        <f>IF($C943="","",助理班表!$B35)</f>
        <v/>
      </c>
      <c r="E943" s="16">
        <f>IF($C943="","",助理班表!$D35)</f>
        <v/>
      </c>
      <c r="F943" s="16">
        <f>IF($C943="","",助理班表!$C35)</f>
        <v/>
      </c>
      <c r="G943" s="16">
        <f>IF($C943="","",助理班表!O35)</f>
        <v/>
      </c>
      <c r="H943" s="83">
        <f>IF($G943="","",IFERROR(IF(INDEX(設定!$D$6:$D$21,MATCH($G943,設定!$B$6:$B$21,0))=0,"",INDEX(設定!$D$6:$D$21,MATCH($G943,設定!$B$6:$B$21,0))),""))</f>
        <v/>
      </c>
      <c r="I943" s="83">
        <f>IF($G943="","",IFERROR(IF(INDEX(設定!$E$6:$E$21,MATCH($G943,設定!$B$6:$B$21,0))=0,"",INDEX(設定!$E$6:$E$21,MATCH($G943,設定!$B$6:$B$21,0))),""))</f>
        <v/>
      </c>
      <c r="J943" s="83">
        <f>IFERROR(INDEX(打卡匯入!$C$3:$C$2002,MATCH($C943&amp;"|"&amp;DAY($A943),打卡匯入!$E$3:$E$2002,0)),"")</f>
        <v/>
      </c>
      <c r="K943" s="83">
        <f>IFERROR(INDEX(打卡匯入!$D$3:$D$2002,MATCH($C943&amp;"|"&amp;DAY($A943),打卡匯入!$E$3:$E$2002,0)),"")</f>
        <v/>
      </c>
      <c r="L943" s="84">
        <f>IF(OR($J943="",$K943=""),"",IFERROR(INDEX(設定!$F$6:$F$21,MATCH($G943,設定!$B$6:$B$21,0)),0))</f>
        <v/>
      </c>
      <c r="M943" s="85">
        <f>IF(OR($J943="",$K943=""),"",ROUND(($K943-$J943)*24-$L943/60,2))</f>
        <v/>
      </c>
      <c r="N943" s="16">
        <f>IF($C943="","",IF(AND(COUNTIF(設定!$B$15:$B$21,$G943)&gt;0,$J943&lt;&gt;""),"假日出勤",IF(AND(COUNTIF(設定!$B$6:$B$14,$G943)&gt;0,$J943=""),"未打卡",IF($J943="","",IF($O943&gt;0,"遲到",IF($P943&gt;0,"早退","正常"))))))</f>
        <v/>
      </c>
      <c r="O943" s="84">
        <f>IF(OR($C943="",$H943="",$J943=""),0,IF(ROUND(($J943-$H943)*1440,0)&gt;設定!$C$46,ROUND(($J943-$H943)*1440,0),0))</f>
        <v/>
      </c>
      <c r="P943" s="84">
        <f>IF(OR($C943="",$I943="",$K943=""),0,IF(ROUND(($I943-$K943)*1440,0)&gt;設定!$C$46,ROUND(($I943-$K943)*1440,0),0))</f>
        <v/>
      </c>
      <c r="Q943" s="85">
        <f>IF($M943="",0,IF(($M943-IFERROR(INDEX(設定!$G$6:$G$21,MATCH($G943,設定!$B$6:$B$21,0)),0))*60&gt;=設定!$C$44,ROUND(FLOOR(($M943-IFERROR(INDEX(設定!$G$6:$G$21,MATCH($G943,設定!$B$6:$B$21,0)),0))*60,設定!$C$45)/60,2),0))</f>
        <v/>
      </c>
      <c r="R943" s="16">
        <f>IF(OR($C943="",$Q943=0),"",IF($G943="國","國定假日",IF($B943="日","例假",IF($B943="六","休息日","平日"))))</f>
        <v/>
      </c>
      <c r="S943" s="19" t="n"/>
    </row>
    <row r="944">
      <c r="A944" s="82">
        <f>IF(OR(助理班表!$A35="",12&gt;DAY(EOMONTH(DATE(設定!$C$2,設定!$D$2,1),0))),"",DATE(設定!$C$2,設定!$D$2,12))</f>
        <v/>
      </c>
      <c r="B944" s="16">
        <f>IF($A944="","",INDEX(設定!$O$6:$O$12,WEEKDAY($A944,1)))</f>
        <v/>
      </c>
      <c r="C944" s="16">
        <f>IF($A944="","",助理班表!$A35)</f>
        <v/>
      </c>
      <c r="D944" s="16">
        <f>IF($C944="","",助理班表!$B35)</f>
        <v/>
      </c>
      <c r="E944" s="16">
        <f>IF($C944="","",助理班表!$D35)</f>
        <v/>
      </c>
      <c r="F944" s="16">
        <f>IF($C944="","",助理班表!$C35)</f>
        <v/>
      </c>
      <c r="G944" s="16">
        <f>IF($C944="","",助理班表!P35)</f>
        <v/>
      </c>
      <c r="H944" s="83">
        <f>IF($G944="","",IFERROR(IF(INDEX(設定!$D$6:$D$21,MATCH($G944,設定!$B$6:$B$21,0))=0,"",INDEX(設定!$D$6:$D$21,MATCH($G944,設定!$B$6:$B$21,0))),""))</f>
        <v/>
      </c>
      <c r="I944" s="83">
        <f>IF($G944="","",IFERROR(IF(INDEX(設定!$E$6:$E$21,MATCH($G944,設定!$B$6:$B$21,0))=0,"",INDEX(設定!$E$6:$E$21,MATCH($G944,設定!$B$6:$B$21,0))),""))</f>
        <v/>
      </c>
      <c r="J944" s="83">
        <f>IFERROR(INDEX(打卡匯入!$C$3:$C$2002,MATCH($C944&amp;"|"&amp;DAY($A944),打卡匯入!$E$3:$E$2002,0)),"")</f>
        <v/>
      </c>
      <c r="K944" s="83">
        <f>IFERROR(INDEX(打卡匯入!$D$3:$D$2002,MATCH($C944&amp;"|"&amp;DAY($A944),打卡匯入!$E$3:$E$2002,0)),"")</f>
        <v/>
      </c>
      <c r="L944" s="84">
        <f>IF(OR($J944="",$K944=""),"",IFERROR(INDEX(設定!$F$6:$F$21,MATCH($G944,設定!$B$6:$B$21,0)),0))</f>
        <v/>
      </c>
      <c r="M944" s="85">
        <f>IF(OR($J944="",$K944=""),"",ROUND(($K944-$J944)*24-$L944/60,2))</f>
        <v/>
      </c>
      <c r="N944" s="16">
        <f>IF($C944="","",IF(AND(COUNTIF(設定!$B$15:$B$21,$G944)&gt;0,$J944&lt;&gt;""),"假日出勤",IF(AND(COUNTIF(設定!$B$6:$B$14,$G944)&gt;0,$J944=""),"未打卡",IF($J944="","",IF($O944&gt;0,"遲到",IF($P944&gt;0,"早退","正常"))))))</f>
        <v/>
      </c>
      <c r="O944" s="84">
        <f>IF(OR($C944="",$H944="",$J944=""),0,IF(ROUND(($J944-$H944)*1440,0)&gt;設定!$C$46,ROUND(($J944-$H944)*1440,0),0))</f>
        <v/>
      </c>
      <c r="P944" s="84">
        <f>IF(OR($C944="",$I944="",$K944=""),0,IF(ROUND(($I944-$K944)*1440,0)&gt;設定!$C$46,ROUND(($I944-$K944)*1440,0),0))</f>
        <v/>
      </c>
      <c r="Q944" s="85">
        <f>IF($M944="",0,IF(($M944-IFERROR(INDEX(設定!$G$6:$G$21,MATCH($G944,設定!$B$6:$B$21,0)),0))*60&gt;=設定!$C$44,ROUND(FLOOR(($M944-IFERROR(INDEX(設定!$G$6:$G$21,MATCH($G944,設定!$B$6:$B$21,0)),0))*60,設定!$C$45)/60,2),0))</f>
        <v/>
      </c>
      <c r="R944" s="16">
        <f>IF(OR($C944="",$Q944=0),"",IF($G944="國","國定假日",IF($B944="日","例假",IF($B944="六","休息日","平日"))))</f>
        <v/>
      </c>
      <c r="S944" s="19" t="n"/>
    </row>
    <row r="945">
      <c r="A945" s="82">
        <f>IF(OR(助理班表!$A35="",13&gt;DAY(EOMONTH(DATE(設定!$C$2,設定!$D$2,1),0))),"",DATE(設定!$C$2,設定!$D$2,13))</f>
        <v/>
      </c>
      <c r="B945" s="16">
        <f>IF($A945="","",INDEX(設定!$O$6:$O$12,WEEKDAY($A945,1)))</f>
        <v/>
      </c>
      <c r="C945" s="16">
        <f>IF($A945="","",助理班表!$A35)</f>
        <v/>
      </c>
      <c r="D945" s="16">
        <f>IF($C945="","",助理班表!$B35)</f>
        <v/>
      </c>
      <c r="E945" s="16">
        <f>IF($C945="","",助理班表!$D35)</f>
        <v/>
      </c>
      <c r="F945" s="16">
        <f>IF($C945="","",助理班表!$C35)</f>
        <v/>
      </c>
      <c r="G945" s="16">
        <f>IF($C945="","",助理班表!Q35)</f>
        <v/>
      </c>
      <c r="H945" s="83">
        <f>IF($G945="","",IFERROR(IF(INDEX(設定!$D$6:$D$21,MATCH($G945,設定!$B$6:$B$21,0))=0,"",INDEX(設定!$D$6:$D$21,MATCH($G945,設定!$B$6:$B$21,0))),""))</f>
        <v/>
      </c>
      <c r="I945" s="83">
        <f>IF($G945="","",IFERROR(IF(INDEX(設定!$E$6:$E$21,MATCH($G945,設定!$B$6:$B$21,0))=0,"",INDEX(設定!$E$6:$E$21,MATCH($G945,設定!$B$6:$B$21,0))),""))</f>
        <v/>
      </c>
      <c r="J945" s="83">
        <f>IFERROR(INDEX(打卡匯入!$C$3:$C$2002,MATCH($C945&amp;"|"&amp;DAY($A945),打卡匯入!$E$3:$E$2002,0)),"")</f>
        <v/>
      </c>
      <c r="K945" s="83">
        <f>IFERROR(INDEX(打卡匯入!$D$3:$D$2002,MATCH($C945&amp;"|"&amp;DAY($A945),打卡匯入!$E$3:$E$2002,0)),"")</f>
        <v/>
      </c>
      <c r="L945" s="84">
        <f>IF(OR($J945="",$K945=""),"",IFERROR(INDEX(設定!$F$6:$F$21,MATCH($G945,設定!$B$6:$B$21,0)),0))</f>
        <v/>
      </c>
      <c r="M945" s="85">
        <f>IF(OR($J945="",$K945=""),"",ROUND(($K945-$J945)*24-$L945/60,2))</f>
        <v/>
      </c>
      <c r="N945" s="16">
        <f>IF($C945="","",IF(AND(COUNTIF(設定!$B$15:$B$21,$G945)&gt;0,$J945&lt;&gt;""),"假日出勤",IF(AND(COUNTIF(設定!$B$6:$B$14,$G945)&gt;0,$J945=""),"未打卡",IF($J945="","",IF($O945&gt;0,"遲到",IF($P945&gt;0,"早退","正常"))))))</f>
        <v/>
      </c>
      <c r="O945" s="84">
        <f>IF(OR($C945="",$H945="",$J945=""),0,IF(ROUND(($J945-$H945)*1440,0)&gt;設定!$C$46,ROUND(($J945-$H945)*1440,0),0))</f>
        <v/>
      </c>
      <c r="P945" s="84">
        <f>IF(OR($C945="",$I945="",$K945=""),0,IF(ROUND(($I945-$K945)*1440,0)&gt;設定!$C$46,ROUND(($I945-$K945)*1440,0),0))</f>
        <v/>
      </c>
      <c r="Q945" s="85">
        <f>IF($M945="",0,IF(($M945-IFERROR(INDEX(設定!$G$6:$G$21,MATCH($G945,設定!$B$6:$B$21,0)),0))*60&gt;=設定!$C$44,ROUND(FLOOR(($M945-IFERROR(INDEX(設定!$G$6:$G$21,MATCH($G945,設定!$B$6:$B$21,0)),0))*60,設定!$C$45)/60,2),0))</f>
        <v/>
      </c>
      <c r="R945" s="16">
        <f>IF(OR($C945="",$Q945=0),"",IF($G945="國","國定假日",IF($B945="日","例假",IF($B945="六","休息日","平日"))))</f>
        <v/>
      </c>
      <c r="S945" s="19" t="n"/>
    </row>
    <row r="946">
      <c r="A946" s="82">
        <f>IF(OR(助理班表!$A35="",14&gt;DAY(EOMONTH(DATE(設定!$C$2,設定!$D$2,1),0))),"",DATE(設定!$C$2,設定!$D$2,14))</f>
        <v/>
      </c>
      <c r="B946" s="16">
        <f>IF($A946="","",INDEX(設定!$O$6:$O$12,WEEKDAY($A946,1)))</f>
        <v/>
      </c>
      <c r="C946" s="16">
        <f>IF($A946="","",助理班表!$A35)</f>
        <v/>
      </c>
      <c r="D946" s="16">
        <f>IF($C946="","",助理班表!$B35)</f>
        <v/>
      </c>
      <c r="E946" s="16">
        <f>IF($C946="","",助理班表!$D35)</f>
        <v/>
      </c>
      <c r="F946" s="16">
        <f>IF($C946="","",助理班表!$C35)</f>
        <v/>
      </c>
      <c r="G946" s="16">
        <f>IF($C946="","",助理班表!R35)</f>
        <v/>
      </c>
      <c r="H946" s="83">
        <f>IF($G946="","",IFERROR(IF(INDEX(設定!$D$6:$D$21,MATCH($G946,設定!$B$6:$B$21,0))=0,"",INDEX(設定!$D$6:$D$21,MATCH($G946,設定!$B$6:$B$21,0))),""))</f>
        <v/>
      </c>
      <c r="I946" s="83">
        <f>IF($G946="","",IFERROR(IF(INDEX(設定!$E$6:$E$21,MATCH($G946,設定!$B$6:$B$21,0))=0,"",INDEX(設定!$E$6:$E$21,MATCH($G946,設定!$B$6:$B$21,0))),""))</f>
        <v/>
      </c>
      <c r="J946" s="83">
        <f>IFERROR(INDEX(打卡匯入!$C$3:$C$2002,MATCH($C946&amp;"|"&amp;DAY($A946),打卡匯入!$E$3:$E$2002,0)),"")</f>
        <v/>
      </c>
      <c r="K946" s="83">
        <f>IFERROR(INDEX(打卡匯入!$D$3:$D$2002,MATCH($C946&amp;"|"&amp;DAY($A946),打卡匯入!$E$3:$E$2002,0)),"")</f>
        <v/>
      </c>
      <c r="L946" s="84">
        <f>IF(OR($J946="",$K946=""),"",IFERROR(INDEX(設定!$F$6:$F$21,MATCH($G946,設定!$B$6:$B$21,0)),0))</f>
        <v/>
      </c>
      <c r="M946" s="85">
        <f>IF(OR($J946="",$K946=""),"",ROUND(($K946-$J946)*24-$L946/60,2))</f>
        <v/>
      </c>
      <c r="N946" s="16">
        <f>IF($C946="","",IF(AND(COUNTIF(設定!$B$15:$B$21,$G946)&gt;0,$J946&lt;&gt;""),"假日出勤",IF(AND(COUNTIF(設定!$B$6:$B$14,$G946)&gt;0,$J946=""),"未打卡",IF($J946="","",IF($O946&gt;0,"遲到",IF($P946&gt;0,"早退","正常"))))))</f>
        <v/>
      </c>
      <c r="O946" s="84">
        <f>IF(OR($C946="",$H946="",$J946=""),0,IF(ROUND(($J946-$H946)*1440,0)&gt;設定!$C$46,ROUND(($J946-$H946)*1440,0),0))</f>
        <v/>
      </c>
      <c r="P946" s="84">
        <f>IF(OR($C946="",$I946="",$K946=""),0,IF(ROUND(($I946-$K946)*1440,0)&gt;設定!$C$46,ROUND(($I946-$K946)*1440,0),0))</f>
        <v/>
      </c>
      <c r="Q946" s="85">
        <f>IF($M946="",0,IF(($M946-IFERROR(INDEX(設定!$G$6:$G$21,MATCH($G946,設定!$B$6:$B$21,0)),0))*60&gt;=設定!$C$44,ROUND(FLOOR(($M946-IFERROR(INDEX(設定!$G$6:$G$21,MATCH($G946,設定!$B$6:$B$21,0)),0))*60,設定!$C$45)/60,2),0))</f>
        <v/>
      </c>
      <c r="R946" s="16">
        <f>IF(OR($C946="",$Q946=0),"",IF($G946="國","國定假日",IF($B946="日","例假",IF($B946="六","休息日","平日"))))</f>
        <v/>
      </c>
      <c r="S946" s="19" t="n"/>
    </row>
    <row r="947">
      <c r="A947" s="82">
        <f>IF(OR(助理班表!$A35="",15&gt;DAY(EOMONTH(DATE(設定!$C$2,設定!$D$2,1),0))),"",DATE(設定!$C$2,設定!$D$2,15))</f>
        <v/>
      </c>
      <c r="B947" s="16">
        <f>IF($A947="","",INDEX(設定!$O$6:$O$12,WEEKDAY($A947,1)))</f>
        <v/>
      </c>
      <c r="C947" s="16">
        <f>IF($A947="","",助理班表!$A35)</f>
        <v/>
      </c>
      <c r="D947" s="16">
        <f>IF($C947="","",助理班表!$B35)</f>
        <v/>
      </c>
      <c r="E947" s="16">
        <f>IF($C947="","",助理班表!$D35)</f>
        <v/>
      </c>
      <c r="F947" s="16">
        <f>IF($C947="","",助理班表!$C35)</f>
        <v/>
      </c>
      <c r="G947" s="16">
        <f>IF($C947="","",助理班表!S35)</f>
        <v/>
      </c>
      <c r="H947" s="83">
        <f>IF($G947="","",IFERROR(IF(INDEX(設定!$D$6:$D$21,MATCH($G947,設定!$B$6:$B$21,0))=0,"",INDEX(設定!$D$6:$D$21,MATCH($G947,設定!$B$6:$B$21,0))),""))</f>
        <v/>
      </c>
      <c r="I947" s="83">
        <f>IF($G947="","",IFERROR(IF(INDEX(設定!$E$6:$E$21,MATCH($G947,設定!$B$6:$B$21,0))=0,"",INDEX(設定!$E$6:$E$21,MATCH($G947,設定!$B$6:$B$21,0))),""))</f>
        <v/>
      </c>
      <c r="J947" s="83">
        <f>IFERROR(INDEX(打卡匯入!$C$3:$C$2002,MATCH($C947&amp;"|"&amp;DAY($A947),打卡匯入!$E$3:$E$2002,0)),"")</f>
        <v/>
      </c>
      <c r="K947" s="83">
        <f>IFERROR(INDEX(打卡匯入!$D$3:$D$2002,MATCH($C947&amp;"|"&amp;DAY($A947),打卡匯入!$E$3:$E$2002,0)),"")</f>
        <v/>
      </c>
      <c r="L947" s="84">
        <f>IF(OR($J947="",$K947=""),"",IFERROR(INDEX(設定!$F$6:$F$21,MATCH($G947,設定!$B$6:$B$21,0)),0))</f>
        <v/>
      </c>
      <c r="M947" s="85">
        <f>IF(OR($J947="",$K947=""),"",ROUND(($K947-$J947)*24-$L947/60,2))</f>
        <v/>
      </c>
      <c r="N947" s="16">
        <f>IF($C947="","",IF(AND(COUNTIF(設定!$B$15:$B$21,$G947)&gt;0,$J947&lt;&gt;""),"假日出勤",IF(AND(COUNTIF(設定!$B$6:$B$14,$G947)&gt;0,$J947=""),"未打卡",IF($J947="","",IF($O947&gt;0,"遲到",IF($P947&gt;0,"早退","正常"))))))</f>
        <v/>
      </c>
      <c r="O947" s="84">
        <f>IF(OR($C947="",$H947="",$J947=""),0,IF(ROUND(($J947-$H947)*1440,0)&gt;設定!$C$46,ROUND(($J947-$H947)*1440,0),0))</f>
        <v/>
      </c>
      <c r="P947" s="84">
        <f>IF(OR($C947="",$I947="",$K947=""),0,IF(ROUND(($I947-$K947)*1440,0)&gt;設定!$C$46,ROUND(($I947-$K947)*1440,0),0))</f>
        <v/>
      </c>
      <c r="Q947" s="85">
        <f>IF($M947="",0,IF(($M947-IFERROR(INDEX(設定!$G$6:$G$21,MATCH($G947,設定!$B$6:$B$21,0)),0))*60&gt;=設定!$C$44,ROUND(FLOOR(($M947-IFERROR(INDEX(設定!$G$6:$G$21,MATCH($G947,設定!$B$6:$B$21,0)),0))*60,設定!$C$45)/60,2),0))</f>
        <v/>
      </c>
      <c r="R947" s="16">
        <f>IF(OR($C947="",$Q947=0),"",IF($G947="國","國定假日",IF($B947="日","例假",IF($B947="六","休息日","平日"))))</f>
        <v/>
      </c>
      <c r="S947" s="19" t="n"/>
    </row>
    <row r="948">
      <c r="A948" s="82">
        <f>IF(OR(助理班表!$A35="",16&gt;DAY(EOMONTH(DATE(設定!$C$2,設定!$D$2,1),0))),"",DATE(設定!$C$2,設定!$D$2,16))</f>
        <v/>
      </c>
      <c r="B948" s="16">
        <f>IF($A948="","",INDEX(設定!$O$6:$O$12,WEEKDAY($A948,1)))</f>
        <v/>
      </c>
      <c r="C948" s="16">
        <f>IF($A948="","",助理班表!$A35)</f>
        <v/>
      </c>
      <c r="D948" s="16">
        <f>IF($C948="","",助理班表!$B35)</f>
        <v/>
      </c>
      <c r="E948" s="16">
        <f>IF($C948="","",助理班表!$D35)</f>
        <v/>
      </c>
      <c r="F948" s="16">
        <f>IF($C948="","",助理班表!$C35)</f>
        <v/>
      </c>
      <c r="G948" s="16">
        <f>IF($C948="","",助理班表!T35)</f>
        <v/>
      </c>
      <c r="H948" s="83">
        <f>IF($G948="","",IFERROR(IF(INDEX(設定!$D$6:$D$21,MATCH($G948,設定!$B$6:$B$21,0))=0,"",INDEX(設定!$D$6:$D$21,MATCH($G948,設定!$B$6:$B$21,0))),""))</f>
        <v/>
      </c>
      <c r="I948" s="83">
        <f>IF($G948="","",IFERROR(IF(INDEX(設定!$E$6:$E$21,MATCH($G948,設定!$B$6:$B$21,0))=0,"",INDEX(設定!$E$6:$E$21,MATCH($G948,設定!$B$6:$B$21,0))),""))</f>
        <v/>
      </c>
      <c r="J948" s="83">
        <f>IFERROR(INDEX(打卡匯入!$C$3:$C$2002,MATCH($C948&amp;"|"&amp;DAY($A948),打卡匯入!$E$3:$E$2002,0)),"")</f>
        <v/>
      </c>
      <c r="K948" s="83">
        <f>IFERROR(INDEX(打卡匯入!$D$3:$D$2002,MATCH($C948&amp;"|"&amp;DAY($A948),打卡匯入!$E$3:$E$2002,0)),"")</f>
        <v/>
      </c>
      <c r="L948" s="84">
        <f>IF(OR($J948="",$K948=""),"",IFERROR(INDEX(設定!$F$6:$F$21,MATCH($G948,設定!$B$6:$B$21,0)),0))</f>
        <v/>
      </c>
      <c r="M948" s="85">
        <f>IF(OR($J948="",$K948=""),"",ROUND(($K948-$J948)*24-$L948/60,2))</f>
        <v/>
      </c>
      <c r="N948" s="16">
        <f>IF($C948="","",IF(AND(COUNTIF(設定!$B$15:$B$21,$G948)&gt;0,$J948&lt;&gt;""),"假日出勤",IF(AND(COUNTIF(設定!$B$6:$B$14,$G948)&gt;0,$J948=""),"未打卡",IF($J948="","",IF($O948&gt;0,"遲到",IF($P948&gt;0,"早退","正常"))))))</f>
        <v/>
      </c>
      <c r="O948" s="84">
        <f>IF(OR($C948="",$H948="",$J948=""),0,IF(ROUND(($J948-$H948)*1440,0)&gt;設定!$C$46,ROUND(($J948-$H948)*1440,0),0))</f>
        <v/>
      </c>
      <c r="P948" s="84">
        <f>IF(OR($C948="",$I948="",$K948=""),0,IF(ROUND(($I948-$K948)*1440,0)&gt;設定!$C$46,ROUND(($I948-$K948)*1440,0),0))</f>
        <v/>
      </c>
      <c r="Q948" s="85">
        <f>IF($M948="",0,IF(($M948-IFERROR(INDEX(設定!$G$6:$G$21,MATCH($G948,設定!$B$6:$B$21,0)),0))*60&gt;=設定!$C$44,ROUND(FLOOR(($M948-IFERROR(INDEX(設定!$G$6:$G$21,MATCH($G948,設定!$B$6:$B$21,0)),0))*60,設定!$C$45)/60,2),0))</f>
        <v/>
      </c>
      <c r="R948" s="16">
        <f>IF(OR($C948="",$Q948=0),"",IF($G948="國","國定假日",IF($B948="日","例假",IF($B948="六","休息日","平日"))))</f>
        <v/>
      </c>
      <c r="S948" s="19" t="n"/>
    </row>
    <row r="949">
      <c r="A949" s="82">
        <f>IF(OR(助理班表!$A35="",17&gt;DAY(EOMONTH(DATE(設定!$C$2,設定!$D$2,1),0))),"",DATE(設定!$C$2,設定!$D$2,17))</f>
        <v/>
      </c>
      <c r="B949" s="16">
        <f>IF($A949="","",INDEX(設定!$O$6:$O$12,WEEKDAY($A949,1)))</f>
        <v/>
      </c>
      <c r="C949" s="16">
        <f>IF($A949="","",助理班表!$A35)</f>
        <v/>
      </c>
      <c r="D949" s="16">
        <f>IF($C949="","",助理班表!$B35)</f>
        <v/>
      </c>
      <c r="E949" s="16">
        <f>IF($C949="","",助理班表!$D35)</f>
        <v/>
      </c>
      <c r="F949" s="16">
        <f>IF($C949="","",助理班表!$C35)</f>
        <v/>
      </c>
      <c r="G949" s="16">
        <f>IF($C949="","",助理班表!U35)</f>
        <v/>
      </c>
      <c r="H949" s="83">
        <f>IF($G949="","",IFERROR(IF(INDEX(設定!$D$6:$D$21,MATCH($G949,設定!$B$6:$B$21,0))=0,"",INDEX(設定!$D$6:$D$21,MATCH($G949,設定!$B$6:$B$21,0))),""))</f>
        <v/>
      </c>
      <c r="I949" s="83">
        <f>IF($G949="","",IFERROR(IF(INDEX(設定!$E$6:$E$21,MATCH($G949,設定!$B$6:$B$21,0))=0,"",INDEX(設定!$E$6:$E$21,MATCH($G949,設定!$B$6:$B$21,0))),""))</f>
        <v/>
      </c>
      <c r="J949" s="83">
        <f>IFERROR(INDEX(打卡匯入!$C$3:$C$2002,MATCH($C949&amp;"|"&amp;DAY($A949),打卡匯入!$E$3:$E$2002,0)),"")</f>
        <v/>
      </c>
      <c r="K949" s="83">
        <f>IFERROR(INDEX(打卡匯入!$D$3:$D$2002,MATCH($C949&amp;"|"&amp;DAY($A949),打卡匯入!$E$3:$E$2002,0)),"")</f>
        <v/>
      </c>
      <c r="L949" s="84">
        <f>IF(OR($J949="",$K949=""),"",IFERROR(INDEX(設定!$F$6:$F$21,MATCH($G949,設定!$B$6:$B$21,0)),0))</f>
        <v/>
      </c>
      <c r="M949" s="85">
        <f>IF(OR($J949="",$K949=""),"",ROUND(($K949-$J949)*24-$L949/60,2))</f>
        <v/>
      </c>
      <c r="N949" s="16">
        <f>IF($C949="","",IF(AND(COUNTIF(設定!$B$15:$B$21,$G949)&gt;0,$J949&lt;&gt;""),"假日出勤",IF(AND(COUNTIF(設定!$B$6:$B$14,$G949)&gt;0,$J949=""),"未打卡",IF($J949="","",IF($O949&gt;0,"遲到",IF($P949&gt;0,"早退","正常"))))))</f>
        <v/>
      </c>
      <c r="O949" s="84">
        <f>IF(OR($C949="",$H949="",$J949=""),0,IF(ROUND(($J949-$H949)*1440,0)&gt;設定!$C$46,ROUND(($J949-$H949)*1440,0),0))</f>
        <v/>
      </c>
      <c r="P949" s="84">
        <f>IF(OR($C949="",$I949="",$K949=""),0,IF(ROUND(($I949-$K949)*1440,0)&gt;設定!$C$46,ROUND(($I949-$K949)*1440,0),0))</f>
        <v/>
      </c>
      <c r="Q949" s="85">
        <f>IF($M949="",0,IF(($M949-IFERROR(INDEX(設定!$G$6:$G$21,MATCH($G949,設定!$B$6:$B$21,0)),0))*60&gt;=設定!$C$44,ROUND(FLOOR(($M949-IFERROR(INDEX(設定!$G$6:$G$21,MATCH($G949,設定!$B$6:$B$21,0)),0))*60,設定!$C$45)/60,2),0))</f>
        <v/>
      </c>
      <c r="R949" s="16">
        <f>IF(OR($C949="",$Q949=0),"",IF($G949="國","國定假日",IF($B949="日","例假",IF($B949="六","休息日","平日"))))</f>
        <v/>
      </c>
      <c r="S949" s="19" t="n"/>
    </row>
    <row r="950">
      <c r="A950" s="82">
        <f>IF(OR(助理班表!$A35="",18&gt;DAY(EOMONTH(DATE(設定!$C$2,設定!$D$2,1),0))),"",DATE(設定!$C$2,設定!$D$2,18))</f>
        <v/>
      </c>
      <c r="B950" s="16">
        <f>IF($A950="","",INDEX(設定!$O$6:$O$12,WEEKDAY($A950,1)))</f>
        <v/>
      </c>
      <c r="C950" s="16">
        <f>IF($A950="","",助理班表!$A35)</f>
        <v/>
      </c>
      <c r="D950" s="16">
        <f>IF($C950="","",助理班表!$B35)</f>
        <v/>
      </c>
      <c r="E950" s="16">
        <f>IF($C950="","",助理班表!$D35)</f>
        <v/>
      </c>
      <c r="F950" s="16">
        <f>IF($C950="","",助理班表!$C35)</f>
        <v/>
      </c>
      <c r="G950" s="16">
        <f>IF($C950="","",助理班表!V35)</f>
        <v/>
      </c>
      <c r="H950" s="83">
        <f>IF($G950="","",IFERROR(IF(INDEX(設定!$D$6:$D$21,MATCH($G950,設定!$B$6:$B$21,0))=0,"",INDEX(設定!$D$6:$D$21,MATCH($G950,設定!$B$6:$B$21,0))),""))</f>
        <v/>
      </c>
      <c r="I950" s="83">
        <f>IF($G950="","",IFERROR(IF(INDEX(設定!$E$6:$E$21,MATCH($G950,設定!$B$6:$B$21,0))=0,"",INDEX(設定!$E$6:$E$21,MATCH($G950,設定!$B$6:$B$21,0))),""))</f>
        <v/>
      </c>
      <c r="J950" s="83">
        <f>IFERROR(INDEX(打卡匯入!$C$3:$C$2002,MATCH($C950&amp;"|"&amp;DAY($A950),打卡匯入!$E$3:$E$2002,0)),"")</f>
        <v/>
      </c>
      <c r="K950" s="83">
        <f>IFERROR(INDEX(打卡匯入!$D$3:$D$2002,MATCH($C950&amp;"|"&amp;DAY($A950),打卡匯入!$E$3:$E$2002,0)),"")</f>
        <v/>
      </c>
      <c r="L950" s="84">
        <f>IF(OR($J950="",$K950=""),"",IFERROR(INDEX(設定!$F$6:$F$21,MATCH($G950,設定!$B$6:$B$21,0)),0))</f>
        <v/>
      </c>
      <c r="M950" s="85">
        <f>IF(OR($J950="",$K950=""),"",ROUND(($K950-$J950)*24-$L950/60,2))</f>
        <v/>
      </c>
      <c r="N950" s="16">
        <f>IF($C950="","",IF(AND(COUNTIF(設定!$B$15:$B$21,$G950)&gt;0,$J950&lt;&gt;""),"假日出勤",IF(AND(COUNTIF(設定!$B$6:$B$14,$G950)&gt;0,$J950=""),"未打卡",IF($J950="","",IF($O950&gt;0,"遲到",IF($P950&gt;0,"早退","正常"))))))</f>
        <v/>
      </c>
      <c r="O950" s="84">
        <f>IF(OR($C950="",$H950="",$J950=""),0,IF(ROUND(($J950-$H950)*1440,0)&gt;設定!$C$46,ROUND(($J950-$H950)*1440,0),0))</f>
        <v/>
      </c>
      <c r="P950" s="84">
        <f>IF(OR($C950="",$I950="",$K950=""),0,IF(ROUND(($I950-$K950)*1440,0)&gt;設定!$C$46,ROUND(($I950-$K950)*1440,0),0))</f>
        <v/>
      </c>
      <c r="Q950" s="85">
        <f>IF($M950="",0,IF(($M950-IFERROR(INDEX(設定!$G$6:$G$21,MATCH($G950,設定!$B$6:$B$21,0)),0))*60&gt;=設定!$C$44,ROUND(FLOOR(($M950-IFERROR(INDEX(設定!$G$6:$G$21,MATCH($G950,設定!$B$6:$B$21,0)),0))*60,設定!$C$45)/60,2),0))</f>
        <v/>
      </c>
      <c r="R950" s="16">
        <f>IF(OR($C950="",$Q950=0),"",IF($G950="國","國定假日",IF($B950="日","例假",IF($B950="六","休息日","平日"))))</f>
        <v/>
      </c>
      <c r="S950" s="19" t="n"/>
    </row>
    <row r="951">
      <c r="A951" s="82">
        <f>IF(OR(助理班表!$A35="",19&gt;DAY(EOMONTH(DATE(設定!$C$2,設定!$D$2,1),0))),"",DATE(設定!$C$2,設定!$D$2,19))</f>
        <v/>
      </c>
      <c r="B951" s="16">
        <f>IF($A951="","",INDEX(設定!$O$6:$O$12,WEEKDAY($A951,1)))</f>
        <v/>
      </c>
      <c r="C951" s="16">
        <f>IF($A951="","",助理班表!$A35)</f>
        <v/>
      </c>
      <c r="D951" s="16">
        <f>IF($C951="","",助理班表!$B35)</f>
        <v/>
      </c>
      <c r="E951" s="16">
        <f>IF($C951="","",助理班表!$D35)</f>
        <v/>
      </c>
      <c r="F951" s="16">
        <f>IF($C951="","",助理班表!$C35)</f>
        <v/>
      </c>
      <c r="G951" s="16">
        <f>IF($C951="","",助理班表!W35)</f>
        <v/>
      </c>
      <c r="H951" s="83">
        <f>IF($G951="","",IFERROR(IF(INDEX(設定!$D$6:$D$21,MATCH($G951,設定!$B$6:$B$21,0))=0,"",INDEX(設定!$D$6:$D$21,MATCH($G951,設定!$B$6:$B$21,0))),""))</f>
        <v/>
      </c>
      <c r="I951" s="83">
        <f>IF($G951="","",IFERROR(IF(INDEX(設定!$E$6:$E$21,MATCH($G951,設定!$B$6:$B$21,0))=0,"",INDEX(設定!$E$6:$E$21,MATCH($G951,設定!$B$6:$B$21,0))),""))</f>
        <v/>
      </c>
      <c r="J951" s="83">
        <f>IFERROR(INDEX(打卡匯入!$C$3:$C$2002,MATCH($C951&amp;"|"&amp;DAY($A951),打卡匯入!$E$3:$E$2002,0)),"")</f>
        <v/>
      </c>
      <c r="K951" s="83">
        <f>IFERROR(INDEX(打卡匯入!$D$3:$D$2002,MATCH($C951&amp;"|"&amp;DAY($A951),打卡匯入!$E$3:$E$2002,0)),"")</f>
        <v/>
      </c>
      <c r="L951" s="84">
        <f>IF(OR($J951="",$K951=""),"",IFERROR(INDEX(設定!$F$6:$F$21,MATCH($G951,設定!$B$6:$B$21,0)),0))</f>
        <v/>
      </c>
      <c r="M951" s="85">
        <f>IF(OR($J951="",$K951=""),"",ROUND(($K951-$J951)*24-$L951/60,2))</f>
        <v/>
      </c>
      <c r="N951" s="16">
        <f>IF($C951="","",IF(AND(COUNTIF(設定!$B$15:$B$21,$G951)&gt;0,$J951&lt;&gt;""),"假日出勤",IF(AND(COUNTIF(設定!$B$6:$B$14,$G951)&gt;0,$J951=""),"未打卡",IF($J951="","",IF($O951&gt;0,"遲到",IF($P951&gt;0,"早退","正常"))))))</f>
        <v/>
      </c>
      <c r="O951" s="84">
        <f>IF(OR($C951="",$H951="",$J951=""),0,IF(ROUND(($J951-$H951)*1440,0)&gt;設定!$C$46,ROUND(($J951-$H951)*1440,0),0))</f>
        <v/>
      </c>
      <c r="P951" s="84">
        <f>IF(OR($C951="",$I951="",$K951=""),0,IF(ROUND(($I951-$K951)*1440,0)&gt;設定!$C$46,ROUND(($I951-$K951)*1440,0),0))</f>
        <v/>
      </c>
      <c r="Q951" s="85">
        <f>IF($M951="",0,IF(($M951-IFERROR(INDEX(設定!$G$6:$G$21,MATCH($G951,設定!$B$6:$B$21,0)),0))*60&gt;=設定!$C$44,ROUND(FLOOR(($M951-IFERROR(INDEX(設定!$G$6:$G$21,MATCH($G951,設定!$B$6:$B$21,0)),0))*60,設定!$C$45)/60,2),0))</f>
        <v/>
      </c>
      <c r="R951" s="16">
        <f>IF(OR($C951="",$Q951=0),"",IF($G951="國","國定假日",IF($B951="日","例假",IF($B951="六","休息日","平日"))))</f>
        <v/>
      </c>
      <c r="S951" s="19" t="n"/>
    </row>
    <row r="952">
      <c r="A952" s="82">
        <f>IF(OR(助理班表!$A35="",20&gt;DAY(EOMONTH(DATE(設定!$C$2,設定!$D$2,1),0))),"",DATE(設定!$C$2,設定!$D$2,20))</f>
        <v/>
      </c>
      <c r="B952" s="16">
        <f>IF($A952="","",INDEX(設定!$O$6:$O$12,WEEKDAY($A952,1)))</f>
        <v/>
      </c>
      <c r="C952" s="16">
        <f>IF($A952="","",助理班表!$A35)</f>
        <v/>
      </c>
      <c r="D952" s="16">
        <f>IF($C952="","",助理班表!$B35)</f>
        <v/>
      </c>
      <c r="E952" s="16">
        <f>IF($C952="","",助理班表!$D35)</f>
        <v/>
      </c>
      <c r="F952" s="16">
        <f>IF($C952="","",助理班表!$C35)</f>
        <v/>
      </c>
      <c r="G952" s="16">
        <f>IF($C952="","",助理班表!X35)</f>
        <v/>
      </c>
      <c r="H952" s="83">
        <f>IF($G952="","",IFERROR(IF(INDEX(設定!$D$6:$D$21,MATCH($G952,設定!$B$6:$B$21,0))=0,"",INDEX(設定!$D$6:$D$21,MATCH($G952,設定!$B$6:$B$21,0))),""))</f>
        <v/>
      </c>
      <c r="I952" s="83">
        <f>IF($G952="","",IFERROR(IF(INDEX(設定!$E$6:$E$21,MATCH($G952,設定!$B$6:$B$21,0))=0,"",INDEX(設定!$E$6:$E$21,MATCH($G952,設定!$B$6:$B$21,0))),""))</f>
        <v/>
      </c>
      <c r="J952" s="83">
        <f>IFERROR(INDEX(打卡匯入!$C$3:$C$2002,MATCH($C952&amp;"|"&amp;DAY($A952),打卡匯入!$E$3:$E$2002,0)),"")</f>
        <v/>
      </c>
      <c r="K952" s="83">
        <f>IFERROR(INDEX(打卡匯入!$D$3:$D$2002,MATCH($C952&amp;"|"&amp;DAY($A952),打卡匯入!$E$3:$E$2002,0)),"")</f>
        <v/>
      </c>
      <c r="L952" s="84">
        <f>IF(OR($J952="",$K952=""),"",IFERROR(INDEX(設定!$F$6:$F$21,MATCH($G952,設定!$B$6:$B$21,0)),0))</f>
        <v/>
      </c>
      <c r="M952" s="85">
        <f>IF(OR($J952="",$K952=""),"",ROUND(($K952-$J952)*24-$L952/60,2))</f>
        <v/>
      </c>
      <c r="N952" s="16">
        <f>IF($C952="","",IF(AND(COUNTIF(設定!$B$15:$B$21,$G952)&gt;0,$J952&lt;&gt;""),"假日出勤",IF(AND(COUNTIF(設定!$B$6:$B$14,$G952)&gt;0,$J952=""),"未打卡",IF($J952="","",IF($O952&gt;0,"遲到",IF($P952&gt;0,"早退","正常"))))))</f>
        <v/>
      </c>
      <c r="O952" s="84">
        <f>IF(OR($C952="",$H952="",$J952=""),0,IF(ROUND(($J952-$H952)*1440,0)&gt;設定!$C$46,ROUND(($J952-$H952)*1440,0),0))</f>
        <v/>
      </c>
      <c r="P952" s="84">
        <f>IF(OR($C952="",$I952="",$K952=""),0,IF(ROUND(($I952-$K952)*1440,0)&gt;設定!$C$46,ROUND(($I952-$K952)*1440,0),0))</f>
        <v/>
      </c>
      <c r="Q952" s="85">
        <f>IF($M952="",0,IF(($M952-IFERROR(INDEX(設定!$G$6:$G$21,MATCH($G952,設定!$B$6:$B$21,0)),0))*60&gt;=設定!$C$44,ROUND(FLOOR(($M952-IFERROR(INDEX(設定!$G$6:$G$21,MATCH($G952,設定!$B$6:$B$21,0)),0))*60,設定!$C$45)/60,2),0))</f>
        <v/>
      </c>
      <c r="R952" s="16">
        <f>IF(OR($C952="",$Q952=0),"",IF($G952="國","國定假日",IF($B952="日","例假",IF($B952="六","休息日","平日"))))</f>
        <v/>
      </c>
      <c r="S952" s="19" t="n"/>
    </row>
    <row r="953">
      <c r="A953" s="82">
        <f>IF(OR(助理班表!$A35="",21&gt;DAY(EOMONTH(DATE(設定!$C$2,設定!$D$2,1),0))),"",DATE(設定!$C$2,設定!$D$2,21))</f>
        <v/>
      </c>
      <c r="B953" s="16">
        <f>IF($A953="","",INDEX(設定!$O$6:$O$12,WEEKDAY($A953,1)))</f>
        <v/>
      </c>
      <c r="C953" s="16">
        <f>IF($A953="","",助理班表!$A35)</f>
        <v/>
      </c>
      <c r="D953" s="16">
        <f>IF($C953="","",助理班表!$B35)</f>
        <v/>
      </c>
      <c r="E953" s="16">
        <f>IF($C953="","",助理班表!$D35)</f>
        <v/>
      </c>
      <c r="F953" s="16">
        <f>IF($C953="","",助理班表!$C35)</f>
        <v/>
      </c>
      <c r="G953" s="16">
        <f>IF($C953="","",助理班表!Y35)</f>
        <v/>
      </c>
      <c r="H953" s="83">
        <f>IF($G953="","",IFERROR(IF(INDEX(設定!$D$6:$D$21,MATCH($G953,設定!$B$6:$B$21,0))=0,"",INDEX(設定!$D$6:$D$21,MATCH($G953,設定!$B$6:$B$21,0))),""))</f>
        <v/>
      </c>
      <c r="I953" s="83">
        <f>IF($G953="","",IFERROR(IF(INDEX(設定!$E$6:$E$21,MATCH($G953,設定!$B$6:$B$21,0))=0,"",INDEX(設定!$E$6:$E$21,MATCH($G953,設定!$B$6:$B$21,0))),""))</f>
        <v/>
      </c>
      <c r="J953" s="83">
        <f>IFERROR(INDEX(打卡匯入!$C$3:$C$2002,MATCH($C953&amp;"|"&amp;DAY($A953),打卡匯入!$E$3:$E$2002,0)),"")</f>
        <v/>
      </c>
      <c r="K953" s="83">
        <f>IFERROR(INDEX(打卡匯入!$D$3:$D$2002,MATCH($C953&amp;"|"&amp;DAY($A953),打卡匯入!$E$3:$E$2002,0)),"")</f>
        <v/>
      </c>
      <c r="L953" s="84">
        <f>IF(OR($J953="",$K953=""),"",IFERROR(INDEX(設定!$F$6:$F$21,MATCH($G953,設定!$B$6:$B$21,0)),0))</f>
        <v/>
      </c>
      <c r="M953" s="85">
        <f>IF(OR($J953="",$K953=""),"",ROUND(($K953-$J953)*24-$L953/60,2))</f>
        <v/>
      </c>
      <c r="N953" s="16">
        <f>IF($C953="","",IF(AND(COUNTIF(設定!$B$15:$B$21,$G953)&gt;0,$J953&lt;&gt;""),"假日出勤",IF(AND(COUNTIF(設定!$B$6:$B$14,$G953)&gt;0,$J953=""),"未打卡",IF($J953="","",IF($O953&gt;0,"遲到",IF($P953&gt;0,"早退","正常"))))))</f>
        <v/>
      </c>
      <c r="O953" s="84">
        <f>IF(OR($C953="",$H953="",$J953=""),0,IF(ROUND(($J953-$H953)*1440,0)&gt;設定!$C$46,ROUND(($J953-$H953)*1440,0),0))</f>
        <v/>
      </c>
      <c r="P953" s="84">
        <f>IF(OR($C953="",$I953="",$K953=""),0,IF(ROUND(($I953-$K953)*1440,0)&gt;設定!$C$46,ROUND(($I953-$K953)*1440,0),0))</f>
        <v/>
      </c>
      <c r="Q953" s="85">
        <f>IF($M953="",0,IF(($M953-IFERROR(INDEX(設定!$G$6:$G$21,MATCH($G953,設定!$B$6:$B$21,0)),0))*60&gt;=設定!$C$44,ROUND(FLOOR(($M953-IFERROR(INDEX(設定!$G$6:$G$21,MATCH($G953,設定!$B$6:$B$21,0)),0))*60,設定!$C$45)/60,2),0))</f>
        <v/>
      </c>
      <c r="R953" s="16">
        <f>IF(OR($C953="",$Q953=0),"",IF($G953="國","國定假日",IF($B953="日","例假",IF($B953="六","休息日","平日"))))</f>
        <v/>
      </c>
      <c r="S953" s="19" t="n"/>
    </row>
    <row r="954">
      <c r="A954" s="82">
        <f>IF(OR(助理班表!$A35="",22&gt;DAY(EOMONTH(DATE(設定!$C$2,設定!$D$2,1),0))),"",DATE(設定!$C$2,設定!$D$2,22))</f>
        <v/>
      </c>
      <c r="B954" s="16">
        <f>IF($A954="","",INDEX(設定!$O$6:$O$12,WEEKDAY($A954,1)))</f>
        <v/>
      </c>
      <c r="C954" s="16">
        <f>IF($A954="","",助理班表!$A35)</f>
        <v/>
      </c>
      <c r="D954" s="16">
        <f>IF($C954="","",助理班表!$B35)</f>
        <v/>
      </c>
      <c r="E954" s="16">
        <f>IF($C954="","",助理班表!$D35)</f>
        <v/>
      </c>
      <c r="F954" s="16">
        <f>IF($C954="","",助理班表!$C35)</f>
        <v/>
      </c>
      <c r="G954" s="16">
        <f>IF($C954="","",助理班表!Z35)</f>
        <v/>
      </c>
      <c r="H954" s="83">
        <f>IF($G954="","",IFERROR(IF(INDEX(設定!$D$6:$D$21,MATCH($G954,設定!$B$6:$B$21,0))=0,"",INDEX(設定!$D$6:$D$21,MATCH($G954,設定!$B$6:$B$21,0))),""))</f>
        <v/>
      </c>
      <c r="I954" s="83">
        <f>IF($G954="","",IFERROR(IF(INDEX(設定!$E$6:$E$21,MATCH($G954,設定!$B$6:$B$21,0))=0,"",INDEX(設定!$E$6:$E$21,MATCH($G954,設定!$B$6:$B$21,0))),""))</f>
        <v/>
      </c>
      <c r="J954" s="83">
        <f>IFERROR(INDEX(打卡匯入!$C$3:$C$2002,MATCH($C954&amp;"|"&amp;DAY($A954),打卡匯入!$E$3:$E$2002,0)),"")</f>
        <v/>
      </c>
      <c r="K954" s="83">
        <f>IFERROR(INDEX(打卡匯入!$D$3:$D$2002,MATCH($C954&amp;"|"&amp;DAY($A954),打卡匯入!$E$3:$E$2002,0)),"")</f>
        <v/>
      </c>
      <c r="L954" s="84">
        <f>IF(OR($J954="",$K954=""),"",IFERROR(INDEX(設定!$F$6:$F$21,MATCH($G954,設定!$B$6:$B$21,0)),0))</f>
        <v/>
      </c>
      <c r="M954" s="85">
        <f>IF(OR($J954="",$K954=""),"",ROUND(($K954-$J954)*24-$L954/60,2))</f>
        <v/>
      </c>
      <c r="N954" s="16">
        <f>IF($C954="","",IF(AND(COUNTIF(設定!$B$15:$B$21,$G954)&gt;0,$J954&lt;&gt;""),"假日出勤",IF(AND(COUNTIF(設定!$B$6:$B$14,$G954)&gt;0,$J954=""),"未打卡",IF($J954="","",IF($O954&gt;0,"遲到",IF($P954&gt;0,"早退","正常"))))))</f>
        <v/>
      </c>
      <c r="O954" s="84">
        <f>IF(OR($C954="",$H954="",$J954=""),0,IF(ROUND(($J954-$H954)*1440,0)&gt;設定!$C$46,ROUND(($J954-$H954)*1440,0),0))</f>
        <v/>
      </c>
      <c r="P954" s="84">
        <f>IF(OR($C954="",$I954="",$K954=""),0,IF(ROUND(($I954-$K954)*1440,0)&gt;設定!$C$46,ROUND(($I954-$K954)*1440,0),0))</f>
        <v/>
      </c>
      <c r="Q954" s="85">
        <f>IF($M954="",0,IF(($M954-IFERROR(INDEX(設定!$G$6:$G$21,MATCH($G954,設定!$B$6:$B$21,0)),0))*60&gt;=設定!$C$44,ROUND(FLOOR(($M954-IFERROR(INDEX(設定!$G$6:$G$21,MATCH($G954,設定!$B$6:$B$21,0)),0))*60,設定!$C$45)/60,2),0))</f>
        <v/>
      </c>
      <c r="R954" s="16">
        <f>IF(OR($C954="",$Q954=0),"",IF($G954="國","國定假日",IF($B954="日","例假",IF($B954="六","休息日","平日"))))</f>
        <v/>
      </c>
      <c r="S954" s="19" t="n"/>
    </row>
    <row r="955">
      <c r="A955" s="82">
        <f>IF(OR(助理班表!$A35="",23&gt;DAY(EOMONTH(DATE(設定!$C$2,設定!$D$2,1),0))),"",DATE(設定!$C$2,設定!$D$2,23))</f>
        <v/>
      </c>
      <c r="B955" s="16">
        <f>IF($A955="","",INDEX(設定!$O$6:$O$12,WEEKDAY($A955,1)))</f>
        <v/>
      </c>
      <c r="C955" s="16">
        <f>IF($A955="","",助理班表!$A35)</f>
        <v/>
      </c>
      <c r="D955" s="16">
        <f>IF($C955="","",助理班表!$B35)</f>
        <v/>
      </c>
      <c r="E955" s="16">
        <f>IF($C955="","",助理班表!$D35)</f>
        <v/>
      </c>
      <c r="F955" s="16">
        <f>IF($C955="","",助理班表!$C35)</f>
        <v/>
      </c>
      <c r="G955" s="16">
        <f>IF($C955="","",助理班表!AA35)</f>
        <v/>
      </c>
      <c r="H955" s="83">
        <f>IF($G955="","",IFERROR(IF(INDEX(設定!$D$6:$D$21,MATCH($G955,設定!$B$6:$B$21,0))=0,"",INDEX(設定!$D$6:$D$21,MATCH($G955,設定!$B$6:$B$21,0))),""))</f>
        <v/>
      </c>
      <c r="I955" s="83">
        <f>IF($G955="","",IFERROR(IF(INDEX(設定!$E$6:$E$21,MATCH($G955,設定!$B$6:$B$21,0))=0,"",INDEX(設定!$E$6:$E$21,MATCH($G955,設定!$B$6:$B$21,0))),""))</f>
        <v/>
      </c>
      <c r="J955" s="83">
        <f>IFERROR(INDEX(打卡匯入!$C$3:$C$2002,MATCH($C955&amp;"|"&amp;DAY($A955),打卡匯入!$E$3:$E$2002,0)),"")</f>
        <v/>
      </c>
      <c r="K955" s="83">
        <f>IFERROR(INDEX(打卡匯入!$D$3:$D$2002,MATCH($C955&amp;"|"&amp;DAY($A955),打卡匯入!$E$3:$E$2002,0)),"")</f>
        <v/>
      </c>
      <c r="L955" s="84">
        <f>IF(OR($J955="",$K955=""),"",IFERROR(INDEX(設定!$F$6:$F$21,MATCH($G955,設定!$B$6:$B$21,0)),0))</f>
        <v/>
      </c>
      <c r="M955" s="85">
        <f>IF(OR($J955="",$K955=""),"",ROUND(($K955-$J955)*24-$L955/60,2))</f>
        <v/>
      </c>
      <c r="N955" s="16">
        <f>IF($C955="","",IF(AND(COUNTIF(設定!$B$15:$B$21,$G955)&gt;0,$J955&lt;&gt;""),"假日出勤",IF(AND(COUNTIF(設定!$B$6:$B$14,$G955)&gt;0,$J955=""),"未打卡",IF($J955="","",IF($O955&gt;0,"遲到",IF($P955&gt;0,"早退","正常"))))))</f>
        <v/>
      </c>
      <c r="O955" s="84">
        <f>IF(OR($C955="",$H955="",$J955=""),0,IF(ROUND(($J955-$H955)*1440,0)&gt;設定!$C$46,ROUND(($J955-$H955)*1440,0),0))</f>
        <v/>
      </c>
      <c r="P955" s="84">
        <f>IF(OR($C955="",$I955="",$K955=""),0,IF(ROUND(($I955-$K955)*1440,0)&gt;設定!$C$46,ROUND(($I955-$K955)*1440,0),0))</f>
        <v/>
      </c>
      <c r="Q955" s="85">
        <f>IF($M955="",0,IF(($M955-IFERROR(INDEX(設定!$G$6:$G$21,MATCH($G955,設定!$B$6:$B$21,0)),0))*60&gt;=設定!$C$44,ROUND(FLOOR(($M955-IFERROR(INDEX(設定!$G$6:$G$21,MATCH($G955,設定!$B$6:$B$21,0)),0))*60,設定!$C$45)/60,2),0))</f>
        <v/>
      </c>
      <c r="R955" s="16">
        <f>IF(OR($C955="",$Q955=0),"",IF($G955="國","國定假日",IF($B955="日","例假",IF($B955="六","休息日","平日"))))</f>
        <v/>
      </c>
      <c r="S955" s="19" t="n"/>
    </row>
    <row r="956">
      <c r="A956" s="82">
        <f>IF(OR(助理班表!$A35="",24&gt;DAY(EOMONTH(DATE(設定!$C$2,設定!$D$2,1),0))),"",DATE(設定!$C$2,設定!$D$2,24))</f>
        <v/>
      </c>
      <c r="B956" s="16">
        <f>IF($A956="","",INDEX(設定!$O$6:$O$12,WEEKDAY($A956,1)))</f>
        <v/>
      </c>
      <c r="C956" s="16">
        <f>IF($A956="","",助理班表!$A35)</f>
        <v/>
      </c>
      <c r="D956" s="16">
        <f>IF($C956="","",助理班表!$B35)</f>
        <v/>
      </c>
      <c r="E956" s="16">
        <f>IF($C956="","",助理班表!$D35)</f>
        <v/>
      </c>
      <c r="F956" s="16">
        <f>IF($C956="","",助理班表!$C35)</f>
        <v/>
      </c>
      <c r="G956" s="16">
        <f>IF($C956="","",助理班表!AB35)</f>
        <v/>
      </c>
      <c r="H956" s="83">
        <f>IF($G956="","",IFERROR(IF(INDEX(設定!$D$6:$D$21,MATCH($G956,設定!$B$6:$B$21,0))=0,"",INDEX(設定!$D$6:$D$21,MATCH($G956,設定!$B$6:$B$21,0))),""))</f>
        <v/>
      </c>
      <c r="I956" s="83">
        <f>IF($G956="","",IFERROR(IF(INDEX(設定!$E$6:$E$21,MATCH($G956,設定!$B$6:$B$21,0))=0,"",INDEX(設定!$E$6:$E$21,MATCH($G956,設定!$B$6:$B$21,0))),""))</f>
        <v/>
      </c>
      <c r="J956" s="83">
        <f>IFERROR(INDEX(打卡匯入!$C$3:$C$2002,MATCH($C956&amp;"|"&amp;DAY($A956),打卡匯入!$E$3:$E$2002,0)),"")</f>
        <v/>
      </c>
      <c r="K956" s="83">
        <f>IFERROR(INDEX(打卡匯入!$D$3:$D$2002,MATCH($C956&amp;"|"&amp;DAY($A956),打卡匯入!$E$3:$E$2002,0)),"")</f>
        <v/>
      </c>
      <c r="L956" s="84">
        <f>IF(OR($J956="",$K956=""),"",IFERROR(INDEX(設定!$F$6:$F$21,MATCH($G956,設定!$B$6:$B$21,0)),0))</f>
        <v/>
      </c>
      <c r="M956" s="85">
        <f>IF(OR($J956="",$K956=""),"",ROUND(($K956-$J956)*24-$L956/60,2))</f>
        <v/>
      </c>
      <c r="N956" s="16">
        <f>IF($C956="","",IF(AND(COUNTIF(設定!$B$15:$B$21,$G956)&gt;0,$J956&lt;&gt;""),"假日出勤",IF(AND(COUNTIF(設定!$B$6:$B$14,$G956)&gt;0,$J956=""),"未打卡",IF($J956="","",IF($O956&gt;0,"遲到",IF($P956&gt;0,"早退","正常"))))))</f>
        <v/>
      </c>
      <c r="O956" s="84">
        <f>IF(OR($C956="",$H956="",$J956=""),0,IF(ROUND(($J956-$H956)*1440,0)&gt;設定!$C$46,ROUND(($J956-$H956)*1440,0),0))</f>
        <v/>
      </c>
      <c r="P956" s="84">
        <f>IF(OR($C956="",$I956="",$K956=""),0,IF(ROUND(($I956-$K956)*1440,0)&gt;設定!$C$46,ROUND(($I956-$K956)*1440,0),0))</f>
        <v/>
      </c>
      <c r="Q956" s="85">
        <f>IF($M956="",0,IF(($M956-IFERROR(INDEX(設定!$G$6:$G$21,MATCH($G956,設定!$B$6:$B$21,0)),0))*60&gt;=設定!$C$44,ROUND(FLOOR(($M956-IFERROR(INDEX(設定!$G$6:$G$21,MATCH($G956,設定!$B$6:$B$21,0)),0))*60,設定!$C$45)/60,2),0))</f>
        <v/>
      </c>
      <c r="R956" s="16">
        <f>IF(OR($C956="",$Q956=0),"",IF($G956="國","國定假日",IF($B956="日","例假",IF($B956="六","休息日","平日"))))</f>
        <v/>
      </c>
      <c r="S956" s="19" t="n"/>
    </row>
    <row r="957">
      <c r="A957" s="82">
        <f>IF(OR(助理班表!$A35="",25&gt;DAY(EOMONTH(DATE(設定!$C$2,設定!$D$2,1),0))),"",DATE(設定!$C$2,設定!$D$2,25))</f>
        <v/>
      </c>
      <c r="B957" s="16">
        <f>IF($A957="","",INDEX(設定!$O$6:$O$12,WEEKDAY($A957,1)))</f>
        <v/>
      </c>
      <c r="C957" s="16">
        <f>IF($A957="","",助理班表!$A35)</f>
        <v/>
      </c>
      <c r="D957" s="16">
        <f>IF($C957="","",助理班表!$B35)</f>
        <v/>
      </c>
      <c r="E957" s="16">
        <f>IF($C957="","",助理班表!$D35)</f>
        <v/>
      </c>
      <c r="F957" s="16">
        <f>IF($C957="","",助理班表!$C35)</f>
        <v/>
      </c>
      <c r="G957" s="16">
        <f>IF($C957="","",助理班表!AC35)</f>
        <v/>
      </c>
      <c r="H957" s="83">
        <f>IF($G957="","",IFERROR(IF(INDEX(設定!$D$6:$D$21,MATCH($G957,設定!$B$6:$B$21,0))=0,"",INDEX(設定!$D$6:$D$21,MATCH($G957,設定!$B$6:$B$21,0))),""))</f>
        <v/>
      </c>
      <c r="I957" s="83">
        <f>IF($G957="","",IFERROR(IF(INDEX(設定!$E$6:$E$21,MATCH($G957,設定!$B$6:$B$21,0))=0,"",INDEX(設定!$E$6:$E$21,MATCH($G957,設定!$B$6:$B$21,0))),""))</f>
        <v/>
      </c>
      <c r="J957" s="83">
        <f>IFERROR(INDEX(打卡匯入!$C$3:$C$2002,MATCH($C957&amp;"|"&amp;DAY($A957),打卡匯入!$E$3:$E$2002,0)),"")</f>
        <v/>
      </c>
      <c r="K957" s="83">
        <f>IFERROR(INDEX(打卡匯入!$D$3:$D$2002,MATCH($C957&amp;"|"&amp;DAY($A957),打卡匯入!$E$3:$E$2002,0)),"")</f>
        <v/>
      </c>
      <c r="L957" s="84">
        <f>IF(OR($J957="",$K957=""),"",IFERROR(INDEX(設定!$F$6:$F$21,MATCH($G957,設定!$B$6:$B$21,0)),0))</f>
        <v/>
      </c>
      <c r="M957" s="85">
        <f>IF(OR($J957="",$K957=""),"",ROUND(($K957-$J957)*24-$L957/60,2))</f>
        <v/>
      </c>
      <c r="N957" s="16">
        <f>IF($C957="","",IF(AND(COUNTIF(設定!$B$15:$B$21,$G957)&gt;0,$J957&lt;&gt;""),"假日出勤",IF(AND(COUNTIF(設定!$B$6:$B$14,$G957)&gt;0,$J957=""),"未打卡",IF($J957="","",IF($O957&gt;0,"遲到",IF($P957&gt;0,"早退","正常"))))))</f>
        <v/>
      </c>
      <c r="O957" s="84">
        <f>IF(OR($C957="",$H957="",$J957=""),0,IF(ROUND(($J957-$H957)*1440,0)&gt;設定!$C$46,ROUND(($J957-$H957)*1440,0),0))</f>
        <v/>
      </c>
      <c r="P957" s="84">
        <f>IF(OR($C957="",$I957="",$K957=""),0,IF(ROUND(($I957-$K957)*1440,0)&gt;設定!$C$46,ROUND(($I957-$K957)*1440,0),0))</f>
        <v/>
      </c>
      <c r="Q957" s="85">
        <f>IF($M957="",0,IF(($M957-IFERROR(INDEX(設定!$G$6:$G$21,MATCH($G957,設定!$B$6:$B$21,0)),0))*60&gt;=設定!$C$44,ROUND(FLOOR(($M957-IFERROR(INDEX(設定!$G$6:$G$21,MATCH($G957,設定!$B$6:$B$21,0)),0))*60,設定!$C$45)/60,2),0))</f>
        <v/>
      </c>
      <c r="R957" s="16">
        <f>IF(OR($C957="",$Q957=0),"",IF($G957="國","國定假日",IF($B957="日","例假",IF($B957="六","休息日","平日"))))</f>
        <v/>
      </c>
      <c r="S957" s="19" t="n"/>
    </row>
    <row r="958">
      <c r="A958" s="82">
        <f>IF(OR(助理班表!$A35="",26&gt;DAY(EOMONTH(DATE(設定!$C$2,設定!$D$2,1),0))),"",DATE(設定!$C$2,設定!$D$2,26))</f>
        <v/>
      </c>
      <c r="B958" s="16">
        <f>IF($A958="","",INDEX(設定!$O$6:$O$12,WEEKDAY($A958,1)))</f>
        <v/>
      </c>
      <c r="C958" s="16">
        <f>IF($A958="","",助理班表!$A35)</f>
        <v/>
      </c>
      <c r="D958" s="16">
        <f>IF($C958="","",助理班表!$B35)</f>
        <v/>
      </c>
      <c r="E958" s="16">
        <f>IF($C958="","",助理班表!$D35)</f>
        <v/>
      </c>
      <c r="F958" s="16">
        <f>IF($C958="","",助理班表!$C35)</f>
        <v/>
      </c>
      <c r="G958" s="16">
        <f>IF($C958="","",助理班表!AD35)</f>
        <v/>
      </c>
      <c r="H958" s="83">
        <f>IF($G958="","",IFERROR(IF(INDEX(設定!$D$6:$D$21,MATCH($G958,設定!$B$6:$B$21,0))=0,"",INDEX(設定!$D$6:$D$21,MATCH($G958,設定!$B$6:$B$21,0))),""))</f>
        <v/>
      </c>
      <c r="I958" s="83">
        <f>IF($G958="","",IFERROR(IF(INDEX(設定!$E$6:$E$21,MATCH($G958,設定!$B$6:$B$21,0))=0,"",INDEX(設定!$E$6:$E$21,MATCH($G958,設定!$B$6:$B$21,0))),""))</f>
        <v/>
      </c>
      <c r="J958" s="83">
        <f>IFERROR(INDEX(打卡匯入!$C$3:$C$2002,MATCH($C958&amp;"|"&amp;DAY($A958),打卡匯入!$E$3:$E$2002,0)),"")</f>
        <v/>
      </c>
      <c r="K958" s="83">
        <f>IFERROR(INDEX(打卡匯入!$D$3:$D$2002,MATCH($C958&amp;"|"&amp;DAY($A958),打卡匯入!$E$3:$E$2002,0)),"")</f>
        <v/>
      </c>
      <c r="L958" s="84">
        <f>IF(OR($J958="",$K958=""),"",IFERROR(INDEX(設定!$F$6:$F$21,MATCH($G958,設定!$B$6:$B$21,0)),0))</f>
        <v/>
      </c>
      <c r="M958" s="85">
        <f>IF(OR($J958="",$K958=""),"",ROUND(($K958-$J958)*24-$L958/60,2))</f>
        <v/>
      </c>
      <c r="N958" s="16">
        <f>IF($C958="","",IF(AND(COUNTIF(設定!$B$15:$B$21,$G958)&gt;0,$J958&lt;&gt;""),"假日出勤",IF(AND(COUNTIF(設定!$B$6:$B$14,$G958)&gt;0,$J958=""),"未打卡",IF($J958="","",IF($O958&gt;0,"遲到",IF($P958&gt;0,"早退","正常"))))))</f>
        <v/>
      </c>
      <c r="O958" s="84">
        <f>IF(OR($C958="",$H958="",$J958=""),0,IF(ROUND(($J958-$H958)*1440,0)&gt;設定!$C$46,ROUND(($J958-$H958)*1440,0),0))</f>
        <v/>
      </c>
      <c r="P958" s="84">
        <f>IF(OR($C958="",$I958="",$K958=""),0,IF(ROUND(($I958-$K958)*1440,0)&gt;設定!$C$46,ROUND(($I958-$K958)*1440,0),0))</f>
        <v/>
      </c>
      <c r="Q958" s="85">
        <f>IF($M958="",0,IF(($M958-IFERROR(INDEX(設定!$G$6:$G$21,MATCH($G958,設定!$B$6:$B$21,0)),0))*60&gt;=設定!$C$44,ROUND(FLOOR(($M958-IFERROR(INDEX(設定!$G$6:$G$21,MATCH($G958,設定!$B$6:$B$21,0)),0))*60,設定!$C$45)/60,2),0))</f>
        <v/>
      </c>
      <c r="R958" s="16">
        <f>IF(OR($C958="",$Q958=0),"",IF($G958="國","國定假日",IF($B958="日","例假",IF($B958="六","休息日","平日"))))</f>
        <v/>
      </c>
      <c r="S958" s="19" t="n"/>
    </row>
    <row r="959">
      <c r="A959" s="82">
        <f>IF(OR(助理班表!$A35="",27&gt;DAY(EOMONTH(DATE(設定!$C$2,設定!$D$2,1),0))),"",DATE(設定!$C$2,設定!$D$2,27))</f>
        <v/>
      </c>
      <c r="B959" s="16">
        <f>IF($A959="","",INDEX(設定!$O$6:$O$12,WEEKDAY($A959,1)))</f>
        <v/>
      </c>
      <c r="C959" s="16">
        <f>IF($A959="","",助理班表!$A35)</f>
        <v/>
      </c>
      <c r="D959" s="16">
        <f>IF($C959="","",助理班表!$B35)</f>
        <v/>
      </c>
      <c r="E959" s="16">
        <f>IF($C959="","",助理班表!$D35)</f>
        <v/>
      </c>
      <c r="F959" s="16">
        <f>IF($C959="","",助理班表!$C35)</f>
        <v/>
      </c>
      <c r="G959" s="16">
        <f>IF($C959="","",助理班表!AE35)</f>
        <v/>
      </c>
      <c r="H959" s="83">
        <f>IF($G959="","",IFERROR(IF(INDEX(設定!$D$6:$D$21,MATCH($G959,設定!$B$6:$B$21,0))=0,"",INDEX(設定!$D$6:$D$21,MATCH($G959,設定!$B$6:$B$21,0))),""))</f>
        <v/>
      </c>
      <c r="I959" s="83">
        <f>IF($G959="","",IFERROR(IF(INDEX(設定!$E$6:$E$21,MATCH($G959,設定!$B$6:$B$21,0))=0,"",INDEX(設定!$E$6:$E$21,MATCH($G959,設定!$B$6:$B$21,0))),""))</f>
        <v/>
      </c>
      <c r="J959" s="83">
        <f>IFERROR(INDEX(打卡匯入!$C$3:$C$2002,MATCH($C959&amp;"|"&amp;DAY($A959),打卡匯入!$E$3:$E$2002,0)),"")</f>
        <v/>
      </c>
      <c r="K959" s="83">
        <f>IFERROR(INDEX(打卡匯入!$D$3:$D$2002,MATCH($C959&amp;"|"&amp;DAY($A959),打卡匯入!$E$3:$E$2002,0)),"")</f>
        <v/>
      </c>
      <c r="L959" s="84">
        <f>IF(OR($J959="",$K959=""),"",IFERROR(INDEX(設定!$F$6:$F$21,MATCH($G959,設定!$B$6:$B$21,0)),0))</f>
        <v/>
      </c>
      <c r="M959" s="85">
        <f>IF(OR($J959="",$K959=""),"",ROUND(($K959-$J959)*24-$L959/60,2))</f>
        <v/>
      </c>
      <c r="N959" s="16">
        <f>IF($C959="","",IF(AND(COUNTIF(設定!$B$15:$B$21,$G959)&gt;0,$J959&lt;&gt;""),"假日出勤",IF(AND(COUNTIF(設定!$B$6:$B$14,$G959)&gt;0,$J959=""),"未打卡",IF($J959="","",IF($O959&gt;0,"遲到",IF($P959&gt;0,"早退","正常"))))))</f>
        <v/>
      </c>
      <c r="O959" s="84">
        <f>IF(OR($C959="",$H959="",$J959=""),0,IF(ROUND(($J959-$H959)*1440,0)&gt;設定!$C$46,ROUND(($J959-$H959)*1440,0),0))</f>
        <v/>
      </c>
      <c r="P959" s="84">
        <f>IF(OR($C959="",$I959="",$K959=""),0,IF(ROUND(($I959-$K959)*1440,0)&gt;設定!$C$46,ROUND(($I959-$K959)*1440,0),0))</f>
        <v/>
      </c>
      <c r="Q959" s="85">
        <f>IF($M959="",0,IF(($M959-IFERROR(INDEX(設定!$G$6:$G$21,MATCH($G959,設定!$B$6:$B$21,0)),0))*60&gt;=設定!$C$44,ROUND(FLOOR(($M959-IFERROR(INDEX(設定!$G$6:$G$21,MATCH($G959,設定!$B$6:$B$21,0)),0))*60,設定!$C$45)/60,2),0))</f>
        <v/>
      </c>
      <c r="R959" s="16">
        <f>IF(OR($C959="",$Q959=0),"",IF($G959="國","國定假日",IF($B959="日","例假",IF($B959="六","休息日","平日"))))</f>
        <v/>
      </c>
      <c r="S959" s="19" t="n"/>
    </row>
    <row r="960">
      <c r="A960" s="82">
        <f>IF(OR(助理班表!$A35="",28&gt;DAY(EOMONTH(DATE(設定!$C$2,設定!$D$2,1),0))),"",DATE(設定!$C$2,設定!$D$2,28))</f>
        <v/>
      </c>
      <c r="B960" s="16">
        <f>IF($A960="","",INDEX(設定!$O$6:$O$12,WEEKDAY($A960,1)))</f>
        <v/>
      </c>
      <c r="C960" s="16">
        <f>IF($A960="","",助理班表!$A35)</f>
        <v/>
      </c>
      <c r="D960" s="16">
        <f>IF($C960="","",助理班表!$B35)</f>
        <v/>
      </c>
      <c r="E960" s="16">
        <f>IF($C960="","",助理班表!$D35)</f>
        <v/>
      </c>
      <c r="F960" s="16">
        <f>IF($C960="","",助理班表!$C35)</f>
        <v/>
      </c>
      <c r="G960" s="16">
        <f>IF($C960="","",助理班表!AF35)</f>
        <v/>
      </c>
      <c r="H960" s="83">
        <f>IF($G960="","",IFERROR(IF(INDEX(設定!$D$6:$D$21,MATCH($G960,設定!$B$6:$B$21,0))=0,"",INDEX(設定!$D$6:$D$21,MATCH($G960,設定!$B$6:$B$21,0))),""))</f>
        <v/>
      </c>
      <c r="I960" s="83">
        <f>IF($G960="","",IFERROR(IF(INDEX(設定!$E$6:$E$21,MATCH($G960,設定!$B$6:$B$21,0))=0,"",INDEX(設定!$E$6:$E$21,MATCH($G960,設定!$B$6:$B$21,0))),""))</f>
        <v/>
      </c>
      <c r="J960" s="83">
        <f>IFERROR(INDEX(打卡匯入!$C$3:$C$2002,MATCH($C960&amp;"|"&amp;DAY($A960),打卡匯入!$E$3:$E$2002,0)),"")</f>
        <v/>
      </c>
      <c r="K960" s="83">
        <f>IFERROR(INDEX(打卡匯入!$D$3:$D$2002,MATCH($C960&amp;"|"&amp;DAY($A960),打卡匯入!$E$3:$E$2002,0)),"")</f>
        <v/>
      </c>
      <c r="L960" s="84">
        <f>IF(OR($J960="",$K960=""),"",IFERROR(INDEX(設定!$F$6:$F$21,MATCH($G960,設定!$B$6:$B$21,0)),0))</f>
        <v/>
      </c>
      <c r="M960" s="85">
        <f>IF(OR($J960="",$K960=""),"",ROUND(($K960-$J960)*24-$L960/60,2))</f>
        <v/>
      </c>
      <c r="N960" s="16">
        <f>IF($C960="","",IF(AND(COUNTIF(設定!$B$15:$B$21,$G960)&gt;0,$J960&lt;&gt;""),"假日出勤",IF(AND(COUNTIF(設定!$B$6:$B$14,$G960)&gt;0,$J960=""),"未打卡",IF($J960="","",IF($O960&gt;0,"遲到",IF($P960&gt;0,"早退","正常"))))))</f>
        <v/>
      </c>
      <c r="O960" s="84">
        <f>IF(OR($C960="",$H960="",$J960=""),0,IF(ROUND(($J960-$H960)*1440,0)&gt;設定!$C$46,ROUND(($J960-$H960)*1440,0),0))</f>
        <v/>
      </c>
      <c r="P960" s="84">
        <f>IF(OR($C960="",$I960="",$K960=""),0,IF(ROUND(($I960-$K960)*1440,0)&gt;設定!$C$46,ROUND(($I960-$K960)*1440,0),0))</f>
        <v/>
      </c>
      <c r="Q960" s="85">
        <f>IF($M960="",0,IF(($M960-IFERROR(INDEX(設定!$G$6:$G$21,MATCH($G960,設定!$B$6:$B$21,0)),0))*60&gt;=設定!$C$44,ROUND(FLOOR(($M960-IFERROR(INDEX(設定!$G$6:$G$21,MATCH($G960,設定!$B$6:$B$21,0)),0))*60,設定!$C$45)/60,2),0))</f>
        <v/>
      </c>
      <c r="R960" s="16">
        <f>IF(OR($C960="",$Q960=0),"",IF($G960="國","國定假日",IF($B960="日","例假",IF($B960="六","休息日","平日"))))</f>
        <v/>
      </c>
      <c r="S960" s="19" t="n"/>
    </row>
    <row r="961">
      <c r="A961" s="82">
        <f>IF(OR(助理班表!$A35="",29&gt;DAY(EOMONTH(DATE(設定!$C$2,設定!$D$2,1),0))),"",DATE(設定!$C$2,設定!$D$2,29))</f>
        <v/>
      </c>
      <c r="B961" s="16">
        <f>IF($A961="","",INDEX(設定!$O$6:$O$12,WEEKDAY($A961,1)))</f>
        <v/>
      </c>
      <c r="C961" s="16">
        <f>IF($A961="","",助理班表!$A35)</f>
        <v/>
      </c>
      <c r="D961" s="16">
        <f>IF($C961="","",助理班表!$B35)</f>
        <v/>
      </c>
      <c r="E961" s="16">
        <f>IF($C961="","",助理班表!$D35)</f>
        <v/>
      </c>
      <c r="F961" s="16">
        <f>IF($C961="","",助理班表!$C35)</f>
        <v/>
      </c>
      <c r="G961" s="16">
        <f>IF($C961="","",助理班表!AG35)</f>
        <v/>
      </c>
      <c r="H961" s="83">
        <f>IF($G961="","",IFERROR(IF(INDEX(設定!$D$6:$D$21,MATCH($G961,設定!$B$6:$B$21,0))=0,"",INDEX(設定!$D$6:$D$21,MATCH($G961,設定!$B$6:$B$21,0))),""))</f>
        <v/>
      </c>
      <c r="I961" s="83">
        <f>IF($G961="","",IFERROR(IF(INDEX(設定!$E$6:$E$21,MATCH($G961,設定!$B$6:$B$21,0))=0,"",INDEX(設定!$E$6:$E$21,MATCH($G961,設定!$B$6:$B$21,0))),""))</f>
        <v/>
      </c>
      <c r="J961" s="83">
        <f>IFERROR(INDEX(打卡匯入!$C$3:$C$2002,MATCH($C961&amp;"|"&amp;DAY($A961),打卡匯入!$E$3:$E$2002,0)),"")</f>
        <v/>
      </c>
      <c r="K961" s="83">
        <f>IFERROR(INDEX(打卡匯入!$D$3:$D$2002,MATCH($C961&amp;"|"&amp;DAY($A961),打卡匯入!$E$3:$E$2002,0)),"")</f>
        <v/>
      </c>
      <c r="L961" s="84">
        <f>IF(OR($J961="",$K961=""),"",IFERROR(INDEX(設定!$F$6:$F$21,MATCH($G961,設定!$B$6:$B$21,0)),0))</f>
        <v/>
      </c>
      <c r="M961" s="85">
        <f>IF(OR($J961="",$K961=""),"",ROUND(($K961-$J961)*24-$L961/60,2))</f>
        <v/>
      </c>
      <c r="N961" s="16">
        <f>IF($C961="","",IF(AND(COUNTIF(設定!$B$15:$B$21,$G961)&gt;0,$J961&lt;&gt;""),"假日出勤",IF(AND(COUNTIF(設定!$B$6:$B$14,$G961)&gt;0,$J961=""),"未打卡",IF($J961="","",IF($O961&gt;0,"遲到",IF($P961&gt;0,"早退","正常"))))))</f>
        <v/>
      </c>
      <c r="O961" s="84">
        <f>IF(OR($C961="",$H961="",$J961=""),0,IF(ROUND(($J961-$H961)*1440,0)&gt;設定!$C$46,ROUND(($J961-$H961)*1440,0),0))</f>
        <v/>
      </c>
      <c r="P961" s="84">
        <f>IF(OR($C961="",$I961="",$K961=""),0,IF(ROUND(($I961-$K961)*1440,0)&gt;設定!$C$46,ROUND(($I961-$K961)*1440,0),0))</f>
        <v/>
      </c>
      <c r="Q961" s="85">
        <f>IF($M961="",0,IF(($M961-IFERROR(INDEX(設定!$G$6:$G$21,MATCH($G961,設定!$B$6:$B$21,0)),0))*60&gt;=設定!$C$44,ROUND(FLOOR(($M961-IFERROR(INDEX(設定!$G$6:$G$21,MATCH($G961,設定!$B$6:$B$21,0)),0))*60,設定!$C$45)/60,2),0))</f>
        <v/>
      </c>
      <c r="R961" s="16">
        <f>IF(OR($C961="",$Q961=0),"",IF($G961="國","國定假日",IF($B961="日","例假",IF($B961="六","休息日","平日"))))</f>
        <v/>
      </c>
      <c r="S961" s="19" t="n"/>
    </row>
    <row r="962">
      <c r="A962" s="82">
        <f>IF(OR(助理班表!$A35="",30&gt;DAY(EOMONTH(DATE(設定!$C$2,設定!$D$2,1),0))),"",DATE(設定!$C$2,設定!$D$2,30))</f>
        <v/>
      </c>
      <c r="B962" s="16">
        <f>IF($A962="","",INDEX(設定!$O$6:$O$12,WEEKDAY($A962,1)))</f>
        <v/>
      </c>
      <c r="C962" s="16">
        <f>IF($A962="","",助理班表!$A35)</f>
        <v/>
      </c>
      <c r="D962" s="16">
        <f>IF($C962="","",助理班表!$B35)</f>
        <v/>
      </c>
      <c r="E962" s="16">
        <f>IF($C962="","",助理班表!$D35)</f>
        <v/>
      </c>
      <c r="F962" s="16">
        <f>IF($C962="","",助理班表!$C35)</f>
        <v/>
      </c>
      <c r="G962" s="16">
        <f>IF($C962="","",助理班表!AH35)</f>
        <v/>
      </c>
      <c r="H962" s="83">
        <f>IF($G962="","",IFERROR(IF(INDEX(設定!$D$6:$D$21,MATCH($G962,設定!$B$6:$B$21,0))=0,"",INDEX(設定!$D$6:$D$21,MATCH($G962,設定!$B$6:$B$21,0))),""))</f>
        <v/>
      </c>
      <c r="I962" s="83">
        <f>IF($G962="","",IFERROR(IF(INDEX(設定!$E$6:$E$21,MATCH($G962,設定!$B$6:$B$21,0))=0,"",INDEX(設定!$E$6:$E$21,MATCH($G962,設定!$B$6:$B$21,0))),""))</f>
        <v/>
      </c>
      <c r="J962" s="83">
        <f>IFERROR(INDEX(打卡匯入!$C$3:$C$2002,MATCH($C962&amp;"|"&amp;DAY($A962),打卡匯入!$E$3:$E$2002,0)),"")</f>
        <v/>
      </c>
      <c r="K962" s="83">
        <f>IFERROR(INDEX(打卡匯入!$D$3:$D$2002,MATCH($C962&amp;"|"&amp;DAY($A962),打卡匯入!$E$3:$E$2002,0)),"")</f>
        <v/>
      </c>
      <c r="L962" s="84">
        <f>IF(OR($J962="",$K962=""),"",IFERROR(INDEX(設定!$F$6:$F$21,MATCH($G962,設定!$B$6:$B$21,0)),0))</f>
        <v/>
      </c>
      <c r="M962" s="85">
        <f>IF(OR($J962="",$K962=""),"",ROUND(($K962-$J962)*24-$L962/60,2))</f>
        <v/>
      </c>
      <c r="N962" s="16">
        <f>IF($C962="","",IF(AND(COUNTIF(設定!$B$15:$B$21,$G962)&gt;0,$J962&lt;&gt;""),"假日出勤",IF(AND(COUNTIF(設定!$B$6:$B$14,$G962)&gt;0,$J962=""),"未打卡",IF($J962="","",IF($O962&gt;0,"遲到",IF($P962&gt;0,"早退","正常"))))))</f>
        <v/>
      </c>
      <c r="O962" s="84">
        <f>IF(OR($C962="",$H962="",$J962=""),0,IF(ROUND(($J962-$H962)*1440,0)&gt;設定!$C$46,ROUND(($J962-$H962)*1440,0),0))</f>
        <v/>
      </c>
      <c r="P962" s="84">
        <f>IF(OR($C962="",$I962="",$K962=""),0,IF(ROUND(($I962-$K962)*1440,0)&gt;設定!$C$46,ROUND(($I962-$K962)*1440,0),0))</f>
        <v/>
      </c>
      <c r="Q962" s="85">
        <f>IF($M962="",0,IF(($M962-IFERROR(INDEX(設定!$G$6:$G$21,MATCH($G962,設定!$B$6:$B$21,0)),0))*60&gt;=設定!$C$44,ROUND(FLOOR(($M962-IFERROR(INDEX(設定!$G$6:$G$21,MATCH($G962,設定!$B$6:$B$21,0)),0))*60,設定!$C$45)/60,2),0))</f>
        <v/>
      </c>
      <c r="R962" s="16">
        <f>IF(OR($C962="",$Q962=0),"",IF($G962="國","國定假日",IF($B962="日","例假",IF($B962="六","休息日","平日"))))</f>
        <v/>
      </c>
      <c r="S962" s="19" t="n"/>
    </row>
    <row r="963">
      <c r="A963" s="82">
        <f>IF(OR(助理班表!$A35="",31&gt;DAY(EOMONTH(DATE(設定!$C$2,設定!$D$2,1),0))),"",DATE(設定!$C$2,設定!$D$2,31))</f>
        <v/>
      </c>
      <c r="B963" s="16">
        <f>IF($A963="","",INDEX(設定!$O$6:$O$12,WEEKDAY($A963,1)))</f>
        <v/>
      </c>
      <c r="C963" s="16">
        <f>IF($A963="","",助理班表!$A35)</f>
        <v/>
      </c>
      <c r="D963" s="16">
        <f>IF($C963="","",助理班表!$B35)</f>
        <v/>
      </c>
      <c r="E963" s="16">
        <f>IF($C963="","",助理班表!$D35)</f>
        <v/>
      </c>
      <c r="F963" s="16">
        <f>IF($C963="","",助理班表!$C35)</f>
        <v/>
      </c>
      <c r="G963" s="16">
        <f>IF($C963="","",助理班表!AI35)</f>
        <v/>
      </c>
      <c r="H963" s="83">
        <f>IF($G963="","",IFERROR(IF(INDEX(設定!$D$6:$D$21,MATCH($G963,設定!$B$6:$B$21,0))=0,"",INDEX(設定!$D$6:$D$21,MATCH($G963,設定!$B$6:$B$21,0))),""))</f>
        <v/>
      </c>
      <c r="I963" s="83">
        <f>IF($G963="","",IFERROR(IF(INDEX(設定!$E$6:$E$21,MATCH($G963,設定!$B$6:$B$21,0))=0,"",INDEX(設定!$E$6:$E$21,MATCH($G963,設定!$B$6:$B$21,0))),""))</f>
        <v/>
      </c>
      <c r="J963" s="83">
        <f>IFERROR(INDEX(打卡匯入!$C$3:$C$2002,MATCH($C963&amp;"|"&amp;DAY($A963),打卡匯入!$E$3:$E$2002,0)),"")</f>
        <v/>
      </c>
      <c r="K963" s="83">
        <f>IFERROR(INDEX(打卡匯入!$D$3:$D$2002,MATCH($C963&amp;"|"&amp;DAY($A963),打卡匯入!$E$3:$E$2002,0)),"")</f>
        <v/>
      </c>
      <c r="L963" s="84">
        <f>IF(OR($J963="",$K963=""),"",IFERROR(INDEX(設定!$F$6:$F$21,MATCH($G963,設定!$B$6:$B$21,0)),0))</f>
        <v/>
      </c>
      <c r="M963" s="85">
        <f>IF(OR($J963="",$K963=""),"",ROUND(($K963-$J963)*24-$L963/60,2))</f>
        <v/>
      </c>
      <c r="N963" s="16">
        <f>IF($C963="","",IF(AND(COUNTIF(設定!$B$15:$B$21,$G963)&gt;0,$J963&lt;&gt;""),"假日出勤",IF(AND(COUNTIF(設定!$B$6:$B$14,$G963)&gt;0,$J963=""),"未打卡",IF($J963="","",IF($O963&gt;0,"遲到",IF($P963&gt;0,"早退","正常"))))))</f>
        <v/>
      </c>
      <c r="O963" s="84">
        <f>IF(OR($C963="",$H963="",$J963=""),0,IF(ROUND(($J963-$H963)*1440,0)&gt;設定!$C$46,ROUND(($J963-$H963)*1440,0),0))</f>
        <v/>
      </c>
      <c r="P963" s="84">
        <f>IF(OR($C963="",$I963="",$K963=""),0,IF(ROUND(($I963-$K963)*1440,0)&gt;設定!$C$46,ROUND(($I963-$K963)*1440,0),0))</f>
        <v/>
      </c>
      <c r="Q963" s="85">
        <f>IF($M963="",0,IF(($M963-IFERROR(INDEX(設定!$G$6:$G$21,MATCH($G963,設定!$B$6:$B$21,0)),0))*60&gt;=設定!$C$44,ROUND(FLOOR(($M963-IFERROR(INDEX(設定!$G$6:$G$21,MATCH($G963,設定!$B$6:$B$21,0)),0))*60,設定!$C$45)/60,2),0))</f>
        <v/>
      </c>
      <c r="R963" s="16">
        <f>IF(OR($C963="",$Q963=0),"",IF($G963="國","國定假日",IF($B963="日","例假",IF($B963="六","休息日","平日"))))</f>
        <v/>
      </c>
      <c r="S963" s="19" t="n"/>
    </row>
    <row r="964">
      <c r="A964" s="82">
        <f>IF(OR(助理班表!$A36="",1&gt;DAY(EOMONTH(DATE(設定!$C$2,設定!$D$2,1),0))),"",DATE(設定!$C$2,設定!$D$2,1))</f>
        <v/>
      </c>
      <c r="B964" s="16">
        <f>IF($A964="","",INDEX(設定!$O$6:$O$12,WEEKDAY($A964,1)))</f>
        <v/>
      </c>
      <c r="C964" s="16">
        <f>IF($A964="","",助理班表!$A36)</f>
        <v/>
      </c>
      <c r="D964" s="16">
        <f>IF($C964="","",助理班表!$B36)</f>
        <v/>
      </c>
      <c r="E964" s="16">
        <f>IF($C964="","",助理班表!$D36)</f>
        <v/>
      </c>
      <c r="F964" s="16">
        <f>IF($C964="","",助理班表!$C36)</f>
        <v/>
      </c>
      <c r="G964" s="16">
        <f>IF($C964="","",助理班表!E36)</f>
        <v/>
      </c>
      <c r="H964" s="83">
        <f>IF($G964="","",IFERROR(IF(INDEX(設定!$D$6:$D$21,MATCH($G964,設定!$B$6:$B$21,0))=0,"",INDEX(設定!$D$6:$D$21,MATCH($G964,設定!$B$6:$B$21,0))),""))</f>
        <v/>
      </c>
      <c r="I964" s="83">
        <f>IF($G964="","",IFERROR(IF(INDEX(設定!$E$6:$E$21,MATCH($G964,設定!$B$6:$B$21,0))=0,"",INDEX(設定!$E$6:$E$21,MATCH($G964,設定!$B$6:$B$21,0))),""))</f>
        <v/>
      </c>
      <c r="J964" s="83">
        <f>IFERROR(INDEX(打卡匯入!$C$3:$C$2002,MATCH($C964&amp;"|"&amp;DAY($A964),打卡匯入!$E$3:$E$2002,0)),"")</f>
        <v/>
      </c>
      <c r="K964" s="83">
        <f>IFERROR(INDEX(打卡匯入!$D$3:$D$2002,MATCH($C964&amp;"|"&amp;DAY($A964),打卡匯入!$E$3:$E$2002,0)),"")</f>
        <v/>
      </c>
      <c r="L964" s="84">
        <f>IF(OR($J964="",$K964=""),"",IFERROR(INDEX(設定!$F$6:$F$21,MATCH($G964,設定!$B$6:$B$21,0)),0))</f>
        <v/>
      </c>
      <c r="M964" s="85">
        <f>IF(OR($J964="",$K964=""),"",ROUND(($K964-$J964)*24-$L964/60,2))</f>
        <v/>
      </c>
      <c r="N964" s="16">
        <f>IF($C964="","",IF(AND(COUNTIF(設定!$B$15:$B$21,$G964)&gt;0,$J964&lt;&gt;""),"假日出勤",IF(AND(COUNTIF(設定!$B$6:$B$14,$G964)&gt;0,$J964=""),"未打卡",IF($J964="","",IF($O964&gt;0,"遲到",IF($P964&gt;0,"早退","正常"))))))</f>
        <v/>
      </c>
      <c r="O964" s="84">
        <f>IF(OR($C964="",$H964="",$J964=""),0,IF(ROUND(($J964-$H964)*1440,0)&gt;設定!$C$46,ROUND(($J964-$H964)*1440,0),0))</f>
        <v/>
      </c>
      <c r="P964" s="84">
        <f>IF(OR($C964="",$I964="",$K964=""),0,IF(ROUND(($I964-$K964)*1440,0)&gt;設定!$C$46,ROUND(($I964-$K964)*1440,0),0))</f>
        <v/>
      </c>
      <c r="Q964" s="85">
        <f>IF($M964="",0,IF(($M964-IFERROR(INDEX(設定!$G$6:$G$21,MATCH($G964,設定!$B$6:$B$21,0)),0))*60&gt;=設定!$C$44,ROUND(FLOOR(($M964-IFERROR(INDEX(設定!$G$6:$G$21,MATCH($G964,設定!$B$6:$B$21,0)),0))*60,設定!$C$45)/60,2),0))</f>
        <v/>
      </c>
      <c r="R964" s="16">
        <f>IF(OR($C964="",$Q964=0),"",IF($G964="國","國定假日",IF($B964="日","例假",IF($B964="六","休息日","平日"))))</f>
        <v/>
      </c>
      <c r="S964" s="19" t="n"/>
    </row>
    <row r="965">
      <c r="A965" s="82">
        <f>IF(OR(助理班表!$A36="",2&gt;DAY(EOMONTH(DATE(設定!$C$2,設定!$D$2,1),0))),"",DATE(設定!$C$2,設定!$D$2,2))</f>
        <v/>
      </c>
      <c r="B965" s="16">
        <f>IF($A965="","",INDEX(設定!$O$6:$O$12,WEEKDAY($A965,1)))</f>
        <v/>
      </c>
      <c r="C965" s="16">
        <f>IF($A965="","",助理班表!$A36)</f>
        <v/>
      </c>
      <c r="D965" s="16">
        <f>IF($C965="","",助理班表!$B36)</f>
        <v/>
      </c>
      <c r="E965" s="16">
        <f>IF($C965="","",助理班表!$D36)</f>
        <v/>
      </c>
      <c r="F965" s="16">
        <f>IF($C965="","",助理班表!$C36)</f>
        <v/>
      </c>
      <c r="G965" s="16">
        <f>IF($C965="","",助理班表!F36)</f>
        <v/>
      </c>
      <c r="H965" s="83">
        <f>IF($G965="","",IFERROR(IF(INDEX(設定!$D$6:$D$21,MATCH($G965,設定!$B$6:$B$21,0))=0,"",INDEX(設定!$D$6:$D$21,MATCH($G965,設定!$B$6:$B$21,0))),""))</f>
        <v/>
      </c>
      <c r="I965" s="83">
        <f>IF($G965="","",IFERROR(IF(INDEX(設定!$E$6:$E$21,MATCH($G965,設定!$B$6:$B$21,0))=0,"",INDEX(設定!$E$6:$E$21,MATCH($G965,設定!$B$6:$B$21,0))),""))</f>
        <v/>
      </c>
      <c r="J965" s="83">
        <f>IFERROR(INDEX(打卡匯入!$C$3:$C$2002,MATCH($C965&amp;"|"&amp;DAY($A965),打卡匯入!$E$3:$E$2002,0)),"")</f>
        <v/>
      </c>
      <c r="K965" s="83">
        <f>IFERROR(INDEX(打卡匯入!$D$3:$D$2002,MATCH($C965&amp;"|"&amp;DAY($A965),打卡匯入!$E$3:$E$2002,0)),"")</f>
        <v/>
      </c>
      <c r="L965" s="84">
        <f>IF(OR($J965="",$K965=""),"",IFERROR(INDEX(設定!$F$6:$F$21,MATCH($G965,設定!$B$6:$B$21,0)),0))</f>
        <v/>
      </c>
      <c r="M965" s="85">
        <f>IF(OR($J965="",$K965=""),"",ROUND(($K965-$J965)*24-$L965/60,2))</f>
        <v/>
      </c>
      <c r="N965" s="16">
        <f>IF($C965="","",IF(AND(COUNTIF(設定!$B$15:$B$21,$G965)&gt;0,$J965&lt;&gt;""),"假日出勤",IF(AND(COUNTIF(設定!$B$6:$B$14,$G965)&gt;0,$J965=""),"未打卡",IF($J965="","",IF($O965&gt;0,"遲到",IF($P965&gt;0,"早退","正常"))))))</f>
        <v/>
      </c>
      <c r="O965" s="84">
        <f>IF(OR($C965="",$H965="",$J965=""),0,IF(ROUND(($J965-$H965)*1440,0)&gt;設定!$C$46,ROUND(($J965-$H965)*1440,0),0))</f>
        <v/>
      </c>
      <c r="P965" s="84">
        <f>IF(OR($C965="",$I965="",$K965=""),0,IF(ROUND(($I965-$K965)*1440,0)&gt;設定!$C$46,ROUND(($I965-$K965)*1440,0),0))</f>
        <v/>
      </c>
      <c r="Q965" s="85">
        <f>IF($M965="",0,IF(($M965-IFERROR(INDEX(設定!$G$6:$G$21,MATCH($G965,設定!$B$6:$B$21,0)),0))*60&gt;=設定!$C$44,ROUND(FLOOR(($M965-IFERROR(INDEX(設定!$G$6:$G$21,MATCH($G965,設定!$B$6:$B$21,0)),0))*60,設定!$C$45)/60,2),0))</f>
        <v/>
      </c>
      <c r="R965" s="16">
        <f>IF(OR($C965="",$Q965=0),"",IF($G965="國","國定假日",IF($B965="日","例假",IF($B965="六","休息日","平日"))))</f>
        <v/>
      </c>
      <c r="S965" s="19" t="n"/>
    </row>
    <row r="966">
      <c r="A966" s="82">
        <f>IF(OR(助理班表!$A36="",3&gt;DAY(EOMONTH(DATE(設定!$C$2,設定!$D$2,1),0))),"",DATE(設定!$C$2,設定!$D$2,3))</f>
        <v/>
      </c>
      <c r="B966" s="16">
        <f>IF($A966="","",INDEX(設定!$O$6:$O$12,WEEKDAY($A966,1)))</f>
        <v/>
      </c>
      <c r="C966" s="16">
        <f>IF($A966="","",助理班表!$A36)</f>
        <v/>
      </c>
      <c r="D966" s="16">
        <f>IF($C966="","",助理班表!$B36)</f>
        <v/>
      </c>
      <c r="E966" s="16">
        <f>IF($C966="","",助理班表!$D36)</f>
        <v/>
      </c>
      <c r="F966" s="16">
        <f>IF($C966="","",助理班表!$C36)</f>
        <v/>
      </c>
      <c r="G966" s="16">
        <f>IF($C966="","",助理班表!G36)</f>
        <v/>
      </c>
      <c r="H966" s="83">
        <f>IF($G966="","",IFERROR(IF(INDEX(設定!$D$6:$D$21,MATCH($G966,設定!$B$6:$B$21,0))=0,"",INDEX(設定!$D$6:$D$21,MATCH($G966,設定!$B$6:$B$21,0))),""))</f>
        <v/>
      </c>
      <c r="I966" s="83">
        <f>IF($G966="","",IFERROR(IF(INDEX(設定!$E$6:$E$21,MATCH($G966,設定!$B$6:$B$21,0))=0,"",INDEX(設定!$E$6:$E$21,MATCH($G966,設定!$B$6:$B$21,0))),""))</f>
        <v/>
      </c>
      <c r="J966" s="83">
        <f>IFERROR(INDEX(打卡匯入!$C$3:$C$2002,MATCH($C966&amp;"|"&amp;DAY($A966),打卡匯入!$E$3:$E$2002,0)),"")</f>
        <v/>
      </c>
      <c r="K966" s="83">
        <f>IFERROR(INDEX(打卡匯入!$D$3:$D$2002,MATCH($C966&amp;"|"&amp;DAY($A966),打卡匯入!$E$3:$E$2002,0)),"")</f>
        <v/>
      </c>
      <c r="L966" s="84">
        <f>IF(OR($J966="",$K966=""),"",IFERROR(INDEX(設定!$F$6:$F$21,MATCH($G966,設定!$B$6:$B$21,0)),0))</f>
        <v/>
      </c>
      <c r="M966" s="85">
        <f>IF(OR($J966="",$K966=""),"",ROUND(($K966-$J966)*24-$L966/60,2))</f>
        <v/>
      </c>
      <c r="N966" s="16">
        <f>IF($C966="","",IF(AND(COUNTIF(設定!$B$15:$B$21,$G966)&gt;0,$J966&lt;&gt;""),"假日出勤",IF(AND(COUNTIF(設定!$B$6:$B$14,$G966)&gt;0,$J966=""),"未打卡",IF($J966="","",IF($O966&gt;0,"遲到",IF($P966&gt;0,"早退","正常"))))))</f>
        <v/>
      </c>
      <c r="O966" s="84">
        <f>IF(OR($C966="",$H966="",$J966=""),0,IF(ROUND(($J966-$H966)*1440,0)&gt;設定!$C$46,ROUND(($J966-$H966)*1440,0),0))</f>
        <v/>
      </c>
      <c r="P966" s="84">
        <f>IF(OR($C966="",$I966="",$K966=""),0,IF(ROUND(($I966-$K966)*1440,0)&gt;設定!$C$46,ROUND(($I966-$K966)*1440,0),0))</f>
        <v/>
      </c>
      <c r="Q966" s="85">
        <f>IF($M966="",0,IF(($M966-IFERROR(INDEX(設定!$G$6:$G$21,MATCH($G966,設定!$B$6:$B$21,0)),0))*60&gt;=設定!$C$44,ROUND(FLOOR(($M966-IFERROR(INDEX(設定!$G$6:$G$21,MATCH($G966,設定!$B$6:$B$21,0)),0))*60,設定!$C$45)/60,2),0))</f>
        <v/>
      </c>
      <c r="R966" s="16">
        <f>IF(OR($C966="",$Q966=0),"",IF($G966="國","國定假日",IF($B966="日","例假",IF($B966="六","休息日","平日"))))</f>
        <v/>
      </c>
      <c r="S966" s="19" t="n"/>
    </row>
    <row r="967">
      <c r="A967" s="82">
        <f>IF(OR(助理班表!$A36="",4&gt;DAY(EOMONTH(DATE(設定!$C$2,設定!$D$2,1),0))),"",DATE(設定!$C$2,設定!$D$2,4))</f>
        <v/>
      </c>
      <c r="B967" s="16">
        <f>IF($A967="","",INDEX(設定!$O$6:$O$12,WEEKDAY($A967,1)))</f>
        <v/>
      </c>
      <c r="C967" s="16">
        <f>IF($A967="","",助理班表!$A36)</f>
        <v/>
      </c>
      <c r="D967" s="16">
        <f>IF($C967="","",助理班表!$B36)</f>
        <v/>
      </c>
      <c r="E967" s="16">
        <f>IF($C967="","",助理班表!$D36)</f>
        <v/>
      </c>
      <c r="F967" s="16">
        <f>IF($C967="","",助理班表!$C36)</f>
        <v/>
      </c>
      <c r="G967" s="16">
        <f>IF($C967="","",助理班表!H36)</f>
        <v/>
      </c>
      <c r="H967" s="83">
        <f>IF($G967="","",IFERROR(IF(INDEX(設定!$D$6:$D$21,MATCH($G967,設定!$B$6:$B$21,0))=0,"",INDEX(設定!$D$6:$D$21,MATCH($G967,設定!$B$6:$B$21,0))),""))</f>
        <v/>
      </c>
      <c r="I967" s="83">
        <f>IF($G967="","",IFERROR(IF(INDEX(設定!$E$6:$E$21,MATCH($G967,設定!$B$6:$B$21,0))=0,"",INDEX(設定!$E$6:$E$21,MATCH($G967,設定!$B$6:$B$21,0))),""))</f>
        <v/>
      </c>
      <c r="J967" s="83">
        <f>IFERROR(INDEX(打卡匯入!$C$3:$C$2002,MATCH($C967&amp;"|"&amp;DAY($A967),打卡匯入!$E$3:$E$2002,0)),"")</f>
        <v/>
      </c>
      <c r="K967" s="83">
        <f>IFERROR(INDEX(打卡匯入!$D$3:$D$2002,MATCH($C967&amp;"|"&amp;DAY($A967),打卡匯入!$E$3:$E$2002,0)),"")</f>
        <v/>
      </c>
      <c r="L967" s="84">
        <f>IF(OR($J967="",$K967=""),"",IFERROR(INDEX(設定!$F$6:$F$21,MATCH($G967,設定!$B$6:$B$21,0)),0))</f>
        <v/>
      </c>
      <c r="M967" s="85">
        <f>IF(OR($J967="",$K967=""),"",ROUND(($K967-$J967)*24-$L967/60,2))</f>
        <v/>
      </c>
      <c r="N967" s="16">
        <f>IF($C967="","",IF(AND(COUNTIF(設定!$B$15:$B$21,$G967)&gt;0,$J967&lt;&gt;""),"假日出勤",IF(AND(COUNTIF(設定!$B$6:$B$14,$G967)&gt;0,$J967=""),"未打卡",IF($J967="","",IF($O967&gt;0,"遲到",IF($P967&gt;0,"早退","正常"))))))</f>
        <v/>
      </c>
      <c r="O967" s="84">
        <f>IF(OR($C967="",$H967="",$J967=""),0,IF(ROUND(($J967-$H967)*1440,0)&gt;設定!$C$46,ROUND(($J967-$H967)*1440,0),0))</f>
        <v/>
      </c>
      <c r="P967" s="84">
        <f>IF(OR($C967="",$I967="",$K967=""),0,IF(ROUND(($I967-$K967)*1440,0)&gt;設定!$C$46,ROUND(($I967-$K967)*1440,0),0))</f>
        <v/>
      </c>
      <c r="Q967" s="85">
        <f>IF($M967="",0,IF(($M967-IFERROR(INDEX(設定!$G$6:$G$21,MATCH($G967,設定!$B$6:$B$21,0)),0))*60&gt;=設定!$C$44,ROUND(FLOOR(($M967-IFERROR(INDEX(設定!$G$6:$G$21,MATCH($G967,設定!$B$6:$B$21,0)),0))*60,設定!$C$45)/60,2),0))</f>
        <v/>
      </c>
      <c r="R967" s="16">
        <f>IF(OR($C967="",$Q967=0),"",IF($G967="國","國定假日",IF($B967="日","例假",IF($B967="六","休息日","平日"))))</f>
        <v/>
      </c>
      <c r="S967" s="19" t="n"/>
    </row>
    <row r="968">
      <c r="A968" s="82">
        <f>IF(OR(助理班表!$A36="",5&gt;DAY(EOMONTH(DATE(設定!$C$2,設定!$D$2,1),0))),"",DATE(設定!$C$2,設定!$D$2,5))</f>
        <v/>
      </c>
      <c r="B968" s="16">
        <f>IF($A968="","",INDEX(設定!$O$6:$O$12,WEEKDAY($A968,1)))</f>
        <v/>
      </c>
      <c r="C968" s="16">
        <f>IF($A968="","",助理班表!$A36)</f>
        <v/>
      </c>
      <c r="D968" s="16">
        <f>IF($C968="","",助理班表!$B36)</f>
        <v/>
      </c>
      <c r="E968" s="16">
        <f>IF($C968="","",助理班表!$D36)</f>
        <v/>
      </c>
      <c r="F968" s="16">
        <f>IF($C968="","",助理班表!$C36)</f>
        <v/>
      </c>
      <c r="G968" s="16">
        <f>IF($C968="","",助理班表!I36)</f>
        <v/>
      </c>
      <c r="H968" s="83">
        <f>IF($G968="","",IFERROR(IF(INDEX(設定!$D$6:$D$21,MATCH($G968,設定!$B$6:$B$21,0))=0,"",INDEX(設定!$D$6:$D$21,MATCH($G968,設定!$B$6:$B$21,0))),""))</f>
        <v/>
      </c>
      <c r="I968" s="83">
        <f>IF($G968="","",IFERROR(IF(INDEX(設定!$E$6:$E$21,MATCH($G968,設定!$B$6:$B$21,0))=0,"",INDEX(設定!$E$6:$E$21,MATCH($G968,設定!$B$6:$B$21,0))),""))</f>
        <v/>
      </c>
      <c r="J968" s="83">
        <f>IFERROR(INDEX(打卡匯入!$C$3:$C$2002,MATCH($C968&amp;"|"&amp;DAY($A968),打卡匯入!$E$3:$E$2002,0)),"")</f>
        <v/>
      </c>
      <c r="K968" s="83">
        <f>IFERROR(INDEX(打卡匯入!$D$3:$D$2002,MATCH($C968&amp;"|"&amp;DAY($A968),打卡匯入!$E$3:$E$2002,0)),"")</f>
        <v/>
      </c>
      <c r="L968" s="84">
        <f>IF(OR($J968="",$K968=""),"",IFERROR(INDEX(設定!$F$6:$F$21,MATCH($G968,設定!$B$6:$B$21,0)),0))</f>
        <v/>
      </c>
      <c r="M968" s="85">
        <f>IF(OR($J968="",$K968=""),"",ROUND(($K968-$J968)*24-$L968/60,2))</f>
        <v/>
      </c>
      <c r="N968" s="16">
        <f>IF($C968="","",IF(AND(COUNTIF(設定!$B$15:$B$21,$G968)&gt;0,$J968&lt;&gt;""),"假日出勤",IF(AND(COUNTIF(設定!$B$6:$B$14,$G968)&gt;0,$J968=""),"未打卡",IF($J968="","",IF($O968&gt;0,"遲到",IF($P968&gt;0,"早退","正常"))))))</f>
        <v/>
      </c>
      <c r="O968" s="84">
        <f>IF(OR($C968="",$H968="",$J968=""),0,IF(ROUND(($J968-$H968)*1440,0)&gt;設定!$C$46,ROUND(($J968-$H968)*1440,0),0))</f>
        <v/>
      </c>
      <c r="P968" s="84">
        <f>IF(OR($C968="",$I968="",$K968=""),0,IF(ROUND(($I968-$K968)*1440,0)&gt;設定!$C$46,ROUND(($I968-$K968)*1440,0),0))</f>
        <v/>
      </c>
      <c r="Q968" s="85">
        <f>IF($M968="",0,IF(($M968-IFERROR(INDEX(設定!$G$6:$G$21,MATCH($G968,設定!$B$6:$B$21,0)),0))*60&gt;=設定!$C$44,ROUND(FLOOR(($M968-IFERROR(INDEX(設定!$G$6:$G$21,MATCH($G968,設定!$B$6:$B$21,0)),0))*60,設定!$C$45)/60,2),0))</f>
        <v/>
      </c>
      <c r="R968" s="16">
        <f>IF(OR($C968="",$Q968=0),"",IF($G968="國","國定假日",IF($B968="日","例假",IF($B968="六","休息日","平日"))))</f>
        <v/>
      </c>
      <c r="S968" s="19" t="n"/>
    </row>
    <row r="969">
      <c r="A969" s="82">
        <f>IF(OR(助理班表!$A36="",6&gt;DAY(EOMONTH(DATE(設定!$C$2,設定!$D$2,1),0))),"",DATE(設定!$C$2,設定!$D$2,6))</f>
        <v/>
      </c>
      <c r="B969" s="16">
        <f>IF($A969="","",INDEX(設定!$O$6:$O$12,WEEKDAY($A969,1)))</f>
        <v/>
      </c>
      <c r="C969" s="16">
        <f>IF($A969="","",助理班表!$A36)</f>
        <v/>
      </c>
      <c r="D969" s="16">
        <f>IF($C969="","",助理班表!$B36)</f>
        <v/>
      </c>
      <c r="E969" s="16">
        <f>IF($C969="","",助理班表!$D36)</f>
        <v/>
      </c>
      <c r="F969" s="16">
        <f>IF($C969="","",助理班表!$C36)</f>
        <v/>
      </c>
      <c r="G969" s="16">
        <f>IF($C969="","",助理班表!J36)</f>
        <v/>
      </c>
      <c r="H969" s="83">
        <f>IF($G969="","",IFERROR(IF(INDEX(設定!$D$6:$D$21,MATCH($G969,設定!$B$6:$B$21,0))=0,"",INDEX(設定!$D$6:$D$21,MATCH($G969,設定!$B$6:$B$21,0))),""))</f>
        <v/>
      </c>
      <c r="I969" s="83">
        <f>IF($G969="","",IFERROR(IF(INDEX(設定!$E$6:$E$21,MATCH($G969,設定!$B$6:$B$21,0))=0,"",INDEX(設定!$E$6:$E$21,MATCH($G969,設定!$B$6:$B$21,0))),""))</f>
        <v/>
      </c>
      <c r="J969" s="83">
        <f>IFERROR(INDEX(打卡匯入!$C$3:$C$2002,MATCH($C969&amp;"|"&amp;DAY($A969),打卡匯入!$E$3:$E$2002,0)),"")</f>
        <v/>
      </c>
      <c r="K969" s="83">
        <f>IFERROR(INDEX(打卡匯入!$D$3:$D$2002,MATCH($C969&amp;"|"&amp;DAY($A969),打卡匯入!$E$3:$E$2002,0)),"")</f>
        <v/>
      </c>
      <c r="L969" s="84">
        <f>IF(OR($J969="",$K969=""),"",IFERROR(INDEX(設定!$F$6:$F$21,MATCH($G969,設定!$B$6:$B$21,0)),0))</f>
        <v/>
      </c>
      <c r="M969" s="85">
        <f>IF(OR($J969="",$K969=""),"",ROUND(($K969-$J969)*24-$L969/60,2))</f>
        <v/>
      </c>
      <c r="N969" s="16">
        <f>IF($C969="","",IF(AND(COUNTIF(設定!$B$15:$B$21,$G969)&gt;0,$J969&lt;&gt;""),"假日出勤",IF(AND(COUNTIF(設定!$B$6:$B$14,$G969)&gt;0,$J969=""),"未打卡",IF($J969="","",IF($O969&gt;0,"遲到",IF($P969&gt;0,"早退","正常"))))))</f>
        <v/>
      </c>
      <c r="O969" s="84">
        <f>IF(OR($C969="",$H969="",$J969=""),0,IF(ROUND(($J969-$H969)*1440,0)&gt;設定!$C$46,ROUND(($J969-$H969)*1440,0),0))</f>
        <v/>
      </c>
      <c r="P969" s="84">
        <f>IF(OR($C969="",$I969="",$K969=""),0,IF(ROUND(($I969-$K969)*1440,0)&gt;設定!$C$46,ROUND(($I969-$K969)*1440,0),0))</f>
        <v/>
      </c>
      <c r="Q969" s="85">
        <f>IF($M969="",0,IF(($M969-IFERROR(INDEX(設定!$G$6:$G$21,MATCH($G969,設定!$B$6:$B$21,0)),0))*60&gt;=設定!$C$44,ROUND(FLOOR(($M969-IFERROR(INDEX(設定!$G$6:$G$21,MATCH($G969,設定!$B$6:$B$21,0)),0))*60,設定!$C$45)/60,2),0))</f>
        <v/>
      </c>
      <c r="R969" s="16">
        <f>IF(OR($C969="",$Q969=0),"",IF($G969="國","國定假日",IF($B969="日","例假",IF($B969="六","休息日","平日"))))</f>
        <v/>
      </c>
      <c r="S969" s="19" t="n"/>
    </row>
    <row r="970">
      <c r="A970" s="82">
        <f>IF(OR(助理班表!$A36="",7&gt;DAY(EOMONTH(DATE(設定!$C$2,設定!$D$2,1),0))),"",DATE(設定!$C$2,設定!$D$2,7))</f>
        <v/>
      </c>
      <c r="B970" s="16">
        <f>IF($A970="","",INDEX(設定!$O$6:$O$12,WEEKDAY($A970,1)))</f>
        <v/>
      </c>
      <c r="C970" s="16">
        <f>IF($A970="","",助理班表!$A36)</f>
        <v/>
      </c>
      <c r="D970" s="16">
        <f>IF($C970="","",助理班表!$B36)</f>
        <v/>
      </c>
      <c r="E970" s="16">
        <f>IF($C970="","",助理班表!$D36)</f>
        <v/>
      </c>
      <c r="F970" s="16">
        <f>IF($C970="","",助理班表!$C36)</f>
        <v/>
      </c>
      <c r="G970" s="16">
        <f>IF($C970="","",助理班表!K36)</f>
        <v/>
      </c>
      <c r="H970" s="83">
        <f>IF($G970="","",IFERROR(IF(INDEX(設定!$D$6:$D$21,MATCH($G970,設定!$B$6:$B$21,0))=0,"",INDEX(設定!$D$6:$D$21,MATCH($G970,設定!$B$6:$B$21,0))),""))</f>
        <v/>
      </c>
      <c r="I970" s="83">
        <f>IF($G970="","",IFERROR(IF(INDEX(設定!$E$6:$E$21,MATCH($G970,設定!$B$6:$B$21,0))=0,"",INDEX(設定!$E$6:$E$21,MATCH($G970,設定!$B$6:$B$21,0))),""))</f>
        <v/>
      </c>
      <c r="J970" s="83">
        <f>IFERROR(INDEX(打卡匯入!$C$3:$C$2002,MATCH($C970&amp;"|"&amp;DAY($A970),打卡匯入!$E$3:$E$2002,0)),"")</f>
        <v/>
      </c>
      <c r="K970" s="83">
        <f>IFERROR(INDEX(打卡匯入!$D$3:$D$2002,MATCH($C970&amp;"|"&amp;DAY($A970),打卡匯入!$E$3:$E$2002,0)),"")</f>
        <v/>
      </c>
      <c r="L970" s="84">
        <f>IF(OR($J970="",$K970=""),"",IFERROR(INDEX(設定!$F$6:$F$21,MATCH($G970,設定!$B$6:$B$21,0)),0))</f>
        <v/>
      </c>
      <c r="M970" s="85">
        <f>IF(OR($J970="",$K970=""),"",ROUND(($K970-$J970)*24-$L970/60,2))</f>
        <v/>
      </c>
      <c r="N970" s="16">
        <f>IF($C970="","",IF(AND(COUNTIF(設定!$B$15:$B$21,$G970)&gt;0,$J970&lt;&gt;""),"假日出勤",IF(AND(COUNTIF(設定!$B$6:$B$14,$G970)&gt;0,$J970=""),"未打卡",IF($J970="","",IF($O970&gt;0,"遲到",IF($P970&gt;0,"早退","正常"))))))</f>
        <v/>
      </c>
      <c r="O970" s="84">
        <f>IF(OR($C970="",$H970="",$J970=""),0,IF(ROUND(($J970-$H970)*1440,0)&gt;設定!$C$46,ROUND(($J970-$H970)*1440,0),0))</f>
        <v/>
      </c>
      <c r="P970" s="84">
        <f>IF(OR($C970="",$I970="",$K970=""),0,IF(ROUND(($I970-$K970)*1440,0)&gt;設定!$C$46,ROUND(($I970-$K970)*1440,0),0))</f>
        <v/>
      </c>
      <c r="Q970" s="85">
        <f>IF($M970="",0,IF(($M970-IFERROR(INDEX(設定!$G$6:$G$21,MATCH($G970,設定!$B$6:$B$21,0)),0))*60&gt;=設定!$C$44,ROUND(FLOOR(($M970-IFERROR(INDEX(設定!$G$6:$G$21,MATCH($G970,設定!$B$6:$B$21,0)),0))*60,設定!$C$45)/60,2),0))</f>
        <v/>
      </c>
      <c r="R970" s="16">
        <f>IF(OR($C970="",$Q970=0),"",IF($G970="國","國定假日",IF($B970="日","例假",IF($B970="六","休息日","平日"))))</f>
        <v/>
      </c>
      <c r="S970" s="19" t="n"/>
    </row>
    <row r="971">
      <c r="A971" s="82">
        <f>IF(OR(助理班表!$A36="",8&gt;DAY(EOMONTH(DATE(設定!$C$2,設定!$D$2,1),0))),"",DATE(設定!$C$2,設定!$D$2,8))</f>
        <v/>
      </c>
      <c r="B971" s="16">
        <f>IF($A971="","",INDEX(設定!$O$6:$O$12,WEEKDAY($A971,1)))</f>
        <v/>
      </c>
      <c r="C971" s="16">
        <f>IF($A971="","",助理班表!$A36)</f>
        <v/>
      </c>
      <c r="D971" s="16">
        <f>IF($C971="","",助理班表!$B36)</f>
        <v/>
      </c>
      <c r="E971" s="16">
        <f>IF($C971="","",助理班表!$D36)</f>
        <v/>
      </c>
      <c r="F971" s="16">
        <f>IF($C971="","",助理班表!$C36)</f>
        <v/>
      </c>
      <c r="G971" s="16">
        <f>IF($C971="","",助理班表!L36)</f>
        <v/>
      </c>
      <c r="H971" s="83">
        <f>IF($G971="","",IFERROR(IF(INDEX(設定!$D$6:$D$21,MATCH($G971,設定!$B$6:$B$21,0))=0,"",INDEX(設定!$D$6:$D$21,MATCH($G971,設定!$B$6:$B$21,0))),""))</f>
        <v/>
      </c>
      <c r="I971" s="83">
        <f>IF($G971="","",IFERROR(IF(INDEX(設定!$E$6:$E$21,MATCH($G971,設定!$B$6:$B$21,0))=0,"",INDEX(設定!$E$6:$E$21,MATCH($G971,設定!$B$6:$B$21,0))),""))</f>
        <v/>
      </c>
      <c r="J971" s="83">
        <f>IFERROR(INDEX(打卡匯入!$C$3:$C$2002,MATCH($C971&amp;"|"&amp;DAY($A971),打卡匯入!$E$3:$E$2002,0)),"")</f>
        <v/>
      </c>
      <c r="K971" s="83">
        <f>IFERROR(INDEX(打卡匯入!$D$3:$D$2002,MATCH($C971&amp;"|"&amp;DAY($A971),打卡匯入!$E$3:$E$2002,0)),"")</f>
        <v/>
      </c>
      <c r="L971" s="84">
        <f>IF(OR($J971="",$K971=""),"",IFERROR(INDEX(設定!$F$6:$F$21,MATCH($G971,設定!$B$6:$B$21,0)),0))</f>
        <v/>
      </c>
      <c r="M971" s="85">
        <f>IF(OR($J971="",$K971=""),"",ROUND(($K971-$J971)*24-$L971/60,2))</f>
        <v/>
      </c>
      <c r="N971" s="16">
        <f>IF($C971="","",IF(AND(COUNTIF(設定!$B$15:$B$21,$G971)&gt;0,$J971&lt;&gt;""),"假日出勤",IF(AND(COUNTIF(設定!$B$6:$B$14,$G971)&gt;0,$J971=""),"未打卡",IF($J971="","",IF($O971&gt;0,"遲到",IF($P971&gt;0,"早退","正常"))))))</f>
        <v/>
      </c>
      <c r="O971" s="84">
        <f>IF(OR($C971="",$H971="",$J971=""),0,IF(ROUND(($J971-$H971)*1440,0)&gt;設定!$C$46,ROUND(($J971-$H971)*1440,0),0))</f>
        <v/>
      </c>
      <c r="P971" s="84">
        <f>IF(OR($C971="",$I971="",$K971=""),0,IF(ROUND(($I971-$K971)*1440,0)&gt;設定!$C$46,ROUND(($I971-$K971)*1440,0),0))</f>
        <v/>
      </c>
      <c r="Q971" s="85">
        <f>IF($M971="",0,IF(($M971-IFERROR(INDEX(設定!$G$6:$G$21,MATCH($G971,設定!$B$6:$B$21,0)),0))*60&gt;=設定!$C$44,ROUND(FLOOR(($M971-IFERROR(INDEX(設定!$G$6:$G$21,MATCH($G971,設定!$B$6:$B$21,0)),0))*60,設定!$C$45)/60,2),0))</f>
        <v/>
      </c>
      <c r="R971" s="16">
        <f>IF(OR($C971="",$Q971=0),"",IF($G971="國","國定假日",IF($B971="日","例假",IF($B971="六","休息日","平日"))))</f>
        <v/>
      </c>
      <c r="S971" s="19" t="n"/>
    </row>
    <row r="972">
      <c r="A972" s="82">
        <f>IF(OR(助理班表!$A36="",9&gt;DAY(EOMONTH(DATE(設定!$C$2,設定!$D$2,1),0))),"",DATE(設定!$C$2,設定!$D$2,9))</f>
        <v/>
      </c>
      <c r="B972" s="16">
        <f>IF($A972="","",INDEX(設定!$O$6:$O$12,WEEKDAY($A972,1)))</f>
        <v/>
      </c>
      <c r="C972" s="16">
        <f>IF($A972="","",助理班表!$A36)</f>
        <v/>
      </c>
      <c r="D972" s="16">
        <f>IF($C972="","",助理班表!$B36)</f>
        <v/>
      </c>
      <c r="E972" s="16">
        <f>IF($C972="","",助理班表!$D36)</f>
        <v/>
      </c>
      <c r="F972" s="16">
        <f>IF($C972="","",助理班表!$C36)</f>
        <v/>
      </c>
      <c r="G972" s="16">
        <f>IF($C972="","",助理班表!M36)</f>
        <v/>
      </c>
      <c r="H972" s="83">
        <f>IF($G972="","",IFERROR(IF(INDEX(設定!$D$6:$D$21,MATCH($G972,設定!$B$6:$B$21,0))=0,"",INDEX(設定!$D$6:$D$21,MATCH($G972,設定!$B$6:$B$21,0))),""))</f>
        <v/>
      </c>
      <c r="I972" s="83">
        <f>IF($G972="","",IFERROR(IF(INDEX(設定!$E$6:$E$21,MATCH($G972,設定!$B$6:$B$21,0))=0,"",INDEX(設定!$E$6:$E$21,MATCH($G972,設定!$B$6:$B$21,0))),""))</f>
        <v/>
      </c>
      <c r="J972" s="83">
        <f>IFERROR(INDEX(打卡匯入!$C$3:$C$2002,MATCH($C972&amp;"|"&amp;DAY($A972),打卡匯入!$E$3:$E$2002,0)),"")</f>
        <v/>
      </c>
      <c r="K972" s="83">
        <f>IFERROR(INDEX(打卡匯入!$D$3:$D$2002,MATCH($C972&amp;"|"&amp;DAY($A972),打卡匯入!$E$3:$E$2002,0)),"")</f>
        <v/>
      </c>
      <c r="L972" s="84">
        <f>IF(OR($J972="",$K972=""),"",IFERROR(INDEX(設定!$F$6:$F$21,MATCH($G972,設定!$B$6:$B$21,0)),0))</f>
        <v/>
      </c>
      <c r="M972" s="85">
        <f>IF(OR($J972="",$K972=""),"",ROUND(($K972-$J972)*24-$L972/60,2))</f>
        <v/>
      </c>
      <c r="N972" s="16">
        <f>IF($C972="","",IF(AND(COUNTIF(設定!$B$15:$B$21,$G972)&gt;0,$J972&lt;&gt;""),"假日出勤",IF(AND(COUNTIF(設定!$B$6:$B$14,$G972)&gt;0,$J972=""),"未打卡",IF($J972="","",IF($O972&gt;0,"遲到",IF($P972&gt;0,"早退","正常"))))))</f>
        <v/>
      </c>
      <c r="O972" s="84">
        <f>IF(OR($C972="",$H972="",$J972=""),0,IF(ROUND(($J972-$H972)*1440,0)&gt;設定!$C$46,ROUND(($J972-$H972)*1440,0),0))</f>
        <v/>
      </c>
      <c r="P972" s="84">
        <f>IF(OR($C972="",$I972="",$K972=""),0,IF(ROUND(($I972-$K972)*1440,0)&gt;設定!$C$46,ROUND(($I972-$K972)*1440,0),0))</f>
        <v/>
      </c>
      <c r="Q972" s="85">
        <f>IF($M972="",0,IF(($M972-IFERROR(INDEX(設定!$G$6:$G$21,MATCH($G972,設定!$B$6:$B$21,0)),0))*60&gt;=設定!$C$44,ROUND(FLOOR(($M972-IFERROR(INDEX(設定!$G$6:$G$21,MATCH($G972,設定!$B$6:$B$21,0)),0))*60,設定!$C$45)/60,2),0))</f>
        <v/>
      </c>
      <c r="R972" s="16">
        <f>IF(OR($C972="",$Q972=0),"",IF($G972="國","國定假日",IF($B972="日","例假",IF($B972="六","休息日","平日"))))</f>
        <v/>
      </c>
      <c r="S972" s="19" t="n"/>
    </row>
    <row r="973">
      <c r="A973" s="82">
        <f>IF(OR(助理班表!$A36="",10&gt;DAY(EOMONTH(DATE(設定!$C$2,設定!$D$2,1),0))),"",DATE(設定!$C$2,設定!$D$2,10))</f>
        <v/>
      </c>
      <c r="B973" s="16">
        <f>IF($A973="","",INDEX(設定!$O$6:$O$12,WEEKDAY($A973,1)))</f>
        <v/>
      </c>
      <c r="C973" s="16">
        <f>IF($A973="","",助理班表!$A36)</f>
        <v/>
      </c>
      <c r="D973" s="16">
        <f>IF($C973="","",助理班表!$B36)</f>
        <v/>
      </c>
      <c r="E973" s="16">
        <f>IF($C973="","",助理班表!$D36)</f>
        <v/>
      </c>
      <c r="F973" s="16">
        <f>IF($C973="","",助理班表!$C36)</f>
        <v/>
      </c>
      <c r="G973" s="16">
        <f>IF($C973="","",助理班表!N36)</f>
        <v/>
      </c>
      <c r="H973" s="83">
        <f>IF($G973="","",IFERROR(IF(INDEX(設定!$D$6:$D$21,MATCH($G973,設定!$B$6:$B$21,0))=0,"",INDEX(設定!$D$6:$D$21,MATCH($G973,設定!$B$6:$B$21,0))),""))</f>
        <v/>
      </c>
      <c r="I973" s="83">
        <f>IF($G973="","",IFERROR(IF(INDEX(設定!$E$6:$E$21,MATCH($G973,設定!$B$6:$B$21,0))=0,"",INDEX(設定!$E$6:$E$21,MATCH($G973,設定!$B$6:$B$21,0))),""))</f>
        <v/>
      </c>
      <c r="J973" s="83">
        <f>IFERROR(INDEX(打卡匯入!$C$3:$C$2002,MATCH($C973&amp;"|"&amp;DAY($A973),打卡匯入!$E$3:$E$2002,0)),"")</f>
        <v/>
      </c>
      <c r="K973" s="83">
        <f>IFERROR(INDEX(打卡匯入!$D$3:$D$2002,MATCH($C973&amp;"|"&amp;DAY($A973),打卡匯入!$E$3:$E$2002,0)),"")</f>
        <v/>
      </c>
      <c r="L973" s="84">
        <f>IF(OR($J973="",$K973=""),"",IFERROR(INDEX(設定!$F$6:$F$21,MATCH($G973,設定!$B$6:$B$21,0)),0))</f>
        <v/>
      </c>
      <c r="M973" s="85">
        <f>IF(OR($J973="",$K973=""),"",ROUND(($K973-$J973)*24-$L973/60,2))</f>
        <v/>
      </c>
      <c r="N973" s="16">
        <f>IF($C973="","",IF(AND(COUNTIF(設定!$B$15:$B$21,$G973)&gt;0,$J973&lt;&gt;""),"假日出勤",IF(AND(COUNTIF(設定!$B$6:$B$14,$G973)&gt;0,$J973=""),"未打卡",IF($J973="","",IF($O973&gt;0,"遲到",IF($P973&gt;0,"早退","正常"))))))</f>
        <v/>
      </c>
      <c r="O973" s="84">
        <f>IF(OR($C973="",$H973="",$J973=""),0,IF(ROUND(($J973-$H973)*1440,0)&gt;設定!$C$46,ROUND(($J973-$H973)*1440,0),0))</f>
        <v/>
      </c>
      <c r="P973" s="84">
        <f>IF(OR($C973="",$I973="",$K973=""),0,IF(ROUND(($I973-$K973)*1440,0)&gt;設定!$C$46,ROUND(($I973-$K973)*1440,0),0))</f>
        <v/>
      </c>
      <c r="Q973" s="85">
        <f>IF($M973="",0,IF(($M973-IFERROR(INDEX(設定!$G$6:$G$21,MATCH($G973,設定!$B$6:$B$21,0)),0))*60&gt;=設定!$C$44,ROUND(FLOOR(($M973-IFERROR(INDEX(設定!$G$6:$G$21,MATCH($G973,設定!$B$6:$B$21,0)),0))*60,設定!$C$45)/60,2),0))</f>
        <v/>
      </c>
      <c r="R973" s="16">
        <f>IF(OR($C973="",$Q973=0),"",IF($G973="國","國定假日",IF($B973="日","例假",IF($B973="六","休息日","平日"))))</f>
        <v/>
      </c>
      <c r="S973" s="19" t="n"/>
    </row>
    <row r="974">
      <c r="A974" s="82">
        <f>IF(OR(助理班表!$A36="",11&gt;DAY(EOMONTH(DATE(設定!$C$2,設定!$D$2,1),0))),"",DATE(設定!$C$2,設定!$D$2,11))</f>
        <v/>
      </c>
      <c r="B974" s="16">
        <f>IF($A974="","",INDEX(設定!$O$6:$O$12,WEEKDAY($A974,1)))</f>
        <v/>
      </c>
      <c r="C974" s="16">
        <f>IF($A974="","",助理班表!$A36)</f>
        <v/>
      </c>
      <c r="D974" s="16">
        <f>IF($C974="","",助理班表!$B36)</f>
        <v/>
      </c>
      <c r="E974" s="16">
        <f>IF($C974="","",助理班表!$D36)</f>
        <v/>
      </c>
      <c r="F974" s="16">
        <f>IF($C974="","",助理班表!$C36)</f>
        <v/>
      </c>
      <c r="G974" s="16">
        <f>IF($C974="","",助理班表!O36)</f>
        <v/>
      </c>
      <c r="H974" s="83">
        <f>IF($G974="","",IFERROR(IF(INDEX(設定!$D$6:$D$21,MATCH($G974,設定!$B$6:$B$21,0))=0,"",INDEX(設定!$D$6:$D$21,MATCH($G974,設定!$B$6:$B$21,0))),""))</f>
        <v/>
      </c>
      <c r="I974" s="83">
        <f>IF($G974="","",IFERROR(IF(INDEX(設定!$E$6:$E$21,MATCH($G974,設定!$B$6:$B$21,0))=0,"",INDEX(設定!$E$6:$E$21,MATCH($G974,設定!$B$6:$B$21,0))),""))</f>
        <v/>
      </c>
      <c r="J974" s="83">
        <f>IFERROR(INDEX(打卡匯入!$C$3:$C$2002,MATCH($C974&amp;"|"&amp;DAY($A974),打卡匯入!$E$3:$E$2002,0)),"")</f>
        <v/>
      </c>
      <c r="K974" s="83">
        <f>IFERROR(INDEX(打卡匯入!$D$3:$D$2002,MATCH($C974&amp;"|"&amp;DAY($A974),打卡匯入!$E$3:$E$2002,0)),"")</f>
        <v/>
      </c>
      <c r="L974" s="84">
        <f>IF(OR($J974="",$K974=""),"",IFERROR(INDEX(設定!$F$6:$F$21,MATCH($G974,設定!$B$6:$B$21,0)),0))</f>
        <v/>
      </c>
      <c r="M974" s="85">
        <f>IF(OR($J974="",$K974=""),"",ROUND(($K974-$J974)*24-$L974/60,2))</f>
        <v/>
      </c>
      <c r="N974" s="16">
        <f>IF($C974="","",IF(AND(COUNTIF(設定!$B$15:$B$21,$G974)&gt;0,$J974&lt;&gt;""),"假日出勤",IF(AND(COUNTIF(設定!$B$6:$B$14,$G974)&gt;0,$J974=""),"未打卡",IF($J974="","",IF($O974&gt;0,"遲到",IF($P974&gt;0,"早退","正常"))))))</f>
        <v/>
      </c>
      <c r="O974" s="84">
        <f>IF(OR($C974="",$H974="",$J974=""),0,IF(ROUND(($J974-$H974)*1440,0)&gt;設定!$C$46,ROUND(($J974-$H974)*1440,0),0))</f>
        <v/>
      </c>
      <c r="P974" s="84">
        <f>IF(OR($C974="",$I974="",$K974=""),0,IF(ROUND(($I974-$K974)*1440,0)&gt;設定!$C$46,ROUND(($I974-$K974)*1440,0),0))</f>
        <v/>
      </c>
      <c r="Q974" s="85">
        <f>IF($M974="",0,IF(($M974-IFERROR(INDEX(設定!$G$6:$G$21,MATCH($G974,設定!$B$6:$B$21,0)),0))*60&gt;=設定!$C$44,ROUND(FLOOR(($M974-IFERROR(INDEX(設定!$G$6:$G$21,MATCH($G974,設定!$B$6:$B$21,0)),0))*60,設定!$C$45)/60,2),0))</f>
        <v/>
      </c>
      <c r="R974" s="16">
        <f>IF(OR($C974="",$Q974=0),"",IF($G974="國","國定假日",IF($B974="日","例假",IF($B974="六","休息日","平日"))))</f>
        <v/>
      </c>
      <c r="S974" s="19" t="n"/>
    </row>
    <row r="975">
      <c r="A975" s="82">
        <f>IF(OR(助理班表!$A36="",12&gt;DAY(EOMONTH(DATE(設定!$C$2,設定!$D$2,1),0))),"",DATE(設定!$C$2,設定!$D$2,12))</f>
        <v/>
      </c>
      <c r="B975" s="16">
        <f>IF($A975="","",INDEX(設定!$O$6:$O$12,WEEKDAY($A975,1)))</f>
        <v/>
      </c>
      <c r="C975" s="16">
        <f>IF($A975="","",助理班表!$A36)</f>
        <v/>
      </c>
      <c r="D975" s="16">
        <f>IF($C975="","",助理班表!$B36)</f>
        <v/>
      </c>
      <c r="E975" s="16">
        <f>IF($C975="","",助理班表!$D36)</f>
        <v/>
      </c>
      <c r="F975" s="16">
        <f>IF($C975="","",助理班表!$C36)</f>
        <v/>
      </c>
      <c r="G975" s="16">
        <f>IF($C975="","",助理班表!P36)</f>
        <v/>
      </c>
      <c r="H975" s="83">
        <f>IF($G975="","",IFERROR(IF(INDEX(設定!$D$6:$D$21,MATCH($G975,設定!$B$6:$B$21,0))=0,"",INDEX(設定!$D$6:$D$21,MATCH($G975,設定!$B$6:$B$21,0))),""))</f>
        <v/>
      </c>
      <c r="I975" s="83">
        <f>IF($G975="","",IFERROR(IF(INDEX(設定!$E$6:$E$21,MATCH($G975,設定!$B$6:$B$21,0))=0,"",INDEX(設定!$E$6:$E$21,MATCH($G975,設定!$B$6:$B$21,0))),""))</f>
        <v/>
      </c>
      <c r="J975" s="83">
        <f>IFERROR(INDEX(打卡匯入!$C$3:$C$2002,MATCH($C975&amp;"|"&amp;DAY($A975),打卡匯入!$E$3:$E$2002,0)),"")</f>
        <v/>
      </c>
      <c r="K975" s="83">
        <f>IFERROR(INDEX(打卡匯入!$D$3:$D$2002,MATCH($C975&amp;"|"&amp;DAY($A975),打卡匯入!$E$3:$E$2002,0)),"")</f>
        <v/>
      </c>
      <c r="L975" s="84">
        <f>IF(OR($J975="",$K975=""),"",IFERROR(INDEX(設定!$F$6:$F$21,MATCH($G975,設定!$B$6:$B$21,0)),0))</f>
        <v/>
      </c>
      <c r="M975" s="85">
        <f>IF(OR($J975="",$K975=""),"",ROUND(($K975-$J975)*24-$L975/60,2))</f>
        <v/>
      </c>
      <c r="N975" s="16">
        <f>IF($C975="","",IF(AND(COUNTIF(設定!$B$15:$B$21,$G975)&gt;0,$J975&lt;&gt;""),"假日出勤",IF(AND(COUNTIF(設定!$B$6:$B$14,$G975)&gt;0,$J975=""),"未打卡",IF($J975="","",IF($O975&gt;0,"遲到",IF($P975&gt;0,"早退","正常"))))))</f>
        <v/>
      </c>
      <c r="O975" s="84">
        <f>IF(OR($C975="",$H975="",$J975=""),0,IF(ROUND(($J975-$H975)*1440,0)&gt;設定!$C$46,ROUND(($J975-$H975)*1440,0),0))</f>
        <v/>
      </c>
      <c r="P975" s="84">
        <f>IF(OR($C975="",$I975="",$K975=""),0,IF(ROUND(($I975-$K975)*1440,0)&gt;設定!$C$46,ROUND(($I975-$K975)*1440,0),0))</f>
        <v/>
      </c>
      <c r="Q975" s="85">
        <f>IF($M975="",0,IF(($M975-IFERROR(INDEX(設定!$G$6:$G$21,MATCH($G975,設定!$B$6:$B$21,0)),0))*60&gt;=設定!$C$44,ROUND(FLOOR(($M975-IFERROR(INDEX(設定!$G$6:$G$21,MATCH($G975,設定!$B$6:$B$21,0)),0))*60,設定!$C$45)/60,2),0))</f>
        <v/>
      </c>
      <c r="R975" s="16">
        <f>IF(OR($C975="",$Q975=0),"",IF($G975="國","國定假日",IF($B975="日","例假",IF($B975="六","休息日","平日"))))</f>
        <v/>
      </c>
      <c r="S975" s="19" t="n"/>
    </row>
    <row r="976">
      <c r="A976" s="82">
        <f>IF(OR(助理班表!$A36="",13&gt;DAY(EOMONTH(DATE(設定!$C$2,設定!$D$2,1),0))),"",DATE(設定!$C$2,設定!$D$2,13))</f>
        <v/>
      </c>
      <c r="B976" s="16">
        <f>IF($A976="","",INDEX(設定!$O$6:$O$12,WEEKDAY($A976,1)))</f>
        <v/>
      </c>
      <c r="C976" s="16">
        <f>IF($A976="","",助理班表!$A36)</f>
        <v/>
      </c>
      <c r="D976" s="16">
        <f>IF($C976="","",助理班表!$B36)</f>
        <v/>
      </c>
      <c r="E976" s="16">
        <f>IF($C976="","",助理班表!$D36)</f>
        <v/>
      </c>
      <c r="F976" s="16">
        <f>IF($C976="","",助理班表!$C36)</f>
        <v/>
      </c>
      <c r="G976" s="16">
        <f>IF($C976="","",助理班表!Q36)</f>
        <v/>
      </c>
      <c r="H976" s="83">
        <f>IF($G976="","",IFERROR(IF(INDEX(設定!$D$6:$D$21,MATCH($G976,設定!$B$6:$B$21,0))=0,"",INDEX(設定!$D$6:$D$21,MATCH($G976,設定!$B$6:$B$21,0))),""))</f>
        <v/>
      </c>
      <c r="I976" s="83">
        <f>IF($G976="","",IFERROR(IF(INDEX(設定!$E$6:$E$21,MATCH($G976,設定!$B$6:$B$21,0))=0,"",INDEX(設定!$E$6:$E$21,MATCH($G976,設定!$B$6:$B$21,0))),""))</f>
        <v/>
      </c>
      <c r="J976" s="83">
        <f>IFERROR(INDEX(打卡匯入!$C$3:$C$2002,MATCH($C976&amp;"|"&amp;DAY($A976),打卡匯入!$E$3:$E$2002,0)),"")</f>
        <v/>
      </c>
      <c r="K976" s="83">
        <f>IFERROR(INDEX(打卡匯入!$D$3:$D$2002,MATCH($C976&amp;"|"&amp;DAY($A976),打卡匯入!$E$3:$E$2002,0)),"")</f>
        <v/>
      </c>
      <c r="L976" s="84">
        <f>IF(OR($J976="",$K976=""),"",IFERROR(INDEX(設定!$F$6:$F$21,MATCH($G976,設定!$B$6:$B$21,0)),0))</f>
        <v/>
      </c>
      <c r="M976" s="85">
        <f>IF(OR($J976="",$K976=""),"",ROUND(($K976-$J976)*24-$L976/60,2))</f>
        <v/>
      </c>
      <c r="N976" s="16">
        <f>IF($C976="","",IF(AND(COUNTIF(設定!$B$15:$B$21,$G976)&gt;0,$J976&lt;&gt;""),"假日出勤",IF(AND(COUNTIF(設定!$B$6:$B$14,$G976)&gt;0,$J976=""),"未打卡",IF($J976="","",IF($O976&gt;0,"遲到",IF($P976&gt;0,"早退","正常"))))))</f>
        <v/>
      </c>
      <c r="O976" s="84">
        <f>IF(OR($C976="",$H976="",$J976=""),0,IF(ROUND(($J976-$H976)*1440,0)&gt;設定!$C$46,ROUND(($J976-$H976)*1440,0),0))</f>
        <v/>
      </c>
      <c r="P976" s="84">
        <f>IF(OR($C976="",$I976="",$K976=""),0,IF(ROUND(($I976-$K976)*1440,0)&gt;設定!$C$46,ROUND(($I976-$K976)*1440,0),0))</f>
        <v/>
      </c>
      <c r="Q976" s="85">
        <f>IF($M976="",0,IF(($M976-IFERROR(INDEX(設定!$G$6:$G$21,MATCH($G976,設定!$B$6:$B$21,0)),0))*60&gt;=設定!$C$44,ROUND(FLOOR(($M976-IFERROR(INDEX(設定!$G$6:$G$21,MATCH($G976,設定!$B$6:$B$21,0)),0))*60,設定!$C$45)/60,2),0))</f>
        <v/>
      </c>
      <c r="R976" s="16">
        <f>IF(OR($C976="",$Q976=0),"",IF($G976="國","國定假日",IF($B976="日","例假",IF($B976="六","休息日","平日"))))</f>
        <v/>
      </c>
      <c r="S976" s="19" t="n"/>
    </row>
    <row r="977">
      <c r="A977" s="82">
        <f>IF(OR(助理班表!$A36="",14&gt;DAY(EOMONTH(DATE(設定!$C$2,設定!$D$2,1),0))),"",DATE(設定!$C$2,設定!$D$2,14))</f>
        <v/>
      </c>
      <c r="B977" s="16">
        <f>IF($A977="","",INDEX(設定!$O$6:$O$12,WEEKDAY($A977,1)))</f>
        <v/>
      </c>
      <c r="C977" s="16">
        <f>IF($A977="","",助理班表!$A36)</f>
        <v/>
      </c>
      <c r="D977" s="16">
        <f>IF($C977="","",助理班表!$B36)</f>
        <v/>
      </c>
      <c r="E977" s="16">
        <f>IF($C977="","",助理班表!$D36)</f>
        <v/>
      </c>
      <c r="F977" s="16">
        <f>IF($C977="","",助理班表!$C36)</f>
        <v/>
      </c>
      <c r="G977" s="16">
        <f>IF($C977="","",助理班表!R36)</f>
        <v/>
      </c>
      <c r="H977" s="83">
        <f>IF($G977="","",IFERROR(IF(INDEX(設定!$D$6:$D$21,MATCH($G977,設定!$B$6:$B$21,0))=0,"",INDEX(設定!$D$6:$D$21,MATCH($G977,設定!$B$6:$B$21,0))),""))</f>
        <v/>
      </c>
      <c r="I977" s="83">
        <f>IF($G977="","",IFERROR(IF(INDEX(設定!$E$6:$E$21,MATCH($G977,設定!$B$6:$B$21,0))=0,"",INDEX(設定!$E$6:$E$21,MATCH($G977,設定!$B$6:$B$21,0))),""))</f>
        <v/>
      </c>
      <c r="J977" s="83">
        <f>IFERROR(INDEX(打卡匯入!$C$3:$C$2002,MATCH($C977&amp;"|"&amp;DAY($A977),打卡匯入!$E$3:$E$2002,0)),"")</f>
        <v/>
      </c>
      <c r="K977" s="83">
        <f>IFERROR(INDEX(打卡匯入!$D$3:$D$2002,MATCH($C977&amp;"|"&amp;DAY($A977),打卡匯入!$E$3:$E$2002,0)),"")</f>
        <v/>
      </c>
      <c r="L977" s="84">
        <f>IF(OR($J977="",$K977=""),"",IFERROR(INDEX(設定!$F$6:$F$21,MATCH($G977,設定!$B$6:$B$21,0)),0))</f>
        <v/>
      </c>
      <c r="M977" s="85">
        <f>IF(OR($J977="",$K977=""),"",ROUND(($K977-$J977)*24-$L977/60,2))</f>
        <v/>
      </c>
      <c r="N977" s="16">
        <f>IF($C977="","",IF(AND(COUNTIF(設定!$B$15:$B$21,$G977)&gt;0,$J977&lt;&gt;""),"假日出勤",IF(AND(COUNTIF(設定!$B$6:$B$14,$G977)&gt;0,$J977=""),"未打卡",IF($J977="","",IF($O977&gt;0,"遲到",IF($P977&gt;0,"早退","正常"))))))</f>
        <v/>
      </c>
      <c r="O977" s="84">
        <f>IF(OR($C977="",$H977="",$J977=""),0,IF(ROUND(($J977-$H977)*1440,0)&gt;設定!$C$46,ROUND(($J977-$H977)*1440,0),0))</f>
        <v/>
      </c>
      <c r="P977" s="84">
        <f>IF(OR($C977="",$I977="",$K977=""),0,IF(ROUND(($I977-$K977)*1440,0)&gt;設定!$C$46,ROUND(($I977-$K977)*1440,0),0))</f>
        <v/>
      </c>
      <c r="Q977" s="85">
        <f>IF($M977="",0,IF(($M977-IFERROR(INDEX(設定!$G$6:$G$21,MATCH($G977,設定!$B$6:$B$21,0)),0))*60&gt;=設定!$C$44,ROUND(FLOOR(($M977-IFERROR(INDEX(設定!$G$6:$G$21,MATCH($G977,設定!$B$6:$B$21,0)),0))*60,設定!$C$45)/60,2),0))</f>
        <v/>
      </c>
      <c r="R977" s="16">
        <f>IF(OR($C977="",$Q977=0),"",IF($G977="國","國定假日",IF($B977="日","例假",IF($B977="六","休息日","平日"))))</f>
        <v/>
      </c>
      <c r="S977" s="19" t="n"/>
    </row>
    <row r="978">
      <c r="A978" s="82">
        <f>IF(OR(助理班表!$A36="",15&gt;DAY(EOMONTH(DATE(設定!$C$2,設定!$D$2,1),0))),"",DATE(設定!$C$2,設定!$D$2,15))</f>
        <v/>
      </c>
      <c r="B978" s="16">
        <f>IF($A978="","",INDEX(設定!$O$6:$O$12,WEEKDAY($A978,1)))</f>
        <v/>
      </c>
      <c r="C978" s="16">
        <f>IF($A978="","",助理班表!$A36)</f>
        <v/>
      </c>
      <c r="D978" s="16">
        <f>IF($C978="","",助理班表!$B36)</f>
        <v/>
      </c>
      <c r="E978" s="16">
        <f>IF($C978="","",助理班表!$D36)</f>
        <v/>
      </c>
      <c r="F978" s="16">
        <f>IF($C978="","",助理班表!$C36)</f>
        <v/>
      </c>
      <c r="G978" s="16">
        <f>IF($C978="","",助理班表!S36)</f>
        <v/>
      </c>
      <c r="H978" s="83">
        <f>IF($G978="","",IFERROR(IF(INDEX(設定!$D$6:$D$21,MATCH($G978,設定!$B$6:$B$21,0))=0,"",INDEX(設定!$D$6:$D$21,MATCH($G978,設定!$B$6:$B$21,0))),""))</f>
        <v/>
      </c>
      <c r="I978" s="83">
        <f>IF($G978="","",IFERROR(IF(INDEX(設定!$E$6:$E$21,MATCH($G978,設定!$B$6:$B$21,0))=0,"",INDEX(設定!$E$6:$E$21,MATCH($G978,設定!$B$6:$B$21,0))),""))</f>
        <v/>
      </c>
      <c r="J978" s="83">
        <f>IFERROR(INDEX(打卡匯入!$C$3:$C$2002,MATCH($C978&amp;"|"&amp;DAY($A978),打卡匯入!$E$3:$E$2002,0)),"")</f>
        <v/>
      </c>
      <c r="K978" s="83">
        <f>IFERROR(INDEX(打卡匯入!$D$3:$D$2002,MATCH($C978&amp;"|"&amp;DAY($A978),打卡匯入!$E$3:$E$2002,0)),"")</f>
        <v/>
      </c>
      <c r="L978" s="84">
        <f>IF(OR($J978="",$K978=""),"",IFERROR(INDEX(設定!$F$6:$F$21,MATCH($G978,設定!$B$6:$B$21,0)),0))</f>
        <v/>
      </c>
      <c r="M978" s="85">
        <f>IF(OR($J978="",$K978=""),"",ROUND(($K978-$J978)*24-$L978/60,2))</f>
        <v/>
      </c>
      <c r="N978" s="16">
        <f>IF($C978="","",IF(AND(COUNTIF(設定!$B$15:$B$21,$G978)&gt;0,$J978&lt;&gt;""),"假日出勤",IF(AND(COUNTIF(設定!$B$6:$B$14,$G978)&gt;0,$J978=""),"未打卡",IF($J978="","",IF($O978&gt;0,"遲到",IF($P978&gt;0,"早退","正常"))))))</f>
        <v/>
      </c>
      <c r="O978" s="84">
        <f>IF(OR($C978="",$H978="",$J978=""),0,IF(ROUND(($J978-$H978)*1440,0)&gt;設定!$C$46,ROUND(($J978-$H978)*1440,0),0))</f>
        <v/>
      </c>
      <c r="P978" s="84">
        <f>IF(OR($C978="",$I978="",$K978=""),0,IF(ROUND(($I978-$K978)*1440,0)&gt;設定!$C$46,ROUND(($I978-$K978)*1440,0),0))</f>
        <v/>
      </c>
      <c r="Q978" s="85">
        <f>IF($M978="",0,IF(($M978-IFERROR(INDEX(設定!$G$6:$G$21,MATCH($G978,設定!$B$6:$B$21,0)),0))*60&gt;=設定!$C$44,ROUND(FLOOR(($M978-IFERROR(INDEX(設定!$G$6:$G$21,MATCH($G978,設定!$B$6:$B$21,0)),0))*60,設定!$C$45)/60,2),0))</f>
        <v/>
      </c>
      <c r="R978" s="16">
        <f>IF(OR($C978="",$Q978=0),"",IF($G978="國","國定假日",IF($B978="日","例假",IF($B978="六","休息日","平日"))))</f>
        <v/>
      </c>
      <c r="S978" s="19" t="n"/>
    </row>
    <row r="979">
      <c r="A979" s="82">
        <f>IF(OR(助理班表!$A36="",16&gt;DAY(EOMONTH(DATE(設定!$C$2,設定!$D$2,1),0))),"",DATE(設定!$C$2,設定!$D$2,16))</f>
        <v/>
      </c>
      <c r="B979" s="16">
        <f>IF($A979="","",INDEX(設定!$O$6:$O$12,WEEKDAY($A979,1)))</f>
        <v/>
      </c>
      <c r="C979" s="16">
        <f>IF($A979="","",助理班表!$A36)</f>
        <v/>
      </c>
      <c r="D979" s="16">
        <f>IF($C979="","",助理班表!$B36)</f>
        <v/>
      </c>
      <c r="E979" s="16">
        <f>IF($C979="","",助理班表!$D36)</f>
        <v/>
      </c>
      <c r="F979" s="16">
        <f>IF($C979="","",助理班表!$C36)</f>
        <v/>
      </c>
      <c r="G979" s="16">
        <f>IF($C979="","",助理班表!T36)</f>
        <v/>
      </c>
      <c r="H979" s="83">
        <f>IF($G979="","",IFERROR(IF(INDEX(設定!$D$6:$D$21,MATCH($G979,設定!$B$6:$B$21,0))=0,"",INDEX(設定!$D$6:$D$21,MATCH($G979,設定!$B$6:$B$21,0))),""))</f>
        <v/>
      </c>
      <c r="I979" s="83">
        <f>IF($G979="","",IFERROR(IF(INDEX(設定!$E$6:$E$21,MATCH($G979,設定!$B$6:$B$21,0))=0,"",INDEX(設定!$E$6:$E$21,MATCH($G979,設定!$B$6:$B$21,0))),""))</f>
        <v/>
      </c>
      <c r="J979" s="83">
        <f>IFERROR(INDEX(打卡匯入!$C$3:$C$2002,MATCH($C979&amp;"|"&amp;DAY($A979),打卡匯入!$E$3:$E$2002,0)),"")</f>
        <v/>
      </c>
      <c r="K979" s="83">
        <f>IFERROR(INDEX(打卡匯入!$D$3:$D$2002,MATCH($C979&amp;"|"&amp;DAY($A979),打卡匯入!$E$3:$E$2002,0)),"")</f>
        <v/>
      </c>
      <c r="L979" s="84">
        <f>IF(OR($J979="",$K979=""),"",IFERROR(INDEX(設定!$F$6:$F$21,MATCH($G979,設定!$B$6:$B$21,0)),0))</f>
        <v/>
      </c>
      <c r="M979" s="85">
        <f>IF(OR($J979="",$K979=""),"",ROUND(($K979-$J979)*24-$L979/60,2))</f>
        <v/>
      </c>
      <c r="N979" s="16">
        <f>IF($C979="","",IF(AND(COUNTIF(設定!$B$15:$B$21,$G979)&gt;0,$J979&lt;&gt;""),"假日出勤",IF(AND(COUNTIF(設定!$B$6:$B$14,$G979)&gt;0,$J979=""),"未打卡",IF($J979="","",IF($O979&gt;0,"遲到",IF($P979&gt;0,"早退","正常"))))))</f>
        <v/>
      </c>
      <c r="O979" s="84">
        <f>IF(OR($C979="",$H979="",$J979=""),0,IF(ROUND(($J979-$H979)*1440,0)&gt;設定!$C$46,ROUND(($J979-$H979)*1440,0),0))</f>
        <v/>
      </c>
      <c r="P979" s="84">
        <f>IF(OR($C979="",$I979="",$K979=""),0,IF(ROUND(($I979-$K979)*1440,0)&gt;設定!$C$46,ROUND(($I979-$K979)*1440,0),0))</f>
        <v/>
      </c>
      <c r="Q979" s="85">
        <f>IF($M979="",0,IF(($M979-IFERROR(INDEX(設定!$G$6:$G$21,MATCH($G979,設定!$B$6:$B$21,0)),0))*60&gt;=設定!$C$44,ROUND(FLOOR(($M979-IFERROR(INDEX(設定!$G$6:$G$21,MATCH($G979,設定!$B$6:$B$21,0)),0))*60,設定!$C$45)/60,2),0))</f>
        <v/>
      </c>
      <c r="R979" s="16">
        <f>IF(OR($C979="",$Q979=0),"",IF($G979="國","國定假日",IF($B979="日","例假",IF($B979="六","休息日","平日"))))</f>
        <v/>
      </c>
      <c r="S979" s="19" t="n"/>
    </row>
    <row r="980">
      <c r="A980" s="82">
        <f>IF(OR(助理班表!$A36="",17&gt;DAY(EOMONTH(DATE(設定!$C$2,設定!$D$2,1),0))),"",DATE(設定!$C$2,設定!$D$2,17))</f>
        <v/>
      </c>
      <c r="B980" s="16">
        <f>IF($A980="","",INDEX(設定!$O$6:$O$12,WEEKDAY($A980,1)))</f>
        <v/>
      </c>
      <c r="C980" s="16">
        <f>IF($A980="","",助理班表!$A36)</f>
        <v/>
      </c>
      <c r="D980" s="16">
        <f>IF($C980="","",助理班表!$B36)</f>
        <v/>
      </c>
      <c r="E980" s="16">
        <f>IF($C980="","",助理班表!$D36)</f>
        <v/>
      </c>
      <c r="F980" s="16">
        <f>IF($C980="","",助理班表!$C36)</f>
        <v/>
      </c>
      <c r="G980" s="16">
        <f>IF($C980="","",助理班表!U36)</f>
        <v/>
      </c>
      <c r="H980" s="83">
        <f>IF($G980="","",IFERROR(IF(INDEX(設定!$D$6:$D$21,MATCH($G980,設定!$B$6:$B$21,0))=0,"",INDEX(設定!$D$6:$D$21,MATCH($G980,設定!$B$6:$B$21,0))),""))</f>
        <v/>
      </c>
      <c r="I980" s="83">
        <f>IF($G980="","",IFERROR(IF(INDEX(設定!$E$6:$E$21,MATCH($G980,設定!$B$6:$B$21,0))=0,"",INDEX(設定!$E$6:$E$21,MATCH($G980,設定!$B$6:$B$21,0))),""))</f>
        <v/>
      </c>
      <c r="J980" s="83">
        <f>IFERROR(INDEX(打卡匯入!$C$3:$C$2002,MATCH($C980&amp;"|"&amp;DAY($A980),打卡匯入!$E$3:$E$2002,0)),"")</f>
        <v/>
      </c>
      <c r="K980" s="83">
        <f>IFERROR(INDEX(打卡匯入!$D$3:$D$2002,MATCH($C980&amp;"|"&amp;DAY($A980),打卡匯入!$E$3:$E$2002,0)),"")</f>
        <v/>
      </c>
      <c r="L980" s="84">
        <f>IF(OR($J980="",$K980=""),"",IFERROR(INDEX(設定!$F$6:$F$21,MATCH($G980,設定!$B$6:$B$21,0)),0))</f>
        <v/>
      </c>
      <c r="M980" s="85">
        <f>IF(OR($J980="",$K980=""),"",ROUND(($K980-$J980)*24-$L980/60,2))</f>
        <v/>
      </c>
      <c r="N980" s="16">
        <f>IF($C980="","",IF(AND(COUNTIF(設定!$B$15:$B$21,$G980)&gt;0,$J980&lt;&gt;""),"假日出勤",IF(AND(COUNTIF(設定!$B$6:$B$14,$G980)&gt;0,$J980=""),"未打卡",IF($J980="","",IF($O980&gt;0,"遲到",IF($P980&gt;0,"早退","正常"))))))</f>
        <v/>
      </c>
      <c r="O980" s="84">
        <f>IF(OR($C980="",$H980="",$J980=""),0,IF(ROUND(($J980-$H980)*1440,0)&gt;設定!$C$46,ROUND(($J980-$H980)*1440,0),0))</f>
        <v/>
      </c>
      <c r="P980" s="84">
        <f>IF(OR($C980="",$I980="",$K980=""),0,IF(ROUND(($I980-$K980)*1440,0)&gt;設定!$C$46,ROUND(($I980-$K980)*1440,0),0))</f>
        <v/>
      </c>
      <c r="Q980" s="85">
        <f>IF($M980="",0,IF(($M980-IFERROR(INDEX(設定!$G$6:$G$21,MATCH($G980,設定!$B$6:$B$21,0)),0))*60&gt;=設定!$C$44,ROUND(FLOOR(($M980-IFERROR(INDEX(設定!$G$6:$G$21,MATCH($G980,設定!$B$6:$B$21,0)),0))*60,設定!$C$45)/60,2),0))</f>
        <v/>
      </c>
      <c r="R980" s="16">
        <f>IF(OR($C980="",$Q980=0),"",IF($G980="國","國定假日",IF($B980="日","例假",IF($B980="六","休息日","平日"))))</f>
        <v/>
      </c>
      <c r="S980" s="19" t="n"/>
    </row>
    <row r="981">
      <c r="A981" s="82">
        <f>IF(OR(助理班表!$A36="",18&gt;DAY(EOMONTH(DATE(設定!$C$2,設定!$D$2,1),0))),"",DATE(設定!$C$2,設定!$D$2,18))</f>
        <v/>
      </c>
      <c r="B981" s="16">
        <f>IF($A981="","",INDEX(設定!$O$6:$O$12,WEEKDAY($A981,1)))</f>
        <v/>
      </c>
      <c r="C981" s="16">
        <f>IF($A981="","",助理班表!$A36)</f>
        <v/>
      </c>
      <c r="D981" s="16">
        <f>IF($C981="","",助理班表!$B36)</f>
        <v/>
      </c>
      <c r="E981" s="16">
        <f>IF($C981="","",助理班表!$D36)</f>
        <v/>
      </c>
      <c r="F981" s="16">
        <f>IF($C981="","",助理班表!$C36)</f>
        <v/>
      </c>
      <c r="G981" s="16">
        <f>IF($C981="","",助理班表!V36)</f>
        <v/>
      </c>
      <c r="H981" s="83">
        <f>IF($G981="","",IFERROR(IF(INDEX(設定!$D$6:$D$21,MATCH($G981,設定!$B$6:$B$21,0))=0,"",INDEX(設定!$D$6:$D$21,MATCH($G981,設定!$B$6:$B$21,0))),""))</f>
        <v/>
      </c>
      <c r="I981" s="83">
        <f>IF($G981="","",IFERROR(IF(INDEX(設定!$E$6:$E$21,MATCH($G981,設定!$B$6:$B$21,0))=0,"",INDEX(設定!$E$6:$E$21,MATCH($G981,設定!$B$6:$B$21,0))),""))</f>
        <v/>
      </c>
      <c r="J981" s="83">
        <f>IFERROR(INDEX(打卡匯入!$C$3:$C$2002,MATCH($C981&amp;"|"&amp;DAY($A981),打卡匯入!$E$3:$E$2002,0)),"")</f>
        <v/>
      </c>
      <c r="K981" s="83">
        <f>IFERROR(INDEX(打卡匯入!$D$3:$D$2002,MATCH($C981&amp;"|"&amp;DAY($A981),打卡匯入!$E$3:$E$2002,0)),"")</f>
        <v/>
      </c>
      <c r="L981" s="84">
        <f>IF(OR($J981="",$K981=""),"",IFERROR(INDEX(設定!$F$6:$F$21,MATCH($G981,設定!$B$6:$B$21,0)),0))</f>
        <v/>
      </c>
      <c r="M981" s="85">
        <f>IF(OR($J981="",$K981=""),"",ROUND(($K981-$J981)*24-$L981/60,2))</f>
        <v/>
      </c>
      <c r="N981" s="16">
        <f>IF($C981="","",IF(AND(COUNTIF(設定!$B$15:$B$21,$G981)&gt;0,$J981&lt;&gt;""),"假日出勤",IF(AND(COUNTIF(設定!$B$6:$B$14,$G981)&gt;0,$J981=""),"未打卡",IF($J981="","",IF($O981&gt;0,"遲到",IF($P981&gt;0,"早退","正常"))))))</f>
        <v/>
      </c>
      <c r="O981" s="84">
        <f>IF(OR($C981="",$H981="",$J981=""),0,IF(ROUND(($J981-$H981)*1440,0)&gt;設定!$C$46,ROUND(($J981-$H981)*1440,0),0))</f>
        <v/>
      </c>
      <c r="P981" s="84">
        <f>IF(OR($C981="",$I981="",$K981=""),0,IF(ROUND(($I981-$K981)*1440,0)&gt;設定!$C$46,ROUND(($I981-$K981)*1440,0),0))</f>
        <v/>
      </c>
      <c r="Q981" s="85">
        <f>IF($M981="",0,IF(($M981-IFERROR(INDEX(設定!$G$6:$G$21,MATCH($G981,設定!$B$6:$B$21,0)),0))*60&gt;=設定!$C$44,ROUND(FLOOR(($M981-IFERROR(INDEX(設定!$G$6:$G$21,MATCH($G981,設定!$B$6:$B$21,0)),0))*60,設定!$C$45)/60,2),0))</f>
        <v/>
      </c>
      <c r="R981" s="16">
        <f>IF(OR($C981="",$Q981=0),"",IF($G981="國","國定假日",IF($B981="日","例假",IF($B981="六","休息日","平日"))))</f>
        <v/>
      </c>
      <c r="S981" s="19" t="n"/>
    </row>
    <row r="982">
      <c r="A982" s="82">
        <f>IF(OR(助理班表!$A36="",19&gt;DAY(EOMONTH(DATE(設定!$C$2,設定!$D$2,1),0))),"",DATE(設定!$C$2,設定!$D$2,19))</f>
        <v/>
      </c>
      <c r="B982" s="16">
        <f>IF($A982="","",INDEX(設定!$O$6:$O$12,WEEKDAY($A982,1)))</f>
        <v/>
      </c>
      <c r="C982" s="16">
        <f>IF($A982="","",助理班表!$A36)</f>
        <v/>
      </c>
      <c r="D982" s="16">
        <f>IF($C982="","",助理班表!$B36)</f>
        <v/>
      </c>
      <c r="E982" s="16">
        <f>IF($C982="","",助理班表!$D36)</f>
        <v/>
      </c>
      <c r="F982" s="16">
        <f>IF($C982="","",助理班表!$C36)</f>
        <v/>
      </c>
      <c r="G982" s="16">
        <f>IF($C982="","",助理班表!W36)</f>
        <v/>
      </c>
      <c r="H982" s="83">
        <f>IF($G982="","",IFERROR(IF(INDEX(設定!$D$6:$D$21,MATCH($G982,設定!$B$6:$B$21,0))=0,"",INDEX(設定!$D$6:$D$21,MATCH($G982,設定!$B$6:$B$21,0))),""))</f>
        <v/>
      </c>
      <c r="I982" s="83">
        <f>IF($G982="","",IFERROR(IF(INDEX(設定!$E$6:$E$21,MATCH($G982,設定!$B$6:$B$21,0))=0,"",INDEX(設定!$E$6:$E$21,MATCH($G982,設定!$B$6:$B$21,0))),""))</f>
        <v/>
      </c>
      <c r="J982" s="83">
        <f>IFERROR(INDEX(打卡匯入!$C$3:$C$2002,MATCH($C982&amp;"|"&amp;DAY($A982),打卡匯入!$E$3:$E$2002,0)),"")</f>
        <v/>
      </c>
      <c r="K982" s="83">
        <f>IFERROR(INDEX(打卡匯入!$D$3:$D$2002,MATCH($C982&amp;"|"&amp;DAY($A982),打卡匯入!$E$3:$E$2002,0)),"")</f>
        <v/>
      </c>
      <c r="L982" s="84">
        <f>IF(OR($J982="",$K982=""),"",IFERROR(INDEX(設定!$F$6:$F$21,MATCH($G982,設定!$B$6:$B$21,0)),0))</f>
        <v/>
      </c>
      <c r="M982" s="85">
        <f>IF(OR($J982="",$K982=""),"",ROUND(($K982-$J982)*24-$L982/60,2))</f>
        <v/>
      </c>
      <c r="N982" s="16">
        <f>IF($C982="","",IF(AND(COUNTIF(設定!$B$15:$B$21,$G982)&gt;0,$J982&lt;&gt;""),"假日出勤",IF(AND(COUNTIF(設定!$B$6:$B$14,$G982)&gt;0,$J982=""),"未打卡",IF($J982="","",IF($O982&gt;0,"遲到",IF($P982&gt;0,"早退","正常"))))))</f>
        <v/>
      </c>
      <c r="O982" s="84">
        <f>IF(OR($C982="",$H982="",$J982=""),0,IF(ROUND(($J982-$H982)*1440,0)&gt;設定!$C$46,ROUND(($J982-$H982)*1440,0),0))</f>
        <v/>
      </c>
      <c r="P982" s="84">
        <f>IF(OR($C982="",$I982="",$K982=""),0,IF(ROUND(($I982-$K982)*1440,0)&gt;設定!$C$46,ROUND(($I982-$K982)*1440,0),0))</f>
        <v/>
      </c>
      <c r="Q982" s="85">
        <f>IF($M982="",0,IF(($M982-IFERROR(INDEX(設定!$G$6:$G$21,MATCH($G982,設定!$B$6:$B$21,0)),0))*60&gt;=設定!$C$44,ROUND(FLOOR(($M982-IFERROR(INDEX(設定!$G$6:$G$21,MATCH($G982,設定!$B$6:$B$21,0)),0))*60,設定!$C$45)/60,2),0))</f>
        <v/>
      </c>
      <c r="R982" s="16">
        <f>IF(OR($C982="",$Q982=0),"",IF($G982="國","國定假日",IF($B982="日","例假",IF($B982="六","休息日","平日"))))</f>
        <v/>
      </c>
      <c r="S982" s="19" t="n"/>
    </row>
    <row r="983">
      <c r="A983" s="82">
        <f>IF(OR(助理班表!$A36="",20&gt;DAY(EOMONTH(DATE(設定!$C$2,設定!$D$2,1),0))),"",DATE(設定!$C$2,設定!$D$2,20))</f>
        <v/>
      </c>
      <c r="B983" s="16">
        <f>IF($A983="","",INDEX(設定!$O$6:$O$12,WEEKDAY($A983,1)))</f>
        <v/>
      </c>
      <c r="C983" s="16">
        <f>IF($A983="","",助理班表!$A36)</f>
        <v/>
      </c>
      <c r="D983" s="16">
        <f>IF($C983="","",助理班表!$B36)</f>
        <v/>
      </c>
      <c r="E983" s="16">
        <f>IF($C983="","",助理班表!$D36)</f>
        <v/>
      </c>
      <c r="F983" s="16">
        <f>IF($C983="","",助理班表!$C36)</f>
        <v/>
      </c>
      <c r="G983" s="16">
        <f>IF($C983="","",助理班表!X36)</f>
        <v/>
      </c>
      <c r="H983" s="83">
        <f>IF($G983="","",IFERROR(IF(INDEX(設定!$D$6:$D$21,MATCH($G983,設定!$B$6:$B$21,0))=0,"",INDEX(設定!$D$6:$D$21,MATCH($G983,設定!$B$6:$B$21,0))),""))</f>
        <v/>
      </c>
      <c r="I983" s="83">
        <f>IF($G983="","",IFERROR(IF(INDEX(設定!$E$6:$E$21,MATCH($G983,設定!$B$6:$B$21,0))=0,"",INDEX(設定!$E$6:$E$21,MATCH($G983,設定!$B$6:$B$21,0))),""))</f>
        <v/>
      </c>
      <c r="J983" s="83">
        <f>IFERROR(INDEX(打卡匯入!$C$3:$C$2002,MATCH($C983&amp;"|"&amp;DAY($A983),打卡匯入!$E$3:$E$2002,0)),"")</f>
        <v/>
      </c>
      <c r="K983" s="83">
        <f>IFERROR(INDEX(打卡匯入!$D$3:$D$2002,MATCH($C983&amp;"|"&amp;DAY($A983),打卡匯入!$E$3:$E$2002,0)),"")</f>
        <v/>
      </c>
      <c r="L983" s="84">
        <f>IF(OR($J983="",$K983=""),"",IFERROR(INDEX(設定!$F$6:$F$21,MATCH($G983,設定!$B$6:$B$21,0)),0))</f>
        <v/>
      </c>
      <c r="M983" s="85">
        <f>IF(OR($J983="",$K983=""),"",ROUND(($K983-$J983)*24-$L983/60,2))</f>
        <v/>
      </c>
      <c r="N983" s="16">
        <f>IF($C983="","",IF(AND(COUNTIF(設定!$B$15:$B$21,$G983)&gt;0,$J983&lt;&gt;""),"假日出勤",IF(AND(COUNTIF(設定!$B$6:$B$14,$G983)&gt;0,$J983=""),"未打卡",IF($J983="","",IF($O983&gt;0,"遲到",IF($P983&gt;0,"早退","正常"))))))</f>
        <v/>
      </c>
      <c r="O983" s="84">
        <f>IF(OR($C983="",$H983="",$J983=""),0,IF(ROUND(($J983-$H983)*1440,0)&gt;設定!$C$46,ROUND(($J983-$H983)*1440,0),0))</f>
        <v/>
      </c>
      <c r="P983" s="84">
        <f>IF(OR($C983="",$I983="",$K983=""),0,IF(ROUND(($I983-$K983)*1440,0)&gt;設定!$C$46,ROUND(($I983-$K983)*1440,0),0))</f>
        <v/>
      </c>
      <c r="Q983" s="85">
        <f>IF($M983="",0,IF(($M983-IFERROR(INDEX(設定!$G$6:$G$21,MATCH($G983,設定!$B$6:$B$21,0)),0))*60&gt;=設定!$C$44,ROUND(FLOOR(($M983-IFERROR(INDEX(設定!$G$6:$G$21,MATCH($G983,設定!$B$6:$B$21,0)),0))*60,設定!$C$45)/60,2),0))</f>
        <v/>
      </c>
      <c r="R983" s="16">
        <f>IF(OR($C983="",$Q983=0),"",IF($G983="國","國定假日",IF($B983="日","例假",IF($B983="六","休息日","平日"))))</f>
        <v/>
      </c>
      <c r="S983" s="19" t="n"/>
    </row>
    <row r="984">
      <c r="A984" s="82">
        <f>IF(OR(助理班表!$A36="",21&gt;DAY(EOMONTH(DATE(設定!$C$2,設定!$D$2,1),0))),"",DATE(設定!$C$2,設定!$D$2,21))</f>
        <v/>
      </c>
      <c r="B984" s="16">
        <f>IF($A984="","",INDEX(設定!$O$6:$O$12,WEEKDAY($A984,1)))</f>
        <v/>
      </c>
      <c r="C984" s="16">
        <f>IF($A984="","",助理班表!$A36)</f>
        <v/>
      </c>
      <c r="D984" s="16">
        <f>IF($C984="","",助理班表!$B36)</f>
        <v/>
      </c>
      <c r="E984" s="16">
        <f>IF($C984="","",助理班表!$D36)</f>
        <v/>
      </c>
      <c r="F984" s="16">
        <f>IF($C984="","",助理班表!$C36)</f>
        <v/>
      </c>
      <c r="G984" s="16">
        <f>IF($C984="","",助理班表!Y36)</f>
        <v/>
      </c>
      <c r="H984" s="83">
        <f>IF($G984="","",IFERROR(IF(INDEX(設定!$D$6:$D$21,MATCH($G984,設定!$B$6:$B$21,0))=0,"",INDEX(設定!$D$6:$D$21,MATCH($G984,設定!$B$6:$B$21,0))),""))</f>
        <v/>
      </c>
      <c r="I984" s="83">
        <f>IF($G984="","",IFERROR(IF(INDEX(設定!$E$6:$E$21,MATCH($G984,設定!$B$6:$B$21,0))=0,"",INDEX(設定!$E$6:$E$21,MATCH($G984,設定!$B$6:$B$21,0))),""))</f>
        <v/>
      </c>
      <c r="J984" s="83">
        <f>IFERROR(INDEX(打卡匯入!$C$3:$C$2002,MATCH($C984&amp;"|"&amp;DAY($A984),打卡匯入!$E$3:$E$2002,0)),"")</f>
        <v/>
      </c>
      <c r="K984" s="83">
        <f>IFERROR(INDEX(打卡匯入!$D$3:$D$2002,MATCH($C984&amp;"|"&amp;DAY($A984),打卡匯入!$E$3:$E$2002,0)),"")</f>
        <v/>
      </c>
      <c r="L984" s="84">
        <f>IF(OR($J984="",$K984=""),"",IFERROR(INDEX(設定!$F$6:$F$21,MATCH($G984,設定!$B$6:$B$21,0)),0))</f>
        <v/>
      </c>
      <c r="M984" s="85">
        <f>IF(OR($J984="",$K984=""),"",ROUND(($K984-$J984)*24-$L984/60,2))</f>
        <v/>
      </c>
      <c r="N984" s="16">
        <f>IF($C984="","",IF(AND(COUNTIF(設定!$B$15:$B$21,$G984)&gt;0,$J984&lt;&gt;""),"假日出勤",IF(AND(COUNTIF(設定!$B$6:$B$14,$G984)&gt;0,$J984=""),"未打卡",IF($J984="","",IF($O984&gt;0,"遲到",IF($P984&gt;0,"早退","正常"))))))</f>
        <v/>
      </c>
      <c r="O984" s="84">
        <f>IF(OR($C984="",$H984="",$J984=""),0,IF(ROUND(($J984-$H984)*1440,0)&gt;設定!$C$46,ROUND(($J984-$H984)*1440,0),0))</f>
        <v/>
      </c>
      <c r="P984" s="84">
        <f>IF(OR($C984="",$I984="",$K984=""),0,IF(ROUND(($I984-$K984)*1440,0)&gt;設定!$C$46,ROUND(($I984-$K984)*1440,0),0))</f>
        <v/>
      </c>
      <c r="Q984" s="85">
        <f>IF($M984="",0,IF(($M984-IFERROR(INDEX(設定!$G$6:$G$21,MATCH($G984,設定!$B$6:$B$21,0)),0))*60&gt;=設定!$C$44,ROUND(FLOOR(($M984-IFERROR(INDEX(設定!$G$6:$G$21,MATCH($G984,設定!$B$6:$B$21,0)),0))*60,設定!$C$45)/60,2),0))</f>
        <v/>
      </c>
      <c r="R984" s="16">
        <f>IF(OR($C984="",$Q984=0),"",IF($G984="國","國定假日",IF($B984="日","例假",IF($B984="六","休息日","平日"))))</f>
        <v/>
      </c>
      <c r="S984" s="19" t="n"/>
    </row>
    <row r="985">
      <c r="A985" s="82">
        <f>IF(OR(助理班表!$A36="",22&gt;DAY(EOMONTH(DATE(設定!$C$2,設定!$D$2,1),0))),"",DATE(設定!$C$2,設定!$D$2,22))</f>
        <v/>
      </c>
      <c r="B985" s="16">
        <f>IF($A985="","",INDEX(設定!$O$6:$O$12,WEEKDAY($A985,1)))</f>
        <v/>
      </c>
      <c r="C985" s="16">
        <f>IF($A985="","",助理班表!$A36)</f>
        <v/>
      </c>
      <c r="D985" s="16">
        <f>IF($C985="","",助理班表!$B36)</f>
        <v/>
      </c>
      <c r="E985" s="16">
        <f>IF($C985="","",助理班表!$D36)</f>
        <v/>
      </c>
      <c r="F985" s="16">
        <f>IF($C985="","",助理班表!$C36)</f>
        <v/>
      </c>
      <c r="G985" s="16">
        <f>IF($C985="","",助理班表!Z36)</f>
        <v/>
      </c>
      <c r="H985" s="83">
        <f>IF($G985="","",IFERROR(IF(INDEX(設定!$D$6:$D$21,MATCH($G985,設定!$B$6:$B$21,0))=0,"",INDEX(設定!$D$6:$D$21,MATCH($G985,設定!$B$6:$B$21,0))),""))</f>
        <v/>
      </c>
      <c r="I985" s="83">
        <f>IF($G985="","",IFERROR(IF(INDEX(設定!$E$6:$E$21,MATCH($G985,設定!$B$6:$B$21,0))=0,"",INDEX(設定!$E$6:$E$21,MATCH($G985,設定!$B$6:$B$21,0))),""))</f>
        <v/>
      </c>
      <c r="J985" s="83">
        <f>IFERROR(INDEX(打卡匯入!$C$3:$C$2002,MATCH($C985&amp;"|"&amp;DAY($A985),打卡匯入!$E$3:$E$2002,0)),"")</f>
        <v/>
      </c>
      <c r="K985" s="83">
        <f>IFERROR(INDEX(打卡匯入!$D$3:$D$2002,MATCH($C985&amp;"|"&amp;DAY($A985),打卡匯入!$E$3:$E$2002,0)),"")</f>
        <v/>
      </c>
      <c r="L985" s="84">
        <f>IF(OR($J985="",$K985=""),"",IFERROR(INDEX(設定!$F$6:$F$21,MATCH($G985,設定!$B$6:$B$21,0)),0))</f>
        <v/>
      </c>
      <c r="M985" s="85">
        <f>IF(OR($J985="",$K985=""),"",ROUND(($K985-$J985)*24-$L985/60,2))</f>
        <v/>
      </c>
      <c r="N985" s="16">
        <f>IF($C985="","",IF(AND(COUNTIF(設定!$B$15:$B$21,$G985)&gt;0,$J985&lt;&gt;""),"假日出勤",IF(AND(COUNTIF(設定!$B$6:$B$14,$G985)&gt;0,$J985=""),"未打卡",IF($J985="","",IF($O985&gt;0,"遲到",IF($P985&gt;0,"早退","正常"))))))</f>
        <v/>
      </c>
      <c r="O985" s="84">
        <f>IF(OR($C985="",$H985="",$J985=""),0,IF(ROUND(($J985-$H985)*1440,0)&gt;設定!$C$46,ROUND(($J985-$H985)*1440,0),0))</f>
        <v/>
      </c>
      <c r="P985" s="84">
        <f>IF(OR($C985="",$I985="",$K985=""),0,IF(ROUND(($I985-$K985)*1440,0)&gt;設定!$C$46,ROUND(($I985-$K985)*1440,0),0))</f>
        <v/>
      </c>
      <c r="Q985" s="85">
        <f>IF($M985="",0,IF(($M985-IFERROR(INDEX(設定!$G$6:$G$21,MATCH($G985,設定!$B$6:$B$21,0)),0))*60&gt;=設定!$C$44,ROUND(FLOOR(($M985-IFERROR(INDEX(設定!$G$6:$G$21,MATCH($G985,設定!$B$6:$B$21,0)),0))*60,設定!$C$45)/60,2),0))</f>
        <v/>
      </c>
      <c r="R985" s="16">
        <f>IF(OR($C985="",$Q985=0),"",IF($G985="國","國定假日",IF($B985="日","例假",IF($B985="六","休息日","平日"))))</f>
        <v/>
      </c>
      <c r="S985" s="19" t="n"/>
    </row>
    <row r="986">
      <c r="A986" s="82">
        <f>IF(OR(助理班表!$A36="",23&gt;DAY(EOMONTH(DATE(設定!$C$2,設定!$D$2,1),0))),"",DATE(設定!$C$2,設定!$D$2,23))</f>
        <v/>
      </c>
      <c r="B986" s="16">
        <f>IF($A986="","",INDEX(設定!$O$6:$O$12,WEEKDAY($A986,1)))</f>
        <v/>
      </c>
      <c r="C986" s="16">
        <f>IF($A986="","",助理班表!$A36)</f>
        <v/>
      </c>
      <c r="D986" s="16">
        <f>IF($C986="","",助理班表!$B36)</f>
        <v/>
      </c>
      <c r="E986" s="16">
        <f>IF($C986="","",助理班表!$D36)</f>
        <v/>
      </c>
      <c r="F986" s="16">
        <f>IF($C986="","",助理班表!$C36)</f>
        <v/>
      </c>
      <c r="G986" s="16">
        <f>IF($C986="","",助理班表!AA36)</f>
        <v/>
      </c>
      <c r="H986" s="83">
        <f>IF($G986="","",IFERROR(IF(INDEX(設定!$D$6:$D$21,MATCH($G986,設定!$B$6:$B$21,0))=0,"",INDEX(設定!$D$6:$D$21,MATCH($G986,設定!$B$6:$B$21,0))),""))</f>
        <v/>
      </c>
      <c r="I986" s="83">
        <f>IF($G986="","",IFERROR(IF(INDEX(設定!$E$6:$E$21,MATCH($G986,設定!$B$6:$B$21,0))=0,"",INDEX(設定!$E$6:$E$21,MATCH($G986,設定!$B$6:$B$21,0))),""))</f>
        <v/>
      </c>
      <c r="J986" s="83">
        <f>IFERROR(INDEX(打卡匯入!$C$3:$C$2002,MATCH($C986&amp;"|"&amp;DAY($A986),打卡匯入!$E$3:$E$2002,0)),"")</f>
        <v/>
      </c>
      <c r="K986" s="83">
        <f>IFERROR(INDEX(打卡匯入!$D$3:$D$2002,MATCH($C986&amp;"|"&amp;DAY($A986),打卡匯入!$E$3:$E$2002,0)),"")</f>
        <v/>
      </c>
      <c r="L986" s="84">
        <f>IF(OR($J986="",$K986=""),"",IFERROR(INDEX(設定!$F$6:$F$21,MATCH($G986,設定!$B$6:$B$21,0)),0))</f>
        <v/>
      </c>
      <c r="M986" s="85">
        <f>IF(OR($J986="",$K986=""),"",ROUND(($K986-$J986)*24-$L986/60,2))</f>
        <v/>
      </c>
      <c r="N986" s="16">
        <f>IF($C986="","",IF(AND(COUNTIF(設定!$B$15:$B$21,$G986)&gt;0,$J986&lt;&gt;""),"假日出勤",IF(AND(COUNTIF(設定!$B$6:$B$14,$G986)&gt;0,$J986=""),"未打卡",IF($J986="","",IF($O986&gt;0,"遲到",IF($P986&gt;0,"早退","正常"))))))</f>
        <v/>
      </c>
      <c r="O986" s="84">
        <f>IF(OR($C986="",$H986="",$J986=""),0,IF(ROUND(($J986-$H986)*1440,0)&gt;設定!$C$46,ROUND(($J986-$H986)*1440,0),0))</f>
        <v/>
      </c>
      <c r="P986" s="84">
        <f>IF(OR($C986="",$I986="",$K986=""),0,IF(ROUND(($I986-$K986)*1440,0)&gt;設定!$C$46,ROUND(($I986-$K986)*1440,0),0))</f>
        <v/>
      </c>
      <c r="Q986" s="85">
        <f>IF($M986="",0,IF(($M986-IFERROR(INDEX(設定!$G$6:$G$21,MATCH($G986,設定!$B$6:$B$21,0)),0))*60&gt;=設定!$C$44,ROUND(FLOOR(($M986-IFERROR(INDEX(設定!$G$6:$G$21,MATCH($G986,設定!$B$6:$B$21,0)),0))*60,設定!$C$45)/60,2),0))</f>
        <v/>
      </c>
      <c r="R986" s="16">
        <f>IF(OR($C986="",$Q986=0),"",IF($G986="國","國定假日",IF($B986="日","例假",IF($B986="六","休息日","平日"))))</f>
        <v/>
      </c>
      <c r="S986" s="19" t="n"/>
    </row>
    <row r="987">
      <c r="A987" s="82">
        <f>IF(OR(助理班表!$A36="",24&gt;DAY(EOMONTH(DATE(設定!$C$2,設定!$D$2,1),0))),"",DATE(設定!$C$2,設定!$D$2,24))</f>
        <v/>
      </c>
      <c r="B987" s="16">
        <f>IF($A987="","",INDEX(設定!$O$6:$O$12,WEEKDAY($A987,1)))</f>
        <v/>
      </c>
      <c r="C987" s="16">
        <f>IF($A987="","",助理班表!$A36)</f>
        <v/>
      </c>
      <c r="D987" s="16">
        <f>IF($C987="","",助理班表!$B36)</f>
        <v/>
      </c>
      <c r="E987" s="16">
        <f>IF($C987="","",助理班表!$D36)</f>
        <v/>
      </c>
      <c r="F987" s="16">
        <f>IF($C987="","",助理班表!$C36)</f>
        <v/>
      </c>
      <c r="G987" s="16">
        <f>IF($C987="","",助理班表!AB36)</f>
        <v/>
      </c>
      <c r="H987" s="83">
        <f>IF($G987="","",IFERROR(IF(INDEX(設定!$D$6:$D$21,MATCH($G987,設定!$B$6:$B$21,0))=0,"",INDEX(設定!$D$6:$D$21,MATCH($G987,設定!$B$6:$B$21,0))),""))</f>
        <v/>
      </c>
      <c r="I987" s="83">
        <f>IF($G987="","",IFERROR(IF(INDEX(設定!$E$6:$E$21,MATCH($G987,設定!$B$6:$B$21,0))=0,"",INDEX(設定!$E$6:$E$21,MATCH($G987,設定!$B$6:$B$21,0))),""))</f>
        <v/>
      </c>
      <c r="J987" s="83">
        <f>IFERROR(INDEX(打卡匯入!$C$3:$C$2002,MATCH($C987&amp;"|"&amp;DAY($A987),打卡匯入!$E$3:$E$2002,0)),"")</f>
        <v/>
      </c>
      <c r="K987" s="83">
        <f>IFERROR(INDEX(打卡匯入!$D$3:$D$2002,MATCH($C987&amp;"|"&amp;DAY($A987),打卡匯入!$E$3:$E$2002,0)),"")</f>
        <v/>
      </c>
      <c r="L987" s="84">
        <f>IF(OR($J987="",$K987=""),"",IFERROR(INDEX(設定!$F$6:$F$21,MATCH($G987,設定!$B$6:$B$21,0)),0))</f>
        <v/>
      </c>
      <c r="M987" s="85">
        <f>IF(OR($J987="",$K987=""),"",ROUND(($K987-$J987)*24-$L987/60,2))</f>
        <v/>
      </c>
      <c r="N987" s="16">
        <f>IF($C987="","",IF(AND(COUNTIF(設定!$B$15:$B$21,$G987)&gt;0,$J987&lt;&gt;""),"假日出勤",IF(AND(COUNTIF(設定!$B$6:$B$14,$G987)&gt;0,$J987=""),"未打卡",IF($J987="","",IF($O987&gt;0,"遲到",IF($P987&gt;0,"早退","正常"))))))</f>
        <v/>
      </c>
      <c r="O987" s="84">
        <f>IF(OR($C987="",$H987="",$J987=""),0,IF(ROUND(($J987-$H987)*1440,0)&gt;設定!$C$46,ROUND(($J987-$H987)*1440,0),0))</f>
        <v/>
      </c>
      <c r="P987" s="84">
        <f>IF(OR($C987="",$I987="",$K987=""),0,IF(ROUND(($I987-$K987)*1440,0)&gt;設定!$C$46,ROUND(($I987-$K987)*1440,0),0))</f>
        <v/>
      </c>
      <c r="Q987" s="85">
        <f>IF($M987="",0,IF(($M987-IFERROR(INDEX(設定!$G$6:$G$21,MATCH($G987,設定!$B$6:$B$21,0)),0))*60&gt;=設定!$C$44,ROUND(FLOOR(($M987-IFERROR(INDEX(設定!$G$6:$G$21,MATCH($G987,設定!$B$6:$B$21,0)),0))*60,設定!$C$45)/60,2),0))</f>
        <v/>
      </c>
      <c r="R987" s="16">
        <f>IF(OR($C987="",$Q987=0),"",IF($G987="國","國定假日",IF($B987="日","例假",IF($B987="六","休息日","平日"))))</f>
        <v/>
      </c>
      <c r="S987" s="19" t="n"/>
    </row>
    <row r="988">
      <c r="A988" s="82">
        <f>IF(OR(助理班表!$A36="",25&gt;DAY(EOMONTH(DATE(設定!$C$2,設定!$D$2,1),0))),"",DATE(設定!$C$2,設定!$D$2,25))</f>
        <v/>
      </c>
      <c r="B988" s="16">
        <f>IF($A988="","",INDEX(設定!$O$6:$O$12,WEEKDAY($A988,1)))</f>
        <v/>
      </c>
      <c r="C988" s="16">
        <f>IF($A988="","",助理班表!$A36)</f>
        <v/>
      </c>
      <c r="D988" s="16">
        <f>IF($C988="","",助理班表!$B36)</f>
        <v/>
      </c>
      <c r="E988" s="16">
        <f>IF($C988="","",助理班表!$D36)</f>
        <v/>
      </c>
      <c r="F988" s="16">
        <f>IF($C988="","",助理班表!$C36)</f>
        <v/>
      </c>
      <c r="G988" s="16">
        <f>IF($C988="","",助理班表!AC36)</f>
        <v/>
      </c>
      <c r="H988" s="83">
        <f>IF($G988="","",IFERROR(IF(INDEX(設定!$D$6:$D$21,MATCH($G988,設定!$B$6:$B$21,0))=0,"",INDEX(設定!$D$6:$D$21,MATCH($G988,設定!$B$6:$B$21,0))),""))</f>
        <v/>
      </c>
      <c r="I988" s="83">
        <f>IF($G988="","",IFERROR(IF(INDEX(設定!$E$6:$E$21,MATCH($G988,設定!$B$6:$B$21,0))=0,"",INDEX(設定!$E$6:$E$21,MATCH($G988,設定!$B$6:$B$21,0))),""))</f>
        <v/>
      </c>
      <c r="J988" s="83">
        <f>IFERROR(INDEX(打卡匯入!$C$3:$C$2002,MATCH($C988&amp;"|"&amp;DAY($A988),打卡匯入!$E$3:$E$2002,0)),"")</f>
        <v/>
      </c>
      <c r="K988" s="83">
        <f>IFERROR(INDEX(打卡匯入!$D$3:$D$2002,MATCH($C988&amp;"|"&amp;DAY($A988),打卡匯入!$E$3:$E$2002,0)),"")</f>
        <v/>
      </c>
      <c r="L988" s="84">
        <f>IF(OR($J988="",$K988=""),"",IFERROR(INDEX(設定!$F$6:$F$21,MATCH($G988,設定!$B$6:$B$21,0)),0))</f>
        <v/>
      </c>
      <c r="M988" s="85">
        <f>IF(OR($J988="",$K988=""),"",ROUND(($K988-$J988)*24-$L988/60,2))</f>
        <v/>
      </c>
      <c r="N988" s="16">
        <f>IF($C988="","",IF(AND(COUNTIF(設定!$B$15:$B$21,$G988)&gt;0,$J988&lt;&gt;""),"假日出勤",IF(AND(COUNTIF(設定!$B$6:$B$14,$G988)&gt;0,$J988=""),"未打卡",IF($J988="","",IF($O988&gt;0,"遲到",IF($P988&gt;0,"早退","正常"))))))</f>
        <v/>
      </c>
      <c r="O988" s="84">
        <f>IF(OR($C988="",$H988="",$J988=""),0,IF(ROUND(($J988-$H988)*1440,0)&gt;設定!$C$46,ROUND(($J988-$H988)*1440,0),0))</f>
        <v/>
      </c>
      <c r="P988" s="84">
        <f>IF(OR($C988="",$I988="",$K988=""),0,IF(ROUND(($I988-$K988)*1440,0)&gt;設定!$C$46,ROUND(($I988-$K988)*1440,0),0))</f>
        <v/>
      </c>
      <c r="Q988" s="85">
        <f>IF($M988="",0,IF(($M988-IFERROR(INDEX(設定!$G$6:$G$21,MATCH($G988,設定!$B$6:$B$21,0)),0))*60&gt;=設定!$C$44,ROUND(FLOOR(($M988-IFERROR(INDEX(設定!$G$6:$G$21,MATCH($G988,設定!$B$6:$B$21,0)),0))*60,設定!$C$45)/60,2),0))</f>
        <v/>
      </c>
      <c r="R988" s="16">
        <f>IF(OR($C988="",$Q988=0),"",IF($G988="國","國定假日",IF($B988="日","例假",IF($B988="六","休息日","平日"))))</f>
        <v/>
      </c>
      <c r="S988" s="19" t="n"/>
    </row>
    <row r="989">
      <c r="A989" s="82">
        <f>IF(OR(助理班表!$A36="",26&gt;DAY(EOMONTH(DATE(設定!$C$2,設定!$D$2,1),0))),"",DATE(設定!$C$2,設定!$D$2,26))</f>
        <v/>
      </c>
      <c r="B989" s="16">
        <f>IF($A989="","",INDEX(設定!$O$6:$O$12,WEEKDAY($A989,1)))</f>
        <v/>
      </c>
      <c r="C989" s="16">
        <f>IF($A989="","",助理班表!$A36)</f>
        <v/>
      </c>
      <c r="D989" s="16">
        <f>IF($C989="","",助理班表!$B36)</f>
        <v/>
      </c>
      <c r="E989" s="16">
        <f>IF($C989="","",助理班表!$D36)</f>
        <v/>
      </c>
      <c r="F989" s="16">
        <f>IF($C989="","",助理班表!$C36)</f>
        <v/>
      </c>
      <c r="G989" s="16">
        <f>IF($C989="","",助理班表!AD36)</f>
        <v/>
      </c>
      <c r="H989" s="83">
        <f>IF($G989="","",IFERROR(IF(INDEX(設定!$D$6:$D$21,MATCH($G989,設定!$B$6:$B$21,0))=0,"",INDEX(設定!$D$6:$D$21,MATCH($G989,設定!$B$6:$B$21,0))),""))</f>
        <v/>
      </c>
      <c r="I989" s="83">
        <f>IF($G989="","",IFERROR(IF(INDEX(設定!$E$6:$E$21,MATCH($G989,設定!$B$6:$B$21,0))=0,"",INDEX(設定!$E$6:$E$21,MATCH($G989,設定!$B$6:$B$21,0))),""))</f>
        <v/>
      </c>
      <c r="J989" s="83">
        <f>IFERROR(INDEX(打卡匯入!$C$3:$C$2002,MATCH($C989&amp;"|"&amp;DAY($A989),打卡匯入!$E$3:$E$2002,0)),"")</f>
        <v/>
      </c>
      <c r="K989" s="83">
        <f>IFERROR(INDEX(打卡匯入!$D$3:$D$2002,MATCH($C989&amp;"|"&amp;DAY($A989),打卡匯入!$E$3:$E$2002,0)),"")</f>
        <v/>
      </c>
      <c r="L989" s="84">
        <f>IF(OR($J989="",$K989=""),"",IFERROR(INDEX(設定!$F$6:$F$21,MATCH($G989,設定!$B$6:$B$21,0)),0))</f>
        <v/>
      </c>
      <c r="M989" s="85">
        <f>IF(OR($J989="",$K989=""),"",ROUND(($K989-$J989)*24-$L989/60,2))</f>
        <v/>
      </c>
      <c r="N989" s="16">
        <f>IF($C989="","",IF(AND(COUNTIF(設定!$B$15:$B$21,$G989)&gt;0,$J989&lt;&gt;""),"假日出勤",IF(AND(COUNTIF(設定!$B$6:$B$14,$G989)&gt;0,$J989=""),"未打卡",IF($J989="","",IF($O989&gt;0,"遲到",IF($P989&gt;0,"早退","正常"))))))</f>
        <v/>
      </c>
      <c r="O989" s="84">
        <f>IF(OR($C989="",$H989="",$J989=""),0,IF(ROUND(($J989-$H989)*1440,0)&gt;設定!$C$46,ROUND(($J989-$H989)*1440,0),0))</f>
        <v/>
      </c>
      <c r="P989" s="84">
        <f>IF(OR($C989="",$I989="",$K989=""),0,IF(ROUND(($I989-$K989)*1440,0)&gt;設定!$C$46,ROUND(($I989-$K989)*1440,0),0))</f>
        <v/>
      </c>
      <c r="Q989" s="85">
        <f>IF($M989="",0,IF(($M989-IFERROR(INDEX(設定!$G$6:$G$21,MATCH($G989,設定!$B$6:$B$21,0)),0))*60&gt;=設定!$C$44,ROUND(FLOOR(($M989-IFERROR(INDEX(設定!$G$6:$G$21,MATCH($G989,設定!$B$6:$B$21,0)),0))*60,設定!$C$45)/60,2),0))</f>
        <v/>
      </c>
      <c r="R989" s="16">
        <f>IF(OR($C989="",$Q989=0),"",IF($G989="國","國定假日",IF($B989="日","例假",IF($B989="六","休息日","平日"))))</f>
        <v/>
      </c>
      <c r="S989" s="19" t="n"/>
    </row>
    <row r="990">
      <c r="A990" s="82">
        <f>IF(OR(助理班表!$A36="",27&gt;DAY(EOMONTH(DATE(設定!$C$2,設定!$D$2,1),0))),"",DATE(設定!$C$2,設定!$D$2,27))</f>
        <v/>
      </c>
      <c r="B990" s="16">
        <f>IF($A990="","",INDEX(設定!$O$6:$O$12,WEEKDAY($A990,1)))</f>
        <v/>
      </c>
      <c r="C990" s="16">
        <f>IF($A990="","",助理班表!$A36)</f>
        <v/>
      </c>
      <c r="D990" s="16">
        <f>IF($C990="","",助理班表!$B36)</f>
        <v/>
      </c>
      <c r="E990" s="16">
        <f>IF($C990="","",助理班表!$D36)</f>
        <v/>
      </c>
      <c r="F990" s="16">
        <f>IF($C990="","",助理班表!$C36)</f>
        <v/>
      </c>
      <c r="G990" s="16">
        <f>IF($C990="","",助理班表!AE36)</f>
        <v/>
      </c>
      <c r="H990" s="83">
        <f>IF($G990="","",IFERROR(IF(INDEX(設定!$D$6:$D$21,MATCH($G990,設定!$B$6:$B$21,0))=0,"",INDEX(設定!$D$6:$D$21,MATCH($G990,設定!$B$6:$B$21,0))),""))</f>
        <v/>
      </c>
      <c r="I990" s="83">
        <f>IF($G990="","",IFERROR(IF(INDEX(設定!$E$6:$E$21,MATCH($G990,設定!$B$6:$B$21,0))=0,"",INDEX(設定!$E$6:$E$21,MATCH($G990,設定!$B$6:$B$21,0))),""))</f>
        <v/>
      </c>
      <c r="J990" s="83">
        <f>IFERROR(INDEX(打卡匯入!$C$3:$C$2002,MATCH($C990&amp;"|"&amp;DAY($A990),打卡匯入!$E$3:$E$2002,0)),"")</f>
        <v/>
      </c>
      <c r="K990" s="83">
        <f>IFERROR(INDEX(打卡匯入!$D$3:$D$2002,MATCH($C990&amp;"|"&amp;DAY($A990),打卡匯入!$E$3:$E$2002,0)),"")</f>
        <v/>
      </c>
      <c r="L990" s="84">
        <f>IF(OR($J990="",$K990=""),"",IFERROR(INDEX(設定!$F$6:$F$21,MATCH($G990,設定!$B$6:$B$21,0)),0))</f>
        <v/>
      </c>
      <c r="M990" s="85">
        <f>IF(OR($J990="",$K990=""),"",ROUND(($K990-$J990)*24-$L990/60,2))</f>
        <v/>
      </c>
      <c r="N990" s="16">
        <f>IF($C990="","",IF(AND(COUNTIF(設定!$B$15:$B$21,$G990)&gt;0,$J990&lt;&gt;""),"假日出勤",IF(AND(COUNTIF(設定!$B$6:$B$14,$G990)&gt;0,$J990=""),"未打卡",IF($J990="","",IF($O990&gt;0,"遲到",IF($P990&gt;0,"早退","正常"))))))</f>
        <v/>
      </c>
      <c r="O990" s="84">
        <f>IF(OR($C990="",$H990="",$J990=""),0,IF(ROUND(($J990-$H990)*1440,0)&gt;設定!$C$46,ROUND(($J990-$H990)*1440,0),0))</f>
        <v/>
      </c>
      <c r="P990" s="84">
        <f>IF(OR($C990="",$I990="",$K990=""),0,IF(ROUND(($I990-$K990)*1440,0)&gt;設定!$C$46,ROUND(($I990-$K990)*1440,0),0))</f>
        <v/>
      </c>
      <c r="Q990" s="85">
        <f>IF($M990="",0,IF(($M990-IFERROR(INDEX(設定!$G$6:$G$21,MATCH($G990,設定!$B$6:$B$21,0)),0))*60&gt;=設定!$C$44,ROUND(FLOOR(($M990-IFERROR(INDEX(設定!$G$6:$G$21,MATCH($G990,設定!$B$6:$B$21,0)),0))*60,設定!$C$45)/60,2),0))</f>
        <v/>
      </c>
      <c r="R990" s="16">
        <f>IF(OR($C990="",$Q990=0),"",IF($G990="國","國定假日",IF($B990="日","例假",IF($B990="六","休息日","平日"))))</f>
        <v/>
      </c>
      <c r="S990" s="19" t="n"/>
    </row>
    <row r="991">
      <c r="A991" s="82">
        <f>IF(OR(助理班表!$A36="",28&gt;DAY(EOMONTH(DATE(設定!$C$2,設定!$D$2,1),0))),"",DATE(設定!$C$2,設定!$D$2,28))</f>
        <v/>
      </c>
      <c r="B991" s="16">
        <f>IF($A991="","",INDEX(設定!$O$6:$O$12,WEEKDAY($A991,1)))</f>
        <v/>
      </c>
      <c r="C991" s="16">
        <f>IF($A991="","",助理班表!$A36)</f>
        <v/>
      </c>
      <c r="D991" s="16">
        <f>IF($C991="","",助理班表!$B36)</f>
        <v/>
      </c>
      <c r="E991" s="16">
        <f>IF($C991="","",助理班表!$D36)</f>
        <v/>
      </c>
      <c r="F991" s="16">
        <f>IF($C991="","",助理班表!$C36)</f>
        <v/>
      </c>
      <c r="G991" s="16">
        <f>IF($C991="","",助理班表!AF36)</f>
        <v/>
      </c>
      <c r="H991" s="83">
        <f>IF($G991="","",IFERROR(IF(INDEX(設定!$D$6:$D$21,MATCH($G991,設定!$B$6:$B$21,0))=0,"",INDEX(設定!$D$6:$D$21,MATCH($G991,設定!$B$6:$B$21,0))),""))</f>
        <v/>
      </c>
      <c r="I991" s="83">
        <f>IF($G991="","",IFERROR(IF(INDEX(設定!$E$6:$E$21,MATCH($G991,設定!$B$6:$B$21,0))=0,"",INDEX(設定!$E$6:$E$21,MATCH($G991,設定!$B$6:$B$21,0))),""))</f>
        <v/>
      </c>
      <c r="J991" s="83">
        <f>IFERROR(INDEX(打卡匯入!$C$3:$C$2002,MATCH($C991&amp;"|"&amp;DAY($A991),打卡匯入!$E$3:$E$2002,0)),"")</f>
        <v/>
      </c>
      <c r="K991" s="83">
        <f>IFERROR(INDEX(打卡匯入!$D$3:$D$2002,MATCH($C991&amp;"|"&amp;DAY($A991),打卡匯入!$E$3:$E$2002,0)),"")</f>
        <v/>
      </c>
      <c r="L991" s="84">
        <f>IF(OR($J991="",$K991=""),"",IFERROR(INDEX(設定!$F$6:$F$21,MATCH($G991,設定!$B$6:$B$21,0)),0))</f>
        <v/>
      </c>
      <c r="M991" s="85">
        <f>IF(OR($J991="",$K991=""),"",ROUND(($K991-$J991)*24-$L991/60,2))</f>
        <v/>
      </c>
      <c r="N991" s="16">
        <f>IF($C991="","",IF(AND(COUNTIF(設定!$B$15:$B$21,$G991)&gt;0,$J991&lt;&gt;""),"假日出勤",IF(AND(COUNTIF(設定!$B$6:$B$14,$G991)&gt;0,$J991=""),"未打卡",IF($J991="","",IF($O991&gt;0,"遲到",IF($P991&gt;0,"早退","正常"))))))</f>
        <v/>
      </c>
      <c r="O991" s="84">
        <f>IF(OR($C991="",$H991="",$J991=""),0,IF(ROUND(($J991-$H991)*1440,0)&gt;設定!$C$46,ROUND(($J991-$H991)*1440,0),0))</f>
        <v/>
      </c>
      <c r="P991" s="84">
        <f>IF(OR($C991="",$I991="",$K991=""),0,IF(ROUND(($I991-$K991)*1440,0)&gt;設定!$C$46,ROUND(($I991-$K991)*1440,0),0))</f>
        <v/>
      </c>
      <c r="Q991" s="85">
        <f>IF($M991="",0,IF(($M991-IFERROR(INDEX(設定!$G$6:$G$21,MATCH($G991,設定!$B$6:$B$21,0)),0))*60&gt;=設定!$C$44,ROUND(FLOOR(($M991-IFERROR(INDEX(設定!$G$6:$G$21,MATCH($G991,設定!$B$6:$B$21,0)),0))*60,設定!$C$45)/60,2),0))</f>
        <v/>
      </c>
      <c r="R991" s="16">
        <f>IF(OR($C991="",$Q991=0),"",IF($G991="國","國定假日",IF($B991="日","例假",IF($B991="六","休息日","平日"))))</f>
        <v/>
      </c>
      <c r="S991" s="19" t="n"/>
    </row>
    <row r="992">
      <c r="A992" s="82">
        <f>IF(OR(助理班表!$A36="",29&gt;DAY(EOMONTH(DATE(設定!$C$2,設定!$D$2,1),0))),"",DATE(設定!$C$2,設定!$D$2,29))</f>
        <v/>
      </c>
      <c r="B992" s="16">
        <f>IF($A992="","",INDEX(設定!$O$6:$O$12,WEEKDAY($A992,1)))</f>
        <v/>
      </c>
      <c r="C992" s="16">
        <f>IF($A992="","",助理班表!$A36)</f>
        <v/>
      </c>
      <c r="D992" s="16">
        <f>IF($C992="","",助理班表!$B36)</f>
        <v/>
      </c>
      <c r="E992" s="16">
        <f>IF($C992="","",助理班表!$D36)</f>
        <v/>
      </c>
      <c r="F992" s="16">
        <f>IF($C992="","",助理班表!$C36)</f>
        <v/>
      </c>
      <c r="G992" s="16">
        <f>IF($C992="","",助理班表!AG36)</f>
        <v/>
      </c>
      <c r="H992" s="83">
        <f>IF($G992="","",IFERROR(IF(INDEX(設定!$D$6:$D$21,MATCH($G992,設定!$B$6:$B$21,0))=0,"",INDEX(設定!$D$6:$D$21,MATCH($G992,設定!$B$6:$B$21,0))),""))</f>
        <v/>
      </c>
      <c r="I992" s="83">
        <f>IF($G992="","",IFERROR(IF(INDEX(設定!$E$6:$E$21,MATCH($G992,設定!$B$6:$B$21,0))=0,"",INDEX(設定!$E$6:$E$21,MATCH($G992,設定!$B$6:$B$21,0))),""))</f>
        <v/>
      </c>
      <c r="J992" s="83">
        <f>IFERROR(INDEX(打卡匯入!$C$3:$C$2002,MATCH($C992&amp;"|"&amp;DAY($A992),打卡匯入!$E$3:$E$2002,0)),"")</f>
        <v/>
      </c>
      <c r="K992" s="83">
        <f>IFERROR(INDEX(打卡匯入!$D$3:$D$2002,MATCH($C992&amp;"|"&amp;DAY($A992),打卡匯入!$E$3:$E$2002,0)),"")</f>
        <v/>
      </c>
      <c r="L992" s="84">
        <f>IF(OR($J992="",$K992=""),"",IFERROR(INDEX(設定!$F$6:$F$21,MATCH($G992,設定!$B$6:$B$21,0)),0))</f>
        <v/>
      </c>
      <c r="M992" s="85">
        <f>IF(OR($J992="",$K992=""),"",ROUND(($K992-$J992)*24-$L992/60,2))</f>
        <v/>
      </c>
      <c r="N992" s="16">
        <f>IF($C992="","",IF(AND(COUNTIF(設定!$B$15:$B$21,$G992)&gt;0,$J992&lt;&gt;""),"假日出勤",IF(AND(COUNTIF(設定!$B$6:$B$14,$G992)&gt;0,$J992=""),"未打卡",IF($J992="","",IF($O992&gt;0,"遲到",IF($P992&gt;0,"早退","正常"))))))</f>
        <v/>
      </c>
      <c r="O992" s="84">
        <f>IF(OR($C992="",$H992="",$J992=""),0,IF(ROUND(($J992-$H992)*1440,0)&gt;設定!$C$46,ROUND(($J992-$H992)*1440,0),0))</f>
        <v/>
      </c>
      <c r="P992" s="84">
        <f>IF(OR($C992="",$I992="",$K992=""),0,IF(ROUND(($I992-$K992)*1440,0)&gt;設定!$C$46,ROUND(($I992-$K992)*1440,0),0))</f>
        <v/>
      </c>
      <c r="Q992" s="85">
        <f>IF($M992="",0,IF(($M992-IFERROR(INDEX(設定!$G$6:$G$21,MATCH($G992,設定!$B$6:$B$21,0)),0))*60&gt;=設定!$C$44,ROUND(FLOOR(($M992-IFERROR(INDEX(設定!$G$6:$G$21,MATCH($G992,設定!$B$6:$B$21,0)),0))*60,設定!$C$45)/60,2),0))</f>
        <v/>
      </c>
      <c r="R992" s="16">
        <f>IF(OR($C992="",$Q992=0),"",IF($G992="國","國定假日",IF($B992="日","例假",IF($B992="六","休息日","平日"))))</f>
        <v/>
      </c>
      <c r="S992" s="19" t="n"/>
    </row>
    <row r="993">
      <c r="A993" s="82">
        <f>IF(OR(助理班表!$A36="",30&gt;DAY(EOMONTH(DATE(設定!$C$2,設定!$D$2,1),0))),"",DATE(設定!$C$2,設定!$D$2,30))</f>
        <v/>
      </c>
      <c r="B993" s="16">
        <f>IF($A993="","",INDEX(設定!$O$6:$O$12,WEEKDAY($A993,1)))</f>
        <v/>
      </c>
      <c r="C993" s="16">
        <f>IF($A993="","",助理班表!$A36)</f>
        <v/>
      </c>
      <c r="D993" s="16">
        <f>IF($C993="","",助理班表!$B36)</f>
        <v/>
      </c>
      <c r="E993" s="16">
        <f>IF($C993="","",助理班表!$D36)</f>
        <v/>
      </c>
      <c r="F993" s="16">
        <f>IF($C993="","",助理班表!$C36)</f>
        <v/>
      </c>
      <c r="G993" s="16">
        <f>IF($C993="","",助理班表!AH36)</f>
        <v/>
      </c>
      <c r="H993" s="83">
        <f>IF($G993="","",IFERROR(IF(INDEX(設定!$D$6:$D$21,MATCH($G993,設定!$B$6:$B$21,0))=0,"",INDEX(設定!$D$6:$D$21,MATCH($G993,設定!$B$6:$B$21,0))),""))</f>
        <v/>
      </c>
      <c r="I993" s="83">
        <f>IF($G993="","",IFERROR(IF(INDEX(設定!$E$6:$E$21,MATCH($G993,設定!$B$6:$B$21,0))=0,"",INDEX(設定!$E$6:$E$21,MATCH($G993,設定!$B$6:$B$21,0))),""))</f>
        <v/>
      </c>
      <c r="J993" s="83">
        <f>IFERROR(INDEX(打卡匯入!$C$3:$C$2002,MATCH($C993&amp;"|"&amp;DAY($A993),打卡匯入!$E$3:$E$2002,0)),"")</f>
        <v/>
      </c>
      <c r="K993" s="83">
        <f>IFERROR(INDEX(打卡匯入!$D$3:$D$2002,MATCH($C993&amp;"|"&amp;DAY($A993),打卡匯入!$E$3:$E$2002,0)),"")</f>
        <v/>
      </c>
      <c r="L993" s="84">
        <f>IF(OR($J993="",$K993=""),"",IFERROR(INDEX(設定!$F$6:$F$21,MATCH($G993,設定!$B$6:$B$21,0)),0))</f>
        <v/>
      </c>
      <c r="M993" s="85">
        <f>IF(OR($J993="",$K993=""),"",ROUND(($K993-$J993)*24-$L993/60,2))</f>
        <v/>
      </c>
      <c r="N993" s="16">
        <f>IF($C993="","",IF(AND(COUNTIF(設定!$B$15:$B$21,$G993)&gt;0,$J993&lt;&gt;""),"假日出勤",IF(AND(COUNTIF(設定!$B$6:$B$14,$G993)&gt;0,$J993=""),"未打卡",IF($J993="","",IF($O993&gt;0,"遲到",IF($P993&gt;0,"早退","正常"))))))</f>
        <v/>
      </c>
      <c r="O993" s="84">
        <f>IF(OR($C993="",$H993="",$J993=""),0,IF(ROUND(($J993-$H993)*1440,0)&gt;設定!$C$46,ROUND(($J993-$H993)*1440,0),0))</f>
        <v/>
      </c>
      <c r="P993" s="84">
        <f>IF(OR($C993="",$I993="",$K993=""),0,IF(ROUND(($I993-$K993)*1440,0)&gt;設定!$C$46,ROUND(($I993-$K993)*1440,0),0))</f>
        <v/>
      </c>
      <c r="Q993" s="85">
        <f>IF($M993="",0,IF(($M993-IFERROR(INDEX(設定!$G$6:$G$21,MATCH($G993,設定!$B$6:$B$21,0)),0))*60&gt;=設定!$C$44,ROUND(FLOOR(($M993-IFERROR(INDEX(設定!$G$6:$G$21,MATCH($G993,設定!$B$6:$B$21,0)),0))*60,設定!$C$45)/60,2),0))</f>
        <v/>
      </c>
      <c r="R993" s="16">
        <f>IF(OR($C993="",$Q993=0),"",IF($G993="國","國定假日",IF($B993="日","例假",IF($B993="六","休息日","平日"))))</f>
        <v/>
      </c>
      <c r="S993" s="19" t="n"/>
    </row>
    <row r="994">
      <c r="A994" s="82">
        <f>IF(OR(助理班表!$A36="",31&gt;DAY(EOMONTH(DATE(設定!$C$2,設定!$D$2,1),0))),"",DATE(設定!$C$2,設定!$D$2,31))</f>
        <v/>
      </c>
      <c r="B994" s="16">
        <f>IF($A994="","",INDEX(設定!$O$6:$O$12,WEEKDAY($A994,1)))</f>
        <v/>
      </c>
      <c r="C994" s="16">
        <f>IF($A994="","",助理班表!$A36)</f>
        <v/>
      </c>
      <c r="D994" s="16">
        <f>IF($C994="","",助理班表!$B36)</f>
        <v/>
      </c>
      <c r="E994" s="16">
        <f>IF($C994="","",助理班表!$D36)</f>
        <v/>
      </c>
      <c r="F994" s="16">
        <f>IF($C994="","",助理班表!$C36)</f>
        <v/>
      </c>
      <c r="G994" s="16">
        <f>IF($C994="","",助理班表!AI36)</f>
        <v/>
      </c>
      <c r="H994" s="83">
        <f>IF($G994="","",IFERROR(IF(INDEX(設定!$D$6:$D$21,MATCH($G994,設定!$B$6:$B$21,0))=0,"",INDEX(設定!$D$6:$D$21,MATCH($G994,設定!$B$6:$B$21,0))),""))</f>
        <v/>
      </c>
      <c r="I994" s="83">
        <f>IF($G994="","",IFERROR(IF(INDEX(設定!$E$6:$E$21,MATCH($G994,設定!$B$6:$B$21,0))=0,"",INDEX(設定!$E$6:$E$21,MATCH($G994,設定!$B$6:$B$21,0))),""))</f>
        <v/>
      </c>
      <c r="J994" s="83">
        <f>IFERROR(INDEX(打卡匯入!$C$3:$C$2002,MATCH($C994&amp;"|"&amp;DAY($A994),打卡匯入!$E$3:$E$2002,0)),"")</f>
        <v/>
      </c>
      <c r="K994" s="83">
        <f>IFERROR(INDEX(打卡匯入!$D$3:$D$2002,MATCH($C994&amp;"|"&amp;DAY($A994),打卡匯入!$E$3:$E$2002,0)),"")</f>
        <v/>
      </c>
      <c r="L994" s="84">
        <f>IF(OR($J994="",$K994=""),"",IFERROR(INDEX(設定!$F$6:$F$21,MATCH($G994,設定!$B$6:$B$21,0)),0))</f>
        <v/>
      </c>
      <c r="M994" s="85">
        <f>IF(OR($J994="",$K994=""),"",ROUND(($K994-$J994)*24-$L994/60,2))</f>
        <v/>
      </c>
      <c r="N994" s="16">
        <f>IF($C994="","",IF(AND(COUNTIF(設定!$B$15:$B$21,$G994)&gt;0,$J994&lt;&gt;""),"假日出勤",IF(AND(COUNTIF(設定!$B$6:$B$14,$G994)&gt;0,$J994=""),"未打卡",IF($J994="","",IF($O994&gt;0,"遲到",IF($P994&gt;0,"早退","正常"))))))</f>
        <v/>
      </c>
      <c r="O994" s="84">
        <f>IF(OR($C994="",$H994="",$J994=""),0,IF(ROUND(($J994-$H994)*1440,0)&gt;設定!$C$46,ROUND(($J994-$H994)*1440,0),0))</f>
        <v/>
      </c>
      <c r="P994" s="84">
        <f>IF(OR($C994="",$I994="",$K994=""),0,IF(ROUND(($I994-$K994)*1440,0)&gt;設定!$C$46,ROUND(($I994-$K994)*1440,0),0))</f>
        <v/>
      </c>
      <c r="Q994" s="85">
        <f>IF($M994="",0,IF(($M994-IFERROR(INDEX(設定!$G$6:$G$21,MATCH($G994,設定!$B$6:$B$21,0)),0))*60&gt;=設定!$C$44,ROUND(FLOOR(($M994-IFERROR(INDEX(設定!$G$6:$G$21,MATCH($G994,設定!$B$6:$B$21,0)),0))*60,設定!$C$45)/60,2),0))</f>
        <v/>
      </c>
      <c r="R994" s="16">
        <f>IF(OR($C994="",$Q994=0),"",IF($G994="國","國定假日",IF($B994="日","例假",IF($B994="六","休息日","平日"))))</f>
        <v/>
      </c>
      <c r="S994" s="19" t="n"/>
    </row>
    <row r="995">
      <c r="A995" s="82">
        <f>IF(OR(助理班表!$A37="",1&gt;DAY(EOMONTH(DATE(設定!$C$2,設定!$D$2,1),0))),"",DATE(設定!$C$2,設定!$D$2,1))</f>
        <v/>
      </c>
      <c r="B995" s="16">
        <f>IF($A995="","",INDEX(設定!$O$6:$O$12,WEEKDAY($A995,1)))</f>
        <v/>
      </c>
      <c r="C995" s="16">
        <f>IF($A995="","",助理班表!$A37)</f>
        <v/>
      </c>
      <c r="D995" s="16">
        <f>IF($C995="","",助理班表!$B37)</f>
        <v/>
      </c>
      <c r="E995" s="16">
        <f>IF($C995="","",助理班表!$D37)</f>
        <v/>
      </c>
      <c r="F995" s="16">
        <f>IF($C995="","",助理班表!$C37)</f>
        <v/>
      </c>
      <c r="G995" s="16">
        <f>IF($C995="","",助理班表!E37)</f>
        <v/>
      </c>
      <c r="H995" s="83">
        <f>IF($G995="","",IFERROR(IF(INDEX(設定!$D$6:$D$21,MATCH($G995,設定!$B$6:$B$21,0))=0,"",INDEX(設定!$D$6:$D$21,MATCH($G995,設定!$B$6:$B$21,0))),""))</f>
        <v/>
      </c>
      <c r="I995" s="83">
        <f>IF($G995="","",IFERROR(IF(INDEX(設定!$E$6:$E$21,MATCH($G995,設定!$B$6:$B$21,0))=0,"",INDEX(設定!$E$6:$E$21,MATCH($G995,設定!$B$6:$B$21,0))),""))</f>
        <v/>
      </c>
      <c r="J995" s="83">
        <f>IFERROR(INDEX(打卡匯入!$C$3:$C$2002,MATCH($C995&amp;"|"&amp;DAY($A995),打卡匯入!$E$3:$E$2002,0)),"")</f>
        <v/>
      </c>
      <c r="K995" s="83">
        <f>IFERROR(INDEX(打卡匯入!$D$3:$D$2002,MATCH($C995&amp;"|"&amp;DAY($A995),打卡匯入!$E$3:$E$2002,0)),"")</f>
        <v/>
      </c>
      <c r="L995" s="84">
        <f>IF(OR($J995="",$K995=""),"",IFERROR(INDEX(設定!$F$6:$F$21,MATCH($G995,設定!$B$6:$B$21,0)),0))</f>
        <v/>
      </c>
      <c r="M995" s="85">
        <f>IF(OR($J995="",$K995=""),"",ROUND(($K995-$J995)*24-$L995/60,2))</f>
        <v/>
      </c>
      <c r="N995" s="16">
        <f>IF($C995="","",IF(AND(COUNTIF(設定!$B$15:$B$21,$G995)&gt;0,$J995&lt;&gt;""),"假日出勤",IF(AND(COUNTIF(設定!$B$6:$B$14,$G995)&gt;0,$J995=""),"未打卡",IF($J995="","",IF($O995&gt;0,"遲到",IF($P995&gt;0,"早退","正常"))))))</f>
        <v/>
      </c>
      <c r="O995" s="84">
        <f>IF(OR($C995="",$H995="",$J995=""),0,IF(ROUND(($J995-$H995)*1440,0)&gt;設定!$C$46,ROUND(($J995-$H995)*1440,0),0))</f>
        <v/>
      </c>
      <c r="P995" s="84">
        <f>IF(OR($C995="",$I995="",$K995=""),0,IF(ROUND(($I995-$K995)*1440,0)&gt;設定!$C$46,ROUND(($I995-$K995)*1440,0),0))</f>
        <v/>
      </c>
      <c r="Q995" s="85">
        <f>IF($M995="",0,IF(($M995-IFERROR(INDEX(設定!$G$6:$G$21,MATCH($G995,設定!$B$6:$B$21,0)),0))*60&gt;=設定!$C$44,ROUND(FLOOR(($M995-IFERROR(INDEX(設定!$G$6:$G$21,MATCH($G995,設定!$B$6:$B$21,0)),0))*60,設定!$C$45)/60,2),0))</f>
        <v/>
      </c>
      <c r="R995" s="16">
        <f>IF(OR($C995="",$Q995=0),"",IF($G995="國","國定假日",IF($B995="日","例假",IF($B995="六","休息日","平日"))))</f>
        <v/>
      </c>
      <c r="S995" s="19" t="n"/>
    </row>
    <row r="996">
      <c r="A996" s="82">
        <f>IF(OR(助理班表!$A37="",2&gt;DAY(EOMONTH(DATE(設定!$C$2,設定!$D$2,1),0))),"",DATE(設定!$C$2,設定!$D$2,2))</f>
        <v/>
      </c>
      <c r="B996" s="16">
        <f>IF($A996="","",INDEX(設定!$O$6:$O$12,WEEKDAY($A996,1)))</f>
        <v/>
      </c>
      <c r="C996" s="16">
        <f>IF($A996="","",助理班表!$A37)</f>
        <v/>
      </c>
      <c r="D996" s="16">
        <f>IF($C996="","",助理班表!$B37)</f>
        <v/>
      </c>
      <c r="E996" s="16">
        <f>IF($C996="","",助理班表!$D37)</f>
        <v/>
      </c>
      <c r="F996" s="16">
        <f>IF($C996="","",助理班表!$C37)</f>
        <v/>
      </c>
      <c r="G996" s="16">
        <f>IF($C996="","",助理班表!F37)</f>
        <v/>
      </c>
      <c r="H996" s="83">
        <f>IF($G996="","",IFERROR(IF(INDEX(設定!$D$6:$D$21,MATCH($G996,設定!$B$6:$B$21,0))=0,"",INDEX(設定!$D$6:$D$21,MATCH($G996,設定!$B$6:$B$21,0))),""))</f>
        <v/>
      </c>
      <c r="I996" s="83">
        <f>IF($G996="","",IFERROR(IF(INDEX(設定!$E$6:$E$21,MATCH($G996,設定!$B$6:$B$21,0))=0,"",INDEX(設定!$E$6:$E$21,MATCH($G996,設定!$B$6:$B$21,0))),""))</f>
        <v/>
      </c>
      <c r="J996" s="83">
        <f>IFERROR(INDEX(打卡匯入!$C$3:$C$2002,MATCH($C996&amp;"|"&amp;DAY($A996),打卡匯入!$E$3:$E$2002,0)),"")</f>
        <v/>
      </c>
      <c r="K996" s="83">
        <f>IFERROR(INDEX(打卡匯入!$D$3:$D$2002,MATCH($C996&amp;"|"&amp;DAY($A996),打卡匯入!$E$3:$E$2002,0)),"")</f>
        <v/>
      </c>
      <c r="L996" s="84">
        <f>IF(OR($J996="",$K996=""),"",IFERROR(INDEX(設定!$F$6:$F$21,MATCH($G996,設定!$B$6:$B$21,0)),0))</f>
        <v/>
      </c>
      <c r="M996" s="85">
        <f>IF(OR($J996="",$K996=""),"",ROUND(($K996-$J996)*24-$L996/60,2))</f>
        <v/>
      </c>
      <c r="N996" s="16">
        <f>IF($C996="","",IF(AND(COUNTIF(設定!$B$15:$B$21,$G996)&gt;0,$J996&lt;&gt;""),"假日出勤",IF(AND(COUNTIF(設定!$B$6:$B$14,$G996)&gt;0,$J996=""),"未打卡",IF($J996="","",IF($O996&gt;0,"遲到",IF($P996&gt;0,"早退","正常"))))))</f>
        <v/>
      </c>
      <c r="O996" s="84">
        <f>IF(OR($C996="",$H996="",$J996=""),0,IF(ROUND(($J996-$H996)*1440,0)&gt;設定!$C$46,ROUND(($J996-$H996)*1440,0),0))</f>
        <v/>
      </c>
      <c r="P996" s="84">
        <f>IF(OR($C996="",$I996="",$K996=""),0,IF(ROUND(($I996-$K996)*1440,0)&gt;設定!$C$46,ROUND(($I996-$K996)*1440,0),0))</f>
        <v/>
      </c>
      <c r="Q996" s="85">
        <f>IF($M996="",0,IF(($M996-IFERROR(INDEX(設定!$G$6:$G$21,MATCH($G996,設定!$B$6:$B$21,0)),0))*60&gt;=設定!$C$44,ROUND(FLOOR(($M996-IFERROR(INDEX(設定!$G$6:$G$21,MATCH($G996,設定!$B$6:$B$21,0)),0))*60,設定!$C$45)/60,2),0))</f>
        <v/>
      </c>
      <c r="R996" s="16">
        <f>IF(OR($C996="",$Q996=0),"",IF($G996="國","國定假日",IF($B996="日","例假",IF($B996="六","休息日","平日"))))</f>
        <v/>
      </c>
      <c r="S996" s="19" t="n"/>
    </row>
    <row r="997">
      <c r="A997" s="82">
        <f>IF(OR(助理班表!$A37="",3&gt;DAY(EOMONTH(DATE(設定!$C$2,設定!$D$2,1),0))),"",DATE(設定!$C$2,設定!$D$2,3))</f>
        <v/>
      </c>
      <c r="B997" s="16">
        <f>IF($A997="","",INDEX(設定!$O$6:$O$12,WEEKDAY($A997,1)))</f>
        <v/>
      </c>
      <c r="C997" s="16">
        <f>IF($A997="","",助理班表!$A37)</f>
        <v/>
      </c>
      <c r="D997" s="16">
        <f>IF($C997="","",助理班表!$B37)</f>
        <v/>
      </c>
      <c r="E997" s="16">
        <f>IF($C997="","",助理班表!$D37)</f>
        <v/>
      </c>
      <c r="F997" s="16">
        <f>IF($C997="","",助理班表!$C37)</f>
        <v/>
      </c>
      <c r="G997" s="16">
        <f>IF($C997="","",助理班表!G37)</f>
        <v/>
      </c>
      <c r="H997" s="83">
        <f>IF($G997="","",IFERROR(IF(INDEX(設定!$D$6:$D$21,MATCH($G997,設定!$B$6:$B$21,0))=0,"",INDEX(設定!$D$6:$D$21,MATCH($G997,設定!$B$6:$B$21,0))),""))</f>
        <v/>
      </c>
      <c r="I997" s="83">
        <f>IF($G997="","",IFERROR(IF(INDEX(設定!$E$6:$E$21,MATCH($G997,設定!$B$6:$B$21,0))=0,"",INDEX(設定!$E$6:$E$21,MATCH($G997,設定!$B$6:$B$21,0))),""))</f>
        <v/>
      </c>
      <c r="J997" s="83">
        <f>IFERROR(INDEX(打卡匯入!$C$3:$C$2002,MATCH($C997&amp;"|"&amp;DAY($A997),打卡匯入!$E$3:$E$2002,0)),"")</f>
        <v/>
      </c>
      <c r="K997" s="83">
        <f>IFERROR(INDEX(打卡匯入!$D$3:$D$2002,MATCH($C997&amp;"|"&amp;DAY($A997),打卡匯入!$E$3:$E$2002,0)),"")</f>
        <v/>
      </c>
      <c r="L997" s="84">
        <f>IF(OR($J997="",$K997=""),"",IFERROR(INDEX(設定!$F$6:$F$21,MATCH($G997,設定!$B$6:$B$21,0)),0))</f>
        <v/>
      </c>
      <c r="M997" s="85">
        <f>IF(OR($J997="",$K997=""),"",ROUND(($K997-$J997)*24-$L997/60,2))</f>
        <v/>
      </c>
      <c r="N997" s="16">
        <f>IF($C997="","",IF(AND(COUNTIF(設定!$B$15:$B$21,$G997)&gt;0,$J997&lt;&gt;""),"假日出勤",IF(AND(COUNTIF(設定!$B$6:$B$14,$G997)&gt;0,$J997=""),"未打卡",IF($J997="","",IF($O997&gt;0,"遲到",IF($P997&gt;0,"早退","正常"))))))</f>
        <v/>
      </c>
      <c r="O997" s="84">
        <f>IF(OR($C997="",$H997="",$J997=""),0,IF(ROUND(($J997-$H997)*1440,0)&gt;設定!$C$46,ROUND(($J997-$H997)*1440,0),0))</f>
        <v/>
      </c>
      <c r="P997" s="84">
        <f>IF(OR($C997="",$I997="",$K997=""),0,IF(ROUND(($I997-$K997)*1440,0)&gt;設定!$C$46,ROUND(($I997-$K997)*1440,0),0))</f>
        <v/>
      </c>
      <c r="Q997" s="85">
        <f>IF($M997="",0,IF(($M997-IFERROR(INDEX(設定!$G$6:$G$21,MATCH($G997,設定!$B$6:$B$21,0)),0))*60&gt;=設定!$C$44,ROUND(FLOOR(($M997-IFERROR(INDEX(設定!$G$6:$G$21,MATCH($G997,設定!$B$6:$B$21,0)),0))*60,設定!$C$45)/60,2),0))</f>
        <v/>
      </c>
      <c r="R997" s="16">
        <f>IF(OR($C997="",$Q997=0),"",IF($G997="國","國定假日",IF($B997="日","例假",IF($B997="六","休息日","平日"))))</f>
        <v/>
      </c>
      <c r="S997" s="19" t="n"/>
    </row>
    <row r="998">
      <c r="A998" s="82">
        <f>IF(OR(助理班表!$A37="",4&gt;DAY(EOMONTH(DATE(設定!$C$2,設定!$D$2,1),0))),"",DATE(設定!$C$2,設定!$D$2,4))</f>
        <v/>
      </c>
      <c r="B998" s="16">
        <f>IF($A998="","",INDEX(設定!$O$6:$O$12,WEEKDAY($A998,1)))</f>
        <v/>
      </c>
      <c r="C998" s="16">
        <f>IF($A998="","",助理班表!$A37)</f>
        <v/>
      </c>
      <c r="D998" s="16">
        <f>IF($C998="","",助理班表!$B37)</f>
        <v/>
      </c>
      <c r="E998" s="16">
        <f>IF($C998="","",助理班表!$D37)</f>
        <v/>
      </c>
      <c r="F998" s="16">
        <f>IF($C998="","",助理班表!$C37)</f>
        <v/>
      </c>
      <c r="G998" s="16">
        <f>IF($C998="","",助理班表!H37)</f>
        <v/>
      </c>
      <c r="H998" s="83">
        <f>IF($G998="","",IFERROR(IF(INDEX(設定!$D$6:$D$21,MATCH($G998,設定!$B$6:$B$21,0))=0,"",INDEX(設定!$D$6:$D$21,MATCH($G998,設定!$B$6:$B$21,0))),""))</f>
        <v/>
      </c>
      <c r="I998" s="83">
        <f>IF($G998="","",IFERROR(IF(INDEX(設定!$E$6:$E$21,MATCH($G998,設定!$B$6:$B$21,0))=0,"",INDEX(設定!$E$6:$E$21,MATCH($G998,設定!$B$6:$B$21,0))),""))</f>
        <v/>
      </c>
      <c r="J998" s="83">
        <f>IFERROR(INDEX(打卡匯入!$C$3:$C$2002,MATCH($C998&amp;"|"&amp;DAY($A998),打卡匯入!$E$3:$E$2002,0)),"")</f>
        <v/>
      </c>
      <c r="K998" s="83">
        <f>IFERROR(INDEX(打卡匯入!$D$3:$D$2002,MATCH($C998&amp;"|"&amp;DAY($A998),打卡匯入!$E$3:$E$2002,0)),"")</f>
        <v/>
      </c>
      <c r="L998" s="84">
        <f>IF(OR($J998="",$K998=""),"",IFERROR(INDEX(設定!$F$6:$F$21,MATCH($G998,設定!$B$6:$B$21,0)),0))</f>
        <v/>
      </c>
      <c r="M998" s="85">
        <f>IF(OR($J998="",$K998=""),"",ROUND(($K998-$J998)*24-$L998/60,2))</f>
        <v/>
      </c>
      <c r="N998" s="16">
        <f>IF($C998="","",IF(AND(COUNTIF(設定!$B$15:$B$21,$G998)&gt;0,$J998&lt;&gt;""),"假日出勤",IF(AND(COUNTIF(設定!$B$6:$B$14,$G998)&gt;0,$J998=""),"未打卡",IF($J998="","",IF($O998&gt;0,"遲到",IF($P998&gt;0,"早退","正常"))))))</f>
        <v/>
      </c>
      <c r="O998" s="84">
        <f>IF(OR($C998="",$H998="",$J998=""),0,IF(ROUND(($J998-$H998)*1440,0)&gt;設定!$C$46,ROUND(($J998-$H998)*1440,0),0))</f>
        <v/>
      </c>
      <c r="P998" s="84">
        <f>IF(OR($C998="",$I998="",$K998=""),0,IF(ROUND(($I998-$K998)*1440,0)&gt;設定!$C$46,ROUND(($I998-$K998)*1440,0),0))</f>
        <v/>
      </c>
      <c r="Q998" s="85">
        <f>IF($M998="",0,IF(($M998-IFERROR(INDEX(設定!$G$6:$G$21,MATCH($G998,設定!$B$6:$B$21,0)),0))*60&gt;=設定!$C$44,ROUND(FLOOR(($M998-IFERROR(INDEX(設定!$G$6:$G$21,MATCH($G998,設定!$B$6:$B$21,0)),0))*60,設定!$C$45)/60,2),0))</f>
        <v/>
      </c>
      <c r="R998" s="16">
        <f>IF(OR($C998="",$Q998=0),"",IF($G998="國","國定假日",IF($B998="日","例假",IF($B998="六","休息日","平日"))))</f>
        <v/>
      </c>
      <c r="S998" s="19" t="n"/>
    </row>
    <row r="999">
      <c r="A999" s="82">
        <f>IF(OR(助理班表!$A37="",5&gt;DAY(EOMONTH(DATE(設定!$C$2,設定!$D$2,1),0))),"",DATE(設定!$C$2,設定!$D$2,5))</f>
        <v/>
      </c>
      <c r="B999" s="16">
        <f>IF($A999="","",INDEX(設定!$O$6:$O$12,WEEKDAY($A999,1)))</f>
        <v/>
      </c>
      <c r="C999" s="16">
        <f>IF($A999="","",助理班表!$A37)</f>
        <v/>
      </c>
      <c r="D999" s="16">
        <f>IF($C999="","",助理班表!$B37)</f>
        <v/>
      </c>
      <c r="E999" s="16">
        <f>IF($C999="","",助理班表!$D37)</f>
        <v/>
      </c>
      <c r="F999" s="16">
        <f>IF($C999="","",助理班表!$C37)</f>
        <v/>
      </c>
      <c r="G999" s="16">
        <f>IF($C999="","",助理班表!I37)</f>
        <v/>
      </c>
      <c r="H999" s="83">
        <f>IF($G999="","",IFERROR(IF(INDEX(設定!$D$6:$D$21,MATCH($G999,設定!$B$6:$B$21,0))=0,"",INDEX(設定!$D$6:$D$21,MATCH($G999,設定!$B$6:$B$21,0))),""))</f>
        <v/>
      </c>
      <c r="I999" s="83">
        <f>IF($G999="","",IFERROR(IF(INDEX(設定!$E$6:$E$21,MATCH($G999,設定!$B$6:$B$21,0))=0,"",INDEX(設定!$E$6:$E$21,MATCH($G999,設定!$B$6:$B$21,0))),""))</f>
        <v/>
      </c>
      <c r="J999" s="83">
        <f>IFERROR(INDEX(打卡匯入!$C$3:$C$2002,MATCH($C999&amp;"|"&amp;DAY($A999),打卡匯入!$E$3:$E$2002,0)),"")</f>
        <v/>
      </c>
      <c r="K999" s="83">
        <f>IFERROR(INDEX(打卡匯入!$D$3:$D$2002,MATCH($C999&amp;"|"&amp;DAY($A999),打卡匯入!$E$3:$E$2002,0)),"")</f>
        <v/>
      </c>
      <c r="L999" s="84">
        <f>IF(OR($J999="",$K999=""),"",IFERROR(INDEX(設定!$F$6:$F$21,MATCH($G999,設定!$B$6:$B$21,0)),0))</f>
        <v/>
      </c>
      <c r="M999" s="85">
        <f>IF(OR($J999="",$K999=""),"",ROUND(($K999-$J999)*24-$L999/60,2))</f>
        <v/>
      </c>
      <c r="N999" s="16">
        <f>IF($C999="","",IF(AND(COUNTIF(設定!$B$15:$B$21,$G999)&gt;0,$J999&lt;&gt;""),"假日出勤",IF(AND(COUNTIF(設定!$B$6:$B$14,$G999)&gt;0,$J999=""),"未打卡",IF($J999="","",IF($O999&gt;0,"遲到",IF($P999&gt;0,"早退","正常"))))))</f>
        <v/>
      </c>
      <c r="O999" s="84">
        <f>IF(OR($C999="",$H999="",$J999=""),0,IF(ROUND(($J999-$H999)*1440,0)&gt;設定!$C$46,ROUND(($J999-$H999)*1440,0),0))</f>
        <v/>
      </c>
      <c r="P999" s="84">
        <f>IF(OR($C999="",$I999="",$K999=""),0,IF(ROUND(($I999-$K999)*1440,0)&gt;設定!$C$46,ROUND(($I999-$K999)*1440,0),0))</f>
        <v/>
      </c>
      <c r="Q999" s="85">
        <f>IF($M999="",0,IF(($M999-IFERROR(INDEX(設定!$G$6:$G$21,MATCH($G999,設定!$B$6:$B$21,0)),0))*60&gt;=設定!$C$44,ROUND(FLOOR(($M999-IFERROR(INDEX(設定!$G$6:$G$21,MATCH($G999,設定!$B$6:$B$21,0)),0))*60,設定!$C$45)/60,2),0))</f>
        <v/>
      </c>
      <c r="R999" s="16">
        <f>IF(OR($C999="",$Q999=0),"",IF($G999="國","國定假日",IF($B999="日","例假",IF($B999="六","休息日","平日"))))</f>
        <v/>
      </c>
      <c r="S999" s="19" t="n"/>
    </row>
    <row r="1000">
      <c r="A1000" s="82">
        <f>IF(OR(助理班表!$A37="",6&gt;DAY(EOMONTH(DATE(設定!$C$2,設定!$D$2,1),0))),"",DATE(設定!$C$2,設定!$D$2,6))</f>
        <v/>
      </c>
      <c r="B1000" s="16">
        <f>IF($A1000="","",INDEX(設定!$O$6:$O$12,WEEKDAY($A1000,1)))</f>
        <v/>
      </c>
      <c r="C1000" s="16">
        <f>IF($A1000="","",助理班表!$A37)</f>
        <v/>
      </c>
      <c r="D1000" s="16">
        <f>IF($C1000="","",助理班表!$B37)</f>
        <v/>
      </c>
      <c r="E1000" s="16">
        <f>IF($C1000="","",助理班表!$D37)</f>
        <v/>
      </c>
      <c r="F1000" s="16">
        <f>IF($C1000="","",助理班表!$C37)</f>
        <v/>
      </c>
      <c r="G1000" s="16">
        <f>IF($C1000="","",助理班表!J37)</f>
        <v/>
      </c>
      <c r="H1000" s="83">
        <f>IF($G1000="","",IFERROR(IF(INDEX(設定!$D$6:$D$21,MATCH($G1000,設定!$B$6:$B$21,0))=0,"",INDEX(設定!$D$6:$D$21,MATCH($G1000,設定!$B$6:$B$21,0))),""))</f>
        <v/>
      </c>
      <c r="I1000" s="83">
        <f>IF($G1000="","",IFERROR(IF(INDEX(設定!$E$6:$E$21,MATCH($G1000,設定!$B$6:$B$21,0))=0,"",INDEX(設定!$E$6:$E$21,MATCH($G1000,設定!$B$6:$B$21,0))),""))</f>
        <v/>
      </c>
      <c r="J1000" s="83">
        <f>IFERROR(INDEX(打卡匯入!$C$3:$C$2002,MATCH($C1000&amp;"|"&amp;DAY($A1000),打卡匯入!$E$3:$E$2002,0)),"")</f>
        <v/>
      </c>
      <c r="K1000" s="83">
        <f>IFERROR(INDEX(打卡匯入!$D$3:$D$2002,MATCH($C1000&amp;"|"&amp;DAY($A1000),打卡匯入!$E$3:$E$2002,0)),"")</f>
        <v/>
      </c>
      <c r="L1000" s="84">
        <f>IF(OR($J1000="",$K1000=""),"",IFERROR(INDEX(設定!$F$6:$F$21,MATCH($G1000,設定!$B$6:$B$21,0)),0))</f>
        <v/>
      </c>
      <c r="M1000" s="85">
        <f>IF(OR($J1000="",$K1000=""),"",ROUND(($K1000-$J1000)*24-$L1000/60,2))</f>
        <v/>
      </c>
      <c r="N1000" s="16">
        <f>IF($C1000="","",IF(AND(COUNTIF(設定!$B$15:$B$21,$G1000)&gt;0,$J1000&lt;&gt;""),"假日出勤",IF(AND(COUNTIF(設定!$B$6:$B$14,$G1000)&gt;0,$J1000=""),"未打卡",IF($J1000="","",IF($O1000&gt;0,"遲到",IF($P1000&gt;0,"早退","正常"))))))</f>
        <v/>
      </c>
      <c r="O1000" s="84">
        <f>IF(OR($C1000="",$H1000="",$J1000=""),0,IF(ROUND(($J1000-$H1000)*1440,0)&gt;設定!$C$46,ROUND(($J1000-$H1000)*1440,0),0))</f>
        <v/>
      </c>
      <c r="P1000" s="84">
        <f>IF(OR($C1000="",$I1000="",$K1000=""),0,IF(ROUND(($I1000-$K1000)*1440,0)&gt;設定!$C$46,ROUND(($I1000-$K1000)*1440,0),0))</f>
        <v/>
      </c>
      <c r="Q1000" s="85">
        <f>IF($M1000="",0,IF(($M1000-IFERROR(INDEX(設定!$G$6:$G$21,MATCH($G1000,設定!$B$6:$B$21,0)),0))*60&gt;=設定!$C$44,ROUND(FLOOR(($M1000-IFERROR(INDEX(設定!$G$6:$G$21,MATCH($G1000,設定!$B$6:$B$21,0)),0))*60,設定!$C$45)/60,2),0))</f>
        <v/>
      </c>
      <c r="R1000" s="16">
        <f>IF(OR($C1000="",$Q1000=0),"",IF($G1000="國","國定假日",IF($B1000="日","例假",IF($B1000="六","休息日","平日"))))</f>
        <v/>
      </c>
      <c r="S1000" s="19" t="n"/>
    </row>
    <row r="1001">
      <c r="A1001" s="82">
        <f>IF(OR(助理班表!$A37="",7&gt;DAY(EOMONTH(DATE(設定!$C$2,設定!$D$2,1),0))),"",DATE(設定!$C$2,設定!$D$2,7))</f>
        <v/>
      </c>
      <c r="B1001" s="16">
        <f>IF($A1001="","",INDEX(設定!$O$6:$O$12,WEEKDAY($A1001,1)))</f>
        <v/>
      </c>
      <c r="C1001" s="16">
        <f>IF($A1001="","",助理班表!$A37)</f>
        <v/>
      </c>
      <c r="D1001" s="16">
        <f>IF($C1001="","",助理班表!$B37)</f>
        <v/>
      </c>
      <c r="E1001" s="16">
        <f>IF($C1001="","",助理班表!$D37)</f>
        <v/>
      </c>
      <c r="F1001" s="16">
        <f>IF($C1001="","",助理班表!$C37)</f>
        <v/>
      </c>
      <c r="G1001" s="16">
        <f>IF($C1001="","",助理班表!K37)</f>
        <v/>
      </c>
      <c r="H1001" s="83">
        <f>IF($G1001="","",IFERROR(IF(INDEX(設定!$D$6:$D$21,MATCH($G1001,設定!$B$6:$B$21,0))=0,"",INDEX(設定!$D$6:$D$21,MATCH($G1001,設定!$B$6:$B$21,0))),""))</f>
        <v/>
      </c>
      <c r="I1001" s="83">
        <f>IF($G1001="","",IFERROR(IF(INDEX(設定!$E$6:$E$21,MATCH($G1001,設定!$B$6:$B$21,0))=0,"",INDEX(設定!$E$6:$E$21,MATCH($G1001,設定!$B$6:$B$21,0))),""))</f>
        <v/>
      </c>
      <c r="J1001" s="83">
        <f>IFERROR(INDEX(打卡匯入!$C$3:$C$2002,MATCH($C1001&amp;"|"&amp;DAY($A1001),打卡匯入!$E$3:$E$2002,0)),"")</f>
        <v/>
      </c>
      <c r="K1001" s="83">
        <f>IFERROR(INDEX(打卡匯入!$D$3:$D$2002,MATCH($C1001&amp;"|"&amp;DAY($A1001),打卡匯入!$E$3:$E$2002,0)),"")</f>
        <v/>
      </c>
      <c r="L1001" s="84">
        <f>IF(OR($J1001="",$K1001=""),"",IFERROR(INDEX(設定!$F$6:$F$21,MATCH($G1001,設定!$B$6:$B$21,0)),0))</f>
        <v/>
      </c>
      <c r="M1001" s="85">
        <f>IF(OR($J1001="",$K1001=""),"",ROUND(($K1001-$J1001)*24-$L1001/60,2))</f>
        <v/>
      </c>
      <c r="N1001" s="16">
        <f>IF($C1001="","",IF(AND(COUNTIF(設定!$B$15:$B$21,$G1001)&gt;0,$J1001&lt;&gt;""),"假日出勤",IF(AND(COUNTIF(設定!$B$6:$B$14,$G1001)&gt;0,$J1001=""),"未打卡",IF($J1001="","",IF($O1001&gt;0,"遲到",IF($P1001&gt;0,"早退","正常"))))))</f>
        <v/>
      </c>
      <c r="O1001" s="84">
        <f>IF(OR($C1001="",$H1001="",$J1001=""),0,IF(ROUND(($J1001-$H1001)*1440,0)&gt;設定!$C$46,ROUND(($J1001-$H1001)*1440,0),0))</f>
        <v/>
      </c>
      <c r="P1001" s="84">
        <f>IF(OR($C1001="",$I1001="",$K1001=""),0,IF(ROUND(($I1001-$K1001)*1440,0)&gt;設定!$C$46,ROUND(($I1001-$K1001)*1440,0),0))</f>
        <v/>
      </c>
      <c r="Q1001" s="85">
        <f>IF($M1001="",0,IF(($M1001-IFERROR(INDEX(設定!$G$6:$G$21,MATCH($G1001,設定!$B$6:$B$21,0)),0))*60&gt;=設定!$C$44,ROUND(FLOOR(($M1001-IFERROR(INDEX(設定!$G$6:$G$21,MATCH($G1001,設定!$B$6:$B$21,0)),0))*60,設定!$C$45)/60,2),0))</f>
        <v/>
      </c>
      <c r="R1001" s="16">
        <f>IF(OR($C1001="",$Q1001=0),"",IF($G1001="國","國定假日",IF($B1001="日","例假",IF($B1001="六","休息日","平日"))))</f>
        <v/>
      </c>
      <c r="S1001" s="19" t="n"/>
    </row>
    <row r="1002">
      <c r="A1002" s="82">
        <f>IF(OR(助理班表!$A37="",8&gt;DAY(EOMONTH(DATE(設定!$C$2,設定!$D$2,1),0))),"",DATE(設定!$C$2,設定!$D$2,8))</f>
        <v/>
      </c>
      <c r="B1002" s="16">
        <f>IF($A1002="","",INDEX(設定!$O$6:$O$12,WEEKDAY($A1002,1)))</f>
        <v/>
      </c>
      <c r="C1002" s="16">
        <f>IF($A1002="","",助理班表!$A37)</f>
        <v/>
      </c>
      <c r="D1002" s="16">
        <f>IF($C1002="","",助理班表!$B37)</f>
        <v/>
      </c>
      <c r="E1002" s="16">
        <f>IF($C1002="","",助理班表!$D37)</f>
        <v/>
      </c>
      <c r="F1002" s="16">
        <f>IF($C1002="","",助理班表!$C37)</f>
        <v/>
      </c>
      <c r="G1002" s="16">
        <f>IF($C1002="","",助理班表!L37)</f>
        <v/>
      </c>
      <c r="H1002" s="83">
        <f>IF($G1002="","",IFERROR(IF(INDEX(設定!$D$6:$D$21,MATCH($G1002,設定!$B$6:$B$21,0))=0,"",INDEX(設定!$D$6:$D$21,MATCH($G1002,設定!$B$6:$B$21,0))),""))</f>
        <v/>
      </c>
      <c r="I1002" s="83">
        <f>IF($G1002="","",IFERROR(IF(INDEX(設定!$E$6:$E$21,MATCH($G1002,設定!$B$6:$B$21,0))=0,"",INDEX(設定!$E$6:$E$21,MATCH($G1002,設定!$B$6:$B$21,0))),""))</f>
        <v/>
      </c>
      <c r="J1002" s="83">
        <f>IFERROR(INDEX(打卡匯入!$C$3:$C$2002,MATCH($C1002&amp;"|"&amp;DAY($A1002),打卡匯入!$E$3:$E$2002,0)),"")</f>
        <v/>
      </c>
      <c r="K1002" s="83">
        <f>IFERROR(INDEX(打卡匯入!$D$3:$D$2002,MATCH($C1002&amp;"|"&amp;DAY($A1002),打卡匯入!$E$3:$E$2002,0)),"")</f>
        <v/>
      </c>
      <c r="L1002" s="84">
        <f>IF(OR($J1002="",$K1002=""),"",IFERROR(INDEX(設定!$F$6:$F$21,MATCH($G1002,設定!$B$6:$B$21,0)),0))</f>
        <v/>
      </c>
      <c r="M1002" s="85">
        <f>IF(OR($J1002="",$K1002=""),"",ROUND(($K1002-$J1002)*24-$L1002/60,2))</f>
        <v/>
      </c>
      <c r="N1002" s="16">
        <f>IF($C1002="","",IF(AND(COUNTIF(設定!$B$15:$B$21,$G1002)&gt;0,$J1002&lt;&gt;""),"假日出勤",IF(AND(COUNTIF(設定!$B$6:$B$14,$G1002)&gt;0,$J1002=""),"未打卡",IF($J1002="","",IF($O1002&gt;0,"遲到",IF($P1002&gt;0,"早退","正常"))))))</f>
        <v/>
      </c>
      <c r="O1002" s="84">
        <f>IF(OR($C1002="",$H1002="",$J1002=""),0,IF(ROUND(($J1002-$H1002)*1440,0)&gt;設定!$C$46,ROUND(($J1002-$H1002)*1440,0),0))</f>
        <v/>
      </c>
      <c r="P1002" s="84">
        <f>IF(OR($C1002="",$I1002="",$K1002=""),0,IF(ROUND(($I1002-$K1002)*1440,0)&gt;設定!$C$46,ROUND(($I1002-$K1002)*1440,0),0))</f>
        <v/>
      </c>
      <c r="Q1002" s="85">
        <f>IF($M1002="",0,IF(($M1002-IFERROR(INDEX(設定!$G$6:$G$21,MATCH($G1002,設定!$B$6:$B$21,0)),0))*60&gt;=設定!$C$44,ROUND(FLOOR(($M1002-IFERROR(INDEX(設定!$G$6:$G$21,MATCH($G1002,設定!$B$6:$B$21,0)),0))*60,設定!$C$45)/60,2),0))</f>
        <v/>
      </c>
      <c r="R1002" s="16">
        <f>IF(OR($C1002="",$Q1002=0),"",IF($G1002="國","國定假日",IF($B1002="日","例假",IF($B1002="六","休息日","平日"))))</f>
        <v/>
      </c>
      <c r="S1002" s="19" t="n"/>
    </row>
    <row r="1003">
      <c r="A1003" s="82">
        <f>IF(OR(助理班表!$A37="",9&gt;DAY(EOMONTH(DATE(設定!$C$2,設定!$D$2,1),0))),"",DATE(設定!$C$2,設定!$D$2,9))</f>
        <v/>
      </c>
      <c r="B1003" s="16">
        <f>IF($A1003="","",INDEX(設定!$O$6:$O$12,WEEKDAY($A1003,1)))</f>
        <v/>
      </c>
      <c r="C1003" s="16">
        <f>IF($A1003="","",助理班表!$A37)</f>
        <v/>
      </c>
      <c r="D1003" s="16">
        <f>IF($C1003="","",助理班表!$B37)</f>
        <v/>
      </c>
      <c r="E1003" s="16">
        <f>IF($C1003="","",助理班表!$D37)</f>
        <v/>
      </c>
      <c r="F1003" s="16">
        <f>IF($C1003="","",助理班表!$C37)</f>
        <v/>
      </c>
      <c r="G1003" s="16">
        <f>IF($C1003="","",助理班表!M37)</f>
        <v/>
      </c>
      <c r="H1003" s="83">
        <f>IF($G1003="","",IFERROR(IF(INDEX(設定!$D$6:$D$21,MATCH($G1003,設定!$B$6:$B$21,0))=0,"",INDEX(設定!$D$6:$D$21,MATCH($G1003,設定!$B$6:$B$21,0))),""))</f>
        <v/>
      </c>
      <c r="I1003" s="83">
        <f>IF($G1003="","",IFERROR(IF(INDEX(設定!$E$6:$E$21,MATCH($G1003,設定!$B$6:$B$21,0))=0,"",INDEX(設定!$E$6:$E$21,MATCH($G1003,設定!$B$6:$B$21,0))),""))</f>
        <v/>
      </c>
      <c r="J1003" s="83">
        <f>IFERROR(INDEX(打卡匯入!$C$3:$C$2002,MATCH($C1003&amp;"|"&amp;DAY($A1003),打卡匯入!$E$3:$E$2002,0)),"")</f>
        <v/>
      </c>
      <c r="K1003" s="83">
        <f>IFERROR(INDEX(打卡匯入!$D$3:$D$2002,MATCH($C1003&amp;"|"&amp;DAY($A1003),打卡匯入!$E$3:$E$2002,0)),"")</f>
        <v/>
      </c>
      <c r="L1003" s="84">
        <f>IF(OR($J1003="",$K1003=""),"",IFERROR(INDEX(設定!$F$6:$F$21,MATCH($G1003,設定!$B$6:$B$21,0)),0))</f>
        <v/>
      </c>
      <c r="M1003" s="85">
        <f>IF(OR($J1003="",$K1003=""),"",ROUND(($K1003-$J1003)*24-$L1003/60,2))</f>
        <v/>
      </c>
      <c r="N1003" s="16">
        <f>IF($C1003="","",IF(AND(COUNTIF(設定!$B$15:$B$21,$G1003)&gt;0,$J1003&lt;&gt;""),"假日出勤",IF(AND(COUNTIF(設定!$B$6:$B$14,$G1003)&gt;0,$J1003=""),"未打卡",IF($J1003="","",IF($O1003&gt;0,"遲到",IF($P1003&gt;0,"早退","正常"))))))</f>
        <v/>
      </c>
      <c r="O1003" s="84">
        <f>IF(OR($C1003="",$H1003="",$J1003=""),0,IF(ROUND(($J1003-$H1003)*1440,0)&gt;設定!$C$46,ROUND(($J1003-$H1003)*1440,0),0))</f>
        <v/>
      </c>
      <c r="P1003" s="84">
        <f>IF(OR($C1003="",$I1003="",$K1003=""),0,IF(ROUND(($I1003-$K1003)*1440,0)&gt;設定!$C$46,ROUND(($I1003-$K1003)*1440,0),0))</f>
        <v/>
      </c>
      <c r="Q1003" s="85">
        <f>IF($M1003="",0,IF(($M1003-IFERROR(INDEX(設定!$G$6:$G$21,MATCH($G1003,設定!$B$6:$B$21,0)),0))*60&gt;=設定!$C$44,ROUND(FLOOR(($M1003-IFERROR(INDEX(設定!$G$6:$G$21,MATCH($G1003,設定!$B$6:$B$21,0)),0))*60,設定!$C$45)/60,2),0))</f>
        <v/>
      </c>
      <c r="R1003" s="16">
        <f>IF(OR($C1003="",$Q1003=0),"",IF($G1003="國","國定假日",IF($B1003="日","例假",IF($B1003="六","休息日","平日"))))</f>
        <v/>
      </c>
      <c r="S1003" s="19" t="n"/>
    </row>
    <row r="1004">
      <c r="A1004" s="82">
        <f>IF(OR(助理班表!$A37="",10&gt;DAY(EOMONTH(DATE(設定!$C$2,設定!$D$2,1),0))),"",DATE(設定!$C$2,設定!$D$2,10))</f>
        <v/>
      </c>
      <c r="B1004" s="16">
        <f>IF($A1004="","",INDEX(設定!$O$6:$O$12,WEEKDAY($A1004,1)))</f>
        <v/>
      </c>
      <c r="C1004" s="16">
        <f>IF($A1004="","",助理班表!$A37)</f>
        <v/>
      </c>
      <c r="D1004" s="16">
        <f>IF($C1004="","",助理班表!$B37)</f>
        <v/>
      </c>
      <c r="E1004" s="16">
        <f>IF($C1004="","",助理班表!$D37)</f>
        <v/>
      </c>
      <c r="F1004" s="16">
        <f>IF($C1004="","",助理班表!$C37)</f>
        <v/>
      </c>
      <c r="G1004" s="16">
        <f>IF($C1004="","",助理班表!N37)</f>
        <v/>
      </c>
      <c r="H1004" s="83">
        <f>IF($G1004="","",IFERROR(IF(INDEX(設定!$D$6:$D$21,MATCH($G1004,設定!$B$6:$B$21,0))=0,"",INDEX(設定!$D$6:$D$21,MATCH($G1004,設定!$B$6:$B$21,0))),""))</f>
        <v/>
      </c>
      <c r="I1004" s="83">
        <f>IF($G1004="","",IFERROR(IF(INDEX(設定!$E$6:$E$21,MATCH($G1004,設定!$B$6:$B$21,0))=0,"",INDEX(設定!$E$6:$E$21,MATCH($G1004,設定!$B$6:$B$21,0))),""))</f>
        <v/>
      </c>
      <c r="J1004" s="83">
        <f>IFERROR(INDEX(打卡匯入!$C$3:$C$2002,MATCH($C1004&amp;"|"&amp;DAY($A1004),打卡匯入!$E$3:$E$2002,0)),"")</f>
        <v/>
      </c>
      <c r="K1004" s="83">
        <f>IFERROR(INDEX(打卡匯入!$D$3:$D$2002,MATCH($C1004&amp;"|"&amp;DAY($A1004),打卡匯入!$E$3:$E$2002,0)),"")</f>
        <v/>
      </c>
      <c r="L1004" s="84">
        <f>IF(OR($J1004="",$K1004=""),"",IFERROR(INDEX(設定!$F$6:$F$21,MATCH($G1004,設定!$B$6:$B$21,0)),0))</f>
        <v/>
      </c>
      <c r="M1004" s="85">
        <f>IF(OR($J1004="",$K1004=""),"",ROUND(($K1004-$J1004)*24-$L1004/60,2))</f>
        <v/>
      </c>
      <c r="N1004" s="16">
        <f>IF($C1004="","",IF(AND(COUNTIF(設定!$B$15:$B$21,$G1004)&gt;0,$J1004&lt;&gt;""),"假日出勤",IF(AND(COUNTIF(設定!$B$6:$B$14,$G1004)&gt;0,$J1004=""),"未打卡",IF($J1004="","",IF($O1004&gt;0,"遲到",IF($P1004&gt;0,"早退","正常"))))))</f>
        <v/>
      </c>
      <c r="O1004" s="84">
        <f>IF(OR($C1004="",$H1004="",$J1004=""),0,IF(ROUND(($J1004-$H1004)*1440,0)&gt;設定!$C$46,ROUND(($J1004-$H1004)*1440,0),0))</f>
        <v/>
      </c>
      <c r="P1004" s="84">
        <f>IF(OR($C1004="",$I1004="",$K1004=""),0,IF(ROUND(($I1004-$K1004)*1440,0)&gt;設定!$C$46,ROUND(($I1004-$K1004)*1440,0),0))</f>
        <v/>
      </c>
      <c r="Q1004" s="85">
        <f>IF($M1004="",0,IF(($M1004-IFERROR(INDEX(設定!$G$6:$G$21,MATCH($G1004,設定!$B$6:$B$21,0)),0))*60&gt;=設定!$C$44,ROUND(FLOOR(($M1004-IFERROR(INDEX(設定!$G$6:$G$21,MATCH($G1004,設定!$B$6:$B$21,0)),0))*60,設定!$C$45)/60,2),0))</f>
        <v/>
      </c>
      <c r="R1004" s="16">
        <f>IF(OR($C1004="",$Q1004=0),"",IF($G1004="國","國定假日",IF($B1004="日","例假",IF($B1004="六","休息日","平日"))))</f>
        <v/>
      </c>
      <c r="S1004" s="19" t="n"/>
    </row>
    <row r="1005">
      <c r="A1005" s="82">
        <f>IF(OR(助理班表!$A37="",11&gt;DAY(EOMONTH(DATE(設定!$C$2,設定!$D$2,1),0))),"",DATE(設定!$C$2,設定!$D$2,11))</f>
        <v/>
      </c>
      <c r="B1005" s="16">
        <f>IF($A1005="","",INDEX(設定!$O$6:$O$12,WEEKDAY($A1005,1)))</f>
        <v/>
      </c>
      <c r="C1005" s="16">
        <f>IF($A1005="","",助理班表!$A37)</f>
        <v/>
      </c>
      <c r="D1005" s="16">
        <f>IF($C1005="","",助理班表!$B37)</f>
        <v/>
      </c>
      <c r="E1005" s="16">
        <f>IF($C1005="","",助理班表!$D37)</f>
        <v/>
      </c>
      <c r="F1005" s="16">
        <f>IF($C1005="","",助理班表!$C37)</f>
        <v/>
      </c>
      <c r="G1005" s="16">
        <f>IF($C1005="","",助理班表!O37)</f>
        <v/>
      </c>
      <c r="H1005" s="83">
        <f>IF($G1005="","",IFERROR(IF(INDEX(設定!$D$6:$D$21,MATCH($G1005,設定!$B$6:$B$21,0))=0,"",INDEX(設定!$D$6:$D$21,MATCH($G1005,設定!$B$6:$B$21,0))),""))</f>
        <v/>
      </c>
      <c r="I1005" s="83">
        <f>IF($G1005="","",IFERROR(IF(INDEX(設定!$E$6:$E$21,MATCH($G1005,設定!$B$6:$B$21,0))=0,"",INDEX(設定!$E$6:$E$21,MATCH($G1005,設定!$B$6:$B$21,0))),""))</f>
        <v/>
      </c>
      <c r="J1005" s="83">
        <f>IFERROR(INDEX(打卡匯入!$C$3:$C$2002,MATCH($C1005&amp;"|"&amp;DAY($A1005),打卡匯入!$E$3:$E$2002,0)),"")</f>
        <v/>
      </c>
      <c r="K1005" s="83">
        <f>IFERROR(INDEX(打卡匯入!$D$3:$D$2002,MATCH($C1005&amp;"|"&amp;DAY($A1005),打卡匯入!$E$3:$E$2002,0)),"")</f>
        <v/>
      </c>
      <c r="L1005" s="84">
        <f>IF(OR($J1005="",$K1005=""),"",IFERROR(INDEX(設定!$F$6:$F$21,MATCH($G1005,設定!$B$6:$B$21,0)),0))</f>
        <v/>
      </c>
      <c r="M1005" s="85">
        <f>IF(OR($J1005="",$K1005=""),"",ROUND(($K1005-$J1005)*24-$L1005/60,2))</f>
        <v/>
      </c>
      <c r="N1005" s="16">
        <f>IF($C1005="","",IF(AND(COUNTIF(設定!$B$15:$B$21,$G1005)&gt;0,$J1005&lt;&gt;""),"假日出勤",IF(AND(COUNTIF(設定!$B$6:$B$14,$G1005)&gt;0,$J1005=""),"未打卡",IF($J1005="","",IF($O1005&gt;0,"遲到",IF($P1005&gt;0,"早退","正常"))))))</f>
        <v/>
      </c>
      <c r="O1005" s="84">
        <f>IF(OR($C1005="",$H1005="",$J1005=""),0,IF(ROUND(($J1005-$H1005)*1440,0)&gt;設定!$C$46,ROUND(($J1005-$H1005)*1440,0),0))</f>
        <v/>
      </c>
      <c r="P1005" s="84">
        <f>IF(OR($C1005="",$I1005="",$K1005=""),0,IF(ROUND(($I1005-$K1005)*1440,0)&gt;設定!$C$46,ROUND(($I1005-$K1005)*1440,0),0))</f>
        <v/>
      </c>
      <c r="Q1005" s="85">
        <f>IF($M1005="",0,IF(($M1005-IFERROR(INDEX(設定!$G$6:$G$21,MATCH($G1005,設定!$B$6:$B$21,0)),0))*60&gt;=設定!$C$44,ROUND(FLOOR(($M1005-IFERROR(INDEX(設定!$G$6:$G$21,MATCH($G1005,設定!$B$6:$B$21,0)),0))*60,設定!$C$45)/60,2),0))</f>
        <v/>
      </c>
      <c r="R1005" s="16">
        <f>IF(OR($C1005="",$Q1005=0),"",IF($G1005="國","國定假日",IF($B1005="日","例假",IF($B1005="六","休息日","平日"))))</f>
        <v/>
      </c>
      <c r="S1005" s="19" t="n"/>
    </row>
    <row r="1006">
      <c r="A1006" s="82">
        <f>IF(OR(助理班表!$A37="",12&gt;DAY(EOMONTH(DATE(設定!$C$2,設定!$D$2,1),0))),"",DATE(設定!$C$2,設定!$D$2,12))</f>
        <v/>
      </c>
      <c r="B1006" s="16">
        <f>IF($A1006="","",INDEX(設定!$O$6:$O$12,WEEKDAY($A1006,1)))</f>
        <v/>
      </c>
      <c r="C1006" s="16">
        <f>IF($A1006="","",助理班表!$A37)</f>
        <v/>
      </c>
      <c r="D1006" s="16">
        <f>IF($C1006="","",助理班表!$B37)</f>
        <v/>
      </c>
      <c r="E1006" s="16">
        <f>IF($C1006="","",助理班表!$D37)</f>
        <v/>
      </c>
      <c r="F1006" s="16">
        <f>IF($C1006="","",助理班表!$C37)</f>
        <v/>
      </c>
      <c r="G1006" s="16">
        <f>IF($C1006="","",助理班表!P37)</f>
        <v/>
      </c>
      <c r="H1006" s="83">
        <f>IF($G1006="","",IFERROR(IF(INDEX(設定!$D$6:$D$21,MATCH($G1006,設定!$B$6:$B$21,0))=0,"",INDEX(設定!$D$6:$D$21,MATCH($G1006,設定!$B$6:$B$21,0))),""))</f>
        <v/>
      </c>
      <c r="I1006" s="83">
        <f>IF($G1006="","",IFERROR(IF(INDEX(設定!$E$6:$E$21,MATCH($G1006,設定!$B$6:$B$21,0))=0,"",INDEX(設定!$E$6:$E$21,MATCH($G1006,設定!$B$6:$B$21,0))),""))</f>
        <v/>
      </c>
      <c r="J1006" s="83">
        <f>IFERROR(INDEX(打卡匯入!$C$3:$C$2002,MATCH($C1006&amp;"|"&amp;DAY($A1006),打卡匯入!$E$3:$E$2002,0)),"")</f>
        <v/>
      </c>
      <c r="K1006" s="83">
        <f>IFERROR(INDEX(打卡匯入!$D$3:$D$2002,MATCH($C1006&amp;"|"&amp;DAY($A1006),打卡匯入!$E$3:$E$2002,0)),"")</f>
        <v/>
      </c>
      <c r="L1006" s="84">
        <f>IF(OR($J1006="",$K1006=""),"",IFERROR(INDEX(設定!$F$6:$F$21,MATCH($G1006,設定!$B$6:$B$21,0)),0))</f>
        <v/>
      </c>
      <c r="M1006" s="85">
        <f>IF(OR($J1006="",$K1006=""),"",ROUND(($K1006-$J1006)*24-$L1006/60,2))</f>
        <v/>
      </c>
      <c r="N1006" s="16">
        <f>IF($C1006="","",IF(AND(COUNTIF(設定!$B$15:$B$21,$G1006)&gt;0,$J1006&lt;&gt;""),"假日出勤",IF(AND(COUNTIF(設定!$B$6:$B$14,$G1006)&gt;0,$J1006=""),"未打卡",IF($J1006="","",IF($O1006&gt;0,"遲到",IF($P1006&gt;0,"早退","正常"))))))</f>
        <v/>
      </c>
      <c r="O1006" s="84">
        <f>IF(OR($C1006="",$H1006="",$J1006=""),0,IF(ROUND(($J1006-$H1006)*1440,0)&gt;設定!$C$46,ROUND(($J1006-$H1006)*1440,0),0))</f>
        <v/>
      </c>
      <c r="P1006" s="84">
        <f>IF(OR($C1006="",$I1006="",$K1006=""),0,IF(ROUND(($I1006-$K1006)*1440,0)&gt;設定!$C$46,ROUND(($I1006-$K1006)*1440,0),0))</f>
        <v/>
      </c>
      <c r="Q1006" s="85">
        <f>IF($M1006="",0,IF(($M1006-IFERROR(INDEX(設定!$G$6:$G$21,MATCH($G1006,設定!$B$6:$B$21,0)),0))*60&gt;=設定!$C$44,ROUND(FLOOR(($M1006-IFERROR(INDEX(設定!$G$6:$G$21,MATCH($G1006,設定!$B$6:$B$21,0)),0))*60,設定!$C$45)/60,2),0))</f>
        <v/>
      </c>
      <c r="R1006" s="16">
        <f>IF(OR($C1006="",$Q1006=0),"",IF($G1006="國","國定假日",IF($B1006="日","例假",IF($B1006="六","休息日","平日"))))</f>
        <v/>
      </c>
      <c r="S1006" s="19" t="n"/>
    </row>
    <row r="1007">
      <c r="A1007" s="82">
        <f>IF(OR(助理班表!$A37="",13&gt;DAY(EOMONTH(DATE(設定!$C$2,設定!$D$2,1),0))),"",DATE(設定!$C$2,設定!$D$2,13))</f>
        <v/>
      </c>
      <c r="B1007" s="16">
        <f>IF($A1007="","",INDEX(設定!$O$6:$O$12,WEEKDAY($A1007,1)))</f>
        <v/>
      </c>
      <c r="C1007" s="16">
        <f>IF($A1007="","",助理班表!$A37)</f>
        <v/>
      </c>
      <c r="D1007" s="16">
        <f>IF($C1007="","",助理班表!$B37)</f>
        <v/>
      </c>
      <c r="E1007" s="16">
        <f>IF($C1007="","",助理班表!$D37)</f>
        <v/>
      </c>
      <c r="F1007" s="16">
        <f>IF($C1007="","",助理班表!$C37)</f>
        <v/>
      </c>
      <c r="G1007" s="16">
        <f>IF($C1007="","",助理班表!Q37)</f>
        <v/>
      </c>
      <c r="H1007" s="83">
        <f>IF($G1007="","",IFERROR(IF(INDEX(設定!$D$6:$D$21,MATCH($G1007,設定!$B$6:$B$21,0))=0,"",INDEX(設定!$D$6:$D$21,MATCH($G1007,設定!$B$6:$B$21,0))),""))</f>
        <v/>
      </c>
      <c r="I1007" s="83">
        <f>IF($G1007="","",IFERROR(IF(INDEX(設定!$E$6:$E$21,MATCH($G1007,設定!$B$6:$B$21,0))=0,"",INDEX(設定!$E$6:$E$21,MATCH($G1007,設定!$B$6:$B$21,0))),""))</f>
        <v/>
      </c>
      <c r="J1007" s="83">
        <f>IFERROR(INDEX(打卡匯入!$C$3:$C$2002,MATCH($C1007&amp;"|"&amp;DAY($A1007),打卡匯入!$E$3:$E$2002,0)),"")</f>
        <v/>
      </c>
      <c r="K1007" s="83">
        <f>IFERROR(INDEX(打卡匯入!$D$3:$D$2002,MATCH($C1007&amp;"|"&amp;DAY($A1007),打卡匯入!$E$3:$E$2002,0)),"")</f>
        <v/>
      </c>
      <c r="L1007" s="84">
        <f>IF(OR($J1007="",$K1007=""),"",IFERROR(INDEX(設定!$F$6:$F$21,MATCH($G1007,設定!$B$6:$B$21,0)),0))</f>
        <v/>
      </c>
      <c r="M1007" s="85">
        <f>IF(OR($J1007="",$K1007=""),"",ROUND(($K1007-$J1007)*24-$L1007/60,2))</f>
        <v/>
      </c>
      <c r="N1007" s="16">
        <f>IF($C1007="","",IF(AND(COUNTIF(設定!$B$15:$B$21,$G1007)&gt;0,$J1007&lt;&gt;""),"假日出勤",IF(AND(COUNTIF(設定!$B$6:$B$14,$G1007)&gt;0,$J1007=""),"未打卡",IF($J1007="","",IF($O1007&gt;0,"遲到",IF($P1007&gt;0,"早退","正常"))))))</f>
        <v/>
      </c>
      <c r="O1007" s="84">
        <f>IF(OR($C1007="",$H1007="",$J1007=""),0,IF(ROUND(($J1007-$H1007)*1440,0)&gt;設定!$C$46,ROUND(($J1007-$H1007)*1440,0),0))</f>
        <v/>
      </c>
      <c r="P1007" s="84">
        <f>IF(OR($C1007="",$I1007="",$K1007=""),0,IF(ROUND(($I1007-$K1007)*1440,0)&gt;設定!$C$46,ROUND(($I1007-$K1007)*1440,0),0))</f>
        <v/>
      </c>
      <c r="Q1007" s="85">
        <f>IF($M1007="",0,IF(($M1007-IFERROR(INDEX(設定!$G$6:$G$21,MATCH($G1007,設定!$B$6:$B$21,0)),0))*60&gt;=設定!$C$44,ROUND(FLOOR(($M1007-IFERROR(INDEX(設定!$G$6:$G$21,MATCH($G1007,設定!$B$6:$B$21,0)),0))*60,設定!$C$45)/60,2),0))</f>
        <v/>
      </c>
      <c r="R1007" s="16">
        <f>IF(OR($C1007="",$Q1007=0),"",IF($G1007="國","國定假日",IF($B1007="日","例假",IF($B1007="六","休息日","平日"))))</f>
        <v/>
      </c>
      <c r="S1007" s="19" t="n"/>
    </row>
    <row r="1008">
      <c r="A1008" s="82">
        <f>IF(OR(助理班表!$A37="",14&gt;DAY(EOMONTH(DATE(設定!$C$2,設定!$D$2,1),0))),"",DATE(設定!$C$2,設定!$D$2,14))</f>
        <v/>
      </c>
      <c r="B1008" s="16">
        <f>IF($A1008="","",INDEX(設定!$O$6:$O$12,WEEKDAY($A1008,1)))</f>
        <v/>
      </c>
      <c r="C1008" s="16">
        <f>IF($A1008="","",助理班表!$A37)</f>
        <v/>
      </c>
      <c r="D1008" s="16">
        <f>IF($C1008="","",助理班表!$B37)</f>
        <v/>
      </c>
      <c r="E1008" s="16">
        <f>IF($C1008="","",助理班表!$D37)</f>
        <v/>
      </c>
      <c r="F1008" s="16">
        <f>IF($C1008="","",助理班表!$C37)</f>
        <v/>
      </c>
      <c r="G1008" s="16">
        <f>IF($C1008="","",助理班表!R37)</f>
        <v/>
      </c>
      <c r="H1008" s="83">
        <f>IF($G1008="","",IFERROR(IF(INDEX(設定!$D$6:$D$21,MATCH($G1008,設定!$B$6:$B$21,0))=0,"",INDEX(設定!$D$6:$D$21,MATCH($G1008,設定!$B$6:$B$21,0))),""))</f>
        <v/>
      </c>
      <c r="I1008" s="83">
        <f>IF($G1008="","",IFERROR(IF(INDEX(設定!$E$6:$E$21,MATCH($G1008,設定!$B$6:$B$21,0))=0,"",INDEX(設定!$E$6:$E$21,MATCH($G1008,設定!$B$6:$B$21,0))),""))</f>
        <v/>
      </c>
      <c r="J1008" s="83">
        <f>IFERROR(INDEX(打卡匯入!$C$3:$C$2002,MATCH($C1008&amp;"|"&amp;DAY($A1008),打卡匯入!$E$3:$E$2002,0)),"")</f>
        <v/>
      </c>
      <c r="K1008" s="83">
        <f>IFERROR(INDEX(打卡匯入!$D$3:$D$2002,MATCH($C1008&amp;"|"&amp;DAY($A1008),打卡匯入!$E$3:$E$2002,0)),"")</f>
        <v/>
      </c>
      <c r="L1008" s="84">
        <f>IF(OR($J1008="",$K1008=""),"",IFERROR(INDEX(設定!$F$6:$F$21,MATCH($G1008,設定!$B$6:$B$21,0)),0))</f>
        <v/>
      </c>
      <c r="M1008" s="85">
        <f>IF(OR($J1008="",$K1008=""),"",ROUND(($K1008-$J1008)*24-$L1008/60,2))</f>
        <v/>
      </c>
      <c r="N1008" s="16">
        <f>IF($C1008="","",IF(AND(COUNTIF(設定!$B$15:$B$21,$G1008)&gt;0,$J1008&lt;&gt;""),"假日出勤",IF(AND(COUNTIF(設定!$B$6:$B$14,$G1008)&gt;0,$J1008=""),"未打卡",IF($J1008="","",IF($O1008&gt;0,"遲到",IF($P1008&gt;0,"早退","正常"))))))</f>
        <v/>
      </c>
      <c r="O1008" s="84">
        <f>IF(OR($C1008="",$H1008="",$J1008=""),0,IF(ROUND(($J1008-$H1008)*1440,0)&gt;設定!$C$46,ROUND(($J1008-$H1008)*1440,0),0))</f>
        <v/>
      </c>
      <c r="P1008" s="84">
        <f>IF(OR($C1008="",$I1008="",$K1008=""),0,IF(ROUND(($I1008-$K1008)*1440,0)&gt;設定!$C$46,ROUND(($I1008-$K1008)*1440,0),0))</f>
        <v/>
      </c>
      <c r="Q1008" s="85">
        <f>IF($M1008="",0,IF(($M1008-IFERROR(INDEX(設定!$G$6:$G$21,MATCH($G1008,設定!$B$6:$B$21,0)),0))*60&gt;=設定!$C$44,ROUND(FLOOR(($M1008-IFERROR(INDEX(設定!$G$6:$G$21,MATCH($G1008,設定!$B$6:$B$21,0)),0))*60,設定!$C$45)/60,2),0))</f>
        <v/>
      </c>
      <c r="R1008" s="16">
        <f>IF(OR($C1008="",$Q1008=0),"",IF($G1008="國","國定假日",IF($B1008="日","例假",IF($B1008="六","休息日","平日"))))</f>
        <v/>
      </c>
      <c r="S1008" s="19" t="n"/>
    </row>
    <row r="1009">
      <c r="A1009" s="82">
        <f>IF(OR(助理班表!$A37="",15&gt;DAY(EOMONTH(DATE(設定!$C$2,設定!$D$2,1),0))),"",DATE(設定!$C$2,設定!$D$2,15))</f>
        <v/>
      </c>
      <c r="B1009" s="16">
        <f>IF($A1009="","",INDEX(設定!$O$6:$O$12,WEEKDAY($A1009,1)))</f>
        <v/>
      </c>
      <c r="C1009" s="16">
        <f>IF($A1009="","",助理班表!$A37)</f>
        <v/>
      </c>
      <c r="D1009" s="16">
        <f>IF($C1009="","",助理班表!$B37)</f>
        <v/>
      </c>
      <c r="E1009" s="16">
        <f>IF($C1009="","",助理班表!$D37)</f>
        <v/>
      </c>
      <c r="F1009" s="16">
        <f>IF($C1009="","",助理班表!$C37)</f>
        <v/>
      </c>
      <c r="G1009" s="16">
        <f>IF($C1009="","",助理班表!S37)</f>
        <v/>
      </c>
      <c r="H1009" s="83">
        <f>IF($G1009="","",IFERROR(IF(INDEX(設定!$D$6:$D$21,MATCH($G1009,設定!$B$6:$B$21,0))=0,"",INDEX(設定!$D$6:$D$21,MATCH($G1009,設定!$B$6:$B$21,0))),""))</f>
        <v/>
      </c>
      <c r="I1009" s="83">
        <f>IF($G1009="","",IFERROR(IF(INDEX(設定!$E$6:$E$21,MATCH($G1009,設定!$B$6:$B$21,0))=0,"",INDEX(設定!$E$6:$E$21,MATCH($G1009,設定!$B$6:$B$21,0))),""))</f>
        <v/>
      </c>
      <c r="J1009" s="83">
        <f>IFERROR(INDEX(打卡匯入!$C$3:$C$2002,MATCH($C1009&amp;"|"&amp;DAY($A1009),打卡匯入!$E$3:$E$2002,0)),"")</f>
        <v/>
      </c>
      <c r="K1009" s="83">
        <f>IFERROR(INDEX(打卡匯入!$D$3:$D$2002,MATCH($C1009&amp;"|"&amp;DAY($A1009),打卡匯入!$E$3:$E$2002,0)),"")</f>
        <v/>
      </c>
      <c r="L1009" s="84">
        <f>IF(OR($J1009="",$K1009=""),"",IFERROR(INDEX(設定!$F$6:$F$21,MATCH($G1009,設定!$B$6:$B$21,0)),0))</f>
        <v/>
      </c>
      <c r="M1009" s="85">
        <f>IF(OR($J1009="",$K1009=""),"",ROUND(($K1009-$J1009)*24-$L1009/60,2))</f>
        <v/>
      </c>
      <c r="N1009" s="16">
        <f>IF($C1009="","",IF(AND(COUNTIF(設定!$B$15:$B$21,$G1009)&gt;0,$J1009&lt;&gt;""),"假日出勤",IF(AND(COUNTIF(設定!$B$6:$B$14,$G1009)&gt;0,$J1009=""),"未打卡",IF($J1009="","",IF($O1009&gt;0,"遲到",IF($P1009&gt;0,"早退","正常"))))))</f>
        <v/>
      </c>
      <c r="O1009" s="84">
        <f>IF(OR($C1009="",$H1009="",$J1009=""),0,IF(ROUND(($J1009-$H1009)*1440,0)&gt;設定!$C$46,ROUND(($J1009-$H1009)*1440,0),0))</f>
        <v/>
      </c>
      <c r="P1009" s="84">
        <f>IF(OR($C1009="",$I1009="",$K1009=""),0,IF(ROUND(($I1009-$K1009)*1440,0)&gt;設定!$C$46,ROUND(($I1009-$K1009)*1440,0),0))</f>
        <v/>
      </c>
      <c r="Q1009" s="85">
        <f>IF($M1009="",0,IF(($M1009-IFERROR(INDEX(設定!$G$6:$G$21,MATCH($G1009,設定!$B$6:$B$21,0)),0))*60&gt;=設定!$C$44,ROUND(FLOOR(($M1009-IFERROR(INDEX(設定!$G$6:$G$21,MATCH($G1009,設定!$B$6:$B$21,0)),0))*60,設定!$C$45)/60,2),0))</f>
        <v/>
      </c>
      <c r="R1009" s="16">
        <f>IF(OR($C1009="",$Q1009=0),"",IF($G1009="國","國定假日",IF($B1009="日","例假",IF($B1009="六","休息日","平日"))))</f>
        <v/>
      </c>
      <c r="S1009" s="19" t="n"/>
    </row>
    <row r="1010">
      <c r="A1010" s="82">
        <f>IF(OR(助理班表!$A37="",16&gt;DAY(EOMONTH(DATE(設定!$C$2,設定!$D$2,1),0))),"",DATE(設定!$C$2,設定!$D$2,16))</f>
        <v/>
      </c>
      <c r="B1010" s="16">
        <f>IF($A1010="","",INDEX(設定!$O$6:$O$12,WEEKDAY($A1010,1)))</f>
        <v/>
      </c>
      <c r="C1010" s="16">
        <f>IF($A1010="","",助理班表!$A37)</f>
        <v/>
      </c>
      <c r="D1010" s="16">
        <f>IF($C1010="","",助理班表!$B37)</f>
        <v/>
      </c>
      <c r="E1010" s="16">
        <f>IF($C1010="","",助理班表!$D37)</f>
        <v/>
      </c>
      <c r="F1010" s="16">
        <f>IF($C1010="","",助理班表!$C37)</f>
        <v/>
      </c>
      <c r="G1010" s="16">
        <f>IF($C1010="","",助理班表!T37)</f>
        <v/>
      </c>
      <c r="H1010" s="83">
        <f>IF($G1010="","",IFERROR(IF(INDEX(設定!$D$6:$D$21,MATCH($G1010,設定!$B$6:$B$21,0))=0,"",INDEX(設定!$D$6:$D$21,MATCH($G1010,設定!$B$6:$B$21,0))),""))</f>
        <v/>
      </c>
      <c r="I1010" s="83">
        <f>IF($G1010="","",IFERROR(IF(INDEX(設定!$E$6:$E$21,MATCH($G1010,設定!$B$6:$B$21,0))=0,"",INDEX(設定!$E$6:$E$21,MATCH($G1010,設定!$B$6:$B$21,0))),""))</f>
        <v/>
      </c>
      <c r="J1010" s="83">
        <f>IFERROR(INDEX(打卡匯入!$C$3:$C$2002,MATCH($C1010&amp;"|"&amp;DAY($A1010),打卡匯入!$E$3:$E$2002,0)),"")</f>
        <v/>
      </c>
      <c r="K1010" s="83">
        <f>IFERROR(INDEX(打卡匯入!$D$3:$D$2002,MATCH($C1010&amp;"|"&amp;DAY($A1010),打卡匯入!$E$3:$E$2002,0)),"")</f>
        <v/>
      </c>
      <c r="L1010" s="84">
        <f>IF(OR($J1010="",$K1010=""),"",IFERROR(INDEX(設定!$F$6:$F$21,MATCH($G1010,設定!$B$6:$B$21,0)),0))</f>
        <v/>
      </c>
      <c r="M1010" s="85">
        <f>IF(OR($J1010="",$K1010=""),"",ROUND(($K1010-$J1010)*24-$L1010/60,2))</f>
        <v/>
      </c>
      <c r="N1010" s="16">
        <f>IF($C1010="","",IF(AND(COUNTIF(設定!$B$15:$B$21,$G1010)&gt;0,$J1010&lt;&gt;""),"假日出勤",IF(AND(COUNTIF(設定!$B$6:$B$14,$G1010)&gt;0,$J1010=""),"未打卡",IF($J1010="","",IF($O1010&gt;0,"遲到",IF($P1010&gt;0,"早退","正常"))))))</f>
        <v/>
      </c>
      <c r="O1010" s="84">
        <f>IF(OR($C1010="",$H1010="",$J1010=""),0,IF(ROUND(($J1010-$H1010)*1440,0)&gt;設定!$C$46,ROUND(($J1010-$H1010)*1440,0),0))</f>
        <v/>
      </c>
      <c r="P1010" s="84">
        <f>IF(OR($C1010="",$I1010="",$K1010=""),0,IF(ROUND(($I1010-$K1010)*1440,0)&gt;設定!$C$46,ROUND(($I1010-$K1010)*1440,0),0))</f>
        <v/>
      </c>
      <c r="Q1010" s="85">
        <f>IF($M1010="",0,IF(($M1010-IFERROR(INDEX(設定!$G$6:$G$21,MATCH($G1010,設定!$B$6:$B$21,0)),0))*60&gt;=設定!$C$44,ROUND(FLOOR(($M1010-IFERROR(INDEX(設定!$G$6:$G$21,MATCH($G1010,設定!$B$6:$B$21,0)),0))*60,設定!$C$45)/60,2),0))</f>
        <v/>
      </c>
      <c r="R1010" s="16">
        <f>IF(OR($C1010="",$Q1010=0),"",IF($G1010="國","國定假日",IF($B1010="日","例假",IF($B1010="六","休息日","平日"))))</f>
        <v/>
      </c>
      <c r="S1010" s="19" t="n"/>
    </row>
    <row r="1011">
      <c r="A1011" s="82">
        <f>IF(OR(助理班表!$A37="",17&gt;DAY(EOMONTH(DATE(設定!$C$2,設定!$D$2,1),0))),"",DATE(設定!$C$2,設定!$D$2,17))</f>
        <v/>
      </c>
      <c r="B1011" s="16">
        <f>IF($A1011="","",INDEX(設定!$O$6:$O$12,WEEKDAY($A1011,1)))</f>
        <v/>
      </c>
      <c r="C1011" s="16">
        <f>IF($A1011="","",助理班表!$A37)</f>
        <v/>
      </c>
      <c r="D1011" s="16">
        <f>IF($C1011="","",助理班表!$B37)</f>
        <v/>
      </c>
      <c r="E1011" s="16">
        <f>IF($C1011="","",助理班表!$D37)</f>
        <v/>
      </c>
      <c r="F1011" s="16">
        <f>IF($C1011="","",助理班表!$C37)</f>
        <v/>
      </c>
      <c r="G1011" s="16">
        <f>IF($C1011="","",助理班表!U37)</f>
        <v/>
      </c>
      <c r="H1011" s="83">
        <f>IF($G1011="","",IFERROR(IF(INDEX(設定!$D$6:$D$21,MATCH($G1011,設定!$B$6:$B$21,0))=0,"",INDEX(設定!$D$6:$D$21,MATCH($G1011,設定!$B$6:$B$21,0))),""))</f>
        <v/>
      </c>
      <c r="I1011" s="83">
        <f>IF($G1011="","",IFERROR(IF(INDEX(設定!$E$6:$E$21,MATCH($G1011,設定!$B$6:$B$21,0))=0,"",INDEX(設定!$E$6:$E$21,MATCH($G1011,設定!$B$6:$B$21,0))),""))</f>
        <v/>
      </c>
      <c r="J1011" s="83">
        <f>IFERROR(INDEX(打卡匯入!$C$3:$C$2002,MATCH($C1011&amp;"|"&amp;DAY($A1011),打卡匯入!$E$3:$E$2002,0)),"")</f>
        <v/>
      </c>
      <c r="K1011" s="83">
        <f>IFERROR(INDEX(打卡匯入!$D$3:$D$2002,MATCH($C1011&amp;"|"&amp;DAY($A1011),打卡匯入!$E$3:$E$2002,0)),"")</f>
        <v/>
      </c>
      <c r="L1011" s="84">
        <f>IF(OR($J1011="",$K1011=""),"",IFERROR(INDEX(設定!$F$6:$F$21,MATCH($G1011,設定!$B$6:$B$21,0)),0))</f>
        <v/>
      </c>
      <c r="M1011" s="85">
        <f>IF(OR($J1011="",$K1011=""),"",ROUND(($K1011-$J1011)*24-$L1011/60,2))</f>
        <v/>
      </c>
      <c r="N1011" s="16">
        <f>IF($C1011="","",IF(AND(COUNTIF(設定!$B$15:$B$21,$G1011)&gt;0,$J1011&lt;&gt;""),"假日出勤",IF(AND(COUNTIF(設定!$B$6:$B$14,$G1011)&gt;0,$J1011=""),"未打卡",IF($J1011="","",IF($O1011&gt;0,"遲到",IF($P1011&gt;0,"早退","正常"))))))</f>
        <v/>
      </c>
      <c r="O1011" s="84">
        <f>IF(OR($C1011="",$H1011="",$J1011=""),0,IF(ROUND(($J1011-$H1011)*1440,0)&gt;設定!$C$46,ROUND(($J1011-$H1011)*1440,0),0))</f>
        <v/>
      </c>
      <c r="P1011" s="84">
        <f>IF(OR($C1011="",$I1011="",$K1011=""),0,IF(ROUND(($I1011-$K1011)*1440,0)&gt;設定!$C$46,ROUND(($I1011-$K1011)*1440,0),0))</f>
        <v/>
      </c>
      <c r="Q1011" s="85">
        <f>IF($M1011="",0,IF(($M1011-IFERROR(INDEX(設定!$G$6:$G$21,MATCH($G1011,設定!$B$6:$B$21,0)),0))*60&gt;=設定!$C$44,ROUND(FLOOR(($M1011-IFERROR(INDEX(設定!$G$6:$G$21,MATCH($G1011,設定!$B$6:$B$21,0)),0))*60,設定!$C$45)/60,2),0))</f>
        <v/>
      </c>
      <c r="R1011" s="16">
        <f>IF(OR($C1011="",$Q1011=0),"",IF($G1011="國","國定假日",IF($B1011="日","例假",IF($B1011="六","休息日","平日"))))</f>
        <v/>
      </c>
      <c r="S1011" s="19" t="n"/>
    </row>
    <row r="1012">
      <c r="A1012" s="82">
        <f>IF(OR(助理班表!$A37="",18&gt;DAY(EOMONTH(DATE(設定!$C$2,設定!$D$2,1),0))),"",DATE(設定!$C$2,設定!$D$2,18))</f>
        <v/>
      </c>
      <c r="B1012" s="16">
        <f>IF($A1012="","",INDEX(設定!$O$6:$O$12,WEEKDAY($A1012,1)))</f>
        <v/>
      </c>
      <c r="C1012" s="16">
        <f>IF($A1012="","",助理班表!$A37)</f>
        <v/>
      </c>
      <c r="D1012" s="16">
        <f>IF($C1012="","",助理班表!$B37)</f>
        <v/>
      </c>
      <c r="E1012" s="16">
        <f>IF($C1012="","",助理班表!$D37)</f>
        <v/>
      </c>
      <c r="F1012" s="16">
        <f>IF($C1012="","",助理班表!$C37)</f>
        <v/>
      </c>
      <c r="G1012" s="16">
        <f>IF($C1012="","",助理班表!V37)</f>
        <v/>
      </c>
      <c r="H1012" s="83">
        <f>IF($G1012="","",IFERROR(IF(INDEX(設定!$D$6:$D$21,MATCH($G1012,設定!$B$6:$B$21,0))=0,"",INDEX(設定!$D$6:$D$21,MATCH($G1012,設定!$B$6:$B$21,0))),""))</f>
        <v/>
      </c>
      <c r="I1012" s="83">
        <f>IF($G1012="","",IFERROR(IF(INDEX(設定!$E$6:$E$21,MATCH($G1012,設定!$B$6:$B$21,0))=0,"",INDEX(設定!$E$6:$E$21,MATCH($G1012,設定!$B$6:$B$21,0))),""))</f>
        <v/>
      </c>
      <c r="J1012" s="83">
        <f>IFERROR(INDEX(打卡匯入!$C$3:$C$2002,MATCH($C1012&amp;"|"&amp;DAY($A1012),打卡匯入!$E$3:$E$2002,0)),"")</f>
        <v/>
      </c>
      <c r="K1012" s="83">
        <f>IFERROR(INDEX(打卡匯入!$D$3:$D$2002,MATCH($C1012&amp;"|"&amp;DAY($A1012),打卡匯入!$E$3:$E$2002,0)),"")</f>
        <v/>
      </c>
      <c r="L1012" s="84">
        <f>IF(OR($J1012="",$K1012=""),"",IFERROR(INDEX(設定!$F$6:$F$21,MATCH($G1012,設定!$B$6:$B$21,0)),0))</f>
        <v/>
      </c>
      <c r="M1012" s="85">
        <f>IF(OR($J1012="",$K1012=""),"",ROUND(($K1012-$J1012)*24-$L1012/60,2))</f>
        <v/>
      </c>
      <c r="N1012" s="16">
        <f>IF($C1012="","",IF(AND(COUNTIF(設定!$B$15:$B$21,$G1012)&gt;0,$J1012&lt;&gt;""),"假日出勤",IF(AND(COUNTIF(設定!$B$6:$B$14,$G1012)&gt;0,$J1012=""),"未打卡",IF($J1012="","",IF($O1012&gt;0,"遲到",IF($P1012&gt;0,"早退","正常"))))))</f>
        <v/>
      </c>
      <c r="O1012" s="84">
        <f>IF(OR($C1012="",$H1012="",$J1012=""),0,IF(ROUND(($J1012-$H1012)*1440,0)&gt;設定!$C$46,ROUND(($J1012-$H1012)*1440,0),0))</f>
        <v/>
      </c>
      <c r="P1012" s="84">
        <f>IF(OR($C1012="",$I1012="",$K1012=""),0,IF(ROUND(($I1012-$K1012)*1440,0)&gt;設定!$C$46,ROUND(($I1012-$K1012)*1440,0),0))</f>
        <v/>
      </c>
      <c r="Q1012" s="85">
        <f>IF($M1012="",0,IF(($M1012-IFERROR(INDEX(設定!$G$6:$G$21,MATCH($G1012,設定!$B$6:$B$21,0)),0))*60&gt;=設定!$C$44,ROUND(FLOOR(($M1012-IFERROR(INDEX(設定!$G$6:$G$21,MATCH($G1012,設定!$B$6:$B$21,0)),0))*60,設定!$C$45)/60,2),0))</f>
        <v/>
      </c>
      <c r="R1012" s="16">
        <f>IF(OR($C1012="",$Q1012=0),"",IF($G1012="國","國定假日",IF($B1012="日","例假",IF($B1012="六","休息日","平日"))))</f>
        <v/>
      </c>
      <c r="S1012" s="19" t="n"/>
    </row>
    <row r="1013">
      <c r="A1013" s="82">
        <f>IF(OR(助理班表!$A37="",19&gt;DAY(EOMONTH(DATE(設定!$C$2,設定!$D$2,1),0))),"",DATE(設定!$C$2,設定!$D$2,19))</f>
        <v/>
      </c>
      <c r="B1013" s="16">
        <f>IF($A1013="","",INDEX(設定!$O$6:$O$12,WEEKDAY($A1013,1)))</f>
        <v/>
      </c>
      <c r="C1013" s="16">
        <f>IF($A1013="","",助理班表!$A37)</f>
        <v/>
      </c>
      <c r="D1013" s="16">
        <f>IF($C1013="","",助理班表!$B37)</f>
        <v/>
      </c>
      <c r="E1013" s="16">
        <f>IF($C1013="","",助理班表!$D37)</f>
        <v/>
      </c>
      <c r="F1013" s="16">
        <f>IF($C1013="","",助理班表!$C37)</f>
        <v/>
      </c>
      <c r="G1013" s="16">
        <f>IF($C1013="","",助理班表!W37)</f>
        <v/>
      </c>
      <c r="H1013" s="83">
        <f>IF($G1013="","",IFERROR(IF(INDEX(設定!$D$6:$D$21,MATCH($G1013,設定!$B$6:$B$21,0))=0,"",INDEX(設定!$D$6:$D$21,MATCH($G1013,設定!$B$6:$B$21,0))),""))</f>
        <v/>
      </c>
      <c r="I1013" s="83">
        <f>IF($G1013="","",IFERROR(IF(INDEX(設定!$E$6:$E$21,MATCH($G1013,設定!$B$6:$B$21,0))=0,"",INDEX(設定!$E$6:$E$21,MATCH($G1013,設定!$B$6:$B$21,0))),""))</f>
        <v/>
      </c>
      <c r="J1013" s="83">
        <f>IFERROR(INDEX(打卡匯入!$C$3:$C$2002,MATCH($C1013&amp;"|"&amp;DAY($A1013),打卡匯入!$E$3:$E$2002,0)),"")</f>
        <v/>
      </c>
      <c r="K1013" s="83">
        <f>IFERROR(INDEX(打卡匯入!$D$3:$D$2002,MATCH($C1013&amp;"|"&amp;DAY($A1013),打卡匯入!$E$3:$E$2002,0)),"")</f>
        <v/>
      </c>
      <c r="L1013" s="84">
        <f>IF(OR($J1013="",$K1013=""),"",IFERROR(INDEX(設定!$F$6:$F$21,MATCH($G1013,設定!$B$6:$B$21,0)),0))</f>
        <v/>
      </c>
      <c r="M1013" s="85">
        <f>IF(OR($J1013="",$K1013=""),"",ROUND(($K1013-$J1013)*24-$L1013/60,2))</f>
        <v/>
      </c>
      <c r="N1013" s="16">
        <f>IF($C1013="","",IF(AND(COUNTIF(設定!$B$15:$B$21,$G1013)&gt;0,$J1013&lt;&gt;""),"假日出勤",IF(AND(COUNTIF(設定!$B$6:$B$14,$G1013)&gt;0,$J1013=""),"未打卡",IF($J1013="","",IF($O1013&gt;0,"遲到",IF($P1013&gt;0,"早退","正常"))))))</f>
        <v/>
      </c>
      <c r="O1013" s="84">
        <f>IF(OR($C1013="",$H1013="",$J1013=""),0,IF(ROUND(($J1013-$H1013)*1440,0)&gt;設定!$C$46,ROUND(($J1013-$H1013)*1440,0),0))</f>
        <v/>
      </c>
      <c r="P1013" s="84">
        <f>IF(OR($C1013="",$I1013="",$K1013=""),0,IF(ROUND(($I1013-$K1013)*1440,0)&gt;設定!$C$46,ROUND(($I1013-$K1013)*1440,0),0))</f>
        <v/>
      </c>
      <c r="Q1013" s="85">
        <f>IF($M1013="",0,IF(($M1013-IFERROR(INDEX(設定!$G$6:$G$21,MATCH($G1013,設定!$B$6:$B$21,0)),0))*60&gt;=設定!$C$44,ROUND(FLOOR(($M1013-IFERROR(INDEX(設定!$G$6:$G$21,MATCH($G1013,設定!$B$6:$B$21,0)),0))*60,設定!$C$45)/60,2),0))</f>
        <v/>
      </c>
      <c r="R1013" s="16">
        <f>IF(OR($C1013="",$Q1013=0),"",IF($G1013="國","國定假日",IF($B1013="日","例假",IF($B1013="六","休息日","平日"))))</f>
        <v/>
      </c>
      <c r="S1013" s="19" t="n"/>
    </row>
    <row r="1014">
      <c r="A1014" s="82">
        <f>IF(OR(助理班表!$A37="",20&gt;DAY(EOMONTH(DATE(設定!$C$2,設定!$D$2,1),0))),"",DATE(設定!$C$2,設定!$D$2,20))</f>
        <v/>
      </c>
      <c r="B1014" s="16">
        <f>IF($A1014="","",INDEX(設定!$O$6:$O$12,WEEKDAY($A1014,1)))</f>
        <v/>
      </c>
      <c r="C1014" s="16">
        <f>IF($A1014="","",助理班表!$A37)</f>
        <v/>
      </c>
      <c r="D1014" s="16">
        <f>IF($C1014="","",助理班表!$B37)</f>
        <v/>
      </c>
      <c r="E1014" s="16">
        <f>IF($C1014="","",助理班表!$D37)</f>
        <v/>
      </c>
      <c r="F1014" s="16">
        <f>IF($C1014="","",助理班表!$C37)</f>
        <v/>
      </c>
      <c r="G1014" s="16">
        <f>IF($C1014="","",助理班表!X37)</f>
        <v/>
      </c>
      <c r="H1014" s="83">
        <f>IF($G1014="","",IFERROR(IF(INDEX(設定!$D$6:$D$21,MATCH($G1014,設定!$B$6:$B$21,0))=0,"",INDEX(設定!$D$6:$D$21,MATCH($G1014,設定!$B$6:$B$21,0))),""))</f>
        <v/>
      </c>
      <c r="I1014" s="83">
        <f>IF($G1014="","",IFERROR(IF(INDEX(設定!$E$6:$E$21,MATCH($G1014,設定!$B$6:$B$21,0))=0,"",INDEX(設定!$E$6:$E$21,MATCH($G1014,設定!$B$6:$B$21,0))),""))</f>
        <v/>
      </c>
      <c r="J1014" s="83">
        <f>IFERROR(INDEX(打卡匯入!$C$3:$C$2002,MATCH($C1014&amp;"|"&amp;DAY($A1014),打卡匯入!$E$3:$E$2002,0)),"")</f>
        <v/>
      </c>
      <c r="K1014" s="83">
        <f>IFERROR(INDEX(打卡匯入!$D$3:$D$2002,MATCH($C1014&amp;"|"&amp;DAY($A1014),打卡匯入!$E$3:$E$2002,0)),"")</f>
        <v/>
      </c>
      <c r="L1014" s="84">
        <f>IF(OR($J1014="",$K1014=""),"",IFERROR(INDEX(設定!$F$6:$F$21,MATCH($G1014,設定!$B$6:$B$21,0)),0))</f>
        <v/>
      </c>
      <c r="M1014" s="85">
        <f>IF(OR($J1014="",$K1014=""),"",ROUND(($K1014-$J1014)*24-$L1014/60,2))</f>
        <v/>
      </c>
      <c r="N1014" s="16">
        <f>IF($C1014="","",IF(AND(COUNTIF(設定!$B$15:$B$21,$G1014)&gt;0,$J1014&lt;&gt;""),"假日出勤",IF(AND(COUNTIF(設定!$B$6:$B$14,$G1014)&gt;0,$J1014=""),"未打卡",IF($J1014="","",IF($O1014&gt;0,"遲到",IF($P1014&gt;0,"早退","正常"))))))</f>
        <v/>
      </c>
      <c r="O1014" s="84">
        <f>IF(OR($C1014="",$H1014="",$J1014=""),0,IF(ROUND(($J1014-$H1014)*1440,0)&gt;設定!$C$46,ROUND(($J1014-$H1014)*1440,0),0))</f>
        <v/>
      </c>
      <c r="P1014" s="84">
        <f>IF(OR($C1014="",$I1014="",$K1014=""),0,IF(ROUND(($I1014-$K1014)*1440,0)&gt;設定!$C$46,ROUND(($I1014-$K1014)*1440,0),0))</f>
        <v/>
      </c>
      <c r="Q1014" s="85">
        <f>IF($M1014="",0,IF(($M1014-IFERROR(INDEX(設定!$G$6:$G$21,MATCH($G1014,設定!$B$6:$B$21,0)),0))*60&gt;=設定!$C$44,ROUND(FLOOR(($M1014-IFERROR(INDEX(設定!$G$6:$G$21,MATCH($G1014,設定!$B$6:$B$21,0)),0))*60,設定!$C$45)/60,2),0))</f>
        <v/>
      </c>
      <c r="R1014" s="16">
        <f>IF(OR($C1014="",$Q1014=0),"",IF($G1014="國","國定假日",IF($B1014="日","例假",IF($B1014="六","休息日","平日"))))</f>
        <v/>
      </c>
      <c r="S1014" s="19" t="n"/>
    </row>
    <row r="1015">
      <c r="A1015" s="82">
        <f>IF(OR(助理班表!$A37="",21&gt;DAY(EOMONTH(DATE(設定!$C$2,設定!$D$2,1),0))),"",DATE(設定!$C$2,設定!$D$2,21))</f>
        <v/>
      </c>
      <c r="B1015" s="16">
        <f>IF($A1015="","",INDEX(設定!$O$6:$O$12,WEEKDAY($A1015,1)))</f>
        <v/>
      </c>
      <c r="C1015" s="16">
        <f>IF($A1015="","",助理班表!$A37)</f>
        <v/>
      </c>
      <c r="D1015" s="16">
        <f>IF($C1015="","",助理班表!$B37)</f>
        <v/>
      </c>
      <c r="E1015" s="16">
        <f>IF($C1015="","",助理班表!$D37)</f>
        <v/>
      </c>
      <c r="F1015" s="16">
        <f>IF($C1015="","",助理班表!$C37)</f>
        <v/>
      </c>
      <c r="G1015" s="16">
        <f>IF($C1015="","",助理班表!Y37)</f>
        <v/>
      </c>
      <c r="H1015" s="83">
        <f>IF($G1015="","",IFERROR(IF(INDEX(設定!$D$6:$D$21,MATCH($G1015,設定!$B$6:$B$21,0))=0,"",INDEX(設定!$D$6:$D$21,MATCH($G1015,設定!$B$6:$B$21,0))),""))</f>
        <v/>
      </c>
      <c r="I1015" s="83">
        <f>IF($G1015="","",IFERROR(IF(INDEX(設定!$E$6:$E$21,MATCH($G1015,設定!$B$6:$B$21,0))=0,"",INDEX(設定!$E$6:$E$21,MATCH($G1015,設定!$B$6:$B$21,0))),""))</f>
        <v/>
      </c>
      <c r="J1015" s="83">
        <f>IFERROR(INDEX(打卡匯入!$C$3:$C$2002,MATCH($C1015&amp;"|"&amp;DAY($A1015),打卡匯入!$E$3:$E$2002,0)),"")</f>
        <v/>
      </c>
      <c r="K1015" s="83">
        <f>IFERROR(INDEX(打卡匯入!$D$3:$D$2002,MATCH($C1015&amp;"|"&amp;DAY($A1015),打卡匯入!$E$3:$E$2002,0)),"")</f>
        <v/>
      </c>
      <c r="L1015" s="84">
        <f>IF(OR($J1015="",$K1015=""),"",IFERROR(INDEX(設定!$F$6:$F$21,MATCH($G1015,設定!$B$6:$B$21,0)),0))</f>
        <v/>
      </c>
      <c r="M1015" s="85">
        <f>IF(OR($J1015="",$K1015=""),"",ROUND(($K1015-$J1015)*24-$L1015/60,2))</f>
        <v/>
      </c>
      <c r="N1015" s="16">
        <f>IF($C1015="","",IF(AND(COUNTIF(設定!$B$15:$B$21,$G1015)&gt;0,$J1015&lt;&gt;""),"假日出勤",IF(AND(COUNTIF(設定!$B$6:$B$14,$G1015)&gt;0,$J1015=""),"未打卡",IF($J1015="","",IF($O1015&gt;0,"遲到",IF($P1015&gt;0,"早退","正常"))))))</f>
        <v/>
      </c>
      <c r="O1015" s="84">
        <f>IF(OR($C1015="",$H1015="",$J1015=""),0,IF(ROUND(($J1015-$H1015)*1440,0)&gt;設定!$C$46,ROUND(($J1015-$H1015)*1440,0),0))</f>
        <v/>
      </c>
      <c r="P1015" s="84">
        <f>IF(OR($C1015="",$I1015="",$K1015=""),0,IF(ROUND(($I1015-$K1015)*1440,0)&gt;設定!$C$46,ROUND(($I1015-$K1015)*1440,0),0))</f>
        <v/>
      </c>
      <c r="Q1015" s="85">
        <f>IF($M1015="",0,IF(($M1015-IFERROR(INDEX(設定!$G$6:$G$21,MATCH($G1015,設定!$B$6:$B$21,0)),0))*60&gt;=設定!$C$44,ROUND(FLOOR(($M1015-IFERROR(INDEX(設定!$G$6:$G$21,MATCH($G1015,設定!$B$6:$B$21,0)),0))*60,設定!$C$45)/60,2),0))</f>
        <v/>
      </c>
      <c r="R1015" s="16">
        <f>IF(OR($C1015="",$Q1015=0),"",IF($G1015="國","國定假日",IF($B1015="日","例假",IF($B1015="六","休息日","平日"))))</f>
        <v/>
      </c>
      <c r="S1015" s="19" t="n"/>
    </row>
    <row r="1016">
      <c r="A1016" s="82">
        <f>IF(OR(助理班表!$A37="",22&gt;DAY(EOMONTH(DATE(設定!$C$2,設定!$D$2,1),0))),"",DATE(設定!$C$2,設定!$D$2,22))</f>
        <v/>
      </c>
      <c r="B1016" s="16">
        <f>IF($A1016="","",INDEX(設定!$O$6:$O$12,WEEKDAY($A1016,1)))</f>
        <v/>
      </c>
      <c r="C1016" s="16">
        <f>IF($A1016="","",助理班表!$A37)</f>
        <v/>
      </c>
      <c r="D1016" s="16">
        <f>IF($C1016="","",助理班表!$B37)</f>
        <v/>
      </c>
      <c r="E1016" s="16">
        <f>IF($C1016="","",助理班表!$D37)</f>
        <v/>
      </c>
      <c r="F1016" s="16">
        <f>IF($C1016="","",助理班表!$C37)</f>
        <v/>
      </c>
      <c r="G1016" s="16">
        <f>IF($C1016="","",助理班表!Z37)</f>
        <v/>
      </c>
      <c r="H1016" s="83">
        <f>IF($G1016="","",IFERROR(IF(INDEX(設定!$D$6:$D$21,MATCH($G1016,設定!$B$6:$B$21,0))=0,"",INDEX(設定!$D$6:$D$21,MATCH($G1016,設定!$B$6:$B$21,0))),""))</f>
        <v/>
      </c>
      <c r="I1016" s="83">
        <f>IF($G1016="","",IFERROR(IF(INDEX(設定!$E$6:$E$21,MATCH($G1016,設定!$B$6:$B$21,0))=0,"",INDEX(設定!$E$6:$E$21,MATCH($G1016,設定!$B$6:$B$21,0))),""))</f>
        <v/>
      </c>
      <c r="J1016" s="83">
        <f>IFERROR(INDEX(打卡匯入!$C$3:$C$2002,MATCH($C1016&amp;"|"&amp;DAY($A1016),打卡匯入!$E$3:$E$2002,0)),"")</f>
        <v/>
      </c>
      <c r="K1016" s="83">
        <f>IFERROR(INDEX(打卡匯入!$D$3:$D$2002,MATCH($C1016&amp;"|"&amp;DAY($A1016),打卡匯入!$E$3:$E$2002,0)),"")</f>
        <v/>
      </c>
      <c r="L1016" s="84">
        <f>IF(OR($J1016="",$K1016=""),"",IFERROR(INDEX(設定!$F$6:$F$21,MATCH($G1016,設定!$B$6:$B$21,0)),0))</f>
        <v/>
      </c>
      <c r="M1016" s="85">
        <f>IF(OR($J1016="",$K1016=""),"",ROUND(($K1016-$J1016)*24-$L1016/60,2))</f>
        <v/>
      </c>
      <c r="N1016" s="16">
        <f>IF($C1016="","",IF(AND(COUNTIF(設定!$B$15:$B$21,$G1016)&gt;0,$J1016&lt;&gt;""),"假日出勤",IF(AND(COUNTIF(設定!$B$6:$B$14,$G1016)&gt;0,$J1016=""),"未打卡",IF($J1016="","",IF($O1016&gt;0,"遲到",IF($P1016&gt;0,"早退","正常"))))))</f>
        <v/>
      </c>
      <c r="O1016" s="84">
        <f>IF(OR($C1016="",$H1016="",$J1016=""),0,IF(ROUND(($J1016-$H1016)*1440,0)&gt;設定!$C$46,ROUND(($J1016-$H1016)*1440,0),0))</f>
        <v/>
      </c>
      <c r="P1016" s="84">
        <f>IF(OR($C1016="",$I1016="",$K1016=""),0,IF(ROUND(($I1016-$K1016)*1440,0)&gt;設定!$C$46,ROUND(($I1016-$K1016)*1440,0),0))</f>
        <v/>
      </c>
      <c r="Q1016" s="85">
        <f>IF($M1016="",0,IF(($M1016-IFERROR(INDEX(設定!$G$6:$G$21,MATCH($G1016,設定!$B$6:$B$21,0)),0))*60&gt;=設定!$C$44,ROUND(FLOOR(($M1016-IFERROR(INDEX(設定!$G$6:$G$21,MATCH($G1016,設定!$B$6:$B$21,0)),0))*60,設定!$C$45)/60,2),0))</f>
        <v/>
      </c>
      <c r="R1016" s="16">
        <f>IF(OR($C1016="",$Q1016=0),"",IF($G1016="國","國定假日",IF($B1016="日","例假",IF($B1016="六","休息日","平日"))))</f>
        <v/>
      </c>
      <c r="S1016" s="19" t="n"/>
    </row>
    <row r="1017">
      <c r="A1017" s="82">
        <f>IF(OR(助理班表!$A37="",23&gt;DAY(EOMONTH(DATE(設定!$C$2,設定!$D$2,1),0))),"",DATE(設定!$C$2,設定!$D$2,23))</f>
        <v/>
      </c>
      <c r="B1017" s="16">
        <f>IF($A1017="","",INDEX(設定!$O$6:$O$12,WEEKDAY($A1017,1)))</f>
        <v/>
      </c>
      <c r="C1017" s="16">
        <f>IF($A1017="","",助理班表!$A37)</f>
        <v/>
      </c>
      <c r="D1017" s="16">
        <f>IF($C1017="","",助理班表!$B37)</f>
        <v/>
      </c>
      <c r="E1017" s="16">
        <f>IF($C1017="","",助理班表!$D37)</f>
        <v/>
      </c>
      <c r="F1017" s="16">
        <f>IF($C1017="","",助理班表!$C37)</f>
        <v/>
      </c>
      <c r="G1017" s="16">
        <f>IF($C1017="","",助理班表!AA37)</f>
        <v/>
      </c>
      <c r="H1017" s="83">
        <f>IF($G1017="","",IFERROR(IF(INDEX(設定!$D$6:$D$21,MATCH($G1017,設定!$B$6:$B$21,0))=0,"",INDEX(設定!$D$6:$D$21,MATCH($G1017,設定!$B$6:$B$21,0))),""))</f>
        <v/>
      </c>
      <c r="I1017" s="83">
        <f>IF($G1017="","",IFERROR(IF(INDEX(設定!$E$6:$E$21,MATCH($G1017,設定!$B$6:$B$21,0))=0,"",INDEX(設定!$E$6:$E$21,MATCH($G1017,設定!$B$6:$B$21,0))),""))</f>
        <v/>
      </c>
      <c r="J1017" s="83">
        <f>IFERROR(INDEX(打卡匯入!$C$3:$C$2002,MATCH($C1017&amp;"|"&amp;DAY($A1017),打卡匯入!$E$3:$E$2002,0)),"")</f>
        <v/>
      </c>
      <c r="K1017" s="83">
        <f>IFERROR(INDEX(打卡匯入!$D$3:$D$2002,MATCH($C1017&amp;"|"&amp;DAY($A1017),打卡匯入!$E$3:$E$2002,0)),"")</f>
        <v/>
      </c>
      <c r="L1017" s="84">
        <f>IF(OR($J1017="",$K1017=""),"",IFERROR(INDEX(設定!$F$6:$F$21,MATCH($G1017,設定!$B$6:$B$21,0)),0))</f>
        <v/>
      </c>
      <c r="M1017" s="85">
        <f>IF(OR($J1017="",$K1017=""),"",ROUND(($K1017-$J1017)*24-$L1017/60,2))</f>
        <v/>
      </c>
      <c r="N1017" s="16">
        <f>IF($C1017="","",IF(AND(COUNTIF(設定!$B$15:$B$21,$G1017)&gt;0,$J1017&lt;&gt;""),"假日出勤",IF(AND(COUNTIF(設定!$B$6:$B$14,$G1017)&gt;0,$J1017=""),"未打卡",IF($J1017="","",IF($O1017&gt;0,"遲到",IF($P1017&gt;0,"早退","正常"))))))</f>
        <v/>
      </c>
      <c r="O1017" s="84">
        <f>IF(OR($C1017="",$H1017="",$J1017=""),0,IF(ROUND(($J1017-$H1017)*1440,0)&gt;設定!$C$46,ROUND(($J1017-$H1017)*1440,0),0))</f>
        <v/>
      </c>
      <c r="P1017" s="84">
        <f>IF(OR($C1017="",$I1017="",$K1017=""),0,IF(ROUND(($I1017-$K1017)*1440,0)&gt;設定!$C$46,ROUND(($I1017-$K1017)*1440,0),0))</f>
        <v/>
      </c>
      <c r="Q1017" s="85">
        <f>IF($M1017="",0,IF(($M1017-IFERROR(INDEX(設定!$G$6:$G$21,MATCH($G1017,設定!$B$6:$B$21,0)),0))*60&gt;=設定!$C$44,ROUND(FLOOR(($M1017-IFERROR(INDEX(設定!$G$6:$G$21,MATCH($G1017,設定!$B$6:$B$21,0)),0))*60,設定!$C$45)/60,2),0))</f>
        <v/>
      </c>
      <c r="R1017" s="16">
        <f>IF(OR($C1017="",$Q1017=0),"",IF($G1017="國","國定假日",IF($B1017="日","例假",IF($B1017="六","休息日","平日"))))</f>
        <v/>
      </c>
      <c r="S1017" s="19" t="n"/>
    </row>
    <row r="1018">
      <c r="A1018" s="82">
        <f>IF(OR(助理班表!$A37="",24&gt;DAY(EOMONTH(DATE(設定!$C$2,設定!$D$2,1),0))),"",DATE(設定!$C$2,設定!$D$2,24))</f>
        <v/>
      </c>
      <c r="B1018" s="16">
        <f>IF($A1018="","",INDEX(設定!$O$6:$O$12,WEEKDAY($A1018,1)))</f>
        <v/>
      </c>
      <c r="C1018" s="16">
        <f>IF($A1018="","",助理班表!$A37)</f>
        <v/>
      </c>
      <c r="D1018" s="16">
        <f>IF($C1018="","",助理班表!$B37)</f>
        <v/>
      </c>
      <c r="E1018" s="16">
        <f>IF($C1018="","",助理班表!$D37)</f>
        <v/>
      </c>
      <c r="F1018" s="16">
        <f>IF($C1018="","",助理班表!$C37)</f>
        <v/>
      </c>
      <c r="G1018" s="16">
        <f>IF($C1018="","",助理班表!AB37)</f>
        <v/>
      </c>
      <c r="H1018" s="83">
        <f>IF($G1018="","",IFERROR(IF(INDEX(設定!$D$6:$D$21,MATCH($G1018,設定!$B$6:$B$21,0))=0,"",INDEX(設定!$D$6:$D$21,MATCH($G1018,設定!$B$6:$B$21,0))),""))</f>
        <v/>
      </c>
      <c r="I1018" s="83">
        <f>IF($G1018="","",IFERROR(IF(INDEX(設定!$E$6:$E$21,MATCH($G1018,設定!$B$6:$B$21,0))=0,"",INDEX(設定!$E$6:$E$21,MATCH($G1018,設定!$B$6:$B$21,0))),""))</f>
        <v/>
      </c>
      <c r="J1018" s="83">
        <f>IFERROR(INDEX(打卡匯入!$C$3:$C$2002,MATCH($C1018&amp;"|"&amp;DAY($A1018),打卡匯入!$E$3:$E$2002,0)),"")</f>
        <v/>
      </c>
      <c r="K1018" s="83">
        <f>IFERROR(INDEX(打卡匯入!$D$3:$D$2002,MATCH($C1018&amp;"|"&amp;DAY($A1018),打卡匯入!$E$3:$E$2002,0)),"")</f>
        <v/>
      </c>
      <c r="L1018" s="84">
        <f>IF(OR($J1018="",$K1018=""),"",IFERROR(INDEX(設定!$F$6:$F$21,MATCH($G1018,設定!$B$6:$B$21,0)),0))</f>
        <v/>
      </c>
      <c r="M1018" s="85">
        <f>IF(OR($J1018="",$K1018=""),"",ROUND(($K1018-$J1018)*24-$L1018/60,2))</f>
        <v/>
      </c>
      <c r="N1018" s="16">
        <f>IF($C1018="","",IF(AND(COUNTIF(設定!$B$15:$B$21,$G1018)&gt;0,$J1018&lt;&gt;""),"假日出勤",IF(AND(COUNTIF(設定!$B$6:$B$14,$G1018)&gt;0,$J1018=""),"未打卡",IF($J1018="","",IF($O1018&gt;0,"遲到",IF($P1018&gt;0,"早退","正常"))))))</f>
        <v/>
      </c>
      <c r="O1018" s="84">
        <f>IF(OR($C1018="",$H1018="",$J1018=""),0,IF(ROUND(($J1018-$H1018)*1440,0)&gt;設定!$C$46,ROUND(($J1018-$H1018)*1440,0),0))</f>
        <v/>
      </c>
      <c r="P1018" s="84">
        <f>IF(OR($C1018="",$I1018="",$K1018=""),0,IF(ROUND(($I1018-$K1018)*1440,0)&gt;設定!$C$46,ROUND(($I1018-$K1018)*1440,0),0))</f>
        <v/>
      </c>
      <c r="Q1018" s="85">
        <f>IF($M1018="",0,IF(($M1018-IFERROR(INDEX(設定!$G$6:$G$21,MATCH($G1018,設定!$B$6:$B$21,0)),0))*60&gt;=設定!$C$44,ROUND(FLOOR(($M1018-IFERROR(INDEX(設定!$G$6:$G$21,MATCH($G1018,設定!$B$6:$B$21,0)),0))*60,設定!$C$45)/60,2),0))</f>
        <v/>
      </c>
      <c r="R1018" s="16">
        <f>IF(OR($C1018="",$Q1018=0),"",IF($G1018="國","國定假日",IF($B1018="日","例假",IF($B1018="六","休息日","平日"))))</f>
        <v/>
      </c>
      <c r="S1018" s="19" t="n"/>
    </row>
    <row r="1019">
      <c r="A1019" s="82">
        <f>IF(OR(助理班表!$A37="",25&gt;DAY(EOMONTH(DATE(設定!$C$2,設定!$D$2,1),0))),"",DATE(設定!$C$2,設定!$D$2,25))</f>
        <v/>
      </c>
      <c r="B1019" s="16">
        <f>IF($A1019="","",INDEX(設定!$O$6:$O$12,WEEKDAY($A1019,1)))</f>
        <v/>
      </c>
      <c r="C1019" s="16">
        <f>IF($A1019="","",助理班表!$A37)</f>
        <v/>
      </c>
      <c r="D1019" s="16">
        <f>IF($C1019="","",助理班表!$B37)</f>
        <v/>
      </c>
      <c r="E1019" s="16">
        <f>IF($C1019="","",助理班表!$D37)</f>
        <v/>
      </c>
      <c r="F1019" s="16">
        <f>IF($C1019="","",助理班表!$C37)</f>
        <v/>
      </c>
      <c r="G1019" s="16">
        <f>IF($C1019="","",助理班表!AC37)</f>
        <v/>
      </c>
      <c r="H1019" s="83">
        <f>IF($G1019="","",IFERROR(IF(INDEX(設定!$D$6:$D$21,MATCH($G1019,設定!$B$6:$B$21,0))=0,"",INDEX(設定!$D$6:$D$21,MATCH($G1019,設定!$B$6:$B$21,0))),""))</f>
        <v/>
      </c>
      <c r="I1019" s="83">
        <f>IF($G1019="","",IFERROR(IF(INDEX(設定!$E$6:$E$21,MATCH($G1019,設定!$B$6:$B$21,0))=0,"",INDEX(設定!$E$6:$E$21,MATCH($G1019,設定!$B$6:$B$21,0))),""))</f>
        <v/>
      </c>
      <c r="J1019" s="83">
        <f>IFERROR(INDEX(打卡匯入!$C$3:$C$2002,MATCH($C1019&amp;"|"&amp;DAY($A1019),打卡匯入!$E$3:$E$2002,0)),"")</f>
        <v/>
      </c>
      <c r="K1019" s="83">
        <f>IFERROR(INDEX(打卡匯入!$D$3:$D$2002,MATCH($C1019&amp;"|"&amp;DAY($A1019),打卡匯入!$E$3:$E$2002,0)),"")</f>
        <v/>
      </c>
      <c r="L1019" s="84">
        <f>IF(OR($J1019="",$K1019=""),"",IFERROR(INDEX(設定!$F$6:$F$21,MATCH($G1019,設定!$B$6:$B$21,0)),0))</f>
        <v/>
      </c>
      <c r="M1019" s="85">
        <f>IF(OR($J1019="",$K1019=""),"",ROUND(($K1019-$J1019)*24-$L1019/60,2))</f>
        <v/>
      </c>
      <c r="N1019" s="16">
        <f>IF($C1019="","",IF(AND(COUNTIF(設定!$B$15:$B$21,$G1019)&gt;0,$J1019&lt;&gt;""),"假日出勤",IF(AND(COUNTIF(設定!$B$6:$B$14,$G1019)&gt;0,$J1019=""),"未打卡",IF($J1019="","",IF($O1019&gt;0,"遲到",IF($P1019&gt;0,"早退","正常"))))))</f>
        <v/>
      </c>
      <c r="O1019" s="84">
        <f>IF(OR($C1019="",$H1019="",$J1019=""),0,IF(ROUND(($J1019-$H1019)*1440,0)&gt;設定!$C$46,ROUND(($J1019-$H1019)*1440,0),0))</f>
        <v/>
      </c>
      <c r="P1019" s="84">
        <f>IF(OR($C1019="",$I1019="",$K1019=""),0,IF(ROUND(($I1019-$K1019)*1440,0)&gt;設定!$C$46,ROUND(($I1019-$K1019)*1440,0),0))</f>
        <v/>
      </c>
      <c r="Q1019" s="85">
        <f>IF($M1019="",0,IF(($M1019-IFERROR(INDEX(設定!$G$6:$G$21,MATCH($G1019,設定!$B$6:$B$21,0)),0))*60&gt;=設定!$C$44,ROUND(FLOOR(($M1019-IFERROR(INDEX(設定!$G$6:$G$21,MATCH($G1019,設定!$B$6:$B$21,0)),0))*60,設定!$C$45)/60,2),0))</f>
        <v/>
      </c>
      <c r="R1019" s="16">
        <f>IF(OR($C1019="",$Q1019=0),"",IF($G1019="國","國定假日",IF($B1019="日","例假",IF($B1019="六","休息日","平日"))))</f>
        <v/>
      </c>
      <c r="S1019" s="19" t="n"/>
    </row>
    <row r="1020">
      <c r="A1020" s="82">
        <f>IF(OR(助理班表!$A37="",26&gt;DAY(EOMONTH(DATE(設定!$C$2,設定!$D$2,1),0))),"",DATE(設定!$C$2,設定!$D$2,26))</f>
        <v/>
      </c>
      <c r="B1020" s="16">
        <f>IF($A1020="","",INDEX(設定!$O$6:$O$12,WEEKDAY($A1020,1)))</f>
        <v/>
      </c>
      <c r="C1020" s="16">
        <f>IF($A1020="","",助理班表!$A37)</f>
        <v/>
      </c>
      <c r="D1020" s="16">
        <f>IF($C1020="","",助理班表!$B37)</f>
        <v/>
      </c>
      <c r="E1020" s="16">
        <f>IF($C1020="","",助理班表!$D37)</f>
        <v/>
      </c>
      <c r="F1020" s="16">
        <f>IF($C1020="","",助理班表!$C37)</f>
        <v/>
      </c>
      <c r="G1020" s="16">
        <f>IF($C1020="","",助理班表!AD37)</f>
        <v/>
      </c>
      <c r="H1020" s="83">
        <f>IF($G1020="","",IFERROR(IF(INDEX(設定!$D$6:$D$21,MATCH($G1020,設定!$B$6:$B$21,0))=0,"",INDEX(設定!$D$6:$D$21,MATCH($G1020,設定!$B$6:$B$21,0))),""))</f>
        <v/>
      </c>
      <c r="I1020" s="83">
        <f>IF($G1020="","",IFERROR(IF(INDEX(設定!$E$6:$E$21,MATCH($G1020,設定!$B$6:$B$21,0))=0,"",INDEX(設定!$E$6:$E$21,MATCH($G1020,設定!$B$6:$B$21,0))),""))</f>
        <v/>
      </c>
      <c r="J1020" s="83">
        <f>IFERROR(INDEX(打卡匯入!$C$3:$C$2002,MATCH($C1020&amp;"|"&amp;DAY($A1020),打卡匯入!$E$3:$E$2002,0)),"")</f>
        <v/>
      </c>
      <c r="K1020" s="83">
        <f>IFERROR(INDEX(打卡匯入!$D$3:$D$2002,MATCH($C1020&amp;"|"&amp;DAY($A1020),打卡匯入!$E$3:$E$2002,0)),"")</f>
        <v/>
      </c>
      <c r="L1020" s="84">
        <f>IF(OR($J1020="",$K1020=""),"",IFERROR(INDEX(設定!$F$6:$F$21,MATCH($G1020,設定!$B$6:$B$21,0)),0))</f>
        <v/>
      </c>
      <c r="M1020" s="85">
        <f>IF(OR($J1020="",$K1020=""),"",ROUND(($K1020-$J1020)*24-$L1020/60,2))</f>
        <v/>
      </c>
      <c r="N1020" s="16">
        <f>IF($C1020="","",IF(AND(COUNTIF(設定!$B$15:$B$21,$G1020)&gt;0,$J1020&lt;&gt;""),"假日出勤",IF(AND(COUNTIF(設定!$B$6:$B$14,$G1020)&gt;0,$J1020=""),"未打卡",IF($J1020="","",IF($O1020&gt;0,"遲到",IF($P1020&gt;0,"早退","正常"))))))</f>
        <v/>
      </c>
      <c r="O1020" s="84">
        <f>IF(OR($C1020="",$H1020="",$J1020=""),0,IF(ROUND(($J1020-$H1020)*1440,0)&gt;設定!$C$46,ROUND(($J1020-$H1020)*1440,0),0))</f>
        <v/>
      </c>
      <c r="P1020" s="84">
        <f>IF(OR($C1020="",$I1020="",$K1020=""),0,IF(ROUND(($I1020-$K1020)*1440,0)&gt;設定!$C$46,ROUND(($I1020-$K1020)*1440,0),0))</f>
        <v/>
      </c>
      <c r="Q1020" s="85">
        <f>IF($M1020="",0,IF(($M1020-IFERROR(INDEX(設定!$G$6:$G$21,MATCH($G1020,設定!$B$6:$B$21,0)),0))*60&gt;=設定!$C$44,ROUND(FLOOR(($M1020-IFERROR(INDEX(設定!$G$6:$G$21,MATCH($G1020,設定!$B$6:$B$21,0)),0))*60,設定!$C$45)/60,2),0))</f>
        <v/>
      </c>
      <c r="R1020" s="16">
        <f>IF(OR($C1020="",$Q1020=0),"",IF($G1020="國","國定假日",IF($B1020="日","例假",IF($B1020="六","休息日","平日"))))</f>
        <v/>
      </c>
      <c r="S1020" s="19" t="n"/>
    </row>
    <row r="1021">
      <c r="A1021" s="82">
        <f>IF(OR(助理班表!$A37="",27&gt;DAY(EOMONTH(DATE(設定!$C$2,設定!$D$2,1),0))),"",DATE(設定!$C$2,設定!$D$2,27))</f>
        <v/>
      </c>
      <c r="B1021" s="16">
        <f>IF($A1021="","",INDEX(設定!$O$6:$O$12,WEEKDAY($A1021,1)))</f>
        <v/>
      </c>
      <c r="C1021" s="16">
        <f>IF($A1021="","",助理班表!$A37)</f>
        <v/>
      </c>
      <c r="D1021" s="16">
        <f>IF($C1021="","",助理班表!$B37)</f>
        <v/>
      </c>
      <c r="E1021" s="16">
        <f>IF($C1021="","",助理班表!$D37)</f>
        <v/>
      </c>
      <c r="F1021" s="16">
        <f>IF($C1021="","",助理班表!$C37)</f>
        <v/>
      </c>
      <c r="G1021" s="16">
        <f>IF($C1021="","",助理班表!AE37)</f>
        <v/>
      </c>
      <c r="H1021" s="83">
        <f>IF($G1021="","",IFERROR(IF(INDEX(設定!$D$6:$D$21,MATCH($G1021,設定!$B$6:$B$21,0))=0,"",INDEX(設定!$D$6:$D$21,MATCH($G1021,設定!$B$6:$B$21,0))),""))</f>
        <v/>
      </c>
      <c r="I1021" s="83">
        <f>IF($G1021="","",IFERROR(IF(INDEX(設定!$E$6:$E$21,MATCH($G1021,設定!$B$6:$B$21,0))=0,"",INDEX(設定!$E$6:$E$21,MATCH($G1021,設定!$B$6:$B$21,0))),""))</f>
        <v/>
      </c>
      <c r="J1021" s="83">
        <f>IFERROR(INDEX(打卡匯入!$C$3:$C$2002,MATCH($C1021&amp;"|"&amp;DAY($A1021),打卡匯入!$E$3:$E$2002,0)),"")</f>
        <v/>
      </c>
      <c r="K1021" s="83">
        <f>IFERROR(INDEX(打卡匯入!$D$3:$D$2002,MATCH($C1021&amp;"|"&amp;DAY($A1021),打卡匯入!$E$3:$E$2002,0)),"")</f>
        <v/>
      </c>
      <c r="L1021" s="84">
        <f>IF(OR($J1021="",$K1021=""),"",IFERROR(INDEX(設定!$F$6:$F$21,MATCH($G1021,設定!$B$6:$B$21,0)),0))</f>
        <v/>
      </c>
      <c r="M1021" s="85">
        <f>IF(OR($J1021="",$K1021=""),"",ROUND(($K1021-$J1021)*24-$L1021/60,2))</f>
        <v/>
      </c>
      <c r="N1021" s="16">
        <f>IF($C1021="","",IF(AND(COUNTIF(設定!$B$15:$B$21,$G1021)&gt;0,$J1021&lt;&gt;""),"假日出勤",IF(AND(COUNTIF(設定!$B$6:$B$14,$G1021)&gt;0,$J1021=""),"未打卡",IF($J1021="","",IF($O1021&gt;0,"遲到",IF($P1021&gt;0,"早退","正常"))))))</f>
        <v/>
      </c>
      <c r="O1021" s="84">
        <f>IF(OR($C1021="",$H1021="",$J1021=""),0,IF(ROUND(($J1021-$H1021)*1440,0)&gt;設定!$C$46,ROUND(($J1021-$H1021)*1440,0),0))</f>
        <v/>
      </c>
      <c r="P1021" s="84">
        <f>IF(OR($C1021="",$I1021="",$K1021=""),0,IF(ROUND(($I1021-$K1021)*1440,0)&gt;設定!$C$46,ROUND(($I1021-$K1021)*1440,0),0))</f>
        <v/>
      </c>
      <c r="Q1021" s="85">
        <f>IF($M1021="",0,IF(($M1021-IFERROR(INDEX(設定!$G$6:$G$21,MATCH($G1021,設定!$B$6:$B$21,0)),0))*60&gt;=設定!$C$44,ROUND(FLOOR(($M1021-IFERROR(INDEX(設定!$G$6:$G$21,MATCH($G1021,設定!$B$6:$B$21,0)),0))*60,設定!$C$45)/60,2),0))</f>
        <v/>
      </c>
      <c r="R1021" s="16">
        <f>IF(OR($C1021="",$Q1021=0),"",IF($G1021="國","國定假日",IF($B1021="日","例假",IF($B1021="六","休息日","平日"))))</f>
        <v/>
      </c>
      <c r="S1021" s="19" t="n"/>
    </row>
    <row r="1022">
      <c r="A1022" s="82">
        <f>IF(OR(助理班表!$A37="",28&gt;DAY(EOMONTH(DATE(設定!$C$2,設定!$D$2,1),0))),"",DATE(設定!$C$2,設定!$D$2,28))</f>
        <v/>
      </c>
      <c r="B1022" s="16">
        <f>IF($A1022="","",INDEX(設定!$O$6:$O$12,WEEKDAY($A1022,1)))</f>
        <v/>
      </c>
      <c r="C1022" s="16">
        <f>IF($A1022="","",助理班表!$A37)</f>
        <v/>
      </c>
      <c r="D1022" s="16">
        <f>IF($C1022="","",助理班表!$B37)</f>
        <v/>
      </c>
      <c r="E1022" s="16">
        <f>IF($C1022="","",助理班表!$D37)</f>
        <v/>
      </c>
      <c r="F1022" s="16">
        <f>IF($C1022="","",助理班表!$C37)</f>
        <v/>
      </c>
      <c r="G1022" s="16">
        <f>IF($C1022="","",助理班表!AF37)</f>
        <v/>
      </c>
      <c r="H1022" s="83">
        <f>IF($G1022="","",IFERROR(IF(INDEX(設定!$D$6:$D$21,MATCH($G1022,設定!$B$6:$B$21,0))=0,"",INDEX(設定!$D$6:$D$21,MATCH($G1022,設定!$B$6:$B$21,0))),""))</f>
        <v/>
      </c>
      <c r="I1022" s="83">
        <f>IF($G1022="","",IFERROR(IF(INDEX(設定!$E$6:$E$21,MATCH($G1022,設定!$B$6:$B$21,0))=0,"",INDEX(設定!$E$6:$E$21,MATCH($G1022,設定!$B$6:$B$21,0))),""))</f>
        <v/>
      </c>
      <c r="J1022" s="83">
        <f>IFERROR(INDEX(打卡匯入!$C$3:$C$2002,MATCH($C1022&amp;"|"&amp;DAY($A1022),打卡匯入!$E$3:$E$2002,0)),"")</f>
        <v/>
      </c>
      <c r="K1022" s="83">
        <f>IFERROR(INDEX(打卡匯入!$D$3:$D$2002,MATCH($C1022&amp;"|"&amp;DAY($A1022),打卡匯入!$E$3:$E$2002,0)),"")</f>
        <v/>
      </c>
      <c r="L1022" s="84">
        <f>IF(OR($J1022="",$K1022=""),"",IFERROR(INDEX(設定!$F$6:$F$21,MATCH($G1022,設定!$B$6:$B$21,0)),0))</f>
        <v/>
      </c>
      <c r="M1022" s="85">
        <f>IF(OR($J1022="",$K1022=""),"",ROUND(($K1022-$J1022)*24-$L1022/60,2))</f>
        <v/>
      </c>
      <c r="N1022" s="16">
        <f>IF($C1022="","",IF(AND(COUNTIF(設定!$B$15:$B$21,$G1022)&gt;0,$J1022&lt;&gt;""),"假日出勤",IF(AND(COUNTIF(設定!$B$6:$B$14,$G1022)&gt;0,$J1022=""),"未打卡",IF($J1022="","",IF($O1022&gt;0,"遲到",IF($P1022&gt;0,"早退","正常"))))))</f>
        <v/>
      </c>
      <c r="O1022" s="84">
        <f>IF(OR($C1022="",$H1022="",$J1022=""),0,IF(ROUND(($J1022-$H1022)*1440,0)&gt;設定!$C$46,ROUND(($J1022-$H1022)*1440,0),0))</f>
        <v/>
      </c>
      <c r="P1022" s="84">
        <f>IF(OR($C1022="",$I1022="",$K1022=""),0,IF(ROUND(($I1022-$K1022)*1440,0)&gt;設定!$C$46,ROUND(($I1022-$K1022)*1440,0),0))</f>
        <v/>
      </c>
      <c r="Q1022" s="85">
        <f>IF($M1022="",0,IF(($M1022-IFERROR(INDEX(設定!$G$6:$G$21,MATCH($G1022,設定!$B$6:$B$21,0)),0))*60&gt;=設定!$C$44,ROUND(FLOOR(($M1022-IFERROR(INDEX(設定!$G$6:$G$21,MATCH($G1022,設定!$B$6:$B$21,0)),0))*60,設定!$C$45)/60,2),0))</f>
        <v/>
      </c>
      <c r="R1022" s="16">
        <f>IF(OR($C1022="",$Q1022=0),"",IF($G1022="國","國定假日",IF($B1022="日","例假",IF($B1022="六","休息日","平日"))))</f>
        <v/>
      </c>
      <c r="S1022" s="19" t="n"/>
    </row>
    <row r="1023">
      <c r="A1023" s="82">
        <f>IF(OR(助理班表!$A37="",29&gt;DAY(EOMONTH(DATE(設定!$C$2,設定!$D$2,1),0))),"",DATE(設定!$C$2,設定!$D$2,29))</f>
        <v/>
      </c>
      <c r="B1023" s="16">
        <f>IF($A1023="","",INDEX(設定!$O$6:$O$12,WEEKDAY($A1023,1)))</f>
        <v/>
      </c>
      <c r="C1023" s="16">
        <f>IF($A1023="","",助理班表!$A37)</f>
        <v/>
      </c>
      <c r="D1023" s="16">
        <f>IF($C1023="","",助理班表!$B37)</f>
        <v/>
      </c>
      <c r="E1023" s="16">
        <f>IF($C1023="","",助理班表!$D37)</f>
        <v/>
      </c>
      <c r="F1023" s="16">
        <f>IF($C1023="","",助理班表!$C37)</f>
        <v/>
      </c>
      <c r="G1023" s="16">
        <f>IF($C1023="","",助理班表!AG37)</f>
        <v/>
      </c>
      <c r="H1023" s="83">
        <f>IF($G1023="","",IFERROR(IF(INDEX(設定!$D$6:$D$21,MATCH($G1023,設定!$B$6:$B$21,0))=0,"",INDEX(設定!$D$6:$D$21,MATCH($G1023,設定!$B$6:$B$21,0))),""))</f>
        <v/>
      </c>
      <c r="I1023" s="83">
        <f>IF($G1023="","",IFERROR(IF(INDEX(設定!$E$6:$E$21,MATCH($G1023,設定!$B$6:$B$21,0))=0,"",INDEX(設定!$E$6:$E$21,MATCH($G1023,設定!$B$6:$B$21,0))),""))</f>
        <v/>
      </c>
      <c r="J1023" s="83">
        <f>IFERROR(INDEX(打卡匯入!$C$3:$C$2002,MATCH($C1023&amp;"|"&amp;DAY($A1023),打卡匯入!$E$3:$E$2002,0)),"")</f>
        <v/>
      </c>
      <c r="K1023" s="83">
        <f>IFERROR(INDEX(打卡匯入!$D$3:$D$2002,MATCH($C1023&amp;"|"&amp;DAY($A1023),打卡匯入!$E$3:$E$2002,0)),"")</f>
        <v/>
      </c>
      <c r="L1023" s="84">
        <f>IF(OR($J1023="",$K1023=""),"",IFERROR(INDEX(設定!$F$6:$F$21,MATCH($G1023,設定!$B$6:$B$21,0)),0))</f>
        <v/>
      </c>
      <c r="M1023" s="85">
        <f>IF(OR($J1023="",$K1023=""),"",ROUND(($K1023-$J1023)*24-$L1023/60,2))</f>
        <v/>
      </c>
      <c r="N1023" s="16">
        <f>IF($C1023="","",IF(AND(COUNTIF(設定!$B$15:$B$21,$G1023)&gt;0,$J1023&lt;&gt;""),"假日出勤",IF(AND(COUNTIF(設定!$B$6:$B$14,$G1023)&gt;0,$J1023=""),"未打卡",IF($J1023="","",IF($O1023&gt;0,"遲到",IF($P1023&gt;0,"早退","正常"))))))</f>
        <v/>
      </c>
      <c r="O1023" s="84">
        <f>IF(OR($C1023="",$H1023="",$J1023=""),0,IF(ROUND(($J1023-$H1023)*1440,0)&gt;設定!$C$46,ROUND(($J1023-$H1023)*1440,0),0))</f>
        <v/>
      </c>
      <c r="P1023" s="84">
        <f>IF(OR($C1023="",$I1023="",$K1023=""),0,IF(ROUND(($I1023-$K1023)*1440,0)&gt;設定!$C$46,ROUND(($I1023-$K1023)*1440,0),0))</f>
        <v/>
      </c>
      <c r="Q1023" s="85">
        <f>IF($M1023="",0,IF(($M1023-IFERROR(INDEX(設定!$G$6:$G$21,MATCH($G1023,設定!$B$6:$B$21,0)),0))*60&gt;=設定!$C$44,ROUND(FLOOR(($M1023-IFERROR(INDEX(設定!$G$6:$G$21,MATCH($G1023,設定!$B$6:$B$21,0)),0))*60,設定!$C$45)/60,2),0))</f>
        <v/>
      </c>
      <c r="R1023" s="16">
        <f>IF(OR($C1023="",$Q1023=0),"",IF($G1023="國","國定假日",IF($B1023="日","例假",IF($B1023="六","休息日","平日"))))</f>
        <v/>
      </c>
      <c r="S1023" s="19" t="n"/>
    </row>
    <row r="1024">
      <c r="A1024" s="82">
        <f>IF(OR(助理班表!$A37="",30&gt;DAY(EOMONTH(DATE(設定!$C$2,設定!$D$2,1),0))),"",DATE(設定!$C$2,設定!$D$2,30))</f>
        <v/>
      </c>
      <c r="B1024" s="16">
        <f>IF($A1024="","",INDEX(設定!$O$6:$O$12,WEEKDAY($A1024,1)))</f>
        <v/>
      </c>
      <c r="C1024" s="16">
        <f>IF($A1024="","",助理班表!$A37)</f>
        <v/>
      </c>
      <c r="D1024" s="16">
        <f>IF($C1024="","",助理班表!$B37)</f>
        <v/>
      </c>
      <c r="E1024" s="16">
        <f>IF($C1024="","",助理班表!$D37)</f>
        <v/>
      </c>
      <c r="F1024" s="16">
        <f>IF($C1024="","",助理班表!$C37)</f>
        <v/>
      </c>
      <c r="G1024" s="16">
        <f>IF($C1024="","",助理班表!AH37)</f>
        <v/>
      </c>
      <c r="H1024" s="83">
        <f>IF($G1024="","",IFERROR(IF(INDEX(設定!$D$6:$D$21,MATCH($G1024,設定!$B$6:$B$21,0))=0,"",INDEX(設定!$D$6:$D$21,MATCH($G1024,設定!$B$6:$B$21,0))),""))</f>
        <v/>
      </c>
      <c r="I1024" s="83">
        <f>IF($G1024="","",IFERROR(IF(INDEX(設定!$E$6:$E$21,MATCH($G1024,設定!$B$6:$B$21,0))=0,"",INDEX(設定!$E$6:$E$21,MATCH($G1024,設定!$B$6:$B$21,0))),""))</f>
        <v/>
      </c>
      <c r="J1024" s="83">
        <f>IFERROR(INDEX(打卡匯入!$C$3:$C$2002,MATCH($C1024&amp;"|"&amp;DAY($A1024),打卡匯入!$E$3:$E$2002,0)),"")</f>
        <v/>
      </c>
      <c r="K1024" s="83">
        <f>IFERROR(INDEX(打卡匯入!$D$3:$D$2002,MATCH($C1024&amp;"|"&amp;DAY($A1024),打卡匯入!$E$3:$E$2002,0)),"")</f>
        <v/>
      </c>
      <c r="L1024" s="84">
        <f>IF(OR($J1024="",$K1024=""),"",IFERROR(INDEX(設定!$F$6:$F$21,MATCH($G1024,設定!$B$6:$B$21,0)),0))</f>
        <v/>
      </c>
      <c r="M1024" s="85">
        <f>IF(OR($J1024="",$K1024=""),"",ROUND(($K1024-$J1024)*24-$L1024/60,2))</f>
        <v/>
      </c>
      <c r="N1024" s="16">
        <f>IF($C1024="","",IF(AND(COUNTIF(設定!$B$15:$B$21,$G1024)&gt;0,$J1024&lt;&gt;""),"假日出勤",IF(AND(COUNTIF(設定!$B$6:$B$14,$G1024)&gt;0,$J1024=""),"未打卡",IF($J1024="","",IF($O1024&gt;0,"遲到",IF($P1024&gt;0,"早退","正常"))))))</f>
        <v/>
      </c>
      <c r="O1024" s="84">
        <f>IF(OR($C1024="",$H1024="",$J1024=""),0,IF(ROUND(($J1024-$H1024)*1440,0)&gt;設定!$C$46,ROUND(($J1024-$H1024)*1440,0),0))</f>
        <v/>
      </c>
      <c r="P1024" s="84">
        <f>IF(OR($C1024="",$I1024="",$K1024=""),0,IF(ROUND(($I1024-$K1024)*1440,0)&gt;設定!$C$46,ROUND(($I1024-$K1024)*1440,0),0))</f>
        <v/>
      </c>
      <c r="Q1024" s="85">
        <f>IF($M1024="",0,IF(($M1024-IFERROR(INDEX(設定!$G$6:$G$21,MATCH($G1024,設定!$B$6:$B$21,0)),0))*60&gt;=設定!$C$44,ROUND(FLOOR(($M1024-IFERROR(INDEX(設定!$G$6:$G$21,MATCH($G1024,設定!$B$6:$B$21,0)),0))*60,設定!$C$45)/60,2),0))</f>
        <v/>
      </c>
      <c r="R1024" s="16">
        <f>IF(OR($C1024="",$Q1024=0),"",IF($G1024="國","國定假日",IF($B1024="日","例假",IF($B1024="六","休息日","平日"))))</f>
        <v/>
      </c>
      <c r="S1024" s="19" t="n"/>
    </row>
    <row r="1025">
      <c r="A1025" s="82">
        <f>IF(OR(助理班表!$A37="",31&gt;DAY(EOMONTH(DATE(設定!$C$2,設定!$D$2,1),0))),"",DATE(設定!$C$2,設定!$D$2,31))</f>
        <v/>
      </c>
      <c r="B1025" s="16">
        <f>IF($A1025="","",INDEX(設定!$O$6:$O$12,WEEKDAY($A1025,1)))</f>
        <v/>
      </c>
      <c r="C1025" s="16">
        <f>IF($A1025="","",助理班表!$A37)</f>
        <v/>
      </c>
      <c r="D1025" s="16">
        <f>IF($C1025="","",助理班表!$B37)</f>
        <v/>
      </c>
      <c r="E1025" s="16">
        <f>IF($C1025="","",助理班表!$D37)</f>
        <v/>
      </c>
      <c r="F1025" s="16">
        <f>IF($C1025="","",助理班表!$C37)</f>
        <v/>
      </c>
      <c r="G1025" s="16">
        <f>IF($C1025="","",助理班表!AI37)</f>
        <v/>
      </c>
      <c r="H1025" s="83">
        <f>IF($G1025="","",IFERROR(IF(INDEX(設定!$D$6:$D$21,MATCH($G1025,設定!$B$6:$B$21,0))=0,"",INDEX(設定!$D$6:$D$21,MATCH($G1025,設定!$B$6:$B$21,0))),""))</f>
        <v/>
      </c>
      <c r="I1025" s="83">
        <f>IF($G1025="","",IFERROR(IF(INDEX(設定!$E$6:$E$21,MATCH($G1025,設定!$B$6:$B$21,0))=0,"",INDEX(設定!$E$6:$E$21,MATCH($G1025,設定!$B$6:$B$21,0))),""))</f>
        <v/>
      </c>
      <c r="J1025" s="83">
        <f>IFERROR(INDEX(打卡匯入!$C$3:$C$2002,MATCH($C1025&amp;"|"&amp;DAY($A1025),打卡匯入!$E$3:$E$2002,0)),"")</f>
        <v/>
      </c>
      <c r="K1025" s="83">
        <f>IFERROR(INDEX(打卡匯入!$D$3:$D$2002,MATCH($C1025&amp;"|"&amp;DAY($A1025),打卡匯入!$E$3:$E$2002,0)),"")</f>
        <v/>
      </c>
      <c r="L1025" s="84">
        <f>IF(OR($J1025="",$K1025=""),"",IFERROR(INDEX(設定!$F$6:$F$21,MATCH($G1025,設定!$B$6:$B$21,0)),0))</f>
        <v/>
      </c>
      <c r="M1025" s="85">
        <f>IF(OR($J1025="",$K1025=""),"",ROUND(($K1025-$J1025)*24-$L1025/60,2))</f>
        <v/>
      </c>
      <c r="N1025" s="16">
        <f>IF($C1025="","",IF(AND(COUNTIF(設定!$B$15:$B$21,$G1025)&gt;0,$J1025&lt;&gt;""),"假日出勤",IF(AND(COUNTIF(設定!$B$6:$B$14,$G1025)&gt;0,$J1025=""),"未打卡",IF($J1025="","",IF($O1025&gt;0,"遲到",IF($P1025&gt;0,"早退","正常"))))))</f>
        <v/>
      </c>
      <c r="O1025" s="84">
        <f>IF(OR($C1025="",$H1025="",$J1025=""),0,IF(ROUND(($J1025-$H1025)*1440,0)&gt;設定!$C$46,ROUND(($J1025-$H1025)*1440,0),0))</f>
        <v/>
      </c>
      <c r="P1025" s="84">
        <f>IF(OR($C1025="",$I1025="",$K1025=""),0,IF(ROUND(($I1025-$K1025)*1440,0)&gt;設定!$C$46,ROUND(($I1025-$K1025)*1440,0),0))</f>
        <v/>
      </c>
      <c r="Q1025" s="85">
        <f>IF($M1025="",0,IF(($M1025-IFERROR(INDEX(設定!$G$6:$G$21,MATCH($G1025,設定!$B$6:$B$21,0)),0))*60&gt;=設定!$C$44,ROUND(FLOOR(($M1025-IFERROR(INDEX(設定!$G$6:$G$21,MATCH($G1025,設定!$B$6:$B$21,0)),0))*60,設定!$C$45)/60,2),0))</f>
        <v/>
      </c>
      <c r="R1025" s="16">
        <f>IF(OR($C1025="",$Q1025=0),"",IF($G1025="國","國定假日",IF($B1025="日","例假",IF($B1025="六","休息日","平日"))))</f>
        <v/>
      </c>
      <c r="S1025" s="19" t="n"/>
    </row>
    <row r="1026">
      <c r="A1026" s="82">
        <f>IF(OR(助理班表!$A38="",1&gt;DAY(EOMONTH(DATE(設定!$C$2,設定!$D$2,1),0))),"",DATE(設定!$C$2,設定!$D$2,1))</f>
        <v/>
      </c>
      <c r="B1026" s="16">
        <f>IF($A1026="","",INDEX(設定!$O$6:$O$12,WEEKDAY($A1026,1)))</f>
        <v/>
      </c>
      <c r="C1026" s="16">
        <f>IF($A1026="","",助理班表!$A38)</f>
        <v/>
      </c>
      <c r="D1026" s="16">
        <f>IF($C1026="","",助理班表!$B38)</f>
        <v/>
      </c>
      <c r="E1026" s="16">
        <f>IF($C1026="","",助理班表!$D38)</f>
        <v/>
      </c>
      <c r="F1026" s="16">
        <f>IF($C1026="","",助理班表!$C38)</f>
        <v/>
      </c>
      <c r="G1026" s="16">
        <f>IF($C1026="","",助理班表!E38)</f>
        <v/>
      </c>
      <c r="H1026" s="83">
        <f>IF($G1026="","",IFERROR(IF(INDEX(設定!$D$6:$D$21,MATCH($G1026,設定!$B$6:$B$21,0))=0,"",INDEX(設定!$D$6:$D$21,MATCH($G1026,設定!$B$6:$B$21,0))),""))</f>
        <v/>
      </c>
      <c r="I1026" s="83">
        <f>IF($G1026="","",IFERROR(IF(INDEX(設定!$E$6:$E$21,MATCH($G1026,設定!$B$6:$B$21,0))=0,"",INDEX(設定!$E$6:$E$21,MATCH($G1026,設定!$B$6:$B$21,0))),""))</f>
        <v/>
      </c>
      <c r="J1026" s="83">
        <f>IFERROR(INDEX(打卡匯入!$C$3:$C$2002,MATCH($C1026&amp;"|"&amp;DAY($A1026),打卡匯入!$E$3:$E$2002,0)),"")</f>
        <v/>
      </c>
      <c r="K1026" s="83">
        <f>IFERROR(INDEX(打卡匯入!$D$3:$D$2002,MATCH($C1026&amp;"|"&amp;DAY($A1026),打卡匯入!$E$3:$E$2002,0)),"")</f>
        <v/>
      </c>
      <c r="L1026" s="84">
        <f>IF(OR($J1026="",$K1026=""),"",IFERROR(INDEX(設定!$F$6:$F$21,MATCH($G1026,設定!$B$6:$B$21,0)),0))</f>
        <v/>
      </c>
      <c r="M1026" s="85">
        <f>IF(OR($J1026="",$K1026=""),"",ROUND(($K1026-$J1026)*24-$L1026/60,2))</f>
        <v/>
      </c>
      <c r="N1026" s="16">
        <f>IF($C1026="","",IF(AND(COUNTIF(設定!$B$15:$B$21,$G1026)&gt;0,$J1026&lt;&gt;""),"假日出勤",IF(AND(COUNTIF(設定!$B$6:$B$14,$G1026)&gt;0,$J1026=""),"未打卡",IF($J1026="","",IF($O1026&gt;0,"遲到",IF($P1026&gt;0,"早退","正常"))))))</f>
        <v/>
      </c>
      <c r="O1026" s="84">
        <f>IF(OR($C1026="",$H1026="",$J1026=""),0,IF(ROUND(($J1026-$H1026)*1440,0)&gt;設定!$C$46,ROUND(($J1026-$H1026)*1440,0),0))</f>
        <v/>
      </c>
      <c r="P1026" s="84">
        <f>IF(OR($C1026="",$I1026="",$K1026=""),0,IF(ROUND(($I1026-$K1026)*1440,0)&gt;設定!$C$46,ROUND(($I1026-$K1026)*1440,0),0))</f>
        <v/>
      </c>
      <c r="Q1026" s="85">
        <f>IF($M1026="",0,IF(($M1026-IFERROR(INDEX(設定!$G$6:$G$21,MATCH($G1026,設定!$B$6:$B$21,0)),0))*60&gt;=設定!$C$44,ROUND(FLOOR(($M1026-IFERROR(INDEX(設定!$G$6:$G$21,MATCH($G1026,設定!$B$6:$B$21,0)),0))*60,設定!$C$45)/60,2),0))</f>
        <v/>
      </c>
      <c r="R1026" s="16">
        <f>IF(OR($C1026="",$Q1026=0),"",IF($G1026="國","國定假日",IF($B1026="日","例假",IF($B1026="六","休息日","平日"))))</f>
        <v/>
      </c>
      <c r="S1026" s="19" t="n"/>
    </row>
    <row r="1027">
      <c r="A1027" s="82">
        <f>IF(OR(助理班表!$A38="",2&gt;DAY(EOMONTH(DATE(設定!$C$2,設定!$D$2,1),0))),"",DATE(設定!$C$2,設定!$D$2,2))</f>
        <v/>
      </c>
      <c r="B1027" s="16">
        <f>IF($A1027="","",INDEX(設定!$O$6:$O$12,WEEKDAY($A1027,1)))</f>
        <v/>
      </c>
      <c r="C1027" s="16">
        <f>IF($A1027="","",助理班表!$A38)</f>
        <v/>
      </c>
      <c r="D1027" s="16">
        <f>IF($C1027="","",助理班表!$B38)</f>
        <v/>
      </c>
      <c r="E1027" s="16">
        <f>IF($C1027="","",助理班表!$D38)</f>
        <v/>
      </c>
      <c r="F1027" s="16">
        <f>IF($C1027="","",助理班表!$C38)</f>
        <v/>
      </c>
      <c r="G1027" s="16">
        <f>IF($C1027="","",助理班表!F38)</f>
        <v/>
      </c>
      <c r="H1027" s="83">
        <f>IF($G1027="","",IFERROR(IF(INDEX(設定!$D$6:$D$21,MATCH($G1027,設定!$B$6:$B$21,0))=0,"",INDEX(設定!$D$6:$D$21,MATCH($G1027,設定!$B$6:$B$21,0))),""))</f>
        <v/>
      </c>
      <c r="I1027" s="83">
        <f>IF($G1027="","",IFERROR(IF(INDEX(設定!$E$6:$E$21,MATCH($G1027,設定!$B$6:$B$21,0))=0,"",INDEX(設定!$E$6:$E$21,MATCH($G1027,設定!$B$6:$B$21,0))),""))</f>
        <v/>
      </c>
      <c r="J1027" s="83">
        <f>IFERROR(INDEX(打卡匯入!$C$3:$C$2002,MATCH($C1027&amp;"|"&amp;DAY($A1027),打卡匯入!$E$3:$E$2002,0)),"")</f>
        <v/>
      </c>
      <c r="K1027" s="83">
        <f>IFERROR(INDEX(打卡匯入!$D$3:$D$2002,MATCH($C1027&amp;"|"&amp;DAY($A1027),打卡匯入!$E$3:$E$2002,0)),"")</f>
        <v/>
      </c>
      <c r="L1027" s="84">
        <f>IF(OR($J1027="",$K1027=""),"",IFERROR(INDEX(設定!$F$6:$F$21,MATCH($G1027,設定!$B$6:$B$21,0)),0))</f>
        <v/>
      </c>
      <c r="M1027" s="85">
        <f>IF(OR($J1027="",$K1027=""),"",ROUND(($K1027-$J1027)*24-$L1027/60,2))</f>
        <v/>
      </c>
      <c r="N1027" s="16">
        <f>IF($C1027="","",IF(AND(COUNTIF(設定!$B$15:$B$21,$G1027)&gt;0,$J1027&lt;&gt;""),"假日出勤",IF(AND(COUNTIF(設定!$B$6:$B$14,$G1027)&gt;0,$J1027=""),"未打卡",IF($J1027="","",IF($O1027&gt;0,"遲到",IF($P1027&gt;0,"早退","正常"))))))</f>
        <v/>
      </c>
      <c r="O1027" s="84">
        <f>IF(OR($C1027="",$H1027="",$J1027=""),0,IF(ROUND(($J1027-$H1027)*1440,0)&gt;設定!$C$46,ROUND(($J1027-$H1027)*1440,0),0))</f>
        <v/>
      </c>
      <c r="P1027" s="84">
        <f>IF(OR($C1027="",$I1027="",$K1027=""),0,IF(ROUND(($I1027-$K1027)*1440,0)&gt;設定!$C$46,ROUND(($I1027-$K1027)*1440,0),0))</f>
        <v/>
      </c>
      <c r="Q1027" s="85">
        <f>IF($M1027="",0,IF(($M1027-IFERROR(INDEX(設定!$G$6:$G$21,MATCH($G1027,設定!$B$6:$B$21,0)),0))*60&gt;=設定!$C$44,ROUND(FLOOR(($M1027-IFERROR(INDEX(設定!$G$6:$G$21,MATCH($G1027,設定!$B$6:$B$21,0)),0))*60,設定!$C$45)/60,2),0))</f>
        <v/>
      </c>
      <c r="R1027" s="16">
        <f>IF(OR($C1027="",$Q1027=0),"",IF($G1027="國","國定假日",IF($B1027="日","例假",IF($B1027="六","休息日","平日"))))</f>
        <v/>
      </c>
      <c r="S1027" s="19" t="n"/>
    </row>
    <row r="1028">
      <c r="A1028" s="82">
        <f>IF(OR(助理班表!$A38="",3&gt;DAY(EOMONTH(DATE(設定!$C$2,設定!$D$2,1),0))),"",DATE(設定!$C$2,設定!$D$2,3))</f>
        <v/>
      </c>
      <c r="B1028" s="16">
        <f>IF($A1028="","",INDEX(設定!$O$6:$O$12,WEEKDAY($A1028,1)))</f>
        <v/>
      </c>
      <c r="C1028" s="16">
        <f>IF($A1028="","",助理班表!$A38)</f>
        <v/>
      </c>
      <c r="D1028" s="16">
        <f>IF($C1028="","",助理班表!$B38)</f>
        <v/>
      </c>
      <c r="E1028" s="16">
        <f>IF($C1028="","",助理班表!$D38)</f>
        <v/>
      </c>
      <c r="F1028" s="16">
        <f>IF($C1028="","",助理班表!$C38)</f>
        <v/>
      </c>
      <c r="G1028" s="16">
        <f>IF($C1028="","",助理班表!G38)</f>
        <v/>
      </c>
      <c r="H1028" s="83">
        <f>IF($G1028="","",IFERROR(IF(INDEX(設定!$D$6:$D$21,MATCH($G1028,設定!$B$6:$B$21,0))=0,"",INDEX(設定!$D$6:$D$21,MATCH($G1028,設定!$B$6:$B$21,0))),""))</f>
        <v/>
      </c>
      <c r="I1028" s="83">
        <f>IF($G1028="","",IFERROR(IF(INDEX(設定!$E$6:$E$21,MATCH($G1028,設定!$B$6:$B$21,0))=0,"",INDEX(設定!$E$6:$E$21,MATCH($G1028,設定!$B$6:$B$21,0))),""))</f>
        <v/>
      </c>
      <c r="J1028" s="83">
        <f>IFERROR(INDEX(打卡匯入!$C$3:$C$2002,MATCH($C1028&amp;"|"&amp;DAY($A1028),打卡匯入!$E$3:$E$2002,0)),"")</f>
        <v/>
      </c>
      <c r="K1028" s="83">
        <f>IFERROR(INDEX(打卡匯入!$D$3:$D$2002,MATCH($C1028&amp;"|"&amp;DAY($A1028),打卡匯入!$E$3:$E$2002,0)),"")</f>
        <v/>
      </c>
      <c r="L1028" s="84">
        <f>IF(OR($J1028="",$K1028=""),"",IFERROR(INDEX(設定!$F$6:$F$21,MATCH($G1028,設定!$B$6:$B$21,0)),0))</f>
        <v/>
      </c>
      <c r="M1028" s="85">
        <f>IF(OR($J1028="",$K1028=""),"",ROUND(($K1028-$J1028)*24-$L1028/60,2))</f>
        <v/>
      </c>
      <c r="N1028" s="16">
        <f>IF($C1028="","",IF(AND(COUNTIF(設定!$B$15:$B$21,$G1028)&gt;0,$J1028&lt;&gt;""),"假日出勤",IF(AND(COUNTIF(設定!$B$6:$B$14,$G1028)&gt;0,$J1028=""),"未打卡",IF($J1028="","",IF($O1028&gt;0,"遲到",IF($P1028&gt;0,"早退","正常"))))))</f>
        <v/>
      </c>
      <c r="O1028" s="84">
        <f>IF(OR($C1028="",$H1028="",$J1028=""),0,IF(ROUND(($J1028-$H1028)*1440,0)&gt;設定!$C$46,ROUND(($J1028-$H1028)*1440,0),0))</f>
        <v/>
      </c>
      <c r="P1028" s="84">
        <f>IF(OR($C1028="",$I1028="",$K1028=""),0,IF(ROUND(($I1028-$K1028)*1440,0)&gt;設定!$C$46,ROUND(($I1028-$K1028)*1440,0),0))</f>
        <v/>
      </c>
      <c r="Q1028" s="85">
        <f>IF($M1028="",0,IF(($M1028-IFERROR(INDEX(設定!$G$6:$G$21,MATCH($G1028,設定!$B$6:$B$21,0)),0))*60&gt;=設定!$C$44,ROUND(FLOOR(($M1028-IFERROR(INDEX(設定!$G$6:$G$21,MATCH($G1028,設定!$B$6:$B$21,0)),0))*60,設定!$C$45)/60,2),0))</f>
        <v/>
      </c>
      <c r="R1028" s="16">
        <f>IF(OR($C1028="",$Q1028=0),"",IF($G1028="國","國定假日",IF($B1028="日","例假",IF($B1028="六","休息日","平日"))))</f>
        <v/>
      </c>
      <c r="S1028" s="19" t="n"/>
    </row>
    <row r="1029">
      <c r="A1029" s="82">
        <f>IF(OR(助理班表!$A38="",4&gt;DAY(EOMONTH(DATE(設定!$C$2,設定!$D$2,1),0))),"",DATE(設定!$C$2,設定!$D$2,4))</f>
        <v/>
      </c>
      <c r="B1029" s="16">
        <f>IF($A1029="","",INDEX(設定!$O$6:$O$12,WEEKDAY($A1029,1)))</f>
        <v/>
      </c>
      <c r="C1029" s="16">
        <f>IF($A1029="","",助理班表!$A38)</f>
        <v/>
      </c>
      <c r="D1029" s="16">
        <f>IF($C1029="","",助理班表!$B38)</f>
        <v/>
      </c>
      <c r="E1029" s="16">
        <f>IF($C1029="","",助理班表!$D38)</f>
        <v/>
      </c>
      <c r="F1029" s="16">
        <f>IF($C1029="","",助理班表!$C38)</f>
        <v/>
      </c>
      <c r="G1029" s="16">
        <f>IF($C1029="","",助理班表!H38)</f>
        <v/>
      </c>
      <c r="H1029" s="83">
        <f>IF($G1029="","",IFERROR(IF(INDEX(設定!$D$6:$D$21,MATCH($G1029,設定!$B$6:$B$21,0))=0,"",INDEX(設定!$D$6:$D$21,MATCH($G1029,設定!$B$6:$B$21,0))),""))</f>
        <v/>
      </c>
      <c r="I1029" s="83">
        <f>IF($G1029="","",IFERROR(IF(INDEX(設定!$E$6:$E$21,MATCH($G1029,設定!$B$6:$B$21,0))=0,"",INDEX(設定!$E$6:$E$21,MATCH($G1029,設定!$B$6:$B$21,0))),""))</f>
        <v/>
      </c>
      <c r="J1029" s="83">
        <f>IFERROR(INDEX(打卡匯入!$C$3:$C$2002,MATCH($C1029&amp;"|"&amp;DAY($A1029),打卡匯入!$E$3:$E$2002,0)),"")</f>
        <v/>
      </c>
      <c r="K1029" s="83">
        <f>IFERROR(INDEX(打卡匯入!$D$3:$D$2002,MATCH($C1029&amp;"|"&amp;DAY($A1029),打卡匯入!$E$3:$E$2002,0)),"")</f>
        <v/>
      </c>
      <c r="L1029" s="84">
        <f>IF(OR($J1029="",$K1029=""),"",IFERROR(INDEX(設定!$F$6:$F$21,MATCH($G1029,設定!$B$6:$B$21,0)),0))</f>
        <v/>
      </c>
      <c r="M1029" s="85">
        <f>IF(OR($J1029="",$K1029=""),"",ROUND(($K1029-$J1029)*24-$L1029/60,2))</f>
        <v/>
      </c>
      <c r="N1029" s="16">
        <f>IF($C1029="","",IF(AND(COUNTIF(設定!$B$15:$B$21,$G1029)&gt;0,$J1029&lt;&gt;""),"假日出勤",IF(AND(COUNTIF(設定!$B$6:$B$14,$G1029)&gt;0,$J1029=""),"未打卡",IF($J1029="","",IF($O1029&gt;0,"遲到",IF($P1029&gt;0,"早退","正常"))))))</f>
        <v/>
      </c>
      <c r="O1029" s="84">
        <f>IF(OR($C1029="",$H1029="",$J1029=""),0,IF(ROUND(($J1029-$H1029)*1440,0)&gt;設定!$C$46,ROUND(($J1029-$H1029)*1440,0),0))</f>
        <v/>
      </c>
      <c r="P1029" s="84">
        <f>IF(OR($C1029="",$I1029="",$K1029=""),0,IF(ROUND(($I1029-$K1029)*1440,0)&gt;設定!$C$46,ROUND(($I1029-$K1029)*1440,0),0))</f>
        <v/>
      </c>
      <c r="Q1029" s="85">
        <f>IF($M1029="",0,IF(($M1029-IFERROR(INDEX(設定!$G$6:$G$21,MATCH($G1029,設定!$B$6:$B$21,0)),0))*60&gt;=設定!$C$44,ROUND(FLOOR(($M1029-IFERROR(INDEX(設定!$G$6:$G$21,MATCH($G1029,設定!$B$6:$B$21,0)),0))*60,設定!$C$45)/60,2),0))</f>
        <v/>
      </c>
      <c r="R1029" s="16">
        <f>IF(OR($C1029="",$Q1029=0),"",IF($G1029="國","國定假日",IF($B1029="日","例假",IF($B1029="六","休息日","平日"))))</f>
        <v/>
      </c>
      <c r="S1029" s="19" t="n"/>
    </row>
    <row r="1030">
      <c r="A1030" s="82">
        <f>IF(OR(助理班表!$A38="",5&gt;DAY(EOMONTH(DATE(設定!$C$2,設定!$D$2,1),0))),"",DATE(設定!$C$2,設定!$D$2,5))</f>
        <v/>
      </c>
      <c r="B1030" s="16">
        <f>IF($A1030="","",INDEX(設定!$O$6:$O$12,WEEKDAY($A1030,1)))</f>
        <v/>
      </c>
      <c r="C1030" s="16">
        <f>IF($A1030="","",助理班表!$A38)</f>
        <v/>
      </c>
      <c r="D1030" s="16">
        <f>IF($C1030="","",助理班表!$B38)</f>
        <v/>
      </c>
      <c r="E1030" s="16">
        <f>IF($C1030="","",助理班表!$D38)</f>
        <v/>
      </c>
      <c r="F1030" s="16">
        <f>IF($C1030="","",助理班表!$C38)</f>
        <v/>
      </c>
      <c r="G1030" s="16">
        <f>IF($C1030="","",助理班表!I38)</f>
        <v/>
      </c>
      <c r="H1030" s="83">
        <f>IF($G1030="","",IFERROR(IF(INDEX(設定!$D$6:$D$21,MATCH($G1030,設定!$B$6:$B$21,0))=0,"",INDEX(設定!$D$6:$D$21,MATCH($G1030,設定!$B$6:$B$21,0))),""))</f>
        <v/>
      </c>
      <c r="I1030" s="83">
        <f>IF($G1030="","",IFERROR(IF(INDEX(設定!$E$6:$E$21,MATCH($G1030,設定!$B$6:$B$21,0))=0,"",INDEX(設定!$E$6:$E$21,MATCH($G1030,設定!$B$6:$B$21,0))),""))</f>
        <v/>
      </c>
      <c r="J1030" s="83">
        <f>IFERROR(INDEX(打卡匯入!$C$3:$C$2002,MATCH($C1030&amp;"|"&amp;DAY($A1030),打卡匯入!$E$3:$E$2002,0)),"")</f>
        <v/>
      </c>
      <c r="K1030" s="83">
        <f>IFERROR(INDEX(打卡匯入!$D$3:$D$2002,MATCH($C1030&amp;"|"&amp;DAY($A1030),打卡匯入!$E$3:$E$2002,0)),"")</f>
        <v/>
      </c>
      <c r="L1030" s="84">
        <f>IF(OR($J1030="",$K1030=""),"",IFERROR(INDEX(設定!$F$6:$F$21,MATCH($G1030,設定!$B$6:$B$21,0)),0))</f>
        <v/>
      </c>
      <c r="M1030" s="85">
        <f>IF(OR($J1030="",$K1030=""),"",ROUND(($K1030-$J1030)*24-$L1030/60,2))</f>
        <v/>
      </c>
      <c r="N1030" s="16">
        <f>IF($C1030="","",IF(AND(COUNTIF(設定!$B$15:$B$21,$G1030)&gt;0,$J1030&lt;&gt;""),"假日出勤",IF(AND(COUNTIF(設定!$B$6:$B$14,$G1030)&gt;0,$J1030=""),"未打卡",IF($J1030="","",IF($O1030&gt;0,"遲到",IF($P1030&gt;0,"早退","正常"))))))</f>
        <v/>
      </c>
      <c r="O1030" s="84">
        <f>IF(OR($C1030="",$H1030="",$J1030=""),0,IF(ROUND(($J1030-$H1030)*1440,0)&gt;設定!$C$46,ROUND(($J1030-$H1030)*1440,0),0))</f>
        <v/>
      </c>
      <c r="P1030" s="84">
        <f>IF(OR($C1030="",$I1030="",$K1030=""),0,IF(ROUND(($I1030-$K1030)*1440,0)&gt;設定!$C$46,ROUND(($I1030-$K1030)*1440,0),0))</f>
        <v/>
      </c>
      <c r="Q1030" s="85">
        <f>IF($M1030="",0,IF(($M1030-IFERROR(INDEX(設定!$G$6:$G$21,MATCH($G1030,設定!$B$6:$B$21,0)),0))*60&gt;=設定!$C$44,ROUND(FLOOR(($M1030-IFERROR(INDEX(設定!$G$6:$G$21,MATCH($G1030,設定!$B$6:$B$21,0)),0))*60,設定!$C$45)/60,2),0))</f>
        <v/>
      </c>
      <c r="R1030" s="16">
        <f>IF(OR($C1030="",$Q1030=0),"",IF($G1030="國","國定假日",IF($B1030="日","例假",IF($B1030="六","休息日","平日"))))</f>
        <v/>
      </c>
      <c r="S1030" s="19" t="n"/>
    </row>
    <row r="1031">
      <c r="A1031" s="82">
        <f>IF(OR(助理班表!$A38="",6&gt;DAY(EOMONTH(DATE(設定!$C$2,設定!$D$2,1),0))),"",DATE(設定!$C$2,設定!$D$2,6))</f>
        <v/>
      </c>
      <c r="B1031" s="16">
        <f>IF($A1031="","",INDEX(設定!$O$6:$O$12,WEEKDAY($A1031,1)))</f>
        <v/>
      </c>
      <c r="C1031" s="16">
        <f>IF($A1031="","",助理班表!$A38)</f>
        <v/>
      </c>
      <c r="D1031" s="16">
        <f>IF($C1031="","",助理班表!$B38)</f>
        <v/>
      </c>
      <c r="E1031" s="16">
        <f>IF($C1031="","",助理班表!$D38)</f>
        <v/>
      </c>
      <c r="F1031" s="16">
        <f>IF($C1031="","",助理班表!$C38)</f>
        <v/>
      </c>
      <c r="G1031" s="16">
        <f>IF($C1031="","",助理班表!J38)</f>
        <v/>
      </c>
      <c r="H1031" s="83">
        <f>IF($G1031="","",IFERROR(IF(INDEX(設定!$D$6:$D$21,MATCH($G1031,設定!$B$6:$B$21,0))=0,"",INDEX(設定!$D$6:$D$21,MATCH($G1031,設定!$B$6:$B$21,0))),""))</f>
        <v/>
      </c>
      <c r="I1031" s="83">
        <f>IF($G1031="","",IFERROR(IF(INDEX(設定!$E$6:$E$21,MATCH($G1031,設定!$B$6:$B$21,0))=0,"",INDEX(設定!$E$6:$E$21,MATCH($G1031,設定!$B$6:$B$21,0))),""))</f>
        <v/>
      </c>
      <c r="J1031" s="83">
        <f>IFERROR(INDEX(打卡匯入!$C$3:$C$2002,MATCH($C1031&amp;"|"&amp;DAY($A1031),打卡匯入!$E$3:$E$2002,0)),"")</f>
        <v/>
      </c>
      <c r="K1031" s="83">
        <f>IFERROR(INDEX(打卡匯入!$D$3:$D$2002,MATCH($C1031&amp;"|"&amp;DAY($A1031),打卡匯入!$E$3:$E$2002,0)),"")</f>
        <v/>
      </c>
      <c r="L1031" s="84">
        <f>IF(OR($J1031="",$K1031=""),"",IFERROR(INDEX(設定!$F$6:$F$21,MATCH($G1031,設定!$B$6:$B$21,0)),0))</f>
        <v/>
      </c>
      <c r="M1031" s="85">
        <f>IF(OR($J1031="",$K1031=""),"",ROUND(($K1031-$J1031)*24-$L1031/60,2))</f>
        <v/>
      </c>
      <c r="N1031" s="16">
        <f>IF($C1031="","",IF(AND(COUNTIF(設定!$B$15:$B$21,$G1031)&gt;0,$J1031&lt;&gt;""),"假日出勤",IF(AND(COUNTIF(設定!$B$6:$B$14,$G1031)&gt;0,$J1031=""),"未打卡",IF($J1031="","",IF($O1031&gt;0,"遲到",IF($P1031&gt;0,"早退","正常"))))))</f>
        <v/>
      </c>
      <c r="O1031" s="84">
        <f>IF(OR($C1031="",$H1031="",$J1031=""),0,IF(ROUND(($J1031-$H1031)*1440,0)&gt;設定!$C$46,ROUND(($J1031-$H1031)*1440,0),0))</f>
        <v/>
      </c>
      <c r="P1031" s="84">
        <f>IF(OR($C1031="",$I1031="",$K1031=""),0,IF(ROUND(($I1031-$K1031)*1440,0)&gt;設定!$C$46,ROUND(($I1031-$K1031)*1440,0),0))</f>
        <v/>
      </c>
      <c r="Q1031" s="85">
        <f>IF($M1031="",0,IF(($M1031-IFERROR(INDEX(設定!$G$6:$G$21,MATCH($G1031,設定!$B$6:$B$21,0)),0))*60&gt;=設定!$C$44,ROUND(FLOOR(($M1031-IFERROR(INDEX(設定!$G$6:$G$21,MATCH($G1031,設定!$B$6:$B$21,0)),0))*60,設定!$C$45)/60,2),0))</f>
        <v/>
      </c>
      <c r="R1031" s="16">
        <f>IF(OR($C1031="",$Q1031=0),"",IF($G1031="國","國定假日",IF($B1031="日","例假",IF($B1031="六","休息日","平日"))))</f>
        <v/>
      </c>
      <c r="S1031" s="19" t="n"/>
    </row>
    <row r="1032">
      <c r="A1032" s="82">
        <f>IF(OR(助理班表!$A38="",7&gt;DAY(EOMONTH(DATE(設定!$C$2,設定!$D$2,1),0))),"",DATE(設定!$C$2,設定!$D$2,7))</f>
        <v/>
      </c>
      <c r="B1032" s="16">
        <f>IF($A1032="","",INDEX(設定!$O$6:$O$12,WEEKDAY($A1032,1)))</f>
        <v/>
      </c>
      <c r="C1032" s="16">
        <f>IF($A1032="","",助理班表!$A38)</f>
        <v/>
      </c>
      <c r="D1032" s="16">
        <f>IF($C1032="","",助理班表!$B38)</f>
        <v/>
      </c>
      <c r="E1032" s="16">
        <f>IF($C1032="","",助理班表!$D38)</f>
        <v/>
      </c>
      <c r="F1032" s="16">
        <f>IF($C1032="","",助理班表!$C38)</f>
        <v/>
      </c>
      <c r="G1032" s="16">
        <f>IF($C1032="","",助理班表!K38)</f>
        <v/>
      </c>
      <c r="H1032" s="83">
        <f>IF($G1032="","",IFERROR(IF(INDEX(設定!$D$6:$D$21,MATCH($G1032,設定!$B$6:$B$21,0))=0,"",INDEX(設定!$D$6:$D$21,MATCH($G1032,設定!$B$6:$B$21,0))),""))</f>
        <v/>
      </c>
      <c r="I1032" s="83">
        <f>IF($G1032="","",IFERROR(IF(INDEX(設定!$E$6:$E$21,MATCH($G1032,設定!$B$6:$B$21,0))=0,"",INDEX(設定!$E$6:$E$21,MATCH($G1032,設定!$B$6:$B$21,0))),""))</f>
        <v/>
      </c>
      <c r="J1032" s="83">
        <f>IFERROR(INDEX(打卡匯入!$C$3:$C$2002,MATCH($C1032&amp;"|"&amp;DAY($A1032),打卡匯入!$E$3:$E$2002,0)),"")</f>
        <v/>
      </c>
      <c r="K1032" s="83">
        <f>IFERROR(INDEX(打卡匯入!$D$3:$D$2002,MATCH($C1032&amp;"|"&amp;DAY($A1032),打卡匯入!$E$3:$E$2002,0)),"")</f>
        <v/>
      </c>
      <c r="L1032" s="84">
        <f>IF(OR($J1032="",$K1032=""),"",IFERROR(INDEX(設定!$F$6:$F$21,MATCH($G1032,設定!$B$6:$B$21,0)),0))</f>
        <v/>
      </c>
      <c r="M1032" s="85">
        <f>IF(OR($J1032="",$K1032=""),"",ROUND(($K1032-$J1032)*24-$L1032/60,2))</f>
        <v/>
      </c>
      <c r="N1032" s="16">
        <f>IF($C1032="","",IF(AND(COUNTIF(設定!$B$15:$B$21,$G1032)&gt;0,$J1032&lt;&gt;""),"假日出勤",IF(AND(COUNTIF(設定!$B$6:$B$14,$G1032)&gt;0,$J1032=""),"未打卡",IF($J1032="","",IF($O1032&gt;0,"遲到",IF($P1032&gt;0,"早退","正常"))))))</f>
        <v/>
      </c>
      <c r="O1032" s="84">
        <f>IF(OR($C1032="",$H1032="",$J1032=""),0,IF(ROUND(($J1032-$H1032)*1440,0)&gt;設定!$C$46,ROUND(($J1032-$H1032)*1440,0),0))</f>
        <v/>
      </c>
      <c r="P1032" s="84">
        <f>IF(OR($C1032="",$I1032="",$K1032=""),0,IF(ROUND(($I1032-$K1032)*1440,0)&gt;設定!$C$46,ROUND(($I1032-$K1032)*1440,0),0))</f>
        <v/>
      </c>
      <c r="Q1032" s="85">
        <f>IF($M1032="",0,IF(($M1032-IFERROR(INDEX(設定!$G$6:$G$21,MATCH($G1032,設定!$B$6:$B$21,0)),0))*60&gt;=設定!$C$44,ROUND(FLOOR(($M1032-IFERROR(INDEX(設定!$G$6:$G$21,MATCH($G1032,設定!$B$6:$B$21,0)),0))*60,設定!$C$45)/60,2),0))</f>
        <v/>
      </c>
      <c r="R1032" s="16">
        <f>IF(OR($C1032="",$Q1032=0),"",IF($G1032="國","國定假日",IF($B1032="日","例假",IF($B1032="六","休息日","平日"))))</f>
        <v/>
      </c>
      <c r="S1032" s="19" t="n"/>
    </row>
    <row r="1033">
      <c r="A1033" s="82">
        <f>IF(OR(助理班表!$A38="",8&gt;DAY(EOMONTH(DATE(設定!$C$2,設定!$D$2,1),0))),"",DATE(設定!$C$2,設定!$D$2,8))</f>
        <v/>
      </c>
      <c r="B1033" s="16">
        <f>IF($A1033="","",INDEX(設定!$O$6:$O$12,WEEKDAY($A1033,1)))</f>
        <v/>
      </c>
      <c r="C1033" s="16">
        <f>IF($A1033="","",助理班表!$A38)</f>
        <v/>
      </c>
      <c r="D1033" s="16">
        <f>IF($C1033="","",助理班表!$B38)</f>
        <v/>
      </c>
      <c r="E1033" s="16">
        <f>IF($C1033="","",助理班表!$D38)</f>
        <v/>
      </c>
      <c r="F1033" s="16">
        <f>IF($C1033="","",助理班表!$C38)</f>
        <v/>
      </c>
      <c r="G1033" s="16">
        <f>IF($C1033="","",助理班表!L38)</f>
        <v/>
      </c>
      <c r="H1033" s="83">
        <f>IF($G1033="","",IFERROR(IF(INDEX(設定!$D$6:$D$21,MATCH($G1033,設定!$B$6:$B$21,0))=0,"",INDEX(設定!$D$6:$D$21,MATCH($G1033,設定!$B$6:$B$21,0))),""))</f>
        <v/>
      </c>
      <c r="I1033" s="83">
        <f>IF($G1033="","",IFERROR(IF(INDEX(設定!$E$6:$E$21,MATCH($G1033,設定!$B$6:$B$21,0))=0,"",INDEX(設定!$E$6:$E$21,MATCH($G1033,設定!$B$6:$B$21,0))),""))</f>
        <v/>
      </c>
      <c r="J1033" s="83">
        <f>IFERROR(INDEX(打卡匯入!$C$3:$C$2002,MATCH($C1033&amp;"|"&amp;DAY($A1033),打卡匯入!$E$3:$E$2002,0)),"")</f>
        <v/>
      </c>
      <c r="K1033" s="83">
        <f>IFERROR(INDEX(打卡匯入!$D$3:$D$2002,MATCH($C1033&amp;"|"&amp;DAY($A1033),打卡匯入!$E$3:$E$2002,0)),"")</f>
        <v/>
      </c>
      <c r="L1033" s="84">
        <f>IF(OR($J1033="",$K1033=""),"",IFERROR(INDEX(設定!$F$6:$F$21,MATCH($G1033,設定!$B$6:$B$21,0)),0))</f>
        <v/>
      </c>
      <c r="M1033" s="85">
        <f>IF(OR($J1033="",$K1033=""),"",ROUND(($K1033-$J1033)*24-$L1033/60,2))</f>
        <v/>
      </c>
      <c r="N1033" s="16">
        <f>IF($C1033="","",IF(AND(COUNTIF(設定!$B$15:$B$21,$G1033)&gt;0,$J1033&lt;&gt;""),"假日出勤",IF(AND(COUNTIF(設定!$B$6:$B$14,$G1033)&gt;0,$J1033=""),"未打卡",IF($J1033="","",IF($O1033&gt;0,"遲到",IF($P1033&gt;0,"早退","正常"))))))</f>
        <v/>
      </c>
      <c r="O1033" s="84">
        <f>IF(OR($C1033="",$H1033="",$J1033=""),0,IF(ROUND(($J1033-$H1033)*1440,0)&gt;設定!$C$46,ROUND(($J1033-$H1033)*1440,0),0))</f>
        <v/>
      </c>
      <c r="P1033" s="84">
        <f>IF(OR($C1033="",$I1033="",$K1033=""),0,IF(ROUND(($I1033-$K1033)*1440,0)&gt;設定!$C$46,ROUND(($I1033-$K1033)*1440,0),0))</f>
        <v/>
      </c>
      <c r="Q1033" s="85">
        <f>IF($M1033="",0,IF(($M1033-IFERROR(INDEX(設定!$G$6:$G$21,MATCH($G1033,設定!$B$6:$B$21,0)),0))*60&gt;=設定!$C$44,ROUND(FLOOR(($M1033-IFERROR(INDEX(設定!$G$6:$G$21,MATCH($G1033,設定!$B$6:$B$21,0)),0))*60,設定!$C$45)/60,2),0))</f>
        <v/>
      </c>
      <c r="R1033" s="16">
        <f>IF(OR($C1033="",$Q1033=0),"",IF($G1033="國","國定假日",IF($B1033="日","例假",IF($B1033="六","休息日","平日"))))</f>
        <v/>
      </c>
      <c r="S1033" s="19" t="n"/>
    </row>
    <row r="1034">
      <c r="A1034" s="82">
        <f>IF(OR(助理班表!$A38="",9&gt;DAY(EOMONTH(DATE(設定!$C$2,設定!$D$2,1),0))),"",DATE(設定!$C$2,設定!$D$2,9))</f>
        <v/>
      </c>
      <c r="B1034" s="16">
        <f>IF($A1034="","",INDEX(設定!$O$6:$O$12,WEEKDAY($A1034,1)))</f>
        <v/>
      </c>
      <c r="C1034" s="16">
        <f>IF($A1034="","",助理班表!$A38)</f>
        <v/>
      </c>
      <c r="D1034" s="16">
        <f>IF($C1034="","",助理班表!$B38)</f>
        <v/>
      </c>
      <c r="E1034" s="16">
        <f>IF($C1034="","",助理班表!$D38)</f>
        <v/>
      </c>
      <c r="F1034" s="16">
        <f>IF($C1034="","",助理班表!$C38)</f>
        <v/>
      </c>
      <c r="G1034" s="16">
        <f>IF($C1034="","",助理班表!M38)</f>
        <v/>
      </c>
      <c r="H1034" s="83">
        <f>IF($G1034="","",IFERROR(IF(INDEX(設定!$D$6:$D$21,MATCH($G1034,設定!$B$6:$B$21,0))=0,"",INDEX(設定!$D$6:$D$21,MATCH($G1034,設定!$B$6:$B$21,0))),""))</f>
        <v/>
      </c>
      <c r="I1034" s="83">
        <f>IF($G1034="","",IFERROR(IF(INDEX(設定!$E$6:$E$21,MATCH($G1034,設定!$B$6:$B$21,0))=0,"",INDEX(設定!$E$6:$E$21,MATCH($G1034,設定!$B$6:$B$21,0))),""))</f>
        <v/>
      </c>
      <c r="J1034" s="83">
        <f>IFERROR(INDEX(打卡匯入!$C$3:$C$2002,MATCH($C1034&amp;"|"&amp;DAY($A1034),打卡匯入!$E$3:$E$2002,0)),"")</f>
        <v/>
      </c>
      <c r="K1034" s="83">
        <f>IFERROR(INDEX(打卡匯入!$D$3:$D$2002,MATCH($C1034&amp;"|"&amp;DAY($A1034),打卡匯入!$E$3:$E$2002,0)),"")</f>
        <v/>
      </c>
      <c r="L1034" s="84">
        <f>IF(OR($J1034="",$K1034=""),"",IFERROR(INDEX(設定!$F$6:$F$21,MATCH($G1034,設定!$B$6:$B$21,0)),0))</f>
        <v/>
      </c>
      <c r="M1034" s="85">
        <f>IF(OR($J1034="",$K1034=""),"",ROUND(($K1034-$J1034)*24-$L1034/60,2))</f>
        <v/>
      </c>
      <c r="N1034" s="16">
        <f>IF($C1034="","",IF(AND(COUNTIF(設定!$B$15:$B$21,$G1034)&gt;0,$J1034&lt;&gt;""),"假日出勤",IF(AND(COUNTIF(設定!$B$6:$B$14,$G1034)&gt;0,$J1034=""),"未打卡",IF($J1034="","",IF($O1034&gt;0,"遲到",IF($P1034&gt;0,"早退","正常"))))))</f>
        <v/>
      </c>
      <c r="O1034" s="84">
        <f>IF(OR($C1034="",$H1034="",$J1034=""),0,IF(ROUND(($J1034-$H1034)*1440,0)&gt;設定!$C$46,ROUND(($J1034-$H1034)*1440,0),0))</f>
        <v/>
      </c>
      <c r="P1034" s="84">
        <f>IF(OR($C1034="",$I1034="",$K1034=""),0,IF(ROUND(($I1034-$K1034)*1440,0)&gt;設定!$C$46,ROUND(($I1034-$K1034)*1440,0),0))</f>
        <v/>
      </c>
      <c r="Q1034" s="85">
        <f>IF($M1034="",0,IF(($M1034-IFERROR(INDEX(設定!$G$6:$G$21,MATCH($G1034,設定!$B$6:$B$21,0)),0))*60&gt;=設定!$C$44,ROUND(FLOOR(($M1034-IFERROR(INDEX(設定!$G$6:$G$21,MATCH($G1034,設定!$B$6:$B$21,0)),0))*60,設定!$C$45)/60,2),0))</f>
        <v/>
      </c>
      <c r="R1034" s="16">
        <f>IF(OR($C1034="",$Q1034=0),"",IF($G1034="國","國定假日",IF($B1034="日","例假",IF($B1034="六","休息日","平日"))))</f>
        <v/>
      </c>
      <c r="S1034" s="19" t="n"/>
    </row>
    <row r="1035">
      <c r="A1035" s="82">
        <f>IF(OR(助理班表!$A38="",10&gt;DAY(EOMONTH(DATE(設定!$C$2,設定!$D$2,1),0))),"",DATE(設定!$C$2,設定!$D$2,10))</f>
        <v/>
      </c>
      <c r="B1035" s="16">
        <f>IF($A1035="","",INDEX(設定!$O$6:$O$12,WEEKDAY($A1035,1)))</f>
        <v/>
      </c>
      <c r="C1035" s="16">
        <f>IF($A1035="","",助理班表!$A38)</f>
        <v/>
      </c>
      <c r="D1035" s="16">
        <f>IF($C1035="","",助理班表!$B38)</f>
        <v/>
      </c>
      <c r="E1035" s="16">
        <f>IF($C1035="","",助理班表!$D38)</f>
        <v/>
      </c>
      <c r="F1035" s="16">
        <f>IF($C1035="","",助理班表!$C38)</f>
        <v/>
      </c>
      <c r="G1035" s="16">
        <f>IF($C1035="","",助理班表!N38)</f>
        <v/>
      </c>
      <c r="H1035" s="83">
        <f>IF($G1035="","",IFERROR(IF(INDEX(設定!$D$6:$D$21,MATCH($G1035,設定!$B$6:$B$21,0))=0,"",INDEX(設定!$D$6:$D$21,MATCH($G1035,設定!$B$6:$B$21,0))),""))</f>
        <v/>
      </c>
      <c r="I1035" s="83">
        <f>IF($G1035="","",IFERROR(IF(INDEX(設定!$E$6:$E$21,MATCH($G1035,設定!$B$6:$B$21,0))=0,"",INDEX(設定!$E$6:$E$21,MATCH($G1035,設定!$B$6:$B$21,0))),""))</f>
        <v/>
      </c>
      <c r="J1035" s="83">
        <f>IFERROR(INDEX(打卡匯入!$C$3:$C$2002,MATCH($C1035&amp;"|"&amp;DAY($A1035),打卡匯入!$E$3:$E$2002,0)),"")</f>
        <v/>
      </c>
      <c r="K1035" s="83">
        <f>IFERROR(INDEX(打卡匯入!$D$3:$D$2002,MATCH($C1035&amp;"|"&amp;DAY($A1035),打卡匯入!$E$3:$E$2002,0)),"")</f>
        <v/>
      </c>
      <c r="L1035" s="84">
        <f>IF(OR($J1035="",$K1035=""),"",IFERROR(INDEX(設定!$F$6:$F$21,MATCH($G1035,設定!$B$6:$B$21,0)),0))</f>
        <v/>
      </c>
      <c r="M1035" s="85">
        <f>IF(OR($J1035="",$K1035=""),"",ROUND(($K1035-$J1035)*24-$L1035/60,2))</f>
        <v/>
      </c>
      <c r="N1035" s="16">
        <f>IF($C1035="","",IF(AND(COUNTIF(設定!$B$15:$B$21,$G1035)&gt;0,$J1035&lt;&gt;""),"假日出勤",IF(AND(COUNTIF(設定!$B$6:$B$14,$G1035)&gt;0,$J1035=""),"未打卡",IF($J1035="","",IF($O1035&gt;0,"遲到",IF($P1035&gt;0,"早退","正常"))))))</f>
        <v/>
      </c>
      <c r="O1035" s="84">
        <f>IF(OR($C1035="",$H1035="",$J1035=""),0,IF(ROUND(($J1035-$H1035)*1440,0)&gt;設定!$C$46,ROUND(($J1035-$H1035)*1440,0),0))</f>
        <v/>
      </c>
      <c r="P1035" s="84">
        <f>IF(OR($C1035="",$I1035="",$K1035=""),0,IF(ROUND(($I1035-$K1035)*1440,0)&gt;設定!$C$46,ROUND(($I1035-$K1035)*1440,0),0))</f>
        <v/>
      </c>
      <c r="Q1035" s="85">
        <f>IF($M1035="",0,IF(($M1035-IFERROR(INDEX(設定!$G$6:$G$21,MATCH($G1035,設定!$B$6:$B$21,0)),0))*60&gt;=設定!$C$44,ROUND(FLOOR(($M1035-IFERROR(INDEX(設定!$G$6:$G$21,MATCH($G1035,設定!$B$6:$B$21,0)),0))*60,設定!$C$45)/60,2),0))</f>
        <v/>
      </c>
      <c r="R1035" s="16">
        <f>IF(OR($C1035="",$Q1035=0),"",IF($G1035="國","國定假日",IF($B1035="日","例假",IF($B1035="六","休息日","平日"))))</f>
        <v/>
      </c>
      <c r="S1035" s="19" t="n"/>
    </row>
    <row r="1036">
      <c r="A1036" s="82">
        <f>IF(OR(助理班表!$A38="",11&gt;DAY(EOMONTH(DATE(設定!$C$2,設定!$D$2,1),0))),"",DATE(設定!$C$2,設定!$D$2,11))</f>
        <v/>
      </c>
      <c r="B1036" s="16">
        <f>IF($A1036="","",INDEX(設定!$O$6:$O$12,WEEKDAY($A1036,1)))</f>
        <v/>
      </c>
      <c r="C1036" s="16">
        <f>IF($A1036="","",助理班表!$A38)</f>
        <v/>
      </c>
      <c r="D1036" s="16">
        <f>IF($C1036="","",助理班表!$B38)</f>
        <v/>
      </c>
      <c r="E1036" s="16">
        <f>IF($C1036="","",助理班表!$D38)</f>
        <v/>
      </c>
      <c r="F1036" s="16">
        <f>IF($C1036="","",助理班表!$C38)</f>
        <v/>
      </c>
      <c r="G1036" s="16">
        <f>IF($C1036="","",助理班表!O38)</f>
        <v/>
      </c>
      <c r="H1036" s="83">
        <f>IF($G1036="","",IFERROR(IF(INDEX(設定!$D$6:$D$21,MATCH($G1036,設定!$B$6:$B$21,0))=0,"",INDEX(設定!$D$6:$D$21,MATCH($G1036,設定!$B$6:$B$21,0))),""))</f>
        <v/>
      </c>
      <c r="I1036" s="83">
        <f>IF($G1036="","",IFERROR(IF(INDEX(設定!$E$6:$E$21,MATCH($G1036,設定!$B$6:$B$21,0))=0,"",INDEX(設定!$E$6:$E$21,MATCH($G1036,設定!$B$6:$B$21,0))),""))</f>
        <v/>
      </c>
      <c r="J1036" s="83">
        <f>IFERROR(INDEX(打卡匯入!$C$3:$C$2002,MATCH($C1036&amp;"|"&amp;DAY($A1036),打卡匯入!$E$3:$E$2002,0)),"")</f>
        <v/>
      </c>
      <c r="K1036" s="83">
        <f>IFERROR(INDEX(打卡匯入!$D$3:$D$2002,MATCH($C1036&amp;"|"&amp;DAY($A1036),打卡匯入!$E$3:$E$2002,0)),"")</f>
        <v/>
      </c>
      <c r="L1036" s="84">
        <f>IF(OR($J1036="",$K1036=""),"",IFERROR(INDEX(設定!$F$6:$F$21,MATCH($G1036,設定!$B$6:$B$21,0)),0))</f>
        <v/>
      </c>
      <c r="M1036" s="85">
        <f>IF(OR($J1036="",$K1036=""),"",ROUND(($K1036-$J1036)*24-$L1036/60,2))</f>
        <v/>
      </c>
      <c r="N1036" s="16">
        <f>IF($C1036="","",IF(AND(COUNTIF(設定!$B$15:$B$21,$G1036)&gt;0,$J1036&lt;&gt;""),"假日出勤",IF(AND(COUNTIF(設定!$B$6:$B$14,$G1036)&gt;0,$J1036=""),"未打卡",IF($J1036="","",IF($O1036&gt;0,"遲到",IF($P1036&gt;0,"早退","正常"))))))</f>
        <v/>
      </c>
      <c r="O1036" s="84">
        <f>IF(OR($C1036="",$H1036="",$J1036=""),0,IF(ROUND(($J1036-$H1036)*1440,0)&gt;設定!$C$46,ROUND(($J1036-$H1036)*1440,0),0))</f>
        <v/>
      </c>
      <c r="P1036" s="84">
        <f>IF(OR($C1036="",$I1036="",$K1036=""),0,IF(ROUND(($I1036-$K1036)*1440,0)&gt;設定!$C$46,ROUND(($I1036-$K1036)*1440,0),0))</f>
        <v/>
      </c>
      <c r="Q1036" s="85">
        <f>IF($M1036="",0,IF(($M1036-IFERROR(INDEX(設定!$G$6:$G$21,MATCH($G1036,設定!$B$6:$B$21,0)),0))*60&gt;=設定!$C$44,ROUND(FLOOR(($M1036-IFERROR(INDEX(設定!$G$6:$G$21,MATCH($G1036,設定!$B$6:$B$21,0)),0))*60,設定!$C$45)/60,2),0))</f>
        <v/>
      </c>
      <c r="R1036" s="16">
        <f>IF(OR($C1036="",$Q1036=0),"",IF($G1036="國","國定假日",IF($B1036="日","例假",IF($B1036="六","休息日","平日"))))</f>
        <v/>
      </c>
      <c r="S1036" s="19" t="n"/>
    </row>
    <row r="1037">
      <c r="A1037" s="82">
        <f>IF(OR(助理班表!$A38="",12&gt;DAY(EOMONTH(DATE(設定!$C$2,設定!$D$2,1),0))),"",DATE(設定!$C$2,設定!$D$2,12))</f>
        <v/>
      </c>
      <c r="B1037" s="16">
        <f>IF($A1037="","",INDEX(設定!$O$6:$O$12,WEEKDAY($A1037,1)))</f>
        <v/>
      </c>
      <c r="C1037" s="16">
        <f>IF($A1037="","",助理班表!$A38)</f>
        <v/>
      </c>
      <c r="D1037" s="16">
        <f>IF($C1037="","",助理班表!$B38)</f>
        <v/>
      </c>
      <c r="E1037" s="16">
        <f>IF($C1037="","",助理班表!$D38)</f>
        <v/>
      </c>
      <c r="F1037" s="16">
        <f>IF($C1037="","",助理班表!$C38)</f>
        <v/>
      </c>
      <c r="G1037" s="16">
        <f>IF($C1037="","",助理班表!P38)</f>
        <v/>
      </c>
      <c r="H1037" s="83">
        <f>IF($G1037="","",IFERROR(IF(INDEX(設定!$D$6:$D$21,MATCH($G1037,設定!$B$6:$B$21,0))=0,"",INDEX(設定!$D$6:$D$21,MATCH($G1037,設定!$B$6:$B$21,0))),""))</f>
        <v/>
      </c>
      <c r="I1037" s="83">
        <f>IF($G1037="","",IFERROR(IF(INDEX(設定!$E$6:$E$21,MATCH($G1037,設定!$B$6:$B$21,0))=0,"",INDEX(設定!$E$6:$E$21,MATCH($G1037,設定!$B$6:$B$21,0))),""))</f>
        <v/>
      </c>
      <c r="J1037" s="83">
        <f>IFERROR(INDEX(打卡匯入!$C$3:$C$2002,MATCH($C1037&amp;"|"&amp;DAY($A1037),打卡匯入!$E$3:$E$2002,0)),"")</f>
        <v/>
      </c>
      <c r="K1037" s="83">
        <f>IFERROR(INDEX(打卡匯入!$D$3:$D$2002,MATCH($C1037&amp;"|"&amp;DAY($A1037),打卡匯入!$E$3:$E$2002,0)),"")</f>
        <v/>
      </c>
      <c r="L1037" s="84">
        <f>IF(OR($J1037="",$K1037=""),"",IFERROR(INDEX(設定!$F$6:$F$21,MATCH($G1037,設定!$B$6:$B$21,0)),0))</f>
        <v/>
      </c>
      <c r="M1037" s="85">
        <f>IF(OR($J1037="",$K1037=""),"",ROUND(($K1037-$J1037)*24-$L1037/60,2))</f>
        <v/>
      </c>
      <c r="N1037" s="16">
        <f>IF($C1037="","",IF(AND(COUNTIF(設定!$B$15:$B$21,$G1037)&gt;0,$J1037&lt;&gt;""),"假日出勤",IF(AND(COUNTIF(設定!$B$6:$B$14,$G1037)&gt;0,$J1037=""),"未打卡",IF($J1037="","",IF($O1037&gt;0,"遲到",IF($P1037&gt;0,"早退","正常"))))))</f>
        <v/>
      </c>
      <c r="O1037" s="84">
        <f>IF(OR($C1037="",$H1037="",$J1037=""),0,IF(ROUND(($J1037-$H1037)*1440,0)&gt;設定!$C$46,ROUND(($J1037-$H1037)*1440,0),0))</f>
        <v/>
      </c>
      <c r="P1037" s="84">
        <f>IF(OR($C1037="",$I1037="",$K1037=""),0,IF(ROUND(($I1037-$K1037)*1440,0)&gt;設定!$C$46,ROUND(($I1037-$K1037)*1440,0),0))</f>
        <v/>
      </c>
      <c r="Q1037" s="85">
        <f>IF($M1037="",0,IF(($M1037-IFERROR(INDEX(設定!$G$6:$G$21,MATCH($G1037,設定!$B$6:$B$21,0)),0))*60&gt;=設定!$C$44,ROUND(FLOOR(($M1037-IFERROR(INDEX(設定!$G$6:$G$21,MATCH($G1037,設定!$B$6:$B$21,0)),0))*60,設定!$C$45)/60,2),0))</f>
        <v/>
      </c>
      <c r="R1037" s="16">
        <f>IF(OR($C1037="",$Q1037=0),"",IF($G1037="國","國定假日",IF($B1037="日","例假",IF($B1037="六","休息日","平日"))))</f>
        <v/>
      </c>
      <c r="S1037" s="19" t="n"/>
    </row>
    <row r="1038">
      <c r="A1038" s="82">
        <f>IF(OR(助理班表!$A38="",13&gt;DAY(EOMONTH(DATE(設定!$C$2,設定!$D$2,1),0))),"",DATE(設定!$C$2,設定!$D$2,13))</f>
        <v/>
      </c>
      <c r="B1038" s="16">
        <f>IF($A1038="","",INDEX(設定!$O$6:$O$12,WEEKDAY($A1038,1)))</f>
        <v/>
      </c>
      <c r="C1038" s="16">
        <f>IF($A1038="","",助理班表!$A38)</f>
        <v/>
      </c>
      <c r="D1038" s="16">
        <f>IF($C1038="","",助理班表!$B38)</f>
        <v/>
      </c>
      <c r="E1038" s="16">
        <f>IF($C1038="","",助理班表!$D38)</f>
        <v/>
      </c>
      <c r="F1038" s="16">
        <f>IF($C1038="","",助理班表!$C38)</f>
        <v/>
      </c>
      <c r="G1038" s="16">
        <f>IF($C1038="","",助理班表!Q38)</f>
        <v/>
      </c>
      <c r="H1038" s="83">
        <f>IF($G1038="","",IFERROR(IF(INDEX(設定!$D$6:$D$21,MATCH($G1038,設定!$B$6:$B$21,0))=0,"",INDEX(設定!$D$6:$D$21,MATCH($G1038,設定!$B$6:$B$21,0))),""))</f>
        <v/>
      </c>
      <c r="I1038" s="83">
        <f>IF($G1038="","",IFERROR(IF(INDEX(設定!$E$6:$E$21,MATCH($G1038,設定!$B$6:$B$21,0))=0,"",INDEX(設定!$E$6:$E$21,MATCH($G1038,設定!$B$6:$B$21,0))),""))</f>
        <v/>
      </c>
      <c r="J1038" s="83">
        <f>IFERROR(INDEX(打卡匯入!$C$3:$C$2002,MATCH($C1038&amp;"|"&amp;DAY($A1038),打卡匯入!$E$3:$E$2002,0)),"")</f>
        <v/>
      </c>
      <c r="K1038" s="83">
        <f>IFERROR(INDEX(打卡匯入!$D$3:$D$2002,MATCH($C1038&amp;"|"&amp;DAY($A1038),打卡匯入!$E$3:$E$2002,0)),"")</f>
        <v/>
      </c>
      <c r="L1038" s="84">
        <f>IF(OR($J1038="",$K1038=""),"",IFERROR(INDEX(設定!$F$6:$F$21,MATCH($G1038,設定!$B$6:$B$21,0)),0))</f>
        <v/>
      </c>
      <c r="M1038" s="85">
        <f>IF(OR($J1038="",$K1038=""),"",ROUND(($K1038-$J1038)*24-$L1038/60,2))</f>
        <v/>
      </c>
      <c r="N1038" s="16">
        <f>IF($C1038="","",IF(AND(COUNTIF(設定!$B$15:$B$21,$G1038)&gt;0,$J1038&lt;&gt;""),"假日出勤",IF(AND(COUNTIF(設定!$B$6:$B$14,$G1038)&gt;0,$J1038=""),"未打卡",IF($J1038="","",IF($O1038&gt;0,"遲到",IF($P1038&gt;0,"早退","正常"))))))</f>
        <v/>
      </c>
      <c r="O1038" s="84">
        <f>IF(OR($C1038="",$H1038="",$J1038=""),0,IF(ROUND(($J1038-$H1038)*1440,0)&gt;設定!$C$46,ROUND(($J1038-$H1038)*1440,0),0))</f>
        <v/>
      </c>
      <c r="P1038" s="84">
        <f>IF(OR($C1038="",$I1038="",$K1038=""),0,IF(ROUND(($I1038-$K1038)*1440,0)&gt;設定!$C$46,ROUND(($I1038-$K1038)*1440,0),0))</f>
        <v/>
      </c>
      <c r="Q1038" s="85">
        <f>IF($M1038="",0,IF(($M1038-IFERROR(INDEX(設定!$G$6:$G$21,MATCH($G1038,設定!$B$6:$B$21,0)),0))*60&gt;=設定!$C$44,ROUND(FLOOR(($M1038-IFERROR(INDEX(設定!$G$6:$G$21,MATCH($G1038,設定!$B$6:$B$21,0)),0))*60,設定!$C$45)/60,2),0))</f>
        <v/>
      </c>
      <c r="R1038" s="16">
        <f>IF(OR($C1038="",$Q1038=0),"",IF($G1038="國","國定假日",IF($B1038="日","例假",IF($B1038="六","休息日","平日"))))</f>
        <v/>
      </c>
      <c r="S1038" s="19" t="n"/>
    </row>
    <row r="1039">
      <c r="A1039" s="82">
        <f>IF(OR(助理班表!$A38="",14&gt;DAY(EOMONTH(DATE(設定!$C$2,設定!$D$2,1),0))),"",DATE(設定!$C$2,設定!$D$2,14))</f>
        <v/>
      </c>
      <c r="B1039" s="16">
        <f>IF($A1039="","",INDEX(設定!$O$6:$O$12,WEEKDAY($A1039,1)))</f>
        <v/>
      </c>
      <c r="C1039" s="16">
        <f>IF($A1039="","",助理班表!$A38)</f>
        <v/>
      </c>
      <c r="D1039" s="16">
        <f>IF($C1039="","",助理班表!$B38)</f>
        <v/>
      </c>
      <c r="E1039" s="16">
        <f>IF($C1039="","",助理班表!$D38)</f>
        <v/>
      </c>
      <c r="F1039" s="16">
        <f>IF($C1039="","",助理班表!$C38)</f>
        <v/>
      </c>
      <c r="G1039" s="16">
        <f>IF($C1039="","",助理班表!R38)</f>
        <v/>
      </c>
      <c r="H1039" s="83">
        <f>IF($G1039="","",IFERROR(IF(INDEX(設定!$D$6:$D$21,MATCH($G1039,設定!$B$6:$B$21,0))=0,"",INDEX(設定!$D$6:$D$21,MATCH($G1039,設定!$B$6:$B$21,0))),""))</f>
        <v/>
      </c>
      <c r="I1039" s="83">
        <f>IF($G1039="","",IFERROR(IF(INDEX(設定!$E$6:$E$21,MATCH($G1039,設定!$B$6:$B$21,0))=0,"",INDEX(設定!$E$6:$E$21,MATCH($G1039,設定!$B$6:$B$21,0))),""))</f>
        <v/>
      </c>
      <c r="J1039" s="83">
        <f>IFERROR(INDEX(打卡匯入!$C$3:$C$2002,MATCH($C1039&amp;"|"&amp;DAY($A1039),打卡匯入!$E$3:$E$2002,0)),"")</f>
        <v/>
      </c>
      <c r="K1039" s="83">
        <f>IFERROR(INDEX(打卡匯入!$D$3:$D$2002,MATCH($C1039&amp;"|"&amp;DAY($A1039),打卡匯入!$E$3:$E$2002,0)),"")</f>
        <v/>
      </c>
      <c r="L1039" s="84">
        <f>IF(OR($J1039="",$K1039=""),"",IFERROR(INDEX(設定!$F$6:$F$21,MATCH($G1039,設定!$B$6:$B$21,0)),0))</f>
        <v/>
      </c>
      <c r="M1039" s="85">
        <f>IF(OR($J1039="",$K1039=""),"",ROUND(($K1039-$J1039)*24-$L1039/60,2))</f>
        <v/>
      </c>
      <c r="N1039" s="16">
        <f>IF($C1039="","",IF(AND(COUNTIF(設定!$B$15:$B$21,$G1039)&gt;0,$J1039&lt;&gt;""),"假日出勤",IF(AND(COUNTIF(設定!$B$6:$B$14,$G1039)&gt;0,$J1039=""),"未打卡",IF($J1039="","",IF($O1039&gt;0,"遲到",IF($P1039&gt;0,"早退","正常"))))))</f>
        <v/>
      </c>
      <c r="O1039" s="84">
        <f>IF(OR($C1039="",$H1039="",$J1039=""),0,IF(ROUND(($J1039-$H1039)*1440,0)&gt;設定!$C$46,ROUND(($J1039-$H1039)*1440,0),0))</f>
        <v/>
      </c>
      <c r="P1039" s="84">
        <f>IF(OR($C1039="",$I1039="",$K1039=""),0,IF(ROUND(($I1039-$K1039)*1440,0)&gt;設定!$C$46,ROUND(($I1039-$K1039)*1440,0),0))</f>
        <v/>
      </c>
      <c r="Q1039" s="85">
        <f>IF($M1039="",0,IF(($M1039-IFERROR(INDEX(設定!$G$6:$G$21,MATCH($G1039,設定!$B$6:$B$21,0)),0))*60&gt;=設定!$C$44,ROUND(FLOOR(($M1039-IFERROR(INDEX(設定!$G$6:$G$21,MATCH($G1039,設定!$B$6:$B$21,0)),0))*60,設定!$C$45)/60,2),0))</f>
        <v/>
      </c>
      <c r="R1039" s="16">
        <f>IF(OR($C1039="",$Q1039=0),"",IF($G1039="國","國定假日",IF($B1039="日","例假",IF($B1039="六","休息日","平日"))))</f>
        <v/>
      </c>
      <c r="S1039" s="19" t="n"/>
    </row>
    <row r="1040">
      <c r="A1040" s="82">
        <f>IF(OR(助理班表!$A38="",15&gt;DAY(EOMONTH(DATE(設定!$C$2,設定!$D$2,1),0))),"",DATE(設定!$C$2,設定!$D$2,15))</f>
        <v/>
      </c>
      <c r="B1040" s="16">
        <f>IF($A1040="","",INDEX(設定!$O$6:$O$12,WEEKDAY($A1040,1)))</f>
        <v/>
      </c>
      <c r="C1040" s="16">
        <f>IF($A1040="","",助理班表!$A38)</f>
        <v/>
      </c>
      <c r="D1040" s="16">
        <f>IF($C1040="","",助理班表!$B38)</f>
        <v/>
      </c>
      <c r="E1040" s="16">
        <f>IF($C1040="","",助理班表!$D38)</f>
        <v/>
      </c>
      <c r="F1040" s="16">
        <f>IF($C1040="","",助理班表!$C38)</f>
        <v/>
      </c>
      <c r="G1040" s="16">
        <f>IF($C1040="","",助理班表!S38)</f>
        <v/>
      </c>
      <c r="H1040" s="83">
        <f>IF($G1040="","",IFERROR(IF(INDEX(設定!$D$6:$D$21,MATCH($G1040,設定!$B$6:$B$21,0))=0,"",INDEX(設定!$D$6:$D$21,MATCH($G1040,設定!$B$6:$B$21,0))),""))</f>
        <v/>
      </c>
      <c r="I1040" s="83">
        <f>IF($G1040="","",IFERROR(IF(INDEX(設定!$E$6:$E$21,MATCH($G1040,設定!$B$6:$B$21,0))=0,"",INDEX(設定!$E$6:$E$21,MATCH($G1040,設定!$B$6:$B$21,0))),""))</f>
        <v/>
      </c>
      <c r="J1040" s="83">
        <f>IFERROR(INDEX(打卡匯入!$C$3:$C$2002,MATCH($C1040&amp;"|"&amp;DAY($A1040),打卡匯入!$E$3:$E$2002,0)),"")</f>
        <v/>
      </c>
      <c r="K1040" s="83">
        <f>IFERROR(INDEX(打卡匯入!$D$3:$D$2002,MATCH($C1040&amp;"|"&amp;DAY($A1040),打卡匯入!$E$3:$E$2002,0)),"")</f>
        <v/>
      </c>
      <c r="L1040" s="84">
        <f>IF(OR($J1040="",$K1040=""),"",IFERROR(INDEX(設定!$F$6:$F$21,MATCH($G1040,設定!$B$6:$B$21,0)),0))</f>
        <v/>
      </c>
      <c r="M1040" s="85">
        <f>IF(OR($J1040="",$K1040=""),"",ROUND(($K1040-$J1040)*24-$L1040/60,2))</f>
        <v/>
      </c>
      <c r="N1040" s="16">
        <f>IF($C1040="","",IF(AND(COUNTIF(設定!$B$15:$B$21,$G1040)&gt;0,$J1040&lt;&gt;""),"假日出勤",IF(AND(COUNTIF(設定!$B$6:$B$14,$G1040)&gt;0,$J1040=""),"未打卡",IF($J1040="","",IF($O1040&gt;0,"遲到",IF($P1040&gt;0,"早退","正常"))))))</f>
        <v/>
      </c>
      <c r="O1040" s="84">
        <f>IF(OR($C1040="",$H1040="",$J1040=""),0,IF(ROUND(($J1040-$H1040)*1440,0)&gt;設定!$C$46,ROUND(($J1040-$H1040)*1440,0),0))</f>
        <v/>
      </c>
      <c r="P1040" s="84">
        <f>IF(OR($C1040="",$I1040="",$K1040=""),0,IF(ROUND(($I1040-$K1040)*1440,0)&gt;設定!$C$46,ROUND(($I1040-$K1040)*1440,0),0))</f>
        <v/>
      </c>
      <c r="Q1040" s="85">
        <f>IF($M1040="",0,IF(($M1040-IFERROR(INDEX(設定!$G$6:$G$21,MATCH($G1040,設定!$B$6:$B$21,0)),0))*60&gt;=設定!$C$44,ROUND(FLOOR(($M1040-IFERROR(INDEX(設定!$G$6:$G$21,MATCH($G1040,設定!$B$6:$B$21,0)),0))*60,設定!$C$45)/60,2),0))</f>
        <v/>
      </c>
      <c r="R1040" s="16">
        <f>IF(OR($C1040="",$Q1040=0),"",IF($G1040="國","國定假日",IF($B1040="日","例假",IF($B1040="六","休息日","平日"))))</f>
        <v/>
      </c>
      <c r="S1040" s="19" t="n"/>
    </row>
    <row r="1041">
      <c r="A1041" s="82">
        <f>IF(OR(助理班表!$A38="",16&gt;DAY(EOMONTH(DATE(設定!$C$2,設定!$D$2,1),0))),"",DATE(設定!$C$2,設定!$D$2,16))</f>
        <v/>
      </c>
      <c r="B1041" s="16">
        <f>IF($A1041="","",INDEX(設定!$O$6:$O$12,WEEKDAY($A1041,1)))</f>
        <v/>
      </c>
      <c r="C1041" s="16">
        <f>IF($A1041="","",助理班表!$A38)</f>
        <v/>
      </c>
      <c r="D1041" s="16">
        <f>IF($C1041="","",助理班表!$B38)</f>
        <v/>
      </c>
      <c r="E1041" s="16">
        <f>IF($C1041="","",助理班表!$D38)</f>
        <v/>
      </c>
      <c r="F1041" s="16">
        <f>IF($C1041="","",助理班表!$C38)</f>
        <v/>
      </c>
      <c r="G1041" s="16">
        <f>IF($C1041="","",助理班表!T38)</f>
        <v/>
      </c>
      <c r="H1041" s="83">
        <f>IF($G1041="","",IFERROR(IF(INDEX(設定!$D$6:$D$21,MATCH($G1041,設定!$B$6:$B$21,0))=0,"",INDEX(設定!$D$6:$D$21,MATCH($G1041,設定!$B$6:$B$21,0))),""))</f>
        <v/>
      </c>
      <c r="I1041" s="83">
        <f>IF($G1041="","",IFERROR(IF(INDEX(設定!$E$6:$E$21,MATCH($G1041,設定!$B$6:$B$21,0))=0,"",INDEX(設定!$E$6:$E$21,MATCH($G1041,設定!$B$6:$B$21,0))),""))</f>
        <v/>
      </c>
      <c r="J1041" s="83">
        <f>IFERROR(INDEX(打卡匯入!$C$3:$C$2002,MATCH($C1041&amp;"|"&amp;DAY($A1041),打卡匯入!$E$3:$E$2002,0)),"")</f>
        <v/>
      </c>
      <c r="K1041" s="83">
        <f>IFERROR(INDEX(打卡匯入!$D$3:$D$2002,MATCH($C1041&amp;"|"&amp;DAY($A1041),打卡匯入!$E$3:$E$2002,0)),"")</f>
        <v/>
      </c>
      <c r="L1041" s="84">
        <f>IF(OR($J1041="",$K1041=""),"",IFERROR(INDEX(設定!$F$6:$F$21,MATCH($G1041,設定!$B$6:$B$21,0)),0))</f>
        <v/>
      </c>
      <c r="M1041" s="85">
        <f>IF(OR($J1041="",$K1041=""),"",ROUND(($K1041-$J1041)*24-$L1041/60,2))</f>
        <v/>
      </c>
      <c r="N1041" s="16">
        <f>IF($C1041="","",IF(AND(COUNTIF(設定!$B$15:$B$21,$G1041)&gt;0,$J1041&lt;&gt;""),"假日出勤",IF(AND(COUNTIF(設定!$B$6:$B$14,$G1041)&gt;0,$J1041=""),"未打卡",IF($J1041="","",IF($O1041&gt;0,"遲到",IF($P1041&gt;0,"早退","正常"))))))</f>
        <v/>
      </c>
      <c r="O1041" s="84">
        <f>IF(OR($C1041="",$H1041="",$J1041=""),0,IF(ROUND(($J1041-$H1041)*1440,0)&gt;設定!$C$46,ROUND(($J1041-$H1041)*1440,0),0))</f>
        <v/>
      </c>
      <c r="P1041" s="84">
        <f>IF(OR($C1041="",$I1041="",$K1041=""),0,IF(ROUND(($I1041-$K1041)*1440,0)&gt;設定!$C$46,ROUND(($I1041-$K1041)*1440,0),0))</f>
        <v/>
      </c>
      <c r="Q1041" s="85">
        <f>IF($M1041="",0,IF(($M1041-IFERROR(INDEX(設定!$G$6:$G$21,MATCH($G1041,設定!$B$6:$B$21,0)),0))*60&gt;=設定!$C$44,ROUND(FLOOR(($M1041-IFERROR(INDEX(設定!$G$6:$G$21,MATCH($G1041,設定!$B$6:$B$21,0)),0))*60,設定!$C$45)/60,2),0))</f>
        <v/>
      </c>
      <c r="R1041" s="16">
        <f>IF(OR($C1041="",$Q1041=0),"",IF($G1041="國","國定假日",IF($B1041="日","例假",IF($B1041="六","休息日","平日"))))</f>
        <v/>
      </c>
      <c r="S1041" s="19" t="n"/>
    </row>
    <row r="1042">
      <c r="A1042" s="82">
        <f>IF(OR(助理班表!$A38="",17&gt;DAY(EOMONTH(DATE(設定!$C$2,設定!$D$2,1),0))),"",DATE(設定!$C$2,設定!$D$2,17))</f>
        <v/>
      </c>
      <c r="B1042" s="16">
        <f>IF($A1042="","",INDEX(設定!$O$6:$O$12,WEEKDAY($A1042,1)))</f>
        <v/>
      </c>
      <c r="C1042" s="16">
        <f>IF($A1042="","",助理班表!$A38)</f>
        <v/>
      </c>
      <c r="D1042" s="16">
        <f>IF($C1042="","",助理班表!$B38)</f>
        <v/>
      </c>
      <c r="E1042" s="16">
        <f>IF($C1042="","",助理班表!$D38)</f>
        <v/>
      </c>
      <c r="F1042" s="16">
        <f>IF($C1042="","",助理班表!$C38)</f>
        <v/>
      </c>
      <c r="G1042" s="16">
        <f>IF($C1042="","",助理班表!U38)</f>
        <v/>
      </c>
      <c r="H1042" s="83">
        <f>IF($G1042="","",IFERROR(IF(INDEX(設定!$D$6:$D$21,MATCH($G1042,設定!$B$6:$B$21,0))=0,"",INDEX(設定!$D$6:$D$21,MATCH($G1042,設定!$B$6:$B$21,0))),""))</f>
        <v/>
      </c>
      <c r="I1042" s="83">
        <f>IF($G1042="","",IFERROR(IF(INDEX(設定!$E$6:$E$21,MATCH($G1042,設定!$B$6:$B$21,0))=0,"",INDEX(設定!$E$6:$E$21,MATCH($G1042,設定!$B$6:$B$21,0))),""))</f>
        <v/>
      </c>
      <c r="J1042" s="83">
        <f>IFERROR(INDEX(打卡匯入!$C$3:$C$2002,MATCH($C1042&amp;"|"&amp;DAY($A1042),打卡匯入!$E$3:$E$2002,0)),"")</f>
        <v/>
      </c>
      <c r="K1042" s="83">
        <f>IFERROR(INDEX(打卡匯入!$D$3:$D$2002,MATCH($C1042&amp;"|"&amp;DAY($A1042),打卡匯入!$E$3:$E$2002,0)),"")</f>
        <v/>
      </c>
      <c r="L1042" s="84">
        <f>IF(OR($J1042="",$K1042=""),"",IFERROR(INDEX(設定!$F$6:$F$21,MATCH($G1042,設定!$B$6:$B$21,0)),0))</f>
        <v/>
      </c>
      <c r="M1042" s="85">
        <f>IF(OR($J1042="",$K1042=""),"",ROUND(($K1042-$J1042)*24-$L1042/60,2))</f>
        <v/>
      </c>
      <c r="N1042" s="16">
        <f>IF($C1042="","",IF(AND(COUNTIF(設定!$B$15:$B$21,$G1042)&gt;0,$J1042&lt;&gt;""),"假日出勤",IF(AND(COUNTIF(設定!$B$6:$B$14,$G1042)&gt;0,$J1042=""),"未打卡",IF($J1042="","",IF($O1042&gt;0,"遲到",IF($P1042&gt;0,"早退","正常"))))))</f>
        <v/>
      </c>
      <c r="O1042" s="84">
        <f>IF(OR($C1042="",$H1042="",$J1042=""),0,IF(ROUND(($J1042-$H1042)*1440,0)&gt;設定!$C$46,ROUND(($J1042-$H1042)*1440,0),0))</f>
        <v/>
      </c>
      <c r="P1042" s="84">
        <f>IF(OR($C1042="",$I1042="",$K1042=""),0,IF(ROUND(($I1042-$K1042)*1440,0)&gt;設定!$C$46,ROUND(($I1042-$K1042)*1440,0),0))</f>
        <v/>
      </c>
      <c r="Q1042" s="85">
        <f>IF($M1042="",0,IF(($M1042-IFERROR(INDEX(設定!$G$6:$G$21,MATCH($G1042,設定!$B$6:$B$21,0)),0))*60&gt;=設定!$C$44,ROUND(FLOOR(($M1042-IFERROR(INDEX(設定!$G$6:$G$21,MATCH($G1042,設定!$B$6:$B$21,0)),0))*60,設定!$C$45)/60,2),0))</f>
        <v/>
      </c>
      <c r="R1042" s="16">
        <f>IF(OR($C1042="",$Q1042=0),"",IF($G1042="國","國定假日",IF($B1042="日","例假",IF($B1042="六","休息日","平日"))))</f>
        <v/>
      </c>
      <c r="S1042" s="19" t="n"/>
    </row>
    <row r="1043">
      <c r="A1043" s="82">
        <f>IF(OR(助理班表!$A38="",18&gt;DAY(EOMONTH(DATE(設定!$C$2,設定!$D$2,1),0))),"",DATE(設定!$C$2,設定!$D$2,18))</f>
        <v/>
      </c>
      <c r="B1043" s="16">
        <f>IF($A1043="","",INDEX(設定!$O$6:$O$12,WEEKDAY($A1043,1)))</f>
        <v/>
      </c>
      <c r="C1043" s="16">
        <f>IF($A1043="","",助理班表!$A38)</f>
        <v/>
      </c>
      <c r="D1043" s="16">
        <f>IF($C1043="","",助理班表!$B38)</f>
        <v/>
      </c>
      <c r="E1043" s="16">
        <f>IF($C1043="","",助理班表!$D38)</f>
        <v/>
      </c>
      <c r="F1043" s="16">
        <f>IF($C1043="","",助理班表!$C38)</f>
        <v/>
      </c>
      <c r="G1043" s="16">
        <f>IF($C1043="","",助理班表!V38)</f>
        <v/>
      </c>
      <c r="H1043" s="83">
        <f>IF($G1043="","",IFERROR(IF(INDEX(設定!$D$6:$D$21,MATCH($G1043,設定!$B$6:$B$21,0))=0,"",INDEX(設定!$D$6:$D$21,MATCH($G1043,設定!$B$6:$B$21,0))),""))</f>
        <v/>
      </c>
      <c r="I1043" s="83">
        <f>IF($G1043="","",IFERROR(IF(INDEX(設定!$E$6:$E$21,MATCH($G1043,設定!$B$6:$B$21,0))=0,"",INDEX(設定!$E$6:$E$21,MATCH($G1043,設定!$B$6:$B$21,0))),""))</f>
        <v/>
      </c>
      <c r="J1043" s="83">
        <f>IFERROR(INDEX(打卡匯入!$C$3:$C$2002,MATCH($C1043&amp;"|"&amp;DAY($A1043),打卡匯入!$E$3:$E$2002,0)),"")</f>
        <v/>
      </c>
      <c r="K1043" s="83">
        <f>IFERROR(INDEX(打卡匯入!$D$3:$D$2002,MATCH($C1043&amp;"|"&amp;DAY($A1043),打卡匯入!$E$3:$E$2002,0)),"")</f>
        <v/>
      </c>
      <c r="L1043" s="84">
        <f>IF(OR($J1043="",$K1043=""),"",IFERROR(INDEX(設定!$F$6:$F$21,MATCH($G1043,設定!$B$6:$B$21,0)),0))</f>
        <v/>
      </c>
      <c r="M1043" s="85">
        <f>IF(OR($J1043="",$K1043=""),"",ROUND(($K1043-$J1043)*24-$L1043/60,2))</f>
        <v/>
      </c>
      <c r="N1043" s="16">
        <f>IF($C1043="","",IF(AND(COUNTIF(設定!$B$15:$B$21,$G1043)&gt;0,$J1043&lt;&gt;""),"假日出勤",IF(AND(COUNTIF(設定!$B$6:$B$14,$G1043)&gt;0,$J1043=""),"未打卡",IF($J1043="","",IF($O1043&gt;0,"遲到",IF($P1043&gt;0,"早退","正常"))))))</f>
        <v/>
      </c>
      <c r="O1043" s="84">
        <f>IF(OR($C1043="",$H1043="",$J1043=""),0,IF(ROUND(($J1043-$H1043)*1440,0)&gt;設定!$C$46,ROUND(($J1043-$H1043)*1440,0),0))</f>
        <v/>
      </c>
      <c r="P1043" s="84">
        <f>IF(OR($C1043="",$I1043="",$K1043=""),0,IF(ROUND(($I1043-$K1043)*1440,0)&gt;設定!$C$46,ROUND(($I1043-$K1043)*1440,0),0))</f>
        <v/>
      </c>
      <c r="Q1043" s="85">
        <f>IF($M1043="",0,IF(($M1043-IFERROR(INDEX(設定!$G$6:$G$21,MATCH($G1043,設定!$B$6:$B$21,0)),0))*60&gt;=設定!$C$44,ROUND(FLOOR(($M1043-IFERROR(INDEX(設定!$G$6:$G$21,MATCH($G1043,設定!$B$6:$B$21,0)),0))*60,設定!$C$45)/60,2),0))</f>
        <v/>
      </c>
      <c r="R1043" s="16">
        <f>IF(OR($C1043="",$Q1043=0),"",IF($G1043="國","國定假日",IF($B1043="日","例假",IF($B1043="六","休息日","平日"))))</f>
        <v/>
      </c>
      <c r="S1043" s="19" t="n"/>
    </row>
    <row r="1044">
      <c r="A1044" s="82">
        <f>IF(OR(助理班表!$A38="",19&gt;DAY(EOMONTH(DATE(設定!$C$2,設定!$D$2,1),0))),"",DATE(設定!$C$2,設定!$D$2,19))</f>
        <v/>
      </c>
      <c r="B1044" s="16">
        <f>IF($A1044="","",INDEX(設定!$O$6:$O$12,WEEKDAY($A1044,1)))</f>
        <v/>
      </c>
      <c r="C1044" s="16">
        <f>IF($A1044="","",助理班表!$A38)</f>
        <v/>
      </c>
      <c r="D1044" s="16">
        <f>IF($C1044="","",助理班表!$B38)</f>
        <v/>
      </c>
      <c r="E1044" s="16">
        <f>IF($C1044="","",助理班表!$D38)</f>
        <v/>
      </c>
      <c r="F1044" s="16">
        <f>IF($C1044="","",助理班表!$C38)</f>
        <v/>
      </c>
      <c r="G1044" s="16">
        <f>IF($C1044="","",助理班表!W38)</f>
        <v/>
      </c>
      <c r="H1044" s="83">
        <f>IF($G1044="","",IFERROR(IF(INDEX(設定!$D$6:$D$21,MATCH($G1044,設定!$B$6:$B$21,0))=0,"",INDEX(設定!$D$6:$D$21,MATCH($G1044,設定!$B$6:$B$21,0))),""))</f>
        <v/>
      </c>
      <c r="I1044" s="83">
        <f>IF($G1044="","",IFERROR(IF(INDEX(設定!$E$6:$E$21,MATCH($G1044,設定!$B$6:$B$21,0))=0,"",INDEX(設定!$E$6:$E$21,MATCH($G1044,設定!$B$6:$B$21,0))),""))</f>
        <v/>
      </c>
      <c r="J1044" s="83">
        <f>IFERROR(INDEX(打卡匯入!$C$3:$C$2002,MATCH($C1044&amp;"|"&amp;DAY($A1044),打卡匯入!$E$3:$E$2002,0)),"")</f>
        <v/>
      </c>
      <c r="K1044" s="83">
        <f>IFERROR(INDEX(打卡匯入!$D$3:$D$2002,MATCH($C1044&amp;"|"&amp;DAY($A1044),打卡匯入!$E$3:$E$2002,0)),"")</f>
        <v/>
      </c>
      <c r="L1044" s="84">
        <f>IF(OR($J1044="",$K1044=""),"",IFERROR(INDEX(設定!$F$6:$F$21,MATCH($G1044,設定!$B$6:$B$21,0)),0))</f>
        <v/>
      </c>
      <c r="M1044" s="85">
        <f>IF(OR($J1044="",$K1044=""),"",ROUND(($K1044-$J1044)*24-$L1044/60,2))</f>
        <v/>
      </c>
      <c r="N1044" s="16">
        <f>IF($C1044="","",IF(AND(COUNTIF(設定!$B$15:$B$21,$G1044)&gt;0,$J1044&lt;&gt;""),"假日出勤",IF(AND(COUNTIF(設定!$B$6:$B$14,$G1044)&gt;0,$J1044=""),"未打卡",IF($J1044="","",IF($O1044&gt;0,"遲到",IF($P1044&gt;0,"早退","正常"))))))</f>
        <v/>
      </c>
      <c r="O1044" s="84">
        <f>IF(OR($C1044="",$H1044="",$J1044=""),0,IF(ROUND(($J1044-$H1044)*1440,0)&gt;設定!$C$46,ROUND(($J1044-$H1044)*1440,0),0))</f>
        <v/>
      </c>
      <c r="P1044" s="84">
        <f>IF(OR($C1044="",$I1044="",$K1044=""),0,IF(ROUND(($I1044-$K1044)*1440,0)&gt;設定!$C$46,ROUND(($I1044-$K1044)*1440,0),0))</f>
        <v/>
      </c>
      <c r="Q1044" s="85">
        <f>IF($M1044="",0,IF(($M1044-IFERROR(INDEX(設定!$G$6:$G$21,MATCH($G1044,設定!$B$6:$B$21,0)),0))*60&gt;=設定!$C$44,ROUND(FLOOR(($M1044-IFERROR(INDEX(設定!$G$6:$G$21,MATCH($G1044,設定!$B$6:$B$21,0)),0))*60,設定!$C$45)/60,2),0))</f>
        <v/>
      </c>
      <c r="R1044" s="16">
        <f>IF(OR($C1044="",$Q1044=0),"",IF($G1044="國","國定假日",IF($B1044="日","例假",IF($B1044="六","休息日","平日"))))</f>
        <v/>
      </c>
      <c r="S1044" s="19" t="n"/>
    </row>
    <row r="1045">
      <c r="A1045" s="82">
        <f>IF(OR(助理班表!$A38="",20&gt;DAY(EOMONTH(DATE(設定!$C$2,設定!$D$2,1),0))),"",DATE(設定!$C$2,設定!$D$2,20))</f>
        <v/>
      </c>
      <c r="B1045" s="16">
        <f>IF($A1045="","",INDEX(設定!$O$6:$O$12,WEEKDAY($A1045,1)))</f>
        <v/>
      </c>
      <c r="C1045" s="16">
        <f>IF($A1045="","",助理班表!$A38)</f>
        <v/>
      </c>
      <c r="D1045" s="16">
        <f>IF($C1045="","",助理班表!$B38)</f>
        <v/>
      </c>
      <c r="E1045" s="16">
        <f>IF($C1045="","",助理班表!$D38)</f>
        <v/>
      </c>
      <c r="F1045" s="16">
        <f>IF($C1045="","",助理班表!$C38)</f>
        <v/>
      </c>
      <c r="G1045" s="16">
        <f>IF($C1045="","",助理班表!X38)</f>
        <v/>
      </c>
      <c r="H1045" s="83">
        <f>IF($G1045="","",IFERROR(IF(INDEX(設定!$D$6:$D$21,MATCH($G1045,設定!$B$6:$B$21,0))=0,"",INDEX(設定!$D$6:$D$21,MATCH($G1045,設定!$B$6:$B$21,0))),""))</f>
        <v/>
      </c>
      <c r="I1045" s="83">
        <f>IF($G1045="","",IFERROR(IF(INDEX(設定!$E$6:$E$21,MATCH($G1045,設定!$B$6:$B$21,0))=0,"",INDEX(設定!$E$6:$E$21,MATCH($G1045,設定!$B$6:$B$21,0))),""))</f>
        <v/>
      </c>
      <c r="J1045" s="83">
        <f>IFERROR(INDEX(打卡匯入!$C$3:$C$2002,MATCH($C1045&amp;"|"&amp;DAY($A1045),打卡匯入!$E$3:$E$2002,0)),"")</f>
        <v/>
      </c>
      <c r="K1045" s="83">
        <f>IFERROR(INDEX(打卡匯入!$D$3:$D$2002,MATCH($C1045&amp;"|"&amp;DAY($A1045),打卡匯入!$E$3:$E$2002,0)),"")</f>
        <v/>
      </c>
      <c r="L1045" s="84">
        <f>IF(OR($J1045="",$K1045=""),"",IFERROR(INDEX(設定!$F$6:$F$21,MATCH($G1045,設定!$B$6:$B$21,0)),0))</f>
        <v/>
      </c>
      <c r="M1045" s="85">
        <f>IF(OR($J1045="",$K1045=""),"",ROUND(($K1045-$J1045)*24-$L1045/60,2))</f>
        <v/>
      </c>
      <c r="N1045" s="16">
        <f>IF($C1045="","",IF(AND(COUNTIF(設定!$B$15:$B$21,$G1045)&gt;0,$J1045&lt;&gt;""),"假日出勤",IF(AND(COUNTIF(設定!$B$6:$B$14,$G1045)&gt;0,$J1045=""),"未打卡",IF($J1045="","",IF($O1045&gt;0,"遲到",IF($P1045&gt;0,"早退","正常"))))))</f>
        <v/>
      </c>
      <c r="O1045" s="84">
        <f>IF(OR($C1045="",$H1045="",$J1045=""),0,IF(ROUND(($J1045-$H1045)*1440,0)&gt;設定!$C$46,ROUND(($J1045-$H1045)*1440,0),0))</f>
        <v/>
      </c>
      <c r="P1045" s="84">
        <f>IF(OR($C1045="",$I1045="",$K1045=""),0,IF(ROUND(($I1045-$K1045)*1440,0)&gt;設定!$C$46,ROUND(($I1045-$K1045)*1440,0),0))</f>
        <v/>
      </c>
      <c r="Q1045" s="85">
        <f>IF($M1045="",0,IF(($M1045-IFERROR(INDEX(設定!$G$6:$G$21,MATCH($G1045,設定!$B$6:$B$21,0)),0))*60&gt;=設定!$C$44,ROUND(FLOOR(($M1045-IFERROR(INDEX(設定!$G$6:$G$21,MATCH($G1045,設定!$B$6:$B$21,0)),0))*60,設定!$C$45)/60,2),0))</f>
        <v/>
      </c>
      <c r="R1045" s="16">
        <f>IF(OR($C1045="",$Q1045=0),"",IF($G1045="國","國定假日",IF($B1045="日","例假",IF($B1045="六","休息日","平日"))))</f>
        <v/>
      </c>
      <c r="S1045" s="19" t="n"/>
    </row>
    <row r="1046">
      <c r="A1046" s="82">
        <f>IF(OR(助理班表!$A38="",21&gt;DAY(EOMONTH(DATE(設定!$C$2,設定!$D$2,1),0))),"",DATE(設定!$C$2,設定!$D$2,21))</f>
        <v/>
      </c>
      <c r="B1046" s="16">
        <f>IF($A1046="","",INDEX(設定!$O$6:$O$12,WEEKDAY($A1046,1)))</f>
        <v/>
      </c>
      <c r="C1046" s="16">
        <f>IF($A1046="","",助理班表!$A38)</f>
        <v/>
      </c>
      <c r="D1046" s="16">
        <f>IF($C1046="","",助理班表!$B38)</f>
        <v/>
      </c>
      <c r="E1046" s="16">
        <f>IF($C1046="","",助理班表!$D38)</f>
        <v/>
      </c>
      <c r="F1046" s="16">
        <f>IF($C1046="","",助理班表!$C38)</f>
        <v/>
      </c>
      <c r="G1046" s="16">
        <f>IF($C1046="","",助理班表!Y38)</f>
        <v/>
      </c>
      <c r="H1046" s="83">
        <f>IF($G1046="","",IFERROR(IF(INDEX(設定!$D$6:$D$21,MATCH($G1046,設定!$B$6:$B$21,0))=0,"",INDEX(設定!$D$6:$D$21,MATCH($G1046,設定!$B$6:$B$21,0))),""))</f>
        <v/>
      </c>
      <c r="I1046" s="83">
        <f>IF($G1046="","",IFERROR(IF(INDEX(設定!$E$6:$E$21,MATCH($G1046,設定!$B$6:$B$21,0))=0,"",INDEX(設定!$E$6:$E$21,MATCH($G1046,設定!$B$6:$B$21,0))),""))</f>
        <v/>
      </c>
      <c r="J1046" s="83">
        <f>IFERROR(INDEX(打卡匯入!$C$3:$C$2002,MATCH($C1046&amp;"|"&amp;DAY($A1046),打卡匯入!$E$3:$E$2002,0)),"")</f>
        <v/>
      </c>
      <c r="K1046" s="83">
        <f>IFERROR(INDEX(打卡匯入!$D$3:$D$2002,MATCH($C1046&amp;"|"&amp;DAY($A1046),打卡匯入!$E$3:$E$2002,0)),"")</f>
        <v/>
      </c>
      <c r="L1046" s="84">
        <f>IF(OR($J1046="",$K1046=""),"",IFERROR(INDEX(設定!$F$6:$F$21,MATCH($G1046,設定!$B$6:$B$21,0)),0))</f>
        <v/>
      </c>
      <c r="M1046" s="85">
        <f>IF(OR($J1046="",$K1046=""),"",ROUND(($K1046-$J1046)*24-$L1046/60,2))</f>
        <v/>
      </c>
      <c r="N1046" s="16">
        <f>IF($C1046="","",IF(AND(COUNTIF(設定!$B$15:$B$21,$G1046)&gt;0,$J1046&lt;&gt;""),"假日出勤",IF(AND(COUNTIF(設定!$B$6:$B$14,$G1046)&gt;0,$J1046=""),"未打卡",IF($J1046="","",IF($O1046&gt;0,"遲到",IF($P1046&gt;0,"早退","正常"))))))</f>
        <v/>
      </c>
      <c r="O1046" s="84">
        <f>IF(OR($C1046="",$H1046="",$J1046=""),0,IF(ROUND(($J1046-$H1046)*1440,0)&gt;設定!$C$46,ROUND(($J1046-$H1046)*1440,0),0))</f>
        <v/>
      </c>
      <c r="P1046" s="84">
        <f>IF(OR($C1046="",$I1046="",$K1046=""),0,IF(ROUND(($I1046-$K1046)*1440,0)&gt;設定!$C$46,ROUND(($I1046-$K1046)*1440,0),0))</f>
        <v/>
      </c>
      <c r="Q1046" s="85">
        <f>IF($M1046="",0,IF(($M1046-IFERROR(INDEX(設定!$G$6:$G$21,MATCH($G1046,設定!$B$6:$B$21,0)),0))*60&gt;=設定!$C$44,ROUND(FLOOR(($M1046-IFERROR(INDEX(設定!$G$6:$G$21,MATCH($G1046,設定!$B$6:$B$21,0)),0))*60,設定!$C$45)/60,2),0))</f>
        <v/>
      </c>
      <c r="R1046" s="16">
        <f>IF(OR($C1046="",$Q1046=0),"",IF($G1046="國","國定假日",IF($B1046="日","例假",IF($B1046="六","休息日","平日"))))</f>
        <v/>
      </c>
      <c r="S1046" s="19" t="n"/>
    </row>
    <row r="1047">
      <c r="A1047" s="82">
        <f>IF(OR(助理班表!$A38="",22&gt;DAY(EOMONTH(DATE(設定!$C$2,設定!$D$2,1),0))),"",DATE(設定!$C$2,設定!$D$2,22))</f>
        <v/>
      </c>
      <c r="B1047" s="16">
        <f>IF($A1047="","",INDEX(設定!$O$6:$O$12,WEEKDAY($A1047,1)))</f>
        <v/>
      </c>
      <c r="C1047" s="16">
        <f>IF($A1047="","",助理班表!$A38)</f>
        <v/>
      </c>
      <c r="D1047" s="16">
        <f>IF($C1047="","",助理班表!$B38)</f>
        <v/>
      </c>
      <c r="E1047" s="16">
        <f>IF($C1047="","",助理班表!$D38)</f>
        <v/>
      </c>
      <c r="F1047" s="16">
        <f>IF($C1047="","",助理班表!$C38)</f>
        <v/>
      </c>
      <c r="G1047" s="16">
        <f>IF($C1047="","",助理班表!Z38)</f>
        <v/>
      </c>
      <c r="H1047" s="83">
        <f>IF($G1047="","",IFERROR(IF(INDEX(設定!$D$6:$D$21,MATCH($G1047,設定!$B$6:$B$21,0))=0,"",INDEX(設定!$D$6:$D$21,MATCH($G1047,設定!$B$6:$B$21,0))),""))</f>
        <v/>
      </c>
      <c r="I1047" s="83">
        <f>IF($G1047="","",IFERROR(IF(INDEX(設定!$E$6:$E$21,MATCH($G1047,設定!$B$6:$B$21,0))=0,"",INDEX(設定!$E$6:$E$21,MATCH($G1047,設定!$B$6:$B$21,0))),""))</f>
        <v/>
      </c>
      <c r="J1047" s="83">
        <f>IFERROR(INDEX(打卡匯入!$C$3:$C$2002,MATCH($C1047&amp;"|"&amp;DAY($A1047),打卡匯入!$E$3:$E$2002,0)),"")</f>
        <v/>
      </c>
      <c r="K1047" s="83">
        <f>IFERROR(INDEX(打卡匯入!$D$3:$D$2002,MATCH($C1047&amp;"|"&amp;DAY($A1047),打卡匯入!$E$3:$E$2002,0)),"")</f>
        <v/>
      </c>
      <c r="L1047" s="84">
        <f>IF(OR($J1047="",$K1047=""),"",IFERROR(INDEX(設定!$F$6:$F$21,MATCH($G1047,設定!$B$6:$B$21,0)),0))</f>
        <v/>
      </c>
      <c r="M1047" s="85">
        <f>IF(OR($J1047="",$K1047=""),"",ROUND(($K1047-$J1047)*24-$L1047/60,2))</f>
        <v/>
      </c>
      <c r="N1047" s="16">
        <f>IF($C1047="","",IF(AND(COUNTIF(設定!$B$15:$B$21,$G1047)&gt;0,$J1047&lt;&gt;""),"假日出勤",IF(AND(COUNTIF(設定!$B$6:$B$14,$G1047)&gt;0,$J1047=""),"未打卡",IF($J1047="","",IF($O1047&gt;0,"遲到",IF($P1047&gt;0,"早退","正常"))))))</f>
        <v/>
      </c>
      <c r="O1047" s="84">
        <f>IF(OR($C1047="",$H1047="",$J1047=""),0,IF(ROUND(($J1047-$H1047)*1440,0)&gt;設定!$C$46,ROUND(($J1047-$H1047)*1440,0),0))</f>
        <v/>
      </c>
      <c r="P1047" s="84">
        <f>IF(OR($C1047="",$I1047="",$K1047=""),0,IF(ROUND(($I1047-$K1047)*1440,0)&gt;設定!$C$46,ROUND(($I1047-$K1047)*1440,0),0))</f>
        <v/>
      </c>
      <c r="Q1047" s="85">
        <f>IF($M1047="",0,IF(($M1047-IFERROR(INDEX(設定!$G$6:$G$21,MATCH($G1047,設定!$B$6:$B$21,0)),0))*60&gt;=設定!$C$44,ROUND(FLOOR(($M1047-IFERROR(INDEX(設定!$G$6:$G$21,MATCH($G1047,設定!$B$6:$B$21,0)),0))*60,設定!$C$45)/60,2),0))</f>
        <v/>
      </c>
      <c r="R1047" s="16">
        <f>IF(OR($C1047="",$Q1047=0),"",IF($G1047="國","國定假日",IF($B1047="日","例假",IF($B1047="六","休息日","平日"))))</f>
        <v/>
      </c>
      <c r="S1047" s="19" t="n"/>
    </row>
    <row r="1048">
      <c r="A1048" s="82">
        <f>IF(OR(助理班表!$A38="",23&gt;DAY(EOMONTH(DATE(設定!$C$2,設定!$D$2,1),0))),"",DATE(設定!$C$2,設定!$D$2,23))</f>
        <v/>
      </c>
      <c r="B1048" s="16">
        <f>IF($A1048="","",INDEX(設定!$O$6:$O$12,WEEKDAY($A1048,1)))</f>
        <v/>
      </c>
      <c r="C1048" s="16">
        <f>IF($A1048="","",助理班表!$A38)</f>
        <v/>
      </c>
      <c r="D1048" s="16">
        <f>IF($C1048="","",助理班表!$B38)</f>
        <v/>
      </c>
      <c r="E1048" s="16">
        <f>IF($C1048="","",助理班表!$D38)</f>
        <v/>
      </c>
      <c r="F1048" s="16">
        <f>IF($C1048="","",助理班表!$C38)</f>
        <v/>
      </c>
      <c r="G1048" s="16">
        <f>IF($C1048="","",助理班表!AA38)</f>
        <v/>
      </c>
      <c r="H1048" s="83">
        <f>IF($G1048="","",IFERROR(IF(INDEX(設定!$D$6:$D$21,MATCH($G1048,設定!$B$6:$B$21,0))=0,"",INDEX(設定!$D$6:$D$21,MATCH($G1048,設定!$B$6:$B$21,0))),""))</f>
        <v/>
      </c>
      <c r="I1048" s="83">
        <f>IF($G1048="","",IFERROR(IF(INDEX(設定!$E$6:$E$21,MATCH($G1048,設定!$B$6:$B$21,0))=0,"",INDEX(設定!$E$6:$E$21,MATCH($G1048,設定!$B$6:$B$21,0))),""))</f>
        <v/>
      </c>
      <c r="J1048" s="83">
        <f>IFERROR(INDEX(打卡匯入!$C$3:$C$2002,MATCH($C1048&amp;"|"&amp;DAY($A1048),打卡匯入!$E$3:$E$2002,0)),"")</f>
        <v/>
      </c>
      <c r="K1048" s="83">
        <f>IFERROR(INDEX(打卡匯入!$D$3:$D$2002,MATCH($C1048&amp;"|"&amp;DAY($A1048),打卡匯入!$E$3:$E$2002,0)),"")</f>
        <v/>
      </c>
      <c r="L1048" s="84">
        <f>IF(OR($J1048="",$K1048=""),"",IFERROR(INDEX(設定!$F$6:$F$21,MATCH($G1048,設定!$B$6:$B$21,0)),0))</f>
        <v/>
      </c>
      <c r="M1048" s="85">
        <f>IF(OR($J1048="",$K1048=""),"",ROUND(($K1048-$J1048)*24-$L1048/60,2))</f>
        <v/>
      </c>
      <c r="N1048" s="16">
        <f>IF($C1048="","",IF(AND(COUNTIF(設定!$B$15:$B$21,$G1048)&gt;0,$J1048&lt;&gt;""),"假日出勤",IF(AND(COUNTIF(設定!$B$6:$B$14,$G1048)&gt;0,$J1048=""),"未打卡",IF($J1048="","",IF($O1048&gt;0,"遲到",IF($P1048&gt;0,"早退","正常"))))))</f>
        <v/>
      </c>
      <c r="O1048" s="84">
        <f>IF(OR($C1048="",$H1048="",$J1048=""),0,IF(ROUND(($J1048-$H1048)*1440,0)&gt;設定!$C$46,ROUND(($J1048-$H1048)*1440,0),0))</f>
        <v/>
      </c>
      <c r="P1048" s="84">
        <f>IF(OR($C1048="",$I1048="",$K1048=""),0,IF(ROUND(($I1048-$K1048)*1440,0)&gt;設定!$C$46,ROUND(($I1048-$K1048)*1440,0),0))</f>
        <v/>
      </c>
      <c r="Q1048" s="85">
        <f>IF($M1048="",0,IF(($M1048-IFERROR(INDEX(設定!$G$6:$G$21,MATCH($G1048,設定!$B$6:$B$21,0)),0))*60&gt;=設定!$C$44,ROUND(FLOOR(($M1048-IFERROR(INDEX(設定!$G$6:$G$21,MATCH($G1048,設定!$B$6:$B$21,0)),0))*60,設定!$C$45)/60,2),0))</f>
        <v/>
      </c>
      <c r="R1048" s="16">
        <f>IF(OR($C1048="",$Q1048=0),"",IF($G1048="國","國定假日",IF($B1048="日","例假",IF($B1048="六","休息日","平日"))))</f>
        <v/>
      </c>
      <c r="S1048" s="19" t="n"/>
    </row>
    <row r="1049">
      <c r="A1049" s="82">
        <f>IF(OR(助理班表!$A38="",24&gt;DAY(EOMONTH(DATE(設定!$C$2,設定!$D$2,1),0))),"",DATE(設定!$C$2,設定!$D$2,24))</f>
        <v/>
      </c>
      <c r="B1049" s="16">
        <f>IF($A1049="","",INDEX(設定!$O$6:$O$12,WEEKDAY($A1049,1)))</f>
        <v/>
      </c>
      <c r="C1049" s="16">
        <f>IF($A1049="","",助理班表!$A38)</f>
        <v/>
      </c>
      <c r="D1049" s="16">
        <f>IF($C1049="","",助理班表!$B38)</f>
        <v/>
      </c>
      <c r="E1049" s="16">
        <f>IF($C1049="","",助理班表!$D38)</f>
        <v/>
      </c>
      <c r="F1049" s="16">
        <f>IF($C1049="","",助理班表!$C38)</f>
        <v/>
      </c>
      <c r="G1049" s="16">
        <f>IF($C1049="","",助理班表!AB38)</f>
        <v/>
      </c>
      <c r="H1049" s="83">
        <f>IF($G1049="","",IFERROR(IF(INDEX(設定!$D$6:$D$21,MATCH($G1049,設定!$B$6:$B$21,0))=0,"",INDEX(設定!$D$6:$D$21,MATCH($G1049,設定!$B$6:$B$21,0))),""))</f>
        <v/>
      </c>
      <c r="I1049" s="83">
        <f>IF($G1049="","",IFERROR(IF(INDEX(設定!$E$6:$E$21,MATCH($G1049,設定!$B$6:$B$21,0))=0,"",INDEX(設定!$E$6:$E$21,MATCH($G1049,設定!$B$6:$B$21,0))),""))</f>
        <v/>
      </c>
      <c r="J1049" s="83">
        <f>IFERROR(INDEX(打卡匯入!$C$3:$C$2002,MATCH($C1049&amp;"|"&amp;DAY($A1049),打卡匯入!$E$3:$E$2002,0)),"")</f>
        <v/>
      </c>
      <c r="K1049" s="83">
        <f>IFERROR(INDEX(打卡匯入!$D$3:$D$2002,MATCH($C1049&amp;"|"&amp;DAY($A1049),打卡匯入!$E$3:$E$2002,0)),"")</f>
        <v/>
      </c>
      <c r="L1049" s="84">
        <f>IF(OR($J1049="",$K1049=""),"",IFERROR(INDEX(設定!$F$6:$F$21,MATCH($G1049,設定!$B$6:$B$21,0)),0))</f>
        <v/>
      </c>
      <c r="M1049" s="85">
        <f>IF(OR($J1049="",$K1049=""),"",ROUND(($K1049-$J1049)*24-$L1049/60,2))</f>
        <v/>
      </c>
      <c r="N1049" s="16">
        <f>IF($C1049="","",IF(AND(COUNTIF(設定!$B$15:$B$21,$G1049)&gt;0,$J1049&lt;&gt;""),"假日出勤",IF(AND(COUNTIF(設定!$B$6:$B$14,$G1049)&gt;0,$J1049=""),"未打卡",IF($J1049="","",IF($O1049&gt;0,"遲到",IF($P1049&gt;0,"早退","正常"))))))</f>
        <v/>
      </c>
      <c r="O1049" s="84">
        <f>IF(OR($C1049="",$H1049="",$J1049=""),0,IF(ROUND(($J1049-$H1049)*1440,0)&gt;設定!$C$46,ROUND(($J1049-$H1049)*1440,0),0))</f>
        <v/>
      </c>
      <c r="P1049" s="84">
        <f>IF(OR($C1049="",$I1049="",$K1049=""),0,IF(ROUND(($I1049-$K1049)*1440,0)&gt;設定!$C$46,ROUND(($I1049-$K1049)*1440,0),0))</f>
        <v/>
      </c>
      <c r="Q1049" s="85">
        <f>IF($M1049="",0,IF(($M1049-IFERROR(INDEX(設定!$G$6:$G$21,MATCH($G1049,設定!$B$6:$B$21,0)),0))*60&gt;=設定!$C$44,ROUND(FLOOR(($M1049-IFERROR(INDEX(設定!$G$6:$G$21,MATCH($G1049,設定!$B$6:$B$21,0)),0))*60,設定!$C$45)/60,2),0))</f>
        <v/>
      </c>
      <c r="R1049" s="16">
        <f>IF(OR($C1049="",$Q1049=0),"",IF($G1049="國","國定假日",IF($B1049="日","例假",IF($B1049="六","休息日","平日"))))</f>
        <v/>
      </c>
      <c r="S1049" s="19" t="n"/>
    </row>
    <row r="1050">
      <c r="A1050" s="82">
        <f>IF(OR(助理班表!$A38="",25&gt;DAY(EOMONTH(DATE(設定!$C$2,設定!$D$2,1),0))),"",DATE(設定!$C$2,設定!$D$2,25))</f>
        <v/>
      </c>
      <c r="B1050" s="16">
        <f>IF($A1050="","",INDEX(設定!$O$6:$O$12,WEEKDAY($A1050,1)))</f>
        <v/>
      </c>
      <c r="C1050" s="16">
        <f>IF($A1050="","",助理班表!$A38)</f>
        <v/>
      </c>
      <c r="D1050" s="16">
        <f>IF($C1050="","",助理班表!$B38)</f>
        <v/>
      </c>
      <c r="E1050" s="16">
        <f>IF($C1050="","",助理班表!$D38)</f>
        <v/>
      </c>
      <c r="F1050" s="16">
        <f>IF($C1050="","",助理班表!$C38)</f>
        <v/>
      </c>
      <c r="G1050" s="16">
        <f>IF($C1050="","",助理班表!AC38)</f>
        <v/>
      </c>
      <c r="H1050" s="83">
        <f>IF($G1050="","",IFERROR(IF(INDEX(設定!$D$6:$D$21,MATCH($G1050,設定!$B$6:$B$21,0))=0,"",INDEX(設定!$D$6:$D$21,MATCH($G1050,設定!$B$6:$B$21,0))),""))</f>
        <v/>
      </c>
      <c r="I1050" s="83">
        <f>IF($G1050="","",IFERROR(IF(INDEX(設定!$E$6:$E$21,MATCH($G1050,設定!$B$6:$B$21,0))=0,"",INDEX(設定!$E$6:$E$21,MATCH($G1050,設定!$B$6:$B$21,0))),""))</f>
        <v/>
      </c>
      <c r="J1050" s="83">
        <f>IFERROR(INDEX(打卡匯入!$C$3:$C$2002,MATCH($C1050&amp;"|"&amp;DAY($A1050),打卡匯入!$E$3:$E$2002,0)),"")</f>
        <v/>
      </c>
      <c r="K1050" s="83">
        <f>IFERROR(INDEX(打卡匯入!$D$3:$D$2002,MATCH($C1050&amp;"|"&amp;DAY($A1050),打卡匯入!$E$3:$E$2002,0)),"")</f>
        <v/>
      </c>
      <c r="L1050" s="84">
        <f>IF(OR($J1050="",$K1050=""),"",IFERROR(INDEX(設定!$F$6:$F$21,MATCH($G1050,設定!$B$6:$B$21,0)),0))</f>
        <v/>
      </c>
      <c r="M1050" s="85">
        <f>IF(OR($J1050="",$K1050=""),"",ROUND(($K1050-$J1050)*24-$L1050/60,2))</f>
        <v/>
      </c>
      <c r="N1050" s="16">
        <f>IF($C1050="","",IF(AND(COUNTIF(設定!$B$15:$B$21,$G1050)&gt;0,$J1050&lt;&gt;""),"假日出勤",IF(AND(COUNTIF(設定!$B$6:$B$14,$G1050)&gt;0,$J1050=""),"未打卡",IF($J1050="","",IF($O1050&gt;0,"遲到",IF($P1050&gt;0,"早退","正常"))))))</f>
        <v/>
      </c>
      <c r="O1050" s="84">
        <f>IF(OR($C1050="",$H1050="",$J1050=""),0,IF(ROUND(($J1050-$H1050)*1440,0)&gt;設定!$C$46,ROUND(($J1050-$H1050)*1440,0),0))</f>
        <v/>
      </c>
      <c r="P1050" s="84">
        <f>IF(OR($C1050="",$I1050="",$K1050=""),0,IF(ROUND(($I1050-$K1050)*1440,0)&gt;設定!$C$46,ROUND(($I1050-$K1050)*1440,0),0))</f>
        <v/>
      </c>
      <c r="Q1050" s="85">
        <f>IF($M1050="",0,IF(($M1050-IFERROR(INDEX(設定!$G$6:$G$21,MATCH($G1050,設定!$B$6:$B$21,0)),0))*60&gt;=設定!$C$44,ROUND(FLOOR(($M1050-IFERROR(INDEX(設定!$G$6:$G$21,MATCH($G1050,設定!$B$6:$B$21,0)),0))*60,設定!$C$45)/60,2),0))</f>
        <v/>
      </c>
      <c r="R1050" s="16">
        <f>IF(OR($C1050="",$Q1050=0),"",IF($G1050="國","國定假日",IF($B1050="日","例假",IF($B1050="六","休息日","平日"))))</f>
        <v/>
      </c>
      <c r="S1050" s="19" t="n"/>
    </row>
    <row r="1051">
      <c r="A1051" s="82">
        <f>IF(OR(助理班表!$A38="",26&gt;DAY(EOMONTH(DATE(設定!$C$2,設定!$D$2,1),0))),"",DATE(設定!$C$2,設定!$D$2,26))</f>
        <v/>
      </c>
      <c r="B1051" s="16">
        <f>IF($A1051="","",INDEX(設定!$O$6:$O$12,WEEKDAY($A1051,1)))</f>
        <v/>
      </c>
      <c r="C1051" s="16">
        <f>IF($A1051="","",助理班表!$A38)</f>
        <v/>
      </c>
      <c r="D1051" s="16">
        <f>IF($C1051="","",助理班表!$B38)</f>
        <v/>
      </c>
      <c r="E1051" s="16">
        <f>IF($C1051="","",助理班表!$D38)</f>
        <v/>
      </c>
      <c r="F1051" s="16">
        <f>IF($C1051="","",助理班表!$C38)</f>
        <v/>
      </c>
      <c r="G1051" s="16">
        <f>IF($C1051="","",助理班表!AD38)</f>
        <v/>
      </c>
      <c r="H1051" s="83">
        <f>IF($G1051="","",IFERROR(IF(INDEX(設定!$D$6:$D$21,MATCH($G1051,設定!$B$6:$B$21,0))=0,"",INDEX(設定!$D$6:$D$21,MATCH($G1051,設定!$B$6:$B$21,0))),""))</f>
        <v/>
      </c>
      <c r="I1051" s="83">
        <f>IF($G1051="","",IFERROR(IF(INDEX(設定!$E$6:$E$21,MATCH($G1051,設定!$B$6:$B$21,0))=0,"",INDEX(設定!$E$6:$E$21,MATCH($G1051,設定!$B$6:$B$21,0))),""))</f>
        <v/>
      </c>
      <c r="J1051" s="83">
        <f>IFERROR(INDEX(打卡匯入!$C$3:$C$2002,MATCH($C1051&amp;"|"&amp;DAY($A1051),打卡匯入!$E$3:$E$2002,0)),"")</f>
        <v/>
      </c>
      <c r="K1051" s="83">
        <f>IFERROR(INDEX(打卡匯入!$D$3:$D$2002,MATCH($C1051&amp;"|"&amp;DAY($A1051),打卡匯入!$E$3:$E$2002,0)),"")</f>
        <v/>
      </c>
      <c r="L1051" s="84">
        <f>IF(OR($J1051="",$K1051=""),"",IFERROR(INDEX(設定!$F$6:$F$21,MATCH($G1051,設定!$B$6:$B$21,0)),0))</f>
        <v/>
      </c>
      <c r="M1051" s="85">
        <f>IF(OR($J1051="",$K1051=""),"",ROUND(($K1051-$J1051)*24-$L1051/60,2))</f>
        <v/>
      </c>
      <c r="N1051" s="16">
        <f>IF($C1051="","",IF(AND(COUNTIF(設定!$B$15:$B$21,$G1051)&gt;0,$J1051&lt;&gt;""),"假日出勤",IF(AND(COUNTIF(設定!$B$6:$B$14,$G1051)&gt;0,$J1051=""),"未打卡",IF($J1051="","",IF($O1051&gt;0,"遲到",IF($P1051&gt;0,"早退","正常"))))))</f>
        <v/>
      </c>
      <c r="O1051" s="84">
        <f>IF(OR($C1051="",$H1051="",$J1051=""),0,IF(ROUND(($J1051-$H1051)*1440,0)&gt;設定!$C$46,ROUND(($J1051-$H1051)*1440,0),0))</f>
        <v/>
      </c>
      <c r="P1051" s="84">
        <f>IF(OR($C1051="",$I1051="",$K1051=""),0,IF(ROUND(($I1051-$K1051)*1440,0)&gt;設定!$C$46,ROUND(($I1051-$K1051)*1440,0),0))</f>
        <v/>
      </c>
      <c r="Q1051" s="85">
        <f>IF($M1051="",0,IF(($M1051-IFERROR(INDEX(設定!$G$6:$G$21,MATCH($G1051,設定!$B$6:$B$21,0)),0))*60&gt;=設定!$C$44,ROUND(FLOOR(($M1051-IFERROR(INDEX(設定!$G$6:$G$21,MATCH($G1051,設定!$B$6:$B$21,0)),0))*60,設定!$C$45)/60,2),0))</f>
        <v/>
      </c>
      <c r="R1051" s="16">
        <f>IF(OR($C1051="",$Q1051=0),"",IF($G1051="國","國定假日",IF($B1051="日","例假",IF($B1051="六","休息日","平日"))))</f>
        <v/>
      </c>
      <c r="S1051" s="19" t="n"/>
    </row>
    <row r="1052">
      <c r="A1052" s="82">
        <f>IF(OR(助理班表!$A38="",27&gt;DAY(EOMONTH(DATE(設定!$C$2,設定!$D$2,1),0))),"",DATE(設定!$C$2,設定!$D$2,27))</f>
        <v/>
      </c>
      <c r="B1052" s="16">
        <f>IF($A1052="","",INDEX(設定!$O$6:$O$12,WEEKDAY($A1052,1)))</f>
        <v/>
      </c>
      <c r="C1052" s="16">
        <f>IF($A1052="","",助理班表!$A38)</f>
        <v/>
      </c>
      <c r="D1052" s="16">
        <f>IF($C1052="","",助理班表!$B38)</f>
        <v/>
      </c>
      <c r="E1052" s="16">
        <f>IF($C1052="","",助理班表!$D38)</f>
        <v/>
      </c>
      <c r="F1052" s="16">
        <f>IF($C1052="","",助理班表!$C38)</f>
        <v/>
      </c>
      <c r="G1052" s="16">
        <f>IF($C1052="","",助理班表!AE38)</f>
        <v/>
      </c>
      <c r="H1052" s="83">
        <f>IF($G1052="","",IFERROR(IF(INDEX(設定!$D$6:$D$21,MATCH($G1052,設定!$B$6:$B$21,0))=0,"",INDEX(設定!$D$6:$D$21,MATCH($G1052,設定!$B$6:$B$21,0))),""))</f>
        <v/>
      </c>
      <c r="I1052" s="83">
        <f>IF($G1052="","",IFERROR(IF(INDEX(設定!$E$6:$E$21,MATCH($G1052,設定!$B$6:$B$21,0))=0,"",INDEX(設定!$E$6:$E$21,MATCH($G1052,設定!$B$6:$B$21,0))),""))</f>
        <v/>
      </c>
      <c r="J1052" s="83">
        <f>IFERROR(INDEX(打卡匯入!$C$3:$C$2002,MATCH($C1052&amp;"|"&amp;DAY($A1052),打卡匯入!$E$3:$E$2002,0)),"")</f>
        <v/>
      </c>
      <c r="K1052" s="83">
        <f>IFERROR(INDEX(打卡匯入!$D$3:$D$2002,MATCH($C1052&amp;"|"&amp;DAY($A1052),打卡匯入!$E$3:$E$2002,0)),"")</f>
        <v/>
      </c>
      <c r="L1052" s="84">
        <f>IF(OR($J1052="",$K1052=""),"",IFERROR(INDEX(設定!$F$6:$F$21,MATCH($G1052,設定!$B$6:$B$21,0)),0))</f>
        <v/>
      </c>
      <c r="M1052" s="85">
        <f>IF(OR($J1052="",$K1052=""),"",ROUND(($K1052-$J1052)*24-$L1052/60,2))</f>
        <v/>
      </c>
      <c r="N1052" s="16">
        <f>IF($C1052="","",IF(AND(COUNTIF(設定!$B$15:$B$21,$G1052)&gt;0,$J1052&lt;&gt;""),"假日出勤",IF(AND(COUNTIF(設定!$B$6:$B$14,$G1052)&gt;0,$J1052=""),"未打卡",IF($J1052="","",IF($O1052&gt;0,"遲到",IF($P1052&gt;0,"早退","正常"))))))</f>
        <v/>
      </c>
      <c r="O1052" s="84">
        <f>IF(OR($C1052="",$H1052="",$J1052=""),0,IF(ROUND(($J1052-$H1052)*1440,0)&gt;設定!$C$46,ROUND(($J1052-$H1052)*1440,0),0))</f>
        <v/>
      </c>
      <c r="P1052" s="84">
        <f>IF(OR($C1052="",$I1052="",$K1052=""),0,IF(ROUND(($I1052-$K1052)*1440,0)&gt;設定!$C$46,ROUND(($I1052-$K1052)*1440,0),0))</f>
        <v/>
      </c>
      <c r="Q1052" s="85">
        <f>IF($M1052="",0,IF(($M1052-IFERROR(INDEX(設定!$G$6:$G$21,MATCH($G1052,設定!$B$6:$B$21,0)),0))*60&gt;=設定!$C$44,ROUND(FLOOR(($M1052-IFERROR(INDEX(設定!$G$6:$G$21,MATCH($G1052,設定!$B$6:$B$21,0)),0))*60,設定!$C$45)/60,2),0))</f>
        <v/>
      </c>
      <c r="R1052" s="16">
        <f>IF(OR($C1052="",$Q1052=0),"",IF($G1052="國","國定假日",IF($B1052="日","例假",IF($B1052="六","休息日","平日"))))</f>
        <v/>
      </c>
      <c r="S1052" s="19" t="n"/>
    </row>
    <row r="1053">
      <c r="A1053" s="82">
        <f>IF(OR(助理班表!$A38="",28&gt;DAY(EOMONTH(DATE(設定!$C$2,設定!$D$2,1),0))),"",DATE(設定!$C$2,設定!$D$2,28))</f>
        <v/>
      </c>
      <c r="B1053" s="16">
        <f>IF($A1053="","",INDEX(設定!$O$6:$O$12,WEEKDAY($A1053,1)))</f>
        <v/>
      </c>
      <c r="C1053" s="16">
        <f>IF($A1053="","",助理班表!$A38)</f>
        <v/>
      </c>
      <c r="D1053" s="16">
        <f>IF($C1053="","",助理班表!$B38)</f>
        <v/>
      </c>
      <c r="E1053" s="16">
        <f>IF($C1053="","",助理班表!$D38)</f>
        <v/>
      </c>
      <c r="F1053" s="16">
        <f>IF($C1053="","",助理班表!$C38)</f>
        <v/>
      </c>
      <c r="G1053" s="16">
        <f>IF($C1053="","",助理班表!AF38)</f>
        <v/>
      </c>
      <c r="H1053" s="83">
        <f>IF($G1053="","",IFERROR(IF(INDEX(設定!$D$6:$D$21,MATCH($G1053,設定!$B$6:$B$21,0))=0,"",INDEX(設定!$D$6:$D$21,MATCH($G1053,設定!$B$6:$B$21,0))),""))</f>
        <v/>
      </c>
      <c r="I1053" s="83">
        <f>IF($G1053="","",IFERROR(IF(INDEX(設定!$E$6:$E$21,MATCH($G1053,設定!$B$6:$B$21,0))=0,"",INDEX(設定!$E$6:$E$21,MATCH($G1053,設定!$B$6:$B$21,0))),""))</f>
        <v/>
      </c>
      <c r="J1053" s="83">
        <f>IFERROR(INDEX(打卡匯入!$C$3:$C$2002,MATCH($C1053&amp;"|"&amp;DAY($A1053),打卡匯入!$E$3:$E$2002,0)),"")</f>
        <v/>
      </c>
      <c r="K1053" s="83">
        <f>IFERROR(INDEX(打卡匯入!$D$3:$D$2002,MATCH($C1053&amp;"|"&amp;DAY($A1053),打卡匯入!$E$3:$E$2002,0)),"")</f>
        <v/>
      </c>
      <c r="L1053" s="84">
        <f>IF(OR($J1053="",$K1053=""),"",IFERROR(INDEX(設定!$F$6:$F$21,MATCH($G1053,設定!$B$6:$B$21,0)),0))</f>
        <v/>
      </c>
      <c r="M1053" s="85">
        <f>IF(OR($J1053="",$K1053=""),"",ROUND(($K1053-$J1053)*24-$L1053/60,2))</f>
        <v/>
      </c>
      <c r="N1053" s="16">
        <f>IF($C1053="","",IF(AND(COUNTIF(設定!$B$15:$B$21,$G1053)&gt;0,$J1053&lt;&gt;""),"假日出勤",IF(AND(COUNTIF(設定!$B$6:$B$14,$G1053)&gt;0,$J1053=""),"未打卡",IF($J1053="","",IF($O1053&gt;0,"遲到",IF($P1053&gt;0,"早退","正常"))))))</f>
        <v/>
      </c>
      <c r="O1053" s="84">
        <f>IF(OR($C1053="",$H1053="",$J1053=""),0,IF(ROUND(($J1053-$H1053)*1440,0)&gt;設定!$C$46,ROUND(($J1053-$H1053)*1440,0),0))</f>
        <v/>
      </c>
      <c r="P1053" s="84">
        <f>IF(OR($C1053="",$I1053="",$K1053=""),0,IF(ROUND(($I1053-$K1053)*1440,0)&gt;設定!$C$46,ROUND(($I1053-$K1053)*1440,0),0))</f>
        <v/>
      </c>
      <c r="Q1053" s="85">
        <f>IF($M1053="",0,IF(($M1053-IFERROR(INDEX(設定!$G$6:$G$21,MATCH($G1053,設定!$B$6:$B$21,0)),0))*60&gt;=設定!$C$44,ROUND(FLOOR(($M1053-IFERROR(INDEX(設定!$G$6:$G$21,MATCH($G1053,設定!$B$6:$B$21,0)),0))*60,設定!$C$45)/60,2),0))</f>
        <v/>
      </c>
      <c r="R1053" s="16">
        <f>IF(OR($C1053="",$Q1053=0),"",IF($G1053="國","國定假日",IF($B1053="日","例假",IF($B1053="六","休息日","平日"))))</f>
        <v/>
      </c>
      <c r="S1053" s="19" t="n"/>
    </row>
    <row r="1054">
      <c r="A1054" s="82">
        <f>IF(OR(助理班表!$A38="",29&gt;DAY(EOMONTH(DATE(設定!$C$2,設定!$D$2,1),0))),"",DATE(設定!$C$2,設定!$D$2,29))</f>
        <v/>
      </c>
      <c r="B1054" s="16">
        <f>IF($A1054="","",INDEX(設定!$O$6:$O$12,WEEKDAY($A1054,1)))</f>
        <v/>
      </c>
      <c r="C1054" s="16">
        <f>IF($A1054="","",助理班表!$A38)</f>
        <v/>
      </c>
      <c r="D1054" s="16">
        <f>IF($C1054="","",助理班表!$B38)</f>
        <v/>
      </c>
      <c r="E1054" s="16">
        <f>IF($C1054="","",助理班表!$D38)</f>
        <v/>
      </c>
      <c r="F1054" s="16">
        <f>IF($C1054="","",助理班表!$C38)</f>
        <v/>
      </c>
      <c r="G1054" s="16">
        <f>IF($C1054="","",助理班表!AG38)</f>
        <v/>
      </c>
      <c r="H1054" s="83">
        <f>IF($G1054="","",IFERROR(IF(INDEX(設定!$D$6:$D$21,MATCH($G1054,設定!$B$6:$B$21,0))=0,"",INDEX(設定!$D$6:$D$21,MATCH($G1054,設定!$B$6:$B$21,0))),""))</f>
        <v/>
      </c>
      <c r="I1054" s="83">
        <f>IF($G1054="","",IFERROR(IF(INDEX(設定!$E$6:$E$21,MATCH($G1054,設定!$B$6:$B$21,0))=0,"",INDEX(設定!$E$6:$E$21,MATCH($G1054,設定!$B$6:$B$21,0))),""))</f>
        <v/>
      </c>
      <c r="J1054" s="83">
        <f>IFERROR(INDEX(打卡匯入!$C$3:$C$2002,MATCH($C1054&amp;"|"&amp;DAY($A1054),打卡匯入!$E$3:$E$2002,0)),"")</f>
        <v/>
      </c>
      <c r="K1054" s="83">
        <f>IFERROR(INDEX(打卡匯入!$D$3:$D$2002,MATCH($C1054&amp;"|"&amp;DAY($A1054),打卡匯入!$E$3:$E$2002,0)),"")</f>
        <v/>
      </c>
      <c r="L1054" s="84">
        <f>IF(OR($J1054="",$K1054=""),"",IFERROR(INDEX(設定!$F$6:$F$21,MATCH($G1054,設定!$B$6:$B$21,0)),0))</f>
        <v/>
      </c>
      <c r="M1054" s="85">
        <f>IF(OR($J1054="",$K1054=""),"",ROUND(($K1054-$J1054)*24-$L1054/60,2))</f>
        <v/>
      </c>
      <c r="N1054" s="16">
        <f>IF($C1054="","",IF(AND(COUNTIF(設定!$B$15:$B$21,$G1054)&gt;0,$J1054&lt;&gt;""),"假日出勤",IF(AND(COUNTIF(設定!$B$6:$B$14,$G1054)&gt;0,$J1054=""),"未打卡",IF($J1054="","",IF($O1054&gt;0,"遲到",IF($P1054&gt;0,"早退","正常"))))))</f>
        <v/>
      </c>
      <c r="O1054" s="84">
        <f>IF(OR($C1054="",$H1054="",$J1054=""),0,IF(ROUND(($J1054-$H1054)*1440,0)&gt;設定!$C$46,ROUND(($J1054-$H1054)*1440,0),0))</f>
        <v/>
      </c>
      <c r="P1054" s="84">
        <f>IF(OR($C1054="",$I1054="",$K1054=""),0,IF(ROUND(($I1054-$K1054)*1440,0)&gt;設定!$C$46,ROUND(($I1054-$K1054)*1440,0),0))</f>
        <v/>
      </c>
      <c r="Q1054" s="85">
        <f>IF($M1054="",0,IF(($M1054-IFERROR(INDEX(設定!$G$6:$G$21,MATCH($G1054,設定!$B$6:$B$21,0)),0))*60&gt;=設定!$C$44,ROUND(FLOOR(($M1054-IFERROR(INDEX(設定!$G$6:$G$21,MATCH($G1054,設定!$B$6:$B$21,0)),0))*60,設定!$C$45)/60,2),0))</f>
        <v/>
      </c>
      <c r="R1054" s="16">
        <f>IF(OR($C1054="",$Q1054=0),"",IF($G1054="國","國定假日",IF($B1054="日","例假",IF($B1054="六","休息日","平日"))))</f>
        <v/>
      </c>
      <c r="S1054" s="19" t="n"/>
    </row>
    <row r="1055">
      <c r="A1055" s="82">
        <f>IF(OR(助理班表!$A38="",30&gt;DAY(EOMONTH(DATE(設定!$C$2,設定!$D$2,1),0))),"",DATE(設定!$C$2,設定!$D$2,30))</f>
        <v/>
      </c>
      <c r="B1055" s="16">
        <f>IF($A1055="","",INDEX(設定!$O$6:$O$12,WEEKDAY($A1055,1)))</f>
        <v/>
      </c>
      <c r="C1055" s="16">
        <f>IF($A1055="","",助理班表!$A38)</f>
        <v/>
      </c>
      <c r="D1055" s="16">
        <f>IF($C1055="","",助理班表!$B38)</f>
        <v/>
      </c>
      <c r="E1055" s="16">
        <f>IF($C1055="","",助理班表!$D38)</f>
        <v/>
      </c>
      <c r="F1055" s="16">
        <f>IF($C1055="","",助理班表!$C38)</f>
        <v/>
      </c>
      <c r="G1055" s="16">
        <f>IF($C1055="","",助理班表!AH38)</f>
        <v/>
      </c>
      <c r="H1055" s="83">
        <f>IF($G1055="","",IFERROR(IF(INDEX(設定!$D$6:$D$21,MATCH($G1055,設定!$B$6:$B$21,0))=0,"",INDEX(設定!$D$6:$D$21,MATCH($G1055,設定!$B$6:$B$21,0))),""))</f>
        <v/>
      </c>
      <c r="I1055" s="83">
        <f>IF($G1055="","",IFERROR(IF(INDEX(設定!$E$6:$E$21,MATCH($G1055,設定!$B$6:$B$21,0))=0,"",INDEX(設定!$E$6:$E$21,MATCH($G1055,設定!$B$6:$B$21,0))),""))</f>
        <v/>
      </c>
      <c r="J1055" s="83">
        <f>IFERROR(INDEX(打卡匯入!$C$3:$C$2002,MATCH($C1055&amp;"|"&amp;DAY($A1055),打卡匯入!$E$3:$E$2002,0)),"")</f>
        <v/>
      </c>
      <c r="K1055" s="83">
        <f>IFERROR(INDEX(打卡匯入!$D$3:$D$2002,MATCH($C1055&amp;"|"&amp;DAY($A1055),打卡匯入!$E$3:$E$2002,0)),"")</f>
        <v/>
      </c>
      <c r="L1055" s="84">
        <f>IF(OR($J1055="",$K1055=""),"",IFERROR(INDEX(設定!$F$6:$F$21,MATCH($G1055,設定!$B$6:$B$21,0)),0))</f>
        <v/>
      </c>
      <c r="M1055" s="85">
        <f>IF(OR($J1055="",$K1055=""),"",ROUND(($K1055-$J1055)*24-$L1055/60,2))</f>
        <v/>
      </c>
      <c r="N1055" s="16">
        <f>IF($C1055="","",IF(AND(COUNTIF(設定!$B$15:$B$21,$G1055)&gt;0,$J1055&lt;&gt;""),"假日出勤",IF(AND(COUNTIF(設定!$B$6:$B$14,$G1055)&gt;0,$J1055=""),"未打卡",IF($J1055="","",IF($O1055&gt;0,"遲到",IF($P1055&gt;0,"早退","正常"))))))</f>
        <v/>
      </c>
      <c r="O1055" s="84">
        <f>IF(OR($C1055="",$H1055="",$J1055=""),0,IF(ROUND(($J1055-$H1055)*1440,0)&gt;設定!$C$46,ROUND(($J1055-$H1055)*1440,0),0))</f>
        <v/>
      </c>
      <c r="P1055" s="84">
        <f>IF(OR($C1055="",$I1055="",$K1055=""),0,IF(ROUND(($I1055-$K1055)*1440,0)&gt;設定!$C$46,ROUND(($I1055-$K1055)*1440,0),0))</f>
        <v/>
      </c>
      <c r="Q1055" s="85">
        <f>IF($M1055="",0,IF(($M1055-IFERROR(INDEX(設定!$G$6:$G$21,MATCH($G1055,設定!$B$6:$B$21,0)),0))*60&gt;=設定!$C$44,ROUND(FLOOR(($M1055-IFERROR(INDEX(設定!$G$6:$G$21,MATCH($G1055,設定!$B$6:$B$21,0)),0))*60,設定!$C$45)/60,2),0))</f>
        <v/>
      </c>
      <c r="R1055" s="16">
        <f>IF(OR($C1055="",$Q1055=0),"",IF($G1055="國","國定假日",IF($B1055="日","例假",IF($B1055="六","休息日","平日"))))</f>
        <v/>
      </c>
      <c r="S1055" s="19" t="n"/>
    </row>
    <row r="1056">
      <c r="A1056" s="82">
        <f>IF(OR(助理班表!$A38="",31&gt;DAY(EOMONTH(DATE(設定!$C$2,設定!$D$2,1),0))),"",DATE(設定!$C$2,設定!$D$2,31))</f>
        <v/>
      </c>
      <c r="B1056" s="16">
        <f>IF($A1056="","",INDEX(設定!$O$6:$O$12,WEEKDAY($A1056,1)))</f>
        <v/>
      </c>
      <c r="C1056" s="16">
        <f>IF($A1056="","",助理班表!$A38)</f>
        <v/>
      </c>
      <c r="D1056" s="16">
        <f>IF($C1056="","",助理班表!$B38)</f>
        <v/>
      </c>
      <c r="E1056" s="16">
        <f>IF($C1056="","",助理班表!$D38)</f>
        <v/>
      </c>
      <c r="F1056" s="16">
        <f>IF($C1056="","",助理班表!$C38)</f>
        <v/>
      </c>
      <c r="G1056" s="16">
        <f>IF($C1056="","",助理班表!AI38)</f>
        <v/>
      </c>
      <c r="H1056" s="83">
        <f>IF($G1056="","",IFERROR(IF(INDEX(設定!$D$6:$D$21,MATCH($G1056,設定!$B$6:$B$21,0))=0,"",INDEX(設定!$D$6:$D$21,MATCH($G1056,設定!$B$6:$B$21,0))),""))</f>
        <v/>
      </c>
      <c r="I1056" s="83">
        <f>IF($G1056="","",IFERROR(IF(INDEX(設定!$E$6:$E$21,MATCH($G1056,設定!$B$6:$B$21,0))=0,"",INDEX(設定!$E$6:$E$21,MATCH($G1056,設定!$B$6:$B$21,0))),""))</f>
        <v/>
      </c>
      <c r="J1056" s="83">
        <f>IFERROR(INDEX(打卡匯入!$C$3:$C$2002,MATCH($C1056&amp;"|"&amp;DAY($A1056),打卡匯入!$E$3:$E$2002,0)),"")</f>
        <v/>
      </c>
      <c r="K1056" s="83">
        <f>IFERROR(INDEX(打卡匯入!$D$3:$D$2002,MATCH($C1056&amp;"|"&amp;DAY($A1056),打卡匯入!$E$3:$E$2002,0)),"")</f>
        <v/>
      </c>
      <c r="L1056" s="84">
        <f>IF(OR($J1056="",$K1056=""),"",IFERROR(INDEX(設定!$F$6:$F$21,MATCH($G1056,設定!$B$6:$B$21,0)),0))</f>
        <v/>
      </c>
      <c r="M1056" s="85">
        <f>IF(OR($J1056="",$K1056=""),"",ROUND(($K1056-$J1056)*24-$L1056/60,2))</f>
        <v/>
      </c>
      <c r="N1056" s="16">
        <f>IF($C1056="","",IF(AND(COUNTIF(設定!$B$15:$B$21,$G1056)&gt;0,$J1056&lt;&gt;""),"假日出勤",IF(AND(COUNTIF(設定!$B$6:$B$14,$G1056)&gt;0,$J1056=""),"未打卡",IF($J1056="","",IF($O1056&gt;0,"遲到",IF($P1056&gt;0,"早退","正常"))))))</f>
        <v/>
      </c>
      <c r="O1056" s="84">
        <f>IF(OR($C1056="",$H1056="",$J1056=""),0,IF(ROUND(($J1056-$H1056)*1440,0)&gt;設定!$C$46,ROUND(($J1056-$H1056)*1440,0),0))</f>
        <v/>
      </c>
      <c r="P1056" s="84">
        <f>IF(OR($C1056="",$I1056="",$K1056=""),0,IF(ROUND(($I1056-$K1056)*1440,0)&gt;設定!$C$46,ROUND(($I1056-$K1056)*1440,0),0))</f>
        <v/>
      </c>
      <c r="Q1056" s="85">
        <f>IF($M1056="",0,IF(($M1056-IFERROR(INDEX(設定!$G$6:$G$21,MATCH($G1056,設定!$B$6:$B$21,0)),0))*60&gt;=設定!$C$44,ROUND(FLOOR(($M1056-IFERROR(INDEX(設定!$G$6:$G$21,MATCH($G1056,設定!$B$6:$B$21,0)),0))*60,設定!$C$45)/60,2),0))</f>
        <v/>
      </c>
      <c r="R1056" s="16">
        <f>IF(OR($C1056="",$Q1056=0),"",IF($G1056="國","國定假日",IF($B1056="日","例假",IF($B1056="六","休息日","平日"))))</f>
        <v/>
      </c>
      <c r="S1056" s="19" t="n"/>
    </row>
    <row r="1057">
      <c r="A1057" s="82">
        <f>IF(OR(助理班表!$A39="",1&gt;DAY(EOMONTH(DATE(設定!$C$2,設定!$D$2,1),0))),"",DATE(設定!$C$2,設定!$D$2,1))</f>
        <v/>
      </c>
      <c r="B1057" s="16">
        <f>IF($A1057="","",INDEX(設定!$O$6:$O$12,WEEKDAY($A1057,1)))</f>
        <v/>
      </c>
      <c r="C1057" s="16">
        <f>IF($A1057="","",助理班表!$A39)</f>
        <v/>
      </c>
      <c r="D1057" s="16">
        <f>IF($C1057="","",助理班表!$B39)</f>
        <v/>
      </c>
      <c r="E1057" s="16">
        <f>IF($C1057="","",助理班表!$D39)</f>
        <v/>
      </c>
      <c r="F1057" s="16">
        <f>IF($C1057="","",助理班表!$C39)</f>
        <v/>
      </c>
      <c r="G1057" s="16">
        <f>IF($C1057="","",助理班表!E39)</f>
        <v/>
      </c>
      <c r="H1057" s="83">
        <f>IF($G1057="","",IFERROR(IF(INDEX(設定!$D$6:$D$21,MATCH($G1057,設定!$B$6:$B$21,0))=0,"",INDEX(設定!$D$6:$D$21,MATCH($G1057,設定!$B$6:$B$21,0))),""))</f>
        <v/>
      </c>
      <c r="I1057" s="83">
        <f>IF($G1057="","",IFERROR(IF(INDEX(設定!$E$6:$E$21,MATCH($G1057,設定!$B$6:$B$21,0))=0,"",INDEX(設定!$E$6:$E$21,MATCH($G1057,設定!$B$6:$B$21,0))),""))</f>
        <v/>
      </c>
      <c r="J1057" s="83">
        <f>IFERROR(INDEX(打卡匯入!$C$3:$C$2002,MATCH($C1057&amp;"|"&amp;DAY($A1057),打卡匯入!$E$3:$E$2002,0)),"")</f>
        <v/>
      </c>
      <c r="K1057" s="83">
        <f>IFERROR(INDEX(打卡匯入!$D$3:$D$2002,MATCH($C1057&amp;"|"&amp;DAY($A1057),打卡匯入!$E$3:$E$2002,0)),"")</f>
        <v/>
      </c>
      <c r="L1057" s="84">
        <f>IF(OR($J1057="",$K1057=""),"",IFERROR(INDEX(設定!$F$6:$F$21,MATCH($G1057,設定!$B$6:$B$21,0)),0))</f>
        <v/>
      </c>
      <c r="M1057" s="85">
        <f>IF(OR($J1057="",$K1057=""),"",ROUND(($K1057-$J1057)*24-$L1057/60,2))</f>
        <v/>
      </c>
      <c r="N1057" s="16">
        <f>IF($C1057="","",IF(AND(COUNTIF(設定!$B$15:$B$21,$G1057)&gt;0,$J1057&lt;&gt;""),"假日出勤",IF(AND(COUNTIF(設定!$B$6:$B$14,$G1057)&gt;0,$J1057=""),"未打卡",IF($J1057="","",IF($O1057&gt;0,"遲到",IF($P1057&gt;0,"早退","正常"))))))</f>
        <v/>
      </c>
      <c r="O1057" s="84">
        <f>IF(OR($C1057="",$H1057="",$J1057=""),0,IF(ROUND(($J1057-$H1057)*1440,0)&gt;設定!$C$46,ROUND(($J1057-$H1057)*1440,0),0))</f>
        <v/>
      </c>
      <c r="P1057" s="84">
        <f>IF(OR($C1057="",$I1057="",$K1057=""),0,IF(ROUND(($I1057-$K1057)*1440,0)&gt;設定!$C$46,ROUND(($I1057-$K1057)*1440,0),0))</f>
        <v/>
      </c>
      <c r="Q1057" s="85">
        <f>IF($M1057="",0,IF(($M1057-IFERROR(INDEX(設定!$G$6:$G$21,MATCH($G1057,設定!$B$6:$B$21,0)),0))*60&gt;=設定!$C$44,ROUND(FLOOR(($M1057-IFERROR(INDEX(設定!$G$6:$G$21,MATCH($G1057,設定!$B$6:$B$21,0)),0))*60,設定!$C$45)/60,2),0))</f>
        <v/>
      </c>
      <c r="R1057" s="16">
        <f>IF(OR($C1057="",$Q1057=0),"",IF($G1057="國","國定假日",IF($B1057="日","例假",IF($B1057="六","休息日","平日"))))</f>
        <v/>
      </c>
      <c r="S1057" s="19" t="n"/>
    </row>
    <row r="1058">
      <c r="A1058" s="82">
        <f>IF(OR(助理班表!$A39="",2&gt;DAY(EOMONTH(DATE(設定!$C$2,設定!$D$2,1),0))),"",DATE(設定!$C$2,設定!$D$2,2))</f>
        <v/>
      </c>
      <c r="B1058" s="16">
        <f>IF($A1058="","",INDEX(設定!$O$6:$O$12,WEEKDAY($A1058,1)))</f>
        <v/>
      </c>
      <c r="C1058" s="16">
        <f>IF($A1058="","",助理班表!$A39)</f>
        <v/>
      </c>
      <c r="D1058" s="16">
        <f>IF($C1058="","",助理班表!$B39)</f>
        <v/>
      </c>
      <c r="E1058" s="16">
        <f>IF($C1058="","",助理班表!$D39)</f>
        <v/>
      </c>
      <c r="F1058" s="16">
        <f>IF($C1058="","",助理班表!$C39)</f>
        <v/>
      </c>
      <c r="G1058" s="16">
        <f>IF($C1058="","",助理班表!F39)</f>
        <v/>
      </c>
      <c r="H1058" s="83">
        <f>IF($G1058="","",IFERROR(IF(INDEX(設定!$D$6:$D$21,MATCH($G1058,設定!$B$6:$B$21,0))=0,"",INDEX(設定!$D$6:$D$21,MATCH($G1058,設定!$B$6:$B$21,0))),""))</f>
        <v/>
      </c>
      <c r="I1058" s="83">
        <f>IF($G1058="","",IFERROR(IF(INDEX(設定!$E$6:$E$21,MATCH($G1058,設定!$B$6:$B$21,0))=0,"",INDEX(設定!$E$6:$E$21,MATCH($G1058,設定!$B$6:$B$21,0))),""))</f>
        <v/>
      </c>
      <c r="J1058" s="83">
        <f>IFERROR(INDEX(打卡匯入!$C$3:$C$2002,MATCH($C1058&amp;"|"&amp;DAY($A1058),打卡匯入!$E$3:$E$2002,0)),"")</f>
        <v/>
      </c>
      <c r="K1058" s="83">
        <f>IFERROR(INDEX(打卡匯入!$D$3:$D$2002,MATCH($C1058&amp;"|"&amp;DAY($A1058),打卡匯入!$E$3:$E$2002,0)),"")</f>
        <v/>
      </c>
      <c r="L1058" s="84">
        <f>IF(OR($J1058="",$K1058=""),"",IFERROR(INDEX(設定!$F$6:$F$21,MATCH($G1058,設定!$B$6:$B$21,0)),0))</f>
        <v/>
      </c>
      <c r="M1058" s="85">
        <f>IF(OR($J1058="",$K1058=""),"",ROUND(($K1058-$J1058)*24-$L1058/60,2))</f>
        <v/>
      </c>
      <c r="N1058" s="16">
        <f>IF($C1058="","",IF(AND(COUNTIF(設定!$B$15:$B$21,$G1058)&gt;0,$J1058&lt;&gt;""),"假日出勤",IF(AND(COUNTIF(設定!$B$6:$B$14,$G1058)&gt;0,$J1058=""),"未打卡",IF($J1058="","",IF($O1058&gt;0,"遲到",IF($P1058&gt;0,"早退","正常"))))))</f>
        <v/>
      </c>
      <c r="O1058" s="84">
        <f>IF(OR($C1058="",$H1058="",$J1058=""),0,IF(ROUND(($J1058-$H1058)*1440,0)&gt;設定!$C$46,ROUND(($J1058-$H1058)*1440,0),0))</f>
        <v/>
      </c>
      <c r="P1058" s="84">
        <f>IF(OR($C1058="",$I1058="",$K1058=""),0,IF(ROUND(($I1058-$K1058)*1440,0)&gt;設定!$C$46,ROUND(($I1058-$K1058)*1440,0),0))</f>
        <v/>
      </c>
      <c r="Q1058" s="85">
        <f>IF($M1058="",0,IF(($M1058-IFERROR(INDEX(設定!$G$6:$G$21,MATCH($G1058,設定!$B$6:$B$21,0)),0))*60&gt;=設定!$C$44,ROUND(FLOOR(($M1058-IFERROR(INDEX(設定!$G$6:$G$21,MATCH($G1058,設定!$B$6:$B$21,0)),0))*60,設定!$C$45)/60,2),0))</f>
        <v/>
      </c>
      <c r="R1058" s="16">
        <f>IF(OR($C1058="",$Q1058=0),"",IF($G1058="國","國定假日",IF($B1058="日","例假",IF($B1058="六","休息日","平日"))))</f>
        <v/>
      </c>
      <c r="S1058" s="19" t="n"/>
    </row>
    <row r="1059">
      <c r="A1059" s="82">
        <f>IF(OR(助理班表!$A39="",3&gt;DAY(EOMONTH(DATE(設定!$C$2,設定!$D$2,1),0))),"",DATE(設定!$C$2,設定!$D$2,3))</f>
        <v/>
      </c>
      <c r="B1059" s="16">
        <f>IF($A1059="","",INDEX(設定!$O$6:$O$12,WEEKDAY($A1059,1)))</f>
        <v/>
      </c>
      <c r="C1059" s="16">
        <f>IF($A1059="","",助理班表!$A39)</f>
        <v/>
      </c>
      <c r="D1059" s="16">
        <f>IF($C1059="","",助理班表!$B39)</f>
        <v/>
      </c>
      <c r="E1059" s="16">
        <f>IF($C1059="","",助理班表!$D39)</f>
        <v/>
      </c>
      <c r="F1059" s="16">
        <f>IF($C1059="","",助理班表!$C39)</f>
        <v/>
      </c>
      <c r="G1059" s="16">
        <f>IF($C1059="","",助理班表!G39)</f>
        <v/>
      </c>
      <c r="H1059" s="83">
        <f>IF($G1059="","",IFERROR(IF(INDEX(設定!$D$6:$D$21,MATCH($G1059,設定!$B$6:$B$21,0))=0,"",INDEX(設定!$D$6:$D$21,MATCH($G1059,設定!$B$6:$B$21,0))),""))</f>
        <v/>
      </c>
      <c r="I1059" s="83">
        <f>IF($G1059="","",IFERROR(IF(INDEX(設定!$E$6:$E$21,MATCH($G1059,設定!$B$6:$B$21,0))=0,"",INDEX(設定!$E$6:$E$21,MATCH($G1059,設定!$B$6:$B$21,0))),""))</f>
        <v/>
      </c>
      <c r="J1059" s="83">
        <f>IFERROR(INDEX(打卡匯入!$C$3:$C$2002,MATCH($C1059&amp;"|"&amp;DAY($A1059),打卡匯入!$E$3:$E$2002,0)),"")</f>
        <v/>
      </c>
      <c r="K1059" s="83">
        <f>IFERROR(INDEX(打卡匯入!$D$3:$D$2002,MATCH($C1059&amp;"|"&amp;DAY($A1059),打卡匯入!$E$3:$E$2002,0)),"")</f>
        <v/>
      </c>
      <c r="L1059" s="84">
        <f>IF(OR($J1059="",$K1059=""),"",IFERROR(INDEX(設定!$F$6:$F$21,MATCH($G1059,設定!$B$6:$B$21,0)),0))</f>
        <v/>
      </c>
      <c r="M1059" s="85">
        <f>IF(OR($J1059="",$K1059=""),"",ROUND(($K1059-$J1059)*24-$L1059/60,2))</f>
        <v/>
      </c>
      <c r="N1059" s="16">
        <f>IF($C1059="","",IF(AND(COUNTIF(設定!$B$15:$B$21,$G1059)&gt;0,$J1059&lt;&gt;""),"假日出勤",IF(AND(COUNTIF(設定!$B$6:$B$14,$G1059)&gt;0,$J1059=""),"未打卡",IF($J1059="","",IF($O1059&gt;0,"遲到",IF($P1059&gt;0,"早退","正常"))))))</f>
        <v/>
      </c>
      <c r="O1059" s="84">
        <f>IF(OR($C1059="",$H1059="",$J1059=""),0,IF(ROUND(($J1059-$H1059)*1440,0)&gt;設定!$C$46,ROUND(($J1059-$H1059)*1440,0),0))</f>
        <v/>
      </c>
      <c r="P1059" s="84">
        <f>IF(OR($C1059="",$I1059="",$K1059=""),0,IF(ROUND(($I1059-$K1059)*1440,0)&gt;設定!$C$46,ROUND(($I1059-$K1059)*1440,0),0))</f>
        <v/>
      </c>
      <c r="Q1059" s="85">
        <f>IF($M1059="",0,IF(($M1059-IFERROR(INDEX(設定!$G$6:$G$21,MATCH($G1059,設定!$B$6:$B$21,0)),0))*60&gt;=設定!$C$44,ROUND(FLOOR(($M1059-IFERROR(INDEX(設定!$G$6:$G$21,MATCH($G1059,設定!$B$6:$B$21,0)),0))*60,設定!$C$45)/60,2),0))</f>
        <v/>
      </c>
      <c r="R1059" s="16">
        <f>IF(OR($C1059="",$Q1059=0),"",IF($G1059="國","國定假日",IF($B1059="日","例假",IF($B1059="六","休息日","平日"))))</f>
        <v/>
      </c>
      <c r="S1059" s="19" t="n"/>
    </row>
    <row r="1060">
      <c r="A1060" s="82">
        <f>IF(OR(助理班表!$A39="",4&gt;DAY(EOMONTH(DATE(設定!$C$2,設定!$D$2,1),0))),"",DATE(設定!$C$2,設定!$D$2,4))</f>
        <v/>
      </c>
      <c r="B1060" s="16">
        <f>IF($A1060="","",INDEX(設定!$O$6:$O$12,WEEKDAY($A1060,1)))</f>
        <v/>
      </c>
      <c r="C1060" s="16">
        <f>IF($A1060="","",助理班表!$A39)</f>
        <v/>
      </c>
      <c r="D1060" s="16">
        <f>IF($C1060="","",助理班表!$B39)</f>
        <v/>
      </c>
      <c r="E1060" s="16">
        <f>IF($C1060="","",助理班表!$D39)</f>
        <v/>
      </c>
      <c r="F1060" s="16">
        <f>IF($C1060="","",助理班表!$C39)</f>
        <v/>
      </c>
      <c r="G1060" s="16">
        <f>IF($C1060="","",助理班表!H39)</f>
        <v/>
      </c>
      <c r="H1060" s="83">
        <f>IF($G1060="","",IFERROR(IF(INDEX(設定!$D$6:$D$21,MATCH($G1060,設定!$B$6:$B$21,0))=0,"",INDEX(設定!$D$6:$D$21,MATCH($G1060,設定!$B$6:$B$21,0))),""))</f>
        <v/>
      </c>
      <c r="I1060" s="83">
        <f>IF($G1060="","",IFERROR(IF(INDEX(設定!$E$6:$E$21,MATCH($G1060,設定!$B$6:$B$21,0))=0,"",INDEX(設定!$E$6:$E$21,MATCH($G1060,設定!$B$6:$B$21,0))),""))</f>
        <v/>
      </c>
      <c r="J1060" s="83">
        <f>IFERROR(INDEX(打卡匯入!$C$3:$C$2002,MATCH($C1060&amp;"|"&amp;DAY($A1060),打卡匯入!$E$3:$E$2002,0)),"")</f>
        <v/>
      </c>
      <c r="K1060" s="83">
        <f>IFERROR(INDEX(打卡匯入!$D$3:$D$2002,MATCH($C1060&amp;"|"&amp;DAY($A1060),打卡匯入!$E$3:$E$2002,0)),"")</f>
        <v/>
      </c>
      <c r="L1060" s="84">
        <f>IF(OR($J1060="",$K1060=""),"",IFERROR(INDEX(設定!$F$6:$F$21,MATCH($G1060,設定!$B$6:$B$21,0)),0))</f>
        <v/>
      </c>
      <c r="M1060" s="85">
        <f>IF(OR($J1060="",$K1060=""),"",ROUND(($K1060-$J1060)*24-$L1060/60,2))</f>
        <v/>
      </c>
      <c r="N1060" s="16">
        <f>IF($C1060="","",IF(AND(COUNTIF(設定!$B$15:$B$21,$G1060)&gt;0,$J1060&lt;&gt;""),"假日出勤",IF(AND(COUNTIF(設定!$B$6:$B$14,$G1060)&gt;0,$J1060=""),"未打卡",IF($J1060="","",IF($O1060&gt;0,"遲到",IF($P1060&gt;0,"早退","正常"))))))</f>
        <v/>
      </c>
      <c r="O1060" s="84">
        <f>IF(OR($C1060="",$H1060="",$J1060=""),0,IF(ROUND(($J1060-$H1060)*1440,0)&gt;設定!$C$46,ROUND(($J1060-$H1060)*1440,0),0))</f>
        <v/>
      </c>
      <c r="P1060" s="84">
        <f>IF(OR($C1060="",$I1060="",$K1060=""),0,IF(ROUND(($I1060-$K1060)*1440,0)&gt;設定!$C$46,ROUND(($I1060-$K1060)*1440,0),0))</f>
        <v/>
      </c>
      <c r="Q1060" s="85">
        <f>IF($M1060="",0,IF(($M1060-IFERROR(INDEX(設定!$G$6:$G$21,MATCH($G1060,設定!$B$6:$B$21,0)),0))*60&gt;=設定!$C$44,ROUND(FLOOR(($M1060-IFERROR(INDEX(設定!$G$6:$G$21,MATCH($G1060,設定!$B$6:$B$21,0)),0))*60,設定!$C$45)/60,2),0))</f>
        <v/>
      </c>
      <c r="R1060" s="16">
        <f>IF(OR($C1060="",$Q1060=0),"",IF($G1060="國","國定假日",IF($B1060="日","例假",IF($B1060="六","休息日","平日"))))</f>
        <v/>
      </c>
      <c r="S1060" s="19" t="n"/>
    </row>
    <row r="1061">
      <c r="A1061" s="82">
        <f>IF(OR(助理班表!$A39="",5&gt;DAY(EOMONTH(DATE(設定!$C$2,設定!$D$2,1),0))),"",DATE(設定!$C$2,設定!$D$2,5))</f>
        <v/>
      </c>
      <c r="B1061" s="16">
        <f>IF($A1061="","",INDEX(設定!$O$6:$O$12,WEEKDAY($A1061,1)))</f>
        <v/>
      </c>
      <c r="C1061" s="16">
        <f>IF($A1061="","",助理班表!$A39)</f>
        <v/>
      </c>
      <c r="D1061" s="16">
        <f>IF($C1061="","",助理班表!$B39)</f>
        <v/>
      </c>
      <c r="E1061" s="16">
        <f>IF($C1061="","",助理班表!$D39)</f>
        <v/>
      </c>
      <c r="F1061" s="16">
        <f>IF($C1061="","",助理班表!$C39)</f>
        <v/>
      </c>
      <c r="G1061" s="16">
        <f>IF($C1061="","",助理班表!I39)</f>
        <v/>
      </c>
      <c r="H1061" s="83">
        <f>IF($G1061="","",IFERROR(IF(INDEX(設定!$D$6:$D$21,MATCH($G1061,設定!$B$6:$B$21,0))=0,"",INDEX(設定!$D$6:$D$21,MATCH($G1061,設定!$B$6:$B$21,0))),""))</f>
        <v/>
      </c>
      <c r="I1061" s="83">
        <f>IF($G1061="","",IFERROR(IF(INDEX(設定!$E$6:$E$21,MATCH($G1061,設定!$B$6:$B$21,0))=0,"",INDEX(設定!$E$6:$E$21,MATCH($G1061,設定!$B$6:$B$21,0))),""))</f>
        <v/>
      </c>
      <c r="J1061" s="83">
        <f>IFERROR(INDEX(打卡匯入!$C$3:$C$2002,MATCH($C1061&amp;"|"&amp;DAY($A1061),打卡匯入!$E$3:$E$2002,0)),"")</f>
        <v/>
      </c>
      <c r="K1061" s="83">
        <f>IFERROR(INDEX(打卡匯入!$D$3:$D$2002,MATCH($C1061&amp;"|"&amp;DAY($A1061),打卡匯入!$E$3:$E$2002,0)),"")</f>
        <v/>
      </c>
      <c r="L1061" s="84">
        <f>IF(OR($J1061="",$K1061=""),"",IFERROR(INDEX(設定!$F$6:$F$21,MATCH($G1061,設定!$B$6:$B$21,0)),0))</f>
        <v/>
      </c>
      <c r="M1061" s="85">
        <f>IF(OR($J1061="",$K1061=""),"",ROUND(($K1061-$J1061)*24-$L1061/60,2))</f>
        <v/>
      </c>
      <c r="N1061" s="16">
        <f>IF($C1061="","",IF(AND(COUNTIF(設定!$B$15:$B$21,$G1061)&gt;0,$J1061&lt;&gt;""),"假日出勤",IF(AND(COUNTIF(設定!$B$6:$B$14,$G1061)&gt;0,$J1061=""),"未打卡",IF($J1061="","",IF($O1061&gt;0,"遲到",IF($P1061&gt;0,"早退","正常"))))))</f>
        <v/>
      </c>
      <c r="O1061" s="84">
        <f>IF(OR($C1061="",$H1061="",$J1061=""),0,IF(ROUND(($J1061-$H1061)*1440,0)&gt;設定!$C$46,ROUND(($J1061-$H1061)*1440,0),0))</f>
        <v/>
      </c>
      <c r="P1061" s="84">
        <f>IF(OR($C1061="",$I1061="",$K1061=""),0,IF(ROUND(($I1061-$K1061)*1440,0)&gt;設定!$C$46,ROUND(($I1061-$K1061)*1440,0),0))</f>
        <v/>
      </c>
      <c r="Q1061" s="85">
        <f>IF($M1061="",0,IF(($M1061-IFERROR(INDEX(設定!$G$6:$G$21,MATCH($G1061,設定!$B$6:$B$21,0)),0))*60&gt;=設定!$C$44,ROUND(FLOOR(($M1061-IFERROR(INDEX(設定!$G$6:$G$21,MATCH($G1061,設定!$B$6:$B$21,0)),0))*60,設定!$C$45)/60,2),0))</f>
        <v/>
      </c>
      <c r="R1061" s="16">
        <f>IF(OR($C1061="",$Q1061=0),"",IF($G1061="國","國定假日",IF($B1061="日","例假",IF($B1061="六","休息日","平日"))))</f>
        <v/>
      </c>
      <c r="S1061" s="19" t="n"/>
    </row>
    <row r="1062">
      <c r="A1062" s="82">
        <f>IF(OR(助理班表!$A39="",6&gt;DAY(EOMONTH(DATE(設定!$C$2,設定!$D$2,1),0))),"",DATE(設定!$C$2,設定!$D$2,6))</f>
        <v/>
      </c>
      <c r="B1062" s="16">
        <f>IF($A1062="","",INDEX(設定!$O$6:$O$12,WEEKDAY($A1062,1)))</f>
        <v/>
      </c>
      <c r="C1062" s="16">
        <f>IF($A1062="","",助理班表!$A39)</f>
        <v/>
      </c>
      <c r="D1062" s="16">
        <f>IF($C1062="","",助理班表!$B39)</f>
        <v/>
      </c>
      <c r="E1062" s="16">
        <f>IF($C1062="","",助理班表!$D39)</f>
        <v/>
      </c>
      <c r="F1062" s="16">
        <f>IF($C1062="","",助理班表!$C39)</f>
        <v/>
      </c>
      <c r="G1062" s="16">
        <f>IF($C1062="","",助理班表!J39)</f>
        <v/>
      </c>
      <c r="H1062" s="83">
        <f>IF($G1062="","",IFERROR(IF(INDEX(設定!$D$6:$D$21,MATCH($G1062,設定!$B$6:$B$21,0))=0,"",INDEX(設定!$D$6:$D$21,MATCH($G1062,設定!$B$6:$B$21,0))),""))</f>
        <v/>
      </c>
      <c r="I1062" s="83">
        <f>IF($G1062="","",IFERROR(IF(INDEX(設定!$E$6:$E$21,MATCH($G1062,設定!$B$6:$B$21,0))=0,"",INDEX(設定!$E$6:$E$21,MATCH($G1062,設定!$B$6:$B$21,0))),""))</f>
        <v/>
      </c>
      <c r="J1062" s="83">
        <f>IFERROR(INDEX(打卡匯入!$C$3:$C$2002,MATCH($C1062&amp;"|"&amp;DAY($A1062),打卡匯入!$E$3:$E$2002,0)),"")</f>
        <v/>
      </c>
      <c r="K1062" s="83">
        <f>IFERROR(INDEX(打卡匯入!$D$3:$D$2002,MATCH($C1062&amp;"|"&amp;DAY($A1062),打卡匯入!$E$3:$E$2002,0)),"")</f>
        <v/>
      </c>
      <c r="L1062" s="84">
        <f>IF(OR($J1062="",$K1062=""),"",IFERROR(INDEX(設定!$F$6:$F$21,MATCH($G1062,設定!$B$6:$B$21,0)),0))</f>
        <v/>
      </c>
      <c r="M1062" s="85">
        <f>IF(OR($J1062="",$K1062=""),"",ROUND(($K1062-$J1062)*24-$L1062/60,2))</f>
        <v/>
      </c>
      <c r="N1062" s="16">
        <f>IF($C1062="","",IF(AND(COUNTIF(設定!$B$15:$B$21,$G1062)&gt;0,$J1062&lt;&gt;""),"假日出勤",IF(AND(COUNTIF(設定!$B$6:$B$14,$G1062)&gt;0,$J1062=""),"未打卡",IF($J1062="","",IF($O1062&gt;0,"遲到",IF($P1062&gt;0,"早退","正常"))))))</f>
        <v/>
      </c>
      <c r="O1062" s="84">
        <f>IF(OR($C1062="",$H1062="",$J1062=""),0,IF(ROUND(($J1062-$H1062)*1440,0)&gt;設定!$C$46,ROUND(($J1062-$H1062)*1440,0),0))</f>
        <v/>
      </c>
      <c r="P1062" s="84">
        <f>IF(OR($C1062="",$I1062="",$K1062=""),0,IF(ROUND(($I1062-$K1062)*1440,0)&gt;設定!$C$46,ROUND(($I1062-$K1062)*1440,0),0))</f>
        <v/>
      </c>
      <c r="Q1062" s="85">
        <f>IF($M1062="",0,IF(($M1062-IFERROR(INDEX(設定!$G$6:$G$21,MATCH($G1062,設定!$B$6:$B$21,0)),0))*60&gt;=設定!$C$44,ROUND(FLOOR(($M1062-IFERROR(INDEX(設定!$G$6:$G$21,MATCH($G1062,設定!$B$6:$B$21,0)),0))*60,設定!$C$45)/60,2),0))</f>
        <v/>
      </c>
      <c r="R1062" s="16">
        <f>IF(OR($C1062="",$Q1062=0),"",IF($G1062="國","國定假日",IF($B1062="日","例假",IF($B1062="六","休息日","平日"))))</f>
        <v/>
      </c>
      <c r="S1062" s="19" t="n"/>
    </row>
    <row r="1063">
      <c r="A1063" s="82">
        <f>IF(OR(助理班表!$A39="",7&gt;DAY(EOMONTH(DATE(設定!$C$2,設定!$D$2,1),0))),"",DATE(設定!$C$2,設定!$D$2,7))</f>
        <v/>
      </c>
      <c r="B1063" s="16">
        <f>IF($A1063="","",INDEX(設定!$O$6:$O$12,WEEKDAY($A1063,1)))</f>
        <v/>
      </c>
      <c r="C1063" s="16">
        <f>IF($A1063="","",助理班表!$A39)</f>
        <v/>
      </c>
      <c r="D1063" s="16">
        <f>IF($C1063="","",助理班表!$B39)</f>
        <v/>
      </c>
      <c r="E1063" s="16">
        <f>IF($C1063="","",助理班表!$D39)</f>
        <v/>
      </c>
      <c r="F1063" s="16">
        <f>IF($C1063="","",助理班表!$C39)</f>
        <v/>
      </c>
      <c r="G1063" s="16">
        <f>IF($C1063="","",助理班表!K39)</f>
        <v/>
      </c>
      <c r="H1063" s="83">
        <f>IF($G1063="","",IFERROR(IF(INDEX(設定!$D$6:$D$21,MATCH($G1063,設定!$B$6:$B$21,0))=0,"",INDEX(設定!$D$6:$D$21,MATCH($G1063,設定!$B$6:$B$21,0))),""))</f>
        <v/>
      </c>
      <c r="I1063" s="83">
        <f>IF($G1063="","",IFERROR(IF(INDEX(設定!$E$6:$E$21,MATCH($G1063,設定!$B$6:$B$21,0))=0,"",INDEX(設定!$E$6:$E$21,MATCH($G1063,設定!$B$6:$B$21,0))),""))</f>
        <v/>
      </c>
      <c r="J1063" s="83">
        <f>IFERROR(INDEX(打卡匯入!$C$3:$C$2002,MATCH($C1063&amp;"|"&amp;DAY($A1063),打卡匯入!$E$3:$E$2002,0)),"")</f>
        <v/>
      </c>
      <c r="K1063" s="83">
        <f>IFERROR(INDEX(打卡匯入!$D$3:$D$2002,MATCH($C1063&amp;"|"&amp;DAY($A1063),打卡匯入!$E$3:$E$2002,0)),"")</f>
        <v/>
      </c>
      <c r="L1063" s="84">
        <f>IF(OR($J1063="",$K1063=""),"",IFERROR(INDEX(設定!$F$6:$F$21,MATCH($G1063,設定!$B$6:$B$21,0)),0))</f>
        <v/>
      </c>
      <c r="M1063" s="85">
        <f>IF(OR($J1063="",$K1063=""),"",ROUND(($K1063-$J1063)*24-$L1063/60,2))</f>
        <v/>
      </c>
      <c r="N1063" s="16">
        <f>IF($C1063="","",IF(AND(COUNTIF(設定!$B$15:$B$21,$G1063)&gt;0,$J1063&lt;&gt;""),"假日出勤",IF(AND(COUNTIF(設定!$B$6:$B$14,$G1063)&gt;0,$J1063=""),"未打卡",IF($J1063="","",IF($O1063&gt;0,"遲到",IF($P1063&gt;0,"早退","正常"))))))</f>
        <v/>
      </c>
      <c r="O1063" s="84">
        <f>IF(OR($C1063="",$H1063="",$J1063=""),0,IF(ROUND(($J1063-$H1063)*1440,0)&gt;設定!$C$46,ROUND(($J1063-$H1063)*1440,0),0))</f>
        <v/>
      </c>
      <c r="P1063" s="84">
        <f>IF(OR($C1063="",$I1063="",$K1063=""),0,IF(ROUND(($I1063-$K1063)*1440,0)&gt;設定!$C$46,ROUND(($I1063-$K1063)*1440,0),0))</f>
        <v/>
      </c>
      <c r="Q1063" s="85">
        <f>IF($M1063="",0,IF(($M1063-IFERROR(INDEX(設定!$G$6:$G$21,MATCH($G1063,設定!$B$6:$B$21,0)),0))*60&gt;=設定!$C$44,ROUND(FLOOR(($M1063-IFERROR(INDEX(設定!$G$6:$G$21,MATCH($G1063,設定!$B$6:$B$21,0)),0))*60,設定!$C$45)/60,2),0))</f>
        <v/>
      </c>
      <c r="R1063" s="16">
        <f>IF(OR($C1063="",$Q1063=0),"",IF($G1063="國","國定假日",IF($B1063="日","例假",IF($B1063="六","休息日","平日"))))</f>
        <v/>
      </c>
      <c r="S1063" s="19" t="n"/>
    </row>
    <row r="1064">
      <c r="A1064" s="82">
        <f>IF(OR(助理班表!$A39="",8&gt;DAY(EOMONTH(DATE(設定!$C$2,設定!$D$2,1),0))),"",DATE(設定!$C$2,設定!$D$2,8))</f>
        <v/>
      </c>
      <c r="B1064" s="16">
        <f>IF($A1064="","",INDEX(設定!$O$6:$O$12,WEEKDAY($A1064,1)))</f>
        <v/>
      </c>
      <c r="C1064" s="16">
        <f>IF($A1064="","",助理班表!$A39)</f>
        <v/>
      </c>
      <c r="D1064" s="16">
        <f>IF($C1064="","",助理班表!$B39)</f>
        <v/>
      </c>
      <c r="E1064" s="16">
        <f>IF($C1064="","",助理班表!$D39)</f>
        <v/>
      </c>
      <c r="F1064" s="16">
        <f>IF($C1064="","",助理班表!$C39)</f>
        <v/>
      </c>
      <c r="G1064" s="16">
        <f>IF($C1064="","",助理班表!L39)</f>
        <v/>
      </c>
      <c r="H1064" s="83">
        <f>IF($G1064="","",IFERROR(IF(INDEX(設定!$D$6:$D$21,MATCH($G1064,設定!$B$6:$B$21,0))=0,"",INDEX(設定!$D$6:$D$21,MATCH($G1064,設定!$B$6:$B$21,0))),""))</f>
        <v/>
      </c>
      <c r="I1064" s="83">
        <f>IF($G1064="","",IFERROR(IF(INDEX(設定!$E$6:$E$21,MATCH($G1064,設定!$B$6:$B$21,0))=0,"",INDEX(設定!$E$6:$E$21,MATCH($G1064,設定!$B$6:$B$21,0))),""))</f>
        <v/>
      </c>
      <c r="J1064" s="83">
        <f>IFERROR(INDEX(打卡匯入!$C$3:$C$2002,MATCH($C1064&amp;"|"&amp;DAY($A1064),打卡匯入!$E$3:$E$2002,0)),"")</f>
        <v/>
      </c>
      <c r="K1064" s="83">
        <f>IFERROR(INDEX(打卡匯入!$D$3:$D$2002,MATCH($C1064&amp;"|"&amp;DAY($A1064),打卡匯入!$E$3:$E$2002,0)),"")</f>
        <v/>
      </c>
      <c r="L1064" s="84">
        <f>IF(OR($J1064="",$K1064=""),"",IFERROR(INDEX(設定!$F$6:$F$21,MATCH($G1064,設定!$B$6:$B$21,0)),0))</f>
        <v/>
      </c>
      <c r="M1064" s="85">
        <f>IF(OR($J1064="",$K1064=""),"",ROUND(($K1064-$J1064)*24-$L1064/60,2))</f>
        <v/>
      </c>
      <c r="N1064" s="16">
        <f>IF($C1064="","",IF(AND(COUNTIF(設定!$B$15:$B$21,$G1064)&gt;0,$J1064&lt;&gt;""),"假日出勤",IF(AND(COUNTIF(設定!$B$6:$B$14,$G1064)&gt;0,$J1064=""),"未打卡",IF($J1064="","",IF($O1064&gt;0,"遲到",IF($P1064&gt;0,"早退","正常"))))))</f>
        <v/>
      </c>
      <c r="O1064" s="84">
        <f>IF(OR($C1064="",$H1064="",$J1064=""),0,IF(ROUND(($J1064-$H1064)*1440,0)&gt;設定!$C$46,ROUND(($J1064-$H1064)*1440,0),0))</f>
        <v/>
      </c>
      <c r="P1064" s="84">
        <f>IF(OR($C1064="",$I1064="",$K1064=""),0,IF(ROUND(($I1064-$K1064)*1440,0)&gt;設定!$C$46,ROUND(($I1064-$K1064)*1440,0),0))</f>
        <v/>
      </c>
      <c r="Q1064" s="85">
        <f>IF($M1064="",0,IF(($M1064-IFERROR(INDEX(設定!$G$6:$G$21,MATCH($G1064,設定!$B$6:$B$21,0)),0))*60&gt;=設定!$C$44,ROUND(FLOOR(($M1064-IFERROR(INDEX(設定!$G$6:$G$21,MATCH($G1064,設定!$B$6:$B$21,0)),0))*60,設定!$C$45)/60,2),0))</f>
        <v/>
      </c>
      <c r="R1064" s="16">
        <f>IF(OR($C1064="",$Q1064=0),"",IF($G1064="國","國定假日",IF($B1064="日","例假",IF($B1064="六","休息日","平日"))))</f>
        <v/>
      </c>
      <c r="S1064" s="19" t="n"/>
    </row>
    <row r="1065">
      <c r="A1065" s="82">
        <f>IF(OR(助理班表!$A39="",9&gt;DAY(EOMONTH(DATE(設定!$C$2,設定!$D$2,1),0))),"",DATE(設定!$C$2,設定!$D$2,9))</f>
        <v/>
      </c>
      <c r="B1065" s="16">
        <f>IF($A1065="","",INDEX(設定!$O$6:$O$12,WEEKDAY($A1065,1)))</f>
        <v/>
      </c>
      <c r="C1065" s="16">
        <f>IF($A1065="","",助理班表!$A39)</f>
        <v/>
      </c>
      <c r="D1065" s="16">
        <f>IF($C1065="","",助理班表!$B39)</f>
        <v/>
      </c>
      <c r="E1065" s="16">
        <f>IF($C1065="","",助理班表!$D39)</f>
        <v/>
      </c>
      <c r="F1065" s="16">
        <f>IF($C1065="","",助理班表!$C39)</f>
        <v/>
      </c>
      <c r="G1065" s="16">
        <f>IF($C1065="","",助理班表!M39)</f>
        <v/>
      </c>
      <c r="H1065" s="83">
        <f>IF($G1065="","",IFERROR(IF(INDEX(設定!$D$6:$D$21,MATCH($G1065,設定!$B$6:$B$21,0))=0,"",INDEX(設定!$D$6:$D$21,MATCH($G1065,設定!$B$6:$B$21,0))),""))</f>
        <v/>
      </c>
      <c r="I1065" s="83">
        <f>IF($G1065="","",IFERROR(IF(INDEX(設定!$E$6:$E$21,MATCH($G1065,設定!$B$6:$B$21,0))=0,"",INDEX(設定!$E$6:$E$21,MATCH($G1065,設定!$B$6:$B$21,0))),""))</f>
        <v/>
      </c>
      <c r="J1065" s="83">
        <f>IFERROR(INDEX(打卡匯入!$C$3:$C$2002,MATCH($C1065&amp;"|"&amp;DAY($A1065),打卡匯入!$E$3:$E$2002,0)),"")</f>
        <v/>
      </c>
      <c r="K1065" s="83">
        <f>IFERROR(INDEX(打卡匯入!$D$3:$D$2002,MATCH($C1065&amp;"|"&amp;DAY($A1065),打卡匯入!$E$3:$E$2002,0)),"")</f>
        <v/>
      </c>
      <c r="L1065" s="84">
        <f>IF(OR($J1065="",$K1065=""),"",IFERROR(INDEX(設定!$F$6:$F$21,MATCH($G1065,設定!$B$6:$B$21,0)),0))</f>
        <v/>
      </c>
      <c r="M1065" s="85">
        <f>IF(OR($J1065="",$K1065=""),"",ROUND(($K1065-$J1065)*24-$L1065/60,2))</f>
        <v/>
      </c>
      <c r="N1065" s="16">
        <f>IF($C1065="","",IF(AND(COUNTIF(設定!$B$15:$B$21,$G1065)&gt;0,$J1065&lt;&gt;""),"假日出勤",IF(AND(COUNTIF(設定!$B$6:$B$14,$G1065)&gt;0,$J1065=""),"未打卡",IF($J1065="","",IF($O1065&gt;0,"遲到",IF($P1065&gt;0,"早退","正常"))))))</f>
        <v/>
      </c>
      <c r="O1065" s="84">
        <f>IF(OR($C1065="",$H1065="",$J1065=""),0,IF(ROUND(($J1065-$H1065)*1440,0)&gt;設定!$C$46,ROUND(($J1065-$H1065)*1440,0),0))</f>
        <v/>
      </c>
      <c r="P1065" s="84">
        <f>IF(OR($C1065="",$I1065="",$K1065=""),0,IF(ROUND(($I1065-$K1065)*1440,0)&gt;設定!$C$46,ROUND(($I1065-$K1065)*1440,0),0))</f>
        <v/>
      </c>
      <c r="Q1065" s="85">
        <f>IF($M1065="",0,IF(($M1065-IFERROR(INDEX(設定!$G$6:$G$21,MATCH($G1065,設定!$B$6:$B$21,0)),0))*60&gt;=設定!$C$44,ROUND(FLOOR(($M1065-IFERROR(INDEX(設定!$G$6:$G$21,MATCH($G1065,設定!$B$6:$B$21,0)),0))*60,設定!$C$45)/60,2),0))</f>
        <v/>
      </c>
      <c r="R1065" s="16">
        <f>IF(OR($C1065="",$Q1065=0),"",IF($G1065="國","國定假日",IF($B1065="日","例假",IF($B1065="六","休息日","平日"))))</f>
        <v/>
      </c>
      <c r="S1065" s="19" t="n"/>
    </row>
    <row r="1066">
      <c r="A1066" s="82">
        <f>IF(OR(助理班表!$A39="",10&gt;DAY(EOMONTH(DATE(設定!$C$2,設定!$D$2,1),0))),"",DATE(設定!$C$2,設定!$D$2,10))</f>
        <v/>
      </c>
      <c r="B1066" s="16">
        <f>IF($A1066="","",INDEX(設定!$O$6:$O$12,WEEKDAY($A1066,1)))</f>
        <v/>
      </c>
      <c r="C1066" s="16">
        <f>IF($A1066="","",助理班表!$A39)</f>
        <v/>
      </c>
      <c r="D1066" s="16">
        <f>IF($C1066="","",助理班表!$B39)</f>
        <v/>
      </c>
      <c r="E1066" s="16">
        <f>IF($C1066="","",助理班表!$D39)</f>
        <v/>
      </c>
      <c r="F1066" s="16">
        <f>IF($C1066="","",助理班表!$C39)</f>
        <v/>
      </c>
      <c r="G1066" s="16">
        <f>IF($C1066="","",助理班表!N39)</f>
        <v/>
      </c>
      <c r="H1066" s="83">
        <f>IF($G1066="","",IFERROR(IF(INDEX(設定!$D$6:$D$21,MATCH($G1066,設定!$B$6:$B$21,0))=0,"",INDEX(設定!$D$6:$D$21,MATCH($G1066,設定!$B$6:$B$21,0))),""))</f>
        <v/>
      </c>
      <c r="I1066" s="83">
        <f>IF($G1066="","",IFERROR(IF(INDEX(設定!$E$6:$E$21,MATCH($G1066,設定!$B$6:$B$21,0))=0,"",INDEX(設定!$E$6:$E$21,MATCH($G1066,設定!$B$6:$B$21,0))),""))</f>
        <v/>
      </c>
      <c r="J1066" s="83">
        <f>IFERROR(INDEX(打卡匯入!$C$3:$C$2002,MATCH($C1066&amp;"|"&amp;DAY($A1066),打卡匯入!$E$3:$E$2002,0)),"")</f>
        <v/>
      </c>
      <c r="K1066" s="83">
        <f>IFERROR(INDEX(打卡匯入!$D$3:$D$2002,MATCH($C1066&amp;"|"&amp;DAY($A1066),打卡匯入!$E$3:$E$2002,0)),"")</f>
        <v/>
      </c>
      <c r="L1066" s="84">
        <f>IF(OR($J1066="",$K1066=""),"",IFERROR(INDEX(設定!$F$6:$F$21,MATCH($G1066,設定!$B$6:$B$21,0)),0))</f>
        <v/>
      </c>
      <c r="M1066" s="85">
        <f>IF(OR($J1066="",$K1066=""),"",ROUND(($K1066-$J1066)*24-$L1066/60,2))</f>
        <v/>
      </c>
      <c r="N1066" s="16">
        <f>IF($C1066="","",IF(AND(COUNTIF(設定!$B$15:$B$21,$G1066)&gt;0,$J1066&lt;&gt;""),"假日出勤",IF(AND(COUNTIF(設定!$B$6:$B$14,$G1066)&gt;0,$J1066=""),"未打卡",IF($J1066="","",IF($O1066&gt;0,"遲到",IF($P1066&gt;0,"早退","正常"))))))</f>
        <v/>
      </c>
      <c r="O1066" s="84">
        <f>IF(OR($C1066="",$H1066="",$J1066=""),0,IF(ROUND(($J1066-$H1066)*1440,0)&gt;設定!$C$46,ROUND(($J1066-$H1066)*1440,0),0))</f>
        <v/>
      </c>
      <c r="P1066" s="84">
        <f>IF(OR($C1066="",$I1066="",$K1066=""),0,IF(ROUND(($I1066-$K1066)*1440,0)&gt;設定!$C$46,ROUND(($I1066-$K1066)*1440,0),0))</f>
        <v/>
      </c>
      <c r="Q1066" s="85">
        <f>IF($M1066="",0,IF(($M1066-IFERROR(INDEX(設定!$G$6:$G$21,MATCH($G1066,設定!$B$6:$B$21,0)),0))*60&gt;=設定!$C$44,ROUND(FLOOR(($M1066-IFERROR(INDEX(設定!$G$6:$G$21,MATCH($G1066,設定!$B$6:$B$21,0)),0))*60,設定!$C$45)/60,2),0))</f>
        <v/>
      </c>
      <c r="R1066" s="16">
        <f>IF(OR($C1066="",$Q1066=0),"",IF($G1066="國","國定假日",IF($B1066="日","例假",IF($B1066="六","休息日","平日"))))</f>
        <v/>
      </c>
      <c r="S1066" s="19" t="n"/>
    </row>
    <row r="1067">
      <c r="A1067" s="82">
        <f>IF(OR(助理班表!$A39="",11&gt;DAY(EOMONTH(DATE(設定!$C$2,設定!$D$2,1),0))),"",DATE(設定!$C$2,設定!$D$2,11))</f>
        <v/>
      </c>
      <c r="B1067" s="16">
        <f>IF($A1067="","",INDEX(設定!$O$6:$O$12,WEEKDAY($A1067,1)))</f>
        <v/>
      </c>
      <c r="C1067" s="16">
        <f>IF($A1067="","",助理班表!$A39)</f>
        <v/>
      </c>
      <c r="D1067" s="16">
        <f>IF($C1067="","",助理班表!$B39)</f>
        <v/>
      </c>
      <c r="E1067" s="16">
        <f>IF($C1067="","",助理班表!$D39)</f>
        <v/>
      </c>
      <c r="F1067" s="16">
        <f>IF($C1067="","",助理班表!$C39)</f>
        <v/>
      </c>
      <c r="G1067" s="16">
        <f>IF($C1067="","",助理班表!O39)</f>
        <v/>
      </c>
      <c r="H1067" s="83">
        <f>IF($G1067="","",IFERROR(IF(INDEX(設定!$D$6:$D$21,MATCH($G1067,設定!$B$6:$B$21,0))=0,"",INDEX(設定!$D$6:$D$21,MATCH($G1067,設定!$B$6:$B$21,0))),""))</f>
        <v/>
      </c>
      <c r="I1067" s="83">
        <f>IF($G1067="","",IFERROR(IF(INDEX(設定!$E$6:$E$21,MATCH($G1067,設定!$B$6:$B$21,0))=0,"",INDEX(設定!$E$6:$E$21,MATCH($G1067,設定!$B$6:$B$21,0))),""))</f>
        <v/>
      </c>
      <c r="J1067" s="83">
        <f>IFERROR(INDEX(打卡匯入!$C$3:$C$2002,MATCH($C1067&amp;"|"&amp;DAY($A1067),打卡匯入!$E$3:$E$2002,0)),"")</f>
        <v/>
      </c>
      <c r="K1067" s="83">
        <f>IFERROR(INDEX(打卡匯入!$D$3:$D$2002,MATCH($C1067&amp;"|"&amp;DAY($A1067),打卡匯入!$E$3:$E$2002,0)),"")</f>
        <v/>
      </c>
      <c r="L1067" s="84">
        <f>IF(OR($J1067="",$K1067=""),"",IFERROR(INDEX(設定!$F$6:$F$21,MATCH($G1067,設定!$B$6:$B$21,0)),0))</f>
        <v/>
      </c>
      <c r="M1067" s="85">
        <f>IF(OR($J1067="",$K1067=""),"",ROUND(($K1067-$J1067)*24-$L1067/60,2))</f>
        <v/>
      </c>
      <c r="N1067" s="16">
        <f>IF($C1067="","",IF(AND(COUNTIF(設定!$B$15:$B$21,$G1067)&gt;0,$J1067&lt;&gt;""),"假日出勤",IF(AND(COUNTIF(設定!$B$6:$B$14,$G1067)&gt;0,$J1067=""),"未打卡",IF($J1067="","",IF($O1067&gt;0,"遲到",IF($P1067&gt;0,"早退","正常"))))))</f>
        <v/>
      </c>
      <c r="O1067" s="84">
        <f>IF(OR($C1067="",$H1067="",$J1067=""),0,IF(ROUND(($J1067-$H1067)*1440,0)&gt;設定!$C$46,ROUND(($J1067-$H1067)*1440,0),0))</f>
        <v/>
      </c>
      <c r="P1067" s="84">
        <f>IF(OR($C1067="",$I1067="",$K1067=""),0,IF(ROUND(($I1067-$K1067)*1440,0)&gt;設定!$C$46,ROUND(($I1067-$K1067)*1440,0),0))</f>
        <v/>
      </c>
      <c r="Q1067" s="85">
        <f>IF($M1067="",0,IF(($M1067-IFERROR(INDEX(設定!$G$6:$G$21,MATCH($G1067,設定!$B$6:$B$21,0)),0))*60&gt;=設定!$C$44,ROUND(FLOOR(($M1067-IFERROR(INDEX(設定!$G$6:$G$21,MATCH($G1067,設定!$B$6:$B$21,0)),0))*60,設定!$C$45)/60,2),0))</f>
        <v/>
      </c>
      <c r="R1067" s="16">
        <f>IF(OR($C1067="",$Q1067=0),"",IF($G1067="國","國定假日",IF($B1067="日","例假",IF($B1067="六","休息日","平日"))))</f>
        <v/>
      </c>
      <c r="S1067" s="19" t="n"/>
    </row>
    <row r="1068">
      <c r="A1068" s="82">
        <f>IF(OR(助理班表!$A39="",12&gt;DAY(EOMONTH(DATE(設定!$C$2,設定!$D$2,1),0))),"",DATE(設定!$C$2,設定!$D$2,12))</f>
        <v/>
      </c>
      <c r="B1068" s="16">
        <f>IF($A1068="","",INDEX(設定!$O$6:$O$12,WEEKDAY($A1068,1)))</f>
        <v/>
      </c>
      <c r="C1068" s="16">
        <f>IF($A1068="","",助理班表!$A39)</f>
        <v/>
      </c>
      <c r="D1068" s="16">
        <f>IF($C1068="","",助理班表!$B39)</f>
        <v/>
      </c>
      <c r="E1068" s="16">
        <f>IF($C1068="","",助理班表!$D39)</f>
        <v/>
      </c>
      <c r="F1068" s="16">
        <f>IF($C1068="","",助理班表!$C39)</f>
        <v/>
      </c>
      <c r="G1068" s="16">
        <f>IF($C1068="","",助理班表!P39)</f>
        <v/>
      </c>
      <c r="H1068" s="83">
        <f>IF($G1068="","",IFERROR(IF(INDEX(設定!$D$6:$D$21,MATCH($G1068,設定!$B$6:$B$21,0))=0,"",INDEX(設定!$D$6:$D$21,MATCH($G1068,設定!$B$6:$B$21,0))),""))</f>
        <v/>
      </c>
      <c r="I1068" s="83">
        <f>IF($G1068="","",IFERROR(IF(INDEX(設定!$E$6:$E$21,MATCH($G1068,設定!$B$6:$B$21,0))=0,"",INDEX(設定!$E$6:$E$21,MATCH($G1068,設定!$B$6:$B$21,0))),""))</f>
        <v/>
      </c>
      <c r="J1068" s="83">
        <f>IFERROR(INDEX(打卡匯入!$C$3:$C$2002,MATCH($C1068&amp;"|"&amp;DAY($A1068),打卡匯入!$E$3:$E$2002,0)),"")</f>
        <v/>
      </c>
      <c r="K1068" s="83">
        <f>IFERROR(INDEX(打卡匯入!$D$3:$D$2002,MATCH($C1068&amp;"|"&amp;DAY($A1068),打卡匯入!$E$3:$E$2002,0)),"")</f>
        <v/>
      </c>
      <c r="L1068" s="84">
        <f>IF(OR($J1068="",$K1068=""),"",IFERROR(INDEX(設定!$F$6:$F$21,MATCH($G1068,設定!$B$6:$B$21,0)),0))</f>
        <v/>
      </c>
      <c r="M1068" s="85">
        <f>IF(OR($J1068="",$K1068=""),"",ROUND(($K1068-$J1068)*24-$L1068/60,2))</f>
        <v/>
      </c>
      <c r="N1068" s="16">
        <f>IF($C1068="","",IF(AND(COUNTIF(設定!$B$15:$B$21,$G1068)&gt;0,$J1068&lt;&gt;""),"假日出勤",IF(AND(COUNTIF(設定!$B$6:$B$14,$G1068)&gt;0,$J1068=""),"未打卡",IF($J1068="","",IF($O1068&gt;0,"遲到",IF($P1068&gt;0,"早退","正常"))))))</f>
        <v/>
      </c>
      <c r="O1068" s="84">
        <f>IF(OR($C1068="",$H1068="",$J1068=""),0,IF(ROUND(($J1068-$H1068)*1440,0)&gt;設定!$C$46,ROUND(($J1068-$H1068)*1440,0),0))</f>
        <v/>
      </c>
      <c r="P1068" s="84">
        <f>IF(OR($C1068="",$I1068="",$K1068=""),0,IF(ROUND(($I1068-$K1068)*1440,0)&gt;設定!$C$46,ROUND(($I1068-$K1068)*1440,0),0))</f>
        <v/>
      </c>
      <c r="Q1068" s="85">
        <f>IF($M1068="",0,IF(($M1068-IFERROR(INDEX(設定!$G$6:$G$21,MATCH($G1068,設定!$B$6:$B$21,0)),0))*60&gt;=設定!$C$44,ROUND(FLOOR(($M1068-IFERROR(INDEX(設定!$G$6:$G$21,MATCH($G1068,設定!$B$6:$B$21,0)),0))*60,設定!$C$45)/60,2),0))</f>
        <v/>
      </c>
      <c r="R1068" s="16">
        <f>IF(OR($C1068="",$Q1068=0),"",IF($G1068="國","國定假日",IF($B1068="日","例假",IF($B1068="六","休息日","平日"))))</f>
        <v/>
      </c>
      <c r="S1068" s="19" t="n"/>
    </row>
    <row r="1069">
      <c r="A1069" s="82">
        <f>IF(OR(助理班表!$A39="",13&gt;DAY(EOMONTH(DATE(設定!$C$2,設定!$D$2,1),0))),"",DATE(設定!$C$2,設定!$D$2,13))</f>
        <v/>
      </c>
      <c r="B1069" s="16">
        <f>IF($A1069="","",INDEX(設定!$O$6:$O$12,WEEKDAY($A1069,1)))</f>
        <v/>
      </c>
      <c r="C1069" s="16">
        <f>IF($A1069="","",助理班表!$A39)</f>
        <v/>
      </c>
      <c r="D1069" s="16">
        <f>IF($C1069="","",助理班表!$B39)</f>
        <v/>
      </c>
      <c r="E1069" s="16">
        <f>IF($C1069="","",助理班表!$D39)</f>
        <v/>
      </c>
      <c r="F1069" s="16">
        <f>IF($C1069="","",助理班表!$C39)</f>
        <v/>
      </c>
      <c r="G1069" s="16">
        <f>IF($C1069="","",助理班表!Q39)</f>
        <v/>
      </c>
      <c r="H1069" s="83">
        <f>IF($G1069="","",IFERROR(IF(INDEX(設定!$D$6:$D$21,MATCH($G1069,設定!$B$6:$B$21,0))=0,"",INDEX(設定!$D$6:$D$21,MATCH($G1069,設定!$B$6:$B$21,0))),""))</f>
        <v/>
      </c>
      <c r="I1069" s="83">
        <f>IF($G1069="","",IFERROR(IF(INDEX(設定!$E$6:$E$21,MATCH($G1069,設定!$B$6:$B$21,0))=0,"",INDEX(設定!$E$6:$E$21,MATCH($G1069,設定!$B$6:$B$21,0))),""))</f>
        <v/>
      </c>
      <c r="J1069" s="83">
        <f>IFERROR(INDEX(打卡匯入!$C$3:$C$2002,MATCH($C1069&amp;"|"&amp;DAY($A1069),打卡匯入!$E$3:$E$2002,0)),"")</f>
        <v/>
      </c>
      <c r="K1069" s="83">
        <f>IFERROR(INDEX(打卡匯入!$D$3:$D$2002,MATCH($C1069&amp;"|"&amp;DAY($A1069),打卡匯入!$E$3:$E$2002,0)),"")</f>
        <v/>
      </c>
      <c r="L1069" s="84">
        <f>IF(OR($J1069="",$K1069=""),"",IFERROR(INDEX(設定!$F$6:$F$21,MATCH($G1069,設定!$B$6:$B$21,0)),0))</f>
        <v/>
      </c>
      <c r="M1069" s="85">
        <f>IF(OR($J1069="",$K1069=""),"",ROUND(($K1069-$J1069)*24-$L1069/60,2))</f>
        <v/>
      </c>
      <c r="N1069" s="16">
        <f>IF($C1069="","",IF(AND(COUNTIF(設定!$B$15:$B$21,$G1069)&gt;0,$J1069&lt;&gt;""),"假日出勤",IF(AND(COUNTIF(設定!$B$6:$B$14,$G1069)&gt;0,$J1069=""),"未打卡",IF($J1069="","",IF($O1069&gt;0,"遲到",IF($P1069&gt;0,"早退","正常"))))))</f>
        <v/>
      </c>
      <c r="O1069" s="84">
        <f>IF(OR($C1069="",$H1069="",$J1069=""),0,IF(ROUND(($J1069-$H1069)*1440,0)&gt;設定!$C$46,ROUND(($J1069-$H1069)*1440,0),0))</f>
        <v/>
      </c>
      <c r="P1069" s="84">
        <f>IF(OR($C1069="",$I1069="",$K1069=""),0,IF(ROUND(($I1069-$K1069)*1440,0)&gt;設定!$C$46,ROUND(($I1069-$K1069)*1440,0),0))</f>
        <v/>
      </c>
      <c r="Q1069" s="85">
        <f>IF($M1069="",0,IF(($M1069-IFERROR(INDEX(設定!$G$6:$G$21,MATCH($G1069,設定!$B$6:$B$21,0)),0))*60&gt;=設定!$C$44,ROUND(FLOOR(($M1069-IFERROR(INDEX(設定!$G$6:$G$21,MATCH($G1069,設定!$B$6:$B$21,0)),0))*60,設定!$C$45)/60,2),0))</f>
        <v/>
      </c>
      <c r="R1069" s="16">
        <f>IF(OR($C1069="",$Q1069=0),"",IF($G1069="國","國定假日",IF($B1069="日","例假",IF($B1069="六","休息日","平日"))))</f>
        <v/>
      </c>
      <c r="S1069" s="19" t="n"/>
    </row>
    <row r="1070">
      <c r="A1070" s="82">
        <f>IF(OR(助理班表!$A39="",14&gt;DAY(EOMONTH(DATE(設定!$C$2,設定!$D$2,1),0))),"",DATE(設定!$C$2,設定!$D$2,14))</f>
        <v/>
      </c>
      <c r="B1070" s="16">
        <f>IF($A1070="","",INDEX(設定!$O$6:$O$12,WEEKDAY($A1070,1)))</f>
        <v/>
      </c>
      <c r="C1070" s="16">
        <f>IF($A1070="","",助理班表!$A39)</f>
        <v/>
      </c>
      <c r="D1070" s="16">
        <f>IF($C1070="","",助理班表!$B39)</f>
        <v/>
      </c>
      <c r="E1070" s="16">
        <f>IF($C1070="","",助理班表!$D39)</f>
        <v/>
      </c>
      <c r="F1070" s="16">
        <f>IF($C1070="","",助理班表!$C39)</f>
        <v/>
      </c>
      <c r="G1070" s="16">
        <f>IF($C1070="","",助理班表!R39)</f>
        <v/>
      </c>
      <c r="H1070" s="83">
        <f>IF($G1070="","",IFERROR(IF(INDEX(設定!$D$6:$D$21,MATCH($G1070,設定!$B$6:$B$21,0))=0,"",INDEX(設定!$D$6:$D$21,MATCH($G1070,設定!$B$6:$B$21,0))),""))</f>
        <v/>
      </c>
      <c r="I1070" s="83">
        <f>IF($G1070="","",IFERROR(IF(INDEX(設定!$E$6:$E$21,MATCH($G1070,設定!$B$6:$B$21,0))=0,"",INDEX(設定!$E$6:$E$21,MATCH($G1070,設定!$B$6:$B$21,0))),""))</f>
        <v/>
      </c>
      <c r="J1070" s="83">
        <f>IFERROR(INDEX(打卡匯入!$C$3:$C$2002,MATCH($C1070&amp;"|"&amp;DAY($A1070),打卡匯入!$E$3:$E$2002,0)),"")</f>
        <v/>
      </c>
      <c r="K1070" s="83">
        <f>IFERROR(INDEX(打卡匯入!$D$3:$D$2002,MATCH($C1070&amp;"|"&amp;DAY($A1070),打卡匯入!$E$3:$E$2002,0)),"")</f>
        <v/>
      </c>
      <c r="L1070" s="84">
        <f>IF(OR($J1070="",$K1070=""),"",IFERROR(INDEX(設定!$F$6:$F$21,MATCH($G1070,設定!$B$6:$B$21,0)),0))</f>
        <v/>
      </c>
      <c r="M1070" s="85">
        <f>IF(OR($J1070="",$K1070=""),"",ROUND(($K1070-$J1070)*24-$L1070/60,2))</f>
        <v/>
      </c>
      <c r="N1070" s="16">
        <f>IF($C1070="","",IF(AND(COUNTIF(設定!$B$15:$B$21,$G1070)&gt;0,$J1070&lt;&gt;""),"假日出勤",IF(AND(COUNTIF(設定!$B$6:$B$14,$G1070)&gt;0,$J1070=""),"未打卡",IF($J1070="","",IF($O1070&gt;0,"遲到",IF($P1070&gt;0,"早退","正常"))))))</f>
        <v/>
      </c>
      <c r="O1070" s="84">
        <f>IF(OR($C1070="",$H1070="",$J1070=""),0,IF(ROUND(($J1070-$H1070)*1440,0)&gt;設定!$C$46,ROUND(($J1070-$H1070)*1440,0),0))</f>
        <v/>
      </c>
      <c r="P1070" s="84">
        <f>IF(OR($C1070="",$I1070="",$K1070=""),0,IF(ROUND(($I1070-$K1070)*1440,0)&gt;設定!$C$46,ROUND(($I1070-$K1070)*1440,0),0))</f>
        <v/>
      </c>
      <c r="Q1070" s="85">
        <f>IF($M1070="",0,IF(($M1070-IFERROR(INDEX(設定!$G$6:$G$21,MATCH($G1070,設定!$B$6:$B$21,0)),0))*60&gt;=設定!$C$44,ROUND(FLOOR(($M1070-IFERROR(INDEX(設定!$G$6:$G$21,MATCH($G1070,設定!$B$6:$B$21,0)),0))*60,設定!$C$45)/60,2),0))</f>
        <v/>
      </c>
      <c r="R1070" s="16">
        <f>IF(OR($C1070="",$Q1070=0),"",IF($G1070="國","國定假日",IF($B1070="日","例假",IF($B1070="六","休息日","平日"))))</f>
        <v/>
      </c>
      <c r="S1070" s="19" t="n"/>
    </row>
    <row r="1071">
      <c r="A1071" s="82">
        <f>IF(OR(助理班表!$A39="",15&gt;DAY(EOMONTH(DATE(設定!$C$2,設定!$D$2,1),0))),"",DATE(設定!$C$2,設定!$D$2,15))</f>
        <v/>
      </c>
      <c r="B1071" s="16">
        <f>IF($A1071="","",INDEX(設定!$O$6:$O$12,WEEKDAY($A1071,1)))</f>
        <v/>
      </c>
      <c r="C1071" s="16">
        <f>IF($A1071="","",助理班表!$A39)</f>
        <v/>
      </c>
      <c r="D1071" s="16">
        <f>IF($C1071="","",助理班表!$B39)</f>
        <v/>
      </c>
      <c r="E1071" s="16">
        <f>IF($C1071="","",助理班表!$D39)</f>
        <v/>
      </c>
      <c r="F1071" s="16">
        <f>IF($C1071="","",助理班表!$C39)</f>
        <v/>
      </c>
      <c r="G1071" s="16">
        <f>IF($C1071="","",助理班表!S39)</f>
        <v/>
      </c>
      <c r="H1071" s="83">
        <f>IF($G1071="","",IFERROR(IF(INDEX(設定!$D$6:$D$21,MATCH($G1071,設定!$B$6:$B$21,0))=0,"",INDEX(設定!$D$6:$D$21,MATCH($G1071,設定!$B$6:$B$21,0))),""))</f>
        <v/>
      </c>
      <c r="I1071" s="83">
        <f>IF($G1071="","",IFERROR(IF(INDEX(設定!$E$6:$E$21,MATCH($G1071,設定!$B$6:$B$21,0))=0,"",INDEX(設定!$E$6:$E$21,MATCH($G1071,設定!$B$6:$B$21,0))),""))</f>
        <v/>
      </c>
      <c r="J1071" s="83">
        <f>IFERROR(INDEX(打卡匯入!$C$3:$C$2002,MATCH($C1071&amp;"|"&amp;DAY($A1071),打卡匯入!$E$3:$E$2002,0)),"")</f>
        <v/>
      </c>
      <c r="K1071" s="83">
        <f>IFERROR(INDEX(打卡匯入!$D$3:$D$2002,MATCH($C1071&amp;"|"&amp;DAY($A1071),打卡匯入!$E$3:$E$2002,0)),"")</f>
        <v/>
      </c>
      <c r="L1071" s="84">
        <f>IF(OR($J1071="",$K1071=""),"",IFERROR(INDEX(設定!$F$6:$F$21,MATCH($G1071,設定!$B$6:$B$21,0)),0))</f>
        <v/>
      </c>
      <c r="M1071" s="85">
        <f>IF(OR($J1071="",$K1071=""),"",ROUND(($K1071-$J1071)*24-$L1071/60,2))</f>
        <v/>
      </c>
      <c r="N1071" s="16">
        <f>IF($C1071="","",IF(AND(COUNTIF(設定!$B$15:$B$21,$G1071)&gt;0,$J1071&lt;&gt;""),"假日出勤",IF(AND(COUNTIF(設定!$B$6:$B$14,$G1071)&gt;0,$J1071=""),"未打卡",IF($J1071="","",IF($O1071&gt;0,"遲到",IF($P1071&gt;0,"早退","正常"))))))</f>
        <v/>
      </c>
      <c r="O1071" s="84">
        <f>IF(OR($C1071="",$H1071="",$J1071=""),0,IF(ROUND(($J1071-$H1071)*1440,0)&gt;設定!$C$46,ROUND(($J1071-$H1071)*1440,0),0))</f>
        <v/>
      </c>
      <c r="P1071" s="84">
        <f>IF(OR($C1071="",$I1071="",$K1071=""),0,IF(ROUND(($I1071-$K1071)*1440,0)&gt;設定!$C$46,ROUND(($I1071-$K1071)*1440,0),0))</f>
        <v/>
      </c>
      <c r="Q1071" s="85">
        <f>IF($M1071="",0,IF(($M1071-IFERROR(INDEX(設定!$G$6:$G$21,MATCH($G1071,設定!$B$6:$B$21,0)),0))*60&gt;=設定!$C$44,ROUND(FLOOR(($M1071-IFERROR(INDEX(設定!$G$6:$G$21,MATCH($G1071,設定!$B$6:$B$21,0)),0))*60,設定!$C$45)/60,2),0))</f>
        <v/>
      </c>
      <c r="R1071" s="16">
        <f>IF(OR($C1071="",$Q1071=0),"",IF($G1071="國","國定假日",IF($B1071="日","例假",IF($B1071="六","休息日","平日"))))</f>
        <v/>
      </c>
      <c r="S1071" s="19" t="n"/>
    </row>
    <row r="1072">
      <c r="A1072" s="82">
        <f>IF(OR(助理班表!$A39="",16&gt;DAY(EOMONTH(DATE(設定!$C$2,設定!$D$2,1),0))),"",DATE(設定!$C$2,設定!$D$2,16))</f>
        <v/>
      </c>
      <c r="B1072" s="16">
        <f>IF($A1072="","",INDEX(設定!$O$6:$O$12,WEEKDAY($A1072,1)))</f>
        <v/>
      </c>
      <c r="C1072" s="16">
        <f>IF($A1072="","",助理班表!$A39)</f>
        <v/>
      </c>
      <c r="D1072" s="16">
        <f>IF($C1072="","",助理班表!$B39)</f>
        <v/>
      </c>
      <c r="E1072" s="16">
        <f>IF($C1072="","",助理班表!$D39)</f>
        <v/>
      </c>
      <c r="F1072" s="16">
        <f>IF($C1072="","",助理班表!$C39)</f>
        <v/>
      </c>
      <c r="G1072" s="16">
        <f>IF($C1072="","",助理班表!T39)</f>
        <v/>
      </c>
      <c r="H1072" s="83">
        <f>IF($G1072="","",IFERROR(IF(INDEX(設定!$D$6:$D$21,MATCH($G1072,設定!$B$6:$B$21,0))=0,"",INDEX(設定!$D$6:$D$21,MATCH($G1072,設定!$B$6:$B$21,0))),""))</f>
        <v/>
      </c>
      <c r="I1072" s="83">
        <f>IF($G1072="","",IFERROR(IF(INDEX(設定!$E$6:$E$21,MATCH($G1072,設定!$B$6:$B$21,0))=0,"",INDEX(設定!$E$6:$E$21,MATCH($G1072,設定!$B$6:$B$21,0))),""))</f>
        <v/>
      </c>
      <c r="J1072" s="83">
        <f>IFERROR(INDEX(打卡匯入!$C$3:$C$2002,MATCH($C1072&amp;"|"&amp;DAY($A1072),打卡匯入!$E$3:$E$2002,0)),"")</f>
        <v/>
      </c>
      <c r="K1072" s="83">
        <f>IFERROR(INDEX(打卡匯入!$D$3:$D$2002,MATCH($C1072&amp;"|"&amp;DAY($A1072),打卡匯入!$E$3:$E$2002,0)),"")</f>
        <v/>
      </c>
      <c r="L1072" s="84">
        <f>IF(OR($J1072="",$K1072=""),"",IFERROR(INDEX(設定!$F$6:$F$21,MATCH($G1072,設定!$B$6:$B$21,0)),0))</f>
        <v/>
      </c>
      <c r="M1072" s="85">
        <f>IF(OR($J1072="",$K1072=""),"",ROUND(($K1072-$J1072)*24-$L1072/60,2))</f>
        <v/>
      </c>
      <c r="N1072" s="16">
        <f>IF($C1072="","",IF(AND(COUNTIF(設定!$B$15:$B$21,$G1072)&gt;0,$J1072&lt;&gt;""),"假日出勤",IF(AND(COUNTIF(設定!$B$6:$B$14,$G1072)&gt;0,$J1072=""),"未打卡",IF($J1072="","",IF($O1072&gt;0,"遲到",IF($P1072&gt;0,"早退","正常"))))))</f>
        <v/>
      </c>
      <c r="O1072" s="84">
        <f>IF(OR($C1072="",$H1072="",$J1072=""),0,IF(ROUND(($J1072-$H1072)*1440,0)&gt;設定!$C$46,ROUND(($J1072-$H1072)*1440,0),0))</f>
        <v/>
      </c>
      <c r="P1072" s="84">
        <f>IF(OR($C1072="",$I1072="",$K1072=""),0,IF(ROUND(($I1072-$K1072)*1440,0)&gt;設定!$C$46,ROUND(($I1072-$K1072)*1440,0),0))</f>
        <v/>
      </c>
      <c r="Q1072" s="85">
        <f>IF($M1072="",0,IF(($M1072-IFERROR(INDEX(設定!$G$6:$G$21,MATCH($G1072,設定!$B$6:$B$21,0)),0))*60&gt;=設定!$C$44,ROUND(FLOOR(($M1072-IFERROR(INDEX(設定!$G$6:$G$21,MATCH($G1072,設定!$B$6:$B$21,0)),0))*60,設定!$C$45)/60,2),0))</f>
        <v/>
      </c>
      <c r="R1072" s="16">
        <f>IF(OR($C1072="",$Q1072=0),"",IF($G1072="國","國定假日",IF($B1072="日","例假",IF($B1072="六","休息日","平日"))))</f>
        <v/>
      </c>
      <c r="S1072" s="19" t="n"/>
    </row>
    <row r="1073">
      <c r="A1073" s="82">
        <f>IF(OR(助理班表!$A39="",17&gt;DAY(EOMONTH(DATE(設定!$C$2,設定!$D$2,1),0))),"",DATE(設定!$C$2,設定!$D$2,17))</f>
        <v/>
      </c>
      <c r="B1073" s="16">
        <f>IF($A1073="","",INDEX(設定!$O$6:$O$12,WEEKDAY($A1073,1)))</f>
        <v/>
      </c>
      <c r="C1073" s="16">
        <f>IF($A1073="","",助理班表!$A39)</f>
        <v/>
      </c>
      <c r="D1073" s="16">
        <f>IF($C1073="","",助理班表!$B39)</f>
        <v/>
      </c>
      <c r="E1073" s="16">
        <f>IF($C1073="","",助理班表!$D39)</f>
        <v/>
      </c>
      <c r="F1073" s="16">
        <f>IF($C1073="","",助理班表!$C39)</f>
        <v/>
      </c>
      <c r="G1073" s="16">
        <f>IF($C1073="","",助理班表!U39)</f>
        <v/>
      </c>
      <c r="H1073" s="83">
        <f>IF($G1073="","",IFERROR(IF(INDEX(設定!$D$6:$D$21,MATCH($G1073,設定!$B$6:$B$21,0))=0,"",INDEX(設定!$D$6:$D$21,MATCH($G1073,設定!$B$6:$B$21,0))),""))</f>
        <v/>
      </c>
      <c r="I1073" s="83">
        <f>IF($G1073="","",IFERROR(IF(INDEX(設定!$E$6:$E$21,MATCH($G1073,設定!$B$6:$B$21,0))=0,"",INDEX(設定!$E$6:$E$21,MATCH($G1073,設定!$B$6:$B$21,0))),""))</f>
        <v/>
      </c>
      <c r="J1073" s="83">
        <f>IFERROR(INDEX(打卡匯入!$C$3:$C$2002,MATCH($C1073&amp;"|"&amp;DAY($A1073),打卡匯入!$E$3:$E$2002,0)),"")</f>
        <v/>
      </c>
      <c r="K1073" s="83">
        <f>IFERROR(INDEX(打卡匯入!$D$3:$D$2002,MATCH($C1073&amp;"|"&amp;DAY($A1073),打卡匯入!$E$3:$E$2002,0)),"")</f>
        <v/>
      </c>
      <c r="L1073" s="84">
        <f>IF(OR($J1073="",$K1073=""),"",IFERROR(INDEX(設定!$F$6:$F$21,MATCH($G1073,設定!$B$6:$B$21,0)),0))</f>
        <v/>
      </c>
      <c r="M1073" s="85">
        <f>IF(OR($J1073="",$K1073=""),"",ROUND(($K1073-$J1073)*24-$L1073/60,2))</f>
        <v/>
      </c>
      <c r="N1073" s="16">
        <f>IF($C1073="","",IF(AND(COUNTIF(設定!$B$15:$B$21,$G1073)&gt;0,$J1073&lt;&gt;""),"假日出勤",IF(AND(COUNTIF(設定!$B$6:$B$14,$G1073)&gt;0,$J1073=""),"未打卡",IF($J1073="","",IF($O1073&gt;0,"遲到",IF($P1073&gt;0,"早退","正常"))))))</f>
        <v/>
      </c>
      <c r="O1073" s="84">
        <f>IF(OR($C1073="",$H1073="",$J1073=""),0,IF(ROUND(($J1073-$H1073)*1440,0)&gt;設定!$C$46,ROUND(($J1073-$H1073)*1440,0),0))</f>
        <v/>
      </c>
      <c r="P1073" s="84">
        <f>IF(OR($C1073="",$I1073="",$K1073=""),0,IF(ROUND(($I1073-$K1073)*1440,0)&gt;設定!$C$46,ROUND(($I1073-$K1073)*1440,0),0))</f>
        <v/>
      </c>
      <c r="Q1073" s="85">
        <f>IF($M1073="",0,IF(($M1073-IFERROR(INDEX(設定!$G$6:$G$21,MATCH($G1073,設定!$B$6:$B$21,0)),0))*60&gt;=設定!$C$44,ROUND(FLOOR(($M1073-IFERROR(INDEX(設定!$G$6:$G$21,MATCH($G1073,設定!$B$6:$B$21,0)),0))*60,設定!$C$45)/60,2),0))</f>
        <v/>
      </c>
      <c r="R1073" s="16">
        <f>IF(OR($C1073="",$Q1073=0),"",IF($G1073="國","國定假日",IF($B1073="日","例假",IF($B1073="六","休息日","平日"))))</f>
        <v/>
      </c>
      <c r="S1073" s="19" t="n"/>
    </row>
    <row r="1074">
      <c r="A1074" s="82">
        <f>IF(OR(助理班表!$A39="",18&gt;DAY(EOMONTH(DATE(設定!$C$2,設定!$D$2,1),0))),"",DATE(設定!$C$2,設定!$D$2,18))</f>
        <v/>
      </c>
      <c r="B1074" s="16">
        <f>IF($A1074="","",INDEX(設定!$O$6:$O$12,WEEKDAY($A1074,1)))</f>
        <v/>
      </c>
      <c r="C1074" s="16">
        <f>IF($A1074="","",助理班表!$A39)</f>
        <v/>
      </c>
      <c r="D1074" s="16">
        <f>IF($C1074="","",助理班表!$B39)</f>
        <v/>
      </c>
      <c r="E1074" s="16">
        <f>IF($C1074="","",助理班表!$D39)</f>
        <v/>
      </c>
      <c r="F1074" s="16">
        <f>IF($C1074="","",助理班表!$C39)</f>
        <v/>
      </c>
      <c r="G1074" s="16">
        <f>IF($C1074="","",助理班表!V39)</f>
        <v/>
      </c>
      <c r="H1074" s="83">
        <f>IF($G1074="","",IFERROR(IF(INDEX(設定!$D$6:$D$21,MATCH($G1074,設定!$B$6:$B$21,0))=0,"",INDEX(設定!$D$6:$D$21,MATCH($G1074,設定!$B$6:$B$21,0))),""))</f>
        <v/>
      </c>
      <c r="I1074" s="83">
        <f>IF($G1074="","",IFERROR(IF(INDEX(設定!$E$6:$E$21,MATCH($G1074,設定!$B$6:$B$21,0))=0,"",INDEX(設定!$E$6:$E$21,MATCH($G1074,設定!$B$6:$B$21,0))),""))</f>
        <v/>
      </c>
      <c r="J1074" s="83">
        <f>IFERROR(INDEX(打卡匯入!$C$3:$C$2002,MATCH($C1074&amp;"|"&amp;DAY($A1074),打卡匯入!$E$3:$E$2002,0)),"")</f>
        <v/>
      </c>
      <c r="K1074" s="83">
        <f>IFERROR(INDEX(打卡匯入!$D$3:$D$2002,MATCH($C1074&amp;"|"&amp;DAY($A1074),打卡匯入!$E$3:$E$2002,0)),"")</f>
        <v/>
      </c>
      <c r="L1074" s="84">
        <f>IF(OR($J1074="",$K1074=""),"",IFERROR(INDEX(設定!$F$6:$F$21,MATCH($G1074,設定!$B$6:$B$21,0)),0))</f>
        <v/>
      </c>
      <c r="M1074" s="85">
        <f>IF(OR($J1074="",$K1074=""),"",ROUND(($K1074-$J1074)*24-$L1074/60,2))</f>
        <v/>
      </c>
      <c r="N1074" s="16">
        <f>IF($C1074="","",IF(AND(COUNTIF(設定!$B$15:$B$21,$G1074)&gt;0,$J1074&lt;&gt;""),"假日出勤",IF(AND(COUNTIF(設定!$B$6:$B$14,$G1074)&gt;0,$J1074=""),"未打卡",IF($J1074="","",IF($O1074&gt;0,"遲到",IF($P1074&gt;0,"早退","正常"))))))</f>
        <v/>
      </c>
      <c r="O1074" s="84">
        <f>IF(OR($C1074="",$H1074="",$J1074=""),0,IF(ROUND(($J1074-$H1074)*1440,0)&gt;設定!$C$46,ROUND(($J1074-$H1074)*1440,0),0))</f>
        <v/>
      </c>
      <c r="P1074" s="84">
        <f>IF(OR($C1074="",$I1074="",$K1074=""),0,IF(ROUND(($I1074-$K1074)*1440,0)&gt;設定!$C$46,ROUND(($I1074-$K1074)*1440,0),0))</f>
        <v/>
      </c>
      <c r="Q1074" s="85">
        <f>IF($M1074="",0,IF(($M1074-IFERROR(INDEX(設定!$G$6:$G$21,MATCH($G1074,設定!$B$6:$B$21,0)),0))*60&gt;=設定!$C$44,ROUND(FLOOR(($M1074-IFERROR(INDEX(設定!$G$6:$G$21,MATCH($G1074,設定!$B$6:$B$21,0)),0))*60,設定!$C$45)/60,2),0))</f>
        <v/>
      </c>
      <c r="R1074" s="16">
        <f>IF(OR($C1074="",$Q1074=0),"",IF($G1074="國","國定假日",IF($B1074="日","例假",IF($B1074="六","休息日","平日"))))</f>
        <v/>
      </c>
      <c r="S1074" s="19" t="n"/>
    </row>
    <row r="1075">
      <c r="A1075" s="82">
        <f>IF(OR(助理班表!$A39="",19&gt;DAY(EOMONTH(DATE(設定!$C$2,設定!$D$2,1),0))),"",DATE(設定!$C$2,設定!$D$2,19))</f>
        <v/>
      </c>
      <c r="B1075" s="16">
        <f>IF($A1075="","",INDEX(設定!$O$6:$O$12,WEEKDAY($A1075,1)))</f>
        <v/>
      </c>
      <c r="C1075" s="16">
        <f>IF($A1075="","",助理班表!$A39)</f>
        <v/>
      </c>
      <c r="D1075" s="16">
        <f>IF($C1075="","",助理班表!$B39)</f>
        <v/>
      </c>
      <c r="E1075" s="16">
        <f>IF($C1075="","",助理班表!$D39)</f>
        <v/>
      </c>
      <c r="F1075" s="16">
        <f>IF($C1075="","",助理班表!$C39)</f>
        <v/>
      </c>
      <c r="G1075" s="16">
        <f>IF($C1075="","",助理班表!W39)</f>
        <v/>
      </c>
      <c r="H1075" s="83">
        <f>IF($G1075="","",IFERROR(IF(INDEX(設定!$D$6:$D$21,MATCH($G1075,設定!$B$6:$B$21,0))=0,"",INDEX(設定!$D$6:$D$21,MATCH($G1075,設定!$B$6:$B$21,0))),""))</f>
        <v/>
      </c>
      <c r="I1075" s="83">
        <f>IF($G1075="","",IFERROR(IF(INDEX(設定!$E$6:$E$21,MATCH($G1075,設定!$B$6:$B$21,0))=0,"",INDEX(設定!$E$6:$E$21,MATCH($G1075,設定!$B$6:$B$21,0))),""))</f>
        <v/>
      </c>
      <c r="J1075" s="83">
        <f>IFERROR(INDEX(打卡匯入!$C$3:$C$2002,MATCH($C1075&amp;"|"&amp;DAY($A1075),打卡匯入!$E$3:$E$2002,0)),"")</f>
        <v/>
      </c>
      <c r="K1075" s="83">
        <f>IFERROR(INDEX(打卡匯入!$D$3:$D$2002,MATCH($C1075&amp;"|"&amp;DAY($A1075),打卡匯入!$E$3:$E$2002,0)),"")</f>
        <v/>
      </c>
      <c r="L1075" s="84">
        <f>IF(OR($J1075="",$K1075=""),"",IFERROR(INDEX(設定!$F$6:$F$21,MATCH($G1075,設定!$B$6:$B$21,0)),0))</f>
        <v/>
      </c>
      <c r="M1075" s="85">
        <f>IF(OR($J1075="",$K1075=""),"",ROUND(($K1075-$J1075)*24-$L1075/60,2))</f>
        <v/>
      </c>
      <c r="N1075" s="16">
        <f>IF($C1075="","",IF(AND(COUNTIF(設定!$B$15:$B$21,$G1075)&gt;0,$J1075&lt;&gt;""),"假日出勤",IF(AND(COUNTIF(設定!$B$6:$B$14,$G1075)&gt;0,$J1075=""),"未打卡",IF($J1075="","",IF($O1075&gt;0,"遲到",IF($P1075&gt;0,"早退","正常"))))))</f>
        <v/>
      </c>
      <c r="O1075" s="84">
        <f>IF(OR($C1075="",$H1075="",$J1075=""),0,IF(ROUND(($J1075-$H1075)*1440,0)&gt;設定!$C$46,ROUND(($J1075-$H1075)*1440,0),0))</f>
        <v/>
      </c>
      <c r="P1075" s="84">
        <f>IF(OR($C1075="",$I1075="",$K1075=""),0,IF(ROUND(($I1075-$K1075)*1440,0)&gt;設定!$C$46,ROUND(($I1075-$K1075)*1440,0),0))</f>
        <v/>
      </c>
      <c r="Q1075" s="85">
        <f>IF($M1075="",0,IF(($M1075-IFERROR(INDEX(設定!$G$6:$G$21,MATCH($G1075,設定!$B$6:$B$21,0)),0))*60&gt;=設定!$C$44,ROUND(FLOOR(($M1075-IFERROR(INDEX(設定!$G$6:$G$21,MATCH($G1075,設定!$B$6:$B$21,0)),0))*60,設定!$C$45)/60,2),0))</f>
        <v/>
      </c>
      <c r="R1075" s="16">
        <f>IF(OR($C1075="",$Q1075=0),"",IF($G1075="國","國定假日",IF($B1075="日","例假",IF($B1075="六","休息日","平日"))))</f>
        <v/>
      </c>
      <c r="S1075" s="19" t="n"/>
    </row>
    <row r="1076">
      <c r="A1076" s="82">
        <f>IF(OR(助理班表!$A39="",20&gt;DAY(EOMONTH(DATE(設定!$C$2,設定!$D$2,1),0))),"",DATE(設定!$C$2,設定!$D$2,20))</f>
        <v/>
      </c>
      <c r="B1076" s="16">
        <f>IF($A1076="","",INDEX(設定!$O$6:$O$12,WEEKDAY($A1076,1)))</f>
        <v/>
      </c>
      <c r="C1076" s="16">
        <f>IF($A1076="","",助理班表!$A39)</f>
        <v/>
      </c>
      <c r="D1076" s="16">
        <f>IF($C1076="","",助理班表!$B39)</f>
        <v/>
      </c>
      <c r="E1076" s="16">
        <f>IF($C1076="","",助理班表!$D39)</f>
        <v/>
      </c>
      <c r="F1076" s="16">
        <f>IF($C1076="","",助理班表!$C39)</f>
        <v/>
      </c>
      <c r="G1076" s="16">
        <f>IF($C1076="","",助理班表!X39)</f>
        <v/>
      </c>
      <c r="H1076" s="83">
        <f>IF($G1076="","",IFERROR(IF(INDEX(設定!$D$6:$D$21,MATCH($G1076,設定!$B$6:$B$21,0))=0,"",INDEX(設定!$D$6:$D$21,MATCH($G1076,設定!$B$6:$B$21,0))),""))</f>
        <v/>
      </c>
      <c r="I1076" s="83">
        <f>IF($G1076="","",IFERROR(IF(INDEX(設定!$E$6:$E$21,MATCH($G1076,設定!$B$6:$B$21,0))=0,"",INDEX(設定!$E$6:$E$21,MATCH($G1076,設定!$B$6:$B$21,0))),""))</f>
        <v/>
      </c>
      <c r="J1076" s="83">
        <f>IFERROR(INDEX(打卡匯入!$C$3:$C$2002,MATCH($C1076&amp;"|"&amp;DAY($A1076),打卡匯入!$E$3:$E$2002,0)),"")</f>
        <v/>
      </c>
      <c r="K1076" s="83">
        <f>IFERROR(INDEX(打卡匯入!$D$3:$D$2002,MATCH($C1076&amp;"|"&amp;DAY($A1076),打卡匯入!$E$3:$E$2002,0)),"")</f>
        <v/>
      </c>
      <c r="L1076" s="84">
        <f>IF(OR($J1076="",$K1076=""),"",IFERROR(INDEX(設定!$F$6:$F$21,MATCH($G1076,設定!$B$6:$B$21,0)),0))</f>
        <v/>
      </c>
      <c r="M1076" s="85">
        <f>IF(OR($J1076="",$K1076=""),"",ROUND(($K1076-$J1076)*24-$L1076/60,2))</f>
        <v/>
      </c>
      <c r="N1076" s="16">
        <f>IF($C1076="","",IF(AND(COUNTIF(設定!$B$15:$B$21,$G1076)&gt;0,$J1076&lt;&gt;""),"假日出勤",IF(AND(COUNTIF(設定!$B$6:$B$14,$G1076)&gt;0,$J1076=""),"未打卡",IF($J1076="","",IF($O1076&gt;0,"遲到",IF($P1076&gt;0,"早退","正常"))))))</f>
        <v/>
      </c>
      <c r="O1076" s="84">
        <f>IF(OR($C1076="",$H1076="",$J1076=""),0,IF(ROUND(($J1076-$H1076)*1440,0)&gt;設定!$C$46,ROUND(($J1076-$H1076)*1440,0),0))</f>
        <v/>
      </c>
      <c r="P1076" s="84">
        <f>IF(OR($C1076="",$I1076="",$K1076=""),0,IF(ROUND(($I1076-$K1076)*1440,0)&gt;設定!$C$46,ROUND(($I1076-$K1076)*1440,0),0))</f>
        <v/>
      </c>
      <c r="Q1076" s="85">
        <f>IF($M1076="",0,IF(($M1076-IFERROR(INDEX(設定!$G$6:$G$21,MATCH($G1076,設定!$B$6:$B$21,0)),0))*60&gt;=設定!$C$44,ROUND(FLOOR(($M1076-IFERROR(INDEX(設定!$G$6:$G$21,MATCH($G1076,設定!$B$6:$B$21,0)),0))*60,設定!$C$45)/60,2),0))</f>
        <v/>
      </c>
      <c r="R1076" s="16">
        <f>IF(OR($C1076="",$Q1076=0),"",IF($G1076="國","國定假日",IF($B1076="日","例假",IF($B1076="六","休息日","平日"))))</f>
        <v/>
      </c>
      <c r="S1076" s="19" t="n"/>
    </row>
    <row r="1077">
      <c r="A1077" s="82">
        <f>IF(OR(助理班表!$A39="",21&gt;DAY(EOMONTH(DATE(設定!$C$2,設定!$D$2,1),0))),"",DATE(設定!$C$2,設定!$D$2,21))</f>
        <v/>
      </c>
      <c r="B1077" s="16">
        <f>IF($A1077="","",INDEX(設定!$O$6:$O$12,WEEKDAY($A1077,1)))</f>
        <v/>
      </c>
      <c r="C1077" s="16">
        <f>IF($A1077="","",助理班表!$A39)</f>
        <v/>
      </c>
      <c r="D1077" s="16">
        <f>IF($C1077="","",助理班表!$B39)</f>
        <v/>
      </c>
      <c r="E1077" s="16">
        <f>IF($C1077="","",助理班表!$D39)</f>
        <v/>
      </c>
      <c r="F1077" s="16">
        <f>IF($C1077="","",助理班表!$C39)</f>
        <v/>
      </c>
      <c r="G1077" s="16">
        <f>IF($C1077="","",助理班表!Y39)</f>
        <v/>
      </c>
      <c r="H1077" s="83">
        <f>IF($G1077="","",IFERROR(IF(INDEX(設定!$D$6:$D$21,MATCH($G1077,設定!$B$6:$B$21,0))=0,"",INDEX(設定!$D$6:$D$21,MATCH($G1077,設定!$B$6:$B$21,0))),""))</f>
        <v/>
      </c>
      <c r="I1077" s="83">
        <f>IF($G1077="","",IFERROR(IF(INDEX(設定!$E$6:$E$21,MATCH($G1077,設定!$B$6:$B$21,0))=0,"",INDEX(設定!$E$6:$E$21,MATCH($G1077,設定!$B$6:$B$21,0))),""))</f>
        <v/>
      </c>
      <c r="J1077" s="83">
        <f>IFERROR(INDEX(打卡匯入!$C$3:$C$2002,MATCH($C1077&amp;"|"&amp;DAY($A1077),打卡匯入!$E$3:$E$2002,0)),"")</f>
        <v/>
      </c>
      <c r="K1077" s="83">
        <f>IFERROR(INDEX(打卡匯入!$D$3:$D$2002,MATCH($C1077&amp;"|"&amp;DAY($A1077),打卡匯入!$E$3:$E$2002,0)),"")</f>
        <v/>
      </c>
      <c r="L1077" s="84">
        <f>IF(OR($J1077="",$K1077=""),"",IFERROR(INDEX(設定!$F$6:$F$21,MATCH($G1077,設定!$B$6:$B$21,0)),0))</f>
        <v/>
      </c>
      <c r="M1077" s="85">
        <f>IF(OR($J1077="",$K1077=""),"",ROUND(($K1077-$J1077)*24-$L1077/60,2))</f>
        <v/>
      </c>
      <c r="N1077" s="16">
        <f>IF($C1077="","",IF(AND(COUNTIF(設定!$B$15:$B$21,$G1077)&gt;0,$J1077&lt;&gt;""),"假日出勤",IF(AND(COUNTIF(設定!$B$6:$B$14,$G1077)&gt;0,$J1077=""),"未打卡",IF($J1077="","",IF($O1077&gt;0,"遲到",IF($P1077&gt;0,"早退","正常"))))))</f>
        <v/>
      </c>
      <c r="O1077" s="84">
        <f>IF(OR($C1077="",$H1077="",$J1077=""),0,IF(ROUND(($J1077-$H1077)*1440,0)&gt;設定!$C$46,ROUND(($J1077-$H1077)*1440,0),0))</f>
        <v/>
      </c>
      <c r="P1077" s="84">
        <f>IF(OR($C1077="",$I1077="",$K1077=""),0,IF(ROUND(($I1077-$K1077)*1440,0)&gt;設定!$C$46,ROUND(($I1077-$K1077)*1440,0),0))</f>
        <v/>
      </c>
      <c r="Q1077" s="85">
        <f>IF($M1077="",0,IF(($M1077-IFERROR(INDEX(設定!$G$6:$G$21,MATCH($G1077,設定!$B$6:$B$21,0)),0))*60&gt;=設定!$C$44,ROUND(FLOOR(($M1077-IFERROR(INDEX(設定!$G$6:$G$21,MATCH($G1077,設定!$B$6:$B$21,0)),0))*60,設定!$C$45)/60,2),0))</f>
        <v/>
      </c>
      <c r="R1077" s="16">
        <f>IF(OR($C1077="",$Q1077=0),"",IF($G1077="國","國定假日",IF($B1077="日","例假",IF($B1077="六","休息日","平日"))))</f>
        <v/>
      </c>
      <c r="S1077" s="19" t="n"/>
    </row>
    <row r="1078">
      <c r="A1078" s="82">
        <f>IF(OR(助理班表!$A39="",22&gt;DAY(EOMONTH(DATE(設定!$C$2,設定!$D$2,1),0))),"",DATE(設定!$C$2,設定!$D$2,22))</f>
        <v/>
      </c>
      <c r="B1078" s="16">
        <f>IF($A1078="","",INDEX(設定!$O$6:$O$12,WEEKDAY($A1078,1)))</f>
        <v/>
      </c>
      <c r="C1078" s="16">
        <f>IF($A1078="","",助理班表!$A39)</f>
        <v/>
      </c>
      <c r="D1078" s="16">
        <f>IF($C1078="","",助理班表!$B39)</f>
        <v/>
      </c>
      <c r="E1078" s="16">
        <f>IF($C1078="","",助理班表!$D39)</f>
        <v/>
      </c>
      <c r="F1078" s="16">
        <f>IF($C1078="","",助理班表!$C39)</f>
        <v/>
      </c>
      <c r="G1078" s="16">
        <f>IF($C1078="","",助理班表!Z39)</f>
        <v/>
      </c>
      <c r="H1078" s="83">
        <f>IF($G1078="","",IFERROR(IF(INDEX(設定!$D$6:$D$21,MATCH($G1078,設定!$B$6:$B$21,0))=0,"",INDEX(設定!$D$6:$D$21,MATCH($G1078,設定!$B$6:$B$21,0))),""))</f>
        <v/>
      </c>
      <c r="I1078" s="83">
        <f>IF($G1078="","",IFERROR(IF(INDEX(設定!$E$6:$E$21,MATCH($G1078,設定!$B$6:$B$21,0))=0,"",INDEX(設定!$E$6:$E$21,MATCH($G1078,設定!$B$6:$B$21,0))),""))</f>
        <v/>
      </c>
      <c r="J1078" s="83">
        <f>IFERROR(INDEX(打卡匯入!$C$3:$C$2002,MATCH($C1078&amp;"|"&amp;DAY($A1078),打卡匯入!$E$3:$E$2002,0)),"")</f>
        <v/>
      </c>
      <c r="K1078" s="83">
        <f>IFERROR(INDEX(打卡匯入!$D$3:$D$2002,MATCH($C1078&amp;"|"&amp;DAY($A1078),打卡匯入!$E$3:$E$2002,0)),"")</f>
        <v/>
      </c>
      <c r="L1078" s="84">
        <f>IF(OR($J1078="",$K1078=""),"",IFERROR(INDEX(設定!$F$6:$F$21,MATCH($G1078,設定!$B$6:$B$21,0)),0))</f>
        <v/>
      </c>
      <c r="M1078" s="85">
        <f>IF(OR($J1078="",$K1078=""),"",ROUND(($K1078-$J1078)*24-$L1078/60,2))</f>
        <v/>
      </c>
      <c r="N1078" s="16">
        <f>IF($C1078="","",IF(AND(COUNTIF(設定!$B$15:$B$21,$G1078)&gt;0,$J1078&lt;&gt;""),"假日出勤",IF(AND(COUNTIF(設定!$B$6:$B$14,$G1078)&gt;0,$J1078=""),"未打卡",IF($J1078="","",IF($O1078&gt;0,"遲到",IF($P1078&gt;0,"早退","正常"))))))</f>
        <v/>
      </c>
      <c r="O1078" s="84">
        <f>IF(OR($C1078="",$H1078="",$J1078=""),0,IF(ROUND(($J1078-$H1078)*1440,0)&gt;設定!$C$46,ROUND(($J1078-$H1078)*1440,0),0))</f>
        <v/>
      </c>
      <c r="P1078" s="84">
        <f>IF(OR($C1078="",$I1078="",$K1078=""),0,IF(ROUND(($I1078-$K1078)*1440,0)&gt;設定!$C$46,ROUND(($I1078-$K1078)*1440,0),0))</f>
        <v/>
      </c>
      <c r="Q1078" s="85">
        <f>IF($M1078="",0,IF(($M1078-IFERROR(INDEX(設定!$G$6:$G$21,MATCH($G1078,設定!$B$6:$B$21,0)),0))*60&gt;=設定!$C$44,ROUND(FLOOR(($M1078-IFERROR(INDEX(設定!$G$6:$G$21,MATCH($G1078,設定!$B$6:$B$21,0)),0))*60,設定!$C$45)/60,2),0))</f>
        <v/>
      </c>
      <c r="R1078" s="16">
        <f>IF(OR($C1078="",$Q1078=0),"",IF($G1078="國","國定假日",IF($B1078="日","例假",IF($B1078="六","休息日","平日"))))</f>
        <v/>
      </c>
      <c r="S1078" s="19" t="n"/>
    </row>
    <row r="1079">
      <c r="A1079" s="82">
        <f>IF(OR(助理班表!$A39="",23&gt;DAY(EOMONTH(DATE(設定!$C$2,設定!$D$2,1),0))),"",DATE(設定!$C$2,設定!$D$2,23))</f>
        <v/>
      </c>
      <c r="B1079" s="16">
        <f>IF($A1079="","",INDEX(設定!$O$6:$O$12,WEEKDAY($A1079,1)))</f>
        <v/>
      </c>
      <c r="C1079" s="16">
        <f>IF($A1079="","",助理班表!$A39)</f>
        <v/>
      </c>
      <c r="D1079" s="16">
        <f>IF($C1079="","",助理班表!$B39)</f>
        <v/>
      </c>
      <c r="E1079" s="16">
        <f>IF($C1079="","",助理班表!$D39)</f>
        <v/>
      </c>
      <c r="F1079" s="16">
        <f>IF($C1079="","",助理班表!$C39)</f>
        <v/>
      </c>
      <c r="G1079" s="16">
        <f>IF($C1079="","",助理班表!AA39)</f>
        <v/>
      </c>
      <c r="H1079" s="83">
        <f>IF($G1079="","",IFERROR(IF(INDEX(設定!$D$6:$D$21,MATCH($G1079,設定!$B$6:$B$21,0))=0,"",INDEX(設定!$D$6:$D$21,MATCH($G1079,設定!$B$6:$B$21,0))),""))</f>
        <v/>
      </c>
      <c r="I1079" s="83">
        <f>IF($G1079="","",IFERROR(IF(INDEX(設定!$E$6:$E$21,MATCH($G1079,設定!$B$6:$B$21,0))=0,"",INDEX(設定!$E$6:$E$21,MATCH($G1079,設定!$B$6:$B$21,0))),""))</f>
        <v/>
      </c>
      <c r="J1079" s="83">
        <f>IFERROR(INDEX(打卡匯入!$C$3:$C$2002,MATCH($C1079&amp;"|"&amp;DAY($A1079),打卡匯入!$E$3:$E$2002,0)),"")</f>
        <v/>
      </c>
      <c r="K1079" s="83">
        <f>IFERROR(INDEX(打卡匯入!$D$3:$D$2002,MATCH($C1079&amp;"|"&amp;DAY($A1079),打卡匯入!$E$3:$E$2002,0)),"")</f>
        <v/>
      </c>
      <c r="L1079" s="84">
        <f>IF(OR($J1079="",$K1079=""),"",IFERROR(INDEX(設定!$F$6:$F$21,MATCH($G1079,設定!$B$6:$B$21,0)),0))</f>
        <v/>
      </c>
      <c r="M1079" s="85">
        <f>IF(OR($J1079="",$K1079=""),"",ROUND(($K1079-$J1079)*24-$L1079/60,2))</f>
        <v/>
      </c>
      <c r="N1079" s="16">
        <f>IF($C1079="","",IF(AND(COUNTIF(設定!$B$15:$B$21,$G1079)&gt;0,$J1079&lt;&gt;""),"假日出勤",IF(AND(COUNTIF(設定!$B$6:$B$14,$G1079)&gt;0,$J1079=""),"未打卡",IF($J1079="","",IF($O1079&gt;0,"遲到",IF($P1079&gt;0,"早退","正常"))))))</f>
        <v/>
      </c>
      <c r="O1079" s="84">
        <f>IF(OR($C1079="",$H1079="",$J1079=""),0,IF(ROUND(($J1079-$H1079)*1440,0)&gt;設定!$C$46,ROUND(($J1079-$H1079)*1440,0),0))</f>
        <v/>
      </c>
      <c r="P1079" s="84">
        <f>IF(OR($C1079="",$I1079="",$K1079=""),0,IF(ROUND(($I1079-$K1079)*1440,0)&gt;設定!$C$46,ROUND(($I1079-$K1079)*1440,0),0))</f>
        <v/>
      </c>
      <c r="Q1079" s="85">
        <f>IF($M1079="",0,IF(($M1079-IFERROR(INDEX(設定!$G$6:$G$21,MATCH($G1079,設定!$B$6:$B$21,0)),0))*60&gt;=設定!$C$44,ROUND(FLOOR(($M1079-IFERROR(INDEX(設定!$G$6:$G$21,MATCH($G1079,設定!$B$6:$B$21,0)),0))*60,設定!$C$45)/60,2),0))</f>
        <v/>
      </c>
      <c r="R1079" s="16">
        <f>IF(OR($C1079="",$Q1079=0),"",IF($G1079="國","國定假日",IF($B1079="日","例假",IF($B1079="六","休息日","平日"))))</f>
        <v/>
      </c>
      <c r="S1079" s="19" t="n"/>
    </row>
    <row r="1080">
      <c r="A1080" s="82">
        <f>IF(OR(助理班表!$A39="",24&gt;DAY(EOMONTH(DATE(設定!$C$2,設定!$D$2,1),0))),"",DATE(設定!$C$2,設定!$D$2,24))</f>
        <v/>
      </c>
      <c r="B1080" s="16">
        <f>IF($A1080="","",INDEX(設定!$O$6:$O$12,WEEKDAY($A1080,1)))</f>
        <v/>
      </c>
      <c r="C1080" s="16">
        <f>IF($A1080="","",助理班表!$A39)</f>
        <v/>
      </c>
      <c r="D1080" s="16">
        <f>IF($C1080="","",助理班表!$B39)</f>
        <v/>
      </c>
      <c r="E1080" s="16">
        <f>IF($C1080="","",助理班表!$D39)</f>
        <v/>
      </c>
      <c r="F1080" s="16">
        <f>IF($C1080="","",助理班表!$C39)</f>
        <v/>
      </c>
      <c r="G1080" s="16">
        <f>IF($C1080="","",助理班表!AB39)</f>
        <v/>
      </c>
      <c r="H1080" s="83">
        <f>IF($G1080="","",IFERROR(IF(INDEX(設定!$D$6:$D$21,MATCH($G1080,設定!$B$6:$B$21,0))=0,"",INDEX(設定!$D$6:$D$21,MATCH($G1080,設定!$B$6:$B$21,0))),""))</f>
        <v/>
      </c>
      <c r="I1080" s="83">
        <f>IF($G1080="","",IFERROR(IF(INDEX(設定!$E$6:$E$21,MATCH($G1080,設定!$B$6:$B$21,0))=0,"",INDEX(設定!$E$6:$E$21,MATCH($G1080,設定!$B$6:$B$21,0))),""))</f>
        <v/>
      </c>
      <c r="J1080" s="83">
        <f>IFERROR(INDEX(打卡匯入!$C$3:$C$2002,MATCH($C1080&amp;"|"&amp;DAY($A1080),打卡匯入!$E$3:$E$2002,0)),"")</f>
        <v/>
      </c>
      <c r="K1080" s="83">
        <f>IFERROR(INDEX(打卡匯入!$D$3:$D$2002,MATCH($C1080&amp;"|"&amp;DAY($A1080),打卡匯入!$E$3:$E$2002,0)),"")</f>
        <v/>
      </c>
      <c r="L1080" s="84">
        <f>IF(OR($J1080="",$K1080=""),"",IFERROR(INDEX(設定!$F$6:$F$21,MATCH($G1080,設定!$B$6:$B$21,0)),0))</f>
        <v/>
      </c>
      <c r="M1080" s="85">
        <f>IF(OR($J1080="",$K1080=""),"",ROUND(($K1080-$J1080)*24-$L1080/60,2))</f>
        <v/>
      </c>
      <c r="N1080" s="16">
        <f>IF($C1080="","",IF(AND(COUNTIF(設定!$B$15:$B$21,$G1080)&gt;0,$J1080&lt;&gt;""),"假日出勤",IF(AND(COUNTIF(設定!$B$6:$B$14,$G1080)&gt;0,$J1080=""),"未打卡",IF($J1080="","",IF($O1080&gt;0,"遲到",IF($P1080&gt;0,"早退","正常"))))))</f>
        <v/>
      </c>
      <c r="O1080" s="84">
        <f>IF(OR($C1080="",$H1080="",$J1080=""),0,IF(ROUND(($J1080-$H1080)*1440,0)&gt;設定!$C$46,ROUND(($J1080-$H1080)*1440,0),0))</f>
        <v/>
      </c>
      <c r="P1080" s="84">
        <f>IF(OR($C1080="",$I1080="",$K1080=""),0,IF(ROUND(($I1080-$K1080)*1440,0)&gt;設定!$C$46,ROUND(($I1080-$K1080)*1440,0),0))</f>
        <v/>
      </c>
      <c r="Q1080" s="85">
        <f>IF($M1080="",0,IF(($M1080-IFERROR(INDEX(設定!$G$6:$G$21,MATCH($G1080,設定!$B$6:$B$21,0)),0))*60&gt;=設定!$C$44,ROUND(FLOOR(($M1080-IFERROR(INDEX(設定!$G$6:$G$21,MATCH($G1080,設定!$B$6:$B$21,0)),0))*60,設定!$C$45)/60,2),0))</f>
        <v/>
      </c>
      <c r="R1080" s="16">
        <f>IF(OR($C1080="",$Q1080=0),"",IF($G1080="國","國定假日",IF($B1080="日","例假",IF($B1080="六","休息日","平日"))))</f>
        <v/>
      </c>
      <c r="S1080" s="19" t="n"/>
    </row>
    <row r="1081">
      <c r="A1081" s="82">
        <f>IF(OR(助理班表!$A39="",25&gt;DAY(EOMONTH(DATE(設定!$C$2,設定!$D$2,1),0))),"",DATE(設定!$C$2,設定!$D$2,25))</f>
        <v/>
      </c>
      <c r="B1081" s="16">
        <f>IF($A1081="","",INDEX(設定!$O$6:$O$12,WEEKDAY($A1081,1)))</f>
        <v/>
      </c>
      <c r="C1081" s="16">
        <f>IF($A1081="","",助理班表!$A39)</f>
        <v/>
      </c>
      <c r="D1081" s="16">
        <f>IF($C1081="","",助理班表!$B39)</f>
        <v/>
      </c>
      <c r="E1081" s="16">
        <f>IF($C1081="","",助理班表!$D39)</f>
        <v/>
      </c>
      <c r="F1081" s="16">
        <f>IF($C1081="","",助理班表!$C39)</f>
        <v/>
      </c>
      <c r="G1081" s="16">
        <f>IF($C1081="","",助理班表!AC39)</f>
        <v/>
      </c>
      <c r="H1081" s="83">
        <f>IF($G1081="","",IFERROR(IF(INDEX(設定!$D$6:$D$21,MATCH($G1081,設定!$B$6:$B$21,0))=0,"",INDEX(設定!$D$6:$D$21,MATCH($G1081,設定!$B$6:$B$21,0))),""))</f>
        <v/>
      </c>
      <c r="I1081" s="83">
        <f>IF($G1081="","",IFERROR(IF(INDEX(設定!$E$6:$E$21,MATCH($G1081,設定!$B$6:$B$21,0))=0,"",INDEX(設定!$E$6:$E$21,MATCH($G1081,設定!$B$6:$B$21,0))),""))</f>
        <v/>
      </c>
      <c r="J1081" s="83">
        <f>IFERROR(INDEX(打卡匯入!$C$3:$C$2002,MATCH($C1081&amp;"|"&amp;DAY($A1081),打卡匯入!$E$3:$E$2002,0)),"")</f>
        <v/>
      </c>
      <c r="K1081" s="83">
        <f>IFERROR(INDEX(打卡匯入!$D$3:$D$2002,MATCH($C1081&amp;"|"&amp;DAY($A1081),打卡匯入!$E$3:$E$2002,0)),"")</f>
        <v/>
      </c>
      <c r="L1081" s="84">
        <f>IF(OR($J1081="",$K1081=""),"",IFERROR(INDEX(設定!$F$6:$F$21,MATCH($G1081,設定!$B$6:$B$21,0)),0))</f>
        <v/>
      </c>
      <c r="M1081" s="85">
        <f>IF(OR($J1081="",$K1081=""),"",ROUND(($K1081-$J1081)*24-$L1081/60,2))</f>
        <v/>
      </c>
      <c r="N1081" s="16">
        <f>IF($C1081="","",IF(AND(COUNTIF(設定!$B$15:$B$21,$G1081)&gt;0,$J1081&lt;&gt;""),"假日出勤",IF(AND(COUNTIF(設定!$B$6:$B$14,$G1081)&gt;0,$J1081=""),"未打卡",IF($J1081="","",IF($O1081&gt;0,"遲到",IF($P1081&gt;0,"早退","正常"))))))</f>
        <v/>
      </c>
      <c r="O1081" s="84">
        <f>IF(OR($C1081="",$H1081="",$J1081=""),0,IF(ROUND(($J1081-$H1081)*1440,0)&gt;設定!$C$46,ROUND(($J1081-$H1081)*1440,0),0))</f>
        <v/>
      </c>
      <c r="P1081" s="84">
        <f>IF(OR($C1081="",$I1081="",$K1081=""),0,IF(ROUND(($I1081-$K1081)*1440,0)&gt;設定!$C$46,ROUND(($I1081-$K1081)*1440,0),0))</f>
        <v/>
      </c>
      <c r="Q1081" s="85">
        <f>IF($M1081="",0,IF(($M1081-IFERROR(INDEX(設定!$G$6:$G$21,MATCH($G1081,設定!$B$6:$B$21,0)),0))*60&gt;=設定!$C$44,ROUND(FLOOR(($M1081-IFERROR(INDEX(設定!$G$6:$G$21,MATCH($G1081,設定!$B$6:$B$21,0)),0))*60,設定!$C$45)/60,2),0))</f>
        <v/>
      </c>
      <c r="R1081" s="16">
        <f>IF(OR($C1081="",$Q1081=0),"",IF($G1081="國","國定假日",IF($B1081="日","例假",IF($B1081="六","休息日","平日"))))</f>
        <v/>
      </c>
      <c r="S1081" s="19" t="n"/>
    </row>
    <row r="1082">
      <c r="A1082" s="82">
        <f>IF(OR(助理班表!$A39="",26&gt;DAY(EOMONTH(DATE(設定!$C$2,設定!$D$2,1),0))),"",DATE(設定!$C$2,設定!$D$2,26))</f>
        <v/>
      </c>
      <c r="B1082" s="16">
        <f>IF($A1082="","",INDEX(設定!$O$6:$O$12,WEEKDAY($A1082,1)))</f>
        <v/>
      </c>
      <c r="C1082" s="16">
        <f>IF($A1082="","",助理班表!$A39)</f>
        <v/>
      </c>
      <c r="D1082" s="16">
        <f>IF($C1082="","",助理班表!$B39)</f>
        <v/>
      </c>
      <c r="E1082" s="16">
        <f>IF($C1082="","",助理班表!$D39)</f>
        <v/>
      </c>
      <c r="F1082" s="16">
        <f>IF($C1082="","",助理班表!$C39)</f>
        <v/>
      </c>
      <c r="G1082" s="16">
        <f>IF($C1082="","",助理班表!AD39)</f>
        <v/>
      </c>
      <c r="H1082" s="83">
        <f>IF($G1082="","",IFERROR(IF(INDEX(設定!$D$6:$D$21,MATCH($G1082,設定!$B$6:$B$21,0))=0,"",INDEX(設定!$D$6:$D$21,MATCH($G1082,設定!$B$6:$B$21,0))),""))</f>
        <v/>
      </c>
      <c r="I1082" s="83">
        <f>IF($G1082="","",IFERROR(IF(INDEX(設定!$E$6:$E$21,MATCH($G1082,設定!$B$6:$B$21,0))=0,"",INDEX(設定!$E$6:$E$21,MATCH($G1082,設定!$B$6:$B$21,0))),""))</f>
        <v/>
      </c>
      <c r="J1082" s="83">
        <f>IFERROR(INDEX(打卡匯入!$C$3:$C$2002,MATCH($C1082&amp;"|"&amp;DAY($A1082),打卡匯入!$E$3:$E$2002,0)),"")</f>
        <v/>
      </c>
      <c r="K1082" s="83">
        <f>IFERROR(INDEX(打卡匯入!$D$3:$D$2002,MATCH($C1082&amp;"|"&amp;DAY($A1082),打卡匯入!$E$3:$E$2002,0)),"")</f>
        <v/>
      </c>
      <c r="L1082" s="84">
        <f>IF(OR($J1082="",$K1082=""),"",IFERROR(INDEX(設定!$F$6:$F$21,MATCH($G1082,設定!$B$6:$B$21,0)),0))</f>
        <v/>
      </c>
      <c r="M1082" s="85">
        <f>IF(OR($J1082="",$K1082=""),"",ROUND(($K1082-$J1082)*24-$L1082/60,2))</f>
        <v/>
      </c>
      <c r="N1082" s="16">
        <f>IF($C1082="","",IF(AND(COUNTIF(設定!$B$15:$B$21,$G1082)&gt;0,$J1082&lt;&gt;""),"假日出勤",IF(AND(COUNTIF(設定!$B$6:$B$14,$G1082)&gt;0,$J1082=""),"未打卡",IF($J1082="","",IF($O1082&gt;0,"遲到",IF($P1082&gt;0,"早退","正常"))))))</f>
        <v/>
      </c>
      <c r="O1082" s="84">
        <f>IF(OR($C1082="",$H1082="",$J1082=""),0,IF(ROUND(($J1082-$H1082)*1440,0)&gt;設定!$C$46,ROUND(($J1082-$H1082)*1440,0),0))</f>
        <v/>
      </c>
      <c r="P1082" s="84">
        <f>IF(OR($C1082="",$I1082="",$K1082=""),0,IF(ROUND(($I1082-$K1082)*1440,0)&gt;設定!$C$46,ROUND(($I1082-$K1082)*1440,0),0))</f>
        <v/>
      </c>
      <c r="Q1082" s="85">
        <f>IF($M1082="",0,IF(($M1082-IFERROR(INDEX(設定!$G$6:$G$21,MATCH($G1082,設定!$B$6:$B$21,0)),0))*60&gt;=設定!$C$44,ROUND(FLOOR(($M1082-IFERROR(INDEX(設定!$G$6:$G$21,MATCH($G1082,設定!$B$6:$B$21,0)),0))*60,設定!$C$45)/60,2),0))</f>
        <v/>
      </c>
      <c r="R1082" s="16">
        <f>IF(OR($C1082="",$Q1082=0),"",IF($G1082="國","國定假日",IF($B1082="日","例假",IF($B1082="六","休息日","平日"))))</f>
        <v/>
      </c>
      <c r="S1082" s="19" t="n"/>
    </row>
    <row r="1083">
      <c r="A1083" s="82">
        <f>IF(OR(助理班表!$A39="",27&gt;DAY(EOMONTH(DATE(設定!$C$2,設定!$D$2,1),0))),"",DATE(設定!$C$2,設定!$D$2,27))</f>
        <v/>
      </c>
      <c r="B1083" s="16">
        <f>IF($A1083="","",INDEX(設定!$O$6:$O$12,WEEKDAY($A1083,1)))</f>
        <v/>
      </c>
      <c r="C1083" s="16">
        <f>IF($A1083="","",助理班表!$A39)</f>
        <v/>
      </c>
      <c r="D1083" s="16">
        <f>IF($C1083="","",助理班表!$B39)</f>
        <v/>
      </c>
      <c r="E1083" s="16">
        <f>IF($C1083="","",助理班表!$D39)</f>
        <v/>
      </c>
      <c r="F1083" s="16">
        <f>IF($C1083="","",助理班表!$C39)</f>
        <v/>
      </c>
      <c r="G1083" s="16">
        <f>IF($C1083="","",助理班表!AE39)</f>
        <v/>
      </c>
      <c r="H1083" s="83">
        <f>IF($G1083="","",IFERROR(IF(INDEX(設定!$D$6:$D$21,MATCH($G1083,設定!$B$6:$B$21,0))=0,"",INDEX(設定!$D$6:$D$21,MATCH($G1083,設定!$B$6:$B$21,0))),""))</f>
        <v/>
      </c>
      <c r="I1083" s="83">
        <f>IF($G1083="","",IFERROR(IF(INDEX(設定!$E$6:$E$21,MATCH($G1083,設定!$B$6:$B$21,0))=0,"",INDEX(設定!$E$6:$E$21,MATCH($G1083,設定!$B$6:$B$21,0))),""))</f>
        <v/>
      </c>
      <c r="J1083" s="83">
        <f>IFERROR(INDEX(打卡匯入!$C$3:$C$2002,MATCH($C1083&amp;"|"&amp;DAY($A1083),打卡匯入!$E$3:$E$2002,0)),"")</f>
        <v/>
      </c>
      <c r="K1083" s="83">
        <f>IFERROR(INDEX(打卡匯入!$D$3:$D$2002,MATCH($C1083&amp;"|"&amp;DAY($A1083),打卡匯入!$E$3:$E$2002,0)),"")</f>
        <v/>
      </c>
      <c r="L1083" s="84">
        <f>IF(OR($J1083="",$K1083=""),"",IFERROR(INDEX(設定!$F$6:$F$21,MATCH($G1083,設定!$B$6:$B$21,0)),0))</f>
        <v/>
      </c>
      <c r="M1083" s="85">
        <f>IF(OR($J1083="",$K1083=""),"",ROUND(($K1083-$J1083)*24-$L1083/60,2))</f>
        <v/>
      </c>
      <c r="N1083" s="16">
        <f>IF($C1083="","",IF(AND(COUNTIF(設定!$B$15:$B$21,$G1083)&gt;0,$J1083&lt;&gt;""),"假日出勤",IF(AND(COUNTIF(設定!$B$6:$B$14,$G1083)&gt;0,$J1083=""),"未打卡",IF($J1083="","",IF($O1083&gt;0,"遲到",IF($P1083&gt;0,"早退","正常"))))))</f>
        <v/>
      </c>
      <c r="O1083" s="84">
        <f>IF(OR($C1083="",$H1083="",$J1083=""),0,IF(ROUND(($J1083-$H1083)*1440,0)&gt;設定!$C$46,ROUND(($J1083-$H1083)*1440,0),0))</f>
        <v/>
      </c>
      <c r="P1083" s="84">
        <f>IF(OR($C1083="",$I1083="",$K1083=""),0,IF(ROUND(($I1083-$K1083)*1440,0)&gt;設定!$C$46,ROUND(($I1083-$K1083)*1440,0),0))</f>
        <v/>
      </c>
      <c r="Q1083" s="85">
        <f>IF($M1083="",0,IF(($M1083-IFERROR(INDEX(設定!$G$6:$G$21,MATCH($G1083,設定!$B$6:$B$21,0)),0))*60&gt;=設定!$C$44,ROUND(FLOOR(($M1083-IFERROR(INDEX(設定!$G$6:$G$21,MATCH($G1083,設定!$B$6:$B$21,0)),0))*60,設定!$C$45)/60,2),0))</f>
        <v/>
      </c>
      <c r="R1083" s="16">
        <f>IF(OR($C1083="",$Q1083=0),"",IF($G1083="國","國定假日",IF($B1083="日","例假",IF($B1083="六","休息日","平日"))))</f>
        <v/>
      </c>
      <c r="S1083" s="19" t="n"/>
    </row>
    <row r="1084">
      <c r="A1084" s="82">
        <f>IF(OR(助理班表!$A39="",28&gt;DAY(EOMONTH(DATE(設定!$C$2,設定!$D$2,1),0))),"",DATE(設定!$C$2,設定!$D$2,28))</f>
        <v/>
      </c>
      <c r="B1084" s="16">
        <f>IF($A1084="","",INDEX(設定!$O$6:$O$12,WEEKDAY($A1084,1)))</f>
        <v/>
      </c>
      <c r="C1084" s="16">
        <f>IF($A1084="","",助理班表!$A39)</f>
        <v/>
      </c>
      <c r="D1084" s="16">
        <f>IF($C1084="","",助理班表!$B39)</f>
        <v/>
      </c>
      <c r="E1084" s="16">
        <f>IF($C1084="","",助理班表!$D39)</f>
        <v/>
      </c>
      <c r="F1084" s="16">
        <f>IF($C1084="","",助理班表!$C39)</f>
        <v/>
      </c>
      <c r="G1084" s="16">
        <f>IF($C1084="","",助理班表!AF39)</f>
        <v/>
      </c>
      <c r="H1084" s="83">
        <f>IF($G1084="","",IFERROR(IF(INDEX(設定!$D$6:$D$21,MATCH($G1084,設定!$B$6:$B$21,0))=0,"",INDEX(設定!$D$6:$D$21,MATCH($G1084,設定!$B$6:$B$21,0))),""))</f>
        <v/>
      </c>
      <c r="I1084" s="83">
        <f>IF($G1084="","",IFERROR(IF(INDEX(設定!$E$6:$E$21,MATCH($G1084,設定!$B$6:$B$21,0))=0,"",INDEX(設定!$E$6:$E$21,MATCH($G1084,設定!$B$6:$B$21,0))),""))</f>
        <v/>
      </c>
      <c r="J1084" s="83">
        <f>IFERROR(INDEX(打卡匯入!$C$3:$C$2002,MATCH($C1084&amp;"|"&amp;DAY($A1084),打卡匯入!$E$3:$E$2002,0)),"")</f>
        <v/>
      </c>
      <c r="K1084" s="83">
        <f>IFERROR(INDEX(打卡匯入!$D$3:$D$2002,MATCH($C1084&amp;"|"&amp;DAY($A1084),打卡匯入!$E$3:$E$2002,0)),"")</f>
        <v/>
      </c>
      <c r="L1084" s="84">
        <f>IF(OR($J1084="",$K1084=""),"",IFERROR(INDEX(設定!$F$6:$F$21,MATCH($G1084,設定!$B$6:$B$21,0)),0))</f>
        <v/>
      </c>
      <c r="M1084" s="85">
        <f>IF(OR($J1084="",$K1084=""),"",ROUND(($K1084-$J1084)*24-$L1084/60,2))</f>
        <v/>
      </c>
      <c r="N1084" s="16">
        <f>IF($C1084="","",IF(AND(COUNTIF(設定!$B$15:$B$21,$G1084)&gt;0,$J1084&lt;&gt;""),"假日出勤",IF(AND(COUNTIF(設定!$B$6:$B$14,$G1084)&gt;0,$J1084=""),"未打卡",IF($J1084="","",IF($O1084&gt;0,"遲到",IF($P1084&gt;0,"早退","正常"))))))</f>
        <v/>
      </c>
      <c r="O1084" s="84">
        <f>IF(OR($C1084="",$H1084="",$J1084=""),0,IF(ROUND(($J1084-$H1084)*1440,0)&gt;設定!$C$46,ROUND(($J1084-$H1084)*1440,0),0))</f>
        <v/>
      </c>
      <c r="P1084" s="84">
        <f>IF(OR($C1084="",$I1084="",$K1084=""),0,IF(ROUND(($I1084-$K1084)*1440,0)&gt;設定!$C$46,ROUND(($I1084-$K1084)*1440,0),0))</f>
        <v/>
      </c>
      <c r="Q1084" s="85">
        <f>IF($M1084="",0,IF(($M1084-IFERROR(INDEX(設定!$G$6:$G$21,MATCH($G1084,設定!$B$6:$B$21,0)),0))*60&gt;=設定!$C$44,ROUND(FLOOR(($M1084-IFERROR(INDEX(設定!$G$6:$G$21,MATCH($G1084,設定!$B$6:$B$21,0)),0))*60,設定!$C$45)/60,2),0))</f>
        <v/>
      </c>
      <c r="R1084" s="16">
        <f>IF(OR($C1084="",$Q1084=0),"",IF($G1084="國","國定假日",IF($B1084="日","例假",IF($B1084="六","休息日","平日"))))</f>
        <v/>
      </c>
      <c r="S1084" s="19" t="n"/>
    </row>
    <row r="1085">
      <c r="A1085" s="82">
        <f>IF(OR(助理班表!$A39="",29&gt;DAY(EOMONTH(DATE(設定!$C$2,設定!$D$2,1),0))),"",DATE(設定!$C$2,設定!$D$2,29))</f>
        <v/>
      </c>
      <c r="B1085" s="16">
        <f>IF($A1085="","",INDEX(設定!$O$6:$O$12,WEEKDAY($A1085,1)))</f>
        <v/>
      </c>
      <c r="C1085" s="16">
        <f>IF($A1085="","",助理班表!$A39)</f>
        <v/>
      </c>
      <c r="D1085" s="16">
        <f>IF($C1085="","",助理班表!$B39)</f>
        <v/>
      </c>
      <c r="E1085" s="16">
        <f>IF($C1085="","",助理班表!$D39)</f>
        <v/>
      </c>
      <c r="F1085" s="16">
        <f>IF($C1085="","",助理班表!$C39)</f>
        <v/>
      </c>
      <c r="G1085" s="16">
        <f>IF($C1085="","",助理班表!AG39)</f>
        <v/>
      </c>
      <c r="H1085" s="83">
        <f>IF($G1085="","",IFERROR(IF(INDEX(設定!$D$6:$D$21,MATCH($G1085,設定!$B$6:$B$21,0))=0,"",INDEX(設定!$D$6:$D$21,MATCH($G1085,設定!$B$6:$B$21,0))),""))</f>
        <v/>
      </c>
      <c r="I1085" s="83">
        <f>IF($G1085="","",IFERROR(IF(INDEX(設定!$E$6:$E$21,MATCH($G1085,設定!$B$6:$B$21,0))=0,"",INDEX(設定!$E$6:$E$21,MATCH($G1085,設定!$B$6:$B$21,0))),""))</f>
        <v/>
      </c>
      <c r="J1085" s="83">
        <f>IFERROR(INDEX(打卡匯入!$C$3:$C$2002,MATCH($C1085&amp;"|"&amp;DAY($A1085),打卡匯入!$E$3:$E$2002,0)),"")</f>
        <v/>
      </c>
      <c r="K1085" s="83">
        <f>IFERROR(INDEX(打卡匯入!$D$3:$D$2002,MATCH($C1085&amp;"|"&amp;DAY($A1085),打卡匯入!$E$3:$E$2002,0)),"")</f>
        <v/>
      </c>
      <c r="L1085" s="84">
        <f>IF(OR($J1085="",$K1085=""),"",IFERROR(INDEX(設定!$F$6:$F$21,MATCH($G1085,設定!$B$6:$B$21,0)),0))</f>
        <v/>
      </c>
      <c r="M1085" s="85">
        <f>IF(OR($J1085="",$K1085=""),"",ROUND(($K1085-$J1085)*24-$L1085/60,2))</f>
        <v/>
      </c>
      <c r="N1085" s="16">
        <f>IF($C1085="","",IF(AND(COUNTIF(設定!$B$15:$B$21,$G1085)&gt;0,$J1085&lt;&gt;""),"假日出勤",IF(AND(COUNTIF(設定!$B$6:$B$14,$G1085)&gt;0,$J1085=""),"未打卡",IF($J1085="","",IF($O1085&gt;0,"遲到",IF($P1085&gt;0,"早退","正常"))))))</f>
        <v/>
      </c>
      <c r="O1085" s="84">
        <f>IF(OR($C1085="",$H1085="",$J1085=""),0,IF(ROUND(($J1085-$H1085)*1440,0)&gt;設定!$C$46,ROUND(($J1085-$H1085)*1440,0),0))</f>
        <v/>
      </c>
      <c r="P1085" s="84">
        <f>IF(OR($C1085="",$I1085="",$K1085=""),0,IF(ROUND(($I1085-$K1085)*1440,0)&gt;設定!$C$46,ROUND(($I1085-$K1085)*1440,0),0))</f>
        <v/>
      </c>
      <c r="Q1085" s="85">
        <f>IF($M1085="",0,IF(($M1085-IFERROR(INDEX(設定!$G$6:$G$21,MATCH($G1085,設定!$B$6:$B$21,0)),0))*60&gt;=設定!$C$44,ROUND(FLOOR(($M1085-IFERROR(INDEX(設定!$G$6:$G$21,MATCH($G1085,設定!$B$6:$B$21,0)),0))*60,設定!$C$45)/60,2),0))</f>
        <v/>
      </c>
      <c r="R1085" s="16">
        <f>IF(OR($C1085="",$Q1085=0),"",IF($G1085="國","國定假日",IF($B1085="日","例假",IF($B1085="六","休息日","平日"))))</f>
        <v/>
      </c>
      <c r="S1085" s="19" t="n"/>
    </row>
    <row r="1086">
      <c r="A1086" s="82">
        <f>IF(OR(助理班表!$A39="",30&gt;DAY(EOMONTH(DATE(設定!$C$2,設定!$D$2,1),0))),"",DATE(設定!$C$2,設定!$D$2,30))</f>
        <v/>
      </c>
      <c r="B1086" s="16">
        <f>IF($A1086="","",INDEX(設定!$O$6:$O$12,WEEKDAY($A1086,1)))</f>
        <v/>
      </c>
      <c r="C1086" s="16">
        <f>IF($A1086="","",助理班表!$A39)</f>
        <v/>
      </c>
      <c r="D1086" s="16">
        <f>IF($C1086="","",助理班表!$B39)</f>
        <v/>
      </c>
      <c r="E1086" s="16">
        <f>IF($C1086="","",助理班表!$D39)</f>
        <v/>
      </c>
      <c r="F1086" s="16">
        <f>IF($C1086="","",助理班表!$C39)</f>
        <v/>
      </c>
      <c r="G1086" s="16">
        <f>IF($C1086="","",助理班表!AH39)</f>
        <v/>
      </c>
      <c r="H1086" s="83">
        <f>IF($G1086="","",IFERROR(IF(INDEX(設定!$D$6:$D$21,MATCH($G1086,設定!$B$6:$B$21,0))=0,"",INDEX(設定!$D$6:$D$21,MATCH($G1086,設定!$B$6:$B$21,0))),""))</f>
        <v/>
      </c>
      <c r="I1086" s="83">
        <f>IF($G1086="","",IFERROR(IF(INDEX(設定!$E$6:$E$21,MATCH($G1086,設定!$B$6:$B$21,0))=0,"",INDEX(設定!$E$6:$E$21,MATCH($G1086,設定!$B$6:$B$21,0))),""))</f>
        <v/>
      </c>
      <c r="J1086" s="83">
        <f>IFERROR(INDEX(打卡匯入!$C$3:$C$2002,MATCH($C1086&amp;"|"&amp;DAY($A1086),打卡匯入!$E$3:$E$2002,0)),"")</f>
        <v/>
      </c>
      <c r="K1086" s="83">
        <f>IFERROR(INDEX(打卡匯入!$D$3:$D$2002,MATCH($C1086&amp;"|"&amp;DAY($A1086),打卡匯入!$E$3:$E$2002,0)),"")</f>
        <v/>
      </c>
      <c r="L1086" s="84">
        <f>IF(OR($J1086="",$K1086=""),"",IFERROR(INDEX(設定!$F$6:$F$21,MATCH($G1086,設定!$B$6:$B$21,0)),0))</f>
        <v/>
      </c>
      <c r="M1086" s="85">
        <f>IF(OR($J1086="",$K1086=""),"",ROUND(($K1086-$J1086)*24-$L1086/60,2))</f>
        <v/>
      </c>
      <c r="N1086" s="16">
        <f>IF($C1086="","",IF(AND(COUNTIF(設定!$B$15:$B$21,$G1086)&gt;0,$J1086&lt;&gt;""),"假日出勤",IF(AND(COUNTIF(設定!$B$6:$B$14,$G1086)&gt;0,$J1086=""),"未打卡",IF($J1086="","",IF($O1086&gt;0,"遲到",IF($P1086&gt;0,"早退","正常"))))))</f>
        <v/>
      </c>
      <c r="O1086" s="84">
        <f>IF(OR($C1086="",$H1086="",$J1086=""),0,IF(ROUND(($J1086-$H1086)*1440,0)&gt;設定!$C$46,ROUND(($J1086-$H1086)*1440,0),0))</f>
        <v/>
      </c>
      <c r="P1086" s="84">
        <f>IF(OR($C1086="",$I1086="",$K1086=""),0,IF(ROUND(($I1086-$K1086)*1440,0)&gt;設定!$C$46,ROUND(($I1086-$K1086)*1440,0),0))</f>
        <v/>
      </c>
      <c r="Q1086" s="85">
        <f>IF($M1086="",0,IF(($M1086-IFERROR(INDEX(設定!$G$6:$G$21,MATCH($G1086,設定!$B$6:$B$21,0)),0))*60&gt;=設定!$C$44,ROUND(FLOOR(($M1086-IFERROR(INDEX(設定!$G$6:$G$21,MATCH($G1086,設定!$B$6:$B$21,0)),0))*60,設定!$C$45)/60,2),0))</f>
        <v/>
      </c>
      <c r="R1086" s="16">
        <f>IF(OR($C1086="",$Q1086=0),"",IF($G1086="國","國定假日",IF($B1086="日","例假",IF($B1086="六","休息日","平日"))))</f>
        <v/>
      </c>
      <c r="S1086" s="19" t="n"/>
    </row>
    <row r="1087">
      <c r="A1087" s="82">
        <f>IF(OR(助理班表!$A39="",31&gt;DAY(EOMONTH(DATE(設定!$C$2,設定!$D$2,1),0))),"",DATE(設定!$C$2,設定!$D$2,31))</f>
        <v/>
      </c>
      <c r="B1087" s="16">
        <f>IF($A1087="","",INDEX(設定!$O$6:$O$12,WEEKDAY($A1087,1)))</f>
        <v/>
      </c>
      <c r="C1087" s="16">
        <f>IF($A1087="","",助理班表!$A39)</f>
        <v/>
      </c>
      <c r="D1087" s="16">
        <f>IF($C1087="","",助理班表!$B39)</f>
        <v/>
      </c>
      <c r="E1087" s="16">
        <f>IF($C1087="","",助理班表!$D39)</f>
        <v/>
      </c>
      <c r="F1087" s="16">
        <f>IF($C1087="","",助理班表!$C39)</f>
        <v/>
      </c>
      <c r="G1087" s="16">
        <f>IF($C1087="","",助理班表!AI39)</f>
        <v/>
      </c>
      <c r="H1087" s="83">
        <f>IF($G1087="","",IFERROR(IF(INDEX(設定!$D$6:$D$21,MATCH($G1087,設定!$B$6:$B$21,0))=0,"",INDEX(設定!$D$6:$D$21,MATCH($G1087,設定!$B$6:$B$21,0))),""))</f>
        <v/>
      </c>
      <c r="I1087" s="83">
        <f>IF($G1087="","",IFERROR(IF(INDEX(設定!$E$6:$E$21,MATCH($G1087,設定!$B$6:$B$21,0))=0,"",INDEX(設定!$E$6:$E$21,MATCH($G1087,設定!$B$6:$B$21,0))),""))</f>
        <v/>
      </c>
      <c r="J1087" s="83">
        <f>IFERROR(INDEX(打卡匯入!$C$3:$C$2002,MATCH($C1087&amp;"|"&amp;DAY($A1087),打卡匯入!$E$3:$E$2002,0)),"")</f>
        <v/>
      </c>
      <c r="K1087" s="83">
        <f>IFERROR(INDEX(打卡匯入!$D$3:$D$2002,MATCH($C1087&amp;"|"&amp;DAY($A1087),打卡匯入!$E$3:$E$2002,0)),"")</f>
        <v/>
      </c>
      <c r="L1087" s="84">
        <f>IF(OR($J1087="",$K1087=""),"",IFERROR(INDEX(設定!$F$6:$F$21,MATCH($G1087,設定!$B$6:$B$21,0)),0))</f>
        <v/>
      </c>
      <c r="M1087" s="85">
        <f>IF(OR($J1087="",$K1087=""),"",ROUND(($K1087-$J1087)*24-$L1087/60,2))</f>
        <v/>
      </c>
      <c r="N1087" s="16">
        <f>IF($C1087="","",IF(AND(COUNTIF(設定!$B$15:$B$21,$G1087)&gt;0,$J1087&lt;&gt;""),"假日出勤",IF(AND(COUNTIF(設定!$B$6:$B$14,$G1087)&gt;0,$J1087=""),"未打卡",IF($J1087="","",IF($O1087&gt;0,"遲到",IF($P1087&gt;0,"早退","正常"))))))</f>
        <v/>
      </c>
      <c r="O1087" s="84">
        <f>IF(OR($C1087="",$H1087="",$J1087=""),0,IF(ROUND(($J1087-$H1087)*1440,0)&gt;設定!$C$46,ROUND(($J1087-$H1087)*1440,0),0))</f>
        <v/>
      </c>
      <c r="P1087" s="84">
        <f>IF(OR($C1087="",$I1087="",$K1087=""),0,IF(ROUND(($I1087-$K1087)*1440,0)&gt;設定!$C$46,ROUND(($I1087-$K1087)*1440,0),0))</f>
        <v/>
      </c>
      <c r="Q1087" s="85">
        <f>IF($M1087="",0,IF(($M1087-IFERROR(INDEX(設定!$G$6:$G$21,MATCH($G1087,設定!$B$6:$B$21,0)),0))*60&gt;=設定!$C$44,ROUND(FLOOR(($M1087-IFERROR(INDEX(設定!$G$6:$G$21,MATCH($G1087,設定!$B$6:$B$21,0)),0))*60,設定!$C$45)/60,2),0))</f>
        <v/>
      </c>
      <c r="R1087" s="16">
        <f>IF(OR($C1087="",$Q1087=0),"",IF($G1087="國","國定假日",IF($B1087="日","例假",IF($B1087="六","休息日","平日"))))</f>
        <v/>
      </c>
      <c r="S1087" s="19" t="n"/>
    </row>
    <row r="1088">
      <c r="A1088" s="82">
        <f>IF(OR(助理班表!$A40="",1&gt;DAY(EOMONTH(DATE(設定!$C$2,設定!$D$2,1),0))),"",DATE(設定!$C$2,設定!$D$2,1))</f>
        <v/>
      </c>
      <c r="B1088" s="16">
        <f>IF($A1088="","",INDEX(設定!$O$6:$O$12,WEEKDAY($A1088,1)))</f>
        <v/>
      </c>
      <c r="C1088" s="16">
        <f>IF($A1088="","",助理班表!$A40)</f>
        <v/>
      </c>
      <c r="D1088" s="16">
        <f>IF($C1088="","",助理班表!$B40)</f>
        <v/>
      </c>
      <c r="E1088" s="16">
        <f>IF($C1088="","",助理班表!$D40)</f>
        <v/>
      </c>
      <c r="F1088" s="16">
        <f>IF($C1088="","",助理班表!$C40)</f>
        <v/>
      </c>
      <c r="G1088" s="16">
        <f>IF($C1088="","",助理班表!E40)</f>
        <v/>
      </c>
      <c r="H1088" s="83">
        <f>IF($G1088="","",IFERROR(IF(INDEX(設定!$D$6:$D$21,MATCH($G1088,設定!$B$6:$B$21,0))=0,"",INDEX(設定!$D$6:$D$21,MATCH($G1088,設定!$B$6:$B$21,0))),""))</f>
        <v/>
      </c>
      <c r="I1088" s="83">
        <f>IF($G1088="","",IFERROR(IF(INDEX(設定!$E$6:$E$21,MATCH($G1088,設定!$B$6:$B$21,0))=0,"",INDEX(設定!$E$6:$E$21,MATCH($G1088,設定!$B$6:$B$21,0))),""))</f>
        <v/>
      </c>
      <c r="J1088" s="83">
        <f>IFERROR(INDEX(打卡匯入!$C$3:$C$2002,MATCH($C1088&amp;"|"&amp;DAY($A1088),打卡匯入!$E$3:$E$2002,0)),"")</f>
        <v/>
      </c>
      <c r="K1088" s="83">
        <f>IFERROR(INDEX(打卡匯入!$D$3:$D$2002,MATCH($C1088&amp;"|"&amp;DAY($A1088),打卡匯入!$E$3:$E$2002,0)),"")</f>
        <v/>
      </c>
      <c r="L1088" s="84">
        <f>IF(OR($J1088="",$K1088=""),"",IFERROR(INDEX(設定!$F$6:$F$21,MATCH($G1088,設定!$B$6:$B$21,0)),0))</f>
        <v/>
      </c>
      <c r="M1088" s="85">
        <f>IF(OR($J1088="",$K1088=""),"",ROUND(($K1088-$J1088)*24-$L1088/60,2))</f>
        <v/>
      </c>
      <c r="N1088" s="16">
        <f>IF($C1088="","",IF(AND(COUNTIF(設定!$B$15:$B$21,$G1088)&gt;0,$J1088&lt;&gt;""),"假日出勤",IF(AND(COUNTIF(設定!$B$6:$B$14,$G1088)&gt;0,$J1088=""),"未打卡",IF($J1088="","",IF($O1088&gt;0,"遲到",IF($P1088&gt;0,"早退","正常"))))))</f>
        <v/>
      </c>
      <c r="O1088" s="84">
        <f>IF(OR($C1088="",$H1088="",$J1088=""),0,IF(ROUND(($J1088-$H1088)*1440,0)&gt;設定!$C$46,ROUND(($J1088-$H1088)*1440,0),0))</f>
        <v/>
      </c>
      <c r="P1088" s="84">
        <f>IF(OR($C1088="",$I1088="",$K1088=""),0,IF(ROUND(($I1088-$K1088)*1440,0)&gt;設定!$C$46,ROUND(($I1088-$K1088)*1440,0),0))</f>
        <v/>
      </c>
      <c r="Q1088" s="85">
        <f>IF($M1088="",0,IF(($M1088-IFERROR(INDEX(設定!$G$6:$G$21,MATCH($G1088,設定!$B$6:$B$21,0)),0))*60&gt;=設定!$C$44,ROUND(FLOOR(($M1088-IFERROR(INDEX(設定!$G$6:$G$21,MATCH($G1088,設定!$B$6:$B$21,0)),0))*60,設定!$C$45)/60,2),0))</f>
        <v/>
      </c>
      <c r="R1088" s="16">
        <f>IF(OR($C1088="",$Q1088=0),"",IF($G1088="國","國定假日",IF($B1088="日","例假",IF($B1088="六","休息日","平日"))))</f>
        <v/>
      </c>
      <c r="S1088" s="19" t="n"/>
    </row>
    <row r="1089">
      <c r="A1089" s="82">
        <f>IF(OR(助理班表!$A40="",2&gt;DAY(EOMONTH(DATE(設定!$C$2,設定!$D$2,1),0))),"",DATE(設定!$C$2,設定!$D$2,2))</f>
        <v/>
      </c>
      <c r="B1089" s="16">
        <f>IF($A1089="","",INDEX(設定!$O$6:$O$12,WEEKDAY($A1089,1)))</f>
        <v/>
      </c>
      <c r="C1089" s="16">
        <f>IF($A1089="","",助理班表!$A40)</f>
        <v/>
      </c>
      <c r="D1089" s="16">
        <f>IF($C1089="","",助理班表!$B40)</f>
        <v/>
      </c>
      <c r="E1089" s="16">
        <f>IF($C1089="","",助理班表!$D40)</f>
        <v/>
      </c>
      <c r="F1089" s="16">
        <f>IF($C1089="","",助理班表!$C40)</f>
        <v/>
      </c>
      <c r="G1089" s="16">
        <f>IF($C1089="","",助理班表!F40)</f>
        <v/>
      </c>
      <c r="H1089" s="83">
        <f>IF($G1089="","",IFERROR(IF(INDEX(設定!$D$6:$D$21,MATCH($G1089,設定!$B$6:$B$21,0))=0,"",INDEX(設定!$D$6:$D$21,MATCH($G1089,設定!$B$6:$B$21,0))),""))</f>
        <v/>
      </c>
      <c r="I1089" s="83">
        <f>IF($G1089="","",IFERROR(IF(INDEX(設定!$E$6:$E$21,MATCH($G1089,設定!$B$6:$B$21,0))=0,"",INDEX(設定!$E$6:$E$21,MATCH($G1089,設定!$B$6:$B$21,0))),""))</f>
        <v/>
      </c>
      <c r="J1089" s="83">
        <f>IFERROR(INDEX(打卡匯入!$C$3:$C$2002,MATCH($C1089&amp;"|"&amp;DAY($A1089),打卡匯入!$E$3:$E$2002,0)),"")</f>
        <v/>
      </c>
      <c r="K1089" s="83">
        <f>IFERROR(INDEX(打卡匯入!$D$3:$D$2002,MATCH($C1089&amp;"|"&amp;DAY($A1089),打卡匯入!$E$3:$E$2002,0)),"")</f>
        <v/>
      </c>
      <c r="L1089" s="84">
        <f>IF(OR($J1089="",$K1089=""),"",IFERROR(INDEX(設定!$F$6:$F$21,MATCH($G1089,設定!$B$6:$B$21,0)),0))</f>
        <v/>
      </c>
      <c r="M1089" s="85">
        <f>IF(OR($J1089="",$K1089=""),"",ROUND(($K1089-$J1089)*24-$L1089/60,2))</f>
        <v/>
      </c>
      <c r="N1089" s="16">
        <f>IF($C1089="","",IF(AND(COUNTIF(設定!$B$15:$B$21,$G1089)&gt;0,$J1089&lt;&gt;""),"假日出勤",IF(AND(COUNTIF(設定!$B$6:$B$14,$G1089)&gt;0,$J1089=""),"未打卡",IF($J1089="","",IF($O1089&gt;0,"遲到",IF($P1089&gt;0,"早退","正常"))))))</f>
        <v/>
      </c>
      <c r="O1089" s="84">
        <f>IF(OR($C1089="",$H1089="",$J1089=""),0,IF(ROUND(($J1089-$H1089)*1440,0)&gt;設定!$C$46,ROUND(($J1089-$H1089)*1440,0),0))</f>
        <v/>
      </c>
      <c r="P1089" s="84">
        <f>IF(OR($C1089="",$I1089="",$K1089=""),0,IF(ROUND(($I1089-$K1089)*1440,0)&gt;設定!$C$46,ROUND(($I1089-$K1089)*1440,0),0))</f>
        <v/>
      </c>
      <c r="Q1089" s="85">
        <f>IF($M1089="",0,IF(($M1089-IFERROR(INDEX(設定!$G$6:$G$21,MATCH($G1089,設定!$B$6:$B$21,0)),0))*60&gt;=設定!$C$44,ROUND(FLOOR(($M1089-IFERROR(INDEX(設定!$G$6:$G$21,MATCH($G1089,設定!$B$6:$B$21,0)),0))*60,設定!$C$45)/60,2),0))</f>
        <v/>
      </c>
      <c r="R1089" s="16">
        <f>IF(OR($C1089="",$Q1089=0),"",IF($G1089="國","國定假日",IF($B1089="日","例假",IF($B1089="六","休息日","平日"))))</f>
        <v/>
      </c>
      <c r="S1089" s="19" t="n"/>
    </row>
    <row r="1090">
      <c r="A1090" s="82">
        <f>IF(OR(助理班表!$A40="",3&gt;DAY(EOMONTH(DATE(設定!$C$2,設定!$D$2,1),0))),"",DATE(設定!$C$2,設定!$D$2,3))</f>
        <v/>
      </c>
      <c r="B1090" s="16">
        <f>IF($A1090="","",INDEX(設定!$O$6:$O$12,WEEKDAY($A1090,1)))</f>
        <v/>
      </c>
      <c r="C1090" s="16">
        <f>IF($A1090="","",助理班表!$A40)</f>
        <v/>
      </c>
      <c r="D1090" s="16">
        <f>IF($C1090="","",助理班表!$B40)</f>
        <v/>
      </c>
      <c r="E1090" s="16">
        <f>IF($C1090="","",助理班表!$D40)</f>
        <v/>
      </c>
      <c r="F1090" s="16">
        <f>IF($C1090="","",助理班表!$C40)</f>
        <v/>
      </c>
      <c r="G1090" s="16">
        <f>IF($C1090="","",助理班表!G40)</f>
        <v/>
      </c>
      <c r="H1090" s="83">
        <f>IF($G1090="","",IFERROR(IF(INDEX(設定!$D$6:$D$21,MATCH($G1090,設定!$B$6:$B$21,0))=0,"",INDEX(設定!$D$6:$D$21,MATCH($G1090,設定!$B$6:$B$21,0))),""))</f>
        <v/>
      </c>
      <c r="I1090" s="83">
        <f>IF($G1090="","",IFERROR(IF(INDEX(設定!$E$6:$E$21,MATCH($G1090,設定!$B$6:$B$21,0))=0,"",INDEX(設定!$E$6:$E$21,MATCH($G1090,設定!$B$6:$B$21,0))),""))</f>
        <v/>
      </c>
      <c r="J1090" s="83">
        <f>IFERROR(INDEX(打卡匯入!$C$3:$C$2002,MATCH($C1090&amp;"|"&amp;DAY($A1090),打卡匯入!$E$3:$E$2002,0)),"")</f>
        <v/>
      </c>
      <c r="K1090" s="83">
        <f>IFERROR(INDEX(打卡匯入!$D$3:$D$2002,MATCH($C1090&amp;"|"&amp;DAY($A1090),打卡匯入!$E$3:$E$2002,0)),"")</f>
        <v/>
      </c>
      <c r="L1090" s="84">
        <f>IF(OR($J1090="",$K1090=""),"",IFERROR(INDEX(設定!$F$6:$F$21,MATCH($G1090,設定!$B$6:$B$21,0)),0))</f>
        <v/>
      </c>
      <c r="M1090" s="85">
        <f>IF(OR($J1090="",$K1090=""),"",ROUND(($K1090-$J1090)*24-$L1090/60,2))</f>
        <v/>
      </c>
      <c r="N1090" s="16">
        <f>IF($C1090="","",IF(AND(COUNTIF(設定!$B$15:$B$21,$G1090)&gt;0,$J1090&lt;&gt;""),"假日出勤",IF(AND(COUNTIF(設定!$B$6:$B$14,$G1090)&gt;0,$J1090=""),"未打卡",IF($J1090="","",IF($O1090&gt;0,"遲到",IF($P1090&gt;0,"早退","正常"))))))</f>
        <v/>
      </c>
      <c r="O1090" s="84">
        <f>IF(OR($C1090="",$H1090="",$J1090=""),0,IF(ROUND(($J1090-$H1090)*1440,0)&gt;設定!$C$46,ROUND(($J1090-$H1090)*1440,0),0))</f>
        <v/>
      </c>
      <c r="P1090" s="84">
        <f>IF(OR($C1090="",$I1090="",$K1090=""),0,IF(ROUND(($I1090-$K1090)*1440,0)&gt;設定!$C$46,ROUND(($I1090-$K1090)*1440,0),0))</f>
        <v/>
      </c>
      <c r="Q1090" s="85">
        <f>IF($M1090="",0,IF(($M1090-IFERROR(INDEX(設定!$G$6:$G$21,MATCH($G1090,設定!$B$6:$B$21,0)),0))*60&gt;=設定!$C$44,ROUND(FLOOR(($M1090-IFERROR(INDEX(設定!$G$6:$G$21,MATCH($G1090,設定!$B$6:$B$21,0)),0))*60,設定!$C$45)/60,2),0))</f>
        <v/>
      </c>
      <c r="R1090" s="16">
        <f>IF(OR($C1090="",$Q1090=0),"",IF($G1090="國","國定假日",IF($B1090="日","例假",IF($B1090="六","休息日","平日"))))</f>
        <v/>
      </c>
      <c r="S1090" s="19" t="n"/>
    </row>
    <row r="1091">
      <c r="A1091" s="82">
        <f>IF(OR(助理班表!$A40="",4&gt;DAY(EOMONTH(DATE(設定!$C$2,設定!$D$2,1),0))),"",DATE(設定!$C$2,設定!$D$2,4))</f>
        <v/>
      </c>
      <c r="B1091" s="16">
        <f>IF($A1091="","",INDEX(設定!$O$6:$O$12,WEEKDAY($A1091,1)))</f>
        <v/>
      </c>
      <c r="C1091" s="16">
        <f>IF($A1091="","",助理班表!$A40)</f>
        <v/>
      </c>
      <c r="D1091" s="16">
        <f>IF($C1091="","",助理班表!$B40)</f>
        <v/>
      </c>
      <c r="E1091" s="16">
        <f>IF($C1091="","",助理班表!$D40)</f>
        <v/>
      </c>
      <c r="F1091" s="16">
        <f>IF($C1091="","",助理班表!$C40)</f>
        <v/>
      </c>
      <c r="G1091" s="16">
        <f>IF($C1091="","",助理班表!H40)</f>
        <v/>
      </c>
      <c r="H1091" s="83">
        <f>IF($G1091="","",IFERROR(IF(INDEX(設定!$D$6:$D$21,MATCH($G1091,設定!$B$6:$B$21,0))=0,"",INDEX(設定!$D$6:$D$21,MATCH($G1091,設定!$B$6:$B$21,0))),""))</f>
        <v/>
      </c>
      <c r="I1091" s="83">
        <f>IF($G1091="","",IFERROR(IF(INDEX(設定!$E$6:$E$21,MATCH($G1091,設定!$B$6:$B$21,0))=0,"",INDEX(設定!$E$6:$E$21,MATCH($G1091,設定!$B$6:$B$21,0))),""))</f>
        <v/>
      </c>
      <c r="J1091" s="83">
        <f>IFERROR(INDEX(打卡匯入!$C$3:$C$2002,MATCH($C1091&amp;"|"&amp;DAY($A1091),打卡匯入!$E$3:$E$2002,0)),"")</f>
        <v/>
      </c>
      <c r="K1091" s="83">
        <f>IFERROR(INDEX(打卡匯入!$D$3:$D$2002,MATCH($C1091&amp;"|"&amp;DAY($A1091),打卡匯入!$E$3:$E$2002,0)),"")</f>
        <v/>
      </c>
      <c r="L1091" s="84">
        <f>IF(OR($J1091="",$K1091=""),"",IFERROR(INDEX(設定!$F$6:$F$21,MATCH($G1091,設定!$B$6:$B$21,0)),0))</f>
        <v/>
      </c>
      <c r="M1091" s="85">
        <f>IF(OR($J1091="",$K1091=""),"",ROUND(($K1091-$J1091)*24-$L1091/60,2))</f>
        <v/>
      </c>
      <c r="N1091" s="16">
        <f>IF($C1091="","",IF(AND(COUNTIF(設定!$B$15:$B$21,$G1091)&gt;0,$J1091&lt;&gt;""),"假日出勤",IF(AND(COUNTIF(設定!$B$6:$B$14,$G1091)&gt;0,$J1091=""),"未打卡",IF($J1091="","",IF($O1091&gt;0,"遲到",IF($P1091&gt;0,"早退","正常"))))))</f>
        <v/>
      </c>
      <c r="O1091" s="84">
        <f>IF(OR($C1091="",$H1091="",$J1091=""),0,IF(ROUND(($J1091-$H1091)*1440,0)&gt;設定!$C$46,ROUND(($J1091-$H1091)*1440,0),0))</f>
        <v/>
      </c>
      <c r="P1091" s="84">
        <f>IF(OR($C1091="",$I1091="",$K1091=""),0,IF(ROUND(($I1091-$K1091)*1440,0)&gt;設定!$C$46,ROUND(($I1091-$K1091)*1440,0),0))</f>
        <v/>
      </c>
      <c r="Q1091" s="85">
        <f>IF($M1091="",0,IF(($M1091-IFERROR(INDEX(設定!$G$6:$G$21,MATCH($G1091,設定!$B$6:$B$21,0)),0))*60&gt;=設定!$C$44,ROUND(FLOOR(($M1091-IFERROR(INDEX(設定!$G$6:$G$21,MATCH($G1091,設定!$B$6:$B$21,0)),0))*60,設定!$C$45)/60,2),0))</f>
        <v/>
      </c>
      <c r="R1091" s="16">
        <f>IF(OR($C1091="",$Q1091=0),"",IF($G1091="國","國定假日",IF($B1091="日","例假",IF($B1091="六","休息日","平日"))))</f>
        <v/>
      </c>
      <c r="S1091" s="19" t="n"/>
    </row>
    <row r="1092">
      <c r="A1092" s="82">
        <f>IF(OR(助理班表!$A40="",5&gt;DAY(EOMONTH(DATE(設定!$C$2,設定!$D$2,1),0))),"",DATE(設定!$C$2,設定!$D$2,5))</f>
        <v/>
      </c>
      <c r="B1092" s="16">
        <f>IF($A1092="","",INDEX(設定!$O$6:$O$12,WEEKDAY($A1092,1)))</f>
        <v/>
      </c>
      <c r="C1092" s="16">
        <f>IF($A1092="","",助理班表!$A40)</f>
        <v/>
      </c>
      <c r="D1092" s="16">
        <f>IF($C1092="","",助理班表!$B40)</f>
        <v/>
      </c>
      <c r="E1092" s="16">
        <f>IF($C1092="","",助理班表!$D40)</f>
        <v/>
      </c>
      <c r="F1092" s="16">
        <f>IF($C1092="","",助理班表!$C40)</f>
        <v/>
      </c>
      <c r="G1092" s="16">
        <f>IF($C1092="","",助理班表!I40)</f>
        <v/>
      </c>
      <c r="H1092" s="83">
        <f>IF($G1092="","",IFERROR(IF(INDEX(設定!$D$6:$D$21,MATCH($G1092,設定!$B$6:$B$21,0))=0,"",INDEX(設定!$D$6:$D$21,MATCH($G1092,設定!$B$6:$B$21,0))),""))</f>
        <v/>
      </c>
      <c r="I1092" s="83">
        <f>IF($G1092="","",IFERROR(IF(INDEX(設定!$E$6:$E$21,MATCH($G1092,設定!$B$6:$B$21,0))=0,"",INDEX(設定!$E$6:$E$21,MATCH($G1092,設定!$B$6:$B$21,0))),""))</f>
        <v/>
      </c>
      <c r="J1092" s="83">
        <f>IFERROR(INDEX(打卡匯入!$C$3:$C$2002,MATCH($C1092&amp;"|"&amp;DAY($A1092),打卡匯入!$E$3:$E$2002,0)),"")</f>
        <v/>
      </c>
      <c r="K1092" s="83">
        <f>IFERROR(INDEX(打卡匯入!$D$3:$D$2002,MATCH($C1092&amp;"|"&amp;DAY($A1092),打卡匯入!$E$3:$E$2002,0)),"")</f>
        <v/>
      </c>
      <c r="L1092" s="84">
        <f>IF(OR($J1092="",$K1092=""),"",IFERROR(INDEX(設定!$F$6:$F$21,MATCH($G1092,設定!$B$6:$B$21,0)),0))</f>
        <v/>
      </c>
      <c r="M1092" s="85">
        <f>IF(OR($J1092="",$K1092=""),"",ROUND(($K1092-$J1092)*24-$L1092/60,2))</f>
        <v/>
      </c>
      <c r="N1092" s="16">
        <f>IF($C1092="","",IF(AND(COUNTIF(設定!$B$15:$B$21,$G1092)&gt;0,$J1092&lt;&gt;""),"假日出勤",IF(AND(COUNTIF(設定!$B$6:$B$14,$G1092)&gt;0,$J1092=""),"未打卡",IF($J1092="","",IF($O1092&gt;0,"遲到",IF($P1092&gt;0,"早退","正常"))))))</f>
        <v/>
      </c>
      <c r="O1092" s="84">
        <f>IF(OR($C1092="",$H1092="",$J1092=""),0,IF(ROUND(($J1092-$H1092)*1440,0)&gt;設定!$C$46,ROUND(($J1092-$H1092)*1440,0),0))</f>
        <v/>
      </c>
      <c r="P1092" s="84">
        <f>IF(OR($C1092="",$I1092="",$K1092=""),0,IF(ROUND(($I1092-$K1092)*1440,0)&gt;設定!$C$46,ROUND(($I1092-$K1092)*1440,0),0))</f>
        <v/>
      </c>
      <c r="Q1092" s="85">
        <f>IF($M1092="",0,IF(($M1092-IFERROR(INDEX(設定!$G$6:$G$21,MATCH($G1092,設定!$B$6:$B$21,0)),0))*60&gt;=設定!$C$44,ROUND(FLOOR(($M1092-IFERROR(INDEX(設定!$G$6:$G$21,MATCH($G1092,設定!$B$6:$B$21,0)),0))*60,設定!$C$45)/60,2),0))</f>
        <v/>
      </c>
      <c r="R1092" s="16">
        <f>IF(OR($C1092="",$Q1092=0),"",IF($G1092="國","國定假日",IF($B1092="日","例假",IF($B1092="六","休息日","平日"))))</f>
        <v/>
      </c>
      <c r="S1092" s="19" t="n"/>
    </row>
    <row r="1093">
      <c r="A1093" s="82">
        <f>IF(OR(助理班表!$A40="",6&gt;DAY(EOMONTH(DATE(設定!$C$2,設定!$D$2,1),0))),"",DATE(設定!$C$2,設定!$D$2,6))</f>
        <v/>
      </c>
      <c r="B1093" s="16">
        <f>IF($A1093="","",INDEX(設定!$O$6:$O$12,WEEKDAY($A1093,1)))</f>
        <v/>
      </c>
      <c r="C1093" s="16">
        <f>IF($A1093="","",助理班表!$A40)</f>
        <v/>
      </c>
      <c r="D1093" s="16">
        <f>IF($C1093="","",助理班表!$B40)</f>
        <v/>
      </c>
      <c r="E1093" s="16">
        <f>IF($C1093="","",助理班表!$D40)</f>
        <v/>
      </c>
      <c r="F1093" s="16">
        <f>IF($C1093="","",助理班表!$C40)</f>
        <v/>
      </c>
      <c r="G1093" s="16">
        <f>IF($C1093="","",助理班表!J40)</f>
        <v/>
      </c>
      <c r="H1093" s="83">
        <f>IF($G1093="","",IFERROR(IF(INDEX(設定!$D$6:$D$21,MATCH($G1093,設定!$B$6:$B$21,0))=0,"",INDEX(設定!$D$6:$D$21,MATCH($G1093,設定!$B$6:$B$21,0))),""))</f>
        <v/>
      </c>
      <c r="I1093" s="83">
        <f>IF($G1093="","",IFERROR(IF(INDEX(設定!$E$6:$E$21,MATCH($G1093,設定!$B$6:$B$21,0))=0,"",INDEX(設定!$E$6:$E$21,MATCH($G1093,設定!$B$6:$B$21,0))),""))</f>
        <v/>
      </c>
      <c r="J1093" s="83">
        <f>IFERROR(INDEX(打卡匯入!$C$3:$C$2002,MATCH($C1093&amp;"|"&amp;DAY($A1093),打卡匯入!$E$3:$E$2002,0)),"")</f>
        <v/>
      </c>
      <c r="K1093" s="83">
        <f>IFERROR(INDEX(打卡匯入!$D$3:$D$2002,MATCH($C1093&amp;"|"&amp;DAY($A1093),打卡匯入!$E$3:$E$2002,0)),"")</f>
        <v/>
      </c>
      <c r="L1093" s="84">
        <f>IF(OR($J1093="",$K1093=""),"",IFERROR(INDEX(設定!$F$6:$F$21,MATCH($G1093,設定!$B$6:$B$21,0)),0))</f>
        <v/>
      </c>
      <c r="M1093" s="85">
        <f>IF(OR($J1093="",$K1093=""),"",ROUND(($K1093-$J1093)*24-$L1093/60,2))</f>
        <v/>
      </c>
      <c r="N1093" s="16">
        <f>IF($C1093="","",IF(AND(COUNTIF(設定!$B$15:$B$21,$G1093)&gt;0,$J1093&lt;&gt;""),"假日出勤",IF(AND(COUNTIF(設定!$B$6:$B$14,$G1093)&gt;0,$J1093=""),"未打卡",IF($J1093="","",IF($O1093&gt;0,"遲到",IF($P1093&gt;0,"早退","正常"))))))</f>
        <v/>
      </c>
      <c r="O1093" s="84">
        <f>IF(OR($C1093="",$H1093="",$J1093=""),0,IF(ROUND(($J1093-$H1093)*1440,0)&gt;設定!$C$46,ROUND(($J1093-$H1093)*1440,0),0))</f>
        <v/>
      </c>
      <c r="P1093" s="84">
        <f>IF(OR($C1093="",$I1093="",$K1093=""),0,IF(ROUND(($I1093-$K1093)*1440,0)&gt;設定!$C$46,ROUND(($I1093-$K1093)*1440,0),0))</f>
        <v/>
      </c>
      <c r="Q1093" s="85">
        <f>IF($M1093="",0,IF(($M1093-IFERROR(INDEX(設定!$G$6:$G$21,MATCH($G1093,設定!$B$6:$B$21,0)),0))*60&gt;=設定!$C$44,ROUND(FLOOR(($M1093-IFERROR(INDEX(設定!$G$6:$G$21,MATCH($G1093,設定!$B$6:$B$21,0)),0))*60,設定!$C$45)/60,2),0))</f>
        <v/>
      </c>
      <c r="R1093" s="16">
        <f>IF(OR($C1093="",$Q1093=0),"",IF($G1093="國","國定假日",IF($B1093="日","例假",IF($B1093="六","休息日","平日"))))</f>
        <v/>
      </c>
      <c r="S1093" s="19" t="n"/>
    </row>
    <row r="1094">
      <c r="A1094" s="82">
        <f>IF(OR(助理班表!$A40="",7&gt;DAY(EOMONTH(DATE(設定!$C$2,設定!$D$2,1),0))),"",DATE(設定!$C$2,設定!$D$2,7))</f>
        <v/>
      </c>
      <c r="B1094" s="16">
        <f>IF($A1094="","",INDEX(設定!$O$6:$O$12,WEEKDAY($A1094,1)))</f>
        <v/>
      </c>
      <c r="C1094" s="16">
        <f>IF($A1094="","",助理班表!$A40)</f>
        <v/>
      </c>
      <c r="D1094" s="16">
        <f>IF($C1094="","",助理班表!$B40)</f>
        <v/>
      </c>
      <c r="E1094" s="16">
        <f>IF($C1094="","",助理班表!$D40)</f>
        <v/>
      </c>
      <c r="F1094" s="16">
        <f>IF($C1094="","",助理班表!$C40)</f>
        <v/>
      </c>
      <c r="G1094" s="16">
        <f>IF($C1094="","",助理班表!K40)</f>
        <v/>
      </c>
      <c r="H1094" s="83">
        <f>IF($G1094="","",IFERROR(IF(INDEX(設定!$D$6:$D$21,MATCH($G1094,設定!$B$6:$B$21,0))=0,"",INDEX(設定!$D$6:$D$21,MATCH($G1094,設定!$B$6:$B$21,0))),""))</f>
        <v/>
      </c>
      <c r="I1094" s="83">
        <f>IF($G1094="","",IFERROR(IF(INDEX(設定!$E$6:$E$21,MATCH($G1094,設定!$B$6:$B$21,0))=0,"",INDEX(設定!$E$6:$E$21,MATCH($G1094,設定!$B$6:$B$21,0))),""))</f>
        <v/>
      </c>
      <c r="J1094" s="83">
        <f>IFERROR(INDEX(打卡匯入!$C$3:$C$2002,MATCH($C1094&amp;"|"&amp;DAY($A1094),打卡匯入!$E$3:$E$2002,0)),"")</f>
        <v/>
      </c>
      <c r="K1094" s="83">
        <f>IFERROR(INDEX(打卡匯入!$D$3:$D$2002,MATCH($C1094&amp;"|"&amp;DAY($A1094),打卡匯入!$E$3:$E$2002,0)),"")</f>
        <v/>
      </c>
      <c r="L1094" s="84">
        <f>IF(OR($J1094="",$K1094=""),"",IFERROR(INDEX(設定!$F$6:$F$21,MATCH($G1094,設定!$B$6:$B$21,0)),0))</f>
        <v/>
      </c>
      <c r="M1094" s="85">
        <f>IF(OR($J1094="",$K1094=""),"",ROUND(($K1094-$J1094)*24-$L1094/60,2))</f>
        <v/>
      </c>
      <c r="N1094" s="16">
        <f>IF($C1094="","",IF(AND(COUNTIF(設定!$B$15:$B$21,$G1094)&gt;0,$J1094&lt;&gt;""),"假日出勤",IF(AND(COUNTIF(設定!$B$6:$B$14,$G1094)&gt;0,$J1094=""),"未打卡",IF($J1094="","",IF($O1094&gt;0,"遲到",IF($P1094&gt;0,"早退","正常"))))))</f>
        <v/>
      </c>
      <c r="O1094" s="84">
        <f>IF(OR($C1094="",$H1094="",$J1094=""),0,IF(ROUND(($J1094-$H1094)*1440,0)&gt;設定!$C$46,ROUND(($J1094-$H1094)*1440,0),0))</f>
        <v/>
      </c>
      <c r="P1094" s="84">
        <f>IF(OR($C1094="",$I1094="",$K1094=""),0,IF(ROUND(($I1094-$K1094)*1440,0)&gt;設定!$C$46,ROUND(($I1094-$K1094)*1440,0),0))</f>
        <v/>
      </c>
      <c r="Q1094" s="85">
        <f>IF($M1094="",0,IF(($M1094-IFERROR(INDEX(設定!$G$6:$G$21,MATCH($G1094,設定!$B$6:$B$21,0)),0))*60&gt;=設定!$C$44,ROUND(FLOOR(($M1094-IFERROR(INDEX(設定!$G$6:$G$21,MATCH($G1094,設定!$B$6:$B$21,0)),0))*60,設定!$C$45)/60,2),0))</f>
        <v/>
      </c>
      <c r="R1094" s="16">
        <f>IF(OR($C1094="",$Q1094=0),"",IF($G1094="國","國定假日",IF($B1094="日","例假",IF($B1094="六","休息日","平日"))))</f>
        <v/>
      </c>
      <c r="S1094" s="19" t="n"/>
    </row>
    <row r="1095">
      <c r="A1095" s="82">
        <f>IF(OR(助理班表!$A40="",8&gt;DAY(EOMONTH(DATE(設定!$C$2,設定!$D$2,1),0))),"",DATE(設定!$C$2,設定!$D$2,8))</f>
        <v/>
      </c>
      <c r="B1095" s="16">
        <f>IF($A1095="","",INDEX(設定!$O$6:$O$12,WEEKDAY($A1095,1)))</f>
        <v/>
      </c>
      <c r="C1095" s="16">
        <f>IF($A1095="","",助理班表!$A40)</f>
        <v/>
      </c>
      <c r="D1095" s="16">
        <f>IF($C1095="","",助理班表!$B40)</f>
        <v/>
      </c>
      <c r="E1095" s="16">
        <f>IF($C1095="","",助理班表!$D40)</f>
        <v/>
      </c>
      <c r="F1095" s="16">
        <f>IF($C1095="","",助理班表!$C40)</f>
        <v/>
      </c>
      <c r="G1095" s="16">
        <f>IF($C1095="","",助理班表!L40)</f>
        <v/>
      </c>
      <c r="H1095" s="83">
        <f>IF($G1095="","",IFERROR(IF(INDEX(設定!$D$6:$D$21,MATCH($G1095,設定!$B$6:$B$21,0))=0,"",INDEX(設定!$D$6:$D$21,MATCH($G1095,設定!$B$6:$B$21,0))),""))</f>
        <v/>
      </c>
      <c r="I1095" s="83">
        <f>IF($G1095="","",IFERROR(IF(INDEX(設定!$E$6:$E$21,MATCH($G1095,設定!$B$6:$B$21,0))=0,"",INDEX(設定!$E$6:$E$21,MATCH($G1095,設定!$B$6:$B$21,0))),""))</f>
        <v/>
      </c>
      <c r="J1095" s="83">
        <f>IFERROR(INDEX(打卡匯入!$C$3:$C$2002,MATCH($C1095&amp;"|"&amp;DAY($A1095),打卡匯入!$E$3:$E$2002,0)),"")</f>
        <v/>
      </c>
      <c r="K1095" s="83">
        <f>IFERROR(INDEX(打卡匯入!$D$3:$D$2002,MATCH($C1095&amp;"|"&amp;DAY($A1095),打卡匯入!$E$3:$E$2002,0)),"")</f>
        <v/>
      </c>
      <c r="L1095" s="84">
        <f>IF(OR($J1095="",$K1095=""),"",IFERROR(INDEX(設定!$F$6:$F$21,MATCH($G1095,設定!$B$6:$B$21,0)),0))</f>
        <v/>
      </c>
      <c r="M1095" s="85">
        <f>IF(OR($J1095="",$K1095=""),"",ROUND(($K1095-$J1095)*24-$L1095/60,2))</f>
        <v/>
      </c>
      <c r="N1095" s="16">
        <f>IF($C1095="","",IF(AND(COUNTIF(設定!$B$15:$B$21,$G1095)&gt;0,$J1095&lt;&gt;""),"假日出勤",IF(AND(COUNTIF(設定!$B$6:$B$14,$G1095)&gt;0,$J1095=""),"未打卡",IF($J1095="","",IF($O1095&gt;0,"遲到",IF($P1095&gt;0,"早退","正常"))))))</f>
        <v/>
      </c>
      <c r="O1095" s="84">
        <f>IF(OR($C1095="",$H1095="",$J1095=""),0,IF(ROUND(($J1095-$H1095)*1440,0)&gt;設定!$C$46,ROUND(($J1095-$H1095)*1440,0),0))</f>
        <v/>
      </c>
      <c r="P1095" s="84">
        <f>IF(OR($C1095="",$I1095="",$K1095=""),0,IF(ROUND(($I1095-$K1095)*1440,0)&gt;設定!$C$46,ROUND(($I1095-$K1095)*1440,0),0))</f>
        <v/>
      </c>
      <c r="Q1095" s="85">
        <f>IF($M1095="",0,IF(($M1095-IFERROR(INDEX(設定!$G$6:$G$21,MATCH($G1095,設定!$B$6:$B$21,0)),0))*60&gt;=設定!$C$44,ROUND(FLOOR(($M1095-IFERROR(INDEX(設定!$G$6:$G$21,MATCH($G1095,設定!$B$6:$B$21,0)),0))*60,設定!$C$45)/60,2),0))</f>
        <v/>
      </c>
      <c r="R1095" s="16">
        <f>IF(OR($C1095="",$Q1095=0),"",IF($G1095="國","國定假日",IF($B1095="日","例假",IF($B1095="六","休息日","平日"))))</f>
        <v/>
      </c>
      <c r="S1095" s="19" t="n"/>
    </row>
    <row r="1096">
      <c r="A1096" s="82">
        <f>IF(OR(助理班表!$A40="",9&gt;DAY(EOMONTH(DATE(設定!$C$2,設定!$D$2,1),0))),"",DATE(設定!$C$2,設定!$D$2,9))</f>
        <v/>
      </c>
      <c r="B1096" s="16">
        <f>IF($A1096="","",INDEX(設定!$O$6:$O$12,WEEKDAY($A1096,1)))</f>
        <v/>
      </c>
      <c r="C1096" s="16">
        <f>IF($A1096="","",助理班表!$A40)</f>
        <v/>
      </c>
      <c r="D1096" s="16">
        <f>IF($C1096="","",助理班表!$B40)</f>
        <v/>
      </c>
      <c r="E1096" s="16">
        <f>IF($C1096="","",助理班表!$D40)</f>
        <v/>
      </c>
      <c r="F1096" s="16">
        <f>IF($C1096="","",助理班表!$C40)</f>
        <v/>
      </c>
      <c r="G1096" s="16">
        <f>IF($C1096="","",助理班表!M40)</f>
        <v/>
      </c>
      <c r="H1096" s="83">
        <f>IF($G1096="","",IFERROR(IF(INDEX(設定!$D$6:$D$21,MATCH($G1096,設定!$B$6:$B$21,0))=0,"",INDEX(設定!$D$6:$D$21,MATCH($G1096,設定!$B$6:$B$21,0))),""))</f>
        <v/>
      </c>
      <c r="I1096" s="83">
        <f>IF($G1096="","",IFERROR(IF(INDEX(設定!$E$6:$E$21,MATCH($G1096,設定!$B$6:$B$21,0))=0,"",INDEX(設定!$E$6:$E$21,MATCH($G1096,設定!$B$6:$B$21,0))),""))</f>
        <v/>
      </c>
      <c r="J1096" s="83">
        <f>IFERROR(INDEX(打卡匯入!$C$3:$C$2002,MATCH($C1096&amp;"|"&amp;DAY($A1096),打卡匯入!$E$3:$E$2002,0)),"")</f>
        <v/>
      </c>
      <c r="K1096" s="83">
        <f>IFERROR(INDEX(打卡匯入!$D$3:$D$2002,MATCH($C1096&amp;"|"&amp;DAY($A1096),打卡匯入!$E$3:$E$2002,0)),"")</f>
        <v/>
      </c>
      <c r="L1096" s="84">
        <f>IF(OR($J1096="",$K1096=""),"",IFERROR(INDEX(設定!$F$6:$F$21,MATCH($G1096,設定!$B$6:$B$21,0)),0))</f>
        <v/>
      </c>
      <c r="M1096" s="85">
        <f>IF(OR($J1096="",$K1096=""),"",ROUND(($K1096-$J1096)*24-$L1096/60,2))</f>
        <v/>
      </c>
      <c r="N1096" s="16">
        <f>IF($C1096="","",IF(AND(COUNTIF(設定!$B$15:$B$21,$G1096)&gt;0,$J1096&lt;&gt;""),"假日出勤",IF(AND(COUNTIF(設定!$B$6:$B$14,$G1096)&gt;0,$J1096=""),"未打卡",IF($J1096="","",IF($O1096&gt;0,"遲到",IF($P1096&gt;0,"早退","正常"))))))</f>
        <v/>
      </c>
      <c r="O1096" s="84">
        <f>IF(OR($C1096="",$H1096="",$J1096=""),0,IF(ROUND(($J1096-$H1096)*1440,0)&gt;設定!$C$46,ROUND(($J1096-$H1096)*1440,0),0))</f>
        <v/>
      </c>
      <c r="P1096" s="84">
        <f>IF(OR($C1096="",$I1096="",$K1096=""),0,IF(ROUND(($I1096-$K1096)*1440,0)&gt;設定!$C$46,ROUND(($I1096-$K1096)*1440,0),0))</f>
        <v/>
      </c>
      <c r="Q1096" s="85">
        <f>IF($M1096="",0,IF(($M1096-IFERROR(INDEX(設定!$G$6:$G$21,MATCH($G1096,設定!$B$6:$B$21,0)),0))*60&gt;=設定!$C$44,ROUND(FLOOR(($M1096-IFERROR(INDEX(設定!$G$6:$G$21,MATCH($G1096,設定!$B$6:$B$21,0)),0))*60,設定!$C$45)/60,2),0))</f>
        <v/>
      </c>
      <c r="R1096" s="16">
        <f>IF(OR($C1096="",$Q1096=0),"",IF($G1096="國","國定假日",IF($B1096="日","例假",IF($B1096="六","休息日","平日"))))</f>
        <v/>
      </c>
      <c r="S1096" s="19" t="n"/>
    </row>
    <row r="1097">
      <c r="A1097" s="82">
        <f>IF(OR(助理班表!$A40="",10&gt;DAY(EOMONTH(DATE(設定!$C$2,設定!$D$2,1),0))),"",DATE(設定!$C$2,設定!$D$2,10))</f>
        <v/>
      </c>
      <c r="B1097" s="16">
        <f>IF($A1097="","",INDEX(設定!$O$6:$O$12,WEEKDAY($A1097,1)))</f>
        <v/>
      </c>
      <c r="C1097" s="16">
        <f>IF($A1097="","",助理班表!$A40)</f>
        <v/>
      </c>
      <c r="D1097" s="16">
        <f>IF($C1097="","",助理班表!$B40)</f>
        <v/>
      </c>
      <c r="E1097" s="16">
        <f>IF($C1097="","",助理班表!$D40)</f>
        <v/>
      </c>
      <c r="F1097" s="16">
        <f>IF($C1097="","",助理班表!$C40)</f>
        <v/>
      </c>
      <c r="G1097" s="16">
        <f>IF($C1097="","",助理班表!N40)</f>
        <v/>
      </c>
      <c r="H1097" s="83">
        <f>IF($G1097="","",IFERROR(IF(INDEX(設定!$D$6:$D$21,MATCH($G1097,設定!$B$6:$B$21,0))=0,"",INDEX(設定!$D$6:$D$21,MATCH($G1097,設定!$B$6:$B$21,0))),""))</f>
        <v/>
      </c>
      <c r="I1097" s="83">
        <f>IF($G1097="","",IFERROR(IF(INDEX(設定!$E$6:$E$21,MATCH($G1097,設定!$B$6:$B$21,0))=0,"",INDEX(設定!$E$6:$E$21,MATCH($G1097,設定!$B$6:$B$21,0))),""))</f>
        <v/>
      </c>
      <c r="J1097" s="83">
        <f>IFERROR(INDEX(打卡匯入!$C$3:$C$2002,MATCH($C1097&amp;"|"&amp;DAY($A1097),打卡匯入!$E$3:$E$2002,0)),"")</f>
        <v/>
      </c>
      <c r="K1097" s="83">
        <f>IFERROR(INDEX(打卡匯入!$D$3:$D$2002,MATCH($C1097&amp;"|"&amp;DAY($A1097),打卡匯入!$E$3:$E$2002,0)),"")</f>
        <v/>
      </c>
      <c r="L1097" s="84">
        <f>IF(OR($J1097="",$K1097=""),"",IFERROR(INDEX(設定!$F$6:$F$21,MATCH($G1097,設定!$B$6:$B$21,0)),0))</f>
        <v/>
      </c>
      <c r="M1097" s="85">
        <f>IF(OR($J1097="",$K1097=""),"",ROUND(($K1097-$J1097)*24-$L1097/60,2))</f>
        <v/>
      </c>
      <c r="N1097" s="16">
        <f>IF($C1097="","",IF(AND(COUNTIF(設定!$B$15:$B$21,$G1097)&gt;0,$J1097&lt;&gt;""),"假日出勤",IF(AND(COUNTIF(設定!$B$6:$B$14,$G1097)&gt;0,$J1097=""),"未打卡",IF($J1097="","",IF($O1097&gt;0,"遲到",IF($P1097&gt;0,"早退","正常"))))))</f>
        <v/>
      </c>
      <c r="O1097" s="84">
        <f>IF(OR($C1097="",$H1097="",$J1097=""),0,IF(ROUND(($J1097-$H1097)*1440,0)&gt;設定!$C$46,ROUND(($J1097-$H1097)*1440,0),0))</f>
        <v/>
      </c>
      <c r="P1097" s="84">
        <f>IF(OR($C1097="",$I1097="",$K1097=""),0,IF(ROUND(($I1097-$K1097)*1440,0)&gt;設定!$C$46,ROUND(($I1097-$K1097)*1440,0),0))</f>
        <v/>
      </c>
      <c r="Q1097" s="85">
        <f>IF($M1097="",0,IF(($M1097-IFERROR(INDEX(設定!$G$6:$G$21,MATCH($G1097,設定!$B$6:$B$21,0)),0))*60&gt;=設定!$C$44,ROUND(FLOOR(($M1097-IFERROR(INDEX(設定!$G$6:$G$21,MATCH($G1097,設定!$B$6:$B$21,0)),0))*60,設定!$C$45)/60,2),0))</f>
        <v/>
      </c>
      <c r="R1097" s="16">
        <f>IF(OR($C1097="",$Q1097=0),"",IF($G1097="國","國定假日",IF($B1097="日","例假",IF($B1097="六","休息日","平日"))))</f>
        <v/>
      </c>
      <c r="S1097" s="19" t="n"/>
    </row>
    <row r="1098">
      <c r="A1098" s="82">
        <f>IF(OR(助理班表!$A40="",11&gt;DAY(EOMONTH(DATE(設定!$C$2,設定!$D$2,1),0))),"",DATE(設定!$C$2,設定!$D$2,11))</f>
        <v/>
      </c>
      <c r="B1098" s="16">
        <f>IF($A1098="","",INDEX(設定!$O$6:$O$12,WEEKDAY($A1098,1)))</f>
        <v/>
      </c>
      <c r="C1098" s="16">
        <f>IF($A1098="","",助理班表!$A40)</f>
        <v/>
      </c>
      <c r="D1098" s="16">
        <f>IF($C1098="","",助理班表!$B40)</f>
        <v/>
      </c>
      <c r="E1098" s="16">
        <f>IF($C1098="","",助理班表!$D40)</f>
        <v/>
      </c>
      <c r="F1098" s="16">
        <f>IF($C1098="","",助理班表!$C40)</f>
        <v/>
      </c>
      <c r="G1098" s="16">
        <f>IF($C1098="","",助理班表!O40)</f>
        <v/>
      </c>
      <c r="H1098" s="83">
        <f>IF($G1098="","",IFERROR(IF(INDEX(設定!$D$6:$D$21,MATCH($G1098,設定!$B$6:$B$21,0))=0,"",INDEX(設定!$D$6:$D$21,MATCH($G1098,設定!$B$6:$B$21,0))),""))</f>
        <v/>
      </c>
      <c r="I1098" s="83">
        <f>IF($G1098="","",IFERROR(IF(INDEX(設定!$E$6:$E$21,MATCH($G1098,設定!$B$6:$B$21,0))=0,"",INDEX(設定!$E$6:$E$21,MATCH($G1098,設定!$B$6:$B$21,0))),""))</f>
        <v/>
      </c>
      <c r="J1098" s="83">
        <f>IFERROR(INDEX(打卡匯入!$C$3:$C$2002,MATCH($C1098&amp;"|"&amp;DAY($A1098),打卡匯入!$E$3:$E$2002,0)),"")</f>
        <v/>
      </c>
      <c r="K1098" s="83">
        <f>IFERROR(INDEX(打卡匯入!$D$3:$D$2002,MATCH($C1098&amp;"|"&amp;DAY($A1098),打卡匯入!$E$3:$E$2002,0)),"")</f>
        <v/>
      </c>
      <c r="L1098" s="84">
        <f>IF(OR($J1098="",$K1098=""),"",IFERROR(INDEX(設定!$F$6:$F$21,MATCH($G1098,設定!$B$6:$B$21,0)),0))</f>
        <v/>
      </c>
      <c r="M1098" s="85">
        <f>IF(OR($J1098="",$K1098=""),"",ROUND(($K1098-$J1098)*24-$L1098/60,2))</f>
        <v/>
      </c>
      <c r="N1098" s="16">
        <f>IF($C1098="","",IF(AND(COUNTIF(設定!$B$15:$B$21,$G1098)&gt;0,$J1098&lt;&gt;""),"假日出勤",IF(AND(COUNTIF(設定!$B$6:$B$14,$G1098)&gt;0,$J1098=""),"未打卡",IF($J1098="","",IF($O1098&gt;0,"遲到",IF($P1098&gt;0,"早退","正常"))))))</f>
        <v/>
      </c>
      <c r="O1098" s="84">
        <f>IF(OR($C1098="",$H1098="",$J1098=""),0,IF(ROUND(($J1098-$H1098)*1440,0)&gt;設定!$C$46,ROUND(($J1098-$H1098)*1440,0),0))</f>
        <v/>
      </c>
      <c r="P1098" s="84">
        <f>IF(OR($C1098="",$I1098="",$K1098=""),0,IF(ROUND(($I1098-$K1098)*1440,0)&gt;設定!$C$46,ROUND(($I1098-$K1098)*1440,0),0))</f>
        <v/>
      </c>
      <c r="Q1098" s="85">
        <f>IF($M1098="",0,IF(($M1098-IFERROR(INDEX(設定!$G$6:$G$21,MATCH($G1098,設定!$B$6:$B$21,0)),0))*60&gt;=設定!$C$44,ROUND(FLOOR(($M1098-IFERROR(INDEX(設定!$G$6:$G$21,MATCH($G1098,設定!$B$6:$B$21,0)),0))*60,設定!$C$45)/60,2),0))</f>
        <v/>
      </c>
      <c r="R1098" s="16">
        <f>IF(OR($C1098="",$Q1098=0),"",IF($G1098="國","國定假日",IF($B1098="日","例假",IF($B1098="六","休息日","平日"))))</f>
        <v/>
      </c>
      <c r="S1098" s="19" t="n"/>
    </row>
    <row r="1099">
      <c r="A1099" s="82">
        <f>IF(OR(助理班表!$A40="",12&gt;DAY(EOMONTH(DATE(設定!$C$2,設定!$D$2,1),0))),"",DATE(設定!$C$2,設定!$D$2,12))</f>
        <v/>
      </c>
      <c r="B1099" s="16">
        <f>IF($A1099="","",INDEX(設定!$O$6:$O$12,WEEKDAY($A1099,1)))</f>
        <v/>
      </c>
      <c r="C1099" s="16">
        <f>IF($A1099="","",助理班表!$A40)</f>
        <v/>
      </c>
      <c r="D1099" s="16">
        <f>IF($C1099="","",助理班表!$B40)</f>
        <v/>
      </c>
      <c r="E1099" s="16">
        <f>IF($C1099="","",助理班表!$D40)</f>
        <v/>
      </c>
      <c r="F1099" s="16">
        <f>IF($C1099="","",助理班表!$C40)</f>
        <v/>
      </c>
      <c r="G1099" s="16">
        <f>IF($C1099="","",助理班表!P40)</f>
        <v/>
      </c>
      <c r="H1099" s="83">
        <f>IF($G1099="","",IFERROR(IF(INDEX(設定!$D$6:$D$21,MATCH($G1099,設定!$B$6:$B$21,0))=0,"",INDEX(設定!$D$6:$D$21,MATCH($G1099,設定!$B$6:$B$21,0))),""))</f>
        <v/>
      </c>
      <c r="I1099" s="83">
        <f>IF($G1099="","",IFERROR(IF(INDEX(設定!$E$6:$E$21,MATCH($G1099,設定!$B$6:$B$21,0))=0,"",INDEX(設定!$E$6:$E$21,MATCH($G1099,設定!$B$6:$B$21,0))),""))</f>
        <v/>
      </c>
      <c r="J1099" s="83">
        <f>IFERROR(INDEX(打卡匯入!$C$3:$C$2002,MATCH($C1099&amp;"|"&amp;DAY($A1099),打卡匯入!$E$3:$E$2002,0)),"")</f>
        <v/>
      </c>
      <c r="K1099" s="83">
        <f>IFERROR(INDEX(打卡匯入!$D$3:$D$2002,MATCH($C1099&amp;"|"&amp;DAY($A1099),打卡匯入!$E$3:$E$2002,0)),"")</f>
        <v/>
      </c>
      <c r="L1099" s="84">
        <f>IF(OR($J1099="",$K1099=""),"",IFERROR(INDEX(設定!$F$6:$F$21,MATCH($G1099,設定!$B$6:$B$21,0)),0))</f>
        <v/>
      </c>
      <c r="M1099" s="85">
        <f>IF(OR($J1099="",$K1099=""),"",ROUND(($K1099-$J1099)*24-$L1099/60,2))</f>
        <v/>
      </c>
      <c r="N1099" s="16">
        <f>IF($C1099="","",IF(AND(COUNTIF(設定!$B$15:$B$21,$G1099)&gt;0,$J1099&lt;&gt;""),"假日出勤",IF(AND(COUNTIF(設定!$B$6:$B$14,$G1099)&gt;0,$J1099=""),"未打卡",IF($J1099="","",IF($O1099&gt;0,"遲到",IF($P1099&gt;0,"早退","正常"))))))</f>
        <v/>
      </c>
      <c r="O1099" s="84">
        <f>IF(OR($C1099="",$H1099="",$J1099=""),0,IF(ROUND(($J1099-$H1099)*1440,0)&gt;設定!$C$46,ROUND(($J1099-$H1099)*1440,0),0))</f>
        <v/>
      </c>
      <c r="P1099" s="84">
        <f>IF(OR($C1099="",$I1099="",$K1099=""),0,IF(ROUND(($I1099-$K1099)*1440,0)&gt;設定!$C$46,ROUND(($I1099-$K1099)*1440,0),0))</f>
        <v/>
      </c>
      <c r="Q1099" s="85">
        <f>IF($M1099="",0,IF(($M1099-IFERROR(INDEX(設定!$G$6:$G$21,MATCH($G1099,設定!$B$6:$B$21,0)),0))*60&gt;=設定!$C$44,ROUND(FLOOR(($M1099-IFERROR(INDEX(設定!$G$6:$G$21,MATCH($G1099,設定!$B$6:$B$21,0)),0))*60,設定!$C$45)/60,2),0))</f>
        <v/>
      </c>
      <c r="R1099" s="16">
        <f>IF(OR($C1099="",$Q1099=0),"",IF($G1099="國","國定假日",IF($B1099="日","例假",IF($B1099="六","休息日","平日"))))</f>
        <v/>
      </c>
      <c r="S1099" s="19" t="n"/>
    </row>
    <row r="1100">
      <c r="A1100" s="82">
        <f>IF(OR(助理班表!$A40="",13&gt;DAY(EOMONTH(DATE(設定!$C$2,設定!$D$2,1),0))),"",DATE(設定!$C$2,設定!$D$2,13))</f>
        <v/>
      </c>
      <c r="B1100" s="16">
        <f>IF($A1100="","",INDEX(設定!$O$6:$O$12,WEEKDAY($A1100,1)))</f>
        <v/>
      </c>
      <c r="C1100" s="16">
        <f>IF($A1100="","",助理班表!$A40)</f>
        <v/>
      </c>
      <c r="D1100" s="16">
        <f>IF($C1100="","",助理班表!$B40)</f>
        <v/>
      </c>
      <c r="E1100" s="16">
        <f>IF($C1100="","",助理班表!$D40)</f>
        <v/>
      </c>
      <c r="F1100" s="16">
        <f>IF($C1100="","",助理班表!$C40)</f>
        <v/>
      </c>
      <c r="G1100" s="16">
        <f>IF($C1100="","",助理班表!Q40)</f>
        <v/>
      </c>
      <c r="H1100" s="83">
        <f>IF($G1100="","",IFERROR(IF(INDEX(設定!$D$6:$D$21,MATCH($G1100,設定!$B$6:$B$21,0))=0,"",INDEX(設定!$D$6:$D$21,MATCH($G1100,設定!$B$6:$B$21,0))),""))</f>
        <v/>
      </c>
      <c r="I1100" s="83">
        <f>IF($G1100="","",IFERROR(IF(INDEX(設定!$E$6:$E$21,MATCH($G1100,設定!$B$6:$B$21,0))=0,"",INDEX(設定!$E$6:$E$21,MATCH($G1100,設定!$B$6:$B$21,0))),""))</f>
        <v/>
      </c>
      <c r="J1100" s="83">
        <f>IFERROR(INDEX(打卡匯入!$C$3:$C$2002,MATCH($C1100&amp;"|"&amp;DAY($A1100),打卡匯入!$E$3:$E$2002,0)),"")</f>
        <v/>
      </c>
      <c r="K1100" s="83">
        <f>IFERROR(INDEX(打卡匯入!$D$3:$D$2002,MATCH($C1100&amp;"|"&amp;DAY($A1100),打卡匯入!$E$3:$E$2002,0)),"")</f>
        <v/>
      </c>
      <c r="L1100" s="84">
        <f>IF(OR($J1100="",$K1100=""),"",IFERROR(INDEX(設定!$F$6:$F$21,MATCH($G1100,設定!$B$6:$B$21,0)),0))</f>
        <v/>
      </c>
      <c r="M1100" s="85">
        <f>IF(OR($J1100="",$K1100=""),"",ROUND(($K1100-$J1100)*24-$L1100/60,2))</f>
        <v/>
      </c>
      <c r="N1100" s="16">
        <f>IF($C1100="","",IF(AND(COUNTIF(設定!$B$15:$B$21,$G1100)&gt;0,$J1100&lt;&gt;""),"假日出勤",IF(AND(COUNTIF(設定!$B$6:$B$14,$G1100)&gt;0,$J1100=""),"未打卡",IF($J1100="","",IF($O1100&gt;0,"遲到",IF($P1100&gt;0,"早退","正常"))))))</f>
        <v/>
      </c>
      <c r="O1100" s="84">
        <f>IF(OR($C1100="",$H1100="",$J1100=""),0,IF(ROUND(($J1100-$H1100)*1440,0)&gt;設定!$C$46,ROUND(($J1100-$H1100)*1440,0),0))</f>
        <v/>
      </c>
      <c r="P1100" s="84">
        <f>IF(OR($C1100="",$I1100="",$K1100=""),0,IF(ROUND(($I1100-$K1100)*1440,0)&gt;設定!$C$46,ROUND(($I1100-$K1100)*1440,0),0))</f>
        <v/>
      </c>
      <c r="Q1100" s="85">
        <f>IF($M1100="",0,IF(($M1100-IFERROR(INDEX(設定!$G$6:$G$21,MATCH($G1100,設定!$B$6:$B$21,0)),0))*60&gt;=設定!$C$44,ROUND(FLOOR(($M1100-IFERROR(INDEX(設定!$G$6:$G$21,MATCH($G1100,設定!$B$6:$B$21,0)),0))*60,設定!$C$45)/60,2),0))</f>
        <v/>
      </c>
      <c r="R1100" s="16">
        <f>IF(OR($C1100="",$Q1100=0),"",IF($G1100="國","國定假日",IF($B1100="日","例假",IF($B1100="六","休息日","平日"))))</f>
        <v/>
      </c>
      <c r="S1100" s="19" t="n"/>
    </row>
    <row r="1101">
      <c r="A1101" s="82">
        <f>IF(OR(助理班表!$A40="",14&gt;DAY(EOMONTH(DATE(設定!$C$2,設定!$D$2,1),0))),"",DATE(設定!$C$2,設定!$D$2,14))</f>
        <v/>
      </c>
      <c r="B1101" s="16">
        <f>IF($A1101="","",INDEX(設定!$O$6:$O$12,WEEKDAY($A1101,1)))</f>
        <v/>
      </c>
      <c r="C1101" s="16">
        <f>IF($A1101="","",助理班表!$A40)</f>
        <v/>
      </c>
      <c r="D1101" s="16">
        <f>IF($C1101="","",助理班表!$B40)</f>
        <v/>
      </c>
      <c r="E1101" s="16">
        <f>IF($C1101="","",助理班表!$D40)</f>
        <v/>
      </c>
      <c r="F1101" s="16">
        <f>IF($C1101="","",助理班表!$C40)</f>
        <v/>
      </c>
      <c r="G1101" s="16">
        <f>IF($C1101="","",助理班表!R40)</f>
        <v/>
      </c>
      <c r="H1101" s="83">
        <f>IF($G1101="","",IFERROR(IF(INDEX(設定!$D$6:$D$21,MATCH($G1101,設定!$B$6:$B$21,0))=0,"",INDEX(設定!$D$6:$D$21,MATCH($G1101,設定!$B$6:$B$21,0))),""))</f>
        <v/>
      </c>
      <c r="I1101" s="83">
        <f>IF($G1101="","",IFERROR(IF(INDEX(設定!$E$6:$E$21,MATCH($G1101,設定!$B$6:$B$21,0))=0,"",INDEX(設定!$E$6:$E$21,MATCH($G1101,設定!$B$6:$B$21,0))),""))</f>
        <v/>
      </c>
      <c r="J1101" s="83">
        <f>IFERROR(INDEX(打卡匯入!$C$3:$C$2002,MATCH($C1101&amp;"|"&amp;DAY($A1101),打卡匯入!$E$3:$E$2002,0)),"")</f>
        <v/>
      </c>
      <c r="K1101" s="83">
        <f>IFERROR(INDEX(打卡匯入!$D$3:$D$2002,MATCH($C1101&amp;"|"&amp;DAY($A1101),打卡匯入!$E$3:$E$2002,0)),"")</f>
        <v/>
      </c>
      <c r="L1101" s="84">
        <f>IF(OR($J1101="",$K1101=""),"",IFERROR(INDEX(設定!$F$6:$F$21,MATCH($G1101,設定!$B$6:$B$21,0)),0))</f>
        <v/>
      </c>
      <c r="M1101" s="85">
        <f>IF(OR($J1101="",$K1101=""),"",ROUND(($K1101-$J1101)*24-$L1101/60,2))</f>
        <v/>
      </c>
      <c r="N1101" s="16">
        <f>IF($C1101="","",IF(AND(COUNTIF(設定!$B$15:$B$21,$G1101)&gt;0,$J1101&lt;&gt;""),"假日出勤",IF(AND(COUNTIF(設定!$B$6:$B$14,$G1101)&gt;0,$J1101=""),"未打卡",IF($J1101="","",IF($O1101&gt;0,"遲到",IF($P1101&gt;0,"早退","正常"))))))</f>
        <v/>
      </c>
      <c r="O1101" s="84">
        <f>IF(OR($C1101="",$H1101="",$J1101=""),0,IF(ROUND(($J1101-$H1101)*1440,0)&gt;設定!$C$46,ROUND(($J1101-$H1101)*1440,0),0))</f>
        <v/>
      </c>
      <c r="P1101" s="84">
        <f>IF(OR($C1101="",$I1101="",$K1101=""),0,IF(ROUND(($I1101-$K1101)*1440,0)&gt;設定!$C$46,ROUND(($I1101-$K1101)*1440,0),0))</f>
        <v/>
      </c>
      <c r="Q1101" s="85">
        <f>IF($M1101="",0,IF(($M1101-IFERROR(INDEX(設定!$G$6:$G$21,MATCH($G1101,設定!$B$6:$B$21,0)),0))*60&gt;=設定!$C$44,ROUND(FLOOR(($M1101-IFERROR(INDEX(設定!$G$6:$G$21,MATCH($G1101,設定!$B$6:$B$21,0)),0))*60,設定!$C$45)/60,2),0))</f>
        <v/>
      </c>
      <c r="R1101" s="16">
        <f>IF(OR($C1101="",$Q1101=0),"",IF($G1101="國","國定假日",IF($B1101="日","例假",IF($B1101="六","休息日","平日"))))</f>
        <v/>
      </c>
      <c r="S1101" s="19" t="n"/>
    </row>
    <row r="1102">
      <c r="A1102" s="82">
        <f>IF(OR(助理班表!$A40="",15&gt;DAY(EOMONTH(DATE(設定!$C$2,設定!$D$2,1),0))),"",DATE(設定!$C$2,設定!$D$2,15))</f>
        <v/>
      </c>
      <c r="B1102" s="16">
        <f>IF($A1102="","",INDEX(設定!$O$6:$O$12,WEEKDAY($A1102,1)))</f>
        <v/>
      </c>
      <c r="C1102" s="16">
        <f>IF($A1102="","",助理班表!$A40)</f>
        <v/>
      </c>
      <c r="D1102" s="16">
        <f>IF($C1102="","",助理班表!$B40)</f>
        <v/>
      </c>
      <c r="E1102" s="16">
        <f>IF($C1102="","",助理班表!$D40)</f>
        <v/>
      </c>
      <c r="F1102" s="16">
        <f>IF($C1102="","",助理班表!$C40)</f>
        <v/>
      </c>
      <c r="G1102" s="16">
        <f>IF($C1102="","",助理班表!S40)</f>
        <v/>
      </c>
      <c r="H1102" s="83">
        <f>IF($G1102="","",IFERROR(IF(INDEX(設定!$D$6:$D$21,MATCH($G1102,設定!$B$6:$B$21,0))=0,"",INDEX(設定!$D$6:$D$21,MATCH($G1102,設定!$B$6:$B$21,0))),""))</f>
        <v/>
      </c>
      <c r="I1102" s="83">
        <f>IF($G1102="","",IFERROR(IF(INDEX(設定!$E$6:$E$21,MATCH($G1102,設定!$B$6:$B$21,0))=0,"",INDEX(設定!$E$6:$E$21,MATCH($G1102,設定!$B$6:$B$21,0))),""))</f>
        <v/>
      </c>
      <c r="J1102" s="83">
        <f>IFERROR(INDEX(打卡匯入!$C$3:$C$2002,MATCH($C1102&amp;"|"&amp;DAY($A1102),打卡匯入!$E$3:$E$2002,0)),"")</f>
        <v/>
      </c>
      <c r="K1102" s="83">
        <f>IFERROR(INDEX(打卡匯入!$D$3:$D$2002,MATCH($C1102&amp;"|"&amp;DAY($A1102),打卡匯入!$E$3:$E$2002,0)),"")</f>
        <v/>
      </c>
      <c r="L1102" s="84">
        <f>IF(OR($J1102="",$K1102=""),"",IFERROR(INDEX(設定!$F$6:$F$21,MATCH($G1102,設定!$B$6:$B$21,0)),0))</f>
        <v/>
      </c>
      <c r="M1102" s="85">
        <f>IF(OR($J1102="",$K1102=""),"",ROUND(($K1102-$J1102)*24-$L1102/60,2))</f>
        <v/>
      </c>
      <c r="N1102" s="16">
        <f>IF($C1102="","",IF(AND(COUNTIF(設定!$B$15:$B$21,$G1102)&gt;0,$J1102&lt;&gt;""),"假日出勤",IF(AND(COUNTIF(設定!$B$6:$B$14,$G1102)&gt;0,$J1102=""),"未打卡",IF($J1102="","",IF($O1102&gt;0,"遲到",IF($P1102&gt;0,"早退","正常"))))))</f>
        <v/>
      </c>
      <c r="O1102" s="84">
        <f>IF(OR($C1102="",$H1102="",$J1102=""),0,IF(ROUND(($J1102-$H1102)*1440,0)&gt;設定!$C$46,ROUND(($J1102-$H1102)*1440,0),0))</f>
        <v/>
      </c>
      <c r="P1102" s="84">
        <f>IF(OR($C1102="",$I1102="",$K1102=""),0,IF(ROUND(($I1102-$K1102)*1440,0)&gt;設定!$C$46,ROUND(($I1102-$K1102)*1440,0),0))</f>
        <v/>
      </c>
      <c r="Q1102" s="85">
        <f>IF($M1102="",0,IF(($M1102-IFERROR(INDEX(設定!$G$6:$G$21,MATCH($G1102,設定!$B$6:$B$21,0)),0))*60&gt;=設定!$C$44,ROUND(FLOOR(($M1102-IFERROR(INDEX(設定!$G$6:$G$21,MATCH($G1102,設定!$B$6:$B$21,0)),0))*60,設定!$C$45)/60,2),0))</f>
        <v/>
      </c>
      <c r="R1102" s="16">
        <f>IF(OR($C1102="",$Q1102=0),"",IF($G1102="國","國定假日",IF($B1102="日","例假",IF($B1102="六","休息日","平日"))))</f>
        <v/>
      </c>
      <c r="S1102" s="19" t="n"/>
    </row>
    <row r="1103">
      <c r="A1103" s="82">
        <f>IF(OR(助理班表!$A40="",16&gt;DAY(EOMONTH(DATE(設定!$C$2,設定!$D$2,1),0))),"",DATE(設定!$C$2,設定!$D$2,16))</f>
        <v/>
      </c>
      <c r="B1103" s="16">
        <f>IF($A1103="","",INDEX(設定!$O$6:$O$12,WEEKDAY($A1103,1)))</f>
        <v/>
      </c>
      <c r="C1103" s="16">
        <f>IF($A1103="","",助理班表!$A40)</f>
        <v/>
      </c>
      <c r="D1103" s="16">
        <f>IF($C1103="","",助理班表!$B40)</f>
        <v/>
      </c>
      <c r="E1103" s="16">
        <f>IF($C1103="","",助理班表!$D40)</f>
        <v/>
      </c>
      <c r="F1103" s="16">
        <f>IF($C1103="","",助理班表!$C40)</f>
        <v/>
      </c>
      <c r="G1103" s="16">
        <f>IF($C1103="","",助理班表!T40)</f>
        <v/>
      </c>
      <c r="H1103" s="83">
        <f>IF($G1103="","",IFERROR(IF(INDEX(設定!$D$6:$D$21,MATCH($G1103,設定!$B$6:$B$21,0))=0,"",INDEX(設定!$D$6:$D$21,MATCH($G1103,設定!$B$6:$B$21,0))),""))</f>
        <v/>
      </c>
      <c r="I1103" s="83">
        <f>IF($G1103="","",IFERROR(IF(INDEX(設定!$E$6:$E$21,MATCH($G1103,設定!$B$6:$B$21,0))=0,"",INDEX(設定!$E$6:$E$21,MATCH($G1103,設定!$B$6:$B$21,0))),""))</f>
        <v/>
      </c>
      <c r="J1103" s="83">
        <f>IFERROR(INDEX(打卡匯入!$C$3:$C$2002,MATCH($C1103&amp;"|"&amp;DAY($A1103),打卡匯入!$E$3:$E$2002,0)),"")</f>
        <v/>
      </c>
      <c r="K1103" s="83">
        <f>IFERROR(INDEX(打卡匯入!$D$3:$D$2002,MATCH($C1103&amp;"|"&amp;DAY($A1103),打卡匯入!$E$3:$E$2002,0)),"")</f>
        <v/>
      </c>
      <c r="L1103" s="84">
        <f>IF(OR($J1103="",$K1103=""),"",IFERROR(INDEX(設定!$F$6:$F$21,MATCH($G1103,設定!$B$6:$B$21,0)),0))</f>
        <v/>
      </c>
      <c r="M1103" s="85">
        <f>IF(OR($J1103="",$K1103=""),"",ROUND(($K1103-$J1103)*24-$L1103/60,2))</f>
        <v/>
      </c>
      <c r="N1103" s="16">
        <f>IF($C1103="","",IF(AND(COUNTIF(設定!$B$15:$B$21,$G1103)&gt;0,$J1103&lt;&gt;""),"假日出勤",IF(AND(COUNTIF(設定!$B$6:$B$14,$G1103)&gt;0,$J1103=""),"未打卡",IF($J1103="","",IF($O1103&gt;0,"遲到",IF($P1103&gt;0,"早退","正常"))))))</f>
        <v/>
      </c>
      <c r="O1103" s="84">
        <f>IF(OR($C1103="",$H1103="",$J1103=""),0,IF(ROUND(($J1103-$H1103)*1440,0)&gt;設定!$C$46,ROUND(($J1103-$H1103)*1440,0),0))</f>
        <v/>
      </c>
      <c r="P1103" s="84">
        <f>IF(OR($C1103="",$I1103="",$K1103=""),0,IF(ROUND(($I1103-$K1103)*1440,0)&gt;設定!$C$46,ROUND(($I1103-$K1103)*1440,0),0))</f>
        <v/>
      </c>
      <c r="Q1103" s="85">
        <f>IF($M1103="",0,IF(($M1103-IFERROR(INDEX(設定!$G$6:$G$21,MATCH($G1103,設定!$B$6:$B$21,0)),0))*60&gt;=設定!$C$44,ROUND(FLOOR(($M1103-IFERROR(INDEX(設定!$G$6:$G$21,MATCH($G1103,設定!$B$6:$B$21,0)),0))*60,設定!$C$45)/60,2),0))</f>
        <v/>
      </c>
      <c r="R1103" s="16">
        <f>IF(OR($C1103="",$Q1103=0),"",IF($G1103="國","國定假日",IF($B1103="日","例假",IF($B1103="六","休息日","平日"))))</f>
        <v/>
      </c>
      <c r="S1103" s="19" t="n"/>
    </row>
    <row r="1104">
      <c r="A1104" s="82">
        <f>IF(OR(助理班表!$A40="",17&gt;DAY(EOMONTH(DATE(設定!$C$2,設定!$D$2,1),0))),"",DATE(設定!$C$2,設定!$D$2,17))</f>
        <v/>
      </c>
      <c r="B1104" s="16">
        <f>IF($A1104="","",INDEX(設定!$O$6:$O$12,WEEKDAY($A1104,1)))</f>
        <v/>
      </c>
      <c r="C1104" s="16">
        <f>IF($A1104="","",助理班表!$A40)</f>
        <v/>
      </c>
      <c r="D1104" s="16">
        <f>IF($C1104="","",助理班表!$B40)</f>
        <v/>
      </c>
      <c r="E1104" s="16">
        <f>IF($C1104="","",助理班表!$D40)</f>
        <v/>
      </c>
      <c r="F1104" s="16">
        <f>IF($C1104="","",助理班表!$C40)</f>
        <v/>
      </c>
      <c r="G1104" s="16">
        <f>IF($C1104="","",助理班表!U40)</f>
        <v/>
      </c>
      <c r="H1104" s="83">
        <f>IF($G1104="","",IFERROR(IF(INDEX(設定!$D$6:$D$21,MATCH($G1104,設定!$B$6:$B$21,0))=0,"",INDEX(設定!$D$6:$D$21,MATCH($G1104,設定!$B$6:$B$21,0))),""))</f>
        <v/>
      </c>
      <c r="I1104" s="83">
        <f>IF($G1104="","",IFERROR(IF(INDEX(設定!$E$6:$E$21,MATCH($G1104,設定!$B$6:$B$21,0))=0,"",INDEX(設定!$E$6:$E$21,MATCH($G1104,設定!$B$6:$B$21,0))),""))</f>
        <v/>
      </c>
      <c r="J1104" s="83">
        <f>IFERROR(INDEX(打卡匯入!$C$3:$C$2002,MATCH($C1104&amp;"|"&amp;DAY($A1104),打卡匯入!$E$3:$E$2002,0)),"")</f>
        <v/>
      </c>
      <c r="K1104" s="83">
        <f>IFERROR(INDEX(打卡匯入!$D$3:$D$2002,MATCH($C1104&amp;"|"&amp;DAY($A1104),打卡匯入!$E$3:$E$2002,0)),"")</f>
        <v/>
      </c>
      <c r="L1104" s="84">
        <f>IF(OR($J1104="",$K1104=""),"",IFERROR(INDEX(設定!$F$6:$F$21,MATCH($G1104,設定!$B$6:$B$21,0)),0))</f>
        <v/>
      </c>
      <c r="M1104" s="85">
        <f>IF(OR($J1104="",$K1104=""),"",ROUND(($K1104-$J1104)*24-$L1104/60,2))</f>
        <v/>
      </c>
      <c r="N1104" s="16">
        <f>IF($C1104="","",IF(AND(COUNTIF(設定!$B$15:$B$21,$G1104)&gt;0,$J1104&lt;&gt;""),"假日出勤",IF(AND(COUNTIF(設定!$B$6:$B$14,$G1104)&gt;0,$J1104=""),"未打卡",IF($J1104="","",IF($O1104&gt;0,"遲到",IF($P1104&gt;0,"早退","正常"))))))</f>
        <v/>
      </c>
      <c r="O1104" s="84">
        <f>IF(OR($C1104="",$H1104="",$J1104=""),0,IF(ROUND(($J1104-$H1104)*1440,0)&gt;設定!$C$46,ROUND(($J1104-$H1104)*1440,0),0))</f>
        <v/>
      </c>
      <c r="P1104" s="84">
        <f>IF(OR($C1104="",$I1104="",$K1104=""),0,IF(ROUND(($I1104-$K1104)*1440,0)&gt;設定!$C$46,ROUND(($I1104-$K1104)*1440,0),0))</f>
        <v/>
      </c>
      <c r="Q1104" s="85">
        <f>IF($M1104="",0,IF(($M1104-IFERROR(INDEX(設定!$G$6:$G$21,MATCH($G1104,設定!$B$6:$B$21,0)),0))*60&gt;=設定!$C$44,ROUND(FLOOR(($M1104-IFERROR(INDEX(設定!$G$6:$G$21,MATCH($G1104,設定!$B$6:$B$21,0)),0))*60,設定!$C$45)/60,2),0))</f>
        <v/>
      </c>
      <c r="R1104" s="16">
        <f>IF(OR($C1104="",$Q1104=0),"",IF($G1104="國","國定假日",IF($B1104="日","例假",IF($B1104="六","休息日","平日"))))</f>
        <v/>
      </c>
      <c r="S1104" s="19" t="n"/>
    </row>
    <row r="1105">
      <c r="A1105" s="82">
        <f>IF(OR(助理班表!$A40="",18&gt;DAY(EOMONTH(DATE(設定!$C$2,設定!$D$2,1),0))),"",DATE(設定!$C$2,設定!$D$2,18))</f>
        <v/>
      </c>
      <c r="B1105" s="16">
        <f>IF($A1105="","",INDEX(設定!$O$6:$O$12,WEEKDAY($A1105,1)))</f>
        <v/>
      </c>
      <c r="C1105" s="16">
        <f>IF($A1105="","",助理班表!$A40)</f>
        <v/>
      </c>
      <c r="D1105" s="16">
        <f>IF($C1105="","",助理班表!$B40)</f>
        <v/>
      </c>
      <c r="E1105" s="16">
        <f>IF($C1105="","",助理班表!$D40)</f>
        <v/>
      </c>
      <c r="F1105" s="16">
        <f>IF($C1105="","",助理班表!$C40)</f>
        <v/>
      </c>
      <c r="G1105" s="16">
        <f>IF($C1105="","",助理班表!V40)</f>
        <v/>
      </c>
      <c r="H1105" s="83">
        <f>IF($G1105="","",IFERROR(IF(INDEX(設定!$D$6:$D$21,MATCH($G1105,設定!$B$6:$B$21,0))=0,"",INDEX(設定!$D$6:$D$21,MATCH($G1105,設定!$B$6:$B$21,0))),""))</f>
        <v/>
      </c>
      <c r="I1105" s="83">
        <f>IF($G1105="","",IFERROR(IF(INDEX(設定!$E$6:$E$21,MATCH($G1105,設定!$B$6:$B$21,0))=0,"",INDEX(設定!$E$6:$E$21,MATCH($G1105,設定!$B$6:$B$21,0))),""))</f>
        <v/>
      </c>
      <c r="J1105" s="83">
        <f>IFERROR(INDEX(打卡匯入!$C$3:$C$2002,MATCH($C1105&amp;"|"&amp;DAY($A1105),打卡匯入!$E$3:$E$2002,0)),"")</f>
        <v/>
      </c>
      <c r="K1105" s="83">
        <f>IFERROR(INDEX(打卡匯入!$D$3:$D$2002,MATCH($C1105&amp;"|"&amp;DAY($A1105),打卡匯入!$E$3:$E$2002,0)),"")</f>
        <v/>
      </c>
      <c r="L1105" s="84">
        <f>IF(OR($J1105="",$K1105=""),"",IFERROR(INDEX(設定!$F$6:$F$21,MATCH($G1105,設定!$B$6:$B$21,0)),0))</f>
        <v/>
      </c>
      <c r="M1105" s="85">
        <f>IF(OR($J1105="",$K1105=""),"",ROUND(($K1105-$J1105)*24-$L1105/60,2))</f>
        <v/>
      </c>
      <c r="N1105" s="16">
        <f>IF($C1105="","",IF(AND(COUNTIF(設定!$B$15:$B$21,$G1105)&gt;0,$J1105&lt;&gt;""),"假日出勤",IF(AND(COUNTIF(設定!$B$6:$B$14,$G1105)&gt;0,$J1105=""),"未打卡",IF($J1105="","",IF($O1105&gt;0,"遲到",IF($P1105&gt;0,"早退","正常"))))))</f>
        <v/>
      </c>
      <c r="O1105" s="84">
        <f>IF(OR($C1105="",$H1105="",$J1105=""),0,IF(ROUND(($J1105-$H1105)*1440,0)&gt;設定!$C$46,ROUND(($J1105-$H1105)*1440,0),0))</f>
        <v/>
      </c>
      <c r="P1105" s="84">
        <f>IF(OR($C1105="",$I1105="",$K1105=""),0,IF(ROUND(($I1105-$K1105)*1440,0)&gt;設定!$C$46,ROUND(($I1105-$K1105)*1440,0),0))</f>
        <v/>
      </c>
      <c r="Q1105" s="85">
        <f>IF($M1105="",0,IF(($M1105-IFERROR(INDEX(設定!$G$6:$G$21,MATCH($G1105,設定!$B$6:$B$21,0)),0))*60&gt;=設定!$C$44,ROUND(FLOOR(($M1105-IFERROR(INDEX(設定!$G$6:$G$21,MATCH($G1105,設定!$B$6:$B$21,0)),0))*60,設定!$C$45)/60,2),0))</f>
        <v/>
      </c>
      <c r="R1105" s="16">
        <f>IF(OR($C1105="",$Q1105=0),"",IF($G1105="國","國定假日",IF($B1105="日","例假",IF($B1105="六","休息日","平日"))))</f>
        <v/>
      </c>
      <c r="S1105" s="19" t="n"/>
    </row>
    <row r="1106">
      <c r="A1106" s="82">
        <f>IF(OR(助理班表!$A40="",19&gt;DAY(EOMONTH(DATE(設定!$C$2,設定!$D$2,1),0))),"",DATE(設定!$C$2,設定!$D$2,19))</f>
        <v/>
      </c>
      <c r="B1106" s="16">
        <f>IF($A1106="","",INDEX(設定!$O$6:$O$12,WEEKDAY($A1106,1)))</f>
        <v/>
      </c>
      <c r="C1106" s="16">
        <f>IF($A1106="","",助理班表!$A40)</f>
        <v/>
      </c>
      <c r="D1106" s="16">
        <f>IF($C1106="","",助理班表!$B40)</f>
        <v/>
      </c>
      <c r="E1106" s="16">
        <f>IF($C1106="","",助理班表!$D40)</f>
        <v/>
      </c>
      <c r="F1106" s="16">
        <f>IF($C1106="","",助理班表!$C40)</f>
        <v/>
      </c>
      <c r="G1106" s="16">
        <f>IF($C1106="","",助理班表!W40)</f>
        <v/>
      </c>
      <c r="H1106" s="83">
        <f>IF($G1106="","",IFERROR(IF(INDEX(設定!$D$6:$D$21,MATCH($G1106,設定!$B$6:$B$21,0))=0,"",INDEX(設定!$D$6:$D$21,MATCH($G1106,設定!$B$6:$B$21,0))),""))</f>
        <v/>
      </c>
      <c r="I1106" s="83">
        <f>IF($G1106="","",IFERROR(IF(INDEX(設定!$E$6:$E$21,MATCH($G1106,設定!$B$6:$B$21,0))=0,"",INDEX(設定!$E$6:$E$21,MATCH($G1106,設定!$B$6:$B$21,0))),""))</f>
        <v/>
      </c>
      <c r="J1106" s="83">
        <f>IFERROR(INDEX(打卡匯入!$C$3:$C$2002,MATCH($C1106&amp;"|"&amp;DAY($A1106),打卡匯入!$E$3:$E$2002,0)),"")</f>
        <v/>
      </c>
      <c r="K1106" s="83">
        <f>IFERROR(INDEX(打卡匯入!$D$3:$D$2002,MATCH($C1106&amp;"|"&amp;DAY($A1106),打卡匯入!$E$3:$E$2002,0)),"")</f>
        <v/>
      </c>
      <c r="L1106" s="84">
        <f>IF(OR($J1106="",$K1106=""),"",IFERROR(INDEX(設定!$F$6:$F$21,MATCH($G1106,設定!$B$6:$B$21,0)),0))</f>
        <v/>
      </c>
      <c r="M1106" s="85">
        <f>IF(OR($J1106="",$K1106=""),"",ROUND(($K1106-$J1106)*24-$L1106/60,2))</f>
        <v/>
      </c>
      <c r="N1106" s="16">
        <f>IF($C1106="","",IF(AND(COUNTIF(設定!$B$15:$B$21,$G1106)&gt;0,$J1106&lt;&gt;""),"假日出勤",IF(AND(COUNTIF(設定!$B$6:$B$14,$G1106)&gt;0,$J1106=""),"未打卡",IF($J1106="","",IF($O1106&gt;0,"遲到",IF($P1106&gt;0,"早退","正常"))))))</f>
        <v/>
      </c>
      <c r="O1106" s="84">
        <f>IF(OR($C1106="",$H1106="",$J1106=""),0,IF(ROUND(($J1106-$H1106)*1440,0)&gt;設定!$C$46,ROUND(($J1106-$H1106)*1440,0),0))</f>
        <v/>
      </c>
      <c r="P1106" s="84">
        <f>IF(OR($C1106="",$I1106="",$K1106=""),0,IF(ROUND(($I1106-$K1106)*1440,0)&gt;設定!$C$46,ROUND(($I1106-$K1106)*1440,0),0))</f>
        <v/>
      </c>
      <c r="Q1106" s="85">
        <f>IF($M1106="",0,IF(($M1106-IFERROR(INDEX(設定!$G$6:$G$21,MATCH($G1106,設定!$B$6:$B$21,0)),0))*60&gt;=設定!$C$44,ROUND(FLOOR(($M1106-IFERROR(INDEX(設定!$G$6:$G$21,MATCH($G1106,設定!$B$6:$B$21,0)),0))*60,設定!$C$45)/60,2),0))</f>
        <v/>
      </c>
      <c r="R1106" s="16">
        <f>IF(OR($C1106="",$Q1106=0),"",IF($G1106="國","國定假日",IF($B1106="日","例假",IF($B1106="六","休息日","平日"))))</f>
        <v/>
      </c>
      <c r="S1106" s="19" t="n"/>
    </row>
    <row r="1107">
      <c r="A1107" s="82">
        <f>IF(OR(助理班表!$A40="",20&gt;DAY(EOMONTH(DATE(設定!$C$2,設定!$D$2,1),0))),"",DATE(設定!$C$2,設定!$D$2,20))</f>
        <v/>
      </c>
      <c r="B1107" s="16">
        <f>IF($A1107="","",INDEX(設定!$O$6:$O$12,WEEKDAY($A1107,1)))</f>
        <v/>
      </c>
      <c r="C1107" s="16">
        <f>IF($A1107="","",助理班表!$A40)</f>
        <v/>
      </c>
      <c r="D1107" s="16">
        <f>IF($C1107="","",助理班表!$B40)</f>
        <v/>
      </c>
      <c r="E1107" s="16">
        <f>IF($C1107="","",助理班表!$D40)</f>
        <v/>
      </c>
      <c r="F1107" s="16">
        <f>IF($C1107="","",助理班表!$C40)</f>
        <v/>
      </c>
      <c r="G1107" s="16">
        <f>IF($C1107="","",助理班表!X40)</f>
        <v/>
      </c>
      <c r="H1107" s="83">
        <f>IF($G1107="","",IFERROR(IF(INDEX(設定!$D$6:$D$21,MATCH($G1107,設定!$B$6:$B$21,0))=0,"",INDEX(設定!$D$6:$D$21,MATCH($G1107,設定!$B$6:$B$21,0))),""))</f>
        <v/>
      </c>
      <c r="I1107" s="83">
        <f>IF($G1107="","",IFERROR(IF(INDEX(設定!$E$6:$E$21,MATCH($G1107,設定!$B$6:$B$21,0))=0,"",INDEX(設定!$E$6:$E$21,MATCH($G1107,設定!$B$6:$B$21,0))),""))</f>
        <v/>
      </c>
      <c r="J1107" s="83">
        <f>IFERROR(INDEX(打卡匯入!$C$3:$C$2002,MATCH($C1107&amp;"|"&amp;DAY($A1107),打卡匯入!$E$3:$E$2002,0)),"")</f>
        <v/>
      </c>
      <c r="K1107" s="83">
        <f>IFERROR(INDEX(打卡匯入!$D$3:$D$2002,MATCH($C1107&amp;"|"&amp;DAY($A1107),打卡匯入!$E$3:$E$2002,0)),"")</f>
        <v/>
      </c>
      <c r="L1107" s="84">
        <f>IF(OR($J1107="",$K1107=""),"",IFERROR(INDEX(設定!$F$6:$F$21,MATCH($G1107,設定!$B$6:$B$21,0)),0))</f>
        <v/>
      </c>
      <c r="M1107" s="85">
        <f>IF(OR($J1107="",$K1107=""),"",ROUND(($K1107-$J1107)*24-$L1107/60,2))</f>
        <v/>
      </c>
      <c r="N1107" s="16">
        <f>IF($C1107="","",IF(AND(COUNTIF(設定!$B$15:$B$21,$G1107)&gt;0,$J1107&lt;&gt;""),"假日出勤",IF(AND(COUNTIF(設定!$B$6:$B$14,$G1107)&gt;0,$J1107=""),"未打卡",IF($J1107="","",IF($O1107&gt;0,"遲到",IF($P1107&gt;0,"早退","正常"))))))</f>
        <v/>
      </c>
      <c r="O1107" s="84">
        <f>IF(OR($C1107="",$H1107="",$J1107=""),0,IF(ROUND(($J1107-$H1107)*1440,0)&gt;設定!$C$46,ROUND(($J1107-$H1107)*1440,0),0))</f>
        <v/>
      </c>
      <c r="P1107" s="84">
        <f>IF(OR($C1107="",$I1107="",$K1107=""),0,IF(ROUND(($I1107-$K1107)*1440,0)&gt;設定!$C$46,ROUND(($I1107-$K1107)*1440,0),0))</f>
        <v/>
      </c>
      <c r="Q1107" s="85">
        <f>IF($M1107="",0,IF(($M1107-IFERROR(INDEX(設定!$G$6:$G$21,MATCH($G1107,設定!$B$6:$B$21,0)),0))*60&gt;=設定!$C$44,ROUND(FLOOR(($M1107-IFERROR(INDEX(設定!$G$6:$G$21,MATCH($G1107,設定!$B$6:$B$21,0)),0))*60,設定!$C$45)/60,2),0))</f>
        <v/>
      </c>
      <c r="R1107" s="16">
        <f>IF(OR($C1107="",$Q1107=0),"",IF($G1107="國","國定假日",IF($B1107="日","例假",IF($B1107="六","休息日","平日"))))</f>
        <v/>
      </c>
      <c r="S1107" s="19" t="n"/>
    </row>
    <row r="1108">
      <c r="A1108" s="82">
        <f>IF(OR(助理班表!$A40="",21&gt;DAY(EOMONTH(DATE(設定!$C$2,設定!$D$2,1),0))),"",DATE(設定!$C$2,設定!$D$2,21))</f>
        <v/>
      </c>
      <c r="B1108" s="16">
        <f>IF($A1108="","",INDEX(設定!$O$6:$O$12,WEEKDAY($A1108,1)))</f>
        <v/>
      </c>
      <c r="C1108" s="16">
        <f>IF($A1108="","",助理班表!$A40)</f>
        <v/>
      </c>
      <c r="D1108" s="16">
        <f>IF($C1108="","",助理班表!$B40)</f>
        <v/>
      </c>
      <c r="E1108" s="16">
        <f>IF($C1108="","",助理班表!$D40)</f>
        <v/>
      </c>
      <c r="F1108" s="16">
        <f>IF($C1108="","",助理班表!$C40)</f>
        <v/>
      </c>
      <c r="G1108" s="16">
        <f>IF($C1108="","",助理班表!Y40)</f>
        <v/>
      </c>
      <c r="H1108" s="83">
        <f>IF($G1108="","",IFERROR(IF(INDEX(設定!$D$6:$D$21,MATCH($G1108,設定!$B$6:$B$21,0))=0,"",INDEX(設定!$D$6:$D$21,MATCH($G1108,設定!$B$6:$B$21,0))),""))</f>
        <v/>
      </c>
      <c r="I1108" s="83">
        <f>IF($G1108="","",IFERROR(IF(INDEX(設定!$E$6:$E$21,MATCH($G1108,設定!$B$6:$B$21,0))=0,"",INDEX(設定!$E$6:$E$21,MATCH($G1108,設定!$B$6:$B$21,0))),""))</f>
        <v/>
      </c>
      <c r="J1108" s="83">
        <f>IFERROR(INDEX(打卡匯入!$C$3:$C$2002,MATCH($C1108&amp;"|"&amp;DAY($A1108),打卡匯入!$E$3:$E$2002,0)),"")</f>
        <v/>
      </c>
      <c r="K1108" s="83">
        <f>IFERROR(INDEX(打卡匯入!$D$3:$D$2002,MATCH($C1108&amp;"|"&amp;DAY($A1108),打卡匯入!$E$3:$E$2002,0)),"")</f>
        <v/>
      </c>
      <c r="L1108" s="84">
        <f>IF(OR($J1108="",$K1108=""),"",IFERROR(INDEX(設定!$F$6:$F$21,MATCH($G1108,設定!$B$6:$B$21,0)),0))</f>
        <v/>
      </c>
      <c r="M1108" s="85">
        <f>IF(OR($J1108="",$K1108=""),"",ROUND(($K1108-$J1108)*24-$L1108/60,2))</f>
        <v/>
      </c>
      <c r="N1108" s="16">
        <f>IF($C1108="","",IF(AND(COUNTIF(設定!$B$15:$B$21,$G1108)&gt;0,$J1108&lt;&gt;""),"假日出勤",IF(AND(COUNTIF(設定!$B$6:$B$14,$G1108)&gt;0,$J1108=""),"未打卡",IF($J1108="","",IF($O1108&gt;0,"遲到",IF($P1108&gt;0,"早退","正常"))))))</f>
        <v/>
      </c>
      <c r="O1108" s="84">
        <f>IF(OR($C1108="",$H1108="",$J1108=""),0,IF(ROUND(($J1108-$H1108)*1440,0)&gt;設定!$C$46,ROUND(($J1108-$H1108)*1440,0),0))</f>
        <v/>
      </c>
      <c r="P1108" s="84">
        <f>IF(OR($C1108="",$I1108="",$K1108=""),0,IF(ROUND(($I1108-$K1108)*1440,0)&gt;設定!$C$46,ROUND(($I1108-$K1108)*1440,0),0))</f>
        <v/>
      </c>
      <c r="Q1108" s="85">
        <f>IF($M1108="",0,IF(($M1108-IFERROR(INDEX(設定!$G$6:$G$21,MATCH($G1108,設定!$B$6:$B$21,0)),0))*60&gt;=設定!$C$44,ROUND(FLOOR(($M1108-IFERROR(INDEX(設定!$G$6:$G$21,MATCH($G1108,設定!$B$6:$B$21,0)),0))*60,設定!$C$45)/60,2),0))</f>
        <v/>
      </c>
      <c r="R1108" s="16">
        <f>IF(OR($C1108="",$Q1108=0),"",IF($G1108="國","國定假日",IF($B1108="日","例假",IF($B1108="六","休息日","平日"))))</f>
        <v/>
      </c>
      <c r="S1108" s="19" t="n"/>
    </row>
    <row r="1109">
      <c r="A1109" s="82">
        <f>IF(OR(助理班表!$A40="",22&gt;DAY(EOMONTH(DATE(設定!$C$2,設定!$D$2,1),0))),"",DATE(設定!$C$2,設定!$D$2,22))</f>
        <v/>
      </c>
      <c r="B1109" s="16">
        <f>IF($A1109="","",INDEX(設定!$O$6:$O$12,WEEKDAY($A1109,1)))</f>
        <v/>
      </c>
      <c r="C1109" s="16">
        <f>IF($A1109="","",助理班表!$A40)</f>
        <v/>
      </c>
      <c r="D1109" s="16">
        <f>IF($C1109="","",助理班表!$B40)</f>
        <v/>
      </c>
      <c r="E1109" s="16">
        <f>IF($C1109="","",助理班表!$D40)</f>
        <v/>
      </c>
      <c r="F1109" s="16">
        <f>IF($C1109="","",助理班表!$C40)</f>
        <v/>
      </c>
      <c r="G1109" s="16">
        <f>IF($C1109="","",助理班表!Z40)</f>
        <v/>
      </c>
      <c r="H1109" s="83">
        <f>IF($G1109="","",IFERROR(IF(INDEX(設定!$D$6:$D$21,MATCH($G1109,設定!$B$6:$B$21,0))=0,"",INDEX(設定!$D$6:$D$21,MATCH($G1109,設定!$B$6:$B$21,0))),""))</f>
        <v/>
      </c>
      <c r="I1109" s="83">
        <f>IF($G1109="","",IFERROR(IF(INDEX(設定!$E$6:$E$21,MATCH($G1109,設定!$B$6:$B$21,0))=0,"",INDEX(設定!$E$6:$E$21,MATCH($G1109,設定!$B$6:$B$21,0))),""))</f>
        <v/>
      </c>
      <c r="J1109" s="83">
        <f>IFERROR(INDEX(打卡匯入!$C$3:$C$2002,MATCH($C1109&amp;"|"&amp;DAY($A1109),打卡匯入!$E$3:$E$2002,0)),"")</f>
        <v/>
      </c>
      <c r="K1109" s="83">
        <f>IFERROR(INDEX(打卡匯入!$D$3:$D$2002,MATCH($C1109&amp;"|"&amp;DAY($A1109),打卡匯入!$E$3:$E$2002,0)),"")</f>
        <v/>
      </c>
      <c r="L1109" s="84">
        <f>IF(OR($J1109="",$K1109=""),"",IFERROR(INDEX(設定!$F$6:$F$21,MATCH($G1109,設定!$B$6:$B$21,0)),0))</f>
        <v/>
      </c>
      <c r="M1109" s="85">
        <f>IF(OR($J1109="",$K1109=""),"",ROUND(($K1109-$J1109)*24-$L1109/60,2))</f>
        <v/>
      </c>
      <c r="N1109" s="16">
        <f>IF($C1109="","",IF(AND(COUNTIF(設定!$B$15:$B$21,$G1109)&gt;0,$J1109&lt;&gt;""),"假日出勤",IF(AND(COUNTIF(設定!$B$6:$B$14,$G1109)&gt;0,$J1109=""),"未打卡",IF($J1109="","",IF($O1109&gt;0,"遲到",IF($P1109&gt;0,"早退","正常"))))))</f>
        <v/>
      </c>
      <c r="O1109" s="84">
        <f>IF(OR($C1109="",$H1109="",$J1109=""),0,IF(ROUND(($J1109-$H1109)*1440,0)&gt;設定!$C$46,ROUND(($J1109-$H1109)*1440,0),0))</f>
        <v/>
      </c>
      <c r="P1109" s="84">
        <f>IF(OR($C1109="",$I1109="",$K1109=""),0,IF(ROUND(($I1109-$K1109)*1440,0)&gt;設定!$C$46,ROUND(($I1109-$K1109)*1440,0),0))</f>
        <v/>
      </c>
      <c r="Q1109" s="85">
        <f>IF($M1109="",0,IF(($M1109-IFERROR(INDEX(設定!$G$6:$G$21,MATCH($G1109,設定!$B$6:$B$21,0)),0))*60&gt;=設定!$C$44,ROUND(FLOOR(($M1109-IFERROR(INDEX(設定!$G$6:$G$21,MATCH($G1109,設定!$B$6:$B$21,0)),0))*60,設定!$C$45)/60,2),0))</f>
        <v/>
      </c>
      <c r="R1109" s="16">
        <f>IF(OR($C1109="",$Q1109=0),"",IF($G1109="國","國定假日",IF($B1109="日","例假",IF($B1109="六","休息日","平日"))))</f>
        <v/>
      </c>
      <c r="S1109" s="19" t="n"/>
    </row>
    <row r="1110">
      <c r="A1110" s="82">
        <f>IF(OR(助理班表!$A40="",23&gt;DAY(EOMONTH(DATE(設定!$C$2,設定!$D$2,1),0))),"",DATE(設定!$C$2,設定!$D$2,23))</f>
        <v/>
      </c>
      <c r="B1110" s="16">
        <f>IF($A1110="","",INDEX(設定!$O$6:$O$12,WEEKDAY($A1110,1)))</f>
        <v/>
      </c>
      <c r="C1110" s="16">
        <f>IF($A1110="","",助理班表!$A40)</f>
        <v/>
      </c>
      <c r="D1110" s="16">
        <f>IF($C1110="","",助理班表!$B40)</f>
        <v/>
      </c>
      <c r="E1110" s="16">
        <f>IF($C1110="","",助理班表!$D40)</f>
        <v/>
      </c>
      <c r="F1110" s="16">
        <f>IF($C1110="","",助理班表!$C40)</f>
        <v/>
      </c>
      <c r="G1110" s="16">
        <f>IF($C1110="","",助理班表!AA40)</f>
        <v/>
      </c>
      <c r="H1110" s="83">
        <f>IF($G1110="","",IFERROR(IF(INDEX(設定!$D$6:$D$21,MATCH($G1110,設定!$B$6:$B$21,0))=0,"",INDEX(設定!$D$6:$D$21,MATCH($G1110,設定!$B$6:$B$21,0))),""))</f>
        <v/>
      </c>
      <c r="I1110" s="83">
        <f>IF($G1110="","",IFERROR(IF(INDEX(設定!$E$6:$E$21,MATCH($G1110,設定!$B$6:$B$21,0))=0,"",INDEX(設定!$E$6:$E$21,MATCH($G1110,設定!$B$6:$B$21,0))),""))</f>
        <v/>
      </c>
      <c r="J1110" s="83">
        <f>IFERROR(INDEX(打卡匯入!$C$3:$C$2002,MATCH($C1110&amp;"|"&amp;DAY($A1110),打卡匯入!$E$3:$E$2002,0)),"")</f>
        <v/>
      </c>
      <c r="K1110" s="83">
        <f>IFERROR(INDEX(打卡匯入!$D$3:$D$2002,MATCH($C1110&amp;"|"&amp;DAY($A1110),打卡匯入!$E$3:$E$2002,0)),"")</f>
        <v/>
      </c>
      <c r="L1110" s="84">
        <f>IF(OR($J1110="",$K1110=""),"",IFERROR(INDEX(設定!$F$6:$F$21,MATCH($G1110,設定!$B$6:$B$21,0)),0))</f>
        <v/>
      </c>
      <c r="M1110" s="85">
        <f>IF(OR($J1110="",$K1110=""),"",ROUND(($K1110-$J1110)*24-$L1110/60,2))</f>
        <v/>
      </c>
      <c r="N1110" s="16">
        <f>IF($C1110="","",IF(AND(COUNTIF(設定!$B$15:$B$21,$G1110)&gt;0,$J1110&lt;&gt;""),"假日出勤",IF(AND(COUNTIF(設定!$B$6:$B$14,$G1110)&gt;0,$J1110=""),"未打卡",IF($J1110="","",IF($O1110&gt;0,"遲到",IF($P1110&gt;0,"早退","正常"))))))</f>
        <v/>
      </c>
      <c r="O1110" s="84">
        <f>IF(OR($C1110="",$H1110="",$J1110=""),0,IF(ROUND(($J1110-$H1110)*1440,0)&gt;設定!$C$46,ROUND(($J1110-$H1110)*1440,0),0))</f>
        <v/>
      </c>
      <c r="P1110" s="84">
        <f>IF(OR($C1110="",$I1110="",$K1110=""),0,IF(ROUND(($I1110-$K1110)*1440,0)&gt;設定!$C$46,ROUND(($I1110-$K1110)*1440,0),0))</f>
        <v/>
      </c>
      <c r="Q1110" s="85">
        <f>IF($M1110="",0,IF(($M1110-IFERROR(INDEX(設定!$G$6:$G$21,MATCH($G1110,設定!$B$6:$B$21,0)),0))*60&gt;=設定!$C$44,ROUND(FLOOR(($M1110-IFERROR(INDEX(設定!$G$6:$G$21,MATCH($G1110,設定!$B$6:$B$21,0)),0))*60,設定!$C$45)/60,2),0))</f>
        <v/>
      </c>
      <c r="R1110" s="16">
        <f>IF(OR($C1110="",$Q1110=0),"",IF($G1110="國","國定假日",IF($B1110="日","例假",IF($B1110="六","休息日","平日"))))</f>
        <v/>
      </c>
      <c r="S1110" s="19" t="n"/>
    </row>
    <row r="1111">
      <c r="A1111" s="82">
        <f>IF(OR(助理班表!$A40="",24&gt;DAY(EOMONTH(DATE(設定!$C$2,設定!$D$2,1),0))),"",DATE(設定!$C$2,設定!$D$2,24))</f>
        <v/>
      </c>
      <c r="B1111" s="16">
        <f>IF($A1111="","",INDEX(設定!$O$6:$O$12,WEEKDAY($A1111,1)))</f>
        <v/>
      </c>
      <c r="C1111" s="16">
        <f>IF($A1111="","",助理班表!$A40)</f>
        <v/>
      </c>
      <c r="D1111" s="16">
        <f>IF($C1111="","",助理班表!$B40)</f>
        <v/>
      </c>
      <c r="E1111" s="16">
        <f>IF($C1111="","",助理班表!$D40)</f>
        <v/>
      </c>
      <c r="F1111" s="16">
        <f>IF($C1111="","",助理班表!$C40)</f>
        <v/>
      </c>
      <c r="G1111" s="16">
        <f>IF($C1111="","",助理班表!AB40)</f>
        <v/>
      </c>
      <c r="H1111" s="83">
        <f>IF($G1111="","",IFERROR(IF(INDEX(設定!$D$6:$D$21,MATCH($G1111,設定!$B$6:$B$21,0))=0,"",INDEX(設定!$D$6:$D$21,MATCH($G1111,設定!$B$6:$B$21,0))),""))</f>
        <v/>
      </c>
      <c r="I1111" s="83">
        <f>IF($G1111="","",IFERROR(IF(INDEX(設定!$E$6:$E$21,MATCH($G1111,設定!$B$6:$B$21,0))=0,"",INDEX(設定!$E$6:$E$21,MATCH($G1111,設定!$B$6:$B$21,0))),""))</f>
        <v/>
      </c>
      <c r="J1111" s="83">
        <f>IFERROR(INDEX(打卡匯入!$C$3:$C$2002,MATCH($C1111&amp;"|"&amp;DAY($A1111),打卡匯入!$E$3:$E$2002,0)),"")</f>
        <v/>
      </c>
      <c r="K1111" s="83">
        <f>IFERROR(INDEX(打卡匯入!$D$3:$D$2002,MATCH($C1111&amp;"|"&amp;DAY($A1111),打卡匯入!$E$3:$E$2002,0)),"")</f>
        <v/>
      </c>
      <c r="L1111" s="84">
        <f>IF(OR($J1111="",$K1111=""),"",IFERROR(INDEX(設定!$F$6:$F$21,MATCH($G1111,設定!$B$6:$B$21,0)),0))</f>
        <v/>
      </c>
      <c r="M1111" s="85">
        <f>IF(OR($J1111="",$K1111=""),"",ROUND(($K1111-$J1111)*24-$L1111/60,2))</f>
        <v/>
      </c>
      <c r="N1111" s="16">
        <f>IF($C1111="","",IF(AND(COUNTIF(設定!$B$15:$B$21,$G1111)&gt;0,$J1111&lt;&gt;""),"假日出勤",IF(AND(COUNTIF(設定!$B$6:$B$14,$G1111)&gt;0,$J1111=""),"未打卡",IF($J1111="","",IF($O1111&gt;0,"遲到",IF($P1111&gt;0,"早退","正常"))))))</f>
        <v/>
      </c>
      <c r="O1111" s="84">
        <f>IF(OR($C1111="",$H1111="",$J1111=""),0,IF(ROUND(($J1111-$H1111)*1440,0)&gt;設定!$C$46,ROUND(($J1111-$H1111)*1440,0),0))</f>
        <v/>
      </c>
      <c r="P1111" s="84">
        <f>IF(OR($C1111="",$I1111="",$K1111=""),0,IF(ROUND(($I1111-$K1111)*1440,0)&gt;設定!$C$46,ROUND(($I1111-$K1111)*1440,0),0))</f>
        <v/>
      </c>
      <c r="Q1111" s="85">
        <f>IF($M1111="",0,IF(($M1111-IFERROR(INDEX(設定!$G$6:$G$21,MATCH($G1111,設定!$B$6:$B$21,0)),0))*60&gt;=設定!$C$44,ROUND(FLOOR(($M1111-IFERROR(INDEX(設定!$G$6:$G$21,MATCH($G1111,設定!$B$6:$B$21,0)),0))*60,設定!$C$45)/60,2),0))</f>
        <v/>
      </c>
      <c r="R1111" s="16">
        <f>IF(OR($C1111="",$Q1111=0),"",IF($G1111="國","國定假日",IF($B1111="日","例假",IF($B1111="六","休息日","平日"))))</f>
        <v/>
      </c>
      <c r="S1111" s="19" t="n"/>
    </row>
    <row r="1112">
      <c r="A1112" s="82">
        <f>IF(OR(助理班表!$A40="",25&gt;DAY(EOMONTH(DATE(設定!$C$2,設定!$D$2,1),0))),"",DATE(設定!$C$2,設定!$D$2,25))</f>
        <v/>
      </c>
      <c r="B1112" s="16">
        <f>IF($A1112="","",INDEX(設定!$O$6:$O$12,WEEKDAY($A1112,1)))</f>
        <v/>
      </c>
      <c r="C1112" s="16">
        <f>IF($A1112="","",助理班表!$A40)</f>
        <v/>
      </c>
      <c r="D1112" s="16">
        <f>IF($C1112="","",助理班表!$B40)</f>
        <v/>
      </c>
      <c r="E1112" s="16">
        <f>IF($C1112="","",助理班表!$D40)</f>
        <v/>
      </c>
      <c r="F1112" s="16">
        <f>IF($C1112="","",助理班表!$C40)</f>
        <v/>
      </c>
      <c r="G1112" s="16">
        <f>IF($C1112="","",助理班表!AC40)</f>
        <v/>
      </c>
      <c r="H1112" s="83">
        <f>IF($G1112="","",IFERROR(IF(INDEX(設定!$D$6:$D$21,MATCH($G1112,設定!$B$6:$B$21,0))=0,"",INDEX(設定!$D$6:$D$21,MATCH($G1112,設定!$B$6:$B$21,0))),""))</f>
        <v/>
      </c>
      <c r="I1112" s="83">
        <f>IF($G1112="","",IFERROR(IF(INDEX(設定!$E$6:$E$21,MATCH($G1112,設定!$B$6:$B$21,0))=0,"",INDEX(設定!$E$6:$E$21,MATCH($G1112,設定!$B$6:$B$21,0))),""))</f>
        <v/>
      </c>
      <c r="J1112" s="83">
        <f>IFERROR(INDEX(打卡匯入!$C$3:$C$2002,MATCH($C1112&amp;"|"&amp;DAY($A1112),打卡匯入!$E$3:$E$2002,0)),"")</f>
        <v/>
      </c>
      <c r="K1112" s="83">
        <f>IFERROR(INDEX(打卡匯入!$D$3:$D$2002,MATCH($C1112&amp;"|"&amp;DAY($A1112),打卡匯入!$E$3:$E$2002,0)),"")</f>
        <v/>
      </c>
      <c r="L1112" s="84">
        <f>IF(OR($J1112="",$K1112=""),"",IFERROR(INDEX(設定!$F$6:$F$21,MATCH($G1112,設定!$B$6:$B$21,0)),0))</f>
        <v/>
      </c>
      <c r="M1112" s="85">
        <f>IF(OR($J1112="",$K1112=""),"",ROUND(($K1112-$J1112)*24-$L1112/60,2))</f>
        <v/>
      </c>
      <c r="N1112" s="16">
        <f>IF($C1112="","",IF(AND(COUNTIF(設定!$B$15:$B$21,$G1112)&gt;0,$J1112&lt;&gt;""),"假日出勤",IF(AND(COUNTIF(設定!$B$6:$B$14,$G1112)&gt;0,$J1112=""),"未打卡",IF($J1112="","",IF($O1112&gt;0,"遲到",IF($P1112&gt;0,"早退","正常"))))))</f>
        <v/>
      </c>
      <c r="O1112" s="84">
        <f>IF(OR($C1112="",$H1112="",$J1112=""),0,IF(ROUND(($J1112-$H1112)*1440,0)&gt;設定!$C$46,ROUND(($J1112-$H1112)*1440,0),0))</f>
        <v/>
      </c>
      <c r="P1112" s="84">
        <f>IF(OR($C1112="",$I1112="",$K1112=""),0,IF(ROUND(($I1112-$K1112)*1440,0)&gt;設定!$C$46,ROUND(($I1112-$K1112)*1440,0),0))</f>
        <v/>
      </c>
      <c r="Q1112" s="85">
        <f>IF($M1112="",0,IF(($M1112-IFERROR(INDEX(設定!$G$6:$G$21,MATCH($G1112,設定!$B$6:$B$21,0)),0))*60&gt;=設定!$C$44,ROUND(FLOOR(($M1112-IFERROR(INDEX(設定!$G$6:$G$21,MATCH($G1112,設定!$B$6:$B$21,0)),0))*60,設定!$C$45)/60,2),0))</f>
        <v/>
      </c>
      <c r="R1112" s="16">
        <f>IF(OR($C1112="",$Q1112=0),"",IF($G1112="國","國定假日",IF($B1112="日","例假",IF($B1112="六","休息日","平日"))))</f>
        <v/>
      </c>
      <c r="S1112" s="19" t="n"/>
    </row>
    <row r="1113">
      <c r="A1113" s="82">
        <f>IF(OR(助理班表!$A40="",26&gt;DAY(EOMONTH(DATE(設定!$C$2,設定!$D$2,1),0))),"",DATE(設定!$C$2,設定!$D$2,26))</f>
        <v/>
      </c>
      <c r="B1113" s="16">
        <f>IF($A1113="","",INDEX(設定!$O$6:$O$12,WEEKDAY($A1113,1)))</f>
        <v/>
      </c>
      <c r="C1113" s="16">
        <f>IF($A1113="","",助理班表!$A40)</f>
        <v/>
      </c>
      <c r="D1113" s="16">
        <f>IF($C1113="","",助理班表!$B40)</f>
        <v/>
      </c>
      <c r="E1113" s="16">
        <f>IF($C1113="","",助理班表!$D40)</f>
        <v/>
      </c>
      <c r="F1113" s="16">
        <f>IF($C1113="","",助理班表!$C40)</f>
        <v/>
      </c>
      <c r="G1113" s="16">
        <f>IF($C1113="","",助理班表!AD40)</f>
        <v/>
      </c>
      <c r="H1113" s="83">
        <f>IF($G1113="","",IFERROR(IF(INDEX(設定!$D$6:$D$21,MATCH($G1113,設定!$B$6:$B$21,0))=0,"",INDEX(設定!$D$6:$D$21,MATCH($G1113,設定!$B$6:$B$21,0))),""))</f>
        <v/>
      </c>
      <c r="I1113" s="83">
        <f>IF($G1113="","",IFERROR(IF(INDEX(設定!$E$6:$E$21,MATCH($G1113,設定!$B$6:$B$21,0))=0,"",INDEX(設定!$E$6:$E$21,MATCH($G1113,設定!$B$6:$B$21,0))),""))</f>
        <v/>
      </c>
      <c r="J1113" s="83">
        <f>IFERROR(INDEX(打卡匯入!$C$3:$C$2002,MATCH($C1113&amp;"|"&amp;DAY($A1113),打卡匯入!$E$3:$E$2002,0)),"")</f>
        <v/>
      </c>
      <c r="K1113" s="83">
        <f>IFERROR(INDEX(打卡匯入!$D$3:$D$2002,MATCH($C1113&amp;"|"&amp;DAY($A1113),打卡匯入!$E$3:$E$2002,0)),"")</f>
        <v/>
      </c>
      <c r="L1113" s="84">
        <f>IF(OR($J1113="",$K1113=""),"",IFERROR(INDEX(設定!$F$6:$F$21,MATCH($G1113,設定!$B$6:$B$21,0)),0))</f>
        <v/>
      </c>
      <c r="M1113" s="85">
        <f>IF(OR($J1113="",$K1113=""),"",ROUND(($K1113-$J1113)*24-$L1113/60,2))</f>
        <v/>
      </c>
      <c r="N1113" s="16">
        <f>IF($C1113="","",IF(AND(COUNTIF(設定!$B$15:$B$21,$G1113)&gt;0,$J1113&lt;&gt;""),"假日出勤",IF(AND(COUNTIF(設定!$B$6:$B$14,$G1113)&gt;0,$J1113=""),"未打卡",IF($J1113="","",IF($O1113&gt;0,"遲到",IF($P1113&gt;0,"早退","正常"))))))</f>
        <v/>
      </c>
      <c r="O1113" s="84">
        <f>IF(OR($C1113="",$H1113="",$J1113=""),0,IF(ROUND(($J1113-$H1113)*1440,0)&gt;設定!$C$46,ROUND(($J1113-$H1113)*1440,0),0))</f>
        <v/>
      </c>
      <c r="P1113" s="84">
        <f>IF(OR($C1113="",$I1113="",$K1113=""),0,IF(ROUND(($I1113-$K1113)*1440,0)&gt;設定!$C$46,ROUND(($I1113-$K1113)*1440,0),0))</f>
        <v/>
      </c>
      <c r="Q1113" s="85">
        <f>IF($M1113="",0,IF(($M1113-IFERROR(INDEX(設定!$G$6:$G$21,MATCH($G1113,設定!$B$6:$B$21,0)),0))*60&gt;=設定!$C$44,ROUND(FLOOR(($M1113-IFERROR(INDEX(設定!$G$6:$G$21,MATCH($G1113,設定!$B$6:$B$21,0)),0))*60,設定!$C$45)/60,2),0))</f>
        <v/>
      </c>
      <c r="R1113" s="16">
        <f>IF(OR($C1113="",$Q1113=0),"",IF($G1113="國","國定假日",IF($B1113="日","例假",IF($B1113="六","休息日","平日"))))</f>
        <v/>
      </c>
      <c r="S1113" s="19" t="n"/>
    </row>
    <row r="1114">
      <c r="A1114" s="82">
        <f>IF(OR(助理班表!$A40="",27&gt;DAY(EOMONTH(DATE(設定!$C$2,設定!$D$2,1),0))),"",DATE(設定!$C$2,設定!$D$2,27))</f>
        <v/>
      </c>
      <c r="B1114" s="16">
        <f>IF($A1114="","",INDEX(設定!$O$6:$O$12,WEEKDAY($A1114,1)))</f>
        <v/>
      </c>
      <c r="C1114" s="16">
        <f>IF($A1114="","",助理班表!$A40)</f>
        <v/>
      </c>
      <c r="D1114" s="16">
        <f>IF($C1114="","",助理班表!$B40)</f>
        <v/>
      </c>
      <c r="E1114" s="16">
        <f>IF($C1114="","",助理班表!$D40)</f>
        <v/>
      </c>
      <c r="F1114" s="16">
        <f>IF($C1114="","",助理班表!$C40)</f>
        <v/>
      </c>
      <c r="G1114" s="16">
        <f>IF($C1114="","",助理班表!AE40)</f>
        <v/>
      </c>
      <c r="H1114" s="83">
        <f>IF($G1114="","",IFERROR(IF(INDEX(設定!$D$6:$D$21,MATCH($G1114,設定!$B$6:$B$21,0))=0,"",INDEX(設定!$D$6:$D$21,MATCH($G1114,設定!$B$6:$B$21,0))),""))</f>
        <v/>
      </c>
      <c r="I1114" s="83">
        <f>IF($G1114="","",IFERROR(IF(INDEX(設定!$E$6:$E$21,MATCH($G1114,設定!$B$6:$B$21,0))=0,"",INDEX(設定!$E$6:$E$21,MATCH($G1114,設定!$B$6:$B$21,0))),""))</f>
        <v/>
      </c>
      <c r="J1114" s="83">
        <f>IFERROR(INDEX(打卡匯入!$C$3:$C$2002,MATCH($C1114&amp;"|"&amp;DAY($A1114),打卡匯入!$E$3:$E$2002,0)),"")</f>
        <v/>
      </c>
      <c r="K1114" s="83">
        <f>IFERROR(INDEX(打卡匯入!$D$3:$D$2002,MATCH($C1114&amp;"|"&amp;DAY($A1114),打卡匯入!$E$3:$E$2002,0)),"")</f>
        <v/>
      </c>
      <c r="L1114" s="84">
        <f>IF(OR($J1114="",$K1114=""),"",IFERROR(INDEX(設定!$F$6:$F$21,MATCH($G1114,設定!$B$6:$B$21,0)),0))</f>
        <v/>
      </c>
      <c r="M1114" s="85">
        <f>IF(OR($J1114="",$K1114=""),"",ROUND(($K1114-$J1114)*24-$L1114/60,2))</f>
        <v/>
      </c>
      <c r="N1114" s="16">
        <f>IF($C1114="","",IF(AND(COUNTIF(設定!$B$15:$B$21,$G1114)&gt;0,$J1114&lt;&gt;""),"假日出勤",IF(AND(COUNTIF(設定!$B$6:$B$14,$G1114)&gt;0,$J1114=""),"未打卡",IF($J1114="","",IF($O1114&gt;0,"遲到",IF($P1114&gt;0,"早退","正常"))))))</f>
        <v/>
      </c>
      <c r="O1114" s="84">
        <f>IF(OR($C1114="",$H1114="",$J1114=""),0,IF(ROUND(($J1114-$H1114)*1440,0)&gt;設定!$C$46,ROUND(($J1114-$H1114)*1440,0),0))</f>
        <v/>
      </c>
      <c r="P1114" s="84">
        <f>IF(OR($C1114="",$I1114="",$K1114=""),0,IF(ROUND(($I1114-$K1114)*1440,0)&gt;設定!$C$46,ROUND(($I1114-$K1114)*1440,0),0))</f>
        <v/>
      </c>
      <c r="Q1114" s="85">
        <f>IF($M1114="",0,IF(($M1114-IFERROR(INDEX(設定!$G$6:$G$21,MATCH($G1114,設定!$B$6:$B$21,0)),0))*60&gt;=設定!$C$44,ROUND(FLOOR(($M1114-IFERROR(INDEX(設定!$G$6:$G$21,MATCH($G1114,設定!$B$6:$B$21,0)),0))*60,設定!$C$45)/60,2),0))</f>
        <v/>
      </c>
      <c r="R1114" s="16">
        <f>IF(OR($C1114="",$Q1114=0),"",IF($G1114="國","國定假日",IF($B1114="日","例假",IF($B1114="六","休息日","平日"))))</f>
        <v/>
      </c>
      <c r="S1114" s="19" t="n"/>
    </row>
    <row r="1115">
      <c r="A1115" s="82">
        <f>IF(OR(助理班表!$A40="",28&gt;DAY(EOMONTH(DATE(設定!$C$2,設定!$D$2,1),0))),"",DATE(設定!$C$2,設定!$D$2,28))</f>
        <v/>
      </c>
      <c r="B1115" s="16">
        <f>IF($A1115="","",INDEX(設定!$O$6:$O$12,WEEKDAY($A1115,1)))</f>
        <v/>
      </c>
      <c r="C1115" s="16">
        <f>IF($A1115="","",助理班表!$A40)</f>
        <v/>
      </c>
      <c r="D1115" s="16">
        <f>IF($C1115="","",助理班表!$B40)</f>
        <v/>
      </c>
      <c r="E1115" s="16">
        <f>IF($C1115="","",助理班表!$D40)</f>
        <v/>
      </c>
      <c r="F1115" s="16">
        <f>IF($C1115="","",助理班表!$C40)</f>
        <v/>
      </c>
      <c r="G1115" s="16">
        <f>IF($C1115="","",助理班表!AF40)</f>
        <v/>
      </c>
      <c r="H1115" s="83">
        <f>IF($G1115="","",IFERROR(IF(INDEX(設定!$D$6:$D$21,MATCH($G1115,設定!$B$6:$B$21,0))=0,"",INDEX(設定!$D$6:$D$21,MATCH($G1115,設定!$B$6:$B$21,0))),""))</f>
        <v/>
      </c>
      <c r="I1115" s="83">
        <f>IF($G1115="","",IFERROR(IF(INDEX(設定!$E$6:$E$21,MATCH($G1115,設定!$B$6:$B$21,0))=0,"",INDEX(設定!$E$6:$E$21,MATCH($G1115,設定!$B$6:$B$21,0))),""))</f>
        <v/>
      </c>
      <c r="J1115" s="83">
        <f>IFERROR(INDEX(打卡匯入!$C$3:$C$2002,MATCH($C1115&amp;"|"&amp;DAY($A1115),打卡匯入!$E$3:$E$2002,0)),"")</f>
        <v/>
      </c>
      <c r="K1115" s="83">
        <f>IFERROR(INDEX(打卡匯入!$D$3:$D$2002,MATCH($C1115&amp;"|"&amp;DAY($A1115),打卡匯入!$E$3:$E$2002,0)),"")</f>
        <v/>
      </c>
      <c r="L1115" s="84">
        <f>IF(OR($J1115="",$K1115=""),"",IFERROR(INDEX(設定!$F$6:$F$21,MATCH($G1115,設定!$B$6:$B$21,0)),0))</f>
        <v/>
      </c>
      <c r="M1115" s="85">
        <f>IF(OR($J1115="",$K1115=""),"",ROUND(($K1115-$J1115)*24-$L1115/60,2))</f>
        <v/>
      </c>
      <c r="N1115" s="16">
        <f>IF($C1115="","",IF(AND(COUNTIF(設定!$B$15:$B$21,$G1115)&gt;0,$J1115&lt;&gt;""),"假日出勤",IF(AND(COUNTIF(設定!$B$6:$B$14,$G1115)&gt;0,$J1115=""),"未打卡",IF($J1115="","",IF($O1115&gt;0,"遲到",IF($P1115&gt;0,"早退","正常"))))))</f>
        <v/>
      </c>
      <c r="O1115" s="84">
        <f>IF(OR($C1115="",$H1115="",$J1115=""),0,IF(ROUND(($J1115-$H1115)*1440,0)&gt;設定!$C$46,ROUND(($J1115-$H1115)*1440,0),0))</f>
        <v/>
      </c>
      <c r="P1115" s="84">
        <f>IF(OR($C1115="",$I1115="",$K1115=""),0,IF(ROUND(($I1115-$K1115)*1440,0)&gt;設定!$C$46,ROUND(($I1115-$K1115)*1440,0),0))</f>
        <v/>
      </c>
      <c r="Q1115" s="85">
        <f>IF($M1115="",0,IF(($M1115-IFERROR(INDEX(設定!$G$6:$G$21,MATCH($G1115,設定!$B$6:$B$21,0)),0))*60&gt;=設定!$C$44,ROUND(FLOOR(($M1115-IFERROR(INDEX(設定!$G$6:$G$21,MATCH($G1115,設定!$B$6:$B$21,0)),0))*60,設定!$C$45)/60,2),0))</f>
        <v/>
      </c>
      <c r="R1115" s="16">
        <f>IF(OR($C1115="",$Q1115=0),"",IF($G1115="國","國定假日",IF($B1115="日","例假",IF($B1115="六","休息日","平日"))))</f>
        <v/>
      </c>
      <c r="S1115" s="19" t="n"/>
    </row>
    <row r="1116">
      <c r="A1116" s="82">
        <f>IF(OR(助理班表!$A40="",29&gt;DAY(EOMONTH(DATE(設定!$C$2,設定!$D$2,1),0))),"",DATE(設定!$C$2,設定!$D$2,29))</f>
        <v/>
      </c>
      <c r="B1116" s="16">
        <f>IF($A1116="","",INDEX(設定!$O$6:$O$12,WEEKDAY($A1116,1)))</f>
        <v/>
      </c>
      <c r="C1116" s="16">
        <f>IF($A1116="","",助理班表!$A40)</f>
        <v/>
      </c>
      <c r="D1116" s="16">
        <f>IF($C1116="","",助理班表!$B40)</f>
        <v/>
      </c>
      <c r="E1116" s="16">
        <f>IF($C1116="","",助理班表!$D40)</f>
        <v/>
      </c>
      <c r="F1116" s="16">
        <f>IF($C1116="","",助理班表!$C40)</f>
        <v/>
      </c>
      <c r="G1116" s="16">
        <f>IF($C1116="","",助理班表!AG40)</f>
        <v/>
      </c>
      <c r="H1116" s="83">
        <f>IF($G1116="","",IFERROR(IF(INDEX(設定!$D$6:$D$21,MATCH($G1116,設定!$B$6:$B$21,0))=0,"",INDEX(設定!$D$6:$D$21,MATCH($G1116,設定!$B$6:$B$21,0))),""))</f>
        <v/>
      </c>
      <c r="I1116" s="83">
        <f>IF($G1116="","",IFERROR(IF(INDEX(設定!$E$6:$E$21,MATCH($G1116,設定!$B$6:$B$21,0))=0,"",INDEX(設定!$E$6:$E$21,MATCH($G1116,設定!$B$6:$B$21,0))),""))</f>
        <v/>
      </c>
      <c r="J1116" s="83">
        <f>IFERROR(INDEX(打卡匯入!$C$3:$C$2002,MATCH($C1116&amp;"|"&amp;DAY($A1116),打卡匯入!$E$3:$E$2002,0)),"")</f>
        <v/>
      </c>
      <c r="K1116" s="83">
        <f>IFERROR(INDEX(打卡匯入!$D$3:$D$2002,MATCH($C1116&amp;"|"&amp;DAY($A1116),打卡匯入!$E$3:$E$2002,0)),"")</f>
        <v/>
      </c>
      <c r="L1116" s="84">
        <f>IF(OR($J1116="",$K1116=""),"",IFERROR(INDEX(設定!$F$6:$F$21,MATCH($G1116,設定!$B$6:$B$21,0)),0))</f>
        <v/>
      </c>
      <c r="M1116" s="85">
        <f>IF(OR($J1116="",$K1116=""),"",ROUND(($K1116-$J1116)*24-$L1116/60,2))</f>
        <v/>
      </c>
      <c r="N1116" s="16">
        <f>IF($C1116="","",IF(AND(COUNTIF(設定!$B$15:$B$21,$G1116)&gt;0,$J1116&lt;&gt;""),"假日出勤",IF(AND(COUNTIF(設定!$B$6:$B$14,$G1116)&gt;0,$J1116=""),"未打卡",IF($J1116="","",IF($O1116&gt;0,"遲到",IF($P1116&gt;0,"早退","正常"))))))</f>
        <v/>
      </c>
      <c r="O1116" s="84">
        <f>IF(OR($C1116="",$H1116="",$J1116=""),0,IF(ROUND(($J1116-$H1116)*1440,0)&gt;設定!$C$46,ROUND(($J1116-$H1116)*1440,0),0))</f>
        <v/>
      </c>
      <c r="P1116" s="84">
        <f>IF(OR($C1116="",$I1116="",$K1116=""),0,IF(ROUND(($I1116-$K1116)*1440,0)&gt;設定!$C$46,ROUND(($I1116-$K1116)*1440,0),0))</f>
        <v/>
      </c>
      <c r="Q1116" s="85">
        <f>IF($M1116="",0,IF(($M1116-IFERROR(INDEX(設定!$G$6:$G$21,MATCH($G1116,設定!$B$6:$B$21,0)),0))*60&gt;=設定!$C$44,ROUND(FLOOR(($M1116-IFERROR(INDEX(設定!$G$6:$G$21,MATCH($G1116,設定!$B$6:$B$21,0)),0))*60,設定!$C$45)/60,2),0))</f>
        <v/>
      </c>
      <c r="R1116" s="16">
        <f>IF(OR($C1116="",$Q1116=0),"",IF($G1116="國","國定假日",IF($B1116="日","例假",IF($B1116="六","休息日","平日"))))</f>
        <v/>
      </c>
      <c r="S1116" s="19" t="n"/>
    </row>
    <row r="1117">
      <c r="A1117" s="82">
        <f>IF(OR(助理班表!$A40="",30&gt;DAY(EOMONTH(DATE(設定!$C$2,設定!$D$2,1),0))),"",DATE(設定!$C$2,設定!$D$2,30))</f>
        <v/>
      </c>
      <c r="B1117" s="16">
        <f>IF($A1117="","",INDEX(設定!$O$6:$O$12,WEEKDAY($A1117,1)))</f>
        <v/>
      </c>
      <c r="C1117" s="16">
        <f>IF($A1117="","",助理班表!$A40)</f>
        <v/>
      </c>
      <c r="D1117" s="16">
        <f>IF($C1117="","",助理班表!$B40)</f>
        <v/>
      </c>
      <c r="E1117" s="16">
        <f>IF($C1117="","",助理班表!$D40)</f>
        <v/>
      </c>
      <c r="F1117" s="16">
        <f>IF($C1117="","",助理班表!$C40)</f>
        <v/>
      </c>
      <c r="G1117" s="16">
        <f>IF($C1117="","",助理班表!AH40)</f>
        <v/>
      </c>
      <c r="H1117" s="83">
        <f>IF($G1117="","",IFERROR(IF(INDEX(設定!$D$6:$D$21,MATCH($G1117,設定!$B$6:$B$21,0))=0,"",INDEX(設定!$D$6:$D$21,MATCH($G1117,設定!$B$6:$B$21,0))),""))</f>
        <v/>
      </c>
      <c r="I1117" s="83">
        <f>IF($G1117="","",IFERROR(IF(INDEX(設定!$E$6:$E$21,MATCH($G1117,設定!$B$6:$B$21,0))=0,"",INDEX(設定!$E$6:$E$21,MATCH($G1117,設定!$B$6:$B$21,0))),""))</f>
        <v/>
      </c>
      <c r="J1117" s="83">
        <f>IFERROR(INDEX(打卡匯入!$C$3:$C$2002,MATCH($C1117&amp;"|"&amp;DAY($A1117),打卡匯入!$E$3:$E$2002,0)),"")</f>
        <v/>
      </c>
      <c r="K1117" s="83">
        <f>IFERROR(INDEX(打卡匯入!$D$3:$D$2002,MATCH($C1117&amp;"|"&amp;DAY($A1117),打卡匯入!$E$3:$E$2002,0)),"")</f>
        <v/>
      </c>
      <c r="L1117" s="84">
        <f>IF(OR($J1117="",$K1117=""),"",IFERROR(INDEX(設定!$F$6:$F$21,MATCH($G1117,設定!$B$6:$B$21,0)),0))</f>
        <v/>
      </c>
      <c r="M1117" s="85">
        <f>IF(OR($J1117="",$K1117=""),"",ROUND(($K1117-$J1117)*24-$L1117/60,2))</f>
        <v/>
      </c>
      <c r="N1117" s="16">
        <f>IF($C1117="","",IF(AND(COUNTIF(設定!$B$15:$B$21,$G1117)&gt;0,$J1117&lt;&gt;""),"假日出勤",IF(AND(COUNTIF(設定!$B$6:$B$14,$G1117)&gt;0,$J1117=""),"未打卡",IF($J1117="","",IF($O1117&gt;0,"遲到",IF($P1117&gt;0,"早退","正常"))))))</f>
        <v/>
      </c>
      <c r="O1117" s="84">
        <f>IF(OR($C1117="",$H1117="",$J1117=""),0,IF(ROUND(($J1117-$H1117)*1440,0)&gt;設定!$C$46,ROUND(($J1117-$H1117)*1440,0),0))</f>
        <v/>
      </c>
      <c r="P1117" s="84">
        <f>IF(OR($C1117="",$I1117="",$K1117=""),0,IF(ROUND(($I1117-$K1117)*1440,0)&gt;設定!$C$46,ROUND(($I1117-$K1117)*1440,0),0))</f>
        <v/>
      </c>
      <c r="Q1117" s="85">
        <f>IF($M1117="",0,IF(($M1117-IFERROR(INDEX(設定!$G$6:$G$21,MATCH($G1117,設定!$B$6:$B$21,0)),0))*60&gt;=設定!$C$44,ROUND(FLOOR(($M1117-IFERROR(INDEX(設定!$G$6:$G$21,MATCH($G1117,設定!$B$6:$B$21,0)),0))*60,設定!$C$45)/60,2),0))</f>
        <v/>
      </c>
      <c r="R1117" s="16">
        <f>IF(OR($C1117="",$Q1117=0),"",IF($G1117="國","國定假日",IF($B1117="日","例假",IF($B1117="六","休息日","平日"))))</f>
        <v/>
      </c>
      <c r="S1117" s="19" t="n"/>
    </row>
    <row r="1118">
      <c r="A1118" s="82">
        <f>IF(OR(助理班表!$A40="",31&gt;DAY(EOMONTH(DATE(設定!$C$2,設定!$D$2,1),0))),"",DATE(設定!$C$2,設定!$D$2,31))</f>
        <v/>
      </c>
      <c r="B1118" s="16">
        <f>IF($A1118="","",INDEX(設定!$O$6:$O$12,WEEKDAY($A1118,1)))</f>
        <v/>
      </c>
      <c r="C1118" s="16">
        <f>IF($A1118="","",助理班表!$A40)</f>
        <v/>
      </c>
      <c r="D1118" s="16">
        <f>IF($C1118="","",助理班表!$B40)</f>
        <v/>
      </c>
      <c r="E1118" s="16">
        <f>IF($C1118="","",助理班表!$D40)</f>
        <v/>
      </c>
      <c r="F1118" s="16">
        <f>IF($C1118="","",助理班表!$C40)</f>
        <v/>
      </c>
      <c r="G1118" s="16">
        <f>IF($C1118="","",助理班表!AI40)</f>
        <v/>
      </c>
      <c r="H1118" s="83">
        <f>IF($G1118="","",IFERROR(IF(INDEX(設定!$D$6:$D$21,MATCH($G1118,設定!$B$6:$B$21,0))=0,"",INDEX(設定!$D$6:$D$21,MATCH($G1118,設定!$B$6:$B$21,0))),""))</f>
        <v/>
      </c>
      <c r="I1118" s="83">
        <f>IF($G1118="","",IFERROR(IF(INDEX(設定!$E$6:$E$21,MATCH($G1118,設定!$B$6:$B$21,0))=0,"",INDEX(設定!$E$6:$E$21,MATCH($G1118,設定!$B$6:$B$21,0))),""))</f>
        <v/>
      </c>
      <c r="J1118" s="83">
        <f>IFERROR(INDEX(打卡匯入!$C$3:$C$2002,MATCH($C1118&amp;"|"&amp;DAY($A1118),打卡匯入!$E$3:$E$2002,0)),"")</f>
        <v/>
      </c>
      <c r="K1118" s="83">
        <f>IFERROR(INDEX(打卡匯入!$D$3:$D$2002,MATCH($C1118&amp;"|"&amp;DAY($A1118),打卡匯入!$E$3:$E$2002,0)),"")</f>
        <v/>
      </c>
      <c r="L1118" s="84">
        <f>IF(OR($J1118="",$K1118=""),"",IFERROR(INDEX(設定!$F$6:$F$21,MATCH($G1118,設定!$B$6:$B$21,0)),0))</f>
        <v/>
      </c>
      <c r="M1118" s="85">
        <f>IF(OR($J1118="",$K1118=""),"",ROUND(($K1118-$J1118)*24-$L1118/60,2))</f>
        <v/>
      </c>
      <c r="N1118" s="16">
        <f>IF($C1118="","",IF(AND(COUNTIF(設定!$B$15:$B$21,$G1118)&gt;0,$J1118&lt;&gt;""),"假日出勤",IF(AND(COUNTIF(設定!$B$6:$B$14,$G1118)&gt;0,$J1118=""),"未打卡",IF($J1118="","",IF($O1118&gt;0,"遲到",IF($P1118&gt;0,"早退","正常"))))))</f>
        <v/>
      </c>
      <c r="O1118" s="84">
        <f>IF(OR($C1118="",$H1118="",$J1118=""),0,IF(ROUND(($J1118-$H1118)*1440,0)&gt;設定!$C$46,ROUND(($J1118-$H1118)*1440,0),0))</f>
        <v/>
      </c>
      <c r="P1118" s="84">
        <f>IF(OR($C1118="",$I1118="",$K1118=""),0,IF(ROUND(($I1118-$K1118)*1440,0)&gt;設定!$C$46,ROUND(($I1118-$K1118)*1440,0),0))</f>
        <v/>
      </c>
      <c r="Q1118" s="85">
        <f>IF($M1118="",0,IF(($M1118-IFERROR(INDEX(設定!$G$6:$G$21,MATCH($G1118,設定!$B$6:$B$21,0)),0))*60&gt;=設定!$C$44,ROUND(FLOOR(($M1118-IFERROR(INDEX(設定!$G$6:$G$21,MATCH($G1118,設定!$B$6:$B$21,0)),0))*60,設定!$C$45)/60,2),0))</f>
        <v/>
      </c>
      <c r="R1118" s="16">
        <f>IF(OR($C1118="",$Q1118=0),"",IF($G1118="國","國定假日",IF($B1118="日","例假",IF($B1118="六","休息日","平日"))))</f>
        <v/>
      </c>
      <c r="S1118" s="19" t="n"/>
    </row>
    <row r="1119">
      <c r="A1119" s="82">
        <f>IF(OR(助理班表!$A41="",1&gt;DAY(EOMONTH(DATE(設定!$C$2,設定!$D$2,1),0))),"",DATE(設定!$C$2,設定!$D$2,1))</f>
        <v/>
      </c>
      <c r="B1119" s="16">
        <f>IF($A1119="","",INDEX(設定!$O$6:$O$12,WEEKDAY($A1119,1)))</f>
        <v/>
      </c>
      <c r="C1119" s="16">
        <f>IF($A1119="","",助理班表!$A41)</f>
        <v/>
      </c>
      <c r="D1119" s="16">
        <f>IF($C1119="","",助理班表!$B41)</f>
        <v/>
      </c>
      <c r="E1119" s="16">
        <f>IF($C1119="","",助理班表!$D41)</f>
        <v/>
      </c>
      <c r="F1119" s="16">
        <f>IF($C1119="","",助理班表!$C41)</f>
        <v/>
      </c>
      <c r="G1119" s="16">
        <f>IF($C1119="","",助理班表!E41)</f>
        <v/>
      </c>
      <c r="H1119" s="83">
        <f>IF($G1119="","",IFERROR(IF(INDEX(設定!$D$6:$D$21,MATCH($G1119,設定!$B$6:$B$21,0))=0,"",INDEX(設定!$D$6:$D$21,MATCH($G1119,設定!$B$6:$B$21,0))),""))</f>
        <v/>
      </c>
      <c r="I1119" s="83">
        <f>IF($G1119="","",IFERROR(IF(INDEX(設定!$E$6:$E$21,MATCH($G1119,設定!$B$6:$B$21,0))=0,"",INDEX(設定!$E$6:$E$21,MATCH($G1119,設定!$B$6:$B$21,0))),""))</f>
        <v/>
      </c>
      <c r="J1119" s="83">
        <f>IFERROR(INDEX(打卡匯入!$C$3:$C$2002,MATCH($C1119&amp;"|"&amp;DAY($A1119),打卡匯入!$E$3:$E$2002,0)),"")</f>
        <v/>
      </c>
      <c r="K1119" s="83">
        <f>IFERROR(INDEX(打卡匯入!$D$3:$D$2002,MATCH($C1119&amp;"|"&amp;DAY($A1119),打卡匯入!$E$3:$E$2002,0)),"")</f>
        <v/>
      </c>
      <c r="L1119" s="84">
        <f>IF(OR($J1119="",$K1119=""),"",IFERROR(INDEX(設定!$F$6:$F$21,MATCH($G1119,設定!$B$6:$B$21,0)),0))</f>
        <v/>
      </c>
      <c r="M1119" s="85">
        <f>IF(OR($J1119="",$K1119=""),"",ROUND(($K1119-$J1119)*24-$L1119/60,2))</f>
        <v/>
      </c>
      <c r="N1119" s="16">
        <f>IF($C1119="","",IF(AND(COUNTIF(設定!$B$15:$B$21,$G1119)&gt;0,$J1119&lt;&gt;""),"假日出勤",IF(AND(COUNTIF(設定!$B$6:$B$14,$G1119)&gt;0,$J1119=""),"未打卡",IF($J1119="","",IF($O1119&gt;0,"遲到",IF($P1119&gt;0,"早退","正常"))))))</f>
        <v/>
      </c>
      <c r="O1119" s="84">
        <f>IF(OR($C1119="",$H1119="",$J1119=""),0,IF(ROUND(($J1119-$H1119)*1440,0)&gt;設定!$C$46,ROUND(($J1119-$H1119)*1440,0),0))</f>
        <v/>
      </c>
      <c r="P1119" s="84">
        <f>IF(OR($C1119="",$I1119="",$K1119=""),0,IF(ROUND(($I1119-$K1119)*1440,0)&gt;設定!$C$46,ROUND(($I1119-$K1119)*1440,0),0))</f>
        <v/>
      </c>
      <c r="Q1119" s="85">
        <f>IF($M1119="",0,IF(($M1119-IFERROR(INDEX(設定!$G$6:$G$21,MATCH($G1119,設定!$B$6:$B$21,0)),0))*60&gt;=設定!$C$44,ROUND(FLOOR(($M1119-IFERROR(INDEX(設定!$G$6:$G$21,MATCH($G1119,設定!$B$6:$B$21,0)),0))*60,設定!$C$45)/60,2),0))</f>
        <v/>
      </c>
      <c r="R1119" s="16">
        <f>IF(OR($C1119="",$Q1119=0),"",IF($G1119="國","國定假日",IF($B1119="日","例假",IF($B1119="六","休息日","平日"))))</f>
        <v/>
      </c>
      <c r="S1119" s="19" t="n"/>
    </row>
    <row r="1120">
      <c r="A1120" s="82">
        <f>IF(OR(助理班表!$A41="",2&gt;DAY(EOMONTH(DATE(設定!$C$2,設定!$D$2,1),0))),"",DATE(設定!$C$2,設定!$D$2,2))</f>
        <v/>
      </c>
      <c r="B1120" s="16">
        <f>IF($A1120="","",INDEX(設定!$O$6:$O$12,WEEKDAY($A1120,1)))</f>
        <v/>
      </c>
      <c r="C1120" s="16">
        <f>IF($A1120="","",助理班表!$A41)</f>
        <v/>
      </c>
      <c r="D1120" s="16">
        <f>IF($C1120="","",助理班表!$B41)</f>
        <v/>
      </c>
      <c r="E1120" s="16">
        <f>IF($C1120="","",助理班表!$D41)</f>
        <v/>
      </c>
      <c r="F1120" s="16">
        <f>IF($C1120="","",助理班表!$C41)</f>
        <v/>
      </c>
      <c r="G1120" s="16">
        <f>IF($C1120="","",助理班表!F41)</f>
        <v/>
      </c>
      <c r="H1120" s="83">
        <f>IF($G1120="","",IFERROR(IF(INDEX(設定!$D$6:$D$21,MATCH($G1120,設定!$B$6:$B$21,0))=0,"",INDEX(設定!$D$6:$D$21,MATCH($G1120,設定!$B$6:$B$21,0))),""))</f>
        <v/>
      </c>
      <c r="I1120" s="83">
        <f>IF($G1120="","",IFERROR(IF(INDEX(設定!$E$6:$E$21,MATCH($G1120,設定!$B$6:$B$21,0))=0,"",INDEX(設定!$E$6:$E$21,MATCH($G1120,設定!$B$6:$B$21,0))),""))</f>
        <v/>
      </c>
      <c r="J1120" s="83">
        <f>IFERROR(INDEX(打卡匯入!$C$3:$C$2002,MATCH($C1120&amp;"|"&amp;DAY($A1120),打卡匯入!$E$3:$E$2002,0)),"")</f>
        <v/>
      </c>
      <c r="K1120" s="83">
        <f>IFERROR(INDEX(打卡匯入!$D$3:$D$2002,MATCH($C1120&amp;"|"&amp;DAY($A1120),打卡匯入!$E$3:$E$2002,0)),"")</f>
        <v/>
      </c>
      <c r="L1120" s="84">
        <f>IF(OR($J1120="",$K1120=""),"",IFERROR(INDEX(設定!$F$6:$F$21,MATCH($G1120,設定!$B$6:$B$21,0)),0))</f>
        <v/>
      </c>
      <c r="M1120" s="85">
        <f>IF(OR($J1120="",$K1120=""),"",ROUND(($K1120-$J1120)*24-$L1120/60,2))</f>
        <v/>
      </c>
      <c r="N1120" s="16">
        <f>IF($C1120="","",IF(AND(COUNTIF(設定!$B$15:$B$21,$G1120)&gt;0,$J1120&lt;&gt;""),"假日出勤",IF(AND(COUNTIF(設定!$B$6:$B$14,$G1120)&gt;0,$J1120=""),"未打卡",IF($J1120="","",IF($O1120&gt;0,"遲到",IF($P1120&gt;0,"早退","正常"))))))</f>
        <v/>
      </c>
      <c r="O1120" s="84">
        <f>IF(OR($C1120="",$H1120="",$J1120=""),0,IF(ROUND(($J1120-$H1120)*1440,0)&gt;設定!$C$46,ROUND(($J1120-$H1120)*1440,0),0))</f>
        <v/>
      </c>
      <c r="P1120" s="84">
        <f>IF(OR($C1120="",$I1120="",$K1120=""),0,IF(ROUND(($I1120-$K1120)*1440,0)&gt;設定!$C$46,ROUND(($I1120-$K1120)*1440,0),0))</f>
        <v/>
      </c>
      <c r="Q1120" s="85">
        <f>IF($M1120="",0,IF(($M1120-IFERROR(INDEX(設定!$G$6:$G$21,MATCH($G1120,設定!$B$6:$B$21,0)),0))*60&gt;=設定!$C$44,ROUND(FLOOR(($M1120-IFERROR(INDEX(設定!$G$6:$G$21,MATCH($G1120,設定!$B$6:$B$21,0)),0))*60,設定!$C$45)/60,2),0))</f>
        <v/>
      </c>
      <c r="R1120" s="16">
        <f>IF(OR($C1120="",$Q1120=0),"",IF($G1120="國","國定假日",IF($B1120="日","例假",IF($B1120="六","休息日","平日"))))</f>
        <v/>
      </c>
      <c r="S1120" s="19" t="n"/>
    </row>
    <row r="1121">
      <c r="A1121" s="82">
        <f>IF(OR(助理班表!$A41="",3&gt;DAY(EOMONTH(DATE(設定!$C$2,設定!$D$2,1),0))),"",DATE(設定!$C$2,設定!$D$2,3))</f>
        <v/>
      </c>
      <c r="B1121" s="16">
        <f>IF($A1121="","",INDEX(設定!$O$6:$O$12,WEEKDAY($A1121,1)))</f>
        <v/>
      </c>
      <c r="C1121" s="16">
        <f>IF($A1121="","",助理班表!$A41)</f>
        <v/>
      </c>
      <c r="D1121" s="16">
        <f>IF($C1121="","",助理班表!$B41)</f>
        <v/>
      </c>
      <c r="E1121" s="16">
        <f>IF($C1121="","",助理班表!$D41)</f>
        <v/>
      </c>
      <c r="F1121" s="16">
        <f>IF($C1121="","",助理班表!$C41)</f>
        <v/>
      </c>
      <c r="G1121" s="16">
        <f>IF($C1121="","",助理班表!G41)</f>
        <v/>
      </c>
      <c r="H1121" s="83">
        <f>IF($G1121="","",IFERROR(IF(INDEX(設定!$D$6:$D$21,MATCH($G1121,設定!$B$6:$B$21,0))=0,"",INDEX(設定!$D$6:$D$21,MATCH($G1121,設定!$B$6:$B$21,0))),""))</f>
        <v/>
      </c>
      <c r="I1121" s="83">
        <f>IF($G1121="","",IFERROR(IF(INDEX(設定!$E$6:$E$21,MATCH($G1121,設定!$B$6:$B$21,0))=0,"",INDEX(設定!$E$6:$E$21,MATCH($G1121,設定!$B$6:$B$21,0))),""))</f>
        <v/>
      </c>
      <c r="J1121" s="83">
        <f>IFERROR(INDEX(打卡匯入!$C$3:$C$2002,MATCH($C1121&amp;"|"&amp;DAY($A1121),打卡匯入!$E$3:$E$2002,0)),"")</f>
        <v/>
      </c>
      <c r="K1121" s="83">
        <f>IFERROR(INDEX(打卡匯入!$D$3:$D$2002,MATCH($C1121&amp;"|"&amp;DAY($A1121),打卡匯入!$E$3:$E$2002,0)),"")</f>
        <v/>
      </c>
      <c r="L1121" s="84">
        <f>IF(OR($J1121="",$K1121=""),"",IFERROR(INDEX(設定!$F$6:$F$21,MATCH($G1121,設定!$B$6:$B$21,0)),0))</f>
        <v/>
      </c>
      <c r="M1121" s="85">
        <f>IF(OR($J1121="",$K1121=""),"",ROUND(($K1121-$J1121)*24-$L1121/60,2))</f>
        <v/>
      </c>
      <c r="N1121" s="16">
        <f>IF($C1121="","",IF(AND(COUNTIF(設定!$B$15:$B$21,$G1121)&gt;0,$J1121&lt;&gt;""),"假日出勤",IF(AND(COUNTIF(設定!$B$6:$B$14,$G1121)&gt;0,$J1121=""),"未打卡",IF($J1121="","",IF($O1121&gt;0,"遲到",IF($P1121&gt;0,"早退","正常"))))))</f>
        <v/>
      </c>
      <c r="O1121" s="84">
        <f>IF(OR($C1121="",$H1121="",$J1121=""),0,IF(ROUND(($J1121-$H1121)*1440,0)&gt;設定!$C$46,ROUND(($J1121-$H1121)*1440,0),0))</f>
        <v/>
      </c>
      <c r="P1121" s="84">
        <f>IF(OR($C1121="",$I1121="",$K1121=""),0,IF(ROUND(($I1121-$K1121)*1440,0)&gt;設定!$C$46,ROUND(($I1121-$K1121)*1440,0),0))</f>
        <v/>
      </c>
      <c r="Q1121" s="85">
        <f>IF($M1121="",0,IF(($M1121-IFERROR(INDEX(設定!$G$6:$G$21,MATCH($G1121,設定!$B$6:$B$21,0)),0))*60&gt;=設定!$C$44,ROUND(FLOOR(($M1121-IFERROR(INDEX(設定!$G$6:$G$21,MATCH($G1121,設定!$B$6:$B$21,0)),0))*60,設定!$C$45)/60,2),0))</f>
        <v/>
      </c>
      <c r="R1121" s="16">
        <f>IF(OR($C1121="",$Q1121=0),"",IF($G1121="國","國定假日",IF($B1121="日","例假",IF($B1121="六","休息日","平日"))))</f>
        <v/>
      </c>
      <c r="S1121" s="19" t="n"/>
    </row>
    <row r="1122">
      <c r="A1122" s="82">
        <f>IF(OR(助理班表!$A41="",4&gt;DAY(EOMONTH(DATE(設定!$C$2,設定!$D$2,1),0))),"",DATE(設定!$C$2,設定!$D$2,4))</f>
        <v/>
      </c>
      <c r="B1122" s="16">
        <f>IF($A1122="","",INDEX(設定!$O$6:$O$12,WEEKDAY($A1122,1)))</f>
        <v/>
      </c>
      <c r="C1122" s="16">
        <f>IF($A1122="","",助理班表!$A41)</f>
        <v/>
      </c>
      <c r="D1122" s="16">
        <f>IF($C1122="","",助理班表!$B41)</f>
        <v/>
      </c>
      <c r="E1122" s="16">
        <f>IF($C1122="","",助理班表!$D41)</f>
        <v/>
      </c>
      <c r="F1122" s="16">
        <f>IF($C1122="","",助理班表!$C41)</f>
        <v/>
      </c>
      <c r="G1122" s="16">
        <f>IF($C1122="","",助理班表!H41)</f>
        <v/>
      </c>
      <c r="H1122" s="83">
        <f>IF($G1122="","",IFERROR(IF(INDEX(設定!$D$6:$D$21,MATCH($G1122,設定!$B$6:$B$21,0))=0,"",INDEX(設定!$D$6:$D$21,MATCH($G1122,設定!$B$6:$B$21,0))),""))</f>
        <v/>
      </c>
      <c r="I1122" s="83">
        <f>IF($G1122="","",IFERROR(IF(INDEX(設定!$E$6:$E$21,MATCH($G1122,設定!$B$6:$B$21,0))=0,"",INDEX(設定!$E$6:$E$21,MATCH($G1122,設定!$B$6:$B$21,0))),""))</f>
        <v/>
      </c>
      <c r="J1122" s="83">
        <f>IFERROR(INDEX(打卡匯入!$C$3:$C$2002,MATCH($C1122&amp;"|"&amp;DAY($A1122),打卡匯入!$E$3:$E$2002,0)),"")</f>
        <v/>
      </c>
      <c r="K1122" s="83">
        <f>IFERROR(INDEX(打卡匯入!$D$3:$D$2002,MATCH($C1122&amp;"|"&amp;DAY($A1122),打卡匯入!$E$3:$E$2002,0)),"")</f>
        <v/>
      </c>
      <c r="L1122" s="84">
        <f>IF(OR($J1122="",$K1122=""),"",IFERROR(INDEX(設定!$F$6:$F$21,MATCH($G1122,設定!$B$6:$B$21,0)),0))</f>
        <v/>
      </c>
      <c r="M1122" s="85">
        <f>IF(OR($J1122="",$K1122=""),"",ROUND(($K1122-$J1122)*24-$L1122/60,2))</f>
        <v/>
      </c>
      <c r="N1122" s="16">
        <f>IF($C1122="","",IF(AND(COUNTIF(設定!$B$15:$B$21,$G1122)&gt;0,$J1122&lt;&gt;""),"假日出勤",IF(AND(COUNTIF(設定!$B$6:$B$14,$G1122)&gt;0,$J1122=""),"未打卡",IF($J1122="","",IF($O1122&gt;0,"遲到",IF($P1122&gt;0,"早退","正常"))))))</f>
        <v/>
      </c>
      <c r="O1122" s="84">
        <f>IF(OR($C1122="",$H1122="",$J1122=""),0,IF(ROUND(($J1122-$H1122)*1440,0)&gt;設定!$C$46,ROUND(($J1122-$H1122)*1440,0),0))</f>
        <v/>
      </c>
      <c r="P1122" s="84">
        <f>IF(OR($C1122="",$I1122="",$K1122=""),0,IF(ROUND(($I1122-$K1122)*1440,0)&gt;設定!$C$46,ROUND(($I1122-$K1122)*1440,0),0))</f>
        <v/>
      </c>
      <c r="Q1122" s="85">
        <f>IF($M1122="",0,IF(($M1122-IFERROR(INDEX(設定!$G$6:$G$21,MATCH($G1122,設定!$B$6:$B$21,0)),0))*60&gt;=設定!$C$44,ROUND(FLOOR(($M1122-IFERROR(INDEX(設定!$G$6:$G$21,MATCH($G1122,設定!$B$6:$B$21,0)),0))*60,設定!$C$45)/60,2),0))</f>
        <v/>
      </c>
      <c r="R1122" s="16">
        <f>IF(OR($C1122="",$Q1122=0),"",IF($G1122="國","國定假日",IF($B1122="日","例假",IF($B1122="六","休息日","平日"))))</f>
        <v/>
      </c>
      <c r="S1122" s="19" t="n"/>
    </row>
    <row r="1123">
      <c r="A1123" s="82">
        <f>IF(OR(助理班表!$A41="",5&gt;DAY(EOMONTH(DATE(設定!$C$2,設定!$D$2,1),0))),"",DATE(設定!$C$2,設定!$D$2,5))</f>
        <v/>
      </c>
      <c r="B1123" s="16">
        <f>IF($A1123="","",INDEX(設定!$O$6:$O$12,WEEKDAY($A1123,1)))</f>
        <v/>
      </c>
      <c r="C1123" s="16">
        <f>IF($A1123="","",助理班表!$A41)</f>
        <v/>
      </c>
      <c r="D1123" s="16">
        <f>IF($C1123="","",助理班表!$B41)</f>
        <v/>
      </c>
      <c r="E1123" s="16">
        <f>IF($C1123="","",助理班表!$D41)</f>
        <v/>
      </c>
      <c r="F1123" s="16">
        <f>IF($C1123="","",助理班表!$C41)</f>
        <v/>
      </c>
      <c r="G1123" s="16">
        <f>IF($C1123="","",助理班表!I41)</f>
        <v/>
      </c>
      <c r="H1123" s="83">
        <f>IF($G1123="","",IFERROR(IF(INDEX(設定!$D$6:$D$21,MATCH($G1123,設定!$B$6:$B$21,0))=0,"",INDEX(設定!$D$6:$D$21,MATCH($G1123,設定!$B$6:$B$21,0))),""))</f>
        <v/>
      </c>
      <c r="I1123" s="83">
        <f>IF($G1123="","",IFERROR(IF(INDEX(設定!$E$6:$E$21,MATCH($G1123,設定!$B$6:$B$21,0))=0,"",INDEX(設定!$E$6:$E$21,MATCH($G1123,設定!$B$6:$B$21,0))),""))</f>
        <v/>
      </c>
      <c r="J1123" s="83">
        <f>IFERROR(INDEX(打卡匯入!$C$3:$C$2002,MATCH($C1123&amp;"|"&amp;DAY($A1123),打卡匯入!$E$3:$E$2002,0)),"")</f>
        <v/>
      </c>
      <c r="K1123" s="83">
        <f>IFERROR(INDEX(打卡匯入!$D$3:$D$2002,MATCH($C1123&amp;"|"&amp;DAY($A1123),打卡匯入!$E$3:$E$2002,0)),"")</f>
        <v/>
      </c>
      <c r="L1123" s="84">
        <f>IF(OR($J1123="",$K1123=""),"",IFERROR(INDEX(設定!$F$6:$F$21,MATCH($G1123,設定!$B$6:$B$21,0)),0))</f>
        <v/>
      </c>
      <c r="M1123" s="85">
        <f>IF(OR($J1123="",$K1123=""),"",ROUND(($K1123-$J1123)*24-$L1123/60,2))</f>
        <v/>
      </c>
      <c r="N1123" s="16">
        <f>IF($C1123="","",IF(AND(COUNTIF(設定!$B$15:$B$21,$G1123)&gt;0,$J1123&lt;&gt;""),"假日出勤",IF(AND(COUNTIF(設定!$B$6:$B$14,$G1123)&gt;0,$J1123=""),"未打卡",IF($J1123="","",IF($O1123&gt;0,"遲到",IF($P1123&gt;0,"早退","正常"))))))</f>
        <v/>
      </c>
      <c r="O1123" s="84">
        <f>IF(OR($C1123="",$H1123="",$J1123=""),0,IF(ROUND(($J1123-$H1123)*1440,0)&gt;設定!$C$46,ROUND(($J1123-$H1123)*1440,0),0))</f>
        <v/>
      </c>
      <c r="P1123" s="84">
        <f>IF(OR($C1123="",$I1123="",$K1123=""),0,IF(ROUND(($I1123-$K1123)*1440,0)&gt;設定!$C$46,ROUND(($I1123-$K1123)*1440,0),0))</f>
        <v/>
      </c>
      <c r="Q1123" s="85">
        <f>IF($M1123="",0,IF(($M1123-IFERROR(INDEX(設定!$G$6:$G$21,MATCH($G1123,設定!$B$6:$B$21,0)),0))*60&gt;=設定!$C$44,ROUND(FLOOR(($M1123-IFERROR(INDEX(設定!$G$6:$G$21,MATCH($G1123,設定!$B$6:$B$21,0)),0))*60,設定!$C$45)/60,2),0))</f>
        <v/>
      </c>
      <c r="R1123" s="16">
        <f>IF(OR($C1123="",$Q1123=0),"",IF($G1123="國","國定假日",IF($B1123="日","例假",IF($B1123="六","休息日","平日"))))</f>
        <v/>
      </c>
      <c r="S1123" s="19" t="n"/>
    </row>
    <row r="1124">
      <c r="A1124" s="82">
        <f>IF(OR(助理班表!$A41="",6&gt;DAY(EOMONTH(DATE(設定!$C$2,設定!$D$2,1),0))),"",DATE(設定!$C$2,設定!$D$2,6))</f>
        <v/>
      </c>
      <c r="B1124" s="16">
        <f>IF($A1124="","",INDEX(設定!$O$6:$O$12,WEEKDAY($A1124,1)))</f>
        <v/>
      </c>
      <c r="C1124" s="16">
        <f>IF($A1124="","",助理班表!$A41)</f>
        <v/>
      </c>
      <c r="D1124" s="16">
        <f>IF($C1124="","",助理班表!$B41)</f>
        <v/>
      </c>
      <c r="E1124" s="16">
        <f>IF($C1124="","",助理班表!$D41)</f>
        <v/>
      </c>
      <c r="F1124" s="16">
        <f>IF($C1124="","",助理班表!$C41)</f>
        <v/>
      </c>
      <c r="G1124" s="16">
        <f>IF($C1124="","",助理班表!J41)</f>
        <v/>
      </c>
      <c r="H1124" s="83">
        <f>IF($G1124="","",IFERROR(IF(INDEX(設定!$D$6:$D$21,MATCH($G1124,設定!$B$6:$B$21,0))=0,"",INDEX(設定!$D$6:$D$21,MATCH($G1124,設定!$B$6:$B$21,0))),""))</f>
        <v/>
      </c>
      <c r="I1124" s="83">
        <f>IF($G1124="","",IFERROR(IF(INDEX(設定!$E$6:$E$21,MATCH($G1124,設定!$B$6:$B$21,0))=0,"",INDEX(設定!$E$6:$E$21,MATCH($G1124,設定!$B$6:$B$21,0))),""))</f>
        <v/>
      </c>
      <c r="J1124" s="83">
        <f>IFERROR(INDEX(打卡匯入!$C$3:$C$2002,MATCH($C1124&amp;"|"&amp;DAY($A1124),打卡匯入!$E$3:$E$2002,0)),"")</f>
        <v/>
      </c>
      <c r="K1124" s="83">
        <f>IFERROR(INDEX(打卡匯入!$D$3:$D$2002,MATCH($C1124&amp;"|"&amp;DAY($A1124),打卡匯入!$E$3:$E$2002,0)),"")</f>
        <v/>
      </c>
      <c r="L1124" s="84">
        <f>IF(OR($J1124="",$K1124=""),"",IFERROR(INDEX(設定!$F$6:$F$21,MATCH($G1124,設定!$B$6:$B$21,0)),0))</f>
        <v/>
      </c>
      <c r="M1124" s="85">
        <f>IF(OR($J1124="",$K1124=""),"",ROUND(($K1124-$J1124)*24-$L1124/60,2))</f>
        <v/>
      </c>
      <c r="N1124" s="16">
        <f>IF($C1124="","",IF(AND(COUNTIF(設定!$B$15:$B$21,$G1124)&gt;0,$J1124&lt;&gt;""),"假日出勤",IF(AND(COUNTIF(設定!$B$6:$B$14,$G1124)&gt;0,$J1124=""),"未打卡",IF($J1124="","",IF($O1124&gt;0,"遲到",IF($P1124&gt;0,"早退","正常"))))))</f>
        <v/>
      </c>
      <c r="O1124" s="84">
        <f>IF(OR($C1124="",$H1124="",$J1124=""),0,IF(ROUND(($J1124-$H1124)*1440,0)&gt;設定!$C$46,ROUND(($J1124-$H1124)*1440,0),0))</f>
        <v/>
      </c>
      <c r="P1124" s="84">
        <f>IF(OR($C1124="",$I1124="",$K1124=""),0,IF(ROUND(($I1124-$K1124)*1440,0)&gt;設定!$C$46,ROUND(($I1124-$K1124)*1440,0),0))</f>
        <v/>
      </c>
      <c r="Q1124" s="85">
        <f>IF($M1124="",0,IF(($M1124-IFERROR(INDEX(設定!$G$6:$G$21,MATCH($G1124,設定!$B$6:$B$21,0)),0))*60&gt;=設定!$C$44,ROUND(FLOOR(($M1124-IFERROR(INDEX(設定!$G$6:$G$21,MATCH($G1124,設定!$B$6:$B$21,0)),0))*60,設定!$C$45)/60,2),0))</f>
        <v/>
      </c>
      <c r="R1124" s="16">
        <f>IF(OR($C1124="",$Q1124=0),"",IF($G1124="國","國定假日",IF($B1124="日","例假",IF($B1124="六","休息日","平日"))))</f>
        <v/>
      </c>
      <c r="S1124" s="19" t="n"/>
    </row>
    <row r="1125">
      <c r="A1125" s="82">
        <f>IF(OR(助理班表!$A41="",7&gt;DAY(EOMONTH(DATE(設定!$C$2,設定!$D$2,1),0))),"",DATE(設定!$C$2,設定!$D$2,7))</f>
        <v/>
      </c>
      <c r="B1125" s="16">
        <f>IF($A1125="","",INDEX(設定!$O$6:$O$12,WEEKDAY($A1125,1)))</f>
        <v/>
      </c>
      <c r="C1125" s="16">
        <f>IF($A1125="","",助理班表!$A41)</f>
        <v/>
      </c>
      <c r="D1125" s="16">
        <f>IF($C1125="","",助理班表!$B41)</f>
        <v/>
      </c>
      <c r="E1125" s="16">
        <f>IF($C1125="","",助理班表!$D41)</f>
        <v/>
      </c>
      <c r="F1125" s="16">
        <f>IF($C1125="","",助理班表!$C41)</f>
        <v/>
      </c>
      <c r="G1125" s="16">
        <f>IF($C1125="","",助理班表!K41)</f>
        <v/>
      </c>
      <c r="H1125" s="83">
        <f>IF($G1125="","",IFERROR(IF(INDEX(設定!$D$6:$D$21,MATCH($G1125,設定!$B$6:$B$21,0))=0,"",INDEX(設定!$D$6:$D$21,MATCH($G1125,設定!$B$6:$B$21,0))),""))</f>
        <v/>
      </c>
      <c r="I1125" s="83">
        <f>IF($G1125="","",IFERROR(IF(INDEX(設定!$E$6:$E$21,MATCH($G1125,設定!$B$6:$B$21,0))=0,"",INDEX(設定!$E$6:$E$21,MATCH($G1125,設定!$B$6:$B$21,0))),""))</f>
        <v/>
      </c>
      <c r="J1125" s="83">
        <f>IFERROR(INDEX(打卡匯入!$C$3:$C$2002,MATCH($C1125&amp;"|"&amp;DAY($A1125),打卡匯入!$E$3:$E$2002,0)),"")</f>
        <v/>
      </c>
      <c r="K1125" s="83">
        <f>IFERROR(INDEX(打卡匯入!$D$3:$D$2002,MATCH($C1125&amp;"|"&amp;DAY($A1125),打卡匯入!$E$3:$E$2002,0)),"")</f>
        <v/>
      </c>
      <c r="L1125" s="84">
        <f>IF(OR($J1125="",$K1125=""),"",IFERROR(INDEX(設定!$F$6:$F$21,MATCH($G1125,設定!$B$6:$B$21,0)),0))</f>
        <v/>
      </c>
      <c r="M1125" s="85">
        <f>IF(OR($J1125="",$K1125=""),"",ROUND(($K1125-$J1125)*24-$L1125/60,2))</f>
        <v/>
      </c>
      <c r="N1125" s="16">
        <f>IF($C1125="","",IF(AND(COUNTIF(設定!$B$15:$B$21,$G1125)&gt;0,$J1125&lt;&gt;""),"假日出勤",IF(AND(COUNTIF(設定!$B$6:$B$14,$G1125)&gt;0,$J1125=""),"未打卡",IF($J1125="","",IF($O1125&gt;0,"遲到",IF($P1125&gt;0,"早退","正常"))))))</f>
        <v/>
      </c>
      <c r="O1125" s="84">
        <f>IF(OR($C1125="",$H1125="",$J1125=""),0,IF(ROUND(($J1125-$H1125)*1440,0)&gt;設定!$C$46,ROUND(($J1125-$H1125)*1440,0),0))</f>
        <v/>
      </c>
      <c r="P1125" s="84">
        <f>IF(OR($C1125="",$I1125="",$K1125=""),0,IF(ROUND(($I1125-$K1125)*1440,0)&gt;設定!$C$46,ROUND(($I1125-$K1125)*1440,0),0))</f>
        <v/>
      </c>
      <c r="Q1125" s="85">
        <f>IF($M1125="",0,IF(($M1125-IFERROR(INDEX(設定!$G$6:$G$21,MATCH($G1125,設定!$B$6:$B$21,0)),0))*60&gt;=設定!$C$44,ROUND(FLOOR(($M1125-IFERROR(INDEX(設定!$G$6:$G$21,MATCH($G1125,設定!$B$6:$B$21,0)),0))*60,設定!$C$45)/60,2),0))</f>
        <v/>
      </c>
      <c r="R1125" s="16">
        <f>IF(OR($C1125="",$Q1125=0),"",IF($G1125="國","國定假日",IF($B1125="日","例假",IF($B1125="六","休息日","平日"))))</f>
        <v/>
      </c>
      <c r="S1125" s="19" t="n"/>
    </row>
    <row r="1126">
      <c r="A1126" s="82">
        <f>IF(OR(助理班表!$A41="",8&gt;DAY(EOMONTH(DATE(設定!$C$2,設定!$D$2,1),0))),"",DATE(設定!$C$2,設定!$D$2,8))</f>
        <v/>
      </c>
      <c r="B1126" s="16">
        <f>IF($A1126="","",INDEX(設定!$O$6:$O$12,WEEKDAY($A1126,1)))</f>
        <v/>
      </c>
      <c r="C1126" s="16">
        <f>IF($A1126="","",助理班表!$A41)</f>
        <v/>
      </c>
      <c r="D1126" s="16">
        <f>IF($C1126="","",助理班表!$B41)</f>
        <v/>
      </c>
      <c r="E1126" s="16">
        <f>IF($C1126="","",助理班表!$D41)</f>
        <v/>
      </c>
      <c r="F1126" s="16">
        <f>IF($C1126="","",助理班表!$C41)</f>
        <v/>
      </c>
      <c r="G1126" s="16">
        <f>IF($C1126="","",助理班表!L41)</f>
        <v/>
      </c>
      <c r="H1126" s="83">
        <f>IF($G1126="","",IFERROR(IF(INDEX(設定!$D$6:$D$21,MATCH($G1126,設定!$B$6:$B$21,0))=0,"",INDEX(設定!$D$6:$D$21,MATCH($G1126,設定!$B$6:$B$21,0))),""))</f>
        <v/>
      </c>
      <c r="I1126" s="83">
        <f>IF($G1126="","",IFERROR(IF(INDEX(設定!$E$6:$E$21,MATCH($G1126,設定!$B$6:$B$21,0))=0,"",INDEX(設定!$E$6:$E$21,MATCH($G1126,設定!$B$6:$B$21,0))),""))</f>
        <v/>
      </c>
      <c r="J1126" s="83">
        <f>IFERROR(INDEX(打卡匯入!$C$3:$C$2002,MATCH($C1126&amp;"|"&amp;DAY($A1126),打卡匯入!$E$3:$E$2002,0)),"")</f>
        <v/>
      </c>
      <c r="K1126" s="83">
        <f>IFERROR(INDEX(打卡匯入!$D$3:$D$2002,MATCH($C1126&amp;"|"&amp;DAY($A1126),打卡匯入!$E$3:$E$2002,0)),"")</f>
        <v/>
      </c>
      <c r="L1126" s="84">
        <f>IF(OR($J1126="",$K1126=""),"",IFERROR(INDEX(設定!$F$6:$F$21,MATCH($G1126,設定!$B$6:$B$21,0)),0))</f>
        <v/>
      </c>
      <c r="M1126" s="85">
        <f>IF(OR($J1126="",$K1126=""),"",ROUND(($K1126-$J1126)*24-$L1126/60,2))</f>
        <v/>
      </c>
      <c r="N1126" s="16">
        <f>IF($C1126="","",IF(AND(COUNTIF(設定!$B$15:$B$21,$G1126)&gt;0,$J1126&lt;&gt;""),"假日出勤",IF(AND(COUNTIF(設定!$B$6:$B$14,$G1126)&gt;0,$J1126=""),"未打卡",IF($J1126="","",IF($O1126&gt;0,"遲到",IF($P1126&gt;0,"早退","正常"))))))</f>
        <v/>
      </c>
      <c r="O1126" s="84">
        <f>IF(OR($C1126="",$H1126="",$J1126=""),0,IF(ROUND(($J1126-$H1126)*1440,0)&gt;設定!$C$46,ROUND(($J1126-$H1126)*1440,0),0))</f>
        <v/>
      </c>
      <c r="P1126" s="84">
        <f>IF(OR($C1126="",$I1126="",$K1126=""),0,IF(ROUND(($I1126-$K1126)*1440,0)&gt;設定!$C$46,ROUND(($I1126-$K1126)*1440,0),0))</f>
        <v/>
      </c>
      <c r="Q1126" s="85">
        <f>IF($M1126="",0,IF(($M1126-IFERROR(INDEX(設定!$G$6:$G$21,MATCH($G1126,設定!$B$6:$B$21,0)),0))*60&gt;=設定!$C$44,ROUND(FLOOR(($M1126-IFERROR(INDEX(設定!$G$6:$G$21,MATCH($G1126,設定!$B$6:$B$21,0)),0))*60,設定!$C$45)/60,2),0))</f>
        <v/>
      </c>
      <c r="R1126" s="16">
        <f>IF(OR($C1126="",$Q1126=0),"",IF($G1126="國","國定假日",IF($B1126="日","例假",IF($B1126="六","休息日","平日"))))</f>
        <v/>
      </c>
      <c r="S1126" s="19" t="n"/>
    </row>
    <row r="1127">
      <c r="A1127" s="82">
        <f>IF(OR(助理班表!$A41="",9&gt;DAY(EOMONTH(DATE(設定!$C$2,設定!$D$2,1),0))),"",DATE(設定!$C$2,設定!$D$2,9))</f>
        <v/>
      </c>
      <c r="B1127" s="16">
        <f>IF($A1127="","",INDEX(設定!$O$6:$O$12,WEEKDAY($A1127,1)))</f>
        <v/>
      </c>
      <c r="C1127" s="16">
        <f>IF($A1127="","",助理班表!$A41)</f>
        <v/>
      </c>
      <c r="D1127" s="16">
        <f>IF($C1127="","",助理班表!$B41)</f>
        <v/>
      </c>
      <c r="E1127" s="16">
        <f>IF($C1127="","",助理班表!$D41)</f>
        <v/>
      </c>
      <c r="F1127" s="16">
        <f>IF($C1127="","",助理班表!$C41)</f>
        <v/>
      </c>
      <c r="G1127" s="16">
        <f>IF($C1127="","",助理班表!M41)</f>
        <v/>
      </c>
      <c r="H1127" s="83">
        <f>IF($G1127="","",IFERROR(IF(INDEX(設定!$D$6:$D$21,MATCH($G1127,設定!$B$6:$B$21,0))=0,"",INDEX(設定!$D$6:$D$21,MATCH($G1127,設定!$B$6:$B$21,0))),""))</f>
        <v/>
      </c>
      <c r="I1127" s="83">
        <f>IF($G1127="","",IFERROR(IF(INDEX(設定!$E$6:$E$21,MATCH($G1127,設定!$B$6:$B$21,0))=0,"",INDEX(設定!$E$6:$E$21,MATCH($G1127,設定!$B$6:$B$21,0))),""))</f>
        <v/>
      </c>
      <c r="J1127" s="83">
        <f>IFERROR(INDEX(打卡匯入!$C$3:$C$2002,MATCH($C1127&amp;"|"&amp;DAY($A1127),打卡匯入!$E$3:$E$2002,0)),"")</f>
        <v/>
      </c>
      <c r="K1127" s="83">
        <f>IFERROR(INDEX(打卡匯入!$D$3:$D$2002,MATCH($C1127&amp;"|"&amp;DAY($A1127),打卡匯入!$E$3:$E$2002,0)),"")</f>
        <v/>
      </c>
      <c r="L1127" s="84">
        <f>IF(OR($J1127="",$K1127=""),"",IFERROR(INDEX(設定!$F$6:$F$21,MATCH($G1127,設定!$B$6:$B$21,0)),0))</f>
        <v/>
      </c>
      <c r="M1127" s="85">
        <f>IF(OR($J1127="",$K1127=""),"",ROUND(($K1127-$J1127)*24-$L1127/60,2))</f>
        <v/>
      </c>
      <c r="N1127" s="16">
        <f>IF($C1127="","",IF(AND(COUNTIF(設定!$B$15:$B$21,$G1127)&gt;0,$J1127&lt;&gt;""),"假日出勤",IF(AND(COUNTIF(設定!$B$6:$B$14,$G1127)&gt;0,$J1127=""),"未打卡",IF($J1127="","",IF($O1127&gt;0,"遲到",IF($P1127&gt;0,"早退","正常"))))))</f>
        <v/>
      </c>
      <c r="O1127" s="84">
        <f>IF(OR($C1127="",$H1127="",$J1127=""),0,IF(ROUND(($J1127-$H1127)*1440,0)&gt;設定!$C$46,ROUND(($J1127-$H1127)*1440,0),0))</f>
        <v/>
      </c>
      <c r="P1127" s="84">
        <f>IF(OR($C1127="",$I1127="",$K1127=""),0,IF(ROUND(($I1127-$K1127)*1440,0)&gt;設定!$C$46,ROUND(($I1127-$K1127)*1440,0),0))</f>
        <v/>
      </c>
      <c r="Q1127" s="85">
        <f>IF($M1127="",0,IF(($M1127-IFERROR(INDEX(設定!$G$6:$G$21,MATCH($G1127,設定!$B$6:$B$21,0)),0))*60&gt;=設定!$C$44,ROUND(FLOOR(($M1127-IFERROR(INDEX(設定!$G$6:$G$21,MATCH($G1127,設定!$B$6:$B$21,0)),0))*60,設定!$C$45)/60,2),0))</f>
        <v/>
      </c>
      <c r="R1127" s="16">
        <f>IF(OR($C1127="",$Q1127=0),"",IF($G1127="國","國定假日",IF($B1127="日","例假",IF($B1127="六","休息日","平日"))))</f>
        <v/>
      </c>
      <c r="S1127" s="19" t="n"/>
    </row>
    <row r="1128">
      <c r="A1128" s="82">
        <f>IF(OR(助理班表!$A41="",10&gt;DAY(EOMONTH(DATE(設定!$C$2,設定!$D$2,1),0))),"",DATE(設定!$C$2,設定!$D$2,10))</f>
        <v/>
      </c>
      <c r="B1128" s="16">
        <f>IF($A1128="","",INDEX(設定!$O$6:$O$12,WEEKDAY($A1128,1)))</f>
        <v/>
      </c>
      <c r="C1128" s="16">
        <f>IF($A1128="","",助理班表!$A41)</f>
        <v/>
      </c>
      <c r="D1128" s="16">
        <f>IF($C1128="","",助理班表!$B41)</f>
        <v/>
      </c>
      <c r="E1128" s="16">
        <f>IF($C1128="","",助理班表!$D41)</f>
        <v/>
      </c>
      <c r="F1128" s="16">
        <f>IF($C1128="","",助理班表!$C41)</f>
        <v/>
      </c>
      <c r="G1128" s="16">
        <f>IF($C1128="","",助理班表!N41)</f>
        <v/>
      </c>
      <c r="H1128" s="83">
        <f>IF($G1128="","",IFERROR(IF(INDEX(設定!$D$6:$D$21,MATCH($G1128,設定!$B$6:$B$21,0))=0,"",INDEX(設定!$D$6:$D$21,MATCH($G1128,設定!$B$6:$B$21,0))),""))</f>
        <v/>
      </c>
      <c r="I1128" s="83">
        <f>IF($G1128="","",IFERROR(IF(INDEX(設定!$E$6:$E$21,MATCH($G1128,設定!$B$6:$B$21,0))=0,"",INDEX(設定!$E$6:$E$21,MATCH($G1128,設定!$B$6:$B$21,0))),""))</f>
        <v/>
      </c>
      <c r="J1128" s="83">
        <f>IFERROR(INDEX(打卡匯入!$C$3:$C$2002,MATCH($C1128&amp;"|"&amp;DAY($A1128),打卡匯入!$E$3:$E$2002,0)),"")</f>
        <v/>
      </c>
      <c r="K1128" s="83">
        <f>IFERROR(INDEX(打卡匯入!$D$3:$D$2002,MATCH($C1128&amp;"|"&amp;DAY($A1128),打卡匯入!$E$3:$E$2002,0)),"")</f>
        <v/>
      </c>
      <c r="L1128" s="84">
        <f>IF(OR($J1128="",$K1128=""),"",IFERROR(INDEX(設定!$F$6:$F$21,MATCH($G1128,設定!$B$6:$B$21,0)),0))</f>
        <v/>
      </c>
      <c r="M1128" s="85">
        <f>IF(OR($J1128="",$K1128=""),"",ROUND(($K1128-$J1128)*24-$L1128/60,2))</f>
        <v/>
      </c>
      <c r="N1128" s="16">
        <f>IF($C1128="","",IF(AND(COUNTIF(設定!$B$15:$B$21,$G1128)&gt;0,$J1128&lt;&gt;""),"假日出勤",IF(AND(COUNTIF(設定!$B$6:$B$14,$G1128)&gt;0,$J1128=""),"未打卡",IF($J1128="","",IF($O1128&gt;0,"遲到",IF($P1128&gt;0,"早退","正常"))))))</f>
        <v/>
      </c>
      <c r="O1128" s="84">
        <f>IF(OR($C1128="",$H1128="",$J1128=""),0,IF(ROUND(($J1128-$H1128)*1440,0)&gt;設定!$C$46,ROUND(($J1128-$H1128)*1440,0),0))</f>
        <v/>
      </c>
      <c r="P1128" s="84">
        <f>IF(OR($C1128="",$I1128="",$K1128=""),0,IF(ROUND(($I1128-$K1128)*1440,0)&gt;設定!$C$46,ROUND(($I1128-$K1128)*1440,0),0))</f>
        <v/>
      </c>
      <c r="Q1128" s="85">
        <f>IF($M1128="",0,IF(($M1128-IFERROR(INDEX(設定!$G$6:$G$21,MATCH($G1128,設定!$B$6:$B$21,0)),0))*60&gt;=設定!$C$44,ROUND(FLOOR(($M1128-IFERROR(INDEX(設定!$G$6:$G$21,MATCH($G1128,設定!$B$6:$B$21,0)),0))*60,設定!$C$45)/60,2),0))</f>
        <v/>
      </c>
      <c r="R1128" s="16">
        <f>IF(OR($C1128="",$Q1128=0),"",IF($G1128="國","國定假日",IF($B1128="日","例假",IF($B1128="六","休息日","平日"))))</f>
        <v/>
      </c>
      <c r="S1128" s="19" t="n"/>
    </row>
    <row r="1129">
      <c r="A1129" s="82">
        <f>IF(OR(助理班表!$A41="",11&gt;DAY(EOMONTH(DATE(設定!$C$2,設定!$D$2,1),0))),"",DATE(設定!$C$2,設定!$D$2,11))</f>
        <v/>
      </c>
      <c r="B1129" s="16">
        <f>IF($A1129="","",INDEX(設定!$O$6:$O$12,WEEKDAY($A1129,1)))</f>
        <v/>
      </c>
      <c r="C1129" s="16">
        <f>IF($A1129="","",助理班表!$A41)</f>
        <v/>
      </c>
      <c r="D1129" s="16">
        <f>IF($C1129="","",助理班表!$B41)</f>
        <v/>
      </c>
      <c r="E1129" s="16">
        <f>IF($C1129="","",助理班表!$D41)</f>
        <v/>
      </c>
      <c r="F1129" s="16">
        <f>IF($C1129="","",助理班表!$C41)</f>
        <v/>
      </c>
      <c r="G1129" s="16">
        <f>IF($C1129="","",助理班表!O41)</f>
        <v/>
      </c>
      <c r="H1129" s="83">
        <f>IF($G1129="","",IFERROR(IF(INDEX(設定!$D$6:$D$21,MATCH($G1129,設定!$B$6:$B$21,0))=0,"",INDEX(設定!$D$6:$D$21,MATCH($G1129,設定!$B$6:$B$21,0))),""))</f>
        <v/>
      </c>
      <c r="I1129" s="83">
        <f>IF($G1129="","",IFERROR(IF(INDEX(設定!$E$6:$E$21,MATCH($G1129,設定!$B$6:$B$21,0))=0,"",INDEX(設定!$E$6:$E$21,MATCH($G1129,設定!$B$6:$B$21,0))),""))</f>
        <v/>
      </c>
      <c r="J1129" s="83">
        <f>IFERROR(INDEX(打卡匯入!$C$3:$C$2002,MATCH($C1129&amp;"|"&amp;DAY($A1129),打卡匯入!$E$3:$E$2002,0)),"")</f>
        <v/>
      </c>
      <c r="K1129" s="83">
        <f>IFERROR(INDEX(打卡匯入!$D$3:$D$2002,MATCH($C1129&amp;"|"&amp;DAY($A1129),打卡匯入!$E$3:$E$2002,0)),"")</f>
        <v/>
      </c>
      <c r="L1129" s="84">
        <f>IF(OR($J1129="",$K1129=""),"",IFERROR(INDEX(設定!$F$6:$F$21,MATCH($G1129,設定!$B$6:$B$21,0)),0))</f>
        <v/>
      </c>
      <c r="M1129" s="85">
        <f>IF(OR($J1129="",$K1129=""),"",ROUND(($K1129-$J1129)*24-$L1129/60,2))</f>
        <v/>
      </c>
      <c r="N1129" s="16">
        <f>IF($C1129="","",IF(AND(COUNTIF(設定!$B$15:$B$21,$G1129)&gt;0,$J1129&lt;&gt;""),"假日出勤",IF(AND(COUNTIF(設定!$B$6:$B$14,$G1129)&gt;0,$J1129=""),"未打卡",IF($J1129="","",IF($O1129&gt;0,"遲到",IF($P1129&gt;0,"早退","正常"))))))</f>
        <v/>
      </c>
      <c r="O1129" s="84">
        <f>IF(OR($C1129="",$H1129="",$J1129=""),0,IF(ROUND(($J1129-$H1129)*1440,0)&gt;設定!$C$46,ROUND(($J1129-$H1129)*1440,0),0))</f>
        <v/>
      </c>
      <c r="P1129" s="84">
        <f>IF(OR($C1129="",$I1129="",$K1129=""),0,IF(ROUND(($I1129-$K1129)*1440,0)&gt;設定!$C$46,ROUND(($I1129-$K1129)*1440,0),0))</f>
        <v/>
      </c>
      <c r="Q1129" s="85">
        <f>IF($M1129="",0,IF(($M1129-IFERROR(INDEX(設定!$G$6:$G$21,MATCH($G1129,設定!$B$6:$B$21,0)),0))*60&gt;=設定!$C$44,ROUND(FLOOR(($M1129-IFERROR(INDEX(設定!$G$6:$G$21,MATCH($G1129,設定!$B$6:$B$21,0)),0))*60,設定!$C$45)/60,2),0))</f>
        <v/>
      </c>
      <c r="R1129" s="16">
        <f>IF(OR($C1129="",$Q1129=0),"",IF($G1129="國","國定假日",IF($B1129="日","例假",IF($B1129="六","休息日","平日"))))</f>
        <v/>
      </c>
      <c r="S1129" s="19" t="n"/>
    </row>
    <row r="1130">
      <c r="A1130" s="82">
        <f>IF(OR(助理班表!$A41="",12&gt;DAY(EOMONTH(DATE(設定!$C$2,設定!$D$2,1),0))),"",DATE(設定!$C$2,設定!$D$2,12))</f>
        <v/>
      </c>
      <c r="B1130" s="16">
        <f>IF($A1130="","",INDEX(設定!$O$6:$O$12,WEEKDAY($A1130,1)))</f>
        <v/>
      </c>
      <c r="C1130" s="16">
        <f>IF($A1130="","",助理班表!$A41)</f>
        <v/>
      </c>
      <c r="D1130" s="16">
        <f>IF($C1130="","",助理班表!$B41)</f>
        <v/>
      </c>
      <c r="E1130" s="16">
        <f>IF($C1130="","",助理班表!$D41)</f>
        <v/>
      </c>
      <c r="F1130" s="16">
        <f>IF($C1130="","",助理班表!$C41)</f>
        <v/>
      </c>
      <c r="G1130" s="16">
        <f>IF($C1130="","",助理班表!P41)</f>
        <v/>
      </c>
      <c r="H1130" s="83">
        <f>IF($G1130="","",IFERROR(IF(INDEX(設定!$D$6:$D$21,MATCH($G1130,設定!$B$6:$B$21,0))=0,"",INDEX(設定!$D$6:$D$21,MATCH($G1130,設定!$B$6:$B$21,0))),""))</f>
        <v/>
      </c>
      <c r="I1130" s="83">
        <f>IF($G1130="","",IFERROR(IF(INDEX(設定!$E$6:$E$21,MATCH($G1130,設定!$B$6:$B$21,0))=0,"",INDEX(設定!$E$6:$E$21,MATCH($G1130,設定!$B$6:$B$21,0))),""))</f>
        <v/>
      </c>
      <c r="J1130" s="83">
        <f>IFERROR(INDEX(打卡匯入!$C$3:$C$2002,MATCH($C1130&amp;"|"&amp;DAY($A1130),打卡匯入!$E$3:$E$2002,0)),"")</f>
        <v/>
      </c>
      <c r="K1130" s="83">
        <f>IFERROR(INDEX(打卡匯入!$D$3:$D$2002,MATCH($C1130&amp;"|"&amp;DAY($A1130),打卡匯入!$E$3:$E$2002,0)),"")</f>
        <v/>
      </c>
      <c r="L1130" s="84">
        <f>IF(OR($J1130="",$K1130=""),"",IFERROR(INDEX(設定!$F$6:$F$21,MATCH($G1130,設定!$B$6:$B$21,0)),0))</f>
        <v/>
      </c>
      <c r="M1130" s="85">
        <f>IF(OR($J1130="",$K1130=""),"",ROUND(($K1130-$J1130)*24-$L1130/60,2))</f>
        <v/>
      </c>
      <c r="N1130" s="16">
        <f>IF($C1130="","",IF(AND(COUNTIF(設定!$B$15:$B$21,$G1130)&gt;0,$J1130&lt;&gt;""),"假日出勤",IF(AND(COUNTIF(設定!$B$6:$B$14,$G1130)&gt;0,$J1130=""),"未打卡",IF($J1130="","",IF($O1130&gt;0,"遲到",IF($P1130&gt;0,"早退","正常"))))))</f>
        <v/>
      </c>
      <c r="O1130" s="84">
        <f>IF(OR($C1130="",$H1130="",$J1130=""),0,IF(ROUND(($J1130-$H1130)*1440,0)&gt;設定!$C$46,ROUND(($J1130-$H1130)*1440,0),0))</f>
        <v/>
      </c>
      <c r="P1130" s="84">
        <f>IF(OR($C1130="",$I1130="",$K1130=""),0,IF(ROUND(($I1130-$K1130)*1440,0)&gt;設定!$C$46,ROUND(($I1130-$K1130)*1440,0),0))</f>
        <v/>
      </c>
      <c r="Q1130" s="85">
        <f>IF($M1130="",0,IF(($M1130-IFERROR(INDEX(設定!$G$6:$G$21,MATCH($G1130,設定!$B$6:$B$21,0)),0))*60&gt;=設定!$C$44,ROUND(FLOOR(($M1130-IFERROR(INDEX(設定!$G$6:$G$21,MATCH($G1130,設定!$B$6:$B$21,0)),0))*60,設定!$C$45)/60,2),0))</f>
        <v/>
      </c>
      <c r="R1130" s="16">
        <f>IF(OR($C1130="",$Q1130=0),"",IF($G1130="國","國定假日",IF($B1130="日","例假",IF($B1130="六","休息日","平日"))))</f>
        <v/>
      </c>
      <c r="S1130" s="19" t="n"/>
    </row>
    <row r="1131">
      <c r="A1131" s="82">
        <f>IF(OR(助理班表!$A41="",13&gt;DAY(EOMONTH(DATE(設定!$C$2,設定!$D$2,1),0))),"",DATE(設定!$C$2,設定!$D$2,13))</f>
        <v/>
      </c>
      <c r="B1131" s="16">
        <f>IF($A1131="","",INDEX(設定!$O$6:$O$12,WEEKDAY($A1131,1)))</f>
        <v/>
      </c>
      <c r="C1131" s="16">
        <f>IF($A1131="","",助理班表!$A41)</f>
        <v/>
      </c>
      <c r="D1131" s="16">
        <f>IF($C1131="","",助理班表!$B41)</f>
        <v/>
      </c>
      <c r="E1131" s="16">
        <f>IF($C1131="","",助理班表!$D41)</f>
        <v/>
      </c>
      <c r="F1131" s="16">
        <f>IF($C1131="","",助理班表!$C41)</f>
        <v/>
      </c>
      <c r="G1131" s="16">
        <f>IF($C1131="","",助理班表!Q41)</f>
        <v/>
      </c>
      <c r="H1131" s="83">
        <f>IF($G1131="","",IFERROR(IF(INDEX(設定!$D$6:$D$21,MATCH($G1131,設定!$B$6:$B$21,0))=0,"",INDEX(設定!$D$6:$D$21,MATCH($G1131,設定!$B$6:$B$21,0))),""))</f>
        <v/>
      </c>
      <c r="I1131" s="83">
        <f>IF($G1131="","",IFERROR(IF(INDEX(設定!$E$6:$E$21,MATCH($G1131,設定!$B$6:$B$21,0))=0,"",INDEX(設定!$E$6:$E$21,MATCH($G1131,設定!$B$6:$B$21,0))),""))</f>
        <v/>
      </c>
      <c r="J1131" s="83">
        <f>IFERROR(INDEX(打卡匯入!$C$3:$C$2002,MATCH($C1131&amp;"|"&amp;DAY($A1131),打卡匯入!$E$3:$E$2002,0)),"")</f>
        <v/>
      </c>
      <c r="K1131" s="83">
        <f>IFERROR(INDEX(打卡匯入!$D$3:$D$2002,MATCH($C1131&amp;"|"&amp;DAY($A1131),打卡匯入!$E$3:$E$2002,0)),"")</f>
        <v/>
      </c>
      <c r="L1131" s="84">
        <f>IF(OR($J1131="",$K1131=""),"",IFERROR(INDEX(設定!$F$6:$F$21,MATCH($G1131,設定!$B$6:$B$21,0)),0))</f>
        <v/>
      </c>
      <c r="M1131" s="85">
        <f>IF(OR($J1131="",$K1131=""),"",ROUND(($K1131-$J1131)*24-$L1131/60,2))</f>
        <v/>
      </c>
      <c r="N1131" s="16">
        <f>IF($C1131="","",IF(AND(COUNTIF(設定!$B$15:$B$21,$G1131)&gt;0,$J1131&lt;&gt;""),"假日出勤",IF(AND(COUNTIF(設定!$B$6:$B$14,$G1131)&gt;0,$J1131=""),"未打卡",IF($J1131="","",IF($O1131&gt;0,"遲到",IF($P1131&gt;0,"早退","正常"))))))</f>
        <v/>
      </c>
      <c r="O1131" s="84">
        <f>IF(OR($C1131="",$H1131="",$J1131=""),0,IF(ROUND(($J1131-$H1131)*1440,0)&gt;設定!$C$46,ROUND(($J1131-$H1131)*1440,0),0))</f>
        <v/>
      </c>
      <c r="P1131" s="84">
        <f>IF(OR($C1131="",$I1131="",$K1131=""),0,IF(ROUND(($I1131-$K1131)*1440,0)&gt;設定!$C$46,ROUND(($I1131-$K1131)*1440,0),0))</f>
        <v/>
      </c>
      <c r="Q1131" s="85">
        <f>IF($M1131="",0,IF(($M1131-IFERROR(INDEX(設定!$G$6:$G$21,MATCH($G1131,設定!$B$6:$B$21,0)),0))*60&gt;=設定!$C$44,ROUND(FLOOR(($M1131-IFERROR(INDEX(設定!$G$6:$G$21,MATCH($G1131,設定!$B$6:$B$21,0)),0))*60,設定!$C$45)/60,2),0))</f>
        <v/>
      </c>
      <c r="R1131" s="16">
        <f>IF(OR($C1131="",$Q1131=0),"",IF($G1131="國","國定假日",IF($B1131="日","例假",IF($B1131="六","休息日","平日"))))</f>
        <v/>
      </c>
      <c r="S1131" s="19" t="n"/>
    </row>
    <row r="1132">
      <c r="A1132" s="82">
        <f>IF(OR(助理班表!$A41="",14&gt;DAY(EOMONTH(DATE(設定!$C$2,設定!$D$2,1),0))),"",DATE(設定!$C$2,設定!$D$2,14))</f>
        <v/>
      </c>
      <c r="B1132" s="16">
        <f>IF($A1132="","",INDEX(設定!$O$6:$O$12,WEEKDAY($A1132,1)))</f>
        <v/>
      </c>
      <c r="C1132" s="16">
        <f>IF($A1132="","",助理班表!$A41)</f>
        <v/>
      </c>
      <c r="D1132" s="16">
        <f>IF($C1132="","",助理班表!$B41)</f>
        <v/>
      </c>
      <c r="E1132" s="16">
        <f>IF($C1132="","",助理班表!$D41)</f>
        <v/>
      </c>
      <c r="F1132" s="16">
        <f>IF($C1132="","",助理班表!$C41)</f>
        <v/>
      </c>
      <c r="G1132" s="16">
        <f>IF($C1132="","",助理班表!R41)</f>
        <v/>
      </c>
      <c r="H1132" s="83">
        <f>IF($G1132="","",IFERROR(IF(INDEX(設定!$D$6:$D$21,MATCH($G1132,設定!$B$6:$B$21,0))=0,"",INDEX(設定!$D$6:$D$21,MATCH($G1132,設定!$B$6:$B$21,0))),""))</f>
        <v/>
      </c>
      <c r="I1132" s="83">
        <f>IF($G1132="","",IFERROR(IF(INDEX(設定!$E$6:$E$21,MATCH($G1132,設定!$B$6:$B$21,0))=0,"",INDEX(設定!$E$6:$E$21,MATCH($G1132,設定!$B$6:$B$21,0))),""))</f>
        <v/>
      </c>
      <c r="J1132" s="83">
        <f>IFERROR(INDEX(打卡匯入!$C$3:$C$2002,MATCH($C1132&amp;"|"&amp;DAY($A1132),打卡匯入!$E$3:$E$2002,0)),"")</f>
        <v/>
      </c>
      <c r="K1132" s="83">
        <f>IFERROR(INDEX(打卡匯入!$D$3:$D$2002,MATCH($C1132&amp;"|"&amp;DAY($A1132),打卡匯入!$E$3:$E$2002,0)),"")</f>
        <v/>
      </c>
      <c r="L1132" s="84">
        <f>IF(OR($J1132="",$K1132=""),"",IFERROR(INDEX(設定!$F$6:$F$21,MATCH($G1132,設定!$B$6:$B$21,0)),0))</f>
        <v/>
      </c>
      <c r="M1132" s="85">
        <f>IF(OR($J1132="",$K1132=""),"",ROUND(($K1132-$J1132)*24-$L1132/60,2))</f>
        <v/>
      </c>
      <c r="N1132" s="16">
        <f>IF($C1132="","",IF(AND(COUNTIF(設定!$B$15:$B$21,$G1132)&gt;0,$J1132&lt;&gt;""),"假日出勤",IF(AND(COUNTIF(設定!$B$6:$B$14,$G1132)&gt;0,$J1132=""),"未打卡",IF($J1132="","",IF($O1132&gt;0,"遲到",IF($P1132&gt;0,"早退","正常"))))))</f>
        <v/>
      </c>
      <c r="O1132" s="84">
        <f>IF(OR($C1132="",$H1132="",$J1132=""),0,IF(ROUND(($J1132-$H1132)*1440,0)&gt;設定!$C$46,ROUND(($J1132-$H1132)*1440,0),0))</f>
        <v/>
      </c>
      <c r="P1132" s="84">
        <f>IF(OR($C1132="",$I1132="",$K1132=""),0,IF(ROUND(($I1132-$K1132)*1440,0)&gt;設定!$C$46,ROUND(($I1132-$K1132)*1440,0),0))</f>
        <v/>
      </c>
      <c r="Q1132" s="85">
        <f>IF($M1132="",0,IF(($M1132-IFERROR(INDEX(設定!$G$6:$G$21,MATCH($G1132,設定!$B$6:$B$21,0)),0))*60&gt;=設定!$C$44,ROUND(FLOOR(($M1132-IFERROR(INDEX(設定!$G$6:$G$21,MATCH($G1132,設定!$B$6:$B$21,0)),0))*60,設定!$C$45)/60,2),0))</f>
        <v/>
      </c>
      <c r="R1132" s="16">
        <f>IF(OR($C1132="",$Q1132=0),"",IF($G1132="國","國定假日",IF($B1132="日","例假",IF($B1132="六","休息日","平日"))))</f>
        <v/>
      </c>
      <c r="S1132" s="19" t="n"/>
    </row>
    <row r="1133">
      <c r="A1133" s="82">
        <f>IF(OR(助理班表!$A41="",15&gt;DAY(EOMONTH(DATE(設定!$C$2,設定!$D$2,1),0))),"",DATE(設定!$C$2,設定!$D$2,15))</f>
        <v/>
      </c>
      <c r="B1133" s="16">
        <f>IF($A1133="","",INDEX(設定!$O$6:$O$12,WEEKDAY($A1133,1)))</f>
        <v/>
      </c>
      <c r="C1133" s="16">
        <f>IF($A1133="","",助理班表!$A41)</f>
        <v/>
      </c>
      <c r="D1133" s="16">
        <f>IF($C1133="","",助理班表!$B41)</f>
        <v/>
      </c>
      <c r="E1133" s="16">
        <f>IF($C1133="","",助理班表!$D41)</f>
        <v/>
      </c>
      <c r="F1133" s="16">
        <f>IF($C1133="","",助理班表!$C41)</f>
        <v/>
      </c>
      <c r="G1133" s="16">
        <f>IF($C1133="","",助理班表!S41)</f>
        <v/>
      </c>
      <c r="H1133" s="83">
        <f>IF($G1133="","",IFERROR(IF(INDEX(設定!$D$6:$D$21,MATCH($G1133,設定!$B$6:$B$21,0))=0,"",INDEX(設定!$D$6:$D$21,MATCH($G1133,設定!$B$6:$B$21,0))),""))</f>
        <v/>
      </c>
      <c r="I1133" s="83">
        <f>IF($G1133="","",IFERROR(IF(INDEX(設定!$E$6:$E$21,MATCH($G1133,設定!$B$6:$B$21,0))=0,"",INDEX(設定!$E$6:$E$21,MATCH($G1133,設定!$B$6:$B$21,0))),""))</f>
        <v/>
      </c>
      <c r="J1133" s="83">
        <f>IFERROR(INDEX(打卡匯入!$C$3:$C$2002,MATCH($C1133&amp;"|"&amp;DAY($A1133),打卡匯入!$E$3:$E$2002,0)),"")</f>
        <v/>
      </c>
      <c r="K1133" s="83">
        <f>IFERROR(INDEX(打卡匯入!$D$3:$D$2002,MATCH($C1133&amp;"|"&amp;DAY($A1133),打卡匯入!$E$3:$E$2002,0)),"")</f>
        <v/>
      </c>
      <c r="L1133" s="84">
        <f>IF(OR($J1133="",$K1133=""),"",IFERROR(INDEX(設定!$F$6:$F$21,MATCH($G1133,設定!$B$6:$B$21,0)),0))</f>
        <v/>
      </c>
      <c r="M1133" s="85">
        <f>IF(OR($J1133="",$K1133=""),"",ROUND(($K1133-$J1133)*24-$L1133/60,2))</f>
        <v/>
      </c>
      <c r="N1133" s="16">
        <f>IF($C1133="","",IF(AND(COUNTIF(設定!$B$15:$B$21,$G1133)&gt;0,$J1133&lt;&gt;""),"假日出勤",IF(AND(COUNTIF(設定!$B$6:$B$14,$G1133)&gt;0,$J1133=""),"未打卡",IF($J1133="","",IF($O1133&gt;0,"遲到",IF($P1133&gt;0,"早退","正常"))))))</f>
        <v/>
      </c>
      <c r="O1133" s="84">
        <f>IF(OR($C1133="",$H1133="",$J1133=""),0,IF(ROUND(($J1133-$H1133)*1440,0)&gt;設定!$C$46,ROUND(($J1133-$H1133)*1440,0),0))</f>
        <v/>
      </c>
      <c r="P1133" s="84">
        <f>IF(OR($C1133="",$I1133="",$K1133=""),0,IF(ROUND(($I1133-$K1133)*1440,0)&gt;設定!$C$46,ROUND(($I1133-$K1133)*1440,0),0))</f>
        <v/>
      </c>
      <c r="Q1133" s="85">
        <f>IF($M1133="",0,IF(($M1133-IFERROR(INDEX(設定!$G$6:$G$21,MATCH($G1133,設定!$B$6:$B$21,0)),0))*60&gt;=設定!$C$44,ROUND(FLOOR(($M1133-IFERROR(INDEX(設定!$G$6:$G$21,MATCH($G1133,設定!$B$6:$B$21,0)),0))*60,設定!$C$45)/60,2),0))</f>
        <v/>
      </c>
      <c r="R1133" s="16">
        <f>IF(OR($C1133="",$Q1133=0),"",IF($G1133="國","國定假日",IF($B1133="日","例假",IF($B1133="六","休息日","平日"))))</f>
        <v/>
      </c>
      <c r="S1133" s="19" t="n"/>
    </row>
    <row r="1134">
      <c r="A1134" s="82">
        <f>IF(OR(助理班表!$A41="",16&gt;DAY(EOMONTH(DATE(設定!$C$2,設定!$D$2,1),0))),"",DATE(設定!$C$2,設定!$D$2,16))</f>
        <v/>
      </c>
      <c r="B1134" s="16">
        <f>IF($A1134="","",INDEX(設定!$O$6:$O$12,WEEKDAY($A1134,1)))</f>
        <v/>
      </c>
      <c r="C1134" s="16">
        <f>IF($A1134="","",助理班表!$A41)</f>
        <v/>
      </c>
      <c r="D1134" s="16">
        <f>IF($C1134="","",助理班表!$B41)</f>
        <v/>
      </c>
      <c r="E1134" s="16">
        <f>IF($C1134="","",助理班表!$D41)</f>
        <v/>
      </c>
      <c r="F1134" s="16">
        <f>IF($C1134="","",助理班表!$C41)</f>
        <v/>
      </c>
      <c r="G1134" s="16">
        <f>IF($C1134="","",助理班表!T41)</f>
        <v/>
      </c>
      <c r="H1134" s="83">
        <f>IF($G1134="","",IFERROR(IF(INDEX(設定!$D$6:$D$21,MATCH($G1134,設定!$B$6:$B$21,0))=0,"",INDEX(設定!$D$6:$D$21,MATCH($G1134,設定!$B$6:$B$21,0))),""))</f>
        <v/>
      </c>
      <c r="I1134" s="83">
        <f>IF($G1134="","",IFERROR(IF(INDEX(設定!$E$6:$E$21,MATCH($G1134,設定!$B$6:$B$21,0))=0,"",INDEX(設定!$E$6:$E$21,MATCH($G1134,設定!$B$6:$B$21,0))),""))</f>
        <v/>
      </c>
      <c r="J1134" s="83">
        <f>IFERROR(INDEX(打卡匯入!$C$3:$C$2002,MATCH($C1134&amp;"|"&amp;DAY($A1134),打卡匯入!$E$3:$E$2002,0)),"")</f>
        <v/>
      </c>
      <c r="K1134" s="83">
        <f>IFERROR(INDEX(打卡匯入!$D$3:$D$2002,MATCH($C1134&amp;"|"&amp;DAY($A1134),打卡匯入!$E$3:$E$2002,0)),"")</f>
        <v/>
      </c>
      <c r="L1134" s="84">
        <f>IF(OR($J1134="",$K1134=""),"",IFERROR(INDEX(設定!$F$6:$F$21,MATCH($G1134,設定!$B$6:$B$21,0)),0))</f>
        <v/>
      </c>
      <c r="M1134" s="85">
        <f>IF(OR($J1134="",$K1134=""),"",ROUND(($K1134-$J1134)*24-$L1134/60,2))</f>
        <v/>
      </c>
      <c r="N1134" s="16">
        <f>IF($C1134="","",IF(AND(COUNTIF(設定!$B$15:$B$21,$G1134)&gt;0,$J1134&lt;&gt;""),"假日出勤",IF(AND(COUNTIF(設定!$B$6:$B$14,$G1134)&gt;0,$J1134=""),"未打卡",IF($J1134="","",IF($O1134&gt;0,"遲到",IF($P1134&gt;0,"早退","正常"))))))</f>
        <v/>
      </c>
      <c r="O1134" s="84">
        <f>IF(OR($C1134="",$H1134="",$J1134=""),0,IF(ROUND(($J1134-$H1134)*1440,0)&gt;設定!$C$46,ROUND(($J1134-$H1134)*1440,0),0))</f>
        <v/>
      </c>
      <c r="P1134" s="84">
        <f>IF(OR($C1134="",$I1134="",$K1134=""),0,IF(ROUND(($I1134-$K1134)*1440,0)&gt;設定!$C$46,ROUND(($I1134-$K1134)*1440,0),0))</f>
        <v/>
      </c>
      <c r="Q1134" s="85">
        <f>IF($M1134="",0,IF(($M1134-IFERROR(INDEX(設定!$G$6:$G$21,MATCH($G1134,設定!$B$6:$B$21,0)),0))*60&gt;=設定!$C$44,ROUND(FLOOR(($M1134-IFERROR(INDEX(設定!$G$6:$G$21,MATCH($G1134,設定!$B$6:$B$21,0)),0))*60,設定!$C$45)/60,2),0))</f>
        <v/>
      </c>
      <c r="R1134" s="16">
        <f>IF(OR($C1134="",$Q1134=0),"",IF($G1134="國","國定假日",IF($B1134="日","例假",IF($B1134="六","休息日","平日"))))</f>
        <v/>
      </c>
      <c r="S1134" s="19" t="n"/>
    </row>
    <row r="1135">
      <c r="A1135" s="82">
        <f>IF(OR(助理班表!$A41="",17&gt;DAY(EOMONTH(DATE(設定!$C$2,設定!$D$2,1),0))),"",DATE(設定!$C$2,設定!$D$2,17))</f>
        <v/>
      </c>
      <c r="B1135" s="16">
        <f>IF($A1135="","",INDEX(設定!$O$6:$O$12,WEEKDAY($A1135,1)))</f>
        <v/>
      </c>
      <c r="C1135" s="16">
        <f>IF($A1135="","",助理班表!$A41)</f>
        <v/>
      </c>
      <c r="D1135" s="16">
        <f>IF($C1135="","",助理班表!$B41)</f>
        <v/>
      </c>
      <c r="E1135" s="16">
        <f>IF($C1135="","",助理班表!$D41)</f>
        <v/>
      </c>
      <c r="F1135" s="16">
        <f>IF($C1135="","",助理班表!$C41)</f>
        <v/>
      </c>
      <c r="G1135" s="16">
        <f>IF($C1135="","",助理班表!U41)</f>
        <v/>
      </c>
      <c r="H1135" s="83">
        <f>IF($G1135="","",IFERROR(IF(INDEX(設定!$D$6:$D$21,MATCH($G1135,設定!$B$6:$B$21,0))=0,"",INDEX(設定!$D$6:$D$21,MATCH($G1135,設定!$B$6:$B$21,0))),""))</f>
        <v/>
      </c>
      <c r="I1135" s="83">
        <f>IF($G1135="","",IFERROR(IF(INDEX(設定!$E$6:$E$21,MATCH($G1135,設定!$B$6:$B$21,0))=0,"",INDEX(設定!$E$6:$E$21,MATCH($G1135,設定!$B$6:$B$21,0))),""))</f>
        <v/>
      </c>
      <c r="J1135" s="83">
        <f>IFERROR(INDEX(打卡匯入!$C$3:$C$2002,MATCH($C1135&amp;"|"&amp;DAY($A1135),打卡匯入!$E$3:$E$2002,0)),"")</f>
        <v/>
      </c>
      <c r="K1135" s="83">
        <f>IFERROR(INDEX(打卡匯入!$D$3:$D$2002,MATCH($C1135&amp;"|"&amp;DAY($A1135),打卡匯入!$E$3:$E$2002,0)),"")</f>
        <v/>
      </c>
      <c r="L1135" s="84">
        <f>IF(OR($J1135="",$K1135=""),"",IFERROR(INDEX(設定!$F$6:$F$21,MATCH($G1135,設定!$B$6:$B$21,0)),0))</f>
        <v/>
      </c>
      <c r="M1135" s="85">
        <f>IF(OR($J1135="",$K1135=""),"",ROUND(($K1135-$J1135)*24-$L1135/60,2))</f>
        <v/>
      </c>
      <c r="N1135" s="16">
        <f>IF($C1135="","",IF(AND(COUNTIF(設定!$B$15:$B$21,$G1135)&gt;0,$J1135&lt;&gt;""),"假日出勤",IF(AND(COUNTIF(設定!$B$6:$B$14,$G1135)&gt;0,$J1135=""),"未打卡",IF($J1135="","",IF($O1135&gt;0,"遲到",IF($P1135&gt;0,"早退","正常"))))))</f>
        <v/>
      </c>
      <c r="O1135" s="84">
        <f>IF(OR($C1135="",$H1135="",$J1135=""),0,IF(ROUND(($J1135-$H1135)*1440,0)&gt;設定!$C$46,ROUND(($J1135-$H1135)*1440,0),0))</f>
        <v/>
      </c>
      <c r="P1135" s="84">
        <f>IF(OR($C1135="",$I1135="",$K1135=""),0,IF(ROUND(($I1135-$K1135)*1440,0)&gt;設定!$C$46,ROUND(($I1135-$K1135)*1440,0),0))</f>
        <v/>
      </c>
      <c r="Q1135" s="85">
        <f>IF($M1135="",0,IF(($M1135-IFERROR(INDEX(設定!$G$6:$G$21,MATCH($G1135,設定!$B$6:$B$21,0)),0))*60&gt;=設定!$C$44,ROUND(FLOOR(($M1135-IFERROR(INDEX(設定!$G$6:$G$21,MATCH($G1135,設定!$B$6:$B$21,0)),0))*60,設定!$C$45)/60,2),0))</f>
        <v/>
      </c>
      <c r="R1135" s="16">
        <f>IF(OR($C1135="",$Q1135=0),"",IF($G1135="國","國定假日",IF($B1135="日","例假",IF($B1135="六","休息日","平日"))))</f>
        <v/>
      </c>
      <c r="S1135" s="19" t="n"/>
    </row>
    <row r="1136">
      <c r="A1136" s="82">
        <f>IF(OR(助理班表!$A41="",18&gt;DAY(EOMONTH(DATE(設定!$C$2,設定!$D$2,1),0))),"",DATE(設定!$C$2,設定!$D$2,18))</f>
        <v/>
      </c>
      <c r="B1136" s="16">
        <f>IF($A1136="","",INDEX(設定!$O$6:$O$12,WEEKDAY($A1136,1)))</f>
        <v/>
      </c>
      <c r="C1136" s="16">
        <f>IF($A1136="","",助理班表!$A41)</f>
        <v/>
      </c>
      <c r="D1136" s="16">
        <f>IF($C1136="","",助理班表!$B41)</f>
        <v/>
      </c>
      <c r="E1136" s="16">
        <f>IF($C1136="","",助理班表!$D41)</f>
        <v/>
      </c>
      <c r="F1136" s="16">
        <f>IF($C1136="","",助理班表!$C41)</f>
        <v/>
      </c>
      <c r="G1136" s="16">
        <f>IF($C1136="","",助理班表!V41)</f>
        <v/>
      </c>
      <c r="H1136" s="83">
        <f>IF($G1136="","",IFERROR(IF(INDEX(設定!$D$6:$D$21,MATCH($G1136,設定!$B$6:$B$21,0))=0,"",INDEX(設定!$D$6:$D$21,MATCH($G1136,設定!$B$6:$B$21,0))),""))</f>
        <v/>
      </c>
      <c r="I1136" s="83">
        <f>IF($G1136="","",IFERROR(IF(INDEX(設定!$E$6:$E$21,MATCH($G1136,設定!$B$6:$B$21,0))=0,"",INDEX(設定!$E$6:$E$21,MATCH($G1136,設定!$B$6:$B$21,0))),""))</f>
        <v/>
      </c>
      <c r="J1136" s="83">
        <f>IFERROR(INDEX(打卡匯入!$C$3:$C$2002,MATCH($C1136&amp;"|"&amp;DAY($A1136),打卡匯入!$E$3:$E$2002,0)),"")</f>
        <v/>
      </c>
      <c r="K1136" s="83">
        <f>IFERROR(INDEX(打卡匯入!$D$3:$D$2002,MATCH($C1136&amp;"|"&amp;DAY($A1136),打卡匯入!$E$3:$E$2002,0)),"")</f>
        <v/>
      </c>
      <c r="L1136" s="84">
        <f>IF(OR($J1136="",$K1136=""),"",IFERROR(INDEX(設定!$F$6:$F$21,MATCH($G1136,設定!$B$6:$B$21,0)),0))</f>
        <v/>
      </c>
      <c r="M1136" s="85">
        <f>IF(OR($J1136="",$K1136=""),"",ROUND(($K1136-$J1136)*24-$L1136/60,2))</f>
        <v/>
      </c>
      <c r="N1136" s="16">
        <f>IF($C1136="","",IF(AND(COUNTIF(設定!$B$15:$B$21,$G1136)&gt;0,$J1136&lt;&gt;""),"假日出勤",IF(AND(COUNTIF(設定!$B$6:$B$14,$G1136)&gt;0,$J1136=""),"未打卡",IF($J1136="","",IF($O1136&gt;0,"遲到",IF($P1136&gt;0,"早退","正常"))))))</f>
        <v/>
      </c>
      <c r="O1136" s="84">
        <f>IF(OR($C1136="",$H1136="",$J1136=""),0,IF(ROUND(($J1136-$H1136)*1440,0)&gt;設定!$C$46,ROUND(($J1136-$H1136)*1440,0),0))</f>
        <v/>
      </c>
      <c r="P1136" s="84">
        <f>IF(OR($C1136="",$I1136="",$K1136=""),0,IF(ROUND(($I1136-$K1136)*1440,0)&gt;設定!$C$46,ROUND(($I1136-$K1136)*1440,0),0))</f>
        <v/>
      </c>
      <c r="Q1136" s="85">
        <f>IF($M1136="",0,IF(($M1136-IFERROR(INDEX(設定!$G$6:$G$21,MATCH($G1136,設定!$B$6:$B$21,0)),0))*60&gt;=設定!$C$44,ROUND(FLOOR(($M1136-IFERROR(INDEX(設定!$G$6:$G$21,MATCH($G1136,設定!$B$6:$B$21,0)),0))*60,設定!$C$45)/60,2),0))</f>
        <v/>
      </c>
      <c r="R1136" s="16">
        <f>IF(OR($C1136="",$Q1136=0),"",IF($G1136="國","國定假日",IF($B1136="日","例假",IF($B1136="六","休息日","平日"))))</f>
        <v/>
      </c>
      <c r="S1136" s="19" t="n"/>
    </row>
    <row r="1137">
      <c r="A1137" s="82">
        <f>IF(OR(助理班表!$A41="",19&gt;DAY(EOMONTH(DATE(設定!$C$2,設定!$D$2,1),0))),"",DATE(設定!$C$2,設定!$D$2,19))</f>
        <v/>
      </c>
      <c r="B1137" s="16">
        <f>IF($A1137="","",INDEX(設定!$O$6:$O$12,WEEKDAY($A1137,1)))</f>
        <v/>
      </c>
      <c r="C1137" s="16">
        <f>IF($A1137="","",助理班表!$A41)</f>
        <v/>
      </c>
      <c r="D1137" s="16">
        <f>IF($C1137="","",助理班表!$B41)</f>
        <v/>
      </c>
      <c r="E1137" s="16">
        <f>IF($C1137="","",助理班表!$D41)</f>
        <v/>
      </c>
      <c r="F1137" s="16">
        <f>IF($C1137="","",助理班表!$C41)</f>
        <v/>
      </c>
      <c r="G1137" s="16">
        <f>IF($C1137="","",助理班表!W41)</f>
        <v/>
      </c>
      <c r="H1137" s="83">
        <f>IF($G1137="","",IFERROR(IF(INDEX(設定!$D$6:$D$21,MATCH($G1137,設定!$B$6:$B$21,0))=0,"",INDEX(設定!$D$6:$D$21,MATCH($G1137,設定!$B$6:$B$21,0))),""))</f>
        <v/>
      </c>
      <c r="I1137" s="83">
        <f>IF($G1137="","",IFERROR(IF(INDEX(設定!$E$6:$E$21,MATCH($G1137,設定!$B$6:$B$21,0))=0,"",INDEX(設定!$E$6:$E$21,MATCH($G1137,設定!$B$6:$B$21,0))),""))</f>
        <v/>
      </c>
      <c r="J1137" s="83">
        <f>IFERROR(INDEX(打卡匯入!$C$3:$C$2002,MATCH($C1137&amp;"|"&amp;DAY($A1137),打卡匯入!$E$3:$E$2002,0)),"")</f>
        <v/>
      </c>
      <c r="K1137" s="83">
        <f>IFERROR(INDEX(打卡匯入!$D$3:$D$2002,MATCH($C1137&amp;"|"&amp;DAY($A1137),打卡匯入!$E$3:$E$2002,0)),"")</f>
        <v/>
      </c>
      <c r="L1137" s="84">
        <f>IF(OR($J1137="",$K1137=""),"",IFERROR(INDEX(設定!$F$6:$F$21,MATCH($G1137,設定!$B$6:$B$21,0)),0))</f>
        <v/>
      </c>
      <c r="M1137" s="85">
        <f>IF(OR($J1137="",$K1137=""),"",ROUND(($K1137-$J1137)*24-$L1137/60,2))</f>
        <v/>
      </c>
      <c r="N1137" s="16">
        <f>IF($C1137="","",IF(AND(COUNTIF(設定!$B$15:$B$21,$G1137)&gt;0,$J1137&lt;&gt;""),"假日出勤",IF(AND(COUNTIF(設定!$B$6:$B$14,$G1137)&gt;0,$J1137=""),"未打卡",IF($J1137="","",IF($O1137&gt;0,"遲到",IF($P1137&gt;0,"早退","正常"))))))</f>
        <v/>
      </c>
      <c r="O1137" s="84">
        <f>IF(OR($C1137="",$H1137="",$J1137=""),0,IF(ROUND(($J1137-$H1137)*1440,0)&gt;設定!$C$46,ROUND(($J1137-$H1137)*1440,0),0))</f>
        <v/>
      </c>
      <c r="P1137" s="84">
        <f>IF(OR($C1137="",$I1137="",$K1137=""),0,IF(ROUND(($I1137-$K1137)*1440,0)&gt;設定!$C$46,ROUND(($I1137-$K1137)*1440,0),0))</f>
        <v/>
      </c>
      <c r="Q1137" s="85">
        <f>IF($M1137="",0,IF(($M1137-IFERROR(INDEX(設定!$G$6:$G$21,MATCH($G1137,設定!$B$6:$B$21,0)),0))*60&gt;=設定!$C$44,ROUND(FLOOR(($M1137-IFERROR(INDEX(設定!$G$6:$G$21,MATCH($G1137,設定!$B$6:$B$21,0)),0))*60,設定!$C$45)/60,2),0))</f>
        <v/>
      </c>
      <c r="R1137" s="16">
        <f>IF(OR($C1137="",$Q1137=0),"",IF($G1137="國","國定假日",IF($B1137="日","例假",IF($B1137="六","休息日","平日"))))</f>
        <v/>
      </c>
      <c r="S1137" s="19" t="n"/>
    </row>
    <row r="1138">
      <c r="A1138" s="82">
        <f>IF(OR(助理班表!$A41="",20&gt;DAY(EOMONTH(DATE(設定!$C$2,設定!$D$2,1),0))),"",DATE(設定!$C$2,設定!$D$2,20))</f>
        <v/>
      </c>
      <c r="B1138" s="16">
        <f>IF($A1138="","",INDEX(設定!$O$6:$O$12,WEEKDAY($A1138,1)))</f>
        <v/>
      </c>
      <c r="C1138" s="16">
        <f>IF($A1138="","",助理班表!$A41)</f>
        <v/>
      </c>
      <c r="D1138" s="16">
        <f>IF($C1138="","",助理班表!$B41)</f>
        <v/>
      </c>
      <c r="E1138" s="16">
        <f>IF($C1138="","",助理班表!$D41)</f>
        <v/>
      </c>
      <c r="F1138" s="16">
        <f>IF($C1138="","",助理班表!$C41)</f>
        <v/>
      </c>
      <c r="G1138" s="16">
        <f>IF($C1138="","",助理班表!X41)</f>
        <v/>
      </c>
      <c r="H1138" s="83">
        <f>IF($G1138="","",IFERROR(IF(INDEX(設定!$D$6:$D$21,MATCH($G1138,設定!$B$6:$B$21,0))=0,"",INDEX(設定!$D$6:$D$21,MATCH($G1138,設定!$B$6:$B$21,0))),""))</f>
        <v/>
      </c>
      <c r="I1138" s="83">
        <f>IF($G1138="","",IFERROR(IF(INDEX(設定!$E$6:$E$21,MATCH($G1138,設定!$B$6:$B$21,0))=0,"",INDEX(設定!$E$6:$E$21,MATCH($G1138,設定!$B$6:$B$21,0))),""))</f>
        <v/>
      </c>
      <c r="J1138" s="83">
        <f>IFERROR(INDEX(打卡匯入!$C$3:$C$2002,MATCH($C1138&amp;"|"&amp;DAY($A1138),打卡匯入!$E$3:$E$2002,0)),"")</f>
        <v/>
      </c>
      <c r="K1138" s="83">
        <f>IFERROR(INDEX(打卡匯入!$D$3:$D$2002,MATCH($C1138&amp;"|"&amp;DAY($A1138),打卡匯入!$E$3:$E$2002,0)),"")</f>
        <v/>
      </c>
      <c r="L1138" s="84">
        <f>IF(OR($J1138="",$K1138=""),"",IFERROR(INDEX(設定!$F$6:$F$21,MATCH($G1138,設定!$B$6:$B$21,0)),0))</f>
        <v/>
      </c>
      <c r="M1138" s="85">
        <f>IF(OR($J1138="",$K1138=""),"",ROUND(($K1138-$J1138)*24-$L1138/60,2))</f>
        <v/>
      </c>
      <c r="N1138" s="16">
        <f>IF($C1138="","",IF(AND(COUNTIF(設定!$B$15:$B$21,$G1138)&gt;0,$J1138&lt;&gt;""),"假日出勤",IF(AND(COUNTIF(設定!$B$6:$B$14,$G1138)&gt;0,$J1138=""),"未打卡",IF($J1138="","",IF($O1138&gt;0,"遲到",IF($P1138&gt;0,"早退","正常"))))))</f>
        <v/>
      </c>
      <c r="O1138" s="84">
        <f>IF(OR($C1138="",$H1138="",$J1138=""),0,IF(ROUND(($J1138-$H1138)*1440,0)&gt;設定!$C$46,ROUND(($J1138-$H1138)*1440,0),0))</f>
        <v/>
      </c>
      <c r="P1138" s="84">
        <f>IF(OR($C1138="",$I1138="",$K1138=""),0,IF(ROUND(($I1138-$K1138)*1440,0)&gt;設定!$C$46,ROUND(($I1138-$K1138)*1440,0),0))</f>
        <v/>
      </c>
      <c r="Q1138" s="85">
        <f>IF($M1138="",0,IF(($M1138-IFERROR(INDEX(設定!$G$6:$G$21,MATCH($G1138,設定!$B$6:$B$21,0)),0))*60&gt;=設定!$C$44,ROUND(FLOOR(($M1138-IFERROR(INDEX(設定!$G$6:$G$21,MATCH($G1138,設定!$B$6:$B$21,0)),0))*60,設定!$C$45)/60,2),0))</f>
        <v/>
      </c>
      <c r="R1138" s="16">
        <f>IF(OR($C1138="",$Q1138=0),"",IF($G1138="國","國定假日",IF($B1138="日","例假",IF($B1138="六","休息日","平日"))))</f>
        <v/>
      </c>
      <c r="S1138" s="19" t="n"/>
    </row>
    <row r="1139">
      <c r="A1139" s="82">
        <f>IF(OR(助理班表!$A41="",21&gt;DAY(EOMONTH(DATE(設定!$C$2,設定!$D$2,1),0))),"",DATE(設定!$C$2,設定!$D$2,21))</f>
        <v/>
      </c>
      <c r="B1139" s="16">
        <f>IF($A1139="","",INDEX(設定!$O$6:$O$12,WEEKDAY($A1139,1)))</f>
        <v/>
      </c>
      <c r="C1139" s="16">
        <f>IF($A1139="","",助理班表!$A41)</f>
        <v/>
      </c>
      <c r="D1139" s="16">
        <f>IF($C1139="","",助理班表!$B41)</f>
        <v/>
      </c>
      <c r="E1139" s="16">
        <f>IF($C1139="","",助理班表!$D41)</f>
        <v/>
      </c>
      <c r="F1139" s="16">
        <f>IF($C1139="","",助理班表!$C41)</f>
        <v/>
      </c>
      <c r="G1139" s="16">
        <f>IF($C1139="","",助理班表!Y41)</f>
        <v/>
      </c>
      <c r="H1139" s="83">
        <f>IF($G1139="","",IFERROR(IF(INDEX(設定!$D$6:$D$21,MATCH($G1139,設定!$B$6:$B$21,0))=0,"",INDEX(設定!$D$6:$D$21,MATCH($G1139,設定!$B$6:$B$21,0))),""))</f>
        <v/>
      </c>
      <c r="I1139" s="83">
        <f>IF($G1139="","",IFERROR(IF(INDEX(設定!$E$6:$E$21,MATCH($G1139,設定!$B$6:$B$21,0))=0,"",INDEX(設定!$E$6:$E$21,MATCH($G1139,設定!$B$6:$B$21,0))),""))</f>
        <v/>
      </c>
      <c r="J1139" s="83">
        <f>IFERROR(INDEX(打卡匯入!$C$3:$C$2002,MATCH($C1139&amp;"|"&amp;DAY($A1139),打卡匯入!$E$3:$E$2002,0)),"")</f>
        <v/>
      </c>
      <c r="K1139" s="83">
        <f>IFERROR(INDEX(打卡匯入!$D$3:$D$2002,MATCH($C1139&amp;"|"&amp;DAY($A1139),打卡匯入!$E$3:$E$2002,0)),"")</f>
        <v/>
      </c>
      <c r="L1139" s="84">
        <f>IF(OR($J1139="",$K1139=""),"",IFERROR(INDEX(設定!$F$6:$F$21,MATCH($G1139,設定!$B$6:$B$21,0)),0))</f>
        <v/>
      </c>
      <c r="M1139" s="85">
        <f>IF(OR($J1139="",$K1139=""),"",ROUND(($K1139-$J1139)*24-$L1139/60,2))</f>
        <v/>
      </c>
      <c r="N1139" s="16">
        <f>IF($C1139="","",IF(AND(COUNTIF(設定!$B$15:$B$21,$G1139)&gt;0,$J1139&lt;&gt;""),"假日出勤",IF(AND(COUNTIF(設定!$B$6:$B$14,$G1139)&gt;0,$J1139=""),"未打卡",IF($J1139="","",IF($O1139&gt;0,"遲到",IF($P1139&gt;0,"早退","正常"))))))</f>
        <v/>
      </c>
      <c r="O1139" s="84">
        <f>IF(OR($C1139="",$H1139="",$J1139=""),0,IF(ROUND(($J1139-$H1139)*1440,0)&gt;設定!$C$46,ROUND(($J1139-$H1139)*1440,0),0))</f>
        <v/>
      </c>
      <c r="P1139" s="84">
        <f>IF(OR($C1139="",$I1139="",$K1139=""),0,IF(ROUND(($I1139-$K1139)*1440,0)&gt;設定!$C$46,ROUND(($I1139-$K1139)*1440,0),0))</f>
        <v/>
      </c>
      <c r="Q1139" s="85">
        <f>IF($M1139="",0,IF(($M1139-IFERROR(INDEX(設定!$G$6:$G$21,MATCH($G1139,設定!$B$6:$B$21,0)),0))*60&gt;=設定!$C$44,ROUND(FLOOR(($M1139-IFERROR(INDEX(設定!$G$6:$G$21,MATCH($G1139,設定!$B$6:$B$21,0)),0))*60,設定!$C$45)/60,2),0))</f>
        <v/>
      </c>
      <c r="R1139" s="16">
        <f>IF(OR($C1139="",$Q1139=0),"",IF($G1139="國","國定假日",IF($B1139="日","例假",IF($B1139="六","休息日","平日"))))</f>
        <v/>
      </c>
      <c r="S1139" s="19" t="n"/>
    </row>
    <row r="1140">
      <c r="A1140" s="82">
        <f>IF(OR(助理班表!$A41="",22&gt;DAY(EOMONTH(DATE(設定!$C$2,設定!$D$2,1),0))),"",DATE(設定!$C$2,設定!$D$2,22))</f>
        <v/>
      </c>
      <c r="B1140" s="16">
        <f>IF($A1140="","",INDEX(設定!$O$6:$O$12,WEEKDAY($A1140,1)))</f>
        <v/>
      </c>
      <c r="C1140" s="16">
        <f>IF($A1140="","",助理班表!$A41)</f>
        <v/>
      </c>
      <c r="D1140" s="16">
        <f>IF($C1140="","",助理班表!$B41)</f>
        <v/>
      </c>
      <c r="E1140" s="16">
        <f>IF($C1140="","",助理班表!$D41)</f>
        <v/>
      </c>
      <c r="F1140" s="16">
        <f>IF($C1140="","",助理班表!$C41)</f>
        <v/>
      </c>
      <c r="G1140" s="16">
        <f>IF($C1140="","",助理班表!Z41)</f>
        <v/>
      </c>
      <c r="H1140" s="83">
        <f>IF($G1140="","",IFERROR(IF(INDEX(設定!$D$6:$D$21,MATCH($G1140,設定!$B$6:$B$21,0))=0,"",INDEX(設定!$D$6:$D$21,MATCH($G1140,設定!$B$6:$B$21,0))),""))</f>
        <v/>
      </c>
      <c r="I1140" s="83">
        <f>IF($G1140="","",IFERROR(IF(INDEX(設定!$E$6:$E$21,MATCH($G1140,設定!$B$6:$B$21,0))=0,"",INDEX(設定!$E$6:$E$21,MATCH($G1140,設定!$B$6:$B$21,0))),""))</f>
        <v/>
      </c>
      <c r="J1140" s="83">
        <f>IFERROR(INDEX(打卡匯入!$C$3:$C$2002,MATCH($C1140&amp;"|"&amp;DAY($A1140),打卡匯入!$E$3:$E$2002,0)),"")</f>
        <v/>
      </c>
      <c r="K1140" s="83">
        <f>IFERROR(INDEX(打卡匯入!$D$3:$D$2002,MATCH($C1140&amp;"|"&amp;DAY($A1140),打卡匯入!$E$3:$E$2002,0)),"")</f>
        <v/>
      </c>
      <c r="L1140" s="84">
        <f>IF(OR($J1140="",$K1140=""),"",IFERROR(INDEX(設定!$F$6:$F$21,MATCH($G1140,設定!$B$6:$B$21,0)),0))</f>
        <v/>
      </c>
      <c r="M1140" s="85">
        <f>IF(OR($J1140="",$K1140=""),"",ROUND(($K1140-$J1140)*24-$L1140/60,2))</f>
        <v/>
      </c>
      <c r="N1140" s="16">
        <f>IF($C1140="","",IF(AND(COUNTIF(設定!$B$15:$B$21,$G1140)&gt;0,$J1140&lt;&gt;""),"假日出勤",IF(AND(COUNTIF(設定!$B$6:$B$14,$G1140)&gt;0,$J1140=""),"未打卡",IF($J1140="","",IF($O1140&gt;0,"遲到",IF($P1140&gt;0,"早退","正常"))))))</f>
        <v/>
      </c>
      <c r="O1140" s="84">
        <f>IF(OR($C1140="",$H1140="",$J1140=""),0,IF(ROUND(($J1140-$H1140)*1440,0)&gt;設定!$C$46,ROUND(($J1140-$H1140)*1440,0),0))</f>
        <v/>
      </c>
      <c r="P1140" s="84">
        <f>IF(OR($C1140="",$I1140="",$K1140=""),0,IF(ROUND(($I1140-$K1140)*1440,0)&gt;設定!$C$46,ROUND(($I1140-$K1140)*1440,0),0))</f>
        <v/>
      </c>
      <c r="Q1140" s="85">
        <f>IF($M1140="",0,IF(($M1140-IFERROR(INDEX(設定!$G$6:$G$21,MATCH($G1140,設定!$B$6:$B$21,0)),0))*60&gt;=設定!$C$44,ROUND(FLOOR(($M1140-IFERROR(INDEX(設定!$G$6:$G$21,MATCH($G1140,設定!$B$6:$B$21,0)),0))*60,設定!$C$45)/60,2),0))</f>
        <v/>
      </c>
      <c r="R1140" s="16">
        <f>IF(OR($C1140="",$Q1140=0),"",IF($G1140="國","國定假日",IF($B1140="日","例假",IF($B1140="六","休息日","平日"))))</f>
        <v/>
      </c>
      <c r="S1140" s="19" t="n"/>
    </row>
    <row r="1141">
      <c r="A1141" s="82">
        <f>IF(OR(助理班表!$A41="",23&gt;DAY(EOMONTH(DATE(設定!$C$2,設定!$D$2,1),0))),"",DATE(設定!$C$2,設定!$D$2,23))</f>
        <v/>
      </c>
      <c r="B1141" s="16">
        <f>IF($A1141="","",INDEX(設定!$O$6:$O$12,WEEKDAY($A1141,1)))</f>
        <v/>
      </c>
      <c r="C1141" s="16">
        <f>IF($A1141="","",助理班表!$A41)</f>
        <v/>
      </c>
      <c r="D1141" s="16">
        <f>IF($C1141="","",助理班表!$B41)</f>
        <v/>
      </c>
      <c r="E1141" s="16">
        <f>IF($C1141="","",助理班表!$D41)</f>
        <v/>
      </c>
      <c r="F1141" s="16">
        <f>IF($C1141="","",助理班表!$C41)</f>
        <v/>
      </c>
      <c r="G1141" s="16">
        <f>IF($C1141="","",助理班表!AA41)</f>
        <v/>
      </c>
      <c r="H1141" s="83">
        <f>IF($G1141="","",IFERROR(IF(INDEX(設定!$D$6:$D$21,MATCH($G1141,設定!$B$6:$B$21,0))=0,"",INDEX(設定!$D$6:$D$21,MATCH($G1141,設定!$B$6:$B$21,0))),""))</f>
        <v/>
      </c>
      <c r="I1141" s="83">
        <f>IF($G1141="","",IFERROR(IF(INDEX(設定!$E$6:$E$21,MATCH($G1141,設定!$B$6:$B$21,0))=0,"",INDEX(設定!$E$6:$E$21,MATCH($G1141,設定!$B$6:$B$21,0))),""))</f>
        <v/>
      </c>
      <c r="J1141" s="83">
        <f>IFERROR(INDEX(打卡匯入!$C$3:$C$2002,MATCH($C1141&amp;"|"&amp;DAY($A1141),打卡匯入!$E$3:$E$2002,0)),"")</f>
        <v/>
      </c>
      <c r="K1141" s="83">
        <f>IFERROR(INDEX(打卡匯入!$D$3:$D$2002,MATCH($C1141&amp;"|"&amp;DAY($A1141),打卡匯入!$E$3:$E$2002,0)),"")</f>
        <v/>
      </c>
      <c r="L1141" s="84">
        <f>IF(OR($J1141="",$K1141=""),"",IFERROR(INDEX(設定!$F$6:$F$21,MATCH($G1141,設定!$B$6:$B$21,0)),0))</f>
        <v/>
      </c>
      <c r="M1141" s="85">
        <f>IF(OR($J1141="",$K1141=""),"",ROUND(($K1141-$J1141)*24-$L1141/60,2))</f>
        <v/>
      </c>
      <c r="N1141" s="16">
        <f>IF($C1141="","",IF(AND(COUNTIF(設定!$B$15:$B$21,$G1141)&gt;0,$J1141&lt;&gt;""),"假日出勤",IF(AND(COUNTIF(設定!$B$6:$B$14,$G1141)&gt;0,$J1141=""),"未打卡",IF($J1141="","",IF($O1141&gt;0,"遲到",IF($P1141&gt;0,"早退","正常"))))))</f>
        <v/>
      </c>
      <c r="O1141" s="84">
        <f>IF(OR($C1141="",$H1141="",$J1141=""),0,IF(ROUND(($J1141-$H1141)*1440,0)&gt;設定!$C$46,ROUND(($J1141-$H1141)*1440,0),0))</f>
        <v/>
      </c>
      <c r="P1141" s="84">
        <f>IF(OR($C1141="",$I1141="",$K1141=""),0,IF(ROUND(($I1141-$K1141)*1440,0)&gt;設定!$C$46,ROUND(($I1141-$K1141)*1440,0),0))</f>
        <v/>
      </c>
      <c r="Q1141" s="85">
        <f>IF($M1141="",0,IF(($M1141-IFERROR(INDEX(設定!$G$6:$G$21,MATCH($G1141,設定!$B$6:$B$21,0)),0))*60&gt;=設定!$C$44,ROUND(FLOOR(($M1141-IFERROR(INDEX(設定!$G$6:$G$21,MATCH($G1141,設定!$B$6:$B$21,0)),0))*60,設定!$C$45)/60,2),0))</f>
        <v/>
      </c>
      <c r="R1141" s="16">
        <f>IF(OR($C1141="",$Q1141=0),"",IF($G1141="國","國定假日",IF($B1141="日","例假",IF($B1141="六","休息日","平日"))))</f>
        <v/>
      </c>
      <c r="S1141" s="19" t="n"/>
    </row>
    <row r="1142">
      <c r="A1142" s="82">
        <f>IF(OR(助理班表!$A41="",24&gt;DAY(EOMONTH(DATE(設定!$C$2,設定!$D$2,1),0))),"",DATE(設定!$C$2,設定!$D$2,24))</f>
        <v/>
      </c>
      <c r="B1142" s="16">
        <f>IF($A1142="","",INDEX(設定!$O$6:$O$12,WEEKDAY($A1142,1)))</f>
        <v/>
      </c>
      <c r="C1142" s="16">
        <f>IF($A1142="","",助理班表!$A41)</f>
        <v/>
      </c>
      <c r="D1142" s="16">
        <f>IF($C1142="","",助理班表!$B41)</f>
        <v/>
      </c>
      <c r="E1142" s="16">
        <f>IF($C1142="","",助理班表!$D41)</f>
        <v/>
      </c>
      <c r="F1142" s="16">
        <f>IF($C1142="","",助理班表!$C41)</f>
        <v/>
      </c>
      <c r="G1142" s="16">
        <f>IF($C1142="","",助理班表!AB41)</f>
        <v/>
      </c>
      <c r="H1142" s="83">
        <f>IF($G1142="","",IFERROR(IF(INDEX(設定!$D$6:$D$21,MATCH($G1142,設定!$B$6:$B$21,0))=0,"",INDEX(設定!$D$6:$D$21,MATCH($G1142,設定!$B$6:$B$21,0))),""))</f>
        <v/>
      </c>
      <c r="I1142" s="83">
        <f>IF($G1142="","",IFERROR(IF(INDEX(設定!$E$6:$E$21,MATCH($G1142,設定!$B$6:$B$21,0))=0,"",INDEX(設定!$E$6:$E$21,MATCH($G1142,設定!$B$6:$B$21,0))),""))</f>
        <v/>
      </c>
      <c r="J1142" s="83">
        <f>IFERROR(INDEX(打卡匯入!$C$3:$C$2002,MATCH($C1142&amp;"|"&amp;DAY($A1142),打卡匯入!$E$3:$E$2002,0)),"")</f>
        <v/>
      </c>
      <c r="K1142" s="83">
        <f>IFERROR(INDEX(打卡匯入!$D$3:$D$2002,MATCH($C1142&amp;"|"&amp;DAY($A1142),打卡匯入!$E$3:$E$2002,0)),"")</f>
        <v/>
      </c>
      <c r="L1142" s="84">
        <f>IF(OR($J1142="",$K1142=""),"",IFERROR(INDEX(設定!$F$6:$F$21,MATCH($G1142,設定!$B$6:$B$21,0)),0))</f>
        <v/>
      </c>
      <c r="M1142" s="85">
        <f>IF(OR($J1142="",$K1142=""),"",ROUND(($K1142-$J1142)*24-$L1142/60,2))</f>
        <v/>
      </c>
      <c r="N1142" s="16">
        <f>IF($C1142="","",IF(AND(COUNTIF(設定!$B$15:$B$21,$G1142)&gt;0,$J1142&lt;&gt;""),"假日出勤",IF(AND(COUNTIF(設定!$B$6:$B$14,$G1142)&gt;0,$J1142=""),"未打卡",IF($J1142="","",IF($O1142&gt;0,"遲到",IF($P1142&gt;0,"早退","正常"))))))</f>
        <v/>
      </c>
      <c r="O1142" s="84">
        <f>IF(OR($C1142="",$H1142="",$J1142=""),0,IF(ROUND(($J1142-$H1142)*1440,0)&gt;設定!$C$46,ROUND(($J1142-$H1142)*1440,0),0))</f>
        <v/>
      </c>
      <c r="P1142" s="84">
        <f>IF(OR($C1142="",$I1142="",$K1142=""),0,IF(ROUND(($I1142-$K1142)*1440,0)&gt;設定!$C$46,ROUND(($I1142-$K1142)*1440,0),0))</f>
        <v/>
      </c>
      <c r="Q1142" s="85">
        <f>IF($M1142="",0,IF(($M1142-IFERROR(INDEX(設定!$G$6:$G$21,MATCH($G1142,設定!$B$6:$B$21,0)),0))*60&gt;=設定!$C$44,ROUND(FLOOR(($M1142-IFERROR(INDEX(設定!$G$6:$G$21,MATCH($G1142,設定!$B$6:$B$21,0)),0))*60,設定!$C$45)/60,2),0))</f>
        <v/>
      </c>
      <c r="R1142" s="16">
        <f>IF(OR($C1142="",$Q1142=0),"",IF($G1142="國","國定假日",IF($B1142="日","例假",IF($B1142="六","休息日","平日"))))</f>
        <v/>
      </c>
      <c r="S1142" s="19" t="n"/>
    </row>
    <row r="1143">
      <c r="A1143" s="82">
        <f>IF(OR(助理班表!$A41="",25&gt;DAY(EOMONTH(DATE(設定!$C$2,設定!$D$2,1),0))),"",DATE(設定!$C$2,設定!$D$2,25))</f>
        <v/>
      </c>
      <c r="B1143" s="16">
        <f>IF($A1143="","",INDEX(設定!$O$6:$O$12,WEEKDAY($A1143,1)))</f>
        <v/>
      </c>
      <c r="C1143" s="16">
        <f>IF($A1143="","",助理班表!$A41)</f>
        <v/>
      </c>
      <c r="D1143" s="16">
        <f>IF($C1143="","",助理班表!$B41)</f>
        <v/>
      </c>
      <c r="E1143" s="16">
        <f>IF($C1143="","",助理班表!$D41)</f>
        <v/>
      </c>
      <c r="F1143" s="16">
        <f>IF($C1143="","",助理班表!$C41)</f>
        <v/>
      </c>
      <c r="G1143" s="16">
        <f>IF($C1143="","",助理班表!AC41)</f>
        <v/>
      </c>
      <c r="H1143" s="83">
        <f>IF($G1143="","",IFERROR(IF(INDEX(設定!$D$6:$D$21,MATCH($G1143,設定!$B$6:$B$21,0))=0,"",INDEX(設定!$D$6:$D$21,MATCH($G1143,設定!$B$6:$B$21,0))),""))</f>
        <v/>
      </c>
      <c r="I1143" s="83">
        <f>IF($G1143="","",IFERROR(IF(INDEX(設定!$E$6:$E$21,MATCH($G1143,設定!$B$6:$B$21,0))=0,"",INDEX(設定!$E$6:$E$21,MATCH($G1143,設定!$B$6:$B$21,0))),""))</f>
        <v/>
      </c>
      <c r="J1143" s="83">
        <f>IFERROR(INDEX(打卡匯入!$C$3:$C$2002,MATCH($C1143&amp;"|"&amp;DAY($A1143),打卡匯入!$E$3:$E$2002,0)),"")</f>
        <v/>
      </c>
      <c r="K1143" s="83">
        <f>IFERROR(INDEX(打卡匯入!$D$3:$D$2002,MATCH($C1143&amp;"|"&amp;DAY($A1143),打卡匯入!$E$3:$E$2002,0)),"")</f>
        <v/>
      </c>
      <c r="L1143" s="84">
        <f>IF(OR($J1143="",$K1143=""),"",IFERROR(INDEX(設定!$F$6:$F$21,MATCH($G1143,設定!$B$6:$B$21,0)),0))</f>
        <v/>
      </c>
      <c r="M1143" s="85">
        <f>IF(OR($J1143="",$K1143=""),"",ROUND(($K1143-$J1143)*24-$L1143/60,2))</f>
        <v/>
      </c>
      <c r="N1143" s="16">
        <f>IF($C1143="","",IF(AND(COUNTIF(設定!$B$15:$B$21,$G1143)&gt;0,$J1143&lt;&gt;""),"假日出勤",IF(AND(COUNTIF(設定!$B$6:$B$14,$G1143)&gt;0,$J1143=""),"未打卡",IF($J1143="","",IF($O1143&gt;0,"遲到",IF($P1143&gt;0,"早退","正常"))))))</f>
        <v/>
      </c>
      <c r="O1143" s="84">
        <f>IF(OR($C1143="",$H1143="",$J1143=""),0,IF(ROUND(($J1143-$H1143)*1440,0)&gt;設定!$C$46,ROUND(($J1143-$H1143)*1440,0),0))</f>
        <v/>
      </c>
      <c r="P1143" s="84">
        <f>IF(OR($C1143="",$I1143="",$K1143=""),0,IF(ROUND(($I1143-$K1143)*1440,0)&gt;設定!$C$46,ROUND(($I1143-$K1143)*1440,0),0))</f>
        <v/>
      </c>
      <c r="Q1143" s="85">
        <f>IF($M1143="",0,IF(($M1143-IFERROR(INDEX(設定!$G$6:$G$21,MATCH($G1143,設定!$B$6:$B$21,0)),0))*60&gt;=設定!$C$44,ROUND(FLOOR(($M1143-IFERROR(INDEX(設定!$G$6:$G$21,MATCH($G1143,設定!$B$6:$B$21,0)),0))*60,設定!$C$45)/60,2),0))</f>
        <v/>
      </c>
      <c r="R1143" s="16">
        <f>IF(OR($C1143="",$Q1143=0),"",IF($G1143="國","國定假日",IF($B1143="日","例假",IF($B1143="六","休息日","平日"))))</f>
        <v/>
      </c>
      <c r="S1143" s="19" t="n"/>
    </row>
    <row r="1144">
      <c r="A1144" s="82">
        <f>IF(OR(助理班表!$A41="",26&gt;DAY(EOMONTH(DATE(設定!$C$2,設定!$D$2,1),0))),"",DATE(設定!$C$2,設定!$D$2,26))</f>
        <v/>
      </c>
      <c r="B1144" s="16">
        <f>IF($A1144="","",INDEX(設定!$O$6:$O$12,WEEKDAY($A1144,1)))</f>
        <v/>
      </c>
      <c r="C1144" s="16">
        <f>IF($A1144="","",助理班表!$A41)</f>
        <v/>
      </c>
      <c r="D1144" s="16">
        <f>IF($C1144="","",助理班表!$B41)</f>
        <v/>
      </c>
      <c r="E1144" s="16">
        <f>IF($C1144="","",助理班表!$D41)</f>
        <v/>
      </c>
      <c r="F1144" s="16">
        <f>IF($C1144="","",助理班表!$C41)</f>
        <v/>
      </c>
      <c r="G1144" s="16">
        <f>IF($C1144="","",助理班表!AD41)</f>
        <v/>
      </c>
      <c r="H1144" s="83">
        <f>IF($G1144="","",IFERROR(IF(INDEX(設定!$D$6:$D$21,MATCH($G1144,設定!$B$6:$B$21,0))=0,"",INDEX(設定!$D$6:$D$21,MATCH($G1144,設定!$B$6:$B$21,0))),""))</f>
        <v/>
      </c>
      <c r="I1144" s="83">
        <f>IF($G1144="","",IFERROR(IF(INDEX(設定!$E$6:$E$21,MATCH($G1144,設定!$B$6:$B$21,0))=0,"",INDEX(設定!$E$6:$E$21,MATCH($G1144,設定!$B$6:$B$21,0))),""))</f>
        <v/>
      </c>
      <c r="J1144" s="83">
        <f>IFERROR(INDEX(打卡匯入!$C$3:$C$2002,MATCH($C1144&amp;"|"&amp;DAY($A1144),打卡匯入!$E$3:$E$2002,0)),"")</f>
        <v/>
      </c>
      <c r="K1144" s="83">
        <f>IFERROR(INDEX(打卡匯入!$D$3:$D$2002,MATCH($C1144&amp;"|"&amp;DAY($A1144),打卡匯入!$E$3:$E$2002,0)),"")</f>
        <v/>
      </c>
      <c r="L1144" s="84">
        <f>IF(OR($J1144="",$K1144=""),"",IFERROR(INDEX(設定!$F$6:$F$21,MATCH($G1144,設定!$B$6:$B$21,0)),0))</f>
        <v/>
      </c>
      <c r="M1144" s="85">
        <f>IF(OR($J1144="",$K1144=""),"",ROUND(($K1144-$J1144)*24-$L1144/60,2))</f>
        <v/>
      </c>
      <c r="N1144" s="16">
        <f>IF($C1144="","",IF(AND(COUNTIF(設定!$B$15:$B$21,$G1144)&gt;0,$J1144&lt;&gt;""),"假日出勤",IF(AND(COUNTIF(設定!$B$6:$B$14,$G1144)&gt;0,$J1144=""),"未打卡",IF($J1144="","",IF($O1144&gt;0,"遲到",IF($P1144&gt;0,"早退","正常"))))))</f>
        <v/>
      </c>
      <c r="O1144" s="84">
        <f>IF(OR($C1144="",$H1144="",$J1144=""),0,IF(ROUND(($J1144-$H1144)*1440,0)&gt;設定!$C$46,ROUND(($J1144-$H1144)*1440,0),0))</f>
        <v/>
      </c>
      <c r="P1144" s="84">
        <f>IF(OR($C1144="",$I1144="",$K1144=""),0,IF(ROUND(($I1144-$K1144)*1440,0)&gt;設定!$C$46,ROUND(($I1144-$K1144)*1440,0),0))</f>
        <v/>
      </c>
      <c r="Q1144" s="85">
        <f>IF($M1144="",0,IF(($M1144-IFERROR(INDEX(設定!$G$6:$G$21,MATCH($G1144,設定!$B$6:$B$21,0)),0))*60&gt;=設定!$C$44,ROUND(FLOOR(($M1144-IFERROR(INDEX(設定!$G$6:$G$21,MATCH($G1144,設定!$B$6:$B$21,0)),0))*60,設定!$C$45)/60,2),0))</f>
        <v/>
      </c>
      <c r="R1144" s="16">
        <f>IF(OR($C1144="",$Q1144=0),"",IF($G1144="國","國定假日",IF($B1144="日","例假",IF($B1144="六","休息日","平日"))))</f>
        <v/>
      </c>
      <c r="S1144" s="19" t="n"/>
    </row>
    <row r="1145">
      <c r="A1145" s="82">
        <f>IF(OR(助理班表!$A41="",27&gt;DAY(EOMONTH(DATE(設定!$C$2,設定!$D$2,1),0))),"",DATE(設定!$C$2,設定!$D$2,27))</f>
        <v/>
      </c>
      <c r="B1145" s="16">
        <f>IF($A1145="","",INDEX(設定!$O$6:$O$12,WEEKDAY($A1145,1)))</f>
        <v/>
      </c>
      <c r="C1145" s="16">
        <f>IF($A1145="","",助理班表!$A41)</f>
        <v/>
      </c>
      <c r="D1145" s="16">
        <f>IF($C1145="","",助理班表!$B41)</f>
        <v/>
      </c>
      <c r="E1145" s="16">
        <f>IF($C1145="","",助理班表!$D41)</f>
        <v/>
      </c>
      <c r="F1145" s="16">
        <f>IF($C1145="","",助理班表!$C41)</f>
        <v/>
      </c>
      <c r="G1145" s="16">
        <f>IF($C1145="","",助理班表!AE41)</f>
        <v/>
      </c>
      <c r="H1145" s="83">
        <f>IF($G1145="","",IFERROR(IF(INDEX(設定!$D$6:$D$21,MATCH($G1145,設定!$B$6:$B$21,0))=0,"",INDEX(設定!$D$6:$D$21,MATCH($G1145,設定!$B$6:$B$21,0))),""))</f>
        <v/>
      </c>
      <c r="I1145" s="83">
        <f>IF($G1145="","",IFERROR(IF(INDEX(設定!$E$6:$E$21,MATCH($G1145,設定!$B$6:$B$21,0))=0,"",INDEX(設定!$E$6:$E$21,MATCH($G1145,設定!$B$6:$B$21,0))),""))</f>
        <v/>
      </c>
      <c r="J1145" s="83">
        <f>IFERROR(INDEX(打卡匯入!$C$3:$C$2002,MATCH($C1145&amp;"|"&amp;DAY($A1145),打卡匯入!$E$3:$E$2002,0)),"")</f>
        <v/>
      </c>
      <c r="K1145" s="83">
        <f>IFERROR(INDEX(打卡匯入!$D$3:$D$2002,MATCH($C1145&amp;"|"&amp;DAY($A1145),打卡匯入!$E$3:$E$2002,0)),"")</f>
        <v/>
      </c>
      <c r="L1145" s="84">
        <f>IF(OR($J1145="",$K1145=""),"",IFERROR(INDEX(設定!$F$6:$F$21,MATCH($G1145,設定!$B$6:$B$21,0)),0))</f>
        <v/>
      </c>
      <c r="M1145" s="85">
        <f>IF(OR($J1145="",$K1145=""),"",ROUND(($K1145-$J1145)*24-$L1145/60,2))</f>
        <v/>
      </c>
      <c r="N1145" s="16">
        <f>IF($C1145="","",IF(AND(COUNTIF(設定!$B$15:$B$21,$G1145)&gt;0,$J1145&lt;&gt;""),"假日出勤",IF(AND(COUNTIF(設定!$B$6:$B$14,$G1145)&gt;0,$J1145=""),"未打卡",IF($J1145="","",IF($O1145&gt;0,"遲到",IF($P1145&gt;0,"早退","正常"))))))</f>
        <v/>
      </c>
      <c r="O1145" s="84">
        <f>IF(OR($C1145="",$H1145="",$J1145=""),0,IF(ROUND(($J1145-$H1145)*1440,0)&gt;設定!$C$46,ROUND(($J1145-$H1145)*1440,0),0))</f>
        <v/>
      </c>
      <c r="P1145" s="84">
        <f>IF(OR($C1145="",$I1145="",$K1145=""),0,IF(ROUND(($I1145-$K1145)*1440,0)&gt;設定!$C$46,ROUND(($I1145-$K1145)*1440,0),0))</f>
        <v/>
      </c>
      <c r="Q1145" s="85">
        <f>IF($M1145="",0,IF(($M1145-IFERROR(INDEX(設定!$G$6:$G$21,MATCH($G1145,設定!$B$6:$B$21,0)),0))*60&gt;=設定!$C$44,ROUND(FLOOR(($M1145-IFERROR(INDEX(設定!$G$6:$G$21,MATCH($G1145,設定!$B$6:$B$21,0)),0))*60,設定!$C$45)/60,2),0))</f>
        <v/>
      </c>
      <c r="R1145" s="16">
        <f>IF(OR($C1145="",$Q1145=0),"",IF($G1145="國","國定假日",IF($B1145="日","例假",IF($B1145="六","休息日","平日"))))</f>
        <v/>
      </c>
      <c r="S1145" s="19" t="n"/>
    </row>
    <row r="1146">
      <c r="A1146" s="82">
        <f>IF(OR(助理班表!$A41="",28&gt;DAY(EOMONTH(DATE(設定!$C$2,設定!$D$2,1),0))),"",DATE(設定!$C$2,設定!$D$2,28))</f>
        <v/>
      </c>
      <c r="B1146" s="16">
        <f>IF($A1146="","",INDEX(設定!$O$6:$O$12,WEEKDAY($A1146,1)))</f>
        <v/>
      </c>
      <c r="C1146" s="16">
        <f>IF($A1146="","",助理班表!$A41)</f>
        <v/>
      </c>
      <c r="D1146" s="16">
        <f>IF($C1146="","",助理班表!$B41)</f>
        <v/>
      </c>
      <c r="E1146" s="16">
        <f>IF($C1146="","",助理班表!$D41)</f>
        <v/>
      </c>
      <c r="F1146" s="16">
        <f>IF($C1146="","",助理班表!$C41)</f>
        <v/>
      </c>
      <c r="G1146" s="16">
        <f>IF($C1146="","",助理班表!AF41)</f>
        <v/>
      </c>
      <c r="H1146" s="83">
        <f>IF($G1146="","",IFERROR(IF(INDEX(設定!$D$6:$D$21,MATCH($G1146,設定!$B$6:$B$21,0))=0,"",INDEX(設定!$D$6:$D$21,MATCH($G1146,設定!$B$6:$B$21,0))),""))</f>
        <v/>
      </c>
      <c r="I1146" s="83">
        <f>IF($G1146="","",IFERROR(IF(INDEX(設定!$E$6:$E$21,MATCH($G1146,設定!$B$6:$B$21,0))=0,"",INDEX(設定!$E$6:$E$21,MATCH($G1146,設定!$B$6:$B$21,0))),""))</f>
        <v/>
      </c>
      <c r="J1146" s="83">
        <f>IFERROR(INDEX(打卡匯入!$C$3:$C$2002,MATCH($C1146&amp;"|"&amp;DAY($A1146),打卡匯入!$E$3:$E$2002,0)),"")</f>
        <v/>
      </c>
      <c r="K1146" s="83">
        <f>IFERROR(INDEX(打卡匯入!$D$3:$D$2002,MATCH($C1146&amp;"|"&amp;DAY($A1146),打卡匯入!$E$3:$E$2002,0)),"")</f>
        <v/>
      </c>
      <c r="L1146" s="84">
        <f>IF(OR($J1146="",$K1146=""),"",IFERROR(INDEX(設定!$F$6:$F$21,MATCH($G1146,設定!$B$6:$B$21,0)),0))</f>
        <v/>
      </c>
      <c r="M1146" s="85">
        <f>IF(OR($J1146="",$K1146=""),"",ROUND(($K1146-$J1146)*24-$L1146/60,2))</f>
        <v/>
      </c>
      <c r="N1146" s="16">
        <f>IF($C1146="","",IF(AND(COUNTIF(設定!$B$15:$B$21,$G1146)&gt;0,$J1146&lt;&gt;""),"假日出勤",IF(AND(COUNTIF(設定!$B$6:$B$14,$G1146)&gt;0,$J1146=""),"未打卡",IF($J1146="","",IF($O1146&gt;0,"遲到",IF($P1146&gt;0,"早退","正常"))))))</f>
        <v/>
      </c>
      <c r="O1146" s="84">
        <f>IF(OR($C1146="",$H1146="",$J1146=""),0,IF(ROUND(($J1146-$H1146)*1440,0)&gt;設定!$C$46,ROUND(($J1146-$H1146)*1440,0),0))</f>
        <v/>
      </c>
      <c r="P1146" s="84">
        <f>IF(OR($C1146="",$I1146="",$K1146=""),0,IF(ROUND(($I1146-$K1146)*1440,0)&gt;設定!$C$46,ROUND(($I1146-$K1146)*1440,0),0))</f>
        <v/>
      </c>
      <c r="Q1146" s="85">
        <f>IF($M1146="",0,IF(($M1146-IFERROR(INDEX(設定!$G$6:$G$21,MATCH($G1146,設定!$B$6:$B$21,0)),0))*60&gt;=設定!$C$44,ROUND(FLOOR(($M1146-IFERROR(INDEX(設定!$G$6:$G$21,MATCH($G1146,設定!$B$6:$B$21,0)),0))*60,設定!$C$45)/60,2),0))</f>
        <v/>
      </c>
      <c r="R1146" s="16">
        <f>IF(OR($C1146="",$Q1146=0),"",IF($G1146="國","國定假日",IF($B1146="日","例假",IF($B1146="六","休息日","平日"))))</f>
        <v/>
      </c>
      <c r="S1146" s="19" t="n"/>
    </row>
    <row r="1147">
      <c r="A1147" s="82">
        <f>IF(OR(助理班表!$A41="",29&gt;DAY(EOMONTH(DATE(設定!$C$2,設定!$D$2,1),0))),"",DATE(設定!$C$2,設定!$D$2,29))</f>
        <v/>
      </c>
      <c r="B1147" s="16">
        <f>IF($A1147="","",INDEX(設定!$O$6:$O$12,WEEKDAY($A1147,1)))</f>
        <v/>
      </c>
      <c r="C1147" s="16">
        <f>IF($A1147="","",助理班表!$A41)</f>
        <v/>
      </c>
      <c r="D1147" s="16">
        <f>IF($C1147="","",助理班表!$B41)</f>
        <v/>
      </c>
      <c r="E1147" s="16">
        <f>IF($C1147="","",助理班表!$D41)</f>
        <v/>
      </c>
      <c r="F1147" s="16">
        <f>IF($C1147="","",助理班表!$C41)</f>
        <v/>
      </c>
      <c r="G1147" s="16">
        <f>IF($C1147="","",助理班表!AG41)</f>
        <v/>
      </c>
      <c r="H1147" s="83">
        <f>IF($G1147="","",IFERROR(IF(INDEX(設定!$D$6:$D$21,MATCH($G1147,設定!$B$6:$B$21,0))=0,"",INDEX(設定!$D$6:$D$21,MATCH($G1147,設定!$B$6:$B$21,0))),""))</f>
        <v/>
      </c>
      <c r="I1147" s="83">
        <f>IF($G1147="","",IFERROR(IF(INDEX(設定!$E$6:$E$21,MATCH($G1147,設定!$B$6:$B$21,0))=0,"",INDEX(設定!$E$6:$E$21,MATCH($G1147,設定!$B$6:$B$21,0))),""))</f>
        <v/>
      </c>
      <c r="J1147" s="83">
        <f>IFERROR(INDEX(打卡匯入!$C$3:$C$2002,MATCH($C1147&amp;"|"&amp;DAY($A1147),打卡匯入!$E$3:$E$2002,0)),"")</f>
        <v/>
      </c>
      <c r="K1147" s="83">
        <f>IFERROR(INDEX(打卡匯入!$D$3:$D$2002,MATCH($C1147&amp;"|"&amp;DAY($A1147),打卡匯入!$E$3:$E$2002,0)),"")</f>
        <v/>
      </c>
      <c r="L1147" s="84">
        <f>IF(OR($J1147="",$K1147=""),"",IFERROR(INDEX(設定!$F$6:$F$21,MATCH($G1147,設定!$B$6:$B$21,0)),0))</f>
        <v/>
      </c>
      <c r="M1147" s="85">
        <f>IF(OR($J1147="",$K1147=""),"",ROUND(($K1147-$J1147)*24-$L1147/60,2))</f>
        <v/>
      </c>
      <c r="N1147" s="16">
        <f>IF($C1147="","",IF(AND(COUNTIF(設定!$B$15:$B$21,$G1147)&gt;0,$J1147&lt;&gt;""),"假日出勤",IF(AND(COUNTIF(設定!$B$6:$B$14,$G1147)&gt;0,$J1147=""),"未打卡",IF($J1147="","",IF($O1147&gt;0,"遲到",IF($P1147&gt;0,"早退","正常"))))))</f>
        <v/>
      </c>
      <c r="O1147" s="84">
        <f>IF(OR($C1147="",$H1147="",$J1147=""),0,IF(ROUND(($J1147-$H1147)*1440,0)&gt;設定!$C$46,ROUND(($J1147-$H1147)*1440,0),0))</f>
        <v/>
      </c>
      <c r="P1147" s="84">
        <f>IF(OR($C1147="",$I1147="",$K1147=""),0,IF(ROUND(($I1147-$K1147)*1440,0)&gt;設定!$C$46,ROUND(($I1147-$K1147)*1440,0),0))</f>
        <v/>
      </c>
      <c r="Q1147" s="85">
        <f>IF($M1147="",0,IF(($M1147-IFERROR(INDEX(設定!$G$6:$G$21,MATCH($G1147,設定!$B$6:$B$21,0)),0))*60&gt;=設定!$C$44,ROUND(FLOOR(($M1147-IFERROR(INDEX(設定!$G$6:$G$21,MATCH($G1147,設定!$B$6:$B$21,0)),0))*60,設定!$C$45)/60,2),0))</f>
        <v/>
      </c>
      <c r="R1147" s="16">
        <f>IF(OR($C1147="",$Q1147=0),"",IF($G1147="國","國定假日",IF($B1147="日","例假",IF($B1147="六","休息日","平日"))))</f>
        <v/>
      </c>
      <c r="S1147" s="19" t="n"/>
    </row>
    <row r="1148">
      <c r="A1148" s="82">
        <f>IF(OR(助理班表!$A41="",30&gt;DAY(EOMONTH(DATE(設定!$C$2,設定!$D$2,1),0))),"",DATE(設定!$C$2,設定!$D$2,30))</f>
        <v/>
      </c>
      <c r="B1148" s="16">
        <f>IF($A1148="","",INDEX(設定!$O$6:$O$12,WEEKDAY($A1148,1)))</f>
        <v/>
      </c>
      <c r="C1148" s="16">
        <f>IF($A1148="","",助理班表!$A41)</f>
        <v/>
      </c>
      <c r="D1148" s="16">
        <f>IF($C1148="","",助理班表!$B41)</f>
        <v/>
      </c>
      <c r="E1148" s="16">
        <f>IF($C1148="","",助理班表!$D41)</f>
        <v/>
      </c>
      <c r="F1148" s="16">
        <f>IF($C1148="","",助理班表!$C41)</f>
        <v/>
      </c>
      <c r="G1148" s="16">
        <f>IF($C1148="","",助理班表!AH41)</f>
        <v/>
      </c>
      <c r="H1148" s="83">
        <f>IF($G1148="","",IFERROR(IF(INDEX(設定!$D$6:$D$21,MATCH($G1148,設定!$B$6:$B$21,0))=0,"",INDEX(設定!$D$6:$D$21,MATCH($G1148,設定!$B$6:$B$21,0))),""))</f>
        <v/>
      </c>
      <c r="I1148" s="83">
        <f>IF($G1148="","",IFERROR(IF(INDEX(設定!$E$6:$E$21,MATCH($G1148,設定!$B$6:$B$21,0))=0,"",INDEX(設定!$E$6:$E$21,MATCH($G1148,設定!$B$6:$B$21,0))),""))</f>
        <v/>
      </c>
      <c r="J1148" s="83">
        <f>IFERROR(INDEX(打卡匯入!$C$3:$C$2002,MATCH($C1148&amp;"|"&amp;DAY($A1148),打卡匯入!$E$3:$E$2002,0)),"")</f>
        <v/>
      </c>
      <c r="K1148" s="83">
        <f>IFERROR(INDEX(打卡匯入!$D$3:$D$2002,MATCH($C1148&amp;"|"&amp;DAY($A1148),打卡匯入!$E$3:$E$2002,0)),"")</f>
        <v/>
      </c>
      <c r="L1148" s="84">
        <f>IF(OR($J1148="",$K1148=""),"",IFERROR(INDEX(設定!$F$6:$F$21,MATCH($G1148,設定!$B$6:$B$21,0)),0))</f>
        <v/>
      </c>
      <c r="M1148" s="85">
        <f>IF(OR($J1148="",$K1148=""),"",ROUND(($K1148-$J1148)*24-$L1148/60,2))</f>
        <v/>
      </c>
      <c r="N1148" s="16">
        <f>IF($C1148="","",IF(AND(COUNTIF(設定!$B$15:$B$21,$G1148)&gt;0,$J1148&lt;&gt;""),"假日出勤",IF(AND(COUNTIF(設定!$B$6:$B$14,$G1148)&gt;0,$J1148=""),"未打卡",IF($J1148="","",IF($O1148&gt;0,"遲到",IF($P1148&gt;0,"早退","正常"))))))</f>
        <v/>
      </c>
      <c r="O1148" s="84">
        <f>IF(OR($C1148="",$H1148="",$J1148=""),0,IF(ROUND(($J1148-$H1148)*1440,0)&gt;設定!$C$46,ROUND(($J1148-$H1148)*1440,0),0))</f>
        <v/>
      </c>
      <c r="P1148" s="84">
        <f>IF(OR($C1148="",$I1148="",$K1148=""),0,IF(ROUND(($I1148-$K1148)*1440,0)&gt;設定!$C$46,ROUND(($I1148-$K1148)*1440,0),0))</f>
        <v/>
      </c>
      <c r="Q1148" s="85">
        <f>IF($M1148="",0,IF(($M1148-IFERROR(INDEX(設定!$G$6:$G$21,MATCH($G1148,設定!$B$6:$B$21,0)),0))*60&gt;=設定!$C$44,ROUND(FLOOR(($M1148-IFERROR(INDEX(設定!$G$6:$G$21,MATCH($G1148,設定!$B$6:$B$21,0)),0))*60,設定!$C$45)/60,2),0))</f>
        <v/>
      </c>
      <c r="R1148" s="16">
        <f>IF(OR($C1148="",$Q1148=0),"",IF($G1148="國","國定假日",IF($B1148="日","例假",IF($B1148="六","休息日","平日"))))</f>
        <v/>
      </c>
      <c r="S1148" s="19" t="n"/>
    </row>
    <row r="1149">
      <c r="A1149" s="82">
        <f>IF(OR(助理班表!$A41="",31&gt;DAY(EOMONTH(DATE(設定!$C$2,設定!$D$2,1),0))),"",DATE(設定!$C$2,設定!$D$2,31))</f>
        <v/>
      </c>
      <c r="B1149" s="16">
        <f>IF($A1149="","",INDEX(設定!$O$6:$O$12,WEEKDAY($A1149,1)))</f>
        <v/>
      </c>
      <c r="C1149" s="16">
        <f>IF($A1149="","",助理班表!$A41)</f>
        <v/>
      </c>
      <c r="D1149" s="16">
        <f>IF($C1149="","",助理班表!$B41)</f>
        <v/>
      </c>
      <c r="E1149" s="16">
        <f>IF($C1149="","",助理班表!$D41)</f>
        <v/>
      </c>
      <c r="F1149" s="16">
        <f>IF($C1149="","",助理班表!$C41)</f>
        <v/>
      </c>
      <c r="G1149" s="16">
        <f>IF($C1149="","",助理班表!AI41)</f>
        <v/>
      </c>
      <c r="H1149" s="83">
        <f>IF($G1149="","",IFERROR(IF(INDEX(設定!$D$6:$D$21,MATCH($G1149,設定!$B$6:$B$21,0))=0,"",INDEX(設定!$D$6:$D$21,MATCH($G1149,設定!$B$6:$B$21,0))),""))</f>
        <v/>
      </c>
      <c r="I1149" s="83">
        <f>IF($G1149="","",IFERROR(IF(INDEX(設定!$E$6:$E$21,MATCH($G1149,設定!$B$6:$B$21,0))=0,"",INDEX(設定!$E$6:$E$21,MATCH($G1149,設定!$B$6:$B$21,0))),""))</f>
        <v/>
      </c>
      <c r="J1149" s="83">
        <f>IFERROR(INDEX(打卡匯入!$C$3:$C$2002,MATCH($C1149&amp;"|"&amp;DAY($A1149),打卡匯入!$E$3:$E$2002,0)),"")</f>
        <v/>
      </c>
      <c r="K1149" s="83">
        <f>IFERROR(INDEX(打卡匯入!$D$3:$D$2002,MATCH($C1149&amp;"|"&amp;DAY($A1149),打卡匯入!$E$3:$E$2002,0)),"")</f>
        <v/>
      </c>
      <c r="L1149" s="84">
        <f>IF(OR($J1149="",$K1149=""),"",IFERROR(INDEX(設定!$F$6:$F$21,MATCH($G1149,設定!$B$6:$B$21,0)),0))</f>
        <v/>
      </c>
      <c r="M1149" s="85">
        <f>IF(OR($J1149="",$K1149=""),"",ROUND(($K1149-$J1149)*24-$L1149/60,2))</f>
        <v/>
      </c>
      <c r="N1149" s="16">
        <f>IF($C1149="","",IF(AND(COUNTIF(設定!$B$15:$B$21,$G1149)&gt;0,$J1149&lt;&gt;""),"假日出勤",IF(AND(COUNTIF(設定!$B$6:$B$14,$G1149)&gt;0,$J1149=""),"未打卡",IF($J1149="","",IF($O1149&gt;0,"遲到",IF($P1149&gt;0,"早退","正常"))))))</f>
        <v/>
      </c>
      <c r="O1149" s="84">
        <f>IF(OR($C1149="",$H1149="",$J1149=""),0,IF(ROUND(($J1149-$H1149)*1440,0)&gt;設定!$C$46,ROUND(($J1149-$H1149)*1440,0),0))</f>
        <v/>
      </c>
      <c r="P1149" s="84">
        <f>IF(OR($C1149="",$I1149="",$K1149=""),0,IF(ROUND(($I1149-$K1149)*1440,0)&gt;設定!$C$46,ROUND(($I1149-$K1149)*1440,0),0))</f>
        <v/>
      </c>
      <c r="Q1149" s="85">
        <f>IF($M1149="",0,IF(($M1149-IFERROR(INDEX(設定!$G$6:$G$21,MATCH($G1149,設定!$B$6:$B$21,0)),0))*60&gt;=設定!$C$44,ROUND(FLOOR(($M1149-IFERROR(INDEX(設定!$G$6:$G$21,MATCH($G1149,設定!$B$6:$B$21,0)),0))*60,設定!$C$45)/60,2),0))</f>
        <v/>
      </c>
      <c r="R1149" s="16">
        <f>IF(OR($C1149="",$Q1149=0),"",IF($G1149="國","國定假日",IF($B1149="日","例假",IF($B1149="六","休息日","平日"))))</f>
        <v/>
      </c>
      <c r="S1149" s="19" t="n"/>
    </row>
    <row r="1150">
      <c r="A1150" s="82">
        <f>IF(OR(助理班表!$A42="",1&gt;DAY(EOMONTH(DATE(設定!$C$2,設定!$D$2,1),0))),"",DATE(設定!$C$2,設定!$D$2,1))</f>
        <v/>
      </c>
      <c r="B1150" s="16">
        <f>IF($A1150="","",INDEX(設定!$O$6:$O$12,WEEKDAY($A1150,1)))</f>
        <v/>
      </c>
      <c r="C1150" s="16">
        <f>IF($A1150="","",助理班表!$A42)</f>
        <v/>
      </c>
      <c r="D1150" s="16">
        <f>IF($C1150="","",助理班表!$B42)</f>
        <v/>
      </c>
      <c r="E1150" s="16">
        <f>IF($C1150="","",助理班表!$D42)</f>
        <v/>
      </c>
      <c r="F1150" s="16">
        <f>IF($C1150="","",助理班表!$C42)</f>
        <v/>
      </c>
      <c r="G1150" s="16">
        <f>IF($C1150="","",助理班表!E42)</f>
        <v/>
      </c>
      <c r="H1150" s="83">
        <f>IF($G1150="","",IFERROR(IF(INDEX(設定!$D$6:$D$21,MATCH($G1150,設定!$B$6:$B$21,0))=0,"",INDEX(設定!$D$6:$D$21,MATCH($G1150,設定!$B$6:$B$21,0))),""))</f>
        <v/>
      </c>
      <c r="I1150" s="83">
        <f>IF($G1150="","",IFERROR(IF(INDEX(設定!$E$6:$E$21,MATCH($G1150,設定!$B$6:$B$21,0))=0,"",INDEX(設定!$E$6:$E$21,MATCH($G1150,設定!$B$6:$B$21,0))),""))</f>
        <v/>
      </c>
      <c r="J1150" s="83">
        <f>IFERROR(INDEX(打卡匯入!$C$3:$C$2002,MATCH($C1150&amp;"|"&amp;DAY($A1150),打卡匯入!$E$3:$E$2002,0)),"")</f>
        <v/>
      </c>
      <c r="K1150" s="83">
        <f>IFERROR(INDEX(打卡匯入!$D$3:$D$2002,MATCH($C1150&amp;"|"&amp;DAY($A1150),打卡匯入!$E$3:$E$2002,0)),"")</f>
        <v/>
      </c>
      <c r="L1150" s="84">
        <f>IF(OR($J1150="",$K1150=""),"",IFERROR(INDEX(設定!$F$6:$F$21,MATCH($G1150,設定!$B$6:$B$21,0)),0))</f>
        <v/>
      </c>
      <c r="M1150" s="85">
        <f>IF(OR($J1150="",$K1150=""),"",ROUND(($K1150-$J1150)*24-$L1150/60,2))</f>
        <v/>
      </c>
      <c r="N1150" s="16">
        <f>IF($C1150="","",IF(AND(COUNTIF(設定!$B$15:$B$21,$G1150)&gt;0,$J1150&lt;&gt;""),"假日出勤",IF(AND(COUNTIF(設定!$B$6:$B$14,$G1150)&gt;0,$J1150=""),"未打卡",IF($J1150="","",IF($O1150&gt;0,"遲到",IF($P1150&gt;0,"早退","正常"))))))</f>
        <v/>
      </c>
      <c r="O1150" s="84">
        <f>IF(OR($C1150="",$H1150="",$J1150=""),0,IF(ROUND(($J1150-$H1150)*1440,0)&gt;設定!$C$46,ROUND(($J1150-$H1150)*1440,0),0))</f>
        <v/>
      </c>
      <c r="P1150" s="84">
        <f>IF(OR($C1150="",$I1150="",$K1150=""),0,IF(ROUND(($I1150-$K1150)*1440,0)&gt;設定!$C$46,ROUND(($I1150-$K1150)*1440,0),0))</f>
        <v/>
      </c>
      <c r="Q1150" s="85">
        <f>IF($M1150="",0,IF(($M1150-IFERROR(INDEX(設定!$G$6:$G$21,MATCH($G1150,設定!$B$6:$B$21,0)),0))*60&gt;=設定!$C$44,ROUND(FLOOR(($M1150-IFERROR(INDEX(設定!$G$6:$G$21,MATCH($G1150,設定!$B$6:$B$21,0)),0))*60,設定!$C$45)/60,2),0))</f>
        <v/>
      </c>
      <c r="R1150" s="16">
        <f>IF(OR($C1150="",$Q1150=0),"",IF($G1150="國","國定假日",IF($B1150="日","例假",IF($B1150="六","休息日","平日"))))</f>
        <v/>
      </c>
      <c r="S1150" s="19" t="n"/>
    </row>
    <row r="1151">
      <c r="A1151" s="82">
        <f>IF(OR(助理班表!$A42="",2&gt;DAY(EOMONTH(DATE(設定!$C$2,設定!$D$2,1),0))),"",DATE(設定!$C$2,設定!$D$2,2))</f>
        <v/>
      </c>
      <c r="B1151" s="16">
        <f>IF($A1151="","",INDEX(設定!$O$6:$O$12,WEEKDAY($A1151,1)))</f>
        <v/>
      </c>
      <c r="C1151" s="16">
        <f>IF($A1151="","",助理班表!$A42)</f>
        <v/>
      </c>
      <c r="D1151" s="16">
        <f>IF($C1151="","",助理班表!$B42)</f>
        <v/>
      </c>
      <c r="E1151" s="16">
        <f>IF($C1151="","",助理班表!$D42)</f>
        <v/>
      </c>
      <c r="F1151" s="16">
        <f>IF($C1151="","",助理班表!$C42)</f>
        <v/>
      </c>
      <c r="G1151" s="16">
        <f>IF($C1151="","",助理班表!F42)</f>
        <v/>
      </c>
      <c r="H1151" s="83">
        <f>IF($G1151="","",IFERROR(IF(INDEX(設定!$D$6:$D$21,MATCH($G1151,設定!$B$6:$B$21,0))=0,"",INDEX(設定!$D$6:$D$21,MATCH($G1151,設定!$B$6:$B$21,0))),""))</f>
        <v/>
      </c>
      <c r="I1151" s="83">
        <f>IF($G1151="","",IFERROR(IF(INDEX(設定!$E$6:$E$21,MATCH($G1151,設定!$B$6:$B$21,0))=0,"",INDEX(設定!$E$6:$E$21,MATCH($G1151,設定!$B$6:$B$21,0))),""))</f>
        <v/>
      </c>
      <c r="J1151" s="83">
        <f>IFERROR(INDEX(打卡匯入!$C$3:$C$2002,MATCH($C1151&amp;"|"&amp;DAY($A1151),打卡匯入!$E$3:$E$2002,0)),"")</f>
        <v/>
      </c>
      <c r="K1151" s="83">
        <f>IFERROR(INDEX(打卡匯入!$D$3:$D$2002,MATCH($C1151&amp;"|"&amp;DAY($A1151),打卡匯入!$E$3:$E$2002,0)),"")</f>
        <v/>
      </c>
      <c r="L1151" s="84">
        <f>IF(OR($J1151="",$K1151=""),"",IFERROR(INDEX(設定!$F$6:$F$21,MATCH($G1151,設定!$B$6:$B$21,0)),0))</f>
        <v/>
      </c>
      <c r="M1151" s="85">
        <f>IF(OR($J1151="",$K1151=""),"",ROUND(($K1151-$J1151)*24-$L1151/60,2))</f>
        <v/>
      </c>
      <c r="N1151" s="16">
        <f>IF($C1151="","",IF(AND(COUNTIF(設定!$B$15:$B$21,$G1151)&gt;0,$J1151&lt;&gt;""),"假日出勤",IF(AND(COUNTIF(設定!$B$6:$B$14,$G1151)&gt;0,$J1151=""),"未打卡",IF($J1151="","",IF($O1151&gt;0,"遲到",IF($P1151&gt;0,"早退","正常"))))))</f>
        <v/>
      </c>
      <c r="O1151" s="84">
        <f>IF(OR($C1151="",$H1151="",$J1151=""),0,IF(ROUND(($J1151-$H1151)*1440,0)&gt;設定!$C$46,ROUND(($J1151-$H1151)*1440,0),0))</f>
        <v/>
      </c>
      <c r="P1151" s="84">
        <f>IF(OR($C1151="",$I1151="",$K1151=""),0,IF(ROUND(($I1151-$K1151)*1440,0)&gt;設定!$C$46,ROUND(($I1151-$K1151)*1440,0),0))</f>
        <v/>
      </c>
      <c r="Q1151" s="85">
        <f>IF($M1151="",0,IF(($M1151-IFERROR(INDEX(設定!$G$6:$G$21,MATCH($G1151,設定!$B$6:$B$21,0)),0))*60&gt;=設定!$C$44,ROUND(FLOOR(($M1151-IFERROR(INDEX(設定!$G$6:$G$21,MATCH($G1151,設定!$B$6:$B$21,0)),0))*60,設定!$C$45)/60,2),0))</f>
        <v/>
      </c>
      <c r="R1151" s="16">
        <f>IF(OR($C1151="",$Q1151=0),"",IF($G1151="國","國定假日",IF($B1151="日","例假",IF($B1151="六","休息日","平日"))))</f>
        <v/>
      </c>
      <c r="S1151" s="19" t="n"/>
    </row>
    <row r="1152">
      <c r="A1152" s="82">
        <f>IF(OR(助理班表!$A42="",3&gt;DAY(EOMONTH(DATE(設定!$C$2,設定!$D$2,1),0))),"",DATE(設定!$C$2,設定!$D$2,3))</f>
        <v/>
      </c>
      <c r="B1152" s="16">
        <f>IF($A1152="","",INDEX(設定!$O$6:$O$12,WEEKDAY($A1152,1)))</f>
        <v/>
      </c>
      <c r="C1152" s="16">
        <f>IF($A1152="","",助理班表!$A42)</f>
        <v/>
      </c>
      <c r="D1152" s="16">
        <f>IF($C1152="","",助理班表!$B42)</f>
        <v/>
      </c>
      <c r="E1152" s="16">
        <f>IF($C1152="","",助理班表!$D42)</f>
        <v/>
      </c>
      <c r="F1152" s="16">
        <f>IF($C1152="","",助理班表!$C42)</f>
        <v/>
      </c>
      <c r="G1152" s="16">
        <f>IF($C1152="","",助理班表!G42)</f>
        <v/>
      </c>
      <c r="H1152" s="83">
        <f>IF($G1152="","",IFERROR(IF(INDEX(設定!$D$6:$D$21,MATCH($G1152,設定!$B$6:$B$21,0))=0,"",INDEX(設定!$D$6:$D$21,MATCH($G1152,設定!$B$6:$B$21,0))),""))</f>
        <v/>
      </c>
      <c r="I1152" s="83">
        <f>IF($G1152="","",IFERROR(IF(INDEX(設定!$E$6:$E$21,MATCH($G1152,設定!$B$6:$B$21,0))=0,"",INDEX(設定!$E$6:$E$21,MATCH($G1152,設定!$B$6:$B$21,0))),""))</f>
        <v/>
      </c>
      <c r="J1152" s="83">
        <f>IFERROR(INDEX(打卡匯入!$C$3:$C$2002,MATCH($C1152&amp;"|"&amp;DAY($A1152),打卡匯入!$E$3:$E$2002,0)),"")</f>
        <v/>
      </c>
      <c r="K1152" s="83">
        <f>IFERROR(INDEX(打卡匯入!$D$3:$D$2002,MATCH($C1152&amp;"|"&amp;DAY($A1152),打卡匯入!$E$3:$E$2002,0)),"")</f>
        <v/>
      </c>
      <c r="L1152" s="84">
        <f>IF(OR($J1152="",$K1152=""),"",IFERROR(INDEX(設定!$F$6:$F$21,MATCH($G1152,設定!$B$6:$B$21,0)),0))</f>
        <v/>
      </c>
      <c r="M1152" s="85">
        <f>IF(OR($J1152="",$K1152=""),"",ROUND(($K1152-$J1152)*24-$L1152/60,2))</f>
        <v/>
      </c>
      <c r="N1152" s="16">
        <f>IF($C1152="","",IF(AND(COUNTIF(設定!$B$15:$B$21,$G1152)&gt;0,$J1152&lt;&gt;""),"假日出勤",IF(AND(COUNTIF(設定!$B$6:$B$14,$G1152)&gt;0,$J1152=""),"未打卡",IF($J1152="","",IF($O1152&gt;0,"遲到",IF($P1152&gt;0,"早退","正常"))))))</f>
        <v/>
      </c>
      <c r="O1152" s="84">
        <f>IF(OR($C1152="",$H1152="",$J1152=""),0,IF(ROUND(($J1152-$H1152)*1440,0)&gt;設定!$C$46,ROUND(($J1152-$H1152)*1440,0),0))</f>
        <v/>
      </c>
      <c r="P1152" s="84">
        <f>IF(OR($C1152="",$I1152="",$K1152=""),0,IF(ROUND(($I1152-$K1152)*1440,0)&gt;設定!$C$46,ROUND(($I1152-$K1152)*1440,0),0))</f>
        <v/>
      </c>
      <c r="Q1152" s="85">
        <f>IF($M1152="",0,IF(($M1152-IFERROR(INDEX(設定!$G$6:$G$21,MATCH($G1152,設定!$B$6:$B$21,0)),0))*60&gt;=設定!$C$44,ROUND(FLOOR(($M1152-IFERROR(INDEX(設定!$G$6:$G$21,MATCH($G1152,設定!$B$6:$B$21,0)),0))*60,設定!$C$45)/60,2),0))</f>
        <v/>
      </c>
      <c r="R1152" s="16">
        <f>IF(OR($C1152="",$Q1152=0),"",IF($G1152="國","國定假日",IF($B1152="日","例假",IF($B1152="六","休息日","平日"))))</f>
        <v/>
      </c>
      <c r="S1152" s="19" t="n"/>
    </row>
    <row r="1153">
      <c r="A1153" s="82">
        <f>IF(OR(助理班表!$A42="",4&gt;DAY(EOMONTH(DATE(設定!$C$2,設定!$D$2,1),0))),"",DATE(設定!$C$2,設定!$D$2,4))</f>
        <v/>
      </c>
      <c r="B1153" s="16">
        <f>IF($A1153="","",INDEX(設定!$O$6:$O$12,WEEKDAY($A1153,1)))</f>
        <v/>
      </c>
      <c r="C1153" s="16">
        <f>IF($A1153="","",助理班表!$A42)</f>
        <v/>
      </c>
      <c r="D1153" s="16">
        <f>IF($C1153="","",助理班表!$B42)</f>
        <v/>
      </c>
      <c r="E1153" s="16">
        <f>IF($C1153="","",助理班表!$D42)</f>
        <v/>
      </c>
      <c r="F1153" s="16">
        <f>IF($C1153="","",助理班表!$C42)</f>
        <v/>
      </c>
      <c r="G1153" s="16">
        <f>IF($C1153="","",助理班表!H42)</f>
        <v/>
      </c>
      <c r="H1153" s="83">
        <f>IF($G1153="","",IFERROR(IF(INDEX(設定!$D$6:$D$21,MATCH($G1153,設定!$B$6:$B$21,0))=0,"",INDEX(設定!$D$6:$D$21,MATCH($G1153,設定!$B$6:$B$21,0))),""))</f>
        <v/>
      </c>
      <c r="I1153" s="83">
        <f>IF($G1153="","",IFERROR(IF(INDEX(設定!$E$6:$E$21,MATCH($G1153,設定!$B$6:$B$21,0))=0,"",INDEX(設定!$E$6:$E$21,MATCH($G1153,設定!$B$6:$B$21,0))),""))</f>
        <v/>
      </c>
      <c r="J1153" s="83">
        <f>IFERROR(INDEX(打卡匯入!$C$3:$C$2002,MATCH($C1153&amp;"|"&amp;DAY($A1153),打卡匯入!$E$3:$E$2002,0)),"")</f>
        <v/>
      </c>
      <c r="K1153" s="83">
        <f>IFERROR(INDEX(打卡匯入!$D$3:$D$2002,MATCH($C1153&amp;"|"&amp;DAY($A1153),打卡匯入!$E$3:$E$2002,0)),"")</f>
        <v/>
      </c>
      <c r="L1153" s="84">
        <f>IF(OR($J1153="",$K1153=""),"",IFERROR(INDEX(設定!$F$6:$F$21,MATCH($G1153,設定!$B$6:$B$21,0)),0))</f>
        <v/>
      </c>
      <c r="M1153" s="85">
        <f>IF(OR($J1153="",$K1153=""),"",ROUND(($K1153-$J1153)*24-$L1153/60,2))</f>
        <v/>
      </c>
      <c r="N1153" s="16">
        <f>IF($C1153="","",IF(AND(COUNTIF(設定!$B$15:$B$21,$G1153)&gt;0,$J1153&lt;&gt;""),"假日出勤",IF(AND(COUNTIF(設定!$B$6:$B$14,$G1153)&gt;0,$J1153=""),"未打卡",IF($J1153="","",IF($O1153&gt;0,"遲到",IF($P1153&gt;0,"早退","正常"))))))</f>
        <v/>
      </c>
      <c r="O1153" s="84">
        <f>IF(OR($C1153="",$H1153="",$J1153=""),0,IF(ROUND(($J1153-$H1153)*1440,0)&gt;設定!$C$46,ROUND(($J1153-$H1153)*1440,0),0))</f>
        <v/>
      </c>
      <c r="P1153" s="84">
        <f>IF(OR($C1153="",$I1153="",$K1153=""),0,IF(ROUND(($I1153-$K1153)*1440,0)&gt;設定!$C$46,ROUND(($I1153-$K1153)*1440,0),0))</f>
        <v/>
      </c>
      <c r="Q1153" s="85">
        <f>IF($M1153="",0,IF(($M1153-IFERROR(INDEX(設定!$G$6:$G$21,MATCH($G1153,設定!$B$6:$B$21,0)),0))*60&gt;=設定!$C$44,ROUND(FLOOR(($M1153-IFERROR(INDEX(設定!$G$6:$G$21,MATCH($G1153,設定!$B$6:$B$21,0)),0))*60,設定!$C$45)/60,2),0))</f>
        <v/>
      </c>
      <c r="R1153" s="16">
        <f>IF(OR($C1153="",$Q1153=0),"",IF($G1153="國","國定假日",IF($B1153="日","例假",IF($B1153="六","休息日","平日"))))</f>
        <v/>
      </c>
      <c r="S1153" s="19" t="n"/>
    </row>
    <row r="1154">
      <c r="A1154" s="82">
        <f>IF(OR(助理班表!$A42="",5&gt;DAY(EOMONTH(DATE(設定!$C$2,設定!$D$2,1),0))),"",DATE(設定!$C$2,設定!$D$2,5))</f>
        <v/>
      </c>
      <c r="B1154" s="16">
        <f>IF($A1154="","",INDEX(設定!$O$6:$O$12,WEEKDAY($A1154,1)))</f>
        <v/>
      </c>
      <c r="C1154" s="16">
        <f>IF($A1154="","",助理班表!$A42)</f>
        <v/>
      </c>
      <c r="D1154" s="16">
        <f>IF($C1154="","",助理班表!$B42)</f>
        <v/>
      </c>
      <c r="E1154" s="16">
        <f>IF($C1154="","",助理班表!$D42)</f>
        <v/>
      </c>
      <c r="F1154" s="16">
        <f>IF($C1154="","",助理班表!$C42)</f>
        <v/>
      </c>
      <c r="G1154" s="16">
        <f>IF($C1154="","",助理班表!I42)</f>
        <v/>
      </c>
      <c r="H1154" s="83">
        <f>IF($G1154="","",IFERROR(IF(INDEX(設定!$D$6:$D$21,MATCH($G1154,設定!$B$6:$B$21,0))=0,"",INDEX(設定!$D$6:$D$21,MATCH($G1154,設定!$B$6:$B$21,0))),""))</f>
        <v/>
      </c>
      <c r="I1154" s="83">
        <f>IF($G1154="","",IFERROR(IF(INDEX(設定!$E$6:$E$21,MATCH($G1154,設定!$B$6:$B$21,0))=0,"",INDEX(設定!$E$6:$E$21,MATCH($G1154,設定!$B$6:$B$21,0))),""))</f>
        <v/>
      </c>
      <c r="J1154" s="83">
        <f>IFERROR(INDEX(打卡匯入!$C$3:$C$2002,MATCH($C1154&amp;"|"&amp;DAY($A1154),打卡匯入!$E$3:$E$2002,0)),"")</f>
        <v/>
      </c>
      <c r="K1154" s="83">
        <f>IFERROR(INDEX(打卡匯入!$D$3:$D$2002,MATCH($C1154&amp;"|"&amp;DAY($A1154),打卡匯入!$E$3:$E$2002,0)),"")</f>
        <v/>
      </c>
      <c r="L1154" s="84">
        <f>IF(OR($J1154="",$K1154=""),"",IFERROR(INDEX(設定!$F$6:$F$21,MATCH($G1154,設定!$B$6:$B$21,0)),0))</f>
        <v/>
      </c>
      <c r="M1154" s="85">
        <f>IF(OR($J1154="",$K1154=""),"",ROUND(($K1154-$J1154)*24-$L1154/60,2))</f>
        <v/>
      </c>
      <c r="N1154" s="16">
        <f>IF($C1154="","",IF(AND(COUNTIF(設定!$B$15:$B$21,$G1154)&gt;0,$J1154&lt;&gt;""),"假日出勤",IF(AND(COUNTIF(設定!$B$6:$B$14,$G1154)&gt;0,$J1154=""),"未打卡",IF($J1154="","",IF($O1154&gt;0,"遲到",IF($P1154&gt;0,"早退","正常"))))))</f>
        <v/>
      </c>
      <c r="O1154" s="84">
        <f>IF(OR($C1154="",$H1154="",$J1154=""),0,IF(ROUND(($J1154-$H1154)*1440,0)&gt;設定!$C$46,ROUND(($J1154-$H1154)*1440,0),0))</f>
        <v/>
      </c>
      <c r="P1154" s="84">
        <f>IF(OR($C1154="",$I1154="",$K1154=""),0,IF(ROUND(($I1154-$K1154)*1440,0)&gt;設定!$C$46,ROUND(($I1154-$K1154)*1440,0),0))</f>
        <v/>
      </c>
      <c r="Q1154" s="85">
        <f>IF($M1154="",0,IF(($M1154-IFERROR(INDEX(設定!$G$6:$G$21,MATCH($G1154,設定!$B$6:$B$21,0)),0))*60&gt;=設定!$C$44,ROUND(FLOOR(($M1154-IFERROR(INDEX(設定!$G$6:$G$21,MATCH($G1154,設定!$B$6:$B$21,0)),0))*60,設定!$C$45)/60,2),0))</f>
        <v/>
      </c>
      <c r="R1154" s="16">
        <f>IF(OR($C1154="",$Q1154=0),"",IF($G1154="國","國定假日",IF($B1154="日","例假",IF($B1154="六","休息日","平日"))))</f>
        <v/>
      </c>
      <c r="S1154" s="19" t="n"/>
    </row>
    <row r="1155">
      <c r="A1155" s="82">
        <f>IF(OR(助理班表!$A42="",6&gt;DAY(EOMONTH(DATE(設定!$C$2,設定!$D$2,1),0))),"",DATE(設定!$C$2,設定!$D$2,6))</f>
        <v/>
      </c>
      <c r="B1155" s="16">
        <f>IF($A1155="","",INDEX(設定!$O$6:$O$12,WEEKDAY($A1155,1)))</f>
        <v/>
      </c>
      <c r="C1155" s="16">
        <f>IF($A1155="","",助理班表!$A42)</f>
        <v/>
      </c>
      <c r="D1155" s="16">
        <f>IF($C1155="","",助理班表!$B42)</f>
        <v/>
      </c>
      <c r="E1155" s="16">
        <f>IF($C1155="","",助理班表!$D42)</f>
        <v/>
      </c>
      <c r="F1155" s="16">
        <f>IF($C1155="","",助理班表!$C42)</f>
        <v/>
      </c>
      <c r="G1155" s="16">
        <f>IF($C1155="","",助理班表!J42)</f>
        <v/>
      </c>
      <c r="H1155" s="83">
        <f>IF($G1155="","",IFERROR(IF(INDEX(設定!$D$6:$D$21,MATCH($G1155,設定!$B$6:$B$21,0))=0,"",INDEX(設定!$D$6:$D$21,MATCH($G1155,設定!$B$6:$B$21,0))),""))</f>
        <v/>
      </c>
      <c r="I1155" s="83">
        <f>IF($G1155="","",IFERROR(IF(INDEX(設定!$E$6:$E$21,MATCH($G1155,設定!$B$6:$B$21,0))=0,"",INDEX(設定!$E$6:$E$21,MATCH($G1155,設定!$B$6:$B$21,0))),""))</f>
        <v/>
      </c>
      <c r="J1155" s="83">
        <f>IFERROR(INDEX(打卡匯入!$C$3:$C$2002,MATCH($C1155&amp;"|"&amp;DAY($A1155),打卡匯入!$E$3:$E$2002,0)),"")</f>
        <v/>
      </c>
      <c r="K1155" s="83">
        <f>IFERROR(INDEX(打卡匯入!$D$3:$D$2002,MATCH($C1155&amp;"|"&amp;DAY($A1155),打卡匯入!$E$3:$E$2002,0)),"")</f>
        <v/>
      </c>
      <c r="L1155" s="84">
        <f>IF(OR($J1155="",$K1155=""),"",IFERROR(INDEX(設定!$F$6:$F$21,MATCH($G1155,設定!$B$6:$B$21,0)),0))</f>
        <v/>
      </c>
      <c r="M1155" s="85">
        <f>IF(OR($J1155="",$K1155=""),"",ROUND(($K1155-$J1155)*24-$L1155/60,2))</f>
        <v/>
      </c>
      <c r="N1155" s="16">
        <f>IF($C1155="","",IF(AND(COUNTIF(設定!$B$15:$B$21,$G1155)&gt;0,$J1155&lt;&gt;""),"假日出勤",IF(AND(COUNTIF(設定!$B$6:$B$14,$G1155)&gt;0,$J1155=""),"未打卡",IF($J1155="","",IF($O1155&gt;0,"遲到",IF($P1155&gt;0,"早退","正常"))))))</f>
        <v/>
      </c>
      <c r="O1155" s="84">
        <f>IF(OR($C1155="",$H1155="",$J1155=""),0,IF(ROUND(($J1155-$H1155)*1440,0)&gt;設定!$C$46,ROUND(($J1155-$H1155)*1440,0),0))</f>
        <v/>
      </c>
      <c r="P1155" s="84">
        <f>IF(OR($C1155="",$I1155="",$K1155=""),0,IF(ROUND(($I1155-$K1155)*1440,0)&gt;設定!$C$46,ROUND(($I1155-$K1155)*1440,0),0))</f>
        <v/>
      </c>
      <c r="Q1155" s="85">
        <f>IF($M1155="",0,IF(($M1155-IFERROR(INDEX(設定!$G$6:$G$21,MATCH($G1155,設定!$B$6:$B$21,0)),0))*60&gt;=設定!$C$44,ROUND(FLOOR(($M1155-IFERROR(INDEX(設定!$G$6:$G$21,MATCH($G1155,設定!$B$6:$B$21,0)),0))*60,設定!$C$45)/60,2),0))</f>
        <v/>
      </c>
      <c r="R1155" s="16">
        <f>IF(OR($C1155="",$Q1155=0),"",IF($G1155="國","國定假日",IF($B1155="日","例假",IF($B1155="六","休息日","平日"))))</f>
        <v/>
      </c>
      <c r="S1155" s="19" t="n"/>
    </row>
    <row r="1156">
      <c r="A1156" s="82">
        <f>IF(OR(助理班表!$A42="",7&gt;DAY(EOMONTH(DATE(設定!$C$2,設定!$D$2,1),0))),"",DATE(設定!$C$2,設定!$D$2,7))</f>
        <v/>
      </c>
      <c r="B1156" s="16">
        <f>IF($A1156="","",INDEX(設定!$O$6:$O$12,WEEKDAY($A1156,1)))</f>
        <v/>
      </c>
      <c r="C1156" s="16">
        <f>IF($A1156="","",助理班表!$A42)</f>
        <v/>
      </c>
      <c r="D1156" s="16">
        <f>IF($C1156="","",助理班表!$B42)</f>
        <v/>
      </c>
      <c r="E1156" s="16">
        <f>IF($C1156="","",助理班表!$D42)</f>
        <v/>
      </c>
      <c r="F1156" s="16">
        <f>IF($C1156="","",助理班表!$C42)</f>
        <v/>
      </c>
      <c r="G1156" s="16">
        <f>IF($C1156="","",助理班表!K42)</f>
        <v/>
      </c>
      <c r="H1156" s="83">
        <f>IF($G1156="","",IFERROR(IF(INDEX(設定!$D$6:$D$21,MATCH($G1156,設定!$B$6:$B$21,0))=0,"",INDEX(設定!$D$6:$D$21,MATCH($G1156,設定!$B$6:$B$21,0))),""))</f>
        <v/>
      </c>
      <c r="I1156" s="83">
        <f>IF($G1156="","",IFERROR(IF(INDEX(設定!$E$6:$E$21,MATCH($G1156,設定!$B$6:$B$21,0))=0,"",INDEX(設定!$E$6:$E$21,MATCH($G1156,設定!$B$6:$B$21,0))),""))</f>
        <v/>
      </c>
      <c r="J1156" s="83">
        <f>IFERROR(INDEX(打卡匯入!$C$3:$C$2002,MATCH($C1156&amp;"|"&amp;DAY($A1156),打卡匯入!$E$3:$E$2002,0)),"")</f>
        <v/>
      </c>
      <c r="K1156" s="83">
        <f>IFERROR(INDEX(打卡匯入!$D$3:$D$2002,MATCH($C1156&amp;"|"&amp;DAY($A1156),打卡匯入!$E$3:$E$2002,0)),"")</f>
        <v/>
      </c>
      <c r="L1156" s="84">
        <f>IF(OR($J1156="",$K1156=""),"",IFERROR(INDEX(設定!$F$6:$F$21,MATCH($G1156,設定!$B$6:$B$21,0)),0))</f>
        <v/>
      </c>
      <c r="M1156" s="85">
        <f>IF(OR($J1156="",$K1156=""),"",ROUND(($K1156-$J1156)*24-$L1156/60,2))</f>
        <v/>
      </c>
      <c r="N1156" s="16">
        <f>IF($C1156="","",IF(AND(COUNTIF(設定!$B$15:$B$21,$G1156)&gt;0,$J1156&lt;&gt;""),"假日出勤",IF(AND(COUNTIF(設定!$B$6:$B$14,$G1156)&gt;0,$J1156=""),"未打卡",IF($J1156="","",IF($O1156&gt;0,"遲到",IF($P1156&gt;0,"早退","正常"))))))</f>
        <v/>
      </c>
      <c r="O1156" s="84">
        <f>IF(OR($C1156="",$H1156="",$J1156=""),0,IF(ROUND(($J1156-$H1156)*1440,0)&gt;設定!$C$46,ROUND(($J1156-$H1156)*1440,0),0))</f>
        <v/>
      </c>
      <c r="P1156" s="84">
        <f>IF(OR($C1156="",$I1156="",$K1156=""),0,IF(ROUND(($I1156-$K1156)*1440,0)&gt;設定!$C$46,ROUND(($I1156-$K1156)*1440,0),0))</f>
        <v/>
      </c>
      <c r="Q1156" s="85">
        <f>IF($M1156="",0,IF(($M1156-IFERROR(INDEX(設定!$G$6:$G$21,MATCH($G1156,設定!$B$6:$B$21,0)),0))*60&gt;=設定!$C$44,ROUND(FLOOR(($M1156-IFERROR(INDEX(設定!$G$6:$G$21,MATCH($G1156,設定!$B$6:$B$21,0)),0))*60,設定!$C$45)/60,2),0))</f>
        <v/>
      </c>
      <c r="R1156" s="16">
        <f>IF(OR($C1156="",$Q1156=0),"",IF($G1156="國","國定假日",IF($B1156="日","例假",IF($B1156="六","休息日","平日"))))</f>
        <v/>
      </c>
      <c r="S1156" s="19" t="n"/>
    </row>
    <row r="1157">
      <c r="A1157" s="82">
        <f>IF(OR(助理班表!$A42="",8&gt;DAY(EOMONTH(DATE(設定!$C$2,設定!$D$2,1),0))),"",DATE(設定!$C$2,設定!$D$2,8))</f>
        <v/>
      </c>
      <c r="B1157" s="16">
        <f>IF($A1157="","",INDEX(設定!$O$6:$O$12,WEEKDAY($A1157,1)))</f>
        <v/>
      </c>
      <c r="C1157" s="16">
        <f>IF($A1157="","",助理班表!$A42)</f>
        <v/>
      </c>
      <c r="D1157" s="16">
        <f>IF($C1157="","",助理班表!$B42)</f>
        <v/>
      </c>
      <c r="E1157" s="16">
        <f>IF($C1157="","",助理班表!$D42)</f>
        <v/>
      </c>
      <c r="F1157" s="16">
        <f>IF($C1157="","",助理班表!$C42)</f>
        <v/>
      </c>
      <c r="G1157" s="16">
        <f>IF($C1157="","",助理班表!L42)</f>
        <v/>
      </c>
      <c r="H1157" s="83">
        <f>IF($G1157="","",IFERROR(IF(INDEX(設定!$D$6:$D$21,MATCH($G1157,設定!$B$6:$B$21,0))=0,"",INDEX(設定!$D$6:$D$21,MATCH($G1157,設定!$B$6:$B$21,0))),""))</f>
        <v/>
      </c>
      <c r="I1157" s="83">
        <f>IF($G1157="","",IFERROR(IF(INDEX(設定!$E$6:$E$21,MATCH($G1157,設定!$B$6:$B$21,0))=0,"",INDEX(設定!$E$6:$E$21,MATCH($G1157,設定!$B$6:$B$21,0))),""))</f>
        <v/>
      </c>
      <c r="J1157" s="83">
        <f>IFERROR(INDEX(打卡匯入!$C$3:$C$2002,MATCH($C1157&amp;"|"&amp;DAY($A1157),打卡匯入!$E$3:$E$2002,0)),"")</f>
        <v/>
      </c>
      <c r="K1157" s="83">
        <f>IFERROR(INDEX(打卡匯入!$D$3:$D$2002,MATCH($C1157&amp;"|"&amp;DAY($A1157),打卡匯入!$E$3:$E$2002,0)),"")</f>
        <v/>
      </c>
      <c r="L1157" s="84">
        <f>IF(OR($J1157="",$K1157=""),"",IFERROR(INDEX(設定!$F$6:$F$21,MATCH($G1157,設定!$B$6:$B$21,0)),0))</f>
        <v/>
      </c>
      <c r="M1157" s="85">
        <f>IF(OR($J1157="",$K1157=""),"",ROUND(($K1157-$J1157)*24-$L1157/60,2))</f>
        <v/>
      </c>
      <c r="N1157" s="16">
        <f>IF($C1157="","",IF(AND(COUNTIF(設定!$B$15:$B$21,$G1157)&gt;0,$J1157&lt;&gt;""),"假日出勤",IF(AND(COUNTIF(設定!$B$6:$B$14,$G1157)&gt;0,$J1157=""),"未打卡",IF($J1157="","",IF($O1157&gt;0,"遲到",IF($P1157&gt;0,"早退","正常"))))))</f>
        <v/>
      </c>
      <c r="O1157" s="84">
        <f>IF(OR($C1157="",$H1157="",$J1157=""),0,IF(ROUND(($J1157-$H1157)*1440,0)&gt;設定!$C$46,ROUND(($J1157-$H1157)*1440,0),0))</f>
        <v/>
      </c>
      <c r="P1157" s="84">
        <f>IF(OR($C1157="",$I1157="",$K1157=""),0,IF(ROUND(($I1157-$K1157)*1440,0)&gt;設定!$C$46,ROUND(($I1157-$K1157)*1440,0),0))</f>
        <v/>
      </c>
      <c r="Q1157" s="85">
        <f>IF($M1157="",0,IF(($M1157-IFERROR(INDEX(設定!$G$6:$G$21,MATCH($G1157,設定!$B$6:$B$21,0)),0))*60&gt;=設定!$C$44,ROUND(FLOOR(($M1157-IFERROR(INDEX(設定!$G$6:$G$21,MATCH($G1157,設定!$B$6:$B$21,0)),0))*60,設定!$C$45)/60,2),0))</f>
        <v/>
      </c>
      <c r="R1157" s="16">
        <f>IF(OR($C1157="",$Q1157=0),"",IF($G1157="國","國定假日",IF($B1157="日","例假",IF($B1157="六","休息日","平日"))))</f>
        <v/>
      </c>
      <c r="S1157" s="19" t="n"/>
    </row>
    <row r="1158">
      <c r="A1158" s="82">
        <f>IF(OR(助理班表!$A42="",9&gt;DAY(EOMONTH(DATE(設定!$C$2,設定!$D$2,1),0))),"",DATE(設定!$C$2,設定!$D$2,9))</f>
        <v/>
      </c>
      <c r="B1158" s="16">
        <f>IF($A1158="","",INDEX(設定!$O$6:$O$12,WEEKDAY($A1158,1)))</f>
        <v/>
      </c>
      <c r="C1158" s="16">
        <f>IF($A1158="","",助理班表!$A42)</f>
        <v/>
      </c>
      <c r="D1158" s="16">
        <f>IF($C1158="","",助理班表!$B42)</f>
        <v/>
      </c>
      <c r="E1158" s="16">
        <f>IF($C1158="","",助理班表!$D42)</f>
        <v/>
      </c>
      <c r="F1158" s="16">
        <f>IF($C1158="","",助理班表!$C42)</f>
        <v/>
      </c>
      <c r="G1158" s="16">
        <f>IF($C1158="","",助理班表!M42)</f>
        <v/>
      </c>
      <c r="H1158" s="83">
        <f>IF($G1158="","",IFERROR(IF(INDEX(設定!$D$6:$D$21,MATCH($G1158,設定!$B$6:$B$21,0))=0,"",INDEX(設定!$D$6:$D$21,MATCH($G1158,設定!$B$6:$B$21,0))),""))</f>
        <v/>
      </c>
      <c r="I1158" s="83">
        <f>IF($G1158="","",IFERROR(IF(INDEX(設定!$E$6:$E$21,MATCH($G1158,設定!$B$6:$B$21,0))=0,"",INDEX(設定!$E$6:$E$21,MATCH($G1158,設定!$B$6:$B$21,0))),""))</f>
        <v/>
      </c>
      <c r="J1158" s="83">
        <f>IFERROR(INDEX(打卡匯入!$C$3:$C$2002,MATCH($C1158&amp;"|"&amp;DAY($A1158),打卡匯入!$E$3:$E$2002,0)),"")</f>
        <v/>
      </c>
      <c r="K1158" s="83">
        <f>IFERROR(INDEX(打卡匯入!$D$3:$D$2002,MATCH($C1158&amp;"|"&amp;DAY($A1158),打卡匯入!$E$3:$E$2002,0)),"")</f>
        <v/>
      </c>
      <c r="L1158" s="84">
        <f>IF(OR($J1158="",$K1158=""),"",IFERROR(INDEX(設定!$F$6:$F$21,MATCH($G1158,設定!$B$6:$B$21,0)),0))</f>
        <v/>
      </c>
      <c r="M1158" s="85">
        <f>IF(OR($J1158="",$K1158=""),"",ROUND(($K1158-$J1158)*24-$L1158/60,2))</f>
        <v/>
      </c>
      <c r="N1158" s="16">
        <f>IF($C1158="","",IF(AND(COUNTIF(設定!$B$15:$B$21,$G1158)&gt;0,$J1158&lt;&gt;""),"假日出勤",IF(AND(COUNTIF(設定!$B$6:$B$14,$G1158)&gt;0,$J1158=""),"未打卡",IF($J1158="","",IF($O1158&gt;0,"遲到",IF($P1158&gt;0,"早退","正常"))))))</f>
        <v/>
      </c>
      <c r="O1158" s="84">
        <f>IF(OR($C1158="",$H1158="",$J1158=""),0,IF(ROUND(($J1158-$H1158)*1440,0)&gt;設定!$C$46,ROUND(($J1158-$H1158)*1440,0),0))</f>
        <v/>
      </c>
      <c r="P1158" s="84">
        <f>IF(OR($C1158="",$I1158="",$K1158=""),0,IF(ROUND(($I1158-$K1158)*1440,0)&gt;設定!$C$46,ROUND(($I1158-$K1158)*1440,0),0))</f>
        <v/>
      </c>
      <c r="Q1158" s="85">
        <f>IF($M1158="",0,IF(($M1158-IFERROR(INDEX(設定!$G$6:$G$21,MATCH($G1158,設定!$B$6:$B$21,0)),0))*60&gt;=設定!$C$44,ROUND(FLOOR(($M1158-IFERROR(INDEX(設定!$G$6:$G$21,MATCH($G1158,設定!$B$6:$B$21,0)),0))*60,設定!$C$45)/60,2),0))</f>
        <v/>
      </c>
      <c r="R1158" s="16">
        <f>IF(OR($C1158="",$Q1158=0),"",IF($G1158="國","國定假日",IF($B1158="日","例假",IF($B1158="六","休息日","平日"))))</f>
        <v/>
      </c>
      <c r="S1158" s="19" t="n"/>
    </row>
    <row r="1159">
      <c r="A1159" s="82">
        <f>IF(OR(助理班表!$A42="",10&gt;DAY(EOMONTH(DATE(設定!$C$2,設定!$D$2,1),0))),"",DATE(設定!$C$2,設定!$D$2,10))</f>
        <v/>
      </c>
      <c r="B1159" s="16">
        <f>IF($A1159="","",INDEX(設定!$O$6:$O$12,WEEKDAY($A1159,1)))</f>
        <v/>
      </c>
      <c r="C1159" s="16">
        <f>IF($A1159="","",助理班表!$A42)</f>
        <v/>
      </c>
      <c r="D1159" s="16">
        <f>IF($C1159="","",助理班表!$B42)</f>
        <v/>
      </c>
      <c r="E1159" s="16">
        <f>IF($C1159="","",助理班表!$D42)</f>
        <v/>
      </c>
      <c r="F1159" s="16">
        <f>IF($C1159="","",助理班表!$C42)</f>
        <v/>
      </c>
      <c r="G1159" s="16">
        <f>IF($C1159="","",助理班表!N42)</f>
        <v/>
      </c>
      <c r="H1159" s="83">
        <f>IF($G1159="","",IFERROR(IF(INDEX(設定!$D$6:$D$21,MATCH($G1159,設定!$B$6:$B$21,0))=0,"",INDEX(設定!$D$6:$D$21,MATCH($G1159,設定!$B$6:$B$21,0))),""))</f>
        <v/>
      </c>
      <c r="I1159" s="83">
        <f>IF($G1159="","",IFERROR(IF(INDEX(設定!$E$6:$E$21,MATCH($G1159,設定!$B$6:$B$21,0))=0,"",INDEX(設定!$E$6:$E$21,MATCH($G1159,設定!$B$6:$B$21,0))),""))</f>
        <v/>
      </c>
      <c r="J1159" s="83">
        <f>IFERROR(INDEX(打卡匯入!$C$3:$C$2002,MATCH($C1159&amp;"|"&amp;DAY($A1159),打卡匯入!$E$3:$E$2002,0)),"")</f>
        <v/>
      </c>
      <c r="K1159" s="83">
        <f>IFERROR(INDEX(打卡匯入!$D$3:$D$2002,MATCH($C1159&amp;"|"&amp;DAY($A1159),打卡匯入!$E$3:$E$2002,0)),"")</f>
        <v/>
      </c>
      <c r="L1159" s="84">
        <f>IF(OR($J1159="",$K1159=""),"",IFERROR(INDEX(設定!$F$6:$F$21,MATCH($G1159,設定!$B$6:$B$21,0)),0))</f>
        <v/>
      </c>
      <c r="M1159" s="85">
        <f>IF(OR($J1159="",$K1159=""),"",ROUND(($K1159-$J1159)*24-$L1159/60,2))</f>
        <v/>
      </c>
      <c r="N1159" s="16">
        <f>IF($C1159="","",IF(AND(COUNTIF(設定!$B$15:$B$21,$G1159)&gt;0,$J1159&lt;&gt;""),"假日出勤",IF(AND(COUNTIF(設定!$B$6:$B$14,$G1159)&gt;0,$J1159=""),"未打卡",IF($J1159="","",IF($O1159&gt;0,"遲到",IF($P1159&gt;0,"早退","正常"))))))</f>
        <v/>
      </c>
      <c r="O1159" s="84">
        <f>IF(OR($C1159="",$H1159="",$J1159=""),0,IF(ROUND(($J1159-$H1159)*1440,0)&gt;設定!$C$46,ROUND(($J1159-$H1159)*1440,0),0))</f>
        <v/>
      </c>
      <c r="P1159" s="84">
        <f>IF(OR($C1159="",$I1159="",$K1159=""),0,IF(ROUND(($I1159-$K1159)*1440,0)&gt;設定!$C$46,ROUND(($I1159-$K1159)*1440,0),0))</f>
        <v/>
      </c>
      <c r="Q1159" s="85">
        <f>IF($M1159="",0,IF(($M1159-IFERROR(INDEX(設定!$G$6:$G$21,MATCH($G1159,設定!$B$6:$B$21,0)),0))*60&gt;=設定!$C$44,ROUND(FLOOR(($M1159-IFERROR(INDEX(設定!$G$6:$G$21,MATCH($G1159,設定!$B$6:$B$21,0)),0))*60,設定!$C$45)/60,2),0))</f>
        <v/>
      </c>
      <c r="R1159" s="16">
        <f>IF(OR($C1159="",$Q1159=0),"",IF($G1159="國","國定假日",IF($B1159="日","例假",IF($B1159="六","休息日","平日"))))</f>
        <v/>
      </c>
      <c r="S1159" s="19" t="n"/>
    </row>
    <row r="1160">
      <c r="A1160" s="82">
        <f>IF(OR(助理班表!$A42="",11&gt;DAY(EOMONTH(DATE(設定!$C$2,設定!$D$2,1),0))),"",DATE(設定!$C$2,設定!$D$2,11))</f>
        <v/>
      </c>
      <c r="B1160" s="16">
        <f>IF($A1160="","",INDEX(設定!$O$6:$O$12,WEEKDAY($A1160,1)))</f>
        <v/>
      </c>
      <c r="C1160" s="16">
        <f>IF($A1160="","",助理班表!$A42)</f>
        <v/>
      </c>
      <c r="D1160" s="16">
        <f>IF($C1160="","",助理班表!$B42)</f>
        <v/>
      </c>
      <c r="E1160" s="16">
        <f>IF($C1160="","",助理班表!$D42)</f>
        <v/>
      </c>
      <c r="F1160" s="16">
        <f>IF($C1160="","",助理班表!$C42)</f>
        <v/>
      </c>
      <c r="G1160" s="16">
        <f>IF($C1160="","",助理班表!O42)</f>
        <v/>
      </c>
      <c r="H1160" s="83">
        <f>IF($G1160="","",IFERROR(IF(INDEX(設定!$D$6:$D$21,MATCH($G1160,設定!$B$6:$B$21,0))=0,"",INDEX(設定!$D$6:$D$21,MATCH($G1160,設定!$B$6:$B$21,0))),""))</f>
        <v/>
      </c>
      <c r="I1160" s="83">
        <f>IF($G1160="","",IFERROR(IF(INDEX(設定!$E$6:$E$21,MATCH($G1160,設定!$B$6:$B$21,0))=0,"",INDEX(設定!$E$6:$E$21,MATCH($G1160,設定!$B$6:$B$21,0))),""))</f>
        <v/>
      </c>
      <c r="J1160" s="83">
        <f>IFERROR(INDEX(打卡匯入!$C$3:$C$2002,MATCH($C1160&amp;"|"&amp;DAY($A1160),打卡匯入!$E$3:$E$2002,0)),"")</f>
        <v/>
      </c>
      <c r="K1160" s="83">
        <f>IFERROR(INDEX(打卡匯入!$D$3:$D$2002,MATCH($C1160&amp;"|"&amp;DAY($A1160),打卡匯入!$E$3:$E$2002,0)),"")</f>
        <v/>
      </c>
      <c r="L1160" s="84">
        <f>IF(OR($J1160="",$K1160=""),"",IFERROR(INDEX(設定!$F$6:$F$21,MATCH($G1160,設定!$B$6:$B$21,0)),0))</f>
        <v/>
      </c>
      <c r="M1160" s="85">
        <f>IF(OR($J1160="",$K1160=""),"",ROUND(($K1160-$J1160)*24-$L1160/60,2))</f>
        <v/>
      </c>
      <c r="N1160" s="16">
        <f>IF($C1160="","",IF(AND(COUNTIF(設定!$B$15:$B$21,$G1160)&gt;0,$J1160&lt;&gt;""),"假日出勤",IF(AND(COUNTIF(設定!$B$6:$B$14,$G1160)&gt;0,$J1160=""),"未打卡",IF($J1160="","",IF($O1160&gt;0,"遲到",IF($P1160&gt;0,"早退","正常"))))))</f>
        <v/>
      </c>
      <c r="O1160" s="84">
        <f>IF(OR($C1160="",$H1160="",$J1160=""),0,IF(ROUND(($J1160-$H1160)*1440,0)&gt;設定!$C$46,ROUND(($J1160-$H1160)*1440,0),0))</f>
        <v/>
      </c>
      <c r="P1160" s="84">
        <f>IF(OR($C1160="",$I1160="",$K1160=""),0,IF(ROUND(($I1160-$K1160)*1440,0)&gt;設定!$C$46,ROUND(($I1160-$K1160)*1440,0),0))</f>
        <v/>
      </c>
      <c r="Q1160" s="85">
        <f>IF($M1160="",0,IF(($M1160-IFERROR(INDEX(設定!$G$6:$G$21,MATCH($G1160,設定!$B$6:$B$21,0)),0))*60&gt;=設定!$C$44,ROUND(FLOOR(($M1160-IFERROR(INDEX(設定!$G$6:$G$21,MATCH($G1160,設定!$B$6:$B$21,0)),0))*60,設定!$C$45)/60,2),0))</f>
        <v/>
      </c>
      <c r="R1160" s="16">
        <f>IF(OR($C1160="",$Q1160=0),"",IF($G1160="國","國定假日",IF($B1160="日","例假",IF($B1160="六","休息日","平日"))))</f>
        <v/>
      </c>
      <c r="S1160" s="19" t="n"/>
    </row>
    <row r="1161">
      <c r="A1161" s="82">
        <f>IF(OR(助理班表!$A42="",12&gt;DAY(EOMONTH(DATE(設定!$C$2,設定!$D$2,1),0))),"",DATE(設定!$C$2,設定!$D$2,12))</f>
        <v/>
      </c>
      <c r="B1161" s="16">
        <f>IF($A1161="","",INDEX(設定!$O$6:$O$12,WEEKDAY($A1161,1)))</f>
        <v/>
      </c>
      <c r="C1161" s="16">
        <f>IF($A1161="","",助理班表!$A42)</f>
        <v/>
      </c>
      <c r="D1161" s="16">
        <f>IF($C1161="","",助理班表!$B42)</f>
        <v/>
      </c>
      <c r="E1161" s="16">
        <f>IF($C1161="","",助理班表!$D42)</f>
        <v/>
      </c>
      <c r="F1161" s="16">
        <f>IF($C1161="","",助理班表!$C42)</f>
        <v/>
      </c>
      <c r="G1161" s="16">
        <f>IF($C1161="","",助理班表!P42)</f>
        <v/>
      </c>
      <c r="H1161" s="83">
        <f>IF($G1161="","",IFERROR(IF(INDEX(設定!$D$6:$D$21,MATCH($G1161,設定!$B$6:$B$21,0))=0,"",INDEX(設定!$D$6:$D$21,MATCH($G1161,設定!$B$6:$B$21,0))),""))</f>
        <v/>
      </c>
      <c r="I1161" s="83">
        <f>IF($G1161="","",IFERROR(IF(INDEX(設定!$E$6:$E$21,MATCH($G1161,設定!$B$6:$B$21,0))=0,"",INDEX(設定!$E$6:$E$21,MATCH($G1161,設定!$B$6:$B$21,0))),""))</f>
        <v/>
      </c>
      <c r="J1161" s="83">
        <f>IFERROR(INDEX(打卡匯入!$C$3:$C$2002,MATCH($C1161&amp;"|"&amp;DAY($A1161),打卡匯入!$E$3:$E$2002,0)),"")</f>
        <v/>
      </c>
      <c r="K1161" s="83">
        <f>IFERROR(INDEX(打卡匯入!$D$3:$D$2002,MATCH($C1161&amp;"|"&amp;DAY($A1161),打卡匯入!$E$3:$E$2002,0)),"")</f>
        <v/>
      </c>
      <c r="L1161" s="84">
        <f>IF(OR($J1161="",$K1161=""),"",IFERROR(INDEX(設定!$F$6:$F$21,MATCH($G1161,設定!$B$6:$B$21,0)),0))</f>
        <v/>
      </c>
      <c r="M1161" s="85">
        <f>IF(OR($J1161="",$K1161=""),"",ROUND(($K1161-$J1161)*24-$L1161/60,2))</f>
        <v/>
      </c>
      <c r="N1161" s="16">
        <f>IF($C1161="","",IF(AND(COUNTIF(設定!$B$15:$B$21,$G1161)&gt;0,$J1161&lt;&gt;""),"假日出勤",IF(AND(COUNTIF(設定!$B$6:$B$14,$G1161)&gt;0,$J1161=""),"未打卡",IF($J1161="","",IF($O1161&gt;0,"遲到",IF($P1161&gt;0,"早退","正常"))))))</f>
        <v/>
      </c>
      <c r="O1161" s="84">
        <f>IF(OR($C1161="",$H1161="",$J1161=""),0,IF(ROUND(($J1161-$H1161)*1440,0)&gt;設定!$C$46,ROUND(($J1161-$H1161)*1440,0),0))</f>
        <v/>
      </c>
      <c r="P1161" s="84">
        <f>IF(OR($C1161="",$I1161="",$K1161=""),0,IF(ROUND(($I1161-$K1161)*1440,0)&gt;設定!$C$46,ROUND(($I1161-$K1161)*1440,0),0))</f>
        <v/>
      </c>
      <c r="Q1161" s="85">
        <f>IF($M1161="",0,IF(($M1161-IFERROR(INDEX(設定!$G$6:$G$21,MATCH($G1161,設定!$B$6:$B$21,0)),0))*60&gt;=設定!$C$44,ROUND(FLOOR(($M1161-IFERROR(INDEX(設定!$G$6:$G$21,MATCH($G1161,設定!$B$6:$B$21,0)),0))*60,設定!$C$45)/60,2),0))</f>
        <v/>
      </c>
      <c r="R1161" s="16">
        <f>IF(OR($C1161="",$Q1161=0),"",IF($G1161="國","國定假日",IF($B1161="日","例假",IF($B1161="六","休息日","平日"))))</f>
        <v/>
      </c>
      <c r="S1161" s="19" t="n"/>
    </row>
    <row r="1162">
      <c r="A1162" s="82">
        <f>IF(OR(助理班表!$A42="",13&gt;DAY(EOMONTH(DATE(設定!$C$2,設定!$D$2,1),0))),"",DATE(設定!$C$2,設定!$D$2,13))</f>
        <v/>
      </c>
      <c r="B1162" s="16">
        <f>IF($A1162="","",INDEX(設定!$O$6:$O$12,WEEKDAY($A1162,1)))</f>
        <v/>
      </c>
      <c r="C1162" s="16">
        <f>IF($A1162="","",助理班表!$A42)</f>
        <v/>
      </c>
      <c r="D1162" s="16">
        <f>IF($C1162="","",助理班表!$B42)</f>
        <v/>
      </c>
      <c r="E1162" s="16">
        <f>IF($C1162="","",助理班表!$D42)</f>
        <v/>
      </c>
      <c r="F1162" s="16">
        <f>IF($C1162="","",助理班表!$C42)</f>
        <v/>
      </c>
      <c r="G1162" s="16">
        <f>IF($C1162="","",助理班表!Q42)</f>
        <v/>
      </c>
      <c r="H1162" s="83">
        <f>IF($G1162="","",IFERROR(IF(INDEX(設定!$D$6:$D$21,MATCH($G1162,設定!$B$6:$B$21,0))=0,"",INDEX(設定!$D$6:$D$21,MATCH($G1162,設定!$B$6:$B$21,0))),""))</f>
        <v/>
      </c>
      <c r="I1162" s="83">
        <f>IF($G1162="","",IFERROR(IF(INDEX(設定!$E$6:$E$21,MATCH($G1162,設定!$B$6:$B$21,0))=0,"",INDEX(設定!$E$6:$E$21,MATCH($G1162,設定!$B$6:$B$21,0))),""))</f>
        <v/>
      </c>
      <c r="J1162" s="83">
        <f>IFERROR(INDEX(打卡匯入!$C$3:$C$2002,MATCH($C1162&amp;"|"&amp;DAY($A1162),打卡匯入!$E$3:$E$2002,0)),"")</f>
        <v/>
      </c>
      <c r="K1162" s="83">
        <f>IFERROR(INDEX(打卡匯入!$D$3:$D$2002,MATCH($C1162&amp;"|"&amp;DAY($A1162),打卡匯入!$E$3:$E$2002,0)),"")</f>
        <v/>
      </c>
      <c r="L1162" s="84">
        <f>IF(OR($J1162="",$K1162=""),"",IFERROR(INDEX(設定!$F$6:$F$21,MATCH($G1162,設定!$B$6:$B$21,0)),0))</f>
        <v/>
      </c>
      <c r="M1162" s="85">
        <f>IF(OR($J1162="",$K1162=""),"",ROUND(($K1162-$J1162)*24-$L1162/60,2))</f>
        <v/>
      </c>
      <c r="N1162" s="16">
        <f>IF($C1162="","",IF(AND(COUNTIF(設定!$B$15:$B$21,$G1162)&gt;0,$J1162&lt;&gt;""),"假日出勤",IF(AND(COUNTIF(設定!$B$6:$B$14,$G1162)&gt;0,$J1162=""),"未打卡",IF($J1162="","",IF($O1162&gt;0,"遲到",IF($P1162&gt;0,"早退","正常"))))))</f>
        <v/>
      </c>
      <c r="O1162" s="84">
        <f>IF(OR($C1162="",$H1162="",$J1162=""),0,IF(ROUND(($J1162-$H1162)*1440,0)&gt;設定!$C$46,ROUND(($J1162-$H1162)*1440,0),0))</f>
        <v/>
      </c>
      <c r="P1162" s="84">
        <f>IF(OR($C1162="",$I1162="",$K1162=""),0,IF(ROUND(($I1162-$K1162)*1440,0)&gt;設定!$C$46,ROUND(($I1162-$K1162)*1440,0),0))</f>
        <v/>
      </c>
      <c r="Q1162" s="85">
        <f>IF($M1162="",0,IF(($M1162-IFERROR(INDEX(設定!$G$6:$G$21,MATCH($G1162,設定!$B$6:$B$21,0)),0))*60&gt;=設定!$C$44,ROUND(FLOOR(($M1162-IFERROR(INDEX(設定!$G$6:$G$21,MATCH($G1162,設定!$B$6:$B$21,0)),0))*60,設定!$C$45)/60,2),0))</f>
        <v/>
      </c>
      <c r="R1162" s="16">
        <f>IF(OR($C1162="",$Q1162=0),"",IF($G1162="國","國定假日",IF($B1162="日","例假",IF($B1162="六","休息日","平日"))))</f>
        <v/>
      </c>
      <c r="S1162" s="19" t="n"/>
    </row>
    <row r="1163">
      <c r="A1163" s="82">
        <f>IF(OR(助理班表!$A42="",14&gt;DAY(EOMONTH(DATE(設定!$C$2,設定!$D$2,1),0))),"",DATE(設定!$C$2,設定!$D$2,14))</f>
        <v/>
      </c>
      <c r="B1163" s="16">
        <f>IF($A1163="","",INDEX(設定!$O$6:$O$12,WEEKDAY($A1163,1)))</f>
        <v/>
      </c>
      <c r="C1163" s="16">
        <f>IF($A1163="","",助理班表!$A42)</f>
        <v/>
      </c>
      <c r="D1163" s="16">
        <f>IF($C1163="","",助理班表!$B42)</f>
        <v/>
      </c>
      <c r="E1163" s="16">
        <f>IF($C1163="","",助理班表!$D42)</f>
        <v/>
      </c>
      <c r="F1163" s="16">
        <f>IF($C1163="","",助理班表!$C42)</f>
        <v/>
      </c>
      <c r="G1163" s="16">
        <f>IF($C1163="","",助理班表!R42)</f>
        <v/>
      </c>
      <c r="H1163" s="83">
        <f>IF($G1163="","",IFERROR(IF(INDEX(設定!$D$6:$D$21,MATCH($G1163,設定!$B$6:$B$21,0))=0,"",INDEX(設定!$D$6:$D$21,MATCH($G1163,設定!$B$6:$B$21,0))),""))</f>
        <v/>
      </c>
      <c r="I1163" s="83">
        <f>IF($G1163="","",IFERROR(IF(INDEX(設定!$E$6:$E$21,MATCH($G1163,設定!$B$6:$B$21,0))=0,"",INDEX(設定!$E$6:$E$21,MATCH($G1163,設定!$B$6:$B$21,0))),""))</f>
        <v/>
      </c>
      <c r="J1163" s="83">
        <f>IFERROR(INDEX(打卡匯入!$C$3:$C$2002,MATCH($C1163&amp;"|"&amp;DAY($A1163),打卡匯入!$E$3:$E$2002,0)),"")</f>
        <v/>
      </c>
      <c r="K1163" s="83">
        <f>IFERROR(INDEX(打卡匯入!$D$3:$D$2002,MATCH($C1163&amp;"|"&amp;DAY($A1163),打卡匯入!$E$3:$E$2002,0)),"")</f>
        <v/>
      </c>
      <c r="L1163" s="84">
        <f>IF(OR($J1163="",$K1163=""),"",IFERROR(INDEX(設定!$F$6:$F$21,MATCH($G1163,設定!$B$6:$B$21,0)),0))</f>
        <v/>
      </c>
      <c r="M1163" s="85">
        <f>IF(OR($J1163="",$K1163=""),"",ROUND(($K1163-$J1163)*24-$L1163/60,2))</f>
        <v/>
      </c>
      <c r="N1163" s="16">
        <f>IF($C1163="","",IF(AND(COUNTIF(設定!$B$15:$B$21,$G1163)&gt;0,$J1163&lt;&gt;""),"假日出勤",IF(AND(COUNTIF(設定!$B$6:$B$14,$G1163)&gt;0,$J1163=""),"未打卡",IF($J1163="","",IF($O1163&gt;0,"遲到",IF($P1163&gt;0,"早退","正常"))))))</f>
        <v/>
      </c>
      <c r="O1163" s="84">
        <f>IF(OR($C1163="",$H1163="",$J1163=""),0,IF(ROUND(($J1163-$H1163)*1440,0)&gt;設定!$C$46,ROUND(($J1163-$H1163)*1440,0),0))</f>
        <v/>
      </c>
      <c r="P1163" s="84">
        <f>IF(OR($C1163="",$I1163="",$K1163=""),0,IF(ROUND(($I1163-$K1163)*1440,0)&gt;設定!$C$46,ROUND(($I1163-$K1163)*1440,0),0))</f>
        <v/>
      </c>
      <c r="Q1163" s="85">
        <f>IF($M1163="",0,IF(($M1163-IFERROR(INDEX(設定!$G$6:$G$21,MATCH($G1163,設定!$B$6:$B$21,0)),0))*60&gt;=設定!$C$44,ROUND(FLOOR(($M1163-IFERROR(INDEX(設定!$G$6:$G$21,MATCH($G1163,設定!$B$6:$B$21,0)),0))*60,設定!$C$45)/60,2),0))</f>
        <v/>
      </c>
      <c r="R1163" s="16">
        <f>IF(OR($C1163="",$Q1163=0),"",IF($G1163="國","國定假日",IF($B1163="日","例假",IF($B1163="六","休息日","平日"))))</f>
        <v/>
      </c>
      <c r="S1163" s="19" t="n"/>
    </row>
    <row r="1164">
      <c r="A1164" s="82">
        <f>IF(OR(助理班表!$A42="",15&gt;DAY(EOMONTH(DATE(設定!$C$2,設定!$D$2,1),0))),"",DATE(設定!$C$2,設定!$D$2,15))</f>
        <v/>
      </c>
      <c r="B1164" s="16">
        <f>IF($A1164="","",INDEX(設定!$O$6:$O$12,WEEKDAY($A1164,1)))</f>
        <v/>
      </c>
      <c r="C1164" s="16">
        <f>IF($A1164="","",助理班表!$A42)</f>
        <v/>
      </c>
      <c r="D1164" s="16">
        <f>IF($C1164="","",助理班表!$B42)</f>
        <v/>
      </c>
      <c r="E1164" s="16">
        <f>IF($C1164="","",助理班表!$D42)</f>
        <v/>
      </c>
      <c r="F1164" s="16">
        <f>IF($C1164="","",助理班表!$C42)</f>
        <v/>
      </c>
      <c r="G1164" s="16">
        <f>IF($C1164="","",助理班表!S42)</f>
        <v/>
      </c>
      <c r="H1164" s="83">
        <f>IF($G1164="","",IFERROR(IF(INDEX(設定!$D$6:$D$21,MATCH($G1164,設定!$B$6:$B$21,0))=0,"",INDEX(設定!$D$6:$D$21,MATCH($G1164,設定!$B$6:$B$21,0))),""))</f>
        <v/>
      </c>
      <c r="I1164" s="83">
        <f>IF($G1164="","",IFERROR(IF(INDEX(設定!$E$6:$E$21,MATCH($G1164,設定!$B$6:$B$21,0))=0,"",INDEX(設定!$E$6:$E$21,MATCH($G1164,設定!$B$6:$B$21,0))),""))</f>
        <v/>
      </c>
      <c r="J1164" s="83">
        <f>IFERROR(INDEX(打卡匯入!$C$3:$C$2002,MATCH($C1164&amp;"|"&amp;DAY($A1164),打卡匯入!$E$3:$E$2002,0)),"")</f>
        <v/>
      </c>
      <c r="K1164" s="83">
        <f>IFERROR(INDEX(打卡匯入!$D$3:$D$2002,MATCH($C1164&amp;"|"&amp;DAY($A1164),打卡匯入!$E$3:$E$2002,0)),"")</f>
        <v/>
      </c>
      <c r="L1164" s="84">
        <f>IF(OR($J1164="",$K1164=""),"",IFERROR(INDEX(設定!$F$6:$F$21,MATCH($G1164,設定!$B$6:$B$21,0)),0))</f>
        <v/>
      </c>
      <c r="M1164" s="85">
        <f>IF(OR($J1164="",$K1164=""),"",ROUND(($K1164-$J1164)*24-$L1164/60,2))</f>
        <v/>
      </c>
      <c r="N1164" s="16">
        <f>IF($C1164="","",IF(AND(COUNTIF(設定!$B$15:$B$21,$G1164)&gt;0,$J1164&lt;&gt;""),"假日出勤",IF(AND(COUNTIF(設定!$B$6:$B$14,$G1164)&gt;0,$J1164=""),"未打卡",IF($J1164="","",IF($O1164&gt;0,"遲到",IF($P1164&gt;0,"早退","正常"))))))</f>
        <v/>
      </c>
      <c r="O1164" s="84">
        <f>IF(OR($C1164="",$H1164="",$J1164=""),0,IF(ROUND(($J1164-$H1164)*1440,0)&gt;設定!$C$46,ROUND(($J1164-$H1164)*1440,0),0))</f>
        <v/>
      </c>
      <c r="P1164" s="84">
        <f>IF(OR($C1164="",$I1164="",$K1164=""),0,IF(ROUND(($I1164-$K1164)*1440,0)&gt;設定!$C$46,ROUND(($I1164-$K1164)*1440,0),0))</f>
        <v/>
      </c>
      <c r="Q1164" s="85">
        <f>IF($M1164="",0,IF(($M1164-IFERROR(INDEX(設定!$G$6:$G$21,MATCH($G1164,設定!$B$6:$B$21,0)),0))*60&gt;=設定!$C$44,ROUND(FLOOR(($M1164-IFERROR(INDEX(設定!$G$6:$G$21,MATCH($G1164,設定!$B$6:$B$21,0)),0))*60,設定!$C$45)/60,2),0))</f>
        <v/>
      </c>
      <c r="R1164" s="16">
        <f>IF(OR($C1164="",$Q1164=0),"",IF($G1164="國","國定假日",IF($B1164="日","例假",IF($B1164="六","休息日","平日"))))</f>
        <v/>
      </c>
      <c r="S1164" s="19" t="n"/>
    </row>
    <row r="1165">
      <c r="A1165" s="82">
        <f>IF(OR(助理班表!$A42="",16&gt;DAY(EOMONTH(DATE(設定!$C$2,設定!$D$2,1),0))),"",DATE(設定!$C$2,設定!$D$2,16))</f>
        <v/>
      </c>
      <c r="B1165" s="16">
        <f>IF($A1165="","",INDEX(設定!$O$6:$O$12,WEEKDAY($A1165,1)))</f>
        <v/>
      </c>
      <c r="C1165" s="16">
        <f>IF($A1165="","",助理班表!$A42)</f>
        <v/>
      </c>
      <c r="D1165" s="16">
        <f>IF($C1165="","",助理班表!$B42)</f>
        <v/>
      </c>
      <c r="E1165" s="16">
        <f>IF($C1165="","",助理班表!$D42)</f>
        <v/>
      </c>
      <c r="F1165" s="16">
        <f>IF($C1165="","",助理班表!$C42)</f>
        <v/>
      </c>
      <c r="G1165" s="16">
        <f>IF($C1165="","",助理班表!T42)</f>
        <v/>
      </c>
      <c r="H1165" s="83">
        <f>IF($G1165="","",IFERROR(IF(INDEX(設定!$D$6:$D$21,MATCH($G1165,設定!$B$6:$B$21,0))=0,"",INDEX(設定!$D$6:$D$21,MATCH($G1165,設定!$B$6:$B$21,0))),""))</f>
        <v/>
      </c>
      <c r="I1165" s="83">
        <f>IF($G1165="","",IFERROR(IF(INDEX(設定!$E$6:$E$21,MATCH($G1165,設定!$B$6:$B$21,0))=0,"",INDEX(設定!$E$6:$E$21,MATCH($G1165,設定!$B$6:$B$21,0))),""))</f>
        <v/>
      </c>
      <c r="J1165" s="83">
        <f>IFERROR(INDEX(打卡匯入!$C$3:$C$2002,MATCH($C1165&amp;"|"&amp;DAY($A1165),打卡匯入!$E$3:$E$2002,0)),"")</f>
        <v/>
      </c>
      <c r="K1165" s="83">
        <f>IFERROR(INDEX(打卡匯入!$D$3:$D$2002,MATCH($C1165&amp;"|"&amp;DAY($A1165),打卡匯入!$E$3:$E$2002,0)),"")</f>
        <v/>
      </c>
      <c r="L1165" s="84">
        <f>IF(OR($J1165="",$K1165=""),"",IFERROR(INDEX(設定!$F$6:$F$21,MATCH($G1165,設定!$B$6:$B$21,0)),0))</f>
        <v/>
      </c>
      <c r="M1165" s="85">
        <f>IF(OR($J1165="",$K1165=""),"",ROUND(($K1165-$J1165)*24-$L1165/60,2))</f>
        <v/>
      </c>
      <c r="N1165" s="16">
        <f>IF($C1165="","",IF(AND(COUNTIF(設定!$B$15:$B$21,$G1165)&gt;0,$J1165&lt;&gt;""),"假日出勤",IF(AND(COUNTIF(設定!$B$6:$B$14,$G1165)&gt;0,$J1165=""),"未打卡",IF($J1165="","",IF($O1165&gt;0,"遲到",IF($P1165&gt;0,"早退","正常"))))))</f>
        <v/>
      </c>
      <c r="O1165" s="84">
        <f>IF(OR($C1165="",$H1165="",$J1165=""),0,IF(ROUND(($J1165-$H1165)*1440,0)&gt;設定!$C$46,ROUND(($J1165-$H1165)*1440,0),0))</f>
        <v/>
      </c>
      <c r="P1165" s="84">
        <f>IF(OR($C1165="",$I1165="",$K1165=""),0,IF(ROUND(($I1165-$K1165)*1440,0)&gt;設定!$C$46,ROUND(($I1165-$K1165)*1440,0),0))</f>
        <v/>
      </c>
      <c r="Q1165" s="85">
        <f>IF($M1165="",0,IF(($M1165-IFERROR(INDEX(設定!$G$6:$G$21,MATCH($G1165,設定!$B$6:$B$21,0)),0))*60&gt;=設定!$C$44,ROUND(FLOOR(($M1165-IFERROR(INDEX(設定!$G$6:$G$21,MATCH($G1165,設定!$B$6:$B$21,0)),0))*60,設定!$C$45)/60,2),0))</f>
        <v/>
      </c>
      <c r="R1165" s="16">
        <f>IF(OR($C1165="",$Q1165=0),"",IF($G1165="國","國定假日",IF($B1165="日","例假",IF($B1165="六","休息日","平日"))))</f>
        <v/>
      </c>
      <c r="S1165" s="19" t="n"/>
    </row>
    <row r="1166">
      <c r="A1166" s="82">
        <f>IF(OR(助理班表!$A42="",17&gt;DAY(EOMONTH(DATE(設定!$C$2,設定!$D$2,1),0))),"",DATE(設定!$C$2,設定!$D$2,17))</f>
        <v/>
      </c>
      <c r="B1166" s="16">
        <f>IF($A1166="","",INDEX(設定!$O$6:$O$12,WEEKDAY($A1166,1)))</f>
        <v/>
      </c>
      <c r="C1166" s="16">
        <f>IF($A1166="","",助理班表!$A42)</f>
        <v/>
      </c>
      <c r="D1166" s="16">
        <f>IF($C1166="","",助理班表!$B42)</f>
        <v/>
      </c>
      <c r="E1166" s="16">
        <f>IF($C1166="","",助理班表!$D42)</f>
        <v/>
      </c>
      <c r="F1166" s="16">
        <f>IF($C1166="","",助理班表!$C42)</f>
        <v/>
      </c>
      <c r="G1166" s="16">
        <f>IF($C1166="","",助理班表!U42)</f>
        <v/>
      </c>
      <c r="H1166" s="83">
        <f>IF($G1166="","",IFERROR(IF(INDEX(設定!$D$6:$D$21,MATCH($G1166,設定!$B$6:$B$21,0))=0,"",INDEX(設定!$D$6:$D$21,MATCH($G1166,設定!$B$6:$B$21,0))),""))</f>
        <v/>
      </c>
      <c r="I1166" s="83">
        <f>IF($G1166="","",IFERROR(IF(INDEX(設定!$E$6:$E$21,MATCH($G1166,設定!$B$6:$B$21,0))=0,"",INDEX(設定!$E$6:$E$21,MATCH($G1166,設定!$B$6:$B$21,0))),""))</f>
        <v/>
      </c>
      <c r="J1166" s="83">
        <f>IFERROR(INDEX(打卡匯入!$C$3:$C$2002,MATCH($C1166&amp;"|"&amp;DAY($A1166),打卡匯入!$E$3:$E$2002,0)),"")</f>
        <v/>
      </c>
      <c r="K1166" s="83">
        <f>IFERROR(INDEX(打卡匯入!$D$3:$D$2002,MATCH($C1166&amp;"|"&amp;DAY($A1166),打卡匯入!$E$3:$E$2002,0)),"")</f>
        <v/>
      </c>
      <c r="L1166" s="84">
        <f>IF(OR($J1166="",$K1166=""),"",IFERROR(INDEX(設定!$F$6:$F$21,MATCH($G1166,設定!$B$6:$B$21,0)),0))</f>
        <v/>
      </c>
      <c r="M1166" s="85">
        <f>IF(OR($J1166="",$K1166=""),"",ROUND(($K1166-$J1166)*24-$L1166/60,2))</f>
        <v/>
      </c>
      <c r="N1166" s="16">
        <f>IF($C1166="","",IF(AND(COUNTIF(設定!$B$15:$B$21,$G1166)&gt;0,$J1166&lt;&gt;""),"假日出勤",IF(AND(COUNTIF(設定!$B$6:$B$14,$G1166)&gt;0,$J1166=""),"未打卡",IF($J1166="","",IF($O1166&gt;0,"遲到",IF($P1166&gt;0,"早退","正常"))))))</f>
        <v/>
      </c>
      <c r="O1166" s="84">
        <f>IF(OR($C1166="",$H1166="",$J1166=""),0,IF(ROUND(($J1166-$H1166)*1440,0)&gt;設定!$C$46,ROUND(($J1166-$H1166)*1440,0),0))</f>
        <v/>
      </c>
      <c r="P1166" s="84">
        <f>IF(OR($C1166="",$I1166="",$K1166=""),0,IF(ROUND(($I1166-$K1166)*1440,0)&gt;設定!$C$46,ROUND(($I1166-$K1166)*1440,0),0))</f>
        <v/>
      </c>
      <c r="Q1166" s="85">
        <f>IF($M1166="",0,IF(($M1166-IFERROR(INDEX(設定!$G$6:$G$21,MATCH($G1166,設定!$B$6:$B$21,0)),0))*60&gt;=設定!$C$44,ROUND(FLOOR(($M1166-IFERROR(INDEX(設定!$G$6:$G$21,MATCH($G1166,設定!$B$6:$B$21,0)),0))*60,設定!$C$45)/60,2),0))</f>
        <v/>
      </c>
      <c r="R1166" s="16">
        <f>IF(OR($C1166="",$Q1166=0),"",IF($G1166="國","國定假日",IF($B1166="日","例假",IF($B1166="六","休息日","平日"))))</f>
        <v/>
      </c>
      <c r="S1166" s="19" t="n"/>
    </row>
    <row r="1167">
      <c r="A1167" s="82">
        <f>IF(OR(助理班表!$A42="",18&gt;DAY(EOMONTH(DATE(設定!$C$2,設定!$D$2,1),0))),"",DATE(設定!$C$2,設定!$D$2,18))</f>
        <v/>
      </c>
      <c r="B1167" s="16">
        <f>IF($A1167="","",INDEX(設定!$O$6:$O$12,WEEKDAY($A1167,1)))</f>
        <v/>
      </c>
      <c r="C1167" s="16">
        <f>IF($A1167="","",助理班表!$A42)</f>
        <v/>
      </c>
      <c r="D1167" s="16">
        <f>IF($C1167="","",助理班表!$B42)</f>
        <v/>
      </c>
      <c r="E1167" s="16">
        <f>IF($C1167="","",助理班表!$D42)</f>
        <v/>
      </c>
      <c r="F1167" s="16">
        <f>IF($C1167="","",助理班表!$C42)</f>
        <v/>
      </c>
      <c r="G1167" s="16">
        <f>IF($C1167="","",助理班表!V42)</f>
        <v/>
      </c>
      <c r="H1167" s="83">
        <f>IF($G1167="","",IFERROR(IF(INDEX(設定!$D$6:$D$21,MATCH($G1167,設定!$B$6:$B$21,0))=0,"",INDEX(設定!$D$6:$D$21,MATCH($G1167,設定!$B$6:$B$21,0))),""))</f>
        <v/>
      </c>
      <c r="I1167" s="83">
        <f>IF($G1167="","",IFERROR(IF(INDEX(設定!$E$6:$E$21,MATCH($G1167,設定!$B$6:$B$21,0))=0,"",INDEX(設定!$E$6:$E$21,MATCH($G1167,設定!$B$6:$B$21,0))),""))</f>
        <v/>
      </c>
      <c r="J1167" s="83">
        <f>IFERROR(INDEX(打卡匯入!$C$3:$C$2002,MATCH($C1167&amp;"|"&amp;DAY($A1167),打卡匯入!$E$3:$E$2002,0)),"")</f>
        <v/>
      </c>
      <c r="K1167" s="83">
        <f>IFERROR(INDEX(打卡匯入!$D$3:$D$2002,MATCH($C1167&amp;"|"&amp;DAY($A1167),打卡匯入!$E$3:$E$2002,0)),"")</f>
        <v/>
      </c>
      <c r="L1167" s="84">
        <f>IF(OR($J1167="",$K1167=""),"",IFERROR(INDEX(設定!$F$6:$F$21,MATCH($G1167,設定!$B$6:$B$21,0)),0))</f>
        <v/>
      </c>
      <c r="M1167" s="85">
        <f>IF(OR($J1167="",$K1167=""),"",ROUND(($K1167-$J1167)*24-$L1167/60,2))</f>
        <v/>
      </c>
      <c r="N1167" s="16">
        <f>IF($C1167="","",IF(AND(COUNTIF(設定!$B$15:$B$21,$G1167)&gt;0,$J1167&lt;&gt;""),"假日出勤",IF(AND(COUNTIF(設定!$B$6:$B$14,$G1167)&gt;0,$J1167=""),"未打卡",IF($J1167="","",IF($O1167&gt;0,"遲到",IF($P1167&gt;0,"早退","正常"))))))</f>
        <v/>
      </c>
      <c r="O1167" s="84">
        <f>IF(OR($C1167="",$H1167="",$J1167=""),0,IF(ROUND(($J1167-$H1167)*1440,0)&gt;設定!$C$46,ROUND(($J1167-$H1167)*1440,0),0))</f>
        <v/>
      </c>
      <c r="P1167" s="84">
        <f>IF(OR($C1167="",$I1167="",$K1167=""),0,IF(ROUND(($I1167-$K1167)*1440,0)&gt;設定!$C$46,ROUND(($I1167-$K1167)*1440,0),0))</f>
        <v/>
      </c>
      <c r="Q1167" s="85">
        <f>IF($M1167="",0,IF(($M1167-IFERROR(INDEX(設定!$G$6:$G$21,MATCH($G1167,設定!$B$6:$B$21,0)),0))*60&gt;=設定!$C$44,ROUND(FLOOR(($M1167-IFERROR(INDEX(設定!$G$6:$G$21,MATCH($G1167,設定!$B$6:$B$21,0)),0))*60,設定!$C$45)/60,2),0))</f>
        <v/>
      </c>
      <c r="R1167" s="16">
        <f>IF(OR($C1167="",$Q1167=0),"",IF($G1167="國","國定假日",IF($B1167="日","例假",IF($B1167="六","休息日","平日"))))</f>
        <v/>
      </c>
      <c r="S1167" s="19" t="n"/>
    </row>
    <row r="1168">
      <c r="A1168" s="82">
        <f>IF(OR(助理班表!$A42="",19&gt;DAY(EOMONTH(DATE(設定!$C$2,設定!$D$2,1),0))),"",DATE(設定!$C$2,設定!$D$2,19))</f>
        <v/>
      </c>
      <c r="B1168" s="16">
        <f>IF($A1168="","",INDEX(設定!$O$6:$O$12,WEEKDAY($A1168,1)))</f>
        <v/>
      </c>
      <c r="C1168" s="16">
        <f>IF($A1168="","",助理班表!$A42)</f>
        <v/>
      </c>
      <c r="D1168" s="16">
        <f>IF($C1168="","",助理班表!$B42)</f>
        <v/>
      </c>
      <c r="E1168" s="16">
        <f>IF($C1168="","",助理班表!$D42)</f>
        <v/>
      </c>
      <c r="F1168" s="16">
        <f>IF($C1168="","",助理班表!$C42)</f>
        <v/>
      </c>
      <c r="G1168" s="16">
        <f>IF($C1168="","",助理班表!W42)</f>
        <v/>
      </c>
      <c r="H1168" s="83">
        <f>IF($G1168="","",IFERROR(IF(INDEX(設定!$D$6:$D$21,MATCH($G1168,設定!$B$6:$B$21,0))=0,"",INDEX(設定!$D$6:$D$21,MATCH($G1168,設定!$B$6:$B$21,0))),""))</f>
        <v/>
      </c>
      <c r="I1168" s="83">
        <f>IF($G1168="","",IFERROR(IF(INDEX(設定!$E$6:$E$21,MATCH($G1168,設定!$B$6:$B$21,0))=0,"",INDEX(設定!$E$6:$E$21,MATCH($G1168,設定!$B$6:$B$21,0))),""))</f>
        <v/>
      </c>
      <c r="J1168" s="83">
        <f>IFERROR(INDEX(打卡匯入!$C$3:$C$2002,MATCH($C1168&amp;"|"&amp;DAY($A1168),打卡匯入!$E$3:$E$2002,0)),"")</f>
        <v/>
      </c>
      <c r="K1168" s="83">
        <f>IFERROR(INDEX(打卡匯入!$D$3:$D$2002,MATCH($C1168&amp;"|"&amp;DAY($A1168),打卡匯入!$E$3:$E$2002,0)),"")</f>
        <v/>
      </c>
      <c r="L1168" s="84">
        <f>IF(OR($J1168="",$K1168=""),"",IFERROR(INDEX(設定!$F$6:$F$21,MATCH($G1168,設定!$B$6:$B$21,0)),0))</f>
        <v/>
      </c>
      <c r="M1168" s="85">
        <f>IF(OR($J1168="",$K1168=""),"",ROUND(($K1168-$J1168)*24-$L1168/60,2))</f>
        <v/>
      </c>
      <c r="N1168" s="16">
        <f>IF($C1168="","",IF(AND(COUNTIF(設定!$B$15:$B$21,$G1168)&gt;0,$J1168&lt;&gt;""),"假日出勤",IF(AND(COUNTIF(設定!$B$6:$B$14,$G1168)&gt;0,$J1168=""),"未打卡",IF($J1168="","",IF($O1168&gt;0,"遲到",IF($P1168&gt;0,"早退","正常"))))))</f>
        <v/>
      </c>
      <c r="O1168" s="84">
        <f>IF(OR($C1168="",$H1168="",$J1168=""),0,IF(ROUND(($J1168-$H1168)*1440,0)&gt;設定!$C$46,ROUND(($J1168-$H1168)*1440,0),0))</f>
        <v/>
      </c>
      <c r="P1168" s="84">
        <f>IF(OR($C1168="",$I1168="",$K1168=""),0,IF(ROUND(($I1168-$K1168)*1440,0)&gt;設定!$C$46,ROUND(($I1168-$K1168)*1440,0),0))</f>
        <v/>
      </c>
      <c r="Q1168" s="85">
        <f>IF($M1168="",0,IF(($M1168-IFERROR(INDEX(設定!$G$6:$G$21,MATCH($G1168,設定!$B$6:$B$21,0)),0))*60&gt;=設定!$C$44,ROUND(FLOOR(($M1168-IFERROR(INDEX(設定!$G$6:$G$21,MATCH($G1168,設定!$B$6:$B$21,0)),0))*60,設定!$C$45)/60,2),0))</f>
        <v/>
      </c>
      <c r="R1168" s="16">
        <f>IF(OR($C1168="",$Q1168=0),"",IF($G1168="國","國定假日",IF($B1168="日","例假",IF($B1168="六","休息日","平日"))))</f>
        <v/>
      </c>
      <c r="S1168" s="19" t="n"/>
    </row>
    <row r="1169">
      <c r="A1169" s="82">
        <f>IF(OR(助理班表!$A42="",20&gt;DAY(EOMONTH(DATE(設定!$C$2,設定!$D$2,1),0))),"",DATE(設定!$C$2,設定!$D$2,20))</f>
        <v/>
      </c>
      <c r="B1169" s="16">
        <f>IF($A1169="","",INDEX(設定!$O$6:$O$12,WEEKDAY($A1169,1)))</f>
        <v/>
      </c>
      <c r="C1169" s="16">
        <f>IF($A1169="","",助理班表!$A42)</f>
        <v/>
      </c>
      <c r="D1169" s="16">
        <f>IF($C1169="","",助理班表!$B42)</f>
        <v/>
      </c>
      <c r="E1169" s="16">
        <f>IF($C1169="","",助理班表!$D42)</f>
        <v/>
      </c>
      <c r="F1169" s="16">
        <f>IF($C1169="","",助理班表!$C42)</f>
        <v/>
      </c>
      <c r="G1169" s="16">
        <f>IF($C1169="","",助理班表!X42)</f>
        <v/>
      </c>
      <c r="H1169" s="83">
        <f>IF($G1169="","",IFERROR(IF(INDEX(設定!$D$6:$D$21,MATCH($G1169,設定!$B$6:$B$21,0))=0,"",INDEX(設定!$D$6:$D$21,MATCH($G1169,設定!$B$6:$B$21,0))),""))</f>
        <v/>
      </c>
      <c r="I1169" s="83">
        <f>IF($G1169="","",IFERROR(IF(INDEX(設定!$E$6:$E$21,MATCH($G1169,設定!$B$6:$B$21,0))=0,"",INDEX(設定!$E$6:$E$21,MATCH($G1169,設定!$B$6:$B$21,0))),""))</f>
        <v/>
      </c>
      <c r="J1169" s="83">
        <f>IFERROR(INDEX(打卡匯入!$C$3:$C$2002,MATCH($C1169&amp;"|"&amp;DAY($A1169),打卡匯入!$E$3:$E$2002,0)),"")</f>
        <v/>
      </c>
      <c r="K1169" s="83">
        <f>IFERROR(INDEX(打卡匯入!$D$3:$D$2002,MATCH($C1169&amp;"|"&amp;DAY($A1169),打卡匯入!$E$3:$E$2002,0)),"")</f>
        <v/>
      </c>
      <c r="L1169" s="84">
        <f>IF(OR($J1169="",$K1169=""),"",IFERROR(INDEX(設定!$F$6:$F$21,MATCH($G1169,設定!$B$6:$B$21,0)),0))</f>
        <v/>
      </c>
      <c r="M1169" s="85">
        <f>IF(OR($J1169="",$K1169=""),"",ROUND(($K1169-$J1169)*24-$L1169/60,2))</f>
        <v/>
      </c>
      <c r="N1169" s="16">
        <f>IF($C1169="","",IF(AND(COUNTIF(設定!$B$15:$B$21,$G1169)&gt;0,$J1169&lt;&gt;""),"假日出勤",IF(AND(COUNTIF(設定!$B$6:$B$14,$G1169)&gt;0,$J1169=""),"未打卡",IF($J1169="","",IF($O1169&gt;0,"遲到",IF($P1169&gt;0,"早退","正常"))))))</f>
        <v/>
      </c>
      <c r="O1169" s="84">
        <f>IF(OR($C1169="",$H1169="",$J1169=""),0,IF(ROUND(($J1169-$H1169)*1440,0)&gt;設定!$C$46,ROUND(($J1169-$H1169)*1440,0),0))</f>
        <v/>
      </c>
      <c r="P1169" s="84">
        <f>IF(OR($C1169="",$I1169="",$K1169=""),0,IF(ROUND(($I1169-$K1169)*1440,0)&gt;設定!$C$46,ROUND(($I1169-$K1169)*1440,0),0))</f>
        <v/>
      </c>
      <c r="Q1169" s="85">
        <f>IF($M1169="",0,IF(($M1169-IFERROR(INDEX(設定!$G$6:$G$21,MATCH($G1169,設定!$B$6:$B$21,0)),0))*60&gt;=設定!$C$44,ROUND(FLOOR(($M1169-IFERROR(INDEX(設定!$G$6:$G$21,MATCH($G1169,設定!$B$6:$B$21,0)),0))*60,設定!$C$45)/60,2),0))</f>
        <v/>
      </c>
      <c r="R1169" s="16">
        <f>IF(OR($C1169="",$Q1169=0),"",IF($G1169="國","國定假日",IF($B1169="日","例假",IF($B1169="六","休息日","平日"))))</f>
        <v/>
      </c>
      <c r="S1169" s="19" t="n"/>
    </row>
    <row r="1170">
      <c r="A1170" s="82">
        <f>IF(OR(助理班表!$A42="",21&gt;DAY(EOMONTH(DATE(設定!$C$2,設定!$D$2,1),0))),"",DATE(設定!$C$2,設定!$D$2,21))</f>
        <v/>
      </c>
      <c r="B1170" s="16">
        <f>IF($A1170="","",INDEX(設定!$O$6:$O$12,WEEKDAY($A1170,1)))</f>
        <v/>
      </c>
      <c r="C1170" s="16">
        <f>IF($A1170="","",助理班表!$A42)</f>
        <v/>
      </c>
      <c r="D1170" s="16">
        <f>IF($C1170="","",助理班表!$B42)</f>
        <v/>
      </c>
      <c r="E1170" s="16">
        <f>IF($C1170="","",助理班表!$D42)</f>
        <v/>
      </c>
      <c r="F1170" s="16">
        <f>IF($C1170="","",助理班表!$C42)</f>
        <v/>
      </c>
      <c r="G1170" s="16">
        <f>IF($C1170="","",助理班表!Y42)</f>
        <v/>
      </c>
      <c r="H1170" s="83">
        <f>IF($G1170="","",IFERROR(IF(INDEX(設定!$D$6:$D$21,MATCH($G1170,設定!$B$6:$B$21,0))=0,"",INDEX(設定!$D$6:$D$21,MATCH($G1170,設定!$B$6:$B$21,0))),""))</f>
        <v/>
      </c>
      <c r="I1170" s="83">
        <f>IF($G1170="","",IFERROR(IF(INDEX(設定!$E$6:$E$21,MATCH($G1170,設定!$B$6:$B$21,0))=0,"",INDEX(設定!$E$6:$E$21,MATCH($G1170,設定!$B$6:$B$21,0))),""))</f>
        <v/>
      </c>
      <c r="J1170" s="83">
        <f>IFERROR(INDEX(打卡匯入!$C$3:$C$2002,MATCH($C1170&amp;"|"&amp;DAY($A1170),打卡匯入!$E$3:$E$2002,0)),"")</f>
        <v/>
      </c>
      <c r="K1170" s="83">
        <f>IFERROR(INDEX(打卡匯入!$D$3:$D$2002,MATCH($C1170&amp;"|"&amp;DAY($A1170),打卡匯入!$E$3:$E$2002,0)),"")</f>
        <v/>
      </c>
      <c r="L1170" s="84">
        <f>IF(OR($J1170="",$K1170=""),"",IFERROR(INDEX(設定!$F$6:$F$21,MATCH($G1170,設定!$B$6:$B$21,0)),0))</f>
        <v/>
      </c>
      <c r="M1170" s="85">
        <f>IF(OR($J1170="",$K1170=""),"",ROUND(($K1170-$J1170)*24-$L1170/60,2))</f>
        <v/>
      </c>
      <c r="N1170" s="16">
        <f>IF($C1170="","",IF(AND(COUNTIF(設定!$B$15:$B$21,$G1170)&gt;0,$J1170&lt;&gt;""),"假日出勤",IF(AND(COUNTIF(設定!$B$6:$B$14,$G1170)&gt;0,$J1170=""),"未打卡",IF($J1170="","",IF($O1170&gt;0,"遲到",IF($P1170&gt;0,"早退","正常"))))))</f>
        <v/>
      </c>
      <c r="O1170" s="84">
        <f>IF(OR($C1170="",$H1170="",$J1170=""),0,IF(ROUND(($J1170-$H1170)*1440,0)&gt;設定!$C$46,ROUND(($J1170-$H1170)*1440,0),0))</f>
        <v/>
      </c>
      <c r="P1170" s="84">
        <f>IF(OR($C1170="",$I1170="",$K1170=""),0,IF(ROUND(($I1170-$K1170)*1440,0)&gt;設定!$C$46,ROUND(($I1170-$K1170)*1440,0),0))</f>
        <v/>
      </c>
      <c r="Q1170" s="85">
        <f>IF($M1170="",0,IF(($M1170-IFERROR(INDEX(設定!$G$6:$G$21,MATCH($G1170,設定!$B$6:$B$21,0)),0))*60&gt;=設定!$C$44,ROUND(FLOOR(($M1170-IFERROR(INDEX(設定!$G$6:$G$21,MATCH($G1170,設定!$B$6:$B$21,0)),0))*60,設定!$C$45)/60,2),0))</f>
        <v/>
      </c>
      <c r="R1170" s="16">
        <f>IF(OR($C1170="",$Q1170=0),"",IF($G1170="國","國定假日",IF($B1170="日","例假",IF($B1170="六","休息日","平日"))))</f>
        <v/>
      </c>
      <c r="S1170" s="19" t="n"/>
    </row>
    <row r="1171">
      <c r="A1171" s="82">
        <f>IF(OR(助理班表!$A42="",22&gt;DAY(EOMONTH(DATE(設定!$C$2,設定!$D$2,1),0))),"",DATE(設定!$C$2,設定!$D$2,22))</f>
        <v/>
      </c>
      <c r="B1171" s="16">
        <f>IF($A1171="","",INDEX(設定!$O$6:$O$12,WEEKDAY($A1171,1)))</f>
        <v/>
      </c>
      <c r="C1171" s="16">
        <f>IF($A1171="","",助理班表!$A42)</f>
        <v/>
      </c>
      <c r="D1171" s="16">
        <f>IF($C1171="","",助理班表!$B42)</f>
        <v/>
      </c>
      <c r="E1171" s="16">
        <f>IF($C1171="","",助理班表!$D42)</f>
        <v/>
      </c>
      <c r="F1171" s="16">
        <f>IF($C1171="","",助理班表!$C42)</f>
        <v/>
      </c>
      <c r="G1171" s="16">
        <f>IF($C1171="","",助理班表!Z42)</f>
        <v/>
      </c>
      <c r="H1171" s="83">
        <f>IF($G1171="","",IFERROR(IF(INDEX(設定!$D$6:$D$21,MATCH($G1171,設定!$B$6:$B$21,0))=0,"",INDEX(設定!$D$6:$D$21,MATCH($G1171,設定!$B$6:$B$21,0))),""))</f>
        <v/>
      </c>
      <c r="I1171" s="83">
        <f>IF($G1171="","",IFERROR(IF(INDEX(設定!$E$6:$E$21,MATCH($G1171,設定!$B$6:$B$21,0))=0,"",INDEX(設定!$E$6:$E$21,MATCH($G1171,設定!$B$6:$B$21,0))),""))</f>
        <v/>
      </c>
      <c r="J1171" s="83">
        <f>IFERROR(INDEX(打卡匯入!$C$3:$C$2002,MATCH($C1171&amp;"|"&amp;DAY($A1171),打卡匯入!$E$3:$E$2002,0)),"")</f>
        <v/>
      </c>
      <c r="K1171" s="83">
        <f>IFERROR(INDEX(打卡匯入!$D$3:$D$2002,MATCH($C1171&amp;"|"&amp;DAY($A1171),打卡匯入!$E$3:$E$2002,0)),"")</f>
        <v/>
      </c>
      <c r="L1171" s="84">
        <f>IF(OR($J1171="",$K1171=""),"",IFERROR(INDEX(設定!$F$6:$F$21,MATCH($G1171,設定!$B$6:$B$21,0)),0))</f>
        <v/>
      </c>
      <c r="M1171" s="85">
        <f>IF(OR($J1171="",$K1171=""),"",ROUND(($K1171-$J1171)*24-$L1171/60,2))</f>
        <v/>
      </c>
      <c r="N1171" s="16">
        <f>IF($C1171="","",IF(AND(COUNTIF(設定!$B$15:$B$21,$G1171)&gt;0,$J1171&lt;&gt;""),"假日出勤",IF(AND(COUNTIF(設定!$B$6:$B$14,$G1171)&gt;0,$J1171=""),"未打卡",IF($J1171="","",IF($O1171&gt;0,"遲到",IF($P1171&gt;0,"早退","正常"))))))</f>
        <v/>
      </c>
      <c r="O1171" s="84">
        <f>IF(OR($C1171="",$H1171="",$J1171=""),0,IF(ROUND(($J1171-$H1171)*1440,0)&gt;設定!$C$46,ROUND(($J1171-$H1171)*1440,0),0))</f>
        <v/>
      </c>
      <c r="P1171" s="84">
        <f>IF(OR($C1171="",$I1171="",$K1171=""),0,IF(ROUND(($I1171-$K1171)*1440,0)&gt;設定!$C$46,ROUND(($I1171-$K1171)*1440,0),0))</f>
        <v/>
      </c>
      <c r="Q1171" s="85">
        <f>IF($M1171="",0,IF(($M1171-IFERROR(INDEX(設定!$G$6:$G$21,MATCH($G1171,設定!$B$6:$B$21,0)),0))*60&gt;=設定!$C$44,ROUND(FLOOR(($M1171-IFERROR(INDEX(設定!$G$6:$G$21,MATCH($G1171,設定!$B$6:$B$21,0)),0))*60,設定!$C$45)/60,2),0))</f>
        <v/>
      </c>
      <c r="R1171" s="16">
        <f>IF(OR($C1171="",$Q1171=0),"",IF($G1171="國","國定假日",IF($B1171="日","例假",IF($B1171="六","休息日","平日"))))</f>
        <v/>
      </c>
      <c r="S1171" s="19" t="n"/>
    </row>
    <row r="1172">
      <c r="A1172" s="82">
        <f>IF(OR(助理班表!$A42="",23&gt;DAY(EOMONTH(DATE(設定!$C$2,設定!$D$2,1),0))),"",DATE(設定!$C$2,設定!$D$2,23))</f>
        <v/>
      </c>
      <c r="B1172" s="16">
        <f>IF($A1172="","",INDEX(設定!$O$6:$O$12,WEEKDAY($A1172,1)))</f>
        <v/>
      </c>
      <c r="C1172" s="16">
        <f>IF($A1172="","",助理班表!$A42)</f>
        <v/>
      </c>
      <c r="D1172" s="16">
        <f>IF($C1172="","",助理班表!$B42)</f>
        <v/>
      </c>
      <c r="E1172" s="16">
        <f>IF($C1172="","",助理班表!$D42)</f>
        <v/>
      </c>
      <c r="F1172" s="16">
        <f>IF($C1172="","",助理班表!$C42)</f>
        <v/>
      </c>
      <c r="G1172" s="16">
        <f>IF($C1172="","",助理班表!AA42)</f>
        <v/>
      </c>
      <c r="H1172" s="83">
        <f>IF($G1172="","",IFERROR(IF(INDEX(設定!$D$6:$D$21,MATCH($G1172,設定!$B$6:$B$21,0))=0,"",INDEX(設定!$D$6:$D$21,MATCH($G1172,設定!$B$6:$B$21,0))),""))</f>
        <v/>
      </c>
      <c r="I1172" s="83">
        <f>IF($G1172="","",IFERROR(IF(INDEX(設定!$E$6:$E$21,MATCH($G1172,設定!$B$6:$B$21,0))=0,"",INDEX(設定!$E$6:$E$21,MATCH($G1172,設定!$B$6:$B$21,0))),""))</f>
        <v/>
      </c>
      <c r="J1172" s="83">
        <f>IFERROR(INDEX(打卡匯入!$C$3:$C$2002,MATCH($C1172&amp;"|"&amp;DAY($A1172),打卡匯入!$E$3:$E$2002,0)),"")</f>
        <v/>
      </c>
      <c r="K1172" s="83">
        <f>IFERROR(INDEX(打卡匯入!$D$3:$D$2002,MATCH($C1172&amp;"|"&amp;DAY($A1172),打卡匯入!$E$3:$E$2002,0)),"")</f>
        <v/>
      </c>
      <c r="L1172" s="84">
        <f>IF(OR($J1172="",$K1172=""),"",IFERROR(INDEX(設定!$F$6:$F$21,MATCH($G1172,設定!$B$6:$B$21,0)),0))</f>
        <v/>
      </c>
      <c r="M1172" s="85">
        <f>IF(OR($J1172="",$K1172=""),"",ROUND(($K1172-$J1172)*24-$L1172/60,2))</f>
        <v/>
      </c>
      <c r="N1172" s="16">
        <f>IF($C1172="","",IF(AND(COUNTIF(設定!$B$15:$B$21,$G1172)&gt;0,$J1172&lt;&gt;""),"假日出勤",IF(AND(COUNTIF(設定!$B$6:$B$14,$G1172)&gt;0,$J1172=""),"未打卡",IF($J1172="","",IF($O1172&gt;0,"遲到",IF($P1172&gt;0,"早退","正常"))))))</f>
        <v/>
      </c>
      <c r="O1172" s="84">
        <f>IF(OR($C1172="",$H1172="",$J1172=""),0,IF(ROUND(($J1172-$H1172)*1440,0)&gt;設定!$C$46,ROUND(($J1172-$H1172)*1440,0),0))</f>
        <v/>
      </c>
      <c r="P1172" s="84">
        <f>IF(OR($C1172="",$I1172="",$K1172=""),0,IF(ROUND(($I1172-$K1172)*1440,0)&gt;設定!$C$46,ROUND(($I1172-$K1172)*1440,0),0))</f>
        <v/>
      </c>
      <c r="Q1172" s="85">
        <f>IF($M1172="",0,IF(($M1172-IFERROR(INDEX(設定!$G$6:$G$21,MATCH($G1172,設定!$B$6:$B$21,0)),0))*60&gt;=設定!$C$44,ROUND(FLOOR(($M1172-IFERROR(INDEX(設定!$G$6:$G$21,MATCH($G1172,設定!$B$6:$B$21,0)),0))*60,設定!$C$45)/60,2),0))</f>
        <v/>
      </c>
      <c r="R1172" s="16">
        <f>IF(OR($C1172="",$Q1172=0),"",IF($G1172="國","國定假日",IF($B1172="日","例假",IF($B1172="六","休息日","平日"))))</f>
        <v/>
      </c>
      <c r="S1172" s="19" t="n"/>
    </row>
    <row r="1173">
      <c r="A1173" s="82">
        <f>IF(OR(助理班表!$A42="",24&gt;DAY(EOMONTH(DATE(設定!$C$2,設定!$D$2,1),0))),"",DATE(設定!$C$2,設定!$D$2,24))</f>
        <v/>
      </c>
      <c r="B1173" s="16">
        <f>IF($A1173="","",INDEX(設定!$O$6:$O$12,WEEKDAY($A1173,1)))</f>
        <v/>
      </c>
      <c r="C1173" s="16">
        <f>IF($A1173="","",助理班表!$A42)</f>
        <v/>
      </c>
      <c r="D1173" s="16">
        <f>IF($C1173="","",助理班表!$B42)</f>
        <v/>
      </c>
      <c r="E1173" s="16">
        <f>IF($C1173="","",助理班表!$D42)</f>
        <v/>
      </c>
      <c r="F1173" s="16">
        <f>IF($C1173="","",助理班表!$C42)</f>
        <v/>
      </c>
      <c r="G1173" s="16">
        <f>IF($C1173="","",助理班表!AB42)</f>
        <v/>
      </c>
      <c r="H1173" s="83">
        <f>IF($G1173="","",IFERROR(IF(INDEX(設定!$D$6:$D$21,MATCH($G1173,設定!$B$6:$B$21,0))=0,"",INDEX(設定!$D$6:$D$21,MATCH($G1173,設定!$B$6:$B$21,0))),""))</f>
        <v/>
      </c>
      <c r="I1173" s="83">
        <f>IF($G1173="","",IFERROR(IF(INDEX(設定!$E$6:$E$21,MATCH($G1173,設定!$B$6:$B$21,0))=0,"",INDEX(設定!$E$6:$E$21,MATCH($G1173,設定!$B$6:$B$21,0))),""))</f>
        <v/>
      </c>
      <c r="J1173" s="83">
        <f>IFERROR(INDEX(打卡匯入!$C$3:$C$2002,MATCH($C1173&amp;"|"&amp;DAY($A1173),打卡匯入!$E$3:$E$2002,0)),"")</f>
        <v/>
      </c>
      <c r="K1173" s="83">
        <f>IFERROR(INDEX(打卡匯入!$D$3:$D$2002,MATCH($C1173&amp;"|"&amp;DAY($A1173),打卡匯入!$E$3:$E$2002,0)),"")</f>
        <v/>
      </c>
      <c r="L1173" s="84">
        <f>IF(OR($J1173="",$K1173=""),"",IFERROR(INDEX(設定!$F$6:$F$21,MATCH($G1173,設定!$B$6:$B$21,0)),0))</f>
        <v/>
      </c>
      <c r="M1173" s="85">
        <f>IF(OR($J1173="",$K1173=""),"",ROUND(($K1173-$J1173)*24-$L1173/60,2))</f>
        <v/>
      </c>
      <c r="N1173" s="16">
        <f>IF($C1173="","",IF(AND(COUNTIF(設定!$B$15:$B$21,$G1173)&gt;0,$J1173&lt;&gt;""),"假日出勤",IF(AND(COUNTIF(設定!$B$6:$B$14,$G1173)&gt;0,$J1173=""),"未打卡",IF($J1173="","",IF($O1173&gt;0,"遲到",IF($P1173&gt;0,"早退","正常"))))))</f>
        <v/>
      </c>
      <c r="O1173" s="84">
        <f>IF(OR($C1173="",$H1173="",$J1173=""),0,IF(ROUND(($J1173-$H1173)*1440,0)&gt;設定!$C$46,ROUND(($J1173-$H1173)*1440,0),0))</f>
        <v/>
      </c>
      <c r="P1173" s="84">
        <f>IF(OR($C1173="",$I1173="",$K1173=""),0,IF(ROUND(($I1173-$K1173)*1440,0)&gt;設定!$C$46,ROUND(($I1173-$K1173)*1440,0),0))</f>
        <v/>
      </c>
      <c r="Q1173" s="85">
        <f>IF($M1173="",0,IF(($M1173-IFERROR(INDEX(設定!$G$6:$G$21,MATCH($G1173,設定!$B$6:$B$21,0)),0))*60&gt;=設定!$C$44,ROUND(FLOOR(($M1173-IFERROR(INDEX(設定!$G$6:$G$21,MATCH($G1173,設定!$B$6:$B$21,0)),0))*60,設定!$C$45)/60,2),0))</f>
        <v/>
      </c>
      <c r="R1173" s="16">
        <f>IF(OR($C1173="",$Q1173=0),"",IF($G1173="國","國定假日",IF($B1173="日","例假",IF($B1173="六","休息日","平日"))))</f>
        <v/>
      </c>
      <c r="S1173" s="19" t="n"/>
    </row>
    <row r="1174">
      <c r="A1174" s="82">
        <f>IF(OR(助理班表!$A42="",25&gt;DAY(EOMONTH(DATE(設定!$C$2,設定!$D$2,1),0))),"",DATE(設定!$C$2,設定!$D$2,25))</f>
        <v/>
      </c>
      <c r="B1174" s="16">
        <f>IF($A1174="","",INDEX(設定!$O$6:$O$12,WEEKDAY($A1174,1)))</f>
        <v/>
      </c>
      <c r="C1174" s="16">
        <f>IF($A1174="","",助理班表!$A42)</f>
        <v/>
      </c>
      <c r="D1174" s="16">
        <f>IF($C1174="","",助理班表!$B42)</f>
        <v/>
      </c>
      <c r="E1174" s="16">
        <f>IF($C1174="","",助理班表!$D42)</f>
        <v/>
      </c>
      <c r="F1174" s="16">
        <f>IF($C1174="","",助理班表!$C42)</f>
        <v/>
      </c>
      <c r="G1174" s="16">
        <f>IF($C1174="","",助理班表!AC42)</f>
        <v/>
      </c>
      <c r="H1174" s="83">
        <f>IF($G1174="","",IFERROR(IF(INDEX(設定!$D$6:$D$21,MATCH($G1174,設定!$B$6:$B$21,0))=0,"",INDEX(設定!$D$6:$D$21,MATCH($G1174,設定!$B$6:$B$21,0))),""))</f>
        <v/>
      </c>
      <c r="I1174" s="83">
        <f>IF($G1174="","",IFERROR(IF(INDEX(設定!$E$6:$E$21,MATCH($G1174,設定!$B$6:$B$21,0))=0,"",INDEX(設定!$E$6:$E$21,MATCH($G1174,設定!$B$6:$B$21,0))),""))</f>
        <v/>
      </c>
      <c r="J1174" s="83">
        <f>IFERROR(INDEX(打卡匯入!$C$3:$C$2002,MATCH($C1174&amp;"|"&amp;DAY($A1174),打卡匯入!$E$3:$E$2002,0)),"")</f>
        <v/>
      </c>
      <c r="K1174" s="83">
        <f>IFERROR(INDEX(打卡匯入!$D$3:$D$2002,MATCH($C1174&amp;"|"&amp;DAY($A1174),打卡匯入!$E$3:$E$2002,0)),"")</f>
        <v/>
      </c>
      <c r="L1174" s="84">
        <f>IF(OR($J1174="",$K1174=""),"",IFERROR(INDEX(設定!$F$6:$F$21,MATCH($G1174,設定!$B$6:$B$21,0)),0))</f>
        <v/>
      </c>
      <c r="M1174" s="85">
        <f>IF(OR($J1174="",$K1174=""),"",ROUND(($K1174-$J1174)*24-$L1174/60,2))</f>
        <v/>
      </c>
      <c r="N1174" s="16">
        <f>IF($C1174="","",IF(AND(COUNTIF(設定!$B$15:$B$21,$G1174)&gt;0,$J1174&lt;&gt;""),"假日出勤",IF(AND(COUNTIF(設定!$B$6:$B$14,$G1174)&gt;0,$J1174=""),"未打卡",IF($J1174="","",IF($O1174&gt;0,"遲到",IF($P1174&gt;0,"早退","正常"))))))</f>
        <v/>
      </c>
      <c r="O1174" s="84">
        <f>IF(OR($C1174="",$H1174="",$J1174=""),0,IF(ROUND(($J1174-$H1174)*1440,0)&gt;設定!$C$46,ROUND(($J1174-$H1174)*1440,0),0))</f>
        <v/>
      </c>
      <c r="P1174" s="84">
        <f>IF(OR($C1174="",$I1174="",$K1174=""),0,IF(ROUND(($I1174-$K1174)*1440,0)&gt;設定!$C$46,ROUND(($I1174-$K1174)*1440,0),0))</f>
        <v/>
      </c>
      <c r="Q1174" s="85">
        <f>IF($M1174="",0,IF(($M1174-IFERROR(INDEX(設定!$G$6:$G$21,MATCH($G1174,設定!$B$6:$B$21,0)),0))*60&gt;=設定!$C$44,ROUND(FLOOR(($M1174-IFERROR(INDEX(設定!$G$6:$G$21,MATCH($G1174,設定!$B$6:$B$21,0)),0))*60,設定!$C$45)/60,2),0))</f>
        <v/>
      </c>
      <c r="R1174" s="16">
        <f>IF(OR($C1174="",$Q1174=0),"",IF($G1174="國","國定假日",IF($B1174="日","例假",IF($B1174="六","休息日","平日"))))</f>
        <v/>
      </c>
      <c r="S1174" s="19" t="n"/>
    </row>
    <row r="1175">
      <c r="A1175" s="82">
        <f>IF(OR(助理班表!$A42="",26&gt;DAY(EOMONTH(DATE(設定!$C$2,設定!$D$2,1),0))),"",DATE(設定!$C$2,設定!$D$2,26))</f>
        <v/>
      </c>
      <c r="B1175" s="16">
        <f>IF($A1175="","",INDEX(設定!$O$6:$O$12,WEEKDAY($A1175,1)))</f>
        <v/>
      </c>
      <c r="C1175" s="16">
        <f>IF($A1175="","",助理班表!$A42)</f>
        <v/>
      </c>
      <c r="D1175" s="16">
        <f>IF($C1175="","",助理班表!$B42)</f>
        <v/>
      </c>
      <c r="E1175" s="16">
        <f>IF($C1175="","",助理班表!$D42)</f>
        <v/>
      </c>
      <c r="F1175" s="16">
        <f>IF($C1175="","",助理班表!$C42)</f>
        <v/>
      </c>
      <c r="G1175" s="16">
        <f>IF($C1175="","",助理班表!AD42)</f>
        <v/>
      </c>
      <c r="H1175" s="83">
        <f>IF($G1175="","",IFERROR(IF(INDEX(設定!$D$6:$D$21,MATCH($G1175,設定!$B$6:$B$21,0))=0,"",INDEX(設定!$D$6:$D$21,MATCH($G1175,設定!$B$6:$B$21,0))),""))</f>
        <v/>
      </c>
      <c r="I1175" s="83">
        <f>IF($G1175="","",IFERROR(IF(INDEX(設定!$E$6:$E$21,MATCH($G1175,設定!$B$6:$B$21,0))=0,"",INDEX(設定!$E$6:$E$21,MATCH($G1175,設定!$B$6:$B$21,0))),""))</f>
        <v/>
      </c>
      <c r="J1175" s="83">
        <f>IFERROR(INDEX(打卡匯入!$C$3:$C$2002,MATCH($C1175&amp;"|"&amp;DAY($A1175),打卡匯入!$E$3:$E$2002,0)),"")</f>
        <v/>
      </c>
      <c r="K1175" s="83">
        <f>IFERROR(INDEX(打卡匯入!$D$3:$D$2002,MATCH($C1175&amp;"|"&amp;DAY($A1175),打卡匯入!$E$3:$E$2002,0)),"")</f>
        <v/>
      </c>
      <c r="L1175" s="84">
        <f>IF(OR($J1175="",$K1175=""),"",IFERROR(INDEX(設定!$F$6:$F$21,MATCH($G1175,設定!$B$6:$B$21,0)),0))</f>
        <v/>
      </c>
      <c r="M1175" s="85">
        <f>IF(OR($J1175="",$K1175=""),"",ROUND(($K1175-$J1175)*24-$L1175/60,2))</f>
        <v/>
      </c>
      <c r="N1175" s="16">
        <f>IF($C1175="","",IF(AND(COUNTIF(設定!$B$15:$B$21,$G1175)&gt;0,$J1175&lt;&gt;""),"假日出勤",IF(AND(COUNTIF(設定!$B$6:$B$14,$G1175)&gt;0,$J1175=""),"未打卡",IF($J1175="","",IF($O1175&gt;0,"遲到",IF($P1175&gt;0,"早退","正常"))))))</f>
        <v/>
      </c>
      <c r="O1175" s="84">
        <f>IF(OR($C1175="",$H1175="",$J1175=""),0,IF(ROUND(($J1175-$H1175)*1440,0)&gt;設定!$C$46,ROUND(($J1175-$H1175)*1440,0),0))</f>
        <v/>
      </c>
      <c r="P1175" s="84">
        <f>IF(OR($C1175="",$I1175="",$K1175=""),0,IF(ROUND(($I1175-$K1175)*1440,0)&gt;設定!$C$46,ROUND(($I1175-$K1175)*1440,0),0))</f>
        <v/>
      </c>
      <c r="Q1175" s="85">
        <f>IF($M1175="",0,IF(($M1175-IFERROR(INDEX(設定!$G$6:$G$21,MATCH($G1175,設定!$B$6:$B$21,0)),0))*60&gt;=設定!$C$44,ROUND(FLOOR(($M1175-IFERROR(INDEX(設定!$G$6:$G$21,MATCH($G1175,設定!$B$6:$B$21,0)),0))*60,設定!$C$45)/60,2),0))</f>
        <v/>
      </c>
      <c r="R1175" s="16">
        <f>IF(OR($C1175="",$Q1175=0),"",IF($G1175="國","國定假日",IF($B1175="日","例假",IF($B1175="六","休息日","平日"))))</f>
        <v/>
      </c>
      <c r="S1175" s="19" t="n"/>
    </row>
    <row r="1176">
      <c r="A1176" s="82">
        <f>IF(OR(助理班表!$A42="",27&gt;DAY(EOMONTH(DATE(設定!$C$2,設定!$D$2,1),0))),"",DATE(設定!$C$2,設定!$D$2,27))</f>
        <v/>
      </c>
      <c r="B1176" s="16">
        <f>IF($A1176="","",INDEX(設定!$O$6:$O$12,WEEKDAY($A1176,1)))</f>
        <v/>
      </c>
      <c r="C1176" s="16">
        <f>IF($A1176="","",助理班表!$A42)</f>
        <v/>
      </c>
      <c r="D1176" s="16">
        <f>IF($C1176="","",助理班表!$B42)</f>
        <v/>
      </c>
      <c r="E1176" s="16">
        <f>IF($C1176="","",助理班表!$D42)</f>
        <v/>
      </c>
      <c r="F1176" s="16">
        <f>IF($C1176="","",助理班表!$C42)</f>
        <v/>
      </c>
      <c r="G1176" s="16">
        <f>IF($C1176="","",助理班表!AE42)</f>
        <v/>
      </c>
      <c r="H1176" s="83">
        <f>IF($G1176="","",IFERROR(IF(INDEX(設定!$D$6:$D$21,MATCH($G1176,設定!$B$6:$B$21,0))=0,"",INDEX(設定!$D$6:$D$21,MATCH($G1176,設定!$B$6:$B$21,0))),""))</f>
        <v/>
      </c>
      <c r="I1176" s="83">
        <f>IF($G1176="","",IFERROR(IF(INDEX(設定!$E$6:$E$21,MATCH($G1176,設定!$B$6:$B$21,0))=0,"",INDEX(設定!$E$6:$E$21,MATCH($G1176,設定!$B$6:$B$21,0))),""))</f>
        <v/>
      </c>
      <c r="J1176" s="83">
        <f>IFERROR(INDEX(打卡匯入!$C$3:$C$2002,MATCH($C1176&amp;"|"&amp;DAY($A1176),打卡匯入!$E$3:$E$2002,0)),"")</f>
        <v/>
      </c>
      <c r="K1176" s="83">
        <f>IFERROR(INDEX(打卡匯入!$D$3:$D$2002,MATCH($C1176&amp;"|"&amp;DAY($A1176),打卡匯入!$E$3:$E$2002,0)),"")</f>
        <v/>
      </c>
      <c r="L1176" s="84">
        <f>IF(OR($J1176="",$K1176=""),"",IFERROR(INDEX(設定!$F$6:$F$21,MATCH($G1176,設定!$B$6:$B$21,0)),0))</f>
        <v/>
      </c>
      <c r="M1176" s="85">
        <f>IF(OR($J1176="",$K1176=""),"",ROUND(($K1176-$J1176)*24-$L1176/60,2))</f>
        <v/>
      </c>
      <c r="N1176" s="16">
        <f>IF($C1176="","",IF(AND(COUNTIF(設定!$B$15:$B$21,$G1176)&gt;0,$J1176&lt;&gt;""),"假日出勤",IF(AND(COUNTIF(設定!$B$6:$B$14,$G1176)&gt;0,$J1176=""),"未打卡",IF($J1176="","",IF($O1176&gt;0,"遲到",IF($P1176&gt;0,"早退","正常"))))))</f>
        <v/>
      </c>
      <c r="O1176" s="84">
        <f>IF(OR($C1176="",$H1176="",$J1176=""),0,IF(ROUND(($J1176-$H1176)*1440,0)&gt;設定!$C$46,ROUND(($J1176-$H1176)*1440,0),0))</f>
        <v/>
      </c>
      <c r="P1176" s="84">
        <f>IF(OR($C1176="",$I1176="",$K1176=""),0,IF(ROUND(($I1176-$K1176)*1440,0)&gt;設定!$C$46,ROUND(($I1176-$K1176)*1440,0),0))</f>
        <v/>
      </c>
      <c r="Q1176" s="85">
        <f>IF($M1176="",0,IF(($M1176-IFERROR(INDEX(設定!$G$6:$G$21,MATCH($G1176,設定!$B$6:$B$21,0)),0))*60&gt;=設定!$C$44,ROUND(FLOOR(($M1176-IFERROR(INDEX(設定!$G$6:$G$21,MATCH($G1176,設定!$B$6:$B$21,0)),0))*60,設定!$C$45)/60,2),0))</f>
        <v/>
      </c>
      <c r="R1176" s="16">
        <f>IF(OR($C1176="",$Q1176=0),"",IF($G1176="國","國定假日",IF($B1176="日","例假",IF($B1176="六","休息日","平日"))))</f>
        <v/>
      </c>
      <c r="S1176" s="19" t="n"/>
    </row>
    <row r="1177">
      <c r="A1177" s="82">
        <f>IF(OR(助理班表!$A42="",28&gt;DAY(EOMONTH(DATE(設定!$C$2,設定!$D$2,1),0))),"",DATE(設定!$C$2,設定!$D$2,28))</f>
        <v/>
      </c>
      <c r="B1177" s="16">
        <f>IF($A1177="","",INDEX(設定!$O$6:$O$12,WEEKDAY($A1177,1)))</f>
        <v/>
      </c>
      <c r="C1177" s="16">
        <f>IF($A1177="","",助理班表!$A42)</f>
        <v/>
      </c>
      <c r="D1177" s="16">
        <f>IF($C1177="","",助理班表!$B42)</f>
        <v/>
      </c>
      <c r="E1177" s="16">
        <f>IF($C1177="","",助理班表!$D42)</f>
        <v/>
      </c>
      <c r="F1177" s="16">
        <f>IF($C1177="","",助理班表!$C42)</f>
        <v/>
      </c>
      <c r="G1177" s="16">
        <f>IF($C1177="","",助理班表!AF42)</f>
        <v/>
      </c>
      <c r="H1177" s="83">
        <f>IF($G1177="","",IFERROR(IF(INDEX(設定!$D$6:$D$21,MATCH($G1177,設定!$B$6:$B$21,0))=0,"",INDEX(設定!$D$6:$D$21,MATCH($G1177,設定!$B$6:$B$21,0))),""))</f>
        <v/>
      </c>
      <c r="I1177" s="83">
        <f>IF($G1177="","",IFERROR(IF(INDEX(設定!$E$6:$E$21,MATCH($G1177,設定!$B$6:$B$21,0))=0,"",INDEX(設定!$E$6:$E$21,MATCH($G1177,設定!$B$6:$B$21,0))),""))</f>
        <v/>
      </c>
      <c r="J1177" s="83">
        <f>IFERROR(INDEX(打卡匯入!$C$3:$C$2002,MATCH($C1177&amp;"|"&amp;DAY($A1177),打卡匯入!$E$3:$E$2002,0)),"")</f>
        <v/>
      </c>
      <c r="K1177" s="83">
        <f>IFERROR(INDEX(打卡匯入!$D$3:$D$2002,MATCH($C1177&amp;"|"&amp;DAY($A1177),打卡匯入!$E$3:$E$2002,0)),"")</f>
        <v/>
      </c>
      <c r="L1177" s="84">
        <f>IF(OR($J1177="",$K1177=""),"",IFERROR(INDEX(設定!$F$6:$F$21,MATCH($G1177,設定!$B$6:$B$21,0)),0))</f>
        <v/>
      </c>
      <c r="M1177" s="85">
        <f>IF(OR($J1177="",$K1177=""),"",ROUND(($K1177-$J1177)*24-$L1177/60,2))</f>
        <v/>
      </c>
      <c r="N1177" s="16">
        <f>IF($C1177="","",IF(AND(COUNTIF(設定!$B$15:$B$21,$G1177)&gt;0,$J1177&lt;&gt;""),"假日出勤",IF(AND(COUNTIF(設定!$B$6:$B$14,$G1177)&gt;0,$J1177=""),"未打卡",IF($J1177="","",IF($O1177&gt;0,"遲到",IF($P1177&gt;0,"早退","正常"))))))</f>
        <v/>
      </c>
      <c r="O1177" s="84">
        <f>IF(OR($C1177="",$H1177="",$J1177=""),0,IF(ROUND(($J1177-$H1177)*1440,0)&gt;設定!$C$46,ROUND(($J1177-$H1177)*1440,0),0))</f>
        <v/>
      </c>
      <c r="P1177" s="84">
        <f>IF(OR($C1177="",$I1177="",$K1177=""),0,IF(ROUND(($I1177-$K1177)*1440,0)&gt;設定!$C$46,ROUND(($I1177-$K1177)*1440,0),0))</f>
        <v/>
      </c>
      <c r="Q1177" s="85">
        <f>IF($M1177="",0,IF(($M1177-IFERROR(INDEX(設定!$G$6:$G$21,MATCH($G1177,設定!$B$6:$B$21,0)),0))*60&gt;=設定!$C$44,ROUND(FLOOR(($M1177-IFERROR(INDEX(設定!$G$6:$G$21,MATCH($G1177,設定!$B$6:$B$21,0)),0))*60,設定!$C$45)/60,2),0))</f>
        <v/>
      </c>
      <c r="R1177" s="16">
        <f>IF(OR($C1177="",$Q1177=0),"",IF($G1177="國","國定假日",IF($B1177="日","例假",IF($B1177="六","休息日","平日"))))</f>
        <v/>
      </c>
      <c r="S1177" s="19" t="n"/>
    </row>
    <row r="1178">
      <c r="A1178" s="82">
        <f>IF(OR(助理班表!$A42="",29&gt;DAY(EOMONTH(DATE(設定!$C$2,設定!$D$2,1),0))),"",DATE(設定!$C$2,設定!$D$2,29))</f>
        <v/>
      </c>
      <c r="B1178" s="16">
        <f>IF($A1178="","",INDEX(設定!$O$6:$O$12,WEEKDAY($A1178,1)))</f>
        <v/>
      </c>
      <c r="C1178" s="16">
        <f>IF($A1178="","",助理班表!$A42)</f>
        <v/>
      </c>
      <c r="D1178" s="16">
        <f>IF($C1178="","",助理班表!$B42)</f>
        <v/>
      </c>
      <c r="E1178" s="16">
        <f>IF($C1178="","",助理班表!$D42)</f>
        <v/>
      </c>
      <c r="F1178" s="16">
        <f>IF($C1178="","",助理班表!$C42)</f>
        <v/>
      </c>
      <c r="G1178" s="16">
        <f>IF($C1178="","",助理班表!AG42)</f>
        <v/>
      </c>
      <c r="H1178" s="83">
        <f>IF($G1178="","",IFERROR(IF(INDEX(設定!$D$6:$D$21,MATCH($G1178,設定!$B$6:$B$21,0))=0,"",INDEX(設定!$D$6:$D$21,MATCH($G1178,設定!$B$6:$B$21,0))),""))</f>
        <v/>
      </c>
      <c r="I1178" s="83">
        <f>IF($G1178="","",IFERROR(IF(INDEX(設定!$E$6:$E$21,MATCH($G1178,設定!$B$6:$B$21,0))=0,"",INDEX(設定!$E$6:$E$21,MATCH($G1178,設定!$B$6:$B$21,0))),""))</f>
        <v/>
      </c>
      <c r="J1178" s="83">
        <f>IFERROR(INDEX(打卡匯入!$C$3:$C$2002,MATCH($C1178&amp;"|"&amp;DAY($A1178),打卡匯入!$E$3:$E$2002,0)),"")</f>
        <v/>
      </c>
      <c r="K1178" s="83">
        <f>IFERROR(INDEX(打卡匯入!$D$3:$D$2002,MATCH($C1178&amp;"|"&amp;DAY($A1178),打卡匯入!$E$3:$E$2002,0)),"")</f>
        <v/>
      </c>
      <c r="L1178" s="84">
        <f>IF(OR($J1178="",$K1178=""),"",IFERROR(INDEX(設定!$F$6:$F$21,MATCH($G1178,設定!$B$6:$B$21,0)),0))</f>
        <v/>
      </c>
      <c r="M1178" s="85">
        <f>IF(OR($J1178="",$K1178=""),"",ROUND(($K1178-$J1178)*24-$L1178/60,2))</f>
        <v/>
      </c>
      <c r="N1178" s="16">
        <f>IF($C1178="","",IF(AND(COUNTIF(設定!$B$15:$B$21,$G1178)&gt;0,$J1178&lt;&gt;""),"假日出勤",IF(AND(COUNTIF(設定!$B$6:$B$14,$G1178)&gt;0,$J1178=""),"未打卡",IF($J1178="","",IF($O1178&gt;0,"遲到",IF($P1178&gt;0,"早退","正常"))))))</f>
        <v/>
      </c>
      <c r="O1178" s="84">
        <f>IF(OR($C1178="",$H1178="",$J1178=""),0,IF(ROUND(($J1178-$H1178)*1440,0)&gt;設定!$C$46,ROUND(($J1178-$H1178)*1440,0),0))</f>
        <v/>
      </c>
      <c r="P1178" s="84">
        <f>IF(OR($C1178="",$I1178="",$K1178=""),0,IF(ROUND(($I1178-$K1178)*1440,0)&gt;設定!$C$46,ROUND(($I1178-$K1178)*1440,0),0))</f>
        <v/>
      </c>
      <c r="Q1178" s="85">
        <f>IF($M1178="",0,IF(($M1178-IFERROR(INDEX(設定!$G$6:$G$21,MATCH($G1178,設定!$B$6:$B$21,0)),0))*60&gt;=設定!$C$44,ROUND(FLOOR(($M1178-IFERROR(INDEX(設定!$G$6:$G$21,MATCH($G1178,設定!$B$6:$B$21,0)),0))*60,設定!$C$45)/60,2),0))</f>
        <v/>
      </c>
      <c r="R1178" s="16">
        <f>IF(OR($C1178="",$Q1178=0),"",IF($G1178="國","國定假日",IF($B1178="日","例假",IF($B1178="六","休息日","平日"))))</f>
        <v/>
      </c>
      <c r="S1178" s="19" t="n"/>
    </row>
    <row r="1179">
      <c r="A1179" s="82">
        <f>IF(OR(助理班表!$A42="",30&gt;DAY(EOMONTH(DATE(設定!$C$2,設定!$D$2,1),0))),"",DATE(設定!$C$2,設定!$D$2,30))</f>
        <v/>
      </c>
      <c r="B1179" s="16">
        <f>IF($A1179="","",INDEX(設定!$O$6:$O$12,WEEKDAY($A1179,1)))</f>
        <v/>
      </c>
      <c r="C1179" s="16">
        <f>IF($A1179="","",助理班表!$A42)</f>
        <v/>
      </c>
      <c r="D1179" s="16">
        <f>IF($C1179="","",助理班表!$B42)</f>
        <v/>
      </c>
      <c r="E1179" s="16">
        <f>IF($C1179="","",助理班表!$D42)</f>
        <v/>
      </c>
      <c r="F1179" s="16">
        <f>IF($C1179="","",助理班表!$C42)</f>
        <v/>
      </c>
      <c r="G1179" s="16">
        <f>IF($C1179="","",助理班表!AH42)</f>
        <v/>
      </c>
      <c r="H1179" s="83">
        <f>IF($G1179="","",IFERROR(IF(INDEX(設定!$D$6:$D$21,MATCH($G1179,設定!$B$6:$B$21,0))=0,"",INDEX(設定!$D$6:$D$21,MATCH($G1179,設定!$B$6:$B$21,0))),""))</f>
        <v/>
      </c>
      <c r="I1179" s="83">
        <f>IF($G1179="","",IFERROR(IF(INDEX(設定!$E$6:$E$21,MATCH($G1179,設定!$B$6:$B$21,0))=0,"",INDEX(設定!$E$6:$E$21,MATCH($G1179,設定!$B$6:$B$21,0))),""))</f>
        <v/>
      </c>
      <c r="J1179" s="83">
        <f>IFERROR(INDEX(打卡匯入!$C$3:$C$2002,MATCH($C1179&amp;"|"&amp;DAY($A1179),打卡匯入!$E$3:$E$2002,0)),"")</f>
        <v/>
      </c>
      <c r="K1179" s="83">
        <f>IFERROR(INDEX(打卡匯入!$D$3:$D$2002,MATCH($C1179&amp;"|"&amp;DAY($A1179),打卡匯入!$E$3:$E$2002,0)),"")</f>
        <v/>
      </c>
      <c r="L1179" s="84">
        <f>IF(OR($J1179="",$K1179=""),"",IFERROR(INDEX(設定!$F$6:$F$21,MATCH($G1179,設定!$B$6:$B$21,0)),0))</f>
        <v/>
      </c>
      <c r="M1179" s="85">
        <f>IF(OR($J1179="",$K1179=""),"",ROUND(($K1179-$J1179)*24-$L1179/60,2))</f>
        <v/>
      </c>
      <c r="N1179" s="16">
        <f>IF($C1179="","",IF(AND(COUNTIF(設定!$B$15:$B$21,$G1179)&gt;0,$J1179&lt;&gt;""),"假日出勤",IF(AND(COUNTIF(設定!$B$6:$B$14,$G1179)&gt;0,$J1179=""),"未打卡",IF($J1179="","",IF($O1179&gt;0,"遲到",IF($P1179&gt;0,"早退","正常"))))))</f>
        <v/>
      </c>
      <c r="O1179" s="84">
        <f>IF(OR($C1179="",$H1179="",$J1179=""),0,IF(ROUND(($J1179-$H1179)*1440,0)&gt;設定!$C$46,ROUND(($J1179-$H1179)*1440,0),0))</f>
        <v/>
      </c>
      <c r="P1179" s="84">
        <f>IF(OR($C1179="",$I1179="",$K1179=""),0,IF(ROUND(($I1179-$K1179)*1440,0)&gt;設定!$C$46,ROUND(($I1179-$K1179)*1440,0),0))</f>
        <v/>
      </c>
      <c r="Q1179" s="85">
        <f>IF($M1179="",0,IF(($M1179-IFERROR(INDEX(設定!$G$6:$G$21,MATCH($G1179,設定!$B$6:$B$21,0)),0))*60&gt;=設定!$C$44,ROUND(FLOOR(($M1179-IFERROR(INDEX(設定!$G$6:$G$21,MATCH($G1179,設定!$B$6:$B$21,0)),0))*60,設定!$C$45)/60,2),0))</f>
        <v/>
      </c>
      <c r="R1179" s="16">
        <f>IF(OR($C1179="",$Q1179=0),"",IF($G1179="國","國定假日",IF($B1179="日","例假",IF($B1179="六","休息日","平日"))))</f>
        <v/>
      </c>
      <c r="S1179" s="19" t="n"/>
    </row>
    <row r="1180">
      <c r="A1180" s="82">
        <f>IF(OR(助理班表!$A42="",31&gt;DAY(EOMONTH(DATE(設定!$C$2,設定!$D$2,1),0))),"",DATE(設定!$C$2,設定!$D$2,31))</f>
        <v/>
      </c>
      <c r="B1180" s="16">
        <f>IF($A1180="","",INDEX(設定!$O$6:$O$12,WEEKDAY($A1180,1)))</f>
        <v/>
      </c>
      <c r="C1180" s="16">
        <f>IF($A1180="","",助理班表!$A42)</f>
        <v/>
      </c>
      <c r="D1180" s="16">
        <f>IF($C1180="","",助理班表!$B42)</f>
        <v/>
      </c>
      <c r="E1180" s="16">
        <f>IF($C1180="","",助理班表!$D42)</f>
        <v/>
      </c>
      <c r="F1180" s="16">
        <f>IF($C1180="","",助理班表!$C42)</f>
        <v/>
      </c>
      <c r="G1180" s="16">
        <f>IF($C1180="","",助理班表!AI42)</f>
        <v/>
      </c>
      <c r="H1180" s="83">
        <f>IF($G1180="","",IFERROR(IF(INDEX(設定!$D$6:$D$21,MATCH($G1180,設定!$B$6:$B$21,0))=0,"",INDEX(設定!$D$6:$D$21,MATCH($G1180,設定!$B$6:$B$21,0))),""))</f>
        <v/>
      </c>
      <c r="I1180" s="83">
        <f>IF($G1180="","",IFERROR(IF(INDEX(設定!$E$6:$E$21,MATCH($G1180,設定!$B$6:$B$21,0))=0,"",INDEX(設定!$E$6:$E$21,MATCH($G1180,設定!$B$6:$B$21,0))),""))</f>
        <v/>
      </c>
      <c r="J1180" s="83">
        <f>IFERROR(INDEX(打卡匯入!$C$3:$C$2002,MATCH($C1180&amp;"|"&amp;DAY($A1180),打卡匯入!$E$3:$E$2002,0)),"")</f>
        <v/>
      </c>
      <c r="K1180" s="83">
        <f>IFERROR(INDEX(打卡匯入!$D$3:$D$2002,MATCH($C1180&amp;"|"&amp;DAY($A1180),打卡匯入!$E$3:$E$2002,0)),"")</f>
        <v/>
      </c>
      <c r="L1180" s="84">
        <f>IF(OR($J1180="",$K1180=""),"",IFERROR(INDEX(設定!$F$6:$F$21,MATCH($G1180,設定!$B$6:$B$21,0)),0))</f>
        <v/>
      </c>
      <c r="M1180" s="85">
        <f>IF(OR($J1180="",$K1180=""),"",ROUND(($K1180-$J1180)*24-$L1180/60,2))</f>
        <v/>
      </c>
      <c r="N1180" s="16">
        <f>IF($C1180="","",IF(AND(COUNTIF(設定!$B$15:$B$21,$G1180)&gt;0,$J1180&lt;&gt;""),"假日出勤",IF(AND(COUNTIF(設定!$B$6:$B$14,$G1180)&gt;0,$J1180=""),"未打卡",IF($J1180="","",IF($O1180&gt;0,"遲到",IF($P1180&gt;0,"早退","正常"))))))</f>
        <v/>
      </c>
      <c r="O1180" s="84">
        <f>IF(OR($C1180="",$H1180="",$J1180=""),0,IF(ROUND(($J1180-$H1180)*1440,0)&gt;設定!$C$46,ROUND(($J1180-$H1180)*1440,0),0))</f>
        <v/>
      </c>
      <c r="P1180" s="84">
        <f>IF(OR($C1180="",$I1180="",$K1180=""),0,IF(ROUND(($I1180-$K1180)*1440,0)&gt;設定!$C$46,ROUND(($I1180-$K1180)*1440,0),0))</f>
        <v/>
      </c>
      <c r="Q1180" s="85">
        <f>IF($M1180="",0,IF(($M1180-IFERROR(INDEX(設定!$G$6:$G$21,MATCH($G1180,設定!$B$6:$B$21,0)),0))*60&gt;=設定!$C$44,ROUND(FLOOR(($M1180-IFERROR(INDEX(設定!$G$6:$G$21,MATCH($G1180,設定!$B$6:$B$21,0)),0))*60,設定!$C$45)/60,2),0))</f>
        <v/>
      </c>
      <c r="R1180" s="16">
        <f>IF(OR($C1180="",$Q1180=0),"",IF($G1180="國","國定假日",IF($B1180="日","例假",IF($B1180="六","休息日","平日"))))</f>
        <v/>
      </c>
      <c r="S1180" s="19" t="n"/>
    </row>
    <row r="1181">
      <c r="A1181" s="82">
        <f>IF(OR(助理班表!$A43="",1&gt;DAY(EOMONTH(DATE(設定!$C$2,設定!$D$2,1),0))),"",DATE(設定!$C$2,設定!$D$2,1))</f>
        <v/>
      </c>
      <c r="B1181" s="16">
        <f>IF($A1181="","",INDEX(設定!$O$6:$O$12,WEEKDAY($A1181,1)))</f>
        <v/>
      </c>
      <c r="C1181" s="16">
        <f>IF($A1181="","",助理班表!$A43)</f>
        <v/>
      </c>
      <c r="D1181" s="16">
        <f>IF($C1181="","",助理班表!$B43)</f>
        <v/>
      </c>
      <c r="E1181" s="16">
        <f>IF($C1181="","",助理班表!$D43)</f>
        <v/>
      </c>
      <c r="F1181" s="16">
        <f>IF($C1181="","",助理班表!$C43)</f>
        <v/>
      </c>
      <c r="G1181" s="16">
        <f>IF($C1181="","",助理班表!E43)</f>
        <v/>
      </c>
      <c r="H1181" s="83">
        <f>IF($G1181="","",IFERROR(IF(INDEX(設定!$D$6:$D$21,MATCH($G1181,設定!$B$6:$B$21,0))=0,"",INDEX(設定!$D$6:$D$21,MATCH($G1181,設定!$B$6:$B$21,0))),""))</f>
        <v/>
      </c>
      <c r="I1181" s="83">
        <f>IF($G1181="","",IFERROR(IF(INDEX(設定!$E$6:$E$21,MATCH($G1181,設定!$B$6:$B$21,0))=0,"",INDEX(設定!$E$6:$E$21,MATCH($G1181,設定!$B$6:$B$21,0))),""))</f>
        <v/>
      </c>
      <c r="J1181" s="83">
        <f>IFERROR(INDEX(打卡匯入!$C$3:$C$2002,MATCH($C1181&amp;"|"&amp;DAY($A1181),打卡匯入!$E$3:$E$2002,0)),"")</f>
        <v/>
      </c>
      <c r="K1181" s="83">
        <f>IFERROR(INDEX(打卡匯入!$D$3:$D$2002,MATCH($C1181&amp;"|"&amp;DAY($A1181),打卡匯入!$E$3:$E$2002,0)),"")</f>
        <v/>
      </c>
      <c r="L1181" s="84">
        <f>IF(OR($J1181="",$K1181=""),"",IFERROR(INDEX(設定!$F$6:$F$21,MATCH($G1181,設定!$B$6:$B$21,0)),0))</f>
        <v/>
      </c>
      <c r="M1181" s="85">
        <f>IF(OR($J1181="",$K1181=""),"",ROUND(($K1181-$J1181)*24-$L1181/60,2))</f>
        <v/>
      </c>
      <c r="N1181" s="16">
        <f>IF($C1181="","",IF(AND(COUNTIF(設定!$B$15:$B$21,$G1181)&gt;0,$J1181&lt;&gt;""),"假日出勤",IF(AND(COUNTIF(設定!$B$6:$B$14,$G1181)&gt;0,$J1181=""),"未打卡",IF($J1181="","",IF($O1181&gt;0,"遲到",IF($P1181&gt;0,"早退","正常"))))))</f>
        <v/>
      </c>
      <c r="O1181" s="84">
        <f>IF(OR($C1181="",$H1181="",$J1181=""),0,IF(ROUND(($J1181-$H1181)*1440,0)&gt;設定!$C$46,ROUND(($J1181-$H1181)*1440,0),0))</f>
        <v/>
      </c>
      <c r="P1181" s="84">
        <f>IF(OR($C1181="",$I1181="",$K1181=""),0,IF(ROUND(($I1181-$K1181)*1440,0)&gt;設定!$C$46,ROUND(($I1181-$K1181)*1440,0),0))</f>
        <v/>
      </c>
      <c r="Q1181" s="85">
        <f>IF($M1181="",0,IF(($M1181-IFERROR(INDEX(設定!$G$6:$G$21,MATCH($G1181,設定!$B$6:$B$21,0)),0))*60&gt;=設定!$C$44,ROUND(FLOOR(($M1181-IFERROR(INDEX(設定!$G$6:$G$21,MATCH($G1181,設定!$B$6:$B$21,0)),0))*60,設定!$C$45)/60,2),0))</f>
        <v/>
      </c>
      <c r="R1181" s="16">
        <f>IF(OR($C1181="",$Q1181=0),"",IF($G1181="國","國定假日",IF($B1181="日","例假",IF($B1181="六","休息日","平日"))))</f>
        <v/>
      </c>
      <c r="S1181" s="19" t="n"/>
    </row>
    <row r="1182">
      <c r="A1182" s="82">
        <f>IF(OR(助理班表!$A43="",2&gt;DAY(EOMONTH(DATE(設定!$C$2,設定!$D$2,1),0))),"",DATE(設定!$C$2,設定!$D$2,2))</f>
        <v/>
      </c>
      <c r="B1182" s="16">
        <f>IF($A1182="","",INDEX(設定!$O$6:$O$12,WEEKDAY($A1182,1)))</f>
        <v/>
      </c>
      <c r="C1182" s="16">
        <f>IF($A1182="","",助理班表!$A43)</f>
        <v/>
      </c>
      <c r="D1182" s="16">
        <f>IF($C1182="","",助理班表!$B43)</f>
        <v/>
      </c>
      <c r="E1182" s="16">
        <f>IF($C1182="","",助理班表!$D43)</f>
        <v/>
      </c>
      <c r="F1182" s="16">
        <f>IF($C1182="","",助理班表!$C43)</f>
        <v/>
      </c>
      <c r="G1182" s="16">
        <f>IF($C1182="","",助理班表!F43)</f>
        <v/>
      </c>
      <c r="H1182" s="83">
        <f>IF($G1182="","",IFERROR(IF(INDEX(設定!$D$6:$D$21,MATCH($G1182,設定!$B$6:$B$21,0))=0,"",INDEX(設定!$D$6:$D$21,MATCH($G1182,設定!$B$6:$B$21,0))),""))</f>
        <v/>
      </c>
      <c r="I1182" s="83">
        <f>IF($G1182="","",IFERROR(IF(INDEX(設定!$E$6:$E$21,MATCH($G1182,設定!$B$6:$B$21,0))=0,"",INDEX(設定!$E$6:$E$21,MATCH($G1182,設定!$B$6:$B$21,0))),""))</f>
        <v/>
      </c>
      <c r="J1182" s="83">
        <f>IFERROR(INDEX(打卡匯入!$C$3:$C$2002,MATCH($C1182&amp;"|"&amp;DAY($A1182),打卡匯入!$E$3:$E$2002,0)),"")</f>
        <v/>
      </c>
      <c r="K1182" s="83">
        <f>IFERROR(INDEX(打卡匯入!$D$3:$D$2002,MATCH($C1182&amp;"|"&amp;DAY($A1182),打卡匯入!$E$3:$E$2002,0)),"")</f>
        <v/>
      </c>
      <c r="L1182" s="84">
        <f>IF(OR($J1182="",$K1182=""),"",IFERROR(INDEX(設定!$F$6:$F$21,MATCH($G1182,設定!$B$6:$B$21,0)),0))</f>
        <v/>
      </c>
      <c r="M1182" s="85">
        <f>IF(OR($J1182="",$K1182=""),"",ROUND(($K1182-$J1182)*24-$L1182/60,2))</f>
        <v/>
      </c>
      <c r="N1182" s="16">
        <f>IF($C1182="","",IF(AND(COUNTIF(設定!$B$15:$B$21,$G1182)&gt;0,$J1182&lt;&gt;""),"假日出勤",IF(AND(COUNTIF(設定!$B$6:$B$14,$G1182)&gt;0,$J1182=""),"未打卡",IF($J1182="","",IF($O1182&gt;0,"遲到",IF($P1182&gt;0,"早退","正常"))))))</f>
        <v/>
      </c>
      <c r="O1182" s="84">
        <f>IF(OR($C1182="",$H1182="",$J1182=""),0,IF(ROUND(($J1182-$H1182)*1440,0)&gt;設定!$C$46,ROUND(($J1182-$H1182)*1440,0),0))</f>
        <v/>
      </c>
      <c r="P1182" s="84">
        <f>IF(OR($C1182="",$I1182="",$K1182=""),0,IF(ROUND(($I1182-$K1182)*1440,0)&gt;設定!$C$46,ROUND(($I1182-$K1182)*1440,0),0))</f>
        <v/>
      </c>
      <c r="Q1182" s="85">
        <f>IF($M1182="",0,IF(($M1182-IFERROR(INDEX(設定!$G$6:$G$21,MATCH($G1182,設定!$B$6:$B$21,0)),0))*60&gt;=設定!$C$44,ROUND(FLOOR(($M1182-IFERROR(INDEX(設定!$G$6:$G$21,MATCH($G1182,設定!$B$6:$B$21,0)),0))*60,設定!$C$45)/60,2),0))</f>
        <v/>
      </c>
      <c r="R1182" s="16">
        <f>IF(OR($C1182="",$Q1182=0),"",IF($G1182="國","國定假日",IF($B1182="日","例假",IF($B1182="六","休息日","平日"))))</f>
        <v/>
      </c>
      <c r="S1182" s="19" t="n"/>
    </row>
    <row r="1183">
      <c r="A1183" s="82">
        <f>IF(OR(助理班表!$A43="",3&gt;DAY(EOMONTH(DATE(設定!$C$2,設定!$D$2,1),0))),"",DATE(設定!$C$2,設定!$D$2,3))</f>
        <v/>
      </c>
      <c r="B1183" s="16">
        <f>IF($A1183="","",INDEX(設定!$O$6:$O$12,WEEKDAY($A1183,1)))</f>
        <v/>
      </c>
      <c r="C1183" s="16">
        <f>IF($A1183="","",助理班表!$A43)</f>
        <v/>
      </c>
      <c r="D1183" s="16">
        <f>IF($C1183="","",助理班表!$B43)</f>
        <v/>
      </c>
      <c r="E1183" s="16">
        <f>IF($C1183="","",助理班表!$D43)</f>
        <v/>
      </c>
      <c r="F1183" s="16">
        <f>IF($C1183="","",助理班表!$C43)</f>
        <v/>
      </c>
      <c r="G1183" s="16">
        <f>IF($C1183="","",助理班表!G43)</f>
        <v/>
      </c>
      <c r="H1183" s="83">
        <f>IF($G1183="","",IFERROR(IF(INDEX(設定!$D$6:$D$21,MATCH($G1183,設定!$B$6:$B$21,0))=0,"",INDEX(設定!$D$6:$D$21,MATCH($G1183,設定!$B$6:$B$21,0))),""))</f>
        <v/>
      </c>
      <c r="I1183" s="83">
        <f>IF($G1183="","",IFERROR(IF(INDEX(設定!$E$6:$E$21,MATCH($G1183,設定!$B$6:$B$21,0))=0,"",INDEX(設定!$E$6:$E$21,MATCH($G1183,設定!$B$6:$B$21,0))),""))</f>
        <v/>
      </c>
      <c r="J1183" s="83">
        <f>IFERROR(INDEX(打卡匯入!$C$3:$C$2002,MATCH($C1183&amp;"|"&amp;DAY($A1183),打卡匯入!$E$3:$E$2002,0)),"")</f>
        <v/>
      </c>
      <c r="K1183" s="83">
        <f>IFERROR(INDEX(打卡匯入!$D$3:$D$2002,MATCH($C1183&amp;"|"&amp;DAY($A1183),打卡匯入!$E$3:$E$2002,0)),"")</f>
        <v/>
      </c>
      <c r="L1183" s="84">
        <f>IF(OR($J1183="",$K1183=""),"",IFERROR(INDEX(設定!$F$6:$F$21,MATCH($G1183,設定!$B$6:$B$21,0)),0))</f>
        <v/>
      </c>
      <c r="M1183" s="85">
        <f>IF(OR($J1183="",$K1183=""),"",ROUND(($K1183-$J1183)*24-$L1183/60,2))</f>
        <v/>
      </c>
      <c r="N1183" s="16">
        <f>IF($C1183="","",IF(AND(COUNTIF(設定!$B$15:$B$21,$G1183)&gt;0,$J1183&lt;&gt;""),"假日出勤",IF(AND(COUNTIF(設定!$B$6:$B$14,$G1183)&gt;0,$J1183=""),"未打卡",IF($J1183="","",IF($O1183&gt;0,"遲到",IF($P1183&gt;0,"早退","正常"))))))</f>
        <v/>
      </c>
      <c r="O1183" s="84">
        <f>IF(OR($C1183="",$H1183="",$J1183=""),0,IF(ROUND(($J1183-$H1183)*1440,0)&gt;設定!$C$46,ROUND(($J1183-$H1183)*1440,0),0))</f>
        <v/>
      </c>
      <c r="P1183" s="84">
        <f>IF(OR($C1183="",$I1183="",$K1183=""),0,IF(ROUND(($I1183-$K1183)*1440,0)&gt;設定!$C$46,ROUND(($I1183-$K1183)*1440,0),0))</f>
        <v/>
      </c>
      <c r="Q1183" s="85">
        <f>IF($M1183="",0,IF(($M1183-IFERROR(INDEX(設定!$G$6:$G$21,MATCH($G1183,設定!$B$6:$B$21,0)),0))*60&gt;=設定!$C$44,ROUND(FLOOR(($M1183-IFERROR(INDEX(設定!$G$6:$G$21,MATCH($G1183,設定!$B$6:$B$21,0)),0))*60,設定!$C$45)/60,2),0))</f>
        <v/>
      </c>
      <c r="R1183" s="16">
        <f>IF(OR($C1183="",$Q1183=0),"",IF($G1183="國","國定假日",IF($B1183="日","例假",IF($B1183="六","休息日","平日"))))</f>
        <v/>
      </c>
      <c r="S1183" s="19" t="n"/>
    </row>
    <row r="1184">
      <c r="A1184" s="82">
        <f>IF(OR(助理班表!$A43="",4&gt;DAY(EOMONTH(DATE(設定!$C$2,設定!$D$2,1),0))),"",DATE(設定!$C$2,設定!$D$2,4))</f>
        <v/>
      </c>
      <c r="B1184" s="16">
        <f>IF($A1184="","",INDEX(設定!$O$6:$O$12,WEEKDAY($A1184,1)))</f>
        <v/>
      </c>
      <c r="C1184" s="16">
        <f>IF($A1184="","",助理班表!$A43)</f>
        <v/>
      </c>
      <c r="D1184" s="16">
        <f>IF($C1184="","",助理班表!$B43)</f>
        <v/>
      </c>
      <c r="E1184" s="16">
        <f>IF($C1184="","",助理班表!$D43)</f>
        <v/>
      </c>
      <c r="F1184" s="16">
        <f>IF($C1184="","",助理班表!$C43)</f>
        <v/>
      </c>
      <c r="G1184" s="16">
        <f>IF($C1184="","",助理班表!H43)</f>
        <v/>
      </c>
      <c r="H1184" s="83">
        <f>IF($G1184="","",IFERROR(IF(INDEX(設定!$D$6:$D$21,MATCH($G1184,設定!$B$6:$B$21,0))=0,"",INDEX(設定!$D$6:$D$21,MATCH($G1184,設定!$B$6:$B$21,0))),""))</f>
        <v/>
      </c>
      <c r="I1184" s="83">
        <f>IF($G1184="","",IFERROR(IF(INDEX(設定!$E$6:$E$21,MATCH($G1184,設定!$B$6:$B$21,0))=0,"",INDEX(設定!$E$6:$E$21,MATCH($G1184,設定!$B$6:$B$21,0))),""))</f>
        <v/>
      </c>
      <c r="J1184" s="83">
        <f>IFERROR(INDEX(打卡匯入!$C$3:$C$2002,MATCH($C1184&amp;"|"&amp;DAY($A1184),打卡匯入!$E$3:$E$2002,0)),"")</f>
        <v/>
      </c>
      <c r="K1184" s="83">
        <f>IFERROR(INDEX(打卡匯入!$D$3:$D$2002,MATCH($C1184&amp;"|"&amp;DAY($A1184),打卡匯入!$E$3:$E$2002,0)),"")</f>
        <v/>
      </c>
      <c r="L1184" s="84">
        <f>IF(OR($J1184="",$K1184=""),"",IFERROR(INDEX(設定!$F$6:$F$21,MATCH($G1184,設定!$B$6:$B$21,0)),0))</f>
        <v/>
      </c>
      <c r="M1184" s="85">
        <f>IF(OR($J1184="",$K1184=""),"",ROUND(($K1184-$J1184)*24-$L1184/60,2))</f>
        <v/>
      </c>
      <c r="N1184" s="16">
        <f>IF($C1184="","",IF(AND(COUNTIF(設定!$B$15:$B$21,$G1184)&gt;0,$J1184&lt;&gt;""),"假日出勤",IF(AND(COUNTIF(設定!$B$6:$B$14,$G1184)&gt;0,$J1184=""),"未打卡",IF($J1184="","",IF($O1184&gt;0,"遲到",IF($P1184&gt;0,"早退","正常"))))))</f>
        <v/>
      </c>
      <c r="O1184" s="84">
        <f>IF(OR($C1184="",$H1184="",$J1184=""),0,IF(ROUND(($J1184-$H1184)*1440,0)&gt;設定!$C$46,ROUND(($J1184-$H1184)*1440,0),0))</f>
        <v/>
      </c>
      <c r="P1184" s="84">
        <f>IF(OR($C1184="",$I1184="",$K1184=""),0,IF(ROUND(($I1184-$K1184)*1440,0)&gt;設定!$C$46,ROUND(($I1184-$K1184)*1440,0),0))</f>
        <v/>
      </c>
      <c r="Q1184" s="85">
        <f>IF($M1184="",0,IF(($M1184-IFERROR(INDEX(設定!$G$6:$G$21,MATCH($G1184,設定!$B$6:$B$21,0)),0))*60&gt;=設定!$C$44,ROUND(FLOOR(($M1184-IFERROR(INDEX(設定!$G$6:$G$21,MATCH($G1184,設定!$B$6:$B$21,0)),0))*60,設定!$C$45)/60,2),0))</f>
        <v/>
      </c>
      <c r="R1184" s="16">
        <f>IF(OR($C1184="",$Q1184=0),"",IF($G1184="國","國定假日",IF($B1184="日","例假",IF($B1184="六","休息日","平日"))))</f>
        <v/>
      </c>
      <c r="S1184" s="19" t="n"/>
    </row>
    <row r="1185">
      <c r="A1185" s="82">
        <f>IF(OR(助理班表!$A43="",5&gt;DAY(EOMONTH(DATE(設定!$C$2,設定!$D$2,1),0))),"",DATE(設定!$C$2,設定!$D$2,5))</f>
        <v/>
      </c>
      <c r="B1185" s="16">
        <f>IF($A1185="","",INDEX(設定!$O$6:$O$12,WEEKDAY($A1185,1)))</f>
        <v/>
      </c>
      <c r="C1185" s="16">
        <f>IF($A1185="","",助理班表!$A43)</f>
        <v/>
      </c>
      <c r="D1185" s="16">
        <f>IF($C1185="","",助理班表!$B43)</f>
        <v/>
      </c>
      <c r="E1185" s="16">
        <f>IF($C1185="","",助理班表!$D43)</f>
        <v/>
      </c>
      <c r="F1185" s="16">
        <f>IF($C1185="","",助理班表!$C43)</f>
        <v/>
      </c>
      <c r="G1185" s="16">
        <f>IF($C1185="","",助理班表!I43)</f>
        <v/>
      </c>
      <c r="H1185" s="83">
        <f>IF($G1185="","",IFERROR(IF(INDEX(設定!$D$6:$D$21,MATCH($G1185,設定!$B$6:$B$21,0))=0,"",INDEX(設定!$D$6:$D$21,MATCH($G1185,設定!$B$6:$B$21,0))),""))</f>
        <v/>
      </c>
      <c r="I1185" s="83">
        <f>IF($G1185="","",IFERROR(IF(INDEX(設定!$E$6:$E$21,MATCH($G1185,設定!$B$6:$B$21,0))=0,"",INDEX(設定!$E$6:$E$21,MATCH($G1185,設定!$B$6:$B$21,0))),""))</f>
        <v/>
      </c>
      <c r="J1185" s="83">
        <f>IFERROR(INDEX(打卡匯入!$C$3:$C$2002,MATCH($C1185&amp;"|"&amp;DAY($A1185),打卡匯入!$E$3:$E$2002,0)),"")</f>
        <v/>
      </c>
      <c r="K1185" s="83">
        <f>IFERROR(INDEX(打卡匯入!$D$3:$D$2002,MATCH($C1185&amp;"|"&amp;DAY($A1185),打卡匯入!$E$3:$E$2002,0)),"")</f>
        <v/>
      </c>
      <c r="L1185" s="84">
        <f>IF(OR($J1185="",$K1185=""),"",IFERROR(INDEX(設定!$F$6:$F$21,MATCH($G1185,設定!$B$6:$B$21,0)),0))</f>
        <v/>
      </c>
      <c r="M1185" s="85">
        <f>IF(OR($J1185="",$K1185=""),"",ROUND(($K1185-$J1185)*24-$L1185/60,2))</f>
        <v/>
      </c>
      <c r="N1185" s="16">
        <f>IF($C1185="","",IF(AND(COUNTIF(設定!$B$15:$B$21,$G1185)&gt;0,$J1185&lt;&gt;""),"假日出勤",IF(AND(COUNTIF(設定!$B$6:$B$14,$G1185)&gt;0,$J1185=""),"未打卡",IF($J1185="","",IF($O1185&gt;0,"遲到",IF($P1185&gt;0,"早退","正常"))))))</f>
        <v/>
      </c>
      <c r="O1185" s="84">
        <f>IF(OR($C1185="",$H1185="",$J1185=""),0,IF(ROUND(($J1185-$H1185)*1440,0)&gt;設定!$C$46,ROUND(($J1185-$H1185)*1440,0),0))</f>
        <v/>
      </c>
      <c r="P1185" s="84">
        <f>IF(OR($C1185="",$I1185="",$K1185=""),0,IF(ROUND(($I1185-$K1185)*1440,0)&gt;設定!$C$46,ROUND(($I1185-$K1185)*1440,0),0))</f>
        <v/>
      </c>
      <c r="Q1185" s="85">
        <f>IF($M1185="",0,IF(($M1185-IFERROR(INDEX(設定!$G$6:$G$21,MATCH($G1185,設定!$B$6:$B$21,0)),0))*60&gt;=設定!$C$44,ROUND(FLOOR(($M1185-IFERROR(INDEX(設定!$G$6:$G$21,MATCH($G1185,設定!$B$6:$B$21,0)),0))*60,設定!$C$45)/60,2),0))</f>
        <v/>
      </c>
      <c r="R1185" s="16">
        <f>IF(OR($C1185="",$Q1185=0),"",IF($G1185="國","國定假日",IF($B1185="日","例假",IF($B1185="六","休息日","平日"))))</f>
        <v/>
      </c>
      <c r="S1185" s="19" t="n"/>
    </row>
    <row r="1186">
      <c r="A1186" s="82">
        <f>IF(OR(助理班表!$A43="",6&gt;DAY(EOMONTH(DATE(設定!$C$2,設定!$D$2,1),0))),"",DATE(設定!$C$2,設定!$D$2,6))</f>
        <v/>
      </c>
      <c r="B1186" s="16">
        <f>IF($A1186="","",INDEX(設定!$O$6:$O$12,WEEKDAY($A1186,1)))</f>
        <v/>
      </c>
      <c r="C1186" s="16">
        <f>IF($A1186="","",助理班表!$A43)</f>
        <v/>
      </c>
      <c r="D1186" s="16">
        <f>IF($C1186="","",助理班表!$B43)</f>
        <v/>
      </c>
      <c r="E1186" s="16">
        <f>IF($C1186="","",助理班表!$D43)</f>
        <v/>
      </c>
      <c r="F1186" s="16">
        <f>IF($C1186="","",助理班表!$C43)</f>
        <v/>
      </c>
      <c r="G1186" s="16">
        <f>IF($C1186="","",助理班表!J43)</f>
        <v/>
      </c>
      <c r="H1186" s="83">
        <f>IF($G1186="","",IFERROR(IF(INDEX(設定!$D$6:$D$21,MATCH($G1186,設定!$B$6:$B$21,0))=0,"",INDEX(設定!$D$6:$D$21,MATCH($G1186,設定!$B$6:$B$21,0))),""))</f>
        <v/>
      </c>
      <c r="I1186" s="83">
        <f>IF($G1186="","",IFERROR(IF(INDEX(設定!$E$6:$E$21,MATCH($G1186,設定!$B$6:$B$21,0))=0,"",INDEX(設定!$E$6:$E$21,MATCH($G1186,設定!$B$6:$B$21,0))),""))</f>
        <v/>
      </c>
      <c r="J1186" s="83">
        <f>IFERROR(INDEX(打卡匯入!$C$3:$C$2002,MATCH($C1186&amp;"|"&amp;DAY($A1186),打卡匯入!$E$3:$E$2002,0)),"")</f>
        <v/>
      </c>
      <c r="K1186" s="83">
        <f>IFERROR(INDEX(打卡匯入!$D$3:$D$2002,MATCH($C1186&amp;"|"&amp;DAY($A1186),打卡匯入!$E$3:$E$2002,0)),"")</f>
        <v/>
      </c>
      <c r="L1186" s="84">
        <f>IF(OR($J1186="",$K1186=""),"",IFERROR(INDEX(設定!$F$6:$F$21,MATCH($G1186,設定!$B$6:$B$21,0)),0))</f>
        <v/>
      </c>
      <c r="M1186" s="85">
        <f>IF(OR($J1186="",$K1186=""),"",ROUND(($K1186-$J1186)*24-$L1186/60,2))</f>
        <v/>
      </c>
      <c r="N1186" s="16">
        <f>IF($C1186="","",IF(AND(COUNTIF(設定!$B$15:$B$21,$G1186)&gt;0,$J1186&lt;&gt;""),"假日出勤",IF(AND(COUNTIF(設定!$B$6:$B$14,$G1186)&gt;0,$J1186=""),"未打卡",IF($J1186="","",IF($O1186&gt;0,"遲到",IF($P1186&gt;0,"早退","正常"))))))</f>
        <v/>
      </c>
      <c r="O1186" s="84">
        <f>IF(OR($C1186="",$H1186="",$J1186=""),0,IF(ROUND(($J1186-$H1186)*1440,0)&gt;設定!$C$46,ROUND(($J1186-$H1186)*1440,0),0))</f>
        <v/>
      </c>
      <c r="P1186" s="84">
        <f>IF(OR($C1186="",$I1186="",$K1186=""),0,IF(ROUND(($I1186-$K1186)*1440,0)&gt;設定!$C$46,ROUND(($I1186-$K1186)*1440,0),0))</f>
        <v/>
      </c>
      <c r="Q1186" s="85">
        <f>IF($M1186="",0,IF(($M1186-IFERROR(INDEX(設定!$G$6:$G$21,MATCH($G1186,設定!$B$6:$B$21,0)),0))*60&gt;=設定!$C$44,ROUND(FLOOR(($M1186-IFERROR(INDEX(設定!$G$6:$G$21,MATCH($G1186,設定!$B$6:$B$21,0)),0))*60,設定!$C$45)/60,2),0))</f>
        <v/>
      </c>
      <c r="R1186" s="16">
        <f>IF(OR($C1186="",$Q1186=0),"",IF($G1186="國","國定假日",IF($B1186="日","例假",IF($B1186="六","休息日","平日"))))</f>
        <v/>
      </c>
      <c r="S1186" s="19" t="n"/>
    </row>
    <row r="1187">
      <c r="A1187" s="82">
        <f>IF(OR(助理班表!$A43="",7&gt;DAY(EOMONTH(DATE(設定!$C$2,設定!$D$2,1),0))),"",DATE(設定!$C$2,設定!$D$2,7))</f>
        <v/>
      </c>
      <c r="B1187" s="16">
        <f>IF($A1187="","",INDEX(設定!$O$6:$O$12,WEEKDAY($A1187,1)))</f>
        <v/>
      </c>
      <c r="C1187" s="16">
        <f>IF($A1187="","",助理班表!$A43)</f>
        <v/>
      </c>
      <c r="D1187" s="16">
        <f>IF($C1187="","",助理班表!$B43)</f>
        <v/>
      </c>
      <c r="E1187" s="16">
        <f>IF($C1187="","",助理班表!$D43)</f>
        <v/>
      </c>
      <c r="F1187" s="16">
        <f>IF($C1187="","",助理班表!$C43)</f>
        <v/>
      </c>
      <c r="G1187" s="16">
        <f>IF($C1187="","",助理班表!K43)</f>
        <v/>
      </c>
      <c r="H1187" s="83">
        <f>IF($G1187="","",IFERROR(IF(INDEX(設定!$D$6:$D$21,MATCH($G1187,設定!$B$6:$B$21,0))=0,"",INDEX(設定!$D$6:$D$21,MATCH($G1187,設定!$B$6:$B$21,0))),""))</f>
        <v/>
      </c>
      <c r="I1187" s="83">
        <f>IF($G1187="","",IFERROR(IF(INDEX(設定!$E$6:$E$21,MATCH($G1187,設定!$B$6:$B$21,0))=0,"",INDEX(設定!$E$6:$E$21,MATCH($G1187,設定!$B$6:$B$21,0))),""))</f>
        <v/>
      </c>
      <c r="J1187" s="83">
        <f>IFERROR(INDEX(打卡匯入!$C$3:$C$2002,MATCH($C1187&amp;"|"&amp;DAY($A1187),打卡匯入!$E$3:$E$2002,0)),"")</f>
        <v/>
      </c>
      <c r="K1187" s="83">
        <f>IFERROR(INDEX(打卡匯入!$D$3:$D$2002,MATCH($C1187&amp;"|"&amp;DAY($A1187),打卡匯入!$E$3:$E$2002,0)),"")</f>
        <v/>
      </c>
      <c r="L1187" s="84">
        <f>IF(OR($J1187="",$K1187=""),"",IFERROR(INDEX(設定!$F$6:$F$21,MATCH($G1187,設定!$B$6:$B$21,0)),0))</f>
        <v/>
      </c>
      <c r="M1187" s="85">
        <f>IF(OR($J1187="",$K1187=""),"",ROUND(($K1187-$J1187)*24-$L1187/60,2))</f>
        <v/>
      </c>
      <c r="N1187" s="16">
        <f>IF($C1187="","",IF(AND(COUNTIF(設定!$B$15:$B$21,$G1187)&gt;0,$J1187&lt;&gt;""),"假日出勤",IF(AND(COUNTIF(設定!$B$6:$B$14,$G1187)&gt;0,$J1187=""),"未打卡",IF($J1187="","",IF($O1187&gt;0,"遲到",IF($P1187&gt;0,"早退","正常"))))))</f>
        <v/>
      </c>
      <c r="O1187" s="84">
        <f>IF(OR($C1187="",$H1187="",$J1187=""),0,IF(ROUND(($J1187-$H1187)*1440,0)&gt;設定!$C$46,ROUND(($J1187-$H1187)*1440,0),0))</f>
        <v/>
      </c>
      <c r="P1187" s="84">
        <f>IF(OR($C1187="",$I1187="",$K1187=""),0,IF(ROUND(($I1187-$K1187)*1440,0)&gt;設定!$C$46,ROUND(($I1187-$K1187)*1440,0),0))</f>
        <v/>
      </c>
      <c r="Q1187" s="85">
        <f>IF($M1187="",0,IF(($M1187-IFERROR(INDEX(設定!$G$6:$G$21,MATCH($G1187,設定!$B$6:$B$21,0)),0))*60&gt;=設定!$C$44,ROUND(FLOOR(($M1187-IFERROR(INDEX(設定!$G$6:$G$21,MATCH($G1187,設定!$B$6:$B$21,0)),0))*60,設定!$C$45)/60,2),0))</f>
        <v/>
      </c>
      <c r="R1187" s="16">
        <f>IF(OR($C1187="",$Q1187=0),"",IF($G1187="國","國定假日",IF($B1187="日","例假",IF($B1187="六","休息日","平日"))))</f>
        <v/>
      </c>
      <c r="S1187" s="19" t="n"/>
    </row>
    <row r="1188">
      <c r="A1188" s="82">
        <f>IF(OR(助理班表!$A43="",8&gt;DAY(EOMONTH(DATE(設定!$C$2,設定!$D$2,1),0))),"",DATE(設定!$C$2,設定!$D$2,8))</f>
        <v/>
      </c>
      <c r="B1188" s="16">
        <f>IF($A1188="","",INDEX(設定!$O$6:$O$12,WEEKDAY($A1188,1)))</f>
        <v/>
      </c>
      <c r="C1188" s="16">
        <f>IF($A1188="","",助理班表!$A43)</f>
        <v/>
      </c>
      <c r="D1188" s="16">
        <f>IF($C1188="","",助理班表!$B43)</f>
        <v/>
      </c>
      <c r="E1188" s="16">
        <f>IF($C1188="","",助理班表!$D43)</f>
        <v/>
      </c>
      <c r="F1188" s="16">
        <f>IF($C1188="","",助理班表!$C43)</f>
        <v/>
      </c>
      <c r="G1188" s="16">
        <f>IF($C1188="","",助理班表!L43)</f>
        <v/>
      </c>
      <c r="H1188" s="83">
        <f>IF($G1188="","",IFERROR(IF(INDEX(設定!$D$6:$D$21,MATCH($G1188,設定!$B$6:$B$21,0))=0,"",INDEX(設定!$D$6:$D$21,MATCH($G1188,設定!$B$6:$B$21,0))),""))</f>
        <v/>
      </c>
      <c r="I1188" s="83">
        <f>IF($G1188="","",IFERROR(IF(INDEX(設定!$E$6:$E$21,MATCH($G1188,設定!$B$6:$B$21,0))=0,"",INDEX(設定!$E$6:$E$21,MATCH($G1188,設定!$B$6:$B$21,0))),""))</f>
        <v/>
      </c>
      <c r="J1188" s="83">
        <f>IFERROR(INDEX(打卡匯入!$C$3:$C$2002,MATCH($C1188&amp;"|"&amp;DAY($A1188),打卡匯入!$E$3:$E$2002,0)),"")</f>
        <v/>
      </c>
      <c r="K1188" s="83">
        <f>IFERROR(INDEX(打卡匯入!$D$3:$D$2002,MATCH($C1188&amp;"|"&amp;DAY($A1188),打卡匯入!$E$3:$E$2002,0)),"")</f>
        <v/>
      </c>
      <c r="L1188" s="84">
        <f>IF(OR($J1188="",$K1188=""),"",IFERROR(INDEX(設定!$F$6:$F$21,MATCH($G1188,設定!$B$6:$B$21,0)),0))</f>
        <v/>
      </c>
      <c r="M1188" s="85">
        <f>IF(OR($J1188="",$K1188=""),"",ROUND(($K1188-$J1188)*24-$L1188/60,2))</f>
        <v/>
      </c>
      <c r="N1188" s="16">
        <f>IF($C1188="","",IF(AND(COUNTIF(設定!$B$15:$B$21,$G1188)&gt;0,$J1188&lt;&gt;""),"假日出勤",IF(AND(COUNTIF(設定!$B$6:$B$14,$G1188)&gt;0,$J1188=""),"未打卡",IF($J1188="","",IF($O1188&gt;0,"遲到",IF($P1188&gt;0,"早退","正常"))))))</f>
        <v/>
      </c>
      <c r="O1188" s="84">
        <f>IF(OR($C1188="",$H1188="",$J1188=""),0,IF(ROUND(($J1188-$H1188)*1440,0)&gt;設定!$C$46,ROUND(($J1188-$H1188)*1440,0),0))</f>
        <v/>
      </c>
      <c r="P1188" s="84">
        <f>IF(OR($C1188="",$I1188="",$K1188=""),0,IF(ROUND(($I1188-$K1188)*1440,0)&gt;設定!$C$46,ROUND(($I1188-$K1188)*1440,0),0))</f>
        <v/>
      </c>
      <c r="Q1188" s="85">
        <f>IF($M1188="",0,IF(($M1188-IFERROR(INDEX(設定!$G$6:$G$21,MATCH($G1188,設定!$B$6:$B$21,0)),0))*60&gt;=設定!$C$44,ROUND(FLOOR(($M1188-IFERROR(INDEX(設定!$G$6:$G$21,MATCH($G1188,設定!$B$6:$B$21,0)),0))*60,設定!$C$45)/60,2),0))</f>
        <v/>
      </c>
      <c r="R1188" s="16">
        <f>IF(OR($C1188="",$Q1188=0),"",IF($G1188="國","國定假日",IF($B1188="日","例假",IF($B1188="六","休息日","平日"))))</f>
        <v/>
      </c>
      <c r="S1188" s="19" t="n"/>
    </row>
    <row r="1189">
      <c r="A1189" s="82">
        <f>IF(OR(助理班表!$A43="",9&gt;DAY(EOMONTH(DATE(設定!$C$2,設定!$D$2,1),0))),"",DATE(設定!$C$2,設定!$D$2,9))</f>
        <v/>
      </c>
      <c r="B1189" s="16">
        <f>IF($A1189="","",INDEX(設定!$O$6:$O$12,WEEKDAY($A1189,1)))</f>
        <v/>
      </c>
      <c r="C1189" s="16">
        <f>IF($A1189="","",助理班表!$A43)</f>
        <v/>
      </c>
      <c r="D1189" s="16">
        <f>IF($C1189="","",助理班表!$B43)</f>
        <v/>
      </c>
      <c r="E1189" s="16">
        <f>IF($C1189="","",助理班表!$D43)</f>
        <v/>
      </c>
      <c r="F1189" s="16">
        <f>IF($C1189="","",助理班表!$C43)</f>
        <v/>
      </c>
      <c r="G1189" s="16">
        <f>IF($C1189="","",助理班表!M43)</f>
        <v/>
      </c>
      <c r="H1189" s="83">
        <f>IF($G1189="","",IFERROR(IF(INDEX(設定!$D$6:$D$21,MATCH($G1189,設定!$B$6:$B$21,0))=0,"",INDEX(設定!$D$6:$D$21,MATCH($G1189,設定!$B$6:$B$21,0))),""))</f>
        <v/>
      </c>
      <c r="I1189" s="83">
        <f>IF($G1189="","",IFERROR(IF(INDEX(設定!$E$6:$E$21,MATCH($G1189,設定!$B$6:$B$21,0))=0,"",INDEX(設定!$E$6:$E$21,MATCH($G1189,設定!$B$6:$B$21,0))),""))</f>
        <v/>
      </c>
      <c r="J1189" s="83">
        <f>IFERROR(INDEX(打卡匯入!$C$3:$C$2002,MATCH($C1189&amp;"|"&amp;DAY($A1189),打卡匯入!$E$3:$E$2002,0)),"")</f>
        <v/>
      </c>
      <c r="K1189" s="83">
        <f>IFERROR(INDEX(打卡匯入!$D$3:$D$2002,MATCH($C1189&amp;"|"&amp;DAY($A1189),打卡匯入!$E$3:$E$2002,0)),"")</f>
        <v/>
      </c>
      <c r="L1189" s="84">
        <f>IF(OR($J1189="",$K1189=""),"",IFERROR(INDEX(設定!$F$6:$F$21,MATCH($G1189,設定!$B$6:$B$21,0)),0))</f>
        <v/>
      </c>
      <c r="M1189" s="85">
        <f>IF(OR($J1189="",$K1189=""),"",ROUND(($K1189-$J1189)*24-$L1189/60,2))</f>
        <v/>
      </c>
      <c r="N1189" s="16">
        <f>IF($C1189="","",IF(AND(COUNTIF(設定!$B$15:$B$21,$G1189)&gt;0,$J1189&lt;&gt;""),"假日出勤",IF(AND(COUNTIF(設定!$B$6:$B$14,$G1189)&gt;0,$J1189=""),"未打卡",IF($J1189="","",IF($O1189&gt;0,"遲到",IF($P1189&gt;0,"早退","正常"))))))</f>
        <v/>
      </c>
      <c r="O1189" s="84">
        <f>IF(OR($C1189="",$H1189="",$J1189=""),0,IF(ROUND(($J1189-$H1189)*1440,0)&gt;設定!$C$46,ROUND(($J1189-$H1189)*1440,0),0))</f>
        <v/>
      </c>
      <c r="P1189" s="84">
        <f>IF(OR($C1189="",$I1189="",$K1189=""),0,IF(ROUND(($I1189-$K1189)*1440,0)&gt;設定!$C$46,ROUND(($I1189-$K1189)*1440,0),0))</f>
        <v/>
      </c>
      <c r="Q1189" s="85">
        <f>IF($M1189="",0,IF(($M1189-IFERROR(INDEX(設定!$G$6:$G$21,MATCH($G1189,設定!$B$6:$B$21,0)),0))*60&gt;=設定!$C$44,ROUND(FLOOR(($M1189-IFERROR(INDEX(設定!$G$6:$G$21,MATCH($G1189,設定!$B$6:$B$21,0)),0))*60,設定!$C$45)/60,2),0))</f>
        <v/>
      </c>
      <c r="R1189" s="16">
        <f>IF(OR($C1189="",$Q1189=0),"",IF($G1189="國","國定假日",IF($B1189="日","例假",IF($B1189="六","休息日","平日"))))</f>
        <v/>
      </c>
      <c r="S1189" s="19" t="n"/>
    </row>
    <row r="1190">
      <c r="A1190" s="82">
        <f>IF(OR(助理班表!$A43="",10&gt;DAY(EOMONTH(DATE(設定!$C$2,設定!$D$2,1),0))),"",DATE(設定!$C$2,設定!$D$2,10))</f>
        <v/>
      </c>
      <c r="B1190" s="16">
        <f>IF($A1190="","",INDEX(設定!$O$6:$O$12,WEEKDAY($A1190,1)))</f>
        <v/>
      </c>
      <c r="C1190" s="16">
        <f>IF($A1190="","",助理班表!$A43)</f>
        <v/>
      </c>
      <c r="D1190" s="16">
        <f>IF($C1190="","",助理班表!$B43)</f>
        <v/>
      </c>
      <c r="E1190" s="16">
        <f>IF($C1190="","",助理班表!$D43)</f>
        <v/>
      </c>
      <c r="F1190" s="16">
        <f>IF($C1190="","",助理班表!$C43)</f>
        <v/>
      </c>
      <c r="G1190" s="16">
        <f>IF($C1190="","",助理班表!N43)</f>
        <v/>
      </c>
      <c r="H1190" s="83">
        <f>IF($G1190="","",IFERROR(IF(INDEX(設定!$D$6:$D$21,MATCH($G1190,設定!$B$6:$B$21,0))=0,"",INDEX(設定!$D$6:$D$21,MATCH($G1190,設定!$B$6:$B$21,0))),""))</f>
        <v/>
      </c>
      <c r="I1190" s="83">
        <f>IF($G1190="","",IFERROR(IF(INDEX(設定!$E$6:$E$21,MATCH($G1190,設定!$B$6:$B$21,0))=0,"",INDEX(設定!$E$6:$E$21,MATCH($G1190,設定!$B$6:$B$21,0))),""))</f>
        <v/>
      </c>
      <c r="J1190" s="83">
        <f>IFERROR(INDEX(打卡匯入!$C$3:$C$2002,MATCH($C1190&amp;"|"&amp;DAY($A1190),打卡匯入!$E$3:$E$2002,0)),"")</f>
        <v/>
      </c>
      <c r="K1190" s="83">
        <f>IFERROR(INDEX(打卡匯入!$D$3:$D$2002,MATCH($C1190&amp;"|"&amp;DAY($A1190),打卡匯入!$E$3:$E$2002,0)),"")</f>
        <v/>
      </c>
      <c r="L1190" s="84">
        <f>IF(OR($J1190="",$K1190=""),"",IFERROR(INDEX(設定!$F$6:$F$21,MATCH($G1190,設定!$B$6:$B$21,0)),0))</f>
        <v/>
      </c>
      <c r="M1190" s="85">
        <f>IF(OR($J1190="",$K1190=""),"",ROUND(($K1190-$J1190)*24-$L1190/60,2))</f>
        <v/>
      </c>
      <c r="N1190" s="16">
        <f>IF($C1190="","",IF(AND(COUNTIF(設定!$B$15:$B$21,$G1190)&gt;0,$J1190&lt;&gt;""),"假日出勤",IF(AND(COUNTIF(設定!$B$6:$B$14,$G1190)&gt;0,$J1190=""),"未打卡",IF($J1190="","",IF($O1190&gt;0,"遲到",IF($P1190&gt;0,"早退","正常"))))))</f>
        <v/>
      </c>
      <c r="O1190" s="84">
        <f>IF(OR($C1190="",$H1190="",$J1190=""),0,IF(ROUND(($J1190-$H1190)*1440,0)&gt;設定!$C$46,ROUND(($J1190-$H1190)*1440,0),0))</f>
        <v/>
      </c>
      <c r="P1190" s="84">
        <f>IF(OR($C1190="",$I1190="",$K1190=""),0,IF(ROUND(($I1190-$K1190)*1440,0)&gt;設定!$C$46,ROUND(($I1190-$K1190)*1440,0),0))</f>
        <v/>
      </c>
      <c r="Q1190" s="85">
        <f>IF($M1190="",0,IF(($M1190-IFERROR(INDEX(設定!$G$6:$G$21,MATCH($G1190,設定!$B$6:$B$21,0)),0))*60&gt;=設定!$C$44,ROUND(FLOOR(($M1190-IFERROR(INDEX(設定!$G$6:$G$21,MATCH($G1190,設定!$B$6:$B$21,0)),0))*60,設定!$C$45)/60,2),0))</f>
        <v/>
      </c>
      <c r="R1190" s="16">
        <f>IF(OR($C1190="",$Q1190=0),"",IF($G1190="國","國定假日",IF($B1190="日","例假",IF($B1190="六","休息日","平日"))))</f>
        <v/>
      </c>
      <c r="S1190" s="19" t="n"/>
    </row>
    <row r="1191">
      <c r="A1191" s="82">
        <f>IF(OR(助理班表!$A43="",11&gt;DAY(EOMONTH(DATE(設定!$C$2,設定!$D$2,1),0))),"",DATE(設定!$C$2,設定!$D$2,11))</f>
        <v/>
      </c>
      <c r="B1191" s="16">
        <f>IF($A1191="","",INDEX(設定!$O$6:$O$12,WEEKDAY($A1191,1)))</f>
        <v/>
      </c>
      <c r="C1191" s="16">
        <f>IF($A1191="","",助理班表!$A43)</f>
        <v/>
      </c>
      <c r="D1191" s="16">
        <f>IF($C1191="","",助理班表!$B43)</f>
        <v/>
      </c>
      <c r="E1191" s="16">
        <f>IF($C1191="","",助理班表!$D43)</f>
        <v/>
      </c>
      <c r="F1191" s="16">
        <f>IF($C1191="","",助理班表!$C43)</f>
        <v/>
      </c>
      <c r="G1191" s="16">
        <f>IF($C1191="","",助理班表!O43)</f>
        <v/>
      </c>
      <c r="H1191" s="83">
        <f>IF($G1191="","",IFERROR(IF(INDEX(設定!$D$6:$D$21,MATCH($G1191,設定!$B$6:$B$21,0))=0,"",INDEX(設定!$D$6:$D$21,MATCH($G1191,設定!$B$6:$B$21,0))),""))</f>
        <v/>
      </c>
      <c r="I1191" s="83">
        <f>IF($G1191="","",IFERROR(IF(INDEX(設定!$E$6:$E$21,MATCH($G1191,設定!$B$6:$B$21,0))=0,"",INDEX(設定!$E$6:$E$21,MATCH($G1191,設定!$B$6:$B$21,0))),""))</f>
        <v/>
      </c>
      <c r="J1191" s="83">
        <f>IFERROR(INDEX(打卡匯入!$C$3:$C$2002,MATCH($C1191&amp;"|"&amp;DAY($A1191),打卡匯入!$E$3:$E$2002,0)),"")</f>
        <v/>
      </c>
      <c r="K1191" s="83">
        <f>IFERROR(INDEX(打卡匯入!$D$3:$D$2002,MATCH($C1191&amp;"|"&amp;DAY($A1191),打卡匯入!$E$3:$E$2002,0)),"")</f>
        <v/>
      </c>
      <c r="L1191" s="84">
        <f>IF(OR($J1191="",$K1191=""),"",IFERROR(INDEX(設定!$F$6:$F$21,MATCH($G1191,設定!$B$6:$B$21,0)),0))</f>
        <v/>
      </c>
      <c r="M1191" s="85">
        <f>IF(OR($J1191="",$K1191=""),"",ROUND(($K1191-$J1191)*24-$L1191/60,2))</f>
        <v/>
      </c>
      <c r="N1191" s="16">
        <f>IF($C1191="","",IF(AND(COUNTIF(設定!$B$15:$B$21,$G1191)&gt;0,$J1191&lt;&gt;""),"假日出勤",IF(AND(COUNTIF(設定!$B$6:$B$14,$G1191)&gt;0,$J1191=""),"未打卡",IF($J1191="","",IF($O1191&gt;0,"遲到",IF($P1191&gt;0,"早退","正常"))))))</f>
        <v/>
      </c>
      <c r="O1191" s="84">
        <f>IF(OR($C1191="",$H1191="",$J1191=""),0,IF(ROUND(($J1191-$H1191)*1440,0)&gt;設定!$C$46,ROUND(($J1191-$H1191)*1440,0),0))</f>
        <v/>
      </c>
      <c r="P1191" s="84">
        <f>IF(OR($C1191="",$I1191="",$K1191=""),0,IF(ROUND(($I1191-$K1191)*1440,0)&gt;設定!$C$46,ROUND(($I1191-$K1191)*1440,0),0))</f>
        <v/>
      </c>
      <c r="Q1191" s="85">
        <f>IF($M1191="",0,IF(($M1191-IFERROR(INDEX(設定!$G$6:$G$21,MATCH($G1191,設定!$B$6:$B$21,0)),0))*60&gt;=設定!$C$44,ROUND(FLOOR(($M1191-IFERROR(INDEX(設定!$G$6:$G$21,MATCH($G1191,設定!$B$6:$B$21,0)),0))*60,設定!$C$45)/60,2),0))</f>
        <v/>
      </c>
      <c r="R1191" s="16">
        <f>IF(OR($C1191="",$Q1191=0),"",IF($G1191="國","國定假日",IF($B1191="日","例假",IF($B1191="六","休息日","平日"))))</f>
        <v/>
      </c>
      <c r="S1191" s="19" t="n"/>
    </row>
    <row r="1192">
      <c r="A1192" s="82">
        <f>IF(OR(助理班表!$A43="",12&gt;DAY(EOMONTH(DATE(設定!$C$2,設定!$D$2,1),0))),"",DATE(設定!$C$2,設定!$D$2,12))</f>
        <v/>
      </c>
      <c r="B1192" s="16">
        <f>IF($A1192="","",INDEX(設定!$O$6:$O$12,WEEKDAY($A1192,1)))</f>
        <v/>
      </c>
      <c r="C1192" s="16">
        <f>IF($A1192="","",助理班表!$A43)</f>
        <v/>
      </c>
      <c r="D1192" s="16">
        <f>IF($C1192="","",助理班表!$B43)</f>
        <v/>
      </c>
      <c r="E1192" s="16">
        <f>IF($C1192="","",助理班表!$D43)</f>
        <v/>
      </c>
      <c r="F1192" s="16">
        <f>IF($C1192="","",助理班表!$C43)</f>
        <v/>
      </c>
      <c r="G1192" s="16">
        <f>IF($C1192="","",助理班表!P43)</f>
        <v/>
      </c>
      <c r="H1192" s="83">
        <f>IF($G1192="","",IFERROR(IF(INDEX(設定!$D$6:$D$21,MATCH($G1192,設定!$B$6:$B$21,0))=0,"",INDEX(設定!$D$6:$D$21,MATCH($G1192,設定!$B$6:$B$21,0))),""))</f>
        <v/>
      </c>
      <c r="I1192" s="83">
        <f>IF($G1192="","",IFERROR(IF(INDEX(設定!$E$6:$E$21,MATCH($G1192,設定!$B$6:$B$21,0))=0,"",INDEX(設定!$E$6:$E$21,MATCH($G1192,設定!$B$6:$B$21,0))),""))</f>
        <v/>
      </c>
      <c r="J1192" s="83">
        <f>IFERROR(INDEX(打卡匯入!$C$3:$C$2002,MATCH($C1192&amp;"|"&amp;DAY($A1192),打卡匯入!$E$3:$E$2002,0)),"")</f>
        <v/>
      </c>
      <c r="K1192" s="83">
        <f>IFERROR(INDEX(打卡匯入!$D$3:$D$2002,MATCH($C1192&amp;"|"&amp;DAY($A1192),打卡匯入!$E$3:$E$2002,0)),"")</f>
        <v/>
      </c>
      <c r="L1192" s="84">
        <f>IF(OR($J1192="",$K1192=""),"",IFERROR(INDEX(設定!$F$6:$F$21,MATCH($G1192,設定!$B$6:$B$21,0)),0))</f>
        <v/>
      </c>
      <c r="M1192" s="85">
        <f>IF(OR($J1192="",$K1192=""),"",ROUND(($K1192-$J1192)*24-$L1192/60,2))</f>
        <v/>
      </c>
      <c r="N1192" s="16">
        <f>IF($C1192="","",IF(AND(COUNTIF(設定!$B$15:$B$21,$G1192)&gt;0,$J1192&lt;&gt;""),"假日出勤",IF(AND(COUNTIF(設定!$B$6:$B$14,$G1192)&gt;0,$J1192=""),"未打卡",IF($J1192="","",IF($O1192&gt;0,"遲到",IF($P1192&gt;0,"早退","正常"))))))</f>
        <v/>
      </c>
      <c r="O1192" s="84">
        <f>IF(OR($C1192="",$H1192="",$J1192=""),0,IF(ROUND(($J1192-$H1192)*1440,0)&gt;設定!$C$46,ROUND(($J1192-$H1192)*1440,0),0))</f>
        <v/>
      </c>
      <c r="P1192" s="84">
        <f>IF(OR($C1192="",$I1192="",$K1192=""),0,IF(ROUND(($I1192-$K1192)*1440,0)&gt;設定!$C$46,ROUND(($I1192-$K1192)*1440,0),0))</f>
        <v/>
      </c>
      <c r="Q1192" s="85">
        <f>IF($M1192="",0,IF(($M1192-IFERROR(INDEX(設定!$G$6:$G$21,MATCH($G1192,設定!$B$6:$B$21,0)),0))*60&gt;=設定!$C$44,ROUND(FLOOR(($M1192-IFERROR(INDEX(設定!$G$6:$G$21,MATCH($G1192,設定!$B$6:$B$21,0)),0))*60,設定!$C$45)/60,2),0))</f>
        <v/>
      </c>
      <c r="R1192" s="16">
        <f>IF(OR($C1192="",$Q1192=0),"",IF($G1192="國","國定假日",IF($B1192="日","例假",IF($B1192="六","休息日","平日"))))</f>
        <v/>
      </c>
      <c r="S1192" s="19" t="n"/>
    </row>
    <row r="1193">
      <c r="A1193" s="82">
        <f>IF(OR(助理班表!$A43="",13&gt;DAY(EOMONTH(DATE(設定!$C$2,設定!$D$2,1),0))),"",DATE(設定!$C$2,設定!$D$2,13))</f>
        <v/>
      </c>
      <c r="B1193" s="16">
        <f>IF($A1193="","",INDEX(設定!$O$6:$O$12,WEEKDAY($A1193,1)))</f>
        <v/>
      </c>
      <c r="C1193" s="16">
        <f>IF($A1193="","",助理班表!$A43)</f>
        <v/>
      </c>
      <c r="D1193" s="16">
        <f>IF($C1193="","",助理班表!$B43)</f>
        <v/>
      </c>
      <c r="E1193" s="16">
        <f>IF($C1193="","",助理班表!$D43)</f>
        <v/>
      </c>
      <c r="F1193" s="16">
        <f>IF($C1193="","",助理班表!$C43)</f>
        <v/>
      </c>
      <c r="G1193" s="16">
        <f>IF($C1193="","",助理班表!Q43)</f>
        <v/>
      </c>
      <c r="H1193" s="83">
        <f>IF($G1193="","",IFERROR(IF(INDEX(設定!$D$6:$D$21,MATCH($G1193,設定!$B$6:$B$21,0))=0,"",INDEX(設定!$D$6:$D$21,MATCH($G1193,設定!$B$6:$B$21,0))),""))</f>
        <v/>
      </c>
      <c r="I1193" s="83">
        <f>IF($G1193="","",IFERROR(IF(INDEX(設定!$E$6:$E$21,MATCH($G1193,設定!$B$6:$B$21,0))=0,"",INDEX(設定!$E$6:$E$21,MATCH($G1193,設定!$B$6:$B$21,0))),""))</f>
        <v/>
      </c>
      <c r="J1193" s="83">
        <f>IFERROR(INDEX(打卡匯入!$C$3:$C$2002,MATCH($C1193&amp;"|"&amp;DAY($A1193),打卡匯入!$E$3:$E$2002,0)),"")</f>
        <v/>
      </c>
      <c r="K1193" s="83">
        <f>IFERROR(INDEX(打卡匯入!$D$3:$D$2002,MATCH($C1193&amp;"|"&amp;DAY($A1193),打卡匯入!$E$3:$E$2002,0)),"")</f>
        <v/>
      </c>
      <c r="L1193" s="84">
        <f>IF(OR($J1193="",$K1193=""),"",IFERROR(INDEX(設定!$F$6:$F$21,MATCH($G1193,設定!$B$6:$B$21,0)),0))</f>
        <v/>
      </c>
      <c r="M1193" s="85">
        <f>IF(OR($J1193="",$K1193=""),"",ROUND(($K1193-$J1193)*24-$L1193/60,2))</f>
        <v/>
      </c>
      <c r="N1193" s="16">
        <f>IF($C1193="","",IF(AND(COUNTIF(設定!$B$15:$B$21,$G1193)&gt;0,$J1193&lt;&gt;""),"假日出勤",IF(AND(COUNTIF(設定!$B$6:$B$14,$G1193)&gt;0,$J1193=""),"未打卡",IF($J1193="","",IF($O1193&gt;0,"遲到",IF($P1193&gt;0,"早退","正常"))))))</f>
        <v/>
      </c>
      <c r="O1193" s="84">
        <f>IF(OR($C1193="",$H1193="",$J1193=""),0,IF(ROUND(($J1193-$H1193)*1440,0)&gt;設定!$C$46,ROUND(($J1193-$H1193)*1440,0),0))</f>
        <v/>
      </c>
      <c r="P1193" s="84">
        <f>IF(OR($C1193="",$I1193="",$K1193=""),0,IF(ROUND(($I1193-$K1193)*1440,0)&gt;設定!$C$46,ROUND(($I1193-$K1193)*1440,0),0))</f>
        <v/>
      </c>
      <c r="Q1193" s="85">
        <f>IF($M1193="",0,IF(($M1193-IFERROR(INDEX(設定!$G$6:$G$21,MATCH($G1193,設定!$B$6:$B$21,0)),0))*60&gt;=設定!$C$44,ROUND(FLOOR(($M1193-IFERROR(INDEX(設定!$G$6:$G$21,MATCH($G1193,設定!$B$6:$B$21,0)),0))*60,設定!$C$45)/60,2),0))</f>
        <v/>
      </c>
      <c r="R1193" s="16">
        <f>IF(OR($C1193="",$Q1193=0),"",IF($G1193="國","國定假日",IF($B1193="日","例假",IF($B1193="六","休息日","平日"))))</f>
        <v/>
      </c>
      <c r="S1193" s="19" t="n"/>
    </row>
    <row r="1194">
      <c r="A1194" s="82">
        <f>IF(OR(助理班表!$A43="",14&gt;DAY(EOMONTH(DATE(設定!$C$2,設定!$D$2,1),0))),"",DATE(設定!$C$2,設定!$D$2,14))</f>
        <v/>
      </c>
      <c r="B1194" s="16">
        <f>IF($A1194="","",INDEX(設定!$O$6:$O$12,WEEKDAY($A1194,1)))</f>
        <v/>
      </c>
      <c r="C1194" s="16">
        <f>IF($A1194="","",助理班表!$A43)</f>
        <v/>
      </c>
      <c r="D1194" s="16">
        <f>IF($C1194="","",助理班表!$B43)</f>
        <v/>
      </c>
      <c r="E1194" s="16">
        <f>IF($C1194="","",助理班表!$D43)</f>
        <v/>
      </c>
      <c r="F1194" s="16">
        <f>IF($C1194="","",助理班表!$C43)</f>
        <v/>
      </c>
      <c r="G1194" s="16">
        <f>IF($C1194="","",助理班表!R43)</f>
        <v/>
      </c>
      <c r="H1194" s="83">
        <f>IF($G1194="","",IFERROR(IF(INDEX(設定!$D$6:$D$21,MATCH($G1194,設定!$B$6:$B$21,0))=0,"",INDEX(設定!$D$6:$D$21,MATCH($G1194,設定!$B$6:$B$21,0))),""))</f>
        <v/>
      </c>
      <c r="I1194" s="83">
        <f>IF($G1194="","",IFERROR(IF(INDEX(設定!$E$6:$E$21,MATCH($G1194,設定!$B$6:$B$21,0))=0,"",INDEX(設定!$E$6:$E$21,MATCH($G1194,設定!$B$6:$B$21,0))),""))</f>
        <v/>
      </c>
      <c r="J1194" s="83">
        <f>IFERROR(INDEX(打卡匯入!$C$3:$C$2002,MATCH($C1194&amp;"|"&amp;DAY($A1194),打卡匯入!$E$3:$E$2002,0)),"")</f>
        <v/>
      </c>
      <c r="K1194" s="83">
        <f>IFERROR(INDEX(打卡匯入!$D$3:$D$2002,MATCH($C1194&amp;"|"&amp;DAY($A1194),打卡匯入!$E$3:$E$2002,0)),"")</f>
        <v/>
      </c>
      <c r="L1194" s="84">
        <f>IF(OR($J1194="",$K1194=""),"",IFERROR(INDEX(設定!$F$6:$F$21,MATCH($G1194,設定!$B$6:$B$21,0)),0))</f>
        <v/>
      </c>
      <c r="M1194" s="85">
        <f>IF(OR($J1194="",$K1194=""),"",ROUND(($K1194-$J1194)*24-$L1194/60,2))</f>
        <v/>
      </c>
      <c r="N1194" s="16">
        <f>IF($C1194="","",IF(AND(COUNTIF(設定!$B$15:$B$21,$G1194)&gt;0,$J1194&lt;&gt;""),"假日出勤",IF(AND(COUNTIF(設定!$B$6:$B$14,$G1194)&gt;0,$J1194=""),"未打卡",IF($J1194="","",IF($O1194&gt;0,"遲到",IF($P1194&gt;0,"早退","正常"))))))</f>
        <v/>
      </c>
      <c r="O1194" s="84">
        <f>IF(OR($C1194="",$H1194="",$J1194=""),0,IF(ROUND(($J1194-$H1194)*1440,0)&gt;設定!$C$46,ROUND(($J1194-$H1194)*1440,0),0))</f>
        <v/>
      </c>
      <c r="P1194" s="84">
        <f>IF(OR($C1194="",$I1194="",$K1194=""),0,IF(ROUND(($I1194-$K1194)*1440,0)&gt;設定!$C$46,ROUND(($I1194-$K1194)*1440,0),0))</f>
        <v/>
      </c>
      <c r="Q1194" s="85">
        <f>IF($M1194="",0,IF(($M1194-IFERROR(INDEX(設定!$G$6:$G$21,MATCH($G1194,設定!$B$6:$B$21,0)),0))*60&gt;=設定!$C$44,ROUND(FLOOR(($M1194-IFERROR(INDEX(設定!$G$6:$G$21,MATCH($G1194,設定!$B$6:$B$21,0)),0))*60,設定!$C$45)/60,2),0))</f>
        <v/>
      </c>
      <c r="R1194" s="16">
        <f>IF(OR($C1194="",$Q1194=0),"",IF($G1194="國","國定假日",IF($B1194="日","例假",IF($B1194="六","休息日","平日"))))</f>
        <v/>
      </c>
      <c r="S1194" s="19" t="n"/>
    </row>
    <row r="1195">
      <c r="A1195" s="82">
        <f>IF(OR(助理班表!$A43="",15&gt;DAY(EOMONTH(DATE(設定!$C$2,設定!$D$2,1),0))),"",DATE(設定!$C$2,設定!$D$2,15))</f>
        <v/>
      </c>
      <c r="B1195" s="16">
        <f>IF($A1195="","",INDEX(設定!$O$6:$O$12,WEEKDAY($A1195,1)))</f>
        <v/>
      </c>
      <c r="C1195" s="16">
        <f>IF($A1195="","",助理班表!$A43)</f>
        <v/>
      </c>
      <c r="D1195" s="16">
        <f>IF($C1195="","",助理班表!$B43)</f>
        <v/>
      </c>
      <c r="E1195" s="16">
        <f>IF($C1195="","",助理班表!$D43)</f>
        <v/>
      </c>
      <c r="F1195" s="16">
        <f>IF($C1195="","",助理班表!$C43)</f>
        <v/>
      </c>
      <c r="G1195" s="16">
        <f>IF($C1195="","",助理班表!S43)</f>
        <v/>
      </c>
      <c r="H1195" s="83">
        <f>IF($G1195="","",IFERROR(IF(INDEX(設定!$D$6:$D$21,MATCH($G1195,設定!$B$6:$B$21,0))=0,"",INDEX(設定!$D$6:$D$21,MATCH($G1195,設定!$B$6:$B$21,0))),""))</f>
        <v/>
      </c>
      <c r="I1195" s="83">
        <f>IF($G1195="","",IFERROR(IF(INDEX(設定!$E$6:$E$21,MATCH($G1195,設定!$B$6:$B$21,0))=0,"",INDEX(設定!$E$6:$E$21,MATCH($G1195,設定!$B$6:$B$21,0))),""))</f>
        <v/>
      </c>
      <c r="J1195" s="83">
        <f>IFERROR(INDEX(打卡匯入!$C$3:$C$2002,MATCH($C1195&amp;"|"&amp;DAY($A1195),打卡匯入!$E$3:$E$2002,0)),"")</f>
        <v/>
      </c>
      <c r="K1195" s="83">
        <f>IFERROR(INDEX(打卡匯入!$D$3:$D$2002,MATCH($C1195&amp;"|"&amp;DAY($A1195),打卡匯入!$E$3:$E$2002,0)),"")</f>
        <v/>
      </c>
      <c r="L1195" s="84">
        <f>IF(OR($J1195="",$K1195=""),"",IFERROR(INDEX(設定!$F$6:$F$21,MATCH($G1195,設定!$B$6:$B$21,0)),0))</f>
        <v/>
      </c>
      <c r="M1195" s="85">
        <f>IF(OR($J1195="",$K1195=""),"",ROUND(($K1195-$J1195)*24-$L1195/60,2))</f>
        <v/>
      </c>
      <c r="N1195" s="16">
        <f>IF($C1195="","",IF(AND(COUNTIF(設定!$B$15:$B$21,$G1195)&gt;0,$J1195&lt;&gt;""),"假日出勤",IF(AND(COUNTIF(設定!$B$6:$B$14,$G1195)&gt;0,$J1195=""),"未打卡",IF($J1195="","",IF($O1195&gt;0,"遲到",IF($P1195&gt;0,"早退","正常"))))))</f>
        <v/>
      </c>
      <c r="O1195" s="84">
        <f>IF(OR($C1195="",$H1195="",$J1195=""),0,IF(ROUND(($J1195-$H1195)*1440,0)&gt;設定!$C$46,ROUND(($J1195-$H1195)*1440,0),0))</f>
        <v/>
      </c>
      <c r="P1195" s="84">
        <f>IF(OR($C1195="",$I1195="",$K1195=""),0,IF(ROUND(($I1195-$K1195)*1440,0)&gt;設定!$C$46,ROUND(($I1195-$K1195)*1440,0),0))</f>
        <v/>
      </c>
      <c r="Q1195" s="85">
        <f>IF($M1195="",0,IF(($M1195-IFERROR(INDEX(設定!$G$6:$G$21,MATCH($G1195,設定!$B$6:$B$21,0)),0))*60&gt;=設定!$C$44,ROUND(FLOOR(($M1195-IFERROR(INDEX(設定!$G$6:$G$21,MATCH($G1195,設定!$B$6:$B$21,0)),0))*60,設定!$C$45)/60,2),0))</f>
        <v/>
      </c>
      <c r="R1195" s="16">
        <f>IF(OR($C1195="",$Q1195=0),"",IF($G1195="國","國定假日",IF($B1195="日","例假",IF($B1195="六","休息日","平日"))))</f>
        <v/>
      </c>
      <c r="S1195" s="19" t="n"/>
    </row>
    <row r="1196">
      <c r="A1196" s="82">
        <f>IF(OR(助理班表!$A43="",16&gt;DAY(EOMONTH(DATE(設定!$C$2,設定!$D$2,1),0))),"",DATE(設定!$C$2,設定!$D$2,16))</f>
        <v/>
      </c>
      <c r="B1196" s="16">
        <f>IF($A1196="","",INDEX(設定!$O$6:$O$12,WEEKDAY($A1196,1)))</f>
        <v/>
      </c>
      <c r="C1196" s="16">
        <f>IF($A1196="","",助理班表!$A43)</f>
        <v/>
      </c>
      <c r="D1196" s="16">
        <f>IF($C1196="","",助理班表!$B43)</f>
        <v/>
      </c>
      <c r="E1196" s="16">
        <f>IF($C1196="","",助理班表!$D43)</f>
        <v/>
      </c>
      <c r="F1196" s="16">
        <f>IF($C1196="","",助理班表!$C43)</f>
        <v/>
      </c>
      <c r="G1196" s="16">
        <f>IF($C1196="","",助理班表!T43)</f>
        <v/>
      </c>
      <c r="H1196" s="83">
        <f>IF($G1196="","",IFERROR(IF(INDEX(設定!$D$6:$D$21,MATCH($G1196,設定!$B$6:$B$21,0))=0,"",INDEX(設定!$D$6:$D$21,MATCH($G1196,設定!$B$6:$B$21,0))),""))</f>
        <v/>
      </c>
      <c r="I1196" s="83">
        <f>IF($G1196="","",IFERROR(IF(INDEX(設定!$E$6:$E$21,MATCH($G1196,設定!$B$6:$B$21,0))=0,"",INDEX(設定!$E$6:$E$21,MATCH($G1196,設定!$B$6:$B$21,0))),""))</f>
        <v/>
      </c>
      <c r="J1196" s="83">
        <f>IFERROR(INDEX(打卡匯入!$C$3:$C$2002,MATCH($C1196&amp;"|"&amp;DAY($A1196),打卡匯入!$E$3:$E$2002,0)),"")</f>
        <v/>
      </c>
      <c r="K1196" s="83">
        <f>IFERROR(INDEX(打卡匯入!$D$3:$D$2002,MATCH($C1196&amp;"|"&amp;DAY($A1196),打卡匯入!$E$3:$E$2002,0)),"")</f>
        <v/>
      </c>
      <c r="L1196" s="84">
        <f>IF(OR($J1196="",$K1196=""),"",IFERROR(INDEX(設定!$F$6:$F$21,MATCH($G1196,設定!$B$6:$B$21,0)),0))</f>
        <v/>
      </c>
      <c r="M1196" s="85">
        <f>IF(OR($J1196="",$K1196=""),"",ROUND(($K1196-$J1196)*24-$L1196/60,2))</f>
        <v/>
      </c>
      <c r="N1196" s="16">
        <f>IF($C1196="","",IF(AND(COUNTIF(設定!$B$15:$B$21,$G1196)&gt;0,$J1196&lt;&gt;""),"假日出勤",IF(AND(COUNTIF(設定!$B$6:$B$14,$G1196)&gt;0,$J1196=""),"未打卡",IF($J1196="","",IF($O1196&gt;0,"遲到",IF($P1196&gt;0,"早退","正常"))))))</f>
        <v/>
      </c>
      <c r="O1196" s="84">
        <f>IF(OR($C1196="",$H1196="",$J1196=""),0,IF(ROUND(($J1196-$H1196)*1440,0)&gt;設定!$C$46,ROUND(($J1196-$H1196)*1440,0),0))</f>
        <v/>
      </c>
      <c r="P1196" s="84">
        <f>IF(OR($C1196="",$I1196="",$K1196=""),0,IF(ROUND(($I1196-$K1196)*1440,0)&gt;設定!$C$46,ROUND(($I1196-$K1196)*1440,0),0))</f>
        <v/>
      </c>
      <c r="Q1196" s="85">
        <f>IF($M1196="",0,IF(($M1196-IFERROR(INDEX(設定!$G$6:$G$21,MATCH($G1196,設定!$B$6:$B$21,0)),0))*60&gt;=設定!$C$44,ROUND(FLOOR(($M1196-IFERROR(INDEX(設定!$G$6:$G$21,MATCH($G1196,設定!$B$6:$B$21,0)),0))*60,設定!$C$45)/60,2),0))</f>
        <v/>
      </c>
      <c r="R1196" s="16">
        <f>IF(OR($C1196="",$Q1196=0),"",IF($G1196="國","國定假日",IF($B1196="日","例假",IF($B1196="六","休息日","平日"))))</f>
        <v/>
      </c>
      <c r="S1196" s="19" t="n"/>
    </row>
    <row r="1197">
      <c r="A1197" s="82">
        <f>IF(OR(助理班表!$A43="",17&gt;DAY(EOMONTH(DATE(設定!$C$2,設定!$D$2,1),0))),"",DATE(設定!$C$2,設定!$D$2,17))</f>
        <v/>
      </c>
      <c r="B1197" s="16">
        <f>IF($A1197="","",INDEX(設定!$O$6:$O$12,WEEKDAY($A1197,1)))</f>
        <v/>
      </c>
      <c r="C1197" s="16">
        <f>IF($A1197="","",助理班表!$A43)</f>
        <v/>
      </c>
      <c r="D1197" s="16">
        <f>IF($C1197="","",助理班表!$B43)</f>
        <v/>
      </c>
      <c r="E1197" s="16">
        <f>IF($C1197="","",助理班表!$D43)</f>
        <v/>
      </c>
      <c r="F1197" s="16">
        <f>IF($C1197="","",助理班表!$C43)</f>
        <v/>
      </c>
      <c r="G1197" s="16">
        <f>IF($C1197="","",助理班表!U43)</f>
        <v/>
      </c>
      <c r="H1197" s="83">
        <f>IF($G1197="","",IFERROR(IF(INDEX(設定!$D$6:$D$21,MATCH($G1197,設定!$B$6:$B$21,0))=0,"",INDEX(設定!$D$6:$D$21,MATCH($G1197,設定!$B$6:$B$21,0))),""))</f>
        <v/>
      </c>
      <c r="I1197" s="83">
        <f>IF($G1197="","",IFERROR(IF(INDEX(設定!$E$6:$E$21,MATCH($G1197,設定!$B$6:$B$21,0))=0,"",INDEX(設定!$E$6:$E$21,MATCH($G1197,設定!$B$6:$B$21,0))),""))</f>
        <v/>
      </c>
      <c r="J1197" s="83">
        <f>IFERROR(INDEX(打卡匯入!$C$3:$C$2002,MATCH($C1197&amp;"|"&amp;DAY($A1197),打卡匯入!$E$3:$E$2002,0)),"")</f>
        <v/>
      </c>
      <c r="K1197" s="83">
        <f>IFERROR(INDEX(打卡匯入!$D$3:$D$2002,MATCH($C1197&amp;"|"&amp;DAY($A1197),打卡匯入!$E$3:$E$2002,0)),"")</f>
        <v/>
      </c>
      <c r="L1197" s="84">
        <f>IF(OR($J1197="",$K1197=""),"",IFERROR(INDEX(設定!$F$6:$F$21,MATCH($G1197,設定!$B$6:$B$21,0)),0))</f>
        <v/>
      </c>
      <c r="M1197" s="85">
        <f>IF(OR($J1197="",$K1197=""),"",ROUND(($K1197-$J1197)*24-$L1197/60,2))</f>
        <v/>
      </c>
      <c r="N1197" s="16">
        <f>IF($C1197="","",IF(AND(COUNTIF(設定!$B$15:$B$21,$G1197)&gt;0,$J1197&lt;&gt;""),"假日出勤",IF(AND(COUNTIF(設定!$B$6:$B$14,$G1197)&gt;0,$J1197=""),"未打卡",IF($J1197="","",IF($O1197&gt;0,"遲到",IF($P1197&gt;0,"早退","正常"))))))</f>
        <v/>
      </c>
      <c r="O1197" s="84">
        <f>IF(OR($C1197="",$H1197="",$J1197=""),0,IF(ROUND(($J1197-$H1197)*1440,0)&gt;設定!$C$46,ROUND(($J1197-$H1197)*1440,0),0))</f>
        <v/>
      </c>
      <c r="P1197" s="84">
        <f>IF(OR($C1197="",$I1197="",$K1197=""),0,IF(ROUND(($I1197-$K1197)*1440,0)&gt;設定!$C$46,ROUND(($I1197-$K1197)*1440,0),0))</f>
        <v/>
      </c>
      <c r="Q1197" s="85">
        <f>IF($M1197="",0,IF(($M1197-IFERROR(INDEX(設定!$G$6:$G$21,MATCH($G1197,設定!$B$6:$B$21,0)),0))*60&gt;=設定!$C$44,ROUND(FLOOR(($M1197-IFERROR(INDEX(設定!$G$6:$G$21,MATCH($G1197,設定!$B$6:$B$21,0)),0))*60,設定!$C$45)/60,2),0))</f>
        <v/>
      </c>
      <c r="R1197" s="16">
        <f>IF(OR($C1197="",$Q1197=0),"",IF($G1197="國","國定假日",IF($B1197="日","例假",IF($B1197="六","休息日","平日"))))</f>
        <v/>
      </c>
      <c r="S1197" s="19" t="n"/>
    </row>
    <row r="1198">
      <c r="A1198" s="82">
        <f>IF(OR(助理班表!$A43="",18&gt;DAY(EOMONTH(DATE(設定!$C$2,設定!$D$2,1),0))),"",DATE(設定!$C$2,設定!$D$2,18))</f>
        <v/>
      </c>
      <c r="B1198" s="16">
        <f>IF($A1198="","",INDEX(設定!$O$6:$O$12,WEEKDAY($A1198,1)))</f>
        <v/>
      </c>
      <c r="C1198" s="16">
        <f>IF($A1198="","",助理班表!$A43)</f>
        <v/>
      </c>
      <c r="D1198" s="16">
        <f>IF($C1198="","",助理班表!$B43)</f>
        <v/>
      </c>
      <c r="E1198" s="16">
        <f>IF($C1198="","",助理班表!$D43)</f>
        <v/>
      </c>
      <c r="F1198" s="16">
        <f>IF($C1198="","",助理班表!$C43)</f>
        <v/>
      </c>
      <c r="G1198" s="16">
        <f>IF($C1198="","",助理班表!V43)</f>
        <v/>
      </c>
      <c r="H1198" s="83">
        <f>IF($G1198="","",IFERROR(IF(INDEX(設定!$D$6:$D$21,MATCH($G1198,設定!$B$6:$B$21,0))=0,"",INDEX(設定!$D$6:$D$21,MATCH($G1198,設定!$B$6:$B$21,0))),""))</f>
        <v/>
      </c>
      <c r="I1198" s="83">
        <f>IF($G1198="","",IFERROR(IF(INDEX(設定!$E$6:$E$21,MATCH($G1198,設定!$B$6:$B$21,0))=0,"",INDEX(設定!$E$6:$E$21,MATCH($G1198,設定!$B$6:$B$21,0))),""))</f>
        <v/>
      </c>
      <c r="J1198" s="83">
        <f>IFERROR(INDEX(打卡匯入!$C$3:$C$2002,MATCH($C1198&amp;"|"&amp;DAY($A1198),打卡匯入!$E$3:$E$2002,0)),"")</f>
        <v/>
      </c>
      <c r="K1198" s="83">
        <f>IFERROR(INDEX(打卡匯入!$D$3:$D$2002,MATCH($C1198&amp;"|"&amp;DAY($A1198),打卡匯入!$E$3:$E$2002,0)),"")</f>
        <v/>
      </c>
      <c r="L1198" s="84">
        <f>IF(OR($J1198="",$K1198=""),"",IFERROR(INDEX(設定!$F$6:$F$21,MATCH($G1198,設定!$B$6:$B$21,0)),0))</f>
        <v/>
      </c>
      <c r="M1198" s="85">
        <f>IF(OR($J1198="",$K1198=""),"",ROUND(($K1198-$J1198)*24-$L1198/60,2))</f>
        <v/>
      </c>
      <c r="N1198" s="16">
        <f>IF($C1198="","",IF(AND(COUNTIF(設定!$B$15:$B$21,$G1198)&gt;0,$J1198&lt;&gt;""),"假日出勤",IF(AND(COUNTIF(設定!$B$6:$B$14,$G1198)&gt;0,$J1198=""),"未打卡",IF($J1198="","",IF($O1198&gt;0,"遲到",IF($P1198&gt;0,"早退","正常"))))))</f>
        <v/>
      </c>
      <c r="O1198" s="84">
        <f>IF(OR($C1198="",$H1198="",$J1198=""),0,IF(ROUND(($J1198-$H1198)*1440,0)&gt;設定!$C$46,ROUND(($J1198-$H1198)*1440,0),0))</f>
        <v/>
      </c>
      <c r="P1198" s="84">
        <f>IF(OR($C1198="",$I1198="",$K1198=""),0,IF(ROUND(($I1198-$K1198)*1440,0)&gt;設定!$C$46,ROUND(($I1198-$K1198)*1440,0),0))</f>
        <v/>
      </c>
      <c r="Q1198" s="85">
        <f>IF($M1198="",0,IF(($M1198-IFERROR(INDEX(設定!$G$6:$G$21,MATCH($G1198,設定!$B$6:$B$21,0)),0))*60&gt;=設定!$C$44,ROUND(FLOOR(($M1198-IFERROR(INDEX(設定!$G$6:$G$21,MATCH($G1198,設定!$B$6:$B$21,0)),0))*60,設定!$C$45)/60,2),0))</f>
        <v/>
      </c>
      <c r="R1198" s="16">
        <f>IF(OR($C1198="",$Q1198=0),"",IF($G1198="國","國定假日",IF($B1198="日","例假",IF($B1198="六","休息日","平日"))))</f>
        <v/>
      </c>
      <c r="S1198" s="19" t="n"/>
    </row>
    <row r="1199">
      <c r="A1199" s="82">
        <f>IF(OR(助理班表!$A43="",19&gt;DAY(EOMONTH(DATE(設定!$C$2,設定!$D$2,1),0))),"",DATE(設定!$C$2,設定!$D$2,19))</f>
        <v/>
      </c>
      <c r="B1199" s="16">
        <f>IF($A1199="","",INDEX(設定!$O$6:$O$12,WEEKDAY($A1199,1)))</f>
        <v/>
      </c>
      <c r="C1199" s="16">
        <f>IF($A1199="","",助理班表!$A43)</f>
        <v/>
      </c>
      <c r="D1199" s="16">
        <f>IF($C1199="","",助理班表!$B43)</f>
        <v/>
      </c>
      <c r="E1199" s="16">
        <f>IF($C1199="","",助理班表!$D43)</f>
        <v/>
      </c>
      <c r="F1199" s="16">
        <f>IF($C1199="","",助理班表!$C43)</f>
        <v/>
      </c>
      <c r="G1199" s="16">
        <f>IF($C1199="","",助理班表!W43)</f>
        <v/>
      </c>
      <c r="H1199" s="83">
        <f>IF($G1199="","",IFERROR(IF(INDEX(設定!$D$6:$D$21,MATCH($G1199,設定!$B$6:$B$21,0))=0,"",INDEX(設定!$D$6:$D$21,MATCH($G1199,設定!$B$6:$B$21,0))),""))</f>
        <v/>
      </c>
      <c r="I1199" s="83">
        <f>IF($G1199="","",IFERROR(IF(INDEX(設定!$E$6:$E$21,MATCH($G1199,設定!$B$6:$B$21,0))=0,"",INDEX(設定!$E$6:$E$21,MATCH($G1199,設定!$B$6:$B$21,0))),""))</f>
        <v/>
      </c>
      <c r="J1199" s="83">
        <f>IFERROR(INDEX(打卡匯入!$C$3:$C$2002,MATCH($C1199&amp;"|"&amp;DAY($A1199),打卡匯入!$E$3:$E$2002,0)),"")</f>
        <v/>
      </c>
      <c r="K1199" s="83">
        <f>IFERROR(INDEX(打卡匯入!$D$3:$D$2002,MATCH($C1199&amp;"|"&amp;DAY($A1199),打卡匯入!$E$3:$E$2002,0)),"")</f>
        <v/>
      </c>
      <c r="L1199" s="84">
        <f>IF(OR($J1199="",$K1199=""),"",IFERROR(INDEX(設定!$F$6:$F$21,MATCH($G1199,設定!$B$6:$B$21,0)),0))</f>
        <v/>
      </c>
      <c r="M1199" s="85">
        <f>IF(OR($J1199="",$K1199=""),"",ROUND(($K1199-$J1199)*24-$L1199/60,2))</f>
        <v/>
      </c>
      <c r="N1199" s="16">
        <f>IF($C1199="","",IF(AND(COUNTIF(設定!$B$15:$B$21,$G1199)&gt;0,$J1199&lt;&gt;""),"假日出勤",IF(AND(COUNTIF(設定!$B$6:$B$14,$G1199)&gt;0,$J1199=""),"未打卡",IF($J1199="","",IF($O1199&gt;0,"遲到",IF($P1199&gt;0,"早退","正常"))))))</f>
        <v/>
      </c>
      <c r="O1199" s="84">
        <f>IF(OR($C1199="",$H1199="",$J1199=""),0,IF(ROUND(($J1199-$H1199)*1440,0)&gt;設定!$C$46,ROUND(($J1199-$H1199)*1440,0),0))</f>
        <v/>
      </c>
      <c r="P1199" s="84">
        <f>IF(OR($C1199="",$I1199="",$K1199=""),0,IF(ROUND(($I1199-$K1199)*1440,0)&gt;設定!$C$46,ROUND(($I1199-$K1199)*1440,0),0))</f>
        <v/>
      </c>
      <c r="Q1199" s="85">
        <f>IF($M1199="",0,IF(($M1199-IFERROR(INDEX(設定!$G$6:$G$21,MATCH($G1199,設定!$B$6:$B$21,0)),0))*60&gt;=設定!$C$44,ROUND(FLOOR(($M1199-IFERROR(INDEX(設定!$G$6:$G$21,MATCH($G1199,設定!$B$6:$B$21,0)),0))*60,設定!$C$45)/60,2),0))</f>
        <v/>
      </c>
      <c r="R1199" s="16">
        <f>IF(OR($C1199="",$Q1199=0),"",IF($G1199="國","國定假日",IF($B1199="日","例假",IF($B1199="六","休息日","平日"))))</f>
        <v/>
      </c>
      <c r="S1199" s="19" t="n"/>
    </row>
    <row r="1200">
      <c r="A1200" s="82">
        <f>IF(OR(助理班表!$A43="",20&gt;DAY(EOMONTH(DATE(設定!$C$2,設定!$D$2,1),0))),"",DATE(設定!$C$2,設定!$D$2,20))</f>
        <v/>
      </c>
      <c r="B1200" s="16">
        <f>IF($A1200="","",INDEX(設定!$O$6:$O$12,WEEKDAY($A1200,1)))</f>
        <v/>
      </c>
      <c r="C1200" s="16">
        <f>IF($A1200="","",助理班表!$A43)</f>
        <v/>
      </c>
      <c r="D1200" s="16">
        <f>IF($C1200="","",助理班表!$B43)</f>
        <v/>
      </c>
      <c r="E1200" s="16">
        <f>IF($C1200="","",助理班表!$D43)</f>
        <v/>
      </c>
      <c r="F1200" s="16">
        <f>IF($C1200="","",助理班表!$C43)</f>
        <v/>
      </c>
      <c r="G1200" s="16">
        <f>IF($C1200="","",助理班表!X43)</f>
        <v/>
      </c>
      <c r="H1200" s="83">
        <f>IF($G1200="","",IFERROR(IF(INDEX(設定!$D$6:$D$21,MATCH($G1200,設定!$B$6:$B$21,0))=0,"",INDEX(設定!$D$6:$D$21,MATCH($G1200,設定!$B$6:$B$21,0))),""))</f>
        <v/>
      </c>
      <c r="I1200" s="83">
        <f>IF($G1200="","",IFERROR(IF(INDEX(設定!$E$6:$E$21,MATCH($G1200,設定!$B$6:$B$21,0))=0,"",INDEX(設定!$E$6:$E$21,MATCH($G1200,設定!$B$6:$B$21,0))),""))</f>
        <v/>
      </c>
      <c r="J1200" s="83">
        <f>IFERROR(INDEX(打卡匯入!$C$3:$C$2002,MATCH($C1200&amp;"|"&amp;DAY($A1200),打卡匯入!$E$3:$E$2002,0)),"")</f>
        <v/>
      </c>
      <c r="K1200" s="83">
        <f>IFERROR(INDEX(打卡匯入!$D$3:$D$2002,MATCH($C1200&amp;"|"&amp;DAY($A1200),打卡匯入!$E$3:$E$2002,0)),"")</f>
        <v/>
      </c>
      <c r="L1200" s="84">
        <f>IF(OR($J1200="",$K1200=""),"",IFERROR(INDEX(設定!$F$6:$F$21,MATCH($G1200,設定!$B$6:$B$21,0)),0))</f>
        <v/>
      </c>
      <c r="M1200" s="85">
        <f>IF(OR($J1200="",$K1200=""),"",ROUND(($K1200-$J1200)*24-$L1200/60,2))</f>
        <v/>
      </c>
      <c r="N1200" s="16">
        <f>IF($C1200="","",IF(AND(COUNTIF(設定!$B$15:$B$21,$G1200)&gt;0,$J1200&lt;&gt;""),"假日出勤",IF(AND(COUNTIF(設定!$B$6:$B$14,$G1200)&gt;0,$J1200=""),"未打卡",IF($J1200="","",IF($O1200&gt;0,"遲到",IF($P1200&gt;0,"早退","正常"))))))</f>
        <v/>
      </c>
      <c r="O1200" s="84">
        <f>IF(OR($C1200="",$H1200="",$J1200=""),0,IF(ROUND(($J1200-$H1200)*1440,0)&gt;設定!$C$46,ROUND(($J1200-$H1200)*1440,0),0))</f>
        <v/>
      </c>
      <c r="P1200" s="84">
        <f>IF(OR($C1200="",$I1200="",$K1200=""),0,IF(ROUND(($I1200-$K1200)*1440,0)&gt;設定!$C$46,ROUND(($I1200-$K1200)*1440,0),0))</f>
        <v/>
      </c>
      <c r="Q1200" s="85">
        <f>IF($M1200="",0,IF(($M1200-IFERROR(INDEX(設定!$G$6:$G$21,MATCH($G1200,設定!$B$6:$B$21,0)),0))*60&gt;=設定!$C$44,ROUND(FLOOR(($M1200-IFERROR(INDEX(設定!$G$6:$G$21,MATCH($G1200,設定!$B$6:$B$21,0)),0))*60,設定!$C$45)/60,2),0))</f>
        <v/>
      </c>
      <c r="R1200" s="16">
        <f>IF(OR($C1200="",$Q1200=0),"",IF($G1200="國","國定假日",IF($B1200="日","例假",IF($B1200="六","休息日","平日"))))</f>
        <v/>
      </c>
      <c r="S1200" s="19" t="n"/>
    </row>
    <row r="1201">
      <c r="A1201" s="82">
        <f>IF(OR(助理班表!$A43="",21&gt;DAY(EOMONTH(DATE(設定!$C$2,設定!$D$2,1),0))),"",DATE(設定!$C$2,設定!$D$2,21))</f>
        <v/>
      </c>
      <c r="B1201" s="16">
        <f>IF($A1201="","",INDEX(設定!$O$6:$O$12,WEEKDAY($A1201,1)))</f>
        <v/>
      </c>
      <c r="C1201" s="16">
        <f>IF($A1201="","",助理班表!$A43)</f>
        <v/>
      </c>
      <c r="D1201" s="16">
        <f>IF($C1201="","",助理班表!$B43)</f>
        <v/>
      </c>
      <c r="E1201" s="16">
        <f>IF($C1201="","",助理班表!$D43)</f>
        <v/>
      </c>
      <c r="F1201" s="16">
        <f>IF($C1201="","",助理班表!$C43)</f>
        <v/>
      </c>
      <c r="G1201" s="16">
        <f>IF($C1201="","",助理班表!Y43)</f>
        <v/>
      </c>
      <c r="H1201" s="83">
        <f>IF($G1201="","",IFERROR(IF(INDEX(設定!$D$6:$D$21,MATCH($G1201,設定!$B$6:$B$21,0))=0,"",INDEX(設定!$D$6:$D$21,MATCH($G1201,設定!$B$6:$B$21,0))),""))</f>
        <v/>
      </c>
      <c r="I1201" s="83">
        <f>IF($G1201="","",IFERROR(IF(INDEX(設定!$E$6:$E$21,MATCH($G1201,設定!$B$6:$B$21,0))=0,"",INDEX(設定!$E$6:$E$21,MATCH($G1201,設定!$B$6:$B$21,0))),""))</f>
        <v/>
      </c>
      <c r="J1201" s="83">
        <f>IFERROR(INDEX(打卡匯入!$C$3:$C$2002,MATCH($C1201&amp;"|"&amp;DAY($A1201),打卡匯入!$E$3:$E$2002,0)),"")</f>
        <v/>
      </c>
      <c r="K1201" s="83">
        <f>IFERROR(INDEX(打卡匯入!$D$3:$D$2002,MATCH($C1201&amp;"|"&amp;DAY($A1201),打卡匯入!$E$3:$E$2002,0)),"")</f>
        <v/>
      </c>
      <c r="L1201" s="84">
        <f>IF(OR($J1201="",$K1201=""),"",IFERROR(INDEX(設定!$F$6:$F$21,MATCH($G1201,設定!$B$6:$B$21,0)),0))</f>
        <v/>
      </c>
      <c r="M1201" s="85">
        <f>IF(OR($J1201="",$K1201=""),"",ROUND(($K1201-$J1201)*24-$L1201/60,2))</f>
        <v/>
      </c>
      <c r="N1201" s="16">
        <f>IF($C1201="","",IF(AND(COUNTIF(設定!$B$15:$B$21,$G1201)&gt;0,$J1201&lt;&gt;""),"假日出勤",IF(AND(COUNTIF(設定!$B$6:$B$14,$G1201)&gt;0,$J1201=""),"未打卡",IF($J1201="","",IF($O1201&gt;0,"遲到",IF($P1201&gt;0,"早退","正常"))))))</f>
        <v/>
      </c>
      <c r="O1201" s="84">
        <f>IF(OR($C1201="",$H1201="",$J1201=""),0,IF(ROUND(($J1201-$H1201)*1440,0)&gt;設定!$C$46,ROUND(($J1201-$H1201)*1440,0),0))</f>
        <v/>
      </c>
      <c r="P1201" s="84">
        <f>IF(OR($C1201="",$I1201="",$K1201=""),0,IF(ROUND(($I1201-$K1201)*1440,0)&gt;設定!$C$46,ROUND(($I1201-$K1201)*1440,0),0))</f>
        <v/>
      </c>
      <c r="Q1201" s="85">
        <f>IF($M1201="",0,IF(($M1201-IFERROR(INDEX(設定!$G$6:$G$21,MATCH($G1201,設定!$B$6:$B$21,0)),0))*60&gt;=設定!$C$44,ROUND(FLOOR(($M1201-IFERROR(INDEX(設定!$G$6:$G$21,MATCH($G1201,設定!$B$6:$B$21,0)),0))*60,設定!$C$45)/60,2),0))</f>
        <v/>
      </c>
      <c r="R1201" s="16">
        <f>IF(OR($C1201="",$Q1201=0),"",IF($G1201="國","國定假日",IF($B1201="日","例假",IF($B1201="六","休息日","平日"))))</f>
        <v/>
      </c>
      <c r="S1201" s="19" t="n"/>
    </row>
    <row r="1202">
      <c r="A1202" s="82">
        <f>IF(OR(助理班表!$A43="",22&gt;DAY(EOMONTH(DATE(設定!$C$2,設定!$D$2,1),0))),"",DATE(設定!$C$2,設定!$D$2,22))</f>
        <v/>
      </c>
      <c r="B1202" s="16">
        <f>IF($A1202="","",INDEX(設定!$O$6:$O$12,WEEKDAY($A1202,1)))</f>
        <v/>
      </c>
      <c r="C1202" s="16">
        <f>IF($A1202="","",助理班表!$A43)</f>
        <v/>
      </c>
      <c r="D1202" s="16">
        <f>IF($C1202="","",助理班表!$B43)</f>
        <v/>
      </c>
      <c r="E1202" s="16">
        <f>IF($C1202="","",助理班表!$D43)</f>
        <v/>
      </c>
      <c r="F1202" s="16">
        <f>IF($C1202="","",助理班表!$C43)</f>
        <v/>
      </c>
      <c r="G1202" s="16">
        <f>IF($C1202="","",助理班表!Z43)</f>
        <v/>
      </c>
      <c r="H1202" s="83">
        <f>IF($G1202="","",IFERROR(IF(INDEX(設定!$D$6:$D$21,MATCH($G1202,設定!$B$6:$B$21,0))=0,"",INDEX(設定!$D$6:$D$21,MATCH($G1202,設定!$B$6:$B$21,0))),""))</f>
        <v/>
      </c>
      <c r="I1202" s="83">
        <f>IF($G1202="","",IFERROR(IF(INDEX(設定!$E$6:$E$21,MATCH($G1202,設定!$B$6:$B$21,0))=0,"",INDEX(設定!$E$6:$E$21,MATCH($G1202,設定!$B$6:$B$21,0))),""))</f>
        <v/>
      </c>
      <c r="J1202" s="83">
        <f>IFERROR(INDEX(打卡匯入!$C$3:$C$2002,MATCH($C1202&amp;"|"&amp;DAY($A1202),打卡匯入!$E$3:$E$2002,0)),"")</f>
        <v/>
      </c>
      <c r="K1202" s="83">
        <f>IFERROR(INDEX(打卡匯入!$D$3:$D$2002,MATCH($C1202&amp;"|"&amp;DAY($A1202),打卡匯入!$E$3:$E$2002,0)),"")</f>
        <v/>
      </c>
      <c r="L1202" s="84">
        <f>IF(OR($J1202="",$K1202=""),"",IFERROR(INDEX(設定!$F$6:$F$21,MATCH($G1202,設定!$B$6:$B$21,0)),0))</f>
        <v/>
      </c>
      <c r="M1202" s="85">
        <f>IF(OR($J1202="",$K1202=""),"",ROUND(($K1202-$J1202)*24-$L1202/60,2))</f>
        <v/>
      </c>
      <c r="N1202" s="16">
        <f>IF($C1202="","",IF(AND(COUNTIF(設定!$B$15:$B$21,$G1202)&gt;0,$J1202&lt;&gt;""),"假日出勤",IF(AND(COUNTIF(設定!$B$6:$B$14,$G1202)&gt;0,$J1202=""),"未打卡",IF($J1202="","",IF($O1202&gt;0,"遲到",IF($P1202&gt;0,"早退","正常"))))))</f>
        <v/>
      </c>
      <c r="O1202" s="84">
        <f>IF(OR($C1202="",$H1202="",$J1202=""),0,IF(ROUND(($J1202-$H1202)*1440,0)&gt;設定!$C$46,ROUND(($J1202-$H1202)*1440,0),0))</f>
        <v/>
      </c>
      <c r="P1202" s="84">
        <f>IF(OR($C1202="",$I1202="",$K1202=""),0,IF(ROUND(($I1202-$K1202)*1440,0)&gt;設定!$C$46,ROUND(($I1202-$K1202)*1440,0),0))</f>
        <v/>
      </c>
      <c r="Q1202" s="85">
        <f>IF($M1202="",0,IF(($M1202-IFERROR(INDEX(設定!$G$6:$G$21,MATCH($G1202,設定!$B$6:$B$21,0)),0))*60&gt;=設定!$C$44,ROUND(FLOOR(($M1202-IFERROR(INDEX(設定!$G$6:$G$21,MATCH($G1202,設定!$B$6:$B$21,0)),0))*60,設定!$C$45)/60,2),0))</f>
        <v/>
      </c>
      <c r="R1202" s="16">
        <f>IF(OR($C1202="",$Q1202=0),"",IF($G1202="國","國定假日",IF($B1202="日","例假",IF($B1202="六","休息日","平日"))))</f>
        <v/>
      </c>
      <c r="S1202" s="19" t="n"/>
    </row>
    <row r="1203">
      <c r="A1203" s="82">
        <f>IF(OR(助理班表!$A43="",23&gt;DAY(EOMONTH(DATE(設定!$C$2,設定!$D$2,1),0))),"",DATE(設定!$C$2,設定!$D$2,23))</f>
        <v/>
      </c>
      <c r="B1203" s="16">
        <f>IF($A1203="","",INDEX(設定!$O$6:$O$12,WEEKDAY($A1203,1)))</f>
        <v/>
      </c>
      <c r="C1203" s="16">
        <f>IF($A1203="","",助理班表!$A43)</f>
        <v/>
      </c>
      <c r="D1203" s="16">
        <f>IF($C1203="","",助理班表!$B43)</f>
        <v/>
      </c>
      <c r="E1203" s="16">
        <f>IF($C1203="","",助理班表!$D43)</f>
        <v/>
      </c>
      <c r="F1203" s="16">
        <f>IF($C1203="","",助理班表!$C43)</f>
        <v/>
      </c>
      <c r="G1203" s="16">
        <f>IF($C1203="","",助理班表!AA43)</f>
        <v/>
      </c>
      <c r="H1203" s="83">
        <f>IF($G1203="","",IFERROR(IF(INDEX(設定!$D$6:$D$21,MATCH($G1203,設定!$B$6:$B$21,0))=0,"",INDEX(設定!$D$6:$D$21,MATCH($G1203,設定!$B$6:$B$21,0))),""))</f>
        <v/>
      </c>
      <c r="I1203" s="83">
        <f>IF($G1203="","",IFERROR(IF(INDEX(設定!$E$6:$E$21,MATCH($G1203,設定!$B$6:$B$21,0))=0,"",INDEX(設定!$E$6:$E$21,MATCH($G1203,設定!$B$6:$B$21,0))),""))</f>
        <v/>
      </c>
      <c r="J1203" s="83">
        <f>IFERROR(INDEX(打卡匯入!$C$3:$C$2002,MATCH($C1203&amp;"|"&amp;DAY($A1203),打卡匯入!$E$3:$E$2002,0)),"")</f>
        <v/>
      </c>
      <c r="K1203" s="83">
        <f>IFERROR(INDEX(打卡匯入!$D$3:$D$2002,MATCH($C1203&amp;"|"&amp;DAY($A1203),打卡匯入!$E$3:$E$2002,0)),"")</f>
        <v/>
      </c>
      <c r="L1203" s="84">
        <f>IF(OR($J1203="",$K1203=""),"",IFERROR(INDEX(設定!$F$6:$F$21,MATCH($G1203,設定!$B$6:$B$21,0)),0))</f>
        <v/>
      </c>
      <c r="M1203" s="85">
        <f>IF(OR($J1203="",$K1203=""),"",ROUND(($K1203-$J1203)*24-$L1203/60,2))</f>
        <v/>
      </c>
      <c r="N1203" s="16">
        <f>IF($C1203="","",IF(AND(COUNTIF(設定!$B$15:$B$21,$G1203)&gt;0,$J1203&lt;&gt;""),"假日出勤",IF(AND(COUNTIF(設定!$B$6:$B$14,$G1203)&gt;0,$J1203=""),"未打卡",IF($J1203="","",IF($O1203&gt;0,"遲到",IF($P1203&gt;0,"早退","正常"))))))</f>
        <v/>
      </c>
      <c r="O1203" s="84">
        <f>IF(OR($C1203="",$H1203="",$J1203=""),0,IF(ROUND(($J1203-$H1203)*1440,0)&gt;設定!$C$46,ROUND(($J1203-$H1203)*1440,0),0))</f>
        <v/>
      </c>
      <c r="P1203" s="84">
        <f>IF(OR($C1203="",$I1203="",$K1203=""),0,IF(ROUND(($I1203-$K1203)*1440,0)&gt;設定!$C$46,ROUND(($I1203-$K1203)*1440,0),0))</f>
        <v/>
      </c>
      <c r="Q1203" s="85">
        <f>IF($M1203="",0,IF(($M1203-IFERROR(INDEX(設定!$G$6:$G$21,MATCH($G1203,設定!$B$6:$B$21,0)),0))*60&gt;=設定!$C$44,ROUND(FLOOR(($M1203-IFERROR(INDEX(設定!$G$6:$G$21,MATCH($G1203,設定!$B$6:$B$21,0)),0))*60,設定!$C$45)/60,2),0))</f>
        <v/>
      </c>
      <c r="R1203" s="16">
        <f>IF(OR($C1203="",$Q1203=0),"",IF($G1203="國","國定假日",IF($B1203="日","例假",IF($B1203="六","休息日","平日"))))</f>
        <v/>
      </c>
      <c r="S1203" s="19" t="n"/>
    </row>
    <row r="1204">
      <c r="A1204" s="82">
        <f>IF(OR(助理班表!$A43="",24&gt;DAY(EOMONTH(DATE(設定!$C$2,設定!$D$2,1),0))),"",DATE(設定!$C$2,設定!$D$2,24))</f>
        <v/>
      </c>
      <c r="B1204" s="16">
        <f>IF($A1204="","",INDEX(設定!$O$6:$O$12,WEEKDAY($A1204,1)))</f>
        <v/>
      </c>
      <c r="C1204" s="16">
        <f>IF($A1204="","",助理班表!$A43)</f>
        <v/>
      </c>
      <c r="D1204" s="16">
        <f>IF($C1204="","",助理班表!$B43)</f>
        <v/>
      </c>
      <c r="E1204" s="16">
        <f>IF($C1204="","",助理班表!$D43)</f>
        <v/>
      </c>
      <c r="F1204" s="16">
        <f>IF($C1204="","",助理班表!$C43)</f>
        <v/>
      </c>
      <c r="G1204" s="16">
        <f>IF($C1204="","",助理班表!AB43)</f>
        <v/>
      </c>
      <c r="H1204" s="83">
        <f>IF($G1204="","",IFERROR(IF(INDEX(設定!$D$6:$D$21,MATCH($G1204,設定!$B$6:$B$21,0))=0,"",INDEX(設定!$D$6:$D$21,MATCH($G1204,設定!$B$6:$B$21,0))),""))</f>
        <v/>
      </c>
      <c r="I1204" s="83">
        <f>IF($G1204="","",IFERROR(IF(INDEX(設定!$E$6:$E$21,MATCH($G1204,設定!$B$6:$B$21,0))=0,"",INDEX(設定!$E$6:$E$21,MATCH($G1204,設定!$B$6:$B$21,0))),""))</f>
        <v/>
      </c>
      <c r="J1204" s="83">
        <f>IFERROR(INDEX(打卡匯入!$C$3:$C$2002,MATCH($C1204&amp;"|"&amp;DAY($A1204),打卡匯入!$E$3:$E$2002,0)),"")</f>
        <v/>
      </c>
      <c r="K1204" s="83">
        <f>IFERROR(INDEX(打卡匯入!$D$3:$D$2002,MATCH($C1204&amp;"|"&amp;DAY($A1204),打卡匯入!$E$3:$E$2002,0)),"")</f>
        <v/>
      </c>
      <c r="L1204" s="84">
        <f>IF(OR($J1204="",$K1204=""),"",IFERROR(INDEX(設定!$F$6:$F$21,MATCH($G1204,設定!$B$6:$B$21,0)),0))</f>
        <v/>
      </c>
      <c r="M1204" s="85">
        <f>IF(OR($J1204="",$K1204=""),"",ROUND(($K1204-$J1204)*24-$L1204/60,2))</f>
        <v/>
      </c>
      <c r="N1204" s="16">
        <f>IF($C1204="","",IF(AND(COUNTIF(設定!$B$15:$B$21,$G1204)&gt;0,$J1204&lt;&gt;""),"假日出勤",IF(AND(COUNTIF(設定!$B$6:$B$14,$G1204)&gt;0,$J1204=""),"未打卡",IF($J1204="","",IF($O1204&gt;0,"遲到",IF($P1204&gt;0,"早退","正常"))))))</f>
        <v/>
      </c>
      <c r="O1204" s="84">
        <f>IF(OR($C1204="",$H1204="",$J1204=""),0,IF(ROUND(($J1204-$H1204)*1440,0)&gt;設定!$C$46,ROUND(($J1204-$H1204)*1440,0),0))</f>
        <v/>
      </c>
      <c r="P1204" s="84">
        <f>IF(OR($C1204="",$I1204="",$K1204=""),0,IF(ROUND(($I1204-$K1204)*1440,0)&gt;設定!$C$46,ROUND(($I1204-$K1204)*1440,0),0))</f>
        <v/>
      </c>
      <c r="Q1204" s="85">
        <f>IF($M1204="",0,IF(($M1204-IFERROR(INDEX(設定!$G$6:$G$21,MATCH($G1204,設定!$B$6:$B$21,0)),0))*60&gt;=設定!$C$44,ROUND(FLOOR(($M1204-IFERROR(INDEX(設定!$G$6:$G$21,MATCH($G1204,設定!$B$6:$B$21,0)),0))*60,設定!$C$45)/60,2),0))</f>
        <v/>
      </c>
      <c r="R1204" s="16">
        <f>IF(OR($C1204="",$Q1204=0),"",IF($G1204="國","國定假日",IF($B1204="日","例假",IF($B1204="六","休息日","平日"))))</f>
        <v/>
      </c>
      <c r="S1204" s="19" t="n"/>
    </row>
    <row r="1205">
      <c r="A1205" s="82">
        <f>IF(OR(助理班表!$A43="",25&gt;DAY(EOMONTH(DATE(設定!$C$2,設定!$D$2,1),0))),"",DATE(設定!$C$2,設定!$D$2,25))</f>
        <v/>
      </c>
      <c r="B1205" s="16">
        <f>IF($A1205="","",INDEX(設定!$O$6:$O$12,WEEKDAY($A1205,1)))</f>
        <v/>
      </c>
      <c r="C1205" s="16">
        <f>IF($A1205="","",助理班表!$A43)</f>
        <v/>
      </c>
      <c r="D1205" s="16">
        <f>IF($C1205="","",助理班表!$B43)</f>
        <v/>
      </c>
      <c r="E1205" s="16">
        <f>IF($C1205="","",助理班表!$D43)</f>
        <v/>
      </c>
      <c r="F1205" s="16">
        <f>IF($C1205="","",助理班表!$C43)</f>
        <v/>
      </c>
      <c r="G1205" s="16">
        <f>IF($C1205="","",助理班表!AC43)</f>
        <v/>
      </c>
      <c r="H1205" s="83">
        <f>IF($G1205="","",IFERROR(IF(INDEX(設定!$D$6:$D$21,MATCH($G1205,設定!$B$6:$B$21,0))=0,"",INDEX(設定!$D$6:$D$21,MATCH($G1205,設定!$B$6:$B$21,0))),""))</f>
        <v/>
      </c>
      <c r="I1205" s="83">
        <f>IF($G1205="","",IFERROR(IF(INDEX(設定!$E$6:$E$21,MATCH($G1205,設定!$B$6:$B$21,0))=0,"",INDEX(設定!$E$6:$E$21,MATCH($G1205,設定!$B$6:$B$21,0))),""))</f>
        <v/>
      </c>
      <c r="J1205" s="83">
        <f>IFERROR(INDEX(打卡匯入!$C$3:$C$2002,MATCH($C1205&amp;"|"&amp;DAY($A1205),打卡匯入!$E$3:$E$2002,0)),"")</f>
        <v/>
      </c>
      <c r="K1205" s="83">
        <f>IFERROR(INDEX(打卡匯入!$D$3:$D$2002,MATCH($C1205&amp;"|"&amp;DAY($A1205),打卡匯入!$E$3:$E$2002,0)),"")</f>
        <v/>
      </c>
      <c r="L1205" s="84">
        <f>IF(OR($J1205="",$K1205=""),"",IFERROR(INDEX(設定!$F$6:$F$21,MATCH($G1205,設定!$B$6:$B$21,0)),0))</f>
        <v/>
      </c>
      <c r="M1205" s="85">
        <f>IF(OR($J1205="",$K1205=""),"",ROUND(($K1205-$J1205)*24-$L1205/60,2))</f>
        <v/>
      </c>
      <c r="N1205" s="16">
        <f>IF($C1205="","",IF(AND(COUNTIF(設定!$B$15:$B$21,$G1205)&gt;0,$J1205&lt;&gt;""),"假日出勤",IF(AND(COUNTIF(設定!$B$6:$B$14,$G1205)&gt;0,$J1205=""),"未打卡",IF($J1205="","",IF($O1205&gt;0,"遲到",IF($P1205&gt;0,"早退","正常"))))))</f>
        <v/>
      </c>
      <c r="O1205" s="84">
        <f>IF(OR($C1205="",$H1205="",$J1205=""),0,IF(ROUND(($J1205-$H1205)*1440,0)&gt;設定!$C$46,ROUND(($J1205-$H1205)*1440,0),0))</f>
        <v/>
      </c>
      <c r="P1205" s="84">
        <f>IF(OR($C1205="",$I1205="",$K1205=""),0,IF(ROUND(($I1205-$K1205)*1440,0)&gt;設定!$C$46,ROUND(($I1205-$K1205)*1440,0),0))</f>
        <v/>
      </c>
      <c r="Q1205" s="85">
        <f>IF($M1205="",0,IF(($M1205-IFERROR(INDEX(設定!$G$6:$G$21,MATCH($G1205,設定!$B$6:$B$21,0)),0))*60&gt;=設定!$C$44,ROUND(FLOOR(($M1205-IFERROR(INDEX(設定!$G$6:$G$21,MATCH($G1205,設定!$B$6:$B$21,0)),0))*60,設定!$C$45)/60,2),0))</f>
        <v/>
      </c>
      <c r="R1205" s="16">
        <f>IF(OR($C1205="",$Q1205=0),"",IF($G1205="國","國定假日",IF($B1205="日","例假",IF($B1205="六","休息日","平日"))))</f>
        <v/>
      </c>
      <c r="S1205" s="19" t="n"/>
    </row>
    <row r="1206">
      <c r="A1206" s="82">
        <f>IF(OR(助理班表!$A43="",26&gt;DAY(EOMONTH(DATE(設定!$C$2,設定!$D$2,1),0))),"",DATE(設定!$C$2,設定!$D$2,26))</f>
        <v/>
      </c>
      <c r="B1206" s="16">
        <f>IF($A1206="","",INDEX(設定!$O$6:$O$12,WEEKDAY($A1206,1)))</f>
        <v/>
      </c>
      <c r="C1206" s="16">
        <f>IF($A1206="","",助理班表!$A43)</f>
        <v/>
      </c>
      <c r="D1206" s="16">
        <f>IF($C1206="","",助理班表!$B43)</f>
        <v/>
      </c>
      <c r="E1206" s="16">
        <f>IF($C1206="","",助理班表!$D43)</f>
        <v/>
      </c>
      <c r="F1206" s="16">
        <f>IF($C1206="","",助理班表!$C43)</f>
        <v/>
      </c>
      <c r="G1206" s="16">
        <f>IF($C1206="","",助理班表!AD43)</f>
        <v/>
      </c>
      <c r="H1206" s="83">
        <f>IF($G1206="","",IFERROR(IF(INDEX(設定!$D$6:$D$21,MATCH($G1206,設定!$B$6:$B$21,0))=0,"",INDEX(設定!$D$6:$D$21,MATCH($G1206,設定!$B$6:$B$21,0))),""))</f>
        <v/>
      </c>
      <c r="I1206" s="83">
        <f>IF($G1206="","",IFERROR(IF(INDEX(設定!$E$6:$E$21,MATCH($G1206,設定!$B$6:$B$21,0))=0,"",INDEX(設定!$E$6:$E$21,MATCH($G1206,設定!$B$6:$B$21,0))),""))</f>
        <v/>
      </c>
      <c r="J1206" s="83">
        <f>IFERROR(INDEX(打卡匯入!$C$3:$C$2002,MATCH($C1206&amp;"|"&amp;DAY($A1206),打卡匯入!$E$3:$E$2002,0)),"")</f>
        <v/>
      </c>
      <c r="K1206" s="83">
        <f>IFERROR(INDEX(打卡匯入!$D$3:$D$2002,MATCH($C1206&amp;"|"&amp;DAY($A1206),打卡匯入!$E$3:$E$2002,0)),"")</f>
        <v/>
      </c>
      <c r="L1206" s="84">
        <f>IF(OR($J1206="",$K1206=""),"",IFERROR(INDEX(設定!$F$6:$F$21,MATCH($G1206,設定!$B$6:$B$21,0)),0))</f>
        <v/>
      </c>
      <c r="M1206" s="85">
        <f>IF(OR($J1206="",$K1206=""),"",ROUND(($K1206-$J1206)*24-$L1206/60,2))</f>
        <v/>
      </c>
      <c r="N1206" s="16">
        <f>IF($C1206="","",IF(AND(COUNTIF(設定!$B$15:$B$21,$G1206)&gt;0,$J1206&lt;&gt;""),"假日出勤",IF(AND(COUNTIF(設定!$B$6:$B$14,$G1206)&gt;0,$J1206=""),"未打卡",IF($J1206="","",IF($O1206&gt;0,"遲到",IF($P1206&gt;0,"早退","正常"))))))</f>
        <v/>
      </c>
      <c r="O1206" s="84">
        <f>IF(OR($C1206="",$H1206="",$J1206=""),0,IF(ROUND(($J1206-$H1206)*1440,0)&gt;設定!$C$46,ROUND(($J1206-$H1206)*1440,0),0))</f>
        <v/>
      </c>
      <c r="P1206" s="84">
        <f>IF(OR($C1206="",$I1206="",$K1206=""),0,IF(ROUND(($I1206-$K1206)*1440,0)&gt;設定!$C$46,ROUND(($I1206-$K1206)*1440,0),0))</f>
        <v/>
      </c>
      <c r="Q1206" s="85">
        <f>IF($M1206="",0,IF(($M1206-IFERROR(INDEX(設定!$G$6:$G$21,MATCH($G1206,設定!$B$6:$B$21,0)),0))*60&gt;=設定!$C$44,ROUND(FLOOR(($M1206-IFERROR(INDEX(設定!$G$6:$G$21,MATCH($G1206,設定!$B$6:$B$21,0)),0))*60,設定!$C$45)/60,2),0))</f>
        <v/>
      </c>
      <c r="R1206" s="16">
        <f>IF(OR($C1206="",$Q1206=0),"",IF($G1206="國","國定假日",IF($B1206="日","例假",IF($B1206="六","休息日","平日"))))</f>
        <v/>
      </c>
      <c r="S1206" s="19" t="n"/>
    </row>
    <row r="1207">
      <c r="A1207" s="82">
        <f>IF(OR(助理班表!$A43="",27&gt;DAY(EOMONTH(DATE(設定!$C$2,設定!$D$2,1),0))),"",DATE(設定!$C$2,設定!$D$2,27))</f>
        <v/>
      </c>
      <c r="B1207" s="16">
        <f>IF($A1207="","",INDEX(設定!$O$6:$O$12,WEEKDAY($A1207,1)))</f>
        <v/>
      </c>
      <c r="C1207" s="16">
        <f>IF($A1207="","",助理班表!$A43)</f>
        <v/>
      </c>
      <c r="D1207" s="16">
        <f>IF($C1207="","",助理班表!$B43)</f>
        <v/>
      </c>
      <c r="E1207" s="16">
        <f>IF($C1207="","",助理班表!$D43)</f>
        <v/>
      </c>
      <c r="F1207" s="16">
        <f>IF($C1207="","",助理班表!$C43)</f>
        <v/>
      </c>
      <c r="G1207" s="16">
        <f>IF($C1207="","",助理班表!AE43)</f>
        <v/>
      </c>
      <c r="H1207" s="83">
        <f>IF($G1207="","",IFERROR(IF(INDEX(設定!$D$6:$D$21,MATCH($G1207,設定!$B$6:$B$21,0))=0,"",INDEX(設定!$D$6:$D$21,MATCH($G1207,設定!$B$6:$B$21,0))),""))</f>
        <v/>
      </c>
      <c r="I1207" s="83">
        <f>IF($G1207="","",IFERROR(IF(INDEX(設定!$E$6:$E$21,MATCH($G1207,設定!$B$6:$B$21,0))=0,"",INDEX(設定!$E$6:$E$21,MATCH($G1207,設定!$B$6:$B$21,0))),""))</f>
        <v/>
      </c>
      <c r="J1207" s="83">
        <f>IFERROR(INDEX(打卡匯入!$C$3:$C$2002,MATCH($C1207&amp;"|"&amp;DAY($A1207),打卡匯入!$E$3:$E$2002,0)),"")</f>
        <v/>
      </c>
      <c r="K1207" s="83">
        <f>IFERROR(INDEX(打卡匯入!$D$3:$D$2002,MATCH($C1207&amp;"|"&amp;DAY($A1207),打卡匯入!$E$3:$E$2002,0)),"")</f>
        <v/>
      </c>
      <c r="L1207" s="84">
        <f>IF(OR($J1207="",$K1207=""),"",IFERROR(INDEX(設定!$F$6:$F$21,MATCH($G1207,設定!$B$6:$B$21,0)),0))</f>
        <v/>
      </c>
      <c r="M1207" s="85">
        <f>IF(OR($J1207="",$K1207=""),"",ROUND(($K1207-$J1207)*24-$L1207/60,2))</f>
        <v/>
      </c>
      <c r="N1207" s="16">
        <f>IF($C1207="","",IF(AND(COUNTIF(設定!$B$15:$B$21,$G1207)&gt;0,$J1207&lt;&gt;""),"假日出勤",IF(AND(COUNTIF(設定!$B$6:$B$14,$G1207)&gt;0,$J1207=""),"未打卡",IF($J1207="","",IF($O1207&gt;0,"遲到",IF($P1207&gt;0,"早退","正常"))))))</f>
        <v/>
      </c>
      <c r="O1207" s="84">
        <f>IF(OR($C1207="",$H1207="",$J1207=""),0,IF(ROUND(($J1207-$H1207)*1440,0)&gt;設定!$C$46,ROUND(($J1207-$H1207)*1440,0),0))</f>
        <v/>
      </c>
      <c r="P1207" s="84">
        <f>IF(OR($C1207="",$I1207="",$K1207=""),0,IF(ROUND(($I1207-$K1207)*1440,0)&gt;設定!$C$46,ROUND(($I1207-$K1207)*1440,0),0))</f>
        <v/>
      </c>
      <c r="Q1207" s="85">
        <f>IF($M1207="",0,IF(($M1207-IFERROR(INDEX(設定!$G$6:$G$21,MATCH($G1207,設定!$B$6:$B$21,0)),0))*60&gt;=設定!$C$44,ROUND(FLOOR(($M1207-IFERROR(INDEX(設定!$G$6:$G$21,MATCH($G1207,設定!$B$6:$B$21,0)),0))*60,設定!$C$45)/60,2),0))</f>
        <v/>
      </c>
      <c r="R1207" s="16">
        <f>IF(OR($C1207="",$Q1207=0),"",IF($G1207="國","國定假日",IF($B1207="日","例假",IF($B1207="六","休息日","平日"))))</f>
        <v/>
      </c>
      <c r="S1207" s="19" t="n"/>
    </row>
    <row r="1208">
      <c r="A1208" s="82">
        <f>IF(OR(助理班表!$A43="",28&gt;DAY(EOMONTH(DATE(設定!$C$2,設定!$D$2,1),0))),"",DATE(設定!$C$2,設定!$D$2,28))</f>
        <v/>
      </c>
      <c r="B1208" s="16">
        <f>IF($A1208="","",INDEX(設定!$O$6:$O$12,WEEKDAY($A1208,1)))</f>
        <v/>
      </c>
      <c r="C1208" s="16">
        <f>IF($A1208="","",助理班表!$A43)</f>
        <v/>
      </c>
      <c r="D1208" s="16">
        <f>IF($C1208="","",助理班表!$B43)</f>
        <v/>
      </c>
      <c r="E1208" s="16">
        <f>IF($C1208="","",助理班表!$D43)</f>
        <v/>
      </c>
      <c r="F1208" s="16">
        <f>IF($C1208="","",助理班表!$C43)</f>
        <v/>
      </c>
      <c r="G1208" s="16">
        <f>IF($C1208="","",助理班表!AF43)</f>
        <v/>
      </c>
      <c r="H1208" s="83">
        <f>IF($G1208="","",IFERROR(IF(INDEX(設定!$D$6:$D$21,MATCH($G1208,設定!$B$6:$B$21,0))=0,"",INDEX(設定!$D$6:$D$21,MATCH($G1208,設定!$B$6:$B$21,0))),""))</f>
        <v/>
      </c>
      <c r="I1208" s="83">
        <f>IF($G1208="","",IFERROR(IF(INDEX(設定!$E$6:$E$21,MATCH($G1208,設定!$B$6:$B$21,0))=0,"",INDEX(設定!$E$6:$E$21,MATCH($G1208,設定!$B$6:$B$21,0))),""))</f>
        <v/>
      </c>
      <c r="J1208" s="83">
        <f>IFERROR(INDEX(打卡匯入!$C$3:$C$2002,MATCH($C1208&amp;"|"&amp;DAY($A1208),打卡匯入!$E$3:$E$2002,0)),"")</f>
        <v/>
      </c>
      <c r="K1208" s="83">
        <f>IFERROR(INDEX(打卡匯入!$D$3:$D$2002,MATCH($C1208&amp;"|"&amp;DAY($A1208),打卡匯入!$E$3:$E$2002,0)),"")</f>
        <v/>
      </c>
      <c r="L1208" s="84">
        <f>IF(OR($J1208="",$K1208=""),"",IFERROR(INDEX(設定!$F$6:$F$21,MATCH($G1208,設定!$B$6:$B$21,0)),0))</f>
        <v/>
      </c>
      <c r="M1208" s="85">
        <f>IF(OR($J1208="",$K1208=""),"",ROUND(($K1208-$J1208)*24-$L1208/60,2))</f>
        <v/>
      </c>
      <c r="N1208" s="16">
        <f>IF($C1208="","",IF(AND(COUNTIF(設定!$B$15:$B$21,$G1208)&gt;0,$J1208&lt;&gt;""),"假日出勤",IF(AND(COUNTIF(設定!$B$6:$B$14,$G1208)&gt;0,$J1208=""),"未打卡",IF($J1208="","",IF($O1208&gt;0,"遲到",IF($P1208&gt;0,"早退","正常"))))))</f>
        <v/>
      </c>
      <c r="O1208" s="84">
        <f>IF(OR($C1208="",$H1208="",$J1208=""),0,IF(ROUND(($J1208-$H1208)*1440,0)&gt;設定!$C$46,ROUND(($J1208-$H1208)*1440,0),0))</f>
        <v/>
      </c>
      <c r="P1208" s="84">
        <f>IF(OR($C1208="",$I1208="",$K1208=""),0,IF(ROUND(($I1208-$K1208)*1440,0)&gt;設定!$C$46,ROUND(($I1208-$K1208)*1440,0),0))</f>
        <v/>
      </c>
      <c r="Q1208" s="85">
        <f>IF($M1208="",0,IF(($M1208-IFERROR(INDEX(設定!$G$6:$G$21,MATCH($G1208,設定!$B$6:$B$21,0)),0))*60&gt;=設定!$C$44,ROUND(FLOOR(($M1208-IFERROR(INDEX(設定!$G$6:$G$21,MATCH($G1208,設定!$B$6:$B$21,0)),0))*60,設定!$C$45)/60,2),0))</f>
        <v/>
      </c>
      <c r="R1208" s="16">
        <f>IF(OR($C1208="",$Q1208=0),"",IF($G1208="國","國定假日",IF($B1208="日","例假",IF($B1208="六","休息日","平日"))))</f>
        <v/>
      </c>
      <c r="S1208" s="19" t="n"/>
    </row>
    <row r="1209">
      <c r="A1209" s="82">
        <f>IF(OR(助理班表!$A43="",29&gt;DAY(EOMONTH(DATE(設定!$C$2,設定!$D$2,1),0))),"",DATE(設定!$C$2,設定!$D$2,29))</f>
        <v/>
      </c>
      <c r="B1209" s="16">
        <f>IF($A1209="","",INDEX(設定!$O$6:$O$12,WEEKDAY($A1209,1)))</f>
        <v/>
      </c>
      <c r="C1209" s="16">
        <f>IF($A1209="","",助理班表!$A43)</f>
        <v/>
      </c>
      <c r="D1209" s="16">
        <f>IF($C1209="","",助理班表!$B43)</f>
        <v/>
      </c>
      <c r="E1209" s="16">
        <f>IF($C1209="","",助理班表!$D43)</f>
        <v/>
      </c>
      <c r="F1209" s="16">
        <f>IF($C1209="","",助理班表!$C43)</f>
        <v/>
      </c>
      <c r="G1209" s="16">
        <f>IF($C1209="","",助理班表!AG43)</f>
        <v/>
      </c>
      <c r="H1209" s="83">
        <f>IF($G1209="","",IFERROR(IF(INDEX(設定!$D$6:$D$21,MATCH($G1209,設定!$B$6:$B$21,0))=0,"",INDEX(設定!$D$6:$D$21,MATCH($G1209,設定!$B$6:$B$21,0))),""))</f>
        <v/>
      </c>
      <c r="I1209" s="83">
        <f>IF($G1209="","",IFERROR(IF(INDEX(設定!$E$6:$E$21,MATCH($G1209,設定!$B$6:$B$21,0))=0,"",INDEX(設定!$E$6:$E$21,MATCH($G1209,設定!$B$6:$B$21,0))),""))</f>
        <v/>
      </c>
      <c r="J1209" s="83">
        <f>IFERROR(INDEX(打卡匯入!$C$3:$C$2002,MATCH($C1209&amp;"|"&amp;DAY($A1209),打卡匯入!$E$3:$E$2002,0)),"")</f>
        <v/>
      </c>
      <c r="K1209" s="83">
        <f>IFERROR(INDEX(打卡匯入!$D$3:$D$2002,MATCH($C1209&amp;"|"&amp;DAY($A1209),打卡匯入!$E$3:$E$2002,0)),"")</f>
        <v/>
      </c>
      <c r="L1209" s="84">
        <f>IF(OR($J1209="",$K1209=""),"",IFERROR(INDEX(設定!$F$6:$F$21,MATCH($G1209,設定!$B$6:$B$21,0)),0))</f>
        <v/>
      </c>
      <c r="M1209" s="85">
        <f>IF(OR($J1209="",$K1209=""),"",ROUND(($K1209-$J1209)*24-$L1209/60,2))</f>
        <v/>
      </c>
      <c r="N1209" s="16">
        <f>IF($C1209="","",IF(AND(COUNTIF(設定!$B$15:$B$21,$G1209)&gt;0,$J1209&lt;&gt;""),"假日出勤",IF(AND(COUNTIF(設定!$B$6:$B$14,$G1209)&gt;0,$J1209=""),"未打卡",IF($J1209="","",IF($O1209&gt;0,"遲到",IF($P1209&gt;0,"早退","正常"))))))</f>
        <v/>
      </c>
      <c r="O1209" s="84">
        <f>IF(OR($C1209="",$H1209="",$J1209=""),0,IF(ROUND(($J1209-$H1209)*1440,0)&gt;設定!$C$46,ROUND(($J1209-$H1209)*1440,0),0))</f>
        <v/>
      </c>
      <c r="P1209" s="84">
        <f>IF(OR($C1209="",$I1209="",$K1209=""),0,IF(ROUND(($I1209-$K1209)*1440,0)&gt;設定!$C$46,ROUND(($I1209-$K1209)*1440,0),0))</f>
        <v/>
      </c>
      <c r="Q1209" s="85">
        <f>IF($M1209="",0,IF(($M1209-IFERROR(INDEX(設定!$G$6:$G$21,MATCH($G1209,設定!$B$6:$B$21,0)),0))*60&gt;=設定!$C$44,ROUND(FLOOR(($M1209-IFERROR(INDEX(設定!$G$6:$G$21,MATCH($G1209,設定!$B$6:$B$21,0)),0))*60,設定!$C$45)/60,2),0))</f>
        <v/>
      </c>
      <c r="R1209" s="16">
        <f>IF(OR($C1209="",$Q1209=0),"",IF($G1209="國","國定假日",IF($B1209="日","例假",IF($B1209="六","休息日","平日"))))</f>
        <v/>
      </c>
      <c r="S1209" s="19" t="n"/>
    </row>
    <row r="1210">
      <c r="A1210" s="82">
        <f>IF(OR(助理班表!$A43="",30&gt;DAY(EOMONTH(DATE(設定!$C$2,設定!$D$2,1),0))),"",DATE(設定!$C$2,設定!$D$2,30))</f>
        <v/>
      </c>
      <c r="B1210" s="16">
        <f>IF($A1210="","",INDEX(設定!$O$6:$O$12,WEEKDAY($A1210,1)))</f>
        <v/>
      </c>
      <c r="C1210" s="16">
        <f>IF($A1210="","",助理班表!$A43)</f>
        <v/>
      </c>
      <c r="D1210" s="16">
        <f>IF($C1210="","",助理班表!$B43)</f>
        <v/>
      </c>
      <c r="E1210" s="16">
        <f>IF($C1210="","",助理班表!$D43)</f>
        <v/>
      </c>
      <c r="F1210" s="16">
        <f>IF($C1210="","",助理班表!$C43)</f>
        <v/>
      </c>
      <c r="G1210" s="16">
        <f>IF($C1210="","",助理班表!AH43)</f>
        <v/>
      </c>
      <c r="H1210" s="83">
        <f>IF($G1210="","",IFERROR(IF(INDEX(設定!$D$6:$D$21,MATCH($G1210,設定!$B$6:$B$21,0))=0,"",INDEX(設定!$D$6:$D$21,MATCH($G1210,設定!$B$6:$B$21,0))),""))</f>
        <v/>
      </c>
      <c r="I1210" s="83">
        <f>IF($G1210="","",IFERROR(IF(INDEX(設定!$E$6:$E$21,MATCH($G1210,設定!$B$6:$B$21,0))=0,"",INDEX(設定!$E$6:$E$21,MATCH($G1210,設定!$B$6:$B$21,0))),""))</f>
        <v/>
      </c>
      <c r="J1210" s="83">
        <f>IFERROR(INDEX(打卡匯入!$C$3:$C$2002,MATCH($C1210&amp;"|"&amp;DAY($A1210),打卡匯入!$E$3:$E$2002,0)),"")</f>
        <v/>
      </c>
      <c r="K1210" s="83">
        <f>IFERROR(INDEX(打卡匯入!$D$3:$D$2002,MATCH($C1210&amp;"|"&amp;DAY($A1210),打卡匯入!$E$3:$E$2002,0)),"")</f>
        <v/>
      </c>
      <c r="L1210" s="84">
        <f>IF(OR($J1210="",$K1210=""),"",IFERROR(INDEX(設定!$F$6:$F$21,MATCH($G1210,設定!$B$6:$B$21,0)),0))</f>
        <v/>
      </c>
      <c r="M1210" s="85">
        <f>IF(OR($J1210="",$K1210=""),"",ROUND(($K1210-$J1210)*24-$L1210/60,2))</f>
        <v/>
      </c>
      <c r="N1210" s="16">
        <f>IF($C1210="","",IF(AND(COUNTIF(設定!$B$15:$B$21,$G1210)&gt;0,$J1210&lt;&gt;""),"假日出勤",IF(AND(COUNTIF(設定!$B$6:$B$14,$G1210)&gt;0,$J1210=""),"未打卡",IF($J1210="","",IF($O1210&gt;0,"遲到",IF($P1210&gt;0,"早退","正常"))))))</f>
        <v/>
      </c>
      <c r="O1210" s="84">
        <f>IF(OR($C1210="",$H1210="",$J1210=""),0,IF(ROUND(($J1210-$H1210)*1440,0)&gt;設定!$C$46,ROUND(($J1210-$H1210)*1440,0),0))</f>
        <v/>
      </c>
      <c r="P1210" s="84">
        <f>IF(OR($C1210="",$I1210="",$K1210=""),0,IF(ROUND(($I1210-$K1210)*1440,0)&gt;設定!$C$46,ROUND(($I1210-$K1210)*1440,0),0))</f>
        <v/>
      </c>
      <c r="Q1210" s="85">
        <f>IF($M1210="",0,IF(($M1210-IFERROR(INDEX(設定!$G$6:$G$21,MATCH($G1210,設定!$B$6:$B$21,0)),0))*60&gt;=設定!$C$44,ROUND(FLOOR(($M1210-IFERROR(INDEX(設定!$G$6:$G$21,MATCH($G1210,設定!$B$6:$B$21,0)),0))*60,設定!$C$45)/60,2),0))</f>
        <v/>
      </c>
      <c r="R1210" s="16">
        <f>IF(OR($C1210="",$Q1210=0),"",IF($G1210="國","國定假日",IF($B1210="日","例假",IF($B1210="六","休息日","平日"))))</f>
        <v/>
      </c>
      <c r="S1210" s="19" t="n"/>
    </row>
    <row r="1211">
      <c r="A1211" s="82">
        <f>IF(OR(助理班表!$A43="",31&gt;DAY(EOMONTH(DATE(設定!$C$2,設定!$D$2,1),0))),"",DATE(設定!$C$2,設定!$D$2,31))</f>
        <v/>
      </c>
      <c r="B1211" s="16">
        <f>IF($A1211="","",INDEX(設定!$O$6:$O$12,WEEKDAY($A1211,1)))</f>
        <v/>
      </c>
      <c r="C1211" s="16">
        <f>IF($A1211="","",助理班表!$A43)</f>
        <v/>
      </c>
      <c r="D1211" s="16">
        <f>IF($C1211="","",助理班表!$B43)</f>
        <v/>
      </c>
      <c r="E1211" s="16">
        <f>IF($C1211="","",助理班表!$D43)</f>
        <v/>
      </c>
      <c r="F1211" s="16">
        <f>IF($C1211="","",助理班表!$C43)</f>
        <v/>
      </c>
      <c r="G1211" s="16">
        <f>IF($C1211="","",助理班表!AI43)</f>
        <v/>
      </c>
      <c r="H1211" s="83">
        <f>IF($G1211="","",IFERROR(IF(INDEX(設定!$D$6:$D$21,MATCH($G1211,設定!$B$6:$B$21,0))=0,"",INDEX(設定!$D$6:$D$21,MATCH($G1211,設定!$B$6:$B$21,0))),""))</f>
        <v/>
      </c>
      <c r="I1211" s="83">
        <f>IF($G1211="","",IFERROR(IF(INDEX(設定!$E$6:$E$21,MATCH($G1211,設定!$B$6:$B$21,0))=0,"",INDEX(設定!$E$6:$E$21,MATCH($G1211,設定!$B$6:$B$21,0))),""))</f>
        <v/>
      </c>
      <c r="J1211" s="83">
        <f>IFERROR(INDEX(打卡匯入!$C$3:$C$2002,MATCH($C1211&amp;"|"&amp;DAY($A1211),打卡匯入!$E$3:$E$2002,0)),"")</f>
        <v/>
      </c>
      <c r="K1211" s="83">
        <f>IFERROR(INDEX(打卡匯入!$D$3:$D$2002,MATCH($C1211&amp;"|"&amp;DAY($A1211),打卡匯入!$E$3:$E$2002,0)),"")</f>
        <v/>
      </c>
      <c r="L1211" s="84">
        <f>IF(OR($J1211="",$K1211=""),"",IFERROR(INDEX(設定!$F$6:$F$21,MATCH($G1211,設定!$B$6:$B$21,0)),0))</f>
        <v/>
      </c>
      <c r="M1211" s="85">
        <f>IF(OR($J1211="",$K1211=""),"",ROUND(($K1211-$J1211)*24-$L1211/60,2))</f>
        <v/>
      </c>
      <c r="N1211" s="16">
        <f>IF($C1211="","",IF(AND(COUNTIF(設定!$B$15:$B$21,$G1211)&gt;0,$J1211&lt;&gt;""),"假日出勤",IF(AND(COUNTIF(設定!$B$6:$B$14,$G1211)&gt;0,$J1211=""),"未打卡",IF($J1211="","",IF($O1211&gt;0,"遲到",IF($P1211&gt;0,"早退","正常"))))))</f>
        <v/>
      </c>
      <c r="O1211" s="84">
        <f>IF(OR($C1211="",$H1211="",$J1211=""),0,IF(ROUND(($J1211-$H1211)*1440,0)&gt;設定!$C$46,ROUND(($J1211-$H1211)*1440,0),0))</f>
        <v/>
      </c>
      <c r="P1211" s="84">
        <f>IF(OR($C1211="",$I1211="",$K1211=""),0,IF(ROUND(($I1211-$K1211)*1440,0)&gt;設定!$C$46,ROUND(($I1211-$K1211)*1440,0),0))</f>
        <v/>
      </c>
      <c r="Q1211" s="85">
        <f>IF($M1211="",0,IF(($M1211-IFERROR(INDEX(設定!$G$6:$G$21,MATCH($G1211,設定!$B$6:$B$21,0)),0))*60&gt;=設定!$C$44,ROUND(FLOOR(($M1211-IFERROR(INDEX(設定!$G$6:$G$21,MATCH($G1211,設定!$B$6:$B$21,0)),0))*60,設定!$C$45)/60,2),0))</f>
        <v/>
      </c>
      <c r="R1211" s="16">
        <f>IF(OR($C1211="",$Q1211=0),"",IF($G1211="國","國定假日",IF($B1211="日","例假",IF($B1211="六","休息日","平日"))))</f>
        <v/>
      </c>
      <c r="S1211" s="19" t="n"/>
    </row>
    <row r="1212">
      <c r="A1212" s="82">
        <f>IF(OR(助理班表!$A44="",1&gt;DAY(EOMONTH(DATE(設定!$C$2,設定!$D$2,1),0))),"",DATE(設定!$C$2,設定!$D$2,1))</f>
        <v/>
      </c>
      <c r="B1212" s="16">
        <f>IF($A1212="","",INDEX(設定!$O$6:$O$12,WEEKDAY($A1212,1)))</f>
        <v/>
      </c>
      <c r="C1212" s="16">
        <f>IF($A1212="","",助理班表!$A44)</f>
        <v/>
      </c>
      <c r="D1212" s="16">
        <f>IF($C1212="","",助理班表!$B44)</f>
        <v/>
      </c>
      <c r="E1212" s="16">
        <f>IF($C1212="","",助理班表!$D44)</f>
        <v/>
      </c>
      <c r="F1212" s="16">
        <f>IF($C1212="","",助理班表!$C44)</f>
        <v/>
      </c>
      <c r="G1212" s="16">
        <f>IF($C1212="","",助理班表!E44)</f>
        <v/>
      </c>
      <c r="H1212" s="83">
        <f>IF($G1212="","",IFERROR(IF(INDEX(設定!$D$6:$D$21,MATCH($G1212,設定!$B$6:$B$21,0))=0,"",INDEX(設定!$D$6:$D$21,MATCH($G1212,設定!$B$6:$B$21,0))),""))</f>
        <v/>
      </c>
      <c r="I1212" s="83">
        <f>IF($G1212="","",IFERROR(IF(INDEX(設定!$E$6:$E$21,MATCH($G1212,設定!$B$6:$B$21,0))=0,"",INDEX(設定!$E$6:$E$21,MATCH($G1212,設定!$B$6:$B$21,0))),""))</f>
        <v/>
      </c>
      <c r="J1212" s="83">
        <f>IFERROR(INDEX(打卡匯入!$C$3:$C$2002,MATCH($C1212&amp;"|"&amp;DAY($A1212),打卡匯入!$E$3:$E$2002,0)),"")</f>
        <v/>
      </c>
      <c r="K1212" s="83">
        <f>IFERROR(INDEX(打卡匯入!$D$3:$D$2002,MATCH($C1212&amp;"|"&amp;DAY($A1212),打卡匯入!$E$3:$E$2002,0)),"")</f>
        <v/>
      </c>
      <c r="L1212" s="84">
        <f>IF(OR($J1212="",$K1212=""),"",IFERROR(INDEX(設定!$F$6:$F$21,MATCH($G1212,設定!$B$6:$B$21,0)),0))</f>
        <v/>
      </c>
      <c r="M1212" s="85">
        <f>IF(OR($J1212="",$K1212=""),"",ROUND(($K1212-$J1212)*24-$L1212/60,2))</f>
        <v/>
      </c>
      <c r="N1212" s="16">
        <f>IF($C1212="","",IF(AND(COUNTIF(設定!$B$15:$B$21,$G1212)&gt;0,$J1212&lt;&gt;""),"假日出勤",IF(AND(COUNTIF(設定!$B$6:$B$14,$G1212)&gt;0,$J1212=""),"未打卡",IF($J1212="","",IF($O1212&gt;0,"遲到",IF($P1212&gt;0,"早退","正常"))))))</f>
        <v/>
      </c>
      <c r="O1212" s="84">
        <f>IF(OR($C1212="",$H1212="",$J1212=""),0,IF(ROUND(($J1212-$H1212)*1440,0)&gt;設定!$C$46,ROUND(($J1212-$H1212)*1440,0),0))</f>
        <v/>
      </c>
      <c r="P1212" s="84">
        <f>IF(OR($C1212="",$I1212="",$K1212=""),0,IF(ROUND(($I1212-$K1212)*1440,0)&gt;設定!$C$46,ROUND(($I1212-$K1212)*1440,0),0))</f>
        <v/>
      </c>
      <c r="Q1212" s="85">
        <f>IF($M1212="",0,IF(($M1212-IFERROR(INDEX(設定!$G$6:$G$21,MATCH($G1212,設定!$B$6:$B$21,0)),0))*60&gt;=設定!$C$44,ROUND(FLOOR(($M1212-IFERROR(INDEX(設定!$G$6:$G$21,MATCH($G1212,設定!$B$6:$B$21,0)),0))*60,設定!$C$45)/60,2),0))</f>
        <v/>
      </c>
      <c r="R1212" s="16">
        <f>IF(OR($C1212="",$Q1212=0),"",IF($G1212="國","國定假日",IF($B1212="日","例假",IF($B1212="六","休息日","平日"))))</f>
        <v/>
      </c>
      <c r="S1212" s="19" t="n"/>
    </row>
    <row r="1213">
      <c r="A1213" s="82">
        <f>IF(OR(助理班表!$A44="",2&gt;DAY(EOMONTH(DATE(設定!$C$2,設定!$D$2,1),0))),"",DATE(設定!$C$2,設定!$D$2,2))</f>
        <v/>
      </c>
      <c r="B1213" s="16">
        <f>IF($A1213="","",INDEX(設定!$O$6:$O$12,WEEKDAY($A1213,1)))</f>
        <v/>
      </c>
      <c r="C1213" s="16">
        <f>IF($A1213="","",助理班表!$A44)</f>
        <v/>
      </c>
      <c r="D1213" s="16">
        <f>IF($C1213="","",助理班表!$B44)</f>
        <v/>
      </c>
      <c r="E1213" s="16">
        <f>IF($C1213="","",助理班表!$D44)</f>
        <v/>
      </c>
      <c r="F1213" s="16">
        <f>IF($C1213="","",助理班表!$C44)</f>
        <v/>
      </c>
      <c r="G1213" s="16">
        <f>IF($C1213="","",助理班表!F44)</f>
        <v/>
      </c>
      <c r="H1213" s="83">
        <f>IF($G1213="","",IFERROR(IF(INDEX(設定!$D$6:$D$21,MATCH($G1213,設定!$B$6:$B$21,0))=0,"",INDEX(設定!$D$6:$D$21,MATCH($G1213,設定!$B$6:$B$21,0))),""))</f>
        <v/>
      </c>
      <c r="I1213" s="83">
        <f>IF($G1213="","",IFERROR(IF(INDEX(設定!$E$6:$E$21,MATCH($G1213,設定!$B$6:$B$21,0))=0,"",INDEX(設定!$E$6:$E$21,MATCH($G1213,設定!$B$6:$B$21,0))),""))</f>
        <v/>
      </c>
      <c r="J1213" s="83">
        <f>IFERROR(INDEX(打卡匯入!$C$3:$C$2002,MATCH($C1213&amp;"|"&amp;DAY($A1213),打卡匯入!$E$3:$E$2002,0)),"")</f>
        <v/>
      </c>
      <c r="K1213" s="83">
        <f>IFERROR(INDEX(打卡匯入!$D$3:$D$2002,MATCH($C1213&amp;"|"&amp;DAY($A1213),打卡匯入!$E$3:$E$2002,0)),"")</f>
        <v/>
      </c>
      <c r="L1213" s="84">
        <f>IF(OR($J1213="",$K1213=""),"",IFERROR(INDEX(設定!$F$6:$F$21,MATCH($G1213,設定!$B$6:$B$21,0)),0))</f>
        <v/>
      </c>
      <c r="M1213" s="85">
        <f>IF(OR($J1213="",$K1213=""),"",ROUND(($K1213-$J1213)*24-$L1213/60,2))</f>
        <v/>
      </c>
      <c r="N1213" s="16">
        <f>IF($C1213="","",IF(AND(COUNTIF(設定!$B$15:$B$21,$G1213)&gt;0,$J1213&lt;&gt;""),"假日出勤",IF(AND(COUNTIF(設定!$B$6:$B$14,$G1213)&gt;0,$J1213=""),"未打卡",IF($J1213="","",IF($O1213&gt;0,"遲到",IF($P1213&gt;0,"早退","正常"))))))</f>
        <v/>
      </c>
      <c r="O1213" s="84">
        <f>IF(OR($C1213="",$H1213="",$J1213=""),0,IF(ROUND(($J1213-$H1213)*1440,0)&gt;設定!$C$46,ROUND(($J1213-$H1213)*1440,0),0))</f>
        <v/>
      </c>
      <c r="P1213" s="84">
        <f>IF(OR($C1213="",$I1213="",$K1213=""),0,IF(ROUND(($I1213-$K1213)*1440,0)&gt;設定!$C$46,ROUND(($I1213-$K1213)*1440,0),0))</f>
        <v/>
      </c>
      <c r="Q1213" s="85">
        <f>IF($M1213="",0,IF(($M1213-IFERROR(INDEX(設定!$G$6:$G$21,MATCH($G1213,設定!$B$6:$B$21,0)),0))*60&gt;=設定!$C$44,ROUND(FLOOR(($M1213-IFERROR(INDEX(設定!$G$6:$G$21,MATCH($G1213,設定!$B$6:$B$21,0)),0))*60,設定!$C$45)/60,2),0))</f>
        <v/>
      </c>
      <c r="R1213" s="16">
        <f>IF(OR($C1213="",$Q1213=0),"",IF($G1213="國","國定假日",IF($B1213="日","例假",IF($B1213="六","休息日","平日"))))</f>
        <v/>
      </c>
      <c r="S1213" s="19" t="n"/>
    </row>
    <row r="1214">
      <c r="A1214" s="82">
        <f>IF(OR(助理班表!$A44="",3&gt;DAY(EOMONTH(DATE(設定!$C$2,設定!$D$2,1),0))),"",DATE(設定!$C$2,設定!$D$2,3))</f>
        <v/>
      </c>
      <c r="B1214" s="16">
        <f>IF($A1214="","",INDEX(設定!$O$6:$O$12,WEEKDAY($A1214,1)))</f>
        <v/>
      </c>
      <c r="C1214" s="16">
        <f>IF($A1214="","",助理班表!$A44)</f>
        <v/>
      </c>
      <c r="D1214" s="16">
        <f>IF($C1214="","",助理班表!$B44)</f>
        <v/>
      </c>
      <c r="E1214" s="16">
        <f>IF($C1214="","",助理班表!$D44)</f>
        <v/>
      </c>
      <c r="F1214" s="16">
        <f>IF($C1214="","",助理班表!$C44)</f>
        <v/>
      </c>
      <c r="G1214" s="16">
        <f>IF($C1214="","",助理班表!G44)</f>
        <v/>
      </c>
      <c r="H1214" s="83">
        <f>IF($G1214="","",IFERROR(IF(INDEX(設定!$D$6:$D$21,MATCH($G1214,設定!$B$6:$B$21,0))=0,"",INDEX(設定!$D$6:$D$21,MATCH($G1214,設定!$B$6:$B$21,0))),""))</f>
        <v/>
      </c>
      <c r="I1214" s="83">
        <f>IF($G1214="","",IFERROR(IF(INDEX(設定!$E$6:$E$21,MATCH($G1214,設定!$B$6:$B$21,0))=0,"",INDEX(設定!$E$6:$E$21,MATCH($G1214,設定!$B$6:$B$21,0))),""))</f>
        <v/>
      </c>
      <c r="J1214" s="83">
        <f>IFERROR(INDEX(打卡匯入!$C$3:$C$2002,MATCH($C1214&amp;"|"&amp;DAY($A1214),打卡匯入!$E$3:$E$2002,0)),"")</f>
        <v/>
      </c>
      <c r="K1214" s="83">
        <f>IFERROR(INDEX(打卡匯入!$D$3:$D$2002,MATCH($C1214&amp;"|"&amp;DAY($A1214),打卡匯入!$E$3:$E$2002,0)),"")</f>
        <v/>
      </c>
      <c r="L1214" s="84">
        <f>IF(OR($J1214="",$K1214=""),"",IFERROR(INDEX(設定!$F$6:$F$21,MATCH($G1214,設定!$B$6:$B$21,0)),0))</f>
        <v/>
      </c>
      <c r="M1214" s="85">
        <f>IF(OR($J1214="",$K1214=""),"",ROUND(($K1214-$J1214)*24-$L1214/60,2))</f>
        <v/>
      </c>
      <c r="N1214" s="16">
        <f>IF($C1214="","",IF(AND(COUNTIF(設定!$B$15:$B$21,$G1214)&gt;0,$J1214&lt;&gt;""),"假日出勤",IF(AND(COUNTIF(設定!$B$6:$B$14,$G1214)&gt;0,$J1214=""),"未打卡",IF($J1214="","",IF($O1214&gt;0,"遲到",IF($P1214&gt;0,"早退","正常"))))))</f>
        <v/>
      </c>
      <c r="O1214" s="84">
        <f>IF(OR($C1214="",$H1214="",$J1214=""),0,IF(ROUND(($J1214-$H1214)*1440,0)&gt;設定!$C$46,ROUND(($J1214-$H1214)*1440,0),0))</f>
        <v/>
      </c>
      <c r="P1214" s="84">
        <f>IF(OR($C1214="",$I1214="",$K1214=""),0,IF(ROUND(($I1214-$K1214)*1440,0)&gt;設定!$C$46,ROUND(($I1214-$K1214)*1440,0),0))</f>
        <v/>
      </c>
      <c r="Q1214" s="85">
        <f>IF($M1214="",0,IF(($M1214-IFERROR(INDEX(設定!$G$6:$G$21,MATCH($G1214,設定!$B$6:$B$21,0)),0))*60&gt;=設定!$C$44,ROUND(FLOOR(($M1214-IFERROR(INDEX(設定!$G$6:$G$21,MATCH($G1214,設定!$B$6:$B$21,0)),0))*60,設定!$C$45)/60,2),0))</f>
        <v/>
      </c>
      <c r="R1214" s="16">
        <f>IF(OR($C1214="",$Q1214=0),"",IF($G1214="國","國定假日",IF($B1214="日","例假",IF($B1214="六","休息日","平日"))))</f>
        <v/>
      </c>
      <c r="S1214" s="19" t="n"/>
    </row>
    <row r="1215">
      <c r="A1215" s="82">
        <f>IF(OR(助理班表!$A44="",4&gt;DAY(EOMONTH(DATE(設定!$C$2,設定!$D$2,1),0))),"",DATE(設定!$C$2,設定!$D$2,4))</f>
        <v/>
      </c>
      <c r="B1215" s="16">
        <f>IF($A1215="","",INDEX(設定!$O$6:$O$12,WEEKDAY($A1215,1)))</f>
        <v/>
      </c>
      <c r="C1215" s="16">
        <f>IF($A1215="","",助理班表!$A44)</f>
        <v/>
      </c>
      <c r="D1215" s="16">
        <f>IF($C1215="","",助理班表!$B44)</f>
        <v/>
      </c>
      <c r="E1215" s="16">
        <f>IF($C1215="","",助理班表!$D44)</f>
        <v/>
      </c>
      <c r="F1215" s="16">
        <f>IF($C1215="","",助理班表!$C44)</f>
        <v/>
      </c>
      <c r="G1215" s="16">
        <f>IF($C1215="","",助理班表!H44)</f>
        <v/>
      </c>
      <c r="H1215" s="83">
        <f>IF($G1215="","",IFERROR(IF(INDEX(設定!$D$6:$D$21,MATCH($G1215,設定!$B$6:$B$21,0))=0,"",INDEX(設定!$D$6:$D$21,MATCH($G1215,設定!$B$6:$B$21,0))),""))</f>
        <v/>
      </c>
      <c r="I1215" s="83">
        <f>IF($G1215="","",IFERROR(IF(INDEX(設定!$E$6:$E$21,MATCH($G1215,設定!$B$6:$B$21,0))=0,"",INDEX(設定!$E$6:$E$21,MATCH($G1215,設定!$B$6:$B$21,0))),""))</f>
        <v/>
      </c>
      <c r="J1215" s="83">
        <f>IFERROR(INDEX(打卡匯入!$C$3:$C$2002,MATCH($C1215&amp;"|"&amp;DAY($A1215),打卡匯入!$E$3:$E$2002,0)),"")</f>
        <v/>
      </c>
      <c r="K1215" s="83">
        <f>IFERROR(INDEX(打卡匯入!$D$3:$D$2002,MATCH($C1215&amp;"|"&amp;DAY($A1215),打卡匯入!$E$3:$E$2002,0)),"")</f>
        <v/>
      </c>
      <c r="L1215" s="84">
        <f>IF(OR($J1215="",$K1215=""),"",IFERROR(INDEX(設定!$F$6:$F$21,MATCH($G1215,設定!$B$6:$B$21,0)),0))</f>
        <v/>
      </c>
      <c r="M1215" s="85">
        <f>IF(OR($J1215="",$K1215=""),"",ROUND(($K1215-$J1215)*24-$L1215/60,2))</f>
        <v/>
      </c>
      <c r="N1215" s="16">
        <f>IF($C1215="","",IF(AND(COUNTIF(設定!$B$15:$B$21,$G1215)&gt;0,$J1215&lt;&gt;""),"假日出勤",IF(AND(COUNTIF(設定!$B$6:$B$14,$G1215)&gt;0,$J1215=""),"未打卡",IF($J1215="","",IF($O1215&gt;0,"遲到",IF($P1215&gt;0,"早退","正常"))))))</f>
        <v/>
      </c>
      <c r="O1215" s="84">
        <f>IF(OR($C1215="",$H1215="",$J1215=""),0,IF(ROUND(($J1215-$H1215)*1440,0)&gt;設定!$C$46,ROUND(($J1215-$H1215)*1440,0),0))</f>
        <v/>
      </c>
      <c r="P1215" s="84">
        <f>IF(OR($C1215="",$I1215="",$K1215=""),0,IF(ROUND(($I1215-$K1215)*1440,0)&gt;設定!$C$46,ROUND(($I1215-$K1215)*1440,0),0))</f>
        <v/>
      </c>
      <c r="Q1215" s="85">
        <f>IF($M1215="",0,IF(($M1215-IFERROR(INDEX(設定!$G$6:$G$21,MATCH($G1215,設定!$B$6:$B$21,0)),0))*60&gt;=設定!$C$44,ROUND(FLOOR(($M1215-IFERROR(INDEX(設定!$G$6:$G$21,MATCH($G1215,設定!$B$6:$B$21,0)),0))*60,設定!$C$45)/60,2),0))</f>
        <v/>
      </c>
      <c r="R1215" s="16">
        <f>IF(OR($C1215="",$Q1215=0),"",IF($G1215="國","國定假日",IF($B1215="日","例假",IF($B1215="六","休息日","平日"))))</f>
        <v/>
      </c>
      <c r="S1215" s="19" t="n"/>
    </row>
    <row r="1216">
      <c r="A1216" s="82">
        <f>IF(OR(助理班表!$A44="",5&gt;DAY(EOMONTH(DATE(設定!$C$2,設定!$D$2,1),0))),"",DATE(設定!$C$2,設定!$D$2,5))</f>
        <v/>
      </c>
      <c r="B1216" s="16">
        <f>IF($A1216="","",INDEX(設定!$O$6:$O$12,WEEKDAY($A1216,1)))</f>
        <v/>
      </c>
      <c r="C1216" s="16">
        <f>IF($A1216="","",助理班表!$A44)</f>
        <v/>
      </c>
      <c r="D1216" s="16">
        <f>IF($C1216="","",助理班表!$B44)</f>
        <v/>
      </c>
      <c r="E1216" s="16">
        <f>IF($C1216="","",助理班表!$D44)</f>
        <v/>
      </c>
      <c r="F1216" s="16">
        <f>IF($C1216="","",助理班表!$C44)</f>
        <v/>
      </c>
      <c r="G1216" s="16">
        <f>IF($C1216="","",助理班表!I44)</f>
        <v/>
      </c>
      <c r="H1216" s="83">
        <f>IF($G1216="","",IFERROR(IF(INDEX(設定!$D$6:$D$21,MATCH($G1216,設定!$B$6:$B$21,0))=0,"",INDEX(設定!$D$6:$D$21,MATCH($G1216,設定!$B$6:$B$21,0))),""))</f>
        <v/>
      </c>
      <c r="I1216" s="83">
        <f>IF($G1216="","",IFERROR(IF(INDEX(設定!$E$6:$E$21,MATCH($G1216,設定!$B$6:$B$21,0))=0,"",INDEX(設定!$E$6:$E$21,MATCH($G1216,設定!$B$6:$B$21,0))),""))</f>
        <v/>
      </c>
      <c r="J1216" s="83">
        <f>IFERROR(INDEX(打卡匯入!$C$3:$C$2002,MATCH($C1216&amp;"|"&amp;DAY($A1216),打卡匯入!$E$3:$E$2002,0)),"")</f>
        <v/>
      </c>
      <c r="K1216" s="83">
        <f>IFERROR(INDEX(打卡匯入!$D$3:$D$2002,MATCH($C1216&amp;"|"&amp;DAY($A1216),打卡匯入!$E$3:$E$2002,0)),"")</f>
        <v/>
      </c>
      <c r="L1216" s="84">
        <f>IF(OR($J1216="",$K1216=""),"",IFERROR(INDEX(設定!$F$6:$F$21,MATCH($G1216,設定!$B$6:$B$21,0)),0))</f>
        <v/>
      </c>
      <c r="M1216" s="85">
        <f>IF(OR($J1216="",$K1216=""),"",ROUND(($K1216-$J1216)*24-$L1216/60,2))</f>
        <v/>
      </c>
      <c r="N1216" s="16">
        <f>IF($C1216="","",IF(AND(COUNTIF(設定!$B$15:$B$21,$G1216)&gt;0,$J1216&lt;&gt;""),"假日出勤",IF(AND(COUNTIF(設定!$B$6:$B$14,$G1216)&gt;0,$J1216=""),"未打卡",IF($J1216="","",IF($O1216&gt;0,"遲到",IF($P1216&gt;0,"早退","正常"))))))</f>
        <v/>
      </c>
      <c r="O1216" s="84">
        <f>IF(OR($C1216="",$H1216="",$J1216=""),0,IF(ROUND(($J1216-$H1216)*1440,0)&gt;設定!$C$46,ROUND(($J1216-$H1216)*1440,0),0))</f>
        <v/>
      </c>
      <c r="P1216" s="84">
        <f>IF(OR($C1216="",$I1216="",$K1216=""),0,IF(ROUND(($I1216-$K1216)*1440,0)&gt;設定!$C$46,ROUND(($I1216-$K1216)*1440,0),0))</f>
        <v/>
      </c>
      <c r="Q1216" s="85">
        <f>IF($M1216="",0,IF(($M1216-IFERROR(INDEX(設定!$G$6:$G$21,MATCH($G1216,設定!$B$6:$B$21,0)),0))*60&gt;=設定!$C$44,ROUND(FLOOR(($M1216-IFERROR(INDEX(設定!$G$6:$G$21,MATCH($G1216,設定!$B$6:$B$21,0)),0))*60,設定!$C$45)/60,2),0))</f>
        <v/>
      </c>
      <c r="R1216" s="16">
        <f>IF(OR($C1216="",$Q1216=0),"",IF($G1216="國","國定假日",IF($B1216="日","例假",IF($B1216="六","休息日","平日"))))</f>
        <v/>
      </c>
      <c r="S1216" s="19" t="n"/>
    </row>
    <row r="1217">
      <c r="A1217" s="82">
        <f>IF(OR(助理班表!$A44="",6&gt;DAY(EOMONTH(DATE(設定!$C$2,設定!$D$2,1),0))),"",DATE(設定!$C$2,設定!$D$2,6))</f>
        <v/>
      </c>
      <c r="B1217" s="16">
        <f>IF($A1217="","",INDEX(設定!$O$6:$O$12,WEEKDAY($A1217,1)))</f>
        <v/>
      </c>
      <c r="C1217" s="16">
        <f>IF($A1217="","",助理班表!$A44)</f>
        <v/>
      </c>
      <c r="D1217" s="16">
        <f>IF($C1217="","",助理班表!$B44)</f>
        <v/>
      </c>
      <c r="E1217" s="16">
        <f>IF($C1217="","",助理班表!$D44)</f>
        <v/>
      </c>
      <c r="F1217" s="16">
        <f>IF($C1217="","",助理班表!$C44)</f>
        <v/>
      </c>
      <c r="G1217" s="16">
        <f>IF($C1217="","",助理班表!J44)</f>
        <v/>
      </c>
      <c r="H1217" s="83">
        <f>IF($G1217="","",IFERROR(IF(INDEX(設定!$D$6:$D$21,MATCH($G1217,設定!$B$6:$B$21,0))=0,"",INDEX(設定!$D$6:$D$21,MATCH($G1217,設定!$B$6:$B$21,0))),""))</f>
        <v/>
      </c>
      <c r="I1217" s="83">
        <f>IF($G1217="","",IFERROR(IF(INDEX(設定!$E$6:$E$21,MATCH($G1217,設定!$B$6:$B$21,0))=0,"",INDEX(設定!$E$6:$E$21,MATCH($G1217,設定!$B$6:$B$21,0))),""))</f>
        <v/>
      </c>
      <c r="J1217" s="83">
        <f>IFERROR(INDEX(打卡匯入!$C$3:$C$2002,MATCH($C1217&amp;"|"&amp;DAY($A1217),打卡匯入!$E$3:$E$2002,0)),"")</f>
        <v/>
      </c>
      <c r="K1217" s="83">
        <f>IFERROR(INDEX(打卡匯入!$D$3:$D$2002,MATCH($C1217&amp;"|"&amp;DAY($A1217),打卡匯入!$E$3:$E$2002,0)),"")</f>
        <v/>
      </c>
      <c r="L1217" s="84">
        <f>IF(OR($J1217="",$K1217=""),"",IFERROR(INDEX(設定!$F$6:$F$21,MATCH($G1217,設定!$B$6:$B$21,0)),0))</f>
        <v/>
      </c>
      <c r="M1217" s="85">
        <f>IF(OR($J1217="",$K1217=""),"",ROUND(($K1217-$J1217)*24-$L1217/60,2))</f>
        <v/>
      </c>
      <c r="N1217" s="16">
        <f>IF($C1217="","",IF(AND(COUNTIF(設定!$B$15:$B$21,$G1217)&gt;0,$J1217&lt;&gt;""),"假日出勤",IF(AND(COUNTIF(設定!$B$6:$B$14,$G1217)&gt;0,$J1217=""),"未打卡",IF($J1217="","",IF($O1217&gt;0,"遲到",IF($P1217&gt;0,"早退","正常"))))))</f>
        <v/>
      </c>
      <c r="O1217" s="84">
        <f>IF(OR($C1217="",$H1217="",$J1217=""),0,IF(ROUND(($J1217-$H1217)*1440,0)&gt;設定!$C$46,ROUND(($J1217-$H1217)*1440,0),0))</f>
        <v/>
      </c>
      <c r="P1217" s="84">
        <f>IF(OR($C1217="",$I1217="",$K1217=""),0,IF(ROUND(($I1217-$K1217)*1440,0)&gt;設定!$C$46,ROUND(($I1217-$K1217)*1440,0),0))</f>
        <v/>
      </c>
      <c r="Q1217" s="85">
        <f>IF($M1217="",0,IF(($M1217-IFERROR(INDEX(設定!$G$6:$G$21,MATCH($G1217,設定!$B$6:$B$21,0)),0))*60&gt;=設定!$C$44,ROUND(FLOOR(($M1217-IFERROR(INDEX(設定!$G$6:$G$21,MATCH($G1217,設定!$B$6:$B$21,0)),0))*60,設定!$C$45)/60,2),0))</f>
        <v/>
      </c>
      <c r="R1217" s="16">
        <f>IF(OR($C1217="",$Q1217=0),"",IF($G1217="國","國定假日",IF($B1217="日","例假",IF($B1217="六","休息日","平日"))))</f>
        <v/>
      </c>
      <c r="S1217" s="19" t="n"/>
    </row>
    <row r="1218">
      <c r="A1218" s="82">
        <f>IF(OR(助理班表!$A44="",7&gt;DAY(EOMONTH(DATE(設定!$C$2,設定!$D$2,1),0))),"",DATE(設定!$C$2,設定!$D$2,7))</f>
        <v/>
      </c>
      <c r="B1218" s="16">
        <f>IF($A1218="","",INDEX(設定!$O$6:$O$12,WEEKDAY($A1218,1)))</f>
        <v/>
      </c>
      <c r="C1218" s="16">
        <f>IF($A1218="","",助理班表!$A44)</f>
        <v/>
      </c>
      <c r="D1218" s="16">
        <f>IF($C1218="","",助理班表!$B44)</f>
        <v/>
      </c>
      <c r="E1218" s="16">
        <f>IF($C1218="","",助理班表!$D44)</f>
        <v/>
      </c>
      <c r="F1218" s="16">
        <f>IF($C1218="","",助理班表!$C44)</f>
        <v/>
      </c>
      <c r="G1218" s="16">
        <f>IF($C1218="","",助理班表!K44)</f>
        <v/>
      </c>
      <c r="H1218" s="83">
        <f>IF($G1218="","",IFERROR(IF(INDEX(設定!$D$6:$D$21,MATCH($G1218,設定!$B$6:$B$21,0))=0,"",INDEX(設定!$D$6:$D$21,MATCH($G1218,設定!$B$6:$B$21,0))),""))</f>
        <v/>
      </c>
      <c r="I1218" s="83">
        <f>IF($G1218="","",IFERROR(IF(INDEX(設定!$E$6:$E$21,MATCH($G1218,設定!$B$6:$B$21,0))=0,"",INDEX(設定!$E$6:$E$21,MATCH($G1218,設定!$B$6:$B$21,0))),""))</f>
        <v/>
      </c>
      <c r="J1218" s="83">
        <f>IFERROR(INDEX(打卡匯入!$C$3:$C$2002,MATCH($C1218&amp;"|"&amp;DAY($A1218),打卡匯入!$E$3:$E$2002,0)),"")</f>
        <v/>
      </c>
      <c r="K1218" s="83">
        <f>IFERROR(INDEX(打卡匯入!$D$3:$D$2002,MATCH($C1218&amp;"|"&amp;DAY($A1218),打卡匯入!$E$3:$E$2002,0)),"")</f>
        <v/>
      </c>
      <c r="L1218" s="84">
        <f>IF(OR($J1218="",$K1218=""),"",IFERROR(INDEX(設定!$F$6:$F$21,MATCH($G1218,設定!$B$6:$B$21,0)),0))</f>
        <v/>
      </c>
      <c r="M1218" s="85">
        <f>IF(OR($J1218="",$K1218=""),"",ROUND(($K1218-$J1218)*24-$L1218/60,2))</f>
        <v/>
      </c>
      <c r="N1218" s="16">
        <f>IF($C1218="","",IF(AND(COUNTIF(設定!$B$15:$B$21,$G1218)&gt;0,$J1218&lt;&gt;""),"假日出勤",IF(AND(COUNTIF(設定!$B$6:$B$14,$G1218)&gt;0,$J1218=""),"未打卡",IF($J1218="","",IF($O1218&gt;0,"遲到",IF($P1218&gt;0,"早退","正常"))))))</f>
        <v/>
      </c>
      <c r="O1218" s="84">
        <f>IF(OR($C1218="",$H1218="",$J1218=""),0,IF(ROUND(($J1218-$H1218)*1440,0)&gt;設定!$C$46,ROUND(($J1218-$H1218)*1440,0),0))</f>
        <v/>
      </c>
      <c r="P1218" s="84">
        <f>IF(OR($C1218="",$I1218="",$K1218=""),0,IF(ROUND(($I1218-$K1218)*1440,0)&gt;設定!$C$46,ROUND(($I1218-$K1218)*1440,0),0))</f>
        <v/>
      </c>
      <c r="Q1218" s="85">
        <f>IF($M1218="",0,IF(($M1218-IFERROR(INDEX(設定!$G$6:$G$21,MATCH($G1218,設定!$B$6:$B$21,0)),0))*60&gt;=設定!$C$44,ROUND(FLOOR(($M1218-IFERROR(INDEX(設定!$G$6:$G$21,MATCH($G1218,設定!$B$6:$B$21,0)),0))*60,設定!$C$45)/60,2),0))</f>
        <v/>
      </c>
      <c r="R1218" s="16">
        <f>IF(OR($C1218="",$Q1218=0),"",IF($G1218="國","國定假日",IF($B1218="日","例假",IF($B1218="六","休息日","平日"))))</f>
        <v/>
      </c>
      <c r="S1218" s="19" t="n"/>
    </row>
    <row r="1219">
      <c r="A1219" s="82">
        <f>IF(OR(助理班表!$A44="",8&gt;DAY(EOMONTH(DATE(設定!$C$2,設定!$D$2,1),0))),"",DATE(設定!$C$2,設定!$D$2,8))</f>
        <v/>
      </c>
      <c r="B1219" s="16">
        <f>IF($A1219="","",INDEX(設定!$O$6:$O$12,WEEKDAY($A1219,1)))</f>
        <v/>
      </c>
      <c r="C1219" s="16">
        <f>IF($A1219="","",助理班表!$A44)</f>
        <v/>
      </c>
      <c r="D1219" s="16">
        <f>IF($C1219="","",助理班表!$B44)</f>
        <v/>
      </c>
      <c r="E1219" s="16">
        <f>IF($C1219="","",助理班表!$D44)</f>
        <v/>
      </c>
      <c r="F1219" s="16">
        <f>IF($C1219="","",助理班表!$C44)</f>
        <v/>
      </c>
      <c r="G1219" s="16">
        <f>IF($C1219="","",助理班表!L44)</f>
        <v/>
      </c>
      <c r="H1219" s="83">
        <f>IF($G1219="","",IFERROR(IF(INDEX(設定!$D$6:$D$21,MATCH($G1219,設定!$B$6:$B$21,0))=0,"",INDEX(設定!$D$6:$D$21,MATCH($G1219,設定!$B$6:$B$21,0))),""))</f>
        <v/>
      </c>
      <c r="I1219" s="83">
        <f>IF($G1219="","",IFERROR(IF(INDEX(設定!$E$6:$E$21,MATCH($G1219,設定!$B$6:$B$21,0))=0,"",INDEX(設定!$E$6:$E$21,MATCH($G1219,設定!$B$6:$B$21,0))),""))</f>
        <v/>
      </c>
      <c r="J1219" s="83">
        <f>IFERROR(INDEX(打卡匯入!$C$3:$C$2002,MATCH($C1219&amp;"|"&amp;DAY($A1219),打卡匯入!$E$3:$E$2002,0)),"")</f>
        <v/>
      </c>
      <c r="K1219" s="83">
        <f>IFERROR(INDEX(打卡匯入!$D$3:$D$2002,MATCH($C1219&amp;"|"&amp;DAY($A1219),打卡匯入!$E$3:$E$2002,0)),"")</f>
        <v/>
      </c>
      <c r="L1219" s="84">
        <f>IF(OR($J1219="",$K1219=""),"",IFERROR(INDEX(設定!$F$6:$F$21,MATCH($G1219,設定!$B$6:$B$21,0)),0))</f>
        <v/>
      </c>
      <c r="M1219" s="85">
        <f>IF(OR($J1219="",$K1219=""),"",ROUND(($K1219-$J1219)*24-$L1219/60,2))</f>
        <v/>
      </c>
      <c r="N1219" s="16">
        <f>IF($C1219="","",IF(AND(COUNTIF(設定!$B$15:$B$21,$G1219)&gt;0,$J1219&lt;&gt;""),"假日出勤",IF(AND(COUNTIF(設定!$B$6:$B$14,$G1219)&gt;0,$J1219=""),"未打卡",IF($J1219="","",IF($O1219&gt;0,"遲到",IF($P1219&gt;0,"早退","正常"))))))</f>
        <v/>
      </c>
      <c r="O1219" s="84">
        <f>IF(OR($C1219="",$H1219="",$J1219=""),0,IF(ROUND(($J1219-$H1219)*1440,0)&gt;設定!$C$46,ROUND(($J1219-$H1219)*1440,0),0))</f>
        <v/>
      </c>
      <c r="P1219" s="84">
        <f>IF(OR($C1219="",$I1219="",$K1219=""),0,IF(ROUND(($I1219-$K1219)*1440,0)&gt;設定!$C$46,ROUND(($I1219-$K1219)*1440,0),0))</f>
        <v/>
      </c>
      <c r="Q1219" s="85">
        <f>IF($M1219="",0,IF(($M1219-IFERROR(INDEX(設定!$G$6:$G$21,MATCH($G1219,設定!$B$6:$B$21,0)),0))*60&gt;=設定!$C$44,ROUND(FLOOR(($M1219-IFERROR(INDEX(設定!$G$6:$G$21,MATCH($G1219,設定!$B$6:$B$21,0)),0))*60,設定!$C$45)/60,2),0))</f>
        <v/>
      </c>
      <c r="R1219" s="16">
        <f>IF(OR($C1219="",$Q1219=0),"",IF($G1219="國","國定假日",IF($B1219="日","例假",IF($B1219="六","休息日","平日"))))</f>
        <v/>
      </c>
      <c r="S1219" s="19" t="n"/>
    </row>
    <row r="1220">
      <c r="A1220" s="82">
        <f>IF(OR(助理班表!$A44="",9&gt;DAY(EOMONTH(DATE(設定!$C$2,設定!$D$2,1),0))),"",DATE(設定!$C$2,設定!$D$2,9))</f>
        <v/>
      </c>
      <c r="B1220" s="16">
        <f>IF($A1220="","",INDEX(設定!$O$6:$O$12,WEEKDAY($A1220,1)))</f>
        <v/>
      </c>
      <c r="C1220" s="16">
        <f>IF($A1220="","",助理班表!$A44)</f>
        <v/>
      </c>
      <c r="D1220" s="16">
        <f>IF($C1220="","",助理班表!$B44)</f>
        <v/>
      </c>
      <c r="E1220" s="16">
        <f>IF($C1220="","",助理班表!$D44)</f>
        <v/>
      </c>
      <c r="F1220" s="16">
        <f>IF($C1220="","",助理班表!$C44)</f>
        <v/>
      </c>
      <c r="G1220" s="16">
        <f>IF($C1220="","",助理班表!M44)</f>
        <v/>
      </c>
      <c r="H1220" s="83">
        <f>IF($G1220="","",IFERROR(IF(INDEX(設定!$D$6:$D$21,MATCH($G1220,設定!$B$6:$B$21,0))=0,"",INDEX(設定!$D$6:$D$21,MATCH($G1220,設定!$B$6:$B$21,0))),""))</f>
        <v/>
      </c>
      <c r="I1220" s="83">
        <f>IF($G1220="","",IFERROR(IF(INDEX(設定!$E$6:$E$21,MATCH($G1220,設定!$B$6:$B$21,0))=0,"",INDEX(設定!$E$6:$E$21,MATCH($G1220,設定!$B$6:$B$21,0))),""))</f>
        <v/>
      </c>
      <c r="J1220" s="83">
        <f>IFERROR(INDEX(打卡匯入!$C$3:$C$2002,MATCH($C1220&amp;"|"&amp;DAY($A1220),打卡匯入!$E$3:$E$2002,0)),"")</f>
        <v/>
      </c>
      <c r="K1220" s="83">
        <f>IFERROR(INDEX(打卡匯入!$D$3:$D$2002,MATCH($C1220&amp;"|"&amp;DAY($A1220),打卡匯入!$E$3:$E$2002,0)),"")</f>
        <v/>
      </c>
      <c r="L1220" s="84">
        <f>IF(OR($J1220="",$K1220=""),"",IFERROR(INDEX(設定!$F$6:$F$21,MATCH($G1220,設定!$B$6:$B$21,0)),0))</f>
        <v/>
      </c>
      <c r="M1220" s="85">
        <f>IF(OR($J1220="",$K1220=""),"",ROUND(($K1220-$J1220)*24-$L1220/60,2))</f>
        <v/>
      </c>
      <c r="N1220" s="16">
        <f>IF($C1220="","",IF(AND(COUNTIF(設定!$B$15:$B$21,$G1220)&gt;0,$J1220&lt;&gt;""),"假日出勤",IF(AND(COUNTIF(設定!$B$6:$B$14,$G1220)&gt;0,$J1220=""),"未打卡",IF($J1220="","",IF($O1220&gt;0,"遲到",IF($P1220&gt;0,"早退","正常"))))))</f>
        <v/>
      </c>
      <c r="O1220" s="84">
        <f>IF(OR($C1220="",$H1220="",$J1220=""),0,IF(ROUND(($J1220-$H1220)*1440,0)&gt;設定!$C$46,ROUND(($J1220-$H1220)*1440,0),0))</f>
        <v/>
      </c>
      <c r="P1220" s="84">
        <f>IF(OR($C1220="",$I1220="",$K1220=""),0,IF(ROUND(($I1220-$K1220)*1440,0)&gt;設定!$C$46,ROUND(($I1220-$K1220)*1440,0),0))</f>
        <v/>
      </c>
      <c r="Q1220" s="85">
        <f>IF($M1220="",0,IF(($M1220-IFERROR(INDEX(設定!$G$6:$G$21,MATCH($G1220,設定!$B$6:$B$21,0)),0))*60&gt;=設定!$C$44,ROUND(FLOOR(($M1220-IFERROR(INDEX(設定!$G$6:$G$21,MATCH($G1220,設定!$B$6:$B$21,0)),0))*60,設定!$C$45)/60,2),0))</f>
        <v/>
      </c>
      <c r="R1220" s="16">
        <f>IF(OR($C1220="",$Q1220=0),"",IF($G1220="國","國定假日",IF($B1220="日","例假",IF($B1220="六","休息日","平日"))))</f>
        <v/>
      </c>
      <c r="S1220" s="19" t="n"/>
    </row>
    <row r="1221">
      <c r="A1221" s="82">
        <f>IF(OR(助理班表!$A44="",10&gt;DAY(EOMONTH(DATE(設定!$C$2,設定!$D$2,1),0))),"",DATE(設定!$C$2,設定!$D$2,10))</f>
        <v/>
      </c>
      <c r="B1221" s="16">
        <f>IF($A1221="","",INDEX(設定!$O$6:$O$12,WEEKDAY($A1221,1)))</f>
        <v/>
      </c>
      <c r="C1221" s="16">
        <f>IF($A1221="","",助理班表!$A44)</f>
        <v/>
      </c>
      <c r="D1221" s="16">
        <f>IF($C1221="","",助理班表!$B44)</f>
        <v/>
      </c>
      <c r="E1221" s="16">
        <f>IF($C1221="","",助理班表!$D44)</f>
        <v/>
      </c>
      <c r="F1221" s="16">
        <f>IF($C1221="","",助理班表!$C44)</f>
        <v/>
      </c>
      <c r="G1221" s="16">
        <f>IF($C1221="","",助理班表!N44)</f>
        <v/>
      </c>
      <c r="H1221" s="83">
        <f>IF($G1221="","",IFERROR(IF(INDEX(設定!$D$6:$D$21,MATCH($G1221,設定!$B$6:$B$21,0))=0,"",INDEX(設定!$D$6:$D$21,MATCH($G1221,設定!$B$6:$B$21,0))),""))</f>
        <v/>
      </c>
      <c r="I1221" s="83">
        <f>IF($G1221="","",IFERROR(IF(INDEX(設定!$E$6:$E$21,MATCH($G1221,設定!$B$6:$B$21,0))=0,"",INDEX(設定!$E$6:$E$21,MATCH($G1221,設定!$B$6:$B$21,0))),""))</f>
        <v/>
      </c>
      <c r="J1221" s="83">
        <f>IFERROR(INDEX(打卡匯入!$C$3:$C$2002,MATCH($C1221&amp;"|"&amp;DAY($A1221),打卡匯入!$E$3:$E$2002,0)),"")</f>
        <v/>
      </c>
      <c r="K1221" s="83">
        <f>IFERROR(INDEX(打卡匯入!$D$3:$D$2002,MATCH($C1221&amp;"|"&amp;DAY($A1221),打卡匯入!$E$3:$E$2002,0)),"")</f>
        <v/>
      </c>
      <c r="L1221" s="84">
        <f>IF(OR($J1221="",$K1221=""),"",IFERROR(INDEX(設定!$F$6:$F$21,MATCH($G1221,設定!$B$6:$B$21,0)),0))</f>
        <v/>
      </c>
      <c r="M1221" s="85">
        <f>IF(OR($J1221="",$K1221=""),"",ROUND(($K1221-$J1221)*24-$L1221/60,2))</f>
        <v/>
      </c>
      <c r="N1221" s="16">
        <f>IF($C1221="","",IF(AND(COUNTIF(設定!$B$15:$B$21,$G1221)&gt;0,$J1221&lt;&gt;""),"假日出勤",IF(AND(COUNTIF(設定!$B$6:$B$14,$G1221)&gt;0,$J1221=""),"未打卡",IF($J1221="","",IF($O1221&gt;0,"遲到",IF($P1221&gt;0,"早退","正常"))))))</f>
        <v/>
      </c>
      <c r="O1221" s="84">
        <f>IF(OR($C1221="",$H1221="",$J1221=""),0,IF(ROUND(($J1221-$H1221)*1440,0)&gt;設定!$C$46,ROUND(($J1221-$H1221)*1440,0),0))</f>
        <v/>
      </c>
      <c r="P1221" s="84">
        <f>IF(OR($C1221="",$I1221="",$K1221=""),0,IF(ROUND(($I1221-$K1221)*1440,0)&gt;設定!$C$46,ROUND(($I1221-$K1221)*1440,0),0))</f>
        <v/>
      </c>
      <c r="Q1221" s="85">
        <f>IF($M1221="",0,IF(($M1221-IFERROR(INDEX(設定!$G$6:$G$21,MATCH($G1221,設定!$B$6:$B$21,0)),0))*60&gt;=設定!$C$44,ROUND(FLOOR(($M1221-IFERROR(INDEX(設定!$G$6:$G$21,MATCH($G1221,設定!$B$6:$B$21,0)),0))*60,設定!$C$45)/60,2),0))</f>
        <v/>
      </c>
      <c r="R1221" s="16">
        <f>IF(OR($C1221="",$Q1221=0),"",IF($G1221="國","國定假日",IF($B1221="日","例假",IF($B1221="六","休息日","平日"))))</f>
        <v/>
      </c>
      <c r="S1221" s="19" t="n"/>
    </row>
    <row r="1222">
      <c r="A1222" s="82">
        <f>IF(OR(助理班表!$A44="",11&gt;DAY(EOMONTH(DATE(設定!$C$2,設定!$D$2,1),0))),"",DATE(設定!$C$2,設定!$D$2,11))</f>
        <v/>
      </c>
      <c r="B1222" s="16">
        <f>IF($A1222="","",INDEX(設定!$O$6:$O$12,WEEKDAY($A1222,1)))</f>
        <v/>
      </c>
      <c r="C1222" s="16">
        <f>IF($A1222="","",助理班表!$A44)</f>
        <v/>
      </c>
      <c r="D1222" s="16">
        <f>IF($C1222="","",助理班表!$B44)</f>
        <v/>
      </c>
      <c r="E1222" s="16">
        <f>IF($C1222="","",助理班表!$D44)</f>
        <v/>
      </c>
      <c r="F1222" s="16">
        <f>IF($C1222="","",助理班表!$C44)</f>
        <v/>
      </c>
      <c r="G1222" s="16">
        <f>IF($C1222="","",助理班表!O44)</f>
        <v/>
      </c>
      <c r="H1222" s="83">
        <f>IF($G1222="","",IFERROR(IF(INDEX(設定!$D$6:$D$21,MATCH($G1222,設定!$B$6:$B$21,0))=0,"",INDEX(設定!$D$6:$D$21,MATCH($G1222,設定!$B$6:$B$21,0))),""))</f>
        <v/>
      </c>
      <c r="I1222" s="83">
        <f>IF($G1222="","",IFERROR(IF(INDEX(設定!$E$6:$E$21,MATCH($G1222,設定!$B$6:$B$21,0))=0,"",INDEX(設定!$E$6:$E$21,MATCH($G1222,設定!$B$6:$B$21,0))),""))</f>
        <v/>
      </c>
      <c r="J1222" s="83">
        <f>IFERROR(INDEX(打卡匯入!$C$3:$C$2002,MATCH($C1222&amp;"|"&amp;DAY($A1222),打卡匯入!$E$3:$E$2002,0)),"")</f>
        <v/>
      </c>
      <c r="K1222" s="83">
        <f>IFERROR(INDEX(打卡匯入!$D$3:$D$2002,MATCH($C1222&amp;"|"&amp;DAY($A1222),打卡匯入!$E$3:$E$2002,0)),"")</f>
        <v/>
      </c>
      <c r="L1222" s="84">
        <f>IF(OR($J1222="",$K1222=""),"",IFERROR(INDEX(設定!$F$6:$F$21,MATCH($G1222,設定!$B$6:$B$21,0)),0))</f>
        <v/>
      </c>
      <c r="M1222" s="85">
        <f>IF(OR($J1222="",$K1222=""),"",ROUND(($K1222-$J1222)*24-$L1222/60,2))</f>
        <v/>
      </c>
      <c r="N1222" s="16">
        <f>IF($C1222="","",IF(AND(COUNTIF(設定!$B$15:$B$21,$G1222)&gt;0,$J1222&lt;&gt;""),"假日出勤",IF(AND(COUNTIF(設定!$B$6:$B$14,$G1222)&gt;0,$J1222=""),"未打卡",IF($J1222="","",IF($O1222&gt;0,"遲到",IF($P1222&gt;0,"早退","正常"))))))</f>
        <v/>
      </c>
      <c r="O1222" s="84">
        <f>IF(OR($C1222="",$H1222="",$J1222=""),0,IF(ROUND(($J1222-$H1222)*1440,0)&gt;設定!$C$46,ROUND(($J1222-$H1222)*1440,0),0))</f>
        <v/>
      </c>
      <c r="P1222" s="84">
        <f>IF(OR($C1222="",$I1222="",$K1222=""),0,IF(ROUND(($I1222-$K1222)*1440,0)&gt;設定!$C$46,ROUND(($I1222-$K1222)*1440,0),0))</f>
        <v/>
      </c>
      <c r="Q1222" s="85">
        <f>IF($M1222="",0,IF(($M1222-IFERROR(INDEX(設定!$G$6:$G$21,MATCH($G1222,設定!$B$6:$B$21,0)),0))*60&gt;=設定!$C$44,ROUND(FLOOR(($M1222-IFERROR(INDEX(設定!$G$6:$G$21,MATCH($G1222,設定!$B$6:$B$21,0)),0))*60,設定!$C$45)/60,2),0))</f>
        <v/>
      </c>
      <c r="R1222" s="16">
        <f>IF(OR($C1222="",$Q1222=0),"",IF($G1222="國","國定假日",IF($B1222="日","例假",IF($B1222="六","休息日","平日"))))</f>
        <v/>
      </c>
      <c r="S1222" s="19" t="n"/>
    </row>
    <row r="1223">
      <c r="A1223" s="82">
        <f>IF(OR(助理班表!$A44="",12&gt;DAY(EOMONTH(DATE(設定!$C$2,設定!$D$2,1),0))),"",DATE(設定!$C$2,設定!$D$2,12))</f>
        <v/>
      </c>
      <c r="B1223" s="16">
        <f>IF($A1223="","",INDEX(設定!$O$6:$O$12,WEEKDAY($A1223,1)))</f>
        <v/>
      </c>
      <c r="C1223" s="16">
        <f>IF($A1223="","",助理班表!$A44)</f>
        <v/>
      </c>
      <c r="D1223" s="16">
        <f>IF($C1223="","",助理班表!$B44)</f>
        <v/>
      </c>
      <c r="E1223" s="16">
        <f>IF($C1223="","",助理班表!$D44)</f>
        <v/>
      </c>
      <c r="F1223" s="16">
        <f>IF($C1223="","",助理班表!$C44)</f>
        <v/>
      </c>
      <c r="G1223" s="16">
        <f>IF($C1223="","",助理班表!P44)</f>
        <v/>
      </c>
      <c r="H1223" s="83">
        <f>IF($G1223="","",IFERROR(IF(INDEX(設定!$D$6:$D$21,MATCH($G1223,設定!$B$6:$B$21,0))=0,"",INDEX(設定!$D$6:$D$21,MATCH($G1223,設定!$B$6:$B$21,0))),""))</f>
        <v/>
      </c>
      <c r="I1223" s="83">
        <f>IF($G1223="","",IFERROR(IF(INDEX(設定!$E$6:$E$21,MATCH($G1223,設定!$B$6:$B$21,0))=0,"",INDEX(設定!$E$6:$E$21,MATCH($G1223,設定!$B$6:$B$21,0))),""))</f>
        <v/>
      </c>
      <c r="J1223" s="83">
        <f>IFERROR(INDEX(打卡匯入!$C$3:$C$2002,MATCH($C1223&amp;"|"&amp;DAY($A1223),打卡匯入!$E$3:$E$2002,0)),"")</f>
        <v/>
      </c>
      <c r="K1223" s="83">
        <f>IFERROR(INDEX(打卡匯入!$D$3:$D$2002,MATCH($C1223&amp;"|"&amp;DAY($A1223),打卡匯入!$E$3:$E$2002,0)),"")</f>
        <v/>
      </c>
      <c r="L1223" s="84">
        <f>IF(OR($J1223="",$K1223=""),"",IFERROR(INDEX(設定!$F$6:$F$21,MATCH($G1223,設定!$B$6:$B$21,0)),0))</f>
        <v/>
      </c>
      <c r="M1223" s="85">
        <f>IF(OR($J1223="",$K1223=""),"",ROUND(($K1223-$J1223)*24-$L1223/60,2))</f>
        <v/>
      </c>
      <c r="N1223" s="16">
        <f>IF($C1223="","",IF(AND(COUNTIF(設定!$B$15:$B$21,$G1223)&gt;0,$J1223&lt;&gt;""),"假日出勤",IF(AND(COUNTIF(設定!$B$6:$B$14,$G1223)&gt;0,$J1223=""),"未打卡",IF($J1223="","",IF($O1223&gt;0,"遲到",IF($P1223&gt;0,"早退","正常"))))))</f>
        <v/>
      </c>
      <c r="O1223" s="84">
        <f>IF(OR($C1223="",$H1223="",$J1223=""),0,IF(ROUND(($J1223-$H1223)*1440,0)&gt;設定!$C$46,ROUND(($J1223-$H1223)*1440,0),0))</f>
        <v/>
      </c>
      <c r="P1223" s="84">
        <f>IF(OR($C1223="",$I1223="",$K1223=""),0,IF(ROUND(($I1223-$K1223)*1440,0)&gt;設定!$C$46,ROUND(($I1223-$K1223)*1440,0),0))</f>
        <v/>
      </c>
      <c r="Q1223" s="85">
        <f>IF($M1223="",0,IF(($M1223-IFERROR(INDEX(設定!$G$6:$G$21,MATCH($G1223,設定!$B$6:$B$21,0)),0))*60&gt;=設定!$C$44,ROUND(FLOOR(($M1223-IFERROR(INDEX(設定!$G$6:$G$21,MATCH($G1223,設定!$B$6:$B$21,0)),0))*60,設定!$C$45)/60,2),0))</f>
        <v/>
      </c>
      <c r="R1223" s="16">
        <f>IF(OR($C1223="",$Q1223=0),"",IF($G1223="國","國定假日",IF($B1223="日","例假",IF($B1223="六","休息日","平日"))))</f>
        <v/>
      </c>
      <c r="S1223" s="19" t="n"/>
    </row>
    <row r="1224">
      <c r="A1224" s="82">
        <f>IF(OR(助理班表!$A44="",13&gt;DAY(EOMONTH(DATE(設定!$C$2,設定!$D$2,1),0))),"",DATE(設定!$C$2,設定!$D$2,13))</f>
        <v/>
      </c>
      <c r="B1224" s="16">
        <f>IF($A1224="","",INDEX(設定!$O$6:$O$12,WEEKDAY($A1224,1)))</f>
        <v/>
      </c>
      <c r="C1224" s="16">
        <f>IF($A1224="","",助理班表!$A44)</f>
        <v/>
      </c>
      <c r="D1224" s="16">
        <f>IF($C1224="","",助理班表!$B44)</f>
        <v/>
      </c>
      <c r="E1224" s="16">
        <f>IF($C1224="","",助理班表!$D44)</f>
        <v/>
      </c>
      <c r="F1224" s="16">
        <f>IF($C1224="","",助理班表!$C44)</f>
        <v/>
      </c>
      <c r="G1224" s="16">
        <f>IF($C1224="","",助理班表!Q44)</f>
        <v/>
      </c>
      <c r="H1224" s="83">
        <f>IF($G1224="","",IFERROR(IF(INDEX(設定!$D$6:$D$21,MATCH($G1224,設定!$B$6:$B$21,0))=0,"",INDEX(設定!$D$6:$D$21,MATCH($G1224,設定!$B$6:$B$21,0))),""))</f>
        <v/>
      </c>
      <c r="I1224" s="83">
        <f>IF($G1224="","",IFERROR(IF(INDEX(設定!$E$6:$E$21,MATCH($G1224,設定!$B$6:$B$21,0))=0,"",INDEX(設定!$E$6:$E$21,MATCH($G1224,設定!$B$6:$B$21,0))),""))</f>
        <v/>
      </c>
      <c r="J1224" s="83">
        <f>IFERROR(INDEX(打卡匯入!$C$3:$C$2002,MATCH($C1224&amp;"|"&amp;DAY($A1224),打卡匯入!$E$3:$E$2002,0)),"")</f>
        <v/>
      </c>
      <c r="K1224" s="83">
        <f>IFERROR(INDEX(打卡匯入!$D$3:$D$2002,MATCH($C1224&amp;"|"&amp;DAY($A1224),打卡匯入!$E$3:$E$2002,0)),"")</f>
        <v/>
      </c>
      <c r="L1224" s="84">
        <f>IF(OR($J1224="",$K1224=""),"",IFERROR(INDEX(設定!$F$6:$F$21,MATCH($G1224,設定!$B$6:$B$21,0)),0))</f>
        <v/>
      </c>
      <c r="M1224" s="85">
        <f>IF(OR($J1224="",$K1224=""),"",ROUND(($K1224-$J1224)*24-$L1224/60,2))</f>
        <v/>
      </c>
      <c r="N1224" s="16">
        <f>IF($C1224="","",IF(AND(COUNTIF(設定!$B$15:$B$21,$G1224)&gt;0,$J1224&lt;&gt;""),"假日出勤",IF(AND(COUNTIF(設定!$B$6:$B$14,$G1224)&gt;0,$J1224=""),"未打卡",IF($J1224="","",IF($O1224&gt;0,"遲到",IF($P1224&gt;0,"早退","正常"))))))</f>
        <v/>
      </c>
      <c r="O1224" s="84">
        <f>IF(OR($C1224="",$H1224="",$J1224=""),0,IF(ROUND(($J1224-$H1224)*1440,0)&gt;設定!$C$46,ROUND(($J1224-$H1224)*1440,0),0))</f>
        <v/>
      </c>
      <c r="P1224" s="84">
        <f>IF(OR($C1224="",$I1224="",$K1224=""),0,IF(ROUND(($I1224-$K1224)*1440,0)&gt;設定!$C$46,ROUND(($I1224-$K1224)*1440,0),0))</f>
        <v/>
      </c>
      <c r="Q1224" s="85">
        <f>IF($M1224="",0,IF(($M1224-IFERROR(INDEX(設定!$G$6:$G$21,MATCH($G1224,設定!$B$6:$B$21,0)),0))*60&gt;=設定!$C$44,ROUND(FLOOR(($M1224-IFERROR(INDEX(設定!$G$6:$G$21,MATCH($G1224,設定!$B$6:$B$21,0)),0))*60,設定!$C$45)/60,2),0))</f>
        <v/>
      </c>
      <c r="R1224" s="16">
        <f>IF(OR($C1224="",$Q1224=0),"",IF($G1224="國","國定假日",IF($B1224="日","例假",IF($B1224="六","休息日","平日"))))</f>
        <v/>
      </c>
      <c r="S1224" s="19" t="n"/>
    </row>
    <row r="1225">
      <c r="A1225" s="82">
        <f>IF(OR(助理班表!$A44="",14&gt;DAY(EOMONTH(DATE(設定!$C$2,設定!$D$2,1),0))),"",DATE(設定!$C$2,設定!$D$2,14))</f>
        <v/>
      </c>
      <c r="B1225" s="16">
        <f>IF($A1225="","",INDEX(設定!$O$6:$O$12,WEEKDAY($A1225,1)))</f>
        <v/>
      </c>
      <c r="C1225" s="16">
        <f>IF($A1225="","",助理班表!$A44)</f>
        <v/>
      </c>
      <c r="D1225" s="16">
        <f>IF($C1225="","",助理班表!$B44)</f>
        <v/>
      </c>
      <c r="E1225" s="16">
        <f>IF($C1225="","",助理班表!$D44)</f>
        <v/>
      </c>
      <c r="F1225" s="16">
        <f>IF($C1225="","",助理班表!$C44)</f>
        <v/>
      </c>
      <c r="G1225" s="16">
        <f>IF($C1225="","",助理班表!R44)</f>
        <v/>
      </c>
      <c r="H1225" s="83">
        <f>IF($G1225="","",IFERROR(IF(INDEX(設定!$D$6:$D$21,MATCH($G1225,設定!$B$6:$B$21,0))=0,"",INDEX(設定!$D$6:$D$21,MATCH($G1225,設定!$B$6:$B$21,0))),""))</f>
        <v/>
      </c>
      <c r="I1225" s="83">
        <f>IF($G1225="","",IFERROR(IF(INDEX(設定!$E$6:$E$21,MATCH($G1225,設定!$B$6:$B$21,0))=0,"",INDEX(設定!$E$6:$E$21,MATCH($G1225,設定!$B$6:$B$21,0))),""))</f>
        <v/>
      </c>
      <c r="J1225" s="83">
        <f>IFERROR(INDEX(打卡匯入!$C$3:$C$2002,MATCH($C1225&amp;"|"&amp;DAY($A1225),打卡匯入!$E$3:$E$2002,0)),"")</f>
        <v/>
      </c>
      <c r="K1225" s="83">
        <f>IFERROR(INDEX(打卡匯入!$D$3:$D$2002,MATCH($C1225&amp;"|"&amp;DAY($A1225),打卡匯入!$E$3:$E$2002,0)),"")</f>
        <v/>
      </c>
      <c r="L1225" s="84">
        <f>IF(OR($J1225="",$K1225=""),"",IFERROR(INDEX(設定!$F$6:$F$21,MATCH($G1225,設定!$B$6:$B$21,0)),0))</f>
        <v/>
      </c>
      <c r="M1225" s="85">
        <f>IF(OR($J1225="",$K1225=""),"",ROUND(($K1225-$J1225)*24-$L1225/60,2))</f>
        <v/>
      </c>
      <c r="N1225" s="16">
        <f>IF($C1225="","",IF(AND(COUNTIF(設定!$B$15:$B$21,$G1225)&gt;0,$J1225&lt;&gt;""),"假日出勤",IF(AND(COUNTIF(設定!$B$6:$B$14,$G1225)&gt;0,$J1225=""),"未打卡",IF($J1225="","",IF($O1225&gt;0,"遲到",IF($P1225&gt;0,"早退","正常"))))))</f>
        <v/>
      </c>
      <c r="O1225" s="84">
        <f>IF(OR($C1225="",$H1225="",$J1225=""),0,IF(ROUND(($J1225-$H1225)*1440,0)&gt;設定!$C$46,ROUND(($J1225-$H1225)*1440,0),0))</f>
        <v/>
      </c>
      <c r="P1225" s="84">
        <f>IF(OR($C1225="",$I1225="",$K1225=""),0,IF(ROUND(($I1225-$K1225)*1440,0)&gt;設定!$C$46,ROUND(($I1225-$K1225)*1440,0),0))</f>
        <v/>
      </c>
      <c r="Q1225" s="85">
        <f>IF($M1225="",0,IF(($M1225-IFERROR(INDEX(設定!$G$6:$G$21,MATCH($G1225,設定!$B$6:$B$21,0)),0))*60&gt;=設定!$C$44,ROUND(FLOOR(($M1225-IFERROR(INDEX(設定!$G$6:$G$21,MATCH($G1225,設定!$B$6:$B$21,0)),0))*60,設定!$C$45)/60,2),0))</f>
        <v/>
      </c>
      <c r="R1225" s="16">
        <f>IF(OR($C1225="",$Q1225=0),"",IF($G1225="國","國定假日",IF($B1225="日","例假",IF($B1225="六","休息日","平日"))))</f>
        <v/>
      </c>
      <c r="S1225" s="19" t="n"/>
    </row>
    <row r="1226">
      <c r="A1226" s="82">
        <f>IF(OR(助理班表!$A44="",15&gt;DAY(EOMONTH(DATE(設定!$C$2,設定!$D$2,1),0))),"",DATE(設定!$C$2,設定!$D$2,15))</f>
        <v/>
      </c>
      <c r="B1226" s="16">
        <f>IF($A1226="","",INDEX(設定!$O$6:$O$12,WEEKDAY($A1226,1)))</f>
        <v/>
      </c>
      <c r="C1226" s="16">
        <f>IF($A1226="","",助理班表!$A44)</f>
        <v/>
      </c>
      <c r="D1226" s="16">
        <f>IF($C1226="","",助理班表!$B44)</f>
        <v/>
      </c>
      <c r="E1226" s="16">
        <f>IF($C1226="","",助理班表!$D44)</f>
        <v/>
      </c>
      <c r="F1226" s="16">
        <f>IF($C1226="","",助理班表!$C44)</f>
        <v/>
      </c>
      <c r="G1226" s="16">
        <f>IF($C1226="","",助理班表!S44)</f>
        <v/>
      </c>
      <c r="H1226" s="83">
        <f>IF($G1226="","",IFERROR(IF(INDEX(設定!$D$6:$D$21,MATCH($G1226,設定!$B$6:$B$21,0))=0,"",INDEX(設定!$D$6:$D$21,MATCH($G1226,設定!$B$6:$B$21,0))),""))</f>
        <v/>
      </c>
      <c r="I1226" s="83">
        <f>IF($G1226="","",IFERROR(IF(INDEX(設定!$E$6:$E$21,MATCH($G1226,設定!$B$6:$B$21,0))=0,"",INDEX(設定!$E$6:$E$21,MATCH($G1226,設定!$B$6:$B$21,0))),""))</f>
        <v/>
      </c>
      <c r="J1226" s="83">
        <f>IFERROR(INDEX(打卡匯入!$C$3:$C$2002,MATCH($C1226&amp;"|"&amp;DAY($A1226),打卡匯入!$E$3:$E$2002,0)),"")</f>
        <v/>
      </c>
      <c r="K1226" s="83">
        <f>IFERROR(INDEX(打卡匯入!$D$3:$D$2002,MATCH($C1226&amp;"|"&amp;DAY($A1226),打卡匯入!$E$3:$E$2002,0)),"")</f>
        <v/>
      </c>
      <c r="L1226" s="84">
        <f>IF(OR($J1226="",$K1226=""),"",IFERROR(INDEX(設定!$F$6:$F$21,MATCH($G1226,設定!$B$6:$B$21,0)),0))</f>
        <v/>
      </c>
      <c r="M1226" s="85">
        <f>IF(OR($J1226="",$K1226=""),"",ROUND(($K1226-$J1226)*24-$L1226/60,2))</f>
        <v/>
      </c>
      <c r="N1226" s="16">
        <f>IF($C1226="","",IF(AND(COUNTIF(設定!$B$15:$B$21,$G1226)&gt;0,$J1226&lt;&gt;""),"假日出勤",IF(AND(COUNTIF(設定!$B$6:$B$14,$G1226)&gt;0,$J1226=""),"未打卡",IF($J1226="","",IF($O1226&gt;0,"遲到",IF($P1226&gt;0,"早退","正常"))))))</f>
        <v/>
      </c>
      <c r="O1226" s="84">
        <f>IF(OR($C1226="",$H1226="",$J1226=""),0,IF(ROUND(($J1226-$H1226)*1440,0)&gt;設定!$C$46,ROUND(($J1226-$H1226)*1440,0),0))</f>
        <v/>
      </c>
      <c r="P1226" s="84">
        <f>IF(OR($C1226="",$I1226="",$K1226=""),0,IF(ROUND(($I1226-$K1226)*1440,0)&gt;設定!$C$46,ROUND(($I1226-$K1226)*1440,0),0))</f>
        <v/>
      </c>
      <c r="Q1226" s="85">
        <f>IF($M1226="",0,IF(($M1226-IFERROR(INDEX(設定!$G$6:$G$21,MATCH($G1226,設定!$B$6:$B$21,0)),0))*60&gt;=設定!$C$44,ROUND(FLOOR(($M1226-IFERROR(INDEX(設定!$G$6:$G$21,MATCH($G1226,設定!$B$6:$B$21,0)),0))*60,設定!$C$45)/60,2),0))</f>
        <v/>
      </c>
      <c r="R1226" s="16">
        <f>IF(OR($C1226="",$Q1226=0),"",IF($G1226="國","國定假日",IF($B1226="日","例假",IF($B1226="六","休息日","平日"))))</f>
        <v/>
      </c>
      <c r="S1226" s="19" t="n"/>
    </row>
    <row r="1227">
      <c r="A1227" s="82">
        <f>IF(OR(助理班表!$A44="",16&gt;DAY(EOMONTH(DATE(設定!$C$2,設定!$D$2,1),0))),"",DATE(設定!$C$2,設定!$D$2,16))</f>
        <v/>
      </c>
      <c r="B1227" s="16">
        <f>IF($A1227="","",INDEX(設定!$O$6:$O$12,WEEKDAY($A1227,1)))</f>
        <v/>
      </c>
      <c r="C1227" s="16">
        <f>IF($A1227="","",助理班表!$A44)</f>
        <v/>
      </c>
      <c r="D1227" s="16">
        <f>IF($C1227="","",助理班表!$B44)</f>
        <v/>
      </c>
      <c r="E1227" s="16">
        <f>IF($C1227="","",助理班表!$D44)</f>
        <v/>
      </c>
      <c r="F1227" s="16">
        <f>IF($C1227="","",助理班表!$C44)</f>
        <v/>
      </c>
      <c r="G1227" s="16">
        <f>IF($C1227="","",助理班表!T44)</f>
        <v/>
      </c>
      <c r="H1227" s="83">
        <f>IF($G1227="","",IFERROR(IF(INDEX(設定!$D$6:$D$21,MATCH($G1227,設定!$B$6:$B$21,0))=0,"",INDEX(設定!$D$6:$D$21,MATCH($G1227,設定!$B$6:$B$21,0))),""))</f>
        <v/>
      </c>
      <c r="I1227" s="83">
        <f>IF($G1227="","",IFERROR(IF(INDEX(設定!$E$6:$E$21,MATCH($G1227,設定!$B$6:$B$21,0))=0,"",INDEX(設定!$E$6:$E$21,MATCH($G1227,設定!$B$6:$B$21,0))),""))</f>
        <v/>
      </c>
      <c r="J1227" s="83">
        <f>IFERROR(INDEX(打卡匯入!$C$3:$C$2002,MATCH($C1227&amp;"|"&amp;DAY($A1227),打卡匯入!$E$3:$E$2002,0)),"")</f>
        <v/>
      </c>
      <c r="K1227" s="83">
        <f>IFERROR(INDEX(打卡匯入!$D$3:$D$2002,MATCH($C1227&amp;"|"&amp;DAY($A1227),打卡匯入!$E$3:$E$2002,0)),"")</f>
        <v/>
      </c>
      <c r="L1227" s="84">
        <f>IF(OR($J1227="",$K1227=""),"",IFERROR(INDEX(設定!$F$6:$F$21,MATCH($G1227,設定!$B$6:$B$21,0)),0))</f>
        <v/>
      </c>
      <c r="M1227" s="85">
        <f>IF(OR($J1227="",$K1227=""),"",ROUND(($K1227-$J1227)*24-$L1227/60,2))</f>
        <v/>
      </c>
      <c r="N1227" s="16">
        <f>IF($C1227="","",IF(AND(COUNTIF(設定!$B$15:$B$21,$G1227)&gt;0,$J1227&lt;&gt;""),"假日出勤",IF(AND(COUNTIF(設定!$B$6:$B$14,$G1227)&gt;0,$J1227=""),"未打卡",IF($J1227="","",IF($O1227&gt;0,"遲到",IF($P1227&gt;0,"早退","正常"))))))</f>
        <v/>
      </c>
      <c r="O1227" s="84">
        <f>IF(OR($C1227="",$H1227="",$J1227=""),0,IF(ROUND(($J1227-$H1227)*1440,0)&gt;設定!$C$46,ROUND(($J1227-$H1227)*1440,0),0))</f>
        <v/>
      </c>
      <c r="P1227" s="84">
        <f>IF(OR($C1227="",$I1227="",$K1227=""),0,IF(ROUND(($I1227-$K1227)*1440,0)&gt;設定!$C$46,ROUND(($I1227-$K1227)*1440,0),0))</f>
        <v/>
      </c>
      <c r="Q1227" s="85">
        <f>IF($M1227="",0,IF(($M1227-IFERROR(INDEX(設定!$G$6:$G$21,MATCH($G1227,設定!$B$6:$B$21,0)),0))*60&gt;=設定!$C$44,ROUND(FLOOR(($M1227-IFERROR(INDEX(設定!$G$6:$G$21,MATCH($G1227,設定!$B$6:$B$21,0)),0))*60,設定!$C$45)/60,2),0))</f>
        <v/>
      </c>
      <c r="R1227" s="16">
        <f>IF(OR($C1227="",$Q1227=0),"",IF($G1227="國","國定假日",IF($B1227="日","例假",IF($B1227="六","休息日","平日"))))</f>
        <v/>
      </c>
      <c r="S1227" s="19" t="n"/>
    </row>
    <row r="1228">
      <c r="A1228" s="82">
        <f>IF(OR(助理班表!$A44="",17&gt;DAY(EOMONTH(DATE(設定!$C$2,設定!$D$2,1),0))),"",DATE(設定!$C$2,設定!$D$2,17))</f>
        <v/>
      </c>
      <c r="B1228" s="16">
        <f>IF($A1228="","",INDEX(設定!$O$6:$O$12,WEEKDAY($A1228,1)))</f>
        <v/>
      </c>
      <c r="C1228" s="16">
        <f>IF($A1228="","",助理班表!$A44)</f>
        <v/>
      </c>
      <c r="D1228" s="16">
        <f>IF($C1228="","",助理班表!$B44)</f>
        <v/>
      </c>
      <c r="E1228" s="16">
        <f>IF($C1228="","",助理班表!$D44)</f>
        <v/>
      </c>
      <c r="F1228" s="16">
        <f>IF($C1228="","",助理班表!$C44)</f>
        <v/>
      </c>
      <c r="G1228" s="16">
        <f>IF($C1228="","",助理班表!U44)</f>
        <v/>
      </c>
      <c r="H1228" s="83">
        <f>IF($G1228="","",IFERROR(IF(INDEX(設定!$D$6:$D$21,MATCH($G1228,設定!$B$6:$B$21,0))=0,"",INDEX(設定!$D$6:$D$21,MATCH($G1228,設定!$B$6:$B$21,0))),""))</f>
        <v/>
      </c>
      <c r="I1228" s="83">
        <f>IF($G1228="","",IFERROR(IF(INDEX(設定!$E$6:$E$21,MATCH($G1228,設定!$B$6:$B$21,0))=0,"",INDEX(設定!$E$6:$E$21,MATCH($G1228,設定!$B$6:$B$21,0))),""))</f>
        <v/>
      </c>
      <c r="J1228" s="83">
        <f>IFERROR(INDEX(打卡匯入!$C$3:$C$2002,MATCH($C1228&amp;"|"&amp;DAY($A1228),打卡匯入!$E$3:$E$2002,0)),"")</f>
        <v/>
      </c>
      <c r="K1228" s="83">
        <f>IFERROR(INDEX(打卡匯入!$D$3:$D$2002,MATCH($C1228&amp;"|"&amp;DAY($A1228),打卡匯入!$E$3:$E$2002,0)),"")</f>
        <v/>
      </c>
      <c r="L1228" s="84">
        <f>IF(OR($J1228="",$K1228=""),"",IFERROR(INDEX(設定!$F$6:$F$21,MATCH($G1228,設定!$B$6:$B$21,0)),0))</f>
        <v/>
      </c>
      <c r="M1228" s="85">
        <f>IF(OR($J1228="",$K1228=""),"",ROUND(($K1228-$J1228)*24-$L1228/60,2))</f>
        <v/>
      </c>
      <c r="N1228" s="16">
        <f>IF($C1228="","",IF(AND(COUNTIF(設定!$B$15:$B$21,$G1228)&gt;0,$J1228&lt;&gt;""),"假日出勤",IF(AND(COUNTIF(設定!$B$6:$B$14,$G1228)&gt;0,$J1228=""),"未打卡",IF($J1228="","",IF($O1228&gt;0,"遲到",IF($P1228&gt;0,"早退","正常"))))))</f>
        <v/>
      </c>
      <c r="O1228" s="84">
        <f>IF(OR($C1228="",$H1228="",$J1228=""),0,IF(ROUND(($J1228-$H1228)*1440,0)&gt;設定!$C$46,ROUND(($J1228-$H1228)*1440,0),0))</f>
        <v/>
      </c>
      <c r="P1228" s="84">
        <f>IF(OR($C1228="",$I1228="",$K1228=""),0,IF(ROUND(($I1228-$K1228)*1440,0)&gt;設定!$C$46,ROUND(($I1228-$K1228)*1440,0),0))</f>
        <v/>
      </c>
      <c r="Q1228" s="85">
        <f>IF($M1228="",0,IF(($M1228-IFERROR(INDEX(設定!$G$6:$G$21,MATCH($G1228,設定!$B$6:$B$21,0)),0))*60&gt;=設定!$C$44,ROUND(FLOOR(($M1228-IFERROR(INDEX(設定!$G$6:$G$21,MATCH($G1228,設定!$B$6:$B$21,0)),0))*60,設定!$C$45)/60,2),0))</f>
        <v/>
      </c>
      <c r="R1228" s="16">
        <f>IF(OR($C1228="",$Q1228=0),"",IF($G1228="國","國定假日",IF($B1228="日","例假",IF($B1228="六","休息日","平日"))))</f>
        <v/>
      </c>
      <c r="S1228" s="19" t="n"/>
    </row>
    <row r="1229">
      <c r="A1229" s="82">
        <f>IF(OR(助理班表!$A44="",18&gt;DAY(EOMONTH(DATE(設定!$C$2,設定!$D$2,1),0))),"",DATE(設定!$C$2,設定!$D$2,18))</f>
        <v/>
      </c>
      <c r="B1229" s="16">
        <f>IF($A1229="","",INDEX(設定!$O$6:$O$12,WEEKDAY($A1229,1)))</f>
        <v/>
      </c>
      <c r="C1229" s="16">
        <f>IF($A1229="","",助理班表!$A44)</f>
        <v/>
      </c>
      <c r="D1229" s="16">
        <f>IF($C1229="","",助理班表!$B44)</f>
        <v/>
      </c>
      <c r="E1229" s="16">
        <f>IF($C1229="","",助理班表!$D44)</f>
        <v/>
      </c>
      <c r="F1229" s="16">
        <f>IF($C1229="","",助理班表!$C44)</f>
        <v/>
      </c>
      <c r="G1229" s="16">
        <f>IF($C1229="","",助理班表!V44)</f>
        <v/>
      </c>
      <c r="H1229" s="83">
        <f>IF($G1229="","",IFERROR(IF(INDEX(設定!$D$6:$D$21,MATCH($G1229,設定!$B$6:$B$21,0))=0,"",INDEX(設定!$D$6:$D$21,MATCH($G1229,設定!$B$6:$B$21,0))),""))</f>
        <v/>
      </c>
      <c r="I1229" s="83">
        <f>IF($G1229="","",IFERROR(IF(INDEX(設定!$E$6:$E$21,MATCH($G1229,設定!$B$6:$B$21,0))=0,"",INDEX(設定!$E$6:$E$21,MATCH($G1229,設定!$B$6:$B$21,0))),""))</f>
        <v/>
      </c>
      <c r="J1229" s="83">
        <f>IFERROR(INDEX(打卡匯入!$C$3:$C$2002,MATCH($C1229&amp;"|"&amp;DAY($A1229),打卡匯入!$E$3:$E$2002,0)),"")</f>
        <v/>
      </c>
      <c r="K1229" s="83">
        <f>IFERROR(INDEX(打卡匯入!$D$3:$D$2002,MATCH($C1229&amp;"|"&amp;DAY($A1229),打卡匯入!$E$3:$E$2002,0)),"")</f>
        <v/>
      </c>
      <c r="L1229" s="84">
        <f>IF(OR($J1229="",$K1229=""),"",IFERROR(INDEX(設定!$F$6:$F$21,MATCH($G1229,設定!$B$6:$B$21,0)),0))</f>
        <v/>
      </c>
      <c r="M1229" s="85">
        <f>IF(OR($J1229="",$K1229=""),"",ROUND(($K1229-$J1229)*24-$L1229/60,2))</f>
        <v/>
      </c>
      <c r="N1229" s="16">
        <f>IF($C1229="","",IF(AND(COUNTIF(設定!$B$15:$B$21,$G1229)&gt;0,$J1229&lt;&gt;""),"假日出勤",IF(AND(COUNTIF(設定!$B$6:$B$14,$G1229)&gt;0,$J1229=""),"未打卡",IF($J1229="","",IF($O1229&gt;0,"遲到",IF($P1229&gt;0,"早退","正常"))))))</f>
        <v/>
      </c>
      <c r="O1229" s="84">
        <f>IF(OR($C1229="",$H1229="",$J1229=""),0,IF(ROUND(($J1229-$H1229)*1440,0)&gt;設定!$C$46,ROUND(($J1229-$H1229)*1440,0),0))</f>
        <v/>
      </c>
      <c r="P1229" s="84">
        <f>IF(OR($C1229="",$I1229="",$K1229=""),0,IF(ROUND(($I1229-$K1229)*1440,0)&gt;設定!$C$46,ROUND(($I1229-$K1229)*1440,0),0))</f>
        <v/>
      </c>
      <c r="Q1229" s="85">
        <f>IF($M1229="",0,IF(($M1229-IFERROR(INDEX(設定!$G$6:$G$21,MATCH($G1229,設定!$B$6:$B$21,0)),0))*60&gt;=設定!$C$44,ROUND(FLOOR(($M1229-IFERROR(INDEX(設定!$G$6:$G$21,MATCH($G1229,設定!$B$6:$B$21,0)),0))*60,設定!$C$45)/60,2),0))</f>
        <v/>
      </c>
      <c r="R1229" s="16">
        <f>IF(OR($C1229="",$Q1229=0),"",IF($G1229="國","國定假日",IF($B1229="日","例假",IF($B1229="六","休息日","平日"))))</f>
        <v/>
      </c>
      <c r="S1229" s="19" t="n"/>
    </row>
    <row r="1230">
      <c r="A1230" s="82">
        <f>IF(OR(助理班表!$A44="",19&gt;DAY(EOMONTH(DATE(設定!$C$2,設定!$D$2,1),0))),"",DATE(設定!$C$2,設定!$D$2,19))</f>
        <v/>
      </c>
      <c r="B1230" s="16">
        <f>IF($A1230="","",INDEX(設定!$O$6:$O$12,WEEKDAY($A1230,1)))</f>
        <v/>
      </c>
      <c r="C1230" s="16">
        <f>IF($A1230="","",助理班表!$A44)</f>
        <v/>
      </c>
      <c r="D1230" s="16">
        <f>IF($C1230="","",助理班表!$B44)</f>
        <v/>
      </c>
      <c r="E1230" s="16">
        <f>IF($C1230="","",助理班表!$D44)</f>
        <v/>
      </c>
      <c r="F1230" s="16">
        <f>IF($C1230="","",助理班表!$C44)</f>
        <v/>
      </c>
      <c r="G1230" s="16">
        <f>IF($C1230="","",助理班表!W44)</f>
        <v/>
      </c>
      <c r="H1230" s="83">
        <f>IF($G1230="","",IFERROR(IF(INDEX(設定!$D$6:$D$21,MATCH($G1230,設定!$B$6:$B$21,0))=0,"",INDEX(設定!$D$6:$D$21,MATCH($G1230,設定!$B$6:$B$21,0))),""))</f>
        <v/>
      </c>
      <c r="I1230" s="83">
        <f>IF($G1230="","",IFERROR(IF(INDEX(設定!$E$6:$E$21,MATCH($G1230,設定!$B$6:$B$21,0))=0,"",INDEX(設定!$E$6:$E$21,MATCH($G1230,設定!$B$6:$B$21,0))),""))</f>
        <v/>
      </c>
      <c r="J1230" s="83">
        <f>IFERROR(INDEX(打卡匯入!$C$3:$C$2002,MATCH($C1230&amp;"|"&amp;DAY($A1230),打卡匯入!$E$3:$E$2002,0)),"")</f>
        <v/>
      </c>
      <c r="K1230" s="83">
        <f>IFERROR(INDEX(打卡匯入!$D$3:$D$2002,MATCH($C1230&amp;"|"&amp;DAY($A1230),打卡匯入!$E$3:$E$2002,0)),"")</f>
        <v/>
      </c>
      <c r="L1230" s="84">
        <f>IF(OR($J1230="",$K1230=""),"",IFERROR(INDEX(設定!$F$6:$F$21,MATCH($G1230,設定!$B$6:$B$21,0)),0))</f>
        <v/>
      </c>
      <c r="M1230" s="85">
        <f>IF(OR($J1230="",$K1230=""),"",ROUND(($K1230-$J1230)*24-$L1230/60,2))</f>
        <v/>
      </c>
      <c r="N1230" s="16">
        <f>IF($C1230="","",IF(AND(COUNTIF(設定!$B$15:$B$21,$G1230)&gt;0,$J1230&lt;&gt;""),"假日出勤",IF(AND(COUNTIF(設定!$B$6:$B$14,$G1230)&gt;0,$J1230=""),"未打卡",IF($J1230="","",IF($O1230&gt;0,"遲到",IF($P1230&gt;0,"早退","正常"))))))</f>
        <v/>
      </c>
      <c r="O1230" s="84">
        <f>IF(OR($C1230="",$H1230="",$J1230=""),0,IF(ROUND(($J1230-$H1230)*1440,0)&gt;設定!$C$46,ROUND(($J1230-$H1230)*1440,0),0))</f>
        <v/>
      </c>
      <c r="P1230" s="84">
        <f>IF(OR($C1230="",$I1230="",$K1230=""),0,IF(ROUND(($I1230-$K1230)*1440,0)&gt;設定!$C$46,ROUND(($I1230-$K1230)*1440,0),0))</f>
        <v/>
      </c>
      <c r="Q1230" s="85">
        <f>IF($M1230="",0,IF(($M1230-IFERROR(INDEX(設定!$G$6:$G$21,MATCH($G1230,設定!$B$6:$B$21,0)),0))*60&gt;=設定!$C$44,ROUND(FLOOR(($M1230-IFERROR(INDEX(設定!$G$6:$G$21,MATCH($G1230,設定!$B$6:$B$21,0)),0))*60,設定!$C$45)/60,2),0))</f>
        <v/>
      </c>
      <c r="R1230" s="16">
        <f>IF(OR($C1230="",$Q1230=0),"",IF($G1230="國","國定假日",IF($B1230="日","例假",IF($B1230="六","休息日","平日"))))</f>
        <v/>
      </c>
      <c r="S1230" s="19" t="n"/>
    </row>
    <row r="1231">
      <c r="A1231" s="82">
        <f>IF(OR(助理班表!$A44="",20&gt;DAY(EOMONTH(DATE(設定!$C$2,設定!$D$2,1),0))),"",DATE(設定!$C$2,設定!$D$2,20))</f>
        <v/>
      </c>
      <c r="B1231" s="16">
        <f>IF($A1231="","",INDEX(設定!$O$6:$O$12,WEEKDAY($A1231,1)))</f>
        <v/>
      </c>
      <c r="C1231" s="16">
        <f>IF($A1231="","",助理班表!$A44)</f>
        <v/>
      </c>
      <c r="D1231" s="16">
        <f>IF($C1231="","",助理班表!$B44)</f>
        <v/>
      </c>
      <c r="E1231" s="16">
        <f>IF($C1231="","",助理班表!$D44)</f>
        <v/>
      </c>
      <c r="F1231" s="16">
        <f>IF($C1231="","",助理班表!$C44)</f>
        <v/>
      </c>
      <c r="G1231" s="16">
        <f>IF($C1231="","",助理班表!X44)</f>
        <v/>
      </c>
      <c r="H1231" s="83">
        <f>IF($G1231="","",IFERROR(IF(INDEX(設定!$D$6:$D$21,MATCH($G1231,設定!$B$6:$B$21,0))=0,"",INDEX(設定!$D$6:$D$21,MATCH($G1231,設定!$B$6:$B$21,0))),""))</f>
        <v/>
      </c>
      <c r="I1231" s="83">
        <f>IF($G1231="","",IFERROR(IF(INDEX(設定!$E$6:$E$21,MATCH($G1231,設定!$B$6:$B$21,0))=0,"",INDEX(設定!$E$6:$E$21,MATCH($G1231,設定!$B$6:$B$21,0))),""))</f>
        <v/>
      </c>
      <c r="J1231" s="83">
        <f>IFERROR(INDEX(打卡匯入!$C$3:$C$2002,MATCH($C1231&amp;"|"&amp;DAY($A1231),打卡匯入!$E$3:$E$2002,0)),"")</f>
        <v/>
      </c>
      <c r="K1231" s="83">
        <f>IFERROR(INDEX(打卡匯入!$D$3:$D$2002,MATCH($C1231&amp;"|"&amp;DAY($A1231),打卡匯入!$E$3:$E$2002,0)),"")</f>
        <v/>
      </c>
      <c r="L1231" s="84">
        <f>IF(OR($J1231="",$K1231=""),"",IFERROR(INDEX(設定!$F$6:$F$21,MATCH($G1231,設定!$B$6:$B$21,0)),0))</f>
        <v/>
      </c>
      <c r="M1231" s="85">
        <f>IF(OR($J1231="",$K1231=""),"",ROUND(($K1231-$J1231)*24-$L1231/60,2))</f>
        <v/>
      </c>
      <c r="N1231" s="16">
        <f>IF($C1231="","",IF(AND(COUNTIF(設定!$B$15:$B$21,$G1231)&gt;0,$J1231&lt;&gt;""),"假日出勤",IF(AND(COUNTIF(設定!$B$6:$B$14,$G1231)&gt;0,$J1231=""),"未打卡",IF($J1231="","",IF($O1231&gt;0,"遲到",IF($P1231&gt;0,"早退","正常"))))))</f>
        <v/>
      </c>
      <c r="O1231" s="84">
        <f>IF(OR($C1231="",$H1231="",$J1231=""),0,IF(ROUND(($J1231-$H1231)*1440,0)&gt;設定!$C$46,ROUND(($J1231-$H1231)*1440,0),0))</f>
        <v/>
      </c>
      <c r="P1231" s="84">
        <f>IF(OR($C1231="",$I1231="",$K1231=""),0,IF(ROUND(($I1231-$K1231)*1440,0)&gt;設定!$C$46,ROUND(($I1231-$K1231)*1440,0),0))</f>
        <v/>
      </c>
      <c r="Q1231" s="85">
        <f>IF($M1231="",0,IF(($M1231-IFERROR(INDEX(設定!$G$6:$G$21,MATCH($G1231,設定!$B$6:$B$21,0)),0))*60&gt;=設定!$C$44,ROUND(FLOOR(($M1231-IFERROR(INDEX(設定!$G$6:$G$21,MATCH($G1231,設定!$B$6:$B$21,0)),0))*60,設定!$C$45)/60,2),0))</f>
        <v/>
      </c>
      <c r="R1231" s="16">
        <f>IF(OR($C1231="",$Q1231=0),"",IF($G1231="國","國定假日",IF($B1231="日","例假",IF($B1231="六","休息日","平日"))))</f>
        <v/>
      </c>
      <c r="S1231" s="19" t="n"/>
    </row>
    <row r="1232">
      <c r="A1232" s="82">
        <f>IF(OR(助理班表!$A44="",21&gt;DAY(EOMONTH(DATE(設定!$C$2,設定!$D$2,1),0))),"",DATE(設定!$C$2,設定!$D$2,21))</f>
        <v/>
      </c>
      <c r="B1232" s="16">
        <f>IF($A1232="","",INDEX(設定!$O$6:$O$12,WEEKDAY($A1232,1)))</f>
        <v/>
      </c>
      <c r="C1232" s="16">
        <f>IF($A1232="","",助理班表!$A44)</f>
        <v/>
      </c>
      <c r="D1232" s="16">
        <f>IF($C1232="","",助理班表!$B44)</f>
        <v/>
      </c>
      <c r="E1232" s="16">
        <f>IF($C1232="","",助理班表!$D44)</f>
        <v/>
      </c>
      <c r="F1232" s="16">
        <f>IF($C1232="","",助理班表!$C44)</f>
        <v/>
      </c>
      <c r="G1232" s="16">
        <f>IF($C1232="","",助理班表!Y44)</f>
        <v/>
      </c>
      <c r="H1232" s="83">
        <f>IF($G1232="","",IFERROR(IF(INDEX(設定!$D$6:$D$21,MATCH($G1232,設定!$B$6:$B$21,0))=0,"",INDEX(設定!$D$6:$D$21,MATCH($G1232,設定!$B$6:$B$21,0))),""))</f>
        <v/>
      </c>
      <c r="I1232" s="83">
        <f>IF($G1232="","",IFERROR(IF(INDEX(設定!$E$6:$E$21,MATCH($G1232,設定!$B$6:$B$21,0))=0,"",INDEX(設定!$E$6:$E$21,MATCH($G1232,設定!$B$6:$B$21,0))),""))</f>
        <v/>
      </c>
      <c r="J1232" s="83">
        <f>IFERROR(INDEX(打卡匯入!$C$3:$C$2002,MATCH($C1232&amp;"|"&amp;DAY($A1232),打卡匯入!$E$3:$E$2002,0)),"")</f>
        <v/>
      </c>
      <c r="K1232" s="83">
        <f>IFERROR(INDEX(打卡匯入!$D$3:$D$2002,MATCH($C1232&amp;"|"&amp;DAY($A1232),打卡匯入!$E$3:$E$2002,0)),"")</f>
        <v/>
      </c>
      <c r="L1232" s="84">
        <f>IF(OR($J1232="",$K1232=""),"",IFERROR(INDEX(設定!$F$6:$F$21,MATCH($G1232,設定!$B$6:$B$21,0)),0))</f>
        <v/>
      </c>
      <c r="M1232" s="85">
        <f>IF(OR($J1232="",$K1232=""),"",ROUND(($K1232-$J1232)*24-$L1232/60,2))</f>
        <v/>
      </c>
      <c r="N1232" s="16">
        <f>IF($C1232="","",IF(AND(COUNTIF(設定!$B$15:$B$21,$G1232)&gt;0,$J1232&lt;&gt;""),"假日出勤",IF(AND(COUNTIF(設定!$B$6:$B$14,$G1232)&gt;0,$J1232=""),"未打卡",IF($J1232="","",IF($O1232&gt;0,"遲到",IF($P1232&gt;0,"早退","正常"))))))</f>
        <v/>
      </c>
      <c r="O1232" s="84">
        <f>IF(OR($C1232="",$H1232="",$J1232=""),0,IF(ROUND(($J1232-$H1232)*1440,0)&gt;設定!$C$46,ROUND(($J1232-$H1232)*1440,0),0))</f>
        <v/>
      </c>
      <c r="P1232" s="84">
        <f>IF(OR($C1232="",$I1232="",$K1232=""),0,IF(ROUND(($I1232-$K1232)*1440,0)&gt;設定!$C$46,ROUND(($I1232-$K1232)*1440,0),0))</f>
        <v/>
      </c>
      <c r="Q1232" s="85">
        <f>IF($M1232="",0,IF(($M1232-IFERROR(INDEX(設定!$G$6:$G$21,MATCH($G1232,設定!$B$6:$B$21,0)),0))*60&gt;=設定!$C$44,ROUND(FLOOR(($M1232-IFERROR(INDEX(設定!$G$6:$G$21,MATCH($G1232,設定!$B$6:$B$21,0)),0))*60,設定!$C$45)/60,2),0))</f>
        <v/>
      </c>
      <c r="R1232" s="16">
        <f>IF(OR($C1232="",$Q1232=0),"",IF($G1232="國","國定假日",IF($B1232="日","例假",IF($B1232="六","休息日","平日"))))</f>
        <v/>
      </c>
      <c r="S1232" s="19" t="n"/>
    </row>
    <row r="1233">
      <c r="A1233" s="82">
        <f>IF(OR(助理班表!$A44="",22&gt;DAY(EOMONTH(DATE(設定!$C$2,設定!$D$2,1),0))),"",DATE(設定!$C$2,設定!$D$2,22))</f>
        <v/>
      </c>
      <c r="B1233" s="16">
        <f>IF($A1233="","",INDEX(設定!$O$6:$O$12,WEEKDAY($A1233,1)))</f>
        <v/>
      </c>
      <c r="C1233" s="16">
        <f>IF($A1233="","",助理班表!$A44)</f>
        <v/>
      </c>
      <c r="D1233" s="16">
        <f>IF($C1233="","",助理班表!$B44)</f>
        <v/>
      </c>
      <c r="E1233" s="16">
        <f>IF($C1233="","",助理班表!$D44)</f>
        <v/>
      </c>
      <c r="F1233" s="16">
        <f>IF($C1233="","",助理班表!$C44)</f>
        <v/>
      </c>
      <c r="G1233" s="16">
        <f>IF($C1233="","",助理班表!Z44)</f>
        <v/>
      </c>
      <c r="H1233" s="83">
        <f>IF($G1233="","",IFERROR(IF(INDEX(設定!$D$6:$D$21,MATCH($G1233,設定!$B$6:$B$21,0))=0,"",INDEX(設定!$D$6:$D$21,MATCH($G1233,設定!$B$6:$B$21,0))),""))</f>
        <v/>
      </c>
      <c r="I1233" s="83">
        <f>IF($G1233="","",IFERROR(IF(INDEX(設定!$E$6:$E$21,MATCH($G1233,設定!$B$6:$B$21,0))=0,"",INDEX(設定!$E$6:$E$21,MATCH($G1233,設定!$B$6:$B$21,0))),""))</f>
        <v/>
      </c>
      <c r="J1233" s="83">
        <f>IFERROR(INDEX(打卡匯入!$C$3:$C$2002,MATCH($C1233&amp;"|"&amp;DAY($A1233),打卡匯入!$E$3:$E$2002,0)),"")</f>
        <v/>
      </c>
      <c r="K1233" s="83">
        <f>IFERROR(INDEX(打卡匯入!$D$3:$D$2002,MATCH($C1233&amp;"|"&amp;DAY($A1233),打卡匯入!$E$3:$E$2002,0)),"")</f>
        <v/>
      </c>
      <c r="L1233" s="84">
        <f>IF(OR($J1233="",$K1233=""),"",IFERROR(INDEX(設定!$F$6:$F$21,MATCH($G1233,設定!$B$6:$B$21,0)),0))</f>
        <v/>
      </c>
      <c r="M1233" s="85">
        <f>IF(OR($J1233="",$K1233=""),"",ROUND(($K1233-$J1233)*24-$L1233/60,2))</f>
        <v/>
      </c>
      <c r="N1233" s="16">
        <f>IF($C1233="","",IF(AND(COUNTIF(設定!$B$15:$B$21,$G1233)&gt;0,$J1233&lt;&gt;""),"假日出勤",IF(AND(COUNTIF(設定!$B$6:$B$14,$G1233)&gt;0,$J1233=""),"未打卡",IF($J1233="","",IF($O1233&gt;0,"遲到",IF($P1233&gt;0,"早退","正常"))))))</f>
        <v/>
      </c>
      <c r="O1233" s="84">
        <f>IF(OR($C1233="",$H1233="",$J1233=""),0,IF(ROUND(($J1233-$H1233)*1440,0)&gt;設定!$C$46,ROUND(($J1233-$H1233)*1440,0),0))</f>
        <v/>
      </c>
      <c r="P1233" s="84">
        <f>IF(OR($C1233="",$I1233="",$K1233=""),0,IF(ROUND(($I1233-$K1233)*1440,0)&gt;設定!$C$46,ROUND(($I1233-$K1233)*1440,0),0))</f>
        <v/>
      </c>
      <c r="Q1233" s="85">
        <f>IF($M1233="",0,IF(($M1233-IFERROR(INDEX(設定!$G$6:$G$21,MATCH($G1233,設定!$B$6:$B$21,0)),0))*60&gt;=設定!$C$44,ROUND(FLOOR(($M1233-IFERROR(INDEX(設定!$G$6:$G$21,MATCH($G1233,設定!$B$6:$B$21,0)),0))*60,設定!$C$45)/60,2),0))</f>
        <v/>
      </c>
      <c r="R1233" s="16">
        <f>IF(OR($C1233="",$Q1233=0),"",IF($G1233="國","國定假日",IF($B1233="日","例假",IF($B1233="六","休息日","平日"))))</f>
        <v/>
      </c>
      <c r="S1233" s="19" t="n"/>
    </row>
    <row r="1234">
      <c r="A1234" s="82">
        <f>IF(OR(助理班表!$A44="",23&gt;DAY(EOMONTH(DATE(設定!$C$2,設定!$D$2,1),0))),"",DATE(設定!$C$2,設定!$D$2,23))</f>
        <v/>
      </c>
      <c r="B1234" s="16">
        <f>IF($A1234="","",INDEX(設定!$O$6:$O$12,WEEKDAY($A1234,1)))</f>
        <v/>
      </c>
      <c r="C1234" s="16">
        <f>IF($A1234="","",助理班表!$A44)</f>
        <v/>
      </c>
      <c r="D1234" s="16">
        <f>IF($C1234="","",助理班表!$B44)</f>
        <v/>
      </c>
      <c r="E1234" s="16">
        <f>IF($C1234="","",助理班表!$D44)</f>
        <v/>
      </c>
      <c r="F1234" s="16">
        <f>IF($C1234="","",助理班表!$C44)</f>
        <v/>
      </c>
      <c r="G1234" s="16">
        <f>IF($C1234="","",助理班表!AA44)</f>
        <v/>
      </c>
      <c r="H1234" s="83">
        <f>IF($G1234="","",IFERROR(IF(INDEX(設定!$D$6:$D$21,MATCH($G1234,設定!$B$6:$B$21,0))=0,"",INDEX(設定!$D$6:$D$21,MATCH($G1234,設定!$B$6:$B$21,0))),""))</f>
        <v/>
      </c>
      <c r="I1234" s="83">
        <f>IF($G1234="","",IFERROR(IF(INDEX(設定!$E$6:$E$21,MATCH($G1234,設定!$B$6:$B$21,0))=0,"",INDEX(設定!$E$6:$E$21,MATCH($G1234,設定!$B$6:$B$21,0))),""))</f>
        <v/>
      </c>
      <c r="J1234" s="83">
        <f>IFERROR(INDEX(打卡匯入!$C$3:$C$2002,MATCH($C1234&amp;"|"&amp;DAY($A1234),打卡匯入!$E$3:$E$2002,0)),"")</f>
        <v/>
      </c>
      <c r="K1234" s="83">
        <f>IFERROR(INDEX(打卡匯入!$D$3:$D$2002,MATCH($C1234&amp;"|"&amp;DAY($A1234),打卡匯入!$E$3:$E$2002,0)),"")</f>
        <v/>
      </c>
      <c r="L1234" s="84">
        <f>IF(OR($J1234="",$K1234=""),"",IFERROR(INDEX(設定!$F$6:$F$21,MATCH($G1234,設定!$B$6:$B$21,0)),0))</f>
        <v/>
      </c>
      <c r="M1234" s="85">
        <f>IF(OR($J1234="",$K1234=""),"",ROUND(($K1234-$J1234)*24-$L1234/60,2))</f>
        <v/>
      </c>
      <c r="N1234" s="16">
        <f>IF($C1234="","",IF(AND(COUNTIF(設定!$B$15:$B$21,$G1234)&gt;0,$J1234&lt;&gt;""),"假日出勤",IF(AND(COUNTIF(設定!$B$6:$B$14,$G1234)&gt;0,$J1234=""),"未打卡",IF($J1234="","",IF($O1234&gt;0,"遲到",IF($P1234&gt;0,"早退","正常"))))))</f>
        <v/>
      </c>
      <c r="O1234" s="84">
        <f>IF(OR($C1234="",$H1234="",$J1234=""),0,IF(ROUND(($J1234-$H1234)*1440,0)&gt;設定!$C$46,ROUND(($J1234-$H1234)*1440,0),0))</f>
        <v/>
      </c>
      <c r="P1234" s="84">
        <f>IF(OR($C1234="",$I1234="",$K1234=""),0,IF(ROUND(($I1234-$K1234)*1440,0)&gt;設定!$C$46,ROUND(($I1234-$K1234)*1440,0),0))</f>
        <v/>
      </c>
      <c r="Q1234" s="85">
        <f>IF($M1234="",0,IF(($M1234-IFERROR(INDEX(設定!$G$6:$G$21,MATCH($G1234,設定!$B$6:$B$21,0)),0))*60&gt;=設定!$C$44,ROUND(FLOOR(($M1234-IFERROR(INDEX(設定!$G$6:$G$21,MATCH($G1234,設定!$B$6:$B$21,0)),0))*60,設定!$C$45)/60,2),0))</f>
        <v/>
      </c>
      <c r="R1234" s="16">
        <f>IF(OR($C1234="",$Q1234=0),"",IF($G1234="國","國定假日",IF($B1234="日","例假",IF($B1234="六","休息日","平日"))))</f>
        <v/>
      </c>
      <c r="S1234" s="19" t="n"/>
    </row>
    <row r="1235">
      <c r="A1235" s="82">
        <f>IF(OR(助理班表!$A44="",24&gt;DAY(EOMONTH(DATE(設定!$C$2,設定!$D$2,1),0))),"",DATE(設定!$C$2,設定!$D$2,24))</f>
        <v/>
      </c>
      <c r="B1235" s="16">
        <f>IF($A1235="","",INDEX(設定!$O$6:$O$12,WEEKDAY($A1235,1)))</f>
        <v/>
      </c>
      <c r="C1235" s="16">
        <f>IF($A1235="","",助理班表!$A44)</f>
        <v/>
      </c>
      <c r="D1235" s="16">
        <f>IF($C1235="","",助理班表!$B44)</f>
        <v/>
      </c>
      <c r="E1235" s="16">
        <f>IF($C1235="","",助理班表!$D44)</f>
        <v/>
      </c>
      <c r="F1235" s="16">
        <f>IF($C1235="","",助理班表!$C44)</f>
        <v/>
      </c>
      <c r="G1235" s="16">
        <f>IF($C1235="","",助理班表!AB44)</f>
        <v/>
      </c>
      <c r="H1235" s="83">
        <f>IF($G1235="","",IFERROR(IF(INDEX(設定!$D$6:$D$21,MATCH($G1235,設定!$B$6:$B$21,0))=0,"",INDEX(設定!$D$6:$D$21,MATCH($G1235,設定!$B$6:$B$21,0))),""))</f>
        <v/>
      </c>
      <c r="I1235" s="83">
        <f>IF($G1235="","",IFERROR(IF(INDEX(設定!$E$6:$E$21,MATCH($G1235,設定!$B$6:$B$21,0))=0,"",INDEX(設定!$E$6:$E$21,MATCH($G1235,設定!$B$6:$B$21,0))),""))</f>
        <v/>
      </c>
      <c r="J1235" s="83">
        <f>IFERROR(INDEX(打卡匯入!$C$3:$C$2002,MATCH($C1235&amp;"|"&amp;DAY($A1235),打卡匯入!$E$3:$E$2002,0)),"")</f>
        <v/>
      </c>
      <c r="K1235" s="83">
        <f>IFERROR(INDEX(打卡匯入!$D$3:$D$2002,MATCH($C1235&amp;"|"&amp;DAY($A1235),打卡匯入!$E$3:$E$2002,0)),"")</f>
        <v/>
      </c>
      <c r="L1235" s="84">
        <f>IF(OR($J1235="",$K1235=""),"",IFERROR(INDEX(設定!$F$6:$F$21,MATCH($G1235,設定!$B$6:$B$21,0)),0))</f>
        <v/>
      </c>
      <c r="M1235" s="85">
        <f>IF(OR($J1235="",$K1235=""),"",ROUND(($K1235-$J1235)*24-$L1235/60,2))</f>
        <v/>
      </c>
      <c r="N1235" s="16">
        <f>IF($C1235="","",IF(AND(COUNTIF(設定!$B$15:$B$21,$G1235)&gt;0,$J1235&lt;&gt;""),"假日出勤",IF(AND(COUNTIF(設定!$B$6:$B$14,$G1235)&gt;0,$J1235=""),"未打卡",IF($J1235="","",IF($O1235&gt;0,"遲到",IF($P1235&gt;0,"早退","正常"))))))</f>
        <v/>
      </c>
      <c r="O1235" s="84">
        <f>IF(OR($C1235="",$H1235="",$J1235=""),0,IF(ROUND(($J1235-$H1235)*1440,0)&gt;設定!$C$46,ROUND(($J1235-$H1235)*1440,0),0))</f>
        <v/>
      </c>
      <c r="P1235" s="84">
        <f>IF(OR($C1235="",$I1235="",$K1235=""),0,IF(ROUND(($I1235-$K1235)*1440,0)&gt;設定!$C$46,ROUND(($I1235-$K1235)*1440,0),0))</f>
        <v/>
      </c>
      <c r="Q1235" s="85">
        <f>IF($M1235="",0,IF(($M1235-IFERROR(INDEX(設定!$G$6:$G$21,MATCH($G1235,設定!$B$6:$B$21,0)),0))*60&gt;=設定!$C$44,ROUND(FLOOR(($M1235-IFERROR(INDEX(設定!$G$6:$G$21,MATCH($G1235,設定!$B$6:$B$21,0)),0))*60,設定!$C$45)/60,2),0))</f>
        <v/>
      </c>
      <c r="R1235" s="16">
        <f>IF(OR($C1235="",$Q1235=0),"",IF($G1235="國","國定假日",IF($B1235="日","例假",IF($B1235="六","休息日","平日"))))</f>
        <v/>
      </c>
      <c r="S1235" s="19" t="n"/>
    </row>
    <row r="1236">
      <c r="A1236" s="82">
        <f>IF(OR(助理班表!$A44="",25&gt;DAY(EOMONTH(DATE(設定!$C$2,設定!$D$2,1),0))),"",DATE(設定!$C$2,設定!$D$2,25))</f>
        <v/>
      </c>
      <c r="B1236" s="16">
        <f>IF($A1236="","",INDEX(設定!$O$6:$O$12,WEEKDAY($A1236,1)))</f>
        <v/>
      </c>
      <c r="C1236" s="16">
        <f>IF($A1236="","",助理班表!$A44)</f>
        <v/>
      </c>
      <c r="D1236" s="16">
        <f>IF($C1236="","",助理班表!$B44)</f>
        <v/>
      </c>
      <c r="E1236" s="16">
        <f>IF($C1236="","",助理班表!$D44)</f>
        <v/>
      </c>
      <c r="F1236" s="16">
        <f>IF($C1236="","",助理班表!$C44)</f>
        <v/>
      </c>
      <c r="G1236" s="16">
        <f>IF($C1236="","",助理班表!AC44)</f>
        <v/>
      </c>
      <c r="H1236" s="83">
        <f>IF($G1236="","",IFERROR(IF(INDEX(設定!$D$6:$D$21,MATCH($G1236,設定!$B$6:$B$21,0))=0,"",INDEX(設定!$D$6:$D$21,MATCH($G1236,設定!$B$6:$B$21,0))),""))</f>
        <v/>
      </c>
      <c r="I1236" s="83">
        <f>IF($G1236="","",IFERROR(IF(INDEX(設定!$E$6:$E$21,MATCH($G1236,設定!$B$6:$B$21,0))=0,"",INDEX(設定!$E$6:$E$21,MATCH($G1236,設定!$B$6:$B$21,0))),""))</f>
        <v/>
      </c>
      <c r="J1236" s="83">
        <f>IFERROR(INDEX(打卡匯入!$C$3:$C$2002,MATCH($C1236&amp;"|"&amp;DAY($A1236),打卡匯入!$E$3:$E$2002,0)),"")</f>
        <v/>
      </c>
      <c r="K1236" s="83">
        <f>IFERROR(INDEX(打卡匯入!$D$3:$D$2002,MATCH($C1236&amp;"|"&amp;DAY($A1236),打卡匯入!$E$3:$E$2002,0)),"")</f>
        <v/>
      </c>
      <c r="L1236" s="84">
        <f>IF(OR($J1236="",$K1236=""),"",IFERROR(INDEX(設定!$F$6:$F$21,MATCH($G1236,設定!$B$6:$B$21,0)),0))</f>
        <v/>
      </c>
      <c r="M1236" s="85">
        <f>IF(OR($J1236="",$K1236=""),"",ROUND(($K1236-$J1236)*24-$L1236/60,2))</f>
        <v/>
      </c>
      <c r="N1236" s="16">
        <f>IF($C1236="","",IF(AND(COUNTIF(設定!$B$15:$B$21,$G1236)&gt;0,$J1236&lt;&gt;""),"假日出勤",IF(AND(COUNTIF(設定!$B$6:$B$14,$G1236)&gt;0,$J1236=""),"未打卡",IF($J1236="","",IF($O1236&gt;0,"遲到",IF($P1236&gt;0,"早退","正常"))))))</f>
        <v/>
      </c>
      <c r="O1236" s="84">
        <f>IF(OR($C1236="",$H1236="",$J1236=""),0,IF(ROUND(($J1236-$H1236)*1440,0)&gt;設定!$C$46,ROUND(($J1236-$H1236)*1440,0),0))</f>
        <v/>
      </c>
      <c r="P1236" s="84">
        <f>IF(OR($C1236="",$I1236="",$K1236=""),0,IF(ROUND(($I1236-$K1236)*1440,0)&gt;設定!$C$46,ROUND(($I1236-$K1236)*1440,0),0))</f>
        <v/>
      </c>
      <c r="Q1236" s="85">
        <f>IF($M1236="",0,IF(($M1236-IFERROR(INDEX(設定!$G$6:$G$21,MATCH($G1236,設定!$B$6:$B$21,0)),0))*60&gt;=設定!$C$44,ROUND(FLOOR(($M1236-IFERROR(INDEX(設定!$G$6:$G$21,MATCH($G1236,設定!$B$6:$B$21,0)),0))*60,設定!$C$45)/60,2),0))</f>
        <v/>
      </c>
      <c r="R1236" s="16">
        <f>IF(OR($C1236="",$Q1236=0),"",IF($G1236="國","國定假日",IF($B1236="日","例假",IF($B1236="六","休息日","平日"))))</f>
        <v/>
      </c>
      <c r="S1236" s="19" t="n"/>
    </row>
    <row r="1237">
      <c r="A1237" s="82">
        <f>IF(OR(助理班表!$A44="",26&gt;DAY(EOMONTH(DATE(設定!$C$2,設定!$D$2,1),0))),"",DATE(設定!$C$2,設定!$D$2,26))</f>
        <v/>
      </c>
      <c r="B1237" s="16">
        <f>IF($A1237="","",INDEX(設定!$O$6:$O$12,WEEKDAY($A1237,1)))</f>
        <v/>
      </c>
      <c r="C1237" s="16">
        <f>IF($A1237="","",助理班表!$A44)</f>
        <v/>
      </c>
      <c r="D1237" s="16">
        <f>IF($C1237="","",助理班表!$B44)</f>
        <v/>
      </c>
      <c r="E1237" s="16">
        <f>IF($C1237="","",助理班表!$D44)</f>
        <v/>
      </c>
      <c r="F1237" s="16">
        <f>IF($C1237="","",助理班表!$C44)</f>
        <v/>
      </c>
      <c r="G1237" s="16">
        <f>IF($C1237="","",助理班表!AD44)</f>
        <v/>
      </c>
      <c r="H1237" s="83">
        <f>IF($G1237="","",IFERROR(IF(INDEX(設定!$D$6:$D$21,MATCH($G1237,設定!$B$6:$B$21,0))=0,"",INDEX(設定!$D$6:$D$21,MATCH($G1237,設定!$B$6:$B$21,0))),""))</f>
        <v/>
      </c>
      <c r="I1237" s="83">
        <f>IF($G1237="","",IFERROR(IF(INDEX(設定!$E$6:$E$21,MATCH($G1237,設定!$B$6:$B$21,0))=0,"",INDEX(設定!$E$6:$E$21,MATCH($G1237,設定!$B$6:$B$21,0))),""))</f>
        <v/>
      </c>
      <c r="J1237" s="83">
        <f>IFERROR(INDEX(打卡匯入!$C$3:$C$2002,MATCH($C1237&amp;"|"&amp;DAY($A1237),打卡匯入!$E$3:$E$2002,0)),"")</f>
        <v/>
      </c>
      <c r="K1237" s="83">
        <f>IFERROR(INDEX(打卡匯入!$D$3:$D$2002,MATCH($C1237&amp;"|"&amp;DAY($A1237),打卡匯入!$E$3:$E$2002,0)),"")</f>
        <v/>
      </c>
      <c r="L1237" s="84">
        <f>IF(OR($J1237="",$K1237=""),"",IFERROR(INDEX(設定!$F$6:$F$21,MATCH($G1237,設定!$B$6:$B$21,0)),0))</f>
        <v/>
      </c>
      <c r="M1237" s="85">
        <f>IF(OR($J1237="",$K1237=""),"",ROUND(($K1237-$J1237)*24-$L1237/60,2))</f>
        <v/>
      </c>
      <c r="N1237" s="16">
        <f>IF($C1237="","",IF(AND(COUNTIF(設定!$B$15:$B$21,$G1237)&gt;0,$J1237&lt;&gt;""),"假日出勤",IF(AND(COUNTIF(設定!$B$6:$B$14,$G1237)&gt;0,$J1237=""),"未打卡",IF($J1237="","",IF($O1237&gt;0,"遲到",IF($P1237&gt;0,"早退","正常"))))))</f>
        <v/>
      </c>
      <c r="O1237" s="84">
        <f>IF(OR($C1237="",$H1237="",$J1237=""),0,IF(ROUND(($J1237-$H1237)*1440,0)&gt;設定!$C$46,ROUND(($J1237-$H1237)*1440,0),0))</f>
        <v/>
      </c>
      <c r="P1237" s="84">
        <f>IF(OR($C1237="",$I1237="",$K1237=""),0,IF(ROUND(($I1237-$K1237)*1440,0)&gt;設定!$C$46,ROUND(($I1237-$K1237)*1440,0),0))</f>
        <v/>
      </c>
      <c r="Q1237" s="85">
        <f>IF($M1237="",0,IF(($M1237-IFERROR(INDEX(設定!$G$6:$G$21,MATCH($G1237,設定!$B$6:$B$21,0)),0))*60&gt;=設定!$C$44,ROUND(FLOOR(($M1237-IFERROR(INDEX(設定!$G$6:$G$21,MATCH($G1237,設定!$B$6:$B$21,0)),0))*60,設定!$C$45)/60,2),0))</f>
        <v/>
      </c>
      <c r="R1237" s="16">
        <f>IF(OR($C1237="",$Q1237=0),"",IF($G1237="國","國定假日",IF($B1237="日","例假",IF($B1237="六","休息日","平日"))))</f>
        <v/>
      </c>
      <c r="S1237" s="19" t="n"/>
    </row>
    <row r="1238">
      <c r="A1238" s="82">
        <f>IF(OR(助理班表!$A44="",27&gt;DAY(EOMONTH(DATE(設定!$C$2,設定!$D$2,1),0))),"",DATE(設定!$C$2,設定!$D$2,27))</f>
        <v/>
      </c>
      <c r="B1238" s="16">
        <f>IF($A1238="","",INDEX(設定!$O$6:$O$12,WEEKDAY($A1238,1)))</f>
        <v/>
      </c>
      <c r="C1238" s="16">
        <f>IF($A1238="","",助理班表!$A44)</f>
        <v/>
      </c>
      <c r="D1238" s="16">
        <f>IF($C1238="","",助理班表!$B44)</f>
        <v/>
      </c>
      <c r="E1238" s="16">
        <f>IF($C1238="","",助理班表!$D44)</f>
        <v/>
      </c>
      <c r="F1238" s="16">
        <f>IF($C1238="","",助理班表!$C44)</f>
        <v/>
      </c>
      <c r="G1238" s="16">
        <f>IF($C1238="","",助理班表!AE44)</f>
        <v/>
      </c>
      <c r="H1238" s="83">
        <f>IF($G1238="","",IFERROR(IF(INDEX(設定!$D$6:$D$21,MATCH($G1238,設定!$B$6:$B$21,0))=0,"",INDEX(設定!$D$6:$D$21,MATCH($G1238,設定!$B$6:$B$21,0))),""))</f>
        <v/>
      </c>
      <c r="I1238" s="83">
        <f>IF($G1238="","",IFERROR(IF(INDEX(設定!$E$6:$E$21,MATCH($G1238,設定!$B$6:$B$21,0))=0,"",INDEX(設定!$E$6:$E$21,MATCH($G1238,設定!$B$6:$B$21,0))),""))</f>
        <v/>
      </c>
      <c r="J1238" s="83">
        <f>IFERROR(INDEX(打卡匯入!$C$3:$C$2002,MATCH($C1238&amp;"|"&amp;DAY($A1238),打卡匯入!$E$3:$E$2002,0)),"")</f>
        <v/>
      </c>
      <c r="K1238" s="83">
        <f>IFERROR(INDEX(打卡匯入!$D$3:$D$2002,MATCH($C1238&amp;"|"&amp;DAY($A1238),打卡匯入!$E$3:$E$2002,0)),"")</f>
        <v/>
      </c>
      <c r="L1238" s="84">
        <f>IF(OR($J1238="",$K1238=""),"",IFERROR(INDEX(設定!$F$6:$F$21,MATCH($G1238,設定!$B$6:$B$21,0)),0))</f>
        <v/>
      </c>
      <c r="M1238" s="85">
        <f>IF(OR($J1238="",$K1238=""),"",ROUND(($K1238-$J1238)*24-$L1238/60,2))</f>
        <v/>
      </c>
      <c r="N1238" s="16">
        <f>IF($C1238="","",IF(AND(COUNTIF(設定!$B$15:$B$21,$G1238)&gt;0,$J1238&lt;&gt;""),"假日出勤",IF(AND(COUNTIF(設定!$B$6:$B$14,$G1238)&gt;0,$J1238=""),"未打卡",IF($J1238="","",IF($O1238&gt;0,"遲到",IF($P1238&gt;0,"早退","正常"))))))</f>
        <v/>
      </c>
      <c r="O1238" s="84">
        <f>IF(OR($C1238="",$H1238="",$J1238=""),0,IF(ROUND(($J1238-$H1238)*1440,0)&gt;設定!$C$46,ROUND(($J1238-$H1238)*1440,0),0))</f>
        <v/>
      </c>
      <c r="P1238" s="84">
        <f>IF(OR($C1238="",$I1238="",$K1238=""),0,IF(ROUND(($I1238-$K1238)*1440,0)&gt;設定!$C$46,ROUND(($I1238-$K1238)*1440,0),0))</f>
        <v/>
      </c>
      <c r="Q1238" s="85">
        <f>IF($M1238="",0,IF(($M1238-IFERROR(INDEX(設定!$G$6:$G$21,MATCH($G1238,設定!$B$6:$B$21,0)),0))*60&gt;=設定!$C$44,ROUND(FLOOR(($M1238-IFERROR(INDEX(設定!$G$6:$G$21,MATCH($G1238,設定!$B$6:$B$21,0)),0))*60,設定!$C$45)/60,2),0))</f>
        <v/>
      </c>
      <c r="R1238" s="16">
        <f>IF(OR($C1238="",$Q1238=0),"",IF($G1238="國","國定假日",IF($B1238="日","例假",IF($B1238="六","休息日","平日"))))</f>
        <v/>
      </c>
      <c r="S1238" s="19" t="n"/>
    </row>
    <row r="1239">
      <c r="A1239" s="82">
        <f>IF(OR(助理班表!$A44="",28&gt;DAY(EOMONTH(DATE(設定!$C$2,設定!$D$2,1),0))),"",DATE(設定!$C$2,設定!$D$2,28))</f>
        <v/>
      </c>
      <c r="B1239" s="16">
        <f>IF($A1239="","",INDEX(設定!$O$6:$O$12,WEEKDAY($A1239,1)))</f>
        <v/>
      </c>
      <c r="C1239" s="16">
        <f>IF($A1239="","",助理班表!$A44)</f>
        <v/>
      </c>
      <c r="D1239" s="16">
        <f>IF($C1239="","",助理班表!$B44)</f>
        <v/>
      </c>
      <c r="E1239" s="16">
        <f>IF($C1239="","",助理班表!$D44)</f>
        <v/>
      </c>
      <c r="F1239" s="16">
        <f>IF($C1239="","",助理班表!$C44)</f>
        <v/>
      </c>
      <c r="G1239" s="16">
        <f>IF($C1239="","",助理班表!AF44)</f>
        <v/>
      </c>
      <c r="H1239" s="83">
        <f>IF($G1239="","",IFERROR(IF(INDEX(設定!$D$6:$D$21,MATCH($G1239,設定!$B$6:$B$21,0))=0,"",INDEX(設定!$D$6:$D$21,MATCH($G1239,設定!$B$6:$B$21,0))),""))</f>
        <v/>
      </c>
      <c r="I1239" s="83">
        <f>IF($G1239="","",IFERROR(IF(INDEX(設定!$E$6:$E$21,MATCH($G1239,設定!$B$6:$B$21,0))=0,"",INDEX(設定!$E$6:$E$21,MATCH($G1239,設定!$B$6:$B$21,0))),""))</f>
        <v/>
      </c>
      <c r="J1239" s="83">
        <f>IFERROR(INDEX(打卡匯入!$C$3:$C$2002,MATCH($C1239&amp;"|"&amp;DAY($A1239),打卡匯入!$E$3:$E$2002,0)),"")</f>
        <v/>
      </c>
      <c r="K1239" s="83">
        <f>IFERROR(INDEX(打卡匯入!$D$3:$D$2002,MATCH($C1239&amp;"|"&amp;DAY($A1239),打卡匯入!$E$3:$E$2002,0)),"")</f>
        <v/>
      </c>
      <c r="L1239" s="84">
        <f>IF(OR($J1239="",$K1239=""),"",IFERROR(INDEX(設定!$F$6:$F$21,MATCH($G1239,設定!$B$6:$B$21,0)),0))</f>
        <v/>
      </c>
      <c r="M1239" s="85">
        <f>IF(OR($J1239="",$K1239=""),"",ROUND(($K1239-$J1239)*24-$L1239/60,2))</f>
        <v/>
      </c>
      <c r="N1239" s="16">
        <f>IF($C1239="","",IF(AND(COUNTIF(設定!$B$15:$B$21,$G1239)&gt;0,$J1239&lt;&gt;""),"假日出勤",IF(AND(COUNTIF(設定!$B$6:$B$14,$G1239)&gt;0,$J1239=""),"未打卡",IF($J1239="","",IF($O1239&gt;0,"遲到",IF($P1239&gt;0,"早退","正常"))))))</f>
        <v/>
      </c>
      <c r="O1239" s="84">
        <f>IF(OR($C1239="",$H1239="",$J1239=""),0,IF(ROUND(($J1239-$H1239)*1440,0)&gt;設定!$C$46,ROUND(($J1239-$H1239)*1440,0),0))</f>
        <v/>
      </c>
      <c r="P1239" s="84">
        <f>IF(OR($C1239="",$I1239="",$K1239=""),0,IF(ROUND(($I1239-$K1239)*1440,0)&gt;設定!$C$46,ROUND(($I1239-$K1239)*1440,0),0))</f>
        <v/>
      </c>
      <c r="Q1239" s="85">
        <f>IF($M1239="",0,IF(($M1239-IFERROR(INDEX(設定!$G$6:$G$21,MATCH($G1239,設定!$B$6:$B$21,0)),0))*60&gt;=設定!$C$44,ROUND(FLOOR(($M1239-IFERROR(INDEX(設定!$G$6:$G$21,MATCH($G1239,設定!$B$6:$B$21,0)),0))*60,設定!$C$45)/60,2),0))</f>
        <v/>
      </c>
      <c r="R1239" s="16">
        <f>IF(OR($C1239="",$Q1239=0),"",IF($G1239="國","國定假日",IF($B1239="日","例假",IF($B1239="六","休息日","平日"))))</f>
        <v/>
      </c>
      <c r="S1239" s="19" t="n"/>
    </row>
    <row r="1240">
      <c r="A1240" s="82">
        <f>IF(OR(助理班表!$A44="",29&gt;DAY(EOMONTH(DATE(設定!$C$2,設定!$D$2,1),0))),"",DATE(設定!$C$2,設定!$D$2,29))</f>
        <v/>
      </c>
      <c r="B1240" s="16">
        <f>IF($A1240="","",INDEX(設定!$O$6:$O$12,WEEKDAY($A1240,1)))</f>
        <v/>
      </c>
      <c r="C1240" s="16">
        <f>IF($A1240="","",助理班表!$A44)</f>
        <v/>
      </c>
      <c r="D1240" s="16">
        <f>IF($C1240="","",助理班表!$B44)</f>
        <v/>
      </c>
      <c r="E1240" s="16">
        <f>IF($C1240="","",助理班表!$D44)</f>
        <v/>
      </c>
      <c r="F1240" s="16">
        <f>IF($C1240="","",助理班表!$C44)</f>
        <v/>
      </c>
      <c r="G1240" s="16">
        <f>IF($C1240="","",助理班表!AG44)</f>
        <v/>
      </c>
      <c r="H1240" s="83">
        <f>IF($G1240="","",IFERROR(IF(INDEX(設定!$D$6:$D$21,MATCH($G1240,設定!$B$6:$B$21,0))=0,"",INDEX(設定!$D$6:$D$21,MATCH($G1240,設定!$B$6:$B$21,0))),""))</f>
        <v/>
      </c>
      <c r="I1240" s="83">
        <f>IF($G1240="","",IFERROR(IF(INDEX(設定!$E$6:$E$21,MATCH($G1240,設定!$B$6:$B$21,0))=0,"",INDEX(設定!$E$6:$E$21,MATCH($G1240,設定!$B$6:$B$21,0))),""))</f>
        <v/>
      </c>
      <c r="J1240" s="83">
        <f>IFERROR(INDEX(打卡匯入!$C$3:$C$2002,MATCH($C1240&amp;"|"&amp;DAY($A1240),打卡匯入!$E$3:$E$2002,0)),"")</f>
        <v/>
      </c>
      <c r="K1240" s="83">
        <f>IFERROR(INDEX(打卡匯入!$D$3:$D$2002,MATCH($C1240&amp;"|"&amp;DAY($A1240),打卡匯入!$E$3:$E$2002,0)),"")</f>
        <v/>
      </c>
      <c r="L1240" s="84">
        <f>IF(OR($J1240="",$K1240=""),"",IFERROR(INDEX(設定!$F$6:$F$21,MATCH($G1240,設定!$B$6:$B$21,0)),0))</f>
        <v/>
      </c>
      <c r="M1240" s="85">
        <f>IF(OR($J1240="",$K1240=""),"",ROUND(($K1240-$J1240)*24-$L1240/60,2))</f>
        <v/>
      </c>
      <c r="N1240" s="16">
        <f>IF($C1240="","",IF(AND(COUNTIF(設定!$B$15:$B$21,$G1240)&gt;0,$J1240&lt;&gt;""),"假日出勤",IF(AND(COUNTIF(設定!$B$6:$B$14,$G1240)&gt;0,$J1240=""),"未打卡",IF($J1240="","",IF($O1240&gt;0,"遲到",IF($P1240&gt;0,"早退","正常"))))))</f>
        <v/>
      </c>
      <c r="O1240" s="84">
        <f>IF(OR($C1240="",$H1240="",$J1240=""),0,IF(ROUND(($J1240-$H1240)*1440,0)&gt;設定!$C$46,ROUND(($J1240-$H1240)*1440,0),0))</f>
        <v/>
      </c>
      <c r="P1240" s="84">
        <f>IF(OR($C1240="",$I1240="",$K1240=""),0,IF(ROUND(($I1240-$K1240)*1440,0)&gt;設定!$C$46,ROUND(($I1240-$K1240)*1440,0),0))</f>
        <v/>
      </c>
      <c r="Q1240" s="85">
        <f>IF($M1240="",0,IF(($M1240-IFERROR(INDEX(設定!$G$6:$G$21,MATCH($G1240,設定!$B$6:$B$21,0)),0))*60&gt;=設定!$C$44,ROUND(FLOOR(($M1240-IFERROR(INDEX(設定!$G$6:$G$21,MATCH($G1240,設定!$B$6:$B$21,0)),0))*60,設定!$C$45)/60,2),0))</f>
        <v/>
      </c>
      <c r="R1240" s="16">
        <f>IF(OR($C1240="",$Q1240=0),"",IF($G1240="國","國定假日",IF($B1240="日","例假",IF($B1240="六","休息日","平日"))))</f>
        <v/>
      </c>
      <c r="S1240" s="19" t="n"/>
    </row>
    <row r="1241">
      <c r="A1241" s="82">
        <f>IF(OR(助理班表!$A44="",30&gt;DAY(EOMONTH(DATE(設定!$C$2,設定!$D$2,1),0))),"",DATE(設定!$C$2,設定!$D$2,30))</f>
        <v/>
      </c>
      <c r="B1241" s="16">
        <f>IF($A1241="","",INDEX(設定!$O$6:$O$12,WEEKDAY($A1241,1)))</f>
        <v/>
      </c>
      <c r="C1241" s="16">
        <f>IF($A1241="","",助理班表!$A44)</f>
        <v/>
      </c>
      <c r="D1241" s="16">
        <f>IF($C1241="","",助理班表!$B44)</f>
        <v/>
      </c>
      <c r="E1241" s="16">
        <f>IF($C1241="","",助理班表!$D44)</f>
        <v/>
      </c>
      <c r="F1241" s="16">
        <f>IF($C1241="","",助理班表!$C44)</f>
        <v/>
      </c>
      <c r="G1241" s="16">
        <f>IF($C1241="","",助理班表!AH44)</f>
        <v/>
      </c>
      <c r="H1241" s="83">
        <f>IF($G1241="","",IFERROR(IF(INDEX(設定!$D$6:$D$21,MATCH($G1241,設定!$B$6:$B$21,0))=0,"",INDEX(設定!$D$6:$D$21,MATCH($G1241,設定!$B$6:$B$21,0))),""))</f>
        <v/>
      </c>
      <c r="I1241" s="83">
        <f>IF($G1241="","",IFERROR(IF(INDEX(設定!$E$6:$E$21,MATCH($G1241,設定!$B$6:$B$21,0))=0,"",INDEX(設定!$E$6:$E$21,MATCH($G1241,設定!$B$6:$B$21,0))),""))</f>
        <v/>
      </c>
      <c r="J1241" s="83">
        <f>IFERROR(INDEX(打卡匯入!$C$3:$C$2002,MATCH($C1241&amp;"|"&amp;DAY($A1241),打卡匯入!$E$3:$E$2002,0)),"")</f>
        <v/>
      </c>
      <c r="K1241" s="83">
        <f>IFERROR(INDEX(打卡匯入!$D$3:$D$2002,MATCH($C1241&amp;"|"&amp;DAY($A1241),打卡匯入!$E$3:$E$2002,0)),"")</f>
        <v/>
      </c>
      <c r="L1241" s="84">
        <f>IF(OR($J1241="",$K1241=""),"",IFERROR(INDEX(設定!$F$6:$F$21,MATCH($G1241,設定!$B$6:$B$21,0)),0))</f>
        <v/>
      </c>
      <c r="M1241" s="85">
        <f>IF(OR($J1241="",$K1241=""),"",ROUND(($K1241-$J1241)*24-$L1241/60,2))</f>
        <v/>
      </c>
      <c r="N1241" s="16">
        <f>IF($C1241="","",IF(AND(COUNTIF(設定!$B$15:$B$21,$G1241)&gt;0,$J1241&lt;&gt;""),"假日出勤",IF(AND(COUNTIF(設定!$B$6:$B$14,$G1241)&gt;0,$J1241=""),"未打卡",IF($J1241="","",IF($O1241&gt;0,"遲到",IF($P1241&gt;0,"早退","正常"))))))</f>
        <v/>
      </c>
      <c r="O1241" s="84">
        <f>IF(OR($C1241="",$H1241="",$J1241=""),0,IF(ROUND(($J1241-$H1241)*1440,0)&gt;設定!$C$46,ROUND(($J1241-$H1241)*1440,0),0))</f>
        <v/>
      </c>
      <c r="P1241" s="84">
        <f>IF(OR($C1241="",$I1241="",$K1241=""),0,IF(ROUND(($I1241-$K1241)*1440,0)&gt;設定!$C$46,ROUND(($I1241-$K1241)*1440,0),0))</f>
        <v/>
      </c>
      <c r="Q1241" s="85">
        <f>IF($M1241="",0,IF(($M1241-IFERROR(INDEX(設定!$G$6:$G$21,MATCH($G1241,設定!$B$6:$B$21,0)),0))*60&gt;=設定!$C$44,ROUND(FLOOR(($M1241-IFERROR(INDEX(設定!$G$6:$G$21,MATCH($G1241,設定!$B$6:$B$21,0)),0))*60,設定!$C$45)/60,2),0))</f>
        <v/>
      </c>
      <c r="R1241" s="16">
        <f>IF(OR($C1241="",$Q1241=0),"",IF($G1241="國","國定假日",IF($B1241="日","例假",IF($B1241="六","休息日","平日"))))</f>
        <v/>
      </c>
      <c r="S1241" s="19" t="n"/>
    </row>
    <row r="1242">
      <c r="A1242" s="82">
        <f>IF(OR(助理班表!$A44="",31&gt;DAY(EOMONTH(DATE(設定!$C$2,設定!$D$2,1),0))),"",DATE(設定!$C$2,設定!$D$2,31))</f>
        <v/>
      </c>
      <c r="B1242" s="16">
        <f>IF($A1242="","",INDEX(設定!$O$6:$O$12,WEEKDAY($A1242,1)))</f>
        <v/>
      </c>
      <c r="C1242" s="16">
        <f>IF($A1242="","",助理班表!$A44)</f>
        <v/>
      </c>
      <c r="D1242" s="16">
        <f>IF($C1242="","",助理班表!$B44)</f>
        <v/>
      </c>
      <c r="E1242" s="16">
        <f>IF($C1242="","",助理班表!$D44)</f>
        <v/>
      </c>
      <c r="F1242" s="16">
        <f>IF($C1242="","",助理班表!$C44)</f>
        <v/>
      </c>
      <c r="G1242" s="16">
        <f>IF($C1242="","",助理班表!AI44)</f>
        <v/>
      </c>
      <c r="H1242" s="83">
        <f>IF($G1242="","",IFERROR(IF(INDEX(設定!$D$6:$D$21,MATCH($G1242,設定!$B$6:$B$21,0))=0,"",INDEX(設定!$D$6:$D$21,MATCH($G1242,設定!$B$6:$B$21,0))),""))</f>
        <v/>
      </c>
      <c r="I1242" s="83">
        <f>IF($G1242="","",IFERROR(IF(INDEX(設定!$E$6:$E$21,MATCH($G1242,設定!$B$6:$B$21,0))=0,"",INDEX(設定!$E$6:$E$21,MATCH($G1242,設定!$B$6:$B$21,0))),""))</f>
        <v/>
      </c>
      <c r="J1242" s="83">
        <f>IFERROR(INDEX(打卡匯入!$C$3:$C$2002,MATCH($C1242&amp;"|"&amp;DAY($A1242),打卡匯入!$E$3:$E$2002,0)),"")</f>
        <v/>
      </c>
      <c r="K1242" s="83">
        <f>IFERROR(INDEX(打卡匯入!$D$3:$D$2002,MATCH($C1242&amp;"|"&amp;DAY($A1242),打卡匯入!$E$3:$E$2002,0)),"")</f>
        <v/>
      </c>
      <c r="L1242" s="84">
        <f>IF(OR($J1242="",$K1242=""),"",IFERROR(INDEX(設定!$F$6:$F$21,MATCH($G1242,設定!$B$6:$B$21,0)),0))</f>
        <v/>
      </c>
      <c r="M1242" s="85">
        <f>IF(OR($J1242="",$K1242=""),"",ROUND(($K1242-$J1242)*24-$L1242/60,2))</f>
        <v/>
      </c>
      <c r="N1242" s="16">
        <f>IF($C1242="","",IF(AND(COUNTIF(設定!$B$15:$B$21,$G1242)&gt;0,$J1242&lt;&gt;""),"假日出勤",IF(AND(COUNTIF(設定!$B$6:$B$14,$G1242)&gt;0,$J1242=""),"未打卡",IF($J1242="","",IF($O1242&gt;0,"遲到",IF($P1242&gt;0,"早退","正常"))))))</f>
        <v/>
      </c>
      <c r="O1242" s="84">
        <f>IF(OR($C1242="",$H1242="",$J1242=""),0,IF(ROUND(($J1242-$H1242)*1440,0)&gt;設定!$C$46,ROUND(($J1242-$H1242)*1440,0),0))</f>
        <v/>
      </c>
      <c r="P1242" s="84">
        <f>IF(OR($C1242="",$I1242="",$K1242=""),0,IF(ROUND(($I1242-$K1242)*1440,0)&gt;設定!$C$46,ROUND(($I1242-$K1242)*1440,0),0))</f>
        <v/>
      </c>
      <c r="Q1242" s="85">
        <f>IF($M1242="",0,IF(($M1242-IFERROR(INDEX(設定!$G$6:$G$21,MATCH($G1242,設定!$B$6:$B$21,0)),0))*60&gt;=設定!$C$44,ROUND(FLOOR(($M1242-IFERROR(INDEX(設定!$G$6:$G$21,MATCH($G1242,設定!$B$6:$B$21,0)),0))*60,設定!$C$45)/60,2),0))</f>
        <v/>
      </c>
      <c r="R1242" s="16">
        <f>IF(OR($C1242="",$Q1242=0),"",IF($G1242="國","國定假日",IF($B1242="日","例假",IF($B1242="六","休息日","平日"))))</f>
        <v/>
      </c>
      <c r="S1242" s="19" t="n"/>
    </row>
    <row r="1243">
      <c r="A1243" s="82">
        <f>IF(OR(助理班表!$A45="",1&gt;DAY(EOMONTH(DATE(設定!$C$2,設定!$D$2,1),0))),"",DATE(設定!$C$2,設定!$D$2,1))</f>
        <v/>
      </c>
      <c r="B1243" s="16">
        <f>IF($A1243="","",INDEX(設定!$O$6:$O$12,WEEKDAY($A1243,1)))</f>
        <v/>
      </c>
      <c r="C1243" s="16">
        <f>IF($A1243="","",助理班表!$A45)</f>
        <v/>
      </c>
      <c r="D1243" s="16">
        <f>IF($C1243="","",助理班表!$B45)</f>
        <v/>
      </c>
      <c r="E1243" s="16">
        <f>IF($C1243="","",助理班表!$D45)</f>
        <v/>
      </c>
      <c r="F1243" s="16">
        <f>IF($C1243="","",助理班表!$C45)</f>
        <v/>
      </c>
      <c r="G1243" s="16">
        <f>IF($C1243="","",助理班表!E45)</f>
        <v/>
      </c>
      <c r="H1243" s="83">
        <f>IF($G1243="","",IFERROR(IF(INDEX(設定!$D$6:$D$21,MATCH($G1243,設定!$B$6:$B$21,0))=0,"",INDEX(設定!$D$6:$D$21,MATCH($G1243,設定!$B$6:$B$21,0))),""))</f>
        <v/>
      </c>
      <c r="I1243" s="83">
        <f>IF($G1243="","",IFERROR(IF(INDEX(設定!$E$6:$E$21,MATCH($G1243,設定!$B$6:$B$21,0))=0,"",INDEX(設定!$E$6:$E$21,MATCH($G1243,設定!$B$6:$B$21,0))),""))</f>
        <v/>
      </c>
      <c r="J1243" s="83">
        <f>IFERROR(INDEX(打卡匯入!$C$3:$C$2002,MATCH($C1243&amp;"|"&amp;DAY($A1243),打卡匯入!$E$3:$E$2002,0)),"")</f>
        <v/>
      </c>
      <c r="K1243" s="83">
        <f>IFERROR(INDEX(打卡匯入!$D$3:$D$2002,MATCH($C1243&amp;"|"&amp;DAY($A1243),打卡匯入!$E$3:$E$2002,0)),"")</f>
        <v/>
      </c>
      <c r="L1243" s="84">
        <f>IF(OR($J1243="",$K1243=""),"",IFERROR(INDEX(設定!$F$6:$F$21,MATCH($G1243,設定!$B$6:$B$21,0)),0))</f>
        <v/>
      </c>
      <c r="M1243" s="85">
        <f>IF(OR($J1243="",$K1243=""),"",ROUND(($K1243-$J1243)*24-$L1243/60,2))</f>
        <v/>
      </c>
      <c r="N1243" s="16">
        <f>IF($C1243="","",IF(AND(COUNTIF(設定!$B$15:$B$21,$G1243)&gt;0,$J1243&lt;&gt;""),"假日出勤",IF(AND(COUNTIF(設定!$B$6:$B$14,$G1243)&gt;0,$J1243=""),"未打卡",IF($J1243="","",IF($O1243&gt;0,"遲到",IF($P1243&gt;0,"早退","正常"))))))</f>
        <v/>
      </c>
      <c r="O1243" s="84">
        <f>IF(OR($C1243="",$H1243="",$J1243=""),0,IF(ROUND(($J1243-$H1243)*1440,0)&gt;設定!$C$46,ROUND(($J1243-$H1243)*1440,0),0))</f>
        <v/>
      </c>
      <c r="P1243" s="84">
        <f>IF(OR($C1243="",$I1243="",$K1243=""),0,IF(ROUND(($I1243-$K1243)*1440,0)&gt;設定!$C$46,ROUND(($I1243-$K1243)*1440,0),0))</f>
        <v/>
      </c>
      <c r="Q1243" s="85">
        <f>IF($M1243="",0,IF(($M1243-IFERROR(INDEX(設定!$G$6:$G$21,MATCH($G1243,設定!$B$6:$B$21,0)),0))*60&gt;=設定!$C$44,ROUND(FLOOR(($M1243-IFERROR(INDEX(設定!$G$6:$G$21,MATCH($G1243,設定!$B$6:$B$21,0)),0))*60,設定!$C$45)/60,2),0))</f>
        <v/>
      </c>
      <c r="R1243" s="16">
        <f>IF(OR($C1243="",$Q1243=0),"",IF($G1243="國","國定假日",IF($B1243="日","例假",IF($B1243="六","休息日","平日"))))</f>
        <v/>
      </c>
      <c r="S1243" s="19" t="n"/>
    </row>
    <row r="1244">
      <c r="A1244" s="82">
        <f>IF(OR(助理班表!$A45="",2&gt;DAY(EOMONTH(DATE(設定!$C$2,設定!$D$2,1),0))),"",DATE(設定!$C$2,設定!$D$2,2))</f>
        <v/>
      </c>
      <c r="B1244" s="16">
        <f>IF($A1244="","",INDEX(設定!$O$6:$O$12,WEEKDAY($A1244,1)))</f>
        <v/>
      </c>
      <c r="C1244" s="16">
        <f>IF($A1244="","",助理班表!$A45)</f>
        <v/>
      </c>
      <c r="D1244" s="16">
        <f>IF($C1244="","",助理班表!$B45)</f>
        <v/>
      </c>
      <c r="E1244" s="16">
        <f>IF($C1244="","",助理班表!$D45)</f>
        <v/>
      </c>
      <c r="F1244" s="16">
        <f>IF($C1244="","",助理班表!$C45)</f>
        <v/>
      </c>
      <c r="G1244" s="16">
        <f>IF($C1244="","",助理班表!F45)</f>
        <v/>
      </c>
      <c r="H1244" s="83">
        <f>IF($G1244="","",IFERROR(IF(INDEX(設定!$D$6:$D$21,MATCH($G1244,設定!$B$6:$B$21,0))=0,"",INDEX(設定!$D$6:$D$21,MATCH($G1244,設定!$B$6:$B$21,0))),""))</f>
        <v/>
      </c>
      <c r="I1244" s="83">
        <f>IF($G1244="","",IFERROR(IF(INDEX(設定!$E$6:$E$21,MATCH($G1244,設定!$B$6:$B$21,0))=0,"",INDEX(設定!$E$6:$E$21,MATCH($G1244,設定!$B$6:$B$21,0))),""))</f>
        <v/>
      </c>
      <c r="J1244" s="83">
        <f>IFERROR(INDEX(打卡匯入!$C$3:$C$2002,MATCH($C1244&amp;"|"&amp;DAY($A1244),打卡匯入!$E$3:$E$2002,0)),"")</f>
        <v/>
      </c>
      <c r="K1244" s="83">
        <f>IFERROR(INDEX(打卡匯入!$D$3:$D$2002,MATCH($C1244&amp;"|"&amp;DAY($A1244),打卡匯入!$E$3:$E$2002,0)),"")</f>
        <v/>
      </c>
      <c r="L1244" s="84">
        <f>IF(OR($J1244="",$K1244=""),"",IFERROR(INDEX(設定!$F$6:$F$21,MATCH($G1244,設定!$B$6:$B$21,0)),0))</f>
        <v/>
      </c>
      <c r="M1244" s="85">
        <f>IF(OR($J1244="",$K1244=""),"",ROUND(($K1244-$J1244)*24-$L1244/60,2))</f>
        <v/>
      </c>
      <c r="N1244" s="16">
        <f>IF($C1244="","",IF(AND(COUNTIF(設定!$B$15:$B$21,$G1244)&gt;0,$J1244&lt;&gt;""),"假日出勤",IF(AND(COUNTIF(設定!$B$6:$B$14,$G1244)&gt;0,$J1244=""),"未打卡",IF($J1244="","",IF($O1244&gt;0,"遲到",IF($P1244&gt;0,"早退","正常"))))))</f>
        <v/>
      </c>
      <c r="O1244" s="84">
        <f>IF(OR($C1244="",$H1244="",$J1244=""),0,IF(ROUND(($J1244-$H1244)*1440,0)&gt;設定!$C$46,ROUND(($J1244-$H1244)*1440,0),0))</f>
        <v/>
      </c>
      <c r="P1244" s="84">
        <f>IF(OR($C1244="",$I1244="",$K1244=""),0,IF(ROUND(($I1244-$K1244)*1440,0)&gt;設定!$C$46,ROUND(($I1244-$K1244)*1440,0),0))</f>
        <v/>
      </c>
      <c r="Q1244" s="85">
        <f>IF($M1244="",0,IF(($M1244-IFERROR(INDEX(設定!$G$6:$G$21,MATCH($G1244,設定!$B$6:$B$21,0)),0))*60&gt;=設定!$C$44,ROUND(FLOOR(($M1244-IFERROR(INDEX(設定!$G$6:$G$21,MATCH($G1244,設定!$B$6:$B$21,0)),0))*60,設定!$C$45)/60,2),0))</f>
        <v/>
      </c>
      <c r="R1244" s="16">
        <f>IF(OR($C1244="",$Q1244=0),"",IF($G1244="國","國定假日",IF($B1244="日","例假",IF($B1244="六","休息日","平日"))))</f>
        <v/>
      </c>
      <c r="S1244" s="19" t="n"/>
    </row>
    <row r="1245">
      <c r="A1245" s="82">
        <f>IF(OR(助理班表!$A45="",3&gt;DAY(EOMONTH(DATE(設定!$C$2,設定!$D$2,1),0))),"",DATE(設定!$C$2,設定!$D$2,3))</f>
        <v/>
      </c>
      <c r="B1245" s="16">
        <f>IF($A1245="","",INDEX(設定!$O$6:$O$12,WEEKDAY($A1245,1)))</f>
        <v/>
      </c>
      <c r="C1245" s="16">
        <f>IF($A1245="","",助理班表!$A45)</f>
        <v/>
      </c>
      <c r="D1245" s="16">
        <f>IF($C1245="","",助理班表!$B45)</f>
        <v/>
      </c>
      <c r="E1245" s="16">
        <f>IF($C1245="","",助理班表!$D45)</f>
        <v/>
      </c>
      <c r="F1245" s="16">
        <f>IF($C1245="","",助理班表!$C45)</f>
        <v/>
      </c>
      <c r="G1245" s="16">
        <f>IF($C1245="","",助理班表!G45)</f>
        <v/>
      </c>
      <c r="H1245" s="83">
        <f>IF($G1245="","",IFERROR(IF(INDEX(設定!$D$6:$D$21,MATCH($G1245,設定!$B$6:$B$21,0))=0,"",INDEX(設定!$D$6:$D$21,MATCH($G1245,設定!$B$6:$B$21,0))),""))</f>
        <v/>
      </c>
      <c r="I1245" s="83">
        <f>IF($G1245="","",IFERROR(IF(INDEX(設定!$E$6:$E$21,MATCH($G1245,設定!$B$6:$B$21,0))=0,"",INDEX(設定!$E$6:$E$21,MATCH($G1245,設定!$B$6:$B$21,0))),""))</f>
        <v/>
      </c>
      <c r="J1245" s="83">
        <f>IFERROR(INDEX(打卡匯入!$C$3:$C$2002,MATCH($C1245&amp;"|"&amp;DAY($A1245),打卡匯入!$E$3:$E$2002,0)),"")</f>
        <v/>
      </c>
      <c r="K1245" s="83">
        <f>IFERROR(INDEX(打卡匯入!$D$3:$D$2002,MATCH($C1245&amp;"|"&amp;DAY($A1245),打卡匯入!$E$3:$E$2002,0)),"")</f>
        <v/>
      </c>
      <c r="L1245" s="84">
        <f>IF(OR($J1245="",$K1245=""),"",IFERROR(INDEX(設定!$F$6:$F$21,MATCH($G1245,設定!$B$6:$B$21,0)),0))</f>
        <v/>
      </c>
      <c r="M1245" s="85">
        <f>IF(OR($J1245="",$K1245=""),"",ROUND(($K1245-$J1245)*24-$L1245/60,2))</f>
        <v/>
      </c>
      <c r="N1245" s="16">
        <f>IF($C1245="","",IF(AND(COUNTIF(設定!$B$15:$B$21,$G1245)&gt;0,$J1245&lt;&gt;""),"假日出勤",IF(AND(COUNTIF(設定!$B$6:$B$14,$G1245)&gt;0,$J1245=""),"未打卡",IF($J1245="","",IF($O1245&gt;0,"遲到",IF($P1245&gt;0,"早退","正常"))))))</f>
        <v/>
      </c>
      <c r="O1245" s="84">
        <f>IF(OR($C1245="",$H1245="",$J1245=""),0,IF(ROUND(($J1245-$H1245)*1440,0)&gt;設定!$C$46,ROUND(($J1245-$H1245)*1440,0),0))</f>
        <v/>
      </c>
      <c r="P1245" s="84">
        <f>IF(OR($C1245="",$I1245="",$K1245=""),0,IF(ROUND(($I1245-$K1245)*1440,0)&gt;設定!$C$46,ROUND(($I1245-$K1245)*1440,0),0))</f>
        <v/>
      </c>
      <c r="Q1245" s="85">
        <f>IF($M1245="",0,IF(($M1245-IFERROR(INDEX(設定!$G$6:$G$21,MATCH($G1245,設定!$B$6:$B$21,0)),0))*60&gt;=設定!$C$44,ROUND(FLOOR(($M1245-IFERROR(INDEX(設定!$G$6:$G$21,MATCH($G1245,設定!$B$6:$B$21,0)),0))*60,設定!$C$45)/60,2),0))</f>
        <v/>
      </c>
      <c r="R1245" s="16">
        <f>IF(OR($C1245="",$Q1245=0),"",IF($G1245="國","國定假日",IF($B1245="日","例假",IF($B1245="六","休息日","平日"))))</f>
        <v/>
      </c>
      <c r="S1245" s="19" t="n"/>
    </row>
    <row r="1246">
      <c r="A1246" s="82">
        <f>IF(OR(助理班表!$A45="",4&gt;DAY(EOMONTH(DATE(設定!$C$2,設定!$D$2,1),0))),"",DATE(設定!$C$2,設定!$D$2,4))</f>
        <v/>
      </c>
      <c r="B1246" s="16">
        <f>IF($A1246="","",INDEX(設定!$O$6:$O$12,WEEKDAY($A1246,1)))</f>
        <v/>
      </c>
      <c r="C1246" s="16">
        <f>IF($A1246="","",助理班表!$A45)</f>
        <v/>
      </c>
      <c r="D1246" s="16">
        <f>IF($C1246="","",助理班表!$B45)</f>
        <v/>
      </c>
      <c r="E1246" s="16">
        <f>IF($C1246="","",助理班表!$D45)</f>
        <v/>
      </c>
      <c r="F1246" s="16">
        <f>IF($C1246="","",助理班表!$C45)</f>
        <v/>
      </c>
      <c r="G1246" s="16">
        <f>IF($C1246="","",助理班表!H45)</f>
        <v/>
      </c>
      <c r="H1246" s="83">
        <f>IF($G1246="","",IFERROR(IF(INDEX(設定!$D$6:$D$21,MATCH($G1246,設定!$B$6:$B$21,0))=0,"",INDEX(設定!$D$6:$D$21,MATCH($G1246,設定!$B$6:$B$21,0))),""))</f>
        <v/>
      </c>
      <c r="I1246" s="83">
        <f>IF($G1246="","",IFERROR(IF(INDEX(設定!$E$6:$E$21,MATCH($G1246,設定!$B$6:$B$21,0))=0,"",INDEX(設定!$E$6:$E$21,MATCH($G1246,設定!$B$6:$B$21,0))),""))</f>
        <v/>
      </c>
      <c r="J1246" s="83">
        <f>IFERROR(INDEX(打卡匯入!$C$3:$C$2002,MATCH($C1246&amp;"|"&amp;DAY($A1246),打卡匯入!$E$3:$E$2002,0)),"")</f>
        <v/>
      </c>
      <c r="K1246" s="83">
        <f>IFERROR(INDEX(打卡匯入!$D$3:$D$2002,MATCH($C1246&amp;"|"&amp;DAY($A1246),打卡匯入!$E$3:$E$2002,0)),"")</f>
        <v/>
      </c>
      <c r="L1246" s="84">
        <f>IF(OR($J1246="",$K1246=""),"",IFERROR(INDEX(設定!$F$6:$F$21,MATCH($G1246,設定!$B$6:$B$21,0)),0))</f>
        <v/>
      </c>
      <c r="M1246" s="85">
        <f>IF(OR($J1246="",$K1246=""),"",ROUND(($K1246-$J1246)*24-$L1246/60,2))</f>
        <v/>
      </c>
      <c r="N1246" s="16">
        <f>IF($C1246="","",IF(AND(COUNTIF(設定!$B$15:$B$21,$G1246)&gt;0,$J1246&lt;&gt;""),"假日出勤",IF(AND(COUNTIF(設定!$B$6:$B$14,$G1246)&gt;0,$J1246=""),"未打卡",IF($J1246="","",IF($O1246&gt;0,"遲到",IF($P1246&gt;0,"早退","正常"))))))</f>
        <v/>
      </c>
      <c r="O1246" s="84">
        <f>IF(OR($C1246="",$H1246="",$J1246=""),0,IF(ROUND(($J1246-$H1246)*1440,0)&gt;設定!$C$46,ROUND(($J1246-$H1246)*1440,0),0))</f>
        <v/>
      </c>
      <c r="P1246" s="84">
        <f>IF(OR($C1246="",$I1246="",$K1246=""),0,IF(ROUND(($I1246-$K1246)*1440,0)&gt;設定!$C$46,ROUND(($I1246-$K1246)*1440,0),0))</f>
        <v/>
      </c>
      <c r="Q1246" s="85">
        <f>IF($M1246="",0,IF(($M1246-IFERROR(INDEX(設定!$G$6:$G$21,MATCH($G1246,設定!$B$6:$B$21,0)),0))*60&gt;=設定!$C$44,ROUND(FLOOR(($M1246-IFERROR(INDEX(設定!$G$6:$G$21,MATCH($G1246,設定!$B$6:$B$21,0)),0))*60,設定!$C$45)/60,2),0))</f>
        <v/>
      </c>
      <c r="R1246" s="16">
        <f>IF(OR($C1246="",$Q1246=0),"",IF($G1246="國","國定假日",IF($B1246="日","例假",IF($B1246="六","休息日","平日"))))</f>
        <v/>
      </c>
      <c r="S1246" s="19" t="n"/>
    </row>
    <row r="1247">
      <c r="A1247" s="82">
        <f>IF(OR(助理班表!$A45="",5&gt;DAY(EOMONTH(DATE(設定!$C$2,設定!$D$2,1),0))),"",DATE(設定!$C$2,設定!$D$2,5))</f>
        <v/>
      </c>
      <c r="B1247" s="16">
        <f>IF($A1247="","",INDEX(設定!$O$6:$O$12,WEEKDAY($A1247,1)))</f>
        <v/>
      </c>
      <c r="C1247" s="16">
        <f>IF($A1247="","",助理班表!$A45)</f>
        <v/>
      </c>
      <c r="D1247" s="16">
        <f>IF($C1247="","",助理班表!$B45)</f>
        <v/>
      </c>
      <c r="E1247" s="16">
        <f>IF($C1247="","",助理班表!$D45)</f>
        <v/>
      </c>
      <c r="F1247" s="16">
        <f>IF($C1247="","",助理班表!$C45)</f>
        <v/>
      </c>
      <c r="G1247" s="16">
        <f>IF($C1247="","",助理班表!I45)</f>
        <v/>
      </c>
      <c r="H1247" s="83">
        <f>IF($G1247="","",IFERROR(IF(INDEX(設定!$D$6:$D$21,MATCH($G1247,設定!$B$6:$B$21,0))=0,"",INDEX(設定!$D$6:$D$21,MATCH($G1247,設定!$B$6:$B$21,0))),""))</f>
        <v/>
      </c>
      <c r="I1247" s="83">
        <f>IF($G1247="","",IFERROR(IF(INDEX(設定!$E$6:$E$21,MATCH($G1247,設定!$B$6:$B$21,0))=0,"",INDEX(設定!$E$6:$E$21,MATCH($G1247,設定!$B$6:$B$21,0))),""))</f>
        <v/>
      </c>
      <c r="J1247" s="83">
        <f>IFERROR(INDEX(打卡匯入!$C$3:$C$2002,MATCH($C1247&amp;"|"&amp;DAY($A1247),打卡匯入!$E$3:$E$2002,0)),"")</f>
        <v/>
      </c>
      <c r="K1247" s="83">
        <f>IFERROR(INDEX(打卡匯入!$D$3:$D$2002,MATCH($C1247&amp;"|"&amp;DAY($A1247),打卡匯入!$E$3:$E$2002,0)),"")</f>
        <v/>
      </c>
      <c r="L1247" s="84">
        <f>IF(OR($J1247="",$K1247=""),"",IFERROR(INDEX(設定!$F$6:$F$21,MATCH($G1247,設定!$B$6:$B$21,0)),0))</f>
        <v/>
      </c>
      <c r="M1247" s="85">
        <f>IF(OR($J1247="",$K1247=""),"",ROUND(($K1247-$J1247)*24-$L1247/60,2))</f>
        <v/>
      </c>
      <c r="N1247" s="16">
        <f>IF($C1247="","",IF(AND(COUNTIF(設定!$B$15:$B$21,$G1247)&gt;0,$J1247&lt;&gt;""),"假日出勤",IF(AND(COUNTIF(設定!$B$6:$B$14,$G1247)&gt;0,$J1247=""),"未打卡",IF($J1247="","",IF($O1247&gt;0,"遲到",IF($P1247&gt;0,"早退","正常"))))))</f>
        <v/>
      </c>
      <c r="O1247" s="84">
        <f>IF(OR($C1247="",$H1247="",$J1247=""),0,IF(ROUND(($J1247-$H1247)*1440,0)&gt;設定!$C$46,ROUND(($J1247-$H1247)*1440,0),0))</f>
        <v/>
      </c>
      <c r="P1247" s="84">
        <f>IF(OR($C1247="",$I1247="",$K1247=""),0,IF(ROUND(($I1247-$K1247)*1440,0)&gt;設定!$C$46,ROUND(($I1247-$K1247)*1440,0),0))</f>
        <v/>
      </c>
      <c r="Q1247" s="85">
        <f>IF($M1247="",0,IF(($M1247-IFERROR(INDEX(設定!$G$6:$G$21,MATCH($G1247,設定!$B$6:$B$21,0)),0))*60&gt;=設定!$C$44,ROUND(FLOOR(($M1247-IFERROR(INDEX(設定!$G$6:$G$21,MATCH($G1247,設定!$B$6:$B$21,0)),0))*60,設定!$C$45)/60,2),0))</f>
        <v/>
      </c>
      <c r="R1247" s="16">
        <f>IF(OR($C1247="",$Q1247=0),"",IF($G1247="國","國定假日",IF($B1247="日","例假",IF($B1247="六","休息日","平日"))))</f>
        <v/>
      </c>
      <c r="S1247" s="19" t="n"/>
    </row>
    <row r="1248">
      <c r="A1248" s="82">
        <f>IF(OR(助理班表!$A45="",6&gt;DAY(EOMONTH(DATE(設定!$C$2,設定!$D$2,1),0))),"",DATE(設定!$C$2,設定!$D$2,6))</f>
        <v/>
      </c>
      <c r="B1248" s="16">
        <f>IF($A1248="","",INDEX(設定!$O$6:$O$12,WEEKDAY($A1248,1)))</f>
        <v/>
      </c>
      <c r="C1248" s="16">
        <f>IF($A1248="","",助理班表!$A45)</f>
        <v/>
      </c>
      <c r="D1248" s="16">
        <f>IF($C1248="","",助理班表!$B45)</f>
        <v/>
      </c>
      <c r="E1248" s="16">
        <f>IF($C1248="","",助理班表!$D45)</f>
        <v/>
      </c>
      <c r="F1248" s="16">
        <f>IF($C1248="","",助理班表!$C45)</f>
        <v/>
      </c>
      <c r="G1248" s="16">
        <f>IF($C1248="","",助理班表!J45)</f>
        <v/>
      </c>
      <c r="H1248" s="83">
        <f>IF($G1248="","",IFERROR(IF(INDEX(設定!$D$6:$D$21,MATCH($G1248,設定!$B$6:$B$21,0))=0,"",INDEX(設定!$D$6:$D$21,MATCH($G1248,設定!$B$6:$B$21,0))),""))</f>
        <v/>
      </c>
      <c r="I1248" s="83">
        <f>IF($G1248="","",IFERROR(IF(INDEX(設定!$E$6:$E$21,MATCH($G1248,設定!$B$6:$B$21,0))=0,"",INDEX(設定!$E$6:$E$21,MATCH($G1248,設定!$B$6:$B$21,0))),""))</f>
        <v/>
      </c>
      <c r="J1248" s="83">
        <f>IFERROR(INDEX(打卡匯入!$C$3:$C$2002,MATCH($C1248&amp;"|"&amp;DAY($A1248),打卡匯入!$E$3:$E$2002,0)),"")</f>
        <v/>
      </c>
      <c r="K1248" s="83">
        <f>IFERROR(INDEX(打卡匯入!$D$3:$D$2002,MATCH($C1248&amp;"|"&amp;DAY($A1248),打卡匯入!$E$3:$E$2002,0)),"")</f>
        <v/>
      </c>
      <c r="L1248" s="84">
        <f>IF(OR($J1248="",$K1248=""),"",IFERROR(INDEX(設定!$F$6:$F$21,MATCH($G1248,設定!$B$6:$B$21,0)),0))</f>
        <v/>
      </c>
      <c r="M1248" s="85">
        <f>IF(OR($J1248="",$K1248=""),"",ROUND(($K1248-$J1248)*24-$L1248/60,2))</f>
        <v/>
      </c>
      <c r="N1248" s="16">
        <f>IF($C1248="","",IF(AND(COUNTIF(設定!$B$15:$B$21,$G1248)&gt;0,$J1248&lt;&gt;""),"假日出勤",IF(AND(COUNTIF(設定!$B$6:$B$14,$G1248)&gt;0,$J1248=""),"未打卡",IF($J1248="","",IF($O1248&gt;0,"遲到",IF($P1248&gt;0,"早退","正常"))))))</f>
        <v/>
      </c>
      <c r="O1248" s="84">
        <f>IF(OR($C1248="",$H1248="",$J1248=""),0,IF(ROUND(($J1248-$H1248)*1440,0)&gt;設定!$C$46,ROUND(($J1248-$H1248)*1440,0),0))</f>
        <v/>
      </c>
      <c r="P1248" s="84">
        <f>IF(OR($C1248="",$I1248="",$K1248=""),0,IF(ROUND(($I1248-$K1248)*1440,0)&gt;設定!$C$46,ROUND(($I1248-$K1248)*1440,0),0))</f>
        <v/>
      </c>
      <c r="Q1248" s="85">
        <f>IF($M1248="",0,IF(($M1248-IFERROR(INDEX(設定!$G$6:$G$21,MATCH($G1248,設定!$B$6:$B$21,0)),0))*60&gt;=設定!$C$44,ROUND(FLOOR(($M1248-IFERROR(INDEX(設定!$G$6:$G$21,MATCH($G1248,設定!$B$6:$B$21,0)),0))*60,設定!$C$45)/60,2),0))</f>
        <v/>
      </c>
      <c r="R1248" s="16">
        <f>IF(OR($C1248="",$Q1248=0),"",IF($G1248="國","國定假日",IF($B1248="日","例假",IF($B1248="六","休息日","平日"))))</f>
        <v/>
      </c>
      <c r="S1248" s="19" t="n"/>
    </row>
    <row r="1249">
      <c r="A1249" s="82">
        <f>IF(OR(助理班表!$A45="",7&gt;DAY(EOMONTH(DATE(設定!$C$2,設定!$D$2,1),0))),"",DATE(設定!$C$2,設定!$D$2,7))</f>
        <v/>
      </c>
      <c r="B1249" s="16">
        <f>IF($A1249="","",INDEX(設定!$O$6:$O$12,WEEKDAY($A1249,1)))</f>
        <v/>
      </c>
      <c r="C1249" s="16">
        <f>IF($A1249="","",助理班表!$A45)</f>
        <v/>
      </c>
      <c r="D1249" s="16">
        <f>IF($C1249="","",助理班表!$B45)</f>
        <v/>
      </c>
      <c r="E1249" s="16">
        <f>IF($C1249="","",助理班表!$D45)</f>
        <v/>
      </c>
      <c r="F1249" s="16">
        <f>IF($C1249="","",助理班表!$C45)</f>
        <v/>
      </c>
      <c r="G1249" s="16">
        <f>IF($C1249="","",助理班表!K45)</f>
        <v/>
      </c>
      <c r="H1249" s="83">
        <f>IF($G1249="","",IFERROR(IF(INDEX(設定!$D$6:$D$21,MATCH($G1249,設定!$B$6:$B$21,0))=0,"",INDEX(設定!$D$6:$D$21,MATCH($G1249,設定!$B$6:$B$21,0))),""))</f>
        <v/>
      </c>
      <c r="I1249" s="83">
        <f>IF($G1249="","",IFERROR(IF(INDEX(設定!$E$6:$E$21,MATCH($G1249,設定!$B$6:$B$21,0))=0,"",INDEX(設定!$E$6:$E$21,MATCH($G1249,設定!$B$6:$B$21,0))),""))</f>
        <v/>
      </c>
      <c r="J1249" s="83">
        <f>IFERROR(INDEX(打卡匯入!$C$3:$C$2002,MATCH($C1249&amp;"|"&amp;DAY($A1249),打卡匯入!$E$3:$E$2002,0)),"")</f>
        <v/>
      </c>
      <c r="K1249" s="83">
        <f>IFERROR(INDEX(打卡匯入!$D$3:$D$2002,MATCH($C1249&amp;"|"&amp;DAY($A1249),打卡匯入!$E$3:$E$2002,0)),"")</f>
        <v/>
      </c>
      <c r="L1249" s="84">
        <f>IF(OR($J1249="",$K1249=""),"",IFERROR(INDEX(設定!$F$6:$F$21,MATCH($G1249,設定!$B$6:$B$21,0)),0))</f>
        <v/>
      </c>
      <c r="M1249" s="85">
        <f>IF(OR($J1249="",$K1249=""),"",ROUND(($K1249-$J1249)*24-$L1249/60,2))</f>
        <v/>
      </c>
      <c r="N1249" s="16">
        <f>IF($C1249="","",IF(AND(COUNTIF(設定!$B$15:$B$21,$G1249)&gt;0,$J1249&lt;&gt;""),"假日出勤",IF(AND(COUNTIF(設定!$B$6:$B$14,$G1249)&gt;0,$J1249=""),"未打卡",IF($J1249="","",IF($O1249&gt;0,"遲到",IF($P1249&gt;0,"早退","正常"))))))</f>
        <v/>
      </c>
      <c r="O1249" s="84">
        <f>IF(OR($C1249="",$H1249="",$J1249=""),0,IF(ROUND(($J1249-$H1249)*1440,0)&gt;設定!$C$46,ROUND(($J1249-$H1249)*1440,0),0))</f>
        <v/>
      </c>
      <c r="P1249" s="84">
        <f>IF(OR($C1249="",$I1249="",$K1249=""),0,IF(ROUND(($I1249-$K1249)*1440,0)&gt;設定!$C$46,ROUND(($I1249-$K1249)*1440,0),0))</f>
        <v/>
      </c>
      <c r="Q1249" s="85">
        <f>IF($M1249="",0,IF(($M1249-IFERROR(INDEX(設定!$G$6:$G$21,MATCH($G1249,設定!$B$6:$B$21,0)),0))*60&gt;=設定!$C$44,ROUND(FLOOR(($M1249-IFERROR(INDEX(設定!$G$6:$G$21,MATCH($G1249,設定!$B$6:$B$21,0)),0))*60,設定!$C$45)/60,2),0))</f>
        <v/>
      </c>
      <c r="R1249" s="16">
        <f>IF(OR($C1249="",$Q1249=0),"",IF($G1249="國","國定假日",IF($B1249="日","例假",IF($B1249="六","休息日","平日"))))</f>
        <v/>
      </c>
      <c r="S1249" s="19" t="n"/>
    </row>
    <row r="1250">
      <c r="A1250" s="82">
        <f>IF(OR(助理班表!$A45="",8&gt;DAY(EOMONTH(DATE(設定!$C$2,設定!$D$2,1),0))),"",DATE(設定!$C$2,設定!$D$2,8))</f>
        <v/>
      </c>
      <c r="B1250" s="16">
        <f>IF($A1250="","",INDEX(設定!$O$6:$O$12,WEEKDAY($A1250,1)))</f>
        <v/>
      </c>
      <c r="C1250" s="16">
        <f>IF($A1250="","",助理班表!$A45)</f>
        <v/>
      </c>
      <c r="D1250" s="16">
        <f>IF($C1250="","",助理班表!$B45)</f>
        <v/>
      </c>
      <c r="E1250" s="16">
        <f>IF($C1250="","",助理班表!$D45)</f>
        <v/>
      </c>
      <c r="F1250" s="16">
        <f>IF($C1250="","",助理班表!$C45)</f>
        <v/>
      </c>
      <c r="G1250" s="16">
        <f>IF($C1250="","",助理班表!L45)</f>
        <v/>
      </c>
      <c r="H1250" s="83">
        <f>IF($G1250="","",IFERROR(IF(INDEX(設定!$D$6:$D$21,MATCH($G1250,設定!$B$6:$B$21,0))=0,"",INDEX(設定!$D$6:$D$21,MATCH($G1250,設定!$B$6:$B$21,0))),""))</f>
        <v/>
      </c>
      <c r="I1250" s="83">
        <f>IF($G1250="","",IFERROR(IF(INDEX(設定!$E$6:$E$21,MATCH($G1250,設定!$B$6:$B$21,0))=0,"",INDEX(設定!$E$6:$E$21,MATCH($G1250,設定!$B$6:$B$21,0))),""))</f>
        <v/>
      </c>
      <c r="J1250" s="83">
        <f>IFERROR(INDEX(打卡匯入!$C$3:$C$2002,MATCH($C1250&amp;"|"&amp;DAY($A1250),打卡匯入!$E$3:$E$2002,0)),"")</f>
        <v/>
      </c>
      <c r="K1250" s="83">
        <f>IFERROR(INDEX(打卡匯入!$D$3:$D$2002,MATCH($C1250&amp;"|"&amp;DAY($A1250),打卡匯入!$E$3:$E$2002,0)),"")</f>
        <v/>
      </c>
      <c r="L1250" s="84">
        <f>IF(OR($J1250="",$K1250=""),"",IFERROR(INDEX(設定!$F$6:$F$21,MATCH($G1250,設定!$B$6:$B$21,0)),0))</f>
        <v/>
      </c>
      <c r="M1250" s="85">
        <f>IF(OR($J1250="",$K1250=""),"",ROUND(($K1250-$J1250)*24-$L1250/60,2))</f>
        <v/>
      </c>
      <c r="N1250" s="16">
        <f>IF($C1250="","",IF(AND(COUNTIF(設定!$B$15:$B$21,$G1250)&gt;0,$J1250&lt;&gt;""),"假日出勤",IF(AND(COUNTIF(設定!$B$6:$B$14,$G1250)&gt;0,$J1250=""),"未打卡",IF($J1250="","",IF($O1250&gt;0,"遲到",IF($P1250&gt;0,"早退","正常"))))))</f>
        <v/>
      </c>
      <c r="O1250" s="84">
        <f>IF(OR($C1250="",$H1250="",$J1250=""),0,IF(ROUND(($J1250-$H1250)*1440,0)&gt;設定!$C$46,ROUND(($J1250-$H1250)*1440,0),0))</f>
        <v/>
      </c>
      <c r="P1250" s="84">
        <f>IF(OR($C1250="",$I1250="",$K1250=""),0,IF(ROUND(($I1250-$K1250)*1440,0)&gt;設定!$C$46,ROUND(($I1250-$K1250)*1440,0),0))</f>
        <v/>
      </c>
      <c r="Q1250" s="85">
        <f>IF($M1250="",0,IF(($M1250-IFERROR(INDEX(設定!$G$6:$G$21,MATCH($G1250,設定!$B$6:$B$21,0)),0))*60&gt;=設定!$C$44,ROUND(FLOOR(($M1250-IFERROR(INDEX(設定!$G$6:$G$21,MATCH($G1250,設定!$B$6:$B$21,0)),0))*60,設定!$C$45)/60,2),0))</f>
        <v/>
      </c>
      <c r="R1250" s="16">
        <f>IF(OR($C1250="",$Q1250=0),"",IF($G1250="國","國定假日",IF($B1250="日","例假",IF($B1250="六","休息日","平日"))))</f>
        <v/>
      </c>
      <c r="S1250" s="19" t="n"/>
    </row>
    <row r="1251">
      <c r="A1251" s="82">
        <f>IF(OR(助理班表!$A45="",9&gt;DAY(EOMONTH(DATE(設定!$C$2,設定!$D$2,1),0))),"",DATE(設定!$C$2,設定!$D$2,9))</f>
        <v/>
      </c>
      <c r="B1251" s="16">
        <f>IF($A1251="","",INDEX(設定!$O$6:$O$12,WEEKDAY($A1251,1)))</f>
        <v/>
      </c>
      <c r="C1251" s="16">
        <f>IF($A1251="","",助理班表!$A45)</f>
        <v/>
      </c>
      <c r="D1251" s="16">
        <f>IF($C1251="","",助理班表!$B45)</f>
        <v/>
      </c>
      <c r="E1251" s="16">
        <f>IF($C1251="","",助理班表!$D45)</f>
        <v/>
      </c>
      <c r="F1251" s="16">
        <f>IF($C1251="","",助理班表!$C45)</f>
        <v/>
      </c>
      <c r="G1251" s="16">
        <f>IF($C1251="","",助理班表!M45)</f>
        <v/>
      </c>
      <c r="H1251" s="83">
        <f>IF($G1251="","",IFERROR(IF(INDEX(設定!$D$6:$D$21,MATCH($G1251,設定!$B$6:$B$21,0))=0,"",INDEX(設定!$D$6:$D$21,MATCH($G1251,設定!$B$6:$B$21,0))),""))</f>
        <v/>
      </c>
      <c r="I1251" s="83">
        <f>IF($G1251="","",IFERROR(IF(INDEX(設定!$E$6:$E$21,MATCH($G1251,設定!$B$6:$B$21,0))=0,"",INDEX(設定!$E$6:$E$21,MATCH($G1251,設定!$B$6:$B$21,0))),""))</f>
        <v/>
      </c>
      <c r="J1251" s="83">
        <f>IFERROR(INDEX(打卡匯入!$C$3:$C$2002,MATCH($C1251&amp;"|"&amp;DAY($A1251),打卡匯入!$E$3:$E$2002,0)),"")</f>
        <v/>
      </c>
      <c r="K1251" s="83">
        <f>IFERROR(INDEX(打卡匯入!$D$3:$D$2002,MATCH($C1251&amp;"|"&amp;DAY($A1251),打卡匯入!$E$3:$E$2002,0)),"")</f>
        <v/>
      </c>
      <c r="L1251" s="84">
        <f>IF(OR($J1251="",$K1251=""),"",IFERROR(INDEX(設定!$F$6:$F$21,MATCH($G1251,設定!$B$6:$B$21,0)),0))</f>
        <v/>
      </c>
      <c r="M1251" s="85">
        <f>IF(OR($J1251="",$K1251=""),"",ROUND(($K1251-$J1251)*24-$L1251/60,2))</f>
        <v/>
      </c>
      <c r="N1251" s="16">
        <f>IF($C1251="","",IF(AND(COUNTIF(設定!$B$15:$B$21,$G1251)&gt;0,$J1251&lt;&gt;""),"假日出勤",IF(AND(COUNTIF(設定!$B$6:$B$14,$G1251)&gt;0,$J1251=""),"未打卡",IF($J1251="","",IF($O1251&gt;0,"遲到",IF($P1251&gt;0,"早退","正常"))))))</f>
        <v/>
      </c>
      <c r="O1251" s="84">
        <f>IF(OR($C1251="",$H1251="",$J1251=""),0,IF(ROUND(($J1251-$H1251)*1440,0)&gt;設定!$C$46,ROUND(($J1251-$H1251)*1440,0),0))</f>
        <v/>
      </c>
      <c r="P1251" s="84">
        <f>IF(OR($C1251="",$I1251="",$K1251=""),0,IF(ROUND(($I1251-$K1251)*1440,0)&gt;設定!$C$46,ROUND(($I1251-$K1251)*1440,0),0))</f>
        <v/>
      </c>
      <c r="Q1251" s="85">
        <f>IF($M1251="",0,IF(($M1251-IFERROR(INDEX(設定!$G$6:$G$21,MATCH($G1251,設定!$B$6:$B$21,0)),0))*60&gt;=設定!$C$44,ROUND(FLOOR(($M1251-IFERROR(INDEX(設定!$G$6:$G$21,MATCH($G1251,設定!$B$6:$B$21,0)),0))*60,設定!$C$45)/60,2),0))</f>
        <v/>
      </c>
      <c r="R1251" s="16">
        <f>IF(OR($C1251="",$Q1251=0),"",IF($G1251="國","國定假日",IF($B1251="日","例假",IF($B1251="六","休息日","平日"))))</f>
        <v/>
      </c>
      <c r="S1251" s="19" t="n"/>
    </row>
    <row r="1252">
      <c r="A1252" s="82">
        <f>IF(OR(助理班表!$A45="",10&gt;DAY(EOMONTH(DATE(設定!$C$2,設定!$D$2,1),0))),"",DATE(設定!$C$2,設定!$D$2,10))</f>
        <v/>
      </c>
      <c r="B1252" s="16">
        <f>IF($A1252="","",INDEX(設定!$O$6:$O$12,WEEKDAY($A1252,1)))</f>
        <v/>
      </c>
      <c r="C1252" s="16">
        <f>IF($A1252="","",助理班表!$A45)</f>
        <v/>
      </c>
      <c r="D1252" s="16">
        <f>IF($C1252="","",助理班表!$B45)</f>
        <v/>
      </c>
      <c r="E1252" s="16">
        <f>IF($C1252="","",助理班表!$D45)</f>
        <v/>
      </c>
      <c r="F1252" s="16">
        <f>IF($C1252="","",助理班表!$C45)</f>
        <v/>
      </c>
      <c r="G1252" s="16">
        <f>IF($C1252="","",助理班表!N45)</f>
        <v/>
      </c>
      <c r="H1252" s="83">
        <f>IF($G1252="","",IFERROR(IF(INDEX(設定!$D$6:$D$21,MATCH($G1252,設定!$B$6:$B$21,0))=0,"",INDEX(設定!$D$6:$D$21,MATCH($G1252,設定!$B$6:$B$21,0))),""))</f>
        <v/>
      </c>
      <c r="I1252" s="83">
        <f>IF($G1252="","",IFERROR(IF(INDEX(設定!$E$6:$E$21,MATCH($G1252,設定!$B$6:$B$21,0))=0,"",INDEX(設定!$E$6:$E$21,MATCH($G1252,設定!$B$6:$B$21,0))),""))</f>
        <v/>
      </c>
      <c r="J1252" s="83">
        <f>IFERROR(INDEX(打卡匯入!$C$3:$C$2002,MATCH($C1252&amp;"|"&amp;DAY($A1252),打卡匯入!$E$3:$E$2002,0)),"")</f>
        <v/>
      </c>
      <c r="K1252" s="83">
        <f>IFERROR(INDEX(打卡匯入!$D$3:$D$2002,MATCH($C1252&amp;"|"&amp;DAY($A1252),打卡匯入!$E$3:$E$2002,0)),"")</f>
        <v/>
      </c>
      <c r="L1252" s="84">
        <f>IF(OR($J1252="",$K1252=""),"",IFERROR(INDEX(設定!$F$6:$F$21,MATCH($G1252,設定!$B$6:$B$21,0)),0))</f>
        <v/>
      </c>
      <c r="M1252" s="85">
        <f>IF(OR($J1252="",$K1252=""),"",ROUND(($K1252-$J1252)*24-$L1252/60,2))</f>
        <v/>
      </c>
      <c r="N1252" s="16">
        <f>IF($C1252="","",IF(AND(COUNTIF(設定!$B$15:$B$21,$G1252)&gt;0,$J1252&lt;&gt;""),"假日出勤",IF(AND(COUNTIF(設定!$B$6:$B$14,$G1252)&gt;0,$J1252=""),"未打卡",IF($J1252="","",IF($O1252&gt;0,"遲到",IF($P1252&gt;0,"早退","正常"))))))</f>
        <v/>
      </c>
      <c r="O1252" s="84">
        <f>IF(OR($C1252="",$H1252="",$J1252=""),0,IF(ROUND(($J1252-$H1252)*1440,0)&gt;設定!$C$46,ROUND(($J1252-$H1252)*1440,0),0))</f>
        <v/>
      </c>
      <c r="P1252" s="84">
        <f>IF(OR($C1252="",$I1252="",$K1252=""),0,IF(ROUND(($I1252-$K1252)*1440,0)&gt;設定!$C$46,ROUND(($I1252-$K1252)*1440,0),0))</f>
        <v/>
      </c>
      <c r="Q1252" s="85">
        <f>IF($M1252="",0,IF(($M1252-IFERROR(INDEX(設定!$G$6:$G$21,MATCH($G1252,設定!$B$6:$B$21,0)),0))*60&gt;=設定!$C$44,ROUND(FLOOR(($M1252-IFERROR(INDEX(設定!$G$6:$G$21,MATCH($G1252,設定!$B$6:$B$21,0)),0))*60,設定!$C$45)/60,2),0))</f>
        <v/>
      </c>
      <c r="R1252" s="16">
        <f>IF(OR($C1252="",$Q1252=0),"",IF($G1252="國","國定假日",IF($B1252="日","例假",IF($B1252="六","休息日","平日"))))</f>
        <v/>
      </c>
      <c r="S1252" s="19" t="n"/>
    </row>
    <row r="1253">
      <c r="A1253" s="82">
        <f>IF(OR(助理班表!$A45="",11&gt;DAY(EOMONTH(DATE(設定!$C$2,設定!$D$2,1),0))),"",DATE(設定!$C$2,設定!$D$2,11))</f>
        <v/>
      </c>
      <c r="B1253" s="16">
        <f>IF($A1253="","",INDEX(設定!$O$6:$O$12,WEEKDAY($A1253,1)))</f>
        <v/>
      </c>
      <c r="C1253" s="16">
        <f>IF($A1253="","",助理班表!$A45)</f>
        <v/>
      </c>
      <c r="D1253" s="16">
        <f>IF($C1253="","",助理班表!$B45)</f>
        <v/>
      </c>
      <c r="E1253" s="16">
        <f>IF($C1253="","",助理班表!$D45)</f>
        <v/>
      </c>
      <c r="F1253" s="16">
        <f>IF($C1253="","",助理班表!$C45)</f>
        <v/>
      </c>
      <c r="G1253" s="16">
        <f>IF($C1253="","",助理班表!O45)</f>
        <v/>
      </c>
      <c r="H1253" s="83">
        <f>IF($G1253="","",IFERROR(IF(INDEX(設定!$D$6:$D$21,MATCH($G1253,設定!$B$6:$B$21,0))=0,"",INDEX(設定!$D$6:$D$21,MATCH($G1253,設定!$B$6:$B$21,0))),""))</f>
        <v/>
      </c>
      <c r="I1253" s="83">
        <f>IF($G1253="","",IFERROR(IF(INDEX(設定!$E$6:$E$21,MATCH($G1253,設定!$B$6:$B$21,0))=0,"",INDEX(設定!$E$6:$E$21,MATCH($G1253,設定!$B$6:$B$21,0))),""))</f>
        <v/>
      </c>
      <c r="J1253" s="83">
        <f>IFERROR(INDEX(打卡匯入!$C$3:$C$2002,MATCH($C1253&amp;"|"&amp;DAY($A1253),打卡匯入!$E$3:$E$2002,0)),"")</f>
        <v/>
      </c>
      <c r="K1253" s="83">
        <f>IFERROR(INDEX(打卡匯入!$D$3:$D$2002,MATCH($C1253&amp;"|"&amp;DAY($A1253),打卡匯入!$E$3:$E$2002,0)),"")</f>
        <v/>
      </c>
      <c r="L1253" s="84">
        <f>IF(OR($J1253="",$K1253=""),"",IFERROR(INDEX(設定!$F$6:$F$21,MATCH($G1253,設定!$B$6:$B$21,0)),0))</f>
        <v/>
      </c>
      <c r="M1253" s="85">
        <f>IF(OR($J1253="",$K1253=""),"",ROUND(($K1253-$J1253)*24-$L1253/60,2))</f>
        <v/>
      </c>
      <c r="N1253" s="16">
        <f>IF($C1253="","",IF(AND(COUNTIF(設定!$B$15:$B$21,$G1253)&gt;0,$J1253&lt;&gt;""),"假日出勤",IF(AND(COUNTIF(設定!$B$6:$B$14,$G1253)&gt;0,$J1253=""),"未打卡",IF($J1253="","",IF($O1253&gt;0,"遲到",IF($P1253&gt;0,"早退","正常"))))))</f>
        <v/>
      </c>
      <c r="O1253" s="84">
        <f>IF(OR($C1253="",$H1253="",$J1253=""),0,IF(ROUND(($J1253-$H1253)*1440,0)&gt;設定!$C$46,ROUND(($J1253-$H1253)*1440,0),0))</f>
        <v/>
      </c>
      <c r="P1253" s="84">
        <f>IF(OR($C1253="",$I1253="",$K1253=""),0,IF(ROUND(($I1253-$K1253)*1440,0)&gt;設定!$C$46,ROUND(($I1253-$K1253)*1440,0),0))</f>
        <v/>
      </c>
      <c r="Q1253" s="85">
        <f>IF($M1253="",0,IF(($M1253-IFERROR(INDEX(設定!$G$6:$G$21,MATCH($G1253,設定!$B$6:$B$21,0)),0))*60&gt;=設定!$C$44,ROUND(FLOOR(($M1253-IFERROR(INDEX(設定!$G$6:$G$21,MATCH($G1253,設定!$B$6:$B$21,0)),0))*60,設定!$C$45)/60,2),0))</f>
        <v/>
      </c>
      <c r="R1253" s="16">
        <f>IF(OR($C1253="",$Q1253=0),"",IF($G1253="國","國定假日",IF($B1253="日","例假",IF($B1253="六","休息日","平日"))))</f>
        <v/>
      </c>
      <c r="S1253" s="19" t="n"/>
    </row>
    <row r="1254">
      <c r="A1254" s="82">
        <f>IF(OR(助理班表!$A45="",12&gt;DAY(EOMONTH(DATE(設定!$C$2,設定!$D$2,1),0))),"",DATE(設定!$C$2,設定!$D$2,12))</f>
        <v/>
      </c>
      <c r="B1254" s="16">
        <f>IF($A1254="","",INDEX(設定!$O$6:$O$12,WEEKDAY($A1254,1)))</f>
        <v/>
      </c>
      <c r="C1254" s="16">
        <f>IF($A1254="","",助理班表!$A45)</f>
        <v/>
      </c>
      <c r="D1254" s="16">
        <f>IF($C1254="","",助理班表!$B45)</f>
        <v/>
      </c>
      <c r="E1254" s="16">
        <f>IF($C1254="","",助理班表!$D45)</f>
        <v/>
      </c>
      <c r="F1254" s="16">
        <f>IF($C1254="","",助理班表!$C45)</f>
        <v/>
      </c>
      <c r="G1254" s="16">
        <f>IF($C1254="","",助理班表!P45)</f>
        <v/>
      </c>
      <c r="H1254" s="83">
        <f>IF($G1254="","",IFERROR(IF(INDEX(設定!$D$6:$D$21,MATCH($G1254,設定!$B$6:$B$21,0))=0,"",INDEX(設定!$D$6:$D$21,MATCH($G1254,設定!$B$6:$B$21,0))),""))</f>
        <v/>
      </c>
      <c r="I1254" s="83">
        <f>IF($G1254="","",IFERROR(IF(INDEX(設定!$E$6:$E$21,MATCH($G1254,設定!$B$6:$B$21,0))=0,"",INDEX(設定!$E$6:$E$21,MATCH($G1254,設定!$B$6:$B$21,0))),""))</f>
        <v/>
      </c>
      <c r="J1254" s="83">
        <f>IFERROR(INDEX(打卡匯入!$C$3:$C$2002,MATCH($C1254&amp;"|"&amp;DAY($A1254),打卡匯入!$E$3:$E$2002,0)),"")</f>
        <v/>
      </c>
      <c r="K1254" s="83">
        <f>IFERROR(INDEX(打卡匯入!$D$3:$D$2002,MATCH($C1254&amp;"|"&amp;DAY($A1254),打卡匯入!$E$3:$E$2002,0)),"")</f>
        <v/>
      </c>
      <c r="L1254" s="84">
        <f>IF(OR($J1254="",$K1254=""),"",IFERROR(INDEX(設定!$F$6:$F$21,MATCH($G1254,設定!$B$6:$B$21,0)),0))</f>
        <v/>
      </c>
      <c r="M1254" s="85">
        <f>IF(OR($J1254="",$K1254=""),"",ROUND(($K1254-$J1254)*24-$L1254/60,2))</f>
        <v/>
      </c>
      <c r="N1254" s="16">
        <f>IF($C1254="","",IF(AND(COUNTIF(設定!$B$15:$B$21,$G1254)&gt;0,$J1254&lt;&gt;""),"假日出勤",IF(AND(COUNTIF(設定!$B$6:$B$14,$G1254)&gt;0,$J1254=""),"未打卡",IF($J1254="","",IF($O1254&gt;0,"遲到",IF($P1254&gt;0,"早退","正常"))))))</f>
        <v/>
      </c>
      <c r="O1254" s="84">
        <f>IF(OR($C1254="",$H1254="",$J1254=""),0,IF(ROUND(($J1254-$H1254)*1440,0)&gt;設定!$C$46,ROUND(($J1254-$H1254)*1440,0),0))</f>
        <v/>
      </c>
      <c r="P1254" s="84">
        <f>IF(OR($C1254="",$I1254="",$K1254=""),0,IF(ROUND(($I1254-$K1254)*1440,0)&gt;設定!$C$46,ROUND(($I1254-$K1254)*1440,0),0))</f>
        <v/>
      </c>
      <c r="Q1254" s="85">
        <f>IF($M1254="",0,IF(($M1254-IFERROR(INDEX(設定!$G$6:$G$21,MATCH($G1254,設定!$B$6:$B$21,0)),0))*60&gt;=設定!$C$44,ROUND(FLOOR(($M1254-IFERROR(INDEX(設定!$G$6:$G$21,MATCH($G1254,設定!$B$6:$B$21,0)),0))*60,設定!$C$45)/60,2),0))</f>
        <v/>
      </c>
      <c r="R1254" s="16">
        <f>IF(OR($C1254="",$Q1254=0),"",IF($G1254="國","國定假日",IF($B1254="日","例假",IF($B1254="六","休息日","平日"))))</f>
        <v/>
      </c>
      <c r="S1254" s="19" t="n"/>
    </row>
    <row r="1255">
      <c r="A1255" s="82">
        <f>IF(OR(助理班表!$A45="",13&gt;DAY(EOMONTH(DATE(設定!$C$2,設定!$D$2,1),0))),"",DATE(設定!$C$2,設定!$D$2,13))</f>
        <v/>
      </c>
      <c r="B1255" s="16">
        <f>IF($A1255="","",INDEX(設定!$O$6:$O$12,WEEKDAY($A1255,1)))</f>
        <v/>
      </c>
      <c r="C1255" s="16">
        <f>IF($A1255="","",助理班表!$A45)</f>
        <v/>
      </c>
      <c r="D1255" s="16">
        <f>IF($C1255="","",助理班表!$B45)</f>
        <v/>
      </c>
      <c r="E1255" s="16">
        <f>IF($C1255="","",助理班表!$D45)</f>
        <v/>
      </c>
      <c r="F1255" s="16">
        <f>IF($C1255="","",助理班表!$C45)</f>
        <v/>
      </c>
      <c r="G1255" s="16">
        <f>IF($C1255="","",助理班表!Q45)</f>
        <v/>
      </c>
      <c r="H1255" s="83">
        <f>IF($G1255="","",IFERROR(IF(INDEX(設定!$D$6:$D$21,MATCH($G1255,設定!$B$6:$B$21,0))=0,"",INDEX(設定!$D$6:$D$21,MATCH($G1255,設定!$B$6:$B$21,0))),""))</f>
        <v/>
      </c>
      <c r="I1255" s="83">
        <f>IF($G1255="","",IFERROR(IF(INDEX(設定!$E$6:$E$21,MATCH($G1255,設定!$B$6:$B$21,0))=0,"",INDEX(設定!$E$6:$E$21,MATCH($G1255,設定!$B$6:$B$21,0))),""))</f>
        <v/>
      </c>
      <c r="J1255" s="83">
        <f>IFERROR(INDEX(打卡匯入!$C$3:$C$2002,MATCH($C1255&amp;"|"&amp;DAY($A1255),打卡匯入!$E$3:$E$2002,0)),"")</f>
        <v/>
      </c>
      <c r="K1255" s="83">
        <f>IFERROR(INDEX(打卡匯入!$D$3:$D$2002,MATCH($C1255&amp;"|"&amp;DAY($A1255),打卡匯入!$E$3:$E$2002,0)),"")</f>
        <v/>
      </c>
      <c r="L1255" s="84">
        <f>IF(OR($J1255="",$K1255=""),"",IFERROR(INDEX(設定!$F$6:$F$21,MATCH($G1255,設定!$B$6:$B$21,0)),0))</f>
        <v/>
      </c>
      <c r="M1255" s="85">
        <f>IF(OR($J1255="",$K1255=""),"",ROUND(($K1255-$J1255)*24-$L1255/60,2))</f>
        <v/>
      </c>
      <c r="N1255" s="16">
        <f>IF($C1255="","",IF(AND(COUNTIF(設定!$B$15:$B$21,$G1255)&gt;0,$J1255&lt;&gt;""),"假日出勤",IF(AND(COUNTIF(設定!$B$6:$B$14,$G1255)&gt;0,$J1255=""),"未打卡",IF($J1255="","",IF($O1255&gt;0,"遲到",IF($P1255&gt;0,"早退","正常"))))))</f>
        <v/>
      </c>
      <c r="O1255" s="84">
        <f>IF(OR($C1255="",$H1255="",$J1255=""),0,IF(ROUND(($J1255-$H1255)*1440,0)&gt;設定!$C$46,ROUND(($J1255-$H1255)*1440,0),0))</f>
        <v/>
      </c>
      <c r="P1255" s="84">
        <f>IF(OR($C1255="",$I1255="",$K1255=""),0,IF(ROUND(($I1255-$K1255)*1440,0)&gt;設定!$C$46,ROUND(($I1255-$K1255)*1440,0),0))</f>
        <v/>
      </c>
      <c r="Q1255" s="85">
        <f>IF($M1255="",0,IF(($M1255-IFERROR(INDEX(設定!$G$6:$G$21,MATCH($G1255,設定!$B$6:$B$21,0)),0))*60&gt;=設定!$C$44,ROUND(FLOOR(($M1255-IFERROR(INDEX(設定!$G$6:$G$21,MATCH($G1255,設定!$B$6:$B$21,0)),0))*60,設定!$C$45)/60,2),0))</f>
        <v/>
      </c>
      <c r="R1255" s="16">
        <f>IF(OR($C1255="",$Q1255=0),"",IF($G1255="國","國定假日",IF($B1255="日","例假",IF($B1255="六","休息日","平日"))))</f>
        <v/>
      </c>
      <c r="S1255" s="19" t="n"/>
    </row>
    <row r="1256">
      <c r="A1256" s="82">
        <f>IF(OR(助理班表!$A45="",14&gt;DAY(EOMONTH(DATE(設定!$C$2,設定!$D$2,1),0))),"",DATE(設定!$C$2,設定!$D$2,14))</f>
        <v/>
      </c>
      <c r="B1256" s="16">
        <f>IF($A1256="","",INDEX(設定!$O$6:$O$12,WEEKDAY($A1256,1)))</f>
        <v/>
      </c>
      <c r="C1256" s="16">
        <f>IF($A1256="","",助理班表!$A45)</f>
        <v/>
      </c>
      <c r="D1256" s="16">
        <f>IF($C1256="","",助理班表!$B45)</f>
        <v/>
      </c>
      <c r="E1256" s="16">
        <f>IF($C1256="","",助理班表!$D45)</f>
        <v/>
      </c>
      <c r="F1256" s="16">
        <f>IF($C1256="","",助理班表!$C45)</f>
        <v/>
      </c>
      <c r="G1256" s="16">
        <f>IF($C1256="","",助理班表!R45)</f>
        <v/>
      </c>
      <c r="H1256" s="83">
        <f>IF($G1256="","",IFERROR(IF(INDEX(設定!$D$6:$D$21,MATCH($G1256,設定!$B$6:$B$21,0))=0,"",INDEX(設定!$D$6:$D$21,MATCH($G1256,設定!$B$6:$B$21,0))),""))</f>
        <v/>
      </c>
      <c r="I1256" s="83">
        <f>IF($G1256="","",IFERROR(IF(INDEX(設定!$E$6:$E$21,MATCH($G1256,設定!$B$6:$B$21,0))=0,"",INDEX(設定!$E$6:$E$21,MATCH($G1256,設定!$B$6:$B$21,0))),""))</f>
        <v/>
      </c>
      <c r="J1256" s="83">
        <f>IFERROR(INDEX(打卡匯入!$C$3:$C$2002,MATCH($C1256&amp;"|"&amp;DAY($A1256),打卡匯入!$E$3:$E$2002,0)),"")</f>
        <v/>
      </c>
      <c r="K1256" s="83">
        <f>IFERROR(INDEX(打卡匯入!$D$3:$D$2002,MATCH($C1256&amp;"|"&amp;DAY($A1256),打卡匯入!$E$3:$E$2002,0)),"")</f>
        <v/>
      </c>
      <c r="L1256" s="84">
        <f>IF(OR($J1256="",$K1256=""),"",IFERROR(INDEX(設定!$F$6:$F$21,MATCH($G1256,設定!$B$6:$B$21,0)),0))</f>
        <v/>
      </c>
      <c r="M1256" s="85">
        <f>IF(OR($J1256="",$K1256=""),"",ROUND(($K1256-$J1256)*24-$L1256/60,2))</f>
        <v/>
      </c>
      <c r="N1256" s="16">
        <f>IF($C1256="","",IF(AND(COUNTIF(設定!$B$15:$B$21,$G1256)&gt;0,$J1256&lt;&gt;""),"假日出勤",IF(AND(COUNTIF(設定!$B$6:$B$14,$G1256)&gt;0,$J1256=""),"未打卡",IF($J1256="","",IF($O1256&gt;0,"遲到",IF($P1256&gt;0,"早退","正常"))))))</f>
        <v/>
      </c>
      <c r="O1256" s="84">
        <f>IF(OR($C1256="",$H1256="",$J1256=""),0,IF(ROUND(($J1256-$H1256)*1440,0)&gt;設定!$C$46,ROUND(($J1256-$H1256)*1440,0),0))</f>
        <v/>
      </c>
      <c r="P1256" s="84">
        <f>IF(OR($C1256="",$I1256="",$K1256=""),0,IF(ROUND(($I1256-$K1256)*1440,0)&gt;設定!$C$46,ROUND(($I1256-$K1256)*1440,0),0))</f>
        <v/>
      </c>
      <c r="Q1256" s="85">
        <f>IF($M1256="",0,IF(($M1256-IFERROR(INDEX(設定!$G$6:$G$21,MATCH($G1256,設定!$B$6:$B$21,0)),0))*60&gt;=設定!$C$44,ROUND(FLOOR(($M1256-IFERROR(INDEX(設定!$G$6:$G$21,MATCH($G1256,設定!$B$6:$B$21,0)),0))*60,設定!$C$45)/60,2),0))</f>
        <v/>
      </c>
      <c r="R1256" s="16">
        <f>IF(OR($C1256="",$Q1256=0),"",IF($G1256="國","國定假日",IF($B1256="日","例假",IF($B1256="六","休息日","平日"))))</f>
        <v/>
      </c>
      <c r="S1256" s="19" t="n"/>
    </row>
    <row r="1257">
      <c r="A1257" s="82">
        <f>IF(OR(助理班表!$A45="",15&gt;DAY(EOMONTH(DATE(設定!$C$2,設定!$D$2,1),0))),"",DATE(設定!$C$2,設定!$D$2,15))</f>
        <v/>
      </c>
      <c r="B1257" s="16">
        <f>IF($A1257="","",INDEX(設定!$O$6:$O$12,WEEKDAY($A1257,1)))</f>
        <v/>
      </c>
      <c r="C1257" s="16">
        <f>IF($A1257="","",助理班表!$A45)</f>
        <v/>
      </c>
      <c r="D1257" s="16">
        <f>IF($C1257="","",助理班表!$B45)</f>
        <v/>
      </c>
      <c r="E1257" s="16">
        <f>IF($C1257="","",助理班表!$D45)</f>
        <v/>
      </c>
      <c r="F1257" s="16">
        <f>IF($C1257="","",助理班表!$C45)</f>
        <v/>
      </c>
      <c r="G1257" s="16">
        <f>IF($C1257="","",助理班表!S45)</f>
        <v/>
      </c>
      <c r="H1257" s="83">
        <f>IF($G1257="","",IFERROR(IF(INDEX(設定!$D$6:$D$21,MATCH($G1257,設定!$B$6:$B$21,0))=0,"",INDEX(設定!$D$6:$D$21,MATCH($G1257,設定!$B$6:$B$21,0))),""))</f>
        <v/>
      </c>
      <c r="I1257" s="83">
        <f>IF($G1257="","",IFERROR(IF(INDEX(設定!$E$6:$E$21,MATCH($G1257,設定!$B$6:$B$21,0))=0,"",INDEX(設定!$E$6:$E$21,MATCH($G1257,設定!$B$6:$B$21,0))),""))</f>
        <v/>
      </c>
      <c r="J1257" s="83">
        <f>IFERROR(INDEX(打卡匯入!$C$3:$C$2002,MATCH($C1257&amp;"|"&amp;DAY($A1257),打卡匯入!$E$3:$E$2002,0)),"")</f>
        <v/>
      </c>
      <c r="K1257" s="83">
        <f>IFERROR(INDEX(打卡匯入!$D$3:$D$2002,MATCH($C1257&amp;"|"&amp;DAY($A1257),打卡匯入!$E$3:$E$2002,0)),"")</f>
        <v/>
      </c>
      <c r="L1257" s="84">
        <f>IF(OR($J1257="",$K1257=""),"",IFERROR(INDEX(設定!$F$6:$F$21,MATCH($G1257,設定!$B$6:$B$21,0)),0))</f>
        <v/>
      </c>
      <c r="M1257" s="85">
        <f>IF(OR($J1257="",$K1257=""),"",ROUND(($K1257-$J1257)*24-$L1257/60,2))</f>
        <v/>
      </c>
      <c r="N1257" s="16">
        <f>IF($C1257="","",IF(AND(COUNTIF(設定!$B$15:$B$21,$G1257)&gt;0,$J1257&lt;&gt;""),"假日出勤",IF(AND(COUNTIF(設定!$B$6:$B$14,$G1257)&gt;0,$J1257=""),"未打卡",IF($J1257="","",IF($O1257&gt;0,"遲到",IF($P1257&gt;0,"早退","正常"))))))</f>
        <v/>
      </c>
      <c r="O1257" s="84">
        <f>IF(OR($C1257="",$H1257="",$J1257=""),0,IF(ROUND(($J1257-$H1257)*1440,0)&gt;設定!$C$46,ROUND(($J1257-$H1257)*1440,0),0))</f>
        <v/>
      </c>
      <c r="P1257" s="84">
        <f>IF(OR($C1257="",$I1257="",$K1257=""),0,IF(ROUND(($I1257-$K1257)*1440,0)&gt;設定!$C$46,ROUND(($I1257-$K1257)*1440,0),0))</f>
        <v/>
      </c>
      <c r="Q1257" s="85">
        <f>IF($M1257="",0,IF(($M1257-IFERROR(INDEX(設定!$G$6:$G$21,MATCH($G1257,設定!$B$6:$B$21,0)),0))*60&gt;=設定!$C$44,ROUND(FLOOR(($M1257-IFERROR(INDEX(設定!$G$6:$G$21,MATCH($G1257,設定!$B$6:$B$21,0)),0))*60,設定!$C$45)/60,2),0))</f>
        <v/>
      </c>
      <c r="R1257" s="16">
        <f>IF(OR($C1257="",$Q1257=0),"",IF($G1257="國","國定假日",IF($B1257="日","例假",IF($B1257="六","休息日","平日"))))</f>
        <v/>
      </c>
      <c r="S1257" s="19" t="n"/>
    </row>
    <row r="1258">
      <c r="A1258" s="82">
        <f>IF(OR(助理班表!$A45="",16&gt;DAY(EOMONTH(DATE(設定!$C$2,設定!$D$2,1),0))),"",DATE(設定!$C$2,設定!$D$2,16))</f>
        <v/>
      </c>
      <c r="B1258" s="16">
        <f>IF($A1258="","",INDEX(設定!$O$6:$O$12,WEEKDAY($A1258,1)))</f>
        <v/>
      </c>
      <c r="C1258" s="16">
        <f>IF($A1258="","",助理班表!$A45)</f>
        <v/>
      </c>
      <c r="D1258" s="16">
        <f>IF($C1258="","",助理班表!$B45)</f>
        <v/>
      </c>
      <c r="E1258" s="16">
        <f>IF($C1258="","",助理班表!$D45)</f>
        <v/>
      </c>
      <c r="F1258" s="16">
        <f>IF($C1258="","",助理班表!$C45)</f>
        <v/>
      </c>
      <c r="G1258" s="16">
        <f>IF($C1258="","",助理班表!T45)</f>
        <v/>
      </c>
      <c r="H1258" s="83">
        <f>IF($G1258="","",IFERROR(IF(INDEX(設定!$D$6:$D$21,MATCH($G1258,設定!$B$6:$B$21,0))=0,"",INDEX(設定!$D$6:$D$21,MATCH($G1258,設定!$B$6:$B$21,0))),""))</f>
        <v/>
      </c>
      <c r="I1258" s="83">
        <f>IF($G1258="","",IFERROR(IF(INDEX(設定!$E$6:$E$21,MATCH($G1258,設定!$B$6:$B$21,0))=0,"",INDEX(設定!$E$6:$E$21,MATCH($G1258,設定!$B$6:$B$21,0))),""))</f>
        <v/>
      </c>
      <c r="J1258" s="83">
        <f>IFERROR(INDEX(打卡匯入!$C$3:$C$2002,MATCH($C1258&amp;"|"&amp;DAY($A1258),打卡匯入!$E$3:$E$2002,0)),"")</f>
        <v/>
      </c>
      <c r="K1258" s="83">
        <f>IFERROR(INDEX(打卡匯入!$D$3:$D$2002,MATCH($C1258&amp;"|"&amp;DAY($A1258),打卡匯入!$E$3:$E$2002,0)),"")</f>
        <v/>
      </c>
      <c r="L1258" s="84">
        <f>IF(OR($J1258="",$K1258=""),"",IFERROR(INDEX(設定!$F$6:$F$21,MATCH($G1258,設定!$B$6:$B$21,0)),0))</f>
        <v/>
      </c>
      <c r="M1258" s="85">
        <f>IF(OR($J1258="",$K1258=""),"",ROUND(($K1258-$J1258)*24-$L1258/60,2))</f>
        <v/>
      </c>
      <c r="N1258" s="16">
        <f>IF($C1258="","",IF(AND(COUNTIF(設定!$B$15:$B$21,$G1258)&gt;0,$J1258&lt;&gt;""),"假日出勤",IF(AND(COUNTIF(設定!$B$6:$B$14,$G1258)&gt;0,$J1258=""),"未打卡",IF($J1258="","",IF($O1258&gt;0,"遲到",IF($P1258&gt;0,"早退","正常"))))))</f>
        <v/>
      </c>
      <c r="O1258" s="84">
        <f>IF(OR($C1258="",$H1258="",$J1258=""),0,IF(ROUND(($J1258-$H1258)*1440,0)&gt;設定!$C$46,ROUND(($J1258-$H1258)*1440,0),0))</f>
        <v/>
      </c>
      <c r="P1258" s="84">
        <f>IF(OR($C1258="",$I1258="",$K1258=""),0,IF(ROUND(($I1258-$K1258)*1440,0)&gt;設定!$C$46,ROUND(($I1258-$K1258)*1440,0),0))</f>
        <v/>
      </c>
      <c r="Q1258" s="85">
        <f>IF($M1258="",0,IF(($M1258-IFERROR(INDEX(設定!$G$6:$G$21,MATCH($G1258,設定!$B$6:$B$21,0)),0))*60&gt;=設定!$C$44,ROUND(FLOOR(($M1258-IFERROR(INDEX(設定!$G$6:$G$21,MATCH($G1258,設定!$B$6:$B$21,0)),0))*60,設定!$C$45)/60,2),0))</f>
        <v/>
      </c>
      <c r="R1258" s="16">
        <f>IF(OR($C1258="",$Q1258=0),"",IF($G1258="國","國定假日",IF($B1258="日","例假",IF($B1258="六","休息日","平日"))))</f>
        <v/>
      </c>
      <c r="S1258" s="19" t="n"/>
    </row>
    <row r="1259">
      <c r="A1259" s="82">
        <f>IF(OR(助理班表!$A45="",17&gt;DAY(EOMONTH(DATE(設定!$C$2,設定!$D$2,1),0))),"",DATE(設定!$C$2,設定!$D$2,17))</f>
        <v/>
      </c>
      <c r="B1259" s="16">
        <f>IF($A1259="","",INDEX(設定!$O$6:$O$12,WEEKDAY($A1259,1)))</f>
        <v/>
      </c>
      <c r="C1259" s="16">
        <f>IF($A1259="","",助理班表!$A45)</f>
        <v/>
      </c>
      <c r="D1259" s="16">
        <f>IF($C1259="","",助理班表!$B45)</f>
        <v/>
      </c>
      <c r="E1259" s="16">
        <f>IF($C1259="","",助理班表!$D45)</f>
        <v/>
      </c>
      <c r="F1259" s="16">
        <f>IF($C1259="","",助理班表!$C45)</f>
        <v/>
      </c>
      <c r="G1259" s="16">
        <f>IF($C1259="","",助理班表!U45)</f>
        <v/>
      </c>
      <c r="H1259" s="83">
        <f>IF($G1259="","",IFERROR(IF(INDEX(設定!$D$6:$D$21,MATCH($G1259,設定!$B$6:$B$21,0))=0,"",INDEX(設定!$D$6:$D$21,MATCH($G1259,設定!$B$6:$B$21,0))),""))</f>
        <v/>
      </c>
      <c r="I1259" s="83">
        <f>IF($G1259="","",IFERROR(IF(INDEX(設定!$E$6:$E$21,MATCH($G1259,設定!$B$6:$B$21,0))=0,"",INDEX(設定!$E$6:$E$21,MATCH($G1259,設定!$B$6:$B$21,0))),""))</f>
        <v/>
      </c>
      <c r="J1259" s="83">
        <f>IFERROR(INDEX(打卡匯入!$C$3:$C$2002,MATCH($C1259&amp;"|"&amp;DAY($A1259),打卡匯入!$E$3:$E$2002,0)),"")</f>
        <v/>
      </c>
      <c r="K1259" s="83">
        <f>IFERROR(INDEX(打卡匯入!$D$3:$D$2002,MATCH($C1259&amp;"|"&amp;DAY($A1259),打卡匯入!$E$3:$E$2002,0)),"")</f>
        <v/>
      </c>
      <c r="L1259" s="84">
        <f>IF(OR($J1259="",$K1259=""),"",IFERROR(INDEX(設定!$F$6:$F$21,MATCH($G1259,設定!$B$6:$B$21,0)),0))</f>
        <v/>
      </c>
      <c r="M1259" s="85">
        <f>IF(OR($J1259="",$K1259=""),"",ROUND(($K1259-$J1259)*24-$L1259/60,2))</f>
        <v/>
      </c>
      <c r="N1259" s="16">
        <f>IF($C1259="","",IF(AND(COUNTIF(設定!$B$15:$B$21,$G1259)&gt;0,$J1259&lt;&gt;""),"假日出勤",IF(AND(COUNTIF(設定!$B$6:$B$14,$G1259)&gt;0,$J1259=""),"未打卡",IF($J1259="","",IF($O1259&gt;0,"遲到",IF($P1259&gt;0,"早退","正常"))))))</f>
        <v/>
      </c>
      <c r="O1259" s="84">
        <f>IF(OR($C1259="",$H1259="",$J1259=""),0,IF(ROUND(($J1259-$H1259)*1440,0)&gt;設定!$C$46,ROUND(($J1259-$H1259)*1440,0),0))</f>
        <v/>
      </c>
      <c r="P1259" s="84">
        <f>IF(OR($C1259="",$I1259="",$K1259=""),0,IF(ROUND(($I1259-$K1259)*1440,0)&gt;設定!$C$46,ROUND(($I1259-$K1259)*1440,0),0))</f>
        <v/>
      </c>
      <c r="Q1259" s="85">
        <f>IF($M1259="",0,IF(($M1259-IFERROR(INDEX(設定!$G$6:$G$21,MATCH($G1259,設定!$B$6:$B$21,0)),0))*60&gt;=設定!$C$44,ROUND(FLOOR(($M1259-IFERROR(INDEX(設定!$G$6:$G$21,MATCH($G1259,設定!$B$6:$B$21,0)),0))*60,設定!$C$45)/60,2),0))</f>
        <v/>
      </c>
      <c r="R1259" s="16">
        <f>IF(OR($C1259="",$Q1259=0),"",IF($G1259="國","國定假日",IF($B1259="日","例假",IF($B1259="六","休息日","平日"))))</f>
        <v/>
      </c>
      <c r="S1259" s="19" t="n"/>
    </row>
    <row r="1260">
      <c r="A1260" s="82">
        <f>IF(OR(助理班表!$A45="",18&gt;DAY(EOMONTH(DATE(設定!$C$2,設定!$D$2,1),0))),"",DATE(設定!$C$2,設定!$D$2,18))</f>
        <v/>
      </c>
      <c r="B1260" s="16">
        <f>IF($A1260="","",INDEX(設定!$O$6:$O$12,WEEKDAY($A1260,1)))</f>
        <v/>
      </c>
      <c r="C1260" s="16">
        <f>IF($A1260="","",助理班表!$A45)</f>
        <v/>
      </c>
      <c r="D1260" s="16">
        <f>IF($C1260="","",助理班表!$B45)</f>
        <v/>
      </c>
      <c r="E1260" s="16">
        <f>IF($C1260="","",助理班表!$D45)</f>
        <v/>
      </c>
      <c r="F1260" s="16">
        <f>IF($C1260="","",助理班表!$C45)</f>
        <v/>
      </c>
      <c r="G1260" s="16">
        <f>IF($C1260="","",助理班表!V45)</f>
        <v/>
      </c>
      <c r="H1260" s="83">
        <f>IF($G1260="","",IFERROR(IF(INDEX(設定!$D$6:$D$21,MATCH($G1260,設定!$B$6:$B$21,0))=0,"",INDEX(設定!$D$6:$D$21,MATCH($G1260,設定!$B$6:$B$21,0))),""))</f>
        <v/>
      </c>
      <c r="I1260" s="83">
        <f>IF($G1260="","",IFERROR(IF(INDEX(設定!$E$6:$E$21,MATCH($G1260,設定!$B$6:$B$21,0))=0,"",INDEX(設定!$E$6:$E$21,MATCH($G1260,設定!$B$6:$B$21,0))),""))</f>
        <v/>
      </c>
      <c r="J1260" s="83">
        <f>IFERROR(INDEX(打卡匯入!$C$3:$C$2002,MATCH($C1260&amp;"|"&amp;DAY($A1260),打卡匯入!$E$3:$E$2002,0)),"")</f>
        <v/>
      </c>
      <c r="K1260" s="83">
        <f>IFERROR(INDEX(打卡匯入!$D$3:$D$2002,MATCH($C1260&amp;"|"&amp;DAY($A1260),打卡匯入!$E$3:$E$2002,0)),"")</f>
        <v/>
      </c>
      <c r="L1260" s="84">
        <f>IF(OR($J1260="",$K1260=""),"",IFERROR(INDEX(設定!$F$6:$F$21,MATCH($G1260,設定!$B$6:$B$21,0)),0))</f>
        <v/>
      </c>
      <c r="M1260" s="85">
        <f>IF(OR($J1260="",$K1260=""),"",ROUND(($K1260-$J1260)*24-$L1260/60,2))</f>
        <v/>
      </c>
      <c r="N1260" s="16">
        <f>IF($C1260="","",IF(AND(COUNTIF(設定!$B$15:$B$21,$G1260)&gt;0,$J1260&lt;&gt;""),"假日出勤",IF(AND(COUNTIF(設定!$B$6:$B$14,$G1260)&gt;0,$J1260=""),"未打卡",IF($J1260="","",IF($O1260&gt;0,"遲到",IF($P1260&gt;0,"早退","正常"))))))</f>
        <v/>
      </c>
      <c r="O1260" s="84">
        <f>IF(OR($C1260="",$H1260="",$J1260=""),0,IF(ROUND(($J1260-$H1260)*1440,0)&gt;設定!$C$46,ROUND(($J1260-$H1260)*1440,0),0))</f>
        <v/>
      </c>
      <c r="P1260" s="84">
        <f>IF(OR($C1260="",$I1260="",$K1260=""),0,IF(ROUND(($I1260-$K1260)*1440,0)&gt;設定!$C$46,ROUND(($I1260-$K1260)*1440,0),0))</f>
        <v/>
      </c>
      <c r="Q1260" s="85">
        <f>IF($M1260="",0,IF(($M1260-IFERROR(INDEX(設定!$G$6:$G$21,MATCH($G1260,設定!$B$6:$B$21,0)),0))*60&gt;=設定!$C$44,ROUND(FLOOR(($M1260-IFERROR(INDEX(設定!$G$6:$G$21,MATCH($G1260,設定!$B$6:$B$21,0)),0))*60,設定!$C$45)/60,2),0))</f>
        <v/>
      </c>
      <c r="R1260" s="16">
        <f>IF(OR($C1260="",$Q1260=0),"",IF($G1260="國","國定假日",IF($B1260="日","例假",IF($B1260="六","休息日","平日"))))</f>
        <v/>
      </c>
      <c r="S1260" s="19" t="n"/>
    </row>
    <row r="1261">
      <c r="A1261" s="82">
        <f>IF(OR(助理班表!$A45="",19&gt;DAY(EOMONTH(DATE(設定!$C$2,設定!$D$2,1),0))),"",DATE(設定!$C$2,設定!$D$2,19))</f>
        <v/>
      </c>
      <c r="B1261" s="16">
        <f>IF($A1261="","",INDEX(設定!$O$6:$O$12,WEEKDAY($A1261,1)))</f>
        <v/>
      </c>
      <c r="C1261" s="16">
        <f>IF($A1261="","",助理班表!$A45)</f>
        <v/>
      </c>
      <c r="D1261" s="16">
        <f>IF($C1261="","",助理班表!$B45)</f>
        <v/>
      </c>
      <c r="E1261" s="16">
        <f>IF($C1261="","",助理班表!$D45)</f>
        <v/>
      </c>
      <c r="F1261" s="16">
        <f>IF($C1261="","",助理班表!$C45)</f>
        <v/>
      </c>
      <c r="G1261" s="16">
        <f>IF($C1261="","",助理班表!W45)</f>
        <v/>
      </c>
      <c r="H1261" s="83">
        <f>IF($G1261="","",IFERROR(IF(INDEX(設定!$D$6:$D$21,MATCH($G1261,設定!$B$6:$B$21,0))=0,"",INDEX(設定!$D$6:$D$21,MATCH($G1261,設定!$B$6:$B$21,0))),""))</f>
        <v/>
      </c>
      <c r="I1261" s="83">
        <f>IF($G1261="","",IFERROR(IF(INDEX(設定!$E$6:$E$21,MATCH($G1261,設定!$B$6:$B$21,0))=0,"",INDEX(設定!$E$6:$E$21,MATCH($G1261,設定!$B$6:$B$21,0))),""))</f>
        <v/>
      </c>
      <c r="J1261" s="83">
        <f>IFERROR(INDEX(打卡匯入!$C$3:$C$2002,MATCH($C1261&amp;"|"&amp;DAY($A1261),打卡匯入!$E$3:$E$2002,0)),"")</f>
        <v/>
      </c>
      <c r="K1261" s="83">
        <f>IFERROR(INDEX(打卡匯入!$D$3:$D$2002,MATCH($C1261&amp;"|"&amp;DAY($A1261),打卡匯入!$E$3:$E$2002,0)),"")</f>
        <v/>
      </c>
      <c r="L1261" s="84">
        <f>IF(OR($J1261="",$K1261=""),"",IFERROR(INDEX(設定!$F$6:$F$21,MATCH($G1261,設定!$B$6:$B$21,0)),0))</f>
        <v/>
      </c>
      <c r="M1261" s="85">
        <f>IF(OR($J1261="",$K1261=""),"",ROUND(($K1261-$J1261)*24-$L1261/60,2))</f>
        <v/>
      </c>
      <c r="N1261" s="16">
        <f>IF($C1261="","",IF(AND(COUNTIF(設定!$B$15:$B$21,$G1261)&gt;0,$J1261&lt;&gt;""),"假日出勤",IF(AND(COUNTIF(設定!$B$6:$B$14,$G1261)&gt;0,$J1261=""),"未打卡",IF($J1261="","",IF($O1261&gt;0,"遲到",IF($P1261&gt;0,"早退","正常"))))))</f>
        <v/>
      </c>
      <c r="O1261" s="84">
        <f>IF(OR($C1261="",$H1261="",$J1261=""),0,IF(ROUND(($J1261-$H1261)*1440,0)&gt;設定!$C$46,ROUND(($J1261-$H1261)*1440,0),0))</f>
        <v/>
      </c>
      <c r="P1261" s="84">
        <f>IF(OR($C1261="",$I1261="",$K1261=""),0,IF(ROUND(($I1261-$K1261)*1440,0)&gt;設定!$C$46,ROUND(($I1261-$K1261)*1440,0),0))</f>
        <v/>
      </c>
      <c r="Q1261" s="85">
        <f>IF($M1261="",0,IF(($M1261-IFERROR(INDEX(設定!$G$6:$G$21,MATCH($G1261,設定!$B$6:$B$21,0)),0))*60&gt;=設定!$C$44,ROUND(FLOOR(($M1261-IFERROR(INDEX(設定!$G$6:$G$21,MATCH($G1261,設定!$B$6:$B$21,0)),0))*60,設定!$C$45)/60,2),0))</f>
        <v/>
      </c>
      <c r="R1261" s="16">
        <f>IF(OR($C1261="",$Q1261=0),"",IF($G1261="國","國定假日",IF($B1261="日","例假",IF($B1261="六","休息日","平日"))))</f>
        <v/>
      </c>
      <c r="S1261" s="19" t="n"/>
    </row>
    <row r="1262">
      <c r="A1262" s="82">
        <f>IF(OR(助理班表!$A45="",20&gt;DAY(EOMONTH(DATE(設定!$C$2,設定!$D$2,1),0))),"",DATE(設定!$C$2,設定!$D$2,20))</f>
        <v/>
      </c>
      <c r="B1262" s="16">
        <f>IF($A1262="","",INDEX(設定!$O$6:$O$12,WEEKDAY($A1262,1)))</f>
        <v/>
      </c>
      <c r="C1262" s="16">
        <f>IF($A1262="","",助理班表!$A45)</f>
        <v/>
      </c>
      <c r="D1262" s="16">
        <f>IF($C1262="","",助理班表!$B45)</f>
        <v/>
      </c>
      <c r="E1262" s="16">
        <f>IF($C1262="","",助理班表!$D45)</f>
        <v/>
      </c>
      <c r="F1262" s="16">
        <f>IF($C1262="","",助理班表!$C45)</f>
        <v/>
      </c>
      <c r="G1262" s="16">
        <f>IF($C1262="","",助理班表!X45)</f>
        <v/>
      </c>
      <c r="H1262" s="83">
        <f>IF($G1262="","",IFERROR(IF(INDEX(設定!$D$6:$D$21,MATCH($G1262,設定!$B$6:$B$21,0))=0,"",INDEX(設定!$D$6:$D$21,MATCH($G1262,設定!$B$6:$B$21,0))),""))</f>
        <v/>
      </c>
      <c r="I1262" s="83">
        <f>IF($G1262="","",IFERROR(IF(INDEX(設定!$E$6:$E$21,MATCH($G1262,設定!$B$6:$B$21,0))=0,"",INDEX(設定!$E$6:$E$21,MATCH($G1262,設定!$B$6:$B$21,0))),""))</f>
        <v/>
      </c>
      <c r="J1262" s="83">
        <f>IFERROR(INDEX(打卡匯入!$C$3:$C$2002,MATCH($C1262&amp;"|"&amp;DAY($A1262),打卡匯入!$E$3:$E$2002,0)),"")</f>
        <v/>
      </c>
      <c r="K1262" s="83">
        <f>IFERROR(INDEX(打卡匯入!$D$3:$D$2002,MATCH($C1262&amp;"|"&amp;DAY($A1262),打卡匯入!$E$3:$E$2002,0)),"")</f>
        <v/>
      </c>
      <c r="L1262" s="84">
        <f>IF(OR($J1262="",$K1262=""),"",IFERROR(INDEX(設定!$F$6:$F$21,MATCH($G1262,設定!$B$6:$B$21,0)),0))</f>
        <v/>
      </c>
      <c r="M1262" s="85">
        <f>IF(OR($J1262="",$K1262=""),"",ROUND(($K1262-$J1262)*24-$L1262/60,2))</f>
        <v/>
      </c>
      <c r="N1262" s="16">
        <f>IF($C1262="","",IF(AND(COUNTIF(設定!$B$15:$B$21,$G1262)&gt;0,$J1262&lt;&gt;""),"假日出勤",IF(AND(COUNTIF(設定!$B$6:$B$14,$G1262)&gt;0,$J1262=""),"未打卡",IF($J1262="","",IF($O1262&gt;0,"遲到",IF($P1262&gt;0,"早退","正常"))))))</f>
        <v/>
      </c>
      <c r="O1262" s="84">
        <f>IF(OR($C1262="",$H1262="",$J1262=""),0,IF(ROUND(($J1262-$H1262)*1440,0)&gt;設定!$C$46,ROUND(($J1262-$H1262)*1440,0),0))</f>
        <v/>
      </c>
      <c r="P1262" s="84">
        <f>IF(OR($C1262="",$I1262="",$K1262=""),0,IF(ROUND(($I1262-$K1262)*1440,0)&gt;設定!$C$46,ROUND(($I1262-$K1262)*1440,0),0))</f>
        <v/>
      </c>
      <c r="Q1262" s="85">
        <f>IF($M1262="",0,IF(($M1262-IFERROR(INDEX(設定!$G$6:$G$21,MATCH($G1262,設定!$B$6:$B$21,0)),0))*60&gt;=設定!$C$44,ROUND(FLOOR(($M1262-IFERROR(INDEX(設定!$G$6:$G$21,MATCH($G1262,設定!$B$6:$B$21,0)),0))*60,設定!$C$45)/60,2),0))</f>
        <v/>
      </c>
      <c r="R1262" s="16">
        <f>IF(OR($C1262="",$Q1262=0),"",IF($G1262="國","國定假日",IF($B1262="日","例假",IF($B1262="六","休息日","平日"))))</f>
        <v/>
      </c>
      <c r="S1262" s="19" t="n"/>
    </row>
    <row r="1263">
      <c r="A1263" s="82">
        <f>IF(OR(助理班表!$A45="",21&gt;DAY(EOMONTH(DATE(設定!$C$2,設定!$D$2,1),0))),"",DATE(設定!$C$2,設定!$D$2,21))</f>
        <v/>
      </c>
      <c r="B1263" s="16">
        <f>IF($A1263="","",INDEX(設定!$O$6:$O$12,WEEKDAY($A1263,1)))</f>
        <v/>
      </c>
      <c r="C1263" s="16">
        <f>IF($A1263="","",助理班表!$A45)</f>
        <v/>
      </c>
      <c r="D1263" s="16">
        <f>IF($C1263="","",助理班表!$B45)</f>
        <v/>
      </c>
      <c r="E1263" s="16">
        <f>IF($C1263="","",助理班表!$D45)</f>
        <v/>
      </c>
      <c r="F1263" s="16">
        <f>IF($C1263="","",助理班表!$C45)</f>
        <v/>
      </c>
      <c r="G1263" s="16">
        <f>IF($C1263="","",助理班表!Y45)</f>
        <v/>
      </c>
      <c r="H1263" s="83">
        <f>IF($G1263="","",IFERROR(IF(INDEX(設定!$D$6:$D$21,MATCH($G1263,設定!$B$6:$B$21,0))=0,"",INDEX(設定!$D$6:$D$21,MATCH($G1263,設定!$B$6:$B$21,0))),""))</f>
        <v/>
      </c>
      <c r="I1263" s="83">
        <f>IF($G1263="","",IFERROR(IF(INDEX(設定!$E$6:$E$21,MATCH($G1263,設定!$B$6:$B$21,0))=0,"",INDEX(設定!$E$6:$E$21,MATCH($G1263,設定!$B$6:$B$21,0))),""))</f>
        <v/>
      </c>
      <c r="J1263" s="83">
        <f>IFERROR(INDEX(打卡匯入!$C$3:$C$2002,MATCH($C1263&amp;"|"&amp;DAY($A1263),打卡匯入!$E$3:$E$2002,0)),"")</f>
        <v/>
      </c>
      <c r="K1263" s="83">
        <f>IFERROR(INDEX(打卡匯入!$D$3:$D$2002,MATCH($C1263&amp;"|"&amp;DAY($A1263),打卡匯入!$E$3:$E$2002,0)),"")</f>
        <v/>
      </c>
      <c r="L1263" s="84">
        <f>IF(OR($J1263="",$K1263=""),"",IFERROR(INDEX(設定!$F$6:$F$21,MATCH($G1263,設定!$B$6:$B$21,0)),0))</f>
        <v/>
      </c>
      <c r="M1263" s="85">
        <f>IF(OR($J1263="",$K1263=""),"",ROUND(($K1263-$J1263)*24-$L1263/60,2))</f>
        <v/>
      </c>
      <c r="N1263" s="16">
        <f>IF($C1263="","",IF(AND(COUNTIF(設定!$B$15:$B$21,$G1263)&gt;0,$J1263&lt;&gt;""),"假日出勤",IF(AND(COUNTIF(設定!$B$6:$B$14,$G1263)&gt;0,$J1263=""),"未打卡",IF($J1263="","",IF($O1263&gt;0,"遲到",IF($P1263&gt;0,"早退","正常"))))))</f>
        <v/>
      </c>
      <c r="O1263" s="84">
        <f>IF(OR($C1263="",$H1263="",$J1263=""),0,IF(ROUND(($J1263-$H1263)*1440,0)&gt;設定!$C$46,ROUND(($J1263-$H1263)*1440,0),0))</f>
        <v/>
      </c>
      <c r="P1263" s="84">
        <f>IF(OR($C1263="",$I1263="",$K1263=""),0,IF(ROUND(($I1263-$K1263)*1440,0)&gt;設定!$C$46,ROUND(($I1263-$K1263)*1440,0),0))</f>
        <v/>
      </c>
      <c r="Q1263" s="85">
        <f>IF($M1263="",0,IF(($M1263-IFERROR(INDEX(設定!$G$6:$G$21,MATCH($G1263,設定!$B$6:$B$21,0)),0))*60&gt;=設定!$C$44,ROUND(FLOOR(($M1263-IFERROR(INDEX(設定!$G$6:$G$21,MATCH($G1263,設定!$B$6:$B$21,0)),0))*60,設定!$C$45)/60,2),0))</f>
        <v/>
      </c>
      <c r="R1263" s="16">
        <f>IF(OR($C1263="",$Q1263=0),"",IF($G1263="國","國定假日",IF($B1263="日","例假",IF($B1263="六","休息日","平日"))))</f>
        <v/>
      </c>
      <c r="S1263" s="19" t="n"/>
    </row>
    <row r="1264">
      <c r="A1264" s="82">
        <f>IF(OR(助理班表!$A45="",22&gt;DAY(EOMONTH(DATE(設定!$C$2,設定!$D$2,1),0))),"",DATE(設定!$C$2,設定!$D$2,22))</f>
        <v/>
      </c>
      <c r="B1264" s="16">
        <f>IF($A1264="","",INDEX(設定!$O$6:$O$12,WEEKDAY($A1264,1)))</f>
        <v/>
      </c>
      <c r="C1264" s="16">
        <f>IF($A1264="","",助理班表!$A45)</f>
        <v/>
      </c>
      <c r="D1264" s="16">
        <f>IF($C1264="","",助理班表!$B45)</f>
        <v/>
      </c>
      <c r="E1264" s="16">
        <f>IF($C1264="","",助理班表!$D45)</f>
        <v/>
      </c>
      <c r="F1264" s="16">
        <f>IF($C1264="","",助理班表!$C45)</f>
        <v/>
      </c>
      <c r="G1264" s="16">
        <f>IF($C1264="","",助理班表!Z45)</f>
        <v/>
      </c>
      <c r="H1264" s="83">
        <f>IF($G1264="","",IFERROR(IF(INDEX(設定!$D$6:$D$21,MATCH($G1264,設定!$B$6:$B$21,0))=0,"",INDEX(設定!$D$6:$D$21,MATCH($G1264,設定!$B$6:$B$21,0))),""))</f>
        <v/>
      </c>
      <c r="I1264" s="83">
        <f>IF($G1264="","",IFERROR(IF(INDEX(設定!$E$6:$E$21,MATCH($G1264,設定!$B$6:$B$21,0))=0,"",INDEX(設定!$E$6:$E$21,MATCH($G1264,設定!$B$6:$B$21,0))),""))</f>
        <v/>
      </c>
      <c r="J1264" s="83">
        <f>IFERROR(INDEX(打卡匯入!$C$3:$C$2002,MATCH($C1264&amp;"|"&amp;DAY($A1264),打卡匯入!$E$3:$E$2002,0)),"")</f>
        <v/>
      </c>
      <c r="K1264" s="83">
        <f>IFERROR(INDEX(打卡匯入!$D$3:$D$2002,MATCH($C1264&amp;"|"&amp;DAY($A1264),打卡匯入!$E$3:$E$2002,0)),"")</f>
        <v/>
      </c>
      <c r="L1264" s="84">
        <f>IF(OR($J1264="",$K1264=""),"",IFERROR(INDEX(設定!$F$6:$F$21,MATCH($G1264,設定!$B$6:$B$21,0)),0))</f>
        <v/>
      </c>
      <c r="M1264" s="85">
        <f>IF(OR($J1264="",$K1264=""),"",ROUND(($K1264-$J1264)*24-$L1264/60,2))</f>
        <v/>
      </c>
      <c r="N1264" s="16">
        <f>IF($C1264="","",IF(AND(COUNTIF(設定!$B$15:$B$21,$G1264)&gt;0,$J1264&lt;&gt;""),"假日出勤",IF(AND(COUNTIF(設定!$B$6:$B$14,$G1264)&gt;0,$J1264=""),"未打卡",IF($J1264="","",IF($O1264&gt;0,"遲到",IF($P1264&gt;0,"早退","正常"))))))</f>
        <v/>
      </c>
      <c r="O1264" s="84">
        <f>IF(OR($C1264="",$H1264="",$J1264=""),0,IF(ROUND(($J1264-$H1264)*1440,0)&gt;設定!$C$46,ROUND(($J1264-$H1264)*1440,0),0))</f>
        <v/>
      </c>
      <c r="P1264" s="84">
        <f>IF(OR($C1264="",$I1264="",$K1264=""),0,IF(ROUND(($I1264-$K1264)*1440,0)&gt;設定!$C$46,ROUND(($I1264-$K1264)*1440,0),0))</f>
        <v/>
      </c>
      <c r="Q1264" s="85">
        <f>IF($M1264="",0,IF(($M1264-IFERROR(INDEX(設定!$G$6:$G$21,MATCH($G1264,設定!$B$6:$B$21,0)),0))*60&gt;=設定!$C$44,ROUND(FLOOR(($M1264-IFERROR(INDEX(設定!$G$6:$G$21,MATCH($G1264,設定!$B$6:$B$21,0)),0))*60,設定!$C$45)/60,2),0))</f>
        <v/>
      </c>
      <c r="R1264" s="16">
        <f>IF(OR($C1264="",$Q1264=0),"",IF($G1264="國","國定假日",IF($B1264="日","例假",IF($B1264="六","休息日","平日"))))</f>
        <v/>
      </c>
      <c r="S1264" s="19" t="n"/>
    </row>
    <row r="1265">
      <c r="A1265" s="82">
        <f>IF(OR(助理班表!$A45="",23&gt;DAY(EOMONTH(DATE(設定!$C$2,設定!$D$2,1),0))),"",DATE(設定!$C$2,設定!$D$2,23))</f>
        <v/>
      </c>
      <c r="B1265" s="16">
        <f>IF($A1265="","",INDEX(設定!$O$6:$O$12,WEEKDAY($A1265,1)))</f>
        <v/>
      </c>
      <c r="C1265" s="16">
        <f>IF($A1265="","",助理班表!$A45)</f>
        <v/>
      </c>
      <c r="D1265" s="16">
        <f>IF($C1265="","",助理班表!$B45)</f>
        <v/>
      </c>
      <c r="E1265" s="16">
        <f>IF($C1265="","",助理班表!$D45)</f>
        <v/>
      </c>
      <c r="F1265" s="16">
        <f>IF($C1265="","",助理班表!$C45)</f>
        <v/>
      </c>
      <c r="G1265" s="16">
        <f>IF($C1265="","",助理班表!AA45)</f>
        <v/>
      </c>
      <c r="H1265" s="83">
        <f>IF($G1265="","",IFERROR(IF(INDEX(設定!$D$6:$D$21,MATCH($G1265,設定!$B$6:$B$21,0))=0,"",INDEX(設定!$D$6:$D$21,MATCH($G1265,設定!$B$6:$B$21,0))),""))</f>
        <v/>
      </c>
      <c r="I1265" s="83">
        <f>IF($G1265="","",IFERROR(IF(INDEX(設定!$E$6:$E$21,MATCH($G1265,設定!$B$6:$B$21,0))=0,"",INDEX(設定!$E$6:$E$21,MATCH($G1265,設定!$B$6:$B$21,0))),""))</f>
        <v/>
      </c>
      <c r="J1265" s="83">
        <f>IFERROR(INDEX(打卡匯入!$C$3:$C$2002,MATCH($C1265&amp;"|"&amp;DAY($A1265),打卡匯入!$E$3:$E$2002,0)),"")</f>
        <v/>
      </c>
      <c r="K1265" s="83">
        <f>IFERROR(INDEX(打卡匯入!$D$3:$D$2002,MATCH($C1265&amp;"|"&amp;DAY($A1265),打卡匯入!$E$3:$E$2002,0)),"")</f>
        <v/>
      </c>
      <c r="L1265" s="84">
        <f>IF(OR($J1265="",$K1265=""),"",IFERROR(INDEX(設定!$F$6:$F$21,MATCH($G1265,設定!$B$6:$B$21,0)),0))</f>
        <v/>
      </c>
      <c r="M1265" s="85">
        <f>IF(OR($J1265="",$K1265=""),"",ROUND(($K1265-$J1265)*24-$L1265/60,2))</f>
        <v/>
      </c>
      <c r="N1265" s="16">
        <f>IF($C1265="","",IF(AND(COUNTIF(設定!$B$15:$B$21,$G1265)&gt;0,$J1265&lt;&gt;""),"假日出勤",IF(AND(COUNTIF(設定!$B$6:$B$14,$G1265)&gt;0,$J1265=""),"未打卡",IF($J1265="","",IF($O1265&gt;0,"遲到",IF($P1265&gt;0,"早退","正常"))))))</f>
        <v/>
      </c>
      <c r="O1265" s="84">
        <f>IF(OR($C1265="",$H1265="",$J1265=""),0,IF(ROUND(($J1265-$H1265)*1440,0)&gt;設定!$C$46,ROUND(($J1265-$H1265)*1440,0),0))</f>
        <v/>
      </c>
      <c r="P1265" s="84">
        <f>IF(OR($C1265="",$I1265="",$K1265=""),0,IF(ROUND(($I1265-$K1265)*1440,0)&gt;設定!$C$46,ROUND(($I1265-$K1265)*1440,0),0))</f>
        <v/>
      </c>
      <c r="Q1265" s="85">
        <f>IF($M1265="",0,IF(($M1265-IFERROR(INDEX(設定!$G$6:$G$21,MATCH($G1265,設定!$B$6:$B$21,0)),0))*60&gt;=設定!$C$44,ROUND(FLOOR(($M1265-IFERROR(INDEX(設定!$G$6:$G$21,MATCH($G1265,設定!$B$6:$B$21,0)),0))*60,設定!$C$45)/60,2),0))</f>
        <v/>
      </c>
      <c r="R1265" s="16">
        <f>IF(OR($C1265="",$Q1265=0),"",IF($G1265="國","國定假日",IF($B1265="日","例假",IF($B1265="六","休息日","平日"))))</f>
        <v/>
      </c>
      <c r="S1265" s="19" t="n"/>
    </row>
    <row r="1266">
      <c r="A1266" s="82">
        <f>IF(OR(助理班表!$A45="",24&gt;DAY(EOMONTH(DATE(設定!$C$2,設定!$D$2,1),0))),"",DATE(設定!$C$2,設定!$D$2,24))</f>
        <v/>
      </c>
      <c r="B1266" s="16">
        <f>IF($A1266="","",INDEX(設定!$O$6:$O$12,WEEKDAY($A1266,1)))</f>
        <v/>
      </c>
      <c r="C1266" s="16">
        <f>IF($A1266="","",助理班表!$A45)</f>
        <v/>
      </c>
      <c r="D1266" s="16">
        <f>IF($C1266="","",助理班表!$B45)</f>
        <v/>
      </c>
      <c r="E1266" s="16">
        <f>IF($C1266="","",助理班表!$D45)</f>
        <v/>
      </c>
      <c r="F1266" s="16">
        <f>IF($C1266="","",助理班表!$C45)</f>
        <v/>
      </c>
      <c r="G1266" s="16">
        <f>IF($C1266="","",助理班表!AB45)</f>
        <v/>
      </c>
      <c r="H1266" s="83">
        <f>IF($G1266="","",IFERROR(IF(INDEX(設定!$D$6:$D$21,MATCH($G1266,設定!$B$6:$B$21,0))=0,"",INDEX(設定!$D$6:$D$21,MATCH($G1266,設定!$B$6:$B$21,0))),""))</f>
        <v/>
      </c>
      <c r="I1266" s="83">
        <f>IF($G1266="","",IFERROR(IF(INDEX(設定!$E$6:$E$21,MATCH($G1266,設定!$B$6:$B$21,0))=0,"",INDEX(設定!$E$6:$E$21,MATCH($G1266,設定!$B$6:$B$21,0))),""))</f>
        <v/>
      </c>
      <c r="J1266" s="83">
        <f>IFERROR(INDEX(打卡匯入!$C$3:$C$2002,MATCH($C1266&amp;"|"&amp;DAY($A1266),打卡匯入!$E$3:$E$2002,0)),"")</f>
        <v/>
      </c>
      <c r="K1266" s="83">
        <f>IFERROR(INDEX(打卡匯入!$D$3:$D$2002,MATCH($C1266&amp;"|"&amp;DAY($A1266),打卡匯入!$E$3:$E$2002,0)),"")</f>
        <v/>
      </c>
      <c r="L1266" s="84">
        <f>IF(OR($J1266="",$K1266=""),"",IFERROR(INDEX(設定!$F$6:$F$21,MATCH($G1266,設定!$B$6:$B$21,0)),0))</f>
        <v/>
      </c>
      <c r="M1266" s="85">
        <f>IF(OR($J1266="",$K1266=""),"",ROUND(($K1266-$J1266)*24-$L1266/60,2))</f>
        <v/>
      </c>
      <c r="N1266" s="16">
        <f>IF($C1266="","",IF(AND(COUNTIF(設定!$B$15:$B$21,$G1266)&gt;0,$J1266&lt;&gt;""),"假日出勤",IF(AND(COUNTIF(設定!$B$6:$B$14,$G1266)&gt;0,$J1266=""),"未打卡",IF($J1266="","",IF($O1266&gt;0,"遲到",IF($P1266&gt;0,"早退","正常"))))))</f>
        <v/>
      </c>
      <c r="O1266" s="84">
        <f>IF(OR($C1266="",$H1266="",$J1266=""),0,IF(ROUND(($J1266-$H1266)*1440,0)&gt;設定!$C$46,ROUND(($J1266-$H1266)*1440,0),0))</f>
        <v/>
      </c>
      <c r="P1266" s="84">
        <f>IF(OR($C1266="",$I1266="",$K1266=""),0,IF(ROUND(($I1266-$K1266)*1440,0)&gt;設定!$C$46,ROUND(($I1266-$K1266)*1440,0),0))</f>
        <v/>
      </c>
      <c r="Q1266" s="85">
        <f>IF($M1266="",0,IF(($M1266-IFERROR(INDEX(設定!$G$6:$G$21,MATCH($G1266,設定!$B$6:$B$21,0)),0))*60&gt;=設定!$C$44,ROUND(FLOOR(($M1266-IFERROR(INDEX(設定!$G$6:$G$21,MATCH($G1266,設定!$B$6:$B$21,0)),0))*60,設定!$C$45)/60,2),0))</f>
        <v/>
      </c>
      <c r="R1266" s="16">
        <f>IF(OR($C1266="",$Q1266=0),"",IF($G1266="國","國定假日",IF($B1266="日","例假",IF($B1266="六","休息日","平日"))))</f>
        <v/>
      </c>
      <c r="S1266" s="19" t="n"/>
    </row>
    <row r="1267">
      <c r="A1267" s="82">
        <f>IF(OR(助理班表!$A45="",25&gt;DAY(EOMONTH(DATE(設定!$C$2,設定!$D$2,1),0))),"",DATE(設定!$C$2,設定!$D$2,25))</f>
        <v/>
      </c>
      <c r="B1267" s="16">
        <f>IF($A1267="","",INDEX(設定!$O$6:$O$12,WEEKDAY($A1267,1)))</f>
        <v/>
      </c>
      <c r="C1267" s="16">
        <f>IF($A1267="","",助理班表!$A45)</f>
        <v/>
      </c>
      <c r="D1267" s="16">
        <f>IF($C1267="","",助理班表!$B45)</f>
        <v/>
      </c>
      <c r="E1267" s="16">
        <f>IF($C1267="","",助理班表!$D45)</f>
        <v/>
      </c>
      <c r="F1267" s="16">
        <f>IF($C1267="","",助理班表!$C45)</f>
        <v/>
      </c>
      <c r="G1267" s="16">
        <f>IF($C1267="","",助理班表!AC45)</f>
        <v/>
      </c>
      <c r="H1267" s="83">
        <f>IF($G1267="","",IFERROR(IF(INDEX(設定!$D$6:$D$21,MATCH($G1267,設定!$B$6:$B$21,0))=0,"",INDEX(設定!$D$6:$D$21,MATCH($G1267,設定!$B$6:$B$21,0))),""))</f>
        <v/>
      </c>
      <c r="I1267" s="83">
        <f>IF($G1267="","",IFERROR(IF(INDEX(設定!$E$6:$E$21,MATCH($G1267,設定!$B$6:$B$21,0))=0,"",INDEX(設定!$E$6:$E$21,MATCH($G1267,設定!$B$6:$B$21,0))),""))</f>
        <v/>
      </c>
      <c r="J1267" s="83">
        <f>IFERROR(INDEX(打卡匯入!$C$3:$C$2002,MATCH($C1267&amp;"|"&amp;DAY($A1267),打卡匯入!$E$3:$E$2002,0)),"")</f>
        <v/>
      </c>
      <c r="K1267" s="83">
        <f>IFERROR(INDEX(打卡匯入!$D$3:$D$2002,MATCH($C1267&amp;"|"&amp;DAY($A1267),打卡匯入!$E$3:$E$2002,0)),"")</f>
        <v/>
      </c>
      <c r="L1267" s="84">
        <f>IF(OR($J1267="",$K1267=""),"",IFERROR(INDEX(設定!$F$6:$F$21,MATCH($G1267,設定!$B$6:$B$21,0)),0))</f>
        <v/>
      </c>
      <c r="M1267" s="85">
        <f>IF(OR($J1267="",$K1267=""),"",ROUND(($K1267-$J1267)*24-$L1267/60,2))</f>
        <v/>
      </c>
      <c r="N1267" s="16">
        <f>IF($C1267="","",IF(AND(COUNTIF(設定!$B$15:$B$21,$G1267)&gt;0,$J1267&lt;&gt;""),"假日出勤",IF(AND(COUNTIF(設定!$B$6:$B$14,$G1267)&gt;0,$J1267=""),"未打卡",IF($J1267="","",IF($O1267&gt;0,"遲到",IF($P1267&gt;0,"早退","正常"))))))</f>
        <v/>
      </c>
      <c r="O1267" s="84">
        <f>IF(OR($C1267="",$H1267="",$J1267=""),0,IF(ROUND(($J1267-$H1267)*1440,0)&gt;設定!$C$46,ROUND(($J1267-$H1267)*1440,0),0))</f>
        <v/>
      </c>
      <c r="P1267" s="84">
        <f>IF(OR($C1267="",$I1267="",$K1267=""),0,IF(ROUND(($I1267-$K1267)*1440,0)&gt;設定!$C$46,ROUND(($I1267-$K1267)*1440,0),0))</f>
        <v/>
      </c>
      <c r="Q1267" s="85">
        <f>IF($M1267="",0,IF(($M1267-IFERROR(INDEX(設定!$G$6:$G$21,MATCH($G1267,設定!$B$6:$B$21,0)),0))*60&gt;=設定!$C$44,ROUND(FLOOR(($M1267-IFERROR(INDEX(設定!$G$6:$G$21,MATCH($G1267,設定!$B$6:$B$21,0)),0))*60,設定!$C$45)/60,2),0))</f>
        <v/>
      </c>
      <c r="R1267" s="16">
        <f>IF(OR($C1267="",$Q1267=0),"",IF($G1267="國","國定假日",IF($B1267="日","例假",IF($B1267="六","休息日","平日"))))</f>
        <v/>
      </c>
      <c r="S1267" s="19" t="n"/>
    </row>
    <row r="1268">
      <c r="A1268" s="82">
        <f>IF(OR(助理班表!$A45="",26&gt;DAY(EOMONTH(DATE(設定!$C$2,設定!$D$2,1),0))),"",DATE(設定!$C$2,設定!$D$2,26))</f>
        <v/>
      </c>
      <c r="B1268" s="16">
        <f>IF($A1268="","",INDEX(設定!$O$6:$O$12,WEEKDAY($A1268,1)))</f>
        <v/>
      </c>
      <c r="C1268" s="16">
        <f>IF($A1268="","",助理班表!$A45)</f>
        <v/>
      </c>
      <c r="D1268" s="16">
        <f>IF($C1268="","",助理班表!$B45)</f>
        <v/>
      </c>
      <c r="E1268" s="16">
        <f>IF($C1268="","",助理班表!$D45)</f>
        <v/>
      </c>
      <c r="F1268" s="16">
        <f>IF($C1268="","",助理班表!$C45)</f>
        <v/>
      </c>
      <c r="G1268" s="16">
        <f>IF($C1268="","",助理班表!AD45)</f>
        <v/>
      </c>
      <c r="H1268" s="83">
        <f>IF($G1268="","",IFERROR(IF(INDEX(設定!$D$6:$D$21,MATCH($G1268,設定!$B$6:$B$21,0))=0,"",INDEX(設定!$D$6:$D$21,MATCH($G1268,設定!$B$6:$B$21,0))),""))</f>
        <v/>
      </c>
      <c r="I1268" s="83">
        <f>IF($G1268="","",IFERROR(IF(INDEX(設定!$E$6:$E$21,MATCH($G1268,設定!$B$6:$B$21,0))=0,"",INDEX(設定!$E$6:$E$21,MATCH($G1268,設定!$B$6:$B$21,0))),""))</f>
        <v/>
      </c>
      <c r="J1268" s="83">
        <f>IFERROR(INDEX(打卡匯入!$C$3:$C$2002,MATCH($C1268&amp;"|"&amp;DAY($A1268),打卡匯入!$E$3:$E$2002,0)),"")</f>
        <v/>
      </c>
      <c r="K1268" s="83">
        <f>IFERROR(INDEX(打卡匯入!$D$3:$D$2002,MATCH($C1268&amp;"|"&amp;DAY($A1268),打卡匯入!$E$3:$E$2002,0)),"")</f>
        <v/>
      </c>
      <c r="L1268" s="84">
        <f>IF(OR($J1268="",$K1268=""),"",IFERROR(INDEX(設定!$F$6:$F$21,MATCH($G1268,設定!$B$6:$B$21,0)),0))</f>
        <v/>
      </c>
      <c r="M1268" s="85">
        <f>IF(OR($J1268="",$K1268=""),"",ROUND(($K1268-$J1268)*24-$L1268/60,2))</f>
        <v/>
      </c>
      <c r="N1268" s="16">
        <f>IF($C1268="","",IF(AND(COUNTIF(設定!$B$15:$B$21,$G1268)&gt;0,$J1268&lt;&gt;""),"假日出勤",IF(AND(COUNTIF(設定!$B$6:$B$14,$G1268)&gt;0,$J1268=""),"未打卡",IF($J1268="","",IF($O1268&gt;0,"遲到",IF($P1268&gt;0,"早退","正常"))))))</f>
        <v/>
      </c>
      <c r="O1268" s="84">
        <f>IF(OR($C1268="",$H1268="",$J1268=""),0,IF(ROUND(($J1268-$H1268)*1440,0)&gt;設定!$C$46,ROUND(($J1268-$H1268)*1440,0),0))</f>
        <v/>
      </c>
      <c r="P1268" s="84">
        <f>IF(OR($C1268="",$I1268="",$K1268=""),0,IF(ROUND(($I1268-$K1268)*1440,0)&gt;設定!$C$46,ROUND(($I1268-$K1268)*1440,0),0))</f>
        <v/>
      </c>
      <c r="Q1268" s="85">
        <f>IF($M1268="",0,IF(($M1268-IFERROR(INDEX(設定!$G$6:$G$21,MATCH($G1268,設定!$B$6:$B$21,0)),0))*60&gt;=設定!$C$44,ROUND(FLOOR(($M1268-IFERROR(INDEX(設定!$G$6:$G$21,MATCH($G1268,設定!$B$6:$B$21,0)),0))*60,設定!$C$45)/60,2),0))</f>
        <v/>
      </c>
      <c r="R1268" s="16">
        <f>IF(OR($C1268="",$Q1268=0),"",IF($G1268="國","國定假日",IF($B1268="日","例假",IF($B1268="六","休息日","平日"))))</f>
        <v/>
      </c>
      <c r="S1268" s="19" t="n"/>
    </row>
    <row r="1269">
      <c r="A1269" s="82">
        <f>IF(OR(助理班表!$A45="",27&gt;DAY(EOMONTH(DATE(設定!$C$2,設定!$D$2,1),0))),"",DATE(設定!$C$2,設定!$D$2,27))</f>
        <v/>
      </c>
      <c r="B1269" s="16">
        <f>IF($A1269="","",INDEX(設定!$O$6:$O$12,WEEKDAY($A1269,1)))</f>
        <v/>
      </c>
      <c r="C1269" s="16">
        <f>IF($A1269="","",助理班表!$A45)</f>
        <v/>
      </c>
      <c r="D1269" s="16">
        <f>IF($C1269="","",助理班表!$B45)</f>
        <v/>
      </c>
      <c r="E1269" s="16">
        <f>IF($C1269="","",助理班表!$D45)</f>
        <v/>
      </c>
      <c r="F1269" s="16">
        <f>IF($C1269="","",助理班表!$C45)</f>
        <v/>
      </c>
      <c r="G1269" s="16">
        <f>IF($C1269="","",助理班表!AE45)</f>
        <v/>
      </c>
      <c r="H1269" s="83">
        <f>IF($G1269="","",IFERROR(IF(INDEX(設定!$D$6:$D$21,MATCH($G1269,設定!$B$6:$B$21,0))=0,"",INDEX(設定!$D$6:$D$21,MATCH($G1269,設定!$B$6:$B$21,0))),""))</f>
        <v/>
      </c>
      <c r="I1269" s="83">
        <f>IF($G1269="","",IFERROR(IF(INDEX(設定!$E$6:$E$21,MATCH($G1269,設定!$B$6:$B$21,0))=0,"",INDEX(設定!$E$6:$E$21,MATCH($G1269,設定!$B$6:$B$21,0))),""))</f>
        <v/>
      </c>
      <c r="J1269" s="83">
        <f>IFERROR(INDEX(打卡匯入!$C$3:$C$2002,MATCH($C1269&amp;"|"&amp;DAY($A1269),打卡匯入!$E$3:$E$2002,0)),"")</f>
        <v/>
      </c>
      <c r="K1269" s="83">
        <f>IFERROR(INDEX(打卡匯入!$D$3:$D$2002,MATCH($C1269&amp;"|"&amp;DAY($A1269),打卡匯入!$E$3:$E$2002,0)),"")</f>
        <v/>
      </c>
      <c r="L1269" s="84">
        <f>IF(OR($J1269="",$K1269=""),"",IFERROR(INDEX(設定!$F$6:$F$21,MATCH($G1269,設定!$B$6:$B$21,0)),0))</f>
        <v/>
      </c>
      <c r="M1269" s="85">
        <f>IF(OR($J1269="",$K1269=""),"",ROUND(($K1269-$J1269)*24-$L1269/60,2))</f>
        <v/>
      </c>
      <c r="N1269" s="16">
        <f>IF($C1269="","",IF(AND(COUNTIF(設定!$B$15:$B$21,$G1269)&gt;0,$J1269&lt;&gt;""),"假日出勤",IF(AND(COUNTIF(設定!$B$6:$B$14,$G1269)&gt;0,$J1269=""),"未打卡",IF($J1269="","",IF($O1269&gt;0,"遲到",IF($P1269&gt;0,"早退","正常"))))))</f>
        <v/>
      </c>
      <c r="O1269" s="84">
        <f>IF(OR($C1269="",$H1269="",$J1269=""),0,IF(ROUND(($J1269-$H1269)*1440,0)&gt;設定!$C$46,ROUND(($J1269-$H1269)*1440,0),0))</f>
        <v/>
      </c>
      <c r="P1269" s="84">
        <f>IF(OR($C1269="",$I1269="",$K1269=""),0,IF(ROUND(($I1269-$K1269)*1440,0)&gt;設定!$C$46,ROUND(($I1269-$K1269)*1440,0),0))</f>
        <v/>
      </c>
      <c r="Q1269" s="85">
        <f>IF($M1269="",0,IF(($M1269-IFERROR(INDEX(設定!$G$6:$G$21,MATCH($G1269,設定!$B$6:$B$21,0)),0))*60&gt;=設定!$C$44,ROUND(FLOOR(($M1269-IFERROR(INDEX(設定!$G$6:$G$21,MATCH($G1269,設定!$B$6:$B$21,0)),0))*60,設定!$C$45)/60,2),0))</f>
        <v/>
      </c>
      <c r="R1269" s="16">
        <f>IF(OR($C1269="",$Q1269=0),"",IF($G1269="國","國定假日",IF($B1269="日","例假",IF($B1269="六","休息日","平日"))))</f>
        <v/>
      </c>
      <c r="S1269" s="19" t="n"/>
    </row>
    <row r="1270">
      <c r="A1270" s="82">
        <f>IF(OR(助理班表!$A45="",28&gt;DAY(EOMONTH(DATE(設定!$C$2,設定!$D$2,1),0))),"",DATE(設定!$C$2,設定!$D$2,28))</f>
        <v/>
      </c>
      <c r="B1270" s="16">
        <f>IF($A1270="","",INDEX(設定!$O$6:$O$12,WEEKDAY($A1270,1)))</f>
        <v/>
      </c>
      <c r="C1270" s="16">
        <f>IF($A1270="","",助理班表!$A45)</f>
        <v/>
      </c>
      <c r="D1270" s="16">
        <f>IF($C1270="","",助理班表!$B45)</f>
        <v/>
      </c>
      <c r="E1270" s="16">
        <f>IF($C1270="","",助理班表!$D45)</f>
        <v/>
      </c>
      <c r="F1270" s="16">
        <f>IF($C1270="","",助理班表!$C45)</f>
        <v/>
      </c>
      <c r="G1270" s="16">
        <f>IF($C1270="","",助理班表!AF45)</f>
        <v/>
      </c>
      <c r="H1270" s="83">
        <f>IF($G1270="","",IFERROR(IF(INDEX(設定!$D$6:$D$21,MATCH($G1270,設定!$B$6:$B$21,0))=0,"",INDEX(設定!$D$6:$D$21,MATCH($G1270,設定!$B$6:$B$21,0))),""))</f>
        <v/>
      </c>
      <c r="I1270" s="83">
        <f>IF($G1270="","",IFERROR(IF(INDEX(設定!$E$6:$E$21,MATCH($G1270,設定!$B$6:$B$21,0))=0,"",INDEX(設定!$E$6:$E$21,MATCH($G1270,設定!$B$6:$B$21,0))),""))</f>
        <v/>
      </c>
      <c r="J1270" s="83">
        <f>IFERROR(INDEX(打卡匯入!$C$3:$C$2002,MATCH($C1270&amp;"|"&amp;DAY($A1270),打卡匯入!$E$3:$E$2002,0)),"")</f>
        <v/>
      </c>
      <c r="K1270" s="83">
        <f>IFERROR(INDEX(打卡匯入!$D$3:$D$2002,MATCH($C1270&amp;"|"&amp;DAY($A1270),打卡匯入!$E$3:$E$2002,0)),"")</f>
        <v/>
      </c>
      <c r="L1270" s="84">
        <f>IF(OR($J1270="",$K1270=""),"",IFERROR(INDEX(設定!$F$6:$F$21,MATCH($G1270,設定!$B$6:$B$21,0)),0))</f>
        <v/>
      </c>
      <c r="M1270" s="85">
        <f>IF(OR($J1270="",$K1270=""),"",ROUND(($K1270-$J1270)*24-$L1270/60,2))</f>
        <v/>
      </c>
      <c r="N1270" s="16">
        <f>IF($C1270="","",IF(AND(COUNTIF(設定!$B$15:$B$21,$G1270)&gt;0,$J1270&lt;&gt;""),"假日出勤",IF(AND(COUNTIF(設定!$B$6:$B$14,$G1270)&gt;0,$J1270=""),"未打卡",IF($J1270="","",IF($O1270&gt;0,"遲到",IF($P1270&gt;0,"早退","正常"))))))</f>
        <v/>
      </c>
      <c r="O1270" s="84">
        <f>IF(OR($C1270="",$H1270="",$J1270=""),0,IF(ROUND(($J1270-$H1270)*1440,0)&gt;設定!$C$46,ROUND(($J1270-$H1270)*1440,0),0))</f>
        <v/>
      </c>
      <c r="P1270" s="84">
        <f>IF(OR($C1270="",$I1270="",$K1270=""),0,IF(ROUND(($I1270-$K1270)*1440,0)&gt;設定!$C$46,ROUND(($I1270-$K1270)*1440,0),0))</f>
        <v/>
      </c>
      <c r="Q1270" s="85">
        <f>IF($M1270="",0,IF(($M1270-IFERROR(INDEX(設定!$G$6:$G$21,MATCH($G1270,設定!$B$6:$B$21,0)),0))*60&gt;=設定!$C$44,ROUND(FLOOR(($M1270-IFERROR(INDEX(設定!$G$6:$G$21,MATCH($G1270,設定!$B$6:$B$21,0)),0))*60,設定!$C$45)/60,2),0))</f>
        <v/>
      </c>
      <c r="R1270" s="16">
        <f>IF(OR($C1270="",$Q1270=0),"",IF($G1270="國","國定假日",IF($B1270="日","例假",IF($B1270="六","休息日","平日"))))</f>
        <v/>
      </c>
      <c r="S1270" s="19" t="n"/>
    </row>
    <row r="1271">
      <c r="A1271" s="82">
        <f>IF(OR(助理班表!$A45="",29&gt;DAY(EOMONTH(DATE(設定!$C$2,設定!$D$2,1),0))),"",DATE(設定!$C$2,設定!$D$2,29))</f>
        <v/>
      </c>
      <c r="B1271" s="16">
        <f>IF($A1271="","",INDEX(設定!$O$6:$O$12,WEEKDAY($A1271,1)))</f>
        <v/>
      </c>
      <c r="C1271" s="16">
        <f>IF($A1271="","",助理班表!$A45)</f>
        <v/>
      </c>
      <c r="D1271" s="16">
        <f>IF($C1271="","",助理班表!$B45)</f>
        <v/>
      </c>
      <c r="E1271" s="16">
        <f>IF($C1271="","",助理班表!$D45)</f>
        <v/>
      </c>
      <c r="F1271" s="16">
        <f>IF($C1271="","",助理班表!$C45)</f>
        <v/>
      </c>
      <c r="G1271" s="16">
        <f>IF($C1271="","",助理班表!AG45)</f>
        <v/>
      </c>
      <c r="H1271" s="83">
        <f>IF($G1271="","",IFERROR(IF(INDEX(設定!$D$6:$D$21,MATCH($G1271,設定!$B$6:$B$21,0))=0,"",INDEX(設定!$D$6:$D$21,MATCH($G1271,設定!$B$6:$B$21,0))),""))</f>
        <v/>
      </c>
      <c r="I1271" s="83">
        <f>IF($G1271="","",IFERROR(IF(INDEX(設定!$E$6:$E$21,MATCH($G1271,設定!$B$6:$B$21,0))=0,"",INDEX(設定!$E$6:$E$21,MATCH($G1271,設定!$B$6:$B$21,0))),""))</f>
        <v/>
      </c>
      <c r="J1271" s="83">
        <f>IFERROR(INDEX(打卡匯入!$C$3:$C$2002,MATCH($C1271&amp;"|"&amp;DAY($A1271),打卡匯入!$E$3:$E$2002,0)),"")</f>
        <v/>
      </c>
      <c r="K1271" s="83">
        <f>IFERROR(INDEX(打卡匯入!$D$3:$D$2002,MATCH($C1271&amp;"|"&amp;DAY($A1271),打卡匯入!$E$3:$E$2002,0)),"")</f>
        <v/>
      </c>
      <c r="L1271" s="84">
        <f>IF(OR($J1271="",$K1271=""),"",IFERROR(INDEX(設定!$F$6:$F$21,MATCH($G1271,設定!$B$6:$B$21,0)),0))</f>
        <v/>
      </c>
      <c r="M1271" s="85">
        <f>IF(OR($J1271="",$K1271=""),"",ROUND(($K1271-$J1271)*24-$L1271/60,2))</f>
        <v/>
      </c>
      <c r="N1271" s="16">
        <f>IF($C1271="","",IF(AND(COUNTIF(設定!$B$15:$B$21,$G1271)&gt;0,$J1271&lt;&gt;""),"假日出勤",IF(AND(COUNTIF(設定!$B$6:$B$14,$G1271)&gt;0,$J1271=""),"未打卡",IF($J1271="","",IF($O1271&gt;0,"遲到",IF($P1271&gt;0,"早退","正常"))))))</f>
        <v/>
      </c>
      <c r="O1271" s="84">
        <f>IF(OR($C1271="",$H1271="",$J1271=""),0,IF(ROUND(($J1271-$H1271)*1440,0)&gt;設定!$C$46,ROUND(($J1271-$H1271)*1440,0),0))</f>
        <v/>
      </c>
      <c r="P1271" s="84">
        <f>IF(OR($C1271="",$I1271="",$K1271=""),0,IF(ROUND(($I1271-$K1271)*1440,0)&gt;設定!$C$46,ROUND(($I1271-$K1271)*1440,0),0))</f>
        <v/>
      </c>
      <c r="Q1271" s="85">
        <f>IF($M1271="",0,IF(($M1271-IFERROR(INDEX(設定!$G$6:$G$21,MATCH($G1271,設定!$B$6:$B$21,0)),0))*60&gt;=設定!$C$44,ROUND(FLOOR(($M1271-IFERROR(INDEX(設定!$G$6:$G$21,MATCH($G1271,設定!$B$6:$B$21,0)),0))*60,設定!$C$45)/60,2),0))</f>
        <v/>
      </c>
      <c r="R1271" s="16">
        <f>IF(OR($C1271="",$Q1271=0),"",IF($G1271="國","國定假日",IF($B1271="日","例假",IF($B1271="六","休息日","平日"))))</f>
        <v/>
      </c>
      <c r="S1271" s="19" t="n"/>
    </row>
    <row r="1272">
      <c r="A1272" s="82">
        <f>IF(OR(助理班表!$A45="",30&gt;DAY(EOMONTH(DATE(設定!$C$2,設定!$D$2,1),0))),"",DATE(設定!$C$2,設定!$D$2,30))</f>
        <v/>
      </c>
      <c r="B1272" s="16">
        <f>IF($A1272="","",INDEX(設定!$O$6:$O$12,WEEKDAY($A1272,1)))</f>
        <v/>
      </c>
      <c r="C1272" s="16">
        <f>IF($A1272="","",助理班表!$A45)</f>
        <v/>
      </c>
      <c r="D1272" s="16">
        <f>IF($C1272="","",助理班表!$B45)</f>
        <v/>
      </c>
      <c r="E1272" s="16">
        <f>IF($C1272="","",助理班表!$D45)</f>
        <v/>
      </c>
      <c r="F1272" s="16">
        <f>IF($C1272="","",助理班表!$C45)</f>
        <v/>
      </c>
      <c r="G1272" s="16">
        <f>IF($C1272="","",助理班表!AH45)</f>
        <v/>
      </c>
      <c r="H1272" s="83">
        <f>IF($G1272="","",IFERROR(IF(INDEX(設定!$D$6:$D$21,MATCH($G1272,設定!$B$6:$B$21,0))=0,"",INDEX(設定!$D$6:$D$21,MATCH($G1272,設定!$B$6:$B$21,0))),""))</f>
        <v/>
      </c>
      <c r="I1272" s="83">
        <f>IF($G1272="","",IFERROR(IF(INDEX(設定!$E$6:$E$21,MATCH($G1272,設定!$B$6:$B$21,0))=0,"",INDEX(設定!$E$6:$E$21,MATCH($G1272,設定!$B$6:$B$21,0))),""))</f>
        <v/>
      </c>
      <c r="J1272" s="83">
        <f>IFERROR(INDEX(打卡匯入!$C$3:$C$2002,MATCH($C1272&amp;"|"&amp;DAY($A1272),打卡匯入!$E$3:$E$2002,0)),"")</f>
        <v/>
      </c>
      <c r="K1272" s="83">
        <f>IFERROR(INDEX(打卡匯入!$D$3:$D$2002,MATCH($C1272&amp;"|"&amp;DAY($A1272),打卡匯入!$E$3:$E$2002,0)),"")</f>
        <v/>
      </c>
      <c r="L1272" s="84">
        <f>IF(OR($J1272="",$K1272=""),"",IFERROR(INDEX(設定!$F$6:$F$21,MATCH($G1272,設定!$B$6:$B$21,0)),0))</f>
        <v/>
      </c>
      <c r="M1272" s="85">
        <f>IF(OR($J1272="",$K1272=""),"",ROUND(($K1272-$J1272)*24-$L1272/60,2))</f>
        <v/>
      </c>
      <c r="N1272" s="16">
        <f>IF($C1272="","",IF(AND(COUNTIF(設定!$B$15:$B$21,$G1272)&gt;0,$J1272&lt;&gt;""),"假日出勤",IF(AND(COUNTIF(設定!$B$6:$B$14,$G1272)&gt;0,$J1272=""),"未打卡",IF($J1272="","",IF($O1272&gt;0,"遲到",IF($P1272&gt;0,"早退","正常"))))))</f>
        <v/>
      </c>
      <c r="O1272" s="84">
        <f>IF(OR($C1272="",$H1272="",$J1272=""),0,IF(ROUND(($J1272-$H1272)*1440,0)&gt;設定!$C$46,ROUND(($J1272-$H1272)*1440,0),0))</f>
        <v/>
      </c>
      <c r="P1272" s="84">
        <f>IF(OR($C1272="",$I1272="",$K1272=""),0,IF(ROUND(($I1272-$K1272)*1440,0)&gt;設定!$C$46,ROUND(($I1272-$K1272)*1440,0),0))</f>
        <v/>
      </c>
      <c r="Q1272" s="85">
        <f>IF($M1272="",0,IF(($M1272-IFERROR(INDEX(設定!$G$6:$G$21,MATCH($G1272,設定!$B$6:$B$21,0)),0))*60&gt;=設定!$C$44,ROUND(FLOOR(($M1272-IFERROR(INDEX(設定!$G$6:$G$21,MATCH($G1272,設定!$B$6:$B$21,0)),0))*60,設定!$C$45)/60,2),0))</f>
        <v/>
      </c>
      <c r="R1272" s="16">
        <f>IF(OR($C1272="",$Q1272=0),"",IF($G1272="國","國定假日",IF($B1272="日","例假",IF($B1272="六","休息日","平日"))))</f>
        <v/>
      </c>
      <c r="S1272" s="19" t="n"/>
    </row>
    <row r="1273">
      <c r="A1273" s="82">
        <f>IF(OR(助理班表!$A45="",31&gt;DAY(EOMONTH(DATE(設定!$C$2,設定!$D$2,1),0))),"",DATE(設定!$C$2,設定!$D$2,31))</f>
        <v/>
      </c>
      <c r="B1273" s="16">
        <f>IF($A1273="","",INDEX(設定!$O$6:$O$12,WEEKDAY($A1273,1)))</f>
        <v/>
      </c>
      <c r="C1273" s="16">
        <f>IF($A1273="","",助理班表!$A45)</f>
        <v/>
      </c>
      <c r="D1273" s="16">
        <f>IF($C1273="","",助理班表!$B45)</f>
        <v/>
      </c>
      <c r="E1273" s="16">
        <f>IF($C1273="","",助理班表!$D45)</f>
        <v/>
      </c>
      <c r="F1273" s="16">
        <f>IF($C1273="","",助理班表!$C45)</f>
        <v/>
      </c>
      <c r="G1273" s="16">
        <f>IF($C1273="","",助理班表!AI45)</f>
        <v/>
      </c>
      <c r="H1273" s="83">
        <f>IF($G1273="","",IFERROR(IF(INDEX(設定!$D$6:$D$21,MATCH($G1273,設定!$B$6:$B$21,0))=0,"",INDEX(設定!$D$6:$D$21,MATCH($G1273,設定!$B$6:$B$21,0))),""))</f>
        <v/>
      </c>
      <c r="I1273" s="83">
        <f>IF($G1273="","",IFERROR(IF(INDEX(設定!$E$6:$E$21,MATCH($G1273,設定!$B$6:$B$21,0))=0,"",INDEX(設定!$E$6:$E$21,MATCH($G1273,設定!$B$6:$B$21,0))),""))</f>
        <v/>
      </c>
      <c r="J1273" s="83">
        <f>IFERROR(INDEX(打卡匯入!$C$3:$C$2002,MATCH($C1273&amp;"|"&amp;DAY($A1273),打卡匯入!$E$3:$E$2002,0)),"")</f>
        <v/>
      </c>
      <c r="K1273" s="83">
        <f>IFERROR(INDEX(打卡匯入!$D$3:$D$2002,MATCH($C1273&amp;"|"&amp;DAY($A1273),打卡匯入!$E$3:$E$2002,0)),"")</f>
        <v/>
      </c>
      <c r="L1273" s="84">
        <f>IF(OR($J1273="",$K1273=""),"",IFERROR(INDEX(設定!$F$6:$F$21,MATCH($G1273,設定!$B$6:$B$21,0)),0))</f>
        <v/>
      </c>
      <c r="M1273" s="85">
        <f>IF(OR($J1273="",$K1273=""),"",ROUND(($K1273-$J1273)*24-$L1273/60,2))</f>
        <v/>
      </c>
      <c r="N1273" s="16">
        <f>IF($C1273="","",IF(AND(COUNTIF(設定!$B$15:$B$21,$G1273)&gt;0,$J1273&lt;&gt;""),"假日出勤",IF(AND(COUNTIF(設定!$B$6:$B$14,$G1273)&gt;0,$J1273=""),"未打卡",IF($J1273="","",IF($O1273&gt;0,"遲到",IF($P1273&gt;0,"早退","正常"))))))</f>
        <v/>
      </c>
      <c r="O1273" s="84">
        <f>IF(OR($C1273="",$H1273="",$J1273=""),0,IF(ROUND(($J1273-$H1273)*1440,0)&gt;設定!$C$46,ROUND(($J1273-$H1273)*1440,0),0))</f>
        <v/>
      </c>
      <c r="P1273" s="84">
        <f>IF(OR($C1273="",$I1273="",$K1273=""),0,IF(ROUND(($I1273-$K1273)*1440,0)&gt;設定!$C$46,ROUND(($I1273-$K1273)*1440,0),0))</f>
        <v/>
      </c>
      <c r="Q1273" s="85">
        <f>IF($M1273="",0,IF(($M1273-IFERROR(INDEX(設定!$G$6:$G$21,MATCH($G1273,設定!$B$6:$B$21,0)),0))*60&gt;=設定!$C$44,ROUND(FLOOR(($M1273-IFERROR(INDEX(設定!$G$6:$G$21,MATCH($G1273,設定!$B$6:$B$21,0)),0))*60,設定!$C$45)/60,2),0))</f>
        <v/>
      </c>
      <c r="R1273" s="16">
        <f>IF(OR($C1273="",$Q1273=0),"",IF($G1273="國","國定假日",IF($B1273="日","例假",IF($B1273="六","休息日","平日"))))</f>
        <v/>
      </c>
      <c r="S1273" s="19" t="n"/>
    </row>
    <row r="1274">
      <c r="A1274" s="82">
        <f>IF(OR(助理班表!$A46="",1&gt;DAY(EOMONTH(DATE(設定!$C$2,設定!$D$2,1),0))),"",DATE(設定!$C$2,設定!$D$2,1))</f>
        <v/>
      </c>
      <c r="B1274" s="16">
        <f>IF($A1274="","",INDEX(設定!$O$6:$O$12,WEEKDAY($A1274,1)))</f>
        <v/>
      </c>
      <c r="C1274" s="16">
        <f>IF($A1274="","",助理班表!$A46)</f>
        <v/>
      </c>
      <c r="D1274" s="16">
        <f>IF($C1274="","",助理班表!$B46)</f>
        <v/>
      </c>
      <c r="E1274" s="16">
        <f>IF($C1274="","",助理班表!$D46)</f>
        <v/>
      </c>
      <c r="F1274" s="16">
        <f>IF($C1274="","",助理班表!$C46)</f>
        <v/>
      </c>
      <c r="G1274" s="16">
        <f>IF($C1274="","",助理班表!E46)</f>
        <v/>
      </c>
      <c r="H1274" s="83">
        <f>IF($G1274="","",IFERROR(IF(INDEX(設定!$D$6:$D$21,MATCH($G1274,設定!$B$6:$B$21,0))=0,"",INDEX(設定!$D$6:$D$21,MATCH($G1274,設定!$B$6:$B$21,0))),""))</f>
        <v/>
      </c>
      <c r="I1274" s="83">
        <f>IF($G1274="","",IFERROR(IF(INDEX(設定!$E$6:$E$21,MATCH($G1274,設定!$B$6:$B$21,0))=0,"",INDEX(設定!$E$6:$E$21,MATCH($G1274,設定!$B$6:$B$21,0))),""))</f>
        <v/>
      </c>
      <c r="J1274" s="83">
        <f>IFERROR(INDEX(打卡匯入!$C$3:$C$2002,MATCH($C1274&amp;"|"&amp;DAY($A1274),打卡匯入!$E$3:$E$2002,0)),"")</f>
        <v/>
      </c>
      <c r="K1274" s="83">
        <f>IFERROR(INDEX(打卡匯入!$D$3:$D$2002,MATCH($C1274&amp;"|"&amp;DAY($A1274),打卡匯入!$E$3:$E$2002,0)),"")</f>
        <v/>
      </c>
      <c r="L1274" s="84">
        <f>IF(OR($J1274="",$K1274=""),"",IFERROR(INDEX(設定!$F$6:$F$21,MATCH($G1274,設定!$B$6:$B$21,0)),0))</f>
        <v/>
      </c>
      <c r="M1274" s="85">
        <f>IF(OR($J1274="",$K1274=""),"",ROUND(($K1274-$J1274)*24-$L1274/60,2))</f>
        <v/>
      </c>
      <c r="N1274" s="16">
        <f>IF($C1274="","",IF(AND(COUNTIF(設定!$B$15:$B$21,$G1274)&gt;0,$J1274&lt;&gt;""),"假日出勤",IF(AND(COUNTIF(設定!$B$6:$B$14,$G1274)&gt;0,$J1274=""),"未打卡",IF($J1274="","",IF($O1274&gt;0,"遲到",IF($P1274&gt;0,"早退","正常"))))))</f>
        <v/>
      </c>
      <c r="O1274" s="84">
        <f>IF(OR($C1274="",$H1274="",$J1274=""),0,IF(ROUND(($J1274-$H1274)*1440,0)&gt;設定!$C$46,ROUND(($J1274-$H1274)*1440,0),0))</f>
        <v/>
      </c>
      <c r="P1274" s="84">
        <f>IF(OR($C1274="",$I1274="",$K1274=""),0,IF(ROUND(($I1274-$K1274)*1440,0)&gt;設定!$C$46,ROUND(($I1274-$K1274)*1440,0),0))</f>
        <v/>
      </c>
      <c r="Q1274" s="85">
        <f>IF($M1274="",0,IF(($M1274-IFERROR(INDEX(設定!$G$6:$G$21,MATCH($G1274,設定!$B$6:$B$21,0)),0))*60&gt;=設定!$C$44,ROUND(FLOOR(($M1274-IFERROR(INDEX(設定!$G$6:$G$21,MATCH($G1274,設定!$B$6:$B$21,0)),0))*60,設定!$C$45)/60,2),0))</f>
        <v/>
      </c>
      <c r="R1274" s="16">
        <f>IF(OR($C1274="",$Q1274=0),"",IF($G1274="國","國定假日",IF($B1274="日","例假",IF($B1274="六","休息日","平日"))))</f>
        <v/>
      </c>
      <c r="S1274" s="19" t="n"/>
    </row>
    <row r="1275">
      <c r="A1275" s="82">
        <f>IF(OR(助理班表!$A46="",2&gt;DAY(EOMONTH(DATE(設定!$C$2,設定!$D$2,1),0))),"",DATE(設定!$C$2,設定!$D$2,2))</f>
        <v/>
      </c>
      <c r="B1275" s="16">
        <f>IF($A1275="","",INDEX(設定!$O$6:$O$12,WEEKDAY($A1275,1)))</f>
        <v/>
      </c>
      <c r="C1275" s="16">
        <f>IF($A1275="","",助理班表!$A46)</f>
        <v/>
      </c>
      <c r="D1275" s="16">
        <f>IF($C1275="","",助理班表!$B46)</f>
        <v/>
      </c>
      <c r="E1275" s="16">
        <f>IF($C1275="","",助理班表!$D46)</f>
        <v/>
      </c>
      <c r="F1275" s="16">
        <f>IF($C1275="","",助理班表!$C46)</f>
        <v/>
      </c>
      <c r="G1275" s="16">
        <f>IF($C1275="","",助理班表!F46)</f>
        <v/>
      </c>
      <c r="H1275" s="83">
        <f>IF($G1275="","",IFERROR(IF(INDEX(設定!$D$6:$D$21,MATCH($G1275,設定!$B$6:$B$21,0))=0,"",INDEX(設定!$D$6:$D$21,MATCH($G1275,設定!$B$6:$B$21,0))),""))</f>
        <v/>
      </c>
      <c r="I1275" s="83">
        <f>IF($G1275="","",IFERROR(IF(INDEX(設定!$E$6:$E$21,MATCH($G1275,設定!$B$6:$B$21,0))=0,"",INDEX(設定!$E$6:$E$21,MATCH($G1275,設定!$B$6:$B$21,0))),""))</f>
        <v/>
      </c>
      <c r="J1275" s="83">
        <f>IFERROR(INDEX(打卡匯入!$C$3:$C$2002,MATCH($C1275&amp;"|"&amp;DAY($A1275),打卡匯入!$E$3:$E$2002,0)),"")</f>
        <v/>
      </c>
      <c r="K1275" s="83">
        <f>IFERROR(INDEX(打卡匯入!$D$3:$D$2002,MATCH($C1275&amp;"|"&amp;DAY($A1275),打卡匯入!$E$3:$E$2002,0)),"")</f>
        <v/>
      </c>
      <c r="L1275" s="84">
        <f>IF(OR($J1275="",$K1275=""),"",IFERROR(INDEX(設定!$F$6:$F$21,MATCH($G1275,設定!$B$6:$B$21,0)),0))</f>
        <v/>
      </c>
      <c r="M1275" s="85">
        <f>IF(OR($J1275="",$K1275=""),"",ROUND(($K1275-$J1275)*24-$L1275/60,2))</f>
        <v/>
      </c>
      <c r="N1275" s="16">
        <f>IF($C1275="","",IF(AND(COUNTIF(設定!$B$15:$B$21,$G1275)&gt;0,$J1275&lt;&gt;""),"假日出勤",IF(AND(COUNTIF(設定!$B$6:$B$14,$G1275)&gt;0,$J1275=""),"未打卡",IF($J1275="","",IF($O1275&gt;0,"遲到",IF($P1275&gt;0,"早退","正常"))))))</f>
        <v/>
      </c>
      <c r="O1275" s="84">
        <f>IF(OR($C1275="",$H1275="",$J1275=""),0,IF(ROUND(($J1275-$H1275)*1440,0)&gt;設定!$C$46,ROUND(($J1275-$H1275)*1440,0),0))</f>
        <v/>
      </c>
      <c r="P1275" s="84">
        <f>IF(OR($C1275="",$I1275="",$K1275=""),0,IF(ROUND(($I1275-$K1275)*1440,0)&gt;設定!$C$46,ROUND(($I1275-$K1275)*1440,0),0))</f>
        <v/>
      </c>
      <c r="Q1275" s="85">
        <f>IF($M1275="",0,IF(($M1275-IFERROR(INDEX(設定!$G$6:$G$21,MATCH($G1275,設定!$B$6:$B$21,0)),0))*60&gt;=設定!$C$44,ROUND(FLOOR(($M1275-IFERROR(INDEX(設定!$G$6:$G$21,MATCH($G1275,設定!$B$6:$B$21,0)),0))*60,設定!$C$45)/60,2),0))</f>
        <v/>
      </c>
      <c r="R1275" s="16">
        <f>IF(OR($C1275="",$Q1275=0),"",IF($G1275="國","國定假日",IF($B1275="日","例假",IF($B1275="六","休息日","平日"))))</f>
        <v/>
      </c>
      <c r="S1275" s="19" t="n"/>
    </row>
    <row r="1276">
      <c r="A1276" s="82">
        <f>IF(OR(助理班表!$A46="",3&gt;DAY(EOMONTH(DATE(設定!$C$2,設定!$D$2,1),0))),"",DATE(設定!$C$2,設定!$D$2,3))</f>
        <v/>
      </c>
      <c r="B1276" s="16">
        <f>IF($A1276="","",INDEX(設定!$O$6:$O$12,WEEKDAY($A1276,1)))</f>
        <v/>
      </c>
      <c r="C1276" s="16">
        <f>IF($A1276="","",助理班表!$A46)</f>
        <v/>
      </c>
      <c r="D1276" s="16">
        <f>IF($C1276="","",助理班表!$B46)</f>
        <v/>
      </c>
      <c r="E1276" s="16">
        <f>IF($C1276="","",助理班表!$D46)</f>
        <v/>
      </c>
      <c r="F1276" s="16">
        <f>IF($C1276="","",助理班表!$C46)</f>
        <v/>
      </c>
      <c r="G1276" s="16">
        <f>IF($C1276="","",助理班表!G46)</f>
        <v/>
      </c>
      <c r="H1276" s="83">
        <f>IF($G1276="","",IFERROR(IF(INDEX(設定!$D$6:$D$21,MATCH($G1276,設定!$B$6:$B$21,0))=0,"",INDEX(設定!$D$6:$D$21,MATCH($G1276,設定!$B$6:$B$21,0))),""))</f>
        <v/>
      </c>
      <c r="I1276" s="83">
        <f>IF($G1276="","",IFERROR(IF(INDEX(設定!$E$6:$E$21,MATCH($G1276,設定!$B$6:$B$21,0))=0,"",INDEX(設定!$E$6:$E$21,MATCH($G1276,設定!$B$6:$B$21,0))),""))</f>
        <v/>
      </c>
      <c r="J1276" s="83">
        <f>IFERROR(INDEX(打卡匯入!$C$3:$C$2002,MATCH($C1276&amp;"|"&amp;DAY($A1276),打卡匯入!$E$3:$E$2002,0)),"")</f>
        <v/>
      </c>
      <c r="K1276" s="83">
        <f>IFERROR(INDEX(打卡匯入!$D$3:$D$2002,MATCH($C1276&amp;"|"&amp;DAY($A1276),打卡匯入!$E$3:$E$2002,0)),"")</f>
        <v/>
      </c>
      <c r="L1276" s="84">
        <f>IF(OR($J1276="",$K1276=""),"",IFERROR(INDEX(設定!$F$6:$F$21,MATCH($G1276,設定!$B$6:$B$21,0)),0))</f>
        <v/>
      </c>
      <c r="M1276" s="85">
        <f>IF(OR($J1276="",$K1276=""),"",ROUND(($K1276-$J1276)*24-$L1276/60,2))</f>
        <v/>
      </c>
      <c r="N1276" s="16">
        <f>IF($C1276="","",IF(AND(COUNTIF(設定!$B$15:$B$21,$G1276)&gt;0,$J1276&lt;&gt;""),"假日出勤",IF(AND(COUNTIF(設定!$B$6:$B$14,$G1276)&gt;0,$J1276=""),"未打卡",IF($J1276="","",IF($O1276&gt;0,"遲到",IF($P1276&gt;0,"早退","正常"))))))</f>
        <v/>
      </c>
      <c r="O1276" s="84">
        <f>IF(OR($C1276="",$H1276="",$J1276=""),0,IF(ROUND(($J1276-$H1276)*1440,0)&gt;設定!$C$46,ROUND(($J1276-$H1276)*1440,0),0))</f>
        <v/>
      </c>
      <c r="P1276" s="84">
        <f>IF(OR($C1276="",$I1276="",$K1276=""),0,IF(ROUND(($I1276-$K1276)*1440,0)&gt;設定!$C$46,ROUND(($I1276-$K1276)*1440,0),0))</f>
        <v/>
      </c>
      <c r="Q1276" s="85">
        <f>IF($M1276="",0,IF(($M1276-IFERROR(INDEX(設定!$G$6:$G$21,MATCH($G1276,設定!$B$6:$B$21,0)),0))*60&gt;=設定!$C$44,ROUND(FLOOR(($M1276-IFERROR(INDEX(設定!$G$6:$G$21,MATCH($G1276,設定!$B$6:$B$21,0)),0))*60,設定!$C$45)/60,2),0))</f>
        <v/>
      </c>
      <c r="R1276" s="16">
        <f>IF(OR($C1276="",$Q1276=0),"",IF($G1276="國","國定假日",IF($B1276="日","例假",IF($B1276="六","休息日","平日"))))</f>
        <v/>
      </c>
      <c r="S1276" s="19" t="n"/>
    </row>
    <row r="1277">
      <c r="A1277" s="82">
        <f>IF(OR(助理班表!$A46="",4&gt;DAY(EOMONTH(DATE(設定!$C$2,設定!$D$2,1),0))),"",DATE(設定!$C$2,設定!$D$2,4))</f>
        <v/>
      </c>
      <c r="B1277" s="16">
        <f>IF($A1277="","",INDEX(設定!$O$6:$O$12,WEEKDAY($A1277,1)))</f>
        <v/>
      </c>
      <c r="C1277" s="16">
        <f>IF($A1277="","",助理班表!$A46)</f>
        <v/>
      </c>
      <c r="D1277" s="16">
        <f>IF($C1277="","",助理班表!$B46)</f>
        <v/>
      </c>
      <c r="E1277" s="16">
        <f>IF($C1277="","",助理班表!$D46)</f>
        <v/>
      </c>
      <c r="F1277" s="16">
        <f>IF($C1277="","",助理班表!$C46)</f>
        <v/>
      </c>
      <c r="G1277" s="16">
        <f>IF($C1277="","",助理班表!H46)</f>
        <v/>
      </c>
      <c r="H1277" s="83">
        <f>IF($G1277="","",IFERROR(IF(INDEX(設定!$D$6:$D$21,MATCH($G1277,設定!$B$6:$B$21,0))=0,"",INDEX(設定!$D$6:$D$21,MATCH($G1277,設定!$B$6:$B$21,0))),""))</f>
        <v/>
      </c>
      <c r="I1277" s="83">
        <f>IF($G1277="","",IFERROR(IF(INDEX(設定!$E$6:$E$21,MATCH($G1277,設定!$B$6:$B$21,0))=0,"",INDEX(設定!$E$6:$E$21,MATCH($G1277,設定!$B$6:$B$21,0))),""))</f>
        <v/>
      </c>
      <c r="J1277" s="83">
        <f>IFERROR(INDEX(打卡匯入!$C$3:$C$2002,MATCH($C1277&amp;"|"&amp;DAY($A1277),打卡匯入!$E$3:$E$2002,0)),"")</f>
        <v/>
      </c>
      <c r="K1277" s="83">
        <f>IFERROR(INDEX(打卡匯入!$D$3:$D$2002,MATCH($C1277&amp;"|"&amp;DAY($A1277),打卡匯入!$E$3:$E$2002,0)),"")</f>
        <v/>
      </c>
      <c r="L1277" s="84">
        <f>IF(OR($J1277="",$K1277=""),"",IFERROR(INDEX(設定!$F$6:$F$21,MATCH($G1277,設定!$B$6:$B$21,0)),0))</f>
        <v/>
      </c>
      <c r="M1277" s="85">
        <f>IF(OR($J1277="",$K1277=""),"",ROUND(($K1277-$J1277)*24-$L1277/60,2))</f>
        <v/>
      </c>
      <c r="N1277" s="16">
        <f>IF($C1277="","",IF(AND(COUNTIF(設定!$B$15:$B$21,$G1277)&gt;0,$J1277&lt;&gt;""),"假日出勤",IF(AND(COUNTIF(設定!$B$6:$B$14,$G1277)&gt;0,$J1277=""),"未打卡",IF($J1277="","",IF($O1277&gt;0,"遲到",IF($P1277&gt;0,"早退","正常"))))))</f>
        <v/>
      </c>
      <c r="O1277" s="84">
        <f>IF(OR($C1277="",$H1277="",$J1277=""),0,IF(ROUND(($J1277-$H1277)*1440,0)&gt;設定!$C$46,ROUND(($J1277-$H1277)*1440,0),0))</f>
        <v/>
      </c>
      <c r="P1277" s="84">
        <f>IF(OR($C1277="",$I1277="",$K1277=""),0,IF(ROUND(($I1277-$K1277)*1440,0)&gt;設定!$C$46,ROUND(($I1277-$K1277)*1440,0),0))</f>
        <v/>
      </c>
      <c r="Q1277" s="85">
        <f>IF($M1277="",0,IF(($M1277-IFERROR(INDEX(設定!$G$6:$G$21,MATCH($G1277,設定!$B$6:$B$21,0)),0))*60&gt;=設定!$C$44,ROUND(FLOOR(($M1277-IFERROR(INDEX(設定!$G$6:$G$21,MATCH($G1277,設定!$B$6:$B$21,0)),0))*60,設定!$C$45)/60,2),0))</f>
        <v/>
      </c>
      <c r="R1277" s="16">
        <f>IF(OR($C1277="",$Q1277=0),"",IF($G1277="國","國定假日",IF($B1277="日","例假",IF($B1277="六","休息日","平日"))))</f>
        <v/>
      </c>
      <c r="S1277" s="19" t="n"/>
    </row>
    <row r="1278">
      <c r="A1278" s="82">
        <f>IF(OR(助理班表!$A46="",5&gt;DAY(EOMONTH(DATE(設定!$C$2,設定!$D$2,1),0))),"",DATE(設定!$C$2,設定!$D$2,5))</f>
        <v/>
      </c>
      <c r="B1278" s="16">
        <f>IF($A1278="","",INDEX(設定!$O$6:$O$12,WEEKDAY($A1278,1)))</f>
        <v/>
      </c>
      <c r="C1278" s="16">
        <f>IF($A1278="","",助理班表!$A46)</f>
        <v/>
      </c>
      <c r="D1278" s="16">
        <f>IF($C1278="","",助理班表!$B46)</f>
        <v/>
      </c>
      <c r="E1278" s="16">
        <f>IF($C1278="","",助理班表!$D46)</f>
        <v/>
      </c>
      <c r="F1278" s="16">
        <f>IF($C1278="","",助理班表!$C46)</f>
        <v/>
      </c>
      <c r="G1278" s="16">
        <f>IF($C1278="","",助理班表!I46)</f>
        <v/>
      </c>
      <c r="H1278" s="83">
        <f>IF($G1278="","",IFERROR(IF(INDEX(設定!$D$6:$D$21,MATCH($G1278,設定!$B$6:$B$21,0))=0,"",INDEX(設定!$D$6:$D$21,MATCH($G1278,設定!$B$6:$B$21,0))),""))</f>
        <v/>
      </c>
      <c r="I1278" s="83">
        <f>IF($G1278="","",IFERROR(IF(INDEX(設定!$E$6:$E$21,MATCH($G1278,設定!$B$6:$B$21,0))=0,"",INDEX(設定!$E$6:$E$21,MATCH($G1278,設定!$B$6:$B$21,0))),""))</f>
        <v/>
      </c>
      <c r="J1278" s="83">
        <f>IFERROR(INDEX(打卡匯入!$C$3:$C$2002,MATCH($C1278&amp;"|"&amp;DAY($A1278),打卡匯入!$E$3:$E$2002,0)),"")</f>
        <v/>
      </c>
      <c r="K1278" s="83">
        <f>IFERROR(INDEX(打卡匯入!$D$3:$D$2002,MATCH($C1278&amp;"|"&amp;DAY($A1278),打卡匯入!$E$3:$E$2002,0)),"")</f>
        <v/>
      </c>
      <c r="L1278" s="84">
        <f>IF(OR($J1278="",$K1278=""),"",IFERROR(INDEX(設定!$F$6:$F$21,MATCH($G1278,設定!$B$6:$B$21,0)),0))</f>
        <v/>
      </c>
      <c r="M1278" s="85">
        <f>IF(OR($J1278="",$K1278=""),"",ROUND(($K1278-$J1278)*24-$L1278/60,2))</f>
        <v/>
      </c>
      <c r="N1278" s="16">
        <f>IF($C1278="","",IF(AND(COUNTIF(設定!$B$15:$B$21,$G1278)&gt;0,$J1278&lt;&gt;""),"假日出勤",IF(AND(COUNTIF(設定!$B$6:$B$14,$G1278)&gt;0,$J1278=""),"未打卡",IF($J1278="","",IF($O1278&gt;0,"遲到",IF($P1278&gt;0,"早退","正常"))))))</f>
        <v/>
      </c>
      <c r="O1278" s="84">
        <f>IF(OR($C1278="",$H1278="",$J1278=""),0,IF(ROUND(($J1278-$H1278)*1440,0)&gt;設定!$C$46,ROUND(($J1278-$H1278)*1440,0),0))</f>
        <v/>
      </c>
      <c r="P1278" s="84">
        <f>IF(OR($C1278="",$I1278="",$K1278=""),0,IF(ROUND(($I1278-$K1278)*1440,0)&gt;設定!$C$46,ROUND(($I1278-$K1278)*1440,0),0))</f>
        <v/>
      </c>
      <c r="Q1278" s="85">
        <f>IF($M1278="",0,IF(($M1278-IFERROR(INDEX(設定!$G$6:$G$21,MATCH($G1278,設定!$B$6:$B$21,0)),0))*60&gt;=設定!$C$44,ROUND(FLOOR(($M1278-IFERROR(INDEX(設定!$G$6:$G$21,MATCH($G1278,設定!$B$6:$B$21,0)),0))*60,設定!$C$45)/60,2),0))</f>
        <v/>
      </c>
      <c r="R1278" s="16">
        <f>IF(OR($C1278="",$Q1278=0),"",IF($G1278="國","國定假日",IF($B1278="日","例假",IF($B1278="六","休息日","平日"))))</f>
        <v/>
      </c>
      <c r="S1278" s="19" t="n"/>
    </row>
    <row r="1279">
      <c r="A1279" s="82">
        <f>IF(OR(助理班表!$A46="",6&gt;DAY(EOMONTH(DATE(設定!$C$2,設定!$D$2,1),0))),"",DATE(設定!$C$2,設定!$D$2,6))</f>
        <v/>
      </c>
      <c r="B1279" s="16">
        <f>IF($A1279="","",INDEX(設定!$O$6:$O$12,WEEKDAY($A1279,1)))</f>
        <v/>
      </c>
      <c r="C1279" s="16">
        <f>IF($A1279="","",助理班表!$A46)</f>
        <v/>
      </c>
      <c r="D1279" s="16">
        <f>IF($C1279="","",助理班表!$B46)</f>
        <v/>
      </c>
      <c r="E1279" s="16">
        <f>IF($C1279="","",助理班表!$D46)</f>
        <v/>
      </c>
      <c r="F1279" s="16">
        <f>IF($C1279="","",助理班表!$C46)</f>
        <v/>
      </c>
      <c r="G1279" s="16">
        <f>IF($C1279="","",助理班表!J46)</f>
        <v/>
      </c>
      <c r="H1279" s="83">
        <f>IF($G1279="","",IFERROR(IF(INDEX(設定!$D$6:$D$21,MATCH($G1279,設定!$B$6:$B$21,0))=0,"",INDEX(設定!$D$6:$D$21,MATCH($G1279,設定!$B$6:$B$21,0))),""))</f>
        <v/>
      </c>
      <c r="I1279" s="83">
        <f>IF($G1279="","",IFERROR(IF(INDEX(設定!$E$6:$E$21,MATCH($G1279,設定!$B$6:$B$21,0))=0,"",INDEX(設定!$E$6:$E$21,MATCH($G1279,設定!$B$6:$B$21,0))),""))</f>
        <v/>
      </c>
      <c r="J1279" s="83">
        <f>IFERROR(INDEX(打卡匯入!$C$3:$C$2002,MATCH($C1279&amp;"|"&amp;DAY($A1279),打卡匯入!$E$3:$E$2002,0)),"")</f>
        <v/>
      </c>
      <c r="K1279" s="83">
        <f>IFERROR(INDEX(打卡匯入!$D$3:$D$2002,MATCH($C1279&amp;"|"&amp;DAY($A1279),打卡匯入!$E$3:$E$2002,0)),"")</f>
        <v/>
      </c>
      <c r="L1279" s="84">
        <f>IF(OR($J1279="",$K1279=""),"",IFERROR(INDEX(設定!$F$6:$F$21,MATCH($G1279,設定!$B$6:$B$21,0)),0))</f>
        <v/>
      </c>
      <c r="M1279" s="85">
        <f>IF(OR($J1279="",$K1279=""),"",ROUND(($K1279-$J1279)*24-$L1279/60,2))</f>
        <v/>
      </c>
      <c r="N1279" s="16">
        <f>IF($C1279="","",IF(AND(COUNTIF(設定!$B$15:$B$21,$G1279)&gt;0,$J1279&lt;&gt;""),"假日出勤",IF(AND(COUNTIF(設定!$B$6:$B$14,$G1279)&gt;0,$J1279=""),"未打卡",IF($J1279="","",IF($O1279&gt;0,"遲到",IF($P1279&gt;0,"早退","正常"))))))</f>
        <v/>
      </c>
      <c r="O1279" s="84">
        <f>IF(OR($C1279="",$H1279="",$J1279=""),0,IF(ROUND(($J1279-$H1279)*1440,0)&gt;設定!$C$46,ROUND(($J1279-$H1279)*1440,0),0))</f>
        <v/>
      </c>
      <c r="P1279" s="84">
        <f>IF(OR($C1279="",$I1279="",$K1279=""),0,IF(ROUND(($I1279-$K1279)*1440,0)&gt;設定!$C$46,ROUND(($I1279-$K1279)*1440,0),0))</f>
        <v/>
      </c>
      <c r="Q1279" s="85">
        <f>IF($M1279="",0,IF(($M1279-IFERROR(INDEX(設定!$G$6:$G$21,MATCH($G1279,設定!$B$6:$B$21,0)),0))*60&gt;=設定!$C$44,ROUND(FLOOR(($M1279-IFERROR(INDEX(設定!$G$6:$G$21,MATCH($G1279,設定!$B$6:$B$21,0)),0))*60,設定!$C$45)/60,2),0))</f>
        <v/>
      </c>
      <c r="R1279" s="16">
        <f>IF(OR($C1279="",$Q1279=0),"",IF($G1279="國","國定假日",IF($B1279="日","例假",IF($B1279="六","休息日","平日"))))</f>
        <v/>
      </c>
      <c r="S1279" s="19" t="n"/>
    </row>
    <row r="1280">
      <c r="A1280" s="82">
        <f>IF(OR(助理班表!$A46="",7&gt;DAY(EOMONTH(DATE(設定!$C$2,設定!$D$2,1),0))),"",DATE(設定!$C$2,設定!$D$2,7))</f>
        <v/>
      </c>
      <c r="B1280" s="16">
        <f>IF($A1280="","",INDEX(設定!$O$6:$O$12,WEEKDAY($A1280,1)))</f>
        <v/>
      </c>
      <c r="C1280" s="16">
        <f>IF($A1280="","",助理班表!$A46)</f>
        <v/>
      </c>
      <c r="D1280" s="16">
        <f>IF($C1280="","",助理班表!$B46)</f>
        <v/>
      </c>
      <c r="E1280" s="16">
        <f>IF($C1280="","",助理班表!$D46)</f>
        <v/>
      </c>
      <c r="F1280" s="16">
        <f>IF($C1280="","",助理班表!$C46)</f>
        <v/>
      </c>
      <c r="G1280" s="16">
        <f>IF($C1280="","",助理班表!K46)</f>
        <v/>
      </c>
      <c r="H1280" s="83">
        <f>IF($G1280="","",IFERROR(IF(INDEX(設定!$D$6:$D$21,MATCH($G1280,設定!$B$6:$B$21,0))=0,"",INDEX(設定!$D$6:$D$21,MATCH($G1280,設定!$B$6:$B$21,0))),""))</f>
        <v/>
      </c>
      <c r="I1280" s="83">
        <f>IF($G1280="","",IFERROR(IF(INDEX(設定!$E$6:$E$21,MATCH($G1280,設定!$B$6:$B$21,0))=0,"",INDEX(設定!$E$6:$E$21,MATCH($G1280,設定!$B$6:$B$21,0))),""))</f>
        <v/>
      </c>
      <c r="J1280" s="83">
        <f>IFERROR(INDEX(打卡匯入!$C$3:$C$2002,MATCH($C1280&amp;"|"&amp;DAY($A1280),打卡匯入!$E$3:$E$2002,0)),"")</f>
        <v/>
      </c>
      <c r="K1280" s="83">
        <f>IFERROR(INDEX(打卡匯入!$D$3:$D$2002,MATCH($C1280&amp;"|"&amp;DAY($A1280),打卡匯入!$E$3:$E$2002,0)),"")</f>
        <v/>
      </c>
      <c r="L1280" s="84">
        <f>IF(OR($J1280="",$K1280=""),"",IFERROR(INDEX(設定!$F$6:$F$21,MATCH($G1280,設定!$B$6:$B$21,0)),0))</f>
        <v/>
      </c>
      <c r="M1280" s="85">
        <f>IF(OR($J1280="",$K1280=""),"",ROUND(($K1280-$J1280)*24-$L1280/60,2))</f>
        <v/>
      </c>
      <c r="N1280" s="16">
        <f>IF($C1280="","",IF(AND(COUNTIF(設定!$B$15:$B$21,$G1280)&gt;0,$J1280&lt;&gt;""),"假日出勤",IF(AND(COUNTIF(設定!$B$6:$B$14,$G1280)&gt;0,$J1280=""),"未打卡",IF($J1280="","",IF($O1280&gt;0,"遲到",IF($P1280&gt;0,"早退","正常"))))))</f>
        <v/>
      </c>
      <c r="O1280" s="84">
        <f>IF(OR($C1280="",$H1280="",$J1280=""),0,IF(ROUND(($J1280-$H1280)*1440,0)&gt;設定!$C$46,ROUND(($J1280-$H1280)*1440,0),0))</f>
        <v/>
      </c>
      <c r="P1280" s="84">
        <f>IF(OR($C1280="",$I1280="",$K1280=""),0,IF(ROUND(($I1280-$K1280)*1440,0)&gt;設定!$C$46,ROUND(($I1280-$K1280)*1440,0),0))</f>
        <v/>
      </c>
      <c r="Q1280" s="85">
        <f>IF($M1280="",0,IF(($M1280-IFERROR(INDEX(設定!$G$6:$G$21,MATCH($G1280,設定!$B$6:$B$21,0)),0))*60&gt;=設定!$C$44,ROUND(FLOOR(($M1280-IFERROR(INDEX(設定!$G$6:$G$21,MATCH($G1280,設定!$B$6:$B$21,0)),0))*60,設定!$C$45)/60,2),0))</f>
        <v/>
      </c>
      <c r="R1280" s="16">
        <f>IF(OR($C1280="",$Q1280=0),"",IF($G1280="國","國定假日",IF($B1280="日","例假",IF($B1280="六","休息日","平日"))))</f>
        <v/>
      </c>
      <c r="S1280" s="19" t="n"/>
    </row>
    <row r="1281">
      <c r="A1281" s="82">
        <f>IF(OR(助理班表!$A46="",8&gt;DAY(EOMONTH(DATE(設定!$C$2,設定!$D$2,1),0))),"",DATE(設定!$C$2,設定!$D$2,8))</f>
        <v/>
      </c>
      <c r="B1281" s="16">
        <f>IF($A1281="","",INDEX(設定!$O$6:$O$12,WEEKDAY($A1281,1)))</f>
        <v/>
      </c>
      <c r="C1281" s="16">
        <f>IF($A1281="","",助理班表!$A46)</f>
        <v/>
      </c>
      <c r="D1281" s="16">
        <f>IF($C1281="","",助理班表!$B46)</f>
        <v/>
      </c>
      <c r="E1281" s="16">
        <f>IF($C1281="","",助理班表!$D46)</f>
        <v/>
      </c>
      <c r="F1281" s="16">
        <f>IF($C1281="","",助理班表!$C46)</f>
        <v/>
      </c>
      <c r="G1281" s="16">
        <f>IF($C1281="","",助理班表!L46)</f>
        <v/>
      </c>
      <c r="H1281" s="83">
        <f>IF($G1281="","",IFERROR(IF(INDEX(設定!$D$6:$D$21,MATCH($G1281,設定!$B$6:$B$21,0))=0,"",INDEX(設定!$D$6:$D$21,MATCH($G1281,設定!$B$6:$B$21,0))),""))</f>
        <v/>
      </c>
      <c r="I1281" s="83">
        <f>IF($G1281="","",IFERROR(IF(INDEX(設定!$E$6:$E$21,MATCH($G1281,設定!$B$6:$B$21,0))=0,"",INDEX(設定!$E$6:$E$21,MATCH($G1281,設定!$B$6:$B$21,0))),""))</f>
        <v/>
      </c>
      <c r="J1281" s="83">
        <f>IFERROR(INDEX(打卡匯入!$C$3:$C$2002,MATCH($C1281&amp;"|"&amp;DAY($A1281),打卡匯入!$E$3:$E$2002,0)),"")</f>
        <v/>
      </c>
      <c r="K1281" s="83">
        <f>IFERROR(INDEX(打卡匯入!$D$3:$D$2002,MATCH($C1281&amp;"|"&amp;DAY($A1281),打卡匯入!$E$3:$E$2002,0)),"")</f>
        <v/>
      </c>
      <c r="L1281" s="84">
        <f>IF(OR($J1281="",$K1281=""),"",IFERROR(INDEX(設定!$F$6:$F$21,MATCH($G1281,設定!$B$6:$B$21,0)),0))</f>
        <v/>
      </c>
      <c r="M1281" s="85">
        <f>IF(OR($J1281="",$K1281=""),"",ROUND(($K1281-$J1281)*24-$L1281/60,2))</f>
        <v/>
      </c>
      <c r="N1281" s="16">
        <f>IF($C1281="","",IF(AND(COUNTIF(設定!$B$15:$B$21,$G1281)&gt;0,$J1281&lt;&gt;""),"假日出勤",IF(AND(COUNTIF(設定!$B$6:$B$14,$G1281)&gt;0,$J1281=""),"未打卡",IF($J1281="","",IF($O1281&gt;0,"遲到",IF($P1281&gt;0,"早退","正常"))))))</f>
        <v/>
      </c>
      <c r="O1281" s="84">
        <f>IF(OR($C1281="",$H1281="",$J1281=""),0,IF(ROUND(($J1281-$H1281)*1440,0)&gt;設定!$C$46,ROUND(($J1281-$H1281)*1440,0),0))</f>
        <v/>
      </c>
      <c r="P1281" s="84">
        <f>IF(OR($C1281="",$I1281="",$K1281=""),0,IF(ROUND(($I1281-$K1281)*1440,0)&gt;設定!$C$46,ROUND(($I1281-$K1281)*1440,0),0))</f>
        <v/>
      </c>
      <c r="Q1281" s="85">
        <f>IF($M1281="",0,IF(($M1281-IFERROR(INDEX(設定!$G$6:$G$21,MATCH($G1281,設定!$B$6:$B$21,0)),0))*60&gt;=設定!$C$44,ROUND(FLOOR(($M1281-IFERROR(INDEX(設定!$G$6:$G$21,MATCH($G1281,設定!$B$6:$B$21,0)),0))*60,設定!$C$45)/60,2),0))</f>
        <v/>
      </c>
      <c r="R1281" s="16">
        <f>IF(OR($C1281="",$Q1281=0),"",IF($G1281="國","國定假日",IF($B1281="日","例假",IF($B1281="六","休息日","平日"))))</f>
        <v/>
      </c>
      <c r="S1281" s="19" t="n"/>
    </row>
    <row r="1282">
      <c r="A1282" s="82">
        <f>IF(OR(助理班表!$A46="",9&gt;DAY(EOMONTH(DATE(設定!$C$2,設定!$D$2,1),0))),"",DATE(設定!$C$2,設定!$D$2,9))</f>
        <v/>
      </c>
      <c r="B1282" s="16">
        <f>IF($A1282="","",INDEX(設定!$O$6:$O$12,WEEKDAY($A1282,1)))</f>
        <v/>
      </c>
      <c r="C1282" s="16">
        <f>IF($A1282="","",助理班表!$A46)</f>
        <v/>
      </c>
      <c r="D1282" s="16">
        <f>IF($C1282="","",助理班表!$B46)</f>
        <v/>
      </c>
      <c r="E1282" s="16">
        <f>IF($C1282="","",助理班表!$D46)</f>
        <v/>
      </c>
      <c r="F1282" s="16">
        <f>IF($C1282="","",助理班表!$C46)</f>
        <v/>
      </c>
      <c r="G1282" s="16">
        <f>IF($C1282="","",助理班表!M46)</f>
        <v/>
      </c>
      <c r="H1282" s="83">
        <f>IF($G1282="","",IFERROR(IF(INDEX(設定!$D$6:$D$21,MATCH($G1282,設定!$B$6:$B$21,0))=0,"",INDEX(設定!$D$6:$D$21,MATCH($G1282,設定!$B$6:$B$21,0))),""))</f>
        <v/>
      </c>
      <c r="I1282" s="83">
        <f>IF($G1282="","",IFERROR(IF(INDEX(設定!$E$6:$E$21,MATCH($G1282,設定!$B$6:$B$21,0))=0,"",INDEX(設定!$E$6:$E$21,MATCH($G1282,設定!$B$6:$B$21,0))),""))</f>
        <v/>
      </c>
      <c r="J1282" s="83">
        <f>IFERROR(INDEX(打卡匯入!$C$3:$C$2002,MATCH($C1282&amp;"|"&amp;DAY($A1282),打卡匯入!$E$3:$E$2002,0)),"")</f>
        <v/>
      </c>
      <c r="K1282" s="83">
        <f>IFERROR(INDEX(打卡匯入!$D$3:$D$2002,MATCH($C1282&amp;"|"&amp;DAY($A1282),打卡匯入!$E$3:$E$2002,0)),"")</f>
        <v/>
      </c>
      <c r="L1282" s="84">
        <f>IF(OR($J1282="",$K1282=""),"",IFERROR(INDEX(設定!$F$6:$F$21,MATCH($G1282,設定!$B$6:$B$21,0)),0))</f>
        <v/>
      </c>
      <c r="M1282" s="85">
        <f>IF(OR($J1282="",$K1282=""),"",ROUND(($K1282-$J1282)*24-$L1282/60,2))</f>
        <v/>
      </c>
      <c r="N1282" s="16">
        <f>IF($C1282="","",IF(AND(COUNTIF(設定!$B$15:$B$21,$G1282)&gt;0,$J1282&lt;&gt;""),"假日出勤",IF(AND(COUNTIF(設定!$B$6:$B$14,$G1282)&gt;0,$J1282=""),"未打卡",IF($J1282="","",IF($O1282&gt;0,"遲到",IF($P1282&gt;0,"早退","正常"))))))</f>
        <v/>
      </c>
      <c r="O1282" s="84">
        <f>IF(OR($C1282="",$H1282="",$J1282=""),0,IF(ROUND(($J1282-$H1282)*1440,0)&gt;設定!$C$46,ROUND(($J1282-$H1282)*1440,0),0))</f>
        <v/>
      </c>
      <c r="P1282" s="84">
        <f>IF(OR($C1282="",$I1282="",$K1282=""),0,IF(ROUND(($I1282-$K1282)*1440,0)&gt;設定!$C$46,ROUND(($I1282-$K1282)*1440,0),0))</f>
        <v/>
      </c>
      <c r="Q1282" s="85">
        <f>IF($M1282="",0,IF(($M1282-IFERROR(INDEX(設定!$G$6:$G$21,MATCH($G1282,設定!$B$6:$B$21,0)),0))*60&gt;=設定!$C$44,ROUND(FLOOR(($M1282-IFERROR(INDEX(設定!$G$6:$G$21,MATCH($G1282,設定!$B$6:$B$21,0)),0))*60,設定!$C$45)/60,2),0))</f>
        <v/>
      </c>
      <c r="R1282" s="16">
        <f>IF(OR($C1282="",$Q1282=0),"",IF($G1282="國","國定假日",IF($B1282="日","例假",IF($B1282="六","休息日","平日"))))</f>
        <v/>
      </c>
      <c r="S1282" s="19" t="n"/>
    </row>
    <row r="1283">
      <c r="A1283" s="82">
        <f>IF(OR(助理班表!$A46="",10&gt;DAY(EOMONTH(DATE(設定!$C$2,設定!$D$2,1),0))),"",DATE(設定!$C$2,設定!$D$2,10))</f>
        <v/>
      </c>
      <c r="B1283" s="16">
        <f>IF($A1283="","",INDEX(設定!$O$6:$O$12,WEEKDAY($A1283,1)))</f>
        <v/>
      </c>
      <c r="C1283" s="16">
        <f>IF($A1283="","",助理班表!$A46)</f>
        <v/>
      </c>
      <c r="D1283" s="16">
        <f>IF($C1283="","",助理班表!$B46)</f>
        <v/>
      </c>
      <c r="E1283" s="16">
        <f>IF($C1283="","",助理班表!$D46)</f>
        <v/>
      </c>
      <c r="F1283" s="16">
        <f>IF($C1283="","",助理班表!$C46)</f>
        <v/>
      </c>
      <c r="G1283" s="16">
        <f>IF($C1283="","",助理班表!N46)</f>
        <v/>
      </c>
      <c r="H1283" s="83">
        <f>IF($G1283="","",IFERROR(IF(INDEX(設定!$D$6:$D$21,MATCH($G1283,設定!$B$6:$B$21,0))=0,"",INDEX(設定!$D$6:$D$21,MATCH($G1283,設定!$B$6:$B$21,0))),""))</f>
        <v/>
      </c>
      <c r="I1283" s="83">
        <f>IF($G1283="","",IFERROR(IF(INDEX(設定!$E$6:$E$21,MATCH($G1283,設定!$B$6:$B$21,0))=0,"",INDEX(設定!$E$6:$E$21,MATCH($G1283,設定!$B$6:$B$21,0))),""))</f>
        <v/>
      </c>
      <c r="J1283" s="83">
        <f>IFERROR(INDEX(打卡匯入!$C$3:$C$2002,MATCH($C1283&amp;"|"&amp;DAY($A1283),打卡匯入!$E$3:$E$2002,0)),"")</f>
        <v/>
      </c>
      <c r="K1283" s="83">
        <f>IFERROR(INDEX(打卡匯入!$D$3:$D$2002,MATCH($C1283&amp;"|"&amp;DAY($A1283),打卡匯入!$E$3:$E$2002,0)),"")</f>
        <v/>
      </c>
      <c r="L1283" s="84">
        <f>IF(OR($J1283="",$K1283=""),"",IFERROR(INDEX(設定!$F$6:$F$21,MATCH($G1283,設定!$B$6:$B$21,0)),0))</f>
        <v/>
      </c>
      <c r="M1283" s="85">
        <f>IF(OR($J1283="",$K1283=""),"",ROUND(($K1283-$J1283)*24-$L1283/60,2))</f>
        <v/>
      </c>
      <c r="N1283" s="16">
        <f>IF($C1283="","",IF(AND(COUNTIF(設定!$B$15:$B$21,$G1283)&gt;0,$J1283&lt;&gt;""),"假日出勤",IF(AND(COUNTIF(設定!$B$6:$B$14,$G1283)&gt;0,$J1283=""),"未打卡",IF($J1283="","",IF($O1283&gt;0,"遲到",IF($P1283&gt;0,"早退","正常"))))))</f>
        <v/>
      </c>
      <c r="O1283" s="84">
        <f>IF(OR($C1283="",$H1283="",$J1283=""),0,IF(ROUND(($J1283-$H1283)*1440,0)&gt;設定!$C$46,ROUND(($J1283-$H1283)*1440,0),0))</f>
        <v/>
      </c>
      <c r="P1283" s="84">
        <f>IF(OR($C1283="",$I1283="",$K1283=""),0,IF(ROUND(($I1283-$K1283)*1440,0)&gt;設定!$C$46,ROUND(($I1283-$K1283)*1440,0),0))</f>
        <v/>
      </c>
      <c r="Q1283" s="85">
        <f>IF($M1283="",0,IF(($M1283-IFERROR(INDEX(設定!$G$6:$G$21,MATCH($G1283,設定!$B$6:$B$21,0)),0))*60&gt;=設定!$C$44,ROUND(FLOOR(($M1283-IFERROR(INDEX(設定!$G$6:$G$21,MATCH($G1283,設定!$B$6:$B$21,0)),0))*60,設定!$C$45)/60,2),0))</f>
        <v/>
      </c>
      <c r="R1283" s="16">
        <f>IF(OR($C1283="",$Q1283=0),"",IF($G1283="國","國定假日",IF($B1283="日","例假",IF($B1283="六","休息日","平日"))))</f>
        <v/>
      </c>
      <c r="S1283" s="19" t="n"/>
    </row>
    <row r="1284">
      <c r="A1284" s="82">
        <f>IF(OR(助理班表!$A46="",11&gt;DAY(EOMONTH(DATE(設定!$C$2,設定!$D$2,1),0))),"",DATE(設定!$C$2,設定!$D$2,11))</f>
        <v/>
      </c>
      <c r="B1284" s="16">
        <f>IF($A1284="","",INDEX(設定!$O$6:$O$12,WEEKDAY($A1284,1)))</f>
        <v/>
      </c>
      <c r="C1284" s="16">
        <f>IF($A1284="","",助理班表!$A46)</f>
        <v/>
      </c>
      <c r="D1284" s="16">
        <f>IF($C1284="","",助理班表!$B46)</f>
        <v/>
      </c>
      <c r="E1284" s="16">
        <f>IF($C1284="","",助理班表!$D46)</f>
        <v/>
      </c>
      <c r="F1284" s="16">
        <f>IF($C1284="","",助理班表!$C46)</f>
        <v/>
      </c>
      <c r="G1284" s="16">
        <f>IF($C1284="","",助理班表!O46)</f>
        <v/>
      </c>
      <c r="H1284" s="83">
        <f>IF($G1284="","",IFERROR(IF(INDEX(設定!$D$6:$D$21,MATCH($G1284,設定!$B$6:$B$21,0))=0,"",INDEX(設定!$D$6:$D$21,MATCH($G1284,設定!$B$6:$B$21,0))),""))</f>
        <v/>
      </c>
      <c r="I1284" s="83">
        <f>IF($G1284="","",IFERROR(IF(INDEX(設定!$E$6:$E$21,MATCH($G1284,設定!$B$6:$B$21,0))=0,"",INDEX(設定!$E$6:$E$21,MATCH($G1284,設定!$B$6:$B$21,0))),""))</f>
        <v/>
      </c>
      <c r="J1284" s="83">
        <f>IFERROR(INDEX(打卡匯入!$C$3:$C$2002,MATCH($C1284&amp;"|"&amp;DAY($A1284),打卡匯入!$E$3:$E$2002,0)),"")</f>
        <v/>
      </c>
      <c r="K1284" s="83">
        <f>IFERROR(INDEX(打卡匯入!$D$3:$D$2002,MATCH($C1284&amp;"|"&amp;DAY($A1284),打卡匯入!$E$3:$E$2002,0)),"")</f>
        <v/>
      </c>
      <c r="L1284" s="84">
        <f>IF(OR($J1284="",$K1284=""),"",IFERROR(INDEX(設定!$F$6:$F$21,MATCH($G1284,設定!$B$6:$B$21,0)),0))</f>
        <v/>
      </c>
      <c r="M1284" s="85">
        <f>IF(OR($J1284="",$K1284=""),"",ROUND(($K1284-$J1284)*24-$L1284/60,2))</f>
        <v/>
      </c>
      <c r="N1284" s="16">
        <f>IF($C1284="","",IF(AND(COUNTIF(設定!$B$15:$B$21,$G1284)&gt;0,$J1284&lt;&gt;""),"假日出勤",IF(AND(COUNTIF(設定!$B$6:$B$14,$G1284)&gt;0,$J1284=""),"未打卡",IF($J1284="","",IF($O1284&gt;0,"遲到",IF($P1284&gt;0,"早退","正常"))))))</f>
        <v/>
      </c>
      <c r="O1284" s="84">
        <f>IF(OR($C1284="",$H1284="",$J1284=""),0,IF(ROUND(($J1284-$H1284)*1440,0)&gt;設定!$C$46,ROUND(($J1284-$H1284)*1440,0),0))</f>
        <v/>
      </c>
      <c r="P1284" s="84">
        <f>IF(OR($C1284="",$I1284="",$K1284=""),0,IF(ROUND(($I1284-$K1284)*1440,0)&gt;設定!$C$46,ROUND(($I1284-$K1284)*1440,0),0))</f>
        <v/>
      </c>
      <c r="Q1284" s="85">
        <f>IF($M1284="",0,IF(($M1284-IFERROR(INDEX(設定!$G$6:$G$21,MATCH($G1284,設定!$B$6:$B$21,0)),0))*60&gt;=設定!$C$44,ROUND(FLOOR(($M1284-IFERROR(INDEX(設定!$G$6:$G$21,MATCH($G1284,設定!$B$6:$B$21,0)),0))*60,設定!$C$45)/60,2),0))</f>
        <v/>
      </c>
      <c r="R1284" s="16">
        <f>IF(OR($C1284="",$Q1284=0),"",IF($G1284="國","國定假日",IF($B1284="日","例假",IF($B1284="六","休息日","平日"))))</f>
        <v/>
      </c>
      <c r="S1284" s="19" t="n"/>
    </row>
    <row r="1285">
      <c r="A1285" s="82">
        <f>IF(OR(助理班表!$A46="",12&gt;DAY(EOMONTH(DATE(設定!$C$2,設定!$D$2,1),0))),"",DATE(設定!$C$2,設定!$D$2,12))</f>
        <v/>
      </c>
      <c r="B1285" s="16">
        <f>IF($A1285="","",INDEX(設定!$O$6:$O$12,WEEKDAY($A1285,1)))</f>
        <v/>
      </c>
      <c r="C1285" s="16">
        <f>IF($A1285="","",助理班表!$A46)</f>
        <v/>
      </c>
      <c r="D1285" s="16">
        <f>IF($C1285="","",助理班表!$B46)</f>
        <v/>
      </c>
      <c r="E1285" s="16">
        <f>IF($C1285="","",助理班表!$D46)</f>
        <v/>
      </c>
      <c r="F1285" s="16">
        <f>IF($C1285="","",助理班表!$C46)</f>
        <v/>
      </c>
      <c r="G1285" s="16">
        <f>IF($C1285="","",助理班表!P46)</f>
        <v/>
      </c>
      <c r="H1285" s="83">
        <f>IF($G1285="","",IFERROR(IF(INDEX(設定!$D$6:$D$21,MATCH($G1285,設定!$B$6:$B$21,0))=0,"",INDEX(設定!$D$6:$D$21,MATCH($G1285,設定!$B$6:$B$21,0))),""))</f>
        <v/>
      </c>
      <c r="I1285" s="83">
        <f>IF($G1285="","",IFERROR(IF(INDEX(設定!$E$6:$E$21,MATCH($G1285,設定!$B$6:$B$21,0))=0,"",INDEX(設定!$E$6:$E$21,MATCH($G1285,設定!$B$6:$B$21,0))),""))</f>
        <v/>
      </c>
      <c r="J1285" s="83">
        <f>IFERROR(INDEX(打卡匯入!$C$3:$C$2002,MATCH($C1285&amp;"|"&amp;DAY($A1285),打卡匯入!$E$3:$E$2002,0)),"")</f>
        <v/>
      </c>
      <c r="K1285" s="83">
        <f>IFERROR(INDEX(打卡匯入!$D$3:$D$2002,MATCH($C1285&amp;"|"&amp;DAY($A1285),打卡匯入!$E$3:$E$2002,0)),"")</f>
        <v/>
      </c>
      <c r="L1285" s="84">
        <f>IF(OR($J1285="",$K1285=""),"",IFERROR(INDEX(設定!$F$6:$F$21,MATCH($G1285,設定!$B$6:$B$21,0)),0))</f>
        <v/>
      </c>
      <c r="M1285" s="85">
        <f>IF(OR($J1285="",$K1285=""),"",ROUND(($K1285-$J1285)*24-$L1285/60,2))</f>
        <v/>
      </c>
      <c r="N1285" s="16">
        <f>IF($C1285="","",IF(AND(COUNTIF(設定!$B$15:$B$21,$G1285)&gt;0,$J1285&lt;&gt;""),"假日出勤",IF(AND(COUNTIF(設定!$B$6:$B$14,$G1285)&gt;0,$J1285=""),"未打卡",IF($J1285="","",IF($O1285&gt;0,"遲到",IF($P1285&gt;0,"早退","正常"))))))</f>
        <v/>
      </c>
      <c r="O1285" s="84">
        <f>IF(OR($C1285="",$H1285="",$J1285=""),0,IF(ROUND(($J1285-$H1285)*1440,0)&gt;設定!$C$46,ROUND(($J1285-$H1285)*1440,0),0))</f>
        <v/>
      </c>
      <c r="P1285" s="84">
        <f>IF(OR($C1285="",$I1285="",$K1285=""),0,IF(ROUND(($I1285-$K1285)*1440,0)&gt;設定!$C$46,ROUND(($I1285-$K1285)*1440,0),0))</f>
        <v/>
      </c>
      <c r="Q1285" s="85">
        <f>IF($M1285="",0,IF(($M1285-IFERROR(INDEX(設定!$G$6:$G$21,MATCH($G1285,設定!$B$6:$B$21,0)),0))*60&gt;=設定!$C$44,ROUND(FLOOR(($M1285-IFERROR(INDEX(設定!$G$6:$G$21,MATCH($G1285,設定!$B$6:$B$21,0)),0))*60,設定!$C$45)/60,2),0))</f>
        <v/>
      </c>
      <c r="R1285" s="16">
        <f>IF(OR($C1285="",$Q1285=0),"",IF($G1285="國","國定假日",IF($B1285="日","例假",IF($B1285="六","休息日","平日"))))</f>
        <v/>
      </c>
      <c r="S1285" s="19" t="n"/>
    </row>
    <row r="1286">
      <c r="A1286" s="82">
        <f>IF(OR(助理班表!$A46="",13&gt;DAY(EOMONTH(DATE(設定!$C$2,設定!$D$2,1),0))),"",DATE(設定!$C$2,設定!$D$2,13))</f>
        <v/>
      </c>
      <c r="B1286" s="16">
        <f>IF($A1286="","",INDEX(設定!$O$6:$O$12,WEEKDAY($A1286,1)))</f>
        <v/>
      </c>
      <c r="C1286" s="16">
        <f>IF($A1286="","",助理班表!$A46)</f>
        <v/>
      </c>
      <c r="D1286" s="16">
        <f>IF($C1286="","",助理班表!$B46)</f>
        <v/>
      </c>
      <c r="E1286" s="16">
        <f>IF($C1286="","",助理班表!$D46)</f>
        <v/>
      </c>
      <c r="F1286" s="16">
        <f>IF($C1286="","",助理班表!$C46)</f>
        <v/>
      </c>
      <c r="G1286" s="16">
        <f>IF($C1286="","",助理班表!Q46)</f>
        <v/>
      </c>
      <c r="H1286" s="83">
        <f>IF($G1286="","",IFERROR(IF(INDEX(設定!$D$6:$D$21,MATCH($G1286,設定!$B$6:$B$21,0))=0,"",INDEX(設定!$D$6:$D$21,MATCH($G1286,設定!$B$6:$B$21,0))),""))</f>
        <v/>
      </c>
      <c r="I1286" s="83">
        <f>IF($G1286="","",IFERROR(IF(INDEX(設定!$E$6:$E$21,MATCH($G1286,設定!$B$6:$B$21,0))=0,"",INDEX(設定!$E$6:$E$21,MATCH($G1286,設定!$B$6:$B$21,0))),""))</f>
        <v/>
      </c>
      <c r="J1286" s="83">
        <f>IFERROR(INDEX(打卡匯入!$C$3:$C$2002,MATCH($C1286&amp;"|"&amp;DAY($A1286),打卡匯入!$E$3:$E$2002,0)),"")</f>
        <v/>
      </c>
      <c r="K1286" s="83">
        <f>IFERROR(INDEX(打卡匯入!$D$3:$D$2002,MATCH($C1286&amp;"|"&amp;DAY($A1286),打卡匯入!$E$3:$E$2002,0)),"")</f>
        <v/>
      </c>
      <c r="L1286" s="84">
        <f>IF(OR($J1286="",$K1286=""),"",IFERROR(INDEX(設定!$F$6:$F$21,MATCH($G1286,設定!$B$6:$B$21,0)),0))</f>
        <v/>
      </c>
      <c r="M1286" s="85">
        <f>IF(OR($J1286="",$K1286=""),"",ROUND(($K1286-$J1286)*24-$L1286/60,2))</f>
        <v/>
      </c>
      <c r="N1286" s="16">
        <f>IF($C1286="","",IF(AND(COUNTIF(設定!$B$15:$B$21,$G1286)&gt;0,$J1286&lt;&gt;""),"假日出勤",IF(AND(COUNTIF(設定!$B$6:$B$14,$G1286)&gt;0,$J1286=""),"未打卡",IF($J1286="","",IF($O1286&gt;0,"遲到",IF($P1286&gt;0,"早退","正常"))))))</f>
        <v/>
      </c>
      <c r="O1286" s="84">
        <f>IF(OR($C1286="",$H1286="",$J1286=""),0,IF(ROUND(($J1286-$H1286)*1440,0)&gt;設定!$C$46,ROUND(($J1286-$H1286)*1440,0),0))</f>
        <v/>
      </c>
      <c r="P1286" s="84">
        <f>IF(OR($C1286="",$I1286="",$K1286=""),0,IF(ROUND(($I1286-$K1286)*1440,0)&gt;設定!$C$46,ROUND(($I1286-$K1286)*1440,0),0))</f>
        <v/>
      </c>
      <c r="Q1286" s="85">
        <f>IF($M1286="",0,IF(($M1286-IFERROR(INDEX(設定!$G$6:$G$21,MATCH($G1286,設定!$B$6:$B$21,0)),0))*60&gt;=設定!$C$44,ROUND(FLOOR(($M1286-IFERROR(INDEX(設定!$G$6:$G$21,MATCH($G1286,設定!$B$6:$B$21,0)),0))*60,設定!$C$45)/60,2),0))</f>
        <v/>
      </c>
      <c r="R1286" s="16">
        <f>IF(OR($C1286="",$Q1286=0),"",IF($G1286="國","國定假日",IF($B1286="日","例假",IF($B1286="六","休息日","平日"))))</f>
        <v/>
      </c>
      <c r="S1286" s="19" t="n"/>
    </row>
    <row r="1287">
      <c r="A1287" s="82">
        <f>IF(OR(助理班表!$A46="",14&gt;DAY(EOMONTH(DATE(設定!$C$2,設定!$D$2,1),0))),"",DATE(設定!$C$2,設定!$D$2,14))</f>
        <v/>
      </c>
      <c r="B1287" s="16">
        <f>IF($A1287="","",INDEX(設定!$O$6:$O$12,WEEKDAY($A1287,1)))</f>
        <v/>
      </c>
      <c r="C1287" s="16">
        <f>IF($A1287="","",助理班表!$A46)</f>
        <v/>
      </c>
      <c r="D1287" s="16">
        <f>IF($C1287="","",助理班表!$B46)</f>
        <v/>
      </c>
      <c r="E1287" s="16">
        <f>IF($C1287="","",助理班表!$D46)</f>
        <v/>
      </c>
      <c r="F1287" s="16">
        <f>IF($C1287="","",助理班表!$C46)</f>
        <v/>
      </c>
      <c r="G1287" s="16">
        <f>IF($C1287="","",助理班表!R46)</f>
        <v/>
      </c>
      <c r="H1287" s="83">
        <f>IF($G1287="","",IFERROR(IF(INDEX(設定!$D$6:$D$21,MATCH($G1287,設定!$B$6:$B$21,0))=0,"",INDEX(設定!$D$6:$D$21,MATCH($G1287,設定!$B$6:$B$21,0))),""))</f>
        <v/>
      </c>
      <c r="I1287" s="83">
        <f>IF($G1287="","",IFERROR(IF(INDEX(設定!$E$6:$E$21,MATCH($G1287,設定!$B$6:$B$21,0))=0,"",INDEX(設定!$E$6:$E$21,MATCH($G1287,設定!$B$6:$B$21,0))),""))</f>
        <v/>
      </c>
      <c r="J1287" s="83">
        <f>IFERROR(INDEX(打卡匯入!$C$3:$C$2002,MATCH($C1287&amp;"|"&amp;DAY($A1287),打卡匯入!$E$3:$E$2002,0)),"")</f>
        <v/>
      </c>
      <c r="K1287" s="83">
        <f>IFERROR(INDEX(打卡匯入!$D$3:$D$2002,MATCH($C1287&amp;"|"&amp;DAY($A1287),打卡匯入!$E$3:$E$2002,0)),"")</f>
        <v/>
      </c>
      <c r="L1287" s="84">
        <f>IF(OR($J1287="",$K1287=""),"",IFERROR(INDEX(設定!$F$6:$F$21,MATCH($G1287,設定!$B$6:$B$21,0)),0))</f>
        <v/>
      </c>
      <c r="M1287" s="85">
        <f>IF(OR($J1287="",$K1287=""),"",ROUND(($K1287-$J1287)*24-$L1287/60,2))</f>
        <v/>
      </c>
      <c r="N1287" s="16">
        <f>IF($C1287="","",IF(AND(COUNTIF(設定!$B$15:$B$21,$G1287)&gt;0,$J1287&lt;&gt;""),"假日出勤",IF(AND(COUNTIF(設定!$B$6:$B$14,$G1287)&gt;0,$J1287=""),"未打卡",IF($J1287="","",IF($O1287&gt;0,"遲到",IF($P1287&gt;0,"早退","正常"))))))</f>
        <v/>
      </c>
      <c r="O1287" s="84">
        <f>IF(OR($C1287="",$H1287="",$J1287=""),0,IF(ROUND(($J1287-$H1287)*1440,0)&gt;設定!$C$46,ROUND(($J1287-$H1287)*1440,0),0))</f>
        <v/>
      </c>
      <c r="P1287" s="84">
        <f>IF(OR($C1287="",$I1287="",$K1287=""),0,IF(ROUND(($I1287-$K1287)*1440,0)&gt;設定!$C$46,ROUND(($I1287-$K1287)*1440,0),0))</f>
        <v/>
      </c>
      <c r="Q1287" s="85">
        <f>IF($M1287="",0,IF(($M1287-IFERROR(INDEX(設定!$G$6:$G$21,MATCH($G1287,設定!$B$6:$B$21,0)),0))*60&gt;=設定!$C$44,ROUND(FLOOR(($M1287-IFERROR(INDEX(設定!$G$6:$G$21,MATCH($G1287,設定!$B$6:$B$21,0)),0))*60,設定!$C$45)/60,2),0))</f>
        <v/>
      </c>
      <c r="R1287" s="16">
        <f>IF(OR($C1287="",$Q1287=0),"",IF($G1287="國","國定假日",IF($B1287="日","例假",IF($B1287="六","休息日","平日"))))</f>
        <v/>
      </c>
      <c r="S1287" s="19" t="n"/>
    </row>
    <row r="1288">
      <c r="A1288" s="82">
        <f>IF(OR(助理班表!$A46="",15&gt;DAY(EOMONTH(DATE(設定!$C$2,設定!$D$2,1),0))),"",DATE(設定!$C$2,設定!$D$2,15))</f>
        <v/>
      </c>
      <c r="B1288" s="16">
        <f>IF($A1288="","",INDEX(設定!$O$6:$O$12,WEEKDAY($A1288,1)))</f>
        <v/>
      </c>
      <c r="C1288" s="16">
        <f>IF($A1288="","",助理班表!$A46)</f>
        <v/>
      </c>
      <c r="D1288" s="16">
        <f>IF($C1288="","",助理班表!$B46)</f>
        <v/>
      </c>
      <c r="E1288" s="16">
        <f>IF($C1288="","",助理班表!$D46)</f>
        <v/>
      </c>
      <c r="F1288" s="16">
        <f>IF($C1288="","",助理班表!$C46)</f>
        <v/>
      </c>
      <c r="G1288" s="16">
        <f>IF($C1288="","",助理班表!S46)</f>
        <v/>
      </c>
      <c r="H1288" s="83">
        <f>IF($G1288="","",IFERROR(IF(INDEX(設定!$D$6:$D$21,MATCH($G1288,設定!$B$6:$B$21,0))=0,"",INDEX(設定!$D$6:$D$21,MATCH($G1288,設定!$B$6:$B$21,0))),""))</f>
        <v/>
      </c>
      <c r="I1288" s="83">
        <f>IF($G1288="","",IFERROR(IF(INDEX(設定!$E$6:$E$21,MATCH($G1288,設定!$B$6:$B$21,0))=0,"",INDEX(設定!$E$6:$E$21,MATCH($G1288,設定!$B$6:$B$21,0))),""))</f>
        <v/>
      </c>
      <c r="J1288" s="83">
        <f>IFERROR(INDEX(打卡匯入!$C$3:$C$2002,MATCH($C1288&amp;"|"&amp;DAY($A1288),打卡匯入!$E$3:$E$2002,0)),"")</f>
        <v/>
      </c>
      <c r="K1288" s="83">
        <f>IFERROR(INDEX(打卡匯入!$D$3:$D$2002,MATCH($C1288&amp;"|"&amp;DAY($A1288),打卡匯入!$E$3:$E$2002,0)),"")</f>
        <v/>
      </c>
      <c r="L1288" s="84">
        <f>IF(OR($J1288="",$K1288=""),"",IFERROR(INDEX(設定!$F$6:$F$21,MATCH($G1288,設定!$B$6:$B$21,0)),0))</f>
        <v/>
      </c>
      <c r="M1288" s="85">
        <f>IF(OR($J1288="",$K1288=""),"",ROUND(($K1288-$J1288)*24-$L1288/60,2))</f>
        <v/>
      </c>
      <c r="N1288" s="16">
        <f>IF($C1288="","",IF(AND(COUNTIF(設定!$B$15:$B$21,$G1288)&gt;0,$J1288&lt;&gt;""),"假日出勤",IF(AND(COUNTIF(設定!$B$6:$B$14,$G1288)&gt;0,$J1288=""),"未打卡",IF($J1288="","",IF($O1288&gt;0,"遲到",IF($P1288&gt;0,"早退","正常"))))))</f>
        <v/>
      </c>
      <c r="O1288" s="84">
        <f>IF(OR($C1288="",$H1288="",$J1288=""),0,IF(ROUND(($J1288-$H1288)*1440,0)&gt;設定!$C$46,ROUND(($J1288-$H1288)*1440,0),0))</f>
        <v/>
      </c>
      <c r="P1288" s="84">
        <f>IF(OR($C1288="",$I1288="",$K1288=""),0,IF(ROUND(($I1288-$K1288)*1440,0)&gt;設定!$C$46,ROUND(($I1288-$K1288)*1440,0),0))</f>
        <v/>
      </c>
      <c r="Q1288" s="85">
        <f>IF($M1288="",0,IF(($M1288-IFERROR(INDEX(設定!$G$6:$G$21,MATCH($G1288,設定!$B$6:$B$21,0)),0))*60&gt;=設定!$C$44,ROUND(FLOOR(($M1288-IFERROR(INDEX(設定!$G$6:$G$21,MATCH($G1288,設定!$B$6:$B$21,0)),0))*60,設定!$C$45)/60,2),0))</f>
        <v/>
      </c>
      <c r="R1288" s="16">
        <f>IF(OR($C1288="",$Q1288=0),"",IF($G1288="國","國定假日",IF($B1288="日","例假",IF($B1288="六","休息日","平日"))))</f>
        <v/>
      </c>
      <c r="S1288" s="19" t="n"/>
    </row>
    <row r="1289">
      <c r="A1289" s="82">
        <f>IF(OR(助理班表!$A46="",16&gt;DAY(EOMONTH(DATE(設定!$C$2,設定!$D$2,1),0))),"",DATE(設定!$C$2,設定!$D$2,16))</f>
        <v/>
      </c>
      <c r="B1289" s="16">
        <f>IF($A1289="","",INDEX(設定!$O$6:$O$12,WEEKDAY($A1289,1)))</f>
        <v/>
      </c>
      <c r="C1289" s="16">
        <f>IF($A1289="","",助理班表!$A46)</f>
        <v/>
      </c>
      <c r="D1289" s="16">
        <f>IF($C1289="","",助理班表!$B46)</f>
        <v/>
      </c>
      <c r="E1289" s="16">
        <f>IF($C1289="","",助理班表!$D46)</f>
        <v/>
      </c>
      <c r="F1289" s="16">
        <f>IF($C1289="","",助理班表!$C46)</f>
        <v/>
      </c>
      <c r="G1289" s="16">
        <f>IF($C1289="","",助理班表!T46)</f>
        <v/>
      </c>
      <c r="H1289" s="83">
        <f>IF($G1289="","",IFERROR(IF(INDEX(設定!$D$6:$D$21,MATCH($G1289,設定!$B$6:$B$21,0))=0,"",INDEX(設定!$D$6:$D$21,MATCH($G1289,設定!$B$6:$B$21,0))),""))</f>
        <v/>
      </c>
      <c r="I1289" s="83">
        <f>IF($G1289="","",IFERROR(IF(INDEX(設定!$E$6:$E$21,MATCH($G1289,設定!$B$6:$B$21,0))=0,"",INDEX(設定!$E$6:$E$21,MATCH($G1289,設定!$B$6:$B$21,0))),""))</f>
        <v/>
      </c>
      <c r="J1289" s="83">
        <f>IFERROR(INDEX(打卡匯入!$C$3:$C$2002,MATCH($C1289&amp;"|"&amp;DAY($A1289),打卡匯入!$E$3:$E$2002,0)),"")</f>
        <v/>
      </c>
      <c r="K1289" s="83">
        <f>IFERROR(INDEX(打卡匯入!$D$3:$D$2002,MATCH($C1289&amp;"|"&amp;DAY($A1289),打卡匯入!$E$3:$E$2002,0)),"")</f>
        <v/>
      </c>
      <c r="L1289" s="84">
        <f>IF(OR($J1289="",$K1289=""),"",IFERROR(INDEX(設定!$F$6:$F$21,MATCH($G1289,設定!$B$6:$B$21,0)),0))</f>
        <v/>
      </c>
      <c r="M1289" s="85">
        <f>IF(OR($J1289="",$K1289=""),"",ROUND(($K1289-$J1289)*24-$L1289/60,2))</f>
        <v/>
      </c>
      <c r="N1289" s="16">
        <f>IF($C1289="","",IF(AND(COUNTIF(設定!$B$15:$B$21,$G1289)&gt;0,$J1289&lt;&gt;""),"假日出勤",IF(AND(COUNTIF(設定!$B$6:$B$14,$G1289)&gt;0,$J1289=""),"未打卡",IF($J1289="","",IF($O1289&gt;0,"遲到",IF($P1289&gt;0,"早退","正常"))))))</f>
        <v/>
      </c>
      <c r="O1289" s="84">
        <f>IF(OR($C1289="",$H1289="",$J1289=""),0,IF(ROUND(($J1289-$H1289)*1440,0)&gt;設定!$C$46,ROUND(($J1289-$H1289)*1440,0),0))</f>
        <v/>
      </c>
      <c r="P1289" s="84">
        <f>IF(OR($C1289="",$I1289="",$K1289=""),0,IF(ROUND(($I1289-$K1289)*1440,0)&gt;設定!$C$46,ROUND(($I1289-$K1289)*1440,0),0))</f>
        <v/>
      </c>
      <c r="Q1289" s="85">
        <f>IF($M1289="",0,IF(($M1289-IFERROR(INDEX(設定!$G$6:$G$21,MATCH($G1289,設定!$B$6:$B$21,0)),0))*60&gt;=設定!$C$44,ROUND(FLOOR(($M1289-IFERROR(INDEX(設定!$G$6:$G$21,MATCH($G1289,設定!$B$6:$B$21,0)),0))*60,設定!$C$45)/60,2),0))</f>
        <v/>
      </c>
      <c r="R1289" s="16">
        <f>IF(OR($C1289="",$Q1289=0),"",IF($G1289="國","國定假日",IF($B1289="日","例假",IF($B1289="六","休息日","平日"))))</f>
        <v/>
      </c>
      <c r="S1289" s="19" t="n"/>
    </row>
    <row r="1290">
      <c r="A1290" s="82">
        <f>IF(OR(助理班表!$A46="",17&gt;DAY(EOMONTH(DATE(設定!$C$2,設定!$D$2,1),0))),"",DATE(設定!$C$2,設定!$D$2,17))</f>
        <v/>
      </c>
      <c r="B1290" s="16">
        <f>IF($A1290="","",INDEX(設定!$O$6:$O$12,WEEKDAY($A1290,1)))</f>
        <v/>
      </c>
      <c r="C1290" s="16">
        <f>IF($A1290="","",助理班表!$A46)</f>
        <v/>
      </c>
      <c r="D1290" s="16">
        <f>IF($C1290="","",助理班表!$B46)</f>
        <v/>
      </c>
      <c r="E1290" s="16">
        <f>IF($C1290="","",助理班表!$D46)</f>
        <v/>
      </c>
      <c r="F1290" s="16">
        <f>IF($C1290="","",助理班表!$C46)</f>
        <v/>
      </c>
      <c r="G1290" s="16">
        <f>IF($C1290="","",助理班表!U46)</f>
        <v/>
      </c>
      <c r="H1290" s="83">
        <f>IF($G1290="","",IFERROR(IF(INDEX(設定!$D$6:$D$21,MATCH($G1290,設定!$B$6:$B$21,0))=0,"",INDEX(設定!$D$6:$D$21,MATCH($G1290,設定!$B$6:$B$21,0))),""))</f>
        <v/>
      </c>
      <c r="I1290" s="83">
        <f>IF($G1290="","",IFERROR(IF(INDEX(設定!$E$6:$E$21,MATCH($G1290,設定!$B$6:$B$21,0))=0,"",INDEX(設定!$E$6:$E$21,MATCH($G1290,設定!$B$6:$B$21,0))),""))</f>
        <v/>
      </c>
      <c r="J1290" s="83">
        <f>IFERROR(INDEX(打卡匯入!$C$3:$C$2002,MATCH($C1290&amp;"|"&amp;DAY($A1290),打卡匯入!$E$3:$E$2002,0)),"")</f>
        <v/>
      </c>
      <c r="K1290" s="83">
        <f>IFERROR(INDEX(打卡匯入!$D$3:$D$2002,MATCH($C1290&amp;"|"&amp;DAY($A1290),打卡匯入!$E$3:$E$2002,0)),"")</f>
        <v/>
      </c>
      <c r="L1290" s="84">
        <f>IF(OR($J1290="",$K1290=""),"",IFERROR(INDEX(設定!$F$6:$F$21,MATCH($G1290,設定!$B$6:$B$21,0)),0))</f>
        <v/>
      </c>
      <c r="M1290" s="85">
        <f>IF(OR($J1290="",$K1290=""),"",ROUND(($K1290-$J1290)*24-$L1290/60,2))</f>
        <v/>
      </c>
      <c r="N1290" s="16">
        <f>IF($C1290="","",IF(AND(COUNTIF(設定!$B$15:$B$21,$G1290)&gt;0,$J1290&lt;&gt;""),"假日出勤",IF(AND(COUNTIF(設定!$B$6:$B$14,$G1290)&gt;0,$J1290=""),"未打卡",IF($J1290="","",IF($O1290&gt;0,"遲到",IF($P1290&gt;0,"早退","正常"))))))</f>
        <v/>
      </c>
      <c r="O1290" s="84">
        <f>IF(OR($C1290="",$H1290="",$J1290=""),0,IF(ROUND(($J1290-$H1290)*1440,0)&gt;設定!$C$46,ROUND(($J1290-$H1290)*1440,0),0))</f>
        <v/>
      </c>
      <c r="P1290" s="84">
        <f>IF(OR($C1290="",$I1290="",$K1290=""),0,IF(ROUND(($I1290-$K1290)*1440,0)&gt;設定!$C$46,ROUND(($I1290-$K1290)*1440,0),0))</f>
        <v/>
      </c>
      <c r="Q1290" s="85">
        <f>IF($M1290="",0,IF(($M1290-IFERROR(INDEX(設定!$G$6:$G$21,MATCH($G1290,設定!$B$6:$B$21,0)),0))*60&gt;=設定!$C$44,ROUND(FLOOR(($M1290-IFERROR(INDEX(設定!$G$6:$G$21,MATCH($G1290,設定!$B$6:$B$21,0)),0))*60,設定!$C$45)/60,2),0))</f>
        <v/>
      </c>
      <c r="R1290" s="16">
        <f>IF(OR($C1290="",$Q1290=0),"",IF($G1290="國","國定假日",IF($B1290="日","例假",IF($B1290="六","休息日","平日"))))</f>
        <v/>
      </c>
      <c r="S1290" s="19" t="n"/>
    </row>
    <row r="1291">
      <c r="A1291" s="82">
        <f>IF(OR(助理班表!$A46="",18&gt;DAY(EOMONTH(DATE(設定!$C$2,設定!$D$2,1),0))),"",DATE(設定!$C$2,設定!$D$2,18))</f>
        <v/>
      </c>
      <c r="B1291" s="16">
        <f>IF($A1291="","",INDEX(設定!$O$6:$O$12,WEEKDAY($A1291,1)))</f>
        <v/>
      </c>
      <c r="C1291" s="16">
        <f>IF($A1291="","",助理班表!$A46)</f>
        <v/>
      </c>
      <c r="D1291" s="16">
        <f>IF($C1291="","",助理班表!$B46)</f>
        <v/>
      </c>
      <c r="E1291" s="16">
        <f>IF($C1291="","",助理班表!$D46)</f>
        <v/>
      </c>
      <c r="F1291" s="16">
        <f>IF($C1291="","",助理班表!$C46)</f>
        <v/>
      </c>
      <c r="G1291" s="16">
        <f>IF($C1291="","",助理班表!V46)</f>
        <v/>
      </c>
      <c r="H1291" s="83">
        <f>IF($G1291="","",IFERROR(IF(INDEX(設定!$D$6:$D$21,MATCH($G1291,設定!$B$6:$B$21,0))=0,"",INDEX(設定!$D$6:$D$21,MATCH($G1291,設定!$B$6:$B$21,0))),""))</f>
        <v/>
      </c>
      <c r="I1291" s="83">
        <f>IF($G1291="","",IFERROR(IF(INDEX(設定!$E$6:$E$21,MATCH($G1291,設定!$B$6:$B$21,0))=0,"",INDEX(設定!$E$6:$E$21,MATCH($G1291,設定!$B$6:$B$21,0))),""))</f>
        <v/>
      </c>
      <c r="J1291" s="83">
        <f>IFERROR(INDEX(打卡匯入!$C$3:$C$2002,MATCH($C1291&amp;"|"&amp;DAY($A1291),打卡匯入!$E$3:$E$2002,0)),"")</f>
        <v/>
      </c>
      <c r="K1291" s="83">
        <f>IFERROR(INDEX(打卡匯入!$D$3:$D$2002,MATCH($C1291&amp;"|"&amp;DAY($A1291),打卡匯入!$E$3:$E$2002,0)),"")</f>
        <v/>
      </c>
      <c r="L1291" s="84">
        <f>IF(OR($J1291="",$K1291=""),"",IFERROR(INDEX(設定!$F$6:$F$21,MATCH($G1291,設定!$B$6:$B$21,0)),0))</f>
        <v/>
      </c>
      <c r="M1291" s="85">
        <f>IF(OR($J1291="",$K1291=""),"",ROUND(($K1291-$J1291)*24-$L1291/60,2))</f>
        <v/>
      </c>
      <c r="N1291" s="16">
        <f>IF($C1291="","",IF(AND(COUNTIF(設定!$B$15:$B$21,$G1291)&gt;0,$J1291&lt;&gt;""),"假日出勤",IF(AND(COUNTIF(設定!$B$6:$B$14,$G1291)&gt;0,$J1291=""),"未打卡",IF($J1291="","",IF($O1291&gt;0,"遲到",IF($P1291&gt;0,"早退","正常"))))))</f>
        <v/>
      </c>
      <c r="O1291" s="84">
        <f>IF(OR($C1291="",$H1291="",$J1291=""),0,IF(ROUND(($J1291-$H1291)*1440,0)&gt;設定!$C$46,ROUND(($J1291-$H1291)*1440,0),0))</f>
        <v/>
      </c>
      <c r="P1291" s="84">
        <f>IF(OR($C1291="",$I1291="",$K1291=""),0,IF(ROUND(($I1291-$K1291)*1440,0)&gt;設定!$C$46,ROUND(($I1291-$K1291)*1440,0),0))</f>
        <v/>
      </c>
      <c r="Q1291" s="85">
        <f>IF($M1291="",0,IF(($M1291-IFERROR(INDEX(設定!$G$6:$G$21,MATCH($G1291,設定!$B$6:$B$21,0)),0))*60&gt;=設定!$C$44,ROUND(FLOOR(($M1291-IFERROR(INDEX(設定!$G$6:$G$21,MATCH($G1291,設定!$B$6:$B$21,0)),0))*60,設定!$C$45)/60,2),0))</f>
        <v/>
      </c>
      <c r="R1291" s="16">
        <f>IF(OR($C1291="",$Q1291=0),"",IF($G1291="國","國定假日",IF($B1291="日","例假",IF($B1291="六","休息日","平日"))))</f>
        <v/>
      </c>
      <c r="S1291" s="19" t="n"/>
    </row>
    <row r="1292">
      <c r="A1292" s="82">
        <f>IF(OR(助理班表!$A46="",19&gt;DAY(EOMONTH(DATE(設定!$C$2,設定!$D$2,1),0))),"",DATE(設定!$C$2,設定!$D$2,19))</f>
        <v/>
      </c>
      <c r="B1292" s="16">
        <f>IF($A1292="","",INDEX(設定!$O$6:$O$12,WEEKDAY($A1292,1)))</f>
        <v/>
      </c>
      <c r="C1292" s="16">
        <f>IF($A1292="","",助理班表!$A46)</f>
        <v/>
      </c>
      <c r="D1292" s="16">
        <f>IF($C1292="","",助理班表!$B46)</f>
        <v/>
      </c>
      <c r="E1292" s="16">
        <f>IF($C1292="","",助理班表!$D46)</f>
        <v/>
      </c>
      <c r="F1292" s="16">
        <f>IF($C1292="","",助理班表!$C46)</f>
        <v/>
      </c>
      <c r="G1292" s="16">
        <f>IF($C1292="","",助理班表!W46)</f>
        <v/>
      </c>
      <c r="H1292" s="83">
        <f>IF($G1292="","",IFERROR(IF(INDEX(設定!$D$6:$D$21,MATCH($G1292,設定!$B$6:$B$21,0))=0,"",INDEX(設定!$D$6:$D$21,MATCH($G1292,設定!$B$6:$B$21,0))),""))</f>
        <v/>
      </c>
      <c r="I1292" s="83">
        <f>IF($G1292="","",IFERROR(IF(INDEX(設定!$E$6:$E$21,MATCH($G1292,設定!$B$6:$B$21,0))=0,"",INDEX(設定!$E$6:$E$21,MATCH($G1292,設定!$B$6:$B$21,0))),""))</f>
        <v/>
      </c>
      <c r="J1292" s="83">
        <f>IFERROR(INDEX(打卡匯入!$C$3:$C$2002,MATCH($C1292&amp;"|"&amp;DAY($A1292),打卡匯入!$E$3:$E$2002,0)),"")</f>
        <v/>
      </c>
      <c r="K1292" s="83">
        <f>IFERROR(INDEX(打卡匯入!$D$3:$D$2002,MATCH($C1292&amp;"|"&amp;DAY($A1292),打卡匯入!$E$3:$E$2002,0)),"")</f>
        <v/>
      </c>
      <c r="L1292" s="84">
        <f>IF(OR($J1292="",$K1292=""),"",IFERROR(INDEX(設定!$F$6:$F$21,MATCH($G1292,設定!$B$6:$B$21,0)),0))</f>
        <v/>
      </c>
      <c r="M1292" s="85">
        <f>IF(OR($J1292="",$K1292=""),"",ROUND(($K1292-$J1292)*24-$L1292/60,2))</f>
        <v/>
      </c>
      <c r="N1292" s="16">
        <f>IF($C1292="","",IF(AND(COUNTIF(設定!$B$15:$B$21,$G1292)&gt;0,$J1292&lt;&gt;""),"假日出勤",IF(AND(COUNTIF(設定!$B$6:$B$14,$G1292)&gt;0,$J1292=""),"未打卡",IF($J1292="","",IF($O1292&gt;0,"遲到",IF($P1292&gt;0,"早退","正常"))))))</f>
        <v/>
      </c>
      <c r="O1292" s="84">
        <f>IF(OR($C1292="",$H1292="",$J1292=""),0,IF(ROUND(($J1292-$H1292)*1440,0)&gt;設定!$C$46,ROUND(($J1292-$H1292)*1440,0),0))</f>
        <v/>
      </c>
      <c r="P1292" s="84">
        <f>IF(OR($C1292="",$I1292="",$K1292=""),0,IF(ROUND(($I1292-$K1292)*1440,0)&gt;設定!$C$46,ROUND(($I1292-$K1292)*1440,0),0))</f>
        <v/>
      </c>
      <c r="Q1292" s="85">
        <f>IF($M1292="",0,IF(($M1292-IFERROR(INDEX(設定!$G$6:$G$21,MATCH($G1292,設定!$B$6:$B$21,0)),0))*60&gt;=設定!$C$44,ROUND(FLOOR(($M1292-IFERROR(INDEX(設定!$G$6:$G$21,MATCH($G1292,設定!$B$6:$B$21,0)),0))*60,設定!$C$45)/60,2),0))</f>
        <v/>
      </c>
      <c r="R1292" s="16">
        <f>IF(OR($C1292="",$Q1292=0),"",IF($G1292="國","國定假日",IF($B1292="日","例假",IF($B1292="六","休息日","平日"))))</f>
        <v/>
      </c>
      <c r="S1292" s="19" t="n"/>
    </row>
    <row r="1293">
      <c r="A1293" s="82">
        <f>IF(OR(助理班表!$A46="",20&gt;DAY(EOMONTH(DATE(設定!$C$2,設定!$D$2,1),0))),"",DATE(設定!$C$2,設定!$D$2,20))</f>
        <v/>
      </c>
      <c r="B1293" s="16">
        <f>IF($A1293="","",INDEX(設定!$O$6:$O$12,WEEKDAY($A1293,1)))</f>
        <v/>
      </c>
      <c r="C1293" s="16">
        <f>IF($A1293="","",助理班表!$A46)</f>
        <v/>
      </c>
      <c r="D1293" s="16">
        <f>IF($C1293="","",助理班表!$B46)</f>
        <v/>
      </c>
      <c r="E1293" s="16">
        <f>IF($C1293="","",助理班表!$D46)</f>
        <v/>
      </c>
      <c r="F1293" s="16">
        <f>IF($C1293="","",助理班表!$C46)</f>
        <v/>
      </c>
      <c r="G1293" s="16">
        <f>IF($C1293="","",助理班表!X46)</f>
        <v/>
      </c>
      <c r="H1293" s="83">
        <f>IF($G1293="","",IFERROR(IF(INDEX(設定!$D$6:$D$21,MATCH($G1293,設定!$B$6:$B$21,0))=0,"",INDEX(設定!$D$6:$D$21,MATCH($G1293,設定!$B$6:$B$21,0))),""))</f>
        <v/>
      </c>
      <c r="I1293" s="83">
        <f>IF($G1293="","",IFERROR(IF(INDEX(設定!$E$6:$E$21,MATCH($G1293,設定!$B$6:$B$21,0))=0,"",INDEX(設定!$E$6:$E$21,MATCH($G1293,設定!$B$6:$B$21,0))),""))</f>
        <v/>
      </c>
      <c r="J1293" s="83">
        <f>IFERROR(INDEX(打卡匯入!$C$3:$C$2002,MATCH($C1293&amp;"|"&amp;DAY($A1293),打卡匯入!$E$3:$E$2002,0)),"")</f>
        <v/>
      </c>
      <c r="K1293" s="83">
        <f>IFERROR(INDEX(打卡匯入!$D$3:$D$2002,MATCH($C1293&amp;"|"&amp;DAY($A1293),打卡匯入!$E$3:$E$2002,0)),"")</f>
        <v/>
      </c>
      <c r="L1293" s="84">
        <f>IF(OR($J1293="",$K1293=""),"",IFERROR(INDEX(設定!$F$6:$F$21,MATCH($G1293,設定!$B$6:$B$21,0)),0))</f>
        <v/>
      </c>
      <c r="M1293" s="85">
        <f>IF(OR($J1293="",$K1293=""),"",ROUND(($K1293-$J1293)*24-$L1293/60,2))</f>
        <v/>
      </c>
      <c r="N1293" s="16">
        <f>IF($C1293="","",IF(AND(COUNTIF(設定!$B$15:$B$21,$G1293)&gt;0,$J1293&lt;&gt;""),"假日出勤",IF(AND(COUNTIF(設定!$B$6:$B$14,$G1293)&gt;0,$J1293=""),"未打卡",IF($J1293="","",IF($O1293&gt;0,"遲到",IF($P1293&gt;0,"早退","正常"))))))</f>
        <v/>
      </c>
      <c r="O1293" s="84">
        <f>IF(OR($C1293="",$H1293="",$J1293=""),0,IF(ROUND(($J1293-$H1293)*1440,0)&gt;設定!$C$46,ROUND(($J1293-$H1293)*1440,0),0))</f>
        <v/>
      </c>
      <c r="P1293" s="84">
        <f>IF(OR($C1293="",$I1293="",$K1293=""),0,IF(ROUND(($I1293-$K1293)*1440,0)&gt;設定!$C$46,ROUND(($I1293-$K1293)*1440,0),0))</f>
        <v/>
      </c>
      <c r="Q1293" s="85">
        <f>IF($M1293="",0,IF(($M1293-IFERROR(INDEX(設定!$G$6:$G$21,MATCH($G1293,設定!$B$6:$B$21,0)),0))*60&gt;=設定!$C$44,ROUND(FLOOR(($M1293-IFERROR(INDEX(設定!$G$6:$G$21,MATCH($G1293,設定!$B$6:$B$21,0)),0))*60,設定!$C$45)/60,2),0))</f>
        <v/>
      </c>
      <c r="R1293" s="16">
        <f>IF(OR($C1293="",$Q1293=0),"",IF($G1293="國","國定假日",IF($B1293="日","例假",IF($B1293="六","休息日","平日"))))</f>
        <v/>
      </c>
      <c r="S1293" s="19" t="n"/>
    </row>
    <row r="1294">
      <c r="A1294" s="82">
        <f>IF(OR(助理班表!$A46="",21&gt;DAY(EOMONTH(DATE(設定!$C$2,設定!$D$2,1),0))),"",DATE(設定!$C$2,設定!$D$2,21))</f>
        <v/>
      </c>
      <c r="B1294" s="16">
        <f>IF($A1294="","",INDEX(設定!$O$6:$O$12,WEEKDAY($A1294,1)))</f>
        <v/>
      </c>
      <c r="C1294" s="16">
        <f>IF($A1294="","",助理班表!$A46)</f>
        <v/>
      </c>
      <c r="D1294" s="16">
        <f>IF($C1294="","",助理班表!$B46)</f>
        <v/>
      </c>
      <c r="E1294" s="16">
        <f>IF($C1294="","",助理班表!$D46)</f>
        <v/>
      </c>
      <c r="F1294" s="16">
        <f>IF($C1294="","",助理班表!$C46)</f>
        <v/>
      </c>
      <c r="G1294" s="16">
        <f>IF($C1294="","",助理班表!Y46)</f>
        <v/>
      </c>
      <c r="H1294" s="83">
        <f>IF($G1294="","",IFERROR(IF(INDEX(設定!$D$6:$D$21,MATCH($G1294,設定!$B$6:$B$21,0))=0,"",INDEX(設定!$D$6:$D$21,MATCH($G1294,設定!$B$6:$B$21,0))),""))</f>
        <v/>
      </c>
      <c r="I1294" s="83">
        <f>IF($G1294="","",IFERROR(IF(INDEX(設定!$E$6:$E$21,MATCH($G1294,設定!$B$6:$B$21,0))=0,"",INDEX(設定!$E$6:$E$21,MATCH($G1294,設定!$B$6:$B$21,0))),""))</f>
        <v/>
      </c>
      <c r="J1294" s="83">
        <f>IFERROR(INDEX(打卡匯入!$C$3:$C$2002,MATCH($C1294&amp;"|"&amp;DAY($A1294),打卡匯入!$E$3:$E$2002,0)),"")</f>
        <v/>
      </c>
      <c r="K1294" s="83">
        <f>IFERROR(INDEX(打卡匯入!$D$3:$D$2002,MATCH($C1294&amp;"|"&amp;DAY($A1294),打卡匯入!$E$3:$E$2002,0)),"")</f>
        <v/>
      </c>
      <c r="L1294" s="84">
        <f>IF(OR($J1294="",$K1294=""),"",IFERROR(INDEX(設定!$F$6:$F$21,MATCH($G1294,設定!$B$6:$B$21,0)),0))</f>
        <v/>
      </c>
      <c r="M1294" s="85">
        <f>IF(OR($J1294="",$K1294=""),"",ROUND(($K1294-$J1294)*24-$L1294/60,2))</f>
        <v/>
      </c>
      <c r="N1294" s="16">
        <f>IF($C1294="","",IF(AND(COUNTIF(設定!$B$15:$B$21,$G1294)&gt;0,$J1294&lt;&gt;""),"假日出勤",IF(AND(COUNTIF(設定!$B$6:$B$14,$G1294)&gt;0,$J1294=""),"未打卡",IF($J1294="","",IF($O1294&gt;0,"遲到",IF($P1294&gt;0,"早退","正常"))))))</f>
        <v/>
      </c>
      <c r="O1294" s="84">
        <f>IF(OR($C1294="",$H1294="",$J1294=""),0,IF(ROUND(($J1294-$H1294)*1440,0)&gt;設定!$C$46,ROUND(($J1294-$H1294)*1440,0),0))</f>
        <v/>
      </c>
      <c r="P1294" s="84">
        <f>IF(OR($C1294="",$I1294="",$K1294=""),0,IF(ROUND(($I1294-$K1294)*1440,0)&gt;設定!$C$46,ROUND(($I1294-$K1294)*1440,0),0))</f>
        <v/>
      </c>
      <c r="Q1294" s="85">
        <f>IF($M1294="",0,IF(($M1294-IFERROR(INDEX(設定!$G$6:$G$21,MATCH($G1294,設定!$B$6:$B$21,0)),0))*60&gt;=設定!$C$44,ROUND(FLOOR(($M1294-IFERROR(INDEX(設定!$G$6:$G$21,MATCH($G1294,設定!$B$6:$B$21,0)),0))*60,設定!$C$45)/60,2),0))</f>
        <v/>
      </c>
      <c r="R1294" s="16">
        <f>IF(OR($C1294="",$Q1294=0),"",IF($G1294="國","國定假日",IF($B1294="日","例假",IF($B1294="六","休息日","平日"))))</f>
        <v/>
      </c>
      <c r="S1294" s="19" t="n"/>
    </row>
    <row r="1295">
      <c r="A1295" s="82">
        <f>IF(OR(助理班表!$A46="",22&gt;DAY(EOMONTH(DATE(設定!$C$2,設定!$D$2,1),0))),"",DATE(設定!$C$2,設定!$D$2,22))</f>
        <v/>
      </c>
      <c r="B1295" s="16">
        <f>IF($A1295="","",INDEX(設定!$O$6:$O$12,WEEKDAY($A1295,1)))</f>
        <v/>
      </c>
      <c r="C1295" s="16">
        <f>IF($A1295="","",助理班表!$A46)</f>
        <v/>
      </c>
      <c r="D1295" s="16">
        <f>IF($C1295="","",助理班表!$B46)</f>
        <v/>
      </c>
      <c r="E1295" s="16">
        <f>IF($C1295="","",助理班表!$D46)</f>
        <v/>
      </c>
      <c r="F1295" s="16">
        <f>IF($C1295="","",助理班表!$C46)</f>
        <v/>
      </c>
      <c r="G1295" s="16">
        <f>IF($C1295="","",助理班表!Z46)</f>
        <v/>
      </c>
      <c r="H1295" s="83">
        <f>IF($G1295="","",IFERROR(IF(INDEX(設定!$D$6:$D$21,MATCH($G1295,設定!$B$6:$B$21,0))=0,"",INDEX(設定!$D$6:$D$21,MATCH($G1295,設定!$B$6:$B$21,0))),""))</f>
        <v/>
      </c>
      <c r="I1295" s="83">
        <f>IF($G1295="","",IFERROR(IF(INDEX(設定!$E$6:$E$21,MATCH($G1295,設定!$B$6:$B$21,0))=0,"",INDEX(設定!$E$6:$E$21,MATCH($G1295,設定!$B$6:$B$21,0))),""))</f>
        <v/>
      </c>
      <c r="J1295" s="83">
        <f>IFERROR(INDEX(打卡匯入!$C$3:$C$2002,MATCH($C1295&amp;"|"&amp;DAY($A1295),打卡匯入!$E$3:$E$2002,0)),"")</f>
        <v/>
      </c>
      <c r="K1295" s="83">
        <f>IFERROR(INDEX(打卡匯入!$D$3:$D$2002,MATCH($C1295&amp;"|"&amp;DAY($A1295),打卡匯入!$E$3:$E$2002,0)),"")</f>
        <v/>
      </c>
      <c r="L1295" s="84">
        <f>IF(OR($J1295="",$K1295=""),"",IFERROR(INDEX(設定!$F$6:$F$21,MATCH($G1295,設定!$B$6:$B$21,0)),0))</f>
        <v/>
      </c>
      <c r="M1295" s="85">
        <f>IF(OR($J1295="",$K1295=""),"",ROUND(($K1295-$J1295)*24-$L1295/60,2))</f>
        <v/>
      </c>
      <c r="N1295" s="16">
        <f>IF($C1295="","",IF(AND(COUNTIF(設定!$B$15:$B$21,$G1295)&gt;0,$J1295&lt;&gt;""),"假日出勤",IF(AND(COUNTIF(設定!$B$6:$B$14,$G1295)&gt;0,$J1295=""),"未打卡",IF($J1295="","",IF($O1295&gt;0,"遲到",IF($P1295&gt;0,"早退","正常"))))))</f>
        <v/>
      </c>
      <c r="O1295" s="84">
        <f>IF(OR($C1295="",$H1295="",$J1295=""),0,IF(ROUND(($J1295-$H1295)*1440,0)&gt;設定!$C$46,ROUND(($J1295-$H1295)*1440,0),0))</f>
        <v/>
      </c>
      <c r="P1295" s="84">
        <f>IF(OR($C1295="",$I1295="",$K1295=""),0,IF(ROUND(($I1295-$K1295)*1440,0)&gt;設定!$C$46,ROUND(($I1295-$K1295)*1440,0),0))</f>
        <v/>
      </c>
      <c r="Q1295" s="85">
        <f>IF($M1295="",0,IF(($M1295-IFERROR(INDEX(設定!$G$6:$G$21,MATCH($G1295,設定!$B$6:$B$21,0)),0))*60&gt;=設定!$C$44,ROUND(FLOOR(($M1295-IFERROR(INDEX(設定!$G$6:$G$21,MATCH($G1295,設定!$B$6:$B$21,0)),0))*60,設定!$C$45)/60,2),0))</f>
        <v/>
      </c>
      <c r="R1295" s="16">
        <f>IF(OR($C1295="",$Q1295=0),"",IF($G1295="國","國定假日",IF($B1295="日","例假",IF($B1295="六","休息日","平日"))))</f>
        <v/>
      </c>
      <c r="S1295" s="19" t="n"/>
    </row>
    <row r="1296">
      <c r="A1296" s="82">
        <f>IF(OR(助理班表!$A46="",23&gt;DAY(EOMONTH(DATE(設定!$C$2,設定!$D$2,1),0))),"",DATE(設定!$C$2,設定!$D$2,23))</f>
        <v/>
      </c>
      <c r="B1296" s="16">
        <f>IF($A1296="","",INDEX(設定!$O$6:$O$12,WEEKDAY($A1296,1)))</f>
        <v/>
      </c>
      <c r="C1296" s="16">
        <f>IF($A1296="","",助理班表!$A46)</f>
        <v/>
      </c>
      <c r="D1296" s="16">
        <f>IF($C1296="","",助理班表!$B46)</f>
        <v/>
      </c>
      <c r="E1296" s="16">
        <f>IF($C1296="","",助理班表!$D46)</f>
        <v/>
      </c>
      <c r="F1296" s="16">
        <f>IF($C1296="","",助理班表!$C46)</f>
        <v/>
      </c>
      <c r="G1296" s="16">
        <f>IF($C1296="","",助理班表!AA46)</f>
        <v/>
      </c>
      <c r="H1296" s="83">
        <f>IF($G1296="","",IFERROR(IF(INDEX(設定!$D$6:$D$21,MATCH($G1296,設定!$B$6:$B$21,0))=0,"",INDEX(設定!$D$6:$D$21,MATCH($G1296,設定!$B$6:$B$21,0))),""))</f>
        <v/>
      </c>
      <c r="I1296" s="83">
        <f>IF($G1296="","",IFERROR(IF(INDEX(設定!$E$6:$E$21,MATCH($G1296,設定!$B$6:$B$21,0))=0,"",INDEX(設定!$E$6:$E$21,MATCH($G1296,設定!$B$6:$B$21,0))),""))</f>
        <v/>
      </c>
      <c r="J1296" s="83">
        <f>IFERROR(INDEX(打卡匯入!$C$3:$C$2002,MATCH($C1296&amp;"|"&amp;DAY($A1296),打卡匯入!$E$3:$E$2002,0)),"")</f>
        <v/>
      </c>
      <c r="K1296" s="83">
        <f>IFERROR(INDEX(打卡匯入!$D$3:$D$2002,MATCH($C1296&amp;"|"&amp;DAY($A1296),打卡匯入!$E$3:$E$2002,0)),"")</f>
        <v/>
      </c>
      <c r="L1296" s="84">
        <f>IF(OR($J1296="",$K1296=""),"",IFERROR(INDEX(設定!$F$6:$F$21,MATCH($G1296,設定!$B$6:$B$21,0)),0))</f>
        <v/>
      </c>
      <c r="M1296" s="85">
        <f>IF(OR($J1296="",$K1296=""),"",ROUND(($K1296-$J1296)*24-$L1296/60,2))</f>
        <v/>
      </c>
      <c r="N1296" s="16">
        <f>IF($C1296="","",IF(AND(COUNTIF(設定!$B$15:$B$21,$G1296)&gt;0,$J1296&lt;&gt;""),"假日出勤",IF(AND(COUNTIF(設定!$B$6:$B$14,$G1296)&gt;0,$J1296=""),"未打卡",IF($J1296="","",IF($O1296&gt;0,"遲到",IF($P1296&gt;0,"早退","正常"))))))</f>
        <v/>
      </c>
      <c r="O1296" s="84">
        <f>IF(OR($C1296="",$H1296="",$J1296=""),0,IF(ROUND(($J1296-$H1296)*1440,0)&gt;設定!$C$46,ROUND(($J1296-$H1296)*1440,0),0))</f>
        <v/>
      </c>
      <c r="P1296" s="84">
        <f>IF(OR($C1296="",$I1296="",$K1296=""),0,IF(ROUND(($I1296-$K1296)*1440,0)&gt;設定!$C$46,ROUND(($I1296-$K1296)*1440,0),0))</f>
        <v/>
      </c>
      <c r="Q1296" s="85">
        <f>IF($M1296="",0,IF(($M1296-IFERROR(INDEX(設定!$G$6:$G$21,MATCH($G1296,設定!$B$6:$B$21,0)),0))*60&gt;=設定!$C$44,ROUND(FLOOR(($M1296-IFERROR(INDEX(設定!$G$6:$G$21,MATCH($G1296,設定!$B$6:$B$21,0)),0))*60,設定!$C$45)/60,2),0))</f>
        <v/>
      </c>
      <c r="R1296" s="16">
        <f>IF(OR($C1296="",$Q1296=0),"",IF($G1296="國","國定假日",IF($B1296="日","例假",IF($B1296="六","休息日","平日"))))</f>
        <v/>
      </c>
      <c r="S1296" s="19" t="n"/>
    </row>
    <row r="1297">
      <c r="A1297" s="82">
        <f>IF(OR(助理班表!$A46="",24&gt;DAY(EOMONTH(DATE(設定!$C$2,設定!$D$2,1),0))),"",DATE(設定!$C$2,設定!$D$2,24))</f>
        <v/>
      </c>
      <c r="B1297" s="16">
        <f>IF($A1297="","",INDEX(設定!$O$6:$O$12,WEEKDAY($A1297,1)))</f>
        <v/>
      </c>
      <c r="C1297" s="16">
        <f>IF($A1297="","",助理班表!$A46)</f>
        <v/>
      </c>
      <c r="D1297" s="16">
        <f>IF($C1297="","",助理班表!$B46)</f>
        <v/>
      </c>
      <c r="E1297" s="16">
        <f>IF($C1297="","",助理班表!$D46)</f>
        <v/>
      </c>
      <c r="F1297" s="16">
        <f>IF($C1297="","",助理班表!$C46)</f>
        <v/>
      </c>
      <c r="G1297" s="16">
        <f>IF($C1297="","",助理班表!AB46)</f>
        <v/>
      </c>
      <c r="H1297" s="83">
        <f>IF($G1297="","",IFERROR(IF(INDEX(設定!$D$6:$D$21,MATCH($G1297,設定!$B$6:$B$21,0))=0,"",INDEX(設定!$D$6:$D$21,MATCH($G1297,設定!$B$6:$B$21,0))),""))</f>
        <v/>
      </c>
      <c r="I1297" s="83">
        <f>IF($G1297="","",IFERROR(IF(INDEX(設定!$E$6:$E$21,MATCH($G1297,設定!$B$6:$B$21,0))=0,"",INDEX(設定!$E$6:$E$21,MATCH($G1297,設定!$B$6:$B$21,0))),""))</f>
        <v/>
      </c>
      <c r="J1297" s="83">
        <f>IFERROR(INDEX(打卡匯入!$C$3:$C$2002,MATCH($C1297&amp;"|"&amp;DAY($A1297),打卡匯入!$E$3:$E$2002,0)),"")</f>
        <v/>
      </c>
      <c r="K1297" s="83">
        <f>IFERROR(INDEX(打卡匯入!$D$3:$D$2002,MATCH($C1297&amp;"|"&amp;DAY($A1297),打卡匯入!$E$3:$E$2002,0)),"")</f>
        <v/>
      </c>
      <c r="L1297" s="84">
        <f>IF(OR($J1297="",$K1297=""),"",IFERROR(INDEX(設定!$F$6:$F$21,MATCH($G1297,設定!$B$6:$B$21,0)),0))</f>
        <v/>
      </c>
      <c r="M1297" s="85">
        <f>IF(OR($J1297="",$K1297=""),"",ROUND(($K1297-$J1297)*24-$L1297/60,2))</f>
        <v/>
      </c>
      <c r="N1297" s="16">
        <f>IF($C1297="","",IF(AND(COUNTIF(設定!$B$15:$B$21,$G1297)&gt;0,$J1297&lt;&gt;""),"假日出勤",IF(AND(COUNTIF(設定!$B$6:$B$14,$G1297)&gt;0,$J1297=""),"未打卡",IF($J1297="","",IF($O1297&gt;0,"遲到",IF($P1297&gt;0,"早退","正常"))))))</f>
        <v/>
      </c>
      <c r="O1297" s="84">
        <f>IF(OR($C1297="",$H1297="",$J1297=""),0,IF(ROUND(($J1297-$H1297)*1440,0)&gt;設定!$C$46,ROUND(($J1297-$H1297)*1440,0),0))</f>
        <v/>
      </c>
      <c r="P1297" s="84">
        <f>IF(OR($C1297="",$I1297="",$K1297=""),0,IF(ROUND(($I1297-$K1297)*1440,0)&gt;設定!$C$46,ROUND(($I1297-$K1297)*1440,0),0))</f>
        <v/>
      </c>
      <c r="Q1297" s="85">
        <f>IF($M1297="",0,IF(($M1297-IFERROR(INDEX(設定!$G$6:$G$21,MATCH($G1297,設定!$B$6:$B$21,0)),0))*60&gt;=設定!$C$44,ROUND(FLOOR(($M1297-IFERROR(INDEX(設定!$G$6:$G$21,MATCH($G1297,設定!$B$6:$B$21,0)),0))*60,設定!$C$45)/60,2),0))</f>
        <v/>
      </c>
      <c r="R1297" s="16">
        <f>IF(OR($C1297="",$Q1297=0),"",IF($G1297="國","國定假日",IF($B1297="日","例假",IF($B1297="六","休息日","平日"))))</f>
        <v/>
      </c>
      <c r="S1297" s="19" t="n"/>
    </row>
    <row r="1298">
      <c r="A1298" s="82">
        <f>IF(OR(助理班表!$A46="",25&gt;DAY(EOMONTH(DATE(設定!$C$2,設定!$D$2,1),0))),"",DATE(設定!$C$2,設定!$D$2,25))</f>
        <v/>
      </c>
      <c r="B1298" s="16">
        <f>IF($A1298="","",INDEX(設定!$O$6:$O$12,WEEKDAY($A1298,1)))</f>
        <v/>
      </c>
      <c r="C1298" s="16">
        <f>IF($A1298="","",助理班表!$A46)</f>
        <v/>
      </c>
      <c r="D1298" s="16">
        <f>IF($C1298="","",助理班表!$B46)</f>
        <v/>
      </c>
      <c r="E1298" s="16">
        <f>IF($C1298="","",助理班表!$D46)</f>
        <v/>
      </c>
      <c r="F1298" s="16">
        <f>IF($C1298="","",助理班表!$C46)</f>
        <v/>
      </c>
      <c r="G1298" s="16">
        <f>IF($C1298="","",助理班表!AC46)</f>
        <v/>
      </c>
      <c r="H1298" s="83">
        <f>IF($G1298="","",IFERROR(IF(INDEX(設定!$D$6:$D$21,MATCH($G1298,設定!$B$6:$B$21,0))=0,"",INDEX(設定!$D$6:$D$21,MATCH($G1298,設定!$B$6:$B$21,0))),""))</f>
        <v/>
      </c>
      <c r="I1298" s="83">
        <f>IF($G1298="","",IFERROR(IF(INDEX(設定!$E$6:$E$21,MATCH($G1298,設定!$B$6:$B$21,0))=0,"",INDEX(設定!$E$6:$E$21,MATCH($G1298,設定!$B$6:$B$21,0))),""))</f>
        <v/>
      </c>
      <c r="J1298" s="83">
        <f>IFERROR(INDEX(打卡匯入!$C$3:$C$2002,MATCH($C1298&amp;"|"&amp;DAY($A1298),打卡匯入!$E$3:$E$2002,0)),"")</f>
        <v/>
      </c>
      <c r="K1298" s="83">
        <f>IFERROR(INDEX(打卡匯入!$D$3:$D$2002,MATCH($C1298&amp;"|"&amp;DAY($A1298),打卡匯入!$E$3:$E$2002,0)),"")</f>
        <v/>
      </c>
      <c r="L1298" s="84">
        <f>IF(OR($J1298="",$K1298=""),"",IFERROR(INDEX(設定!$F$6:$F$21,MATCH($G1298,設定!$B$6:$B$21,0)),0))</f>
        <v/>
      </c>
      <c r="M1298" s="85">
        <f>IF(OR($J1298="",$K1298=""),"",ROUND(($K1298-$J1298)*24-$L1298/60,2))</f>
        <v/>
      </c>
      <c r="N1298" s="16">
        <f>IF($C1298="","",IF(AND(COUNTIF(設定!$B$15:$B$21,$G1298)&gt;0,$J1298&lt;&gt;""),"假日出勤",IF(AND(COUNTIF(設定!$B$6:$B$14,$G1298)&gt;0,$J1298=""),"未打卡",IF($J1298="","",IF($O1298&gt;0,"遲到",IF($P1298&gt;0,"早退","正常"))))))</f>
        <v/>
      </c>
      <c r="O1298" s="84">
        <f>IF(OR($C1298="",$H1298="",$J1298=""),0,IF(ROUND(($J1298-$H1298)*1440,0)&gt;設定!$C$46,ROUND(($J1298-$H1298)*1440,0),0))</f>
        <v/>
      </c>
      <c r="P1298" s="84">
        <f>IF(OR($C1298="",$I1298="",$K1298=""),0,IF(ROUND(($I1298-$K1298)*1440,0)&gt;設定!$C$46,ROUND(($I1298-$K1298)*1440,0),0))</f>
        <v/>
      </c>
      <c r="Q1298" s="85">
        <f>IF($M1298="",0,IF(($M1298-IFERROR(INDEX(設定!$G$6:$G$21,MATCH($G1298,設定!$B$6:$B$21,0)),0))*60&gt;=設定!$C$44,ROUND(FLOOR(($M1298-IFERROR(INDEX(設定!$G$6:$G$21,MATCH($G1298,設定!$B$6:$B$21,0)),0))*60,設定!$C$45)/60,2),0))</f>
        <v/>
      </c>
      <c r="R1298" s="16">
        <f>IF(OR($C1298="",$Q1298=0),"",IF($G1298="國","國定假日",IF($B1298="日","例假",IF($B1298="六","休息日","平日"))))</f>
        <v/>
      </c>
      <c r="S1298" s="19" t="n"/>
    </row>
    <row r="1299">
      <c r="A1299" s="82">
        <f>IF(OR(助理班表!$A46="",26&gt;DAY(EOMONTH(DATE(設定!$C$2,設定!$D$2,1),0))),"",DATE(設定!$C$2,設定!$D$2,26))</f>
        <v/>
      </c>
      <c r="B1299" s="16">
        <f>IF($A1299="","",INDEX(設定!$O$6:$O$12,WEEKDAY($A1299,1)))</f>
        <v/>
      </c>
      <c r="C1299" s="16">
        <f>IF($A1299="","",助理班表!$A46)</f>
        <v/>
      </c>
      <c r="D1299" s="16">
        <f>IF($C1299="","",助理班表!$B46)</f>
        <v/>
      </c>
      <c r="E1299" s="16">
        <f>IF($C1299="","",助理班表!$D46)</f>
        <v/>
      </c>
      <c r="F1299" s="16">
        <f>IF($C1299="","",助理班表!$C46)</f>
        <v/>
      </c>
      <c r="G1299" s="16">
        <f>IF($C1299="","",助理班表!AD46)</f>
        <v/>
      </c>
      <c r="H1299" s="83">
        <f>IF($G1299="","",IFERROR(IF(INDEX(設定!$D$6:$D$21,MATCH($G1299,設定!$B$6:$B$21,0))=0,"",INDEX(設定!$D$6:$D$21,MATCH($G1299,設定!$B$6:$B$21,0))),""))</f>
        <v/>
      </c>
      <c r="I1299" s="83">
        <f>IF($G1299="","",IFERROR(IF(INDEX(設定!$E$6:$E$21,MATCH($G1299,設定!$B$6:$B$21,0))=0,"",INDEX(設定!$E$6:$E$21,MATCH($G1299,設定!$B$6:$B$21,0))),""))</f>
        <v/>
      </c>
      <c r="J1299" s="83">
        <f>IFERROR(INDEX(打卡匯入!$C$3:$C$2002,MATCH($C1299&amp;"|"&amp;DAY($A1299),打卡匯入!$E$3:$E$2002,0)),"")</f>
        <v/>
      </c>
      <c r="K1299" s="83">
        <f>IFERROR(INDEX(打卡匯入!$D$3:$D$2002,MATCH($C1299&amp;"|"&amp;DAY($A1299),打卡匯入!$E$3:$E$2002,0)),"")</f>
        <v/>
      </c>
      <c r="L1299" s="84">
        <f>IF(OR($J1299="",$K1299=""),"",IFERROR(INDEX(設定!$F$6:$F$21,MATCH($G1299,設定!$B$6:$B$21,0)),0))</f>
        <v/>
      </c>
      <c r="M1299" s="85">
        <f>IF(OR($J1299="",$K1299=""),"",ROUND(($K1299-$J1299)*24-$L1299/60,2))</f>
        <v/>
      </c>
      <c r="N1299" s="16">
        <f>IF($C1299="","",IF(AND(COUNTIF(設定!$B$15:$B$21,$G1299)&gt;0,$J1299&lt;&gt;""),"假日出勤",IF(AND(COUNTIF(設定!$B$6:$B$14,$G1299)&gt;0,$J1299=""),"未打卡",IF($J1299="","",IF($O1299&gt;0,"遲到",IF($P1299&gt;0,"早退","正常"))))))</f>
        <v/>
      </c>
      <c r="O1299" s="84">
        <f>IF(OR($C1299="",$H1299="",$J1299=""),0,IF(ROUND(($J1299-$H1299)*1440,0)&gt;設定!$C$46,ROUND(($J1299-$H1299)*1440,0),0))</f>
        <v/>
      </c>
      <c r="P1299" s="84">
        <f>IF(OR($C1299="",$I1299="",$K1299=""),0,IF(ROUND(($I1299-$K1299)*1440,0)&gt;設定!$C$46,ROUND(($I1299-$K1299)*1440,0),0))</f>
        <v/>
      </c>
      <c r="Q1299" s="85">
        <f>IF($M1299="",0,IF(($M1299-IFERROR(INDEX(設定!$G$6:$G$21,MATCH($G1299,設定!$B$6:$B$21,0)),0))*60&gt;=設定!$C$44,ROUND(FLOOR(($M1299-IFERROR(INDEX(設定!$G$6:$G$21,MATCH($G1299,設定!$B$6:$B$21,0)),0))*60,設定!$C$45)/60,2),0))</f>
        <v/>
      </c>
      <c r="R1299" s="16">
        <f>IF(OR($C1299="",$Q1299=0),"",IF($G1299="國","國定假日",IF($B1299="日","例假",IF($B1299="六","休息日","平日"))))</f>
        <v/>
      </c>
      <c r="S1299" s="19" t="n"/>
    </row>
    <row r="1300">
      <c r="A1300" s="82">
        <f>IF(OR(助理班表!$A46="",27&gt;DAY(EOMONTH(DATE(設定!$C$2,設定!$D$2,1),0))),"",DATE(設定!$C$2,設定!$D$2,27))</f>
        <v/>
      </c>
      <c r="B1300" s="16">
        <f>IF($A1300="","",INDEX(設定!$O$6:$O$12,WEEKDAY($A1300,1)))</f>
        <v/>
      </c>
      <c r="C1300" s="16">
        <f>IF($A1300="","",助理班表!$A46)</f>
        <v/>
      </c>
      <c r="D1300" s="16">
        <f>IF($C1300="","",助理班表!$B46)</f>
        <v/>
      </c>
      <c r="E1300" s="16">
        <f>IF($C1300="","",助理班表!$D46)</f>
        <v/>
      </c>
      <c r="F1300" s="16">
        <f>IF($C1300="","",助理班表!$C46)</f>
        <v/>
      </c>
      <c r="G1300" s="16">
        <f>IF($C1300="","",助理班表!AE46)</f>
        <v/>
      </c>
      <c r="H1300" s="83">
        <f>IF($G1300="","",IFERROR(IF(INDEX(設定!$D$6:$D$21,MATCH($G1300,設定!$B$6:$B$21,0))=0,"",INDEX(設定!$D$6:$D$21,MATCH($G1300,設定!$B$6:$B$21,0))),""))</f>
        <v/>
      </c>
      <c r="I1300" s="83">
        <f>IF($G1300="","",IFERROR(IF(INDEX(設定!$E$6:$E$21,MATCH($G1300,設定!$B$6:$B$21,0))=0,"",INDEX(設定!$E$6:$E$21,MATCH($G1300,設定!$B$6:$B$21,0))),""))</f>
        <v/>
      </c>
      <c r="J1300" s="83">
        <f>IFERROR(INDEX(打卡匯入!$C$3:$C$2002,MATCH($C1300&amp;"|"&amp;DAY($A1300),打卡匯入!$E$3:$E$2002,0)),"")</f>
        <v/>
      </c>
      <c r="K1300" s="83">
        <f>IFERROR(INDEX(打卡匯入!$D$3:$D$2002,MATCH($C1300&amp;"|"&amp;DAY($A1300),打卡匯入!$E$3:$E$2002,0)),"")</f>
        <v/>
      </c>
      <c r="L1300" s="84">
        <f>IF(OR($J1300="",$K1300=""),"",IFERROR(INDEX(設定!$F$6:$F$21,MATCH($G1300,設定!$B$6:$B$21,0)),0))</f>
        <v/>
      </c>
      <c r="M1300" s="85">
        <f>IF(OR($J1300="",$K1300=""),"",ROUND(($K1300-$J1300)*24-$L1300/60,2))</f>
        <v/>
      </c>
      <c r="N1300" s="16">
        <f>IF($C1300="","",IF(AND(COUNTIF(設定!$B$15:$B$21,$G1300)&gt;0,$J1300&lt;&gt;""),"假日出勤",IF(AND(COUNTIF(設定!$B$6:$B$14,$G1300)&gt;0,$J1300=""),"未打卡",IF($J1300="","",IF($O1300&gt;0,"遲到",IF($P1300&gt;0,"早退","正常"))))))</f>
        <v/>
      </c>
      <c r="O1300" s="84">
        <f>IF(OR($C1300="",$H1300="",$J1300=""),0,IF(ROUND(($J1300-$H1300)*1440,0)&gt;設定!$C$46,ROUND(($J1300-$H1300)*1440,0),0))</f>
        <v/>
      </c>
      <c r="P1300" s="84">
        <f>IF(OR($C1300="",$I1300="",$K1300=""),0,IF(ROUND(($I1300-$K1300)*1440,0)&gt;設定!$C$46,ROUND(($I1300-$K1300)*1440,0),0))</f>
        <v/>
      </c>
      <c r="Q1300" s="85">
        <f>IF($M1300="",0,IF(($M1300-IFERROR(INDEX(設定!$G$6:$G$21,MATCH($G1300,設定!$B$6:$B$21,0)),0))*60&gt;=設定!$C$44,ROUND(FLOOR(($M1300-IFERROR(INDEX(設定!$G$6:$G$21,MATCH($G1300,設定!$B$6:$B$21,0)),0))*60,設定!$C$45)/60,2),0))</f>
        <v/>
      </c>
      <c r="R1300" s="16">
        <f>IF(OR($C1300="",$Q1300=0),"",IF($G1300="國","國定假日",IF($B1300="日","例假",IF($B1300="六","休息日","平日"))))</f>
        <v/>
      </c>
      <c r="S1300" s="19" t="n"/>
    </row>
    <row r="1301">
      <c r="A1301" s="82">
        <f>IF(OR(助理班表!$A46="",28&gt;DAY(EOMONTH(DATE(設定!$C$2,設定!$D$2,1),0))),"",DATE(設定!$C$2,設定!$D$2,28))</f>
        <v/>
      </c>
      <c r="B1301" s="16">
        <f>IF($A1301="","",INDEX(設定!$O$6:$O$12,WEEKDAY($A1301,1)))</f>
        <v/>
      </c>
      <c r="C1301" s="16">
        <f>IF($A1301="","",助理班表!$A46)</f>
        <v/>
      </c>
      <c r="D1301" s="16">
        <f>IF($C1301="","",助理班表!$B46)</f>
        <v/>
      </c>
      <c r="E1301" s="16">
        <f>IF($C1301="","",助理班表!$D46)</f>
        <v/>
      </c>
      <c r="F1301" s="16">
        <f>IF($C1301="","",助理班表!$C46)</f>
        <v/>
      </c>
      <c r="G1301" s="16">
        <f>IF($C1301="","",助理班表!AF46)</f>
        <v/>
      </c>
      <c r="H1301" s="83">
        <f>IF($G1301="","",IFERROR(IF(INDEX(設定!$D$6:$D$21,MATCH($G1301,設定!$B$6:$B$21,0))=0,"",INDEX(設定!$D$6:$D$21,MATCH($G1301,設定!$B$6:$B$21,0))),""))</f>
        <v/>
      </c>
      <c r="I1301" s="83">
        <f>IF($G1301="","",IFERROR(IF(INDEX(設定!$E$6:$E$21,MATCH($G1301,設定!$B$6:$B$21,0))=0,"",INDEX(設定!$E$6:$E$21,MATCH($G1301,設定!$B$6:$B$21,0))),""))</f>
        <v/>
      </c>
      <c r="J1301" s="83">
        <f>IFERROR(INDEX(打卡匯入!$C$3:$C$2002,MATCH($C1301&amp;"|"&amp;DAY($A1301),打卡匯入!$E$3:$E$2002,0)),"")</f>
        <v/>
      </c>
      <c r="K1301" s="83">
        <f>IFERROR(INDEX(打卡匯入!$D$3:$D$2002,MATCH($C1301&amp;"|"&amp;DAY($A1301),打卡匯入!$E$3:$E$2002,0)),"")</f>
        <v/>
      </c>
      <c r="L1301" s="84">
        <f>IF(OR($J1301="",$K1301=""),"",IFERROR(INDEX(設定!$F$6:$F$21,MATCH($G1301,設定!$B$6:$B$21,0)),0))</f>
        <v/>
      </c>
      <c r="M1301" s="85">
        <f>IF(OR($J1301="",$K1301=""),"",ROUND(($K1301-$J1301)*24-$L1301/60,2))</f>
        <v/>
      </c>
      <c r="N1301" s="16">
        <f>IF($C1301="","",IF(AND(COUNTIF(設定!$B$15:$B$21,$G1301)&gt;0,$J1301&lt;&gt;""),"假日出勤",IF(AND(COUNTIF(設定!$B$6:$B$14,$G1301)&gt;0,$J1301=""),"未打卡",IF($J1301="","",IF($O1301&gt;0,"遲到",IF($P1301&gt;0,"早退","正常"))))))</f>
        <v/>
      </c>
      <c r="O1301" s="84">
        <f>IF(OR($C1301="",$H1301="",$J1301=""),0,IF(ROUND(($J1301-$H1301)*1440,0)&gt;設定!$C$46,ROUND(($J1301-$H1301)*1440,0),0))</f>
        <v/>
      </c>
      <c r="P1301" s="84">
        <f>IF(OR($C1301="",$I1301="",$K1301=""),0,IF(ROUND(($I1301-$K1301)*1440,0)&gt;設定!$C$46,ROUND(($I1301-$K1301)*1440,0),0))</f>
        <v/>
      </c>
      <c r="Q1301" s="85">
        <f>IF($M1301="",0,IF(($M1301-IFERROR(INDEX(設定!$G$6:$G$21,MATCH($G1301,設定!$B$6:$B$21,0)),0))*60&gt;=設定!$C$44,ROUND(FLOOR(($M1301-IFERROR(INDEX(設定!$G$6:$G$21,MATCH($G1301,設定!$B$6:$B$21,0)),0))*60,設定!$C$45)/60,2),0))</f>
        <v/>
      </c>
      <c r="R1301" s="16">
        <f>IF(OR($C1301="",$Q1301=0),"",IF($G1301="國","國定假日",IF($B1301="日","例假",IF($B1301="六","休息日","平日"))))</f>
        <v/>
      </c>
      <c r="S1301" s="19" t="n"/>
    </row>
    <row r="1302">
      <c r="A1302" s="82">
        <f>IF(OR(助理班表!$A46="",29&gt;DAY(EOMONTH(DATE(設定!$C$2,設定!$D$2,1),0))),"",DATE(設定!$C$2,設定!$D$2,29))</f>
        <v/>
      </c>
      <c r="B1302" s="16">
        <f>IF($A1302="","",INDEX(設定!$O$6:$O$12,WEEKDAY($A1302,1)))</f>
        <v/>
      </c>
      <c r="C1302" s="16">
        <f>IF($A1302="","",助理班表!$A46)</f>
        <v/>
      </c>
      <c r="D1302" s="16">
        <f>IF($C1302="","",助理班表!$B46)</f>
        <v/>
      </c>
      <c r="E1302" s="16">
        <f>IF($C1302="","",助理班表!$D46)</f>
        <v/>
      </c>
      <c r="F1302" s="16">
        <f>IF($C1302="","",助理班表!$C46)</f>
        <v/>
      </c>
      <c r="G1302" s="16">
        <f>IF($C1302="","",助理班表!AG46)</f>
        <v/>
      </c>
      <c r="H1302" s="83">
        <f>IF($G1302="","",IFERROR(IF(INDEX(設定!$D$6:$D$21,MATCH($G1302,設定!$B$6:$B$21,0))=0,"",INDEX(設定!$D$6:$D$21,MATCH($G1302,設定!$B$6:$B$21,0))),""))</f>
        <v/>
      </c>
      <c r="I1302" s="83">
        <f>IF($G1302="","",IFERROR(IF(INDEX(設定!$E$6:$E$21,MATCH($G1302,設定!$B$6:$B$21,0))=0,"",INDEX(設定!$E$6:$E$21,MATCH($G1302,設定!$B$6:$B$21,0))),""))</f>
        <v/>
      </c>
      <c r="J1302" s="83">
        <f>IFERROR(INDEX(打卡匯入!$C$3:$C$2002,MATCH($C1302&amp;"|"&amp;DAY($A1302),打卡匯入!$E$3:$E$2002,0)),"")</f>
        <v/>
      </c>
      <c r="K1302" s="83">
        <f>IFERROR(INDEX(打卡匯入!$D$3:$D$2002,MATCH($C1302&amp;"|"&amp;DAY($A1302),打卡匯入!$E$3:$E$2002,0)),"")</f>
        <v/>
      </c>
      <c r="L1302" s="84">
        <f>IF(OR($J1302="",$K1302=""),"",IFERROR(INDEX(設定!$F$6:$F$21,MATCH($G1302,設定!$B$6:$B$21,0)),0))</f>
        <v/>
      </c>
      <c r="M1302" s="85">
        <f>IF(OR($J1302="",$K1302=""),"",ROUND(($K1302-$J1302)*24-$L1302/60,2))</f>
        <v/>
      </c>
      <c r="N1302" s="16">
        <f>IF($C1302="","",IF(AND(COUNTIF(設定!$B$15:$B$21,$G1302)&gt;0,$J1302&lt;&gt;""),"假日出勤",IF(AND(COUNTIF(設定!$B$6:$B$14,$G1302)&gt;0,$J1302=""),"未打卡",IF($J1302="","",IF($O1302&gt;0,"遲到",IF($P1302&gt;0,"早退","正常"))))))</f>
        <v/>
      </c>
      <c r="O1302" s="84">
        <f>IF(OR($C1302="",$H1302="",$J1302=""),0,IF(ROUND(($J1302-$H1302)*1440,0)&gt;設定!$C$46,ROUND(($J1302-$H1302)*1440,0),0))</f>
        <v/>
      </c>
      <c r="P1302" s="84">
        <f>IF(OR($C1302="",$I1302="",$K1302=""),0,IF(ROUND(($I1302-$K1302)*1440,0)&gt;設定!$C$46,ROUND(($I1302-$K1302)*1440,0),0))</f>
        <v/>
      </c>
      <c r="Q1302" s="85">
        <f>IF($M1302="",0,IF(($M1302-IFERROR(INDEX(設定!$G$6:$G$21,MATCH($G1302,設定!$B$6:$B$21,0)),0))*60&gt;=設定!$C$44,ROUND(FLOOR(($M1302-IFERROR(INDEX(設定!$G$6:$G$21,MATCH($G1302,設定!$B$6:$B$21,0)),0))*60,設定!$C$45)/60,2),0))</f>
        <v/>
      </c>
      <c r="R1302" s="16">
        <f>IF(OR($C1302="",$Q1302=0),"",IF($G1302="國","國定假日",IF($B1302="日","例假",IF($B1302="六","休息日","平日"))))</f>
        <v/>
      </c>
      <c r="S1302" s="19" t="n"/>
    </row>
    <row r="1303">
      <c r="A1303" s="82">
        <f>IF(OR(助理班表!$A46="",30&gt;DAY(EOMONTH(DATE(設定!$C$2,設定!$D$2,1),0))),"",DATE(設定!$C$2,設定!$D$2,30))</f>
        <v/>
      </c>
      <c r="B1303" s="16">
        <f>IF($A1303="","",INDEX(設定!$O$6:$O$12,WEEKDAY($A1303,1)))</f>
        <v/>
      </c>
      <c r="C1303" s="16">
        <f>IF($A1303="","",助理班表!$A46)</f>
        <v/>
      </c>
      <c r="D1303" s="16">
        <f>IF($C1303="","",助理班表!$B46)</f>
        <v/>
      </c>
      <c r="E1303" s="16">
        <f>IF($C1303="","",助理班表!$D46)</f>
        <v/>
      </c>
      <c r="F1303" s="16">
        <f>IF($C1303="","",助理班表!$C46)</f>
        <v/>
      </c>
      <c r="G1303" s="16">
        <f>IF($C1303="","",助理班表!AH46)</f>
        <v/>
      </c>
      <c r="H1303" s="83">
        <f>IF($G1303="","",IFERROR(IF(INDEX(設定!$D$6:$D$21,MATCH($G1303,設定!$B$6:$B$21,0))=0,"",INDEX(設定!$D$6:$D$21,MATCH($G1303,設定!$B$6:$B$21,0))),""))</f>
        <v/>
      </c>
      <c r="I1303" s="83">
        <f>IF($G1303="","",IFERROR(IF(INDEX(設定!$E$6:$E$21,MATCH($G1303,設定!$B$6:$B$21,0))=0,"",INDEX(設定!$E$6:$E$21,MATCH($G1303,設定!$B$6:$B$21,0))),""))</f>
        <v/>
      </c>
      <c r="J1303" s="83">
        <f>IFERROR(INDEX(打卡匯入!$C$3:$C$2002,MATCH($C1303&amp;"|"&amp;DAY($A1303),打卡匯入!$E$3:$E$2002,0)),"")</f>
        <v/>
      </c>
      <c r="K1303" s="83">
        <f>IFERROR(INDEX(打卡匯入!$D$3:$D$2002,MATCH($C1303&amp;"|"&amp;DAY($A1303),打卡匯入!$E$3:$E$2002,0)),"")</f>
        <v/>
      </c>
      <c r="L1303" s="84">
        <f>IF(OR($J1303="",$K1303=""),"",IFERROR(INDEX(設定!$F$6:$F$21,MATCH($G1303,設定!$B$6:$B$21,0)),0))</f>
        <v/>
      </c>
      <c r="M1303" s="85">
        <f>IF(OR($J1303="",$K1303=""),"",ROUND(($K1303-$J1303)*24-$L1303/60,2))</f>
        <v/>
      </c>
      <c r="N1303" s="16">
        <f>IF($C1303="","",IF(AND(COUNTIF(設定!$B$15:$B$21,$G1303)&gt;0,$J1303&lt;&gt;""),"假日出勤",IF(AND(COUNTIF(設定!$B$6:$B$14,$G1303)&gt;0,$J1303=""),"未打卡",IF($J1303="","",IF($O1303&gt;0,"遲到",IF($P1303&gt;0,"早退","正常"))))))</f>
        <v/>
      </c>
      <c r="O1303" s="84">
        <f>IF(OR($C1303="",$H1303="",$J1303=""),0,IF(ROUND(($J1303-$H1303)*1440,0)&gt;設定!$C$46,ROUND(($J1303-$H1303)*1440,0),0))</f>
        <v/>
      </c>
      <c r="P1303" s="84">
        <f>IF(OR($C1303="",$I1303="",$K1303=""),0,IF(ROUND(($I1303-$K1303)*1440,0)&gt;設定!$C$46,ROUND(($I1303-$K1303)*1440,0),0))</f>
        <v/>
      </c>
      <c r="Q1303" s="85">
        <f>IF($M1303="",0,IF(($M1303-IFERROR(INDEX(設定!$G$6:$G$21,MATCH($G1303,設定!$B$6:$B$21,0)),0))*60&gt;=設定!$C$44,ROUND(FLOOR(($M1303-IFERROR(INDEX(設定!$G$6:$G$21,MATCH($G1303,設定!$B$6:$B$21,0)),0))*60,設定!$C$45)/60,2),0))</f>
        <v/>
      </c>
      <c r="R1303" s="16">
        <f>IF(OR($C1303="",$Q1303=0),"",IF($G1303="國","國定假日",IF($B1303="日","例假",IF($B1303="六","休息日","平日"))))</f>
        <v/>
      </c>
      <c r="S1303" s="19" t="n"/>
    </row>
    <row r="1304">
      <c r="A1304" s="82">
        <f>IF(OR(助理班表!$A46="",31&gt;DAY(EOMONTH(DATE(設定!$C$2,設定!$D$2,1),0))),"",DATE(設定!$C$2,設定!$D$2,31))</f>
        <v/>
      </c>
      <c r="B1304" s="16">
        <f>IF($A1304="","",INDEX(設定!$O$6:$O$12,WEEKDAY($A1304,1)))</f>
        <v/>
      </c>
      <c r="C1304" s="16">
        <f>IF($A1304="","",助理班表!$A46)</f>
        <v/>
      </c>
      <c r="D1304" s="16">
        <f>IF($C1304="","",助理班表!$B46)</f>
        <v/>
      </c>
      <c r="E1304" s="16">
        <f>IF($C1304="","",助理班表!$D46)</f>
        <v/>
      </c>
      <c r="F1304" s="16">
        <f>IF($C1304="","",助理班表!$C46)</f>
        <v/>
      </c>
      <c r="G1304" s="16">
        <f>IF($C1304="","",助理班表!AI46)</f>
        <v/>
      </c>
      <c r="H1304" s="83">
        <f>IF($G1304="","",IFERROR(IF(INDEX(設定!$D$6:$D$21,MATCH($G1304,設定!$B$6:$B$21,0))=0,"",INDEX(設定!$D$6:$D$21,MATCH($G1304,設定!$B$6:$B$21,0))),""))</f>
        <v/>
      </c>
      <c r="I1304" s="83">
        <f>IF($G1304="","",IFERROR(IF(INDEX(設定!$E$6:$E$21,MATCH($G1304,設定!$B$6:$B$21,0))=0,"",INDEX(設定!$E$6:$E$21,MATCH($G1304,設定!$B$6:$B$21,0))),""))</f>
        <v/>
      </c>
      <c r="J1304" s="83">
        <f>IFERROR(INDEX(打卡匯入!$C$3:$C$2002,MATCH($C1304&amp;"|"&amp;DAY($A1304),打卡匯入!$E$3:$E$2002,0)),"")</f>
        <v/>
      </c>
      <c r="K1304" s="83">
        <f>IFERROR(INDEX(打卡匯入!$D$3:$D$2002,MATCH($C1304&amp;"|"&amp;DAY($A1304),打卡匯入!$E$3:$E$2002,0)),"")</f>
        <v/>
      </c>
      <c r="L1304" s="84">
        <f>IF(OR($J1304="",$K1304=""),"",IFERROR(INDEX(設定!$F$6:$F$21,MATCH($G1304,設定!$B$6:$B$21,0)),0))</f>
        <v/>
      </c>
      <c r="M1304" s="85">
        <f>IF(OR($J1304="",$K1304=""),"",ROUND(($K1304-$J1304)*24-$L1304/60,2))</f>
        <v/>
      </c>
      <c r="N1304" s="16">
        <f>IF($C1304="","",IF(AND(COUNTIF(設定!$B$15:$B$21,$G1304)&gt;0,$J1304&lt;&gt;""),"假日出勤",IF(AND(COUNTIF(設定!$B$6:$B$14,$G1304)&gt;0,$J1304=""),"未打卡",IF($J1304="","",IF($O1304&gt;0,"遲到",IF($P1304&gt;0,"早退","正常"))))))</f>
        <v/>
      </c>
      <c r="O1304" s="84">
        <f>IF(OR($C1304="",$H1304="",$J1304=""),0,IF(ROUND(($J1304-$H1304)*1440,0)&gt;設定!$C$46,ROUND(($J1304-$H1304)*1440,0),0))</f>
        <v/>
      </c>
      <c r="P1304" s="84">
        <f>IF(OR($C1304="",$I1304="",$K1304=""),0,IF(ROUND(($I1304-$K1304)*1440,0)&gt;設定!$C$46,ROUND(($I1304-$K1304)*1440,0),0))</f>
        <v/>
      </c>
      <c r="Q1304" s="85">
        <f>IF($M1304="",0,IF(($M1304-IFERROR(INDEX(設定!$G$6:$G$21,MATCH($G1304,設定!$B$6:$B$21,0)),0))*60&gt;=設定!$C$44,ROUND(FLOOR(($M1304-IFERROR(INDEX(設定!$G$6:$G$21,MATCH($G1304,設定!$B$6:$B$21,0)),0))*60,設定!$C$45)/60,2),0))</f>
        <v/>
      </c>
      <c r="R1304" s="16">
        <f>IF(OR($C1304="",$Q1304=0),"",IF($G1304="國","國定假日",IF($B1304="日","例假",IF($B1304="六","休息日","平日"))))</f>
        <v/>
      </c>
      <c r="S1304" s="19" t="n"/>
    </row>
    <row r="1305">
      <c r="A1305" s="82">
        <f>IF(OR(助理班表!$A47="",1&gt;DAY(EOMONTH(DATE(設定!$C$2,設定!$D$2,1),0))),"",DATE(設定!$C$2,設定!$D$2,1))</f>
        <v/>
      </c>
      <c r="B1305" s="16">
        <f>IF($A1305="","",INDEX(設定!$O$6:$O$12,WEEKDAY($A1305,1)))</f>
        <v/>
      </c>
      <c r="C1305" s="16">
        <f>IF($A1305="","",助理班表!$A47)</f>
        <v/>
      </c>
      <c r="D1305" s="16">
        <f>IF($C1305="","",助理班表!$B47)</f>
        <v/>
      </c>
      <c r="E1305" s="16">
        <f>IF($C1305="","",助理班表!$D47)</f>
        <v/>
      </c>
      <c r="F1305" s="16">
        <f>IF($C1305="","",助理班表!$C47)</f>
        <v/>
      </c>
      <c r="G1305" s="16">
        <f>IF($C1305="","",助理班表!E47)</f>
        <v/>
      </c>
      <c r="H1305" s="83">
        <f>IF($G1305="","",IFERROR(IF(INDEX(設定!$D$6:$D$21,MATCH($G1305,設定!$B$6:$B$21,0))=0,"",INDEX(設定!$D$6:$D$21,MATCH($G1305,設定!$B$6:$B$21,0))),""))</f>
        <v/>
      </c>
      <c r="I1305" s="83">
        <f>IF($G1305="","",IFERROR(IF(INDEX(設定!$E$6:$E$21,MATCH($G1305,設定!$B$6:$B$21,0))=0,"",INDEX(設定!$E$6:$E$21,MATCH($G1305,設定!$B$6:$B$21,0))),""))</f>
        <v/>
      </c>
      <c r="J1305" s="83">
        <f>IFERROR(INDEX(打卡匯入!$C$3:$C$2002,MATCH($C1305&amp;"|"&amp;DAY($A1305),打卡匯入!$E$3:$E$2002,0)),"")</f>
        <v/>
      </c>
      <c r="K1305" s="83">
        <f>IFERROR(INDEX(打卡匯入!$D$3:$D$2002,MATCH($C1305&amp;"|"&amp;DAY($A1305),打卡匯入!$E$3:$E$2002,0)),"")</f>
        <v/>
      </c>
      <c r="L1305" s="84">
        <f>IF(OR($J1305="",$K1305=""),"",IFERROR(INDEX(設定!$F$6:$F$21,MATCH($G1305,設定!$B$6:$B$21,0)),0))</f>
        <v/>
      </c>
      <c r="M1305" s="85">
        <f>IF(OR($J1305="",$K1305=""),"",ROUND(($K1305-$J1305)*24-$L1305/60,2))</f>
        <v/>
      </c>
      <c r="N1305" s="16">
        <f>IF($C1305="","",IF(AND(COUNTIF(設定!$B$15:$B$21,$G1305)&gt;0,$J1305&lt;&gt;""),"假日出勤",IF(AND(COUNTIF(設定!$B$6:$B$14,$G1305)&gt;0,$J1305=""),"未打卡",IF($J1305="","",IF($O1305&gt;0,"遲到",IF($P1305&gt;0,"早退","正常"))))))</f>
        <v/>
      </c>
      <c r="O1305" s="84">
        <f>IF(OR($C1305="",$H1305="",$J1305=""),0,IF(ROUND(($J1305-$H1305)*1440,0)&gt;設定!$C$46,ROUND(($J1305-$H1305)*1440,0),0))</f>
        <v/>
      </c>
      <c r="P1305" s="84">
        <f>IF(OR($C1305="",$I1305="",$K1305=""),0,IF(ROUND(($I1305-$K1305)*1440,0)&gt;設定!$C$46,ROUND(($I1305-$K1305)*1440,0),0))</f>
        <v/>
      </c>
      <c r="Q1305" s="85">
        <f>IF($M1305="",0,IF(($M1305-IFERROR(INDEX(設定!$G$6:$G$21,MATCH($G1305,設定!$B$6:$B$21,0)),0))*60&gt;=設定!$C$44,ROUND(FLOOR(($M1305-IFERROR(INDEX(設定!$G$6:$G$21,MATCH($G1305,設定!$B$6:$B$21,0)),0))*60,設定!$C$45)/60,2),0))</f>
        <v/>
      </c>
      <c r="R1305" s="16">
        <f>IF(OR($C1305="",$Q1305=0),"",IF($G1305="國","國定假日",IF($B1305="日","例假",IF($B1305="六","休息日","平日"))))</f>
        <v/>
      </c>
      <c r="S1305" s="19" t="n"/>
    </row>
    <row r="1306">
      <c r="A1306" s="82">
        <f>IF(OR(助理班表!$A47="",2&gt;DAY(EOMONTH(DATE(設定!$C$2,設定!$D$2,1),0))),"",DATE(設定!$C$2,設定!$D$2,2))</f>
        <v/>
      </c>
      <c r="B1306" s="16">
        <f>IF($A1306="","",INDEX(設定!$O$6:$O$12,WEEKDAY($A1306,1)))</f>
        <v/>
      </c>
      <c r="C1306" s="16">
        <f>IF($A1306="","",助理班表!$A47)</f>
        <v/>
      </c>
      <c r="D1306" s="16">
        <f>IF($C1306="","",助理班表!$B47)</f>
        <v/>
      </c>
      <c r="E1306" s="16">
        <f>IF($C1306="","",助理班表!$D47)</f>
        <v/>
      </c>
      <c r="F1306" s="16">
        <f>IF($C1306="","",助理班表!$C47)</f>
        <v/>
      </c>
      <c r="G1306" s="16">
        <f>IF($C1306="","",助理班表!F47)</f>
        <v/>
      </c>
      <c r="H1306" s="83">
        <f>IF($G1306="","",IFERROR(IF(INDEX(設定!$D$6:$D$21,MATCH($G1306,設定!$B$6:$B$21,0))=0,"",INDEX(設定!$D$6:$D$21,MATCH($G1306,設定!$B$6:$B$21,0))),""))</f>
        <v/>
      </c>
      <c r="I1306" s="83">
        <f>IF($G1306="","",IFERROR(IF(INDEX(設定!$E$6:$E$21,MATCH($G1306,設定!$B$6:$B$21,0))=0,"",INDEX(設定!$E$6:$E$21,MATCH($G1306,設定!$B$6:$B$21,0))),""))</f>
        <v/>
      </c>
      <c r="J1306" s="83">
        <f>IFERROR(INDEX(打卡匯入!$C$3:$C$2002,MATCH($C1306&amp;"|"&amp;DAY($A1306),打卡匯入!$E$3:$E$2002,0)),"")</f>
        <v/>
      </c>
      <c r="K1306" s="83">
        <f>IFERROR(INDEX(打卡匯入!$D$3:$D$2002,MATCH($C1306&amp;"|"&amp;DAY($A1306),打卡匯入!$E$3:$E$2002,0)),"")</f>
        <v/>
      </c>
      <c r="L1306" s="84">
        <f>IF(OR($J1306="",$K1306=""),"",IFERROR(INDEX(設定!$F$6:$F$21,MATCH($G1306,設定!$B$6:$B$21,0)),0))</f>
        <v/>
      </c>
      <c r="M1306" s="85">
        <f>IF(OR($J1306="",$K1306=""),"",ROUND(($K1306-$J1306)*24-$L1306/60,2))</f>
        <v/>
      </c>
      <c r="N1306" s="16">
        <f>IF($C1306="","",IF(AND(COUNTIF(設定!$B$15:$B$21,$G1306)&gt;0,$J1306&lt;&gt;""),"假日出勤",IF(AND(COUNTIF(設定!$B$6:$B$14,$G1306)&gt;0,$J1306=""),"未打卡",IF($J1306="","",IF($O1306&gt;0,"遲到",IF($P1306&gt;0,"早退","正常"))))))</f>
        <v/>
      </c>
      <c r="O1306" s="84">
        <f>IF(OR($C1306="",$H1306="",$J1306=""),0,IF(ROUND(($J1306-$H1306)*1440,0)&gt;設定!$C$46,ROUND(($J1306-$H1306)*1440,0),0))</f>
        <v/>
      </c>
      <c r="P1306" s="84">
        <f>IF(OR($C1306="",$I1306="",$K1306=""),0,IF(ROUND(($I1306-$K1306)*1440,0)&gt;設定!$C$46,ROUND(($I1306-$K1306)*1440,0),0))</f>
        <v/>
      </c>
      <c r="Q1306" s="85">
        <f>IF($M1306="",0,IF(($M1306-IFERROR(INDEX(設定!$G$6:$G$21,MATCH($G1306,設定!$B$6:$B$21,0)),0))*60&gt;=設定!$C$44,ROUND(FLOOR(($M1306-IFERROR(INDEX(設定!$G$6:$G$21,MATCH($G1306,設定!$B$6:$B$21,0)),0))*60,設定!$C$45)/60,2),0))</f>
        <v/>
      </c>
      <c r="R1306" s="16">
        <f>IF(OR($C1306="",$Q1306=0),"",IF($G1306="國","國定假日",IF($B1306="日","例假",IF($B1306="六","休息日","平日"))))</f>
        <v/>
      </c>
      <c r="S1306" s="19" t="n"/>
    </row>
    <row r="1307">
      <c r="A1307" s="82">
        <f>IF(OR(助理班表!$A47="",3&gt;DAY(EOMONTH(DATE(設定!$C$2,設定!$D$2,1),0))),"",DATE(設定!$C$2,設定!$D$2,3))</f>
        <v/>
      </c>
      <c r="B1307" s="16">
        <f>IF($A1307="","",INDEX(設定!$O$6:$O$12,WEEKDAY($A1307,1)))</f>
        <v/>
      </c>
      <c r="C1307" s="16">
        <f>IF($A1307="","",助理班表!$A47)</f>
        <v/>
      </c>
      <c r="D1307" s="16">
        <f>IF($C1307="","",助理班表!$B47)</f>
        <v/>
      </c>
      <c r="E1307" s="16">
        <f>IF($C1307="","",助理班表!$D47)</f>
        <v/>
      </c>
      <c r="F1307" s="16">
        <f>IF($C1307="","",助理班表!$C47)</f>
        <v/>
      </c>
      <c r="G1307" s="16">
        <f>IF($C1307="","",助理班表!G47)</f>
        <v/>
      </c>
      <c r="H1307" s="83">
        <f>IF($G1307="","",IFERROR(IF(INDEX(設定!$D$6:$D$21,MATCH($G1307,設定!$B$6:$B$21,0))=0,"",INDEX(設定!$D$6:$D$21,MATCH($G1307,設定!$B$6:$B$21,0))),""))</f>
        <v/>
      </c>
      <c r="I1307" s="83">
        <f>IF($G1307="","",IFERROR(IF(INDEX(設定!$E$6:$E$21,MATCH($G1307,設定!$B$6:$B$21,0))=0,"",INDEX(設定!$E$6:$E$21,MATCH($G1307,設定!$B$6:$B$21,0))),""))</f>
        <v/>
      </c>
      <c r="J1307" s="83">
        <f>IFERROR(INDEX(打卡匯入!$C$3:$C$2002,MATCH($C1307&amp;"|"&amp;DAY($A1307),打卡匯入!$E$3:$E$2002,0)),"")</f>
        <v/>
      </c>
      <c r="K1307" s="83">
        <f>IFERROR(INDEX(打卡匯入!$D$3:$D$2002,MATCH($C1307&amp;"|"&amp;DAY($A1307),打卡匯入!$E$3:$E$2002,0)),"")</f>
        <v/>
      </c>
      <c r="L1307" s="84">
        <f>IF(OR($J1307="",$K1307=""),"",IFERROR(INDEX(設定!$F$6:$F$21,MATCH($G1307,設定!$B$6:$B$21,0)),0))</f>
        <v/>
      </c>
      <c r="M1307" s="85">
        <f>IF(OR($J1307="",$K1307=""),"",ROUND(($K1307-$J1307)*24-$L1307/60,2))</f>
        <v/>
      </c>
      <c r="N1307" s="16">
        <f>IF($C1307="","",IF(AND(COUNTIF(設定!$B$15:$B$21,$G1307)&gt;0,$J1307&lt;&gt;""),"假日出勤",IF(AND(COUNTIF(設定!$B$6:$B$14,$G1307)&gt;0,$J1307=""),"未打卡",IF($J1307="","",IF($O1307&gt;0,"遲到",IF($P1307&gt;0,"早退","正常"))))))</f>
        <v/>
      </c>
      <c r="O1307" s="84">
        <f>IF(OR($C1307="",$H1307="",$J1307=""),0,IF(ROUND(($J1307-$H1307)*1440,0)&gt;設定!$C$46,ROUND(($J1307-$H1307)*1440,0),0))</f>
        <v/>
      </c>
      <c r="P1307" s="84">
        <f>IF(OR($C1307="",$I1307="",$K1307=""),0,IF(ROUND(($I1307-$K1307)*1440,0)&gt;設定!$C$46,ROUND(($I1307-$K1307)*1440,0),0))</f>
        <v/>
      </c>
      <c r="Q1307" s="85">
        <f>IF($M1307="",0,IF(($M1307-IFERROR(INDEX(設定!$G$6:$G$21,MATCH($G1307,設定!$B$6:$B$21,0)),0))*60&gt;=設定!$C$44,ROUND(FLOOR(($M1307-IFERROR(INDEX(設定!$G$6:$G$21,MATCH($G1307,設定!$B$6:$B$21,0)),0))*60,設定!$C$45)/60,2),0))</f>
        <v/>
      </c>
      <c r="R1307" s="16">
        <f>IF(OR($C1307="",$Q1307=0),"",IF($G1307="國","國定假日",IF($B1307="日","例假",IF($B1307="六","休息日","平日"))))</f>
        <v/>
      </c>
      <c r="S1307" s="19" t="n"/>
    </row>
    <row r="1308">
      <c r="A1308" s="82">
        <f>IF(OR(助理班表!$A47="",4&gt;DAY(EOMONTH(DATE(設定!$C$2,設定!$D$2,1),0))),"",DATE(設定!$C$2,設定!$D$2,4))</f>
        <v/>
      </c>
      <c r="B1308" s="16">
        <f>IF($A1308="","",INDEX(設定!$O$6:$O$12,WEEKDAY($A1308,1)))</f>
        <v/>
      </c>
      <c r="C1308" s="16">
        <f>IF($A1308="","",助理班表!$A47)</f>
        <v/>
      </c>
      <c r="D1308" s="16">
        <f>IF($C1308="","",助理班表!$B47)</f>
        <v/>
      </c>
      <c r="E1308" s="16">
        <f>IF($C1308="","",助理班表!$D47)</f>
        <v/>
      </c>
      <c r="F1308" s="16">
        <f>IF($C1308="","",助理班表!$C47)</f>
        <v/>
      </c>
      <c r="G1308" s="16">
        <f>IF($C1308="","",助理班表!H47)</f>
        <v/>
      </c>
      <c r="H1308" s="83">
        <f>IF($G1308="","",IFERROR(IF(INDEX(設定!$D$6:$D$21,MATCH($G1308,設定!$B$6:$B$21,0))=0,"",INDEX(設定!$D$6:$D$21,MATCH($G1308,設定!$B$6:$B$21,0))),""))</f>
        <v/>
      </c>
      <c r="I1308" s="83">
        <f>IF($G1308="","",IFERROR(IF(INDEX(設定!$E$6:$E$21,MATCH($G1308,設定!$B$6:$B$21,0))=0,"",INDEX(設定!$E$6:$E$21,MATCH($G1308,設定!$B$6:$B$21,0))),""))</f>
        <v/>
      </c>
      <c r="J1308" s="83">
        <f>IFERROR(INDEX(打卡匯入!$C$3:$C$2002,MATCH($C1308&amp;"|"&amp;DAY($A1308),打卡匯入!$E$3:$E$2002,0)),"")</f>
        <v/>
      </c>
      <c r="K1308" s="83">
        <f>IFERROR(INDEX(打卡匯入!$D$3:$D$2002,MATCH($C1308&amp;"|"&amp;DAY($A1308),打卡匯入!$E$3:$E$2002,0)),"")</f>
        <v/>
      </c>
      <c r="L1308" s="84">
        <f>IF(OR($J1308="",$K1308=""),"",IFERROR(INDEX(設定!$F$6:$F$21,MATCH($G1308,設定!$B$6:$B$21,0)),0))</f>
        <v/>
      </c>
      <c r="M1308" s="85">
        <f>IF(OR($J1308="",$K1308=""),"",ROUND(($K1308-$J1308)*24-$L1308/60,2))</f>
        <v/>
      </c>
      <c r="N1308" s="16">
        <f>IF($C1308="","",IF(AND(COUNTIF(設定!$B$15:$B$21,$G1308)&gt;0,$J1308&lt;&gt;""),"假日出勤",IF(AND(COUNTIF(設定!$B$6:$B$14,$G1308)&gt;0,$J1308=""),"未打卡",IF($J1308="","",IF($O1308&gt;0,"遲到",IF($P1308&gt;0,"早退","正常"))))))</f>
        <v/>
      </c>
      <c r="O1308" s="84">
        <f>IF(OR($C1308="",$H1308="",$J1308=""),0,IF(ROUND(($J1308-$H1308)*1440,0)&gt;設定!$C$46,ROUND(($J1308-$H1308)*1440,0),0))</f>
        <v/>
      </c>
      <c r="P1308" s="84">
        <f>IF(OR($C1308="",$I1308="",$K1308=""),0,IF(ROUND(($I1308-$K1308)*1440,0)&gt;設定!$C$46,ROUND(($I1308-$K1308)*1440,0),0))</f>
        <v/>
      </c>
      <c r="Q1308" s="85">
        <f>IF($M1308="",0,IF(($M1308-IFERROR(INDEX(設定!$G$6:$G$21,MATCH($G1308,設定!$B$6:$B$21,0)),0))*60&gt;=設定!$C$44,ROUND(FLOOR(($M1308-IFERROR(INDEX(設定!$G$6:$G$21,MATCH($G1308,設定!$B$6:$B$21,0)),0))*60,設定!$C$45)/60,2),0))</f>
        <v/>
      </c>
      <c r="R1308" s="16">
        <f>IF(OR($C1308="",$Q1308=0),"",IF($G1308="國","國定假日",IF($B1308="日","例假",IF($B1308="六","休息日","平日"))))</f>
        <v/>
      </c>
      <c r="S1308" s="19" t="n"/>
    </row>
    <row r="1309">
      <c r="A1309" s="82">
        <f>IF(OR(助理班表!$A47="",5&gt;DAY(EOMONTH(DATE(設定!$C$2,設定!$D$2,1),0))),"",DATE(設定!$C$2,設定!$D$2,5))</f>
        <v/>
      </c>
      <c r="B1309" s="16">
        <f>IF($A1309="","",INDEX(設定!$O$6:$O$12,WEEKDAY($A1309,1)))</f>
        <v/>
      </c>
      <c r="C1309" s="16">
        <f>IF($A1309="","",助理班表!$A47)</f>
        <v/>
      </c>
      <c r="D1309" s="16">
        <f>IF($C1309="","",助理班表!$B47)</f>
        <v/>
      </c>
      <c r="E1309" s="16">
        <f>IF($C1309="","",助理班表!$D47)</f>
        <v/>
      </c>
      <c r="F1309" s="16">
        <f>IF($C1309="","",助理班表!$C47)</f>
        <v/>
      </c>
      <c r="G1309" s="16">
        <f>IF($C1309="","",助理班表!I47)</f>
        <v/>
      </c>
      <c r="H1309" s="83">
        <f>IF($G1309="","",IFERROR(IF(INDEX(設定!$D$6:$D$21,MATCH($G1309,設定!$B$6:$B$21,0))=0,"",INDEX(設定!$D$6:$D$21,MATCH($G1309,設定!$B$6:$B$21,0))),""))</f>
        <v/>
      </c>
      <c r="I1309" s="83">
        <f>IF($G1309="","",IFERROR(IF(INDEX(設定!$E$6:$E$21,MATCH($G1309,設定!$B$6:$B$21,0))=0,"",INDEX(設定!$E$6:$E$21,MATCH($G1309,設定!$B$6:$B$21,0))),""))</f>
        <v/>
      </c>
      <c r="J1309" s="83">
        <f>IFERROR(INDEX(打卡匯入!$C$3:$C$2002,MATCH($C1309&amp;"|"&amp;DAY($A1309),打卡匯入!$E$3:$E$2002,0)),"")</f>
        <v/>
      </c>
      <c r="K1309" s="83">
        <f>IFERROR(INDEX(打卡匯入!$D$3:$D$2002,MATCH($C1309&amp;"|"&amp;DAY($A1309),打卡匯入!$E$3:$E$2002,0)),"")</f>
        <v/>
      </c>
      <c r="L1309" s="84">
        <f>IF(OR($J1309="",$K1309=""),"",IFERROR(INDEX(設定!$F$6:$F$21,MATCH($G1309,設定!$B$6:$B$21,0)),0))</f>
        <v/>
      </c>
      <c r="M1309" s="85">
        <f>IF(OR($J1309="",$K1309=""),"",ROUND(($K1309-$J1309)*24-$L1309/60,2))</f>
        <v/>
      </c>
      <c r="N1309" s="16">
        <f>IF($C1309="","",IF(AND(COUNTIF(設定!$B$15:$B$21,$G1309)&gt;0,$J1309&lt;&gt;""),"假日出勤",IF(AND(COUNTIF(設定!$B$6:$B$14,$G1309)&gt;0,$J1309=""),"未打卡",IF($J1309="","",IF($O1309&gt;0,"遲到",IF($P1309&gt;0,"早退","正常"))))))</f>
        <v/>
      </c>
      <c r="O1309" s="84">
        <f>IF(OR($C1309="",$H1309="",$J1309=""),0,IF(ROUND(($J1309-$H1309)*1440,0)&gt;設定!$C$46,ROUND(($J1309-$H1309)*1440,0),0))</f>
        <v/>
      </c>
      <c r="P1309" s="84">
        <f>IF(OR($C1309="",$I1309="",$K1309=""),0,IF(ROUND(($I1309-$K1309)*1440,0)&gt;設定!$C$46,ROUND(($I1309-$K1309)*1440,0),0))</f>
        <v/>
      </c>
      <c r="Q1309" s="85">
        <f>IF($M1309="",0,IF(($M1309-IFERROR(INDEX(設定!$G$6:$G$21,MATCH($G1309,設定!$B$6:$B$21,0)),0))*60&gt;=設定!$C$44,ROUND(FLOOR(($M1309-IFERROR(INDEX(設定!$G$6:$G$21,MATCH($G1309,設定!$B$6:$B$21,0)),0))*60,設定!$C$45)/60,2),0))</f>
        <v/>
      </c>
      <c r="R1309" s="16">
        <f>IF(OR($C1309="",$Q1309=0),"",IF($G1309="國","國定假日",IF($B1309="日","例假",IF($B1309="六","休息日","平日"))))</f>
        <v/>
      </c>
      <c r="S1309" s="19" t="n"/>
    </row>
    <row r="1310">
      <c r="A1310" s="82">
        <f>IF(OR(助理班表!$A47="",6&gt;DAY(EOMONTH(DATE(設定!$C$2,設定!$D$2,1),0))),"",DATE(設定!$C$2,設定!$D$2,6))</f>
        <v/>
      </c>
      <c r="B1310" s="16">
        <f>IF($A1310="","",INDEX(設定!$O$6:$O$12,WEEKDAY($A1310,1)))</f>
        <v/>
      </c>
      <c r="C1310" s="16">
        <f>IF($A1310="","",助理班表!$A47)</f>
        <v/>
      </c>
      <c r="D1310" s="16">
        <f>IF($C1310="","",助理班表!$B47)</f>
        <v/>
      </c>
      <c r="E1310" s="16">
        <f>IF($C1310="","",助理班表!$D47)</f>
        <v/>
      </c>
      <c r="F1310" s="16">
        <f>IF($C1310="","",助理班表!$C47)</f>
        <v/>
      </c>
      <c r="G1310" s="16">
        <f>IF($C1310="","",助理班表!J47)</f>
        <v/>
      </c>
      <c r="H1310" s="83">
        <f>IF($G1310="","",IFERROR(IF(INDEX(設定!$D$6:$D$21,MATCH($G1310,設定!$B$6:$B$21,0))=0,"",INDEX(設定!$D$6:$D$21,MATCH($G1310,設定!$B$6:$B$21,0))),""))</f>
        <v/>
      </c>
      <c r="I1310" s="83">
        <f>IF($G1310="","",IFERROR(IF(INDEX(設定!$E$6:$E$21,MATCH($G1310,設定!$B$6:$B$21,0))=0,"",INDEX(設定!$E$6:$E$21,MATCH($G1310,設定!$B$6:$B$21,0))),""))</f>
        <v/>
      </c>
      <c r="J1310" s="83">
        <f>IFERROR(INDEX(打卡匯入!$C$3:$C$2002,MATCH($C1310&amp;"|"&amp;DAY($A1310),打卡匯入!$E$3:$E$2002,0)),"")</f>
        <v/>
      </c>
      <c r="K1310" s="83">
        <f>IFERROR(INDEX(打卡匯入!$D$3:$D$2002,MATCH($C1310&amp;"|"&amp;DAY($A1310),打卡匯入!$E$3:$E$2002,0)),"")</f>
        <v/>
      </c>
      <c r="L1310" s="84">
        <f>IF(OR($J1310="",$K1310=""),"",IFERROR(INDEX(設定!$F$6:$F$21,MATCH($G1310,設定!$B$6:$B$21,0)),0))</f>
        <v/>
      </c>
      <c r="M1310" s="85">
        <f>IF(OR($J1310="",$K1310=""),"",ROUND(($K1310-$J1310)*24-$L1310/60,2))</f>
        <v/>
      </c>
      <c r="N1310" s="16">
        <f>IF($C1310="","",IF(AND(COUNTIF(設定!$B$15:$B$21,$G1310)&gt;0,$J1310&lt;&gt;""),"假日出勤",IF(AND(COUNTIF(設定!$B$6:$B$14,$G1310)&gt;0,$J1310=""),"未打卡",IF($J1310="","",IF($O1310&gt;0,"遲到",IF($P1310&gt;0,"早退","正常"))))))</f>
        <v/>
      </c>
      <c r="O1310" s="84">
        <f>IF(OR($C1310="",$H1310="",$J1310=""),0,IF(ROUND(($J1310-$H1310)*1440,0)&gt;設定!$C$46,ROUND(($J1310-$H1310)*1440,0),0))</f>
        <v/>
      </c>
      <c r="P1310" s="84">
        <f>IF(OR($C1310="",$I1310="",$K1310=""),0,IF(ROUND(($I1310-$K1310)*1440,0)&gt;設定!$C$46,ROUND(($I1310-$K1310)*1440,0),0))</f>
        <v/>
      </c>
      <c r="Q1310" s="85">
        <f>IF($M1310="",0,IF(($M1310-IFERROR(INDEX(設定!$G$6:$G$21,MATCH($G1310,設定!$B$6:$B$21,0)),0))*60&gt;=設定!$C$44,ROUND(FLOOR(($M1310-IFERROR(INDEX(設定!$G$6:$G$21,MATCH($G1310,設定!$B$6:$B$21,0)),0))*60,設定!$C$45)/60,2),0))</f>
        <v/>
      </c>
      <c r="R1310" s="16">
        <f>IF(OR($C1310="",$Q1310=0),"",IF($G1310="國","國定假日",IF($B1310="日","例假",IF($B1310="六","休息日","平日"))))</f>
        <v/>
      </c>
      <c r="S1310" s="19" t="n"/>
    </row>
    <row r="1311">
      <c r="A1311" s="82">
        <f>IF(OR(助理班表!$A47="",7&gt;DAY(EOMONTH(DATE(設定!$C$2,設定!$D$2,1),0))),"",DATE(設定!$C$2,設定!$D$2,7))</f>
        <v/>
      </c>
      <c r="B1311" s="16">
        <f>IF($A1311="","",INDEX(設定!$O$6:$O$12,WEEKDAY($A1311,1)))</f>
        <v/>
      </c>
      <c r="C1311" s="16">
        <f>IF($A1311="","",助理班表!$A47)</f>
        <v/>
      </c>
      <c r="D1311" s="16">
        <f>IF($C1311="","",助理班表!$B47)</f>
        <v/>
      </c>
      <c r="E1311" s="16">
        <f>IF($C1311="","",助理班表!$D47)</f>
        <v/>
      </c>
      <c r="F1311" s="16">
        <f>IF($C1311="","",助理班表!$C47)</f>
        <v/>
      </c>
      <c r="G1311" s="16">
        <f>IF($C1311="","",助理班表!K47)</f>
        <v/>
      </c>
      <c r="H1311" s="83">
        <f>IF($G1311="","",IFERROR(IF(INDEX(設定!$D$6:$D$21,MATCH($G1311,設定!$B$6:$B$21,0))=0,"",INDEX(設定!$D$6:$D$21,MATCH($G1311,設定!$B$6:$B$21,0))),""))</f>
        <v/>
      </c>
      <c r="I1311" s="83">
        <f>IF($G1311="","",IFERROR(IF(INDEX(設定!$E$6:$E$21,MATCH($G1311,設定!$B$6:$B$21,0))=0,"",INDEX(設定!$E$6:$E$21,MATCH($G1311,設定!$B$6:$B$21,0))),""))</f>
        <v/>
      </c>
      <c r="J1311" s="83">
        <f>IFERROR(INDEX(打卡匯入!$C$3:$C$2002,MATCH($C1311&amp;"|"&amp;DAY($A1311),打卡匯入!$E$3:$E$2002,0)),"")</f>
        <v/>
      </c>
      <c r="K1311" s="83">
        <f>IFERROR(INDEX(打卡匯入!$D$3:$D$2002,MATCH($C1311&amp;"|"&amp;DAY($A1311),打卡匯入!$E$3:$E$2002,0)),"")</f>
        <v/>
      </c>
      <c r="L1311" s="84">
        <f>IF(OR($J1311="",$K1311=""),"",IFERROR(INDEX(設定!$F$6:$F$21,MATCH($G1311,設定!$B$6:$B$21,0)),0))</f>
        <v/>
      </c>
      <c r="M1311" s="85">
        <f>IF(OR($J1311="",$K1311=""),"",ROUND(($K1311-$J1311)*24-$L1311/60,2))</f>
        <v/>
      </c>
      <c r="N1311" s="16">
        <f>IF($C1311="","",IF(AND(COUNTIF(設定!$B$15:$B$21,$G1311)&gt;0,$J1311&lt;&gt;""),"假日出勤",IF(AND(COUNTIF(設定!$B$6:$B$14,$G1311)&gt;0,$J1311=""),"未打卡",IF($J1311="","",IF($O1311&gt;0,"遲到",IF($P1311&gt;0,"早退","正常"))))))</f>
        <v/>
      </c>
      <c r="O1311" s="84">
        <f>IF(OR($C1311="",$H1311="",$J1311=""),0,IF(ROUND(($J1311-$H1311)*1440,0)&gt;設定!$C$46,ROUND(($J1311-$H1311)*1440,0),0))</f>
        <v/>
      </c>
      <c r="P1311" s="84">
        <f>IF(OR($C1311="",$I1311="",$K1311=""),0,IF(ROUND(($I1311-$K1311)*1440,0)&gt;設定!$C$46,ROUND(($I1311-$K1311)*1440,0),0))</f>
        <v/>
      </c>
      <c r="Q1311" s="85">
        <f>IF($M1311="",0,IF(($M1311-IFERROR(INDEX(設定!$G$6:$G$21,MATCH($G1311,設定!$B$6:$B$21,0)),0))*60&gt;=設定!$C$44,ROUND(FLOOR(($M1311-IFERROR(INDEX(設定!$G$6:$G$21,MATCH($G1311,設定!$B$6:$B$21,0)),0))*60,設定!$C$45)/60,2),0))</f>
        <v/>
      </c>
      <c r="R1311" s="16">
        <f>IF(OR($C1311="",$Q1311=0),"",IF($G1311="國","國定假日",IF($B1311="日","例假",IF($B1311="六","休息日","平日"))))</f>
        <v/>
      </c>
      <c r="S1311" s="19" t="n"/>
    </row>
    <row r="1312">
      <c r="A1312" s="82">
        <f>IF(OR(助理班表!$A47="",8&gt;DAY(EOMONTH(DATE(設定!$C$2,設定!$D$2,1),0))),"",DATE(設定!$C$2,設定!$D$2,8))</f>
        <v/>
      </c>
      <c r="B1312" s="16">
        <f>IF($A1312="","",INDEX(設定!$O$6:$O$12,WEEKDAY($A1312,1)))</f>
        <v/>
      </c>
      <c r="C1312" s="16">
        <f>IF($A1312="","",助理班表!$A47)</f>
        <v/>
      </c>
      <c r="D1312" s="16">
        <f>IF($C1312="","",助理班表!$B47)</f>
        <v/>
      </c>
      <c r="E1312" s="16">
        <f>IF($C1312="","",助理班表!$D47)</f>
        <v/>
      </c>
      <c r="F1312" s="16">
        <f>IF($C1312="","",助理班表!$C47)</f>
        <v/>
      </c>
      <c r="G1312" s="16">
        <f>IF($C1312="","",助理班表!L47)</f>
        <v/>
      </c>
      <c r="H1312" s="83">
        <f>IF($G1312="","",IFERROR(IF(INDEX(設定!$D$6:$D$21,MATCH($G1312,設定!$B$6:$B$21,0))=0,"",INDEX(設定!$D$6:$D$21,MATCH($G1312,設定!$B$6:$B$21,0))),""))</f>
        <v/>
      </c>
      <c r="I1312" s="83">
        <f>IF($G1312="","",IFERROR(IF(INDEX(設定!$E$6:$E$21,MATCH($G1312,設定!$B$6:$B$21,0))=0,"",INDEX(設定!$E$6:$E$21,MATCH($G1312,設定!$B$6:$B$21,0))),""))</f>
        <v/>
      </c>
      <c r="J1312" s="83">
        <f>IFERROR(INDEX(打卡匯入!$C$3:$C$2002,MATCH($C1312&amp;"|"&amp;DAY($A1312),打卡匯入!$E$3:$E$2002,0)),"")</f>
        <v/>
      </c>
      <c r="K1312" s="83">
        <f>IFERROR(INDEX(打卡匯入!$D$3:$D$2002,MATCH($C1312&amp;"|"&amp;DAY($A1312),打卡匯入!$E$3:$E$2002,0)),"")</f>
        <v/>
      </c>
      <c r="L1312" s="84">
        <f>IF(OR($J1312="",$K1312=""),"",IFERROR(INDEX(設定!$F$6:$F$21,MATCH($G1312,設定!$B$6:$B$21,0)),0))</f>
        <v/>
      </c>
      <c r="M1312" s="85">
        <f>IF(OR($J1312="",$K1312=""),"",ROUND(($K1312-$J1312)*24-$L1312/60,2))</f>
        <v/>
      </c>
      <c r="N1312" s="16">
        <f>IF($C1312="","",IF(AND(COUNTIF(設定!$B$15:$B$21,$G1312)&gt;0,$J1312&lt;&gt;""),"假日出勤",IF(AND(COUNTIF(設定!$B$6:$B$14,$G1312)&gt;0,$J1312=""),"未打卡",IF($J1312="","",IF($O1312&gt;0,"遲到",IF($P1312&gt;0,"早退","正常"))))))</f>
        <v/>
      </c>
      <c r="O1312" s="84">
        <f>IF(OR($C1312="",$H1312="",$J1312=""),0,IF(ROUND(($J1312-$H1312)*1440,0)&gt;設定!$C$46,ROUND(($J1312-$H1312)*1440,0),0))</f>
        <v/>
      </c>
      <c r="P1312" s="84">
        <f>IF(OR($C1312="",$I1312="",$K1312=""),0,IF(ROUND(($I1312-$K1312)*1440,0)&gt;設定!$C$46,ROUND(($I1312-$K1312)*1440,0),0))</f>
        <v/>
      </c>
      <c r="Q1312" s="85">
        <f>IF($M1312="",0,IF(($M1312-IFERROR(INDEX(設定!$G$6:$G$21,MATCH($G1312,設定!$B$6:$B$21,0)),0))*60&gt;=設定!$C$44,ROUND(FLOOR(($M1312-IFERROR(INDEX(設定!$G$6:$G$21,MATCH($G1312,設定!$B$6:$B$21,0)),0))*60,設定!$C$45)/60,2),0))</f>
        <v/>
      </c>
      <c r="R1312" s="16">
        <f>IF(OR($C1312="",$Q1312=0),"",IF($G1312="國","國定假日",IF($B1312="日","例假",IF($B1312="六","休息日","平日"))))</f>
        <v/>
      </c>
      <c r="S1312" s="19" t="n"/>
    </row>
    <row r="1313">
      <c r="A1313" s="82">
        <f>IF(OR(助理班表!$A47="",9&gt;DAY(EOMONTH(DATE(設定!$C$2,設定!$D$2,1),0))),"",DATE(設定!$C$2,設定!$D$2,9))</f>
        <v/>
      </c>
      <c r="B1313" s="16">
        <f>IF($A1313="","",INDEX(設定!$O$6:$O$12,WEEKDAY($A1313,1)))</f>
        <v/>
      </c>
      <c r="C1313" s="16">
        <f>IF($A1313="","",助理班表!$A47)</f>
        <v/>
      </c>
      <c r="D1313" s="16">
        <f>IF($C1313="","",助理班表!$B47)</f>
        <v/>
      </c>
      <c r="E1313" s="16">
        <f>IF($C1313="","",助理班表!$D47)</f>
        <v/>
      </c>
      <c r="F1313" s="16">
        <f>IF($C1313="","",助理班表!$C47)</f>
        <v/>
      </c>
      <c r="G1313" s="16">
        <f>IF($C1313="","",助理班表!M47)</f>
        <v/>
      </c>
      <c r="H1313" s="83">
        <f>IF($G1313="","",IFERROR(IF(INDEX(設定!$D$6:$D$21,MATCH($G1313,設定!$B$6:$B$21,0))=0,"",INDEX(設定!$D$6:$D$21,MATCH($G1313,設定!$B$6:$B$21,0))),""))</f>
        <v/>
      </c>
      <c r="I1313" s="83">
        <f>IF($G1313="","",IFERROR(IF(INDEX(設定!$E$6:$E$21,MATCH($G1313,設定!$B$6:$B$21,0))=0,"",INDEX(設定!$E$6:$E$21,MATCH($G1313,設定!$B$6:$B$21,0))),""))</f>
        <v/>
      </c>
      <c r="J1313" s="83">
        <f>IFERROR(INDEX(打卡匯入!$C$3:$C$2002,MATCH($C1313&amp;"|"&amp;DAY($A1313),打卡匯入!$E$3:$E$2002,0)),"")</f>
        <v/>
      </c>
      <c r="K1313" s="83">
        <f>IFERROR(INDEX(打卡匯入!$D$3:$D$2002,MATCH($C1313&amp;"|"&amp;DAY($A1313),打卡匯入!$E$3:$E$2002,0)),"")</f>
        <v/>
      </c>
      <c r="L1313" s="84">
        <f>IF(OR($J1313="",$K1313=""),"",IFERROR(INDEX(設定!$F$6:$F$21,MATCH($G1313,設定!$B$6:$B$21,0)),0))</f>
        <v/>
      </c>
      <c r="M1313" s="85">
        <f>IF(OR($J1313="",$K1313=""),"",ROUND(($K1313-$J1313)*24-$L1313/60,2))</f>
        <v/>
      </c>
      <c r="N1313" s="16">
        <f>IF($C1313="","",IF(AND(COUNTIF(設定!$B$15:$B$21,$G1313)&gt;0,$J1313&lt;&gt;""),"假日出勤",IF(AND(COUNTIF(設定!$B$6:$B$14,$G1313)&gt;0,$J1313=""),"未打卡",IF($J1313="","",IF($O1313&gt;0,"遲到",IF($P1313&gt;0,"早退","正常"))))))</f>
        <v/>
      </c>
      <c r="O1313" s="84">
        <f>IF(OR($C1313="",$H1313="",$J1313=""),0,IF(ROUND(($J1313-$H1313)*1440,0)&gt;設定!$C$46,ROUND(($J1313-$H1313)*1440,0),0))</f>
        <v/>
      </c>
      <c r="P1313" s="84">
        <f>IF(OR($C1313="",$I1313="",$K1313=""),0,IF(ROUND(($I1313-$K1313)*1440,0)&gt;設定!$C$46,ROUND(($I1313-$K1313)*1440,0),0))</f>
        <v/>
      </c>
      <c r="Q1313" s="85">
        <f>IF($M1313="",0,IF(($M1313-IFERROR(INDEX(設定!$G$6:$G$21,MATCH($G1313,設定!$B$6:$B$21,0)),0))*60&gt;=設定!$C$44,ROUND(FLOOR(($M1313-IFERROR(INDEX(設定!$G$6:$G$21,MATCH($G1313,設定!$B$6:$B$21,0)),0))*60,設定!$C$45)/60,2),0))</f>
        <v/>
      </c>
      <c r="R1313" s="16">
        <f>IF(OR($C1313="",$Q1313=0),"",IF($G1313="國","國定假日",IF($B1313="日","例假",IF($B1313="六","休息日","平日"))))</f>
        <v/>
      </c>
      <c r="S1313" s="19" t="n"/>
    </row>
    <row r="1314">
      <c r="A1314" s="82">
        <f>IF(OR(助理班表!$A47="",10&gt;DAY(EOMONTH(DATE(設定!$C$2,設定!$D$2,1),0))),"",DATE(設定!$C$2,設定!$D$2,10))</f>
        <v/>
      </c>
      <c r="B1314" s="16">
        <f>IF($A1314="","",INDEX(設定!$O$6:$O$12,WEEKDAY($A1314,1)))</f>
        <v/>
      </c>
      <c r="C1314" s="16">
        <f>IF($A1314="","",助理班表!$A47)</f>
        <v/>
      </c>
      <c r="D1314" s="16">
        <f>IF($C1314="","",助理班表!$B47)</f>
        <v/>
      </c>
      <c r="E1314" s="16">
        <f>IF($C1314="","",助理班表!$D47)</f>
        <v/>
      </c>
      <c r="F1314" s="16">
        <f>IF($C1314="","",助理班表!$C47)</f>
        <v/>
      </c>
      <c r="G1314" s="16">
        <f>IF($C1314="","",助理班表!N47)</f>
        <v/>
      </c>
      <c r="H1314" s="83">
        <f>IF($G1314="","",IFERROR(IF(INDEX(設定!$D$6:$D$21,MATCH($G1314,設定!$B$6:$B$21,0))=0,"",INDEX(設定!$D$6:$D$21,MATCH($G1314,設定!$B$6:$B$21,0))),""))</f>
        <v/>
      </c>
      <c r="I1314" s="83">
        <f>IF($G1314="","",IFERROR(IF(INDEX(設定!$E$6:$E$21,MATCH($G1314,設定!$B$6:$B$21,0))=0,"",INDEX(設定!$E$6:$E$21,MATCH($G1314,設定!$B$6:$B$21,0))),""))</f>
        <v/>
      </c>
      <c r="J1314" s="83">
        <f>IFERROR(INDEX(打卡匯入!$C$3:$C$2002,MATCH($C1314&amp;"|"&amp;DAY($A1314),打卡匯入!$E$3:$E$2002,0)),"")</f>
        <v/>
      </c>
      <c r="K1314" s="83">
        <f>IFERROR(INDEX(打卡匯入!$D$3:$D$2002,MATCH($C1314&amp;"|"&amp;DAY($A1314),打卡匯入!$E$3:$E$2002,0)),"")</f>
        <v/>
      </c>
      <c r="L1314" s="84">
        <f>IF(OR($J1314="",$K1314=""),"",IFERROR(INDEX(設定!$F$6:$F$21,MATCH($G1314,設定!$B$6:$B$21,0)),0))</f>
        <v/>
      </c>
      <c r="M1314" s="85">
        <f>IF(OR($J1314="",$K1314=""),"",ROUND(($K1314-$J1314)*24-$L1314/60,2))</f>
        <v/>
      </c>
      <c r="N1314" s="16">
        <f>IF($C1314="","",IF(AND(COUNTIF(設定!$B$15:$B$21,$G1314)&gt;0,$J1314&lt;&gt;""),"假日出勤",IF(AND(COUNTIF(設定!$B$6:$B$14,$G1314)&gt;0,$J1314=""),"未打卡",IF($J1314="","",IF($O1314&gt;0,"遲到",IF($P1314&gt;0,"早退","正常"))))))</f>
        <v/>
      </c>
      <c r="O1314" s="84">
        <f>IF(OR($C1314="",$H1314="",$J1314=""),0,IF(ROUND(($J1314-$H1314)*1440,0)&gt;設定!$C$46,ROUND(($J1314-$H1314)*1440,0),0))</f>
        <v/>
      </c>
      <c r="P1314" s="84">
        <f>IF(OR($C1314="",$I1314="",$K1314=""),0,IF(ROUND(($I1314-$K1314)*1440,0)&gt;設定!$C$46,ROUND(($I1314-$K1314)*1440,0),0))</f>
        <v/>
      </c>
      <c r="Q1314" s="85">
        <f>IF($M1314="",0,IF(($M1314-IFERROR(INDEX(設定!$G$6:$G$21,MATCH($G1314,設定!$B$6:$B$21,0)),0))*60&gt;=設定!$C$44,ROUND(FLOOR(($M1314-IFERROR(INDEX(設定!$G$6:$G$21,MATCH($G1314,設定!$B$6:$B$21,0)),0))*60,設定!$C$45)/60,2),0))</f>
        <v/>
      </c>
      <c r="R1314" s="16">
        <f>IF(OR($C1314="",$Q1314=0),"",IF($G1314="國","國定假日",IF($B1314="日","例假",IF($B1314="六","休息日","平日"))))</f>
        <v/>
      </c>
      <c r="S1314" s="19" t="n"/>
    </row>
    <row r="1315">
      <c r="A1315" s="82">
        <f>IF(OR(助理班表!$A47="",11&gt;DAY(EOMONTH(DATE(設定!$C$2,設定!$D$2,1),0))),"",DATE(設定!$C$2,設定!$D$2,11))</f>
        <v/>
      </c>
      <c r="B1315" s="16">
        <f>IF($A1315="","",INDEX(設定!$O$6:$O$12,WEEKDAY($A1315,1)))</f>
        <v/>
      </c>
      <c r="C1315" s="16">
        <f>IF($A1315="","",助理班表!$A47)</f>
        <v/>
      </c>
      <c r="D1315" s="16">
        <f>IF($C1315="","",助理班表!$B47)</f>
        <v/>
      </c>
      <c r="E1315" s="16">
        <f>IF($C1315="","",助理班表!$D47)</f>
        <v/>
      </c>
      <c r="F1315" s="16">
        <f>IF($C1315="","",助理班表!$C47)</f>
        <v/>
      </c>
      <c r="G1315" s="16">
        <f>IF($C1315="","",助理班表!O47)</f>
        <v/>
      </c>
      <c r="H1315" s="83">
        <f>IF($G1315="","",IFERROR(IF(INDEX(設定!$D$6:$D$21,MATCH($G1315,設定!$B$6:$B$21,0))=0,"",INDEX(設定!$D$6:$D$21,MATCH($G1315,設定!$B$6:$B$21,0))),""))</f>
        <v/>
      </c>
      <c r="I1315" s="83">
        <f>IF($G1315="","",IFERROR(IF(INDEX(設定!$E$6:$E$21,MATCH($G1315,設定!$B$6:$B$21,0))=0,"",INDEX(設定!$E$6:$E$21,MATCH($G1315,設定!$B$6:$B$21,0))),""))</f>
        <v/>
      </c>
      <c r="J1315" s="83">
        <f>IFERROR(INDEX(打卡匯入!$C$3:$C$2002,MATCH($C1315&amp;"|"&amp;DAY($A1315),打卡匯入!$E$3:$E$2002,0)),"")</f>
        <v/>
      </c>
      <c r="K1315" s="83">
        <f>IFERROR(INDEX(打卡匯入!$D$3:$D$2002,MATCH($C1315&amp;"|"&amp;DAY($A1315),打卡匯入!$E$3:$E$2002,0)),"")</f>
        <v/>
      </c>
      <c r="L1315" s="84">
        <f>IF(OR($J1315="",$K1315=""),"",IFERROR(INDEX(設定!$F$6:$F$21,MATCH($G1315,設定!$B$6:$B$21,0)),0))</f>
        <v/>
      </c>
      <c r="M1315" s="85">
        <f>IF(OR($J1315="",$K1315=""),"",ROUND(($K1315-$J1315)*24-$L1315/60,2))</f>
        <v/>
      </c>
      <c r="N1315" s="16">
        <f>IF($C1315="","",IF(AND(COUNTIF(設定!$B$15:$B$21,$G1315)&gt;0,$J1315&lt;&gt;""),"假日出勤",IF(AND(COUNTIF(設定!$B$6:$B$14,$G1315)&gt;0,$J1315=""),"未打卡",IF($J1315="","",IF($O1315&gt;0,"遲到",IF($P1315&gt;0,"早退","正常"))))))</f>
        <v/>
      </c>
      <c r="O1315" s="84">
        <f>IF(OR($C1315="",$H1315="",$J1315=""),0,IF(ROUND(($J1315-$H1315)*1440,0)&gt;設定!$C$46,ROUND(($J1315-$H1315)*1440,0),0))</f>
        <v/>
      </c>
      <c r="P1315" s="84">
        <f>IF(OR($C1315="",$I1315="",$K1315=""),0,IF(ROUND(($I1315-$K1315)*1440,0)&gt;設定!$C$46,ROUND(($I1315-$K1315)*1440,0),0))</f>
        <v/>
      </c>
      <c r="Q1315" s="85">
        <f>IF($M1315="",0,IF(($M1315-IFERROR(INDEX(設定!$G$6:$G$21,MATCH($G1315,設定!$B$6:$B$21,0)),0))*60&gt;=設定!$C$44,ROUND(FLOOR(($M1315-IFERROR(INDEX(設定!$G$6:$G$21,MATCH($G1315,設定!$B$6:$B$21,0)),0))*60,設定!$C$45)/60,2),0))</f>
        <v/>
      </c>
      <c r="R1315" s="16">
        <f>IF(OR($C1315="",$Q1315=0),"",IF($G1315="國","國定假日",IF($B1315="日","例假",IF($B1315="六","休息日","平日"))))</f>
        <v/>
      </c>
      <c r="S1315" s="19" t="n"/>
    </row>
    <row r="1316">
      <c r="A1316" s="82">
        <f>IF(OR(助理班表!$A47="",12&gt;DAY(EOMONTH(DATE(設定!$C$2,設定!$D$2,1),0))),"",DATE(設定!$C$2,設定!$D$2,12))</f>
        <v/>
      </c>
      <c r="B1316" s="16">
        <f>IF($A1316="","",INDEX(設定!$O$6:$O$12,WEEKDAY($A1316,1)))</f>
        <v/>
      </c>
      <c r="C1316" s="16">
        <f>IF($A1316="","",助理班表!$A47)</f>
        <v/>
      </c>
      <c r="D1316" s="16">
        <f>IF($C1316="","",助理班表!$B47)</f>
        <v/>
      </c>
      <c r="E1316" s="16">
        <f>IF($C1316="","",助理班表!$D47)</f>
        <v/>
      </c>
      <c r="F1316" s="16">
        <f>IF($C1316="","",助理班表!$C47)</f>
        <v/>
      </c>
      <c r="G1316" s="16">
        <f>IF($C1316="","",助理班表!P47)</f>
        <v/>
      </c>
      <c r="H1316" s="83">
        <f>IF($G1316="","",IFERROR(IF(INDEX(設定!$D$6:$D$21,MATCH($G1316,設定!$B$6:$B$21,0))=0,"",INDEX(設定!$D$6:$D$21,MATCH($G1316,設定!$B$6:$B$21,0))),""))</f>
        <v/>
      </c>
      <c r="I1316" s="83">
        <f>IF($G1316="","",IFERROR(IF(INDEX(設定!$E$6:$E$21,MATCH($G1316,設定!$B$6:$B$21,0))=0,"",INDEX(設定!$E$6:$E$21,MATCH($G1316,設定!$B$6:$B$21,0))),""))</f>
        <v/>
      </c>
      <c r="J1316" s="83">
        <f>IFERROR(INDEX(打卡匯入!$C$3:$C$2002,MATCH($C1316&amp;"|"&amp;DAY($A1316),打卡匯入!$E$3:$E$2002,0)),"")</f>
        <v/>
      </c>
      <c r="K1316" s="83">
        <f>IFERROR(INDEX(打卡匯入!$D$3:$D$2002,MATCH($C1316&amp;"|"&amp;DAY($A1316),打卡匯入!$E$3:$E$2002,0)),"")</f>
        <v/>
      </c>
      <c r="L1316" s="84">
        <f>IF(OR($J1316="",$K1316=""),"",IFERROR(INDEX(設定!$F$6:$F$21,MATCH($G1316,設定!$B$6:$B$21,0)),0))</f>
        <v/>
      </c>
      <c r="M1316" s="85">
        <f>IF(OR($J1316="",$K1316=""),"",ROUND(($K1316-$J1316)*24-$L1316/60,2))</f>
        <v/>
      </c>
      <c r="N1316" s="16">
        <f>IF($C1316="","",IF(AND(COUNTIF(設定!$B$15:$B$21,$G1316)&gt;0,$J1316&lt;&gt;""),"假日出勤",IF(AND(COUNTIF(設定!$B$6:$B$14,$G1316)&gt;0,$J1316=""),"未打卡",IF($J1316="","",IF($O1316&gt;0,"遲到",IF($P1316&gt;0,"早退","正常"))))))</f>
        <v/>
      </c>
      <c r="O1316" s="84">
        <f>IF(OR($C1316="",$H1316="",$J1316=""),0,IF(ROUND(($J1316-$H1316)*1440,0)&gt;設定!$C$46,ROUND(($J1316-$H1316)*1440,0),0))</f>
        <v/>
      </c>
      <c r="P1316" s="84">
        <f>IF(OR($C1316="",$I1316="",$K1316=""),0,IF(ROUND(($I1316-$K1316)*1440,0)&gt;設定!$C$46,ROUND(($I1316-$K1316)*1440,0),0))</f>
        <v/>
      </c>
      <c r="Q1316" s="85">
        <f>IF($M1316="",0,IF(($M1316-IFERROR(INDEX(設定!$G$6:$G$21,MATCH($G1316,設定!$B$6:$B$21,0)),0))*60&gt;=設定!$C$44,ROUND(FLOOR(($M1316-IFERROR(INDEX(設定!$G$6:$G$21,MATCH($G1316,設定!$B$6:$B$21,0)),0))*60,設定!$C$45)/60,2),0))</f>
        <v/>
      </c>
      <c r="R1316" s="16">
        <f>IF(OR($C1316="",$Q1316=0),"",IF($G1316="國","國定假日",IF($B1316="日","例假",IF($B1316="六","休息日","平日"))))</f>
        <v/>
      </c>
      <c r="S1316" s="19" t="n"/>
    </row>
    <row r="1317">
      <c r="A1317" s="82">
        <f>IF(OR(助理班表!$A47="",13&gt;DAY(EOMONTH(DATE(設定!$C$2,設定!$D$2,1),0))),"",DATE(設定!$C$2,設定!$D$2,13))</f>
        <v/>
      </c>
      <c r="B1317" s="16">
        <f>IF($A1317="","",INDEX(設定!$O$6:$O$12,WEEKDAY($A1317,1)))</f>
        <v/>
      </c>
      <c r="C1317" s="16">
        <f>IF($A1317="","",助理班表!$A47)</f>
        <v/>
      </c>
      <c r="D1317" s="16">
        <f>IF($C1317="","",助理班表!$B47)</f>
        <v/>
      </c>
      <c r="E1317" s="16">
        <f>IF($C1317="","",助理班表!$D47)</f>
        <v/>
      </c>
      <c r="F1317" s="16">
        <f>IF($C1317="","",助理班表!$C47)</f>
        <v/>
      </c>
      <c r="G1317" s="16">
        <f>IF($C1317="","",助理班表!Q47)</f>
        <v/>
      </c>
      <c r="H1317" s="83">
        <f>IF($G1317="","",IFERROR(IF(INDEX(設定!$D$6:$D$21,MATCH($G1317,設定!$B$6:$B$21,0))=0,"",INDEX(設定!$D$6:$D$21,MATCH($G1317,設定!$B$6:$B$21,0))),""))</f>
        <v/>
      </c>
      <c r="I1317" s="83">
        <f>IF($G1317="","",IFERROR(IF(INDEX(設定!$E$6:$E$21,MATCH($G1317,設定!$B$6:$B$21,0))=0,"",INDEX(設定!$E$6:$E$21,MATCH($G1317,設定!$B$6:$B$21,0))),""))</f>
        <v/>
      </c>
      <c r="J1317" s="83">
        <f>IFERROR(INDEX(打卡匯入!$C$3:$C$2002,MATCH($C1317&amp;"|"&amp;DAY($A1317),打卡匯入!$E$3:$E$2002,0)),"")</f>
        <v/>
      </c>
      <c r="K1317" s="83">
        <f>IFERROR(INDEX(打卡匯入!$D$3:$D$2002,MATCH($C1317&amp;"|"&amp;DAY($A1317),打卡匯入!$E$3:$E$2002,0)),"")</f>
        <v/>
      </c>
      <c r="L1317" s="84">
        <f>IF(OR($J1317="",$K1317=""),"",IFERROR(INDEX(設定!$F$6:$F$21,MATCH($G1317,設定!$B$6:$B$21,0)),0))</f>
        <v/>
      </c>
      <c r="M1317" s="85">
        <f>IF(OR($J1317="",$K1317=""),"",ROUND(($K1317-$J1317)*24-$L1317/60,2))</f>
        <v/>
      </c>
      <c r="N1317" s="16">
        <f>IF($C1317="","",IF(AND(COUNTIF(設定!$B$15:$B$21,$G1317)&gt;0,$J1317&lt;&gt;""),"假日出勤",IF(AND(COUNTIF(設定!$B$6:$B$14,$G1317)&gt;0,$J1317=""),"未打卡",IF($J1317="","",IF($O1317&gt;0,"遲到",IF($P1317&gt;0,"早退","正常"))))))</f>
        <v/>
      </c>
      <c r="O1317" s="84">
        <f>IF(OR($C1317="",$H1317="",$J1317=""),0,IF(ROUND(($J1317-$H1317)*1440,0)&gt;設定!$C$46,ROUND(($J1317-$H1317)*1440,0),0))</f>
        <v/>
      </c>
      <c r="P1317" s="84">
        <f>IF(OR($C1317="",$I1317="",$K1317=""),0,IF(ROUND(($I1317-$K1317)*1440,0)&gt;設定!$C$46,ROUND(($I1317-$K1317)*1440,0),0))</f>
        <v/>
      </c>
      <c r="Q1317" s="85">
        <f>IF($M1317="",0,IF(($M1317-IFERROR(INDEX(設定!$G$6:$G$21,MATCH($G1317,設定!$B$6:$B$21,0)),0))*60&gt;=設定!$C$44,ROUND(FLOOR(($M1317-IFERROR(INDEX(設定!$G$6:$G$21,MATCH($G1317,設定!$B$6:$B$21,0)),0))*60,設定!$C$45)/60,2),0))</f>
        <v/>
      </c>
      <c r="R1317" s="16">
        <f>IF(OR($C1317="",$Q1317=0),"",IF($G1317="國","國定假日",IF($B1317="日","例假",IF($B1317="六","休息日","平日"))))</f>
        <v/>
      </c>
      <c r="S1317" s="19" t="n"/>
    </row>
    <row r="1318">
      <c r="A1318" s="82">
        <f>IF(OR(助理班表!$A47="",14&gt;DAY(EOMONTH(DATE(設定!$C$2,設定!$D$2,1),0))),"",DATE(設定!$C$2,設定!$D$2,14))</f>
        <v/>
      </c>
      <c r="B1318" s="16">
        <f>IF($A1318="","",INDEX(設定!$O$6:$O$12,WEEKDAY($A1318,1)))</f>
        <v/>
      </c>
      <c r="C1318" s="16">
        <f>IF($A1318="","",助理班表!$A47)</f>
        <v/>
      </c>
      <c r="D1318" s="16">
        <f>IF($C1318="","",助理班表!$B47)</f>
        <v/>
      </c>
      <c r="E1318" s="16">
        <f>IF($C1318="","",助理班表!$D47)</f>
        <v/>
      </c>
      <c r="F1318" s="16">
        <f>IF($C1318="","",助理班表!$C47)</f>
        <v/>
      </c>
      <c r="G1318" s="16">
        <f>IF($C1318="","",助理班表!R47)</f>
        <v/>
      </c>
      <c r="H1318" s="83">
        <f>IF($G1318="","",IFERROR(IF(INDEX(設定!$D$6:$D$21,MATCH($G1318,設定!$B$6:$B$21,0))=0,"",INDEX(設定!$D$6:$D$21,MATCH($G1318,設定!$B$6:$B$21,0))),""))</f>
        <v/>
      </c>
      <c r="I1318" s="83">
        <f>IF($G1318="","",IFERROR(IF(INDEX(設定!$E$6:$E$21,MATCH($G1318,設定!$B$6:$B$21,0))=0,"",INDEX(設定!$E$6:$E$21,MATCH($G1318,設定!$B$6:$B$21,0))),""))</f>
        <v/>
      </c>
      <c r="J1318" s="83">
        <f>IFERROR(INDEX(打卡匯入!$C$3:$C$2002,MATCH($C1318&amp;"|"&amp;DAY($A1318),打卡匯入!$E$3:$E$2002,0)),"")</f>
        <v/>
      </c>
      <c r="K1318" s="83">
        <f>IFERROR(INDEX(打卡匯入!$D$3:$D$2002,MATCH($C1318&amp;"|"&amp;DAY($A1318),打卡匯入!$E$3:$E$2002,0)),"")</f>
        <v/>
      </c>
      <c r="L1318" s="84">
        <f>IF(OR($J1318="",$K1318=""),"",IFERROR(INDEX(設定!$F$6:$F$21,MATCH($G1318,設定!$B$6:$B$21,0)),0))</f>
        <v/>
      </c>
      <c r="M1318" s="85">
        <f>IF(OR($J1318="",$K1318=""),"",ROUND(($K1318-$J1318)*24-$L1318/60,2))</f>
        <v/>
      </c>
      <c r="N1318" s="16">
        <f>IF($C1318="","",IF(AND(COUNTIF(設定!$B$15:$B$21,$G1318)&gt;0,$J1318&lt;&gt;""),"假日出勤",IF(AND(COUNTIF(設定!$B$6:$B$14,$G1318)&gt;0,$J1318=""),"未打卡",IF($J1318="","",IF($O1318&gt;0,"遲到",IF($P1318&gt;0,"早退","正常"))))))</f>
        <v/>
      </c>
      <c r="O1318" s="84">
        <f>IF(OR($C1318="",$H1318="",$J1318=""),0,IF(ROUND(($J1318-$H1318)*1440,0)&gt;設定!$C$46,ROUND(($J1318-$H1318)*1440,0),0))</f>
        <v/>
      </c>
      <c r="P1318" s="84">
        <f>IF(OR($C1318="",$I1318="",$K1318=""),0,IF(ROUND(($I1318-$K1318)*1440,0)&gt;設定!$C$46,ROUND(($I1318-$K1318)*1440,0),0))</f>
        <v/>
      </c>
      <c r="Q1318" s="85">
        <f>IF($M1318="",0,IF(($M1318-IFERROR(INDEX(設定!$G$6:$G$21,MATCH($G1318,設定!$B$6:$B$21,0)),0))*60&gt;=設定!$C$44,ROUND(FLOOR(($M1318-IFERROR(INDEX(設定!$G$6:$G$21,MATCH($G1318,設定!$B$6:$B$21,0)),0))*60,設定!$C$45)/60,2),0))</f>
        <v/>
      </c>
      <c r="R1318" s="16">
        <f>IF(OR($C1318="",$Q1318=0),"",IF($G1318="國","國定假日",IF($B1318="日","例假",IF($B1318="六","休息日","平日"))))</f>
        <v/>
      </c>
      <c r="S1318" s="19" t="n"/>
    </row>
    <row r="1319">
      <c r="A1319" s="82">
        <f>IF(OR(助理班表!$A47="",15&gt;DAY(EOMONTH(DATE(設定!$C$2,設定!$D$2,1),0))),"",DATE(設定!$C$2,設定!$D$2,15))</f>
        <v/>
      </c>
      <c r="B1319" s="16">
        <f>IF($A1319="","",INDEX(設定!$O$6:$O$12,WEEKDAY($A1319,1)))</f>
        <v/>
      </c>
      <c r="C1319" s="16">
        <f>IF($A1319="","",助理班表!$A47)</f>
        <v/>
      </c>
      <c r="D1319" s="16">
        <f>IF($C1319="","",助理班表!$B47)</f>
        <v/>
      </c>
      <c r="E1319" s="16">
        <f>IF($C1319="","",助理班表!$D47)</f>
        <v/>
      </c>
      <c r="F1319" s="16">
        <f>IF($C1319="","",助理班表!$C47)</f>
        <v/>
      </c>
      <c r="G1319" s="16">
        <f>IF($C1319="","",助理班表!S47)</f>
        <v/>
      </c>
      <c r="H1319" s="83">
        <f>IF($G1319="","",IFERROR(IF(INDEX(設定!$D$6:$D$21,MATCH($G1319,設定!$B$6:$B$21,0))=0,"",INDEX(設定!$D$6:$D$21,MATCH($G1319,設定!$B$6:$B$21,0))),""))</f>
        <v/>
      </c>
      <c r="I1319" s="83">
        <f>IF($G1319="","",IFERROR(IF(INDEX(設定!$E$6:$E$21,MATCH($G1319,設定!$B$6:$B$21,0))=0,"",INDEX(設定!$E$6:$E$21,MATCH($G1319,設定!$B$6:$B$21,0))),""))</f>
        <v/>
      </c>
      <c r="J1319" s="83">
        <f>IFERROR(INDEX(打卡匯入!$C$3:$C$2002,MATCH($C1319&amp;"|"&amp;DAY($A1319),打卡匯入!$E$3:$E$2002,0)),"")</f>
        <v/>
      </c>
      <c r="K1319" s="83">
        <f>IFERROR(INDEX(打卡匯入!$D$3:$D$2002,MATCH($C1319&amp;"|"&amp;DAY($A1319),打卡匯入!$E$3:$E$2002,0)),"")</f>
        <v/>
      </c>
      <c r="L1319" s="84">
        <f>IF(OR($J1319="",$K1319=""),"",IFERROR(INDEX(設定!$F$6:$F$21,MATCH($G1319,設定!$B$6:$B$21,0)),0))</f>
        <v/>
      </c>
      <c r="M1319" s="85">
        <f>IF(OR($J1319="",$K1319=""),"",ROUND(($K1319-$J1319)*24-$L1319/60,2))</f>
        <v/>
      </c>
      <c r="N1319" s="16">
        <f>IF($C1319="","",IF(AND(COUNTIF(設定!$B$15:$B$21,$G1319)&gt;0,$J1319&lt;&gt;""),"假日出勤",IF(AND(COUNTIF(設定!$B$6:$B$14,$G1319)&gt;0,$J1319=""),"未打卡",IF($J1319="","",IF($O1319&gt;0,"遲到",IF($P1319&gt;0,"早退","正常"))))))</f>
        <v/>
      </c>
      <c r="O1319" s="84">
        <f>IF(OR($C1319="",$H1319="",$J1319=""),0,IF(ROUND(($J1319-$H1319)*1440,0)&gt;設定!$C$46,ROUND(($J1319-$H1319)*1440,0),0))</f>
        <v/>
      </c>
      <c r="P1319" s="84">
        <f>IF(OR($C1319="",$I1319="",$K1319=""),0,IF(ROUND(($I1319-$K1319)*1440,0)&gt;設定!$C$46,ROUND(($I1319-$K1319)*1440,0),0))</f>
        <v/>
      </c>
      <c r="Q1319" s="85">
        <f>IF($M1319="",0,IF(($M1319-IFERROR(INDEX(設定!$G$6:$G$21,MATCH($G1319,設定!$B$6:$B$21,0)),0))*60&gt;=設定!$C$44,ROUND(FLOOR(($M1319-IFERROR(INDEX(設定!$G$6:$G$21,MATCH($G1319,設定!$B$6:$B$21,0)),0))*60,設定!$C$45)/60,2),0))</f>
        <v/>
      </c>
      <c r="R1319" s="16">
        <f>IF(OR($C1319="",$Q1319=0),"",IF($G1319="國","國定假日",IF($B1319="日","例假",IF($B1319="六","休息日","平日"))))</f>
        <v/>
      </c>
      <c r="S1319" s="19" t="n"/>
    </row>
    <row r="1320">
      <c r="A1320" s="82">
        <f>IF(OR(助理班表!$A47="",16&gt;DAY(EOMONTH(DATE(設定!$C$2,設定!$D$2,1),0))),"",DATE(設定!$C$2,設定!$D$2,16))</f>
        <v/>
      </c>
      <c r="B1320" s="16">
        <f>IF($A1320="","",INDEX(設定!$O$6:$O$12,WEEKDAY($A1320,1)))</f>
        <v/>
      </c>
      <c r="C1320" s="16">
        <f>IF($A1320="","",助理班表!$A47)</f>
        <v/>
      </c>
      <c r="D1320" s="16">
        <f>IF($C1320="","",助理班表!$B47)</f>
        <v/>
      </c>
      <c r="E1320" s="16">
        <f>IF($C1320="","",助理班表!$D47)</f>
        <v/>
      </c>
      <c r="F1320" s="16">
        <f>IF($C1320="","",助理班表!$C47)</f>
        <v/>
      </c>
      <c r="G1320" s="16">
        <f>IF($C1320="","",助理班表!T47)</f>
        <v/>
      </c>
      <c r="H1320" s="83">
        <f>IF($G1320="","",IFERROR(IF(INDEX(設定!$D$6:$D$21,MATCH($G1320,設定!$B$6:$B$21,0))=0,"",INDEX(設定!$D$6:$D$21,MATCH($G1320,設定!$B$6:$B$21,0))),""))</f>
        <v/>
      </c>
      <c r="I1320" s="83">
        <f>IF($G1320="","",IFERROR(IF(INDEX(設定!$E$6:$E$21,MATCH($G1320,設定!$B$6:$B$21,0))=0,"",INDEX(設定!$E$6:$E$21,MATCH($G1320,設定!$B$6:$B$21,0))),""))</f>
        <v/>
      </c>
      <c r="J1320" s="83">
        <f>IFERROR(INDEX(打卡匯入!$C$3:$C$2002,MATCH($C1320&amp;"|"&amp;DAY($A1320),打卡匯入!$E$3:$E$2002,0)),"")</f>
        <v/>
      </c>
      <c r="K1320" s="83">
        <f>IFERROR(INDEX(打卡匯入!$D$3:$D$2002,MATCH($C1320&amp;"|"&amp;DAY($A1320),打卡匯入!$E$3:$E$2002,0)),"")</f>
        <v/>
      </c>
      <c r="L1320" s="84">
        <f>IF(OR($J1320="",$K1320=""),"",IFERROR(INDEX(設定!$F$6:$F$21,MATCH($G1320,設定!$B$6:$B$21,0)),0))</f>
        <v/>
      </c>
      <c r="M1320" s="85">
        <f>IF(OR($J1320="",$K1320=""),"",ROUND(($K1320-$J1320)*24-$L1320/60,2))</f>
        <v/>
      </c>
      <c r="N1320" s="16">
        <f>IF($C1320="","",IF(AND(COUNTIF(設定!$B$15:$B$21,$G1320)&gt;0,$J1320&lt;&gt;""),"假日出勤",IF(AND(COUNTIF(設定!$B$6:$B$14,$G1320)&gt;0,$J1320=""),"未打卡",IF($J1320="","",IF($O1320&gt;0,"遲到",IF($P1320&gt;0,"早退","正常"))))))</f>
        <v/>
      </c>
      <c r="O1320" s="84">
        <f>IF(OR($C1320="",$H1320="",$J1320=""),0,IF(ROUND(($J1320-$H1320)*1440,0)&gt;設定!$C$46,ROUND(($J1320-$H1320)*1440,0),0))</f>
        <v/>
      </c>
      <c r="P1320" s="84">
        <f>IF(OR($C1320="",$I1320="",$K1320=""),0,IF(ROUND(($I1320-$K1320)*1440,0)&gt;設定!$C$46,ROUND(($I1320-$K1320)*1440,0),0))</f>
        <v/>
      </c>
      <c r="Q1320" s="85">
        <f>IF($M1320="",0,IF(($M1320-IFERROR(INDEX(設定!$G$6:$G$21,MATCH($G1320,設定!$B$6:$B$21,0)),0))*60&gt;=設定!$C$44,ROUND(FLOOR(($M1320-IFERROR(INDEX(設定!$G$6:$G$21,MATCH($G1320,設定!$B$6:$B$21,0)),0))*60,設定!$C$45)/60,2),0))</f>
        <v/>
      </c>
      <c r="R1320" s="16">
        <f>IF(OR($C1320="",$Q1320=0),"",IF($G1320="國","國定假日",IF($B1320="日","例假",IF($B1320="六","休息日","平日"))))</f>
        <v/>
      </c>
      <c r="S1320" s="19" t="n"/>
    </row>
    <row r="1321">
      <c r="A1321" s="82">
        <f>IF(OR(助理班表!$A47="",17&gt;DAY(EOMONTH(DATE(設定!$C$2,設定!$D$2,1),0))),"",DATE(設定!$C$2,設定!$D$2,17))</f>
        <v/>
      </c>
      <c r="B1321" s="16">
        <f>IF($A1321="","",INDEX(設定!$O$6:$O$12,WEEKDAY($A1321,1)))</f>
        <v/>
      </c>
      <c r="C1321" s="16">
        <f>IF($A1321="","",助理班表!$A47)</f>
        <v/>
      </c>
      <c r="D1321" s="16">
        <f>IF($C1321="","",助理班表!$B47)</f>
        <v/>
      </c>
      <c r="E1321" s="16">
        <f>IF($C1321="","",助理班表!$D47)</f>
        <v/>
      </c>
      <c r="F1321" s="16">
        <f>IF($C1321="","",助理班表!$C47)</f>
        <v/>
      </c>
      <c r="G1321" s="16">
        <f>IF($C1321="","",助理班表!U47)</f>
        <v/>
      </c>
      <c r="H1321" s="83">
        <f>IF($G1321="","",IFERROR(IF(INDEX(設定!$D$6:$D$21,MATCH($G1321,設定!$B$6:$B$21,0))=0,"",INDEX(設定!$D$6:$D$21,MATCH($G1321,設定!$B$6:$B$21,0))),""))</f>
        <v/>
      </c>
      <c r="I1321" s="83">
        <f>IF($G1321="","",IFERROR(IF(INDEX(設定!$E$6:$E$21,MATCH($G1321,設定!$B$6:$B$21,0))=0,"",INDEX(設定!$E$6:$E$21,MATCH($G1321,設定!$B$6:$B$21,0))),""))</f>
        <v/>
      </c>
      <c r="J1321" s="83">
        <f>IFERROR(INDEX(打卡匯入!$C$3:$C$2002,MATCH($C1321&amp;"|"&amp;DAY($A1321),打卡匯入!$E$3:$E$2002,0)),"")</f>
        <v/>
      </c>
      <c r="K1321" s="83">
        <f>IFERROR(INDEX(打卡匯入!$D$3:$D$2002,MATCH($C1321&amp;"|"&amp;DAY($A1321),打卡匯入!$E$3:$E$2002,0)),"")</f>
        <v/>
      </c>
      <c r="L1321" s="84">
        <f>IF(OR($J1321="",$K1321=""),"",IFERROR(INDEX(設定!$F$6:$F$21,MATCH($G1321,設定!$B$6:$B$21,0)),0))</f>
        <v/>
      </c>
      <c r="M1321" s="85">
        <f>IF(OR($J1321="",$K1321=""),"",ROUND(($K1321-$J1321)*24-$L1321/60,2))</f>
        <v/>
      </c>
      <c r="N1321" s="16">
        <f>IF($C1321="","",IF(AND(COUNTIF(設定!$B$15:$B$21,$G1321)&gt;0,$J1321&lt;&gt;""),"假日出勤",IF(AND(COUNTIF(設定!$B$6:$B$14,$G1321)&gt;0,$J1321=""),"未打卡",IF($J1321="","",IF($O1321&gt;0,"遲到",IF($P1321&gt;0,"早退","正常"))))))</f>
        <v/>
      </c>
      <c r="O1321" s="84">
        <f>IF(OR($C1321="",$H1321="",$J1321=""),0,IF(ROUND(($J1321-$H1321)*1440,0)&gt;設定!$C$46,ROUND(($J1321-$H1321)*1440,0),0))</f>
        <v/>
      </c>
      <c r="P1321" s="84">
        <f>IF(OR($C1321="",$I1321="",$K1321=""),0,IF(ROUND(($I1321-$K1321)*1440,0)&gt;設定!$C$46,ROUND(($I1321-$K1321)*1440,0),0))</f>
        <v/>
      </c>
      <c r="Q1321" s="85">
        <f>IF($M1321="",0,IF(($M1321-IFERROR(INDEX(設定!$G$6:$G$21,MATCH($G1321,設定!$B$6:$B$21,0)),0))*60&gt;=設定!$C$44,ROUND(FLOOR(($M1321-IFERROR(INDEX(設定!$G$6:$G$21,MATCH($G1321,設定!$B$6:$B$21,0)),0))*60,設定!$C$45)/60,2),0))</f>
        <v/>
      </c>
      <c r="R1321" s="16">
        <f>IF(OR($C1321="",$Q1321=0),"",IF($G1321="國","國定假日",IF($B1321="日","例假",IF($B1321="六","休息日","平日"))))</f>
        <v/>
      </c>
      <c r="S1321" s="19" t="n"/>
    </row>
    <row r="1322">
      <c r="A1322" s="82">
        <f>IF(OR(助理班表!$A47="",18&gt;DAY(EOMONTH(DATE(設定!$C$2,設定!$D$2,1),0))),"",DATE(設定!$C$2,設定!$D$2,18))</f>
        <v/>
      </c>
      <c r="B1322" s="16">
        <f>IF($A1322="","",INDEX(設定!$O$6:$O$12,WEEKDAY($A1322,1)))</f>
        <v/>
      </c>
      <c r="C1322" s="16">
        <f>IF($A1322="","",助理班表!$A47)</f>
        <v/>
      </c>
      <c r="D1322" s="16">
        <f>IF($C1322="","",助理班表!$B47)</f>
        <v/>
      </c>
      <c r="E1322" s="16">
        <f>IF($C1322="","",助理班表!$D47)</f>
        <v/>
      </c>
      <c r="F1322" s="16">
        <f>IF($C1322="","",助理班表!$C47)</f>
        <v/>
      </c>
      <c r="G1322" s="16">
        <f>IF($C1322="","",助理班表!V47)</f>
        <v/>
      </c>
      <c r="H1322" s="83">
        <f>IF($G1322="","",IFERROR(IF(INDEX(設定!$D$6:$D$21,MATCH($G1322,設定!$B$6:$B$21,0))=0,"",INDEX(設定!$D$6:$D$21,MATCH($G1322,設定!$B$6:$B$21,0))),""))</f>
        <v/>
      </c>
      <c r="I1322" s="83">
        <f>IF($G1322="","",IFERROR(IF(INDEX(設定!$E$6:$E$21,MATCH($G1322,設定!$B$6:$B$21,0))=0,"",INDEX(設定!$E$6:$E$21,MATCH($G1322,設定!$B$6:$B$21,0))),""))</f>
        <v/>
      </c>
      <c r="J1322" s="83">
        <f>IFERROR(INDEX(打卡匯入!$C$3:$C$2002,MATCH($C1322&amp;"|"&amp;DAY($A1322),打卡匯入!$E$3:$E$2002,0)),"")</f>
        <v/>
      </c>
      <c r="K1322" s="83">
        <f>IFERROR(INDEX(打卡匯入!$D$3:$D$2002,MATCH($C1322&amp;"|"&amp;DAY($A1322),打卡匯入!$E$3:$E$2002,0)),"")</f>
        <v/>
      </c>
      <c r="L1322" s="84">
        <f>IF(OR($J1322="",$K1322=""),"",IFERROR(INDEX(設定!$F$6:$F$21,MATCH($G1322,設定!$B$6:$B$21,0)),0))</f>
        <v/>
      </c>
      <c r="M1322" s="85">
        <f>IF(OR($J1322="",$K1322=""),"",ROUND(($K1322-$J1322)*24-$L1322/60,2))</f>
        <v/>
      </c>
      <c r="N1322" s="16">
        <f>IF($C1322="","",IF(AND(COUNTIF(設定!$B$15:$B$21,$G1322)&gt;0,$J1322&lt;&gt;""),"假日出勤",IF(AND(COUNTIF(設定!$B$6:$B$14,$G1322)&gt;0,$J1322=""),"未打卡",IF($J1322="","",IF($O1322&gt;0,"遲到",IF($P1322&gt;0,"早退","正常"))))))</f>
        <v/>
      </c>
      <c r="O1322" s="84">
        <f>IF(OR($C1322="",$H1322="",$J1322=""),0,IF(ROUND(($J1322-$H1322)*1440,0)&gt;設定!$C$46,ROUND(($J1322-$H1322)*1440,0),0))</f>
        <v/>
      </c>
      <c r="P1322" s="84">
        <f>IF(OR($C1322="",$I1322="",$K1322=""),0,IF(ROUND(($I1322-$K1322)*1440,0)&gt;設定!$C$46,ROUND(($I1322-$K1322)*1440,0),0))</f>
        <v/>
      </c>
      <c r="Q1322" s="85">
        <f>IF($M1322="",0,IF(($M1322-IFERROR(INDEX(設定!$G$6:$G$21,MATCH($G1322,設定!$B$6:$B$21,0)),0))*60&gt;=設定!$C$44,ROUND(FLOOR(($M1322-IFERROR(INDEX(設定!$G$6:$G$21,MATCH($G1322,設定!$B$6:$B$21,0)),0))*60,設定!$C$45)/60,2),0))</f>
        <v/>
      </c>
      <c r="R1322" s="16">
        <f>IF(OR($C1322="",$Q1322=0),"",IF($G1322="國","國定假日",IF($B1322="日","例假",IF($B1322="六","休息日","平日"))))</f>
        <v/>
      </c>
      <c r="S1322" s="19" t="n"/>
    </row>
    <row r="1323">
      <c r="A1323" s="82">
        <f>IF(OR(助理班表!$A47="",19&gt;DAY(EOMONTH(DATE(設定!$C$2,設定!$D$2,1),0))),"",DATE(設定!$C$2,設定!$D$2,19))</f>
        <v/>
      </c>
      <c r="B1323" s="16">
        <f>IF($A1323="","",INDEX(設定!$O$6:$O$12,WEEKDAY($A1323,1)))</f>
        <v/>
      </c>
      <c r="C1323" s="16">
        <f>IF($A1323="","",助理班表!$A47)</f>
        <v/>
      </c>
      <c r="D1323" s="16">
        <f>IF($C1323="","",助理班表!$B47)</f>
        <v/>
      </c>
      <c r="E1323" s="16">
        <f>IF($C1323="","",助理班表!$D47)</f>
        <v/>
      </c>
      <c r="F1323" s="16">
        <f>IF($C1323="","",助理班表!$C47)</f>
        <v/>
      </c>
      <c r="G1323" s="16">
        <f>IF($C1323="","",助理班表!W47)</f>
        <v/>
      </c>
      <c r="H1323" s="83">
        <f>IF($G1323="","",IFERROR(IF(INDEX(設定!$D$6:$D$21,MATCH($G1323,設定!$B$6:$B$21,0))=0,"",INDEX(設定!$D$6:$D$21,MATCH($G1323,設定!$B$6:$B$21,0))),""))</f>
        <v/>
      </c>
      <c r="I1323" s="83">
        <f>IF($G1323="","",IFERROR(IF(INDEX(設定!$E$6:$E$21,MATCH($G1323,設定!$B$6:$B$21,0))=0,"",INDEX(設定!$E$6:$E$21,MATCH($G1323,設定!$B$6:$B$21,0))),""))</f>
        <v/>
      </c>
      <c r="J1323" s="83">
        <f>IFERROR(INDEX(打卡匯入!$C$3:$C$2002,MATCH($C1323&amp;"|"&amp;DAY($A1323),打卡匯入!$E$3:$E$2002,0)),"")</f>
        <v/>
      </c>
      <c r="K1323" s="83">
        <f>IFERROR(INDEX(打卡匯入!$D$3:$D$2002,MATCH($C1323&amp;"|"&amp;DAY($A1323),打卡匯入!$E$3:$E$2002,0)),"")</f>
        <v/>
      </c>
      <c r="L1323" s="84">
        <f>IF(OR($J1323="",$K1323=""),"",IFERROR(INDEX(設定!$F$6:$F$21,MATCH($G1323,設定!$B$6:$B$21,0)),0))</f>
        <v/>
      </c>
      <c r="M1323" s="85">
        <f>IF(OR($J1323="",$K1323=""),"",ROUND(($K1323-$J1323)*24-$L1323/60,2))</f>
        <v/>
      </c>
      <c r="N1323" s="16">
        <f>IF($C1323="","",IF(AND(COUNTIF(設定!$B$15:$B$21,$G1323)&gt;0,$J1323&lt;&gt;""),"假日出勤",IF(AND(COUNTIF(設定!$B$6:$B$14,$G1323)&gt;0,$J1323=""),"未打卡",IF($J1323="","",IF($O1323&gt;0,"遲到",IF($P1323&gt;0,"早退","正常"))))))</f>
        <v/>
      </c>
      <c r="O1323" s="84">
        <f>IF(OR($C1323="",$H1323="",$J1323=""),0,IF(ROUND(($J1323-$H1323)*1440,0)&gt;設定!$C$46,ROUND(($J1323-$H1323)*1440,0),0))</f>
        <v/>
      </c>
      <c r="P1323" s="84">
        <f>IF(OR($C1323="",$I1323="",$K1323=""),0,IF(ROUND(($I1323-$K1323)*1440,0)&gt;設定!$C$46,ROUND(($I1323-$K1323)*1440,0),0))</f>
        <v/>
      </c>
      <c r="Q1323" s="85">
        <f>IF($M1323="",0,IF(($M1323-IFERROR(INDEX(設定!$G$6:$G$21,MATCH($G1323,設定!$B$6:$B$21,0)),0))*60&gt;=設定!$C$44,ROUND(FLOOR(($M1323-IFERROR(INDEX(設定!$G$6:$G$21,MATCH($G1323,設定!$B$6:$B$21,0)),0))*60,設定!$C$45)/60,2),0))</f>
        <v/>
      </c>
      <c r="R1323" s="16">
        <f>IF(OR($C1323="",$Q1323=0),"",IF($G1323="國","國定假日",IF($B1323="日","例假",IF($B1323="六","休息日","平日"))))</f>
        <v/>
      </c>
      <c r="S1323" s="19" t="n"/>
    </row>
    <row r="1324">
      <c r="A1324" s="82">
        <f>IF(OR(助理班表!$A47="",20&gt;DAY(EOMONTH(DATE(設定!$C$2,設定!$D$2,1),0))),"",DATE(設定!$C$2,設定!$D$2,20))</f>
        <v/>
      </c>
      <c r="B1324" s="16">
        <f>IF($A1324="","",INDEX(設定!$O$6:$O$12,WEEKDAY($A1324,1)))</f>
        <v/>
      </c>
      <c r="C1324" s="16">
        <f>IF($A1324="","",助理班表!$A47)</f>
        <v/>
      </c>
      <c r="D1324" s="16">
        <f>IF($C1324="","",助理班表!$B47)</f>
        <v/>
      </c>
      <c r="E1324" s="16">
        <f>IF($C1324="","",助理班表!$D47)</f>
        <v/>
      </c>
      <c r="F1324" s="16">
        <f>IF($C1324="","",助理班表!$C47)</f>
        <v/>
      </c>
      <c r="G1324" s="16">
        <f>IF($C1324="","",助理班表!X47)</f>
        <v/>
      </c>
      <c r="H1324" s="83">
        <f>IF($G1324="","",IFERROR(IF(INDEX(設定!$D$6:$D$21,MATCH($G1324,設定!$B$6:$B$21,0))=0,"",INDEX(設定!$D$6:$D$21,MATCH($G1324,設定!$B$6:$B$21,0))),""))</f>
        <v/>
      </c>
      <c r="I1324" s="83">
        <f>IF($G1324="","",IFERROR(IF(INDEX(設定!$E$6:$E$21,MATCH($G1324,設定!$B$6:$B$21,0))=0,"",INDEX(設定!$E$6:$E$21,MATCH($G1324,設定!$B$6:$B$21,0))),""))</f>
        <v/>
      </c>
      <c r="J1324" s="83">
        <f>IFERROR(INDEX(打卡匯入!$C$3:$C$2002,MATCH($C1324&amp;"|"&amp;DAY($A1324),打卡匯入!$E$3:$E$2002,0)),"")</f>
        <v/>
      </c>
      <c r="K1324" s="83">
        <f>IFERROR(INDEX(打卡匯入!$D$3:$D$2002,MATCH($C1324&amp;"|"&amp;DAY($A1324),打卡匯入!$E$3:$E$2002,0)),"")</f>
        <v/>
      </c>
      <c r="L1324" s="84">
        <f>IF(OR($J1324="",$K1324=""),"",IFERROR(INDEX(設定!$F$6:$F$21,MATCH($G1324,設定!$B$6:$B$21,0)),0))</f>
        <v/>
      </c>
      <c r="M1324" s="85">
        <f>IF(OR($J1324="",$K1324=""),"",ROUND(($K1324-$J1324)*24-$L1324/60,2))</f>
        <v/>
      </c>
      <c r="N1324" s="16">
        <f>IF($C1324="","",IF(AND(COUNTIF(設定!$B$15:$B$21,$G1324)&gt;0,$J1324&lt;&gt;""),"假日出勤",IF(AND(COUNTIF(設定!$B$6:$B$14,$G1324)&gt;0,$J1324=""),"未打卡",IF($J1324="","",IF($O1324&gt;0,"遲到",IF($P1324&gt;0,"早退","正常"))))))</f>
        <v/>
      </c>
      <c r="O1324" s="84">
        <f>IF(OR($C1324="",$H1324="",$J1324=""),0,IF(ROUND(($J1324-$H1324)*1440,0)&gt;設定!$C$46,ROUND(($J1324-$H1324)*1440,0),0))</f>
        <v/>
      </c>
      <c r="P1324" s="84">
        <f>IF(OR($C1324="",$I1324="",$K1324=""),0,IF(ROUND(($I1324-$K1324)*1440,0)&gt;設定!$C$46,ROUND(($I1324-$K1324)*1440,0),0))</f>
        <v/>
      </c>
      <c r="Q1324" s="85">
        <f>IF($M1324="",0,IF(($M1324-IFERROR(INDEX(設定!$G$6:$G$21,MATCH($G1324,設定!$B$6:$B$21,0)),0))*60&gt;=設定!$C$44,ROUND(FLOOR(($M1324-IFERROR(INDEX(設定!$G$6:$G$21,MATCH($G1324,設定!$B$6:$B$21,0)),0))*60,設定!$C$45)/60,2),0))</f>
        <v/>
      </c>
      <c r="R1324" s="16">
        <f>IF(OR($C1324="",$Q1324=0),"",IF($G1324="國","國定假日",IF($B1324="日","例假",IF($B1324="六","休息日","平日"))))</f>
        <v/>
      </c>
      <c r="S1324" s="19" t="n"/>
    </row>
    <row r="1325">
      <c r="A1325" s="82">
        <f>IF(OR(助理班表!$A47="",21&gt;DAY(EOMONTH(DATE(設定!$C$2,設定!$D$2,1),0))),"",DATE(設定!$C$2,設定!$D$2,21))</f>
        <v/>
      </c>
      <c r="B1325" s="16">
        <f>IF($A1325="","",INDEX(設定!$O$6:$O$12,WEEKDAY($A1325,1)))</f>
        <v/>
      </c>
      <c r="C1325" s="16">
        <f>IF($A1325="","",助理班表!$A47)</f>
        <v/>
      </c>
      <c r="D1325" s="16">
        <f>IF($C1325="","",助理班表!$B47)</f>
        <v/>
      </c>
      <c r="E1325" s="16">
        <f>IF($C1325="","",助理班表!$D47)</f>
        <v/>
      </c>
      <c r="F1325" s="16">
        <f>IF($C1325="","",助理班表!$C47)</f>
        <v/>
      </c>
      <c r="G1325" s="16">
        <f>IF($C1325="","",助理班表!Y47)</f>
        <v/>
      </c>
      <c r="H1325" s="83">
        <f>IF($G1325="","",IFERROR(IF(INDEX(設定!$D$6:$D$21,MATCH($G1325,設定!$B$6:$B$21,0))=0,"",INDEX(設定!$D$6:$D$21,MATCH($G1325,設定!$B$6:$B$21,0))),""))</f>
        <v/>
      </c>
      <c r="I1325" s="83">
        <f>IF($G1325="","",IFERROR(IF(INDEX(設定!$E$6:$E$21,MATCH($G1325,設定!$B$6:$B$21,0))=0,"",INDEX(設定!$E$6:$E$21,MATCH($G1325,設定!$B$6:$B$21,0))),""))</f>
        <v/>
      </c>
      <c r="J1325" s="83">
        <f>IFERROR(INDEX(打卡匯入!$C$3:$C$2002,MATCH($C1325&amp;"|"&amp;DAY($A1325),打卡匯入!$E$3:$E$2002,0)),"")</f>
        <v/>
      </c>
      <c r="K1325" s="83">
        <f>IFERROR(INDEX(打卡匯入!$D$3:$D$2002,MATCH($C1325&amp;"|"&amp;DAY($A1325),打卡匯入!$E$3:$E$2002,0)),"")</f>
        <v/>
      </c>
      <c r="L1325" s="84">
        <f>IF(OR($J1325="",$K1325=""),"",IFERROR(INDEX(設定!$F$6:$F$21,MATCH($G1325,設定!$B$6:$B$21,0)),0))</f>
        <v/>
      </c>
      <c r="M1325" s="85">
        <f>IF(OR($J1325="",$K1325=""),"",ROUND(($K1325-$J1325)*24-$L1325/60,2))</f>
        <v/>
      </c>
      <c r="N1325" s="16">
        <f>IF($C1325="","",IF(AND(COUNTIF(設定!$B$15:$B$21,$G1325)&gt;0,$J1325&lt;&gt;""),"假日出勤",IF(AND(COUNTIF(設定!$B$6:$B$14,$G1325)&gt;0,$J1325=""),"未打卡",IF($J1325="","",IF($O1325&gt;0,"遲到",IF($P1325&gt;0,"早退","正常"))))))</f>
        <v/>
      </c>
      <c r="O1325" s="84">
        <f>IF(OR($C1325="",$H1325="",$J1325=""),0,IF(ROUND(($J1325-$H1325)*1440,0)&gt;設定!$C$46,ROUND(($J1325-$H1325)*1440,0),0))</f>
        <v/>
      </c>
      <c r="P1325" s="84">
        <f>IF(OR($C1325="",$I1325="",$K1325=""),0,IF(ROUND(($I1325-$K1325)*1440,0)&gt;設定!$C$46,ROUND(($I1325-$K1325)*1440,0),0))</f>
        <v/>
      </c>
      <c r="Q1325" s="85">
        <f>IF($M1325="",0,IF(($M1325-IFERROR(INDEX(設定!$G$6:$G$21,MATCH($G1325,設定!$B$6:$B$21,0)),0))*60&gt;=設定!$C$44,ROUND(FLOOR(($M1325-IFERROR(INDEX(設定!$G$6:$G$21,MATCH($G1325,設定!$B$6:$B$21,0)),0))*60,設定!$C$45)/60,2),0))</f>
        <v/>
      </c>
      <c r="R1325" s="16">
        <f>IF(OR($C1325="",$Q1325=0),"",IF($G1325="國","國定假日",IF($B1325="日","例假",IF($B1325="六","休息日","平日"))))</f>
        <v/>
      </c>
      <c r="S1325" s="19" t="n"/>
    </row>
    <row r="1326">
      <c r="A1326" s="82">
        <f>IF(OR(助理班表!$A47="",22&gt;DAY(EOMONTH(DATE(設定!$C$2,設定!$D$2,1),0))),"",DATE(設定!$C$2,設定!$D$2,22))</f>
        <v/>
      </c>
      <c r="B1326" s="16">
        <f>IF($A1326="","",INDEX(設定!$O$6:$O$12,WEEKDAY($A1326,1)))</f>
        <v/>
      </c>
      <c r="C1326" s="16">
        <f>IF($A1326="","",助理班表!$A47)</f>
        <v/>
      </c>
      <c r="D1326" s="16">
        <f>IF($C1326="","",助理班表!$B47)</f>
        <v/>
      </c>
      <c r="E1326" s="16">
        <f>IF($C1326="","",助理班表!$D47)</f>
        <v/>
      </c>
      <c r="F1326" s="16">
        <f>IF($C1326="","",助理班表!$C47)</f>
        <v/>
      </c>
      <c r="G1326" s="16">
        <f>IF($C1326="","",助理班表!Z47)</f>
        <v/>
      </c>
      <c r="H1326" s="83">
        <f>IF($G1326="","",IFERROR(IF(INDEX(設定!$D$6:$D$21,MATCH($G1326,設定!$B$6:$B$21,0))=0,"",INDEX(設定!$D$6:$D$21,MATCH($G1326,設定!$B$6:$B$21,0))),""))</f>
        <v/>
      </c>
      <c r="I1326" s="83">
        <f>IF($G1326="","",IFERROR(IF(INDEX(設定!$E$6:$E$21,MATCH($G1326,設定!$B$6:$B$21,0))=0,"",INDEX(設定!$E$6:$E$21,MATCH($G1326,設定!$B$6:$B$21,0))),""))</f>
        <v/>
      </c>
      <c r="J1326" s="83">
        <f>IFERROR(INDEX(打卡匯入!$C$3:$C$2002,MATCH($C1326&amp;"|"&amp;DAY($A1326),打卡匯入!$E$3:$E$2002,0)),"")</f>
        <v/>
      </c>
      <c r="K1326" s="83">
        <f>IFERROR(INDEX(打卡匯入!$D$3:$D$2002,MATCH($C1326&amp;"|"&amp;DAY($A1326),打卡匯入!$E$3:$E$2002,0)),"")</f>
        <v/>
      </c>
      <c r="L1326" s="84">
        <f>IF(OR($J1326="",$K1326=""),"",IFERROR(INDEX(設定!$F$6:$F$21,MATCH($G1326,設定!$B$6:$B$21,0)),0))</f>
        <v/>
      </c>
      <c r="M1326" s="85">
        <f>IF(OR($J1326="",$K1326=""),"",ROUND(($K1326-$J1326)*24-$L1326/60,2))</f>
        <v/>
      </c>
      <c r="N1326" s="16">
        <f>IF($C1326="","",IF(AND(COUNTIF(設定!$B$15:$B$21,$G1326)&gt;0,$J1326&lt;&gt;""),"假日出勤",IF(AND(COUNTIF(設定!$B$6:$B$14,$G1326)&gt;0,$J1326=""),"未打卡",IF($J1326="","",IF($O1326&gt;0,"遲到",IF($P1326&gt;0,"早退","正常"))))))</f>
        <v/>
      </c>
      <c r="O1326" s="84">
        <f>IF(OR($C1326="",$H1326="",$J1326=""),0,IF(ROUND(($J1326-$H1326)*1440,0)&gt;設定!$C$46,ROUND(($J1326-$H1326)*1440,0),0))</f>
        <v/>
      </c>
      <c r="P1326" s="84">
        <f>IF(OR($C1326="",$I1326="",$K1326=""),0,IF(ROUND(($I1326-$K1326)*1440,0)&gt;設定!$C$46,ROUND(($I1326-$K1326)*1440,0),0))</f>
        <v/>
      </c>
      <c r="Q1326" s="85">
        <f>IF($M1326="",0,IF(($M1326-IFERROR(INDEX(設定!$G$6:$G$21,MATCH($G1326,設定!$B$6:$B$21,0)),0))*60&gt;=設定!$C$44,ROUND(FLOOR(($M1326-IFERROR(INDEX(設定!$G$6:$G$21,MATCH($G1326,設定!$B$6:$B$21,0)),0))*60,設定!$C$45)/60,2),0))</f>
        <v/>
      </c>
      <c r="R1326" s="16">
        <f>IF(OR($C1326="",$Q1326=0),"",IF($G1326="國","國定假日",IF($B1326="日","例假",IF($B1326="六","休息日","平日"))))</f>
        <v/>
      </c>
      <c r="S1326" s="19" t="n"/>
    </row>
    <row r="1327">
      <c r="A1327" s="82">
        <f>IF(OR(助理班表!$A47="",23&gt;DAY(EOMONTH(DATE(設定!$C$2,設定!$D$2,1),0))),"",DATE(設定!$C$2,設定!$D$2,23))</f>
        <v/>
      </c>
      <c r="B1327" s="16">
        <f>IF($A1327="","",INDEX(設定!$O$6:$O$12,WEEKDAY($A1327,1)))</f>
        <v/>
      </c>
      <c r="C1327" s="16">
        <f>IF($A1327="","",助理班表!$A47)</f>
        <v/>
      </c>
      <c r="D1327" s="16">
        <f>IF($C1327="","",助理班表!$B47)</f>
        <v/>
      </c>
      <c r="E1327" s="16">
        <f>IF($C1327="","",助理班表!$D47)</f>
        <v/>
      </c>
      <c r="F1327" s="16">
        <f>IF($C1327="","",助理班表!$C47)</f>
        <v/>
      </c>
      <c r="G1327" s="16">
        <f>IF($C1327="","",助理班表!AA47)</f>
        <v/>
      </c>
      <c r="H1327" s="83">
        <f>IF($G1327="","",IFERROR(IF(INDEX(設定!$D$6:$D$21,MATCH($G1327,設定!$B$6:$B$21,0))=0,"",INDEX(設定!$D$6:$D$21,MATCH($G1327,設定!$B$6:$B$21,0))),""))</f>
        <v/>
      </c>
      <c r="I1327" s="83">
        <f>IF($G1327="","",IFERROR(IF(INDEX(設定!$E$6:$E$21,MATCH($G1327,設定!$B$6:$B$21,0))=0,"",INDEX(設定!$E$6:$E$21,MATCH($G1327,設定!$B$6:$B$21,0))),""))</f>
        <v/>
      </c>
      <c r="J1327" s="83">
        <f>IFERROR(INDEX(打卡匯入!$C$3:$C$2002,MATCH($C1327&amp;"|"&amp;DAY($A1327),打卡匯入!$E$3:$E$2002,0)),"")</f>
        <v/>
      </c>
      <c r="K1327" s="83">
        <f>IFERROR(INDEX(打卡匯入!$D$3:$D$2002,MATCH($C1327&amp;"|"&amp;DAY($A1327),打卡匯入!$E$3:$E$2002,0)),"")</f>
        <v/>
      </c>
      <c r="L1327" s="84">
        <f>IF(OR($J1327="",$K1327=""),"",IFERROR(INDEX(設定!$F$6:$F$21,MATCH($G1327,設定!$B$6:$B$21,0)),0))</f>
        <v/>
      </c>
      <c r="M1327" s="85">
        <f>IF(OR($J1327="",$K1327=""),"",ROUND(($K1327-$J1327)*24-$L1327/60,2))</f>
        <v/>
      </c>
      <c r="N1327" s="16">
        <f>IF($C1327="","",IF(AND(COUNTIF(設定!$B$15:$B$21,$G1327)&gt;0,$J1327&lt;&gt;""),"假日出勤",IF(AND(COUNTIF(設定!$B$6:$B$14,$G1327)&gt;0,$J1327=""),"未打卡",IF($J1327="","",IF($O1327&gt;0,"遲到",IF($P1327&gt;0,"早退","正常"))))))</f>
        <v/>
      </c>
      <c r="O1327" s="84">
        <f>IF(OR($C1327="",$H1327="",$J1327=""),0,IF(ROUND(($J1327-$H1327)*1440,0)&gt;設定!$C$46,ROUND(($J1327-$H1327)*1440,0),0))</f>
        <v/>
      </c>
      <c r="P1327" s="84">
        <f>IF(OR($C1327="",$I1327="",$K1327=""),0,IF(ROUND(($I1327-$K1327)*1440,0)&gt;設定!$C$46,ROUND(($I1327-$K1327)*1440,0),0))</f>
        <v/>
      </c>
      <c r="Q1327" s="85">
        <f>IF($M1327="",0,IF(($M1327-IFERROR(INDEX(設定!$G$6:$G$21,MATCH($G1327,設定!$B$6:$B$21,0)),0))*60&gt;=設定!$C$44,ROUND(FLOOR(($M1327-IFERROR(INDEX(設定!$G$6:$G$21,MATCH($G1327,設定!$B$6:$B$21,0)),0))*60,設定!$C$45)/60,2),0))</f>
        <v/>
      </c>
      <c r="R1327" s="16">
        <f>IF(OR($C1327="",$Q1327=0),"",IF($G1327="國","國定假日",IF($B1327="日","例假",IF($B1327="六","休息日","平日"))))</f>
        <v/>
      </c>
      <c r="S1327" s="19" t="n"/>
    </row>
    <row r="1328">
      <c r="A1328" s="82">
        <f>IF(OR(助理班表!$A47="",24&gt;DAY(EOMONTH(DATE(設定!$C$2,設定!$D$2,1),0))),"",DATE(設定!$C$2,設定!$D$2,24))</f>
        <v/>
      </c>
      <c r="B1328" s="16">
        <f>IF($A1328="","",INDEX(設定!$O$6:$O$12,WEEKDAY($A1328,1)))</f>
        <v/>
      </c>
      <c r="C1328" s="16">
        <f>IF($A1328="","",助理班表!$A47)</f>
        <v/>
      </c>
      <c r="D1328" s="16">
        <f>IF($C1328="","",助理班表!$B47)</f>
        <v/>
      </c>
      <c r="E1328" s="16">
        <f>IF($C1328="","",助理班表!$D47)</f>
        <v/>
      </c>
      <c r="F1328" s="16">
        <f>IF($C1328="","",助理班表!$C47)</f>
        <v/>
      </c>
      <c r="G1328" s="16">
        <f>IF($C1328="","",助理班表!AB47)</f>
        <v/>
      </c>
      <c r="H1328" s="83">
        <f>IF($G1328="","",IFERROR(IF(INDEX(設定!$D$6:$D$21,MATCH($G1328,設定!$B$6:$B$21,0))=0,"",INDEX(設定!$D$6:$D$21,MATCH($G1328,設定!$B$6:$B$21,0))),""))</f>
        <v/>
      </c>
      <c r="I1328" s="83">
        <f>IF($G1328="","",IFERROR(IF(INDEX(設定!$E$6:$E$21,MATCH($G1328,設定!$B$6:$B$21,0))=0,"",INDEX(設定!$E$6:$E$21,MATCH($G1328,設定!$B$6:$B$21,0))),""))</f>
        <v/>
      </c>
      <c r="J1328" s="83">
        <f>IFERROR(INDEX(打卡匯入!$C$3:$C$2002,MATCH($C1328&amp;"|"&amp;DAY($A1328),打卡匯入!$E$3:$E$2002,0)),"")</f>
        <v/>
      </c>
      <c r="K1328" s="83">
        <f>IFERROR(INDEX(打卡匯入!$D$3:$D$2002,MATCH($C1328&amp;"|"&amp;DAY($A1328),打卡匯入!$E$3:$E$2002,0)),"")</f>
        <v/>
      </c>
      <c r="L1328" s="84">
        <f>IF(OR($J1328="",$K1328=""),"",IFERROR(INDEX(設定!$F$6:$F$21,MATCH($G1328,設定!$B$6:$B$21,0)),0))</f>
        <v/>
      </c>
      <c r="M1328" s="85">
        <f>IF(OR($J1328="",$K1328=""),"",ROUND(($K1328-$J1328)*24-$L1328/60,2))</f>
        <v/>
      </c>
      <c r="N1328" s="16">
        <f>IF($C1328="","",IF(AND(COUNTIF(設定!$B$15:$B$21,$G1328)&gt;0,$J1328&lt;&gt;""),"假日出勤",IF(AND(COUNTIF(設定!$B$6:$B$14,$G1328)&gt;0,$J1328=""),"未打卡",IF($J1328="","",IF($O1328&gt;0,"遲到",IF($P1328&gt;0,"早退","正常"))))))</f>
        <v/>
      </c>
      <c r="O1328" s="84">
        <f>IF(OR($C1328="",$H1328="",$J1328=""),0,IF(ROUND(($J1328-$H1328)*1440,0)&gt;設定!$C$46,ROUND(($J1328-$H1328)*1440,0),0))</f>
        <v/>
      </c>
      <c r="P1328" s="84">
        <f>IF(OR($C1328="",$I1328="",$K1328=""),0,IF(ROUND(($I1328-$K1328)*1440,0)&gt;設定!$C$46,ROUND(($I1328-$K1328)*1440,0),0))</f>
        <v/>
      </c>
      <c r="Q1328" s="85">
        <f>IF($M1328="",0,IF(($M1328-IFERROR(INDEX(設定!$G$6:$G$21,MATCH($G1328,設定!$B$6:$B$21,0)),0))*60&gt;=設定!$C$44,ROUND(FLOOR(($M1328-IFERROR(INDEX(設定!$G$6:$G$21,MATCH($G1328,設定!$B$6:$B$21,0)),0))*60,設定!$C$45)/60,2),0))</f>
        <v/>
      </c>
      <c r="R1328" s="16">
        <f>IF(OR($C1328="",$Q1328=0),"",IF($G1328="國","國定假日",IF($B1328="日","例假",IF($B1328="六","休息日","平日"))))</f>
        <v/>
      </c>
      <c r="S1328" s="19" t="n"/>
    </row>
    <row r="1329">
      <c r="A1329" s="82">
        <f>IF(OR(助理班表!$A47="",25&gt;DAY(EOMONTH(DATE(設定!$C$2,設定!$D$2,1),0))),"",DATE(設定!$C$2,設定!$D$2,25))</f>
        <v/>
      </c>
      <c r="B1329" s="16">
        <f>IF($A1329="","",INDEX(設定!$O$6:$O$12,WEEKDAY($A1329,1)))</f>
        <v/>
      </c>
      <c r="C1329" s="16">
        <f>IF($A1329="","",助理班表!$A47)</f>
        <v/>
      </c>
      <c r="D1329" s="16">
        <f>IF($C1329="","",助理班表!$B47)</f>
        <v/>
      </c>
      <c r="E1329" s="16">
        <f>IF($C1329="","",助理班表!$D47)</f>
        <v/>
      </c>
      <c r="F1329" s="16">
        <f>IF($C1329="","",助理班表!$C47)</f>
        <v/>
      </c>
      <c r="G1329" s="16">
        <f>IF($C1329="","",助理班表!AC47)</f>
        <v/>
      </c>
      <c r="H1329" s="83">
        <f>IF($G1329="","",IFERROR(IF(INDEX(設定!$D$6:$D$21,MATCH($G1329,設定!$B$6:$B$21,0))=0,"",INDEX(設定!$D$6:$D$21,MATCH($G1329,設定!$B$6:$B$21,0))),""))</f>
        <v/>
      </c>
      <c r="I1329" s="83">
        <f>IF($G1329="","",IFERROR(IF(INDEX(設定!$E$6:$E$21,MATCH($G1329,設定!$B$6:$B$21,0))=0,"",INDEX(設定!$E$6:$E$21,MATCH($G1329,設定!$B$6:$B$21,0))),""))</f>
        <v/>
      </c>
      <c r="J1329" s="83">
        <f>IFERROR(INDEX(打卡匯入!$C$3:$C$2002,MATCH($C1329&amp;"|"&amp;DAY($A1329),打卡匯入!$E$3:$E$2002,0)),"")</f>
        <v/>
      </c>
      <c r="K1329" s="83">
        <f>IFERROR(INDEX(打卡匯入!$D$3:$D$2002,MATCH($C1329&amp;"|"&amp;DAY($A1329),打卡匯入!$E$3:$E$2002,0)),"")</f>
        <v/>
      </c>
      <c r="L1329" s="84">
        <f>IF(OR($J1329="",$K1329=""),"",IFERROR(INDEX(設定!$F$6:$F$21,MATCH($G1329,設定!$B$6:$B$21,0)),0))</f>
        <v/>
      </c>
      <c r="M1329" s="85">
        <f>IF(OR($J1329="",$K1329=""),"",ROUND(($K1329-$J1329)*24-$L1329/60,2))</f>
        <v/>
      </c>
      <c r="N1329" s="16">
        <f>IF($C1329="","",IF(AND(COUNTIF(設定!$B$15:$B$21,$G1329)&gt;0,$J1329&lt;&gt;""),"假日出勤",IF(AND(COUNTIF(設定!$B$6:$B$14,$G1329)&gt;0,$J1329=""),"未打卡",IF($J1329="","",IF($O1329&gt;0,"遲到",IF($P1329&gt;0,"早退","正常"))))))</f>
        <v/>
      </c>
      <c r="O1329" s="84">
        <f>IF(OR($C1329="",$H1329="",$J1329=""),0,IF(ROUND(($J1329-$H1329)*1440,0)&gt;設定!$C$46,ROUND(($J1329-$H1329)*1440,0),0))</f>
        <v/>
      </c>
      <c r="P1329" s="84">
        <f>IF(OR($C1329="",$I1329="",$K1329=""),0,IF(ROUND(($I1329-$K1329)*1440,0)&gt;設定!$C$46,ROUND(($I1329-$K1329)*1440,0),0))</f>
        <v/>
      </c>
      <c r="Q1329" s="85">
        <f>IF($M1329="",0,IF(($M1329-IFERROR(INDEX(設定!$G$6:$G$21,MATCH($G1329,設定!$B$6:$B$21,0)),0))*60&gt;=設定!$C$44,ROUND(FLOOR(($M1329-IFERROR(INDEX(設定!$G$6:$G$21,MATCH($G1329,設定!$B$6:$B$21,0)),0))*60,設定!$C$45)/60,2),0))</f>
        <v/>
      </c>
      <c r="R1329" s="16">
        <f>IF(OR($C1329="",$Q1329=0),"",IF($G1329="國","國定假日",IF($B1329="日","例假",IF($B1329="六","休息日","平日"))))</f>
        <v/>
      </c>
      <c r="S1329" s="19" t="n"/>
    </row>
    <row r="1330">
      <c r="A1330" s="82">
        <f>IF(OR(助理班表!$A47="",26&gt;DAY(EOMONTH(DATE(設定!$C$2,設定!$D$2,1),0))),"",DATE(設定!$C$2,設定!$D$2,26))</f>
        <v/>
      </c>
      <c r="B1330" s="16">
        <f>IF($A1330="","",INDEX(設定!$O$6:$O$12,WEEKDAY($A1330,1)))</f>
        <v/>
      </c>
      <c r="C1330" s="16">
        <f>IF($A1330="","",助理班表!$A47)</f>
        <v/>
      </c>
      <c r="D1330" s="16">
        <f>IF($C1330="","",助理班表!$B47)</f>
        <v/>
      </c>
      <c r="E1330" s="16">
        <f>IF($C1330="","",助理班表!$D47)</f>
        <v/>
      </c>
      <c r="F1330" s="16">
        <f>IF($C1330="","",助理班表!$C47)</f>
        <v/>
      </c>
      <c r="G1330" s="16">
        <f>IF($C1330="","",助理班表!AD47)</f>
        <v/>
      </c>
      <c r="H1330" s="83">
        <f>IF($G1330="","",IFERROR(IF(INDEX(設定!$D$6:$D$21,MATCH($G1330,設定!$B$6:$B$21,0))=0,"",INDEX(設定!$D$6:$D$21,MATCH($G1330,設定!$B$6:$B$21,0))),""))</f>
        <v/>
      </c>
      <c r="I1330" s="83">
        <f>IF($G1330="","",IFERROR(IF(INDEX(設定!$E$6:$E$21,MATCH($G1330,設定!$B$6:$B$21,0))=0,"",INDEX(設定!$E$6:$E$21,MATCH($G1330,設定!$B$6:$B$21,0))),""))</f>
        <v/>
      </c>
      <c r="J1330" s="83">
        <f>IFERROR(INDEX(打卡匯入!$C$3:$C$2002,MATCH($C1330&amp;"|"&amp;DAY($A1330),打卡匯入!$E$3:$E$2002,0)),"")</f>
        <v/>
      </c>
      <c r="K1330" s="83">
        <f>IFERROR(INDEX(打卡匯入!$D$3:$D$2002,MATCH($C1330&amp;"|"&amp;DAY($A1330),打卡匯入!$E$3:$E$2002,0)),"")</f>
        <v/>
      </c>
      <c r="L1330" s="84">
        <f>IF(OR($J1330="",$K1330=""),"",IFERROR(INDEX(設定!$F$6:$F$21,MATCH($G1330,設定!$B$6:$B$21,0)),0))</f>
        <v/>
      </c>
      <c r="M1330" s="85">
        <f>IF(OR($J1330="",$K1330=""),"",ROUND(($K1330-$J1330)*24-$L1330/60,2))</f>
        <v/>
      </c>
      <c r="N1330" s="16">
        <f>IF($C1330="","",IF(AND(COUNTIF(設定!$B$15:$B$21,$G1330)&gt;0,$J1330&lt;&gt;""),"假日出勤",IF(AND(COUNTIF(設定!$B$6:$B$14,$G1330)&gt;0,$J1330=""),"未打卡",IF($J1330="","",IF($O1330&gt;0,"遲到",IF($P1330&gt;0,"早退","正常"))))))</f>
        <v/>
      </c>
      <c r="O1330" s="84">
        <f>IF(OR($C1330="",$H1330="",$J1330=""),0,IF(ROUND(($J1330-$H1330)*1440,0)&gt;設定!$C$46,ROUND(($J1330-$H1330)*1440,0),0))</f>
        <v/>
      </c>
      <c r="P1330" s="84">
        <f>IF(OR($C1330="",$I1330="",$K1330=""),0,IF(ROUND(($I1330-$K1330)*1440,0)&gt;設定!$C$46,ROUND(($I1330-$K1330)*1440,0),0))</f>
        <v/>
      </c>
      <c r="Q1330" s="85">
        <f>IF($M1330="",0,IF(($M1330-IFERROR(INDEX(設定!$G$6:$G$21,MATCH($G1330,設定!$B$6:$B$21,0)),0))*60&gt;=設定!$C$44,ROUND(FLOOR(($M1330-IFERROR(INDEX(設定!$G$6:$G$21,MATCH($G1330,設定!$B$6:$B$21,0)),0))*60,設定!$C$45)/60,2),0))</f>
        <v/>
      </c>
      <c r="R1330" s="16">
        <f>IF(OR($C1330="",$Q1330=0),"",IF($G1330="國","國定假日",IF($B1330="日","例假",IF($B1330="六","休息日","平日"))))</f>
        <v/>
      </c>
      <c r="S1330" s="19" t="n"/>
    </row>
    <row r="1331">
      <c r="A1331" s="82">
        <f>IF(OR(助理班表!$A47="",27&gt;DAY(EOMONTH(DATE(設定!$C$2,設定!$D$2,1),0))),"",DATE(設定!$C$2,設定!$D$2,27))</f>
        <v/>
      </c>
      <c r="B1331" s="16">
        <f>IF($A1331="","",INDEX(設定!$O$6:$O$12,WEEKDAY($A1331,1)))</f>
        <v/>
      </c>
      <c r="C1331" s="16">
        <f>IF($A1331="","",助理班表!$A47)</f>
        <v/>
      </c>
      <c r="D1331" s="16">
        <f>IF($C1331="","",助理班表!$B47)</f>
        <v/>
      </c>
      <c r="E1331" s="16">
        <f>IF($C1331="","",助理班表!$D47)</f>
        <v/>
      </c>
      <c r="F1331" s="16">
        <f>IF($C1331="","",助理班表!$C47)</f>
        <v/>
      </c>
      <c r="G1331" s="16">
        <f>IF($C1331="","",助理班表!AE47)</f>
        <v/>
      </c>
      <c r="H1331" s="83">
        <f>IF($G1331="","",IFERROR(IF(INDEX(設定!$D$6:$D$21,MATCH($G1331,設定!$B$6:$B$21,0))=0,"",INDEX(設定!$D$6:$D$21,MATCH($G1331,設定!$B$6:$B$21,0))),""))</f>
        <v/>
      </c>
      <c r="I1331" s="83">
        <f>IF($G1331="","",IFERROR(IF(INDEX(設定!$E$6:$E$21,MATCH($G1331,設定!$B$6:$B$21,0))=0,"",INDEX(設定!$E$6:$E$21,MATCH($G1331,設定!$B$6:$B$21,0))),""))</f>
        <v/>
      </c>
      <c r="J1331" s="83">
        <f>IFERROR(INDEX(打卡匯入!$C$3:$C$2002,MATCH($C1331&amp;"|"&amp;DAY($A1331),打卡匯入!$E$3:$E$2002,0)),"")</f>
        <v/>
      </c>
      <c r="K1331" s="83">
        <f>IFERROR(INDEX(打卡匯入!$D$3:$D$2002,MATCH($C1331&amp;"|"&amp;DAY($A1331),打卡匯入!$E$3:$E$2002,0)),"")</f>
        <v/>
      </c>
      <c r="L1331" s="84">
        <f>IF(OR($J1331="",$K1331=""),"",IFERROR(INDEX(設定!$F$6:$F$21,MATCH($G1331,設定!$B$6:$B$21,0)),0))</f>
        <v/>
      </c>
      <c r="M1331" s="85">
        <f>IF(OR($J1331="",$K1331=""),"",ROUND(($K1331-$J1331)*24-$L1331/60,2))</f>
        <v/>
      </c>
      <c r="N1331" s="16">
        <f>IF($C1331="","",IF(AND(COUNTIF(設定!$B$15:$B$21,$G1331)&gt;0,$J1331&lt;&gt;""),"假日出勤",IF(AND(COUNTIF(設定!$B$6:$B$14,$G1331)&gt;0,$J1331=""),"未打卡",IF($J1331="","",IF($O1331&gt;0,"遲到",IF($P1331&gt;0,"早退","正常"))))))</f>
        <v/>
      </c>
      <c r="O1331" s="84">
        <f>IF(OR($C1331="",$H1331="",$J1331=""),0,IF(ROUND(($J1331-$H1331)*1440,0)&gt;設定!$C$46,ROUND(($J1331-$H1331)*1440,0),0))</f>
        <v/>
      </c>
      <c r="P1331" s="84">
        <f>IF(OR($C1331="",$I1331="",$K1331=""),0,IF(ROUND(($I1331-$K1331)*1440,0)&gt;設定!$C$46,ROUND(($I1331-$K1331)*1440,0),0))</f>
        <v/>
      </c>
      <c r="Q1331" s="85">
        <f>IF($M1331="",0,IF(($M1331-IFERROR(INDEX(設定!$G$6:$G$21,MATCH($G1331,設定!$B$6:$B$21,0)),0))*60&gt;=設定!$C$44,ROUND(FLOOR(($M1331-IFERROR(INDEX(設定!$G$6:$G$21,MATCH($G1331,設定!$B$6:$B$21,0)),0))*60,設定!$C$45)/60,2),0))</f>
        <v/>
      </c>
      <c r="R1331" s="16">
        <f>IF(OR($C1331="",$Q1331=0),"",IF($G1331="國","國定假日",IF($B1331="日","例假",IF($B1331="六","休息日","平日"))))</f>
        <v/>
      </c>
      <c r="S1331" s="19" t="n"/>
    </row>
    <row r="1332">
      <c r="A1332" s="82">
        <f>IF(OR(助理班表!$A47="",28&gt;DAY(EOMONTH(DATE(設定!$C$2,設定!$D$2,1),0))),"",DATE(設定!$C$2,設定!$D$2,28))</f>
        <v/>
      </c>
      <c r="B1332" s="16">
        <f>IF($A1332="","",INDEX(設定!$O$6:$O$12,WEEKDAY($A1332,1)))</f>
        <v/>
      </c>
      <c r="C1332" s="16">
        <f>IF($A1332="","",助理班表!$A47)</f>
        <v/>
      </c>
      <c r="D1332" s="16">
        <f>IF($C1332="","",助理班表!$B47)</f>
        <v/>
      </c>
      <c r="E1332" s="16">
        <f>IF($C1332="","",助理班表!$D47)</f>
        <v/>
      </c>
      <c r="F1332" s="16">
        <f>IF($C1332="","",助理班表!$C47)</f>
        <v/>
      </c>
      <c r="G1332" s="16">
        <f>IF($C1332="","",助理班表!AF47)</f>
        <v/>
      </c>
      <c r="H1332" s="83">
        <f>IF($G1332="","",IFERROR(IF(INDEX(設定!$D$6:$D$21,MATCH($G1332,設定!$B$6:$B$21,0))=0,"",INDEX(設定!$D$6:$D$21,MATCH($G1332,設定!$B$6:$B$21,0))),""))</f>
        <v/>
      </c>
      <c r="I1332" s="83">
        <f>IF($G1332="","",IFERROR(IF(INDEX(設定!$E$6:$E$21,MATCH($G1332,設定!$B$6:$B$21,0))=0,"",INDEX(設定!$E$6:$E$21,MATCH($G1332,設定!$B$6:$B$21,0))),""))</f>
        <v/>
      </c>
      <c r="J1332" s="83">
        <f>IFERROR(INDEX(打卡匯入!$C$3:$C$2002,MATCH($C1332&amp;"|"&amp;DAY($A1332),打卡匯入!$E$3:$E$2002,0)),"")</f>
        <v/>
      </c>
      <c r="K1332" s="83">
        <f>IFERROR(INDEX(打卡匯入!$D$3:$D$2002,MATCH($C1332&amp;"|"&amp;DAY($A1332),打卡匯入!$E$3:$E$2002,0)),"")</f>
        <v/>
      </c>
      <c r="L1332" s="84">
        <f>IF(OR($J1332="",$K1332=""),"",IFERROR(INDEX(設定!$F$6:$F$21,MATCH($G1332,設定!$B$6:$B$21,0)),0))</f>
        <v/>
      </c>
      <c r="M1332" s="85">
        <f>IF(OR($J1332="",$K1332=""),"",ROUND(($K1332-$J1332)*24-$L1332/60,2))</f>
        <v/>
      </c>
      <c r="N1332" s="16">
        <f>IF($C1332="","",IF(AND(COUNTIF(設定!$B$15:$B$21,$G1332)&gt;0,$J1332&lt;&gt;""),"假日出勤",IF(AND(COUNTIF(設定!$B$6:$B$14,$G1332)&gt;0,$J1332=""),"未打卡",IF($J1332="","",IF($O1332&gt;0,"遲到",IF($P1332&gt;0,"早退","正常"))))))</f>
        <v/>
      </c>
      <c r="O1332" s="84">
        <f>IF(OR($C1332="",$H1332="",$J1332=""),0,IF(ROUND(($J1332-$H1332)*1440,0)&gt;設定!$C$46,ROUND(($J1332-$H1332)*1440,0),0))</f>
        <v/>
      </c>
      <c r="P1332" s="84">
        <f>IF(OR($C1332="",$I1332="",$K1332=""),0,IF(ROUND(($I1332-$K1332)*1440,0)&gt;設定!$C$46,ROUND(($I1332-$K1332)*1440,0),0))</f>
        <v/>
      </c>
      <c r="Q1332" s="85">
        <f>IF($M1332="",0,IF(($M1332-IFERROR(INDEX(設定!$G$6:$G$21,MATCH($G1332,設定!$B$6:$B$21,0)),0))*60&gt;=設定!$C$44,ROUND(FLOOR(($M1332-IFERROR(INDEX(設定!$G$6:$G$21,MATCH($G1332,設定!$B$6:$B$21,0)),0))*60,設定!$C$45)/60,2),0))</f>
        <v/>
      </c>
      <c r="R1332" s="16">
        <f>IF(OR($C1332="",$Q1332=0),"",IF($G1332="國","國定假日",IF($B1332="日","例假",IF($B1332="六","休息日","平日"))))</f>
        <v/>
      </c>
      <c r="S1332" s="19" t="n"/>
    </row>
    <row r="1333">
      <c r="A1333" s="82">
        <f>IF(OR(助理班表!$A47="",29&gt;DAY(EOMONTH(DATE(設定!$C$2,設定!$D$2,1),0))),"",DATE(設定!$C$2,設定!$D$2,29))</f>
        <v/>
      </c>
      <c r="B1333" s="16">
        <f>IF($A1333="","",INDEX(設定!$O$6:$O$12,WEEKDAY($A1333,1)))</f>
        <v/>
      </c>
      <c r="C1333" s="16">
        <f>IF($A1333="","",助理班表!$A47)</f>
        <v/>
      </c>
      <c r="D1333" s="16">
        <f>IF($C1333="","",助理班表!$B47)</f>
        <v/>
      </c>
      <c r="E1333" s="16">
        <f>IF($C1333="","",助理班表!$D47)</f>
        <v/>
      </c>
      <c r="F1333" s="16">
        <f>IF($C1333="","",助理班表!$C47)</f>
        <v/>
      </c>
      <c r="G1333" s="16">
        <f>IF($C1333="","",助理班表!AG47)</f>
        <v/>
      </c>
      <c r="H1333" s="83">
        <f>IF($G1333="","",IFERROR(IF(INDEX(設定!$D$6:$D$21,MATCH($G1333,設定!$B$6:$B$21,0))=0,"",INDEX(設定!$D$6:$D$21,MATCH($G1333,設定!$B$6:$B$21,0))),""))</f>
        <v/>
      </c>
      <c r="I1333" s="83">
        <f>IF($G1333="","",IFERROR(IF(INDEX(設定!$E$6:$E$21,MATCH($G1333,設定!$B$6:$B$21,0))=0,"",INDEX(設定!$E$6:$E$21,MATCH($G1333,設定!$B$6:$B$21,0))),""))</f>
        <v/>
      </c>
      <c r="J1333" s="83">
        <f>IFERROR(INDEX(打卡匯入!$C$3:$C$2002,MATCH($C1333&amp;"|"&amp;DAY($A1333),打卡匯入!$E$3:$E$2002,0)),"")</f>
        <v/>
      </c>
      <c r="K1333" s="83">
        <f>IFERROR(INDEX(打卡匯入!$D$3:$D$2002,MATCH($C1333&amp;"|"&amp;DAY($A1333),打卡匯入!$E$3:$E$2002,0)),"")</f>
        <v/>
      </c>
      <c r="L1333" s="84">
        <f>IF(OR($J1333="",$K1333=""),"",IFERROR(INDEX(設定!$F$6:$F$21,MATCH($G1333,設定!$B$6:$B$21,0)),0))</f>
        <v/>
      </c>
      <c r="M1333" s="85">
        <f>IF(OR($J1333="",$K1333=""),"",ROUND(($K1333-$J1333)*24-$L1333/60,2))</f>
        <v/>
      </c>
      <c r="N1333" s="16">
        <f>IF($C1333="","",IF(AND(COUNTIF(設定!$B$15:$B$21,$G1333)&gt;0,$J1333&lt;&gt;""),"假日出勤",IF(AND(COUNTIF(設定!$B$6:$B$14,$G1333)&gt;0,$J1333=""),"未打卡",IF($J1333="","",IF($O1333&gt;0,"遲到",IF($P1333&gt;0,"早退","正常"))))))</f>
        <v/>
      </c>
      <c r="O1333" s="84">
        <f>IF(OR($C1333="",$H1333="",$J1333=""),0,IF(ROUND(($J1333-$H1333)*1440,0)&gt;設定!$C$46,ROUND(($J1333-$H1333)*1440,0),0))</f>
        <v/>
      </c>
      <c r="P1333" s="84">
        <f>IF(OR($C1333="",$I1333="",$K1333=""),0,IF(ROUND(($I1333-$K1333)*1440,0)&gt;設定!$C$46,ROUND(($I1333-$K1333)*1440,0),0))</f>
        <v/>
      </c>
      <c r="Q1333" s="85">
        <f>IF($M1333="",0,IF(($M1333-IFERROR(INDEX(設定!$G$6:$G$21,MATCH($G1333,設定!$B$6:$B$21,0)),0))*60&gt;=設定!$C$44,ROUND(FLOOR(($M1333-IFERROR(INDEX(設定!$G$6:$G$21,MATCH($G1333,設定!$B$6:$B$21,0)),0))*60,設定!$C$45)/60,2),0))</f>
        <v/>
      </c>
      <c r="R1333" s="16">
        <f>IF(OR($C1333="",$Q1333=0),"",IF($G1333="國","國定假日",IF($B1333="日","例假",IF($B1333="六","休息日","平日"))))</f>
        <v/>
      </c>
      <c r="S1333" s="19" t="n"/>
    </row>
    <row r="1334">
      <c r="A1334" s="82">
        <f>IF(OR(助理班表!$A47="",30&gt;DAY(EOMONTH(DATE(設定!$C$2,設定!$D$2,1),0))),"",DATE(設定!$C$2,設定!$D$2,30))</f>
        <v/>
      </c>
      <c r="B1334" s="16">
        <f>IF($A1334="","",INDEX(設定!$O$6:$O$12,WEEKDAY($A1334,1)))</f>
        <v/>
      </c>
      <c r="C1334" s="16">
        <f>IF($A1334="","",助理班表!$A47)</f>
        <v/>
      </c>
      <c r="D1334" s="16">
        <f>IF($C1334="","",助理班表!$B47)</f>
        <v/>
      </c>
      <c r="E1334" s="16">
        <f>IF($C1334="","",助理班表!$D47)</f>
        <v/>
      </c>
      <c r="F1334" s="16">
        <f>IF($C1334="","",助理班表!$C47)</f>
        <v/>
      </c>
      <c r="G1334" s="16">
        <f>IF($C1334="","",助理班表!AH47)</f>
        <v/>
      </c>
      <c r="H1334" s="83">
        <f>IF($G1334="","",IFERROR(IF(INDEX(設定!$D$6:$D$21,MATCH($G1334,設定!$B$6:$B$21,0))=0,"",INDEX(設定!$D$6:$D$21,MATCH($G1334,設定!$B$6:$B$21,0))),""))</f>
        <v/>
      </c>
      <c r="I1334" s="83">
        <f>IF($G1334="","",IFERROR(IF(INDEX(設定!$E$6:$E$21,MATCH($G1334,設定!$B$6:$B$21,0))=0,"",INDEX(設定!$E$6:$E$21,MATCH($G1334,設定!$B$6:$B$21,0))),""))</f>
        <v/>
      </c>
      <c r="J1334" s="83">
        <f>IFERROR(INDEX(打卡匯入!$C$3:$C$2002,MATCH($C1334&amp;"|"&amp;DAY($A1334),打卡匯入!$E$3:$E$2002,0)),"")</f>
        <v/>
      </c>
      <c r="K1334" s="83">
        <f>IFERROR(INDEX(打卡匯入!$D$3:$D$2002,MATCH($C1334&amp;"|"&amp;DAY($A1334),打卡匯入!$E$3:$E$2002,0)),"")</f>
        <v/>
      </c>
      <c r="L1334" s="84">
        <f>IF(OR($J1334="",$K1334=""),"",IFERROR(INDEX(設定!$F$6:$F$21,MATCH($G1334,設定!$B$6:$B$21,0)),0))</f>
        <v/>
      </c>
      <c r="M1334" s="85">
        <f>IF(OR($J1334="",$K1334=""),"",ROUND(($K1334-$J1334)*24-$L1334/60,2))</f>
        <v/>
      </c>
      <c r="N1334" s="16">
        <f>IF($C1334="","",IF(AND(COUNTIF(設定!$B$15:$B$21,$G1334)&gt;0,$J1334&lt;&gt;""),"假日出勤",IF(AND(COUNTIF(設定!$B$6:$B$14,$G1334)&gt;0,$J1334=""),"未打卡",IF($J1334="","",IF($O1334&gt;0,"遲到",IF($P1334&gt;0,"早退","正常"))))))</f>
        <v/>
      </c>
      <c r="O1334" s="84">
        <f>IF(OR($C1334="",$H1334="",$J1334=""),0,IF(ROUND(($J1334-$H1334)*1440,0)&gt;設定!$C$46,ROUND(($J1334-$H1334)*1440,0),0))</f>
        <v/>
      </c>
      <c r="P1334" s="84">
        <f>IF(OR($C1334="",$I1334="",$K1334=""),0,IF(ROUND(($I1334-$K1334)*1440,0)&gt;設定!$C$46,ROUND(($I1334-$K1334)*1440,0),0))</f>
        <v/>
      </c>
      <c r="Q1334" s="85">
        <f>IF($M1334="",0,IF(($M1334-IFERROR(INDEX(設定!$G$6:$G$21,MATCH($G1334,設定!$B$6:$B$21,0)),0))*60&gt;=設定!$C$44,ROUND(FLOOR(($M1334-IFERROR(INDEX(設定!$G$6:$G$21,MATCH($G1334,設定!$B$6:$B$21,0)),0))*60,設定!$C$45)/60,2),0))</f>
        <v/>
      </c>
      <c r="R1334" s="16">
        <f>IF(OR($C1334="",$Q1334=0),"",IF($G1334="國","國定假日",IF($B1334="日","例假",IF($B1334="六","休息日","平日"))))</f>
        <v/>
      </c>
      <c r="S1334" s="19" t="n"/>
    </row>
    <row r="1335">
      <c r="A1335" s="82">
        <f>IF(OR(助理班表!$A47="",31&gt;DAY(EOMONTH(DATE(設定!$C$2,設定!$D$2,1),0))),"",DATE(設定!$C$2,設定!$D$2,31))</f>
        <v/>
      </c>
      <c r="B1335" s="16">
        <f>IF($A1335="","",INDEX(設定!$O$6:$O$12,WEEKDAY($A1335,1)))</f>
        <v/>
      </c>
      <c r="C1335" s="16">
        <f>IF($A1335="","",助理班表!$A47)</f>
        <v/>
      </c>
      <c r="D1335" s="16">
        <f>IF($C1335="","",助理班表!$B47)</f>
        <v/>
      </c>
      <c r="E1335" s="16">
        <f>IF($C1335="","",助理班表!$D47)</f>
        <v/>
      </c>
      <c r="F1335" s="16">
        <f>IF($C1335="","",助理班表!$C47)</f>
        <v/>
      </c>
      <c r="G1335" s="16">
        <f>IF($C1335="","",助理班表!AI47)</f>
        <v/>
      </c>
      <c r="H1335" s="83">
        <f>IF($G1335="","",IFERROR(IF(INDEX(設定!$D$6:$D$21,MATCH($G1335,設定!$B$6:$B$21,0))=0,"",INDEX(設定!$D$6:$D$21,MATCH($G1335,設定!$B$6:$B$21,0))),""))</f>
        <v/>
      </c>
      <c r="I1335" s="83">
        <f>IF($G1335="","",IFERROR(IF(INDEX(設定!$E$6:$E$21,MATCH($G1335,設定!$B$6:$B$21,0))=0,"",INDEX(設定!$E$6:$E$21,MATCH($G1335,設定!$B$6:$B$21,0))),""))</f>
        <v/>
      </c>
      <c r="J1335" s="83">
        <f>IFERROR(INDEX(打卡匯入!$C$3:$C$2002,MATCH($C1335&amp;"|"&amp;DAY($A1335),打卡匯入!$E$3:$E$2002,0)),"")</f>
        <v/>
      </c>
      <c r="K1335" s="83">
        <f>IFERROR(INDEX(打卡匯入!$D$3:$D$2002,MATCH($C1335&amp;"|"&amp;DAY($A1335),打卡匯入!$E$3:$E$2002,0)),"")</f>
        <v/>
      </c>
      <c r="L1335" s="84">
        <f>IF(OR($J1335="",$K1335=""),"",IFERROR(INDEX(設定!$F$6:$F$21,MATCH($G1335,設定!$B$6:$B$21,0)),0))</f>
        <v/>
      </c>
      <c r="M1335" s="85">
        <f>IF(OR($J1335="",$K1335=""),"",ROUND(($K1335-$J1335)*24-$L1335/60,2))</f>
        <v/>
      </c>
      <c r="N1335" s="16">
        <f>IF($C1335="","",IF(AND(COUNTIF(設定!$B$15:$B$21,$G1335)&gt;0,$J1335&lt;&gt;""),"假日出勤",IF(AND(COUNTIF(設定!$B$6:$B$14,$G1335)&gt;0,$J1335=""),"未打卡",IF($J1335="","",IF($O1335&gt;0,"遲到",IF($P1335&gt;0,"早退","正常"))))))</f>
        <v/>
      </c>
      <c r="O1335" s="84">
        <f>IF(OR($C1335="",$H1335="",$J1335=""),0,IF(ROUND(($J1335-$H1335)*1440,0)&gt;設定!$C$46,ROUND(($J1335-$H1335)*1440,0),0))</f>
        <v/>
      </c>
      <c r="P1335" s="84">
        <f>IF(OR($C1335="",$I1335="",$K1335=""),0,IF(ROUND(($I1335-$K1335)*1440,0)&gt;設定!$C$46,ROUND(($I1335-$K1335)*1440,0),0))</f>
        <v/>
      </c>
      <c r="Q1335" s="85">
        <f>IF($M1335="",0,IF(($M1335-IFERROR(INDEX(設定!$G$6:$G$21,MATCH($G1335,設定!$B$6:$B$21,0)),0))*60&gt;=設定!$C$44,ROUND(FLOOR(($M1335-IFERROR(INDEX(設定!$G$6:$G$21,MATCH($G1335,設定!$B$6:$B$21,0)),0))*60,設定!$C$45)/60,2),0))</f>
        <v/>
      </c>
      <c r="R1335" s="16">
        <f>IF(OR($C1335="",$Q1335=0),"",IF($G1335="國","國定假日",IF($B1335="日","例假",IF($B1335="六","休息日","平日"))))</f>
        <v/>
      </c>
      <c r="S1335" s="19" t="n"/>
    </row>
    <row r="1336">
      <c r="A1336" s="82">
        <f>IF(OR(助理班表!$A48="",1&gt;DAY(EOMONTH(DATE(設定!$C$2,設定!$D$2,1),0))),"",DATE(設定!$C$2,設定!$D$2,1))</f>
        <v/>
      </c>
      <c r="B1336" s="16">
        <f>IF($A1336="","",INDEX(設定!$O$6:$O$12,WEEKDAY($A1336,1)))</f>
        <v/>
      </c>
      <c r="C1336" s="16">
        <f>IF($A1336="","",助理班表!$A48)</f>
        <v/>
      </c>
      <c r="D1336" s="16">
        <f>IF($C1336="","",助理班表!$B48)</f>
        <v/>
      </c>
      <c r="E1336" s="16">
        <f>IF($C1336="","",助理班表!$D48)</f>
        <v/>
      </c>
      <c r="F1336" s="16">
        <f>IF($C1336="","",助理班表!$C48)</f>
        <v/>
      </c>
      <c r="G1336" s="16">
        <f>IF($C1336="","",助理班表!E48)</f>
        <v/>
      </c>
      <c r="H1336" s="83">
        <f>IF($G1336="","",IFERROR(IF(INDEX(設定!$D$6:$D$21,MATCH($G1336,設定!$B$6:$B$21,0))=0,"",INDEX(設定!$D$6:$D$21,MATCH($G1336,設定!$B$6:$B$21,0))),""))</f>
        <v/>
      </c>
      <c r="I1336" s="83">
        <f>IF($G1336="","",IFERROR(IF(INDEX(設定!$E$6:$E$21,MATCH($G1336,設定!$B$6:$B$21,0))=0,"",INDEX(設定!$E$6:$E$21,MATCH($G1336,設定!$B$6:$B$21,0))),""))</f>
        <v/>
      </c>
      <c r="J1336" s="83">
        <f>IFERROR(INDEX(打卡匯入!$C$3:$C$2002,MATCH($C1336&amp;"|"&amp;DAY($A1336),打卡匯入!$E$3:$E$2002,0)),"")</f>
        <v/>
      </c>
      <c r="K1336" s="83">
        <f>IFERROR(INDEX(打卡匯入!$D$3:$D$2002,MATCH($C1336&amp;"|"&amp;DAY($A1336),打卡匯入!$E$3:$E$2002,0)),"")</f>
        <v/>
      </c>
      <c r="L1336" s="84">
        <f>IF(OR($J1336="",$K1336=""),"",IFERROR(INDEX(設定!$F$6:$F$21,MATCH($G1336,設定!$B$6:$B$21,0)),0))</f>
        <v/>
      </c>
      <c r="M1336" s="85">
        <f>IF(OR($J1336="",$K1336=""),"",ROUND(($K1336-$J1336)*24-$L1336/60,2))</f>
        <v/>
      </c>
      <c r="N1336" s="16">
        <f>IF($C1336="","",IF(AND(COUNTIF(設定!$B$15:$B$21,$G1336)&gt;0,$J1336&lt;&gt;""),"假日出勤",IF(AND(COUNTIF(設定!$B$6:$B$14,$G1336)&gt;0,$J1336=""),"未打卡",IF($J1336="","",IF($O1336&gt;0,"遲到",IF($P1336&gt;0,"早退","正常"))))))</f>
        <v/>
      </c>
      <c r="O1336" s="84">
        <f>IF(OR($C1336="",$H1336="",$J1336=""),0,IF(ROUND(($J1336-$H1336)*1440,0)&gt;設定!$C$46,ROUND(($J1336-$H1336)*1440,0),0))</f>
        <v/>
      </c>
      <c r="P1336" s="84">
        <f>IF(OR($C1336="",$I1336="",$K1336=""),0,IF(ROUND(($I1336-$K1336)*1440,0)&gt;設定!$C$46,ROUND(($I1336-$K1336)*1440,0),0))</f>
        <v/>
      </c>
      <c r="Q1336" s="85">
        <f>IF($M1336="",0,IF(($M1336-IFERROR(INDEX(設定!$G$6:$G$21,MATCH($G1336,設定!$B$6:$B$21,0)),0))*60&gt;=設定!$C$44,ROUND(FLOOR(($M1336-IFERROR(INDEX(設定!$G$6:$G$21,MATCH($G1336,設定!$B$6:$B$21,0)),0))*60,設定!$C$45)/60,2),0))</f>
        <v/>
      </c>
      <c r="R1336" s="16">
        <f>IF(OR($C1336="",$Q1336=0),"",IF($G1336="國","國定假日",IF($B1336="日","例假",IF($B1336="六","休息日","平日"))))</f>
        <v/>
      </c>
      <c r="S1336" s="19" t="n"/>
    </row>
    <row r="1337">
      <c r="A1337" s="82">
        <f>IF(OR(助理班表!$A48="",2&gt;DAY(EOMONTH(DATE(設定!$C$2,設定!$D$2,1),0))),"",DATE(設定!$C$2,設定!$D$2,2))</f>
        <v/>
      </c>
      <c r="B1337" s="16">
        <f>IF($A1337="","",INDEX(設定!$O$6:$O$12,WEEKDAY($A1337,1)))</f>
        <v/>
      </c>
      <c r="C1337" s="16">
        <f>IF($A1337="","",助理班表!$A48)</f>
        <v/>
      </c>
      <c r="D1337" s="16">
        <f>IF($C1337="","",助理班表!$B48)</f>
        <v/>
      </c>
      <c r="E1337" s="16">
        <f>IF($C1337="","",助理班表!$D48)</f>
        <v/>
      </c>
      <c r="F1337" s="16">
        <f>IF($C1337="","",助理班表!$C48)</f>
        <v/>
      </c>
      <c r="G1337" s="16">
        <f>IF($C1337="","",助理班表!F48)</f>
        <v/>
      </c>
      <c r="H1337" s="83">
        <f>IF($G1337="","",IFERROR(IF(INDEX(設定!$D$6:$D$21,MATCH($G1337,設定!$B$6:$B$21,0))=0,"",INDEX(設定!$D$6:$D$21,MATCH($G1337,設定!$B$6:$B$21,0))),""))</f>
        <v/>
      </c>
      <c r="I1337" s="83">
        <f>IF($G1337="","",IFERROR(IF(INDEX(設定!$E$6:$E$21,MATCH($G1337,設定!$B$6:$B$21,0))=0,"",INDEX(設定!$E$6:$E$21,MATCH($G1337,設定!$B$6:$B$21,0))),""))</f>
        <v/>
      </c>
      <c r="J1337" s="83">
        <f>IFERROR(INDEX(打卡匯入!$C$3:$C$2002,MATCH($C1337&amp;"|"&amp;DAY($A1337),打卡匯入!$E$3:$E$2002,0)),"")</f>
        <v/>
      </c>
      <c r="K1337" s="83">
        <f>IFERROR(INDEX(打卡匯入!$D$3:$D$2002,MATCH($C1337&amp;"|"&amp;DAY($A1337),打卡匯入!$E$3:$E$2002,0)),"")</f>
        <v/>
      </c>
      <c r="L1337" s="84">
        <f>IF(OR($J1337="",$K1337=""),"",IFERROR(INDEX(設定!$F$6:$F$21,MATCH($G1337,設定!$B$6:$B$21,0)),0))</f>
        <v/>
      </c>
      <c r="M1337" s="85">
        <f>IF(OR($J1337="",$K1337=""),"",ROUND(($K1337-$J1337)*24-$L1337/60,2))</f>
        <v/>
      </c>
      <c r="N1337" s="16">
        <f>IF($C1337="","",IF(AND(COUNTIF(設定!$B$15:$B$21,$G1337)&gt;0,$J1337&lt;&gt;""),"假日出勤",IF(AND(COUNTIF(設定!$B$6:$B$14,$G1337)&gt;0,$J1337=""),"未打卡",IF($J1337="","",IF($O1337&gt;0,"遲到",IF($P1337&gt;0,"早退","正常"))))))</f>
        <v/>
      </c>
      <c r="O1337" s="84">
        <f>IF(OR($C1337="",$H1337="",$J1337=""),0,IF(ROUND(($J1337-$H1337)*1440,0)&gt;設定!$C$46,ROUND(($J1337-$H1337)*1440,0),0))</f>
        <v/>
      </c>
      <c r="P1337" s="84">
        <f>IF(OR($C1337="",$I1337="",$K1337=""),0,IF(ROUND(($I1337-$K1337)*1440,0)&gt;設定!$C$46,ROUND(($I1337-$K1337)*1440,0),0))</f>
        <v/>
      </c>
      <c r="Q1337" s="85">
        <f>IF($M1337="",0,IF(($M1337-IFERROR(INDEX(設定!$G$6:$G$21,MATCH($G1337,設定!$B$6:$B$21,0)),0))*60&gt;=設定!$C$44,ROUND(FLOOR(($M1337-IFERROR(INDEX(設定!$G$6:$G$21,MATCH($G1337,設定!$B$6:$B$21,0)),0))*60,設定!$C$45)/60,2),0))</f>
        <v/>
      </c>
      <c r="R1337" s="16">
        <f>IF(OR($C1337="",$Q1337=0),"",IF($G1337="國","國定假日",IF($B1337="日","例假",IF($B1337="六","休息日","平日"))))</f>
        <v/>
      </c>
      <c r="S1337" s="19" t="n"/>
    </row>
    <row r="1338">
      <c r="A1338" s="82">
        <f>IF(OR(助理班表!$A48="",3&gt;DAY(EOMONTH(DATE(設定!$C$2,設定!$D$2,1),0))),"",DATE(設定!$C$2,設定!$D$2,3))</f>
        <v/>
      </c>
      <c r="B1338" s="16">
        <f>IF($A1338="","",INDEX(設定!$O$6:$O$12,WEEKDAY($A1338,1)))</f>
        <v/>
      </c>
      <c r="C1338" s="16">
        <f>IF($A1338="","",助理班表!$A48)</f>
        <v/>
      </c>
      <c r="D1338" s="16">
        <f>IF($C1338="","",助理班表!$B48)</f>
        <v/>
      </c>
      <c r="E1338" s="16">
        <f>IF($C1338="","",助理班表!$D48)</f>
        <v/>
      </c>
      <c r="F1338" s="16">
        <f>IF($C1338="","",助理班表!$C48)</f>
        <v/>
      </c>
      <c r="G1338" s="16">
        <f>IF($C1338="","",助理班表!G48)</f>
        <v/>
      </c>
      <c r="H1338" s="83">
        <f>IF($G1338="","",IFERROR(IF(INDEX(設定!$D$6:$D$21,MATCH($G1338,設定!$B$6:$B$21,0))=0,"",INDEX(設定!$D$6:$D$21,MATCH($G1338,設定!$B$6:$B$21,0))),""))</f>
        <v/>
      </c>
      <c r="I1338" s="83">
        <f>IF($G1338="","",IFERROR(IF(INDEX(設定!$E$6:$E$21,MATCH($G1338,設定!$B$6:$B$21,0))=0,"",INDEX(設定!$E$6:$E$21,MATCH($G1338,設定!$B$6:$B$21,0))),""))</f>
        <v/>
      </c>
      <c r="J1338" s="83">
        <f>IFERROR(INDEX(打卡匯入!$C$3:$C$2002,MATCH($C1338&amp;"|"&amp;DAY($A1338),打卡匯入!$E$3:$E$2002,0)),"")</f>
        <v/>
      </c>
      <c r="K1338" s="83">
        <f>IFERROR(INDEX(打卡匯入!$D$3:$D$2002,MATCH($C1338&amp;"|"&amp;DAY($A1338),打卡匯入!$E$3:$E$2002,0)),"")</f>
        <v/>
      </c>
      <c r="L1338" s="84">
        <f>IF(OR($J1338="",$K1338=""),"",IFERROR(INDEX(設定!$F$6:$F$21,MATCH($G1338,設定!$B$6:$B$21,0)),0))</f>
        <v/>
      </c>
      <c r="M1338" s="85">
        <f>IF(OR($J1338="",$K1338=""),"",ROUND(($K1338-$J1338)*24-$L1338/60,2))</f>
        <v/>
      </c>
      <c r="N1338" s="16">
        <f>IF($C1338="","",IF(AND(COUNTIF(設定!$B$15:$B$21,$G1338)&gt;0,$J1338&lt;&gt;""),"假日出勤",IF(AND(COUNTIF(設定!$B$6:$B$14,$G1338)&gt;0,$J1338=""),"未打卡",IF($J1338="","",IF($O1338&gt;0,"遲到",IF($P1338&gt;0,"早退","正常"))))))</f>
        <v/>
      </c>
      <c r="O1338" s="84">
        <f>IF(OR($C1338="",$H1338="",$J1338=""),0,IF(ROUND(($J1338-$H1338)*1440,0)&gt;設定!$C$46,ROUND(($J1338-$H1338)*1440,0),0))</f>
        <v/>
      </c>
      <c r="P1338" s="84">
        <f>IF(OR($C1338="",$I1338="",$K1338=""),0,IF(ROUND(($I1338-$K1338)*1440,0)&gt;設定!$C$46,ROUND(($I1338-$K1338)*1440,0),0))</f>
        <v/>
      </c>
      <c r="Q1338" s="85">
        <f>IF($M1338="",0,IF(($M1338-IFERROR(INDEX(設定!$G$6:$G$21,MATCH($G1338,設定!$B$6:$B$21,0)),0))*60&gt;=設定!$C$44,ROUND(FLOOR(($M1338-IFERROR(INDEX(設定!$G$6:$G$21,MATCH($G1338,設定!$B$6:$B$21,0)),0))*60,設定!$C$45)/60,2),0))</f>
        <v/>
      </c>
      <c r="R1338" s="16">
        <f>IF(OR($C1338="",$Q1338=0),"",IF($G1338="國","國定假日",IF($B1338="日","例假",IF($B1338="六","休息日","平日"))))</f>
        <v/>
      </c>
      <c r="S1338" s="19" t="n"/>
    </row>
    <row r="1339">
      <c r="A1339" s="82">
        <f>IF(OR(助理班表!$A48="",4&gt;DAY(EOMONTH(DATE(設定!$C$2,設定!$D$2,1),0))),"",DATE(設定!$C$2,設定!$D$2,4))</f>
        <v/>
      </c>
      <c r="B1339" s="16">
        <f>IF($A1339="","",INDEX(設定!$O$6:$O$12,WEEKDAY($A1339,1)))</f>
        <v/>
      </c>
      <c r="C1339" s="16">
        <f>IF($A1339="","",助理班表!$A48)</f>
        <v/>
      </c>
      <c r="D1339" s="16">
        <f>IF($C1339="","",助理班表!$B48)</f>
        <v/>
      </c>
      <c r="E1339" s="16">
        <f>IF($C1339="","",助理班表!$D48)</f>
        <v/>
      </c>
      <c r="F1339" s="16">
        <f>IF($C1339="","",助理班表!$C48)</f>
        <v/>
      </c>
      <c r="G1339" s="16">
        <f>IF($C1339="","",助理班表!H48)</f>
        <v/>
      </c>
      <c r="H1339" s="83">
        <f>IF($G1339="","",IFERROR(IF(INDEX(設定!$D$6:$D$21,MATCH($G1339,設定!$B$6:$B$21,0))=0,"",INDEX(設定!$D$6:$D$21,MATCH($G1339,設定!$B$6:$B$21,0))),""))</f>
        <v/>
      </c>
      <c r="I1339" s="83">
        <f>IF($G1339="","",IFERROR(IF(INDEX(設定!$E$6:$E$21,MATCH($G1339,設定!$B$6:$B$21,0))=0,"",INDEX(設定!$E$6:$E$21,MATCH($G1339,設定!$B$6:$B$21,0))),""))</f>
        <v/>
      </c>
      <c r="J1339" s="83">
        <f>IFERROR(INDEX(打卡匯入!$C$3:$C$2002,MATCH($C1339&amp;"|"&amp;DAY($A1339),打卡匯入!$E$3:$E$2002,0)),"")</f>
        <v/>
      </c>
      <c r="K1339" s="83">
        <f>IFERROR(INDEX(打卡匯入!$D$3:$D$2002,MATCH($C1339&amp;"|"&amp;DAY($A1339),打卡匯入!$E$3:$E$2002,0)),"")</f>
        <v/>
      </c>
      <c r="L1339" s="84">
        <f>IF(OR($J1339="",$K1339=""),"",IFERROR(INDEX(設定!$F$6:$F$21,MATCH($G1339,設定!$B$6:$B$21,0)),0))</f>
        <v/>
      </c>
      <c r="M1339" s="85">
        <f>IF(OR($J1339="",$K1339=""),"",ROUND(($K1339-$J1339)*24-$L1339/60,2))</f>
        <v/>
      </c>
      <c r="N1339" s="16">
        <f>IF($C1339="","",IF(AND(COUNTIF(設定!$B$15:$B$21,$G1339)&gt;0,$J1339&lt;&gt;""),"假日出勤",IF(AND(COUNTIF(設定!$B$6:$B$14,$G1339)&gt;0,$J1339=""),"未打卡",IF($J1339="","",IF($O1339&gt;0,"遲到",IF($P1339&gt;0,"早退","正常"))))))</f>
        <v/>
      </c>
      <c r="O1339" s="84">
        <f>IF(OR($C1339="",$H1339="",$J1339=""),0,IF(ROUND(($J1339-$H1339)*1440,0)&gt;設定!$C$46,ROUND(($J1339-$H1339)*1440,0),0))</f>
        <v/>
      </c>
      <c r="P1339" s="84">
        <f>IF(OR($C1339="",$I1339="",$K1339=""),0,IF(ROUND(($I1339-$K1339)*1440,0)&gt;設定!$C$46,ROUND(($I1339-$K1339)*1440,0),0))</f>
        <v/>
      </c>
      <c r="Q1339" s="85">
        <f>IF($M1339="",0,IF(($M1339-IFERROR(INDEX(設定!$G$6:$G$21,MATCH($G1339,設定!$B$6:$B$21,0)),0))*60&gt;=設定!$C$44,ROUND(FLOOR(($M1339-IFERROR(INDEX(設定!$G$6:$G$21,MATCH($G1339,設定!$B$6:$B$21,0)),0))*60,設定!$C$45)/60,2),0))</f>
        <v/>
      </c>
      <c r="R1339" s="16">
        <f>IF(OR($C1339="",$Q1339=0),"",IF($G1339="國","國定假日",IF($B1339="日","例假",IF($B1339="六","休息日","平日"))))</f>
        <v/>
      </c>
      <c r="S1339" s="19" t="n"/>
    </row>
    <row r="1340">
      <c r="A1340" s="82">
        <f>IF(OR(助理班表!$A48="",5&gt;DAY(EOMONTH(DATE(設定!$C$2,設定!$D$2,1),0))),"",DATE(設定!$C$2,設定!$D$2,5))</f>
        <v/>
      </c>
      <c r="B1340" s="16">
        <f>IF($A1340="","",INDEX(設定!$O$6:$O$12,WEEKDAY($A1340,1)))</f>
        <v/>
      </c>
      <c r="C1340" s="16">
        <f>IF($A1340="","",助理班表!$A48)</f>
        <v/>
      </c>
      <c r="D1340" s="16">
        <f>IF($C1340="","",助理班表!$B48)</f>
        <v/>
      </c>
      <c r="E1340" s="16">
        <f>IF($C1340="","",助理班表!$D48)</f>
        <v/>
      </c>
      <c r="F1340" s="16">
        <f>IF($C1340="","",助理班表!$C48)</f>
        <v/>
      </c>
      <c r="G1340" s="16">
        <f>IF($C1340="","",助理班表!I48)</f>
        <v/>
      </c>
      <c r="H1340" s="83">
        <f>IF($G1340="","",IFERROR(IF(INDEX(設定!$D$6:$D$21,MATCH($G1340,設定!$B$6:$B$21,0))=0,"",INDEX(設定!$D$6:$D$21,MATCH($G1340,設定!$B$6:$B$21,0))),""))</f>
        <v/>
      </c>
      <c r="I1340" s="83">
        <f>IF($G1340="","",IFERROR(IF(INDEX(設定!$E$6:$E$21,MATCH($G1340,設定!$B$6:$B$21,0))=0,"",INDEX(設定!$E$6:$E$21,MATCH($G1340,設定!$B$6:$B$21,0))),""))</f>
        <v/>
      </c>
      <c r="J1340" s="83">
        <f>IFERROR(INDEX(打卡匯入!$C$3:$C$2002,MATCH($C1340&amp;"|"&amp;DAY($A1340),打卡匯入!$E$3:$E$2002,0)),"")</f>
        <v/>
      </c>
      <c r="K1340" s="83">
        <f>IFERROR(INDEX(打卡匯入!$D$3:$D$2002,MATCH($C1340&amp;"|"&amp;DAY($A1340),打卡匯入!$E$3:$E$2002,0)),"")</f>
        <v/>
      </c>
      <c r="L1340" s="84">
        <f>IF(OR($J1340="",$K1340=""),"",IFERROR(INDEX(設定!$F$6:$F$21,MATCH($G1340,設定!$B$6:$B$21,0)),0))</f>
        <v/>
      </c>
      <c r="M1340" s="85">
        <f>IF(OR($J1340="",$K1340=""),"",ROUND(($K1340-$J1340)*24-$L1340/60,2))</f>
        <v/>
      </c>
      <c r="N1340" s="16">
        <f>IF($C1340="","",IF(AND(COUNTIF(設定!$B$15:$B$21,$G1340)&gt;0,$J1340&lt;&gt;""),"假日出勤",IF(AND(COUNTIF(設定!$B$6:$B$14,$G1340)&gt;0,$J1340=""),"未打卡",IF($J1340="","",IF($O1340&gt;0,"遲到",IF($P1340&gt;0,"早退","正常"))))))</f>
        <v/>
      </c>
      <c r="O1340" s="84">
        <f>IF(OR($C1340="",$H1340="",$J1340=""),0,IF(ROUND(($J1340-$H1340)*1440,0)&gt;設定!$C$46,ROUND(($J1340-$H1340)*1440,0),0))</f>
        <v/>
      </c>
      <c r="P1340" s="84">
        <f>IF(OR($C1340="",$I1340="",$K1340=""),0,IF(ROUND(($I1340-$K1340)*1440,0)&gt;設定!$C$46,ROUND(($I1340-$K1340)*1440,0),0))</f>
        <v/>
      </c>
      <c r="Q1340" s="85">
        <f>IF($M1340="",0,IF(($M1340-IFERROR(INDEX(設定!$G$6:$G$21,MATCH($G1340,設定!$B$6:$B$21,0)),0))*60&gt;=設定!$C$44,ROUND(FLOOR(($M1340-IFERROR(INDEX(設定!$G$6:$G$21,MATCH($G1340,設定!$B$6:$B$21,0)),0))*60,設定!$C$45)/60,2),0))</f>
        <v/>
      </c>
      <c r="R1340" s="16">
        <f>IF(OR($C1340="",$Q1340=0),"",IF($G1340="國","國定假日",IF($B1340="日","例假",IF($B1340="六","休息日","平日"))))</f>
        <v/>
      </c>
      <c r="S1340" s="19" t="n"/>
    </row>
    <row r="1341">
      <c r="A1341" s="82">
        <f>IF(OR(助理班表!$A48="",6&gt;DAY(EOMONTH(DATE(設定!$C$2,設定!$D$2,1),0))),"",DATE(設定!$C$2,設定!$D$2,6))</f>
        <v/>
      </c>
      <c r="B1341" s="16">
        <f>IF($A1341="","",INDEX(設定!$O$6:$O$12,WEEKDAY($A1341,1)))</f>
        <v/>
      </c>
      <c r="C1341" s="16">
        <f>IF($A1341="","",助理班表!$A48)</f>
        <v/>
      </c>
      <c r="D1341" s="16">
        <f>IF($C1341="","",助理班表!$B48)</f>
        <v/>
      </c>
      <c r="E1341" s="16">
        <f>IF($C1341="","",助理班表!$D48)</f>
        <v/>
      </c>
      <c r="F1341" s="16">
        <f>IF($C1341="","",助理班表!$C48)</f>
        <v/>
      </c>
      <c r="G1341" s="16">
        <f>IF($C1341="","",助理班表!J48)</f>
        <v/>
      </c>
      <c r="H1341" s="83">
        <f>IF($G1341="","",IFERROR(IF(INDEX(設定!$D$6:$D$21,MATCH($G1341,設定!$B$6:$B$21,0))=0,"",INDEX(設定!$D$6:$D$21,MATCH($G1341,設定!$B$6:$B$21,0))),""))</f>
        <v/>
      </c>
      <c r="I1341" s="83">
        <f>IF($G1341="","",IFERROR(IF(INDEX(設定!$E$6:$E$21,MATCH($G1341,設定!$B$6:$B$21,0))=0,"",INDEX(設定!$E$6:$E$21,MATCH($G1341,設定!$B$6:$B$21,0))),""))</f>
        <v/>
      </c>
      <c r="J1341" s="83">
        <f>IFERROR(INDEX(打卡匯入!$C$3:$C$2002,MATCH($C1341&amp;"|"&amp;DAY($A1341),打卡匯入!$E$3:$E$2002,0)),"")</f>
        <v/>
      </c>
      <c r="K1341" s="83">
        <f>IFERROR(INDEX(打卡匯入!$D$3:$D$2002,MATCH($C1341&amp;"|"&amp;DAY($A1341),打卡匯入!$E$3:$E$2002,0)),"")</f>
        <v/>
      </c>
      <c r="L1341" s="84">
        <f>IF(OR($J1341="",$K1341=""),"",IFERROR(INDEX(設定!$F$6:$F$21,MATCH($G1341,設定!$B$6:$B$21,0)),0))</f>
        <v/>
      </c>
      <c r="M1341" s="85">
        <f>IF(OR($J1341="",$K1341=""),"",ROUND(($K1341-$J1341)*24-$L1341/60,2))</f>
        <v/>
      </c>
      <c r="N1341" s="16">
        <f>IF($C1341="","",IF(AND(COUNTIF(設定!$B$15:$B$21,$G1341)&gt;0,$J1341&lt;&gt;""),"假日出勤",IF(AND(COUNTIF(設定!$B$6:$B$14,$G1341)&gt;0,$J1341=""),"未打卡",IF($J1341="","",IF($O1341&gt;0,"遲到",IF($P1341&gt;0,"早退","正常"))))))</f>
        <v/>
      </c>
      <c r="O1341" s="84">
        <f>IF(OR($C1341="",$H1341="",$J1341=""),0,IF(ROUND(($J1341-$H1341)*1440,0)&gt;設定!$C$46,ROUND(($J1341-$H1341)*1440,0),0))</f>
        <v/>
      </c>
      <c r="P1341" s="84">
        <f>IF(OR($C1341="",$I1341="",$K1341=""),0,IF(ROUND(($I1341-$K1341)*1440,0)&gt;設定!$C$46,ROUND(($I1341-$K1341)*1440,0),0))</f>
        <v/>
      </c>
      <c r="Q1341" s="85">
        <f>IF($M1341="",0,IF(($M1341-IFERROR(INDEX(設定!$G$6:$G$21,MATCH($G1341,設定!$B$6:$B$21,0)),0))*60&gt;=設定!$C$44,ROUND(FLOOR(($M1341-IFERROR(INDEX(設定!$G$6:$G$21,MATCH($G1341,設定!$B$6:$B$21,0)),0))*60,設定!$C$45)/60,2),0))</f>
        <v/>
      </c>
      <c r="R1341" s="16">
        <f>IF(OR($C1341="",$Q1341=0),"",IF($G1341="國","國定假日",IF($B1341="日","例假",IF($B1341="六","休息日","平日"))))</f>
        <v/>
      </c>
      <c r="S1341" s="19" t="n"/>
    </row>
    <row r="1342">
      <c r="A1342" s="82">
        <f>IF(OR(助理班表!$A48="",7&gt;DAY(EOMONTH(DATE(設定!$C$2,設定!$D$2,1),0))),"",DATE(設定!$C$2,設定!$D$2,7))</f>
        <v/>
      </c>
      <c r="B1342" s="16">
        <f>IF($A1342="","",INDEX(設定!$O$6:$O$12,WEEKDAY($A1342,1)))</f>
        <v/>
      </c>
      <c r="C1342" s="16">
        <f>IF($A1342="","",助理班表!$A48)</f>
        <v/>
      </c>
      <c r="D1342" s="16">
        <f>IF($C1342="","",助理班表!$B48)</f>
        <v/>
      </c>
      <c r="E1342" s="16">
        <f>IF($C1342="","",助理班表!$D48)</f>
        <v/>
      </c>
      <c r="F1342" s="16">
        <f>IF($C1342="","",助理班表!$C48)</f>
        <v/>
      </c>
      <c r="G1342" s="16">
        <f>IF($C1342="","",助理班表!K48)</f>
        <v/>
      </c>
      <c r="H1342" s="83">
        <f>IF($G1342="","",IFERROR(IF(INDEX(設定!$D$6:$D$21,MATCH($G1342,設定!$B$6:$B$21,0))=0,"",INDEX(設定!$D$6:$D$21,MATCH($G1342,設定!$B$6:$B$21,0))),""))</f>
        <v/>
      </c>
      <c r="I1342" s="83">
        <f>IF($G1342="","",IFERROR(IF(INDEX(設定!$E$6:$E$21,MATCH($G1342,設定!$B$6:$B$21,0))=0,"",INDEX(設定!$E$6:$E$21,MATCH($G1342,設定!$B$6:$B$21,0))),""))</f>
        <v/>
      </c>
      <c r="J1342" s="83">
        <f>IFERROR(INDEX(打卡匯入!$C$3:$C$2002,MATCH($C1342&amp;"|"&amp;DAY($A1342),打卡匯入!$E$3:$E$2002,0)),"")</f>
        <v/>
      </c>
      <c r="K1342" s="83">
        <f>IFERROR(INDEX(打卡匯入!$D$3:$D$2002,MATCH($C1342&amp;"|"&amp;DAY($A1342),打卡匯入!$E$3:$E$2002,0)),"")</f>
        <v/>
      </c>
      <c r="L1342" s="84">
        <f>IF(OR($J1342="",$K1342=""),"",IFERROR(INDEX(設定!$F$6:$F$21,MATCH($G1342,設定!$B$6:$B$21,0)),0))</f>
        <v/>
      </c>
      <c r="M1342" s="85">
        <f>IF(OR($J1342="",$K1342=""),"",ROUND(($K1342-$J1342)*24-$L1342/60,2))</f>
        <v/>
      </c>
      <c r="N1342" s="16">
        <f>IF($C1342="","",IF(AND(COUNTIF(設定!$B$15:$B$21,$G1342)&gt;0,$J1342&lt;&gt;""),"假日出勤",IF(AND(COUNTIF(設定!$B$6:$B$14,$G1342)&gt;0,$J1342=""),"未打卡",IF($J1342="","",IF($O1342&gt;0,"遲到",IF($P1342&gt;0,"早退","正常"))))))</f>
        <v/>
      </c>
      <c r="O1342" s="84">
        <f>IF(OR($C1342="",$H1342="",$J1342=""),0,IF(ROUND(($J1342-$H1342)*1440,0)&gt;設定!$C$46,ROUND(($J1342-$H1342)*1440,0),0))</f>
        <v/>
      </c>
      <c r="P1342" s="84">
        <f>IF(OR($C1342="",$I1342="",$K1342=""),0,IF(ROUND(($I1342-$K1342)*1440,0)&gt;設定!$C$46,ROUND(($I1342-$K1342)*1440,0),0))</f>
        <v/>
      </c>
      <c r="Q1342" s="85">
        <f>IF($M1342="",0,IF(($M1342-IFERROR(INDEX(設定!$G$6:$G$21,MATCH($G1342,設定!$B$6:$B$21,0)),0))*60&gt;=設定!$C$44,ROUND(FLOOR(($M1342-IFERROR(INDEX(設定!$G$6:$G$21,MATCH($G1342,設定!$B$6:$B$21,0)),0))*60,設定!$C$45)/60,2),0))</f>
        <v/>
      </c>
      <c r="R1342" s="16">
        <f>IF(OR($C1342="",$Q1342=0),"",IF($G1342="國","國定假日",IF($B1342="日","例假",IF($B1342="六","休息日","平日"))))</f>
        <v/>
      </c>
      <c r="S1342" s="19" t="n"/>
    </row>
    <row r="1343">
      <c r="A1343" s="82">
        <f>IF(OR(助理班表!$A48="",8&gt;DAY(EOMONTH(DATE(設定!$C$2,設定!$D$2,1),0))),"",DATE(設定!$C$2,設定!$D$2,8))</f>
        <v/>
      </c>
      <c r="B1343" s="16">
        <f>IF($A1343="","",INDEX(設定!$O$6:$O$12,WEEKDAY($A1343,1)))</f>
        <v/>
      </c>
      <c r="C1343" s="16">
        <f>IF($A1343="","",助理班表!$A48)</f>
        <v/>
      </c>
      <c r="D1343" s="16">
        <f>IF($C1343="","",助理班表!$B48)</f>
        <v/>
      </c>
      <c r="E1343" s="16">
        <f>IF($C1343="","",助理班表!$D48)</f>
        <v/>
      </c>
      <c r="F1343" s="16">
        <f>IF($C1343="","",助理班表!$C48)</f>
        <v/>
      </c>
      <c r="G1343" s="16">
        <f>IF($C1343="","",助理班表!L48)</f>
        <v/>
      </c>
      <c r="H1343" s="83">
        <f>IF($G1343="","",IFERROR(IF(INDEX(設定!$D$6:$D$21,MATCH($G1343,設定!$B$6:$B$21,0))=0,"",INDEX(設定!$D$6:$D$21,MATCH($G1343,設定!$B$6:$B$21,0))),""))</f>
        <v/>
      </c>
      <c r="I1343" s="83">
        <f>IF($G1343="","",IFERROR(IF(INDEX(設定!$E$6:$E$21,MATCH($G1343,設定!$B$6:$B$21,0))=0,"",INDEX(設定!$E$6:$E$21,MATCH($G1343,設定!$B$6:$B$21,0))),""))</f>
        <v/>
      </c>
      <c r="J1343" s="83">
        <f>IFERROR(INDEX(打卡匯入!$C$3:$C$2002,MATCH($C1343&amp;"|"&amp;DAY($A1343),打卡匯入!$E$3:$E$2002,0)),"")</f>
        <v/>
      </c>
      <c r="K1343" s="83">
        <f>IFERROR(INDEX(打卡匯入!$D$3:$D$2002,MATCH($C1343&amp;"|"&amp;DAY($A1343),打卡匯入!$E$3:$E$2002,0)),"")</f>
        <v/>
      </c>
      <c r="L1343" s="84">
        <f>IF(OR($J1343="",$K1343=""),"",IFERROR(INDEX(設定!$F$6:$F$21,MATCH($G1343,設定!$B$6:$B$21,0)),0))</f>
        <v/>
      </c>
      <c r="M1343" s="85">
        <f>IF(OR($J1343="",$K1343=""),"",ROUND(($K1343-$J1343)*24-$L1343/60,2))</f>
        <v/>
      </c>
      <c r="N1343" s="16">
        <f>IF($C1343="","",IF(AND(COUNTIF(設定!$B$15:$B$21,$G1343)&gt;0,$J1343&lt;&gt;""),"假日出勤",IF(AND(COUNTIF(設定!$B$6:$B$14,$G1343)&gt;0,$J1343=""),"未打卡",IF($J1343="","",IF($O1343&gt;0,"遲到",IF($P1343&gt;0,"早退","正常"))))))</f>
        <v/>
      </c>
      <c r="O1343" s="84">
        <f>IF(OR($C1343="",$H1343="",$J1343=""),0,IF(ROUND(($J1343-$H1343)*1440,0)&gt;設定!$C$46,ROUND(($J1343-$H1343)*1440,0),0))</f>
        <v/>
      </c>
      <c r="P1343" s="84">
        <f>IF(OR($C1343="",$I1343="",$K1343=""),0,IF(ROUND(($I1343-$K1343)*1440,0)&gt;設定!$C$46,ROUND(($I1343-$K1343)*1440,0),0))</f>
        <v/>
      </c>
      <c r="Q1343" s="85">
        <f>IF($M1343="",0,IF(($M1343-IFERROR(INDEX(設定!$G$6:$G$21,MATCH($G1343,設定!$B$6:$B$21,0)),0))*60&gt;=設定!$C$44,ROUND(FLOOR(($M1343-IFERROR(INDEX(設定!$G$6:$G$21,MATCH($G1343,設定!$B$6:$B$21,0)),0))*60,設定!$C$45)/60,2),0))</f>
        <v/>
      </c>
      <c r="R1343" s="16">
        <f>IF(OR($C1343="",$Q1343=0),"",IF($G1343="國","國定假日",IF($B1343="日","例假",IF($B1343="六","休息日","平日"))))</f>
        <v/>
      </c>
      <c r="S1343" s="19" t="n"/>
    </row>
    <row r="1344">
      <c r="A1344" s="82">
        <f>IF(OR(助理班表!$A48="",9&gt;DAY(EOMONTH(DATE(設定!$C$2,設定!$D$2,1),0))),"",DATE(設定!$C$2,設定!$D$2,9))</f>
        <v/>
      </c>
      <c r="B1344" s="16">
        <f>IF($A1344="","",INDEX(設定!$O$6:$O$12,WEEKDAY($A1344,1)))</f>
        <v/>
      </c>
      <c r="C1344" s="16">
        <f>IF($A1344="","",助理班表!$A48)</f>
        <v/>
      </c>
      <c r="D1344" s="16">
        <f>IF($C1344="","",助理班表!$B48)</f>
        <v/>
      </c>
      <c r="E1344" s="16">
        <f>IF($C1344="","",助理班表!$D48)</f>
        <v/>
      </c>
      <c r="F1344" s="16">
        <f>IF($C1344="","",助理班表!$C48)</f>
        <v/>
      </c>
      <c r="G1344" s="16">
        <f>IF($C1344="","",助理班表!M48)</f>
        <v/>
      </c>
      <c r="H1344" s="83">
        <f>IF($G1344="","",IFERROR(IF(INDEX(設定!$D$6:$D$21,MATCH($G1344,設定!$B$6:$B$21,0))=0,"",INDEX(設定!$D$6:$D$21,MATCH($G1344,設定!$B$6:$B$21,0))),""))</f>
        <v/>
      </c>
      <c r="I1344" s="83">
        <f>IF($G1344="","",IFERROR(IF(INDEX(設定!$E$6:$E$21,MATCH($G1344,設定!$B$6:$B$21,0))=0,"",INDEX(設定!$E$6:$E$21,MATCH($G1344,設定!$B$6:$B$21,0))),""))</f>
        <v/>
      </c>
      <c r="J1344" s="83">
        <f>IFERROR(INDEX(打卡匯入!$C$3:$C$2002,MATCH($C1344&amp;"|"&amp;DAY($A1344),打卡匯入!$E$3:$E$2002,0)),"")</f>
        <v/>
      </c>
      <c r="K1344" s="83">
        <f>IFERROR(INDEX(打卡匯入!$D$3:$D$2002,MATCH($C1344&amp;"|"&amp;DAY($A1344),打卡匯入!$E$3:$E$2002,0)),"")</f>
        <v/>
      </c>
      <c r="L1344" s="84">
        <f>IF(OR($J1344="",$K1344=""),"",IFERROR(INDEX(設定!$F$6:$F$21,MATCH($G1344,設定!$B$6:$B$21,0)),0))</f>
        <v/>
      </c>
      <c r="M1344" s="85">
        <f>IF(OR($J1344="",$K1344=""),"",ROUND(($K1344-$J1344)*24-$L1344/60,2))</f>
        <v/>
      </c>
      <c r="N1344" s="16">
        <f>IF($C1344="","",IF(AND(COUNTIF(設定!$B$15:$B$21,$G1344)&gt;0,$J1344&lt;&gt;""),"假日出勤",IF(AND(COUNTIF(設定!$B$6:$B$14,$G1344)&gt;0,$J1344=""),"未打卡",IF($J1344="","",IF($O1344&gt;0,"遲到",IF($P1344&gt;0,"早退","正常"))))))</f>
        <v/>
      </c>
      <c r="O1344" s="84">
        <f>IF(OR($C1344="",$H1344="",$J1344=""),0,IF(ROUND(($J1344-$H1344)*1440,0)&gt;設定!$C$46,ROUND(($J1344-$H1344)*1440,0),0))</f>
        <v/>
      </c>
      <c r="P1344" s="84">
        <f>IF(OR($C1344="",$I1344="",$K1344=""),0,IF(ROUND(($I1344-$K1344)*1440,0)&gt;設定!$C$46,ROUND(($I1344-$K1344)*1440,0),0))</f>
        <v/>
      </c>
      <c r="Q1344" s="85">
        <f>IF($M1344="",0,IF(($M1344-IFERROR(INDEX(設定!$G$6:$G$21,MATCH($G1344,設定!$B$6:$B$21,0)),0))*60&gt;=設定!$C$44,ROUND(FLOOR(($M1344-IFERROR(INDEX(設定!$G$6:$G$21,MATCH($G1344,設定!$B$6:$B$21,0)),0))*60,設定!$C$45)/60,2),0))</f>
        <v/>
      </c>
      <c r="R1344" s="16">
        <f>IF(OR($C1344="",$Q1344=0),"",IF($G1344="國","國定假日",IF($B1344="日","例假",IF($B1344="六","休息日","平日"))))</f>
        <v/>
      </c>
      <c r="S1344" s="19" t="n"/>
    </row>
    <row r="1345">
      <c r="A1345" s="82">
        <f>IF(OR(助理班表!$A48="",10&gt;DAY(EOMONTH(DATE(設定!$C$2,設定!$D$2,1),0))),"",DATE(設定!$C$2,設定!$D$2,10))</f>
        <v/>
      </c>
      <c r="B1345" s="16">
        <f>IF($A1345="","",INDEX(設定!$O$6:$O$12,WEEKDAY($A1345,1)))</f>
        <v/>
      </c>
      <c r="C1345" s="16">
        <f>IF($A1345="","",助理班表!$A48)</f>
        <v/>
      </c>
      <c r="D1345" s="16">
        <f>IF($C1345="","",助理班表!$B48)</f>
        <v/>
      </c>
      <c r="E1345" s="16">
        <f>IF($C1345="","",助理班表!$D48)</f>
        <v/>
      </c>
      <c r="F1345" s="16">
        <f>IF($C1345="","",助理班表!$C48)</f>
        <v/>
      </c>
      <c r="G1345" s="16">
        <f>IF($C1345="","",助理班表!N48)</f>
        <v/>
      </c>
      <c r="H1345" s="83">
        <f>IF($G1345="","",IFERROR(IF(INDEX(設定!$D$6:$D$21,MATCH($G1345,設定!$B$6:$B$21,0))=0,"",INDEX(設定!$D$6:$D$21,MATCH($G1345,設定!$B$6:$B$21,0))),""))</f>
        <v/>
      </c>
      <c r="I1345" s="83">
        <f>IF($G1345="","",IFERROR(IF(INDEX(設定!$E$6:$E$21,MATCH($G1345,設定!$B$6:$B$21,0))=0,"",INDEX(設定!$E$6:$E$21,MATCH($G1345,設定!$B$6:$B$21,0))),""))</f>
        <v/>
      </c>
      <c r="J1345" s="83">
        <f>IFERROR(INDEX(打卡匯入!$C$3:$C$2002,MATCH($C1345&amp;"|"&amp;DAY($A1345),打卡匯入!$E$3:$E$2002,0)),"")</f>
        <v/>
      </c>
      <c r="K1345" s="83">
        <f>IFERROR(INDEX(打卡匯入!$D$3:$D$2002,MATCH($C1345&amp;"|"&amp;DAY($A1345),打卡匯入!$E$3:$E$2002,0)),"")</f>
        <v/>
      </c>
      <c r="L1345" s="84">
        <f>IF(OR($J1345="",$K1345=""),"",IFERROR(INDEX(設定!$F$6:$F$21,MATCH($G1345,設定!$B$6:$B$21,0)),0))</f>
        <v/>
      </c>
      <c r="M1345" s="85">
        <f>IF(OR($J1345="",$K1345=""),"",ROUND(($K1345-$J1345)*24-$L1345/60,2))</f>
        <v/>
      </c>
      <c r="N1345" s="16">
        <f>IF($C1345="","",IF(AND(COUNTIF(設定!$B$15:$B$21,$G1345)&gt;0,$J1345&lt;&gt;""),"假日出勤",IF(AND(COUNTIF(設定!$B$6:$B$14,$G1345)&gt;0,$J1345=""),"未打卡",IF($J1345="","",IF($O1345&gt;0,"遲到",IF($P1345&gt;0,"早退","正常"))))))</f>
        <v/>
      </c>
      <c r="O1345" s="84">
        <f>IF(OR($C1345="",$H1345="",$J1345=""),0,IF(ROUND(($J1345-$H1345)*1440,0)&gt;設定!$C$46,ROUND(($J1345-$H1345)*1440,0),0))</f>
        <v/>
      </c>
      <c r="P1345" s="84">
        <f>IF(OR($C1345="",$I1345="",$K1345=""),0,IF(ROUND(($I1345-$K1345)*1440,0)&gt;設定!$C$46,ROUND(($I1345-$K1345)*1440,0),0))</f>
        <v/>
      </c>
      <c r="Q1345" s="85">
        <f>IF($M1345="",0,IF(($M1345-IFERROR(INDEX(設定!$G$6:$G$21,MATCH($G1345,設定!$B$6:$B$21,0)),0))*60&gt;=設定!$C$44,ROUND(FLOOR(($M1345-IFERROR(INDEX(設定!$G$6:$G$21,MATCH($G1345,設定!$B$6:$B$21,0)),0))*60,設定!$C$45)/60,2),0))</f>
        <v/>
      </c>
      <c r="R1345" s="16">
        <f>IF(OR($C1345="",$Q1345=0),"",IF($G1345="國","國定假日",IF($B1345="日","例假",IF($B1345="六","休息日","平日"))))</f>
        <v/>
      </c>
      <c r="S1345" s="19" t="n"/>
    </row>
    <row r="1346">
      <c r="A1346" s="82">
        <f>IF(OR(助理班表!$A48="",11&gt;DAY(EOMONTH(DATE(設定!$C$2,設定!$D$2,1),0))),"",DATE(設定!$C$2,設定!$D$2,11))</f>
        <v/>
      </c>
      <c r="B1346" s="16">
        <f>IF($A1346="","",INDEX(設定!$O$6:$O$12,WEEKDAY($A1346,1)))</f>
        <v/>
      </c>
      <c r="C1346" s="16">
        <f>IF($A1346="","",助理班表!$A48)</f>
        <v/>
      </c>
      <c r="D1346" s="16">
        <f>IF($C1346="","",助理班表!$B48)</f>
        <v/>
      </c>
      <c r="E1346" s="16">
        <f>IF($C1346="","",助理班表!$D48)</f>
        <v/>
      </c>
      <c r="F1346" s="16">
        <f>IF($C1346="","",助理班表!$C48)</f>
        <v/>
      </c>
      <c r="G1346" s="16">
        <f>IF($C1346="","",助理班表!O48)</f>
        <v/>
      </c>
      <c r="H1346" s="83">
        <f>IF($G1346="","",IFERROR(IF(INDEX(設定!$D$6:$D$21,MATCH($G1346,設定!$B$6:$B$21,0))=0,"",INDEX(設定!$D$6:$D$21,MATCH($G1346,設定!$B$6:$B$21,0))),""))</f>
        <v/>
      </c>
      <c r="I1346" s="83">
        <f>IF($G1346="","",IFERROR(IF(INDEX(設定!$E$6:$E$21,MATCH($G1346,設定!$B$6:$B$21,0))=0,"",INDEX(設定!$E$6:$E$21,MATCH($G1346,設定!$B$6:$B$21,0))),""))</f>
        <v/>
      </c>
      <c r="J1346" s="83">
        <f>IFERROR(INDEX(打卡匯入!$C$3:$C$2002,MATCH($C1346&amp;"|"&amp;DAY($A1346),打卡匯入!$E$3:$E$2002,0)),"")</f>
        <v/>
      </c>
      <c r="K1346" s="83">
        <f>IFERROR(INDEX(打卡匯入!$D$3:$D$2002,MATCH($C1346&amp;"|"&amp;DAY($A1346),打卡匯入!$E$3:$E$2002,0)),"")</f>
        <v/>
      </c>
      <c r="L1346" s="84">
        <f>IF(OR($J1346="",$K1346=""),"",IFERROR(INDEX(設定!$F$6:$F$21,MATCH($G1346,設定!$B$6:$B$21,0)),0))</f>
        <v/>
      </c>
      <c r="M1346" s="85">
        <f>IF(OR($J1346="",$K1346=""),"",ROUND(($K1346-$J1346)*24-$L1346/60,2))</f>
        <v/>
      </c>
      <c r="N1346" s="16">
        <f>IF($C1346="","",IF(AND(COUNTIF(設定!$B$15:$B$21,$G1346)&gt;0,$J1346&lt;&gt;""),"假日出勤",IF(AND(COUNTIF(設定!$B$6:$B$14,$G1346)&gt;0,$J1346=""),"未打卡",IF($J1346="","",IF($O1346&gt;0,"遲到",IF($P1346&gt;0,"早退","正常"))))))</f>
        <v/>
      </c>
      <c r="O1346" s="84">
        <f>IF(OR($C1346="",$H1346="",$J1346=""),0,IF(ROUND(($J1346-$H1346)*1440,0)&gt;設定!$C$46,ROUND(($J1346-$H1346)*1440,0),0))</f>
        <v/>
      </c>
      <c r="P1346" s="84">
        <f>IF(OR($C1346="",$I1346="",$K1346=""),0,IF(ROUND(($I1346-$K1346)*1440,0)&gt;設定!$C$46,ROUND(($I1346-$K1346)*1440,0),0))</f>
        <v/>
      </c>
      <c r="Q1346" s="85">
        <f>IF($M1346="",0,IF(($M1346-IFERROR(INDEX(設定!$G$6:$G$21,MATCH($G1346,設定!$B$6:$B$21,0)),0))*60&gt;=設定!$C$44,ROUND(FLOOR(($M1346-IFERROR(INDEX(設定!$G$6:$G$21,MATCH($G1346,設定!$B$6:$B$21,0)),0))*60,設定!$C$45)/60,2),0))</f>
        <v/>
      </c>
      <c r="R1346" s="16">
        <f>IF(OR($C1346="",$Q1346=0),"",IF($G1346="國","國定假日",IF($B1346="日","例假",IF($B1346="六","休息日","平日"))))</f>
        <v/>
      </c>
      <c r="S1346" s="19" t="n"/>
    </row>
    <row r="1347">
      <c r="A1347" s="82">
        <f>IF(OR(助理班表!$A48="",12&gt;DAY(EOMONTH(DATE(設定!$C$2,設定!$D$2,1),0))),"",DATE(設定!$C$2,設定!$D$2,12))</f>
        <v/>
      </c>
      <c r="B1347" s="16">
        <f>IF($A1347="","",INDEX(設定!$O$6:$O$12,WEEKDAY($A1347,1)))</f>
        <v/>
      </c>
      <c r="C1347" s="16">
        <f>IF($A1347="","",助理班表!$A48)</f>
        <v/>
      </c>
      <c r="D1347" s="16">
        <f>IF($C1347="","",助理班表!$B48)</f>
        <v/>
      </c>
      <c r="E1347" s="16">
        <f>IF($C1347="","",助理班表!$D48)</f>
        <v/>
      </c>
      <c r="F1347" s="16">
        <f>IF($C1347="","",助理班表!$C48)</f>
        <v/>
      </c>
      <c r="G1347" s="16">
        <f>IF($C1347="","",助理班表!P48)</f>
        <v/>
      </c>
      <c r="H1347" s="83">
        <f>IF($G1347="","",IFERROR(IF(INDEX(設定!$D$6:$D$21,MATCH($G1347,設定!$B$6:$B$21,0))=0,"",INDEX(設定!$D$6:$D$21,MATCH($G1347,設定!$B$6:$B$21,0))),""))</f>
        <v/>
      </c>
      <c r="I1347" s="83">
        <f>IF($G1347="","",IFERROR(IF(INDEX(設定!$E$6:$E$21,MATCH($G1347,設定!$B$6:$B$21,0))=0,"",INDEX(設定!$E$6:$E$21,MATCH($G1347,設定!$B$6:$B$21,0))),""))</f>
        <v/>
      </c>
      <c r="J1347" s="83">
        <f>IFERROR(INDEX(打卡匯入!$C$3:$C$2002,MATCH($C1347&amp;"|"&amp;DAY($A1347),打卡匯入!$E$3:$E$2002,0)),"")</f>
        <v/>
      </c>
      <c r="K1347" s="83">
        <f>IFERROR(INDEX(打卡匯入!$D$3:$D$2002,MATCH($C1347&amp;"|"&amp;DAY($A1347),打卡匯入!$E$3:$E$2002,0)),"")</f>
        <v/>
      </c>
      <c r="L1347" s="84">
        <f>IF(OR($J1347="",$K1347=""),"",IFERROR(INDEX(設定!$F$6:$F$21,MATCH($G1347,設定!$B$6:$B$21,0)),0))</f>
        <v/>
      </c>
      <c r="M1347" s="85">
        <f>IF(OR($J1347="",$K1347=""),"",ROUND(($K1347-$J1347)*24-$L1347/60,2))</f>
        <v/>
      </c>
      <c r="N1347" s="16">
        <f>IF($C1347="","",IF(AND(COUNTIF(設定!$B$15:$B$21,$G1347)&gt;0,$J1347&lt;&gt;""),"假日出勤",IF(AND(COUNTIF(設定!$B$6:$B$14,$G1347)&gt;0,$J1347=""),"未打卡",IF($J1347="","",IF($O1347&gt;0,"遲到",IF($P1347&gt;0,"早退","正常"))))))</f>
        <v/>
      </c>
      <c r="O1347" s="84">
        <f>IF(OR($C1347="",$H1347="",$J1347=""),0,IF(ROUND(($J1347-$H1347)*1440,0)&gt;設定!$C$46,ROUND(($J1347-$H1347)*1440,0),0))</f>
        <v/>
      </c>
      <c r="P1347" s="84">
        <f>IF(OR($C1347="",$I1347="",$K1347=""),0,IF(ROUND(($I1347-$K1347)*1440,0)&gt;設定!$C$46,ROUND(($I1347-$K1347)*1440,0),0))</f>
        <v/>
      </c>
      <c r="Q1347" s="85">
        <f>IF($M1347="",0,IF(($M1347-IFERROR(INDEX(設定!$G$6:$G$21,MATCH($G1347,設定!$B$6:$B$21,0)),0))*60&gt;=設定!$C$44,ROUND(FLOOR(($M1347-IFERROR(INDEX(設定!$G$6:$G$21,MATCH($G1347,設定!$B$6:$B$21,0)),0))*60,設定!$C$45)/60,2),0))</f>
        <v/>
      </c>
      <c r="R1347" s="16">
        <f>IF(OR($C1347="",$Q1347=0),"",IF($G1347="國","國定假日",IF($B1347="日","例假",IF($B1347="六","休息日","平日"))))</f>
        <v/>
      </c>
      <c r="S1347" s="19" t="n"/>
    </row>
    <row r="1348">
      <c r="A1348" s="82">
        <f>IF(OR(助理班表!$A48="",13&gt;DAY(EOMONTH(DATE(設定!$C$2,設定!$D$2,1),0))),"",DATE(設定!$C$2,設定!$D$2,13))</f>
        <v/>
      </c>
      <c r="B1348" s="16">
        <f>IF($A1348="","",INDEX(設定!$O$6:$O$12,WEEKDAY($A1348,1)))</f>
        <v/>
      </c>
      <c r="C1348" s="16">
        <f>IF($A1348="","",助理班表!$A48)</f>
        <v/>
      </c>
      <c r="D1348" s="16">
        <f>IF($C1348="","",助理班表!$B48)</f>
        <v/>
      </c>
      <c r="E1348" s="16">
        <f>IF($C1348="","",助理班表!$D48)</f>
        <v/>
      </c>
      <c r="F1348" s="16">
        <f>IF($C1348="","",助理班表!$C48)</f>
        <v/>
      </c>
      <c r="G1348" s="16">
        <f>IF($C1348="","",助理班表!Q48)</f>
        <v/>
      </c>
      <c r="H1348" s="83">
        <f>IF($G1348="","",IFERROR(IF(INDEX(設定!$D$6:$D$21,MATCH($G1348,設定!$B$6:$B$21,0))=0,"",INDEX(設定!$D$6:$D$21,MATCH($G1348,設定!$B$6:$B$21,0))),""))</f>
        <v/>
      </c>
      <c r="I1348" s="83">
        <f>IF($G1348="","",IFERROR(IF(INDEX(設定!$E$6:$E$21,MATCH($G1348,設定!$B$6:$B$21,0))=0,"",INDEX(設定!$E$6:$E$21,MATCH($G1348,設定!$B$6:$B$21,0))),""))</f>
        <v/>
      </c>
      <c r="J1348" s="83">
        <f>IFERROR(INDEX(打卡匯入!$C$3:$C$2002,MATCH($C1348&amp;"|"&amp;DAY($A1348),打卡匯入!$E$3:$E$2002,0)),"")</f>
        <v/>
      </c>
      <c r="K1348" s="83">
        <f>IFERROR(INDEX(打卡匯入!$D$3:$D$2002,MATCH($C1348&amp;"|"&amp;DAY($A1348),打卡匯入!$E$3:$E$2002,0)),"")</f>
        <v/>
      </c>
      <c r="L1348" s="84">
        <f>IF(OR($J1348="",$K1348=""),"",IFERROR(INDEX(設定!$F$6:$F$21,MATCH($G1348,設定!$B$6:$B$21,0)),0))</f>
        <v/>
      </c>
      <c r="M1348" s="85">
        <f>IF(OR($J1348="",$K1348=""),"",ROUND(($K1348-$J1348)*24-$L1348/60,2))</f>
        <v/>
      </c>
      <c r="N1348" s="16">
        <f>IF($C1348="","",IF(AND(COUNTIF(設定!$B$15:$B$21,$G1348)&gt;0,$J1348&lt;&gt;""),"假日出勤",IF(AND(COUNTIF(設定!$B$6:$B$14,$G1348)&gt;0,$J1348=""),"未打卡",IF($J1348="","",IF($O1348&gt;0,"遲到",IF($P1348&gt;0,"早退","正常"))))))</f>
        <v/>
      </c>
      <c r="O1348" s="84">
        <f>IF(OR($C1348="",$H1348="",$J1348=""),0,IF(ROUND(($J1348-$H1348)*1440,0)&gt;設定!$C$46,ROUND(($J1348-$H1348)*1440,0),0))</f>
        <v/>
      </c>
      <c r="P1348" s="84">
        <f>IF(OR($C1348="",$I1348="",$K1348=""),0,IF(ROUND(($I1348-$K1348)*1440,0)&gt;設定!$C$46,ROUND(($I1348-$K1348)*1440,0),0))</f>
        <v/>
      </c>
      <c r="Q1348" s="85">
        <f>IF($M1348="",0,IF(($M1348-IFERROR(INDEX(設定!$G$6:$G$21,MATCH($G1348,設定!$B$6:$B$21,0)),0))*60&gt;=設定!$C$44,ROUND(FLOOR(($M1348-IFERROR(INDEX(設定!$G$6:$G$21,MATCH($G1348,設定!$B$6:$B$21,0)),0))*60,設定!$C$45)/60,2),0))</f>
        <v/>
      </c>
      <c r="R1348" s="16">
        <f>IF(OR($C1348="",$Q1348=0),"",IF($G1348="國","國定假日",IF($B1348="日","例假",IF($B1348="六","休息日","平日"))))</f>
        <v/>
      </c>
      <c r="S1348" s="19" t="n"/>
    </row>
    <row r="1349">
      <c r="A1349" s="82">
        <f>IF(OR(助理班表!$A48="",14&gt;DAY(EOMONTH(DATE(設定!$C$2,設定!$D$2,1),0))),"",DATE(設定!$C$2,設定!$D$2,14))</f>
        <v/>
      </c>
      <c r="B1349" s="16">
        <f>IF($A1349="","",INDEX(設定!$O$6:$O$12,WEEKDAY($A1349,1)))</f>
        <v/>
      </c>
      <c r="C1349" s="16">
        <f>IF($A1349="","",助理班表!$A48)</f>
        <v/>
      </c>
      <c r="D1349" s="16">
        <f>IF($C1349="","",助理班表!$B48)</f>
        <v/>
      </c>
      <c r="E1349" s="16">
        <f>IF($C1349="","",助理班表!$D48)</f>
        <v/>
      </c>
      <c r="F1349" s="16">
        <f>IF($C1349="","",助理班表!$C48)</f>
        <v/>
      </c>
      <c r="G1349" s="16">
        <f>IF($C1349="","",助理班表!R48)</f>
        <v/>
      </c>
      <c r="H1349" s="83">
        <f>IF($G1349="","",IFERROR(IF(INDEX(設定!$D$6:$D$21,MATCH($G1349,設定!$B$6:$B$21,0))=0,"",INDEX(設定!$D$6:$D$21,MATCH($G1349,設定!$B$6:$B$21,0))),""))</f>
        <v/>
      </c>
      <c r="I1349" s="83">
        <f>IF($G1349="","",IFERROR(IF(INDEX(設定!$E$6:$E$21,MATCH($G1349,設定!$B$6:$B$21,0))=0,"",INDEX(設定!$E$6:$E$21,MATCH($G1349,設定!$B$6:$B$21,0))),""))</f>
        <v/>
      </c>
      <c r="J1349" s="83">
        <f>IFERROR(INDEX(打卡匯入!$C$3:$C$2002,MATCH($C1349&amp;"|"&amp;DAY($A1349),打卡匯入!$E$3:$E$2002,0)),"")</f>
        <v/>
      </c>
      <c r="K1349" s="83">
        <f>IFERROR(INDEX(打卡匯入!$D$3:$D$2002,MATCH($C1349&amp;"|"&amp;DAY($A1349),打卡匯入!$E$3:$E$2002,0)),"")</f>
        <v/>
      </c>
      <c r="L1349" s="84">
        <f>IF(OR($J1349="",$K1349=""),"",IFERROR(INDEX(設定!$F$6:$F$21,MATCH($G1349,設定!$B$6:$B$21,0)),0))</f>
        <v/>
      </c>
      <c r="M1349" s="85">
        <f>IF(OR($J1349="",$K1349=""),"",ROUND(($K1349-$J1349)*24-$L1349/60,2))</f>
        <v/>
      </c>
      <c r="N1349" s="16">
        <f>IF($C1349="","",IF(AND(COUNTIF(設定!$B$15:$B$21,$G1349)&gt;0,$J1349&lt;&gt;""),"假日出勤",IF(AND(COUNTIF(設定!$B$6:$B$14,$G1349)&gt;0,$J1349=""),"未打卡",IF($J1349="","",IF($O1349&gt;0,"遲到",IF($P1349&gt;0,"早退","正常"))))))</f>
        <v/>
      </c>
      <c r="O1349" s="84">
        <f>IF(OR($C1349="",$H1349="",$J1349=""),0,IF(ROUND(($J1349-$H1349)*1440,0)&gt;設定!$C$46,ROUND(($J1349-$H1349)*1440,0),0))</f>
        <v/>
      </c>
      <c r="P1349" s="84">
        <f>IF(OR($C1349="",$I1349="",$K1349=""),0,IF(ROUND(($I1349-$K1349)*1440,0)&gt;設定!$C$46,ROUND(($I1349-$K1349)*1440,0),0))</f>
        <v/>
      </c>
      <c r="Q1349" s="85">
        <f>IF($M1349="",0,IF(($M1349-IFERROR(INDEX(設定!$G$6:$G$21,MATCH($G1349,設定!$B$6:$B$21,0)),0))*60&gt;=設定!$C$44,ROUND(FLOOR(($M1349-IFERROR(INDEX(設定!$G$6:$G$21,MATCH($G1349,設定!$B$6:$B$21,0)),0))*60,設定!$C$45)/60,2),0))</f>
        <v/>
      </c>
      <c r="R1349" s="16">
        <f>IF(OR($C1349="",$Q1349=0),"",IF($G1349="國","國定假日",IF($B1349="日","例假",IF($B1349="六","休息日","平日"))))</f>
        <v/>
      </c>
      <c r="S1349" s="19" t="n"/>
    </row>
    <row r="1350">
      <c r="A1350" s="82">
        <f>IF(OR(助理班表!$A48="",15&gt;DAY(EOMONTH(DATE(設定!$C$2,設定!$D$2,1),0))),"",DATE(設定!$C$2,設定!$D$2,15))</f>
        <v/>
      </c>
      <c r="B1350" s="16">
        <f>IF($A1350="","",INDEX(設定!$O$6:$O$12,WEEKDAY($A1350,1)))</f>
        <v/>
      </c>
      <c r="C1350" s="16">
        <f>IF($A1350="","",助理班表!$A48)</f>
        <v/>
      </c>
      <c r="D1350" s="16">
        <f>IF($C1350="","",助理班表!$B48)</f>
        <v/>
      </c>
      <c r="E1350" s="16">
        <f>IF($C1350="","",助理班表!$D48)</f>
        <v/>
      </c>
      <c r="F1350" s="16">
        <f>IF($C1350="","",助理班表!$C48)</f>
        <v/>
      </c>
      <c r="G1350" s="16">
        <f>IF($C1350="","",助理班表!S48)</f>
        <v/>
      </c>
      <c r="H1350" s="83">
        <f>IF($G1350="","",IFERROR(IF(INDEX(設定!$D$6:$D$21,MATCH($G1350,設定!$B$6:$B$21,0))=0,"",INDEX(設定!$D$6:$D$21,MATCH($G1350,設定!$B$6:$B$21,0))),""))</f>
        <v/>
      </c>
      <c r="I1350" s="83">
        <f>IF($G1350="","",IFERROR(IF(INDEX(設定!$E$6:$E$21,MATCH($G1350,設定!$B$6:$B$21,0))=0,"",INDEX(設定!$E$6:$E$21,MATCH($G1350,設定!$B$6:$B$21,0))),""))</f>
        <v/>
      </c>
      <c r="J1350" s="83">
        <f>IFERROR(INDEX(打卡匯入!$C$3:$C$2002,MATCH($C1350&amp;"|"&amp;DAY($A1350),打卡匯入!$E$3:$E$2002,0)),"")</f>
        <v/>
      </c>
      <c r="K1350" s="83">
        <f>IFERROR(INDEX(打卡匯入!$D$3:$D$2002,MATCH($C1350&amp;"|"&amp;DAY($A1350),打卡匯入!$E$3:$E$2002,0)),"")</f>
        <v/>
      </c>
      <c r="L1350" s="84">
        <f>IF(OR($J1350="",$K1350=""),"",IFERROR(INDEX(設定!$F$6:$F$21,MATCH($G1350,設定!$B$6:$B$21,0)),0))</f>
        <v/>
      </c>
      <c r="M1350" s="85">
        <f>IF(OR($J1350="",$K1350=""),"",ROUND(($K1350-$J1350)*24-$L1350/60,2))</f>
        <v/>
      </c>
      <c r="N1350" s="16">
        <f>IF($C1350="","",IF(AND(COUNTIF(設定!$B$15:$B$21,$G1350)&gt;0,$J1350&lt;&gt;""),"假日出勤",IF(AND(COUNTIF(設定!$B$6:$B$14,$G1350)&gt;0,$J1350=""),"未打卡",IF($J1350="","",IF($O1350&gt;0,"遲到",IF($P1350&gt;0,"早退","正常"))))))</f>
        <v/>
      </c>
      <c r="O1350" s="84">
        <f>IF(OR($C1350="",$H1350="",$J1350=""),0,IF(ROUND(($J1350-$H1350)*1440,0)&gt;設定!$C$46,ROUND(($J1350-$H1350)*1440,0),0))</f>
        <v/>
      </c>
      <c r="P1350" s="84">
        <f>IF(OR($C1350="",$I1350="",$K1350=""),0,IF(ROUND(($I1350-$K1350)*1440,0)&gt;設定!$C$46,ROUND(($I1350-$K1350)*1440,0),0))</f>
        <v/>
      </c>
      <c r="Q1350" s="85">
        <f>IF($M1350="",0,IF(($M1350-IFERROR(INDEX(設定!$G$6:$G$21,MATCH($G1350,設定!$B$6:$B$21,0)),0))*60&gt;=設定!$C$44,ROUND(FLOOR(($M1350-IFERROR(INDEX(設定!$G$6:$G$21,MATCH($G1350,設定!$B$6:$B$21,0)),0))*60,設定!$C$45)/60,2),0))</f>
        <v/>
      </c>
      <c r="R1350" s="16">
        <f>IF(OR($C1350="",$Q1350=0),"",IF($G1350="國","國定假日",IF($B1350="日","例假",IF($B1350="六","休息日","平日"))))</f>
        <v/>
      </c>
      <c r="S1350" s="19" t="n"/>
    </row>
    <row r="1351">
      <c r="A1351" s="82">
        <f>IF(OR(助理班表!$A48="",16&gt;DAY(EOMONTH(DATE(設定!$C$2,設定!$D$2,1),0))),"",DATE(設定!$C$2,設定!$D$2,16))</f>
        <v/>
      </c>
      <c r="B1351" s="16">
        <f>IF($A1351="","",INDEX(設定!$O$6:$O$12,WEEKDAY($A1351,1)))</f>
        <v/>
      </c>
      <c r="C1351" s="16">
        <f>IF($A1351="","",助理班表!$A48)</f>
        <v/>
      </c>
      <c r="D1351" s="16">
        <f>IF($C1351="","",助理班表!$B48)</f>
        <v/>
      </c>
      <c r="E1351" s="16">
        <f>IF($C1351="","",助理班表!$D48)</f>
        <v/>
      </c>
      <c r="F1351" s="16">
        <f>IF($C1351="","",助理班表!$C48)</f>
        <v/>
      </c>
      <c r="G1351" s="16">
        <f>IF($C1351="","",助理班表!T48)</f>
        <v/>
      </c>
      <c r="H1351" s="83">
        <f>IF($G1351="","",IFERROR(IF(INDEX(設定!$D$6:$D$21,MATCH($G1351,設定!$B$6:$B$21,0))=0,"",INDEX(設定!$D$6:$D$21,MATCH($G1351,設定!$B$6:$B$21,0))),""))</f>
        <v/>
      </c>
      <c r="I1351" s="83">
        <f>IF($G1351="","",IFERROR(IF(INDEX(設定!$E$6:$E$21,MATCH($G1351,設定!$B$6:$B$21,0))=0,"",INDEX(設定!$E$6:$E$21,MATCH($G1351,設定!$B$6:$B$21,0))),""))</f>
        <v/>
      </c>
      <c r="J1351" s="83">
        <f>IFERROR(INDEX(打卡匯入!$C$3:$C$2002,MATCH($C1351&amp;"|"&amp;DAY($A1351),打卡匯入!$E$3:$E$2002,0)),"")</f>
        <v/>
      </c>
      <c r="K1351" s="83">
        <f>IFERROR(INDEX(打卡匯入!$D$3:$D$2002,MATCH($C1351&amp;"|"&amp;DAY($A1351),打卡匯入!$E$3:$E$2002,0)),"")</f>
        <v/>
      </c>
      <c r="L1351" s="84">
        <f>IF(OR($J1351="",$K1351=""),"",IFERROR(INDEX(設定!$F$6:$F$21,MATCH($G1351,設定!$B$6:$B$21,0)),0))</f>
        <v/>
      </c>
      <c r="M1351" s="85">
        <f>IF(OR($J1351="",$K1351=""),"",ROUND(($K1351-$J1351)*24-$L1351/60,2))</f>
        <v/>
      </c>
      <c r="N1351" s="16">
        <f>IF($C1351="","",IF(AND(COUNTIF(設定!$B$15:$B$21,$G1351)&gt;0,$J1351&lt;&gt;""),"假日出勤",IF(AND(COUNTIF(設定!$B$6:$B$14,$G1351)&gt;0,$J1351=""),"未打卡",IF($J1351="","",IF($O1351&gt;0,"遲到",IF($P1351&gt;0,"早退","正常"))))))</f>
        <v/>
      </c>
      <c r="O1351" s="84">
        <f>IF(OR($C1351="",$H1351="",$J1351=""),0,IF(ROUND(($J1351-$H1351)*1440,0)&gt;設定!$C$46,ROUND(($J1351-$H1351)*1440,0),0))</f>
        <v/>
      </c>
      <c r="P1351" s="84">
        <f>IF(OR($C1351="",$I1351="",$K1351=""),0,IF(ROUND(($I1351-$K1351)*1440,0)&gt;設定!$C$46,ROUND(($I1351-$K1351)*1440,0),0))</f>
        <v/>
      </c>
      <c r="Q1351" s="85">
        <f>IF($M1351="",0,IF(($M1351-IFERROR(INDEX(設定!$G$6:$G$21,MATCH($G1351,設定!$B$6:$B$21,0)),0))*60&gt;=設定!$C$44,ROUND(FLOOR(($M1351-IFERROR(INDEX(設定!$G$6:$G$21,MATCH($G1351,設定!$B$6:$B$21,0)),0))*60,設定!$C$45)/60,2),0))</f>
        <v/>
      </c>
      <c r="R1351" s="16">
        <f>IF(OR($C1351="",$Q1351=0),"",IF($G1351="國","國定假日",IF($B1351="日","例假",IF($B1351="六","休息日","平日"))))</f>
        <v/>
      </c>
      <c r="S1351" s="19" t="n"/>
    </row>
    <row r="1352">
      <c r="A1352" s="82">
        <f>IF(OR(助理班表!$A48="",17&gt;DAY(EOMONTH(DATE(設定!$C$2,設定!$D$2,1),0))),"",DATE(設定!$C$2,設定!$D$2,17))</f>
        <v/>
      </c>
      <c r="B1352" s="16">
        <f>IF($A1352="","",INDEX(設定!$O$6:$O$12,WEEKDAY($A1352,1)))</f>
        <v/>
      </c>
      <c r="C1352" s="16">
        <f>IF($A1352="","",助理班表!$A48)</f>
        <v/>
      </c>
      <c r="D1352" s="16">
        <f>IF($C1352="","",助理班表!$B48)</f>
        <v/>
      </c>
      <c r="E1352" s="16">
        <f>IF($C1352="","",助理班表!$D48)</f>
        <v/>
      </c>
      <c r="F1352" s="16">
        <f>IF($C1352="","",助理班表!$C48)</f>
        <v/>
      </c>
      <c r="G1352" s="16">
        <f>IF($C1352="","",助理班表!U48)</f>
        <v/>
      </c>
      <c r="H1352" s="83">
        <f>IF($G1352="","",IFERROR(IF(INDEX(設定!$D$6:$D$21,MATCH($G1352,設定!$B$6:$B$21,0))=0,"",INDEX(設定!$D$6:$D$21,MATCH($G1352,設定!$B$6:$B$21,0))),""))</f>
        <v/>
      </c>
      <c r="I1352" s="83">
        <f>IF($G1352="","",IFERROR(IF(INDEX(設定!$E$6:$E$21,MATCH($G1352,設定!$B$6:$B$21,0))=0,"",INDEX(設定!$E$6:$E$21,MATCH($G1352,設定!$B$6:$B$21,0))),""))</f>
        <v/>
      </c>
      <c r="J1352" s="83">
        <f>IFERROR(INDEX(打卡匯入!$C$3:$C$2002,MATCH($C1352&amp;"|"&amp;DAY($A1352),打卡匯入!$E$3:$E$2002,0)),"")</f>
        <v/>
      </c>
      <c r="K1352" s="83">
        <f>IFERROR(INDEX(打卡匯入!$D$3:$D$2002,MATCH($C1352&amp;"|"&amp;DAY($A1352),打卡匯入!$E$3:$E$2002,0)),"")</f>
        <v/>
      </c>
      <c r="L1352" s="84">
        <f>IF(OR($J1352="",$K1352=""),"",IFERROR(INDEX(設定!$F$6:$F$21,MATCH($G1352,設定!$B$6:$B$21,0)),0))</f>
        <v/>
      </c>
      <c r="M1352" s="85">
        <f>IF(OR($J1352="",$K1352=""),"",ROUND(($K1352-$J1352)*24-$L1352/60,2))</f>
        <v/>
      </c>
      <c r="N1352" s="16">
        <f>IF($C1352="","",IF(AND(COUNTIF(設定!$B$15:$B$21,$G1352)&gt;0,$J1352&lt;&gt;""),"假日出勤",IF(AND(COUNTIF(設定!$B$6:$B$14,$G1352)&gt;0,$J1352=""),"未打卡",IF($J1352="","",IF($O1352&gt;0,"遲到",IF($P1352&gt;0,"早退","正常"))))))</f>
        <v/>
      </c>
      <c r="O1352" s="84">
        <f>IF(OR($C1352="",$H1352="",$J1352=""),0,IF(ROUND(($J1352-$H1352)*1440,0)&gt;設定!$C$46,ROUND(($J1352-$H1352)*1440,0),0))</f>
        <v/>
      </c>
      <c r="P1352" s="84">
        <f>IF(OR($C1352="",$I1352="",$K1352=""),0,IF(ROUND(($I1352-$K1352)*1440,0)&gt;設定!$C$46,ROUND(($I1352-$K1352)*1440,0),0))</f>
        <v/>
      </c>
      <c r="Q1352" s="85">
        <f>IF($M1352="",0,IF(($M1352-IFERROR(INDEX(設定!$G$6:$G$21,MATCH($G1352,設定!$B$6:$B$21,0)),0))*60&gt;=設定!$C$44,ROUND(FLOOR(($M1352-IFERROR(INDEX(設定!$G$6:$G$21,MATCH($G1352,設定!$B$6:$B$21,0)),0))*60,設定!$C$45)/60,2),0))</f>
        <v/>
      </c>
      <c r="R1352" s="16">
        <f>IF(OR($C1352="",$Q1352=0),"",IF($G1352="國","國定假日",IF($B1352="日","例假",IF($B1352="六","休息日","平日"))))</f>
        <v/>
      </c>
      <c r="S1352" s="19" t="n"/>
    </row>
    <row r="1353">
      <c r="A1353" s="82">
        <f>IF(OR(助理班表!$A48="",18&gt;DAY(EOMONTH(DATE(設定!$C$2,設定!$D$2,1),0))),"",DATE(設定!$C$2,設定!$D$2,18))</f>
        <v/>
      </c>
      <c r="B1353" s="16">
        <f>IF($A1353="","",INDEX(設定!$O$6:$O$12,WEEKDAY($A1353,1)))</f>
        <v/>
      </c>
      <c r="C1353" s="16">
        <f>IF($A1353="","",助理班表!$A48)</f>
        <v/>
      </c>
      <c r="D1353" s="16">
        <f>IF($C1353="","",助理班表!$B48)</f>
        <v/>
      </c>
      <c r="E1353" s="16">
        <f>IF($C1353="","",助理班表!$D48)</f>
        <v/>
      </c>
      <c r="F1353" s="16">
        <f>IF($C1353="","",助理班表!$C48)</f>
        <v/>
      </c>
      <c r="G1353" s="16">
        <f>IF($C1353="","",助理班表!V48)</f>
        <v/>
      </c>
      <c r="H1353" s="83">
        <f>IF($G1353="","",IFERROR(IF(INDEX(設定!$D$6:$D$21,MATCH($G1353,設定!$B$6:$B$21,0))=0,"",INDEX(設定!$D$6:$D$21,MATCH($G1353,設定!$B$6:$B$21,0))),""))</f>
        <v/>
      </c>
      <c r="I1353" s="83">
        <f>IF($G1353="","",IFERROR(IF(INDEX(設定!$E$6:$E$21,MATCH($G1353,設定!$B$6:$B$21,0))=0,"",INDEX(設定!$E$6:$E$21,MATCH($G1353,設定!$B$6:$B$21,0))),""))</f>
        <v/>
      </c>
      <c r="J1353" s="83">
        <f>IFERROR(INDEX(打卡匯入!$C$3:$C$2002,MATCH($C1353&amp;"|"&amp;DAY($A1353),打卡匯入!$E$3:$E$2002,0)),"")</f>
        <v/>
      </c>
      <c r="K1353" s="83">
        <f>IFERROR(INDEX(打卡匯入!$D$3:$D$2002,MATCH($C1353&amp;"|"&amp;DAY($A1353),打卡匯入!$E$3:$E$2002,0)),"")</f>
        <v/>
      </c>
      <c r="L1353" s="84">
        <f>IF(OR($J1353="",$K1353=""),"",IFERROR(INDEX(設定!$F$6:$F$21,MATCH($G1353,設定!$B$6:$B$21,0)),0))</f>
        <v/>
      </c>
      <c r="M1353" s="85">
        <f>IF(OR($J1353="",$K1353=""),"",ROUND(($K1353-$J1353)*24-$L1353/60,2))</f>
        <v/>
      </c>
      <c r="N1353" s="16">
        <f>IF($C1353="","",IF(AND(COUNTIF(設定!$B$15:$B$21,$G1353)&gt;0,$J1353&lt;&gt;""),"假日出勤",IF(AND(COUNTIF(設定!$B$6:$B$14,$G1353)&gt;0,$J1353=""),"未打卡",IF($J1353="","",IF($O1353&gt;0,"遲到",IF($P1353&gt;0,"早退","正常"))))))</f>
        <v/>
      </c>
      <c r="O1353" s="84">
        <f>IF(OR($C1353="",$H1353="",$J1353=""),0,IF(ROUND(($J1353-$H1353)*1440,0)&gt;設定!$C$46,ROUND(($J1353-$H1353)*1440,0),0))</f>
        <v/>
      </c>
      <c r="P1353" s="84">
        <f>IF(OR($C1353="",$I1353="",$K1353=""),0,IF(ROUND(($I1353-$K1353)*1440,0)&gt;設定!$C$46,ROUND(($I1353-$K1353)*1440,0),0))</f>
        <v/>
      </c>
      <c r="Q1353" s="85">
        <f>IF($M1353="",0,IF(($M1353-IFERROR(INDEX(設定!$G$6:$G$21,MATCH($G1353,設定!$B$6:$B$21,0)),0))*60&gt;=設定!$C$44,ROUND(FLOOR(($M1353-IFERROR(INDEX(設定!$G$6:$G$21,MATCH($G1353,設定!$B$6:$B$21,0)),0))*60,設定!$C$45)/60,2),0))</f>
        <v/>
      </c>
      <c r="R1353" s="16">
        <f>IF(OR($C1353="",$Q1353=0),"",IF($G1353="國","國定假日",IF($B1353="日","例假",IF($B1353="六","休息日","平日"))))</f>
        <v/>
      </c>
      <c r="S1353" s="19" t="n"/>
    </row>
    <row r="1354">
      <c r="A1354" s="82">
        <f>IF(OR(助理班表!$A48="",19&gt;DAY(EOMONTH(DATE(設定!$C$2,設定!$D$2,1),0))),"",DATE(設定!$C$2,設定!$D$2,19))</f>
        <v/>
      </c>
      <c r="B1354" s="16">
        <f>IF($A1354="","",INDEX(設定!$O$6:$O$12,WEEKDAY($A1354,1)))</f>
        <v/>
      </c>
      <c r="C1354" s="16">
        <f>IF($A1354="","",助理班表!$A48)</f>
        <v/>
      </c>
      <c r="D1354" s="16">
        <f>IF($C1354="","",助理班表!$B48)</f>
        <v/>
      </c>
      <c r="E1354" s="16">
        <f>IF($C1354="","",助理班表!$D48)</f>
        <v/>
      </c>
      <c r="F1354" s="16">
        <f>IF($C1354="","",助理班表!$C48)</f>
        <v/>
      </c>
      <c r="G1354" s="16">
        <f>IF($C1354="","",助理班表!W48)</f>
        <v/>
      </c>
      <c r="H1354" s="83">
        <f>IF($G1354="","",IFERROR(IF(INDEX(設定!$D$6:$D$21,MATCH($G1354,設定!$B$6:$B$21,0))=0,"",INDEX(設定!$D$6:$D$21,MATCH($G1354,設定!$B$6:$B$21,0))),""))</f>
        <v/>
      </c>
      <c r="I1354" s="83">
        <f>IF($G1354="","",IFERROR(IF(INDEX(設定!$E$6:$E$21,MATCH($G1354,設定!$B$6:$B$21,0))=0,"",INDEX(設定!$E$6:$E$21,MATCH($G1354,設定!$B$6:$B$21,0))),""))</f>
        <v/>
      </c>
      <c r="J1354" s="83">
        <f>IFERROR(INDEX(打卡匯入!$C$3:$C$2002,MATCH($C1354&amp;"|"&amp;DAY($A1354),打卡匯入!$E$3:$E$2002,0)),"")</f>
        <v/>
      </c>
      <c r="K1354" s="83">
        <f>IFERROR(INDEX(打卡匯入!$D$3:$D$2002,MATCH($C1354&amp;"|"&amp;DAY($A1354),打卡匯入!$E$3:$E$2002,0)),"")</f>
        <v/>
      </c>
      <c r="L1354" s="84">
        <f>IF(OR($J1354="",$K1354=""),"",IFERROR(INDEX(設定!$F$6:$F$21,MATCH($G1354,設定!$B$6:$B$21,0)),0))</f>
        <v/>
      </c>
      <c r="M1354" s="85">
        <f>IF(OR($J1354="",$K1354=""),"",ROUND(($K1354-$J1354)*24-$L1354/60,2))</f>
        <v/>
      </c>
      <c r="N1354" s="16">
        <f>IF($C1354="","",IF(AND(COUNTIF(設定!$B$15:$B$21,$G1354)&gt;0,$J1354&lt;&gt;""),"假日出勤",IF(AND(COUNTIF(設定!$B$6:$B$14,$G1354)&gt;0,$J1354=""),"未打卡",IF($J1354="","",IF($O1354&gt;0,"遲到",IF($P1354&gt;0,"早退","正常"))))))</f>
        <v/>
      </c>
      <c r="O1354" s="84">
        <f>IF(OR($C1354="",$H1354="",$J1354=""),0,IF(ROUND(($J1354-$H1354)*1440,0)&gt;設定!$C$46,ROUND(($J1354-$H1354)*1440,0),0))</f>
        <v/>
      </c>
      <c r="P1354" s="84">
        <f>IF(OR($C1354="",$I1354="",$K1354=""),0,IF(ROUND(($I1354-$K1354)*1440,0)&gt;設定!$C$46,ROUND(($I1354-$K1354)*1440,0),0))</f>
        <v/>
      </c>
      <c r="Q1354" s="85">
        <f>IF($M1354="",0,IF(($M1354-IFERROR(INDEX(設定!$G$6:$G$21,MATCH($G1354,設定!$B$6:$B$21,0)),0))*60&gt;=設定!$C$44,ROUND(FLOOR(($M1354-IFERROR(INDEX(設定!$G$6:$G$21,MATCH($G1354,設定!$B$6:$B$21,0)),0))*60,設定!$C$45)/60,2),0))</f>
        <v/>
      </c>
      <c r="R1354" s="16">
        <f>IF(OR($C1354="",$Q1354=0),"",IF($G1354="國","國定假日",IF($B1354="日","例假",IF($B1354="六","休息日","平日"))))</f>
        <v/>
      </c>
      <c r="S1354" s="19" t="n"/>
    </row>
    <row r="1355">
      <c r="A1355" s="82">
        <f>IF(OR(助理班表!$A48="",20&gt;DAY(EOMONTH(DATE(設定!$C$2,設定!$D$2,1),0))),"",DATE(設定!$C$2,設定!$D$2,20))</f>
        <v/>
      </c>
      <c r="B1355" s="16">
        <f>IF($A1355="","",INDEX(設定!$O$6:$O$12,WEEKDAY($A1355,1)))</f>
        <v/>
      </c>
      <c r="C1355" s="16">
        <f>IF($A1355="","",助理班表!$A48)</f>
        <v/>
      </c>
      <c r="D1355" s="16">
        <f>IF($C1355="","",助理班表!$B48)</f>
        <v/>
      </c>
      <c r="E1355" s="16">
        <f>IF($C1355="","",助理班表!$D48)</f>
        <v/>
      </c>
      <c r="F1355" s="16">
        <f>IF($C1355="","",助理班表!$C48)</f>
        <v/>
      </c>
      <c r="G1355" s="16">
        <f>IF($C1355="","",助理班表!X48)</f>
        <v/>
      </c>
      <c r="H1355" s="83">
        <f>IF($G1355="","",IFERROR(IF(INDEX(設定!$D$6:$D$21,MATCH($G1355,設定!$B$6:$B$21,0))=0,"",INDEX(設定!$D$6:$D$21,MATCH($G1355,設定!$B$6:$B$21,0))),""))</f>
        <v/>
      </c>
      <c r="I1355" s="83">
        <f>IF($G1355="","",IFERROR(IF(INDEX(設定!$E$6:$E$21,MATCH($G1355,設定!$B$6:$B$21,0))=0,"",INDEX(設定!$E$6:$E$21,MATCH($G1355,設定!$B$6:$B$21,0))),""))</f>
        <v/>
      </c>
      <c r="J1355" s="83">
        <f>IFERROR(INDEX(打卡匯入!$C$3:$C$2002,MATCH($C1355&amp;"|"&amp;DAY($A1355),打卡匯入!$E$3:$E$2002,0)),"")</f>
        <v/>
      </c>
      <c r="K1355" s="83">
        <f>IFERROR(INDEX(打卡匯入!$D$3:$D$2002,MATCH($C1355&amp;"|"&amp;DAY($A1355),打卡匯入!$E$3:$E$2002,0)),"")</f>
        <v/>
      </c>
      <c r="L1355" s="84">
        <f>IF(OR($J1355="",$K1355=""),"",IFERROR(INDEX(設定!$F$6:$F$21,MATCH($G1355,設定!$B$6:$B$21,0)),0))</f>
        <v/>
      </c>
      <c r="M1355" s="85">
        <f>IF(OR($J1355="",$K1355=""),"",ROUND(($K1355-$J1355)*24-$L1355/60,2))</f>
        <v/>
      </c>
      <c r="N1355" s="16">
        <f>IF($C1355="","",IF(AND(COUNTIF(設定!$B$15:$B$21,$G1355)&gt;0,$J1355&lt;&gt;""),"假日出勤",IF(AND(COUNTIF(設定!$B$6:$B$14,$G1355)&gt;0,$J1355=""),"未打卡",IF($J1355="","",IF($O1355&gt;0,"遲到",IF($P1355&gt;0,"早退","正常"))))))</f>
        <v/>
      </c>
      <c r="O1355" s="84">
        <f>IF(OR($C1355="",$H1355="",$J1355=""),0,IF(ROUND(($J1355-$H1355)*1440,0)&gt;設定!$C$46,ROUND(($J1355-$H1355)*1440,0),0))</f>
        <v/>
      </c>
      <c r="P1355" s="84">
        <f>IF(OR($C1355="",$I1355="",$K1355=""),0,IF(ROUND(($I1355-$K1355)*1440,0)&gt;設定!$C$46,ROUND(($I1355-$K1355)*1440,0),0))</f>
        <v/>
      </c>
      <c r="Q1355" s="85">
        <f>IF($M1355="",0,IF(($M1355-IFERROR(INDEX(設定!$G$6:$G$21,MATCH($G1355,設定!$B$6:$B$21,0)),0))*60&gt;=設定!$C$44,ROUND(FLOOR(($M1355-IFERROR(INDEX(設定!$G$6:$G$21,MATCH($G1355,設定!$B$6:$B$21,0)),0))*60,設定!$C$45)/60,2),0))</f>
        <v/>
      </c>
      <c r="R1355" s="16">
        <f>IF(OR($C1355="",$Q1355=0),"",IF($G1355="國","國定假日",IF($B1355="日","例假",IF($B1355="六","休息日","平日"))))</f>
        <v/>
      </c>
      <c r="S1355" s="19" t="n"/>
    </row>
    <row r="1356">
      <c r="A1356" s="82">
        <f>IF(OR(助理班表!$A48="",21&gt;DAY(EOMONTH(DATE(設定!$C$2,設定!$D$2,1),0))),"",DATE(設定!$C$2,設定!$D$2,21))</f>
        <v/>
      </c>
      <c r="B1356" s="16">
        <f>IF($A1356="","",INDEX(設定!$O$6:$O$12,WEEKDAY($A1356,1)))</f>
        <v/>
      </c>
      <c r="C1356" s="16">
        <f>IF($A1356="","",助理班表!$A48)</f>
        <v/>
      </c>
      <c r="D1356" s="16">
        <f>IF($C1356="","",助理班表!$B48)</f>
        <v/>
      </c>
      <c r="E1356" s="16">
        <f>IF($C1356="","",助理班表!$D48)</f>
        <v/>
      </c>
      <c r="F1356" s="16">
        <f>IF($C1356="","",助理班表!$C48)</f>
        <v/>
      </c>
      <c r="G1356" s="16">
        <f>IF($C1356="","",助理班表!Y48)</f>
        <v/>
      </c>
      <c r="H1356" s="83">
        <f>IF($G1356="","",IFERROR(IF(INDEX(設定!$D$6:$D$21,MATCH($G1356,設定!$B$6:$B$21,0))=0,"",INDEX(設定!$D$6:$D$21,MATCH($G1356,設定!$B$6:$B$21,0))),""))</f>
        <v/>
      </c>
      <c r="I1356" s="83">
        <f>IF($G1356="","",IFERROR(IF(INDEX(設定!$E$6:$E$21,MATCH($G1356,設定!$B$6:$B$21,0))=0,"",INDEX(設定!$E$6:$E$21,MATCH($G1356,設定!$B$6:$B$21,0))),""))</f>
        <v/>
      </c>
      <c r="J1356" s="83">
        <f>IFERROR(INDEX(打卡匯入!$C$3:$C$2002,MATCH($C1356&amp;"|"&amp;DAY($A1356),打卡匯入!$E$3:$E$2002,0)),"")</f>
        <v/>
      </c>
      <c r="K1356" s="83">
        <f>IFERROR(INDEX(打卡匯入!$D$3:$D$2002,MATCH($C1356&amp;"|"&amp;DAY($A1356),打卡匯入!$E$3:$E$2002,0)),"")</f>
        <v/>
      </c>
      <c r="L1356" s="84">
        <f>IF(OR($J1356="",$K1356=""),"",IFERROR(INDEX(設定!$F$6:$F$21,MATCH($G1356,設定!$B$6:$B$21,0)),0))</f>
        <v/>
      </c>
      <c r="M1356" s="85">
        <f>IF(OR($J1356="",$K1356=""),"",ROUND(($K1356-$J1356)*24-$L1356/60,2))</f>
        <v/>
      </c>
      <c r="N1356" s="16">
        <f>IF($C1356="","",IF(AND(COUNTIF(設定!$B$15:$B$21,$G1356)&gt;0,$J1356&lt;&gt;""),"假日出勤",IF(AND(COUNTIF(設定!$B$6:$B$14,$G1356)&gt;0,$J1356=""),"未打卡",IF($J1356="","",IF($O1356&gt;0,"遲到",IF($P1356&gt;0,"早退","正常"))))))</f>
        <v/>
      </c>
      <c r="O1356" s="84">
        <f>IF(OR($C1356="",$H1356="",$J1356=""),0,IF(ROUND(($J1356-$H1356)*1440,0)&gt;設定!$C$46,ROUND(($J1356-$H1356)*1440,0),0))</f>
        <v/>
      </c>
      <c r="P1356" s="84">
        <f>IF(OR($C1356="",$I1356="",$K1356=""),0,IF(ROUND(($I1356-$K1356)*1440,0)&gt;設定!$C$46,ROUND(($I1356-$K1356)*1440,0),0))</f>
        <v/>
      </c>
      <c r="Q1356" s="85">
        <f>IF($M1356="",0,IF(($M1356-IFERROR(INDEX(設定!$G$6:$G$21,MATCH($G1356,設定!$B$6:$B$21,0)),0))*60&gt;=設定!$C$44,ROUND(FLOOR(($M1356-IFERROR(INDEX(設定!$G$6:$G$21,MATCH($G1356,設定!$B$6:$B$21,0)),0))*60,設定!$C$45)/60,2),0))</f>
        <v/>
      </c>
      <c r="R1356" s="16">
        <f>IF(OR($C1356="",$Q1356=0),"",IF($G1356="國","國定假日",IF($B1356="日","例假",IF($B1356="六","休息日","平日"))))</f>
        <v/>
      </c>
      <c r="S1356" s="19" t="n"/>
    </row>
    <row r="1357">
      <c r="A1357" s="82">
        <f>IF(OR(助理班表!$A48="",22&gt;DAY(EOMONTH(DATE(設定!$C$2,設定!$D$2,1),0))),"",DATE(設定!$C$2,設定!$D$2,22))</f>
        <v/>
      </c>
      <c r="B1357" s="16">
        <f>IF($A1357="","",INDEX(設定!$O$6:$O$12,WEEKDAY($A1357,1)))</f>
        <v/>
      </c>
      <c r="C1357" s="16">
        <f>IF($A1357="","",助理班表!$A48)</f>
        <v/>
      </c>
      <c r="D1357" s="16">
        <f>IF($C1357="","",助理班表!$B48)</f>
        <v/>
      </c>
      <c r="E1357" s="16">
        <f>IF($C1357="","",助理班表!$D48)</f>
        <v/>
      </c>
      <c r="F1357" s="16">
        <f>IF($C1357="","",助理班表!$C48)</f>
        <v/>
      </c>
      <c r="G1357" s="16">
        <f>IF($C1357="","",助理班表!Z48)</f>
        <v/>
      </c>
      <c r="H1357" s="83">
        <f>IF($G1357="","",IFERROR(IF(INDEX(設定!$D$6:$D$21,MATCH($G1357,設定!$B$6:$B$21,0))=0,"",INDEX(設定!$D$6:$D$21,MATCH($G1357,設定!$B$6:$B$21,0))),""))</f>
        <v/>
      </c>
      <c r="I1357" s="83">
        <f>IF($G1357="","",IFERROR(IF(INDEX(設定!$E$6:$E$21,MATCH($G1357,設定!$B$6:$B$21,0))=0,"",INDEX(設定!$E$6:$E$21,MATCH($G1357,設定!$B$6:$B$21,0))),""))</f>
        <v/>
      </c>
      <c r="J1357" s="83">
        <f>IFERROR(INDEX(打卡匯入!$C$3:$C$2002,MATCH($C1357&amp;"|"&amp;DAY($A1357),打卡匯入!$E$3:$E$2002,0)),"")</f>
        <v/>
      </c>
      <c r="K1357" s="83">
        <f>IFERROR(INDEX(打卡匯入!$D$3:$D$2002,MATCH($C1357&amp;"|"&amp;DAY($A1357),打卡匯入!$E$3:$E$2002,0)),"")</f>
        <v/>
      </c>
      <c r="L1357" s="84">
        <f>IF(OR($J1357="",$K1357=""),"",IFERROR(INDEX(設定!$F$6:$F$21,MATCH($G1357,設定!$B$6:$B$21,0)),0))</f>
        <v/>
      </c>
      <c r="M1357" s="85">
        <f>IF(OR($J1357="",$K1357=""),"",ROUND(($K1357-$J1357)*24-$L1357/60,2))</f>
        <v/>
      </c>
      <c r="N1357" s="16">
        <f>IF($C1357="","",IF(AND(COUNTIF(設定!$B$15:$B$21,$G1357)&gt;0,$J1357&lt;&gt;""),"假日出勤",IF(AND(COUNTIF(設定!$B$6:$B$14,$G1357)&gt;0,$J1357=""),"未打卡",IF($J1357="","",IF($O1357&gt;0,"遲到",IF($P1357&gt;0,"早退","正常"))))))</f>
        <v/>
      </c>
      <c r="O1357" s="84">
        <f>IF(OR($C1357="",$H1357="",$J1357=""),0,IF(ROUND(($J1357-$H1357)*1440,0)&gt;設定!$C$46,ROUND(($J1357-$H1357)*1440,0),0))</f>
        <v/>
      </c>
      <c r="P1357" s="84">
        <f>IF(OR($C1357="",$I1357="",$K1357=""),0,IF(ROUND(($I1357-$K1357)*1440,0)&gt;設定!$C$46,ROUND(($I1357-$K1357)*1440,0),0))</f>
        <v/>
      </c>
      <c r="Q1357" s="85">
        <f>IF($M1357="",0,IF(($M1357-IFERROR(INDEX(設定!$G$6:$G$21,MATCH($G1357,設定!$B$6:$B$21,0)),0))*60&gt;=設定!$C$44,ROUND(FLOOR(($M1357-IFERROR(INDEX(設定!$G$6:$G$21,MATCH($G1357,設定!$B$6:$B$21,0)),0))*60,設定!$C$45)/60,2),0))</f>
        <v/>
      </c>
      <c r="R1357" s="16">
        <f>IF(OR($C1357="",$Q1357=0),"",IF($G1357="國","國定假日",IF($B1357="日","例假",IF($B1357="六","休息日","平日"))))</f>
        <v/>
      </c>
      <c r="S1357" s="19" t="n"/>
    </row>
    <row r="1358">
      <c r="A1358" s="82">
        <f>IF(OR(助理班表!$A48="",23&gt;DAY(EOMONTH(DATE(設定!$C$2,設定!$D$2,1),0))),"",DATE(設定!$C$2,設定!$D$2,23))</f>
        <v/>
      </c>
      <c r="B1358" s="16">
        <f>IF($A1358="","",INDEX(設定!$O$6:$O$12,WEEKDAY($A1358,1)))</f>
        <v/>
      </c>
      <c r="C1358" s="16">
        <f>IF($A1358="","",助理班表!$A48)</f>
        <v/>
      </c>
      <c r="D1358" s="16">
        <f>IF($C1358="","",助理班表!$B48)</f>
        <v/>
      </c>
      <c r="E1358" s="16">
        <f>IF($C1358="","",助理班表!$D48)</f>
        <v/>
      </c>
      <c r="F1358" s="16">
        <f>IF($C1358="","",助理班表!$C48)</f>
        <v/>
      </c>
      <c r="G1358" s="16">
        <f>IF($C1358="","",助理班表!AA48)</f>
        <v/>
      </c>
      <c r="H1358" s="83">
        <f>IF($G1358="","",IFERROR(IF(INDEX(設定!$D$6:$D$21,MATCH($G1358,設定!$B$6:$B$21,0))=0,"",INDEX(設定!$D$6:$D$21,MATCH($G1358,設定!$B$6:$B$21,0))),""))</f>
        <v/>
      </c>
      <c r="I1358" s="83">
        <f>IF($G1358="","",IFERROR(IF(INDEX(設定!$E$6:$E$21,MATCH($G1358,設定!$B$6:$B$21,0))=0,"",INDEX(設定!$E$6:$E$21,MATCH($G1358,設定!$B$6:$B$21,0))),""))</f>
        <v/>
      </c>
      <c r="J1358" s="83">
        <f>IFERROR(INDEX(打卡匯入!$C$3:$C$2002,MATCH($C1358&amp;"|"&amp;DAY($A1358),打卡匯入!$E$3:$E$2002,0)),"")</f>
        <v/>
      </c>
      <c r="K1358" s="83">
        <f>IFERROR(INDEX(打卡匯入!$D$3:$D$2002,MATCH($C1358&amp;"|"&amp;DAY($A1358),打卡匯入!$E$3:$E$2002,0)),"")</f>
        <v/>
      </c>
      <c r="L1358" s="84">
        <f>IF(OR($J1358="",$K1358=""),"",IFERROR(INDEX(設定!$F$6:$F$21,MATCH($G1358,設定!$B$6:$B$21,0)),0))</f>
        <v/>
      </c>
      <c r="M1358" s="85">
        <f>IF(OR($J1358="",$K1358=""),"",ROUND(($K1358-$J1358)*24-$L1358/60,2))</f>
        <v/>
      </c>
      <c r="N1358" s="16">
        <f>IF($C1358="","",IF(AND(COUNTIF(設定!$B$15:$B$21,$G1358)&gt;0,$J1358&lt;&gt;""),"假日出勤",IF(AND(COUNTIF(設定!$B$6:$B$14,$G1358)&gt;0,$J1358=""),"未打卡",IF($J1358="","",IF($O1358&gt;0,"遲到",IF($P1358&gt;0,"早退","正常"))))))</f>
        <v/>
      </c>
      <c r="O1358" s="84">
        <f>IF(OR($C1358="",$H1358="",$J1358=""),0,IF(ROUND(($J1358-$H1358)*1440,0)&gt;設定!$C$46,ROUND(($J1358-$H1358)*1440,0),0))</f>
        <v/>
      </c>
      <c r="P1358" s="84">
        <f>IF(OR($C1358="",$I1358="",$K1358=""),0,IF(ROUND(($I1358-$K1358)*1440,0)&gt;設定!$C$46,ROUND(($I1358-$K1358)*1440,0),0))</f>
        <v/>
      </c>
      <c r="Q1358" s="85">
        <f>IF($M1358="",0,IF(($M1358-IFERROR(INDEX(設定!$G$6:$G$21,MATCH($G1358,設定!$B$6:$B$21,0)),0))*60&gt;=設定!$C$44,ROUND(FLOOR(($M1358-IFERROR(INDEX(設定!$G$6:$G$21,MATCH($G1358,設定!$B$6:$B$21,0)),0))*60,設定!$C$45)/60,2),0))</f>
        <v/>
      </c>
      <c r="R1358" s="16">
        <f>IF(OR($C1358="",$Q1358=0),"",IF($G1358="國","國定假日",IF($B1358="日","例假",IF($B1358="六","休息日","平日"))))</f>
        <v/>
      </c>
      <c r="S1358" s="19" t="n"/>
    </row>
    <row r="1359">
      <c r="A1359" s="82">
        <f>IF(OR(助理班表!$A48="",24&gt;DAY(EOMONTH(DATE(設定!$C$2,設定!$D$2,1),0))),"",DATE(設定!$C$2,設定!$D$2,24))</f>
        <v/>
      </c>
      <c r="B1359" s="16">
        <f>IF($A1359="","",INDEX(設定!$O$6:$O$12,WEEKDAY($A1359,1)))</f>
        <v/>
      </c>
      <c r="C1359" s="16">
        <f>IF($A1359="","",助理班表!$A48)</f>
        <v/>
      </c>
      <c r="D1359" s="16">
        <f>IF($C1359="","",助理班表!$B48)</f>
        <v/>
      </c>
      <c r="E1359" s="16">
        <f>IF($C1359="","",助理班表!$D48)</f>
        <v/>
      </c>
      <c r="F1359" s="16">
        <f>IF($C1359="","",助理班表!$C48)</f>
        <v/>
      </c>
      <c r="G1359" s="16">
        <f>IF($C1359="","",助理班表!AB48)</f>
        <v/>
      </c>
      <c r="H1359" s="83">
        <f>IF($G1359="","",IFERROR(IF(INDEX(設定!$D$6:$D$21,MATCH($G1359,設定!$B$6:$B$21,0))=0,"",INDEX(設定!$D$6:$D$21,MATCH($G1359,設定!$B$6:$B$21,0))),""))</f>
        <v/>
      </c>
      <c r="I1359" s="83">
        <f>IF($G1359="","",IFERROR(IF(INDEX(設定!$E$6:$E$21,MATCH($G1359,設定!$B$6:$B$21,0))=0,"",INDEX(設定!$E$6:$E$21,MATCH($G1359,設定!$B$6:$B$21,0))),""))</f>
        <v/>
      </c>
      <c r="J1359" s="83">
        <f>IFERROR(INDEX(打卡匯入!$C$3:$C$2002,MATCH($C1359&amp;"|"&amp;DAY($A1359),打卡匯入!$E$3:$E$2002,0)),"")</f>
        <v/>
      </c>
      <c r="K1359" s="83">
        <f>IFERROR(INDEX(打卡匯入!$D$3:$D$2002,MATCH($C1359&amp;"|"&amp;DAY($A1359),打卡匯入!$E$3:$E$2002,0)),"")</f>
        <v/>
      </c>
      <c r="L1359" s="84">
        <f>IF(OR($J1359="",$K1359=""),"",IFERROR(INDEX(設定!$F$6:$F$21,MATCH($G1359,設定!$B$6:$B$21,0)),0))</f>
        <v/>
      </c>
      <c r="M1359" s="85">
        <f>IF(OR($J1359="",$K1359=""),"",ROUND(($K1359-$J1359)*24-$L1359/60,2))</f>
        <v/>
      </c>
      <c r="N1359" s="16">
        <f>IF($C1359="","",IF(AND(COUNTIF(設定!$B$15:$B$21,$G1359)&gt;0,$J1359&lt;&gt;""),"假日出勤",IF(AND(COUNTIF(設定!$B$6:$B$14,$G1359)&gt;0,$J1359=""),"未打卡",IF($J1359="","",IF($O1359&gt;0,"遲到",IF($P1359&gt;0,"早退","正常"))))))</f>
        <v/>
      </c>
      <c r="O1359" s="84">
        <f>IF(OR($C1359="",$H1359="",$J1359=""),0,IF(ROUND(($J1359-$H1359)*1440,0)&gt;設定!$C$46,ROUND(($J1359-$H1359)*1440,0),0))</f>
        <v/>
      </c>
      <c r="P1359" s="84">
        <f>IF(OR($C1359="",$I1359="",$K1359=""),0,IF(ROUND(($I1359-$K1359)*1440,0)&gt;設定!$C$46,ROUND(($I1359-$K1359)*1440,0),0))</f>
        <v/>
      </c>
      <c r="Q1359" s="85">
        <f>IF($M1359="",0,IF(($M1359-IFERROR(INDEX(設定!$G$6:$G$21,MATCH($G1359,設定!$B$6:$B$21,0)),0))*60&gt;=設定!$C$44,ROUND(FLOOR(($M1359-IFERROR(INDEX(設定!$G$6:$G$21,MATCH($G1359,設定!$B$6:$B$21,0)),0))*60,設定!$C$45)/60,2),0))</f>
        <v/>
      </c>
      <c r="R1359" s="16">
        <f>IF(OR($C1359="",$Q1359=0),"",IF($G1359="國","國定假日",IF($B1359="日","例假",IF($B1359="六","休息日","平日"))))</f>
        <v/>
      </c>
      <c r="S1359" s="19" t="n"/>
    </row>
    <row r="1360">
      <c r="A1360" s="82">
        <f>IF(OR(助理班表!$A48="",25&gt;DAY(EOMONTH(DATE(設定!$C$2,設定!$D$2,1),0))),"",DATE(設定!$C$2,設定!$D$2,25))</f>
        <v/>
      </c>
      <c r="B1360" s="16">
        <f>IF($A1360="","",INDEX(設定!$O$6:$O$12,WEEKDAY($A1360,1)))</f>
        <v/>
      </c>
      <c r="C1360" s="16">
        <f>IF($A1360="","",助理班表!$A48)</f>
        <v/>
      </c>
      <c r="D1360" s="16">
        <f>IF($C1360="","",助理班表!$B48)</f>
        <v/>
      </c>
      <c r="E1360" s="16">
        <f>IF($C1360="","",助理班表!$D48)</f>
        <v/>
      </c>
      <c r="F1360" s="16">
        <f>IF($C1360="","",助理班表!$C48)</f>
        <v/>
      </c>
      <c r="G1360" s="16">
        <f>IF($C1360="","",助理班表!AC48)</f>
        <v/>
      </c>
      <c r="H1360" s="83">
        <f>IF($G1360="","",IFERROR(IF(INDEX(設定!$D$6:$D$21,MATCH($G1360,設定!$B$6:$B$21,0))=0,"",INDEX(設定!$D$6:$D$21,MATCH($G1360,設定!$B$6:$B$21,0))),""))</f>
        <v/>
      </c>
      <c r="I1360" s="83">
        <f>IF($G1360="","",IFERROR(IF(INDEX(設定!$E$6:$E$21,MATCH($G1360,設定!$B$6:$B$21,0))=0,"",INDEX(設定!$E$6:$E$21,MATCH($G1360,設定!$B$6:$B$21,0))),""))</f>
        <v/>
      </c>
      <c r="J1360" s="83">
        <f>IFERROR(INDEX(打卡匯入!$C$3:$C$2002,MATCH($C1360&amp;"|"&amp;DAY($A1360),打卡匯入!$E$3:$E$2002,0)),"")</f>
        <v/>
      </c>
      <c r="K1360" s="83">
        <f>IFERROR(INDEX(打卡匯入!$D$3:$D$2002,MATCH($C1360&amp;"|"&amp;DAY($A1360),打卡匯入!$E$3:$E$2002,0)),"")</f>
        <v/>
      </c>
      <c r="L1360" s="84">
        <f>IF(OR($J1360="",$K1360=""),"",IFERROR(INDEX(設定!$F$6:$F$21,MATCH($G1360,設定!$B$6:$B$21,0)),0))</f>
        <v/>
      </c>
      <c r="M1360" s="85">
        <f>IF(OR($J1360="",$K1360=""),"",ROUND(($K1360-$J1360)*24-$L1360/60,2))</f>
        <v/>
      </c>
      <c r="N1360" s="16">
        <f>IF($C1360="","",IF(AND(COUNTIF(設定!$B$15:$B$21,$G1360)&gt;0,$J1360&lt;&gt;""),"假日出勤",IF(AND(COUNTIF(設定!$B$6:$B$14,$G1360)&gt;0,$J1360=""),"未打卡",IF($J1360="","",IF($O1360&gt;0,"遲到",IF($P1360&gt;0,"早退","正常"))))))</f>
        <v/>
      </c>
      <c r="O1360" s="84">
        <f>IF(OR($C1360="",$H1360="",$J1360=""),0,IF(ROUND(($J1360-$H1360)*1440,0)&gt;設定!$C$46,ROUND(($J1360-$H1360)*1440,0),0))</f>
        <v/>
      </c>
      <c r="P1360" s="84">
        <f>IF(OR($C1360="",$I1360="",$K1360=""),0,IF(ROUND(($I1360-$K1360)*1440,0)&gt;設定!$C$46,ROUND(($I1360-$K1360)*1440,0),0))</f>
        <v/>
      </c>
      <c r="Q1360" s="85">
        <f>IF($M1360="",0,IF(($M1360-IFERROR(INDEX(設定!$G$6:$G$21,MATCH($G1360,設定!$B$6:$B$21,0)),0))*60&gt;=設定!$C$44,ROUND(FLOOR(($M1360-IFERROR(INDEX(設定!$G$6:$G$21,MATCH($G1360,設定!$B$6:$B$21,0)),0))*60,設定!$C$45)/60,2),0))</f>
        <v/>
      </c>
      <c r="R1360" s="16">
        <f>IF(OR($C1360="",$Q1360=0),"",IF($G1360="國","國定假日",IF($B1360="日","例假",IF($B1360="六","休息日","平日"))))</f>
        <v/>
      </c>
      <c r="S1360" s="19" t="n"/>
    </row>
    <row r="1361">
      <c r="A1361" s="82">
        <f>IF(OR(助理班表!$A48="",26&gt;DAY(EOMONTH(DATE(設定!$C$2,設定!$D$2,1),0))),"",DATE(設定!$C$2,設定!$D$2,26))</f>
        <v/>
      </c>
      <c r="B1361" s="16">
        <f>IF($A1361="","",INDEX(設定!$O$6:$O$12,WEEKDAY($A1361,1)))</f>
        <v/>
      </c>
      <c r="C1361" s="16">
        <f>IF($A1361="","",助理班表!$A48)</f>
        <v/>
      </c>
      <c r="D1361" s="16">
        <f>IF($C1361="","",助理班表!$B48)</f>
        <v/>
      </c>
      <c r="E1361" s="16">
        <f>IF($C1361="","",助理班表!$D48)</f>
        <v/>
      </c>
      <c r="F1361" s="16">
        <f>IF($C1361="","",助理班表!$C48)</f>
        <v/>
      </c>
      <c r="G1361" s="16">
        <f>IF($C1361="","",助理班表!AD48)</f>
        <v/>
      </c>
      <c r="H1361" s="83">
        <f>IF($G1361="","",IFERROR(IF(INDEX(設定!$D$6:$D$21,MATCH($G1361,設定!$B$6:$B$21,0))=0,"",INDEX(設定!$D$6:$D$21,MATCH($G1361,設定!$B$6:$B$21,0))),""))</f>
        <v/>
      </c>
      <c r="I1361" s="83">
        <f>IF($G1361="","",IFERROR(IF(INDEX(設定!$E$6:$E$21,MATCH($G1361,設定!$B$6:$B$21,0))=0,"",INDEX(設定!$E$6:$E$21,MATCH($G1361,設定!$B$6:$B$21,0))),""))</f>
        <v/>
      </c>
      <c r="J1361" s="83">
        <f>IFERROR(INDEX(打卡匯入!$C$3:$C$2002,MATCH($C1361&amp;"|"&amp;DAY($A1361),打卡匯入!$E$3:$E$2002,0)),"")</f>
        <v/>
      </c>
      <c r="K1361" s="83">
        <f>IFERROR(INDEX(打卡匯入!$D$3:$D$2002,MATCH($C1361&amp;"|"&amp;DAY($A1361),打卡匯入!$E$3:$E$2002,0)),"")</f>
        <v/>
      </c>
      <c r="L1361" s="84">
        <f>IF(OR($J1361="",$K1361=""),"",IFERROR(INDEX(設定!$F$6:$F$21,MATCH($G1361,設定!$B$6:$B$21,0)),0))</f>
        <v/>
      </c>
      <c r="M1361" s="85">
        <f>IF(OR($J1361="",$K1361=""),"",ROUND(($K1361-$J1361)*24-$L1361/60,2))</f>
        <v/>
      </c>
      <c r="N1361" s="16">
        <f>IF($C1361="","",IF(AND(COUNTIF(設定!$B$15:$B$21,$G1361)&gt;0,$J1361&lt;&gt;""),"假日出勤",IF(AND(COUNTIF(設定!$B$6:$B$14,$G1361)&gt;0,$J1361=""),"未打卡",IF($J1361="","",IF($O1361&gt;0,"遲到",IF($P1361&gt;0,"早退","正常"))))))</f>
        <v/>
      </c>
      <c r="O1361" s="84">
        <f>IF(OR($C1361="",$H1361="",$J1361=""),0,IF(ROUND(($J1361-$H1361)*1440,0)&gt;設定!$C$46,ROUND(($J1361-$H1361)*1440,0),0))</f>
        <v/>
      </c>
      <c r="P1361" s="84">
        <f>IF(OR($C1361="",$I1361="",$K1361=""),0,IF(ROUND(($I1361-$K1361)*1440,0)&gt;設定!$C$46,ROUND(($I1361-$K1361)*1440,0),0))</f>
        <v/>
      </c>
      <c r="Q1361" s="85">
        <f>IF($M1361="",0,IF(($M1361-IFERROR(INDEX(設定!$G$6:$G$21,MATCH($G1361,設定!$B$6:$B$21,0)),0))*60&gt;=設定!$C$44,ROUND(FLOOR(($M1361-IFERROR(INDEX(設定!$G$6:$G$21,MATCH($G1361,設定!$B$6:$B$21,0)),0))*60,設定!$C$45)/60,2),0))</f>
        <v/>
      </c>
      <c r="R1361" s="16">
        <f>IF(OR($C1361="",$Q1361=0),"",IF($G1361="國","國定假日",IF($B1361="日","例假",IF($B1361="六","休息日","平日"))))</f>
        <v/>
      </c>
      <c r="S1361" s="19" t="n"/>
    </row>
    <row r="1362">
      <c r="A1362" s="82">
        <f>IF(OR(助理班表!$A48="",27&gt;DAY(EOMONTH(DATE(設定!$C$2,設定!$D$2,1),0))),"",DATE(設定!$C$2,設定!$D$2,27))</f>
        <v/>
      </c>
      <c r="B1362" s="16">
        <f>IF($A1362="","",INDEX(設定!$O$6:$O$12,WEEKDAY($A1362,1)))</f>
        <v/>
      </c>
      <c r="C1362" s="16">
        <f>IF($A1362="","",助理班表!$A48)</f>
        <v/>
      </c>
      <c r="D1362" s="16">
        <f>IF($C1362="","",助理班表!$B48)</f>
        <v/>
      </c>
      <c r="E1362" s="16">
        <f>IF($C1362="","",助理班表!$D48)</f>
        <v/>
      </c>
      <c r="F1362" s="16">
        <f>IF($C1362="","",助理班表!$C48)</f>
        <v/>
      </c>
      <c r="G1362" s="16">
        <f>IF($C1362="","",助理班表!AE48)</f>
        <v/>
      </c>
      <c r="H1362" s="83">
        <f>IF($G1362="","",IFERROR(IF(INDEX(設定!$D$6:$D$21,MATCH($G1362,設定!$B$6:$B$21,0))=0,"",INDEX(設定!$D$6:$D$21,MATCH($G1362,設定!$B$6:$B$21,0))),""))</f>
        <v/>
      </c>
      <c r="I1362" s="83">
        <f>IF($G1362="","",IFERROR(IF(INDEX(設定!$E$6:$E$21,MATCH($G1362,設定!$B$6:$B$21,0))=0,"",INDEX(設定!$E$6:$E$21,MATCH($G1362,設定!$B$6:$B$21,0))),""))</f>
        <v/>
      </c>
      <c r="J1362" s="83">
        <f>IFERROR(INDEX(打卡匯入!$C$3:$C$2002,MATCH($C1362&amp;"|"&amp;DAY($A1362),打卡匯入!$E$3:$E$2002,0)),"")</f>
        <v/>
      </c>
      <c r="K1362" s="83">
        <f>IFERROR(INDEX(打卡匯入!$D$3:$D$2002,MATCH($C1362&amp;"|"&amp;DAY($A1362),打卡匯入!$E$3:$E$2002,0)),"")</f>
        <v/>
      </c>
      <c r="L1362" s="84">
        <f>IF(OR($J1362="",$K1362=""),"",IFERROR(INDEX(設定!$F$6:$F$21,MATCH($G1362,設定!$B$6:$B$21,0)),0))</f>
        <v/>
      </c>
      <c r="M1362" s="85">
        <f>IF(OR($J1362="",$K1362=""),"",ROUND(($K1362-$J1362)*24-$L1362/60,2))</f>
        <v/>
      </c>
      <c r="N1362" s="16">
        <f>IF($C1362="","",IF(AND(COUNTIF(設定!$B$15:$B$21,$G1362)&gt;0,$J1362&lt;&gt;""),"假日出勤",IF(AND(COUNTIF(設定!$B$6:$B$14,$G1362)&gt;0,$J1362=""),"未打卡",IF($J1362="","",IF($O1362&gt;0,"遲到",IF($P1362&gt;0,"早退","正常"))))))</f>
        <v/>
      </c>
      <c r="O1362" s="84">
        <f>IF(OR($C1362="",$H1362="",$J1362=""),0,IF(ROUND(($J1362-$H1362)*1440,0)&gt;設定!$C$46,ROUND(($J1362-$H1362)*1440,0),0))</f>
        <v/>
      </c>
      <c r="P1362" s="84">
        <f>IF(OR($C1362="",$I1362="",$K1362=""),0,IF(ROUND(($I1362-$K1362)*1440,0)&gt;設定!$C$46,ROUND(($I1362-$K1362)*1440,0),0))</f>
        <v/>
      </c>
      <c r="Q1362" s="85">
        <f>IF($M1362="",0,IF(($M1362-IFERROR(INDEX(設定!$G$6:$G$21,MATCH($G1362,設定!$B$6:$B$21,0)),0))*60&gt;=設定!$C$44,ROUND(FLOOR(($M1362-IFERROR(INDEX(設定!$G$6:$G$21,MATCH($G1362,設定!$B$6:$B$21,0)),0))*60,設定!$C$45)/60,2),0))</f>
        <v/>
      </c>
      <c r="R1362" s="16">
        <f>IF(OR($C1362="",$Q1362=0),"",IF($G1362="國","國定假日",IF($B1362="日","例假",IF($B1362="六","休息日","平日"))))</f>
        <v/>
      </c>
      <c r="S1362" s="19" t="n"/>
    </row>
    <row r="1363">
      <c r="A1363" s="82">
        <f>IF(OR(助理班表!$A48="",28&gt;DAY(EOMONTH(DATE(設定!$C$2,設定!$D$2,1),0))),"",DATE(設定!$C$2,設定!$D$2,28))</f>
        <v/>
      </c>
      <c r="B1363" s="16">
        <f>IF($A1363="","",INDEX(設定!$O$6:$O$12,WEEKDAY($A1363,1)))</f>
        <v/>
      </c>
      <c r="C1363" s="16">
        <f>IF($A1363="","",助理班表!$A48)</f>
        <v/>
      </c>
      <c r="D1363" s="16">
        <f>IF($C1363="","",助理班表!$B48)</f>
        <v/>
      </c>
      <c r="E1363" s="16">
        <f>IF($C1363="","",助理班表!$D48)</f>
        <v/>
      </c>
      <c r="F1363" s="16">
        <f>IF($C1363="","",助理班表!$C48)</f>
        <v/>
      </c>
      <c r="G1363" s="16">
        <f>IF($C1363="","",助理班表!AF48)</f>
        <v/>
      </c>
      <c r="H1363" s="83">
        <f>IF($G1363="","",IFERROR(IF(INDEX(設定!$D$6:$D$21,MATCH($G1363,設定!$B$6:$B$21,0))=0,"",INDEX(設定!$D$6:$D$21,MATCH($G1363,設定!$B$6:$B$21,0))),""))</f>
        <v/>
      </c>
      <c r="I1363" s="83">
        <f>IF($G1363="","",IFERROR(IF(INDEX(設定!$E$6:$E$21,MATCH($G1363,設定!$B$6:$B$21,0))=0,"",INDEX(設定!$E$6:$E$21,MATCH($G1363,設定!$B$6:$B$21,0))),""))</f>
        <v/>
      </c>
      <c r="J1363" s="83">
        <f>IFERROR(INDEX(打卡匯入!$C$3:$C$2002,MATCH($C1363&amp;"|"&amp;DAY($A1363),打卡匯入!$E$3:$E$2002,0)),"")</f>
        <v/>
      </c>
      <c r="K1363" s="83">
        <f>IFERROR(INDEX(打卡匯入!$D$3:$D$2002,MATCH($C1363&amp;"|"&amp;DAY($A1363),打卡匯入!$E$3:$E$2002,0)),"")</f>
        <v/>
      </c>
      <c r="L1363" s="84">
        <f>IF(OR($J1363="",$K1363=""),"",IFERROR(INDEX(設定!$F$6:$F$21,MATCH($G1363,設定!$B$6:$B$21,0)),0))</f>
        <v/>
      </c>
      <c r="M1363" s="85">
        <f>IF(OR($J1363="",$K1363=""),"",ROUND(($K1363-$J1363)*24-$L1363/60,2))</f>
        <v/>
      </c>
      <c r="N1363" s="16">
        <f>IF($C1363="","",IF(AND(COUNTIF(設定!$B$15:$B$21,$G1363)&gt;0,$J1363&lt;&gt;""),"假日出勤",IF(AND(COUNTIF(設定!$B$6:$B$14,$G1363)&gt;0,$J1363=""),"未打卡",IF($J1363="","",IF($O1363&gt;0,"遲到",IF($P1363&gt;0,"早退","正常"))))))</f>
        <v/>
      </c>
      <c r="O1363" s="84">
        <f>IF(OR($C1363="",$H1363="",$J1363=""),0,IF(ROUND(($J1363-$H1363)*1440,0)&gt;設定!$C$46,ROUND(($J1363-$H1363)*1440,0),0))</f>
        <v/>
      </c>
      <c r="P1363" s="84">
        <f>IF(OR($C1363="",$I1363="",$K1363=""),0,IF(ROUND(($I1363-$K1363)*1440,0)&gt;設定!$C$46,ROUND(($I1363-$K1363)*1440,0),0))</f>
        <v/>
      </c>
      <c r="Q1363" s="85">
        <f>IF($M1363="",0,IF(($M1363-IFERROR(INDEX(設定!$G$6:$G$21,MATCH($G1363,設定!$B$6:$B$21,0)),0))*60&gt;=設定!$C$44,ROUND(FLOOR(($M1363-IFERROR(INDEX(設定!$G$6:$G$21,MATCH($G1363,設定!$B$6:$B$21,0)),0))*60,設定!$C$45)/60,2),0))</f>
        <v/>
      </c>
      <c r="R1363" s="16">
        <f>IF(OR($C1363="",$Q1363=0),"",IF($G1363="國","國定假日",IF($B1363="日","例假",IF($B1363="六","休息日","平日"))))</f>
        <v/>
      </c>
      <c r="S1363" s="19" t="n"/>
    </row>
    <row r="1364">
      <c r="A1364" s="82">
        <f>IF(OR(助理班表!$A48="",29&gt;DAY(EOMONTH(DATE(設定!$C$2,設定!$D$2,1),0))),"",DATE(設定!$C$2,設定!$D$2,29))</f>
        <v/>
      </c>
      <c r="B1364" s="16">
        <f>IF($A1364="","",INDEX(設定!$O$6:$O$12,WEEKDAY($A1364,1)))</f>
        <v/>
      </c>
      <c r="C1364" s="16">
        <f>IF($A1364="","",助理班表!$A48)</f>
        <v/>
      </c>
      <c r="D1364" s="16">
        <f>IF($C1364="","",助理班表!$B48)</f>
        <v/>
      </c>
      <c r="E1364" s="16">
        <f>IF($C1364="","",助理班表!$D48)</f>
        <v/>
      </c>
      <c r="F1364" s="16">
        <f>IF($C1364="","",助理班表!$C48)</f>
        <v/>
      </c>
      <c r="G1364" s="16">
        <f>IF($C1364="","",助理班表!AG48)</f>
        <v/>
      </c>
      <c r="H1364" s="83">
        <f>IF($G1364="","",IFERROR(IF(INDEX(設定!$D$6:$D$21,MATCH($G1364,設定!$B$6:$B$21,0))=0,"",INDEX(設定!$D$6:$D$21,MATCH($G1364,設定!$B$6:$B$21,0))),""))</f>
        <v/>
      </c>
      <c r="I1364" s="83">
        <f>IF($G1364="","",IFERROR(IF(INDEX(設定!$E$6:$E$21,MATCH($G1364,設定!$B$6:$B$21,0))=0,"",INDEX(設定!$E$6:$E$21,MATCH($G1364,設定!$B$6:$B$21,0))),""))</f>
        <v/>
      </c>
      <c r="J1364" s="83">
        <f>IFERROR(INDEX(打卡匯入!$C$3:$C$2002,MATCH($C1364&amp;"|"&amp;DAY($A1364),打卡匯入!$E$3:$E$2002,0)),"")</f>
        <v/>
      </c>
      <c r="K1364" s="83">
        <f>IFERROR(INDEX(打卡匯入!$D$3:$D$2002,MATCH($C1364&amp;"|"&amp;DAY($A1364),打卡匯入!$E$3:$E$2002,0)),"")</f>
        <v/>
      </c>
      <c r="L1364" s="84">
        <f>IF(OR($J1364="",$K1364=""),"",IFERROR(INDEX(設定!$F$6:$F$21,MATCH($G1364,設定!$B$6:$B$21,0)),0))</f>
        <v/>
      </c>
      <c r="M1364" s="85">
        <f>IF(OR($J1364="",$K1364=""),"",ROUND(($K1364-$J1364)*24-$L1364/60,2))</f>
        <v/>
      </c>
      <c r="N1364" s="16">
        <f>IF($C1364="","",IF(AND(COUNTIF(設定!$B$15:$B$21,$G1364)&gt;0,$J1364&lt;&gt;""),"假日出勤",IF(AND(COUNTIF(設定!$B$6:$B$14,$G1364)&gt;0,$J1364=""),"未打卡",IF($J1364="","",IF($O1364&gt;0,"遲到",IF($P1364&gt;0,"早退","正常"))))))</f>
        <v/>
      </c>
      <c r="O1364" s="84">
        <f>IF(OR($C1364="",$H1364="",$J1364=""),0,IF(ROUND(($J1364-$H1364)*1440,0)&gt;設定!$C$46,ROUND(($J1364-$H1364)*1440,0),0))</f>
        <v/>
      </c>
      <c r="P1364" s="84">
        <f>IF(OR($C1364="",$I1364="",$K1364=""),0,IF(ROUND(($I1364-$K1364)*1440,0)&gt;設定!$C$46,ROUND(($I1364-$K1364)*1440,0),0))</f>
        <v/>
      </c>
      <c r="Q1364" s="85">
        <f>IF($M1364="",0,IF(($M1364-IFERROR(INDEX(設定!$G$6:$G$21,MATCH($G1364,設定!$B$6:$B$21,0)),0))*60&gt;=設定!$C$44,ROUND(FLOOR(($M1364-IFERROR(INDEX(設定!$G$6:$G$21,MATCH($G1364,設定!$B$6:$B$21,0)),0))*60,設定!$C$45)/60,2),0))</f>
        <v/>
      </c>
      <c r="R1364" s="16">
        <f>IF(OR($C1364="",$Q1364=0),"",IF($G1364="國","國定假日",IF($B1364="日","例假",IF($B1364="六","休息日","平日"))))</f>
        <v/>
      </c>
      <c r="S1364" s="19" t="n"/>
    </row>
    <row r="1365">
      <c r="A1365" s="82">
        <f>IF(OR(助理班表!$A48="",30&gt;DAY(EOMONTH(DATE(設定!$C$2,設定!$D$2,1),0))),"",DATE(設定!$C$2,設定!$D$2,30))</f>
        <v/>
      </c>
      <c r="B1365" s="16">
        <f>IF($A1365="","",INDEX(設定!$O$6:$O$12,WEEKDAY($A1365,1)))</f>
        <v/>
      </c>
      <c r="C1365" s="16">
        <f>IF($A1365="","",助理班表!$A48)</f>
        <v/>
      </c>
      <c r="D1365" s="16">
        <f>IF($C1365="","",助理班表!$B48)</f>
        <v/>
      </c>
      <c r="E1365" s="16">
        <f>IF($C1365="","",助理班表!$D48)</f>
        <v/>
      </c>
      <c r="F1365" s="16">
        <f>IF($C1365="","",助理班表!$C48)</f>
        <v/>
      </c>
      <c r="G1365" s="16">
        <f>IF($C1365="","",助理班表!AH48)</f>
        <v/>
      </c>
      <c r="H1365" s="83">
        <f>IF($G1365="","",IFERROR(IF(INDEX(設定!$D$6:$D$21,MATCH($G1365,設定!$B$6:$B$21,0))=0,"",INDEX(設定!$D$6:$D$21,MATCH($G1365,設定!$B$6:$B$21,0))),""))</f>
        <v/>
      </c>
      <c r="I1365" s="83">
        <f>IF($G1365="","",IFERROR(IF(INDEX(設定!$E$6:$E$21,MATCH($G1365,設定!$B$6:$B$21,0))=0,"",INDEX(設定!$E$6:$E$21,MATCH($G1365,設定!$B$6:$B$21,0))),""))</f>
        <v/>
      </c>
      <c r="J1365" s="83">
        <f>IFERROR(INDEX(打卡匯入!$C$3:$C$2002,MATCH($C1365&amp;"|"&amp;DAY($A1365),打卡匯入!$E$3:$E$2002,0)),"")</f>
        <v/>
      </c>
      <c r="K1365" s="83">
        <f>IFERROR(INDEX(打卡匯入!$D$3:$D$2002,MATCH($C1365&amp;"|"&amp;DAY($A1365),打卡匯入!$E$3:$E$2002,0)),"")</f>
        <v/>
      </c>
      <c r="L1365" s="84">
        <f>IF(OR($J1365="",$K1365=""),"",IFERROR(INDEX(設定!$F$6:$F$21,MATCH($G1365,設定!$B$6:$B$21,0)),0))</f>
        <v/>
      </c>
      <c r="M1365" s="85">
        <f>IF(OR($J1365="",$K1365=""),"",ROUND(($K1365-$J1365)*24-$L1365/60,2))</f>
        <v/>
      </c>
      <c r="N1365" s="16">
        <f>IF($C1365="","",IF(AND(COUNTIF(設定!$B$15:$B$21,$G1365)&gt;0,$J1365&lt;&gt;""),"假日出勤",IF(AND(COUNTIF(設定!$B$6:$B$14,$G1365)&gt;0,$J1365=""),"未打卡",IF($J1365="","",IF($O1365&gt;0,"遲到",IF($P1365&gt;0,"早退","正常"))))))</f>
        <v/>
      </c>
      <c r="O1365" s="84">
        <f>IF(OR($C1365="",$H1365="",$J1365=""),0,IF(ROUND(($J1365-$H1365)*1440,0)&gt;設定!$C$46,ROUND(($J1365-$H1365)*1440,0),0))</f>
        <v/>
      </c>
      <c r="P1365" s="84">
        <f>IF(OR($C1365="",$I1365="",$K1365=""),0,IF(ROUND(($I1365-$K1365)*1440,0)&gt;設定!$C$46,ROUND(($I1365-$K1365)*1440,0),0))</f>
        <v/>
      </c>
      <c r="Q1365" s="85">
        <f>IF($M1365="",0,IF(($M1365-IFERROR(INDEX(設定!$G$6:$G$21,MATCH($G1365,設定!$B$6:$B$21,0)),0))*60&gt;=設定!$C$44,ROUND(FLOOR(($M1365-IFERROR(INDEX(設定!$G$6:$G$21,MATCH($G1365,設定!$B$6:$B$21,0)),0))*60,設定!$C$45)/60,2),0))</f>
        <v/>
      </c>
      <c r="R1365" s="16">
        <f>IF(OR($C1365="",$Q1365=0),"",IF($G1365="國","國定假日",IF($B1365="日","例假",IF($B1365="六","休息日","平日"))))</f>
        <v/>
      </c>
      <c r="S1365" s="19" t="n"/>
    </row>
    <row r="1366">
      <c r="A1366" s="82">
        <f>IF(OR(助理班表!$A48="",31&gt;DAY(EOMONTH(DATE(設定!$C$2,設定!$D$2,1),0))),"",DATE(設定!$C$2,設定!$D$2,31))</f>
        <v/>
      </c>
      <c r="B1366" s="16">
        <f>IF($A1366="","",INDEX(設定!$O$6:$O$12,WEEKDAY($A1366,1)))</f>
        <v/>
      </c>
      <c r="C1366" s="16">
        <f>IF($A1366="","",助理班表!$A48)</f>
        <v/>
      </c>
      <c r="D1366" s="16">
        <f>IF($C1366="","",助理班表!$B48)</f>
        <v/>
      </c>
      <c r="E1366" s="16">
        <f>IF($C1366="","",助理班表!$D48)</f>
        <v/>
      </c>
      <c r="F1366" s="16">
        <f>IF($C1366="","",助理班表!$C48)</f>
        <v/>
      </c>
      <c r="G1366" s="16">
        <f>IF($C1366="","",助理班表!AI48)</f>
        <v/>
      </c>
      <c r="H1366" s="83">
        <f>IF($G1366="","",IFERROR(IF(INDEX(設定!$D$6:$D$21,MATCH($G1366,設定!$B$6:$B$21,0))=0,"",INDEX(設定!$D$6:$D$21,MATCH($G1366,設定!$B$6:$B$21,0))),""))</f>
        <v/>
      </c>
      <c r="I1366" s="83">
        <f>IF($G1366="","",IFERROR(IF(INDEX(設定!$E$6:$E$21,MATCH($G1366,設定!$B$6:$B$21,0))=0,"",INDEX(設定!$E$6:$E$21,MATCH($G1366,設定!$B$6:$B$21,0))),""))</f>
        <v/>
      </c>
      <c r="J1366" s="83">
        <f>IFERROR(INDEX(打卡匯入!$C$3:$C$2002,MATCH($C1366&amp;"|"&amp;DAY($A1366),打卡匯入!$E$3:$E$2002,0)),"")</f>
        <v/>
      </c>
      <c r="K1366" s="83">
        <f>IFERROR(INDEX(打卡匯入!$D$3:$D$2002,MATCH($C1366&amp;"|"&amp;DAY($A1366),打卡匯入!$E$3:$E$2002,0)),"")</f>
        <v/>
      </c>
      <c r="L1366" s="84">
        <f>IF(OR($J1366="",$K1366=""),"",IFERROR(INDEX(設定!$F$6:$F$21,MATCH($G1366,設定!$B$6:$B$21,0)),0))</f>
        <v/>
      </c>
      <c r="M1366" s="85">
        <f>IF(OR($J1366="",$K1366=""),"",ROUND(($K1366-$J1366)*24-$L1366/60,2))</f>
        <v/>
      </c>
      <c r="N1366" s="16">
        <f>IF($C1366="","",IF(AND(COUNTIF(設定!$B$15:$B$21,$G1366)&gt;0,$J1366&lt;&gt;""),"假日出勤",IF(AND(COUNTIF(設定!$B$6:$B$14,$G1366)&gt;0,$J1366=""),"未打卡",IF($J1366="","",IF($O1366&gt;0,"遲到",IF($P1366&gt;0,"早退","正常"))))))</f>
        <v/>
      </c>
      <c r="O1366" s="84">
        <f>IF(OR($C1366="",$H1366="",$J1366=""),0,IF(ROUND(($J1366-$H1366)*1440,0)&gt;設定!$C$46,ROUND(($J1366-$H1366)*1440,0),0))</f>
        <v/>
      </c>
      <c r="P1366" s="84">
        <f>IF(OR($C1366="",$I1366="",$K1366=""),0,IF(ROUND(($I1366-$K1366)*1440,0)&gt;設定!$C$46,ROUND(($I1366-$K1366)*1440,0),0))</f>
        <v/>
      </c>
      <c r="Q1366" s="85">
        <f>IF($M1366="",0,IF(($M1366-IFERROR(INDEX(設定!$G$6:$G$21,MATCH($G1366,設定!$B$6:$B$21,0)),0))*60&gt;=設定!$C$44,ROUND(FLOOR(($M1366-IFERROR(INDEX(設定!$G$6:$G$21,MATCH($G1366,設定!$B$6:$B$21,0)),0))*60,設定!$C$45)/60,2),0))</f>
        <v/>
      </c>
      <c r="R1366" s="16">
        <f>IF(OR($C1366="",$Q1366=0),"",IF($G1366="國","國定假日",IF($B1366="日","例假",IF($B1366="六","休息日","平日"))))</f>
        <v/>
      </c>
      <c r="S1366" s="19" t="n"/>
    </row>
    <row r="1367">
      <c r="A1367" s="82">
        <f>IF(OR(助理班表!$A49="",1&gt;DAY(EOMONTH(DATE(設定!$C$2,設定!$D$2,1),0))),"",DATE(設定!$C$2,設定!$D$2,1))</f>
        <v/>
      </c>
      <c r="B1367" s="16">
        <f>IF($A1367="","",INDEX(設定!$O$6:$O$12,WEEKDAY($A1367,1)))</f>
        <v/>
      </c>
      <c r="C1367" s="16">
        <f>IF($A1367="","",助理班表!$A49)</f>
        <v/>
      </c>
      <c r="D1367" s="16">
        <f>IF($C1367="","",助理班表!$B49)</f>
        <v/>
      </c>
      <c r="E1367" s="16">
        <f>IF($C1367="","",助理班表!$D49)</f>
        <v/>
      </c>
      <c r="F1367" s="16">
        <f>IF($C1367="","",助理班表!$C49)</f>
        <v/>
      </c>
      <c r="G1367" s="16">
        <f>IF($C1367="","",助理班表!E49)</f>
        <v/>
      </c>
      <c r="H1367" s="83">
        <f>IF($G1367="","",IFERROR(IF(INDEX(設定!$D$6:$D$21,MATCH($G1367,設定!$B$6:$B$21,0))=0,"",INDEX(設定!$D$6:$D$21,MATCH($G1367,設定!$B$6:$B$21,0))),""))</f>
        <v/>
      </c>
      <c r="I1367" s="83">
        <f>IF($G1367="","",IFERROR(IF(INDEX(設定!$E$6:$E$21,MATCH($G1367,設定!$B$6:$B$21,0))=0,"",INDEX(設定!$E$6:$E$21,MATCH($G1367,設定!$B$6:$B$21,0))),""))</f>
        <v/>
      </c>
      <c r="J1367" s="83">
        <f>IFERROR(INDEX(打卡匯入!$C$3:$C$2002,MATCH($C1367&amp;"|"&amp;DAY($A1367),打卡匯入!$E$3:$E$2002,0)),"")</f>
        <v/>
      </c>
      <c r="K1367" s="83">
        <f>IFERROR(INDEX(打卡匯入!$D$3:$D$2002,MATCH($C1367&amp;"|"&amp;DAY($A1367),打卡匯入!$E$3:$E$2002,0)),"")</f>
        <v/>
      </c>
      <c r="L1367" s="84">
        <f>IF(OR($J1367="",$K1367=""),"",IFERROR(INDEX(設定!$F$6:$F$21,MATCH($G1367,設定!$B$6:$B$21,0)),0))</f>
        <v/>
      </c>
      <c r="M1367" s="85">
        <f>IF(OR($J1367="",$K1367=""),"",ROUND(($K1367-$J1367)*24-$L1367/60,2))</f>
        <v/>
      </c>
      <c r="N1367" s="16">
        <f>IF($C1367="","",IF(AND(COUNTIF(設定!$B$15:$B$21,$G1367)&gt;0,$J1367&lt;&gt;""),"假日出勤",IF(AND(COUNTIF(設定!$B$6:$B$14,$G1367)&gt;0,$J1367=""),"未打卡",IF($J1367="","",IF($O1367&gt;0,"遲到",IF($P1367&gt;0,"早退","正常"))))))</f>
        <v/>
      </c>
      <c r="O1367" s="84">
        <f>IF(OR($C1367="",$H1367="",$J1367=""),0,IF(ROUND(($J1367-$H1367)*1440,0)&gt;設定!$C$46,ROUND(($J1367-$H1367)*1440,0),0))</f>
        <v/>
      </c>
      <c r="P1367" s="84">
        <f>IF(OR($C1367="",$I1367="",$K1367=""),0,IF(ROUND(($I1367-$K1367)*1440,0)&gt;設定!$C$46,ROUND(($I1367-$K1367)*1440,0),0))</f>
        <v/>
      </c>
      <c r="Q1367" s="85">
        <f>IF($M1367="",0,IF(($M1367-IFERROR(INDEX(設定!$G$6:$G$21,MATCH($G1367,設定!$B$6:$B$21,0)),0))*60&gt;=設定!$C$44,ROUND(FLOOR(($M1367-IFERROR(INDEX(設定!$G$6:$G$21,MATCH($G1367,設定!$B$6:$B$21,0)),0))*60,設定!$C$45)/60,2),0))</f>
        <v/>
      </c>
      <c r="R1367" s="16">
        <f>IF(OR($C1367="",$Q1367=0),"",IF($G1367="國","國定假日",IF($B1367="日","例假",IF($B1367="六","休息日","平日"))))</f>
        <v/>
      </c>
      <c r="S1367" s="19" t="n"/>
    </row>
    <row r="1368">
      <c r="A1368" s="82">
        <f>IF(OR(助理班表!$A49="",2&gt;DAY(EOMONTH(DATE(設定!$C$2,設定!$D$2,1),0))),"",DATE(設定!$C$2,設定!$D$2,2))</f>
        <v/>
      </c>
      <c r="B1368" s="16">
        <f>IF($A1368="","",INDEX(設定!$O$6:$O$12,WEEKDAY($A1368,1)))</f>
        <v/>
      </c>
      <c r="C1368" s="16">
        <f>IF($A1368="","",助理班表!$A49)</f>
        <v/>
      </c>
      <c r="D1368" s="16">
        <f>IF($C1368="","",助理班表!$B49)</f>
        <v/>
      </c>
      <c r="E1368" s="16">
        <f>IF($C1368="","",助理班表!$D49)</f>
        <v/>
      </c>
      <c r="F1368" s="16">
        <f>IF($C1368="","",助理班表!$C49)</f>
        <v/>
      </c>
      <c r="G1368" s="16">
        <f>IF($C1368="","",助理班表!F49)</f>
        <v/>
      </c>
      <c r="H1368" s="83">
        <f>IF($G1368="","",IFERROR(IF(INDEX(設定!$D$6:$D$21,MATCH($G1368,設定!$B$6:$B$21,0))=0,"",INDEX(設定!$D$6:$D$21,MATCH($G1368,設定!$B$6:$B$21,0))),""))</f>
        <v/>
      </c>
      <c r="I1368" s="83">
        <f>IF($G1368="","",IFERROR(IF(INDEX(設定!$E$6:$E$21,MATCH($G1368,設定!$B$6:$B$21,0))=0,"",INDEX(設定!$E$6:$E$21,MATCH($G1368,設定!$B$6:$B$21,0))),""))</f>
        <v/>
      </c>
      <c r="J1368" s="83">
        <f>IFERROR(INDEX(打卡匯入!$C$3:$C$2002,MATCH($C1368&amp;"|"&amp;DAY($A1368),打卡匯入!$E$3:$E$2002,0)),"")</f>
        <v/>
      </c>
      <c r="K1368" s="83">
        <f>IFERROR(INDEX(打卡匯入!$D$3:$D$2002,MATCH($C1368&amp;"|"&amp;DAY($A1368),打卡匯入!$E$3:$E$2002,0)),"")</f>
        <v/>
      </c>
      <c r="L1368" s="84">
        <f>IF(OR($J1368="",$K1368=""),"",IFERROR(INDEX(設定!$F$6:$F$21,MATCH($G1368,設定!$B$6:$B$21,0)),0))</f>
        <v/>
      </c>
      <c r="M1368" s="85">
        <f>IF(OR($J1368="",$K1368=""),"",ROUND(($K1368-$J1368)*24-$L1368/60,2))</f>
        <v/>
      </c>
      <c r="N1368" s="16">
        <f>IF($C1368="","",IF(AND(COUNTIF(設定!$B$15:$B$21,$G1368)&gt;0,$J1368&lt;&gt;""),"假日出勤",IF(AND(COUNTIF(設定!$B$6:$B$14,$G1368)&gt;0,$J1368=""),"未打卡",IF($J1368="","",IF($O1368&gt;0,"遲到",IF($P1368&gt;0,"早退","正常"))))))</f>
        <v/>
      </c>
      <c r="O1368" s="84">
        <f>IF(OR($C1368="",$H1368="",$J1368=""),0,IF(ROUND(($J1368-$H1368)*1440,0)&gt;設定!$C$46,ROUND(($J1368-$H1368)*1440,0),0))</f>
        <v/>
      </c>
      <c r="P1368" s="84">
        <f>IF(OR($C1368="",$I1368="",$K1368=""),0,IF(ROUND(($I1368-$K1368)*1440,0)&gt;設定!$C$46,ROUND(($I1368-$K1368)*1440,0),0))</f>
        <v/>
      </c>
      <c r="Q1368" s="85">
        <f>IF($M1368="",0,IF(($M1368-IFERROR(INDEX(設定!$G$6:$G$21,MATCH($G1368,設定!$B$6:$B$21,0)),0))*60&gt;=設定!$C$44,ROUND(FLOOR(($M1368-IFERROR(INDEX(設定!$G$6:$G$21,MATCH($G1368,設定!$B$6:$B$21,0)),0))*60,設定!$C$45)/60,2),0))</f>
        <v/>
      </c>
      <c r="R1368" s="16">
        <f>IF(OR($C1368="",$Q1368=0),"",IF($G1368="國","國定假日",IF($B1368="日","例假",IF($B1368="六","休息日","平日"))))</f>
        <v/>
      </c>
      <c r="S1368" s="19" t="n"/>
    </row>
    <row r="1369">
      <c r="A1369" s="82">
        <f>IF(OR(助理班表!$A49="",3&gt;DAY(EOMONTH(DATE(設定!$C$2,設定!$D$2,1),0))),"",DATE(設定!$C$2,設定!$D$2,3))</f>
        <v/>
      </c>
      <c r="B1369" s="16">
        <f>IF($A1369="","",INDEX(設定!$O$6:$O$12,WEEKDAY($A1369,1)))</f>
        <v/>
      </c>
      <c r="C1369" s="16">
        <f>IF($A1369="","",助理班表!$A49)</f>
        <v/>
      </c>
      <c r="D1369" s="16">
        <f>IF($C1369="","",助理班表!$B49)</f>
        <v/>
      </c>
      <c r="E1369" s="16">
        <f>IF($C1369="","",助理班表!$D49)</f>
        <v/>
      </c>
      <c r="F1369" s="16">
        <f>IF($C1369="","",助理班表!$C49)</f>
        <v/>
      </c>
      <c r="G1369" s="16">
        <f>IF($C1369="","",助理班表!G49)</f>
        <v/>
      </c>
      <c r="H1369" s="83">
        <f>IF($G1369="","",IFERROR(IF(INDEX(設定!$D$6:$D$21,MATCH($G1369,設定!$B$6:$B$21,0))=0,"",INDEX(設定!$D$6:$D$21,MATCH($G1369,設定!$B$6:$B$21,0))),""))</f>
        <v/>
      </c>
      <c r="I1369" s="83">
        <f>IF($G1369="","",IFERROR(IF(INDEX(設定!$E$6:$E$21,MATCH($G1369,設定!$B$6:$B$21,0))=0,"",INDEX(設定!$E$6:$E$21,MATCH($G1369,設定!$B$6:$B$21,0))),""))</f>
        <v/>
      </c>
      <c r="J1369" s="83">
        <f>IFERROR(INDEX(打卡匯入!$C$3:$C$2002,MATCH($C1369&amp;"|"&amp;DAY($A1369),打卡匯入!$E$3:$E$2002,0)),"")</f>
        <v/>
      </c>
      <c r="K1369" s="83">
        <f>IFERROR(INDEX(打卡匯入!$D$3:$D$2002,MATCH($C1369&amp;"|"&amp;DAY($A1369),打卡匯入!$E$3:$E$2002,0)),"")</f>
        <v/>
      </c>
      <c r="L1369" s="84">
        <f>IF(OR($J1369="",$K1369=""),"",IFERROR(INDEX(設定!$F$6:$F$21,MATCH($G1369,設定!$B$6:$B$21,0)),0))</f>
        <v/>
      </c>
      <c r="M1369" s="85">
        <f>IF(OR($J1369="",$K1369=""),"",ROUND(($K1369-$J1369)*24-$L1369/60,2))</f>
        <v/>
      </c>
      <c r="N1369" s="16">
        <f>IF($C1369="","",IF(AND(COUNTIF(設定!$B$15:$B$21,$G1369)&gt;0,$J1369&lt;&gt;""),"假日出勤",IF(AND(COUNTIF(設定!$B$6:$B$14,$G1369)&gt;0,$J1369=""),"未打卡",IF($J1369="","",IF($O1369&gt;0,"遲到",IF($P1369&gt;0,"早退","正常"))))))</f>
        <v/>
      </c>
      <c r="O1369" s="84">
        <f>IF(OR($C1369="",$H1369="",$J1369=""),0,IF(ROUND(($J1369-$H1369)*1440,0)&gt;設定!$C$46,ROUND(($J1369-$H1369)*1440,0),0))</f>
        <v/>
      </c>
      <c r="P1369" s="84">
        <f>IF(OR($C1369="",$I1369="",$K1369=""),0,IF(ROUND(($I1369-$K1369)*1440,0)&gt;設定!$C$46,ROUND(($I1369-$K1369)*1440,0),0))</f>
        <v/>
      </c>
      <c r="Q1369" s="85">
        <f>IF($M1369="",0,IF(($M1369-IFERROR(INDEX(設定!$G$6:$G$21,MATCH($G1369,設定!$B$6:$B$21,0)),0))*60&gt;=設定!$C$44,ROUND(FLOOR(($M1369-IFERROR(INDEX(設定!$G$6:$G$21,MATCH($G1369,設定!$B$6:$B$21,0)),0))*60,設定!$C$45)/60,2),0))</f>
        <v/>
      </c>
      <c r="R1369" s="16">
        <f>IF(OR($C1369="",$Q1369=0),"",IF($G1369="國","國定假日",IF($B1369="日","例假",IF($B1369="六","休息日","平日"))))</f>
        <v/>
      </c>
      <c r="S1369" s="19" t="n"/>
    </row>
    <row r="1370">
      <c r="A1370" s="82">
        <f>IF(OR(助理班表!$A49="",4&gt;DAY(EOMONTH(DATE(設定!$C$2,設定!$D$2,1),0))),"",DATE(設定!$C$2,設定!$D$2,4))</f>
        <v/>
      </c>
      <c r="B1370" s="16">
        <f>IF($A1370="","",INDEX(設定!$O$6:$O$12,WEEKDAY($A1370,1)))</f>
        <v/>
      </c>
      <c r="C1370" s="16">
        <f>IF($A1370="","",助理班表!$A49)</f>
        <v/>
      </c>
      <c r="D1370" s="16">
        <f>IF($C1370="","",助理班表!$B49)</f>
        <v/>
      </c>
      <c r="E1370" s="16">
        <f>IF($C1370="","",助理班表!$D49)</f>
        <v/>
      </c>
      <c r="F1370" s="16">
        <f>IF($C1370="","",助理班表!$C49)</f>
        <v/>
      </c>
      <c r="G1370" s="16">
        <f>IF($C1370="","",助理班表!H49)</f>
        <v/>
      </c>
      <c r="H1370" s="83">
        <f>IF($G1370="","",IFERROR(IF(INDEX(設定!$D$6:$D$21,MATCH($G1370,設定!$B$6:$B$21,0))=0,"",INDEX(設定!$D$6:$D$21,MATCH($G1370,設定!$B$6:$B$21,0))),""))</f>
        <v/>
      </c>
      <c r="I1370" s="83">
        <f>IF($G1370="","",IFERROR(IF(INDEX(設定!$E$6:$E$21,MATCH($G1370,設定!$B$6:$B$21,0))=0,"",INDEX(設定!$E$6:$E$21,MATCH($G1370,設定!$B$6:$B$21,0))),""))</f>
        <v/>
      </c>
      <c r="J1370" s="83">
        <f>IFERROR(INDEX(打卡匯入!$C$3:$C$2002,MATCH($C1370&amp;"|"&amp;DAY($A1370),打卡匯入!$E$3:$E$2002,0)),"")</f>
        <v/>
      </c>
      <c r="K1370" s="83">
        <f>IFERROR(INDEX(打卡匯入!$D$3:$D$2002,MATCH($C1370&amp;"|"&amp;DAY($A1370),打卡匯入!$E$3:$E$2002,0)),"")</f>
        <v/>
      </c>
      <c r="L1370" s="84">
        <f>IF(OR($J1370="",$K1370=""),"",IFERROR(INDEX(設定!$F$6:$F$21,MATCH($G1370,設定!$B$6:$B$21,0)),0))</f>
        <v/>
      </c>
      <c r="M1370" s="85">
        <f>IF(OR($J1370="",$K1370=""),"",ROUND(($K1370-$J1370)*24-$L1370/60,2))</f>
        <v/>
      </c>
      <c r="N1370" s="16">
        <f>IF($C1370="","",IF(AND(COUNTIF(設定!$B$15:$B$21,$G1370)&gt;0,$J1370&lt;&gt;""),"假日出勤",IF(AND(COUNTIF(設定!$B$6:$B$14,$G1370)&gt;0,$J1370=""),"未打卡",IF($J1370="","",IF($O1370&gt;0,"遲到",IF($P1370&gt;0,"早退","正常"))))))</f>
        <v/>
      </c>
      <c r="O1370" s="84">
        <f>IF(OR($C1370="",$H1370="",$J1370=""),0,IF(ROUND(($J1370-$H1370)*1440,0)&gt;設定!$C$46,ROUND(($J1370-$H1370)*1440,0),0))</f>
        <v/>
      </c>
      <c r="P1370" s="84">
        <f>IF(OR($C1370="",$I1370="",$K1370=""),0,IF(ROUND(($I1370-$K1370)*1440,0)&gt;設定!$C$46,ROUND(($I1370-$K1370)*1440,0),0))</f>
        <v/>
      </c>
      <c r="Q1370" s="85">
        <f>IF($M1370="",0,IF(($M1370-IFERROR(INDEX(設定!$G$6:$G$21,MATCH($G1370,設定!$B$6:$B$21,0)),0))*60&gt;=設定!$C$44,ROUND(FLOOR(($M1370-IFERROR(INDEX(設定!$G$6:$G$21,MATCH($G1370,設定!$B$6:$B$21,0)),0))*60,設定!$C$45)/60,2),0))</f>
        <v/>
      </c>
      <c r="R1370" s="16">
        <f>IF(OR($C1370="",$Q1370=0),"",IF($G1370="國","國定假日",IF($B1370="日","例假",IF($B1370="六","休息日","平日"))))</f>
        <v/>
      </c>
      <c r="S1370" s="19" t="n"/>
    </row>
    <row r="1371">
      <c r="A1371" s="82">
        <f>IF(OR(助理班表!$A49="",5&gt;DAY(EOMONTH(DATE(設定!$C$2,設定!$D$2,1),0))),"",DATE(設定!$C$2,設定!$D$2,5))</f>
        <v/>
      </c>
      <c r="B1371" s="16">
        <f>IF($A1371="","",INDEX(設定!$O$6:$O$12,WEEKDAY($A1371,1)))</f>
        <v/>
      </c>
      <c r="C1371" s="16">
        <f>IF($A1371="","",助理班表!$A49)</f>
        <v/>
      </c>
      <c r="D1371" s="16">
        <f>IF($C1371="","",助理班表!$B49)</f>
        <v/>
      </c>
      <c r="E1371" s="16">
        <f>IF($C1371="","",助理班表!$D49)</f>
        <v/>
      </c>
      <c r="F1371" s="16">
        <f>IF($C1371="","",助理班表!$C49)</f>
        <v/>
      </c>
      <c r="G1371" s="16">
        <f>IF($C1371="","",助理班表!I49)</f>
        <v/>
      </c>
      <c r="H1371" s="83">
        <f>IF($G1371="","",IFERROR(IF(INDEX(設定!$D$6:$D$21,MATCH($G1371,設定!$B$6:$B$21,0))=0,"",INDEX(設定!$D$6:$D$21,MATCH($G1371,設定!$B$6:$B$21,0))),""))</f>
        <v/>
      </c>
      <c r="I1371" s="83">
        <f>IF($G1371="","",IFERROR(IF(INDEX(設定!$E$6:$E$21,MATCH($G1371,設定!$B$6:$B$21,0))=0,"",INDEX(設定!$E$6:$E$21,MATCH($G1371,設定!$B$6:$B$21,0))),""))</f>
        <v/>
      </c>
      <c r="J1371" s="83">
        <f>IFERROR(INDEX(打卡匯入!$C$3:$C$2002,MATCH($C1371&amp;"|"&amp;DAY($A1371),打卡匯入!$E$3:$E$2002,0)),"")</f>
        <v/>
      </c>
      <c r="K1371" s="83">
        <f>IFERROR(INDEX(打卡匯入!$D$3:$D$2002,MATCH($C1371&amp;"|"&amp;DAY($A1371),打卡匯入!$E$3:$E$2002,0)),"")</f>
        <v/>
      </c>
      <c r="L1371" s="84">
        <f>IF(OR($J1371="",$K1371=""),"",IFERROR(INDEX(設定!$F$6:$F$21,MATCH($G1371,設定!$B$6:$B$21,0)),0))</f>
        <v/>
      </c>
      <c r="M1371" s="85">
        <f>IF(OR($J1371="",$K1371=""),"",ROUND(($K1371-$J1371)*24-$L1371/60,2))</f>
        <v/>
      </c>
      <c r="N1371" s="16">
        <f>IF($C1371="","",IF(AND(COUNTIF(設定!$B$15:$B$21,$G1371)&gt;0,$J1371&lt;&gt;""),"假日出勤",IF(AND(COUNTIF(設定!$B$6:$B$14,$G1371)&gt;0,$J1371=""),"未打卡",IF($J1371="","",IF($O1371&gt;0,"遲到",IF($P1371&gt;0,"早退","正常"))))))</f>
        <v/>
      </c>
      <c r="O1371" s="84">
        <f>IF(OR($C1371="",$H1371="",$J1371=""),0,IF(ROUND(($J1371-$H1371)*1440,0)&gt;設定!$C$46,ROUND(($J1371-$H1371)*1440,0),0))</f>
        <v/>
      </c>
      <c r="P1371" s="84">
        <f>IF(OR($C1371="",$I1371="",$K1371=""),0,IF(ROUND(($I1371-$K1371)*1440,0)&gt;設定!$C$46,ROUND(($I1371-$K1371)*1440,0),0))</f>
        <v/>
      </c>
      <c r="Q1371" s="85">
        <f>IF($M1371="",0,IF(($M1371-IFERROR(INDEX(設定!$G$6:$G$21,MATCH($G1371,設定!$B$6:$B$21,0)),0))*60&gt;=設定!$C$44,ROUND(FLOOR(($M1371-IFERROR(INDEX(設定!$G$6:$G$21,MATCH($G1371,設定!$B$6:$B$21,0)),0))*60,設定!$C$45)/60,2),0))</f>
        <v/>
      </c>
      <c r="R1371" s="16">
        <f>IF(OR($C1371="",$Q1371=0),"",IF($G1371="國","國定假日",IF($B1371="日","例假",IF($B1371="六","休息日","平日"))))</f>
        <v/>
      </c>
      <c r="S1371" s="19" t="n"/>
    </row>
    <row r="1372">
      <c r="A1372" s="82">
        <f>IF(OR(助理班表!$A49="",6&gt;DAY(EOMONTH(DATE(設定!$C$2,設定!$D$2,1),0))),"",DATE(設定!$C$2,設定!$D$2,6))</f>
        <v/>
      </c>
      <c r="B1372" s="16">
        <f>IF($A1372="","",INDEX(設定!$O$6:$O$12,WEEKDAY($A1372,1)))</f>
        <v/>
      </c>
      <c r="C1372" s="16">
        <f>IF($A1372="","",助理班表!$A49)</f>
        <v/>
      </c>
      <c r="D1372" s="16">
        <f>IF($C1372="","",助理班表!$B49)</f>
        <v/>
      </c>
      <c r="E1372" s="16">
        <f>IF($C1372="","",助理班表!$D49)</f>
        <v/>
      </c>
      <c r="F1372" s="16">
        <f>IF($C1372="","",助理班表!$C49)</f>
        <v/>
      </c>
      <c r="G1372" s="16">
        <f>IF($C1372="","",助理班表!J49)</f>
        <v/>
      </c>
      <c r="H1372" s="83">
        <f>IF($G1372="","",IFERROR(IF(INDEX(設定!$D$6:$D$21,MATCH($G1372,設定!$B$6:$B$21,0))=0,"",INDEX(設定!$D$6:$D$21,MATCH($G1372,設定!$B$6:$B$21,0))),""))</f>
        <v/>
      </c>
      <c r="I1372" s="83">
        <f>IF($G1372="","",IFERROR(IF(INDEX(設定!$E$6:$E$21,MATCH($G1372,設定!$B$6:$B$21,0))=0,"",INDEX(設定!$E$6:$E$21,MATCH($G1372,設定!$B$6:$B$21,0))),""))</f>
        <v/>
      </c>
      <c r="J1372" s="83">
        <f>IFERROR(INDEX(打卡匯入!$C$3:$C$2002,MATCH($C1372&amp;"|"&amp;DAY($A1372),打卡匯入!$E$3:$E$2002,0)),"")</f>
        <v/>
      </c>
      <c r="K1372" s="83">
        <f>IFERROR(INDEX(打卡匯入!$D$3:$D$2002,MATCH($C1372&amp;"|"&amp;DAY($A1372),打卡匯入!$E$3:$E$2002,0)),"")</f>
        <v/>
      </c>
      <c r="L1372" s="84">
        <f>IF(OR($J1372="",$K1372=""),"",IFERROR(INDEX(設定!$F$6:$F$21,MATCH($G1372,設定!$B$6:$B$21,0)),0))</f>
        <v/>
      </c>
      <c r="M1372" s="85">
        <f>IF(OR($J1372="",$K1372=""),"",ROUND(($K1372-$J1372)*24-$L1372/60,2))</f>
        <v/>
      </c>
      <c r="N1372" s="16">
        <f>IF($C1372="","",IF(AND(COUNTIF(設定!$B$15:$B$21,$G1372)&gt;0,$J1372&lt;&gt;""),"假日出勤",IF(AND(COUNTIF(設定!$B$6:$B$14,$G1372)&gt;0,$J1372=""),"未打卡",IF($J1372="","",IF($O1372&gt;0,"遲到",IF($P1372&gt;0,"早退","正常"))))))</f>
        <v/>
      </c>
      <c r="O1372" s="84">
        <f>IF(OR($C1372="",$H1372="",$J1372=""),0,IF(ROUND(($J1372-$H1372)*1440,0)&gt;設定!$C$46,ROUND(($J1372-$H1372)*1440,0),0))</f>
        <v/>
      </c>
      <c r="P1372" s="84">
        <f>IF(OR($C1372="",$I1372="",$K1372=""),0,IF(ROUND(($I1372-$K1372)*1440,0)&gt;設定!$C$46,ROUND(($I1372-$K1372)*1440,0),0))</f>
        <v/>
      </c>
      <c r="Q1372" s="85">
        <f>IF($M1372="",0,IF(($M1372-IFERROR(INDEX(設定!$G$6:$G$21,MATCH($G1372,設定!$B$6:$B$21,0)),0))*60&gt;=設定!$C$44,ROUND(FLOOR(($M1372-IFERROR(INDEX(設定!$G$6:$G$21,MATCH($G1372,設定!$B$6:$B$21,0)),0))*60,設定!$C$45)/60,2),0))</f>
        <v/>
      </c>
      <c r="R1372" s="16">
        <f>IF(OR($C1372="",$Q1372=0),"",IF($G1372="國","國定假日",IF($B1372="日","例假",IF($B1372="六","休息日","平日"))))</f>
        <v/>
      </c>
      <c r="S1372" s="19" t="n"/>
    </row>
    <row r="1373">
      <c r="A1373" s="82">
        <f>IF(OR(助理班表!$A49="",7&gt;DAY(EOMONTH(DATE(設定!$C$2,設定!$D$2,1),0))),"",DATE(設定!$C$2,設定!$D$2,7))</f>
        <v/>
      </c>
      <c r="B1373" s="16">
        <f>IF($A1373="","",INDEX(設定!$O$6:$O$12,WEEKDAY($A1373,1)))</f>
        <v/>
      </c>
      <c r="C1373" s="16">
        <f>IF($A1373="","",助理班表!$A49)</f>
        <v/>
      </c>
      <c r="D1373" s="16">
        <f>IF($C1373="","",助理班表!$B49)</f>
        <v/>
      </c>
      <c r="E1373" s="16">
        <f>IF($C1373="","",助理班表!$D49)</f>
        <v/>
      </c>
      <c r="F1373" s="16">
        <f>IF($C1373="","",助理班表!$C49)</f>
        <v/>
      </c>
      <c r="G1373" s="16">
        <f>IF($C1373="","",助理班表!K49)</f>
        <v/>
      </c>
      <c r="H1373" s="83">
        <f>IF($G1373="","",IFERROR(IF(INDEX(設定!$D$6:$D$21,MATCH($G1373,設定!$B$6:$B$21,0))=0,"",INDEX(設定!$D$6:$D$21,MATCH($G1373,設定!$B$6:$B$21,0))),""))</f>
        <v/>
      </c>
      <c r="I1373" s="83">
        <f>IF($G1373="","",IFERROR(IF(INDEX(設定!$E$6:$E$21,MATCH($G1373,設定!$B$6:$B$21,0))=0,"",INDEX(設定!$E$6:$E$21,MATCH($G1373,設定!$B$6:$B$21,0))),""))</f>
        <v/>
      </c>
      <c r="J1373" s="83">
        <f>IFERROR(INDEX(打卡匯入!$C$3:$C$2002,MATCH($C1373&amp;"|"&amp;DAY($A1373),打卡匯入!$E$3:$E$2002,0)),"")</f>
        <v/>
      </c>
      <c r="K1373" s="83">
        <f>IFERROR(INDEX(打卡匯入!$D$3:$D$2002,MATCH($C1373&amp;"|"&amp;DAY($A1373),打卡匯入!$E$3:$E$2002,0)),"")</f>
        <v/>
      </c>
      <c r="L1373" s="84">
        <f>IF(OR($J1373="",$K1373=""),"",IFERROR(INDEX(設定!$F$6:$F$21,MATCH($G1373,設定!$B$6:$B$21,0)),0))</f>
        <v/>
      </c>
      <c r="M1373" s="85">
        <f>IF(OR($J1373="",$K1373=""),"",ROUND(($K1373-$J1373)*24-$L1373/60,2))</f>
        <v/>
      </c>
      <c r="N1373" s="16">
        <f>IF($C1373="","",IF(AND(COUNTIF(設定!$B$15:$B$21,$G1373)&gt;0,$J1373&lt;&gt;""),"假日出勤",IF(AND(COUNTIF(設定!$B$6:$B$14,$G1373)&gt;0,$J1373=""),"未打卡",IF($J1373="","",IF($O1373&gt;0,"遲到",IF($P1373&gt;0,"早退","正常"))))))</f>
        <v/>
      </c>
      <c r="O1373" s="84">
        <f>IF(OR($C1373="",$H1373="",$J1373=""),0,IF(ROUND(($J1373-$H1373)*1440,0)&gt;設定!$C$46,ROUND(($J1373-$H1373)*1440,0),0))</f>
        <v/>
      </c>
      <c r="P1373" s="84">
        <f>IF(OR($C1373="",$I1373="",$K1373=""),0,IF(ROUND(($I1373-$K1373)*1440,0)&gt;設定!$C$46,ROUND(($I1373-$K1373)*1440,0),0))</f>
        <v/>
      </c>
      <c r="Q1373" s="85">
        <f>IF($M1373="",0,IF(($M1373-IFERROR(INDEX(設定!$G$6:$G$21,MATCH($G1373,設定!$B$6:$B$21,0)),0))*60&gt;=設定!$C$44,ROUND(FLOOR(($M1373-IFERROR(INDEX(設定!$G$6:$G$21,MATCH($G1373,設定!$B$6:$B$21,0)),0))*60,設定!$C$45)/60,2),0))</f>
        <v/>
      </c>
      <c r="R1373" s="16">
        <f>IF(OR($C1373="",$Q1373=0),"",IF($G1373="國","國定假日",IF($B1373="日","例假",IF($B1373="六","休息日","平日"))))</f>
        <v/>
      </c>
      <c r="S1373" s="19" t="n"/>
    </row>
    <row r="1374">
      <c r="A1374" s="82">
        <f>IF(OR(助理班表!$A49="",8&gt;DAY(EOMONTH(DATE(設定!$C$2,設定!$D$2,1),0))),"",DATE(設定!$C$2,設定!$D$2,8))</f>
        <v/>
      </c>
      <c r="B1374" s="16">
        <f>IF($A1374="","",INDEX(設定!$O$6:$O$12,WEEKDAY($A1374,1)))</f>
        <v/>
      </c>
      <c r="C1374" s="16">
        <f>IF($A1374="","",助理班表!$A49)</f>
        <v/>
      </c>
      <c r="D1374" s="16">
        <f>IF($C1374="","",助理班表!$B49)</f>
        <v/>
      </c>
      <c r="E1374" s="16">
        <f>IF($C1374="","",助理班表!$D49)</f>
        <v/>
      </c>
      <c r="F1374" s="16">
        <f>IF($C1374="","",助理班表!$C49)</f>
        <v/>
      </c>
      <c r="G1374" s="16">
        <f>IF($C1374="","",助理班表!L49)</f>
        <v/>
      </c>
      <c r="H1374" s="83">
        <f>IF($G1374="","",IFERROR(IF(INDEX(設定!$D$6:$D$21,MATCH($G1374,設定!$B$6:$B$21,0))=0,"",INDEX(設定!$D$6:$D$21,MATCH($G1374,設定!$B$6:$B$21,0))),""))</f>
        <v/>
      </c>
      <c r="I1374" s="83">
        <f>IF($G1374="","",IFERROR(IF(INDEX(設定!$E$6:$E$21,MATCH($G1374,設定!$B$6:$B$21,0))=0,"",INDEX(設定!$E$6:$E$21,MATCH($G1374,設定!$B$6:$B$21,0))),""))</f>
        <v/>
      </c>
      <c r="J1374" s="83">
        <f>IFERROR(INDEX(打卡匯入!$C$3:$C$2002,MATCH($C1374&amp;"|"&amp;DAY($A1374),打卡匯入!$E$3:$E$2002,0)),"")</f>
        <v/>
      </c>
      <c r="K1374" s="83">
        <f>IFERROR(INDEX(打卡匯入!$D$3:$D$2002,MATCH($C1374&amp;"|"&amp;DAY($A1374),打卡匯入!$E$3:$E$2002,0)),"")</f>
        <v/>
      </c>
      <c r="L1374" s="84">
        <f>IF(OR($J1374="",$K1374=""),"",IFERROR(INDEX(設定!$F$6:$F$21,MATCH($G1374,設定!$B$6:$B$21,0)),0))</f>
        <v/>
      </c>
      <c r="M1374" s="85">
        <f>IF(OR($J1374="",$K1374=""),"",ROUND(($K1374-$J1374)*24-$L1374/60,2))</f>
        <v/>
      </c>
      <c r="N1374" s="16">
        <f>IF($C1374="","",IF(AND(COUNTIF(設定!$B$15:$B$21,$G1374)&gt;0,$J1374&lt;&gt;""),"假日出勤",IF(AND(COUNTIF(設定!$B$6:$B$14,$G1374)&gt;0,$J1374=""),"未打卡",IF($J1374="","",IF($O1374&gt;0,"遲到",IF($P1374&gt;0,"早退","正常"))))))</f>
        <v/>
      </c>
      <c r="O1374" s="84">
        <f>IF(OR($C1374="",$H1374="",$J1374=""),0,IF(ROUND(($J1374-$H1374)*1440,0)&gt;設定!$C$46,ROUND(($J1374-$H1374)*1440,0),0))</f>
        <v/>
      </c>
      <c r="P1374" s="84">
        <f>IF(OR($C1374="",$I1374="",$K1374=""),0,IF(ROUND(($I1374-$K1374)*1440,0)&gt;設定!$C$46,ROUND(($I1374-$K1374)*1440,0),0))</f>
        <v/>
      </c>
      <c r="Q1374" s="85">
        <f>IF($M1374="",0,IF(($M1374-IFERROR(INDEX(設定!$G$6:$G$21,MATCH($G1374,設定!$B$6:$B$21,0)),0))*60&gt;=設定!$C$44,ROUND(FLOOR(($M1374-IFERROR(INDEX(設定!$G$6:$G$21,MATCH($G1374,設定!$B$6:$B$21,0)),0))*60,設定!$C$45)/60,2),0))</f>
        <v/>
      </c>
      <c r="R1374" s="16">
        <f>IF(OR($C1374="",$Q1374=0),"",IF($G1374="國","國定假日",IF($B1374="日","例假",IF($B1374="六","休息日","平日"))))</f>
        <v/>
      </c>
      <c r="S1374" s="19" t="n"/>
    </row>
    <row r="1375">
      <c r="A1375" s="82">
        <f>IF(OR(助理班表!$A49="",9&gt;DAY(EOMONTH(DATE(設定!$C$2,設定!$D$2,1),0))),"",DATE(設定!$C$2,設定!$D$2,9))</f>
        <v/>
      </c>
      <c r="B1375" s="16">
        <f>IF($A1375="","",INDEX(設定!$O$6:$O$12,WEEKDAY($A1375,1)))</f>
        <v/>
      </c>
      <c r="C1375" s="16">
        <f>IF($A1375="","",助理班表!$A49)</f>
        <v/>
      </c>
      <c r="D1375" s="16">
        <f>IF($C1375="","",助理班表!$B49)</f>
        <v/>
      </c>
      <c r="E1375" s="16">
        <f>IF($C1375="","",助理班表!$D49)</f>
        <v/>
      </c>
      <c r="F1375" s="16">
        <f>IF($C1375="","",助理班表!$C49)</f>
        <v/>
      </c>
      <c r="G1375" s="16">
        <f>IF($C1375="","",助理班表!M49)</f>
        <v/>
      </c>
      <c r="H1375" s="83">
        <f>IF($G1375="","",IFERROR(IF(INDEX(設定!$D$6:$D$21,MATCH($G1375,設定!$B$6:$B$21,0))=0,"",INDEX(設定!$D$6:$D$21,MATCH($G1375,設定!$B$6:$B$21,0))),""))</f>
        <v/>
      </c>
      <c r="I1375" s="83">
        <f>IF($G1375="","",IFERROR(IF(INDEX(設定!$E$6:$E$21,MATCH($G1375,設定!$B$6:$B$21,0))=0,"",INDEX(設定!$E$6:$E$21,MATCH($G1375,設定!$B$6:$B$21,0))),""))</f>
        <v/>
      </c>
      <c r="J1375" s="83">
        <f>IFERROR(INDEX(打卡匯入!$C$3:$C$2002,MATCH($C1375&amp;"|"&amp;DAY($A1375),打卡匯入!$E$3:$E$2002,0)),"")</f>
        <v/>
      </c>
      <c r="K1375" s="83">
        <f>IFERROR(INDEX(打卡匯入!$D$3:$D$2002,MATCH($C1375&amp;"|"&amp;DAY($A1375),打卡匯入!$E$3:$E$2002,0)),"")</f>
        <v/>
      </c>
      <c r="L1375" s="84">
        <f>IF(OR($J1375="",$K1375=""),"",IFERROR(INDEX(設定!$F$6:$F$21,MATCH($G1375,設定!$B$6:$B$21,0)),0))</f>
        <v/>
      </c>
      <c r="M1375" s="85">
        <f>IF(OR($J1375="",$K1375=""),"",ROUND(($K1375-$J1375)*24-$L1375/60,2))</f>
        <v/>
      </c>
      <c r="N1375" s="16">
        <f>IF($C1375="","",IF(AND(COUNTIF(設定!$B$15:$B$21,$G1375)&gt;0,$J1375&lt;&gt;""),"假日出勤",IF(AND(COUNTIF(設定!$B$6:$B$14,$G1375)&gt;0,$J1375=""),"未打卡",IF($J1375="","",IF($O1375&gt;0,"遲到",IF($P1375&gt;0,"早退","正常"))))))</f>
        <v/>
      </c>
      <c r="O1375" s="84">
        <f>IF(OR($C1375="",$H1375="",$J1375=""),0,IF(ROUND(($J1375-$H1375)*1440,0)&gt;設定!$C$46,ROUND(($J1375-$H1375)*1440,0),0))</f>
        <v/>
      </c>
      <c r="P1375" s="84">
        <f>IF(OR($C1375="",$I1375="",$K1375=""),0,IF(ROUND(($I1375-$K1375)*1440,0)&gt;設定!$C$46,ROUND(($I1375-$K1375)*1440,0),0))</f>
        <v/>
      </c>
      <c r="Q1375" s="85">
        <f>IF($M1375="",0,IF(($M1375-IFERROR(INDEX(設定!$G$6:$G$21,MATCH($G1375,設定!$B$6:$B$21,0)),0))*60&gt;=設定!$C$44,ROUND(FLOOR(($M1375-IFERROR(INDEX(設定!$G$6:$G$21,MATCH($G1375,設定!$B$6:$B$21,0)),0))*60,設定!$C$45)/60,2),0))</f>
        <v/>
      </c>
      <c r="R1375" s="16">
        <f>IF(OR($C1375="",$Q1375=0),"",IF($G1375="國","國定假日",IF($B1375="日","例假",IF($B1375="六","休息日","平日"))))</f>
        <v/>
      </c>
      <c r="S1375" s="19" t="n"/>
    </row>
    <row r="1376">
      <c r="A1376" s="82">
        <f>IF(OR(助理班表!$A49="",10&gt;DAY(EOMONTH(DATE(設定!$C$2,設定!$D$2,1),0))),"",DATE(設定!$C$2,設定!$D$2,10))</f>
        <v/>
      </c>
      <c r="B1376" s="16">
        <f>IF($A1376="","",INDEX(設定!$O$6:$O$12,WEEKDAY($A1376,1)))</f>
        <v/>
      </c>
      <c r="C1376" s="16">
        <f>IF($A1376="","",助理班表!$A49)</f>
        <v/>
      </c>
      <c r="D1376" s="16">
        <f>IF($C1376="","",助理班表!$B49)</f>
        <v/>
      </c>
      <c r="E1376" s="16">
        <f>IF($C1376="","",助理班表!$D49)</f>
        <v/>
      </c>
      <c r="F1376" s="16">
        <f>IF($C1376="","",助理班表!$C49)</f>
        <v/>
      </c>
      <c r="G1376" s="16">
        <f>IF($C1376="","",助理班表!N49)</f>
        <v/>
      </c>
      <c r="H1376" s="83">
        <f>IF($G1376="","",IFERROR(IF(INDEX(設定!$D$6:$D$21,MATCH($G1376,設定!$B$6:$B$21,0))=0,"",INDEX(設定!$D$6:$D$21,MATCH($G1376,設定!$B$6:$B$21,0))),""))</f>
        <v/>
      </c>
      <c r="I1376" s="83">
        <f>IF($G1376="","",IFERROR(IF(INDEX(設定!$E$6:$E$21,MATCH($G1376,設定!$B$6:$B$21,0))=0,"",INDEX(設定!$E$6:$E$21,MATCH($G1376,設定!$B$6:$B$21,0))),""))</f>
        <v/>
      </c>
      <c r="J1376" s="83">
        <f>IFERROR(INDEX(打卡匯入!$C$3:$C$2002,MATCH($C1376&amp;"|"&amp;DAY($A1376),打卡匯入!$E$3:$E$2002,0)),"")</f>
        <v/>
      </c>
      <c r="K1376" s="83">
        <f>IFERROR(INDEX(打卡匯入!$D$3:$D$2002,MATCH($C1376&amp;"|"&amp;DAY($A1376),打卡匯入!$E$3:$E$2002,0)),"")</f>
        <v/>
      </c>
      <c r="L1376" s="84">
        <f>IF(OR($J1376="",$K1376=""),"",IFERROR(INDEX(設定!$F$6:$F$21,MATCH($G1376,設定!$B$6:$B$21,0)),0))</f>
        <v/>
      </c>
      <c r="M1376" s="85">
        <f>IF(OR($J1376="",$K1376=""),"",ROUND(($K1376-$J1376)*24-$L1376/60,2))</f>
        <v/>
      </c>
      <c r="N1376" s="16">
        <f>IF($C1376="","",IF(AND(COUNTIF(設定!$B$15:$B$21,$G1376)&gt;0,$J1376&lt;&gt;""),"假日出勤",IF(AND(COUNTIF(設定!$B$6:$B$14,$G1376)&gt;0,$J1376=""),"未打卡",IF($J1376="","",IF($O1376&gt;0,"遲到",IF($P1376&gt;0,"早退","正常"))))))</f>
        <v/>
      </c>
      <c r="O1376" s="84">
        <f>IF(OR($C1376="",$H1376="",$J1376=""),0,IF(ROUND(($J1376-$H1376)*1440,0)&gt;設定!$C$46,ROUND(($J1376-$H1376)*1440,0),0))</f>
        <v/>
      </c>
      <c r="P1376" s="84">
        <f>IF(OR($C1376="",$I1376="",$K1376=""),0,IF(ROUND(($I1376-$K1376)*1440,0)&gt;設定!$C$46,ROUND(($I1376-$K1376)*1440,0),0))</f>
        <v/>
      </c>
      <c r="Q1376" s="85">
        <f>IF($M1376="",0,IF(($M1376-IFERROR(INDEX(設定!$G$6:$G$21,MATCH($G1376,設定!$B$6:$B$21,0)),0))*60&gt;=設定!$C$44,ROUND(FLOOR(($M1376-IFERROR(INDEX(設定!$G$6:$G$21,MATCH($G1376,設定!$B$6:$B$21,0)),0))*60,設定!$C$45)/60,2),0))</f>
        <v/>
      </c>
      <c r="R1376" s="16">
        <f>IF(OR($C1376="",$Q1376=0),"",IF($G1376="國","國定假日",IF($B1376="日","例假",IF($B1376="六","休息日","平日"))))</f>
        <v/>
      </c>
      <c r="S1376" s="19" t="n"/>
    </row>
    <row r="1377">
      <c r="A1377" s="82">
        <f>IF(OR(助理班表!$A49="",11&gt;DAY(EOMONTH(DATE(設定!$C$2,設定!$D$2,1),0))),"",DATE(設定!$C$2,設定!$D$2,11))</f>
        <v/>
      </c>
      <c r="B1377" s="16">
        <f>IF($A1377="","",INDEX(設定!$O$6:$O$12,WEEKDAY($A1377,1)))</f>
        <v/>
      </c>
      <c r="C1377" s="16">
        <f>IF($A1377="","",助理班表!$A49)</f>
        <v/>
      </c>
      <c r="D1377" s="16">
        <f>IF($C1377="","",助理班表!$B49)</f>
        <v/>
      </c>
      <c r="E1377" s="16">
        <f>IF($C1377="","",助理班表!$D49)</f>
        <v/>
      </c>
      <c r="F1377" s="16">
        <f>IF($C1377="","",助理班表!$C49)</f>
        <v/>
      </c>
      <c r="G1377" s="16">
        <f>IF($C1377="","",助理班表!O49)</f>
        <v/>
      </c>
      <c r="H1377" s="83">
        <f>IF($G1377="","",IFERROR(IF(INDEX(設定!$D$6:$D$21,MATCH($G1377,設定!$B$6:$B$21,0))=0,"",INDEX(設定!$D$6:$D$21,MATCH($G1377,設定!$B$6:$B$21,0))),""))</f>
        <v/>
      </c>
      <c r="I1377" s="83">
        <f>IF($G1377="","",IFERROR(IF(INDEX(設定!$E$6:$E$21,MATCH($G1377,設定!$B$6:$B$21,0))=0,"",INDEX(設定!$E$6:$E$21,MATCH($G1377,設定!$B$6:$B$21,0))),""))</f>
        <v/>
      </c>
      <c r="J1377" s="83">
        <f>IFERROR(INDEX(打卡匯入!$C$3:$C$2002,MATCH($C1377&amp;"|"&amp;DAY($A1377),打卡匯入!$E$3:$E$2002,0)),"")</f>
        <v/>
      </c>
      <c r="K1377" s="83">
        <f>IFERROR(INDEX(打卡匯入!$D$3:$D$2002,MATCH($C1377&amp;"|"&amp;DAY($A1377),打卡匯入!$E$3:$E$2002,0)),"")</f>
        <v/>
      </c>
      <c r="L1377" s="84">
        <f>IF(OR($J1377="",$K1377=""),"",IFERROR(INDEX(設定!$F$6:$F$21,MATCH($G1377,設定!$B$6:$B$21,0)),0))</f>
        <v/>
      </c>
      <c r="M1377" s="85">
        <f>IF(OR($J1377="",$K1377=""),"",ROUND(($K1377-$J1377)*24-$L1377/60,2))</f>
        <v/>
      </c>
      <c r="N1377" s="16">
        <f>IF($C1377="","",IF(AND(COUNTIF(設定!$B$15:$B$21,$G1377)&gt;0,$J1377&lt;&gt;""),"假日出勤",IF(AND(COUNTIF(設定!$B$6:$B$14,$G1377)&gt;0,$J1377=""),"未打卡",IF($J1377="","",IF($O1377&gt;0,"遲到",IF($P1377&gt;0,"早退","正常"))))))</f>
        <v/>
      </c>
      <c r="O1377" s="84">
        <f>IF(OR($C1377="",$H1377="",$J1377=""),0,IF(ROUND(($J1377-$H1377)*1440,0)&gt;設定!$C$46,ROUND(($J1377-$H1377)*1440,0),0))</f>
        <v/>
      </c>
      <c r="P1377" s="84">
        <f>IF(OR($C1377="",$I1377="",$K1377=""),0,IF(ROUND(($I1377-$K1377)*1440,0)&gt;設定!$C$46,ROUND(($I1377-$K1377)*1440,0),0))</f>
        <v/>
      </c>
      <c r="Q1377" s="85">
        <f>IF($M1377="",0,IF(($M1377-IFERROR(INDEX(設定!$G$6:$G$21,MATCH($G1377,設定!$B$6:$B$21,0)),0))*60&gt;=設定!$C$44,ROUND(FLOOR(($M1377-IFERROR(INDEX(設定!$G$6:$G$21,MATCH($G1377,設定!$B$6:$B$21,0)),0))*60,設定!$C$45)/60,2),0))</f>
        <v/>
      </c>
      <c r="R1377" s="16">
        <f>IF(OR($C1377="",$Q1377=0),"",IF($G1377="國","國定假日",IF($B1377="日","例假",IF($B1377="六","休息日","平日"))))</f>
        <v/>
      </c>
      <c r="S1377" s="19" t="n"/>
    </row>
    <row r="1378">
      <c r="A1378" s="82">
        <f>IF(OR(助理班表!$A49="",12&gt;DAY(EOMONTH(DATE(設定!$C$2,設定!$D$2,1),0))),"",DATE(設定!$C$2,設定!$D$2,12))</f>
        <v/>
      </c>
      <c r="B1378" s="16">
        <f>IF($A1378="","",INDEX(設定!$O$6:$O$12,WEEKDAY($A1378,1)))</f>
        <v/>
      </c>
      <c r="C1378" s="16">
        <f>IF($A1378="","",助理班表!$A49)</f>
        <v/>
      </c>
      <c r="D1378" s="16">
        <f>IF($C1378="","",助理班表!$B49)</f>
        <v/>
      </c>
      <c r="E1378" s="16">
        <f>IF($C1378="","",助理班表!$D49)</f>
        <v/>
      </c>
      <c r="F1378" s="16">
        <f>IF($C1378="","",助理班表!$C49)</f>
        <v/>
      </c>
      <c r="G1378" s="16">
        <f>IF($C1378="","",助理班表!P49)</f>
        <v/>
      </c>
      <c r="H1378" s="83">
        <f>IF($G1378="","",IFERROR(IF(INDEX(設定!$D$6:$D$21,MATCH($G1378,設定!$B$6:$B$21,0))=0,"",INDEX(設定!$D$6:$D$21,MATCH($G1378,設定!$B$6:$B$21,0))),""))</f>
        <v/>
      </c>
      <c r="I1378" s="83">
        <f>IF($G1378="","",IFERROR(IF(INDEX(設定!$E$6:$E$21,MATCH($G1378,設定!$B$6:$B$21,0))=0,"",INDEX(設定!$E$6:$E$21,MATCH($G1378,設定!$B$6:$B$21,0))),""))</f>
        <v/>
      </c>
      <c r="J1378" s="83">
        <f>IFERROR(INDEX(打卡匯入!$C$3:$C$2002,MATCH($C1378&amp;"|"&amp;DAY($A1378),打卡匯入!$E$3:$E$2002,0)),"")</f>
        <v/>
      </c>
      <c r="K1378" s="83">
        <f>IFERROR(INDEX(打卡匯入!$D$3:$D$2002,MATCH($C1378&amp;"|"&amp;DAY($A1378),打卡匯入!$E$3:$E$2002,0)),"")</f>
        <v/>
      </c>
      <c r="L1378" s="84">
        <f>IF(OR($J1378="",$K1378=""),"",IFERROR(INDEX(設定!$F$6:$F$21,MATCH($G1378,設定!$B$6:$B$21,0)),0))</f>
        <v/>
      </c>
      <c r="M1378" s="85">
        <f>IF(OR($J1378="",$K1378=""),"",ROUND(($K1378-$J1378)*24-$L1378/60,2))</f>
        <v/>
      </c>
      <c r="N1378" s="16">
        <f>IF($C1378="","",IF(AND(COUNTIF(設定!$B$15:$B$21,$G1378)&gt;0,$J1378&lt;&gt;""),"假日出勤",IF(AND(COUNTIF(設定!$B$6:$B$14,$G1378)&gt;0,$J1378=""),"未打卡",IF($J1378="","",IF($O1378&gt;0,"遲到",IF($P1378&gt;0,"早退","正常"))))))</f>
        <v/>
      </c>
      <c r="O1378" s="84">
        <f>IF(OR($C1378="",$H1378="",$J1378=""),0,IF(ROUND(($J1378-$H1378)*1440,0)&gt;設定!$C$46,ROUND(($J1378-$H1378)*1440,0),0))</f>
        <v/>
      </c>
      <c r="P1378" s="84">
        <f>IF(OR($C1378="",$I1378="",$K1378=""),0,IF(ROUND(($I1378-$K1378)*1440,0)&gt;設定!$C$46,ROUND(($I1378-$K1378)*1440,0),0))</f>
        <v/>
      </c>
      <c r="Q1378" s="85">
        <f>IF($M1378="",0,IF(($M1378-IFERROR(INDEX(設定!$G$6:$G$21,MATCH($G1378,設定!$B$6:$B$21,0)),0))*60&gt;=設定!$C$44,ROUND(FLOOR(($M1378-IFERROR(INDEX(設定!$G$6:$G$21,MATCH($G1378,設定!$B$6:$B$21,0)),0))*60,設定!$C$45)/60,2),0))</f>
        <v/>
      </c>
      <c r="R1378" s="16">
        <f>IF(OR($C1378="",$Q1378=0),"",IF($G1378="國","國定假日",IF($B1378="日","例假",IF($B1378="六","休息日","平日"))))</f>
        <v/>
      </c>
      <c r="S1378" s="19" t="n"/>
    </row>
    <row r="1379">
      <c r="A1379" s="82">
        <f>IF(OR(助理班表!$A49="",13&gt;DAY(EOMONTH(DATE(設定!$C$2,設定!$D$2,1),0))),"",DATE(設定!$C$2,設定!$D$2,13))</f>
        <v/>
      </c>
      <c r="B1379" s="16">
        <f>IF($A1379="","",INDEX(設定!$O$6:$O$12,WEEKDAY($A1379,1)))</f>
        <v/>
      </c>
      <c r="C1379" s="16">
        <f>IF($A1379="","",助理班表!$A49)</f>
        <v/>
      </c>
      <c r="D1379" s="16">
        <f>IF($C1379="","",助理班表!$B49)</f>
        <v/>
      </c>
      <c r="E1379" s="16">
        <f>IF($C1379="","",助理班表!$D49)</f>
        <v/>
      </c>
      <c r="F1379" s="16">
        <f>IF($C1379="","",助理班表!$C49)</f>
        <v/>
      </c>
      <c r="G1379" s="16">
        <f>IF($C1379="","",助理班表!Q49)</f>
        <v/>
      </c>
      <c r="H1379" s="83">
        <f>IF($G1379="","",IFERROR(IF(INDEX(設定!$D$6:$D$21,MATCH($G1379,設定!$B$6:$B$21,0))=0,"",INDEX(設定!$D$6:$D$21,MATCH($G1379,設定!$B$6:$B$21,0))),""))</f>
        <v/>
      </c>
      <c r="I1379" s="83">
        <f>IF($G1379="","",IFERROR(IF(INDEX(設定!$E$6:$E$21,MATCH($G1379,設定!$B$6:$B$21,0))=0,"",INDEX(設定!$E$6:$E$21,MATCH($G1379,設定!$B$6:$B$21,0))),""))</f>
        <v/>
      </c>
      <c r="J1379" s="83">
        <f>IFERROR(INDEX(打卡匯入!$C$3:$C$2002,MATCH($C1379&amp;"|"&amp;DAY($A1379),打卡匯入!$E$3:$E$2002,0)),"")</f>
        <v/>
      </c>
      <c r="K1379" s="83">
        <f>IFERROR(INDEX(打卡匯入!$D$3:$D$2002,MATCH($C1379&amp;"|"&amp;DAY($A1379),打卡匯入!$E$3:$E$2002,0)),"")</f>
        <v/>
      </c>
      <c r="L1379" s="84">
        <f>IF(OR($J1379="",$K1379=""),"",IFERROR(INDEX(設定!$F$6:$F$21,MATCH($G1379,設定!$B$6:$B$21,0)),0))</f>
        <v/>
      </c>
      <c r="M1379" s="85">
        <f>IF(OR($J1379="",$K1379=""),"",ROUND(($K1379-$J1379)*24-$L1379/60,2))</f>
        <v/>
      </c>
      <c r="N1379" s="16">
        <f>IF($C1379="","",IF(AND(COUNTIF(設定!$B$15:$B$21,$G1379)&gt;0,$J1379&lt;&gt;""),"假日出勤",IF(AND(COUNTIF(設定!$B$6:$B$14,$G1379)&gt;0,$J1379=""),"未打卡",IF($J1379="","",IF($O1379&gt;0,"遲到",IF($P1379&gt;0,"早退","正常"))))))</f>
        <v/>
      </c>
      <c r="O1379" s="84">
        <f>IF(OR($C1379="",$H1379="",$J1379=""),0,IF(ROUND(($J1379-$H1379)*1440,0)&gt;設定!$C$46,ROUND(($J1379-$H1379)*1440,0),0))</f>
        <v/>
      </c>
      <c r="P1379" s="84">
        <f>IF(OR($C1379="",$I1379="",$K1379=""),0,IF(ROUND(($I1379-$K1379)*1440,0)&gt;設定!$C$46,ROUND(($I1379-$K1379)*1440,0),0))</f>
        <v/>
      </c>
      <c r="Q1379" s="85">
        <f>IF($M1379="",0,IF(($M1379-IFERROR(INDEX(設定!$G$6:$G$21,MATCH($G1379,設定!$B$6:$B$21,0)),0))*60&gt;=設定!$C$44,ROUND(FLOOR(($M1379-IFERROR(INDEX(設定!$G$6:$G$21,MATCH($G1379,設定!$B$6:$B$21,0)),0))*60,設定!$C$45)/60,2),0))</f>
        <v/>
      </c>
      <c r="R1379" s="16">
        <f>IF(OR($C1379="",$Q1379=0),"",IF($G1379="國","國定假日",IF($B1379="日","例假",IF($B1379="六","休息日","平日"))))</f>
        <v/>
      </c>
      <c r="S1379" s="19" t="n"/>
    </row>
    <row r="1380">
      <c r="A1380" s="82">
        <f>IF(OR(助理班表!$A49="",14&gt;DAY(EOMONTH(DATE(設定!$C$2,設定!$D$2,1),0))),"",DATE(設定!$C$2,設定!$D$2,14))</f>
        <v/>
      </c>
      <c r="B1380" s="16">
        <f>IF($A1380="","",INDEX(設定!$O$6:$O$12,WEEKDAY($A1380,1)))</f>
        <v/>
      </c>
      <c r="C1380" s="16">
        <f>IF($A1380="","",助理班表!$A49)</f>
        <v/>
      </c>
      <c r="D1380" s="16">
        <f>IF($C1380="","",助理班表!$B49)</f>
        <v/>
      </c>
      <c r="E1380" s="16">
        <f>IF($C1380="","",助理班表!$D49)</f>
        <v/>
      </c>
      <c r="F1380" s="16">
        <f>IF($C1380="","",助理班表!$C49)</f>
        <v/>
      </c>
      <c r="G1380" s="16">
        <f>IF($C1380="","",助理班表!R49)</f>
        <v/>
      </c>
      <c r="H1380" s="83">
        <f>IF($G1380="","",IFERROR(IF(INDEX(設定!$D$6:$D$21,MATCH($G1380,設定!$B$6:$B$21,0))=0,"",INDEX(設定!$D$6:$D$21,MATCH($G1380,設定!$B$6:$B$21,0))),""))</f>
        <v/>
      </c>
      <c r="I1380" s="83">
        <f>IF($G1380="","",IFERROR(IF(INDEX(設定!$E$6:$E$21,MATCH($G1380,設定!$B$6:$B$21,0))=0,"",INDEX(設定!$E$6:$E$21,MATCH($G1380,設定!$B$6:$B$21,0))),""))</f>
        <v/>
      </c>
      <c r="J1380" s="83">
        <f>IFERROR(INDEX(打卡匯入!$C$3:$C$2002,MATCH($C1380&amp;"|"&amp;DAY($A1380),打卡匯入!$E$3:$E$2002,0)),"")</f>
        <v/>
      </c>
      <c r="K1380" s="83">
        <f>IFERROR(INDEX(打卡匯入!$D$3:$D$2002,MATCH($C1380&amp;"|"&amp;DAY($A1380),打卡匯入!$E$3:$E$2002,0)),"")</f>
        <v/>
      </c>
      <c r="L1380" s="84">
        <f>IF(OR($J1380="",$K1380=""),"",IFERROR(INDEX(設定!$F$6:$F$21,MATCH($G1380,設定!$B$6:$B$21,0)),0))</f>
        <v/>
      </c>
      <c r="M1380" s="85">
        <f>IF(OR($J1380="",$K1380=""),"",ROUND(($K1380-$J1380)*24-$L1380/60,2))</f>
        <v/>
      </c>
      <c r="N1380" s="16">
        <f>IF($C1380="","",IF(AND(COUNTIF(設定!$B$15:$B$21,$G1380)&gt;0,$J1380&lt;&gt;""),"假日出勤",IF(AND(COUNTIF(設定!$B$6:$B$14,$G1380)&gt;0,$J1380=""),"未打卡",IF($J1380="","",IF($O1380&gt;0,"遲到",IF($P1380&gt;0,"早退","正常"))))))</f>
        <v/>
      </c>
      <c r="O1380" s="84">
        <f>IF(OR($C1380="",$H1380="",$J1380=""),0,IF(ROUND(($J1380-$H1380)*1440,0)&gt;設定!$C$46,ROUND(($J1380-$H1380)*1440,0),0))</f>
        <v/>
      </c>
      <c r="P1380" s="84">
        <f>IF(OR($C1380="",$I1380="",$K1380=""),0,IF(ROUND(($I1380-$K1380)*1440,0)&gt;設定!$C$46,ROUND(($I1380-$K1380)*1440,0),0))</f>
        <v/>
      </c>
      <c r="Q1380" s="85">
        <f>IF($M1380="",0,IF(($M1380-IFERROR(INDEX(設定!$G$6:$G$21,MATCH($G1380,設定!$B$6:$B$21,0)),0))*60&gt;=設定!$C$44,ROUND(FLOOR(($M1380-IFERROR(INDEX(設定!$G$6:$G$21,MATCH($G1380,設定!$B$6:$B$21,0)),0))*60,設定!$C$45)/60,2),0))</f>
        <v/>
      </c>
      <c r="R1380" s="16">
        <f>IF(OR($C1380="",$Q1380=0),"",IF($G1380="國","國定假日",IF($B1380="日","例假",IF($B1380="六","休息日","平日"))))</f>
        <v/>
      </c>
      <c r="S1380" s="19" t="n"/>
    </row>
    <row r="1381">
      <c r="A1381" s="82">
        <f>IF(OR(助理班表!$A49="",15&gt;DAY(EOMONTH(DATE(設定!$C$2,設定!$D$2,1),0))),"",DATE(設定!$C$2,設定!$D$2,15))</f>
        <v/>
      </c>
      <c r="B1381" s="16">
        <f>IF($A1381="","",INDEX(設定!$O$6:$O$12,WEEKDAY($A1381,1)))</f>
        <v/>
      </c>
      <c r="C1381" s="16">
        <f>IF($A1381="","",助理班表!$A49)</f>
        <v/>
      </c>
      <c r="D1381" s="16">
        <f>IF($C1381="","",助理班表!$B49)</f>
        <v/>
      </c>
      <c r="E1381" s="16">
        <f>IF($C1381="","",助理班表!$D49)</f>
        <v/>
      </c>
      <c r="F1381" s="16">
        <f>IF($C1381="","",助理班表!$C49)</f>
        <v/>
      </c>
      <c r="G1381" s="16">
        <f>IF($C1381="","",助理班表!S49)</f>
        <v/>
      </c>
      <c r="H1381" s="83">
        <f>IF($G1381="","",IFERROR(IF(INDEX(設定!$D$6:$D$21,MATCH($G1381,設定!$B$6:$B$21,0))=0,"",INDEX(設定!$D$6:$D$21,MATCH($G1381,設定!$B$6:$B$21,0))),""))</f>
        <v/>
      </c>
      <c r="I1381" s="83">
        <f>IF($G1381="","",IFERROR(IF(INDEX(設定!$E$6:$E$21,MATCH($G1381,設定!$B$6:$B$21,0))=0,"",INDEX(設定!$E$6:$E$21,MATCH($G1381,設定!$B$6:$B$21,0))),""))</f>
        <v/>
      </c>
      <c r="J1381" s="83">
        <f>IFERROR(INDEX(打卡匯入!$C$3:$C$2002,MATCH($C1381&amp;"|"&amp;DAY($A1381),打卡匯入!$E$3:$E$2002,0)),"")</f>
        <v/>
      </c>
      <c r="K1381" s="83">
        <f>IFERROR(INDEX(打卡匯入!$D$3:$D$2002,MATCH($C1381&amp;"|"&amp;DAY($A1381),打卡匯入!$E$3:$E$2002,0)),"")</f>
        <v/>
      </c>
      <c r="L1381" s="84">
        <f>IF(OR($J1381="",$K1381=""),"",IFERROR(INDEX(設定!$F$6:$F$21,MATCH($G1381,設定!$B$6:$B$21,0)),0))</f>
        <v/>
      </c>
      <c r="M1381" s="85">
        <f>IF(OR($J1381="",$K1381=""),"",ROUND(($K1381-$J1381)*24-$L1381/60,2))</f>
        <v/>
      </c>
      <c r="N1381" s="16">
        <f>IF($C1381="","",IF(AND(COUNTIF(設定!$B$15:$B$21,$G1381)&gt;0,$J1381&lt;&gt;""),"假日出勤",IF(AND(COUNTIF(設定!$B$6:$B$14,$G1381)&gt;0,$J1381=""),"未打卡",IF($J1381="","",IF($O1381&gt;0,"遲到",IF($P1381&gt;0,"早退","正常"))))))</f>
        <v/>
      </c>
      <c r="O1381" s="84">
        <f>IF(OR($C1381="",$H1381="",$J1381=""),0,IF(ROUND(($J1381-$H1381)*1440,0)&gt;設定!$C$46,ROUND(($J1381-$H1381)*1440,0),0))</f>
        <v/>
      </c>
      <c r="P1381" s="84">
        <f>IF(OR($C1381="",$I1381="",$K1381=""),0,IF(ROUND(($I1381-$K1381)*1440,0)&gt;設定!$C$46,ROUND(($I1381-$K1381)*1440,0),0))</f>
        <v/>
      </c>
      <c r="Q1381" s="85">
        <f>IF($M1381="",0,IF(($M1381-IFERROR(INDEX(設定!$G$6:$G$21,MATCH($G1381,設定!$B$6:$B$21,0)),0))*60&gt;=設定!$C$44,ROUND(FLOOR(($M1381-IFERROR(INDEX(設定!$G$6:$G$21,MATCH($G1381,設定!$B$6:$B$21,0)),0))*60,設定!$C$45)/60,2),0))</f>
        <v/>
      </c>
      <c r="R1381" s="16">
        <f>IF(OR($C1381="",$Q1381=0),"",IF($G1381="國","國定假日",IF($B1381="日","例假",IF($B1381="六","休息日","平日"))))</f>
        <v/>
      </c>
      <c r="S1381" s="19" t="n"/>
    </row>
    <row r="1382">
      <c r="A1382" s="82">
        <f>IF(OR(助理班表!$A49="",16&gt;DAY(EOMONTH(DATE(設定!$C$2,設定!$D$2,1),0))),"",DATE(設定!$C$2,設定!$D$2,16))</f>
        <v/>
      </c>
      <c r="B1382" s="16">
        <f>IF($A1382="","",INDEX(設定!$O$6:$O$12,WEEKDAY($A1382,1)))</f>
        <v/>
      </c>
      <c r="C1382" s="16">
        <f>IF($A1382="","",助理班表!$A49)</f>
        <v/>
      </c>
      <c r="D1382" s="16">
        <f>IF($C1382="","",助理班表!$B49)</f>
        <v/>
      </c>
      <c r="E1382" s="16">
        <f>IF($C1382="","",助理班表!$D49)</f>
        <v/>
      </c>
      <c r="F1382" s="16">
        <f>IF($C1382="","",助理班表!$C49)</f>
        <v/>
      </c>
      <c r="G1382" s="16">
        <f>IF($C1382="","",助理班表!T49)</f>
        <v/>
      </c>
      <c r="H1382" s="83">
        <f>IF($G1382="","",IFERROR(IF(INDEX(設定!$D$6:$D$21,MATCH($G1382,設定!$B$6:$B$21,0))=0,"",INDEX(設定!$D$6:$D$21,MATCH($G1382,設定!$B$6:$B$21,0))),""))</f>
        <v/>
      </c>
      <c r="I1382" s="83">
        <f>IF($G1382="","",IFERROR(IF(INDEX(設定!$E$6:$E$21,MATCH($G1382,設定!$B$6:$B$21,0))=0,"",INDEX(設定!$E$6:$E$21,MATCH($G1382,設定!$B$6:$B$21,0))),""))</f>
        <v/>
      </c>
      <c r="J1382" s="83">
        <f>IFERROR(INDEX(打卡匯入!$C$3:$C$2002,MATCH($C1382&amp;"|"&amp;DAY($A1382),打卡匯入!$E$3:$E$2002,0)),"")</f>
        <v/>
      </c>
      <c r="K1382" s="83">
        <f>IFERROR(INDEX(打卡匯入!$D$3:$D$2002,MATCH($C1382&amp;"|"&amp;DAY($A1382),打卡匯入!$E$3:$E$2002,0)),"")</f>
        <v/>
      </c>
      <c r="L1382" s="84">
        <f>IF(OR($J1382="",$K1382=""),"",IFERROR(INDEX(設定!$F$6:$F$21,MATCH($G1382,設定!$B$6:$B$21,0)),0))</f>
        <v/>
      </c>
      <c r="M1382" s="85">
        <f>IF(OR($J1382="",$K1382=""),"",ROUND(($K1382-$J1382)*24-$L1382/60,2))</f>
        <v/>
      </c>
      <c r="N1382" s="16">
        <f>IF($C1382="","",IF(AND(COUNTIF(設定!$B$15:$B$21,$G1382)&gt;0,$J1382&lt;&gt;""),"假日出勤",IF(AND(COUNTIF(設定!$B$6:$B$14,$G1382)&gt;0,$J1382=""),"未打卡",IF($J1382="","",IF($O1382&gt;0,"遲到",IF($P1382&gt;0,"早退","正常"))))))</f>
        <v/>
      </c>
      <c r="O1382" s="84">
        <f>IF(OR($C1382="",$H1382="",$J1382=""),0,IF(ROUND(($J1382-$H1382)*1440,0)&gt;設定!$C$46,ROUND(($J1382-$H1382)*1440,0),0))</f>
        <v/>
      </c>
      <c r="P1382" s="84">
        <f>IF(OR($C1382="",$I1382="",$K1382=""),0,IF(ROUND(($I1382-$K1382)*1440,0)&gt;設定!$C$46,ROUND(($I1382-$K1382)*1440,0),0))</f>
        <v/>
      </c>
      <c r="Q1382" s="85">
        <f>IF($M1382="",0,IF(($M1382-IFERROR(INDEX(設定!$G$6:$G$21,MATCH($G1382,設定!$B$6:$B$21,0)),0))*60&gt;=設定!$C$44,ROUND(FLOOR(($M1382-IFERROR(INDEX(設定!$G$6:$G$21,MATCH($G1382,設定!$B$6:$B$21,0)),0))*60,設定!$C$45)/60,2),0))</f>
        <v/>
      </c>
      <c r="R1382" s="16">
        <f>IF(OR($C1382="",$Q1382=0),"",IF($G1382="國","國定假日",IF($B1382="日","例假",IF($B1382="六","休息日","平日"))))</f>
        <v/>
      </c>
      <c r="S1382" s="19" t="n"/>
    </row>
    <row r="1383">
      <c r="A1383" s="82">
        <f>IF(OR(助理班表!$A49="",17&gt;DAY(EOMONTH(DATE(設定!$C$2,設定!$D$2,1),0))),"",DATE(設定!$C$2,設定!$D$2,17))</f>
        <v/>
      </c>
      <c r="B1383" s="16">
        <f>IF($A1383="","",INDEX(設定!$O$6:$O$12,WEEKDAY($A1383,1)))</f>
        <v/>
      </c>
      <c r="C1383" s="16">
        <f>IF($A1383="","",助理班表!$A49)</f>
        <v/>
      </c>
      <c r="D1383" s="16">
        <f>IF($C1383="","",助理班表!$B49)</f>
        <v/>
      </c>
      <c r="E1383" s="16">
        <f>IF($C1383="","",助理班表!$D49)</f>
        <v/>
      </c>
      <c r="F1383" s="16">
        <f>IF($C1383="","",助理班表!$C49)</f>
        <v/>
      </c>
      <c r="G1383" s="16">
        <f>IF($C1383="","",助理班表!U49)</f>
        <v/>
      </c>
      <c r="H1383" s="83">
        <f>IF($G1383="","",IFERROR(IF(INDEX(設定!$D$6:$D$21,MATCH($G1383,設定!$B$6:$B$21,0))=0,"",INDEX(設定!$D$6:$D$21,MATCH($G1383,設定!$B$6:$B$21,0))),""))</f>
        <v/>
      </c>
      <c r="I1383" s="83">
        <f>IF($G1383="","",IFERROR(IF(INDEX(設定!$E$6:$E$21,MATCH($G1383,設定!$B$6:$B$21,0))=0,"",INDEX(設定!$E$6:$E$21,MATCH($G1383,設定!$B$6:$B$21,0))),""))</f>
        <v/>
      </c>
      <c r="J1383" s="83">
        <f>IFERROR(INDEX(打卡匯入!$C$3:$C$2002,MATCH($C1383&amp;"|"&amp;DAY($A1383),打卡匯入!$E$3:$E$2002,0)),"")</f>
        <v/>
      </c>
      <c r="K1383" s="83">
        <f>IFERROR(INDEX(打卡匯入!$D$3:$D$2002,MATCH($C1383&amp;"|"&amp;DAY($A1383),打卡匯入!$E$3:$E$2002,0)),"")</f>
        <v/>
      </c>
      <c r="L1383" s="84">
        <f>IF(OR($J1383="",$K1383=""),"",IFERROR(INDEX(設定!$F$6:$F$21,MATCH($G1383,設定!$B$6:$B$21,0)),0))</f>
        <v/>
      </c>
      <c r="M1383" s="85">
        <f>IF(OR($J1383="",$K1383=""),"",ROUND(($K1383-$J1383)*24-$L1383/60,2))</f>
        <v/>
      </c>
      <c r="N1383" s="16">
        <f>IF($C1383="","",IF(AND(COUNTIF(設定!$B$15:$B$21,$G1383)&gt;0,$J1383&lt;&gt;""),"假日出勤",IF(AND(COUNTIF(設定!$B$6:$B$14,$G1383)&gt;0,$J1383=""),"未打卡",IF($J1383="","",IF($O1383&gt;0,"遲到",IF($P1383&gt;0,"早退","正常"))))))</f>
        <v/>
      </c>
      <c r="O1383" s="84">
        <f>IF(OR($C1383="",$H1383="",$J1383=""),0,IF(ROUND(($J1383-$H1383)*1440,0)&gt;設定!$C$46,ROUND(($J1383-$H1383)*1440,0),0))</f>
        <v/>
      </c>
      <c r="P1383" s="84">
        <f>IF(OR($C1383="",$I1383="",$K1383=""),0,IF(ROUND(($I1383-$K1383)*1440,0)&gt;設定!$C$46,ROUND(($I1383-$K1383)*1440,0),0))</f>
        <v/>
      </c>
      <c r="Q1383" s="85">
        <f>IF($M1383="",0,IF(($M1383-IFERROR(INDEX(設定!$G$6:$G$21,MATCH($G1383,設定!$B$6:$B$21,0)),0))*60&gt;=設定!$C$44,ROUND(FLOOR(($M1383-IFERROR(INDEX(設定!$G$6:$G$21,MATCH($G1383,設定!$B$6:$B$21,0)),0))*60,設定!$C$45)/60,2),0))</f>
        <v/>
      </c>
      <c r="R1383" s="16">
        <f>IF(OR($C1383="",$Q1383=0),"",IF($G1383="國","國定假日",IF($B1383="日","例假",IF($B1383="六","休息日","平日"))))</f>
        <v/>
      </c>
      <c r="S1383" s="19" t="n"/>
    </row>
    <row r="1384">
      <c r="A1384" s="82">
        <f>IF(OR(助理班表!$A49="",18&gt;DAY(EOMONTH(DATE(設定!$C$2,設定!$D$2,1),0))),"",DATE(設定!$C$2,設定!$D$2,18))</f>
        <v/>
      </c>
      <c r="B1384" s="16">
        <f>IF($A1384="","",INDEX(設定!$O$6:$O$12,WEEKDAY($A1384,1)))</f>
        <v/>
      </c>
      <c r="C1384" s="16">
        <f>IF($A1384="","",助理班表!$A49)</f>
        <v/>
      </c>
      <c r="D1384" s="16">
        <f>IF($C1384="","",助理班表!$B49)</f>
        <v/>
      </c>
      <c r="E1384" s="16">
        <f>IF($C1384="","",助理班表!$D49)</f>
        <v/>
      </c>
      <c r="F1384" s="16">
        <f>IF($C1384="","",助理班表!$C49)</f>
        <v/>
      </c>
      <c r="G1384" s="16">
        <f>IF($C1384="","",助理班表!V49)</f>
        <v/>
      </c>
      <c r="H1384" s="83">
        <f>IF($G1384="","",IFERROR(IF(INDEX(設定!$D$6:$D$21,MATCH($G1384,設定!$B$6:$B$21,0))=0,"",INDEX(設定!$D$6:$D$21,MATCH($G1384,設定!$B$6:$B$21,0))),""))</f>
        <v/>
      </c>
      <c r="I1384" s="83">
        <f>IF($G1384="","",IFERROR(IF(INDEX(設定!$E$6:$E$21,MATCH($G1384,設定!$B$6:$B$21,0))=0,"",INDEX(設定!$E$6:$E$21,MATCH($G1384,設定!$B$6:$B$21,0))),""))</f>
        <v/>
      </c>
      <c r="J1384" s="83">
        <f>IFERROR(INDEX(打卡匯入!$C$3:$C$2002,MATCH($C1384&amp;"|"&amp;DAY($A1384),打卡匯入!$E$3:$E$2002,0)),"")</f>
        <v/>
      </c>
      <c r="K1384" s="83">
        <f>IFERROR(INDEX(打卡匯入!$D$3:$D$2002,MATCH($C1384&amp;"|"&amp;DAY($A1384),打卡匯入!$E$3:$E$2002,0)),"")</f>
        <v/>
      </c>
      <c r="L1384" s="84">
        <f>IF(OR($J1384="",$K1384=""),"",IFERROR(INDEX(設定!$F$6:$F$21,MATCH($G1384,設定!$B$6:$B$21,0)),0))</f>
        <v/>
      </c>
      <c r="M1384" s="85">
        <f>IF(OR($J1384="",$K1384=""),"",ROUND(($K1384-$J1384)*24-$L1384/60,2))</f>
        <v/>
      </c>
      <c r="N1384" s="16">
        <f>IF($C1384="","",IF(AND(COUNTIF(設定!$B$15:$B$21,$G1384)&gt;0,$J1384&lt;&gt;""),"假日出勤",IF(AND(COUNTIF(設定!$B$6:$B$14,$G1384)&gt;0,$J1384=""),"未打卡",IF($J1384="","",IF($O1384&gt;0,"遲到",IF($P1384&gt;0,"早退","正常"))))))</f>
        <v/>
      </c>
      <c r="O1384" s="84">
        <f>IF(OR($C1384="",$H1384="",$J1384=""),0,IF(ROUND(($J1384-$H1384)*1440,0)&gt;設定!$C$46,ROUND(($J1384-$H1384)*1440,0),0))</f>
        <v/>
      </c>
      <c r="P1384" s="84">
        <f>IF(OR($C1384="",$I1384="",$K1384=""),0,IF(ROUND(($I1384-$K1384)*1440,0)&gt;設定!$C$46,ROUND(($I1384-$K1384)*1440,0),0))</f>
        <v/>
      </c>
      <c r="Q1384" s="85">
        <f>IF($M1384="",0,IF(($M1384-IFERROR(INDEX(設定!$G$6:$G$21,MATCH($G1384,設定!$B$6:$B$21,0)),0))*60&gt;=設定!$C$44,ROUND(FLOOR(($M1384-IFERROR(INDEX(設定!$G$6:$G$21,MATCH($G1384,設定!$B$6:$B$21,0)),0))*60,設定!$C$45)/60,2),0))</f>
        <v/>
      </c>
      <c r="R1384" s="16">
        <f>IF(OR($C1384="",$Q1384=0),"",IF($G1384="國","國定假日",IF($B1384="日","例假",IF($B1384="六","休息日","平日"))))</f>
        <v/>
      </c>
      <c r="S1384" s="19" t="n"/>
    </row>
    <row r="1385">
      <c r="A1385" s="82">
        <f>IF(OR(助理班表!$A49="",19&gt;DAY(EOMONTH(DATE(設定!$C$2,設定!$D$2,1),0))),"",DATE(設定!$C$2,設定!$D$2,19))</f>
        <v/>
      </c>
      <c r="B1385" s="16">
        <f>IF($A1385="","",INDEX(設定!$O$6:$O$12,WEEKDAY($A1385,1)))</f>
        <v/>
      </c>
      <c r="C1385" s="16">
        <f>IF($A1385="","",助理班表!$A49)</f>
        <v/>
      </c>
      <c r="D1385" s="16">
        <f>IF($C1385="","",助理班表!$B49)</f>
        <v/>
      </c>
      <c r="E1385" s="16">
        <f>IF($C1385="","",助理班表!$D49)</f>
        <v/>
      </c>
      <c r="F1385" s="16">
        <f>IF($C1385="","",助理班表!$C49)</f>
        <v/>
      </c>
      <c r="G1385" s="16">
        <f>IF($C1385="","",助理班表!W49)</f>
        <v/>
      </c>
      <c r="H1385" s="83">
        <f>IF($G1385="","",IFERROR(IF(INDEX(設定!$D$6:$D$21,MATCH($G1385,設定!$B$6:$B$21,0))=0,"",INDEX(設定!$D$6:$D$21,MATCH($G1385,設定!$B$6:$B$21,0))),""))</f>
        <v/>
      </c>
      <c r="I1385" s="83">
        <f>IF($G1385="","",IFERROR(IF(INDEX(設定!$E$6:$E$21,MATCH($G1385,設定!$B$6:$B$21,0))=0,"",INDEX(設定!$E$6:$E$21,MATCH($G1385,設定!$B$6:$B$21,0))),""))</f>
        <v/>
      </c>
      <c r="J1385" s="83">
        <f>IFERROR(INDEX(打卡匯入!$C$3:$C$2002,MATCH($C1385&amp;"|"&amp;DAY($A1385),打卡匯入!$E$3:$E$2002,0)),"")</f>
        <v/>
      </c>
      <c r="K1385" s="83">
        <f>IFERROR(INDEX(打卡匯入!$D$3:$D$2002,MATCH($C1385&amp;"|"&amp;DAY($A1385),打卡匯入!$E$3:$E$2002,0)),"")</f>
        <v/>
      </c>
      <c r="L1385" s="84">
        <f>IF(OR($J1385="",$K1385=""),"",IFERROR(INDEX(設定!$F$6:$F$21,MATCH($G1385,設定!$B$6:$B$21,0)),0))</f>
        <v/>
      </c>
      <c r="M1385" s="85">
        <f>IF(OR($J1385="",$K1385=""),"",ROUND(($K1385-$J1385)*24-$L1385/60,2))</f>
        <v/>
      </c>
      <c r="N1385" s="16">
        <f>IF($C1385="","",IF(AND(COUNTIF(設定!$B$15:$B$21,$G1385)&gt;0,$J1385&lt;&gt;""),"假日出勤",IF(AND(COUNTIF(設定!$B$6:$B$14,$G1385)&gt;0,$J1385=""),"未打卡",IF($J1385="","",IF($O1385&gt;0,"遲到",IF($P1385&gt;0,"早退","正常"))))))</f>
        <v/>
      </c>
      <c r="O1385" s="84">
        <f>IF(OR($C1385="",$H1385="",$J1385=""),0,IF(ROUND(($J1385-$H1385)*1440,0)&gt;設定!$C$46,ROUND(($J1385-$H1385)*1440,0),0))</f>
        <v/>
      </c>
      <c r="P1385" s="84">
        <f>IF(OR($C1385="",$I1385="",$K1385=""),0,IF(ROUND(($I1385-$K1385)*1440,0)&gt;設定!$C$46,ROUND(($I1385-$K1385)*1440,0),0))</f>
        <v/>
      </c>
      <c r="Q1385" s="85">
        <f>IF($M1385="",0,IF(($M1385-IFERROR(INDEX(設定!$G$6:$G$21,MATCH($G1385,設定!$B$6:$B$21,0)),0))*60&gt;=設定!$C$44,ROUND(FLOOR(($M1385-IFERROR(INDEX(設定!$G$6:$G$21,MATCH($G1385,設定!$B$6:$B$21,0)),0))*60,設定!$C$45)/60,2),0))</f>
        <v/>
      </c>
      <c r="R1385" s="16">
        <f>IF(OR($C1385="",$Q1385=0),"",IF($G1385="國","國定假日",IF($B1385="日","例假",IF($B1385="六","休息日","平日"))))</f>
        <v/>
      </c>
      <c r="S1385" s="19" t="n"/>
    </row>
    <row r="1386">
      <c r="A1386" s="82">
        <f>IF(OR(助理班表!$A49="",20&gt;DAY(EOMONTH(DATE(設定!$C$2,設定!$D$2,1),0))),"",DATE(設定!$C$2,設定!$D$2,20))</f>
        <v/>
      </c>
      <c r="B1386" s="16">
        <f>IF($A1386="","",INDEX(設定!$O$6:$O$12,WEEKDAY($A1386,1)))</f>
        <v/>
      </c>
      <c r="C1386" s="16">
        <f>IF($A1386="","",助理班表!$A49)</f>
        <v/>
      </c>
      <c r="D1386" s="16">
        <f>IF($C1386="","",助理班表!$B49)</f>
        <v/>
      </c>
      <c r="E1386" s="16">
        <f>IF($C1386="","",助理班表!$D49)</f>
        <v/>
      </c>
      <c r="F1386" s="16">
        <f>IF($C1386="","",助理班表!$C49)</f>
        <v/>
      </c>
      <c r="G1386" s="16">
        <f>IF($C1386="","",助理班表!X49)</f>
        <v/>
      </c>
      <c r="H1386" s="83">
        <f>IF($G1386="","",IFERROR(IF(INDEX(設定!$D$6:$D$21,MATCH($G1386,設定!$B$6:$B$21,0))=0,"",INDEX(設定!$D$6:$D$21,MATCH($G1386,設定!$B$6:$B$21,0))),""))</f>
        <v/>
      </c>
      <c r="I1386" s="83">
        <f>IF($G1386="","",IFERROR(IF(INDEX(設定!$E$6:$E$21,MATCH($G1386,設定!$B$6:$B$21,0))=0,"",INDEX(設定!$E$6:$E$21,MATCH($G1386,設定!$B$6:$B$21,0))),""))</f>
        <v/>
      </c>
      <c r="J1386" s="83">
        <f>IFERROR(INDEX(打卡匯入!$C$3:$C$2002,MATCH($C1386&amp;"|"&amp;DAY($A1386),打卡匯入!$E$3:$E$2002,0)),"")</f>
        <v/>
      </c>
      <c r="K1386" s="83">
        <f>IFERROR(INDEX(打卡匯入!$D$3:$D$2002,MATCH($C1386&amp;"|"&amp;DAY($A1386),打卡匯入!$E$3:$E$2002,0)),"")</f>
        <v/>
      </c>
      <c r="L1386" s="84">
        <f>IF(OR($J1386="",$K1386=""),"",IFERROR(INDEX(設定!$F$6:$F$21,MATCH($G1386,設定!$B$6:$B$21,0)),0))</f>
        <v/>
      </c>
      <c r="M1386" s="85">
        <f>IF(OR($J1386="",$K1386=""),"",ROUND(($K1386-$J1386)*24-$L1386/60,2))</f>
        <v/>
      </c>
      <c r="N1386" s="16">
        <f>IF($C1386="","",IF(AND(COUNTIF(設定!$B$15:$B$21,$G1386)&gt;0,$J1386&lt;&gt;""),"假日出勤",IF(AND(COUNTIF(設定!$B$6:$B$14,$G1386)&gt;0,$J1386=""),"未打卡",IF($J1386="","",IF($O1386&gt;0,"遲到",IF($P1386&gt;0,"早退","正常"))))))</f>
        <v/>
      </c>
      <c r="O1386" s="84">
        <f>IF(OR($C1386="",$H1386="",$J1386=""),0,IF(ROUND(($J1386-$H1386)*1440,0)&gt;設定!$C$46,ROUND(($J1386-$H1386)*1440,0),0))</f>
        <v/>
      </c>
      <c r="P1386" s="84">
        <f>IF(OR($C1386="",$I1386="",$K1386=""),0,IF(ROUND(($I1386-$K1386)*1440,0)&gt;設定!$C$46,ROUND(($I1386-$K1386)*1440,0),0))</f>
        <v/>
      </c>
      <c r="Q1386" s="85">
        <f>IF($M1386="",0,IF(($M1386-IFERROR(INDEX(設定!$G$6:$G$21,MATCH($G1386,設定!$B$6:$B$21,0)),0))*60&gt;=設定!$C$44,ROUND(FLOOR(($M1386-IFERROR(INDEX(設定!$G$6:$G$21,MATCH($G1386,設定!$B$6:$B$21,0)),0))*60,設定!$C$45)/60,2),0))</f>
        <v/>
      </c>
      <c r="R1386" s="16">
        <f>IF(OR($C1386="",$Q1386=0),"",IF($G1386="國","國定假日",IF($B1386="日","例假",IF($B1386="六","休息日","平日"))))</f>
        <v/>
      </c>
      <c r="S1386" s="19" t="n"/>
    </row>
    <row r="1387">
      <c r="A1387" s="82">
        <f>IF(OR(助理班表!$A49="",21&gt;DAY(EOMONTH(DATE(設定!$C$2,設定!$D$2,1),0))),"",DATE(設定!$C$2,設定!$D$2,21))</f>
        <v/>
      </c>
      <c r="B1387" s="16">
        <f>IF($A1387="","",INDEX(設定!$O$6:$O$12,WEEKDAY($A1387,1)))</f>
        <v/>
      </c>
      <c r="C1387" s="16">
        <f>IF($A1387="","",助理班表!$A49)</f>
        <v/>
      </c>
      <c r="D1387" s="16">
        <f>IF($C1387="","",助理班表!$B49)</f>
        <v/>
      </c>
      <c r="E1387" s="16">
        <f>IF($C1387="","",助理班表!$D49)</f>
        <v/>
      </c>
      <c r="F1387" s="16">
        <f>IF($C1387="","",助理班表!$C49)</f>
        <v/>
      </c>
      <c r="G1387" s="16">
        <f>IF($C1387="","",助理班表!Y49)</f>
        <v/>
      </c>
      <c r="H1387" s="83">
        <f>IF($G1387="","",IFERROR(IF(INDEX(設定!$D$6:$D$21,MATCH($G1387,設定!$B$6:$B$21,0))=0,"",INDEX(設定!$D$6:$D$21,MATCH($G1387,設定!$B$6:$B$21,0))),""))</f>
        <v/>
      </c>
      <c r="I1387" s="83">
        <f>IF($G1387="","",IFERROR(IF(INDEX(設定!$E$6:$E$21,MATCH($G1387,設定!$B$6:$B$21,0))=0,"",INDEX(設定!$E$6:$E$21,MATCH($G1387,設定!$B$6:$B$21,0))),""))</f>
        <v/>
      </c>
      <c r="J1387" s="83">
        <f>IFERROR(INDEX(打卡匯入!$C$3:$C$2002,MATCH($C1387&amp;"|"&amp;DAY($A1387),打卡匯入!$E$3:$E$2002,0)),"")</f>
        <v/>
      </c>
      <c r="K1387" s="83">
        <f>IFERROR(INDEX(打卡匯入!$D$3:$D$2002,MATCH($C1387&amp;"|"&amp;DAY($A1387),打卡匯入!$E$3:$E$2002,0)),"")</f>
        <v/>
      </c>
      <c r="L1387" s="84">
        <f>IF(OR($J1387="",$K1387=""),"",IFERROR(INDEX(設定!$F$6:$F$21,MATCH($G1387,設定!$B$6:$B$21,0)),0))</f>
        <v/>
      </c>
      <c r="M1387" s="85">
        <f>IF(OR($J1387="",$K1387=""),"",ROUND(($K1387-$J1387)*24-$L1387/60,2))</f>
        <v/>
      </c>
      <c r="N1387" s="16">
        <f>IF($C1387="","",IF(AND(COUNTIF(設定!$B$15:$B$21,$G1387)&gt;0,$J1387&lt;&gt;""),"假日出勤",IF(AND(COUNTIF(設定!$B$6:$B$14,$G1387)&gt;0,$J1387=""),"未打卡",IF($J1387="","",IF($O1387&gt;0,"遲到",IF($P1387&gt;0,"早退","正常"))))))</f>
        <v/>
      </c>
      <c r="O1387" s="84">
        <f>IF(OR($C1387="",$H1387="",$J1387=""),0,IF(ROUND(($J1387-$H1387)*1440,0)&gt;設定!$C$46,ROUND(($J1387-$H1387)*1440,0),0))</f>
        <v/>
      </c>
      <c r="P1387" s="84">
        <f>IF(OR($C1387="",$I1387="",$K1387=""),0,IF(ROUND(($I1387-$K1387)*1440,0)&gt;設定!$C$46,ROUND(($I1387-$K1387)*1440,0),0))</f>
        <v/>
      </c>
      <c r="Q1387" s="85">
        <f>IF($M1387="",0,IF(($M1387-IFERROR(INDEX(設定!$G$6:$G$21,MATCH($G1387,設定!$B$6:$B$21,0)),0))*60&gt;=設定!$C$44,ROUND(FLOOR(($M1387-IFERROR(INDEX(設定!$G$6:$G$21,MATCH($G1387,設定!$B$6:$B$21,0)),0))*60,設定!$C$45)/60,2),0))</f>
        <v/>
      </c>
      <c r="R1387" s="16">
        <f>IF(OR($C1387="",$Q1387=0),"",IF($G1387="國","國定假日",IF($B1387="日","例假",IF($B1387="六","休息日","平日"))))</f>
        <v/>
      </c>
      <c r="S1387" s="19" t="n"/>
    </row>
    <row r="1388">
      <c r="A1388" s="82">
        <f>IF(OR(助理班表!$A49="",22&gt;DAY(EOMONTH(DATE(設定!$C$2,設定!$D$2,1),0))),"",DATE(設定!$C$2,設定!$D$2,22))</f>
        <v/>
      </c>
      <c r="B1388" s="16">
        <f>IF($A1388="","",INDEX(設定!$O$6:$O$12,WEEKDAY($A1388,1)))</f>
        <v/>
      </c>
      <c r="C1388" s="16">
        <f>IF($A1388="","",助理班表!$A49)</f>
        <v/>
      </c>
      <c r="D1388" s="16">
        <f>IF($C1388="","",助理班表!$B49)</f>
        <v/>
      </c>
      <c r="E1388" s="16">
        <f>IF($C1388="","",助理班表!$D49)</f>
        <v/>
      </c>
      <c r="F1388" s="16">
        <f>IF($C1388="","",助理班表!$C49)</f>
        <v/>
      </c>
      <c r="G1388" s="16">
        <f>IF($C1388="","",助理班表!Z49)</f>
        <v/>
      </c>
      <c r="H1388" s="83">
        <f>IF($G1388="","",IFERROR(IF(INDEX(設定!$D$6:$D$21,MATCH($G1388,設定!$B$6:$B$21,0))=0,"",INDEX(設定!$D$6:$D$21,MATCH($G1388,設定!$B$6:$B$21,0))),""))</f>
        <v/>
      </c>
      <c r="I1388" s="83">
        <f>IF($G1388="","",IFERROR(IF(INDEX(設定!$E$6:$E$21,MATCH($G1388,設定!$B$6:$B$21,0))=0,"",INDEX(設定!$E$6:$E$21,MATCH($G1388,設定!$B$6:$B$21,0))),""))</f>
        <v/>
      </c>
      <c r="J1388" s="83">
        <f>IFERROR(INDEX(打卡匯入!$C$3:$C$2002,MATCH($C1388&amp;"|"&amp;DAY($A1388),打卡匯入!$E$3:$E$2002,0)),"")</f>
        <v/>
      </c>
      <c r="K1388" s="83">
        <f>IFERROR(INDEX(打卡匯入!$D$3:$D$2002,MATCH($C1388&amp;"|"&amp;DAY($A1388),打卡匯入!$E$3:$E$2002,0)),"")</f>
        <v/>
      </c>
      <c r="L1388" s="84">
        <f>IF(OR($J1388="",$K1388=""),"",IFERROR(INDEX(設定!$F$6:$F$21,MATCH($G1388,設定!$B$6:$B$21,0)),0))</f>
        <v/>
      </c>
      <c r="M1388" s="85">
        <f>IF(OR($J1388="",$K1388=""),"",ROUND(($K1388-$J1388)*24-$L1388/60,2))</f>
        <v/>
      </c>
      <c r="N1388" s="16">
        <f>IF($C1388="","",IF(AND(COUNTIF(設定!$B$15:$B$21,$G1388)&gt;0,$J1388&lt;&gt;""),"假日出勤",IF(AND(COUNTIF(設定!$B$6:$B$14,$G1388)&gt;0,$J1388=""),"未打卡",IF($J1388="","",IF($O1388&gt;0,"遲到",IF($P1388&gt;0,"早退","正常"))))))</f>
        <v/>
      </c>
      <c r="O1388" s="84">
        <f>IF(OR($C1388="",$H1388="",$J1388=""),0,IF(ROUND(($J1388-$H1388)*1440,0)&gt;設定!$C$46,ROUND(($J1388-$H1388)*1440,0),0))</f>
        <v/>
      </c>
      <c r="P1388" s="84">
        <f>IF(OR($C1388="",$I1388="",$K1388=""),0,IF(ROUND(($I1388-$K1388)*1440,0)&gt;設定!$C$46,ROUND(($I1388-$K1388)*1440,0),0))</f>
        <v/>
      </c>
      <c r="Q1388" s="85">
        <f>IF($M1388="",0,IF(($M1388-IFERROR(INDEX(設定!$G$6:$G$21,MATCH($G1388,設定!$B$6:$B$21,0)),0))*60&gt;=設定!$C$44,ROUND(FLOOR(($M1388-IFERROR(INDEX(設定!$G$6:$G$21,MATCH($G1388,設定!$B$6:$B$21,0)),0))*60,設定!$C$45)/60,2),0))</f>
        <v/>
      </c>
      <c r="R1388" s="16">
        <f>IF(OR($C1388="",$Q1388=0),"",IF($G1388="國","國定假日",IF($B1388="日","例假",IF($B1388="六","休息日","平日"))))</f>
        <v/>
      </c>
      <c r="S1388" s="19" t="n"/>
    </row>
    <row r="1389">
      <c r="A1389" s="82">
        <f>IF(OR(助理班表!$A49="",23&gt;DAY(EOMONTH(DATE(設定!$C$2,設定!$D$2,1),0))),"",DATE(設定!$C$2,設定!$D$2,23))</f>
        <v/>
      </c>
      <c r="B1389" s="16">
        <f>IF($A1389="","",INDEX(設定!$O$6:$O$12,WEEKDAY($A1389,1)))</f>
        <v/>
      </c>
      <c r="C1389" s="16">
        <f>IF($A1389="","",助理班表!$A49)</f>
        <v/>
      </c>
      <c r="D1389" s="16">
        <f>IF($C1389="","",助理班表!$B49)</f>
        <v/>
      </c>
      <c r="E1389" s="16">
        <f>IF($C1389="","",助理班表!$D49)</f>
        <v/>
      </c>
      <c r="F1389" s="16">
        <f>IF($C1389="","",助理班表!$C49)</f>
        <v/>
      </c>
      <c r="G1389" s="16">
        <f>IF($C1389="","",助理班表!AA49)</f>
        <v/>
      </c>
      <c r="H1389" s="83">
        <f>IF($G1389="","",IFERROR(IF(INDEX(設定!$D$6:$D$21,MATCH($G1389,設定!$B$6:$B$21,0))=0,"",INDEX(設定!$D$6:$D$21,MATCH($G1389,設定!$B$6:$B$21,0))),""))</f>
        <v/>
      </c>
      <c r="I1389" s="83">
        <f>IF($G1389="","",IFERROR(IF(INDEX(設定!$E$6:$E$21,MATCH($G1389,設定!$B$6:$B$21,0))=0,"",INDEX(設定!$E$6:$E$21,MATCH($G1389,設定!$B$6:$B$21,0))),""))</f>
        <v/>
      </c>
      <c r="J1389" s="83">
        <f>IFERROR(INDEX(打卡匯入!$C$3:$C$2002,MATCH($C1389&amp;"|"&amp;DAY($A1389),打卡匯入!$E$3:$E$2002,0)),"")</f>
        <v/>
      </c>
      <c r="K1389" s="83">
        <f>IFERROR(INDEX(打卡匯入!$D$3:$D$2002,MATCH($C1389&amp;"|"&amp;DAY($A1389),打卡匯入!$E$3:$E$2002,0)),"")</f>
        <v/>
      </c>
      <c r="L1389" s="84">
        <f>IF(OR($J1389="",$K1389=""),"",IFERROR(INDEX(設定!$F$6:$F$21,MATCH($G1389,設定!$B$6:$B$21,0)),0))</f>
        <v/>
      </c>
      <c r="M1389" s="85">
        <f>IF(OR($J1389="",$K1389=""),"",ROUND(($K1389-$J1389)*24-$L1389/60,2))</f>
        <v/>
      </c>
      <c r="N1389" s="16">
        <f>IF($C1389="","",IF(AND(COUNTIF(設定!$B$15:$B$21,$G1389)&gt;0,$J1389&lt;&gt;""),"假日出勤",IF(AND(COUNTIF(設定!$B$6:$B$14,$G1389)&gt;0,$J1389=""),"未打卡",IF($J1389="","",IF($O1389&gt;0,"遲到",IF($P1389&gt;0,"早退","正常"))))))</f>
        <v/>
      </c>
      <c r="O1389" s="84">
        <f>IF(OR($C1389="",$H1389="",$J1389=""),0,IF(ROUND(($J1389-$H1389)*1440,0)&gt;設定!$C$46,ROUND(($J1389-$H1389)*1440,0),0))</f>
        <v/>
      </c>
      <c r="P1389" s="84">
        <f>IF(OR($C1389="",$I1389="",$K1389=""),0,IF(ROUND(($I1389-$K1389)*1440,0)&gt;設定!$C$46,ROUND(($I1389-$K1389)*1440,0),0))</f>
        <v/>
      </c>
      <c r="Q1389" s="85">
        <f>IF($M1389="",0,IF(($M1389-IFERROR(INDEX(設定!$G$6:$G$21,MATCH($G1389,設定!$B$6:$B$21,0)),0))*60&gt;=設定!$C$44,ROUND(FLOOR(($M1389-IFERROR(INDEX(設定!$G$6:$G$21,MATCH($G1389,設定!$B$6:$B$21,0)),0))*60,設定!$C$45)/60,2),0))</f>
        <v/>
      </c>
      <c r="R1389" s="16">
        <f>IF(OR($C1389="",$Q1389=0),"",IF($G1389="國","國定假日",IF($B1389="日","例假",IF($B1389="六","休息日","平日"))))</f>
        <v/>
      </c>
      <c r="S1389" s="19" t="n"/>
    </row>
    <row r="1390">
      <c r="A1390" s="82">
        <f>IF(OR(助理班表!$A49="",24&gt;DAY(EOMONTH(DATE(設定!$C$2,設定!$D$2,1),0))),"",DATE(設定!$C$2,設定!$D$2,24))</f>
        <v/>
      </c>
      <c r="B1390" s="16">
        <f>IF($A1390="","",INDEX(設定!$O$6:$O$12,WEEKDAY($A1390,1)))</f>
        <v/>
      </c>
      <c r="C1390" s="16">
        <f>IF($A1390="","",助理班表!$A49)</f>
        <v/>
      </c>
      <c r="D1390" s="16">
        <f>IF($C1390="","",助理班表!$B49)</f>
        <v/>
      </c>
      <c r="E1390" s="16">
        <f>IF($C1390="","",助理班表!$D49)</f>
        <v/>
      </c>
      <c r="F1390" s="16">
        <f>IF($C1390="","",助理班表!$C49)</f>
        <v/>
      </c>
      <c r="G1390" s="16">
        <f>IF($C1390="","",助理班表!AB49)</f>
        <v/>
      </c>
      <c r="H1390" s="83">
        <f>IF($G1390="","",IFERROR(IF(INDEX(設定!$D$6:$D$21,MATCH($G1390,設定!$B$6:$B$21,0))=0,"",INDEX(設定!$D$6:$D$21,MATCH($G1390,設定!$B$6:$B$21,0))),""))</f>
        <v/>
      </c>
      <c r="I1390" s="83">
        <f>IF($G1390="","",IFERROR(IF(INDEX(設定!$E$6:$E$21,MATCH($G1390,設定!$B$6:$B$21,0))=0,"",INDEX(設定!$E$6:$E$21,MATCH($G1390,設定!$B$6:$B$21,0))),""))</f>
        <v/>
      </c>
      <c r="J1390" s="83">
        <f>IFERROR(INDEX(打卡匯入!$C$3:$C$2002,MATCH($C1390&amp;"|"&amp;DAY($A1390),打卡匯入!$E$3:$E$2002,0)),"")</f>
        <v/>
      </c>
      <c r="K1390" s="83">
        <f>IFERROR(INDEX(打卡匯入!$D$3:$D$2002,MATCH($C1390&amp;"|"&amp;DAY($A1390),打卡匯入!$E$3:$E$2002,0)),"")</f>
        <v/>
      </c>
      <c r="L1390" s="84">
        <f>IF(OR($J1390="",$K1390=""),"",IFERROR(INDEX(設定!$F$6:$F$21,MATCH($G1390,設定!$B$6:$B$21,0)),0))</f>
        <v/>
      </c>
      <c r="M1390" s="85">
        <f>IF(OR($J1390="",$K1390=""),"",ROUND(($K1390-$J1390)*24-$L1390/60,2))</f>
        <v/>
      </c>
      <c r="N1390" s="16">
        <f>IF($C1390="","",IF(AND(COUNTIF(設定!$B$15:$B$21,$G1390)&gt;0,$J1390&lt;&gt;""),"假日出勤",IF(AND(COUNTIF(設定!$B$6:$B$14,$G1390)&gt;0,$J1390=""),"未打卡",IF($J1390="","",IF($O1390&gt;0,"遲到",IF($P1390&gt;0,"早退","正常"))))))</f>
        <v/>
      </c>
      <c r="O1390" s="84">
        <f>IF(OR($C1390="",$H1390="",$J1390=""),0,IF(ROUND(($J1390-$H1390)*1440,0)&gt;設定!$C$46,ROUND(($J1390-$H1390)*1440,0),0))</f>
        <v/>
      </c>
      <c r="P1390" s="84">
        <f>IF(OR($C1390="",$I1390="",$K1390=""),0,IF(ROUND(($I1390-$K1390)*1440,0)&gt;設定!$C$46,ROUND(($I1390-$K1390)*1440,0),0))</f>
        <v/>
      </c>
      <c r="Q1390" s="85">
        <f>IF($M1390="",0,IF(($M1390-IFERROR(INDEX(設定!$G$6:$G$21,MATCH($G1390,設定!$B$6:$B$21,0)),0))*60&gt;=設定!$C$44,ROUND(FLOOR(($M1390-IFERROR(INDEX(設定!$G$6:$G$21,MATCH($G1390,設定!$B$6:$B$21,0)),0))*60,設定!$C$45)/60,2),0))</f>
        <v/>
      </c>
      <c r="R1390" s="16">
        <f>IF(OR($C1390="",$Q1390=0),"",IF($G1390="國","國定假日",IF($B1390="日","例假",IF($B1390="六","休息日","平日"))))</f>
        <v/>
      </c>
      <c r="S1390" s="19" t="n"/>
    </row>
    <row r="1391">
      <c r="A1391" s="82">
        <f>IF(OR(助理班表!$A49="",25&gt;DAY(EOMONTH(DATE(設定!$C$2,設定!$D$2,1),0))),"",DATE(設定!$C$2,設定!$D$2,25))</f>
        <v/>
      </c>
      <c r="B1391" s="16">
        <f>IF($A1391="","",INDEX(設定!$O$6:$O$12,WEEKDAY($A1391,1)))</f>
        <v/>
      </c>
      <c r="C1391" s="16">
        <f>IF($A1391="","",助理班表!$A49)</f>
        <v/>
      </c>
      <c r="D1391" s="16">
        <f>IF($C1391="","",助理班表!$B49)</f>
        <v/>
      </c>
      <c r="E1391" s="16">
        <f>IF($C1391="","",助理班表!$D49)</f>
        <v/>
      </c>
      <c r="F1391" s="16">
        <f>IF($C1391="","",助理班表!$C49)</f>
        <v/>
      </c>
      <c r="G1391" s="16">
        <f>IF($C1391="","",助理班表!AC49)</f>
        <v/>
      </c>
      <c r="H1391" s="83">
        <f>IF($G1391="","",IFERROR(IF(INDEX(設定!$D$6:$D$21,MATCH($G1391,設定!$B$6:$B$21,0))=0,"",INDEX(設定!$D$6:$D$21,MATCH($G1391,設定!$B$6:$B$21,0))),""))</f>
        <v/>
      </c>
      <c r="I1391" s="83">
        <f>IF($G1391="","",IFERROR(IF(INDEX(設定!$E$6:$E$21,MATCH($G1391,設定!$B$6:$B$21,0))=0,"",INDEX(設定!$E$6:$E$21,MATCH($G1391,設定!$B$6:$B$21,0))),""))</f>
        <v/>
      </c>
      <c r="J1391" s="83">
        <f>IFERROR(INDEX(打卡匯入!$C$3:$C$2002,MATCH($C1391&amp;"|"&amp;DAY($A1391),打卡匯入!$E$3:$E$2002,0)),"")</f>
        <v/>
      </c>
      <c r="K1391" s="83">
        <f>IFERROR(INDEX(打卡匯入!$D$3:$D$2002,MATCH($C1391&amp;"|"&amp;DAY($A1391),打卡匯入!$E$3:$E$2002,0)),"")</f>
        <v/>
      </c>
      <c r="L1391" s="84">
        <f>IF(OR($J1391="",$K1391=""),"",IFERROR(INDEX(設定!$F$6:$F$21,MATCH($G1391,設定!$B$6:$B$21,0)),0))</f>
        <v/>
      </c>
      <c r="M1391" s="85">
        <f>IF(OR($J1391="",$K1391=""),"",ROUND(($K1391-$J1391)*24-$L1391/60,2))</f>
        <v/>
      </c>
      <c r="N1391" s="16">
        <f>IF($C1391="","",IF(AND(COUNTIF(設定!$B$15:$B$21,$G1391)&gt;0,$J1391&lt;&gt;""),"假日出勤",IF(AND(COUNTIF(設定!$B$6:$B$14,$G1391)&gt;0,$J1391=""),"未打卡",IF($J1391="","",IF($O1391&gt;0,"遲到",IF($P1391&gt;0,"早退","正常"))))))</f>
        <v/>
      </c>
      <c r="O1391" s="84">
        <f>IF(OR($C1391="",$H1391="",$J1391=""),0,IF(ROUND(($J1391-$H1391)*1440,0)&gt;設定!$C$46,ROUND(($J1391-$H1391)*1440,0),0))</f>
        <v/>
      </c>
      <c r="P1391" s="84">
        <f>IF(OR($C1391="",$I1391="",$K1391=""),0,IF(ROUND(($I1391-$K1391)*1440,0)&gt;設定!$C$46,ROUND(($I1391-$K1391)*1440,0),0))</f>
        <v/>
      </c>
      <c r="Q1391" s="85">
        <f>IF($M1391="",0,IF(($M1391-IFERROR(INDEX(設定!$G$6:$G$21,MATCH($G1391,設定!$B$6:$B$21,0)),0))*60&gt;=設定!$C$44,ROUND(FLOOR(($M1391-IFERROR(INDEX(設定!$G$6:$G$21,MATCH($G1391,設定!$B$6:$B$21,0)),0))*60,設定!$C$45)/60,2),0))</f>
        <v/>
      </c>
      <c r="R1391" s="16">
        <f>IF(OR($C1391="",$Q1391=0),"",IF($G1391="國","國定假日",IF($B1391="日","例假",IF($B1391="六","休息日","平日"))))</f>
        <v/>
      </c>
      <c r="S1391" s="19" t="n"/>
    </row>
    <row r="1392">
      <c r="A1392" s="82">
        <f>IF(OR(助理班表!$A49="",26&gt;DAY(EOMONTH(DATE(設定!$C$2,設定!$D$2,1),0))),"",DATE(設定!$C$2,設定!$D$2,26))</f>
        <v/>
      </c>
      <c r="B1392" s="16">
        <f>IF($A1392="","",INDEX(設定!$O$6:$O$12,WEEKDAY($A1392,1)))</f>
        <v/>
      </c>
      <c r="C1392" s="16">
        <f>IF($A1392="","",助理班表!$A49)</f>
        <v/>
      </c>
      <c r="D1392" s="16">
        <f>IF($C1392="","",助理班表!$B49)</f>
        <v/>
      </c>
      <c r="E1392" s="16">
        <f>IF($C1392="","",助理班表!$D49)</f>
        <v/>
      </c>
      <c r="F1392" s="16">
        <f>IF($C1392="","",助理班表!$C49)</f>
        <v/>
      </c>
      <c r="G1392" s="16">
        <f>IF($C1392="","",助理班表!AD49)</f>
        <v/>
      </c>
      <c r="H1392" s="83">
        <f>IF($G1392="","",IFERROR(IF(INDEX(設定!$D$6:$D$21,MATCH($G1392,設定!$B$6:$B$21,0))=0,"",INDEX(設定!$D$6:$D$21,MATCH($G1392,設定!$B$6:$B$21,0))),""))</f>
        <v/>
      </c>
      <c r="I1392" s="83">
        <f>IF($G1392="","",IFERROR(IF(INDEX(設定!$E$6:$E$21,MATCH($G1392,設定!$B$6:$B$21,0))=0,"",INDEX(設定!$E$6:$E$21,MATCH($G1392,設定!$B$6:$B$21,0))),""))</f>
        <v/>
      </c>
      <c r="J1392" s="83">
        <f>IFERROR(INDEX(打卡匯入!$C$3:$C$2002,MATCH($C1392&amp;"|"&amp;DAY($A1392),打卡匯入!$E$3:$E$2002,0)),"")</f>
        <v/>
      </c>
      <c r="K1392" s="83">
        <f>IFERROR(INDEX(打卡匯入!$D$3:$D$2002,MATCH($C1392&amp;"|"&amp;DAY($A1392),打卡匯入!$E$3:$E$2002,0)),"")</f>
        <v/>
      </c>
      <c r="L1392" s="84">
        <f>IF(OR($J1392="",$K1392=""),"",IFERROR(INDEX(設定!$F$6:$F$21,MATCH($G1392,設定!$B$6:$B$21,0)),0))</f>
        <v/>
      </c>
      <c r="M1392" s="85">
        <f>IF(OR($J1392="",$K1392=""),"",ROUND(($K1392-$J1392)*24-$L1392/60,2))</f>
        <v/>
      </c>
      <c r="N1392" s="16">
        <f>IF($C1392="","",IF(AND(COUNTIF(設定!$B$15:$B$21,$G1392)&gt;0,$J1392&lt;&gt;""),"假日出勤",IF(AND(COUNTIF(設定!$B$6:$B$14,$G1392)&gt;0,$J1392=""),"未打卡",IF($J1392="","",IF($O1392&gt;0,"遲到",IF($P1392&gt;0,"早退","正常"))))))</f>
        <v/>
      </c>
      <c r="O1392" s="84">
        <f>IF(OR($C1392="",$H1392="",$J1392=""),0,IF(ROUND(($J1392-$H1392)*1440,0)&gt;設定!$C$46,ROUND(($J1392-$H1392)*1440,0),0))</f>
        <v/>
      </c>
      <c r="P1392" s="84">
        <f>IF(OR($C1392="",$I1392="",$K1392=""),0,IF(ROUND(($I1392-$K1392)*1440,0)&gt;設定!$C$46,ROUND(($I1392-$K1392)*1440,0),0))</f>
        <v/>
      </c>
      <c r="Q1392" s="85">
        <f>IF($M1392="",0,IF(($M1392-IFERROR(INDEX(設定!$G$6:$G$21,MATCH($G1392,設定!$B$6:$B$21,0)),0))*60&gt;=設定!$C$44,ROUND(FLOOR(($M1392-IFERROR(INDEX(設定!$G$6:$G$21,MATCH($G1392,設定!$B$6:$B$21,0)),0))*60,設定!$C$45)/60,2),0))</f>
        <v/>
      </c>
      <c r="R1392" s="16">
        <f>IF(OR($C1392="",$Q1392=0),"",IF($G1392="國","國定假日",IF($B1392="日","例假",IF($B1392="六","休息日","平日"))))</f>
        <v/>
      </c>
      <c r="S1392" s="19" t="n"/>
    </row>
    <row r="1393">
      <c r="A1393" s="82">
        <f>IF(OR(助理班表!$A49="",27&gt;DAY(EOMONTH(DATE(設定!$C$2,設定!$D$2,1),0))),"",DATE(設定!$C$2,設定!$D$2,27))</f>
        <v/>
      </c>
      <c r="B1393" s="16">
        <f>IF($A1393="","",INDEX(設定!$O$6:$O$12,WEEKDAY($A1393,1)))</f>
        <v/>
      </c>
      <c r="C1393" s="16">
        <f>IF($A1393="","",助理班表!$A49)</f>
        <v/>
      </c>
      <c r="D1393" s="16">
        <f>IF($C1393="","",助理班表!$B49)</f>
        <v/>
      </c>
      <c r="E1393" s="16">
        <f>IF($C1393="","",助理班表!$D49)</f>
        <v/>
      </c>
      <c r="F1393" s="16">
        <f>IF($C1393="","",助理班表!$C49)</f>
        <v/>
      </c>
      <c r="G1393" s="16">
        <f>IF($C1393="","",助理班表!AE49)</f>
        <v/>
      </c>
      <c r="H1393" s="83">
        <f>IF($G1393="","",IFERROR(IF(INDEX(設定!$D$6:$D$21,MATCH($G1393,設定!$B$6:$B$21,0))=0,"",INDEX(設定!$D$6:$D$21,MATCH($G1393,設定!$B$6:$B$21,0))),""))</f>
        <v/>
      </c>
      <c r="I1393" s="83">
        <f>IF($G1393="","",IFERROR(IF(INDEX(設定!$E$6:$E$21,MATCH($G1393,設定!$B$6:$B$21,0))=0,"",INDEX(設定!$E$6:$E$21,MATCH($G1393,設定!$B$6:$B$21,0))),""))</f>
        <v/>
      </c>
      <c r="J1393" s="83">
        <f>IFERROR(INDEX(打卡匯入!$C$3:$C$2002,MATCH($C1393&amp;"|"&amp;DAY($A1393),打卡匯入!$E$3:$E$2002,0)),"")</f>
        <v/>
      </c>
      <c r="K1393" s="83">
        <f>IFERROR(INDEX(打卡匯入!$D$3:$D$2002,MATCH($C1393&amp;"|"&amp;DAY($A1393),打卡匯入!$E$3:$E$2002,0)),"")</f>
        <v/>
      </c>
      <c r="L1393" s="84">
        <f>IF(OR($J1393="",$K1393=""),"",IFERROR(INDEX(設定!$F$6:$F$21,MATCH($G1393,設定!$B$6:$B$21,0)),0))</f>
        <v/>
      </c>
      <c r="M1393" s="85">
        <f>IF(OR($J1393="",$K1393=""),"",ROUND(($K1393-$J1393)*24-$L1393/60,2))</f>
        <v/>
      </c>
      <c r="N1393" s="16">
        <f>IF($C1393="","",IF(AND(COUNTIF(設定!$B$15:$B$21,$G1393)&gt;0,$J1393&lt;&gt;""),"假日出勤",IF(AND(COUNTIF(設定!$B$6:$B$14,$G1393)&gt;0,$J1393=""),"未打卡",IF($J1393="","",IF($O1393&gt;0,"遲到",IF($P1393&gt;0,"早退","正常"))))))</f>
        <v/>
      </c>
      <c r="O1393" s="84">
        <f>IF(OR($C1393="",$H1393="",$J1393=""),0,IF(ROUND(($J1393-$H1393)*1440,0)&gt;設定!$C$46,ROUND(($J1393-$H1393)*1440,0),0))</f>
        <v/>
      </c>
      <c r="P1393" s="84">
        <f>IF(OR($C1393="",$I1393="",$K1393=""),0,IF(ROUND(($I1393-$K1393)*1440,0)&gt;設定!$C$46,ROUND(($I1393-$K1393)*1440,0),0))</f>
        <v/>
      </c>
      <c r="Q1393" s="85">
        <f>IF($M1393="",0,IF(($M1393-IFERROR(INDEX(設定!$G$6:$G$21,MATCH($G1393,設定!$B$6:$B$21,0)),0))*60&gt;=設定!$C$44,ROUND(FLOOR(($M1393-IFERROR(INDEX(設定!$G$6:$G$21,MATCH($G1393,設定!$B$6:$B$21,0)),0))*60,設定!$C$45)/60,2),0))</f>
        <v/>
      </c>
      <c r="R1393" s="16">
        <f>IF(OR($C1393="",$Q1393=0),"",IF($G1393="國","國定假日",IF($B1393="日","例假",IF($B1393="六","休息日","平日"))))</f>
        <v/>
      </c>
      <c r="S1393" s="19" t="n"/>
    </row>
    <row r="1394">
      <c r="A1394" s="82">
        <f>IF(OR(助理班表!$A49="",28&gt;DAY(EOMONTH(DATE(設定!$C$2,設定!$D$2,1),0))),"",DATE(設定!$C$2,設定!$D$2,28))</f>
        <v/>
      </c>
      <c r="B1394" s="16">
        <f>IF($A1394="","",INDEX(設定!$O$6:$O$12,WEEKDAY($A1394,1)))</f>
        <v/>
      </c>
      <c r="C1394" s="16">
        <f>IF($A1394="","",助理班表!$A49)</f>
        <v/>
      </c>
      <c r="D1394" s="16">
        <f>IF($C1394="","",助理班表!$B49)</f>
        <v/>
      </c>
      <c r="E1394" s="16">
        <f>IF($C1394="","",助理班表!$D49)</f>
        <v/>
      </c>
      <c r="F1394" s="16">
        <f>IF($C1394="","",助理班表!$C49)</f>
        <v/>
      </c>
      <c r="G1394" s="16">
        <f>IF($C1394="","",助理班表!AF49)</f>
        <v/>
      </c>
      <c r="H1394" s="83">
        <f>IF($G1394="","",IFERROR(IF(INDEX(設定!$D$6:$D$21,MATCH($G1394,設定!$B$6:$B$21,0))=0,"",INDEX(設定!$D$6:$D$21,MATCH($G1394,設定!$B$6:$B$21,0))),""))</f>
        <v/>
      </c>
      <c r="I1394" s="83">
        <f>IF($G1394="","",IFERROR(IF(INDEX(設定!$E$6:$E$21,MATCH($G1394,設定!$B$6:$B$21,0))=0,"",INDEX(設定!$E$6:$E$21,MATCH($G1394,設定!$B$6:$B$21,0))),""))</f>
        <v/>
      </c>
      <c r="J1394" s="83">
        <f>IFERROR(INDEX(打卡匯入!$C$3:$C$2002,MATCH($C1394&amp;"|"&amp;DAY($A1394),打卡匯入!$E$3:$E$2002,0)),"")</f>
        <v/>
      </c>
      <c r="K1394" s="83">
        <f>IFERROR(INDEX(打卡匯入!$D$3:$D$2002,MATCH($C1394&amp;"|"&amp;DAY($A1394),打卡匯入!$E$3:$E$2002,0)),"")</f>
        <v/>
      </c>
      <c r="L1394" s="84">
        <f>IF(OR($J1394="",$K1394=""),"",IFERROR(INDEX(設定!$F$6:$F$21,MATCH($G1394,設定!$B$6:$B$21,0)),0))</f>
        <v/>
      </c>
      <c r="M1394" s="85">
        <f>IF(OR($J1394="",$K1394=""),"",ROUND(($K1394-$J1394)*24-$L1394/60,2))</f>
        <v/>
      </c>
      <c r="N1394" s="16">
        <f>IF($C1394="","",IF(AND(COUNTIF(設定!$B$15:$B$21,$G1394)&gt;0,$J1394&lt;&gt;""),"假日出勤",IF(AND(COUNTIF(設定!$B$6:$B$14,$G1394)&gt;0,$J1394=""),"未打卡",IF($J1394="","",IF($O1394&gt;0,"遲到",IF($P1394&gt;0,"早退","正常"))))))</f>
        <v/>
      </c>
      <c r="O1394" s="84">
        <f>IF(OR($C1394="",$H1394="",$J1394=""),0,IF(ROUND(($J1394-$H1394)*1440,0)&gt;設定!$C$46,ROUND(($J1394-$H1394)*1440,0),0))</f>
        <v/>
      </c>
      <c r="P1394" s="84">
        <f>IF(OR($C1394="",$I1394="",$K1394=""),0,IF(ROUND(($I1394-$K1394)*1440,0)&gt;設定!$C$46,ROUND(($I1394-$K1394)*1440,0),0))</f>
        <v/>
      </c>
      <c r="Q1394" s="85">
        <f>IF($M1394="",0,IF(($M1394-IFERROR(INDEX(設定!$G$6:$G$21,MATCH($G1394,設定!$B$6:$B$21,0)),0))*60&gt;=設定!$C$44,ROUND(FLOOR(($M1394-IFERROR(INDEX(設定!$G$6:$G$21,MATCH($G1394,設定!$B$6:$B$21,0)),0))*60,設定!$C$45)/60,2),0))</f>
        <v/>
      </c>
      <c r="R1394" s="16">
        <f>IF(OR($C1394="",$Q1394=0),"",IF($G1394="國","國定假日",IF($B1394="日","例假",IF($B1394="六","休息日","平日"))))</f>
        <v/>
      </c>
      <c r="S1394" s="19" t="n"/>
    </row>
    <row r="1395">
      <c r="A1395" s="82">
        <f>IF(OR(助理班表!$A49="",29&gt;DAY(EOMONTH(DATE(設定!$C$2,設定!$D$2,1),0))),"",DATE(設定!$C$2,設定!$D$2,29))</f>
        <v/>
      </c>
      <c r="B1395" s="16">
        <f>IF($A1395="","",INDEX(設定!$O$6:$O$12,WEEKDAY($A1395,1)))</f>
        <v/>
      </c>
      <c r="C1395" s="16">
        <f>IF($A1395="","",助理班表!$A49)</f>
        <v/>
      </c>
      <c r="D1395" s="16">
        <f>IF($C1395="","",助理班表!$B49)</f>
        <v/>
      </c>
      <c r="E1395" s="16">
        <f>IF($C1395="","",助理班表!$D49)</f>
        <v/>
      </c>
      <c r="F1395" s="16">
        <f>IF($C1395="","",助理班表!$C49)</f>
        <v/>
      </c>
      <c r="G1395" s="16">
        <f>IF($C1395="","",助理班表!AG49)</f>
        <v/>
      </c>
      <c r="H1395" s="83">
        <f>IF($G1395="","",IFERROR(IF(INDEX(設定!$D$6:$D$21,MATCH($G1395,設定!$B$6:$B$21,0))=0,"",INDEX(設定!$D$6:$D$21,MATCH($G1395,設定!$B$6:$B$21,0))),""))</f>
        <v/>
      </c>
      <c r="I1395" s="83">
        <f>IF($G1395="","",IFERROR(IF(INDEX(設定!$E$6:$E$21,MATCH($G1395,設定!$B$6:$B$21,0))=0,"",INDEX(設定!$E$6:$E$21,MATCH($G1395,設定!$B$6:$B$21,0))),""))</f>
        <v/>
      </c>
      <c r="J1395" s="83">
        <f>IFERROR(INDEX(打卡匯入!$C$3:$C$2002,MATCH($C1395&amp;"|"&amp;DAY($A1395),打卡匯入!$E$3:$E$2002,0)),"")</f>
        <v/>
      </c>
      <c r="K1395" s="83">
        <f>IFERROR(INDEX(打卡匯入!$D$3:$D$2002,MATCH($C1395&amp;"|"&amp;DAY($A1395),打卡匯入!$E$3:$E$2002,0)),"")</f>
        <v/>
      </c>
      <c r="L1395" s="84">
        <f>IF(OR($J1395="",$K1395=""),"",IFERROR(INDEX(設定!$F$6:$F$21,MATCH($G1395,設定!$B$6:$B$21,0)),0))</f>
        <v/>
      </c>
      <c r="M1395" s="85">
        <f>IF(OR($J1395="",$K1395=""),"",ROUND(($K1395-$J1395)*24-$L1395/60,2))</f>
        <v/>
      </c>
      <c r="N1395" s="16">
        <f>IF($C1395="","",IF(AND(COUNTIF(設定!$B$15:$B$21,$G1395)&gt;0,$J1395&lt;&gt;""),"假日出勤",IF(AND(COUNTIF(設定!$B$6:$B$14,$G1395)&gt;0,$J1395=""),"未打卡",IF($J1395="","",IF($O1395&gt;0,"遲到",IF($P1395&gt;0,"早退","正常"))))))</f>
        <v/>
      </c>
      <c r="O1395" s="84">
        <f>IF(OR($C1395="",$H1395="",$J1395=""),0,IF(ROUND(($J1395-$H1395)*1440,0)&gt;設定!$C$46,ROUND(($J1395-$H1395)*1440,0),0))</f>
        <v/>
      </c>
      <c r="P1395" s="84">
        <f>IF(OR($C1395="",$I1395="",$K1395=""),0,IF(ROUND(($I1395-$K1395)*1440,0)&gt;設定!$C$46,ROUND(($I1395-$K1395)*1440,0),0))</f>
        <v/>
      </c>
      <c r="Q1395" s="85">
        <f>IF($M1395="",0,IF(($M1395-IFERROR(INDEX(設定!$G$6:$G$21,MATCH($G1395,設定!$B$6:$B$21,0)),0))*60&gt;=設定!$C$44,ROUND(FLOOR(($M1395-IFERROR(INDEX(設定!$G$6:$G$21,MATCH($G1395,設定!$B$6:$B$21,0)),0))*60,設定!$C$45)/60,2),0))</f>
        <v/>
      </c>
      <c r="R1395" s="16">
        <f>IF(OR($C1395="",$Q1395=0),"",IF($G1395="國","國定假日",IF($B1395="日","例假",IF($B1395="六","休息日","平日"))))</f>
        <v/>
      </c>
      <c r="S1395" s="19" t="n"/>
    </row>
    <row r="1396">
      <c r="A1396" s="82">
        <f>IF(OR(助理班表!$A49="",30&gt;DAY(EOMONTH(DATE(設定!$C$2,設定!$D$2,1),0))),"",DATE(設定!$C$2,設定!$D$2,30))</f>
        <v/>
      </c>
      <c r="B1396" s="16">
        <f>IF($A1396="","",INDEX(設定!$O$6:$O$12,WEEKDAY($A1396,1)))</f>
        <v/>
      </c>
      <c r="C1396" s="16">
        <f>IF($A1396="","",助理班表!$A49)</f>
        <v/>
      </c>
      <c r="D1396" s="16">
        <f>IF($C1396="","",助理班表!$B49)</f>
        <v/>
      </c>
      <c r="E1396" s="16">
        <f>IF($C1396="","",助理班表!$D49)</f>
        <v/>
      </c>
      <c r="F1396" s="16">
        <f>IF($C1396="","",助理班表!$C49)</f>
        <v/>
      </c>
      <c r="G1396" s="16">
        <f>IF($C1396="","",助理班表!AH49)</f>
        <v/>
      </c>
      <c r="H1396" s="83">
        <f>IF($G1396="","",IFERROR(IF(INDEX(設定!$D$6:$D$21,MATCH($G1396,設定!$B$6:$B$21,0))=0,"",INDEX(設定!$D$6:$D$21,MATCH($G1396,設定!$B$6:$B$21,0))),""))</f>
        <v/>
      </c>
      <c r="I1396" s="83">
        <f>IF($G1396="","",IFERROR(IF(INDEX(設定!$E$6:$E$21,MATCH($G1396,設定!$B$6:$B$21,0))=0,"",INDEX(設定!$E$6:$E$21,MATCH($G1396,設定!$B$6:$B$21,0))),""))</f>
        <v/>
      </c>
      <c r="J1396" s="83">
        <f>IFERROR(INDEX(打卡匯入!$C$3:$C$2002,MATCH($C1396&amp;"|"&amp;DAY($A1396),打卡匯入!$E$3:$E$2002,0)),"")</f>
        <v/>
      </c>
      <c r="K1396" s="83">
        <f>IFERROR(INDEX(打卡匯入!$D$3:$D$2002,MATCH($C1396&amp;"|"&amp;DAY($A1396),打卡匯入!$E$3:$E$2002,0)),"")</f>
        <v/>
      </c>
      <c r="L1396" s="84">
        <f>IF(OR($J1396="",$K1396=""),"",IFERROR(INDEX(設定!$F$6:$F$21,MATCH($G1396,設定!$B$6:$B$21,0)),0))</f>
        <v/>
      </c>
      <c r="M1396" s="85">
        <f>IF(OR($J1396="",$K1396=""),"",ROUND(($K1396-$J1396)*24-$L1396/60,2))</f>
        <v/>
      </c>
      <c r="N1396" s="16">
        <f>IF($C1396="","",IF(AND(COUNTIF(設定!$B$15:$B$21,$G1396)&gt;0,$J1396&lt;&gt;""),"假日出勤",IF(AND(COUNTIF(設定!$B$6:$B$14,$G1396)&gt;0,$J1396=""),"未打卡",IF($J1396="","",IF($O1396&gt;0,"遲到",IF($P1396&gt;0,"早退","正常"))))))</f>
        <v/>
      </c>
      <c r="O1396" s="84">
        <f>IF(OR($C1396="",$H1396="",$J1396=""),0,IF(ROUND(($J1396-$H1396)*1440,0)&gt;設定!$C$46,ROUND(($J1396-$H1396)*1440,0),0))</f>
        <v/>
      </c>
      <c r="P1396" s="84">
        <f>IF(OR($C1396="",$I1396="",$K1396=""),0,IF(ROUND(($I1396-$K1396)*1440,0)&gt;設定!$C$46,ROUND(($I1396-$K1396)*1440,0),0))</f>
        <v/>
      </c>
      <c r="Q1396" s="85">
        <f>IF($M1396="",0,IF(($M1396-IFERROR(INDEX(設定!$G$6:$G$21,MATCH($G1396,設定!$B$6:$B$21,0)),0))*60&gt;=設定!$C$44,ROUND(FLOOR(($M1396-IFERROR(INDEX(設定!$G$6:$G$21,MATCH($G1396,設定!$B$6:$B$21,0)),0))*60,設定!$C$45)/60,2),0))</f>
        <v/>
      </c>
      <c r="R1396" s="16">
        <f>IF(OR($C1396="",$Q1396=0),"",IF($G1396="國","國定假日",IF($B1396="日","例假",IF($B1396="六","休息日","平日"))))</f>
        <v/>
      </c>
      <c r="S1396" s="19" t="n"/>
    </row>
    <row r="1397">
      <c r="A1397" s="82">
        <f>IF(OR(助理班表!$A49="",31&gt;DAY(EOMONTH(DATE(設定!$C$2,設定!$D$2,1),0))),"",DATE(設定!$C$2,設定!$D$2,31))</f>
        <v/>
      </c>
      <c r="B1397" s="16">
        <f>IF($A1397="","",INDEX(設定!$O$6:$O$12,WEEKDAY($A1397,1)))</f>
        <v/>
      </c>
      <c r="C1397" s="16">
        <f>IF($A1397="","",助理班表!$A49)</f>
        <v/>
      </c>
      <c r="D1397" s="16">
        <f>IF($C1397="","",助理班表!$B49)</f>
        <v/>
      </c>
      <c r="E1397" s="16">
        <f>IF($C1397="","",助理班表!$D49)</f>
        <v/>
      </c>
      <c r="F1397" s="16">
        <f>IF($C1397="","",助理班表!$C49)</f>
        <v/>
      </c>
      <c r="G1397" s="16">
        <f>IF($C1397="","",助理班表!AI49)</f>
        <v/>
      </c>
      <c r="H1397" s="83">
        <f>IF($G1397="","",IFERROR(IF(INDEX(設定!$D$6:$D$21,MATCH($G1397,設定!$B$6:$B$21,0))=0,"",INDEX(設定!$D$6:$D$21,MATCH($G1397,設定!$B$6:$B$21,0))),""))</f>
        <v/>
      </c>
      <c r="I1397" s="83">
        <f>IF($G1397="","",IFERROR(IF(INDEX(設定!$E$6:$E$21,MATCH($G1397,設定!$B$6:$B$21,0))=0,"",INDEX(設定!$E$6:$E$21,MATCH($G1397,設定!$B$6:$B$21,0))),""))</f>
        <v/>
      </c>
      <c r="J1397" s="83">
        <f>IFERROR(INDEX(打卡匯入!$C$3:$C$2002,MATCH($C1397&amp;"|"&amp;DAY($A1397),打卡匯入!$E$3:$E$2002,0)),"")</f>
        <v/>
      </c>
      <c r="K1397" s="83">
        <f>IFERROR(INDEX(打卡匯入!$D$3:$D$2002,MATCH($C1397&amp;"|"&amp;DAY($A1397),打卡匯入!$E$3:$E$2002,0)),"")</f>
        <v/>
      </c>
      <c r="L1397" s="84">
        <f>IF(OR($J1397="",$K1397=""),"",IFERROR(INDEX(設定!$F$6:$F$21,MATCH($G1397,設定!$B$6:$B$21,0)),0))</f>
        <v/>
      </c>
      <c r="M1397" s="85">
        <f>IF(OR($J1397="",$K1397=""),"",ROUND(($K1397-$J1397)*24-$L1397/60,2))</f>
        <v/>
      </c>
      <c r="N1397" s="16">
        <f>IF($C1397="","",IF(AND(COUNTIF(設定!$B$15:$B$21,$G1397)&gt;0,$J1397&lt;&gt;""),"假日出勤",IF(AND(COUNTIF(設定!$B$6:$B$14,$G1397)&gt;0,$J1397=""),"未打卡",IF($J1397="","",IF($O1397&gt;0,"遲到",IF($P1397&gt;0,"早退","正常"))))))</f>
        <v/>
      </c>
      <c r="O1397" s="84">
        <f>IF(OR($C1397="",$H1397="",$J1397=""),0,IF(ROUND(($J1397-$H1397)*1440,0)&gt;設定!$C$46,ROUND(($J1397-$H1397)*1440,0),0))</f>
        <v/>
      </c>
      <c r="P1397" s="84">
        <f>IF(OR($C1397="",$I1397="",$K1397=""),0,IF(ROUND(($I1397-$K1397)*1440,0)&gt;設定!$C$46,ROUND(($I1397-$K1397)*1440,0),0))</f>
        <v/>
      </c>
      <c r="Q1397" s="85">
        <f>IF($M1397="",0,IF(($M1397-IFERROR(INDEX(設定!$G$6:$G$21,MATCH($G1397,設定!$B$6:$B$21,0)),0))*60&gt;=設定!$C$44,ROUND(FLOOR(($M1397-IFERROR(INDEX(設定!$G$6:$G$21,MATCH($G1397,設定!$B$6:$B$21,0)),0))*60,設定!$C$45)/60,2),0))</f>
        <v/>
      </c>
      <c r="R1397" s="16">
        <f>IF(OR($C1397="",$Q1397=0),"",IF($G1397="國","國定假日",IF($B1397="日","例假",IF($B1397="六","休息日","平日"))))</f>
        <v/>
      </c>
      <c r="S1397" s="19" t="n"/>
    </row>
    <row r="1398">
      <c r="A1398" s="82">
        <f>IF(OR(助理班表!$A50="",1&gt;DAY(EOMONTH(DATE(設定!$C$2,設定!$D$2,1),0))),"",DATE(設定!$C$2,設定!$D$2,1))</f>
        <v/>
      </c>
      <c r="B1398" s="16">
        <f>IF($A1398="","",INDEX(設定!$O$6:$O$12,WEEKDAY($A1398,1)))</f>
        <v/>
      </c>
      <c r="C1398" s="16">
        <f>IF($A1398="","",助理班表!$A50)</f>
        <v/>
      </c>
      <c r="D1398" s="16">
        <f>IF($C1398="","",助理班表!$B50)</f>
        <v/>
      </c>
      <c r="E1398" s="16">
        <f>IF($C1398="","",助理班表!$D50)</f>
        <v/>
      </c>
      <c r="F1398" s="16">
        <f>IF($C1398="","",助理班表!$C50)</f>
        <v/>
      </c>
      <c r="G1398" s="16">
        <f>IF($C1398="","",助理班表!E50)</f>
        <v/>
      </c>
      <c r="H1398" s="83">
        <f>IF($G1398="","",IFERROR(IF(INDEX(設定!$D$6:$D$21,MATCH($G1398,設定!$B$6:$B$21,0))=0,"",INDEX(設定!$D$6:$D$21,MATCH($G1398,設定!$B$6:$B$21,0))),""))</f>
        <v/>
      </c>
      <c r="I1398" s="83">
        <f>IF($G1398="","",IFERROR(IF(INDEX(設定!$E$6:$E$21,MATCH($G1398,設定!$B$6:$B$21,0))=0,"",INDEX(設定!$E$6:$E$21,MATCH($G1398,設定!$B$6:$B$21,0))),""))</f>
        <v/>
      </c>
      <c r="J1398" s="83">
        <f>IFERROR(INDEX(打卡匯入!$C$3:$C$2002,MATCH($C1398&amp;"|"&amp;DAY($A1398),打卡匯入!$E$3:$E$2002,0)),"")</f>
        <v/>
      </c>
      <c r="K1398" s="83">
        <f>IFERROR(INDEX(打卡匯入!$D$3:$D$2002,MATCH($C1398&amp;"|"&amp;DAY($A1398),打卡匯入!$E$3:$E$2002,0)),"")</f>
        <v/>
      </c>
      <c r="L1398" s="84">
        <f>IF(OR($J1398="",$K1398=""),"",IFERROR(INDEX(設定!$F$6:$F$21,MATCH($G1398,設定!$B$6:$B$21,0)),0))</f>
        <v/>
      </c>
      <c r="M1398" s="85">
        <f>IF(OR($J1398="",$K1398=""),"",ROUND(($K1398-$J1398)*24-$L1398/60,2))</f>
        <v/>
      </c>
      <c r="N1398" s="16">
        <f>IF($C1398="","",IF(AND(COUNTIF(設定!$B$15:$B$21,$G1398)&gt;0,$J1398&lt;&gt;""),"假日出勤",IF(AND(COUNTIF(設定!$B$6:$B$14,$G1398)&gt;0,$J1398=""),"未打卡",IF($J1398="","",IF($O1398&gt;0,"遲到",IF($P1398&gt;0,"早退","正常"))))))</f>
        <v/>
      </c>
      <c r="O1398" s="84">
        <f>IF(OR($C1398="",$H1398="",$J1398=""),0,IF(ROUND(($J1398-$H1398)*1440,0)&gt;設定!$C$46,ROUND(($J1398-$H1398)*1440,0),0))</f>
        <v/>
      </c>
      <c r="P1398" s="84">
        <f>IF(OR($C1398="",$I1398="",$K1398=""),0,IF(ROUND(($I1398-$K1398)*1440,0)&gt;設定!$C$46,ROUND(($I1398-$K1398)*1440,0),0))</f>
        <v/>
      </c>
      <c r="Q1398" s="85">
        <f>IF($M1398="",0,IF(($M1398-IFERROR(INDEX(設定!$G$6:$G$21,MATCH($G1398,設定!$B$6:$B$21,0)),0))*60&gt;=設定!$C$44,ROUND(FLOOR(($M1398-IFERROR(INDEX(設定!$G$6:$G$21,MATCH($G1398,設定!$B$6:$B$21,0)),0))*60,設定!$C$45)/60,2),0))</f>
        <v/>
      </c>
      <c r="R1398" s="16">
        <f>IF(OR($C1398="",$Q1398=0),"",IF($G1398="國","國定假日",IF($B1398="日","例假",IF($B1398="六","休息日","平日"))))</f>
        <v/>
      </c>
      <c r="S1398" s="19" t="n"/>
    </row>
    <row r="1399">
      <c r="A1399" s="82">
        <f>IF(OR(助理班表!$A50="",2&gt;DAY(EOMONTH(DATE(設定!$C$2,設定!$D$2,1),0))),"",DATE(設定!$C$2,設定!$D$2,2))</f>
        <v/>
      </c>
      <c r="B1399" s="16">
        <f>IF($A1399="","",INDEX(設定!$O$6:$O$12,WEEKDAY($A1399,1)))</f>
        <v/>
      </c>
      <c r="C1399" s="16">
        <f>IF($A1399="","",助理班表!$A50)</f>
        <v/>
      </c>
      <c r="D1399" s="16">
        <f>IF($C1399="","",助理班表!$B50)</f>
        <v/>
      </c>
      <c r="E1399" s="16">
        <f>IF($C1399="","",助理班表!$D50)</f>
        <v/>
      </c>
      <c r="F1399" s="16">
        <f>IF($C1399="","",助理班表!$C50)</f>
        <v/>
      </c>
      <c r="G1399" s="16">
        <f>IF($C1399="","",助理班表!F50)</f>
        <v/>
      </c>
      <c r="H1399" s="83">
        <f>IF($G1399="","",IFERROR(IF(INDEX(設定!$D$6:$D$21,MATCH($G1399,設定!$B$6:$B$21,0))=0,"",INDEX(設定!$D$6:$D$21,MATCH($G1399,設定!$B$6:$B$21,0))),""))</f>
        <v/>
      </c>
      <c r="I1399" s="83">
        <f>IF($G1399="","",IFERROR(IF(INDEX(設定!$E$6:$E$21,MATCH($G1399,設定!$B$6:$B$21,0))=0,"",INDEX(設定!$E$6:$E$21,MATCH($G1399,設定!$B$6:$B$21,0))),""))</f>
        <v/>
      </c>
      <c r="J1399" s="83">
        <f>IFERROR(INDEX(打卡匯入!$C$3:$C$2002,MATCH($C1399&amp;"|"&amp;DAY($A1399),打卡匯入!$E$3:$E$2002,0)),"")</f>
        <v/>
      </c>
      <c r="K1399" s="83">
        <f>IFERROR(INDEX(打卡匯入!$D$3:$D$2002,MATCH($C1399&amp;"|"&amp;DAY($A1399),打卡匯入!$E$3:$E$2002,0)),"")</f>
        <v/>
      </c>
      <c r="L1399" s="84">
        <f>IF(OR($J1399="",$K1399=""),"",IFERROR(INDEX(設定!$F$6:$F$21,MATCH($G1399,設定!$B$6:$B$21,0)),0))</f>
        <v/>
      </c>
      <c r="M1399" s="85">
        <f>IF(OR($J1399="",$K1399=""),"",ROUND(($K1399-$J1399)*24-$L1399/60,2))</f>
        <v/>
      </c>
      <c r="N1399" s="16">
        <f>IF($C1399="","",IF(AND(COUNTIF(設定!$B$15:$B$21,$G1399)&gt;0,$J1399&lt;&gt;""),"假日出勤",IF(AND(COUNTIF(設定!$B$6:$B$14,$G1399)&gt;0,$J1399=""),"未打卡",IF($J1399="","",IF($O1399&gt;0,"遲到",IF($P1399&gt;0,"早退","正常"))))))</f>
        <v/>
      </c>
      <c r="O1399" s="84">
        <f>IF(OR($C1399="",$H1399="",$J1399=""),0,IF(ROUND(($J1399-$H1399)*1440,0)&gt;設定!$C$46,ROUND(($J1399-$H1399)*1440,0),0))</f>
        <v/>
      </c>
      <c r="P1399" s="84">
        <f>IF(OR($C1399="",$I1399="",$K1399=""),0,IF(ROUND(($I1399-$K1399)*1440,0)&gt;設定!$C$46,ROUND(($I1399-$K1399)*1440,0),0))</f>
        <v/>
      </c>
      <c r="Q1399" s="85">
        <f>IF($M1399="",0,IF(($M1399-IFERROR(INDEX(設定!$G$6:$G$21,MATCH($G1399,設定!$B$6:$B$21,0)),0))*60&gt;=設定!$C$44,ROUND(FLOOR(($M1399-IFERROR(INDEX(設定!$G$6:$G$21,MATCH($G1399,設定!$B$6:$B$21,0)),0))*60,設定!$C$45)/60,2),0))</f>
        <v/>
      </c>
      <c r="R1399" s="16">
        <f>IF(OR($C1399="",$Q1399=0),"",IF($G1399="國","國定假日",IF($B1399="日","例假",IF($B1399="六","休息日","平日"))))</f>
        <v/>
      </c>
      <c r="S1399" s="19" t="n"/>
    </row>
    <row r="1400">
      <c r="A1400" s="82">
        <f>IF(OR(助理班表!$A50="",3&gt;DAY(EOMONTH(DATE(設定!$C$2,設定!$D$2,1),0))),"",DATE(設定!$C$2,設定!$D$2,3))</f>
        <v/>
      </c>
      <c r="B1400" s="16">
        <f>IF($A1400="","",INDEX(設定!$O$6:$O$12,WEEKDAY($A1400,1)))</f>
        <v/>
      </c>
      <c r="C1400" s="16">
        <f>IF($A1400="","",助理班表!$A50)</f>
        <v/>
      </c>
      <c r="D1400" s="16">
        <f>IF($C1400="","",助理班表!$B50)</f>
        <v/>
      </c>
      <c r="E1400" s="16">
        <f>IF($C1400="","",助理班表!$D50)</f>
        <v/>
      </c>
      <c r="F1400" s="16">
        <f>IF($C1400="","",助理班表!$C50)</f>
        <v/>
      </c>
      <c r="G1400" s="16">
        <f>IF($C1400="","",助理班表!G50)</f>
        <v/>
      </c>
      <c r="H1400" s="83">
        <f>IF($G1400="","",IFERROR(IF(INDEX(設定!$D$6:$D$21,MATCH($G1400,設定!$B$6:$B$21,0))=0,"",INDEX(設定!$D$6:$D$21,MATCH($G1400,設定!$B$6:$B$21,0))),""))</f>
        <v/>
      </c>
      <c r="I1400" s="83">
        <f>IF($G1400="","",IFERROR(IF(INDEX(設定!$E$6:$E$21,MATCH($G1400,設定!$B$6:$B$21,0))=0,"",INDEX(設定!$E$6:$E$21,MATCH($G1400,設定!$B$6:$B$21,0))),""))</f>
        <v/>
      </c>
      <c r="J1400" s="83">
        <f>IFERROR(INDEX(打卡匯入!$C$3:$C$2002,MATCH($C1400&amp;"|"&amp;DAY($A1400),打卡匯入!$E$3:$E$2002,0)),"")</f>
        <v/>
      </c>
      <c r="K1400" s="83">
        <f>IFERROR(INDEX(打卡匯入!$D$3:$D$2002,MATCH($C1400&amp;"|"&amp;DAY($A1400),打卡匯入!$E$3:$E$2002,0)),"")</f>
        <v/>
      </c>
      <c r="L1400" s="84">
        <f>IF(OR($J1400="",$K1400=""),"",IFERROR(INDEX(設定!$F$6:$F$21,MATCH($G1400,設定!$B$6:$B$21,0)),0))</f>
        <v/>
      </c>
      <c r="M1400" s="85">
        <f>IF(OR($J1400="",$K1400=""),"",ROUND(($K1400-$J1400)*24-$L1400/60,2))</f>
        <v/>
      </c>
      <c r="N1400" s="16">
        <f>IF($C1400="","",IF(AND(COUNTIF(設定!$B$15:$B$21,$G1400)&gt;0,$J1400&lt;&gt;""),"假日出勤",IF(AND(COUNTIF(設定!$B$6:$B$14,$G1400)&gt;0,$J1400=""),"未打卡",IF($J1400="","",IF($O1400&gt;0,"遲到",IF($P1400&gt;0,"早退","正常"))))))</f>
        <v/>
      </c>
      <c r="O1400" s="84">
        <f>IF(OR($C1400="",$H1400="",$J1400=""),0,IF(ROUND(($J1400-$H1400)*1440,0)&gt;設定!$C$46,ROUND(($J1400-$H1400)*1440,0),0))</f>
        <v/>
      </c>
      <c r="P1400" s="84">
        <f>IF(OR($C1400="",$I1400="",$K1400=""),0,IF(ROUND(($I1400-$K1400)*1440,0)&gt;設定!$C$46,ROUND(($I1400-$K1400)*1440,0),0))</f>
        <v/>
      </c>
      <c r="Q1400" s="85">
        <f>IF($M1400="",0,IF(($M1400-IFERROR(INDEX(設定!$G$6:$G$21,MATCH($G1400,設定!$B$6:$B$21,0)),0))*60&gt;=設定!$C$44,ROUND(FLOOR(($M1400-IFERROR(INDEX(設定!$G$6:$G$21,MATCH($G1400,設定!$B$6:$B$21,0)),0))*60,設定!$C$45)/60,2),0))</f>
        <v/>
      </c>
      <c r="R1400" s="16">
        <f>IF(OR($C1400="",$Q1400=0),"",IF($G1400="國","國定假日",IF($B1400="日","例假",IF($B1400="六","休息日","平日"))))</f>
        <v/>
      </c>
      <c r="S1400" s="19" t="n"/>
    </row>
    <row r="1401">
      <c r="A1401" s="82">
        <f>IF(OR(助理班表!$A50="",4&gt;DAY(EOMONTH(DATE(設定!$C$2,設定!$D$2,1),0))),"",DATE(設定!$C$2,設定!$D$2,4))</f>
        <v/>
      </c>
      <c r="B1401" s="16">
        <f>IF($A1401="","",INDEX(設定!$O$6:$O$12,WEEKDAY($A1401,1)))</f>
        <v/>
      </c>
      <c r="C1401" s="16">
        <f>IF($A1401="","",助理班表!$A50)</f>
        <v/>
      </c>
      <c r="D1401" s="16">
        <f>IF($C1401="","",助理班表!$B50)</f>
        <v/>
      </c>
      <c r="E1401" s="16">
        <f>IF($C1401="","",助理班表!$D50)</f>
        <v/>
      </c>
      <c r="F1401" s="16">
        <f>IF($C1401="","",助理班表!$C50)</f>
        <v/>
      </c>
      <c r="G1401" s="16">
        <f>IF($C1401="","",助理班表!H50)</f>
        <v/>
      </c>
      <c r="H1401" s="83">
        <f>IF($G1401="","",IFERROR(IF(INDEX(設定!$D$6:$D$21,MATCH($G1401,設定!$B$6:$B$21,0))=0,"",INDEX(設定!$D$6:$D$21,MATCH($G1401,設定!$B$6:$B$21,0))),""))</f>
        <v/>
      </c>
      <c r="I1401" s="83">
        <f>IF($G1401="","",IFERROR(IF(INDEX(設定!$E$6:$E$21,MATCH($G1401,設定!$B$6:$B$21,0))=0,"",INDEX(設定!$E$6:$E$21,MATCH($G1401,設定!$B$6:$B$21,0))),""))</f>
        <v/>
      </c>
      <c r="J1401" s="83">
        <f>IFERROR(INDEX(打卡匯入!$C$3:$C$2002,MATCH($C1401&amp;"|"&amp;DAY($A1401),打卡匯入!$E$3:$E$2002,0)),"")</f>
        <v/>
      </c>
      <c r="K1401" s="83">
        <f>IFERROR(INDEX(打卡匯入!$D$3:$D$2002,MATCH($C1401&amp;"|"&amp;DAY($A1401),打卡匯入!$E$3:$E$2002,0)),"")</f>
        <v/>
      </c>
      <c r="L1401" s="84">
        <f>IF(OR($J1401="",$K1401=""),"",IFERROR(INDEX(設定!$F$6:$F$21,MATCH($G1401,設定!$B$6:$B$21,0)),0))</f>
        <v/>
      </c>
      <c r="M1401" s="85">
        <f>IF(OR($J1401="",$K1401=""),"",ROUND(($K1401-$J1401)*24-$L1401/60,2))</f>
        <v/>
      </c>
      <c r="N1401" s="16">
        <f>IF($C1401="","",IF(AND(COUNTIF(設定!$B$15:$B$21,$G1401)&gt;0,$J1401&lt;&gt;""),"假日出勤",IF(AND(COUNTIF(設定!$B$6:$B$14,$G1401)&gt;0,$J1401=""),"未打卡",IF($J1401="","",IF($O1401&gt;0,"遲到",IF($P1401&gt;0,"早退","正常"))))))</f>
        <v/>
      </c>
      <c r="O1401" s="84">
        <f>IF(OR($C1401="",$H1401="",$J1401=""),0,IF(ROUND(($J1401-$H1401)*1440,0)&gt;設定!$C$46,ROUND(($J1401-$H1401)*1440,0),0))</f>
        <v/>
      </c>
      <c r="P1401" s="84">
        <f>IF(OR($C1401="",$I1401="",$K1401=""),0,IF(ROUND(($I1401-$K1401)*1440,0)&gt;設定!$C$46,ROUND(($I1401-$K1401)*1440,0),0))</f>
        <v/>
      </c>
      <c r="Q1401" s="85">
        <f>IF($M1401="",0,IF(($M1401-IFERROR(INDEX(設定!$G$6:$G$21,MATCH($G1401,設定!$B$6:$B$21,0)),0))*60&gt;=設定!$C$44,ROUND(FLOOR(($M1401-IFERROR(INDEX(設定!$G$6:$G$21,MATCH($G1401,設定!$B$6:$B$21,0)),0))*60,設定!$C$45)/60,2),0))</f>
        <v/>
      </c>
      <c r="R1401" s="16">
        <f>IF(OR($C1401="",$Q1401=0),"",IF($G1401="國","國定假日",IF($B1401="日","例假",IF($B1401="六","休息日","平日"))))</f>
        <v/>
      </c>
      <c r="S1401" s="19" t="n"/>
    </row>
    <row r="1402">
      <c r="A1402" s="82">
        <f>IF(OR(助理班表!$A50="",5&gt;DAY(EOMONTH(DATE(設定!$C$2,設定!$D$2,1),0))),"",DATE(設定!$C$2,設定!$D$2,5))</f>
        <v/>
      </c>
      <c r="B1402" s="16">
        <f>IF($A1402="","",INDEX(設定!$O$6:$O$12,WEEKDAY($A1402,1)))</f>
        <v/>
      </c>
      <c r="C1402" s="16">
        <f>IF($A1402="","",助理班表!$A50)</f>
        <v/>
      </c>
      <c r="D1402" s="16">
        <f>IF($C1402="","",助理班表!$B50)</f>
        <v/>
      </c>
      <c r="E1402" s="16">
        <f>IF($C1402="","",助理班表!$D50)</f>
        <v/>
      </c>
      <c r="F1402" s="16">
        <f>IF($C1402="","",助理班表!$C50)</f>
        <v/>
      </c>
      <c r="G1402" s="16">
        <f>IF($C1402="","",助理班表!I50)</f>
        <v/>
      </c>
      <c r="H1402" s="83">
        <f>IF($G1402="","",IFERROR(IF(INDEX(設定!$D$6:$D$21,MATCH($G1402,設定!$B$6:$B$21,0))=0,"",INDEX(設定!$D$6:$D$21,MATCH($G1402,設定!$B$6:$B$21,0))),""))</f>
        <v/>
      </c>
      <c r="I1402" s="83">
        <f>IF($G1402="","",IFERROR(IF(INDEX(設定!$E$6:$E$21,MATCH($G1402,設定!$B$6:$B$21,0))=0,"",INDEX(設定!$E$6:$E$21,MATCH($G1402,設定!$B$6:$B$21,0))),""))</f>
        <v/>
      </c>
      <c r="J1402" s="83">
        <f>IFERROR(INDEX(打卡匯入!$C$3:$C$2002,MATCH($C1402&amp;"|"&amp;DAY($A1402),打卡匯入!$E$3:$E$2002,0)),"")</f>
        <v/>
      </c>
      <c r="K1402" s="83">
        <f>IFERROR(INDEX(打卡匯入!$D$3:$D$2002,MATCH($C1402&amp;"|"&amp;DAY($A1402),打卡匯入!$E$3:$E$2002,0)),"")</f>
        <v/>
      </c>
      <c r="L1402" s="84">
        <f>IF(OR($J1402="",$K1402=""),"",IFERROR(INDEX(設定!$F$6:$F$21,MATCH($G1402,設定!$B$6:$B$21,0)),0))</f>
        <v/>
      </c>
      <c r="M1402" s="85">
        <f>IF(OR($J1402="",$K1402=""),"",ROUND(($K1402-$J1402)*24-$L1402/60,2))</f>
        <v/>
      </c>
      <c r="N1402" s="16">
        <f>IF($C1402="","",IF(AND(COUNTIF(設定!$B$15:$B$21,$G1402)&gt;0,$J1402&lt;&gt;""),"假日出勤",IF(AND(COUNTIF(設定!$B$6:$B$14,$G1402)&gt;0,$J1402=""),"未打卡",IF($J1402="","",IF($O1402&gt;0,"遲到",IF($P1402&gt;0,"早退","正常"))))))</f>
        <v/>
      </c>
      <c r="O1402" s="84">
        <f>IF(OR($C1402="",$H1402="",$J1402=""),0,IF(ROUND(($J1402-$H1402)*1440,0)&gt;設定!$C$46,ROUND(($J1402-$H1402)*1440,0),0))</f>
        <v/>
      </c>
      <c r="P1402" s="84">
        <f>IF(OR($C1402="",$I1402="",$K1402=""),0,IF(ROUND(($I1402-$K1402)*1440,0)&gt;設定!$C$46,ROUND(($I1402-$K1402)*1440,0),0))</f>
        <v/>
      </c>
      <c r="Q1402" s="85">
        <f>IF($M1402="",0,IF(($M1402-IFERROR(INDEX(設定!$G$6:$G$21,MATCH($G1402,設定!$B$6:$B$21,0)),0))*60&gt;=設定!$C$44,ROUND(FLOOR(($M1402-IFERROR(INDEX(設定!$G$6:$G$21,MATCH($G1402,設定!$B$6:$B$21,0)),0))*60,設定!$C$45)/60,2),0))</f>
        <v/>
      </c>
      <c r="R1402" s="16">
        <f>IF(OR($C1402="",$Q1402=0),"",IF($G1402="國","國定假日",IF($B1402="日","例假",IF($B1402="六","休息日","平日"))))</f>
        <v/>
      </c>
      <c r="S1402" s="19" t="n"/>
    </row>
    <row r="1403">
      <c r="A1403" s="82">
        <f>IF(OR(助理班表!$A50="",6&gt;DAY(EOMONTH(DATE(設定!$C$2,設定!$D$2,1),0))),"",DATE(設定!$C$2,設定!$D$2,6))</f>
        <v/>
      </c>
      <c r="B1403" s="16">
        <f>IF($A1403="","",INDEX(設定!$O$6:$O$12,WEEKDAY($A1403,1)))</f>
        <v/>
      </c>
      <c r="C1403" s="16">
        <f>IF($A1403="","",助理班表!$A50)</f>
        <v/>
      </c>
      <c r="D1403" s="16">
        <f>IF($C1403="","",助理班表!$B50)</f>
        <v/>
      </c>
      <c r="E1403" s="16">
        <f>IF($C1403="","",助理班表!$D50)</f>
        <v/>
      </c>
      <c r="F1403" s="16">
        <f>IF($C1403="","",助理班表!$C50)</f>
        <v/>
      </c>
      <c r="G1403" s="16">
        <f>IF($C1403="","",助理班表!J50)</f>
        <v/>
      </c>
      <c r="H1403" s="83">
        <f>IF($G1403="","",IFERROR(IF(INDEX(設定!$D$6:$D$21,MATCH($G1403,設定!$B$6:$B$21,0))=0,"",INDEX(設定!$D$6:$D$21,MATCH($G1403,設定!$B$6:$B$21,0))),""))</f>
        <v/>
      </c>
      <c r="I1403" s="83">
        <f>IF($G1403="","",IFERROR(IF(INDEX(設定!$E$6:$E$21,MATCH($G1403,設定!$B$6:$B$21,0))=0,"",INDEX(設定!$E$6:$E$21,MATCH($G1403,設定!$B$6:$B$21,0))),""))</f>
        <v/>
      </c>
      <c r="J1403" s="83">
        <f>IFERROR(INDEX(打卡匯入!$C$3:$C$2002,MATCH($C1403&amp;"|"&amp;DAY($A1403),打卡匯入!$E$3:$E$2002,0)),"")</f>
        <v/>
      </c>
      <c r="K1403" s="83">
        <f>IFERROR(INDEX(打卡匯入!$D$3:$D$2002,MATCH($C1403&amp;"|"&amp;DAY($A1403),打卡匯入!$E$3:$E$2002,0)),"")</f>
        <v/>
      </c>
      <c r="L1403" s="84">
        <f>IF(OR($J1403="",$K1403=""),"",IFERROR(INDEX(設定!$F$6:$F$21,MATCH($G1403,設定!$B$6:$B$21,0)),0))</f>
        <v/>
      </c>
      <c r="M1403" s="85">
        <f>IF(OR($J1403="",$K1403=""),"",ROUND(($K1403-$J1403)*24-$L1403/60,2))</f>
        <v/>
      </c>
      <c r="N1403" s="16">
        <f>IF($C1403="","",IF(AND(COUNTIF(設定!$B$15:$B$21,$G1403)&gt;0,$J1403&lt;&gt;""),"假日出勤",IF(AND(COUNTIF(設定!$B$6:$B$14,$G1403)&gt;0,$J1403=""),"未打卡",IF($J1403="","",IF($O1403&gt;0,"遲到",IF($P1403&gt;0,"早退","正常"))))))</f>
        <v/>
      </c>
      <c r="O1403" s="84">
        <f>IF(OR($C1403="",$H1403="",$J1403=""),0,IF(ROUND(($J1403-$H1403)*1440,0)&gt;設定!$C$46,ROUND(($J1403-$H1403)*1440,0),0))</f>
        <v/>
      </c>
      <c r="P1403" s="84">
        <f>IF(OR($C1403="",$I1403="",$K1403=""),0,IF(ROUND(($I1403-$K1403)*1440,0)&gt;設定!$C$46,ROUND(($I1403-$K1403)*1440,0),0))</f>
        <v/>
      </c>
      <c r="Q1403" s="85">
        <f>IF($M1403="",0,IF(($M1403-IFERROR(INDEX(設定!$G$6:$G$21,MATCH($G1403,設定!$B$6:$B$21,0)),0))*60&gt;=設定!$C$44,ROUND(FLOOR(($M1403-IFERROR(INDEX(設定!$G$6:$G$21,MATCH($G1403,設定!$B$6:$B$21,0)),0))*60,設定!$C$45)/60,2),0))</f>
        <v/>
      </c>
      <c r="R1403" s="16">
        <f>IF(OR($C1403="",$Q1403=0),"",IF($G1403="國","國定假日",IF($B1403="日","例假",IF($B1403="六","休息日","平日"))))</f>
        <v/>
      </c>
      <c r="S1403" s="19" t="n"/>
    </row>
    <row r="1404">
      <c r="A1404" s="82">
        <f>IF(OR(助理班表!$A50="",7&gt;DAY(EOMONTH(DATE(設定!$C$2,設定!$D$2,1),0))),"",DATE(設定!$C$2,設定!$D$2,7))</f>
        <v/>
      </c>
      <c r="B1404" s="16">
        <f>IF($A1404="","",INDEX(設定!$O$6:$O$12,WEEKDAY($A1404,1)))</f>
        <v/>
      </c>
      <c r="C1404" s="16">
        <f>IF($A1404="","",助理班表!$A50)</f>
        <v/>
      </c>
      <c r="D1404" s="16">
        <f>IF($C1404="","",助理班表!$B50)</f>
        <v/>
      </c>
      <c r="E1404" s="16">
        <f>IF($C1404="","",助理班表!$D50)</f>
        <v/>
      </c>
      <c r="F1404" s="16">
        <f>IF($C1404="","",助理班表!$C50)</f>
        <v/>
      </c>
      <c r="G1404" s="16">
        <f>IF($C1404="","",助理班表!K50)</f>
        <v/>
      </c>
      <c r="H1404" s="83">
        <f>IF($G1404="","",IFERROR(IF(INDEX(設定!$D$6:$D$21,MATCH($G1404,設定!$B$6:$B$21,0))=0,"",INDEX(設定!$D$6:$D$21,MATCH($G1404,設定!$B$6:$B$21,0))),""))</f>
        <v/>
      </c>
      <c r="I1404" s="83">
        <f>IF($G1404="","",IFERROR(IF(INDEX(設定!$E$6:$E$21,MATCH($G1404,設定!$B$6:$B$21,0))=0,"",INDEX(設定!$E$6:$E$21,MATCH($G1404,設定!$B$6:$B$21,0))),""))</f>
        <v/>
      </c>
      <c r="J1404" s="83">
        <f>IFERROR(INDEX(打卡匯入!$C$3:$C$2002,MATCH($C1404&amp;"|"&amp;DAY($A1404),打卡匯入!$E$3:$E$2002,0)),"")</f>
        <v/>
      </c>
      <c r="K1404" s="83">
        <f>IFERROR(INDEX(打卡匯入!$D$3:$D$2002,MATCH($C1404&amp;"|"&amp;DAY($A1404),打卡匯入!$E$3:$E$2002,0)),"")</f>
        <v/>
      </c>
      <c r="L1404" s="84">
        <f>IF(OR($J1404="",$K1404=""),"",IFERROR(INDEX(設定!$F$6:$F$21,MATCH($G1404,設定!$B$6:$B$21,0)),0))</f>
        <v/>
      </c>
      <c r="M1404" s="85">
        <f>IF(OR($J1404="",$K1404=""),"",ROUND(($K1404-$J1404)*24-$L1404/60,2))</f>
        <v/>
      </c>
      <c r="N1404" s="16">
        <f>IF($C1404="","",IF(AND(COUNTIF(設定!$B$15:$B$21,$G1404)&gt;0,$J1404&lt;&gt;""),"假日出勤",IF(AND(COUNTIF(設定!$B$6:$B$14,$G1404)&gt;0,$J1404=""),"未打卡",IF($J1404="","",IF($O1404&gt;0,"遲到",IF($P1404&gt;0,"早退","正常"))))))</f>
        <v/>
      </c>
      <c r="O1404" s="84">
        <f>IF(OR($C1404="",$H1404="",$J1404=""),0,IF(ROUND(($J1404-$H1404)*1440,0)&gt;設定!$C$46,ROUND(($J1404-$H1404)*1440,0),0))</f>
        <v/>
      </c>
      <c r="P1404" s="84">
        <f>IF(OR($C1404="",$I1404="",$K1404=""),0,IF(ROUND(($I1404-$K1404)*1440,0)&gt;設定!$C$46,ROUND(($I1404-$K1404)*1440,0),0))</f>
        <v/>
      </c>
      <c r="Q1404" s="85">
        <f>IF($M1404="",0,IF(($M1404-IFERROR(INDEX(設定!$G$6:$G$21,MATCH($G1404,設定!$B$6:$B$21,0)),0))*60&gt;=設定!$C$44,ROUND(FLOOR(($M1404-IFERROR(INDEX(設定!$G$6:$G$21,MATCH($G1404,設定!$B$6:$B$21,0)),0))*60,設定!$C$45)/60,2),0))</f>
        <v/>
      </c>
      <c r="R1404" s="16">
        <f>IF(OR($C1404="",$Q1404=0),"",IF($G1404="國","國定假日",IF($B1404="日","例假",IF($B1404="六","休息日","平日"))))</f>
        <v/>
      </c>
      <c r="S1404" s="19" t="n"/>
    </row>
    <row r="1405">
      <c r="A1405" s="82">
        <f>IF(OR(助理班表!$A50="",8&gt;DAY(EOMONTH(DATE(設定!$C$2,設定!$D$2,1),0))),"",DATE(設定!$C$2,設定!$D$2,8))</f>
        <v/>
      </c>
      <c r="B1405" s="16">
        <f>IF($A1405="","",INDEX(設定!$O$6:$O$12,WEEKDAY($A1405,1)))</f>
        <v/>
      </c>
      <c r="C1405" s="16">
        <f>IF($A1405="","",助理班表!$A50)</f>
        <v/>
      </c>
      <c r="D1405" s="16">
        <f>IF($C1405="","",助理班表!$B50)</f>
        <v/>
      </c>
      <c r="E1405" s="16">
        <f>IF($C1405="","",助理班表!$D50)</f>
        <v/>
      </c>
      <c r="F1405" s="16">
        <f>IF($C1405="","",助理班表!$C50)</f>
        <v/>
      </c>
      <c r="G1405" s="16">
        <f>IF($C1405="","",助理班表!L50)</f>
        <v/>
      </c>
      <c r="H1405" s="83">
        <f>IF($G1405="","",IFERROR(IF(INDEX(設定!$D$6:$D$21,MATCH($G1405,設定!$B$6:$B$21,0))=0,"",INDEX(設定!$D$6:$D$21,MATCH($G1405,設定!$B$6:$B$21,0))),""))</f>
        <v/>
      </c>
      <c r="I1405" s="83">
        <f>IF($G1405="","",IFERROR(IF(INDEX(設定!$E$6:$E$21,MATCH($G1405,設定!$B$6:$B$21,0))=0,"",INDEX(設定!$E$6:$E$21,MATCH($G1405,設定!$B$6:$B$21,0))),""))</f>
        <v/>
      </c>
      <c r="J1405" s="83">
        <f>IFERROR(INDEX(打卡匯入!$C$3:$C$2002,MATCH($C1405&amp;"|"&amp;DAY($A1405),打卡匯入!$E$3:$E$2002,0)),"")</f>
        <v/>
      </c>
      <c r="K1405" s="83">
        <f>IFERROR(INDEX(打卡匯入!$D$3:$D$2002,MATCH($C1405&amp;"|"&amp;DAY($A1405),打卡匯入!$E$3:$E$2002,0)),"")</f>
        <v/>
      </c>
      <c r="L1405" s="84">
        <f>IF(OR($J1405="",$K1405=""),"",IFERROR(INDEX(設定!$F$6:$F$21,MATCH($G1405,設定!$B$6:$B$21,0)),0))</f>
        <v/>
      </c>
      <c r="M1405" s="85">
        <f>IF(OR($J1405="",$K1405=""),"",ROUND(($K1405-$J1405)*24-$L1405/60,2))</f>
        <v/>
      </c>
      <c r="N1405" s="16">
        <f>IF($C1405="","",IF(AND(COUNTIF(設定!$B$15:$B$21,$G1405)&gt;0,$J1405&lt;&gt;""),"假日出勤",IF(AND(COUNTIF(設定!$B$6:$B$14,$G1405)&gt;0,$J1405=""),"未打卡",IF($J1405="","",IF($O1405&gt;0,"遲到",IF($P1405&gt;0,"早退","正常"))))))</f>
        <v/>
      </c>
      <c r="O1405" s="84">
        <f>IF(OR($C1405="",$H1405="",$J1405=""),0,IF(ROUND(($J1405-$H1405)*1440,0)&gt;設定!$C$46,ROUND(($J1405-$H1405)*1440,0),0))</f>
        <v/>
      </c>
      <c r="P1405" s="84">
        <f>IF(OR($C1405="",$I1405="",$K1405=""),0,IF(ROUND(($I1405-$K1405)*1440,0)&gt;設定!$C$46,ROUND(($I1405-$K1405)*1440,0),0))</f>
        <v/>
      </c>
      <c r="Q1405" s="85">
        <f>IF($M1405="",0,IF(($M1405-IFERROR(INDEX(設定!$G$6:$G$21,MATCH($G1405,設定!$B$6:$B$21,0)),0))*60&gt;=設定!$C$44,ROUND(FLOOR(($M1405-IFERROR(INDEX(設定!$G$6:$G$21,MATCH($G1405,設定!$B$6:$B$21,0)),0))*60,設定!$C$45)/60,2),0))</f>
        <v/>
      </c>
      <c r="R1405" s="16">
        <f>IF(OR($C1405="",$Q1405=0),"",IF($G1405="國","國定假日",IF($B1405="日","例假",IF($B1405="六","休息日","平日"))))</f>
        <v/>
      </c>
      <c r="S1405" s="19" t="n"/>
    </row>
    <row r="1406">
      <c r="A1406" s="82">
        <f>IF(OR(助理班表!$A50="",9&gt;DAY(EOMONTH(DATE(設定!$C$2,設定!$D$2,1),0))),"",DATE(設定!$C$2,設定!$D$2,9))</f>
        <v/>
      </c>
      <c r="B1406" s="16">
        <f>IF($A1406="","",INDEX(設定!$O$6:$O$12,WEEKDAY($A1406,1)))</f>
        <v/>
      </c>
      <c r="C1406" s="16">
        <f>IF($A1406="","",助理班表!$A50)</f>
        <v/>
      </c>
      <c r="D1406" s="16">
        <f>IF($C1406="","",助理班表!$B50)</f>
        <v/>
      </c>
      <c r="E1406" s="16">
        <f>IF($C1406="","",助理班表!$D50)</f>
        <v/>
      </c>
      <c r="F1406" s="16">
        <f>IF($C1406="","",助理班表!$C50)</f>
        <v/>
      </c>
      <c r="G1406" s="16">
        <f>IF($C1406="","",助理班表!M50)</f>
        <v/>
      </c>
      <c r="H1406" s="83">
        <f>IF($G1406="","",IFERROR(IF(INDEX(設定!$D$6:$D$21,MATCH($G1406,設定!$B$6:$B$21,0))=0,"",INDEX(設定!$D$6:$D$21,MATCH($G1406,設定!$B$6:$B$21,0))),""))</f>
        <v/>
      </c>
      <c r="I1406" s="83">
        <f>IF($G1406="","",IFERROR(IF(INDEX(設定!$E$6:$E$21,MATCH($G1406,設定!$B$6:$B$21,0))=0,"",INDEX(設定!$E$6:$E$21,MATCH($G1406,設定!$B$6:$B$21,0))),""))</f>
        <v/>
      </c>
      <c r="J1406" s="83">
        <f>IFERROR(INDEX(打卡匯入!$C$3:$C$2002,MATCH($C1406&amp;"|"&amp;DAY($A1406),打卡匯入!$E$3:$E$2002,0)),"")</f>
        <v/>
      </c>
      <c r="K1406" s="83">
        <f>IFERROR(INDEX(打卡匯入!$D$3:$D$2002,MATCH($C1406&amp;"|"&amp;DAY($A1406),打卡匯入!$E$3:$E$2002,0)),"")</f>
        <v/>
      </c>
      <c r="L1406" s="84">
        <f>IF(OR($J1406="",$K1406=""),"",IFERROR(INDEX(設定!$F$6:$F$21,MATCH($G1406,設定!$B$6:$B$21,0)),0))</f>
        <v/>
      </c>
      <c r="M1406" s="85">
        <f>IF(OR($J1406="",$K1406=""),"",ROUND(($K1406-$J1406)*24-$L1406/60,2))</f>
        <v/>
      </c>
      <c r="N1406" s="16">
        <f>IF($C1406="","",IF(AND(COUNTIF(設定!$B$15:$B$21,$G1406)&gt;0,$J1406&lt;&gt;""),"假日出勤",IF(AND(COUNTIF(設定!$B$6:$B$14,$G1406)&gt;0,$J1406=""),"未打卡",IF($J1406="","",IF($O1406&gt;0,"遲到",IF($P1406&gt;0,"早退","正常"))))))</f>
        <v/>
      </c>
      <c r="O1406" s="84">
        <f>IF(OR($C1406="",$H1406="",$J1406=""),0,IF(ROUND(($J1406-$H1406)*1440,0)&gt;設定!$C$46,ROUND(($J1406-$H1406)*1440,0),0))</f>
        <v/>
      </c>
      <c r="P1406" s="84">
        <f>IF(OR($C1406="",$I1406="",$K1406=""),0,IF(ROUND(($I1406-$K1406)*1440,0)&gt;設定!$C$46,ROUND(($I1406-$K1406)*1440,0),0))</f>
        <v/>
      </c>
      <c r="Q1406" s="85">
        <f>IF($M1406="",0,IF(($M1406-IFERROR(INDEX(設定!$G$6:$G$21,MATCH($G1406,設定!$B$6:$B$21,0)),0))*60&gt;=設定!$C$44,ROUND(FLOOR(($M1406-IFERROR(INDEX(設定!$G$6:$G$21,MATCH($G1406,設定!$B$6:$B$21,0)),0))*60,設定!$C$45)/60,2),0))</f>
        <v/>
      </c>
      <c r="R1406" s="16">
        <f>IF(OR($C1406="",$Q1406=0),"",IF($G1406="國","國定假日",IF($B1406="日","例假",IF($B1406="六","休息日","平日"))))</f>
        <v/>
      </c>
      <c r="S1406" s="19" t="n"/>
    </row>
    <row r="1407">
      <c r="A1407" s="82">
        <f>IF(OR(助理班表!$A50="",10&gt;DAY(EOMONTH(DATE(設定!$C$2,設定!$D$2,1),0))),"",DATE(設定!$C$2,設定!$D$2,10))</f>
        <v/>
      </c>
      <c r="B1407" s="16">
        <f>IF($A1407="","",INDEX(設定!$O$6:$O$12,WEEKDAY($A1407,1)))</f>
        <v/>
      </c>
      <c r="C1407" s="16">
        <f>IF($A1407="","",助理班表!$A50)</f>
        <v/>
      </c>
      <c r="D1407" s="16">
        <f>IF($C1407="","",助理班表!$B50)</f>
        <v/>
      </c>
      <c r="E1407" s="16">
        <f>IF($C1407="","",助理班表!$D50)</f>
        <v/>
      </c>
      <c r="F1407" s="16">
        <f>IF($C1407="","",助理班表!$C50)</f>
        <v/>
      </c>
      <c r="G1407" s="16">
        <f>IF($C1407="","",助理班表!N50)</f>
        <v/>
      </c>
      <c r="H1407" s="83">
        <f>IF($G1407="","",IFERROR(IF(INDEX(設定!$D$6:$D$21,MATCH($G1407,設定!$B$6:$B$21,0))=0,"",INDEX(設定!$D$6:$D$21,MATCH($G1407,設定!$B$6:$B$21,0))),""))</f>
        <v/>
      </c>
      <c r="I1407" s="83">
        <f>IF($G1407="","",IFERROR(IF(INDEX(設定!$E$6:$E$21,MATCH($G1407,設定!$B$6:$B$21,0))=0,"",INDEX(設定!$E$6:$E$21,MATCH($G1407,設定!$B$6:$B$21,0))),""))</f>
        <v/>
      </c>
      <c r="J1407" s="83">
        <f>IFERROR(INDEX(打卡匯入!$C$3:$C$2002,MATCH($C1407&amp;"|"&amp;DAY($A1407),打卡匯入!$E$3:$E$2002,0)),"")</f>
        <v/>
      </c>
      <c r="K1407" s="83">
        <f>IFERROR(INDEX(打卡匯入!$D$3:$D$2002,MATCH($C1407&amp;"|"&amp;DAY($A1407),打卡匯入!$E$3:$E$2002,0)),"")</f>
        <v/>
      </c>
      <c r="L1407" s="84">
        <f>IF(OR($J1407="",$K1407=""),"",IFERROR(INDEX(設定!$F$6:$F$21,MATCH($G1407,設定!$B$6:$B$21,0)),0))</f>
        <v/>
      </c>
      <c r="M1407" s="85">
        <f>IF(OR($J1407="",$K1407=""),"",ROUND(($K1407-$J1407)*24-$L1407/60,2))</f>
        <v/>
      </c>
      <c r="N1407" s="16">
        <f>IF($C1407="","",IF(AND(COUNTIF(設定!$B$15:$B$21,$G1407)&gt;0,$J1407&lt;&gt;""),"假日出勤",IF(AND(COUNTIF(設定!$B$6:$B$14,$G1407)&gt;0,$J1407=""),"未打卡",IF($J1407="","",IF($O1407&gt;0,"遲到",IF($P1407&gt;0,"早退","正常"))))))</f>
        <v/>
      </c>
      <c r="O1407" s="84">
        <f>IF(OR($C1407="",$H1407="",$J1407=""),0,IF(ROUND(($J1407-$H1407)*1440,0)&gt;設定!$C$46,ROUND(($J1407-$H1407)*1440,0),0))</f>
        <v/>
      </c>
      <c r="P1407" s="84">
        <f>IF(OR($C1407="",$I1407="",$K1407=""),0,IF(ROUND(($I1407-$K1407)*1440,0)&gt;設定!$C$46,ROUND(($I1407-$K1407)*1440,0),0))</f>
        <v/>
      </c>
      <c r="Q1407" s="85">
        <f>IF($M1407="",0,IF(($M1407-IFERROR(INDEX(設定!$G$6:$G$21,MATCH($G1407,設定!$B$6:$B$21,0)),0))*60&gt;=設定!$C$44,ROUND(FLOOR(($M1407-IFERROR(INDEX(設定!$G$6:$G$21,MATCH($G1407,設定!$B$6:$B$21,0)),0))*60,設定!$C$45)/60,2),0))</f>
        <v/>
      </c>
      <c r="R1407" s="16">
        <f>IF(OR($C1407="",$Q1407=0),"",IF($G1407="國","國定假日",IF($B1407="日","例假",IF($B1407="六","休息日","平日"))))</f>
        <v/>
      </c>
      <c r="S1407" s="19" t="n"/>
    </row>
    <row r="1408">
      <c r="A1408" s="82">
        <f>IF(OR(助理班表!$A50="",11&gt;DAY(EOMONTH(DATE(設定!$C$2,設定!$D$2,1),0))),"",DATE(設定!$C$2,設定!$D$2,11))</f>
        <v/>
      </c>
      <c r="B1408" s="16">
        <f>IF($A1408="","",INDEX(設定!$O$6:$O$12,WEEKDAY($A1408,1)))</f>
        <v/>
      </c>
      <c r="C1408" s="16">
        <f>IF($A1408="","",助理班表!$A50)</f>
        <v/>
      </c>
      <c r="D1408" s="16">
        <f>IF($C1408="","",助理班表!$B50)</f>
        <v/>
      </c>
      <c r="E1408" s="16">
        <f>IF($C1408="","",助理班表!$D50)</f>
        <v/>
      </c>
      <c r="F1408" s="16">
        <f>IF($C1408="","",助理班表!$C50)</f>
        <v/>
      </c>
      <c r="G1408" s="16">
        <f>IF($C1408="","",助理班表!O50)</f>
        <v/>
      </c>
      <c r="H1408" s="83">
        <f>IF($G1408="","",IFERROR(IF(INDEX(設定!$D$6:$D$21,MATCH($G1408,設定!$B$6:$B$21,0))=0,"",INDEX(設定!$D$6:$D$21,MATCH($G1408,設定!$B$6:$B$21,0))),""))</f>
        <v/>
      </c>
      <c r="I1408" s="83">
        <f>IF($G1408="","",IFERROR(IF(INDEX(設定!$E$6:$E$21,MATCH($G1408,設定!$B$6:$B$21,0))=0,"",INDEX(設定!$E$6:$E$21,MATCH($G1408,設定!$B$6:$B$21,0))),""))</f>
        <v/>
      </c>
      <c r="J1408" s="83">
        <f>IFERROR(INDEX(打卡匯入!$C$3:$C$2002,MATCH($C1408&amp;"|"&amp;DAY($A1408),打卡匯入!$E$3:$E$2002,0)),"")</f>
        <v/>
      </c>
      <c r="K1408" s="83">
        <f>IFERROR(INDEX(打卡匯入!$D$3:$D$2002,MATCH($C1408&amp;"|"&amp;DAY($A1408),打卡匯入!$E$3:$E$2002,0)),"")</f>
        <v/>
      </c>
      <c r="L1408" s="84">
        <f>IF(OR($J1408="",$K1408=""),"",IFERROR(INDEX(設定!$F$6:$F$21,MATCH($G1408,設定!$B$6:$B$21,0)),0))</f>
        <v/>
      </c>
      <c r="M1408" s="85">
        <f>IF(OR($J1408="",$K1408=""),"",ROUND(($K1408-$J1408)*24-$L1408/60,2))</f>
        <v/>
      </c>
      <c r="N1408" s="16">
        <f>IF($C1408="","",IF(AND(COUNTIF(設定!$B$15:$B$21,$G1408)&gt;0,$J1408&lt;&gt;""),"假日出勤",IF(AND(COUNTIF(設定!$B$6:$B$14,$G1408)&gt;0,$J1408=""),"未打卡",IF($J1408="","",IF($O1408&gt;0,"遲到",IF($P1408&gt;0,"早退","正常"))))))</f>
        <v/>
      </c>
      <c r="O1408" s="84">
        <f>IF(OR($C1408="",$H1408="",$J1408=""),0,IF(ROUND(($J1408-$H1408)*1440,0)&gt;設定!$C$46,ROUND(($J1408-$H1408)*1440,0),0))</f>
        <v/>
      </c>
      <c r="P1408" s="84">
        <f>IF(OR($C1408="",$I1408="",$K1408=""),0,IF(ROUND(($I1408-$K1408)*1440,0)&gt;設定!$C$46,ROUND(($I1408-$K1408)*1440,0),0))</f>
        <v/>
      </c>
      <c r="Q1408" s="85">
        <f>IF($M1408="",0,IF(($M1408-IFERROR(INDEX(設定!$G$6:$G$21,MATCH($G1408,設定!$B$6:$B$21,0)),0))*60&gt;=設定!$C$44,ROUND(FLOOR(($M1408-IFERROR(INDEX(設定!$G$6:$G$21,MATCH($G1408,設定!$B$6:$B$21,0)),0))*60,設定!$C$45)/60,2),0))</f>
        <v/>
      </c>
      <c r="R1408" s="16">
        <f>IF(OR($C1408="",$Q1408=0),"",IF($G1408="國","國定假日",IF($B1408="日","例假",IF($B1408="六","休息日","平日"))))</f>
        <v/>
      </c>
      <c r="S1408" s="19" t="n"/>
    </row>
    <row r="1409">
      <c r="A1409" s="82">
        <f>IF(OR(助理班表!$A50="",12&gt;DAY(EOMONTH(DATE(設定!$C$2,設定!$D$2,1),0))),"",DATE(設定!$C$2,設定!$D$2,12))</f>
        <v/>
      </c>
      <c r="B1409" s="16">
        <f>IF($A1409="","",INDEX(設定!$O$6:$O$12,WEEKDAY($A1409,1)))</f>
        <v/>
      </c>
      <c r="C1409" s="16">
        <f>IF($A1409="","",助理班表!$A50)</f>
        <v/>
      </c>
      <c r="D1409" s="16">
        <f>IF($C1409="","",助理班表!$B50)</f>
        <v/>
      </c>
      <c r="E1409" s="16">
        <f>IF($C1409="","",助理班表!$D50)</f>
        <v/>
      </c>
      <c r="F1409" s="16">
        <f>IF($C1409="","",助理班表!$C50)</f>
        <v/>
      </c>
      <c r="G1409" s="16">
        <f>IF($C1409="","",助理班表!P50)</f>
        <v/>
      </c>
      <c r="H1409" s="83">
        <f>IF($G1409="","",IFERROR(IF(INDEX(設定!$D$6:$D$21,MATCH($G1409,設定!$B$6:$B$21,0))=0,"",INDEX(設定!$D$6:$D$21,MATCH($G1409,設定!$B$6:$B$21,0))),""))</f>
        <v/>
      </c>
      <c r="I1409" s="83">
        <f>IF($G1409="","",IFERROR(IF(INDEX(設定!$E$6:$E$21,MATCH($G1409,設定!$B$6:$B$21,0))=0,"",INDEX(設定!$E$6:$E$21,MATCH($G1409,設定!$B$6:$B$21,0))),""))</f>
        <v/>
      </c>
      <c r="J1409" s="83">
        <f>IFERROR(INDEX(打卡匯入!$C$3:$C$2002,MATCH($C1409&amp;"|"&amp;DAY($A1409),打卡匯入!$E$3:$E$2002,0)),"")</f>
        <v/>
      </c>
      <c r="K1409" s="83">
        <f>IFERROR(INDEX(打卡匯入!$D$3:$D$2002,MATCH($C1409&amp;"|"&amp;DAY($A1409),打卡匯入!$E$3:$E$2002,0)),"")</f>
        <v/>
      </c>
      <c r="L1409" s="84">
        <f>IF(OR($J1409="",$K1409=""),"",IFERROR(INDEX(設定!$F$6:$F$21,MATCH($G1409,設定!$B$6:$B$21,0)),0))</f>
        <v/>
      </c>
      <c r="M1409" s="85">
        <f>IF(OR($J1409="",$K1409=""),"",ROUND(($K1409-$J1409)*24-$L1409/60,2))</f>
        <v/>
      </c>
      <c r="N1409" s="16">
        <f>IF($C1409="","",IF(AND(COUNTIF(設定!$B$15:$B$21,$G1409)&gt;0,$J1409&lt;&gt;""),"假日出勤",IF(AND(COUNTIF(設定!$B$6:$B$14,$G1409)&gt;0,$J1409=""),"未打卡",IF($J1409="","",IF($O1409&gt;0,"遲到",IF($P1409&gt;0,"早退","正常"))))))</f>
        <v/>
      </c>
      <c r="O1409" s="84">
        <f>IF(OR($C1409="",$H1409="",$J1409=""),0,IF(ROUND(($J1409-$H1409)*1440,0)&gt;設定!$C$46,ROUND(($J1409-$H1409)*1440,0),0))</f>
        <v/>
      </c>
      <c r="P1409" s="84">
        <f>IF(OR($C1409="",$I1409="",$K1409=""),0,IF(ROUND(($I1409-$K1409)*1440,0)&gt;設定!$C$46,ROUND(($I1409-$K1409)*1440,0),0))</f>
        <v/>
      </c>
      <c r="Q1409" s="85">
        <f>IF($M1409="",0,IF(($M1409-IFERROR(INDEX(設定!$G$6:$G$21,MATCH($G1409,設定!$B$6:$B$21,0)),0))*60&gt;=設定!$C$44,ROUND(FLOOR(($M1409-IFERROR(INDEX(設定!$G$6:$G$21,MATCH($G1409,設定!$B$6:$B$21,0)),0))*60,設定!$C$45)/60,2),0))</f>
        <v/>
      </c>
      <c r="R1409" s="16">
        <f>IF(OR($C1409="",$Q1409=0),"",IF($G1409="國","國定假日",IF($B1409="日","例假",IF($B1409="六","休息日","平日"))))</f>
        <v/>
      </c>
      <c r="S1409" s="19" t="n"/>
    </row>
    <row r="1410">
      <c r="A1410" s="82">
        <f>IF(OR(助理班表!$A50="",13&gt;DAY(EOMONTH(DATE(設定!$C$2,設定!$D$2,1),0))),"",DATE(設定!$C$2,設定!$D$2,13))</f>
        <v/>
      </c>
      <c r="B1410" s="16">
        <f>IF($A1410="","",INDEX(設定!$O$6:$O$12,WEEKDAY($A1410,1)))</f>
        <v/>
      </c>
      <c r="C1410" s="16">
        <f>IF($A1410="","",助理班表!$A50)</f>
        <v/>
      </c>
      <c r="D1410" s="16">
        <f>IF($C1410="","",助理班表!$B50)</f>
        <v/>
      </c>
      <c r="E1410" s="16">
        <f>IF($C1410="","",助理班表!$D50)</f>
        <v/>
      </c>
      <c r="F1410" s="16">
        <f>IF($C1410="","",助理班表!$C50)</f>
        <v/>
      </c>
      <c r="G1410" s="16">
        <f>IF($C1410="","",助理班表!Q50)</f>
        <v/>
      </c>
      <c r="H1410" s="83">
        <f>IF($G1410="","",IFERROR(IF(INDEX(設定!$D$6:$D$21,MATCH($G1410,設定!$B$6:$B$21,0))=0,"",INDEX(設定!$D$6:$D$21,MATCH($G1410,設定!$B$6:$B$21,0))),""))</f>
        <v/>
      </c>
      <c r="I1410" s="83">
        <f>IF($G1410="","",IFERROR(IF(INDEX(設定!$E$6:$E$21,MATCH($G1410,設定!$B$6:$B$21,0))=0,"",INDEX(設定!$E$6:$E$21,MATCH($G1410,設定!$B$6:$B$21,0))),""))</f>
        <v/>
      </c>
      <c r="J1410" s="83">
        <f>IFERROR(INDEX(打卡匯入!$C$3:$C$2002,MATCH($C1410&amp;"|"&amp;DAY($A1410),打卡匯入!$E$3:$E$2002,0)),"")</f>
        <v/>
      </c>
      <c r="K1410" s="83">
        <f>IFERROR(INDEX(打卡匯入!$D$3:$D$2002,MATCH($C1410&amp;"|"&amp;DAY($A1410),打卡匯入!$E$3:$E$2002,0)),"")</f>
        <v/>
      </c>
      <c r="L1410" s="84">
        <f>IF(OR($J1410="",$K1410=""),"",IFERROR(INDEX(設定!$F$6:$F$21,MATCH($G1410,設定!$B$6:$B$21,0)),0))</f>
        <v/>
      </c>
      <c r="M1410" s="85">
        <f>IF(OR($J1410="",$K1410=""),"",ROUND(($K1410-$J1410)*24-$L1410/60,2))</f>
        <v/>
      </c>
      <c r="N1410" s="16">
        <f>IF($C1410="","",IF(AND(COUNTIF(設定!$B$15:$B$21,$G1410)&gt;0,$J1410&lt;&gt;""),"假日出勤",IF(AND(COUNTIF(設定!$B$6:$B$14,$G1410)&gt;0,$J1410=""),"未打卡",IF($J1410="","",IF($O1410&gt;0,"遲到",IF($P1410&gt;0,"早退","正常"))))))</f>
        <v/>
      </c>
      <c r="O1410" s="84">
        <f>IF(OR($C1410="",$H1410="",$J1410=""),0,IF(ROUND(($J1410-$H1410)*1440,0)&gt;設定!$C$46,ROUND(($J1410-$H1410)*1440,0),0))</f>
        <v/>
      </c>
      <c r="P1410" s="84">
        <f>IF(OR($C1410="",$I1410="",$K1410=""),0,IF(ROUND(($I1410-$K1410)*1440,0)&gt;設定!$C$46,ROUND(($I1410-$K1410)*1440,0),0))</f>
        <v/>
      </c>
      <c r="Q1410" s="85">
        <f>IF($M1410="",0,IF(($M1410-IFERROR(INDEX(設定!$G$6:$G$21,MATCH($G1410,設定!$B$6:$B$21,0)),0))*60&gt;=設定!$C$44,ROUND(FLOOR(($M1410-IFERROR(INDEX(設定!$G$6:$G$21,MATCH($G1410,設定!$B$6:$B$21,0)),0))*60,設定!$C$45)/60,2),0))</f>
        <v/>
      </c>
      <c r="R1410" s="16">
        <f>IF(OR($C1410="",$Q1410=0),"",IF($G1410="國","國定假日",IF($B1410="日","例假",IF($B1410="六","休息日","平日"))))</f>
        <v/>
      </c>
      <c r="S1410" s="19" t="n"/>
    </row>
    <row r="1411">
      <c r="A1411" s="82">
        <f>IF(OR(助理班表!$A50="",14&gt;DAY(EOMONTH(DATE(設定!$C$2,設定!$D$2,1),0))),"",DATE(設定!$C$2,設定!$D$2,14))</f>
        <v/>
      </c>
      <c r="B1411" s="16">
        <f>IF($A1411="","",INDEX(設定!$O$6:$O$12,WEEKDAY($A1411,1)))</f>
        <v/>
      </c>
      <c r="C1411" s="16">
        <f>IF($A1411="","",助理班表!$A50)</f>
        <v/>
      </c>
      <c r="D1411" s="16">
        <f>IF($C1411="","",助理班表!$B50)</f>
        <v/>
      </c>
      <c r="E1411" s="16">
        <f>IF($C1411="","",助理班表!$D50)</f>
        <v/>
      </c>
      <c r="F1411" s="16">
        <f>IF($C1411="","",助理班表!$C50)</f>
        <v/>
      </c>
      <c r="G1411" s="16">
        <f>IF($C1411="","",助理班表!R50)</f>
        <v/>
      </c>
      <c r="H1411" s="83">
        <f>IF($G1411="","",IFERROR(IF(INDEX(設定!$D$6:$D$21,MATCH($G1411,設定!$B$6:$B$21,0))=0,"",INDEX(設定!$D$6:$D$21,MATCH($G1411,設定!$B$6:$B$21,0))),""))</f>
        <v/>
      </c>
      <c r="I1411" s="83">
        <f>IF($G1411="","",IFERROR(IF(INDEX(設定!$E$6:$E$21,MATCH($G1411,設定!$B$6:$B$21,0))=0,"",INDEX(設定!$E$6:$E$21,MATCH($G1411,設定!$B$6:$B$21,0))),""))</f>
        <v/>
      </c>
      <c r="J1411" s="83">
        <f>IFERROR(INDEX(打卡匯入!$C$3:$C$2002,MATCH($C1411&amp;"|"&amp;DAY($A1411),打卡匯入!$E$3:$E$2002,0)),"")</f>
        <v/>
      </c>
      <c r="K1411" s="83">
        <f>IFERROR(INDEX(打卡匯入!$D$3:$D$2002,MATCH($C1411&amp;"|"&amp;DAY($A1411),打卡匯入!$E$3:$E$2002,0)),"")</f>
        <v/>
      </c>
      <c r="L1411" s="84">
        <f>IF(OR($J1411="",$K1411=""),"",IFERROR(INDEX(設定!$F$6:$F$21,MATCH($G1411,設定!$B$6:$B$21,0)),0))</f>
        <v/>
      </c>
      <c r="M1411" s="85">
        <f>IF(OR($J1411="",$K1411=""),"",ROUND(($K1411-$J1411)*24-$L1411/60,2))</f>
        <v/>
      </c>
      <c r="N1411" s="16">
        <f>IF($C1411="","",IF(AND(COUNTIF(設定!$B$15:$B$21,$G1411)&gt;0,$J1411&lt;&gt;""),"假日出勤",IF(AND(COUNTIF(設定!$B$6:$B$14,$G1411)&gt;0,$J1411=""),"未打卡",IF($J1411="","",IF($O1411&gt;0,"遲到",IF($P1411&gt;0,"早退","正常"))))))</f>
        <v/>
      </c>
      <c r="O1411" s="84">
        <f>IF(OR($C1411="",$H1411="",$J1411=""),0,IF(ROUND(($J1411-$H1411)*1440,0)&gt;設定!$C$46,ROUND(($J1411-$H1411)*1440,0),0))</f>
        <v/>
      </c>
      <c r="P1411" s="84">
        <f>IF(OR($C1411="",$I1411="",$K1411=""),0,IF(ROUND(($I1411-$K1411)*1440,0)&gt;設定!$C$46,ROUND(($I1411-$K1411)*1440,0),0))</f>
        <v/>
      </c>
      <c r="Q1411" s="85">
        <f>IF($M1411="",0,IF(($M1411-IFERROR(INDEX(設定!$G$6:$G$21,MATCH($G1411,設定!$B$6:$B$21,0)),0))*60&gt;=設定!$C$44,ROUND(FLOOR(($M1411-IFERROR(INDEX(設定!$G$6:$G$21,MATCH($G1411,設定!$B$6:$B$21,0)),0))*60,設定!$C$45)/60,2),0))</f>
        <v/>
      </c>
      <c r="R1411" s="16">
        <f>IF(OR($C1411="",$Q1411=0),"",IF($G1411="國","國定假日",IF($B1411="日","例假",IF($B1411="六","休息日","平日"))))</f>
        <v/>
      </c>
      <c r="S1411" s="19" t="n"/>
    </row>
    <row r="1412">
      <c r="A1412" s="82">
        <f>IF(OR(助理班表!$A50="",15&gt;DAY(EOMONTH(DATE(設定!$C$2,設定!$D$2,1),0))),"",DATE(設定!$C$2,設定!$D$2,15))</f>
        <v/>
      </c>
      <c r="B1412" s="16">
        <f>IF($A1412="","",INDEX(設定!$O$6:$O$12,WEEKDAY($A1412,1)))</f>
        <v/>
      </c>
      <c r="C1412" s="16">
        <f>IF($A1412="","",助理班表!$A50)</f>
        <v/>
      </c>
      <c r="D1412" s="16">
        <f>IF($C1412="","",助理班表!$B50)</f>
        <v/>
      </c>
      <c r="E1412" s="16">
        <f>IF($C1412="","",助理班表!$D50)</f>
        <v/>
      </c>
      <c r="F1412" s="16">
        <f>IF($C1412="","",助理班表!$C50)</f>
        <v/>
      </c>
      <c r="G1412" s="16">
        <f>IF($C1412="","",助理班表!S50)</f>
        <v/>
      </c>
      <c r="H1412" s="83">
        <f>IF($G1412="","",IFERROR(IF(INDEX(設定!$D$6:$D$21,MATCH($G1412,設定!$B$6:$B$21,0))=0,"",INDEX(設定!$D$6:$D$21,MATCH($G1412,設定!$B$6:$B$21,0))),""))</f>
        <v/>
      </c>
      <c r="I1412" s="83">
        <f>IF($G1412="","",IFERROR(IF(INDEX(設定!$E$6:$E$21,MATCH($G1412,設定!$B$6:$B$21,0))=0,"",INDEX(設定!$E$6:$E$21,MATCH($G1412,設定!$B$6:$B$21,0))),""))</f>
        <v/>
      </c>
      <c r="J1412" s="83">
        <f>IFERROR(INDEX(打卡匯入!$C$3:$C$2002,MATCH($C1412&amp;"|"&amp;DAY($A1412),打卡匯入!$E$3:$E$2002,0)),"")</f>
        <v/>
      </c>
      <c r="K1412" s="83">
        <f>IFERROR(INDEX(打卡匯入!$D$3:$D$2002,MATCH($C1412&amp;"|"&amp;DAY($A1412),打卡匯入!$E$3:$E$2002,0)),"")</f>
        <v/>
      </c>
      <c r="L1412" s="84">
        <f>IF(OR($J1412="",$K1412=""),"",IFERROR(INDEX(設定!$F$6:$F$21,MATCH($G1412,設定!$B$6:$B$21,0)),0))</f>
        <v/>
      </c>
      <c r="M1412" s="85">
        <f>IF(OR($J1412="",$K1412=""),"",ROUND(($K1412-$J1412)*24-$L1412/60,2))</f>
        <v/>
      </c>
      <c r="N1412" s="16">
        <f>IF($C1412="","",IF(AND(COUNTIF(設定!$B$15:$B$21,$G1412)&gt;0,$J1412&lt;&gt;""),"假日出勤",IF(AND(COUNTIF(設定!$B$6:$B$14,$G1412)&gt;0,$J1412=""),"未打卡",IF($J1412="","",IF($O1412&gt;0,"遲到",IF($P1412&gt;0,"早退","正常"))))))</f>
        <v/>
      </c>
      <c r="O1412" s="84">
        <f>IF(OR($C1412="",$H1412="",$J1412=""),0,IF(ROUND(($J1412-$H1412)*1440,0)&gt;設定!$C$46,ROUND(($J1412-$H1412)*1440,0),0))</f>
        <v/>
      </c>
      <c r="P1412" s="84">
        <f>IF(OR($C1412="",$I1412="",$K1412=""),0,IF(ROUND(($I1412-$K1412)*1440,0)&gt;設定!$C$46,ROUND(($I1412-$K1412)*1440,0),0))</f>
        <v/>
      </c>
      <c r="Q1412" s="85">
        <f>IF($M1412="",0,IF(($M1412-IFERROR(INDEX(設定!$G$6:$G$21,MATCH($G1412,設定!$B$6:$B$21,0)),0))*60&gt;=設定!$C$44,ROUND(FLOOR(($M1412-IFERROR(INDEX(設定!$G$6:$G$21,MATCH($G1412,設定!$B$6:$B$21,0)),0))*60,設定!$C$45)/60,2),0))</f>
        <v/>
      </c>
      <c r="R1412" s="16">
        <f>IF(OR($C1412="",$Q1412=0),"",IF($G1412="國","國定假日",IF($B1412="日","例假",IF($B1412="六","休息日","平日"))))</f>
        <v/>
      </c>
      <c r="S1412" s="19" t="n"/>
    </row>
    <row r="1413">
      <c r="A1413" s="82">
        <f>IF(OR(助理班表!$A50="",16&gt;DAY(EOMONTH(DATE(設定!$C$2,設定!$D$2,1),0))),"",DATE(設定!$C$2,設定!$D$2,16))</f>
        <v/>
      </c>
      <c r="B1413" s="16">
        <f>IF($A1413="","",INDEX(設定!$O$6:$O$12,WEEKDAY($A1413,1)))</f>
        <v/>
      </c>
      <c r="C1413" s="16">
        <f>IF($A1413="","",助理班表!$A50)</f>
        <v/>
      </c>
      <c r="D1413" s="16">
        <f>IF($C1413="","",助理班表!$B50)</f>
        <v/>
      </c>
      <c r="E1413" s="16">
        <f>IF($C1413="","",助理班表!$D50)</f>
        <v/>
      </c>
      <c r="F1413" s="16">
        <f>IF($C1413="","",助理班表!$C50)</f>
        <v/>
      </c>
      <c r="G1413" s="16">
        <f>IF($C1413="","",助理班表!T50)</f>
        <v/>
      </c>
      <c r="H1413" s="83">
        <f>IF($G1413="","",IFERROR(IF(INDEX(設定!$D$6:$D$21,MATCH($G1413,設定!$B$6:$B$21,0))=0,"",INDEX(設定!$D$6:$D$21,MATCH($G1413,設定!$B$6:$B$21,0))),""))</f>
        <v/>
      </c>
      <c r="I1413" s="83">
        <f>IF($G1413="","",IFERROR(IF(INDEX(設定!$E$6:$E$21,MATCH($G1413,設定!$B$6:$B$21,0))=0,"",INDEX(設定!$E$6:$E$21,MATCH($G1413,設定!$B$6:$B$21,0))),""))</f>
        <v/>
      </c>
      <c r="J1413" s="83">
        <f>IFERROR(INDEX(打卡匯入!$C$3:$C$2002,MATCH($C1413&amp;"|"&amp;DAY($A1413),打卡匯入!$E$3:$E$2002,0)),"")</f>
        <v/>
      </c>
      <c r="K1413" s="83">
        <f>IFERROR(INDEX(打卡匯入!$D$3:$D$2002,MATCH($C1413&amp;"|"&amp;DAY($A1413),打卡匯入!$E$3:$E$2002,0)),"")</f>
        <v/>
      </c>
      <c r="L1413" s="84">
        <f>IF(OR($J1413="",$K1413=""),"",IFERROR(INDEX(設定!$F$6:$F$21,MATCH($G1413,設定!$B$6:$B$21,0)),0))</f>
        <v/>
      </c>
      <c r="M1413" s="85">
        <f>IF(OR($J1413="",$K1413=""),"",ROUND(($K1413-$J1413)*24-$L1413/60,2))</f>
        <v/>
      </c>
      <c r="N1413" s="16">
        <f>IF($C1413="","",IF(AND(COUNTIF(設定!$B$15:$B$21,$G1413)&gt;0,$J1413&lt;&gt;""),"假日出勤",IF(AND(COUNTIF(設定!$B$6:$B$14,$G1413)&gt;0,$J1413=""),"未打卡",IF($J1413="","",IF($O1413&gt;0,"遲到",IF($P1413&gt;0,"早退","正常"))))))</f>
        <v/>
      </c>
      <c r="O1413" s="84">
        <f>IF(OR($C1413="",$H1413="",$J1413=""),0,IF(ROUND(($J1413-$H1413)*1440,0)&gt;設定!$C$46,ROUND(($J1413-$H1413)*1440,0),0))</f>
        <v/>
      </c>
      <c r="P1413" s="84">
        <f>IF(OR($C1413="",$I1413="",$K1413=""),0,IF(ROUND(($I1413-$K1413)*1440,0)&gt;設定!$C$46,ROUND(($I1413-$K1413)*1440,0),0))</f>
        <v/>
      </c>
      <c r="Q1413" s="85">
        <f>IF($M1413="",0,IF(($M1413-IFERROR(INDEX(設定!$G$6:$G$21,MATCH($G1413,設定!$B$6:$B$21,0)),0))*60&gt;=設定!$C$44,ROUND(FLOOR(($M1413-IFERROR(INDEX(設定!$G$6:$G$21,MATCH($G1413,設定!$B$6:$B$21,0)),0))*60,設定!$C$45)/60,2),0))</f>
        <v/>
      </c>
      <c r="R1413" s="16">
        <f>IF(OR($C1413="",$Q1413=0),"",IF($G1413="國","國定假日",IF($B1413="日","例假",IF($B1413="六","休息日","平日"))))</f>
        <v/>
      </c>
      <c r="S1413" s="19" t="n"/>
    </row>
    <row r="1414">
      <c r="A1414" s="82">
        <f>IF(OR(助理班表!$A50="",17&gt;DAY(EOMONTH(DATE(設定!$C$2,設定!$D$2,1),0))),"",DATE(設定!$C$2,設定!$D$2,17))</f>
        <v/>
      </c>
      <c r="B1414" s="16">
        <f>IF($A1414="","",INDEX(設定!$O$6:$O$12,WEEKDAY($A1414,1)))</f>
        <v/>
      </c>
      <c r="C1414" s="16">
        <f>IF($A1414="","",助理班表!$A50)</f>
        <v/>
      </c>
      <c r="D1414" s="16">
        <f>IF($C1414="","",助理班表!$B50)</f>
        <v/>
      </c>
      <c r="E1414" s="16">
        <f>IF($C1414="","",助理班表!$D50)</f>
        <v/>
      </c>
      <c r="F1414" s="16">
        <f>IF($C1414="","",助理班表!$C50)</f>
        <v/>
      </c>
      <c r="G1414" s="16">
        <f>IF($C1414="","",助理班表!U50)</f>
        <v/>
      </c>
      <c r="H1414" s="83">
        <f>IF($G1414="","",IFERROR(IF(INDEX(設定!$D$6:$D$21,MATCH($G1414,設定!$B$6:$B$21,0))=0,"",INDEX(設定!$D$6:$D$21,MATCH($G1414,設定!$B$6:$B$21,0))),""))</f>
        <v/>
      </c>
      <c r="I1414" s="83">
        <f>IF($G1414="","",IFERROR(IF(INDEX(設定!$E$6:$E$21,MATCH($G1414,設定!$B$6:$B$21,0))=0,"",INDEX(設定!$E$6:$E$21,MATCH($G1414,設定!$B$6:$B$21,0))),""))</f>
        <v/>
      </c>
      <c r="J1414" s="83">
        <f>IFERROR(INDEX(打卡匯入!$C$3:$C$2002,MATCH($C1414&amp;"|"&amp;DAY($A1414),打卡匯入!$E$3:$E$2002,0)),"")</f>
        <v/>
      </c>
      <c r="K1414" s="83">
        <f>IFERROR(INDEX(打卡匯入!$D$3:$D$2002,MATCH($C1414&amp;"|"&amp;DAY($A1414),打卡匯入!$E$3:$E$2002,0)),"")</f>
        <v/>
      </c>
      <c r="L1414" s="84">
        <f>IF(OR($J1414="",$K1414=""),"",IFERROR(INDEX(設定!$F$6:$F$21,MATCH($G1414,設定!$B$6:$B$21,0)),0))</f>
        <v/>
      </c>
      <c r="M1414" s="85">
        <f>IF(OR($J1414="",$K1414=""),"",ROUND(($K1414-$J1414)*24-$L1414/60,2))</f>
        <v/>
      </c>
      <c r="N1414" s="16">
        <f>IF($C1414="","",IF(AND(COUNTIF(設定!$B$15:$B$21,$G1414)&gt;0,$J1414&lt;&gt;""),"假日出勤",IF(AND(COUNTIF(設定!$B$6:$B$14,$G1414)&gt;0,$J1414=""),"未打卡",IF($J1414="","",IF($O1414&gt;0,"遲到",IF($P1414&gt;0,"早退","正常"))))))</f>
        <v/>
      </c>
      <c r="O1414" s="84">
        <f>IF(OR($C1414="",$H1414="",$J1414=""),0,IF(ROUND(($J1414-$H1414)*1440,0)&gt;設定!$C$46,ROUND(($J1414-$H1414)*1440,0),0))</f>
        <v/>
      </c>
      <c r="P1414" s="84">
        <f>IF(OR($C1414="",$I1414="",$K1414=""),0,IF(ROUND(($I1414-$K1414)*1440,0)&gt;設定!$C$46,ROUND(($I1414-$K1414)*1440,0),0))</f>
        <v/>
      </c>
      <c r="Q1414" s="85">
        <f>IF($M1414="",0,IF(($M1414-IFERROR(INDEX(設定!$G$6:$G$21,MATCH($G1414,設定!$B$6:$B$21,0)),0))*60&gt;=設定!$C$44,ROUND(FLOOR(($M1414-IFERROR(INDEX(設定!$G$6:$G$21,MATCH($G1414,設定!$B$6:$B$21,0)),0))*60,設定!$C$45)/60,2),0))</f>
        <v/>
      </c>
      <c r="R1414" s="16">
        <f>IF(OR($C1414="",$Q1414=0),"",IF($G1414="國","國定假日",IF($B1414="日","例假",IF($B1414="六","休息日","平日"))))</f>
        <v/>
      </c>
      <c r="S1414" s="19" t="n"/>
    </row>
    <row r="1415">
      <c r="A1415" s="82">
        <f>IF(OR(助理班表!$A50="",18&gt;DAY(EOMONTH(DATE(設定!$C$2,設定!$D$2,1),0))),"",DATE(設定!$C$2,設定!$D$2,18))</f>
        <v/>
      </c>
      <c r="B1415" s="16">
        <f>IF($A1415="","",INDEX(設定!$O$6:$O$12,WEEKDAY($A1415,1)))</f>
        <v/>
      </c>
      <c r="C1415" s="16">
        <f>IF($A1415="","",助理班表!$A50)</f>
        <v/>
      </c>
      <c r="D1415" s="16">
        <f>IF($C1415="","",助理班表!$B50)</f>
        <v/>
      </c>
      <c r="E1415" s="16">
        <f>IF($C1415="","",助理班表!$D50)</f>
        <v/>
      </c>
      <c r="F1415" s="16">
        <f>IF($C1415="","",助理班表!$C50)</f>
        <v/>
      </c>
      <c r="G1415" s="16">
        <f>IF($C1415="","",助理班表!V50)</f>
        <v/>
      </c>
      <c r="H1415" s="83">
        <f>IF($G1415="","",IFERROR(IF(INDEX(設定!$D$6:$D$21,MATCH($G1415,設定!$B$6:$B$21,0))=0,"",INDEX(設定!$D$6:$D$21,MATCH($G1415,設定!$B$6:$B$21,0))),""))</f>
        <v/>
      </c>
      <c r="I1415" s="83">
        <f>IF($G1415="","",IFERROR(IF(INDEX(設定!$E$6:$E$21,MATCH($G1415,設定!$B$6:$B$21,0))=0,"",INDEX(設定!$E$6:$E$21,MATCH($G1415,設定!$B$6:$B$21,0))),""))</f>
        <v/>
      </c>
      <c r="J1415" s="83">
        <f>IFERROR(INDEX(打卡匯入!$C$3:$C$2002,MATCH($C1415&amp;"|"&amp;DAY($A1415),打卡匯入!$E$3:$E$2002,0)),"")</f>
        <v/>
      </c>
      <c r="K1415" s="83">
        <f>IFERROR(INDEX(打卡匯入!$D$3:$D$2002,MATCH($C1415&amp;"|"&amp;DAY($A1415),打卡匯入!$E$3:$E$2002,0)),"")</f>
        <v/>
      </c>
      <c r="L1415" s="84">
        <f>IF(OR($J1415="",$K1415=""),"",IFERROR(INDEX(設定!$F$6:$F$21,MATCH($G1415,設定!$B$6:$B$21,0)),0))</f>
        <v/>
      </c>
      <c r="M1415" s="85">
        <f>IF(OR($J1415="",$K1415=""),"",ROUND(($K1415-$J1415)*24-$L1415/60,2))</f>
        <v/>
      </c>
      <c r="N1415" s="16">
        <f>IF($C1415="","",IF(AND(COUNTIF(設定!$B$15:$B$21,$G1415)&gt;0,$J1415&lt;&gt;""),"假日出勤",IF(AND(COUNTIF(設定!$B$6:$B$14,$G1415)&gt;0,$J1415=""),"未打卡",IF($J1415="","",IF($O1415&gt;0,"遲到",IF($P1415&gt;0,"早退","正常"))))))</f>
        <v/>
      </c>
      <c r="O1415" s="84">
        <f>IF(OR($C1415="",$H1415="",$J1415=""),0,IF(ROUND(($J1415-$H1415)*1440,0)&gt;設定!$C$46,ROUND(($J1415-$H1415)*1440,0),0))</f>
        <v/>
      </c>
      <c r="P1415" s="84">
        <f>IF(OR($C1415="",$I1415="",$K1415=""),0,IF(ROUND(($I1415-$K1415)*1440,0)&gt;設定!$C$46,ROUND(($I1415-$K1415)*1440,0),0))</f>
        <v/>
      </c>
      <c r="Q1415" s="85">
        <f>IF($M1415="",0,IF(($M1415-IFERROR(INDEX(設定!$G$6:$G$21,MATCH($G1415,設定!$B$6:$B$21,0)),0))*60&gt;=設定!$C$44,ROUND(FLOOR(($M1415-IFERROR(INDEX(設定!$G$6:$G$21,MATCH($G1415,設定!$B$6:$B$21,0)),0))*60,設定!$C$45)/60,2),0))</f>
        <v/>
      </c>
      <c r="R1415" s="16">
        <f>IF(OR($C1415="",$Q1415=0),"",IF($G1415="國","國定假日",IF($B1415="日","例假",IF($B1415="六","休息日","平日"))))</f>
        <v/>
      </c>
      <c r="S1415" s="19" t="n"/>
    </row>
    <row r="1416">
      <c r="A1416" s="82">
        <f>IF(OR(助理班表!$A50="",19&gt;DAY(EOMONTH(DATE(設定!$C$2,設定!$D$2,1),0))),"",DATE(設定!$C$2,設定!$D$2,19))</f>
        <v/>
      </c>
      <c r="B1416" s="16">
        <f>IF($A1416="","",INDEX(設定!$O$6:$O$12,WEEKDAY($A1416,1)))</f>
        <v/>
      </c>
      <c r="C1416" s="16">
        <f>IF($A1416="","",助理班表!$A50)</f>
        <v/>
      </c>
      <c r="D1416" s="16">
        <f>IF($C1416="","",助理班表!$B50)</f>
        <v/>
      </c>
      <c r="E1416" s="16">
        <f>IF($C1416="","",助理班表!$D50)</f>
        <v/>
      </c>
      <c r="F1416" s="16">
        <f>IF($C1416="","",助理班表!$C50)</f>
        <v/>
      </c>
      <c r="G1416" s="16">
        <f>IF($C1416="","",助理班表!W50)</f>
        <v/>
      </c>
      <c r="H1416" s="83">
        <f>IF($G1416="","",IFERROR(IF(INDEX(設定!$D$6:$D$21,MATCH($G1416,設定!$B$6:$B$21,0))=0,"",INDEX(設定!$D$6:$D$21,MATCH($G1416,設定!$B$6:$B$21,0))),""))</f>
        <v/>
      </c>
      <c r="I1416" s="83">
        <f>IF($G1416="","",IFERROR(IF(INDEX(設定!$E$6:$E$21,MATCH($G1416,設定!$B$6:$B$21,0))=0,"",INDEX(設定!$E$6:$E$21,MATCH($G1416,設定!$B$6:$B$21,0))),""))</f>
        <v/>
      </c>
      <c r="J1416" s="83">
        <f>IFERROR(INDEX(打卡匯入!$C$3:$C$2002,MATCH($C1416&amp;"|"&amp;DAY($A1416),打卡匯入!$E$3:$E$2002,0)),"")</f>
        <v/>
      </c>
      <c r="K1416" s="83">
        <f>IFERROR(INDEX(打卡匯入!$D$3:$D$2002,MATCH($C1416&amp;"|"&amp;DAY($A1416),打卡匯入!$E$3:$E$2002,0)),"")</f>
        <v/>
      </c>
      <c r="L1416" s="84">
        <f>IF(OR($J1416="",$K1416=""),"",IFERROR(INDEX(設定!$F$6:$F$21,MATCH($G1416,設定!$B$6:$B$21,0)),0))</f>
        <v/>
      </c>
      <c r="M1416" s="85">
        <f>IF(OR($J1416="",$K1416=""),"",ROUND(($K1416-$J1416)*24-$L1416/60,2))</f>
        <v/>
      </c>
      <c r="N1416" s="16">
        <f>IF($C1416="","",IF(AND(COUNTIF(設定!$B$15:$B$21,$G1416)&gt;0,$J1416&lt;&gt;""),"假日出勤",IF(AND(COUNTIF(設定!$B$6:$B$14,$G1416)&gt;0,$J1416=""),"未打卡",IF($J1416="","",IF($O1416&gt;0,"遲到",IF($P1416&gt;0,"早退","正常"))))))</f>
        <v/>
      </c>
      <c r="O1416" s="84">
        <f>IF(OR($C1416="",$H1416="",$J1416=""),0,IF(ROUND(($J1416-$H1416)*1440,0)&gt;設定!$C$46,ROUND(($J1416-$H1416)*1440,0),0))</f>
        <v/>
      </c>
      <c r="P1416" s="84">
        <f>IF(OR($C1416="",$I1416="",$K1416=""),0,IF(ROUND(($I1416-$K1416)*1440,0)&gt;設定!$C$46,ROUND(($I1416-$K1416)*1440,0),0))</f>
        <v/>
      </c>
      <c r="Q1416" s="85">
        <f>IF($M1416="",0,IF(($M1416-IFERROR(INDEX(設定!$G$6:$G$21,MATCH($G1416,設定!$B$6:$B$21,0)),0))*60&gt;=設定!$C$44,ROUND(FLOOR(($M1416-IFERROR(INDEX(設定!$G$6:$G$21,MATCH($G1416,設定!$B$6:$B$21,0)),0))*60,設定!$C$45)/60,2),0))</f>
        <v/>
      </c>
      <c r="R1416" s="16">
        <f>IF(OR($C1416="",$Q1416=0),"",IF($G1416="國","國定假日",IF($B1416="日","例假",IF($B1416="六","休息日","平日"))))</f>
        <v/>
      </c>
      <c r="S1416" s="19" t="n"/>
    </row>
    <row r="1417">
      <c r="A1417" s="82">
        <f>IF(OR(助理班表!$A50="",20&gt;DAY(EOMONTH(DATE(設定!$C$2,設定!$D$2,1),0))),"",DATE(設定!$C$2,設定!$D$2,20))</f>
        <v/>
      </c>
      <c r="B1417" s="16">
        <f>IF($A1417="","",INDEX(設定!$O$6:$O$12,WEEKDAY($A1417,1)))</f>
        <v/>
      </c>
      <c r="C1417" s="16">
        <f>IF($A1417="","",助理班表!$A50)</f>
        <v/>
      </c>
      <c r="D1417" s="16">
        <f>IF($C1417="","",助理班表!$B50)</f>
        <v/>
      </c>
      <c r="E1417" s="16">
        <f>IF($C1417="","",助理班表!$D50)</f>
        <v/>
      </c>
      <c r="F1417" s="16">
        <f>IF($C1417="","",助理班表!$C50)</f>
        <v/>
      </c>
      <c r="G1417" s="16">
        <f>IF($C1417="","",助理班表!X50)</f>
        <v/>
      </c>
      <c r="H1417" s="83">
        <f>IF($G1417="","",IFERROR(IF(INDEX(設定!$D$6:$D$21,MATCH($G1417,設定!$B$6:$B$21,0))=0,"",INDEX(設定!$D$6:$D$21,MATCH($G1417,設定!$B$6:$B$21,0))),""))</f>
        <v/>
      </c>
      <c r="I1417" s="83">
        <f>IF($G1417="","",IFERROR(IF(INDEX(設定!$E$6:$E$21,MATCH($G1417,設定!$B$6:$B$21,0))=0,"",INDEX(設定!$E$6:$E$21,MATCH($G1417,設定!$B$6:$B$21,0))),""))</f>
        <v/>
      </c>
      <c r="J1417" s="83">
        <f>IFERROR(INDEX(打卡匯入!$C$3:$C$2002,MATCH($C1417&amp;"|"&amp;DAY($A1417),打卡匯入!$E$3:$E$2002,0)),"")</f>
        <v/>
      </c>
      <c r="K1417" s="83">
        <f>IFERROR(INDEX(打卡匯入!$D$3:$D$2002,MATCH($C1417&amp;"|"&amp;DAY($A1417),打卡匯入!$E$3:$E$2002,0)),"")</f>
        <v/>
      </c>
      <c r="L1417" s="84">
        <f>IF(OR($J1417="",$K1417=""),"",IFERROR(INDEX(設定!$F$6:$F$21,MATCH($G1417,設定!$B$6:$B$21,0)),0))</f>
        <v/>
      </c>
      <c r="M1417" s="85">
        <f>IF(OR($J1417="",$K1417=""),"",ROUND(($K1417-$J1417)*24-$L1417/60,2))</f>
        <v/>
      </c>
      <c r="N1417" s="16">
        <f>IF($C1417="","",IF(AND(COUNTIF(設定!$B$15:$B$21,$G1417)&gt;0,$J1417&lt;&gt;""),"假日出勤",IF(AND(COUNTIF(設定!$B$6:$B$14,$G1417)&gt;0,$J1417=""),"未打卡",IF($J1417="","",IF($O1417&gt;0,"遲到",IF($P1417&gt;0,"早退","正常"))))))</f>
        <v/>
      </c>
      <c r="O1417" s="84">
        <f>IF(OR($C1417="",$H1417="",$J1417=""),0,IF(ROUND(($J1417-$H1417)*1440,0)&gt;設定!$C$46,ROUND(($J1417-$H1417)*1440,0),0))</f>
        <v/>
      </c>
      <c r="P1417" s="84">
        <f>IF(OR($C1417="",$I1417="",$K1417=""),0,IF(ROUND(($I1417-$K1417)*1440,0)&gt;設定!$C$46,ROUND(($I1417-$K1417)*1440,0),0))</f>
        <v/>
      </c>
      <c r="Q1417" s="85">
        <f>IF($M1417="",0,IF(($M1417-IFERROR(INDEX(設定!$G$6:$G$21,MATCH($G1417,設定!$B$6:$B$21,0)),0))*60&gt;=設定!$C$44,ROUND(FLOOR(($M1417-IFERROR(INDEX(設定!$G$6:$G$21,MATCH($G1417,設定!$B$6:$B$21,0)),0))*60,設定!$C$45)/60,2),0))</f>
        <v/>
      </c>
      <c r="R1417" s="16">
        <f>IF(OR($C1417="",$Q1417=0),"",IF($G1417="國","國定假日",IF($B1417="日","例假",IF($B1417="六","休息日","平日"))))</f>
        <v/>
      </c>
      <c r="S1417" s="19" t="n"/>
    </row>
    <row r="1418">
      <c r="A1418" s="82">
        <f>IF(OR(助理班表!$A50="",21&gt;DAY(EOMONTH(DATE(設定!$C$2,設定!$D$2,1),0))),"",DATE(設定!$C$2,設定!$D$2,21))</f>
        <v/>
      </c>
      <c r="B1418" s="16">
        <f>IF($A1418="","",INDEX(設定!$O$6:$O$12,WEEKDAY($A1418,1)))</f>
        <v/>
      </c>
      <c r="C1418" s="16">
        <f>IF($A1418="","",助理班表!$A50)</f>
        <v/>
      </c>
      <c r="D1418" s="16">
        <f>IF($C1418="","",助理班表!$B50)</f>
        <v/>
      </c>
      <c r="E1418" s="16">
        <f>IF($C1418="","",助理班表!$D50)</f>
        <v/>
      </c>
      <c r="F1418" s="16">
        <f>IF($C1418="","",助理班表!$C50)</f>
        <v/>
      </c>
      <c r="G1418" s="16">
        <f>IF($C1418="","",助理班表!Y50)</f>
        <v/>
      </c>
      <c r="H1418" s="83">
        <f>IF($G1418="","",IFERROR(IF(INDEX(設定!$D$6:$D$21,MATCH($G1418,設定!$B$6:$B$21,0))=0,"",INDEX(設定!$D$6:$D$21,MATCH($G1418,設定!$B$6:$B$21,0))),""))</f>
        <v/>
      </c>
      <c r="I1418" s="83">
        <f>IF($G1418="","",IFERROR(IF(INDEX(設定!$E$6:$E$21,MATCH($G1418,設定!$B$6:$B$21,0))=0,"",INDEX(設定!$E$6:$E$21,MATCH($G1418,設定!$B$6:$B$21,0))),""))</f>
        <v/>
      </c>
      <c r="J1418" s="83">
        <f>IFERROR(INDEX(打卡匯入!$C$3:$C$2002,MATCH($C1418&amp;"|"&amp;DAY($A1418),打卡匯入!$E$3:$E$2002,0)),"")</f>
        <v/>
      </c>
      <c r="K1418" s="83">
        <f>IFERROR(INDEX(打卡匯入!$D$3:$D$2002,MATCH($C1418&amp;"|"&amp;DAY($A1418),打卡匯入!$E$3:$E$2002,0)),"")</f>
        <v/>
      </c>
      <c r="L1418" s="84">
        <f>IF(OR($J1418="",$K1418=""),"",IFERROR(INDEX(設定!$F$6:$F$21,MATCH($G1418,設定!$B$6:$B$21,0)),0))</f>
        <v/>
      </c>
      <c r="M1418" s="85">
        <f>IF(OR($J1418="",$K1418=""),"",ROUND(($K1418-$J1418)*24-$L1418/60,2))</f>
        <v/>
      </c>
      <c r="N1418" s="16">
        <f>IF($C1418="","",IF(AND(COUNTIF(設定!$B$15:$B$21,$G1418)&gt;0,$J1418&lt;&gt;""),"假日出勤",IF(AND(COUNTIF(設定!$B$6:$B$14,$G1418)&gt;0,$J1418=""),"未打卡",IF($J1418="","",IF($O1418&gt;0,"遲到",IF($P1418&gt;0,"早退","正常"))))))</f>
        <v/>
      </c>
      <c r="O1418" s="84">
        <f>IF(OR($C1418="",$H1418="",$J1418=""),0,IF(ROUND(($J1418-$H1418)*1440,0)&gt;設定!$C$46,ROUND(($J1418-$H1418)*1440,0),0))</f>
        <v/>
      </c>
      <c r="P1418" s="84">
        <f>IF(OR($C1418="",$I1418="",$K1418=""),0,IF(ROUND(($I1418-$K1418)*1440,0)&gt;設定!$C$46,ROUND(($I1418-$K1418)*1440,0),0))</f>
        <v/>
      </c>
      <c r="Q1418" s="85">
        <f>IF($M1418="",0,IF(($M1418-IFERROR(INDEX(設定!$G$6:$G$21,MATCH($G1418,設定!$B$6:$B$21,0)),0))*60&gt;=設定!$C$44,ROUND(FLOOR(($M1418-IFERROR(INDEX(設定!$G$6:$G$21,MATCH($G1418,設定!$B$6:$B$21,0)),0))*60,設定!$C$45)/60,2),0))</f>
        <v/>
      </c>
      <c r="R1418" s="16">
        <f>IF(OR($C1418="",$Q1418=0),"",IF($G1418="國","國定假日",IF($B1418="日","例假",IF($B1418="六","休息日","平日"))))</f>
        <v/>
      </c>
      <c r="S1418" s="19" t="n"/>
    </row>
    <row r="1419">
      <c r="A1419" s="82">
        <f>IF(OR(助理班表!$A50="",22&gt;DAY(EOMONTH(DATE(設定!$C$2,設定!$D$2,1),0))),"",DATE(設定!$C$2,設定!$D$2,22))</f>
        <v/>
      </c>
      <c r="B1419" s="16">
        <f>IF($A1419="","",INDEX(設定!$O$6:$O$12,WEEKDAY($A1419,1)))</f>
        <v/>
      </c>
      <c r="C1419" s="16">
        <f>IF($A1419="","",助理班表!$A50)</f>
        <v/>
      </c>
      <c r="D1419" s="16">
        <f>IF($C1419="","",助理班表!$B50)</f>
        <v/>
      </c>
      <c r="E1419" s="16">
        <f>IF($C1419="","",助理班表!$D50)</f>
        <v/>
      </c>
      <c r="F1419" s="16">
        <f>IF($C1419="","",助理班表!$C50)</f>
        <v/>
      </c>
      <c r="G1419" s="16">
        <f>IF($C1419="","",助理班表!Z50)</f>
        <v/>
      </c>
      <c r="H1419" s="83">
        <f>IF($G1419="","",IFERROR(IF(INDEX(設定!$D$6:$D$21,MATCH($G1419,設定!$B$6:$B$21,0))=0,"",INDEX(設定!$D$6:$D$21,MATCH($G1419,設定!$B$6:$B$21,0))),""))</f>
        <v/>
      </c>
      <c r="I1419" s="83">
        <f>IF($G1419="","",IFERROR(IF(INDEX(設定!$E$6:$E$21,MATCH($G1419,設定!$B$6:$B$21,0))=0,"",INDEX(設定!$E$6:$E$21,MATCH($G1419,設定!$B$6:$B$21,0))),""))</f>
        <v/>
      </c>
      <c r="J1419" s="83">
        <f>IFERROR(INDEX(打卡匯入!$C$3:$C$2002,MATCH($C1419&amp;"|"&amp;DAY($A1419),打卡匯入!$E$3:$E$2002,0)),"")</f>
        <v/>
      </c>
      <c r="K1419" s="83">
        <f>IFERROR(INDEX(打卡匯入!$D$3:$D$2002,MATCH($C1419&amp;"|"&amp;DAY($A1419),打卡匯入!$E$3:$E$2002,0)),"")</f>
        <v/>
      </c>
      <c r="L1419" s="84">
        <f>IF(OR($J1419="",$K1419=""),"",IFERROR(INDEX(設定!$F$6:$F$21,MATCH($G1419,設定!$B$6:$B$21,0)),0))</f>
        <v/>
      </c>
      <c r="M1419" s="85">
        <f>IF(OR($J1419="",$K1419=""),"",ROUND(($K1419-$J1419)*24-$L1419/60,2))</f>
        <v/>
      </c>
      <c r="N1419" s="16">
        <f>IF($C1419="","",IF(AND(COUNTIF(設定!$B$15:$B$21,$G1419)&gt;0,$J1419&lt;&gt;""),"假日出勤",IF(AND(COUNTIF(設定!$B$6:$B$14,$G1419)&gt;0,$J1419=""),"未打卡",IF($J1419="","",IF($O1419&gt;0,"遲到",IF($P1419&gt;0,"早退","正常"))))))</f>
        <v/>
      </c>
      <c r="O1419" s="84">
        <f>IF(OR($C1419="",$H1419="",$J1419=""),0,IF(ROUND(($J1419-$H1419)*1440,0)&gt;設定!$C$46,ROUND(($J1419-$H1419)*1440,0),0))</f>
        <v/>
      </c>
      <c r="P1419" s="84">
        <f>IF(OR($C1419="",$I1419="",$K1419=""),0,IF(ROUND(($I1419-$K1419)*1440,0)&gt;設定!$C$46,ROUND(($I1419-$K1419)*1440,0),0))</f>
        <v/>
      </c>
      <c r="Q1419" s="85">
        <f>IF($M1419="",0,IF(($M1419-IFERROR(INDEX(設定!$G$6:$G$21,MATCH($G1419,設定!$B$6:$B$21,0)),0))*60&gt;=設定!$C$44,ROUND(FLOOR(($M1419-IFERROR(INDEX(設定!$G$6:$G$21,MATCH($G1419,設定!$B$6:$B$21,0)),0))*60,設定!$C$45)/60,2),0))</f>
        <v/>
      </c>
      <c r="R1419" s="16">
        <f>IF(OR($C1419="",$Q1419=0),"",IF($G1419="國","國定假日",IF($B1419="日","例假",IF($B1419="六","休息日","平日"))))</f>
        <v/>
      </c>
      <c r="S1419" s="19" t="n"/>
    </row>
    <row r="1420">
      <c r="A1420" s="82">
        <f>IF(OR(助理班表!$A50="",23&gt;DAY(EOMONTH(DATE(設定!$C$2,設定!$D$2,1),0))),"",DATE(設定!$C$2,設定!$D$2,23))</f>
        <v/>
      </c>
      <c r="B1420" s="16">
        <f>IF($A1420="","",INDEX(設定!$O$6:$O$12,WEEKDAY($A1420,1)))</f>
        <v/>
      </c>
      <c r="C1420" s="16">
        <f>IF($A1420="","",助理班表!$A50)</f>
        <v/>
      </c>
      <c r="D1420" s="16">
        <f>IF($C1420="","",助理班表!$B50)</f>
        <v/>
      </c>
      <c r="E1420" s="16">
        <f>IF($C1420="","",助理班表!$D50)</f>
        <v/>
      </c>
      <c r="F1420" s="16">
        <f>IF($C1420="","",助理班表!$C50)</f>
        <v/>
      </c>
      <c r="G1420" s="16">
        <f>IF($C1420="","",助理班表!AA50)</f>
        <v/>
      </c>
      <c r="H1420" s="83">
        <f>IF($G1420="","",IFERROR(IF(INDEX(設定!$D$6:$D$21,MATCH($G1420,設定!$B$6:$B$21,0))=0,"",INDEX(設定!$D$6:$D$21,MATCH($G1420,設定!$B$6:$B$21,0))),""))</f>
        <v/>
      </c>
      <c r="I1420" s="83">
        <f>IF($G1420="","",IFERROR(IF(INDEX(設定!$E$6:$E$21,MATCH($G1420,設定!$B$6:$B$21,0))=0,"",INDEX(設定!$E$6:$E$21,MATCH($G1420,設定!$B$6:$B$21,0))),""))</f>
        <v/>
      </c>
      <c r="J1420" s="83">
        <f>IFERROR(INDEX(打卡匯入!$C$3:$C$2002,MATCH($C1420&amp;"|"&amp;DAY($A1420),打卡匯入!$E$3:$E$2002,0)),"")</f>
        <v/>
      </c>
      <c r="K1420" s="83">
        <f>IFERROR(INDEX(打卡匯入!$D$3:$D$2002,MATCH($C1420&amp;"|"&amp;DAY($A1420),打卡匯入!$E$3:$E$2002,0)),"")</f>
        <v/>
      </c>
      <c r="L1420" s="84">
        <f>IF(OR($J1420="",$K1420=""),"",IFERROR(INDEX(設定!$F$6:$F$21,MATCH($G1420,設定!$B$6:$B$21,0)),0))</f>
        <v/>
      </c>
      <c r="M1420" s="85">
        <f>IF(OR($J1420="",$K1420=""),"",ROUND(($K1420-$J1420)*24-$L1420/60,2))</f>
        <v/>
      </c>
      <c r="N1420" s="16">
        <f>IF($C1420="","",IF(AND(COUNTIF(設定!$B$15:$B$21,$G1420)&gt;0,$J1420&lt;&gt;""),"假日出勤",IF(AND(COUNTIF(設定!$B$6:$B$14,$G1420)&gt;0,$J1420=""),"未打卡",IF($J1420="","",IF($O1420&gt;0,"遲到",IF($P1420&gt;0,"早退","正常"))))))</f>
        <v/>
      </c>
      <c r="O1420" s="84">
        <f>IF(OR($C1420="",$H1420="",$J1420=""),0,IF(ROUND(($J1420-$H1420)*1440,0)&gt;設定!$C$46,ROUND(($J1420-$H1420)*1440,0),0))</f>
        <v/>
      </c>
      <c r="P1420" s="84">
        <f>IF(OR($C1420="",$I1420="",$K1420=""),0,IF(ROUND(($I1420-$K1420)*1440,0)&gt;設定!$C$46,ROUND(($I1420-$K1420)*1440,0),0))</f>
        <v/>
      </c>
      <c r="Q1420" s="85">
        <f>IF($M1420="",0,IF(($M1420-IFERROR(INDEX(設定!$G$6:$G$21,MATCH($G1420,設定!$B$6:$B$21,0)),0))*60&gt;=設定!$C$44,ROUND(FLOOR(($M1420-IFERROR(INDEX(設定!$G$6:$G$21,MATCH($G1420,設定!$B$6:$B$21,0)),0))*60,設定!$C$45)/60,2),0))</f>
        <v/>
      </c>
      <c r="R1420" s="16">
        <f>IF(OR($C1420="",$Q1420=0),"",IF($G1420="國","國定假日",IF($B1420="日","例假",IF($B1420="六","休息日","平日"))))</f>
        <v/>
      </c>
      <c r="S1420" s="19" t="n"/>
    </row>
    <row r="1421">
      <c r="A1421" s="82">
        <f>IF(OR(助理班表!$A50="",24&gt;DAY(EOMONTH(DATE(設定!$C$2,設定!$D$2,1),0))),"",DATE(設定!$C$2,設定!$D$2,24))</f>
        <v/>
      </c>
      <c r="B1421" s="16">
        <f>IF($A1421="","",INDEX(設定!$O$6:$O$12,WEEKDAY($A1421,1)))</f>
        <v/>
      </c>
      <c r="C1421" s="16">
        <f>IF($A1421="","",助理班表!$A50)</f>
        <v/>
      </c>
      <c r="D1421" s="16">
        <f>IF($C1421="","",助理班表!$B50)</f>
        <v/>
      </c>
      <c r="E1421" s="16">
        <f>IF($C1421="","",助理班表!$D50)</f>
        <v/>
      </c>
      <c r="F1421" s="16">
        <f>IF($C1421="","",助理班表!$C50)</f>
        <v/>
      </c>
      <c r="G1421" s="16">
        <f>IF($C1421="","",助理班表!AB50)</f>
        <v/>
      </c>
      <c r="H1421" s="83">
        <f>IF($G1421="","",IFERROR(IF(INDEX(設定!$D$6:$D$21,MATCH($G1421,設定!$B$6:$B$21,0))=0,"",INDEX(設定!$D$6:$D$21,MATCH($G1421,設定!$B$6:$B$21,0))),""))</f>
        <v/>
      </c>
      <c r="I1421" s="83">
        <f>IF($G1421="","",IFERROR(IF(INDEX(設定!$E$6:$E$21,MATCH($G1421,設定!$B$6:$B$21,0))=0,"",INDEX(設定!$E$6:$E$21,MATCH($G1421,設定!$B$6:$B$21,0))),""))</f>
        <v/>
      </c>
      <c r="J1421" s="83">
        <f>IFERROR(INDEX(打卡匯入!$C$3:$C$2002,MATCH($C1421&amp;"|"&amp;DAY($A1421),打卡匯入!$E$3:$E$2002,0)),"")</f>
        <v/>
      </c>
      <c r="K1421" s="83">
        <f>IFERROR(INDEX(打卡匯入!$D$3:$D$2002,MATCH($C1421&amp;"|"&amp;DAY($A1421),打卡匯入!$E$3:$E$2002,0)),"")</f>
        <v/>
      </c>
      <c r="L1421" s="84">
        <f>IF(OR($J1421="",$K1421=""),"",IFERROR(INDEX(設定!$F$6:$F$21,MATCH($G1421,設定!$B$6:$B$21,0)),0))</f>
        <v/>
      </c>
      <c r="M1421" s="85">
        <f>IF(OR($J1421="",$K1421=""),"",ROUND(($K1421-$J1421)*24-$L1421/60,2))</f>
        <v/>
      </c>
      <c r="N1421" s="16">
        <f>IF($C1421="","",IF(AND(COUNTIF(設定!$B$15:$B$21,$G1421)&gt;0,$J1421&lt;&gt;""),"假日出勤",IF(AND(COUNTIF(設定!$B$6:$B$14,$G1421)&gt;0,$J1421=""),"未打卡",IF($J1421="","",IF($O1421&gt;0,"遲到",IF($P1421&gt;0,"早退","正常"))))))</f>
        <v/>
      </c>
      <c r="O1421" s="84">
        <f>IF(OR($C1421="",$H1421="",$J1421=""),0,IF(ROUND(($J1421-$H1421)*1440,0)&gt;設定!$C$46,ROUND(($J1421-$H1421)*1440,0),0))</f>
        <v/>
      </c>
      <c r="P1421" s="84">
        <f>IF(OR($C1421="",$I1421="",$K1421=""),0,IF(ROUND(($I1421-$K1421)*1440,0)&gt;設定!$C$46,ROUND(($I1421-$K1421)*1440,0),0))</f>
        <v/>
      </c>
      <c r="Q1421" s="85">
        <f>IF($M1421="",0,IF(($M1421-IFERROR(INDEX(設定!$G$6:$G$21,MATCH($G1421,設定!$B$6:$B$21,0)),0))*60&gt;=設定!$C$44,ROUND(FLOOR(($M1421-IFERROR(INDEX(設定!$G$6:$G$21,MATCH($G1421,設定!$B$6:$B$21,0)),0))*60,設定!$C$45)/60,2),0))</f>
        <v/>
      </c>
      <c r="R1421" s="16">
        <f>IF(OR($C1421="",$Q1421=0),"",IF($G1421="國","國定假日",IF($B1421="日","例假",IF($B1421="六","休息日","平日"))))</f>
        <v/>
      </c>
      <c r="S1421" s="19" t="n"/>
    </row>
    <row r="1422">
      <c r="A1422" s="82">
        <f>IF(OR(助理班表!$A50="",25&gt;DAY(EOMONTH(DATE(設定!$C$2,設定!$D$2,1),0))),"",DATE(設定!$C$2,設定!$D$2,25))</f>
        <v/>
      </c>
      <c r="B1422" s="16">
        <f>IF($A1422="","",INDEX(設定!$O$6:$O$12,WEEKDAY($A1422,1)))</f>
        <v/>
      </c>
      <c r="C1422" s="16">
        <f>IF($A1422="","",助理班表!$A50)</f>
        <v/>
      </c>
      <c r="D1422" s="16">
        <f>IF($C1422="","",助理班表!$B50)</f>
        <v/>
      </c>
      <c r="E1422" s="16">
        <f>IF($C1422="","",助理班表!$D50)</f>
        <v/>
      </c>
      <c r="F1422" s="16">
        <f>IF($C1422="","",助理班表!$C50)</f>
        <v/>
      </c>
      <c r="G1422" s="16">
        <f>IF($C1422="","",助理班表!AC50)</f>
        <v/>
      </c>
      <c r="H1422" s="83">
        <f>IF($G1422="","",IFERROR(IF(INDEX(設定!$D$6:$D$21,MATCH($G1422,設定!$B$6:$B$21,0))=0,"",INDEX(設定!$D$6:$D$21,MATCH($G1422,設定!$B$6:$B$21,0))),""))</f>
        <v/>
      </c>
      <c r="I1422" s="83">
        <f>IF($G1422="","",IFERROR(IF(INDEX(設定!$E$6:$E$21,MATCH($G1422,設定!$B$6:$B$21,0))=0,"",INDEX(設定!$E$6:$E$21,MATCH($G1422,設定!$B$6:$B$21,0))),""))</f>
        <v/>
      </c>
      <c r="J1422" s="83">
        <f>IFERROR(INDEX(打卡匯入!$C$3:$C$2002,MATCH($C1422&amp;"|"&amp;DAY($A1422),打卡匯入!$E$3:$E$2002,0)),"")</f>
        <v/>
      </c>
      <c r="K1422" s="83">
        <f>IFERROR(INDEX(打卡匯入!$D$3:$D$2002,MATCH($C1422&amp;"|"&amp;DAY($A1422),打卡匯入!$E$3:$E$2002,0)),"")</f>
        <v/>
      </c>
      <c r="L1422" s="84">
        <f>IF(OR($J1422="",$K1422=""),"",IFERROR(INDEX(設定!$F$6:$F$21,MATCH($G1422,設定!$B$6:$B$21,0)),0))</f>
        <v/>
      </c>
      <c r="M1422" s="85">
        <f>IF(OR($J1422="",$K1422=""),"",ROUND(($K1422-$J1422)*24-$L1422/60,2))</f>
        <v/>
      </c>
      <c r="N1422" s="16">
        <f>IF($C1422="","",IF(AND(COUNTIF(設定!$B$15:$B$21,$G1422)&gt;0,$J1422&lt;&gt;""),"假日出勤",IF(AND(COUNTIF(設定!$B$6:$B$14,$G1422)&gt;0,$J1422=""),"未打卡",IF($J1422="","",IF($O1422&gt;0,"遲到",IF($P1422&gt;0,"早退","正常"))))))</f>
        <v/>
      </c>
      <c r="O1422" s="84">
        <f>IF(OR($C1422="",$H1422="",$J1422=""),0,IF(ROUND(($J1422-$H1422)*1440,0)&gt;設定!$C$46,ROUND(($J1422-$H1422)*1440,0),0))</f>
        <v/>
      </c>
      <c r="P1422" s="84">
        <f>IF(OR($C1422="",$I1422="",$K1422=""),0,IF(ROUND(($I1422-$K1422)*1440,0)&gt;設定!$C$46,ROUND(($I1422-$K1422)*1440,0),0))</f>
        <v/>
      </c>
      <c r="Q1422" s="85">
        <f>IF($M1422="",0,IF(($M1422-IFERROR(INDEX(設定!$G$6:$G$21,MATCH($G1422,設定!$B$6:$B$21,0)),0))*60&gt;=設定!$C$44,ROUND(FLOOR(($M1422-IFERROR(INDEX(設定!$G$6:$G$21,MATCH($G1422,設定!$B$6:$B$21,0)),0))*60,設定!$C$45)/60,2),0))</f>
        <v/>
      </c>
      <c r="R1422" s="16">
        <f>IF(OR($C1422="",$Q1422=0),"",IF($G1422="國","國定假日",IF($B1422="日","例假",IF($B1422="六","休息日","平日"))))</f>
        <v/>
      </c>
      <c r="S1422" s="19" t="n"/>
    </row>
    <row r="1423">
      <c r="A1423" s="82">
        <f>IF(OR(助理班表!$A50="",26&gt;DAY(EOMONTH(DATE(設定!$C$2,設定!$D$2,1),0))),"",DATE(設定!$C$2,設定!$D$2,26))</f>
        <v/>
      </c>
      <c r="B1423" s="16">
        <f>IF($A1423="","",INDEX(設定!$O$6:$O$12,WEEKDAY($A1423,1)))</f>
        <v/>
      </c>
      <c r="C1423" s="16">
        <f>IF($A1423="","",助理班表!$A50)</f>
        <v/>
      </c>
      <c r="D1423" s="16">
        <f>IF($C1423="","",助理班表!$B50)</f>
        <v/>
      </c>
      <c r="E1423" s="16">
        <f>IF($C1423="","",助理班表!$D50)</f>
        <v/>
      </c>
      <c r="F1423" s="16">
        <f>IF($C1423="","",助理班表!$C50)</f>
        <v/>
      </c>
      <c r="G1423" s="16">
        <f>IF($C1423="","",助理班表!AD50)</f>
        <v/>
      </c>
      <c r="H1423" s="83">
        <f>IF($G1423="","",IFERROR(IF(INDEX(設定!$D$6:$D$21,MATCH($G1423,設定!$B$6:$B$21,0))=0,"",INDEX(設定!$D$6:$D$21,MATCH($G1423,設定!$B$6:$B$21,0))),""))</f>
        <v/>
      </c>
      <c r="I1423" s="83">
        <f>IF($G1423="","",IFERROR(IF(INDEX(設定!$E$6:$E$21,MATCH($G1423,設定!$B$6:$B$21,0))=0,"",INDEX(設定!$E$6:$E$21,MATCH($G1423,設定!$B$6:$B$21,0))),""))</f>
        <v/>
      </c>
      <c r="J1423" s="83">
        <f>IFERROR(INDEX(打卡匯入!$C$3:$C$2002,MATCH($C1423&amp;"|"&amp;DAY($A1423),打卡匯入!$E$3:$E$2002,0)),"")</f>
        <v/>
      </c>
      <c r="K1423" s="83">
        <f>IFERROR(INDEX(打卡匯入!$D$3:$D$2002,MATCH($C1423&amp;"|"&amp;DAY($A1423),打卡匯入!$E$3:$E$2002,0)),"")</f>
        <v/>
      </c>
      <c r="L1423" s="84">
        <f>IF(OR($J1423="",$K1423=""),"",IFERROR(INDEX(設定!$F$6:$F$21,MATCH($G1423,設定!$B$6:$B$21,0)),0))</f>
        <v/>
      </c>
      <c r="M1423" s="85">
        <f>IF(OR($J1423="",$K1423=""),"",ROUND(($K1423-$J1423)*24-$L1423/60,2))</f>
        <v/>
      </c>
      <c r="N1423" s="16">
        <f>IF($C1423="","",IF(AND(COUNTIF(設定!$B$15:$B$21,$G1423)&gt;0,$J1423&lt;&gt;""),"假日出勤",IF(AND(COUNTIF(設定!$B$6:$B$14,$G1423)&gt;0,$J1423=""),"未打卡",IF($J1423="","",IF($O1423&gt;0,"遲到",IF($P1423&gt;0,"早退","正常"))))))</f>
        <v/>
      </c>
      <c r="O1423" s="84">
        <f>IF(OR($C1423="",$H1423="",$J1423=""),0,IF(ROUND(($J1423-$H1423)*1440,0)&gt;設定!$C$46,ROUND(($J1423-$H1423)*1440,0),0))</f>
        <v/>
      </c>
      <c r="P1423" s="84">
        <f>IF(OR($C1423="",$I1423="",$K1423=""),0,IF(ROUND(($I1423-$K1423)*1440,0)&gt;設定!$C$46,ROUND(($I1423-$K1423)*1440,0),0))</f>
        <v/>
      </c>
      <c r="Q1423" s="85">
        <f>IF($M1423="",0,IF(($M1423-IFERROR(INDEX(設定!$G$6:$G$21,MATCH($G1423,設定!$B$6:$B$21,0)),0))*60&gt;=設定!$C$44,ROUND(FLOOR(($M1423-IFERROR(INDEX(設定!$G$6:$G$21,MATCH($G1423,設定!$B$6:$B$21,0)),0))*60,設定!$C$45)/60,2),0))</f>
        <v/>
      </c>
      <c r="R1423" s="16">
        <f>IF(OR($C1423="",$Q1423=0),"",IF($G1423="國","國定假日",IF($B1423="日","例假",IF($B1423="六","休息日","平日"))))</f>
        <v/>
      </c>
      <c r="S1423" s="19" t="n"/>
    </row>
    <row r="1424">
      <c r="A1424" s="82">
        <f>IF(OR(助理班表!$A50="",27&gt;DAY(EOMONTH(DATE(設定!$C$2,設定!$D$2,1),0))),"",DATE(設定!$C$2,設定!$D$2,27))</f>
        <v/>
      </c>
      <c r="B1424" s="16">
        <f>IF($A1424="","",INDEX(設定!$O$6:$O$12,WEEKDAY($A1424,1)))</f>
        <v/>
      </c>
      <c r="C1424" s="16">
        <f>IF($A1424="","",助理班表!$A50)</f>
        <v/>
      </c>
      <c r="D1424" s="16">
        <f>IF($C1424="","",助理班表!$B50)</f>
        <v/>
      </c>
      <c r="E1424" s="16">
        <f>IF($C1424="","",助理班表!$D50)</f>
        <v/>
      </c>
      <c r="F1424" s="16">
        <f>IF($C1424="","",助理班表!$C50)</f>
        <v/>
      </c>
      <c r="G1424" s="16">
        <f>IF($C1424="","",助理班表!AE50)</f>
        <v/>
      </c>
      <c r="H1424" s="83">
        <f>IF($G1424="","",IFERROR(IF(INDEX(設定!$D$6:$D$21,MATCH($G1424,設定!$B$6:$B$21,0))=0,"",INDEX(設定!$D$6:$D$21,MATCH($G1424,設定!$B$6:$B$21,0))),""))</f>
        <v/>
      </c>
      <c r="I1424" s="83">
        <f>IF($G1424="","",IFERROR(IF(INDEX(設定!$E$6:$E$21,MATCH($G1424,設定!$B$6:$B$21,0))=0,"",INDEX(設定!$E$6:$E$21,MATCH($G1424,設定!$B$6:$B$21,0))),""))</f>
        <v/>
      </c>
      <c r="J1424" s="83">
        <f>IFERROR(INDEX(打卡匯入!$C$3:$C$2002,MATCH($C1424&amp;"|"&amp;DAY($A1424),打卡匯入!$E$3:$E$2002,0)),"")</f>
        <v/>
      </c>
      <c r="K1424" s="83">
        <f>IFERROR(INDEX(打卡匯入!$D$3:$D$2002,MATCH($C1424&amp;"|"&amp;DAY($A1424),打卡匯入!$E$3:$E$2002,0)),"")</f>
        <v/>
      </c>
      <c r="L1424" s="84">
        <f>IF(OR($J1424="",$K1424=""),"",IFERROR(INDEX(設定!$F$6:$F$21,MATCH($G1424,設定!$B$6:$B$21,0)),0))</f>
        <v/>
      </c>
      <c r="M1424" s="85">
        <f>IF(OR($J1424="",$K1424=""),"",ROUND(($K1424-$J1424)*24-$L1424/60,2))</f>
        <v/>
      </c>
      <c r="N1424" s="16">
        <f>IF($C1424="","",IF(AND(COUNTIF(設定!$B$15:$B$21,$G1424)&gt;0,$J1424&lt;&gt;""),"假日出勤",IF(AND(COUNTIF(設定!$B$6:$B$14,$G1424)&gt;0,$J1424=""),"未打卡",IF($J1424="","",IF($O1424&gt;0,"遲到",IF($P1424&gt;0,"早退","正常"))))))</f>
        <v/>
      </c>
      <c r="O1424" s="84">
        <f>IF(OR($C1424="",$H1424="",$J1424=""),0,IF(ROUND(($J1424-$H1424)*1440,0)&gt;設定!$C$46,ROUND(($J1424-$H1424)*1440,0),0))</f>
        <v/>
      </c>
      <c r="P1424" s="84">
        <f>IF(OR($C1424="",$I1424="",$K1424=""),0,IF(ROUND(($I1424-$K1424)*1440,0)&gt;設定!$C$46,ROUND(($I1424-$K1424)*1440,0),0))</f>
        <v/>
      </c>
      <c r="Q1424" s="85">
        <f>IF($M1424="",0,IF(($M1424-IFERROR(INDEX(設定!$G$6:$G$21,MATCH($G1424,設定!$B$6:$B$21,0)),0))*60&gt;=設定!$C$44,ROUND(FLOOR(($M1424-IFERROR(INDEX(設定!$G$6:$G$21,MATCH($G1424,設定!$B$6:$B$21,0)),0))*60,設定!$C$45)/60,2),0))</f>
        <v/>
      </c>
      <c r="R1424" s="16">
        <f>IF(OR($C1424="",$Q1424=0),"",IF($G1424="國","國定假日",IF($B1424="日","例假",IF($B1424="六","休息日","平日"))))</f>
        <v/>
      </c>
      <c r="S1424" s="19" t="n"/>
    </row>
    <row r="1425">
      <c r="A1425" s="82">
        <f>IF(OR(助理班表!$A50="",28&gt;DAY(EOMONTH(DATE(設定!$C$2,設定!$D$2,1),0))),"",DATE(設定!$C$2,設定!$D$2,28))</f>
        <v/>
      </c>
      <c r="B1425" s="16">
        <f>IF($A1425="","",INDEX(設定!$O$6:$O$12,WEEKDAY($A1425,1)))</f>
        <v/>
      </c>
      <c r="C1425" s="16">
        <f>IF($A1425="","",助理班表!$A50)</f>
        <v/>
      </c>
      <c r="D1425" s="16">
        <f>IF($C1425="","",助理班表!$B50)</f>
        <v/>
      </c>
      <c r="E1425" s="16">
        <f>IF($C1425="","",助理班表!$D50)</f>
        <v/>
      </c>
      <c r="F1425" s="16">
        <f>IF($C1425="","",助理班表!$C50)</f>
        <v/>
      </c>
      <c r="G1425" s="16">
        <f>IF($C1425="","",助理班表!AF50)</f>
        <v/>
      </c>
      <c r="H1425" s="83">
        <f>IF($G1425="","",IFERROR(IF(INDEX(設定!$D$6:$D$21,MATCH($G1425,設定!$B$6:$B$21,0))=0,"",INDEX(設定!$D$6:$D$21,MATCH($G1425,設定!$B$6:$B$21,0))),""))</f>
        <v/>
      </c>
      <c r="I1425" s="83">
        <f>IF($G1425="","",IFERROR(IF(INDEX(設定!$E$6:$E$21,MATCH($G1425,設定!$B$6:$B$21,0))=0,"",INDEX(設定!$E$6:$E$21,MATCH($G1425,設定!$B$6:$B$21,0))),""))</f>
        <v/>
      </c>
      <c r="J1425" s="83">
        <f>IFERROR(INDEX(打卡匯入!$C$3:$C$2002,MATCH($C1425&amp;"|"&amp;DAY($A1425),打卡匯入!$E$3:$E$2002,0)),"")</f>
        <v/>
      </c>
      <c r="K1425" s="83">
        <f>IFERROR(INDEX(打卡匯入!$D$3:$D$2002,MATCH($C1425&amp;"|"&amp;DAY($A1425),打卡匯入!$E$3:$E$2002,0)),"")</f>
        <v/>
      </c>
      <c r="L1425" s="84">
        <f>IF(OR($J1425="",$K1425=""),"",IFERROR(INDEX(設定!$F$6:$F$21,MATCH($G1425,設定!$B$6:$B$21,0)),0))</f>
        <v/>
      </c>
      <c r="M1425" s="85">
        <f>IF(OR($J1425="",$K1425=""),"",ROUND(($K1425-$J1425)*24-$L1425/60,2))</f>
        <v/>
      </c>
      <c r="N1425" s="16">
        <f>IF($C1425="","",IF(AND(COUNTIF(設定!$B$15:$B$21,$G1425)&gt;0,$J1425&lt;&gt;""),"假日出勤",IF(AND(COUNTIF(設定!$B$6:$B$14,$G1425)&gt;0,$J1425=""),"未打卡",IF($J1425="","",IF($O1425&gt;0,"遲到",IF($P1425&gt;0,"早退","正常"))))))</f>
        <v/>
      </c>
      <c r="O1425" s="84">
        <f>IF(OR($C1425="",$H1425="",$J1425=""),0,IF(ROUND(($J1425-$H1425)*1440,0)&gt;設定!$C$46,ROUND(($J1425-$H1425)*1440,0),0))</f>
        <v/>
      </c>
      <c r="P1425" s="84">
        <f>IF(OR($C1425="",$I1425="",$K1425=""),0,IF(ROUND(($I1425-$K1425)*1440,0)&gt;設定!$C$46,ROUND(($I1425-$K1425)*1440,0),0))</f>
        <v/>
      </c>
      <c r="Q1425" s="85">
        <f>IF($M1425="",0,IF(($M1425-IFERROR(INDEX(設定!$G$6:$G$21,MATCH($G1425,設定!$B$6:$B$21,0)),0))*60&gt;=設定!$C$44,ROUND(FLOOR(($M1425-IFERROR(INDEX(設定!$G$6:$G$21,MATCH($G1425,設定!$B$6:$B$21,0)),0))*60,設定!$C$45)/60,2),0))</f>
        <v/>
      </c>
      <c r="R1425" s="16">
        <f>IF(OR($C1425="",$Q1425=0),"",IF($G1425="國","國定假日",IF($B1425="日","例假",IF($B1425="六","休息日","平日"))))</f>
        <v/>
      </c>
      <c r="S1425" s="19" t="n"/>
    </row>
    <row r="1426">
      <c r="A1426" s="82">
        <f>IF(OR(助理班表!$A50="",29&gt;DAY(EOMONTH(DATE(設定!$C$2,設定!$D$2,1),0))),"",DATE(設定!$C$2,設定!$D$2,29))</f>
        <v/>
      </c>
      <c r="B1426" s="16">
        <f>IF($A1426="","",INDEX(設定!$O$6:$O$12,WEEKDAY($A1426,1)))</f>
        <v/>
      </c>
      <c r="C1426" s="16">
        <f>IF($A1426="","",助理班表!$A50)</f>
        <v/>
      </c>
      <c r="D1426" s="16">
        <f>IF($C1426="","",助理班表!$B50)</f>
        <v/>
      </c>
      <c r="E1426" s="16">
        <f>IF($C1426="","",助理班表!$D50)</f>
        <v/>
      </c>
      <c r="F1426" s="16">
        <f>IF($C1426="","",助理班表!$C50)</f>
        <v/>
      </c>
      <c r="G1426" s="16">
        <f>IF($C1426="","",助理班表!AG50)</f>
        <v/>
      </c>
      <c r="H1426" s="83">
        <f>IF($G1426="","",IFERROR(IF(INDEX(設定!$D$6:$D$21,MATCH($G1426,設定!$B$6:$B$21,0))=0,"",INDEX(設定!$D$6:$D$21,MATCH($G1426,設定!$B$6:$B$21,0))),""))</f>
        <v/>
      </c>
      <c r="I1426" s="83">
        <f>IF($G1426="","",IFERROR(IF(INDEX(設定!$E$6:$E$21,MATCH($G1426,設定!$B$6:$B$21,0))=0,"",INDEX(設定!$E$6:$E$21,MATCH($G1426,設定!$B$6:$B$21,0))),""))</f>
        <v/>
      </c>
      <c r="J1426" s="83">
        <f>IFERROR(INDEX(打卡匯入!$C$3:$C$2002,MATCH($C1426&amp;"|"&amp;DAY($A1426),打卡匯入!$E$3:$E$2002,0)),"")</f>
        <v/>
      </c>
      <c r="K1426" s="83">
        <f>IFERROR(INDEX(打卡匯入!$D$3:$D$2002,MATCH($C1426&amp;"|"&amp;DAY($A1426),打卡匯入!$E$3:$E$2002,0)),"")</f>
        <v/>
      </c>
      <c r="L1426" s="84">
        <f>IF(OR($J1426="",$K1426=""),"",IFERROR(INDEX(設定!$F$6:$F$21,MATCH($G1426,設定!$B$6:$B$21,0)),0))</f>
        <v/>
      </c>
      <c r="M1426" s="85">
        <f>IF(OR($J1426="",$K1426=""),"",ROUND(($K1426-$J1426)*24-$L1426/60,2))</f>
        <v/>
      </c>
      <c r="N1426" s="16">
        <f>IF($C1426="","",IF(AND(COUNTIF(設定!$B$15:$B$21,$G1426)&gt;0,$J1426&lt;&gt;""),"假日出勤",IF(AND(COUNTIF(設定!$B$6:$B$14,$G1426)&gt;0,$J1426=""),"未打卡",IF($J1426="","",IF($O1426&gt;0,"遲到",IF($P1426&gt;0,"早退","正常"))))))</f>
        <v/>
      </c>
      <c r="O1426" s="84">
        <f>IF(OR($C1426="",$H1426="",$J1426=""),0,IF(ROUND(($J1426-$H1426)*1440,0)&gt;設定!$C$46,ROUND(($J1426-$H1426)*1440,0),0))</f>
        <v/>
      </c>
      <c r="P1426" s="84">
        <f>IF(OR($C1426="",$I1426="",$K1426=""),0,IF(ROUND(($I1426-$K1426)*1440,0)&gt;設定!$C$46,ROUND(($I1426-$K1426)*1440,0),0))</f>
        <v/>
      </c>
      <c r="Q1426" s="85">
        <f>IF($M1426="",0,IF(($M1426-IFERROR(INDEX(設定!$G$6:$G$21,MATCH($G1426,設定!$B$6:$B$21,0)),0))*60&gt;=設定!$C$44,ROUND(FLOOR(($M1426-IFERROR(INDEX(設定!$G$6:$G$21,MATCH($G1426,設定!$B$6:$B$21,0)),0))*60,設定!$C$45)/60,2),0))</f>
        <v/>
      </c>
      <c r="R1426" s="16">
        <f>IF(OR($C1426="",$Q1426=0),"",IF($G1426="國","國定假日",IF($B1426="日","例假",IF($B1426="六","休息日","平日"))))</f>
        <v/>
      </c>
      <c r="S1426" s="19" t="n"/>
    </row>
    <row r="1427">
      <c r="A1427" s="82">
        <f>IF(OR(助理班表!$A50="",30&gt;DAY(EOMONTH(DATE(設定!$C$2,設定!$D$2,1),0))),"",DATE(設定!$C$2,設定!$D$2,30))</f>
        <v/>
      </c>
      <c r="B1427" s="16">
        <f>IF($A1427="","",INDEX(設定!$O$6:$O$12,WEEKDAY($A1427,1)))</f>
        <v/>
      </c>
      <c r="C1427" s="16">
        <f>IF($A1427="","",助理班表!$A50)</f>
        <v/>
      </c>
      <c r="D1427" s="16">
        <f>IF($C1427="","",助理班表!$B50)</f>
        <v/>
      </c>
      <c r="E1427" s="16">
        <f>IF($C1427="","",助理班表!$D50)</f>
        <v/>
      </c>
      <c r="F1427" s="16">
        <f>IF($C1427="","",助理班表!$C50)</f>
        <v/>
      </c>
      <c r="G1427" s="16">
        <f>IF($C1427="","",助理班表!AH50)</f>
        <v/>
      </c>
      <c r="H1427" s="83">
        <f>IF($G1427="","",IFERROR(IF(INDEX(設定!$D$6:$D$21,MATCH($G1427,設定!$B$6:$B$21,0))=0,"",INDEX(設定!$D$6:$D$21,MATCH($G1427,設定!$B$6:$B$21,0))),""))</f>
        <v/>
      </c>
      <c r="I1427" s="83">
        <f>IF($G1427="","",IFERROR(IF(INDEX(設定!$E$6:$E$21,MATCH($G1427,設定!$B$6:$B$21,0))=0,"",INDEX(設定!$E$6:$E$21,MATCH($G1427,設定!$B$6:$B$21,0))),""))</f>
        <v/>
      </c>
      <c r="J1427" s="83">
        <f>IFERROR(INDEX(打卡匯入!$C$3:$C$2002,MATCH($C1427&amp;"|"&amp;DAY($A1427),打卡匯入!$E$3:$E$2002,0)),"")</f>
        <v/>
      </c>
      <c r="K1427" s="83">
        <f>IFERROR(INDEX(打卡匯入!$D$3:$D$2002,MATCH($C1427&amp;"|"&amp;DAY($A1427),打卡匯入!$E$3:$E$2002,0)),"")</f>
        <v/>
      </c>
      <c r="L1427" s="84">
        <f>IF(OR($J1427="",$K1427=""),"",IFERROR(INDEX(設定!$F$6:$F$21,MATCH($G1427,設定!$B$6:$B$21,0)),0))</f>
        <v/>
      </c>
      <c r="M1427" s="85">
        <f>IF(OR($J1427="",$K1427=""),"",ROUND(($K1427-$J1427)*24-$L1427/60,2))</f>
        <v/>
      </c>
      <c r="N1427" s="16">
        <f>IF($C1427="","",IF(AND(COUNTIF(設定!$B$15:$B$21,$G1427)&gt;0,$J1427&lt;&gt;""),"假日出勤",IF(AND(COUNTIF(設定!$B$6:$B$14,$G1427)&gt;0,$J1427=""),"未打卡",IF($J1427="","",IF($O1427&gt;0,"遲到",IF($P1427&gt;0,"早退","正常"))))))</f>
        <v/>
      </c>
      <c r="O1427" s="84">
        <f>IF(OR($C1427="",$H1427="",$J1427=""),0,IF(ROUND(($J1427-$H1427)*1440,0)&gt;設定!$C$46,ROUND(($J1427-$H1427)*1440,0),0))</f>
        <v/>
      </c>
      <c r="P1427" s="84">
        <f>IF(OR($C1427="",$I1427="",$K1427=""),0,IF(ROUND(($I1427-$K1427)*1440,0)&gt;設定!$C$46,ROUND(($I1427-$K1427)*1440,0),0))</f>
        <v/>
      </c>
      <c r="Q1427" s="85">
        <f>IF($M1427="",0,IF(($M1427-IFERROR(INDEX(設定!$G$6:$G$21,MATCH($G1427,設定!$B$6:$B$21,0)),0))*60&gt;=設定!$C$44,ROUND(FLOOR(($M1427-IFERROR(INDEX(設定!$G$6:$G$21,MATCH($G1427,設定!$B$6:$B$21,0)),0))*60,設定!$C$45)/60,2),0))</f>
        <v/>
      </c>
      <c r="R1427" s="16">
        <f>IF(OR($C1427="",$Q1427=0),"",IF($G1427="國","國定假日",IF($B1427="日","例假",IF($B1427="六","休息日","平日"))))</f>
        <v/>
      </c>
      <c r="S1427" s="19" t="n"/>
    </row>
    <row r="1428">
      <c r="A1428" s="82">
        <f>IF(OR(助理班表!$A50="",31&gt;DAY(EOMONTH(DATE(設定!$C$2,設定!$D$2,1),0))),"",DATE(設定!$C$2,設定!$D$2,31))</f>
        <v/>
      </c>
      <c r="B1428" s="16">
        <f>IF($A1428="","",INDEX(設定!$O$6:$O$12,WEEKDAY($A1428,1)))</f>
        <v/>
      </c>
      <c r="C1428" s="16">
        <f>IF($A1428="","",助理班表!$A50)</f>
        <v/>
      </c>
      <c r="D1428" s="16">
        <f>IF($C1428="","",助理班表!$B50)</f>
        <v/>
      </c>
      <c r="E1428" s="16">
        <f>IF($C1428="","",助理班表!$D50)</f>
        <v/>
      </c>
      <c r="F1428" s="16">
        <f>IF($C1428="","",助理班表!$C50)</f>
        <v/>
      </c>
      <c r="G1428" s="16">
        <f>IF($C1428="","",助理班表!AI50)</f>
        <v/>
      </c>
      <c r="H1428" s="83">
        <f>IF($G1428="","",IFERROR(IF(INDEX(設定!$D$6:$D$21,MATCH($G1428,設定!$B$6:$B$21,0))=0,"",INDEX(設定!$D$6:$D$21,MATCH($G1428,設定!$B$6:$B$21,0))),""))</f>
        <v/>
      </c>
      <c r="I1428" s="83">
        <f>IF($G1428="","",IFERROR(IF(INDEX(設定!$E$6:$E$21,MATCH($G1428,設定!$B$6:$B$21,0))=0,"",INDEX(設定!$E$6:$E$21,MATCH($G1428,設定!$B$6:$B$21,0))),""))</f>
        <v/>
      </c>
      <c r="J1428" s="83">
        <f>IFERROR(INDEX(打卡匯入!$C$3:$C$2002,MATCH($C1428&amp;"|"&amp;DAY($A1428),打卡匯入!$E$3:$E$2002,0)),"")</f>
        <v/>
      </c>
      <c r="K1428" s="83">
        <f>IFERROR(INDEX(打卡匯入!$D$3:$D$2002,MATCH($C1428&amp;"|"&amp;DAY($A1428),打卡匯入!$E$3:$E$2002,0)),"")</f>
        <v/>
      </c>
      <c r="L1428" s="84">
        <f>IF(OR($J1428="",$K1428=""),"",IFERROR(INDEX(設定!$F$6:$F$21,MATCH($G1428,設定!$B$6:$B$21,0)),0))</f>
        <v/>
      </c>
      <c r="M1428" s="85">
        <f>IF(OR($J1428="",$K1428=""),"",ROUND(($K1428-$J1428)*24-$L1428/60,2))</f>
        <v/>
      </c>
      <c r="N1428" s="16">
        <f>IF($C1428="","",IF(AND(COUNTIF(設定!$B$15:$B$21,$G1428)&gt;0,$J1428&lt;&gt;""),"假日出勤",IF(AND(COUNTIF(設定!$B$6:$B$14,$G1428)&gt;0,$J1428=""),"未打卡",IF($J1428="","",IF($O1428&gt;0,"遲到",IF($P1428&gt;0,"早退","正常"))))))</f>
        <v/>
      </c>
      <c r="O1428" s="84">
        <f>IF(OR($C1428="",$H1428="",$J1428=""),0,IF(ROUND(($J1428-$H1428)*1440,0)&gt;設定!$C$46,ROUND(($J1428-$H1428)*1440,0),0))</f>
        <v/>
      </c>
      <c r="P1428" s="84">
        <f>IF(OR($C1428="",$I1428="",$K1428=""),0,IF(ROUND(($I1428-$K1428)*1440,0)&gt;設定!$C$46,ROUND(($I1428-$K1428)*1440,0),0))</f>
        <v/>
      </c>
      <c r="Q1428" s="85">
        <f>IF($M1428="",0,IF(($M1428-IFERROR(INDEX(設定!$G$6:$G$21,MATCH($G1428,設定!$B$6:$B$21,0)),0))*60&gt;=設定!$C$44,ROUND(FLOOR(($M1428-IFERROR(INDEX(設定!$G$6:$G$21,MATCH($G1428,設定!$B$6:$B$21,0)),0))*60,設定!$C$45)/60,2),0))</f>
        <v/>
      </c>
      <c r="R1428" s="16">
        <f>IF(OR($C1428="",$Q1428=0),"",IF($G1428="國","國定假日",IF($B1428="日","例假",IF($B1428="六","休息日","平日"))))</f>
        <v/>
      </c>
      <c r="S1428" s="19" t="n"/>
    </row>
    <row r="1429">
      <c r="A1429" s="82">
        <f>IF(OR(助理班表!$A51="",1&gt;DAY(EOMONTH(DATE(設定!$C$2,設定!$D$2,1),0))),"",DATE(設定!$C$2,設定!$D$2,1))</f>
        <v/>
      </c>
      <c r="B1429" s="16">
        <f>IF($A1429="","",INDEX(設定!$O$6:$O$12,WEEKDAY($A1429,1)))</f>
        <v/>
      </c>
      <c r="C1429" s="16">
        <f>IF($A1429="","",助理班表!$A51)</f>
        <v/>
      </c>
      <c r="D1429" s="16">
        <f>IF($C1429="","",助理班表!$B51)</f>
        <v/>
      </c>
      <c r="E1429" s="16">
        <f>IF($C1429="","",助理班表!$D51)</f>
        <v/>
      </c>
      <c r="F1429" s="16">
        <f>IF($C1429="","",助理班表!$C51)</f>
        <v/>
      </c>
      <c r="G1429" s="16">
        <f>IF($C1429="","",助理班表!E51)</f>
        <v/>
      </c>
      <c r="H1429" s="83">
        <f>IF($G1429="","",IFERROR(IF(INDEX(設定!$D$6:$D$21,MATCH($G1429,設定!$B$6:$B$21,0))=0,"",INDEX(設定!$D$6:$D$21,MATCH($G1429,設定!$B$6:$B$21,0))),""))</f>
        <v/>
      </c>
      <c r="I1429" s="83">
        <f>IF($G1429="","",IFERROR(IF(INDEX(設定!$E$6:$E$21,MATCH($G1429,設定!$B$6:$B$21,0))=0,"",INDEX(設定!$E$6:$E$21,MATCH($G1429,設定!$B$6:$B$21,0))),""))</f>
        <v/>
      </c>
      <c r="J1429" s="83">
        <f>IFERROR(INDEX(打卡匯入!$C$3:$C$2002,MATCH($C1429&amp;"|"&amp;DAY($A1429),打卡匯入!$E$3:$E$2002,0)),"")</f>
        <v/>
      </c>
      <c r="K1429" s="83">
        <f>IFERROR(INDEX(打卡匯入!$D$3:$D$2002,MATCH($C1429&amp;"|"&amp;DAY($A1429),打卡匯入!$E$3:$E$2002,0)),"")</f>
        <v/>
      </c>
      <c r="L1429" s="84">
        <f>IF(OR($J1429="",$K1429=""),"",IFERROR(INDEX(設定!$F$6:$F$21,MATCH($G1429,設定!$B$6:$B$21,0)),0))</f>
        <v/>
      </c>
      <c r="M1429" s="85">
        <f>IF(OR($J1429="",$K1429=""),"",ROUND(($K1429-$J1429)*24-$L1429/60,2))</f>
        <v/>
      </c>
      <c r="N1429" s="16">
        <f>IF($C1429="","",IF(AND(COUNTIF(設定!$B$15:$B$21,$G1429)&gt;0,$J1429&lt;&gt;""),"假日出勤",IF(AND(COUNTIF(設定!$B$6:$B$14,$G1429)&gt;0,$J1429=""),"未打卡",IF($J1429="","",IF($O1429&gt;0,"遲到",IF($P1429&gt;0,"早退","正常"))))))</f>
        <v/>
      </c>
      <c r="O1429" s="84">
        <f>IF(OR($C1429="",$H1429="",$J1429=""),0,IF(ROUND(($J1429-$H1429)*1440,0)&gt;設定!$C$46,ROUND(($J1429-$H1429)*1440,0),0))</f>
        <v/>
      </c>
      <c r="P1429" s="84">
        <f>IF(OR($C1429="",$I1429="",$K1429=""),0,IF(ROUND(($I1429-$K1429)*1440,0)&gt;設定!$C$46,ROUND(($I1429-$K1429)*1440,0),0))</f>
        <v/>
      </c>
      <c r="Q1429" s="85">
        <f>IF($M1429="",0,IF(($M1429-IFERROR(INDEX(設定!$G$6:$G$21,MATCH($G1429,設定!$B$6:$B$21,0)),0))*60&gt;=設定!$C$44,ROUND(FLOOR(($M1429-IFERROR(INDEX(設定!$G$6:$G$21,MATCH($G1429,設定!$B$6:$B$21,0)),0))*60,設定!$C$45)/60,2),0))</f>
        <v/>
      </c>
      <c r="R1429" s="16">
        <f>IF(OR($C1429="",$Q1429=0),"",IF($G1429="國","國定假日",IF($B1429="日","例假",IF($B1429="六","休息日","平日"))))</f>
        <v/>
      </c>
      <c r="S1429" s="19" t="n"/>
    </row>
    <row r="1430">
      <c r="A1430" s="82">
        <f>IF(OR(助理班表!$A51="",2&gt;DAY(EOMONTH(DATE(設定!$C$2,設定!$D$2,1),0))),"",DATE(設定!$C$2,設定!$D$2,2))</f>
        <v/>
      </c>
      <c r="B1430" s="16">
        <f>IF($A1430="","",INDEX(設定!$O$6:$O$12,WEEKDAY($A1430,1)))</f>
        <v/>
      </c>
      <c r="C1430" s="16">
        <f>IF($A1430="","",助理班表!$A51)</f>
        <v/>
      </c>
      <c r="D1430" s="16">
        <f>IF($C1430="","",助理班表!$B51)</f>
        <v/>
      </c>
      <c r="E1430" s="16">
        <f>IF($C1430="","",助理班表!$D51)</f>
        <v/>
      </c>
      <c r="F1430" s="16">
        <f>IF($C1430="","",助理班表!$C51)</f>
        <v/>
      </c>
      <c r="G1430" s="16">
        <f>IF($C1430="","",助理班表!F51)</f>
        <v/>
      </c>
      <c r="H1430" s="83">
        <f>IF($G1430="","",IFERROR(IF(INDEX(設定!$D$6:$D$21,MATCH($G1430,設定!$B$6:$B$21,0))=0,"",INDEX(設定!$D$6:$D$21,MATCH($G1430,設定!$B$6:$B$21,0))),""))</f>
        <v/>
      </c>
      <c r="I1430" s="83">
        <f>IF($G1430="","",IFERROR(IF(INDEX(設定!$E$6:$E$21,MATCH($G1430,設定!$B$6:$B$21,0))=0,"",INDEX(設定!$E$6:$E$21,MATCH($G1430,設定!$B$6:$B$21,0))),""))</f>
        <v/>
      </c>
      <c r="J1430" s="83">
        <f>IFERROR(INDEX(打卡匯入!$C$3:$C$2002,MATCH($C1430&amp;"|"&amp;DAY($A1430),打卡匯入!$E$3:$E$2002,0)),"")</f>
        <v/>
      </c>
      <c r="K1430" s="83">
        <f>IFERROR(INDEX(打卡匯入!$D$3:$D$2002,MATCH($C1430&amp;"|"&amp;DAY($A1430),打卡匯入!$E$3:$E$2002,0)),"")</f>
        <v/>
      </c>
      <c r="L1430" s="84">
        <f>IF(OR($J1430="",$K1430=""),"",IFERROR(INDEX(設定!$F$6:$F$21,MATCH($G1430,設定!$B$6:$B$21,0)),0))</f>
        <v/>
      </c>
      <c r="M1430" s="85">
        <f>IF(OR($J1430="",$K1430=""),"",ROUND(($K1430-$J1430)*24-$L1430/60,2))</f>
        <v/>
      </c>
      <c r="N1430" s="16">
        <f>IF($C1430="","",IF(AND(COUNTIF(設定!$B$15:$B$21,$G1430)&gt;0,$J1430&lt;&gt;""),"假日出勤",IF(AND(COUNTIF(設定!$B$6:$B$14,$G1430)&gt;0,$J1430=""),"未打卡",IF($J1430="","",IF($O1430&gt;0,"遲到",IF($P1430&gt;0,"早退","正常"))))))</f>
        <v/>
      </c>
      <c r="O1430" s="84">
        <f>IF(OR($C1430="",$H1430="",$J1430=""),0,IF(ROUND(($J1430-$H1430)*1440,0)&gt;設定!$C$46,ROUND(($J1430-$H1430)*1440,0),0))</f>
        <v/>
      </c>
      <c r="P1430" s="84">
        <f>IF(OR($C1430="",$I1430="",$K1430=""),0,IF(ROUND(($I1430-$K1430)*1440,0)&gt;設定!$C$46,ROUND(($I1430-$K1430)*1440,0),0))</f>
        <v/>
      </c>
      <c r="Q1430" s="85">
        <f>IF($M1430="",0,IF(($M1430-IFERROR(INDEX(設定!$G$6:$G$21,MATCH($G1430,設定!$B$6:$B$21,0)),0))*60&gt;=設定!$C$44,ROUND(FLOOR(($M1430-IFERROR(INDEX(設定!$G$6:$G$21,MATCH($G1430,設定!$B$6:$B$21,0)),0))*60,設定!$C$45)/60,2),0))</f>
        <v/>
      </c>
      <c r="R1430" s="16">
        <f>IF(OR($C1430="",$Q1430=0),"",IF($G1430="國","國定假日",IF($B1430="日","例假",IF($B1430="六","休息日","平日"))))</f>
        <v/>
      </c>
      <c r="S1430" s="19" t="n"/>
    </row>
    <row r="1431">
      <c r="A1431" s="82">
        <f>IF(OR(助理班表!$A51="",3&gt;DAY(EOMONTH(DATE(設定!$C$2,設定!$D$2,1),0))),"",DATE(設定!$C$2,設定!$D$2,3))</f>
        <v/>
      </c>
      <c r="B1431" s="16">
        <f>IF($A1431="","",INDEX(設定!$O$6:$O$12,WEEKDAY($A1431,1)))</f>
        <v/>
      </c>
      <c r="C1431" s="16">
        <f>IF($A1431="","",助理班表!$A51)</f>
        <v/>
      </c>
      <c r="D1431" s="16">
        <f>IF($C1431="","",助理班表!$B51)</f>
        <v/>
      </c>
      <c r="E1431" s="16">
        <f>IF($C1431="","",助理班表!$D51)</f>
        <v/>
      </c>
      <c r="F1431" s="16">
        <f>IF($C1431="","",助理班表!$C51)</f>
        <v/>
      </c>
      <c r="G1431" s="16">
        <f>IF($C1431="","",助理班表!G51)</f>
        <v/>
      </c>
      <c r="H1431" s="83">
        <f>IF($G1431="","",IFERROR(IF(INDEX(設定!$D$6:$D$21,MATCH($G1431,設定!$B$6:$B$21,0))=0,"",INDEX(設定!$D$6:$D$21,MATCH($G1431,設定!$B$6:$B$21,0))),""))</f>
        <v/>
      </c>
      <c r="I1431" s="83">
        <f>IF($G1431="","",IFERROR(IF(INDEX(設定!$E$6:$E$21,MATCH($G1431,設定!$B$6:$B$21,0))=0,"",INDEX(設定!$E$6:$E$21,MATCH($G1431,設定!$B$6:$B$21,0))),""))</f>
        <v/>
      </c>
      <c r="J1431" s="83">
        <f>IFERROR(INDEX(打卡匯入!$C$3:$C$2002,MATCH($C1431&amp;"|"&amp;DAY($A1431),打卡匯入!$E$3:$E$2002,0)),"")</f>
        <v/>
      </c>
      <c r="K1431" s="83">
        <f>IFERROR(INDEX(打卡匯入!$D$3:$D$2002,MATCH($C1431&amp;"|"&amp;DAY($A1431),打卡匯入!$E$3:$E$2002,0)),"")</f>
        <v/>
      </c>
      <c r="L1431" s="84">
        <f>IF(OR($J1431="",$K1431=""),"",IFERROR(INDEX(設定!$F$6:$F$21,MATCH($G1431,設定!$B$6:$B$21,0)),0))</f>
        <v/>
      </c>
      <c r="M1431" s="85">
        <f>IF(OR($J1431="",$K1431=""),"",ROUND(($K1431-$J1431)*24-$L1431/60,2))</f>
        <v/>
      </c>
      <c r="N1431" s="16">
        <f>IF($C1431="","",IF(AND(COUNTIF(設定!$B$15:$B$21,$G1431)&gt;0,$J1431&lt;&gt;""),"假日出勤",IF(AND(COUNTIF(設定!$B$6:$B$14,$G1431)&gt;0,$J1431=""),"未打卡",IF($J1431="","",IF($O1431&gt;0,"遲到",IF($P1431&gt;0,"早退","正常"))))))</f>
        <v/>
      </c>
      <c r="O1431" s="84">
        <f>IF(OR($C1431="",$H1431="",$J1431=""),0,IF(ROUND(($J1431-$H1431)*1440,0)&gt;設定!$C$46,ROUND(($J1431-$H1431)*1440,0),0))</f>
        <v/>
      </c>
      <c r="P1431" s="84">
        <f>IF(OR($C1431="",$I1431="",$K1431=""),0,IF(ROUND(($I1431-$K1431)*1440,0)&gt;設定!$C$46,ROUND(($I1431-$K1431)*1440,0),0))</f>
        <v/>
      </c>
      <c r="Q1431" s="85">
        <f>IF($M1431="",0,IF(($M1431-IFERROR(INDEX(設定!$G$6:$G$21,MATCH($G1431,設定!$B$6:$B$21,0)),0))*60&gt;=設定!$C$44,ROUND(FLOOR(($M1431-IFERROR(INDEX(設定!$G$6:$G$21,MATCH($G1431,設定!$B$6:$B$21,0)),0))*60,設定!$C$45)/60,2),0))</f>
        <v/>
      </c>
      <c r="R1431" s="16">
        <f>IF(OR($C1431="",$Q1431=0),"",IF($G1431="國","國定假日",IF($B1431="日","例假",IF($B1431="六","休息日","平日"))))</f>
        <v/>
      </c>
      <c r="S1431" s="19" t="n"/>
    </row>
    <row r="1432">
      <c r="A1432" s="82">
        <f>IF(OR(助理班表!$A51="",4&gt;DAY(EOMONTH(DATE(設定!$C$2,設定!$D$2,1),0))),"",DATE(設定!$C$2,設定!$D$2,4))</f>
        <v/>
      </c>
      <c r="B1432" s="16">
        <f>IF($A1432="","",INDEX(設定!$O$6:$O$12,WEEKDAY($A1432,1)))</f>
        <v/>
      </c>
      <c r="C1432" s="16">
        <f>IF($A1432="","",助理班表!$A51)</f>
        <v/>
      </c>
      <c r="D1432" s="16">
        <f>IF($C1432="","",助理班表!$B51)</f>
        <v/>
      </c>
      <c r="E1432" s="16">
        <f>IF($C1432="","",助理班表!$D51)</f>
        <v/>
      </c>
      <c r="F1432" s="16">
        <f>IF($C1432="","",助理班表!$C51)</f>
        <v/>
      </c>
      <c r="G1432" s="16">
        <f>IF($C1432="","",助理班表!H51)</f>
        <v/>
      </c>
      <c r="H1432" s="83">
        <f>IF($G1432="","",IFERROR(IF(INDEX(設定!$D$6:$D$21,MATCH($G1432,設定!$B$6:$B$21,0))=0,"",INDEX(設定!$D$6:$D$21,MATCH($G1432,設定!$B$6:$B$21,0))),""))</f>
        <v/>
      </c>
      <c r="I1432" s="83">
        <f>IF($G1432="","",IFERROR(IF(INDEX(設定!$E$6:$E$21,MATCH($G1432,設定!$B$6:$B$21,0))=0,"",INDEX(設定!$E$6:$E$21,MATCH($G1432,設定!$B$6:$B$21,0))),""))</f>
        <v/>
      </c>
      <c r="J1432" s="83">
        <f>IFERROR(INDEX(打卡匯入!$C$3:$C$2002,MATCH($C1432&amp;"|"&amp;DAY($A1432),打卡匯入!$E$3:$E$2002,0)),"")</f>
        <v/>
      </c>
      <c r="K1432" s="83">
        <f>IFERROR(INDEX(打卡匯入!$D$3:$D$2002,MATCH($C1432&amp;"|"&amp;DAY($A1432),打卡匯入!$E$3:$E$2002,0)),"")</f>
        <v/>
      </c>
      <c r="L1432" s="84">
        <f>IF(OR($J1432="",$K1432=""),"",IFERROR(INDEX(設定!$F$6:$F$21,MATCH($G1432,設定!$B$6:$B$21,0)),0))</f>
        <v/>
      </c>
      <c r="M1432" s="85">
        <f>IF(OR($J1432="",$K1432=""),"",ROUND(($K1432-$J1432)*24-$L1432/60,2))</f>
        <v/>
      </c>
      <c r="N1432" s="16">
        <f>IF($C1432="","",IF(AND(COUNTIF(設定!$B$15:$B$21,$G1432)&gt;0,$J1432&lt;&gt;""),"假日出勤",IF(AND(COUNTIF(設定!$B$6:$B$14,$G1432)&gt;0,$J1432=""),"未打卡",IF($J1432="","",IF($O1432&gt;0,"遲到",IF($P1432&gt;0,"早退","正常"))))))</f>
        <v/>
      </c>
      <c r="O1432" s="84">
        <f>IF(OR($C1432="",$H1432="",$J1432=""),0,IF(ROUND(($J1432-$H1432)*1440,0)&gt;設定!$C$46,ROUND(($J1432-$H1432)*1440,0),0))</f>
        <v/>
      </c>
      <c r="P1432" s="84">
        <f>IF(OR($C1432="",$I1432="",$K1432=""),0,IF(ROUND(($I1432-$K1432)*1440,0)&gt;設定!$C$46,ROUND(($I1432-$K1432)*1440,0),0))</f>
        <v/>
      </c>
      <c r="Q1432" s="85">
        <f>IF($M1432="",0,IF(($M1432-IFERROR(INDEX(設定!$G$6:$G$21,MATCH($G1432,設定!$B$6:$B$21,0)),0))*60&gt;=設定!$C$44,ROUND(FLOOR(($M1432-IFERROR(INDEX(設定!$G$6:$G$21,MATCH($G1432,設定!$B$6:$B$21,0)),0))*60,設定!$C$45)/60,2),0))</f>
        <v/>
      </c>
      <c r="R1432" s="16">
        <f>IF(OR($C1432="",$Q1432=0),"",IF($G1432="國","國定假日",IF($B1432="日","例假",IF($B1432="六","休息日","平日"))))</f>
        <v/>
      </c>
      <c r="S1432" s="19" t="n"/>
    </row>
    <row r="1433">
      <c r="A1433" s="82">
        <f>IF(OR(助理班表!$A51="",5&gt;DAY(EOMONTH(DATE(設定!$C$2,設定!$D$2,1),0))),"",DATE(設定!$C$2,設定!$D$2,5))</f>
        <v/>
      </c>
      <c r="B1433" s="16">
        <f>IF($A1433="","",INDEX(設定!$O$6:$O$12,WEEKDAY($A1433,1)))</f>
        <v/>
      </c>
      <c r="C1433" s="16">
        <f>IF($A1433="","",助理班表!$A51)</f>
        <v/>
      </c>
      <c r="D1433" s="16">
        <f>IF($C1433="","",助理班表!$B51)</f>
        <v/>
      </c>
      <c r="E1433" s="16">
        <f>IF($C1433="","",助理班表!$D51)</f>
        <v/>
      </c>
      <c r="F1433" s="16">
        <f>IF($C1433="","",助理班表!$C51)</f>
        <v/>
      </c>
      <c r="G1433" s="16">
        <f>IF($C1433="","",助理班表!I51)</f>
        <v/>
      </c>
      <c r="H1433" s="83">
        <f>IF($G1433="","",IFERROR(IF(INDEX(設定!$D$6:$D$21,MATCH($G1433,設定!$B$6:$B$21,0))=0,"",INDEX(設定!$D$6:$D$21,MATCH($G1433,設定!$B$6:$B$21,0))),""))</f>
        <v/>
      </c>
      <c r="I1433" s="83">
        <f>IF($G1433="","",IFERROR(IF(INDEX(設定!$E$6:$E$21,MATCH($G1433,設定!$B$6:$B$21,0))=0,"",INDEX(設定!$E$6:$E$21,MATCH($G1433,設定!$B$6:$B$21,0))),""))</f>
        <v/>
      </c>
      <c r="J1433" s="83">
        <f>IFERROR(INDEX(打卡匯入!$C$3:$C$2002,MATCH($C1433&amp;"|"&amp;DAY($A1433),打卡匯入!$E$3:$E$2002,0)),"")</f>
        <v/>
      </c>
      <c r="K1433" s="83">
        <f>IFERROR(INDEX(打卡匯入!$D$3:$D$2002,MATCH($C1433&amp;"|"&amp;DAY($A1433),打卡匯入!$E$3:$E$2002,0)),"")</f>
        <v/>
      </c>
      <c r="L1433" s="84">
        <f>IF(OR($J1433="",$K1433=""),"",IFERROR(INDEX(設定!$F$6:$F$21,MATCH($G1433,設定!$B$6:$B$21,0)),0))</f>
        <v/>
      </c>
      <c r="M1433" s="85">
        <f>IF(OR($J1433="",$K1433=""),"",ROUND(($K1433-$J1433)*24-$L1433/60,2))</f>
        <v/>
      </c>
      <c r="N1433" s="16">
        <f>IF($C1433="","",IF(AND(COUNTIF(設定!$B$15:$B$21,$G1433)&gt;0,$J1433&lt;&gt;""),"假日出勤",IF(AND(COUNTIF(設定!$B$6:$B$14,$G1433)&gt;0,$J1433=""),"未打卡",IF($J1433="","",IF($O1433&gt;0,"遲到",IF($P1433&gt;0,"早退","正常"))))))</f>
        <v/>
      </c>
      <c r="O1433" s="84">
        <f>IF(OR($C1433="",$H1433="",$J1433=""),0,IF(ROUND(($J1433-$H1433)*1440,0)&gt;設定!$C$46,ROUND(($J1433-$H1433)*1440,0),0))</f>
        <v/>
      </c>
      <c r="P1433" s="84">
        <f>IF(OR($C1433="",$I1433="",$K1433=""),0,IF(ROUND(($I1433-$K1433)*1440,0)&gt;設定!$C$46,ROUND(($I1433-$K1433)*1440,0),0))</f>
        <v/>
      </c>
      <c r="Q1433" s="85">
        <f>IF($M1433="",0,IF(($M1433-IFERROR(INDEX(設定!$G$6:$G$21,MATCH($G1433,設定!$B$6:$B$21,0)),0))*60&gt;=設定!$C$44,ROUND(FLOOR(($M1433-IFERROR(INDEX(設定!$G$6:$G$21,MATCH($G1433,設定!$B$6:$B$21,0)),0))*60,設定!$C$45)/60,2),0))</f>
        <v/>
      </c>
      <c r="R1433" s="16">
        <f>IF(OR($C1433="",$Q1433=0),"",IF($G1433="國","國定假日",IF($B1433="日","例假",IF($B1433="六","休息日","平日"))))</f>
        <v/>
      </c>
      <c r="S1433" s="19" t="n"/>
    </row>
    <row r="1434">
      <c r="A1434" s="82">
        <f>IF(OR(助理班表!$A51="",6&gt;DAY(EOMONTH(DATE(設定!$C$2,設定!$D$2,1),0))),"",DATE(設定!$C$2,設定!$D$2,6))</f>
        <v/>
      </c>
      <c r="B1434" s="16">
        <f>IF($A1434="","",INDEX(設定!$O$6:$O$12,WEEKDAY($A1434,1)))</f>
        <v/>
      </c>
      <c r="C1434" s="16">
        <f>IF($A1434="","",助理班表!$A51)</f>
        <v/>
      </c>
      <c r="D1434" s="16">
        <f>IF($C1434="","",助理班表!$B51)</f>
        <v/>
      </c>
      <c r="E1434" s="16">
        <f>IF($C1434="","",助理班表!$D51)</f>
        <v/>
      </c>
      <c r="F1434" s="16">
        <f>IF($C1434="","",助理班表!$C51)</f>
        <v/>
      </c>
      <c r="G1434" s="16">
        <f>IF($C1434="","",助理班表!J51)</f>
        <v/>
      </c>
      <c r="H1434" s="83">
        <f>IF($G1434="","",IFERROR(IF(INDEX(設定!$D$6:$D$21,MATCH($G1434,設定!$B$6:$B$21,0))=0,"",INDEX(設定!$D$6:$D$21,MATCH($G1434,設定!$B$6:$B$21,0))),""))</f>
        <v/>
      </c>
      <c r="I1434" s="83">
        <f>IF($G1434="","",IFERROR(IF(INDEX(設定!$E$6:$E$21,MATCH($G1434,設定!$B$6:$B$21,0))=0,"",INDEX(設定!$E$6:$E$21,MATCH($G1434,設定!$B$6:$B$21,0))),""))</f>
        <v/>
      </c>
      <c r="J1434" s="83">
        <f>IFERROR(INDEX(打卡匯入!$C$3:$C$2002,MATCH($C1434&amp;"|"&amp;DAY($A1434),打卡匯入!$E$3:$E$2002,0)),"")</f>
        <v/>
      </c>
      <c r="K1434" s="83">
        <f>IFERROR(INDEX(打卡匯入!$D$3:$D$2002,MATCH($C1434&amp;"|"&amp;DAY($A1434),打卡匯入!$E$3:$E$2002,0)),"")</f>
        <v/>
      </c>
      <c r="L1434" s="84">
        <f>IF(OR($J1434="",$K1434=""),"",IFERROR(INDEX(設定!$F$6:$F$21,MATCH($G1434,設定!$B$6:$B$21,0)),0))</f>
        <v/>
      </c>
      <c r="M1434" s="85">
        <f>IF(OR($J1434="",$K1434=""),"",ROUND(($K1434-$J1434)*24-$L1434/60,2))</f>
        <v/>
      </c>
      <c r="N1434" s="16">
        <f>IF($C1434="","",IF(AND(COUNTIF(設定!$B$15:$B$21,$G1434)&gt;0,$J1434&lt;&gt;""),"假日出勤",IF(AND(COUNTIF(設定!$B$6:$B$14,$G1434)&gt;0,$J1434=""),"未打卡",IF($J1434="","",IF($O1434&gt;0,"遲到",IF($P1434&gt;0,"早退","正常"))))))</f>
        <v/>
      </c>
      <c r="O1434" s="84">
        <f>IF(OR($C1434="",$H1434="",$J1434=""),0,IF(ROUND(($J1434-$H1434)*1440,0)&gt;設定!$C$46,ROUND(($J1434-$H1434)*1440,0),0))</f>
        <v/>
      </c>
      <c r="P1434" s="84">
        <f>IF(OR($C1434="",$I1434="",$K1434=""),0,IF(ROUND(($I1434-$K1434)*1440,0)&gt;設定!$C$46,ROUND(($I1434-$K1434)*1440,0),0))</f>
        <v/>
      </c>
      <c r="Q1434" s="85">
        <f>IF($M1434="",0,IF(($M1434-IFERROR(INDEX(設定!$G$6:$G$21,MATCH($G1434,設定!$B$6:$B$21,0)),0))*60&gt;=設定!$C$44,ROUND(FLOOR(($M1434-IFERROR(INDEX(設定!$G$6:$G$21,MATCH($G1434,設定!$B$6:$B$21,0)),0))*60,設定!$C$45)/60,2),0))</f>
        <v/>
      </c>
      <c r="R1434" s="16">
        <f>IF(OR($C1434="",$Q1434=0),"",IF($G1434="國","國定假日",IF($B1434="日","例假",IF($B1434="六","休息日","平日"))))</f>
        <v/>
      </c>
      <c r="S1434" s="19" t="n"/>
    </row>
    <row r="1435">
      <c r="A1435" s="82">
        <f>IF(OR(助理班表!$A51="",7&gt;DAY(EOMONTH(DATE(設定!$C$2,設定!$D$2,1),0))),"",DATE(設定!$C$2,設定!$D$2,7))</f>
        <v/>
      </c>
      <c r="B1435" s="16">
        <f>IF($A1435="","",INDEX(設定!$O$6:$O$12,WEEKDAY($A1435,1)))</f>
        <v/>
      </c>
      <c r="C1435" s="16">
        <f>IF($A1435="","",助理班表!$A51)</f>
        <v/>
      </c>
      <c r="D1435" s="16">
        <f>IF($C1435="","",助理班表!$B51)</f>
        <v/>
      </c>
      <c r="E1435" s="16">
        <f>IF($C1435="","",助理班表!$D51)</f>
        <v/>
      </c>
      <c r="F1435" s="16">
        <f>IF($C1435="","",助理班表!$C51)</f>
        <v/>
      </c>
      <c r="G1435" s="16">
        <f>IF($C1435="","",助理班表!K51)</f>
        <v/>
      </c>
      <c r="H1435" s="83">
        <f>IF($G1435="","",IFERROR(IF(INDEX(設定!$D$6:$D$21,MATCH($G1435,設定!$B$6:$B$21,0))=0,"",INDEX(設定!$D$6:$D$21,MATCH($G1435,設定!$B$6:$B$21,0))),""))</f>
        <v/>
      </c>
      <c r="I1435" s="83">
        <f>IF($G1435="","",IFERROR(IF(INDEX(設定!$E$6:$E$21,MATCH($G1435,設定!$B$6:$B$21,0))=0,"",INDEX(設定!$E$6:$E$21,MATCH($G1435,設定!$B$6:$B$21,0))),""))</f>
        <v/>
      </c>
      <c r="J1435" s="83">
        <f>IFERROR(INDEX(打卡匯入!$C$3:$C$2002,MATCH($C1435&amp;"|"&amp;DAY($A1435),打卡匯入!$E$3:$E$2002,0)),"")</f>
        <v/>
      </c>
      <c r="K1435" s="83">
        <f>IFERROR(INDEX(打卡匯入!$D$3:$D$2002,MATCH($C1435&amp;"|"&amp;DAY($A1435),打卡匯入!$E$3:$E$2002,0)),"")</f>
        <v/>
      </c>
      <c r="L1435" s="84">
        <f>IF(OR($J1435="",$K1435=""),"",IFERROR(INDEX(設定!$F$6:$F$21,MATCH($G1435,設定!$B$6:$B$21,0)),0))</f>
        <v/>
      </c>
      <c r="M1435" s="85">
        <f>IF(OR($J1435="",$K1435=""),"",ROUND(($K1435-$J1435)*24-$L1435/60,2))</f>
        <v/>
      </c>
      <c r="N1435" s="16">
        <f>IF($C1435="","",IF(AND(COUNTIF(設定!$B$15:$B$21,$G1435)&gt;0,$J1435&lt;&gt;""),"假日出勤",IF(AND(COUNTIF(設定!$B$6:$B$14,$G1435)&gt;0,$J1435=""),"未打卡",IF($J1435="","",IF($O1435&gt;0,"遲到",IF($P1435&gt;0,"早退","正常"))))))</f>
        <v/>
      </c>
      <c r="O1435" s="84">
        <f>IF(OR($C1435="",$H1435="",$J1435=""),0,IF(ROUND(($J1435-$H1435)*1440,0)&gt;設定!$C$46,ROUND(($J1435-$H1435)*1440,0),0))</f>
        <v/>
      </c>
      <c r="P1435" s="84">
        <f>IF(OR($C1435="",$I1435="",$K1435=""),0,IF(ROUND(($I1435-$K1435)*1440,0)&gt;設定!$C$46,ROUND(($I1435-$K1435)*1440,0),0))</f>
        <v/>
      </c>
      <c r="Q1435" s="85">
        <f>IF($M1435="",0,IF(($M1435-IFERROR(INDEX(設定!$G$6:$G$21,MATCH($G1435,設定!$B$6:$B$21,0)),0))*60&gt;=設定!$C$44,ROUND(FLOOR(($M1435-IFERROR(INDEX(設定!$G$6:$G$21,MATCH($G1435,設定!$B$6:$B$21,0)),0))*60,設定!$C$45)/60,2),0))</f>
        <v/>
      </c>
      <c r="R1435" s="16">
        <f>IF(OR($C1435="",$Q1435=0),"",IF($G1435="國","國定假日",IF($B1435="日","例假",IF($B1435="六","休息日","平日"))))</f>
        <v/>
      </c>
      <c r="S1435" s="19" t="n"/>
    </row>
    <row r="1436">
      <c r="A1436" s="82">
        <f>IF(OR(助理班表!$A51="",8&gt;DAY(EOMONTH(DATE(設定!$C$2,設定!$D$2,1),0))),"",DATE(設定!$C$2,設定!$D$2,8))</f>
        <v/>
      </c>
      <c r="B1436" s="16">
        <f>IF($A1436="","",INDEX(設定!$O$6:$O$12,WEEKDAY($A1436,1)))</f>
        <v/>
      </c>
      <c r="C1436" s="16">
        <f>IF($A1436="","",助理班表!$A51)</f>
        <v/>
      </c>
      <c r="D1436" s="16">
        <f>IF($C1436="","",助理班表!$B51)</f>
        <v/>
      </c>
      <c r="E1436" s="16">
        <f>IF($C1436="","",助理班表!$D51)</f>
        <v/>
      </c>
      <c r="F1436" s="16">
        <f>IF($C1436="","",助理班表!$C51)</f>
        <v/>
      </c>
      <c r="G1436" s="16">
        <f>IF($C1436="","",助理班表!L51)</f>
        <v/>
      </c>
      <c r="H1436" s="83">
        <f>IF($G1436="","",IFERROR(IF(INDEX(設定!$D$6:$D$21,MATCH($G1436,設定!$B$6:$B$21,0))=0,"",INDEX(設定!$D$6:$D$21,MATCH($G1436,設定!$B$6:$B$21,0))),""))</f>
        <v/>
      </c>
      <c r="I1436" s="83">
        <f>IF($G1436="","",IFERROR(IF(INDEX(設定!$E$6:$E$21,MATCH($G1436,設定!$B$6:$B$21,0))=0,"",INDEX(設定!$E$6:$E$21,MATCH($G1436,設定!$B$6:$B$21,0))),""))</f>
        <v/>
      </c>
      <c r="J1436" s="83">
        <f>IFERROR(INDEX(打卡匯入!$C$3:$C$2002,MATCH($C1436&amp;"|"&amp;DAY($A1436),打卡匯入!$E$3:$E$2002,0)),"")</f>
        <v/>
      </c>
      <c r="K1436" s="83">
        <f>IFERROR(INDEX(打卡匯入!$D$3:$D$2002,MATCH($C1436&amp;"|"&amp;DAY($A1436),打卡匯入!$E$3:$E$2002,0)),"")</f>
        <v/>
      </c>
      <c r="L1436" s="84">
        <f>IF(OR($J1436="",$K1436=""),"",IFERROR(INDEX(設定!$F$6:$F$21,MATCH($G1436,設定!$B$6:$B$21,0)),0))</f>
        <v/>
      </c>
      <c r="M1436" s="85">
        <f>IF(OR($J1436="",$K1436=""),"",ROUND(($K1436-$J1436)*24-$L1436/60,2))</f>
        <v/>
      </c>
      <c r="N1436" s="16">
        <f>IF($C1436="","",IF(AND(COUNTIF(設定!$B$15:$B$21,$G1436)&gt;0,$J1436&lt;&gt;""),"假日出勤",IF(AND(COUNTIF(設定!$B$6:$B$14,$G1436)&gt;0,$J1436=""),"未打卡",IF($J1436="","",IF($O1436&gt;0,"遲到",IF($P1436&gt;0,"早退","正常"))))))</f>
        <v/>
      </c>
      <c r="O1436" s="84">
        <f>IF(OR($C1436="",$H1436="",$J1436=""),0,IF(ROUND(($J1436-$H1436)*1440,0)&gt;設定!$C$46,ROUND(($J1436-$H1436)*1440,0),0))</f>
        <v/>
      </c>
      <c r="P1436" s="84">
        <f>IF(OR($C1436="",$I1436="",$K1436=""),0,IF(ROUND(($I1436-$K1436)*1440,0)&gt;設定!$C$46,ROUND(($I1436-$K1436)*1440,0),0))</f>
        <v/>
      </c>
      <c r="Q1436" s="85">
        <f>IF($M1436="",0,IF(($M1436-IFERROR(INDEX(設定!$G$6:$G$21,MATCH($G1436,設定!$B$6:$B$21,0)),0))*60&gt;=設定!$C$44,ROUND(FLOOR(($M1436-IFERROR(INDEX(設定!$G$6:$G$21,MATCH($G1436,設定!$B$6:$B$21,0)),0))*60,設定!$C$45)/60,2),0))</f>
        <v/>
      </c>
      <c r="R1436" s="16">
        <f>IF(OR($C1436="",$Q1436=0),"",IF($G1436="國","國定假日",IF($B1436="日","例假",IF($B1436="六","休息日","平日"))))</f>
        <v/>
      </c>
      <c r="S1436" s="19" t="n"/>
    </row>
    <row r="1437">
      <c r="A1437" s="82">
        <f>IF(OR(助理班表!$A51="",9&gt;DAY(EOMONTH(DATE(設定!$C$2,設定!$D$2,1),0))),"",DATE(設定!$C$2,設定!$D$2,9))</f>
        <v/>
      </c>
      <c r="B1437" s="16">
        <f>IF($A1437="","",INDEX(設定!$O$6:$O$12,WEEKDAY($A1437,1)))</f>
        <v/>
      </c>
      <c r="C1437" s="16">
        <f>IF($A1437="","",助理班表!$A51)</f>
        <v/>
      </c>
      <c r="D1437" s="16">
        <f>IF($C1437="","",助理班表!$B51)</f>
        <v/>
      </c>
      <c r="E1437" s="16">
        <f>IF($C1437="","",助理班表!$D51)</f>
        <v/>
      </c>
      <c r="F1437" s="16">
        <f>IF($C1437="","",助理班表!$C51)</f>
        <v/>
      </c>
      <c r="G1437" s="16">
        <f>IF($C1437="","",助理班表!M51)</f>
        <v/>
      </c>
      <c r="H1437" s="83">
        <f>IF($G1437="","",IFERROR(IF(INDEX(設定!$D$6:$D$21,MATCH($G1437,設定!$B$6:$B$21,0))=0,"",INDEX(設定!$D$6:$D$21,MATCH($G1437,設定!$B$6:$B$21,0))),""))</f>
        <v/>
      </c>
      <c r="I1437" s="83">
        <f>IF($G1437="","",IFERROR(IF(INDEX(設定!$E$6:$E$21,MATCH($G1437,設定!$B$6:$B$21,0))=0,"",INDEX(設定!$E$6:$E$21,MATCH($G1437,設定!$B$6:$B$21,0))),""))</f>
        <v/>
      </c>
      <c r="J1437" s="83">
        <f>IFERROR(INDEX(打卡匯入!$C$3:$C$2002,MATCH($C1437&amp;"|"&amp;DAY($A1437),打卡匯入!$E$3:$E$2002,0)),"")</f>
        <v/>
      </c>
      <c r="K1437" s="83">
        <f>IFERROR(INDEX(打卡匯入!$D$3:$D$2002,MATCH($C1437&amp;"|"&amp;DAY($A1437),打卡匯入!$E$3:$E$2002,0)),"")</f>
        <v/>
      </c>
      <c r="L1437" s="84">
        <f>IF(OR($J1437="",$K1437=""),"",IFERROR(INDEX(設定!$F$6:$F$21,MATCH($G1437,設定!$B$6:$B$21,0)),0))</f>
        <v/>
      </c>
      <c r="M1437" s="85">
        <f>IF(OR($J1437="",$K1437=""),"",ROUND(($K1437-$J1437)*24-$L1437/60,2))</f>
        <v/>
      </c>
      <c r="N1437" s="16">
        <f>IF($C1437="","",IF(AND(COUNTIF(設定!$B$15:$B$21,$G1437)&gt;0,$J1437&lt;&gt;""),"假日出勤",IF(AND(COUNTIF(設定!$B$6:$B$14,$G1437)&gt;0,$J1437=""),"未打卡",IF($J1437="","",IF($O1437&gt;0,"遲到",IF($P1437&gt;0,"早退","正常"))))))</f>
        <v/>
      </c>
      <c r="O1437" s="84">
        <f>IF(OR($C1437="",$H1437="",$J1437=""),0,IF(ROUND(($J1437-$H1437)*1440,0)&gt;設定!$C$46,ROUND(($J1437-$H1437)*1440,0),0))</f>
        <v/>
      </c>
      <c r="P1437" s="84">
        <f>IF(OR($C1437="",$I1437="",$K1437=""),0,IF(ROUND(($I1437-$K1437)*1440,0)&gt;設定!$C$46,ROUND(($I1437-$K1437)*1440,0),0))</f>
        <v/>
      </c>
      <c r="Q1437" s="85">
        <f>IF($M1437="",0,IF(($M1437-IFERROR(INDEX(設定!$G$6:$G$21,MATCH($G1437,設定!$B$6:$B$21,0)),0))*60&gt;=設定!$C$44,ROUND(FLOOR(($M1437-IFERROR(INDEX(設定!$G$6:$G$21,MATCH($G1437,設定!$B$6:$B$21,0)),0))*60,設定!$C$45)/60,2),0))</f>
        <v/>
      </c>
      <c r="R1437" s="16">
        <f>IF(OR($C1437="",$Q1437=0),"",IF($G1437="國","國定假日",IF($B1437="日","例假",IF($B1437="六","休息日","平日"))))</f>
        <v/>
      </c>
      <c r="S1437" s="19" t="n"/>
    </row>
    <row r="1438">
      <c r="A1438" s="82">
        <f>IF(OR(助理班表!$A51="",10&gt;DAY(EOMONTH(DATE(設定!$C$2,設定!$D$2,1),0))),"",DATE(設定!$C$2,設定!$D$2,10))</f>
        <v/>
      </c>
      <c r="B1438" s="16">
        <f>IF($A1438="","",INDEX(設定!$O$6:$O$12,WEEKDAY($A1438,1)))</f>
        <v/>
      </c>
      <c r="C1438" s="16">
        <f>IF($A1438="","",助理班表!$A51)</f>
        <v/>
      </c>
      <c r="D1438" s="16">
        <f>IF($C1438="","",助理班表!$B51)</f>
        <v/>
      </c>
      <c r="E1438" s="16">
        <f>IF($C1438="","",助理班表!$D51)</f>
        <v/>
      </c>
      <c r="F1438" s="16">
        <f>IF($C1438="","",助理班表!$C51)</f>
        <v/>
      </c>
      <c r="G1438" s="16">
        <f>IF($C1438="","",助理班表!N51)</f>
        <v/>
      </c>
      <c r="H1438" s="83">
        <f>IF($G1438="","",IFERROR(IF(INDEX(設定!$D$6:$D$21,MATCH($G1438,設定!$B$6:$B$21,0))=0,"",INDEX(設定!$D$6:$D$21,MATCH($G1438,設定!$B$6:$B$21,0))),""))</f>
        <v/>
      </c>
      <c r="I1438" s="83">
        <f>IF($G1438="","",IFERROR(IF(INDEX(設定!$E$6:$E$21,MATCH($G1438,設定!$B$6:$B$21,0))=0,"",INDEX(設定!$E$6:$E$21,MATCH($G1438,設定!$B$6:$B$21,0))),""))</f>
        <v/>
      </c>
      <c r="J1438" s="83">
        <f>IFERROR(INDEX(打卡匯入!$C$3:$C$2002,MATCH($C1438&amp;"|"&amp;DAY($A1438),打卡匯入!$E$3:$E$2002,0)),"")</f>
        <v/>
      </c>
      <c r="K1438" s="83">
        <f>IFERROR(INDEX(打卡匯入!$D$3:$D$2002,MATCH($C1438&amp;"|"&amp;DAY($A1438),打卡匯入!$E$3:$E$2002,0)),"")</f>
        <v/>
      </c>
      <c r="L1438" s="84">
        <f>IF(OR($J1438="",$K1438=""),"",IFERROR(INDEX(設定!$F$6:$F$21,MATCH($G1438,設定!$B$6:$B$21,0)),0))</f>
        <v/>
      </c>
      <c r="M1438" s="85">
        <f>IF(OR($J1438="",$K1438=""),"",ROUND(($K1438-$J1438)*24-$L1438/60,2))</f>
        <v/>
      </c>
      <c r="N1438" s="16">
        <f>IF($C1438="","",IF(AND(COUNTIF(設定!$B$15:$B$21,$G1438)&gt;0,$J1438&lt;&gt;""),"假日出勤",IF(AND(COUNTIF(設定!$B$6:$B$14,$G1438)&gt;0,$J1438=""),"未打卡",IF($J1438="","",IF($O1438&gt;0,"遲到",IF($P1438&gt;0,"早退","正常"))))))</f>
        <v/>
      </c>
      <c r="O1438" s="84">
        <f>IF(OR($C1438="",$H1438="",$J1438=""),0,IF(ROUND(($J1438-$H1438)*1440,0)&gt;設定!$C$46,ROUND(($J1438-$H1438)*1440,0),0))</f>
        <v/>
      </c>
      <c r="P1438" s="84">
        <f>IF(OR($C1438="",$I1438="",$K1438=""),0,IF(ROUND(($I1438-$K1438)*1440,0)&gt;設定!$C$46,ROUND(($I1438-$K1438)*1440,0),0))</f>
        <v/>
      </c>
      <c r="Q1438" s="85">
        <f>IF($M1438="",0,IF(($M1438-IFERROR(INDEX(設定!$G$6:$G$21,MATCH($G1438,設定!$B$6:$B$21,0)),0))*60&gt;=設定!$C$44,ROUND(FLOOR(($M1438-IFERROR(INDEX(設定!$G$6:$G$21,MATCH($G1438,設定!$B$6:$B$21,0)),0))*60,設定!$C$45)/60,2),0))</f>
        <v/>
      </c>
      <c r="R1438" s="16">
        <f>IF(OR($C1438="",$Q1438=0),"",IF($G1438="國","國定假日",IF($B1438="日","例假",IF($B1438="六","休息日","平日"))))</f>
        <v/>
      </c>
      <c r="S1438" s="19" t="n"/>
    </row>
    <row r="1439">
      <c r="A1439" s="82">
        <f>IF(OR(助理班表!$A51="",11&gt;DAY(EOMONTH(DATE(設定!$C$2,設定!$D$2,1),0))),"",DATE(設定!$C$2,設定!$D$2,11))</f>
        <v/>
      </c>
      <c r="B1439" s="16">
        <f>IF($A1439="","",INDEX(設定!$O$6:$O$12,WEEKDAY($A1439,1)))</f>
        <v/>
      </c>
      <c r="C1439" s="16">
        <f>IF($A1439="","",助理班表!$A51)</f>
        <v/>
      </c>
      <c r="D1439" s="16">
        <f>IF($C1439="","",助理班表!$B51)</f>
        <v/>
      </c>
      <c r="E1439" s="16">
        <f>IF($C1439="","",助理班表!$D51)</f>
        <v/>
      </c>
      <c r="F1439" s="16">
        <f>IF($C1439="","",助理班表!$C51)</f>
        <v/>
      </c>
      <c r="G1439" s="16">
        <f>IF($C1439="","",助理班表!O51)</f>
        <v/>
      </c>
      <c r="H1439" s="83">
        <f>IF($G1439="","",IFERROR(IF(INDEX(設定!$D$6:$D$21,MATCH($G1439,設定!$B$6:$B$21,0))=0,"",INDEX(設定!$D$6:$D$21,MATCH($G1439,設定!$B$6:$B$21,0))),""))</f>
        <v/>
      </c>
      <c r="I1439" s="83">
        <f>IF($G1439="","",IFERROR(IF(INDEX(設定!$E$6:$E$21,MATCH($G1439,設定!$B$6:$B$21,0))=0,"",INDEX(設定!$E$6:$E$21,MATCH($G1439,設定!$B$6:$B$21,0))),""))</f>
        <v/>
      </c>
      <c r="J1439" s="83">
        <f>IFERROR(INDEX(打卡匯入!$C$3:$C$2002,MATCH($C1439&amp;"|"&amp;DAY($A1439),打卡匯入!$E$3:$E$2002,0)),"")</f>
        <v/>
      </c>
      <c r="K1439" s="83">
        <f>IFERROR(INDEX(打卡匯入!$D$3:$D$2002,MATCH($C1439&amp;"|"&amp;DAY($A1439),打卡匯入!$E$3:$E$2002,0)),"")</f>
        <v/>
      </c>
      <c r="L1439" s="84">
        <f>IF(OR($J1439="",$K1439=""),"",IFERROR(INDEX(設定!$F$6:$F$21,MATCH($G1439,設定!$B$6:$B$21,0)),0))</f>
        <v/>
      </c>
      <c r="M1439" s="85">
        <f>IF(OR($J1439="",$K1439=""),"",ROUND(($K1439-$J1439)*24-$L1439/60,2))</f>
        <v/>
      </c>
      <c r="N1439" s="16">
        <f>IF($C1439="","",IF(AND(COUNTIF(設定!$B$15:$B$21,$G1439)&gt;0,$J1439&lt;&gt;""),"假日出勤",IF(AND(COUNTIF(設定!$B$6:$B$14,$G1439)&gt;0,$J1439=""),"未打卡",IF($J1439="","",IF($O1439&gt;0,"遲到",IF($P1439&gt;0,"早退","正常"))))))</f>
        <v/>
      </c>
      <c r="O1439" s="84">
        <f>IF(OR($C1439="",$H1439="",$J1439=""),0,IF(ROUND(($J1439-$H1439)*1440,0)&gt;設定!$C$46,ROUND(($J1439-$H1439)*1440,0),0))</f>
        <v/>
      </c>
      <c r="P1439" s="84">
        <f>IF(OR($C1439="",$I1439="",$K1439=""),0,IF(ROUND(($I1439-$K1439)*1440,0)&gt;設定!$C$46,ROUND(($I1439-$K1439)*1440,0),0))</f>
        <v/>
      </c>
      <c r="Q1439" s="85">
        <f>IF($M1439="",0,IF(($M1439-IFERROR(INDEX(設定!$G$6:$G$21,MATCH($G1439,設定!$B$6:$B$21,0)),0))*60&gt;=設定!$C$44,ROUND(FLOOR(($M1439-IFERROR(INDEX(設定!$G$6:$G$21,MATCH($G1439,設定!$B$6:$B$21,0)),0))*60,設定!$C$45)/60,2),0))</f>
        <v/>
      </c>
      <c r="R1439" s="16">
        <f>IF(OR($C1439="",$Q1439=0),"",IF($G1439="國","國定假日",IF($B1439="日","例假",IF($B1439="六","休息日","平日"))))</f>
        <v/>
      </c>
      <c r="S1439" s="19" t="n"/>
    </row>
    <row r="1440">
      <c r="A1440" s="82">
        <f>IF(OR(助理班表!$A51="",12&gt;DAY(EOMONTH(DATE(設定!$C$2,設定!$D$2,1),0))),"",DATE(設定!$C$2,設定!$D$2,12))</f>
        <v/>
      </c>
      <c r="B1440" s="16">
        <f>IF($A1440="","",INDEX(設定!$O$6:$O$12,WEEKDAY($A1440,1)))</f>
        <v/>
      </c>
      <c r="C1440" s="16">
        <f>IF($A1440="","",助理班表!$A51)</f>
        <v/>
      </c>
      <c r="D1440" s="16">
        <f>IF($C1440="","",助理班表!$B51)</f>
        <v/>
      </c>
      <c r="E1440" s="16">
        <f>IF($C1440="","",助理班表!$D51)</f>
        <v/>
      </c>
      <c r="F1440" s="16">
        <f>IF($C1440="","",助理班表!$C51)</f>
        <v/>
      </c>
      <c r="G1440" s="16">
        <f>IF($C1440="","",助理班表!P51)</f>
        <v/>
      </c>
      <c r="H1440" s="83">
        <f>IF($G1440="","",IFERROR(IF(INDEX(設定!$D$6:$D$21,MATCH($G1440,設定!$B$6:$B$21,0))=0,"",INDEX(設定!$D$6:$D$21,MATCH($G1440,設定!$B$6:$B$21,0))),""))</f>
        <v/>
      </c>
      <c r="I1440" s="83">
        <f>IF($G1440="","",IFERROR(IF(INDEX(設定!$E$6:$E$21,MATCH($G1440,設定!$B$6:$B$21,0))=0,"",INDEX(設定!$E$6:$E$21,MATCH($G1440,設定!$B$6:$B$21,0))),""))</f>
        <v/>
      </c>
      <c r="J1440" s="83">
        <f>IFERROR(INDEX(打卡匯入!$C$3:$C$2002,MATCH($C1440&amp;"|"&amp;DAY($A1440),打卡匯入!$E$3:$E$2002,0)),"")</f>
        <v/>
      </c>
      <c r="K1440" s="83">
        <f>IFERROR(INDEX(打卡匯入!$D$3:$D$2002,MATCH($C1440&amp;"|"&amp;DAY($A1440),打卡匯入!$E$3:$E$2002,0)),"")</f>
        <v/>
      </c>
      <c r="L1440" s="84">
        <f>IF(OR($J1440="",$K1440=""),"",IFERROR(INDEX(設定!$F$6:$F$21,MATCH($G1440,設定!$B$6:$B$21,0)),0))</f>
        <v/>
      </c>
      <c r="M1440" s="85">
        <f>IF(OR($J1440="",$K1440=""),"",ROUND(($K1440-$J1440)*24-$L1440/60,2))</f>
        <v/>
      </c>
      <c r="N1440" s="16">
        <f>IF($C1440="","",IF(AND(COUNTIF(設定!$B$15:$B$21,$G1440)&gt;0,$J1440&lt;&gt;""),"假日出勤",IF(AND(COUNTIF(設定!$B$6:$B$14,$G1440)&gt;0,$J1440=""),"未打卡",IF($J1440="","",IF($O1440&gt;0,"遲到",IF($P1440&gt;0,"早退","正常"))))))</f>
        <v/>
      </c>
      <c r="O1440" s="84">
        <f>IF(OR($C1440="",$H1440="",$J1440=""),0,IF(ROUND(($J1440-$H1440)*1440,0)&gt;設定!$C$46,ROUND(($J1440-$H1440)*1440,0),0))</f>
        <v/>
      </c>
      <c r="P1440" s="84">
        <f>IF(OR($C1440="",$I1440="",$K1440=""),0,IF(ROUND(($I1440-$K1440)*1440,0)&gt;設定!$C$46,ROUND(($I1440-$K1440)*1440,0),0))</f>
        <v/>
      </c>
      <c r="Q1440" s="85">
        <f>IF($M1440="",0,IF(($M1440-IFERROR(INDEX(設定!$G$6:$G$21,MATCH($G1440,設定!$B$6:$B$21,0)),0))*60&gt;=設定!$C$44,ROUND(FLOOR(($M1440-IFERROR(INDEX(設定!$G$6:$G$21,MATCH($G1440,設定!$B$6:$B$21,0)),0))*60,設定!$C$45)/60,2),0))</f>
        <v/>
      </c>
      <c r="R1440" s="16">
        <f>IF(OR($C1440="",$Q1440=0),"",IF($G1440="國","國定假日",IF($B1440="日","例假",IF($B1440="六","休息日","平日"))))</f>
        <v/>
      </c>
      <c r="S1440" s="19" t="n"/>
    </row>
    <row r="1441">
      <c r="A1441" s="82">
        <f>IF(OR(助理班表!$A51="",13&gt;DAY(EOMONTH(DATE(設定!$C$2,設定!$D$2,1),0))),"",DATE(設定!$C$2,設定!$D$2,13))</f>
        <v/>
      </c>
      <c r="B1441" s="16">
        <f>IF($A1441="","",INDEX(設定!$O$6:$O$12,WEEKDAY($A1441,1)))</f>
        <v/>
      </c>
      <c r="C1441" s="16">
        <f>IF($A1441="","",助理班表!$A51)</f>
        <v/>
      </c>
      <c r="D1441" s="16">
        <f>IF($C1441="","",助理班表!$B51)</f>
        <v/>
      </c>
      <c r="E1441" s="16">
        <f>IF($C1441="","",助理班表!$D51)</f>
        <v/>
      </c>
      <c r="F1441" s="16">
        <f>IF($C1441="","",助理班表!$C51)</f>
        <v/>
      </c>
      <c r="G1441" s="16">
        <f>IF($C1441="","",助理班表!Q51)</f>
        <v/>
      </c>
      <c r="H1441" s="83">
        <f>IF($G1441="","",IFERROR(IF(INDEX(設定!$D$6:$D$21,MATCH($G1441,設定!$B$6:$B$21,0))=0,"",INDEX(設定!$D$6:$D$21,MATCH($G1441,設定!$B$6:$B$21,0))),""))</f>
        <v/>
      </c>
      <c r="I1441" s="83">
        <f>IF($G1441="","",IFERROR(IF(INDEX(設定!$E$6:$E$21,MATCH($G1441,設定!$B$6:$B$21,0))=0,"",INDEX(設定!$E$6:$E$21,MATCH($G1441,設定!$B$6:$B$21,0))),""))</f>
        <v/>
      </c>
      <c r="J1441" s="83">
        <f>IFERROR(INDEX(打卡匯入!$C$3:$C$2002,MATCH($C1441&amp;"|"&amp;DAY($A1441),打卡匯入!$E$3:$E$2002,0)),"")</f>
        <v/>
      </c>
      <c r="K1441" s="83">
        <f>IFERROR(INDEX(打卡匯入!$D$3:$D$2002,MATCH($C1441&amp;"|"&amp;DAY($A1441),打卡匯入!$E$3:$E$2002,0)),"")</f>
        <v/>
      </c>
      <c r="L1441" s="84">
        <f>IF(OR($J1441="",$K1441=""),"",IFERROR(INDEX(設定!$F$6:$F$21,MATCH($G1441,設定!$B$6:$B$21,0)),0))</f>
        <v/>
      </c>
      <c r="M1441" s="85">
        <f>IF(OR($J1441="",$K1441=""),"",ROUND(($K1441-$J1441)*24-$L1441/60,2))</f>
        <v/>
      </c>
      <c r="N1441" s="16">
        <f>IF($C1441="","",IF(AND(COUNTIF(設定!$B$15:$B$21,$G1441)&gt;0,$J1441&lt;&gt;""),"假日出勤",IF(AND(COUNTIF(設定!$B$6:$B$14,$G1441)&gt;0,$J1441=""),"未打卡",IF($J1441="","",IF($O1441&gt;0,"遲到",IF($P1441&gt;0,"早退","正常"))))))</f>
        <v/>
      </c>
      <c r="O1441" s="84">
        <f>IF(OR($C1441="",$H1441="",$J1441=""),0,IF(ROUND(($J1441-$H1441)*1440,0)&gt;設定!$C$46,ROUND(($J1441-$H1441)*1440,0),0))</f>
        <v/>
      </c>
      <c r="P1441" s="84">
        <f>IF(OR($C1441="",$I1441="",$K1441=""),0,IF(ROUND(($I1441-$K1441)*1440,0)&gt;設定!$C$46,ROUND(($I1441-$K1441)*1440,0),0))</f>
        <v/>
      </c>
      <c r="Q1441" s="85">
        <f>IF($M1441="",0,IF(($M1441-IFERROR(INDEX(設定!$G$6:$G$21,MATCH($G1441,設定!$B$6:$B$21,0)),0))*60&gt;=設定!$C$44,ROUND(FLOOR(($M1441-IFERROR(INDEX(設定!$G$6:$G$21,MATCH($G1441,設定!$B$6:$B$21,0)),0))*60,設定!$C$45)/60,2),0))</f>
        <v/>
      </c>
      <c r="R1441" s="16">
        <f>IF(OR($C1441="",$Q1441=0),"",IF($G1441="國","國定假日",IF($B1441="日","例假",IF($B1441="六","休息日","平日"))))</f>
        <v/>
      </c>
      <c r="S1441" s="19" t="n"/>
    </row>
    <row r="1442">
      <c r="A1442" s="82">
        <f>IF(OR(助理班表!$A51="",14&gt;DAY(EOMONTH(DATE(設定!$C$2,設定!$D$2,1),0))),"",DATE(設定!$C$2,設定!$D$2,14))</f>
        <v/>
      </c>
      <c r="B1442" s="16">
        <f>IF($A1442="","",INDEX(設定!$O$6:$O$12,WEEKDAY($A1442,1)))</f>
        <v/>
      </c>
      <c r="C1442" s="16">
        <f>IF($A1442="","",助理班表!$A51)</f>
        <v/>
      </c>
      <c r="D1442" s="16">
        <f>IF($C1442="","",助理班表!$B51)</f>
        <v/>
      </c>
      <c r="E1442" s="16">
        <f>IF($C1442="","",助理班表!$D51)</f>
        <v/>
      </c>
      <c r="F1442" s="16">
        <f>IF($C1442="","",助理班表!$C51)</f>
        <v/>
      </c>
      <c r="G1442" s="16">
        <f>IF($C1442="","",助理班表!R51)</f>
        <v/>
      </c>
      <c r="H1442" s="83">
        <f>IF($G1442="","",IFERROR(IF(INDEX(設定!$D$6:$D$21,MATCH($G1442,設定!$B$6:$B$21,0))=0,"",INDEX(設定!$D$6:$D$21,MATCH($G1442,設定!$B$6:$B$21,0))),""))</f>
        <v/>
      </c>
      <c r="I1442" s="83">
        <f>IF($G1442="","",IFERROR(IF(INDEX(設定!$E$6:$E$21,MATCH($G1442,設定!$B$6:$B$21,0))=0,"",INDEX(設定!$E$6:$E$21,MATCH($G1442,設定!$B$6:$B$21,0))),""))</f>
        <v/>
      </c>
      <c r="J1442" s="83">
        <f>IFERROR(INDEX(打卡匯入!$C$3:$C$2002,MATCH($C1442&amp;"|"&amp;DAY($A1442),打卡匯入!$E$3:$E$2002,0)),"")</f>
        <v/>
      </c>
      <c r="K1442" s="83">
        <f>IFERROR(INDEX(打卡匯入!$D$3:$D$2002,MATCH($C1442&amp;"|"&amp;DAY($A1442),打卡匯入!$E$3:$E$2002,0)),"")</f>
        <v/>
      </c>
      <c r="L1442" s="84">
        <f>IF(OR($J1442="",$K1442=""),"",IFERROR(INDEX(設定!$F$6:$F$21,MATCH($G1442,設定!$B$6:$B$21,0)),0))</f>
        <v/>
      </c>
      <c r="M1442" s="85">
        <f>IF(OR($J1442="",$K1442=""),"",ROUND(($K1442-$J1442)*24-$L1442/60,2))</f>
        <v/>
      </c>
      <c r="N1442" s="16">
        <f>IF($C1442="","",IF(AND(COUNTIF(設定!$B$15:$B$21,$G1442)&gt;0,$J1442&lt;&gt;""),"假日出勤",IF(AND(COUNTIF(設定!$B$6:$B$14,$G1442)&gt;0,$J1442=""),"未打卡",IF($J1442="","",IF($O1442&gt;0,"遲到",IF($P1442&gt;0,"早退","正常"))))))</f>
        <v/>
      </c>
      <c r="O1442" s="84">
        <f>IF(OR($C1442="",$H1442="",$J1442=""),0,IF(ROUND(($J1442-$H1442)*1440,0)&gt;設定!$C$46,ROUND(($J1442-$H1442)*1440,0),0))</f>
        <v/>
      </c>
      <c r="P1442" s="84">
        <f>IF(OR($C1442="",$I1442="",$K1442=""),0,IF(ROUND(($I1442-$K1442)*1440,0)&gt;設定!$C$46,ROUND(($I1442-$K1442)*1440,0),0))</f>
        <v/>
      </c>
      <c r="Q1442" s="85">
        <f>IF($M1442="",0,IF(($M1442-IFERROR(INDEX(設定!$G$6:$G$21,MATCH($G1442,設定!$B$6:$B$21,0)),0))*60&gt;=設定!$C$44,ROUND(FLOOR(($M1442-IFERROR(INDEX(設定!$G$6:$G$21,MATCH($G1442,設定!$B$6:$B$21,0)),0))*60,設定!$C$45)/60,2),0))</f>
        <v/>
      </c>
      <c r="R1442" s="16">
        <f>IF(OR($C1442="",$Q1442=0),"",IF($G1442="國","國定假日",IF($B1442="日","例假",IF($B1442="六","休息日","平日"))))</f>
        <v/>
      </c>
      <c r="S1442" s="19" t="n"/>
    </row>
    <row r="1443">
      <c r="A1443" s="82">
        <f>IF(OR(助理班表!$A51="",15&gt;DAY(EOMONTH(DATE(設定!$C$2,設定!$D$2,1),0))),"",DATE(設定!$C$2,設定!$D$2,15))</f>
        <v/>
      </c>
      <c r="B1443" s="16">
        <f>IF($A1443="","",INDEX(設定!$O$6:$O$12,WEEKDAY($A1443,1)))</f>
        <v/>
      </c>
      <c r="C1443" s="16">
        <f>IF($A1443="","",助理班表!$A51)</f>
        <v/>
      </c>
      <c r="D1443" s="16">
        <f>IF($C1443="","",助理班表!$B51)</f>
        <v/>
      </c>
      <c r="E1443" s="16">
        <f>IF($C1443="","",助理班表!$D51)</f>
        <v/>
      </c>
      <c r="F1443" s="16">
        <f>IF($C1443="","",助理班表!$C51)</f>
        <v/>
      </c>
      <c r="G1443" s="16">
        <f>IF($C1443="","",助理班表!S51)</f>
        <v/>
      </c>
      <c r="H1443" s="83">
        <f>IF($G1443="","",IFERROR(IF(INDEX(設定!$D$6:$D$21,MATCH($G1443,設定!$B$6:$B$21,0))=0,"",INDEX(設定!$D$6:$D$21,MATCH($G1443,設定!$B$6:$B$21,0))),""))</f>
        <v/>
      </c>
      <c r="I1443" s="83">
        <f>IF($G1443="","",IFERROR(IF(INDEX(設定!$E$6:$E$21,MATCH($G1443,設定!$B$6:$B$21,0))=0,"",INDEX(設定!$E$6:$E$21,MATCH($G1443,設定!$B$6:$B$21,0))),""))</f>
        <v/>
      </c>
      <c r="J1443" s="83">
        <f>IFERROR(INDEX(打卡匯入!$C$3:$C$2002,MATCH($C1443&amp;"|"&amp;DAY($A1443),打卡匯入!$E$3:$E$2002,0)),"")</f>
        <v/>
      </c>
      <c r="K1443" s="83">
        <f>IFERROR(INDEX(打卡匯入!$D$3:$D$2002,MATCH($C1443&amp;"|"&amp;DAY($A1443),打卡匯入!$E$3:$E$2002,0)),"")</f>
        <v/>
      </c>
      <c r="L1443" s="84">
        <f>IF(OR($J1443="",$K1443=""),"",IFERROR(INDEX(設定!$F$6:$F$21,MATCH($G1443,設定!$B$6:$B$21,0)),0))</f>
        <v/>
      </c>
      <c r="M1443" s="85">
        <f>IF(OR($J1443="",$K1443=""),"",ROUND(($K1443-$J1443)*24-$L1443/60,2))</f>
        <v/>
      </c>
      <c r="N1443" s="16">
        <f>IF($C1443="","",IF(AND(COUNTIF(設定!$B$15:$B$21,$G1443)&gt;0,$J1443&lt;&gt;""),"假日出勤",IF(AND(COUNTIF(設定!$B$6:$B$14,$G1443)&gt;0,$J1443=""),"未打卡",IF($J1443="","",IF($O1443&gt;0,"遲到",IF($P1443&gt;0,"早退","正常"))))))</f>
        <v/>
      </c>
      <c r="O1443" s="84">
        <f>IF(OR($C1443="",$H1443="",$J1443=""),0,IF(ROUND(($J1443-$H1443)*1440,0)&gt;設定!$C$46,ROUND(($J1443-$H1443)*1440,0),0))</f>
        <v/>
      </c>
      <c r="P1443" s="84">
        <f>IF(OR($C1443="",$I1443="",$K1443=""),0,IF(ROUND(($I1443-$K1443)*1440,0)&gt;設定!$C$46,ROUND(($I1443-$K1443)*1440,0),0))</f>
        <v/>
      </c>
      <c r="Q1443" s="85">
        <f>IF($M1443="",0,IF(($M1443-IFERROR(INDEX(設定!$G$6:$G$21,MATCH($G1443,設定!$B$6:$B$21,0)),0))*60&gt;=設定!$C$44,ROUND(FLOOR(($M1443-IFERROR(INDEX(設定!$G$6:$G$21,MATCH($G1443,設定!$B$6:$B$21,0)),0))*60,設定!$C$45)/60,2),0))</f>
        <v/>
      </c>
      <c r="R1443" s="16">
        <f>IF(OR($C1443="",$Q1443=0),"",IF($G1443="國","國定假日",IF($B1443="日","例假",IF($B1443="六","休息日","平日"))))</f>
        <v/>
      </c>
      <c r="S1443" s="19" t="n"/>
    </row>
    <row r="1444">
      <c r="A1444" s="82">
        <f>IF(OR(助理班表!$A51="",16&gt;DAY(EOMONTH(DATE(設定!$C$2,設定!$D$2,1),0))),"",DATE(設定!$C$2,設定!$D$2,16))</f>
        <v/>
      </c>
      <c r="B1444" s="16">
        <f>IF($A1444="","",INDEX(設定!$O$6:$O$12,WEEKDAY($A1444,1)))</f>
        <v/>
      </c>
      <c r="C1444" s="16">
        <f>IF($A1444="","",助理班表!$A51)</f>
        <v/>
      </c>
      <c r="D1444" s="16">
        <f>IF($C1444="","",助理班表!$B51)</f>
        <v/>
      </c>
      <c r="E1444" s="16">
        <f>IF($C1444="","",助理班表!$D51)</f>
        <v/>
      </c>
      <c r="F1444" s="16">
        <f>IF($C1444="","",助理班表!$C51)</f>
        <v/>
      </c>
      <c r="G1444" s="16">
        <f>IF($C1444="","",助理班表!T51)</f>
        <v/>
      </c>
      <c r="H1444" s="83">
        <f>IF($G1444="","",IFERROR(IF(INDEX(設定!$D$6:$D$21,MATCH($G1444,設定!$B$6:$B$21,0))=0,"",INDEX(設定!$D$6:$D$21,MATCH($G1444,設定!$B$6:$B$21,0))),""))</f>
        <v/>
      </c>
      <c r="I1444" s="83">
        <f>IF($G1444="","",IFERROR(IF(INDEX(設定!$E$6:$E$21,MATCH($G1444,設定!$B$6:$B$21,0))=0,"",INDEX(設定!$E$6:$E$21,MATCH($G1444,設定!$B$6:$B$21,0))),""))</f>
        <v/>
      </c>
      <c r="J1444" s="83">
        <f>IFERROR(INDEX(打卡匯入!$C$3:$C$2002,MATCH($C1444&amp;"|"&amp;DAY($A1444),打卡匯入!$E$3:$E$2002,0)),"")</f>
        <v/>
      </c>
      <c r="K1444" s="83">
        <f>IFERROR(INDEX(打卡匯入!$D$3:$D$2002,MATCH($C1444&amp;"|"&amp;DAY($A1444),打卡匯入!$E$3:$E$2002,0)),"")</f>
        <v/>
      </c>
      <c r="L1444" s="84">
        <f>IF(OR($J1444="",$K1444=""),"",IFERROR(INDEX(設定!$F$6:$F$21,MATCH($G1444,設定!$B$6:$B$21,0)),0))</f>
        <v/>
      </c>
      <c r="M1444" s="85">
        <f>IF(OR($J1444="",$K1444=""),"",ROUND(($K1444-$J1444)*24-$L1444/60,2))</f>
        <v/>
      </c>
      <c r="N1444" s="16">
        <f>IF($C1444="","",IF(AND(COUNTIF(設定!$B$15:$B$21,$G1444)&gt;0,$J1444&lt;&gt;""),"假日出勤",IF(AND(COUNTIF(設定!$B$6:$B$14,$G1444)&gt;0,$J1444=""),"未打卡",IF($J1444="","",IF($O1444&gt;0,"遲到",IF($P1444&gt;0,"早退","正常"))))))</f>
        <v/>
      </c>
      <c r="O1444" s="84">
        <f>IF(OR($C1444="",$H1444="",$J1444=""),0,IF(ROUND(($J1444-$H1444)*1440,0)&gt;設定!$C$46,ROUND(($J1444-$H1444)*1440,0),0))</f>
        <v/>
      </c>
      <c r="P1444" s="84">
        <f>IF(OR($C1444="",$I1444="",$K1444=""),0,IF(ROUND(($I1444-$K1444)*1440,0)&gt;設定!$C$46,ROUND(($I1444-$K1444)*1440,0),0))</f>
        <v/>
      </c>
      <c r="Q1444" s="85">
        <f>IF($M1444="",0,IF(($M1444-IFERROR(INDEX(設定!$G$6:$G$21,MATCH($G1444,設定!$B$6:$B$21,0)),0))*60&gt;=設定!$C$44,ROUND(FLOOR(($M1444-IFERROR(INDEX(設定!$G$6:$G$21,MATCH($G1444,設定!$B$6:$B$21,0)),0))*60,設定!$C$45)/60,2),0))</f>
        <v/>
      </c>
      <c r="R1444" s="16">
        <f>IF(OR($C1444="",$Q1444=0),"",IF($G1444="國","國定假日",IF($B1444="日","例假",IF($B1444="六","休息日","平日"))))</f>
        <v/>
      </c>
      <c r="S1444" s="19" t="n"/>
    </row>
    <row r="1445">
      <c r="A1445" s="82">
        <f>IF(OR(助理班表!$A51="",17&gt;DAY(EOMONTH(DATE(設定!$C$2,設定!$D$2,1),0))),"",DATE(設定!$C$2,設定!$D$2,17))</f>
        <v/>
      </c>
      <c r="B1445" s="16">
        <f>IF($A1445="","",INDEX(設定!$O$6:$O$12,WEEKDAY($A1445,1)))</f>
        <v/>
      </c>
      <c r="C1445" s="16">
        <f>IF($A1445="","",助理班表!$A51)</f>
        <v/>
      </c>
      <c r="D1445" s="16">
        <f>IF($C1445="","",助理班表!$B51)</f>
        <v/>
      </c>
      <c r="E1445" s="16">
        <f>IF($C1445="","",助理班表!$D51)</f>
        <v/>
      </c>
      <c r="F1445" s="16">
        <f>IF($C1445="","",助理班表!$C51)</f>
        <v/>
      </c>
      <c r="G1445" s="16">
        <f>IF($C1445="","",助理班表!U51)</f>
        <v/>
      </c>
      <c r="H1445" s="83">
        <f>IF($G1445="","",IFERROR(IF(INDEX(設定!$D$6:$D$21,MATCH($G1445,設定!$B$6:$B$21,0))=0,"",INDEX(設定!$D$6:$D$21,MATCH($G1445,設定!$B$6:$B$21,0))),""))</f>
        <v/>
      </c>
      <c r="I1445" s="83">
        <f>IF($G1445="","",IFERROR(IF(INDEX(設定!$E$6:$E$21,MATCH($G1445,設定!$B$6:$B$21,0))=0,"",INDEX(設定!$E$6:$E$21,MATCH($G1445,設定!$B$6:$B$21,0))),""))</f>
        <v/>
      </c>
      <c r="J1445" s="83">
        <f>IFERROR(INDEX(打卡匯入!$C$3:$C$2002,MATCH($C1445&amp;"|"&amp;DAY($A1445),打卡匯入!$E$3:$E$2002,0)),"")</f>
        <v/>
      </c>
      <c r="K1445" s="83">
        <f>IFERROR(INDEX(打卡匯入!$D$3:$D$2002,MATCH($C1445&amp;"|"&amp;DAY($A1445),打卡匯入!$E$3:$E$2002,0)),"")</f>
        <v/>
      </c>
      <c r="L1445" s="84">
        <f>IF(OR($J1445="",$K1445=""),"",IFERROR(INDEX(設定!$F$6:$F$21,MATCH($G1445,設定!$B$6:$B$21,0)),0))</f>
        <v/>
      </c>
      <c r="M1445" s="85">
        <f>IF(OR($J1445="",$K1445=""),"",ROUND(($K1445-$J1445)*24-$L1445/60,2))</f>
        <v/>
      </c>
      <c r="N1445" s="16">
        <f>IF($C1445="","",IF(AND(COUNTIF(設定!$B$15:$B$21,$G1445)&gt;0,$J1445&lt;&gt;""),"假日出勤",IF(AND(COUNTIF(設定!$B$6:$B$14,$G1445)&gt;0,$J1445=""),"未打卡",IF($J1445="","",IF($O1445&gt;0,"遲到",IF($P1445&gt;0,"早退","正常"))))))</f>
        <v/>
      </c>
      <c r="O1445" s="84">
        <f>IF(OR($C1445="",$H1445="",$J1445=""),0,IF(ROUND(($J1445-$H1445)*1440,0)&gt;設定!$C$46,ROUND(($J1445-$H1445)*1440,0),0))</f>
        <v/>
      </c>
      <c r="P1445" s="84">
        <f>IF(OR($C1445="",$I1445="",$K1445=""),0,IF(ROUND(($I1445-$K1445)*1440,0)&gt;設定!$C$46,ROUND(($I1445-$K1445)*1440,0),0))</f>
        <v/>
      </c>
      <c r="Q1445" s="85">
        <f>IF($M1445="",0,IF(($M1445-IFERROR(INDEX(設定!$G$6:$G$21,MATCH($G1445,設定!$B$6:$B$21,0)),0))*60&gt;=設定!$C$44,ROUND(FLOOR(($M1445-IFERROR(INDEX(設定!$G$6:$G$21,MATCH($G1445,設定!$B$6:$B$21,0)),0))*60,設定!$C$45)/60,2),0))</f>
        <v/>
      </c>
      <c r="R1445" s="16">
        <f>IF(OR($C1445="",$Q1445=0),"",IF($G1445="國","國定假日",IF($B1445="日","例假",IF($B1445="六","休息日","平日"))))</f>
        <v/>
      </c>
      <c r="S1445" s="19" t="n"/>
    </row>
    <row r="1446">
      <c r="A1446" s="82">
        <f>IF(OR(助理班表!$A51="",18&gt;DAY(EOMONTH(DATE(設定!$C$2,設定!$D$2,1),0))),"",DATE(設定!$C$2,設定!$D$2,18))</f>
        <v/>
      </c>
      <c r="B1446" s="16">
        <f>IF($A1446="","",INDEX(設定!$O$6:$O$12,WEEKDAY($A1446,1)))</f>
        <v/>
      </c>
      <c r="C1446" s="16">
        <f>IF($A1446="","",助理班表!$A51)</f>
        <v/>
      </c>
      <c r="D1446" s="16">
        <f>IF($C1446="","",助理班表!$B51)</f>
        <v/>
      </c>
      <c r="E1446" s="16">
        <f>IF($C1446="","",助理班表!$D51)</f>
        <v/>
      </c>
      <c r="F1446" s="16">
        <f>IF($C1446="","",助理班表!$C51)</f>
        <v/>
      </c>
      <c r="G1446" s="16">
        <f>IF($C1446="","",助理班表!V51)</f>
        <v/>
      </c>
      <c r="H1446" s="83">
        <f>IF($G1446="","",IFERROR(IF(INDEX(設定!$D$6:$D$21,MATCH($G1446,設定!$B$6:$B$21,0))=0,"",INDEX(設定!$D$6:$D$21,MATCH($G1446,設定!$B$6:$B$21,0))),""))</f>
        <v/>
      </c>
      <c r="I1446" s="83">
        <f>IF($G1446="","",IFERROR(IF(INDEX(設定!$E$6:$E$21,MATCH($G1446,設定!$B$6:$B$21,0))=0,"",INDEX(設定!$E$6:$E$21,MATCH($G1446,設定!$B$6:$B$21,0))),""))</f>
        <v/>
      </c>
      <c r="J1446" s="83">
        <f>IFERROR(INDEX(打卡匯入!$C$3:$C$2002,MATCH($C1446&amp;"|"&amp;DAY($A1446),打卡匯入!$E$3:$E$2002,0)),"")</f>
        <v/>
      </c>
      <c r="K1446" s="83">
        <f>IFERROR(INDEX(打卡匯入!$D$3:$D$2002,MATCH($C1446&amp;"|"&amp;DAY($A1446),打卡匯入!$E$3:$E$2002,0)),"")</f>
        <v/>
      </c>
      <c r="L1446" s="84">
        <f>IF(OR($J1446="",$K1446=""),"",IFERROR(INDEX(設定!$F$6:$F$21,MATCH($G1446,設定!$B$6:$B$21,0)),0))</f>
        <v/>
      </c>
      <c r="M1446" s="85">
        <f>IF(OR($J1446="",$K1446=""),"",ROUND(($K1446-$J1446)*24-$L1446/60,2))</f>
        <v/>
      </c>
      <c r="N1446" s="16">
        <f>IF($C1446="","",IF(AND(COUNTIF(設定!$B$15:$B$21,$G1446)&gt;0,$J1446&lt;&gt;""),"假日出勤",IF(AND(COUNTIF(設定!$B$6:$B$14,$G1446)&gt;0,$J1446=""),"未打卡",IF($J1446="","",IF($O1446&gt;0,"遲到",IF($P1446&gt;0,"早退","正常"))))))</f>
        <v/>
      </c>
      <c r="O1446" s="84">
        <f>IF(OR($C1446="",$H1446="",$J1446=""),0,IF(ROUND(($J1446-$H1446)*1440,0)&gt;設定!$C$46,ROUND(($J1446-$H1446)*1440,0),0))</f>
        <v/>
      </c>
      <c r="P1446" s="84">
        <f>IF(OR($C1446="",$I1446="",$K1446=""),0,IF(ROUND(($I1446-$K1446)*1440,0)&gt;設定!$C$46,ROUND(($I1446-$K1446)*1440,0),0))</f>
        <v/>
      </c>
      <c r="Q1446" s="85">
        <f>IF($M1446="",0,IF(($M1446-IFERROR(INDEX(設定!$G$6:$G$21,MATCH($G1446,設定!$B$6:$B$21,0)),0))*60&gt;=設定!$C$44,ROUND(FLOOR(($M1446-IFERROR(INDEX(設定!$G$6:$G$21,MATCH($G1446,設定!$B$6:$B$21,0)),0))*60,設定!$C$45)/60,2),0))</f>
        <v/>
      </c>
      <c r="R1446" s="16">
        <f>IF(OR($C1446="",$Q1446=0),"",IF($G1446="國","國定假日",IF($B1446="日","例假",IF($B1446="六","休息日","平日"))))</f>
        <v/>
      </c>
      <c r="S1446" s="19" t="n"/>
    </row>
    <row r="1447">
      <c r="A1447" s="82">
        <f>IF(OR(助理班表!$A51="",19&gt;DAY(EOMONTH(DATE(設定!$C$2,設定!$D$2,1),0))),"",DATE(設定!$C$2,設定!$D$2,19))</f>
        <v/>
      </c>
      <c r="B1447" s="16">
        <f>IF($A1447="","",INDEX(設定!$O$6:$O$12,WEEKDAY($A1447,1)))</f>
        <v/>
      </c>
      <c r="C1447" s="16">
        <f>IF($A1447="","",助理班表!$A51)</f>
        <v/>
      </c>
      <c r="D1447" s="16">
        <f>IF($C1447="","",助理班表!$B51)</f>
        <v/>
      </c>
      <c r="E1447" s="16">
        <f>IF($C1447="","",助理班表!$D51)</f>
        <v/>
      </c>
      <c r="F1447" s="16">
        <f>IF($C1447="","",助理班表!$C51)</f>
        <v/>
      </c>
      <c r="G1447" s="16">
        <f>IF($C1447="","",助理班表!W51)</f>
        <v/>
      </c>
      <c r="H1447" s="83">
        <f>IF($G1447="","",IFERROR(IF(INDEX(設定!$D$6:$D$21,MATCH($G1447,設定!$B$6:$B$21,0))=0,"",INDEX(設定!$D$6:$D$21,MATCH($G1447,設定!$B$6:$B$21,0))),""))</f>
        <v/>
      </c>
      <c r="I1447" s="83">
        <f>IF($G1447="","",IFERROR(IF(INDEX(設定!$E$6:$E$21,MATCH($G1447,設定!$B$6:$B$21,0))=0,"",INDEX(設定!$E$6:$E$21,MATCH($G1447,設定!$B$6:$B$21,0))),""))</f>
        <v/>
      </c>
      <c r="J1447" s="83">
        <f>IFERROR(INDEX(打卡匯入!$C$3:$C$2002,MATCH($C1447&amp;"|"&amp;DAY($A1447),打卡匯入!$E$3:$E$2002,0)),"")</f>
        <v/>
      </c>
      <c r="K1447" s="83">
        <f>IFERROR(INDEX(打卡匯入!$D$3:$D$2002,MATCH($C1447&amp;"|"&amp;DAY($A1447),打卡匯入!$E$3:$E$2002,0)),"")</f>
        <v/>
      </c>
      <c r="L1447" s="84">
        <f>IF(OR($J1447="",$K1447=""),"",IFERROR(INDEX(設定!$F$6:$F$21,MATCH($G1447,設定!$B$6:$B$21,0)),0))</f>
        <v/>
      </c>
      <c r="M1447" s="85">
        <f>IF(OR($J1447="",$K1447=""),"",ROUND(($K1447-$J1447)*24-$L1447/60,2))</f>
        <v/>
      </c>
      <c r="N1447" s="16">
        <f>IF($C1447="","",IF(AND(COUNTIF(設定!$B$15:$B$21,$G1447)&gt;0,$J1447&lt;&gt;""),"假日出勤",IF(AND(COUNTIF(設定!$B$6:$B$14,$G1447)&gt;0,$J1447=""),"未打卡",IF($J1447="","",IF($O1447&gt;0,"遲到",IF($P1447&gt;0,"早退","正常"))))))</f>
        <v/>
      </c>
      <c r="O1447" s="84">
        <f>IF(OR($C1447="",$H1447="",$J1447=""),0,IF(ROUND(($J1447-$H1447)*1440,0)&gt;設定!$C$46,ROUND(($J1447-$H1447)*1440,0),0))</f>
        <v/>
      </c>
      <c r="P1447" s="84">
        <f>IF(OR($C1447="",$I1447="",$K1447=""),0,IF(ROUND(($I1447-$K1447)*1440,0)&gt;設定!$C$46,ROUND(($I1447-$K1447)*1440,0),0))</f>
        <v/>
      </c>
      <c r="Q1447" s="85">
        <f>IF($M1447="",0,IF(($M1447-IFERROR(INDEX(設定!$G$6:$G$21,MATCH($G1447,設定!$B$6:$B$21,0)),0))*60&gt;=設定!$C$44,ROUND(FLOOR(($M1447-IFERROR(INDEX(設定!$G$6:$G$21,MATCH($G1447,設定!$B$6:$B$21,0)),0))*60,設定!$C$45)/60,2),0))</f>
        <v/>
      </c>
      <c r="R1447" s="16">
        <f>IF(OR($C1447="",$Q1447=0),"",IF($G1447="國","國定假日",IF($B1447="日","例假",IF($B1447="六","休息日","平日"))))</f>
        <v/>
      </c>
      <c r="S1447" s="19" t="n"/>
    </row>
    <row r="1448">
      <c r="A1448" s="82">
        <f>IF(OR(助理班表!$A51="",20&gt;DAY(EOMONTH(DATE(設定!$C$2,設定!$D$2,1),0))),"",DATE(設定!$C$2,設定!$D$2,20))</f>
        <v/>
      </c>
      <c r="B1448" s="16">
        <f>IF($A1448="","",INDEX(設定!$O$6:$O$12,WEEKDAY($A1448,1)))</f>
        <v/>
      </c>
      <c r="C1448" s="16">
        <f>IF($A1448="","",助理班表!$A51)</f>
        <v/>
      </c>
      <c r="D1448" s="16">
        <f>IF($C1448="","",助理班表!$B51)</f>
        <v/>
      </c>
      <c r="E1448" s="16">
        <f>IF($C1448="","",助理班表!$D51)</f>
        <v/>
      </c>
      <c r="F1448" s="16">
        <f>IF($C1448="","",助理班表!$C51)</f>
        <v/>
      </c>
      <c r="G1448" s="16">
        <f>IF($C1448="","",助理班表!X51)</f>
        <v/>
      </c>
      <c r="H1448" s="83">
        <f>IF($G1448="","",IFERROR(IF(INDEX(設定!$D$6:$D$21,MATCH($G1448,設定!$B$6:$B$21,0))=0,"",INDEX(設定!$D$6:$D$21,MATCH($G1448,設定!$B$6:$B$21,0))),""))</f>
        <v/>
      </c>
      <c r="I1448" s="83">
        <f>IF($G1448="","",IFERROR(IF(INDEX(設定!$E$6:$E$21,MATCH($G1448,設定!$B$6:$B$21,0))=0,"",INDEX(設定!$E$6:$E$21,MATCH($G1448,設定!$B$6:$B$21,0))),""))</f>
        <v/>
      </c>
      <c r="J1448" s="83">
        <f>IFERROR(INDEX(打卡匯入!$C$3:$C$2002,MATCH($C1448&amp;"|"&amp;DAY($A1448),打卡匯入!$E$3:$E$2002,0)),"")</f>
        <v/>
      </c>
      <c r="K1448" s="83">
        <f>IFERROR(INDEX(打卡匯入!$D$3:$D$2002,MATCH($C1448&amp;"|"&amp;DAY($A1448),打卡匯入!$E$3:$E$2002,0)),"")</f>
        <v/>
      </c>
      <c r="L1448" s="84">
        <f>IF(OR($J1448="",$K1448=""),"",IFERROR(INDEX(設定!$F$6:$F$21,MATCH($G1448,設定!$B$6:$B$21,0)),0))</f>
        <v/>
      </c>
      <c r="M1448" s="85">
        <f>IF(OR($J1448="",$K1448=""),"",ROUND(($K1448-$J1448)*24-$L1448/60,2))</f>
        <v/>
      </c>
      <c r="N1448" s="16">
        <f>IF($C1448="","",IF(AND(COUNTIF(設定!$B$15:$B$21,$G1448)&gt;0,$J1448&lt;&gt;""),"假日出勤",IF(AND(COUNTIF(設定!$B$6:$B$14,$G1448)&gt;0,$J1448=""),"未打卡",IF($J1448="","",IF($O1448&gt;0,"遲到",IF($P1448&gt;0,"早退","正常"))))))</f>
        <v/>
      </c>
      <c r="O1448" s="84">
        <f>IF(OR($C1448="",$H1448="",$J1448=""),0,IF(ROUND(($J1448-$H1448)*1440,0)&gt;設定!$C$46,ROUND(($J1448-$H1448)*1440,0),0))</f>
        <v/>
      </c>
      <c r="P1448" s="84">
        <f>IF(OR($C1448="",$I1448="",$K1448=""),0,IF(ROUND(($I1448-$K1448)*1440,0)&gt;設定!$C$46,ROUND(($I1448-$K1448)*1440,0),0))</f>
        <v/>
      </c>
      <c r="Q1448" s="85">
        <f>IF($M1448="",0,IF(($M1448-IFERROR(INDEX(設定!$G$6:$G$21,MATCH($G1448,設定!$B$6:$B$21,0)),0))*60&gt;=設定!$C$44,ROUND(FLOOR(($M1448-IFERROR(INDEX(設定!$G$6:$G$21,MATCH($G1448,設定!$B$6:$B$21,0)),0))*60,設定!$C$45)/60,2),0))</f>
        <v/>
      </c>
      <c r="R1448" s="16">
        <f>IF(OR($C1448="",$Q1448=0),"",IF($G1448="國","國定假日",IF($B1448="日","例假",IF($B1448="六","休息日","平日"))))</f>
        <v/>
      </c>
      <c r="S1448" s="19" t="n"/>
    </row>
    <row r="1449">
      <c r="A1449" s="82">
        <f>IF(OR(助理班表!$A51="",21&gt;DAY(EOMONTH(DATE(設定!$C$2,設定!$D$2,1),0))),"",DATE(設定!$C$2,設定!$D$2,21))</f>
        <v/>
      </c>
      <c r="B1449" s="16">
        <f>IF($A1449="","",INDEX(設定!$O$6:$O$12,WEEKDAY($A1449,1)))</f>
        <v/>
      </c>
      <c r="C1449" s="16">
        <f>IF($A1449="","",助理班表!$A51)</f>
        <v/>
      </c>
      <c r="D1449" s="16">
        <f>IF($C1449="","",助理班表!$B51)</f>
        <v/>
      </c>
      <c r="E1449" s="16">
        <f>IF($C1449="","",助理班表!$D51)</f>
        <v/>
      </c>
      <c r="F1449" s="16">
        <f>IF($C1449="","",助理班表!$C51)</f>
        <v/>
      </c>
      <c r="G1449" s="16">
        <f>IF($C1449="","",助理班表!Y51)</f>
        <v/>
      </c>
      <c r="H1449" s="83">
        <f>IF($G1449="","",IFERROR(IF(INDEX(設定!$D$6:$D$21,MATCH($G1449,設定!$B$6:$B$21,0))=0,"",INDEX(設定!$D$6:$D$21,MATCH($G1449,設定!$B$6:$B$21,0))),""))</f>
        <v/>
      </c>
      <c r="I1449" s="83">
        <f>IF($G1449="","",IFERROR(IF(INDEX(設定!$E$6:$E$21,MATCH($G1449,設定!$B$6:$B$21,0))=0,"",INDEX(設定!$E$6:$E$21,MATCH($G1449,設定!$B$6:$B$21,0))),""))</f>
        <v/>
      </c>
      <c r="J1449" s="83">
        <f>IFERROR(INDEX(打卡匯入!$C$3:$C$2002,MATCH($C1449&amp;"|"&amp;DAY($A1449),打卡匯入!$E$3:$E$2002,0)),"")</f>
        <v/>
      </c>
      <c r="K1449" s="83">
        <f>IFERROR(INDEX(打卡匯入!$D$3:$D$2002,MATCH($C1449&amp;"|"&amp;DAY($A1449),打卡匯入!$E$3:$E$2002,0)),"")</f>
        <v/>
      </c>
      <c r="L1449" s="84">
        <f>IF(OR($J1449="",$K1449=""),"",IFERROR(INDEX(設定!$F$6:$F$21,MATCH($G1449,設定!$B$6:$B$21,0)),0))</f>
        <v/>
      </c>
      <c r="M1449" s="85">
        <f>IF(OR($J1449="",$K1449=""),"",ROUND(($K1449-$J1449)*24-$L1449/60,2))</f>
        <v/>
      </c>
      <c r="N1449" s="16">
        <f>IF($C1449="","",IF(AND(COUNTIF(設定!$B$15:$B$21,$G1449)&gt;0,$J1449&lt;&gt;""),"假日出勤",IF(AND(COUNTIF(設定!$B$6:$B$14,$G1449)&gt;0,$J1449=""),"未打卡",IF($J1449="","",IF($O1449&gt;0,"遲到",IF($P1449&gt;0,"早退","正常"))))))</f>
        <v/>
      </c>
      <c r="O1449" s="84">
        <f>IF(OR($C1449="",$H1449="",$J1449=""),0,IF(ROUND(($J1449-$H1449)*1440,0)&gt;設定!$C$46,ROUND(($J1449-$H1449)*1440,0),0))</f>
        <v/>
      </c>
      <c r="P1449" s="84">
        <f>IF(OR($C1449="",$I1449="",$K1449=""),0,IF(ROUND(($I1449-$K1449)*1440,0)&gt;設定!$C$46,ROUND(($I1449-$K1449)*1440,0),0))</f>
        <v/>
      </c>
      <c r="Q1449" s="85">
        <f>IF($M1449="",0,IF(($M1449-IFERROR(INDEX(設定!$G$6:$G$21,MATCH($G1449,設定!$B$6:$B$21,0)),0))*60&gt;=設定!$C$44,ROUND(FLOOR(($M1449-IFERROR(INDEX(設定!$G$6:$G$21,MATCH($G1449,設定!$B$6:$B$21,0)),0))*60,設定!$C$45)/60,2),0))</f>
        <v/>
      </c>
      <c r="R1449" s="16">
        <f>IF(OR($C1449="",$Q1449=0),"",IF($G1449="國","國定假日",IF($B1449="日","例假",IF($B1449="六","休息日","平日"))))</f>
        <v/>
      </c>
      <c r="S1449" s="19" t="n"/>
    </row>
    <row r="1450">
      <c r="A1450" s="82">
        <f>IF(OR(助理班表!$A51="",22&gt;DAY(EOMONTH(DATE(設定!$C$2,設定!$D$2,1),0))),"",DATE(設定!$C$2,設定!$D$2,22))</f>
        <v/>
      </c>
      <c r="B1450" s="16">
        <f>IF($A1450="","",INDEX(設定!$O$6:$O$12,WEEKDAY($A1450,1)))</f>
        <v/>
      </c>
      <c r="C1450" s="16">
        <f>IF($A1450="","",助理班表!$A51)</f>
        <v/>
      </c>
      <c r="D1450" s="16">
        <f>IF($C1450="","",助理班表!$B51)</f>
        <v/>
      </c>
      <c r="E1450" s="16">
        <f>IF($C1450="","",助理班表!$D51)</f>
        <v/>
      </c>
      <c r="F1450" s="16">
        <f>IF($C1450="","",助理班表!$C51)</f>
        <v/>
      </c>
      <c r="G1450" s="16">
        <f>IF($C1450="","",助理班表!Z51)</f>
        <v/>
      </c>
      <c r="H1450" s="83">
        <f>IF($G1450="","",IFERROR(IF(INDEX(設定!$D$6:$D$21,MATCH($G1450,設定!$B$6:$B$21,0))=0,"",INDEX(設定!$D$6:$D$21,MATCH($G1450,設定!$B$6:$B$21,0))),""))</f>
        <v/>
      </c>
      <c r="I1450" s="83">
        <f>IF($G1450="","",IFERROR(IF(INDEX(設定!$E$6:$E$21,MATCH($G1450,設定!$B$6:$B$21,0))=0,"",INDEX(設定!$E$6:$E$21,MATCH($G1450,設定!$B$6:$B$21,0))),""))</f>
        <v/>
      </c>
      <c r="J1450" s="83">
        <f>IFERROR(INDEX(打卡匯入!$C$3:$C$2002,MATCH($C1450&amp;"|"&amp;DAY($A1450),打卡匯入!$E$3:$E$2002,0)),"")</f>
        <v/>
      </c>
      <c r="K1450" s="83">
        <f>IFERROR(INDEX(打卡匯入!$D$3:$D$2002,MATCH($C1450&amp;"|"&amp;DAY($A1450),打卡匯入!$E$3:$E$2002,0)),"")</f>
        <v/>
      </c>
      <c r="L1450" s="84">
        <f>IF(OR($J1450="",$K1450=""),"",IFERROR(INDEX(設定!$F$6:$F$21,MATCH($G1450,設定!$B$6:$B$21,0)),0))</f>
        <v/>
      </c>
      <c r="M1450" s="85">
        <f>IF(OR($J1450="",$K1450=""),"",ROUND(($K1450-$J1450)*24-$L1450/60,2))</f>
        <v/>
      </c>
      <c r="N1450" s="16">
        <f>IF($C1450="","",IF(AND(COUNTIF(設定!$B$15:$B$21,$G1450)&gt;0,$J1450&lt;&gt;""),"假日出勤",IF(AND(COUNTIF(設定!$B$6:$B$14,$G1450)&gt;0,$J1450=""),"未打卡",IF($J1450="","",IF($O1450&gt;0,"遲到",IF($P1450&gt;0,"早退","正常"))))))</f>
        <v/>
      </c>
      <c r="O1450" s="84">
        <f>IF(OR($C1450="",$H1450="",$J1450=""),0,IF(ROUND(($J1450-$H1450)*1440,0)&gt;設定!$C$46,ROUND(($J1450-$H1450)*1440,0),0))</f>
        <v/>
      </c>
      <c r="P1450" s="84">
        <f>IF(OR($C1450="",$I1450="",$K1450=""),0,IF(ROUND(($I1450-$K1450)*1440,0)&gt;設定!$C$46,ROUND(($I1450-$K1450)*1440,0),0))</f>
        <v/>
      </c>
      <c r="Q1450" s="85">
        <f>IF($M1450="",0,IF(($M1450-IFERROR(INDEX(設定!$G$6:$G$21,MATCH($G1450,設定!$B$6:$B$21,0)),0))*60&gt;=設定!$C$44,ROUND(FLOOR(($M1450-IFERROR(INDEX(設定!$G$6:$G$21,MATCH($G1450,設定!$B$6:$B$21,0)),0))*60,設定!$C$45)/60,2),0))</f>
        <v/>
      </c>
      <c r="R1450" s="16">
        <f>IF(OR($C1450="",$Q1450=0),"",IF($G1450="國","國定假日",IF($B1450="日","例假",IF($B1450="六","休息日","平日"))))</f>
        <v/>
      </c>
      <c r="S1450" s="19" t="n"/>
    </row>
    <row r="1451">
      <c r="A1451" s="82">
        <f>IF(OR(助理班表!$A51="",23&gt;DAY(EOMONTH(DATE(設定!$C$2,設定!$D$2,1),0))),"",DATE(設定!$C$2,設定!$D$2,23))</f>
        <v/>
      </c>
      <c r="B1451" s="16">
        <f>IF($A1451="","",INDEX(設定!$O$6:$O$12,WEEKDAY($A1451,1)))</f>
        <v/>
      </c>
      <c r="C1451" s="16">
        <f>IF($A1451="","",助理班表!$A51)</f>
        <v/>
      </c>
      <c r="D1451" s="16">
        <f>IF($C1451="","",助理班表!$B51)</f>
        <v/>
      </c>
      <c r="E1451" s="16">
        <f>IF($C1451="","",助理班表!$D51)</f>
        <v/>
      </c>
      <c r="F1451" s="16">
        <f>IF($C1451="","",助理班表!$C51)</f>
        <v/>
      </c>
      <c r="G1451" s="16">
        <f>IF($C1451="","",助理班表!AA51)</f>
        <v/>
      </c>
      <c r="H1451" s="83">
        <f>IF($G1451="","",IFERROR(IF(INDEX(設定!$D$6:$D$21,MATCH($G1451,設定!$B$6:$B$21,0))=0,"",INDEX(設定!$D$6:$D$21,MATCH($G1451,設定!$B$6:$B$21,0))),""))</f>
        <v/>
      </c>
      <c r="I1451" s="83">
        <f>IF($G1451="","",IFERROR(IF(INDEX(設定!$E$6:$E$21,MATCH($G1451,設定!$B$6:$B$21,0))=0,"",INDEX(設定!$E$6:$E$21,MATCH($G1451,設定!$B$6:$B$21,0))),""))</f>
        <v/>
      </c>
      <c r="J1451" s="83">
        <f>IFERROR(INDEX(打卡匯入!$C$3:$C$2002,MATCH($C1451&amp;"|"&amp;DAY($A1451),打卡匯入!$E$3:$E$2002,0)),"")</f>
        <v/>
      </c>
      <c r="K1451" s="83">
        <f>IFERROR(INDEX(打卡匯入!$D$3:$D$2002,MATCH($C1451&amp;"|"&amp;DAY($A1451),打卡匯入!$E$3:$E$2002,0)),"")</f>
        <v/>
      </c>
      <c r="L1451" s="84">
        <f>IF(OR($J1451="",$K1451=""),"",IFERROR(INDEX(設定!$F$6:$F$21,MATCH($G1451,設定!$B$6:$B$21,0)),0))</f>
        <v/>
      </c>
      <c r="M1451" s="85">
        <f>IF(OR($J1451="",$K1451=""),"",ROUND(($K1451-$J1451)*24-$L1451/60,2))</f>
        <v/>
      </c>
      <c r="N1451" s="16">
        <f>IF($C1451="","",IF(AND(COUNTIF(設定!$B$15:$B$21,$G1451)&gt;0,$J1451&lt;&gt;""),"假日出勤",IF(AND(COUNTIF(設定!$B$6:$B$14,$G1451)&gt;0,$J1451=""),"未打卡",IF($J1451="","",IF($O1451&gt;0,"遲到",IF($P1451&gt;0,"早退","正常"))))))</f>
        <v/>
      </c>
      <c r="O1451" s="84">
        <f>IF(OR($C1451="",$H1451="",$J1451=""),0,IF(ROUND(($J1451-$H1451)*1440,0)&gt;設定!$C$46,ROUND(($J1451-$H1451)*1440,0),0))</f>
        <v/>
      </c>
      <c r="P1451" s="84">
        <f>IF(OR($C1451="",$I1451="",$K1451=""),0,IF(ROUND(($I1451-$K1451)*1440,0)&gt;設定!$C$46,ROUND(($I1451-$K1451)*1440,0),0))</f>
        <v/>
      </c>
      <c r="Q1451" s="85">
        <f>IF($M1451="",0,IF(($M1451-IFERROR(INDEX(設定!$G$6:$G$21,MATCH($G1451,設定!$B$6:$B$21,0)),0))*60&gt;=設定!$C$44,ROUND(FLOOR(($M1451-IFERROR(INDEX(設定!$G$6:$G$21,MATCH($G1451,設定!$B$6:$B$21,0)),0))*60,設定!$C$45)/60,2),0))</f>
        <v/>
      </c>
      <c r="R1451" s="16">
        <f>IF(OR($C1451="",$Q1451=0),"",IF($G1451="國","國定假日",IF($B1451="日","例假",IF($B1451="六","休息日","平日"))))</f>
        <v/>
      </c>
      <c r="S1451" s="19" t="n"/>
    </row>
    <row r="1452">
      <c r="A1452" s="82">
        <f>IF(OR(助理班表!$A51="",24&gt;DAY(EOMONTH(DATE(設定!$C$2,設定!$D$2,1),0))),"",DATE(設定!$C$2,設定!$D$2,24))</f>
        <v/>
      </c>
      <c r="B1452" s="16">
        <f>IF($A1452="","",INDEX(設定!$O$6:$O$12,WEEKDAY($A1452,1)))</f>
        <v/>
      </c>
      <c r="C1452" s="16">
        <f>IF($A1452="","",助理班表!$A51)</f>
        <v/>
      </c>
      <c r="D1452" s="16">
        <f>IF($C1452="","",助理班表!$B51)</f>
        <v/>
      </c>
      <c r="E1452" s="16">
        <f>IF($C1452="","",助理班表!$D51)</f>
        <v/>
      </c>
      <c r="F1452" s="16">
        <f>IF($C1452="","",助理班表!$C51)</f>
        <v/>
      </c>
      <c r="G1452" s="16">
        <f>IF($C1452="","",助理班表!AB51)</f>
        <v/>
      </c>
      <c r="H1452" s="83">
        <f>IF($G1452="","",IFERROR(IF(INDEX(設定!$D$6:$D$21,MATCH($G1452,設定!$B$6:$B$21,0))=0,"",INDEX(設定!$D$6:$D$21,MATCH($G1452,設定!$B$6:$B$21,0))),""))</f>
        <v/>
      </c>
      <c r="I1452" s="83">
        <f>IF($G1452="","",IFERROR(IF(INDEX(設定!$E$6:$E$21,MATCH($G1452,設定!$B$6:$B$21,0))=0,"",INDEX(設定!$E$6:$E$21,MATCH($G1452,設定!$B$6:$B$21,0))),""))</f>
        <v/>
      </c>
      <c r="J1452" s="83">
        <f>IFERROR(INDEX(打卡匯入!$C$3:$C$2002,MATCH($C1452&amp;"|"&amp;DAY($A1452),打卡匯入!$E$3:$E$2002,0)),"")</f>
        <v/>
      </c>
      <c r="K1452" s="83">
        <f>IFERROR(INDEX(打卡匯入!$D$3:$D$2002,MATCH($C1452&amp;"|"&amp;DAY($A1452),打卡匯入!$E$3:$E$2002,0)),"")</f>
        <v/>
      </c>
      <c r="L1452" s="84">
        <f>IF(OR($J1452="",$K1452=""),"",IFERROR(INDEX(設定!$F$6:$F$21,MATCH($G1452,設定!$B$6:$B$21,0)),0))</f>
        <v/>
      </c>
      <c r="M1452" s="85">
        <f>IF(OR($J1452="",$K1452=""),"",ROUND(($K1452-$J1452)*24-$L1452/60,2))</f>
        <v/>
      </c>
      <c r="N1452" s="16">
        <f>IF($C1452="","",IF(AND(COUNTIF(設定!$B$15:$B$21,$G1452)&gt;0,$J1452&lt;&gt;""),"假日出勤",IF(AND(COUNTIF(設定!$B$6:$B$14,$G1452)&gt;0,$J1452=""),"未打卡",IF($J1452="","",IF($O1452&gt;0,"遲到",IF($P1452&gt;0,"早退","正常"))))))</f>
        <v/>
      </c>
      <c r="O1452" s="84">
        <f>IF(OR($C1452="",$H1452="",$J1452=""),0,IF(ROUND(($J1452-$H1452)*1440,0)&gt;設定!$C$46,ROUND(($J1452-$H1452)*1440,0),0))</f>
        <v/>
      </c>
      <c r="P1452" s="84">
        <f>IF(OR($C1452="",$I1452="",$K1452=""),0,IF(ROUND(($I1452-$K1452)*1440,0)&gt;設定!$C$46,ROUND(($I1452-$K1452)*1440,0),0))</f>
        <v/>
      </c>
      <c r="Q1452" s="85">
        <f>IF($M1452="",0,IF(($M1452-IFERROR(INDEX(設定!$G$6:$G$21,MATCH($G1452,設定!$B$6:$B$21,0)),0))*60&gt;=設定!$C$44,ROUND(FLOOR(($M1452-IFERROR(INDEX(設定!$G$6:$G$21,MATCH($G1452,設定!$B$6:$B$21,0)),0))*60,設定!$C$45)/60,2),0))</f>
        <v/>
      </c>
      <c r="R1452" s="16">
        <f>IF(OR($C1452="",$Q1452=0),"",IF($G1452="國","國定假日",IF($B1452="日","例假",IF($B1452="六","休息日","平日"))))</f>
        <v/>
      </c>
      <c r="S1452" s="19" t="n"/>
    </row>
    <row r="1453">
      <c r="A1453" s="82">
        <f>IF(OR(助理班表!$A51="",25&gt;DAY(EOMONTH(DATE(設定!$C$2,設定!$D$2,1),0))),"",DATE(設定!$C$2,設定!$D$2,25))</f>
        <v/>
      </c>
      <c r="B1453" s="16">
        <f>IF($A1453="","",INDEX(設定!$O$6:$O$12,WEEKDAY($A1453,1)))</f>
        <v/>
      </c>
      <c r="C1453" s="16">
        <f>IF($A1453="","",助理班表!$A51)</f>
        <v/>
      </c>
      <c r="D1453" s="16">
        <f>IF($C1453="","",助理班表!$B51)</f>
        <v/>
      </c>
      <c r="E1453" s="16">
        <f>IF($C1453="","",助理班表!$D51)</f>
        <v/>
      </c>
      <c r="F1453" s="16">
        <f>IF($C1453="","",助理班表!$C51)</f>
        <v/>
      </c>
      <c r="G1453" s="16">
        <f>IF($C1453="","",助理班表!AC51)</f>
        <v/>
      </c>
      <c r="H1453" s="83">
        <f>IF($G1453="","",IFERROR(IF(INDEX(設定!$D$6:$D$21,MATCH($G1453,設定!$B$6:$B$21,0))=0,"",INDEX(設定!$D$6:$D$21,MATCH($G1453,設定!$B$6:$B$21,0))),""))</f>
        <v/>
      </c>
      <c r="I1453" s="83">
        <f>IF($G1453="","",IFERROR(IF(INDEX(設定!$E$6:$E$21,MATCH($G1453,設定!$B$6:$B$21,0))=0,"",INDEX(設定!$E$6:$E$21,MATCH($G1453,設定!$B$6:$B$21,0))),""))</f>
        <v/>
      </c>
      <c r="J1453" s="83">
        <f>IFERROR(INDEX(打卡匯入!$C$3:$C$2002,MATCH($C1453&amp;"|"&amp;DAY($A1453),打卡匯入!$E$3:$E$2002,0)),"")</f>
        <v/>
      </c>
      <c r="K1453" s="83">
        <f>IFERROR(INDEX(打卡匯入!$D$3:$D$2002,MATCH($C1453&amp;"|"&amp;DAY($A1453),打卡匯入!$E$3:$E$2002,0)),"")</f>
        <v/>
      </c>
      <c r="L1453" s="84">
        <f>IF(OR($J1453="",$K1453=""),"",IFERROR(INDEX(設定!$F$6:$F$21,MATCH($G1453,設定!$B$6:$B$21,0)),0))</f>
        <v/>
      </c>
      <c r="M1453" s="85">
        <f>IF(OR($J1453="",$K1453=""),"",ROUND(($K1453-$J1453)*24-$L1453/60,2))</f>
        <v/>
      </c>
      <c r="N1453" s="16">
        <f>IF($C1453="","",IF(AND(COUNTIF(設定!$B$15:$B$21,$G1453)&gt;0,$J1453&lt;&gt;""),"假日出勤",IF(AND(COUNTIF(設定!$B$6:$B$14,$G1453)&gt;0,$J1453=""),"未打卡",IF($J1453="","",IF($O1453&gt;0,"遲到",IF($P1453&gt;0,"早退","正常"))))))</f>
        <v/>
      </c>
      <c r="O1453" s="84">
        <f>IF(OR($C1453="",$H1453="",$J1453=""),0,IF(ROUND(($J1453-$H1453)*1440,0)&gt;設定!$C$46,ROUND(($J1453-$H1453)*1440,0),0))</f>
        <v/>
      </c>
      <c r="P1453" s="84">
        <f>IF(OR($C1453="",$I1453="",$K1453=""),0,IF(ROUND(($I1453-$K1453)*1440,0)&gt;設定!$C$46,ROUND(($I1453-$K1453)*1440,0),0))</f>
        <v/>
      </c>
      <c r="Q1453" s="85">
        <f>IF($M1453="",0,IF(($M1453-IFERROR(INDEX(設定!$G$6:$G$21,MATCH($G1453,設定!$B$6:$B$21,0)),0))*60&gt;=設定!$C$44,ROUND(FLOOR(($M1453-IFERROR(INDEX(設定!$G$6:$G$21,MATCH($G1453,設定!$B$6:$B$21,0)),0))*60,設定!$C$45)/60,2),0))</f>
        <v/>
      </c>
      <c r="R1453" s="16">
        <f>IF(OR($C1453="",$Q1453=0),"",IF($G1453="國","國定假日",IF($B1453="日","例假",IF($B1453="六","休息日","平日"))))</f>
        <v/>
      </c>
      <c r="S1453" s="19" t="n"/>
    </row>
    <row r="1454">
      <c r="A1454" s="82">
        <f>IF(OR(助理班表!$A51="",26&gt;DAY(EOMONTH(DATE(設定!$C$2,設定!$D$2,1),0))),"",DATE(設定!$C$2,設定!$D$2,26))</f>
        <v/>
      </c>
      <c r="B1454" s="16">
        <f>IF($A1454="","",INDEX(設定!$O$6:$O$12,WEEKDAY($A1454,1)))</f>
        <v/>
      </c>
      <c r="C1454" s="16">
        <f>IF($A1454="","",助理班表!$A51)</f>
        <v/>
      </c>
      <c r="D1454" s="16">
        <f>IF($C1454="","",助理班表!$B51)</f>
        <v/>
      </c>
      <c r="E1454" s="16">
        <f>IF($C1454="","",助理班表!$D51)</f>
        <v/>
      </c>
      <c r="F1454" s="16">
        <f>IF($C1454="","",助理班表!$C51)</f>
        <v/>
      </c>
      <c r="G1454" s="16">
        <f>IF($C1454="","",助理班表!AD51)</f>
        <v/>
      </c>
      <c r="H1454" s="83">
        <f>IF($G1454="","",IFERROR(IF(INDEX(設定!$D$6:$D$21,MATCH($G1454,設定!$B$6:$B$21,0))=0,"",INDEX(設定!$D$6:$D$21,MATCH($G1454,設定!$B$6:$B$21,0))),""))</f>
        <v/>
      </c>
      <c r="I1454" s="83">
        <f>IF($G1454="","",IFERROR(IF(INDEX(設定!$E$6:$E$21,MATCH($G1454,設定!$B$6:$B$21,0))=0,"",INDEX(設定!$E$6:$E$21,MATCH($G1454,設定!$B$6:$B$21,0))),""))</f>
        <v/>
      </c>
      <c r="J1454" s="83">
        <f>IFERROR(INDEX(打卡匯入!$C$3:$C$2002,MATCH($C1454&amp;"|"&amp;DAY($A1454),打卡匯入!$E$3:$E$2002,0)),"")</f>
        <v/>
      </c>
      <c r="K1454" s="83">
        <f>IFERROR(INDEX(打卡匯入!$D$3:$D$2002,MATCH($C1454&amp;"|"&amp;DAY($A1454),打卡匯入!$E$3:$E$2002,0)),"")</f>
        <v/>
      </c>
      <c r="L1454" s="84">
        <f>IF(OR($J1454="",$K1454=""),"",IFERROR(INDEX(設定!$F$6:$F$21,MATCH($G1454,設定!$B$6:$B$21,0)),0))</f>
        <v/>
      </c>
      <c r="M1454" s="85">
        <f>IF(OR($J1454="",$K1454=""),"",ROUND(($K1454-$J1454)*24-$L1454/60,2))</f>
        <v/>
      </c>
      <c r="N1454" s="16">
        <f>IF($C1454="","",IF(AND(COUNTIF(設定!$B$15:$B$21,$G1454)&gt;0,$J1454&lt;&gt;""),"假日出勤",IF(AND(COUNTIF(設定!$B$6:$B$14,$G1454)&gt;0,$J1454=""),"未打卡",IF($J1454="","",IF($O1454&gt;0,"遲到",IF($P1454&gt;0,"早退","正常"))))))</f>
        <v/>
      </c>
      <c r="O1454" s="84">
        <f>IF(OR($C1454="",$H1454="",$J1454=""),0,IF(ROUND(($J1454-$H1454)*1440,0)&gt;設定!$C$46,ROUND(($J1454-$H1454)*1440,0),0))</f>
        <v/>
      </c>
      <c r="P1454" s="84">
        <f>IF(OR($C1454="",$I1454="",$K1454=""),0,IF(ROUND(($I1454-$K1454)*1440,0)&gt;設定!$C$46,ROUND(($I1454-$K1454)*1440,0),0))</f>
        <v/>
      </c>
      <c r="Q1454" s="85">
        <f>IF($M1454="",0,IF(($M1454-IFERROR(INDEX(設定!$G$6:$G$21,MATCH($G1454,設定!$B$6:$B$21,0)),0))*60&gt;=設定!$C$44,ROUND(FLOOR(($M1454-IFERROR(INDEX(設定!$G$6:$G$21,MATCH($G1454,設定!$B$6:$B$21,0)),0))*60,設定!$C$45)/60,2),0))</f>
        <v/>
      </c>
      <c r="R1454" s="16">
        <f>IF(OR($C1454="",$Q1454=0),"",IF($G1454="國","國定假日",IF($B1454="日","例假",IF($B1454="六","休息日","平日"))))</f>
        <v/>
      </c>
      <c r="S1454" s="19" t="n"/>
    </row>
    <row r="1455">
      <c r="A1455" s="82">
        <f>IF(OR(助理班表!$A51="",27&gt;DAY(EOMONTH(DATE(設定!$C$2,設定!$D$2,1),0))),"",DATE(設定!$C$2,設定!$D$2,27))</f>
        <v/>
      </c>
      <c r="B1455" s="16">
        <f>IF($A1455="","",INDEX(設定!$O$6:$O$12,WEEKDAY($A1455,1)))</f>
        <v/>
      </c>
      <c r="C1455" s="16">
        <f>IF($A1455="","",助理班表!$A51)</f>
        <v/>
      </c>
      <c r="D1455" s="16">
        <f>IF($C1455="","",助理班表!$B51)</f>
        <v/>
      </c>
      <c r="E1455" s="16">
        <f>IF($C1455="","",助理班表!$D51)</f>
        <v/>
      </c>
      <c r="F1455" s="16">
        <f>IF($C1455="","",助理班表!$C51)</f>
        <v/>
      </c>
      <c r="G1455" s="16">
        <f>IF($C1455="","",助理班表!AE51)</f>
        <v/>
      </c>
      <c r="H1455" s="83">
        <f>IF($G1455="","",IFERROR(IF(INDEX(設定!$D$6:$D$21,MATCH($G1455,設定!$B$6:$B$21,0))=0,"",INDEX(設定!$D$6:$D$21,MATCH($G1455,設定!$B$6:$B$21,0))),""))</f>
        <v/>
      </c>
      <c r="I1455" s="83">
        <f>IF($G1455="","",IFERROR(IF(INDEX(設定!$E$6:$E$21,MATCH($G1455,設定!$B$6:$B$21,0))=0,"",INDEX(設定!$E$6:$E$21,MATCH($G1455,設定!$B$6:$B$21,0))),""))</f>
        <v/>
      </c>
      <c r="J1455" s="83">
        <f>IFERROR(INDEX(打卡匯入!$C$3:$C$2002,MATCH($C1455&amp;"|"&amp;DAY($A1455),打卡匯入!$E$3:$E$2002,0)),"")</f>
        <v/>
      </c>
      <c r="K1455" s="83">
        <f>IFERROR(INDEX(打卡匯入!$D$3:$D$2002,MATCH($C1455&amp;"|"&amp;DAY($A1455),打卡匯入!$E$3:$E$2002,0)),"")</f>
        <v/>
      </c>
      <c r="L1455" s="84">
        <f>IF(OR($J1455="",$K1455=""),"",IFERROR(INDEX(設定!$F$6:$F$21,MATCH($G1455,設定!$B$6:$B$21,0)),0))</f>
        <v/>
      </c>
      <c r="M1455" s="85">
        <f>IF(OR($J1455="",$K1455=""),"",ROUND(($K1455-$J1455)*24-$L1455/60,2))</f>
        <v/>
      </c>
      <c r="N1455" s="16">
        <f>IF($C1455="","",IF(AND(COUNTIF(設定!$B$15:$B$21,$G1455)&gt;0,$J1455&lt;&gt;""),"假日出勤",IF(AND(COUNTIF(設定!$B$6:$B$14,$G1455)&gt;0,$J1455=""),"未打卡",IF($J1455="","",IF($O1455&gt;0,"遲到",IF($P1455&gt;0,"早退","正常"))))))</f>
        <v/>
      </c>
      <c r="O1455" s="84">
        <f>IF(OR($C1455="",$H1455="",$J1455=""),0,IF(ROUND(($J1455-$H1455)*1440,0)&gt;設定!$C$46,ROUND(($J1455-$H1455)*1440,0),0))</f>
        <v/>
      </c>
      <c r="P1455" s="84">
        <f>IF(OR($C1455="",$I1455="",$K1455=""),0,IF(ROUND(($I1455-$K1455)*1440,0)&gt;設定!$C$46,ROUND(($I1455-$K1455)*1440,0),0))</f>
        <v/>
      </c>
      <c r="Q1455" s="85">
        <f>IF($M1455="",0,IF(($M1455-IFERROR(INDEX(設定!$G$6:$G$21,MATCH($G1455,設定!$B$6:$B$21,0)),0))*60&gt;=設定!$C$44,ROUND(FLOOR(($M1455-IFERROR(INDEX(設定!$G$6:$G$21,MATCH($G1455,設定!$B$6:$B$21,0)),0))*60,設定!$C$45)/60,2),0))</f>
        <v/>
      </c>
      <c r="R1455" s="16">
        <f>IF(OR($C1455="",$Q1455=0),"",IF($G1455="國","國定假日",IF($B1455="日","例假",IF($B1455="六","休息日","平日"))))</f>
        <v/>
      </c>
      <c r="S1455" s="19" t="n"/>
    </row>
    <row r="1456">
      <c r="A1456" s="82">
        <f>IF(OR(助理班表!$A51="",28&gt;DAY(EOMONTH(DATE(設定!$C$2,設定!$D$2,1),0))),"",DATE(設定!$C$2,設定!$D$2,28))</f>
        <v/>
      </c>
      <c r="B1456" s="16">
        <f>IF($A1456="","",INDEX(設定!$O$6:$O$12,WEEKDAY($A1456,1)))</f>
        <v/>
      </c>
      <c r="C1456" s="16">
        <f>IF($A1456="","",助理班表!$A51)</f>
        <v/>
      </c>
      <c r="D1456" s="16">
        <f>IF($C1456="","",助理班表!$B51)</f>
        <v/>
      </c>
      <c r="E1456" s="16">
        <f>IF($C1456="","",助理班表!$D51)</f>
        <v/>
      </c>
      <c r="F1456" s="16">
        <f>IF($C1456="","",助理班表!$C51)</f>
        <v/>
      </c>
      <c r="G1456" s="16">
        <f>IF($C1456="","",助理班表!AF51)</f>
        <v/>
      </c>
      <c r="H1456" s="83">
        <f>IF($G1456="","",IFERROR(IF(INDEX(設定!$D$6:$D$21,MATCH($G1456,設定!$B$6:$B$21,0))=0,"",INDEX(設定!$D$6:$D$21,MATCH($G1456,設定!$B$6:$B$21,0))),""))</f>
        <v/>
      </c>
      <c r="I1456" s="83">
        <f>IF($G1456="","",IFERROR(IF(INDEX(設定!$E$6:$E$21,MATCH($G1456,設定!$B$6:$B$21,0))=0,"",INDEX(設定!$E$6:$E$21,MATCH($G1456,設定!$B$6:$B$21,0))),""))</f>
        <v/>
      </c>
      <c r="J1456" s="83">
        <f>IFERROR(INDEX(打卡匯入!$C$3:$C$2002,MATCH($C1456&amp;"|"&amp;DAY($A1456),打卡匯入!$E$3:$E$2002,0)),"")</f>
        <v/>
      </c>
      <c r="K1456" s="83">
        <f>IFERROR(INDEX(打卡匯入!$D$3:$D$2002,MATCH($C1456&amp;"|"&amp;DAY($A1456),打卡匯入!$E$3:$E$2002,0)),"")</f>
        <v/>
      </c>
      <c r="L1456" s="84">
        <f>IF(OR($J1456="",$K1456=""),"",IFERROR(INDEX(設定!$F$6:$F$21,MATCH($G1456,設定!$B$6:$B$21,0)),0))</f>
        <v/>
      </c>
      <c r="M1456" s="85">
        <f>IF(OR($J1456="",$K1456=""),"",ROUND(($K1456-$J1456)*24-$L1456/60,2))</f>
        <v/>
      </c>
      <c r="N1456" s="16">
        <f>IF($C1456="","",IF(AND(COUNTIF(設定!$B$15:$B$21,$G1456)&gt;0,$J1456&lt;&gt;""),"假日出勤",IF(AND(COUNTIF(設定!$B$6:$B$14,$G1456)&gt;0,$J1456=""),"未打卡",IF($J1456="","",IF($O1456&gt;0,"遲到",IF($P1456&gt;0,"早退","正常"))))))</f>
        <v/>
      </c>
      <c r="O1456" s="84">
        <f>IF(OR($C1456="",$H1456="",$J1456=""),0,IF(ROUND(($J1456-$H1456)*1440,0)&gt;設定!$C$46,ROUND(($J1456-$H1456)*1440,0),0))</f>
        <v/>
      </c>
      <c r="P1456" s="84">
        <f>IF(OR($C1456="",$I1456="",$K1456=""),0,IF(ROUND(($I1456-$K1456)*1440,0)&gt;設定!$C$46,ROUND(($I1456-$K1456)*1440,0),0))</f>
        <v/>
      </c>
      <c r="Q1456" s="85">
        <f>IF($M1456="",0,IF(($M1456-IFERROR(INDEX(設定!$G$6:$G$21,MATCH($G1456,設定!$B$6:$B$21,0)),0))*60&gt;=設定!$C$44,ROUND(FLOOR(($M1456-IFERROR(INDEX(設定!$G$6:$G$21,MATCH($G1456,設定!$B$6:$B$21,0)),0))*60,設定!$C$45)/60,2),0))</f>
        <v/>
      </c>
      <c r="R1456" s="16">
        <f>IF(OR($C1456="",$Q1456=0),"",IF($G1456="國","國定假日",IF($B1456="日","例假",IF($B1456="六","休息日","平日"))))</f>
        <v/>
      </c>
      <c r="S1456" s="19" t="n"/>
    </row>
    <row r="1457">
      <c r="A1457" s="82">
        <f>IF(OR(助理班表!$A51="",29&gt;DAY(EOMONTH(DATE(設定!$C$2,設定!$D$2,1),0))),"",DATE(設定!$C$2,設定!$D$2,29))</f>
        <v/>
      </c>
      <c r="B1457" s="16">
        <f>IF($A1457="","",INDEX(設定!$O$6:$O$12,WEEKDAY($A1457,1)))</f>
        <v/>
      </c>
      <c r="C1457" s="16">
        <f>IF($A1457="","",助理班表!$A51)</f>
        <v/>
      </c>
      <c r="D1457" s="16">
        <f>IF($C1457="","",助理班表!$B51)</f>
        <v/>
      </c>
      <c r="E1457" s="16">
        <f>IF($C1457="","",助理班表!$D51)</f>
        <v/>
      </c>
      <c r="F1457" s="16">
        <f>IF($C1457="","",助理班表!$C51)</f>
        <v/>
      </c>
      <c r="G1457" s="16">
        <f>IF($C1457="","",助理班表!AG51)</f>
        <v/>
      </c>
      <c r="H1457" s="83">
        <f>IF($G1457="","",IFERROR(IF(INDEX(設定!$D$6:$D$21,MATCH($G1457,設定!$B$6:$B$21,0))=0,"",INDEX(設定!$D$6:$D$21,MATCH($G1457,設定!$B$6:$B$21,0))),""))</f>
        <v/>
      </c>
      <c r="I1457" s="83">
        <f>IF($G1457="","",IFERROR(IF(INDEX(設定!$E$6:$E$21,MATCH($G1457,設定!$B$6:$B$21,0))=0,"",INDEX(設定!$E$6:$E$21,MATCH($G1457,設定!$B$6:$B$21,0))),""))</f>
        <v/>
      </c>
      <c r="J1457" s="83">
        <f>IFERROR(INDEX(打卡匯入!$C$3:$C$2002,MATCH($C1457&amp;"|"&amp;DAY($A1457),打卡匯入!$E$3:$E$2002,0)),"")</f>
        <v/>
      </c>
      <c r="K1457" s="83">
        <f>IFERROR(INDEX(打卡匯入!$D$3:$D$2002,MATCH($C1457&amp;"|"&amp;DAY($A1457),打卡匯入!$E$3:$E$2002,0)),"")</f>
        <v/>
      </c>
      <c r="L1457" s="84">
        <f>IF(OR($J1457="",$K1457=""),"",IFERROR(INDEX(設定!$F$6:$F$21,MATCH($G1457,設定!$B$6:$B$21,0)),0))</f>
        <v/>
      </c>
      <c r="M1457" s="85">
        <f>IF(OR($J1457="",$K1457=""),"",ROUND(($K1457-$J1457)*24-$L1457/60,2))</f>
        <v/>
      </c>
      <c r="N1457" s="16">
        <f>IF($C1457="","",IF(AND(COUNTIF(設定!$B$15:$B$21,$G1457)&gt;0,$J1457&lt;&gt;""),"假日出勤",IF(AND(COUNTIF(設定!$B$6:$B$14,$G1457)&gt;0,$J1457=""),"未打卡",IF($J1457="","",IF($O1457&gt;0,"遲到",IF($P1457&gt;0,"早退","正常"))))))</f>
        <v/>
      </c>
      <c r="O1457" s="84">
        <f>IF(OR($C1457="",$H1457="",$J1457=""),0,IF(ROUND(($J1457-$H1457)*1440,0)&gt;設定!$C$46,ROUND(($J1457-$H1457)*1440,0),0))</f>
        <v/>
      </c>
      <c r="P1457" s="84">
        <f>IF(OR($C1457="",$I1457="",$K1457=""),0,IF(ROUND(($I1457-$K1457)*1440,0)&gt;設定!$C$46,ROUND(($I1457-$K1457)*1440,0),0))</f>
        <v/>
      </c>
      <c r="Q1457" s="85">
        <f>IF($M1457="",0,IF(($M1457-IFERROR(INDEX(設定!$G$6:$G$21,MATCH($G1457,設定!$B$6:$B$21,0)),0))*60&gt;=設定!$C$44,ROUND(FLOOR(($M1457-IFERROR(INDEX(設定!$G$6:$G$21,MATCH($G1457,設定!$B$6:$B$21,0)),0))*60,設定!$C$45)/60,2),0))</f>
        <v/>
      </c>
      <c r="R1457" s="16">
        <f>IF(OR($C1457="",$Q1457=0),"",IF($G1457="國","國定假日",IF($B1457="日","例假",IF($B1457="六","休息日","平日"))))</f>
        <v/>
      </c>
      <c r="S1457" s="19" t="n"/>
    </row>
    <row r="1458">
      <c r="A1458" s="82">
        <f>IF(OR(助理班表!$A51="",30&gt;DAY(EOMONTH(DATE(設定!$C$2,設定!$D$2,1),0))),"",DATE(設定!$C$2,設定!$D$2,30))</f>
        <v/>
      </c>
      <c r="B1458" s="16">
        <f>IF($A1458="","",INDEX(設定!$O$6:$O$12,WEEKDAY($A1458,1)))</f>
        <v/>
      </c>
      <c r="C1458" s="16">
        <f>IF($A1458="","",助理班表!$A51)</f>
        <v/>
      </c>
      <c r="D1458" s="16">
        <f>IF($C1458="","",助理班表!$B51)</f>
        <v/>
      </c>
      <c r="E1458" s="16">
        <f>IF($C1458="","",助理班表!$D51)</f>
        <v/>
      </c>
      <c r="F1458" s="16">
        <f>IF($C1458="","",助理班表!$C51)</f>
        <v/>
      </c>
      <c r="G1458" s="16">
        <f>IF($C1458="","",助理班表!AH51)</f>
        <v/>
      </c>
      <c r="H1458" s="83">
        <f>IF($G1458="","",IFERROR(IF(INDEX(設定!$D$6:$D$21,MATCH($G1458,設定!$B$6:$B$21,0))=0,"",INDEX(設定!$D$6:$D$21,MATCH($G1458,設定!$B$6:$B$21,0))),""))</f>
        <v/>
      </c>
      <c r="I1458" s="83">
        <f>IF($G1458="","",IFERROR(IF(INDEX(設定!$E$6:$E$21,MATCH($G1458,設定!$B$6:$B$21,0))=0,"",INDEX(設定!$E$6:$E$21,MATCH($G1458,設定!$B$6:$B$21,0))),""))</f>
        <v/>
      </c>
      <c r="J1458" s="83">
        <f>IFERROR(INDEX(打卡匯入!$C$3:$C$2002,MATCH($C1458&amp;"|"&amp;DAY($A1458),打卡匯入!$E$3:$E$2002,0)),"")</f>
        <v/>
      </c>
      <c r="K1458" s="83">
        <f>IFERROR(INDEX(打卡匯入!$D$3:$D$2002,MATCH($C1458&amp;"|"&amp;DAY($A1458),打卡匯入!$E$3:$E$2002,0)),"")</f>
        <v/>
      </c>
      <c r="L1458" s="84">
        <f>IF(OR($J1458="",$K1458=""),"",IFERROR(INDEX(設定!$F$6:$F$21,MATCH($G1458,設定!$B$6:$B$21,0)),0))</f>
        <v/>
      </c>
      <c r="M1458" s="85">
        <f>IF(OR($J1458="",$K1458=""),"",ROUND(($K1458-$J1458)*24-$L1458/60,2))</f>
        <v/>
      </c>
      <c r="N1458" s="16">
        <f>IF($C1458="","",IF(AND(COUNTIF(設定!$B$15:$B$21,$G1458)&gt;0,$J1458&lt;&gt;""),"假日出勤",IF(AND(COUNTIF(設定!$B$6:$B$14,$G1458)&gt;0,$J1458=""),"未打卡",IF($J1458="","",IF($O1458&gt;0,"遲到",IF($P1458&gt;0,"早退","正常"))))))</f>
        <v/>
      </c>
      <c r="O1458" s="84">
        <f>IF(OR($C1458="",$H1458="",$J1458=""),0,IF(ROUND(($J1458-$H1458)*1440,0)&gt;設定!$C$46,ROUND(($J1458-$H1458)*1440,0),0))</f>
        <v/>
      </c>
      <c r="P1458" s="84">
        <f>IF(OR($C1458="",$I1458="",$K1458=""),0,IF(ROUND(($I1458-$K1458)*1440,0)&gt;設定!$C$46,ROUND(($I1458-$K1458)*1440,0),0))</f>
        <v/>
      </c>
      <c r="Q1458" s="85">
        <f>IF($M1458="",0,IF(($M1458-IFERROR(INDEX(設定!$G$6:$G$21,MATCH($G1458,設定!$B$6:$B$21,0)),0))*60&gt;=設定!$C$44,ROUND(FLOOR(($M1458-IFERROR(INDEX(設定!$G$6:$G$21,MATCH($G1458,設定!$B$6:$B$21,0)),0))*60,設定!$C$45)/60,2),0))</f>
        <v/>
      </c>
      <c r="R1458" s="16">
        <f>IF(OR($C1458="",$Q1458=0),"",IF($G1458="國","國定假日",IF($B1458="日","例假",IF($B1458="六","休息日","平日"))))</f>
        <v/>
      </c>
      <c r="S1458" s="19" t="n"/>
    </row>
    <row r="1459">
      <c r="A1459" s="82">
        <f>IF(OR(助理班表!$A51="",31&gt;DAY(EOMONTH(DATE(設定!$C$2,設定!$D$2,1),0))),"",DATE(設定!$C$2,設定!$D$2,31))</f>
        <v/>
      </c>
      <c r="B1459" s="16">
        <f>IF($A1459="","",INDEX(設定!$O$6:$O$12,WEEKDAY($A1459,1)))</f>
        <v/>
      </c>
      <c r="C1459" s="16">
        <f>IF($A1459="","",助理班表!$A51)</f>
        <v/>
      </c>
      <c r="D1459" s="16">
        <f>IF($C1459="","",助理班表!$B51)</f>
        <v/>
      </c>
      <c r="E1459" s="16">
        <f>IF($C1459="","",助理班表!$D51)</f>
        <v/>
      </c>
      <c r="F1459" s="16">
        <f>IF($C1459="","",助理班表!$C51)</f>
        <v/>
      </c>
      <c r="G1459" s="16">
        <f>IF($C1459="","",助理班表!AI51)</f>
        <v/>
      </c>
      <c r="H1459" s="83">
        <f>IF($G1459="","",IFERROR(IF(INDEX(設定!$D$6:$D$21,MATCH($G1459,設定!$B$6:$B$21,0))=0,"",INDEX(設定!$D$6:$D$21,MATCH($G1459,設定!$B$6:$B$21,0))),""))</f>
        <v/>
      </c>
      <c r="I1459" s="83">
        <f>IF($G1459="","",IFERROR(IF(INDEX(設定!$E$6:$E$21,MATCH($G1459,設定!$B$6:$B$21,0))=0,"",INDEX(設定!$E$6:$E$21,MATCH($G1459,設定!$B$6:$B$21,0))),""))</f>
        <v/>
      </c>
      <c r="J1459" s="83">
        <f>IFERROR(INDEX(打卡匯入!$C$3:$C$2002,MATCH($C1459&amp;"|"&amp;DAY($A1459),打卡匯入!$E$3:$E$2002,0)),"")</f>
        <v/>
      </c>
      <c r="K1459" s="83">
        <f>IFERROR(INDEX(打卡匯入!$D$3:$D$2002,MATCH($C1459&amp;"|"&amp;DAY($A1459),打卡匯入!$E$3:$E$2002,0)),"")</f>
        <v/>
      </c>
      <c r="L1459" s="84">
        <f>IF(OR($J1459="",$K1459=""),"",IFERROR(INDEX(設定!$F$6:$F$21,MATCH($G1459,設定!$B$6:$B$21,0)),0))</f>
        <v/>
      </c>
      <c r="M1459" s="85">
        <f>IF(OR($J1459="",$K1459=""),"",ROUND(($K1459-$J1459)*24-$L1459/60,2))</f>
        <v/>
      </c>
      <c r="N1459" s="16">
        <f>IF($C1459="","",IF(AND(COUNTIF(設定!$B$15:$B$21,$G1459)&gt;0,$J1459&lt;&gt;""),"假日出勤",IF(AND(COUNTIF(設定!$B$6:$B$14,$G1459)&gt;0,$J1459=""),"未打卡",IF($J1459="","",IF($O1459&gt;0,"遲到",IF($P1459&gt;0,"早退","正常"))))))</f>
        <v/>
      </c>
      <c r="O1459" s="84">
        <f>IF(OR($C1459="",$H1459="",$J1459=""),0,IF(ROUND(($J1459-$H1459)*1440,0)&gt;設定!$C$46,ROUND(($J1459-$H1459)*1440,0),0))</f>
        <v/>
      </c>
      <c r="P1459" s="84">
        <f>IF(OR($C1459="",$I1459="",$K1459=""),0,IF(ROUND(($I1459-$K1459)*1440,0)&gt;設定!$C$46,ROUND(($I1459-$K1459)*1440,0),0))</f>
        <v/>
      </c>
      <c r="Q1459" s="85">
        <f>IF($M1459="",0,IF(($M1459-IFERROR(INDEX(設定!$G$6:$G$21,MATCH($G1459,設定!$B$6:$B$21,0)),0))*60&gt;=設定!$C$44,ROUND(FLOOR(($M1459-IFERROR(INDEX(設定!$G$6:$G$21,MATCH($G1459,設定!$B$6:$B$21,0)),0))*60,設定!$C$45)/60,2),0))</f>
        <v/>
      </c>
      <c r="R1459" s="16">
        <f>IF(OR($C1459="",$Q1459=0),"",IF($G1459="國","國定假日",IF($B1459="日","例假",IF($B1459="六","休息日","平日"))))</f>
        <v/>
      </c>
      <c r="S1459" s="19" t="n"/>
    </row>
    <row r="1460">
      <c r="A1460" s="82">
        <f>IF(OR(助理班表!$A52="",1&gt;DAY(EOMONTH(DATE(設定!$C$2,設定!$D$2,1),0))),"",DATE(設定!$C$2,設定!$D$2,1))</f>
        <v/>
      </c>
      <c r="B1460" s="16">
        <f>IF($A1460="","",INDEX(設定!$O$6:$O$12,WEEKDAY($A1460,1)))</f>
        <v/>
      </c>
      <c r="C1460" s="16">
        <f>IF($A1460="","",助理班表!$A52)</f>
        <v/>
      </c>
      <c r="D1460" s="16">
        <f>IF($C1460="","",助理班表!$B52)</f>
        <v/>
      </c>
      <c r="E1460" s="16">
        <f>IF($C1460="","",助理班表!$D52)</f>
        <v/>
      </c>
      <c r="F1460" s="16">
        <f>IF($C1460="","",助理班表!$C52)</f>
        <v/>
      </c>
      <c r="G1460" s="16">
        <f>IF($C1460="","",助理班表!E52)</f>
        <v/>
      </c>
      <c r="H1460" s="83">
        <f>IF($G1460="","",IFERROR(IF(INDEX(設定!$D$6:$D$21,MATCH($G1460,設定!$B$6:$B$21,0))=0,"",INDEX(設定!$D$6:$D$21,MATCH($G1460,設定!$B$6:$B$21,0))),""))</f>
        <v/>
      </c>
      <c r="I1460" s="83">
        <f>IF($G1460="","",IFERROR(IF(INDEX(設定!$E$6:$E$21,MATCH($G1460,設定!$B$6:$B$21,0))=0,"",INDEX(設定!$E$6:$E$21,MATCH($G1460,設定!$B$6:$B$21,0))),""))</f>
        <v/>
      </c>
      <c r="J1460" s="83">
        <f>IFERROR(INDEX(打卡匯入!$C$3:$C$2002,MATCH($C1460&amp;"|"&amp;DAY($A1460),打卡匯入!$E$3:$E$2002,0)),"")</f>
        <v/>
      </c>
      <c r="K1460" s="83">
        <f>IFERROR(INDEX(打卡匯入!$D$3:$D$2002,MATCH($C1460&amp;"|"&amp;DAY($A1460),打卡匯入!$E$3:$E$2002,0)),"")</f>
        <v/>
      </c>
      <c r="L1460" s="84">
        <f>IF(OR($J1460="",$K1460=""),"",IFERROR(INDEX(設定!$F$6:$F$21,MATCH($G1460,設定!$B$6:$B$21,0)),0))</f>
        <v/>
      </c>
      <c r="M1460" s="85">
        <f>IF(OR($J1460="",$K1460=""),"",ROUND(($K1460-$J1460)*24-$L1460/60,2))</f>
        <v/>
      </c>
      <c r="N1460" s="16">
        <f>IF($C1460="","",IF(AND(COUNTIF(設定!$B$15:$B$21,$G1460)&gt;0,$J1460&lt;&gt;""),"假日出勤",IF(AND(COUNTIF(設定!$B$6:$B$14,$G1460)&gt;0,$J1460=""),"未打卡",IF($J1460="","",IF($O1460&gt;0,"遲到",IF($P1460&gt;0,"早退","正常"))))))</f>
        <v/>
      </c>
      <c r="O1460" s="84">
        <f>IF(OR($C1460="",$H1460="",$J1460=""),0,IF(ROUND(($J1460-$H1460)*1440,0)&gt;設定!$C$46,ROUND(($J1460-$H1460)*1440,0),0))</f>
        <v/>
      </c>
      <c r="P1460" s="84">
        <f>IF(OR($C1460="",$I1460="",$K1460=""),0,IF(ROUND(($I1460-$K1460)*1440,0)&gt;設定!$C$46,ROUND(($I1460-$K1460)*1440,0),0))</f>
        <v/>
      </c>
      <c r="Q1460" s="85">
        <f>IF($M1460="",0,IF(($M1460-IFERROR(INDEX(設定!$G$6:$G$21,MATCH($G1460,設定!$B$6:$B$21,0)),0))*60&gt;=設定!$C$44,ROUND(FLOOR(($M1460-IFERROR(INDEX(設定!$G$6:$G$21,MATCH($G1460,設定!$B$6:$B$21,0)),0))*60,設定!$C$45)/60,2),0))</f>
        <v/>
      </c>
      <c r="R1460" s="16">
        <f>IF(OR($C1460="",$Q1460=0),"",IF($G1460="國","國定假日",IF($B1460="日","例假",IF($B1460="六","休息日","平日"))))</f>
        <v/>
      </c>
      <c r="S1460" s="19" t="n"/>
    </row>
    <row r="1461">
      <c r="A1461" s="82">
        <f>IF(OR(助理班表!$A52="",2&gt;DAY(EOMONTH(DATE(設定!$C$2,設定!$D$2,1),0))),"",DATE(設定!$C$2,設定!$D$2,2))</f>
        <v/>
      </c>
      <c r="B1461" s="16">
        <f>IF($A1461="","",INDEX(設定!$O$6:$O$12,WEEKDAY($A1461,1)))</f>
        <v/>
      </c>
      <c r="C1461" s="16">
        <f>IF($A1461="","",助理班表!$A52)</f>
        <v/>
      </c>
      <c r="D1461" s="16">
        <f>IF($C1461="","",助理班表!$B52)</f>
        <v/>
      </c>
      <c r="E1461" s="16">
        <f>IF($C1461="","",助理班表!$D52)</f>
        <v/>
      </c>
      <c r="F1461" s="16">
        <f>IF($C1461="","",助理班表!$C52)</f>
        <v/>
      </c>
      <c r="G1461" s="16">
        <f>IF($C1461="","",助理班表!F52)</f>
        <v/>
      </c>
      <c r="H1461" s="83">
        <f>IF($G1461="","",IFERROR(IF(INDEX(設定!$D$6:$D$21,MATCH($G1461,設定!$B$6:$B$21,0))=0,"",INDEX(設定!$D$6:$D$21,MATCH($G1461,設定!$B$6:$B$21,0))),""))</f>
        <v/>
      </c>
      <c r="I1461" s="83">
        <f>IF($G1461="","",IFERROR(IF(INDEX(設定!$E$6:$E$21,MATCH($G1461,設定!$B$6:$B$21,0))=0,"",INDEX(設定!$E$6:$E$21,MATCH($G1461,設定!$B$6:$B$21,0))),""))</f>
        <v/>
      </c>
      <c r="J1461" s="83">
        <f>IFERROR(INDEX(打卡匯入!$C$3:$C$2002,MATCH($C1461&amp;"|"&amp;DAY($A1461),打卡匯入!$E$3:$E$2002,0)),"")</f>
        <v/>
      </c>
      <c r="K1461" s="83">
        <f>IFERROR(INDEX(打卡匯入!$D$3:$D$2002,MATCH($C1461&amp;"|"&amp;DAY($A1461),打卡匯入!$E$3:$E$2002,0)),"")</f>
        <v/>
      </c>
      <c r="L1461" s="84">
        <f>IF(OR($J1461="",$K1461=""),"",IFERROR(INDEX(設定!$F$6:$F$21,MATCH($G1461,設定!$B$6:$B$21,0)),0))</f>
        <v/>
      </c>
      <c r="M1461" s="85">
        <f>IF(OR($J1461="",$K1461=""),"",ROUND(($K1461-$J1461)*24-$L1461/60,2))</f>
        <v/>
      </c>
      <c r="N1461" s="16">
        <f>IF($C1461="","",IF(AND(COUNTIF(設定!$B$15:$B$21,$G1461)&gt;0,$J1461&lt;&gt;""),"假日出勤",IF(AND(COUNTIF(設定!$B$6:$B$14,$G1461)&gt;0,$J1461=""),"未打卡",IF($J1461="","",IF($O1461&gt;0,"遲到",IF($P1461&gt;0,"早退","正常"))))))</f>
        <v/>
      </c>
      <c r="O1461" s="84">
        <f>IF(OR($C1461="",$H1461="",$J1461=""),0,IF(ROUND(($J1461-$H1461)*1440,0)&gt;設定!$C$46,ROUND(($J1461-$H1461)*1440,0),0))</f>
        <v/>
      </c>
      <c r="P1461" s="84">
        <f>IF(OR($C1461="",$I1461="",$K1461=""),0,IF(ROUND(($I1461-$K1461)*1440,0)&gt;設定!$C$46,ROUND(($I1461-$K1461)*1440,0),0))</f>
        <v/>
      </c>
      <c r="Q1461" s="85">
        <f>IF($M1461="",0,IF(($M1461-IFERROR(INDEX(設定!$G$6:$G$21,MATCH($G1461,設定!$B$6:$B$21,0)),0))*60&gt;=設定!$C$44,ROUND(FLOOR(($M1461-IFERROR(INDEX(設定!$G$6:$G$21,MATCH($G1461,設定!$B$6:$B$21,0)),0))*60,設定!$C$45)/60,2),0))</f>
        <v/>
      </c>
      <c r="R1461" s="16">
        <f>IF(OR($C1461="",$Q1461=0),"",IF($G1461="國","國定假日",IF($B1461="日","例假",IF($B1461="六","休息日","平日"))))</f>
        <v/>
      </c>
      <c r="S1461" s="19" t="n"/>
    </row>
    <row r="1462">
      <c r="A1462" s="82">
        <f>IF(OR(助理班表!$A52="",3&gt;DAY(EOMONTH(DATE(設定!$C$2,設定!$D$2,1),0))),"",DATE(設定!$C$2,設定!$D$2,3))</f>
        <v/>
      </c>
      <c r="B1462" s="16">
        <f>IF($A1462="","",INDEX(設定!$O$6:$O$12,WEEKDAY($A1462,1)))</f>
        <v/>
      </c>
      <c r="C1462" s="16">
        <f>IF($A1462="","",助理班表!$A52)</f>
        <v/>
      </c>
      <c r="D1462" s="16">
        <f>IF($C1462="","",助理班表!$B52)</f>
        <v/>
      </c>
      <c r="E1462" s="16">
        <f>IF($C1462="","",助理班表!$D52)</f>
        <v/>
      </c>
      <c r="F1462" s="16">
        <f>IF($C1462="","",助理班表!$C52)</f>
        <v/>
      </c>
      <c r="G1462" s="16">
        <f>IF($C1462="","",助理班表!G52)</f>
        <v/>
      </c>
      <c r="H1462" s="83">
        <f>IF($G1462="","",IFERROR(IF(INDEX(設定!$D$6:$D$21,MATCH($G1462,設定!$B$6:$B$21,0))=0,"",INDEX(設定!$D$6:$D$21,MATCH($G1462,設定!$B$6:$B$21,0))),""))</f>
        <v/>
      </c>
      <c r="I1462" s="83">
        <f>IF($G1462="","",IFERROR(IF(INDEX(設定!$E$6:$E$21,MATCH($G1462,設定!$B$6:$B$21,0))=0,"",INDEX(設定!$E$6:$E$21,MATCH($G1462,設定!$B$6:$B$21,0))),""))</f>
        <v/>
      </c>
      <c r="J1462" s="83">
        <f>IFERROR(INDEX(打卡匯入!$C$3:$C$2002,MATCH($C1462&amp;"|"&amp;DAY($A1462),打卡匯入!$E$3:$E$2002,0)),"")</f>
        <v/>
      </c>
      <c r="K1462" s="83">
        <f>IFERROR(INDEX(打卡匯入!$D$3:$D$2002,MATCH($C1462&amp;"|"&amp;DAY($A1462),打卡匯入!$E$3:$E$2002,0)),"")</f>
        <v/>
      </c>
      <c r="L1462" s="84">
        <f>IF(OR($J1462="",$K1462=""),"",IFERROR(INDEX(設定!$F$6:$F$21,MATCH($G1462,設定!$B$6:$B$21,0)),0))</f>
        <v/>
      </c>
      <c r="M1462" s="85">
        <f>IF(OR($J1462="",$K1462=""),"",ROUND(($K1462-$J1462)*24-$L1462/60,2))</f>
        <v/>
      </c>
      <c r="N1462" s="16">
        <f>IF($C1462="","",IF(AND(COUNTIF(設定!$B$15:$B$21,$G1462)&gt;0,$J1462&lt;&gt;""),"假日出勤",IF(AND(COUNTIF(設定!$B$6:$B$14,$G1462)&gt;0,$J1462=""),"未打卡",IF($J1462="","",IF($O1462&gt;0,"遲到",IF($P1462&gt;0,"早退","正常"))))))</f>
        <v/>
      </c>
      <c r="O1462" s="84">
        <f>IF(OR($C1462="",$H1462="",$J1462=""),0,IF(ROUND(($J1462-$H1462)*1440,0)&gt;設定!$C$46,ROUND(($J1462-$H1462)*1440,0),0))</f>
        <v/>
      </c>
      <c r="P1462" s="84">
        <f>IF(OR($C1462="",$I1462="",$K1462=""),0,IF(ROUND(($I1462-$K1462)*1440,0)&gt;設定!$C$46,ROUND(($I1462-$K1462)*1440,0),0))</f>
        <v/>
      </c>
      <c r="Q1462" s="85">
        <f>IF($M1462="",0,IF(($M1462-IFERROR(INDEX(設定!$G$6:$G$21,MATCH($G1462,設定!$B$6:$B$21,0)),0))*60&gt;=設定!$C$44,ROUND(FLOOR(($M1462-IFERROR(INDEX(設定!$G$6:$G$21,MATCH($G1462,設定!$B$6:$B$21,0)),0))*60,設定!$C$45)/60,2),0))</f>
        <v/>
      </c>
      <c r="R1462" s="16">
        <f>IF(OR($C1462="",$Q1462=0),"",IF($G1462="國","國定假日",IF($B1462="日","例假",IF($B1462="六","休息日","平日"))))</f>
        <v/>
      </c>
      <c r="S1462" s="19" t="n"/>
    </row>
    <row r="1463">
      <c r="A1463" s="82">
        <f>IF(OR(助理班表!$A52="",4&gt;DAY(EOMONTH(DATE(設定!$C$2,設定!$D$2,1),0))),"",DATE(設定!$C$2,設定!$D$2,4))</f>
        <v/>
      </c>
      <c r="B1463" s="16">
        <f>IF($A1463="","",INDEX(設定!$O$6:$O$12,WEEKDAY($A1463,1)))</f>
        <v/>
      </c>
      <c r="C1463" s="16">
        <f>IF($A1463="","",助理班表!$A52)</f>
        <v/>
      </c>
      <c r="D1463" s="16">
        <f>IF($C1463="","",助理班表!$B52)</f>
        <v/>
      </c>
      <c r="E1463" s="16">
        <f>IF($C1463="","",助理班表!$D52)</f>
        <v/>
      </c>
      <c r="F1463" s="16">
        <f>IF($C1463="","",助理班表!$C52)</f>
        <v/>
      </c>
      <c r="G1463" s="16">
        <f>IF($C1463="","",助理班表!H52)</f>
        <v/>
      </c>
      <c r="H1463" s="83">
        <f>IF($G1463="","",IFERROR(IF(INDEX(設定!$D$6:$D$21,MATCH($G1463,設定!$B$6:$B$21,0))=0,"",INDEX(設定!$D$6:$D$21,MATCH($G1463,設定!$B$6:$B$21,0))),""))</f>
        <v/>
      </c>
      <c r="I1463" s="83">
        <f>IF($G1463="","",IFERROR(IF(INDEX(設定!$E$6:$E$21,MATCH($G1463,設定!$B$6:$B$21,0))=0,"",INDEX(設定!$E$6:$E$21,MATCH($G1463,設定!$B$6:$B$21,0))),""))</f>
        <v/>
      </c>
      <c r="J1463" s="83">
        <f>IFERROR(INDEX(打卡匯入!$C$3:$C$2002,MATCH($C1463&amp;"|"&amp;DAY($A1463),打卡匯入!$E$3:$E$2002,0)),"")</f>
        <v/>
      </c>
      <c r="K1463" s="83">
        <f>IFERROR(INDEX(打卡匯入!$D$3:$D$2002,MATCH($C1463&amp;"|"&amp;DAY($A1463),打卡匯入!$E$3:$E$2002,0)),"")</f>
        <v/>
      </c>
      <c r="L1463" s="84">
        <f>IF(OR($J1463="",$K1463=""),"",IFERROR(INDEX(設定!$F$6:$F$21,MATCH($G1463,設定!$B$6:$B$21,0)),0))</f>
        <v/>
      </c>
      <c r="M1463" s="85">
        <f>IF(OR($J1463="",$K1463=""),"",ROUND(($K1463-$J1463)*24-$L1463/60,2))</f>
        <v/>
      </c>
      <c r="N1463" s="16">
        <f>IF($C1463="","",IF(AND(COUNTIF(設定!$B$15:$B$21,$G1463)&gt;0,$J1463&lt;&gt;""),"假日出勤",IF(AND(COUNTIF(設定!$B$6:$B$14,$G1463)&gt;0,$J1463=""),"未打卡",IF($J1463="","",IF($O1463&gt;0,"遲到",IF($P1463&gt;0,"早退","正常"))))))</f>
        <v/>
      </c>
      <c r="O1463" s="84">
        <f>IF(OR($C1463="",$H1463="",$J1463=""),0,IF(ROUND(($J1463-$H1463)*1440,0)&gt;設定!$C$46,ROUND(($J1463-$H1463)*1440,0),0))</f>
        <v/>
      </c>
      <c r="P1463" s="84">
        <f>IF(OR($C1463="",$I1463="",$K1463=""),0,IF(ROUND(($I1463-$K1463)*1440,0)&gt;設定!$C$46,ROUND(($I1463-$K1463)*1440,0),0))</f>
        <v/>
      </c>
      <c r="Q1463" s="85">
        <f>IF($M1463="",0,IF(($M1463-IFERROR(INDEX(設定!$G$6:$G$21,MATCH($G1463,設定!$B$6:$B$21,0)),0))*60&gt;=設定!$C$44,ROUND(FLOOR(($M1463-IFERROR(INDEX(設定!$G$6:$G$21,MATCH($G1463,設定!$B$6:$B$21,0)),0))*60,設定!$C$45)/60,2),0))</f>
        <v/>
      </c>
      <c r="R1463" s="16">
        <f>IF(OR($C1463="",$Q1463=0),"",IF($G1463="國","國定假日",IF($B1463="日","例假",IF($B1463="六","休息日","平日"))))</f>
        <v/>
      </c>
      <c r="S1463" s="19" t="n"/>
    </row>
    <row r="1464">
      <c r="A1464" s="82">
        <f>IF(OR(助理班表!$A52="",5&gt;DAY(EOMONTH(DATE(設定!$C$2,設定!$D$2,1),0))),"",DATE(設定!$C$2,設定!$D$2,5))</f>
        <v/>
      </c>
      <c r="B1464" s="16">
        <f>IF($A1464="","",INDEX(設定!$O$6:$O$12,WEEKDAY($A1464,1)))</f>
        <v/>
      </c>
      <c r="C1464" s="16">
        <f>IF($A1464="","",助理班表!$A52)</f>
        <v/>
      </c>
      <c r="D1464" s="16">
        <f>IF($C1464="","",助理班表!$B52)</f>
        <v/>
      </c>
      <c r="E1464" s="16">
        <f>IF($C1464="","",助理班表!$D52)</f>
        <v/>
      </c>
      <c r="F1464" s="16">
        <f>IF($C1464="","",助理班表!$C52)</f>
        <v/>
      </c>
      <c r="G1464" s="16">
        <f>IF($C1464="","",助理班表!I52)</f>
        <v/>
      </c>
      <c r="H1464" s="83">
        <f>IF($G1464="","",IFERROR(IF(INDEX(設定!$D$6:$D$21,MATCH($G1464,設定!$B$6:$B$21,0))=0,"",INDEX(設定!$D$6:$D$21,MATCH($G1464,設定!$B$6:$B$21,0))),""))</f>
        <v/>
      </c>
      <c r="I1464" s="83">
        <f>IF($G1464="","",IFERROR(IF(INDEX(設定!$E$6:$E$21,MATCH($G1464,設定!$B$6:$B$21,0))=0,"",INDEX(設定!$E$6:$E$21,MATCH($G1464,設定!$B$6:$B$21,0))),""))</f>
        <v/>
      </c>
      <c r="J1464" s="83">
        <f>IFERROR(INDEX(打卡匯入!$C$3:$C$2002,MATCH($C1464&amp;"|"&amp;DAY($A1464),打卡匯入!$E$3:$E$2002,0)),"")</f>
        <v/>
      </c>
      <c r="K1464" s="83">
        <f>IFERROR(INDEX(打卡匯入!$D$3:$D$2002,MATCH($C1464&amp;"|"&amp;DAY($A1464),打卡匯入!$E$3:$E$2002,0)),"")</f>
        <v/>
      </c>
      <c r="L1464" s="84">
        <f>IF(OR($J1464="",$K1464=""),"",IFERROR(INDEX(設定!$F$6:$F$21,MATCH($G1464,設定!$B$6:$B$21,0)),0))</f>
        <v/>
      </c>
      <c r="M1464" s="85">
        <f>IF(OR($J1464="",$K1464=""),"",ROUND(($K1464-$J1464)*24-$L1464/60,2))</f>
        <v/>
      </c>
      <c r="N1464" s="16">
        <f>IF($C1464="","",IF(AND(COUNTIF(設定!$B$15:$B$21,$G1464)&gt;0,$J1464&lt;&gt;""),"假日出勤",IF(AND(COUNTIF(設定!$B$6:$B$14,$G1464)&gt;0,$J1464=""),"未打卡",IF($J1464="","",IF($O1464&gt;0,"遲到",IF($P1464&gt;0,"早退","正常"))))))</f>
        <v/>
      </c>
      <c r="O1464" s="84">
        <f>IF(OR($C1464="",$H1464="",$J1464=""),0,IF(ROUND(($J1464-$H1464)*1440,0)&gt;設定!$C$46,ROUND(($J1464-$H1464)*1440,0),0))</f>
        <v/>
      </c>
      <c r="P1464" s="84">
        <f>IF(OR($C1464="",$I1464="",$K1464=""),0,IF(ROUND(($I1464-$K1464)*1440,0)&gt;設定!$C$46,ROUND(($I1464-$K1464)*1440,0),0))</f>
        <v/>
      </c>
      <c r="Q1464" s="85">
        <f>IF($M1464="",0,IF(($M1464-IFERROR(INDEX(設定!$G$6:$G$21,MATCH($G1464,設定!$B$6:$B$21,0)),0))*60&gt;=設定!$C$44,ROUND(FLOOR(($M1464-IFERROR(INDEX(設定!$G$6:$G$21,MATCH($G1464,設定!$B$6:$B$21,0)),0))*60,設定!$C$45)/60,2),0))</f>
        <v/>
      </c>
      <c r="R1464" s="16">
        <f>IF(OR($C1464="",$Q1464=0),"",IF($G1464="國","國定假日",IF($B1464="日","例假",IF($B1464="六","休息日","平日"))))</f>
        <v/>
      </c>
      <c r="S1464" s="19" t="n"/>
    </row>
    <row r="1465">
      <c r="A1465" s="82">
        <f>IF(OR(助理班表!$A52="",6&gt;DAY(EOMONTH(DATE(設定!$C$2,設定!$D$2,1),0))),"",DATE(設定!$C$2,設定!$D$2,6))</f>
        <v/>
      </c>
      <c r="B1465" s="16">
        <f>IF($A1465="","",INDEX(設定!$O$6:$O$12,WEEKDAY($A1465,1)))</f>
        <v/>
      </c>
      <c r="C1465" s="16">
        <f>IF($A1465="","",助理班表!$A52)</f>
        <v/>
      </c>
      <c r="D1465" s="16">
        <f>IF($C1465="","",助理班表!$B52)</f>
        <v/>
      </c>
      <c r="E1465" s="16">
        <f>IF($C1465="","",助理班表!$D52)</f>
        <v/>
      </c>
      <c r="F1465" s="16">
        <f>IF($C1465="","",助理班表!$C52)</f>
        <v/>
      </c>
      <c r="G1465" s="16">
        <f>IF($C1465="","",助理班表!J52)</f>
        <v/>
      </c>
      <c r="H1465" s="83">
        <f>IF($G1465="","",IFERROR(IF(INDEX(設定!$D$6:$D$21,MATCH($G1465,設定!$B$6:$B$21,0))=0,"",INDEX(設定!$D$6:$D$21,MATCH($G1465,設定!$B$6:$B$21,0))),""))</f>
        <v/>
      </c>
      <c r="I1465" s="83">
        <f>IF($G1465="","",IFERROR(IF(INDEX(設定!$E$6:$E$21,MATCH($G1465,設定!$B$6:$B$21,0))=0,"",INDEX(設定!$E$6:$E$21,MATCH($G1465,設定!$B$6:$B$21,0))),""))</f>
        <v/>
      </c>
      <c r="J1465" s="83">
        <f>IFERROR(INDEX(打卡匯入!$C$3:$C$2002,MATCH($C1465&amp;"|"&amp;DAY($A1465),打卡匯入!$E$3:$E$2002,0)),"")</f>
        <v/>
      </c>
      <c r="K1465" s="83">
        <f>IFERROR(INDEX(打卡匯入!$D$3:$D$2002,MATCH($C1465&amp;"|"&amp;DAY($A1465),打卡匯入!$E$3:$E$2002,0)),"")</f>
        <v/>
      </c>
      <c r="L1465" s="84">
        <f>IF(OR($J1465="",$K1465=""),"",IFERROR(INDEX(設定!$F$6:$F$21,MATCH($G1465,設定!$B$6:$B$21,0)),0))</f>
        <v/>
      </c>
      <c r="M1465" s="85">
        <f>IF(OR($J1465="",$K1465=""),"",ROUND(($K1465-$J1465)*24-$L1465/60,2))</f>
        <v/>
      </c>
      <c r="N1465" s="16">
        <f>IF($C1465="","",IF(AND(COUNTIF(設定!$B$15:$B$21,$G1465)&gt;0,$J1465&lt;&gt;""),"假日出勤",IF(AND(COUNTIF(設定!$B$6:$B$14,$G1465)&gt;0,$J1465=""),"未打卡",IF($J1465="","",IF($O1465&gt;0,"遲到",IF($P1465&gt;0,"早退","正常"))))))</f>
        <v/>
      </c>
      <c r="O1465" s="84">
        <f>IF(OR($C1465="",$H1465="",$J1465=""),0,IF(ROUND(($J1465-$H1465)*1440,0)&gt;設定!$C$46,ROUND(($J1465-$H1465)*1440,0),0))</f>
        <v/>
      </c>
      <c r="P1465" s="84">
        <f>IF(OR($C1465="",$I1465="",$K1465=""),0,IF(ROUND(($I1465-$K1465)*1440,0)&gt;設定!$C$46,ROUND(($I1465-$K1465)*1440,0),0))</f>
        <v/>
      </c>
      <c r="Q1465" s="85">
        <f>IF($M1465="",0,IF(($M1465-IFERROR(INDEX(設定!$G$6:$G$21,MATCH($G1465,設定!$B$6:$B$21,0)),0))*60&gt;=設定!$C$44,ROUND(FLOOR(($M1465-IFERROR(INDEX(設定!$G$6:$G$21,MATCH($G1465,設定!$B$6:$B$21,0)),0))*60,設定!$C$45)/60,2),0))</f>
        <v/>
      </c>
      <c r="R1465" s="16">
        <f>IF(OR($C1465="",$Q1465=0),"",IF($G1465="國","國定假日",IF($B1465="日","例假",IF($B1465="六","休息日","平日"))))</f>
        <v/>
      </c>
      <c r="S1465" s="19" t="n"/>
    </row>
    <row r="1466">
      <c r="A1466" s="82">
        <f>IF(OR(助理班表!$A52="",7&gt;DAY(EOMONTH(DATE(設定!$C$2,設定!$D$2,1),0))),"",DATE(設定!$C$2,設定!$D$2,7))</f>
        <v/>
      </c>
      <c r="B1466" s="16">
        <f>IF($A1466="","",INDEX(設定!$O$6:$O$12,WEEKDAY($A1466,1)))</f>
        <v/>
      </c>
      <c r="C1466" s="16">
        <f>IF($A1466="","",助理班表!$A52)</f>
        <v/>
      </c>
      <c r="D1466" s="16">
        <f>IF($C1466="","",助理班表!$B52)</f>
        <v/>
      </c>
      <c r="E1466" s="16">
        <f>IF($C1466="","",助理班表!$D52)</f>
        <v/>
      </c>
      <c r="F1466" s="16">
        <f>IF($C1466="","",助理班表!$C52)</f>
        <v/>
      </c>
      <c r="G1466" s="16">
        <f>IF($C1466="","",助理班表!K52)</f>
        <v/>
      </c>
      <c r="H1466" s="83">
        <f>IF($G1466="","",IFERROR(IF(INDEX(設定!$D$6:$D$21,MATCH($G1466,設定!$B$6:$B$21,0))=0,"",INDEX(設定!$D$6:$D$21,MATCH($G1466,設定!$B$6:$B$21,0))),""))</f>
        <v/>
      </c>
      <c r="I1466" s="83">
        <f>IF($G1466="","",IFERROR(IF(INDEX(設定!$E$6:$E$21,MATCH($G1466,設定!$B$6:$B$21,0))=0,"",INDEX(設定!$E$6:$E$21,MATCH($G1466,設定!$B$6:$B$21,0))),""))</f>
        <v/>
      </c>
      <c r="J1466" s="83">
        <f>IFERROR(INDEX(打卡匯入!$C$3:$C$2002,MATCH($C1466&amp;"|"&amp;DAY($A1466),打卡匯入!$E$3:$E$2002,0)),"")</f>
        <v/>
      </c>
      <c r="K1466" s="83">
        <f>IFERROR(INDEX(打卡匯入!$D$3:$D$2002,MATCH($C1466&amp;"|"&amp;DAY($A1466),打卡匯入!$E$3:$E$2002,0)),"")</f>
        <v/>
      </c>
      <c r="L1466" s="84">
        <f>IF(OR($J1466="",$K1466=""),"",IFERROR(INDEX(設定!$F$6:$F$21,MATCH($G1466,設定!$B$6:$B$21,0)),0))</f>
        <v/>
      </c>
      <c r="M1466" s="85">
        <f>IF(OR($J1466="",$K1466=""),"",ROUND(($K1466-$J1466)*24-$L1466/60,2))</f>
        <v/>
      </c>
      <c r="N1466" s="16">
        <f>IF($C1466="","",IF(AND(COUNTIF(設定!$B$15:$B$21,$G1466)&gt;0,$J1466&lt;&gt;""),"假日出勤",IF(AND(COUNTIF(設定!$B$6:$B$14,$G1466)&gt;0,$J1466=""),"未打卡",IF($J1466="","",IF($O1466&gt;0,"遲到",IF($P1466&gt;0,"早退","正常"))))))</f>
        <v/>
      </c>
      <c r="O1466" s="84">
        <f>IF(OR($C1466="",$H1466="",$J1466=""),0,IF(ROUND(($J1466-$H1466)*1440,0)&gt;設定!$C$46,ROUND(($J1466-$H1466)*1440,0),0))</f>
        <v/>
      </c>
      <c r="P1466" s="84">
        <f>IF(OR($C1466="",$I1466="",$K1466=""),0,IF(ROUND(($I1466-$K1466)*1440,0)&gt;設定!$C$46,ROUND(($I1466-$K1466)*1440,0),0))</f>
        <v/>
      </c>
      <c r="Q1466" s="85">
        <f>IF($M1466="",0,IF(($M1466-IFERROR(INDEX(設定!$G$6:$G$21,MATCH($G1466,設定!$B$6:$B$21,0)),0))*60&gt;=設定!$C$44,ROUND(FLOOR(($M1466-IFERROR(INDEX(設定!$G$6:$G$21,MATCH($G1466,設定!$B$6:$B$21,0)),0))*60,設定!$C$45)/60,2),0))</f>
        <v/>
      </c>
      <c r="R1466" s="16">
        <f>IF(OR($C1466="",$Q1466=0),"",IF($G1466="國","國定假日",IF($B1466="日","例假",IF($B1466="六","休息日","平日"))))</f>
        <v/>
      </c>
      <c r="S1466" s="19" t="n"/>
    </row>
    <row r="1467">
      <c r="A1467" s="82">
        <f>IF(OR(助理班表!$A52="",8&gt;DAY(EOMONTH(DATE(設定!$C$2,設定!$D$2,1),0))),"",DATE(設定!$C$2,設定!$D$2,8))</f>
        <v/>
      </c>
      <c r="B1467" s="16">
        <f>IF($A1467="","",INDEX(設定!$O$6:$O$12,WEEKDAY($A1467,1)))</f>
        <v/>
      </c>
      <c r="C1467" s="16">
        <f>IF($A1467="","",助理班表!$A52)</f>
        <v/>
      </c>
      <c r="D1467" s="16">
        <f>IF($C1467="","",助理班表!$B52)</f>
        <v/>
      </c>
      <c r="E1467" s="16">
        <f>IF($C1467="","",助理班表!$D52)</f>
        <v/>
      </c>
      <c r="F1467" s="16">
        <f>IF($C1467="","",助理班表!$C52)</f>
        <v/>
      </c>
      <c r="G1467" s="16">
        <f>IF($C1467="","",助理班表!L52)</f>
        <v/>
      </c>
      <c r="H1467" s="83">
        <f>IF($G1467="","",IFERROR(IF(INDEX(設定!$D$6:$D$21,MATCH($G1467,設定!$B$6:$B$21,0))=0,"",INDEX(設定!$D$6:$D$21,MATCH($G1467,設定!$B$6:$B$21,0))),""))</f>
        <v/>
      </c>
      <c r="I1467" s="83">
        <f>IF($G1467="","",IFERROR(IF(INDEX(設定!$E$6:$E$21,MATCH($G1467,設定!$B$6:$B$21,0))=0,"",INDEX(設定!$E$6:$E$21,MATCH($G1467,設定!$B$6:$B$21,0))),""))</f>
        <v/>
      </c>
      <c r="J1467" s="83">
        <f>IFERROR(INDEX(打卡匯入!$C$3:$C$2002,MATCH($C1467&amp;"|"&amp;DAY($A1467),打卡匯入!$E$3:$E$2002,0)),"")</f>
        <v/>
      </c>
      <c r="K1467" s="83">
        <f>IFERROR(INDEX(打卡匯入!$D$3:$D$2002,MATCH($C1467&amp;"|"&amp;DAY($A1467),打卡匯入!$E$3:$E$2002,0)),"")</f>
        <v/>
      </c>
      <c r="L1467" s="84">
        <f>IF(OR($J1467="",$K1467=""),"",IFERROR(INDEX(設定!$F$6:$F$21,MATCH($G1467,設定!$B$6:$B$21,0)),0))</f>
        <v/>
      </c>
      <c r="M1467" s="85">
        <f>IF(OR($J1467="",$K1467=""),"",ROUND(($K1467-$J1467)*24-$L1467/60,2))</f>
        <v/>
      </c>
      <c r="N1467" s="16">
        <f>IF($C1467="","",IF(AND(COUNTIF(設定!$B$15:$B$21,$G1467)&gt;0,$J1467&lt;&gt;""),"假日出勤",IF(AND(COUNTIF(設定!$B$6:$B$14,$G1467)&gt;0,$J1467=""),"未打卡",IF($J1467="","",IF($O1467&gt;0,"遲到",IF($P1467&gt;0,"早退","正常"))))))</f>
        <v/>
      </c>
      <c r="O1467" s="84">
        <f>IF(OR($C1467="",$H1467="",$J1467=""),0,IF(ROUND(($J1467-$H1467)*1440,0)&gt;設定!$C$46,ROUND(($J1467-$H1467)*1440,0),0))</f>
        <v/>
      </c>
      <c r="P1467" s="84">
        <f>IF(OR($C1467="",$I1467="",$K1467=""),0,IF(ROUND(($I1467-$K1467)*1440,0)&gt;設定!$C$46,ROUND(($I1467-$K1467)*1440,0),0))</f>
        <v/>
      </c>
      <c r="Q1467" s="85">
        <f>IF($M1467="",0,IF(($M1467-IFERROR(INDEX(設定!$G$6:$G$21,MATCH($G1467,設定!$B$6:$B$21,0)),0))*60&gt;=設定!$C$44,ROUND(FLOOR(($M1467-IFERROR(INDEX(設定!$G$6:$G$21,MATCH($G1467,設定!$B$6:$B$21,0)),0))*60,設定!$C$45)/60,2),0))</f>
        <v/>
      </c>
      <c r="R1467" s="16">
        <f>IF(OR($C1467="",$Q1467=0),"",IF($G1467="國","國定假日",IF($B1467="日","例假",IF($B1467="六","休息日","平日"))))</f>
        <v/>
      </c>
      <c r="S1467" s="19" t="n"/>
    </row>
    <row r="1468">
      <c r="A1468" s="82">
        <f>IF(OR(助理班表!$A52="",9&gt;DAY(EOMONTH(DATE(設定!$C$2,設定!$D$2,1),0))),"",DATE(設定!$C$2,設定!$D$2,9))</f>
        <v/>
      </c>
      <c r="B1468" s="16">
        <f>IF($A1468="","",INDEX(設定!$O$6:$O$12,WEEKDAY($A1468,1)))</f>
        <v/>
      </c>
      <c r="C1468" s="16">
        <f>IF($A1468="","",助理班表!$A52)</f>
        <v/>
      </c>
      <c r="D1468" s="16">
        <f>IF($C1468="","",助理班表!$B52)</f>
        <v/>
      </c>
      <c r="E1468" s="16">
        <f>IF($C1468="","",助理班表!$D52)</f>
        <v/>
      </c>
      <c r="F1468" s="16">
        <f>IF($C1468="","",助理班表!$C52)</f>
        <v/>
      </c>
      <c r="G1468" s="16">
        <f>IF($C1468="","",助理班表!M52)</f>
        <v/>
      </c>
      <c r="H1468" s="83">
        <f>IF($G1468="","",IFERROR(IF(INDEX(設定!$D$6:$D$21,MATCH($G1468,設定!$B$6:$B$21,0))=0,"",INDEX(設定!$D$6:$D$21,MATCH($G1468,設定!$B$6:$B$21,0))),""))</f>
        <v/>
      </c>
      <c r="I1468" s="83">
        <f>IF($G1468="","",IFERROR(IF(INDEX(設定!$E$6:$E$21,MATCH($G1468,設定!$B$6:$B$21,0))=0,"",INDEX(設定!$E$6:$E$21,MATCH($G1468,設定!$B$6:$B$21,0))),""))</f>
        <v/>
      </c>
      <c r="J1468" s="83">
        <f>IFERROR(INDEX(打卡匯入!$C$3:$C$2002,MATCH($C1468&amp;"|"&amp;DAY($A1468),打卡匯入!$E$3:$E$2002,0)),"")</f>
        <v/>
      </c>
      <c r="K1468" s="83">
        <f>IFERROR(INDEX(打卡匯入!$D$3:$D$2002,MATCH($C1468&amp;"|"&amp;DAY($A1468),打卡匯入!$E$3:$E$2002,0)),"")</f>
        <v/>
      </c>
      <c r="L1468" s="84">
        <f>IF(OR($J1468="",$K1468=""),"",IFERROR(INDEX(設定!$F$6:$F$21,MATCH($G1468,設定!$B$6:$B$21,0)),0))</f>
        <v/>
      </c>
      <c r="M1468" s="85">
        <f>IF(OR($J1468="",$K1468=""),"",ROUND(($K1468-$J1468)*24-$L1468/60,2))</f>
        <v/>
      </c>
      <c r="N1468" s="16">
        <f>IF($C1468="","",IF(AND(COUNTIF(設定!$B$15:$B$21,$G1468)&gt;0,$J1468&lt;&gt;""),"假日出勤",IF(AND(COUNTIF(設定!$B$6:$B$14,$G1468)&gt;0,$J1468=""),"未打卡",IF($J1468="","",IF($O1468&gt;0,"遲到",IF($P1468&gt;0,"早退","正常"))))))</f>
        <v/>
      </c>
      <c r="O1468" s="84">
        <f>IF(OR($C1468="",$H1468="",$J1468=""),0,IF(ROUND(($J1468-$H1468)*1440,0)&gt;設定!$C$46,ROUND(($J1468-$H1468)*1440,0),0))</f>
        <v/>
      </c>
      <c r="P1468" s="84">
        <f>IF(OR($C1468="",$I1468="",$K1468=""),0,IF(ROUND(($I1468-$K1468)*1440,0)&gt;設定!$C$46,ROUND(($I1468-$K1468)*1440,0),0))</f>
        <v/>
      </c>
      <c r="Q1468" s="85">
        <f>IF($M1468="",0,IF(($M1468-IFERROR(INDEX(設定!$G$6:$G$21,MATCH($G1468,設定!$B$6:$B$21,0)),0))*60&gt;=設定!$C$44,ROUND(FLOOR(($M1468-IFERROR(INDEX(設定!$G$6:$G$21,MATCH($G1468,設定!$B$6:$B$21,0)),0))*60,設定!$C$45)/60,2),0))</f>
        <v/>
      </c>
      <c r="R1468" s="16">
        <f>IF(OR($C1468="",$Q1468=0),"",IF($G1468="國","國定假日",IF($B1468="日","例假",IF($B1468="六","休息日","平日"))))</f>
        <v/>
      </c>
      <c r="S1468" s="19" t="n"/>
    </row>
    <row r="1469">
      <c r="A1469" s="82">
        <f>IF(OR(助理班表!$A52="",10&gt;DAY(EOMONTH(DATE(設定!$C$2,設定!$D$2,1),0))),"",DATE(設定!$C$2,設定!$D$2,10))</f>
        <v/>
      </c>
      <c r="B1469" s="16">
        <f>IF($A1469="","",INDEX(設定!$O$6:$O$12,WEEKDAY($A1469,1)))</f>
        <v/>
      </c>
      <c r="C1469" s="16">
        <f>IF($A1469="","",助理班表!$A52)</f>
        <v/>
      </c>
      <c r="D1469" s="16">
        <f>IF($C1469="","",助理班表!$B52)</f>
        <v/>
      </c>
      <c r="E1469" s="16">
        <f>IF($C1469="","",助理班表!$D52)</f>
        <v/>
      </c>
      <c r="F1469" s="16">
        <f>IF($C1469="","",助理班表!$C52)</f>
        <v/>
      </c>
      <c r="G1469" s="16">
        <f>IF($C1469="","",助理班表!N52)</f>
        <v/>
      </c>
      <c r="H1469" s="83">
        <f>IF($G1469="","",IFERROR(IF(INDEX(設定!$D$6:$D$21,MATCH($G1469,設定!$B$6:$B$21,0))=0,"",INDEX(設定!$D$6:$D$21,MATCH($G1469,設定!$B$6:$B$21,0))),""))</f>
        <v/>
      </c>
      <c r="I1469" s="83">
        <f>IF($G1469="","",IFERROR(IF(INDEX(設定!$E$6:$E$21,MATCH($G1469,設定!$B$6:$B$21,0))=0,"",INDEX(設定!$E$6:$E$21,MATCH($G1469,設定!$B$6:$B$21,0))),""))</f>
        <v/>
      </c>
      <c r="J1469" s="83">
        <f>IFERROR(INDEX(打卡匯入!$C$3:$C$2002,MATCH($C1469&amp;"|"&amp;DAY($A1469),打卡匯入!$E$3:$E$2002,0)),"")</f>
        <v/>
      </c>
      <c r="K1469" s="83">
        <f>IFERROR(INDEX(打卡匯入!$D$3:$D$2002,MATCH($C1469&amp;"|"&amp;DAY($A1469),打卡匯入!$E$3:$E$2002,0)),"")</f>
        <v/>
      </c>
      <c r="L1469" s="84">
        <f>IF(OR($J1469="",$K1469=""),"",IFERROR(INDEX(設定!$F$6:$F$21,MATCH($G1469,設定!$B$6:$B$21,0)),0))</f>
        <v/>
      </c>
      <c r="M1469" s="85">
        <f>IF(OR($J1469="",$K1469=""),"",ROUND(($K1469-$J1469)*24-$L1469/60,2))</f>
        <v/>
      </c>
      <c r="N1469" s="16">
        <f>IF($C1469="","",IF(AND(COUNTIF(設定!$B$15:$B$21,$G1469)&gt;0,$J1469&lt;&gt;""),"假日出勤",IF(AND(COUNTIF(設定!$B$6:$B$14,$G1469)&gt;0,$J1469=""),"未打卡",IF($J1469="","",IF($O1469&gt;0,"遲到",IF($P1469&gt;0,"早退","正常"))))))</f>
        <v/>
      </c>
      <c r="O1469" s="84">
        <f>IF(OR($C1469="",$H1469="",$J1469=""),0,IF(ROUND(($J1469-$H1469)*1440,0)&gt;設定!$C$46,ROUND(($J1469-$H1469)*1440,0),0))</f>
        <v/>
      </c>
      <c r="P1469" s="84">
        <f>IF(OR($C1469="",$I1469="",$K1469=""),0,IF(ROUND(($I1469-$K1469)*1440,0)&gt;設定!$C$46,ROUND(($I1469-$K1469)*1440,0),0))</f>
        <v/>
      </c>
      <c r="Q1469" s="85">
        <f>IF($M1469="",0,IF(($M1469-IFERROR(INDEX(設定!$G$6:$G$21,MATCH($G1469,設定!$B$6:$B$21,0)),0))*60&gt;=設定!$C$44,ROUND(FLOOR(($M1469-IFERROR(INDEX(設定!$G$6:$G$21,MATCH($G1469,設定!$B$6:$B$21,0)),0))*60,設定!$C$45)/60,2),0))</f>
        <v/>
      </c>
      <c r="R1469" s="16">
        <f>IF(OR($C1469="",$Q1469=0),"",IF($G1469="國","國定假日",IF($B1469="日","例假",IF($B1469="六","休息日","平日"))))</f>
        <v/>
      </c>
      <c r="S1469" s="19" t="n"/>
    </row>
    <row r="1470">
      <c r="A1470" s="82">
        <f>IF(OR(助理班表!$A52="",11&gt;DAY(EOMONTH(DATE(設定!$C$2,設定!$D$2,1),0))),"",DATE(設定!$C$2,設定!$D$2,11))</f>
        <v/>
      </c>
      <c r="B1470" s="16">
        <f>IF($A1470="","",INDEX(設定!$O$6:$O$12,WEEKDAY($A1470,1)))</f>
        <v/>
      </c>
      <c r="C1470" s="16">
        <f>IF($A1470="","",助理班表!$A52)</f>
        <v/>
      </c>
      <c r="D1470" s="16">
        <f>IF($C1470="","",助理班表!$B52)</f>
        <v/>
      </c>
      <c r="E1470" s="16">
        <f>IF($C1470="","",助理班表!$D52)</f>
        <v/>
      </c>
      <c r="F1470" s="16">
        <f>IF($C1470="","",助理班表!$C52)</f>
        <v/>
      </c>
      <c r="G1470" s="16">
        <f>IF($C1470="","",助理班表!O52)</f>
        <v/>
      </c>
      <c r="H1470" s="83">
        <f>IF($G1470="","",IFERROR(IF(INDEX(設定!$D$6:$D$21,MATCH($G1470,設定!$B$6:$B$21,0))=0,"",INDEX(設定!$D$6:$D$21,MATCH($G1470,設定!$B$6:$B$21,0))),""))</f>
        <v/>
      </c>
      <c r="I1470" s="83">
        <f>IF($G1470="","",IFERROR(IF(INDEX(設定!$E$6:$E$21,MATCH($G1470,設定!$B$6:$B$21,0))=0,"",INDEX(設定!$E$6:$E$21,MATCH($G1470,設定!$B$6:$B$21,0))),""))</f>
        <v/>
      </c>
      <c r="J1470" s="83">
        <f>IFERROR(INDEX(打卡匯入!$C$3:$C$2002,MATCH($C1470&amp;"|"&amp;DAY($A1470),打卡匯入!$E$3:$E$2002,0)),"")</f>
        <v/>
      </c>
      <c r="K1470" s="83">
        <f>IFERROR(INDEX(打卡匯入!$D$3:$D$2002,MATCH($C1470&amp;"|"&amp;DAY($A1470),打卡匯入!$E$3:$E$2002,0)),"")</f>
        <v/>
      </c>
      <c r="L1470" s="84">
        <f>IF(OR($J1470="",$K1470=""),"",IFERROR(INDEX(設定!$F$6:$F$21,MATCH($G1470,設定!$B$6:$B$21,0)),0))</f>
        <v/>
      </c>
      <c r="M1470" s="85">
        <f>IF(OR($J1470="",$K1470=""),"",ROUND(($K1470-$J1470)*24-$L1470/60,2))</f>
        <v/>
      </c>
      <c r="N1470" s="16">
        <f>IF($C1470="","",IF(AND(COUNTIF(設定!$B$15:$B$21,$G1470)&gt;0,$J1470&lt;&gt;""),"假日出勤",IF(AND(COUNTIF(設定!$B$6:$B$14,$G1470)&gt;0,$J1470=""),"未打卡",IF($J1470="","",IF($O1470&gt;0,"遲到",IF($P1470&gt;0,"早退","正常"))))))</f>
        <v/>
      </c>
      <c r="O1470" s="84">
        <f>IF(OR($C1470="",$H1470="",$J1470=""),0,IF(ROUND(($J1470-$H1470)*1440,0)&gt;設定!$C$46,ROUND(($J1470-$H1470)*1440,0),0))</f>
        <v/>
      </c>
      <c r="P1470" s="84">
        <f>IF(OR($C1470="",$I1470="",$K1470=""),0,IF(ROUND(($I1470-$K1470)*1440,0)&gt;設定!$C$46,ROUND(($I1470-$K1470)*1440,0),0))</f>
        <v/>
      </c>
      <c r="Q1470" s="85">
        <f>IF($M1470="",0,IF(($M1470-IFERROR(INDEX(設定!$G$6:$G$21,MATCH($G1470,設定!$B$6:$B$21,0)),0))*60&gt;=設定!$C$44,ROUND(FLOOR(($M1470-IFERROR(INDEX(設定!$G$6:$G$21,MATCH($G1470,設定!$B$6:$B$21,0)),0))*60,設定!$C$45)/60,2),0))</f>
        <v/>
      </c>
      <c r="R1470" s="16">
        <f>IF(OR($C1470="",$Q1470=0),"",IF($G1470="國","國定假日",IF($B1470="日","例假",IF($B1470="六","休息日","平日"))))</f>
        <v/>
      </c>
      <c r="S1470" s="19" t="n"/>
    </row>
    <row r="1471">
      <c r="A1471" s="82">
        <f>IF(OR(助理班表!$A52="",12&gt;DAY(EOMONTH(DATE(設定!$C$2,設定!$D$2,1),0))),"",DATE(設定!$C$2,設定!$D$2,12))</f>
        <v/>
      </c>
      <c r="B1471" s="16">
        <f>IF($A1471="","",INDEX(設定!$O$6:$O$12,WEEKDAY($A1471,1)))</f>
        <v/>
      </c>
      <c r="C1471" s="16">
        <f>IF($A1471="","",助理班表!$A52)</f>
        <v/>
      </c>
      <c r="D1471" s="16">
        <f>IF($C1471="","",助理班表!$B52)</f>
        <v/>
      </c>
      <c r="E1471" s="16">
        <f>IF($C1471="","",助理班表!$D52)</f>
        <v/>
      </c>
      <c r="F1471" s="16">
        <f>IF($C1471="","",助理班表!$C52)</f>
        <v/>
      </c>
      <c r="G1471" s="16">
        <f>IF($C1471="","",助理班表!P52)</f>
        <v/>
      </c>
      <c r="H1471" s="83">
        <f>IF($G1471="","",IFERROR(IF(INDEX(設定!$D$6:$D$21,MATCH($G1471,設定!$B$6:$B$21,0))=0,"",INDEX(設定!$D$6:$D$21,MATCH($G1471,設定!$B$6:$B$21,0))),""))</f>
        <v/>
      </c>
      <c r="I1471" s="83">
        <f>IF($G1471="","",IFERROR(IF(INDEX(設定!$E$6:$E$21,MATCH($G1471,設定!$B$6:$B$21,0))=0,"",INDEX(設定!$E$6:$E$21,MATCH($G1471,設定!$B$6:$B$21,0))),""))</f>
        <v/>
      </c>
      <c r="J1471" s="83">
        <f>IFERROR(INDEX(打卡匯入!$C$3:$C$2002,MATCH($C1471&amp;"|"&amp;DAY($A1471),打卡匯入!$E$3:$E$2002,0)),"")</f>
        <v/>
      </c>
      <c r="K1471" s="83">
        <f>IFERROR(INDEX(打卡匯入!$D$3:$D$2002,MATCH($C1471&amp;"|"&amp;DAY($A1471),打卡匯入!$E$3:$E$2002,0)),"")</f>
        <v/>
      </c>
      <c r="L1471" s="84">
        <f>IF(OR($J1471="",$K1471=""),"",IFERROR(INDEX(設定!$F$6:$F$21,MATCH($G1471,設定!$B$6:$B$21,0)),0))</f>
        <v/>
      </c>
      <c r="M1471" s="85">
        <f>IF(OR($J1471="",$K1471=""),"",ROUND(($K1471-$J1471)*24-$L1471/60,2))</f>
        <v/>
      </c>
      <c r="N1471" s="16">
        <f>IF($C1471="","",IF(AND(COUNTIF(設定!$B$15:$B$21,$G1471)&gt;0,$J1471&lt;&gt;""),"假日出勤",IF(AND(COUNTIF(設定!$B$6:$B$14,$G1471)&gt;0,$J1471=""),"未打卡",IF($J1471="","",IF($O1471&gt;0,"遲到",IF($P1471&gt;0,"早退","正常"))))))</f>
        <v/>
      </c>
      <c r="O1471" s="84">
        <f>IF(OR($C1471="",$H1471="",$J1471=""),0,IF(ROUND(($J1471-$H1471)*1440,0)&gt;設定!$C$46,ROUND(($J1471-$H1471)*1440,0),0))</f>
        <v/>
      </c>
      <c r="P1471" s="84">
        <f>IF(OR($C1471="",$I1471="",$K1471=""),0,IF(ROUND(($I1471-$K1471)*1440,0)&gt;設定!$C$46,ROUND(($I1471-$K1471)*1440,0),0))</f>
        <v/>
      </c>
      <c r="Q1471" s="85">
        <f>IF($M1471="",0,IF(($M1471-IFERROR(INDEX(設定!$G$6:$G$21,MATCH($G1471,設定!$B$6:$B$21,0)),0))*60&gt;=設定!$C$44,ROUND(FLOOR(($M1471-IFERROR(INDEX(設定!$G$6:$G$21,MATCH($G1471,設定!$B$6:$B$21,0)),0))*60,設定!$C$45)/60,2),0))</f>
        <v/>
      </c>
      <c r="R1471" s="16">
        <f>IF(OR($C1471="",$Q1471=0),"",IF($G1471="國","國定假日",IF($B1471="日","例假",IF($B1471="六","休息日","平日"))))</f>
        <v/>
      </c>
      <c r="S1471" s="19" t="n"/>
    </row>
    <row r="1472">
      <c r="A1472" s="82">
        <f>IF(OR(助理班表!$A52="",13&gt;DAY(EOMONTH(DATE(設定!$C$2,設定!$D$2,1),0))),"",DATE(設定!$C$2,設定!$D$2,13))</f>
        <v/>
      </c>
      <c r="B1472" s="16">
        <f>IF($A1472="","",INDEX(設定!$O$6:$O$12,WEEKDAY($A1472,1)))</f>
        <v/>
      </c>
      <c r="C1472" s="16">
        <f>IF($A1472="","",助理班表!$A52)</f>
        <v/>
      </c>
      <c r="D1472" s="16">
        <f>IF($C1472="","",助理班表!$B52)</f>
        <v/>
      </c>
      <c r="E1472" s="16">
        <f>IF($C1472="","",助理班表!$D52)</f>
        <v/>
      </c>
      <c r="F1472" s="16">
        <f>IF($C1472="","",助理班表!$C52)</f>
        <v/>
      </c>
      <c r="G1472" s="16">
        <f>IF($C1472="","",助理班表!Q52)</f>
        <v/>
      </c>
      <c r="H1472" s="83">
        <f>IF($G1472="","",IFERROR(IF(INDEX(設定!$D$6:$D$21,MATCH($G1472,設定!$B$6:$B$21,0))=0,"",INDEX(設定!$D$6:$D$21,MATCH($G1472,設定!$B$6:$B$21,0))),""))</f>
        <v/>
      </c>
      <c r="I1472" s="83">
        <f>IF($G1472="","",IFERROR(IF(INDEX(設定!$E$6:$E$21,MATCH($G1472,設定!$B$6:$B$21,0))=0,"",INDEX(設定!$E$6:$E$21,MATCH($G1472,設定!$B$6:$B$21,0))),""))</f>
        <v/>
      </c>
      <c r="J1472" s="83">
        <f>IFERROR(INDEX(打卡匯入!$C$3:$C$2002,MATCH($C1472&amp;"|"&amp;DAY($A1472),打卡匯入!$E$3:$E$2002,0)),"")</f>
        <v/>
      </c>
      <c r="K1472" s="83">
        <f>IFERROR(INDEX(打卡匯入!$D$3:$D$2002,MATCH($C1472&amp;"|"&amp;DAY($A1472),打卡匯入!$E$3:$E$2002,0)),"")</f>
        <v/>
      </c>
      <c r="L1472" s="84">
        <f>IF(OR($J1472="",$K1472=""),"",IFERROR(INDEX(設定!$F$6:$F$21,MATCH($G1472,設定!$B$6:$B$21,0)),0))</f>
        <v/>
      </c>
      <c r="M1472" s="85">
        <f>IF(OR($J1472="",$K1472=""),"",ROUND(($K1472-$J1472)*24-$L1472/60,2))</f>
        <v/>
      </c>
      <c r="N1472" s="16">
        <f>IF($C1472="","",IF(AND(COUNTIF(設定!$B$15:$B$21,$G1472)&gt;0,$J1472&lt;&gt;""),"假日出勤",IF(AND(COUNTIF(設定!$B$6:$B$14,$G1472)&gt;0,$J1472=""),"未打卡",IF($J1472="","",IF($O1472&gt;0,"遲到",IF($P1472&gt;0,"早退","正常"))))))</f>
        <v/>
      </c>
      <c r="O1472" s="84">
        <f>IF(OR($C1472="",$H1472="",$J1472=""),0,IF(ROUND(($J1472-$H1472)*1440,0)&gt;設定!$C$46,ROUND(($J1472-$H1472)*1440,0),0))</f>
        <v/>
      </c>
      <c r="P1472" s="84">
        <f>IF(OR($C1472="",$I1472="",$K1472=""),0,IF(ROUND(($I1472-$K1472)*1440,0)&gt;設定!$C$46,ROUND(($I1472-$K1472)*1440,0),0))</f>
        <v/>
      </c>
      <c r="Q1472" s="85">
        <f>IF($M1472="",0,IF(($M1472-IFERROR(INDEX(設定!$G$6:$G$21,MATCH($G1472,設定!$B$6:$B$21,0)),0))*60&gt;=設定!$C$44,ROUND(FLOOR(($M1472-IFERROR(INDEX(設定!$G$6:$G$21,MATCH($G1472,設定!$B$6:$B$21,0)),0))*60,設定!$C$45)/60,2),0))</f>
        <v/>
      </c>
      <c r="R1472" s="16">
        <f>IF(OR($C1472="",$Q1472=0),"",IF($G1472="國","國定假日",IF($B1472="日","例假",IF($B1472="六","休息日","平日"))))</f>
        <v/>
      </c>
      <c r="S1472" s="19" t="n"/>
    </row>
    <row r="1473">
      <c r="A1473" s="82">
        <f>IF(OR(助理班表!$A52="",14&gt;DAY(EOMONTH(DATE(設定!$C$2,設定!$D$2,1),0))),"",DATE(設定!$C$2,設定!$D$2,14))</f>
        <v/>
      </c>
      <c r="B1473" s="16">
        <f>IF($A1473="","",INDEX(設定!$O$6:$O$12,WEEKDAY($A1473,1)))</f>
        <v/>
      </c>
      <c r="C1473" s="16">
        <f>IF($A1473="","",助理班表!$A52)</f>
        <v/>
      </c>
      <c r="D1473" s="16">
        <f>IF($C1473="","",助理班表!$B52)</f>
        <v/>
      </c>
      <c r="E1473" s="16">
        <f>IF($C1473="","",助理班表!$D52)</f>
        <v/>
      </c>
      <c r="F1473" s="16">
        <f>IF($C1473="","",助理班表!$C52)</f>
        <v/>
      </c>
      <c r="G1473" s="16">
        <f>IF($C1473="","",助理班表!R52)</f>
        <v/>
      </c>
      <c r="H1473" s="83">
        <f>IF($G1473="","",IFERROR(IF(INDEX(設定!$D$6:$D$21,MATCH($G1473,設定!$B$6:$B$21,0))=0,"",INDEX(設定!$D$6:$D$21,MATCH($G1473,設定!$B$6:$B$21,0))),""))</f>
        <v/>
      </c>
      <c r="I1473" s="83">
        <f>IF($G1473="","",IFERROR(IF(INDEX(設定!$E$6:$E$21,MATCH($G1473,設定!$B$6:$B$21,0))=0,"",INDEX(設定!$E$6:$E$21,MATCH($G1473,設定!$B$6:$B$21,0))),""))</f>
        <v/>
      </c>
      <c r="J1473" s="83">
        <f>IFERROR(INDEX(打卡匯入!$C$3:$C$2002,MATCH($C1473&amp;"|"&amp;DAY($A1473),打卡匯入!$E$3:$E$2002,0)),"")</f>
        <v/>
      </c>
      <c r="K1473" s="83">
        <f>IFERROR(INDEX(打卡匯入!$D$3:$D$2002,MATCH($C1473&amp;"|"&amp;DAY($A1473),打卡匯入!$E$3:$E$2002,0)),"")</f>
        <v/>
      </c>
      <c r="L1473" s="84">
        <f>IF(OR($J1473="",$K1473=""),"",IFERROR(INDEX(設定!$F$6:$F$21,MATCH($G1473,設定!$B$6:$B$21,0)),0))</f>
        <v/>
      </c>
      <c r="M1473" s="85">
        <f>IF(OR($J1473="",$K1473=""),"",ROUND(($K1473-$J1473)*24-$L1473/60,2))</f>
        <v/>
      </c>
      <c r="N1473" s="16">
        <f>IF($C1473="","",IF(AND(COUNTIF(設定!$B$15:$B$21,$G1473)&gt;0,$J1473&lt;&gt;""),"假日出勤",IF(AND(COUNTIF(設定!$B$6:$B$14,$G1473)&gt;0,$J1473=""),"未打卡",IF($J1473="","",IF($O1473&gt;0,"遲到",IF($P1473&gt;0,"早退","正常"))))))</f>
        <v/>
      </c>
      <c r="O1473" s="84">
        <f>IF(OR($C1473="",$H1473="",$J1473=""),0,IF(ROUND(($J1473-$H1473)*1440,0)&gt;設定!$C$46,ROUND(($J1473-$H1473)*1440,0),0))</f>
        <v/>
      </c>
      <c r="P1473" s="84">
        <f>IF(OR($C1473="",$I1473="",$K1473=""),0,IF(ROUND(($I1473-$K1473)*1440,0)&gt;設定!$C$46,ROUND(($I1473-$K1473)*1440,0),0))</f>
        <v/>
      </c>
      <c r="Q1473" s="85">
        <f>IF($M1473="",0,IF(($M1473-IFERROR(INDEX(設定!$G$6:$G$21,MATCH($G1473,設定!$B$6:$B$21,0)),0))*60&gt;=設定!$C$44,ROUND(FLOOR(($M1473-IFERROR(INDEX(設定!$G$6:$G$21,MATCH($G1473,設定!$B$6:$B$21,0)),0))*60,設定!$C$45)/60,2),0))</f>
        <v/>
      </c>
      <c r="R1473" s="16">
        <f>IF(OR($C1473="",$Q1473=0),"",IF($G1473="國","國定假日",IF($B1473="日","例假",IF($B1473="六","休息日","平日"))))</f>
        <v/>
      </c>
      <c r="S1473" s="19" t="n"/>
    </row>
    <row r="1474">
      <c r="A1474" s="82">
        <f>IF(OR(助理班表!$A52="",15&gt;DAY(EOMONTH(DATE(設定!$C$2,設定!$D$2,1),0))),"",DATE(設定!$C$2,設定!$D$2,15))</f>
        <v/>
      </c>
      <c r="B1474" s="16">
        <f>IF($A1474="","",INDEX(設定!$O$6:$O$12,WEEKDAY($A1474,1)))</f>
        <v/>
      </c>
      <c r="C1474" s="16">
        <f>IF($A1474="","",助理班表!$A52)</f>
        <v/>
      </c>
      <c r="D1474" s="16">
        <f>IF($C1474="","",助理班表!$B52)</f>
        <v/>
      </c>
      <c r="E1474" s="16">
        <f>IF($C1474="","",助理班表!$D52)</f>
        <v/>
      </c>
      <c r="F1474" s="16">
        <f>IF($C1474="","",助理班表!$C52)</f>
        <v/>
      </c>
      <c r="G1474" s="16">
        <f>IF($C1474="","",助理班表!S52)</f>
        <v/>
      </c>
      <c r="H1474" s="83">
        <f>IF($G1474="","",IFERROR(IF(INDEX(設定!$D$6:$D$21,MATCH($G1474,設定!$B$6:$B$21,0))=0,"",INDEX(設定!$D$6:$D$21,MATCH($G1474,設定!$B$6:$B$21,0))),""))</f>
        <v/>
      </c>
      <c r="I1474" s="83">
        <f>IF($G1474="","",IFERROR(IF(INDEX(設定!$E$6:$E$21,MATCH($G1474,設定!$B$6:$B$21,0))=0,"",INDEX(設定!$E$6:$E$21,MATCH($G1474,設定!$B$6:$B$21,0))),""))</f>
        <v/>
      </c>
      <c r="J1474" s="83">
        <f>IFERROR(INDEX(打卡匯入!$C$3:$C$2002,MATCH($C1474&amp;"|"&amp;DAY($A1474),打卡匯入!$E$3:$E$2002,0)),"")</f>
        <v/>
      </c>
      <c r="K1474" s="83">
        <f>IFERROR(INDEX(打卡匯入!$D$3:$D$2002,MATCH($C1474&amp;"|"&amp;DAY($A1474),打卡匯入!$E$3:$E$2002,0)),"")</f>
        <v/>
      </c>
      <c r="L1474" s="84">
        <f>IF(OR($J1474="",$K1474=""),"",IFERROR(INDEX(設定!$F$6:$F$21,MATCH($G1474,設定!$B$6:$B$21,0)),0))</f>
        <v/>
      </c>
      <c r="M1474" s="85">
        <f>IF(OR($J1474="",$K1474=""),"",ROUND(($K1474-$J1474)*24-$L1474/60,2))</f>
        <v/>
      </c>
      <c r="N1474" s="16">
        <f>IF($C1474="","",IF(AND(COUNTIF(設定!$B$15:$B$21,$G1474)&gt;0,$J1474&lt;&gt;""),"假日出勤",IF(AND(COUNTIF(設定!$B$6:$B$14,$G1474)&gt;0,$J1474=""),"未打卡",IF($J1474="","",IF($O1474&gt;0,"遲到",IF($P1474&gt;0,"早退","正常"))))))</f>
        <v/>
      </c>
      <c r="O1474" s="84">
        <f>IF(OR($C1474="",$H1474="",$J1474=""),0,IF(ROUND(($J1474-$H1474)*1440,0)&gt;設定!$C$46,ROUND(($J1474-$H1474)*1440,0),0))</f>
        <v/>
      </c>
      <c r="P1474" s="84">
        <f>IF(OR($C1474="",$I1474="",$K1474=""),0,IF(ROUND(($I1474-$K1474)*1440,0)&gt;設定!$C$46,ROUND(($I1474-$K1474)*1440,0),0))</f>
        <v/>
      </c>
      <c r="Q1474" s="85">
        <f>IF($M1474="",0,IF(($M1474-IFERROR(INDEX(設定!$G$6:$G$21,MATCH($G1474,設定!$B$6:$B$21,0)),0))*60&gt;=設定!$C$44,ROUND(FLOOR(($M1474-IFERROR(INDEX(設定!$G$6:$G$21,MATCH($G1474,設定!$B$6:$B$21,0)),0))*60,設定!$C$45)/60,2),0))</f>
        <v/>
      </c>
      <c r="R1474" s="16">
        <f>IF(OR($C1474="",$Q1474=0),"",IF($G1474="國","國定假日",IF($B1474="日","例假",IF($B1474="六","休息日","平日"))))</f>
        <v/>
      </c>
      <c r="S1474" s="19" t="n"/>
    </row>
    <row r="1475">
      <c r="A1475" s="82">
        <f>IF(OR(助理班表!$A52="",16&gt;DAY(EOMONTH(DATE(設定!$C$2,設定!$D$2,1),0))),"",DATE(設定!$C$2,設定!$D$2,16))</f>
        <v/>
      </c>
      <c r="B1475" s="16">
        <f>IF($A1475="","",INDEX(設定!$O$6:$O$12,WEEKDAY($A1475,1)))</f>
        <v/>
      </c>
      <c r="C1475" s="16">
        <f>IF($A1475="","",助理班表!$A52)</f>
        <v/>
      </c>
      <c r="D1475" s="16">
        <f>IF($C1475="","",助理班表!$B52)</f>
        <v/>
      </c>
      <c r="E1475" s="16">
        <f>IF($C1475="","",助理班表!$D52)</f>
        <v/>
      </c>
      <c r="F1475" s="16">
        <f>IF($C1475="","",助理班表!$C52)</f>
        <v/>
      </c>
      <c r="G1475" s="16">
        <f>IF($C1475="","",助理班表!T52)</f>
        <v/>
      </c>
      <c r="H1475" s="83">
        <f>IF($G1475="","",IFERROR(IF(INDEX(設定!$D$6:$D$21,MATCH($G1475,設定!$B$6:$B$21,0))=0,"",INDEX(設定!$D$6:$D$21,MATCH($G1475,設定!$B$6:$B$21,0))),""))</f>
        <v/>
      </c>
      <c r="I1475" s="83">
        <f>IF($G1475="","",IFERROR(IF(INDEX(設定!$E$6:$E$21,MATCH($G1475,設定!$B$6:$B$21,0))=0,"",INDEX(設定!$E$6:$E$21,MATCH($G1475,設定!$B$6:$B$21,0))),""))</f>
        <v/>
      </c>
      <c r="J1475" s="83">
        <f>IFERROR(INDEX(打卡匯入!$C$3:$C$2002,MATCH($C1475&amp;"|"&amp;DAY($A1475),打卡匯入!$E$3:$E$2002,0)),"")</f>
        <v/>
      </c>
      <c r="K1475" s="83">
        <f>IFERROR(INDEX(打卡匯入!$D$3:$D$2002,MATCH($C1475&amp;"|"&amp;DAY($A1475),打卡匯入!$E$3:$E$2002,0)),"")</f>
        <v/>
      </c>
      <c r="L1475" s="84">
        <f>IF(OR($J1475="",$K1475=""),"",IFERROR(INDEX(設定!$F$6:$F$21,MATCH($G1475,設定!$B$6:$B$21,0)),0))</f>
        <v/>
      </c>
      <c r="M1475" s="85">
        <f>IF(OR($J1475="",$K1475=""),"",ROUND(($K1475-$J1475)*24-$L1475/60,2))</f>
        <v/>
      </c>
      <c r="N1475" s="16">
        <f>IF($C1475="","",IF(AND(COUNTIF(設定!$B$15:$B$21,$G1475)&gt;0,$J1475&lt;&gt;""),"假日出勤",IF(AND(COUNTIF(設定!$B$6:$B$14,$G1475)&gt;0,$J1475=""),"未打卡",IF($J1475="","",IF($O1475&gt;0,"遲到",IF($P1475&gt;0,"早退","正常"))))))</f>
        <v/>
      </c>
      <c r="O1475" s="84">
        <f>IF(OR($C1475="",$H1475="",$J1475=""),0,IF(ROUND(($J1475-$H1475)*1440,0)&gt;設定!$C$46,ROUND(($J1475-$H1475)*1440,0),0))</f>
        <v/>
      </c>
      <c r="P1475" s="84">
        <f>IF(OR($C1475="",$I1475="",$K1475=""),0,IF(ROUND(($I1475-$K1475)*1440,0)&gt;設定!$C$46,ROUND(($I1475-$K1475)*1440,0),0))</f>
        <v/>
      </c>
      <c r="Q1475" s="85">
        <f>IF($M1475="",0,IF(($M1475-IFERROR(INDEX(設定!$G$6:$G$21,MATCH($G1475,設定!$B$6:$B$21,0)),0))*60&gt;=設定!$C$44,ROUND(FLOOR(($M1475-IFERROR(INDEX(設定!$G$6:$G$21,MATCH($G1475,設定!$B$6:$B$21,0)),0))*60,設定!$C$45)/60,2),0))</f>
        <v/>
      </c>
      <c r="R1475" s="16">
        <f>IF(OR($C1475="",$Q1475=0),"",IF($G1475="國","國定假日",IF($B1475="日","例假",IF($B1475="六","休息日","平日"))))</f>
        <v/>
      </c>
      <c r="S1475" s="19" t="n"/>
    </row>
    <row r="1476">
      <c r="A1476" s="82">
        <f>IF(OR(助理班表!$A52="",17&gt;DAY(EOMONTH(DATE(設定!$C$2,設定!$D$2,1),0))),"",DATE(設定!$C$2,設定!$D$2,17))</f>
        <v/>
      </c>
      <c r="B1476" s="16">
        <f>IF($A1476="","",INDEX(設定!$O$6:$O$12,WEEKDAY($A1476,1)))</f>
        <v/>
      </c>
      <c r="C1476" s="16">
        <f>IF($A1476="","",助理班表!$A52)</f>
        <v/>
      </c>
      <c r="D1476" s="16">
        <f>IF($C1476="","",助理班表!$B52)</f>
        <v/>
      </c>
      <c r="E1476" s="16">
        <f>IF($C1476="","",助理班表!$D52)</f>
        <v/>
      </c>
      <c r="F1476" s="16">
        <f>IF($C1476="","",助理班表!$C52)</f>
        <v/>
      </c>
      <c r="G1476" s="16">
        <f>IF($C1476="","",助理班表!U52)</f>
        <v/>
      </c>
      <c r="H1476" s="83">
        <f>IF($G1476="","",IFERROR(IF(INDEX(設定!$D$6:$D$21,MATCH($G1476,設定!$B$6:$B$21,0))=0,"",INDEX(設定!$D$6:$D$21,MATCH($G1476,設定!$B$6:$B$21,0))),""))</f>
        <v/>
      </c>
      <c r="I1476" s="83">
        <f>IF($G1476="","",IFERROR(IF(INDEX(設定!$E$6:$E$21,MATCH($G1476,設定!$B$6:$B$21,0))=0,"",INDEX(設定!$E$6:$E$21,MATCH($G1476,設定!$B$6:$B$21,0))),""))</f>
        <v/>
      </c>
      <c r="J1476" s="83">
        <f>IFERROR(INDEX(打卡匯入!$C$3:$C$2002,MATCH($C1476&amp;"|"&amp;DAY($A1476),打卡匯入!$E$3:$E$2002,0)),"")</f>
        <v/>
      </c>
      <c r="K1476" s="83">
        <f>IFERROR(INDEX(打卡匯入!$D$3:$D$2002,MATCH($C1476&amp;"|"&amp;DAY($A1476),打卡匯入!$E$3:$E$2002,0)),"")</f>
        <v/>
      </c>
      <c r="L1476" s="84">
        <f>IF(OR($J1476="",$K1476=""),"",IFERROR(INDEX(設定!$F$6:$F$21,MATCH($G1476,設定!$B$6:$B$21,0)),0))</f>
        <v/>
      </c>
      <c r="M1476" s="85">
        <f>IF(OR($J1476="",$K1476=""),"",ROUND(($K1476-$J1476)*24-$L1476/60,2))</f>
        <v/>
      </c>
      <c r="N1476" s="16">
        <f>IF($C1476="","",IF(AND(COUNTIF(設定!$B$15:$B$21,$G1476)&gt;0,$J1476&lt;&gt;""),"假日出勤",IF(AND(COUNTIF(設定!$B$6:$B$14,$G1476)&gt;0,$J1476=""),"未打卡",IF($J1476="","",IF($O1476&gt;0,"遲到",IF($P1476&gt;0,"早退","正常"))))))</f>
        <v/>
      </c>
      <c r="O1476" s="84">
        <f>IF(OR($C1476="",$H1476="",$J1476=""),0,IF(ROUND(($J1476-$H1476)*1440,0)&gt;設定!$C$46,ROUND(($J1476-$H1476)*1440,0),0))</f>
        <v/>
      </c>
      <c r="P1476" s="84">
        <f>IF(OR($C1476="",$I1476="",$K1476=""),0,IF(ROUND(($I1476-$K1476)*1440,0)&gt;設定!$C$46,ROUND(($I1476-$K1476)*1440,0),0))</f>
        <v/>
      </c>
      <c r="Q1476" s="85">
        <f>IF($M1476="",0,IF(($M1476-IFERROR(INDEX(設定!$G$6:$G$21,MATCH($G1476,設定!$B$6:$B$21,0)),0))*60&gt;=設定!$C$44,ROUND(FLOOR(($M1476-IFERROR(INDEX(設定!$G$6:$G$21,MATCH($G1476,設定!$B$6:$B$21,0)),0))*60,設定!$C$45)/60,2),0))</f>
        <v/>
      </c>
      <c r="R1476" s="16">
        <f>IF(OR($C1476="",$Q1476=0),"",IF($G1476="國","國定假日",IF($B1476="日","例假",IF($B1476="六","休息日","平日"))))</f>
        <v/>
      </c>
      <c r="S1476" s="19" t="n"/>
    </row>
    <row r="1477">
      <c r="A1477" s="82">
        <f>IF(OR(助理班表!$A52="",18&gt;DAY(EOMONTH(DATE(設定!$C$2,設定!$D$2,1),0))),"",DATE(設定!$C$2,設定!$D$2,18))</f>
        <v/>
      </c>
      <c r="B1477" s="16">
        <f>IF($A1477="","",INDEX(設定!$O$6:$O$12,WEEKDAY($A1477,1)))</f>
        <v/>
      </c>
      <c r="C1477" s="16">
        <f>IF($A1477="","",助理班表!$A52)</f>
        <v/>
      </c>
      <c r="D1477" s="16">
        <f>IF($C1477="","",助理班表!$B52)</f>
        <v/>
      </c>
      <c r="E1477" s="16">
        <f>IF($C1477="","",助理班表!$D52)</f>
        <v/>
      </c>
      <c r="F1477" s="16">
        <f>IF($C1477="","",助理班表!$C52)</f>
        <v/>
      </c>
      <c r="G1477" s="16">
        <f>IF($C1477="","",助理班表!V52)</f>
        <v/>
      </c>
      <c r="H1477" s="83">
        <f>IF($G1477="","",IFERROR(IF(INDEX(設定!$D$6:$D$21,MATCH($G1477,設定!$B$6:$B$21,0))=0,"",INDEX(設定!$D$6:$D$21,MATCH($G1477,設定!$B$6:$B$21,0))),""))</f>
        <v/>
      </c>
      <c r="I1477" s="83">
        <f>IF($G1477="","",IFERROR(IF(INDEX(設定!$E$6:$E$21,MATCH($G1477,設定!$B$6:$B$21,0))=0,"",INDEX(設定!$E$6:$E$21,MATCH($G1477,設定!$B$6:$B$21,0))),""))</f>
        <v/>
      </c>
      <c r="J1477" s="83">
        <f>IFERROR(INDEX(打卡匯入!$C$3:$C$2002,MATCH($C1477&amp;"|"&amp;DAY($A1477),打卡匯入!$E$3:$E$2002,0)),"")</f>
        <v/>
      </c>
      <c r="K1477" s="83">
        <f>IFERROR(INDEX(打卡匯入!$D$3:$D$2002,MATCH($C1477&amp;"|"&amp;DAY($A1477),打卡匯入!$E$3:$E$2002,0)),"")</f>
        <v/>
      </c>
      <c r="L1477" s="84">
        <f>IF(OR($J1477="",$K1477=""),"",IFERROR(INDEX(設定!$F$6:$F$21,MATCH($G1477,設定!$B$6:$B$21,0)),0))</f>
        <v/>
      </c>
      <c r="M1477" s="85">
        <f>IF(OR($J1477="",$K1477=""),"",ROUND(($K1477-$J1477)*24-$L1477/60,2))</f>
        <v/>
      </c>
      <c r="N1477" s="16">
        <f>IF($C1477="","",IF(AND(COUNTIF(設定!$B$15:$B$21,$G1477)&gt;0,$J1477&lt;&gt;""),"假日出勤",IF(AND(COUNTIF(設定!$B$6:$B$14,$G1477)&gt;0,$J1477=""),"未打卡",IF($J1477="","",IF($O1477&gt;0,"遲到",IF($P1477&gt;0,"早退","正常"))))))</f>
        <v/>
      </c>
      <c r="O1477" s="84">
        <f>IF(OR($C1477="",$H1477="",$J1477=""),0,IF(ROUND(($J1477-$H1477)*1440,0)&gt;設定!$C$46,ROUND(($J1477-$H1477)*1440,0),0))</f>
        <v/>
      </c>
      <c r="P1477" s="84">
        <f>IF(OR($C1477="",$I1477="",$K1477=""),0,IF(ROUND(($I1477-$K1477)*1440,0)&gt;設定!$C$46,ROUND(($I1477-$K1477)*1440,0),0))</f>
        <v/>
      </c>
      <c r="Q1477" s="85">
        <f>IF($M1477="",0,IF(($M1477-IFERROR(INDEX(設定!$G$6:$G$21,MATCH($G1477,設定!$B$6:$B$21,0)),0))*60&gt;=設定!$C$44,ROUND(FLOOR(($M1477-IFERROR(INDEX(設定!$G$6:$G$21,MATCH($G1477,設定!$B$6:$B$21,0)),0))*60,設定!$C$45)/60,2),0))</f>
        <v/>
      </c>
      <c r="R1477" s="16">
        <f>IF(OR($C1477="",$Q1477=0),"",IF($G1477="國","國定假日",IF($B1477="日","例假",IF($B1477="六","休息日","平日"))))</f>
        <v/>
      </c>
      <c r="S1477" s="19" t="n"/>
    </row>
    <row r="1478">
      <c r="A1478" s="82">
        <f>IF(OR(助理班表!$A52="",19&gt;DAY(EOMONTH(DATE(設定!$C$2,設定!$D$2,1),0))),"",DATE(設定!$C$2,設定!$D$2,19))</f>
        <v/>
      </c>
      <c r="B1478" s="16">
        <f>IF($A1478="","",INDEX(設定!$O$6:$O$12,WEEKDAY($A1478,1)))</f>
        <v/>
      </c>
      <c r="C1478" s="16">
        <f>IF($A1478="","",助理班表!$A52)</f>
        <v/>
      </c>
      <c r="D1478" s="16">
        <f>IF($C1478="","",助理班表!$B52)</f>
        <v/>
      </c>
      <c r="E1478" s="16">
        <f>IF($C1478="","",助理班表!$D52)</f>
        <v/>
      </c>
      <c r="F1478" s="16">
        <f>IF($C1478="","",助理班表!$C52)</f>
        <v/>
      </c>
      <c r="G1478" s="16">
        <f>IF($C1478="","",助理班表!W52)</f>
        <v/>
      </c>
      <c r="H1478" s="83">
        <f>IF($G1478="","",IFERROR(IF(INDEX(設定!$D$6:$D$21,MATCH($G1478,設定!$B$6:$B$21,0))=0,"",INDEX(設定!$D$6:$D$21,MATCH($G1478,設定!$B$6:$B$21,0))),""))</f>
        <v/>
      </c>
      <c r="I1478" s="83">
        <f>IF($G1478="","",IFERROR(IF(INDEX(設定!$E$6:$E$21,MATCH($G1478,設定!$B$6:$B$21,0))=0,"",INDEX(設定!$E$6:$E$21,MATCH($G1478,設定!$B$6:$B$21,0))),""))</f>
        <v/>
      </c>
      <c r="J1478" s="83">
        <f>IFERROR(INDEX(打卡匯入!$C$3:$C$2002,MATCH($C1478&amp;"|"&amp;DAY($A1478),打卡匯入!$E$3:$E$2002,0)),"")</f>
        <v/>
      </c>
      <c r="K1478" s="83">
        <f>IFERROR(INDEX(打卡匯入!$D$3:$D$2002,MATCH($C1478&amp;"|"&amp;DAY($A1478),打卡匯入!$E$3:$E$2002,0)),"")</f>
        <v/>
      </c>
      <c r="L1478" s="84">
        <f>IF(OR($J1478="",$K1478=""),"",IFERROR(INDEX(設定!$F$6:$F$21,MATCH($G1478,設定!$B$6:$B$21,0)),0))</f>
        <v/>
      </c>
      <c r="M1478" s="85">
        <f>IF(OR($J1478="",$K1478=""),"",ROUND(($K1478-$J1478)*24-$L1478/60,2))</f>
        <v/>
      </c>
      <c r="N1478" s="16">
        <f>IF($C1478="","",IF(AND(COUNTIF(設定!$B$15:$B$21,$G1478)&gt;0,$J1478&lt;&gt;""),"假日出勤",IF(AND(COUNTIF(設定!$B$6:$B$14,$G1478)&gt;0,$J1478=""),"未打卡",IF($J1478="","",IF($O1478&gt;0,"遲到",IF($P1478&gt;0,"早退","正常"))))))</f>
        <v/>
      </c>
      <c r="O1478" s="84">
        <f>IF(OR($C1478="",$H1478="",$J1478=""),0,IF(ROUND(($J1478-$H1478)*1440,0)&gt;設定!$C$46,ROUND(($J1478-$H1478)*1440,0),0))</f>
        <v/>
      </c>
      <c r="P1478" s="84">
        <f>IF(OR($C1478="",$I1478="",$K1478=""),0,IF(ROUND(($I1478-$K1478)*1440,0)&gt;設定!$C$46,ROUND(($I1478-$K1478)*1440,0),0))</f>
        <v/>
      </c>
      <c r="Q1478" s="85">
        <f>IF($M1478="",0,IF(($M1478-IFERROR(INDEX(設定!$G$6:$G$21,MATCH($G1478,設定!$B$6:$B$21,0)),0))*60&gt;=設定!$C$44,ROUND(FLOOR(($M1478-IFERROR(INDEX(設定!$G$6:$G$21,MATCH($G1478,設定!$B$6:$B$21,0)),0))*60,設定!$C$45)/60,2),0))</f>
        <v/>
      </c>
      <c r="R1478" s="16">
        <f>IF(OR($C1478="",$Q1478=0),"",IF($G1478="國","國定假日",IF($B1478="日","例假",IF($B1478="六","休息日","平日"))))</f>
        <v/>
      </c>
      <c r="S1478" s="19" t="n"/>
    </row>
    <row r="1479">
      <c r="A1479" s="82">
        <f>IF(OR(助理班表!$A52="",20&gt;DAY(EOMONTH(DATE(設定!$C$2,設定!$D$2,1),0))),"",DATE(設定!$C$2,設定!$D$2,20))</f>
        <v/>
      </c>
      <c r="B1479" s="16">
        <f>IF($A1479="","",INDEX(設定!$O$6:$O$12,WEEKDAY($A1479,1)))</f>
        <v/>
      </c>
      <c r="C1479" s="16">
        <f>IF($A1479="","",助理班表!$A52)</f>
        <v/>
      </c>
      <c r="D1479" s="16">
        <f>IF($C1479="","",助理班表!$B52)</f>
        <v/>
      </c>
      <c r="E1479" s="16">
        <f>IF($C1479="","",助理班表!$D52)</f>
        <v/>
      </c>
      <c r="F1479" s="16">
        <f>IF($C1479="","",助理班表!$C52)</f>
        <v/>
      </c>
      <c r="G1479" s="16">
        <f>IF($C1479="","",助理班表!X52)</f>
        <v/>
      </c>
      <c r="H1479" s="83">
        <f>IF($G1479="","",IFERROR(IF(INDEX(設定!$D$6:$D$21,MATCH($G1479,設定!$B$6:$B$21,0))=0,"",INDEX(設定!$D$6:$D$21,MATCH($G1479,設定!$B$6:$B$21,0))),""))</f>
        <v/>
      </c>
      <c r="I1479" s="83">
        <f>IF($G1479="","",IFERROR(IF(INDEX(設定!$E$6:$E$21,MATCH($G1479,設定!$B$6:$B$21,0))=0,"",INDEX(設定!$E$6:$E$21,MATCH($G1479,設定!$B$6:$B$21,0))),""))</f>
        <v/>
      </c>
      <c r="J1479" s="83">
        <f>IFERROR(INDEX(打卡匯入!$C$3:$C$2002,MATCH($C1479&amp;"|"&amp;DAY($A1479),打卡匯入!$E$3:$E$2002,0)),"")</f>
        <v/>
      </c>
      <c r="K1479" s="83">
        <f>IFERROR(INDEX(打卡匯入!$D$3:$D$2002,MATCH($C1479&amp;"|"&amp;DAY($A1479),打卡匯入!$E$3:$E$2002,0)),"")</f>
        <v/>
      </c>
      <c r="L1479" s="84">
        <f>IF(OR($J1479="",$K1479=""),"",IFERROR(INDEX(設定!$F$6:$F$21,MATCH($G1479,設定!$B$6:$B$21,0)),0))</f>
        <v/>
      </c>
      <c r="M1479" s="85">
        <f>IF(OR($J1479="",$K1479=""),"",ROUND(($K1479-$J1479)*24-$L1479/60,2))</f>
        <v/>
      </c>
      <c r="N1479" s="16">
        <f>IF($C1479="","",IF(AND(COUNTIF(設定!$B$15:$B$21,$G1479)&gt;0,$J1479&lt;&gt;""),"假日出勤",IF(AND(COUNTIF(設定!$B$6:$B$14,$G1479)&gt;0,$J1479=""),"未打卡",IF($J1479="","",IF($O1479&gt;0,"遲到",IF($P1479&gt;0,"早退","正常"))))))</f>
        <v/>
      </c>
      <c r="O1479" s="84">
        <f>IF(OR($C1479="",$H1479="",$J1479=""),0,IF(ROUND(($J1479-$H1479)*1440,0)&gt;設定!$C$46,ROUND(($J1479-$H1479)*1440,0),0))</f>
        <v/>
      </c>
      <c r="P1479" s="84">
        <f>IF(OR($C1479="",$I1479="",$K1479=""),0,IF(ROUND(($I1479-$K1479)*1440,0)&gt;設定!$C$46,ROUND(($I1479-$K1479)*1440,0),0))</f>
        <v/>
      </c>
      <c r="Q1479" s="85">
        <f>IF($M1479="",0,IF(($M1479-IFERROR(INDEX(設定!$G$6:$G$21,MATCH($G1479,設定!$B$6:$B$21,0)),0))*60&gt;=設定!$C$44,ROUND(FLOOR(($M1479-IFERROR(INDEX(設定!$G$6:$G$21,MATCH($G1479,設定!$B$6:$B$21,0)),0))*60,設定!$C$45)/60,2),0))</f>
        <v/>
      </c>
      <c r="R1479" s="16">
        <f>IF(OR($C1479="",$Q1479=0),"",IF($G1479="國","國定假日",IF($B1479="日","例假",IF($B1479="六","休息日","平日"))))</f>
        <v/>
      </c>
      <c r="S1479" s="19" t="n"/>
    </row>
    <row r="1480">
      <c r="A1480" s="82">
        <f>IF(OR(助理班表!$A52="",21&gt;DAY(EOMONTH(DATE(設定!$C$2,設定!$D$2,1),0))),"",DATE(設定!$C$2,設定!$D$2,21))</f>
        <v/>
      </c>
      <c r="B1480" s="16">
        <f>IF($A1480="","",INDEX(設定!$O$6:$O$12,WEEKDAY($A1480,1)))</f>
        <v/>
      </c>
      <c r="C1480" s="16">
        <f>IF($A1480="","",助理班表!$A52)</f>
        <v/>
      </c>
      <c r="D1480" s="16">
        <f>IF($C1480="","",助理班表!$B52)</f>
        <v/>
      </c>
      <c r="E1480" s="16">
        <f>IF($C1480="","",助理班表!$D52)</f>
        <v/>
      </c>
      <c r="F1480" s="16">
        <f>IF($C1480="","",助理班表!$C52)</f>
        <v/>
      </c>
      <c r="G1480" s="16">
        <f>IF($C1480="","",助理班表!Y52)</f>
        <v/>
      </c>
      <c r="H1480" s="83">
        <f>IF($G1480="","",IFERROR(IF(INDEX(設定!$D$6:$D$21,MATCH($G1480,設定!$B$6:$B$21,0))=0,"",INDEX(設定!$D$6:$D$21,MATCH($G1480,設定!$B$6:$B$21,0))),""))</f>
        <v/>
      </c>
      <c r="I1480" s="83">
        <f>IF($G1480="","",IFERROR(IF(INDEX(設定!$E$6:$E$21,MATCH($G1480,設定!$B$6:$B$21,0))=0,"",INDEX(設定!$E$6:$E$21,MATCH($G1480,設定!$B$6:$B$21,0))),""))</f>
        <v/>
      </c>
      <c r="J1480" s="83">
        <f>IFERROR(INDEX(打卡匯入!$C$3:$C$2002,MATCH($C1480&amp;"|"&amp;DAY($A1480),打卡匯入!$E$3:$E$2002,0)),"")</f>
        <v/>
      </c>
      <c r="K1480" s="83">
        <f>IFERROR(INDEX(打卡匯入!$D$3:$D$2002,MATCH($C1480&amp;"|"&amp;DAY($A1480),打卡匯入!$E$3:$E$2002,0)),"")</f>
        <v/>
      </c>
      <c r="L1480" s="84">
        <f>IF(OR($J1480="",$K1480=""),"",IFERROR(INDEX(設定!$F$6:$F$21,MATCH($G1480,設定!$B$6:$B$21,0)),0))</f>
        <v/>
      </c>
      <c r="M1480" s="85">
        <f>IF(OR($J1480="",$K1480=""),"",ROUND(($K1480-$J1480)*24-$L1480/60,2))</f>
        <v/>
      </c>
      <c r="N1480" s="16">
        <f>IF($C1480="","",IF(AND(COUNTIF(設定!$B$15:$B$21,$G1480)&gt;0,$J1480&lt;&gt;""),"假日出勤",IF(AND(COUNTIF(設定!$B$6:$B$14,$G1480)&gt;0,$J1480=""),"未打卡",IF($J1480="","",IF($O1480&gt;0,"遲到",IF($P1480&gt;0,"早退","正常"))))))</f>
        <v/>
      </c>
      <c r="O1480" s="84">
        <f>IF(OR($C1480="",$H1480="",$J1480=""),0,IF(ROUND(($J1480-$H1480)*1440,0)&gt;設定!$C$46,ROUND(($J1480-$H1480)*1440,0),0))</f>
        <v/>
      </c>
      <c r="P1480" s="84">
        <f>IF(OR($C1480="",$I1480="",$K1480=""),0,IF(ROUND(($I1480-$K1480)*1440,0)&gt;設定!$C$46,ROUND(($I1480-$K1480)*1440,0),0))</f>
        <v/>
      </c>
      <c r="Q1480" s="85">
        <f>IF($M1480="",0,IF(($M1480-IFERROR(INDEX(設定!$G$6:$G$21,MATCH($G1480,設定!$B$6:$B$21,0)),0))*60&gt;=設定!$C$44,ROUND(FLOOR(($M1480-IFERROR(INDEX(設定!$G$6:$G$21,MATCH($G1480,設定!$B$6:$B$21,0)),0))*60,設定!$C$45)/60,2),0))</f>
        <v/>
      </c>
      <c r="R1480" s="16">
        <f>IF(OR($C1480="",$Q1480=0),"",IF($G1480="國","國定假日",IF($B1480="日","例假",IF($B1480="六","休息日","平日"))))</f>
        <v/>
      </c>
      <c r="S1480" s="19" t="n"/>
    </row>
    <row r="1481">
      <c r="A1481" s="82">
        <f>IF(OR(助理班表!$A52="",22&gt;DAY(EOMONTH(DATE(設定!$C$2,設定!$D$2,1),0))),"",DATE(設定!$C$2,設定!$D$2,22))</f>
        <v/>
      </c>
      <c r="B1481" s="16">
        <f>IF($A1481="","",INDEX(設定!$O$6:$O$12,WEEKDAY($A1481,1)))</f>
        <v/>
      </c>
      <c r="C1481" s="16">
        <f>IF($A1481="","",助理班表!$A52)</f>
        <v/>
      </c>
      <c r="D1481" s="16">
        <f>IF($C1481="","",助理班表!$B52)</f>
        <v/>
      </c>
      <c r="E1481" s="16">
        <f>IF($C1481="","",助理班表!$D52)</f>
        <v/>
      </c>
      <c r="F1481" s="16">
        <f>IF($C1481="","",助理班表!$C52)</f>
        <v/>
      </c>
      <c r="G1481" s="16">
        <f>IF($C1481="","",助理班表!Z52)</f>
        <v/>
      </c>
      <c r="H1481" s="83">
        <f>IF($G1481="","",IFERROR(IF(INDEX(設定!$D$6:$D$21,MATCH($G1481,設定!$B$6:$B$21,0))=0,"",INDEX(設定!$D$6:$D$21,MATCH($G1481,設定!$B$6:$B$21,0))),""))</f>
        <v/>
      </c>
      <c r="I1481" s="83">
        <f>IF($G1481="","",IFERROR(IF(INDEX(設定!$E$6:$E$21,MATCH($G1481,設定!$B$6:$B$21,0))=0,"",INDEX(設定!$E$6:$E$21,MATCH($G1481,設定!$B$6:$B$21,0))),""))</f>
        <v/>
      </c>
      <c r="J1481" s="83">
        <f>IFERROR(INDEX(打卡匯入!$C$3:$C$2002,MATCH($C1481&amp;"|"&amp;DAY($A1481),打卡匯入!$E$3:$E$2002,0)),"")</f>
        <v/>
      </c>
      <c r="K1481" s="83">
        <f>IFERROR(INDEX(打卡匯入!$D$3:$D$2002,MATCH($C1481&amp;"|"&amp;DAY($A1481),打卡匯入!$E$3:$E$2002,0)),"")</f>
        <v/>
      </c>
      <c r="L1481" s="84">
        <f>IF(OR($J1481="",$K1481=""),"",IFERROR(INDEX(設定!$F$6:$F$21,MATCH($G1481,設定!$B$6:$B$21,0)),0))</f>
        <v/>
      </c>
      <c r="M1481" s="85">
        <f>IF(OR($J1481="",$K1481=""),"",ROUND(($K1481-$J1481)*24-$L1481/60,2))</f>
        <v/>
      </c>
      <c r="N1481" s="16">
        <f>IF($C1481="","",IF(AND(COUNTIF(設定!$B$15:$B$21,$G1481)&gt;0,$J1481&lt;&gt;""),"假日出勤",IF(AND(COUNTIF(設定!$B$6:$B$14,$G1481)&gt;0,$J1481=""),"未打卡",IF($J1481="","",IF($O1481&gt;0,"遲到",IF($P1481&gt;0,"早退","正常"))))))</f>
        <v/>
      </c>
      <c r="O1481" s="84">
        <f>IF(OR($C1481="",$H1481="",$J1481=""),0,IF(ROUND(($J1481-$H1481)*1440,0)&gt;設定!$C$46,ROUND(($J1481-$H1481)*1440,0),0))</f>
        <v/>
      </c>
      <c r="P1481" s="84">
        <f>IF(OR($C1481="",$I1481="",$K1481=""),0,IF(ROUND(($I1481-$K1481)*1440,0)&gt;設定!$C$46,ROUND(($I1481-$K1481)*1440,0),0))</f>
        <v/>
      </c>
      <c r="Q1481" s="85">
        <f>IF($M1481="",0,IF(($M1481-IFERROR(INDEX(設定!$G$6:$G$21,MATCH($G1481,設定!$B$6:$B$21,0)),0))*60&gt;=設定!$C$44,ROUND(FLOOR(($M1481-IFERROR(INDEX(設定!$G$6:$G$21,MATCH($G1481,設定!$B$6:$B$21,0)),0))*60,設定!$C$45)/60,2),0))</f>
        <v/>
      </c>
      <c r="R1481" s="16">
        <f>IF(OR($C1481="",$Q1481=0),"",IF($G1481="國","國定假日",IF($B1481="日","例假",IF($B1481="六","休息日","平日"))))</f>
        <v/>
      </c>
      <c r="S1481" s="19" t="n"/>
    </row>
    <row r="1482">
      <c r="A1482" s="82">
        <f>IF(OR(助理班表!$A52="",23&gt;DAY(EOMONTH(DATE(設定!$C$2,設定!$D$2,1),0))),"",DATE(設定!$C$2,設定!$D$2,23))</f>
        <v/>
      </c>
      <c r="B1482" s="16">
        <f>IF($A1482="","",INDEX(設定!$O$6:$O$12,WEEKDAY($A1482,1)))</f>
        <v/>
      </c>
      <c r="C1482" s="16">
        <f>IF($A1482="","",助理班表!$A52)</f>
        <v/>
      </c>
      <c r="D1482" s="16">
        <f>IF($C1482="","",助理班表!$B52)</f>
        <v/>
      </c>
      <c r="E1482" s="16">
        <f>IF($C1482="","",助理班表!$D52)</f>
        <v/>
      </c>
      <c r="F1482" s="16">
        <f>IF($C1482="","",助理班表!$C52)</f>
        <v/>
      </c>
      <c r="G1482" s="16">
        <f>IF($C1482="","",助理班表!AA52)</f>
        <v/>
      </c>
      <c r="H1482" s="83">
        <f>IF($G1482="","",IFERROR(IF(INDEX(設定!$D$6:$D$21,MATCH($G1482,設定!$B$6:$B$21,0))=0,"",INDEX(設定!$D$6:$D$21,MATCH($G1482,設定!$B$6:$B$21,0))),""))</f>
        <v/>
      </c>
      <c r="I1482" s="83">
        <f>IF($G1482="","",IFERROR(IF(INDEX(設定!$E$6:$E$21,MATCH($G1482,設定!$B$6:$B$21,0))=0,"",INDEX(設定!$E$6:$E$21,MATCH($G1482,設定!$B$6:$B$21,0))),""))</f>
        <v/>
      </c>
      <c r="J1482" s="83">
        <f>IFERROR(INDEX(打卡匯入!$C$3:$C$2002,MATCH($C1482&amp;"|"&amp;DAY($A1482),打卡匯入!$E$3:$E$2002,0)),"")</f>
        <v/>
      </c>
      <c r="K1482" s="83">
        <f>IFERROR(INDEX(打卡匯入!$D$3:$D$2002,MATCH($C1482&amp;"|"&amp;DAY($A1482),打卡匯入!$E$3:$E$2002,0)),"")</f>
        <v/>
      </c>
      <c r="L1482" s="84">
        <f>IF(OR($J1482="",$K1482=""),"",IFERROR(INDEX(設定!$F$6:$F$21,MATCH($G1482,設定!$B$6:$B$21,0)),0))</f>
        <v/>
      </c>
      <c r="M1482" s="85">
        <f>IF(OR($J1482="",$K1482=""),"",ROUND(($K1482-$J1482)*24-$L1482/60,2))</f>
        <v/>
      </c>
      <c r="N1482" s="16">
        <f>IF($C1482="","",IF(AND(COUNTIF(設定!$B$15:$B$21,$G1482)&gt;0,$J1482&lt;&gt;""),"假日出勤",IF(AND(COUNTIF(設定!$B$6:$B$14,$G1482)&gt;0,$J1482=""),"未打卡",IF($J1482="","",IF($O1482&gt;0,"遲到",IF($P1482&gt;0,"早退","正常"))))))</f>
        <v/>
      </c>
      <c r="O1482" s="84">
        <f>IF(OR($C1482="",$H1482="",$J1482=""),0,IF(ROUND(($J1482-$H1482)*1440,0)&gt;設定!$C$46,ROUND(($J1482-$H1482)*1440,0),0))</f>
        <v/>
      </c>
      <c r="P1482" s="84">
        <f>IF(OR($C1482="",$I1482="",$K1482=""),0,IF(ROUND(($I1482-$K1482)*1440,0)&gt;設定!$C$46,ROUND(($I1482-$K1482)*1440,0),0))</f>
        <v/>
      </c>
      <c r="Q1482" s="85">
        <f>IF($M1482="",0,IF(($M1482-IFERROR(INDEX(設定!$G$6:$G$21,MATCH($G1482,設定!$B$6:$B$21,0)),0))*60&gt;=設定!$C$44,ROUND(FLOOR(($M1482-IFERROR(INDEX(設定!$G$6:$G$21,MATCH($G1482,設定!$B$6:$B$21,0)),0))*60,設定!$C$45)/60,2),0))</f>
        <v/>
      </c>
      <c r="R1482" s="16">
        <f>IF(OR($C1482="",$Q1482=0),"",IF($G1482="國","國定假日",IF($B1482="日","例假",IF($B1482="六","休息日","平日"))))</f>
        <v/>
      </c>
      <c r="S1482" s="19" t="n"/>
    </row>
    <row r="1483">
      <c r="A1483" s="82">
        <f>IF(OR(助理班表!$A52="",24&gt;DAY(EOMONTH(DATE(設定!$C$2,設定!$D$2,1),0))),"",DATE(設定!$C$2,設定!$D$2,24))</f>
        <v/>
      </c>
      <c r="B1483" s="16">
        <f>IF($A1483="","",INDEX(設定!$O$6:$O$12,WEEKDAY($A1483,1)))</f>
        <v/>
      </c>
      <c r="C1483" s="16">
        <f>IF($A1483="","",助理班表!$A52)</f>
        <v/>
      </c>
      <c r="D1483" s="16">
        <f>IF($C1483="","",助理班表!$B52)</f>
        <v/>
      </c>
      <c r="E1483" s="16">
        <f>IF($C1483="","",助理班表!$D52)</f>
        <v/>
      </c>
      <c r="F1483" s="16">
        <f>IF($C1483="","",助理班表!$C52)</f>
        <v/>
      </c>
      <c r="G1483" s="16">
        <f>IF($C1483="","",助理班表!AB52)</f>
        <v/>
      </c>
      <c r="H1483" s="83">
        <f>IF($G1483="","",IFERROR(IF(INDEX(設定!$D$6:$D$21,MATCH($G1483,設定!$B$6:$B$21,0))=0,"",INDEX(設定!$D$6:$D$21,MATCH($G1483,設定!$B$6:$B$21,0))),""))</f>
        <v/>
      </c>
      <c r="I1483" s="83">
        <f>IF($G1483="","",IFERROR(IF(INDEX(設定!$E$6:$E$21,MATCH($G1483,設定!$B$6:$B$21,0))=0,"",INDEX(設定!$E$6:$E$21,MATCH($G1483,設定!$B$6:$B$21,0))),""))</f>
        <v/>
      </c>
      <c r="J1483" s="83">
        <f>IFERROR(INDEX(打卡匯入!$C$3:$C$2002,MATCH($C1483&amp;"|"&amp;DAY($A1483),打卡匯入!$E$3:$E$2002,0)),"")</f>
        <v/>
      </c>
      <c r="K1483" s="83">
        <f>IFERROR(INDEX(打卡匯入!$D$3:$D$2002,MATCH($C1483&amp;"|"&amp;DAY($A1483),打卡匯入!$E$3:$E$2002,0)),"")</f>
        <v/>
      </c>
      <c r="L1483" s="84">
        <f>IF(OR($J1483="",$K1483=""),"",IFERROR(INDEX(設定!$F$6:$F$21,MATCH($G1483,設定!$B$6:$B$21,0)),0))</f>
        <v/>
      </c>
      <c r="M1483" s="85">
        <f>IF(OR($J1483="",$K1483=""),"",ROUND(($K1483-$J1483)*24-$L1483/60,2))</f>
        <v/>
      </c>
      <c r="N1483" s="16">
        <f>IF($C1483="","",IF(AND(COUNTIF(設定!$B$15:$B$21,$G1483)&gt;0,$J1483&lt;&gt;""),"假日出勤",IF(AND(COUNTIF(設定!$B$6:$B$14,$G1483)&gt;0,$J1483=""),"未打卡",IF($J1483="","",IF($O1483&gt;0,"遲到",IF($P1483&gt;0,"早退","正常"))))))</f>
        <v/>
      </c>
      <c r="O1483" s="84">
        <f>IF(OR($C1483="",$H1483="",$J1483=""),0,IF(ROUND(($J1483-$H1483)*1440,0)&gt;設定!$C$46,ROUND(($J1483-$H1483)*1440,0),0))</f>
        <v/>
      </c>
      <c r="P1483" s="84">
        <f>IF(OR($C1483="",$I1483="",$K1483=""),0,IF(ROUND(($I1483-$K1483)*1440,0)&gt;設定!$C$46,ROUND(($I1483-$K1483)*1440,0),0))</f>
        <v/>
      </c>
      <c r="Q1483" s="85">
        <f>IF($M1483="",0,IF(($M1483-IFERROR(INDEX(設定!$G$6:$G$21,MATCH($G1483,設定!$B$6:$B$21,0)),0))*60&gt;=設定!$C$44,ROUND(FLOOR(($M1483-IFERROR(INDEX(設定!$G$6:$G$21,MATCH($G1483,設定!$B$6:$B$21,0)),0))*60,設定!$C$45)/60,2),0))</f>
        <v/>
      </c>
      <c r="R1483" s="16">
        <f>IF(OR($C1483="",$Q1483=0),"",IF($G1483="國","國定假日",IF($B1483="日","例假",IF($B1483="六","休息日","平日"))))</f>
        <v/>
      </c>
      <c r="S1483" s="19" t="n"/>
    </row>
    <row r="1484">
      <c r="A1484" s="82">
        <f>IF(OR(助理班表!$A52="",25&gt;DAY(EOMONTH(DATE(設定!$C$2,設定!$D$2,1),0))),"",DATE(設定!$C$2,設定!$D$2,25))</f>
        <v/>
      </c>
      <c r="B1484" s="16">
        <f>IF($A1484="","",INDEX(設定!$O$6:$O$12,WEEKDAY($A1484,1)))</f>
        <v/>
      </c>
      <c r="C1484" s="16">
        <f>IF($A1484="","",助理班表!$A52)</f>
        <v/>
      </c>
      <c r="D1484" s="16">
        <f>IF($C1484="","",助理班表!$B52)</f>
        <v/>
      </c>
      <c r="E1484" s="16">
        <f>IF($C1484="","",助理班表!$D52)</f>
        <v/>
      </c>
      <c r="F1484" s="16">
        <f>IF($C1484="","",助理班表!$C52)</f>
        <v/>
      </c>
      <c r="G1484" s="16">
        <f>IF($C1484="","",助理班表!AC52)</f>
        <v/>
      </c>
      <c r="H1484" s="83">
        <f>IF($G1484="","",IFERROR(IF(INDEX(設定!$D$6:$D$21,MATCH($G1484,設定!$B$6:$B$21,0))=0,"",INDEX(設定!$D$6:$D$21,MATCH($G1484,設定!$B$6:$B$21,0))),""))</f>
        <v/>
      </c>
      <c r="I1484" s="83">
        <f>IF($G1484="","",IFERROR(IF(INDEX(設定!$E$6:$E$21,MATCH($G1484,設定!$B$6:$B$21,0))=0,"",INDEX(設定!$E$6:$E$21,MATCH($G1484,設定!$B$6:$B$21,0))),""))</f>
        <v/>
      </c>
      <c r="J1484" s="83">
        <f>IFERROR(INDEX(打卡匯入!$C$3:$C$2002,MATCH($C1484&amp;"|"&amp;DAY($A1484),打卡匯入!$E$3:$E$2002,0)),"")</f>
        <v/>
      </c>
      <c r="K1484" s="83">
        <f>IFERROR(INDEX(打卡匯入!$D$3:$D$2002,MATCH($C1484&amp;"|"&amp;DAY($A1484),打卡匯入!$E$3:$E$2002,0)),"")</f>
        <v/>
      </c>
      <c r="L1484" s="84">
        <f>IF(OR($J1484="",$K1484=""),"",IFERROR(INDEX(設定!$F$6:$F$21,MATCH($G1484,設定!$B$6:$B$21,0)),0))</f>
        <v/>
      </c>
      <c r="M1484" s="85">
        <f>IF(OR($J1484="",$K1484=""),"",ROUND(($K1484-$J1484)*24-$L1484/60,2))</f>
        <v/>
      </c>
      <c r="N1484" s="16">
        <f>IF($C1484="","",IF(AND(COUNTIF(設定!$B$15:$B$21,$G1484)&gt;0,$J1484&lt;&gt;""),"假日出勤",IF(AND(COUNTIF(設定!$B$6:$B$14,$G1484)&gt;0,$J1484=""),"未打卡",IF($J1484="","",IF($O1484&gt;0,"遲到",IF($P1484&gt;0,"早退","正常"))))))</f>
        <v/>
      </c>
      <c r="O1484" s="84">
        <f>IF(OR($C1484="",$H1484="",$J1484=""),0,IF(ROUND(($J1484-$H1484)*1440,0)&gt;設定!$C$46,ROUND(($J1484-$H1484)*1440,0),0))</f>
        <v/>
      </c>
      <c r="P1484" s="84">
        <f>IF(OR($C1484="",$I1484="",$K1484=""),0,IF(ROUND(($I1484-$K1484)*1440,0)&gt;設定!$C$46,ROUND(($I1484-$K1484)*1440,0),0))</f>
        <v/>
      </c>
      <c r="Q1484" s="85">
        <f>IF($M1484="",0,IF(($M1484-IFERROR(INDEX(設定!$G$6:$G$21,MATCH($G1484,設定!$B$6:$B$21,0)),0))*60&gt;=設定!$C$44,ROUND(FLOOR(($M1484-IFERROR(INDEX(設定!$G$6:$G$21,MATCH($G1484,設定!$B$6:$B$21,0)),0))*60,設定!$C$45)/60,2),0))</f>
        <v/>
      </c>
      <c r="R1484" s="16">
        <f>IF(OR($C1484="",$Q1484=0),"",IF($G1484="國","國定假日",IF($B1484="日","例假",IF($B1484="六","休息日","平日"))))</f>
        <v/>
      </c>
      <c r="S1484" s="19" t="n"/>
    </row>
    <row r="1485">
      <c r="A1485" s="82">
        <f>IF(OR(助理班表!$A52="",26&gt;DAY(EOMONTH(DATE(設定!$C$2,設定!$D$2,1),0))),"",DATE(設定!$C$2,設定!$D$2,26))</f>
        <v/>
      </c>
      <c r="B1485" s="16">
        <f>IF($A1485="","",INDEX(設定!$O$6:$O$12,WEEKDAY($A1485,1)))</f>
        <v/>
      </c>
      <c r="C1485" s="16">
        <f>IF($A1485="","",助理班表!$A52)</f>
        <v/>
      </c>
      <c r="D1485" s="16">
        <f>IF($C1485="","",助理班表!$B52)</f>
        <v/>
      </c>
      <c r="E1485" s="16">
        <f>IF($C1485="","",助理班表!$D52)</f>
        <v/>
      </c>
      <c r="F1485" s="16">
        <f>IF($C1485="","",助理班表!$C52)</f>
        <v/>
      </c>
      <c r="G1485" s="16">
        <f>IF($C1485="","",助理班表!AD52)</f>
        <v/>
      </c>
      <c r="H1485" s="83">
        <f>IF($G1485="","",IFERROR(IF(INDEX(設定!$D$6:$D$21,MATCH($G1485,設定!$B$6:$B$21,0))=0,"",INDEX(設定!$D$6:$D$21,MATCH($G1485,設定!$B$6:$B$21,0))),""))</f>
        <v/>
      </c>
      <c r="I1485" s="83">
        <f>IF($G1485="","",IFERROR(IF(INDEX(設定!$E$6:$E$21,MATCH($G1485,設定!$B$6:$B$21,0))=0,"",INDEX(設定!$E$6:$E$21,MATCH($G1485,設定!$B$6:$B$21,0))),""))</f>
        <v/>
      </c>
      <c r="J1485" s="83">
        <f>IFERROR(INDEX(打卡匯入!$C$3:$C$2002,MATCH($C1485&amp;"|"&amp;DAY($A1485),打卡匯入!$E$3:$E$2002,0)),"")</f>
        <v/>
      </c>
      <c r="K1485" s="83">
        <f>IFERROR(INDEX(打卡匯入!$D$3:$D$2002,MATCH($C1485&amp;"|"&amp;DAY($A1485),打卡匯入!$E$3:$E$2002,0)),"")</f>
        <v/>
      </c>
      <c r="L1485" s="84">
        <f>IF(OR($J1485="",$K1485=""),"",IFERROR(INDEX(設定!$F$6:$F$21,MATCH($G1485,設定!$B$6:$B$21,0)),0))</f>
        <v/>
      </c>
      <c r="M1485" s="85">
        <f>IF(OR($J1485="",$K1485=""),"",ROUND(($K1485-$J1485)*24-$L1485/60,2))</f>
        <v/>
      </c>
      <c r="N1485" s="16">
        <f>IF($C1485="","",IF(AND(COUNTIF(設定!$B$15:$B$21,$G1485)&gt;0,$J1485&lt;&gt;""),"假日出勤",IF(AND(COUNTIF(設定!$B$6:$B$14,$G1485)&gt;0,$J1485=""),"未打卡",IF($J1485="","",IF($O1485&gt;0,"遲到",IF($P1485&gt;0,"早退","正常"))))))</f>
        <v/>
      </c>
      <c r="O1485" s="84">
        <f>IF(OR($C1485="",$H1485="",$J1485=""),0,IF(ROUND(($J1485-$H1485)*1440,0)&gt;設定!$C$46,ROUND(($J1485-$H1485)*1440,0),0))</f>
        <v/>
      </c>
      <c r="P1485" s="84">
        <f>IF(OR($C1485="",$I1485="",$K1485=""),0,IF(ROUND(($I1485-$K1485)*1440,0)&gt;設定!$C$46,ROUND(($I1485-$K1485)*1440,0),0))</f>
        <v/>
      </c>
      <c r="Q1485" s="85">
        <f>IF($M1485="",0,IF(($M1485-IFERROR(INDEX(設定!$G$6:$G$21,MATCH($G1485,設定!$B$6:$B$21,0)),0))*60&gt;=設定!$C$44,ROUND(FLOOR(($M1485-IFERROR(INDEX(設定!$G$6:$G$21,MATCH($G1485,設定!$B$6:$B$21,0)),0))*60,設定!$C$45)/60,2),0))</f>
        <v/>
      </c>
      <c r="R1485" s="16">
        <f>IF(OR($C1485="",$Q1485=0),"",IF($G1485="國","國定假日",IF($B1485="日","例假",IF($B1485="六","休息日","平日"))))</f>
        <v/>
      </c>
      <c r="S1485" s="19" t="n"/>
    </row>
    <row r="1486">
      <c r="A1486" s="82">
        <f>IF(OR(助理班表!$A52="",27&gt;DAY(EOMONTH(DATE(設定!$C$2,設定!$D$2,1),0))),"",DATE(設定!$C$2,設定!$D$2,27))</f>
        <v/>
      </c>
      <c r="B1486" s="16">
        <f>IF($A1486="","",INDEX(設定!$O$6:$O$12,WEEKDAY($A1486,1)))</f>
        <v/>
      </c>
      <c r="C1486" s="16">
        <f>IF($A1486="","",助理班表!$A52)</f>
        <v/>
      </c>
      <c r="D1486" s="16">
        <f>IF($C1486="","",助理班表!$B52)</f>
        <v/>
      </c>
      <c r="E1486" s="16">
        <f>IF($C1486="","",助理班表!$D52)</f>
        <v/>
      </c>
      <c r="F1486" s="16">
        <f>IF($C1486="","",助理班表!$C52)</f>
        <v/>
      </c>
      <c r="G1486" s="16">
        <f>IF($C1486="","",助理班表!AE52)</f>
        <v/>
      </c>
      <c r="H1486" s="83">
        <f>IF($G1486="","",IFERROR(IF(INDEX(設定!$D$6:$D$21,MATCH($G1486,設定!$B$6:$B$21,0))=0,"",INDEX(設定!$D$6:$D$21,MATCH($G1486,設定!$B$6:$B$21,0))),""))</f>
        <v/>
      </c>
      <c r="I1486" s="83">
        <f>IF($G1486="","",IFERROR(IF(INDEX(設定!$E$6:$E$21,MATCH($G1486,設定!$B$6:$B$21,0))=0,"",INDEX(設定!$E$6:$E$21,MATCH($G1486,設定!$B$6:$B$21,0))),""))</f>
        <v/>
      </c>
      <c r="J1486" s="83">
        <f>IFERROR(INDEX(打卡匯入!$C$3:$C$2002,MATCH($C1486&amp;"|"&amp;DAY($A1486),打卡匯入!$E$3:$E$2002,0)),"")</f>
        <v/>
      </c>
      <c r="K1486" s="83">
        <f>IFERROR(INDEX(打卡匯入!$D$3:$D$2002,MATCH($C1486&amp;"|"&amp;DAY($A1486),打卡匯入!$E$3:$E$2002,0)),"")</f>
        <v/>
      </c>
      <c r="L1486" s="84">
        <f>IF(OR($J1486="",$K1486=""),"",IFERROR(INDEX(設定!$F$6:$F$21,MATCH($G1486,設定!$B$6:$B$21,0)),0))</f>
        <v/>
      </c>
      <c r="M1486" s="85">
        <f>IF(OR($J1486="",$K1486=""),"",ROUND(($K1486-$J1486)*24-$L1486/60,2))</f>
        <v/>
      </c>
      <c r="N1486" s="16">
        <f>IF($C1486="","",IF(AND(COUNTIF(設定!$B$15:$B$21,$G1486)&gt;0,$J1486&lt;&gt;""),"假日出勤",IF(AND(COUNTIF(設定!$B$6:$B$14,$G1486)&gt;0,$J1486=""),"未打卡",IF($J1486="","",IF($O1486&gt;0,"遲到",IF($P1486&gt;0,"早退","正常"))))))</f>
        <v/>
      </c>
      <c r="O1486" s="84">
        <f>IF(OR($C1486="",$H1486="",$J1486=""),0,IF(ROUND(($J1486-$H1486)*1440,0)&gt;設定!$C$46,ROUND(($J1486-$H1486)*1440,0),0))</f>
        <v/>
      </c>
      <c r="P1486" s="84">
        <f>IF(OR($C1486="",$I1486="",$K1486=""),0,IF(ROUND(($I1486-$K1486)*1440,0)&gt;設定!$C$46,ROUND(($I1486-$K1486)*1440,0),0))</f>
        <v/>
      </c>
      <c r="Q1486" s="85">
        <f>IF($M1486="",0,IF(($M1486-IFERROR(INDEX(設定!$G$6:$G$21,MATCH($G1486,設定!$B$6:$B$21,0)),0))*60&gt;=設定!$C$44,ROUND(FLOOR(($M1486-IFERROR(INDEX(設定!$G$6:$G$21,MATCH($G1486,設定!$B$6:$B$21,0)),0))*60,設定!$C$45)/60,2),0))</f>
        <v/>
      </c>
      <c r="R1486" s="16">
        <f>IF(OR($C1486="",$Q1486=0),"",IF($G1486="國","國定假日",IF($B1486="日","例假",IF($B1486="六","休息日","平日"))))</f>
        <v/>
      </c>
      <c r="S1486" s="19" t="n"/>
    </row>
    <row r="1487">
      <c r="A1487" s="82">
        <f>IF(OR(助理班表!$A52="",28&gt;DAY(EOMONTH(DATE(設定!$C$2,設定!$D$2,1),0))),"",DATE(設定!$C$2,設定!$D$2,28))</f>
        <v/>
      </c>
      <c r="B1487" s="16">
        <f>IF($A1487="","",INDEX(設定!$O$6:$O$12,WEEKDAY($A1487,1)))</f>
        <v/>
      </c>
      <c r="C1487" s="16">
        <f>IF($A1487="","",助理班表!$A52)</f>
        <v/>
      </c>
      <c r="D1487" s="16">
        <f>IF($C1487="","",助理班表!$B52)</f>
        <v/>
      </c>
      <c r="E1487" s="16">
        <f>IF($C1487="","",助理班表!$D52)</f>
        <v/>
      </c>
      <c r="F1487" s="16">
        <f>IF($C1487="","",助理班表!$C52)</f>
        <v/>
      </c>
      <c r="G1487" s="16">
        <f>IF($C1487="","",助理班表!AF52)</f>
        <v/>
      </c>
      <c r="H1487" s="83">
        <f>IF($G1487="","",IFERROR(IF(INDEX(設定!$D$6:$D$21,MATCH($G1487,設定!$B$6:$B$21,0))=0,"",INDEX(設定!$D$6:$D$21,MATCH($G1487,設定!$B$6:$B$21,0))),""))</f>
        <v/>
      </c>
      <c r="I1487" s="83">
        <f>IF($G1487="","",IFERROR(IF(INDEX(設定!$E$6:$E$21,MATCH($G1487,設定!$B$6:$B$21,0))=0,"",INDEX(設定!$E$6:$E$21,MATCH($G1487,設定!$B$6:$B$21,0))),""))</f>
        <v/>
      </c>
      <c r="J1487" s="83">
        <f>IFERROR(INDEX(打卡匯入!$C$3:$C$2002,MATCH($C1487&amp;"|"&amp;DAY($A1487),打卡匯入!$E$3:$E$2002,0)),"")</f>
        <v/>
      </c>
      <c r="K1487" s="83">
        <f>IFERROR(INDEX(打卡匯入!$D$3:$D$2002,MATCH($C1487&amp;"|"&amp;DAY($A1487),打卡匯入!$E$3:$E$2002,0)),"")</f>
        <v/>
      </c>
      <c r="L1487" s="84">
        <f>IF(OR($J1487="",$K1487=""),"",IFERROR(INDEX(設定!$F$6:$F$21,MATCH($G1487,設定!$B$6:$B$21,0)),0))</f>
        <v/>
      </c>
      <c r="M1487" s="85">
        <f>IF(OR($J1487="",$K1487=""),"",ROUND(($K1487-$J1487)*24-$L1487/60,2))</f>
        <v/>
      </c>
      <c r="N1487" s="16">
        <f>IF($C1487="","",IF(AND(COUNTIF(設定!$B$15:$B$21,$G1487)&gt;0,$J1487&lt;&gt;""),"假日出勤",IF(AND(COUNTIF(設定!$B$6:$B$14,$G1487)&gt;0,$J1487=""),"未打卡",IF($J1487="","",IF($O1487&gt;0,"遲到",IF($P1487&gt;0,"早退","正常"))))))</f>
        <v/>
      </c>
      <c r="O1487" s="84">
        <f>IF(OR($C1487="",$H1487="",$J1487=""),0,IF(ROUND(($J1487-$H1487)*1440,0)&gt;設定!$C$46,ROUND(($J1487-$H1487)*1440,0),0))</f>
        <v/>
      </c>
      <c r="P1487" s="84">
        <f>IF(OR($C1487="",$I1487="",$K1487=""),0,IF(ROUND(($I1487-$K1487)*1440,0)&gt;設定!$C$46,ROUND(($I1487-$K1487)*1440,0),0))</f>
        <v/>
      </c>
      <c r="Q1487" s="85">
        <f>IF($M1487="",0,IF(($M1487-IFERROR(INDEX(設定!$G$6:$G$21,MATCH($G1487,設定!$B$6:$B$21,0)),0))*60&gt;=設定!$C$44,ROUND(FLOOR(($M1487-IFERROR(INDEX(設定!$G$6:$G$21,MATCH($G1487,設定!$B$6:$B$21,0)),0))*60,設定!$C$45)/60,2),0))</f>
        <v/>
      </c>
      <c r="R1487" s="16">
        <f>IF(OR($C1487="",$Q1487=0),"",IF($G1487="國","國定假日",IF($B1487="日","例假",IF($B1487="六","休息日","平日"))))</f>
        <v/>
      </c>
      <c r="S1487" s="19" t="n"/>
    </row>
    <row r="1488">
      <c r="A1488" s="82">
        <f>IF(OR(助理班表!$A52="",29&gt;DAY(EOMONTH(DATE(設定!$C$2,設定!$D$2,1),0))),"",DATE(設定!$C$2,設定!$D$2,29))</f>
        <v/>
      </c>
      <c r="B1488" s="16">
        <f>IF($A1488="","",INDEX(設定!$O$6:$O$12,WEEKDAY($A1488,1)))</f>
        <v/>
      </c>
      <c r="C1488" s="16">
        <f>IF($A1488="","",助理班表!$A52)</f>
        <v/>
      </c>
      <c r="D1488" s="16">
        <f>IF($C1488="","",助理班表!$B52)</f>
        <v/>
      </c>
      <c r="E1488" s="16">
        <f>IF($C1488="","",助理班表!$D52)</f>
        <v/>
      </c>
      <c r="F1488" s="16">
        <f>IF($C1488="","",助理班表!$C52)</f>
        <v/>
      </c>
      <c r="G1488" s="16">
        <f>IF($C1488="","",助理班表!AG52)</f>
        <v/>
      </c>
      <c r="H1488" s="83">
        <f>IF($G1488="","",IFERROR(IF(INDEX(設定!$D$6:$D$21,MATCH($G1488,設定!$B$6:$B$21,0))=0,"",INDEX(設定!$D$6:$D$21,MATCH($G1488,設定!$B$6:$B$21,0))),""))</f>
        <v/>
      </c>
      <c r="I1488" s="83">
        <f>IF($G1488="","",IFERROR(IF(INDEX(設定!$E$6:$E$21,MATCH($G1488,設定!$B$6:$B$21,0))=0,"",INDEX(設定!$E$6:$E$21,MATCH($G1488,設定!$B$6:$B$21,0))),""))</f>
        <v/>
      </c>
      <c r="J1488" s="83">
        <f>IFERROR(INDEX(打卡匯入!$C$3:$C$2002,MATCH($C1488&amp;"|"&amp;DAY($A1488),打卡匯入!$E$3:$E$2002,0)),"")</f>
        <v/>
      </c>
      <c r="K1488" s="83">
        <f>IFERROR(INDEX(打卡匯入!$D$3:$D$2002,MATCH($C1488&amp;"|"&amp;DAY($A1488),打卡匯入!$E$3:$E$2002,0)),"")</f>
        <v/>
      </c>
      <c r="L1488" s="84">
        <f>IF(OR($J1488="",$K1488=""),"",IFERROR(INDEX(設定!$F$6:$F$21,MATCH($G1488,設定!$B$6:$B$21,0)),0))</f>
        <v/>
      </c>
      <c r="M1488" s="85">
        <f>IF(OR($J1488="",$K1488=""),"",ROUND(($K1488-$J1488)*24-$L1488/60,2))</f>
        <v/>
      </c>
      <c r="N1488" s="16">
        <f>IF($C1488="","",IF(AND(COUNTIF(設定!$B$15:$B$21,$G1488)&gt;0,$J1488&lt;&gt;""),"假日出勤",IF(AND(COUNTIF(設定!$B$6:$B$14,$G1488)&gt;0,$J1488=""),"未打卡",IF($J1488="","",IF($O1488&gt;0,"遲到",IF($P1488&gt;0,"早退","正常"))))))</f>
        <v/>
      </c>
      <c r="O1488" s="84">
        <f>IF(OR($C1488="",$H1488="",$J1488=""),0,IF(ROUND(($J1488-$H1488)*1440,0)&gt;設定!$C$46,ROUND(($J1488-$H1488)*1440,0),0))</f>
        <v/>
      </c>
      <c r="P1488" s="84">
        <f>IF(OR($C1488="",$I1488="",$K1488=""),0,IF(ROUND(($I1488-$K1488)*1440,0)&gt;設定!$C$46,ROUND(($I1488-$K1488)*1440,0),0))</f>
        <v/>
      </c>
      <c r="Q1488" s="85">
        <f>IF($M1488="",0,IF(($M1488-IFERROR(INDEX(設定!$G$6:$G$21,MATCH($G1488,設定!$B$6:$B$21,0)),0))*60&gt;=設定!$C$44,ROUND(FLOOR(($M1488-IFERROR(INDEX(設定!$G$6:$G$21,MATCH($G1488,設定!$B$6:$B$21,0)),0))*60,設定!$C$45)/60,2),0))</f>
        <v/>
      </c>
      <c r="R1488" s="16">
        <f>IF(OR($C1488="",$Q1488=0),"",IF($G1488="國","國定假日",IF($B1488="日","例假",IF($B1488="六","休息日","平日"))))</f>
        <v/>
      </c>
      <c r="S1488" s="19" t="n"/>
    </row>
    <row r="1489">
      <c r="A1489" s="82">
        <f>IF(OR(助理班表!$A52="",30&gt;DAY(EOMONTH(DATE(設定!$C$2,設定!$D$2,1),0))),"",DATE(設定!$C$2,設定!$D$2,30))</f>
        <v/>
      </c>
      <c r="B1489" s="16">
        <f>IF($A1489="","",INDEX(設定!$O$6:$O$12,WEEKDAY($A1489,1)))</f>
        <v/>
      </c>
      <c r="C1489" s="16">
        <f>IF($A1489="","",助理班表!$A52)</f>
        <v/>
      </c>
      <c r="D1489" s="16">
        <f>IF($C1489="","",助理班表!$B52)</f>
        <v/>
      </c>
      <c r="E1489" s="16">
        <f>IF($C1489="","",助理班表!$D52)</f>
        <v/>
      </c>
      <c r="F1489" s="16">
        <f>IF($C1489="","",助理班表!$C52)</f>
        <v/>
      </c>
      <c r="G1489" s="16">
        <f>IF($C1489="","",助理班表!AH52)</f>
        <v/>
      </c>
      <c r="H1489" s="83">
        <f>IF($G1489="","",IFERROR(IF(INDEX(設定!$D$6:$D$21,MATCH($G1489,設定!$B$6:$B$21,0))=0,"",INDEX(設定!$D$6:$D$21,MATCH($G1489,設定!$B$6:$B$21,0))),""))</f>
        <v/>
      </c>
      <c r="I1489" s="83">
        <f>IF($G1489="","",IFERROR(IF(INDEX(設定!$E$6:$E$21,MATCH($G1489,設定!$B$6:$B$21,0))=0,"",INDEX(設定!$E$6:$E$21,MATCH($G1489,設定!$B$6:$B$21,0))),""))</f>
        <v/>
      </c>
      <c r="J1489" s="83">
        <f>IFERROR(INDEX(打卡匯入!$C$3:$C$2002,MATCH($C1489&amp;"|"&amp;DAY($A1489),打卡匯入!$E$3:$E$2002,0)),"")</f>
        <v/>
      </c>
      <c r="K1489" s="83">
        <f>IFERROR(INDEX(打卡匯入!$D$3:$D$2002,MATCH($C1489&amp;"|"&amp;DAY($A1489),打卡匯入!$E$3:$E$2002,0)),"")</f>
        <v/>
      </c>
      <c r="L1489" s="84">
        <f>IF(OR($J1489="",$K1489=""),"",IFERROR(INDEX(設定!$F$6:$F$21,MATCH($G1489,設定!$B$6:$B$21,0)),0))</f>
        <v/>
      </c>
      <c r="M1489" s="85">
        <f>IF(OR($J1489="",$K1489=""),"",ROUND(($K1489-$J1489)*24-$L1489/60,2))</f>
        <v/>
      </c>
      <c r="N1489" s="16">
        <f>IF($C1489="","",IF(AND(COUNTIF(設定!$B$15:$B$21,$G1489)&gt;0,$J1489&lt;&gt;""),"假日出勤",IF(AND(COUNTIF(設定!$B$6:$B$14,$G1489)&gt;0,$J1489=""),"未打卡",IF($J1489="","",IF($O1489&gt;0,"遲到",IF($P1489&gt;0,"早退","正常"))))))</f>
        <v/>
      </c>
      <c r="O1489" s="84">
        <f>IF(OR($C1489="",$H1489="",$J1489=""),0,IF(ROUND(($J1489-$H1489)*1440,0)&gt;設定!$C$46,ROUND(($J1489-$H1489)*1440,0),0))</f>
        <v/>
      </c>
      <c r="P1489" s="84">
        <f>IF(OR($C1489="",$I1489="",$K1489=""),0,IF(ROUND(($I1489-$K1489)*1440,0)&gt;設定!$C$46,ROUND(($I1489-$K1489)*1440,0),0))</f>
        <v/>
      </c>
      <c r="Q1489" s="85">
        <f>IF($M1489="",0,IF(($M1489-IFERROR(INDEX(設定!$G$6:$G$21,MATCH($G1489,設定!$B$6:$B$21,0)),0))*60&gt;=設定!$C$44,ROUND(FLOOR(($M1489-IFERROR(INDEX(設定!$G$6:$G$21,MATCH($G1489,設定!$B$6:$B$21,0)),0))*60,設定!$C$45)/60,2),0))</f>
        <v/>
      </c>
      <c r="R1489" s="16">
        <f>IF(OR($C1489="",$Q1489=0),"",IF($G1489="國","國定假日",IF($B1489="日","例假",IF($B1489="六","休息日","平日"))))</f>
        <v/>
      </c>
      <c r="S1489" s="19" t="n"/>
    </row>
    <row r="1490">
      <c r="A1490" s="82">
        <f>IF(OR(助理班表!$A52="",31&gt;DAY(EOMONTH(DATE(設定!$C$2,設定!$D$2,1),0))),"",DATE(設定!$C$2,設定!$D$2,31))</f>
        <v/>
      </c>
      <c r="B1490" s="16">
        <f>IF($A1490="","",INDEX(設定!$O$6:$O$12,WEEKDAY($A1490,1)))</f>
        <v/>
      </c>
      <c r="C1490" s="16">
        <f>IF($A1490="","",助理班表!$A52)</f>
        <v/>
      </c>
      <c r="D1490" s="16">
        <f>IF($C1490="","",助理班表!$B52)</f>
        <v/>
      </c>
      <c r="E1490" s="16">
        <f>IF($C1490="","",助理班表!$D52)</f>
        <v/>
      </c>
      <c r="F1490" s="16">
        <f>IF($C1490="","",助理班表!$C52)</f>
        <v/>
      </c>
      <c r="G1490" s="16">
        <f>IF($C1490="","",助理班表!AI52)</f>
        <v/>
      </c>
      <c r="H1490" s="83">
        <f>IF($G1490="","",IFERROR(IF(INDEX(設定!$D$6:$D$21,MATCH($G1490,設定!$B$6:$B$21,0))=0,"",INDEX(設定!$D$6:$D$21,MATCH($G1490,設定!$B$6:$B$21,0))),""))</f>
        <v/>
      </c>
      <c r="I1490" s="83">
        <f>IF($G1490="","",IFERROR(IF(INDEX(設定!$E$6:$E$21,MATCH($G1490,設定!$B$6:$B$21,0))=0,"",INDEX(設定!$E$6:$E$21,MATCH($G1490,設定!$B$6:$B$21,0))),""))</f>
        <v/>
      </c>
      <c r="J1490" s="83">
        <f>IFERROR(INDEX(打卡匯入!$C$3:$C$2002,MATCH($C1490&amp;"|"&amp;DAY($A1490),打卡匯入!$E$3:$E$2002,0)),"")</f>
        <v/>
      </c>
      <c r="K1490" s="83">
        <f>IFERROR(INDEX(打卡匯入!$D$3:$D$2002,MATCH($C1490&amp;"|"&amp;DAY($A1490),打卡匯入!$E$3:$E$2002,0)),"")</f>
        <v/>
      </c>
      <c r="L1490" s="84">
        <f>IF(OR($J1490="",$K1490=""),"",IFERROR(INDEX(設定!$F$6:$F$21,MATCH($G1490,設定!$B$6:$B$21,0)),0))</f>
        <v/>
      </c>
      <c r="M1490" s="85">
        <f>IF(OR($J1490="",$K1490=""),"",ROUND(($K1490-$J1490)*24-$L1490/60,2))</f>
        <v/>
      </c>
      <c r="N1490" s="16">
        <f>IF($C1490="","",IF(AND(COUNTIF(設定!$B$15:$B$21,$G1490)&gt;0,$J1490&lt;&gt;""),"假日出勤",IF(AND(COUNTIF(設定!$B$6:$B$14,$G1490)&gt;0,$J1490=""),"未打卡",IF($J1490="","",IF($O1490&gt;0,"遲到",IF($P1490&gt;0,"早退","正常"))))))</f>
        <v/>
      </c>
      <c r="O1490" s="84">
        <f>IF(OR($C1490="",$H1490="",$J1490=""),0,IF(ROUND(($J1490-$H1490)*1440,0)&gt;設定!$C$46,ROUND(($J1490-$H1490)*1440,0),0))</f>
        <v/>
      </c>
      <c r="P1490" s="84">
        <f>IF(OR($C1490="",$I1490="",$K1490=""),0,IF(ROUND(($I1490-$K1490)*1440,0)&gt;設定!$C$46,ROUND(($I1490-$K1490)*1440,0),0))</f>
        <v/>
      </c>
      <c r="Q1490" s="85">
        <f>IF($M1490="",0,IF(($M1490-IFERROR(INDEX(設定!$G$6:$G$21,MATCH($G1490,設定!$B$6:$B$21,0)),0))*60&gt;=設定!$C$44,ROUND(FLOOR(($M1490-IFERROR(INDEX(設定!$G$6:$G$21,MATCH($G1490,設定!$B$6:$B$21,0)),0))*60,設定!$C$45)/60,2),0))</f>
        <v/>
      </c>
      <c r="R1490" s="16">
        <f>IF(OR($C1490="",$Q1490=0),"",IF($G1490="國","國定假日",IF($B1490="日","例假",IF($B1490="六","休息日","平日"))))</f>
        <v/>
      </c>
      <c r="S1490" s="19" t="n"/>
    </row>
    <row r="1491">
      <c r="A1491" s="82">
        <f>IF(OR(助理班表!$A53="",1&gt;DAY(EOMONTH(DATE(設定!$C$2,設定!$D$2,1),0))),"",DATE(設定!$C$2,設定!$D$2,1))</f>
        <v/>
      </c>
      <c r="B1491" s="16">
        <f>IF($A1491="","",INDEX(設定!$O$6:$O$12,WEEKDAY($A1491,1)))</f>
        <v/>
      </c>
      <c r="C1491" s="16">
        <f>IF($A1491="","",助理班表!$A53)</f>
        <v/>
      </c>
      <c r="D1491" s="16">
        <f>IF($C1491="","",助理班表!$B53)</f>
        <v/>
      </c>
      <c r="E1491" s="16">
        <f>IF($C1491="","",助理班表!$D53)</f>
        <v/>
      </c>
      <c r="F1491" s="16">
        <f>IF($C1491="","",助理班表!$C53)</f>
        <v/>
      </c>
      <c r="G1491" s="16">
        <f>IF($C1491="","",助理班表!E53)</f>
        <v/>
      </c>
      <c r="H1491" s="83">
        <f>IF($G1491="","",IFERROR(IF(INDEX(設定!$D$6:$D$21,MATCH($G1491,設定!$B$6:$B$21,0))=0,"",INDEX(設定!$D$6:$D$21,MATCH($G1491,設定!$B$6:$B$21,0))),""))</f>
        <v/>
      </c>
      <c r="I1491" s="83">
        <f>IF($G1491="","",IFERROR(IF(INDEX(設定!$E$6:$E$21,MATCH($G1491,設定!$B$6:$B$21,0))=0,"",INDEX(設定!$E$6:$E$21,MATCH($G1491,設定!$B$6:$B$21,0))),""))</f>
        <v/>
      </c>
      <c r="J1491" s="83">
        <f>IFERROR(INDEX(打卡匯入!$C$3:$C$2002,MATCH($C1491&amp;"|"&amp;DAY($A1491),打卡匯入!$E$3:$E$2002,0)),"")</f>
        <v/>
      </c>
      <c r="K1491" s="83">
        <f>IFERROR(INDEX(打卡匯入!$D$3:$D$2002,MATCH($C1491&amp;"|"&amp;DAY($A1491),打卡匯入!$E$3:$E$2002,0)),"")</f>
        <v/>
      </c>
      <c r="L1491" s="84">
        <f>IF(OR($J1491="",$K1491=""),"",IFERROR(INDEX(設定!$F$6:$F$21,MATCH($G1491,設定!$B$6:$B$21,0)),0))</f>
        <v/>
      </c>
      <c r="M1491" s="85">
        <f>IF(OR($J1491="",$K1491=""),"",ROUND(($K1491-$J1491)*24-$L1491/60,2))</f>
        <v/>
      </c>
      <c r="N1491" s="16">
        <f>IF($C1491="","",IF(AND(COUNTIF(設定!$B$15:$B$21,$G1491)&gt;0,$J1491&lt;&gt;""),"假日出勤",IF(AND(COUNTIF(設定!$B$6:$B$14,$G1491)&gt;0,$J1491=""),"未打卡",IF($J1491="","",IF($O1491&gt;0,"遲到",IF($P1491&gt;0,"早退","正常"))))))</f>
        <v/>
      </c>
      <c r="O1491" s="84">
        <f>IF(OR($C1491="",$H1491="",$J1491=""),0,IF(ROUND(($J1491-$H1491)*1440,0)&gt;設定!$C$46,ROUND(($J1491-$H1491)*1440,0),0))</f>
        <v/>
      </c>
      <c r="P1491" s="84">
        <f>IF(OR($C1491="",$I1491="",$K1491=""),0,IF(ROUND(($I1491-$K1491)*1440,0)&gt;設定!$C$46,ROUND(($I1491-$K1491)*1440,0),0))</f>
        <v/>
      </c>
      <c r="Q1491" s="85">
        <f>IF($M1491="",0,IF(($M1491-IFERROR(INDEX(設定!$G$6:$G$21,MATCH($G1491,設定!$B$6:$B$21,0)),0))*60&gt;=設定!$C$44,ROUND(FLOOR(($M1491-IFERROR(INDEX(設定!$G$6:$G$21,MATCH($G1491,設定!$B$6:$B$21,0)),0))*60,設定!$C$45)/60,2),0))</f>
        <v/>
      </c>
      <c r="R1491" s="16">
        <f>IF(OR($C1491="",$Q1491=0),"",IF($G1491="國","國定假日",IF($B1491="日","例假",IF($B1491="六","休息日","平日"))))</f>
        <v/>
      </c>
      <c r="S1491" s="19" t="n"/>
    </row>
    <row r="1492">
      <c r="A1492" s="82">
        <f>IF(OR(助理班表!$A53="",2&gt;DAY(EOMONTH(DATE(設定!$C$2,設定!$D$2,1),0))),"",DATE(設定!$C$2,設定!$D$2,2))</f>
        <v/>
      </c>
      <c r="B1492" s="16">
        <f>IF($A1492="","",INDEX(設定!$O$6:$O$12,WEEKDAY($A1492,1)))</f>
        <v/>
      </c>
      <c r="C1492" s="16">
        <f>IF($A1492="","",助理班表!$A53)</f>
        <v/>
      </c>
      <c r="D1492" s="16">
        <f>IF($C1492="","",助理班表!$B53)</f>
        <v/>
      </c>
      <c r="E1492" s="16">
        <f>IF($C1492="","",助理班表!$D53)</f>
        <v/>
      </c>
      <c r="F1492" s="16">
        <f>IF($C1492="","",助理班表!$C53)</f>
        <v/>
      </c>
      <c r="G1492" s="16">
        <f>IF($C1492="","",助理班表!F53)</f>
        <v/>
      </c>
      <c r="H1492" s="83">
        <f>IF($G1492="","",IFERROR(IF(INDEX(設定!$D$6:$D$21,MATCH($G1492,設定!$B$6:$B$21,0))=0,"",INDEX(設定!$D$6:$D$21,MATCH($G1492,設定!$B$6:$B$21,0))),""))</f>
        <v/>
      </c>
      <c r="I1492" s="83">
        <f>IF($G1492="","",IFERROR(IF(INDEX(設定!$E$6:$E$21,MATCH($G1492,設定!$B$6:$B$21,0))=0,"",INDEX(設定!$E$6:$E$21,MATCH($G1492,設定!$B$6:$B$21,0))),""))</f>
        <v/>
      </c>
      <c r="J1492" s="83">
        <f>IFERROR(INDEX(打卡匯入!$C$3:$C$2002,MATCH($C1492&amp;"|"&amp;DAY($A1492),打卡匯入!$E$3:$E$2002,0)),"")</f>
        <v/>
      </c>
      <c r="K1492" s="83">
        <f>IFERROR(INDEX(打卡匯入!$D$3:$D$2002,MATCH($C1492&amp;"|"&amp;DAY($A1492),打卡匯入!$E$3:$E$2002,0)),"")</f>
        <v/>
      </c>
      <c r="L1492" s="84">
        <f>IF(OR($J1492="",$K1492=""),"",IFERROR(INDEX(設定!$F$6:$F$21,MATCH($G1492,設定!$B$6:$B$21,0)),0))</f>
        <v/>
      </c>
      <c r="M1492" s="85">
        <f>IF(OR($J1492="",$K1492=""),"",ROUND(($K1492-$J1492)*24-$L1492/60,2))</f>
        <v/>
      </c>
      <c r="N1492" s="16">
        <f>IF($C1492="","",IF(AND(COUNTIF(設定!$B$15:$B$21,$G1492)&gt;0,$J1492&lt;&gt;""),"假日出勤",IF(AND(COUNTIF(設定!$B$6:$B$14,$G1492)&gt;0,$J1492=""),"未打卡",IF($J1492="","",IF($O1492&gt;0,"遲到",IF($P1492&gt;0,"早退","正常"))))))</f>
        <v/>
      </c>
      <c r="O1492" s="84">
        <f>IF(OR($C1492="",$H1492="",$J1492=""),0,IF(ROUND(($J1492-$H1492)*1440,0)&gt;設定!$C$46,ROUND(($J1492-$H1492)*1440,0),0))</f>
        <v/>
      </c>
      <c r="P1492" s="84">
        <f>IF(OR($C1492="",$I1492="",$K1492=""),0,IF(ROUND(($I1492-$K1492)*1440,0)&gt;設定!$C$46,ROUND(($I1492-$K1492)*1440,0),0))</f>
        <v/>
      </c>
      <c r="Q1492" s="85">
        <f>IF($M1492="",0,IF(($M1492-IFERROR(INDEX(設定!$G$6:$G$21,MATCH($G1492,設定!$B$6:$B$21,0)),0))*60&gt;=設定!$C$44,ROUND(FLOOR(($M1492-IFERROR(INDEX(設定!$G$6:$G$21,MATCH($G1492,設定!$B$6:$B$21,0)),0))*60,設定!$C$45)/60,2),0))</f>
        <v/>
      </c>
      <c r="R1492" s="16">
        <f>IF(OR($C1492="",$Q1492=0),"",IF($G1492="國","國定假日",IF($B1492="日","例假",IF($B1492="六","休息日","平日"))))</f>
        <v/>
      </c>
      <c r="S1492" s="19" t="n"/>
    </row>
    <row r="1493">
      <c r="A1493" s="82">
        <f>IF(OR(助理班表!$A53="",3&gt;DAY(EOMONTH(DATE(設定!$C$2,設定!$D$2,1),0))),"",DATE(設定!$C$2,設定!$D$2,3))</f>
        <v/>
      </c>
      <c r="B1493" s="16">
        <f>IF($A1493="","",INDEX(設定!$O$6:$O$12,WEEKDAY($A1493,1)))</f>
        <v/>
      </c>
      <c r="C1493" s="16">
        <f>IF($A1493="","",助理班表!$A53)</f>
        <v/>
      </c>
      <c r="D1493" s="16">
        <f>IF($C1493="","",助理班表!$B53)</f>
        <v/>
      </c>
      <c r="E1493" s="16">
        <f>IF($C1493="","",助理班表!$D53)</f>
        <v/>
      </c>
      <c r="F1493" s="16">
        <f>IF($C1493="","",助理班表!$C53)</f>
        <v/>
      </c>
      <c r="G1493" s="16">
        <f>IF($C1493="","",助理班表!G53)</f>
        <v/>
      </c>
      <c r="H1493" s="83">
        <f>IF($G1493="","",IFERROR(IF(INDEX(設定!$D$6:$D$21,MATCH($G1493,設定!$B$6:$B$21,0))=0,"",INDEX(設定!$D$6:$D$21,MATCH($G1493,設定!$B$6:$B$21,0))),""))</f>
        <v/>
      </c>
      <c r="I1493" s="83">
        <f>IF($G1493="","",IFERROR(IF(INDEX(設定!$E$6:$E$21,MATCH($G1493,設定!$B$6:$B$21,0))=0,"",INDEX(設定!$E$6:$E$21,MATCH($G1493,設定!$B$6:$B$21,0))),""))</f>
        <v/>
      </c>
      <c r="J1493" s="83">
        <f>IFERROR(INDEX(打卡匯入!$C$3:$C$2002,MATCH($C1493&amp;"|"&amp;DAY($A1493),打卡匯入!$E$3:$E$2002,0)),"")</f>
        <v/>
      </c>
      <c r="K1493" s="83">
        <f>IFERROR(INDEX(打卡匯入!$D$3:$D$2002,MATCH($C1493&amp;"|"&amp;DAY($A1493),打卡匯入!$E$3:$E$2002,0)),"")</f>
        <v/>
      </c>
      <c r="L1493" s="84">
        <f>IF(OR($J1493="",$K1493=""),"",IFERROR(INDEX(設定!$F$6:$F$21,MATCH($G1493,設定!$B$6:$B$21,0)),0))</f>
        <v/>
      </c>
      <c r="M1493" s="85">
        <f>IF(OR($J1493="",$K1493=""),"",ROUND(($K1493-$J1493)*24-$L1493/60,2))</f>
        <v/>
      </c>
      <c r="N1493" s="16">
        <f>IF($C1493="","",IF(AND(COUNTIF(設定!$B$15:$B$21,$G1493)&gt;0,$J1493&lt;&gt;""),"假日出勤",IF(AND(COUNTIF(設定!$B$6:$B$14,$G1493)&gt;0,$J1493=""),"未打卡",IF($J1493="","",IF($O1493&gt;0,"遲到",IF($P1493&gt;0,"早退","正常"))))))</f>
        <v/>
      </c>
      <c r="O1493" s="84">
        <f>IF(OR($C1493="",$H1493="",$J1493=""),0,IF(ROUND(($J1493-$H1493)*1440,0)&gt;設定!$C$46,ROUND(($J1493-$H1493)*1440,0),0))</f>
        <v/>
      </c>
      <c r="P1493" s="84">
        <f>IF(OR($C1493="",$I1493="",$K1493=""),0,IF(ROUND(($I1493-$K1493)*1440,0)&gt;設定!$C$46,ROUND(($I1493-$K1493)*1440,0),0))</f>
        <v/>
      </c>
      <c r="Q1493" s="85">
        <f>IF($M1493="",0,IF(($M1493-IFERROR(INDEX(設定!$G$6:$G$21,MATCH($G1493,設定!$B$6:$B$21,0)),0))*60&gt;=設定!$C$44,ROUND(FLOOR(($M1493-IFERROR(INDEX(設定!$G$6:$G$21,MATCH($G1493,設定!$B$6:$B$21,0)),0))*60,設定!$C$45)/60,2),0))</f>
        <v/>
      </c>
      <c r="R1493" s="16">
        <f>IF(OR($C1493="",$Q1493=0),"",IF($G1493="國","國定假日",IF($B1493="日","例假",IF($B1493="六","休息日","平日"))))</f>
        <v/>
      </c>
      <c r="S1493" s="19" t="n"/>
    </row>
    <row r="1494">
      <c r="A1494" s="82">
        <f>IF(OR(助理班表!$A53="",4&gt;DAY(EOMONTH(DATE(設定!$C$2,設定!$D$2,1),0))),"",DATE(設定!$C$2,設定!$D$2,4))</f>
        <v/>
      </c>
      <c r="B1494" s="16">
        <f>IF($A1494="","",INDEX(設定!$O$6:$O$12,WEEKDAY($A1494,1)))</f>
        <v/>
      </c>
      <c r="C1494" s="16">
        <f>IF($A1494="","",助理班表!$A53)</f>
        <v/>
      </c>
      <c r="D1494" s="16">
        <f>IF($C1494="","",助理班表!$B53)</f>
        <v/>
      </c>
      <c r="E1494" s="16">
        <f>IF($C1494="","",助理班表!$D53)</f>
        <v/>
      </c>
      <c r="F1494" s="16">
        <f>IF($C1494="","",助理班表!$C53)</f>
        <v/>
      </c>
      <c r="G1494" s="16">
        <f>IF($C1494="","",助理班表!H53)</f>
        <v/>
      </c>
      <c r="H1494" s="83">
        <f>IF($G1494="","",IFERROR(IF(INDEX(設定!$D$6:$D$21,MATCH($G1494,設定!$B$6:$B$21,0))=0,"",INDEX(設定!$D$6:$D$21,MATCH($G1494,設定!$B$6:$B$21,0))),""))</f>
        <v/>
      </c>
      <c r="I1494" s="83">
        <f>IF($G1494="","",IFERROR(IF(INDEX(設定!$E$6:$E$21,MATCH($G1494,設定!$B$6:$B$21,0))=0,"",INDEX(設定!$E$6:$E$21,MATCH($G1494,設定!$B$6:$B$21,0))),""))</f>
        <v/>
      </c>
      <c r="J1494" s="83">
        <f>IFERROR(INDEX(打卡匯入!$C$3:$C$2002,MATCH($C1494&amp;"|"&amp;DAY($A1494),打卡匯入!$E$3:$E$2002,0)),"")</f>
        <v/>
      </c>
      <c r="K1494" s="83">
        <f>IFERROR(INDEX(打卡匯入!$D$3:$D$2002,MATCH($C1494&amp;"|"&amp;DAY($A1494),打卡匯入!$E$3:$E$2002,0)),"")</f>
        <v/>
      </c>
      <c r="L1494" s="84">
        <f>IF(OR($J1494="",$K1494=""),"",IFERROR(INDEX(設定!$F$6:$F$21,MATCH($G1494,設定!$B$6:$B$21,0)),0))</f>
        <v/>
      </c>
      <c r="M1494" s="85">
        <f>IF(OR($J1494="",$K1494=""),"",ROUND(($K1494-$J1494)*24-$L1494/60,2))</f>
        <v/>
      </c>
      <c r="N1494" s="16">
        <f>IF($C1494="","",IF(AND(COUNTIF(設定!$B$15:$B$21,$G1494)&gt;0,$J1494&lt;&gt;""),"假日出勤",IF(AND(COUNTIF(設定!$B$6:$B$14,$G1494)&gt;0,$J1494=""),"未打卡",IF($J1494="","",IF($O1494&gt;0,"遲到",IF($P1494&gt;0,"早退","正常"))))))</f>
        <v/>
      </c>
      <c r="O1494" s="84">
        <f>IF(OR($C1494="",$H1494="",$J1494=""),0,IF(ROUND(($J1494-$H1494)*1440,0)&gt;設定!$C$46,ROUND(($J1494-$H1494)*1440,0),0))</f>
        <v/>
      </c>
      <c r="P1494" s="84">
        <f>IF(OR($C1494="",$I1494="",$K1494=""),0,IF(ROUND(($I1494-$K1494)*1440,0)&gt;設定!$C$46,ROUND(($I1494-$K1494)*1440,0),0))</f>
        <v/>
      </c>
      <c r="Q1494" s="85">
        <f>IF($M1494="",0,IF(($M1494-IFERROR(INDEX(設定!$G$6:$G$21,MATCH($G1494,設定!$B$6:$B$21,0)),0))*60&gt;=設定!$C$44,ROUND(FLOOR(($M1494-IFERROR(INDEX(設定!$G$6:$G$21,MATCH($G1494,設定!$B$6:$B$21,0)),0))*60,設定!$C$45)/60,2),0))</f>
        <v/>
      </c>
      <c r="R1494" s="16">
        <f>IF(OR($C1494="",$Q1494=0),"",IF($G1494="國","國定假日",IF($B1494="日","例假",IF($B1494="六","休息日","平日"))))</f>
        <v/>
      </c>
      <c r="S1494" s="19" t="n"/>
    </row>
    <row r="1495">
      <c r="A1495" s="82">
        <f>IF(OR(助理班表!$A53="",5&gt;DAY(EOMONTH(DATE(設定!$C$2,設定!$D$2,1),0))),"",DATE(設定!$C$2,設定!$D$2,5))</f>
        <v/>
      </c>
      <c r="B1495" s="16">
        <f>IF($A1495="","",INDEX(設定!$O$6:$O$12,WEEKDAY($A1495,1)))</f>
        <v/>
      </c>
      <c r="C1495" s="16">
        <f>IF($A1495="","",助理班表!$A53)</f>
        <v/>
      </c>
      <c r="D1495" s="16">
        <f>IF($C1495="","",助理班表!$B53)</f>
        <v/>
      </c>
      <c r="E1495" s="16">
        <f>IF($C1495="","",助理班表!$D53)</f>
        <v/>
      </c>
      <c r="F1495" s="16">
        <f>IF($C1495="","",助理班表!$C53)</f>
        <v/>
      </c>
      <c r="G1495" s="16">
        <f>IF($C1495="","",助理班表!I53)</f>
        <v/>
      </c>
      <c r="H1495" s="83">
        <f>IF($G1495="","",IFERROR(IF(INDEX(設定!$D$6:$D$21,MATCH($G1495,設定!$B$6:$B$21,0))=0,"",INDEX(設定!$D$6:$D$21,MATCH($G1495,設定!$B$6:$B$21,0))),""))</f>
        <v/>
      </c>
      <c r="I1495" s="83">
        <f>IF($G1495="","",IFERROR(IF(INDEX(設定!$E$6:$E$21,MATCH($G1495,設定!$B$6:$B$21,0))=0,"",INDEX(設定!$E$6:$E$21,MATCH($G1495,設定!$B$6:$B$21,0))),""))</f>
        <v/>
      </c>
      <c r="J1495" s="83">
        <f>IFERROR(INDEX(打卡匯入!$C$3:$C$2002,MATCH($C1495&amp;"|"&amp;DAY($A1495),打卡匯入!$E$3:$E$2002,0)),"")</f>
        <v/>
      </c>
      <c r="K1495" s="83">
        <f>IFERROR(INDEX(打卡匯入!$D$3:$D$2002,MATCH($C1495&amp;"|"&amp;DAY($A1495),打卡匯入!$E$3:$E$2002,0)),"")</f>
        <v/>
      </c>
      <c r="L1495" s="84">
        <f>IF(OR($J1495="",$K1495=""),"",IFERROR(INDEX(設定!$F$6:$F$21,MATCH($G1495,設定!$B$6:$B$21,0)),0))</f>
        <v/>
      </c>
      <c r="M1495" s="85">
        <f>IF(OR($J1495="",$K1495=""),"",ROUND(($K1495-$J1495)*24-$L1495/60,2))</f>
        <v/>
      </c>
      <c r="N1495" s="16">
        <f>IF($C1495="","",IF(AND(COUNTIF(設定!$B$15:$B$21,$G1495)&gt;0,$J1495&lt;&gt;""),"假日出勤",IF(AND(COUNTIF(設定!$B$6:$B$14,$G1495)&gt;0,$J1495=""),"未打卡",IF($J1495="","",IF($O1495&gt;0,"遲到",IF($P1495&gt;0,"早退","正常"))))))</f>
        <v/>
      </c>
      <c r="O1495" s="84">
        <f>IF(OR($C1495="",$H1495="",$J1495=""),0,IF(ROUND(($J1495-$H1495)*1440,0)&gt;設定!$C$46,ROUND(($J1495-$H1495)*1440,0),0))</f>
        <v/>
      </c>
      <c r="P1495" s="84">
        <f>IF(OR($C1495="",$I1495="",$K1495=""),0,IF(ROUND(($I1495-$K1495)*1440,0)&gt;設定!$C$46,ROUND(($I1495-$K1495)*1440,0),0))</f>
        <v/>
      </c>
      <c r="Q1495" s="85">
        <f>IF($M1495="",0,IF(($M1495-IFERROR(INDEX(設定!$G$6:$G$21,MATCH($G1495,設定!$B$6:$B$21,0)),0))*60&gt;=設定!$C$44,ROUND(FLOOR(($M1495-IFERROR(INDEX(設定!$G$6:$G$21,MATCH($G1495,設定!$B$6:$B$21,0)),0))*60,設定!$C$45)/60,2),0))</f>
        <v/>
      </c>
      <c r="R1495" s="16">
        <f>IF(OR($C1495="",$Q1495=0),"",IF($G1495="國","國定假日",IF($B1495="日","例假",IF($B1495="六","休息日","平日"))))</f>
        <v/>
      </c>
      <c r="S1495" s="19" t="n"/>
    </row>
    <row r="1496">
      <c r="A1496" s="82">
        <f>IF(OR(助理班表!$A53="",6&gt;DAY(EOMONTH(DATE(設定!$C$2,設定!$D$2,1),0))),"",DATE(設定!$C$2,設定!$D$2,6))</f>
        <v/>
      </c>
      <c r="B1496" s="16">
        <f>IF($A1496="","",INDEX(設定!$O$6:$O$12,WEEKDAY($A1496,1)))</f>
        <v/>
      </c>
      <c r="C1496" s="16">
        <f>IF($A1496="","",助理班表!$A53)</f>
        <v/>
      </c>
      <c r="D1496" s="16">
        <f>IF($C1496="","",助理班表!$B53)</f>
        <v/>
      </c>
      <c r="E1496" s="16">
        <f>IF($C1496="","",助理班表!$D53)</f>
        <v/>
      </c>
      <c r="F1496" s="16">
        <f>IF($C1496="","",助理班表!$C53)</f>
        <v/>
      </c>
      <c r="G1496" s="16">
        <f>IF($C1496="","",助理班表!J53)</f>
        <v/>
      </c>
      <c r="H1496" s="83">
        <f>IF($G1496="","",IFERROR(IF(INDEX(設定!$D$6:$D$21,MATCH($G1496,設定!$B$6:$B$21,0))=0,"",INDEX(設定!$D$6:$D$21,MATCH($G1496,設定!$B$6:$B$21,0))),""))</f>
        <v/>
      </c>
      <c r="I1496" s="83">
        <f>IF($G1496="","",IFERROR(IF(INDEX(設定!$E$6:$E$21,MATCH($G1496,設定!$B$6:$B$21,0))=0,"",INDEX(設定!$E$6:$E$21,MATCH($G1496,設定!$B$6:$B$21,0))),""))</f>
        <v/>
      </c>
      <c r="J1496" s="83">
        <f>IFERROR(INDEX(打卡匯入!$C$3:$C$2002,MATCH($C1496&amp;"|"&amp;DAY($A1496),打卡匯入!$E$3:$E$2002,0)),"")</f>
        <v/>
      </c>
      <c r="K1496" s="83">
        <f>IFERROR(INDEX(打卡匯入!$D$3:$D$2002,MATCH($C1496&amp;"|"&amp;DAY($A1496),打卡匯入!$E$3:$E$2002,0)),"")</f>
        <v/>
      </c>
      <c r="L1496" s="84">
        <f>IF(OR($J1496="",$K1496=""),"",IFERROR(INDEX(設定!$F$6:$F$21,MATCH($G1496,設定!$B$6:$B$21,0)),0))</f>
        <v/>
      </c>
      <c r="M1496" s="85">
        <f>IF(OR($J1496="",$K1496=""),"",ROUND(($K1496-$J1496)*24-$L1496/60,2))</f>
        <v/>
      </c>
      <c r="N1496" s="16">
        <f>IF($C1496="","",IF(AND(COUNTIF(設定!$B$15:$B$21,$G1496)&gt;0,$J1496&lt;&gt;""),"假日出勤",IF(AND(COUNTIF(設定!$B$6:$B$14,$G1496)&gt;0,$J1496=""),"未打卡",IF($J1496="","",IF($O1496&gt;0,"遲到",IF($P1496&gt;0,"早退","正常"))))))</f>
        <v/>
      </c>
      <c r="O1496" s="84">
        <f>IF(OR($C1496="",$H1496="",$J1496=""),0,IF(ROUND(($J1496-$H1496)*1440,0)&gt;設定!$C$46,ROUND(($J1496-$H1496)*1440,0),0))</f>
        <v/>
      </c>
      <c r="P1496" s="84">
        <f>IF(OR($C1496="",$I1496="",$K1496=""),0,IF(ROUND(($I1496-$K1496)*1440,0)&gt;設定!$C$46,ROUND(($I1496-$K1496)*1440,0),0))</f>
        <v/>
      </c>
      <c r="Q1496" s="85">
        <f>IF($M1496="",0,IF(($M1496-IFERROR(INDEX(設定!$G$6:$G$21,MATCH($G1496,設定!$B$6:$B$21,0)),0))*60&gt;=設定!$C$44,ROUND(FLOOR(($M1496-IFERROR(INDEX(設定!$G$6:$G$21,MATCH($G1496,設定!$B$6:$B$21,0)),0))*60,設定!$C$45)/60,2),0))</f>
        <v/>
      </c>
      <c r="R1496" s="16">
        <f>IF(OR($C1496="",$Q1496=0),"",IF($G1496="國","國定假日",IF($B1496="日","例假",IF($B1496="六","休息日","平日"))))</f>
        <v/>
      </c>
      <c r="S1496" s="19" t="n"/>
    </row>
    <row r="1497">
      <c r="A1497" s="82">
        <f>IF(OR(助理班表!$A53="",7&gt;DAY(EOMONTH(DATE(設定!$C$2,設定!$D$2,1),0))),"",DATE(設定!$C$2,設定!$D$2,7))</f>
        <v/>
      </c>
      <c r="B1497" s="16">
        <f>IF($A1497="","",INDEX(設定!$O$6:$O$12,WEEKDAY($A1497,1)))</f>
        <v/>
      </c>
      <c r="C1497" s="16">
        <f>IF($A1497="","",助理班表!$A53)</f>
        <v/>
      </c>
      <c r="D1497" s="16">
        <f>IF($C1497="","",助理班表!$B53)</f>
        <v/>
      </c>
      <c r="E1497" s="16">
        <f>IF($C1497="","",助理班表!$D53)</f>
        <v/>
      </c>
      <c r="F1497" s="16">
        <f>IF($C1497="","",助理班表!$C53)</f>
        <v/>
      </c>
      <c r="G1497" s="16">
        <f>IF($C1497="","",助理班表!K53)</f>
        <v/>
      </c>
      <c r="H1497" s="83">
        <f>IF($G1497="","",IFERROR(IF(INDEX(設定!$D$6:$D$21,MATCH($G1497,設定!$B$6:$B$21,0))=0,"",INDEX(設定!$D$6:$D$21,MATCH($G1497,設定!$B$6:$B$21,0))),""))</f>
        <v/>
      </c>
      <c r="I1497" s="83">
        <f>IF($G1497="","",IFERROR(IF(INDEX(設定!$E$6:$E$21,MATCH($G1497,設定!$B$6:$B$21,0))=0,"",INDEX(設定!$E$6:$E$21,MATCH($G1497,設定!$B$6:$B$21,0))),""))</f>
        <v/>
      </c>
      <c r="J1497" s="83">
        <f>IFERROR(INDEX(打卡匯入!$C$3:$C$2002,MATCH($C1497&amp;"|"&amp;DAY($A1497),打卡匯入!$E$3:$E$2002,0)),"")</f>
        <v/>
      </c>
      <c r="K1497" s="83">
        <f>IFERROR(INDEX(打卡匯入!$D$3:$D$2002,MATCH($C1497&amp;"|"&amp;DAY($A1497),打卡匯入!$E$3:$E$2002,0)),"")</f>
        <v/>
      </c>
      <c r="L1497" s="84">
        <f>IF(OR($J1497="",$K1497=""),"",IFERROR(INDEX(設定!$F$6:$F$21,MATCH($G1497,設定!$B$6:$B$21,0)),0))</f>
        <v/>
      </c>
      <c r="M1497" s="85">
        <f>IF(OR($J1497="",$K1497=""),"",ROUND(($K1497-$J1497)*24-$L1497/60,2))</f>
        <v/>
      </c>
      <c r="N1497" s="16">
        <f>IF($C1497="","",IF(AND(COUNTIF(設定!$B$15:$B$21,$G1497)&gt;0,$J1497&lt;&gt;""),"假日出勤",IF(AND(COUNTIF(設定!$B$6:$B$14,$G1497)&gt;0,$J1497=""),"未打卡",IF($J1497="","",IF($O1497&gt;0,"遲到",IF($P1497&gt;0,"早退","正常"))))))</f>
        <v/>
      </c>
      <c r="O1497" s="84">
        <f>IF(OR($C1497="",$H1497="",$J1497=""),0,IF(ROUND(($J1497-$H1497)*1440,0)&gt;設定!$C$46,ROUND(($J1497-$H1497)*1440,0),0))</f>
        <v/>
      </c>
      <c r="P1497" s="84">
        <f>IF(OR($C1497="",$I1497="",$K1497=""),0,IF(ROUND(($I1497-$K1497)*1440,0)&gt;設定!$C$46,ROUND(($I1497-$K1497)*1440,0),0))</f>
        <v/>
      </c>
      <c r="Q1497" s="85">
        <f>IF($M1497="",0,IF(($M1497-IFERROR(INDEX(設定!$G$6:$G$21,MATCH($G1497,設定!$B$6:$B$21,0)),0))*60&gt;=設定!$C$44,ROUND(FLOOR(($M1497-IFERROR(INDEX(設定!$G$6:$G$21,MATCH($G1497,設定!$B$6:$B$21,0)),0))*60,設定!$C$45)/60,2),0))</f>
        <v/>
      </c>
      <c r="R1497" s="16">
        <f>IF(OR($C1497="",$Q1497=0),"",IF($G1497="國","國定假日",IF($B1497="日","例假",IF($B1497="六","休息日","平日"))))</f>
        <v/>
      </c>
      <c r="S1497" s="19" t="n"/>
    </row>
    <row r="1498">
      <c r="A1498" s="82">
        <f>IF(OR(助理班表!$A53="",8&gt;DAY(EOMONTH(DATE(設定!$C$2,設定!$D$2,1),0))),"",DATE(設定!$C$2,設定!$D$2,8))</f>
        <v/>
      </c>
      <c r="B1498" s="16">
        <f>IF($A1498="","",INDEX(設定!$O$6:$O$12,WEEKDAY($A1498,1)))</f>
        <v/>
      </c>
      <c r="C1498" s="16">
        <f>IF($A1498="","",助理班表!$A53)</f>
        <v/>
      </c>
      <c r="D1498" s="16">
        <f>IF($C1498="","",助理班表!$B53)</f>
        <v/>
      </c>
      <c r="E1498" s="16">
        <f>IF($C1498="","",助理班表!$D53)</f>
        <v/>
      </c>
      <c r="F1498" s="16">
        <f>IF($C1498="","",助理班表!$C53)</f>
        <v/>
      </c>
      <c r="G1498" s="16">
        <f>IF($C1498="","",助理班表!L53)</f>
        <v/>
      </c>
      <c r="H1498" s="83">
        <f>IF($G1498="","",IFERROR(IF(INDEX(設定!$D$6:$D$21,MATCH($G1498,設定!$B$6:$B$21,0))=0,"",INDEX(設定!$D$6:$D$21,MATCH($G1498,設定!$B$6:$B$21,0))),""))</f>
        <v/>
      </c>
      <c r="I1498" s="83">
        <f>IF($G1498="","",IFERROR(IF(INDEX(設定!$E$6:$E$21,MATCH($G1498,設定!$B$6:$B$21,0))=0,"",INDEX(設定!$E$6:$E$21,MATCH($G1498,設定!$B$6:$B$21,0))),""))</f>
        <v/>
      </c>
      <c r="J1498" s="83">
        <f>IFERROR(INDEX(打卡匯入!$C$3:$C$2002,MATCH($C1498&amp;"|"&amp;DAY($A1498),打卡匯入!$E$3:$E$2002,0)),"")</f>
        <v/>
      </c>
      <c r="K1498" s="83">
        <f>IFERROR(INDEX(打卡匯入!$D$3:$D$2002,MATCH($C1498&amp;"|"&amp;DAY($A1498),打卡匯入!$E$3:$E$2002,0)),"")</f>
        <v/>
      </c>
      <c r="L1498" s="84">
        <f>IF(OR($J1498="",$K1498=""),"",IFERROR(INDEX(設定!$F$6:$F$21,MATCH($G1498,設定!$B$6:$B$21,0)),0))</f>
        <v/>
      </c>
      <c r="M1498" s="85">
        <f>IF(OR($J1498="",$K1498=""),"",ROUND(($K1498-$J1498)*24-$L1498/60,2))</f>
        <v/>
      </c>
      <c r="N1498" s="16">
        <f>IF($C1498="","",IF(AND(COUNTIF(設定!$B$15:$B$21,$G1498)&gt;0,$J1498&lt;&gt;""),"假日出勤",IF(AND(COUNTIF(設定!$B$6:$B$14,$G1498)&gt;0,$J1498=""),"未打卡",IF($J1498="","",IF($O1498&gt;0,"遲到",IF($P1498&gt;0,"早退","正常"))))))</f>
        <v/>
      </c>
      <c r="O1498" s="84">
        <f>IF(OR($C1498="",$H1498="",$J1498=""),0,IF(ROUND(($J1498-$H1498)*1440,0)&gt;設定!$C$46,ROUND(($J1498-$H1498)*1440,0),0))</f>
        <v/>
      </c>
      <c r="P1498" s="84">
        <f>IF(OR($C1498="",$I1498="",$K1498=""),0,IF(ROUND(($I1498-$K1498)*1440,0)&gt;設定!$C$46,ROUND(($I1498-$K1498)*1440,0),0))</f>
        <v/>
      </c>
      <c r="Q1498" s="85">
        <f>IF($M1498="",0,IF(($M1498-IFERROR(INDEX(設定!$G$6:$G$21,MATCH($G1498,設定!$B$6:$B$21,0)),0))*60&gt;=設定!$C$44,ROUND(FLOOR(($M1498-IFERROR(INDEX(設定!$G$6:$G$21,MATCH($G1498,設定!$B$6:$B$21,0)),0))*60,設定!$C$45)/60,2),0))</f>
        <v/>
      </c>
      <c r="R1498" s="16">
        <f>IF(OR($C1498="",$Q1498=0),"",IF($G1498="國","國定假日",IF($B1498="日","例假",IF($B1498="六","休息日","平日"))))</f>
        <v/>
      </c>
      <c r="S1498" s="19" t="n"/>
    </row>
    <row r="1499">
      <c r="A1499" s="82">
        <f>IF(OR(助理班表!$A53="",9&gt;DAY(EOMONTH(DATE(設定!$C$2,設定!$D$2,1),0))),"",DATE(設定!$C$2,設定!$D$2,9))</f>
        <v/>
      </c>
      <c r="B1499" s="16">
        <f>IF($A1499="","",INDEX(設定!$O$6:$O$12,WEEKDAY($A1499,1)))</f>
        <v/>
      </c>
      <c r="C1499" s="16">
        <f>IF($A1499="","",助理班表!$A53)</f>
        <v/>
      </c>
      <c r="D1499" s="16">
        <f>IF($C1499="","",助理班表!$B53)</f>
        <v/>
      </c>
      <c r="E1499" s="16">
        <f>IF($C1499="","",助理班表!$D53)</f>
        <v/>
      </c>
      <c r="F1499" s="16">
        <f>IF($C1499="","",助理班表!$C53)</f>
        <v/>
      </c>
      <c r="G1499" s="16">
        <f>IF($C1499="","",助理班表!M53)</f>
        <v/>
      </c>
      <c r="H1499" s="83">
        <f>IF($G1499="","",IFERROR(IF(INDEX(設定!$D$6:$D$21,MATCH($G1499,設定!$B$6:$B$21,0))=0,"",INDEX(設定!$D$6:$D$21,MATCH($G1499,設定!$B$6:$B$21,0))),""))</f>
        <v/>
      </c>
      <c r="I1499" s="83">
        <f>IF($G1499="","",IFERROR(IF(INDEX(設定!$E$6:$E$21,MATCH($G1499,設定!$B$6:$B$21,0))=0,"",INDEX(設定!$E$6:$E$21,MATCH($G1499,設定!$B$6:$B$21,0))),""))</f>
        <v/>
      </c>
      <c r="J1499" s="83">
        <f>IFERROR(INDEX(打卡匯入!$C$3:$C$2002,MATCH($C1499&amp;"|"&amp;DAY($A1499),打卡匯入!$E$3:$E$2002,0)),"")</f>
        <v/>
      </c>
      <c r="K1499" s="83">
        <f>IFERROR(INDEX(打卡匯入!$D$3:$D$2002,MATCH($C1499&amp;"|"&amp;DAY($A1499),打卡匯入!$E$3:$E$2002,0)),"")</f>
        <v/>
      </c>
      <c r="L1499" s="84">
        <f>IF(OR($J1499="",$K1499=""),"",IFERROR(INDEX(設定!$F$6:$F$21,MATCH($G1499,設定!$B$6:$B$21,0)),0))</f>
        <v/>
      </c>
      <c r="M1499" s="85">
        <f>IF(OR($J1499="",$K1499=""),"",ROUND(($K1499-$J1499)*24-$L1499/60,2))</f>
        <v/>
      </c>
      <c r="N1499" s="16">
        <f>IF($C1499="","",IF(AND(COUNTIF(設定!$B$15:$B$21,$G1499)&gt;0,$J1499&lt;&gt;""),"假日出勤",IF(AND(COUNTIF(設定!$B$6:$B$14,$G1499)&gt;0,$J1499=""),"未打卡",IF($J1499="","",IF($O1499&gt;0,"遲到",IF($P1499&gt;0,"早退","正常"))))))</f>
        <v/>
      </c>
      <c r="O1499" s="84">
        <f>IF(OR($C1499="",$H1499="",$J1499=""),0,IF(ROUND(($J1499-$H1499)*1440,0)&gt;設定!$C$46,ROUND(($J1499-$H1499)*1440,0),0))</f>
        <v/>
      </c>
      <c r="P1499" s="84">
        <f>IF(OR($C1499="",$I1499="",$K1499=""),0,IF(ROUND(($I1499-$K1499)*1440,0)&gt;設定!$C$46,ROUND(($I1499-$K1499)*1440,0),0))</f>
        <v/>
      </c>
      <c r="Q1499" s="85">
        <f>IF($M1499="",0,IF(($M1499-IFERROR(INDEX(設定!$G$6:$G$21,MATCH($G1499,設定!$B$6:$B$21,0)),0))*60&gt;=設定!$C$44,ROUND(FLOOR(($M1499-IFERROR(INDEX(設定!$G$6:$G$21,MATCH($G1499,設定!$B$6:$B$21,0)),0))*60,設定!$C$45)/60,2),0))</f>
        <v/>
      </c>
      <c r="R1499" s="16">
        <f>IF(OR($C1499="",$Q1499=0),"",IF($G1499="國","國定假日",IF($B1499="日","例假",IF($B1499="六","休息日","平日"))))</f>
        <v/>
      </c>
      <c r="S1499" s="19" t="n"/>
    </row>
    <row r="1500">
      <c r="A1500" s="82">
        <f>IF(OR(助理班表!$A53="",10&gt;DAY(EOMONTH(DATE(設定!$C$2,設定!$D$2,1),0))),"",DATE(設定!$C$2,設定!$D$2,10))</f>
        <v/>
      </c>
      <c r="B1500" s="16">
        <f>IF($A1500="","",INDEX(設定!$O$6:$O$12,WEEKDAY($A1500,1)))</f>
        <v/>
      </c>
      <c r="C1500" s="16">
        <f>IF($A1500="","",助理班表!$A53)</f>
        <v/>
      </c>
      <c r="D1500" s="16">
        <f>IF($C1500="","",助理班表!$B53)</f>
        <v/>
      </c>
      <c r="E1500" s="16">
        <f>IF($C1500="","",助理班表!$D53)</f>
        <v/>
      </c>
      <c r="F1500" s="16">
        <f>IF($C1500="","",助理班表!$C53)</f>
        <v/>
      </c>
      <c r="G1500" s="16">
        <f>IF($C1500="","",助理班表!N53)</f>
        <v/>
      </c>
      <c r="H1500" s="83">
        <f>IF($G1500="","",IFERROR(IF(INDEX(設定!$D$6:$D$21,MATCH($G1500,設定!$B$6:$B$21,0))=0,"",INDEX(設定!$D$6:$D$21,MATCH($G1500,設定!$B$6:$B$21,0))),""))</f>
        <v/>
      </c>
      <c r="I1500" s="83">
        <f>IF($G1500="","",IFERROR(IF(INDEX(設定!$E$6:$E$21,MATCH($G1500,設定!$B$6:$B$21,0))=0,"",INDEX(設定!$E$6:$E$21,MATCH($G1500,設定!$B$6:$B$21,0))),""))</f>
        <v/>
      </c>
      <c r="J1500" s="83">
        <f>IFERROR(INDEX(打卡匯入!$C$3:$C$2002,MATCH($C1500&amp;"|"&amp;DAY($A1500),打卡匯入!$E$3:$E$2002,0)),"")</f>
        <v/>
      </c>
      <c r="K1500" s="83">
        <f>IFERROR(INDEX(打卡匯入!$D$3:$D$2002,MATCH($C1500&amp;"|"&amp;DAY($A1500),打卡匯入!$E$3:$E$2002,0)),"")</f>
        <v/>
      </c>
      <c r="L1500" s="84">
        <f>IF(OR($J1500="",$K1500=""),"",IFERROR(INDEX(設定!$F$6:$F$21,MATCH($G1500,設定!$B$6:$B$21,0)),0))</f>
        <v/>
      </c>
      <c r="M1500" s="85">
        <f>IF(OR($J1500="",$K1500=""),"",ROUND(($K1500-$J1500)*24-$L1500/60,2))</f>
        <v/>
      </c>
      <c r="N1500" s="16">
        <f>IF($C1500="","",IF(AND(COUNTIF(設定!$B$15:$B$21,$G1500)&gt;0,$J1500&lt;&gt;""),"假日出勤",IF(AND(COUNTIF(設定!$B$6:$B$14,$G1500)&gt;0,$J1500=""),"未打卡",IF($J1500="","",IF($O1500&gt;0,"遲到",IF($P1500&gt;0,"早退","正常"))))))</f>
        <v/>
      </c>
      <c r="O1500" s="84">
        <f>IF(OR($C1500="",$H1500="",$J1500=""),0,IF(ROUND(($J1500-$H1500)*1440,0)&gt;設定!$C$46,ROUND(($J1500-$H1500)*1440,0),0))</f>
        <v/>
      </c>
      <c r="P1500" s="84">
        <f>IF(OR($C1500="",$I1500="",$K1500=""),0,IF(ROUND(($I1500-$K1500)*1440,0)&gt;設定!$C$46,ROUND(($I1500-$K1500)*1440,0),0))</f>
        <v/>
      </c>
      <c r="Q1500" s="85">
        <f>IF($M1500="",0,IF(($M1500-IFERROR(INDEX(設定!$G$6:$G$21,MATCH($G1500,設定!$B$6:$B$21,0)),0))*60&gt;=設定!$C$44,ROUND(FLOOR(($M1500-IFERROR(INDEX(設定!$G$6:$G$21,MATCH($G1500,設定!$B$6:$B$21,0)),0))*60,設定!$C$45)/60,2),0))</f>
        <v/>
      </c>
      <c r="R1500" s="16">
        <f>IF(OR($C1500="",$Q1500=0),"",IF($G1500="國","國定假日",IF($B1500="日","例假",IF($B1500="六","休息日","平日"))))</f>
        <v/>
      </c>
      <c r="S1500" s="19" t="n"/>
    </row>
    <row r="1501">
      <c r="A1501" s="82">
        <f>IF(OR(助理班表!$A53="",11&gt;DAY(EOMONTH(DATE(設定!$C$2,設定!$D$2,1),0))),"",DATE(設定!$C$2,設定!$D$2,11))</f>
        <v/>
      </c>
      <c r="B1501" s="16">
        <f>IF($A1501="","",INDEX(設定!$O$6:$O$12,WEEKDAY($A1501,1)))</f>
        <v/>
      </c>
      <c r="C1501" s="16">
        <f>IF($A1501="","",助理班表!$A53)</f>
        <v/>
      </c>
      <c r="D1501" s="16">
        <f>IF($C1501="","",助理班表!$B53)</f>
        <v/>
      </c>
      <c r="E1501" s="16">
        <f>IF($C1501="","",助理班表!$D53)</f>
        <v/>
      </c>
      <c r="F1501" s="16">
        <f>IF($C1501="","",助理班表!$C53)</f>
        <v/>
      </c>
      <c r="G1501" s="16">
        <f>IF($C1501="","",助理班表!O53)</f>
        <v/>
      </c>
      <c r="H1501" s="83">
        <f>IF($G1501="","",IFERROR(IF(INDEX(設定!$D$6:$D$21,MATCH($G1501,設定!$B$6:$B$21,0))=0,"",INDEX(設定!$D$6:$D$21,MATCH($G1501,設定!$B$6:$B$21,0))),""))</f>
        <v/>
      </c>
      <c r="I1501" s="83">
        <f>IF($G1501="","",IFERROR(IF(INDEX(設定!$E$6:$E$21,MATCH($G1501,設定!$B$6:$B$21,0))=0,"",INDEX(設定!$E$6:$E$21,MATCH($G1501,設定!$B$6:$B$21,0))),""))</f>
        <v/>
      </c>
      <c r="J1501" s="83">
        <f>IFERROR(INDEX(打卡匯入!$C$3:$C$2002,MATCH($C1501&amp;"|"&amp;DAY($A1501),打卡匯入!$E$3:$E$2002,0)),"")</f>
        <v/>
      </c>
      <c r="K1501" s="83">
        <f>IFERROR(INDEX(打卡匯入!$D$3:$D$2002,MATCH($C1501&amp;"|"&amp;DAY($A1501),打卡匯入!$E$3:$E$2002,0)),"")</f>
        <v/>
      </c>
      <c r="L1501" s="84">
        <f>IF(OR($J1501="",$K1501=""),"",IFERROR(INDEX(設定!$F$6:$F$21,MATCH($G1501,設定!$B$6:$B$21,0)),0))</f>
        <v/>
      </c>
      <c r="M1501" s="85">
        <f>IF(OR($J1501="",$K1501=""),"",ROUND(($K1501-$J1501)*24-$L1501/60,2))</f>
        <v/>
      </c>
      <c r="N1501" s="16">
        <f>IF($C1501="","",IF(AND(COUNTIF(設定!$B$15:$B$21,$G1501)&gt;0,$J1501&lt;&gt;""),"假日出勤",IF(AND(COUNTIF(設定!$B$6:$B$14,$G1501)&gt;0,$J1501=""),"未打卡",IF($J1501="","",IF($O1501&gt;0,"遲到",IF($P1501&gt;0,"早退","正常"))))))</f>
        <v/>
      </c>
      <c r="O1501" s="84">
        <f>IF(OR($C1501="",$H1501="",$J1501=""),0,IF(ROUND(($J1501-$H1501)*1440,0)&gt;設定!$C$46,ROUND(($J1501-$H1501)*1440,0),0))</f>
        <v/>
      </c>
      <c r="P1501" s="84">
        <f>IF(OR($C1501="",$I1501="",$K1501=""),0,IF(ROUND(($I1501-$K1501)*1440,0)&gt;設定!$C$46,ROUND(($I1501-$K1501)*1440,0),0))</f>
        <v/>
      </c>
      <c r="Q1501" s="85">
        <f>IF($M1501="",0,IF(($M1501-IFERROR(INDEX(設定!$G$6:$G$21,MATCH($G1501,設定!$B$6:$B$21,0)),0))*60&gt;=設定!$C$44,ROUND(FLOOR(($M1501-IFERROR(INDEX(設定!$G$6:$G$21,MATCH($G1501,設定!$B$6:$B$21,0)),0))*60,設定!$C$45)/60,2),0))</f>
        <v/>
      </c>
      <c r="R1501" s="16">
        <f>IF(OR($C1501="",$Q1501=0),"",IF($G1501="國","國定假日",IF($B1501="日","例假",IF($B1501="六","休息日","平日"))))</f>
        <v/>
      </c>
      <c r="S1501" s="19" t="n"/>
    </row>
    <row r="1502">
      <c r="A1502" s="82">
        <f>IF(OR(助理班表!$A53="",12&gt;DAY(EOMONTH(DATE(設定!$C$2,設定!$D$2,1),0))),"",DATE(設定!$C$2,設定!$D$2,12))</f>
        <v/>
      </c>
      <c r="B1502" s="16">
        <f>IF($A1502="","",INDEX(設定!$O$6:$O$12,WEEKDAY($A1502,1)))</f>
        <v/>
      </c>
      <c r="C1502" s="16">
        <f>IF($A1502="","",助理班表!$A53)</f>
        <v/>
      </c>
      <c r="D1502" s="16">
        <f>IF($C1502="","",助理班表!$B53)</f>
        <v/>
      </c>
      <c r="E1502" s="16">
        <f>IF($C1502="","",助理班表!$D53)</f>
        <v/>
      </c>
      <c r="F1502" s="16">
        <f>IF($C1502="","",助理班表!$C53)</f>
        <v/>
      </c>
      <c r="G1502" s="16">
        <f>IF($C1502="","",助理班表!P53)</f>
        <v/>
      </c>
      <c r="H1502" s="83">
        <f>IF($G1502="","",IFERROR(IF(INDEX(設定!$D$6:$D$21,MATCH($G1502,設定!$B$6:$B$21,0))=0,"",INDEX(設定!$D$6:$D$21,MATCH($G1502,設定!$B$6:$B$21,0))),""))</f>
        <v/>
      </c>
      <c r="I1502" s="83">
        <f>IF($G1502="","",IFERROR(IF(INDEX(設定!$E$6:$E$21,MATCH($G1502,設定!$B$6:$B$21,0))=0,"",INDEX(設定!$E$6:$E$21,MATCH($G1502,設定!$B$6:$B$21,0))),""))</f>
        <v/>
      </c>
      <c r="J1502" s="83">
        <f>IFERROR(INDEX(打卡匯入!$C$3:$C$2002,MATCH($C1502&amp;"|"&amp;DAY($A1502),打卡匯入!$E$3:$E$2002,0)),"")</f>
        <v/>
      </c>
      <c r="K1502" s="83">
        <f>IFERROR(INDEX(打卡匯入!$D$3:$D$2002,MATCH($C1502&amp;"|"&amp;DAY($A1502),打卡匯入!$E$3:$E$2002,0)),"")</f>
        <v/>
      </c>
      <c r="L1502" s="84">
        <f>IF(OR($J1502="",$K1502=""),"",IFERROR(INDEX(設定!$F$6:$F$21,MATCH($G1502,設定!$B$6:$B$21,0)),0))</f>
        <v/>
      </c>
      <c r="M1502" s="85">
        <f>IF(OR($J1502="",$K1502=""),"",ROUND(($K1502-$J1502)*24-$L1502/60,2))</f>
        <v/>
      </c>
      <c r="N1502" s="16">
        <f>IF($C1502="","",IF(AND(COUNTIF(設定!$B$15:$B$21,$G1502)&gt;0,$J1502&lt;&gt;""),"假日出勤",IF(AND(COUNTIF(設定!$B$6:$B$14,$G1502)&gt;0,$J1502=""),"未打卡",IF($J1502="","",IF($O1502&gt;0,"遲到",IF($P1502&gt;0,"早退","正常"))))))</f>
        <v/>
      </c>
      <c r="O1502" s="84">
        <f>IF(OR($C1502="",$H1502="",$J1502=""),0,IF(ROUND(($J1502-$H1502)*1440,0)&gt;設定!$C$46,ROUND(($J1502-$H1502)*1440,0),0))</f>
        <v/>
      </c>
      <c r="P1502" s="84">
        <f>IF(OR($C1502="",$I1502="",$K1502=""),0,IF(ROUND(($I1502-$K1502)*1440,0)&gt;設定!$C$46,ROUND(($I1502-$K1502)*1440,0),0))</f>
        <v/>
      </c>
      <c r="Q1502" s="85">
        <f>IF($M1502="",0,IF(($M1502-IFERROR(INDEX(設定!$G$6:$G$21,MATCH($G1502,設定!$B$6:$B$21,0)),0))*60&gt;=設定!$C$44,ROUND(FLOOR(($M1502-IFERROR(INDEX(設定!$G$6:$G$21,MATCH($G1502,設定!$B$6:$B$21,0)),0))*60,設定!$C$45)/60,2),0))</f>
        <v/>
      </c>
      <c r="R1502" s="16">
        <f>IF(OR($C1502="",$Q1502=0),"",IF($G1502="國","國定假日",IF($B1502="日","例假",IF($B1502="六","休息日","平日"))))</f>
        <v/>
      </c>
      <c r="S1502" s="19" t="n"/>
    </row>
    <row r="1503">
      <c r="A1503" s="82">
        <f>IF(OR(助理班表!$A53="",13&gt;DAY(EOMONTH(DATE(設定!$C$2,設定!$D$2,1),0))),"",DATE(設定!$C$2,設定!$D$2,13))</f>
        <v/>
      </c>
      <c r="B1503" s="16">
        <f>IF($A1503="","",INDEX(設定!$O$6:$O$12,WEEKDAY($A1503,1)))</f>
        <v/>
      </c>
      <c r="C1503" s="16">
        <f>IF($A1503="","",助理班表!$A53)</f>
        <v/>
      </c>
      <c r="D1503" s="16">
        <f>IF($C1503="","",助理班表!$B53)</f>
        <v/>
      </c>
      <c r="E1503" s="16">
        <f>IF($C1503="","",助理班表!$D53)</f>
        <v/>
      </c>
      <c r="F1503" s="16">
        <f>IF($C1503="","",助理班表!$C53)</f>
        <v/>
      </c>
      <c r="G1503" s="16">
        <f>IF($C1503="","",助理班表!Q53)</f>
        <v/>
      </c>
      <c r="H1503" s="83">
        <f>IF($G1503="","",IFERROR(IF(INDEX(設定!$D$6:$D$21,MATCH($G1503,設定!$B$6:$B$21,0))=0,"",INDEX(設定!$D$6:$D$21,MATCH($G1503,設定!$B$6:$B$21,0))),""))</f>
        <v/>
      </c>
      <c r="I1503" s="83">
        <f>IF($G1503="","",IFERROR(IF(INDEX(設定!$E$6:$E$21,MATCH($G1503,設定!$B$6:$B$21,0))=0,"",INDEX(設定!$E$6:$E$21,MATCH($G1503,設定!$B$6:$B$21,0))),""))</f>
        <v/>
      </c>
      <c r="J1503" s="83">
        <f>IFERROR(INDEX(打卡匯入!$C$3:$C$2002,MATCH($C1503&amp;"|"&amp;DAY($A1503),打卡匯入!$E$3:$E$2002,0)),"")</f>
        <v/>
      </c>
      <c r="K1503" s="83">
        <f>IFERROR(INDEX(打卡匯入!$D$3:$D$2002,MATCH($C1503&amp;"|"&amp;DAY($A1503),打卡匯入!$E$3:$E$2002,0)),"")</f>
        <v/>
      </c>
      <c r="L1503" s="84">
        <f>IF(OR($J1503="",$K1503=""),"",IFERROR(INDEX(設定!$F$6:$F$21,MATCH($G1503,設定!$B$6:$B$21,0)),0))</f>
        <v/>
      </c>
      <c r="M1503" s="85">
        <f>IF(OR($J1503="",$K1503=""),"",ROUND(($K1503-$J1503)*24-$L1503/60,2))</f>
        <v/>
      </c>
      <c r="N1503" s="16">
        <f>IF($C1503="","",IF(AND(COUNTIF(設定!$B$15:$B$21,$G1503)&gt;0,$J1503&lt;&gt;""),"假日出勤",IF(AND(COUNTIF(設定!$B$6:$B$14,$G1503)&gt;0,$J1503=""),"未打卡",IF($J1503="","",IF($O1503&gt;0,"遲到",IF($P1503&gt;0,"早退","正常"))))))</f>
        <v/>
      </c>
      <c r="O1503" s="84">
        <f>IF(OR($C1503="",$H1503="",$J1503=""),0,IF(ROUND(($J1503-$H1503)*1440,0)&gt;設定!$C$46,ROUND(($J1503-$H1503)*1440,0),0))</f>
        <v/>
      </c>
      <c r="P1503" s="84">
        <f>IF(OR($C1503="",$I1503="",$K1503=""),0,IF(ROUND(($I1503-$K1503)*1440,0)&gt;設定!$C$46,ROUND(($I1503-$K1503)*1440,0),0))</f>
        <v/>
      </c>
      <c r="Q1503" s="85">
        <f>IF($M1503="",0,IF(($M1503-IFERROR(INDEX(設定!$G$6:$G$21,MATCH($G1503,設定!$B$6:$B$21,0)),0))*60&gt;=設定!$C$44,ROUND(FLOOR(($M1503-IFERROR(INDEX(設定!$G$6:$G$21,MATCH($G1503,設定!$B$6:$B$21,0)),0))*60,設定!$C$45)/60,2),0))</f>
        <v/>
      </c>
      <c r="R1503" s="16">
        <f>IF(OR($C1503="",$Q1503=0),"",IF($G1503="國","國定假日",IF($B1503="日","例假",IF($B1503="六","休息日","平日"))))</f>
        <v/>
      </c>
      <c r="S1503" s="19" t="n"/>
    </row>
    <row r="1504">
      <c r="A1504" s="82">
        <f>IF(OR(助理班表!$A53="",14&gt;DAY(EOMONTH(DATE(設定!$C$2,設定!$D$2,1),0))),"",DATE(設定!$C$2,設定!$D$2,14))</f>
        <v/>
      </c>
      <c r="B1504" s="16">
        <f>IF($A1504="","",INDEX(設定!$O$6:$O$12,WEEKDAY($A1504,1)))</f>
        <v/>
      </c>
      <c r="C1504" s="16">
        <f>IF($A1504="","",助理班表!$A53)</f>
        <v/>
      </c>
      <c r="D1504" s="16">
        <f>IF($C1504="","",助理班表!$B53)</f>
        <v/>
      </c>
      <c r="E1504" s="16">
        <f>IF($C1504="","",助理班表!$D53)</f>
        <v/>
      </c>
      <c r="F1504" s="16">
        <f>IF($C1504="","",助理班表!$C53)</f>
        <v/>
      </c>
      <c r="G1504" s="16">
        <f>IF($C1504="","",助理班表!R53)</f>
        <v/>
      </c>
      <c r="H1504" s="83">
        <f>IF($G1504="","",IFERROR(IF(INDEX(設定!$D$6:$D$21,MATCH($G1504,設定!$B$6:$B$21,0))=0,"",INDEX(設定!$D$6:$D$21,MATCH($G1504,設定!$B$6:$B$21,0))),""))</f>
        <v/>
      </c>
      <c r="I1504" s="83">
        <f>IF($G1504="","",IFERROR(IF(INDEX(設定!$E$6:$E$21,MATCH($G1504,設定!$B$6:$B$21,0))=0,"",INDEX(設定!$E$6:$E$21,MATCH($G1504,設定!$B$6:$B$21,0))),""))</f>
        <v/>
      </c>
      <c r="J1504" s="83">
        <f>IFERROR(INDEX(打卡匯入!$C$3:$C$2002,MATCH($C1504&amp;"|"&amp;DAY($A1504),打卡匯入!$E$3:$E$2002,0)),"")</f>
        <v/>
      </c>
      <c r="K1504" s="83">
        <f>IFERROR(INDEX(打卡匯入!$D$3:$D$2002,MATCH($C1504&amp;"|"&amp;DAY($A1504),打卡匯入!$E$3:$E$2002,0)),"")</f>
        <v/>
      </c>
      <c r="L1504" s="84">
        <f>IF(OR($J1504="",$K1504=""),"",IFERROR(INDEX(設定!$F$6:$F$21,MATCH($G1504,設定!$B$6:$B$21,0)),0))</f>
        <v/>
      </c>
      <c r="M1504" s="85">
        <f>IF(OR($J1504="",$K1504=""),"",ROUND(($K1504-$J1504)*24-$L1504/60,2))</f>
        <v/>
      </c>
      <c r="N1504" s="16">
        <f>IF($C1504="","",IF(AND(COUNTIF(設定!$B$15:$B$21,$G1504)&gt;0,$J1504&lt;&gt;""),"假日出勤",IF(AND(COUNTIF(設定!$B$6:$B$14,$G1504)&gt;0,$J1504=""),"未打卡",IF($J1504="","",IF($O1504&gt;0,"遲到",IF($P1504&gt;0,"早退","正常"))))))</f>
        <v/>
      </c>
      <c r="O1504" s="84">
        <f>IF(OR($C1504="",$H1504="",$J1504=""),0,IF(ROUND(($J1504-$H1504)*1440,0)&gt;設定!$C$46,ROUND(($J1504-$H1504)*1440,0),0))</f>
        <v/>
      </c>
      <c r="P1504" s="84">
        <f>IF(OR($C1504="",$I1504="",$K1504=""),0,IF(ROUND(($I1504-$K1504)*1440,0)&gt;設定!$C$46,ROUND(($I1504-$K1504)*1440,0),0))</f>
        <v/>
      </c>
      <c r="Q1504" s="85">
        <f>IF($M1504="",0,IF(($M1504-IFERROR(INDEX(設定!$G$6:$G$21,MATCH($G1504,設定!$B$6:$B$21,0)),0))*60&gt;=設定!$C$44,ROUND(FLOOR(($M1504-IFERROR(INDEX(設定!$G$6:$G$21,MATCH($G1504,設定!$B$6:$B$21,0)),0))*60,設定!$C$45)/60,2),0))</f>
        <v/>
      </c>
      <c r="R1504" s="16">
        <f>IF(OR($C1504="",$Q1504=0),"",IF($G1504="國","國定假日",IF($B1504="日","例假",IF($B1504="六","休息日","平日"))))</f>
        <v/>
      </c>
      <c r="S1504" s="19" t="n"/>
    </row>
    <row r="1505">
      <c r="A1505" s="82">
        <f>IF(OR(助理班表!$A53="",15&gt;DAY(EOMONTH(DATE(設定!$C$2,設定!$D$2,1),0))),"",DATE(設定!$C$2,設定!$D$2,15))</f>
        <v/>
      </c>
      <c r="B1505" s="16">
        <f>IF($A1505="","",INDEX(設定!$O$6:$O$12,WEEKDAY($A1505,1)))</f>
        <v/>
      </c>
      <c r="C1505" s="16">
        <f>IF($A1505="","",助理班表!$A53)</f>
        <v/>
      </c>
      <c r="D1505" s="16">
        <f>IF($C1505="","",助理班表!$B53)</f>
        <v/>
      </c>
      <c r="E1505" s="16">
        <f>IF($C1505="","",助理班表!$D53)</f>
        <v/>
      </c>
      <c r="F1505" s="16">
        <f>IF($C1505="","",助理班表!$C53)</f>
        <v/>
      </c>
      <c r="G1505" s="16">
        <f>IF($C1505="","",助理班表!S53)</f>
        <v/>
      </c>
      <c r="H1505" s="83">
        <f>IF($G1505="","",IFERROR(IF(INDEX(設定!$D$6:$D$21,MATCH($G1505,設定!$B$6:$B$21,0))=0,"",INDEX(設定!$D$6:$D$21,MATCH($G1505,設定!$B$6:$B$21,0))),""))</f>
        <v/>
      </c>
      <c r="I1505" s="83">
        <f>IF($G1505="","",IFERROR(IF(INDEX(設定!$E$6:$E$21,MATCH($G1505,設定!$B$6:$B$21,0))=0,"",INDEX(設定!$E$6:$E$21,MATCH($G1505,設定!$B$6:$B$21,0))),""))</f>
        <v/>
      </c>
      <c r="J1505" s="83">
        <f>IFERROR(INDEX(打卡匯入!$C$3:$C$2002,MATCH($C1505&amp;"|"&amp;DAY($A1505),打卡匯入!$E$3:$E$2002,0)),"")</f>
        <v/>
      </c>
      <c r="K1505" s="83">
        <f>IFERROR(INDEX(打卡匯入!$D$3:$D$2002,MATCH($C1505&amp;"|"&amp;DAY($A1505),打卡匯入!$E$3:$E$2002,0)),"")</f>
        <v/>
      </c>
      <c r="L1505" s="84">
        <f>IF(OR($J1505="",$K1505=""),"",IFERROR(INDEX(設定!$F$6:$F$21,MATCH($G1505,設定!$B$6:$B$21,0)),0))</f>
        <v/>
      </c>
      <c r="M1505" s="85">
        <f>IF(OR($J1505="",$K1505=""),"",ROUND(($K1505-$J1505)*24-$L1505/60,2))</f>
        <v/>
      </c>
      <c r="N1505" s="16">
        <f>IF($C1505="","",IF(AND(COUNTIF(設定!$B$15:$B$21,$G1505)&gt;0,$J1505&lt;&gt;""),"假日出勤",IF(AND(COUNTIF(設定!$B$6:$B$14,$G1505)&gt;0,$J1505=""),"未打卡",IF($J1505="","",IF($O1505&gt;0,"遲到",IF($P1505&gt;0,"早退","正常"))))))</f>
        <v/>
      </c>
      <c r="O1505" s="84">
        <f>IF(OR($C1505="",$H1505="",$J1505=""),0,IF(ROUND(($J1505-$H1505)*1440,0)&gt;設定!$C$46,ROUND(($J1505-$H1505)*1440,0),0))</f>
        <v/>
      </c>
      <c r="P1505" s="84">
        <f>IF(OR($C1505="",$I1505="",$K1505=""),0,IF(ROUND(($I1505-$K1505)*1440,0)&gt;設定!$C$46,ROUND(($I1505-$K1505)*1440,0),0))</f>
        <v/>
      </c>
      <c r="Q1505" s="85">
        <f>IF($M1505="",0,IF(($M1505-IFERROR(INDEX(設定!$G$6:$G$21,MATCH($G1505,設定!$B$6:$B$21,0)),0))*60&gt;=設定!$C$44,ROUND(FLOOR(($M1505-IFERROR(INDEX(設定!$G$6:$G$21,MATCH($G1505,設定!$B$6:$B$21,0)),0))*60,設定!$C$45)/60,2),0))</f>
        <v/>
      </c>
      <c r="R1505" s="16">
        <f>IF(OR($C1505="",$Q1505=0),"",IF($G1505="國","國定假日",IF($B1505="日","例假",IF($B1505="六","休息日","平日"))))</f>
        <v/>
      </c>
      <c r="S1505" s="19" t="n"/>
    </row>
    <row r="1506">
      <c r="A1506" s="82">
        <f>IF(OR(助理班表!$A53="",16&gt;DAY(EOMONTH(DATE(設定!$C$2,設定!$D$2,1),0))),"",DATE(設定!$C$2,設定!$D$2,16))</f>
        <v/>
      </c>
      <c r="B1506" s="16">
        <f>IF($A1506="","",INDEX(設定!$O$6:$O$12,WEEKDAY($A1506,1)))</f>
        <v/>
      </c>
      <c r="C1506" s="16">
        <f>IF($A1506="","",助理班表!$A53)</f>
        <v/>
      </c>
      <c r="D1506" s="16">
        <f>IF($C1506="","",助理班表!$B53)</f>
        <v/>
      </c>
      <c r="E1506" s="16">
        <f>IF($C1506="","",助理班表!$D53)</f>
        <v/>
      </c>
      <c r="F1506" s="16">
        <f>IF($C1506="","",助理班表!$C53)</f>
        <v/>
      </c>
      <c r="G1506" s="16">
        <f>IF($C1506="","",助理班表!T53)</f>
        <v/>
      </c>
      <c r="H1506" s="83">
        <f>IF($G1506="","",IFERROR(IF(INDEX(設定!$D$6:$D$21,MATCH($G1506,設定!$B$6:$B$21,0))=0,"",INDEX(設定!$D$6:$D$21,MATCH($G1506,設定!$B$6:$B$21,0))),""))</f>
        <v/>
      </c>
      <c r="I1506" s="83">
        <f>IF($G1506="","",IFERROR(IF(INDEX(設定!$E$6:$E$21,MATCH($G1506,設定!$B$6:$B$21,0))=0,"",INDEX(設定!$E$6:$E$21,MATCH($G1506,設定!$B$6:$B$21,0))),""))</f>
        <v/>
      </c>
      <c r="J1506" s="83">
        <f>IFERROR(INDEX(打卡匯入!$C$3:$C$2002,MATCH($C1506&amp;"|"&amp;DAY($A1506),打卡匯入!$E$3:$E$2002,0)),"")</f>
        <v/>
      </c>
      <c r="K1506" s="83">
        <f>IFERROR(INDEX(打卡匯入!$D$3:$D$2002,MATCH($C1506&amp;"|"&amp;DAY($A1506),打卡匯入!$E$3:$E$2002,0)),"")</f>
        <v/>
      </c>
      <c r="L1506" s="84">
        <f>IF(OR($J1506="",$K1506=""),"",IFERROR(INDEX(設定!$F$6:$F$21,MATCH($G1506,設定!$B$6:$B$21,0)),0))</f>
        <v/>
      </c>
      <c r="M1506" s="85">
        <f>IF(OR($J1506="",$K1506=""),"",ROUND(($K1506-$J1506)*24-$L1506/60,2))</f>
        <v/>
      </c>
      <c r="N1506" s="16">
        <f>IF($C1506="","",IF(AND(COUNTIF(設定!$B$15:$B$21,$G1506)&gt;0,$J1506&lt;&gt;""),"假日出勤",IF(AND(COUNTIF(設定!$B$6:$B$14,$G1506)&gt;0,$J1506=""),"未打卡",IF($J1506="","",IF($O1506&gt;0,"遲到",IF($P1506&gt;0,"早退","正常"))))))</f>
        <v/>
      </c>
      <c r="O1506" s="84">
        <f>IF(OR($C1506="",$H1506="",$J1506=""),0,IF(ROUND(($J1506-$H1506)*1440,0)&gt;設定!$C$46,ROUND(($J1506-$H1506)*1440,0),0))</f>
        <v/>
      </c>
      <c r="P1506" s="84">
        <f>IF(OR($C1506="",$I1506="",$K1506=""),0,IF(ROUND(($I1506-$K1506)*1440,0)&gt;設定!$C$46,ROUND(($I1506-$K1506)*1440,0),0))</f>
        <v/>
      </c>
      <c r="Q1506" s="85">
        <f>IF($M1506="",0,IF(($M1506-IFERROR(INDEX(設定!$G$6:$G$21,MATCH($G1506,設定!$B$6:$B$21,0)),0))*60&gt;=設定!$C$44,ROUND(FLOOR(($M1506-IFERROR(INDEX(設定!$G$6:$G$21,MATCH($G1506,設定!$B$6:$B$21,0)),0))*60,設定!$C$45)/60,2),0))</f>
        <v/>
      </c>
      <c r="R1506" s="16">
        <f>IF(OR($C1506="",$Q1506=0),"",IF($G1506="國","國定假日",IF($B1506="日","例假",IF($B1506="六","休息日","平日"))))</f>
        <v/>
      </c>
      <c r="S1506" s="19" t="n"/>
    </row>
    <row r="1507">
      <c r="A1507" s="82">
        <f>IF(OR(助理班表!$A53="",17&gt;DAY(EOMONTH(DATE(設定!$C$2,設定!$D$2,1),0))),"",DATE(設定!$C$2,設定!$D$2,17))</f>
        <v/>
      </c>
      <c r="B1507" s="16">
        <f>IF($A1507="","",INDEX(設定!$O$6:$O$12,WEEKDAY($A1507,1)))</f>
        <v/>
      </c>
      <c r="C1507" s="16">
        <f>IF($A1507="","",助理班表!$A53)</f>
        <v/>
      </c>
      <c r="D1507" s="16">
        <f>IF($C1507="","",助理班表!$B53)</f>
        <v/>
      </c>
      <c r="E1507" s="16">
        <f>IF($C1507="","",助理班表!$D53)</f>
        <v/>
      </c>
      <c r="F1507" s="16">
        <f>IF($C1507="","",助理班表!$C53)</f>
        <v/>
      </c>
      <c r="G1507" s="16">
        <f>IF($C1507="","",助理班表!U53)</f>
        <v/>
      </c>
      <c r="H1507" s="83">
        <f>IF($G1507="","",IFERROR(IF(INDEX(設定!$D$6:$D$21,MATCH($G1507,設定!$B$6:$B$21,0))=0,"",INDEX(設定!$D$6:$D$21,MATCH($G1507,設定!$B$6:$B$21,0))),""))</f>
        <v/>
      </c>
      <c r="I1507" s="83">
        <f>IF($G1507="","",IFERROR(IF(INDEX(設定!$E$6:$E$21,MATCH($G1507,設定!$B$6:$B$21,0))=0,"",INDEX(設定!$E$6:$E$21,MATCH($G1507,設定!$B$6:$B$21,0))),""))</f>
        <v/>
      </c>
      <c r="J1507" s="83">
        <f>IFERROR(INDEX(打卡匯入!$C$3:$C$2002,MATCH($C1507&amp;"|"&amp;DAY($A1507),打卡匯入!$E$3:$E$2002,0)),"")</f>
        <v/>
      </c>
      <c r="K1507" s="83">
        <f>IFERROR(INDEX(打卡匯入!$D$3:$D$2002,MATCH($C1507&amp;"|"&amp;DAY($A1507),打卡匯入!$E$3:$E$2002,0)),"")</f>
        <v/>
      </c>
      <c r="L1507" s="84">
        <f>IF(OR($J1507="",$K1507=""),"",IFERROR(INDEX(設定!$F$6:$F$21,MATCH($G1507,設定!$B$6:$B$21,0)),0))</f>
        <v/>
      </c>
      <c r="M1507" s="85">
        <f>IF(OR($J1507="",$K1507=""),"",ROUND(($K1507-$J1507)*24-$L1507/60,2))</f>
        <v/>
      </c>
      <c r="N1507" s="16">
        <f>IF($C1507="","",IF(AND(COUNTIF(設定!$B$15:$B$21,$G1507)&gt;0,$J1507&lt;&gt;""),"假日出勤",IF(AND(COUNTIF(設定!$B$6:$B$14,$G1507)&gt;0,$J1507=""),"未打卡",IF($J1507="","",IF($O1507&gt;0,"遲到",IF($P1507&gt;0,"早退","正常"))))))</f>
        <v/>
      </c>
      <c r="O1507" s="84">
        <f>IF(OR($C1507="",$H1507="",$J1507=""),0,IF(ROUND(($J1507-$H1507)*1440,0)&gt;設定!$C$46,ROUND(($J1507-$H1507)*1440,0),0))</f>
        <v/>
      </c>
      <c r="P1507" s="84">
        <f>IF(OR($C1507="",$I1507="",$K1507=""),0,IF(ROUND(($I1507-$K1507)*1440,0)&gt;設定!$C$46,ROUND(($I1507-$K1507)*1440,0),0))</f>
        <v/>
      </c>
      <c r="Q1507" s="85">
        <f>IF($M1507="",0,IF(($M1507-IFERROR(INDEX(設定!$G$6:$G$21,MATCH($G1507,設定!$B$6:$B$21,0)),0))*60&gt;=設定!$C$44,ROUND(FLOOR(($M1507-IFERROR(INDEX(設定!$G$6:$G$21,MATCH($G1507,設定!$B$6:$B$21,0)),0))*60,設定!$C$45)/60,2),0))</f>
        <v/>
      </c>
      <c r="R1507" s="16">
        <f>IF(OR($C1507="",$Q1507=0),"",IF($G1507="國","國定假日",IF($B1507="日","例假",IF($B1507="六","休息日","平日"))))</f>
        <v/>
      </c>
      <c r="S1507" s="19" t="n"/>
    </row>
    <row r="1508">
      <c r="A1508" s="82">
        <f>IF(OR(助理班表!$A53="",18&gt;DAY(EOMONTH(DATE(設定!$C$2,設定!$D$2,1),0))),"",DATE(設定!$C$2,設定!$D$2,18))</f>
        <v/>
      </c>
      <c r="B1508" s="16">
        <f>IF($A1508="","",INDEX(設定!$O$6:$O$12,WEEKDAY($A1508,1)))</f>
        <v/>
      </c>
      <c r="C1508" s="16">
        <f>IF($A1508="","",助理班表!$A53)</f>
        <v/>
      </c>
      <c r="D1508" s="16">
        <f>IF($C1508="","",助理班表!$B53)</f>
        <v/>
      </c>
      <c r="E1508" s="16">
        <f>IF($C1508="","",助理班表!$D53)</f>
        <v/>
      </c>
      <c r="F1508" s="16">
        <f>IF($C1508="","",助理班表!$C53)</f>
        <v/>
      </c>
      <c r="G1508" s="16">
        <f>IF($C1508="","",助理班表!V53)</f>
        <v/>
      </c>
      <c r="H1508" s="83">
        <f>IF($G1508="","",IFERROR(IF(INDEX(設定!$D$6:$D$21,MATCH($G1508,設定!$B$6:$B$21,0))=0,"",INDEX(設定!$D$6:$D$21,MATCH($G1508,設定!$B$6:$B$21,0))),""))</f>
        <v/>
      </c>
      <c r="I1508" s="83">
        <f>IF($G1508="","",IFERROR(IF(INDEX(設定!$E$6:$E$21,MATCH($G1508,設定!$B$6:$B$21,0))=0,"",INDEX(設定!$E$6:$E$21,MATCH($G1508,設定!$B$6:$B$21,0))),""))</f>
        <v/>
      </c>
      <c r="J1508" s="83">
        <f>IFERROR(INDEX(打卡匯入!$C$3:$C$2002,MATCH($C1508&amp;"|"&amp;DAY($A1508),打卡匯入!$E$3:$E$2002,0)),"")</f>
        <v/>
      </c>
      <c r="K1508" s="83">
        <f>IFERROR(INDEX(打卡匯入!$D$3:$D$2002,MATCH($C1508&amp;"|"&amp;DAY($A1508),打卡匯入!$E$3:$E$2002,0)),"")</f>
        <v/>
      </c>
      <c r="L1508" s="84">
        <f>IF(OR($J1508="",$K1508=""),"",IFERROR(INDEX(設定!$F$6:$F$21,MATCH($G1508,設定!$B$6:$B$21,0)),0))</f>
        <v/>
      </c>
      <c r="M1508" s="85">
        <f>IF(OR($J1508="",$K1508=""),"",ROUND(($K1508-$J1508)*24-$L1508/60,2))</f>
        <v/>
      </c>
      <c r="N1508" s="16">
        <f>IF($C1508="","",IF(AND(COUNTIF(設定!$B$15:$B$21,$G1508)&gt;0,$J1508&lt;&gt;""),"假日出勤",IF(AND(COUNTIF(設定!$B$6:$B$14,$G1508)&gt;0,$J1508=""),"未打卡",IF($J1508="","",IF($O1508&gt;0,"遲到",IF($P1508&gt;0,"早退","正常"))))))</f>
        <v/>
      </c>
      <c r="O1508" s="84">
        <f>IF(OR($C1508="",$H1508="",$J1508=""),0,IF(ROUND(($J1508-$H1508)*1440,0)&gt;設定!$C$46,ROUND(($J1508-$H1508)*1440,0),0))</f>
        <v/>
      </c>
      <c r="P1508" s="84">
        <f>IF(OR($C1508="",$I1508="",$K1508=""),0,IF(ROUND(($I1508-$K1508)*1440,0)&gt;設定!$C$46,ROUND(($I1508-$K1508)*1440,0),0))</f>
        <v/>
      </c>
      <c r="Q1508" s="85">
        <f>IF($M1508="",0,IF(($M1508-IFERROR(INDEX(設定!$G$6:$G$21,MATCH($G1508,設定!$B$6:$B$21,0)),0))*60&gt;=設定!$C$44,ROUND(FLOOR(($M1508-IFERROR(INDEX(設定!$G$6:$G$21,MATCH($G1508,設定!$B$6:$B$21,0)),0))*60,設定!$C$45)/60,2),0))</f>
        <v/>
      </c>
      <c r="R1508" s="16">
        <f>IF(OR($C1508="",$Q1508=0),"",IF($G1508="國","國定假日",IF($B1508="日","例假",IF($B1508="六","休息日","平日"))))</f>
        <v/>
      </c>
      <c r="S1508" s="19" t="n"/>
    </row>
    <row r="1509">
      <c r="A1509" s="82">
        <f>IF(OR(助理班表!$A53="",19&gt;DAY(EOMONTH(DATE(設定!$C$2,設定!$D$2,1),0))),"",DATE(設定!$C$2,設定!$D$2,19))</f>
        <v/>
      </c>
      <c r="B1509" s="16">
        <f>IF($A1509="","",INDEX(設定!$O$6:$O$12,WEEKDAY($A1509,1)))</f>
        <v/>
      </c>
      <c r="C1509" s="16">
        <f>IF($A1509="","",助理班表!$A53)</f>
        <v/>
      </c>
      <c r="D1509" s="16">
        <f>IF($C1509="","",助理班表!$B53)</f>
        <v/>
      </c>
      <c r="E1509" s="16">
        <f>IF($C1509="","",助理班表!$D53)</f>
        <v/>
      </c>
      <c r="F1509" s="16">
        <f>IF($C1509="","",助理班表!$C53)</f>
        <v/>
      </c>
      <c r="G1509" s="16">
        <f>IF($C1509="","",助理班表!W53)</f>
        <v/>
      </c>
      <c r="H1509" s="83">
        <f>IF($G1509="","",IFERROR(IF(INDEX(設定!$D$6:$D$21,MATCH($G1509,設定!$B$6:$B$21,0))=0,"",INDEX(設定!$D$6:$D$21,MATCH($G1509,設定!$B$6:$B$21,0))),""))</f>
        <v/>
      </c>
      <c r="I1509" s="83">
        <f>IF($G1509="","",IFERROR(IF(INDEX(設定!$E$6:$E$21,MATCH($G1509,設定!$B$6:$B$21,0))=0,"",INDEX(設定!$E$6:$E$21,MATCH($G1509,設定!$B$6:$B$21,0))),""))</f>
        <v/>
      </c>
      <c r="J1509" s="83">
        <f>IFERROR(INDEX(打卡匯入!$C$3:$C$2002,MATCH($C1509&amp;"|"&amp;DAY($A1509),打卡匯入!$E$3:$E$2002,0)),"")</f>
        <v/>
      </c>
      <c r="K1509" s="83">
        <f>IFERROR(INDEX(打卡匯入!$D$3:$D$2002,MATCH($C1509&amp;"|"&amp;DAY($A1509),打卡匯入!$E$3:$E$2002,0)),"")</f>
        <v/>
      </c>
      <c r="L1509" s="84">
        <f>IF(OR($J1509="",$K1509=""),"",IFERROR(INDEX(設定!$F$6:$F$21,MATCH($G1509,設定!$B$6:$B$21,0)),0))</f>
        <v/>
      </c>
      <c r="M1509" s="85">
        <f>IF(OR($J1509="",$K1509=""),"",ROUND(($K1509-$J1509)*24-$L1509/60,2))</f>
        <v/>
      </c>
      <c r="N1509" s="16">
        <f>IF($C1509="","",IF(AND(COUNTIF(設定!$B$15:$B$21,$G1509)&gt;0,$J1509&lt;&gt;""),"假日出勤",IF(AND(COUNTIF(設定!$B$6:$B$14,$G1509)&gt;0,$J1509=""),"未打卡",IF($J1509="","",IF($O1509&gt;0,"遲到",IF($P1509&gt;0,"早退","正常"))))))</f>
        <v/>
      </c>
      <c r="O1509" s="84">
        <f>IF(OR($C1509="",$H1509="",$J1509=""),0,IF(ROUND(($J1509-$H1509)*1440,0)&gt;設定!$C$46,ROUND(($J1509-$H1509)*1440,0),0))</f>
        <v/>
      </c>
      <c r="P1509" s="84">
        <f>IF(OR($C1509="",$I1509="",$K1509=""),0,IF(ROUND(($I1509-$K1509)*1440,0)&gt;設定!$C$46,ROUND(($I1509-$K1509)*1440,0),0))</f>
        <v/>
      </c>
      <c r="Q1509" s="85">
        <f>IF($M1509="",0,IF(($M1509-IFERROR(INDEX(設定!$G$6:$G$21,MATCH($G1509,設定!$B$6:$B$21,0)),0))*60&gt;=設定!$C$44,ROUND(FLOOR(($M1509-IFERROR(INDEX(設定!$G$6:$G$21,MATCH($G1509,設定!$B$6:$B$21,0)),0))*60,設定!$C$45)/60,2),0))</f>
        <v/>
      </c>
      <c r="R1509" s="16">
        <f>IF(OR($C1509="",$Q1509=0),"",IF($G1509="國","國定假日",IF($B1509="日","例假",IF($B1509="六","休息日","平日"))))</f>
        <v/>
      </c>
      <c r="S1509" s="19" t="n"/>
    </row>
    <row r="1510">
      <c r="A1510" s="82">
        <f>IF(OR(助理班表!$A53="",20&gt;DAY(EOMONTH(DATE(設定!$C$2,設定!$D$2,1),0))),"",DATE(設定!$C$2,設定!$D$2,20))</f>
        <v/>
      </c>
      <c r="B1510" s="16">
        <f>IF($A1510="","",INDEX(設定!$O$6:$O$12,WEEKDAY($A1510,1)))</f>
        <v/>
      </c>
      <c r="C1510" s="16">
        <f>IF($A1510="","",助理班表!$A53)</f>
        <v/>
      </c>
      <c r="D1510" s="16">
        <f>IF($C1510="","",助理班表!$B53)</f>
        <v/>
      </c>
      <c r="E1510" s="16">
        <f>IF($C1510="","",助理班表!$D53)</f>
        <v/>
      </c>
      <c r="F1510" s="16">
        <f>IF($C1510="","",助理班表!$C53)</f>
        <v/>
      </c>
      <c r="G1510" s="16">
        <f>IF($C1510="","",助理班表!X53)</f>
        <v/>
      </c>
      <c r="H1510" s="83">
        <f>IF($G1510="","",IFERROR(IF(INDEX(設定!$D$6:$D$21,MATCH($G1510,設定!$B$6:$B$21,0))=0,"",INDEX(設定!$D$6:$D$21,MATCH($G1510,設定!$B$6:$B$21,0))),""))</f>
        <v/>
      </c>
      <c r="I1510" s="83">
        <f>IF($G1510="","",IFERROR(IF(INDEX(設定!$E$6:$E$21,MATCH($G1510,設定!$B$6:$B$21,0))=0,"",INDEX(設定!$E$6:$E$21,MATCH($G1510,設定!$B$6:$B$21,0))),""))</f>
        <v/>
      </c>
      <c r="J1510" s="83">
        <f>IFERROR(INDEX(打卡匯入!$C$3:$C$2002,MATCH($C1510&amp;"|"&amp;DAY($A1510),打卡匯入!$E$3:$E$2002,0)),"")</f>
        <v/>
      </c>
      <c r="K1510" s="83">
        <f>IFERROR(INDEX(打卡匯入!$D$3:$D$2002,MATCH($C1510&amp;"|"&amp;DAY($A1510),打卡匯入!$E$3:$E$2002,0)),"")</f>
        <v/>
      </c>
      <c r="L1510" s="84">
        <f>IF(OR($J1510="",$K1510=""),"",IFERROR(INDEX(設定!$F$6:$F$21,MATCH($G1510,設定!$B$6:$B$21,0)),0))</f>
        <v/>
      </c>
      <c r="M1510" s="85">
        <f>IF(OR($J1510="",$K1510=""),"",ROUND(($K1510-$J1510)*24-$L1510/60,2))</f>
        <v/>
      </c>
      <c r="N1510" s="16">
        <f>IF($C1510="","",IF(AND(COUNTIF(設定!$B$15:$B$21,$G1510)&gt;0,$J1510&lt;&gt;""),"假日出勤",IF(AND(COUNTIF(設定!$B$6:$B$14,$G1510)&gt;0,$J1510=""),"未打卡",IF($J1510="","",IF($O1510&gt;0,"遲到",IF($P1510&gt;0,"早退","正常"))))))</f>
        <v/>
      </c>
      <c r="O1510" s="84">
        <f>IF(OR($C1510="",$H1510="",$J1510=""),0,IF(ROUND(($J1510-$H1510)*1440,0)&gt;設定!$C$46,ROUND(($J1510-$H1510)*1440,0),0))</f>
        <v/>
      </c>
      <c r="P1510" s="84">
        <f>IF(OR($C1510="",$I1510="",$K1510=""),0,IF(ROUND(($I1510-$K1510)*1440,0)&gt;設定!$C$46,ROUND(($I1510-$K1510)*1440,0),0))</f>
        <v/>
      </c>
      <c r="Q1510" s="85">
        <f>IF($M1510="",0,IF(($M1510-IFERROR(INDEX(設定!$G$6:$G$21,MATCH($G1510,設定!$B$6:$B$21,0)),0))*60&gt;=設定!$C$44,ROUND(FLOOR(($M1510-IFERROR(INDEX(設定!$G$6:$G$21,MATCH($G1510,設定!$B$6:$B$21,0)),0))*60,設定!$C$45)/60,2),0))</f>
        <v/>
      </c>
      <c r="R1510" s="16">
        <f>IF(OR($C1510="",$Q1510=0),"",IF($G1510="國","國定假日",IF($B1510="日","例假",IF($B1510="六","休息日","平日"))))</f>
        <v/>
      </c>
      <c r="S1510" s="19" t="n"/>
    </row>
    <row r="1511">
      <c r="A1511" s="82">
        <f>IF(OR(助理班表!$A53="",21&gt;DAY(EOMONTH(DATE(設定!$C$2,設定!$D$2,1),0))),"",DATE(設定!$C$2,設定!$D$2,21))</f>
        <v/>
      </c>
      <c r="B1511" s="16">
        <f>IF($A1511="","",INDEX(設定!$O$6:$O$12,WEEKDAY($A1511,1)))</f>
        <v/>
      </c>
      <c r="C1511" s="16">
        <f>IF($A1511="","",助理班表!$A53)</f>
        <v/>
      </c>
      <c r="D1511" s="16">
        <f>IF($C1511="","",助理班表!$B53)</f>
        <v/>
      </c>
      <c r="E1511" s="16">
        <f>IF($C1511="","",助理班表!$D53)</f>
        <v/>
      </c>
      <c r="F1511" s="16">
        <f>IF($C1511="","",助理班表!$C53)</f>
        <v/>
      </c>
      <c r="G1511" s="16">
        <f>IF($C1511="","",助理班表!Y53)</f>
        <v/>
      </c>
      <c r="H1511" s="83">
        <f>IF($G1511="","",IFERROR(IF(INDEX(設定!$D$6:$D$21,MATCH($G1511,設定!$B$6:$B$21,0))=0,"",INDEX(設定!$D$6:$D$21,MATCH($G1511,設定!$B$6:$B$21,0))),""))</f>
        <v/>
      </c>
      <c r="I1511" s="83">
        <f>IF($G1511="","",IFERROR(IF(INDEX(設定!$E$6:$E$21,MATCH($G1511,設定!$B$6:$B$21,0))=0,"",INDEX(設定!$E$6:$E$21,MATCH($G1511,設定!$B$6:$B$21,0))),""))</f>
        <v/>
      </c>
      <c r="J1511" s="83">
        <f>IFERROR(INDEX(打卡匯入!$C$3:$C$2002,MATCH($C1511&amp;"|"&amp;DAY($A1511),打卡匯入!$E$3:$E$2002,0)),"")</f>
        <v/>
      </c>
      <c r="K1511" s="83">
        <f>IFERROR(INDEX(打卡匯入!$D$3:$D$2002,MATCH($C1511&amp;"|"&amp;DAY($A1511),打卡匯入!$E$3:$E$2002,0)),"")</f>
        <v/>
      </c>
      <c r="L1511" s="84">
        <f>IF(OR($J1511="",$K1511=""),"",IFERROR(INDEX(設定!$F$6:$F$21,MATCH($G1511,設定!$B$6:$B$21,0)),0))</f>
        <v/>
      </c>
      <c r="M1511" s="85">
        <f>IF(OR($J1511="",$K1511=""),"",ROUND(($K1511-$J1511)*24-$L1511/60,2))</f>
        <v/>
      </c>
      <c r="N1511" s="16">
        <f>IF($C1511="","",IF(AND(COUNTIF(設定!$B$15:$B$21,$G1511)&gt;0,$J1511&lt;&gt;""),"假日出勤",IF(AND(COUNTIF(設定!$B$6:$B$14,$G1511)&gt;0,$J1511=""),"未打卡",IF($J1511="","",IF($O1511&gt;0,"遲到",IF($P1511&gt;0,"早退","正常"))))))</f>
        <v/>
      </c>
      <c r="O1511" s="84">
        <f>IF(OR($C1511="",$H1511="",$J1511=""),0,IF(ROUND(($J1511-$H1511)*1440,0)&gt;設定!$C$46,ROUND(($J1511-$H1511)*1440,0),0))</f>
        <v/>
      </c>
      <c r="P1511" s="84">
        <f>IF(OR($C1511="",$I1511="",$K1511=""),0,IF(ROUND(($I1511-$K1511)*1440,0)&gt;設定!$C$46,ROUND(($I1511-$K1511)*1440,0),0))</f>
        <v/>
      </c>
      <c r="Q1511" s="85">
        <f>IF($M1511="",0,IF(($M1511-IFERROR(INDEX(設定!$G$6:$G$21,MATCH($G1511,設定!$B$6:$B$21,0)),0))*60&gt;=設定!$C$44,ROUND(FLOOR(($M1511-IFERROR(INDEX(設定!$G$6:$G$21,MATCH($G1511,設定!$B$6:$B$21,0)),0))*60,設定!$C$45)/60,2),0))</f>
        <v/>
      </c>
      <c r="R1511" s="16">
        <f>IF(OR($C1511="",$Q1511=0),"",IF($G1511="國","國定假日",IF($B1511="日","例假",IF($B1511="六","休息日","平日"))))</f>
        <v/>
      </c>
      <c r="S1511" s="19" t="n"/>
    </row>
    <row r="1512">
      <c r="A1512" s="82">
        <f>IF(OR(助理班表!$A53="",22&gt;DAY(EOMONTH(DATE(設定!$C$2,設定!$D$2,1),0))),"",DATE(設定!$C$2,設定!$D$2,22))</f>
        <v/>
      </c>
      <c r="B1512" s="16">
        <f>IF($A1512="","",INDEX(設定!$O$6:$O$12,WEEKDAY($A1512,1)))</f>
        <v/>
      </c>
      <c r="C1512" s="16">
        <f>IF($A1512="","",助理班表!$A53)</f>
        <v/>
      </c>
      <c r="D1512" s="16">
        <f>IF($C1512="","",助理班表!$B53)</f>
        <v/>
      </c>
      <c r="E1512" s="16">
        <f>IF($C1512="","",助理班表!$D53)</f>
        <v/>
      </c>
      <c r="F1512" s="16">
        <f>IF($C1512="","",助理班表!$C53)</f>
        <v/>
      </c>
      <c r="G1512" s="16">
        <f>IF($C1512="","",助理班表!Z53)</f>
        <v/>
      </c>
      <c r="H1512" s="83">
        <f>IF($G1512="","",IFERROR(IF(INDEX(設定!$D$6:$D$21,MATCH($G1512,設定!$B$6:$B$21,0))=0,"",INDEX(設定!$D$6:$D$21,MATCH($G1512,設定!$B$6:$B$21,0))),""))</f>
        <v/>
      </c>
      <c r="I1512" s="83">
        <f>IF($G1512="","",IFERROR(IF(INDEX(設定!$E$6:$E$21,MATCH($G1512,設定!$B$6:$B$21,0))=0,"",INDEX(設定!$E$6:$E$21,MATCH($G1512,設定!$B$6:$B$21,0))),""))</f>
        <v/>
      </c>
      <c r="J1512" s="83">
        <f>IFERROR(INDEX(打卡匯入!$C$3:$C$2002,MATCH($C1512&amp;"|"&amp;DAY($A1512),打卡匯入!$E$3:$E$2002,0)),"")</f>
        <v/>
      </c>
      <c r="K1512" s="83">
        <f>IFERROR(INDEX(打卡匯入!$D$3:$D$2002,MATCH($C1512&amp;"|"&amp;DAY($A1512),打卡匯入!$E$3:$E$2002,0)),"")</f>
        <v/>
      </c>
      <c r="L1512" s="84">
        <f>IF(OR($J1512="",$K1512=""),"",IFERROR(INDEX(設定!$F$6:$F$21,MATCH($G1512,設定!$B$6:$B$21,0)),0))</f>
        <v/>
      </c>
      <c r="M1512" s="85">
        <f>IF(OR($J1512="",$K1512=""),"",ROUND(($K1512-$J1512)*24-$L1512/60,2))</f>
        <v/>
      </c>
      <c r="N1512" s="16">
        <f>IF($C1512="","",IF(AND(COUNTIF(設定!$B$15:$B$21,$G1512)&gt;0,$J1512&lt;&gt;""),"假日出勤",IF(AND(COUNTIF(設定!$B$6:$B$14,$G1512)&gt;0,$J1512=""),"未打卡",IF($J1512="","",IF($O1512&gt;0,"遲到",IF($P1512&gt;0,"早退","正常"))))))</f>
        <v/>
      </c>
      <c r="O1512" s="84">
        <f>IF(OR($C1512="",$H1512="",$J1512=""),0,IF(ROUND(($J1512-$H1512)*1440,0)&gt;設定!$C$46,ROUND(($J1512-$H1512)*1440,0),0))</f>
        <v/>
      </c>
      <c r="P1512" s="84">
        <f>IF(OR($C1512="",$I1512="",$K1512=""),0,IF(ROUND(($I1512-$K1512)*1440,0)&gt;設定!$C$46,ROUND(($I1512-$K1512)*1440,0),0))</f>
        <v/>
      </c>
      <c r="Q1512" s="85">
        <f>IF($M1512="",0,IF(($M1512-IFERROR(INDEX(設定!$G$6:$G$21,MATCH($G1512,設定!$B$6:$B$21,0)),0))*60&gt;=設定!$C$44,ROUND(FLOOR(($M1512-IFERROR(INDEX(設定!$G$6:$G$21,MATCH($G1512,設定!$B$6:$B$21,0)),0))*60,設定!$C$45)/60,2),0))</f>
        <v/>
      </c>
      <c r="R1512" s="16">
        <f>IF(OR($C1512="",$Q1512=0),"",IF($G1512="國","國定假日",IF($B1512="日","例假",IF($B1512="六","休息日","平日"))))</f>
        <v/>
      </c>
      <c r="S1512" s="19" t="n"/>
    </row>
    <row r="1513">
      <c r="A1513" s="82">
        <f>IF(OR(助理班表!$A53="",23&gt;DAY(EOMONTH(DATE(設定!$C$2,設定!$D$2,1),0))),"",DATE(設定!$C$2,設定!$D$2,23))</f>
        <v/>
      </c>
      <c r="B1513" s="16">
        <f>IF($A1513="","",INDEX(設定!$O$6:$O$12,WEEKDAY($A1513,1)))</f>
        <v/>
      </c>
      <c r="C1513" s="16">
        <f>IF($A1513="","",助理班表!$A53)</f>
        <v/>
      </c>
      <c r="D1513" s="16">
        <f>IF($C1513="","",助理班表!$B53)</f>
        <v/>
      </c>
      <c r="E1513" s="16">
        <f>IF($C1513="","",助理班表!$D53)</f>
        <v/>
      </c>
      <c r="F1513" s="16">
        <f>IF($C1513="","",助理班表!$C53)</f>
        <v/>
      </c>
      <c r="G1513" s="16">
        <f>IF($C1513="","",助理班表!AA53)</f>
        <v/>
      </c>
      <c r="H1513" s="83">
        <f>IF($G1513="","",IFERROR(IF(INDEX(設定!$D$6:$D$21,MATCH($G1513,設定!$B$6:$B$21,0))=0,"",INDEX(設定!$D$6:$D$21,MATCH($G1513,設定!$B$6:$B$21,0))),""))</f>
        <v/>
      </c>
      <c r="I1513" s="83">
        <f>IF($G1513="","",IFERROR(IF(INDEX(設定!$E$6:$E$21,MATCH($G1513,設定!$B$6:$B$21,0))=0,"",INDEX(設定!$E$6:$E$21,MATCH($G1513,設定!$B$6:$B$21,0))),""))</f>
        <v/>
      </c>
      <c r="J1513" s="83">
        <f>IFERROR(INDEX(打卡匯入!$C$3:$C$2002,MATCH($C1513&amp;"|"&amp;DAY($A1513),打卡匯入!$E$3:$E$2002,0)),"")</f>
        <v/>
      </c>
      <c r="K1513" s="83">
        <f>IFERROR(INDEX(打卡匯入!$D$3:$D$2002,MATCH($C1513&amp;"|"&amp;DAY($A1513),打卡匯入!$E$3:$E$2002,0)),"")</f>
        <v/>
      </c>
      <c r="L1513" s="84">
        <f>IF(OR($J1513="",$K1513=""),"",IFERROR(INDEX(設定!$F$6:$F$21,MATCH($G1513,設定!$B$6:$B$21,0)),0))</f>
        <v/>
      </c>
      <c r="M1513" s="85">
        <f>IF(OR($J1513="",$K1513=""),"",ROUND(($K1513-$J1513)*24-$L1513/60,2))</f>
        <v/>
      </c>
      <c r="N1513" s="16">
        <f>IF($C1513="","",IF(AND(COUNTIF(設定!$B$15:$B$21,$G1513)&gt;0,$J1513&lt;&gt;""),"假日出勤",IF(AND(COUNTIF(設定!$B$6:$B$14,$G1513)&gt;0,$J1513=""),"未打卡",IF($J1513="","",IF($O1513&gt;0,"遲到",IF($P1513&gt;0,"早退","正常"))))))</f>
        <v/>
      </c>
      <c r="O1513" s="84">
        <f>IF(OR($C1513="",$H1513="",$J1513=""),0,IF(ROUND(($J1513-$H1513)*1440,0)&gt;設定!$C$46,ROUND(($J1513-$H1513)*1440,0),0))</f>
        <v/>
      </c>
      <c r="P1513" s="84">
        <f>IF(OR($C1513="",$I1513="",$K1513=""),0,IF(ROUND(($I1513-$K1513)*1440,0)&gt;設定!$C$46,ROUND(($I1513-$K1513)*1440,0),0))</f>
        <v/>
      </c>
      <c r="Q1513" s="85">
        <f>IF($M1513="",0,IF(($M1513-IFERROR(INDEX(設定!$G$6:$G$21,MATCH($G1513,設定!$B$6:$B$21,0)),0))*60&gt;=設定!$C$44,ROUND(FLOOR(($M1513-IFERROR(INDEX(設定!$G$6:$G$21,MATCH($G1513,設定!$B$6:$B$21,0)),0))*60,設定!$C$45)/60,2),0))</f>
        <v/>
      </c>
      <c r="R1513" s="16">
        <f>IF(OR($C1513="",$Q1513=0),"",IF($G1513="國","國定假日",IF($B1513="日","例假",IF($B1513="六","休息日","平日"))))</f>
        <v/>
      </c>
      <c r="S1513" s="19" t="n"/>
    </row>
    <row r="1514">
      <c r="A1514" s="82">
        <f>IF(OR(助理班表!$A53="",24&gt;DAY(EOMONTH(DATE(設定!$C$2,設定!$D$2,1),0))),"",DATE(設定!$C$2,設定!$D$2,24))</f>
        <v/>
      </c>
      <c r="B1514" s="16">
        <f>IF($A1514="","",INDEX(設定!$O$6:$O$12,WEEKDAY($A1514,1)))</f>
        <v/>
      </c>
      <c r="C1514" s="16">
        <f>IF($A1514="","",助理班表!$A53)</f>
        <v/>
      </c>
      <c r="D1514" s="16">
        <f>IF($C1514="","",助理班表!$B53)</f>
        <v/>
      </c>
      <c r="E1514" s="16">
        <f>IF($C1514="","",助理班表!$D53)</f>
        <v/>
      </c>
      <c r="F1514" s="16">
        <f>IF($C1514="","",助理班表!$C53)</f>
        <v/>
      </c>
      <c r="G1514" s="16">
        <f>IF($C1514="","",助理班表!AB53)</f>
        <v/>
      </c>
      <c r="H1514" s="83">
        <f>IF($G1514="","",IFERROR(IF(INDEX(設定!$D$6:$D$21,MATCH($G1514,設定!$B$6:$B$21,0))=0,"",INDEX(設定!$D$6:$D$21,MATCH($G1514,設定!$B$6:$B$21,0))),""))</f>
        <v/>
      </c>
      <c r="I1514" s="83">
        <f>IF($G1514="","",IFERROR(IF(INDEX(設定!$E$6:$E$21,MATCH($G1514,設定!$B$6:$B$21,0))=0,"",INDEX(設定!$E$6:$E$21,MATCH($G1514,設定!$B$6:$B$21,0))),""))</f>
        <v/>
      </c>
      <c r="J1514" s="83">
        <f>IFERROR(INDEX(打卡匯入!$C$3:$C$2002,MATCH($C1514&amp;"|"&amp;DAY($A1514),打卡匯入!$E$3:$E$2002,0)),"")</f>
        <v/>
      </c>
      <c r="K1514" s="83">
        <f>IFERROR(INDEX(打卡匯入!$D$3:$D$2002,MATCH($C1514&amp;"|"&amp;DAY($A1514),打卡匯入!$E$3:$E$2002,0)),"")</f>
        <v/>
      </c>
      <c r="L1514" s="84">
        <f>IF(OR($J1514="",$K1514=""),"",IFERROR(INDEX(設定!$F$6:$F$21,MATCH($G1514,設定!$B$6:$B$21,0)),0))</f>
        <v/>
      </c>
      <c r="M1514" s="85">
        <f>IF(OR($J1514="",$K1514=""),"",ROUND(($K1514-$J1514)*24-$L1514/60,2))</f>
        <v/>
      </c>
      <c r="N1514" s="16">
        <f>IF($C1514="","",IF(AND(COUNTIF(設定!$B$15:$B$21,$G1514)&gt;0,$J1514&lt;&gt;""),"假日出勤",IF(AND(COUNTIF(設定!$B$6:$B$14,$G1514)&gt;0,$J1514=""),"未打卡",IF($J1514="","",IF($O1514&gt;0,"遲到",IF($P1514&gt;0,"早退","正常"))))))</f>
        <v/>
      </c>
      <c r="O1514" s="84">
        <f>IF(OR($C1514="",$H1514="",$J1514=""),0,IF(ROUND(($J1514-$H1514)*1440,0)&gt;設定!$C$46,ROUND(($J1514-$H1514)*1440,0),0))</f>
        <v/>
      </c>
      <c r="P1514" s="84">
        <f>IF(OR($C1514="",$I1514="",$K1514=""),0,IF(ROUND(($I1514-$K1514)*1440,0)&gt;設定!$C$46,ROUND(($I1514-$K1514)*1440,0),0))</f>
        <v/>
      </c>
      <c r="Q1514" s="85">
        <f>IF($M1514="",0,IF(($M1514-IFERROR(INDEX(設定!$G$6:$G$21,MATCH($G1514,設定!$B$6:$B$21,0)),0))*60&gt;=設定!$C$44,ROUND(FLOOR(($M1514-IFERROR(INDEX(設定!$G$6:$G$21,MATCH($G1514,設定!$B$6:$B$21,0)),0))*60,設定!$C$45)/60,2),0))</f>
        <v/>
      </c>
      <c r="R1514" s="16">
        <f>IF(OR($C1514="",$Q1514=0),"",IF($G1514="國","國定假日",IF($B1514="日","例假",IF($B1514="六","休息日","平日"))))</f>
        <v/>
      </c>
      <c r="S1514" s="19" t="n"/>
    </row>
    <row r="1515">
      <c r="A1515" s="82">
        <f>IF(OR(助理班表!$A53="",25&gt;DAY(EOMONTH(DATE(設定!$C$2,設定!$D$2,1),0))),"",DATE(設定!$C$2,設定!$D$2,25))</f>
        <v/>
      </c>
      <c r="B1515" s="16">
        <f>IF($A1515="","",INDEX(設定!$O$6:$O$12,WEEKDAY($A1515,1)))</f>
        <v/>
      </c>
      <c r="C1515" s="16">
        <f>IF($A1515="","",助理班表!$A53)</f>
        <v/>
      </c>
      <c r="D1515" s="16">
        <f>IF($C1515="","",助理班表!$B53)</f>
        <v/>
      </c>
      <c r="E1515" s="16">
        <f>IF($C1515="","",助理班表!$D53)</f>
        <v/>
      </c>
      <c r="F1515" s="16">
        <f>IF($C1515="","",助理班表!$C53)</f>
        <v/>
      </c>
      <c r="G1515" s="16">
        <f>IF($C1515="","",助理班表!AC53)</f>
        <v/>
      </c>
      <c r="H1515" s="83">
        <f>IF($G1515="","",IFERROR(IF(INDEX(設定!$D$6:$D$21,MATCH($G1515,設定!$B$6:$B$21,0))=0,"",INDEX(設定!$D$6:$D$21,MATCH($G1515,設定!$B$6:$B$21,0))),""))</f>
        <v/>
      </c>
      <c r="I1515" s="83">
        <f>IF($G1515="","",IFERROR(IF(INDEX(設定!$E$6:$E$21,MATCH($G1515,設定!$B$6:$B$21,0))=0,"",INDEX(設定!$E$6:$E$21,MATCH($G1515,設定!$B$6:$B$21,0))),""))</f>
        <v/>
      </c>
      <c r="J1515" s="83">
        <f>IFERROR(INDEX(打卡匯入!$C$3:$C$2002,MATCH($C1515&amp;"|"&amp;DAY($A1515),打卡匯入!$E$3:$E$2002,0)),"")</f>
        <v/>
      </c>
      <c r="K1515" s="83">
        <f>IFERROR(INDEX(打卡匯入!$D$3:$D$2002,MATCH($C1515&amp;"|"&amp;DAY($A1515),打卡匯入!$E$3:$E$2002,0)),"")</f>
        <v/>
      </c>
      <c r="L1515" s="84">
        <f>IF(OR($J1515="",$K1515=""),"",IFERROR(INDEX(設定!$F$6:$F$21,MATCH($G1515,設定!$B$6:$B$21,0)),0))</f>
        <v/>
      </c>
      <c r="M1515" s="85">
        <f>IF(OR($J1515="",$K1515=""),"",ROUND(($K1515-$J1515)*24-$L1515/60,2))</f>
        <v/>
      </c>
      <c r="N1515" s="16">
        <f>IF($C1515="","",IF(AND(COUNTIF(設定!$B$15:$B$21,$G1515)&gt;0,$J1515&lt;&gt;""),"假日出勤",IF(AND(COUNTIF(設定!$B$6:$B$14,$G1515)&gt;0,$J1515=""),"未打卡",IF($J1515="","",IF($O1515&gt;0,"遲到",IF($P1515&gt;0,"早退","正常"))))))</f>
        <v/>
      </c>
      <c r="O1515" s="84">
        <f>IF(OR($C1515="",$H1515="",$J1515=""),0,IF(ROUND(($J1515-$H1515)*1440,0)&gt;設定!$C$46,ROUND(($J1515-$H1515)*1440,0),0))</f>
        <v/>
      </c>
      <c r="P1515" s="84">
        <f>IF(OR($C1515="",$I1515="",$K1515=""),0,IF(ROUND(($I1515-$K1515)*1440,0)&gt;設定!$C$46,ROUND(($I1515-$K1515)*1440,0),0))</f>
        <v/>
      </c>
      <c r="Q1515" s="85">
        <f>IF($M1515="",0,IF(($M1515-IFERROR(INDEX(設定!$G$6:$G$21,MATCH($G1515,設定!$B$6:$B$21,0)),0))*60&gt;=設定!$C$44,ROUND(FLOOR(($M1515-IFERROR(INDEX(設定!$G$6:$G$21,MATCH($G1515,設定!$B$6:$B$21,0)),0))*60,設定!$C$45)/60,2),0))</f>
        <v/>
      </c>
      <c r="R1515" s="16">
        <f>IF(OR($C1515="",$Q1515=0),"",IF($G1515="國","國定假日",IF($B1515="日","例假",IF($B1515="六","休息日","平日"))))</f>
        <v/>
      </c>
      <c r="S1515" s="19" t="n"/>
    </row>
    <row r="1516">
      <c r="A1516" s="82">
        <f>IF(OR(助理班表!$A53="",26&gt;DAY(EOMONTH(DATE(設定!$C$2,設定!$D$2,1),0))),"",DATE(設定!$C$2,設定!$D$2,26))</f>
        <v/>
      </c>
      <c r="B1516" s="16">
        <f>IF($A1516="","",INDEX(設定!$O$6:$O$12,WEEKDAY($A1516,1)))</f>
        <v/>
      </c>
      <c r="C1516" s="16">
        <f>IF($A1516="","",助理班表!$A53)</f>
        <v/>
      </c>
      <c r="D1516" s="16">
        <f>IF($C1516="","",助理班表!$B53)</f>
        <v/>
      </c>
      <c r="E1516" s="16">
        <f>IF($C1516="","",助理班表!$D53)</f>
        <v/>
      </c>
      <c r="F1516" s="16">
        <f>IF($C1516="","",助理班表!$C53)</f>
        <v/>
      </c>
      <c r="G1516" s="16">
        <f>IF($C1516="","",助理班表!AD53)</f>
        <v/>
      </c>
      <c r="H1516" s="83">
        <f>IF($G1516="","",IFERROR(IF(INDEX(設定!$D$6:$D$21,MATCH($G1516,設定!$B$6:$B$21,0))=0,"",INDEX(設定!$D$6:$D$21,MATCH($G1516,設定!$B$6:$B$21,0))),""))</f>
        <v/>
      </c>
      <c r="I1516" s="83">
        <f>IF($G1516="","",IFERROR(IF(INDEX(設定!$E$6:$E$21,MATCH($G1516,設定!$B$6:$B$21,0))=0,"",INDEX(設定!$E$6:$E$21,MATCH($G1516,設定!$B$6:$B$21,0))),""))</f>
        <v/>
      </c>
      <c r="J1516" s="83">
        <f>IFERROR(INDEX(打卡匯入!$C$3:$C$2002,MATCH($C1516&amp;"|"&amp;DAY($A1516),打卡匯入!$E$3:$E$2002,0)),"")</f>
        <v/>
      </c>
      <c r="K1516" s="83">
        <f>IFERROR(INDEX(打卡匯入!$D$3:$D$2002,MATCH($C1516&amp;"|"&amp;DAY($A1516),打卡匯入!$E$3:$E$2002,0)),"")</f>
        <v/>
      </c>
      <c r="L1516" s="84">
        <f>IF(OR($J1516="",$K1516=""),"",IFERROR(INDEX(設定!$F$6:$F$21,MATCH($G1516,設定!$B$6:$B$21,0)),0))</f>
        <v/>
      </c>
      <c r="M1516" s="85">
        <f>IF(OR($J1516="",$K1516=""),"",ROUND(($K1516-$J1516)*24-$L1516/60,2))</f>
        <v/>
      </c>
      <c r="N1516" s="16">
        <f>IF($C1516="","",IF(AND(COUNTIF(設定!$B$15:$B$21,$G1516)&gt;0,$J1516&lt;&gt;""),"假日出勤",IF(AND(COUNTIF(設定!$B$6:$B$14,$G1516)&gt;0,$J1516=""),"未打卡",IF($J1516="","",IF($O1516&gt;0,"遲到",IF($P1516&gt;0,"早退","正常"))))))</f>
        <v/>
      </c>
      <c r="O1516" s="84">
        <f>IF(OR($C1516="",$H1516="",$J1516=""),0,IF(ROUND(($J1516-$H1516)*1440,0)&gt;設定!$C$46,ROUND(($J1516-$H1516)*1440,0),0))</f>
        <v/>
      </c>
      <c r="P1516" s="84">
        <f>IF(OR($C1516="",$I1516="",$K1516=""),0,IF(ROUND(($I1516-$K1516)*1440,0)&gt;設定!$C$46,ROUND(($I1516-$K1516)*1440,0),0))</f>
        <v/>
      </c>
      <c r="Q1516" s="85">
        <f>IF($M1516="",0,IF(($M1516-IFERROR(INDEX(設定!$G$6:$G$21,MATCH($G1516,設定!$B$6:$B$21,0)),0))*60&gt;=設定!$C$44,ROUND(FLOOR(($M1516-IFERROR(INDEX(設定!$G$6:$G$21,MATCH($G1516,設定!$B$6:$B$21,0)),0))*60,設定!$C$45)/60,2),0))</f>
        <v/>
      </c>
      <c r="R1516" s="16">
        <f>IF(OR($C1516="",$Q1516=0),"",IF($G1516="國","國定假日",IF($B1516="日","例假",IF($B1516="六","休息日","平日"))))</f>
        <v/>
      </c>
      <c r="S1516" s="19" t="n"/>
    </row>
    <row r="1517">
      <c r="A1517" s="82">
        <f>IF(OR(助理班表!$A53="",27&gt;DAY(EOMONTH(DATE(設定!$C$2,設定!$D$2,1),0))),"",DATE(設定!$C$2,設定!$D$2,27))</f>
        <v/>
      </c>
      <c r="B1517" s="16">
        <f>IF($A1517="","",INDEX(設定!$O$6:$O$12,WEEKDAY($A1517,1)))</f>
        <v/>
      </c>
      <c r="C1517" s="16">
        <f>IF($A1517="","",助理班表!$A53)</f>
        <v/>
      </c>
      <c r="D1517" s="16">
        <f>IF($C1517="","",助理班表!$B53)</f>
        <v/>
      </c>
      <c r="E1517" s="16">
        <f>IF($C1517="","",助理班表!$D53)</f>
        <v/>
      </c>
      <c r="F1517" s="16">
        <f>IF($C1517="","",助理班表!$C53)</f>
        <v/>
      </c>
      <c r="G1517" s="16">
        <f>IF($C1517="","",助理班表!AE53)</f>
        <v/>
      </c>
      <c r="H1517" s="83">
        <f>IF($G1517="","",IFERROR(IF(INDEX(設定!$D$6:$D$21,MATCH($G1517,設定!$B$6:$B$21,0))=0,"",INDEX(設定!$D$6:$D$21,MATCH($G1517,設定!$B$6:$B$21,0))),""))</f>
        <v/>
      </c>
      <c r="I1517" s="83">
        <f>IF($G1517="","",IFERROR(IF(INDEX(設定!$E$6:$E$21,MATCH($G1517,設定!$B$6:$B$21,0))=0,"",INDEX(設定!$E$6:$E$21,MATCH($G1517,設定!$B$6:$B$21,0))),""))</f>
        <v/>
      </c>
      <c r="J1517" s="83">
        <f>IFERROR(INDEX(打卡匯入!$C$3:$C$2002,MATCH($C1517&amp;"|"&amp;DAY($A1517),打卡匯入!$E$3:$E$2002,0)),"")</f>
        <v/>
      </c>
      <c r="K1517" s="83">
        <f>IFERROR(INDEX(打卡匯入!$D$3:$D$2002,MATCH($C1517&amp;"|"&amp;DAY($A1517),打卡匯入!$E$3:$E$2002,0)),"")</f>
        <v/>
      </c>
      <c r="L1517" s="84">
        <f>IF(OR($J1517="",$K1517=""),"",IFERROR(INDEX(設定!$F$6:$F$21,MATCH($G1517,設定!$B$6:$B$21,0)),0))</f>
        <v/>
      </c>
      <c r="M1517" s="85">
        <f>IF(OR($J1517="",$K1517=""),"",ROUND(($K1517-$J1517)*24-$L1517/60,2))</f>
        <v/>
      </c>
      <c r="N1517" s="16">
        <f>IF($C1517="","",IF(AND(COUNTIF(設定!$B$15:$B$21,$G1517)&gt;0,$J1517&lt;&gt;""),"假日出勤",IF(AND(COUNTIF(設定!$B$6:$B$14,$G1517)&gt;0,$J1517=""),"未打卡",IF($J1517="","",IF($O1517&gt;0,"遲到",IF($P1517&gt;0,"早退","正常"))))))</f>
        <v/>
      </c>
      <c r="O1517" s="84">
        <f>IF(OR($C1517="",$H1517="",$J1517=""),0,IF(ROUND(($J1517-$H1517)*1440,0)&gt;設定!$C$46,ROUND(($J1517-$H1517)*1440,0),0))</f>
        <v/>
      </c>
      <c r="P1517" s="84">
        <f>IF(OR($C1517="",$I1517="",$K1517=""),0,IF(ROUND(($I1517-$K1517)*1440,0)&gt;設定!$C$46,ROUND(($I1517-$K1517)*1440,0),0))</f>
        <v/>
      </c>
      <c r="Q1517" s="85">
        <f>IF($M1517="",0,IF(($M1517-IFERROR(INDEX(設定!$G$6:$G$21,MATCH($G1517,設定!$B$6:$B$21,0)),0))*60&gt;=設定!$C$44,ROUND(FLOOR(($M1517-IFERROR(INDEX(設定!$G$6:$G$21,MATCH($G1517,設定!$B$6:$B$21,0)),0))*60,設定!$C$45)/60,2),0))</f>
        <v/>
      </c>
      <c r="R1517" s="16">
        <f>IF(OR($C1517="",$Q1517=0),"",IF($G1517="國","國定假日",IF($B1517="日","例假",IF($B1517="六","休息日","平日"))))</f>
        <v/>
      </c>
      <c r="S1517" s="19" t="n"/>
    </row>
    <row r="1518">
      <c r="A1518" s="82">
        <f>IF(OR(助理班表!$A53="",28&gt;DAY(EOMONTH(DATE(設定!$C$2,設定!$D$2,1),0))),"",DATE(設定!$C$2,設定!$D$2,28))</f>
        <v/>
      </c>
      <c r="B1518" s="16">
        <f>IF($A1518="","",INDEX(設定!$O$6:$O$12,WEEKDAY($A1518,1)))</f>
        <v/>
      </c>
      <c r="C1518" s="16">
        <f>IF($A1518="","",助理班表!$A53)</f>
        <v/>
      </c>
      <c r="D1518" s="16">
        <f>IF($C1518="","",助理班表!$B53)</f>
        <v/>
      </c>
      <c r="E1518" s="16">
        <f>IF($C1518="","",助理班表!$D53)</f>
        <v/>
      </c>
      <c r="F1518" s="16">
        <f>IF($C1518="","",助理班表!$C53)</f>
        <v/>
      </c>
      <c r="G1518" s="16">
        <f>IF($C1518="","",助理班表!AF53)</f>
        <v/>
      </c>
      <c r="H1518" s="83">
        <f>IF($G1518="","",IFERROR(IF(INDEX(設定!$D$6:$D$21,MATCH($G1518,設定!$B$6:$B$21,0))=0,"",INDEX(設定!$D$6:$D$21,MATCH($G1518,設定!$B$6:$B$21,0))),""))</f>
        <v/>
      </c>
      <c r="I1518" s="83">
        <f>IF($G1518="","",IFERROR(IF(INDEX(設定!$E$6:$E$21,MATCH($G1518,設定!$B$6:$B$21,0))=0,"",INDEX(設定!$E$6:$E$21,MATCH($G1518,設定!$B$6:$B$21,0))),""))</f>
        <v/>
      </c>
      <c r="J1518" s="83">
        <f>IFERROR(INDEX(打卡匯入!$C$3:$C$2002,MATCH($C1518&amp;"|"&amp;DAY($A1518),打卡匯入!$E$3:$E$2002,0)),"")</f>
        <v/>
      </c>
      <c r="K1518" s="83">
        <f>IFERROR(INDEX(打卡匯入!$D$3:$D$2002,MATCH($C1518&amp;"|"&amp;DAY($A1518),打卡匯入!$E$3:$E$2002,0)),"")</f>
        <v/>
      </c>
      <c r="L1518" s="84">
        <f>IF(OR($J1518="",$K1518=""),"",IFERROR(INDEX(設定!$F$6:$F$21,MATCH($G1518,設定!$B$6:$B$21,0)),0))</f>
        <v/>
      </c>
      <c r="M1518" s="85">
        <f>IF(OR($J1518="",$K1518=""),"",ROUND(($K1518-$J1518)*24-$L1518/60,2))</f>
        <v/>
      </c>
      <c r="N1518" s="16">
        <f>IF($C1518="","",IF(AND(COUNTIF(設定!$B$15:$B$21,$G1518)&gt;0,$J1518&lt;&gt;""),"假日出勤",IF(AND(COUNTIF(設定!$B$6:$B$14,$G1518)&gt;0,$J1518=""),"未打卡",IF($J1518="","",IF($O1518&gt;0,"遲到",IF($P1518&gt;0,"早退","正常"))))))</f>
        <v/>
      </c>
      <c r="O1518" s="84">
        <f>IF(OR($C1518="",$H1518="",$J1518=""),0,IF(ROUND(($J1518-$H1518)*1440,0)&gt;設定!$C$46,ROUND(($J1518-$H1518)*1440,0),0))</f>
        <v/>
      </c>
      <c r="P1518" s="84">
        <f>IF(OR($C1518="",$I1518="",$K1518=""),0,IF(ROUND(($I1518-$K1518)*1440,0)&gt;設定!$C$46,ROUND(($I1518-$K1518)*1440,0),0))</f>
        <v/>
      </c>
      <c r="Q1518" s="85">
        <f>IF($M1518="",0,IF(($M1518-IFERROR(INDEX(設定!$G$6:$G$21,MATCH($G1518,設定!$B$6:$B$21,0)),0))*60&gt;=設定!$C$44,ROUND(FLOOR(($M1518-IFERROR(INDEX(設定!$G$6:$G$21,MATCH($G1518,設定!$B$6:$B$21,0)),0))*60,設定!$C$45)/60,2),0))</f>
        <v/>
      </c>
      <c r="R1518" s="16">
        <f>IF(OR($C1518="",$Q1518=0),"",IF($G1518="國","國定假日",IF($B1518="日","例假",IF($B1518="六","休息日","平日"))))</f>
        <v/>
      </c>
      <c r="S1518" s="19" t="n"/>
    </row>
    <row r="1519">
      <c r="A1519" s="82">
        <f>IF(OR(助理班表!$A53="",29&gt;DAY(EOMONTH(DATE(設定!$C$2,設定!$D$2,1),0))),"",DATE(設定!$C$2,設定!$D$2,29))</f>
        <v/>
      </c>
      <c r="B1519" s="16">
        <f>IF($A1519="","",INDEX(設定!$O$6:$O$12,WEEKDAY($A1519,1)))</f>
        <v/>
      </c>
      <c r="C1519" s="16">
        <f>IF($A1519="","",助理班表!$A53)</f>
        <v/>
      </c>
      <c r="D1519" s="16">
        <f>IF($C1519="","",助理班表!$B53)</f>
        <v/>
      </c>
      <c r="E1519" s="16">
        <f>IF($C1519="","",助理班表!$D53)</f>
        <v/>
      </c>
      <c r="F1519" s="16">
        <f>IF($C1519="","",助理班表!$C53)</f>
        <v/>
      </c>
      <c r="G1519" s="16">
        <f>IF($C1519="","",助理班表!AG53)</f>
        <v/>
      </c>
      <c r="H1519" s="83">
        <f>IF($G1519="","",IFERROR(IF(INDEX(設定!$D$6:$D$21,MATCH($G1519,設定!$B$6:$B$21,0))=0,"",INDEX(設定!$D$6:$D$21,MATCH($G1519,設定!$B$6:$B$21,0))),""))</f>
        <v/>
      </c>
      <c r="I1519" s="83">
        <f>IF($G1519="","",IFERROR(IF(INDEX(設定!$E$6:$E$21,MATCH($G1519,設定!$B$6:$B$21,0))=0,"",INDEX(設定!$E$6:$E$21,MATCH($G1519,設定!$B$6:$B$21,0))),""))</f>
        <v/>
      </c>
      <c r="J1519" s="83">
        <f>IFERROR(INDEX(打卡匯入!$C$3:$C$2002,MATCH($C1519&amp;"|"&amp;DAY($A1519),打卡匯入!$E$3:$E$2002,0)),"")</f>
        <v/>
      </c>
      <c r="K1519" s="83">
        <f>IFERROR(INDEX(打卡匯入!$D$3:$D$2002,MATCH($C1519&amp;"|"&amp;DAY($A1519),打卡匯入!$E$3:$E$2002,0)),"")</f>
        <v/>
      </c>
      <c r="L1519" s="84">
        <f>IF(OR($J1519="",$K1519=""),"",IFERROR(INDEX(設定!$F$6:$F$21,MATCH($G1519,設定!$B$6:$B$21,0)),0))</f>
        <v/>
      </c>
      <c r="M1519" s="85">
        <f>IF(OR($J1519="",$K1519=""),"",ROUND(($K1519-$J1519)*24-$L1519/60,2))</f>
        <v/>
      </c>
      <c r="N1519" s="16">
        <f>IF($C1519="","",IF(AND(COUNTIF(設定!$B$15:$B$21,$G1519)&gt;0,$J1519&lt;&gt;""),"假日出勤",IF(AND(COUNTIF(設定!$B$6:$B$14,$G1519)&gt;0,$J1519=""),"未打卡",IF($J1519="","",IF($O1519&gt;0,"遲到",IF($P1519&gt;0,"早退","正常"))))))</f>
        <v/>
      </c>
      <c r="O1519" s="84">
        <f>IF(OR($C1519="",$H1519="",$J1519=""),0,IF(ROUND(($J1519-$H1519)*1440,0)&gt;設定!$C$46,ROUND(($J1519-$H1519)*1440,0),0))</f>
        <v/>
      </c>
      <c r="P1519" s="84">
        <f>IF(OR($C1519="",$I1519="",$K1519=""),0,IF(ROUND(($I1519-$K1519)*1440,0)&gt;設定!$C$46,ROUND(($I1519-$K1519)*1440,0),0))</f>
        <v/>
      </c>
      <c r="Q1519" s="85">
        <f>IF($M1519="",0,IF(($M1519-IFERROR(INDEX(設定!$G$6:$G$21,MATCH($G1519,設定!$B$6:$B$21,0)),0))*60&gt;=設定!$C$44,ROUND(FLOOR(($M1519-IFERROR(INDEX(設定!$G$6:$G$21,MATCH($G1519,設定!$B$6:$B$21,0)),0))*60,設定!$C$45)/60,2),0))</f>
        <v/>
      </c>
      <c r="R1519" s="16">
        <f>IF(OR($C1519="",$Q1519=0),"",IF($G1519="國","國定假日",IF($B1519="日","例假",IF($B1519="六","休息日","平日"))))</f>
        <v/>
      </c>
      <c r="S1519" s="19" t="n"/>
    </row>
    <row r="1520">
      <c r="A1520" s="82">
        <f>IF(OR(助理班表!$A53="",30&gt;DAY(EOMONTH(DATE(設定!$C$2,設定!$D$2,1),0))),"",DATE(設定!$C$2,設定!$D$2,30))</f>
        <v/>
      </c>
      <c r="B1520" s="16">
        <f>IF($A1520="","",INDEX(設定!$O$6:$O$12,WEEKDAY($A1520,1)))</f>
        <v/>
      </c>
      <c r="C1520" s="16">
        <f>IF($A1520="","",助理班表!$A53)</f>
        <v/>
      </c>
      <c r="D1520" s="16">
        <f>IF($C1520="","",助理班表!$B53)</f>
        <v/>
      </c>
      <c r="E1520" s="16">
        <f>IF($C1520="","",助理班表!$D53)</f>
        <v/>
      </c>
      <c r="F1520" s="16">
        <f>IF($C1520="","",助理班表!$C53)</f>
        <v/>
      </c>
      <c r="G1520" s="16">
        <f>IF($C1520="","",助理班表!AH53)</f>
        <v/>
      </c>
      <c r="H1520" s="83">
        <f>IF($G1520="","",IFERROR(IF(INDEX(設定!$D$6:$D$21,MATCH($G1520,設定!$B$6:$B$21,0))=0,"",INDEX(設定!$D$6:$D$21,MATCH($G1520,設定!$B$6:$B$21,0))),""))</f>
        <v/>
      </c>
      <c r="I1520" s="83">
        <f>IF($G1520="","",IFERROR(IF(INDEX(設定!$E$6:$E$21,MATCH($G1520,設定!$B$6:$B$21,0))=0,"",INDEX(設定!$E$6:$E$21,MATCH($G1520,設定!$B$6:$B$21,0))),""))</f>
        <v/>
      </c>
      <c r="J1520" s="83">
        <f>IFERROR(INDEX(打卡匯入!$C$3:$C$2002,MATCH($C1520&amp;"|"&amp;DAY($A1520),打卡匯入!$E$3:$E$2002,0)),"")</f>
        <v/>
      </c>
      <c r="K1520" s="83">
        <f>IFERROR(INDEX(打卡匯入!$D$3:$D$2002,MATCH($C1520&amp;"|"&amp;DAY($A1520),打卡匯入!$E$3:$E$2002,0)),"")</f>
        <v/>
      </c>
      <c r="L1520" s="84">
        <f>IF(OR($J1520="",$K1520=""),"",IFERROR(INDEX(設定!$F$6:$F$21,MATCH($G1520,設定!$B$6:$B$21,0)),0))</f>
        <v/>
      </c>
      <c r="M1520" s="85">
        <f>IF(OR($J1520="",$K1520=""),"",ROUND(($K1520-$J1520)*24-$L1520/60,2))</f>
        <v/>
      </c>
      <c r="N1520" s="16">
        <f>IF($C1520="","",IF(AND(COUNTIF(設定!$B$15:$B$21,$G1520)&gt;0,$J1520&lt;&gt;""),"假日出勤",IF(AND(COUNTIF(設定!$B$6:$B$14,$G1520)&gt;0,$J1520=""),"未打卡",IF($J1520="","",IF($O1520&gt;0,"遲到",IF($P1520&gt;0,"早退","正常"))))))</f>
        <v/>
      </c>
      <c r="O1520" s="84">
        <f>IF(OR($C1520="",$H1520="",$J1520=""),0,IF(ROUND(($J1520-$H1520)*1440,0)&gt;設定!$C$46,ROUND(($J1520-$H1520)*1440,0),0))</f>
        <v/>
      </c>
      <c r="P1520" s="84">
        <f>IF(OR($C1520="",$I1520="",$K1520=""),0,IF(ROUND(($I1520-$K1520)*1440,0)&gt;設定!$C$46,ROUND(($I1520-$K1520)*1440,0),0))</f>
        <v/>
      </c>
      <c r="Q1520" s="85">
        <f>IF($M1520="",0,IF(($M1520-IFERROR(INDEX(設定!$G$6:$G$21,MATCH($G1520,設定!$B$6:$B$21,0)),0))*60&gt;=設定!$C$44,ROUND(FLOOR(($M1520-IFERROR(INDEX(設定!$G$6:$G$21,MATCH($G1520,設定!$B$6:$B$21,0)),0))*60,設定!$C$45)/60,2),0))</f>
        <v/>
      </c>
      <c r="R1520" s="16">
        <f>IF(OR($C1520="",$Q1520=0),"",IF($G1520="國","國定假日",IF($B1520="日","例假",IF($B1520="六","休息日","平日"))))</f>
        <v/>
      </c>
      <c r="S1520" s="19" t="n"/>
    </row>
    <row r="1521">
      <c r="A1521" s="82">
        <f>IF(OR(助理班表!$A53="",31&gt;DAY(EOMONTH(DATE(設定!$C$2,設定!$D$2,1),0))),"",DATE(設定!$C$2,設定!$D$2,31))</f>
        <v/>
      </c>
      <c r="B1521" s="16">
        <f>IF($A1521="","",INDEX(設定!$O$6:$O$12,WEEKDAY($A1521,1)))</f>
        <v/>
      </c>
      <c r="C1521" s="16">
        <f>IF($A1521="","",助理班表!$A53)</f>
        <v/>
      </c>
      <c r="D1521" s="16">
        <f>IF($C1521="","",助理班表!$B53)</f>
        <v/>
      </c>
      <c r="E1521" s="16">
        <f>IF($C1521="","",助理班表!$D53)</f>
        <v/>
      </c>
      <c r="F1521" s="16">
        <f>IF($C1521="","",助理班表!$C53)</f>
        <v/>
      </c>
      <c r="G1521" s="16">
        <f>IF($C1521="","",助理班表!AI53)</f>
        <v/>
      </c>
      <c r="H1521" s="83">
        <f>IF($G1521="","",IFERROR(IF(INDEX(設定!$D$6:$D$21,MATCH($G1521,設定!$B$6:$B$21,0))=0,"",INDEX(設定!$D$6:$D$21,MATCH($G1521,設定!$B$6:$B$21,0))),""))</f>
        <v/>
      </c>
      <c r="I1521" s="83">
        <f>IF($G1521="","",IFERROR(IF(INDEX(設定!$E$6:$E$21,MATCH($G1521,設定!$B$6:$B$21,0))=0,"",INDEX(設定!$E$6:$E$21,MATCH($G1521,設定!$B$6:$B$21,0))),""))</f>
        <v/>
      </c>
      <c r="J1521" s="83">
        <f>IFERROR(INDEX(打卡匯入!$C$3:$C$2002,MATCH($C1521&amp;"|"&amp;DAY($A1521),打卡匯入!$E$3:$E$2002,0)),"")</f>
        <v/>
      </c>
      <c r="K1521" s="83">
        <f>IFERROR(INDEX(打卡匯入!$D$3:$D$2002,MATCH($C1521&amp;"|"&amp;DAY($A1521),打卡匯入!$E$3:$E$2002,0)),"")</f>
        <v/>
      </c>
      <c r="L1521" s="84">
        <f>IF(OR($J1521="",$K1521=""),"",IFERROR(INDEX(設定!$F$6:$F$21,MATCH($G1521,設定!$B$6:$B$21,0)),0))</f>
        <v/>
      </c>
      <c r="M1521" s="85">
        <f>IF(OR($J1521="",$K1521=""),"",ROUND(($K1521-$J1521)*24-$L1521/60,2))</f>
        <v/>
      </c>
      <c r="N1521" s="16">
        <f>IF($C1521="","",IF(AND(COUNTIF(設定!$B$15:$B$21,$G1521)&gt;0,$J1521&lt;&gt;""),"假日出勤",IF(AND(COUNTIF(設定!$B$6:$B$14,$G1521)&gt;0,$J1521=""),"未打卡",IF($J1521="","",IF($O1521&gt;0,"遲到",IF($P1521&gt;0,"早退","正常"))))))</f>
        <v/>
      </c>
      <c r="O1521" s="84">
        <f>IF(OR($C1521="",$H1521="",$J1521=""),0,IF(ROUND(($J1521-$H1521)*1440,0)&gt;設定!$C$46,ROUND(($J1521-$H1521)*1440,0),0))</f>
        <v/>
      </c>
      <c r="P1521" s="84">
        <f>IF(OR($C1521="",$I1521="",$K1521=""),0,IF(ROUND(($I1521-$K1521)*1440,0)&gt;設定!$C$46,ROUND(($I1521-$K1521)*1440,0),0))</f>
        <v/>
      </c>
      <c r="Q1521" s="85">
        <f>IF($M1521="",0,IF(($M1521-IFERROR(INDEX(設定!$G$6:$G$21,MATCH($G1521,設定!$B$6:$B$21,0)),0))*60&gt;=設定!$C$44,ROUND(FLOOR(($M1521-IFERROR(INDEX(設定!$G$6:$G$21,MATCH($G1521,設定!$B$6:$B$21,0)),0))*60,設定!$C$45)/60,2),0))</f>
        <v/>
      </c>
      <c r="R1521" s="16">
        <f>IF(OR($C1521="",$Q1521=0),"",IF($G1521="國","國定假日",IF($B1521="日","例假",IF($B1521="六","休息日","平日"))))</f>
        <v/>
      </c>
      <c r="S1521" s="19" t="n"/>
    </row>
    <row r="1522">
      <c r="A1522" s="82">
        <f>IF(OR(助理班表!$A54="",1&gt;DAY(EOMONTH(DATE(設定!$C$2,設定!$D$2,1),0))),"",DATE(設定!$C$2,設定!$D$2,1))</f>
        <v/>
      </c>
      <c r="B1522" s="16">
        <f>IF($A1522="","",INDEX(設定!$O$6:$O$12,WEEKDAY($A1522,1)))</f>
        <v/>
      </c>
      <c r="C1522" s="16">
        <f>IF($A1522="","",助理班表!$A54)</f>
        <v/>
      </c>
      <c r="D1522" s="16">
        <f>IF($C1522="","",助理班表!$B54)</f>
        <v/>
      </c>
      <c r="E1522" s="16">
        <f>IF($C1522="","",助理班表!$D54)</f>
        <v/>
      </c>
      <c r="F1522" s="16">
        <f>IF($C1522="","",助理班表!$C54)</f>
        <v/>
      </c>
      <c r="G1522" s="16">
        <f>IF($C1522="","",助理班表!E54)</f>
        <v/>
      </c>
      <c r="H1522" s="83">
        <f>IF($G1522="","",IFERROR(IF(INDEX(設定!$D$6:$D$21,MATCH($G1522,設定!$B$6:$B$21,0))=0,"",INDEX(設定!$D$6:$D$21,MATCH($G1522,設定!$B$6:$B$21,0))),""))</f>
        <v/>
      </c>
      <c r="I1522" s="83">
        <f>IF($G1522="","",IFERROR(IF(INDEX(設定!$E$6:$E$21,MATCH($G1522,設定!$B$6:$B$21,0))=0,"",INDEX(設定!$E$6:$E$21,MATCH($G1522,設定!$B$6:$B$21,0))),""))</f>
        <v/>
      </c>
      <c r="J1522" s="83">
        <f>IFERROR(INDEX(打卡匯入!$C$3:$C$2002,MATCH($C1522&amp;"|"&amp;DAY($A1522),打卡匯入!$E$3:$E$2002,0)),"")</f>
        <v/>
      </c>
      <c r="K1522" s="83">
        <f>IFERROR(INDEX(打卡匯入!$D$3:$D$2002,MATCH($C1522&amp;"|"&amp;DAY($A1522),打卡匯入!$E$3:$E$2002,0)),"")</f>
        <v/>
      </c>
      <c r="L1522" s="84">
        <f>IF(OR($J1522="",$K1522=""),"",IFERROR(INDEX(設定!$F$6:$F$21,MATCH($G1522,設定!$B$6:$B$21,0)),0))</f>
        <v/>
      </c>
      <c r="M1522" s="85">
        <f>IF(OR($J1522="",$K1522=""),"",ROUND(($K1522-$J1522)*24-$L1522/60,2))</f>
        <v/>
      </c>
      <c r="N1522" s="16">
        <f>IF($C1522="","",IF(AND(COUNTIF(設定!$B$15:$B$21,$G1522)&gt;0,$J1522&lt;&gt;""),"假日出勤",IF(AND(COUNTIF(設定!$B$6:$B$14,$G1522)&gt;0,$J1522=""),"未打卡",IF($J1522="","",IF($O1522&gt;0,"遲到",IF($P1522&gt;0,"早退","正常"))))))</f>
        <v/>
      </c>
      <c r="O1522" s="84">
        <f>IF(OR($C1522="",$H1522="",$J1522=""),0,IF(ROUND(($J1522-$H1522)*1440,0)&gt;設定!$C$46,ROUND(($J1522-$H1522)*1440,0),0))</f>
        <v/>
      </c>
      <c r="P1522" s="84">
        <f>IF(OR($C1522="",$I1522="",$K1522=""),0,IF(ROUND(($I1522-$K1522)*1440,0)&gt;設定!$C$46,ROUND(($I1522-$K1522)*1440,0),0))</f>
        <v/>
      </c>
      <c r="Q1522" s="85">
        <f>IF($M1522="",0,IF(($M1522-IFERROR(INDEX(設定!$G$6:$G$21,MATCH($G1522,設定!$B$6:$B$21,0)),0))*60&gt;=設定!$C$44,ROUND(FLOOR(($M1522-IFERROR(INDEX(設定!$G$6:$G$21,MATCH($G1522,設定!$B$6:$B$21,0)),0))*60,設定!$C$45)/60,2),0))</f>
        <v/>
      </c>
      <c r="R1522" s="16">
        <f>IF(OR($C1522="",$Q1522=0),"",IF($G1522="國","國定假日",IF($B1522="日","例假",IF($B1522="六","休息日","平日"))))</f>
        <v/>
      </c>
      <c r="S1522" s="19" t="n"/>
    </row>
    <row r="1523">
      <c r="A1523" s="82">
        <f>IF(OR(助理班表!$A54="",2&gt;DAY(EOMONTH(DATE(設定!$C$2,設定!$D$2,1),0))),"",DATE(設定!$C$2,設定!$D$2,2))</f>
        <v/>
      </c>
      <c r="B1523" s="16">
        <f>IF($A1523="","",INDEX(設定!$O$6:$O$12,WEEKDAY($A1523,1)))</f>
        <v/>
      </c>
      <c r="C1523" s="16">
        <f>IF($A1523="","",助理班表!$A54)</f>
        <v/>
      </c>
      <c r="D1523" s="16">
        <f>IF($C1523="","",助理班表!$B54)</f>
        <v/>
      </c>
      <c r="E1523" s="16">
        <f>IF($C1523="","",助理班表!$D54)</f>
        <v/>
      </c>
      <c r="F1523" s="16">
        <f>IF($C1523="","",助理班表!$C54)</f>
        <v/>
      </c>
      <c r="G1523" s="16">
        <f>IF($C1523="","",助理班表!F54)</f>
        <v/>
      </c>
      <c r="H1523" s="83">
        <f>IF($G1523="","",IFERROR(IF(INDEX(設定!$D$6:$D$21,MATCH($G1523,設定!$B$6:$B$21,0))=0,"",INDEX(設定!$D$6:$D$21,MATCH($G1523,設定!$B$6:$B$21,0))),""))</f>
        <v/>
      </c>
      <c r="I1523" s="83">
        <f>IF($G1523="","",IFERROR(IF(INDEX(設定!$E$6:$E$21,MATCH($G1523,設定!$B$6:$B$21,0))=0,"",INDEX(設定!$E$6:$E$21,MATCH($G1523,設定!$B$6:$B$21,0))),""))</f>
        <v/>
      </c>
      <c r="J1523" s="83">
        <f>IFERROR(INDEX(打卡匯入!$C$3:$C$2002,MATCH($C1523&amp;"|"&amp;DAY($A1523),打卡匯入!$E$3:$E$2002,0)),"")</f>
        <v/>
      </c>
      <c r="K1523" s="83">
        <f>IFERROR(INDEX(打卡匯入!$D$3:$D$2002,MATCH($C1523&amp;"|"&amp;DAY($A1523),打卡匯入!$E$3:$E$2002,0)),"")</f>
        <v/>
      </c>
      <c r="L1523" s="84">
        <f>IF(OR($J1523="",$K1523=""),"",IFERROR(INDEX(設定!$F$6:$F$21,MATCH($G1523,設定!$B$6:$B$21,0)),0))</f>
        <v/>
      </c>
      <c r="M1523" s="85">
        <f>IF(OR($J1523="",$K1523=""),"",ROUND(($K1523-$J1523)*24-$L1523/60,2))</f>
        <v/>
      </c>
      <c r="N1523" s="16">
        <f>IF($C1523="","",IF(AND(COUNTIF(設定!$B$15:$B$21,$G1523)&gt;0,$J1523&lt;&gt;""),"假日出勤",IF(AND(COUNTIF(設定!$B$6:$B$14,$G1523)&gt;0,$J1523=""),"未打卡",IF($J1523="","",IF($O1523&gt;0,"遲到",IF($P1523&gt;0,"早退","正常"))))))</f>
        <v/>
      </c>
      <c r="O1523" s="84">
        <f>IF(OR($C1523="",$H1523="",$J1523=""),0,IF(ROUND(($J1523-$H1523)*1440,0)&gt;設定!$C$46,ROUND(($J1523-$H1523)*1440,0),0))</f>
        <v/>
      </c>
      <c r="P1523" s="84">
        <f>IF(OR($C1523="",$I1523="",$K1523=""),0,IF(ROUND(($I1523-$K1523)*1440,0)&gt;設定!$C$46,ROUND(($I1523-$K1523)*1440,0),0))</f>
        <v/>
      </c>
      <c r="Q1523" s="85">
        <f>IF($M1523="",0,IF(($M1523-IFERROR(INDEX(設定!$G$6:$G$21,MATCH($G1523,設定!$B$6:$B$21,0)),0))*60&gt;=設定!$C$44,ROUND(FLOOR(($M1523-IFERROR(INDEX(設定!$G$6:$G$21,MATCH($G1523,設定!$B$6:$B$21,0)),0))*60,設定!$C$45)/60,2),0))</f>
        <v/>
      </c>
      <c r="R1523" s="16">
        <f>IF(OR($C1523="",$Q1523=0),"",IF($G1523="國","國定假日",IF($B1523="日","例假",IF($B1523="六","休息日","平日"))))</f>
        <v/>
      </c>
      <c r="S1523" s="19" t="n"/>
    </row>
    <row r="1524">
      <c r="A1524" s="82">
        <f>IF(OR(助理班表!$A54="",3&gt;DAY(EOMONTH(DATE(設定!$C$2,設定!$D$2,1),0))),"",DATE(設定!$C$2,設定!$D$2,3))</f>
        <v/>
      </c>
      <c r="B1524" s="16">
        <f>IF($A1524="","",INDEX(設定!$O$6:$O$12,WEEKDAY($A1524,1)))</f>
        <v/>
      </c>
      <c r="C1524" s="16">
        <f>IF($A1524="","",助理班表!$A54)</f>
        <v/>
      </c>
      <c r="D1524" s="16">
        <f>IF($C1524="","",助理班表!$B54)</f>
        <v/>
      </c>
      <c r="E1524" s="16">
        <f>IF($C1524="","",助理班表!$D54)</f>
        <v/>
      </c>
      <c r="F1524" s="16">
        <f>IF($C1524="","",助理班表!$C54)</f>
        <v/>
      </c>
      <c r="G1524" s="16">
        <f>IF($C1524="","",助理班表!G54)</f>
        <v/>
      </c>
      <c r="H1524" s="83">
        <f>IF($G1524="","",IFERROR(IF(INDEX(設定!$D$6:$D$21,MATCH($G1524,設定!$B$6:$B$21,0))=0,"",INDEX(設定!$D$6:$D$21,MATCH($G1524,設定!$B$6:$B$21,0))),""))</f>
        <v/>
      </c>
      <c r="I1524" s="83">
        <f>IF($G1524="","",IFERROR(IF(INDEX(設定!$E$6:$E$21,MATCH($G1524,設定!$B$6:$B$21,0))=0,"",INDEX(設定!$E$6:$E$21,MATCH($G1524,設定!$B$6:$B$21,0))),""))</f>
        <v/>
      </c>
      <c r="J1524" s="83">
        <f>IFERROR(INDEX(打卡匯入!$C$3:$C$2002,MATCH($C1524&amp;"|"&amp;DAY($A1524),打卡匯入!$E$3:$E$2002,0)),"")</f>
        <v/>
      </c>
      <c r="K1524" s="83">
        <f>IFERROR(INDEX(打卡匯入!$D$3:$D$2002,MATCH($C1524&amp;"|"&amp;DAY($A1524),打卡匯入!$E$3:$E$2002,0)),"")</f>
        <v/>
      </c>
      <c r="L1524" s="84">
        <f>IF(OR($J1524="",$K1524=""),"",IFERROR(INDEX(設定!$F$6:$F$21,MATCH($G1524,設定!$B$6:$B$21,0)),0))</f>
        <v/>
      </c>
      <c r="M1524" s="85">
        <f>IF(OR($J1524="",$K1524=""),"",ROUND(($K1524-$J1524)*24-$L1524/60,2))</f>
        <v/>
      </c>
      <c r="N1524" s="16">
        <f>IF($C1524="","",IF(AND(COUNTIF(設定!$B$15:$B$21,$G1524)&gt;0,$J1524&lt;&gt;""),"假日出勤",IF(AND(COUNTIF(設定!$B$6:$B$14,$G1524)&gt;0,$J1524=""),"未打卡",IF($J1524="","",IF($O1524&gt;0,"遲到",IF($P1524&gt;0,"早退","正常"))))))</f>
        <v/>
      </c>
      <c r="O1524" s="84">
        <f>IF(OR($C1524="",$H1524="",$J1524=""),0,IF(ROUND(($J1524-$H1524)*1440,0)&gt;設定!$C$46,ROUND(($J1524-$H1524)*1440,0),0))</f>
        <v/>
      </c>
      <c r="P1524" s="84">
        <f>IF(OR($C1524="",$I1524="",$K1524=""),0,IF(ROUND(($I1524-$K1524)*1440,0)&gt;設定!$C$46,ROUND(($I1524-$K1524)*1440,0),0))</f>
        <v/>
      </c>
      <c r="Q1524" s="85">
        <f>IF($M1524="",0,IF(($M1524-IFERROR(INDEX(設定!$G$6:$G$21,MATCH($G1524,設定!$B$6:$B$21,0)),0))*60&gt;=設定!$C$44,ROUND(FLOOR(($M1524-IFERROR(INDEX(設定!$G$6:$G$21,MATCH($G1524,設定!$B$6:$B$21,0)),0))*60,設定!$C$45)/60,2),0))</f>
        <v/>
      </c>
      <c r="R1524" s="16">
        <f>IF(OR($C1524="",$Q1524=0),"",IF($G1524="國","國定假日",IF($B1524="日","例假",IF($B1524="六","休息日","平日"))))</f>
        <v/>
      </c>
      <c r="S1524" s="19" t="n"/>
    </row>
    <row r="1525">
      <c r="A1525" s="82">
        <f>IF(OR(助理班表!$A54="",4&gt;DAY(EOMONTH(DATE(設定!$C$2,設定!$D$2,1),0))),"",DATE(設定!$C$2,設定!$D$2,4))</f>
        <v/>
      </c>
      <c r="B1525" s="16">
        <f>IF($A1525="","",INDEX(設定!$O$6:$O$12,WEEKDAY($A1525,1)))</f>
        <v/>
      </c>
      <c r="C1525" s="16">
        <f>IF($A1525="","",助理班表!$A54)</f>
        <v/>
      </c>
      <c r="D1525" s="16">
        <f>IF($C1525="","",助理班表!$B54)</f>
        <v/>
      </c>
      <c r="E1525" s="16">
        <f>IF($C1525="","",助理班表!$D54)</f>
        <v/>
      </c>
      <c r="F1525" s="16">
        <f>IF($C1525="","",助理班表!$C54)</f>
        <v/>
      </c>
      <c r="G1525" s="16">
        <f>IF($C1525="","",助理班表!H54)</f>
        <v/>
      </c>
      <c r="H1525" s="83">
        <f>IF($G1525="","",IFERROR(IF(INDEX(設定!$D$6:$D$21,MATCH($G1525,設定!$B$6:$B$21,0))=0,"",INDEX(設定!$D$6:$D$21,MATCH($G1525,設定!$B$6:$B$21,0))),""))</f>
        <v/>
      </c>
      <c r="I1525" s="83">
        <f>IF($G1525="","",IFERROR(IF(INDEX(設定!$E$6:$E$21,MATCH($G1525,設定!$B$6:$B$21,0))=0,"",INDEX(設定!$E$6:$E$21,MATCH($G1525,設定!$B$6:$B$21,0))),""))</f>
        <v/>
      </c>
      <c r="J1525" s="83">
        <f>IFERROR(INDEX(打卡匯入!$C$3:$C$2002,MATCH($C1525&amp;"|"&amp;DAY($A1525),打卡匯入!$E$3:$E$2002,0)),"")</f>
        <v/>
      </c>
      <c r="K1525" s="83">
        <f>IFERROR(INDEX(打卡匯入!$D$3:$D$2002,MATCH($C1525&amp;"|"&amp;DAY($A1525),打卡匯入!$E$3:$E$2002,0)),"")</f>
        <v/>
      </c>
      <c r="L1525" s="84">
        <f>IF(OR($J1525="",$K1525=""),"",IFERROR(INDEX(設定!$F$6:$F$21,MATCH($G1525,設定!$B$6:$B$21,0)),0))</f>
        <v/>
      </c>
      <c r="M1525" s="85">
        <f>IF(OR($J1525="",$K1525=""),"",ROUND(($K1525-$J1525)*24-$L1525/60,2))</f>
        <v/>
      </c>
      <c r="N1525" s="16">
        <f>IF($C1525="","",IF(AND(COUNTIF(設定!$B$15:$B$21,$G1525)&gt;0,$J1525&lt;&gt;""),"假日出勤",IF(AND(COUNTIF(設定!$B$6:$B$14,$G1525)&gt;0,$J1525=""),"未打卡",IF($J1525="","",IF($O1525&gt;0,"遲到",IF($P1525&gt;0,"早退","正常"))))))</f>
        <v/>
      </c>
      <c r="O1525" s="84">
        <f>IF(OR($C1525="",$H1525="",$J1525=""),0,IF(ROUND(($J1525-$H1525)*1440,0)&gt;設定!$C$46,ROUND(($J1525-$H1525)*1440,0),0))</f>
        <v/>
      </c>
      <c r="P1525" s="84">
        <f>IF(OR($C1525="",$I1525="",$K1525=""),0,IF(ROUND(($I1525-$K1525)*1440,0)&gt;設定!$C$46,ROUND(($I1525-$K1525)*1440,0),0))</f>
        <v/>
      </c>
      <c r="Q1525" s="85">
        <f>IF($M1525="",0,IF(($M1525-IFERROR(INDEX(設定!$G$6:$G$21,MATCH($G1525,設定!$B$6:$B$21,0)),0))*60&gt;=設定!$C$44,ROUND(FLOOR(($M1525-IFERROR(INDEX(設定!$G$6:$G$21,MATCH($G1525,設定!$B$6:$B$21,0)),0))*60,設定!$C$45)/60,2),0))</f>
        <v/>
      </c>
      <c r="R1525" s="16">
        <f>IF(OR($C1525="",$Q1525=0),"",IF($G1525="國","國定假日",IF($B1525="日","例假",IF($B1525="六","休息日","平日"))))</f>
        <v/>
      </c>
      <c r="S1525" s="19" t="n"/>
    </row>
    <row r="1526">
      <c r="A1526" s="82">
        <f>IF(OR(助理班表!$A54="",5&gt;DAY(EOMONTH(DATE(設定!$C$2,設定!$D$2,1),0))),"",DATE(設定!$C$2,設定!$D$2,5))</f>
        <v/>
      </c>
      <c r="B1526" s="16">
        <f>IF($A1526="","",INDEX(設定!$O$6:$O$12,WEEKDAY($A1526,1)))</f>
        <v/>
      </c>
      <c r="C1526" s="16">
        <f>IF($A1526="","",助理班表!$A54)</f>
        <v/>
      </c>
      <c r="D1526" s="16">
        <f>IF($C1526="","",助理班表!$B54)</f>
        <v/>
      </c>
      <c r="E1526" s="16">
        <f>IF($C1526="","",助理班表!$D54)</f>
        <v/>
      </c>
      <c r="F1526" s="16">
        <f>IF($C1526="","",助理班表!$C54)</f>
        <v/>
      </c>
      <c r="G1526" s="16">
        <f>IF($C1526="","",助理班表!I54)</f>
        <v/>
      </c>
      <c r="H1526" s="83">
        <f>IF($G1526="","",IFERROR(IF(INDEX(設定!$D$6:$D$21,MATCH($G1526,設定!$B$6:$B$21,0))=0,"",INDEX(設定!$D$6:$D$21,MATCH($G1526,設定!$B$6:$B$21,0))),""))</f>
        <v/>
      </c>
      <c r="I1526" s="83">
        <f>IF($G1526="","",IFERROR(IF(INDEX(設定!$E$6:$E$21,MATCH($G1526,設定!$B$6:$B$21,0))=0,"",INDEX(設定!$E$6:$E$21,MATCH($G1526,設定!$B$6:$B$21,0))),""))</f>
        <v/>
      </c>
      <c r="J1526" s="83">
        <f>IFERROR(INDEX(打卡匯入!$C$3:$C$2002,MATCH($C1526&amp;"|"&amp;DAY($A1526),打卡匯入!$E$3:$E$2002,0)),"")</f>
        <v/>
      </c>
      <c r="K1526" s="83">
        <f>IFERROR(INDEX(打卡匯入!$D$3:$D$2002,MATCH($C1526&amp;"|"&amp;DAY($A1526),打卡匯入!$E$3:$E$2002,0)),"")</f>
        <v/>
      </c>
      <c r="L1526" s="84">
        <f>IF(OR($J1526="",$K1526=""),"",IFERROR(INDEX(設定!$F$6:$F$21,MATCH($G1526,設定!$B$6:$B$21,0)),0))</f>
        <v/>
      </c>
      <c r="M1526" s="85">
        <f>IF(OR($J1526="",$K1526=""),"",ROUND(($K1526-$J1526)*24-$L1526/60,2))</f>
        <v/>
      </c>
      <c r="N1526" s="16">
        <f>IF($C1526="","",IF(AND(COUNTIF(設定!$B$15:$B$21,$G1526)&gt;0,$J1526&lt;&gt;""),"假日出勤",IF(AND(COUNTIF(設定!$B$6:$B$14,$G1526)&gt;0,$J1526=""),"未打卡",IF($J1526="","",IF($O1526&gt;0,"遲到",IF($P1526&gt;0,"早退","正常"))))))</f>
        <v/>
      </c>
      <c r="O1526" s="84">
        <f>IF(OR($C1526="",$H1526="",$J1526=""),0,IF(ROUND(($J1526-$H1526)*1440,0)&gt;設定!$C$46,ROUND(($J1526-$H1526)*1440,0),0))</f>
        <v/>
      </c>
      <c r="P1526" s="84">
        <f>IF(OR($C1526="",$I1526="",$K1526=""),0,IF(ROUND(($I1526-$K1526)*1440,0)&gt;設定!$C$46,ROUND(($I1526-$K1526)*1440,0),0))</f>
        <v/>
      </c>
      <c r="Q1526" s="85">
        <f>IF($M1526="",0,IF(($M1526-IFERROR(INDEX(設定!$G$6:$G$21,MATCH($G1526,設定!$B$6:$B$21,0)),0))*60&gt;=設定!$C$44,ROUND(FLOOR(($M1526-IFERROR(INDEX(設定!$G$6:$G$21,MATCH($G1526,設定!$B$6:$B$21,0)),0))*60,設定!$C$45)/60,2),0))</f>
        <v/>
      </c>
      <c r="R1526" s="16">
        <f>IF(OR($C1526="",$Q1526=0),"",IF($G1526="國","國定假日",IF($B1526="日","例假",IF($B1526="六","休息日","平日"))))</f>
        <v/>
      </c>
      <c r="S1526" s="19" t="n"/>
    </row>
    <row r="1527">
      <c r="A1527" s="82">
        <f>IF(OR(助理班表!$A54="",6&gt;DAY(EOMONTH(DATE(設定!$C$2,設定!$D$2,1),0))),"",DATE(設定!$C$2,設定!$D$2,6))</f>
        <v/>
      </c>
      <c r="B1527" s="16">
        <f>IF($A1527="","",INDEX(設定!$O$6:$O$12,WEEKDAY($A1527,1)))</f>
        <v/>
      </c>
      <c r="C1527" s="16">
        <f>IF($A1527="","",助理班表!$A54)</f>
        <v/>
      </c>
      <c r="D1527" s="16">
        <f>IF($C1527="","",助理班表!$B54)</f>
        <v/>
      </c>
      <c r="E1527" s="16">
        <f>IF($C1527="","",助理班表!$D54)</f>
        <v/>
      </c>
      <c r="F1527" s="16">
        <f>IF($C1527="","",助理班表!$C54)</f>
        <v/>
      </c>
      <c r="G1527" s="16">
        <f>IF($C1527="","",助理班表!J54)</f>
        <v/>
      </c>
      <c r="H1527" s="83">
        <f>IF($G1527="","",IFERROR(IF(INDEX(設定!$D$6:$D$21,MATCH($G1527,設定!$B$6:$B$21,0))=0,"",INDEX(設定!$D$6:$D$21,MATCH($G1527,設定!$B$6:$B$21,0))),""))</f>
        <v/>
      </c>
      <c r="I1527" s="83">
        <f>IF($G1527="","",IFERROR(IF(INDEX(設定!$E$6:$E$21,MATCH($G1527,設定!$B$6:$B$21,0))=0,"",INDEX(設定!$E$6:$E$21,MATCH($G1527,設定!$B$6:$B$21,0))),""))</f>
        <v/>
      </c>
      <c r="J1527" s="83">
        <f>IFERROR(INDEX(打卡匯入!$C$3:$C$2002,MATCH($C1527&amp;"|"&amp;DAY($A1527),打卡匯入!$E$3:$E$2002,0)),"")</f>
        <v/>
      </c>
      <c r="K1527" s="83">
        <f>IFERROR(INDEX(打卡匯入!$D$3:$D$2002,MATCH($C1527&amp;"|"&amp;DAY($A1527),打卡匯入!$E$3:$E$2002,0)),"")</f>
        <v/>
      </c>
      <c r="L1527" s="84">
        <f>IF(OR($J1527="",$K1527=""),"",IFERROR(INDEX(設定!$F$6:$F$21,MATCH($G1527,設定!$B$6:$B$21,0)),0))</f>
        <v/>
      </c>
      <c r="M1527" s="85">
        <f>IF(OR($J1527="",$K1527=""),"",ROUND(($K1527-$J1527)*24-$L1527/60,2))</f>
        <v/>
      </c>
      <c r="N1527" s="16">
        <f>IF($C1527="","",IF(AND(COUNTIF(設定!$B$15:$B$21,$G1527)&gt;0,$J1527&lt;&gt;""),"假日出勤",IF(AND(COUNTIF(設定!$B$6:$B$14,$G1527)&gt;0,$J1527=""),"未打卡",IF($J1527="","",IF($O1527&gt;0,"遲到",IF($P1527&gt;0,"早退","正常"))))))</f>
        <v/>
      </c>
      <c r="O1527" s="84">
        <f>IF(OR($C1527="",$H1527="",$J1527=""),0,IF(ROUND(($J1527-$H1527)*1440,0)&gt;設定!$C$46,ROUND(($J1527-$H1527)*1440,0),0))</f>
        <v/>
      </c>
      <c r="P1527" s="84">
        <f>IF(OR($C1527="",$I1527="",$K1527=""),0,IF(ROUND(($I1527-$K1527)*1440,0)&gt;設定!$C$46,ROUND(($I1527-$K1527)*1440,0),0))</f>
        <v/>
      </c>
      <c r="Q1527" s="85">
        <f>IF($M1527="",0,IF(($M1527-IFERROR(INDEX(設定!$G$6:$G$21,MATCH($G1527,設定!$B$6:$B$21,0)),0))*60&gt;=設定!$C$44,ROUND(FLOOR(($M1527-IFERROR(INDEX(設定!$G$6:$G$21,MATCH($G1527,設定!$B$6:$B$21,0)),0))*60,設定!$C$45)/60,2),0))</f>
        <v/>
      </c>
      <c r="R1527" s="16">
        <f>IF(OR($C1527="",$Q1527=0),"",IF($G1527="國","國定假日",IF($B1527="日","例假",IF($B1527="六","休息日","平日"))))</f>
        <v/>
      </c>
      <c r="S1527" s="19" t="n"/>
    </row>
    <row r="1528">
      <c r="A1528" s="82">
        <f>IF(OR(助理班表!$A54="",7&gt;DAY(EOMONTH(DATE(設定!$C$2,設定!$D$2,1),0))),"",DATE(設定!$C$2,設定!$D$2,7))</f>
        <v/>
      </c>
      <c r="B1528" s="16">
        <f>IF($A1528="","",INDEX(設定!$O$6:$O$12,WEEKDAY($A1528,1)))</f>
        <v/>
      </c>
      <c r="C1528" s="16">
        <f>IF($A1528="","",助理班表!$A54)</f>
        <v/>
      </c>
      <c r="D1528" s="16">
        <f>IF($C1528="","",助理班表!$B54)</f>
        <v/>
      </c>
      <c r="E1528" s="16">
        <f>IF($C1528="","",助理班表!$D54)</f>
        <v/>
      </c>
      <c r="F1528" s="16">
        <f>IF($C1528="","",助理班表!$C54)</f>
        <v/>
      </c>
      <c r="G1528" s="16">
        <f>IF($C1528="","",助理班表!K54)</f>
        <v/>
      </c>
      <c r="H1528" s="83">
        <f>IF($G1528="","",IFERROR(IF(INDEX(設定!$D$6:$D$21,MATCH($G1528,設定!$B$6:$B$21,0))=0,"",INDEX(設定!$D$6:$D$21,MATCH($G1528,設定!$B$6:$B$21,0))),""))</f>
        <v/>
      </c>
      <c r="I1528" s="83">
        <f>IF($G1528="","",IFERROR(IF(INDEX(設定!$E$6:$E$21,MATCH($G1528,設定!$B$6:$B$21,0))=0,"",INDEX(設定!$E$6:$E$21,MATCH($G1528,設定!$B$6:$B$21,0))),""))</f>
        <v/>
      </c>
      <c r="J1528" s="83">
        <f>IFERROR(INDEX(打卡匯入!$C$3:$C$2002,MATCH($C1528&amp;"|"&amp;DAY($A1528),打卡匯入!$E$3:$E$2002,0)),"")</f>
        <v/>
      </c>
      <c r="K1528" s="83">
        <f>IFERROR(INDEX(打卡匯入!$D$3:$D$2002,MATCH($C1528&amp;"|"&amp;DAY($A1528),打卡匯入!$E$3:$E$2002,0)),"")</f>
        <v/>
      </c>
      <c r="L1528" s="84">
        <f>IF(OR($J1528="",$K1528=""),"",IFERROR(INDEX(設定!$F$6:$F$21,MATCH($G1528,設定!$B$6:$B$21,0)),0))</f>
        <v/>
      </c>
      <c r="M1528" s="85">
        <f>IF(OR($J1528="",$K1528=""),"",ROUND(($K1528-$J1528)*24-$L1528/60,2))</f>
        <v/>
      </c>
      <c r="N1528" s="16">
        <f>IF($C1528="","",IF(AND(COUNTIF(設定!$B$15:$B$21,$G1528)&gt;0,$J1528&lt;&gt;""),"假日出勤",IF(AND(COUNTIF(設定!$B$6:$B$14,$G1528)&gt;0,$J1528=""),"未打卡",IF($J1528="","",IF($O1528&gt;0,"遲到",IF($P1528&gt;0,"早退","正常"))))))</f>
        <v/>
      </c>
      <c r="O1528" s="84">
        <f>IF(OR($C1528="",$H1528="",$J1528=""),0,IF(ROUND(($J1528-$H1528)*1440,0)&gt;設定!$C$46,ROUND(($J1528-$H1528)*1440,0),0))</f>
        <v/>
      </c>
      <c r="P1528" s="84">
        <f>IF(OR($C1528="",$I1528="",$K1528=""),0,IF(ROUND(($I1528-$K1528)*1440,0)&gt;設定!$C$46,ROUND(($I1528-$K1528)*1440,0),0))</f>
        <v/>
      </c>
      <c r="Q1528" s="85">
        <f>IF($M1528="",0,IF(($M1528-IFERROR(INDEX(設定!$G$6:$G$21,MATCH($G1528,設定!$B$6:$B$21,0)),0))*60&gt;=設定!$C$44,ROUND(FLOOR(($M1528-IFERROR(INDEX(設定!$G$6:$G$21,MATCH($G1528,設定!$B$6:$B$21,0)),0))*60,設定!$C$45)/60,2),0))</f>
        <v/>
      </c>
      <c r="R1528" s="16">
        <f>IF(OR($C1528="",$Q1528=0),"",IF($G1528="國","國定假日",IF($B1528="日","例假",IF($B1528="六","休息日","平日"))))</f>
        <v/>
      </c>
      <c r="S1528" s="19" t="n"/>
    </row>
    <row r="1529">
      <c r="A1529" s="82">
        <f>IF(OR(助理班表!$A54="",8&gt;DAY(EOMONTH(DATE(設定!$C$2,設定!$D$2,1),0))),"",DATE(設定!$C$2,設定!$D$2,8))</f>
        <v/>
      </c>
      <c r="B1529" s="16">
        <f>IF($A1529="","",INDEX(設定!$O$6:$O$12,WEEKDAY($A1529,1)))</f>
        <v/>
      </c>
      <c r="C1529" s="16">
        <f>IF($A1529="","",助理班表!$A54)</f>
        <v/>
      </c>
      <c r="D1529" s="16">
        <f>IF($C1529="","",助理班表!$B54)</f>
        <v/>
      </c>
      <c r="E1529" s="16">
        <f>IF($C1529="","",助理班表!$D54)</f>
        <v/>
      </c>
      <c r="F1529" s="16">
        <f>IF($C1529="","",助理班表!$C54)</f>
        <v/>
      </c>
      <c r="G1529" s="16">
        <f>IF($C1529="","",助理班表!L54)</f>
        <v/>
      </c>
      <c r="H1529" s="83">
        <f>IF($G1529="","",IFERROR(IF(INDEX(設定!$D$6:$D$21,MATCH($G1529,設定!$B$6:$B$21,0))=0,"",INDEX(設定!$D$6:$D$21,MATCH($G1529,設定!$B$6:$B$21,0))),""))</f>
        <v/>
      </c>
      <c r="I1529" s="83">
        <f>IF($G1529="","",IFERROR(IF(INDEX(設定!$E$6:$E$21,MATCH($G1529,設定!$B$6:$B$21,0))=0,"",INDEX(設定!$E$6:$E$21,MATCH($G1529,設定!$B$6:$B$21,0))),""))</f>
        <v/>
      </c>
      <c r="J1529" s="83">
        <f>IFERROR(INDEX(打卡匯入!$C$3:$C$2002,MATCH($C1529&amp;"|"&amp;DAY($A1529),打卡匯入!$E$3:$E$2002,0)),"")</f>
        <v/>
      </c>
      <c r="K1529" s="83">
        <f>IFERROR(INDEX(打卡匯入!$D$3:$D$2002,MATCH($C1529&amp;"|"&amp;DAY($A1529),打卡匯入!$E$3:$E$2002,0)),"")</f>
        <v/>
      </c>
      <c r="L1529" s="84">
        <f>IF(OR($J1529="",$K1529=""),"",IFERROR(INDEX(設定!$F$6:$F$21,MATCH($G1529,設定!$B$6:$B$21,0)),0))</f>
        <v/>
      </c>
      <c r="M1529" s="85">
        <f>IF(OR($J1529="",$K1529=""),"",ROUND(($K1529-$J1529)*24-$L1529/60,2))</f>
        <v/>
      </c>
      <c r="N1529" s="16">
        <f>IF($C1529="","",IF(AND(COUNTIF(設定!$B$15:$B$21,$G1529)&gt;0,$J1529&lt;&gt;""),"假日出勤",IF(AND(COUNTIF(設定!$B$6:$B$14,$G1529)&gt;0,$J1529=""),"未打卡",IF($J1529="","",IF($O1529&gt;0,"遲到",IF($P1529&gt;0,"早退","正常"))))))</f>
        <v/>
      </c>
      <c r="O1529" s="84">
        <f>IF(OR($C1529="",$H1529="",$J1529=""),0,IF(ROUND(($J1529-$H1529)*1440,0)&gt;設定!$C$46,ROUND(($J1529-$H1529)*1440,0),0))</f>
        <v/>
      </c>
      <c r="P1529" s="84">
        <f>IF(OR($C1529="",$I1529="",$K1529=""),0,IF(ROUND(($I1529-$K1529)*1440,0)&gt;設定!$C$46,ROUND(($I1529-$K1529)*1440,0),0))</f>
        <v/>
      </c>
      <c r="Q1529" s="85">
        <f>IF($M1529="",0,IF(($M1529-IFERROR(INDEX(設定!$G$6:$G$21,MATCH($G1529,設定!$B$6:$B$21,0)),0))*60&gt;=設定!$C$44,ROUND(FLOOR(($M1529-IFERROR(INDEX(設定!$G$6:$G$21,MATCH($G1529,設定!$B$6:$B$21,0)),0))*60,設定!$C$45)/60,2),0))</f>
        <v/>
      </c>
      <c r="R1529" s="16">
        <f>IF(OR($C1529="",$Q1529=0),"",IF($G1529="國","國定假日",IF($B1529="日","例假",IF($B1529="六","休息日","平日"))))</f>
        <v/>
      </c>
      <c r="S1529" s="19" t="n"/>
    </row>
    <row r="1530">
      <c r="A1530" s="82">
        <f>IF(OR(助理班表!$A54="",9&gt;DAY(EOMONTH(DATE(設定!$C$2,設定!$D$2,1),0))),"",DATE(設定!$C$2,設定!$D$2,9))</f>
        <v/>
      </c>
      <c r="B1530" s="16">
        <f>IF($A1530="","",INDEX(設定!$O$6:$O$12,WEEKDAY($A1530,1)))</f>
        <v/>
      </c>
      <c r="C1530" s="16">
        <f>IF($A1530="","",助理班表!$A54)</f>
        <v/>
      </c>
      <c r="D1530" s="16">
        <f>IF($C1530="","",助理班表!$B54)</f>
        <v/>
      </c>
      <c r="E1530" s="16">
        <f>IF($C1530="","",助理班表!$D54)</f>
        <v/>
      </c>
      <c r="F1530" s="16">
        <f>IF($C1530="","",助理班表!$C54)</f>
        <v/>
      </c>
      <c r="G1530" s="16">
        <f>IF($C1530="","",助理班表!M54)</f>
        <v/>
      </c>
      <c r="H1530" s="83">
        <f>IF($G1530="","",IFERROR(IF(INDEX(設定!$D$6:$D$21,MATCH($G1530,設定!$B$6:$B$21,0))=0,"",INDEX(設定!$D$6:$D$21,MATCH($G1530,設定!$B$6:$B$21,0))),""))</f>
        <v/>
      </c>
      <c r="I1530" s="83">
        <f>IF($G1530="","",IFERROR(IF(INDEX(設定!$E$6:$E$21,MATCH($G1530,設定!$B$6:$B$21,0))=0,"",INDEX(設定!$E$6:$E$21,MATCH($G1530,設定!$B$6:$B$21,0))),""))</f>
        <v/>
      </c>
      <c r="J1530" s="83">
        <f>IFERROR(INDEX(打卡匯入!$C$3:$C$2002,MATCH($C1530&amp;"|"&amp;DAY($A1530),打卡匯入!$E$3:$E$2002,0)),"")</f>
        <v/>
      </c>
      <c r="K1530" s="83">
        <f>IFERROR(INDEX(打卡匯入!$D$3:$D$2002,MATCH($C1530&amp;"|"&amp;DAY($A1530),打卡匯入!$E$3:$E$2002,0)),"")</f>
        <v/>
      </c>
      <c r="L1530" s="84">
        <f>IF(OR($J1530="",$K1530=""),"",IFERROR(INDEX(設定!$F$6:$F$21,MATCH($G1530,設定!$B$6:$B$21,0)),0))</f>
        <v/>
      </c>
      <c r="M1530" s="85">
        <f>IF(OR($J1530="",$K1530=""),"",ROUND(($K1530-$J1530)*24-$L1530/60,2))</f>
        <v/>
      </c>
      <c r="N1530" s="16">
        <f>IF($C1530="","",IF(AND(COUNTIF(設定!$B$15:$B$21,$G1530)&gt;0,$J1530&lt;&gt;""),"假日出勤",IF(AND(COUNTIF(設定!$B$6:$B$14,$G1530)&gt;0,$J1530=""),"未打卡",IF($J1530="","",IF($O1530&gt;0,"遲到",IF($P1530&gt;0,"早退","正常"))))))</f>
        <v/>
      </c>
      <c r="O1530" s="84">
        <f>IF(OR($C1530="",$H1530="",$J1530=""),0,IF(ROUND(($J1530-$H1530)*1440,0)&gt;設定!$C$46,ROUND(($J1530-$H1530)*1440,0),0))</f>
        <v/>
      </c>
      <c r="P1530" s="84">
        <f>IF(OR($C1530="",$I1530="",$K1530=""),0,IF(ROUND(($I1530-$K1530)*1440,0)&gt;設定!$C$46,ROUND(($I1530-$K1530)*1440,0),0))</f>
        <v/>
      </c>
      <c r="Q1530" s="85">
        <f>IF($M1530="",0,IF(($M1530-IFERROR(INDEX(設定!$G$6:$G$21,MATCH($G1530,設定!$B$6:$B$21,0)),0))*60&gt;=設定!$C$44,ROUND(FLOOR(($M1530-IFERROR(INDEX(設定!$G$6:$G$21,MATCH($G1530,設定!$B$6:$B$21,0)),0))*60,設定!$C$45)/60,2),0))</f>
        <v/>
      </c>
      <c r="R1530" s="16">
        <f>IF(OR($C1530="",$Q1530=0),"",IF($G1530="國","國定假日",IF($B1530="日","例假",IF($B1530="六","休息日","平日"))))</f>
        <v/>
      </c>
      <c r="S1530" s="19" t="n"/>
    </row>
    <row r="1531">
      <c r="A1531" s="82">
        <f>IF(OR(助理班表!$A54="",10&gt;DAY(EOMONTH(DATE(設定!$C$2,設定!$D$2,1),0))),"",DATE(設定!$C$2,設定!$D$2,10))</f>
        <v/>
      </c>
      <c r="B1531" s="16">
        <f>IF($A1531="","",INDEX(設定!$O$6:$O$12,WEEKDAY($A1531,1)))</f>
        <v/>
      </c>
      <c r="C1531" s="16">
        <f>IF($A1531="","",助理班表!$A54)</f>
        <v/>
      </c>
      <c r="D1531" s="16">
        <f>IF($C1531="","",助理班表!$B54)</f>
        <v/>
      </c>
      <c r="E1531" s="16">
        <f>IF($C1531="","",助理班表!$D54)</f>
        <v/>
      </c>
      <c r="F1531" s="16">
        <f>IF($C1531="","",助理班表!$C54)</f>
        <v/>
      </c>
      <c r="G1531" s="16">
        <f>IF($C1531="","",助理班表!N54)</f>
        <v/>
      </c>
      <c r="H1531" s="83">
        <f>IF($G1531="","",IFERROR(IF(INDEX(設定!$D$6:$D$21,MATCH($G1531,設定!$B$6:$B$21,0))=0,"",INDEX(設定!$D$6:$D$21,MATCH($G1531,設定!$B$6:$B$21,0))),""))</f>
        <v/>
      </c>
      <c r="I1531" s="83">
        <f>IF($G1531="","",IFERROR(IF(INDEX(設定!$E$6:$E$21,MATCH($G1531,設定!$B$6:$B$21,0))=0,"",INDEX(設定!$E$6:$E$21,MATCH($G1531,設定!$B$6:$B$21,0))),""))</f>
        <v/>
      </c>
      <c r="J1531" s="83">
        <f>IFERROR(INDEX(打卡匯入!$C$3:$C$2002,MATCH($C1531&amp;"|"&amp;DAY($A1531),打卡匯入!$E$3:$E$2002,0)),"")</f>
        <v/>
      </c>
      <c r="K1531" s="83">
        <f>IFERROR(INDEX(打卡匯入!$D$3:$D$2002,MATCH($C1531&amp;"|"&amp;DAY($A1531),打卡匯入!$E$3:$E$2002,0)),"")</f>
        <v/>
      </c>
      <c r="L1531" s="84">
        <f>IF(OR($J1531="",$K1531=""),"",IFERROR(INDEX(設定!$F$6:$F$21,MATCH($G1531,設定!$B$6:$B$21,0)),0))</f>
        <v/>
      </c>
      <c r="M1531" s="85">
        <f>IF(OR($J1531="",$K1531=""),"",ROUND(($K1531-$J1531)*24-$L1531/60,2))</f>
        <v/>
      </c>
      <c r="N1531" s="16">
        <f>IF($C1531="","",IF(AND(COUNTIF(設定!$B$15:$B$21,$G1531)&gt;0,$J1531&lt;&gt;""),"假日出勤",IF(AND(COUNTIF(設定!$B$6:$B$14,$G1531)&gt;0,$J1531=""),"未打卡",IF($J1531="","",IF($O1531&gt;0,"遲到",IF($P1531&gt;0,"早退","正常"))))))</f>
        <v/>
      </c>
      <c r="O1531" s="84">
        <f>IF(OR($C1531="",$H1531="",$J1531=""),0,IF(ROUND(($J1531-$H1531)*1440,0)&gt;設定!$C$46,ROUND(($J1531-$H1531)*1440,0),0))</f>
        <v/>
      </c>
      <c r="P1531" s="84">
        <f>IF(OR($C1531="",$I1531="",$K1531=""),0,IF(ROUND(($I1531-$K1531)*1440,0)&gt;設定!$C$46,ROUND(($I1531-$K1531)*1440,0),0))</f>
        <v/>
      </c>
      <c r="Q1531" s="85">
        <f>IF($M1531="",0,IF(($M1531-IFERROR(INDEX(設定!$G$6:$G$21,MATCH($G1531,設定!$B$6:$B$21,0)),0))*60&gt;=設定!$C$44,ROUND(FLOOR(($M1531-IFERROR(INDEX(設定!$G$6:$G$21,MATCH($G1531,設定!$B$6:$B$21,0)),0))*60,設定!$C$45)/60,2),0))</f>
        <v/>
      </c>
      <c r="R1531" s="16">
        <f>IF(OR($C1531="",$Q1531=0),"",IF($G1531="國","國定假日",IF($B1531="日","例假",IF($B1531="六","休息日","平日"))))</f>
        <v/>
      </c>
      <c r="S1531" s="19" t="n"/>
    </row>
    <row r="1532">
      <c r="A1532" s="82">
        <f>IF(OR(助理班表!$A54="",11&gt;DAY(EOMONTH(DATE(設定!$C$2,設定!$D$2,1),0))),"",DATE(設定!$C$2,設定!$D$2,11))</f>
        <v/>
      </c>
      <c r="B1532" s="16">
        <f>IF($A1532="","",INDEX(設定!$O$6:$O$12,WEEKDAY($A1532,1)))</f>
        <v/>
      </c>
      <c r="C1532" s="16">
        <f>IF($A1532="","",助理班表!$A54)</f>
        <v/>
      </c>
      <c r="D1532" s="16">
        <f>IF($C1532="","",助理班表!$B54)</f>
        <v/>
      </c>
      <c r="E1532" s="16">
        <f>IF($C1532="","",助理班表!$D54)</f>
        <v/>
      </c>
      <c r="F1532" s="16">
        <f>IF($C1532="","",助理班表!$C54)</f>
        <v/>
      </c>
      <c r="G1532" s="16">
        <f>IF($C1532="","",助理班表!O54)</f>
        <v/>
      </c>
      <c r="H1532" s="83">
        <f>IF($G1532="","",IFERROR(IF(INDEX(設定!$D$6:$D$21,MATCH($G1532,設定!$B$6:$B$21,0))=0,"",INDEX(設定!$D$6:$D$21,MATCH($G1532,設定!$B$6:$B$21,0))),""))</f>
        <v/>
      </c>
      <c r="I1532" s="83">
        <f>IF($G1532="","",IFERROR(IF(INDEX(設定!$E$6:$E$21,MATCH($G1532,設定!$B$6:$B$21,0))=0,"",INDEX(設定!$E$6:$E$21,MATCH($G1532,設定!$B$6:$B$21,0))),""))</f>
        <v/>
      </c>
      <c r="J1532" s="83">
        <f>IFERROR(INDEX(打卡匯入!$C$3:$C$2002,MATCH($C1532&amp;"|"&amp;DAY($A1532),打卡匯入!$E$3:$E$2002,0)),"")</f>
        <v/>
      </c>
      <c r="K1532" s="83">
        <f>IFERROR(INDEX(打卡匯入!$D$3:$D$2002,MATCH($C1532&amp;"|"&amp;DAY($A1532),打卡匯入!$E$3:$E$2002,0)),"")</f>
        <v/>
      </c>
      <c r="L1532" s="84">
        <f>IF(OR($J1532="",$K1532=""),"",IFERROR(INDEX(設定!$F$6:$F$21,MATCH($G1532,設定!$B$6:$B$21,0)),0))</f>
        <v/>
      </c>
      <c r="M1532" s="85">
        <f>IF(OR($J1532="",$K1532=""),"",ROUND(($K1532-$J1532)*24-$L1532/60,2))</f>
        <v/>
      </c>
      <c r="N1532" s="16">
        <f>IF($C1532="","",IF(AND(COUNTIF(設定!$B$15:$B$21,$G1532)&gt;0,$J1532&lt;&gt;""),"假日出勤",IF(AND(COUNTIF(設定!$B$6:$B$14,$G1532)&gt;0,$J1532=""),"未打卡",IF($J1532="","",IF($O1532&gt;0,"遲到",IF($P1532&gt;0,"早退","正常"))))))</f>
        <v/>
      </c>
      <c r="O1532" s="84">
        <f>IF(OR($C1532="",$H1532="",$J1532=""),0,IF(ROUND(($J1532-$H1532)*1440,0)&gt;設定!$C$46,ROUND(($J1532-$H1532)*1440,0),0))</f>
        <v/>
      </c>
      <c r="P1532" s="84">
        <f>IF(OR($C1532="",$I1532="",$K1532=""),0,IF(ROUND(($I1532-$K1532)*1440,0)&gt;設定!$C$46,ROUND(($I1532-$K1532)*1440,0),0))</f>
        <v/>
      </c>
      <c r="Q1532" s="85">
        <f>IF($M1532="",0,IF(($M1532-IFERROR(INDEX(設定!$G$6:$G$21,MATCH($G1532,設定!$B$6:$B$21,0)),0))*60&gt;=設定!$C$44,ROUND(FLOOR(($M1532-IFERROR(INDEX(設定!$G$6:$G$21,MATCH($G1532,設定!$B$6:$B$21,0)),0))*60,設定!$C$45)/60,2),0))</f>
        <v/>
      </c>
      <c r="R1532" s="16">
        <f>IF(OR($C1532="",$Q1532=0),"",IF($G1532="國","國定假日",IF($B1532="日","例假",IF($B1532="六","休息日","平日"))))</f>
        <v/>
      </c>
      <c r="S1532" s="19" t="n"/>
    </row>
    <row r="1533">
      <c r="A1533" s="82">
        <f>IF(OR(助理班表!$A54="",12&gt;DAY(EOMONTH(DATE(設定!$C$2,設定!$D$2,1),0))),"",DATE(設定!$C$2,設定!$D$2,12))</f>
        <v/>
      </c>
      <c r="B1533" s="16">
        <f>IF($A1533="","",INDEX(設定!$O$6:$O$12,WEEKDAY($A1533,1)))</f>
        <v/>
      </c>
      <c r="C1533" s="16">
        <f>IF($A1533="","",助理班表!$A54)</f>
        <v/>
      </c>
      <c r="D1533" s="16">
        <f>IF($C1533="","",助理班表!$B54)</f>
        <v/>
      </c>
      <c r="E1533" s="16">
        <f>IF($C1533="","",助理班表!$D54)</f>
        <v/>
      </c>
      <c r="F1533" s="16">
        <f>IF($C1533="","",助理班表!$C54)</f>
        <v/>
      </c>
      <c r="G1533" s="16">
        <f>IF($C1533="","",助理班表!P54)</f>
        <v/>
      </c>
      <c r="H1533" s="83">
        <f>IF($G1533="","",IFERROR(IF(INDEX(設定!$D$6:$D$21,MATCH($G1533,設定!$B$6:$B$21,0))=0,"",INDEX(設定!$D$6:$D$21,MATCH($G1533,設定!$B$6:$B$21,0))),""))</f>
        <v/>
      </c>
      <c r="I1533" s="83">
        <f>IF($G1533="","",IFERROR(IF(INDEX(設定!$E$6:$E$21,MATCH($G1533,設定!$B$6:$B$21,0))=0,"",INDEX(設定!$E$6:$E$21,MATCH($G1533,設定!$B$6:$B$21,0))),""))</f>
        <v/>
      </c>
      <c r="J1533" s="83">
        <f>IFERROR(INDEX(打卡匯入!$C$3:$C$2002,MATCH($C1533&amp;"|"&amp;DAY($A1533),打卡匯入!$E$3:$E$2002,0)),"")</f>
        <v/>
      </c>
      <c r="K1533" s="83">
        <f>IFERROR(INDEX(打卡匯入!$D$3:$D$2002,MATCH($C1533&amp;"|"&amp;DAY($A1533),打卡匯入!$E$3:$E$2002,0)),"")</f>
        <v/>
      </c>
      <c r="L1533" s="84">
        <f>IF(OR($J1533="",$K1533=""),"",IFERROR(INDEX(設定!$F$6:$F$21,MATCH($G1533,設定!$B$6:$B$21,0)),0))</f>
        <v/>
      </c>
      <c r="M1533" s="85">
        <f>IF(OR($J1533="",$K1533=""),"",ROUND(($K1533-$J1533)*24-$L1533/60,2))</f>
        <v/>
      </c>
      <c r="N1533" s="16">
        <f>IF($C1533="","",IF(AND(COUNTIF(設定!$B$15:$B$21,$G1533)&gt;0,$J1533&lt;&gt;""),"假日出勤",IF(AND(COUNTIF(設定!$B$6:$B$14,$G1533)&gt;0,$J1533=""),"未打卡",IF($J1533="","",IF($O1533&gt;0,"遲到",IF($P1533&gt;0,"早退","正常"))))))</f>
        <v/>
      </c>
      <c r="O1533" s="84">
        <f>IF(OR($C1533="",$H1533="",$J1533=""),0,IF(ROUND(($J1533-$H1533)*1440,0)&gt;設定!$C$46,ROUND(($J1533-$H1533)*1440,0),0))</f>
        <v/>
      </c>
      <c r="P1533" s="84">
        <f>IF(OR($C1533="",$I1533="",$K1533=""),0,IF(ROUND(($I1533-$K1533)*1440,0)&gt;設定!$C$46,ROUND(($I1533-$K1533)*1440,0),0))</f>
        <v/>
      </c>
      <c r="Q1533" s="85">
        <f>IF($M1533="",0,IF(($M1533-IFERROR(INDEX(設定!$G$6:$G$21,MATCH($G1533,設定!$B$6:$B$21,0)),0))*60&gt;=設定!$C$44,ROUND(FLOOR(($M1533-IFERROR(INDEX(設定!$G$6:$G$21,MATCH($G1533,設定!$B$6:$B$21,0)),0))*60,設定!$C$45)/60,2),0))</f>
        <v/>
      </c>
      <c r="R1533" s="16">
        <f>IF(OR($C1533="",$Q1533=0),"",IF($G1533="國","國定假日",IF($B1533="日","例假",IF($B1533="六","休息日","平日"))))</f>
        <v/>
      </c>
      <c r="S1533" s="19" t="n"/>
    </row>
    <row r="1534">
      <c r="A1534" s="82">
        <f>IF(OR(助理班表!$A54="",13&gt;DAY(EOMONTH(DATE(設定!$C$2,設定!$D$2,1),0))),"",DATE(設定!$C$2,設定!$D$2,13))</f>
        <v/>
      </c>
      <c r="B1534" s="16">
        <f>IF($A1534="","",INDEX(設定!$O$6:$O$12,WEEKDAY($A1534,1)))</f>
        <v/>
      </c>
      <c r="C1534" s="16">
        <f>IF($A1534="","",助理班表!$A54)</f>
        <v/>
      </c>
      <c r="D1534" s="16">
        <f>IF($C1534="","",助理班表!$B54)</f>
        <v/>
      </c>
      <c r="E1534" s="16">
        <f>IF($C1534="","",助理班表!$D54)</f>
        <v/>
      </c>
      <c r="F1534" s="16">
        <f>IF($C1534="","",助理班表!$C54)</f>
        <v/>
      </c>
      <c r="G1534" s="16">
        <f>IF($C1534="","",助理班表!Q54)</f>
        <v/>
      </c>
      <c r="H1534" s="83">
        <f>IF($G1534="","",IFERROR(IF(INDEX(設定!$D$6:$D$21,MATCH($G1534,設定!$B$6:$B$21,0))=0,"",INDEX(設定!$D$6:$D$21,MATCH($G1534,設定!$B$6:$B$21,0))),""))</f>
        <v/>
      </c>
      <c r="I1534" s="83">
        <f>IF($G1534="","",IFERROR(IF(INDEX(設定!$E$6:$E$21,MATCH($G1534,設定!$B$6:$B$21,0))=0,"",INDEX(設定!$E$6:$E$21,MATCH($G1534,設定!$B$6:$B$21,0))),""))</f>
        <v/>
      </c>
      <c r="J1534" s="83">
        <f>IFERROR(INDEX(打卡匯入!$C$3:$C$2002,MATCH($C1534&amp;"|"&amp;DAY($A1534),打卡匯入!$E$3:$E$2002,0)),"")</f>
        <v/>
      </c>
      <c r="K1534" s="83">
        <f>IFERROR(INDEX(打卡匯入!$D$3:$D$2002,MATCH($C1534&amp;"|"&amp;DAY($A1534),打卡匯入!$E$3:$E$2002,0)),"")</f>
        <v/>
      </c>
      <c r="L1534" s="84">
        <f>IF(OR($J1534="",$K1534=""),"",IFERROR(INDEX(設定!$F$6:$F$21,MATCH($G1534,設定!$B$6:$B$21,0)),0))</f>
        <v/>
      </c>
      <c r="M1534" s="85">
        <f>IF(OR($J1534="",$K1534=""),"",ROUND(($K1534-$J1534)*24-$L1534/60,2))</f>
        <v/>
      </c>
      <c r="N1534" s="16">
        <f>IF($C1534="","",IF(AND(COUNTIF(設定!$B$15:$B$21,$G1534)&gt;0,$J1534&lt;&gt;""),"假日出勤",IF(AND(COUNTIF(設定!$B$6:$B$14,$G1534)&gt;0,$J1534=""),"未打卡",IF($J1534="","",IF($O1534&gt;0,"遲到",IF($P1534&gt;0,"早退","正常"))))))</f>
        <v/>
      </c>
      <c r="O1534" s="84">
        <f>IF(OR($C1534="",$H1534="",$J1534=""),0,IF(ROUND(($J1534-$H1534)*1440,0)&gt;設定!$C$46,ROUND(($J1534-$H1534)*1440,0),0))</f>
        <v/>
      </c>
      <c r="P1534" s="84">
        <f>IF(OR($C1534="",$I1534="",$K1534=""),0,IF(ROUND(($I1534-$K1534)*1440,0)&gt;設定!$C$46,ROUND(($I1534-$K1534)*1440,0),0))</f>
        <v/>
      </c>
      <c r="Q1534" s="85">
        <f>IF($M1534="",0,IF(($M1534-IFERROR(INDEX(設定!$G$6:$G$21,MATCH($G1534,設定!$B$6:$B$21,0)),0))*60&gt;=設定!$C$44,ROUND(FLOOR(($M1534-IFERROR(INDEX(設定!$G$6:$G$21,MATCH($G1534,設定!$B$6:$B$21,0)),0))*60,設定!$C$45)/60,2),0))</f>
        <v/>
      </c>
      <c r="R1534" s="16">
        <f>IF(OR($C1534="",$Q1534=0),"",IF($G1534="國","國定假日",IF($B1534="日","例假",IF($B1534="六","休息日","平日"))))</f>
        <v/>
      </c>
      <c r="S1534" s="19" t="n"/>
    </row>
    <row r="1535">
      <c r="A1535" s="82">
        <f>IF(OR(助理班表!$A54="",14&gt;DAY(EOMONTH(DATE(設定!$C$2,設定!$D$2,1),0))),"",DATE(設定!$C$2,設定!$D$2,14))</f>
        <v/>
      </c>
      <c r="B1535" s="16">
        <f>IF($A1535="","",INDEX(設定!$O$6:$O$12,WEEKDAY($A1535,1)))</f>
        <v/>
      </c>
      <c r="C1535" s="16">
        <f>IF($A1535="","",助理班表!$A54)</f>
        <v/>
      </c>
      <c r="D1535" s="16">
        <f>IF($C1535="","",助理班表!$B54)</f>
        <v/>
      </c>
      <c r="E1535" s="16">
        <f>IF($C1535="","",助理班表!$D54)</f>
        <v/>
      </c>
      <c r="F1535" s="16">
        <f>IF($C1535="","",助理班表!$C54)</f>
        <v/>
      </c>
      <c r="G1535" s="16">
        <f>IF($C1535="","",助理班表!R54)</f>
        <v/>
      </c>
      <c r="H1535" s="83">
        <f>IF($G1535="","",IFERROR(IF(INDEX(設定!$D$6:$D$21,MATCH($G1535,設定!$B$6:$B$21,0))=0,"",INDEX(設定!$D$6:$D$21,MATCH($G1535,設定!$B$6:$B$21,0))),""))</f>
        <v/>
      </c>
      <c r="I1535" s="83">
        <f>IF($G1535="","",IFERROR(IF(INDEX(設定!$E$6:$E$21,MATCH($G1535,設定!$B$6:$B$21,0))=0,"",INDEX(設定!$E$6:$E$21,MATCH($G1535,設定!$B$6:$B$21,0))),""))</f>
        <v/>
      </c>
      <c r="J1535" s="83">
        <f>IFERROR(INDEX(打卡匯入!$C$3:$C$2002,MATCH($C1535&amp;"|"&amp;DAY($A1535),打卡匯入!$E$3:$E$2002,0)),"")</f>
        <v/>
      </c>
      <c r="K1535" s="83">
        <f>IFERROR(INDEX(打卡匯入!$D$3:$D$2002,MATCH($C1535&amp;"|"&amp;DAY($A1535),打卡匯入!$E$3:$E$2002,0)),"")</f>
        <v/>
      </c>
      <c r="L1535" s="84">
        <f>IF(OR($J1535="",$K1535=""),"",IFERROR(INDEX(設定!$F$6:$F$21,MATCH($G1535,設定!$B$6:$B$21,0)),0))</f>
        <v/>
      </c>
      <c r="M1535" s="85">
        <f>IF(OR($J1535="",$K1535=""),"",ROUND(($K1535-$J1535)*24-$L1535/60,2))</f>
        <v/>
      </c>
      <c r="N1535" s="16">
        <f>IF($C1535="","",IF(AND(COUNTIF(設定!$B$15:$B$21,$G1535)&gt;0,$J1535&lt;&gt;""),"假日出勤",IF(AND(COUNTIF(設定!$B$6:$B$14,$G1535)&gt;0,$J1535=""),"未打卡",IF($J1535="","",IF($O1535&gt;0,"遲到",IF($P1535&gt;0,"早退","正常"))))))</f>
        <v/>
      </c>
      <c r="O1535" s="84">
        <f>IF(OR($C1535="",$H1535="",$J1535=""),0,IF(ROUND(($J1535-$H1535)*1440,0)&gt;設定!$C$46,ROUND(($J1535-$H1535)*1440,0),0))</f>
        <v/>
      </c>
      <c r="P1535" s="84">
        <f>IF(OR($C1535="",$I1535="",$K1535=""),0,IF(ROUND(($I1535-$K1535)*1440,0)&gt;設定!$C$46,ROUND(($I1535-$K1535)*1440,0),0))</f>
        <v/>
      </c>
      <c r="Q1535" s="85">
        <f>IF($M1535="",0,IF(($M1535-IFERROR(INDEX(設定!$G$6:$G$21,MATCH($G1535,設定!$B$6:$B$21,0)),0))*60&gt;=設定!$C$44,ROUND(FLOOR(($M1535-IFERROR(INDEX(設定!$G$6:$G$21,MATCH($G1535,設定!$B$6:$B$21,0)),0))*60,設定!$C$45)/60,2),0))</f>
        <v/>
      </c>
      <c r="R1535" s="16">
        <f>IF(OR($C1535="",$Q1535=0),"",IF($G1535="國","國定假日",IF($B1535="日","例假",IF($B1535="六","休息日","平日"))))</f>
        <v/>
      </c>
      <c r="S1535" s="19" t="n"/>
    </row>
    <row r="1536">
      <c r="A1536" s="82">
        <f>IF(OR(助理班表!$A54="",15&gt;DAY(EOMONTH(DATE(設定!$C$2,設定!$D$2,1),0))),"",DATE(設定!$C$2,設定!$D$2,15))</f>
        <v/>
      </c>
      <c r="B1536" s="16">
        <f>IF($A1536="","",INDEX(設定!$O$6:$O$12,WEEKDAY($A1536,1)))</f>
        <v/>
      </c>
      <c r="C1536" s="16">
        <f>IF($A1536="","",助理班表!$A54)</f>
        <v/>
      </c>
      <c r="D1536" s="16">
        <f>IF($C1536="","",助理班表!$B54)</f>
        <v/>
      </c>
      <c r="E1536" s="16">
        <f>IF($C1536="","",助理班表!$D54)</f>
        <v/>
      </c>
      <c r="F1536" s="16">
        <f>IF($C1536="","",助理班表!$C54)</f>
        <v/>
      </c>
      <c r="G1536" s="16">
        <f>IF($C1536="","",助理班表!S54)</f>
        <v/>
      </c>
      <c r="H1536" s="83">
        <f>IF($G1536="","",IFERROR(IF(INDEX(設定!$D$6:$D$21,MATCH($G1536,設定!$B$6:$B$21,0))=0,"",INDEX(設定!$D$6:$D$21,MATCH($G1536,設定!$B$6:$B$21,0))),""))</f>
        <v/>
      </c>
      <c r="I1536" s="83">
        <f>IF($G1536="","",IFERROR(IF(INDEX(設定!$E$6:$E$21,MATCH($G1536,設定!$B$6:$B$21,0))=0,"",INDEX(設定!$E$6:$E$21,MATCH($G1536,設定!$B$6:$B$21,0))),""))</f>
        <v/>
      </c>
      <c r="J1536" s="83">
        <f>IFERROR(INDEX(打卡匯入!$C$3:$C$2002,MATCH($C1536&amp;"|"&amp;DAY($A1536),打卡匯入!$E$3:$E$2002,0)),"")</f>
        <v/>
      </c>
      <c r="K1536" s="83">
        <f>IFERROR(INDEX(打卡匯入!$D$3:$D$2002,MATCH($C1536&amp;"|"&amp;DAY($A1536),打卡匯入!$E$3:$E$2002,0)),"")</f>
        <v/>
      </c>
      <c r="L1536" s="84">
        <f>IF(OR($J1536="",$K1536=""),"",IFERROR(INDEX(設定!$F$6:$F$21,MATCH($G1536,設定!$B$6:$B$21,0)),0))</f>
        <v/>
      </c>
      <c r="M1536" s="85">
        <f>IF(OR($J1536="",$K1536=""),"",ROUND(($K1536-$J1536)*24-$L1536/60,2))</f>
        <v/>
      </c>
      <c r="N1536" s="16">
        <f>IF($C1536="","",IF(AND(COUNTIF(設定!$B$15:$B$21,$G1536)&gt;0,$J1536&lt;&gt;""),"假日出勤",IF(AND(COUNTIF(設定!$B$6:$B$14,$G1536)&gt;0,$J1536=""),"未打卡",IF($J1536="","",IF($O1536&gt;0,"遲到",IF($P1536&gt;0,"早退","正常"))))))</f>
        <v/>
      </c>
      <c r="O1536" s="84">
        <f>IF(OR($C1536="",$H1536="",$J1536=""),0,IF(ROUND(($J1536-$H1536)*1440,0)&gt;設定!$C$46,ROUND(($J1536-$H1536)*1440,0),0))</f>
        <v/>
      </c>
      <c r="P1536" s="84">
        <f>IF(OR($C1536="",$I1536="",$K1536=""),0,IF(ROUND(($I1536-$K1536)*1440,0)&gt;設定!$C$46,ROUND(($I1536-$K1536)*1440,0),0))</f>
        <v/>
      </c>
      <c r="Q1536" s="85">
        <f>IF($M1536="",0,IF(($M1536-IFERROR(INDEX(設定!$G$6:$G$21,MATCH($G1536,設定!$B$6:$B$21,0)),0))*60&gt;=設定!$C$44,ROUND(FLOOR(($M1536-IFERROR(INDEX(設定!$G$6:$G$21,MATCH($G1536,設定!$B$6:$B$21,0)),0))*60,設定!$C$45)/60,2),0))</f>
        <v/>
      </c>
      <c r="R1536" s="16">
        <f>IF(OR($C1536="",$Q1536=0),"",IF($G1536="國","國定假日",IF($B1536="日","例假",IF($B1536="六","休息日","平日"))))</f>
        <v/>
      </c>
      <c r="S1536" s="19" t="n"/>
    </row>
    <row r="1537">
      <c r="A1537" s="82">
        <f>IF(OR(助理班表!$A54="",16&gt;DAY(EOMONTH(DATE(設定!$C$2,設定!$D$2,1),0))),"",DATE(設定!$C$2,設定!$D$2,16))</f>
        <v/>
      </c>
      <c r="B1537" s="16">
        <f>IF($A1537="","",INDEX(設定!$O$6:$O$12,WEEKDAY($A1537,1)))</f>
        <v/>
      </c>
      <c r="C1537" s="16">
        <f>IF($A1537="","",助理班表!$A54)</f>
        <v/>
      </c>
      <c r="D1537" s="16">
        <f>IF($C1537="","",助理班表!$B54)</f>
        <v/>
      </c>
      <c r="E1537" s="16">
        <f>IF($C1537="","",助理班表!$D54)</f>
        <v/>
      </c>
      <c r="F1537" s="16">
        <f>IF($C1537="","",助理班表!$C54)</f>
        <v/>
      </c>
      <c r="G1537" s="16">
        <f>IF($C1537="","",助理班表!T54)</f>
        <v/>
      </c>
      <c r="H1537" s="83">
        <f>IF($G1537="","",IFERROR(IF(INDEX(設定!$D$6:$D$21,MATCH($G1537,設定!$B$6:$B$21,0))=0,"",INDEX(設定!$D$6:$D$21,MATCH($G1537,設定!$B$6:$B$21,0))),""))</f>
        <v/>
      </c>
      <c r="I1537" s="83">
        <f>IF($G1537="","",IFERROR(IF(INDEX(設定!$E$6:$E$21,MATCH($G1537,設定!$B$6:$B$21,0))=0,"",INDEX(設定!$E$6:$E$21,MATCH($G1537,設定!$B$6:$B$21,0))),""))</f>
        <v/>
      </c>
      <c r="J1537" s="83">
        <f>IFERROR(INDEX(打卡匯入!$C$3:$C$2002,MATCH($C1537&amp;"|"&amp;DAY($A1537),打卡匯入!$E$3:$E$2002,0)),"")</f>
        <v/>
      </c>
      <c r="K1537" s="83">
        <f>IFERROR(INDEX(打卡匯入!$D$3:$D$2002,MATCH($C1537&amp;"|"&amp;DAY($A1537),打卡匯入!$E$3:$E$2002,0)),"")</f>
        <v/>
      </c>
      <c r="L1537" s="84">
        <f>IF(OR($J1537="",$K1537=""),"",IFERROR(INDEX(設定!$F$6:$F$21,MATCH($G1537,設定!$B$6:$B$21,0)),0))</f>
        <v/>
      </c>
      <c r="M1537" s="85">
        <f>IF(OR($J1537="",$K1537=""),"",ROUND(($K1537-$J1537)*24-$L1537/60,2))</f>
        <v/>
      </c>
      <c r="N1537" s="16">
        <f>IF($C1537="","",IF(AND(COUNTIF(設定!$B$15:$B$21,$G1537)&gt;0,$J1537&lt;&gt;""),"假日出勤",IF(AND(COUNTIF(設定!$B$6:$B$14,$G1537)&gt;0,$J1537=""),"未打卡",IF($J1537="","",IF($O1537&gt;0,"遲到",IF($P1537&gt;0,"早退","正常"))))))</f>
        <v/>
      </c>
      <c r="O1537" s="84">
        <f>IF(OR($C1537="",$H1537="",$J1537=""),0,IF(ROUND(($J1537-$H1537)*1440,0)&gt;設定!$C$46,ROUND(($J1537-$H1537)*1440,0),0))</f>
        <v/>
      </c>
      <c r="P1537" s="84">
        <f>IF(OR($C1537="",$I1537="",$K1537=""),0,IF(ROUND(($I1537-$K1537)*1440,0)&gt;設定!$C$46,ROUND(($I1537-$K1537)*1440,0),0))</f>
        <v/>
      </c>
      <c r="Q1537" s="85">
        <f>IF($M1537="",0,IF(($M1537-IFERROR(INDEX(設定!$G$6:$G$21,MATCH($G1537,設定!$B$6:$B$21,0)),0))*60&gt;=設定!$C$44,ROUND(FLOOR(($M1537-IFERROR(INDEX(設定!$G$6:$G$21,MATCH($G1537,設定!$B$6:$B$21,0)),0))*60,設定!$C$45)/60,2),0))</f>
        <v/>
      </c>
      <c r="R1537" s="16">
        <f>IF(OR($C1537="",$Q1537=0),"",IF($G1537="國","國定假日",IF($B1537="日","例假",IF($B1537="六","休息日","平日"))))</f>
        <v/>
      </c>
      <c r="S1537" s="19" t="n"/>
    </row>
    <row r="1538">
      <c r="A1538" s="82">
        <f>IF(OR(助理班表!$A54="",17&gt;DAY(EOMONTH(DATE(設定!$C$2,設定!$D$2,1),0))),"",DATE(設定!$C$2,設定!$D$2,17))</f>
        <v/>
      </c>
      <c r="B1538" s="16">
        <f>IF($A1538="","",INDEX(設定!$O$6:$O$12,WEEKDAY($A1538,1)))</f>
        <v/>
      </c>
      <c r="C1538" s="16">
        <f>IF($A1538="","",助理班表!$A54)</f>
        <v/>
      </c>
      <c r="D1538" s="16">
        <f>IF($C1538="","",助理班表!$B54)</f>
        <v/>
      </c>
      <c r="E1538" s="16">
        <f>IF($C1538="","",助理班表!$D54)</f>
        <v/>
      </c>
      <c r="F1538" s="16">
        <f>IF($C1538="","",助理班表!$C54)</f>
        <v/>
      </c>
      <c r="G1538" s="16">
        <f>IF($C1538="","",助理班表!U54)</f>
        <v/>
      </c>
      <c r="H1538" s="83">
        <f>IF($G1538="","",IFERROR(IF(INDEX(設定!$D$6:$D$21,MATCH($G1538,設定!$B$6:$B$21,0))=0,"",INDEX(設定!$D$6:$D$21,MATCH($G1538,設定!$B$6:$B$21,0))),""))</f>
        <v/>
      </c>
      <c r="I1538" s="83">
        <f>IF($G1538="","",IFERROR(IF(INDEX(設定!$E$6:$E$21,MATCH($G1538,設定!$B$6:$B$21,0))=0,"",INDEX(設定!$E$6:$E$21,MATCH($G1538,設定!$B$6:$B$21,0))),""))</f>
        <v/>
      </c>
      <c r="J1538" s="83">
        <f>IFERROR(INDEX(打卡匯入!$C$3:$C$2002,MATCH($C1538&amp;"|"&amp;DAY($A1538),打卡匯入!$E$3:$E$2002,0)),"")</f>
        <v/>
      </c>
      <c r="K1538" s="83">
        <f>IFERROR(INDEX(打卡匯入!$D$3:$D$2002,MATCH($C1538&amp;"|"&amp;DAY($A1538),打卡匯入!$E$3:$E$2002,0)),"")</f>
        <v/>
      </c>
      <c r="L1538" s="84">
        <f>IF(OR($J1538="",$K1538=""),"",IFERROR(INDEX(設定!$F$6:$F$21,MATCH($G1538,設定!$B$6:$B$21,0)),0))</f>
        <v/>
      </c>
      <c r="M1538" s="85">
        <f>IF(OR($J1538="",$K1538=""),"",ROUND(($K1538-$J1538)*24-$L1538/60,2))</f>
        <v/>
      </c>
      <c r="N1538" s="16">
        <f>IF($C1538="","",IF(AND(COUNTIF(設定!$B$15:$B$21,$G1538)&gt;0,$J1538&lt;&gt;""),"假日出勤",IF(AND(COUNTIF(設定!$B$6:$B$14,$G1538)&gt;0,$J1538=""),"未打卡",IF($J1538="","",IF($O1538&gt;0,"遲到",IF($P1538&gt;0,"早退","正常"))))))</f>
        <v/>
      </c>
      <c r="O1538" s="84">
        <f>IF(OR($C1538="",$H1538="",$J1538=""),0,IF(ROUND(($J1538-$H1538)*1440,0)&gt;設定!$C$46,ROUND(($J1538-$H1538)*1440,0),0))</f>
        <v/>
      </c>
      <c r="P1538" s="84">
        <f>IF(OR($C1538="",$I1538="",$K1538=""),0,IF(ROUND(($I1538-$K1538)*1440,0)&gt;設定!$C$46,ROUND(($I1538-$K1538)*1440,0),0))</f>
        <v/>
      </c>
      <c r="Q1538" s="85">
        <f>IF($M1538="",0,IF(($M1538-IFERROR(INDEX(設定!$G$6:$G$21,MATCH($G1538,設定!$B$6:$B$21,0)),0))*60&gt;=設定!$C$44,ROUND(FLOOR(($M1538-IFERROR(INDEX(設定!$G$6:$G$21,MATCH($G1538,設定!$B$6:$B$21,0)),0))*60,設定!$C$45)/60,2),0))</f>
        <v/>
      </c>
      <c r="R1538" s="16">
        <f>IF(OR($C1538="",$Q1538=0),"",IF($G1538="國","國定假日",IF($B1538="日","例假",IF($B1538="六","休息日","平日"))))</f>
        <v/>
      </c>
      <c r="S1538" s="19" t="n"/>
    </row>
    <row r="1539">
      <c r="A1539" s="82">
        <f>IF(OR(助理班表!$A54="",18&gt;DAY(EOMONTH(DATE(設定!$C$2,設定!$D$2,1),0))),"",DATE(設定!$C$2,設定!$D$2,18))</f>
        <v/>
      </c>
      <c r="B1539" s="16">
        <f>IF($A1539="","",INDEX(設定!$O$6:$O$12,WEEKDAY($A1539,1)))</f>
        <v/>
      </c>
      <c r="C1539" s="16">
        <f>IF($A1539="","",助理班表!$A54)</f>
        <v/>
      </c>
      <c r="D1539" s="16">
        <f>IF($C1539="","",助理班表!$B54)</f>
        <v/>
      </c>
      <c r="E1539" s="16">
        <f>IF($C1539="","",助理班表!$D54)</f>
        <v/>
      </c>
      <c r="F1539" s="16">
        <f>IF($C1539="","",助理班表!$C54)</f>
        <v/>
      </c>
      <c r="G1539" s="16">
        <f>IF($C1539="","",助理班表!V54)</f>
        <v/>
      </c>
      <c r="H1539" s="83">
        <f>IF($G1539="","",IFERROR(IF(INDEX(設定!$D$6:$D$21,MATCH($G1539,設定!$B$6:$B$21,0))=0,"",INDEX(設定!$D$6:$D$21,MATCH($G1539,設定!$B$6:$B$21,0))),""))</f>
        <v/>
      </c>
      <c r="I1539" s="83">
        <f>IF($G1539="","",IFERROR(IF(INDEX(設定!$E$6:$E$21,MATCH($G1539,設定!$B$6:$B$21,0))=0,"",INDEX(設定!$E$6:$E$21,MATCH($G1539,設定!$B$6:$B$21,0))),""))</f>
        <v/>
      </c>
      <c r="J1539" s="83">
        <f>IFERROR(INDEX(打卡匯入!$C$3:$C$2002,MATCH($C1539&amp;"|"&amp;DAY($A1539),打卡匯入!$E$3:$E$2002,0)),"")</f>
        <v/>
      </c>
      <c r="K1539" s="83">
        <f>IFERROR(INDEX(打卡匯入!$D$3:$D$2002,MATCH($C1539&amp;"|"&amp;DAY($A1539),打卡匯入!$E$3:$E$2002,0)),"")</f>
        <v/>
      </c>
      <c r="L1539" s="84">
        <f>IF(OR($J1539="",$K1539=""),"",IFERROR(INDEX(設定!$F$6:$F$21,MATCH($G1539,設定!$B$6:$B$21,0)),0))</f>
        <v/>
      </c>
      <c r="M1539" s="85">
        <f>IF(OR($J1539="",$K1539=""),"",ROUND(($K1539-$J1539)*24-$L1539/60,2))</f>
        <v/>
      </c>
      <c r="N1539" s="16">
        <f>IF($C1539="","",IF(AND(COUNTIF(設定!$B$15:$B$21,$G1539)&gt;0,$J1539&lt;&gt;""),"假日出勤",IF(AND(COUNTIF(設定!$B$6:$B$14,$G1539)&gt;0,$J1539=""),"未打卡",IF($J1539="","",IF($O1539&gt;0,"遲到",IF($P1539&gt;0,"早退","正常"))))))</f>
        <v/>
      </c>
      <c r="O1539" s="84">
        <f>IF(OR($C1539="",$H1539="",$J1539=""),0,IF(ROUND(($J1539-$H1539)*1440,0)&gt;設定!$C$46,ROUND(($J1539-$H1539)*1440,0),0))</f>
        <v/>
      </c>
      <c r="P1539" s="84">
        <f>IF(OR($C1539="",$I1539="",$K1539=""),0,IF(ROUND(($I1539-$K1539)*1440,0)&gt;設定!$C$46,ROUND(($I1539-$K1539)*1440,0),0))</f>
        <v/>
      </c>
      <c r="Q1539" s="85">
        <f>IF($M1539="",0,IF(($M1539-IFERROR(INDEX(設定!$G$6:$G$21,MATCH($G1539,設定!$B$6:$B$21,0)),0))*60&gt;=設定!$C$44,ROUND(FLOOR(($M1539-IFERROR(INDEX(設定!$G$6:$G$21,MATCH($G1539,設定!$B$6:$B$21,0)),0))*60,設定!$C$45)/60,2),0))</f>
        <v/>
      </c>
      <c r="R1539" s="16">
        <f>IF(OR($C1539="",$Q1539=0),"",IF($G1539="國","國定假日",IF($B1539="日","例假",IF($B1539="六","休息日","平日"))))</f>
        <v/>
      </c>
      <c r="S1539" s="19" t="n"/>
    </row>
    <row r="1540">
      <c r="A1540" s="82">
        <f>IF(OR(助理班表!$A54="",19&gt;DAY(EOMONTH(DATE(設定!$C$2,設定!$D$2,1),0))),"",DATE(設定!$C$2,設定!$D$2,19))</f>
        <v/>
      </c>
      <c r="B1540" s="16">
        <f>IF($A1540="","",INDEX(設定!$O$6:$O$12,WEEKDAY($A1540,1)))</f>
        <v/>
      </c>
      <c r="C1540" s="16">
        <f>IF($A1540="","",助理班表!$A54)</f>
        <v/>
      </c>
      <c r="D1540" s="16">
        <f>IF($C1540="","",助理班表!$B54)</f>
        <v/>
      </c>
      <c r="E1540" s="16">
        <f>IF($C1540="","",助理班表!$D54)</f>
        <v/>
      </c>
      <c r="F1540" s="16">
        <f>IF($C1540="","",助理班表!$C54)</f>
        <v/>
      </c>
      <c r="G1540" s="16">
        <f>IF($C1540="","",助理班表!W54)</f>
        <v/>
      </c>
      <c r="H1540" s="83">
        <f>IF($G1540="","",IFERROR(IF(INDEX(設定!$D$6:$D$21,MATCH($G1540,設定!$B$6:$B$21,0))=0,"",INDEX(設定!$D$6:$D$21,MATCH($G1540,設定!$B$6:$B$21,0))),""))</f>
        <v/>
      </c>
      <c r="I1540" s="83">
        <f>IF($G1540="","",IFERROR(IF(INDEX(設定!$E$6:$E$21,MATCH($G1540,設定!$B$6:$B$21,0))=0,"",INDEX(設定!$E$6:$E$21,MATCH($G1540,設定!$B$6:$B$21,0))),""))</f>
        <v/>
      </c>
      <c r="J1540" s="83">
        <f>IFERROR(INDEX(打卡匯入!$C$3:$C$2002,MATCH($C1540&amp;"|"&amp;DAY($A1540),打卡匯入!$E$3:$E$2002,0)),"")</f>
        <v/>
      </c>
      <c r="K1540" s="83">
        <f>IFERROR(INDEX(打卡匯入!$D$3:$D$2002,MATCH($C1540&amp;"|"&amp;DAY($A1540),打卡匯入!$E$3:$E$2002,0)),"")</f>
        <v/>
      </c>
      <c r="L1540" s="84">
        <f>IF(OR($J1540="",$K1540=""),"",IFERROR(INDEX(設定!$F$6:$F$21,MATCH($G1540,設定!$B$6:$B$21,0)),0))</f>
        <v/>
      </c>
      <c r="M1540" s="85">
        <f>IF(OR($J1540="",$K1540=""),"",ROUND(($K1540-$J1540)*24-$L1540/60,2))</f>
        <v/>
      </c>
      <c r="N1540" s="16">
        <f>IF($C1540="","",IF(AND(COUNTIF(設定!$B$15:$B$21,$G1540)&gt;0,$J1540&lt;&gt;""),"假日出勤",IF(AND(COUNTIF(設定!$B$6:$B$14,$G1540)&gt;0,$J1540=""),"未打卡",IF($J1540="","",IF($O1540&gt;0,"遲到",IF($P1540&gt;0,"早退","正常"))))))</f>
        <v/>
      </c>
      <c r="O1540" s="84">
        <f>IF(OR($C1540="",$H1540="",$J1540=""),0,IF(ROUND(($J1540-$H1540)*1440,0)&gt;設定!$C$46,ROUND(($J1540-$H1540)*1440,0),0))</f>
        <v/>
      </c>
      <c r="P1540" s="84">
        <f>IF(OR($C1540="",$I1540="",$K1540=""),0,IF(ROUND(($I1540-$K1540)*1440,0)&gt;設定!$C$46,ROUND(($I1540-$K1540)*1440,0),0))</f>
        <v/>
      </c>
      <c r="Q1540" s="85">
        <f>IF($M1540="",0,IF(($M1540-IFERROR(INDEX(設定!$G$6:$G$21,MATCH($G1540,設定!$B$6:$B$21,0)),0))*60&gt;=設定!$C$44,ROUND(FLOOR(($M1540-IFERROR(INDEX(設定!$G$6:$G$21,MATCH($G1540,設定!$B$6:$B$21,0)),0))*60,設定!$C$45)/60,2),0))</f>
        <v/>
      </c>
      <c r="R1540" s="16">
        <f>IF(OR($C1540="",$Q1540=0),"",IF($G1540="國","國定假日",IF($B1540="日","例假",IF($B1540="六","休息日","平日"))))</f>
        <v/>
      </c>
      <c r="S1540" s="19" t="n"/>
    </row>
    <row r="1541">
      <c r="A1541" s="82">
        <f>IF(OR(助理班表!$A54="",20&gt;DAY(EOMONTH(DATE(設定!$C$2,設定!$D$2,1),0))),"",DATE(設定!$C$2,設定!$D$2,20))</f>
        <v/>
      </c>
      <c r="B1541" s="16">
        <f>IF($A1541="","",INDEX(設定!$O$6:$O$12,WEEKDAY($A1541,1)))</f>
        <v/>
      </c>
      <c r="C1541" s="16">
        <f>IF($A1541="","",助理班表!$A54)</f>
        <v/>
      </c>
      <c r="D1541" s="16">
        <f>IF($C1541="","",助理班表!$B54)</f>
        <v/>
      </c>
      <c r="E1541" s="16">
        <f>IF($C1541="","",助理班表!$D54)</f>
        <v/>
      </c>
      <c r="F1541" s="16">
        <f>IF($C1541="","",助理班表!$C54)</f>
        <v/>
      </c>
      <c r="G1541" s="16">
        <f>IF($C1541="","",助理班表!X54)</f>
        <v/>
      </c>
      <c r="H1541" s="83">
        <f>IF($G1541="","",IFERROR(IF(INDEX(設定!$D$6:$D$21,MATCH($G1541,設定!$B$6:$B$21,0))=0,"",INDEX(設定!$D$6:$D$21,MATCH($G1541,設定!$B$6:$B$21,0))),""))</f>
        <v/>
      </c>
      <c r="I1541" s="83">
        <f>IF($G1541="","",IFERROR(IF(INDEX(設定!$E$6:$E$21,MATCH($G1541,設定!$B$6:$B$21,0))=0,"",INDEX(設定!$E$6:$E$21,MATCH($G1541,設定!$B$6:$B$21,0))),""))</f>
        <v/>
      </c>
      <c r="J1541" s="83">
        <f>IFERROR(INDEX(打卡匯入!$C$3:$C$2002,MATCH($C1541&amp;"|"&amp;DAY($A1541),打卡匯入!$E$3:$E$2002,0)),"")</f>
        <v/>
      </c>
      <c r="K1541" s="83">
        <f>IFERROR(INDEX(打卡匯入!$D$3:$D$2002,MATCH($C1541&amp;"|"&amp;DAY($A1541),打卡匯入!$E$3:$E$2002,0)),"")</f>
        <v/>
      </c>
      <c r="L1541" s="84">
        <f>IF(OR($J1541="",$K1541=""),"",IFERROR(INDEX(設定!$F$6:$F$21,MATCH($G1541,設定!$B$6:$B$21,0)),0))</f>
        <v/>
      </c>
      <c r="M1541" s="85">
        <f>IF(OR($J1541="",$K1541=""),"",ROUND(($K1541-$J1541)*24-$L1541/60,2))</f>
        <v/>
      </c>
      <c r="N1541" s="16">
        <f>IF($C1541="","",IF(AND(COUNTIF(設定!$B$15:$B$21,$G1541)&gt;0,$J1541&lt;&gt;""),"假日出勤",IF(AND(COUNTIF(設定!$B$6:$B$14,$G1541)&gt;0,$J1541=""),"未打卡",IF($J1541="","",IF($O1541&gt;0,"遲到",IF($P1541&gt;0,"早退","正常"))))))</f>
        <v/>
      </c>
      <c r="O1541" s="84">
        <f>IF(OR($C1541="",$H1541="",$J1541=""),0,IF(ROUND(($J1541-$H1541)*1440,0)&gt;設定!$C$46,ROUND(($J1541-$H1541)*1440,0),0))</f>
        <v/>
      </c>
      <c r="P1541" s="84">
        <f>IF(OR($C1541="",$I1541="",$K1541=""),0,IF(ROUND(($I1541-$K1541)*1440,0)&gt;設定!$C$46,ROUND(($I1541-$K1541)*1440,0),0))</f>
        <v/>
      </c>
      <c r="Q1541" s="85">
        <f>IF($M1541="",0,IF(($M1541-IFERROR(INDEX(設定!$G$6:$G$21,MATCH($G1541,設定!$B$6:$B$21,0)),0))*60&gt;=設定!$C$44,ROUND(FLOOR(($M1541-IFERROR(INDEX(設定!$G$6:$G$21,MATCH($G1541,設定!$B$6:$B$21,0)),0))*60,設定!$C$45)/60,2),0))</f>
        <v/>
      </c>
      <c r="R1541" s="16">
        <f>IF(OR($C1541="",$Q1541=0),"",IF($G1541="國","國定假日",IF($B1541="日","例假",IF($B1541="六","休息日","平日"))))</f>
        <v/>
      </c>
      <c r="S1541" s="19" t="n"/>
    </row>
    <row r="1542">
      <c r="A1542" s="82">
        <f>IF(OR(助理班表!$A54="",21&gt;DAY(EOMONTH(DATE(設定!$C$2,設定!$D$2,1),0))),"",DATE(設定!$C$2,設定!$D$2,21))</f>
        <v/>
      </c>
      <c r="B1542" s="16">
        <f>IF($A1542="","",INDEX(設定!$O$6:$O$12,WEEKDAY($A1542,1)))</f>
        <v/>
      </c>
      <c r="C1542" s="16">
        <f>IF($A1542="","",助理班表!$A54)</f>
        <v/>
      </c>
      <c r="D1542" s="16">
        <f>IF($C1542="","",助理班表!$B54)</f>
        <v/>
      </c>
      <c r="E1542" s="16">
        <f>IF($C1542="","",助理班表!$D54)</f>
        <v/>
      </c>
      <c r="F1542" s="16">
        <f>IF($C1542="","",助理班表!$C54)</f>
        <v/>
      </c>
      <c r="G1542" s="16">
        <f>IF($C1542="","",助理班表!Y54)</f>
        <v/>
      </c>
      <c r="H1542" s="83">
        <f>IF($G1542="","",IFERROR(IF(INDEX(設定!$D$6:$D$21,MATCH($G1542,設定!$B$6:$B$21,0))=0,"",INDEX(設定!$D$6:$D$21,MATCH($G1542,設定!$B$6:$B$21,0))),""))</f>
        <v/>
      </c>
      <c r="I1542" s="83">
        <f>IF($G1542="","",IFERROR(IF(INDEX(設定!$E$6:$E$21,MATCH($G1542,設定!$B$6:$B$21,0))=0,"",INDEX(設定!$E$6:$E$21,MATCH($G1542,設定!$B$6:$B$21,0))),""))</f>
        <v/>
      </c>
      <c r="J1542" s="83">
        <f>IFERROR(INDEX(打卡匯入!$C$3:$C$2002,MATCH($C1542&amp;"|"&amp;DAY($A1542),打卡匯入!$E$3:$E$2002,0)),"")</f>
        <v/>
      </c>
      <c r="K1542" s="83">
        <f>IFERROR(INDEX(打卡匯入!$D$3:$D$2002,MATCH($C1542&amp;"|"&amp;DAY($A1542),打卡匯入!$E$3:$E$2002,0)),"")</f>
        <v/>
      </c>
      <c r="L1542" s="84">
        <f>IF(OR($J1542="",$K1542=""),"",IFERROR(INDEX(設定!$F$6:$F$21,MATCH($G1542,設定!$B$6:$B$21,0)),0))</f>
        <v/>
      </c>
      <c r="M1542" s="85">
        <f>IF(OR($J1542="",$K1542=""),"",ROUND(($K1542-$J1542)*24-$L1542/60,2))</f>
        <v/>
      </c>
      <c r="N1542" s="16">
        <f>IF($C1542="","",IF(AND(COUNTIF(設定!$B$15:$B$21,$G1542)&gt;0,$J1542&lt;&gt;""),"假日出勤",IF(AND(COUNTIF(設定!$B$6:$B$14,$G1542)&gt;0,$J1542=""),"未打卡",IF($J1542="","",IF($O1542&gt;0,"遲到",IF($P1542&gt;0,"早退","正常"))))))</f>
        <v/>
      </c>
      <c r="O1542" s="84">
        <f>IF(OR($C1542="",$H1542="",$J1542=""),0,IF(ROUND(($J1542-$H1542)*1440,0)&gt;設定!$C$46,ROUND(($J1542-$H1542)*1440,0),0))</f>
        <v/>
      </c>
      <c r="P1542" s="84">
        <f>IF(OR($C1542="",$I1542="",$K1542=""),0,IF(ROUND(($I1542-$K1542)*1440,0)&gt;設定!$C$46,ROUND(($I1542-$K1542)*1440,0),0))</f>
        <v/>
      </c>
      <c r="Q1542" s="85">
        <f>IF($M1542="",0,IF(($M1542-IFERROR(INDEX(設定!$G$6:$G$21,MATCH($G1542,設定!$B$6:$B$21,0)),0))*60&gt;=設定!$C$44,ROUND(FLOOR(($M1542-IFERROR(INDEX(設定!$G$6:$G$21,MATCH($G1542,設定!$B$6:$B$21,0)),0))*60,設定!$C$45)/60,2),0))</f>
        <v/>
      </c>
      <c r="R1542" s="16">
        <f>IF(OR($C1542="",$Q1542=0),"",IF($G1542="國","國定假日",IF($B1542="日","例假",IF($B1542="六","休息日","平日"))))</f>
        <v/>
      </c>
      <c r="S1542" s="19" t="n"/>
    </row>
    <row r="1543">
      <c r="A1543" s="82">
        <f>IF(OR(助理班表!$A54="",22&gt;DAY(EOMONTH(DATE(設定!$C$2,設定!$D$2,1),0))),"",DATE(設定!$C$2,設定!$D$2,22))</f>
        <v/>
      </c>
      <c r="B1543" s="16">
        <f>IF($A1543="","",INDEX(設定!$O$6:$O$12,WEEKDAY($A1543,1)))</f>
        <v/>
      </c>
      <c r="C1543" s="16">
        <f>IF($A1543="","",助理班表!$A54)</f>
        <v/>
      </c>
      <c r="D1543" s="16">
        <f>IF($C1543="","",助理班表!$B54)</f>
        <v/>
      </c>
      <c r="E1543" s="16">
        <f>IF($C1543="","",助理班表!$D54)</f>
        <v/>
      </c>
      <c r="F1543" s="16">
        <f>IF($C1543="","",助理班表!$C54)</f>
        <v/>
      </c>
      <c r="G1543" s="16">
        <f>IF($C1543="","",助理班表!Z54)</f>
        <v/>
      </c>
      <c r="H1543" s="83">
        <f>IF($G1543="","",IFERROR(IF(INDEX(設定!$D$6:$D$21,MATCH($G1543,設定!$B$6:$B$21,0))=0,"",INDEX(設定!$D$6:$D$21,MATCH($G1543,設定!$B$6:$B$21,0))),""))</f>
        <v/>
      </c>
      <c r="I1543" s="83">
        <f>IF($G1543="","",IFERROR(IF(INDEX(設定!$E$6:$E$21,MATCH($G1543,設定!$B$6:$B$21,0))=0,"",INDEX(設定!$E$6:$E$21,MATCH($G1543,設定!$B$6:$B$21,0))),""))</f>
        <v/>
      </c>
      <c r="J1543" s="83">
        <f>IFERROR(INDEX(打卡匯入!$C$3:$C$2002,MATCH($C1543&amp;"|"&amp;DAY($A1543),打卡匯入!$E$3:$E$2002,0)),"")</f>
        <v/>
      </c>
      <c r="K1543" s="83">
        <f>IFERROR(INDEX(打卡匯入!$D$3:$D$2002,MATCH($C1543&amp;"|"&amp;DAY($A1543),打卡匯入!$E$3:$E$2002,0)),"")</f>
        <v/>
      </c>
      <c r="L1543" s="84">
        <f>IF(OR($J1543="",$K1543=""),"",IFERROR(INDEX(設定!$F$6:$F$21,MATCH($G1543,設定!$B$6:$B$21,0)),0))</f>
        <v/>
      </c>
      <c r="M1543" s="85">
        <f>IF(OR($J1543="",$K1543=""),"",ROUND(($K1543-$J1543)*24-$L1543/60,2))</f>
        <v/>
      </c>
      <c r="N1543" s="16">
        <f>IF($C1543="","",IF(AND(COUNTIF(設定!$B$15:$B$21,$G1543)&gt;0,$J1543&lt;&gt;""),"假日出勤",IF(AND(COUNTIF(設定!$B$6:$B$14,$G1543)&gt;0,$J1543=""),"未打卡",IF($J1543="","",IF($O1543&gt;0,"遲到",IF($P1543&gt;0,"早退","正常"))))))</f>
        <v/>
      </c>
      <c r="O1543" s="84">
        <f>IF(OR($C1543="",$H1543="",$J1543=""),0,IF(ROUND(($J1543-$H1543)*1440,0)&gt;設定!$C$46,ROUND(($J1543-$H1543)*1440,0),0))</f>
        <v/>
      </c>
      <c r="P1543" s="84">
        <f>IF(OR($C1543="",$I1543="",$K1543=""),0,IF(ROUND(($I1543-$K1543)*1440,0)&gt;設定!$C$46,ROUND(($I1543-$K1543)*1440,0),0))</f>
        <v/>
      </c>
      <c r="Q1543" s="85">
        <f>IF($M1543="",0,IF(($M1543-IFERROR(INDEX(設定!$G$6:$G$21,MATCH($G1543,設定!$B$6:$B$21,0)),0))*60&gt;=設定!$C$44,ROUND(FLOOR(($M1543-IFERROR(INDEX(設定!$G$6:$G$21,MATCH($G1543,設定!$B$6:$B$21,0)),0))*60,設定!$C$45)/60,2),0))</f>
        <v/>
      </c>
      <c r="R1543" s="16">
        <f>IF(OR($C1543="",$Q1543=0),"",IF($G1543="國","國定假日",IF($B1543="日","例假",IF($B1543="六","休息日","平日"))))</f>
        <v/>
      </c>
      <c r="S1543" s="19" t="n"/>
    </row>
    <row r="1544">
      <c r="A1544" s="82">
        <f>IF(OR(助理班表!$A54="",23&gt;DAY(EOMONTH(DATE(設定!$C$2,設定!$D$2,1),0))),"",DATE(設定!$C$2,設定!$D$2,23))</f>
        <v/>
      </c>
      <c r="B1544" s="16">
        <f>IF($A1544="","",INDEX(設定!$O$6:$O$12,WEEKDAY($A1544,1)))</f>
        <v/>
      </c>
      <c r="C1544" s="16">
        <f>IF($A1544="","",助理班表!$A54)</f>
        <v/>
      </c>
      <c r="D1544" s="16">
        <f>IF($C1544="","",助理班表!$B54)</f>
        <v/>
      </c>
      <c r="E1544" s="16">
        <f>IF($C1544="","",助理班表!$D54)</f>
        <v/>
      </c>
      <c r="F1544" s="16">
        <f>IF($C1544="","",助理班表!$C54)</f>
        <v/>
      </c>
      <c r="G1544" s="16">
        <f>IF($C1544="","",助理班表!AA54)</f>
        <v/>
      </c>
      <c r="H1544" s="83">
        <f>IF($G1544="","",IFERROR(IF(INDEX(設定!$D$6:$D$21,MATCH($G1544,設定!$B$6:$B$21,0))=0,"",INDEX(設定!$D$6:$D$21,MATCH($G1544,設定!$B$6:$B$21,0))),""))</f>
        <v/>
      </c>
      <c r="I1544" s="83">
        <f>IF($G1544="","",IFERROR(IF(INDEX(設定!$E$6:$E$21,MATCH($G1544,設定!$B$6:$B$21,0))=0,"",INDEX(設定!$E$6:$E$21,MATCH($G1544,設定!$B$6:$B$21,0))),""))</f>
        <v/>
      </c>
      <c r="J1544" s="83">
        <f>IFERROR(INDEX(打卡匯入!$C$3:$C$2002,MATCH($C1544&amp;"|"&amp;DAY($A1544),打卡匯入!$E$3:$E$2002,0)),"")</f>
        <v/>
      </c>
      <c r="K1544" s="83">
        <f>IFERROR(INDEX(打卡匯入!$D$3:$D$2002,MATCH($C1544&amp;"|"&amp;DAY($A1544),打卡匯入!$E$3:$E$2002,0)),"")</f>
        <v/>
      </c>
      <c r="L1544" s="84">
        <f>IF(OR($J1544="",$K1544=""),"",IFERROR(INDEX(設定!$F$6:$F$21,MATCH($G1544,設定!$B$6:$B$21,0)),0))</f>
        <v/>
      </c>
      <c r="M1544" s="85">
        <f>IF(OR($J1544="",$K1544=""),"",ROUND(($K1544-$J1544)*24-$L1544/60,2))</f>
        <v/>
      </c>
      <c r="N1544" s="16">
        <f>IF($C1544="","",IF(AND(COUNTIF(設定!$B$15:$B$21,$G1544)&gt;0,$J1544&lt;&gt;""),"假日出勤",IF(AND(COUNTIF(設定!$B$6:$B$14,$G1544)&gt;0,$J1544=""),"未打卡",IF($J1544="","",IF($O1544&gt;0,"遲到",IF($P1544&gt;0,"早退","正常"))))))</f>
        <v/>
      </c>
      <c r="O1544" s="84">
        <f>IF(OR($C1544="",$H1544="",$J1544=""),0,IF(ROUND(($J1544-$H1544)*1440,0)&gt;設定!$C$46,ROUND(($J1544-$H1544)*1440,0),0))</f>
        <v/>
      </c>
      <c r="P1544" s="84">
        <f>IF(OR($C1544="",$I1544="",$K1544=""),0,IF(ROUND(($I1544-$K1544)*1440,0)&gt;設定!$C$46,ROUND(($I1544-$K1544)*1440,0),0))</f>
        <v/>
      </c>
      <c r="Q1544" s="85">
        <f>IF($M1544="",0,IF(($M1544-IFERROR(INDEX(設定!$G$6:$G$21,MATCH($G1544,設定!$B$6:$B$21,0)),0))*60&gt;=設定!$C$44,ROUND(FLOOR(($M1544-IFERROR(INDEX(設定!$G$6:$G$21,MATCH($G1544,設定!$B$6:$B$21,0)),0))*60,設定!$C$45)/60,2),0))</f>
        <v/>
      </c>
      <c r="R1544" s="16">
        <f>IF(OR($C1544="",$Q1544=0),"",IF($G1544="國","國定假日",IF($B1544="日","例假",IF($B1544="六","休息日","平日"))))</f>
        <v/>
      </c>
      <c r="S1544" s="19" t="n"/>
    </row>
    <row r="1545">
      <c r="A1545" s="82">
        <f>IF(OR(助理班表!$A54="",24&gt;DAY(EOMONTH(DATE(設定!$C$2,設定!$D$2,1),0))),"",DATE(設定!$C$2,設定!$D$2,24))</f>
        <v/>
      </c>
      <c r="B1545" s="16">
        <f>IF($A1545="","",INDEX(設定!$O$6:$O$12,WEEKDAY($A1545,1)))</f>
        <v/>
      </c>
      <c r="C1545" s="16">
        <f>IF($A1545="","",助理班表!$A54)</f>
        <v/>
      </c>
      <c r="D1545" s="16">
        <f>IF($C1545="","",助理班表!$B54)</f>
        <v/>
      </c>
      <c r="E1545" s="16">
        <f>IF($C1545="","",助理班表!$D54)</f>
        <v/>
      </c>
      <c r="F1545" s="16">
        <f>IF($C1545="","",助理班表!$C54)</f>
        <v/>
      </c>
      <c r="G1545" s="16">
        <f>IF($C1545="","",助理班表!AB54)</f>
        <v/>
      </c>
      <c r="H1545" s="83">
        <f>IF($G1545="","",IFERROR(IF(INDEX(設定!$D$6:$D$21,MATCH($G1545,設定!$B$6:$B$21,0))=0,"",INDEX(設定!$D$6:$D$21,MATCH($G1545,設定!$B$6:$B$21,0))),""))</f>
        <v/>
      </c>
      <c r="I1545" s="83">
        <f>IF($G1545="","",IFERROR(IF(INDEX(設定!$E$6:$E$21,MATCH($G1545,設定!$B$6:$B$21,0))=0,"",INDEX(設定!$E$6:$E$21,MATCH($G1545,設定!$B$6:$B$21,0))),""))</f>
        <v/>
      </c>
      <c r="J1545" s="83">
        <f>IFERROR(INDEX(打卡匯入!$C$3:$C$2002,MATCH($C1545&amp;"|"&amp;DAY($A1545),打卡匯入!$E$3:$E$2002,0)),"")</f>
        <v/>
      </c>
      <c r="K1545" s="83">
        <f>IFERROR(INDEX(打卡匯入!$D$3:$D$2002,MATCH($C1545&amp;"|"&amp;DAY($A1545),打卡匯入!$E$3:$E$2002,0)),"")</f>
        <v/>
      </c>
      <c r="L1545" s="84">
        <f>IF(OR($J1545="",$K1545=""),"",IFERROR(INDEX(設定!$F$6:$F$21,MATCH($G1545,設定!$B$6:$B$21,0)),0))</f>
        <v/>
      </c>
      <c r="M1545" s="85">
        <f>IF(OR($J1545="",$K1545=""),"",ROUND(($K1545-$J1545)*24-$L1545/60,2))</f>
        <v/>
      </c>
      <c r="N1545" s="16">
        <f>IF($C1545="","",IF(AND(COUNTIF(設定!$B$15:$B$21,$G1545)&gt;0,$J1545&lt;&gt;""),"假日出勤",IF(AND(COUNTIF(設定!$B$6:$B$14,$G1545)&gt;0,$J1545=""),"未打卡",IF($J1545="","",IF($O1545&gt;0,"遲到",IF($P1545&gt;0,"早退","正常"))))))</f>
        <v/>
      </c>
      <c r="O1545" s="84">
        <f>IF(OR($C1545="",$H1545="",$J1545=""),0,IF(ROUND(($J1545-$H1545)*1440,0)&gt;設定!$C$46,ROUND(($J1545-$H1545)*1440,0),0))</f>
        <v/>
      </c>
      <c r="P1545" s="84">
        <f>IF(OR($C1545="",$I1545="",$K1545=""),0,IF(ROUND(($I1545-$K1545)*1440,0)&gt;設定!$C$46,ROUND(($I1545-$K1545)*1440,0),0))</f>
        <v/>
      </c>
      <c r="Q1545" s="85">
        <f>IF($M1545="",0,IF(($M1545-IFERROR(INDEX(設定!$G$6:$G$21,MATCH($G1545,設定!$B$6:$B$21,0)),0))*60&gt;=設定!$C$44,ROUND(FLOOR(($M1545-IFERROR(INDEX(設定!$G$6:$G$21,MATCH($G1545,設定!$B$6:$B$21,0)),0))*60,設定!$C$45)/60,2),0))</f>
        <v/>
      </c>
      <c r="R1545" s="16">
        <f>IF(OR($C1545="",$Q1545=0),"",IF($G1545="國","國定假日",IF($B1545="日","例假",IF($B1545="六","休息日","平日"))))</f>
        <v/>
      </c>
      <c r="S1545" s="19" t="n"/>
    </row>
    <row r="1546">
      <c r="A1546" s="82">
        <f>IF(OR(助理班表!$A54="",25&gt;DAY(EOMONTH(DATE(設定!$C$2,設定!$D$2,1),0))),"",DATE(設定!$C$2,設定!$D$2,25))</f>
        <v/>
      </c>
      <c r="B1546" s="16">
        <f>IF($A1546="","",INDEX(設定!$O$6:$O$12,WEEKDAY($A1546,1)))</f>
        <v/>
      </c>
      <c r="C1546" s="16">
        <f>IF($A1546="","",助理班表!$A54)</f>
        <v/>
      </c>
      <c r="D1546" s="16">
        <f>IF($C1546="","",助理班表!$B54)</f>
        <v/>
      </c>
      <c r="E1546" s="16">
        <f>IF($C1546="","",助理班表!$D54)</f>
        <v/>
      </c>
      <c r="F1546" s="16">
        <f>IF($C1546="","",助理班表!$C54)</f>
        <v/>
      </c>
      <c r="G1546" s="16">
        <f>IF($C1546="","",助理班表!AC54)</f>
        <v/>
      </c>
      <c r="H1546" s="83">
        <f>IF($G1546="","",IFERROR(IF(INDEX(設定!$D$6:$D$21,MATCH($G1546,設定!$B$6:$B$21,0))=0,"",INDEX(設定!$D$6:$D$21,MATCH($G1546,設定!$B$6:$B$21,0))),""))</f>
        <v/>
      </c>
      <c r="I1546" s="83">
        <f>IF($G1546="","",IFERROR(IF(INDEX(設定!$E$6:$E$21,MATCH($G1546,設定!$B$6:$B$21,0))=0,"",INDEX(設定!$E$6:$E$21,MATCH($G1546,設定!$B$6:$B$21,0))),""))</f>
        <v/>
      </c>
      <c r="J1546" s="83">
        <f>IFERROR(INDEX(打卡匯入!$C$3:$C$2002,MATCH($C1546&amp;"|"&amp;DAY($A1546),打卡匯入!$E$3:$E$2002,0)),"")</f>
        <v/>
      </c>
      <c r="K1546" s="83">
        <f>IFERROR(INDEX(打卡匯入!$D$3:$D$2002,MATCH($C1546&amp;"|"&amp;DAY($A1546),打卡匯入!$E$3:$E$2002,0)),"")</f>
        <v/>
      </c>
      <c r="L1546" s="84">
        <f>IF(OR($J1546="",$K1546=""),"",IFERROR(INDEX(設定!$F$6:$F$21,MATCH($G1546,設定!$B$6:$B$21,0)),0))</f>
        <v/>
      </c>
      <c r="M1546" s="85">
        <f>IF(OR($J1546="",$K1546=""),"",ROUND(($K1546-$J1546)*24-$L1546/60,2))</f>
        <v/>
      </c>
      <c r="N1546" s="16">
        <f>IF($C1546="","",IF(AND(COUNTIF(設定!$B$15:$B$21,$G1546)&gt;0,$J1546&lt;&gt;""),"假日出勤",IF(AND(COUNTIF(設定!$B$6:$B$14,$G1546)&gt;0,$J1546=""),"未打卡",IF($J1546="","",IF($O1546&gt;0,"遲到",IF($P1546&gt;0,"早退","正常"))))))</f>
        <v/>
      </c>
      <c r="O1546" s="84">
        <f>IF(OR($C1546="",$H1546="",$J1546=""),0,IF(ROUND(($J1546-$H1546)*1440,0)&gt;設定!$C$46,ROUND(($J1546-$H1546)*1440,0),0))</f>
        <v/>
      </c>
      <c r="P1546" s="84">
        <f>IF(OR($C1546="",$I1546="",$K1546=""),0,IF(ROUND(($I1546-$K1546)*1440,0)&gt;設定!$C$46,ROUND(($I1546-$K1546)*1440,0),0))</f>
        <v/>
      </c>
      <c r="Q1546" s="85">
        <f>IF($M1546="",0,IF(($M1546-IFERROR(INDEX(設定!$G$6:$G$21,MATCH($G1546,設定!$B$6:$B$21,0)),0))*60&gt;=設定!$C$44,ROUND(FLOOR(($M1546-IFERROR(INDEX(設定!$G$6:$G$21,MATCH($G1546,設定!$B$6:$B$21,0)),0))*60,設定!$C$45)/60,2),0))</f>
        <v/>
      </c>
      <c r="R1546" s="16">
        <f>IF(OR($C1546="",$Q1546=0),"",IF($G1546="國","國定假日",IF($B1546="日","例假",IF($B1546="六","休息日","平日"))))</f>
        <v/>
      </c>
      <c r="S1546" s="19" t="n"/>
    </row>
    <row r="1547">
      <c r="A1547" s="82">
        <f>IF(OR(助理班表!$A54="",26&gt;DAY(EOMONTH(DATE(設定!$C$2,設定!$D$2,1),0))),"",DATE(設定!$C$2,設定!$D$2,26))</f>
        <v/>
      </c>
      <c r="B1547" s="16">
        <f>IF($A1547="","",INDEX(設定!$O$6:$O$12,WEEKDAY($A1547,1)))</f>
        <v/>
      </c>
      <c r="C1547" s="16">
        <f>IF($A1547="","",助理班表!$A54)</f>
        <v/>
      </c>
      <c r="D1547" s="16">
        <f>IF($C1547="","",助理班表!$B54)</f>
        <v/>
      </c>
      <c r="E1547" s="16">
        <f>IF($C1547="","",助理班表!$D54)</f>
        <v/>
      </c>
      <c r="F1547" s="16">
        <f>IF($C1547="","",助理班表!$C54)</f>
        <v/>
      </c>
      <c r="G1547" s="16">
        <f>IF($C1547="","",助理班表!AD54)</f>
        <v/>
      </c>
      <c r="H1547" s="83">
        <f>IF($G1547="","",IFERROR(IF(INDEX(設定!$D$6:$D$21,MATCH($G1547,設定!$B$6:$B$21,0))=0,"",INDEX(設定!$D$6:$D$21,MATCH($G1547,設定!$B$6:$B$21,0))),""))</f>
        <v/>
      </c>
      <c r="I1547" s="83">
        <f>IF($G1547="","",IFERROR(IF(INDEX(設定!$E$6:$E$21,MATCH($G1547,設定!$B$6:$B$21,0))=0,"",INDEX(設定!$E$6:$E$21,MATCH($G1547,設定!$B$6:$B$21,0))),""))</f>
        <v/>
      </c>
      <c r="J1547" s="83">
        <f>IFERROR(INDEX(打卡匯入!$C$3:$C$2002,MATCH($C1547&amp;"|"&amp;DAY($A1547),打卡匯入!$E$3:$E$2002,0)),"")</f>
        <v/>
      </c>
      <c r="K1547" s="83">
        <f>IFERROR(INDEX(打卡匯入!$D$3:$D$2002,MATCH($C1547&amp;"|"&amp;DAY($A1547),打卡匯入!$E$3:$E$2002,0)),"")</f>
        <v/>
      </c>
      <c r="L1547" s="84">
        <f>IF(OR($J1547="",$K1547=""),"",IFERROR(INDEX(設定!$F$6:$F$21,MATCH($G1547,設定!$B$6:$B$21,0)),0))</f>
        <v/>
      </c>
      <c r="M1547" s="85">
        <f>IF(OR($J1547="",$K1547=""),"",ROUND(($K1547-$J1547)*24-$L1547/60,2))</f>
        <v/>
      </c>
      <c r="N1547" s="16">
        <f>IF($C1547="","",IF(AND(COUNTIF(設定!$B$15:$B$21,$G1547)&gt;0,$J1547&lt;&gt;""),"假日出勤",IF(AND(COUNTIF(設定!$B$6:$B$14,$G1547)&gt;0,$J1547=""),"未打卡",IF($J1547="","",IF($O1547&gt;0,"遲到",IF($P1547&gt;0,"早退","正常"))))))</f>
        <v/>
      </c>
      <c r="O1547" s="84">
        <f>IF(OR($C1547="",$H1547="",$J1547=""),0,IF(ROUND(($J1547-$H1547)*1440,0)&gt;設定!$C$46,ROUND(($J1547-$H1547)*1440,0),0))</f>
        <v/>
      </c>
      <c r="P1547" s="84">
        <f>IF(OR($C1547="",$I1547="",$K1547=""),0,IF(ROUND(($I1547-$K1547)*1440,0)&gt;設定!$C$46,ROUND(($I1547-$K1547)*1440,0),0))</f>
        <v/>
      </c>
      <c r="Q1547" s="85">
        <f>IF($M1547="",0,IF(($M1547-IFERROR(INDEX(設定!$G$6:$G$21,MATCH($G1547,設定!$B$6:$B$21,0)),0))*60&gt;=設定!$C$44,ROUND(FLOOR(($M1547-IFERROR(INDEX(設定!$G$6:$G$21,MATCH($G1547,設定!$B$6:$B$21,0)),0))*60,設定!$C$45)/60,2),0))</f>
        <v/>
      </c>
      <c r="R1547" s="16">
        <f>IF(OR($C1547="",$Q1547=0),"",IF($G1547="國","國定假日",IF($B1547="日","例假",IF($B1547="六","休息日","平日"))))</f>
        <v/>
      </c>
      <c r="S1547" s="19" t="n"/>
    </row>
    <row r="1548">
      <c r="A1548" s="82">
        <f>IF(OR(助理班表!$A54="",27&gt;DAY(EOMONTH(DATE(設定!$C$2,設定!$D$2,1),0))),"",DATE(設定!$C$2,設定!$D$2,27))</f>
        <v/>
      </c>
      <c r="B1548" s="16">
        <f>IF($A1548="","",INDEX(設定!$O$6:$O$12,WEEKDAY($A1548,1)))</f>
        <v/>
      </c>
      <c r="C1548" s="16">
        <f>IF($A1548="","",助理班表!$A54)</f>
        <v/>
      </c>
      <c r="D1548" s="16">
        <f>IF($C1548="","",助理班表!$B54)</f>
        <v/>
      </c>
      <c r="E1548" s="16">
        <f>IF($C1548="","",助理班表!$D54)</f>
        <v/>
      </c>
      <c r="F1548" s="16">
        <f>IF($C1548="","",助理班表!$C54)</f>
        <v/>
      </c>
      <c r="G1548" s="16">
        <f>IF($C1548="","",助理班表!AE54)</f>
        <v/>
      </c>
      <c r="H1548" s="83">
        <f>IF($G1548="","",IFERROR(IF(INDEX(設定!$D$6:$D$21,MATCH($G1548,設定!$B$6:$B$21,0))=0,"",INDEX(設定!$D$6:$D$21,MATCH($G1548,設定!$B$6:$B$21,0))),""))</f>
        <v/>
      </c>
      <c r="I1548" s="83">
        <f>IF($G1548="","",IFERROR(IF(INDEX(設定!$E$6:$E$21,MATCH($G1548,設定!$B$6:$B$21,0))=0,"",INDEX(設定!$E$6:$E$21,MATCH($G1548,設定!$B$6:$B$21,0))),""))</f>
        <v/>
      </c>
      <c r="J1548" s="83">
        <f>IFERROR(INDEX(打卡匯入!$C$3:$C$2002,MATCH($C1548&amp;"|"&amp;DAY($A1548),打卡匯入!$E$3:$E$2002,0)),"")</f>
        <v/>
      </c>
      <c r="K1548" s="83">
        <f>IFERROR(INDEX(打卡匯入!$D$3:$D$2002,MATCH($C1548&amp;"|"&amp;DAY($A1548),打卡匯入!$E$3:$E$2002,0)),"")</f>
        <v/>
      </c>
      <c r="L1548" s="84">
        <f>IF(OR($J1548="",$K1548=""),"",IFERROR(INDEX(設定!$F$6:$F$21,MATCH($G1548,設定!$B$6:$B$21,0)),0))</f>
        <v/>
      </c>
      <c r="M1548" s="85">
        <f>IF(OR($J1548="",$K1548=""),"",ROUND(($K1548-$J1548)*24-$L1548/60,2))</f>
        <v/>
      </c>
      <c r="N1548" s="16">
        <f>IF($C1548="","",IF(AND(COUNTIF(設定!$B$15:$B$21,$G1548)&gt;0,$J1548&lt;&gt;""),"假日出勤",IF(AND(COUNTIF(設定!$B$6:$B$14,$G1548)&gt;0,$J1548=""),"未打卡",IF($J1548="","",IF($O1548&gt;0,"遲到",IF($P1548&gt;0,"早退","正常"))))))</f>
        <v/>
      </c>
      <c r="O1548" s="84">
        <f>IF(OR($C1548="",$H1548="",$J1548=""),0,IF(ROUND(($J1548-$H1548)*1440,0)&gt;設定!$C$46,ROUND(($J1548-$H1548)*1440,0),0))</f>
        <v/>
      </c>
      <c r="P1548" s="84">
        <f>IF(OR($C1548="",$I1548="",$K1548=""),0,IF(ROUND(($I1548-$K1548)*1440,0)&gt;設定!$C$46,ROUND(($I1548-$K1548)*1440,0),0))</f>
        <v/>
      </c>
      <c r="Q1548" s="85">
        <f>IF($M1548="",0,IF(($M1548-IFERROR(INDEX(設定!$G$6:$G$21,MATCH($G1548,設定!$B$6:$B$21,0)),0))*60&gt;=設定!$C$44,ROUND(FLOOR(($M1548-IFERROR(INDEX(設定!$G$6:$G$21,MATCH($G1548,設定!$B$6:$B$21,0)),0))*60,設定!$C$45)/60,2),0))</f>
        <v/>
      </c>
      <c r="R1548" s="16">
        <f>IF(OR($C1548="",$Q1548=0),"",IF($G1548="國","國定假日",IF($B1548="日","例假",IF($B1548="六","休息日","平日"))))</f>
        <v/>
      </c>
      <c r="S1548" s="19" t="n"/>
    </row>
    <row r="1549">
      <c r="A1549" s="82">
        <f>IF(OR(助理班表!$A54="",28&gt;DAY(EOMONTH(DATE(設定!$C$2,設定!$D$2,1),0))),"",DATE(設定!$C$2,設定!$D$2,28))</f>
        <v/>
      </c>
      <c r="B1549" s="16">
        <f>IF($A1549="","",INDEX(設定!$O$6:$O$12,WEEKDAY($A1549,1)))</f>
        <v/>
      </c>
      <c r="C1549" s="16">
        <f>IF($A1549="","",助理班表!$A54)</f>
        <v/>
      </c>
      <c r="D1549" s="16">
        <f>IF($C1549="","",助理班表!$B54)</f>
        <v/>
      </c>
      <c r="E1549" s="16">
        <f>IF($C1549="","",助理班表!$D54)</f>
        <v/>
      </c>
      <c r="F1549" s="16">
        <f>IF($C1549="","",助理班表!$C54)</f>
        <v/>
      </c>
      <c r="G1549" s="16">
        <f>IF($C1549="","",助理班表!AF54)</f>
        <v/>
      </c>
      <c r="H1549" s="83">
        <f>IF($G1549="","",IFERROR(IF(INDEX(設定!$D$6:$D$21,MATCH($G1549,設定!$B$6:$B$21,0))=0,"",INDEX(設定!$D$6:$D$21,MATCH($G1549,設定!$B$6:$B$21,0))),""))</f>
        <v/>
      </c>
      <c r="I1549" s="83">
        <f>IF($G1549="","",IFERROR(IF(INDEX(設定!$E$6:$E$21,MATCH($G1549,設定!$B$6:$B$21,0))=0,"",INDEX(設定!$E$6:$E$21,MATCH($G1549,設定!$B$6:$B$21,0))),""))</f>
        <v/>
      </c>
      <c r="J1549" s="83">
        <f>IFERROR(INDEX(打卡匯入!$C$3:$C$2002,MATCH($C1549&amp;"|"&amp;DAY($A1549),打卡匯入!$E$3:$E$2002,0)),"")</f>
        <v/>
      </c>
      <c r="K1549" s="83">
        <f>IFERROR(INDEX(打卡匯入!$D$3:$D$2002,MATCH($C1549&amp;"|"&amp;DAY($A1549),打卡匯入!$E$3:$E$2002,0)),"")</f>
        <v/>
      </c>
      <c r="L1549" s="84">
        <f>IF(OR($J1549="",$K1549=""),"",IFERROR(INDEX(設定!$F$6:$F$21,MATCH($G1549,設定!$B$6:$B$21,0)),0))</f>
        <v/>
      </c>
      <c r="M1549" s="85">
        <f>IF(OR($J1549="",$K1549=""),"",ROUND(($K1549-$J1549)*24-$L1549/60,2))</f>
        <v/>
      </c>
      <c r="N1549" s="16">
        <f>IF($C1549="","",IF(AND(COUNTIF(設定!$B$15:$B$21,$G1549)&gt;0,$J1549&lt;&gt;""),"假日出勤",IF(AND(COUNTIF(設定!$B$6:$B$14,$G1549)&gt;0,$J1549=""),"未打卡",IF($J1549="","",IF($O1549&gt;0,"遲到",IF($P1549&gt;0,"早退","正常"))))))</f>
        <v/>
      </c>
      <c r="O1549" s="84">
        <f>IF(OR($C1549="",$H1549="",$J1549=""),0,IF(ROUND(($J1549-$H1549)*1440,0)&gt;設定!$C$46,ROUND(($J1549-$H1549)*1440,0),0))</f>
        <v/>
      </c>
      <c r="P1549" s="84">
        <f>IF(OR($C1549="",$I1549="",$K1549=""),0,IF(ROUND(($I1549-$K1549)*1440,0)&gt;設定!$C$46,ROUND(($I1549-$K1549)*1440,0),0))</f>
        <v/>
      </c>
      <c r="Q1549" s="85">
        <f>IF($M1549="",0,IF(($M1549-IFERROR(INDEX(設定!$G$6:$G$21,MATCH($G1549,設定!$B$6:$B$21,0)),0))*60&gt;=設定!$C$44,ROUND(FLOOR(($M1549-IFERROR(INDEX(設定!$G$6:$G$21,MATCH($G1549,設定!$B$6:$B$21,0)),0))*60,設定!$C$45)/60,2),0))</f>
        <v/>
      </c>
      <c r="R1549" s="16">
        <f>IF(OR($C1549="",$Q1549=0),"",IF($G1549="國","國定假日",IF($B1549="日","例假",IF($B1549="六","休息日","平日"))))</f>
        <v/>
      </c>
      <c r="S1549" s="19" t="n"/>
    </row>
    <row r="1550">
      <c r="A1550" s="82">
        <f>IF(OR(助理班表!$A54="",29&gt;DAY(EOMONTH(DATE(設定!$C$2,設定!$D$2,1),0))),"",DATE(設定!$C$2,設定!$D$2,29))</f>
        <v/>
      </c>
      <c r="B1550" s="16">
        <f>IF($A1550="","",INDEX(設定!$O$6:$O$12,WEEKDAY($A1550,1)))</f>
        <v/>
      </c>
      <c r="C1550" s="16">
        <f>IF($A1550="","",助理班表!$A54)</f>
        <v/>
      </c>
      <c r="D1550" s="16">
        <f>IF($C1550="","",助理班表!$B54)</f>
        <v/>
      </c>
      <c r="E1550" s="16">
        <f>IF($C1550="","",助理班表!$D54)</f>
        <v/>
      </c>
      <c r="F1550" s="16">
        <f>IF($C1550="","",助理班表!$C54)</f>
        <v/>
      </c>
      <c r="G1550" s="16">
        <f>IF($C1550="","",助理班表!AG54)</f>
        <v/>
      </c>
      <c r="H1550" s="83">
        <f>IF($G1550="","",IFERROR(IF(INDEX(設定!$D$6:$D$21,MATCH($G1550,設定!$B$6:$B$21,0))=0,"",INDEX(設定!$D$6:$D$21,MATCH($G1550,設定!$B$6:$B$21,0))),""))</f>
        <v/>
      </c>
      <c r="I1550" s="83">
        <f>IF($G1550="","",IFERROR(IF(INDEX(設定!$E$6:$E$21,MATCH($G1550,設定!$B$6:$B$21,0))=0,"",INDEX(設定!$E$6:$E$21,MATCH($G1550,設定!$B$6:$B$21,0))),""))</f>
        <v/>
      </c>
      <c r="J1550" s="83">
        <f>IFERROR(INDEX(打卡匯入!$C$3:$C$2002,MATCH($C1550&amp;"|"&amp;DAY($A1550),打卡匯入!$E$3:$E$2002,0)),"")</f>
        <v/>
      </c>
      <c r="K1550" s="83">
        <f>IFERROR(INDEX(打卡匯入!$D$3:$D$2002,MATCH($C1550&amp;"|"&amp;DAY($A1550),打卡匯入!$E$3:$E$2002,0)),"")</f>
        <v/>
      </c>
      <c r="L1550" s="84">
        <f>IF(OR($J1550="",$K1550=""),"",IFERROR(INDEX(設定!$F$6:$F$21,MATCH($G1550,設定!$B$6:$B$21,0)),0))</f>
        <v/>
      </c>
      <c r="M1550" s="85">
        <f>IF(OR($J1550="",$K1550=""),"",ROUND(($K1550-$J1550)*24-$L1550/60,2))</f>
        <v/>
      </c>
      <c r="N1550" s="16">
        <f>IF($C1550="","",IF(AND(COUNTIF(設定!$B$15:$B$21,$G1550)&gt;0,$J1550&lt;&gt;""),"假日出勤",IF(AND(COUNTIF(設定!$B$6:$B$14,$G1550)&gt;0,$J1550=""),"未打卡",IF($J1550="","",IF($O1550&gt;0,"遲到",IF($P1550&gt;0,"早退","正常"))))))</f>
        <v/>
      </c>
      <c r="O1550" s="84">
        <f>IF(OR($C1550="",$H1550="",$J1550=""),0,IF(ROUND(($J1550-$H1550)*1440,0)&gt;設定!$C$46,ROUND(($J1550-$H1550)*1440,0),0))</f>
        <v/>
      </c>
      <c r="P1550" s="84">
        <f>IF(OR($C1550="",$I1550="",$K1550=""),0,IF(ROUND(($I1550-$K1550)*1440,0)&gt;設定!$C$46,ROUND(($I1550-$K1550)*1440,0),0))</f>
        <v/>
      </c>
      <c r="Q1550" s="85">
        <f>IF($M1550="",0,IF(($M1550-IFERROR(INDEX(設定!$G$6:$G$21,MATCH($G1550,設定!$B$6:$B$21,0)),0))*60&gt;=設定!$C$44,ROUND(FLOOR(($M1550-IFERROR(INDEX(設定!$G$6:$G$21,MATCH($G1550,設定!$B$6:$B$21,0)),0))*60,設定!$C$45)/60,2),0))</f>
        <v/>
      </c>
      <c r="R1550" s="16">
        <f>IF(OR($C1550="",$Q1550=0),"",IF($G1550="國","國定假日",IF($B1550="日","例假",IF($B1550="六","休息日","平日"))))</f>
        <v/>
      </c>
      <c r="S1550" s="19" t="n"/>
    </row>
    <row r="1551">
      <c r="A1551" s="82">
        <f>IF(OR(助理班表!$A54="",30&gt;DAY(EOMONTH(DATE(設定!$C$2,設定!$D$2,1),0))),"",DATE(設定!$C$2,設定!$D$2,30))</f>
        <v/>
      </c>
      <c r="B1551" s="16">
        <f>IF($A1551="","",INDEX(設定!$O$6:$O$12,WEEKDAY($A1551,1)))</f>
        <v/>
      </c>
      <c r="C1551" s="16">
        <f>IF($A1551="","",助理班表!$A54)</f>
        <v/>
      </c>
      <c r="D1551" s="16">
        <f>IF($C1551="","",助理班表!$B54)</f>
        <v/>
      </c>
      <c r="E1551" s="16">
        <f>IF($C1551="","",助理班表!$D54)</f>
        <v/>
      </c>
      <c r="F1551" s="16">
        <f>IF($C1551="","",助理班表!$C54)</f>
        <v/>
      </c>
      <c r="G1551" s="16">
        <f>IF($C1551="","",助理班表!AH54)</f>
        <v/>
      </c>
      <c r="H1551" s="83">
        <f>IF($G1551="","",IFERROR(IF(INDEX(設定!$D$6:$D$21,MATCH($G1551,設定!$B$6:$B$21,0))=0,"",INDEX(設定!$D$6:$D$21,MATCH($G1551,設定!$B$6:$B$21,0))),""))</f>
        <v/>
      </c>
      <c r="I1551" s="83">
        <f>IF($G1551="","",IFERROR(IF(INDEX(設定!$E$6:$E$21,MATCH($G1551,設定!$B$6:$B$21,0))=0,"",INDEX(設定!$E$6:$E$21,MATCH($G1551,設定!$B$6:$B$21,0))),""))</f>
        <v/>
      </c>
      <c r="J1551" s="83">
        <f>IFERROR(INDEX(打卡匯入!$C$3:$C$2002,MATCH($C1551&amp;"|"&amp;DAY($A1551),打卡匯入!$E$3:$E$2002,0)),"")</f>
        <v/>
      </c>
      <c r="K1551" s="83">
        <f>IFERROR(INDEX(打卡匯入!$D$3:$D$2002,MATCH($C1551&amp;"|"&amp;DAY($A1551),打卡匯入!$E$3:$E$2002,0)),"")</f>
        <v/>
      </c>
      <c r="L1551" s="84">
        <f>IF(OR($J1551="",$K1551=""),"",IFERROR(INDEX(設定!$F$6:$F$21,MATCH($G1551,設定!$B$6:$B$21,0)),0))</f>
        <v/>
      </c>
      <c r="M1551" s="85">
        <f>IF(OR($J1551="",$K1551=""),"",ROUND(($K1551-$J1551)*24-$L1551/60,2))</f>
        <v/>
      </c>
      <c r="N1551" s="16">
        <f>IF($C1551="","",IF(AND(COUNTIF(設定!$B$15:$B$21,$G1551)&gt;0,$J1551&lt;&gt;""),"假日出勤",IF(AND(COUNTIF(設定!$B$6:$B$14,$G1551)&gt;0,$J1551=""),"未打卡",IF($J1551="","",IF($O1551&gt;0,"遲到",IF($P1551&gt;0,"早退","正常"))))))</f>
        <v/>
      </c>
      <c r="O1551" s="84">
        <f>IF(OR($C1551="",$H1551="",$J1551=""),0,IF(ROUND(($J1551-$H1551)*1440,0)&gt;設定!$C$46,ROUND(($J1551-$H1551)*1440,0),0))</f>
        <v/>
      </c>
      <c r="P1551" s="84">
        <f>IF(OR($C1551="",$I1551="",$K1551=""),0,IF(ROUND(($I1551-$K1551)*1440,0)&gt;設定!$C$46,ROUND(($I1551-$K1551)*1440,0),0))</f>
        <v/>
      </c>
      <c r="Q1551" s="85">
        <f>IF($M1551="",0,IF(($M1551-IFERROR(INDEX(設定!$G$6:$G$21,MATCH($G1551,設定!$B$6:$B$21,0)),0))*60&gt;=設定!$C$44,ROUND(FLOOR(($M1551-IFERROR(INDEX(設定!$G$6:$G$21,MATCH($G1551,設定!$B$6:$B$21,0)),0))*60,設定!$C$45)/60,2),0))</f>
        <v/>
      </c>
      <c r="R1551" s="16">
        <f>IF(OR($C1551="",$Q1551=0),"",IF($G1551="國","國定假日",IF($B1551="日","例假",IF($B1551="六","休息日","平日"))))</f>
        <v/>
      </c>
      <c r="S1551" s="19" t="n"/>
    </row>
    <row r="1552">
      <c r="A1552" s="82">
        <f>IF(OR(助理班表!$A54="",31&gt;DAY(EOMONTH(DATE(設定!$C$2,設定!$D$2,1),0))),"",DATE(設定!$C$2,設定!$D$2,31))</f>
        <v/>
      </c>
      <c r="B1552" s="16">
        <f>IF($A1552="","",INDEX(設定!$O$6:$O$12,WEEKDAY($A1552,1)))</f>
        <v/>
      </c>
      <c r="C1552" s="16">
        <f>IF($A1552="","",助理班表!$A54)</f>
        <v/>
      </c>
      <c r="D1552" s="16">
        <f>IF($C1552="","",助理班表!$B54)</f>
        <v/>
      </c>
      <c r="E1552" s="16">
        <f>IF($C1552="","",助理班表!$D54)</f>
        <v/>
      </c>
      <c r="F1552" s="16">
        <f>IF($C1552="","",助理班表!$C54)</f>
        <v/>
      </c>
      <c r="G1552" s="16">
        <f>IF($C1552="","",助理班表!AI54)</f>
        <v/>
      </c>
      <c r="H1552" s="83">
        <f>IF($G1552="","",IFERROR(IF(INDEX(設定!$D$6:$D$21,MATCH($G1552,設定!$B$6:$B$21,0))=0,"",INDEX(設定!$D$6:$D$21,MATCH($G1552,設定!$B$6:$B$21,0))),""))</f>
        <v/>
      </c>
      <c r="I1552" s="83">
        <f>IF($G1552="","",IFERROR(IF(INDEX(設定!$E$6:$E$21,MATCH($G1552,設定!$B$6:$B$21,0))=0,"",INDEX(設定!$E$6:$E$21,MATCH($G1552,設定!$B$6:$B$21,0))),""))</f>
        <v/>
      </c>
      <c r="J1552" s="83">
        <f>IFERROR(INDEX(打卡匯入!$C$3:$C$2002,MATCH($C1552&amp;"|"&amp;DAY($A1552),打卡匯入!$E$3:$E$2002,0)),"")</f>
        <v/>
      </c>
      <c r="K1552" s="83">
        <f>IFERROR(INDEX(打卡匯入!$D$3:$D$2002,MATCH($C1552&amp;"|"&amp;DAY($A1552),打卡匯入!$E$3:$E$2002,0)),"")</f>
        <v/>
      </c>
      <c r="L1552" s="84">
        <f>IF(OR($J1552="",$K1552=""),"",IFERROR(INDEX(設定!$F$6:$F$21,MATCH($G1552,設定!$B$6:$B$21,0)),0))</f>
        <v/>
      </c>
      <c r="M1552" s="85">
        <f>IF(OR($J1552="",$K1552=""),"",ROUND(($K1552-$J1552)*24-$L1552/60,2))</f>
        <v/>
      </c>
      <c r="N1552" s="16">
        <f>IF($C1552="","",IF(AND(COUNTIF(設定!$B$15:$B$21,$G1552)&gt;0,$J1552&lt;&gt;""),"假日出勤",IF(AND(COUNTIF(設定!$B$6:$B$14,$G1552)&gt;0,$J1552=""),"未打卡",IF($J1552="","",IF($O1552&gt;0,"遲到",IF($P1552&gt;0,"早退","正常"))))))</f>
        <v/>
      </c>
      <c r="O1552" s="84">
        <f>IF(OR($C1552="",$H1552="",$J1552=""),0,IF(ROUND(($J1552-$H1552)*1440,0)&gt;設定!$C$46,ROUND(($J1552-$H1552)*1440,0),0))</f>
        <v/>
      </c>
      <c r="P1552" s="84">
        <f>IF(OR($C1552="",$I1552="",$K1552=""),0,IF(ROUND(($I1552-$K1552)*1440,0)&gt;設定!$C$46,ROUND(($I1552-$K1552)*1440,0),0))</f>
        <v/>
      </c>
      <c r="Q1552" s="85">
        <f>IF($M1552="",0,IF(($M1552-IFERROR(INDEX(設定!$G$6:$G$21,MATCH($G1552,設定!$B$6:$B$21,0)),0))*60&gt;=設定!$C$44,ROUND(FLOOR(($M1552-IFERROR(INDEX(設定!$G$6:$G$21,MATCH($G1552,設定!$B$6:$B$21,0)),0))*60,設定!$C$45)/60,2),0))</f>
        <v/>
      </c>
      <c r="R1552" s="16">
        <f>IF(OR($C1552="",$Q1552=0),"",IF($G1552="國","國定假日",IF($B1552="日","例假",IF($B1552="六","休息日","平日"))))</f>
        <v/>
      </c>
      <c r="S1552" s="19" t="n"/>
    </row>
    <row r="1553">
      <c r="A1553" s="82">
        <f>IF(OR(助理班表!$A55="",1&gt;DAY(EOMONTH(DATE(設定!$C$2,設定!$D$2,1),0))),"",DATE(設定!$C$2,設定!$D$2,1))</f>
        <v/>
      </c>
      <c r="B1553" s="16">
        <f>IF($A1553="","",INDEX(設定!$O$6:$O$12,WEEKDAY($A1553,1)))</f>
        <v/>
      </c>
      <c r="C1553" s="16">
        <f>IF($A1553="","",助理班表!$A55)</f>
        <v/>
      </c>
      <c r="D1553" s="16">
        <f>IF($C1553="","",助理班表!$B55)</f>
        <v/>
      </c>
      <c r="E1553" s="16">
        <f>IF($C1553="","",助理班表!$D55)</f>
        <v/>
      </c>
      <c r="F1553" s="16">
        <f>IF($C1553="","",助理班表!$C55)</f>
        <v/>
      </c>
      <c r="G1553" s="16">
        <f>IF($C1553="","",助理班表!E55)</f>
        <v/>
      </c>
      <c r="H1553" s="83">
        <f>IF($G1553="","",IFERROR(IF(INDEX(設定!$D$6:$D$21,MATCH($G1553,設定!$B$6:$B$21,0))=0,"",INDEX(設定!$D$6:$D$21,MATCH($G1553,設定!$B$6:$B$21,0))),""))</f>
        <v/>
      </c>
      <c r="I1553" s="83">
        <f>IF($G1553="","",IFERROR(IF(INDEX(設定!$E$6:$E$21,MATCH($G1553,設定!$B$6:$B$21,0))=0,"",INDEX(設定!$E$6:$E$21,MATCH($G1553,設定!$B$6:$B$21,0))),""))</f>
        <v/>
      </c>
      <c r="J1553" s="83">
        <f>IFERROR(INDEX(打卡匯入!$C$3:$C$2002,MATCH($C1553&amp;"|"&amp;DAY($A1553),打卡匯入!$E$3:$E$2002,0)),"")</f>
        <v/>
      </c>
      <c r="K1553" s="83">
        <f>IFERROR(INDEX(打卡匯入!$D$3:$D$2002,MATCH($C1553&amp;"|"&amp;DAY($A1553),打卡匯入!$E$3:$E$2002,0)),"")</f>
        <v/>
      </c>
      <c r="L1553" s="84">
        <f>IF(OR($J1553="",$K1553=""),"",IFERROR(INDEX(設定!$F$6:$F$21,MATCH($G1553,設定!$B$6:$B$21,0)),0))</f>
        <v/>
      </c>
      <c r="M1553" s="85">
        <f>IF(OR($J1553="",$K1553=""),"",ROUND(($K1553-$J1553)*24-$L1553/60,2))</f>
        <v/>
      </c>
      <c r="N1553" s="16">
        <f>IF($C1553="","",IF(AND(COUNTIF(設定!$B$15:$B$21,$G1553)&gt;0,$J1553&lt;&gt;""),"假日出勤",IF(AND(COUNTIF(設定!$B$6:$B$14,$G1553)&gt;0,$J1553=""),"未打卡",IF($J1553="","",IF($O1553&gt;0,"遲到",IF($P1553&gt;0,"早退","正常"))))))</f>
        <v/>
      </c>
      <c r="O1553" s="84">
        <f>IF(OR($C1553="",$H1553="",$J1553=""),0,IF(ROUND(($J1553-$H1553)*1440,0)&gt;設定!$C$46,ROUND(($J1553-$H1553)*1440,0),0))</f>
        <v/>
      </c>
      <c r="P1553" s="84">
        <f>IF(OR($C1553="",$I1553="",$K1553=""),0,IF(ROUND(($I1553-$K1553)*1440,0)&gt;設定!$C$46,ROUND(($I1553-$K1553)*1440,0),0))</f>
        <v/>
      </c>
      <c r="Q1553" s="85">
        <f>IF($M1553="",0,IF(($M1553-IFERROR(INDEX(設定!$G$6:$G$21,MATCH($G1553,設定!$B$6:$B$21,0)),0))*60&gt;=設定!$C$44,ROUND(FLOOR(($M1553-IFERROR(INDEX(設定!$G$6:$G$21,MATCH($G1553,設定!$B$6:$B$21,0)),0))*60,設定!$C$45)/60,2),0))</f>
        <v/>
      </c>
      <c r="R1553" s="16">
        <f>IF(OR($C1553="",$Q1553=0),"",IF($G1553="國","國定假日",IF($B1553="日","例假",IF($B1553="六","休息日","平日"))))</f>
        <v/>
      </c>
      <c r="S1553" s="19" t="n"/>
    </row>
    <row r="1554">
      <c r="A1554" s="82">
        <f>IF(OR(助理班表!$A55="",2&gt;DAY(EOMONTH(DATE(設定!$C$2,設定!$D$2,1),0))),"",DATE(設定!$C$2,設定!$D$2,2))</f>
        <v/>
      </c>
      <c r="B1554" s="16">
        <f>IF($A1554="","",INDEX(設定!$O$6:$O$12,WEEKDAY($A1554,1)))</f>
        <v/>
      </c>
      <c r="C1554" s="16">
        <f>IF($A1554="","",助理班表!$A55)</f>
        <v/>
      </c>
      <c r="D1554" s="16">
        <f>IF($C1554="","",助理班表!$B55)</f>
        <v/>
      </c>
      <c r="E1554" s="16">
        <f>IF($C1554="","",助理班表!$D55)</f>
        <v/>
      </c>
      <c r="F1554" s="16">
        <f>IF($C1554="","",助理班表!$C55)</f>
        <v/>
      </c>
      <c r="G1554" s="16">
        <f>IF($C1554="","",助理班表!F55)</f>
        <v/>
      </c>
      <c r="H1554" s="83">
        <f>IF($G1554="","",IFERROR(IF(INDEX(設定!$D$6:$D$21,MATCH($G1554,設定!$B$6:$B$21,0))=0,"",INDEX(設定!$D$6:$D$21,MATCH($G1554,設定!$B$6:$B$21,0))),""))</f>
        <v/>
      </c>
      <c r="I1554" s="83">
        <f>IF($G1554="","",IFERROR(IF(INDEX(設定!$E$6:$E$21,MATCH($G1554,設定!$B$6:$B$21,0))=0,"",INDEX(設定!$E$6:$E$21,MATCH($G1554,設定!$B$6:$B$21,0))),""))</f>
        <v/>
      </c>
      <c r="J1554" s="83">
        <f>IFERROR(INDEX(打卡匯入!$C$3:$C$2002,MATCH($C1554&amp;"|"&amp;DAY($A1554),打卡匯入!$E$3:$E$2002,0)),"")</f>
        <v/>
      </c>
      <c r="K1554" s="83">
        <f>IFERROR(INDEX(打卡匯入!$D$3:$D$2002,MATCH($C1554&amp;"|"&amp;DAY($A1554),打卡匯入!$E$3:$E$2002,0)),"")</f>
        <v/>
      </c>
      <c r="L1554" s="84">
        <f>IF(OR($J1554="",$K1554=""),"",IFERROR(INDEX(設定!$F$6:$F$21,MATCH($G1554,設定!$B$6:$B$21,0)),0))</f>
        <v/>
      </c>
      <c r="M1554" s="85">
        <f>IF(OR($J1554="",$K1554=""),"",ROUND(($K1554-$J1554)*24-$L1554/60,2))</f>
        <v/>
      </c>
      <c r="N1554" s="16">
        <f>IF($C1554="","",IF(AND(COUNTIF(設定!$B$15:$B$21,$G1554)&gt;0,$J1554&lt;&gt;""),"假日出勤",IF(AND(COUNTIF(設定!$B$6:$B$14,$G1554)&gt;0,$J1554=""),"未打卡",IF($J1554="","",IF($O1554&gt;0,"遲到",IF($P1554&gt;0,"早退","正常"))))))</f>
        <v/>
      </c>
      <c r="O1554" s="84">
        <f>IF(OR($C1554="",$H1554="",$J1554=""),0,IF(ROUND(($J1554-$H1554)*1440,0)&gt;設定!$C$46,ROUND(($J1554-$H1554)*1440,0),0))</f>
        <v/>
      </c>
      <c r="P1554" s="84">
        <f>IF(OR($C1554="",$I1554="",$K1554=""),0,IF(ROUND(($I1554-$K1554)*1440,0)&gt;設定!$C$46,ROUND(($I1554-$K1554)*1440,0),0))</f>
        <v/>
      </c>
      <c r="Q1554" s="85">
        <f>IF($M1554="",0,IF(($M1554-IFERROR(INDEX(設定!$G$6:$G$21,MATCH($G1554,設定!$B$6:$B$21,0)),0))*60&gt;=設定!$C$44,ROUND(FLOOR(($M1554-IFERROR(INDEX(設定!$G$6:$G$21,MATCH($G1554,設定!$B$6:$B$21,0)),0))*60,設定!$C$45)/60,2),0))</f>
        <v/>
      </c>
      <c r="R1554" s="16">
        <f>IF(OR($C1554="",$Q1554=0),"",IF($G1554="國","國定假日",IF($B1554="日","例假",IF($B1554="六","休息日","平日"))))</f>
        <v/>
      </c>
      <c r="S1554" s="19" t="n"/>
    </row>
    <row r="1555">
      <c r="A1555" s="82">
        <f>IF(OR(助理班表!$A55="",3&gt;DAY(EOMONTH(DATE(設定!$C$2,設定!$D$2,1),0))),"",DATE(設定!$C$2,設定!$D$2,3))</f>
        <v/>
      </c>
      <c r="B1555" s="16">
        <f>IF($A1555="","",INDEX(設定!$O$6:$O$12,WEEKDAY($A1555,1)))</f>
        <v/>
      </c>
      <c r="C1555" s="16">
        <f>IF($A1555="","",助理班表!$A55)</f>
        <v/>
      </c>
      <c r="D1555" s="16">
        <f>IF($C1555="","",助理班表!$B55)</f>
        <v/>
      </c>
      <c r="E1555" s="16">
        <f>IF($C1555="","",助理班表!$D55)</f>
        <v/>
      </c>
      <c r="F1555" s="16">
        <f>IF($C1555="","",助理班表!$C55)</f>
        <v/>
      </c>
      <c r="G1555" s="16">
        <f>IF($C1555="","",助理班表!G55)</f>
        <v/>
      </c>
      <c r="H1555" s="83">
        <f>IF($G1555="","",IFERROR(IF(INDEX(設定!$D$6:$D$21,MATCH($G1555,設定!$B$6:$B$21,0))=0,"",INDEX(設定!$D$6:$D$21,MATCH($G1555,設定!$B$6:$B$21,0))),""))</f>
        <v/>
      </c>
      <c r="I1555" s="83">
        <f>IF($G1555="","",IFERROR(IF(INDEX(設定!$E$6:$E$21,MATCH($G1555,設定!$B$6:$B$21,0))=0,"",INDEX(設定!$E$6:$E$21,MATCH($G1555,設定!$B$6:$B$21,0))),""))</f>
        <v/>
      </c>
      <c r="J1555" s="83">
        <f>IFERROR(INDEX(打卡匯入!$C$3:$C$2002,MATCH($C1555&amp;"|"&amp;DAY($A1555),打卡匯入!$E$3:$E$2002,0)),"")</f>
        <v/>
      </c>
      <c r="K1555" s="83">
        <f>IFERROR(INDEX(打卡匯入!$D$3:$D$2002,MATCH($C1555&amp;"|"&amp;DAY($A1555),打卡匯入!$E$3:$E$2002,0)),"")</f>
        <v/>
      </c>
      <c r="L1555" s="84">
        <f>IF(OR($J1555="",$K1555=""),"",IFERROR(INDEX(設定!$F$6:$F$21,MATCH($G1555,設定!$B$6:$B$21,0)),0))</f>
        <v/>
      </c>
      <c r="M1555" s="85">
        <f>IF(OR($J1555="",$K1555=""),"",ROUND(($K1555-$J1555)*24-$L1555/60,2))</f>
        <v/>
      </c>
      <c r="N1555" s="16">
        <f>IF($C1555="","",IF(AND(COUNTIF(設定!$B$15:$B$21,$G1555)&gt;0,$J1555&lt;&gt;""),"假日出勤",IF(AND(COUNTIF(設定!$B$6:$B$14,$G1555)&gt;0,$J1555=""),"未打卡",IF($J1555="","",IF($O1555&gt;0,"遲到",IF($P1555&gt;0,"早退","正常"))))))</f>
        <v/>
      </c>
      <c r="O1555" s="84">
        <f>IF(OR($C1555="",$H1555="",$J1555=""),0,IF(ROUND(($J1555-$H1555)*1440,0)&gt;設定!$C$46,ROUND(($J1555-$H1555)*1440,0),0))</f>
        <v/>
      </c>
      <c r="P1555" s="84">
        <f>IF(OR($C1555="",$I1555="",$K1555=""),0,IF(ROUND(($I1555-$K1555)*1440,0)&gt;設定!$C$46,ROUND(($I1555-$K1555)*1440,0),0))</f>
        <v/>
      </c>
      <c r="Q1555" s="85">
        <f>IF($M1555="",0,IF(($M1555-IFERROR(INDEX(設定!$G$6:$G$21,MATCH($G1555,設定!$B$6:$B$21,0)),0))*60&gt;=設定!$C$44,ROUND(FLOOR(($M1555-IFERROR(INDEX(設定!$G$6:$G$21,MATCH($G1555,設定!$B$6:$B$21,0)),0))*60,設定!$C$45)/60,2),0))</f>
        <v/>
      </c>
      <c r="R1555" s="16">
        <f>IF(OR($C1555="",$Q1555=0),"",IF($G1555="國","國定假日",IF($B1555="日","例假",IF($B1555="六","休息日","平日"))))</f>
        <v/>
      </c>
      <c r="S1555" s="19" t="n"/>
    </row>
    <row r="1556">
      <c r="A1556" s="82">
        <f>IF(OR(助理班表!$A55="",4&gt;DAY(EOMONTH(DATE(設定!$C$2,設定!$D$2,1),0))),"",DATE(設定!$C$2,設定!$D$2,4))</f>
        <v/>
      </c>
      <c r="B1556" s="16">
        <f>IF($A1556="","",INDEX(設定!$O$6:$O$12,WEEKDAY($A1556,1)))</f>
        <v/>
      </c>
      <c r="C1556" s="16">
        <f>IF($A1556="","",助理班表!$A55)</f>
        <v/>
      </c>
      <c r="D1556" s="16">
        <f>IF($C1556="","",助理班表!$B55)</f>
        <v/>
      </c>
      <c r="E1556" s="16">
        <f>IF($C1556="","",助理班表!$D55)</f>
        <v/>
      </c>
      <c r="F1556" s="16">
        <f>IF($C1556="","",助理班表!$C55)</f>
        <v/>
      </c>
      <c r="G1556" s="16">
        <f>IF($C1556="","",助理班表!H55)</f>
        <v/>
      </c>
      <c r="H1556" s="83">
        <f>IF($G1556="","",IFERROR(IF(INDEX(設定!$D$6:$D$21,MATCH($G1556,設定!$B$6:$B$21,0))=0,"",INDEX(設定!$D$6:$D$21,MATCH($G1556,設定!$B$6:$B$21,0))),""))</f>
        <v/>
      </c>
      <c r="I1556" s="83">
        <f>IF($G1556="","",IFERROR(IF(INDEX(設定!$E$6:$E$21,MATCH($G1556,設定!$B$6:$B$21,0))=0,"",INDEX(設定!$E$6:$E$21,MATCH($G1556,設定!$B$6:$B$21,0))),""))</f>
        <v/>
      </c>
      <c r="J1556" s="83">
        <f>IFERROR(INDEX(打卡匯入!$C$3:$C$2002,MATCH($C1556&amp;"|"&amp;DAY($A1556),打卡匯入!$E$3:$E$2002,0)),"")</f>
        <v/>
      </c>
      <c r="K1556" s="83">
        <f>IFERROR(INDEX(打卡匯入!$D$3:$D$2002,MATCH($C1556&amp;"|"&amp;DAY($A1556),打卡匯入!$E$3:$E$2002,0)),"")</f>
        <v/>
      </c>
      <c r="L1556" s="84">
        <f>IF(OR($J1556="",$K1556=""),"",IFERROR(INDEX(設定!$F$6:$F$21,MATCH($G1556,設定!$B$6:$B$21,0)),0))</f>
        <v/>
      </c>
      <c r="M1556" s="85">
        <f>IF(OR($J1556="",$K1556=""),"",ROUND(($K1556-$J1556)*24-$L1556/60,2))</f>
        <v/>
      </c>
      <c r="N1556" s="16">
        <f>IF($C1556="","",IF(AND(COUNTIF(設定!$B$15:$B$21,$G1556)&gt;0,$J1556&lt;&gt;""),"假日出勤",IF(AND(COUNTIF(設定!$B$6:$B$14,$G1556)&gt;0,$J1556=""),"未打卡",IF($J1556="","",IF($O1556&gt;0,"遲到",IF($P1556&gt;0,"早退","正常"))))))</f>
        <v/>
      </c>
      <c r="O1556" s="84">
        <f>IF(OR($C1556="",$H1556="",$J1556=""),0,IF(ROUND(($J1556-$H1556)*1440,0)&gt;設定!$C$46,ROUND(($J1556-$H1556)*1440,0),0))</f>
        <v/>
      </c>
      <c r="P1556" s="84">
        <f>IF(OR($C1556="",$I1556="",$K1556=""),0,IF(ROUND(($I1556-$K1556)*1440,0)&gt;設定!$C$46,ROUND(($I1556-$K1556)*1440,0),0))</f>
        <v/>
      </c>
      <c r="Q1556" s="85">
        <f>IF($M1556="",0,IF(($M1556-IFERROR(INDEX(設定!$G$6:$G$21,MATCH($G1556,設定!$B$6:$B$21,0)),0))*60&gt;=設定!$C$44,ROUND(FLOOR(($M1556-IFERROR(INDEX(設定!$G$6:$G$21,MATCH($G1556,設定!$B$6:$B$21,0)),0))*60,設定!$C$45)/60,2),0))</f>
        <v/>
      </c>
      <c r="R1556" s="16">
        <f>IF(OR($C1556="",$Q1556=0),"",IF($G1556="國","國定假日",IF($B1556="日","例假",IF($B1556="六","休息日","平日"))))</f>
        <v/>
      </c>
      <c r="S1556" s="19" t="n"/>
    </row>
    <row r="1557">
      <c r="A1557" s="82">
        <f>IF(OR(助理班表!$A55="",5&gt;DAY(EOMONTH(DATE(設定!$C$2,設定!$D$2,1),0))),"",DATE(設定!$C$2,設定!$D$2,5))</f>
        <v/>
      </c>
      <c r="B1557" s="16">
        <f>IF($A1557="","",INDEX(設定!$O$6:$O$12,WEEKDAY($A1557,1)))</f>
        <v/>
      </c>
      <c r="C1557" s="16">
        <f>IF($A1557="","",助理班表!$A55)</f>
        <v/>
      </c>
      <c r="D1557" s="16">
        <f>IF($C1557="","",助理班表!$B55)</f>
        <v/>
      </c>
      <c r="E1557" s="16">
        <f>IF($C1557="","",助理班表!$D55)</f>
        <v/>
      </c>
      <c r="F1557" s="16">
        <f>IF($C1557="","",助理班表!$C55)</f>
        <v/>
      </c>
      <c r="G1557" s="16">
        <f>IF($C1557="","",助理班表!I55)</f>
        <v/>
      </c>
      <c r="H1557" s="83">
        <f>IF($G1557="","",IFERROR(IF(INDEX(設定!$D$6:$D$21,MATCH($G1557,設定!$B$6:$B$21,0))=0,"",INDEX(設定!$D$6:$D$21,MATCH($G1557,設定!$B$6:$B$21,0))),""))</f>
        <v/>
      </c>
      <c r="I1557" s="83">
        <f>IF($G1557="","",IFERROR(IF(INDEX(設定!$E$6:$E$21,MATCH($G1557,設定!$B$6:$B$21,0))=0,"",INDEX(設定!$E$6:$E$21,MATCH($G1557,設定!$B$6:$B$21,0))),""))</f>
        <v/>
      </c>
      <c r="J1557" s="83">
        <f>IFERROR(INDEX(打卡匯入!$C$3:$C$2002,MATCH($C1557&amp;"|"&amp;DAY($A1557),打卡匯入!$E$3:$E$2002,0)),"")</f>
        <v/>
      </c>
      <c r="K1557" s="83">
        <f>IFERROR(INDEX(打卡匯入!$D$3:$D$2002,MATCH($C1557&amp;"|"&amp;DAY($A1557),打卡匯入!$E$3:$E$2002,0)),"")</f>
        <v/>
      </c>
      <c r="L1557" s="84">
        <f>IF(OR($J1557="",$K1557=""),"",IFERROR(INDEX(設定!$F$6:$F$21,MATCH($G1557,設定!$B$6:$B$21,0)),0))</f>
        <v/>
      </c>
      <c r="M1557" s="85">
        <f>IF(OR($J1557="",$K1557=""),"",ROUND(($K1557-$J1557)*24-$L1557/60,2))</f>
        <v/>
      </c>
      <c r="N1557" s="16">
        <f>IF($C1557="","",IF(AND(COUNTIF(設定!$B$15:$B$21,$G1557)&gt;0,$J1557&lt;&gt;""),"假日出勤",IF(AND(COUNTIF(設定!$B$6:$B$14,$G1557)&gt;0,$J1557=""),"未打卡",IF($J1557="","",IF($O1557&gt;0,"遲到",IF($P1557&gt;0,"早退","正常"))))))</f>
        <v/>
      </c>
      <c r="O1557" s="84">
        <f>IF(OR($C1557="",$H1557="",$J1557=""),0,IF(ROUND(($J1557-$H1557)*1440,0)&gt;設定!$C$46,ROUND(($J1557-$H1557)*1440,0),0))</f>
        <v/>
      </c>
      <c r="P1557" s="84">
        <f>IF(OR($C1557="",$I1557="",$K1557=""),0,IF(ROUND(($I1557-$K1557)*1440,0)&gt;設定!$C$46,ROUND(($I1557-$K1557)*1440,0),0))</f>
        <v/>
      </c>
      <c r="Q1557" s="85">
        <f>IF($M1557="",0,IF(($M1557-IFERROR(INDEX(設定!$G$6:$G$21,MATCH($G1557,設定!$B$6:$B$21,0)),0))*60&gt;=設定!$C$44,ROUND(FLOOR(($M1557-IFERROR(INDEX(設定!$G$6:$G$21,MATCH($G1557,設定!$B$6:$B$21,0)),0))*60,設定!$C$45)/60,2),0))</f>
        <v/>
      </c>
      <c r="R1557" s="16">
        <f>IF(OR($C1557="",$Q1557=0),"",IF($G1557="國","國定假日",IF($B1557="日","例假",IF($B1557="六","休息日","平日"))))</f>
        <v/>
      </c>
      <c r="S1557" s="19" t="n"/>
    </row>
    <row r="1558">
      <c r="A1558" s="82">
        <f>IF(OR(助理班表!$A55="",6&gt;DAY(EOMONTH(DATE(設定!$C$2,設定!$D$2,1),0))),"",DATE(設定!$C$2,設定!$D$2,6))</f>
        <v/>
      </c>
      <c r="B1558" s="16">
        <f>IF($A1558="","",INDEX(設定!$O$6:$O$12,WEEKDAY($A1558,1)))</f>
        <v/>
      </c>
      <c r="C1558" s="16">
        <f>IF($A1558="","",助理班表!$A55)</f>
        <v/>
      </c>
      <c r="D1558" s="16">
        <f>IF($C1558="","",助理班表!$B55)</f>
        <v/>
      </c>
      <c r="E1558" s="16">
        <f>IF($C1558="","",助理班表!$D55)</f>
        <v/>
      </c>
      <c r="F1558" s="16">
        <f>IF($C1558="","",助理班表!$C55)</f>
        <v/>
      </c>
      <c r="G1558" s="16">
        <f>IF($C1558="","",助理班表!J55)</f>
        <v/>
      </c>
      <c r="H1558" s="83">
        <f>IF($G1558="","",IFERROR(IF(INDEX(設定!$D$6:$D$21,MATCH($G1558,設定!$B$6:$B$21,0))=0,"",INDEX(設定!$D$6:$D$21,MATCH($G1558,設定!$B$6:$B$21,0))),""))</f>
        <v/>
      </c>
      <c r="I1558" s="83">
        <f>IF($G1558="","",IFERROR(IF(INDEX(設定!$E$6:$E$21,MATCH($G1558,設定!$B$6:$B$21,0))=0,"",INDEX(設定!$E$6:$E$21,MATCH($G1558,設定!$B$6:$B$21,0))),""))</f>
        <v/>
      </c>
      <c r="J1558" s="83">
        <f>IFERROR(INDEX(打卡匯入!$C$3:$C$2002,MATCH($C1558&amp;"|"&amp;DAY($A1558),打卡匯入!$E$3:$E$2002,0)),"")</f>
        <v/>
      </c>
      <c r="K1558" s="83">
        <f>IFERROR(INDEX(打卡匯入!$D$3:$D$2002,MATCH($C1558&amp;"|"&amp;DAY($A1558),打卡匯入!$E$3:$E$2002,0)),"")</f>
        <v/>
      </c>
      <c r="L1558" s="84">
        <f>IF(OR($J1558="",$K1558=""),"",IFERROR(INDEX(設定!$F$6:$F$21,MATCH($G1558,設定!$B$6:$B$21,0)),0))</f>
        <v/>
      </c>
      <c r="M1558" s="85">
        <f>IF(OR($J1558="",$K1558=""),"",ROUND(($K1558-$J1558)*24-$L1558/60,2))</f>
        <v/>
      </c>
      <c r="N1558" s="16">
        <f>IF($C1558="","",IF(AND(COUNTIF(設定!$B$15:$B$21,$G1558)&gt;0,$J1558&lt;&gt;""),"假日出勤",IF(AND(COUNTIF(設定!$B$6:$B$14,$G1558)&gt;0,$J1558=""),"未打卡",IF($J1558="","",IF($O1558&gt;0,"遲到",IF($P1558&gt;0,"早退","正常"))))))</f>
        <v/>
      </c>
      <c r="O1558" s="84">
        <f>IF(OR($C1558="",$H1558="",$J1558=""),0,IF(ROUND(($J1558-$H1558)*1440,0)&gt;設定!$C$46,ROUND(($J1558-$H1558)*1440,0),0))</f>
        <v/>
      </c>
      <c r="P1558" s="84">
        <f>IF(OR($C1558="",$I1558="",$K1558=""),0,IF(ROUND(($I1558-$K1558)*1440,0)&gt;設定!$C$46,ROUND(($I1558-$K1558)*1440,0),0))</f>
        <v/>
      </c>
      <c r="Q1558" s="85">
        <f>IF($M1558="",0,IF(($M1558-IFERROR(INDEX(設定!$G$6:$G$21,MATCH($G1558,設定!$B$6:$B$21,0)),0))*60&gt;=設定!$C$44,ROUND(FLOOR(($M1558-IFERROR(INDEX(設定!$G$6:$G$21,MATCH($G1558,設定!$B$6:$B$21,0)),0))*60,設定!$C$45)/60,2),0))</f>
        <v/>
      </c>
      <c r="R1558" s="16">
        <f>IF(OR($C1558="",$Q1558=0),"",IF($G1558="國","國定假日",IF($B1558="日","例假",IF($B1558="六","休息日","平日"))))</f>
        <v/>
      </c>
      <c r="S1558" s="19" t="n"/>
    </row>
    <row r="1559">
      <c r="A1559" s="82">
        <f>IF(OR(助理班表!$A55="",7&gt;DAY(EOMONTH(DATE(設定!$C$2,設定!$D$2,1),0))),"",DATE(設定!$C$2,設定!$D$2,7))</f>
        <v/>
      </c>
      <c r="B1559" s="16">
        <f>IF($A1559="","",INDEX(設定!$O$6:$O$12,WEEKDAY($A1559,1)))</f>
        <v/>
      </c>
      <c r="C1559" s="16">
        <f>IF($A1559="","",助理班表!$A55)</f>
        <v/>
      </c>
      <c r="D1559" s="16">
        <f>IF($C1559="","",助理班表!$B55)</f>
        <v/>
      </c>
      <c r="E1559" s="16">
        <f>IF($C1559="","",助理班表!$D55)</f>
        <v/>
      </c>
      <c r="F1559" s="16">
        <f>IF($C1559="","",助理班表!$C55)</f>
        <v/>
      </c>
      <c r="G1559" s="16">
        <f>IF($C1559="","",助理班表!K55)</f>
        <v/>
      </c>
      <c r="H1559" s="83">
        <f>IF($G1559="","",IFERROR(IF(INDEX(設定!$D$6:$D$21,MATCH($G1559,設定!$B$6:$B$21,0))=0,"",INDEX(設定!$D$6:$D$21,MATCH($G1559,設定!$B$6:$B$21,0))),""))</f>
        <v/>
      </c>
      <c r="I1559" s="83">
        <f>IF($G1559="","",IFERROR(IF(INDEX(設定!$E$6:$E$21,MATCH($G1559,設定!$B$6:$B$21,0))=0,"",INDEX(設定!$E$6:$E$21,MATCH($G1559,設定!$B$6:$B$21,0))),""))</f>
        <v/>
      </c>
      <c r="J1559" s="83">
        <f>IFERROR(INDEX(打卡匯入!$C$3:$C$2002,MATCH($C1559&amp;"|"&amp;DAY($A1559),打卡匯入!$E$3:$E$2002,0)),"")</f>
        <v/>
      </c>
      <c r="K1559" s="83">
        <f>IFERROR(INDEX(打卡匯入!$D$3:$D$2002,MATCH($C1559&amp;"|"&amp;DAY($A1559),打卡匯入!$E$3:$E$2002,0)),"")</f>
        <v/>
      </c>
      <c r="L1559" s="84">
        <f>IF(OR($J1559="",$K1559=""),"",IFERROR(INDEX(設定!$F$6:$F$21,MATCH($G1559,設定!$B$6:$B$21,0)),0))</f>
        <v/>
      </c>
      <c r="M1559" s="85">
        <f>IF(OR($J1559="",$K1559=""),"",ROUND(($K1559-$J1559)*24-$L1559/60,2))</f>
        <v/>
      </c>
      <c r="N1559" s="16">
        <f>IF($C1559="","",IF(AND(COUNTIF(設定!$B$15:$B$21,$G1559)&gt;0,$J1559&lt;&gt;""),"假日出勤",IF(AND(COUNTIF(設定!$B$6:$B$14,$G1559)&gt;0,$J1559=""),"未打卡",IF($J1559="","",IF($O1559&gt;0,"遲到",IF($P1559&gt;0,"早退","正常"))))))</f>
        <v/>
      </c>
      <c r="O1559" s="84">
        <f>IF(OR($C1559="",$H1559="",$J1559=""),0,IF(ROUND(($J1559-$H1559)*1440,0)&gt;設定!$C$46,ROUND(($J1559-$H1559)*1440,0),0))</f>
        <v/>
      </c>
      <c r="P1559" s="84">
        <f>IF(OR($C1559="",$I1559="",$K1559=""),0,IF(ROUND(($I1559-$K1559)*1440,0)&gt;設定!$C$46,ROUND(($I1559-$K1559)*1440,0),0))</f>
        <v/>
      </c>
      <c r="Q1559" s="85">
        <f>IF($M1559="",0,IF(($M1559-IFERROR(INDEX(設定!$G$6:$G$21,MATCH($G1559,設定!$B$6:$B$21,0)),0))*60&gt;=設定!$C$44,ROUND(FLOOR(($M1559-IFERROR(INDEX(設定!$G$6:$G$21,MATCH($G1559,設定!$B$6:$B$21,0)),0))*60,設定!$C$45)/60,2),0))</f>
        <v/>
      </c>
      <c r="R1559" s="16">
        <f>IF(OR($C1559="",$Q1559=0),"",IF($G1559="國","國定假日",IF($B1559="日","例假",IF($B1559="六","休息日","平日"))))</f>
        <v/>
      </c>
      <c r="S1559" s="19" t="n"/>
    </row>
    <row r="1560">
      <c r="A1560" s="82">
        <f>IF(OR(助理班表!$A55="",8&gt;DAY(EOMONTH(DATE(設定!$C$2,設定!$D$2,1),0))),"",DATE(設定!$C$2,設定!$D$2,8))</f>
        <v/>
      </c>
      <c r="B1560" s="16">
        <f>IF($A1560="","",INDEX(設定!$O$6:$O$12,WEEKDAY($A1560,1)))</f>
        <v/>
      </c>
      <c r="C1560" s="16">
        <f>IF($A1560="","",助理班表!$A55)</f>
        <v/>
      </c>
      <c r="D1560" s="16">
        <f>IF($C1560="","",助理班表!$B55)</f>
        <v/>
      </c>
      <c r="E1560" s="16">
        <f>IF($C1560="","",助理班表!$D55)</f>
        <v/>
      </c>
      <c r="F1560" s="16">
        <f>IF($C1560="","",助理班表!$C55)</f>
        <v/>
      </c>
      <c r="G1560" s="16">
        <f>IF($C1560="","",助理班表!L55)</f>
        <v/>
      </c>
      <c r="H1560" s="83">
        <f>IF($G1560="","",IFERROR(IF(INDEX(設定!$D$6:$D$21,MATCH($G1560,設定!$B$6:$B$21,0))=0,"",INDEX(設定!$D$6:$D$21,MATCH($G1560,設定!$B$6:$B$21,0))),""))</f>
        <v/>
      </c>
      <c r="I1560" s="83">
        <f>IF($G1560="","",IFERROR(IF(INDEX(設定!$E$6:$E$21,MATCH($G1560,設定!$B$6:$B$21,0))=0,"",INDEX(設定!$E$6:$E$21,MATCH($G1560,設定!$B$6:$B$21,0))),""))</f>
        <v/>
      </c>
      <c r="J1560" s="83">
        <f>IFERROR(INDEX(打卡匯入!$C$3:$C$2002,MATCH($C1560&amp;"|"&amp;DAY($A1560),打卡匯入!$E$3:$E$2002,0)),"")</f>
        <v/>
      </c>
      <c r="K1560" s="83">
        <f>IFERROR(INDEX(打卡匯入!$D$3:$D$2002,MATCH($C1560&amp;"|"&amp;DAY($A1560),打卡匯入!$E$3:$E$2002,0)),"")</f>
        <v/>
      </c>
      <c r="L1560" s="84">
        <f>IF(OR($J1560="",$K1560=""),"",IFERROR(INDEX(設定!$F$6:$F$21,MATCH($G1560,設定!$B$6:$B$21,0)),0))</f>
        <v/>
      </c>
      <c r="M1560" s="85">
        <f>IF(OR($J1560="",$K1560=""),"",ROUND(($K1560-$J1560)*24-$L1560/60,2))</f>
        <v/>
      </c>
      <c r="N1560" s="16">
        <f>IF($C1560="","",IF(AND(COUNTIF(設定!$B$15:$B$21,$G1560)&gt;0,$J1560&lt;&gt;""),"假日出勤",IF(AND(COUNTIF(設定!$B$6:$B$14,$G1560)&gt;0,$J1560=""),"未打卡",IF($J1560="","",IF($O1560&gt;0,"遲到",IF($P1560&gt;0,"早退","正常"))))))</f>
        <v/>
      </c>
      <c r="O1560" s="84">
        <f>IF(OR($C1560="",$H1560="",$J1560=""),0,IF(ROUND(($J1560-$H1560)*1440,0)&gt;設定!$C$46,ROUND(($J1560-$H1560)*1440,0),0))</f>
        <v/>
      </c>
      <c r="P1560" s="84">
        <f>IF(OR($C1560="",$I1560="",$K1560=""),0,IF(ROUND(($I1560-$K1560)*1440,0)&gt;設定!$C$46,ROUND(($I1560-$K1560)*1440,0),0))</f>
        <v/>
      </c>
      <c r="Q1560" s="85">
        <f>IF($M1560="",0,IF(($M1560-IFERROR(INDEX(設定!$G$6:$G$21,MATCH($G1560,設定!$B$6:$B$21,0)),0))*60&gt;=設定!$C$44,ROUND(FLOOR(($M1560-IFERROR(INDEX(設定!$G$6:$G$21,MATCH($G1560,設定!$B$6:$B$21,0)),0))*60,設定!$C$45)/60,2),0))</f>
        <v/>
      </c>
      <c r="R1560" s="16">
        <f>IF(OR($C1560="",$Q1560=0),"",IF($G1560="國","國定假日",IF($B1560="日","例假",IF($B1560="六","休息日","平日"))))</f>
        <v/>
      </c>
      <c r="S1560" s="19" t="n"/>
    </row>
    <row r="1561">
      <c r="A1561" s="82">
        <f>IF(OR(助理班表!$A55="",9&gt;DAY(EOMONTH(DATE(設定!$C$2,設定!$D$2,1),0))),"",DATE(設定!$C$2,設定!$D$2,9))</f>
        <v/>
      </c>
      <c r="B1561" s="16">
        <f>IF($A1561="","",INDEX(設定!$O$6:$O$12,WEEKDAY($A1561,1)))</f>
        <v/>
      </c>
      <c r="C1561" s="16">
        <f>IF($A1561="","",助理班表!$A55)</f>
        <v/>
      </c>
      <c r="D1561" s="16">
        <f>IF($C1561="","",助理班表!$B55)</f>
        <v/>
      </c>
      <c r="E1561" s="16">
        <f>IF($C1561="","",助理班表!$D55)</f>
        <v/>
      </c>
      <c r="F1561" s="16">
        <f>IF($C1561="","",助理班表!$C55)</f>
        <v/>
      </c>
      <c r="G1561" s="16">
        <f>IF($C1561="","",助理班表!M55)</f>
        <v/>
      </c>
      <c r="H1561" s="83">
        <f>IF($G1561="","",IFERROR(IF(INDEX(設定!$D$6:$D$21,MATCH($G1561,設定!$B$6:$B$21,0))=0,"",INDEX(設定!$D$6:$D$21,MATCH($G1561,設定!$B$6:$B$21,0))),""))</f>
        <v/>
      </c>
      <c r="I1561" s="83">
        <f>IF($G1561="","",IFERROR(IF(INDEX(設定!$E$6:$E$21,MATCH($G1561,設定!$B$6:$B$21,0))=0,"",INDEX(設定!$E$6:$E$21,MATCH($G1561,設定!$B$6:$B$21,0))),""))</f>
        <v/>
      </c>
      <c r="J1561" s="83">
        <f>IFERROR(INDEX(打卡匯入!$C$3:$C$2002,MATCH($C1561&amp;"|"&amp;DAY($A1561),打卡匯入!$E$3:$E$2002,0)),"")</f>
        <v/>
      </c>
      <c r="K1561" s="83">
        <f>IFERROR(INDEX(打卡匯入!$D$3:$D$2002,MATCH($C1561&amp;"|"&amp;DAY($A1561),打卡匯入!$E$3:$E$2002,0)),"")</f>
        <v/>
      </c>
      <c r="L1561" s="84">
        <f>IF(OR($J1561="",$K1561=""),"",IFERROR(INDEX(設定!$F$6:$F$21,MATCH($G1561,設定!$B$6:$B$21,0)),0))</f>
        <v/>
      </c>
      <c r="M1561" s="85">
        <f>IF(OR($J1561="",$K1561=""),"",ROUND(($K1561-$J1561)*24-$L1561/60,2))</f>
        <v/>
      </c>
      <c r="N1561" s="16">
        <f>IF($C1561="","",IF(AND(COUNTIF(設定!$B$15:$B$21,$G1561)&gt;0,$J1561&lt;&gt;""),"假日出勤",IF(AND(COUNTIF(設定!$B$6:$B$14,$G1561)&gt;0,$J1561=""),"未打卡",IF($J1561="","",IF($O1561&gt;0,"遲到",IF($P1561&gt;0,"早退","正常"))))))</f>
        <v/>
      </c>
      <c r="O1561" s="84">
        <f>IF(OR($C1561="",$H1561="",$J1561=""),0,IF(ROUND(($J1561-$H1561)*1440,0)&gt;設定!$C$46,ROUND(($J1561-$H1561)*1440,0),0))</f>
        <v/>
      </c>
      <c r="P1561" s="84">
        <f>IF(OR($C1561="",$I1561="",$K1561=""),0,IF(ROUND(($I1561-$K1561)*1440,0)&gt;設定!$C$46,ROUND(($I1561-$K1561)*1440,0),0))</f>
        <v/>
      </c>
      <c r="Q1561" s="85">
        <f>IF($M1561="",0,IF(($M1561-IFERROR(INDEX(設定!$G$6:$G$21,MATCH($G1561,設定!$B$6:$B$21,0)),0))*60&gt;=設定!$C$44,ROUND(FLOOR(($M1561-IFERROR(INDEX(設定!$G$6:$G$21,MATCH($G1561,設定!$B$6:$B$21,0)),0))*60,設定!$C$45)/60,2),0))</f>
        <v/>
      </c>
      <c r="R1561" s="16">
        <f>IF(OR($C1561="",$Q1561=0),"",IF($G1561="國","國定假日",IF($B1561="日","例假",IF($B1561="六","休息日","平日"))))</f>
        <v/>
      </c>
      <c r="S1561" s="19" t="n"/>
    </row>
    <row r="1562">
      <c r="A1562" s="82">
        <f>IF(OR(助理班表!$A55="",10&gt;DAY(EOMONTH(DATE(設定!$C$2,設定!$D$2,1),0))),"",DATE(設定!$C$2,設定!$D$2,10))</f>
        <v/>
      </c>
      <c r="B1562" s="16">
        <f>IF($A1562="","",INDEX(設定!$O$6:$O$12,WEEKDAY($A1562,1)))</f>
        <v/>
      </c>
      <c r="C1562" s="16">
        <f>IF($A1562="","",助理班表!$A55)</f>
        <v/>
      </c>
      <c r="D1562" s="16">
        <f>IF($C1562="","",助理班表!$B55)</f>
        <v/>
      </c>
      <c r="E1562" s="16">
        <f>IF($C1562="","",助理班表!$D55)</f>
        <v/>
      </c>
      <c r="F1562" s="16">
        <f>IF($C1562="","",助理班表!$C55)</f>
        <v/>
      </c>
      <c r="G1562" s="16">
        <f>IF($C1562="","",助理班表!N55)</f>
        <v/>
      </c>
      <c r="H1562" s="83">
        <f>IF($G1562="","",IFERROR(IF(INDEX(設定!$D$6:$D$21,MATCH($G1562,設定!$B$6:$B$21,0))=0,"",INDEX(設定!$D$6:$D$21,MATCH($G1562,設定!$B$6:$B$21,0))),""))</f>
        <v/>
      </c>
      <c r="I1562" s="83">
        <f>IF($G1562="","",IFERROR(IF(INDEX(設定!$E$6:$E$21,MATCH($G1562,設定!$B$6:$B$21,0))=0,"",INDEX(設定!$E$6:$E$21,MATCH($G1562,設定!$B$6:$B$21,0))),""))</f>
        <v/>
      </c>
      <c r="J1562" s="83">
        <f>IFERROR(INDEX(打卡匯入!$C$3:$C$2002,MATCH($C1562&amp;"|"&amp;DAY($A1562),打卡匯入!$E$3:$E$2002,0)),"")</f>
        <v/>
      </c>
      <c r="K1562" s="83">
        <f>IFERROR(INDEX(打卡匯入!$D$3:$D$2002,MATCH($C1562&amp;"|"&amp;DAY($A1562),打卡匯入!$E$3:$E$2002,0)),"")</f>
        <v/>
      </c>
      <c r="L1562" s="84">
        <f>IF(OR($J1562="",$K1562=""),"",IFERROR(INDEX(設定!$F$6:$F$21,MATCH($G1562,設定!$B$6:$B$21,0)),0))</f>
        <v/>
      </c>
      <c r="M1562" s="85">
        <f>IF(OR($J1562="",$K1562=""),"",ROUND(($K1562-$J1562)*24-$L1562/60,2))</f>
        <v/>
      </c>
      <c r="N1562" s="16">
        <f>IF($C1562="","",IF(AND(COUNTIF(設定!$B$15:$B$21,$G1562)&gt;0,$J1562&lt;&gt;""),"假日出勤",IF(AND(COUNTIF(設定!$B$6:$B$14,$G1562)&gt;0,$J1562=""),"未打卡",IF($J1562="","",IF($O1562&gt;0,"遲到",IF($P1562&gt;0,"早退","正常"))))))</f>
        <v/>
      </c>
      <c r="O1562" s="84">
        <f>IF(OR($C1562="",$H1562="",$J1562=""),0,IF(ROUND(($J1562-$H1562)*1440,0)&gt;設定!$C$46,ROUND(($J1562-$H1562)*1440,0),0))</f>
        <v/>
      </c>
      <c r="P1562" s="84">
        <f>IF(OR($C1562="",$I1562="",$K1562=""),0,IF(ROUND(($I1562-$K1562)*1440,0)&gt;設定!$C$46,ROUND(($I1562-$K1562)*1440,0),0))</f>
        <v/>
      </c>
      <c r="Q1562" s="85">
        <f>IF($M1562="",0,IF(($M1562-IFERROR(INDEX(設定!$G$6:$G$21,MATCH($G1562,設定!$B$6:$B$21,0)),0))*60&gt;=設定!$C$44,ROUND(FLOOR(($M1562-IFERROR(INDEX(設定!$G$6:$G$21,MATCH($G1562,設定!$B$6:$B$21,0)),0))*60,設定!$C$45)/60,2),0))</f>
        <v/>
      </c>
      <c r="R1562" s="16">
        <f>IF(OR($C1562="",$Q1562=0),"",IF($G1562="國","國定假日",IF($B1562="日","例假",IF($B1562="六","休息日","平日"))))</f>
        <v/>
      </c>
      <c r="S1562" s="19" t="n"/>
    </row>
    <row r="1563">
      <c r="A1563" s="82">
        <f>IF(OR(助理班表!$A55="",11&gt;DAY(EOMONTH(DATE(設定!$C$2,設定!$D$2,1),0))),"",DATE(設定!$C$2,設定!$D$2,11))</f>
        <v/>
      </c>
      <c r="B1563" s="16">
        <f>IF($A1563="","",INDEX(設定!$O$6:$O$12,WEEKDAY($A1563,1)))</f>
        <v/>
      </c>
      <c r="C1563" s="16">
        <f>IF($A1563="","",助理班表!$A55)</f>
        <v/>
      </c>
      <c r="D1563" s="16">
        <f>IF($C1563="","",助理班表!$B55)</f>
        <v/>
      </c>
      <c r="E1563" s="16">
        <f>IF($C1563="","",助理班表!$D55)</f>
        <v/>
      </c>
      <c r="F1563" s="16">
        <f>IF($C1563="","",助理班表!$C55)</f>
        <v/>
      </c>
      <c r="G1563" s="16">
        <f>IF($C1563="","",助理班表!O55)</f>
        <v/>
      </c>
      <c r="H1563" s="83">
        <f>IF($G1563="","",IFERROR(IF(INDEX(設定!$D$6:$D$21,MATCH($G1563,設定!$B$6:$B$21,0))=0,"",INDEX(設定!$D$6:$D$21,MATCH($G1563,設定!$B$6:$B$21,0))),""))</f>
        <v/>
      </c>
      <c r="I1563" s="83">
        <f>IF($G1563="","",IFERROR(IF(INDEX(設定!$E$6:$E$21,MATCH($G1563,設定!$B$6:$B$21,0))=0,"",INDEX(設定!$E$6:$E$21,MATCH($G1563,設定!$B$6:$B$21,0))),""))</f>
        <v/>
      </c>
      <c r="J1563" s="83">
        <f>IFERROR(INDEX(打卡匯入!$C$3:$C$2002,MATCH($C1563&amp;"|"&amp;DAY($A1563),打卡匯入!$E$3:$E$2002,0)),"")</f>
        <v/>
      </c>
      <c r="K1563" s="83">
        <f>IFERROR(INDEX(打卡匯入!$D$3:$D$2002,MATCH($C1563&amp;"|"&amp;DAY($A1563),打卡匯入!$E$3:$E$2002,0)),"")</f>
        <v/>
      </c>
      <c r="L1563" s="84">
        <f>IF(OR($J1563="",$K1563=""),"",IFERROR(INDEX(設定!$F$6:$F$21,MATCH($G1563,設定!$B$6:$B$21,0)),0))</f>
        <v/>
      </c>
      <c r="M1563" s="85">
        <f>IF(OR($J1563="",$K1563=""),"",ROUND(($K1563-$J1563)*24-$L1563/60,2))</f>
        <v/>
      </c>
      <c r="N1563" s="16">
        <f>IF($C1563="","",IF(AND(COUNTIF(設定!$B$15:$B$21,$G1563)&gt;0,$J1563&lt;&gt;""),"假日出勤",IF(AND(COUNTIF(設定!$B$6:$B$14,$G1563)&gt;0,$J1563=""),"未打卡",IF($J1563="","",IF($O1563&gt;0,"遲到",IF($P1563&gt;0,"早退","正常"))))))</f>
        <v/>
      </c>
      <c r="O1563" s="84">
        <f>IF(OR($C1563="",$H1563="",$J1563=""),0,IF(ROUND(($J1563-$H1563)*1440,0)&gt;設定!$C$46,ROUND(($J1563-$H1563)*1440,0),0))</f>
        <v/>
      </c>
      <c r="P1563" s="84">
        <f>IF(OR($C1563="",$I1563="",$K1563=""),0,IF(ROUND(($I1563-$K1563)*1440,0)&gt;設定!$C$46,ROUND(($I1563-$K1563)*1440,0),0))</f>
        <v/>
      </c>
      <c r="Q1563" s="85">
        <f>IF($M1563="",0,IF(($M1563-IFERROR(INDEX(設定!$G$6:$G$21,MATCH($G1563,設定!$B$6:$B$21,0)),0))*60&gt;=設定!$C$44,ROUND(FLOOR(($M1563-IFERROR(INDEX(設定!$G$6:$G$21,MATCH($G1563,設定!$B$6:$B$21,0)),0))*60,設定!$C$45)/60,2),0))</f>
        <v/>
      </c>
      <c r="R1563" s="16">
        <f>IF(OR($C1563="",$Q1563=0),"",IF($G1563="國","國定假日",IF($B1563="日","例假",IF($B1563="六","休息日","平日"))))</f>
        <v/>
      </c>
      <c r="S1563" s="19" t="n"/>
    </row>
    <row r="1564">
      <c r="A1564" s="82">
        <f>IF(OR(助理班表!$A55="",12&gt;DAY(EOMONTH(DATE(設定!$C$2,設定!$D$2,1),0))),"",DATE(設定!$C$2,設定!$D$2,12))</f>
        <v/>
      </c>
      <c r="B1564" s="16">
        <f>IF($A1564="","",INDEX(設定!$O$6:$O$12,WEEKDAY($A1564,1)))</f>
        <v/>
      </c>
      <c r="C1564" s="16">
        <f>IF($A1564="","",助理班表!$A55)</f>
        <v/>
      </c>
      <c r="D1564" s="16">
        <f>IF($C1564="","",助理班表!$B55)</f>
        <v/>
      </c>
      <c r="E1564" s="16">
        <f>IF($C1564="","",助理班表!$D55)</f>
        <v/>
      </c>
      <c r="F1564" s="16">
        <f>IF($C1564="","",助理班表!$C55)</f>
        <v/>
      </c>
      <c r="G1564" s="16">
        <f>IF($C1564="","",助理班表!P55)</f>
        <v/>
      </c>
      <c r="H1564" s="83">
        <f>IF($G1564="","",IFERROR(IF(INDEX(設定!$D$6:$D$21,MATCH($G1564,設定!$B$6:$B$21,0))=0,"",INDEX(設定!$D$6:$D$21,MATCH($G1564,設定!$B$6:$B$21,0))),""))</f>
        <v/>
      </c>
      <c r="I1564" s="83">
        <f>IF($G1564="","",IFERROR(IF(INDEX(設定!$E$6:$E$21,MATCH($G1564,設定!$B$6:$B$21,0))=0,"",INDEX(設定!$E$6:$E$21,MATCH($G1564,設定!$B$6:$B$21,0))),""))</f>
        <v/>
      </c>
      <c r="J1564" s="83">
        <f>IFERROR(INDEX(打卡匯入!$C$3:$C$2002,MATCH($C1564&amp;"|"&amp;DAY($A1564),打卡匯入!$E$3:$E$2002,0)),"")</f>
        <v/>
      </c>
      <c r="K1564" s="83">
        <f>IFERROR(INDEX(打卡匯入!$D$3:$D$2002,MATCH($C1564&amp;"|"&amp;DAY($A1564),打卡匯入!$E$3:$E$2002,0)),"")</f>
        <v/>
      </c>
      <c r="L1564" s="84">
        <f>IF(OR($J1564="",$K1564=""),"",IFERROR(INDEX(設定!$F$6:$F$21,MATCH($G1564,設定!$B$6:$B$21,0)),0))</f>
        <v/>
      </c>
      <c r="M1564" s="85">
        <f>IF(OR($J1564="",$K1564=""),"",ROUND(($K1564-$J1564)*24-$L1564/60,2))</f>
        <v/>
      </c>
      <c r="N1564" s="16">
        <f>IF($C1564="","",IF(AND(COUNTIF(設定!$B$15:$B$21,$G1564)&gt;0,$J1564&lt;&gt;""),"假日出勤",IF(AND(COUNTIF(設定!$B$6:$B$14,$G1564)&gt;0,$J1564=""),"未打卡",IF($J1564="","",IF($O1564&gt;0,"遲到",IF($P1564&gt;0,"早退","正常"))))))</f>
        <v/>
      </c>
      <c r="O1564" s="84">
        <f>IF(OR($C1564="",$H1564="",$J1564=""),0,IF(ROUND(($J1564-$H1564)*1440,0)&gt;設定!$C$46,ROUND(($J1564-$H1564)*1440,0),0))</f>
        <v/>
      </c>
      <c r="P1564" s="84">
        <f>IF(OR($C1564="",$I1564="",$K1564=""),0,IF(ROUND(($I1564-$K1564)*1440,0)&gt;設定!$C$46,ROUND(($I1564-$K1564)*1440,0),0))</f>
        <v/>
      </c>
      <c r="Q1564" s="85">
        <f>IF($M1564="",0,IF(($M1564-IFERROR(INDEX(設定!$G$6:$G$21,MATCH($G1564,設定!$B$6:$B$21,0)),0))*60&gt;=設定!$C$44,ROUND(FLOOR(($M1564-IFERROR(INDEX(設定!$G$6:$G$21,MATCH($G1564,設定!$B$6:$B$21,0)),0))*60,設定!$C$45)/60,2),0))</f>
        <v/>
      </c>
      <c r="R1564" s="16">
        <f>IF(OR($C1564="",$Q1564=0),"",IF($G1564="國","國定假日",IF($B1564="日","例假",IF($B1564="六","休息日","平日"))))</f>
        <v/>
      </c>
      <c r="S1564" s="19" t="n"/>
    </row>
    <row r="1565">
      <c r="A1565" s="82">
        <f>IF(OR(助理班表!$A55="",13&gt;DAY(EOMONTH(DATE(設定!$C$2,設定!$D$2,1),0))),"",DATE(設定!$C$2,設定!$D$2,13))</f>
        <v/>
      </c>
      <c r="B1565" s="16">
        <f>IF($A1565="","",INDEX(設定!$O$6:$O$12,WEEKDAY($A1565,1)))</f>
        <v/>
      </c>
      <c r="C1565" s="16">
        <f>IF($A1565="","",助理班表!$A55)</f>
        <v/>
      </c>
      <c r="D1565" s="16">
        <f>IF($C1565="","",助理班表!$B55)</f>
        <v/>
      </c>
      <c r="E1565" s="16">
        <f>IF($C1565="","",助理班表!$D55)</f>
        <v/>
      </c>
      <c r="F1565" s="16">
        <f>IF($C1565="","",助理班表!$C55)</f>
        <v/>
      </c>
      <c r="G1565" s="16">
        <f>IF($C1565="","",助理班表!Q55)</f>
        <v/>
      </c>
      <c r="H1565" s="83">
        <f>IF($G1565="","",IFERROR(IF(INDEX(設定!$D$6:$D$21,MATCH($G1565,設定!$B$6:$B$21,0))=0,"",INDEX(設定!$D$6:$D$21,MATCH($G1565,設定!$B$6:$B$21,0))),""))</f>
        <v/>
      </c>
      <c r="I1565" s="83">
        <f>IF($G1565="","",IFERROR(IF(INDEX(設定!$E$6:$E$21,MATCH($G1565,設定!$B$6:$B$21,0))=0,"",INDEX(設定!$E$6:$E$21,MATCH($G1565,設定!$B$6:$B$21,0))),""))</f>
        <v/>
      </c>
      <c r="J1565" s="83">
        <f>IFERROR(INDEX(打卡匯入!$C$3:$C$2002,MATCH($C1565&amp;"|"&amp;DAY($A1565),打卡匯入!$E$3:$E$2002,0)),"")</f>
        <v/>
      </c>
      <c r="K1565" s="83">
        <f>IFERROR(INDEX(打卡匯入!$D$3:$D$2002,MATCH($C1565&amp;"|"&amp;DAY($A1565),打卡匯入!$E$3:$E$2002,0)),"")</f>
        <v/>
      </c>
      <c r="L1565" s="84">
        <f>IF(OR($J1565="",$K1565=""),"",IFERROR(INDEX(設定!$F$6:$F$21,MATCH($G1565,設定!$B$6:$B$21,0)),0))</f>
        <v/>
      </c>
      <c r="M1565" s="85">
        <f>IF(OR($J1565="",$K1565=""),"",ROUND(($K1565-$J1565)*24-$L1565/60,2))</f>
        <v/>
      </c>
      <c r="N1565" s="16">
        <f>IF($C1565="","",IF(AND(COUNTIF(設定!$B$15:$B$21,$G1565)&gt;0,$J1565&lt;&gt;""),"假日出勤",IF(AND(COUNTIF(設定!$B$6:$B$14,$G1565)&gt;0,$J1565=""),"未打卡",IF($J1565="","",IF($O1565&gt;0,"遲到",IF($P1565&gt;0,"早退","正常"))))))</f>
        <v/>
      </c>
      <c r="O1565" s="84">
        <f>IF(OR($C1565="",$H1565="",$J1565=""),0,IF(ROUND(($J1565-$H1565)*1440,0)&gt;設定!$C$46,ROUND(($J1565-$H1565)*1440,0),0))</f>
        <v/>
      </c>
      <c r="P1565" s="84">
        <f>IF(OR($C1565="",$I1565="",$K1565=""),0,IF(ROUND(($I1565-$K1565)*1440,0)&gt;設定!$C$46,ROUND(($I1565-$K1565)*1440,0),0))</f>
        <v/>
      </c>
      <c r="Q1565" s="85">
        <f>IF($M1565="",0,IF(($M1565-IFERROR(INDEX(設定!$G$6:$G$21,MATCH($G1565,設定!$B$6:$B$21,0)),0))*60&gt;=設定!$C$44,ROUND(FLOOR(($M1565-IFERROR(INDEX(設定!$G$6:$G$21,MATCH($G1565,設定!$B$6:$B$21,0)),0))*60,設定!$C$45)/60,2),0))</f>
        <v/>
      </c>
      <c r="R1565" s="16">
        <f>IF(OR($C1565="",$Q1565=0),"",IF($G1565="國","國定假日",IF($B1565="日","例假",IF($B1565="六","休息日","平日"))))</f>
        <v/>
      </c>
      <c r="S1565" s="19" t="n"/>
    </row>
    <row r="1566">
      <c r="A1566" s="82">
        <f>IF(OR(助理班表!$A55="",14&gt;DAY(EOMONTH(DATE(設定!$C$2,設定!$D$2,1),0))),"",DATE(設定!$C$2,設定!$D$2,14))</f>
        <v/>
      </c>
      <c r="B1566" s="16">
        <f>IF($A1566="","",INDEX(設定!$O$6:$O$12,WEEKDAY($A1566,1)))</f>
        <v/>
      </c>
      <c r="C1566" s="16">
        <f>IF($A1566="","",助理班表!$A55)</f>
        <v/>
      </c>
      <c r="D1566" s="16">
        <f>IF($C1566="","",助理班表!$B55)</f>
        <v/>
      </c>
      <c r="E1566" s="16">
        <f>IF($C1566="","",助理班表!$D55)</f>
        <v/>
      </c>
      <c r="F1566" s="16">
        <f>IF($C1566="","",助理班表!$C55)</f>
        <v/>
      </c>
      <c r="G1566" s="16">
        <f>IF($C1566="","",助理班表!R55)</f>
        <v/>
      </c>
      <c r="H1566" s="83">
        <f>IF($G1566="","",IFERROR(IF(INDEX(設定!$D$6:$D$21,MATCH($G1566,設定!$B$6:$B$21,0))=0,"",INDEX(設定!$D$6:$D$21,MATCH($G1566,設定!$B$6:$B$21,0))),""))</f>
        <v/>
      </c>
      <c r="I1566" s="83">
        <f>IF($G1566="","",IFERROR(IF(INDEX(設定!$E$6:$E$21,MATCH($G1566,設定!$B$6:$B$21,0))=0,"",INDEX(設定!$E$6:$E$21,MATCH($G1566,設定!$B$6:$B$21,0))),""))</f>
        <v/>
      </c>
      <c r="J1566" s="83">
        <f>IFERROR(INDEX(打卡匯入!$C$3:$C$2002,MATCH($C1566&amp;"|"&amp;DAY($A1566),打卡匯入!$E$3:$E$2002,0)),"")</f>
        <v/>
      </c>
      <c r="K1566" s="83">
        <f>IFERROR(INDEX(打卡匯入!$D$3:$D$2002,MATCH($C1566&amp;"|"&amp;DAY($A1566),打卡匯入!$E$3:$E$2002,0)),"")</f>
        <v/>
      </c>
      <c r="L1566" s="84">
        <f>IF(OR($J1566="",$K1566=""),"",IFERROR(INDEX(設定!$F$6:$F$21,MATCH($G1566,設定!$B$6:$B$21,0)),0))</f>
        <v/>
      </c>
      <c r="M1566" s="85">
        <f>IF(OR($J1566="",$K1566=""),"",ROUND(($K1566-$J1566)*24-$L1566/60,2))</f>
        <v/>
      </c>
      <c r="N1566" s="16">
        <f>IF($C1566="","",IF(AND(COUNTIF(設定!$B$15:$B$21,$G1566)&gt;0,$J1566&lt;&gt;""),"假日出勤",IF(AND(COUNTIF(設定!$B$6:$B$14,$G1566)&gt;0,$J1566=""),"未打卡",IF($J1566="","",IF($O1566&gt;0,"遲到",IF($P1566&gt;0,"早退","正常"))))))</f>
        <v/>
      </c>
      <c r="O1566" s="84">
        <f>IF(OR($C1566="",$H1566="",$J1566=""),0,IF(ROUND(($J1566-$H1566)*1440,0)&gt;設定!$C$46,ROUND(($J1566-$H1566)*1440,0),0))</f>
        <v/>
      </c>
      <c r="P1566" s="84">
        <f>IF(OR($C1566="",$I1566="",$K1566=""),0,IF(ROUND(($I1566-$K1566)*1440,0)&gt;設定!$C$46,ROUND(($I1566-$K1566)*1440,0),0))</f>
        <v/>
      </c>
      <c r="Q1566" s="85">
        <f>IF($M1566="",0,IF(($M1566-IFERROR(INDEX(設定!$G$6:$G$21,MATCH($G1566,設定!$B$6:$B$21,0)),0))*60&gt;=設定!$C$44,ROUND(FLOOR(($M1566-IFERROR(INDEX(設定!$G$6:$G$21,MATCH($G1566,設定!$B$6:$B$21,0)),0))*60,設定!$C$45)/60,2),0))</f>
        <v/>
      </c>
      <c r="R1566" s="16">
        <f>IF(OR($C1566="",$Q1566=0),"",IF($G1566="國","國定假日",IF($B1566="日","例假",IF($B1566="六","休息日","平日"))))</f>
        <v/>
      </c>
      <c r="S1566" s="19" t="n"/>
    </row>
    <row r="1567">
      <c r="A1567" s="82">
        <f>IF(OR(助理班表!$A55="",15&gt;DAY(EOMONTH(DATE(設定!$C$2,設定!$D$2,1),0))),"",DATE(設定!$C$2,設定!$D$2,15))</f>
        <v/>
      </c>
      <c r="B1567" s="16">
        <f>IF($A1567="","",INDEX(設定!$O$6:$O$12,WEEKDAY($A1567,1)))</f>
        <v/>
      </c>
      <c r="C1567" s="16">
        <f>IF($A1567="","",助理班表!$A55)</f>
        <v/>
      </c>
      <c r="D1567" s="16">
        <f>IF($C1567="","",助理班表!$B55)</f>
        <v/>
      </c>
      <c r="E1567" s="16">
        <f>IF($C1567="","",助理班表!$D55)</f>
        <v/>
      </c>
      <c r="F1567" s="16">
        <f>IF($C1567="","",助理班表!$C55)</f>
        <v/>
      </c>
      <c r="G1567" s="16">
        <f>IF($C1567="","",助理班表!S55)</f>
        <v/>
      </c>
      <c r="H1567" s="83">
        <f>IF($G1567="","",IFERROR(IF(INDEX(設定!$D$6:$D$21,MATCH($G1567,設定!$B$6:$B$21,0))=0,"",INDEX(設定!$D$6:$D$21,MATCH($G1567,設定!$B$6:$B$21,0))),""))</f>
        <v/>
      </c>
      <c r="I1567" s="83">
        <f>IF($G1567="","",IFERROR(IF(INDEX(設定!$E$6:$E$21,MATCH($G1567,設定!$B$6:$B$21,0))=0,"",INDEX(設定!$E$6:$E$21,MATCH($G1567,設定!$B$6:$B$21,0))),""))</f>
        <v/>
      </c>
      <c r="J1567" s="83">
        <f>IFERROR(INDEX(打卡匯入!$C$3:$C$2002,MATCH($C1567&amp;"|"&amp;DAY($A1567),打卡匯入!$E$3:$E$2002,0)),"")</f>
        <v/>
      </c>
      <c r="K1567" s="83">
        <f>IFERROR(INDEX(打卡匯入!$D$3:$D$2002,MATCH($C1567&amp;"|"&amp;DAY($A1567),打卡匯入!$E$3:$E$2002,0)),"")</f>
        <v/>
      </c>
      <c r="L1567" s="84">
        <f>IF(OR($J1567="",$K1567=""),"",IFERROR(INDEX(設定!$F$6:$F$21,MATCH($G1567,設定!$B$6:$B$21,0)),0))</f>
        <v/>
      </c>
      <c r="M1567" s="85">
        <f>IF(OR($J1567="",$K1567=""),"",ROUND(($K1567-$J1567)*24-$L1567/60,2))</f>
        <v/>
      </c>
      <c r="N1567" s="16">
        <f>IF($C1567="","",IF(AND(COUNTIF(設定!$B$15:$B$21,$G1567)&gt;0,$J1567&lt;&gt;""),"假日出勤",IF(AND(COUNTIF(設定!$B$6:$B$14,$G1567)&gt;0,$J1567=""),"未打卡",IF($J1567="","",IF($O1567&gt;0,"遲到",IF($P1567&gt;0,"早退","正常"))))))</f>
        <v/>
      </c>
      <c r="O1567" s="84">
        <f>IF(OR($C1567="",$H1567="",$J1567=""),0,IF(ROUND(($J1567-$H1567)*1440,0)&gt;設定!$C$46,ROUND(($J1567-$H1567)*1440,0),0))</f>
        <v/>
      </c>
      <c r="P1567" s="84">
        <f>IF(OR($C1567="",$I1567="",$K1567=""),0,IF(ROUND(($I1567-$K1567)*1440,0)&gt;設定!$C$46,ROUND(($I1567-$K1567)*1440,0),0))</f>
        <v/>
      </c>
      <c r="Q1567" s="85">
        <f>IF($M1567="",0,IF(($M1567-IFERROR(INDEX(設定!$G$6:$G$21,MATCH($G1567,設定!$B$6:$B$21,0)),0))*60&gt;=設定!$C$44,ROUND(FLOOR(($M1567-IFERROR(INDEX(設定!$G$6:$G$21,MATCH($G1567,設定!$B$6:$B$21,0)),0))*60,設定!$C$45)/60,2),0))</f>
        <v/>
      </c>
      <c r="R1567" s="16">
        <f>IF(OR($C1567="",$Q1567=0),"",IF($G1567="國","國定假日",IF($B1567="日","例假",IF($B1567="六","休息日","平日"))))</f>
        <v/>
      </c>
      <c r="S1567" s="19" t="n"/>
    </row>
    <row r="1568">
      <c r="A1568" s="82">
        <f>IF(OR(助理班表!$A55="",16&gt;DAY(EOMONTH(DATE(設定!$C$2,設定!$D$2,1),0))),"",DATE(設定!$C$2,設定!$D$2,16))</f>
        <v/>
      </c>
      <c r="B1568" s="16">
        <f>IF($A1568="","",INDEX(設定!$O$6:$O$12,WEEKDAY($A1568,1)))</f>
        <v/>
      </c>
      <c r="C1568" s="16">
        <f>IF($A1568="","",助理班表!$A55)</f>
        <v/>
      </c>
      <c r="D1568" s="16">
        <f>IF($C1568="","",助理班表!$B55)</f>
        <v/>
      </c>
      <c r="E1568" s="16">
        <f>IF($C1568="","",助理班表!$D55)</f>
        <v/>
      </c>
      <c r="F1568" s="16">
        <f>IF($C1568="","",助理班表!$C55)</f>
        <v/>
      </c>
      <c r="G1568" s="16">
        <f>IF($C1568="","",助理班表!T55)</f>
        <v/>
      </c>
      <c r="H1568" s="83">
        <f>IF($G1568="","",IFERROR(IF(INDEX(設定!$D$6:$D$21,MATCH($G1568,設定!$B$6:$B$21,0))=0,"",INDEX(設定!$D$6:$D$21,MATCH($G1568,設定!$B$6:$B$21,0))),""))</f>
        <v/>
      </c>
      <c r="I1568" s="83">
        <f>IF($G1568="","",IFERROR(IF(INDEX(設定!$E$6:$E$21,MATCH($G1568,設定!$B$6:$B$21,0))=0,"",INDEX(設定!$E$6:$E$21,MATCH($G1568,設定!$B$6:$B$21,0))),""))</f>
        <v/>
      </c>
      <c r="J1568" s="83">
        <f>IFERROR(INDEX(打卡匯入!$C$3:$C$2002,MATCH($C1568&amp;"|"&amp;DAY($A1568),打卡匯入!$E$3:$E$2002,0)),"")</f>
        <v/>
      </c>
      <c r="K1568" s="83">
        <f>IFERROR(INDEX(打卡匯入!$D$3:$D$2002,MATCH($C1568&amp;"|"&amp;DAY($A1568),打卡匯入!$E$3:$E$2002,0)),"")</f>
        <v/>
      </c>
      <c r="L1568" s="84">
        <f>IF(OR($J1568="",$K1568=""),"",IFERROR(INDEX(設定!$F$6:$F$21,MATCH($G1568,設定!$B$6:$B$21,0)),0))</f>
        <v/>
      </c>
      <c r="M1568" s="85">
        <f>IF(OR($J1568="",$K1568=""),"",ROUND(($K1568-$J1568)*24-$L1568/60,2))</f>
        <v/>
      </c>
      <c r="N1568" s="16">
        <f>IF($C1568="","",IF(AND(COUNTIF(設定!$B$15:$B$21,$G1568)&gt;0,$J1568&lt;&gt;""),"假日出勤",IF(AND(COUNTIF(設定!$B$6:$B$14,$G1568)&gt;0,$J1568=""),"未打卡",IF($J1568="","",IF($O1568&gt;0,"遲到",IF($P1568&gt;0,"早退","正常"))))))</f>
        <v/>
      </c>
      <c r="O1568" s="84">
        <f>IF(OR($C1568="",$H1568="",$J1568=""),0,IF(ROUND(($J1568-$H1568)*1440,0)&gt;設定!$C$46,ROUND(($J1568-$H1568)*1440,0),0))</f>
        <v/>
      </c>
      <c r="P1568" s="84">
        <f>IF(OR($C1568="",$I1568="",$K1568=""),0,IF(ROUND(($I1568-$K1568)*1440,0)&gt;設定!$C$46,ROUND(($I1568-$K1568)*1440,0),0))</f>
        <v/>
      </c>
      <c r="Q1568" s="85">
        <f>IF($M1568="",0,IF(($M1568-IFERROR(INDEX(設定!$G$6:$G$21,MATCH($G1568,設定!$B$6:$B$21,0)),0))*60&gt;=設定!$C$44,ROUND(FLOOR(($M1568-IFERROR(INDEX(設定!$G$6:$G$21,MATCH($G1568,設定!$B$6:$B$21,0)),0))*60,設定!$C$45)/60,2),0))</f>
        <v/>
      </c>
      <c r="R1568" s="16">
        <f>IF(OR($C1568="",$Q1568=0),"",IF($G1568="國","國定假日",IF($B1568="日","例假",IF($B1568="六","休息日","平日"))))</f>
        <v/>
      </c>
      <c r="S1568" s="19" t="n"/>
    </row>
    <row r="1569">
      <c r="A1569" s="82">
        <f>IF(OR(助理班表!$A55="",17&gt;DAY(EOMONTH(DATE(設定!$C$2,設定!$D$2,1),0))),"",DATE(設定!$C$2,設定!$D$2,17))</f>
        <v/>
      </c>
      <c r="B1569" s="16">
        <f>IF($A1569="","",INDEX(設定!$O$6:$O$12,WEEKDAY($A1569,1)))</f>
        <v/>
      </c>
      <c r="C1569" s="16">
        <f>IF($A1569="","",助理班表!$A55)</f>
        <v/>
      </c>
      <c r="D1569" s="16">
        <f>IF($C1569="","",助理班表!$B55)</f>
        <v/>
      </c>
      <c r="E1569" s="16">
        <f>IF($C1569="","",助理班表!$D55)</f>
        <v/>
      </c>
      <c r="F1569" s="16">
        <f>IF($C1569="","",助理班表!$C55)</f>
        <v/>
      </c>
      <c r="G1569" s="16">
        <f>IF($C1569="","",助理班表!U55)</f>
        <v/>
      </c>
      <c r="H1569" s="83">
        <f>IF($G1569="","",IFERROR(IF(INDEX(設定!$D$6:$D$21,MATCH($G1569,設定!$B$6:$B$21,0))=0,"",INDEX(設定!$D$6:$D$21,MATCH($G1569,設定!$B$6:$B$21,0))),""))</f>
        <v/>
      </c>
      <c r="I1569" s="83">
        <f>IF($G1569="","",IFERROR(IF(INDEX(設定!$E$6:$E$21,MATCH($G1569,設定!$B$6:$B$21,0))=0,"",INDEX(設定!$E$6:$E$21,MATCH($G1569,設定!$B$6:$B$21,0))),""))</f>
        <v/>
      </c>
      <c r="J1569" s="83">
        <f>IFERROR(INDEX(打卡匯入!$C$3:$C$2002,MATCH($C1569&amp;"|"&amp;DAY($A1569),打卡匯入!$E$3:$E$2002,0)),"")</f>
        <v/>
      </c>
      <c r="K1569" s="83">
        <f>IFERROR(INDEX(打卡匯入!$D$3:$D$2002,MATCH($C1569&amp;"|"&amp;DAY($A1569),打卡匯入!$E$3:$E$2002,0)),"")</f>
        <v/>
      </c>
      <c r="L1569" s="84">
        <f>IF(OR($J1569="",$K1569=""),"",IFERROR(INDEX(設定!$F$6:$F$21,MATCH($G1569,設定!$B$6:$B$21,0)),0))</f>
        <v/>
      </c>
      <c r="M1569" s="85">
        <f>IF(OR($J1569="",$K1569=""),"",ROUND(($K1569-$J1569)*24-$L1569/60,2))</f>
        <v/>
      </c>
      <c r="N1569" s="16">
        <f>IF($C1569="","",IF(AND(COUNTIF(設定!$B$15:$B$21,$G1569)&gt;0,$J1569&lt;&gt;""),"假日出勤",IF(AND(COUNTIF(設定!$B$6:$B$14,$G1569)&gt;0,$J1569=""),"未打卡",IF($J1569="","",IF($O1569&gt;0,"遲到",IF($P1569&gt;0,"早退","正常"))))))</f>
        <v/>
      </c>
      <c r="O1569" s="84">
        <f>IF(OR($C1569="",$H1569="",$J1569=""),0,IF(ROUND(($J1569-$H1569)*1440,0)&gt;設定!$C$46,ROUND(($J1569-$H1569)*1440,0),0))</f>
        <v/>
      </c>
      <c r="P1569" s="84">
        <f>IF(OR($C1569="",$I1569="",$K1569=""),0,IF(ROUND(($I1569-$K1569)*1440,0)&gt;設定!$C$46,ROUND(($I1569-$K1569)*1440,0),0))</f>
        <v/>
      </c>
      <c r="Q1569" s="85">
        <f>IF($M1569="",0,IF(($M1569-IFERROR(INDEX(設定!$G$6:$G$21,MATCH($G1569,設定!$B$6:$B$21,0)),0))*60&gt;=設定!$C$44,ROUND(FLOOR(($M1569-IFERROR(INDEX(設定!$G$6:$G$21,MATCH($G1569,設定!$B$6:$B$21,0)),0))*60,設定!$C$45)/60,2),0))</f>
        <v/>
      </c>
      <c r="R1569" s="16">
        <f>IF(OR($C1569="",$Q1569=0),"",IF($G1569="國","國定假日",IF($B1569="日","例假",IF($B1569="六","休息日","平日"))))</f>
        <v/>
      </c>
      <c r="S1569" s="19" t="n"/>
    </row>
    <row r="1570">
      <c r="A1570" s="82">
        <f>IF(OR(助理班表!$A55="",18&gt;DAY(EOMONTH(DATE(設定!$C$2,設定!$D$2,1),0))),"",DATE(設定!$C$2,設定!$D$2,18))</f>
        <v/>
      </c>
      <c r="B1570" s="16">
        <f>IF($A1570="","",INDEX(設定!$O$6:$O$12,WEEKDAY($A1570,1)))</f>
        <v/>
      </c>
      <c r="C1570" s="16">
        <f>IF($A1570="","",助理班表!$A55)</f>
        <v/>
      </c>
      <c r="D1570" s="16">
        <f>IF($C1570="","",助理班表!$B55)</f>
        <v/>
      </c>
      <c r="E1570" s="16">
        <f>IF($C1570="","",助理班表!$D55)</f>
        <v/>
      </c>
      <c r="F1570" s="16">
        <f>IF($C1570="","",助理班表!$C55)</f>
        <v/>
      </c>
      <c r="G1570" s="16">
        <f>IF($C1570="","",助理班表!V55)</f>
        <v/>
      </c>
      <c r="H1570" s="83">
        <f>IF($G1570="","",IFERROR(IF(INDEX(設定!$D$6:$D$21,MATCH($G1570,設定!$B$6:$B$21,0))=0,"",INDEX(設定!$D$6:$D$21,MATCH($G1570,設定!$B$6:$B$21,0))),""))</f>
        <v/>
      </c>
      <c r="I1570" s="83">
        <f>IF($G1570="","",IFERROR(IF(INDEX(設定!$E$6:$E$21,MATCH($G1570,設定!$B$6:$B$21,0))=0,"",INDEX(設定!$E$6:$E$21,MATCH($G1570,設定!$B$6:$B$21,0))),""))</f>
        <v/>
      </c>
      <c r="J1570" s="83">
        <f>IFERROR(INDEX(打卡匯入!$C$3:$C$2002,MATCH($C1570&amp;"|"&amp;DAY($A1570),打卡匯入!$E$3:$E$2002,0)),"")</f>
        <v/>
      </c>
      <c r="K1570" s="83">
        <f>IFERROR(INDEX(打卡匯入!$D$3:$D$2002,MATCH($C1570&amp;"|"&amp;DAY($A1570),打卡匯入!$E$3:$E$2002,0)),"")</f>
        <v/>
      </c>
      <c r="L1570" s="84">
        <f>IF(OR($J1570="",$K1570=""),"",IFERROR(INDEX(設定!$F$6:$F$21,MATCH($G1570,設定!$B$6:$B$21,0)),0))</f>
        <v/>
      </c>
      <c r="M1570" s="85">
        <f>IF(OR($J1570="",$K1570=""),"",ROUND(($K1570-$J1570)*24-$L1570/60,2))</f>
        <v/>
      </c>
      <c r="N1570" s="16">
        <f>IF($C1570="","",IF(AND(COUNTIF(設定!$B$15:$B$21,$G1570)&gt;0,$J1570&lt;&gt;""),"假日出勤",IF(AND(COUNTIF(設定!$B$6:$B$14,$G1570)&gt;0,$J1570=""),"未打卡",IF($J1570="","",IF($O1570&gt;0,"遲到",IF($P1570&gt;0,"早退","正常"))))))</f>
        <v/>
      </c>
      <c r="O1570" s="84">
        <f>IF(OR($C1570="",$H1570="",$J1570=""),0,IF(ROUND(($J1570-$H1570)*1440,0)&gt;設定!$C$46,ROUND(($J1570-$H1570)*1440,0),0))</f>
        <v/>
      </c>
      <c r="P1570" s="84">
        <f>IF(OR($C1570="",$I1570="",$K1570=""),0,IF(ROUND(($I1570-$K1570)*1440,0)&gt;設定!$C$46,ROUND(($I1570-$K1570)*1440,0),0))</f>
        <v/>
      </c>
      <c r="Q1570" s="85">
        <f>IF($M1570="",0,IF(($M1570-IFERROR(INDEX(設定!$G$6:$G$21,MATCH($G1570,設定!$B$6:$B$21,0)),0))*60&gt;=設定!$C$44,ROUND(FLOOR(($M1570-IFERROR(INDEX(設定!$G$6:$G$21,MATCH($G1570,設定!$B$6:$B$21,0)),0))*60,設定!$C$45)/60,2),0))</f>
        <v/>
      </c>
      <c r="R1570" s="16">
        <f>IF(OR($C1570="",$Q1570=0),"",IF($G1570="國","國定假日",IF($B1570="日","例假",IF($B1570="六","休息日","平日"))))</f>
        <v/>
      </c>
      <c r="S1570" s="19" t="n"/>
    </row>
    <row r="1571">
      <c r="A1571" s="82">
        <f>IF(OR(助理班表!$A55="",19&gt;DAY(EOMONTH(DATE(設定!$C$2,設定!$D$2,1),0))),"",DATE(設定!$C$2,設定!$D$2,19))</f>
        <v/>
      </c>
      <c r="B1571" s="16">
        <f>IF($A1571="","",INDEX(設定!$O$6:$O$12,WEEKDAY($A1571,1)))</f>
        <v/>
      </c>
      <c r="C1571" s="16">
        <f>IF($A1571="","",助理班表!$A55)</f>
        <v/>
      </c>
      <c r="D1571" s="16">
        <f>IF($C1571="","",助理班表!$B55)</f>
        <v/>
      </c>
      <c r="E1571" s="16">
        <f>IF($C1571="","",助理班表!$D55)</f>
        <v/>
      </c>
      <c r="F1571" s="16">
        <f>IF($C1571="","",助理班表!$C55)</f>
        <v/>
      </c>
      <c r="G1571" s="16">
        <f>IF($C1571="","",助理班表!W55)</f>
        <v/>
      </c>
      <c r="H1571" s="83">
        <f>IF($G1571="","",IFERROR(IF(INDEX(設定!$D$6:$D$21,MATCH($G1571,設定!$B$6:$B$21,0))=0,"",INDEX(設定!$D$6:$D$21,MATCH($G1571,設定!$B$6:$B$21,0))),""))</f>
        <v/>
      </c>
      <c r="I1571" s="83">
        <f>IF($G1571="","",IFERROR(IF(INDEX(設定!$E$6:$E$21,MATCH($G1571,設定!$B$6:$B$21,0))=0,"",INDEX(設定!$E$6:$E$21,MATCH($G1571,設定!$B$6:$B$21,0))),""))</f>
        <v/>
      </c>
      <c r="J1571" s="83">
        <f>IFERROR(INDEX(打卡匯入!$C$3:$C$2002,MATCH($C1571&amp;"|"&amp;DAY($A1571),打卡匯入!$E$3:$E$2002,0)),"")</f>
        <v/>
      </c>
      <c r="K1571" s="83">
        <f>IFERROR(INDEX(打卡匯入!$D$3:$D$2002,MATCH($C1571&amp;"|"&amp;DAY($A1571),打卡匯入!$E$3:$E$2002,0)),"")</f>
        <v/>
      </c>
      <c r="L1571" s="84">
        <f>IF(OR($J1571="",$K1571=""),"",IFERROR(INDEX(設定!$F$6:$F$21,MATCH($G1571,設定!$B$6:$B$21,0)),0))</f>
        <v/>
      </c>
      <c r="M1571" s="85">
        <f>IF(OR($J1571="",$K1571=""),"",ROUND(($K1571-$J1571)*24-$L1571/60,2))</f>
        <v/>
      </c>
      <c r="N1571" s="16">
        <f>IF($C1571="","",IF(AND(COUNTIF(設定!$B$15:$B$21,$G1571)&gt;0,$J1571&lt;&gt;""),"假日出勤",IF(AND(COUNTIF(設定!$B$6:$B$14,$G1571)&gt;0,$J1571=""),"未打卡",IF($J1571="","",IF($O1571&gt;0,"遲到",IF($P1571&gt;0,"早退","正常"))))))</f>
        <v/>
      </c>
      <c r="O1571" s="84">
        <f>IF(OR($C1571="",$H1571="",$J1571=""),0,IF(ROUND(($J1571-$H1571)*1440,0)&gt;設定!$C$46,ROUND(($J1571-$H1571)*1440,0),0))</f>
        <v/>
      </c>
      <c r="P1571" s="84">
        <f>IF(OR($C1571="",$I1571="",$K1571=""),0,IF(ROUND(($I1571-$K1571)*1440,0)&gt;設定!$C$46,ROUND(($I1571-$K1571)*1440,0),0))</f>
        <v/>
      </c>
      <c r="Q1571" s="85">
        <f>IF($M1571="",0,IF(($M1571-IFERROR(INDEX(設定!$G$6:$G$21,MATCH($G1571,設定!$B$6:$B$21,0)),0))*60&gt;=設定!$C$44,ROUND(FLOOR(($M1571-IFERROR(INDEX(設定!$G$6:$G$21,MATCH($G1571,設定!$B$6:$B$21,0)),0))*60,設定!$C$45)/60,2),0))</f>
        <v/>
      </c>
      <c r="R1571" s="16">
        <f>IF(OR($C1571="",$Q1571=0),"",IF($G1571="國","國定假日",IF($B1571="日","例假",IF($B1571="六","休息日","平日"))))</f>
        <v/>
      </c>
      <c r="S1571" s="19" t="n"/>
    </row>
    <row r="1572">
      <c r="A1572" s="82">
        <f>IF(OR(助理班表!$A55="",20&gt;DAY(EOMONTH(DATE(設定!$C$2,設定!$D$2,1),0))),"",DATE(設定!$C$2,設定!$D$2,20))</f>
        <v/>
      </c>
      <c r="B1572" s="16">
        <f>IF($A1572="","",INDEX(設定!$O$6:$O$12,WEEKDAY($A1572,1)))</f>
        <v/>
      </c>
      <c r="C1572" s="16">
        <f>IF($A1572="","",助理班表!$A55)</f>
        <v/>
      </c>
      <c r="D1572" s="16">
        <f>IF($C1572="","",助理班表!$B55)</f>
        <v/>
      </c>
      <c r="E1572" s="16">
        <f>IF($C1572="","",助理班表!$D55)</f>
        <v/>
      </c>
      <c r="F1572" s="16">
        <f>IF($C1572="","",助理班表!$C55)</f>
        <v/>
      </c>
      <c r="G1572" s="16">
        <f>IF($C1572="","",助理班表!X55)</f>
        <v/>
      </c>
      <c r="H1572" s="83">
        <f>IF($G1572="","",IFERROR(IF(INDEX(設定!$D$6:$D$21,MATCH($G1572,設定!$B$6:$B$21,0))=0,"",INDEX(設定!$D$6:$D$21,MATCH($G1572,設定!$B$6:$B$21,0))),""))</f>
        <v/>
      </c>
      <c r="I1572" s="83">
        <f>IF($G1572="","",IFERROR(IF(INDEX(設定!$E$6:$E$21,MATCH($G1572,設定!$B$6:$B$21,0))=0,"",INDEX(設定!$E$6:$E$21,MATCH($G1572,設定!$B$6:$B$21,0))),""))</f>
        <v/>
      </c>
      <c r="J1572" s="83">
        <f>IFERROR(INDEX(打卡匯入!$C$3:$C$2002,MATCH($C1572&amp;"|"&amp;DAY($A1572),打卡匯入!$E$3:$E$2002,0)),"")</f>
        <v/>
      </c>
      <c r="K1572" s="83">
        <f>IFERROR(INDEX(打卡匯入!$D$3:$D$2002,MATCH($C1572&amp;"|"&amp;DAY($A1572),打卡匯入!$E$3:$E$2002,0)),"")</f>
        <v/>
      </c>
      <c r="L1572" s="84">
        <f>IF(OR($J1572="",$K1572=""),"",IFERROR(INDEX(設定!$F$6:$F$21,MATCH($G1572,設定!$B$6:$B$21,0)),0))</f>
        <v/>
      </c>
      <c r="M1572" s="85">
        <f>IF(OR($J1572="",$K1572=""),"",ROUND(($K1572-$J1572)*24-$L1572/60,2))</f>
        <v/>
      </c>
      <c r="N1572" s="16">
        <f>IF($C1572="","",IF(AND(COUNTIF(設定!$B$15:$B$21,$G1572)&gt;0,$J1572&lt;&gt;""),"假日出勤",IF(AND(COUNTIF(設定!$B$6:$B$14,$G1572)&gt;0,$J1572=""),"未打卡",IF($J1572="","",IF($O1572&gt;0,"遲到",IF($P1572&gt;0,"早退","正常"))))))</f>
        <v/>
      </c>
      <c r="O1572" s="84">
        <f>IF(OR($C1572="",$H1572="",$J1572=""),0,IF(ROUND(($J1572-$H1572)*1440,0)&gt;設定!$C$46,ROUND(($J1572-$H1572)*1440,0),0))</f>
        <v/>
      </c>
      <c r="P1572" s="84">
        <f>IF(OR($C1572="",$I1572="",$K1572=""),0,IF(ROUND(($I1572-$K1572)*1440,0)&gt;設定!$C$46,ROUND(($I1572-$K1572)*1440,0),0))</f>
        <v/>
      </c>
      <c r="Q1572" s="85">
        <f>IF($M1572="",0,IF(($M1572-IFERROR(INDEX(設定!$G$6:$G$21,MATCH($G1572,設定!$B$6:$B$21,0)),0))*60&gt;=設定!$C$44,ROUND(FLOOR(($M1572-IFERROR(INDEX(設定!$G$6:$G$21,MATCH($G1572,設定!$B$6:$B$21,0)),0))*60,設定!$C$45)/60,2),0))</f>
        <v/>
      </c>
      <c r="R1572" s="16">
        <f>IF(OR($C1572="",$Q1572=0),"",IF($G1572="國","國定假日",IF($B1572="日","例假",IF($B1572="六","休息日","平日"))))</f>
        <v/>
      </c>
      <c r="S1572" s="19" t="n"/>
    </row>
    <row r="1573">
      <c r="A1573" s="82">
        <f>IF(OR(助理班表!$A55="",21&gt;DAY(EOMONTH(DATE(設定!$C$2,設定!$D$2,1),0))),"",DATE(設定!$C$2,設定!$D$2,21))</f>
        <v/>
      </c>
      <c r="B1573" s="16">
        <f>IF($A1573="","",INDEX(設定!$O$6:$O$12,WEEKDAY($A1573,1)))</f>
        <v/>
      </c>
      <c r="C1573" s="16">
        <f>IF($A1573="","",助理班表!$A55)</f>
        <v/>
      </c>
      <c r="D1573" s="16">
        <f>IF($C1573="","",助理班表!$B55)</f>
        <v/>
      </c>
      <c r="E1573" s="16">
        <f>IF($C1573="","",助理班表!$D55)</f>
        <v/>
      </c>
      <c r="F1573" s="16">
        <f>IF($C1573="","",助理班表!$C55)</f>
        <v/>
      </c>
      <c r="G1573" s="16">
        <f>IF($C1573="","",助理班表!Y55)</f>
        <v/>
      </c>
      <c r="H1573" s="83">
        <f>IF($G1573="","",IFERROR(IF(INDEX(設定!$D$6:$D$21,MATCH($G1573,設定!$B$6:$B$21,0))=0,"",INDEX(設定!$D$6:$D$21,MATCH($G1573,設定!$B$6:$B$21,0))),""))</f>
        <v/>
      </c>
      <c r="I1573" s="83">
        <f>IF($G1573="","",IFERROR(IF(INDEX(設定!$E$6:$E$21,MATCH($G1573,設定!$B$6:$B$21,0))=0,"",INDEX(設定!$E$6:$E$21,MATCH($G1573,設定!$B$6:$B$21,0))),""))</f>
        <v/>
      </c>
      <c r="J1573" s="83">
        <f>IFERROR(INDEX(打卡匯入!$C$3:$C$2002,MATCH($C1573&amp;"|"&amp;DAY($A1573),打卡匯入!$E$3:$E$2002,0)),"")</f>
        <v/>
      </c>
      <c r="K1573" s="83">
        <f>IFERROR(INDEX(打卡匯入!$D$3:$D$2002,MATCH($C1573&amp;"|"&amp;DAY($A1573),打卡匯入!$E$3:$E$2002,0)),"")</f>
        <v/>
      </c>
      <c r="L1573" s="84">
        <f>IF(OR($J1573="",$K1573=""),"",IFERROR(INDEX(設定!$F$6:$F$21,MATCH($G1573,設定!$B$6:$B$21,0)),0))</f>
        <v/>
      </c>
      <c r="M1573" s="85">
        <f>IF(OR($J1573="",$K1573=""),"",ROUND(($K1573-$J1573)*24-$L1573/60,2))</f>
        <v/>
      </c>
      <c r="N1573" s="16">
        <f>IF($C1573="","",IF(AND(COUNTIF(設定!$B$15:$B$21,$G1573)&gt;0,$J1573&lt;&gt;""),"假日出勤",IF(AND(COUNTIF(設定!$B$6:$B$14,$G1573)&gt;0,$J1573=""),"未打卡",IF($J1573="","",IF($O1573&gt;0,"遲到",IF($P1573&gt;0,"早退","正常"))))))</f>
        <v/>
      </c>
      <c r="O1573" s="84">
        <f>IF(OR($C1573="",$H1573="",$J1573=""),0,IF(ROUND(($J1573-$H1573)*1440,0)&gt;設定!$C$46,ROUND(($J1573-$H1573)*1440,0),0))</f>
        <v/>
      </c>
      <c r="P1573" s="84">
        <f>IF(OR($C1573="",$I1573="",$K1573=""),0,IF(ROUND(($I1573-$K1573)*1440,0)&gt;設定!$C$46,ROUND(($I1573-$K1573)*1440,0),0))</f>
        <v/>
      </c>
      <c r="Q1573" s="85">
        <f>IF($M1573="",0,IF(($M1573-IFERROR(INDEX(設定!$G$6:$G$21,MATCH($G1573,設定!$B$6:$B$21,0)),0))*60&gt;=設定!$C$44,ROUND(FLOOR(($M1573-IFERROR(INDEX(設定!$G$6:$G$21,MATCH($G1573,設定!$B$6:$B$21,0)),0))*60,設定!$C$45)/60,2),0))</f>
        <v/>
      </c>
      <c r="R1573" s="16">
        <f>IF(OR($C1573="",$Q1573=0),"",IF($G1573="國","國定假日",IF($B1573="日","例假",IF($B1573="六","休息日","平日"))))</f>
        <v/>
      </c>
      <c r="S1573" s="19" t="n"/>
    </row>
    <row r="1574">
      <c r="A1574" s="82">
        <f>IF(OR(助理班表!$A55="",22&gt;DAY(EOMONTH(DATE(設定!$C$2,設定!$D$2,1),0))),"",DATE(設定!$C$2,設定!$D$2,22))</f>
        <v/>
      </c>
      <c r="B1574" s="16">
        <f>IF($A1574="","",INDEX(設定!$O$6:$O$12,WEEKDAY($A1574,1)))</f>
        <v/>
      </c>
      <c r="C1574" s="16">
        <f>IF($A1574="","",助理班表!$A55)</f>
        <v/>
      </c>
      <c r="D1574" s="16">
        <f>IF($C1574="","",助理班表!$B55)</f>
        <v/>
      </c>
      <c r="E1574" s="16">
        <f>IF($C1574="","",助理班表!$D55)</f>
        <v/>
      </c>
      <c r="F1574" s="16">
        <f>IF($C1574="","",助理班表!$C55)</f>
        <v/>
      </c>
      <c r="G1574" s="16">
        <f>IF($C1574="","",助理班表!Z55)</f>
        <v/>
      </c>
      <c r="H1574" s="83">
        <f>IF($G1574="","",IFERROR(IF(INDEX(設定!$D$6:$D$21,MATCH($G1574,設定!$B$6:$B$21,0))=0,"",INDEX(設定!$D$6:$D$21,MATCH($G1574,設定!$B$6:$B$21,0))),""))</f>
        <v/>
      </c>
      <c r="I1574" s="83">
        <f>IF($G1574="","",IFERROR(IF(INDEX(設定!$E$6:$E$21,MATCH($G1574,設定!$B$6:$B$21,0))=0,"",INDEX(設定!$E$6:$E$21,MATCH($G1574,設定!$B$6:$B$21,0))),""))</f>
        <v/>
      </c>
      <c r="J1574" s="83">
        <f>IFERROR(INDEX(打卡匯入!$C$3:$C$2002,MATCH($C1574&amp;"|"&amp;DAY($A1574),打卡匯入!$E$3:$E$2002,0)),"")</f>
        <v/>
      </c>
      <c r="K1574" s="83">
        <f>IFERROR(INDEX(打卡匯入!$D$3:$D$2002,MATCH($C1574&amp;"|"&amp;DAY($A1574),打卡匯入!$E$3:$E$2002,0)),"")</f>
        <v/>
      </c>
      <c r="L1574" s="84">
        <f>IF(OR($J1574="",$K1574=""),"",IFERROR(INDEX(設定!$F$6:$F$21,MATCH($G1574,設定!$B$6:$B$21,0)),0))</f>
        <v/>
      </c>
      <c r="M1574" s="85">
        <f>IF(OR($J1574="",$K1574=""),"",ROUND(($K1574-$J1574)*24-$L1574/60,2))</f>
        <v/>
      </c>
      <c r="N1574" s="16">
        <f>IF($C1574="","",IF(AND(COUNTIF(設定!$B$15:$B$21,$G1574)&gt;0,$J1574&lt;&gt;""),"假日出勤",IF(AND(COUNTIF(設定!$B$6:$B$14,$G1574)&gt;0,$J1574=""),"未打卡",IF($J1574="","",IF($O1574&gt;0,"遲到",IF($P1574&gt;0,"早退","正常"))))))</f>
        <v/>
      </c>
      <c r="O1574" s="84">
        <f>IF(OR($C1574="",$H1574="",$J1574=""),0,IF(ROUND(($J1574-$H1574)*1440,0)&gt;設定!$C$46,ROUND(($J1574-$H1574)*1440,0),0))</f>
        <v/>
      </c>
      <c r="P1574" s="84">
        <f>IF(OR($C1574="",$I1574="",$K1574=""),0,IF(ROUND(($I1574-$K1574)*1440,0)&gt;設定!$C$46,ROUND(($I1574-$K1574)*1440,0),0))</f>
        <v/>
      </c>
      <c r="Q1574" s="85">
        <f>IF($M1574="",0,IF(($M1574-IFERROR(INDEX(設定!$G$6:$G$21,MATCH($G1574,設定!$B$6:$B$21,0)),0))*60&gt;=設定!$C$44,ROUND(FLOOR(($M1574-IFERROR(INDEX(設定!$G$6:$G$21,MATCH($G1574,設定!$B$6:$B$21,0)),0))*60,設定!$C$45)/60,2),0))</f>
        <v/>
      </c>
      <c r="R1574" s="16">
        <f>IF(OR($C1574="",$Q1574=0),"",IF($G1574="國","國定假日",IF($B1574="日","例假",IF($B1574="六","休息日","平日"))))</f>
        <v/>
      </c>
      <c r="S1574" s="19" t="n"/>
    </row>
    <row r="1575">
      <c r="A1575" s="82">
        <f>IF(OR(助理班表!$A55="",23&gt;DAY(EOMONTH(DATE(設定!$C$2,設定!$D$2,1),0))),"",DATE(設定!$C$2,設定!$D$2,23))</f>
        <v/>
      </c>
      <c r="B1575" s="16">
        <f>IF($A1575="","",INDEX(設定!$O$6:$O$12,WEEKDAY($A1575,1)))</f>
        <v/>
      </c>
      <c r="C1575" s="16">
        <f>IF($A1575="","",助理班表!$A55)</f>
        <v/>
      </c>
      <c r="D1575" s="16">
        <f>IF($C1575="","",助理班表!$B55)</f>
        <v/>
      </c>
      <c r="E1575" s="16">
        <f>IF($C1575="","",助理班表!$D55)</f>
        <v/>
      </c>
      <c r="F1575" s="16">
        <f>IF($C1575="","",助理班表!$C55)</f>
        <v/>
      </c>
      <c r="G1575" s="16">
        <f>IF($C1575="","",助理班表!AA55)</f>
        <v/>
      </c>
      <c r="H1575" s="83">
        <f>IF($G1575="","",IFERROR(IF(INDEX(設定!$D$6:$D$21,MATCH($G1575,設定!$B$6:$B$21,0))=0,"",INDEX(設定!$D$6:$D$21,MATCH($G1575,設定!$B$6:$B$21,0))),""))</f>
        <v/>
      </c>
      <c r="I1575" s="83">
        <f>IF($G1575="","",IFERROR(IF(INDEX(設定!$E$6:$E$21,MATCH($G1575,設定!$B$6:$B$21,0))=0,"",INDEX(設定!$E$6:$E$21,MATCH($G1575,設定!$B$6:$B$21,0))),""))</f>
        <v/>
      </c>
      <c r="J1575" s="83">
        <f>IFERROR(INDEX(打卡匯入!$C$3:$C$2002,MATCH($C1575&amp;"|"&amp;DAY($A1575),打卡匯入!$E$3:$E$2002,0)),"")</f>
        <v/>
      </c>
      <c r="K1575" s="83">
        <f>IFERROR(INDEX(打卡匯入!$D$3:$D$2002,MATCH($C1575&amp;"|"&amp;DAY($A1575),打卡匯入!$E$3:$E$2002,0)),"")</f>
        <v/>
      </c>
      <c r="L1575" s="84">
        <f>IF(OR($J1575="",$K1575=""),"",IFERROR(INDEX(設定!$F$6:$F$21,MATCH($G1575,設定!$B$6:$B$21,0)),0))</f>
        <v/>
      </c>
      <c r="M1575" s="85">
        <f>IF(OR($J1575="",$K1575=""),"",ROUND(($K1575-$J1575)*24-$L1575/60,2))</f>
        <v/>
      </c>
      <c r="N1575" s="16">
        <f>IF($C1575="","",IF(AND(COUNTIF(設定!$B$15:$B$21,$G1575)&gt;0,$J1575&lt;&gt;""),"假日出勤",IF(AND(COUNTIF(設定!$B$6:$B$14,$G1575)&gt;0,$J1575=""),"未打卡",IF($J1575="","",IF($O1575&gt;0,"遲到",IF($P1575&gt;0,"早退","正常"))))))</f>
        <v/>
      </c>
      <c r="O1575" s="84">
        <f>IF(OR($C1575="",$H1575="",$J1575=""),0,IF(ROUND(($J1575-$H1575)*1440,0)&gt;設定!$C$46,ROUND(($J1575-$H1575)*1440,0),0))</f>
        <v/>
      </c>
      <c r="P1575" s="84">
        <f>IF(OR($C1575="",$I1575="",$K1575=""),0,IF(ROUND(($I1575-$K1575)*1440,0)&gt;設定!$C$46,ROUND(($I1575-$K1575)*1440,0),0))</f>
        <v/>
      </c>
      <c r="Q1575" s="85">
        <f>IF($M1575="",0,IF(($M1575-IFERROR(INDEX(設定!$G$6:$G$21,MATCH($G1575,設定!$B$6:$B$21,0)),0))*60&gt;=設定!$C$44,ROUND(FLOOR(($M1575-IFERROR(INDEX(設定!$G$6:$G$21,MATCH($G1575,設定!$B$6:$B$21,0)),0))*60,設定!$C$45)/60,2),0))</f>
        <v/>
      </c>
      <c r="R1575" s="16">
        <f>IF(OR($C1575="",$Q1575=0),"",IF($G1575="國","國定假日",IF($B1575="日","例假",IF($B1575="六","休息日","平日"))))</f>
        <v/>
      </c>
      <c r="S1575" s="19" t="n"/>
    </row>
    <row r="1576">
      <c r="A1576" s="82">
        <f>IF(OR(助理班表!$A55="",24&gt;DAY(EOMONTH(DATE(設定!$C$2,設定!$D$2,1),0))),"",DATE(設定!$C$2,設定!$D$2,24))</f>
        <v/>
      </c>
      <c r="B1576" s="16">
        <f>IF($A1576="","",INDEX(設定!$O$6:$O$12,WEEKDAY($A1576,1)))</f>
        <v/>
      </c>
      <c r="C1576" s="16">
        <f>IF($A1576="","",助理班表!$A55)</f>
        <v/>
      </c>
      <c r="D1576" s="16">
        <f>IF($C1576="","",助理班表!$B55)</f>
        <v/>
      </c>
      <c r="E1576" s="16">
        <f>IF($C1576="","",助理班表!$D55)</f>
        <v/>
      </c>
      <c r="F1576" s="16">
        <f>IF($C1576="","",助理班表!$C55)</f>
        <v/>
      </c>
      <c r="G1576" s="16">
        <f>IF($C1576="","",助理班表!AB55)</f>
        <v/>
      </c>
      <c r="H1576" s="83">
        <f>IF($G1576="","",IFERROR(IF(INDEX(設定!$D$6:$D$21,MATCH($G1576,設定!$B$6:$B$21,0))=0,"",INDEX(設定!$D$6:$D$21,MATCH($G1576,設定!$B$6:$B$21,0))),""))</f>
        <v/>
      </c>
      <c r="I1576" s="83">
        <f>IF($G1576="","",IFERROR(IF(INDEX(設定!$E$6:$E$21,MATCH($G1576,設定!$B$6:$B$21,0))=0,"",INDEX(設定!$E$6:$E$21,MATCH($G1576,設定!$B$6:$B$21,0))),""))</f>
        <v/>
      </c>
      <c r="J1576" s="83">
        <f>IFERROR(INDEX(打卡匯入!$C$3:$C$2002,MATCH($C1576&amp;"|"&amp;DAY($A1576),打卡匯入!$E$3:$E$2002,0)),"")</f>
        <v/>
      </c>
      <c r="K1576" s="83">
        <f>IFERROR(INDEX(打卡匯入!$D$3:$D$2002,MATCH($C1576&amp;"|"&amp;DAY($A1576),打卡匯入!$E$3:$E$2002,0)),"")</f>
        <v/>
      </c>
      <c r="L1576" s="84">
        <f>IF(OR($J1576="",$K1576=""),"",IFERROR(INDEX(設定!$F$6:$F$21,MATCH($G1576,設定!$B$6:$B$21,0)),0))</f>
        <v/>
      </c>
      <c r="M1576" s="85">
        <f>IF(OR($J1576="",$K1576=""),"",ROUND(($K1576-$J1576)*24-$L1576/60,2))</f>
        <v/>
      </c>
      <c r="N1576" s="16">
        <f>IF($C1576="","",IF(AND(COUNTIF(設定!$B$15:$B$21,$G1576)&gt;0,$J1576&lt;&gt;""),"假日出勤",IF(AND(COUNTIF(設定!$B$6:$B$14,$G1576)&gt;0,$J1576=""),"未打卡",IF($J1576="","",IF($O1576&gt;0,"遲到",IF($P1576&gt;0,"早退","正常"))))))</f>
        <v/>
      </c>
      <c r="O1576" s="84">
        <f>IF(OR($C1576="",$H1576="",$J1576=""),0,IF(ROUND(($J1576-$H1576)*1440,0)&gt;設定!$C$46,ROUND(($J1576-$H1576)*1440,0),0))</f>
        <v/>
      </c>
      <c r="P1576" s="84">
        <f>IF(OR($C1576="",$I1576="",$K1576=""),0,IF(ROUND(($I1576-$K1576)*1440,0)&gt;設定!$C$46,ROUND(($I1576-$K1576)*1440,0),0))</f>
        <v/>
      </c>
      <c r="Q1576" s="85">
        <f>IF($M1576="",0,IF(($M1576-IFERROR(INDEX(設定!$G$6:$G$21,MATCH($G1576,設定!$B$6:$B$21,0)),0))*60&gt;=設定!$C$44,ROUND(FLOOR(($M1576-IFERROR(INDEX(設定!$G$6:$G$21,MATCH($G1576,設定!$B$6:$B$21,0)),0))*60,設定!$C$45)/60,2),0))</f>
        <v/>
      </c>
      <c r="R1576" s="16">
        <f>IF(OR($C1576="",$Q1576=0),"",IF($G1576="國","國定假日",IF($B1576="日","例假",IF($B1576="六","休息日","平日"))))</f>
        <v/>
      </c>
      <c r="S1576" s="19" t="n"/>
    </row>
    <row r="1577">
      <c r="A1577" s="82">
        <f>IF(OR(助理班表!$A55="",25&gt;DAY(EOMONTH(DATE(設定!$C$2,設定!$D$2,1),0))),"",DATE(設定!$C$2,設定!$D$2,25))</f>
        <v/>
      </c>
      <c r="B1577" s="16">
        <f>IF($A1577="","",INDEX(設定!$O$6:$O$12,WEEKDAY($A1577,1)))</f>
        <v/>
      </c>
      <c r="C1577" s="16">
        <f>IF($A1577="","",助理班表!$A55)</f>
        <v/>
      </c>
      <c r="D1577" s="16">
        <f>IF($C1577="","",助理班表!$B55)</f>
        <v/>
      </c>
      <c r="E1577" s="16">
        <f>IF($C1577="","",助理班表!$D55)</f>
        <v/>
      </c>
      <c r="F1577" s="16">
        <f>IF($C1577="","",助理班表!$C55)</f>
        <v/>
      </c>
      <c r="G1577" s="16">
        <f>IF($C1577="","",助理班表!AC55)</f>
        <v/>
      </c>
      <c r="H1577" s="83">
        <f>IF($G1577="","",IFERROR(IF(INDEX(設定!$D$6:$D$21,MATCH($G1577,設定!$B$6:$B$21,0))=0,"",INDEX(設定!$D$6:$D$21,MATCH($G1577,設定!$B$6:$B$21,0))),""))</f>
        <v/>
      </c>
      <c r="I1577" s="83">
        <f>IF($G1577="","",IFERROR(IF(INDEX(設定!$E$6:$E$21,MATCH($G1577,設定!$B$6:$B$21,0))=0,"",INDEX(設定!$E$6:$E$21,MATCH($G1577,設定!$B$6:$B$21,0))),""))</f>
        <v/>
      </c>
      <c r="J1577" s="83">
        <f>IFERROR(INDEX(打卡匯入!$C$3:$C$2002,MATCH($C1577&amp;"|"&amp;DAY($A1577),打卡匯入!$E$3:$E$2002,0)),"")</f>
        <v/>
      </c>
      <c r="K1577" s="83">
        <f>IFERROR(INDEX(打卡匯入!$D$3:$D$2002,MATCH($C1577&amp;"|"&amp;DAY($A1577),打卡匯入!$E$3:$E$2002,0)),"")</f>
        <v/>
      </c>
      <c r="L1577" s="84">
        <f>IF(OR($J1577="",$K1577=""),"",IFERROR(INDEX(設定!$F$6:$F$21,MATCH($G1577,設定!$B$6:$B$21,0)),0))</f>
        <v/>
      </c>
      <c r="M1577" s="85">
        <f>IF(OR($J1577="",$K1577=""),"",ROUND(($K1577-$J1577)*24-$L1577/60,2))</f>
        <v/>
      </c>
      <c r="N1577" s="16">
        <f>IF($C1577="","",IF(AND(COUNTIF(設定!$B$15:$B$21,$G1577)&gt;0,$J1577&lt;&gt;""),"假日出勤",IF(AND(COUNTIF(設定!$B$6:$B$14,$G1577)&gt;0,$J1577=""),"未打卡",IF($J1577="","",IF($O1577&gt;0,"遲到",IF($P1577&gt;0,"早退","正常"))))))</f>
        <v/>
      </c>
      <c r="O1577" s="84">
        <f>IF(OR($C1577="",$H1577="",$J1577=""),0,IF(ROUND(($J1577-$H1577)*1440,0)&gt;設定!$C$46,ROUND(($J1577-$H1577)*1440,0),0))</f>
        <v/>
      </c>
      <c r="P1577" s="84">
        <f>IF(OR($C1577="",$I1577="",$K1577=""),0,IF(ROUND(($I1577-$K1577)*1440,0)&gt;設定!$C$46,ROUND(($I1577-$K1577)*1440,0),0))</f>
        <v/>
      </c>
      <c r="Q1577" s="85">
        <f>IF($M1577="",0,IF(($M1577-IFERROR(INDEX(設定!$G$6:$G$21,MATCH($G1577,設定!$B$6:$B$21,0)),0))*60&gt;=設定!$C$44,ROUND(FLOOR(($M1577-IFERROR(INDEX(設定!$G$6:$G$21,MATCH($G1577,設定!$B$6:$B$21,0)),0))*60,設定!$C$45)/60,2),0))</f>
        <v/>
      </c>
      <c r="R1577" s="16">
        <f>IF(OR($C1577="",$Q1577=0),"",IF($G1577="國","國定假日",IF($B1577="日","例假",IF($B1577="六","休息日","平日"))))</f>
        <v/>
      </c>
      <c r="S1577" s="19" t="n"/>
    </row>
    <row r="1578">
      <c r="A1578" s="82">
        <f>IF(OR(助理班表!$A55="",26&gt;DAY(EOMONTH(DATE(設定!$C$2,設定!$D$2,1),0))),"",DATE(設定!$C$2,設定!$D$2,26))</f>
        <v/>
      </c>
      <c r="B1578" s="16">
        <f>IF($A1578="","",INDEX(設定!$O$6:$O$12,WEEKDAY($A1578,1)))</f>
        <v/>
      </c>
      <c r="C1578" s="16">
        <f>IF($A1578="","",助理班表!$A55)</f>
        <v/>
      </c>
      <c r="D1578" s="16">
        <f>IF($C1578="","",助理班表!$B55)</f>
        <v/>
      </c>
      <c r="E1578" s="16">
        <f>IF($C1578="","",助理班表!$D55)</f>
        <v/>
      </c>
      <c r="F1578" s="16">
        <f>IF($C1578="","",助理班表!$C55)</f>
        <v/>
      </c>
      <c r="G1578" s="16">
        <f>IF($C1578="","",助理班表!AD55)</f>
        <v/>
      </c>
      <c r="H1578" s="83">
        <f>IF($G1578="","",IFERROR(IF(INDEX(設定!$D$6:$D$21,MATCH($G1578,設定!$B$6:$B$21,0))=0,"",INDEX(設定!$D$6:$D$21,MATCH($G1578,設定!$B$6:$B$21,0))),""))</f>
        <v/>
      </c>
      <c r="I1578" s="83">
        <f>IF($G1578="","",IFERROR(IF(INDEX(設定!$E$6:$E$21,MATCH($G1578,設定!$B$6:$B$21,0))=0,"",INDEX(設定!$E$6:$E$21,MATCH($G1578,設定!$B$6:$B$21,0))),""))</f>
        <v/>
      </c>
      <c r="J1578" s="83">
        <f>IFERROR(INDEX(打卡匯入!$C$3:$C$2002,MATCH($C1578&amp;"|"&amp;DAY($A1578),打卡匯入!$E$3:$E$2002,0)),"")</f>
        <v/>
      </c>
      <c r="K1578" s="83">
        <f>IFERROR(INDEX(打卡匯入!$D$3:$D$2002,MATCH($C1578&amp;"|"&amp;DAY($A1578),打卡匯入!$E$3:$E$2002,0)),"")</f>
        <v/>
      </c>
      <c r="L1578" s="84">
        <f>IF(OR($J1578="",$K1578=""),"",IFERROR(INDEX(設定!$F$6:$F$21,MATCH($G1578,設定!$B$6:$B$21,0)),0))</f>
        <v/>
      </c>
      <c r="M1578" s="85">
        <f>IF(OR($J1578="",$K1578=""),"",ROUND(($K1578-$J1578)*24-$L1578/60,2))</f>
        <v/>
      </c>
      <c r="N1578" s="16">
        <f>IF($C1578="","",IF(AND(COUNTIF(設定!$B$15:$B$21,$G1578)&gt;0,$J1578&lt;&gt;""),"假日出勤",IF(AND(COUNTIF(設定!$B$6:$B$14,$G1578)&gt;0,$J1578=""),"未打卡",IF($J1578="","",IF($O1578&gt;0,"遲到",IF($P1578&gt;0,"早退","正常"))))))</f>
        <v/>
      </c>
      <c r="O1578" s="84">
        <f>IF(OR($C1578="",$H1578="",$J1578=""),0,IF(ROUND(($J1578-$H1578)*1440,0)&gt;設定!$C$46,ROUND(($J1578-$H1578)*1440,0),0))</f>
        <v/>
      </c>
      <c r="P1578" s="84">
        <f>IF(OR($C1578="",$I1578="",$K1578=""),0,IF(ROUND(($I1578-$K1578)*1440,0)&gt;設定!$C$46,ROUND(($I1578-$K1578)*1440,0),0))</f>
        <v/>
      </c>
      <c r="Q1578" s="85">
        <f>IF($M1578="",0,IF(($M1578-IFERROR(INDEX(設定!$G$6:$G$21,MATCH($G1578,設定!$B$6:$B$21,0)),0))*60&gt;=設定!$C$44,ROUND(FLOOR(($M1578-IFERROR(INDEX(設定!$G$6:$G$21,MATCH($G1578,設定!$B$6:$B$21,0)),0))*60,設定!$C$45)/60,2),0))</f>
        <v/>
      </c>
      <c r="R1578" s="16">
        <f>IF(OR($C1578="",$Q1578=0),"",IF($G1578="國","國定假日",IF($B1578="日","例假",IF($B1578="六","休息日","平日"))))</f>
        <v/>
      </c>
      <c r="S1578" s="19" t="n"/>
    </row>
    <row r="1579">
      <c r="A1579" s="82">
        <f>IF(OR(助理班表!$A55="",27&gt;DAY(EOMONTH(DATE(設定!$C$2,設定!$D$2,1),0))),"",DATE(設定!$C$2,設定!$D$2,27))</f>
        <v/>
      </c>
      <c r="B1579" s="16">
        <f>IF($A1579="","",INDEX(設定!$O$6:$O$12,WEEKDAY($A1579,1)))</f>
        <v/>
      </c>
      <c r="C1579" s="16">
        <f>IF($A1579="","",助理班表!$A55)</f>
        <v/>
      </c>
      <c r="D1579" s="16">
        <f>IF($C1579="","",助理班表!$B55)</f>
        <v/>
      </c>
      <c r="E1579" s="16">
        <f>IF($C1579="","",助理班表!$D55)</f>
        <v/>
      </c>
      <c r="F1579" s="16">
        <f>IF($C1579="","",助理班表!$C55)</f>
        <v/>
      </c>
      <c r="G1579" s="16">
        <f>IF($C1579="","",助理班表!AE55)</f>
        <v/>
      </c>
      <c r="H1579" s="83">
        <f>IF($G1579="","",IFERROR(IF(INDEX(設定!$D$6:$D$21,MATCH($G1579,設定!$B$6:$B$21,0))=0,"",INDEX(設定!$D$6:$D$21,MATCH($G1579,設定!$B$6:$B$21,0))),""))</f>
        <v/>
      </c>
      <c r="I1579" s="83">
        <f>IF($G1579="","",IFERROR(IF(INDEX(設定!$E$6:$E$21,MATCH($G1579,設定!$B$6:$B$21,0))=0,"",INDEX(設定!$E$6:$E$21,MATCH($G1579,設定!$B$6:$B$21,0))),""))</f>
        <v/>
      </c>
      <c r="J1579" s="83">
        <f>IFERROR(INDEX(打卡匯入!$C$3:$C$2002,MATCH($C1579&amp;"|"&amp;DAY($A1579),打卡匯入!$E$3:$E$2002,0)),"")</f>
        <v/>
      </c>
      <c r="K1579" s="83">
        <f>IFERROR(INDEX(打卡匯入!$D$3:$D$2002,MATCH($C1579&amp;"|"&amp;DAY($A1579),打卡匯入!$E$3:$E$2002,0)),"")</f>
        <v/>
      </c>
      <c r="L1579" s="84">
        <f>IF(OR($J1579="",$K1579=""),"",IFERROR(INDEX(設定!$F$6:$F$21,MATCH($G1579,設定!$B$6:$B$21,0)),0))</f>
        <v/>
      </c>
      <c r="M1579" s="85">
        <f>IF(OR($J1579="",$K1579=""),"",ROUND(($K1579-$J1579)*24-$L1579/60,2))</f>
        <v/>
      </c>
      <c r="N1579" s="16">
        <f>IF($C1579="","",IF(AND(COUNTIF(設定!$B$15:$B$21,$G1579)&gt;0,$J1579&lt;&gt;""),"假日出勤",IF(AND(COUNTIF(設定!$B$6:$B$14,$G1579)&gt;0,$J1579=""),"未打卡",IF($J1579="","",IF($O1579&gt;0,"遲到",IF($P1579&gt;0,"早退","正常"))))))</f>
        <v/>
      </c>
      <c r="O1579" s="84">
        <f>IF(OR($C1579="",$H1579="",$J1579=""),0,IF(ROUND(($J1579-$H1579)*1440,0)&gt;設定!$C$46,ROUND(($J1579-$H1579)*1440,0),0))</f>
        <v/>
      </c>
      <c r="P1579" s="84">
        <f>IF(OR($C1579="",$I1579="",$K1579=""),0,IF(ROUND(($I1579-$K1579)*1440,0)&gt;設定!$C$46,ROUND(($I1579-$K1579)*1440,0),0))</f>
        <v/>
      </c>
      <c r="Q1579" s="85">
        <f>IF($M1579="",0,IF(($M1579-IFERROR(INDEX(設定!$G$6:$G$21,MATCH($G1579,設定!$B$6:$B$21,0)),0))*60&gt;=設定!$C$44,ROUND(FLOOR(($M1579-IFERROR(INDEX(設定!$G$6:$G$21,MATCH($G1579,設定!$B$6:$B$21,0)),0))*60,設定!$C$45)/60,2),0))</f>
        <v/>
      </c>
      <c r="R1579" s="16">
        <f>IF(OR($C1579="",$Q1579=0),"",IF($G1579="國","國定假日",IF($B1579="日","例假",IF($B1579="六","休息日","平日"))))</f>
        <v/>
      </c>
      <c r="S1579" s="19" t="n"/>
    </row>
    <row r="1580">
      <c r="A1580" s="82">
        <f>IF(OR(助理班表!$A55="",28&gt;DAY(EOMONTH(DATE(設定!$C$2,設定!$D$2,1),0))),"",DATE(設定!$C$2,設定!$D$2,28))</f>
        <v/>
      </c>
      <c r="B1580" s="16">
        <f>IF($A1580="","",INDEX(設定!$O$6:$O$12,WEEKDAY($A1580,1)))</f>
        <v/>
      </c>
      <c r="C1580" s="16">
        <f>IF($A1580="","",助理班表!$A55)</f>
        <v/>
      </c>
      <c r="D1580" s="16">
        <f>IF($C1580="","",助理班表!$B55)</f>
        <v/>
      </c>
      <c r="E1580" s="16">
        <f>IF($C1580="","",助理班表!$D55)</f>
        <v/>
      </c>
      <c r="F1580" s="16">
        <f>IF($C1580="","",助理班表!$C55)</f>
        <v/>
      </c>
      <c r="G1580" s="16">
        <f>IF($C1580="","",助理班表!AF55)</f>
        <v/>
      </c>
      <c r="H1580" s="83">
        <f>IF($G1580="","",IFERROR(IF(INDEX(設定!$D$6:$D$21,MATCH($G1580,設定!$B$6:$B$21,0))=0,"",INDEX(設定!$D$6:$D$21,MATCH($G1580,設定!$B$6:$B$21,0))),""))</f>
        <v/>
      </c>
      <c r="I1580" s="83">
        <f>IF($G1580="","",IFERROR(IF(INDEX(設定!$E$6:$E$21,MATCH($G1580,設定!$B$6:$B$21,0))=0,"",INDEX(設定!$E$6:$E$21,MATCH($G1580,設定!$B$6:$B$21,0))),""))</f>
        <v/>
      </c>
      <c r="J1580" s="83">
        <f>IFERROR(INDEX(打卡匯入!$C$3:$C$2002,MATCH($C1580&amp;"|"&amp;DAY($A1580),打卡匯入!$E$3:$E$2002,0)),"")</f>
        <v/>
      </c>
      <c r="K1580" s="83">
        <f>IFERROR(INDEX(打卡匯入!$D$3:$D$2002,MATCH($C1580&amp;"|"&amp;DAY($A1580),打卡匯入!$E$3:$E$2002,0)),"")</f>
        <v/>
      </c>
      <c r="L1580" s="84">
        <f>IF(OR($J1580="",$K1580=""),"",IFERROR(INDEX(設定!$F$6:$F$21,MATCH($G1580,設定!$B$6:$B$21,0)),0))</f>
        <v/>
      </c>
      <c r="M1580" s="85">
        <f>IF(OR($J1580="",$K1580=""),"",ROUND(($K1580-$J1580)*24-$L1580/60,2))</f>
        <v/>
      </c>
      <c r="N1580" s="16">
        <f>IF($C1580="","",IF(AND(COUNTIF(設定!$B$15:$B$21,$G1580)&gt;0,$J1580&lt;&gt;""),"假日出勤",IF(AND(COUNTIF(設定!$B$6:$B$14,$G1580)&gt;0,$J1580=""),"未打卡",IF($J1580="","",IF($O1580&gt;0,"遲到",IF($P1580&gt;0,"早退","正常"))))))</f>
        <v/>
      </c>
      <c r="O1580" s="84">
        <f>IF(OR($C1580="",$H1580="",$J1580=""),0,IF(ROUND(($J1580-$H1580)*1440,0)&gt;設定!$C$46,ROUND(($J1580-$H1580)*1440,0),0))</f>
        <v/>
      </c>
      <c r="P1580" s="84">
        <f>IF(OR($C1580="",$I1580="",$K1580=""),0,IF(ROUND(($I1580-$K1580)*1440,0)&gt;設定!$C$46,ROUND(($I1580-$K1580)*1440,0),0))</f>
        <v/>
      </c>
      <c r="Q1580" s="85">
        <f>IF($M1580="",0,IF(($M1580-IFERROR(INDEX(設定!$G$6:$G$21,MATCH($G1580,設定!$B$6:$B$21,0)),0))*60&gt;=設定!$C$44,ROUND(FLOOR(($M1580-IFERROR(INDEX(設定!$G$6:$G$21,MATCH($G1580,設定!$B$6:$B$21,0)),0))*60,設定!$C$45)/60,2),0))</f>
        <v/>
      </c>
      <c r="R1580" s="16">
        <f>IF(OR($C1580="",$Q1580=0),"",IF($G1580="國","國定假日",IF($B1580="日","例假",IF($B1580="六","休息日","平日"))))</f>
        <v/>
      </c>
      <c r="S1580" s="19" t="n"/>
    </row>
    <row r="1581">
      <c r="A1581" s="82">
        <f>IF(OR(助理班表!$A55="",29&gt;DAY(EOMONTH(DATE(設定!$C$2,設定!$D$2,1),0))),"",DATE(設定!$C$2,設定!$D$2,29))</f>
        <v/>
      </c>
      <c r="B1581" s="16">
        <f>IF($A1581="","",INDEX(設定!$O$6:$O$12,WEEKDAY($A1581,1)))</f>
        <v/>
      </c>
      <c r="C1581" s="16">
        <f>IF($A1581="","",助理班表!$A55)</f>
        <v/>
      </c>
      <c r="D1581" s="16">
        <f>IF($C1581="","",助理班表!$B55)</f>
        <v/>
      </c>
      <c r="E1581" s="16">
        <f>IF($C1581="","",助理班表!$D55)</f>
        <v/>
      </c>
      <c r="F1581" s="16">
        <f>IF($C1581="","",助理班表!$C55)</f>
        <v/>
      </c>
      <c r="G1581" s="16">
        <f>IF($C1581="","",助理班表!AG55)</f>
        <v/>
      </c>
      <c r="H1581" s="83">
        <f>IF($G1581="","",IFERROR(IF(INDEX(設定!$D$6:$D$21,MATCH($G1581,設定!$B$6:$B$21,0))=0,"",INDEX(設定!$D$6:$D$21,MATCH($G1581,設定!$B$6:$B$21,0))),""))</f>
        <v/>
      </c>
      <c r="I1581" s="83">
        <f>IF($G1581="","",IFERROR(IF(INDEX(設定!$E$6:$E$21,MATCH($G1581,設定!$B$6:$B$21,0))=0,"",INDEX(設定!$E$6:$E$21,MATCH($G1581,設定!$B$6:$B$21,0))),""))</f>
        <v/>
      </c>
      <c r="J1581" s="83">
        <f>IFERROR(INDEX(打卡匯入!$C$3:$C$2002,MATCH($C1581&amp;"|"&amp;DAY($A1581),打卡匯入!$E$3:$E$2002,0)),"")</f>
        <v/>
      </c>
      <c r="K1581" s="83">
        <f>IFERROR(INDEX(打卡匯入!$D$3:$D$2002,MATCH($C1581&amp;"|"&amp;DAY($A1581),打卡匯入!$E$3:$E$2002,0)),"")</f>
        <v/>
      </c>
      <c r="L1581" s="84">
        <f>IF(OR($J1581="",$K1581=""),"",IFERROR(INDEX(設定!$F$6:$F$21,MATCH($G1581,設定!$B$6:$B$21,0)),0))</f>
        <v/>
      </c>
      <c r="M1581" s="85">
        <f>IF(OR($J1581="",$K1581=""),"",ROUND(($K1581-$J1581)*24-$L1581/60,2))</f>
        <v/>
      </c>
      <c r="N1581" s="16">
        <f>IF($C1581="","",IF(AND(COUNTIF(設定!$B$15:$B$21,$G1581)&gt;0,$J1581&lt;&gt;""),"假日出勤",IF(AND(COUNTIF(設定!$B$6:$B$14,$G1581)&gt;0,$J1581=""),"未打卡",IF($J1581="","",IF($O1581&gt;0,"遲到",IF($P1581&gt;0,"早退","正常"))))))</f>
        <v/>
      </c>
      <c r="O1581" s="84">
        <f>IF(OR($C1581="",$H1581="",$J1581=""),0,IF(ROUND(($J1581-$H1581)*1440,0)&gt;設定!$C$46,ROUND(($J1581-$H1581)*1440,0),0))</f>
        <v/>
      </c>
      <c r="P1581" s="84">
        <f>IF(OR($C1581="",$I1581="",$K1581=""),0,IF(ROUND(($I1581-$K1581)*1440,0)&gt;設定!$C$46,ROUND(($I1581-$K1581)*1440,0),0))</f>
        <v/>
      </c>
      <c r="Q1581" s="85">
        <f>IF($M1581="",0,IF(($M1581-IFERROR(INDEX(設定!$G$6:$G$21,MATCH($G1581,設定!$B$6:$B$21,0)),0))*60&gt;=設定!$C$44,ROUND(FLOOR(($M1581-IFERROR(INDEX(設定!$G$6:$G$21,MATCH($G1581,設定!$B$6:$B$21,0)),0))*60,設定!$C$45)/60,2),0))</f>
        <v/>
      </c>
      <c r="R1581" s="16">
        <f>IF(OR($C1581="",$Q1581=0),"",IF($G1581="國","國定假日",IF($B1581="日","例假",IF($B1581="六","休息日","平日"))))</f>
        <v/>
      </c>
      <c r="S1581" s="19" t="n"/>
    </row>
    <row r="1582">
      <c r="A1582" s="82">
        <f>IF(OR(助理班表!$A55="",30&gt;DAY(EOMONTH(DATE(設定!$C$2,設定!$D$2,1),0))),"",DATE(設定!$C$2,設定!$D$2,30))</f>
        <v/>
      </c>
      <c r="B1582" s="16">
        <f>IF($A1582="","",INDEX(設定!$O$6:$O$12,WEEKDAY($A1582,1)))</f>
        <v/>
      </c>
      <c r="C1582" s="16">
        <f>IF($A1582="","",助理班表!$A55)</f>
        <v/>
      </c>
      <c r="D1582" s="16">
        <f>IF($C1582="","",助理班表!$B55)</f>
        <v/>
      </c>
      <c r="E1582" s="16">
        <f>IF($C1582="","",助理班表!$D55)</f>
        <v/>
      </c>
      <c r="F1582" s="16">
        <f>IF($C1582="","",助理班表!$C55)</f>
        <v/>
      </c>
      <c r="G1582" s="16">
        <f>IF($C1582="","",助理班表!AH55)</f>
        <v/>
      </c>
      <c r="H1582" s="83">
        <f>IF($G1582="","",IFERROR(IF(INDEX(設定!$D$6:$D$21,MATCH($G1582,設定!$B$6:$B$21,0))=0,"",INDEX(設定!$D$6:$D$21,MATCH($G1582,設定!$B$6:$B$21,0))),""))</f>
        <v/>
      </c>
      <c r="I1582" s="83">
        <f>IF($G1582="","",IFERROR(IF(INDEX(設定!$E$6:$E$21,MATCH($G1582,設定!$B$6:$B$21,0))=0,"",INDEX(設定!$E$6:$E$21,MATCH($G1582,設定!$B$6:$B$21,0))),""))</f>
        <v/>
      </c>
      <c r="J1582" s="83">
        <f>IFERROR(INDEX(打卡匯入!$C$3:$C$2002,MATCH($C1582&amp;"|"&amp;DAY($A1582),打卡匯入!$E$3:$E$2002,0)),"")</f>
        <v/>
      </c>
      <c r="K1582" s="83">
        <f>IFERROR(INDEX(打卡匯入!$D$3:$D$2002,MATCH($C1582&amp;"|"&amp;DAY($A1582),打卡匯入!$E$3:$E$2002,0)),"")</f>
        <v/>
      </c>
      <c r="L1582" s="84">
        <f>IF(OR($J1582="",$K1582=""),"",IFERROR(INDEX(設定!$F$6:$F$21,MATCH($G1582,設定!$B$6:$B$21,0)),0))</f>
        <v/>
      </c>
      <c r="M1582" s="85">
        <f>IF(OR($J1582="",$K1582=""),"",ROUND(($K1582-$J1582)*24-$L1582/60,2))</f>
        <v/>
      </c>
      <c r="N1582" s="16">
        <f>IF($C1582="","",IF(AND(COUNTIF(設定!$B$15:$B$21,$G1582)&gt;0,$J1582&lt;&gt;""),"假日出勤",IF(AND(COUNTIF(設定!$B$6:$B$14,$G1582)&gt;0,$J1582=""),"未打卡",IF($J1582="","",IF($O1582&gt;0,"遲到",IF($P1582&gt;0,"早退","正常"))))))</f>
        <v/>
      </c>
      <c r="O1582" s="84">
        <f>IF(OR($C1582="",$H1582="",$J1582=""),0,IF(ROUND(($J1582-$H1582)*1440,0)&gt;設定!$C$46,ROUND(($J1582-$H1582)*1440,0),0))</f>
        <v/>
      </c>
      <c r="P1582" s="84">
        <f>IF(OR($C1582="",$I1582="",$K1582=""),0,IF(ROUND(($I1582-$K1582)*1440,0)&gt;設定!$C$46,ROUND(($I1582-$K1582)*1440,0),0))</f>
        <v/>
      </c>
      <c r="Q1582" s="85">
        <f>IF($M1582="",0,IF(($M1582-IFERROR(INDEX(設定!$G$6:$G$21,MATCH($G1582,設定!$B$6:$B$21,0)),0))*60&gt;=設定!$C$44,ROUND(FLOOR(($M1582-IFERROR(INDEX(設定!$G$6:$G$21,MATCH($G1582,設定!$B$6:$B$21,0)),0))*60,設定!$C$45)/60,2),0))</f>
        <v/>
      </c>
      <c r="R1582" s="16">
        <f>IF(OR($C1582="",$Q1582=0),"",IF($G1582="國","國定假日",IF($B1582="日","例假",IF($B1582="六","休息日","平日"))))</f>
        <v/>
      </c>
      <c r="S1582" s="19" t="n"/>
    </row>
    <row r="1583">
      <c r="A1583" s="82">
        <f>IF(OR(助理班表!$A55="",31&gt;DAY(EOMONTH(DATE(設定!$C$2,設定!$D$2,1),0))),"",DATE(設定!$C$2,設定!$D$2,31))</f>
        <v/>
      </c>
      <c r="B1583" s="16">
        <f>IF($A1583="","",INDEX(設定!$O$6:$O$12,WEEKDAY($A1583,1)))</f>
        <v/>
      </c>
      <c r="C1583" s="16">
        <f>IF($A1583="","",助理班表!$A55)</f>
        <v/>
      </c>
      <c r="D1583" s="16">
        <f>IF($C1583="","",助理班表!$B55)</f>
        <v/>
      </c>
      <c r="E1583" s="16">
        <f>IF($C1583="","",助理班表!$D55)</f>
        <v/>
      </c>
      <c r="F1583" s="16">
        <f>IF($C1583="","",助理班表!$C55)</f>
        <v/>
      </c>
      <c r="G1583" s="16">
        <f>IF($C1583="","",助理班表!AI55)</f>
        <v/>
      </c>
      <c r="H1583" s="83">
        <f>IF($G1583="","",IFERROR(IF(INDEX(設定!$D$6:$D$21,MATCH($G1583,設定!$B$6:$B$21,0))=0,"",INDEX(設定!$D$6:$D$21,MATCH($G1583,設定!$B$6:$B$21,0))),""))</f>
        <v/>
      </c>
      <c r="I1583" s="83">
        <f>IF($G1583="","",IFERROR(IF(INDEX(設定!$E$6:$E$21,MATCH($G1583,設定!$B$6:$B$21,0))=0,"",INDEX(設定!$E$6:$E$21,MATCH($G1583,設定!$B$6:$B$21,0))),""))</f>
        <v/>
      </c>
      <c r="J1583" s="83">
        <f>IFERROR(INDEX(打卡匯入!$C$3:$C$2002,MATCH($C1583&amp;"|"&amp;DAY($A1583),打卡匯入!$E$3:$E$2002,0)),"")</f>
        <v/>
      </c>
      <c r="K1583" s="83">
        <f>IFERROR(INDEX(打卡匯入!$D$3:$D$2002,MATCH($C1583&amp;"|"&amp;DAY($A1583),打卡匯入!$E$3:$E$2002,0)),"")</f>
        <v/>
      </c>
      <c r="L1583" s="84">
        <f>IF(OR($J1583="",$K1583=""),"",IFERROR(INDEX(設定!$F$6:$F$21,MATCH($G1583,設定!$B$6:$B$21,0)),0))</f>
        <v/>
      </c>
      <c r="M1583" s="85">
        <f>IF(OR($J1583="",$K1583=""),"",ROUND(($K1583-$J1583)*24-$L1583/60,2))</f>
        <v/>
      </c>
      <c r="N1583" s="16">
        <f>IF($C1583="","",IF(AND(COUNTIF(設定!$B$15:$B$21,$G1583)&gt;0,$J1583&lt;&gt;""),"假日出勤",IF(AND(COUNTIF(設定!$B$6:$B$14,$G1583)&gt;0,$J1583=""),"未打卡",IF($J1583="","",IF($O1583&gt;0,"遲到",IF($P1583&gt;0,"早退","正常"))))))</f>
        <v/>
      </c>
      <c r="O1583" s="84">
        <f>IF(OR($C1583="",$H1583="",$J1583=""),0,IF(ROUND(($J1583-$H1583)*1440,0)&gt;設定!$C$46,ROUND(($J1583-$H1583)*1440,0),0))</f>
        <v/>
      </c>
      <c r="P1583" s="84">
        <f>IF(OR($C1583="",$I1583="",$K1583=""),0,IF(ROUND(($I1583-$K1583)*1440,0)&gt;設定!$C$46,ROUND(($I1583-$K1583)*1440,0),0))</f>
        <v/>
      </c>
      <c r="Q1583" s="85">
        <f>IF($M1583="",0,IF(($M1583-IFERROR(INDEX(設定!$G$6:$G$21,MATCH($G1583,設定!$B$6:$B$21,0)),0))*60&gt;=設定!$C$44,ROUND(FLOOR(($M1583-IFERROR(INDEX(設定!$G$6:$G$21,MATCH($G1583,設定!$B$6:$B$21,0)),0))*60,設定!$C$45)/60,2),0))</f>
        <v/>
      </c>
      <c r="R1583" s="16">
        <f>IF(OR($C1583="",$Q1583=0),"",IF($G1583="國","國定假日",IF($B1583="日","例假",IF($B1583="六","休息日","平日"))))</f>
        <v/>
      </c>
      <c r="S1583" s="19" t="n"/>
    </row>
    <row r="1584">
      <c r="A1584" s="82">
        <f>IF(OR(助理班表!$A56="",1&gt;DAY(EOMONTH(DATE(設定!$C$2,設定!$D$2,1),0))),"",DATE(設定!$C$2,設定!$D$2,1))</f>
        <v/>
      </c>
      <c r="B1584" s="16">
        <f>IF($A1584="","",INDEX(設定!$O$6:$O$12,WEEKDAY($A1584,1)))</f>
        <v/>
      </c>
      <c r="C1584" s="16">
        <f>IF($A1584="","",助理班表!$A56)</f>
        <v/>
      </c>
      <c r="D1584" s="16">
        <f>IF($C1584="","",助理班表!$B56)</f>
        <v/>
      </c>
      <c r="E1584" s="16">
        <f>IF($C1584="","",助理班表!$D56)</f>
        <v/>
      </c>
      <c r="F1584" s="16">
        <f>IF($C1584="","",助理班表!$C56)</f>
        <v/>
      </c>
      <c r="G1584" s="16">
        <f>IF($C1584="","",助理班表!E56)</f>
        <v/>
      </c>
      <c r="H1584" s="83">
        <f>IF($G1584="","",IFERROR(IF(INDEX(設定!$D$6:$D$21,MATCH($G1584,設定!$B$6:$B$21,0))=0,"",INDEX(設定!$D$6:$D$21,MATCH($G1584,設定!$B$6:$B$21,0))),""))</f>
        <v/>
      </c>
      <c r="I1584" s="83">
        <f>IF($G1584="","",IFERROR(IF(INDEX(設定!$E$6:$E$21,MATCH($G1584,設定!$B$6:$B$21,0))=0,"",INDEX(設定!$E$6:$E$21,MATCH($G1584,設定!$B$6:$B$21,0))),""))</f>
        <v/>
      </c>
      <c r="J1584" s="83">
        <f>IFERROR(INDEX(打卡匯入!$C$3:$C$2002,MATCH($C1584&amp;"|"&amp;DAY($A1584),打卡匯入!$E$3:$E$2002,0)),"")</f>
        <v/>
      </c>
      <c r="K1584" s="83">
        <f>IFERROR(INDEX(打卡匯入!$D$3:$D$2002,MATCH($C1584&amp;"|"&amp;DAY($A1584),打卡匯入!$E$3:$E$2002,0)),"")</f>
        <v/>
      </c>
      <c r="L1584" s="84">
        <f>IF(OR($J1584="",$K1584=""),"",IFERROR(INDEX(設定!$F$6:$F$21,MATCH($G1584,設定!$B$6:$B$21,0)),0))</f>
        <v/>
      </c>
      <c r="M1584" s="85">
        <f>IF(OR($J1584="",$K1584=""),"",ROUND(($K1584-$J1584)*24-$L1584/60,2))</f>
        <v/>
      </c>
      <c r="N1584" s="16">
        <f>IF($C1584="","",IF(AND(COUNTIF(設定!$B$15:$B$21,$G1584)&gt;0,$J1584&lt;&gt;""),"假日出勤",IF(AND(COUNTIF(設定!$B$6:$B$14,$G1584)&gt;0,$J1584=""),"未打卡",IF($J1584="","",IF($O1584&gt;0,"遲到",IF($P1584&gt;0,"早退","正常"))))))</f>
        <v/>
      </c>
      <c r="O1584" s="84">
        <f>IF(OR($C1584="",$H1584="",$J1584=""),0,IF(ROUND(($J1584-$H1584)*1440,0)&gt;設定!$C$46,ROUND(($J1584-$H1584)*1440,0),0))</f>
        <v/>
      </c>
      <c r="P1584" s="84">
        <f>IF(OR($C1584="",$I1584="",$K1584=""),0,IF(ROUND(($I1584-$K1584)*1440,0)&gt;設定!$C$46,ROUND(($I1584-$K1584)*1440,0),0))</f>
        <v/>
      </c>
      <c r="Q1584" s="85">
        <f>IF($M1584="",0,IF(($M1584-IFERROR(INDEX(設定!$G$6:$G$21,MATCH($G1584,設定!$B$6:$B$21,0)),0))*60&gt;=設定!$C$44,ROUND(FLOOR(($M1584-IFERROR(INDEX(設定!$G$6:$G$21,MATCH($G1584,設定!$B$6:$B$21,0)),0))*60,設定!$C$45)/60,2),0))</f>
        <v/>
      </c>
      <c r="R1584" s="16">
        <f>IF(OR($C1584="",$Q1584=0),"",IF($G1584="國","國定假日",IF($B1584="日","例假",IF($B1584="六","休息日","平日"))))</f>
        <v/>
      </c>
      <c r="S1584" s="19" t="n"/>
    </row>
    <row r="1585">
      <c r="A1585" s="82">
        <f>IF(OR(助理班表!$A56="",2&gt;DAY(EOMONTH(DATE(設定!$C$2,設定!$D$2,1),0))),"",DATE(設定!$C$2,設定!$D$2,2))</f>
        <v/>
      </c>
      <c r="B1585" s="16">
        <f>IF($A1585="","",INDEX(設定!$O$6:$O$12,WEEKDAY($A1585,1)))</f>
        <v/>
      </c>
      <c r="C1585" s="16">
        <f>IF($A1585="","",助理班表!$A56)</f>
        <v/>
      </c>
      <c r="D1585" s="16">
        <f>IF($C1585="","",助理班表!$B56)</f>
        <v/>
      </c>
      <c r="E1585" s="16">
        <f>IF($C1585="","",助理班表!$D56)</f>
        <v/>
      </c>
      <c r="F1585" s="16">
        <f>IF($C1585="","",助理班表!$C56)</f>
        <v/>
      </c>
      <c r="G1585" s="16">
        <f>IF($C1585="","",助理班表!F56)</f>
        <v/>
      </c>
      <c r="H1585" s="83">
        <f>IF($G1585="","",IFERROR(IF(INDEX(設定!$D$6:$D$21,MATCH($G1585,設定!$B$6:$B$21,0))=0,"",INDEX(設定!$D$6:$D$21,MATCH($G1585,設定!$B$6:$B$21,0))),""))</f>
        <v/>
      </c>
      <c r="I1585" s="83">
        <f>IF($G1585="","",IFERROR(IF(INDEX(設定!$E$6:$E$21,MATCH($G1585,設定!$B$6:$B$21,0))=0,"",INDEX(設定!$E$6:$E$21,MATCH($G1585,設定!$B$6:$B$21,0))),""))</f>
        <v/>
      </c>
      <c r="J1585" s="83">
        <f>IFERROR(INDEX(打卡匯入!$C$3:$C$2002,MATCH($C1585&amp;"|"&amp;DAY($A1585),打卡匯入!$E$3:$E$2002,0)),"")</f>
        <v/>
      </c>
      <c r="K1585" s="83">
        <f>IFERROR(INDEX(打卡匯入!$D$3:$D$2002,MATCH($C1585&amp;"|"&amp;DAY($A1585),打卡匯入!$E$3:$E$2002,0)),"")</f>
        <v/>
      </c>
      <c r="L1585" s="84">
        <f>IF(OR($J1585="",$K1585=""),"",IFERROR(INDEX(設定!$F$6:$F$21,MATCH($G1585,設定!$B$6:$B$21,0)),0))</f>
        <v/>
      </c>
      <c r="M1585" s="85">
        <f>IF(OR($J1585="",$K1585=""),"",ROUND(($K1585-$J1585)*24-$L1585/60,2))</f>
        <v/>
      </c>
      <c r="N1585" s="16">
        <f>IF($C1585="","",IF(AND(COUNTIF(設定!$B$15:$B$21,$G1585)&gt;0,$J1585&lt;&gt;""),"假日出勤",IF(AND(COUNTIF(設定!$B$6:$B$14,$G1585)&gt;0,$J1585=""),"未打卡",IF($J1585="","",IF($O1585&gt;0,"遲到",IF($P1585&gt;0,"早退","正常"))))))</f>
        <v/>
      </c>
      <c r="O1585" s="84">
        <f>IF(OR($C1585="",$H1585="",$J1585=""),0,IF(ROUND(($J1585-$H1585)*1440,0)&gt;設定!$C$46,ROUND(($J1585-$H1585)*1440,0),0))</f>
        <v/>
      </c>
      <c r="P1585" s="84">
        <f>IF(OR($C1585="",$I1585="",$K1585=""),0,IF(ROUND(($I1585-$K1585)*1440,0)&gt;設定!$C$46,ROUND(($I1585-$K1585)*1440,0),0))</f>
        <v/>
      </c>
      <c r="Q1585" s="85">
        <f>IF($M1585="",0,IF(($M1585-IFERROR(INDEX(設定!$G$6:$G$21,MATCH($G1585,設定!$B$6:$B$21,0)),0))*60&gt;=設定!$C$44,ROUND(FLOOR(($M1585-IFERROR(INDEX(設定!$G$6:$G$21,MATCH($G1585,設定!$B$6:$B$21,0)),0))*60,設定!$C$45)/60,2),0))</f>
        <v/>
      </c>
      <c r="R1585" s="16">
        <f>IF(OR($C1585="",$Q1585=0),"",IF($G1585="國","國定假日",IF($B1585="日","例假",IF($B1585="六","休息日","平日"))))</f>
        <v/>
      </c>
      <c r="S1585" s="19" t="n"/>
    </row>
    <row r="1586">
      <c r="A1586" s="82">
        <f>IF(OR(助理班表!$A56="",3&gt;DAY(EOMONTH(DATE(設定!$C$2,設定!$D$2,1),0))),"",DATE(設定!$C$2,設定!$D$2,3))</f>
        <v/>
      </c>
      <c r="B1586" s="16">
        <f>IF($A1586="","",INDEX(設定!$O$6:$O$12,WEEKDAY($A1586,1)))</f>
        <v/>
      </c>
      <c r="C1586" s="16">
        <f>IF($A1586="","",助理班表!$A56)</f>
        <v/>
      </c>
      <c r="D1586" s="16">
        <f>IF($C1586="","",助理班表!$B56)</f>
        <v/>
      </c>
      <c r="E1586" s="16">
        <f>IF($C1586="","",助理班表!$D56)</f>
        <v/>
      </c>
      <c r="F1586" s="16">
        <f>IF($C1586="","",助理班表!$C56)</f>
        <v/>
      </c>
      <c r="G1586" s="16">
        <f>IF($C1586="","",助理班表!G56)</f>
        <v/>
      </c>
      <c r="H1586" s="83">
        <f>IF($G1586="","",IFERROR(IF(INDEX(設定!$D$6:$D$21,MATCH($G1586,設定!$B$6:$B$21,0))=0,"",INDEX(設定!$D$6:$D$21,MATCH($G1586,設定!$B$6:$B$21,0))),""))</f>
        <v/>
      </c>
      <c r="I1586" s="83">
        <f>IF($G1586="","",IFERROR(IF(INDEX(設定!$E$6:$E$21,MATCH($G1586,設定!$B$6:$B$21,0))=0,"",INDEX(設定!$E$6:$E$21,MATCH($G1586,設定!$B$6:$B$21,0))),""))</f>
        <v/>
      </c>
      <c r="J1586" s="83">
        <f>IFERROR(INDEX(打卡匯入!$C$3:$C$2002,MATCH($C1586&amp;"|"&amp;DAY($A1586),打卡匯入!$E$3:$E$2002,0)),"")</f>
        <v/>
      </c>
      <c r="K1586" s="83">
        <f>IFERROR(INDEX(打卡匯入!$D$3:$D$2002,MATCH($C1586&amp;"|"&amp;DAY($A1586),打卡匯入!$E$3:$E$2002,0)),"")</f>
        <v/>
      </c>
      <c r="L1586" s="84">
        <f>IF(OR($J1586="",$K1586=""),"",IFERROR(INDEX(設定!$F$6:$F$21,MATCH($G1586,設定!$B$6:$B$21,0)),0))</f>
        <v/>
      </c>
      <c r="M1586" s="85">
        <f>IF(OR($J1586="",$K1586=""),"",ROUND(($K1586-$J1586)*24-$L1586/60,2))</f>
        <v/>
      </c>
      <c r="N1586" s="16">
        <f>IF($C1586="","",IF(AND(COUNTIF(設定!$B$15:$B$21,$G1586)&gt;0,$J1586&lt;&gt;""),"假日出勤",IF(AND(COUNTIF(設定!$B$6:$B$14,$G1586)&gt;0,$J1586=""),"未打卡",IF($J1586="","",IF($O1586&gt;0,"遲到",IF($P1586&gt;0,"早退","正常"))))))</f>
        <v/>
      </c>
      <c r="O1586" s="84">
        <f>IF(OR($C1586="",$H1586="",$J1586=""),0,IF(ROUND(($J1586-$H1586)*1440,0)&gt;設定!$C$46,ROUND(($J1586-$H1586)*1440,0),0))</f>
        <v/>
      </c>
      <c r="P1586" s="84">
        <f>IF(OR($C1586="",$I1586="",$K1586=""),0,IF(ROUND(($I1586-$K1586)*1440,0)&gt;設定!$C$46,ROUND(($I1586-$K1586)*1440,0),0))</f>
        <v/>
      </c>
      <c r="Q1586" s="85">
        <f>IF($M1586="",0,IF(($M1586-IFERROR(INDEX(設定!$G$6:$G$21,MATCH($G1586,設定!$B$6:$B$21,0)),0))*60&gt;=設定!$C$44,ROUND(FLOOR(($M1586-IFERROR(INDEX(設定!$G$6:$G$21,MATCH($G1586,設定!$B$6:$B$21,0)),0))*60,設定!$C$45)/60,2),0))</f>
        <v/>
      </c>
      <c r="R1586" s="16">
        <f>IF(OR($C1586="",$Q1586=0),"",IF($G1586="國","國定假日",IF($B1586="日","例假",IF($B1586="六","休息日","平日"))))</f>
        <v/>
      </c>
      <c r="S1586" s="19" t="n"/>
    </row>
    <row r="1587">
      <c r="A1587" s="82">
        <f>IF(OR(助理班表!$A56="",4&gt;DAY(EOMONTH(DATE(設定!$C$2,設定!$D$2,1),0))),"",DATE(設定!$C$2,設定!$D$2,4))</f>
        <v/>
      </c>
      <c r="B1587" s="16">
        <f>IF($A1587="","",INDEX(設定!$O$6:$O$12,WEEKDAY($A1587,1)))</f>
        <v/>
      </c>
      <c r="C1587" s="16">
        <f>IF($A1587="","",助理班表!$A56)</f>
        <v/>
      </c>
      <c r="D1587" s="16">
        <f>IF($C1587="","",助理班表!$B56)</f>
        <v/>
      </c>
      <c r="E1587" s="16">
        <f>IF($C1587="","",助理班表!$D56)</f>
        <v/>
      </c>
      <c r="F1587" s="16">
        <f>IF($C1587="","",助理班表!$C56)</f>
        <v/>
      </c>
      <c r="G1587" s="16">
        <f>IF($C1587="","",助理班表!H56)</f>
        <v/>
      </c>
      <c r="H1587" s="83">
        <f>IF($G1587="","",IFERROR(IF(INDEX(設定!$D$6:$D$21,MATCH($G1587,設定!$B$6:$B$21,0))=0,"",INDEX(設定!$D$6:$D$21,MATCH($G1587,設定!$B$6:$B$21,0))),""))</f>
        <v/>
      </c>
      <c r="I1587" s="83">
        <f>IF($G1587="","",IFERROR(IF(INDEX(設定!$E$6:$E$21,MATCH($G1587,設定!$B$6:$B$21,0))=0,"",INDEX(設定!$E$6:$E$21,MATCH($G1587,設定!$B$6:$B$21,0))),""))</f>
        <v/>
      </c>
      <c r="J1587" s="83">
        <f>IFERROR(INDEX(打卡匯入!$C$3:$C$2002,MATCH($C1587&amp;"|"&amp;DAY($A1587),打卡匯入!$E$3:$E$2002,0)),"")</f>
        <v/>
      </c>
      <c r="K1587" s="83">
        <f>IFERROR(INDEX(打卡匯入!$D$3:$D$2002,MATCH($C1587&amp;"|"&amp;DAY($A1587),打卡匯入!$E$3:$E$2002,0)),"")</f>
        <v/>
      </c>
      <c r="L1587" s="84">
        <f>IF(OR($J1587="",$K1587=""),"",IFERROR(INDEX(設定!$F$6:$F$21,MATCH($G1587,設定!$B$6:$B$21,0)),0))</f>
        <v/>
      </c>
      <c r="M1587" s="85">
        <f>IF(OR($J1587="",$K1587=""),"",ROUND(($K1587-$J1587)*24-$L1587/60,2))</f>
        <v/>
      </c>
      <c r="N1587" s="16">
        <f>IF($C1587="","",IF(AND(COUNTIF(設定!$B$15:$B$21,$G1587)&gt;0,$J1587&lt;&gt;""),"假日出勤",IF(AND(COUNTIF(設定!$B$6:$B$14,$G1587)&gt;0,$J1587=""),"未打卡",IF($J1587="","",IF($O1587&gt;0,"遲到",IF($P1587&gt;0,"早退","正常"))))))</f>
        <v/>
      </c>
      <c r="O1587" s="84">
        <f>IF(OR($C1587="",$H1587="",$J1587=""),0,IF(ROUND(($J1587-$H1587)*1440,0)&gt;設定!$C$46,ROUND(($J1587-$H1587)*1440,0),0))</f>
        <v/>
      </c>
      <c r="P1587" s="84">
        <f>IF(OR($C1587="",$I1587="",$K1587=""),0,IF(ROUND(($I1587-$K1587)*1440,0)&gt;設定!$C$46,ROUND(($I1587-$K1587)*1440,0),0))</f>
        <v/>
      </c>
      <c r="Q1587" s="85">
        <f>IF($M1587="",0,IF(($M1587-IFERROR(INDEX(設定!$G$6:$G$21,MATCH($G1587,設定!$B$6:$B$21,0)),0))*60&gt;=設定!$C$44,ROUND(FLOOR(($M1587-IFERROR(INDEX(設定!$G$6:$G$21,MATCH($G1587,設定!$B$6:$B$21,0)),0))*60,設定!$C$45)/60,2),0))</f>
        <v/>
      </c>
      <c r="R1587" s="16">
        <f>IF(OR($C1587="",$Q1587=0),"",IF($G1587="國","國定假日",IF($B1587="日","例假",IF($B1587="六","休息日","平日"))))</f>
        <v/>
      </c>
      <c r="S1587" s="19" t="n"/>
    </row>
    <row r="1588">
      <c r="A1588" s="82">
        <f>IF(OR(助理班表!$A56="",5&gt;DAY(EOMONTH(DATE(設定!$C$2,設定!$D$2,1),0))),"",DATE(設定!$C$2,設定!$D$2,5))</f>
        <v/>
      </c>
      <c r="B1588" s="16">
        <f>IF($A1588="","",INDEX(設定!$O$6:$O$12,WEEKDAY($A1588,1)))</f>
        <v/>
      </c>
      <c r="C1588" s="16">
        <f>IF($A1588="","",助理班表!$A56)</f>
        <v/>
      </c>
      <c r="D1588" s="16">
        <f>IF($C1588="","",助理班表!$B56)</f>
        <v/>
      </c>
      <c r="E1588" s="16">
        <f>IF($C1588="","",助理班表!$D56)</f>
        <v/>
      </c>
      <c r="F1588" s="16">
        <f>IF($C1588="","",助理班表!$C56)</f>
        <v/>
      </c>
      <c r="G1588" s="16">
        <f>IF($C1588="","",助理班表!I56)</f>
        <v/>
      </c>
      <c r="H1588" s="83">
        <f>IF($G1588="","",IFERROR(IF(INDEX(設定!$D$6:$D$21,MATCH($G1588,設定!$B$6:$B$21,0))=0,"",INDEX(設定!$D$6:$D$21,MATCH($G1588,設定!$B$6:$B$21,0))),""))</f>
        <v/>
      </c>
      <c r="I1588" s="83">
        <f>IF($G1588="","",IFERROR(IF(INDEX(設定!$E$6:$E$21,MATCH($G1588,設定!$B$6:$B$21,0))=0,"",INDEX(設定!$E$6:$E$21,MATCH($G1588,設定!$B$6:$B$21,0))),""))</f>
        <v/>
      </c>
      <c r="J1588" s="83">
        <f>IFERROR(INDEX(打卡匯入!$C$3:$C$2002,MATCH($C1588&amp;"|"&amp;DAY($A1588),打卡匯入!$E$3:$E$2002,0)),"")</f>
        <v/>
      </c>
      <c r="K1588" s="83">
        <f>IFERROR(INDEX(打卡匯入!$D$3:$D$2002,MATCH($C1588&amp;"|"&amp;DAY($A1588),打卡匯入!$E$3:$E$2002,0)),"")</f>
        <v/>
      </c>
      <c r="L1588" s="84">
        <f>IF(OR($J1588="",$K1588=""),"",IFERROR(INDEX(設定!$F$6:$F$21,MATCH($G1588,設定!$B$6:$B$21,0)),0))</f>
        <v/>
      </c>
      <c r="M1588" s="85">
        <f>IF(OR($J1588="",$K1588=""),"",ROUND(($K1588-$J1588)*24-$L1588/60,2))</f>
        <v/>
      </c>
      <c r="N1588" s="16">
        <f>IF($C1588="","",IF(AND(COUNTIF(設定!$B$15:$B$21,$G1588)&gt;0,$J1588&lt;&gt;""),"假日出勤",IF(AND(COUNTIF(設定!$B$6:$B$14,$G1588)&gt;0,$J1588=""),"未打卡",IF($J1588="","",IF($O1588&gt;0,"遲到",IF($P1588&gt;0,"早退","正常"))))))</f>
        <v/>
      </c>
      <c r="O1588" s="84">
        <f>IF(OR($C1588="",$H1588="",$J1588=""),0,IF(ROUND(($J1588-$H1588)*1440,0)&gt;設定!$C$46,ROUND(($J1588-$H1588)*1440,0),0))</f>
        <v/>
      </c>
      <c r="P1588" s="84">
        <f>IF(OR($C1588="",$I1588="",$K1588=""),0,IF(ROUND(($I1588-$K1588)*1440,0)&gt;設定!$C$46,ROUND(($I1588-$K1588)*1440,0),0))</f>
        <v/>
      </c>
      <c r="Q1588" s="85">
        <f>IF($M1588="",0,IF(($M1588-IFERROR(INDEX(設定!$G$6:$G$21,MATCH($G1588,設定!$B$6:$B$21,0)),0))*60&gt;=設定!$C$44,ROUND(FLOOR(($M1588-IFERROR(INDEX(設定!$G$6:$G$21,MATCH($G1588,設定!$B$6:$B$21,0)),0))*60,設定!$C$45)/60,2),0))</f>
        <v/>
      </c>
      <c r="R1588" s="16">
        <f>IF(OR($C1588="",$Q1588=0),"",IF($G1588="國","國定假日",IF($B1588="日","例假",IF($B1588="六","休息日","平日"))))</f>
        <v/>
      </c>
      <c r="S1588" s="19" t="n"/>
    </row>
    <row r="1589">
      <c r="A1589" s="82">
        <f>IF(OR(助理班表!$A56="",6&gt;DAY(EOMONTH(DATE(設定!$C$2,設定!$D$2,1),0))),"",DATE(設定!$C$2,設定!$D$2,6))</f>
        <v/>
      </c>
      <c r="B1589" s="16">
        <f>IF($A1589="","",INDEX(設定!$O$6:$O$12,WEEKDAY($A1589,1)))</f>
        <v/>
      </c>
      <c r="C1589" s="16">
        <f>IF($A1589="","",助理班表!$A56)</f>
        <v/>
      </c>
      <c r="D1589" s="16">
        <f>IF($C1589="","",助理班表!$B56)</f>
        <v/>
      </c>
      <c r="E1589" s="16">
        <f>IF($C1589="","",助理班表!$D56)</f>
        <v/>
      </c>
      <c r="F1589" s="16">
        <f>IF($C1589="","",助理班表!$C56)</f>
        <v/>
      </c>
      <c r="G1589" s="16">
        <f>IF($C1589="","",助理班表!J56)</f>
        <v/>
      </c>
      <c r="H1589" s="83">
        <f>IF($G1589="","",IFERROR(IF(INDEX(設定!$D$6:$D$21,MATCH($G1589,設定!$B$6:$B$21,0))=0,"",INDEX(設定!$D$6:$D$21,MATCH($G1589,設定!$B$6:$B$21,0))),""))</f>
        <v/>
      </c>
      <c r="I1589" s="83">
        <f>IF($G1589="","",IFERROR(IF(INDEX(設定!$E$6:$E$21,MATCH($G1589,設定!$B$6:$B$21,0))=0,"",INDEX(設定!$E$6:$E$21,MATCH($G1589,設定!$B$6:$B$21,0))),""))</f>
        <v/>
      </c>
      <c r="J1589" s="83">
        <f>IFERROR(INDEX(打卡匯入!$C$3:$C$2002,MATCH($C1589&amp;"|"&amp;DAY($A1589),打卡匯入!$E$3:$E$2002,0)),"")</f>
        <v/>
      </c>
      <c r="K1589" s="83">
        <f>IFERROR(INDEX(打卡匯入!$D$3:$D$2002,MATCH($C1589&amp;"|"&amp;DAY($A1589),打卡匯入!$E$3:$E$2002,0)),"")</f>
        <v/>
      </c>
      <c r="L1589" s="84">
        <f>IF(OR($J1589="",$K1589=""),"",IFERROR(INDEX(設定!$F$6:$F$21,MATCH($G1589,設定!$B$6:$B$21,0)),0))</f>
        <v/>
      </c>
      <c r="M1589" s="85">
        <f>IF(OR($J1589="",$K1589=""),"",ROUND(($K1589-$J1589)*24-$L1589/60,2))</f>
        <v/>
      </c>
      <c r="N1589" s="16">
        <f>IF($C1589="","",IF(AND(COUNTIF(設定!$B$15:$B$21,$G1589)&gt;0,$J1589&lt;&gt;""),"假日出勤",IF(AND(COUNTIF(設定!$B$6:$B$14,$G1589)&gt;0,$J1589=""),"未打卡",IF($J1589="","",IF($O1589&gt;0,"遲到",IF($P1589&gt;0,"早退","正常"))))))</f>
        <v/>
      </c>
      <c r="O1589" s="84">
        <f>IF(OR($C1589="",$H1589="",$J1589=""),0,IF(ROUND(($J1589-$H1589)*1440,0)&gt;設定!$C$46,ROUND(($J1589-$H1589)*1440,0),0))</f>
        <v/>
      </c>
      <c r="P1589" s="84">
        <f>IF(OR($C1589="",$I1589="",$K1589=""),0,IF(ROUND(($I1589-$K1589)*1440,0)&gt;設定!$C$46,ROUND(($I1589-$K1589)*1440,0),0))</f>
        <v/>
      </c>
      <c r="Q1589" s="85">
        <f>IF($M1589="",0,IF(($M1589-IFERROR(INDEX(設定!$G$6:$G$21,MATCH($G1589,設定!$B$6:$B$21,0)),0))*60&gt;=設定!$C$44,ROUND(FLOOR(($M1589-IFERROR(INDEX(設定!$G$6:$G$21,MATCH($G1589,設定!$B$6:$B$21,0)),0))*60,設定!$C$45)/60,2),0))</f>
        <v/>
      </c>
      <c r="R1589" s="16">
        <f>IF(OR($C1589="",$Q1589=0),"",IF($G1589="國","國定假日",IF($B1589="日","例假",IF($B1589="六","休息日","平日"))))</f>
        <v/>
      </c>
      <c r="S1589" s="19" t="n"/>
    </row>
    <row r="1590">
      <c r="A1590" s="82">
        <f>IF(OR(助理班表!$A56="",7&gt;DAY(EOMONTH(DATE(設定!$C$2,設定!$D$2,1),0))),"",DATE(設定!$C$2,設定!$D$2,7))</f>
        <v/>
      </c>
      <c r="B1590" s="16">
        <f>IF($A1590="","",INDEX(設定!$O$6:$O$12,WEEKDAY($A1590,1)))</f>
        <v/>
      </c>
      <c r="C1590" s="16">
        <f>IF($A1590="","",助理班表!$A56)</f>
        <v/>
      </c>
      <c r="D1590" s="16">
        <f>IF($C1590="","",助理班表!$B56)</f>
        <v/>
      </c>
      <c r="E1590" s="16">
        <f>IF($C1590="","",助理班表!$D56)</f>
        <v/>
      </c>
      <c r="F1590" s="16">
        <f>IF($C1590="","",助理班表!$C56)</f>
        <v/>
      </c>
      <c r="G1590" s="16">
        <f>IF($C1590="","",助理班表!K56)</f>
        <v/>
      </c>
      <c r="H1590" s="83">
        <f>IF($G1590="","",IFERROR(IF(INDEX(設定!$D$6:$D$21,MATCH($G1590,設定!$B$6:$B$21,0))=0,"",INDEX(設定!$D$6:$D$21,MATCH($G1590,設定!$B$6:$B$21,0))),""))</f>
        <v/>
      </c>
      <c r="I1590" s="83">
        <f>IF($G1590="","",IFERROR(IF(INDEX(設定!$E$6:$E$21,MATCH($G1590,設定!$B$6:$B$21,0))=0,"",INDEX(設定!$E$6:$E$21,MATCH($G1590,設定!$B$6:$B$21,0))),""))</f>
        <v/>
      </c>
      <c r="J1590" s="83">
        <f>IFERROR(INDEX(打卡匯入!$C$3:$C$2002,MATCH($C1590&amp;"|"&amp;DAY($A1590),打卡匯入!$E$3:$E$2002,0)),"")</f>
        <v/>
      </c>
      <c r="K1590" s="83">
        <f>IFERROR(INDEX(打卡匯入!$D$3:$D$2002,MATCH($C1590&amp;"|"&amp;DAY($A1590),打卡匯入!$E$3:$E$2002,0)),"")</f>
        <v/>
      </c>
      <c r="L1590" s="84">
        <f>IF(OR($J1590="",$K1590=""),"",IFERROR(INDEX(設定!$F$6:$F$21,MATCH($G1590,設定!$B$6:$B$21,0)),0))</f>
        <v/>
      </c>
      <c r="M1590" s="85">
        <f>IF(OR($J1590="",$K1590=""),"",ROUND(($K1590-$J1590)*24-$L1590/60,2))</f>
        <v/>
      </c>
      <c r="N1590" s="16">
        <f>IF($C1590="","",IF(AND(COUNTIF(設定!$B$15:$B$21,$G1590)&gt;0,$J1590&lt;&gt;""),"假日出勤",IF(AND(COUNTIF(設定!$B$6:$B$14,$G1590)&gt;0,$J1590=""),"未打卡",IF($J1590="","",IF($O1590&gt;0,"遲到",IF($P1590&gt;0,"早退","正常"))))))</f>
        <v/>
      </c>
      <c r="O1590" s="84">
        <f>IF(OR($C1590="",$H1590="",$J1590=""),0,IF(ROUND(($J1590-$H1590)*1440,0)&gt;設定!$C$46,ROUND(($J1590-$H1590)*1440,0),0))</f>
        <v/>
      </c>
      <c r="P1590" s="84">
        <f>IF(OR($C1590="",$I1590="",$K1590=""),0,IF(ROUND(($I1590-$K1590)*1440,0)&gt;設定!$C$46,ROUND(($I1590-$K1590)*1440,0),0))</f>
        <v/>
      </c>
      <c r="Q1590" s="85">
        <f>IF($M1590="",0,IF(($M1590-IFERROR(INDEX(設定!$G$6:$G$21,MATCH($G1590,設定!$B$6:$B$21,0)),0))*60&gt;=設定!$C$44,ROUND(FLOOR(($M1590-IFERROR(INDEX(設定!$G$6:$G$21,MATCH($G1590,設定!$B$6:$B$21,0)),0))*60,設定!$C$45)/60,2),0))</f>
        <v/>
      </c>
      <c r="R1590" s="16">
        <f>IF(OR($C1590="",$Q1590=0),"",IF($G1590="國","國定假日",IF($B1590="日","例假",IF($B1590="六","休息日","平日"))))</f>
        <v/>
      </c>
      <c r="S1590" s="19" t="n"/>
    </row>
    <row r="1591">
      <c r="A1591" s="82">
        <f>IF(OR(助理班表!$A56="",8&gt;DAY(EOMONTH(DATE(設定!$C$2,設定!$D$2,1),0))),"",DATE(設定!$C$2,設定!$D$2,8))</f>
        <v/>
      </c>
      <c r="B1591" s="16">
        <f>IF($A1591="","",INDEX(設定!$O$6:$O$12,WEEKDAY($A1591,1)))</f>
        <v/>
      </c>
      <c r="C1591" s="16">
        <f>IF($A1591="","",助理班表!$A56)</f>
        <v/>
      </c>
      <c r="D1591" s="16">
        <f>IF($C1591="","",助理班表!$B56)</f>
        <v/>
      </c>
      <c r="E1591" s="16">
        <f>IF($C1591="","",助理班表!$D56)</f>
        <v/>
      </c>
      <c r="F1591" s="16">
        <f>IF($C1591="","",助理班表!$C56)</f>
        <v/>
      </c>
      <c r="G1591" s="16">
        <f>IF($C1591="","",助理班表!L56)</f>
        <v/>
      </c>
      <c r="H1591" s="83">
        <f>IF($G1591="","",IFERROR(IF(INDEX(設定!$D$6:$D$21,MATCH($G1591,設定!$B$6:$B$21,0))=0,"",INDEX(設定!$D$6:$D$21,MATCH($G1591,設定!$B$6:$B$21,0))),""))</f>
        <v/>
      </c>
      <c r="I1591" s="83">
        <f>IF($G1591="","",IFERROR(IF(INDEX(設定!$E$6:$E$21,MATCH($G1591,設定!$B$6:$B$21,0))=0,"",INDEX(設定!$E$6:$E$21,MATCH($G1591,設定!$B$6:$B$21,0))),""))</f>
        <v/>
      </c>
      <c r="J1591" s="83">
        <f>IFERROR(INDEX(打卡匯入!$C$3:$C$2002,MATCH($C1591&amp;"|"&amp;DAY($A1591),打卡匯入!$E$3:$E$2002,0)),"")</f>
        <v/>
      </c>
      <c r="K1591" s="83">
        <f>IFERROR(INDEX(打卡匯入!$D$3:$D$2002,MATCH($C1591&amp;"|"&amp;DAY($A1591),打卡匯入!$E$3:$E$2002,0)),"")</f>
        <v/>
      </c>
      <c r="L1591" s="84">
        <f>IF(OR($J1591="",$K1591=""),"",IFERROR(INDEX(設定!$F$6:$F$21,MATCH($G1591,設定!$B$6:$B$21,0)),0))</f>
        <v/>
      </c>
      <c r="M1591" s="85">
        <f>IF(OR($J1591="",$K1591=""),"",ROUND(($K1591-$J1591)*24-$L1591/60,2))</f>
        <v/>
      </c>
      <c r="N1591" s="16">
        <f>IF($C1591="","",IF(AND(COUNTIF(設定!$B$15:$B$21,$G1591)&gt;0,$J1591&lt;&gt;""),"假日出勤",IF(AND(COUNTIF(設定!$B$6:$B$14,$G1591)&gt;0,$J1591=""),"未打卡",IF($J1591="","",IF($O1591&gt;0,"遲到",IF($P1591&gt;0,"早退","正常"))))))</f>
        <v/>
      </c>
      <c r="O1591" s="84">
        <f>IF(OR($C1591="",$H1591="",$J1591=""),0,IF(ROUND(($J1591-$H1591)*1440,0)&gt;設定!$C$46,ROUND(($J1591-$H1591)*1440,0),0))</f>
        <v/>
      </c>
      <c r="P1591" s="84">
        <f>IF(OR($C1591="",$I1591="",$K1591=""),0,IF(ROUND(($I1591-$K1591)*1440,0)&gt;設定!$C$46,ROUND(($I1591-$K1591)*1440,0),0))</f>
        <v/>
      </c>
      <c r="Q1591" s="85">
        <f>IF($M1591="",0,IF(($M1591-IFERROR(INDEX(設定!$G$6:$G$21,MATCH($G1591,設定!$B$6:$B$21,0)),0))*60&gt;=設定!$C$44,ROUND(FLOOR(($M1591-IFERROR(INDEX(設定!$G$6:$G$21,MATCH($G1591,設定!$B$6:$B$21,0)),0))*60,設定!$C$45)/60,2),0))</f>
        <v/>
      </c>
      <c r="R1591" s="16">
        <f>IF(OR($C1591="",$Q1591=0),"",IF($G1591="國","國定假日",IF($B1591="日","例假",IF($B1591="六","休息日","平日"))))</f>
        <v/>
      </c>
      <c r="S1591" s="19" t="n"/>
    </row>
    <row r="1592">
      <c r="A1592" s="82">
        <f>IF(OR(助理班表!$A56="",9&gt;DAY(EOMONTH(DATE(設定!$C$2,設定!$D$2,1),0))),"",DATE(設定!$C$2,設定!$D$2,9))</f>
        <v/>
      </c>
      <c r="B1592" s="16">
        <f>IF($A1592="","",INDEX(設定!$O$6:$O$12,WEEKDAY($A1592,1)))</f>
        <v/>
      </c>
      <c r="C1592" s="16">
        <f>IF($A1592="","",助理班表!$A56)</f>
        <v/>
      </c>
      <c r="D1592" s="16">
        <f>IF($C1592="","",助理班表!$B56)</f>
        <v/>
      </c>
      <c r="E1592" s="16">
        <f>IF($C1592="","",助理班表!$D56)</f>
        <v/>
      </c>
      <c r="F1592" s="16">
        <f>IF($C1592="","",助理班表!$C56)</f>
        <v/>
      </c>
      <c r="G1592" s="16">
        <f>IF($C1592="","",助理班表!M56)</f>
        <v/>
      </c>
      <c r="H1592" s="83">
        <f>IF($G1592="","",IFERROR(IF(INDEX(設定!$D$6:$D$21,MATCH($G1592,設定!$B$6:$B$21,0))=0,"",INDEX(設定!$D$6:$D$21,MATCH($G1592,設定!$B$6:$B$21,0))),""))</f>
        <v/>
      </c>
      <c r="I1592" s="83">
        <f>IF($G1592="","",IFERROR(IF(INDEX(設定!$E$6:$E$21,MATCH($G1592,設定!$B$6:$B$21,0))=0,"",INDEX(設定!$E$6:$E$21,MATCH($G1592,設定!$B$6:$B$21,0))),""))</f>
        <v/>
      </c>
      <c r="J1592" s="83">
        <f>IFERROR(INDEX(打卡匯入!$C$3:$C$2002,MATCH($C1592&amp;"|"&amp;DAY($A1592),打卡匯入!$E$3:$E$2002,0)),"")</f>
        <v/>
      </c>
      <c r="K1592" s="83">
        <f>IFERROR(INDEX(打卡匯入!$D$3:$D$2002,MATCH($C1592&amp;"|"&amp;DAY($A1592),打卡匯入!$E$3:$E$2002,0)),"")</f>
        <v/>
      </c>
      <c r="L1592" s="84">
        <f>IF(OR($J1592="",$K1592=""),"",IFERROR(INDEX(設定!$F$6:$F$21,MATCH($G1592,設定!$B$6:$B$21,0)),0))</f>
        <v/>
      </c>
      <c r="M1592" s="85">
        <f>IF(OR($J1592="",$K1592=""),"",ROUND(($K1592-$J1592)*24-$L1592/60,2))</f>
        <v/>
      </c>
      <c r="N1592" s="16">
        <f>IF($C1592="","",IF(AND(COUNTIF(設定!$B$15:$B$21,$G1592)&gt;0,$J1592&lt;&gt;""),"假日出勤",IF(AND(COUNTIF(設定!$B$6:$B$14,$G1592)&gt;0,$J1592=""),"未打卡",IF($J1592="","",IF($O1592&gt;0,"遲到",IF($P1592&gt;0,"早退","正常"))))))</f>
        <v/>
      </c>
      <c r="O1592" s="84">
        <f>IF(OR($C1592="",$H1592="",$J1592=""),0,IF(ROUND(($J1592-$H1592)*1440,0)&gt;設定!$C$46,ROUND(($J1592-$H1592)*1440,0),0))</f>
        <v/>
      </c>
      <c r="P1592" s="84">
        <f>IF(OR($C1592="",$I1592="",$K1592=""),0,IF(ROUND(($I1592-$K1592)*1440,0)&gt;設定!$C$46,ROUND(($I1592-$K1592)*1440,0),0))</f>
        <v/>
      </c>
      <c r="Q1592" s="85">
        <f>IF($M1592="",0,IF(($M1592-IFERROR(INDEX(設定!$G$6:$G$21,MATCH($G1592,設定!$B$6:$B$21,0)),0))*60&gt;=設定!$C$44,ROUND(FLOOR(($M1592-IFERROR(INDEX(設定!$G$6:$G$21,MATCH($G1592,設定!$B$6:$B$21,0)),0))*60,設定!$C$45)/60,2),0))</f>
        <v/>
      </c>
      <c r="R1592" s="16">
        <f>IF(OR($C1592="",$Q1592=0),"",IF($G1592="國","國定假日",IF($B1592="日","例假",IF($B1592="六","休息日","平日"))))</f>
        <v/>
      </c>
      <c r="S1592" s="19" t="n"/>
    </row>
    <row r="1593">
      <c r="A1593" s="82">
        <f>IF(OR(助理班表!$A56="",10&gt;DAY(EOMONTH(DATE(設定!$C$2,設定!$D$2,1),0))),"",DATE(設定!$C$2,設定!$D$2,10))</f>
        <v/>
      </c>
      <c r="B1593" s="16">
        <f>IF($A1593="","",INDEX(設定!$O$6:$O$12,WEEKDAY($A1593,1)))</f>
        <v/>
      </c>
      <c r="C1593" s="16">
        <f>IF($A1593="","",助理班表!$A56)</f>
        <v/>
      </c>
      <c r="D1593" s="16">
        <f>IF($C1593="","",助理班表!$B56)</f>
        <v/>
      </c>
      <c r="E1593" s="16">
        <f>IF($C1593="","",助理班表!$D56)</f>
        <v/>
      </c>
      <c r="F1593" s="16">
        <f>IF($C1593="","",助理班表!$C56)</f>
        <v/>
      </c>
      <c r="G1593" s="16">
        <f>IF($C1593="","",助理班表!N56)</f>
        <v/>
      </c>
      <c r="H1593" s="83">
        <f>IF($G1593="","",IFERROR(IF(INDEX(設定!$D$6:$D$21,MATCH($G1593,設定!$B$6:$B$21,0))=0,"",INDEX(設定!$D$6:$D$21,MATCH($G1593,設定!$B$6:$B$21,0))),""))</f>
        <v/>
      </c>
      <c r="I1593" s="83">
        <f>IF($G1593="","",IFERROR(IF(INDEX(設定!$E$6:$E$21,MATCH($G1593,設定!$B$6:$B$21,0))=0,"",INDEX(設定!$E$6:$E$21,MATCH($G1593,設定!$B$6:$B$21,0))),""))</f>
        <v/>
      </c>
      <c r="J1593" s="83">
        <f>IFERROR(INDEX(打卡匯入!$C$3:$C$2002,MATCH($C1593&amp;"|"&amp;DAY($A1593),打卡匯入!$E$3:$E$2002,0)),"")</f>
        <v/>
      </c>
      <c r="K1593" s="83">
        <f>IFERROR(INDEX(打卡匯入!$D$3:$D$2002,MATCH($C1593&amp;"|"&amp;DAY($A1593),打卡匯入!$E$3:$E$2002,0)),"")</f>
        <v/>
      </c>
      <c r="L1593" s="84">
        <f>IF(OR($J1593="",$K1593=""),"",IFERROR(INDEX(設定!$F$6:$F$21,MATCH($G1593,設定!$B$6:$B$21,0)),0))</f>
        <v/>
      </c>
      <c r="M1593" s="85">
        <f>IF(OR($J1593="",$K1593=""),"",ROUND(($K1593-$J1593)*24-$L1593/60,2))</f>
        <v/>
      </c>
      <c r="N1593" s="16">
        <f>IF($C1593="","",IF(AND(COUNTIF(設定!$B$15:$B$21,$G1593)&gt;0,$J1593&lt;&gt;""),"假日出勤",IF(AND(COUNTIF(設定!$B$6:$B$14,$G1593)&gt;0,$J1593=""),"未打卡",IF($J1593="","",IF($O1593&gt;0,"遲到",IF($P1593&gt;0,"早退","正常"))))))</f>
        <v/>
      </c>
      <c r="O1593" s="84">
        <f>IF(OR($C1593="",$H1593="",$J1593=""),0,IF(ROUND(($J1593-$H1593)*1440,0)&gt;設定!$C$46,ROUND(($J1593-$H1593)*1440,0),0))</f>
        <v/>
      </c>
      <c r="P1593" s="84">
        <f>IF(OR($C1593="",$I1593="",$K1593=""),0,IF(ROUND(($I1593-$K1593)*1440,0)&gt;設定!$C$46,ROUND(($I1593-$K1593)*1440,0),0))</f>
        <v/>
      </c>
      <c r="Q1593" s="85">
        <f>IF($M1593="",0,IF(($M1593-IFERROR(INDEX(設定!$G$6:$G$21,MATCH($G1593,設定!$B$6:$B$21,0)),0))*60&gt;=設定!$C$44,ROUND(FLOOR(($M1593-IFERROR(INDEX(設定!$G$6:$G$21,MATCH($G1593,設定!$B$6:$B$21,0)),0))*60,設定!$C$45)/60,2),0))</f>
        <v/>
      </c>
      <c r="R1593" s="16">
        <f>IF(OR($C1593="",$Q1593=0),"",IF($G1593="國","國定假日",IF($B1593="日","例假",IF($B1593="六","休息日","平日"))))</f>
        <v/>
      </c>
      <c r="S1593" s="19" t="n"/>
    </row>
    <row r="1594">
      <c r="A1594" s="82">
        <f>IF(OR(助理班表!$A56="",11&gt;DAY(EOMONTH(DATE(設定!$C$2,設定!$D$2,1),0))),"",DATE(設定!$C$2,設定!$D$2,11))</f>
        <v/>
      </c>
      <c r="B1594" s="16">
        <f>IF($A1594="","",INDEX(設定!$O$6:$O$12,WEEKDAY($A1594,1)))</f>
        <v/>
      </c>
      <c r="C1594" s="16">
        <f>IF($A1594="","",助理班表!$A56)</f>
        <v/>
      </c>
      <c r="D1594" s="16">
        <f>IF($C1594="","",助理班表!$B56)</f>
        <v/>
      </c>
      <c r="E1594" s="16">
        <f>IF($C1594="","",助理班表!$D56)</f>
        <v/>
      </c>
      <c r="F1594" s="16">
        <f>IF($C1594="","",助理班表!$C56)</f>
        <v/>
      </c>
      <c r="G1594" s="16">
        <f>IF($C1594="","",助理班表!O56)</f>
        <v/>
      </c>
      <c r="H1594" s="83">
        <f>IF($G1594="","",IFERROR(IF(INDEX(設定!$D$6:$D$21,MATCH($G1594,設定!$B$6:$B$21,0))=0,"",INDEX(設定!$D$6:$D$21,MATCH($G1594,設定!$B$6:$B$21,0))),""))</f>
        <v/>
      </c>
      <c r="I1594" s="83">
        <f>IF($G1594="","",IFERROR(IF(INDEX(設定!$E$6:$E$21,MATCH($G1594,設定!$B$6:$B$21,0))=0,"",INDEX(設定!$E$6:$E$21,MATCH($G1594,設定!$B$6:$B$21,0))),""))</f>
        <v/>
      </c>
      <c r="J1594" s="83">
        <f>IFERROR(INDEX(打卡匯入!$C$3:$C$2002,MATCH($C1594&amp;"|"&amp;DAY($A1594),打卡匯入!$E$3:$E$2002,0)),"")</f>
        <v/>
      </c>
      <c r="K1594" s="83">
        <f>IFERROR(INDEX(打卡匯入!$D$3:$D$2002,MATCH($C1594&amp;"|"&amp;DAY($A1594),打卡匯入!$E$3:$E$2002,0)),"")</f>
        <v/>
      </c>
      <c r="L1594" s="84">
        <f>IF(OR($J1594="",$K1594=""),"",IFERROR(INDEX(設定!$F$6:$F$21,MATCH($G1594,設定!$B$6:$B$21,0)),0))</f>
        <v/>
      </c>
      <c r="M1594" s="85">
        <f>IF(OR($J1594="",$K1594=""),"",ROUND(($K1594-$J1594)*24-$L1594/60,2))</f>
        <v/>
      </c>
      <c r="N1594" s="16">
        <f>IF($C1594="","",IF(AND(COUNTIF(設定!$B$15:$B$21,$G1594)&gt;0,$J1594&lt;&gt;""),"假日出勤",IF(AND(COUNTIF(設定!$B$6:$B$14,$G1594)&gt;0,$J1594=""),"未打卡",IF($J1594="","",IF($O1594&gt;0,"遲到",IF($P1594&gt;0,"早退","正常"))))))</f>
        <v/>
      </c>
      <c r="O1594" s="84">
        <f>IF(OR($C1594="",$H1594="",$J1594=""),0,IF(ROUND(($J1594-$H1594)*1440,0)&gt;設定!$C$46,ROUND(($J1594-$H1594)*1440,0),0))</f>
        <v/>
      </c>
      <c r="P1594" s="84">
        <f>IF(OR($C1594="",$I1594="",$K1594=""),0,IF(ROUND(($I1594-$K1594)*1440,0)&gt;設定!$C$46,ROUND(($I1594-$K1594)*1440,0),0))</f>
        <v/>
      </c>
      <c r="Q1594" s="85">
        <f>IF($M1594="",0,IF(($M1594-IFERROR(INDEX(設定!$G$6:$G$21,MATCH($G1594,設定!$B$6:$B$21,0)),0))*60&gt;=設定!$C$44,ROUND(FLOOR(($M1594-IFERROR(INDEX(設定!$G$6:$G$21,MATCH($G1594,設定!$B$6:$B$21,0)),0))*60,設定!$C$45)/60,2),0))</f>
        <v/>
      </c>
      <c r="R1594" s="16">
        <f>IF(OR($C1594="",$Q1594=0),"",IF($G1594="國","國定假日",IF($B1594="日","例假",IF($B1594="六","休息日","平日"))))</f>
        <v/>
      </c>
      <c r="S1594" s="19" t="n"/>
    </row>
    <row r="1595">
      <c r="A1595" s="82">
        <f>IF(OR(助理班表!$A56="",12&gt;DAY(EOMONTH(DATE(設定!$C$2,設定!$D$2,1),0))),"",DATE(設定!$C$2,設定!$D$2,12))</f>
        <v/>
      </c>
      <c r="B1595" s="16">
        <f>IF($A1595="","",INDEX(設定!$O$6:$O$12,WEEKDAY($A1595,1)))</f>
        <v/>
      </c>
      <c r="C1595" s="16">
        <f>IF($A1595="","",助理班表!$A56)</f>
        <v/>
      </c>
      <c r="D1595" s="16">
        <f>IF($C1595="","",助理班表!$B56)</f>
        <v/>
      </c>
      <c r="E1595" s="16">
        <f>IF($C1595="","",助理班表!$D56)</f>
        <v/>
      </c>
      <c r="F1595" s="16">
        <f>IF($C1595="","",助理班表!$C56)</f>
        <v/>
      </c>
      <c r="G1595" s="16">
        <f>IF($C1595="","",助理班表!P56)</f>
        <v/>
      </c>
      <c r="H1595" s="83">
        <f>IF($G1595="","",IFERROR(IF(INDEX(設定!$D$6:$D$21,MATCH($G1595,設定!$B$6:$B$21,0))=0,"",INDEX(設定!$D$6:$D$21,MATCH($G1595,設定!$B$6:$B$21,0))),""))</f>
        <v/>
      </c>
      <c r="I1595" s="83">
        <f>IF($G1595="","",IFERROR(IF(INDEX(設定!$E$6:$E$21,MATCH($G1595,設定!$B$6:$B$21,0))=0,"",INDEX(設定!$E$6:$E$21,MATCH($G1595,設定!$B$6:$B$21,0))),""))</f>
        <v/>
      </c>
      <c r="J1595" s="83">
        <f>IFERROR(INDEX(打卡匯入!$C$3:$C$2002,MATCH($C1595&amp;"|"&amp;DAY($A1595),打卡匯入!$E$3:$E$2002,0)),"")</f>
        <v/>
      </c>
      <c r="K1595" s="83">
        <f>IFERROR(INDEX(打卡匯入!$D$3:$D$2002,MATCH($C1595&amp;"|"&amp;DAY($A1595),打卡匯入!$E$3:$E$2002,0)),"")</f>
        <v/>
      </c>
      <c r="L1595" s="84">
        <f>IF(OR($J1595="",$K1595=""),"",IFERROR(INDEX(設定!$F$6:$F$21,MATCH($G1595,設定!$B$6:$B$21,0)),0))</f>
        <v/>
      </c>
      <c r="M1595" s="85">
        <f>IF(OR($J1595="",$K1595=""),"",ROUND(($K1595-$J1595)*24-$L1595/60,2))</f>
        <v/>
      </c>
      <c r="N1595" s="16">
        <f>IF($C1595="","",IF(AND(COUNTIF(設定!$B$15:$B$21,$G1595)&gt;0,$J1595&lt;&gt;""),"假日出勤",IF(AND(COUNTIF(設定!$B$6:$B$14,$G1595)&gt;0,$J1595=""),"未打卡",IF($J1595="","",IF($O1595&gt;0,"遲到",IF($P1595&gt;0,"早退","正常"))))))</f>
        <v/>
      </c>
      <c r="O1595" s="84">
        <f>IF(OR($C1595="",$H1595="",$J1595=""),0,IF(ROUND(($J1595-$H1595)*1440,0)&gt;設定!$C$46,ROUND(($J1595-$H1595)*1440,0),0))</f>
        <v/>
      </c>
      <c r="P1595" s="84">
        <f>IF(OR($C1595="",$I1595="",$K1595=""),0,IF(ROUND(($I1595-$K1595)*1440,0)&gt;設定!$C$46,ROUND(($I1595-$K1595)*1440,0),0))</f>
        <v/>
      </c>
      <c r="Q1595" s="85">
        <f>IF($M1595="",0,IF(($M1595-IFERROR(INDEX(設定!$G$6:$G$21,MATCH($G1595,設定!$B$6:$B$21,0)),0))*60&gt;=設定!$C$44,ROUND(FLOOR(($M1595-IFERROR(INDEX(設定!$G$6:$G$21,MATCH($G1595,設定!$B$6:$B$21,0)),0))*60,設定!$C$45)/60,2),0))</f>
        <v/>
      </c>
      <c r="R1595" s="16">
        <f>IF(OR($C1595="",$Q1595=0),"",IF($G1595="國","國定假日",IF($B1595="日","例假",IF($B1595="六","休息日","平日"))))</f>
        <v/>
      </c>
      <c r="S1595" s="19" t="n"/>
    </row>
    <row r="1596">
      <c r="A1596" s="82">
        <f>IF(OR(助理班表!$A56="",13&gt;DAY(EOMONTH(DATE(設定!$C$2,設定!$D$2,1),0))),"",DATE(設定!$C$2,設定!$D$2,13))</f>
        <v/>
      </c>
      <c r="B1596" s="16">
        <f>IF($A1596="","",INDEX(設定!$O$6:$O$12,WEEKDAY($A1596,1)))</f>
        <v/>
      </c>
      <c r="C1596" s="16">
        <f>IF($A1596="","",助理班表!$A56)</f>
        <v/>
      </c>
      <c r="D1596" s="16">
        <f>IF($C1596="","",助理班表!$B56)</f>
        <v/>
      </c>
      <c r="E1596" s="16">
        <f>IF($C1596="","",助理班表!$D56)</f>
        <v/>
      </c>
      <c r="F1596" s="16">
        <f>IF($C1596="","",助理班表!$C56)</f>
        <v/>
      </c>
      <c r="G1596" s="16">
        <f>IF($C1596="","",助理班表!Q56)</f>
        <v/>
      </c>
      <c r="H1596" s="83">
        <f>IF($G1596="","",IFERROR(IF(INDEX(設定!$D$6:$D$21,MATCH($G1596,設定!$B$6:$B$21,0))=0,"",INDEX(設定!$D$6:$D$21,MATCH($G1596,設定!$B$6:$B$21,0))),""))</f>
        <v/>
      </c>
      <c r="I1596" s="83">
        <f>IF($G1596="","",IFERROR(IF(INDEX(設定!$E$6:$E$21,MATCH($G1596,設定!$B$6:$B$21,0))=0,"",INDEX(設定!$E$6:$E$21,MATCH($G1596,設定!$B$6:$B$21,0))),""))</f>
        <v/>
      </c>
      <c r="J1596" s="83">
        <f>IFERROR(INDEX(打卡匯入!$C$3:$C$2002,MATCH($C1596&amp;"|"&amp;DAY($A1596),打卡匯入!$E$3:$E$2002,0)),"")</f>
        <v/>
      </c>
      <c r="K1596" s="83">
        <f>IFERROR(INDEX(打卡匯入!$D$3:$D$2002,MATCH($C1596&amp;"|"&amp;DAY($A1596),打卡匯入!$E$3:$E$2002,0)),"")</f>
        <v/>
      </c>
      <c r="L1596" s="84">
        <f>IF(OR($J1596="",$K1596=""),"",IFERROR(INDEX(設定!$F$6:$F$21,MATCH($G1596,設定!$B$6:$B$21,0)),0))</f>
        <v/>
      </c>
      <c r="M1596" s="85">
        <f>IF(OR($J1596="",$K1596=""),"",ROUND(($K1596-$J1596)*24-$L1596/60,2))</f>
        <v/>
      </c>
      <c r="N1596" s="16">
        <f>IF($C1596="","",IF(AND(COUNTIF(設定!$B$15:$B$21,$G1596)&gt;0,$J1596&lt;&gt;""),"假日出勤",IF(AND(COUNTIF(設定!$B$6:$B$14,$G1596)&gt;0,$J1596=""),"未打卡",IF($J1596="","",IF($O1596&gt;0,"遲到",IF($P1596&gt;0,"早退","正常"))))))</f>
        <v/>
      </c>
      <c r="O1596" s="84">
        <f>IF(OR($C1596="",$H1596="",$J1596=""),0,IF(ROUND(($J1596-$H1596)*1440,0)&gt;設定!$C$46,ROUND(($J1596-$H1596)*1440,0),0))</f>
        <v/>
      </c>
      <c r="P1596" s="84">
        <f>IF(OR($C1596="",$I1596="",$K1596=""),0,IF(ROUND(($I1596-$K1596)*1440,0)&gt;設定!$C$46,ROUND(($I1596-$K1596)*1440,0),0))</f>
        <v/>
      </c>
      <c r="Q1596" s="85">
        <f>IF($M1596="",0,IF(($M1596-IFERROR(INDEX(設定!$G$6:$G$21,MATCH($G1596,設定!$B$6:$B$21,0)),0))*60&gt;=設定!$C$44,ROUND(FLOOR(($M1596-IFERROR(INDEX(設定!$G$6:$G$21,MATCH($G1596,設定!$B$6:$B$21,0)),0))*60,設定!$C$45)/60,2),0))</f>
        <v/>
      </c>
      <c r="R1596" s="16">
        <f>IF(OR($C1596="",$Q1596=0),"",IF($G1596="國","國定假日",IF($B1596="日","例假",IF($B1596="六","休息日","平日"))))</f>
        <v/>
      </c>
      <c r="S1596" s="19" t="n"/>
    </row>
    <row r="1597">
      <c r="A1597" s="82">
        <f>IF(OR(助理班表!$A56="",14&gt;DAY(EOMONTH(DATE(設定!$C$2,設定!$D$2,1),0))),"",DATE(設定!$C$2,設定!$D$2,14))</f>
        <v/>
      </c>
      <c r="B1597" s="16">
        <f>IF($A1597="","",INDEX(設定!$O$6:$O$12,WEEKDAY($A1597,1)))</f>
        <v/>
      </c>
      <c r="C1597" s="16">
        <f>IF($A1597="","",助理班表!$A56)</f>
        <v/>
      </c>
      <c r="D1597" s="16">
        <f>IF($C1597="","",助理班表!$B56)</f>
        <v/>
      </c>
      <c r="E1597" s="16">
        <f>IF($C1597="","",助理班表!$D56)</f>
        <v/>
      </c>
      <c r="F1597" s="16">
        <f>IF($C1597="","",助理班表!$C56)</f>
        <v/>
      </c>
      <c r="G1597" s="16">
        <f>IF($C1597="","",助理班表!R56)</f>
        <v/>
      </c>
      <c r="H1597" s="83">
        <f>IF($G1597="","",IFERROR(IF(INDEX(設定!$D$6:$D$21,MATCH($G1597,設定!$B$6:$B$21,0))=0,"",INDEX(設定!$D$6:$D$21,MATCH($G1597,設定!$B$6:$B$21,0))),""))</f>
        <v/>
      </c>
      <c r="I1597" s="83">
        <f>IF($G1597="","",IFERROR(IF(INDEX(設定!$E$6:$E$21,MATCH($G1597,設定!$B$6:$B$21,0))=0,"",INDEX(設定!$E$6:$E$21,MATCH($G1597,設定!$B$6:$B$21,0))),""))</f>
        <v/>
      </c>
      <c r="J1597" s="83">
        <f>IFERROR(INDEX(打卡匯入!$C$3:$C$2002,MATCH($C1597&amp;"|"&amp;DAY($A1597),打卡匯入!$E$3:$E$2002,0)),"")</f>
        <v/>
      </c>
      <c r="K1597" s="83">
        <f>IFERROR(INDEX(打卡匯入!$D$3:$D$2002,MATCH($C1597&amp;"|"&amp;DAY($A1597),打卡匯入!$E$3:$E$2002,0)),"")</f>
        <v/>
      </c>
      <c r="L1597" s="84">
        <f>IF(OR($J1597="",$K1597=""),"",IFERROR(INDEX(設定!$F$6:$F$21,MATCH($G1597,設定!$B$6:$B$21,0)),0))</f>
        <v/>
      </c>
      <c r="M1597" s="85">
        <f>IF(OR($J1597="",$K1597=""),"",ROUND(($K1597-$J1597)*24-$L1597/60,2))</f>
        <v/>
      </c>
      <c r="N1597" s="16">
        <f>IF($C1597="","",IF(AND(COUNTIF(設定!$B$15:$B$21,$G1597)&gt;0,$J1597&lt;&gt;""),"假日出勤",IF(AND(COUNTIF(設定!$B$6:$B$14,$G1597)&gt;0,$J1597=""),"未打卡",IF($J1597="","",IF($O1597&gt;0,"遲到",IF($P1597&gt;0,"早退","正常"))))))</f>
        <v/>
      </c>
      <c r="O1597" s="84">
        <f>IF(OR($C1597="",$H1597="",$J1597=""),0,IF(ROUND(($J1597-$H1597)*1440,0)&gt;設定!$C$46,ROUND(($J1597-$H1597)*1440,0),0))</f>
        <v/>
      </c>
      <c r="P1597" s="84">
        <f>IF(OR($C1597="",$I1597="",$K1597=""),0,IF(ROUND(($I1597-$K1597)*1440,0)&gt;設定!$C$46,ROUND(($I1597-$K1597)*1440,0),0))</f>
        <v/>
      </c>
      <c r="Q1597" s="85">
        <f>IF($M1597="",0,IF(($M1597-IFERROR(INDEX(設定!$G$6:$G$21,MATCH($G1597,設定!$B$6:$B$21,0)),0))*60&gt;=設定!$C$44,ROUND(FLOOR(($M1597-IFERROR(INDEX(設定!$G$6:$G$21,MATCH($G1597,設定!$B$6:$B$21,0)),0))*60,設定!$C$45)/60,2),0))</f>
        <v/>
      </c>
      <c r="R1597" s="16">
        <f>IF(OR($C1597="",$Q1597=0),"",IF($G1597="國","國定假日",IF($B1597="日","例假",IF($B1597="六","休息日","平日"))))</f>
        <v/>
      </c>
      <c r="S1597" s="19" t="n"/>
    </row>
    <row r="1598">
      <c r="A1598" s="82">
        <f>IF(OR(助理班表!$A56="",15&gt;DAY(EOMONTH(DATE(設定!$C$2,設定!$D$2,1),0))),"",DATE(設定!$C$2,設定!$D$2,15))</f>
        <v/>
      </c>
      <c r="B1598" s="16">
        <f>IF($A1598="","",INDEX(設定!$O$6:$O$12,WEEKDAY($A1598,1)))</f>
        <v/>
      </c>
      <c r="C1598" s="16">
        <f>IF($A1598="","",助理班表!$A56)</f>
        <v/>
      </c>
      <c r="D1598" s="16">
        <f>IF($C1598="","",助理班表!$B56)</f>
        <v/>
      </c>
      <c r="E1598" s="16">
        <f>IF($C1598="","",助理班表!$D56)</f>
        <v/>
      </c>
      <c r="F1598" s="16">
        <f>IF($C1598="","",助理班表!$C56)</f>
        <v/>
      </c>
      <c r="G1598" s="16">
        <f>IF($C1598="","",助理班表!S56)</f>
        <v/>
      </c>
      <c r="H1598" s="83">
        <f>IF($G1598="","",IFERROR(IF(INDEX(設定!$D$6:$D$21,MATCH($G1598,設定!$B$6:$B$21,0))=0,"",INDEX(設定!$D$6:$D$21,MATCH($G1598,設定!$B$6:$B$21,0))),""))</f>
        <v/>
      </c>
      <c r="I1598" s="83">
        <f>IF($G1598="","",IFERROR(IF(INDEX(設定!$E$6:$E$21,MATCH($G1598,設定!$B$6:$B$21,0))=0,"",INDEX(設定!$E$6:$E$21,MATCH($G1598,設定!$B$6:$B$21,0))),""))</f>
        <v/>
      </c>
      <c r="J1598" s="83">
        <f>IFERROR(INDEX(打卡匯入!$C$3:$C$2002,MATCH($C1598&amp;"|"&amp;DAY($A1598),打卡匯入!$E$3:$E$2002,0)),"")</f>
        <v/>
      </c>
      <c r="K1598" s="83">
        <f>IFERROR(INDEX(打卡匯入!$D$3:$D$2002,MATCH($C1598&amp;"|"&amp;DAY($A1598),打卡匯入!$E$3:$E$2002,0)),"")</f>
        <v/>
      </c>
      <c r="L1598" s="84">
        <f>IF(OR($J1598="",$K1598=""),"",IFERROR(INDEX(設定!$F$6:$F$21,MATCH($G1598,設定!$B$6:$B$21,0)),0))</f>
        <v/>
      </c>
      <c r="M1598" s="85">
        <f>IF(OR($J1598="",$K1598=""),"",ROUND(($K1598-$J1598)*24-$L1598/60,2))</f>
        <v/>
      </c>
      <c r="N1598" s="16">
        <f>IF($C1598="","",IF(AND(COUNTIF(設定!$B$15:$B$21,$G1598)&gt;0,$J1598&lt;&gt;""),"假日出勤",IF(AND(COUNTIF(設定!$B$6:$B$14,$G1598)&gt;0,$J1598=""),"未打卡",IF($J1598="","",IF($O1598&gt;0,"遲到",IF($P1598&gt;0,"早退","正常"))))))</f>
        <v/>
      </c>
      <c r="O1598" s="84">
        <f>IF(OR($C1598="",$H1598="",$J1598=""),0,IF(ROUND(($J1598-$H1598)*1440,0)&gt;設定!$C$46,ROUND(($J1598-$H1598)*1440,0),0))</f>
        <v/>
      </c>
      <c r="P1598" s="84">
        <f>IF(OR($C1598="",$I1598="",$K1598=""),0,IF(ROUND(($I1598-$K1598)*1440,0)&gt;設定!$C$46,ROUND(($I1598-$K1598)*1440,0),0))</f>
        <v/>
      </c>
      <c r="Q1598" s="85">
        <f>IF($M1598="",0,IF(($M1598-IFERROR(INDEX(設定!$G$6:$G$21,MATCH($G1598,設定!$B$6:$B$21,0)),0))*60&gt;=設定!$C$44,ROUND(FLOOR(($M1598-IFERROR(INDEX(設定!$G$6:$G$21,MATCH($G1598,設定!$B$6:$B$21,0)),0))*60,設定!$C$45)/60,2),0))</f>
        <v/>
      </c>
      <c r="R1598" s="16">
        <f>IF(OR($C1598="",$Q1598=0),"",IF($G1598="國","國定假日",IF($B1598="日","例假",IF($B1598="六","休息日","平日"))))</f>
        <v/>
      </c>
      <c r="S1598" s="19" t="n"/>
    </row>
    <row r="1599">
      <c r="A1599" s="82">
        <f>IF(OR(助理班表!$A56="",16&gt;DAY(EOMONTH(DATE(設定!$C$2,設定!$D$2,1),0))),"",DATE(設定!$C$2,設定!$D$2,16))</f>
        <v/>
      </c>
      <c r="B1599" s="16">
        <f>IF($A1599="","",INDEX(設定!$O$6:$O$12,WEEKDAY($A1599,1)))</f>
        <v/>
      </c>
      <c r="C1599" s="16">
        <f>IF($A1599="","",助理班表!$A56)</f>
        <v/>
      </c>
      <c r="D1599" s="16">
        <f>IF($C1599="","",助理班表!$B56)</f>
        <v/>
      </c>
      <c r="E1599" s="16">
        <f>IF($C1599="","",助理班表!$D56)</f>
        <v/>
      </c>
      <c r="F1599" s="16">
        <f>IF($C1599="","",助理班表!$C56)</f>
        <v/>
      </c>
      <c r="G1599" s="16">
        <f>IF($C1599="","",助理班表!T56)</f>
        <v/>
      </c>
      <c r="H1599" s="83">
        <f>IF($G1599="","",IFERROR(IF(INDEX(設定!$D$6:$D$21,MATCH($G1599,設定!$B$6:$B$21,0))=0,"",INDEX(設定!$D$6:$D$21,MATCH($G1599,設定!$B$6:$B$21,0))),""))</f>
        <v/>
      </c>
      <c r="I1599" s="83">
        <f>IF($G1599="","",IFERROR(IF(INDEX(設定!$E$6:$E$21,MATCH($G1599,設定!$B$6:$B$21,0))=0,"",INDEX(設定!$E$6:$E$21,MATCH($G1599,設定!$B$6:$B$21,0))),""))</f>
        <v/>
      </c>
      <c r="J1599" s="83">
        <f>IFERROR(INDEX(打卡匯入!$C$3:$C$2002,MATCH($C1599&amp;"|"&amp;DAY($A1599),打卡匯入!$E$3:$E$2002,0)),"")</f>
        <v/>
      </c>
      <c r="K1599" s="83">
        <f>IFERROR(INDEX(打卡匯入!$D$3:$D$2002,MATCH($C1599&amp;"|"&amp;DAY($A1599),打卡匯入!$E$3:$E$2002,0)),"")</f>
        <v/>
      </c>
      <c r="L1599" s="84">
        <f>IF(OR($J1599="",$K1599=""),"",IFERROR(INDEX(設定!$F$6:$F$21,MATCH($G1599,設定!$B$6:$B$21,0)),0))</f>
        <v/>
      </c>
      <c r="M1599" s="85">
        <f>IF(OR($J1599="",$K1599=""),"",ROUND(($K1599-$J1599)*24-$L1599/60,2))</f>
        <v/>
      </c>
      <c r="N1599" s="16">
        <f>IF($C1599="","",IF(AND(COUNTIF(設定!$B$15:$B$21,$G1599)&gt;0,$J1599&lt;&gt;""),"假日出勤",IF(AND(COUNTIF(設定!$B$6:$B$14,$G1599)&gt;0,$J1599=""),"未打卡",IF($J1599="","",IF($O1599&gt;0,"遲到",IF($P1599&gt;0,"早退","正常"))))))</f>
        <v/>
      </c>
      <c r="O1599" s="84">
        <f>IF(OR($C1599="",$H1599="",$J1599=""),0,IF(ROUND(($J1599-$H1599)*1440,0)&gt;設定!$C$46,ROUND(($J1599-$H1599)*1440,0),0))</f>
        <v/>
      </c>
      <c r="P1599" s="84">
        <f>IF(OR($C1599="",$I1599="",$K1599=""),0,IF(ROUND(($I1599-$K1599)*1440,0)&gt;設定!$C$46,ROUND(($I1599-$K1599)*1440,0),0))</f>
        <v/>
      </c>
      <c r="Q1599" s="85">
        <f>IF($M1599="",0,IF(($M1599-IFERROR(INDEX(設定!$G$6:$G$21,MATCH($G1599,設定!$B$6:$B$21,0)),0))*60&gt;=設定!$C$44,ROUND(FLOOR(($M1599-IFERROR(INDEX(設定!$G$6:$G$21,MATCH($G1599,設定!$B$6:$B$21,0)),0))*60,設定!$C$45)/60,2),0))</f>
        <v/>
      </c>
      <c r="R1599" s="16">
        <f>IF(OR($C1599="",$Q1599=0),"",IF($G1599="國","國定假日",IF($B1599="日","例假",IF($B1599="六","休息日","平日"))))</f>
        <v/>
      </c>
      <c r="S1599" s="19" t="n"/>
    </row>
    <row r="1600">
      <c r="A1600" s="82">
        <f>IF(OR(助理班表!$A56="",17&gt;DAY(EOMONTH(DATE(設定!$C$2,設定!$D$2,1),0))),"",DATE(設定!$C$2,設定!$D$2,17))</f>
        <v/>
      </c>
      <c r="B1600" s="16">
        <f>IF($A1600="","",INDEX(設定!$O$6:$O$12,WEEKDAY($A1600,1)))</f>
        <v/>
      </c>
      <c r="C1600" s="16">
        <f>IF($A1600="","",助理班表!$A56)</f>
        <v/>
      </c>
      <c r="D1600" s="16">
        <f>IF($C1600="","",助理班表!$B56)</f>
        <v/>
      </c>
      <c r="E1600" s="16">
        <f>IF($C1600="","",助理班表!$D56)</f>
        <v/>
      </c>
      <c r="F1600" s="16">
        <f>IF($C1600="","",助理班表!$C56)</f>
        <v/>
      </c>
      <c r="G1600" s="16">
        <f>IF($C1600="","",助理班表!U56)</f>
        <v/>
      </c>
      <c r="H1600" s="83">
        <f>IF($G1600="","",IFERROR(IF(INDEX(設定!$D$6:$D$21,MATCH($G1600,設定!$B$6:$B$21,0))=0,"",INDEX(設定!$D$6:$D$21,MATCH($G1600,設定!$B$6:$B$21,0))),""))</f>
        <v/>
      </c>
      <c r="I1600" s="83">
        <f>IF($G1600="","",IFERROR(IF(INDEX(設定!$E$6:$E$21,MATCH($G1600,設定!$B$6:$B$21,0))=0,"",INDEX(設定!$E$6:$E$21,MATCH($G1600,設定!$B$6:$B$21,0))),""))</f>
        <v/>
      </c>
      <c r="J1600" s="83">
        <f>IFERROR(INDEX(打卡匯入!$C$3:$C$2002,MATCH($C1600&amp;"|"&amp;DAY($A1600),打卡匯入!$E$3:$E$2002,0)),"")</f>
        <v/>
      </c>
      <c r="K1600" s="83">
        <f>IFERROR(INDEX(打卡匯入!$D$3:$D$2002,MATCH($C1600&amp;"|"&amp;DAY($A1600),打卡匯入!$E$3:$E$2002,0)),"")</f>
        <v/>
      </c>
      <c r="L1600" s="84">
        <f>IF(OR($J1600="",$K1600=""),"",IFERROR(INDEX(設定!$F$6:$F$21,MATCH($G1600,設定!$B$6:$B$21,0)),0))</f>
        <v/>
      </c>
      <c r="M1600" s="85">
        <f>IF(OR($J1600="",$K1600=""),"",ROUND(($K1600-$J1600)*24-$L1600/60,2))</f>
        <v/>
      </c>
      <c r="N1600" s="16">
        <f>IF($C1600="","",IF(AND(COUNTIF(設定!$B$15:$B$21,$G1600)&gt;0,$J1600&lt;&gt;""),"假日出勤",IF(AND(COUNTIF(設定!$B$6:$B$14,$G1600)&gt;0,$J1600=""),"未打卡",IF($J1600="","",IF($O1600&gt;0,"遲到",IF($P1600&gt;0,"早退","正常"))))))</f>
        <v/>
      </c>
      <c r="O1600" s="84">
        <f>IF(OR($C1600="",$H1600="",$J1600=""),0,IF(ROUND(($J1600-$H1600)*1440,0)&gt;設定!$C$46,ROUND(($J1600-$H1600)*1440,0),0))</f>
        <v/>
      </c>
      <c r="P1600" s="84">
        <f>IF(OR($C1600="",$I1600="",$K1600=""),0,IF(ROUND(($I1600-$K1600)*1440,0)&gt;設定!$C$46,ROUND(($I1600-$K1600)*1440,0),0))</f>
        <v/>
      </c>
      <c r="Q1600" s="85">
        <f>IF($M1600="",0,IF(($M1600-IFERROR(INDEX(設定!$G$6:$G$21,MATCH($G1600,設定!$B$6:$B$21,0)),0))*60&gt;=設定!$C$44,ROUND(FLOOR(($M1600-IFERROR(INDEX(設定!$G$6:$G$21,MATCH($G1600,設定!$B$6:$B$21,0)),0))*60,設定!$C$45)/60,2),0))</f>
        <v/>
      </c>
      <c r="R1600" s="16">
        <f>IF(OR($C1600="",$Q1600=0),"",IF($G1600="國","國定假日",IF($B1600="日","例假",IF($B1600="六","休息日","平日"))))</f>
        <v/>
      </c>
      <c r="S1600" s="19" t="n"/>
    </row>
    <row r="1601">
      <c r="A1601" s="82">
        <f>IF(OR(助理班表!$A56="",18&gt;DAY(EOMONTH(DATE(設定!$C$2,設定!$D$2,1),0))),"",DATE(設定!$C$2,設定!$D$2,18))</f>
        <v/>
      </c>
      <c r="B1601" s="16">
        <f>IF($A1601="","",INDEX(設定!$O$6:$O$12,WEEKDAY($A1601,1)))</f>
        <v/>
      </c>
      <c r="C1601" s="16">
        <f>IF($A1601="","",助理班表!$A56)</f>
        <v/>
      </c>
      <c r="D1601" s="16">
        <f>IF($C1601="","",助理班表!$B56)</f>
        <v/>
      </c>
      <c r="E1601" s="16">
        <f>IF($C1601="","",助理班表!$D56)</f>
        <v/>
      </c>
      <c r="F1601" s="16">
        <f>IF($C1601="","",助理班表!$C56)</f>
        <v/>
      </c>
      <c r="G1601" s="16">
        <f>IF($C1601="","",助理班表!V56)</f>
        <v/>
      </c>
      <c r="H1601" s="83">
        <f>IF($G1601="","",IFERROR(IF(INDEX(設定!$D$6:$D$21,MATCH($G1601,設定!$B$6:$B$21,0))=0,"",INDEX(設定!$D$6:$D$21,MATCH($G1601,設定!$B$6:$B$21,0))),""))</f>
        <v/>
      </c>
      <c r="I1601" s="83">
        <f>IF($G1601="","",IFERROR(IF(INDEX(設定!$E$6:$E$21,MATCH($G1601,設定!$B$6:$B$21,0))=0,"",INDEX(設定!$E$6:$E$21,MATCH($G1601,設定!$B$6:$B$21,0))),""))</f>
        <v/>
      </c>
      <c r="J1601" s="83">
        <f>IFERROR(INDEX(打卡匯入!$C$3:$C$2002,MATCH($C1601&amp;"|"&amp;DAY($A1601),打卡匯入!$E$3:$E$2002,0)),"")</f>
        <v/>
      </c>
      <c r="K1601" s="83">
        <f>IFERROR(INDEX(打卡匯入!$D$3:$D$2002,MATCH($C1601&amp;"|"&amp;DAY($A1601),打卡匯入!$E$3:$E$2002,0)),"")</f>
        <v/>
      </c>
      <c r="L1601" s="84">
        <f>IF(OR($J1601="",$K1601=""),"",IFERROR(INDEX(設定!$F$6:$F$21,MATCH($G1601,設定!$B$6:$B$21,0)),0))</f>
        <v/>
      </c>
      <c r="M1601" s="85">
        <f>IF(OR($J1601="",$K1601=""),"",ROUND(($K1601-$J1601)*24-$L1601/60,2))</f>
        <v/>
      </c>
      <c r="N1601" s="16">
        <f>IF($C1601="","",IF(AND(COUNTIF(設定!$B$15:$B$21,$G1601)&gt;0,$J1601&lt;&gt;""),"假日出勤",IF(AND(COUNTIF(設定!$B$6:$B$14,$G1601)&gt;0,$J1601=""),"未打卡",IF($J1601="","",IF($O1601&gt;0,"遲到",IF($P1601&gt;0,"早退","正常"))))))</f>
        <v/>
      </c>
      <c r="O1601" s="84">
        <f>IF(OR($C1601="",$H1601="",$J1601=""),0,IF(ROUND(($J1601-$H1601)*1440,0)&gt;設定!$C$46,ROUND(($J1601-$H1601)*1440,0),0))</f>
        <v/>
      </c>
      <c r="P1601" s="84">
        <f>IF(OR($C1601="",$I1601="",$K1601=""),0,IF(ROUND(($I1601-$K1601)*1440,0)&gt;設定!$C$46,ROUND(($I1601-$K1601)*1440,0),0))</f>
        <v/>
      </c>
      <c r="Q1601" s="85">
        <f>IF($M1601="",0,IF(($M1601-IFERROR(INDEX(設定!$G$6:$G$21,MATCH($G1601,設定!$B$6:$B$21,0)),0))*60&gt;=設定!$C$44,ROUND(FLOOR(($M1601-IFERROR(INDEX(設定!$G$6:$G$21,MATCH($G1601,設定!$B$6:$B$21,0)),0))*60,設定!$C$45)/60,2),0))</f>
        <v/>
      </c>
      <c r="R1601" s="16">
        <f>IF(OR($C1601="",$Q1601=0),"",IF($G1601="國","國定假日",IF($B1601="日","例假",IF($B1601="六","休息日","平日"))))</f>
        <v/>
      </c>
      <c r="S1601" s="19" t="n"/>
    </row>
    <row r="1602">
      <c r="A1602" s="82">
        <f>IF(OR(助理班表!$A56="",19&gt;DAY(EOMONTH(DATE(設定!$C$2,設定!$D$2,1),0))),"",DATE(設定!$C$2,設定!$D$2,19))</f>
        <v/>
      </c>
      <c r="B1602" s="16">
        <f>IF($A1602="","",INDEX(設定!$O$6:$O$12,WEEKDAY($A1602,1)))</f>
        <v/>
      </c>
      <c r="C1602" s="16">
        <f>IF($A1602="","",助理班表!$A56)</f>
        <v/>
      </c>
      <c r="D1602" s="16">
        <f>IF($C1602="","",助理班表!$B56)</f>
        <v/>
      </c>
      <c r="E1602" s="16">
        <f>IF($C1602="","",助理班表!$D56)</f>
        <v/>
      </c>
      <c r="F1602" s="16">
        <f>IF($C1602="","",助理班表!$C56)</f>
        <v/>
      </c>
      <c r="G1602" s="16">
        <f>IF($C1602="","",助理班表!W56)</f>
        <v/>
      </c>
      <c r="H1602" s="83">
        <f>IF($G1602="","",IFERROR(IF(INDEX(設定!$D$6:$D$21,MATCH($G1602,設定!$B$6:$B$21,0))=0,"",INDEX(設定!$D$6:$D$21,MATCH($G1602,設定!$B$6:$B$21,0))),""))</f>
        <v/>
      </c>
      <c r="I1602" s="83">
        <f>IF($G1602="","",IFERROR(IF(INDEX(設定!$E$6:$E$21,MATCH($G1602,設定!$B$6:$B$21,0))=0,"",INDEX(設定!$E$6:$E$21,MATCH($G1602,設定!$B$6:$B$21,0))),""))</f>
        <v/>
      </c>
      <c r="J1602" s="83">
        <f>IFERROR(INDEX(打卡匯入!$C$3:$C$2002,MATCH($C1602&amp;"|"&amp;DAY($A1602),打卡匯入!$E$3:$E$2002,0)),"")</f>
        <v/>
      </c>
      <c r="K1602" s="83">
        <f>IFERROR(INDEX(打卡匯入!$D$3:$D$2002,MATCH($C1602&amp;"|"&amp;DAY($A1602),打卡匯入!$E$3:$E$2002,0)),"")</f>
        <v/>
      </c>
      <c r="L1602" s="84">
        <f>IF(OR($J1602="",$K1602=""),"",IFERROR(INDEX(設定!$F$6:$F$21,MATCH($G1602,設定!$B$6:$B$21,0)),0))</f>
        <v/>
      </c>
      <c r="M1602" s="85">
        <f>IF(OR($J1602="",$K1602=""),"",ROUND(($K1602-$J1602)*24-$L1602/60,2))</f>
        <v/>
      </c>
      <c r="N1602" s="16">
        <f>IF($C1602="","",IF(AND(COUNTIF(設定!$B$15:$B$21,$G1602)&gt;0,$J1602&lt;&gt;""),"假日出勤",IF(AND(COUNTIF(設定!$B$6:$B$14,$G1602)&gt;0,$J1602=""),"未打卡",IF($J1602="","",IF($O1602&gt;0,"遲到",IF($P1602&gt;0,"早退","正常"))))))</f>
        <v/>
      </c>
      <c r="O1602" s="84">
        <f>IF(OR($C1602="",$H1602="",$J1602=""),0,IF(ROUND(($J1602-$H1602)*1440,0)&gt;設定!$C$46,ROUND(($J1602-$H1602)*1440,0),0))</f>
        <v/>
      </c>
      <c r="P1602" s="84">
        <f>IF(OR($C1602="",$I1602="",$K1602=""),0,IF(ROUND(($I1602-$K1602)*1440,0)&gt;設定!$C$46,ROUND(($I1602-$K1602)*1440,0),0))</f>
        <v/>
      </c>
      <c r="Q1602" s="85">
        <f>IF($M1602="",0,IF(($M1602-IFERROR(INDEX(設定!$G$6:$G$21,MATCH($G1602,設定!$B$6:$B$21,0)),0))*60&gt;=設定!$C$44,ROUND(FLOOR(($M1602-IFERROR(INDEX(設定!$G$6:$G$21,MATCH($G1602,設定!$B$6:$B$21,0)),0))*60,設定!$C$45)/60,2),0))</f>
        <v/>
      </c>
      <c r="R1602" s="16">
        <f>IF(OR($C1602="",$Q1602=0),"",IF($G1602="國","國定假日",IF($B1602="日","例假",IF($B1602="六","休息日","平日"))))</f>
        <v/>
      </c>
      <c r="S1602" s="19" t="n"/>
    </row>
    <row r="1603">
      <c r="A1603" s="82">
        <f>IF(OR(助理班表!$A56="",20&gt;DAY(EOMONTH(DATE(設定!$C$2,設定!$D$2,1),0))),"",DATE(設定!$C$2,設定!$D$2,20))</f>
        <v/>
      </c>
      <c r="B1603" s="16">
        <f>IF($A1603="","",INDEX(設定!$O$6:$O$12,WEEKDAY($A1603,1)))</f>
        <v/>
      </c>
      <c r="C1603" s="16">
        <f>IF($A1603="","",助理班表!$A56)</f>
        <v/>
      </c>
      <c r="D1603" s="16">
        <f>IF($C1603="","",助理班表!$B56)</f>
        <v/>
      </c>
      <c r="E1603" s="16">
        <f>IF($C1603="","",助理班表!$D56)</f>
        <v/>
      </c>
      <c r="F1603" s="16">
        <f>IF($C1603="","",助理班表!$C56)</f>
        <v/>
      </c>
      <c r="G1603" s="16">
        <f>IF($C1603="","",助理班表!X56)</f>
        <v/>
      </c>
      <c r="H1603" s="83">
        <f>IF($G1603="","",IFERROR(IF(INDEX(設定!$D$6:$D$21,MATCH($G1603,設定!$B$6:$B$21,0))=0,"",INDEX(設定!$D$6:$D$21,MATCH($G1603,設定!$B$6:$B$21,0))),""))</f>
        <v/>
      </c>
      <c r="I1603" s="83">
        <f>IF($G1603="","",IFERROR(IF(INDEX(設定!$E$6:$E$21,MATCH($G1603,設定!$B$6:$B$21,0))=0,"",INDEX(設定!$E$6:$E$21,MATCH($G1603,設定!$B$6:$B$21,0))),""))</f>
        <v/>
      </c>
      <c r="J1603" s="83">
        <f>IFERROR(INDEX(打卡匯入!$C$3:$C$2002,MATCH($C1603&amp;"|"&amp;DAY($A1603),打卡匯入!$E$3:$E$2002,0)),"")</f>
        <v/>
      </c>
      <c r="K1603" s="83">
        <f>IFERROR(INDEX(打卡匯入!$D$3:$D$2002,MATCH($C1603&amp;"|"&amp;DAY($A1603),打卡匯入!$E$3:$E$2002,0)),"")</f>
        <v/>
      </c>
      <c r="L1603" s="84">
        <f>IF(OR($J1603="",$K1603=""),"",IFERROR(INDEX(設定!$F$6:$F$21,MATCH($G1603,設定!$B$6:$B$21,0)),0))</f>
        <v/>
      </c>
      <c r="M1603" s="85">
        <f>IF(OR($J1603="",$K1603=""),"",ROUND(($K1603-$J1603)*24-$L1603/60,2))</f>
        <v/>
      </c>
      <c r="N1603" s="16">
        <f>IF($C1603="","",IF(AND(COUNTIF(設定!$B$15:$B$21,$G1603)&gt;0,$J1603&lt;&gt;""),"假日出勤",IF(AND(COUNTIF(設定!$B$6:$B$14,$G1603)&gt;0,$J1603=""),"未打卡",IF($J1603="","",IF($O1603&gt;0,"遲到",IF($P1603&gt;0,"早退","正常"))))))</f>
        <v/>
      </c>
      <c r="O1603" s="84">
        <f>IF(OR($C1603="",$H1603="",$J1603=""),0,IF(ROUND(($J1603-$H1603)*1440,0)&gt;設定!$C$46,ROUND(($J1603-$H1603)*1440,0),0))</f>
        <v/>
      </c>
      <c r="P1603" s="84">
        <f>IF(OR($C1603="",$I1603="",$K1603=""),0,IF(ROUND(($I1603-$K1603)*1440,0)&gt;設定!$C$46,ROUND(($I1603-$K1603)*1440,0),0))</f>
        <v/>
      </c>
      <c r="Q1603" s="85">
        <f>IF($M1603="",0,IF(($M1603-IFERROR(INDEX(設定!$G$6:$G$21,MATCH($G1603,設定!$B$6:$B$21,0)),0))*60&gt;=設定!$C$44,ROUND(FLOOR(($M1603-IFERROR(INDEX(設定!$G$6:$G$21,MATCH($G1603,設定!$B$6:$B$21,0)),0))*60,設定!$C$45)/60,2),0))</f>
        <v/>
      </c>
      <c r="R1603" s="16">
        <f>IF(OR($C1603="",$Q1603=0),"",IF($G1603="國","國定假日",IF($B1603="日","例假",IF($B1603="六","休息日","平日"))))</f>
        <v/>
      </c>
      <c r="S1603" s="19" t="n"/>
    </row>
    <row r="1604">
      <c r="A1604" s="82">
        <f>IF(OR(助理班表!$A56="",21&gt;DAY(EOMONTH(DATE(設定!$C$2,設定!$D$2,1),0))),"",DATE(設定!$C$2,設定!$D$2,21))</f>
        <v/>
      </c>
      <c r="B1604" s="16">
        <f>IF($A1604="","",INDEX(設定!$O$6:$O$12,WEEKDAY($A1604,1)))</f>
        <v/>
      </c>
      <c r="C1604" s="16">
        <f>IF($A1604="","",助理班表!$A56)</f>
        <v/>
      </c>
      <c r="D1604" s="16">
        <f>IF($C1604="","",助理班表!$B56)</f>
        <v/>
      </c>
      <c r="E1604" s="16">
        <f>IF($C1604="","",助理班表!$D56)</f>
        <v/>
      </c>
      <c r="F1604" s="16">
        <f>IF($C1604="","",助理班表!$C56)</f>
        <v/>
      </c>
      <c r="G1604" s="16">
        <f>IF($C1604="","",助理班表!Y56)</f>
        <v/>
      </c>
      <c r="H1604" s="83">
        <f>IF($G1604="","",IFERROR(IF(INDEX(設定!$D$6:$D$21,MATCH($G1604,設定!$B$6:$B$21,0))=0,"",INDEX(設定!$D$6:$D$21,MATCH($G1604,設定!$B$6:$B$21,0))),""))</f>
        <v/>
      </c>
      <c r="I1604" s="83">
        <f>IF($G1604="","",IFERROR(IF(INDEX(設定!$E$6:$E$21,MATCH($G1604,設定!$B$6:$B$21,0))=0,"",INDEX(設定!$E$6:$E$21,MATCH($G1604,設定!$B$6:$B$21,0))),""))</f>
        <v/>
      </c>
      <c r="J1604" s="83">
        <f>IFERROR(INDEX(打卡匯入!$C$3:$C$2002,MATCH($C1604&amp;"|"&amp;DAY($A1604),打卡匯入!$E$3:$E$2002,0)),"")</f>
        <v/>
      </c>
      <c r="K1604" s="83">
        <f>IFERROR(INDEX(打卡匯入!$D$3:$D$2002,MATCH($C1604&amp;"|"&amp;DAY($A1604),打卡匯入!$E$3:$E$2002,0)),"")</f>
        <v/>
      </c>
      <c r="L1604" s="84">
        <f>IF(OR($J1604="",$K1604=""),"",IFERROR(INDEX(設定!$F$6:$F$21,MATCH($G1604,設定!$B$6:$B$21,0)),0))</f>
        <v/>
      </c>
      <c r="M1604" s="85">
        <f>IF(OR($J1604="",$K1604=""),"",ROUND(($K1604-$J1604)*24-$L1604/60,2))</f>
        <v/>
      </c>
      <c r="N1604" s="16">
        <f>IF($C1604="","",IF(AND(COUNTIF(設定!$B$15:$B$21,$G1604)&gt;0,$J1604&lt;&gt;""),"假日出勤",IF(AND(COUNTIF(設定!$B$6:$B$14,$G1604)&gt;0,$J1604=""),"未打卡",IF($J1604="","",IF($O1604&gt;0,"遲到",IF($P1604&gt;0,"早退","正常"))))))</f>
        <v/>
      </c>
      <c r="O1604" s="84">
        <f>IF(OR($C1604="",$H1604="",$J1604=""),0,IF(ROUND(($J1604-$H1604)*1440,0)&gt;設定!$C$46,ROUND(($J1604-$H1604)*1440,0),0))</f>
        <v/>
      </c>
      <c r="P1604" s="84">
        <f>IF(OR($C1604="",$I1604="",$K1604=""),0,IF(ROUND(($I1604-$K1604)*1440,0)&gt;設定!$C$46,ROUND(($I1604-$K1604)*1440,0),0))</f>
        <v/>
      </c>
      <c r="Q1604" s="85">
        <f>IF($M1604="",0,IF(($M1604-IFERROR(INDEX(設定!$G$6:$G$21,MATCH($G1604,設定!$B$6:$B$21,0)),0))*60&gt;=設定!$C$44,ROUND(FLOOR(($M1604-IFERROR(INDEX(設定!$G$6:$G$21,MATCH($G1604,設定!$B$6:$B$21,0)),0))*60,設定!$C$45)/60,2),0))</f>
        <v/>
      </c>
      <c r="R1604" s="16">
        <f>IF(OR($C1604="",$Q1604=0),"",IF($G1604="國","國定假日",IF($B1604="日","例假",IF($B1604="六","休息日","平日"))))</f>
        <v/>
      </c>
      <c r="S1604" s="19" t="n"/>
    </row>
    <row r="1605">
      <c r="A1605" s="82">
        <f>IF(OR(助理班表!$A56="",22&gt;DAY(EOMONTH(DATE(設定!$C$2,設定!$D$2,1),0))),"",DATE(設定!$C$2,設定!$D$2,22))</f>
        <v/>
      </c>
      <c r="B1605" s="16">
        <f>IF($A1605="","",INDEX(設定!$O$6:$O$12,WEEKDAY($A1605,1)))</f>
        <v/>
      </c>
      <c r="C1605" s="16">
        <f>IF($A1605="","",助理班表!$A56)</f>
        <v/>
      </c>
      <c r="D1605" s="16">
        <f>IF($C1605="","",助理班表!$B56)</f>
        <v/>
      </c>
      <c r="E1605" s="16">
        <f>IF($C1605="","",助理班表!$D56)</f>
        <v/>
      </c>
      <c r="F1605" s="16">
        <f>IF($C1605="","",助理班表!$C56)</f>
        <v/>
      </c>
      <c r="G1605" s="16">
        <f>IF($C1605="","",助理班表!Z56)</f>
        <v/>
      </c>
      <c r="H1605" s="83">
        <f>IF($G1605="","",IFERROR(IF(INDEX(設定!$D$6:$D$21,MATCH($G1605,設定!$B$6:$B$21,0))=0,"",INDEX(設定!$D$6:$D$21,MATCH($G1605,設定!$B$6:$B$21,0))),""))</f>
        <v/>
      </c>
      <c r="I1605" s="83">
        <f>IF($G1605="","",IFERROR(IF(INDEX(設定!$E$6:$E$21,MATCH($G1605,設定!$B$6:$B$21,0))=0,"",INDEX(設定!$E$6:$E$21,MATCH($G1605,設定!$B$6:$B$21,0))),""))</f>
        <v/>
      </c>
      <c r="J1605" s="83">
        <f>IFERROR(INDEX(打卡匯入!$C$3:$C$2002,MATCH($C1605&amp;"|"&amp;DAY($A1605),打卡匯入!$E$3:$E$2002,0)),"")</f>
        <v/>
      </c>
      <c r="K1605" s="83">
        <f>IFERROR(INDEX(打卡匯入!$D$3:$D$2002,MATCH($C1605&amp;"|"&amp;DAY($A1605),打卡匯入!$E$3:$E$2002,0)),"")</f>
        <v/>
      </c>
      <c r="L1605" s="84">
        <f>IF(OR($J1605="",$K1605=""),"",IFERROR(INDEX(設定!$F$6:$F$21,MATCH($G1605,設定!$B$6:$B$21,0)),0))</f>
        <v/>
      </c>
      <c r="M1605" s="85">
        <f>IF(OR($J1605="",$K1605=""),"",ROUND(($K1605-$J1605)*24-$L1605/60,2))</f>
        <v/>
      </c>
      <c r="N1605" s="16">
        <f>IF($C1605="","",IF(AND(COUNTIF(設定!$B$15:$B$21,$G1605)&gt;0,$J1605&lt;&gt;""),"假日出勤",IF(AND(COUNTIF(設定!$B$6:$B$14,$G1605)&gt;0,$J1605=""),"未打卡",IF($J1605="","",IF($O1605&gt;0,"遲到",IF($P1605&gt;0,"早退","正常"))))))</f>
        <v/>
      </c>
      <c r="O1605" s="84">
        <f>IF(OR($C1605="",$H1605="",$J1605=""),0,IF(ROUND(($J1605-$H1605)*1440,0)&gt;設定!$C$46,ROUND(($J1605-$H1605)*1440,0),0))</f>
        <v/>
      </c>
      <c r="P1605" s="84">
        <f>IF(OR($C1605="",$I1605="",$K1605=""),0,IF(ROUND(($I1605-$K1605)*1440,0)&gt;設定!$C$46,ROUND(($I1605-$K1605)*1440,0),0))</f>
        <v/>
      </c>
      <c r="Q1605" s="85">
        <f>IF($M1605="",0,IF(($M1605-IFERROR(INDEX(設定!$G$6:$G$21,MATCH($G1605,設定!$B$6:$B$21,0)),0))*60&gt;=設定!$C$44,ROUND(FLOOR(($M1605-IFERROR(INDEX(設定!$G$6:$G$21,MATCH($G1605,設定!$B$6:$B$21,0)),0))*60,設定!$C$45)/60,2),0))</f>
        <v/>
      </c>
      <c r="R1605" s="16">
        <f>IF(OR($C1605="",$Q1605=0),"",IF($G1605="國","國定假日",IF($B1605="日","例假",IF($B1605="六","休息日","平日"))))</f>
        <v/>
      </c>
      <c r="S1605" s="19" t="n"/>
    </row>
    <row r="1606">
      <c r="A1606" s="82">
        <f>IF(OR(助理班表!$A56="",23&gt;DAY(EOMONTH(DATE(設定!$C$2,設定!$D$2,1),0))),"",DATE(設定!$C$2,設定!$D$2,23))</f>
        <v/>
      </c>
      <c r="B1606" s="16">
        <f>IF($A1606="","",INDEX(設定!$O$6:$O$12,WEEKDAY($A1606,1)))</f>
        <v/>
      </c>
      <c r="C1606" s="16">
        <f>IF($A1606="","",助理班表!$A56)</f>
        <v/>
      </c>
      <c r="D1606" s="16">
        <f>IF($C1606="","",助理班表!$B56)</f>
        <v/>
      </c>
      <c r="E1606" s="16">
        <f>IF($C1606="","",助理班表!$D56)</f>
        <v/>
      </c>
      <c r="F1606" s="16">
        <f>IF($C1606="","",助理班表!$C56)</f>
        <v/>
      </c>
      <c r="G1606" s="16">
        <f>IF($C1606="","",助理班表!AA56)</f>
        <v/>
      </c>
      <c r="H1606" s="83">
        <f>IF($G1606="","",IFERROR(IF(INDEX(設定!$D$6:$D$21,MATCH($G1606,設定!$B$6:$B$21,0))=0,"",INDEX(設定!$D$6:$D$21,MATCH($G1606,設定!$B$6:$B$21,0))),""))</f>
        <v/>
      </c>
      <c r="I1606" s="83">
        <f>IF($G1606="","",IFERROR(IF(INDEX(設定!$E$6:$E$21,MATCH($G1606,設定!$B$6:$B$21,0))=0,"",INDEX(設定!$E$6:$E$21,MATCH($G1606,設定!$B$6:$B$21,0))),""))</f>
        <v/>
      </c>
      <c r="J1606" s="83">
        <f>IFERROR(INDEX(打卡匯入!$C$3:$C$2002,MATCH($C1606&amp;"|"&amp;DAY($A1606),打卡匯入!$E$3:$E$2002,0)),"")</f>
        <v/>
      </c>
      <c r="K1606" s="83">
        <f>IFERROR(INDEX(打卡匯入!$D$3:$D$2002,MATCH($C1606&amp;"|"&amp;DAY($A1606),打卡匯入!$E$3:$E$2002,0)),"")</f>
        <v/>
      </c>
      <c r="L1606" s="84">
        <f>IF(OR($J1606="",$K1606=""),"",IFERROR(INDEX(設定!$F$6:$F$21,MATCH($G1606,設定!$B$6:$B$21,0)),0))</f>
        <v/>
      </c>
      <c r="M1606" s="85">
        <f>IF(OR($J1606="",$K1606=""),"",ROUND(($K1606-$J1606)*24-$L1606/60,2))</f>
        <v/>
      </c>
      <c r="N1606" s="16">
        <f>IF($C1606="","",IF(AND(COUNTIF(設定!$B$15:$B$21,$G1606)&gt;0,$J1606&lt;&gt;""),"假日出勤",IF(AND(COUNTIF(設定!$B$6:$B$14,$G1606)&gt;0,$J1606=""),"未打卡",IF($J1606="","",IF($O1606&gt;0,"遲到",IF($P1606&gt;0,"早退","正常"))))))</f>
        <v/>
      </c>
      <c r="O1606" s="84">
        <f>IF(OR($C1606="",$H1606="",$J1606=""),0,IF(ROUND(($J1606-$H1606)*1440,0)&gt;設定!$C$46,ROUND(($J1606-$H1606)*1440,0),0))</f>
        <v/>
      </c>
      <c r="P1606" s="84">
        <f>IF(OR($C1606="",$I1606="",$K1606=""),0,IF(ROUND(($I1606-$K1606)*1440,0)&gt;設定!$C$46,ROUND(($I1606-$K1606)*1440,0),0))</f>
        <v/>
      </c>
      <c r="Q1606" s="85">
        <f>IF($M1606="",0,IF(($M1606-IFERROR(INDEX(設定!$G$6:$G$21,MATCH($G1606,設定!$B$6:$B$21,0)),0))*60&gt;=設定!$C$44,ROUND(FLOOR(($M1606-IFERROR(INDEX(設定!$G$6:$G$21,MATCH($G1606,設定!$B$6:$B$21,0)),0))*60,設定!$C$45)/60,2),0))</f>
        <v/>
      </c>
      <c r="R1606" s="16">
        <f>IF(OR($C1606="",$Q1606=0),"",IF($G1606="國","國定假日",IF($B1606="日","例假",IF($B1606="六","休息日","平日"))))</f>
        <v/>
      </c>
      <c r="S1606" s="19" t="n"/>
    </row>
    <row r="1607">
      <c r="A1607" s="82">
        <f>IF(OR(助理班表!$A56="",24&gt;DAY(EOMONTH(DATE(設定!$C$2,設定!$D$2,1),0))),"",DATE(設定!$C$2,設定!$D$2,24))</f>
        <v/>
      </c>
      <c r="B1607" s="16">
        <f>IF($A1607="","",INDEX(設定!$O$6:$O$12,WEEKDAY($A1607,1)))</f>
        <v/>
      </c>
      <c r="C1607" s="16">
        <f>IF($A1607="","",助理班表!$A56)</f>
        <v/>
      </c>
      <c r="D1607" s="16">
        <f>IF($C1607="","",助理班表!$B56)</f>
        <v/>
      </c>
      <c r="E1607" s="16">
        <f>IF($C1607="","",助理班表!$D56)</f>
        <v/>
      </c>
      <c r="F1607" s="16">
        <f>IF($C1607="","",助理班表!$C56)</f>
        <v/>
      </c>
      <c r="G1607" s="16">
        <f>IF($C1607="","",助理班表!AB56)</f>
        <v/>
      </c>
      <c r="H1607" s="83">
        <f>IF($G1607="","",IFERROR(IF(INDEX(設定!$D$6:$D$21,MATCH($G1607,設定!$B$6:$B$21,0))=0,"",INDEX(設定!$D$6:$D$21,MATCH($G1607,設定!$B$6:$B$21,0))),""))</f>
        <v/>
      </c>
      <c r="I1607" s="83">
        <f>IF($G1607="","",IFERROR(IF(INDEX(設定!$E$6:$E$21,MATCH($G1607,設定!$B$6:$B$21,0))=0,"",INDEX(設定!$E$6:$E$21,MATCH($G1607,設定!$B$6:$B$21,0))),""))</f>
        <v/>
      </c>
      <c r="J1607" s="83">
        <f>IFERROR(INDEX(打卡匯入!$C$3:$C$2002,MATCH($C1607&amp;"|"&amp;DAY($A1607),打卡匯入!$E$3:$E$2002,0)),"")</f>
        <v/>
      </c>
      <c r="K1607" s="83">
        <f>IFERROR(INDEX(打卡匯入!$D$3:$D$2002,MATCH($C1607&amp;"|"&amp;DAY($A1607),打卡匯入!$E$3:$E$2002,0)),"")</f>
        <v/>
      </c>
      <c r="L1607" s="84">
        <f>IF(OR($J1607="",$K1607=""),"",IFERROR(INDEX(設定!$F$6:$F$21,MATCH($G1607,設定!$B$6:$B$21,0)),0))</f>
        <v/>
      </c>
      <c r="M1607" s="85">
        <f>IF(OR($J1607="",$K1607=""),"",ROUND(($K1607-$J1607)*24-$L1607/60,2))</f>
        <v/>
      </c>
      <c r="N1607" s="16">
        <f>IF($C1607="","",IF(AND(COUNTIF(設定!$B$15:$B$21,$G1607)&gt;0,$J1607&lt;&gt;""),"假日出勤",IF(AND(COUNTIF(設定!$B$6:$B$14,$G1607)&gt;0,$J1607=""),"未打卡",IF($J1607="","",IF($O1607&gt;0,"遲到",IF($P1607&gt;0,"早退","正常"))))))</f>
        <v/>
      </c>
      <c r="O1607" s="84">
        <f>IF(OR($C1607="",$H1607="",$J1607=""),0,IF(ROUND(($J1607-$H1607)*1440,0)&gt;設定!$C$46,ROUND(($J1607-$H1607)*1440,0),0))</f>
        <v/>
      </c>
      <c r="P1607" s="84">
        <f>IF(OR($C1607="",$I1607="",$K1607=""),0,IF(ROUND(($I1607-$K1607)*1440,0)&gt;設定!$C$46,ROUND(($I1607-$K1607)*1440,0),0))</f>
        <v/>
      </c>
      <c r="Q1607" s="85">
        <f>IF($M1607="",0,IF(($M1607-IFERROR(INDEX(設定!$G$6:$G$21,MATCH($G1607,設定!$B$6:$B$21,0)),0))*60&gt;=設定!$C$44,ROUND(FLOOR(($M1607-IFERROR(INDEX(設定!$G$6:$G$21,MATCH($G1607,設定!$B$6:$B$21,0)),0))*60,設定!$C$45)/60,2),0))</f>
        <v/>
      </c>
      <c r="R1607" s="16">
        <f>IF(OR($C1607="",$Q1607=0),"",IF($G1607="國","國定假日",IF($B1607="日","例假",IF($B1607="六","休息日","平日"))))</f>
        <v/>
      </c>
      <c r="S1607" s="19" t="n"/>
    </row>
    <row r="1608">
      <c r="A1608" s="82">
        <f>IF(OR(助理班表!$A56="",25&gt;DAY(EOMONTH(DATE(設定!$C$2,設定!$D$2,1),0))),"",DATE(設定!$C$2,設定!$D$2,25))</f>
        <v/>
      </c>
      <c r="B1608" s="16">
        <f>IF($A1608="","",INDEX(設定!$O$6:$O$12,WEEKDAY($A1608,1)))</f>
        <v/>
      </c>
      <c r="C1608" s="16">
        <f>IF($A1608="","",助理班表!$A56)</f>
        <v/>
      </c>
      <c r="D1608" s="16">
        <f>IF($C1608="","",助理班表!$B56)</f>
        <v/>
      </c>
      <c r="E1608" s="16">
        <f>IF($C1608="","",助理班表!$D56)</f>
        <v/>
      </c>
      <c r="F1608" s="16">
        <f>IF($C1608="","",助理班表!$C56)</f>
        <v/>
      </c>
      <c r="G1608" s="16">
        <f>IF($C1608="","",助理班表!AC56)</f>
        <v/>
      </c>
      <c r="H1608" s="83">
        <f>IF($G1608="","",IFERROR(IF(INDEX(設定!$D$6:$D$21,MATCH($G1608,設定!$B$6:$B$21,0))=0,"",INDEX(設定!$D$6:$D$21,MATCH($G1608,設定!$B$6:$B$21,0))),""))</f>
        <v/>
      </c>
      <c r="I1608" s="83">
        <f>IF($G1608="","",IFERROR(IF(INDEX(設定!$E$6:$E$21,MATCH($G1608,設定!$B$6:$B$21,0))=0,"",INDEX(設定!$E$6:$E$21,MATCH($G1608,設定!$B$6:$B$21,0))),""))</f>
        <v/>
      </c>
      <c r="J1608" s="83">
        <f>IFERROR(INDEX(打卡匯入!$C$3:$C$2002,MATCH($C1608&amp;"|"&amp;DAY($A1608),打卡匯入!$E$3:$E$2002,0)),"")</f>
        <v/>
      </c>
      <c r="K1608" s="83">
        <f>IFERROR(INDEX(打卡匯入!$D$3:$D$2002,MATCH($C1608&amp;"|"&amp;DAY($A1608),打卡匯入!$E$3:$E$2002,0)),"")</f>
        <v/>
      </c>
      <c r="L1608" s="84">
        <f>IF(OR($J1608="",$K1608=""),"",IFERROR(INDEX(設定!$F$6:$F$21,MATCH($G1608,設定!$B$6:$B$21,0)),0))</f>
        <v/>
      </c>
      <c r="M1608" s="85">
        <f>IF(OR($J1608="",$K1608=""),"",ROUND(($K1608-$J1608)*24-$L1608/60,2))</f>
        <v/>
      </c>
      <c r="N1608" s="16">
        <f>IF($C1608="","",IF(AND(COUNTIF(設定!$B$15:$B$21,$G1608)&gt;0,$J1608&lt;&gt;""),"假日出勤",IF(AND(COUNTIF(設定!$B$6:$B$14,$G1608)&gt;0,$J1608=""),"未打卡",IF($J1608="","",IF($O1608&gt;0,"遲到",IF($P1608&gt;0,"早退","正常"))))))</f>
        <v/>
      </c>
      <c r="O1608" s="84">
        <f>IF(OR($C1608="",$H1608="",$J1608=""),0,IF(ROUND(($J1608-$H1608)*1440,0)&gt;設定!$C$46,ROUND(($J1608-$H1608)*1440,0),0))</f>
        <v/>
      </c>
      <c r="P1608" s="84">
        <f>IF(OR($C1608="",$I1608="",$K1608=""),0,IF(ROUND(($I1608-$K1608)*1440,0)&gt;設定!$C$46,ROUND(($I1608-$K1608)*1440,0),0))</f>
        <v/>
      </c>
      <c r="Q1608" s="85">
        <f>IF($M1608="",0,IF(($M1608-IFERROR(INDEX(設定!$G$6:$G$21,MATCH($G1608,設定!$B$6:$B$21,0)),0))*60&gt;=設定!$C$44,ROUND(FLOOR(($M1608-IFERROR(INDEX(設定!$G$6:$G$21,MATCH($G1608,設定!$B$6:$B$21,0)),0))*60,設定!$C$45)/60,2),0))</f>
        <v/>
      </c>
      <c r="R1608" s="16">
        <f>IF(OR($C1608="",$Q1608=0),"",IF($G1608="國","國定假日",IF($B1608="日","例假",IF($B1608="六","休息日","平日"))))</f>
        <v/>
      </c>
      <c r="S1608" s="19" t="n"/>
    </row>
    <row r="1609">
      <c r="A1609" s="82">
        <f>IF(OR(助理班表!$A56="",26&gt;DAY(EOMONTH(DATE(設定!$C$2,設定!$D$2,1),0))),"",DATE(設定!$C$2,設定!$D$2,26))</f>
        <v/>
      </c>
      <c r="B1609" s="16">
        <f>IF($A1609="","",INDEX(設定!$O$6:$O$12,WEEKDAY($A1609,1)))</f>
        <v/>
      </c>
      <c r="C1609" s="16">
        <f>IF($A1609="","",助理班表!$A56)</f>
        <v/>
      </c>
      <c r="D1609" s="16">
        <f>IF($C1609="","",助理班表!$B56)</f>
        <v/>
      </c>
      <c r="E1609" s="16">
        <f>IF($C1609="","",助理班表!$D56)</f>
        <v/>
      </c>
      <c r="F1609" s="16">
        <f>IF($C1609="","",助理班表!$C56)</f>
        <v/>
      </c>
      <c r="G1609" s="16">
        <f>IF($C1609="","",助理班表!AD56)</f>
        <v/>
      </c>
      <c r="H1609" s="83">
        <f>IF($G1609="","",IFERROR(IF(INDEX(設定!$D$6:$D$21,MATCH($G1609,設定!$B$6:$B$21,0))=0,"",INDEX(設定!$D$6:$D$21,MATCH($G1609,設定!$B$6:$B$21,0))),""))</f>
        <v/>
      </c>
      <c r="I1609" s="83">
        <f>IF($G1609="","",IFERROR(IF(INDEX(設定!$E$6:$E$21,MATCH($G1609,設定!$B$6:$B$21,0))=0,"",INDEX(設定!$E$6:$E$21,MATCH($G1609,設定!$B$6:$B$21,0))),""))</f>
        <v/>
      </c>
      <c r="J1609" s="83">
        <f>IFERROR(INDEX(打卡匯入!$C$3:$C$2002,MATCH($C1609&amp;"|"&amp;DAY($A1609),打卡匯入!$E$3:$E$2002,0)),"")</f>
        <v/>
      </c>
      <c r="K1609" s="83">
        <f>IFERROR(INDEX(打卡匯入!$D$3:$D$2002,MATCH($C1609&amp;"|"&amp;DAY($A1609),打卡匯入!$E$3:$E$2002,0)),"")</f>
        <v/>
      </c>
      <c r="L1609" s="84">
        <f>IF(OR($J1609="",$K1609=""),"",IFERROR(INDEX(設定!$F$6:$F$21,MATCH($G1609,設定!$B$6:$B$21,0)),0))</f>
        <v/>
      </c>
      <c r="M1609" s="85">
        <f>IF(OR($J1609="",$K1609=""),"",ROUND(($K1609-$J1609)*24-$L1609/60,2))</f>
        <v/>
      </c>
      <c r="N1609" s="16">
        <f>IF($C1609="","",IF(AND(COUNTIF(設定!$B$15:$B$21,$G1609)&gt;0,$J1609&lt;&gt;""),"假日出勤",IF(AND(COUNTIF(設定!$B$6:$B$14,$G1609)&gt;0,$J1609=""),"未打卡",IF($J1609="","",IF($O1609&gt;0,"遲到",IF($P1609&gt;0,"早退","正常"))))))</f>
        <v/>
      </c>
      <c r="O1609" s="84">
        <f>IF(OR($C1609="",$H1609="",$J1609=""),0,IF(ROUND(($J1609-$H1609)*1440,0)&gt;設定!$C$46,ROUND(($J1609-$H1609)*1440,0),0))</f>
        <v/>
      </c>
      <c r="P1609" s="84">
        <f>IF(OR($C1609="",$I1609="",$K1609=""),0,IF(ROUND(($I1609-$K1609)*1440,0)&gt;設定!$C$46,ROUND(($I1609-$K1609)*1440,0),0))</f>
        <v/>
      </c>
      <c r="Q1609" s="85">
        <f>IF($M1609="",0,IF(($M1609-IFERROR(INDEX(設定!$G$6:$G$21,MATCH($G1609,設定!$B$6:$B$21,0)),0))*60&gt;=設定!$C$44,ROUND(FLOOR(($M1609-IFERROR(INDEX(設定!$G$6:$G$21,MATCH($G1609,設定!$B$6:$B$21,0)),0))*60,設定!$C$45)/60,2),0))</f>
        <v/>
      </c>
      <c r="R1609" s="16">
        <f>IF(OR($C1609="",$Q1609=0),"",IF($G1609="國","國定假日",IF($B1609="日","例假",IF($B1609="六","休息日","平日"))))</f>
        <v/>
      </c>
      <c r="S1609" s="19" t="n"/>
    </row>
    <row r="1610">
      <c r="A1610" s="82">
        <f>IF(OR(助理班表!$A56="",27&gt;DAY(EOMONTH(DATE(設定!$C$2,設定!$D$2,1),0))),"",DATE(設定!$C$2,設定!$D$2,27))</f>
        <v/>
      </c>
      <c r="B1610" s="16">
        <f>IF($A1610="","",INDEX(設定!$O$6:$O$12,WEEKDAY($A1610,1)))</f>
        <v/>
      </c>
      <c r="C1610" s="16">
        <f>IF($A1610="","",助理班表!$A56)</f>
        <v/>
      </c>
      <c r="D1610" s="16">
        <f>IF($C1610="","",助理班表!$B56)</f>
        <v/>
      </c>
      <c r="E1610" s="16">
        <f>IF($C1610="","",助理班表!$D56)</f>
        <v/>
      </c>
      <c r="F1610" s="16">
        <f>IF($C1610="","",助理班表!$C56)</f>
        <v/>
      </c>
      <c r="G1610" s="16">
        <f>IF($C1610="","",助理班表!AE56)</f>
        <v/>
      </c>
      <c r="H1610" s="83">
        <f>IF($G1610="","",IFERROR(IF(INDEX(設定!$D$6:$D$21,MATCH($G1610,設定!$B$6:$B$21,0))=0,"",INDEX(設定!$D$6:$D$21,MATCH($G1610,設定!$B$6:$B$21,0))),""))</f>
        <v/>
      </c>
      <c r="I1610" s="83">
        <f>IF($G1610="","",IFERROR(IF(INDEX(設定!$E$6:$E$21,MATCH($G1610,設定!$B$6:$B$21,0))=0,"",INDEX(設定!$E$6:$E$21,MATCH($G1610,設定!$B$6:$B$21,0))),""))</f>
        <v/>
      </c>
      <c r="J1610" s="83">
        <f>IFERROR(INDEX(打卡匯入!$C$3:$C$2002,MATCH($C1610&amp;"|"&amp;DAY($A1610),打卡匯入!$E$3:$E$2002,0)),"")</f>
        <v/>
      </c>
      <c r="K1610" s="83">
        <f>IFERROR(INDEX(打卡匯入!$D$3:$D$2002,MATCH($C1610&amp;"|"&amp;DAY($A1610),打卡匯入!$E$3:$E$2002,0)),"")</f>
        <v/>
      </c>
      <c r="L1610" s="84">
        <f>IF(OR($J1610="",$K1610=""),"",IFERROR(INDEX(設定!$F$6:$F$21,MATCH($G1610,設定!$B$6:$B$21,0)),0))</f>
        <v/>
      </c>
      <c r="M1610" s="85">
        <f>IF(OR($J1610="",$K1610=""),"",ROUND(($K1610-$J1610)*24-$L1610/60,2))</f>
        <v/>
      </c>
      <c r="N1610" s="16">
        <f>IF($C1610="","",IF(AND(COUNTIF(設定!$B$15:$B$21,$G1610)&gt;0,$J1610&lt;&gt;""),"假日出勤",IF(AND(COUNTIF(設定!$B$6:$B$14,$G1610)&gt;0,$J1610=""),"未打卡",IF($J1610="","",IF($O1610&gt;0,"遲到",IF($P1610&gt;0,"早退","正常"))))))</f>
        <v/>
      </c>
      <c r="O1610" s="84">
        <f>IF(OR($C1610="",$H1610="",$J1610=""),0,IF(ROUND(($J1610-$H1610)*1440,0)&gt;設定!$C$46,ROUND(($J1610-$H1610)*1440,0),0))</f>
        <v/>
      </c>
      <c r="P1610" s="84">
        <f>IF(OR($C1610="",$I1610="",$K1610=""),0,IF(ROUND(($I1610-$K1610)*1440,0)&gt;設定!$C$46,ROUND(($I1610-$K1610)*1440,0),0))</f>
        <v/>
      </c>
      <c r="Q1610" s="85">
        <f>IF($M1610="",0,IF(($M1610-IFERROR(INDEX(設定!$G$6:$G$21,MATCH($G1610,設定!$B$6:$B$21,0)),0))*60&gt;=設定!$C$44,ROUND(FLOOR(($M1610-IFERROR(INDEX(設定!$G$6:$G$21,MATCH($G1610,設定!$B$6:$B$21,0)),0))*60,設定!$C$45)/60,2),0))</f>
        <v/>
      </c>
      <c r="R1610" s="16">
        <f>IF(OR($C1610="",$Q1610=0),"",IF($G1610="國","國定假日",IF($B1610="日","例假",IF($B1610="六","休息日","平日"))))</f>
        <v/>
      </c>
      <c r="S1610" s="19" t="n"/>
    </row>
    <row r="1611">
      <c r="A1611" s="82">
        <f>IF(OR(助理班表!$A56="",28&gt;DAY(EOMONTH(DATE(設定!$C$2,設定!$D$2,1),0))),"",DATE(設定!$C$2,設定!$D$2,28))</f>
        <v/>
      </c>
      <c r="B1611" s="16">
        <f>IF($A1611="","",INDEX(設定!$O$6:$O$12,WEEKDAY($A1611,1)))</f>
        <v/>
      </c>
      <c r="C1611" s="16">
        <f>IF($A1611="","",助理班表!$A56)</f>
        <v/>
      </c>
      <c r="D1611" s="16">
        <f>IF($C1611="","",助理班表!$B56)</f>
        <v/>
      </c>
      <c r="E1611" s="16">
        <f>IF($C1611="","",助理班表!$D56)</f>
        <v/>
      </c>
      <c r="F1611" s="16">
        <f>IF($C1611="","",助理班表!$C56)</f>
        <v/>
      </c>
      <c r="G1611" s="16">
        <f>IF($C1611="","",助理班表!AF56)</f>
        <v/>
      </c>
      <c r="H1611" s="83">
        <f>IF($G1611="","",IFERROR(IF(INDEX(設定!$D$6:$D$21,MATCH($G1611,設定!$B$6:$B$21,0))=0,"",INDEX(設定!$D$6:$D$21,MATCH($G1611,設定!$B$6:$B$21,0))),""))</f>
        <v/>
      </c>
      <c r="I1611" s="83">
        <f>IF($G1611="","",IFERROR(IF(INDEX(設定!$E$6:$E$21,MATCH($G1611,設定!$B$6:$B$21,0))=0,"",INDEX(設定!$E$6:$E$21,MATCH($G1611,設定!$B$6:$B$21,0))),""))</f>
        <v/>
      </c>
      <c r="J1611" s="83">
        <f>IFERROR(INDEX(打卡匯入!$C$3:$C$2002,MATCH($C1611&amp;"|"&amp;DAY($A1611),打卡匯入!$E$3:$E$2002,0)),"")</f>
        <v/>
      </c>
      <c r="K1611" s="83">
        <f>IFERROR(INDEX(打卡匯入!$D$3:$D$2002,MATCH($C1611&amp;"|"&amp;DAY($A1611),打卡匯入!$E$3:$E$2002,0)),"")</f>
        <v/>
      </c>
      <c r="L1611" s="84">
        <f>IF(OR($J1611="",$K1611=""),"",IFERROR(INDEX(設定!$F$6:$F$21,MATCH($G1611,設定!$B$6:$B$21,0)),0))</f>
        <v/>
      </c>
      <c r="M1611" s="85">
        <f>IF(OR($J1611="",$K1611=""),"",ROUND(($K1611-$J1611)*24-$L1611/60,2))</f>
        <v/>
      </c>
      <c r="N1611" s="16">
        <f>IF($C1611="","",IF(AND(COUNTIF(設定!$B$15:$B$21,$G1611)&gt;0,$J1611&lt;&gt;""),"假日出勤",IF(AND(COUNTIF(設定!$B$6:$B$14,$G1611)&gt;0,$J1611=""),"未打卡",IF($J1611="","",IF($O1611&gt;0,"遲到",IF($P1611&gt;0,"早退","正常"))))))</f>
        <v/>
      </c>
      <c r="O1611" s="84">
        <f>IF(OR($C1611="",$H1611="",$J1611=""),0,IF(ROUND(($J1611-$H1611)*1440,0)&gt;設定!$C$46,ROUND(($J1611-$H1611)*1440,0),0))</f>
        <v/>
      </c>
      <c r="P1611" s="84">
        <f>IF(OR($C1611="",$I1611="",$K1611=""),0,IF(ROUND(($I1611-$K1611)*1440,0)&gt;設定!$C$46,ROUND(($I1611-$K1611)*1440,0),0))</f>
        <v/>
      </c>
      <c r="Q1611" s="85">
        <f>IF($M1611="",0,IF(($M1611-IFERROR(INDEX(設定!$G$6:$G$21,MATCH($G1611,設定!$B$6:$B$21,0)),0))*60&gt;=設定!$C$44,ROUND(FLOOR(($M1611-IFERROR(INDEX(設定!$G$6:$G$21,MATCH($G1611,設定!$B$6:$B$21,0)),0))*60,設定!$C$45)/60,2),0))</f>
        <v/>
      </c>
      <c r="R1611" s="16">
        <f>IF(OR($C1611="",$Q1611=0),"",IF($G1611="國","國定假日",IF($B1611="日","例假",IF($B1611="六","休息日","平日"))))</f>
        <v/>
      </c>
      <c r="S1611" s="19" t="n"/>
    </row>
    <row r="1612">
      <c r="A1612" s="82">
        <f>IF(OR(助理班表!$A56="",29&gt;DAY(EOMONTH(DATE(設定!$C$2,設定!$D$2,1),0))),"",DATE(設定!$C$2,設定!$D$2,29))</f>
        <v/>
      </c>
      <c r="B1612" s="16">
        <f>IF($A1612="","",INDEX(設定!$O$6:$O$12,WEEKDAY($A1612,1)))</f>
        <v/>
      </c>
      <c r="C1612" s="16">
        <f>IF($A1612="","",助理班表!$A56)</f>
        <v/>
      </c>
      <c r="D1612" s="16">
        <f>IF($C1612="","",助理班表!$B56)</f>
        <v/>
      </c>
      <c r="E1612" s="16">
        <f>IF($C1612="","",助理班表!$D56)</f>
        <v/>
      </c>
      <c r="F1612" s="16">
        <f>IF($C1612="","",助理班表!$C56)</f>
        <v/>
      </c>
      <c r="G1612" s="16">
        <f>IF($C1612="","",助理班表!AG56)</f>
        <v/>
      </c>
      <c r="H1612" s="83">
        <f>IF($G1612="","",IFERROR(IF(INDEX(設定!$D$6:$D$21,MATCH($G1612,設定!$B$6:$B$21,0))=0,"",INDEX(設定!$D$6:$D$21,MATCH($G1612,設定!$B$6:$B$21,0))),""))</f>
        <v/>
      </c>
      <c r="I1612" s="83">
        <f>IF($G1612="","",IFERROR(IF(INDEX(設定!$E$6:$E$21,MATCH($G1612,設定!$B$6:$B$21,0))=0,"",INDEX(設定!$E$6:$E$21,MATCH($G1612,設定!$B$6:$B$21,0))),""))</f>
        <v/>
      </c>
      <c r="J1612" s="83">
        <f>IFERROR(INDEX(打卡匯入!$C$3:$C$2002,MATCH($C1612&amp;"|"&amp;DAY($A1612),打卡匯入!$E$3:$E$2002,0)),"")</f>
        <v/>
      </c>
      <c r="K1612" s="83">
        <f>IFERROR(INDEX(打卡匯入!$D$3:$D$2002,MATCH($C1612&amp;"|"&amp;DAY($A1612),打卡匯入!$E$3:$E$2002,0)),"")</f>
        <v/>
      </c>
      <c r="L1612" s="84">
        <f>IF(OR($J1612="",$K1612=""),"",IFERROR(INDEX(設定!$F$6:$F$21,MATCH($G1612,設定!$B$6:$B$21,0)),0))</f>
        <v/>
      </c>
      <c r="M1612" s="85">
        <f>IF(OR($J1612="",$K1612=""),"",ROUND(($K1612-$J1612)*24-$L1612/60,2))</f>
        <v/>
      </c>
      <c r="N1612" s="16">
        <f>IF($C1612="","",IF(AND(COUNTIF(設定!$B$15:$B$21,$G1612)&gt;0,$J1612&lt;&gt;""),"假日出勤",IF(AND(COUNTIF(設定!$B$6:$B$14,$G1612)&gt;0,$J1612=""),"未打卡",IF($J1612="","",IF($O1612&gt;0,"遲到",IF($P1612&gt;0,"早退","正常"))))))</f>
        <v/>
      </c>
      <c r="O1612" s="84">
        <f>IF(OR($C1612="",$H1612="",$J1612=""),0,IF(ROUND(($J1612-$H1612)*1440,0)&gt;設定!$C$46,ROUND(($J1612-$H1612)*1440,0),0))</f>
        <v/>
      </c>
      <c r="P1612" s="84">
        <f>IF(OR($C1612="",$I1612="",$K1612=""),0,IF(ROUND(($I1612-$K1612)*1440,0)&gt;設定!$C$46,ROUND(($I1612-$K1612)*1440,0),0))</f>
        <v/>
      </c>
      <c r="Q1612" s="85">
        <f>IF($M1612="",0,IF(($M1612-IFERROR(INDEX(設定!$G$6:$G$21,MATCH($G1612,設定!$B$6:$B$21,0)),0))*60&gt;=設定!$C$44,ROUND(FLOOR(($M1612-IFERROR(INDEX(設定!$G$6:$G$21,MATCH($G1612,設定!$B$6:$B$21,0)),0))*60,設定!$C$45)/60,2),0))</f>
        <v/>
      </c>
      <c r="R1612" s="16">
        <f>IF(OR($C1612="",$Q1612=0),"",IF($G1612="國","國定假日",IF($B1612="日","例假",IF($B1612="六","休息日","平日"))))</f>
        <v/>
      </c>
      <c r="S1612" s="19" t="n"/>
    </row>
    <row r="1613">
      <c r="A1613" s="82">
        <f>IF(OR(助理班表!$A56="",30&gt;DAY(EOMONTH(DATE(設定!$C$2,設定!$D$2,1),0))),"",DATE(設定!$C$2,設定!$D$2,30))</f>
        <v/>
      </c>
      <c r="B1613" s="16">
        <f>IF($A1613="","",INDEX(設定!$O$6:$O$12,WEEKDAY($A1613,1)))</f>
        <v/>
      </c>
      <c r="C1613" s="16">
        <f>IF($A1613="","",助理班表!$A56)</f>
        <v/>
      </c>
      <c r="D1613" s="16">
        <f>IF($C1613="","",助理班表!$B56)</f>
        <v/>
      </c>
      <c r="E1613" s="16">
        <f>IF($C1613="","",助理班表!$D56)</f>
        <v/>
      </c>
      <c r="F1613" s="16">
        <f>IF($C1613="","",助理班表!$C56)</f>
        <v/>
      </c>
      <c r="G1613" s="16">
        <f>IF($C1613="","",助理班表!AH56)</f>
        <v/>
      </c>
      <c r="H1613" s="83">
        <f>IF($G1613="","",IFERROR(IF(INDEX(設定!$D$6:$D$21,MATCH($G1613,設定!$B$6:$B$21,0))=0,"",INDEX(設定!$D$6:$D$21,MATCH($G1613,設定!$B$6:$B$21,0))),""))</f>
        <v/>
      </c>
      <c r="I1613" s="83">
        <f>IF($G1613="","",IFERROR(IF(INDEX(設定!$E$6:$E$21,MATCH($G1613,設定!$B$6:$B$21,0))=0,"",INDEX(設定!$E$6:$E$21,MATCH($G1613,設定!$B$6:$B$21,0))),""))</f>
        <v/>
      </c>
      <c r="J1613" s="83">
        <f>IFERROR(INDEX(打卡匯入!$C$3:$C$2002,MATCH($C1613&amp;"|"&amp;DAY($A1613),打卡匯入!$E$3:$E$2002,0)),"")</f>
        <v/>
      </c>
      <c r="K1613" s="83">
        <f>IFERROR(INDEX(打卡匯入!$D$3:$D$2002,MATCH($C1613&amp;"|"&amp;DAY($A1613),打卡匯入!$E$3:$E$2002,0)),"")</f>
        <v/>
      </c>
      <c r="L1613" s="84">
        <f>IF(OR($J1613="",$K1613=""),"",IFERROR(INDEX(設定!$F$6:$F$21,MATCH($G1613,設定!$B$6:$B$21,0)),0))</f>
        <v/>
      </c>
      <c r="M1613" s="85">
        <f>IF(OR($J1613="",$K1613=""),"",ROUND(($K1613-$J1613)*24-$L1613/60,2))</f>
        <v/>
      </c>
      <c r="N1613" s="16">
        <f>IF($C1613="","",IF(AND(COUNTIF(設定!$B$15:$B$21,$G1613)&gt;0,$J1613&lt;&gt;""),"假日出勤",IF(AND(COUNTIF(設定!$B$6:$B$14,$G1613)&gt;0,$J1613=""),"未打卡",IF($J1613="","",IF($O1613&gt;0,"遲到",IF($P1613&gt;0,"早退","正常"))))))</f>
        <v/>
      </c>
      <c r="O1613" s="84">
        <f>IF(OR($C1613="",$H1613="",$J1613=""),0,IF(ROUND(($J1613-$H1613)*1440,0)&gt;設定!$C$46,ROUND(($J1613-$H1613)*1440,0),0))</f>
        <v/>
      </c>
      <c r="P1613" s="84">
        <f>IF(OR($C1613="",$I1613="",$K1613=""),0,IF(ROUND(($I1613-$K1613)*1440,0)&gt;設定!$C$46,ROUND(($I1613-$K1613)*1440,0),0))</f>
        <v/>
      </c>
      <c r="Q1613" s="85">
        <f>IF($M1613="",0,IF(($M1613-IFERROR(INDEX(設定!$G$6:$G$21,MATCH($G1613,設定!$B$6:$B$21,0)),0))*60&gt;=設定!$C$44,ROUND(FLOOR(($M1613-IFERROR(INDEX(設定!$G$6:$G$21,MATCH($G1613,設定!$B$6:$B$21,0)),0))*60,設定!$C$45)/60,2),0))</f>
        <v/>
      </c>
      <c r="R1613" s="16">
        <f>IF(OR($C1613="",$Q1613=0),"",IF($G1613="國","國定假日",IF($B1613="日","例假",IF($B1613="六","休息日","平日"))))</f>
        <v/>
      </c>
      <c r="S1613" s="19" t="n"/>
    </row>
    <row r="1614">
      <c r="A1614" s="82">
        <f>IF(OR(助理班表!$A56="",31&gt;DAY(EOMONTH(DATE(設定!$C$2,設定!$D$2,1),0))),"",DATE(設定!$C$2,設定!$D$2,31))</f>
        <v/>
      </c>
      <c r="B1614" s="16">
        <f>IF($A1614="","",INDEX(設定!$O$6:$O$12,WEEKDAY($A1614,1)))</f>
        <v/>
      </c>
      <c r="C1614" s="16">
        <f>IF($A1614="","",助理班表!$A56)</f>
        <v/>
      </c>
      <c r="D1614" s="16">
        <f>IF($C1614="","",助理班表!$B56)</f>
        <v/>
      </c>
      <c r="E1614" s="16">
        <f>IF($C1614="","",助理班表!$D56)</f>
        <v/>
      </c>
      <c r="F1614" s="16">
        <f>IF($C1614="","",助理班表!$C56)</f>
        <v/>
      </c>
      <c r="G1614" s="16">
        <f>IF($C1614="","",助理班表!AI56)</f>
        <v/>
      </c>
      <c r="H1614" s="83">
        <f>IF($G1614="","",IFERROR(IF(INDEX(設定!$D$6:$D$21,MATCH($G1614,設定!$B$6:$B$21,0))=0,"",INDEX(設定!$D$6:$D$21,MATCH($G1614,設定!$B$6:$B$21,0))),""))</f>
        <v/>
      </c>
      <c r="I1614" s="83">
        <f>IF($G1614="","",IFERROR(IF(INDEX(設定!$E$6:$E$21,MATCH($G1614,設定!$B$6:$B$21,0))=0,"",INDEX(設定!$E$6:$E$21,MATCH($G1614,設定!$B$6:$B$21,0))),""))</f>
        <v/>
      </c>
      <c r="J1614" s="83">
        <f>IFERROR(INDEX(打卡匯入!$C$3:$C$2002,MATCH($C1614&amp;"|"&amp;DAY($A1614),打卡匯入!$E$3:$E$2002,0)),"")</f>
        <v/>
      </c>
      <c r="K1614" s="83">
        <f>IFERROR(INDEX(打卡匯入!$D$3:$D$2002,MATCH($C1614&amp;"|"&amp;DAY($A1614),打卡匯入!$E$3:$E$2002,0)),"")</f>
        <v/>
      </c>
      <c r="L1614" s="84">
        <f>IF(OR($J1614="",$K1614=""),"",IFERROR(INDEX(設定!$F$6:$F$21,MATCH($G1614,設定!$B$6:$B$21,0)),0))</f>
        <v/>
      </c>
      <c r="M1614" s="85">
        <f>IF(OR($J1614="",$K1614=""),"",ROUND(($K1614-$J1614)*24-$L1614/60,2))</f>
        <v/>
      </c>
      <c r="N1614" s="16">
        <f>IF($C1614="","",IF(AND(COUNTIF(設定!$B$15:$B$21,$G1614)&gt;0,$J1614&lt;&gt;""),"假日出勤",IF(AND(COUNTIF(設定!$B$6:$B$14,$G1614)&gt;0,$J1614=""),"未打卡",IF($J1614="","",IF($O1614&gt;0,"遲到",IF($P1614&gt;0,"早退","正常"))))))</f>
        <v/>
      </c>
      <c r="O1614" s="84">
        <f>IF(OR($C1614="",$H1614="",$J1614=""),0,IF(ROUND(($J1614-$H1614)*1440,0)&gt;設定!$C$46,ROUND(($J1614-$H1614)*1440,0),0))</f>
        <v/>
      </c>
      <c r="P1614" s="84">
        <f>IF(OR($C1614="",$I1614="",$K1614=""),0,IF(ROUND(($I1614-$K1614)*1440,0)&gt;設定!$C$46,ROUND(($I1614-$K1614)*1440,0),0))</f>
        <v/>
      </c>
      <c r="Q1614" s="85">
        <f>IF($M1614="",0,IF(($M1614-IFERROR(INDEX(設定!$G$6:$G$21,MATCH($G1614,設定!$B$6:$B$21,0)),0))*60&gt;=設定!$C$44,ROUND(FLOOR(($M1614-IFERROR(INDEX(設定!$G$6:$G$21,MATCH($G1614,設定!$B$6:$B$21,0)),0))*60,設定!$C$45)/60,2),0))</f>
        <v/>
      </c>
      <c r="R1614" s="16">
        <f>IF(OR($C1614="",$Q1614=0),"",IF($G1614="國","國定假日",IF($B1614="日","例假",IF($B1614="六","休息日","平日"))))</f>
        <v/>
      </c>
      <c r="S1614" s="19" t="n"/>
    </row>
    <row r="1615">
      <c r="A1615" s="82">
        <f>IF(OR(助理班表!$A57="",1&gt;DAY(EOMONTH(DATE(設定!$C$2,設定!$D$2,1),0))),"",DATE(設定!$C$2,設定!$D$2,1))</f>
        <v/>
      </c>
      <c r="B1615" s="16">
        <f>IF($A1615="","",INDEX(設定!$O$6:$O$12,WEEKDAY($A1615,1)))</f>
        <v/>
      </c>
      <c r="C1615" s="16">
        <f>IF($A1615="","",助理班表!$A57)</f>
        <v/>
      </c>
      <c r="D1615" s="16">
        <f>IF($C1615="","",助理班表!$B57)</f>
        <v/>
      </c>
      <c r="E1615" s="16">
        <f>IF($C1615="","",助理班表!$D57)</f>
        <v/>
      </c>
      <c r="F1615" s="16">
        <f>IF($C1615="","",助理班表!$C57)</f>
        <v/>
      </c>
      <c r="G1615" s="16">
        <f>IF($C1615="","",助理班表!E57)</f>
        <v/>
      </c>
      <c r="H1615" s="83">
        <f>IF($G1615="","",IFERROR(IF(INDEX(設定!$D$6:$D$21,MATCH($G1615,設定!$B$6:$B$21,0))=0,"",INDEX(設定!$D$6:$D$21,MATCH($G1615,設定!$B$6:$B$21,0))),""))</f>
        <v/>
      </c>
      <c r="I1615" s="83">
        <f>IF($G1615="","",IFERROR(IF(INDEX(設定!$E$6:$E$21,MATCH($G1615,設定!$B$6:$B$21,0))=0,"",INDEX(設定!$E$6:$E$21,MATCH($G1615,設定!$B$6:$B$21,0))),""))</f>
        <v/>
      </c>
      <c r="J1615" s="83">
        <f>IFERROR(INDEX(打卡匯入!$C$3:$C$2002,MATCH($C1615&amp;"|"&amp;DAY($A1615),打卡匯入!$E$3:$E$2002,0)),"")</f>
        <v/>
      </c>
      <c r="K1615" s="83">
        <f>IFERROR(INDEX(打卡匯入!$D$3:$D$2002,MATCH($C1615&amp;"|"&amp;DAY($A1615),打卡匯入!$E$3:$E$2002,0)),"")</f>
        <v/>
      </c>
      <c r="L1615" s="84">
        <f>IF(OR($J1615="",$K1615=""),"",IFERROR(INDEX(設定!$F$6:$F$21,MATCH($G1615,設定!$B$6:$B$21,0)),0))</f>
        <v/>
      </c>
      <c r="M1615" s="85">
        <f>IF(OR($J1615="",$K1615=""),"",ROUND(($K1615-$J1615)*24-$L1615/60,2))</f>
        <v/>
      </c>
      <c r="N1615" s="16">
        <f>IF($C1615="","",IF(AND(COUNTIF(設定!$B$15:$B$21,$G1615)&gt;0,$J1615&lt;&gt;""),"假日出勤",IF(AND(COUNTIF(設定!$B$6:$B$14,$G1615)&gt;0,$J1615=""),"未打卡",IF($J1615="","",IF($O1615&gt;0,"遲到",IF($P1615&gt;0,"早退","正常"))))))</f>
        <v/>
      </c>
      <c r="O1615" s="84">
        <f>IF(OR($C1615="",$H1615="",$J1615=""),0,IF(ROUND(($J1615-$H1615)*1440,0)&gt;設定!$C$46,ROUND(($J1615-$H1615)*1440,0),0))</f>
        <v/>
      </c>
      <c r="P1615" s="84">
        <f>IF(OR($C1615="",$I1615="",$K1615=""),0,IF(ROUND(($I1615-$K1615)*1440,0)&gt;設定!$C$46,ROUND(($I1615-$K1615)*1440,0),0))</f>
        <v/>
      </c>
      <c r="Q1615" s="85">
        <f>IF($M1615="",0,IF(($M1615-IFERROR(INDEX(設定!$G$6:$G$21,MATCH($G1615,設定!$B$6:$B$21,0)),0))*60&gt;=設定!$C$44,ROUND(FLOOR(($M1615-IFERROR(INDEX(設定!$G$6:$G$21,MATCH($G1615,設定!$B$6:$B$21,0)),0))*60,設定!$C$45)/60,2),0))</f>
        <v/>
      </c>
      <c r="R1615" s="16">
        <f>IF(OR($C1615="",$Q1615=0),"",IF($G1615="國","國定假日",IF($B1615="日","例假",IF($B1615="六","休息日","平日"))))</f>
        <v/>
      </c>
      <c r="S1615" s="19" t="n"/>
    </row>
    <row r="1616">
      <c r="A1616" s="82">
        <f>IF(OR(助理班表!$A57="",2&gt;DAY(EOMONTH(DATE(設定!$C$2,設定!$D$2,1),0))),"",DATE(設定!$C$2,設定!$D$2,2))</f>
        <v/>
      </c>
      <c r="B1616" s="16">
        <f>IF($A1616="","",INDEX(設定!$O$6:$O$12,WEEKDAY($A1616,1)))</f>
        <v/>
      </c>
      <c r="C1616" s="16">
        <f>IF($A1616="","",助理班表!$A57)</f>
        <v/>
      </c>
      <c r="D1616" s="16">
        <f>IF($C1616="","",助理班表!$B57)</f>
        <v/>
      </c>
      <c r="E1616" s="16">
        <f>IF($C1616="","",助理班表!$D57)</f>
        <v/>
      </c>
      <c r="F1616" s="16">
        <f>IF($C1616="","",助理班表!$C57)</f>
        <v/>
      </c>
      <c r="G1616" s="16">
        <f>IF($C1616="","",助理班表!F57)</f>
        <v/>
      </c>
      <c r="H1616" s="83">
        <f>IF($G1616="","",IFERROR(IF(INDEX(設定!$D$6:$D$21,MATCH($G1616,設定!$B$6:$B$21,0))=0,"",INDEX(設定!$D$6:$D$21,MATCH($G1616,設定!$B$6:$B$21,0))),""))</f>
        <v/>
      </c>
      <c r="I1616" s="83">
        <f>IF($G1616="","",IFERROR(IF(INDEX(設定!$E$6:$E$21,MATCH($G1616,設定!$B$6:$B$21,0))=0,"",INDEX(設定!$E$6:$E$21,MATCH($G1616,設定!$B$6:$B$21,0))),""))</f>
        <v/>
      </c>
      <c r="J1616" s="83">
        <f>IFERROR(INDEX(打卡匯入!$C$3:$C$2002,MATCH($C1616&amp;"|"&amp;DAY($A1616),打卡匯入!$E$3:$E$2002,0)),"")</f>
        <v/>
      </c>
      <c r="K1616" s="83">
        <f>IFERROR(INDEX(打卡匯入!$D$3:$D$2002,MATCH($C1616&amp;"|"&amp;DAY($A1616),打卡匯入!$E$3:$E$2002,0)),"")</f>
        <v/>
      </c>
      <c r="L1616" s="84">
        <f>IF(OR($J1616="",$K1616=""),"",IFERROR(INDEX(設定!$F$6:$F$21,MATCH($G1616,設定!$B$6:$B$21,0)),0))</f>
        <v/>
      </c>
      <c r="M1616" s="85">
        <f>IF(OR($J1616="",$K1616=""),"",ROUND(($K1616-$J1616)*24-$L1616/60,2))</f>
        <v/>
      </c>
      <c r="N1616" s="16">
        <f>IF($C1616="","",IF(AND(COUNTIF(設定!$B$15:$B$21,$G1616)&gt;0,$J1616&lt;&gt;""),"假日出勤",IF(AND(COUNTIF(設定!$B$6:$B$14,$G1616)&gt;0,$J1616=""),"未打卡",IF($J1616="","",IF($O1616&gt;0,"遲到",IF($P1616&gt;0,"早退","正常"))))))</f>
        <v/>
      </c>
      <c r="O1616" s="84">
        <f>IF(OR($C1616="",$H1616="",$J1616=""),0,IF(ROUND(($J1616-$H1616)*1440,0)&gt;設定!$C$46,ROUND(($J1616-$H1616)*1440,0),0))</f>
        <v/>
      </c>
      <c r="P1616" s="84">
        <f>IF(OR($C1616="",$I1616="",$K1616=""),0,IF(ROUND(($I1616-$K1616)*1440,0)&gt;設定!$C$46,ROUND(($I1616-$K1616)*1440,0),0))</f>
        <v/>
      </c>
      <c r="Q1616" s="85">
        <f>IF($M1616="",0,IF(($M1616-IFERROR(INDEX(設定!$G$6:$G$21,MATCH($G1616,設定!$B$6:$B$21,0)),0))*60&gt;=設定!$C$44,ROUND(FLOOR(($M1616-IFERROR(INDEX(設定!$G$6:$G$21,MATCH($G1616,設定!$B$6:$B$21,0)),0))*60,設定!$C$45)/60,2),0))</f>
        <v/>
      </c>
      <c r="R1616" s="16">
        <f>IF(OR($C1616="",$Q1616=0),"",IF($G1616="國","國定假日",IF($B1616="日","例假",IF($B1616="六","休息日","平日"))))</f>
        <v/>
      </c>
      <c r="S1616" s="19" t="n"/>
    </row>
    <row r="1617">
      <c r="A1617" s="82">
        <f>IF(OR(助理班表!$A57="",3&gt;DAY(EOMONTH(DATE(設定!$C$2,設定!$D$2,1),0))),"",DATE(設定!$C$2,設定!$D$2,3))</f>
        <v/>
      </c>
      <c r="B1617" s="16">
        <f>IF($A1617="","",INDEX(設定!$O$6:$O$12,WEEKDAY($A1617,1)))</f>
        <v/>
      </c>
      <c r="C1617" s="16">
        <f>IF($A1617="","",助理班表!$A57)</f>
        <v/>
      </c>
      <c r="D1617" s="16">
        <f>IF($C1617="","",助理班表!$B57)</f>
        <v/>
      </c>
      <c r="E1617" s="16">
        <f>IF($C1617="","",助理班表!$D57)</f>
        <v/>
      </c>
      <c r="F1617" s="16">
        <f>IF($C1617="","",助理班表!$C57)</f>
        <v/>
      </c>
      <c r="G1617" s="16">
        <f>IF($C1617="","",助理班表!G57)</f>
        <v/>
      </c>
      <c r="H1617" s="83">
        <f>IF($G1617="","",IFERROR(IF(INDEX(設定!$D$6:$D$21,MATCH($G1617,設定!$B$6:$B$21,0))=0,"",INDEX(設定!$D$6:$D$21,MATCH($G1617,設定!$B$6:$B$21,0))),""))</f>
        <v/>
      </c>
      <c r="I1617" s="83">
        <f>IF($G1617="","",IFERROR(IF(INDEX(設定!$E$6:$E$21,MATCH($G1617,設定!$B$6:$B$21,0))=0,"",INDEX(設定!$E$6:$E$21,MATCH($G1617,設定!$B$6:$B$21,0))),""))</f>
        <v/>
      </c>
      <c r="J1617" s="83">
        <f>IFERROR(INDEX(打卡匯入!$C$3:$C$2002,MATCH($C1617&amp;"|"&amp;DAY($A1617),打卡匯入!$E$3:$E$2002,0)),"")</f>
        <v/>
      </c>
      <c r="K1617" s="83">
        <f>IFERROR(INDEX(打卡匯入!$D$3:$D$2002,MATCH($C1617&amp;"|"&amp;DAY($A1617),打卡匯入!$E$3:$E$2002,0)),"")</f>
        <v/>
      </c>
      <c r="L1617" s="84">
        <f>IF(OR($J1617="",$K1617=""),"",IFERROR(INDEX(設定!$F$6:$F$21,MATCH($G1617,設定!$B$6:$B$21,0)),0))</f>
        <v/>
      </c>
      <c r="M1617" s="85">
        <f>IF(OR($J1617="",$K1617=""),"",ROUND(($K1617-$J1617)*24-$L1617/60,2))</f>
        <v/>
      </c>
      <c r="N1617" s="16">
        <f>IF($C1617="","",IF(AND(COUNTIF(設定!$B$15:$B$21,$G1617)&gt;0,$J1617&lt;&gt;""),"假日出勤",IF(AND(COUNTIF(設定!$B$6:$B$14,$G1617)&gt;0,$J1617=""),"未打卡",IF($J1617="","",IF($O1617&gt;0,"遲到",IF($P1617&gt;0,"早退","正常"))))))</f>
        <v/>
      </c>
      <c r="O1617" s="84">
        <f>IF(OR($C1617="",$H1617="",$J1617=""),0,IF(ROUND(($J1617-$H1617)*1440,0)&gt;設定!$C$46,ROUND(($J1617-$H1617)*1440,0),0))</f>
        <v/>
      </c>
      <c r="P1617" s="84">
        <f>IF(OR($C1617="",$I1617="",$K1617=""),0,IF(ROUND(($I1617-$K1617)*1440,0)&gt;設定!$C$46,ROUND(($I1617-$K1617)*1440,0),0))</f>
        <v/>
      </c>
      <c r="Q1617" s="85">
        <f>IF($M1617="",0,IF(($M1617-IFERROR(INDEX(設定!$G$6:$G$21,MATCH($G1617,設定!$B$6:$B$21,0)),0))*60&gt;=設定!$C$44,ROUND(FLOOR(($M1617-IFERROR(INDEX(設定!$G$6:$G$21,MATCH($G1617,設定!$B$6:$B$21,0)),0))*60,設定!$C$45)/60,2),0))</f>
        <v/>
      </c>
      <c r="R1617" s="16">
        <f>IF(OR($C1617="",$Q1617=0),"",IF($G1617="國","國定假日",IF($B1617="日","例假",IF($B1617="六","休息日","平日"))))</f>
        <v/>
      </c>
      <c r="S1617" s="19" t="n"/>
    </row>
    <row r="1618">
      <c r="A1618" s="82">
        <f>IF(OR(助理班表!$A57="",4&gt;DAY(EOMONTH(DATE(設定!$C$2,設定!$D$2,1),0))),"",DATE(設定!$C$2,設定!$D$2,4))</f>
        <v/>
      </c>
      <c r="B1618" s="16">
        <f>IF($A1618="","",INDEX(設定!$O$6:$O$12,WEEKDAY($A1618,1)))</f>
        <v/>
      </c>
      <c r="C1618" s="16">
        <f>IF($A1618="","",助理班表!$A57)</f>
        <v/>
      </c>
      <c r="D1618" s="16">
        <f>IF($C1618="","",助理班表!$B57)</f>
        <v/>
      </c>
      <c r="E1618" s="16">
        <f>IF($C1618="","",助理班表!$D57)</f>
        <v/>
      </c>
      <c r="F1618" s="16">
        <f>IF($C1618="","",助理班表!$C57)</f>
        <v/>
      </c>
      <c r="G1618" s="16">
        <f>IF($C1618="","",助理班表!H57)</f>
        <v/>
      </c>
      <c r="H1618" s="83">
        <f>IF($G1618="","",IFERROR(IF(INDEX(設定!$D$6:$D$21,MATCH($G1618,設定!$B$6:$B$21,0))=0,"",INDEX(設定!$D$6:$D$21,MATCH($G1618,設定!$B$6:$B$21,0))),""))</f>
        <v/>
      </c>
      <c r="I1618" s="83">
        <f>IF($G1618="","",IFERROR(IF(INDEX(設定!$E$6:$E$21,MATCH($G1618,設定!$B$6:$B$21,0))=0,"",INDEX(設定!$E$6:$E$21,MATCH($G1618,設定!$B$6:$B$21,0))),""))</f>
        <v/>
      </c>
      <c r="J1618" s="83">
        <f>IFERROR(INDEX(打卡匯入!$C$3:$C$2002,MATCH($C1618&amp;"|"&amp;DAY($A1618),打卡匯入!$E$3:$E$2002,0)),"")</f>
        <v/>
      </c>
      <c r="K1618" s="83">
        <f>IFERROR(INDEX(打卡匯入!$D$3:$D$2002,MATCH($C1618&amp;"|"&amp;DAY($A1618),打卡匯入!$E$3:$E$2002,0)),"")</f>
        <v/>
      </c>
      <c r="L1618" s="84">
        <f>IF(OR($J1618="",$K1618=""),"",IFERROR(INDEX(設定!$F$6:$F$21,MATCH($G1618,設定!$B$6:$B$21,0)),0))</f>
        <v/>
      </c>
      <c r="M1618" s="85">
        <f>IF(OR($J1618="",$K1618=""),"",ROUND(($K1618-$J1618)*24-$L1618/60,2))</f>
        <v/>
      </c>
      <c r="N1618" s="16">
        <f>IF($C1618="","",IF(AND(COUNTIF(設定!$B$15:$B$21,$G1618)&gt;0,$J1618&lt;&gt;""),"假日出勤",IF(AND(COUNTIF(設定!$B$6:$B$14,$G1618)&gt;0,$J1618=""),"未打卡",IF($J1618="","",IF($O1618&gt;0,"遲到",IF($P1618&gt;0,"早退","正常"))))))</f>
        <v/>
      </c>
      <c r="O1618" s="84">
        <f>IF(OR($C1618="",$H1618="",$J1618=""),0,IF(ROUND(($J1618-$H1618)*1440,0)&gt;設定!$C$46,ROUND(($J1618-$H1618)*1440,0),0))</f>
        <v/>
      </c>
      <c r="P1618" s="84">
        <f>IF(OR($C1618="",$I1618="",$K1618=""),0,IF(ROUND(($I1618-$K1618)*1440,0)&gt;設定!$C$46,ROUND(($I1618-$K1618)*1440,0),0))</f>
        <v/>
      </c>
      <c r="Q1618" s="85">
        <f>IF($M1618="",0,IF(($M1618-IFERROR(INDEX(設定!$G$6:$G$21,MATCH($G1618,設定!$B$6:$B$21,0)),0))*60&gt;=設定!$C$44,ROUND(FLOOR(($M1618-IFERROR(INDEX(設定!$G$6:$G$21,MATCH($G1618,設定!$B$6:$B$21,0)),0))*60,設定!$C$45)/60,2),0))</f>
        <v/>
      </c>
      <c r="R1618" s="16">
        <f>IF(OR($C1618="",$Q1618=0),"",IF($G1618="國","國定假日",IF($B1618="日","例假",IF($B1618="六","休息日","平日"))))</f>
        <v/>
      </c>
      <c r="S1618" s="19" t="n"/>
    </row>
    <row r="1619">
      <c r="A1619" s="82">
        <f>IF(OR(助理班表!$A57="",5&gt;DAY(EOMONTH(DATE(設定!$C$2,設定!$D$2,1),0))),"",DATE(設定!$C$2,設定!$D$2,5))</f>
        <v/>
      </c>
      <c r="B1619" s="16">
        <f>IF($A1619="","",INDEX(設定!$O$6:$O$12,WEEKDAY($A1619,1)))</f>
        <v/>
      </c>
      <c r="C1619" s="16">
        <f>IF($A1619="","",助理班表!$A57)</f>
        <v/>
      </c>
      <c r="D1619" s="16">
        <f>IF($C1619="","",助理班表!$B57)</f>
        <v/>
      </c>
      <c r="E1619" s="16">
        <f>IF($C1619="","",助理班表!$D57)</f>
        <v/>
      </c>
      <c r="F1619" s="16">
        <f>IF($C1619="","",助理班表!$C57)</f>
        <v/>
      </c>
      <c r="G1619" s="16">
        <f>IF($C1619="","",助理班表!I57)</f>
        <v/>
      </c>
      <c r="H1619" s="83">
        <f>IF($G1619="","",IFERROR(IF(INDEX(設定!$D$6:$D$21,MATCH($G1619,設定!$B$6:$B$21,0))=0,"",INDEX(設定!$D$6:$D$21,MATCH($G1619,設定!$B$6:$B$21,0))),""))</f>
        <v/>
      </c>
      <c r="I1619" s="83">
        <f>IF($G1619="","",IFERROR(IF(INDEX(設定!$E$6:$E$21,MATCH($G1619,設定!$B$6:$B$21,0))=0,"",INDEX(設定!$E$6:$E$21,MATCH($G1619,設定!$B$6:$B$21,0))),""))</f>
        <v/>
      </c>
      <c r="J1619" s="83">
        <f>IFERROR(INDEX(打卡匯入!$C$3:$C$2002,MATCH($C1619&amp;"|"&amp;DAY($A1619),打卡匯入!$E$3:$E$2002,0)),"")</f>
        <v/>
      </c>
      <c r="K1619" s="83">
        <f>IFERROR(INDEX(打卡匯入!$D$3:$D$2002,MATCH($C1619&amp;"|"&amp;DAY($A1619),打卡匯入!$E$3:$E$2002,0)),"")</f>
        <v/>
      </c>
      <c r="L1619" s="84">
        <f>IF(OR($J1619="",$K1619=""),"",IFERROR(INDEX(設定!$F$6:$F$21,MATCH($G1619,設定!$B$6:$B$21,0)),0))</f>
        <v/>
      </c>
      <c r="M1619" s="85">
        <f>IF(OR($J1619="",$K1619=""),"",ROUND(($K1619-$J1619)*24-$L1619/60,2))</f>
        <v/>
      </c>
      <c r="N1619" s="16">
        <f>IF($C1619="","",IF(AND(COUNTIF(設定!$B$15:$B$21,$G1619)&gt;0,$J1619&lt;&gt;""),"假日出勤",IF(AND(COUNTIF(設定!$B$6:$B$14,$G1619)&gt;0,$J1619=""),"未打卡",IF($J1619="","",IF($O1619&gt;0,"遲到",IF($P1619&gt;0,"早退","正常"))))))</f>
        <v/>
      </c>
      <c r="O1619" s="84">
        <f>IF(OR($C1619="",$H1619="",$J1619=""),0,IF(ROUND(($J1619-$H1619)*1440,0)&gt;設定!$C$46,ROUND(($J1619-$H1619)*1440,0),0))</f>
        <v/>
      </c>
      <c r="P1619" s="84">
        <f>IF(OR($C1619="",$I1619="",$K1619=""),0,IF(ROUND(($I1619-$K1619)*1440,0)&gt;設定!$C$46,ROUND(($I1619-$K1619)*1440,0),0))</f>
        <v/>
      </c>
      <c r="Q1619" s="85">
        <f>IF($M1619="",0,IF(($M1619-IFERROR(INDEX(設定!$G$6:$G$21,MATCH($G1619,設定!$B$6:$B$21,0)),0))*60&gt;=設定!$C$44,ROUND(FLOOR(($M1619-IFERROR(INDEX(設定!$G$6:$G$21,MATCH($G1619,設定!$B$6:$B$21,0)),0))*60,設定!$C$45)/60,2),0))</f>
        <v/>
      </c>
      <c r="R1619" s="16">
        <f>IF(OR($C1619="",$Q1619=0),"",IF($G1619="國","國定假日",IF($B1619="日","例假",IF($B1619="六","休息日","平日"))))</f>
        <v/>
      </c>
      <c r="S1619" s="19" t="n"/>
    </row>
    <row r="1620">
      <c r="A1620" s="82">
        <f>IF(OR(助理班表!$A57="",6&gt;DAY(EOMONTH(DATE(設定!$C$2,設定!$D$2,1),0))),"",DATE(設定!$C$2,設定!$D$2,6))</f>
        <v/>
      </c>
      <c r="B1620" s="16">
        <f>IF($A1620="","",INDEX(設定!$O$6:$O$12,WEEKDAY($A1620,1)))</f>
        <v/>
      </c>
      <c r="C1620" s="16">
        <f>IF($A1620="","",助理班表!$A57)</f>
        <v/>
      </c>
      <c r="D1620" s="16">
        <f>IF($C1620="","",助理班表!$B57)</f>
        <v/>
      </c>
      <c r="E1620" s="16">
        <f>IF($C1620="","",助理班表!$D57)</f>
        <v/>
      </c>
      <c r="F1620" s="16">
        <f>IF($C1620="","",助理班表!$C57)</f>
        <v/>
      </c>
      <c r="G1620" s="16">
        <f>IF($C1620="","",助理班表!J57)</f>
        <v/>
      </c>
      <c r="H1620" s="83">
        <f>IF($G1620="","",IFERROR(IF(INDEX(設定!$D$6:$D$21,MATCH($G1620,設定!$B$6:$B$21,0))=0,"",INDEX(設定!$D$6:$D$21,MATCH($G1620,設定!$B$6:$B$21,0))),""))</f>
        <v/>
      </c>
      <c r="I1620" s="83">
        <f>IF($G1620="","",IFERROR(IF(INDEX(設定!$E$6:$E$21,MATCH($G1620,設定!$B$6:$B$21,0))=0,"",INDEX(設定!$E$6:$E$21,MATCH($G1620,設定!$B$6:$B$21,0))),""))</f>
        <v/>
      </c>
      <c r="J1620" s="83">
        <f>IFERROR(INDEX(打卡匯入!$C$3:$C$2002,MATCH($C1620&amp;"|"&amp;DAY($A1620),打卡匯入!$E$3:$E$2002,0)),"")</f>
        <v/>
      </c>
      <c r="K1620" s="83">
        <f>IFERROR(INDEX(打卡匯入!$D$3:$D$2002,MATCH($C1620&amp;"|"&amp;DAY($A1620),打卡匯入!$E$3:$E$2002,0)),"")</f>
        <v/>
      </c>
      <c r="L1620" s="84">
        <f>IF(OR($J1620="",$K1620=""),"",IFERROR(INDEX(設定!$F$6:$F$21,MATCH($G1620,設定!$B$6:$B$21,0)),0))</f>
        <v/>
      </c>
      <c r="M1620" s="85">
        <f>IF(OR($J1620="",$K1620=""),"",ROUND(($K1620-$J1620)*24-$L1620/60,2))</f>
        <v/>
      </c>
      <c r="N1620" s="16">
        <f>IF($C1620="","",IF(AND(COUNTIF(設定!$B$15:$B$21,$G1620)&gt;0,$J1620&lt;&gt;""),"假日出勤",IF(AND(COUNTIF(設定!$B$6:$B$14,$G1620)&gt;0,$J1620=""),"未打卡",IF($J1620="","",IF($O1620&gt;0,"遲到",IF($P1620&gt;0,"早退","正常"))))))</f>
        <v/>
      </c>
      <c r="O1620" s="84">
        <f>IF(OR($C1620="",$H1620="",$J1620=""),0,IF(ROUND(($J1620-$H1620)*1440,0)&gt;設定!$C$46,ROUND(($J1620-$H1620)*1440,0),0))</f>
        <v/>
      </c>
      <c r="P1620" s="84">
        <f>IF(OR($C1620="",$I1620="",$K1620=""),0,IF(ROUND(($I1620-$K1620)*1440,0)&gt;設定!$C$46,ROUND(($I1620-$K1620)*1440,0),0))</f>
        <v/>
      </c>
      <c r="Q1620" s="85">
        <f>IF($M1620="",0,IF(($M1620-IFERROR(INDEX(設定!$G$6:$G$21,MATCH($G1620,設定!$B$6:$B$21,0)),0))*60&gt;=設定!$C$44,ROUND(FLOOR(($M1620-IFERROR(INDEX(設定!$G$6:$G$21,MATCH($G1620,設定!$B$6:$B$21,0)),0))*60,設定!$C$45)/60,2),0))</f>
        <v/>
      </c>
      <c r="R1620" s="16">
        <f>IF(OR($C1620="",$Q1620=0),"",IF($G1620="國","國定假日",IF($B1620="日","例假",IF($B1620="六","休息日","平日"))))</f>
        <v/>
      </c>
      <c r="S1620" s="19" t="n"/>
    </row>
    <row r="1621">
      <c r="A1621" s="82">
        <f>IF(OR(助理班表!$A57="",7&gt;DAY(EOMONTH(DATE(設定!$C$2,設定!$D$2,1),0))),"",DATE(設定!$C$2,設定!$D$2,7))</f>
        <v/>
      </c>
      <c r="B1621" s="16">
        <f>IF($A1621="","",INDEX(設定!$O$6:$O$12,WEEKDAY($A1621,1)))</f>
        <v/>
      </c>
      <c r="C1621" s="16">
        <f>IF($A1621="","",助理班表!$A57)</f>
        <v/>
      </c>
      <c r="D1621" s="16">
        <f>IF($C1621="","",助理班表!$B57)</f>
        <v/>
      </c>
      <c r="E1621" s="16">
        <f>IF($C1621="","",助理班表!$D57)</f>
        <v/>
      </c>
      <c r="F1621" s="16">
        <f>IF($C1621="","",助理班表!$C57)</f>
        <v/>
      </c>
      <c r="G1621" s="16">
        <f>IF($C1621="","",助理班表!K57)</f>
        <v/>
      </c>
      <c r="H1621" s="83">
        <f>IF($G1621="","",IFERROR(IF(INDEX(設定!$D$6:$D$21,MATCH($G1621,設定!$B$6:$B$21,0))=0,"",INDEX(設定!$D$6:$D$21,MATCH($G1621,設定!$B$6:$B$21,0))),""))</f>
        <v/>
      </c>
      <c r="I1621" s="83">
        <f>IF($G1621="","",IFERROR(IF(INDEX(設定!$E$6:$E$21,MATCH($G1621,設定!$B$6:$B$21,0))=0,"",INDEX(設定!$E$6:$E$21,MATCH($G1621,設定!$B$6:$B$21,0))),""))</f>
        <v/>
      </c>
      <c r="J1621" s="83">
        <f>IFERROR(INDEX(打卡匯入!$C$3:$C$2002,MATCH($C1621&amp;"|"&amp;DAY($A1621),打卡匯入!$E$3:$E$2002,0)),"")</f>
        <v/>
      </c>
      <c r="K1621" s="83">
        <f>IFERROR(INDEX(打卡匯入!$D$3:$D$2002,MATCH($C1621&amp;"|"&amp;DAY($A1621),打卡匯入!$E$3:$E$2002,0)),"")</f>
        <v/>
      </c>
      <c r="L1621" s="84">
        <f>IF(OR($J1621="",$K1621=""),"",IFERROR(INDEX(設定!$F$6:$F$21,MATCH($G1621,設定!$B$6:$B$21,0)),0))</f>
        <v/>
      </c>
      <c r="M1621" s="85">
        <f>IF(OR($J1621="",$K1621=""),"",ROUND(($K1621-$J1621)*24-$L1621/60,2))</f>
        <v/>
      </c>
      <c r="N1621" s="16">
        <f>IF($C1621="","",IF(AND(COUNTIF(設定!$B$15:$B$21,$G1621)&gt;0,$J1621&lt;&gt;""),"假日出勤",IF(AND(COUNTIF(設定!$B$6:$B$14,$G1621)&gt;0,$J1621=""),"未打卡",IF($J1621="","",IF($O1621&gt;0,"遲到",IF($P1621&gt;0,"早退","正常"))))))</f>
        <v/>
      </c>
      <c r="O1621" s="84">
        <f>IF(OR($C1621="",$H1621="",$J1621=""),0,IF(ROUND(($J1621-$H1621)*1440,0)&gt;設定!$C$46,ROUND(($J1621-$H1621)*1440,0),0))</f>
        <v/>
      </c>
      <c r="P1621" s="84">
        <f>IF(OR($C1621="",$I1621="",$K1621=""),0,IF(ROUND(($I1621-$K1621)*1440,0)&gt;設定!$C$46,ROUND(($I1621-$K1621)*1440,0),0))</f>
        <v/>
      </c>
      <c r="Q1621" s="85">
        <f>IF($M1621="",0,IF(($M1621-IFERROR(INDEX(設定!$G$6:$G$21,MATCH($G1621,設定!$B$6:$B$21,0)),0))*60&gt;=設定!$C$44,ROUND(FLOOR(($M1621-IFERROR(INDEX(設定!$G$6:$G$21,MATCH($G1621,設定!$B$6:$B$21,0)),0))*60,設定!$C$45)/60,2),0))</f>
        <v/>
      </c>
      <c r="R1621" s="16">
        <f>IF(OR($C1621="",$Q1621=0),"",IF($G1621="國","國定假日",IF($B1621="日","例假",IF($B1621="六","休息日","平日"))))</f>
        <v/>
      </c>
      <c r="S1621" s="19" t="n"/>
    </row>
    <row r="1622">
      <c r="A1622" s="82">
        <f>IF(OR(助理班表!$A57="",8&gt;DAY(EOMONTH(DATE(設定!$C$2,設定!$D$2,1),0))),"",DATE(設定!$C$2,設定!$D$2,8))</f>
        <v/>
      </c>
      <c r="B1622" s="16">
        <f>IF($A1622="","",INDEX(設定!$O$6:$O$12,WEEKDAY($A1622,1)))</f>
        <v/>
      </c>
      <c r="C1622" s="16">
        <f>IF($A1622="","",助理班表!$A57)</f>
        <v/>
      </c>
      <c r="D1622" s="16">
        <f>IF($C1622="","",助理班表!$B57)</f>
        <v/>
      </c>
      <c r="E1622" s="16">
        <f>IF($C1622="","",助理班表!$D57)</f>
        <v/>
      </c>
      <c r="F1622" s="16">
        <f>IF($C1622="","",助理班表!$C57)</f>
        <v/>
      </c>
      <c r="G1622" s="16">
        <f>IF($C1622="","",助理班表!L57)</f>
        <v/>
      </c>
      <c r="H1622" s="83">
        <f>IF($G1622="","",IFERROR(IF(INDEX(設定!$D$6:$D$21,MATCH($G1622,設定!$B$6:$B$21,0))=0,"",INDEX(設定!$D$6:$D$21,MATCH($G1622,設定!$B$6:$B$21,0))),""))</f>
        <v/>
      </c>
      <c r="I1622" s="83">
        <f>IF($G1622="","",IFERROR(IF(INDEX(設定!$E$6:$E$21,MATCH($G1622,設定!$B$6:$B$21,0))=0,"",INDEX(設定!$E$6:$E$21,MATCH($G1622,設定!$B$6:$B$21,0))),""))</f>
        <v/>
      </c>
      <c r="J1622" s="83">
        <f>IFERROR(INDEX(打卡匯入!$C$3:$C$2002,MATCH($C1622&amp;"|"&amp;DAY($A1622),打卡匯入!$E$3:$E$2002,0)),"")</f>
        <v/>
      </c>
      <c r="K1622" s="83">
        <f>IFERROR(INDEX(打卡匯入!$D$3:$D$2002,MATCH($C1622&amp;"|"&amp;DAY($A1622),打卡匯入!$E$3:$E$2002,0)),"")</f>
        <v/>
      </c>
      <c r="L1622" s="84">
        <f>IF(OR($J1622="",$K1622=""),"",IFERROR(INDEX(設定!$F$6:$F$21,MATCH($G1622,設定!$B$6:$B$21,0)),0))</f>
        <v/>
      </c>
      <c r="M1622" s="85">
        <f>IF(OR($J1622="",$K1622=""),"",ROUND(($K1622-$J1622)*24-$L1622/60,2))</f>
        <v/>
      </c>
      <c r="N1622" s="16">
        <f>IF($C1622="","",IF(AND(COUNTIF(設定!$B$15:$B$21,$G1622)&gt;0,$J1622&lt;&gt;""),"假日出勤",IF(AND(COUNTIF(設定!$B$6:$B$14,$G1622)&gt;0,$J1622=""),"未打卡",IF($J1622="","",IF($O1622&gt;0,"遲到",IF($P1622&gt;0,"早退","正常"))))))</f>
        <v/>
      </c>
      <c r="O1622" s="84">
        <f>IF(OR($C1622="",$H1622="",$J1622=""),0,IF(ROUND(($J1622-$H1622)*1440,0)&gt;設定!$C$46,ROUND(($J1622-$H1622)*1440,0),0))</f>
        <v/>
      </c>
      <c r="P1622" s="84">
        <f>IF(OR($C1622="",$I1622="",$K1622=""),0,IF(ROUND(($I1622-$K1622)*1440,0)&gt;設定!$C$46,ROUND(($I1622-$K1622)*1440,0),0))</f>
        <v/>
      </c>
      <c r="Q1622" s="85">
        <f>IF($M1622="",0,IF(($M1622-IFERROR(INDEX(設定!$G$6:$G$21,MATCH($G1622,設定!$B$6:$B$21,0)),0))*60&gt;=設定!$C$44,ROUND(FLOOR(($M1622-IFERROR(INDEX(設定!$G$6:$G$21,MATCH($G1622,設定!$B$6:$B$21,0)),0))*60,設定!$C$45)/60,2),0))</f>
        <v/>
      </c>
      <c r="R1622" s="16">
        <f>IF(OR($C1622="",$Q1622=0),"",IF($G1622="國","國定假日",IF($B1622="日","例假",IF($B1622="六","休息日","平日"))))</f>
        <v/>
      </c>
      <c r="S1622" s="19" t="n"/>
    </row>
    <row r="1623">
      <c r="A1623" s="82">
        <f>IF(OR(助理班表!$A57="",9&gt;DAY(EOMONTH(DATE(設定!$C$2,設定!$D$2,1),0))),"",DATE(設定!$C$2,設定!$D$2,9))</f>
        <v/>
      </c>
      <c r="B1623" s="16">
        <f>IF($A1623="","",INDEX(設定!$O$6:$O$12,WEEKDAY($A1623,1)))</f>
        <v/>
      </c>
      <c r="C1623" s="16">
        <f>IF($A1623="","",助理班表!$A57)</f>
        <v/>
      </c>
      <c r="D1623" s="16">
        <f>IF($C1623="","",助理班表!$B57)</f>
        <v/>
      </c>
      <c r="E1623" s="16">
        <f>IF($C1623="","",助理班表!$D57)</f>
        <v/>
      </c>
      <c r="F1623" s="16">
        <f>IF($C1623="","",助理班表!$C57)</f>
        <v/>
      </c>
      <c r="G1623" s="16">
        <f>IF($C1623="","",助理班表!M57)</f>
        <v/>
      </c>
      <c r="H1623" s="83">
        <f>IF($G1623="","",IFERROR(IF(INDEX(設定!$D$6:$D$21,MATCH($G1623,設定!$B$6:$B$21,0))=0,"",INDEX(設定!$D$6:$D$21,MATCH($G1623,設定!$B$6:$B$21,0))),""))</f>
        <v/>
      </c>
      <c r="I1623" s="83">
        <f>IF($G1623="","",IFERROR(IF(INDEX(設定!$E$6:$E$21,MATCH($G1623,設定!$B$6:$B$21,0))=0,"",INDEX(設定!$E$6:$E$21,MATCH($G1623,設定!$B$6:$B$21,0))),""))</f>
        <v/>
      </c>
      <c r="J1623" s="83">
        <f>IFERROR(INDEX(打卡匯入!$C$3:$C$2002,MATCH($C1623&amp;"|"&amp;DAY($A1623),打卡匯入!$E$3:$E$2002,0)),"")</f>
        <v/>
      </c>
      <c r="K1623" s="83">
        <f>IFERROR(INDEX(打卡匯入!$D$3:$D$2002,MATCH($C1623&amp;"|"&amp;DAY($A1623),打卡匯入!$E$3:$E$2002,0)),"")</f>
        <v/>
      </c>
      <c r="L1623" s="84">
        <f>IF(OR($J1623="",$K1623=""),"",IFERROR(INDEX(設定!$F$6:$F$21,MATCH($G1623,設定!$B$6:$B$21,0)),0))</f>
        <v/>
      </c>
      <c r="M1623" s="85">
        <f>IF(OR($J1623="",$K1623=""),"",ROUND(($K1623-$J1623)*24-$L1623/60,2))</f>
        <v/>
      </c>
      <c r="N1623" s="16">
        <f>IF($C1623="","",IF(AND(COUNTIF(設定!$B$15:$B$21,$G1623)&gt;0,$J1623&lt;&gt;""),"假日出勤",IF(AND(COUNTIF(設定!$B$6:$B$14,$G1623)&gt;0,$J1623=""),"未打卡",IF($J1623="","",IF($O1623&gt;0,"遲到",IF($P1623&gt;0,"早退","正常"))))))</f>
        <v/>
      </c>
      <c r="O1623" s="84">
        <f>IF(OR($C1623="",$H1623="",$J1623=""),0,IF(ROUND(($J1623-$H1623)*1440,0)&gt;設定!$C$46,ROUND(($J1623-$H1623)*1440,0),0))</f>
        <v/>
      </c>
      <c r="P1623" s="84">
        <f>IF(OR($C1623="",$I1623="",$K1623=""),0,IF(ROUND(($I1623-$K1623)*1440,0)&gt;設定!$C$46,ROUND(($I1623-$K1623)*1440,0),0))</f>
        <v/>
      </c>
      <c r="Q1623" s="85">
        <f>IF($M1623="",0,IF(($M1623-IFERROR(INDEX(設定!$G$6:$G$21,MATCH($G1623,設定!$B$6:$B$21,0)),0))*60&gt;=設定!$C$44,ROUND(FLOOR(($M1623-IFERROR(INDEX(設定!$G$6:$G$21,MATCH($G1623,設定!$B$6:$B$21,0)),0))*60,設定!$C$45)/60,2),0))</f>
        <v/>
      </c>
      <c r="R1623" s="16">
        <f>IF(OR($C1623="",$Q1623=0),"",IF($G1623="國","國定假日",IF($B1623="日","例假",IF($B1623="六","休息日","平日"))))</f>
        <v/>
      </c>
      <c r="S1623" s="19" t="n"/>
    </row>
    <row r="1624">
      <c r="A1624" s="82">
        <f>IF(OR(助理班表!$A57="",10&gt;DAY(EOMONTH(DATE(設定!$C$2,設定!$D$2,1),0))),"",DATE(設定!$C$2,設定!$D$2,10))</f>
        <v/>
      </c>
      <c r="B1624" s="16">
        <f>IF($A1624="","",INDEX(設定!$O$6:$O$12,WEEKDAY($A1624,1)))</f>
        <v/>
      </c>
      <c r="C1624" s="16">
        <f>IF($A1624="","",助理班表!$A57)</f>
        <v/>
      </c>
      <c r="D1624" s="16">
        <f>IF($C1624="","",助理班表!$B57)</f>
        <v/>
      </c>
      <c r="E1624" s="16">
        <f>IF($C1624="","",助理班表!$D57)</f>
        <v/>
      </c>
      <c r="F1624" s="16">
        <f>IF($C1624="","",助理班表!$C57)</f>
        <v/>
      </c>
      <c r="G1624" s="16">
        <f>IF($C1624="","",助理班表!N57)</f>
        <v/>
      </c>
      <c r="H1624" s="83">
        <f>IF($G1624="","",IFERROR(IF(INDEX(設定!$D$6:$D$21,MATCH($G1624,設定!$B$6:$B$21,0))=0,"",INDEX(設定!$D$6:$D$21,MATCH($G1624,設定!$B$6:$B$21,0))),""))</f>
        <v/>
      </c>
      <c r="I1624" s="83">
        <f>IF($G1624="","",IFERROR(IF(INDEX(設定!$E$6:$E$21,MATCH($G1624,設定!$B$6:$B$21,0))=0,"",INDEX(設定!$E$6:$E$21,MATCH($G1624,設定!$B$6:$B$21,0))),""))</f>
        <v/>
      </c>
      <c r="J1624" s="83">
        <f>IFERROR(INDEX(打卡匯入!$C$3:$C$2002,MATCH($C1624&amp;"|"&amp;DAY($A1624),打卡匯入!$E$3:$E$2002,0)),"")</f>
        <v/>
      </c>
      <c r="K1624" s="83">
        <f>IFERROR(INDEX(打卡匯入!$D$3:$D$2002,MATCH($C1624&amp;"|"&amp;DAY($A1624),打卡匯入!$E$3:$E$2002,0)),"")</f>
        <v/>
      </c>
      <c r="L1624" s="84">
        <f>IF(OR($J1624="",$K1624=""),"",IFERROR(INDEX(設定!$F$6:$F$21,MATCH($G1624,設定!$B$6:$B$21,0)),0))</f>
        <v/>
      </c>
      <c r="M1624" s="85">
        <f>IF(OR($J1624="",$K1624=""),"",ROUND(($K1624-$J1624)*24-$L1624/60,2))</f>
        <v/>
      </c>
      <c r="N1624" s="16">
        <f>IF($C1624="","",IF(AND(COUNTIF(設定!$B$15:$B$21,$G1624)&gt;0,$J1624&lt;&gt;""),"假日出勤",IF(AND(COUNTIF(設定!$B$6:$B$14,$G1624)&gt;0,$J1624=""),"未打卡",IF($J1624="","",IF($O1624&gt;0,"遲到",IF($P1624&gt;0,"早退","正常"))))))</f>
        <v/>
      </c>
      <c r="O1624" s="84">
        <f>IF(OR($C1624="",$H1624="",$J1624=""),0,IF(ROUND(($J1624-$H1624)*1440,0)&gt;設定!$C$46,ROUND(($J1624-$H1624)*1440,0),0))</f>
        <v/>
      </c>
      <c r="P1624" s="84">
        <f>IF(OR($C1624="",$I1624="",$K1624=""),0,IF(ROUND(($I1624-$K1624)*1440,0)&gt;設定!$C$46,ROUND(($I1624-$K1624)*1440,0),0))</f>
        <v/>
      </c>
      <c r="Q1624" s="85">
        <f>IF($M1624="",0,IF(($M1624-IFERROR(INDEX(設定!$G$6:$G$21,MATCH($G1624,設定!$B$6:$B$21,0)),0))*60&gt;=設定!$C$44,ROUND(FLOOR(($M1624-IFERROR(INDEX(設定!$G$6:$G$21,MATCH($G1624,設定!$B$6:$B$21,0)),0))*60,設定!$C$45)/60,2),0))</f>
        <v/>
      </c>
      <c r="R1624" s="16">
        <f>IF(OR($C1624="",$Q1624=0),"",IF($G1624="國","國定假日",IF($B1624="日","例假",IF($B1624="六","休息日","平日"))))</f>
        <v/>
      </c>
      <c r="S1624" s="19" t="n"/>
    </row>
    <row r="1625">
      <c r="A1625" s="82">
        <f>IF(OR(助理班表!$A57="",11&gt;DAY(EOMONTH(DATE(設定!$C$2,設定!$D$2,1),0))),"",DATE(設定!$C$2,設定!$D$2,11))</f>
        <v/>
      </c>
      <c r="B1625" s="16">
        <f>IF($A1625="","",INDEX(設定!$O$6:$O$12,WEEKDAY($A1625,1)))</f>
        <v/>
      </c>
      <c r="C1625" s="16">
        <f>IF($A1625="","",助理班表!$A57)</f>
        <v/>
      </c>
      <c r="D1625" s="16">
        <f>IF($C1625="","",助理班表!$B57)</f>
        <v/>
      </c>
      <c r="E1625" s="16">
        <f>IF($C1625="","",助理班表!$D57)</f>
        <v/>
      </c>
      <c r="F1625" s="16">
        <f>IF($C1625="","",助理班表!$C57)</f>
        <v/>
      </c>
      <c r="G1625" s="16">
        <f>IF($C1625="","",助理班表!O57)</f>
        <v/>
      </c>
      <c r="H1625" s="83">
        <f>IF($G1625="","",IFERROR(IF(INDEX(設定!$D$6:$D$21,MATCH($G1625,設定!$B$6:$B$21,0))=0,"",INDEX(設定!$D$6:$D$21,MATCH($G1625,設定!$B$6:$B$21,0))),""))</f>
        <v/>
      </c>
      <c r="I1625" s="83">
        <f>IF($G1625="","",IFERROR(IF(INDEX(設定!$E$6:$E$21,MATCH($G1625,設定!$B$6:$B$21,0))=0,"",INDEX(設定!$E$6:$E$21,MATCH($G1625,設定!$B$6:$B$21,0))),""))</f>
        <v/>
      </c>
      <c r="J1625" s="83">
        <f>IFERROR(INDEX(打卡匯入!$C$3:$C$2002,MATCH($C1625&amp;"|"&amp;DAY($A1625),打卡匯入!$E$3:$E$2002,0)),"")</f>
        <v/>
      </c>
      <c r="K1625" s="83">
        <f>IFERROR(INDEX(打卡匯入!$D$3:$D$2002,MATCH($C1625&amp;"|"&amp;DAY($A1625),打卡匯入!$E$3:$E$2002,0)),"")</f>
        <v/>
      </c>
      <c r="L1625" s="84">
        <f>IF(OR($J1625="",$K1625=""),"",IFERROR(INDEX(設定!$F$6:$F$21,MATCH($G1625,設定!$B$6:$B$21,0)),0))</f>
        <v/>
      </c>
      <c r="M1625" s="85">
        <f>IF(OR($J1625="",$K1625=""),"",ROUND(($K1625-$J1625)*24-$L1625/60,2))</f>
        <v/>
      </c>
      <c r="N1625" s="16">
        <f>IF($C1625="","",IF(AND(COUNTIF(設定!$B$15:$B$21,$G1625)&gt;0,$J1625&lt;&gt;""),"假日出勤",IF(AND(COUNTIF(設定!$B$6:$B$14,$G1625)&gt;0,$J1625=""),"未打卡",IF($J1625="","",IF($O1625&gt;0,"遲到",IF($P1625&gt;0,"早退","正常"))))))</f>
        <v/>
      </c>
      <c r="O1625" s="84">
        <f>IF(OR($C1625="",$H1625="",$J1625=""),0,IF(ROUND(($J1625-$H1625)*1440,0)&gt;設定!$C$46,ROUND(($J1625-$H1625)*1440,0),0))</f>
        <v/>
      </c>
      <c r="P1625" s="84">
        <f>IF(OR($C1625="",$I1625="",$K1625=""),0,IF(ROUND(($I1625-$K1625)*1440,0)&gt;設定!$C$46,ROUND(($I1625-$K1625)*1440,0),0))</f>
        <v/>
      </c>
      <c r="Q1625" s="85">
        <f>IF($M1625="",0,IF(($M1625-IFERROR(INDEX(設定!$G$6:$G$21,MATCH($G1625,設定!$B$6:$B$21,0)),0))*60&gt;=設定!$C$44,ROUND(FLOOR(($M1625-IFERROR(INDEX(設定!$G$6:$G$21,MATCH($G1625,設定!$B$6:$B$21,0)),0))*60,設定!$C$45)/60,2),0))</f>
        <v/>
      </c>
      <c r="R1625" s="16">
        <f>IF(OR($C1625="",$Q1625=0),"",IF($G1625="國","國定假日",IF($B1625="日","例假",IF($B1625="六","休息日","平日"))))</f>
        <v/>
      </c>
      <c r="S1625" s="19" t="n"/>
    </row>
    <row r="1626">
      <c r="A1626" s="82">
        <f>IF(OR(助理班表!$A57="",12&gt;DAY(EOMONTH(DATE(設定!$C$2,設定!$D$2,1),0))),"",DATE(設定!$C$2,設定!$D$2,12))</f>
        <v/>
      </c>
      <c r="B1626" s="16">
        <f>IF($A1626="","",INDEX(設定!$O$6:$O$12,WEEKDAY($A1626,1)))</f>
        <v/>
      </c>
      <c r="C1626" s="16">
        <f>IF($A1626="","",助理班表!$A57)</f>
        <v/>
      </c>
      <c r="D1626" s="16">
        <f>IF($C1626="","",助理班表!$B57)</f>
        <v/>
      </c>
      <c r="E1626" s="16">
        <f>IF($C1626="","",助理班表!$D57)</f>
        <v/>
      </c>
      <c r="F1626" s="16">
        <f>IF($C1626="","",助理班表!$C57)</f>
        <v/>
      </c>
      <c r="G1626" s="16">
        <f>IF($C1626="","",助理班表!P57)</f>
        <v/>
      </c>
      <c r="H1626" s="83">
        <f>IF($G1626="","",IFERROR(IF(INDEX(設定!$D$6:$D$21,MATCH($G1626,設定!$B$6:$B$21,0))=0,"",INDEX(設定!$D$6:$D$21,MATCH($G1626,設定!$B$6:$B$21,0))),""))</f>
        <v/>
      </c>
      <c r="I1626" s="83">
        <f>IF($G1626="","",IFERROR(IF(INDEX(設定!$E$6:$E$21,MATCH($G1626,設定!$B$6:$B$21,0))=0,"",INDEX(設定!$E$6:$E$21,MATCH($G1626,設定!$B$6:$B$21,0))),""))</f>
        <v/>
      </c>
      <c r="J1626" s="83">
        <f>IFERROR(INDEX(打卡匯入!$C$3:$C$2002,MATCH($C1626&amp;"|"&amp;DAY($A1626),打卡匯入!$E$3:$E$2002,0)),"")</f>
        <v/>
      </c>
      <c r="K1626" s="83">
        <f>IFERROR(INDEX(打卡匯入!$D$3:$D$2002,MATCH($C1626&amp;"|"&amp;DAY($A1626),打卡匯入!$E$3:$E$2002,0)),"")</f>
        <v/>
      </c>
      <c r="L1626" s="84">
        <f>IF(OR($J1626="",$K1626=""),"",IFERROR(INDEX(設定!$F$6:$F$21,MATCH($G1626,設定!$B$6:$B$21,0)),0))</f>
        <v/>
      </c>
      <c r="M1626" s="85">
        <f>IF(OR($J1626="",$K1626=""),"",ROUND(($K1626-$J1626)*24-$L1626/60,2))</f>
        <v/>
      </c>
      <c r="N1626" s="16">
        <f>IF($C1626="","",IF(AND(COUNTIF(設定!$B$15:$B$21,$G1626)&gt;0,$J1626&lt;&gt;""),"假日出勤",IF(AND(COUNTIF(設定!$B$6:$B$14,$G1626)&gt;0,$J1626=""),"未打卡",IF($J1626="","",IF($O1626&gt;0,"遲到",IF($P1626&gt;0,"早退","正常"))))))</f>
        <v/>
      </c>
      <c r="O1626" s="84">
        <f>IF(OR($C1626="",$H1626="",$J1626=""),0,IF(ROUND(($J1626-$H1626)*1440,0)&gt;設定!$C$46,ROUND(($J1626-$H1626)*1440,0),0))</f>
        <v/>
      </c>
      <c r="P1626" s="84">
        <f>IF(OR($C1626="",$I1626="",$K1626=""),0,IF(ROUND(($I1626-$K1626)*1440,0)&gt;設定!$C$46,ROUND(($I1626-$K1626)*1440,0),0))</f>
        <v/>
      </c>
      <c r="Q1626" s="85">
        <f>IF($M1626="",0,IF(($M1626-IFERROR(INDEX(設定!$G$6:$G$21,MATCH($G1626,設定!$B$6:$B$21,0)),0))*60&gt;=設定!$C$44,ROUND(FLOOR(($M1626-IFERROR(INDEX(設定!$G$6:$G$21,MATCH($G1626,設定!$B$6:$B$21,0)),0))*60,設定!$C$45)/60,2),0))</f>
        <v/>
      </c>
      <c r="R1626" s="16">
        <f>IF(OR($C1626="",$Q1626=0),"",IF($G1626="國","國定假日",IF($B1626="日","例假",IF($B1626="六","休息日","平日"))))</f>
        <v/>
      </c>
      <c r="S1626" s="19" t="n"/>
    </row>
    <row r="1627">
      <c r="A1627" s="82">
        <f>IF(OR(助理班表!$A57="",13&gt;DAY(EOMONTH(DATE(設定!$C$2,設定!$D$2,1),0))),"",DATE(設定!$C$2,設定!$D$2,13))</f>
        <v/>
      </c>
      <c r="B1627" s="16">
        <f>IF($A1627="","",INDEX(設定!$O$6:$O$12,WEEKDAY($A1627,1)))</f>
        <v/>
      </c>
      <c r="C1627" s="16">
        <f>IF($A1627="","",助理班表!$A57)</f>
        <v/>
      </c>
      <c r="D1627" s="16">
        <f>IF($C1627="","",助理班表!$B57)</f>
        <v/>
      </c>
      <c r="E1627" s="16">
        <f>IF($C1627="","",助理班表!$D57)</f>
        <v/>
      </c>
      <c r="F1627" s="16">
        <f>IF($C1627="","",助理班表!$C57)</f>
        <v/>
      </c>
      <c r="G1627" s="16">
        <f>IF($C1627="","",助理班表!Q57)</f>
        <v/>
      </c>
      <c r="H1627" s="83">
        <f>IF($G1627="","",IFERROR(IF(INDEX(設定!$D$6:$D$21,MATCH($G1627,設定!$B$6:$B$21,0))=0,"",INDEX(設定!$D$6:$D$21,MATCH($G1627,設定!$B$6:$B$21,0))),""))</f>
        <v/>
      </c>
      <c r="I1627" s="83">
        <f>IF($G1627="","",IFERROR(IF(INDEX(設定!$E$6:$E$21,MATCH($G1627,設定!$B$6:$B$21,0))=0,"",INDEX(設定!$E$6:$E$21,MATCH($G1627,設定!$B$6:$B$21,0))),""))</f>
        <v/>
      </c>
      <c r="J1627" s="83">
        <f>IFERROR(INDEX(打卡匯入!$C$3:$C$2002,MATCH($C1627&amp;"|"&amp;DAY($A1627),打卡匯入!$E$3:$E$2002,0)),"")</f>
        <v/>
      </c>
      <c r="K1627" s="83">
        <f>IFERROR(INDEX(打卡匯入!$D$3:$D$2002,MATCH($C1627&amp;"|"&amp;DAY($A1627),打卡匯入!$E$3:$E$2002,0)),"")</f>
        <v/>
      </c>
      <c r="L1627" s="84">
        <f>IF(OR($J1627="",$K1627=""),"",IFERROR(INDEX(設定!$F$6:$F$21,MATCH($G1627,設定!$B$6:$B$21,0)),0))</f>
        <v/>
      </c>
      <c r="M1627" s="85">
        <f>IF(OR($J1627="",$K1627=""),"",ROUND(($K1627-$J1627)*24-$L1627/60,2))</f>
        <v/>
      </c>
      <c r="N1627" s="16">
        <f>IF($C1627="","",IF(AND(COUNTIF(設定!$B$15:$B$21,$G1627)&gt;0,$J1627&lt;&gt;""),"假日出勤",IF(AND(COUNTIF(設定!$B$6:$B$14,$G1627)&gt;0,$J1627=""),"未打卡",IF($J1627="","",IF($O1627&gt;0,"遲到",IF($P1627&gt;0,"早退","正常"))))))</f>
        <v/>
      </c>
      <c r="O1627" s="84">
        <f>IF(OR($C1627="",$H1627="",$J1627=""),0,IF(ROUND(($J1627-$H1627)*1440,0)&gt;設定!$C$46,ROUND(($J1627-$H1627)*1440,0),0))</f>
        <v/>
      </c>
      <c r="P1627" s="84">
        <f>IF(OR($C1627="",$I1627="",$K1627=""),0,IF(ROUND(($I1627-$K1627)*1440,0)&gt;設定!$C$46,ROUND(($I1627-$K1627)*1440,0),0))</f>
        <v/>
      </c>
      <c r="Q1627" s="85">
        <f>IF($M1627="",0,IF(($M1627-IFERROR(INDEX(設定!$G$6:$G$21,MATCH($G1627,設定!$B$6:$B$21,0)),0))*60&gt;=設定!$C$44,ROUND(FLOOR(($M1627-IFERROR(INDEX(設定!$G$6:$G$21,MATCH($G1627,設定!$B$6:$B$21,0)),0))*60,設定!$C$45)/60,2),0))</f>
        <v/>
      </c>
      <c r="R1627" s="16">
        <f>IF(OR($C1627="",$Q1627=0),"",IF($G1627="國","國定假日",IF($B1627="日","例假",IF($B1627="六","休息日","平日"))))</f>
        <v/>
      </c>
      <c r="S1627" s="19" t="n"/>
    </row>
    <row r="1628">
      <c r="A1628" s="82">
        <f>IF(OR(助理班表!$A57="",14&gt;DAY(EOMONTH(DATE(設定!$C$2,設定!$D$2,1),0))),"",DATE(設定!$C$2,設定!$D$2,14))</f>
        <v/>
      </c>
      <c r="B1628" s="16">
        <f>IF($A1628="","",INDEX(設定!$O$6:$O$12,WEEKDAY($A1628,1)))</f>
        <v/>
      </c>
      <c r="C1628" s="16">
        <f>IF($A1628="","",助理班表!$A57)</f>
        <v/>
      </c>
      <c r="D1628" s="16">
        <f>IF($C1628="","",助理班表!$B57)</f>
        <v/>
      </c>
      <c r="E1628" s="16">
        <f>IF($C1628="","",助理班表!$D57)</f>
        <v/>
      </c>
      <c r="F1628" s="16">
        <f>IF($C1628="","",助理班表!$C57)</f>
        <v/>
      </c>
      <c r="G1628" s="16">
        <f>IF($C1628="","",助理班表!R57)</f>
        <v/>
      </c>
      <c r="H1628" s="83">
        <f>IF($G1628="","",IFERROR(IF(INDEX(設定!$D$6:$D$21,MATCH($G1628,設定!$B$6:$B$21,0))=0,"",INDEX(設定!$D$6:$D$21,MATCH($G1628,設定!$B$6:$B$21,0))),""))</f>
        <v/>
      </c>
      <c r="I1628" s="83">
        <f>IF($G1628="","",IFERROR(IF(INDEX(設定!$E$6:$E$21,MATCH($G1628,設定!$B$6:$B$21,0))=0,"",INDEX(設定!$E$6:$E$21,MATCH($G1628,設定!$B$6:$B$21,0))),""))</f>
        <v/>
      </c>
      <c r="J1628" s="83">
        <f>IFERROR(INDEX(打卡匯入!$C$3:$C$2002,MATCH($C1628&amp;"|"&amp;DAY($A1628),打卡匯入!$E$3:$E$2002,0)),"")</f>
        <v/>
      </c>
      <c r="K1628" s="83">
        <f>IFERROR(INDEX(打卡匯入!$D$3:$D$2002,MATCH($C1628&amp;"|"&amp;DAY($A1628),打卡匯入!$E$3:$E$2002,0)),"")</f>
        <v/>
      </c>
      <c r="L1628" s="84">
        <f>IF(OR($J1628="",$K1628=""),"",IFERROR(INDEX(設定!$F$6:$F$21,MATCH($G1628,設定!$B$6:$B$21,0)),0))</f>
        <v/>
      </c>
      <c r="M1628" s="85">
        <f>IF(OR($J1628="",$K1628=""),"",ROUND(($K1628-$J1628)*24-$L1628/60,2))</f>
        <v/>
      </c>
      <c r="N1628" s="16">
        <f>IF($C1628="","",IF(AND(COUNTIF(設定!$B$15:$B$21,$G1628)&gt;0,$J1628&lt;&gt;""),"假日出勤",IF(AND(COUNTIF(設定!$B$6:$B$14,$G1628)&gt;0,$J1628=""),"未打卡",IF($J1628="","",IF($O1628&gt;0,"遲到",IF($P1628&gt;0,"早退","正常"))))))</f>
        <v/>
      </c>
      <c r="O1628" s="84">
        <f>IF(OR($C1628="",$H1628="",$J1628=""),0,IF(ROUND(($J1628-$H1628)*1440,0)&gt;設定!$C$46,ROUND(($J1628-$H1628)*1440,0),0))</f>
        <v/>
      </c>
      <c r="P1628" s="84">
        <f>IF(OR($C1628="",$I1628="",$K1628=""),0,IF(ROUND(($I1628-$K1628)*1440,0)&gt;設定!$C$46,ROUND(($I1628-$K1628)*1440,0),0))</f>
        <v/>
      </c>
      <c r="Q1628" s="85">
        <f>IF($M1628="",0,IF(($M1628-IFERROR(INDEX(設定!$G$6:$G$21,MATCH($G1628,設定!$B$6:$B$21,0)),0))*60&gt;=設定!$C$44,ROUND(FLOOR(($M1628-IFERROR(INDEX(設定!$G$6:$G$21,MATCH($G1628,設定!$B$6:$B$21,0)),0))*60,設定!$C$45)/60,2),0))</f>
        <v/>
      </c>
      <c r="R1628" s="16">
        <f>IF(OR($C1628="",$Q1628=0),"",IF($G1628="國","國定假日",IF($B1628="日","例假",IF($B1628="六","休息日","平日"))))</f>
        <v/>
      </c>
      <c r="S1628" s="19" t="n"/>
    </row>
    <row r="1629">
      <c r="A1629" s="82">
        <f>IF(OR(助理班表!$A57="",15&gt;DAY(EOMONTH(DATE(設定!$C$2,設定!$D$2,1),0))),"",DATE(設定!$C$2,設定!$D$2,15))</f>
        <v/>
      </c>
      <c r="B1629" s="16">
        <f>IF($A1629="","",INDEX(設定!$O$6:$O$12,WEEKDAY($A1629,1)))</f>
        <v/>
      </c>
      <c r="C1629" s="16">
        <f>IF($A1629="","",助理班表!$A57)</f>
        <v/>
      </c>
      <c r="D1629" s="16">
        <f>IF($C1629="","",助理班表!$B57)</f>
        <v/>
      </c>
      <c r="E1629" s="16">
        <f>IF($C1629="","",助理班表!$D57)</f>
        <v/>
      </c>
      <c r="F1629" s="16">
        <f>IF($C1629="","",助理班表!$C57)</f>
        <v/>
      </c>
      <c r="G1629" s="16">
        <f>IF($C1629="","",助理班表!S57)</f>
        <v/>
      </c>
      <c r="H1629" s="83">
        <f>IF($G1629="","",IFERROR(IF(INDEX(設定!$D$6:$D$21,MATCH($G1629,設定!$B$6:$B$21,0))=0,"",INDEX(設定!$D$6:$D$21,MATCH($G1629,設定!$B$6:$B$21,0))),""))</f>
        <v/>
      </c>
      <c r="I1629" s="83">
        <f>IF($G1629="","",IFERROR(IF(INDEX(設定!$E$6:$E$21,MATCH($G1629,設定!$B$6:$B$21,0))=0,"",INDEX(設定!$E$6:$E$21,MATCH($G1629,設定!$B$6:$B$21,0))),""))</f>
        <v/>
      </c>
      <c r="J1629" s="83">
        <f>IFERROR(INDEX(打卡匯入!$C$3:$C$2002,MATCH($C1629&amp;"|"&amp;DAY($A1629),打卡匯入!$E$3:$E$2002,0)),"")</f>
        <v/>
      </c>
      <c r="K1629" s="83">
        <f>IFERROR(INDEX(打卡匯入!$D$3:$D$2002,MATCH($C1629&amp;"|"&amp;DAY($A1629),打卡匯入!$E$3:$E$2002,0)),"")</f>
        <v/>
      </c>
      <c r="L1629" s="84">
        <f>IF(OR($J1629="",$K1629=""),"",IFERROR(INDEX(設定!$F$6:$F$21,MATCH($G1629,設定!$B$6:$B$21,0)),0))</f>
        <v/>
      </c>
      <c r="M1629" s="85">
        <f>IF(OR($J1629="",$K1629=""),"",ROUND(($K1629-$J1629)*24-$L1629/60,2))</f>
        <v/>
      </c>
      <c r="N1629" s="16">
        <f>IF($C1629="","",IF(AND(COUNTIF(設定!$B$15:$B$21,$G1629)&gt;0,$J1629&lt;&gt;""),"假日出勤",IF(AND(COUNTIF(設定!$B$6:$B$14,$G1629)&gt;0,$J1629=""),"未打卡",IF($J1629="","",IF($O1629&gt;0,"遲到",IF($P1629&gt;0,"早退","正常"))))))</f>
        <v/>
      </c>
      <c r="O1629" s="84">
        <f>IF(OR($C1629="",$H1629="",$J1629=""),0,IF(ROUND(($J1629-$H1629)*1440,0)&gt;設定!$C$46,ROUND(($J1629-$H1629)*1440,0),0))</f>
        <v/>
      </c>
      <c r="P1629" s="84">
        <f>IF(OR($C1629="",$I1629="",$K1629=""),0,IF(ROUND(($I1629-$K1629)*1440,0)&gt;設定!$C$46,ROUND(($I1629-$K1629)*1440,0),0))</f>
        <v/>
      </c>
      <c r="Q1629" s="85">
        <f>IF($M1629="",0,IF(($M1629-IFERROR(INDEX(設定!$G$6:$G$21,MATCH($G1629,設定!$B$6:$B$21,0)),0))*60&gt;=設定!$C$44,ROUND(FLOOR(($M1629-IFERROR(INDEX(設定!$G$6:$G$21,MATCH($G1629,設定!$B$6:$B$21,0)),0))*60,設定!$C$45)/60,2),0))</f>
        <v/>
      </c>
      <c r="R1629" s="16">
        <f>IF(OR($C1629="",$Q1629=0),"",IF($G1629="國","國定假日",IF($B1629="日","例假",IF($B1629="六","休息日","平日"))))</f>
        <v/>
      </c>
      <c r="S1629" s="19" t="n"/>
    </row>
    <row r="1630">
      <c r="A1630" s="82">
        <f>IF(OR(助理班表!$A57="",16&gt;DAY(EOMONTH(DATE(設定!$C$2,設定!$D$2,1),0))),"",DATE(設定!$C$2,設定!$D$2,16))</f>
        <v/>
      </c>
      <c r="B1630" s="16">
        <f>IF($A1630="","",INDEX(設定!$O$6:$O$12,WEEKDAY($A1630,1)))</f>
        <v/>
      </c>
      <c r="C1630" s="16">
        <f>IF($A1630="","",助理班表!$A57)</f>
        <v/>
      </c>
      <c r="D1630" s="16">
        <f>IF($C1630="","",助理班表!$B57)</f>
        <v/>
      </c>
      <c r="E1630" s="16">
        <f>IF($C1630="","",助理班表!$D57)</f>
        <v/>
      </c>
      <c r="F1630" s="16">
        <f>IF($C1630="","",助理班表!$C57)</f>
        <v/>
      </c>
      <c r="G1630" s="16">
        <f>IF($C1630="","",助理班表!T57)</f>
        <v/>
      </c>
      <c r="H1630" s="83">
        <f>IF($G1630="","",IFERROR(IF(INDEX(設定!$D$6:$D$21,MATCH($G1630,設定!$B$6:$B$21,0))=0,"",INDEX(設定!$D$6:$D$21,MATCH($G1630,設定!$B$6:$B$21,0))),""))</f>
        <v/>
      </c>
      <c r="I1630" s="83">
        <f>IF($G1630="","",IFERROR(IF(INDEX(設定!$E$6:$E$21,MATCH($G1630,設定!$B$6:$B$21,0))=0,"",INDEX(設定!$E$6:$E$21,MATCH($G1630,設定!$B$6:$B$21,0))),""))</f>
        <v/>
      </c>
      <c r="J1630" s="83">
        <f>IFERROR(INDEX(打卡匯入!$C$3:$C$2002,MATCH($C1630&amp;"|"&amp;DAY($A1630),打卡匯入!$E$3:$E$2002,0)),"")</f>
        <v/>
      </c>
      <c r="K1630" s="83">
        <f>IFERROR(INDEX(打卡匯入!$D$3:$D$2002,MATCH($C1630&amp;"|"&amp;DAY($A1630),打卡匯入!$E$3:$E$2002,0)),"")</f>
        <v/>
      </c>
      <c r="L1630" s="84">
        <f>IF(OR($J1630="",$K1630=""),"",IFERROR(INDEX(設定!$F$6:$F$21,MATCH($G1630,設定!$B$6:$B$21,0)),0))</f>
        <v/>
      </c>
      <c r="M1630" s="85">
        <f>IF(OR($J1630="",$K1630=""),"",ROUND(($K1630-$J1630)*24-$L1630/60,2))</f>
        <v/>
      </c>
      <c r="N1630" s="16">
        <f>IF($C1630="","",IF(AND(COUNTIF(設定!$B$15:$B$21,$G1630)&gt;0,$J1630&lt;&gt;""),"假日出勤",IF(AND(COUNTIF(設定!$B$6:$B$14,$G1630)&gt;0,$J1630=""),"未打卡",IF($J1630="","",IF($O1630&gt;0,"遲到",IF($P1630&gt;0,"早退","正常"))))))</f>
        <v/>
      </c>
      <c r="O1630" s="84">
        <f>IF(OR($C1630="",$H1630="",$J1630=""),0,IF(ROUND(($J1630-$H1630)*1440,0)&gt;設定!$C$46,ROUND(($J1630-$H1630)*1440,0),0))</f>
        <v/>
      </c>
      <c r="P1630" s="84">
        <f>IF(OR($C1630="",$I1630="",$K1630=""),0,IF(ROUND(($I1630-$K1630)*1440,0)&gt;設定!$C$46,ROUND(($I1630-$K1630)*1440,0),0))</f>
        <v/>
      </c>
      <c r="Q1630" s="85">
        <f>IF($M1630="",0,IF(($M1630-IFERROR(INDEX(設定!$G$6:$G$21,MATCH($G1630,設定!$B$6:$B$21,0)),0))*60&gt;=設定!$C$44,ROUND(FLOOR(($M1630-IFERROR(INDEX(設定!$G$6:$G$21,MATCH($G1630,設定!$B$6:$B$21,0)),0))*60,設定!$C$45)/60,2),0))</f>
        <v/>
      </c>
      <c r="R1630" s="16">
        <f>IF(OR($C1630="",$Q1630=0),"",IF($G1630="國","國定假日",IF($B1630="日","例假",IF($B1630="六","休息日","平日"))))</f>
        <v/>
      </c>
      <c r="S1630" s="19" t="n"/>
    </row>
    <row r="1631">
      <c r="A1631" s="82">
        <f>IF(OR(助理班表!$A57="",17&gt;DAY(EOMONTH(DATE(設定!$C$2,設定!$D$2,1),0))),"",DATE(設定!$C$2,設定!$D$2,17))</f>
        <v/>
      </c>
      <c r="B1631" s="16">
        <f>IF($A1631="","",INDEX(設定!$O$6:$O$12,WEEKDAY($A1631,1)))</f>
        <v/>
      </c>
      <c r="C1631" s="16">
        <f>IF($A1631="","",助理班表!$A57)</f>
        <v/>
      </c>
      <c r="D1631" s="16">
        <f>IF($C1631="","",助理班表!$B57)</f>
        <v/>
      </c>
      <c r="E1631" s="16">
        <f>IF($C1631="","",助理班表!$D57)</f>
        <v/>
      </c>
      <c r="F1631" s="16">
        <f>IF($C1631="","",助理班表!$C57)</f>
        <v/>
      </c>
      <c r="G1631" s="16">
        <f>IF($C1631="","",助理班表!U57)</f>
        <v/>
      </c>
      <c r="H1631" s="83">
        <f>IF($G1631="","",IFERROR(IF(INDEX(設定!$D$6:$D$21,MATCH($G1631,設定!$B$6:$B$21,0))=0,"",INDEX(設定!$D$6:$D$21,MATCH($G1631,設定!$B$6:$B$21,0))),""))</f>
        <v/>
      </c>
      <c r="I1631" s="83">
        <f>IF($G1631="","",IFERROR(IF(INDEX(設定!$E$6:$E$21,MATCH($G1631,設定!$B$6:$B$21,0))=0,"",INDEX(設定!$E$6:$E$21,MATCH($G1631,設定!$B$6:$B$21,0))),""))</f>
        <v/>
      </c>
      <c r="J1631" s="83">
        <f>IFERROR(INDEX(打卡匯入!$C$3:$C$2002,MATCH($C1631&amp;"|"&amp;DAY($A1631),打卡匯入!$E$3:$E$2002,0)),"")</f>
        <v/>
      </c>
      <c r="K1631" s="83">
        <f>IFERROR(INDEX(打卡匯入!$D$3:$D$2002,MATCH($C1631&amp;"|"&amp;DAY($A1631),打卡匯入!$E$3:$E$2002,0)),"")</f>
        <v/>
      </c>
      <c r="L1631" s="84">
        <f>IF(OR($J1631="",$K1631=""),"",IFERROR(INDEX(設定!$F$6:$F$21,MATCH($G1631,設定!$B$6:$B$21,0)),0))</f>
        <v/>
      </c>
      <c r="M1631" s="85">
        <f>IF(OR($J1631="",$K1631=""),"",ROUND(($K1631-$J1631)*24-$L1631/60,2))</f>
        <v/>
      </c>
      <c r="N1631" s="16">
        <f>IF($C1631="","",IF(AND(COUNTIF(設定!$B$15:$B$21,$G1631)&gt;0,$J1631&lt;&gt;""),"假日出勤",IF(AND(COUNTIF(設定!$B$6:$B$14,$G1631)&gt;0,$J1631=""),"未打卡",IF($J1631="","",IF($O1631&gt;0,"遲到",IF($P1631&gt;0,"早退","正常"))))))</f>
        <v/>
      </c>
      <c r="O1631" s="84">
        <f>IF(OR($C1631="",$H1631="",$J1631=""),0,IF(ROUND(($J1631-$H1631)*1440,0)&gt;設定!$C$46,ROUND(($J1631-$H1631)*1440,0),0))</f>
        <v/>
      </c>
      <c r="P1631" s="84">
        <f>IF(OR($C1631="",$I1631="",$K1631=""),0,IF(ROUND(($I1631-$K1631)*1440,0)&gt;設定!$C$46,ROUND(($I1631-$K1631)*1440,0),0))</f>
        <v/>
      </c>
      <c r="Q1631" s="85">
        <f>IF($M1631="",0,IF(($M1631-IFERROR(INDEX(設定!$G$6:$G$21,MATCH($G1631,設定!$B$6:$B$21,0)),0))*60&gt;=設定!$C$44,ROUND(FLOOR(($M1631-IFERROR(INDEX(設定!$G$6:$G$21,MATCH($G1631,設定!$B$6:$B$21,0)),0))*60,設定!$C$45)/60,2),0))</f>
        <v/>
      </c>
      <c r="R1631" s="16">
        <f>IF(OR($C1631="",$Q1631=0),"",IF($G1631="國","國定假日",IF($B1631="日","例假",IF($B1631="六","休息日","平日"))))</f>
        <v/>
      </c>
      <c r="S1631" s="19" t="n"/>
    </row>
    <row r="1632">
      <c r="A1632" s="82">
        <f>IF(OR(助理班表!$A57="",18&gt;DAY(EOMONTH(DATE(設定!$C$2,設定!$D$2,1),0))),"",DATE(設定!$C$2,設定!$D$2,18))</f>
        <v/>
      </c>
      <c r="B1632" s="16">
        <f>IF($A1632="","",INDEX(設定!$O$6:$O$12,WEEKDAY($A1632,1)))</f>
        <v/>
      </c>
      <c r="C1632" s="16">
        <f>IF($A1632="","",助理班表!$A57)</f>
        <v/>
      </c>
      <c r="D1632" s="16">
        <f>IF($C1632="","",助理班表!$B57)</f>
        <v/>
      </c>
      <c r="E1632" s="16">
        <f>IF($C1632="","",助理班表!$D57)</f>
        <v/>
      </c>
      <c r="F1632" s="16">
        <f>IF($C1632="","",助理班表!$C57)</f>
        <v/>
      </c>
      <c r="G1632" s="16">
        <f>IF($C1632="","",助理班表!V57)</f>
        <v/>
      </c>
      <c r="H1632" s="83">
        <f>IF($G1632="","",IFERROR(IF(INDEX(設定!$D$6:$D$21,MATCH($G1632,設定!$B$6:$B$21,0))=0,"",INDEX(設定!$D$6:$D$21,MATCH($G1632,設定!$B$6:$B$21,0))),""))</f>
        <v/>
      </c>
      <c r="I1632" s="83">
        <f>IF($G1632="","",IFERROR(IF(INDEX(設定!$E$6:$E$21,MATCH($G1632,設定!$B$6:$B$21,0))=0,"",INDEX(設定!$E$6:$E$21,MATCH($G1632,設定!$B$6:$B$21,0))),""))</f>
        <v/>
      </c>
      <c r="J1632" s="83">
        <f>IFERROR(INDEX(打卡匯入!$C$3:$C$2002,MATCH($C1632&amp;"|"&amp;DAY($A1632),打卡匯入!$E$3:$E$2002,0)),"")</f>
        <v/>
      </c>
      <c r="K1632" s="83">
        <f>IFERROR(INDEX(打卡匯入!$D$3:$D$2002,MATCH($C1632&amp;"|"&amp;DAY($A1632),打卡匯入!$E$3:$E$2002,0)),"")</f>
        <v/>
      </c>
      <c r="L1632" s="84">
        <f>IF(OR($J1632="",$K1632=""),"",IFERROR(INDEX(設定!$F$6:$F$21,MATCH($G1632,設定!$B$6:$B$21,0)),0))</f>
        <v/>
      </c>
      <c r="M1632" s="85">
        <f>IF(OR($J1632="",$K1632=""),"",ROUND(($K1632-$J1632)*24-$L1632/60,2))</f>
        <v/>
      </c>
      <c r="N1632" s="16">
        <f>IF($C1632="","",IF(AND(COUNTIF(設定!$B$15:$B$21,$G1632)&gt;0,$J1632&lt;&gt;""),"假日出勤",IF(AND(COUNTIF(設定!$B$6:$B$14,$G1632)&gt;0,$J1632=""),"未打卡",IF($J1632="","",IF($O1632&gt;0,"遲到",IF($P1632&gt;0,"早退","正常"))))))</f>
        <v/>
      </c>
      <c r="O1632" s="84">
        <f>IF(OR($C1632="",$H1632="",$J1632=""),0,IF(ROUND(($J1632-$H1632)*1440,0)&gt;設定!$C$46,ROUND(($J1632-$H1632)*1440,0),0))</f>
        <v/>
      </c>
      <c r="P1632" s="84">
        <f>IF(OR($C1632="",$I1632="",$K1632=""),0,IF(ROUND(($I1632-$K1632)*1440,0)&gt;設定!$C$46,ROUND(($I1632-$K1632)*1440,0),0))</f>
        <v/>
      </c>
      <c r="Q1632" s="85">
        <f>IF($M1632="",0,IF(($M1632-IFERROR(INDEX(設定!$G$6:$G$21,MATCH($G1632,設定!$B$6:$B$21,0)),0))*60&gt;=設定!$C$44,ROUND(FLOOR(($M1632-IFERROR(INDEX(設定!$G$6:$G$21,MATCH($G1632,設定!$B$6:$B$21,0)),0))*60,設定!$C$45)/60,2),0))</f>
        <v/>
      </c>
      <c r="R1632" s="16">
        <f>IF(OR($C1632="",$Q1632=0),"",IF($G1632="國","國定假日",IF($B1632="日","例假",IF($B1632="六","休息日","平日"))))</f>
        <v/>
      </c>
      <c r="S1632" s="19" t="n"/>
    </row>
    <row r="1633">
      <c r="A1633" s="82">
        <f>IF(OR(助理班表!$A57="",19&gt;DAY(EOMONTH(DATE(設定!$C$2,設定!$D$2,1),0))),"",DATE(設定!$C$2,設定!$D$2,19))</f>
        <v/>
      </c>
      <c r="B1633" s="16">
        <f>IF($A1633="","",INDEX(設定!$O$6:$O$12,WEEKDAY($A1633,1)))</f>
        <v/>
      </c>
      <c r="C1633" s="16">
        <f>IF($A1633="","",助理班表!$A57)</f>
        <v/>
      </c>
      <c r="D1633" s="16">
        <f>IF($C1633="","",助理班表!$B57)</f>
        <v/>
      </c>
      <c r="E1633" s="16">
        <f>IF($C1633="","",助理班表!$D57)</f>
        <v/>
      </c>
      <c r="F1633" s="16">
        <f>IF($C1633="","",助理班表!$C57)</f>
        <v/>
      </c>
      <c r="G1633" s="16">
        <f>IF($C1633="","",助理班表!W57)</f>
        <v/>
      </c>
      <c r="H1633" s="83">
        <f>IF($G1633="","",IFERROR(IF(INDEX(設定!$D$6:$D$21,MATCH($G1633,設定!$B$6:$B$21,0))=0,"",INDEX(設定!$D$6:$D$21,MATCH($G1633,設定!$B$6:$B$21,0))),""))</f>
        <v/>
      </c>
      <c r="I1633" s="83">
        <f>IF($G1633="","",IFERROR(IF(INDEX(設定!$E$6:$E$21,MATCH($G1633,設定!$B$6:$B$21,0))=0,"",INDEX(設定!$E$6:$E$21,MATCH($G1633,設定!$B$6:$B$21,0))),""))</f>
        <v/>
      </c>
      <c r="J1633" s="83">
        <f>IFERROR(INDEX(打卡匯入!$C$3:$C$2002,MATCH($C1633&amp;"|"&amp;DAY($A1633),打卡匯入!$E$3:$E$2002,0)),"")</f>
        <v/>
      </c>
      <c r="K1633" s="83">
        <f>IFERROR(INDEX(打卡匯入!$D$3:$D$2002,MATCH($C1633&amp;"|"&amp;DAY($A1633),打卡匯入!$E$3:$E$2002,0)),"")</f>
        <v/>
      </c>
      <c r="L1633" s="84">
        <f>IF(OR($J1633="",$K1633=""),"",IFERROR(INDEX(設定!$F$6:$F$21,MATCH($G1633,設定!$B$6:$B$21,0)),0))</f>
        <v/>
      </c>
      <c r="M1633" s="85">
        <f>IF(OR($J1633="",$K1633=""),"",ROUND(($K1633-$J1633)*24-$L1633/60,2))</f>
        <v/>
      </c>
      <c r="N1633" s="16">
        <f>IF($C1633="","",IF(AND(COUNTIF(設定!$B$15:$B$21,$G1633)&gt;0,$J1633&lt;&gt;""),"假日出勤",IF(AND(COUNTIF(設定!$B$6:$B$14,$G1633)&gt;0,$J1633=""),"未打卡",IF($J1633="","",IF($O1633&gt;0,"遲到",IF($P1633&gt;0,"早退","正常"))))))</f>
        <v/>
      </c>
      <c r="O1633" s="84">
        <f>IF(OR($C1633="",$H1633="",$J1633=""),0,IF(ROUND(($J1633-$H1633)*1440,0)&gt;設定!$C$46,ROUND(($J1633-$H1633)*1440,0),0))</f>
        <v/>
      </c>
      <c r="P1633" s="84">
        <f>IF(OR($C1633="",$I1633="",$K1633=""),0,IF(ROUND(($I1633-$K1633)*1440,0)&gt;設定!$C$46,ROUND(($I1633-$K1633)*1440,0),0))</f>
        <v/>
      </c>
      <c r="Q1633" s="85">
        <f>IF($M1633="",0,IF(($M1633-IFERROR(INDEX(設定!$G$6:$G$21,MATCH($G1633,設定!$B$6:$B$21,0)),0))*60&gt;=設定!$C$44,ROUND(FLOOR(($M1633-IFERROR(INDEX(設定!$G$6:$G$21,MATCH($G1633,設定!$B$6:$B$21,0)),0))*60,設定!$C$45)/60,2),0))</f>
        <v/>
      </c>
      <c r="R1633" s="16">
        <f>IF(OR($C1633="",$Q1633=0),"",IF($G1633="國","國定假日",IF($B1633="日","例假",IF($B1633="六","休息日","平日"))))</f>
        <v/>
      </c>
      <c r="S1633" s="19" t="n"/>
    </row>
    <row r="1634">
      <c r="A1634" s="82">
        <f>IF(OR(助理班表!$A57="",20&gt;DAY(EOMONTH(DATE(設定!$C$2,設定!$D$2,1),0))),"",DATE(設定!$C$2,設定!$D$2,20))</f>
        <v/>
      </c>
      <c r="B1634" s="16">
        <f>IF($A1634="","",INDEX(設定!$O$6:$O$12,WEEKDAY($A1634,1)))</f>
        <v/>
      </c>
      <c r="C1634" s="16">
        <f>IF($A1634="","",助理班表!$A57)</f>
        <v/>
      </c>
      <c r="D1634" s="16">
        <f>IF($C1634="","",助理班表!$B57)</f>
        <v/>
      </c>
      <c r="E1634" s="16">
        <f>IF($C1634="","",助理班表!$D57)</f>
        <v/>
      </c>
      <c r="F1634" s="16">
        <f>IF($C1634="","",助理班表!$C57)</f>
        <v/>
      </c>
      <c r="G1634" s="16">
        <f>IF($C1634="","",助理班表!X57)</f>
        <v/>
      </c>
      <c r="H1634" s="83">
        <f>IF($G1634="","",IFERROR(IF(INDEX(設定!$D$6:$D$21,MATCH($G1634,設定!$B$6:$B$21,0))=0,"",INDEX(設定!$D$6:$D$21,MATCH($G1634,設定!$B$6:$B$21,0))),""))</f>
        <v/>
      </c>
      <c r="I1634" s="83">
        <f>IF($G1634="","",IFERROR(IF(INDEX(設定!$E$6:$E$21,MATCH($G1634,設定!$B$6:$B$21,0))=0,"",INDEX(設定!$E$6:$E$21,MATCH($G1634,設定!$B$6:$B$21,0))),""))</f>
        <v/>
      </c>
      <c r="J1634" s="83">
        <f>IFERROR(INDEX(打卡匯入!$C$3:$C$2002,MATCH($C1634&amp;"|"&amp;DAY($A1634),打卡匯入!$E$3:$E$2002,0)),"")</f>
        <v/>
      </c>
      <c r="K1634" s="83">
        <f>IFERROR(INDEX(打卡匯入!$D$3:$D$2002,MATCH($C1634&amp;"|"&amp;DAY($A1634),打卡匯入!$E$3:$E$2002,0)),"")</f>
        <v/>
      </c>
      <c r="L1634" s="84">
        <f>IF(OR($J1634="",$K1634=""),"",IFERROR(INDEX(設定!$F$6:$F$21,MATCH($G1634,設定!$B$6:$B$21,0)),0))</f>
        <v/>
      </c>
      <c r="M1634" s="85">
        <f>IF(OR($J1634="",$K1634=""),"",ROUND(($K1634-$J1634)*24-$L1634/60,2))</f>
        <v/>
      </c>
      <c r="N1634" s="16">
        <f>IF($C1634="","",IF(AND(COUNTIF(設定!$B$15:$B$21,$G1634)&gt;0,$J1634&lt;&gt;""),"假日出勤",IF(AND(COUNTIF(設定!$B$6:$B$14,$G1634)&gt;0,$J1634=""),"未打卡",IF($J1634="","",IF($O1634&gt;0,"遲到",IF($P1634&gt;0,"早退","正常"))))))</f>
        <v/>
      </c>
      <c r="O1634" s="84">
        <f>IF(OR($C1634="",$H1634="",$J1634=""),0,IF(ROUND(($J1634-$H1634)*1440,0)&gt;設定!$C$46,ROUND(($J1634-$H1634)*1440,0),0))</f>
        <v/>
      </c>
      <c r="P1634" s="84">
        <f>IF(OR($C1634="",$I1634="",$K1634=""),0,IF(ROUND(($I1634-$K1634)*1440,0)&gt;設定!$C$46,ROUND(($I1634-$K1634)*1440,0),0))</f>
        <v/>
      </c>
      <c r="Q1634" s="85">
        <f>IF($M1634="",0,IF(($M1634-IFERROR(INDEX(設定!$G$6:$G$21,MATCH($G1634,設定!$B$6:$B$21,0)),0))*60&gt;=設定!$C$44,ROUND(FLOOR(($M1634-IFERROR(INDEX(設定!$G$6:$G$21,MATCH($G1634,設定!$B$6:$B$21,0)),0))*60,設定!$C$45)/60,2),0))</f>
        <v/>
      </c>
      <c r="R1634" s="16">
        <f>IF(OR($C1634="",$Q1634=0),"",IF($G1634="國","國定假日",IF($B1634="日","例假",IF($B1634="六","休息日","平日"))))</f>
        <v/>
      </c>
      <c r="S1634" s="19" t="n"/>
    </row>
    <row r="1635">
      <c r="A1635" s="82">
        <f>IF(OR(助理班表!$A57="",21&gt;DAY(EOMONTH(DATE(設定!$C$2,設定!$D$2,1),0))),"",DATE(設定!$C$2,設定!$D$2,21))</f>
        <v/>
      </c>
      <c r="B1635" s="16">
        <f>IF($A1635="","",INDEX(設定!$O$6:$O$12,WEEKDAY($A1635,1)))</f>
        <v/>
      </c>
      <c r="C1635" s="16">
        <f>IF($A1635="","",助理班表!$A57)</f>
        <v/>
      </c>
      <c r="D1635" s="16">
        <f>IF($C1635="","",助理班表!$B57)</f>
        <v/>
      </c>
      <c r="E1635" s="16">
        <f>IF($C1635="","",助理班表!$D57)</f>
        <v/>
      </c>
      <c r="F1635" s="16">
        <f>IF($C1635="","",助理班表!$C57)</f>
        <v/>
      </c>
      <c r="G1635" s="16">
        <f>IF($C1635="","",助理班表!Y57)</f>
        <v/>
      </c>
      <c r="H1635" s="83">
        <f>IF($G1635="","",IFERROR(IF(INDEX(設定!$D$6:$D$21,MATCH($G1635,設定!$B$6:$B$21,0))=0,"",INDEX(設定!$D$6:$D$21,MATCH($G1635,設定!$B$6:$B$21,0))),""))</f>
        <v/>
      </c>
      <c r="I1635" s="83">
        <f>IF($G1635="","",IFERROR(IF(INDEX(設定!$E$6:$E$21,MATCH($G1635,設定!$B$6:$B$21,0))=0,"",INDEX(設定!$E$6:$E$21,MATCH($G1635,設定!$B$6:$B$21,0))),""))</f>
        <v/>
      </c>
      <c r="J1635" s="83">
        <f>IFERROR(INDEX(打卡匯入!$C$3:$C$2002,MATCH($C1635&amp;"|"&amp;DAY($A1635),打卡匯入!$E$3:$E$2002,0)),"")</f>
        <v/>
      </c>
      <c r="K1635" s="83">
        <f>IFERROR(INDEX(打卡匯入!$D$3:$D$2002,MATCH($C1635&amp;"|"&amp;DAY($A1635),打卡匯入!$E$3:$E$2002,0)),"")</f>
        <v/>
      </c>
      <c r="L1635" s="84">
        <f>IF(OR($J1635="",$K1635=""),"",IFERROR(INDEX(設定!$F$6:$F$21,MATCH($G1635,設定!$B$6:$B$21,0)),0))</f>
        <v/>
      </c>
      <c r="M1635" s="85">
        <f>IF(OR($J1635="",$K1635=""),"",ROUND(($K1635-$J1635)*24-$L1635/60,2))</f>
        <v/>
      </c>
      <c r="N1635" s="16">
        <f>IF($C1635="","",IF(AND(COUNTIF(設定!$B$15:$B$21,$G1635)&gt;0,$J1635&lt;&gt;""),"假日出勤",IF(AND(COUNTIF(設定!$B$6:$B$14,$G1635)&gt;0,$J1635=""),"未打卡",IF($J1635="","",IF($O1635&gt;0,"遲到",IF($P1635&gt;0,"早退","正常"))))))</f>
        <v/>
      </c>
      <c r="O1635" s="84">
        <f>IF(OR($C1635="",$H1635="",$J1635=""),0,IF(ROUND(($J1635-$H1635)*1440,0)&gt;設定!$C$46,ROUND(($J1635-$H1635)*1440,0),0))</f>
        <v/>
      </c>
      <c r="P1635" s="84">
        <f>IF(OR($C1635="",$I1635="",$K1635=""),0,IF(ROUND(($I1635-$K1635)*1440,0)&gt;設定!$C$46,ROUND(($I1635-$K1635)*1440,0),0))</f>
        <v/>
      </c>
      <c r="Q1635" s="85">
        <f>IF($M1635="",0,IF(($M1635-IFERROR(INDEX(設定!$G$6:$G$21,MATCH($G1635,設定!$B$6:$B$21,0)),0))*60&gt;=設定!$C$44,ROUND(FLOOR(($M1635-IFERROR(INDEX(設定!$G$6:$G$21,MATCH($G1635,設定!$B$6:$B$21,0)),0))*60,設定!$C$45)/60,2),0))</f>
        <v/>
      </c>
      <c r="R1635" s="16">
        <f>IF(OR($C1635="",$Q1635=0),"",IF($G1635="國","國定假日",IF($B1635="日","例假",IF($B1635="六","休息日","平日"))))</f>
        <v/>
      </c>
      <c r="S1635" s="19" t="n"/>
    </row>
    <row r="1636">
      <c r="A1636" s="82">
        <f>IF(OR(助理班表!$A57="",22&gt;DAY(EOMONTH(DATE(設定!$C$2,設定!$D$2,1),0))),"",DATE(設定!$C$2,設定!$D$2,22))</f>
        <v/>
      </c>
      <c r="B1636" s="16">
        <f>IF($A1636="","",INDEX(設定!$O$6:$O$12,WEEKDAY($A1636,1)))</f>
        <v/>
      </c>
      <c r="C1636" s="16">
        <f>IF($A1636="","",助理班表!$A57)</f>
        <v/>
      </c>
      <c r="D1636" s="16">
        <f>IF($C1636="","",助理班表!$B57)</f>
        <v/>
      </c>
      <c r="E1636" s="16">
        <f>IF($C1636="","",助理班表!$D57)</f>
        <v/>
      </c>
      <c r="F1636" s="16">
        <f>IF($C1636="","",助理班表!$C57)</f>
        <v/>
      </c>
      <c r="G1636" s="16">
        <f>IF($C1636="","",助理班表!Z57)</f>
        <v/>
      </c>
      <c r="H1636" s="83">
        <f>IF($G1636="","",IFERROR(IF(INDEX(設定!$D$6:$D$21,MATCH($G1636,設定!$B$6:$B$21,0))=0,"",INDEX(設定!$D$6:$D$21,MATCH($G1636,設定!$B$6:$B$21,0))),""))</f>
        <v/>
      </c>
      <c r="I1636" s="83">
        <f>IF($G1636="","",IFERROR(IF(INDEX(設定!$E$6:$E$21,MATCH($G1636,設定!$B$6:$B$21,0))=0,"",INDEX(設定!$E$6:$E$21,MATCH($G1636,設定!$B$6:$B$21,0))),""))</f>
        <v/>
      </c>
      <c r="J1636" s="83">
        <f>IFERROR(INDEX(打卡匯入!$C$3:$C$2002,MATCH($C1636&amp;"|"&amp;DAY($A1636),打卡匯入!$E$3:$E$2002,0)),"")</f>
        <v/>
      </c>
      <c r="K1636" s="83">
        <f>IFERROR(INDEX(打卡匯入!$D$3:$D$2002,MATCH($C1636&amp;"|"&amp;DAY($A1636),打卡匯入!$E$3:$E$2002,0)),"")</f>
        <v/>
      </c>
      <c r="L1636" s="84">
        <f>IF(OR($J1636="",$K1636=""),"",IFERROR(INDEX(設定!$F$6:$F$21,MATCH($G1636,設定!$B$6:$B$21,0)),0))</f>
        <v/>
      </c>
      <c r="M1636" s="85">
        <f>IF(OR($J1636="",$K1636=""),"",ROUND(($K1636-$J1636)*24-$L1636/60,2))</f>
        <v/>
      </c>
      <c r="N1636" s="16">
        <f>IF($C1636="","",IF(AND(COUNTIF(設定!$B$15:$B$21,$G1636)&gt;0,$J1636&lt;&gt;""),"假日出勤",IF(AND(COUNTIF(設定!$B$6:$B$14,$G1636)&gt;0,$J1636=""),"未打卡",IF($J1636="","",IF($O1636&gt;0,"遲到",IF($P1636&gt;0,"早退","正常"))))))</f>
        <v/>
      </c>
      <c r="O1636" s="84">
        <f>IF(OR($C1636="",$H1636="",$J1636=""),0,IF(ROUND(($J1636-$H1636)*1440,0)&gt;設定!$C$46,ROUND(($J1636-$H1636)*1440,0),0))</f>
        <v/>
      </c>
      <c r="P1636" s="84">
        <f>IF(OR($C1636="",$I1636="",$K1636=""),0,IF(ROUND(($I1636-$K1636)*1440,0)&gt;設定!$C$46,ROUND(($I1636-$K1636)*1440,0),0))</f>
        <v/>
      </c>
      <c r="Q1636" s="85">
        <f>IF($M1636="",0,IF(($M1636-IFERROR(INDEX(設定!$G$6:$G$21,MATCH($G1636,設定!$B$6:$B$21,0)),0))*60&gt;=設定!$C$44,ROUND(FLOOR(($M1636-IFERROR(INDEX(設定!$G$6:$G$21,MATCH($G1636,設定!$B$6:$B$21,0)),0))*60,設定!$C$45)/60,2),0))</f>
        <v/>
      </c>
      <c r="R1636" s="16">
        <f>IF(OR($C1636="",$Q1636=0),"",IF($G1636="國","國定假日",IF($B1636="日","例假",IF($B1636="六","休息日","平日"))))</f>
        <v/>
      </c>
      <c r="S1636" s="19" t="n"/>
    </row>
    <row r="1637">
      <c r="A1637" s="82">
        <f>IF(OR(助理班表!$A57="",23&gt;DAY(EOMONTH(DATE(設定!$C$2,設定!$D$2,1),0))),"",DATE(設定!$C$2,設定!$D$2,23))</f>
        <v/>
      </c>
      <c r="B1637" s="16">
        <f>IF($A1637="","",INDEX(設定!$O$6:$O$12,WEEKDAY($A1637,1)))</f>
        <v/>
      </c>
      <c r="C1637" s="16">
        <f>IF($A1637="","",助理班表!$A57)</f>
        <v/>
      </c>
      <c r="D1637" s="16">
        <f>IF($C1637="","",助理班表!$B57)</f>
        <v/>
      </c>
      <c r="E1637" s="16">
        <f>IF($C1637="","",助理班表!$D57)</f>
        <v/>
      </c>
      <c r="F1637" s="16">
        <f>IF($C1637="","",助理班表!$C57)</f>
        <v/>
      </c>
      <c r="G1637" s="16">
        <f>IF($C1637="","",助理班表!AA57)</f>
        <v/>
      </c>
      <c r="H1637" s="83">
        <f>IF($G1637="","",IFERROR(IF(INDEX(設定!$D$6:$D$21,MATCH($G1637,設定!$B$6:$B$21,0))=0,"",INDEX(設定!$D$6:$D$21,MATCH($G1637,設定!$B$6:$B$21,0))),""))</f>
        <v/>
      </c>
      <c r="I1637" s="83">
        <f>IF($G1637="","",IFERROR(IF(INDEX(設定!$E$6:$E$21,MATCH($G1637,設定!$B$6:$B$21,0))=0,"",INDEX(設定!$E$6:$E$21,MATCH($G1637,設定!$B$6:$B$21,0))),""))</f>
        <v/>
      </c>
      <c r="J1637" s="83">
        <f>IFERROR(INDEX(打卡匯入!$C$3:$C$2002,MATCH($C1637&amp;"|"&amp;DAY($A1637),打卡匯入!$E$3:$E$2002,0)),"")</f>
        <v/>
      </c>
      <c r="K1637" s="83">
        <f>IFERROR(INDEX(打卡匯入!$D$3:$D$2002,MATCH($C1637&amp;"|"&amp;DAY($A1637),打卡匯入!$E$3:$E$2002,0)),"")</f>
        <v/>
      </c>
      <c r="L1637" s="84">
        <f>IF(OR($J1637="",$K1637=""),"",IFERROR(INDEX(設定!$F$6:$F$21,MATCH($G1637,設定!$B$6:$B$21,0)),0))</f>
        <v/>
      </c>
      <c r="M1637" s="85">
        <f>IF(OR($J1637="",$K1637=""),"",ROUND(($K1637-$J1637)*24-$L1637/60,2))</f>
        <v/>
      </c>
      <c r="N1637" s="16">
        <f>IF($C1637="","",IF(AND(COUNTIF(設定!$B$15:$B$21,$G1637)&gt;0,$J1637&lt;&gt;""),"假日出勤",IF(AND(COUNTIF(設定!$B$6:$B$14,$G1637)&gt;0,$J1637=""),"未打卡",IF($J1637="","",IF($O1637&gt;0,"遲到",IF($P1637&gt;0,"早退","正常"))))))</f>
        <v/>
      </c>
      <c r="O1637" s="84">
        <f>IF(OR($C1637="",$H1637="",$J1637=""),0,IF(ROUND(($J1637-$H1637)*1440,0)&gt;設定!$C$46,ROUND(($J1637-$H1637)*1440,0),0))</f>
        <v/>
      </c>
      <c r="P1637" s="84">
        <f>IF(OR($C1637="",$I1637="",$K1637=""),0,IF(ROUND(($I1637-$K1637)*1440,0)&gt;設定!$C$46,ROUND(($I1637-$K1637)*1440,0),0))</f>
        <v/>
      </c>
      <c r="Q1637" s="85">
        <f>IF($M1637="",0,IF(($M1637-IFERROR(INDEX(設定!$G$6:$G$21,MATCH($G1637,設定!$B$6:$B$21,0)),0))*60&gt;=設定!$C$44,ROUND(FLOOR(($M1637-IFERROR(INDEX(設定!$G$6:$G$21,MATCH($G1637,設定!$B$6:$B$21,0)),0))*60,設定!$C$45)/60,2),0))</f>
        <v/>
      </c>
      <c r="R1637" s="16">
        <f>IF(OR($C1637="",$Q1637=0),"",IF($G1637="國","國定假日",IF($B1637="日","例假",IF($B1637="六","休息日","平日"))))</f>
        <v/>
      </c>
      <c r="S1637" s="19" t="n"/>
    </row>
    <row r="1638">
      <c r="A1638" s="82">
        <f>IF(OR(助理班表!$A57="",24&gt;DAY(EOMONTH(DATE(設定!$C$2,設定!$D$2,1),0))),"",DATE(設定!$C$2,設定!$D$2,24))</f>
        <v/>
      </c>
      <c r="B1638" s="16">
        <f>IF($A1638="","",INDEX(設定!$O$6:$O$12,WEEKDAY($A1638,1)))</f>
        <v/>
      </c>
      <c r="C1638" s="16">
        <f>IF($A1638="","",助理班表!$A57)</f>
        <v/>
      </c>
      <c r="D1638" s="16">
        <f>IF($C1638="","",助理班表!$B57)</f>
        <v/>
      </c>
      <c r="E1638" s="16">
        <f>IF($C1638="","",助理班表!$D57)</f>
        <v/>
      </c>
      <c r="F1638" s="16">
        <f>IF($C1638="","",助理班表!$C57)</f>
        <v/>
      </c>
      <c r="G1638" s="16">
        <f>IF($C1638="","",助理班表!AB57)</f>
        <v/>
      </c>
      <c r="H1638" s="83">
        <f>IF($G1638="","",IFERROR(IF(INDEX(設定!$D$6:$D$21,MATCH($G1638,設定!$B$6:$B$21,0))=0,"",INDEX(設定!$D$6:$D$21,MATCH($G1638,設定!$B$6:$B$21,0))),""))</f>
        <v/>
      </c>
      <c r="I1638" s="83">
        <f>IF($G1638="","",IFERROR(IF(INDEX(設定!$E$6:$E$21,MATCH($G1638,設定!$B$6:$B$21,0))=0,"",INDEX(設定!$E$6:$E$21,MATCH($G1638,設定!$B$6:$B$21,0))),""))</f>
        <v/>
      </c>
      <c r="J1638" s="83">
        <f>IFERROR(INDEX(打卡匯入!$C$3:$C$2002,MATCH($C1638&amp;"|"&amp;DAY($A1638),打卡匯入!$E$3:$E$2002,0)),"")</f>
        <v/>
      </c>
      <c r="K1638" s="83">
        <f>IFERROR(INDEX(打卡匯入!$D$3:$D$2002,MATCH($C1638&amp;"|"&amp;DAY($A1638),打卡匯入!$E$3:$E$2002,0)),"")</f>
        <v/>
      </c>
      <c r="L1638" s="84">
        <f>IF(OR($J1638="",$K1638=""),"",IFERROR(INDEX(設定!$F$6:$F$21,MATCH($G1638,設定!$B$6:$B$21,0)),0))</f>
        <v/>
      </c>
      <c r="M1638" s="85">
        <f>IF(OR($J1638="",$K1638=""),"",ROUND(($K1638-$J1638)*24-$L1638/60,2))</f>
        <v/>
      </c>
      <c r="N1638" s="16">
        <f>IF($C1638="","",IF(AND(COUNTIF(設定!$B$15:$B$21,$G1638)&gt;0,$J1638&lt;&gt;""),"假日出勤",IF(AND(COUNTIF(設定!$B$6:$B$14,$G1638)&gt;0,$J1638=""),"未打卡",IF($J1638="","",IF($O1638&gt;0,"遲到",IF($P1638&gt;0,"早退","正常"))))))</f>
        <v/>
      </c>
      <c r="O1638" s="84">
        <f>IF(OR($C1638="",$H1638="",$J1638=""),0,IF(ROUND(($J1638-$H1638)*1440,0)&gt;設定!$C$46,ROUND(($J1638-$H1638)*1440,0),0))</f>
        <v/>
      </c>
      <c r="P1638" s="84">
        <f>IF(OR($C1638="",$I1638="",$K1638=""),0,IF(ROUND(($I1638-$K1638)*1440,0)&gt;設定!$C$46,ROUND(($I1638-$K1638)*1440,0),0))</f>
        <v/>
      </c>
      <c r="Q1638" s="85">
        <f>IF($M1638="",0,IF(($M1638-IFERROR(INDEX(設定!$G$6:$G$21,MATCH($G1638,設定!$B$6:$B$21,0)),0))*60&gt;=設定!$C$44,ROUND(FLOOR(($M1638-IFERROR(INDEX(設定!$G$6:$G$21,MATCH($G1638,設定!$B$6:$B$21,0)),0))*60,設定!$C$45)/60,2),0))</f>
        <v/>
      </c>
      <c r="R1638" s="16">
        <f>IF(OR($C1638="",$Q1638=0),"",IF($G1638="國","國定假日",IF($B1638="日","例假",IF($B1638="六","休息日","平日"))))</f>
        <v/>
      </c>
      <c r="S1638" s="19" t="n"/>
    </row>
    <row r="1639">
      <c r="A1639" s="82">
        <f>IF(OR(助理班表!$A57="",25&gt;DAY(EOMONTH(DATE(設定!$C$2,設定!$D$2,1),0))),"",DATE(設定!$C$2,設定!$D$2,25))</f>
        <v/>
      </c>
      <c r="B1639" s="16">
        <f>IF($A1639="","",INDEX(設定!$O$6:$O$12,WEEKDAY($A1639,1)))</f>
        <v/>
      </c>
      <c r="C1639" s="16">
        <f>IF($A1639="","",助理班表!$A57)</f>
        <v/>
      </c>
      <c r="D1639" s="16">
        <f>IF($C1639="","",助理班表!$B57)</f>
        <v/>
      </c>
      <c r="E1639" s="16">
        <f>IF($C1639="","",助理班表!$D57)</f>
        <v/>
      </c>
      <c r="F1639" s="16">
        <f>IF($C1639="","",助理班表!$C57)</f>
        <v/>
      </c>
      <c r="G1639" s="16">
        <f>IF($C1639="","",助理班表!AC57)</f>
        <v/>
      </c>
      <c r="H1639" s="83">
        <f>IF($G1639="","",IFERROR(IF(INDEX(設定!$D$6:$D$21,MATCH($G1639,設定!$B$6:$B$21,0))=0,"",INDEX(設定!$D$6:$D$21,MATCH($G1639,設定!$B$6:$B$21,0))),""))</f>
        <v/>
      </c>
      <c r="I1639" s="83">
        <f>IF($G1639="","",IFERROR(IF(INDEX(設定!$E$6:$E$21,MATCH($G1639,設定!$B$6:$B$21,0))=0,"",INDEX(設定!$E$6:$E$21,MATCH($G1639,設定!$B$6:$B$21,0))),""))</f>
        <v/>
      </c>
      <c r="J1639" s="83">
        <f>IFERROR(INDEX(打卡匯入!$C$3:$C$2002,MATCH($C1639&amp;"|"&amp;DAY($A1639),打卡匯入!$E$3:$E$2002,0)),"")</f>
        <v/>
      </c>
      <c r="K1639" s="83">
        <f>IFERROR(INDEX(打卡匯入!$D$3:$D$2002,MATCH($C1639&amp;"|"&amp;DAY($A1639),打卡匯入!$E$3:$E$2002,0)),"")</f>
        <v/>
      </c>
      <c r="L1639" s="84">
        <f>IF(OR($J1639="",$K1639=""),"",IFERROR(INDEX(設定!$F$6:$F$21,MATCH($G1639,設定!$B$6:$B$21,0)),0))</f>
        <v/>
      </c>
      <c r="M1639" s="85">
        <f>IF(OR($J1639="",$K1639=""),"",ROUND(($K1639-$J1639)*24-$L1639/60,2))</f>
        <v/>
      </c>
      <c r="N1639" s="16">
        <f>IF($C1639="","",IF(AND(COUNTIF(設定!$B$15:$B$21,$G1639)&gt;0,$J1639&lt;&gt;""),"假日出勤",IF(AND(COUNTIF(設定!$B$6:$B$14,$G1639)&gt;0,$J1639=""),"未打卡",IF($J1639="","",IF($O1639&gt;0,"遲到",IF($P1639&gt;0,"早退","正常"))))))</f>
        <v/>
      </c>
      <c r="O1639" s="84">
        <f>IF(OR($C1639="",$H1639="",$J1639=""),0,IF(ROUND(($J1639-$H1639)*1440,0)&gt;設定!$C$46,ROUND(($J1639-$H1639)*1440,0),0))</f>
        <v/>
      </c>
      <c r="P1639" s="84">
        <f>IF(OR($C1639="",$I1639="",$K1639=""),0,IF(ROUND(($I1639-$K1639)*1440,0)&gt;設定!$C$46,ROUND(($I1639-$K1639)*1440,0),0))</f>
        <v/>
      </c>
      <c r="Q1639" s="85">
        <f>IF($M1639="",0,IF(($M1639-IFERROR(INDEX(設定!$G$6:$G$21,MATCH($G1639,設定!$B$6:$B$21,0)),0))*60&gt;=設定!$C$44,ROUND(FLOOR(($M1639-IFERROR(INDEX(設定!$G$6:$G$21,MATCH($G1639,設定!$B$6:$B$21,0)),0))*60,設定!$C$45)/60,2),0))</f>
        <v/>
      </c>
      <c r="R1639" s="16">
        <f>IF(OR($C1639="",$Q1639=0),"",IF($G1639="國","國定假日",IF($B1639="日","例假",IF($B1639="六","休息日","平日"))))</f>
        <v/>
      </c>
      <c r="S1639" s="19" t="n"/>
    </row>
    <row r="1640">
      <c r="A1640" s="82">
        <f>IF(OR(助理班表!$A57="",26&gt;DAY(EOMONTH(DATE(設定!$C$2,設定!$D$2,1),0))),"",DATE(設定!$C$2,設定!$D$2,26))</f>
        <v/>
      </c>
      <c r="B1640" s="16">
        <f>IF($A1640="","",INDEX(設定!$O$6:$O$12,WEEKDAY($A1640,1)))</f>
        <v/>
      </c>
      <c r="C1640" s="16">
        <f>IF($A1640="","",助理班表!$A57)</f>
        <v/>
      </c>
      <c r="D1640" s="16">
        <f>IF($C1640="","",助理班表!$B57)</f>
        <v/>
      </c>
      <c r="E1640" s="16">
        <f>IF($C1640="","",助理班表!$D57)</f>
        <v/>
      </c>
      <c r="F1640" s="16">
        <f>IF($C1640="","",助理班表!$C57)</f>
        <v/>
      </c>
      <c r="G1640" s="16">
        <f>IF($C1640="","",助理班表!AD57)</f>
        <v/>
      </c>
      <c r="H1640" s="83">
        <f>IF($G1640="","",IFERROR(IF(INDEX(設定!$D$6:$D$21,MATCH($G1640,設定!$B$6:$B$21,0))=0,"",INDEX(設定!$D$6:$D$21,MATCH($G1640,設定!$B$6:$B$21,0))),""))</f>
        <v/>
      </c>
      <c r="I1640" s="83">
        <f>IF($G1640="","",IFERROR(IF(INDEX(設定!$E$6:$E$21,MATCH($G1640,設定!$B$6:$B$21,0))=0,"",INDEX(設定!$E$6:$E$21,MATCH($G1640,設定!$B$6:$B$21,0))),""))</f>
        <v/>
      </c>
      <c r="J1640" s="83">
        <f>IFERROR(INDEX(打卡匯入!$C$3:$C$2002,MATCH($C1640&amp;"|"&amp;DAY($A1640),打卡匯入!$E$3:$E$2002,0)),"")</f>
        <v/>
      </c>
      <c r="K1640" s="83">
        <f>IFERROR(INDEX(打卡匯入!$D$3:$D$2002,MATCH($C1640&amp;"|"&amp;DAY($A1640),打卡匯入!$E$3:$E$2002,0)),"")</f>
        <v/>
      </c>
      <c r="L1640" s="84">
        <f>IF(OR($J1640="",$K1640=""),"",IFERROR(INDEX(設定!$F$6:$F$21,MATCH($G1640,設定!$B$6:$B$21,0)),0))</f>
        <v/>
      </c>
      <c r="M1640" s="85">
        <f>IF(OR($J1640="",$K1640=""),"",ROUND(($K1640-$J1640)*24-$L1640/60,2))</f>
        <v/>
      </c>
      <c r="N1640" s="16">
        <f>IF($C1640="","",IF(AND(COUNTIF(設定!$B$15:$B$21,$G1640)&gt;0,$J1640&lt;&gt;""),"假日出勤",IF(AND(COUNTIF(設定!$B$6:$B$14,$G1640)&gt;0,$J1640=""),"未打卡",IF($J1640="","",IF($O1640&gt;0,"遲到",IF($P1640&gt;0,"早退","正常"))))))</f>
        <v/>
      </c>
      <c r="O1640" s="84">
        <f>IF(OR($C1640="",$H1640="",$J1640=""),0,IF(ROUND(($J1640-$H1640)*1440,0)&gt;設定!$C$46,ROUND(($J1640-$H1640)*1440,0),0))</f>
        <v/>
      </c>
      <c r="P1640" s="84">
        <f>IF(OR($C1640="",$I1640="",$K1640=""),0,IF(ROUND(($I1640-$K1640)*1440,0)&gt;設定!$C$46,ROUND(($I1640-$K1640)*1440,0),0))</f>
        <v/>
      </c>
      <c r="Q1640" s="85">
        <f>IF($M1640="",0,IF(($M1640-IFERROR(INDEX(設定!$G$6:$G$21,MATCH($G1640,設定!$B$6:$B$21,0)),0))*60&gt;=設定!$C$44,ROUND(FLOOR(($M1640-IFERROR(INDEX(設定!$G$6:$G$21,MATCH($G1640,設定!$B$6:$B$21,0)),0))*60,設定!$C$45)/60,2),0))</f>
        <v/>
      </c>
      <c r="R1640" s="16">
        <f>IF(OR($C1640="",$Q1640=0),"",IF($G1640="國","國定假日",IF($B1640="日","例假",IF($B1640="六","休息日","平日"))))</f>
        <v/>
      </c>
      <c r="S1640" s="19" t="n"/>
    </row>
    <row r="1641">
      <c r="A1641" s="82">
        <f>IF(OR(助理班表!$A57="",27&gt;DAY(EOMONTH(DATE(設定!$C$2,設定!$D$2,1),0))),"",DATE(設定!$C$2,設定!$D$2,27))</f>
        <v/>
      </c>
      <c r="B1641" s="16">
        <f>IF($A1641="","",INDEX(設定!$O$6:$O$12,WEEKDAY($A1641,1)))</f>
        <v/>
      </c>
      <c r="C1641" s="16">
        <f>IF($A1641="","",助理班表!$A57)</f>
        <v/>
      </c>
      <c r="D1641" s="16">
        <f>IF($C1641="","",助理班表!$B57)</f>
        <v/>
      </c>
      <c r="E1641" s="16">
        <f>IF($C1641="","",助理班表!$D57)</f>
        <v/>
      </c>
      <c r="F1641" s="16">
        <f>IF($C1641="","",助理班表!$C57)</f>
        <v/>
      </c>
      <c r="G1641" s="16">
        <f>IF($C1641="","",助理班表!AE57)</f>
        <v/>
      </c>
      <c r="H1641" s="83">
        <f>IF($G1641="","",IFERROR(IF(INDEX(設定!$D$6:$D$21,MATCH($G1641,設定!$B$6:$B$21,0))=0,"",INDEX(設定!$D$6:$D$21,MATCH($G1641,設定!$B$6:$B$21,0))),""))</f>
        <v/>
      </c>
      <c r="I1641" s="83">
        <f>IF($G1641="","",IFERROR(IF(INDEX(設定!$E$6:$E$21,MATCH($G1641,設定!$B$6:$B$21,0))=0,"",INDEX(設定!$E$6:$E$21,MATCH($G1641,設定!$B$6:$B$21,0))),""))</f>
        <v/>
      </c>
      <c r="J1641" s="83">
        <f>IFERROR(INDEX(打卡匯入!$C$3:$C$2002,MATCH($C1641&amp;"|"&amp;DAY($A1641),打卡匯入!$E$3:$E$2002,0)),"")</f>
        <v/>
      </c>
      <c r="K1641" s="83">
        <f>IFERROR(INDEX(打卡匯入!$D$3:$D$2002,MATCH($C1641&amp;"|"&amp;DAY($A1641),打卡匯入!$E$3:$E$2002,0)),"")</f>
        <v/>
      </c>
      <c r="L1641" s="84">
        <f>IF(OR($J1641="",$K1641=""),"",IFERROR(INDEX(設定!$F$6:$F$21,MATCH($G1641,設定!$B$6:$B$21,0)),0))</f>
        <v/>
      </c>
      <c r="M1641" s="85">
        <f>IF(OR($J1641="",$K1641=""),"",ROUND(($K1641-$J1641)*24-$L1641/60,2))</f>
        <v/>
      </c>
      <c r="N1641" s="16">
        <f>IF($C1641="","",IF(AND(COUNTIF(設定!$B$15:$B$21,$G1641)&gt;0,$J1641&lt;&gt;""),"假日出勤",IF(AND(COUNTIF(設定!$B$6:$B$14,$G1641)&gt;0,$J1641=""),"未打卡",IF($J1641="","",IF($O1641&gt;0,"遲到",IF($P1641&gt;0,"早退","正常"))))))</f>
        <v/>
      </c>
      <c r="O1641" s="84">
        <f>IF(OR($C1641="",$H1641="",$J1641=""),0,IF(ROUND(($J1641-$H1641)*1440,0)&gt;設定!$C$46,ROUND(($J1641-$H1641)*1440,0),0))</f>
        <v/>
      </c>
      <c r="P1641" s="84">
        <f>IF(OR($C1641="",$I1641="",$K1641=""),0,IF(ROUND(($I1641-$K1641)*1440,0)&gt;設定!$C$46,ROUND(($I1641-$K1641)*1440,0),0))</f>
        <v/>
      </c>
      <c r="Q1641" s="85">
        <f>IF($M1641="",0,IF(($M1641-IFERROR(INDEX(設定!$G$6:$G$21,MATCH($G1641,設定!$B$6:$B$21,0)),0))*60&gt;=設定!$C$44,ROUND(FLOOR(($M1641-IFERROR(INDEX(設定!$G$6:$G$21,MATCH($G1641,設定!$B$6:$B$21,0)),0))*60,設定!$C$45)/60,2),0))</f>
        <v/>
      </c>
      <c r="R1641" s="16">
        <f>IF(OR($C1641="",$Q1641=0),"",IF($G1641="國","國定假日",IF($B1641="日","例假",IF($B1641="六","休息日","平日"))))</f>
        <v/>
      </c>
      <c r="S1641" s="19" t="n"/>
    </row>
    <row r="1642">
      <c r="A1642" s="82">
        <f>IF(OR(助理班表!$A57="",28&gt;DAY(EOMONTH(DATE(設定!$C$2,設定!$D$2,1),0))),"",DATE(設定!$C$2,設定!$D$2,28))</f>
        <v/>
      </c>
      <c r="B1642" s="16">
        <f>IF($A1642="","",INDEX(設定!$O$6:$O$12,WEEKDAY($A1642,1)))</f>
        <v/>
      </c>
      <c r="C1642" s="16">
        <f>IF($A1642="","",助理班表!$A57)</f>
        <v/>
      </c>
      <c r="D1642" s="16">
        <f>IF($C1642="","",助理班表!$B57)</f>
        <v/>
      </c>
      <c r="E1642" s="16">
        <f>IF($C1642="","",助理班表!$D57)</f>
        <v/>
      </c>
      <c r="F1642" s="16">
        <f>IF($C1642="","",助理班表!$C57)</f>
        <v/>
      </c>
      <c r="G1642" s="16">
        <f>IF($C1642="","",助理班表!AF57)</f>
        <v/>
      </c>
      <c r="H1642" s="83">
        <f>IF($G1642="","",IFERROR(IF(INDEX(設定!$D$6:$D$21,MATCH($G1642,設定!$B$6:$B$21,0))=0,"",INDEX(設定!$D$6:$D$21,MATCH($G1642,設定!$B$6:$B$21,0))),""))</f>
        <v/>
      </c>
      <c r="I1642" s="83">
        <f>IF($G1642="","",IFERROR(IF(INDEX(設定!$E$6:$E$21,MATCH($G1642,設定!$B$6:$B$21,0))=0,"",INDEX(設定!$E$6:$E$21,MATCH($G1642,設定!$B$6:$B$21,0))),""))</f>
        <v/>
      </c>
      <c r="J1642" s="83">
        <f>IFERROR(INDEX(打卡匯入!$C$3:$C$2002,MATCH($C1642&amp;"|"&amp;DAY($A1642),打卡匯入!$E$3:$E$2002,0)),"")</f>
        <v/>
      </c>
      <c r="K1642" s="83">
        <f>IFERROR(INDEX(打卡匯入!$D$3:$D$2002,MATCH($C1642&amp;"|"&amp;DAY($A1642),打卡匯入!$E$3:$E$2002,0)),"")</f>
        <v/>
      </c>
      <c r="L1642" s="84">
        <f>IF(OR($J1642="",$K1642=""),"",IFERROR(INDEX(設定!$F$6:$F$21,MATCH($G1642,設定!$B$6:$B$21,0)),0))</f>
        <v/>
      </c>
      <c r="M1642" s="85">
        <f>IF(OR($J1642="",$K1642=""),"",ROUND(($K1642-$J1642)*24-$L1642/60,2))</f>
        <v/>
      </c>
      <c r="N1642" s="16">
        <f>IF($C1642="","",IF(AND(COUNTIF(設定!$B$15:$B$21,$G1642)&gt;0,$J1642&lt;&gt;""),"假日出勤",IF(AND(COUNTIF(設定!$B$6:$B$14,$G1642)&gt;0,$J1642=""),"未打卡",IF($J1642="","",IF($O1642&gt;0,"遲到",IF($P1642&gt;0,"早退","正常"))))))</f>
        <v/>
      </c>
      <c r="O1642" s="84">
        <f>IF(OR($C1642="",$H1642="",$J1642=""),0,IF(ROUND(($J1642-$H1642)*1440,0)&gt;設定!$C$46,ROUND(($J1642-$H1642)*1440,0),0))</f>
        <v/>
      </c>
      <c r="P1642" s="84">
        <f>IF(OR($C1642="",$I1642="",$K1642=""),0,IF(ROUND(($I1642-$K1642)*1440,0)&gt;設定!$C$46,ROUND(($I1642-$K1642)*1440,0),0))</f>
        <v/>
      </c>
      <c r="Q1642" s="85">
        <f>IF($M1642="",0,IF(($M1642-IFERROR(INDEX(設定!$G$6:$G$21,MATCH($G1642,設定!$B$6:$B$21,0)),0))*60&gt;=設定!$C$44,ROUND(FLOOR(($M1642-IFERROR(INDEX(設定!$G$6:$G$21,MATCH($G1642,設定!$B$6:$B$21,0)),0))*60,設定!$C$45)/60,2),0))</f>
        <v/>
      </c>
      <c r="R1642" s="16">
        <f>IF(OR($C1642="",$Q1642=0),"",IF($G1642="國","國定假日",IF($B1642="日","例假",IF($B1642="六","休息日","平日"))))</f>
        <v/>
      </c>
      <c r="S1642" s="19" t="n"/>
    </row>
    <row r="1643">
      <c r="A1643" s="82">
        <f>IF(OR(助理班表!$A57="",29&gt;DAY(EOMONTH(DATE(設定!$C$2,設定!$D$2,1),0))),"",DATE(設定!$C$2,設定!$D$2,29))</f>
        <v/>
      </c>
      <c r="B1643" s="16">
        <f>IF($A1643="","",INDEX(設定!$O$6:$O$12,WEEKDAY($A1643,1)))</f>
        <v/>
      </c>
      <c r="C1643" s="16">
        <f>IF($A1643="","",助理班表!$A57)</f>
        <v/>
      </c>
      <c r="D1643" s="16">
        <f>IF($C1643="","",助理班表!$B57)</f>
        <v/>
      </c>
      <c r="E1643" s="16">
        <f>IF($C1643="","",助理班表!$D57)</f>
        <v/>
      </c>
      <c r="F1643" s="16">
        <f>IF($C1643="","",助理班表!$C57)</f>
        <v/>
      </c>
      <c r="G1643" s="16">
        <f>IF($C1643="","",助理班表!AG57)</f>
        <v/>
      </c>
      <c r="H1643" s="83">
        <f>IF($G1643="","",IFERROR(IF(INDEX(設定!$D$6:$D$21,MATCH($G1643,設定!$B$6:$B$21,0))=0,"",INDEX(設定!$D$6:$D$21,MATCH($G1643,設定!$B$6:$B$21,0))),""))</f>
        <v/>
      </c>
      <c r="I1643" s="83">
        <f>IF($G1643="","",IFERROR(IF(INDEX(設定!$E$6:$E$21,MATCH($G1643,設定!$B$6:$B$21,0))=0,"",INDEX(設定!$E$6:$E$21,MATCH($G1643,設定!$B$6:$B$21,0))),""))</f>
        <v/>
      </c>
      <c r="J1643" s="83">
        <f>IFERROR(INDEX(打卡匯入!$C$3:$C$2002,MATCH($C1643&amp;"|"&amp;DAY($A1643),打卡匯入!$E$3:$E$2002,0)),"")</f>
        <v/>
      </c>
      <c r="K1643" s="83">
        <f>IFERROR(INDEX(打卡匯入!$D$3:$D$2002,MATCH($C1643&amp;"|"&amp;DAY($A1643),打卡匯入!$E$3:$E$2002,0)),"")</f>
        <v/>
      </c>
      <c r="L1643" s="84">
        <f>IF(OR($J1643="",$K1643=""),"",IFERROR(INDEX(設定!$F$6:$F$21,MATCH($G1643,設定!$B$6:$B$21,0)),0))</f>
        <v/>
      </c>
      <c r="M1643" s="85">
        <f>IF(OR($J1643="",$K1643=""),"",ROUND(($K1643-$J1643)*24-$L1643/60,2))</f>
        <v/>
      </c>
      <c r="N1643" s="16">
        <f>IF($C1643="","",IF(AND(COUNTIF(設定!$B$15:$B$21,$G1643)&gt;0,$J1643&lt;&gt;""),"假日出勤",IF(AND(COUNTIF(設定!$B$6:$B$14,$G1643)&gt;0,$J1643=""),"未打卡",IF($J1643="","",IF($O1643&gt;0,"遲到",IF($P1643&gt;0,"早退","正常"))))))</f>
        <v/>
      </c>
      <c r="O1643" s="84">
        <f>IF(OR($C1643="",$H1643="",$J1643=""),0,IF(ROUND(($J1643-$H1643)*1440,0)&gt;設定!$C$46,ROUND(($J1643-$H1643)*1440,0),0))</f>
        <v/>
      </c>
      <c r="P1643" s="84">
        <f>IF(OR($C1643="",$I1643="",$K1643=""),0,IF(ROUND(($I1643-$K1643)*1440,0)&gt;設定!$C$46,ROUND(($I1643-$K1643)*1440,0),0))</f>
        <v/>
      </c>
      <c r="Q1643" s="85">
        <f>IF($M1643="",0,IF(($M1643-IFERROR(INDEX(設定!$G$6:$G$21,MATCH($G1643,設定!$B$6:$B$21,0)),0))*60&gt;=設定!$C$44,ROUND(FLOOR(($M1643-IFERROR(INDEX(設定!$G$6:$G$21,MATCH($G1643,設定!$B$6:$B$21,0)),0))*60,設定!$C$45)/60,2),0))</f>
        <v/>
      </c>
      <c r="R1643" s="16">
        <f>IF(OR($C1643="",$Q1643=0),"",IF($G1643="國","國定假日",IF($B1643="日","例假",IF($B1643="六","休息日","平日"))))</f>
        <v/>
      </c>
      <c r="S1643" s="19" t="n"/>
    </row>
    <row r="1644">
      <c r="A1644" s="82">
        <f>IF(OR(助理班表!$A57="",30&gt;DAY(EOMONTH(DATE(設定!$C$2,設定!$D$2,1),0))),"",DATE(設定!$C$2,設定!$D$2,30))</f>
        <v/>
      </c>
      <c r="B1644" s="16">
        <f>IF($A1644="","",INDEX(設定!$O$6:$O$12,WEEKDAY($A1644,1)))</f>
        <v/>
      </c>
      <c r="C1644" s="16">
        <f>IF($A1644="","",助理班表!$A57)</f>
        <v/>
      </c>
      <c r="D1644" s="16">
        <f>IF($C1644="","",助理班表!$B57)</f>
        <v/>
      </c>
      <c r="E1644" s="16">
        <f>IF($C1644="","",助理班表!$D57)</f>
        <v/>
      </c>
      <c r="F1644" s="16">
        <f>IF($C1644="","",助理班表!$C57)</f>
        <v/>
      </c>
      <c r="G1644" s="16">
        <f>IF($C1644="","",助理班表!AH57)</f>
        <v/>
      </c>
      <c r="H1644" s="83">
        <f>IF($G1644="","",IFERROR(IF(INDEX(設定!$D$6:$D$21,MATCH($G1644,設定!$B$6:$B$21,0))=0,"",INDEX(設定!$D$6:$D$21,MATCH($G1644,設定!$B$6:$B$21,0))),""))</f>
        <v/>
      </c>
      <c r="I1644" s="83">
        <f>IF($G1644="","",IFERROR(IF(INDEX(設定!$E$6:$E$21,MATCH($G1644,設定!$B$6:$B$21,0))=0,"",INDEX(設定!$E$6:$E$21,MATCH($G1644,設定!$B$6:$B$21,0))),""))</f>
        <v/>
      </c>
      <c r="J1644" s="83">
        <f>IFERROR(INDEX(打卡匯入!$C$3:$C$2002,MATCH($C1644&amp;"|"&amp;DAY($A1644),打卡匯入!$E$3:$E$2002,0)),"")</f>
        <v/>
      </c>
      <c r="K1644" s="83">
        <f>IFERROR(INDEX(打卡匯入!$D$3:$D$2002,MATCH($C1644&amp;"|"&amp;DAY($A1644),打卡匯入!$E$3:$E$2002,0)),"")</f>
        <v/>
      </c>
      <c r="L1644" s="84">
        <f>IF(OR($J1644="",$K1644=""),"",IFERROR(INDEX(設定!$F$6:$F$21,MATCH($G1644,設定!$B$6:$B$21,0)),0))</f>
        <v/>
      </c>
      <c r="M1644" s="85">
        <f>IF(OR($J1644="",$K1644=""),"",ROUND(($K1644-$J1644)*24-$L1644/60,2))</f>
        <v/>
      </c>
      <c r="N1644" s="16">
        <f>IF($C1644="","",IF(AND(COUNTIF(設定!$B$15:$B$21,$G1644)&gt;0,$J1644&lt;&gt;""),"假日出勤",IF(AND(COUNTIF(設定!$B$6:$B$14,$G1644)&gt;0,$J1644=""),"未打卡",IF($J1644="","",IF($O1644&gt;0,"遲到",IF($P1644&gt;0,"早退","正常"))))))</f>
        <v/>
      </c>
      <c r="O1644" s="84">
        <f>IF(OR($C1644="",$H1644="",$J1644=""),0,IF(ROUND(($J1644-$H1644)*1440,0)&gt;設定!$C$46,ROUND(($J1644-$H1644)*1440,0),0))</f>
        <v/>
      </c>
      <c r="P1644" s="84">
        <f>IF(OR($C1644="",$I1644="",$K1644=""),0,IF(ROUND(($I1644-$K1644)*1440,0)&gt;設定!$C$46,ROUND(($I1644-$K1644)*1440,0),0))</f>
        <v/>
      </c>
      <c r="Q1644" s="85">
        <f>IF($M1644="",0,IF(($M1644-IFERROR(INDEX(設定!$G$6:$G$21,MATCH($G1644,設定!$B$6:$B$21,0)),0))*60&gt;=設定!$C$44,ROUND(FLOOR(($M1644-IFERROR(INDEX(設定!$G$6:$G$21,MATCH($G1644,設定!$B$6:$B$21,0)),0))*60,設定!$C$45)/60,2),0))</f>
        <v/>
      </c>
      <c r="R1644" s="16">
        <f>IF(OR($C1644="",$Q1644=0),"",IF($G1644="國","國定假日",IF($B1644="日","例假",IF($B1644="六","休息日","平日"))))</f>
        <v/>
      </c>
      <c r="S1644" s="19" t="n"/>
    </row>
    <row r="1645">
      <c r="A1645" s="82">
        <f>IF(OR(助理班表!$A57="",31&gt;DAY(EOMONTH(DATE(設定!$C$2,設定!$D$2,1),0))),"",DATE(設定!$C$2,設定!$D$2,31))</f>
        <v/>
      </c>
      <c r="B1645" s="16">
        <f>IF($A1645="","",INDEX(設定!$O$6:$O$12,WEEKDAY($A1645,1)))</f>
        <v/>
      </c>
      <c r="C1645" s="16">
        <f>IF($A1645="","",助理班表!$A57)</f>
        <v/>
      </c>
      <c r="D1645" s="16">
        <f>IF($C1645="","",助理班表!$B57)</f>
        <v/>
      </c>
      <c r="E1645" s="16">
        <f>IF($C1645="","",助理班表!$D57)</f>
        <v/>
      </c>
      <c r="F1645" s="16">
        <f>IF($C1645="","",助理班表!$C57)</f>
        <v/>
      </c>
      <c r="G1645" s="16">
        <f>IF($C1645="","",助理班表!AI57)</f>
        <v/>
      </c>
      <c r="H1645" s="83">
        <f>IF($G1645="","",IFERROR(IF(INDEX(設定!$D$6:$D$21,MATCH($G1645,設定!$B$6:$B$21,0))=0,"",INDEX(設定!$D$6:$D$21,MATCH($G1645,設定!$B$6:$B$21,0))),""))</f>
        <v/>
      </c>
      <c r="I1645" s="83">
        <f>IF($G1645="","",IFERROR(IF(INDEX(設定!$E$6:$E$21,MATCH($G1645,設定!$B$6:$B$21,0))=0,"",INDEX(設定!$E$6:$E$21,MATCH($G1645,設定!$B$6:$B$21,0))),""))</f>
        <v/>
      </c>
      <c r="J1645" s="83">
        <f>IFERROR(INDEX(打卡匯入!$C$3:$C$2002,MATCH($C1645&amp;"|"&amp;DAY($A1645),打卡匯入!$E$3:$E$2002,0)),"")</f>
        <v/>
      </c>
      <c r="K1645" s="83">
        <f>IFERROR(INDEX(打卡匯入!$D$3:$D$2002,MATCH($C1645&amp;"|"&amp;DAY($A1645),打卡匯入!$E$3:$E$2002,0)),"")</f>
        <v/>
      </c>
      <c r="L1645" s="84">
        <f>IF(OR($J1645="",$K1645=""),"",IFERROR(INDEX(設定!$F$6:$F$21,MATCH($G1645,設定!$B$6:$B$21,0)),0))</f>
        <v/>
      </c>
      <c r="M1645" s="85">
        <f>IF(OR($J1645="",$K1645=""),"",ROUND(($K1645-$J1645)*24-$L1645/60,2))</f>
        <v/>
      </c>
      <c r="N1645" s="16">
        <f>IF($C1645="","",IF(AND(COUNTIF(設定!$B$15:$B$21,$G1645)&gt;0,$J1645&lt;&gt;""),"假日出勤",IF(AND(COUNTIF(設定!$B$6:$B$14,$G1645)&gt;0,$J1645=""),"未打卡",IF($J1645="","",IF($O1645&gt;0,"遲到",IF($P1645&gt;0,"早退","正常"))))))</f>
        <v/>
      </c>
      <c r="O1645" s="84">
        <f>IF(OR($C1645="",$H1645="",$J1645=""),0,IF(ROUND(($J1645-$H1645)*1440,0)&gt;設定!$C$46,ROUND(($J1645-$H1645)*1440,0),0))</f>
        <v/>
      </c>
      <c r="P1645" s="84">
        <f>IF(OR($C1645="",$I1645="",$K1645=""),0,IF(ROUND(($I1645-$K1645)*1440,0)&gt;設定!$C$46,ROUND(($I1645-$K1645)*1440,0),0))</f>
        <v/>
      </c>
      <c r="Q1645" s="85">
        <f>IF($M1645="",0,IF(($M1645-IFERROR(INDEX(設定!$G$6:$G$21,MATCH($G1645,設定!$B$6:$B$21,0)),0))*60&gt;=設定!$C$44,ROUND(FLOOR(($M1645-IFERROR(INDEX(設定!$G$6:$G$21,MATCH($G1645,設定!$B$6:$B$21,0)),0))*60,設定!$C$45)/60,2),0))</f>
        <v/>
      </c>
      <c r="R1645" s="16">
        <f>IF(OR($C1645="",$Q1645=0),"",IF($G1645="國","國定假日",IF($B1645="日","例假",IF($B1645="六","休息日","平日"))))</f>
        <v/>
      </c>
      <c r="S1645" s="19" t="n"/>
    </row>
    <row r="1646">
      <c r="A1646" s="82">
        <f>IF(OR(助理班表!$A58="",1&gt;DAY(EOMONTH(DATE(設定!$C$2,設定!$D$2,1),0))),"",DATE(設定!$C$2,設定!$D$2,1))</f>
        <v/>
      </c>
      <c r="B1646" s="16">
        <f>IF($A1646="","",INDEX(設定!$O$6:$O$12,WEEKDAY($A1646,1)))</f>
        <v/>
      </c>
      <c r="C1646" s="16">
        <f>IF($A1646="","",助理班表!$A58)</f>
        <v/>
      </c>
      <c r="D1646" s="16">
        <f>IF($C1646="","",助理班表!$B58)</f>
        <v/>
      </c>
      <c r="E1646" s="16">
        <f>IF($C1646="","",助理班表!$D58)</f>
        <v/>
      </c>
      <c r="F1646" s="16">
        <f>IF($C1646="","",助理班表!$C58)</f>
        <v/>
      </c>
      <c r="G1646" s="16">
        <f>IF($C1646="","",助理班表!E58)</f>
        <v/>
      </c>
      <c r="H1646" s="83">
        <f>IF($G1646="","",IFERROR(IF(INDEX(設定!$D$6:$D$21,MATCH($G1646,設定!$B$6:$B$21,0))=0,"",INDEX(設定!$D$6:$D$21,MATCH($G1646,設定!$B$6:$B$21,0))),""))</f>
        <v/>
      </c>
      <c r="I1646" s="83">
        <f>IF($G1646="","",IFERROR(IF(INDEX(設定!$E$6:$E$21,MATCH($G1646,設定!$B$6:$B$21,0))=0,"",INDEX(設定!$E$6:$E$21,MATCH($G1646,設定!$B$6:$B$21,0))),""))</f>
        <v/>
      </c>
      <c r="J1646" s="83">
        <f>IFERROR(INDEX(打卡匯入!$C$3:$C$2002,MATCH($C1646&amp;"|"&amp;DAY($A1646),打卡匯入!$E$3:$E$2002,0)),"")</f>
        <v/>
      </c>
      <c r="K1646" s="83">
        <f>IFERROR(INDEX(打卡匯入!$D$3:$D$2002,MATCH($C1646&amp;"|"&amp;DAY($A1646),打卡匯入!$E$3:$E$2002,0)),"")</f>
        <v/>
      </c>
      <c r="L1646" s="84">
        <f>IF(OR($J1646="",$K1646=""),"",IFERROR(INDEX(設定!$F$6:$F$21,MATCH($G1646,設定!$B$6:$B$21,0)),0))</f>
        <v/>
      </c>
      <c r="M1646" s="85">
        <f>IF(OR($J1646="",$K1646=""),"",ROUND(($K1646-$J1646)*24-$L1646/60,2))</f>
        <v/>
      </c>
      <c r="N1646" s="16">
        <f>IF($C1646="","",IF(AND(COUNTIF(設定!$B$15:$B$21,$G1646)&gt;0,$J1646&lt;&gt;""),"假日出勤",IF(AND(COUNTIF(設定!$B$6:$B$14,$G1646)&gt;0,$J1646=""),"未打卡",IF($J1646="","",IF($O1646&gt;0,"遲到",IF($P1646&gt;0,"早退","正常"))))))</f>
        <v/>
      </c>
      <c r="O1646" s="84">
        <f>IF(OR($C1646="",$H1646="",$J1646=""),0,IF(ROUND(($J1646-$H1646)*1440,0)&gt;設定!$C$46,ROUND(($J1646-$H1646)*1440,0),0))</f>
        <v/>
      </c>
      <c r="P1646" s="84">
        <f>IF(OR($C1646="",$I1646="",$K1646=""),0,IF(ROUND(($I1646-$K1646)*1440,0)&gt;設定!$C$46,ROUND(($I1646-$K1646)*1440,0),0))</f>
        <v/>
      </c>
      <c r="Q1646" s="85">
        <f>IF($M1646="",0,IF(($M1646-IFERROR(INDEX(設定!$G$6:$G$21,MATCH($G1646,設定!$B$6:$B$21,0)),0))*60&gt;=設定!$C$44,ROUND(FLOOR(($M1646-IFERROR(INDEX(設定!$G$6:$G$21,MATCH($G1646,設定!$B$6:$B$21,0)),0))*60,設定!$C$45)/60,2),0))</f>
        <v/>
      </c>
      <c r="R1646" s="16">
        <f>IF(OR($C1646="",$Q1646=0),"",IF($G1646="國","國定假日",IF($B1646="日","例假",IF($B1646="六","休息日","平日"))))</f>
        <v/>
      </c>
      <c r="S1646" s="19" t="n"/>
    </row>
    <row r="1647">
      <c r="A1647" s="82">
        <f>IF(OR(助理班表!$A58="",2&gt;DAY(EOMONTH(DATE(設定!$C$2,設定!$D$2,1),0))),"",DATE(設定!$C$2,設定!$D$2,2))</f>
        <v/>
      </c>
      <c r="B1647" s="16">
        <f>IF($A1647="","",INDEX(設定!$O$6:$O$12,WEEKDAY($A1647,1)))</f>
        <v/>
      </c>
      <c r="C1647" s="16">
        <f>IF($A1647="","",助理班表!$A58)</f>
        <v/>
      </c>
      <c r="D1647" s="16">
        <f>IF($C1647="","",助理班表!$B58)</f>
        <v/>
      </c>
      <c r="E1647" s="16">
        <f>IF($C1647="","",助理班表!$D58)</f>
        <v/>
      </c>
      <c r="F1647" s="16">
        <f>IF($C1647="","",助理班表!$C58)</f>
        <v/>
      </c>
      <c r="G1647" s="16">
        <f>IF($C1647="","",助理班表!F58)</f>
        <v/>
      </c>
      <c r="H1647" s="83">
        <f>IF($G1647="","",IFERROR(IF(INDEX(設定!$D$6:$D$21,MATCH($G1647,設定!$B$6:$B$21,0))=0,"",INDEX(設定!$D$6:$D$21,MATCH($G1647,設定!$B$6:$B$21,0))),""))</f>
        <v/>
      </c>
      <c r="I1647" s="83">
        <f>IF($G1647="","",IFERROR(IF(INDEX(設定!$E$6:$E$21,MATCH($G1647,設定!$B$6:$B$21,0))=0,"",INDEX(設定!$E$6:$E$21,MATCH($G1647,設定!$B$6:$B$21,0))),""))</f>
        <v/>
      </c>
      <c r="J1647" s="83">
        <f>IFERROR(INDEX(打卡匯入!$C$3:$C$2002,MATCH($C1647&amp;"|"&amp;DAY($A1647),打卡匯入!$E$3:$E$2002,0)),"")</f>
        <v/>
      </c>
      <c r="K1647" s="83">
        <f>IFERROR(INDEX(打卡匯入!$D$3:$D$2002,MATCH($C1647&amp;"|"&amp;DAY($A1647),打卡匯入!$E$3:$E$2002,0)),"")</f>
        <v/>
      </c>
      <c r="L1647" s="84">
        <f>IF(OR($J1647="",$K1647=""),"",IFERROR(INDEX(設定!$F$6:$F$21,MATCH($G1647,設定!$B$6:$B$21,0)),0))</f>
        <v/>
      </c>
      <c r="M1647" s="85">
        <f>IF(OR($J1647="",$K1647=""),"",ROUND(($K1647-$J1647)*24-$L1647/60,2))</f>
        <v/>
      </c>
      <c r="N1647" s="16">
        <f>IF($C1647="","",IF(AND(COUNTIF(設定!$B$15:$B$21,$G1647)&gt;0,$J1647&lt;&gt;""),"假日出勤",IF(AND(COUNTIF(設定!$B$6:$B$14,$G1647)&gt;0,$J1647=""),"未打卡",IF($J1647="","",IF($O1647&gt;0,"遲到",IF($P1647&gt;0,"早退","正常"))))))</f>
        <v/>
      </c>
      <c r="O1647" s="84">
        <f>IF(OR($C1647="",$H1647="",$J1647=""),0,IF(ROUND(($J1647-$H1647)*1440,0)&gt;設定!$C$46,ROUND(($J1647-$H1647)*1440,0),0))</f>
        <v/>
      </c>
      <c r="P1647" s="84">
        <f>IF(OR($C1647="",$I1647="",$K1647=""),0,IF(ROUND(($I1647-$K1647)*1440,0)&gt;設定!$C$46,ROUND(($I1647-$K1647)*1440,0),0))</f>
        <v/>
      </c>
      <c r="Q1647" s="85">
        <f>IF($M1647="",0,IF(($M1647-IFERROR(INDEX(設定!$G$6:$G$21,MATCH($G1647,設定!$B$6:$B$21,0)),0))*60&gt;=設定!$C$44,ROUND(FLOOR(($M1647-IFERROR(INDEX(設定!$G$6:$G$21,MATCH($G1647,設定!$B$6:$B$21,0)),0))*60,設定!$C$45)/60,2),0))</f>
        <v/>
      </c>
      <c r="R1647" s="16">
        <f>IF(OR($C1647="",$Q1647=0),"",IF($G1647="國","國定假日",IF($B1647="日","例假",IF($B1647="六","休息日","平日"))))</f>
        <v/>
      </c>
      <c r="S1647" s="19" t="n"/>
    </row>
    <row r="1648">
      <c r="A1648" s="82">
        <f>IF(OR(助理班表!$A58="",3&gt;DAY(EOMONTH(DATE(設定!$C$2,設定!$D$2,1),0))),"",DATE(設定!$C$2,設定!$D$2,3))</f>
        <v/>
      </c>
      <c r="B1648" s="16">
        <f>IF($A1648="","",INDEX(設定!$O$6:$O$12,WEEKDAY($A1648,1)))</f>
        <v/>
      </c>
      <c r="C1648" s="16">
        <f>IF($A1648="","",助理班表!$A58)</f>
        <v/>
      </c>
      <c r="D1648" s="16">
        <f>IF($C1648="","",助理班表!$B58)</f>
        <v/>
      </c>
      <c r="E1648" s="16">
        <f>IF($C1648="","",助理班表!$D58)</f>
        <v/>
      </c>
      <c r="F1648" s="16">
        <f>IF($C1648="","",助理班表!$C58)</f>
        <v/>
      </c>
      <c r="G1648" s="16">
        <f>IF($C1648="","",助理班表!G58)</f>
        <v/>
      </c>
      <c r="H1648" s="83">
        <f>IF($G1648="","",IFERROR(IF(INDEX(設定!$D$6:$D$21,MATCH($G1648,設定!$B$6:$B$21,0))=0,"",INDEX(設定!$D$6:$D$21,MATCH($G1648,設定!$B$6:$B$21,0))),""))</f>
        <v/>
      </c>
      <c r="I1648" s="83">
        <f>IF($G1648="","",IFERROR(IF(INDEX(設定!$E$6:$E$21,MATCH($G1648,設定!$B$6:$B$21,0))=0,"",INDEX(設定!$E$6:$E$21,MATCH($G1648,設定!$B$6:$B$21,0))),""))</f>
        <v/>
      </c>
      <c r="J1648" s="83">
        <f>IFERROR(INDEX(打卡匯入!$C$3:$C$2002,MATCH($C1648&amp;"|"&amp;DAY($A1648),打卡匯入!$E$3:$E$2002,0)),"")</f>
        <v/>
      </c>
      <c r="K1648" s="83">
        <f>IFERROR(INDEX(打卡匯入!$D$3:$D$2002,MATCH($C1648&amp;"|"&amp;DAY($A1648),打卡匯入!$E$3:$E$2002,0)),"")</f>
        <v/>
      </c>
      <c r="L1648" s="84">
        <f>IF(OR($J1648="",$K1648=""),"",IFERROR(INDEX(設定!$F$6:$F$21,MATCH($G1648,設定!$B$6:$B$21,0)),0))</f>
        <v/>
      </c>
      <c r="M1648" s="85">
        <f>IF(OR($J1648="",$K1648=""),"",ROUND(($K1648-$J1648)*24-$L1648/60,2))</f>
        <v/>
      </c>
      <c r="N1648" s="16">
        <f>IF($C1648="","",IF(AND(COUNTIF(設定!$B$15:$B$21,$G1648)&gt;0,$J1648&lt;&gt;""),"假日出勤",IF(AND(COUNTIF(設定!$B$6:$B$14,$G1648)&gt;0,$J1648=""),"未打卡",IF($J1648="","",IF($O1648&gt;0,"遲到",IF($P1648&gt;0,"早退","正常"))))))</f>
        <v/>
      </c>
      <c r="O1648" s="84">
        <f>IF(OR($C1648="",$H1648="",$J1648=""),0,IF(ROUND(($J1648-$H1648)*1440,0)&gt;設定!$C$46,ROUND(($J1648-$H1648)*1440,0),0))</f>
        <v/>
      </c>
      <c r="P1648" s="84">
        <f>IF(OR($C1648="",$I1648="",$K1648=""),0,IF(ROUND(($I1648-$K1648)*1440,0)&gt;設定!$C$46,ROUND(($I1648-$K1648)*1440,0),0))</f>
        <v/>
      </c>
      <c r="Q1648" s="85">
        <f>IF($M1648="",0,IF(($M1648-IFERROR(INDEX(設定!$G$6:$G$21,MATCH($G1648,設定!$B$6:$B$21,0)),0))*60&gt;=設定!$C$44,ROUND(FLOOR(($M1648-IFERROR(INDEX(設定!$G$6:$G$21,MATCH($G1648,設定!$B$6:$B$21,0)),0))*60,設定!$C$45)/60,2),0))</f>
        <v/>
      </c>
      <c r="R1648" s="16">
        <f>IF(OR($C1648="",$Q1648=0),"",IF($G1648="國","國定假日",IF($B1648="日","例假",IF($B1648="六","休息日","平日"))))</f>
        <v/>
      </c>
      <c r="S1648" s="19" t="n"/>
    </row>
    <row r="1649">
      <c r="A1649" s="82">
        <f>IF(OR(助理班表!$A58="",4&gt;DAY(EOMONTH(DATE(設定!$C$2,設定!$D$2,1),0))),"",DATE(設定!$C$2,設定!$D$2,4))</f>
        <v/>
      </c>
      <c r="B1649" s="16">
        <f>IF($A1649="","",INDEX(設定!$O$6:$O$12,WEEKDAY($A1649,1)))</f>
        <v/>
      </c>
      <c r="C1649" s="16">
        <f>IF($A1649="","",助理班表!$A58)</f>
        <v/>
      </c>
      <c r="D1649" s="16">
        <f>IF($C1649="","",助理班表!$B58)</f>
        <v/>
      </c>
      <c r="E1649" s="16">
        <f>IF($C1649="","",助理班表!$D58)</f>
        <v/>
      </c>
      <c r="F1649" s="16">
        <f>IF($C1649="","",助理班表!$C58)</f>
        <v/>
      </c>
      <c r="G1649" s="16">
        <f>IF($C1649="","",助理班表!H58)</f>
        <v/>
      </c>
      <c r="H1649" s="83">
        <f>IF($G1649="","",IFERROR(IF(INDEX(設定!$D$6:$D$21,MATCH($G1649,設定!$B$6:$B$21,0))=0,"",INDEX(設定!$D$6:$D$21,MATCH($G1649,設定!$B$6:$B$21,0))),""))</f>
        <v/>
      </c>
      <c r="I1649" s="83">
        <f>IF($G1649="","",IFERROR(IF(INDEX(設定!$E$6:$E$21,MATCH($G1649,設定!$B$6:$B$21,0))=0,"",INDEX(設定!$E$6:$E$21,MATCH($G1649,設定!$B$6:$B$21,0))),""))</f>
        <v/>
      </c>
      <c r="J1649" s="83">
        <f>IFERROR(INDEX(打卡匯入!$C$3:$C$2002,MATCH($C1649&amp;"|"&amp;DAY($A1649),打卡匯入!$E$3:$E$2002,0)),"")</f>
        <v/>
      </c>
      <c r="K1649" s="83">
        <f>IFERROR(INDEX(打卡匯入!$D$3:$D$2002,MATCH($C1649&amp;"|"&amp;DAY($A1649),打卡匯入!$E$3:$E$2002,0)),"")</f>
        <v/>
      </c>
      <c r="L1649" s="84">
        <f>IF(OR($J1649="",$K1649=""),"",IFERROR(INDEX(設定!$F$6:$F$21,MATCH($G1649,設定!$B$6:$B$21,0)),0))</f>
        <v/>
      </c>
      <c r="M1649" s="85">
        <f>IF(OR($J1649="",$K1649=""),"",ROUND(($K1649-$J1649)*24-$L1649/60,2))</f>
        <v/>
      </c>
      <c r="N1649" s="16">
        <f>IF($C1649="","",IF(AND(COUNTIF(設定!$B$15:$B$21,$G1649)&gt;0,$J1649&lt;&gt;""),"假日出勤",IF(AND(COUNTIF(設定!$B$6:$B$14,$G1649)&gt;0,$J1649=""),"未打卡",IF($J1649="","",IF($O1649&gt;0,"遲到",IF($P1649&gt;0,"早退","正常"))))))</f>
        <v/>
      </c>
      <c r="O1649" s="84">
        <f>IF(OR($C1649="",$H1649="",$J1649=""),0,IF(ROUND(($J1649-$H1649)*1440,0)&gt;設定!$C$46,ROUND(($J1649-$H1649)*1440,0),0))</f>
        <v/>
      </c>
      <c r="P1649" s="84">
        <f>IF(OR($C1649="",$I1649="",$K1649=""),0,IF(ROUND(($I1649-$K1649)*1440,0)&gt;設定!$C$46,ROUND(($I1649-$K1649)*1440,0),0))</f>
        <v/>
      </c>
      <c r="Q1649" s="85">
        <f>IF($M1649="",0,IF(($M1649-IFERROR(INDEX(設定!$G$6:$G$21,MATCH($G1649,設定!$B$6:$B$21,0)),0))*60&gt;=設定!$C$44,ROUND(FLOOR(($M1649-IFERROR(INDEX(設定!$G$6:$G$21,MATCH($G1649,設定!$B$6:$B$21,0)),0))*60,設定!$C$45)/60,2),0))</f>
        <v/>
      </c>
      <c r="R1649" s="16">
        <f>IF(OR($C1649="",$Q1649=0),"",IF($G1649="國","國定假日",IF($B1649="日","例假",IF($B1649="六","休息日","平日"))))</f>
        <v/>
      </c>
      <c r="S1649" s="19" t="n"/>
    </row>
    <row r="1650">
      <c r="A1650" s="82">
        <f>IF(OR(助理班表!$A58="",5&gt;DAY(EOMONTH(DATE(設定!$C$2,設定!$D$2,1),0))),"",DATE(設定!$C$2,設定!$D$2,5))</f>
        <v/>
      </c>
      <c r="B1650" s="16">
        <f>IF($A1650="","",INDEX(設定!$O$6:$O$12,WEEKDAY($A1650,1)))</f>
        <v/>
      </c>
      <c r="C1650" s="16">
        <f>IF($A1650="","",助理班表!$A58)</f>
        <v/>
      </c>
      <c r="D1650" s="16">
        <f>IF($C1650="","",助理班表!$B58)</f>
        <v/>
      </c>
      <c r="E1650" s="16">
        <f>IF($C1650="","",助理班表!$D58)</f>
        <v/>
      </c>
      <c r="F1650" s="16">
        <f>IF($C1650="","",助理班表!$C58)</f>
        <v/>
      </c>
      <c r="G1650" s="16">
        <f>IF($C1650="","",助理班表!I58)</f>
        <v/>
      </c>
      <c r="H1650" s="83">
        <f>IF($G1650="","",IFERROR(IF(INDEX(設定!$D$6:$D$21,MATCH($G1650,設定!$B$6:$B$21,0))=0,"",INDEX(設定!$D$6:$D$21,MATCH($G1650,設定!$B$6:$B$21,0))),""))</f>
        <v/>
      </c>
      <c r="I1650" s="83">
        <f>IF($G1650="","",IFERROR(IF(INDEX(設定!$E$6:$E$21,MATCH($G1650,設定!$B$6:$B$21,0))=0,"",INDEX(設定!$E$6:$E$21,MATCH($G1650,設定!$B$6:$B$21,0))),""))</f>
        <v/>
      </c>
      <c r="J1650" s="83">
        <f>IFERROR(INDEX(打卡匯入!$C$3:$C$2002,MATCH($C1650&amp;"|"&amp;DAY($A1650),打卡匯入!$E$3:$E$2002,0)),"")</f>
        <v/>
      </c>
      <c r="K1650" s="83">
        <f>IFERROR(INDEX(打卡匯入!$D$3:$D$2002,MATCH($C1650&amp;"|"&amp;DAY($A1650),打卡匯入!$E$3:$E$2002,0)),"")</f>
        <v/>
      </c>
      <c r="L1650" s="84">
        <f>IF(OR($J1650="",$K1650=""),"",IFERROR(INDEX(設定!$F$6:$F$21,MATCH($G1650,設定!$B$6:$B$21,0)),0))</f>
        <v/>
      </c>
      <c r="M1650" s="85">
        <f>IF(OR($J1650="",$K1650=""),"",ROUND(($K1650-$J1650)*24-$L1650/60,2))</f>
        <v/>
      </c>
      <c r="N1650" s="16">
        <f>IF($C1650="","",IF(AND(COUNTIF(設定!$B$15:$B$21,$G1650)&gt;0,$J1650&lt;&gt;""),"假日出勤",IF(AND(COUNTIF(設定!$B$6:$B$14,$G1650)&gt;0,$J1650=""),"未打卡",IF($J1650="","",IF($O1650&gt;0,"遲到",IF($P1650&gt;0,"早退","正常"))))))</f>
        <v/>
      </c>
      <c r="O1650" s="84">
        <f>IF(OR($C1650="",$H1650="",$J1650=""),0,IF(ROUND(($J1650-$H1650)*1440,0)&gt;設定!$C$46,ROUND(($J1650-$H1650)*1440,0),0))</f>
        <v/>
      </c>
      <c r="P1650" s="84">
        <f>IF(OR($C1650="",$I1650="",$K1650=""),0,IF(ROUND(($I1650-$K1650)*1440,0)&gt;設定!$C$46,ROUND(($I1650-$K1650)*1440,0),0))</f>
        <v/>
      </c>
      <c r="Q1650" s="85">
        <f>IF($M1650="",0,IF(($M1650-IFERROR(INDEX(設定!$G$6:$G$21,MATCH($G1650,設定!$B$6:$B$21,0)),0))*60&gt;=設定!$C$44,ROUND(FLOOR(($M1650-IFERROR(INDEX(設定!$G$6:$G$21,MATCH($G1650,設定!$B$6:$B$21,0)),0))*60,設定!$C$45)/60,2),0))</f>
        <v/>
      </c>
      <c r="R1650" s="16">
        <f>IF(OR($C1650="",$Q1650=0),"",IF($G1650="國","國定假日",IF($B1650="日","例假",IF($B1650="六","休息日","平日"))))</f>
        <v/>
      </c>
      <c r="S1650" s="19" t="n"/>
    </row>
    <row r="1651">
      <c r="A1651" s="82">
        <f>IF(OR(助理班表!$A58="",6&gt;DAY(EOMONTH(DATE(設定!$C$2,設定!$D$2,1),0))),"",DATE(設定!$C$2,設定!$D$2,6))</f>
        <v/>
      </c>
      <c r="B1651" s="16">
        <f>IF($A1651="","",INDEX(設定!$O$6:$O$12,WEEKDAY($A1651,1)))</f>
        <v/>
      </c>
      <c r="C1651" s="16">
        <f>IF($A1651="","",助理班表!$A58)</f>
        <v/>
      </c>
      <c r="D1651" s="16">
        <f>IF($C1651="","",助理班表!$B58)</f>
        <v/>
      </c>
      <c r="E1651" s="16">
        <f>IF($C1651="","",助理班表!$D58)</f>
        <v/>
      </c>
      <c r="F1651" s="16">
        <f>IF($C1651="","",助理班表!$C58)</f>
        <v/>
      </c>
      <c r="G1651" s="16">
        <f>IF($C1651="","",助理班表!J58)</f>
        <v/>
      </c>
      <c r="H1651" s="83">
        <f>IF($G1651="","",IFERROR(IF(INDEX(設定!$D$6:$D$21,MATCH($G1651,設定!$B$6:$B$21,0))=0,"",INDEX(設定!$D$6:$D$21,MATCH($G1651,設定!$B$6:$B$21,0))),""))</f>
        <v/>
      </c>
      <c r="I1651" s="83">
        <f>IF($G1651="","",IFERROR(IF(INDEX(設定!$E$6:$E$21,MATCH($G1651,設定!$B$6:$B$21,0))=0,"",INDEX(設定!$E$6:$E$21,MATCH($G1651,設定!$B$6:$B$21,0))),""))</f>
        <v/>
      </c>
      <c r="J1651" s="83">
        <f>IFERROR(INDEX(打卡匯入!$C$3:$C$2002,MATCH($C1651&amp;"|"&amp;DAY($A1651),打卡匯入!$E$3:$E$2002,0)),"")</f>
        <v/>
      </c>
      <c r="K1651" s="83">
        <f>IFERROR(INDEX(打卡匯入!$D$3:$D$2002,MATCH($C1651&amp;"|"&amp;DAY($A1651),打卡匯入!$E$3:$E$2002,0)),"")</f>
        <v/>
      </c>
      <c r="L1651" s="84">
        <f>IF(OR($J1651="",$K1651=""),"",IFERROR(INDEX(設定!$F$6:$F$21,MATCH($G1651,設定!$B$6:$B$21,0)),0))</f>
        <v/>
      </c>
      <c r="M1651" s="85">
        <f>IF(OR($J1651="",$K1651=""),"",ROUND(($K1651-$J1651)*24-$L1651/60,2))</f>
        <v/>
      </c>
      <c r="N1651" s="16">
        <f>IF($C1651="","",IF(AND(COUNTIF(設定!$B$15:$B$21,$G1651)&gt;0,$J1651&lt;&gt;""),"假日出勤",IF(AND(COUNTIF(設定!$B$6:$B$14,$G1651)&gt;0,$J1651=""),"未打卡",IF($J1651="","",IF($O1651&gt;0,"遲到",IF($P1651&gt;0,"早退","正常"))))))</f>
        <v/>
      </c>
      <c r="O1651" s="84">
        <f>IF(OR($C1651="",$H1651="",$J1651=""),0,IF(ROUND(($J1651-$H1651)*1440,0)&gt;設定!$C$46,ROUND(($J1651-$H1651)*1440,0),0))</f>
        <v/>
      </c>
      <c r="P1651" s="84">
        <f>IF(OR($C1651="",$I1651="",$K1651=""),0,IF(ROUND(($I1651-$K1651)*1440,0)&gt;設定!$C$46,ROUND(($I1651-$K1651)*1440,0),0))</f>
        <v/>
      </c>
      <c r="Q1651" s="85">
        <f>IF($M1651="",0,IF(($M1651-IFERROR(INDEX(設定!$G$6:$G$21,MATCH($G1651,設定!$B$6:$B$21,0)),0))*60&gt;=設定!$C$44,ROUND(FLOOR(($M1651-IFERROR(INDEX(設定!$G$6:$G$21,MATCH($G1651,設定!$B$6:$B$21,0)),0))*60,設定!$C$45)/60,2),0))</f>
        <v/>
      </c>
      <c r="R1651" s="16">
        <f>IF(OR($C1651="",$Q1651=0),"",IF($G1651="國","國定假日",IF($B1651="日","例假",IF($B1651="六","休息日","平日"))))</f>
        <v/>
      </c>
      <c r="S1651" s="19" t="n"/>
    </row>
    <row r="1652">
      <c r="A1652" s="82">
        <f>IF(OR(助理班表!$A58="",7&gt;DAY(EOMONTH(DATE(設定!$C$2,設定!$D$2,1),0))),"",DATE(設定!$C$2,設定!$D$2,7))</f>
        <v/>
      </c>
      <c r="B1652" s="16">
        <f>IF($A1652="","",INDEX(設定!$O$6:$O$12,WEEKDAY($A1652,1)))</f>
        <v/>
      </c>
      <c r="C1652" s="16">
        <f>IF($A1652="","",助理班表!$A58)</f>
        <v/>
      </c>
      <c r="D1652" s="16">
        <f>IF($C1652="","",助理班表!$B58)</f>
        <v/>
      </c>
      <c r="E1652" s="16">
        <f>IF($C1652="","",助理班表!$D58)</f>
        <v/>
      </c>
      <c r="F1652" s="16">
        <f>IF($C1652="","",助理班表!$C58)</f>
        <v/>
      </c>
      <c r="G1652" s="16">
        <f>IF($C1652="","",助理班表!K58)</f>
        <v/>
      </c>
      <c r="H1652" s="83">
        <f>IF($G1652="","",IFERROR(IF(INDEX(設定!$D$6:$D$21,MATCH($G1652,設定!$B$6:$B$21,0))=0,"",INDEX(設定!$D$6:$D$21,MATCH($G1652,設定!$B$6:$B$21,0))),""))</f>
        <v/>
      </c>
      <c r="I1652" s="83">
        <f>IF($G1652="","",IFERROR(IF(INDEX(設定!$E$6:$E$21,MATCH($G1652,設定!$B$6:$B$21,0))=0,"",INDEX(設定!$E$6:$E$21,MATCH($G1652,設定!$B$6:$B$21,0))),""))</f>
        <v/>
      </c>
      <c r="J1652" s="83">
        <f>IFERROR(INDEX(打卡匯入!$C$3:$C$2002,MATCH($C1652&amp;"|"&amp;DAY($A1652),打卡匯入!$E$3:$E$2002,0)),"")</f>
        <v/>
      </c>
      <c r="K1652" s="83">
        <f>IFERROR(INDEX(打卡匯入!$D$3:$D$2002,MATCH($C1652&amp;"|"&amp;DAY($A1652),打卡匯入!$E$3:$E$2002,0)),"")</f>
        <v/>
      </c>
      <c r="L1652" s="84">
        <f>IF(OR($J1652="",$K1652=""),"",IFERROR(INDEX(設定!$F$6:$F$21,MATCH($G1652,設定!$B$6:$B$21,0)),0))</f>
        <v/>
      </c>
      <c r="M1652" s="85">
        <f>IF(OR($J1652="",$K1652=""),"",ROUND(($K1652-$J1652)*24-$L1652/60,2))</f>
        <v/>
      </c>
      <c r="N1652" s="16">
        <f>IF($C1652="","",IF(AND(COUNTIF(設定!$B$15:$B$21,$G1652)&gt;0,$J1652&lt;&gt;""),"假日出勤",IF(AND(COUNTIF(設定!$B$6:$B$14,$G1652)&gt;0,$J1652=""),"未打卡",IF($J1652="","",IF($O1652&gt;0,"遲到",IF($P1652&gt;0,"早退","正常"))))))</f>
        <v/>
      </c>
      <c r="O1652" s="84">
        <f>IF(OR($C1652="",$H1652="",$J1652=""),0,IF(ROUND(($J1652-$H1652)*1440,0)&gt;設定!$C$46,ROUND(($J1652-$H1652)*1440,0),0))</f>
        <v/>
      </c>
      <c r="P1652" s="84">
        <f>IF(OR($C1652="",$I1652="",$K1652=""),0,IF(ROUND(($I1652-$K1652)*1440,0)&gt;設定!$C$46,ROUND(($I1652-$K1652)*1440,0),0))</f>
        <v/>
      </c>
      <c r="Q1652" s="85">
        <f>IF($M1652="",0,IF(($M1652-IFERROR(INDEX(設定!$G$6:$G$21,MATCH($G1652,設定!$B$6:$B$21,0)),0))*60&gt;=設定!$C$44,ROUND(FLOOR(($M1652-IFERROR(INDEX(設定!$G$6:$G$21,MATCH($G1652,設定!$B$6:$B$21,0)),0))*60,設定!$C$45)/60,2),0))</f>
        <v/>
      </c>
      <c r="R1652" s="16">
        <f>IF(OR($C1652="",$Q1652=0),"",IF($G1652="國","國定假日",IF($B1652="日","例假",IF($B1652="六","休息日","平日"))))</f>
        <v/>
      </c>
      <c r="S1652" s="19" t="n"/>
    </row>
    <row r="1653">
      <c r="A1653" s="82">
        <f>IF(OR(助理班表!$A58="",8&gt;DAY(EOMONTH(DATE(設定!$C$2,設定!$D$2,1),0))),"",DATE(設定!$C$2,設定!$D$2,8))</f>
        <v/>
      </c>
      <c r="B1653" s="16">
        <f>IF($A1653="","",INDEX(設定!$O$6:$O$12,WEEKDAY($A1653,1)))</f>
        <v/>
      </c>
      <c r="C1653" s="16">
        <f>IF($A1653="","",助理班表!$A58)</f>
        <v/>
      </c>
      <c r="D1653" s="16">
        <f>IF($C1653="","",助理班表!$B58)</f>
        <v/>
      </c>
      <c r="E1653" s="16">
        <f>IF($C1653="","",助理班表!$D58)</f>
        <v/>
      </c>
      <c r="F1653" s="16">
        <f>IF($C1653="","",助理班表!$C58)</f>
        <v/>
      </c>
      <c r="G1653" s="16">
        <f>IF($C1653="","",助理班表!L58)</f>
        <v/>
      </c>
      <c r="H1653" s="83">
        <f>IF($G1653="","",IFERROR(IF(INDEX(設定!$D$6:$D$21,MATCH($G1653,設定!$B$6:$B$21,0))=0,"",INDEX(設定!$D$6:$D$21,MATCH($G1653,設定!$B$6:$B$21,0))),""))</f>
        <v/>
      </c>
      <c r="I1653" s="83">
        <f>IF($G1653="","",IFERROR(IF(INDEX(設定!$E$6:$E$21,MATCH($G1653,設定!$B$6:$B$21,0))=0,"",INDEX(設定!$E$6:$E$21,MATCH($G1653,設定!$B$6:$B$21,0))),""))</f>
        <v/>
      </c>
      <c r="J1653" s="83">
        <f>IFERROR(INDEX(打卡匯入!$C$3:$C$2002,MATCH($C1653&amp;"|"&amp;DAY($A1653),打卡匯入!$E$3:$E$2002,0)),"")</f>
        <v/>
      </c>
      <c r="K1653" s="83">
        <f>IFERROR(INDEX(打卡匯入!$D$3:$D$2002,MATCH($C1653&amp;"|"&amp;DAY($A1653),打卡匯入!$E$3:$E$2002,0)),"")</f>
        <v/>
      </c>
      <c r="L1653" s="84">
        <f>IF(OR($J1653="",$K1653=""),"",IFERROR(INDEX(設定!$F$6:$F$21,MATCH($G1653,設定!$B$6:$B$21,0)),0))</f>
        <v/>
      </c>
      <c r="M1653" s="85">
        <f>IF(OR($J1653="",$K1653=""),"",ROUND(($K1653-$J1653)*24-$L1653/60,2))</f>
        <v/>
      </c>
      <c r="N1653" s="16">
        <f>IF($C1653="","",IF(AND(COUNTIF(設定!$B$15:$B$21,$G1653)&gt;0,$J1653&lt;&gt;""),"假日出勤",IF(AND(COUNTIF(設定!$B$6:$B$14,$G1653)&gt;0,$J1653=""),"未打卡",IF($J1653="","",IF($O1653&gt;0,"遲到",IF($P1653&gt;0,"早退","正常"))))))</f>
        <v/>
      </c>
      <c r="O1653" s="84">
        <f>IF(OR($C1653="",$H1653="",$J1653=""),0,IF(ROUND(($J1653-$H1653)*1440,0)&gt;設定!$C$46,ROUND(($J1653-$H1653)*1440,0),0))</f>
        <v/>
      </c>
      <c r="P1653" s="84">
        <f>IF(OR($C1653="",$I1653="",$K1653=""),0,IF(ROUND(($I1653-$K1653)*1440,0)&gt;設定!$C$46,ROUND(($I1653-$K1653)*1440,0),0))</f>
        <v/>
      </c>
      <c r="Q1653" s="85">
        <f>IF($M1653="",0,IF(($M1653-IFERROR(INDEX(設定!$G$6:$G$21,MATCH($G1653,設定!$B$6:$B$21,0)),0))*60&gt;=設定!$C$44,ROUND(FLOOR(($M1653-IFERROR(INDEX(設定!$G$6:$G$21,MATCH($G1653,設定!$B$6:$B$21,0)),0))*60,設定!$C$45)/60,2),0))</f>
        <v/>
      </c>
      <c r="R1653" s="16">
        <f>IF(OR($C1653="",$Q1653=0),"",IF($G1653="國","國定假日",IF($B1653="日","例假",IF($B1653="六","休息日","平日"))))</f>
        <v/>
      </c>
      <c r="S1653" s="19" t="n"/>
    </row>
    <row r="1654">
      <c r="A1654" s="82">
        <f>IF(OR(助理班表!$A58="",9&gt;DAY(EOMONTH(DATE(設定!$C$2,設定!$D$2,1),0))),"",DATE(設定!$C$2,設定!$D$2,9))</f>
        <v/>
      </c>
      <c r="B1654" s="16">
        <f>IF($A1654="","",INDEX(設定!$O$6:$O$12,WEEKDAY($A1654,1)))</f>
        <v/>
      </c>
      <c r="C1654" s="16">
        <f>IF($A1654="","",助理班表!$A58)</f>
        <v/>
      </c>
      <c r="D1654" s="16">
        <f>IF($C1654="","",助理班表!$B58)</f>
        <v/>
      </c>
      <c r="E1654" s="16">
        <f>IF($C1654="","",助理班表!$D58)</f>
        <v/>
      </c>
      <c r="F1654" s="16">
        <f>IF($C1654="","",助理班表!$C58)</f>
        <v/>
      </c>
      <c r="G1654" s="16">
        <f>IF($C1654="","",助理班表!M58)</f>
        <v/>
      </c>
      <c r="H1654" s="83">
        <f>IF($G1654="","",IFERROR(IF(INDEX(設定!$D$6:$D$21,MATCH($G1654,設定!$B$6:$B$21,0))=0,"",INDEX(設定!$D$6:$D$21,MATCH($G1654,設定!$B$6:$B$21,0))),""))</f>
        <v/>
      </c>
      <c r="I1654" s="83">
        <f>IF($G1654="","",IFERROR(IF(INDEX(設定!$E$6:$E$21,MATCH($G1654,設定!$B$6:$B$21,0))=0,"",INDEX(設定!$E$6:$E$21,MATCH($G1654,設定!$B$6:$B$21,0))),""))</f>
        <v/>
      </c>
      <c r="J1654" s="83">
        <f>IFERROR(INDEX(打卡匯入!$C$3:$C$2002,MATCH($C1654&amp;"|"&amp;DAY($A1654),打卡匯入!$E$3:$E$2002,0)),"")</f>
        <v/>
      </c>
      <c r="K1654" s="83">
        <f>IFERROR(INDEX(打卡匯入!$D$3:$D$2002,MATCH($C1654&amp;"|"&amp;DAY($A1654),打卡匯入!$E$3:$E$2002,0)),"")</f>
        <v/>
      </c>
      <c r="L1654" s="84">
        <f>IF(OR($J1654="",$K1654=""),"",IFERROR(INDEX(設定!$F$6:$F$21,MATCH($G1654,設定!$B$6:$B$21,0)),0))</f>
        <v/>
      </c>
      <c r="M1654" s="85">
        <f>IF(OR($J1654="",$K1654=""),"",ROUND(($K1654-$J1654)*24-$L1654/60,2))</f>
        <v/>
      </c>
      <c r="N1654" s="16">
        <f>IF($C1654="","",IF(AND(COUNTIF(設定!$B$15:$B$21,$G1654)&gt;0,$J1654&lt;&gt;""),"假日出勤",IF(AND(COUNTIF(設定!$B$6:$B$14,$G1654)&gt;0,$J1654=""),"未打卡",IF($J1654="","",IF($O1654&gt;0,"遲到",IF($P1654&gt;0,"早退","正常"))))))</f>
        <v/>
      </c>
      <c r="O1654" s="84">
        <f>IF(OR($C1654="",$H1654="",$J1654=""),0,IF(ROUND(($J1654-$H1654)*1440,0)&gt;設定!$C$46,ROUND(($J1654-$H1654)*1440,0),0))</f>
        <v/>
      </c>
      <c r="P1654" s="84">
        <f>IF(OR($C1654="",$I1654="",$K1654=""),0,IF(ROUND(($I1654-$K1654)*1440,0)&gt;設定!$C$46,ROUND(($I1654-$K1654)*1440,0),0))</f>
        <v/>
      </c>
      <c r="Q1654" s="85">
        <f>IF($M1654="",0,IF(($M1654-IFERROR(INDEX(設定!$G$6:$G$21,MATCH($G1654,設定!$B$6:$B$21,0)),0))*60&gt;=設定!$C$44,ROUND(FLOOR(($M1654-IFERROR(INDEX(設定!$G$6:$G$21,MATCH($G1654,設定!$B$6:$B$21,0)),0))*60,設定!$C$45)/60,2),0))</f>
        <v/>
      </c>
      <c r="R1654" s="16">
        <f>IF(OR($C1654="",$Q1654=0),"",IF($G1654="國","國定假日",IF($B1654="日","例假",IF($B1654="六","休息日","平日"))))</f>
        <v/>
      </c>
      <c r="S1654" s="19" t="n"/>
    </row>
    <row r="1655">
      <c r="A1655" s="82">
        <f>IF(OR(助理班表!$A58="",10&gt;DAY(EOMONTH(DATE(設定!$C$2,設定!$D$2,1),0))),"",DATE(設定!$C$2,設定!$D$2,10))</f>
        <v/>
      </c>
      <c r="B1655" s="16">
        <f>IF($A1655="","",INDEX(設定!$O$6:$O$12,WEEKDAY($A1655,1)))</f>
        <v/>
      </c>
      <c r="C1655" s="16">
        <f>IF($A1655="","",助理班表!$A58)</f>
        <v/>
      </c>
      <c r="D1655" s="16">
        <f>IF($C1655="","",助理班表!$B58)</f>
        <v/>
      </c>
      <c r="E1655" s="16">
        <f>IF($C1655="","",助理班表!$D58)</f>
        <v/>
      </c>
      <c r="F1655" s="16">
        <f>IF($C1655="","",助理班表!$C58)</f>
        <v/>
      </c>
      <c r="G1655" s="16">
        <f>IF($C1655="","",助理班表!N58)</f>
        <v/>
      </c>
      <c r="H1655" s="83">
        <f>IF($G1655="","",IFERROR(IF(INDEX(設定!$D$6:$D$21,MATCH($G1655,設定!$B$6:$B$21,0))=0,"",INDEX(設定!$D$6:$D$21,MATCH($G1655,設定!$B$6:$B$21,0))),""))</f>
        <v/>
      </c>
      <c r="I1655" s="83">
        <f>IF($G1655="","",IFERROR(IF(INDEX(設定!$E$6:$E$21,MATCH($G1655,設定!$B$6:$B$21,0))=0,"",INDEX(設定!$E$6:$E$21,MATCH($G1655,設定!$B$6:$B$21,0))),""))</f>
        <v/>
      </c>
      <c r="J1655" s="83">
        <f>IFERROR(INDEX(打卡匯入!$C$3:$C$2002,MATCH($C1655&amp;"|"&amp;DAY($A1655),打卡匯入!$E$3:$E$2002,0)),"")</f>
        <v/>
      </c>
      <c r="K1655" s="83">
        <f>IFERROR(INDEX(打卡匯入!$D$3:$D$2002,MATCH($C1655&amp;"|"&amp;DAY($A1655),打卡匯入!$E$3:$E$2002,0)),"")</f>
        <v/>
      </c>
      <c r="L1655" s="84">
        <f>IF(OR($J1655="",$K1655=""),"",IFERROR(INDEX(設定!$F$6:$F$21,MATCH($G1655,設定!$B$6:$B$21,0)),0))</f>
        <v/>
      </c>
      <c r="M1655" s="85">
        <f>IF(OR($J1655="",$K1655=""),"",ROUND(($K1655-$J1655)*24-$L1655/60,2))</f>
        <v/>
      </c>
      <c r="N1655" s="16">
        <f>IF($C1655="","",IF(AND(COUNTIF(設定!$B$15:$B$21,$G1655)&gt;0,$J1655&lt;&gt;""),"假日出勤",IF(AND(COUNTIF(設定!$B$6:$B$14,$G1655)&gt;0,$J1655=""),"未打卡",IF($J1655="","",IF($O1655&gt;0,"遲到",IF($P1655&gt;0,"早退","正常"))))))</f>
        <v/>
      </c>
      <c r="O1655" s="84">
        <f>IF(OR($C1655="",$H1655="",$J1655=""),0,IF(ROUND(($J1655-$H1655)*1440,0)&gt;設定!$C$46,ROUND(($J1655-$H1655)*1440,0),0))</f>
        <v/>
      </c>
      <c r="P1655" s="84">
        <f>IF(OR($C1655="",$I1655="",$K1655=""),0,IF(ROUND(($I1655-$K1655)*1440,0)&gt;設定!$C$46,ROUND(($I1655-$K1655)*1440,0),0))</f>
        <v/>
      </c>
      <c r="Q1655" s="85">
        <f>IF($M1655="",0,IF(($M1655-IFERROR(INDEX(設定!$G$6:$G$21,MATCH($G1655,設定!$B$6:$B$21,0)),0))*60&gt;=設定!$C$44,ROUND(FLOOR(($M1655-IFERROR(INDEX(設定!$G$6:$G$21,MATCH($G1655,設定!$B$6:$B$21,0)),0))*60,設定!$C$45)/60,2),0))</f>
        <v/>
      </c>
      <c r="R1655" s="16">
        <f>IF(OR($C1655="",$Q1655=0),"",IF($G1655="國","國定假日",IF($B1655="日","例假",IF($B1655="六","休息日","平日"))))</f>
        <v/>
      </c>
      <c r="S1655" s="19" t="n"/>
    </row>
    <row r="1656">
      <c r="A1656" s="82">
        <f>IF(OR(助理班表!$A58="",11&gt;DAY(EOMONTH(DATE(設定!$C$2,設定!$D$2,1),0))),"",DATE(設定!$C$2,設定!$D$2,11))</f>
        <v/>
      </c>
      <c r="B1656" s="16">
        <f>IF($A1656="","",INDEX(設定!$O$6:$O$12,WEEKDAY($A1656,1)))</f>
        <v/>
      </c>
      <c r="C1656" s="16">
        <f>IF($A1656="","",助理班表!$A58)</f>
        <v/>
      </c>
      <c r="D1656" s="16">
        <f>IF($C1656="","",助理班表!$B58)</f>
        <v/>
      </c>
      <c r="E1656" s="16">
        <f>IF($C1656="","",助理班表!$D58)</f>
        <v/>
      </c>
      <c r="F1656" s="16">
        <f>IF($C1656="","",助理班表!$C58)</f>
        <v/>
      </c>
      <c r="G1656" s="16">
        <f>IF($C1656="","",助理班表!O58)</f>
        <v/>
      </c>
      <c r="H1656" s="83">
        <f>IF($G1656="","",IFERROR(IF(INDEX(設定!$D$6:$D$21,MATCH($G1656,設定!$B$6:$B$21,0))=0,"",INDEX(設定!$D$6:$D$21,MATCH($G1656,設定!$B$6:$B$21,0))),""))</f>
        <v/>
      </c>
      <c r="I1656" s="83">
        <f>IF($G1656="","",IFERROR(IF(INDEX(設定!$E$6:$E$21,MATCH($G1656,設定!$B$6:$B$21,0))=0,"",INDEX(設定!$E$6:$E$21,MATCH($G1656,設定!$B$6:$B$21,0))),""))</f>
        <v/>
      </c>
      <c r="J1656" s="83">
        <f>IFERROR(INDEX(打卡匯入!$C$3:$C$2002,MATCH($C1656&amp;"|"&amp;DAY($A1656),打卡匯入!$E$3:$E$2002,0)),"")</f>
        <v/>
      </c>
      <c r="K1656" s="83">
        <f>IFERROR(INDEX(打卡匯入!$D$3:$D$2002,MATCH($C1656&amp;"|"&amp;DAY($A1656),打卡匯入!$E$3:$E$2002,0)),"")</f>
        <v/>
      </c>
      <c r="L1656" s="84">
        <f>IF(OR($J1656="",$K1656=""),"",IFERROR(INDEX(設定!$F$6:$F$21,MATCH($G1656,設定!$B$6:$B$21,0)),0))</f>
        <v/>
      </c>
      <c r="M1656" s="85">
        <f>IF(OR($J1656="",$K1656=""),"",ROUND(($K1656-$J1656)*24-$L1656/60,2))</f>
        <v/>
      </c>
      <c r="N1656" s="16">
        <f>IF($C1656="","",IF(AND(COUNTIF(設定!$B$15:$B$21,$G1656)&gt;0,$J1656&lt;&gt;""),"假日出勤",IF(AND(COUNTIF(設定!$B$6:$B$14,$G1656)&gt;0,$J1656=""),"未打卡",IF($J1656="","",IF($O1656&gt;0,"遲到",IF($P1656&gt;0,"早退","正常"))))))</f>
        <v/>
      </c>
      <c r="O1656" s="84">
        <f>IF(OR($C1656="",$H1656="",$J1656=""),0,IF(ROUND(($J1656-$H1656)*1440,0)&gt;設定!$C$46,ROUND(($J1656-$H1656)*1440,0),0))</f>
        <v/>
      </c>
      <c r="P1656" s="84">
        <f>IF(OR($C1656="",$I1656="",$K1656=""),0,IF(ROUND(($I1656-$K1656)*1440,0)&gt;設定!$C$46,ROUND(($I1656-$K1656)*1440,0),0))</f>
        <v/>
      </c>
      <c r="Q1656" s="85">
        <f>IF($M1656="",0,IF(($M1656-IFERROR(INDEX(設定!$G$6:$G$21,MATCH($G1656,設定!$B$6:$B$21,0)),0))*60&gt;=設定!$C$44,ROUND(FLOOR(($M1656-IFERROR(INDEX(設定!$G$6:$G$21,MATCH($G1656,設定!$B$6:$B$21,0)),0))*60,設定!$C$45)/60,2),0))</f>
        <v/>
      </c>
      <c r="R1656" s="16">
        <f>IF(OR($C1656="",$Q1656=0),"",IF($G1656="國","國定假日",IF($B1656="日","例假",IF($B1656="六","休息日","平日"))))</f>
        <v/>
      </c>
      <c r="S1656" s="19" t="n"/>
    </row>
    <row r="1657">
      <c r="A1657" s="82">
        <f>IF(OR(助理班表!$A58="",12&gt;DAY(EOMONTH(DATE(設定!$C$2,設定!$D$2,1),0))),"",DATE(設定!$C$2,設定!$D$2,12))</f>
        <v/>
      </c>
      <c r="B1657" s="16">
        <f>IF($A1657="","",INDEX(設定!$O$6:$O$12,WEEKDAY($A1657,1)))</f>
        <v/>
      </c>
      <c r="C1657" s="16">
        <f>IF($A1657="","",助理班表!$A58)</f>
        <v/>
      </c>
      <c r="D1657" s="16">
        <f>IF($C1657="","",助理班表!$B58)</f>
        <v/>
      </c>
      <c r="E1657" s="16">
        <f>IF($C1657="","",助理班表!$D58)</f>
        <v/>
      </c>
      <c r="F1657" s="16">
        <f>IF($C1657="","",助理班表!$C58)</f>
        <v/>
      </c>
      <c r="G1657" s="16">
        <f>IF($C1657="","",助理班表!P58)</f>
        <v/>
      </c>
      <c r="H1657" s="83">
        <f>IF($G1657="","",IFERROR(IF(INDEX(設定!$D$6:$D$21,MATCH($G1657,設定!$B$6:$B$21,0))=0,"",INDEX(設定!$D$6:$D$21,MATCH($G1657,設定!$B$6:$B$21,0))),""))</f>
        <v/>
      </c>
      <c r="I1657" s="83">
        <f>IF($G1657="","",IFERROR(IF(INDEX(設定!$E$6:$E$21,MATCH($G1657,設定!$B$6:$B$21,0))=0,"",INDEX(設定!$E$6:$E$21,MATCH($G1657,設定!$B$6:$B$21,0))),""))</f>
        <v/>
      </c>
      <c r="J1657" s="83">
        <f>IFERROR(INDEX(打卡匯入!$C$3:$C$2002,MATCH($C1657&amp;"|"&amp;DAY($A1657),打卡匯入!$E$3:$E$2002,0)),"")</f>
        <v/>
      </c>
      <c r="K1657" s="83">
        <f>IFERROR(INDEX(打卡匯入!$D$3:$D$2002,MATCH($C1657&amp;"|"&amp;DAY($A1657),打卡匯入!$E$3:$E$2002,0)),"")</f>
        <v/>
      </c>
      <c r="L1657" s="84">
        <f>IF(OR($J1657="",$K1657=""),"",IFERROR(INDEX(設定!$F$6:$F$21,MATCH($G1657,設定!$B$6:$B$21,0)),0))</f>
        <v/>
      </c>
      <c r="M1657" s="85">
        <f>IF(OR($J1657="",$K1657=""),"",ROUND(($K1657-$J1657)*24-$L1657/60,2))</f>
        <v/>
      </c>
      <c r="N1657" s="16">
        <f>IF($C1657="","",IF(AND(COUNTIF(設定!$B$15:$B$21,$G1657)&gt;0,$J1657&lt;&gt;""),"假日出勤",IF(AND(COUNTIF(設定!$B$6:$B$14,$G1657)&gt;0,$J1657=""),"未打卡",IF($J1657="","",IF($O1657&gt;0,"遲到",IF($P1657&gt;0,"早退","正常"))))))</f>
        <v/>
      </c>
      <c r="O1657" s="84">
        <f>IF(OR($C1657="",$H1657="",$J1657=""),0,IF(ROUND(($J1657-$H1657)*1440,0)&gt;設定!$C$46,ROUND(($J1657-$H1657)*1440,0),0))</f>
        <v/>
      </c>
      <c r="P1657" s="84">
        <f>IF(OR($C1657="",$I1657="",$K1657=""),0,IF(ROUND(($I1657-$K1657)*1440,0)&gt;設定!$C$46,ROUND(($I1657-$K1657)*1440,0),0))</f>
        <v/>
      </c>
      <c r="Q1657" s="85">
        <f>IF($M1657="",0,IF(($M1657-IFERROR(INDEX(設定!$G$6:$G$21,MATCH($G1657,設定!$B$6:$B$21,0)),0))*60&gt;=設定!$C$44,ROUND(FLOOR(($M1657-IFERROR(INDEX(設定!$G$6:$G$21,MATCH($G1657,設定!$B$6:$B$21,0)),0))*60,設定!$C$45)/60,2),0))</f>
        <v/>
      </c>
      <c r="R1657" s="16">
        <f>IF(OR($C1657="",$Q1657=0),"",IF($G1657="國","國定假日",IF($B1657="日","例假",IF($B1657="六","休息日","平日"))))</f>
        <v/>
      </c>
      <c r="S1657" s="19" t="n"/>
    </row>
    <row r="1658">
      <c r="A1658" s="82">
        <f>IF(OR(助理班表!$A58="",13&gt;DAY(EOMONTH(DATE(設定!$C$2,設定!$D$2,1),0))),"",DATE(設定!$C$2,設定!$D$2,13))</f>
        <v/>
      </c>
      <c r="B1658" s="16">
        <f>IF($A1658="","",INDEX(設定!$O$6:$O$12,WEEKDAY($A1658,1)))</f>
        <v/>
      </c>
      <c r="C1658" s="16">
        <f>IF($A1658="","",助理班表!$A58)</f>
        <v/>
      </c>
      <c r="D1658" s="16">
        <f>IF($C1658="","",助理班表!$B58)</f>
        <v/>
      </c>
      <c r="E1658" s="16">
        <f>IF($C1658="","",助理班表!$D58)</f>
        <v/>
      </c>
      <c r="F1658" s="16">
        <f>IF($C1658="","",助理班表!$C58)</f>
        <v/>
      </c>
      <c r="G1658" s="16">
        <f>IF($C1658="","",助理班表!Q58)</f>
        <v/>
      </c>
      <c r="H1658" s="83">
        <f>IF($G1658="","",IFERROR(IF(INDEX(設定!$D$6:$D$21,MATCH($G1658,設定!$B$6:$B$21,0))=0,"",INDEX(設定!$D$6:$D$21,MATCH($G1658,設定!$B$6:$B$21,0))),""))</f>
        <v/>
      </c>
      <c r="I1658" s="83">
        <f>IF($G1658="","",IFERROR(IF(INDEX(設定!$E$6:$E$21,MATCH($G1658,設定!$B$6:$B$21,0))=0,"",INDEX(設定!$E$6:$E$21,MATCH($G1658,設定!$B$6:$B$21,0))),""))</f>
        <v/>
      </c>
      <c r="J1658" s="83">
        <f>IFERROR(INDEX(打卡匯入!$C$3:$C$2002,MATCH($C1658&amp;"|"&amp;DAY($A1658),打卡匯入!$E$3:$E$2002,0)),"")</f>
        <v/>
      </c>
      <c r="K1658" s="83">
        <f>IFERROR(INDEX(打卡匯入!$D$3:$D$2002,MATCH($C1658&amp;"|"&amp;DAY($A1658),打卡匯入!$E$3:$E$2002,0)),"")</f>
        <v/>
      </c>
      <c r="L1658" s="84">
        <f>IF(OR($J1658="",$K1658=""),"",IFERROR(INDEX(設定!$F$6:$F$21,MATCH($G1658,設定!$B$6:$B$21,0)),0))</f>
        <v/>
      </c>
      <c r="M1658" s="85">
        <f>IF(OR($J1658="",$K1658=""),"",ROUND(($K1658-$J1658)*24-$L1658/60,2))</f>
        <v/>
      </c>
      <c r="N1658" s="16">
        <f>IF($C1658="","",IF(AND(COUNTIF(設定!$B$15:$B$21,$G1658)&gt;0,$J1658&lt;&gt;""),"假日出勤",IF(AND(COUNTIF(設定!$B$6:$B$14,$G1658)&gt;0,$J1658=""),"未打卡",IF($J1658="","",IF($O1658&gt;0,"遲到",IF($P1658&gt;0,"早退","正常"))))))</f>
        <v/>
      </c>
      <c r="O1658" s="84">
        <f>IF(OR($C1658="",$H1658="",$J1658=""),0,IF(ROUND(($J1658-$H1658)*1440,0)&gt;設定!$C$46,ROUND(($J1658-$H1658)*1440,0),0))</f>
        <v/>
      </c>
      <c r="P1658" s="84">
        <f>IF(OR($C1658="",$I1658="",$K1658=""),0,IF(ROUND(($I1658-$K1658)*1440,0)&gt;設定!$C$46,ROUND(($I1658-$K1658)*1440,0),0))</f>
        <v/>
      </c>
      <c r="Q1658" s="85">
        <f>IF($M1658="",0,IF(($M1658-IFERROR(INDEX(設定!$G$6:$G$21,MATCH($G1658,設定!$B$6:$B$21,0)),0))*60&gt;=設定!$C$44,ROUND(FLOOR(($M1658-IFERROR(INDEX(設定!$G$6:$G$21,MATCH($G1658,設定!$B$6:$B$21,0)),0))*60,設定!$C$45)/60,2),0))</f>
        <v/>
      </c>
      <c r="R1658" s="16">
        <f>IF(OR($C1658="",$Q1658=0),"",IF($G1658="國","國定假日",IF($B1658="日","例假",IF($B1658="六","休息日","平日"))))</f>
        <v/>
      </c>
      <c r="S1658" s="19" t="n"/>
    </row>
    <row r="1659">
      <c r="A1659" s="82">
        <f>IF(OR(助理班表!$A58="",14&gt;DAY(EOMONTH(DATE(設定!$C$2,設定!$D$2,1),0))),"",DATE(設定!$C$2,設定!$D$2,14))</f>
        <v/>
      </c>
      <c r="B1659" s="16">
        <f>IF($A1659="","",INDEX(設定!$O$6:$O$12,WEEKDAY($A1659,1)))</f>
        <v/>
      </c>
      <c r="C1659" s="16">
        <f>IF($A1659="","",助理班表!$A58)</f>
        <v/>
      </c>
      <c r="D1659" s="16">
        <f>IF($C1659="","",助理班表!$B58)</f>
        <v/>
      </c>
      <c r="E1659" s="16">
        <f>IF($C1659="","",助理班表!$D58)</f>
        <v/>
      </c>
      <c r="F1659" s="16">
        <f>IF($C1659="","",助理班表!$C58)</f>
        <v/>
      </c>
      <c r="G1659" s="16">
        <f>IF($C1659="","",助理班表!R58)</f>
        <v/>
      </c>
      <c r="H1659" s="83">
        <f>IF($G1659="","",IFERROR(IF(INDEX(設定!$D$6:$D$21,MATCH($G1659,設定!$B$6:$B$21,0))=0,"",INDEX(設定!$D$6:$D$21,MATCH($G1659,設定!$B$6:$B$21,0))),""))</f>
        <v/>
      </c>
      <c r="I1659" s="83">
        <f>IF($G1659="","",IFERROR(IF(INDEX(設定!$E$6:$E$21,MATCH($G1659,設定!$B$6:$B$21,0))=0,"",INDEX(設定!$E$6:$E$21,MATCH($G1659,設定!$B$6:$B$21,0))),""))</f>
        <v/>
      </c>
      <c r="J1659" s="83">
        <f>IFERROR(INDEX(打卡匯入!$C$3:$C$2002,MATCH($C1659&amp;"|"&amp;DAY($A1659),打卡匯入!$E$3:$E$2002,0)),"")</f>
        <v/>
      </c>
      <c r="K1659" s="83">
        <f>IFERROR(INDEX(打卡匯入!$D$3:$D$2002,MATCH($C1659&amp;"|"&amp;DAY($A1659),打卡匯入!$E$3:$E$2002,0)),"")</f>
        <v/>
      </c>
      <c r="L1659" s="84">
        <f>IF(OR($J1659="",$K1659=""),"",IFERROR(INDEX(設定!$F$6:$F$21,MATCH($G1659,設定!$B$6:$B$21,0)),0))</f>
        <v/>
      </c>
      <c r="M1659" s="85">
        <f>IF(OR($J1659="",$K1659=""),"",ROUND(($K1659-$J1659)*24-$L1659/60,2))</f>
        <v/>
      </c>
      <c r="N1659" s="16">
        <f>IF($C1659="","",IF(AND(COUNTIF(設定!$B$15:$B$21,$G1659)&gt;0,$J1659&lt;&gt;""),"假日出勤",IF(AND(COUNTIF(設定!$B$6:$B$14,$G1659)&gt;0,$J1659=""),"未打卡",IF($J1659="","",IF($O1659&gt;0,"遲到",IF($P1659&gt;0,"早退","正常"))))))</f>
        <v/>
      </c>
      <c r="O1659" s="84">
        <f>IF(OR($C1659="",$H1659="",$J1659=""),0,IF(ROUND(($J1659-$H1659)*1440,0)&gt;設定!$C$46,ROUND(($J1659-$H1659)*1440,0),0))</f>
        <v/>
      </c>
      <c r="P1659" s="84">
        <f>IF(OR($C1659="",$I1659="",$K1659=""),0,IF(ROUND(($I1659-$K1659)*1440,0)&gt;設定!$C$46,ROUND(($I1659-$K1659)*1440,0),0))</f>
        <v/>
      </c>
      <c r="Q1659" s="85">
        <f>IF($M1659="",0,IF(($M1659-IFERROR(INDEX(設定!$G$6:$G$21,MATCH($G1659,設定!$B$6:$B$21,0)),0))*60&gt;=設定!$C$44,ROUND(FLOOR(($M1659-IFERROR(INDEX(設定!$G$6:$G$21,MATCH($G1659,設定!$B$6:$B$21,0)),0))*60,設定!$C$45)/60,2),0))</f>
        <v/>
      </c>
      <c r="R1659" s="16">
        <f>IF(OR($C1659="",$Q1659=0),"",IF($G1659="國","國定假日",IF($B1659="日","例假",IF($B1659="六","休息日","平日"))))</f>
        <v/>
      </c>
      <c r="S1659" s="19" t="n"/>
    </row>
    <row r="1660">
      <c r="A1660" s="82">
        <f>IF(OR(助理班表!$A58="",15&gt;DAY(EOMONTH(DATE(設定!$C$2,設定!$D$2,1),0))),"",DATE(設定!$C$2,設定!$D$2,15))</f>
        <v/>
      </c>
      <c r="B1660" s="16">
        <f>IF($A1660="","",INDEX(設定!$O$6:$O$12,WEEKDAY($A1660,1)))</f>
        <v/>
      </c>
      <c r="C1660" s="16">
        <f>IF($A1660="","",助理班表!$A58)</f>
        <v/>
      </c>
      <c r="D1660" s="16">
        <f>IF($C1660="","",助理班表!$B58)</f>
        <v/>
      </c>
      <c r="E1660" s="16">
        <f>IF($C1660="","",助理班表!$D58)</f>
        <v/>
      </c>
      <c r="F1660" s="16">
        <f>IF($C1660="","",助理班表!$C58)</f>
        <v/>
      </c>
      <c r="G1660" s="16">
        <f>IF($C1660="","",助理班表!S58)</f>
        <v/>
      </c>
      <c r="H1660" s="83">
        <f>IF($G1660="","",IFERROR(IF(INDEX(設定!$D$6:$D$21,MATCH($G1660,設定!$B$6:$B$21,0))=0,"",INDEX(設定!$D$6:$D$21,MATCH($G1660,設定!$B$6:$B$21,0))),""))</f>
        <v/>
      </c>
      <c r="I1660" s="83">
        <f>IF($G1660="","",IFERROR(IF(INDEX(設定!$E$6:$E$21,MATCH($G1660,設定!$B$6:$B$21,0))=0,"",INDEX(設定!$E$6:$E$21,MATCH($G1660,設定!$B$6:$B$21,0))),""))</f>
        <v/>
      </c>
      <c r="J1660" s="83">
        <f>IFERROR(INDEX(打卡匯入!$C$3:$C$2002,MATCH($C1660&amp;"|"&amp;DAY($A1660),打卡匯入!$E$3:$E$2002,0)),"")</f>
        <v/>
      </c>
      <c r="K1660" s="83">
        <f>IFERROR(INDEX(打卡匯入!$D$3:$D$2002,MATCH($C1660&amp;"|"&amp;DAY($A1660),打卡匯入!$E$3:$E$2002,0)),"")</f>
        <v/>
      </c>
      <c r="L1660" s="84">
        <f>IF(OR($J1660="",$K1660=""),"",IFERROR(INDEX(設定!$F$6:$F$21,MATCH($G1660,設定!$B$6:$B$21,0)),0))</f>
        <v/>
      </c>
      <c r="M1660" s="85">
        <f>IF(OR($J1660="",$K1660=""),"",ROUND(($K1660-$J1660)*24-$L1660/60,2))</f>
        <v/>
      </c>
      <c r="N1660" s="16">
        <f>IF($C1660="","",IF(AND(COUNTIF(設定!$B$15:$B$21,$G1660)&gt;0,$J1660&lt;&gt;""),"假日出勤",IF(AND(COUNTIF(設定!$B$6:$B$14,$G1660)&gt;0,$J1660=""),"未打卡",IF($J1660="","",IF($O1660&gt;0,"遲到",IF($P1660&gt;0,"早退","正常"))))))</f>
        <v/>
      </c>
      <c r="O1660" s="84">
        <f>IF(OR($C1660="",$H1660="",$J1660=""),0,IF(ROUND(($J1660-$H1660)*1440,0)&gt;設定!$C$46,ROUND(($J1660-$H1660)*1440,0),0))</f>
        <v/>
      </c>
      <c r="P1660" s="84">
        <f>IF(OR($C1660="",$I1660="",$K1660=""),0,IF(ROUND(($I1660-$K1660)*1440,0)&gt;設定!$C$46,ROUND(($I1660-$K1660)*1440,0),0))</f>
        <v/>
      </c>
      <c r="Q1660" s="85">
        <f>IF($M1660="",0,IF(($M1660-IFERROR(INDEX(設定!$G$6:$G$21,MATCH($G1660,設定!$B$6:$B$21,0)),0))*60&gt;=設定!$C$44,ROUND(FLOOR(($M1660-IFERROR(INDEX(設定!$G$6:$G$21,MATCH($G1660,設定!$B$6:$B$21,0)),0))*60,設定!$C$45)/60,2),0))</f>
        <v/>
      </c>
      <c r="R1660" s="16">
        <f>IF(OR($C1660="",$Q1660=0),"",IF($G1660="國","國定假日",IF($B1660="日","例假",IF($B1660="六","休息日","平日"))))</f>
        <v/>
      </c>
      <c r="S1660" s="19" t="n"/>
    </row>
    <row r="1661">
      <c r="A1661" s="82">
        <f>IF(OR(助理班表!$A58="",16&gt;DAY(EOMONTH(DATE(設定!$C$2,設定!$D$2,1),0))),"",DATE(設定!$C$2,設定!$D$2,16))</f>
        <v/>
      </c>
      <c r="B1661" s="16">
        <f>IF($A1661="","",INDEX(設定!$O$6:$O$12,WEEKDAY($A1661,1)))</f>
        <v/>
      </c>
      <c r="C1661" s="16">
        <f>IF($A1661="","",助理班表!$A58)</f>
        <v/>
      </c>
      <c r="D1661" s="16">
        <f>IF($C1661="","",助理班表!$B58)</f>
        <v/>
      </c>
      <c r="E1661" s="16">
        <f>IF($C1661="","",助理班表!$D58)</f>
        <v/>
      </c>
      <c r="F1661" s="16">
        <f>IF($C1661="","",助理班表!$C58)</f>
        <v/>
      </c>
      <c r="G1661" s="16">
        <f>IF($C1661="","",助理班表!T58)</f>
        <v/>
      </c>
      <c r="H1661" s="83">
        <f>IF($G1661="","",IFERROR(IF(INDEX(設定!$D$6:$D$21,MATCH($G1661,設定!$B$6:$B$21,0))=0,"",INDEX(設定!$D$6:$D$21,MATCH($G1661,設定!$B$6:$B$21,0))),""))</f>
        <v/>
      </c>
      <c r="I1661" s="83">
        <f>IF($G1661="","",IFERROR(IF(INDEX(設定!$E$6:$E$21,MATCH($G1661,設定!$B$6:$B$21,0))=0,"",INDEX(設定!$E$6:$E$21,MATCH($G1661,設定!$B$6:$B$21,0))),""))</f>
        <v/>
      </c>
      <c r="J1661" s="83">
        <f>IFERROR(INDEX(打卡匯入!$C$3:$C$2002,MATCH($C1661&amp;"|"&amp;DAY($A1661),打卡匯入!$E$3:$E$2002,0)),"")</f>
        <v/>
      </c>
      <c r="K1661" s="83">
        <f>IFERROR(INDEX(打卡匯入!$D$3:$D$2002,MATCH($C1661&amp;"|"&amp;DAY($A1661),打卡匯入!$E$3:$E$2002,0)),"")</f>
        <v/>
      </c>
      <c r="L1661" s="84">
        <f>IF(OR($J1661="",$K1661=""),"",IFERROR(INDEX(設定!$F$6:$F$21,MATCH($G1661,設定!$B$6:$B$21,0)),0))</f>
        <v/>
      </c>
      <c r="M1661" s="85">
        <f>IF(OR($J1661="",$K1661=""),"",ROUND(($K1661-$J1661)*24-$L1661/60,2))</f>
        <v/>
      </c>
      <c r="N1661" s="16">
        <f>IF($C1661="","",IF(AND(COUNTIF(設定!$B$15:$B$21,$G1661)&gt;0,$J1661&lt;&gt;""),"假日出勤",IF(AND(COUNTIF(設定!$B$6:$B$14,$G1661)&gt;0,$J1661=""),"未打卡",IF($J1661="","",IF($O1661&gt;0,"遲到",IF($P1661&gt;0,"早退","正常"))))))</f>
        <v/>
      </c>
      <c r="O1661" s="84">
        <f>IF(OR($C1661="",$H1661="",$J1661=""),0,IF(ROUND(($J1661-$H1661)*1440,0)&gt;設定!$C$46,ROUND(($J1661-$H1661)*1440,0),0))</f>
        <v/>
      </c>
      <c r="P1661" s="84">
        <f>IF(OR($C1661="",$I1661="",$K1661=""),0,IF(ROUND(($I1661-$K1661)*1440,0)&gt;設定!$C$46,ROUND(($I1661-$K1661)*1440,0),0))</f>
        <v/>
      </c>
      <c r="Q1661" s="85">
        <f>IF($M1661="",0,IF(($M1661-IFERROR(INDEX(設定!$G$6:$G$21,MATCH($G1661,設定!$B$6:$B$21,0)),0))*60&gt;=設定!$C$44,ROUND(FLOOR(($M1661-IFERROR(INDEX(設定!$G$6:$G$21,MATCH($G1661,設定!$B$6:$B$21,0)),0))*60,設定!$C$45)/60,2),0))</f>
        <v/>
      </c>
      <c r="R1661" s="16">
        <f>IF(OR($C1661="",$Q1661=0),"",IF($G1661="國","國定假日",IF($B1661="日","例假",IF($B1661="六","休息日","平日"))))</f>
        <v/>
      </c>
      <c r="S1661" s="19" t="n"/>
    </row>
    <row r="1662">
      <c r="A1662" s="82">
        <f>IF(OR(助理班表!$A58="",17&gt;DAY(EOMONTH(DATE(設定!$C$2,設定!$D$2,1),0))),"",DATE(設定!$C$2,設定!$D$2,17))</f>
        <v/>
      </c>
      <c r="B1662" s="16">
        <f>IF($A1662="","",INDEX(設定!$O$6:$O$12,WEEKDAY($A1662,1)))</f>
        <v/>
      </c>
      <c r="C1662" s="16">
        <f>IF($A1662="","",助理班表!$A58)</f>
        <v/>
      </c>
      <c r="D1662" s="16">
        <f>IF($C1662="","",助理班表!$B58)</f>
        <v/>
      </c>
      <c r="E1662" s="16">
        <f>IF($C1662="","",助理班表!$D58)</f>
        <v/>
      </c>
      <c r="F1662" s="16">
        <f>IF($C1662="","",助理班表!$C58)</f>
        <v/>
      </c>
      <c r="G1662" s="16">
        <f>IF($C1662="","",助理班表!U58)</f>
        <v/>
      </c>
      <c r="H1662" s="83">
        <f>IF($G1662="","",IFERROR(IF(INDEX(設定!$D$6:$D$21,MATCH($G1662,設定!$B$6:$B$21,0))=0,"",INDEX(設定!$D$6:$D$21,MATCH($G1662,設定!$B$6:$B$21,0))),""))</f>
        <v/>
      </c>
      <c r="I1662" s="83">
        <f>IF($G1662="","",IFERROR(IF(INDEX(設定!$E$6:$E$21,MATCH($G1662,設定!$B$6:$B$21,0))=0,"",INDEX(設定!$E$6:$E$21,MATCH($G1662,設定!$B$6:$B$21,0))),""))</f>
        <v/>
      </c>
      <c r="J1662" s="83">
        <f>IFERROR(INDEX(打卡匯入!$C$3:$C$2002,MATCH($C1662&amp;"|"&amp;DAY($A1662),打卡匯入!$E$3:$E$2002,0)),"")</f>
        <v/>
      </c>
      <c r="K1662" s="83">
        <f>IFERROR(INDEX(打卡匯入!$D$3:$D$2002,MATCH($C1662&amp;"|"&amp;DAY($A1662),打卡匯入!$E$3:$E$2002,0)),"")</f>
        <v/>
      </c>
      <c r="L1662" s="84">
        <f>IF(OR($J1662="",$K1662=""),"",IFERROR(INDEX(設定!$F$6:$F$21,MATCH($G1662,設定!$B$6:$B$21,0)),0))</f>
        <v/>
      </c>
      <c r="M1662" s="85">
        <f>IF(OR($J1662="",$K1662=""),"",ROUND(($K1662-$J1662)*24-$L1662/60,2))</f>
        <v/>
      </c>
      <c r="N1662" s="16">
        <f>IF($C1662="","",IF(AND(COUNTIF(設定!$B$15:$B$21,$G1662)&gt;0,$J1662&lt;&gt;""),"假日出勤",IF(AND(COUNTIF(設定!$B$6:$B$14,$G1662)&gt;0,$J1662=""),"未打卡",IF($J1662="","",IF($O1662&gt;0,"遲到",IF($P1662&gt;0,"早退","正常"))))))</f>
        <v/>
      </c>
      <c r="O1662" s="84">
        <f>IF(OR($C1662="",$H1662="",$J1662=""),0,IF(ROUND(($J1662-$H1662)*1440,0)&gt;設定!$C$46,ROUND(($J1662-$H1662)*1440,0),0))</f>
        <v/>
      </c>
      <c r="P1662" s="84">
        <f>IF(OR($C1662="",$I1662="",$K1662=""),0,IF(ROUND(($I1662-$K1662)*1440,0)&gt;設定!$C$46,ROUND(($I1662-$K1662)*1440,0),0))</f>
        <v/>
      </c>
      <c r="Q1662" s="85">
        <f>IF($M1662="",0,IF(($M1662-IFERROR(INDEX(設定!$G$6:$G$21,MATCH($G1662,設定!$B$6:$B$21,0)),0))*60&gt;=設定!$C$44,ROUND(FLOOR(($M1662-IFERROR(INDEX(設定!$G$6:$G$21,MATCH($G1662,設定!$B$6:$B$21,0)),0))*60,設定!$C$45)/60,2),0))</f>
        <v/>
      </c>
      <c r="R1662" s="16">
        <f>IF(OR($C1662="",$Q1662=0),"",IF($G1662="國","國定假日",IF($B1662="日","例假",IF($B1662="六","休息日","平日"))))</f>
        <v/>
      </c>
      <c r="S1662" s="19" t="n"/>
    </row>
    <row r="1663">
      <c r="A1663" s="82">
        <f>IF(OR(助理班表!$A58="",18&gt;DAY(EOMONTH(DATE(設定!$C$2,設定!$D$2,1),0))),"",DATE(設定!$C$2,設定!$D$2,18))</f>
        <v/>
      </c>
      <c r="B1663" s="16">
        <f>IF($A1663="","",INDEX(設定!$O$6:$O$12,WEEKDAY($A1663,1)))</f>
        <v/>
      </c>
      <c r="C1663" s="16">
        <f>IF($A1663="","",助理班表!$A58)</f>
        <v/>
      </c>
      <c r="D1663" s="16">
        <f>IF($C1663="","",助理班表!$B58)</f>
        <v/>
      </c>
      <c r="E1663" s="16">
        <f>IF($C1663="","",助理班表!$D58)</f>
        <v/>
      </c>
      <c r="F1663" s="16">
        <f>IF($C1663="","",助理班表!$C58)</f>
        <v/>
      </c>
      <c r="G1663" s="16">
        <f>IF($C1663="","",助理班表!V58)</f>
        <v/>
      </c>
      <c r="H1663" s="83">
        <f>IF($G1663="","",IFERROR(IF(INDEX(設定!$D$6:$D$21,MATCH($G1663,設定!$B$6:$B$21,0))=0,"",INDEX(設定!$D$6:$D$21,MATCH($G1663,設定!$B$6:$B$21,0))),""))</f>
        <v/>
      </c>
      <c r="I1663" s="83">
        <f>IF($G1663="","",IFERROR(IF(INDEX(設定!$E$6:$E$21,MATCH($G1663,設定!$B$6:$B$21,0))=0,"",INDEX(設定!$E$6:$E$21,MATCH($G1663,設定!$B$6:$B$21,0))),""))</f>
        <v/>
      </c>
      <c r="J1663" s="83">
        <f>IFERROR(INDEX(打卡匯入!$C$3:$C$2002,MATCH($C1663&amp;"|"&amp;DAY($A1663),打卡匯入!$E$3:$E$2002,0)),"")</f>
        <v/>
      </c>
      <c r="K1663" s="83">
        <f>IFERROR(INDEX(打卡匯入!$D$3:$D$2002,MATCH($C1663&amp;"|"&amp;DAY($A1663),打卡匯入!$E$3:$E$2002,0)),"")</f>
        <v/>
      </c>
      <c r="L1663" s="84">
        <f>IF(OR($J1663="",$K1663=""),"",IFERROR(INDEX(設定!$F$6:$F$21,MATCH($G1663,設定!$B$6:$B$21,0)),0))</f>
        <v/>
      </c>
      <c r="M1663" s="85">
        <f>IF(OR($J1663="",$K1663=""),"",ROUND(($K1663-$J1663)*24-$L1663/60,2))</f>
        <v/>
      </c>
      <c r="N1663" s="16">
        <f>IF($C1663="","",IF(AND(COUNTIF(設定!$B$15:$B$21,$G1663)&gt;0,$J1663&lt;&gt;""),"假日出勤",IF(AND(COUNTIF(設定!$B$6:$B$14,$G1663)&gt;0,$J1663=""),"未打卡",IF($J1663="","",IF($O1663&gt;0,"遲到",IF($P1663&gt;0,"早退","正常"))))))</f>
        <v/>
      </c>
      <c r="O1663" s="84">
        <f>IF(OR($C1663="",$H1663="",$J1663=""),0,IF(ROUND(($J1663-$H1663)*1440,0)&gt;設定!$C$46,ROUND(($J1663-$H1663)*1440,0),0))</f>
        <v/>
      </c>
      <c r="P1663" s="84">
        <f>IF(OR($C1663="",$I1663="",$K1663=""),0,IF(ROUND(($I1663-$K1663)*1440,0)&gt;設定!$C$46,ROUND(($I1663-$K1663)*1440,0),0))</f>
        <v/>
      </c>
      <c r="Q1663" s="85">
        <f>IF($M1663="",0,IF(($M1663-IFERROR(INDEX(設定!$G$6:$G$21,MATCH($G1663,設定!$B$6:$B$21,0)),0))*60&gt;=設定!$C$44,ROUND(FLOOR(($M1663-IFERROR(INDEX(設定!$G$6:$G$21,MATCH($G1663,設定!$B$6:$B$21,0)),0))*60,設定!$C$45)/60,2),0))</f>
        <v/>
      </c>
      <c r="R1663" s="16">
        <f>IF(OR($C1663="",$Q1663=0),"",IF($G1663="國","國定假日",IF($B1663="日","例假",IF($B1663="六","休息日","平日"))))</f>
        <v/>
      </c>
      <c r="S1663" s="19" t="n"/>
    </row>
    <row r="1664">
      <c r="A1664" s="82">
        <f>IF(OR(助理班表!$A58="",19&gt;DAY(EOMONTH(DATE(設定!$C$2,設定!$D$2,1),0))),"",DATE(設定!$C$2,設定!$D$2,19))</f>
        <v/>
      </c>
      <c r="B1664" s="16">
        <f>IF($A1664="","",INDEX(設定!$O$6:$O$12,WEEKDAY($A1664,1)))</f>
        <v/>
      </c>
      <c r="C1664" s="16">
        <f>IF($A1664="","",助理班表!$A58)</f>
        <v/>
      </c>
      <c r="D1664" s="16">
        <f>IF($C1664="","",助理班表!$B58)</f>
        <v/>
      </c>
      <c r="E1664" s="16">
        <f>IF($C1664="","",助理班表!$D58)</f>
        <v/>
      </c>
      <c r="F1664" s="16">
        <f>IF($C1664="","",助理班表!$C58)</f>
        <v/>
      </c>
      <c r="G1664" s="16">
        <f>IF($C1664="","",助理班表!W58)</f>
        <v/>
      </c>
      <c r="H1664" s="83">
        <f>IF($G1664="","",IFERROR(IF(INDEX(設定!$D$6:$D$21,MATCH($G1664,設定!$B$6:$B$21,0))=0,"",INDEX(設定!$D$6:$D$21,MATCH($G1664,設定!$B$6:$B$21,0))),""))</f>
        <v/>
      </c>
      <c r="I1664" s="83">
        <f>IF($G1664="","",IFERROR(IF(INDEX(設定!$E$6:$E$21,MATCH($G1664,設定!$B$6:$B$21,0))=0,"",INDEX(設定!$E$6:$E$21,MATCH($G1664,設定!$B$6:$B$21,0))),""))</f>
        <v/>
      </c>
      <c r="J1664" s="83">
        <f>IFERROR(INDEX(打卡匯入!$C$3:$C$2002,MATCH($C1664&amp;"|"&amp;DAY($A1664),打卡匯入!$E$3:$E$2002,0)),"")</f>
        <v/>
      </c>
      <c r="K1664" s="83">
        <f>IFERROR(INDEX(打卡匯入!$D$3:$D$2002,MATCH($C1664&amp;"|"&amp;DAY($A1664),打卡匯入!$E$3:$E$2002,0)),"")</f>
        <v/>
      </c>
      <c r="L1664" s="84">
        <f>IF(OR($J1664="",$K1664=""),"",IFERROR(INDEX(設定!$F$6:$F$21,MATCH($G1664,設定!$B$6:$B$21,0)),0))</f>
        <v/>
      </c>
      <c r="M1664" s="85">
        <f>IF(OR($J1664="",$K1664=""),"",ROUND(($K1664-$J1664)*24-$L1664/60,2))</f>
        <v/>
      </c>
      <c r="N1664" s="16">
        <f>IF($C1664="","",IF(AND(COUNTIF(設定!$B$15:$B$21,$G1664)&gt;0,$J1664&lt;&gt;""),"假日出勤",IF(AND(COUNTIF(設定!$B$6:$B$14,$G1664)&gt;0,$J1664=""),"未打卡",IF($J1664="","",IF($O1664&gt;0,"遲到",IF($P1664&gt;0,"早退","正常"))))))</f>
        <v/>
      </c>
      <c r="O1664" s="84">
        <f>IF(OR($C1664="",$H1664="",$J1664=""),0,IF(ROUND(($J1664-$H1664)*1440,0)&gt;設定!$C$46,ROUND(($J1664-$H1664)*1440,0),0))</f>
        <v/>
      </c>
      <c r="P1664" s="84">
        <f>IF(OR($C1664="",$I1664="",$K1664=""),0,IF(ROUND(($I1664-$K1664)*1440,0)&gt;設定!$C$46,ROUND(($I1664-$K1664)*1440,0),0))</f>
        <v/>
      </c>
      <c r="Q1664" s="85">
        <f>IF($M1664="",0,IF(($M1664-IFERROR(INDEX(設定!$G$6:$G$21,MATCH($G1664,設定!$B$6:$B$21,0)),0))*60&gt;=設定!$C$44,ROUND(FLOOR(($M1664-IFERROR(INDEX(設定!$G$6:$G$21,MATCH($G1664,設定!$B$6:$B$21,0)),0))*60,設定!$C$45)/60,2),0))</f>
        <v/>
      </c>
      <c r="R1664" s="16">
        <f>IF(OR($C1664="",$Q1664=0),"",IF($G1664="國","國定假日",IF($B1664="日","例假",IF($B1664="六","休息日","平日"))))</f>
        <v/>
      </c>
      <c r="S1664" s="19" t="n"/>
    </row>
    <row r="1665">
      <c r="A1665" s="82">
        <f>IF(OR(助理班表!$A58="",20&gt;DAY(EOMONTH(DATE(設定!$C$2,設定!$D$2,1),0))),"",DATE(設定!$C$2,設定!$D$2,20))</f>
        <v/>
      </c>
      <c r="B1665" s="16">
        <f>IF($A1665="","",INDEX(設定!$O$6:$O$12,WEEKDAY($A1665,1)))</f>
        <v/>
      </c>
      <c r="C1665" s="16">
        <f>IF($A1665="","",助理班表!$A58)</f>
        <v/>
      </c>
      <c r="D1665" s="16">
        <f>IF($C1665="","",助理班表!$B58)</f>
        <v/>
      </c>
      <c r="E1665" s="16">
        <f>IF($C1665="","",助理班表!$D58)</f>
        <v/>
      </c>
      <c r="F1665" s="16">
        <f>IF($C1665="","",助理班表!$C58)</f>
        <v/>
      </c>
      <c r="G1665" s="16">
        <f>IF($C1665="","",助理班表!X58)</f>
        <v/>
      </c>
      <c r="H1665" s="83">
        <f>IF($G1665="","",IFERROR(IF(INDEX(設定!$D$6:$D$21,MATCH($G1665,設定!$B$6:$B$21,0))=0,"",INDEX(設定!$D$6:$D$21,MATCH($G1665,設定!$B$6:$B$21,0))),""))</f>
        <v/>
      </c>
      <c r="I1665" s="83">
        <f>IF($G1665="","",IFERROR(IF(INDEX(設定!$E$6:$E$21,MATCH($G1665,設定!$B$6:$B$21,0))=0,"",INDEX(設定!$E$6:$E$21,MATCH($G1665,設定!$B$6:$B$21,0))),""))</f>
        <v/>
      </c>
      <c r="J1665" s="83">
        <f>IFERROR(INDEX(打卡匯入!$C$3:$C$2002,MATCH($C1665&amp;"|"&amp;DAY($A1665),打卡匯入!$E$3:$E$2002,0)),"")</f>
        <v/>
      </c>
      <c r="K1665" s="83">
        <f>IFERROR(INDEX(打卡匯入!$D$3:$D$2002,MATCH($C1665&amp;"|"&amp;DAY($A1665),打卡匯入!$E$3:$E$2002,0)),"")</f>
        <v/>
      </c>
      <c r="L1665" s="84">
        <f>IF(OR($J1665="",$K1665=""),"",IFERROR(INDEX(設定!$F$6:$F$21,MATCH($G1665,設定!$B$6:$B$21,0)),0))</f>
        <v/>
      </c>
      <c r="M1665" s="85">
        <f>IF(OR($J1665="",$K1665=""),"",ROUND(($K1665-$J1665)*24-$L1665/60,2))</f>
        <v/>
      </c>
      <c r="N1665" s="16">
        <f>IF($C1665="","",IF(AND(COUNTIF(設定!$B$15:$B$21,$G1665)&gt;0,$J1665&lt;&gt;""),"假日出勤",IF(AND(COUNTIF(設定!$B$6:$B$14,$G1665)&gt;0,$J1665=""),"未打卡",IF($J1665="","",IF($O1665&gt;0,"遲到",IF($P1665&gt;0,"早退","正常"))))))</f>
        <v/>
      </c>
      <c r="O1665" s="84">
        <f>IF(OR($C1665="",$H1665="",$J1665=""),0,IF(ROUND(($J1665-$H1665)*1440,0)&gt;設定!$C$46,ROUND(($J1665-$H1665)*1440,0),0))</f>
        <v/>
      </c>
      <c r="P1665" s="84">
        <f>IF(OR($C1665="",$I1665="",$K1665=""),0,IF(ROUND(($I1665-$K1665)*1440,0)&gt;設定!$C$46,ROUND(($I1665-$K1665)*1440,0),0))</f>
        <v/>
      </c>
      <c r="Q1665" s="85">
        <f>IF($M1665="",0,IF(($M1665-IFERROR(INDEX(設定!$G$6:$G$21,MATCH($G1665,設定!$B$6:$B$21,0)),0))*60&gt;=設定!$C$44,ROUND(FLOOR(($M1665-IFERROR(INDEX(設定!$G$6:$G$21,MATCH($G1665,設定!$B$6:$B$21,0)),0))*60,設定!$C$45)/60,2),0))</f>
        <v/>
      </c>
      <c r="R1665" s="16">
        <f>IF(OR($C1665="",$Q1665=0),"",IF($G1665="國","國定假日",IF($B1665="日","例假",IF($B1665="六","休息日","平日"))))</f>
        <v/>
      </c>
      <c r="S1665" s="19" t="n"/>
    </row>
    <row r="1666">
      <c r="A1666" s="82">
        <f>IF(OR(助理班表!$A58="",21&gt;DAY(EOMONTH(DATE(設定!$C$2,設定!$D$2,1),0))),"",DATE(設定!$C$2,設定!$D$2,21))</f>
        <v/>
      </c>
      <c r="B1666" s="16">
        <f>IF($A1666="","",INDEX(設定!$O$6:$O$12,WEEKDAY($A1666,1)))</f>
        <v/>
      </c>
      <c r="C1666" s="16">
        <f>IF($A1666="","",助理班表!$A58)</f>
        <v/>
      </c>
      <c r="D1666" s="16">
        <f>IF($C1666="","",助理班表!$B58)</f>
        <v/>
      </c>
      <c r="E1666" s="16">
        <f>IF($C1666="","",助理班表!$D58)</f>
        <v/>
      </c>
      <c r="F1666" s="16">
        <f>IF($C1666="","",助理班表!$C58)</f>
        <v/>
      </c>
      <c r="G1666" s="16">
        <f>IF($C1666="","",助理班表!Y58)</f>
        <v/>
      </c>
      <c r="H1666" s="83">
        <f>IF($G1666="","",IFERROR(IF(INDEX(設定!$D$6:$D$21,MATCH($G1666,設定!$B$6:$B$21,0))=0,"",INDEX(設定!$D$6:$D$21,MATCH($G1666,設定!$B$6:$B$21,0))),""))</f>
        <v/>
      </c>
      <c r="I1666" s="83">
        <f>IF($G1666="","",IFERROR(IF(INDEX(設定!$E$6:$E$21,MATCH($G1666,設定!$B$6:$B$21,0))=0,"",INDEX(設定!$E$6:$E$21,MATCH($G1666,設定!$B$6:$B$21,0))),""))</f>
        <v/>
      </c>
      <c r="J1666" s="83">
        <f>IFERROR(INDEX(打卡匯入!$C$3:$C$2002,MATCH($C1666&amp;"|"&amp;DAY($A1666),打卡匯入!$E$3:$E$2002,0)),"")</f>
        <v/>
      </c>
      <c r="K1666" s="83">
        <f>IFERROR(INDEX(打卡匯入!$D$3:$D$2002,MATCH($C1666&amp;"|"&amp;DAY($A1666),打卡匯入!$E$3:$E$2002,0)),"")</f>
        <v/>
      </c>
      <c r="L1666" s="84">
        <f>IF(OR($J1666="",$K1666=""),"",IFERROR(INDEX(設定!$F$6:$F$21,MATCH($G1666,設定!$B$6:$B$21,0)),0))</f>
        <v/>
      </c>
      <c r="M1666" s="85">
        <f>IF(OR($J1666="",$K1666=""),"",ROUND(($K1666-$J1666)*24-$L1666/60,2))</f>
        <v/>
      </c>
      <c r="N1666" s="16">
        <f>IF($C1666="","",IF(AND(COUNTIF(設定!$B$15:$B$21,$G1666)&gt;0,$J1666&lt;&gt;""),"假日出勤",IF(AND(COUNTIF(設定!$B$6:$B$14,$G1666)&gt;0,$J1666=""),"未打卡",IF($J1666="","",IF($O1666&gt;0,"遲到",IF($P1666&gt;0,"早退","正常"))))))</f>
        <v/>
      </c>
      <c r="O1666" s="84">
        <f>IF(OR($C1666="",$H1666="",$J1666=""),0,IF(ROUND(($J1666-$H1666)*1440,0)&gt;設定!$C$46,ROUND(($J1666-$H1666)*1440,0),0))</f>
        <v/>
      </c>
      <c r="P1666" s="84">
        <f>IF(OR($C1666="",$I1666="",$K1666=""),0,IF(ROUND(($I1666-$K1666)*1440,0)&gt;設定!$C$46,ROUND(($I1666-$K1666)*1440,0),0))</f>
        <v/>
      </c>
      <c r="Q1666" s="85">
        <f>IF($M1666="",0,IF(($M1666-IFERROR(INDEX(設定!$G$6:$G$21,MATCH($G1666,設定!$B$6:$B$21,0)),0))*60&gt;=設定!$C$44,ROUND(FLOOR(($M1666-IFERROR(INDEX(設定!$G$6:$G$21,MATCH($G1666,設定!$B$6:$B$21,0)),0))*60,設定!$C$45)/60,2),0))</f>
        <v/>
      </c>
      <c r="R1666" s="16">
        <f>IF(OR($C1666="",$Q1666=0),"",IF($G1666="國","國定假日",IF($B1666="日","例假",IF($B1666="六","休息日","平日"))))</f>
        <v/>
      </c>
      <c r="S1666" s="19" t="n"/>
    </row>
    <row r="1667">
      <c r="A1667" s="82">
        <f>IF(OR(助理班表!$A58="",22&gt;DAY(EOMONTH(DATE(設定!$C$2,設定!$D$2,1),0))),"",DATE(設定!$C$2,設定!$D$2,22))</f>
        <v/>
      </c>
      <c r="B1667" s="16">
        <f>IF($A1667="","",INDEX(設定!$O$6:$O$12,WEEKDAY($A1667,1)))</f>
        <v/>
      </c>
      <c r="C1667" s="16">
        <f>IF($A1667="","",助理班表!$A58)</f>
        <v/>
      </c>
      <c r="D1667" s="16">
        <f>IF($C1667="","",助理班表!$B58)</f>
        <v/>
      </c>
      <c r="E1667" s="16">
        <f>IF($C1667="","",助理班表!$D58)</f>
        <v/>
      </c>
      <c r="F1667" s="16">
        <f>IF($C1667="","",助理班表!$C58)</f>
        <v/>
      </c>
      <c r="G1667" s="16">
        <f>IF($C1667="","",助理班表!Z58)</f>
        <v/>
      </c>
      <c r="H1667" s="83">
        <f>IF($G1667="","",IFERROR(IF(INDEX(設定!$D$6:$D$21,MATCH($G1667,設定!$B$6:$B$21,0))=0,"",INDEX(設定!$D$6:$D$21,MATCH($G1667,設定!$B$6:$B$21,0))),""))</f>
        <v/>
      </c>
      <c r="I1667" s="83">
        <f>IF($G1667="","",IFERROR(IF(INDEX(設定!$E$6:$E$21,MATCH($G1667,設定!$B$6:$B$21,0))=0,"",INDEX(設定!$E$6:$E$21,MATCH($G1667,設定!$B$6:$B$21,0))),""))</f>
        <v/>
      </c>
      <c r="J1667" s="83">
        <f>IFERROR(INDEX(打卡匯入!$C$3:$C$2002,MATCH($C1667&amp;"|"&amp;DAY($A1667),打卡匯入!$E$3:$E$2002,0)),"")</f>
        <v/>
      </c>
      <c r="K1667" s="83">
        <f>IFERROR(INDEX(打卡匯入!$D$3:$D$2002,MATCH($C1667&amp;"|"&amp;DAY($A1667),打卡匯入!$E$3:$E$2002,0)),"")</f>
        <v/>
      </c>
      <c r="L1667" s="84">
        <f>IF(OR($J1667="",$K1667=""),"",IFERROR(INDEX(設定!$F$6:$F$21,MATCH($G1667,設定!$B$6:$B$21,0)),0))</f>
        <v/>
      </c>
      <c r="M1667" s="85">
        <f>IF(OR($J1667="",$K1667=""),"",ROUND(($K1667-$J1667)*24-$L1667/60,2))</f>
        <v/>
      </c>
      <c r="N1667" s="16">
        <f>IF($C1667="","",IF(AND(COUNTIF(設定!$B$15:$B$21,$G1667)&gt;0,$J1667&lt;&gt;""),"假日出勤",IF(AND(COUNTIF(設定!$B$6:$B$14,$G1667)&gt;0,$J1667=""),"未打卡",IF($J1667="","",IF($O1667&gt;0,"遲到",IF($P1667&gt;0,"早退","正常"))))))</f>
        <v/>
      </c>
      <c r="O1667" s="84">
        <f>IF(OR($C1667="",$H1667="",$J1667=""),0,IF(ROUND(($J1667-$H1667)*1440,0)&gt;設定!$C$46,ROUND(($J1667-$H1667)*1440,0),0))</f>
        <v/>
      </c>
      <c r="P1667" s="84">
        <f>IF(OR($C1667="",$I1667="",$K1667=""),0,IF(ROUND(($I1667-$K1667)*1440,0)&gt;設定!$C$46,ROUND(($I1667-$K1667)*1440,0),0))</f>
        <v/>
      </c>
      <c r="Q1667" s="85">
        <f>IF($M1667="",0,IF(($M1667-IFERROR(INDEX(設定!$G$6:$G$21,MATCH($G1667,設定!$B$6:$B$21,0)),0))*60&gt;=設定!$C$44,ROUND(FLOOR(($M1667-IFERROR(INDEX(設定!$G$6:$G$21,MATCH($G1667,設定!$B$6:$B$21,0)),0))*60,設定!$C$45)/60,2),0))</f>
        <v/>
      </c>
      <c r="R1667" s="16">
        <f>IF(OR($C1667="",$Q1667=0),"",IF($G1667="國","國定假日",IF($B1667="日","例假",IF($B1667="六","休息日","平日"))))</f>
        <v/>
      </c>
      <c r="S1667" s="19" t="n"/>
    </row>
    <row r="1668">
      <c r="A1668" s="82">
        <f>IF(OR(助理班表!$A58="",23&gt;DAY(EOMONTH(DATE(設定!$C$2,設定!$D$2,1),0))),"",DATE(設定!$C$2,設定!$D$2,23))</f>
        <v/>
      </c>
      <c r="B1668" s="16">
        <f>IF($A1668="","",INDEX(設定!$O$6:$O$12,WEEKDAY($A1668,1)))</f>
        <v/>
      </c>
      <c r="C1668" s="16">
        <f>IF($A1668="","",助理班表!$A58)</f>
        <v/>
      </c>
      <c r="D1668" s="16">
        <f>IF($C1668="","",助理班表!$B58)</f>
        <v/>
      </c>
      <c r="E1668" s="16">
        <f>IF($C1668="","",助理班表!$D58)</f>
        <v/>
      </c>
      <c r="F1668" s="16">
        <f>IF($C1668="","",助理班表!$C58)</f>
        <v/>
      </c>
      <c r="G1668" s="16">
        <f>IF($C1668="","",助理班表!AA58)</f>
        <v/>
      </c>
      <c r="H1668" s="83">
        <f>IF($G1668="","",IFERROR(IF(INDEX(設定!$D$6:$D$21,MATCH($G1668,設定!$B$6:$B$21,0))=0,"",INDEX(設定!$D$6:$D$21,MATCH($G1668,設定!$B$6:$B$21,0))),""))</f>
        <v/>
      </c>
      <c r="I1668" s="83">
        <f>IF($G1668="","",IFERROR(IF(INDEX(設定!$E$6:$E$21,MATCH($G1668,設定!$B$6:$B$21,0))=0,"",INDEX(設定!$E$6:$E$21,MATCH($G1668,設定!$B$6:$B$21,0))),""))</f>
        <v/>
      </c>
      <c r="J1668" s="83">
        <f>IFERROR(INDEX(打卡匯入!$C$3:$C$2002,MATCH($C1668&amp;"|"&amp;DAY($A1668),打卡匯入!$E$3:$E$2002,0)),"")</f>
        <v/>
      </c>
      <c r="K1668" s="83">
        <f>IFERROR(INDEX(打卡匯入!$D$3:$D$2002,MATCH($C1668&amp;"|"&amp;DAY($A1668),打卡匯入!$E$3:$E$2002,0)),"")</f>
        <v/>
      </c>
      <c r="L1668" s="84">
        <f>IF(OR($J1668="",$K1668=""),"",IFERROR(INDEX(設定!$F$6:$F$21,MATCH($G1668,設定!$B$6:$B$21,0)),0))</f>
        <v/>
      </c>
      <c r="M1668" s="85">
        <f>IF(OR($J1668="",$K1668=""),"",ROUND(($K1668-$J1668)*24-$L1668/60,2))</f>
        <v/>
      </c>
      <c r="N1668" s="16">
        <f>IF($C1668="","",IF(AND(COUNTIF(設定!$B$15:$B$21,$G1668)&gt;0,$J1668&lt;&gt;""),"假日出勤",IF(AND(COUNTIF(設定!$B$6:$B$14,$G1668)&gt;0,$J1668=""),"未打卡",IF($J1668="","",IF($O1668&gt;0,"遲到",IF($P1668&gt;0,"早退","正常"))))))</f>
        <v/>
      </c>
      <c r="O1668" s="84">
        <f>IF(OR($C1668="",$H1668="",$J1668=""),0,IF(ROUND(($J1668-$H1668)*1440,0)&gt;設定!$C$46,ROUND(($J1668-$H1668)*1440,0),0))</f>
        <v/>
      </c>
      <c r="P1668" s="84">
        <f>IF(OR($C1668="",$I1668="",$K1668=""),0,IF(ROUND(($I1668-$K1668)*1440,0)&gt;設定!$C$46,ROUND(($I1668-$K1668)*1440,0),0))</f>
        <v/>
      </c>
      <c r="Q1668" s="85">
        <f>IF($M1668="",0,IF(($M1668-IFERROR(INDEX(設定!$G$6:$G$21,MATCH($G1668,設定!$B$6:$B$21,0)),0))*60&gt;=設定!$C$44,ROUND(FLOOR(($M1668-IFERROR(INDEX(設定!$G$6:$G$21,MATCH($G1668,設定!$B$6:$B$21,0)),0))*60,設定!$C$45)/60,2),0))</f>
        <v/>
      </c>
      <c r="R1668" s="16">
        <f>IF(OR($C1668="",$Q1668=0),"",IF($G1668="國","國定假日",IF($B1668="日","例假",IF($B1668="六","休息日","平日"))))</f>
        <v/>
      </c>
      <c r="S1668" s="19" t="n"/>
    </row>
    <row r="1669">
      <c r="A1669" s="82">
        <f>IF(OR(助理班表!$A58="",24&gt;DAY(EOMONTH(DATE(設定!$C$2,設定!$D$2,1),0))),"",DATE(設定!$C$2,設定!$D$2,24))</f>
        <v/>
      </c>
      <c r="B1669" s="16">
        <f>IF($A1669="","",INDEX(設定!$O$6:$O$12,WEEKDAY($A1669,1)))</f>
        <v/>
      </c>
      <c r="C1669" s="16">
        <f>IF($A1669="","",助理班表!$A58)</f>
        <v/>
      </c>
      <c r="D1669" s="16">
        <f>IF($C1669="","",助理班表!$B58)</f>
        <v/>
      </c>
      <c r="E1669" s="16">
        <f>IF($C1669="","",助理班表!$D58)</f>
        <v/>
      </c>
      <c r="F1669" s="16">
        <f>IF($C1669="","",助理班表!$C58)</f>
        <v/>
      </c>
      <c r="G1669" s="16">
        <f>IF($C1669="","",助理班表!AB58)</f>
        <v/>
      </c>
      <c r="H1669" s="83">
        <f>IF($G1669="","",IFERROR(IF(INDEX(設定!$D$6:$D$21,MATCH($G1669,設定!$B$6:$B$21,0))=0,"",INDEX(設定!$D$6:$D$21,MATCH($G1669,設定!$B$6:$B$21,0))),""))</f>
        <v/>
      </c>
      <c r="I1669" s="83">
        <f>IF($G1669="","",IFERROR(IF(INDEX(設定!$E$6:$E$21,MATCH($G1669,設定!$B$6:$B$21,0))=0,"",INDEX(設定!$E$6:$E$21,MATCH($G1669,設定!$B$6:$B$21,0))),""))</f>
        <v/>
      </c>
      <c r="J1669" s="83">
        <f>IFERROR(INDEX(打卡匯入!$C$3:$C$2002,MATCH($C1669&amp;"|"&amp;DAY($A1669),打卡匯入!$E$3:$E$2002,0)),"")</f>
        <v/>
      </c>
      <c r="K1669" s="83">
        <f>IFERROR(INDEX(打卡匯入!$D$3:$D$2002,MATCH($C1669&amp;"|"&amp;DAY($A1669),打卡匯入!$E$3:$E$2002,0)),"")</f>
        <v/>
      </c>
      <c r="L1669" s="84">
        <f>IF(OR($J1669="",$K1669=""),"",IFERROR(INDEX(設定!$F$6:$F$21,MATCH($G1669,設定!$B$6:$B$21,0)),0))</f>
        <v/>
      </c>
      <c r="M1669" s="85">
        <f>IF(OR($J1669="",$K1669=""),"",ROUND(($K1669-$J1669)*24-$L1669/60,2))</f>
        <v/>
      </c>
      <c r="N1669" s="16">
        <f>IF($C1669="","",IF(AND(COUNTIF(設定!$B$15:$B$21,$G1669)&gt;0,$J1669&lt;&gt;""),"假日出勤",IF(AND(COUNTIF(設定!$B$6:$B$14,$G1669)&gt;0,$J1669=""),"未打卡",IF($J1669="","",IF($O1669&gt;0,"遲到",IF($P1669&gt;0,"早退","正常"))))))</f>
        <v/>
      </c>
      <c r="O1669" s="84">
        <f>IF(OR($C1669="",$H1669="",$J1669=""),0,IF(ROUND(($J1669-$H1669)*1440,0)&gt;設定!$C$46,ROUND(($J1669-$H1669)*1440,0),0))</f>
        <v/>
      </c>
      <c r="P1669" s="84">
        <f>IF(OR($C1669="",$I1669="",$K1669=""),0,IF(ROUND(($I1669-$K1669)*1440,0)&gt;設定!$C$46,ROUND(($I1669-$K1669)*1440,0),0))</f>
        <v/>
      </c>
      <c r="Q1669" s="85">
        <f>IF($M1669="",0,IF(($M1669-IFERROR(INDEX(設定!$G$6:$G$21,MATCH($G1669,設定!$B$6:$B$21,0)),0))*60&gt;=設定!$C$44,ROUND(FLOOR(($M1669-IFERROR(INDEX(設定!$G$6:$G$21,MATCH($G1669,設定!$B$6:$B$21,0)),0))*60,設定!$C$45)/60,2),0))</f>
        <v/>
      </c>
      <c r="R1669" s="16">
        <f>IF(OR($C1669="",$Q1669=0),"",IF($G1669="國","國定假日",IF($B1669="日","例假",IF($B1669="六","休息日","平日"))))</f>
        <v/>
      </c>
      <c r="S1669" s="19" t="n"/>
    </row>
    <row r="1670">
      <c r="A1670" s="82">
        <f>IF(OR(助理班表!$A58="",25&gt;DAY(EOMONTH(DATE(設定!$C$2,設定!$D$2,1),0))),"",DATE(設定!$C$2,設定!$D$2,25))</f>
        <v/>
      </c>
      <c r="B1670" s="16">
        <f>IF($A1670="","",INDEX(設定!$O$6:$O$12,WEEKDAY($A1670,1)))</f>
        <v/>
      </c>
      <c r="C1670" s="16">
        <f>IF($A1670="","",助理班表!$A58)</f>
        <v/>
      </c>
      <c r="D1670" s="16">
        <f>IF($C1670="","",助理班表!$B58)</f>
        <v/>
      </c>
      <c r="E1670" s="16">
        <f>IF($C1670="","",助理班表!$D58)</f>
        <v/>
      </c>
      <c r="F1670" s="16">
        <f>IF($C1670="","",助理班表!$C58)</f>
        <v/>
      </c>
      <c r="G1670" s="16">
        <f>IF($C1670="","",助理班表!AC58)</f>
        <v/>
      </c>
      <c r="H1670" s="83">
        <f>IF($G1670="","",IFERROR(IF(INDEX(設定!$D$6:$D$21,MATCH($G1670,設定!$B$6:$B$21,0))=0,"",INDEX(設定!$D$6:$D$21,MATCH($G1670,設定!$B$6:$B$21,0))),""))</f>
        <v/>
      </c>
      <c r="I1670" s="83">
        <f>IF($G1670="","",IFERROR(IF(INDEX(設定!$E$6:$E$21,MATCH($G1670,設定!$B$6:$B$21,0))=0,"",INDEX(設定!$E$6:$E$21,MATCH($G1670,設定!$B$6:$B$21,0))),""))</f>
        <v/>
      </c>
      <c r="J1670" s="83">
        <f>IFERROR(INDEX(打卡匯入!$C$3:$C$2002,MATCH($C1670&amp;"|"&amp;DAY($A1670),打卡匯入!$E$3:$E$2002,0)),"")</f>
        <v/>
      </c>
      <c r="K1670" s="83">
        <f>IFERROR(INDEX(打卡匯入!$D$3:$D$2002,MATCH($C1670&amp;"|"&amp;DAY($A1670),打卡匯入!$E$3:$E$2002,0)),"")</f>
        <v/>
      </c>
      <c r="L1670" s="84">
        <f>IF(OR($J1670="",$K1670=""),"",IFERROR(INDEX(設定!$F$6:$F$21,MATCH($G1670,設定!$B$6:$B$21,0)),0))</f>
        <v/>
      </c>
      <c r="M1670" s="85">
        <f>IF(OR($J1670="",$K1670=""),"",ROUND(($K1670-$J1670)*24-$L1670/60,2))</f>
        <v/>
      </c>
      <c r="N1670" s="16">
        <f>IF($C1670="","",IF(AND(COUNTIF(設定!$B$15:$B$21,$G1670)&gt;0,$J1670&lt;&gt;""),"假日出勤",IF(AND(COUNTIF(設定!$B$6:$B$14,$G1670)&gt;0,$J1670=""),"未打卡",IF($J1670="","",IF($O1670&gt;0,"遲到",IF($P1670&gt;0,"早退","正常"))))))</f>
        <v/>
      </c>
      <c r="O1670" s="84">
        <f>IF(OR($C1670="",$H1670="",$J1670=""),0,IF(ROUND(($J1670-$H1670)*1440,0)&gt;設定!$C$46,ROUND(($J1670-$H1670)*1440,0),0))</f>
        <v/>
      </c>
      <c r="P1670" s="84">
        <f>IF(OR($C1670="",$I1670="",$K1670=""),0,IF(ROUND(($I1670-$K1670)*1440,0)&gt;設定!$C$46,ROUND(($I1670-$K1670)*1440,0),0))</f>
        <v/>
      </c>
      <c r="Q1670" s="85">
        <f>IF($M1670="",0,IF(($M1670-IFERROR(INDEX(設定!$G$6:$G$21,MATCH($G1670,設定!$B$6:$B$21,0)),0))*60&gt;=設定!$C$44,ROUND(FLOOR(($M1670-IFERROR(INDEX(設定!$G$6:$G$21,MATCH($G1670,設定!$B$6:$B$21,0)),0))*60,設定!$C$45)/60,2),0))</f>
        <v/>
      </c>
      <c r="R1670" s="16">
        <f>IF(OR($C1670="",$Q1670=0),"",IF($G1670="國","國定假日",IF($B1670="日","例假",IF($B1670="六","休息日","平日"))))</f>
        <v/>
      </c>
      <c r="S1670" s="19" t="n"/>
    </row>
    <row r="1671">
      <c r="A1671" s="82">
        <f>IF(OR(助理班表!$A58="",26&gt;DAY(EOMONTH(DATE(設定!$C$2,設定!$D$2,1),0))),"",DATE(設定!$C$2,設定!$D$2,26))</f>
        <v/>
      </c>
      <c r="B1671" s="16">
        <f>IF($A1671="","",INDEX(設定!$O$6:$O$12,WEEKDAY($A1671,1)))</f>
        <v/>
      </c>
      <c r="C1671" s="16">
        <f>IF($A1671="","",助理班表!$A58)</f>
        <v/>
      </c>
      <c r="D1671" s="16">
        <f>IF($C1671="","",助理班表!$B58)</f>
        <v/>
      </c>
      <c r="E1671" s="16">
        <f>IF($C1671="","",助理班表!$D58)</f>
        <v/>
      </c>
      <c r="F1671" s="16">
        <f>IF($C1671="","",助理班表!$C58)</f>
        <v/>
      </c>
      <c r="G1671" s="16">
        <f>IF($C1671="","",助理班表!AD58)</f>
        <v/>
      </c>
      <c r="H1671" s="83">
        <f>IF($G1671="","",IFERROR(IF(INDEX(設定!$D$6:$D$21,MATCH($G1671,設定!$B$6:$B$21,0))=0,"",INDEX(設定!$D$6:$D$21,MATCH($G1671,設定!$B$6:$B$21,0))),""))</f>
        <v/>
      </c>
      <c r="I1671" s="83">
        <f>IF($G1671="","",IFERROR(IF(INDEX(設定!$E$6:$E$21,MATCH($G1671,設定!$B$6:$B$21,0))=0,"",INDEX(設定!$E$6:$E$21,MATCH($G1671,設定!$B$6:$B$21,0))),""))</f>
        <v/>
      </c>
      <c r="J1671" s="83">
        <f>IFERROR(INDEX(打卡匯入!$C$3:$C$2002,MATCH($C1671&amp;"|"&amp;DAY($A1671),打卡匯入!$E$3:$E$2002,0)),"")</f>
        <v/>
      </c>
      <c r="K1671" s="83">
        <f>IFERROR(INDEX(打卡匯入!$D$3:$D$2002,MATCH($C1671&amp;"|"&amp;DAY($A1671),打卡匯入!$E$3:$E$2002,0)),"")</f>
        <v/>
      </c>
      <c r="L1671" s="84">
        <f>IF(OR($J1671="",$K1671=""),"",IFERROR(INDEX(設定!$F$6:$F$21,MATCH($G1671,設定!$B$6:$B$21,0)),0))</f>
        <v/>
      </c>
      <c r="M1671" s="85">
        <f>IF(OR($J1671="",$K1671=""),"",ROUND(($K1671-$J1671)*24-$L1671/60,2))</f>
        <v/>
      </c>
      <c r="N1671" s="16">
        <f>IF($C1671="","",IF(AND(COUNTIF(設定!$B$15:$B$21,$G1671)&gt;0,$J1671&lt;&gt;""),"假日出勤",IF(AND(COUNTIF(設定!$B$6:$B$14,$G1671)&gt;0,$J1671=""),"未打卡",IF($J1671="","",IF($O1671&gt;0,"遲到",IF($P1671&gt;0,"早退","正常"))))))</f>
        <v/>
      </c>
      <c r="O1671" s="84">
        <f>IF(OR($C1671="",$H1671="",$J1671=""),0,IF(ROUND(($J1671-$H1671)*1440,0)&gt;設定!$C$46,ROUND(($J1671-$H1671)*1440,0),0))</f>
        <v/>
      </c>
      <c r="P1671" s="84">
        <f>IF(OR($C1671="",$I1671="",$K1671=""),0,IF(ROUND(($I1671-$K1671)*1440,0)&gt;設定!$C$46,ROUND(($I1671-$K1671)*1440,0),0))</f>
        <v/>
      </c>
      <c r="Q1671" s="85">
        <f>IF($M1671="",0,IF(($M1671-IFERROR(INDEX(設定!$G$6:$G$21,MATCH($G1671,設定!$B$6:$B$21,0)),0))*60&gt;=設定!$C$44,ROUND(FLOOR(($M1671-IFERROR(INDEX(設定!$G$6:$G$21,MATCH($G1671,設定!$B$6:$B$21,0)),0))*60,設定!$C$45)/60,2),0))</f>
        <v/>
      </c>
      <c r="R1671" s="16">
        <f>IF(OR($C1671="",$Q1671=0),"",IF($G1671="國","國定假日",IF($B1671="日","例假",IF($B1671="六","休息日","平日"))))</f>
        <v/>
      </c>
      <c r="S1671" s="19" t="n"/>
    </row>
    <row r="1672">
      <c r="A1672" s="82">
        <f>IF(OR(助理班表!$A58="",27&gt;DAY(EOMONTH(DATE(設定!$C$2,設定!$D$2,1),0))),"",DATE(設定!$C$2,設定!$D$2,27))</f>
        <v/>
      </c>
      <c r="B1672" s="16">
        <f>IF($A1672="","",INDEX(設定!$O$6:$O$12,WEEKDAY($A1672,1)))</f>
        <v/>
      </c>
      <c r="C1672" s="16">
        <f>IF($A1672="","",助理班表!$A58)</f>
        <v/>
      </c>
      <c r="D1672" s="16">
        <f>IF($C1672="","",助理班表!$B58)</f>
        <v/>
      </c>
      <c r="E1672" s="16">
        <f>IF($C1672="","",助理班表!$D58)</f>
        <v/>
      </c>
      <c r="F1672" s="16">
        <f>IF($C1672="","",助理班表!$C58)</f>
        <v/>
      </c>
      <c r="G1672" s="16">
        <f>IF($C1672="","",助理班表!AE58)</f>
        <v/>
      </c>
      <c r="H1672" s="83">
        <f>IF($G1672="","",IFERROR(IF(INDEX(設定!$D$6:$D$21,MATCH($G1672,設定!$B$6:$B$21,0))=0,"",INDEX(設定!$D$6:$D$21,MATCH($G1672,設定!$B$6:$B$21,0))),""))</f>
        <v/>
      </c>
      <c r="I1672" s="83">
        <f>IF($G1672="","",IFERROR(IF(INDEX(設定!$E$6:$E$21,MATCH($G1672,設定!$B$6:$B$21,0))=0,"",INDEX(設定!$E$6:$E$21,MATCH($G1672,設定!$B$6:$B$21,0))),""))</f>
        <v/>
      </c>
      <c r="J1672" s="83">
        <f>IFERROR(INDEX(打卡匯入!$C$3:$C$2002,MATCH($C1672&amp;"|"&amp;DAY($A1672),打卡匯入!$E$3:$E$2002,0)),"")</f>
        <v/>
      </c>
      <c r="K1672" s="83">
        <f>IFERROR(INDEX(打卡匯入!$D$3:$D$2002,MATCH($C1672&amp;"|"&amp;DAY($A1672),打卡匯入!$E$3:$E$2002,0)),"")</f>
        <v/>
      </c>
      <c r="L1672" s="84">
        <f>IF(OR($J1672="",$K1672=""),"",IFERROR(INDEX(設定!$F$6:$F$21,MATCH($G1672,設定!$B$6:$B$21,0)),0))</f>
        <v/>
      </c>
      <c r="M1672" s="85">
        <f>IF(OR($J1672="",$K1672=""),"",ROUND(($K1672-$J1672)*24-$L1672/60,2))</f>
        <v/>
      </c>
      <c r="N1672" s="16">
        <f>IF($C1672="","",IF(AND(COUNTIF(設定!$B$15:$B$21,$G1672)&gt;0,$J1672&lt;&gt;""),"假日出勤",IF(AND(COUNTIF(設定!$B$6:$B$14,$G1672)&gt;0,$J1672=""),"未打卡",IF($J1672="","",IF($O1672&gt;0,"遲到",IF($P1672&gt;0,"早退","正常"))))))</f>
        <v/>
      </c>
      <c r="O1672" s="84">
        <f>IF(OR($C1672="",$H1672="",$J1672=""),0,IF(ROUND(($J1672-$H1672)*1440,0)&gt;設定!$C$46,ROUND(($J1672-$H1672)*1440,0),0))</f>
        <v/>
      </c>
      <c r="P1672" s="84">
        <f>IF(OR($C1672="",$I1672="",$K1672=""),0,IF(ROUND(($I1672-$K1672)*1440,0)&gt;設定!$C$46,ROUND(($I1672-$K1672)*1440,0),0))</f>
        <v/>
      </c>
      <c r="Q1672" s="85">
        <f>IF($M1672="",0,IF(($M1672-IFERROR(INDEX(設定!$G$6:$G$21,MATCH($G1672,設定!$B$6:$B$21,0)),0))*60&gt;=設定!$C$44,ROUND(FLOOR(($M1672-IFERROR(INDEX(設定!$G$6:$G$21,MATCH($G1672,設定!$B$6:$B$21,0)),0))*60,設定!$C$45)/60,2),0))</f>
        <v/>
      </c>
      <c r="R1672" s="16">
        <f>IF(OR($C1672="",$Q1672=0),"",IF($G1672="國","國定假日",IF($B1672="日","例假",IF($B1672="六","休息日","平日"))))</f>
        <v/>
      </c>
      <c r="S1672" s="19" t="n"/>
    </row>
    <row r="1673">
      <c r="A1673" s="82">
        <f>IF(OR(助理班表!$A58="",28&gt;DAY(EOMONTH(DATE(設定!$C$2,設定!$D$2,1),0))),"",DATE(設定!$C$2,設定!$D$2,28))</f>
        <v/>
      </c>
      <c r="B1673" s="16">
        <f>IF($A1673="","",INDEX(設定!$O$6:$O$12,WEEKDAY($A1673,1)))</f>
        <v/>
      </c>
      <c r="C1673" s="16">
        <f>IF($A1673="","",助理班表!$A58)</f>
        <v/>
      </c>
      <c r="D1673" s="16">
        <f>IF($C1673="","",助理班表!$B58)</f>
        <v/>
      </c>
      <c r="E1673" s="16">
        <f>IF($C1673="","",助理班表!$D58)</f>
        <v/>
      </c>
      <c r="F1673" s="16">
        <f>IF($C1673="","",助理班表!$C58)</f>
        <v/>
      </c>
      <c r="G1673" s="16">
        <f>IF($C1673="","",助理班表!AF58)</f>
        <v/>
      </c>
      <c r="H1673" s="83">
        <f>IF($G1673="","",IFERROR(IF(INDEX(設定!$D$6:$D$21,MATCH($G1673,設定!$B$6:$B$21,0))=0,"",INDEX(設定!$D$6:$D$21,MATCH($G1673,設定!$B$6:$B$21,0))),""))</f>
        <v/>
      </c>
      <c r="I1673" s="83">
        <f>IF($G1673="","",IFERROR(IF(INDEX(設定!$E$6:$E$21,MATCH($G1673,設定!$B$6:$B$21,0))=0,"",INDEX(設定!$E$6:$E$21,MATCH($G1673,設定!$B$6:$B$21,0))),""))</f>
        <v/>
      </c>
      <c r="J1673" s="83">
        <f>IFERROR(INDEX(打卡匯入!$C$3:$C$2002,MATCH($C1673&amp;"|"&amp;DAY($A1673),打卡匯入!$E$3:$E$2002,0)),"")</f>
        <v/>
      </c>
      <c r="K1673" s="83">
        <f>IFERROR(INDEX(打卡匯入!$D$3:$D$2002,MATCH($C1673&amp;"|"&amp;DAY($A1673),打卡匯入!$E$3:$E$2002,0)),"")</f>
        <v/>
      </c>
      <c r="L1673" s="84">
        <f>IF(OR($J1673="",$K1673=""),"",IFERROR(INDEX(設定!$F$6:$F$21,MATCH($G1673,設定!$B$6:$B$21,0)),0))</f>
        <v/>
      </c>
      <c r="M1673" s="85">
        <f>IF(OR($J1673="",$K1673=""),"",ROUND(($K1673-$J1673)*24-$L1673/60,2))</f>
        <v/>
      </c>
      <c r="N1673" s="16">
        <f>IF($C1673="","",IF(AND(COUNTIF(設定!$B$15:$B$21,$G1673)&gt;0,$J1673&lt;&gt;""),"假日出勤",IF(AND(COUNTIF(設定!$B$6:$B$14,$G1673)&gt;0,$J1673=""),"未打卡",IF($J1673="","",IF($O1673&gt;0,"遲到",IF($P1673&gt;0,"早退","正常"))))))</f>
        <v/>
      </c>
      <c r="O1673" s="84">
        <f>IF(OR($C1673="",$H1673="",$J1673=""),0,IF(ROUND(($J1673-$H1673)*1440,0)&gt;設定!$C$46,ROUND(($J1673-$H1673)*1440,0),0))</f>
        <v/>
      </c>
      <c r="P1673" s="84">
        <f>IF(OR($C1673="",$I1673="",$K1673=""),0,IF(ROUND(($I1673-$K1673)*1440,0)&gt;設定!$C$46,ROUND(($I1673-$K1673)*1440,0),0))</f>
        <v/>
      </c>
      <c r="Q1673" s="85">
        <f>IF($M1673="",0,IF(($M1673-IFERROR(INDEX(設定!$G$6:$G$21,MATCH($G1673,設定!$B$6:$B$21,0)),0))*60&gt;=設定!$C$44,ROUND(FLOOR(($M1673-IFERROR(INDEX(設定!$G$6:$G$21,MATCH($G1673,設定!$B$6:$B$21,0)),0))*60,設定!$C$45)/60,2),0))</f>
        <v/>
      </c>
      <c r="R1673" s="16">
        <f>IF(OR($C1673="",$Q1673=0),"",IF($G1673="國","國定假日",IF($B1673="日","例假",IF($B1673="六","休息日","平日"))))</f>
        <v/>
      </c>
      <c r="S1673" s="19" t="n"/>
    </row>
    <row r="1674">
      <c r="A1674" s="82">
        <f>IF(OR(助理班表!$A58="",29&gt;DAY(EOMONTH(DATE(設定!$C$2,設定!$D$2,1),0))),"",DATE(設定!$C$2,設定!$D$2,29))</f>
        <v/>
      </c>
      <c r="B1674" s="16">
        <f>IF($A1674="","",INDEX(設定!$O$6:$O$12,WEEKDAY($A1674,1)))</f>
        <v/>
      </c>
      <c r="C1674" s="16">
        <f>IF($A1674="","",助理班表!$A58)</f>
        <v/>
      </c>
      <c r="D1674" s="16">
        <f>IF($C1674="","",助理班表!$B58)</f>
        <v/>
      </c>
      <c r="E1674" s="16">
        <f>IF($C1674="","",助理班表!$D58)</f>
        <v/>
      </c>
      <c r="F1674" s="16">
        <f>IF($C1674="","",助理班表!$C58)</f>
        <v/>
      </c>
      <c r="G1674" s="16">
        <f>IF($C1674="","",助理班表!AG58)</f>
        <v/>
      </c>
      <c r="H1674" s="83">
        <f>IF($G1674="","",IFERROR(IF(INDEX(設定!$D$6:$D$21,MATCH($G1674,設定!$B$6:$B$21,0))=0,"",INDEX(設定!$D$6:$D$21,MATCH($G1674,設定!$B$6:$B$21,0))),""))</f>
        <v/>
      </c>
      <c r="I1674" s="83">
        <f>IF($G1674="","",IFERROR(IF(INDEX(設定!$E$6:$E$21,MATCH($G1674,設定!$B$6:$B$21,0))=0,"",INDEX(設定!$E$6:$E$21,MATCH($G1674,設定!$B$6:$B$21,0))),""))</f>
        <v/>
      </c>
      <c r="J1674" s="83">
        <f>IFERROR(INDEX(打卡匯入!$C$3:$C$2002,MATCH($C1674&amp;"|"&amp;DAY($A1674),打卡匯入!$E$3:$E$2002,0)),"")</f>
        <v/>
      </c>
      <c r="K1674" s="83">
        <f>IFERROR(INDEX(打卡匯入!$D$3:$D$2002,MATCH($C1674&amp;"|"&amp;DAY($A1674),打卡匯入!$E$3:$E$2002,0)),"")</f>
        <v/>
      </c>
      <c r="L1674" s="84">
        <f>IF(OR($J1674="",$K1674=""),"",IFERROR(INDEX(設定!$F$6:$F$21,MATCH($G1674,設定!$B$6:$B$21,0)),0))</f>
        <v/>
      </c>
      <c r="M1674" s="85">
        <f>IF(OR($J1674="",$K1674=""),"",ROUND(($K1674-$J1674)*24-$L1674/60,2))</f>
        <v/>
      </c>
      <c r="N1674" s="16">
        <f>IF($C1674="","",IF(AND(COUNTIF(設定!$B$15:$B$21,$G1674)&gt;0,$J1674&lt;&gt;""),"假日出勤",IF(AND(COUNTIF(設定!$B$6:$B$14,$G1674)&gt;0,$J1674=""),"未打卡",IF($J1674="","",IF($O1674&gt;0,"遲到",IF($P1674&gt;0,"早退","正常"))))))</f>
        <v/>
      </c>
      <c r="O1674" s="84">
        <f>IF(OR($C1674="",$H1674="",$J1674=""),0,IF(ROUND(($J1674-$H1674)*1440,0)&gt;設定!$C$46,ROUND(($J1674-$H1674)*1440,0),0))</f>
        <v/>
      </c>
      <c r="P1674" s="84">
        <f>IF(OR($C1674="",$I1674="",$K1674=""),0,IF(ROUND(($I1674-$K1674)*1440,0)&gt;設定!$C$46,ROUND(($I1674-$K1674)*1440,0),0))</f>
        <v/>
      </c>
      <c r="Q1674" s="85">
        <f>IF($M1674="",0,IF(($M1674-IFERROR(INDEX(設定!$G$6:$G$21,MATCH($G1674,設定!$B$6:$B$21,0)),0))*60&gt;=設定!$C$44,ROUND(FLOOR(($M1674-IFERROR(INDEX(設定!$G$6:$G$21,MATCH($G1674,設定!$B$6:$B$21,0)),0))*60,設定!$C$45)/60,2),0))</f>
        <v/>
      </c>
      <c r="R1674" s="16">
        <f>IF(OR($C1674="",$Q1674=0),"",IF($G1674="國","國定假日",IF($B1674="日","例假",IF($B1674="六","休息日","平日"))))</f>
        <v/>
      </c>
      <c r="S1674" s="19" t="n"/>
    </row>
    <row r="1675">
      <c r="A1675" s="82">
        <f>IF(OR(助理班表!$A58="",30&gt;DAY(EOMONTH(DATE(設定!$C$2,設定!$D$2,1),0))),"",DATE(設定!$C$2,設定!$D$2,30))</f>
        <v/>
      </c>
      <c r="B1675" s="16">
        <f>IF($A1675="","",INDEX(設定!$O$6:$O$12,WEEKDAY($A1675,1)))</f>
        <v/>
      </c>
      <c r="C1675" s="16">
        <f>IF($A1675="","",助理班表!$A58)</f>
        <v/>
      </c>
      <c r="D1675" s="16">
        <f>IF($C1675="","",助理班表!$B58)</f>
        <v/>
      </c>
      <c r="E1675" s="16">
        <f>IF($C1675="","",助理班表!$D58)</f>
        <v/>
      </c>
      <c r="F1675" s="16">
        <f>IF($C1675="","",助理班表!$C58)</f>
        <v/>
      </c>
      <c r="G1675" s="16">
        <f>IF($C1675="","",助理班表!AH58)</f>
        <v/>
      </c>
      <c r="H1675" s="83">
        <f>IF($G1675="","",IFERROR(IF(INDEX(設定!$D$6:$D$21,MATCH($G1675,設定!$B$6:$B$21,0))=0,"",INDEX(設定!$D$6:$D$21,MATCH($G1675,設定!$B$6:$B$21,0))),""))</f>
        <v/>
      </c>
      <c r="I1675" s="83">
        <f>IF($G1675="","",IFERROR(IF(INDEX(設定!$E$6:$E$21,MATCH($G1675,設定!$B$6:$B$21,0))=0,"",INDEX(設定!$E$6:$E$21,MATCH($G1675,設定!$B$6:$B$21,0))),""))</f>
        <v/>
      </c>
      <c r="J1675" s="83">
        <f>IFERROR(INDEX(打卡匯入!$C$3:$C$2002,MATCH($C1675&amp;"|"&amp;DAY($A1675),打卡匯入!$E$3:$E$2002,0)),"")</f>
        <v/>
      </c>
      <c r="K1675" s="83">
        <f>IFERROR(INDEX(打卡匯入!$D$3:$D$2002,MATCH($C1675&amp;"|"&amp;DAY($A1675),打卡匯入!$E$3:$E$2002,0)),"")</f>
        <v/>
      </c>
      <c r="L1675" s="84">
        <f>IF(OR($J1675="",$K1675=""),"",IFERROR(INDEX(設定!$F$6:$F$21,MATCH($G1675,設定!$B$6:$B$21,0)),0))</f>
        <v/>
      </c>
      <c r="M1675" s="85">
        <f>IF(OR($J1675="",$K1675=""),"",ROUND(($K1675-$J1675)*24-$L1675/60,2))</f>
        <v/>
      </c>
      <c r="N1675" s="16">
        <f>IF($C1675="","",IF(AND(COUNTIF(設定!$B$15:$B$21,$G1675)&gt;0,$J1675&lt;&gt;""),"假日出勤",IF(AND(COUNTIF(設定!$B$6:$B$14,$G1675)&gt;0,$J1675=""),"未打卡",IF($J1675="","",IF($O1675&gt;0,"遲到",IF($P1675&gt;0,"早退","正常"))))))</f>
        <v/>
      </c>
      <c r="O1675" s="84">
        <f>IF(OR($C1675="",$H1675="",$J1675=""),0,IF(ROUND(($J1675-$H1675)*1440,0)&gt;設定!$C$46,ROUND(($J1675-$H1675)*1440,0),0))</f>
        <v/>
      </c>
      <c r="P1675" s="84">
        <f>IF(OR($C1675="",$I1675="",$K1675=""),0,IF(ROUND(($I1675-$K1675)*1440,0)&gt;設定!$C$46,ROUND(($I1675-$K1675)*1440,0),0))</f>
        <v/>
      </c>
      <c r="Q1675" s="85">
        <f>IF($M1675="",0,IF(($M1675-IFERROR(INDEX(設定!$G$6:$G$21,MATCH($G1675,設定!$B$6:$B$21,0)),0))*60&gt;=設定!$C$44,ROUND(FLOOR(($M1675-IFERROR(INDEX(設定!$G$6:$G$21,MATCH($G1675,設定!$B$6:$B$21,0)),0))*60,設定!$C$45)/60,2),0))</f>
        <v/>
      </c>
      <c r="R1675" s="16">
        <f>IF(OR($C1675="",$Q1675=0),"",IF($G1675="國","國定假日",IF($B1675="日","例假",IF($B1675="六","休息日","平日"))))</f>
        <v/>
      </c>
      <c r="S1675" s="19" t="n"/>
    </row>
    <row r="1676">
      <c r="A1676" s="82">
        <f>IF(OR(助理班表!$A58="",31&gt;DAY(EOMONTH(DATE(設定!$C$2,設定!$D$2,1),0))),"",DATE(設定!$C$2,設定!$D$2,31))</f>
        <v/>
      </c>
      <c r="B1676" s="16">
        <f>IF($A1676="","",INDEX(設定!$O$6:$O$12,WEEKDAY($A1676,1)))</f>
        <v/>
      </c>
      <c r="C1676" s="16">
        <f>IF($A1676="","",助理班表!$A58)</f>
        <v/>
      </c>
      <c r="D1676" s="16">
        <f>IF($C1676="","",助理班表!$B58)</f>
        <v/>
      </c>
      <c r="E1676" s="16">
        <f>IF($C1676="","",助理班表!$D58)</f>
        <v/>
      </c>
      <c r="F1676" s="16">
        <f>IF($C1676="","",助理班表!$C58)</f>
        <v/>
      </c>
      <c r="G1676" s="16">
        <f>IF($C1676="","",助理班表!AI58)</f>
        <v/>
      </c>
      <c r="H1676" s="83">
        <f>IF($G1676="","",IFERROR(IF(INDEX(設定!$D$6:$D$21,MATCH($G1676,設定!$B$6:$B$21,0))=0,"",INDEX(設定!$D$6:$D$21,MATCH($G1676,設定!$B$6:$B$21,0))),""))</f>
        <v/>
      </c>
      <c r="I1676" s="83">
        <f>IF($G1676="","",IFERROR(IF(INDEX(設定!$E$6:$E$21,MATCH($G1676,設定!$B$6:$B$21,0))=0,"",INDEX(設定!$E$6:$E$21,MATCH($G1676,設定!$B$6:$B$21,0))),""))</f>
        <v/>
      </c>
      <c r="J1676" s="83">
        <f>IFERROR(INDEX(打卡匯入!$C$3:$C$2002,MATCH($C1676&amp;"|"&amp;DAY($A1676),打卡匯入!$E$3:$E$2002,0)),"")</f>
        <v/>
      </c>
      <c r="K1676" s="83">
        <f>IFERROR(INDEX(打卡匯入!$D$3:$D$2002,MATCH($C1676&amp;"|"&amp;DAY($A1676),打卡匯入!$E$3:$E$2002,0)),"")</f>
        <v/>
      </c>
      <c r="L1676" s="84">
        <f>IF(OR($J1676="",$K1676=""),"",IFERROR(INDEX(設定!$F$6:$F$21,MATCH($G1676,設定!$B$6:$B$21,0)),0))</f>
        <v/>
      </c>
      <c r="M1676" s="85">
        <f>IF(OR($J1676="",$K1676=""),"",ROUND(($K1676-$J1676)*24-$L1676/60,2))</f>
        <v/>
      </c>
      <c r="N1676" s="16">
        <f>IF($C1676="","",IF(AND(COUNTIF(設定!$B$15:$B$21,$G1676)&gt;0,$J1676&lt;&gt;""),"假日出勤",IF(AND(COUNTIF(設定!$B$6:$B$14,$G1676)&gt;0,$J1676=""),"未打卡",IF($J1676="","",IF($O1676&gt;0,"遲到",IF($P1676&gt;0,"早退","正常"))))))</f>
        <v/>
      </c>
      <c r="O1676" s="84">
        <f>IF(OR($C1676="",$H1676="",$J1676=""),0,IF(ROUND(($J1676-$H1676)*1440,0)&gt;設定!$C$46,ROUND(($J1676-$H1676)*1440,0),0))</f>
        <v/>
      </c>
      <c r="P1676" s="84">
        <f>IF(OR($C1676="",$I1676="",$K1676=""),0,IF(ROUND(($I1676-$K1676)*1440,0)&gt;設定!$C$46,ROUND(($I1676-$K1676)*1440,0),0))</f>
        <v/>
      </c>
      <c r="Q1676" s="85">
        <f>IF($M1676="",0,IF(($M1676-IFERROR(INDEX(設定!$G$6:$G$21,MATCH($G1676,設定!$B$6:$B$21,0)),0))*60&gt;=設定!$C$44,ROUND(FLOOR(($M1676-IFERROR(INDEX(設定!$G$6:$G$21,MATCH($G1676,設定!$B$6:$B$21,0)),0))*60,設定!$C$45)/60,2),0))</f>
        <v/>
      </c>
      <c r="R1676" s="16">
        <f>IF(OR($C1676="",$Q1676=0),"",IF($G1676="國","國定假日",IF($B1676="日","例假",IF($B1676="六","休息日","平日"))))</f>
        <v/>
      </c>
      <c r="S1676" s="19" t="n"/>
    </row>
    <row r="1677">
      <c r="A1677" s="82">
        <f>IF(OR(助理班表!$A59="",1&gt;DAY(EOMONTH(DATE(設定!$C$2,設定!$D$2,1),0))),"",DATE(設定!$C$2,設定!$D$2,1))</f>
        <v/>
      </c>
      <c r="B1677" s="16">
        <f>IF($A1677="","",INDEX(設定!$O$6:$O$12,WEEKDAY($A1677,1)))</f>
        <v/>
      </c>
      <c r="C1677" s="16">
        <f>IF($A1677="","",助理班表!$A59)</f>
        <v/>
      </c>
      <c r="D1677" s="16">
        <f>IF($C1677="","",助理班表!$B59)</f>
        <v/>
      </c>
      <c r="E1677" s="16">
        <f>IF($C1677="","",助理班表!$D59)</f>
        <v/>
      </c>
      <c r="F1677" s="16">
        <f>IF($C1677="","",助理班表!$C59)</f>
        <v/>
      </c>
      <c r="G1677" s="16">
        <f>IF($C1677="","",助理班表!E59)</f>
        <v/>
      </c>
      <c r="H1677" s="83">
        <f>IF($G1677="","",IFERROR(IF(INDEX(設定!$D$6:$D$21,MATCH($G1677,設定!$B$6:$B$21,0))=0,"",INDEX(設定!$D$6:$D$21,MATCH($G1677,設定!$B$6:$B$21,0))),""))</f>
        <v/>
      </c>
      <c r="I1677" s="83">
        <f>IF($G1677="","",IFERROR(IF(INDEX(設定!$E$6:$E$21,MATCH($G1677,設定!$B$6:$B$21,0))=0,"",INDEX(設定!$E$6:$E$21,MATCH($G1677,設定!$B$6:$B$21,0))),""))</f>
        <v/>
      </c>
      <c r="J1677" s="83">
        <f>IFERROR(INDEX(打卡匯入!$C$3:$C$2002,MATCH($C1677&amp;"|"&amp;DAY($A1677),打卡匯入!$E$3:$E$2002,0)),"")</f>
        <v/>
      </c>
      <c r="K1677" s="83">
        <f>IFERROR(INDEX(打卡匯入!$D$3:$D$2002,MATCH($C1677&amp;"|"&amp;DAY($A1677),打卡匯入!$E$3:$E$2002,0)),"")</f>
        <v/>
      </c>
      <c r="L1677" s="84">
        <f>IF(OR($J1677="",$K1677=""),"",IFERROR(INDEX(設定!$F$6:$F$21,MATCH($G1677,設定!$B$6:$B$21,0)),0))</f>
        <v/>
      </c>
      <c r="M1677" s="85">
        <f>IF(OR($J1677="",$K1677=""),"",ROUND(($K1677-$J1677)*24-$L1677/60,2))</f>
        <v/>
      </c>
      <c r="N1677" s="16">
        <f>IF($C1677="","",IF(AND(COUNTIF(設定!$B$15:$B$21,$G1677)&gt;0,$J1677&lt;&gt;""),"假日出勤",IF(AND(COUNTIF(設定!$B$6:$B$14,$G1677)&gt;0,$J1677=""),"未打卡",IF($J1677="","",IF($O1677&gt;0,"遲到",IF($P1677&gt;0,"早退","正常"))))))</f>
        <v/>
      </c>
      <c r="O1677" s="84">
        <f>IF(OR($C1677="",$H1677="",$J1677=""),0,IF(ROUND(($J1677-$H1677)*1440,0)&gt;設定!$C$46,ROUND(($J1677-$H1677)*1440,0),0))</f>
        <v/>
      </c>
      <c r="P1677" s="84">
        <f>IF(OR($C1677="",$I1677="",$K1677=""),0,IF(ROUND(($I1677-$K1677)*1440,0)&gt;設定!$C$46,ROUND(($I1677-$K1677)*1440,0),0))</f>
        <v/>
      </c>
      <c r="Q1677" s="85">
        <f>IF($M1677="",0,IF(($M1677-IFERROR(INDEX(設定!$G$6:$G$21,MATCH($G1677,設定!$B$6:$B$21,0)),0))*60&gt;=設定!$C$44,ROUND(FLOOR(($M1677-IFERROR(INDEX(設定!$G$6:$G$21,MATCH($G1677,設定!$B$6:$B$21,0)),0))*60,設定!$C$45)/60,2),0))</f>
        <v/>
      </c>
      <c r="R1677" s="16">
        <f>IF(OR($C1677="",$Q1677=0),"",IF($G1677="國","國定假日",IF($B1677="日","例假",IF($B1677="六","休息日","平日"))))</f>
        <v/>
      </c>
      <c r="S1677" s="19" t="n"/>
    </row>
    <row r="1678">
      <c r="A1678" s="82">
        <f>IF(OR(助理班表!$A59="",2&gt;DAY(EOMONTH(DATE(設定!$C$2,設定!$D$2,1),0))),"",DATE(設定!$C$2,設定!$D$2,2))</f>
        <v/>
      </c>
      <c r="B1678" s="16">
        <f>IF($A1678="","",INDEX(設定!$O$6:$O$12,WEEKDAY($A1678,1)))</f>
        <v/>
      </c>
      <c r="C1678" s="16">
        <f>IF($A1678="","",助理班表!$A59)</f>
        <v/>
      </c>
      <c r="D1678" s="16">
        <f>IF($C1678="","",助理班表!$B59)</f>
        <v/>
      </c>
      <c r="E1678" s="16">
        <f>IF($C1678="","",助理班表!$D59)</f>
        <v/>
      </c>
      <c r="F1678" s="16">
        <f>IF($C1678="","",助理班表!$C59)</f>
        <v/>
      </c>
      <c r="G1678" s="16">
        <f>IF($C1678="","",助理班表!F59)</f>
        <v/>
      </c>
      <c r="H1678" s="83">
        <f>IF($G1678="","",IFERROR(IF(INDEX(設定!$D$6:$D$21,MATCH($G1678,設定!$B$6:$B$21,0))=0,"",INDEX(設定!$D$6:$D$21,MATCH($G1678,設定!$B$6:$B$21,0))),""))</f>
        <v/>
      </c>
      <c r="I1678" s="83">
        <f>IF($G1678="","",IFERROR(IF(INDEX(設定!$E$6:$E$21,MATCH($G1678,設定!$B$6:$B$21,0))=0,"",INDEX(設定!$E$6:$E$21,MATCH($G1678,設定!$B$6:$B$21,0))),""))</f>
        <v/>
      </c>
      <c r="J1678" s="83">
        <f>IFERROR(INDEX(打卡匯入!$C$3:$C$2002,MATCH($C1678&amp;"|"&amp;DAY($A1678),打卡匯入!$E$3:$E$2002,0)),"")</f>
        <v/>
      </c>
      <c r="K1678" s="83">
        <f>IFERROR(INDEX(打卡匯入!$D$3:$D$2002,MATCH($C1678&amp;"|"&amp;DAY($A1678),打卡匯入!$E$3:$E$2002,0)),"")</f>
        <v/>
      </c>
      <c r="L1678" s="84">
        <f>IF(OR($J1678="",$K1678=""),"",IFERROR(INDEX(設定!$F$6:$F$21,MATCH($G1678,設定!$B$6:$B$21,0)),0))</f>
        <v/>
      </c>
      <c r="M1678" s="85">
        <f>IF(OR($J1678="",$K1678=""),"",ROUND(($K1678-$J1678)*24-$L1678/60,2))</f>
        <v/>
      </c>
      <c r="N1678" s="16">
        <f>IF($C1678="","",IF(AND(COUNTIF(設定!$B$15:$B$21,$G1678)&gt;0,$J1678&lt;&gt;""),"假日出勤",IF(AND(COUNTIF(設定!$B$6:$B$14,$G1678)&gt;0,$J1678=""),"未打卡",IF($J1678="","",IF($O1678&gt;0,"遲到",IF($P1678&gt;0,"早退","正常"))))))</f>
        <v/>
      </c>
      <c r="O1678" s="84">
        <f>IF(OR($C1678="",$H1678="",$J1678=""),0,IF(ROUND(($J1678-$H1678)*1440,0)&gt;設定!$C$46,ROUND(($J1678-$H1678)*1440,0),0))</f>
        <v/>
      </c>
      <c r="P1678" s="84">
        <f>IF(OR($C1678="",$I1678="",$K1678=""),0,IF(ROUND(($I1678-$K1678)*1440,0)&gt;設定!$C$46,ROUND(($I1678-$K1678)*1440,0),0))</f>
        <v/>
      </c>
      <c r="Q1678" s="85">
        <f>IF($M1678="",0,IF(($M1678-IFERROR(INDEX(設定!$G$6:$G$21,MATCH($G1678,設定!$B$6:$B$21,0)),0))*60&gt;=設定!$C$44,ROUND(FLOOR(($M1678-IFERROR(INDEX(設定!$G$6:$G$21,MATCH($G1678,設定!$B$6:$B$21,0)),0))*60,設定!$C$45)/60,2),0))</f>
        <v/>
      </c>
      <c r="R1678" s="16">
        <f>IF(OR($C1678="",$Q1678=0),"",IF($G1678="國","國定假日",IF($B1678="日","例假",IF($B1678="六","休息日","平日"))))</f>
        <v/>
      </c>
      <c r="S1678" s="19" t="n"/>
    </row>
    <row r="1679">
      <c r="A1679" s="82">
        <f>IF(OR(助理班表!$A59="",3&gt;DAY(EOMONTH(DATE(設定!$C$2,設定!$D$2,1),0))),"",DATE(設定!$C$2,設定!$D$2,3))</f>
        <v/>
      </c>
      <c r="B1679" s="16">
        <f>IF($A1679="","",INDEX(設定!$O$6:$O$12,WEEKDAY($A1679,1)))</f>
        <v/>
      </c>
      <c r="C1679" s="16">
        <f>IF($A1679="","",助理班表!$A59)</f>
        <v/>
      </c>
      <c r="D1679" s="16">
        <f>IF($C1679="","",助理班表!$B59)</f>
        <v/>
      </c>
      <c r="E1679" s="16">
        <f>IF($C1679="","",助理班表!$D59)</f>
        <v/>
      </c>
      <c r="F1679" s="16">
        <f>IF($C1679="","",助理班表!$C59)</f>
        <v/>
      </c>
      <c r="G1679" s="16">
        <f>IF($C1679="","",助理班表!G59)</f>
        <v/>
      </c>
      <c r="H1679" s="83">
        <f>IF($G1679="","",IFERROR(IF(INDEX(設定!$D$6:$D$21,MATCH($G1679,設定!$B$6:$B$21,0))=0,"",INDEX(設定!$D$6:$D$21,MATCH($G1679,設定!$B$6:$B$21,0))),""))</f>
        <v/>
      </c>
      <c r="I1679" s="83">
        <f>IF($G1679="","",IFERROR(IF(INDEX(設定!$E$6:$E$21,MATCH($G1679,設定!$B$6:$B$21,0))=0,"",INDEX(設定!$E$6:$E$21,MATCH($G1679,設定!$B$6:$B$21,0))),""))</f>
        <v/>
      </c>
      <c r="J1679" s="83">
        <f>IFERROR(INDEX(打卡匯入!$C$3:$C$2002,MATCH($C1679&amp;"|"&amp;DAY($A1679),打卡匯入!$E$3:$E$2002,0)),"")</f>
        <v/>
      </c>
      <c r="K1679" s="83">
        <f>IFERROR(INDEX(打卡匯入!$D$3:$D$2002,MATCH($C1679&amp;"|"&amp;DAY($A1679),打卡匯入!$E$3:$E$2002,0)),"")</f>
        <v/>
      </c>
      <c r="L1679" s="84">
        <f>IF(OR($J1679="",$K1679=""),"",IFERROR(INDEX(設定!$F$6:$F$21,MATCH($G1679,設定!$B$6:$B$21,0)),0))</f>
        <v/>
      </c>
      <c r="M1679" s="85">
        <f>IF(OR($J1679="",$K1679=""),"",ROUND(($K1679-$J1679)*24-$L1679/60,2))</f>
        <v/>
      </c>
      <c r="N1679" s="16">
        <f>IF($C1679="","",IF(AND(COUNTIF(設定!$B$15:$B$21,$G1679)&gt;0,$J1679&lt;&gt;""),"假日出勤",IF(AND(COUNTIF(設定!$B$6:$B$14,$G1679)&gt;0,$J1679=""),"未打卡",IF($J1679="","",IF($O1679&gt;0,"遲到",IF($P1679&gt;0,"早退","正常"))))))</f>
        <v/>
      </c>
      <c r="O1679" s="84">
        <f>IF(OR($C1679="",$H1679="",$J1679=""),0,IF(ROUND(($J1679-$H1679)*1440,0)&gt;設定!$C$46,ROUND(($J1679-$H1679)*1440,0),0))</f>
        <v/>
      </c>
      <c r="P1679" s="84">
        <f>IF(OR($C1679="",$I1679="",$K1679=""),0,IF(ROUND(($I1679-$K1679)*1440,0)&gt;設定!$C$46,ROUND(($I1679-$K1679)*1440,0),0))</f>
        <v/>
      </c>
      <c r="Q1679" s="85">
        <f>IF($M1679="",0,IF(($M1679-IFERROR(INDEX(設定!$G$6:$G$21,MATCH($G1679,設定!$B$6:$B$21,0)),0))*60&gt;=設定!$C$44,ROUND(FLOOR(($M1679-IFERROR(INDEX(設定!$G$6:$G$21,MATCH($G1679,設定!$B$6:$B$21,0)),0))*60,設定!$C$45)/60,2),0))</f>
        <v/>
      </c>
      <c r="R1679" s="16">
        <f>IF(OR($C1679="",$Q1679=0),"",IF($G1679="國","國定假日",IF($B1679="日","例假",IF($B1679="六","休息日","平日"))))</f>
        <v/>
      </c>
      <c r="S1679" s="19" t="n"/>
    </row>
    <row r="1680">
      <c r="A1680" s="82">
        <f>IF(OR(助理班表!$A59="",4&gt;DAY(EOMONTH(DATE(設定!$C$2,設定!$D$2,1),0))),"",DATE(設定!$C$2,設定!$D$2,4))</f>
        <v/>
      </c>
      <c r="B1680" s="16">
        <f>IF($A1680="","",INDEX(設定!$O$6:$O$12,WEEKDAY($A1680,1)))</f>
        <v/>
      </c>
      <c r="C1680" s="16">
        <f>IF($A1680="","",助理班表!$A59)</f>
        <v/>
      </c>
      <c r="D1680" s="16">
        <f>IF($C1680="","",助理班表!$B59)</f>
        <v/>
      </c>
      <c r="E1680" s="16">
        <f>IF($C1680="","",助理班表!$D59)</f>
        <v/>
      </c>
      <c r="F1680" s="16">
        <f>IF($C1680="","",助理班表!$C59)</f>
        <v/>
      </c>
      <c r="G1680" s="16">
        <f>IF($C1680="","",助理班表!H59)</f>
        <v/>
      </c>
      <c r="H1680" s="83">
        <f>IF($G1680="","",IFERROR(IF(INDEX(設定!$D$6:$D$21,MATCH($G1680,設定!$B$6:$B$21,0))=0,"",INDEX(設定!$D$6:$D$21,MATCH($G1680,設定!$B$6:$B$21,0))),""))</f>
        <v/>
      </c>
      <c r="I1680" s="83">
        <f>IF($G1680="","",IFERROR(IF(INDEX(設定!$E$6:$E$21,MATCH($G1680,設定!$B$6:$B$21,0))=0,"",INDEX(設定!$E$6:$E$21,MATCH($G1680,設定!$B$6:$B$21,0))),""))</f>
        <v/>
      </c>
      <c r="J1680" s="83">
        <f>IFERROR(INDEX(打卡匯入!$C$3:$C$2002,MATCH($C1680&amp;"|"&amp;DAY($A1680),打卡匯入!$E$3:$E$2002,0)),"")</f>
        <v/>
      </c>
      <c r="K1680" s="83">
        <f>IFERROR(INDEX(打卡匯入!$D$3:$D$2002,MATCH($C1680&amp;"|"&amp;DAY($A1680),打卡匯入!$E$3:$E$2002,0)),"")</f>
        <v/>
      </c>
      <c r="L1680" s="84">
        <f>IF(OR($J1680="",$K1680=""),"",IFERROR(INDEX(設定!$F$6:$F$21,MATCH($G1680,設定!$B$6:$B$21,0)),0))</f>
        <v/>
      </c>
      <c r="M1680" s="85">
        <f>IF(OR($J1680="",$K1680=""),"",ROUND(($K1680-$J1680)*24-$L1680/60,2))</f>
        <v/>
      </c>
      <c r="N1680" s="16">
        <f>IF($C1680="","",IF(AND(COUNTIF(設定!$B$15:$B$21,$G1680)&gt;0,$J1680&lt;&gt;""),"假日出勤",IF(AND(COUNTIF(設定!$B$6:$B$14,$G1680)&gt;0,$J1680=""),"未打卡",IF($J1680="","",IF($O1680&gt;0,"遲到",IF($P1680&gt;0,"早退","正常"))))))</f>
        <v/>
      </c>
      <c r="O1680" s="84">
        <f>IF(OR($C1680="",$H1680="",$J1680=""),0,IF(ROUND(($J1680-$H1680)*1440,0)&gt;設定!$C$46,ROUND(($J1680-$H1680)*1440,0),0))</f>
        <v/>
      </c>
      <c r="P1680" s="84">
        <f>IF(OR($C1680="",$I1680="",$K1680=""),0,IF(ROUND(($I1680-$K1680)*1440,0)&gt;設定!$C$46,ROUND(($I1680-$K1680)*1440,0),0))</f>
        <v/>
      </c>
      <c r="Q1680" s="85">
        <f>IF($M1680="",0,IF(($M1680-IFERROR(INDEX(設定!$G$6:$G$21,MATCH($G1680,設定!$B$6:$B$21,0)),0))*60&gt;=設定!$C$44,ROUND(FLOOR(($M1680-IFERROR(INDEX(設定!$G$6:$G$21,MATCH($G1680,設定!$B$6:$B$21,0)),0))*60,設定!$C$45)/60,2),0))</f>
        <v/>
      </c>
      <c r="R1680" s="16">
        <f>IF(OR($C1680="",$Q1680=0),"",IF($G1680="國","國定假日",IF($B1680="日","例假",IF($B1680="六","休息日","平日"))))</f>
        <v/>
      </c>
      <c r="S1680" s="19" t="n"/>
    </row>
    <row r="1681">
      <c r="A1681" s="82">
        <f>IF(OR(助理班表!$A59="",5&gt;DAY(EOMONTH(DATE(設定!$C$2,設定!$D$2,1),0))),"",DATE(設定!$C$2,設定!$D$2,5))</f>
        <v/>
      </c>
      <c r="B1681" s="16">
        <f>IF($A1681="","",INDEX(設定!$O$6:$O$12,WEEKDAY($A1681,1)))</f>
        <v/>
      </c>
      <c r="C1681" s="16">
        <f>IF($A1681="","",助理班表!$A59)</f>
        <v/>
      </c>
      <c r="D1681" s="16">
        <f>IF($C1681="","",助理班表!$B59)</f>
        <v/>
      </c>
      <c r="E1681" s="16">
        <f>IF($C1681="","",助理班表!$D59)</f>
        <v/>
      </c>
      <c r="F1681" s="16">
        <f>IF($C1681="","",助理班表!$C59)</f>
        <v/>
      </c>
      <c r="G1681" s="16">
        <f>IF($C1681="","",助理班表!I59)</f>
        <v/>
      </c>
      <c r="H1681" s="83">
        <f>IF($G1681="","",IFERROR(IF(INDEX(設定!$D$6:$D$21,MATCH($G1681,設定!$B$6:$B$21,0))=0,"",INDEX(設定!$D$6:$D$21,MATCH($G1681,設定!$B$6:$B$21,0))),""))</f>
        <v/>
      </c>
      <c r="I1681" s="83">
        <f>IF($G1681="","",IFERROR(IF(INDEX(設定!$E$6:$E$21,MATCH($G1681,設定!$B$6:$B$21,0))=0,"",INDEX(設定!$E$6:$E$21,MATCH($G1681,設定!$B$6:$B$21,0))),""))</f>
        <v/>
      </c>
      <c r="J1681" s="83">
        <f>IFERROR(INDEX(打卡匯入!$C$3:$C$2002,MATCH($C1681&amp;"|"&amp;DAY($A1681),打卡匯入!$E$3:$E$2002,0)),"")</f>
        <v/>
      </c>
      <c r="K1681" s="83">
        <f>IFERROR(INDEX(打卡匯入!$D$3:$D$2002,MATCH($C1681&amp;"|"&amp;DAY($A1681),打卡匯入!$E$3:$E$2002,0)),"")</f>
        <v/>
      </c>
      <c r="L1681" s="84">
        <f>IF(OR($J1681="",$K1681=""),"",IFERROR(INDEX(設定!$F$6:$F$21,MATCH($G1681,設定!$B$6:$B$21,0)),0))</f>
        <v/>
      </c>
      <c r="M1681" s="85">
        <f>IF(OR($J1681="",$K1681=""),"",ROUND(($K1681-$J1681)*24-$L1681/60,2))</f>
        <v/>
      </c>
      <c r="N1681" s="16">
        <f>IF($C1681="","",IF(AND(COUNTIF(設定!$B$15:$B$21,$G1681)&gt;0,$J1681&lt;&gt;""),"假日出勤",IF(AND(COUNTIF(設定!$B$6:$B$14,$G1681)&gt;0,$J1681=""),"未打卡",IF($J1681="","",IF($O1681&gt;0,"遲到",IF($P1681&gt;0,"早退","正常"))))))</f>
        <v/>
      </c>
      <c r="O1681" s="84">
        <f>IF(OR($C1681="",$H1681="",$J1681=""),0,IF(ROUND(($J1681-$H1681)*1440,0)&gt;設定!$C$46,ROUND(($J1681-$H1681)*1440,0),0))</f>
        <v/>
      </c>
      <c r="P1681" s="84">
        <f>IF(OR($C1681="",$I1681="",$K1681=""),0,IF(ROUND(($I1681-$K1681)*1440,0)&gt;設定!$C$46,ROUND(($I1681-$K1681)*1440,0),0))</f>
        <v/>
      </c>
      <c r="Q1681" s="85">
        <f>IF($M1681="",0,IF(($M1681-IFERROR(INDEX(設定!$G$6:$G$21,MATCH($G1681,設定!$B$6:$B$21,0)),0))*60&gt;=設定!$C$44,ROUND(FLOOR(($M1681-IFERROR(INDEX(設定!$G$6:$G$21,MATCH($G1681,設定!$B$6:$B$21,0)),0))*60,設定!$C$45)/60,2),0))</f>
        <v/>
      </c>
      <c r="R1681" s="16">
        <f>IF(OR($C1681="",$Q1681=0),"",IF($G1681="國","國定假日",IF($B1681="日","例假",IF($B1681="六","休息日","平日"))))</f>
        <v/>
      </c>
      <c r="S1681" s="19" t="n"/>
    </row>
    <row r="1682">
      <c r="A1682" s="82">
        <f>IF(OR(助理班表!$A59="",6&gt;DAY(EOMONTH(DATE(設定!$C$2,設定!$D$2,1),0))),"",DATE(設定!$C$2,設定!$D$2,6))</f>
        <v/>
      </c>
      <c r="B1682" s="16">
        <f>IF($A1682="","",INDEX(設定!$O$6:$O$12,WEEKDAY($A1682,1)))</f>
        <v/>
      </c>
      <c r="C1682" s="16">
        <f>IF($A1682="","",助理班表!$A59)</f>
        <v/>
      </c>
      <c r="D1682" s="16">
        <f>IF($C1682="","",助理班表!$B59)</f>
        <v/>
      </c>
      <c r="E1682" s="16">
        <f>IF($C1682="","",助理班表!$D59)</f>
        <v/>
      </c>
      <c r="F1682" s="16">
        <f>IF($C1682="","",助理班表!$C59)</f>
        <v/>
      </c>
      <c r="G1682" s="16">
        <f>IF($C1682="","",助理班表!J59)</f>
        <v/>
      </c>
      <c r="H1682" s="83">
        <f>IF($G1682="","",IFERROR(IF(INDEX(設定!$D$6:$D$21,MATCH($G1682,設定!$B$6:$B$21,0))=0,"",INDEX(設定!$D$6:$D$21,MATCH($G1682,設定!$B$6:$B$21,0))),""))</f>
        <v/>
      </c>
      <c r="I1682" s="83">
        <f>IF($G1682="","",IFERROR(IF(INDEX(設定!$E$6:$E$21,MATCH($G1682,設定!$B$6:$B$21,0))=0,"",INDEX(設定!$E$6:$E$21,MATCH($G1682,設定!$B$6:$B$21,0))),""))</f>
        <v/>
      </c>
      <c r="J1682" s="83">
        <f>IFERROR(INDEX(打卡匯入!$C$3:$C$2002,MATCH($C1682&amp;"|"&amp;DAY($A1682),打卡匯入!$E$3:$E$2002,0)),"")</f>
        <v/>
      </c>
      <c r="K1682" s="83">
        <f>IFERROR(INDEX(打卡匯入!$D$3:$D$2002,MATCH($C1682&amp;"|"&amp;DAY($A1682),打卡匯入!$E$3:$E$2002,0)),"")</f>
        <v/>
      </c>
      <c r="L1682" s="84">
        <f>IF(OR($J1682="",$K1682=""),"",IFERROR(INDEX(設定!$F$6:$F$21,MATCH($G1682,設定!$B$6:$B$21,0)),0))</f>
        <v/>
      </c>
      <c r="M1682" s="85">
        <f>IF(OR($J1682="",$K1682=""),"",ROUND(($K1682-$J1682)*24-$L1682/60,2))</f>
        <v/>
      </c>
      <c r="N1682" s="16">
        <f>IF($C1682="","",IF(AND(COUNTIF(設定!$B$15:$B$21,$G1682)&gt;0,$J1682&lt;&gt;""),"假日出勤",IF(AND(COUNTIF(設定!$B$6:$B$14,$G1682)&gt;0,$J1682=""),"未打卡",IF($J1682="","",IF($O1682&gt;0,"遲到",IF($P1682&gt;0,"早退","正常"))))))</f>
        <v/>
      </c>
      <c r="O1682" s="84">
        <f>IF(OR($C1682="",$H1682="",$J1682=""),0,IF(ROUND(($J1682-$H1682)*1440,0)&gt;設定!$C$46,ROUND(($J1682-$H1682)*1440,0),0))</f>
        <v/>
      </c>
      <c r="P1682" s="84">
        <f>IF(OR($C1682="",$I1682="",$K1682=""),0,IF(ROUND(($I1682-$K1682)*1440,0)&gt;設定!$C$46,ROUND(($I1682-$K1682)*1440,0),0))</f>
        <v/>
      </c>
      <c r="Q1682" s="85">
        <f>IF($M1682="",0,IF(($M1682-IFERROR(INDEX(設定!$G$6:$G$21,MATCH($G1682,設定!$B$6:$B$21,0)),0))*60&gt;=設定!$C$44,ROUND(FLOOR(($M1682-IFERROR(INDEX(設定!$G$6:$G$21,MATCH($G1682,設定!$B$6:$B$21,0)),0))*60,設定!$C$45)/60,2),0))</f>
        <v/>
      </c>
      <c r="R1682" s="16">
        <f>IF(OR($C1682="",$Q1682=0),"",IF($G1682="國","國定假日",IF($B1682="日","例假",IF($B1682="六","休息日","平日"))))</f>
        <v/>
      </c>
      <c r="S1682" s="19" t="n"/>
    </row>
    <row r="1683">
      <c r="A1683" s="82">
        <f>IF(OR(助理班表!$A59="",7&gt;DAY(EOMONTH(DATE(設定!$C$2,設定!$D$2,1),0))),"",DATE(設定!$C$2,設定!$D$2,7))</f>
        <v/>
      </c>
      <c r="B1683" s="16">
        <f>IF($A1683="","",INDEX(設定!$O$6:$O$12,WEEKDAY($A1683,1)))</f>
        <v/>
      </c>
      <c r="C1683" s="16">
        <f>IF($A1683="","",助理班表!$A59)</f>
        <v/>
      </c>
      <c r="D1683" s="16">
        <f>IF($C1683="","",助理班表!$B59)</f>
        <v/>
      </c>
      <c r="E1683" s="16">
        <f>IF($C1683="","",助理班表!$D59)</f>
        <v/>
      </c>
      <c r="F1683" s="16">
        <f>IF($C1683="","",助理班表!$C59)</f>
        <v/>
      </c>
      <c r="G1683" s="16">
        <f>IF($C1683="","",助理班表!K59)</f>
        <v/>
      </c>
      <c r="H1683" s="83">
        <f>IF($G1683="","",IFERROR(IF(INDEX(設定!$D$6:$D$21,MATCH($G1683,設定!$B$6:$B$21,0))=0,"",INDEX(設定!$D$6:$D$21,MATCH($G1683,設定!$B$6:$B$21,0))),""))</f>
        <v/>
      </c>
      <c r="I1683" s="83">
        <f>IF($G1683="","",IFERROR(IF(INDEX(設定!$E$6:$E$21,MATCH($G1683,設定!$B$6:$B$21,0))=0,"",INDEX(設定!$E$6:$E$21,MATCH($G1683,設定!$B$6:$B$21,0))),""))</f>
        <v/>
      </c>
      <c r="J1683" s="83">
        <f>IFERROR(INDEX(打卡匯入!$C$3:$C$2002,MATCH($C1683&amp;"|"&amp;DAY($A1683),打卡匯入!$E$3:$E$2002,0)),"")</f>
        <v/>
      </c>
      <c r="K1683" s="83">
        <f>IFERROR(INDEX(打卡匯入!$D$3:$D$2002,MATCH($C1683&amp;"|"&amp;DAY($A1683),打卡匯入!$E$3:$E$2002,0)),"")</f>
        <v/>
      </c>
      <c r="L1683" s="84">
        <f>IF(OR($J1683="",$K1683=""),"",IFERROR(INDEX(設定!$F$6:$F$21,MATCH($G1683,設定!$B$6:$B$21,0)),0))</f>
        <v/>
      </c>
      <c r="M1683" s="85">
        <f>IF(OR($J1683="",$K1683=""),"",ROUND(($K1683-$J1683)*24-$L1683/60,2))</f>
        <v/>
      </c>
      <c r="N1683" s="16">
        <f>IF($C1683="","",IF(AND(COUNTIF(設定!$B$15:$B$21,$G1683)&gt;0,$J1683&lt;&gt;""),"假日出勤",IF(AND(COUNTIF(設定!$B$6:$B$14,$G1683)&gt;0,$J1683=""),"未打卡",IF($J1683="","",IF($O1683&gt;0,"遲到",IF($P1683&gt;0,"早退","正常"))))))</f>
        <v/>
      </c>
      <c r="O1683" s="84">
        <f>IF(OR($C1683="",$H1683="",$J1683=""),0,IF(ROUND(($J1683-$H1683)*1440,0)&gt;設定!$C$46,ROUND(($J1683-$H1683)*1440,0),0))</f>
        <v/>
      </c>
      <c r="P1683" s="84">
        <f>IF(OR($C1683="",$I1683="",$K1683=""),0,IF(ROUND(($I1683-$K1683)*1440,0)&gt;設定!$C$46,ROUND(($I1683-$K1683)*1440,0),0))</f>
        <v/>
      </c>
      <c r="Q1683" s="85">
        <f>IF($M1683="",0,IF(($M1683-IFERROR(INDEX(設定!$G$6:$G$21,MATCH($G1683,設定!$B$6:$B$21,0)),0))*60&gt;=設定!$C$44,ROUND(FLOOR(($M1683-IFERROR(INDEX(設定!$G$6:$G$21,MATCH($G1683,設定!$B$6:$B$21,0)),0))*60,設定!$C$45)/60,2),0))</f>
        <v/>
      </c>
      <c r="R1683" s="16">
        <f>IF(OR($C1683="",$Q1683=0),"",IF($G1683="國","國定假日",IF($B1683="日","例假",IF($B1683="六","休息日","平日"))))</f>
        <v/>
      </c>
      <c r="S1683" s="19" t="n"/>
    </row>
    <row r="1684">
      <c r="A1684" s="82">
        <f>IF(OR(助理班表!$A59="",8&gt;DAY(EOMONTH(DATE(設定!$C$2,設定!$D$2,1),0))),"",DATE(設定!$C$2,設定!$D$2,8))</f>
        <v/>
      </c>
      <c r="B1684" s="16">
        <f>IF($A1684="","",INDEX(設定!$O$6:$O$12,WEEKDAY($A1684,1)))</f>
        <v/>
      </c>
      <c r="C1684" s="16">
        <f>IF($A1684="","",助理班表!$A59)</f>
        <v/>
      </c>
      <c r="D1684" s="16">
        <f>IF($C1684="","",助理班表!$B59)</f>
        <v/>
      </c>
      <c r="E1684" s="16">
        <f>IF($C1684="","",助理班表!$D59)</f>
        <v/>
      </c>
      <c r="F1684" s="16">
        <f>IF($C1684="","",助理班表!$C59)</f>
        <v/>
      </c>
      <c r="G1684" s="16">
        <f>IF($C1684="","",助理班表!L59)</f>
        <v/>
      </c>
      <c r="H1684" s="83">
        <f>IF($G1684="","",IFERROR(IF(INDEX(設定!$D$6:$D$21,MATCH($G1684,設定!$B$6:$B$21,0))=0,"",INDEX(設定!$D$6:$D$21,MATCH($G1684,設定!$B$6:$B$21,0))),""))</f>
        <v/>
      </c>
      <c r="I1684" s="83">
        <f>IF($G1684="","",IFERROR(IF(INDEX(設定!$E$6:$E$21,MATCH($G1684,設定!$B$6:$B$21,0))=0,"",INDEX(設定!$E$6:$E$21,MATCH($G1684,設定!$B$6:$B$21,0))),""))</f>
        <v/>
      </c>
      <c r="J1684" s="83">
        <f>IFERROR(INDEX(打卡匯入!$C$3:$C$2002,MATCH($C1684&amp;"|"&amp;DAY($A1684),打卡匯入!$E$3:$E$2002,0)),"")</f>
        <v/>
      </c>
      <c r="K1684" s="83">
        <f>IFERROR(INDEX(打卡匯入!$D$3:$D$2002,MATCH($C1684&amp;"|"&amp;DAY($A1684),打卡匯入!$E$3:$E$2002,0)),"")</f>
        <v/>
      </c>
      <c r="L1684" s="84">
        <f>IF(OR($J1684="",$K1684=""),"",IFERROR(INDEX(設定!$F$6:$F$21,MATCH($G1684,設定!$B$6:$B$21,0)),0))</f>
        <v/>
      </c>
      <c r="M1684" s="85">
        <f>IF(OR($J1684="",$K1684=""),"",ROUND(($K1684-$J1684)*24-$L1684/60,2))</f>
        <v/>
      </c>
      <c r="N1684" s="16">
        <f>IF($C1684="","",IF(AND(COUNTIF(設定!$B$15:$B$21,$G1684)&gt;0,$J1684&lt;&gt;""),"假日出勤",IF(AND(COUNTIF(設定!$B$6:$B$14,$G1684)&gt;0,$J1684=""),"未打卡",IF($J1684="","",IF($O1684&gt;0,"遲到",IF($P1684&gt;0,"早退","正常"))))))</f>
        <v/>
      </c>
      <c r="O1684" s="84">
        <f>IF(OR($C1684="",$H1684="",$J1684=""),0,IF(ROUND(($J1684-$H1684)*1440,0)&gt;設定!$C$46,ROUND(($J1684-$H1684)*1440,0),0))</f>
        <v/>
      </c>
      <c r="P1684" s="84">
        <f>IF(OR($C1684="",$I1684="",$K1684=""),0,IF(ROUND(($I1684-$K1684)*1440,0)&gt;設定!$C$46,ROUND(($I1684-$K1684)*1440,0),0))</f>
        <v/>
      </c>
      <c r="Q1684" s="85">
        <f>IF($M1684="",0,IF(($M1684-IFERROR(INDEX(設定!$G$6:$G$21,MATCH($G1684,設定!$B$6:$B$21,0)),0))*60&gt;=設定!$C$44,ROUND(FLOOR(($M1684-IFERROR(INDEX(設定!$G$6:$G$21,MATCH($G1684,設定!$B$6:$B$21,0)),0))*60,設定!$C$45)/60,2),0))</f>
        <v/>
      </c>
      <c r="R1684" s="16">
        <f>IF(OR($C1684="",$Q1684=0),"",IF($G1684="國","國定假日",IF($B1684="日","例假",IF($B1684="六","休息日","平日"))))</f>
        <v/>
      </c>
      <c r="S1684" s="19" t="n"/>
    </row>
    <row r="1685">
      <c r="A1685" s="82">
        <f>IF(OR(助理班表!$A59="",9&gt;DAY(EOMONTH(DATE(設定!$C$2,設定!$D$2,1),0))),"",DATE(設定!$C$2,設定!$D$2,9))</f>
        <v/>
      </c>
      <c r="B1685" s="16">
        <f>IF($A1685="","",INDEX(設定!$O$6:$O$12,WEEKDAY($A1685,1)))</f>
        <v/>
      </c>
      <c r="C1685" s="16">
        <f>IF($A1685="","",助理班表!$A59)</f>
        <v/>
      </c>
      <c r="D1685" s="16">
        <f>IF($C1685="","",助理班表!$B59)</f>
        <v/>
      </c>
      <c r="E1685" s="16">
        <f>IF($C1685="","",助理班表!$D59)</f>
        <v/>
      </c>
      <c r="F1685" s="16">
        <f>IF($C1685="","",助理班表!$C59)</f>
        <v/>
      </c>
      <c r="G1685" s="16">
        <f>IF($C1685="","",助理班表!M59)</f>
        <v/>
      </c>
      <c r="H1685" s="83">
        <f>IF($G1685="","",IFERROR(IF(INDEX(設定!$D$6:$D$21,MATCH($G1685,設定!$B$6:$B$21,0))=0,"",INDEX(設定!$D$6:$D$21,MATCH($G1685,設定!$B$6:$B$21,0))),""))</f>
        <v/>
      </c>
      <c r="I1685" s="83">
        <f>IF($G1685="","",IFERROR(IF(INDEX(設定!$E$6:$E$21,MATCH($G1685,設定!$B$6:$B$21,0))=0,"",INDEX(設定!$E$6:$E$21,MATCH($G1685,設定!$B$6:$B$21,0))),""))</f>
        <v/>
      </c>
      <c r="J1685" s="83">
        <f>IFERROR(INDEX(打卡匯入!$C$3:$C$2002,MATCH($C1685&amp;"|"&amp;DAY($A1685),打卡匯入!$E$3:$E$2002,0)),"")</f>
        <v/>
      </c>
      <c r="K1685" s="83">
        <f>IFERROR(INDEX(打卡匯入!$D$3:$D$2002,MATCH($C1685&amp;"|"&amp;DAY($A1685),打卡匯入!$E$3:$E$2002,0)),"")</f>
        <v/>
      </c>
      <c r="L1685" s="84">
        <f>IF(OR($J1685="",$K1685=""),"",IFERROR(INDEX(設定!$F$6:$F$21,MATCH($G1685,設定!$B$6:$B$21,0)),0))</f>
        <v/>
      </c>
      <c r="M1685" s="85">
        <f>IF(OR($J1685="",$K1685=""),"",ROUND(($K1685-$J1685)*24-$L1685/60,2))</f>
        <v/>
      </c>
      <c r="N1685" s="16">
        <f>IF($C1685="","",IF(AND(COUNTIF(設定!$B$15:$B$21,$G1685)&gt;0,$J1685&lt;&gt;""),"假日出勤",IF(AND(COUNTIF(設定!$B$6:$B$14,$G1685)&gt;0,$J1685=""),"未打卡",IF($J1685="","",IF($O1685&gt;0,"遲到",IF($P1685&gt;0,"早退","正常"))))))</f>
        <v/>
      </c>
      <c r="O1685" s="84">
        <f>IF(OR($C1685="",$H1685="",$J1685=""),0,IF(ROUND(($J1685-$H1685)*1440,0)&gt;設定!$C$46,ROUND(($J1685-$H1685)*1440,0),0))</f>
        <v/>
      </c>
      <c r="P1685" s="84">
        <f>IF(OR($C1685="",$I1685="",$K1685=""),0,IF(ROUND(($I1685-$K1685)*1440,0)&gt;設定!$C$46,ROUND(($I1685-$K1685)*1440,0),0))</f>
        <v/>
      </c>
      <c r="Q1685" s="85">
        <f>IF($M1685="",0,IF(($M1685-IFERROR(INDEX(設定!$G$6:$G$21,MATCH($G1685,設定!$B$6:$B$21,0)),0))*60&gt;=設定!$C$44,ROUND(FLOOR(($M1685-IFERROR(INDEX(設定!$G$6:$G$21,MATCH($G1685,設定!$B$6:$B$21,0)),0))*60,設定!$C$45)/60,2),0))</f>
        <v/>
      </c>
      <c r="R1685" s="16">
        <f>IF(OR($C1685="",$Q1685=0),"",IF($G1685="國","國定假日",IF($B1685="日","例假",IF($B1685="六","休息日","平日"))))</f>
        <v/>
      </c>
      <c r="S1685" s="19" t="n"/>
    </row>
    <row r="1686">
      <c r="A1686" s="82">
        <f>IF(OR(助理班表!$A59="",10&gt;DAY(EOMONTH(DATE(設定!$C$2,設定!$D$2,1),0))),"",DATE(設定!$C$2,設定!$D$2,10))</f>
        <v/>
      </c>
      <c r="B1686" s="16">
        <f>IF($A1686="","",INDEX(設定!$O$6:$O$12,WEEKDAY($A1686,1)))</f>
        <v/>
      </c>
      <c r="C1686" s="16">
        <f>IF($A1686="","",助理班表!$A59)</f>
        <v/>
      </c>
      <c r="D1686" s="16">
        <f>IF($C1686="","",助理班表!$B59)</f>
        <v/>
      </c>
      <c r="E1686" s="16">
        <f>IF($C1686="","",助理班表!$D59)</f>
        <v/>
      </c>
      <c r="F1686" s="16">
        <f>IF($C1686="","",助理班表!$C59)</f>
        <v/>
      </c>
      <c r="G1686" s="16">
        <f>IF($C1686="","",助理班表!N59)</f>
        <v/>
      </c>
      <c r="H1686" s="83">
        <f>IF($G1686="","",IFERROR(IF(INDEX(設定!$D$6:$D$21,MATCH($G1686,設定!$B$6:$B$21,0))=0,"",INDEX(設定!$D$6:$D$21,MATCH($G1686,設定!$B$6:$B$21,0))),""))</f>
        <v/>
      </c>
      <c r="I1686" s="83">
        <f>IF($G1686="","",IFERROR(IF(INDEX(設定!$E$6:$E$21,MATCH($G1686,設定!$B$6:$B$21,0))=0,"",INDEX(設定!$E$6:$E$21,MATCH($G1686,設定!$B$6:$B$21,0))),""))</f>
        <v/>
      </c>
      <c r="J1686" s="83">
        <f>IFERROR(INDEX(打卡匯入!$C$3:$C$2002,MATCH($C1686&amp;"|"&amp;DAY($A1686),打卡匯入!$E$3:$E$2002,0)),"")</f>
        <v/>
      </c>
      <c r="K1686" s="83">
        <f>IFERROR(INDEX(打卡匯入!$D$3:$D$2002,MATCH($C1686&amp;"|"&amp;DAY($A1686),打卡匯入!$E$3:$E$2002,0)),"")</f>
        <v/>
      </c>
      <c r="L1686" s="84">
        <f>IF(OR($J1686="",$K1686=""),"",IFERROR(INDEX(設定!$F$6:$F$21,MATCH($G1686,設定!$B$6:$B$21,0)),0))</f>
        <v/>
      </c>
      <c r="M1686" s="85">
        <f>IF(OR($J1686="",$K1686=""),"",ROUND(($K1686-$J1686)*24-$L1686/60,2))</f>
        <v/>
      </c>
      <c r="N1686" s="16">
        <f>IF($C1686="","",IF(AND(COUNTIF(設定!$B$15:$B$21,$G1686)&gt;0,$J1686&lt;&gt;""),"假日出勤",IF(AND(COUNTIF(設定!$B$6:$B$14,$G1686)&gt;0,$J1686=""),"未打卡",IF($J1686="","",IF($O1686&gt;0,"遲到",IF($P1686&gt;0,"早退","正常"))))))</f>
        <v/>
      </c>
      <c r="O1686" s="84">
        <f>IF(OR($C1686="",$H1686="",$J1686=""),0,IF(ROUND(($J1686-$H1686)*1440,0)&gt;設定!$C$46,ROUND(($J1686-$H1686)*1440,0),0))</f>
        <v/>
      </c>
      <c r="P1686" s="84">
        <f>IF(OR($C1686="",$I1686="",$K1686=""),0,IF(ROUND(($I1686-$K1686)*1440,0)&gt;設定!$C$46,ROUND(($I1686-$K1686)*1440,0),0))</f>
        <v/>
      </c>
      <c r="Q1686" s="85">
        <f>IF($M1686="",0,IF(($M1686-IFERROR(INDEX(設定!$G$6:$G$21,MATCH($G1686,設定!$B$6:$B$21,0)),0))*60&gt;=設定!$C$44,ROUND(FLOOR(($M1686-IFERROR(INDEX(設定!$G$6:$G$21,MATCH($G1686,設定!$B$6:$B$21,0)),0))*60,設定!$C$45)/60,2),0))</f>
        <v/>
      </c>
      <c r="R1686" s="16">
        <f>IF(OR($C1686="",$Q1686=0),"",IF($G1686="國","國定假日",IF($B1686="日","例假",IF($B1686="六","休息日","平日"))))</f>
        <v/>
      </c>
      <c r="S1686" s="19" t="n"/>
    </row>
    <row r="1687">
      <c r="A1687" s="82">
        <f>IF(OR(助理班表!$A59="",11&gt;DAY(EOMONTH(DATE(設定!$C$2,設定!$D$2,1),0))),"",DATE(設定!$C$2,設定!$D$2,11))</f>
        <v/>
      </c>
      <c r="B1687" s="16">
        <f>IF($A1687="","",INDEX(設定!$O$6:$O$12,WEEKDAY($A1687,1)))</f>
        <v/>
      </c>
      <c r="C1687" s="16">
        <f>IF($A1687="","",助理班表!$A59)</f>
        <v/>
      </c>
      <c r="D1687" s="16">
        <f>IF($C1687="","",助理班表!$B59)</f>
        <v/>
      </c>
      <c r="E1687" s="16">
        <f>IF($C1687="","",助理班表!$D59)</f>
        <v/>
      </c>
      <c r="F1687" s="16">
        <f>IF($C1687="","",助理班表!$C59)</f>
        <v/>
      </c>
      <c r="G1687" s="16">
        <f>IF($C1687="","",助理班表!O59)</f>
        <v/>
      </c>
      <c r="H1687" s="83">
        <f>IF($G1687="","",IFERROR(IF(INDEX(設定!$D$6:$D$21,MATCH($G1687,設定!$B$6:$B$21,0))=0,"",INDEX(設定!$D$6:$D$21,MATCH($G1687,設定!$B$6:$B$21,0))),""))</f>
        <v/>
      </c>
      <c r="I1687" s="83">
        <f>IF($G1687="","",IFERROR(IF(INDEX(設定!$E$6:$E$21,MATCH($G1687,設定!$B$6:$B$21,0))=0,"",INDEX(設定!$E$6:$E$21,MATCH($G1687,設定!$B$6:$B$21,0))),""))</f>
        <v/>
      </c>
      <c r="J1687" s="83">
        <f>IFERROR(INDEX(打卡匯入!$C$3:$C$2002,MATCH($C1687&amp;"|"&amp;DAY($A1687),打卡匯入!$E$3:$E$2002,0)),"")</f>
        <v/>
      </c>
      <c r="K1687" s="83">
        <f>IFERROR(INDEX(打卡匯入!$D$3:$D$2002,MATCH($C1687&amp;"|"&amp;DAY($A1687),打卡匯入!$E$3:$E$2002,0)),"")</f>
        <v/>
      </c>
      <c r="L1687" s="84">
        <f>IF(OR($J1687="",$K1687=""),"",IFERROR(INDEX(設定!$F$6:$F$21,MATCH($G1687,設定!$B$6:$B$21,0)),0))</f>
        <v/>
      </c>
      <c r="M1687" s="85">
        <f>IF(OR($J1687="",$K1687=""),"",ROUND(($K1687-$J1687)*24-$L1687/60,2))</f>
        <v/>
      </c>
      <c r="N1687" s="16">
        <f>IF($C1687="","",IF(AND(COUNTIF(設定!$B$15:$B$21,$G1687)&gt;0,$J1687&lt;&gt;""),"假日出勤",IF(AND(COUNTIF(設定!$B$6:$B$14,$G1687)&gt;0,$J1687=""),"未打卡",IF($J1687="","",IF($O1687&gt;0,"遲到",IF($P1687&gt;0,"早退","正常"))))))</f>
        <v/>
      </c>
      <c r="O1687" s="84">
        <f>IF(OR($C1687="",$H1687="",$J1687=""),0,IF(ROUND(($J1687-$H1687)*1440,0)&gt;設定!$C$46,ROUND(($J1687-$H1687)*1440,0),0))</f>
        <v/>
      </c>
      <c r="P1687" s="84">
        <f>IF(OR($C1687="",$I1687="",$K1687=""),0,IF(ROUND(($I1687-$K1687)*1440,0)&gt;設定!$C$46,ROUND(($I1687-$K1687)*1440,0),0))</f>
        <v/>
      </c>
      <c r="Q1687" s="85">
        <f>IF($M1687="",0,IF(($M1687-IFERROR(INDEX(設定!$G$6:$G$21,MATCH($G1687,設定!$B$6:$B$21,0)),0))*60&gt;=設定!$C$44,ROUND(FLOOR(($M1687-IFERROR(INDEX(設定!$G$6:$G$21,MATCH($G1687,設定!$B$6:$B$21,0)),0))*60,設定!$C$45)/60,2),0))</f>
        <v/>
      </c>
      <c r="R1687" s="16">
        <f>IF(OR($C1687="",$Q1687=0),"",IF($G1687="國","國定假日",IF($B1687="日","例假",IF($B1687="六","休息日","平日"))))</f>
        <v/>
      </c>
      <c r="S1687" s="19" t="n"/>
    </row>
    <row r="1688">
      <c r="A1688" s="82">
        <f>IF(OR(助理班表!$A59="",12&gt;DAY(EOMONTH(DATE(設定!$C$2,設定!$D$2,1),0))),"",DATE(設定!$C$2,設定!$D$2,12))</f>
        <v/>
      </c>
      <c r="B1688" s="16">
        <f>IF($A1688="","",INDEX(設定!$O$6:$O$12,WEEKDAY($A1688,1)))</f>
        <v/>
      </c>
      <c r="C1688" s="16">
        <f>IF($A1688="","",助理班表!$A59)</f>
        <v/>
      </c>
      <c r="D1688" s="16">
        <f>IF($C1688="","",助理班表!$B59)</f>
        <v/>
      </c>
      <c r="E1688" s="16">
        <f>IF($C1688="","",助理班表!$D59)</f>
        <v/>
      </c>
      <c r="F1688" s="16">
        <f>IF($C1688="","",助理班表!$C59)</f>
        <v/>
      </c>
      <c r="G1688" s="16">
        <f>IF($C1688="","",助理班表!P59)</f>
        <v/>
      </c>
      <c r="H1688" s="83">
        <f>IF($G1688="","",IFERROR(IF(INDEX(設定!$D$6:$D$21,MATCH($G1688,設定!$B$6:$B$21,0))=0,"",INDEX(設定!$D$6:$D$21,MATCH($G1688,設定!$B$6:$B$21,0))),""))</f>
        <v/>
      </c>
      <c r="I1688" s="83">
        <f>IF($G1688="","",IFERROR(IF(INDEX(設定!$E$6:$E$21,MATCH($G1688,設定!$B$6:$B$21,0))=0,"",INDEX(設定!$E$6:$E$21,MATCH($G1688,設定!$B$6:$B$21,0))),""))</f>
        <v/>
      </c>
      <c r="J1688" s="83">
        <f>IFERROR(INDEX(打卡匯入!$C$3:$C$2002,MATCH($C1688&amp;"|"&amp;DAY($A1688),打卡匯入!$E$3:$E$2002,0)),"")</f>
        <v/>
      </c>
      <c r="K1688" s="83">
        <f>IFERROR(INDEX(打卡匯入!$D$3:$D$2002,MATCH($C1688&amp;"|"&amp;DAY($A1688),打卡匯入!$E$3:$E$2002,0)),"")</f>
        <v/>
      </c>
      <c r="L1688" s="84">
        <f>IF(OR($J1688="",$K1688=""),"",IFERROR(INDEX(設定!$F$6:$F$21,MATCH($G1688,設定!$B$6:$B$21,0)),0))</f>
        <v/>
      </c>
      <c r="M1688" s="85">
        <f>IF(OR($J1688="",$K1688=""),"",ROUND(($K1688-$J1688)*24-$L1688/60,2))</f>
        <v/>
      </c>
      <c r="N1688" s="16">
        <f>IF($C1688="","",IF(AND(COUNTIF(設定!$B$15:$B$21,$G1688)&gt;0,$J1688&lt;&gt;""),"假日出勤",IF(AND(COUNTIF(設定!$B$6:$B$14,$G1688)&gt;0,$J1688=""),"未打卡",IF($J1688="","",IF($O1688&gt;0,"遲到",IF($P1688&gt;0,"早退","正常"))))))</f>
        <v/>
      </c>
      <c r="O1688" s="84">
        <f>IF(OR($C1688="",$H1688="",$J1688=""),0,IF(ROUND(($J1688-$H1688)*1440,0)&gt;設定!$C$46,ROUND(($J1688-$H1688)*1440,0),0))</f>
        <v/>
      </c>
      <c r="P1688" s="84">
        <f>IF(OR($C1688="",$I1688="",$K1688=""),0,IF(ROUND(($I1688-$K1688)*1440,0)&gt;設定!$C$46,ROUND(($I1688-$K1688)*1440,0),0))</f>
        <v/>
      </c>
      <c r="Q1688" s="85">
        <f>IF($M1688="",0,IF(($M1688-IFERROR(INDEX(設定!$G$6:$G$21,MATCH($G1688,設定!$B$6:$B$21,0)),0))*60&gt;=設定!$C$44,ROUND(FLOOR(($M1688-IFERROR(INDEX(設定!$G$6:$G$21,MATCH($G1688,設定!$B$6:$B$21,0)),0))*60,設定!$C$45)/60,2),0))</f>
        <v/>
      </c>
      <c r="R1688" s="16">
        <f>IF(OR($C1688="",$Q1688=0),"",IF($G1688="國","國定假日",IF($B1688="日","例假",IF($B1688="六","休息日","平日"))))</f>
        <v/>
      </c>
      <c r="S1688" s="19" t="n"/>
    </row>
    <row r="1689">
      <c r="A1689" s="82">
        <f>IF(OR(助理班表!$A59="",13&gt;DAY(EOMONTH(DATE(設定!$C$2,設定!$D$2,1),0))),"",DATE(設定!$C$2,設定!$D$2,13))</f>
        <v/>
      </c>
      <c r="B1689" s="16">
        <f>IF($A1689="","",INDEX(設定!$O$6:$O$12,WEEKDAY($A1689,1)))</f>
        <v/>
      </c>
      <c r="C1689" s="16">
        <f>IF($A1689="","",助理班表!$A59)</f>
        <v/>
      </c>
      <c r="D1689" s="16">
        <f>IF($C1689="","",助理班表!$B59)</f>
        <v/>
      </c>
      <c r="E1689" s="16">
        <f>IF($C1689="","",助理班表!$D59)</f>
        <v/>
      </c>
      <c r="F1689" s="16">
        <f>IF($C1689="","",助理班表!$C59)</f>
        <v/>
      </c>
      <c r="G1689" s="16">
        <f>IF($C1689="","",助理班表!Q59)</f>
        <v/>
      </c>
      <c r="H1689" s="83">
        <f>IF($G1689="","",IFERROR(IF(INDEX(設定!$D$6:$D$21,MATCH($G1689,設定!$B$6:$B$21,0))=0,"",INDEX(設定!$D$6:$D$21,MATCH($G1689,設定!$B$6:$B$21,0))),""))</f>
        <v/>
      </c>
      <c r="I1689" s="83">
        <f>IF($G1689="","",IFERROR(IF(INDEX(設定!$E$6:$E$21,MATCH($G1689,設定!$B$6:$B$21,0))=0,"",INDEX(設定!$E$6:$E$21,MATCH($G1689,設定!$B$6:$B$21,0))),""))</f>
        <v/>
      </c>
      <c r="J1689" s="83">
        <f>IFERROR(INDEX(打卡匯入!$C$3:$C$2002,MATCH($C1689&amp;"|"&amp;DAY($A1689),打卡匯入!$E$3:$E$2002,0)),"")</f>
        <v/>
      </c>
      <c r="K1689" s="83">
        <f>IFERROR(INDEX(打卡匯入!$D$3:$D$2002,MATCH($C1689&amp;"|"&amp;DAY($A1689),打卡匯入!$E$3:$E$2002,0)),"")</f>
        <v/>
      </c>
      <c r="L1689" s="84">
        <f>IF(OR($J1689="",$K1689=""),"",IFERROR(INDEX(設定!$F$6:$F$21,MATCH($G1689,設定!$B$6:$B$21,0)),0))</f>
        <v/>
      </c>
      <c r="M1689" s="85">
        <f>IF(OR($J1689="",$K1689=""),"",ROUND(($K1689-$J1689)*24-$L1689/60,2))</f>
        <v/>
      </c>
      <c r="N1689" s="16">
        <f>IF($C1689="","",IF(AND(COUNTIF(設定!$B$15:$B$21,$G1689)&gt;0,$J1689&lt;&gt;""),"假日出勤",IF(AND(COUNTIF(設定!$B$6:$B$14,$G1689)&gt;0,$J1689=""),"未打卡",IF($J1689="","",IF($O1689&gt;0,"遲到",IF($P1689&gt;0,"早退","正常"))))))</f>
        <v/>
      </c>
      <c r="O1689" s="84">
        <f>IF(OR($C1689="",$H1689="",$J1689=""),0,IF(ROUND(($J1689-$H1689)*1440,0)&gt;設定!$C$46,ROUND(($J1689-$H1689)*1440,0),0))</f>
        <v/>
      </c>
      <c r="P1689" s="84">
        <f>IF(OR($C1689="",$I1689="",$K1689=""),0,IF(ROUND(($I1689-$K1689)*1440,0)&gt;設定!$C$46,ROUND(($I1689-$K1689)*1440,0),0))</f>
        <v/>
      </c>
      <c r="Q1689" s="85">
        <f>IF($M1689="",0,IF(($M1689-IFERROR(INDEX(設定!$G$6:$G$21,MATCH($G1689,設定!$B$6:$B$21,0)),0))*60&gt;=設定!$C$44,ROUND(FLOOR(($M1689-IFERROR(INDEX(設定!$G$6:$G$21,MATCH($G1689,設定!$B$6:$B$21,0)),0))*60,設定!$C$45)/60,2),0))</f>
        <v/>
      </c>
      <c r="R1689" s="16">
        <f>IF(OR($C1689="",$Q1689=0),"",IF($G1689="國","國定假日",IF($B1689="日","例假",IF($B1689="六","休息日","平日"))))</f>
        <v/>
      </c>
      <c r="S1689" s="19" t="n"/>
    </row>
    <row r="1690">
      <c r="A1690" s="82">
        <f>IF(OR(助理班表!$A59="",14&gt;DAY(EOMONTH(DATE(設定!$C$2,設定!$D$2,1),0))),"",DATE(設定!$C$2,設定!$D$2,14))</f>
        <v/>
      </c>
      <c r="B1690" s="16">
        <f>IF($A1690="","",INDEX(設定!$O$6:$O$12,WEEKDAY($A1690,1)))</f>
        <v/>
      </c>
      <c r="C1690" s="16">
        <f>IF($A1690="","",助理班表!$A59)</f>
        <v/>
      </c>
      <c r="D1690" s="16">
        <f>IF($C1690="","",助理班表!$B59)</f>
        <v/>
      </c>
      <c r="E1690" s="16">
        <f>IF($C1690="","",助理班表!$D59)</f>
        <v/>
      </c>
      <c r="F1690" s="16">
        <f>IF($C1690="","",助理班表!$C59)</f>
        <v/>
      </c>
      <c r="G1690" s="16">
        <f>IF($C1690="","",助理班表!R59)</f>
        <v/>
      </c>
      <c r="H1690" s="83">
        <f>IF($G1690="","",IFERROR(IF(INDEX(設定!$D$6:$D$21,MATCH($G1690,設定!$B$6:$B$21,0))=0,"",INDEX(設定!$D$6:$D$21,MATCH($G1690,設定!$B$6:$B$21,0))),""))</f>
        <v/>
      </c>
      <c r="I1690" s="83">
        <f>IF($G1690="","",IFERROR(IF(INDEX(設定!$E$6:$E$21,MATCH($G1690,設定!$B$6:$B$21,0))=0,"",INDEX(設定!$E$6:$E$21,MATCH($G1690,設定!$B$6:$B$21,0))),""))</f>
        <v/>
      </c>
      <c r="J1690" s="83">
        <f>IFERROR(INDEX(打卡匯入!$C$3:$C$2002,MATCH($C1690&amp;"|"&amp;DAY($A1690),打卡匯入!$E$3:$E$2002,0)),"")</f>
        <v/>
      </c>
      <c r="K1690" s="83">
        <f>IFERROR(INDEX(打卡匯入!$D$3:$D$2002,MATCH($C1690&amp;"|"&amp;DAY($A1690),打卡匯入!$E$3:$E$2002,0)),"")</f>
        <v/>
      </c>
      <c r="L1690" s="84">
        <f>IF(OR($J1690="",$K1690=""),"",IFERROR(INDEX(設定!$F$6:$F$21,MATCH($G1690,設定!$B$6:$B$21,0)),0))</f>
        <v/>
      </c>
      <c r="M1690" s="85">
        <f>IF(OR($J1690="",$K1690=""),"",ROUND(($K1690-$J1690)*24-$L1690/60,2))</f>
        <v/>
      </c>
      <c r="N1690" s="16">
        <f>IF($C1690="","",IF(AND(COUNTIF(設定!$B$15:$B$21,$G1690)&gt;0,$J1690&lt;&gt;""),"假日出勤",IF(AND(COUNTIF(設定!$B$6:$B$14,$G1690)&gt;0,$J1690=""),"未打卡",IF($J1690="","",IF($O1690&gt;0,"遲到",IF($P1690&gt;0,"早退","正常"))))))</f>
        <v/>
      </c>
      <c r="O1690" s="84">
        <f>IF(OR($C1690="",$H1690="",$J1690=""),0,IF(ROUND(($J1690-$H1690)*1440,0)&gt;設定!$C$46,ROUND(($J1690-$H1690)*1440,0),0))</f>
        <v/>
      </c>
      <c r="P1690" s="84">
        <f>IF(OR($C1690="",$I1690="",$K1690=""),0,IF(ROUND(($I1690-$K1690)*1440,0)&gt;設定!$C$46,ROUND(($I1690-$K1690)*1440,0),0))</f>
        <v/>
      </c>
      <c r="Q1690" s="85">
        <f>IF($M1690="",0,IF(($M1690-IFERROR(INDEX(設定!$G$6:$G$21,MATCH($G1690,設定!$B$6:$B$21,0)),0))*60&gt;=設定!$C$44,ROUND(FLOOR(($M1690-IFERROR(INDEX(設定!$G$6:$G$21,MATCH($G1690,設定!$B$6:$B$21,0)),0))*60,設定!$C$45)/60,2),0))</f>
        <v/>
      </c>
      <c r="R1690" s="16">
        <f>IF(OR($C1690="",$Q1690=0),"",IF($G1690="國","國定假日",IF($B1690="日","例假",IF($B1690="六","休息日","平日"))))</f>
        <v/>
      </c>
      <c r="S1690" s="19" t="n"/>
    </row>
    <row r="1691">
      <c r="A1691" s="82">
        <f>IF(OR(助理班表!$A59="",15&gt;DAY(EOMONTH(DATE(設定!$C$2,設定!$D$2,1),0))),"",DATE(設定!$C$2,設定!$D$2,15))</f>
        <v/>
      </c>
      <c r="B1691" s="16">
        <f>IF($A1691="","",INDEX(設定!$O$6:$O$12,WEEKDAY($A1691,1)))</f>
        <v/>
      </c>
      <c r="C1691" s="16">
        <f>IF($A1691="","",助理班表!$A59)</f>
        <v/>
      </c>
      <c r="D1691" s="16">
        <f>IF($C1691="","",助理班表!$B59)</f>
        <v/>
      </c>
      <c r="E1691" s="16">
        <f>IF($C1691="","",助理班表!$D59)</f>
        <v/>
      </c>
      <c r="F1691" s="16">
        <f>IF($C1691="","",助理班表!$C59)</f>
        <v/>
      </c>
      <c r="G1691" s="16">
        <f>IF($C1691="","",助理班表!S59)</f>
        <v/>
      </c>
      <c r="H1691" s="83">
        <f>IF($G1691="","",IFERROR(IF(INDEX(設定!$D$6:$D$21,MATCH($G1691,設定!$B$6:$B$21,0))=0,"",INDEX(設定!$D$6:$D$21,MATCH($G1691,設定!$B$6:$B$21,0))),""))</f>
        <v/>
      </c>
      <c r="I1691" s="83">
        <f>IF($G1691="","",IFERROR(IF(INDEX(設定!$E$6:$E$21,MATCH($G1691,設定!$B$6:$B$21,0))=0,"",INDEX(設定!$E$6:$E$21,MATCH($G1691,設定!$B$6:$B$21,0))),""))</f>
        <v/>
      </c>
      <c r="J1691" s="83">
        <f>IFERROR(INDEX(打卡匯入!$C$3:$C$2002,MATCH($C1691&amp;"|"&amp;DAY($A1691),打卡匯入!$E$3:$E$2002,0)),"")</f>
        <v/>
      </c>
      <c r="K1691" s="83">
        <f>IFERROR(INDEX(打卡匯入!$D$3:$D$2002,MATCH($C1691&amp;"|"&amp;DAY($A1691),打卡匯入!$E$3:$E$2002,0)),"")</f>
        <v/>
      </c>
      <c r="L1691" s="84">
        <f>IF(OR($J1691="",$K1691=""),"",IFERROR(INDEX(設定!$F$6:$F$21,MATCH($G1691,設定!$B$6:$B$21,0)),0))</f>
        <v/>
      </c>
      <c r="M1691" s="85">
        <f>IF(OR($J1691="",$K1691=""),"",ROUND(($K1691-$J1691)*24-$L1691/60,2))</f>
        <v/>
      </c>
      <c r="N1691" s="16">
        <f>IF($C1691="","",IF(AND(COUNTIF(設定!$B$15:$B$21,$G1691)&gt;0,$J1691&lt;&gt;""),"假日出勤",IF(AND(COUNTIF(設定!$B$6:$B$14,$G1691)&gt;0,$J1691=""),"未打卡",IF($J1691="","",IF($O1691&gt;0,"遲到",IF($P1691&gt;0,"早退","正常"))))))</f>
        <v/>
      </c>
      <c r="O1691" s="84">
        <f>IF(OR($C1691="",$H1691="",$J1691=""),0,IF(ROUND(($J1691-$H1691)*1440,0)&gt;設定!$C$46,ROUND(($J1691-$H1691)*1440,0),0))</f>
        <v/>
      </c>
      <c r="P1691" s="84">
        <f>IF(OR($C1691="",$I1691="",$K1691=""),0,IF(ROUND(($I1691-$K1691)*1440,0)&gt;設定!$C$46,ROUND(($I1691-$K1691)*1440,0),0))</f>
        <v/>
      </c>
      <c r="Q1691" s="85">
        <f>IF($M1691="",0,IF(($M1691-IFERROR(INDEX(設定!$G$6:$G$21,MATCH($G1691,設定!$B$6:$B$21,0)),0))*60&gt;=設定!$C$44,ROUND(FLOOR(($M1691-IFERROR(INDEX(設定!$G$6:$G$21,MATCH($G1691,設定!$B$6:$B$21,0)),0))*60,設定!$C$45)/60,2),0))</f>
        <v/>
      </c>
      <c r="R1691" s="16">
        <f>IF(OR($C1691="",$Q1691=0),"",IF($G1691="國","國定假日",IF($B1691="日","例假",IF($B1691="六","休息日","平日"))))</f>
        <v/>
      </c>
      <c r="S1691" s="19" t="n"/>
    </row>
    <row r="1692">
      <c r="A1692" s="82">
        <f>IF(OR(助理班表!$A59="",16&gt;DAY(EOMONTH(DATE(設定!$C$2,設定!$D$2,1),0))),"",DATE(設定!$C$2,設定!$D$2,16))</f>
        <v/>
      </c>
      <c r="B1692" s="16">
        <f>IF($A1692="","",INDEX(設定!$O$6:$O$12,WEEKDAY($A1692,1)))</f>
        <v/>
      </c>
      <c r="C1692" s="16">
        <f>IF($A1692="","",助理班表!$A59)</f>
        <v/>
      </c>
      <c r="D1692" s="16">
        <f>IF($C1692="","",助理班表!$B59)</f>
        <v/>
      </c>
      <c r="E1692" s="16">
        <f>IF($C1692="","",助理班表!$D59)</f>
        <v/>
      </c>
      <c r="F1692" s="16">
        <f>IF($C1692="","",助理班表!$C59)</f>
        <v/>
      </c>
      <c r="G1692" s="16">
        <f>IF($C1692="","",助理班表!T59)</f>
        <v/>
      </c>
      <c r="H1692" s="83">
        <f>IF($G1692="","",IFERROR(IF(INDEX(設定!$D$6:$D$21,MATCH($G1692,設定!$B$6:$B$21,0))=0,"",INDEX(設定!$D$6:$D$21,MATCH($G1692,設定!$B$6:$B$21,0))),""))</f>
        <v/>
      </c>
      <c r="I1692" s="83">
        <f>IF($G1692="","",IFERROR(IF(INDEX(設定!$E$6:$E$21,MATCH($G1692,設定!$B$6:$B$21,0))=0,"",INDEX(設定!$E$6:$E$21,MATCH($G1692,設定!$B$6:$B$21,0))),""))</f>
        <v/>
      </c>
      <c r="J1692" s="83">
        <f>IFERROR(INDEX(打卡匯入!$C$3:$C$2002,MATCH($C1692&amp;"|"&amp;DAY($A1692),打卡匯入!$E$3:$E$2002,0)),"")</f>
        <v/>
      </c>
      <c r="K1692" s="83">
        <f>IFERROR(INDEX(打卡匯入!$D$3:$D$2002,MATCH($C1692&amp;"|"&amp;DAY($A1692),打卡匯入!$E$3:$E$2002,0)),"")</f>
        <v/>
      </c>
      <c r="L1692" s="84">
        <f>IF(OR($J1692="",$K1692=""),"",IFERROR(INDEX(設定!$F$6:$F$21,MATCH($G1692,設定!$B$6:$B$21,0)),0))</f>
        <v/>
      </c>
      <c r="M1692" s="85">
        <f>IF(OR($J1692="",$K1692=""),"",ROUND(($K1692-$J1692)*24-$L1692/60,2))</f>
        <v/>
      </c>
      <c r="N1692" s="16">
        <f>IF($C1692="","",IF(AND(COUNTIF(設定!$B$15:$B$21,$G1692)&gt;0,$J1692&lt;&gt;""),"假日出勤",IF(AND(COUNTIF(設定!$B$6:$B$14,$G1692)&gt;0,$J1692=""),"未打卡",IF($J1692="","",IF($O1692&gt;0,"遲到",IF($P1692&gt;0,"早退","正常"))))))</f>
        <v/>
      </c>
      <c r="O1692" s="84">
        <f>IF(OR($C1692="",$H1692="",$J1692=""),0,IF(ROUND(($J1692-$H1692)*1440,0)&gt;設定!$C$46,ROUND(($J1692-$H1692)*1440,0),0))</f>
        <v/>
      </c>
      <c r="P1692" s="84">
        <f>IF(OR($C1692="",$I1692="",$K1692=""),0,IF(ROUND(($I1692-$K1692)*1440,0)&gt;設定!$C$46,ROUND(($I1692-$K1692)*1440,0),0))</f>
        <v/>
      </c>
      <c r="Q1692" s="85">
        <f>IF($M1692="",0,IF(($M1692-IFERROR(INDEX(設定!$G$6:$G$21,MATCH($G1692,設定!$B$6:$B$21,0)),0))*60&gt;=設定!$C$44,ROUND(FLOOR(($M1692-IFERROR(INDEX(設定!$G$6:$G$21,MATCH($G1692,設定!$B$6:$B$21,0)),0))*60,設定!$C$45)/60,2),0))</f>
        <v/>
      </c>
      <c r="R1692" s="16">
        <f>IF(OR($C1692="",$Q1692=0),"",IF($G1692="國","國定假日",IF($B1692="日","例假",IF($B1692="六","休息日","平日"))))</f>
        <v/>
      </c>
      <c r="S1692" s="19" t="n"/>
    </row>
    <row r="1693">
      <c r="A1693" s="82">
        <f>IF(OR(助理班表!$A59="",17&gt;DAY(EOMONTH(DATE(設定!$C$2,設定!$D$2,1),0))),"",DATE(設定!$C$2,設定!$D$2,17))</f>
        <v/>
      </c>
      <c r="B1693" s="16">
        <f>IF($A1693="","",INDEX(設定!$O$6:$O$12,WEEKDAY($A1693,1)))</f>
        <v/>
      </c>
      <c r="C1693" s="16">
        <f>IF($A1693="","",助理班表!$A59)</f>
        <v/>
      </c>
      <c r="D1693" s="16">
        <f>IF($C1693="","",助理班表!$B59)</f>
        <v/>
      </c>
      <c r="E1693" s="16">
        <f>IF($C1693="","",助理班表!$D59)</f>
        <v/>
      </c>
      <c r="F1693" s="16">
        <f>IF($C1693="","",助理班表!$C59)</f>
        <v/>
      </c>
      <c r="G1693" s="16">
        <f>IF($C1693="","",助理班表!U59)</f>
        <v/>
      </c>
      <c r="H1693" s="83">
        <f>IF($G1693="","",IFERROR(IF(INDEX(設定!$D$6:$D$21,MATCH($G1693,設定!$B$6:$B$21,0))=0,"",INDEX(設定!$D$6:$D$21,MATCH($G1693,設定!$B$6:$B$21,0))),""))</f>
        <v/>
      </c>
      <c r="I1693" s="83">
        <f>IF($G1693="","",IFERROR(IF(INDEX(設定!$E$6:$E$21,MATCH($G1693,設定!$B$6:$B$21,0))=0,"",INDEX(設定!$E$6:$E$21,MATCH($G1693,設定!$B$6:$B$21,0))),""))</f>
        <v/>
      </c>
      <c r="J1693" s="83">
        <f>IFERROR(INDEX(打卡匯入!$C$3:$C$2002,MATCH($C1693&amp;"|"&amp;DAY($A1693),打卡匯入!$E$3:$E$2002,0)),"")</f>
        <v/>
      </c>
      <c r="K1693" s="83">
        <f>IFERROR(INDEX(打卡匯入!$D$3:$D$2002,MATCH($C1693&amp;"|"&amp;DAY($A1693),打卡匯入!$E$3:$E$2002,0)),"")</f>
        <v/>
      </c>
      <c r="L1693" s="84">
        <f>IF(OR($J1693="",$K1693=""),"",IFERROR(INDEX(設定!$F$6:$F$21,MATCH($G1693,設定!$B$6:$B$21,0)),0))</f>
        <v/>
      </c>
      <c r="M1693" s="85">
        <f>IF(OR($J1693="",$K1693=""),"",ROUND(($K1693-$J1693)*24-$L1693/60,2))</f>
        <v/>
      </c>
      <c r="N1693" s="16">
        <f>IF($C1693="","",IF(AND(COUNTIF(設定!$B$15:$B$21,$G1693)&gt;0,$J1693&lt;&gt;""),"假日出勤",IF(AND(COUNTIF(設定!$B$6:$B$14,$G1693)&gt;0,$J1693=""),"未打卡",IF($J1693="","",IF($O1693&gt;0,"遲到",IF($P1693&gt;0,"早退","正常"))))))</f>
        <v/>
      </c>
      <c r="O1693" s="84">
        <f>IF(OR($C1693="",$H1693="",$J1693=""),0,IF(ROUND(($J1693-$H1693)*1440,0)&gt;設定!$C$46,ROUND(($J1693-$H1693)*1440,0),0))</f>
        <v/>
      </c>
      <c r="P1693" s="84">
        <f>IF(OR($C1693="",$I1693="",$K1693=""),0,IF(ROUND(($I1693-$K1693)*1440,0)&gt;設定!$C$46,ROUND(($I1693-$K1693)*1440,0),0))</f>
        <v/>
      </c>
      <c r="Q1693" s="85">
        <f>IF($M1693="",0,IF(($M1693-IFERROR(INDEX(設定!$G$6:$G$21,MATCH($G1693,設定!$B$6:$B$21,0)),0))*60&gt;=設定!$C$44,ROUND(FLOOR(($M1693-IFERROR(INDEX(設定!$G$6:$G$21,MATCH($G1693,設定!$B$6:$B$21,0)),0))*60,設定!$C$45)/60,2),0))</f>
        <v/>
      </c>
      <c r="R1693" s="16">
        <f>IF(OR($C1693="",$Q1693=0),"",IF($G1693="國","國定假日",IF($B1693="日","例假",IF($B1693="六","休息日","平日"))))</f>
        <v/>
      </c>
      <c r="S1693" s="19" t="n"/>
    </row>
    <row r="1694">
      <c r="A1694" s="82">
        <f>IF(OR(助理班表!$A59="",18&gt;DAY(EOMONTH(DATE(設定!$C$2,設定!$D$2,1),0))),"",DATE(設定!$C$2,設定!$D$2,18))</f>
        <v/>
      </c>
      <c r="B1694" s="16">
        <f>IF($A1694="","",INDEX(設定!$O$6:$O$12,WEEKDAY($A1694,1)))</f>
        <v/>
      </c>
      <c r="C1694" s="16">
        <f>IF($A1694="","",助理班表!$A59)</f>
        <v/>
      </c>
      <c r="D1694" s="16">
        <f>IF($C1694="","",助理班表!$B59)</f>
        <v/>
      </c>
      <c r="E1694" s="16">
        <f>IF($C1694="","",助理班表!$D59)</f>
        <v/>
      </c>
      <c r="F1694" s="16">
        <f>IF($C1694="","",助理班表!$C59)</f>
        <v/>
      </c>
      <c r="G1694" s="16">
        <f>IF($C1694="","",助理班表!V59)</f>
        <v/>
      </c>
      <c r="H1694" s="83">
        <f>IF($G1694="","",IFERROR(IF(INDEX(設定!$D$6:$D$21,MATCH($G1694,設定!$B$6:$B$21,0))=0,"",INDEX(設定!$D$6:$D$21,MATCH($G1694,設定!$B$6:$B$21,0))),""))</f>
        <v/>
      </c>
      <c r="I1694" s="83">
        <f>IF($G1694="","",IFERROR(IF(INDEX(設定!$E$6:$E$21,MATCH($G1694,設定!$B$6:$B$21,0))=0,"",INDEX(設定!$E$6:$E$21,MATCH($G1694,設定!$B$6:$B$21,0))),""))</f>
        <v/>
      </c>
      <c r="J1694" s="83">
        <f>IFERROR(INDEX(打卡匯入!$C$3:$C$2002,MATCH($C1694&amp;"|"&amp;DAY($A1694),打卡匯入!$E$3:$E$2002,0)),"")</f>
        <v/>
      </c>
      <c r="K1694" s="83">
        <f>IFERROR(INDEX(打卡匯入!$D$3:$D$2002,MATCH($C1694&amp;"|"&amp;DAY($A1694),打卡匯入!$E$3:$E$2002,0)),"")</f>
        <v/>
      </c>
      <c r="L1694" s="84">
        <f>IF(OR($J1694="",$K1694=""),"",IFERROR(INDEX(設定!$F$6:$F$21,MATCH($G1694,設定!$B$6:$B$21,0)),0))</f>
        <v/>
      </c>
      <c r="M1694" s="85">
        <f>IF(OR($J1694="",$K1694=""),"",ROUND(($K1694-$J1694)*24-$L1694/60,2))</f>
        <v/>
      </c>
      <c r="N1694" s="16">
        <f>IF($C1694="","",IF(AND(COUNTIF(設定!$B$15:$B$21,$G1694)&gt;0,$J1694&lt;&gt;""),"假日出勤",IF(AND(COUNTIF(設定!$B$6:$B$14,$G1694)&gt;0,$J1694=""),"未打卡",IF($J1694="","",IF($O1694&gt;0,"遲到",IF($P1694&gt;0,"早退","正常"))))))</f>
        <v/>
      </c>
      <c r="O1694" s="84">
        <f>IF(OR($C1694="",$H1694="",$J1694=""),0,IF(ROUND(($J1694-$H1694)*1440,0)&gt;設定!$C$46,ROUND(($J1694-$H1694)*1440,0),0))</f>
        <v/>
      </c>
      <c r="P1694" s="84">
        <f>IF(OR($C1694="",$I1694="",$K1694=""),0,IF(ROUND(($I1694-$K1694)*1440,0)&gt;設定!$C$46,ROUND(($I1694-$K1694)*1440,0),0))</f>
        <v/>
      </c>
      <c r="Q1694" s="85">
        <f>IF($M1694="",0,IF(($M1694-IFERROR(INDEX(設定!$G$6:$G$21,MATCH($G1694,設定!$B$6:$B$21,0)),0))*60&gt;=設定!$C$44,ROUND(FLOOR(($M1694-IFERROR(INDEX(設定!$G$6:$G$21,MATCH($G1694,設定!$B$6:$B$21,0)),0))*60,設定!$C$45)/60,2),0))</f>
        <v/>
      </c>
      <c r="R1694" s="16">
        <f>IF(OR($C1694="",$Q1694=0),"",IF($G1694="國","國定假日",IF($B1694="日","例假",IF($B1694="六","休息日","平日"))))</f>
        <v/>
      </c>
      <c r="S1694" s="19" t="n"/>
    </row>
    <row r="1695">
      <c r="A1695" s="82">
        <f>IF(OR(助理班表!$A59="",19&gt;DAY(EOMONTH(DATE(設定!$C$2,設定!$D$2,1),0))),"",DATE(設定!$C$2,設定!$D$2,19))</f>
        <v/>
      </c>
      <c r="B1695" s="16">
        <f>IF($A1695="","",INDEX(設定!$O$6:$O$12,WEEKDAY($A1695,1)))</f>
        <v/>
      </c>
      <c r="C1695" s="16">
        <f>IF($A1695="","",助理班表!$A59)</f>
        <v/>
      </c>
      <c r="D1695" s="16">
        <f>IF($C1695="","",助理班表!$B59)</f>
        <v/>
      </c>
      <c r="E1695" s="16">
        <f>IF($C1695="","",助理班表!$D59)</f>
        <v/>
      </c>
      <c r="F1695" s="16">
        <f>IF($C1695="","",助理班表!$C59)</f>
        <v/>
      </c>
      <c r="G1695" s="16">
        <f>IF($C1695="","",助理班表!W59)</f>
        <v/>
      </c>
      <c r="H1695" s="83">
        <f>IF($G1695="","",IFERROR(IF(INDEX(設定!$D$6:$D$21,MATCH($G1695,設定!$B$6:$B$21,0))=0,"",INDEX(設定!$D$6:$D$21,MATCH($G1695,設定!$B$6:$B$21,0))),""))</f>
        <v/>
      </c>
      <c r="I1695" s="83">
        <f>IF($G1695="","",IFERROR(IF(INDEX(設定!$E$6:$E$21,MATCH($G1695,設定!$B$6:$B$21,0))=0,"",INDEX(設定!$E$6:$E$21,MATCH($G1695,設定!$B$6:$B$21,0))),""))</f>
        <v/>
      </c>
      <c r="J1695" s="83">
        <f>IFERROR(INDEX(打卡匯入!$C$3:$C$2002,MATCH($C1695&amp;"|"&amp;DAY($A1695),打卡匯入!$E$3:$E$2002,0)),"")</f>
        <v/>
      </c>
      <c r="K1695" s="83">
        <f>IFERROR(INDEX(打卡匯入!$D$3:$D$2002,MATCH($C1695&amp;"|"&amp;DAY($A1695),打卡匯入!$E$3:$E$2002,0)),"")</f>
        <v/>
      </c>
      <c r="L1695" s="84">
        <f>IF(OR($J1695="",$K1695=""),"",IFERROR(INDEX(設定!$F$6:$F$21,MATCH($G1695,設定!$B$6:$B$21,0)),0))</f>
        <v/>
      </c>
      <c r="M1695" s="85">
        <f>IF(OR($J1695="",$K1695=""),"",ROUND(($K1695-$J1695)*24-$L1695/60,2))</f>
        <v/>
      </c>
      <c r="N1695" s="16">
        <f>IF($C1695="","",IF(AND(COUNTIF(設定!$B$15:$B$21,$G1695)&gt;0,$J1695&lt;&gt;""),"假日出勤",IF(AND(COUNTIF(設定!$B$6:$B$14,$G1695)&gt;0,$J1695=""),"未打卡",IF($J1695="","",IF($O1695&gt;0,"遲到",IF($P1695&gt;0,"早退","正常"))))))</f>
        <v/>
      </c>
      <c r="O1695" s="84">
        <f>IF(OR($C1695="",$H1695="",$J1695=""),0,IF(ROUND(($J1695-$H1695)*1440,0)&gt;設定!$C$46,ROUND(($J1695-$H1695)*1440,0),0))</f>
        <v/>
      </c>
      <c r="P1695" s="84">
        <f>IF(OR($C1695="",$I1695="",$K1695=""),0,IF(ROUND(($I1695-$K1695)*1440,0)&gt;設定!$C$46,ROUND(($I1695-$K1695)*1440,0),0))</f>
        <v/>
      </c>
      <c r="Q1695" s="85">
        <f>IF($M1695="",0,IF(($M1695-IFERROR(INDEX(設定!$G$6:$G$21,MATCH($G1695,設定!$B$6:$B$21,0)),0))*60&gt;=設定!$C$44,ROUND(FLOOR(($M1695-IFERROR(INDEX(設定!$G$6:$G$21,MATCH($G1695,設定!$B$6:$B$21,0)),0))*60,設定!$C$45)/60,2),0))</f>
        <v/>
      </c>
      <c r="R1695" s="16">
        <f>IF(OR($C1695="",$Q1695=0),"",IF($G1695="國","國定假日",IF($B1695="日","例假",IF($B1695="六","休息日","平日"))))</f>
        <v/>
      </c>
      <c r="S1695" s="19" t="n"/>
    </row>
    <row r="1696">
      <c r="A1696" s="82">
        <f>IF(OR(助理班表!$A59="",20&gt;DAY(EOMONTH(DATE(設定!$C$2,設定!$D$2,1),0))),"",DATE(設定!$C$2,設定!$D$2,20))</f>
        <v/>
      </c>
      <c r="B1696" s="16">
        <f>IF($A1696="","",INDEX(設定!$O$6:$O$12,WEEKDAY($A1696,1)))</f>
        <v/>
      </c>
      <c r="C1696" s="16">
        <f>IF($A1696="","",助理班表!$A59)</f>
        <v/>
      </c>
      <c r="D1696" s="16">
        <f>IF($C1696="","",助理班表!$B59)</f>
        <v/>
      </c>
      <c r="E1696" s="16">
        <f>IF($C1696="","",助理班表!$D59)</f>
        <v/>
      </c>
      <c r="F1696" s="16">
        <f>IF($C1696="","",助理班表!$C59)</f>
        <v/>
      </c>
      <c r="G1696" s="16">
        <f>IF($C1696="","",助理班表!X59)</f>
        <v/>
      </c>
      <c r="H1696" s="83">
        <f>IF($G1696="","",IFERROR(IF(INDEX(設定!$D$6:$D$21,MATCH($G1696,設定!$B$6:$B$21,0))=0,"",INDEX(設定!$D$6:$D$21,MATCH($G1696,設定!$B$6:$B$21,0))),""))</f>
        <v/>
      </c>
      <c r="I1696" s="83">
        <f>IF($G1696="","",IFERROR(IF(INDEX(設定!$E$6:$E$21,MATCH($G1696,設定!$B$6:$B$21,0))=0,"",INDEX(設定!$E$6:$E$21,MATCH($G1696,設定!$B$6:$B$21,0))),""))</f>
        <v/>
      </c>
      <c r="J1696" s="83">
        <f>IFERROR(INDEX(打卡匯入!$C$3:$C$2002,MATCH($C1696&amp;"|"&amp;DAY($A1696),打卡匯入!$E$3:$E$2002,0)),"")</f>
        <v/>
      </c>
      <c r="K1696" s="83">
        <f>IFERROR(INDEX(打卡匯入!$D$3:$D$2002,MATCH($C1696&amp;"|"&amp;DAY($A1696),打卡匯入!$E$3:$E$2002,0)),"")</f>
        <v/>
      </c>
      <c r="L1696" s="84">
        <f>IF(OR($J1696="",$K1696=""),"",IFERROR(INDEX(設定!$F$6:$F$21,MATCH($G1696,設定!$B$6:$B$21,0)),0))</f>
        <v/>
      </c>
      <c r="M1696" s="85">
        <f>IF(OR($J1696="",$K1696=""),"",ROUND(($K1696-$J1696)*24-$L1696/60,2))</f>
        <v/>
      </c>
      <c r="N1696" s="16">
        <f>IF($C1696="","",IF(AND(COUNTIF(設定!$B$15:$B$21,$G1696)&gt;0,$J1696&lt;&gt;""),"假日出勤",IF(AND(COUNTIF(設定!$B$6:$B$14,$G1696)&gt;0,$J1696=""),"未打卡",IF($J1696="","",IF($O1696&gt;0,"遲到",IF($P1696&gt;0,"早退","正常"))))))</f>
        <v/>
      </c>
      <c r="O1696" s="84">
        <f>IF(OR($C1696="",$H1696="",$J1696=""),0,IF(ROUND(($J1696-$H1696)*1440,0)&gt;設定!$C$46,ROUND(($J1696-$H1696)*1440,0),0))</f>
        <v/>
      </c>
      <c r="P1696" s="84">
        <f>IF(OR($C1696="",$I1696="",$K1696=""),0,IF(ROUND(($I1696-$K1696)*1440,0)&gt;設定!$C$46,ROUND(($I1696-$K1696)*1440,0),0))</f>
        <v/>
      </c>
      <c r="Q1696" s="85">
        <f>IF($M1696="",0,IF(($M1696-IFERROR(INDEX(設定!$G$6:$G$21,MATCH($G1696,設定!$B$6:$B$21,0)),0))*60&gt;=設定!$C$44,ROUND(FLOOR(($M1696-IFERROR(INDEX(設定!$G$6:$G$21,MATCH($G1696,設定!$B$6:$B$21,0)),0))*60,設定!$C$45)/60,2),0))</f>
        <v/>
      </c>
      <c r="R1696" s="16">
        <f>IF(OR($C1696="",$Q1696=0),"",IF($G1696="國","國定假日",IF($B1696="日","例假",IF($B1696="六","休息日","平日"))))</f>
        <v/>
      </c>
      <c r="S1696" s="19" t="n"/>
    </row>
    <row r="1697">
      <c r="A1697" s="82">
        <f>IF(OR(助理班表!$A59="",21&gt;DAY(EOMONTH(DATE(設定!$C$2,設定!$D$2,1),0))),"",DATE(設定!$C$2,設定!$D$2,21))</f>
        <v/>
      </c>
      <c r="B1697" s="16">
        <f>IF($A1697="","",INDEX(設定!$O$6:$O$12,WEEKDAY($A1697,1)))</f>
        <v/>
      </c>
      <c r="C1697" s="16">
        <f>IF($A1697="","",助理班表!$A59)</f>
        <v/>
      </c>
      <c r="D1697" s="16">
        <f>IF($C1697="","",助理班表!$B59)</f>
        <v/>
      </c>
      <c r="E1697" s="16">
        <f>IF($C1697="","",助理班表!$D59)</f>
        <v/>
      </c>
      <c r="F1697" s="16">
        <f>IF($C1697="","",助理班表!$C59)</f>
        <v/>
      </c>
      <c r="G1697" s="16">
        <f>IF($C1697="","",助理班表!Y59)</f>
        <v/>
      </c>
      <c r="H1697" s="83">
        <f>IF($G1697="","",IFERROR(IF(INDEX(設定!$D$6:$D$21,MATCH($G1697,設定!$B$6:$B$21,0))=0,"",INDEX(設定!$D$6:$D$21,MATCH($G1697,設定!$B$6:$B$21,0))),""))</f>
        <v/>
      </c>
      <c r="I1697" s="83">
        <f>IF($G1697="","",IFERROR(IF(INDEX(設定!$E$6:$E$21,MATCH($G1697,設定!$B$6:$B$21,0))=0,"",INDEX(設定!$E$6:$E$21,MATCH($G1697,設定!$B$6:$B$21,0))),""))</f>
        <v/>
      </c>
      <c r="J1697" s="83">
        <f>IFERROR(INDEX(打卡匯入!$C$3:$C$2002,MATCH($C1697&amp;"|"&amp;DAY($A1697),打卡匯入!$E$3:$E$2002,0)),"")</f>
        <v/>
      </c>
      <c r="K1697" s="83">
        <f>IFERROR(INDEX(打卡匯入!$D$3:$D$2002,MATCH($C1697&amp;"|"&amp;DAY($A1697),打卡匯入!$E$3:$E$2002,0)),"")</f>
        <v/>
      </c>
      <c r="L1697" s="84">
        <f>IF(OR($J1697="",$K1697=""),"",IFERROR(INDEX(設定!$F$6:$F$21,MATCH($G1697,設定!$B$6:$B$21,0)),0))</f>
        <v/>
      </c>
      <c r="M1697" s="85">
        <f>IF(OR($J1697="",$K1697=""),"",ROUND(($K1697-$J1697)*24-$L1697/60,2))</f>
        <v/>
      </c>
      <c r="N1697" s="16">
        <f>IF($C1697="","",IF(AND(COUNTIF(設定!$B$15:$B$21,$G1697)&gt;0,$J1697&lt;&gt;""),"假日出勤",IF(AND(COUNTIF(設定!$B$6:$B$14,$G1697)&gt;0,$J1697=""),"未打卡",IF($J1697="","",IF($O1697&gt;0,"遲到",IF($P1697&gt;0,"早退","正常"))))))</f>
        <v/>
      </c>
      <c r="O1697" s="84">
        <f>IF(OR($C1697="",$H1697="",$J1697=""),0,IF(ROUND(($J1697-$H1697)*1440,0)&gt;設定!$C$46,ROUND(($J1697-$H1697)*1440,0),0))</f>
        <v/>
      </c>
      <c r="P1697" s="84">
        <f>IF(OR($C1697="",$I1697="",$K1697=""),0,IF(ROUND(($I1697-$K1697)*1440,0)&gt;設定!$C$46,ROUND(($I1697-$K1697)*1440,0),0))</f>
        <v/>
      </c>
      <c r="Q1697" s="85">
        <f>IF($M1697="",0,IF(($M1697-IFERROR(INDEX(設定!$G$6:$G$21,MATCH($G1697,設定!$B$6:$B$21,0)),0))*60&gt;=設定!$C$44,ROUND(FLOOR(($M1697-IFERROR(INDEX(設定!$G$6:$G$21,MATCH($G1697,設定!$B$6:$B$21,0)),0))*60,設定!$C$45)/60,2),0))</f>
        <v/>
      </c>
      <c r="R1697" s="16">
        <f>IF(OR($C1697="",$Q1697=0),"",IF($G1697="國","國定假日",IF($B1697="日","例假",IF($B1697="六","休息日","平日"))))</f>
        <v/>
      </c>
      <c r="S1697" s="19" t="n"/>
    </row>
    <row r="1698">
      <c r="A1698" s="82">
        <f>IF(OR(助理班表!$A59="",22&gt;DAY(EOMONTH(DATE(設定!$C$2,設定!$D$2,1),0))),"",DATE(設定!$C$2,設定!$D$2,22))</f>
        <v/>
      </c>
      <c r="B1698" s="16">
        <f>IF($A1698="","",INDEX(設定!$O$6:$O$12,WEEKDAY($A1698,1)))</f>
        <v/>
      </c>
      <c r="C1698" s="16">
        <f>IF($A1698="","",助理班表!$A59)</f>
        <v/>
      </c>
      <c r="D1698" s="16">
        <f>IF($C1698="","",助理班表!$B59)</f>
        <v/>
      </c>
      <c r="E1698" s="16">
        <f>IF($C1698="","",助理班表!$D59)</f>
        <v/>
      </c>
      <c r="F1698" s="16">
        <f>IF($C1698="","",助理班表!$C59)</f>
        <v/>
      </c>
      <c r="G1698" s="16">
        <f>IF($C1698="","",助理班表!Z59)</f>
        <v/>
      </c>
      <c r="H1698" s="83">
        <f>IF($G1698="","",IFERROR(IF(INDEX(設定!$D$6:$D$21,MATCH($G1698,設定!$B$6:$B$21,0))=0,"",INDEX(設定!$D$6:$D$21,MATCH($G1698,設定!$B$6:$B$21,0))),""))</f>
        <v/>
      </c>
      <c r="I1698" s="83">
        <f>IF($G1698="","",IFERROR(IF(INDEX(設定!$E$6:$E$21,MATCH($G1698,設定!$B$6:$B$21,0))=0,"",INDEX(設定!$E$6:$E$21,MATCH($G1698,設定!$B$6:$B$21,0))),""))</f>
        <v/>
      </c>
      <c r="J1698" s="83">
        <f>IFERROR(INDEX(打卡匯入!$C$3:$C$2002,MATCH($C1698&amp;"|"&amp;DAY($A1698),打卡匯入!$E$3:$E$2002,0)),"")</f>
        <v/>
      </c>
      <c r="K1698" s="83">
        <f>IFERROR(INDEX(打卡匯入!$D$3:$D$2002,MATCH($C1698&amp;"|"&amp;DAY($A1698),打卡匯入!$E$3:$E$2002,0)),"")</f>
        <v/>
      </c>
      <c r="L1698" s="84">
        <f>IF(OR($J1698="",$K1698=""),"",IFERROR(INDEX(設定!$F$6:$F$21,MATCH($G1698,設定!$B$6:$B$21,0)),0))</f>
        <v/>
      </c>
      <c r="M1698" s="85">
        <f>IF(OR($J1698="",$K1698=""),"",ROUND(($K1698-$J1698)*24-$L1698/60,2))</f>
        <v/>
      </c>
      <c r="N1698" s="16">
        <f>IF($C1698="","",IF(AND(COUNTIF(設定!$B$15:$B$21,$G1698)&gt;0,$J1698&lt;&gt;""),"假日出勤",IF(AND(COUNTIF(設定!$B$6:$B$14,$G1698)&gt;0,$J1698=""),"未打卡",IF($J1698="","",IF($O1698&gt;0,"遲到",IF($P1698&gt;0,"早退","正常"))))))</f>
        <v/>
      </c>
      <c r="O1698" s="84">
        <f>IF(OR($C1698="",$H1698="",$J1698=""),0,IF(ROUND(($J1698-$H1698)*1440,0)&gt;設定!$C$46,ROUND(($J1698-$H1698)*1440,0),0))</f>
        <v/>
      </c>
      <c r="P1698" s="84">
        <f>IF(OR($C1698="",$I1698="",$K1698=""),0,IF(ROUND(($I1698-$K1698)*1440,0)&gt;設定!$C$46,ROUND(($I1698-$K1698)*1440,0),0))</f>
        <v/>
      </c>
      <c r="Q1698" s="85">
        <f>IF($M1698="",0,IF(($M1698-IFERROR(INDEX(設定!$G$6:$G$21,MATCH($G1698,設定!$B$6:$B$21,0)),0))*60&gt;=設定!$C$44,ROUND(FLOOR(($M1698-IFERROR(INDEX(設定!$G$6:$G$21,MATCH($G1698,設定!$B$6:$B$21,0)),0))*60,設定!$C$45)/60,2),0))</f>
        <v/>
      </c>
      <c r="R1698" s="16">
        <f>IF(OR($C1698="",$Q1698=0),"",IF($G1698="國","國定假日",IF($B1698="日","例假",IF($B1698="六","休息日","平日"))))</f>
        <v/>
      </c>
      <c r="S1698" s="19" t="n"/>
    </row>
    <row r="1699">
      <c r="A1699" s="82">
        <f>IF(OR(助理班表!$A59="",23&gt;DAY(EOMONTH(DATE(設定!$C$2,設定!$D$2,1),0))),"",DATE(設定!$C$2,設定!$D$2,23))</f>
        <v/>
      </c>
      <c r="B1699" s="16">
        <f>IF($A1699="","",INDEX(設定!$O$6:$O$12,WEEKDAY($A1699,1)))</f>
        <v/>
      </c>
      <c r="C1699" s="16">
        <f>IF($A1699="","",助理班表!$A59)</f>
        <v/>
      </c>
      <c r="D1699" s="16">
        <f>IF($C1699="","",助理班表!$B59)</f>
        <v/>
      </c>
      <c r="E1699" s="16">
        <f>IF($C1699="","",助理班表!$D59)</f>
        <v/>
      </c>
      <c r="F1699" s="16">
        <f>IF($C1699="","",助理班表!$C59)</f>
        <v/>
      </c>
      <c r="G1699" s="16">
        <f>IF($C1699="","",助理班表!AA59)</f>
        <v/>
      </c>
      <c r="H1699" s="83">
        <f>IF($G1699="","",IFERROR(IF(INDEX(設定!$D$6:$D$21,MATCH($G1699,設定!$B$6:$B$21,0))=0,"",INDEX(設定!$D$6:$D$21,MATCH($G1699,設定!$B$6:$B$21,0))),""))</f>
        <v/>
      </c>
      <c r="I1699" s="83">
        <f>IF($G1699="","",IFERROR(IF(INDEX(設定!$E$6:$E$21,MATCH($G1699,設定!$B$6:$B$21,0))=0,"",INDEX(設定!$E$6:$E$21,MATCH($G1699,設定!$B$6:$B$21,0))),""))</f>
        <v/>
      </c>
      <c r="J1699" s="83">
        <f>IFERROR(INDEX(打卡匯入!$C$3:$C$2002,MATCH($C1699&amp;"|"&amp;DAY($A1699),打卡匯入!$E$3:$E$2002,0)),"")</f>
        <v/>
      </c>
      <c r="K1699" s="83">
        <f>IFERROR(INDEX(打卡匯入!$D$3:$D$2002,MATCH($C1699&amp;"|"&amp;DAY($A1699),打卡匯入!$E$3:$E$2002,0)),"")</f>
        <v/>
      </c>
      <c r="L1699" s="84">
        <f>IF(OR($J1699="",$K1699=""),"",IFERROR(INDEX(設定!$F$6:$F$21,MATCH($G1699,設定!$B$6:$B$21,0)),0))</f>
        <v/>
      </c>
      <c r="M1699" s="85">
        <f>IF(OR($J1699="",$K1699=""),"",ROUND(($K1699-$J1699)*24-$L1699/60,2))</f>
        <v/>
      </c>
      <c r="N1699" s="16">
        <f>IF($C1699="","",IF(AND(COUNTIF(設定!$B$15:$B$21,$G1699)&gt;0,$J1699&lt;&gt;""),"假日出勤",IF(AND(COUNTIF(設定!$B$6:$B$14,$G1699)&gt;0,$J1699=""),"未打卡",IF($J1699="","",IF($O1699&gt;0,"遲到",IF($P1699&gt;0,"早退","正常"))))))</f>
        <v/>
      </c>
      <c r="O1699" s="84">
        <f>IF(OR($C1699="",$H1699="",$J1699=""),0,IF(ROUND(($J1699-$H1699)*1440,0)&gt;設定!$C$46,ROUND(($J1699-$H1699)*1440,0),0))</f>
        <v/>
      </c>
      <c r="P1699" s="84">
        <f>IF(OR($C1699="",$I1699="",$K1699=""),0,IF(ROUND(($I1699-$K1699)*1440,0)&gt;設定!$C$46,ROUND(($I1699-$K1699)*1440,0),0))</f>
        <v/>
      </c>
      <c r="Q1699" s="85">
        <f>IF($M1699="",0,IF(($M1699-IFERROR(INDEX(設定!$G$6:$G$21,MATCH($G1699,設定!$B$6:$B$21,0)),0))*60&gt;=設定!$C$44,ROUND(FLOOR(($M1699-IFERROR(INDEX(設定!$G$6:$G$21,MATCH($G1699,設定!$B$6:$B$21,0)),0))*60,設定!$C$45)/60,2),0))</f>
        <v/>
      </c>
      <c r="R1699" s="16">
        <f>IF(OR($C1699="",$Q1699=0),"",IF($G1699="國","國定假日",IF($B1699="日","例假",IF($B1699="六","休息日","平日"))))</f>
        <v/>
      </c>
      <c r="S1699" s="19" t="n"/>
    </row>
    <row r="1700">
      <c r="A1700" s="82">
        <f>IF(OR(助理班表!$A59="",24&gt;DAY(EOMONTH(DATE(設定!$C$2,設定!$D$2,1),0))),"",DATE(設定!$C$2,設定!$D$2,24))</f>
        <v/>
      </c>
      <c r="B1700" s="16">
        <f>IF($A1700="","",INDEX(設定!$O$6:$O$12,WEEKDAY($A1700,1)))</f>
        <v/>
      </c>
      <c r="C1700" s="16">
        <f>IF($A1700="","",助理班表!$A59)</f>
        <v/>
      </c>
      <c r="D1700" s="16">
        <f>IF($C1700="","",助理班表!$B59)</f>
        <v/>
      </c>
      <c r="E1700" s="16">
        <f>IF($C1700="","",助理班表!$D59)</f>
        <v/>
      </c>
      <c r="F1700" s="16">
        <f>IF($C1700="","",助理班表!$C59)</f>
        <v/>
      </c>
      <c r="G1700" s="16">
        <f>IF($C1700="","",助理班表!AB59)</f>
        <v/>
      </c>
      <c r="H1700" s="83">
        <f>IF($G1700="","",IFERROR(IF(INDEX(設定!$D$6:$D$21,MATCH($G1700,設定!$B$6:$B$21,0))=0,"",INDEX(設定!$D$6:$D$21,MATCH($G1700,設定!$B$6:$B$21,0))),""))</f>
        <v/>
      </c>
      <c r="I1700" s="83">
        <f>IF($G1700="","",IFERROR(IF(INDEX(設定!$E$6:$E$21,MATCH($G1700,設定!$B$6:$B$21,0))=0,"",INDEX(設定!$E$6:$E$21,MATCH($G1700,設定!$B$6:$B$21,0))),""))</f>
        <v/>
      </c>
      <c r="J1700" s="83">
        <f>IFERROR(INDEX(打卡匯入!$C$3:$C$2002,MATCH($C1700&amp;"|"&amp;DAY($A1700),打卡匯入!$E$3:$E$2002,0)),"")</f>
        <v/>
      </c>
      <c r="K1700" s="83">
        <f>IFERROR(INDEX(打卡匯入!$D$3:$D$2002,MATCH($C1700&amp;"|"&amp;DAY($A1700),打卡匯入!$E$3:$E$2002,0)),"")</f>
        <v/>
      </c>
      <c r="L1700" s="84">
        <f>IF(OR($J1700="",$K1700=""),"",IFERROR(INDEX(設定!$F$6:$F$21,MATCH($G1700,設定!$B$6:$B$21,0)),0))</f>
        <v/>
      </c>
      <c r="M1700" s="85">
        <f>IF(OR($J1700="",$K1700=""),"",ROUND(($K1700-$J1700)*24-$L1700/60,2))</f>
        <v/>
      </c>
      <c r="N1700" s="16">
        <f>IF($C1700="","",IF(AND(COUNTIF(設定!$B$15:$B$21,$G1700)&gt;0,$J1700&lt;&gt;""),"假日出勤",IF(AND(COUNTIF(設定!$B$6:$B$14,$G1700)&gt;0,$J1700=""),"未打卡",IF($J1700="","",IF($O1700&gt;0,"遲到",IF($P1700&gt;0,"早退","正常"))))))</f>
        <v/>
      </c>
      <c r="O1700" s="84">
        <f>IF(OR($C1700="",$H1700="",$J1700=""),0,IF(ROUND(($J1700-$H1700)*1440,0)&gt;設定!$C$46,ROUND(($J1700-$H1700)*1440,0),0))</f>
        <v/>
      </c>
      <c r="P1700" s="84">
        <f>IF(OR($C1700="",$I1700="",$K1700=""),0,IF(ROUND(($I1700-$K1700)*1440,0)&gt;設定!$C$46,ROUND(($I1700-$K1700)*1440,0),0))</f>
        <v/>
      </c>
      <c r="Q1700" s="85">
        <f>IF($M1700="",0,IF(($M1700-IFERROR(INDEX(設定!$G$6:$G$21,MATCH($G1700,設定!$B$6:$B$21,0)),0))*60&gt;=設定!$C$44,ROUND(FLOOR(($M1700-IFERROR(INDEX(設定!$G$6:$G$21,MATCH($G1700,設定!$B$6:$B$21,0)),0))*60,設定!$C$45)/60,2),0))</f>
        <v/>
      </c>
      <c r="R1700" s="16">
        <f>IF(OR($C1700="",$Q1700=0),"",IF($G1700="國","國定假日",IF($B1700="日","例假",IF($B1700="六","休息日","平日"))))</f>
        <v/>
      </c>
      <c r="S1700" s="19" t="n"/>
    </row>
    <row r="1701">
      <c r="A1701" s="82">
        <f>IF(OR(助理班表!$A59="",25&gt;DAY(EOMONTH(DATE(設定!$C$2,設定!$D$2,1),0))),"",DATE(設定!$C$2,設定!$D$2,25))</f>
        <v/>
      </c>
      <c r="B1701" s="16">
        <f>IF($A1701="","",INDEX(設定!$O$6:$O$12,WEEKDAY($A1701,1)))</f>
        <v/>
      </c>
      <c r="C1701" s="16">
        <f>IF($A1701="","",助理班表!$A59)</f>
        <v/>
      </c>
      <c r="D1701" s="16">
        <f>IF($C1701="","",助理班表!$B59)</f>
        <v/>
      </c>
      <c r="E1701" s="16">
        <f>IF($C1701="","",助理班表!$D59)</f>
        <v/>
      </c>
      <c r="F1701" s="16">
        <f>IF($C1701="","",助理班表!$C59)</f>
        <v/>
      </c>
      <c r="G1701" s="16">
        <f>IF($C1701="","",助理班表!AC59)</f>
        <v/>
      </c>
      <c r="H1701" s="83">
        <f>IF($G1701="","",IFERROR(IF(INDEX(設定!$D$6:$D$21,MATCH($G1701,設定!$B$6:$B$21,0))=0,"",INDEX(設定!$D$6:$D$21,MATCH($G1701,設定!$B$6:$B$21,0))),""))</f>
        <v/>
      </c>
      <c r="I1701" s="83">
        <f>IF($G1701="","",IFERROR(IF(INDEX(設定!$E$6:$E$21,MATCH($G1701,設定!$B$6:$B$21,0))=0,"",INDEX(設定!$E$6:$E$21,MATCH($G1701,設定!$B$6:$B$21,0))),""))</f>
        <v/>
      </c>
      <c r="J1701" s="83">
        <f>IFERROR(INDEX(打卡匯入!$C$3:$C$2002,MATCH($C1701&amp;"|"&amp;DAY($A1701),打卡匯入!$E$3:$E$2002,0)),"")</f>
        <v/>
      </c>
      <c r="K1701" s="83">
        <f>IFERROR(INDEX(打卡匯入!$D$3:$D$2002,MATCH($C1701&amp;"|"&amp;DAY($A1701),打卡匯入!$E$3:$E$2002,0)),"")</f>
        <v/>
      </c>
      <c r="L1701" s="84">
        <f>IF(OR($J1701="",$K1701=""),"",IFERROR(INDEX(設定!$F$6:$F$21,MATCH($G1701,設定!$B$6:$B$21,0)),0))</f>
        <v/>
      </c>
      <c r="M1701" s="85">
        <f>IF(OR($J1701="",$K1701=""),"",ROUND(($K1701-$J1701)*24-$L1701/60,2))</f>
        <v/>
      </c>
      <c r="N1701" s="16">
        <f>IF($C1701="","",IF(AND(COUNTIF(設定!$B$15:$B$21,$G1701)&gt;0,$J1701&lt;&gt;""),"假日出勤",IF(AND(COUNTIF(設定!$B$6:$B$14,$G1701)&gt;0,$J1701=""),"未打卡",IF($J1701="","",IF($O1701&gt;0,"遲到",IF($P1701&gt;0,"早退","正常"))))))</f>
        <v/>
      </c>
      <c r="O1701" s="84">
        <f>IF(OR($C1701="",$H1701="",$J1701=""),0,IF(ROUND(($J1701-$H1701)*1440,0)&gt;設定!$C$46,ROUND(($J1701-$H1701)*1440,0),0))</f>
        <v/>
      </c>
      <c r="P1701" s="84">
        <f>IF(OR($C1701="",$I1701="",$K1701=""),0,IF(ROUND(($I1701-$K1701)*1440,0)&gt;設定!$C$46,ROUND(($I1701-$K1701)*1440,0),0))</f>
        <v/>
      </c>
      <c r="Q1701" s="85">
        <f>IF($M1701="",0,IF(($M1701-IFERROR(INDEX(設定!$G$6:$G$21,MATCH($G1701,設定!$B$6:$B$21,0)),0))*60&gt;=設定!$C$44,ROUND(FLOOR(($M1701-IFERROR(INDEX(設定!$G$6:$G$21,MATCH($G1701,設定!$B$6:$B$21,0)),0))*60,設定!$C$45)/60,2),0))</f>
        <v/>
      </c>
      <c r="R1701" s="16">
        <f>IF(OR($C1701="",$Q1701=0),"",IF($G1701="國","國定假日",IF($B1701="日","例假",IF($B1701="六","休息日","平日"))))</f>
        <v/>
      </c>
      <c r="S1701" s="19" t="n"/>
    </row>
    <row r="1702">
      <c r="A1702" s="82">
        <f>IF(OR(助理班表!$A59="",26&gt;DAY(EOMONTH(DATE(設定!$C$2,設定!$D$2,1),0))),"",DATE(設定!$C$2,設定!$D$2,26))</f>
        <v/>
      </c>
      <c r="B1702" s="16">
        <f>IF($A1702="","",INDEX(設定!$O$6:$O$12,WEEKDAY($A1702,1)))</f>
        <v/>
      </c>
      <c r="C1702" s="16">
        <f>IF($A1702="","",助理班表!$A59)</f>
        <v/>
      </c>
      <c r="D1702" s="16">
        <f>IF($C1702="","",助理班表!$B59)</f>
        <v/>
      </c>
      <c r="E1702" s="16">
        <f>IF($C1702="","",助理班表!$D59)</f>
        <v/>
      </c>
      <c r="F1702" s="16">
        <f>IF($C1702="","",助理班表!$C59)</f>
        <v/>
      </c>
      <c r="G1702" s="16">
        <f>IF($C1702="","",助理班表!AD59)</f>
        <v/>
      </c>
      <c r="H1702" s="83">
        <f>IF($G1702="","",IFERROR(IF(INDEX(設定!$D$6:$D$21,MATCH($G1702,設定!$B$6:$B$21,0))=0,"",INDEX(設定!$D$6:$D$21,MATCH($G1702,設定!$B$6:$B$21,0))),""))</f>
        <v/>
      </c>
      <c r="I1702" s="83">
        <f>IF($G1702="","",IFERROR(IF(INDEX(設定!$E$6:$E$21,MATCH($G1702,設定!$B$6:$B$21,0))=0,"",INDEX(設定!$E$6:$E$21,MATCH($G1702,設定!$B$6:$B$21,0))),""))</f>
        <v/>
      </c>
      <c r="J1702" s="83">
        <f>IFERROR(INDEX(打卡匯入!$C$3:$C$2002,MATCH($C1702&amp;"|"&amp;DAY($A1702),打卡匯入!$E$3:$E$2002,0)),"")</f>
        <v/>
      </c>
      <c r="K1702" s="83">
        <f>IFERROR(INDEX(打卡匯入!$D$3:$D$2002,MATCH($C1702&amp;"|"&amp;DAY($A1702),打卡匯入!$E$3:$E$2002,0)),"")</f>
        <v/>
      </c>
      <c r="L1702" s="84">
        <f>IF(OR($J1702="",$K1702=""),"",IFERROR(INDEX(設定!$F$6:$F$21,MATCH($G1702,設定!$B$6:$B$21,0)),0))</f>
        <v/>
      </c>
      <c r="M1702" s="85">
        <f>IF(OR($J1702="",$K1702=""),"",ROUND(($K1702-$J1702)*24-$L1702/60,2))</f>
        <v/>
      </c>
      <c r="N1702" s="16">
        <f>IF($C1702="","",IF(AND(COUNTIF(設定!$B$15:$B$21,$G1702)&gt;0,$J1702&lt;&gt;""),"假日出勤",IF(AND(COUNTIF(設定!$B$6:$B$14,$G1702)&gt;0,$J1702=""),"未打卡",IF($J1702="","",IF($O1702&gt;0,"遲到",IF($P1702&gt;0,"早退","正常"))))))</f>
        <v/>
      </c>
      <c r="O1702" s="84">
        <f>IF(OR($C1702="",$H1702="",$J1702=""),0,IF(ROUND(($J1702-$H1702)*1440,0)&gt;設定!$C$46,ROUND(($J1702-$H1702)*1440,0),0))</f>
        <v/>
      </c>
      <c r="P1702" s="84">
        <f>IF(OR($C1702="",$I1702="",$K1702=""),0,IF(ROUND(($I1702-$K1702)*1440,0)&gt;設定!$C$46,ROUND(($I1702-$K1702)*1440,0),0))</f>
        <v/>
      </c>
      <c r="Q1702" s="85">
        <f>IF($M1702="",0,IF(($M1702-IFERROR(INDEX(設定!$G$6:$G$21,MATCH($G1702,設定!$B$6:$B$21,0)),0))*60&gt;=設定!$C$44,ROUND(FLOOR(($M1702-IFERROR(INDEX(設定!$G$6:$G$21,MATCH($G1702,設定!$B$6:$B$21,0)),0))*60,設定!$C$45)/60,2),0))</f>
        <v/>
      </c>
      <c r="R1702" s="16">
        <f>IF(OR($C1702="",$Q1702=0),"",IF($G1702="國","國定假日",IF($B1702="日","例假",IF($B1702="六","休息日","平日"))))</f>
        <v/>
      </c>
      <c r="S1702" s="19" t="n"/>
    </row>
    <row r="1703">
      <c r="A1703" s="82">
        <f>IF(OR(助理班表!$A59="",27&gt;DAY(EOMONTH(DATE(設定!$C$2,設定!$D$2,1),0))),"",DATE(設定!$C$2,設定!$D$2,27))</f>
        <v/>
      </c>
      <c r="B1703" s="16">
        <f>IF($A1703="","",INDEX(設定!$O$6:$O$12,WEEKDAY($A1703,1)))</f>
        <v/>
      </c>
      <c r="C1703" s="16">
        <f>IF($A1703="","",助理班表!$A59)</f>
        <v/>
      </c>
      <c r="D1703" s="16">
        <f>IF($C1703="","",助理班表!$B59)</f>
        <v/>
      </c>
      <c r="E1703" s="16">
        <f>IF($C1703="","",助理班表!$D59)</f>
        <v/>
      </c>
      <c r="F1703" s="16">
        <f>IF($C1703="","",助理班表!$C59)</f>
        <v/>
      </c>
      <c r="G1703" s="16">
        <f>IF($C1703="","",助理班表!AE59)</f>
        <v/>
      </c>
      <c r="H1703" s="83">
        <f>IF($G1703="","",IFERROR(IF(INDEX(設定!$D$6:$D$21,MATCH($G1703,設定!$B$6:$B$21,0))=0,"",INDEX(設定!$D$6:$D$21,MATCH($G1703,設定!$B$6:$B$21,0))),""))</f>
        <v/>
      </c>
      <c r="I1703" s="83">
        <f>IF($G1703="","",IFERROR(IF(INDEX(設定!$E$6:$E$21,MATCH($G1703,設定!$B$6:$B$21,0))=0,"",INDEX(設定!$E$6:$E$21,MATCH($G1703,設定!$B$6:$B$21,0))),""))</f>
        <v/>
      </c>
      <c r="J1703" s="83">
        <f>IFERROR(INDEX(打卡匯入!$C$3:$C$2002,MATCH($C1703&amp;"|"&amp;DAY($A1703),打卡匯入!$E$3:$E$2002,0)),"")</f>
        <v/>
      </c>
      <c r="K1703" s="83">
        <f>IFERROR(INDEX(打卡匯入!$D$3:$D$2002,MATCH($C1703&amp;"|"&amp;DAY($A1703),打卡匯入!$E$3:$E$2002,0)),"")</f>
        <v/>
      </c>
      <c r="L1703" s="84">
        <f>IF(OR($J1703="",$K1703=""),"",IFERROR(INDEX(設定!$F$6:$F$21,MATCH($G1703,設定!$B$6:$B$21,0)),0))</f>
        <v/>
      </c>
      <c r="M1703" s="85">
        <f>IF(OR($J1703="",$K1703=""),"",ROUND(($K1703-$J1703)*24-$L1703/60,2))</f>
        <v/>
      </c>
      <c r="N1703" s="16">
        <f>IF($C1703="","",IF(AND(COUNTIF(設定!$B$15:$B$21,$G1703)&gt;0,$J1703&lt;&gt;""),"假日出勤",IF(AND(COUNTIF(設定!$B$6:$B$14,$G1703)&gt;0,$J1703=""),"未打卡",IF($J1703="","",IF($O1703&gt;0,"遲到",IF($P1703&gt;0,"早退","正常"))))))</f>
        <v/>
      </c>
      <c r="O1703" s="84">
        <f>IF(OR($C1703="",$H1703="",$J1703=""),0,IF(ROUND(($J1703-$H1703)*1440,0)&gt;設定!$C$46,ROUND(($J1703-$H1703)*1440,0),0))</f>
        <v/>
      </c>
      <c r="P1703" s="84">
        <f>IF(OR($C1703="",$I1703="",$K1703=""),0,IF(ROUND(($I1703-$K1703)*1440,0)&gt;設定!$C$46,ROUND(($I1703-$K1703)*1440,0),0))</f>
        <v/>
      </c>
      <c r="Q1703" s="85">
        <f>IF($M1703="",0,IF(($M1703-IFERROR(INDEX(設定!$G$6:$G$21,MATCH($G1703,設定!$B$6:$B$21,0)),0))*60&gt;=設定!$C$44,ROUND(FLOOR(($M1703-IFERROR(INDEX(設定!$G$6:$G$21,MATCH($G1703,設定!$B$6:$B$21,0)),0))*60,設定!$C$45)/60,2),0))</f>
        <v/>
      </c>
      <c r="R1703" s="16">
        <f>IF(OR($C1703="",$Q1703=0),"",IF($G1703="國","國定假日",IF($B1703="日","例假",IF($B1703="六","休息日","平日"))))</f>
        <v/>
      </c>
      <c r="S1703" s="19" t="n"/>
    </row>
    <row r="1704">
      <c r="A1704" s="82">
        <f>IF(OR(助理班表!$A59="",28&gt;DAY(EOMONTH(DATE(設定!$C$2,設定!$D$2,1),0))),"",DATE(設定!$C$2,設定!$D$2,28))</f>
        <v/>
      </c>
      <c r="B1704" s="16">
        <f>IF($A1704="","",INDEX(設定!$O$6:$O$12,WEEKDAY($A1704,1)))</f>
        <v/>
      </c>
      <c r="C1704" s="16">
        <f>IF($A1704="","",助理班表!$A59)</f>
        <v/>
      </c>
      <c r="D1704" s="16">
        <f>IF($C1704="","",助理班表!$B59)</f>
        <v/>
      </c>
      <c r="E1704" s="16">
        <f>IF($C1704="","",助理班表!$D59)</f>
        <v/>
      </c>
      <c r="F1704" s="16">
        <f>IF($C1704="","",助理班表!$C59)</f>
        <v/>
      </c>
      <c r="G1704" s="16">
        <f>IF($C1704="","",助理班表!AF59)</f>
        <v/>
      </c>
      <c r="H1704" s="83">
        <f>IF($G1704="","",IFERROR(IF(INDEX(設定!$D$6:$D$21,MATCH($G1704,設定!$B$6:$B$21,0))=0,"",INDEX(設定!$D$6:$D$21,MATCH($G1704,設定!$B$6:$B$21,0))),""))</f>
        <v/>
      </c>
      <c r="I1704" s="83">
        <f>IF($G1704="","",IFERROR(IF(INDEX(設定!$E$6:$E$21,MATCH($G1704,設定!$B$6:$B$21,0))=0,"",INDEX(設定!$E$6:$E$21,MATCH($G1704,設定!$B$6:$B$21,0))),""))</f>
        <v/>
      </c>
      <c r="J1704" s="83">
        <f>IFERROR(INDEX(打卡匯入!$C$3:$C$2002,MATCH($C1704&amp;"|"&amp;DAY($A1704),打卡匯入!$E$3:$E$2002,0)),"")</f>
        <v/>
      </c>
      <c r="K1704" s="83">
        <f>IFERROR(INDEX(打卡匯入!$D$3:$D$2002,MATCH($C1704&amp;"|"&amp;DAY($A1704),打卡匯入!$E$3:$E$2002,0)),"")</f>
        <v/>
      </c>
      <c r="L1704" s="84">
        <f>IF(OR($J1704="",$K1704=""),"",IFERROR(INDEX(設定!$F$6:$F$21,MATCH($G1704,設定!$B$6:$B$21,0)),0))</f>
        <v/>
      </c>
      <c r="M1704" s="85">
        <f>IF(OR($J1704="",$K1704=""),"",ROUND(($K1704-$J1704)*24-$L1704/60,2))</f>
        <v/>
      </c>
      <c r="N1704" s="16">
        <f>IF($C1704="","",IF(AND(COUNTIF(設定!$B$15:$B$21,$G1704)&gt;0,$J1704&lt;&gt;""),"假日出勤",IF(AND(COUNTIF(設定!$B$6:$B$14,$G1704)&gt;0,$J1704=""),"未打卡",IF($J1704="","",IF($O1704&gt;0,"遲到",IF($P1704&gt;0,"早退","正常"))))))</f>
        <v/>
      </c>
      <c r="O1704" s="84">
        <f>IF(OR($C1704="",$H1704="",$J1704=""),0,IF(ROUND(($J1704-$H1704)*1440,0)&gt;設定!$C$46,ROUND(($J1704-$H1704)*1440,0),0))</f>
        <v/>
      </c>
      <c r="P1704" s="84">
        <f>IF(OR($C1704="",$I1704="",$K1704=""),0,IF(ROUND(($I1704-$K1704)*1440,0)&gt;設定!$C$46,ROUND(($I1704-$K1704)*1440,0),0))</f>
        <v/>
      </c>
      <c r="Q1704" s="85">
        <f>IF($M1704="",0,IF(($M1704-IFERROR(INDEX(設定!$G$6:$G$21,MATCH($G1704,設定!$B$6:$B$21,0)),0))*60&gt;=設定!$C$44,ROUND(FLOOR(($M1704-IFERROR(INDEX(設定!$G$6:$G$21,MATCH($G1704,設定!$B$6:$B$21,0)),0))*60,設定!$C$45)/60,2),0))</f>
        <v/>
      </c>
      <c r="R1704" s="16">
        <f>IF(OR($C1704="",$Q1704=0),"",IF($G1704="國","國定假日",IF($B1704="日","例假",IF($B1704="六","休息日","平日"))))</f>
        <v/>
      </c>
      <c r="S1704" s="19" t="n"/>
    </row>
    <row r="1705">
      <c r="A1705" s="82">
        <f>IF(OR(助理班表!$A59="",29&gt;DAY(EOMONTH(DATE(設定!$C$2,設定!$D$2,1),0))),"",DATE(設定!$C$2,設定!$D$2,29))</f>
        <v/>
      </c>
      <c r="B1705" s="16">
        <f>IF($A1705="","",INDEX(設定!$O$6:$O$12,WEEKDAY($A1705,1)))</f>
        <v/>
      </c>
      <c r="C1705" s="16">
        <f>IF($A1705="","",助理班表!$A59)</f>
        <v/>
      </c>
      <c r="D1705" s="16">
        <f>IF($C1705="","",助理班表!$B59)</f>
        <v/>
      </c>
      <c r="E1705" s="16">
        <f>IF($C1705="","",助理班表!$D59)</f>
        <v/>
      </c>
      <c r="F1705" s="16">
        <f>IF($C1705="","",助理班表!$C59)</f>
        <v/>
      </c>
      <c r="G1705" s="16">
        <f>IF($C1705="","",助理班表!AG59)</f>
        <v/>
      </c>
      <c r="H1705" s="83">
        <f>IF($G1705="","",IFERROR(IF(INDEX(設定!$D$6:$D$21,MATCH($G1705,設定!$B$6:$B$21,0))=0,"",INDEX(設定!$D$6:$D$21,MATCH($G1705,設定!$B$6:$B$21,0))),""))</f>
        <v/>
      </c>
      <c r="I1705" s="83">
        <f>IF($G1705="","",IFERROR(IF(INDEX(設定!$E$6:$E$21,MATCH($G1705,設定!$B$6:$B$21,0))=0,"",INDEX(設定!$E$6:$E$21,MATCH($G1705,設定!$B$6:$B$21,0))),""))</f>
        <v/>
      </c>
      <c r="J1705" s="83">
        <f>IFERROR(INDEX(打卡匯入!$C$3:$C$2002,MATCH($C1705&amp;"|"&amp;DAY($A1705),打卡匯入!$E$3:$E$2002,0)),"")</f>
        <v/>
      </c>
      <c r="K1705" s="83">
        <f>IFERROR(INDEX(打卡匯入!$D$3:$D$2002,MATCH($C1705&amp;"|"&amp;DAY($A1705),打卡匯入!$E$3:$E$2002,0)),"")</f>
        <v/>
      </c>
      <c r="L1705" s="84">
        <f>IF(OR($J1705="",$K1705=""),"",IFERROR(INDEX(設定!$F$6:$F$21,MATCH($G1705,設定!$B$6:$B$21,0)),0))</f>
        <v/>
      </c>
      <c r="M1705" s="85">
        <f>IF(OR($J1705="",$K1705=""),"",ROUND(($K1705-$J1705)*24-$L1705/60,2))</f>
        <v/>
      </c>
      <c r="N1705" s="16">
        <f>IF($C1705="","",IF(AND(COUNTIF(設定!$B$15:$B$21,$G1705)&gt;0,$J1705&lt;&gt;""),"假日出勤",IF(AND(COUNTIF(設定!$B$6:$B$14,$G1705)&gt;0,$J1705=""),"未打卡",IF($J1705="","",IF($O1705&gt;0,"遲到",IF($P1705&gt;0,"早退","正常"))))))</f>
        <v/>
      </c>
      <c r="O1705" s="84">
        <f>IF(OR($C1705="",$H1705="",$J1705=""),0,IF(ROUND(($J1705-$H1705)*1440,0)&gt;設定!$C$46,ROUND(($J1705-$H1705)*1440,0),0))</f>
        <v/>
      </c>
      <c r="P1705" s="84">
        <f>IF(OR($C1705="",$I1705="",$K1705=""),0,IF(ROUND(($I1705-$K1705)*1440,0)&gt;設定!$C$46,ROUND(($I1705-$K1705)*1440,0),0))</f>
        <v/>
      </c>
      <c r="Q1705" s="85">
        <f>IF($M1705="",0,IF(($M1705-IFERROR(INDEX(設定!$G$6:$G$21,MATCH($G1705,設定!$B$6:$B$21,0)),0))*60&gt;=設定!$C$44,ROUND(FLOOR(($M1705-IFERROR(INDEX(設定!$G$6:$G$21,MATCH($G1705,設定!$B$6:$B$21,0)),0))*60,設定!$C$45)/60,2),0))</f>
        <v/>
      </c>
      <c r="R1705" s="16">
        <f>IF(OR($C1705="",$Q1705=0),"",IF($G1705="國","國定假日",IF($B1705="日","例假",IF($B1705="六","休息日","平日"))))</f>
        <v/>
      </c>
      <c r="S1705" s="19" t="n"/>
    </row>
    <row r="1706">
      <c r="A1706" s="82">
        <f>IF(OR(助理班表!$A59="",30&gt;DAY(EOMONTH(DATE(設定!$C$2,設定!$D$2,1),0))),"",DATE(設定!$C$2,設定!$D$2,30))</f>
        <v/>
      </c>
      <c r="B1706" s="16">
        <f>IF($A1706="","",INDEX(設定!$O$6:$O$12,WEEKDAY($A1706,1)))</f>
        <v/>
      </c>
      <c r="C1706" s="16">
        <f>IF($A1706="","",助理班表!$A59)</f>
        <v/>
      </c>
      <c r="D1706" s="16">
        <f>IF($C1706="","",助理班表!$B59)</f>
        <v/>
      </c>
      <c r="E1706" s="16">
        <f>IF($C1706="","",助理班表!$D59)</f>
        <v/>
      </c>
      <c r="F1706" s="16">
        <f>IF($C1706="","",助理班表!$C59)</f>
        <v/>
      </c>
      <c r="G1706" s="16">
        <f>IF($C1706="","",助理班表!AH59)</f>
        <v/>
      </c>
      <c r="H1706" s="83">
        <f>IF($G1706="","",IFERROR(IF(INDEX(設定!$D$6:$D$21,MATCH($G1706,設定!$B$6:$B$21,0))=0,"",INDEX(設定!$D$6:$D$21,MATCH($G1706,設定!$B$6:$B$21,0))),""))</f>
        <v/>
      </c>
      <c r="I1706" s="83">
        <f>IF($G1706="","",IFERROR(IF(INDEX(設定!$E$6:$E$21,MATCH($G1706,設定!$B$6:$B$21,0))=0,"",INDEX(設定!$E$6:$E$21,MATCH($G1706,設定!$B$6:$B$21,0))),""))</f>
        <v/>
      </c>
      <c r="J1706" s="83">
        <f>IFERROR(INDEX(打卡匯入!$C$3:$C$2002,MATCH($C1706&amp;"|"&amp;DAY($A1706),打卡匯入!$E$3:$E$2002,0)),"")</f>
        <v/>
      </c>
      <c r="K1706" s="83">
        <f>IFERROR(INDEX(打卡匯入!$D$3:$D$2002,MATCH($C1706&amp;"|"&amp;DAY($A1706),打卡匯入!$E$3:$E$2002,0)),"")</f>
        <v/>
      </c>
      <c r="L1706" s="84">
        <f>IF(OR($J1706="",$K1706=""),"",IFERROR(INDEX(設定!$F$6:$F$21,MATCH($G1706,設定!$B$6:$B$21,0)),0))</f>
        <v/>
      </c>
      <c r="M1706" s="85">
        <f>IF(OR($J1706="",$K1706=""),"",ROUND(($K1706-$J1706)*24-$L1706/60,2))</f>
        <v/>
      </c>
      <c r="N1706" s="16">
        <f>IF($C1706="","",IF(AND(COUNTIF(設定!$B$15:$B$21,$G1706)&gt;0,$J1706&lt;&gt;""),"假日出勤",IF(AND(COUNTIF(設定!$B$6:$B$14,$G1706)&gt;0,$J1706=""),"未打卡",IF($J1706="","",IF($O1706&gt;0,"遲到",IF($P1706&gt;0,"早退","正常"))))))</f>
        <v/>
      </c>
      <c r="O1706" s="84">
        <f>IF(OR($C1706="",$H1706="",$J1706=""),0,IF(ROUND(($J1706-$H1706)*1440,0)&gt;設定!$C$46,ROUND(($J1706-$H1706)*1440,0),0))</f>
        <v/>
      </c>
      <c r="P1706" s="84">
        <f>IF(OR($C1706="",$I1706="",$K1706=""),0,IF(ROUND(($I1706-$K1706)*1440,0)&gt;設定!$C$46,ROUND(($I1706-$K1706)*1440,0),0))</f>
        <v/>
      </c>
      <c r="Q1706" s="85">
        <f>IF($M1706="",0,IF(($M1706-IFERROR(INDEX(設定!$G$6:$G$21,MATCH($G1706,設定!$B$6:$B$21,0)),0))*60&gt;=設定!$C$44,ROUND(FLOOR(($M1706-IFERROR(INDEX(設定!$G$6:$G$21,MATCH($G1706,設定!$B$6:$B$21,0)),0))*60,設定!$C$45)/60,2),0))</f>
        <v/>
      </c>
      <c r="R1706" s="16">
        <f>IF(OR($C1706="",$Q1706=0),"",IF($G1706="國","國定假日",IF($B1706="日","例假",IF($B1706="六","休息日","平日"))))</f>
        <v/>
      </c>
      <c r="S1706" s="19" t="n"/>
    </row>
    <row r="1707">
      <c r="A1707" s="82">
        <f>IF(OR(助理班表!$A59="",31&gt;DAY(EOMONTH(DATE(設定!$C$2,設定!$D$2,1),0))),"",DATE(設定!$C$2,設定!$D$2,31))</f>
        <v/>
      </c>
      <c r="B1707" s="16">
        <f>IF($A1707="","",INDEX(設定!$O$6:$O$12,WEEKDAY($A1707,1)))</f>
        <v/>
      </c>
      <c r="C1707" s="16">
        <f>IF($A1707="","",助理班表!$A59)</f>
        <v/>
      </c>
      <c r="D1707" s="16">
        <f>IF($C1707="","",助理班表!$B59)</f>
        <v/>
      </c>
      <c r="E1707" s="16">
        <f>IF($C1707="","",助理班表!$D59)</f>
        <v/>
      </c>
      <c r="F1707" s="16">
        <f>IF($C1707="","",助理班表!$C59)</f>
        <v/>
      </c>
      <c r="G1707" s="16">
        <f>IF($C1707="","",助理班表!AI59)</f>
        <v/>
      </c>
      <c r="H1707" s="83">
        <f>IF($G1707="","",IFERROR(IF(INDEX(設定!$D$6:$D$21,MATCH($G1707,設定!$B$6:$B$21,0))=0,"",INDEX(設定!$D$6:$D$21,MATCH($G1707,設定!$B$6:$B$21,0))),""))</f>
        <v/>
      </c>
      <c r="I1707" s="83">
        <f>IF($G1707="","",IFERROR(IF(INDEX(設定!$E$6:$E$21,MATCH($G1707,設定!$B$6:$B$21,0))=0,"",INDEX(設定!$E$6:$E$21,MATCH($G1707,設定!$B$6:$B$21,0))),""))</f>
        <v/>
      </c>
      <c r="J1707" s="83">
        <f>IFERROR(INDEX(打卡匯入!$C$3:$C$2002,MATCH($C1707&amp;"|"&amp;DAY($A1707),打卡匯入!$E$3:$E$2002,0)),"")</f>
        <v/>
      </c>
      <c r="K1707" s="83">
        <f>IFERROR(INDEX(打卡匯入!$D$3:$D$2002,MATCH($C1707&amp;"|"&amp;DAY($A1707),打卡匯入!$E$3:$E$2002,0)),"")</f>
        <v/>
      </c>
      <c r="L1707" s="84">
        <f>IF(OR($J1707="",$K1707=""),"",IFERROR(INDEX(設定!$F$6:$F$21,MATCH($G1707,設定!$B$6:$B$21,0)),0))</f>
        <v/>
      </c>
      <c r="M1707" s="85">
        <f>IF(OR($J1707="",$K1707=""),"",ROUND(($K1707-$J1707)*24-$L1707/60,2))</f>
        <v/>
      </c>
      <c r="N1707" s="16">
        <f>IF($C1707="","",IF(AND(COUNTIF(設定!$B$15:$B$21,$G1707)&gt;0,$J1707&lt;&gt;""),"假日出勤",IF(AND(COUNTIF(設定!$B$6:$B$14,$G1707)&gt;0,$J1707=""),"未打卡",IF($J1707="","",IF($O1707&gt;0,"遲到",IF($P1707&gt;0,"早退","正常"))))))</f>
        <v/>
      </c>
      <c r="O1707" s="84">
        <f>IF(OR($C1707="",$H1707="",$J1707=""),0,IF(ROUND(($J1707-$H1707)*1440,0)&gt;設定!$C$46,ROUND(($J1707-$H1707)*1440,0),0))</f>
        <v/>
      </c>
      <c r="P1707" s="84">
        <f>IF(OR($C1707="",$I1707="",$K1707=""),0,IF(ROUND(($I1707-$K1707)*1440,0)&gt;設定!$C$46,ROUND(($I1707-$K1707)*1440,0),0))</f>
        <v/>
      </c>
      <c r="Q1707" s="85">
        <f>IF($M1707="",0,IF(($M1707-IFERROR(INDEX(設定!$G$6:$G$21,MATCH($G1707,設定!$B$6:$B$21,0)),0))*60&gt;=設定!$C$44,ROUND(FLOOR(($M1707-IFERROR(INDEX(設定!$G$6:$G$21,MATCH($G1707,設定!$B$6:$B$21,0)),0))*60,設定!$C$45)/60,2),0))</f>
        <v/>
      </c>
      <c r="R1707" s="16">
        <f>IF(OR($C1707="",$Q1707=0),"",IF($G1707="國","國定假日",IF($B1707="日","例假",IF($B1707="六","休息日","平日"))))</f>
        <v/>
      </c>
      <c r="S1707" s="19" t="n"/>
    </row>
    <row r="1708">
      <c r="A1708" s="82">
        <f>IF(OR(助理班表!$A60="",1&gt;DAY(EOMONTH(DATE(設定!$C$2,設定!$D$2,1),0))),"",DATE(設定!$C$2,設定!$D$2,1))</f>
        <v/>
      </c>
      <c r="B1708" s="16">
        <f>IF($A1708="","",INDEX(設定!$O$6:$O$12,WEEKDAY($A1708,1)))</f>
        <v/>
      </c>
      <c r="C1708" s="16">
        <f>IF($A1708="","",助理班表!$A60)</f>
        <v/>
      </c>
      <c r="D1708" s="16">
        <f>IF($C1708="","",助理班表!$B60)</f>
        <v/>
      </c>
      <c r="E1708" s="16">
        <f>IF($C1708="","",助理班表!$D60)</f>
        <v/>
      </c>
      <c r="F1708" s="16">
        <f>IF($C1708="","",助理班表!$C60)</f>
        <v/>
      </c>
      <c r="G1708" s="16">
        <f>IF($C1708="","",助理班表!E60)</f>
        <v/>
      </c>
      <c r="H1708" s="83">
        <f>IF($G1708="","",IFERROR(IF(INDEX(設定!$D$6:$D$21,MATCH($G1708,設定!$B$6:$B$21,0))=0,"",INDEX(設定!$D$6:$D$21,MATCH($G1708,設定!$B$6:$B$21,0))),""))</f>
        <v/>
      </c>
      <c r="I1708" s="83">
        <f>IF($G1708="","",IFERROR(IF(INDEX(設定!$E$6:$E$21,MATCH($G1708,設定!$B$6:$B$21,0))=0,"",INDEX(設定!$E$6:$E$21,MATCH($G1708,設定!$B$6:$B$21,0))),""))</f>
        <v/>
      </c>
      <c r="J1708" s="83">
        <f>IFERROR(INDEX(打卡匯入!$C$3:$C$2002,MATCH($C1708&amp;"|"&amp;DAY($A1708),打卡匯入!$E$3:$E$2002,0)),"")</f>
        <v/>
      </c>
      <c r="K1708" s="83">
        <f>IFERROR(INDEX(打卡匯入!$D$3:$D$2002,MATCH($C1708&amp;"|"&amp;DAY($A1708),打卡匯入!$E$3:$E$2002,0)),"")</f>
        <v/>
      </c>
      <c r="L1708" s="84">
        <f>IF(OR($J1708="",$K1708=""),"",IFERROR(INDEX(設定!$F$6:$F$21,MATCH($G1708,設定!$B$6:$B$21,0)),0))</f>
        <v/>
      </c>
      <c r="M1708" s="85">
        <f>IF(OR($J1708="",$K1708=""),"",ROUND(($K1708-$J1708)*24-$L1708/60,2))</f>
        <v/>
      </c>
      <c r="N1708" s="16">
        <f>IF($C1708="","",IF(AND(COUNTIF(設定!$B$15:$B$21,$G1708)&gt;0,$J1708&lt;&gt;""),"假日出勤",IF(AND(COUNTIF(設定!$B$6:$B$14,$G1708)&gt;0,$J1708=""),"未打卡",IF($J1708="","",IF($O1708&gt;0,"遲到",IF($P1708&gt;0,"早退","正常"))))))</f>
        <v/>
      </c>
      <c r="O1708" s="84">
        <f>IF(OR($C1708="",$H1708="",$J1708=""),0,IF(ROUND(($J1708-$H1708)*1440,0)&gt;設定!$C$46,ROUND(($J1708-$H1708)*1440,0),0))</f>
        <v/>
      </c>
      <c r="P1708" s="84">
        <f>IF(OR($C1708="",$I1708="",$K1708=""),0,IF(ROUND(($I1708-$K1708)*1440,0)&gt;設定!$C$46,ROUND(($I1708-$K1708)*1440,0),0))</f>
        <v/>
      </c>
      <c r="Q1708" s="85">
        <f>IF($M1708="",0,IF(($M1708-IFERROR(INDEX(設定!$G$6:$G$21,MATCH($G1708,設定!$B$6:$B$21,0)),0))*60&gt;=設定!$C$44,ROUND(FLOOR(($M1708-IFERROR(INDEX(設定!$G$6:$G$21,MATCH($G1708,設定!$B$6:$B$21,0)),0))*60,設定!$C$45)/60,2),0))</f>
        <v/>
      </c>
      <c r="R1708" s="16">
        <f>IF(OR($C1708="",$Q1708=0),"",IF($G1708="國","國定假日",IF($B1708="日","例假",IF($B1708="六","休息日","平日"))))</f>
        <v/>
      </c>
      <c r="S1708" s="19" t="n"/>
    </row>
    <row r="1709">
      <c r="A1709" s="82">
        <f>IF(OR(助理班表!$A60="",2&gt;DAY(EOMONTH(DATE(設定!$C$2,設定!$D$2,1),0))),"",DATE(設定!$C$2,設定!$D$2,2))</f>
        <v/>
      </c>
      <c r="B1709" s="16">
        <f>IF($A1709="","",INDEX(設定!$O$6:$O$12,WEEKDAY($A1709,1)))</f>
        <v/>
      </c>
      <c r="C1709" s="16">
        <f>IF($A1709="","",助理班表!$A60)</f>
        <v/>
      </c>
      <c r="D1709" s="16">
        <f>IF($C1709="","",助理班表!$B60)</f>
        <v/>
      </c>
      <c r="E1709" s="16">
        <f>IF($C1709="","",助理班表!$D60)</f>
        <v/>
      </c>
      <c r="F1709" s="16">
        <f>IF($C1709="","",助理班表!$C60)</f>
        <v/>
      </c>
      <c r="G1709" s="16">
        <f>IF($C1709="","",助理班表!F60)</f>
        <v/>
      </c>
      <c r="H1709" s="83">
        <f>IF($G1709="","",IFERROR(IF(INDEX(設定!$D$6:$D$21,MATCH($G1709,設定!$B$6:$B$21,0))=0,"",INDEX(設定!$D$6:$D$21,MATCH($G1709,設定!$B$6:$B$21,0))),""))</f>
        <v/>
      </c>
      <c r="I1709" s="83">
        <f>IF($G1709="","",IFERROR(IF(INDEX(設定!$E$6:$E$21,MATCH($G1709,設定!$B$6:$B$21,0))=0,"",INDEX(設定!$E$6:$E$21,MATCH($G1709,設定!$B$6:$B$21,0))),""))</f>
        <v/>
      </c>
      <c r="J1709" s="83">
        <f>IFERROR(INDEX(打卡匯入!$C$3:$C$2002,MATCH($C1709&amp;"|"&amp;DAY($A1709),打卡匯入!$E$3:$E$2002,0)),"")</f>
        <v/>
      </c>
      <c r="K1709" s="83">
        <f>IFERROR(INDEX(打卡匯入!$D$3:$D$2002,MATCH($C1709&amp;"|"&amp;DAY($A1709),打卡匯入!$E$3:$E$2002,0)),"")</f>
        <v/>
      </c>
      <c r="L1709" s="84">
        <f>IF(OR($J1709="",$K1709=""),"",IFERROR(INDEX(設定!$F$6:$F$21,MATCH($G1709,設定!$B$6:$B$21,0)),0))</f>
        <v/>
      </c>
      <c r="M1709" s="85">
        <f>IF(OR($J1709="",$K1709=""),"",ROUND(($K1709-$J1709)*24-$L1709/60,2))</f>
        <v/>
      </c>
      <c r="N1709" s="16">
        <f>IF($C1709="","",IF(AND(COUNTIF(設定!$B$15:$B$21,$G1709)&gt;0,$J1709&lt;&gt;""),"假日出勤",IF(AND(COUNTIF(設定!$B$6:$B$14,$G1709)&gt;0,$J1709=""),"未打卡",IF($J1709="","",IF($O1709&gt;0,"遲到",IF($P1709&gt;0,"早退","正常"))))))</f>
        <v/>
      </c>
      <c r="O1709" s="84">
        <f>IF(OR($C1709="",$H1709="",$J1709=""),0,IF(ROUND(($J1709-$H1709)*1440,0)&gt;設定!$C$46,ROUND(($J1709-$H1709)*1440,0),0))</f>
        <v/>
      </c>
      <c r="P1709" s="84">
        <f>IF(OR($C1709="",$I1709="",$K1709=""),0,IF(ROUND(($I1709-$K1709)*1440,0)&gt;設定!$C$46,ROUND(($I1709-$K1709)*1440,0),0))</f>
        <v/>
      </c>
      <c r="Q1709" s="85">
        <f>IF($M1709="",0,IF(($M1709-IFERROR(INDEX(設定!$G$6:$G$21,MATCH($G1709,設定!$B$6:$B$21,0)),0))*60&gt;=設定!$C$44,ROUND(FLOOR(($M1709-IFERROR(INDEX(設定!$G$6:$G$21,MATCH($G1709,設定!$B$6:$B$21,0)),0))*60,設定!$C$45)/60,2),0))</f>
        <v/>
      </c>
      <c r="R1709" s="16">
        <f>IF(OR($C1709="",$Q1709=0),"",IF($G1709="國","國定假日",IF($B1709="日","例假",IF($B1709="六","休息日","平日"))))</f>
        <v/>
      </c>
      <c r="S1709" s="19" t="n"/>
    </row>
    <row r="1710">
      <c r="A1710" s="82">
        <f>IF(OR(助理班表!$A60="",3&gt;DAY(EOMONTH(DATE(設定!$C$2,設定!$D$2,1),0))),"",DATE(設定!$C$2,設定!$D$2,3))</f>
        <v/>
      </c>
      <c r="B1710" s="16">
        <f>IF($A1710="","",INDEX(設定!$O$6:$O$12,WEEKDAY($A1710,1)))</f>
        <v/>
      </c>
      <c r="C1710" s="16">
        <f>IF($A1710="","",助理班表!$A60)</f>
        <v/>
      </c>
      <c r="D1710" s="16">
        <f>IF($C1710="","",助理班表!$B60)</f>
        <v/>
      </c>
      <c r="E1710" s="16">
        <f>IF($C1710="","",助理班表!$D60)</f>
        <v/>
      </c>
      <c r="F1710" s="16">
        <f>IF($C1710="","",助理班表!$C60)</f>
        <v/>
      </c>
      <c r="G1710" s="16">
        <f>IF($C1710="","",助理班表!G60)</f>
        <v/>
      </c>
      <c r="H1710" s="83">
        <f>IF($G1710="","",IFERROR(IF(INDEX(設定!$D$6:$D$21,MATCH($G1710,設定!$B$6:$B$21,0))=0,"",INDEX(設定!$D$6:$D$21,MATCH($G1710,設定!$B$6:$B$21,0))),""))</f>
        <v/>
      </c>
      <c r="I1710" s="83">
        <f>IF($G1710="","",IFERROR(IF(INDEX(設定!$E$6:$E$21,MATCH($G1710,設定!$B$6:$B$21,0))=0,"",INDEX(設定!$E$6:$E$21,MATCH($G1710,設定!$B$6:$B$21,0))),""))</f>
        <v/>
      </c>
      <c r="J1710" s="83">
        <f>IFERROR(INDEX(打卡匯入!$C$3:$C$2002,MATCH($C1710&amp;"|"&amp;DAY($A1710),打卡匯入!$E$3:$E$2002,0)),"")</f>
        <v/>
      </c>
      <c r="K1710" s="83">
        <f>IFERROR(INDEX(打卡匯入!$D$3:$D$2002,MATCH($C1710&amp;"|"&amp;DAY($A1710),打卡匯入!$E$3:$E$2002,0)),"")</f>
        <v/>
      </c>
      <c r="L1710" s="84">
        <f>IF(OR($J1710="",$K1710=""),"",IFERROR(INDEX(設定!$F$6:$F$21,MATCH($G1710,設定!$B$6:$B$21,0)),0))</f>
        <v/>
      </c>
      <c r="M1710" s="85">
        <f>IF(OR($J1710="",$K1710=""),"",ROUND(($K1710-$J1710)*24-$L1710/60,2))</f>
        <v/>
      </c>
      <c r="N1710" s="16">
        <f>IF($C1710="","",IF(AND(COUNTIF(設定!$B$15:$B$21,$G1710)&gt;0,$J1710&lt;&gt;""),"假日出勤",IF(AND(COUNTIF(設定!$B$6:$B$14,$G1710)&gt;0,$J1710=""),"未打卡",IF($J1710="","",IF($O1710&gt;0,"遲到",IF($P1710&gt;0,"早退","正常"))))))</f>
        <v/>
      </c>
      <c r="O1710" s="84">
        <f>IF(OR($C1710="",$H1710="",$J1710=""),0,IF(ROUND(($J1710-$H1710)*1440,0)&gt;設定!$C$46,ROUND(($J1710-$H1710)*1440,0),0))</f>
        <v/>
      </c>
      <c r="P1710" s="84">
        <f>IF(OR($C1710="",$I1710="",$K1710=""),0,IF(ROUND(($I1710-$K1710)*1440,0)&gt;設定!$C$46,ROUND(($I1710-$K1710)*1440,0),0))</f>
        <v/>
      </c>
      <c r="Q1710" s="85">
        <f>IF($M1710="",0,IF(($M1710-IFERROR(INDEX(設定!$G$6:$G$21,MATCH($G1710,設定!$B$6:$B$21,0)),0))*60&gt;=設定!$C$44,ROUND(FLOOR(($M1710-IFERROR(INDEX(設定!$G$6:$G$21,MATCH($G1710,設定!$B$6:$B$21,0)),0))*60,設定!$C$45)/60,2),0))</f>
        <v/>
      </c>
      <c r="R1710" s="16">
        <f>IF(OR($C1710="",$Q1710=0),"",IF($G1710="國","國定假日",IF($B1710="日","例假",IF($B1710="六","休息日","平日"))))</f>
        <v/>
      </c>
      <c r="S1710" s="19" t="n"/>
    </row>
    <row r="1711">
      <c r="A1711" s="82">
        <f>IF(OR(助理班表!$A60="",4&gt;DAY(EOMONTH(DATE(設定!$C$2,設定!$D$2,1),0))),"",DATE(設定!$C$2,設定!$D$2,4))</f>
        <v/>
      </c>
      <c r="B1711" s="16">
        <f>IF($A1711="","",INDEX(設定!$O$6:$O$12,WEEKDAY($A1711,1)))</f>
        <v/>
      </c>
      <c r="C1711" s="16">
        <f>IF($A1711="","",助理班表!$A60)</f>
        <v/>
      </c>
      <c r="D1711" s="16">
        <f>IF($C1711="","",助理班表!$B60)</f>
        <v/>
      </c>
      <c r="E1711" s="16">
        <f>IF($C1711="","",助理班表!$D60)</f>
        <v/>
      </c>
      <c r="F1711" s="16">
        <f>IF($C1711="","",助理班表!$C60)</f>
        <v/>
      </c>
      <c r="G1711" s="16">
        <f>IF($C1711="","",助理班表!H60)</f>
        <v/>
      </c>
      <c r="H1711" s="83">
        <f>IF($G1711="","",IFERROR(IF(INDEX(設定!$D$6:$D$21,MATCH($G1711,設定!$B$6:$B$21,0))=0,"",INDEX(設定!$D$6:$D$21,MATCH($G1711,設定!$B$6:$B$21,0))),""))</f>
        <v/>
      </c>
      <c r="I1711" s="83">
        <f>IF($G1711="","",IFERROR(IF(INDEX(設定!$E$6:$E$21,MATCH($G1711,設定!$B$6:$B$21,0))=0,"",INDEX(設定!$E$6:$E$21,MATCH($G1711,設定!$B$6:$B$21,0))),""))</f>
        <v/>
      </c>
      <c r="J1711" s="83">
        <f>IFERROR(INDEX(打卡匯入!$C$3:$C$2002,MATCH($C1711&amp;"|"&amp;DAY($A1711),打卡匯入!$E$3:$E$2002,0)),"")</f>
        <v/>
      </c>
      <c r="K1711" s="83">
        <f>IFERROR(INDEX(打卡匯入!$D$3:$D$2002,MATCH($C1711&amp;"|"&amp;DAY($A1711),打卡匯入!$E$3:$E$2002,0)),"")</f>
        <v/>
      </c>
      <c r="L1711" s="84">
        <f>IF(OR($J1711="",$K1711=""),"",IFERROR(INDEX(設定!$F$6:$F$21,MATCH($G1711,設定!$B$6:$B$21,0)),0))</f>
        <v/>
      </c>
      <c r="M1711" s="85">
        <f>IF(OR($J1711="",$K1711=""),"",ROUND(($K1711-$J1711)*24-$L1711/60,2))</f>
        <v/>
      </c>
      <c r="N1711" s="16">
        <f>IF($C1711="","",IF(AND(COUNTIF(設定!$B$15:$B$21,$G1711)&gt;0,$J1711&lt;&gt;""),"假日出勤",IF(AND(COUNTIF(設定!$B$6:$B$14,$G1711)&gt;0,$J1711=""),"未打卡",IF($J1711="","",IF($O1711&gt;0,"遲到",IF($P1711&gt;0,"早退","正常"))))))</f>
        <v/>
      </c>
      <c r="O1711" s="84">
        <f>IF(OR($C1711="",$H1711="",$J1711=""),0,IF(ROUND(($J1711-$H1711)*1440,0)&gt;設定!$C$46,ROUND(($J1711-$H1711)*1440,0),0))</f>
        <v/>
      </c>
      <c r="P1711" s="84">
        <f>IF(OR($C1711="",$I1711="",$K1711=""),0,IF(ROUND(($I1711-$K1711)*1440,0)&gt;設定!$C$46,ROUND(($I1711-$K1711)*1440,0),0))</f>
        <v/>
      </c>
      <c r="Q1711" s="85">
        <f>IF($M1711="",0,IF(($M1711-IFERROR(INDEX(設定!$G$6:$G$21,MATCH($G1711,設定!$B$6:$B$21,0)),0))*60&gt;=設定!$C$44,ROUND(FLOOR(($M1711-IFERROR(INDEX(設定!$G$6:$G$21,MATCH($G1711,設定!$B$6:$B$21,0)),0))*60,設定!$C$45)/60,2),0))</f>
        <v/>
      </c>
      <c r="R1711" s="16">
        <f>IF(OR($C1711="",$Q1711=0),"",IF($G1711="國","國定假日",IF($B1711="日","例假",IF($B1711="六","休息日","平日"))))</f>
        <v/>
      </c>
      <c r="S1711" s="19" t="n"/>
    </row>
    <row r="1712">
      <c r="A1712" s="82">
        <f>IF(OR(助理班表!$A60="",5&gt;DAY(EOMONTH(DATE(設定!$C$2,設定!$D$2,1),0))),"",DATE(設定!$C$2,設定!$D$2,5))</f>
        <v/>
      </c>
      <c r="B1712" s="16">
        <f>IF($A1712="","",INDEX(設定!$O$6:$O$12,WEEKDAY($A1712,1)))</f>
        <v/>
      </c>
      <c r="C1712" s="16">
        <f>IF($A1712="","",助理班表!$A60)</f>
        <v/>
      </c>
      <c r="D1712" s="16">
        <f>IF($C1712="","",助理班表!$B60)</f>
        <v/>
      </c>
      <c r="E1712" s="16">
        <f>IF($C1712="","",助理班表!$D60)</f>
        <v/>
      </c>
      <c r="F1712" s="16">
        <f>IF($C1712="","",助理班表!$C60)</f>
        <v/>
      </c>
      <c r="G1712" s="16">
        <f>IF($C1712="","",助理班表!I60)</f>
        <v/>
      </c>
      <c r="H1712" s="83">
        <f>IF($G1712="","",IFERROR(IF(INDEX(設定!$D$6:$D$21,MATCH($G1712,設定!$B$6:$B$21,0))=0,"",INDEX(設定!$D$6:$D$21,MATCH($G1712,設定!$B$6:$B$21,0))),""))</f>
        <v/>
      </c>
      <c r="I1712" s="83">
        <f>IF($G1712="","",IFERROR(IF(INDEX(設定!$E$6:$E$21,MATCH($G1712,設定!$B$6:$B$21,0))=0,"",INDEX(設定!$E$6:$E$21,MATCH($G1712,設定!$B$6:$B$21,0))),""))</f>
        <v/>
      </c>
      <c r="J1712" s="83">
        <f>IFERROR(INDEX(打卡匯入!$C$3:$C$2002,MATCH($C1712&amp;"|"&amp;DAY($A1712),打卡匯入!$E$3:$E$2002,0)),"")</f>
        <v/>
      </c>
      <c r="K1712" s="83">
        <f>IFERROR(INDEX(打卡匯入!$D$3:$D$2002,MATCH($C1712&amp;"|"&amp;DAY($A1712),打卡匯入!$E$3:$E$2002,0)),"")</f>
        <v/>
      </c>
      <c r="L1712" s="84">
        <f>IF(OR($J1712="",$K1712=""),"",IFERROR(INDEX(設定!$F$6:$F$21,MATCH($G1712,設定!$B$6:$B$21,0)),0))</f>
        <v/>
      </c>
      <c r="M1712" s="85">
        <f>IF(OR($J1712="",$K1712=""),"",ROUND(($K1712-$J1712)*24-$L1712/60,2))</f>
        <v/>
      </c>
      <c r="N1712" s="16">
        <f>IF($C1712="","",IF(AND(COUNTIF(設定!$B$15:$B$21,$G1712)&gt;0,$J1712&lt;&gt;""),"假日出勤",IF(AND(COUNTIF(設定!$B$6:$B$14,$G1712)&gt;0,$J1712=""),"未打卡",IF($J1712="","",IF($O1712&gt;0,"遲到",IF($P1712&gt;0,"早退","正常"))))))</f>
        <v/>
      </c>
      <c r="O1712" s="84">
        <f>IF(OR($C1712="",$H1712="",$J1712=""),0,IF(ROUND(($J1712-$H1712)*1440,0)&gt;設定!$C$46,ROUND(($J1712-$H1712)*1440,0),0))</f>
        <v/>
      </c>
      <c r="P1712" s="84">
        <f>IF(OR($C1712="",$I1712="",$K1712=""),0,IF(ROUND(($I1712-$K1712)*1440,0)&gt;設定!$C$46,ROUND(($I1712-$K1712)*1440,0),0))</f>
        <v/>
      </c>
      <c r="Q1712" s="85">
        <f>IF($M1712="",0,IF(($M1712-IFERROR(INDEX(設定!$G$6:$G$21,MATCH($G1712,設定!$B$6:$B$21,0)),0))*60&gt;=設定!$C$44,ROUND(FLOOR(($M1712-IFERROR(INDEX(設定!$G$6:$G$21,MATCH($G1712,設定!$B$6:$B$21,0)),0))*60,設定!$C$45)/60,2),0))</f>
        <v/>
      </c>
      <c r="R1712" s="16">
        <f>IF(OR($C1712="",$Q1712=0),"",IF($G1712="國","國定假日",IF($B1712="日","例假",IF($B1712="六","休息日","平日"))))</f>
        <v/>
      </c>
      <c r="S1712" s="19" t="n"/>
    </row>
    <row r="1713">
      <c r="A1713" s="82">
        <f>IF(OR(助理班表!$A60="",6&gt;DAY(EOMONTH(DATE(設定!$C$2,設定!$D$2,1),0))),"",DATE(設定!$C$2,設定!$D$2,6))</f>
        <v/>
      </c>
      <c r="B1713" s="16">
        <f>IF($A1713="","",INDEX(設定!$O$6:$O$12,WEEKDAY($A1713,1)))</f>
        <v/>
      </c>
      <c r="C1713" s="16">
        <f>IF($A1713="","",助理班表!$A60)</f>
        <v/>
      </c>
      <c r="D1713" s="16">
        <f>IF($C1713="","",助理班表!$B60)</f>
        <v/>
      </c>
      <c r="E1713" s="16">
        <f>IF($C1713="","",助理班表!$D60)</f>
        <v/>
      </c>
      <c r="F1713" s="16">
        <f>IF($C1713="","",助理班表!$C60)</f>
        <v/>
      </c>
      <c r="G1713" s="16">
        <f>IF($C1713="","",助理班表!J60)</f>
        <v/>
      </c>
      <c r="H1713" s="83">
        <f>IF($G1713="","",IFERROR(IF(INDEX(設定!$D$6:$D$21,MATCH($G1713,設定!$B$6:$B$21,0))=0,"",INDEX(設定!$D$6:$D$21,MATCH($G1713,設定!$B$6:$B$21,0))),""))</f>
        <v/>
      </c>
      <c r="I1713" s="83">
        <f>IF($G1713="","",IFERROR(IF(INDEX(設定!$E$6:$E$21,MATCH($G1713,設定!$B$6:$B$21,0))=0,"",INDEX(設定!$E$6:$E$21,MATCH($G1713,設定!$B$6:$B$21,0))),""))</f>
        <v/>
      </c>
      <c r="J1713" s="83">
        <f>IFERROR(INDEX(打卡匯入!$C$3:$C$2002,MATCH($C1713&amp;"|"&amp;DAY($A1713),打卡匯入!$E$3:$E$2002,0)),"")</f>
        <v/>
      </c>
      <c r="K1713" s="83">
        <f>IFERROR(INDEX(打卡匯入!$D$3:$D$2002,MATCH($C1713&amp;"|"&amp;DAY($A1713),打卡匯入!$E$3:$E$2002,0)),"")</f>
        <v/>
      </c>
      <c r="L1713" s="84">
        <f>IF(OR($J1713="",$K1713=""),"",IFERROR(INDEX(設定!$F$6:$F$21,MATCH($G1713,設定!$B$6:$B$21,0)),0))</f>
        <v/>
      </c>
      <c r="M1713" s="85">
        <f>IF(OR($J1713="",$K1713=""),"",ROUND(($K1713-$J1713)*24-$L1713/60,2))</f>
        <v/>
      </c>
      <c r="N1713" s="16">
        <f>IF($C1713="","",IF(AND(COUNTIF(設定!$B$15:$B$21,$G1713)&gt;0,$J1713&lt;&gt;""),"假日出勤",IF(AND(COUNTIF(設定!$B$6:$B$14,$G1713)&gt;0,$J1713=""),"未打卡",IF($J1713="","",IF($O1713&gt;0,"遲到",IF($P1713&gt;0,"早退","正常"))))))</f>
        <v/>
      </c>
      <c r="O1713" s="84">
        <f>IF(OR($C1713="",$H1713="",$J1713=""),0,IF(ROUND(($J1713-$H1713)*1440,0)&gt;設定!$C$46,ROUND(($J1713-$H1713)*1440,0),0))</f>
        <v/>
      </c>
      <c r="P1713" s="84">
        <f>IF(OR($C1713="",$I1713="",$K1713=""),0,IF(ROUND(($I1713-$K1713)*1440,0)&gt;設定!$C$46,ROUND(($I1713-$K1713)*1440,0),0))</f>
        <v/>
      </c>
      <c r="Q1713" s="85">
        <f>IF($M1713="",0,IF(($M1713-IFERROR(INDEX(設定!$G$6:$G$21,MATCH($G1713,設定!$B$6:$B$21,0)),0))*60&gt;=設定!$C$44,ROUND(FLOOR(($M1713-IFERROR(INDEX(設定!$G$6:$G$21,MATCH($G1713,設定!$B$6:$B$21,0)),0))*60,設定!$C$45)/60,2),0))</f>
        <v/>
      </c>
      <c r="R1713" s="16">
        <f>IF(OR($C1713="",$Q1713=0),"",IF($G1713="國","國定假日",IF($B1713="日","例假",IF($B1713="六","休息日","平日"))))</f>
        <v/>
      </c>
      <c r="S1713" s="19" t="n"/>
    </row>
    <row r="1714">
      <c r="A1714" s="82">
        <f>IF(OR(助理班表!$A60="",7&gt;DAY(EOMONTH(DATE(設定!$C$2,設定!$D$2,1),0))),"",DATE(設定!$C$2,設定!$D$2,7))</f>
        <v/>
      </c>
      <c r="B1714" s="16">
        <f>IF($A1714="","",INDEX(設定!$O$6:$O$12,WEEKDAY($A1714,1)))</f>
        <v/>
      </c>
      <c r="C1714" s="16">
        <f>IF($A1714="","",助理班表!$A60)</f>
        <v/>
      </c>
      <c r="D1714" s="16">
        <f>IF($C1714="","",助理班表!$B60)</f>
        <v/>
      </c>
      <c r="E1714" s="16">
        <f>IF($C1714="","",助理班表!$D60)</f>
        <v/>
      </c>
      <c r="F1714" s="16">
        <f>IF($C1714="","",助理班表!$C60)</f>
        <v/>
      </c>
      <c r="G1714" s="16">
        <f>IF($C1714="","",助理班表!K60)</f>
        <v/>
      </c>
      <c r="H1714" s="83">
        <f>IF($G1714="","",IFERROR(IF(INDEX(設定!$D$6:$D$21,MATCH($G1714,設定!$B$6:$B$21,0))=0,"",INDEX(設定!$D$6:$D$21,MATCH($G1714,設定!$B$6:$B$21,0))),""))</f>
        <v/>
      </c>
      <c r="I1714" s="83">
        <f>IF($G1714="","",IFERROR(IF(INDEX(設定!$E$6:$E$21,MATCH($G1714,設定!$B$6:$B$21,0))=0,"",INDEX(設定!$E$6:$E$21,MATCH($G1714,設定!$B$6:$B$21,0))),""))</f>
        <v/>
      </c>
      <c r="J1714" s="83">
        <f>IFERROR(INDEX(打卡匯入!$C$3:$C$2002,MATCH($C1714&amp;"|"&amp;DAY($A1714),打卡匯入!$E$3:$E$2002,0)),"")</f>
        <v/>
      </c>
      <c r="K1714" s="83">
        <f>IFERROR(INDEX(打卡匯入!$D$3:$D$2002,MATCH($C1714&amp;"|"&amp;DAY($A1714),打卡匯入!$E$3:$E$2002,0)),"")</f>
        <v/>
      </c>
      <c r="L1714" s="84">
        <f>IF(OR($J1714="",$K1714=""),"",IFERROR(INDEX(設定!$F$6:$F$21,MATCH($G1714,設定!$B$6:$B$21,0)),0))</f>
        <v/>
      </c>
      <c r="M1714" s="85">
        <f>IF(OR($J1714="",$K1714=""),"",ROUND(($K1714-$J1714)*24-$L1714/60,2))</f>
        <v/>
      </c>
      <c r="N1714" s="16">
        <f>IF($C1714="","",IF(AND(COUNTIF(設定!$B$15:$B$21,$G1714)&gt;0,$J1714&lt;&gt;""),"假日出勤",IF(AND(COUNTIF(設定!$B$6:$B$14,$G1714)&gt;0,$J1714=""),"未打卡",IF($J1714="","",IF($O1714&gt;0,"遲到",IF($P1714&gt;0,"早退","正常"))))))</f>
        <v/>
      </c>
      <c r="O1714" s="84">
        <f>IF(OR($C1714="",$H1714="",$J1714=""),0,IF(ROUND(($J1714-$H1714)*1440,0)&gt;設定!$C$46,ROUND(($J1714-$H1714)*1440,0),0))</f>
        <v/>
      </c>
      <c r="P1714" s="84">
        <f>IF(OR($C1714="",$I1714="",$K1714=""),0,IF(ROUND(($I1714-$K1714)*1440,0)&gt;設定!$C$46,ROUND(($I1714-$K1714)*1440,0),0))</f>
        <v/>
      </c>
      <c r="Q1714" s="85">
        <f>IF($M1714="",0,IF(($M1714-IFERROR(INDEX(設定!$G$6:$G$21,MATCH($G1714,設定!$B$6:$B$21,0)),0))*60&gt;=設定!$C$44,ROUND(FLOOR(($M1714-IFERROR(INDEX(設定!$G$6:$G$21,MATCH($G1714,設定!$B$6:$B$21,0)),0))*60,設定!$C$45)/60,2),0))</f>
        <v/>
      </c>
      <c r="R1714" s="16">
        <f>IF(OR($C1714="",$Q1714=0),"",IF($G1714="國","國定假日",IF($B1714="日","例假",IF($B1714="六","休息日","平日"))))</f>
        <v/>
      </c>
      <c r="S1714" s="19" t="n"/>
    </row>
    <row r="1715">
      <c r="A1715" s="82">
        <f>IF(OR(助理班表!$A60="",8&gt;DAY(EOMONTH(DATE(設定!$C$2,設定!$D$2,1),0))),"",DATE(設定!$C$2,設定!$D$2,8))</f>
        <v/>
      </c>
      <c r="B1715" s="16">
        <f>IF($A1715="","",INDEX(設定!$O$6:$O$12,WEEKDAY($A1715,1)))</f>
        <v/>
      </c>
      <c r="C1715" s="16">
        <f>IF($A1715="","",助理班表!$A60)</f>
        <v/>
      </c>
      <c r="D1715" s="16">
        <f>IF($C1715="","",助理班表!$B60)</f>
        <v/>
      </c>
      <c r="E1715" s="16">
        <f>IF($C1715="","",助理班表!$D60)</f>
        <v/>
      </c>
      <c r="F1715" s="16">
        <f>IF($C1715="","",助理班表!$C60)</f>
        <v/>
      </c>
      <c r="G1715" s="16">
        <f>IF($C1715="","",助理班表!L60)</f>
        <v/>
      </c>
      <c r="H1715" s="83">
        <f>IF($G1715="","",IFERROR(IF(INDEX(設定!$D$6:$D$21,MATCH($G1715,設定!$B$6:$B$21,0))=0,"",INDEX(設定!$D$6:$D$21,MATCH($G1715,設定!$B$6:$B$21,0))),""))</f>
        <v/>
      </c>
      <c r="I1715" s="83">
        <f>IF($G1715="","",IFERROR(IF(INDEX(設定!$E$6:$E$21,MATCH($G1715,設定!$B$6:$B$21,0))=0,"",INDEX(設定!$E$6:$E$21,MATCH($G1715,設定!$B$6:$B$21,0))),""))</f>
        <v/>
      </c>
      <c r="J1715" s="83">
        <f>IFERROR(INDEX(打卡匯入!$C$3:$C$2002,MATCH($C1715&amp;"|"&amp;DAY($A1715),打卡匯入!$E$3:$E$2002,0)),"")</f>
        <v/>
      </c>
      <c r="K1715" s="83">
        <f>IFERROR(INDEX(打卡匯入!$D$3:$D$2002,MATCH($C1715&amp;"|"&amp;DAY($A1715),打卡匯入!$E$3:$E$2002,0)),"")</f>
        <v/>
      </c>
      <c r="L1715" s="84">
        <f>IF(OR($J1715="",$K1715=""),"",IFERROR(INDEX(設定!$F$6:$F$21,MATCH($G1715,設定!$B$6:$B$21,0)),0))</f>
        <v/>
      </c>
      <c r="M1715" s="85">
        <f>IF(OR($J1715="",$K1715=""),"",ROUND(($K1715-$J1715)*24-$L1715/60,2))</f>
        <v/>
      </c>
      <c r="N1715" s="16">
        <f>IF($C1715="","",IF(AND(COUNTIF(設定!$B$15:$B$21,$G1715)&gt;0,$J1715&lt;&gt;""),"假日出勤",IF(AND(COUNTIF(設定!$B$6:$B$14,$G1715)&gt;0,$J1715=""),"未打卡",IF($J1715="","",IF($O1715&gt;0,"遲到",IF($P1715&gt;0,"早退","正常"))))))</f>
        <v/>
      </c>
      <c r="O1715" s="84">
        <f>IF(OR($C1715="",$H1715="",$J1715=""),0,IF(ROUND(($J1715-$H1715)*1440,0)&gt;設定!$C$46,ROUND(($J1715-$H1715)*1440,0),0))</f>
        <v/>
      </c>
      <c r="P1715" s="84">
        <f>IF(OR($C1715="",$I1715="",$K1715=""),0,IF(ROUND(($I1715-$K1715)*1440,0)&gt;設定!$C$46,ROUND(($I1715-$K1715)*1440,0),0))</f>
        <v/>
      </c>
      <c r="Q1715" s="85">
        <f>IF($M1715="",0,IF(($M1715-IFERROR(INDEX(設定!$G$6:$G$21,MATCH($G1715,設定!$B$6:$B$21,0)),0))*60&gt;=設定!$C$44,ROUND(FLOOR(($M1715-IFERROR(INDEX(設定!$G$6:$G$21,MATCH($G1715,設定!$B$6:$B$21,0)),0))*60,設定!$C$45)/60,2),0))</f>
        <v/>
      </c>
      <c r="R1715" s="16">
        <f>IF(OR($C1715="",$Q1715=0),"",IF($G1715="國","國定假日",IF($B1715="日","例假",IF($B1715="六","休息日","平日"))))</f>
        <v/>
      </c>
      <c r="S1715" s="19" t="n"/>
    </row>
    <row r="1716">
      <c r="A1716" s="82">
        <f>IF(OR(助理班表!$A60="",9&gt;DAY(EOMONTH(DATE(設定!$C$2,設定!$D$2,1),0))),"",DATE(設定!$C$2,設定!$D$2,9))</f>
        <v/>
      </c>
      <c r="B1716" s="16">
        <f>IF($A1716="","",INDEX(設定!$O$6:$O$12,WEEKDAY($A1716,1)))</f>
        <v/>
      </c>
      <c r="C1716" s="16">
        <f>IF($A1716="","",助理班表!$A60)</f>
        <v/>
      </c>
      <c r="D1716" s="16">
        <f>IF($C1716="","",助理班表!$B60)</f>
        <v/>
      </c>
      <c r="E1716" s="16">
        <f>IF($C1716="","",助理班表!$D60)</f>
        <v/>
      </c>
      <c r="F1716" s="16">
        <f>IF($C1716="","",助理班表!$C60)</f>
        <v/>
      </c>
      <c r="G1716" s="16">
        <f>IF($C1716="","",助理班表!M60)</f>
        <v/>
      </c>
      <c r="H1716" s="83">
        <f>IF($G1716="","",IFERROR(IF(INDEX(設定!$D$6:$D$21,MATCH($G1716,設定!$B$6:$B$21,0))=0,"",INDEX(設定!$D$6:$D$21,MATCH($G1716,設定!$B$6:$B$21,0))),""))</f>
        <v/>
      </c>
      <c r="I1716" s="83">
        <f>IF($G1716="","",IFERROR(IF(INDEX(設定!$E$6:$E$21,MATCH($G1716,設定!$B$6:$B$21,0))=0,"",INDEX(設定!$E$6:$E$21,MATCH($G1716,設定!$B$6:$B$21,0))),""))</f>
        <v/>
      </c>
      <c r="J1716" s="83">
        <f>IFERROR(INDEX(打卡匯入!$C$3:$C$2002,MATCH($C1716&amp;"|"&amp;DAY($A1716),打卡匯入!$E$3:$E$2002,0)),"")</f>
        <v/>
      </c>
      <c r="K1716" s="83">
        <f>IFERROR(INDEX(打卡匯入!$D$3:$D$2002,MATCH($C1716&amp;"|"&amp;DAY($A1716),打卡匯入!$E$3:$E$2002,0)),"")</f>
        <v/>
      </c>
      <c r="L1716" s="84">
        <f>IF(OR($J1716="",$K1716=""),"",IFERROR(INDEX(設定!$F$6:$F$21,MATCH($G1716,設定!$B$6:$B$21,0)),0))</f>
        <v/>
      </c>
      <c r="M1716" s="85">
        <f>IF(OR($J1716="",$K1716=""),"",ROUND(($K1716-$J1716)*24-$L1716/60,2))</f>
        <v/>
      </c>
      <c r="N1716" s="16">
        <f>IF($C1716="","",IF(AND(COUNTIF(設定!$B$15:$B$21,$G1716)&gt;0,$J1716&lt;&gt;""),"假日出勤",IF(AND(COUNTIF(設定!$B$6:$B$14,$G1716)&gt;0,$J1716=""),"未打卡",IF($J1716="","",IF($O1716&gt;0,"遲到",IF($P1716&gt;0,"早退","正常"))))))</f>
        <v/>
      </c>
      <c r="O1716" s="84">
        <f>IF(OR($C1716="",$H1716="",$J1716=""),0,IF(ROUND(($J1716-$H1716)*1440,0)&gt;設定!$C$46,ROUND(($J1716-$H1716)*1440,0),0))</f>
        <v/>
      </c>
      <c r="P1716" s="84">
        <f>IF(OR($C1716="",$I1716="",$K1716=""),0,IF(ROUND(($I1716-$K1716)*1440,0)&gt;設定!$C$46,ROUND(($I1716-$K1716)*1440,0),0))</f>
        <v/>
      </c>
      <c r="Q1716" s="85">
        <f>IF($M1716="",0,IF(($M1716-IFERROR(INDEX(設定!$G$6:$G$21,MATCH($G1716,設定!$B$6:$B$21,0)),0))*60&gt;=設定!$C$44,ROUND(FLOOR(($M1716-IFERROR(INDEX(設定!$G$6:$G$21,MATCH($G1716,設定!$B$6:$B$21,0)),0))*60,設定!$C$45)/60,2),0))</f>
        <v/>
      </c>
      <c r="R1716" s="16">
        <f>IF(OR($C1716="",$Q1716=0),"",IF($G1716="國","國定假日",IF($B1716="日","例假",IF($B1716="六","休息日","平日"))))</f>
        <v/>
      </c>
      <c r="S1716" s="19" t="n"/>
    </row>
    <row r="1717">
      <c r="A1717" s="82">
        <f>IF(OR(助理班表!$A60="",10&gt;DAY(EOMONTH(DATE(設定!$C$2,設定!$D$2,1),0))),"",DATE(設定!$C$2,設定!$D$2,10))</f>
        <v/>
      </c>
      <c r="B1717" s="16">
        <f>IF($A1717="","",INDEX(設定!$O$6:$O$12,WEEKDAY($A1717,1)))</f>
        <v/>
      </c>
      <c r="C1717" s="16">
        <f>IF($A1717="","",助理班表!$A60)</f>
        <v/>
      </c>
      <c r="D1717" s="16">
        <f>IF($C1717="","",助理班表!$B60)</f>
        <v/>
      </c>
      <c r="E1717" s="16">
        <f>IF($C1717="","",助理班表!$D60)</f>
        <v/>
      </c>
      <c r="F1717" s="16">
        <f>IF($C1717="","",助理班表!$C60)</f>
        <v/>
      </c>
      <c r="G1717" s="16">
        <f>IF($C1717="","",助理班表!N60)</f>
        <v/>
      </c>
      <c r="H1717" s="83">
        <f>IF($G1717="","",IFERROR(IF(INDEX(設定!$D$6:$D$21,MATCH($G1717,設定!$B$6:$B$21,0))=0,"",INDEX(設定!$D$6:$D$21,MATCH($G1717,設定!$B$6:$B$21,0))),""))</f>
        <v/>
      </c>
      <c r="I1717" s="83">
        <f>IF($G1717="","",IFERROR(IF(INDEX(設定!$E$6:$E$21,MATCH($G1717,設定!$B$6:$B$21,0))=0,"",INDEX(設定!$E$6:$E$21,MATCH($G1717,設定!$B$6:$B$21,0))),""))</f>
        <v/>
      </c>
      <c r="J1717" s="83">
        <f>IFERROR(INDEX(打卡匯入!$C$3:$C$2002,MATCH($C1717&amp;"|"&amp;DAY($A1717),打卡匯入!$E$3:$E$2002,0)),"")</f>
        <v/>
      </c>
      <c r="K1717" s="83">
        <f>IFERROR(INDEX(打卡匯入!$D$3:$D$2002,MATCH($C1717&amp;"|"&amp;DAY($A1717),打卡匯入!$E$3:$E$2002,0)),"")</f>
        <v/>
      </c>
      <c r="L1717" s="84">
        <f>IF(OR($J1717="",$K1717=""),"",IFERROR(INDEX(設定!$F$6:$F$21,MATCH($G1717,設定!$B$6:$B$21,0)),0))</f>
        <v/>
      </c>
      <c r="M1717" s="85">
        <f>IF(OR($J1717="",$K1717=""),"",ROUND(($K1717-$J1717)*24-$L1717/60,2))</f>
        <v/>
      </c>
      <c r="N1717" s="16">
        <f>IF($C1717="","",IF(AND(COUNTIF(設定!$B$15:$B$21,$G1717)&gt;0,$J1717&lt;&gt;""),"假日出勤",IF(AND(COUNTIF(設定!$B$6:$B$14,$G1717)&gt;0,$J1717=""),"未打卡",IF($J1717="","",IF($O1717&gt;0,"遲到",IF($P1717&gt;0,"早退","正常"))))))</f>
        <v/>
      </c>
      <c r="O1717" s="84">
        <f>IF(OR($C1717="",$H1717="",$J1717=""),0,IF(ROUND(($J1717-$H1717)*1440,0)&gt;設定!$C$46,ROUND(($J1717-$H1717)*1440,0),0))</f>
        <v/>
      </c>
      <c r="P1717" s="84">
        <f>IF(OR($C1717="",$I1717="",$K1717=""),0,IF(ROUND(($I1717-$K1717)*1440,0)&gt;設定!$C$46,ROUND(($I1717-$K1717)*1440,0),0))</f>
        <v/>
      </c>
      <c r="Q1717" s="85">
        <f>IF($M1717="",0,IF(($M1717-IFERROR(INDEX(設定!$G$6:$G$21,MATCH($G1717,設定!$B$6:$B$21,0)),0))*60&gt;=設定!$C$44,ROUND(FLOOR(($M1717-IFERROR(INDEX(設定!$G$6:$G$21,MATCH($G1717,設定!$B$6:$B$21,0)),0))*60,設定!$C$45)/60,2),0))</f>
        <v/>
      </c>
      <c r="R1717" s="16">
        <f>IF(OR($C1717="",$Q1717=0),"",IF($G1717="國","國定假日",IF($B1717="日","例假",IF($B1717="六","休息日","平日"))))</f>
        <v/>
      </c>
      <c r="S1717" s="19" t="n"/>
    </row>
    <row r="1718">
      <c r="A1718" s="82">
        <f>IF(OR(助理班表!$A60="",11&gt;DAY(EOMONTH(DATE(設定!$C$2,設定!$D$2,1),0))),"",DATE(設定!$C$2,設定!$D$2,11))</f>
        <v/>
      </c>
      <c r="B1718" s="16">
        <f>IF($A1718="","",INDEX(設定!$O$6:$O$12,WEEKDAY($A1718,1)))</f>
        <v/>
      </c>
      <c r="C1718" s="16">
        <f>IF($A1718="","",助理班表!$A60)</f>
        <v/>
      </c>
      <c r="D1718" s="16">
        <f>IF($C1718="","",助理班表!$B60)</f>
        <v/>
      </c>
      <c r="E1718" s="16">
        <f>IF($C1718="","",助理班表!$D60)</f>
        <v/>
      </c>
      <c r="F1718" s="16">
        <f>IF($C1718="","",助理班表!$C60)</f>
        <v/>
      </c>
      <c r="G1718" s="16">
        <f>IF($C1718="","",助理班表!O60)</f>
        <v/>
      </c>
      <c r="H1718" s="83">
        <f>IF($G1718="","",IFERROR(IF(INDEX(設定!$D$6:$D$21,MATCH($G1718,設定!$B$6:$B$21,0))=0,"",INDEX(設定!$D$6:$D$21,MATCH($G1718,設定!$B$6:$B$21,0))),""))</f>
        <v/>
      </c>
      <c r="I1718" s="83">
        <f>IF($G1718="","",IFERROR(IF(INDEX(設定!$E$6:$E$21,MATCH($G1718,設定!$B$6:$B$21,0))=0,"",INDEX(設定!$E$6:$E$21,MATCH($G1718,設定!$B$6:$B$21,0))),""))</f>
        <v/>
      </c>
      <c r="J1718" s="83">
        <f>IFERROR(INDEX(打卡匯入!$C$3:$C$2002,MATCH($C1718&amp;"|"&amp;DAY($A1718),打卡匯入!$E$3:$E$2002,0)),"")</f>
        <v/>
      </c>
      <c r="K1718" s="83">
        <f>IFERROR(INDEX(打卡匯入!$D$3:$D$2002,MATCH($C1718&amp;"|"&amp;DAY($A1718),打卡匯入!$E$3:$E$2002,0)),"")</f>
        <v/>
      </c>
      <c r="L1718" s="84">
        <f>IF(OR($J1718="",$K1718=""),"",IFERROR(INDEX(設定!$F$6:$F$21,MATCH($G1718,設定!$B$6:$B$21,0)),0))</f>
        <v/>
      </c>
      <c r="M1718" s="85">
        <f>IF(OR($J1718="",$K1718=""),"",ROUND(($K1718-$J1718)*24-$L1718/60,2))</f>
        <v/>
      </c>
      <c r="N1718" s="16">
        <f>IF($C1718="","",IF(AND(COUNTIF(設定!$B$15:$B$21,$G1718)&gt;0,$J1718&lt;&gt;""),"假日出勤",IF(AND(COUNTIF(設定!$B$6:$B$14,$G1718)&gt;0,$J1718=""),"未打卡",IF($J1718="","",IF($O1718&gt;0,"遲到",IF($P1718&gt;0,"早退","正常"))))))</f>
        <v/>
      </c>
      <c r="O1718" s="84">
        <f>IF(OR($C1718="",$H1718="",$J1718=""),0,IF(ROUND(($J1718-$H1718)*1440,0)&gt;設定!$C$46,ROUND(($J1718-$H1718)*1440,0),0))</f>
        <v/>
      </c>
      <c r="P1718" s="84">
        <f>IF(OR($C1718="",$I1718="",$K1718=""),0,IF(ROUND(($I1718-$K1718)*1440,0)&gt;設定!$C$46,ROUND(($I1718-$K1718)*1440,0),0))</f>
        <v/>
      </c>
      <c r="Q1718" s="85">
        <f>IF($M1718="",0,IF(($M1718-IFERROR(INDEX(設定!$G$6:$G$21,MATCH($G1718,設定!$B$6:$B$21,0)),0))*60&gt;=設定!$C$44,ROUND(FLOOR(($M1718-IFERROR(INDEX(設定!$G$6:$G$21,MATCH($G1718,設定!$B$6:$B$21,0)),0))*60,設定!$C$45)/60,2),0))</f>
        <v/>
      </c>
      <c r="R1718" s="16">
        <f>IF(OR($C1718="",$Q1718=0),"",IF($G1718="國","國定假日",IF($B1718="日","例假",IF($B1718="六","休息日","平日"))))</f>
        <v/>
      </c>
      <c r="S1718" s="19" t="n"/>
    </row>
    <row r="1719">
      <c r="A1719" s="82">
        <f>IF(OR(助理班表!$A60="",12&gt;DAY(EOMONTH(DATE(設定!$C$2,設定!$D$2,1),0))),"",DATE(設定!$C$2,設定!$D$2,12))</f>
        <v/>
      </c>
      <c r="B1719" s="16">
        <f>IF($A1719="","",INDEX(設定!$O$6:$O$12,WEEKDAY($A1719,1)))</f>
        <v/>
      </c>
      <c r="C1719" s="16">
        <f>IF($A1719="","",助理班表!$A60)</f>
        <v/>
      </c>
      <c r="D1719" s="16">
        <f>IF($C1719="","",助理班表!$B60)</f>
        <v/>
      </c>
      <c r="E1719" s="16">
        <f>IF($C1719="","",助理班表!$D60)</f>
        <v/>
      </c>
      <c r="F1719" s="16">
        <f>IF($C1719="","",助理班表!$C60)</f>
        <v/>
      </c>
      <c r="G1719" s="16">
        <f>IF($C1719="","",助理班表!P60)</f>
        <v/>
      </c>
      <c r="H1719" s="83">
        <f>IF($G1719="","",IFERROR(IF(INDEX(設定!$D$6:$D$21,MATCH($G1719,設定!$B$6:$B$21,0))=0,"",INDEX(設定!$D$6:$D$21,MATCH($G1719,設定!$B$6:$B$21,0))),""))</f>
        <v/>
      </c>
      <c r="I1719" s="83">
        <f>IF($G1719="","",IFERROR(IF(INDEX(設定!$E$6:$E$21,MATCH($G1719,設定!$B$6:$B$21,0))=0,"",INDEX(設定!$E$6:$E$21,MATCH($G1719,設定!$B$6:$B$21,0))),""))</f>
        <v/>
      </c>
      <c r="J1719" s="83">
        <f>IFERROR(INDEX(打卡匯入!$C$3:$C$2002,MATCH($C1719&amp;"|"&amp;DAY($A1719),打卡匯入!$E$3:$E$2002,0)),"")</f>
        <v/>
      </c>
      <c r="K1719" s="83">
        <f>IFERROR(INDEX(打卡匯入!$D$3:$D$2002,MATCH($C1719&amp;"|"&amp;DAY($A1719),打卡匯入!$E$3:$E$2002,0)),"")</f>
        <v/>
      </c>
      <c r="L1719" s="84">
        <f>IF(OR($J1719="",$K1719=""),"",IFERROR(INDEX(設定!$F$6:$F$21,MATCH($G1719,設定!$B$6:$B$21,0)),0))</f>
        <v/>
      </c>
      <c r="M1719" s="85">
        <f>IF(OR($J1719="",$K1719=""),"",ROUND(($K1719-$J1719)*24-$L1719/60,2))</f>
        <v/>
      </c>
      <c r="N1719" s="16">
        <f>IF($C1719="","",IF(AND(COUNTIF(設定!$B$15:$B$21,$G1719)&gt;0,$J1719&lt;&gt;""),"假日出勤",IF(AND(COUNTIF(設定!$B$6:$B$14,$G1719)&gt;0,$J1719=""),"未打卡",IF($J1719="","",IF($O1719&gt;0,"遲到",IF($P1719&gt;0,"早退","正常"))))))</f>
        <v/>
      </c>
      <c r="O1719" s="84">
        <f>IF(OR($C1719="",$H1719="",$J1719=""),0,IF(ROUND(($J1719-$H1719)*1440,0)&gt;設定!$C$46,ROUND(($J1719-$H1719)*1440,0),0))</f>
        <v/>
      </c>
      <c r="P1719" s="84">
        <f>IF(OR($C1719="",$I1719="",$K1719=""),0,IF(ROUND(($I1719-$K1719)*1440,0)&gt;設定!$C$46,ROUND(($I1719-$K1719)*1440,0),0))</f>
        <v/>
      </c>
      <c r="Q1719" s="85">
        <f>IF($M1719="",0,IF(($M1719-IFERROR(INDEX(設定!$G$6:$G$21,MATCH($G1719,設定!$B$6:$B$21,0)),0))*60&gt;=設定!$C$44,ROUND(FLOOR(($M1719-IFERROR(INDEX(設定!$G$6:$G$21,MATCH($G1719,設定!$B$6:$B$21,0)),0))*60,設定!$C$45)/60,2),0))</f>
        <v/>
      </c>
      <c r="R1719" s="16">
        <f>IF(OR($C1719="",$Q1719=0),"",IF($G1719="國","國定假日",IF($B1719="日","例假",IF($B1719="六","休息日","平日"))))</f>
        <v/>
      </c>
      <c r="S1719" s="19" t="n"/>
    </row>
    <row r="1720">
      <c r="A1720" s="82">
        <f>IF(OR(助理班表!$A60="",13&gt;DAY(EOMONTH(DATE(設定!$C$2,設定!$D$2,1),0))),"",DATE(設定!$C$2,設定!$D$2,13))</f>
        <v/>
      </c>
      <c r="B1720" s="16">
        <f>IF($A1720="","",INDEX(設定!$O$6:$O$12,WEEKDAY($A1720,1)))</f>
        <v/>
      </c>
      <c r="C1720" s="16">
        <f>IF($A1720="","",助理班表!$A60)</f>
        <v/>
      </c>
      <c r="D1720" s="16">
        <f>IF($C1720="","",助理班表!$B60)</f>
        <v/>
      </c>
      <c r="E1720" s="16">
        <f>IF($C1720="","",助理班表!$D60)</f>
        <v/>
      </c>
      <c r="F1720" s="16">
        <f>IF($C1720="","",助理班表!$C60)</f>
        <v/>
      </c>
      <c r="G1720" s="16">
        <f>IF($C1720="","",助理班表!Q60)</f>
        <v/>
      </c>
      <c r="H1720" s="83">
        <f>IF($G1720="","",IFERROR(IF(INDEX(設定!$D$6:$D$21,MATCH($G1720,設定!$B$6:$B$21,0))=0,"",INDEX(設定!$D$6:$D$21,MATCH($G1720,設定!$B$6:$B$21,0))),""))</f>
        <v/>
      </c>
      <c r="I1720" s="83">
        <f>IF($G1720="","",IFERROR(IF(INDEX(設定!$E$6:$E$21,MATCH($G1720,設定!$B$6:$B$21,0))=0,"",INDEX(設定!$E$6:$E$21,MATCH($G1720,設定!$B$6:$B$21,0))),""))</f>
        <v/>
      </c>
      <c r="J1720" s="83">
        <f>IFERROR(INDEX(打卡匯入!$C$3:$C$2002,MATCH($C1720&amp;"|"&amp;DAY($A1720),打卡匯入!$E$3:$E$2002,0)),"")</f>
        <v/>
      </c>
      <c r="K1720" s="83">
        <f>IFERROR(INDEX(打卡匯入!$D$3:$D$2002,MATCH($C1720&amp;"|"&amp;DAY($A1720),打卡匯入!$E$3:$E$2002,0)),"")</f>
        <v/>
      </c>
      <c r="L1720" s="84">
        <f>IF(OR($J1720="",$K1720=""),"",IFERROR(INDEX(設定!$F$6:$F$21,MATCH($G1720,設定!$B$6:$B$21,0)),0))</f>
        <v/>
      </c>
      <c r="M1720" s="85">
        <f>IF(OR($J1720="",$K1720=""),"",ROUND(($K1720-$J1720)*24-$L1720/60,2))</f>
        <v/>
      </c>
      <c r="N1720" s="16">
        <f>IF($C1720="","",IF(AND(COUNTIF(設定!$B$15:$B$21,$G1720)&gt;0,$J1720&lt;&gt;""),"假日出勤",IF(AND(COUNTIF(設定!$B$6:$B$14,$G1720)&gt;0,$J1720=""),"未打卡",IF($J1720="","",IF($O1720&gt;0,"遲到",IF($P1720&gt;0,"早退","正常"))))))</f>
        <v/>
      </c>
      <c r="O1720" s="84">
        <f>IF(OR($C1720="",$H1720="",$J1720=""),0,IF(ROUND(($J1720-$H1720)*1440,0)&gt;設定!$C$46,ROUND(($J1720-$H1720)*1440,0),0))</f>
        <v/>
      </c>
      <c r="P1720" s="84">
        <f>IF(OR($C1720="",$I1720="",$K1720=""),0,IF(ROUND(($I1720-$K1720)*1440,0)&gt;設定!$C$46,ROUND(($I1720-$K1720)*1440,0),0))</f>
        <v/>
      </c>
      <c r="Q1720" s="85">
        <f>IF($M1720="",0,IF(($M1720-IFERROR(INDEX(設定!$G$6:$G$21,MATCH($G1720,設定!$B$6:$B$21,0)),0))*60&gt;=設定!$C$44,ROUND(FLOOR(($M1720-IFERROR(INDEX(設定!$G$6:$G$21,MATCH($G1720,設定!$B$6:$B$21,0)),0))*60,設定!$C$45)/60,2),0))</f>
        <v/>
      </c>
      <c r="R1720" s="16">
        <f>IF(OR($C1720="",$Q1720=0),"",IF($G1720="國","國定假日",IF($B1720="日","例假",IF($B1720="六","休息日","平日"))))</f>
        <v/>
      </c>
      <c r="S1720" s="19" t="n"/>
    </row>
    <row r="1721">
      <c r="A1721" s="82">
        <f>IF(OR(助理班表!$A60="",14&gt;DAY(EOMONTH(DATE(設定!$C$2,設定!$D$2,1),0))),"",DATE(設定!$C$2,設定!$D$2,14))</f>
        <v/>
      </c>
      <c r="B1721" s="16">
        <f>IF($A1721="","",INDEX(設定!$O$6:$O$12,WEEKDAY($A1721,1)))</f>
        <v/>
      </c>
      <c r="C1721" s="16">
        <f>IF($A1721="","",助理班表!$A60)</f>
        <v/>
      </c>
      <c r="D1721" s="16">
        <f>IF($C1721="","",助理班表!$B60)</f>
        <v/>
      </c>
      <c r="E1721" s="16">
        <f>IF($C1721="","",助理班表!$D60)</f>
        <v/>
      </c>
      <c r="F1721" s="16">
        <f>IF($C1721="","",助理班表!$C60)</f>
        <v/>
      </c>
      <c r="G1721" s="16">
        <f>IF($C1721="","",助理班表!R60)</f>
        <v/>
      </c>
      <c r="H1721" s="83">
        <f>IF($G1721="","",IFERROR(IF(INDEX(設定!$D$6:$D$21,MATCH($G1721,設定!$B$6:$B$21,0))=0,"",INDEX(設定!$D$6:$D$21,MATCH($G1721,設定!$B$6:$B$21,0))),""))</f>
        <v/>
      </c>
      <c r="I1721" s="83">
        <f>IF($G1721="","",IFERROR(IF(INDEX(設定!$E$6:$E$21,MATCH($G1721,設定!$B$6:$B$21,0))=0,"",INDEX(設定!$E$6:$E$21,MATCH($G1721,設定!$B$6:$B$21,0))),""))</f>
        <v/>
      </c>
      <c r="J1721" s="83">
        <f>IFERROR(INDEX(打卡匯入!$C$3:$C$2002,MATCH($C1721&amp;"|"&amp;DAY($A1721),打卡匯入!$E$3:$E$2002,0)),"")</f>
        <v/>
      </c>
      <c r="K1721" s="83">
        <f>IFERROR(INDEX(打卡匯入!$D$3:$D$2002,MATCH($C1721&amp;"|"&amp;DAY($A1721),打卡匯入!$E$3:$E$2002,0)),"")</f>
        <v/>
      </c>
      <c r="L1721" s="84">
        <f>IF(OR($J1721="",$K1721=""),"",IFERROR(INDEX(設定!$F$6:$F$21,MATCH($G1721,設定!$B$6:$B$21,0)),0))</f>
        <v/>
      </c>
      <c r="M1721" s="85">
        <f>IF(OR($J1721="",$K1721=""),"",ROUND(($K1721-$J1721)*24-$L1721/60,2))</f>
        <v/>
      </c>
      <c r="N1721" s="16">
        <f>IF($C1721="","",IF(AND(COUNTIF(設定!$B$15:$B$21,$G1721)&gt;0,$J1721&lt;&gt;""),"假日出勤",IF(AND(COUNTIF(設定!$B$6:$B$14,$G1721)&gt;0,$J1721=""),"未打卡",IF($J1721="","",IF($O1721&gt;0,"遲到",IF($P1721&gt;0,"早退","正常"))))))</f>
        <v/>
      </c>
      <c r="O1721" s="84">
        <f>IF(OR($C1721="",$H1721="",$J1721=""),0,IF(ROUND(($J1721-$H1721)*1440,0)&gt;設定!$C$46,ROUND(($J1721-$H1721)*1440,0),0))</f>
        <v/>
      </c>
      <c r="P1721" s="84">
        <f>IF(OR($C1721="",$I1721="",$K1721=""),0,IF(ROUND(($I1721-$K1721)*1440,0)&gt;設定!$C$46,ROUND(($I1721-$K1721)*1440,0),0))</f>
        <v/>
      </c>
      <c r="Q1721" s="85">
        <f>IF($M1721="",0,IF(($M1721-IFERROR(INDEX(設定!$G$6:$G$21,MATCH($G1721,設定!$B$6:$B$21,0)),0))*60&gt;=設定!$C$44,ROUND(FLOOR(($M1721-IFERROR(INDEX(設定!$G$6:$G$21,MATCH($G1721,設定!$B$6:$B$21,0)),0))*60,設定!$C$45)/60,2),0))</f>
        <v/>
      </c>
      <c r="R1721" s="16">
        <f>IF(OR($C1721="",$Q1721=0),"",IF($G1721="國","國定假日",IF($B1721="日","例假",IF($B1721="六","休息日","平日"))))</f>
        <v/>
      </c>
      <c r="S1721" s="19" t="n"/>
    </row>
    <row r="1722">
      <c r="A1722" s="82">
        <f>IF(OR(助理班表!$A60="",15&gt;DAY(EOMONTH(DATE(設定!$C$2,設定!$D$2,1),0))),"",DATE(設定!$C$2,設定!$D$2,15))</f>
        <v/>
      </c>
      <c r="B1722" s="16">
        <f>IF($A1722="","",INDEX(設定!$O$6:$O$12,WEEKDAY($A1722,1)))</f>
        <v/>
      </c>
      <c r="C1722" s="16">
        <f>IF($A1722="","",助理班表!$A60)</f>
        <v/>
      </c>
      <c r="D1722" s="16">
        <f>IF($C1722="","",助理班表!$B60)</f>
        <v/>
      </c>
      <c r="E1722" s="16">
        <f>IF($C1722="","",助理班表!$D60)</f>
        <v/>
      </c>
      <c r="F1722" s="16">
        <f>IF($C1722="","",助理班表!$C60)</f>
        <v/>
      </c>
      <c r="G1722" s="16">
        <f>IF($C1722="","",助理班表!S60)</f>
        <v/>
      </c>
      <c r="H1722" s="83">
        <f>IF($G1722="","",IFERROR(IF(INDEX(設定!$D$6:$D$21,MATCH($G1722,設定!$B$6:$B$21,0))=0,"",INDEX(設定!$D$6:$D$21,MATCH($G1722,設定!$B$6:$B$21,0))),""))</f>
        <v/>
      </c>
      <c r="I1722" s="83">
        <f>IF($G1722="","",IFERROR(IF(INDEX(設定!$E$6:$E$21,MATCH($G1722,設定!$B$6:$B$21,0))=0,"",INDEX(設定!$E$6:$E$21,MATCH($G1722,設定!$B$6:$B$21,0))),""))</f>
        <v/>
      </c>
      <c r="J1722" s="83">
        <f>IFERROR(INDEX(打卡匯入!$C$3:$C$2002,MATCH($C1722&amp;"|"&amp;DAY($A1722),打卡匯入!$E$3:$E$2002,0)),"")</f>
        <v/>
      </c>
      <c r="K1722" s="83">
        <f>IFERROR(INDEX(打卡匯入!$D$3:$D$2002,MATCH($C1722&amp;"|"&amp;DAY($A1722),打卡匯入!$E$3:$E$2002,0)),"")</f>
        <v/>
      </c>
      <c r="L1722" s="84">
        <f>IF(OR($J1722="",$K1722=""),"",IFERROR(INDEX(設定!$F$6:$F$21,MATCH($G1722,設定!$B$6:$B$21,0)),0))</f>
        <v/>
      </c>
      <c r="M1722" s="85">
        <f>IF(OR($J1722="",$K1722=""),"",ROUND(($K1722-$J1722)*24-$L1722/60,2))</f>
        <v/>
      </c>
      <c r="N1722" s="16">
        <f>IF($C1722="","",IF(AND(COUNTIF(設定!$B$15:$B$21,$G1722)&gt;0,$J1722&lt;&gt;""),"假日出勤",IF(AND(COUNTIF(設定!$B$6:$B$14,$G1722)&gt;0,$J1722=""),"未打卡",IF($J1722="","",IF($O1722&gt;0,"遲到",IF($P1722&gt;0,"早退","正常"))))))</f>
        <v/>
      </c>
      <c r="O1722" s="84">
        <f>IF(OR($C1722="",$H1722="",$J1722=""),0,IF(ROUND(($J1722-$H1722)*1440,0)&gt;設定!$C$46,ROUND(($J1722-$H1722)*1440,0),0))</f>
        <v/>
      </c>
      <c r="P1722" s="84">
        <f>IF(OR($C1722="",$I1722="",$K1722=""),0,IF(ROUND(($I1722-$K1722)*1440,0)&gt;設定!$C$46,ROUND(($I1722-$K1722)*1440,0),0))</f>
        <v/>
      </c>
      <c r="Q1722" s="85">
        <f>IF($M1722="",0,IF(($M1722-IFERROR(INDEX(設定!$G$6:$G$21,MATCH($G1722,設定!$B$6:$B$21,0)),0))*60&gt;=設定!$C$44,ROUND(FLOOR(($M1722-IFERROR(INDEX(設定!$G$6:$G$21,MATCH($G1722,設定!$B$6:$B$21,0)),0))*60,設定!$C$45)/60,2),0))</f>
        <v/>
      </c>
      <c r="R1722" s="16">
        <f>IF(OR($C1722="",$Q1722=0),"",IF($G1722="國","國定假日",IF($B1722="日","例假",IF($B1722="六","休息日","平日"))))</f>
        <v/>
      </c>
      <c r="S1722" s="19" t="n"/>
    </row>
    <row r="1723">
      <c r="A1723" s="82">
        <f>IF(OR(助理班表!$A60="",16&gt;DAY(EOMONTH(DATE(設定!$C$2,設定!$D$2,1),0))),"",DATE(設定!$C$2,設定!$D$2,16))</f>
        <v/>
      </c>
      <c r="B1723" s="16">
        <f>IF($A1723="","",INDEX(設定!$O$6:$O$12,WEEKDAY($A1723,1)))</f>
        <v/>
      </c>
      <c r="C1723" s="16">
        <f>IF($A1723="","",助理班表!$A60)</f>
        <v/>
      </c>
      <c r="D1723" s="16">
        <f>IF($C1723="","",助理班表!$B60)</f>
        <v/>
      </c>
      <c r="E1723" s="16">
        <f>IF($C1723="","",助理班表!$D60)</f>
        <v/>
      </c>
      <c r="F1723" s="16">
        <f>IF($C1723="","",助理班表!$C60)</f>
        <v/>
      </c>
      <c r="G1723" s="16">
        <f>IF($C1723="","",助理班表!T60)</f>
        <v/>
      </c>
      <c r="H1723" s="83">
        <f>IF($G1723="","",IFERROR(IF(INDEX(設定!$D$6:$D$21,MATCH($G1723,設定!$B$6:$B$21,0))=0,"",INDEX(設定!$D$6:$D$21,MATCH($G1723,設定!$B$6:$B$21,0))),""))</f>
        <v/>
      </c>
      <c r="I1723" s="83">
        <f>IF($G1723="","",IFERROR(IF(INDEX(設定!$E$6:$E$21,MATCH($G1723,設定!$B$6:$B$21,0))=0,"",INDEX(設定!$E$6:$E$21,MATCH($G1723,設定!$B$6:$B$21,0))),""))</f>
        <v/>
      </c>
      <c r="J1723" s="83">
        <f>IFERROR(INDEX(打卡匯入!$C$3:$C$2002,MATCH($C1723&amp;"|"&amp;DAY($A1723),打卡匯入!$E$3:$E$2002,0)),"")</f>
        <v/>
      </c>
      <c r="K1723" s="83">
        <f>IFERROR(INDEX(打卡匯入!$D$3:$D$2002,MATCH($C1723&amp;"|"&amp;DAY($A1723),打卡匯入!$E$3:$E$2002,0)),"")</f>
        <v/>
      </c>
      <c r="L1723" s="84">
        <f>IF(OR($J1723="",$K1723=""),"",IFERROR(INDEX(設定!$F$6:$F$21,MATCH($G1723,設定!$B$6:$B$21,0)),0))</f>
        <v/>
      </c>
      <c r="M1723" s="85">
        <f>IF(OR($J1723="",$K1723=""),"",ROUND(($K1723-$J1723)*24-$L1723/60,2))</f>
        <v/>
      </c>
      <c r="N1723" s="16">
        <f>IF($C1723="","",IF(AND(COUNTIF(設定!$B$15:$B$21,$G1723)&gt;0,$J1723&lt;&gt;""),"假日出勤",IF(AND(COUNTIF(設定!$B$6:$B$14,$G1723)&gt;0,$J1723=""),"未打卡",IF($J1723="","",IF($O1723&gt;0,"遲到",IF($P1723&gt;0,"早退","正常"))))))</f>
        <v/>
      </c>
      <c r="O1723" s="84">
        <f>IF(OR($C1723="",$H1723="",$J1723=""),0,IF(ROUND(($J1723-$H1723)*1440,0)&gt;設定!$C$46,ROUND(($J1723-$H1723)*1440,0),0))</f>
        <v/>
      </c>
      <c r="P1723" s="84">
        <f>IF(OR($C1723="",$I1723="",$K1723=""),0,IF(ROUND(($I1723-$K1723)*1440,0)&gt;設定!$C$46,ROUND(($I1723-$K1723)*1440,0),0))</f>
        <v/>
      </c>
      <c r="Q1723" s="85">
        <f>IF($M1723="",0,IF(($M1723-IFERROR(INDEX(設定!$G$6:$G$21,MATCH($G1723,設定!$B$6:$B$21,0)),0))*60&gt;=設定!$C$44,ROUND(FLOOR(($M1723-IFERROR(INDEX(設定!$G$6:$G$21,MATCH($G1723,設定!$B$6:$B$21,0)),0))*60,設定!$C$45)/60,2),0))</f>
        <v/>
      </c>
      <c r="R1723" s="16">
        <f>IF(OR($C1723="",$Q1723=0),"",IF($G1723="國","國定假日",IF($B1723="日","例假",IF($B1723="六","休息日","平日"))))</f>
        <v/>
      </c>
      <c r="S1723" s="19" t="n"/>
    </row>
    <row r="1724">
      <c r="A1724" s="82">
        <f>IF(OR(助理班表!$A60="",17&gt;DAY(EOMONTH(DATE(設定!$C$2,設定!$D$2,1),0))),"",DATE(設定!$C$2,設定!$D$2,17))</f>
        <v/>
      </c>
      <c r="B1724" s="16">
        <f>IF($A1724="","",INDEX(設定!$O$6:$O$12,WEEKDAY($A1724,1)))</f>
        <v/>
      </c>
      <c r="C1724" s="16">
        <f>IF($A1724="","",助理班表!$A60)</f>
        <v/>
      </c>
      <c r="D1724" s="16">
        <f>IF($C1724="","",助理班表!$B60)</f>
        <v/>
      </c>
      <c r="E1724" s="16">
        <f>IF($C1724="","",助理班表!$D60)</f>
        <v/>
      </c>
      <c r="F1724" s="16">
        <f>IF($C1724="","",助理班表!$C60)</f>
        <v/>
      </c>
      <c r="G1724" s="16">
        <f>IF($C1724="","",助理班表!U60)</f>
        <v/>
      </c>
      <c r="H1724" s="83">
        <f>IF($G1724="","",IFERROR(IF(INDEX(設定!$D$6:$D$21,MATCH($G1724,設定!$B$6:$B$21,0))=0,"",INDEX(設定!$D$6:$D$21,MATCH($G1724,設定!$B$6:$B$21,0))),""))</f>
        <v/>
      </c>
      <c r="I1724" s="83">
        <f>IF($G1724="","",IFERROR(IF(INDEX(設定!$E$6:$E$21,MATCH($G1724,設定!$B$6:$B$21,0))=0,"",INDEX(設定!$E$6:$E$21,MATCH($G1724,設定!$B$6:$B$21,0))),""))</f>
        <v/>
      </c>
      <c r="J1724" s="83">
        <f>IFERROR(INDEX(打卡匯入!$C$3:$C$2002,MATCH($C1724&amp;"|"&amp;DAY($A1724),打卡匯入!$E$3:$E$2002,0)),"")</f>
        <v/>
      </c>
      <c r="K1724" s="83">
        <f>IFERROR(INDEX(打卡匯入!$D$3:$D$2002,MATCH($C1724&amp;"|"&amp;DAY($A1724),打卡匯入!$E$3:$E$2002,0)),"")</f>
        <v/>
      </c>
      <c r="L1724" s="84">
        <f>IF(OR($J1724="",$K1724=""),"",IFERROR(INDEX(設定!$F$6:$F$21,MATCH($G1724,設定!$B$6:$B$21,0)),0))</f>
        <v/>
      </c>
      <c r="M1724" s="85">
        <f>IF(OR($J1724="",$K1724=""),"",ROUND(($K1724-$J1724)*24-$L1724/60,2))</f>
        <v/>
      </c>
      <c r="N1724" s="16">
        <f>IF($C1724="","",IF(AND(COUNTIF(設定!$B$15:$B$21,$G1724)&gt;0,$J1724&lt;&gt;""),"假日出勤",IF(AND(COUNTIF(設定!$B$6:$B$14,$G1724)&gt;0,$J1724=""),"未打卡",IF($J1724="","",IF($O1724&gt;0,"遲到",IF($P1724&gt;0,"早退","正常"))))))</f>
        <v/>
      </c>
      <c r="O1724" s="84">
        <f>IF(OR($C1724="",$H1724="",$J1724=""),0,IF(ROUND(($J1724-$H1724)*1440,0)&gt;設定!$C$46,ROUND(($J1724-$H1724)*1440,0),0))</f>
        <v/>
      </c>
      <c r="P1724" s="84">
        <f>IF(OR($C1724="",$I1724="",$K1724=""),0,IF(ROUND(($I1724-$K1724)*1440,0)&gt;設定!$C$46,ROUND(($I1724-$K1724)*1440,0),0))</f>
        <v/>
      </c>
      <c r="Q1724" s="85">
        <f>IF($M1724="",0,IF(($M1724-IFERROR(INDEX(設定!$G$6:$G$21,MATCH($G1724,設定!$B$6:$B$21,0)),0))*60&gt;=設定!$C$44,ROUND(FLOOR(($M1724-IFERROR(INDEX(設定!$G$6:$G$21,MATCH($G1724,設定!$B$6:$B$21,0)),0))*60,設定!$C$45)/60,2),0))</f>
        <v/>
      </c>
      <c r="R1724" s="16">
        <f>IF(OR($C1724="",$Q1724=0),"",IF($G1724="國","國定假日",IF($B1724="日","例假",IF($B1724="六","休息日","平日"))))</f>
        <v/>
      </c>
      <c r="S1724" s="19" t="n"/>
    </row>
    <row r="1725">
      <c r="A1725" s="82">
        <f>IF(OR(助理班表!$A60="",18&gt;DAY(EOMONTH(DATE(設定!$C$2,設定!$D$2,1),0))),"",DATE(設定!$C$2,設定!$D$2,18))</f>
        <v/>
      </c>
      <c r="B1725" s="16">
        <f>IF($A1725="","",INDEX(設定!$O$6:$O$12,WEEKDAY($A1725,1)))</f>
        <v/>
      </c>
      <c r="C1725" s="16">
        <f>IF($A1725="","",助理班表!$A60)</f>
        <v/>
      </c>
      <c r="D1725" s="16">
        <f>IF($C1725="","",助理班表!$B60)</f>
        <v/>
      </c>
      <c r="E1725" s="16">
        <f>IF($C1725="","",助理班表!$D60)</f>
        <v/>
      </c>
      <c r="F1725" s="16">
        <f>IF($C1725="","",助理班表!$C60)</f>
        <v/>
      </c>
      <c r="G1725" s="16">
        <f>IF($C1725="","",助理班表!V60)</f>
        <v/>
      </c>
      <c r="H1725" s="83">
        <f>IF($G1725="","",IFERROR(IF(INDEX(設定!$D$6:$D$21,MATCH($G1725,設定!$B$6:$B$21,0))=0,"",INDEX(設定!$D$6:$D$21,MATCH($G1725,設定!$B$6:$B$21,0))),""))</f>
        <v/>
      </c>
      <c r="I1725" s="83">
        <f>IF($G1725="","",IFERROR(IF(INDEX(設定!$E$6:$E$21,MATCH($G1725,設定!$B$6:$B$21,0))=0,"",INDEX(設定!$E$6:$E$21,MATCH($G1725,設定!$B$6:$B$21,0))),""))</f>
        <v/>
      </c>
      <c r="J1725" s="83">
        <f>IFERROR(INDEX(打卡匯入!$C$3:$C$2002,MATCH($C1725&amp;"|"&amp;DAY($A1725),打卡匯入!$E$3:$E$2002,0)),"")</f>
        <v/>
      </c>
      <c r="K1725" s="83">
        <f>IFERROR(INDEX(打卡匯入!$D$3:$D$2002,MATCH($C1725&amp;"|"&amp;DAY($A1725),打卡匯入!$E$3:$E$2002,0)),"")</f>
        <v/>
      </c>
      <c r="L1725" s="84">
        <f>IF(OR($J1725="",$K1725=""),"",IFERROR(INDEX(設定!$F$6:$F$21,MATCH($G1725,設定!$B$6:$B$21,0)),0))</f>
        <v/>
      </c>
      <c r="M1725" s="85">
        <f>IF(OR($J1725="",$K1725=""),"",ROUND(($K1725-$J1725)*24-$L1725/60,2))</f>
        <v/>
      </c>
      <c r="N1725" s="16">
        <f>IF($C1725="","",IF(AND(COUNTIF(設定!$B$15:$B$21,$G1725)&gt;0,$J1725&lt;&gt;""),"假日出勤",IF(AND(COUNTIF(設定!$B$6:$B$14,$G1725)&gt;0,$J1725=""),"未打卡",IF($J1725="","",IF($O1725&gt;0,"遲到",IF($P1725&gt;0,"早退","正常"))))))</f>
        <v/>
      </c>
      <c r="O1725" s="84">
        <f>IF(OR($C1725="",$H1725="",$J1725=""),0,IF(ROUND(($J1725-$H1725)*1440,0)&gt;設定!$C$46,ROUND(($J1725-$H1725)*1440,0),0))</f>
        <v/>
      </c>
      <c r="P1725" s="84">
        <f>IF(OR($C1725="",$I1725="",$K1725=""),0,IF(ROUND(($I1725-$K1725)*1440,0)&gt;設定!$C$46,ROUND(($I1725-$K1725)*1440,0),0))</f>
        <v/>
      </c>
      <c r="Q1725" s="85">
        <f>IF($M1725="",0,IF(($M1725-IFERROR(INDEX(設定!$G$6:$G$21,MATCH($G1725,設定!$B$6:$B$21,0)),0))*60&gt;=設定!$C$44,ROUND(FLOOR(($M1725-IFERROR(INDEX(設定!$G$6:$G$21,MATCH($G1725,設定!$B$6:$B$21,0)),0))*60,設定!$C$45)/60,2),0))</f>
        <v/>
      </c>
      <c r="R1725" s="16">
        <f>IF(OR($C1725="",$Q1725=0),"",IF($G1725="國","國定假日",IF($B1725="日","例假",IF($B1725="六","休息日","平日"))))</f>
        <v/>
      </c>
      <c r="S1725" s="19" t="n"/>
    </row>
    <row r="1726">
      <c r="A1726" s="82">
        <f>IF(OR(助理班表!$A60="",19&gt;DAY(EOMONTH(DATE(設定!$C$2,設定!$D$2,1),0))),"",DATE(設定!$C$2,設定!$D$2,19))</f>
        <v/>
      </c>
      <c r="B1726" s="16">
        <f>IF($A1726="","",INDEX(設定!$O$6:$O$12,WEEKDAY($A1726,1)))</f>
        <v/>
      </c>
      <c r="C1726" s="16">
        <f>IF($A1726="","",助理班表!$A60)</f>
        <v/>
      </c>
      <c r="D1726" s="16">
        <f>IF($C1726="","",助理班表!$B60)</f>
        <v/>
      </c>
      <c r="E1726" s="16">
        <f>IF($C1726="","",助理班表!$D60)</f>
        <v/>
      </c>
      <c r="F1726" s="16">
        <f>IF($C1726="","",助理班表!$C60)</f>
        <v/>
      </c>
      <c r="G1726" s="16">
        <f>IF($C1726="","",助理班表!W60)</f>
        <v/>
      </c>
      <c r="H1726" s="83">
        <f>IF($G1726="","",IFERROR(IF(INDEX(設定!$D$6:$D$21,MATCH($G1726,設定!$B$6:$B$21,0))=0,"",INDEX(設定!$D$6:$D$21,MATCH($G1726,設定!$B$6:$B$21,0))),""))</f>
        <v/>
      </c>
      <c r="I1726" s="83">
        <f>IF($G1726="","",IFERROR(IF(INDEX(設定!$E$6:$E$21,MATCH($G1726,設定!$B$6:$B$21,0))=0,"",INDEX(設定!$E$6:$E$21,MATCH($G1726,設定!$B$6:$B$21,0))),""))</f>
        <v/>
      </c>
      <c r="J1726" s="83">
        <f>IFERROR(INDEX(打卡匯入!$C$3:$C$2002,MATCH($C1726&amp;"|"&amp;DAY($A1726),打卡匯入!$E$3:$E$2002,0)),"")</f>
        <v/>
      </c>
      <c r="K1726" s="83">
        <f>IFERROR(INDEX(打卡匯入!$D$3:$D$2002,MATCH($C1726&amp;"|"&amp;DAY($A1726),打卡匯入!$E$3:$E$2002,0)),"")</f>
        <v/>
      </c>
      <c r="L1726" s="84">
        <f>IF(OR($J1726="",$K1726=""),"",IFERROR(INDEX(設定!$F$6:$F$21,MATCH($G1726,設定!$B$6:$B$21,0)),0))</f>
        <v/>
      </c>
      <c r="M1726" s="85">
        <f>IF(OR($J1726="",$K1726=""),"",ROUND(($K1726-$J1726)*24-$L1726/60,2))</f>
        <v/>
      </c>
      <c r="N1726" s="16">
        <f>IF($C1726="","",IF(AND(COUNTIF(設定!$B$15:$B$21,$G1726)&gt;0,$J1726&lt;&gt;""),"假日出勤",IF(AND(COUNTIF(設定!$B$6:$B$14,$G1726)&gt;0,$J1726=""),"未打卡",IF($J1726="","",IF($O1726&gt;0,"遲到",IF($P1726&gt;0,"早退","正常"))))))</f>
        <v/>
      </c>
      <c r="O1726" s="84">
        <f>IF(OR($C1726="",$H1726="",$J1726=""),0,IF(ROUND(($J1726-$H1726)*1440,0)&gt;設定!$C$46,ROUND(($J1726-$H1726)*1440,0),0))</f>
        <v/>
      </c>
      <c r="P1726" s="84">
        <f>IF(OR($C1726="",$I1726="",$K1726=""),0,IF(ROUND(($I1726-$K1726)*1440,0)&gt;設定!$C$46,ROUND(($I1726-$K1726)*1440,0),0))</f>
        <v/>
      </c>
      <c r="Q1726" s="85">
        <f>IF($M1726="",0,IF(($M1726-IFERROR(INDEX(設定!$G$6:$G$21,MATCH($G1726,設定!$B$6:$B$21,0)),0))*60&gt;=設定!$C$44,ROUND(FLOOR(($M1726-IFERROR(INDEX(設定!$G$6:$G$21,MATCH($G1726,設定!$B$6:$B$21,0)),0))*60,設定!$C$45)/60,2),0))</f>
        <v/>
      </c>
      <c r="R1726" s="16">
        <f>IF(OR($C1726="",$Q1726=0),"",IF($G1726="國","國定假日",IF($B1726="日","例假",IF($B1726="六","休息日","平日"))))</f>
        <v/>
      </c>
      <c r="S1726" s="19" t="n"/>
    </row>
    <row r="1727">
      <c r="A1727" s="82">
        <f>IF(OR(助理班表!$A60="",20&gt;DAY(EOMONTH(DATE(設定!$C$2,設定!$D$2,1),0))),"",DATE(設定!$C$2,設定!$D$2,20))</f>
        <v/>
      </c>
      <c r="B1727" s="16">
        <f>IF($A1727="","",INDEX(設定!$O$6:$O$12,WEEKDAY($A1727,1)))</f>
        <v/>
      </c>
      <c r="C1727" s="16">
        <f>IF($A1727="","",助理班表!$A60)</f>
        <v/>
      </c>
      <c r="D1727" s="16">
        <f>IF($C1727="","",助理班表!$B60)</f>
        <v/>
      </c>
      <c r="E1727" s="16">
        <f>IF($C1727="","",助理班表!$D60)</f>
        <v/>
      </c>
      <c r="F1727" s="16">
        <f>IF($C1727="","",助理班表!$C60)</f>
        <v/>
      </c>
      <c r="G1727" s="16">
        <f>IF($C1727="","",助理班表!X60)</f>
        <v/>
      </c>
      <c r="H1727" s="83">
        <f>IF($G1727="","",IFERROR(IF(INDEX(設定!$D$6:$D$21,MATCH($G1727,設定!$B$6:$B$21,0))=0,"",INDEX(設定!$D$6:$D$21,MATCH($G1727,設定!$B$6:$B$21,0))),""))</f>
        <v/>
      </c>
      <c r="I1727" s="83">
        <f>IF($G1727="","",IFERROR(IF(INDEX(設定!$E$6:$E$21,MATCH($G1727,設定!$B$6:$B$21,0))=0,"",INDEX(設定!$E$6:$E$21,MATCH($G1727,設定!$B$6:$B$21,0))),""))</f>
        <v/>
      </c>
      <c r="J1727" s="83">
        <f>IFERROR(INDEX(打卡匯入!$C$3:$C$2002,MATCH($C1727&amp;"|"&amp;DAY($A1727),打卡匯入!$E$3:$E$2002,0)),"")</f>
        <v/>
      </c>
      <c r="K1727" s="83">
        <f>IFERROR(INDEX(打卡匯入!$D$3:$D$2002,MATCH($C1727&amp;"|"&amp;DAY($A1727),打卡匯入!$E$3:$E$2002,0)),"")</f>
        <v/>
      </c>
      <c r="L1727" s="84">
        <f>IF(OR($J1727="",$K1727=""),"",IFERROR(INDEX(設定!$F$6:$F$21,MATCH($G1727,設定!$B$6:$B$21,0)),0))</f>
        <v/>
      </c>
      <c r="M1727" s="85">
        <f>IF(OR($J1727="",$K1727=""),"",ROUND(($K1727-$J1727)*24-$L1727/60,2))</f>
        <v/>
      </c>
      <c r="N1727" s="16">
        <f>IF($C1727="","",IF(AND(COUNTIF(設定!$B$15:$B$21,$G1727)&gt;0,$J1727&lt;&gt;""),"假日出勤",IF(AND(COUNTIF(設定!$B$6:$B$14,$G1727)&gt;0,$J1727=""),"未打卡",IF($J1727="","",IF($O1727&gt;0,"遲到",IF($P1727&gt;0,"早退","正常"))))))</f>
        <v/>
      </c>
      <c r="O1727" s="84">
        <f>IF(OR($C1727="",$H1727="",$J1727=""),0,IF(ROUND(($J1727-$H1727)*1440,0)&gt;設定!$C$46,ROUND(($J1727-$H1727)*1440,0),0))</f>
        <v/>
      </c>
      <c r="P1727" s="84">
        <f>IF(OR($C1727="",$I1727="",$K1727=""),0,IF(ROUND(($I1727-$K1727)*1440,0)&gt;設定!$C$46,ROUND(($I1727-$K1727)*1440,0),0))</f>
        <v/>
      </c>
      <c r="Q1727" s="85">
        <f>IF($M1727="",0,IF(($M1727-IFERROR(INDEX(設定!$G$6:$G$21,MATCH($G1727,設定!$B$6:$B$21,0)),0))*60&gt;=設定!$C$44,ROUND(FLOOR(($M1727-IFERROR(INDEX(設定!$G$6:$G$21,MATCH($G1727,設定!$B$6:$B$21,0)),0))*60,設定!$C$45)/60,2),0))</f>
        <v/>
      </c>
      <c r="R1727" s="16">
        <f>IF(OR($C1727="",$Q1727=0),"",IF($G1727="國","國定假日",IF($B1727="日","例假",IF($B1727="六","休息日","平日"))))</f>
        <v/>
      </c>
      <c r="S1727" s="19" t="n"/>
    </row>
    <row r="1728">
      <c r="A1728" s="82">
        <f>IF(OR(助理班表!$A60="",21&gt;DAY(EOMONTH(DATE(設定!$C$2,設定!$D$2,1),0))),"",DATE(設定!$C$2,設定!$D$2,21))</f>
        <v/>
      </c>
      <c r="B1728" s="16">
        <f>IF($A1728="","",INDEX(設定!$O$6:$O$12,WEEKDAY($A1728,1)))</f>
        <v/>
      </c>
      <c r="C1728" s="16">
        <f>IF($A1728="","",助理班表!$A60)</f>
        <v/>
      </c>
      <c r="D1728" s="16">
        <f>IF($C1728="","",助理班表!$B60)</f>
        <v/>
      </c>
      <c r="E1728" s="16">
        <f>IF($C1728="","",助理班表!$D60)</f>
        <v/>
      </c>
      <c r="F1728" s="16">
        <f>IF($C1728="","",助理班表!$C60)</f>
        <v/>
      </c>
      <c r="G1728" s="16">
        <f>IF($C1728="","",助理班表!Y60)</f>
        <v/>
      </c>
      <c r="H1728" s="83">
        <f>IF($G1728="","",IFERROR(IF(INDEX(設定!$D$6:$D$21,MATCH($G1728,設定!$B$6:$B$21,0))=0,"",INDEX(設定!$D$6:$D$21,MATCH($G1728,設定!$B$6:$B$21,0))),""))</f>
        <v/>
      </c>
      <c r="I1728" s="83">
        <f>IF($G1728="","",IFERROR(IF(INDEX(設定!$E$6:$E$21,MATCH($G1728,設定!$B$6:$B$21,0))=0,"",INDEX(設定!$E$6:$E$21,MATCH($G1728,設定!$B$6:$B$21,0))),""))</f>
        <v/>
      </c>
      <c r="J1728" s="83">
        <f>IFERROR(INDEX(打卡匯入!$C$3:$C$2002,MATCH($C1728&amp;"|"&amp;DAY($A1728),打卡匯入!$E$3:$E$2002,0)),"")</f>
        <v/>
      </c>
      <c r="K1728" s="83">
        <f>IFERROR(INDEX(打卡匯入!$D$3:$D$2002,MATCH($C1728&amp;"|"&amp;DAY($A1728),打卡匯入!$E$3:$E$2002,0)),"")</f>
        <v/>
      </c>
      <c r="L1728" s="84">
        <f>IF(OR($J1728="",$K1728=""),"",IFERROR(INDEX(設定!$F$6:$F$21,MATCH($G1728,設定!$B$6:$B$21,0)),0))</f>
        <v/>
      </c>
      <c r="M1728" s="85">
        <f>IF(OR($J1728="",$K1728=""),"",ROUND(($K1728-$J1728)*24-$L1728/60,2))</f>
        <v/>
      </c>
      <c r="N1728" s="16">
        <f>IF($C1728="","",IF(AND(COUNTIF(設定!$B$15:$B$21,$G1728)&gt;0,$J1728&lt;&gt;""),"假日出勤",IF(AND(COUNTIF(設定!$B$6:$B$14,$G1728)&gt;0,$J1728=""),"未打卡",IF($J1728="","",IF($O1728&gt;0,"遲到",IF($P1728&gt;0,"早退","正常"))))))</f>
        <v/>
      </c>
      <c r="O1728" s="84">
        <f>IF(OR($C1728="",$H1728="",$J1728=""),0,IF(ROUND(($J1728-$H1728)*1440,0)&gt;設定!$C$46,ROUND(($J1728-$H1728)*1440,0),0))</f>
        <v/>
      </c>
      <c r="P1728" s="84">
        <f>IF(OR($C1728="",$I1728="",$K1728=""),0,IF(ROUND(($I1728-$K1728)*1440,0)&gt;設定!$C$46,ROUND(($I1728-$K1728)*1440,0),0))</f>
        <v/>
      </c>
      <c r="Q1728" s="85">
        <f>IF($M1728="",0,IF(($M1728-IFERROR(INDEX(設定!$G$6:$G$21,MATCH($G1728,設定!$B$6:$B$21,0)),0))*60&gt;=設定!$C$44,ROUND(FLOOR(($M1728-IFERROR(INDEX(設定!$G$6:$G$21,MATCH($G1728,設定!$B$6:$B$21,0)),0))*60,設定!$C$45)/60,2),0))</f>
        <v/>
      </c>
      <c r="R1728" s="16">
        <f>IF(OR($C1728="",$Q1728=0),"",IF($G1728="國","國定假日",IF($B1728="日","例假",IF($B1728="六","休息日","平日"))))</f>
        <v/>
      </c>
      <c r="S1728" s="19" t="n"/>
    </row>
    <row r="1729">
      <c r="A1729" s="82">
        <f>IF(OR(助理班表!$A60="",22&gt;DAY(EOMONTH(DATE(設定!$C$2,設定!$D$2,1),0))),"",DATE(設定!$C$2,設定!$D$2,22))</f>
        <v/>
      </c>
      <c r="B1729" s="16">
        <f>IF($A1729="","",INDEX(設定!$O$6:$O$12,WEEKDAY($A1729,1)))</f>
        <v/>
      </c>
      <c r="C1729" s="16">
        <f>IF($A1729="","",助理班表!$A60)</f>
        <v/>
      </c>
      <c r="D1729" s="16">
        <f>IF($C1729="","",助理班表!$B60)</f>
        <v/>
      </c>
      <c r="E1729" s="16">
        <f>IF($C1729="","",助理班表!$D60)</f>
        <v/>
      </c>
      <c r="F1729" s="16">
        <f>IF($C1729="","",助理班表!$C60)</f>
        <v/>
      </c>
      <c r="G1729" s="16">
        <f>IF($C1729="","",助理班表!Z60)</f>
        <v/>
      </c>
      <c r="H1729" s="83">
        <f>IF($G1729="","",IFERROR(IF(INDEX(設定!$D$6:$D$21,MATCH($G1729,設定!$B$6:$B$21,0))=0,"",INDEX(設定!$D$6:$D$21,MATCH($G1729,設定!$B$6:$B$21,0))),""))</f>
        <v/>
      </c>
      <c r="I1729" s="83">
        <f>IF($G1729="","",IFERROR(IF(INDEX(設定!$E$6:$E$21,MATCH($G1729,設定!$B$6:$B$21,0))=0,"",INDEX(設定!$E$6:$E$21,MATCH($G1729,設定!$B$6:$B$21,0))),""))</f>
        <v/>
      </c>
      <c r="J1729" s="83">
        <f>IFERROR(INDEX(打卡匯入!$C$3:$C$2002,MATCH($C1729&amp;"|"&amp;DAY($A1729),打卡匯入!$E$3:$E$2002,0)),"")</f>
        <v/>
      </c>
      <c r="K1729" s="83">
        <f>IFERROR(INDEX(打卡匯入!$D$3:$D$2002,MATCH($C1729&amp;"|"&amp;DAY($A1729),打卡匯入!$E$3:$E$2002,0)),"")</f>
        <v/>
      </c>
      <c r="L1729" s="84">
        <f>IF(OR($J1729="",$K1729=""),"",IFERROR(INDEX(設定!$F$6:$F$21,MATCH($G1729,設定!$B$6:$B$21,0)),0))</f>
        <v/>
      </c>
      <c r="M1729" s="85">
        <f>IF(OR($J1729="",$K1729=""),"",ROUND(($K1729-$J1729)*24-$L1729/60,2))</f>
        <v/>
      </c>
      <c r="N1729" s="16">
        <f>IF($C1729="","",IF(AND(COUNTIF(設定!$B$15:$B$21,$G1729)&gt;0,$J1729&lt;&gt;""),"假日出勤",IF(AND(COUNTIF(設定!$B$6:$B$14,$G1729)&gt;0,$J1729=""),"未打卡",IF($J1729="","",IF($O1729&gt;0,"遲到",IF($P1729&gt;0,"早退","正常"))))))</f>
        <v/>
      </c>
      <c r="O1729" s="84">
        <f>IF(OR($C1729="",$H1729="",$J1729=""),0,IF(ROUND(($J1729-$H1729)*1440,0)&gt;設定!$C$46,ROUND(($J1729-$H1729)*1440,0),0))</f>
        <v/>
      </c>
      <c r="P1729" s="84">
        <f>IF(OR($C1729="",$I1729="",$K1729=""),0,IF(ROUND(($I1729-$K1729)*1440,0)&gt;設定!$C$46,ROUND(($I1729-$K1729)*1440,0),0))</f>
        <v/>
      </c>
      <c r="Q1729" s="85">
        <f>IF($M1729="",0,IF(($M1729-IFERROR(INDEX(設定!$G$6:$G$21,MATCH($G1729,設定!$B$6:$B$21,0)),0))*60&gt;=設定!$C$44,ROUND(FLOOR(($M1729-IFERROR(INDEX(設定!$G$6:$G$21,MATCH($G1729,設定!$B$6:$B$21,0)),0))*60,設定!$C$45)/60,2),0))</f>
        <v/>
      </c>
      <c r="R1729" s="16">
        <f>IF(OR($C1729="",$Q1729=0),"",IF($G1729="國","國定假日",IF($B1729="日","例假",IF($B1729="六","休息日","平日"))))</f>
        <v/>
      </c>
      <c r="S1729" s="19" t="n"/>
    </row>
    <row r="1730">
      <c r="A1730" s="82">
        <f>IF(OR(助理班表!$A60="",23&gt;DAY(EOMONTH(DATE(設定!$C$2,設定!$D$2,1),0))),"",DATE(設定!$C$2,設定!$D$2,23))</f>
        <v/>
      </c>
      <c r="B1730" s="16">
        <f>IF($A1730="","",INDEX(設定!$O$6:$O$12,WEEKDAY($A1730,1)))</f>
        <v/>
      </c>
      <c r="C1730" s="16">
        <f>IF($A1730="","",助理班表!$A60)</f>
        <v/>
      </c>
      <c r="D1730" s="16">
        <f>IF($C1730="","",助理班表!$B60)</f>
        <v/>
      </c>
      <c r="E1730" s="16">
        <f>IF($C1730="","",助理班表!$D60)</f>
        <v/>
      </c>
      <c r="F1730" s="16">
        <f>IF($C1730="","",助理班表!$C60)</f>
        <v/>
      </c>
      <c r="G1730" s="16">
        <f>IF($C1730="","",助理班表!AA60)</f>
        <v/>
      </c>
      <c r="H1730" s="83">
        <f>IF($G1730="","",IFERROR(IF(INDEX(設定!$D$6:$D$21,MATCH($G1730,設定!$B$6:$B$21,0))=0,"",INDEX(設定!$D$6:$D$21,MATCH($G1730,設定!$B$6:$B$21,0))),""))</f>
        <v/>
      </c>
      <c r="I1730" s="83">
        <f>IF($G1730="","",IFERROR(IF(INDEX(設定!$E$6:$E$21,MATCH($G1730,設定!$B$6:$B$21,0))=0,"",INDEX(設定!$E$6:$E$21,MATCH($G1730,設定!$B$6:$B$21,0))),""))</f>
        <v/>
      </c>
      <c r="J1730" s="83">
        <f>IFERROR(INDEX(打卡匯入!$C$3:$C$2002,MATCH($C1730&amp;"|"&amp;DAY($A1730),打卡匯入!$E$3:$E$2002,0)),"")</f>
        <v/>
      </c>
      <c r="K1730" s="83">
        <f>IFERROR(INDEX(打卡匯入!$D$3:$D$2002,MATCH($C1730&amp;"|"&amp;DAY($A1730),打卡匯入!$E$3:$E$2002,0)),"")</f>
        <v/>
      </c>
      <c r="L1730" s="84">
        <f>IF(OR($J1730="",$K1730=""),"",IFERROR(INDEX(設定!$F$6:$F$21,MATCH($G1730,設定!$B$6:$B$21,0)),0))</f>
        <v/>
      </c>
      <c r="M1730" s="85">
        <f>IF(OR($J1730="",$K1730=""),"",ROUND(($K1730-$J1730)*24-$L1730/60,2))</f>
        <v/>
      </c>
      <c r="N1730" s="16">
        <f>IF($C1730="","",IF(AND(COUNTIF(設定!$B$15:$B$21,$G1730)&gt;0,$J1730&lt;&gt;""),"假日出勤",IF(AND(COUNTIF(設定!$B$6:$B$14,$G1730)&gt;0,$J1730=""),"未打卡",IF($J1730="","",IF($O1730&gt;0,"遲到",IF($P1730&gt;0,"早退","正常"))))))</f>
        <v/>
      </c>
      <c r="O1730" s="84">
        <f>IF(OR($C1730="",$H1730="",$J1730=""),0,IF(ROUND(($J1730-$H1730)*1440,0)&gt;設定!$C$46,ROUND(($J1730-$H1730)*1440,0),0))</f>
        <v/>
      </c>
      <c r="P1730" s="84">
        <f>IF(OR($C1730="",$I1730="",$K1730=""),0,IF(ROUND(($I1730-$K1730)*1440,0)&gt;設定!$C$46,ROUND(($I1730-$K1730)*1440,0),0))</f>
        <v/>
      </c>
      <c r="Q1730" s="85">
        <f>IF($M1730="",0,IF(($M1730-IFERROR(INDEX(設定!$G$6:$G$21,MATCH($G1730,設定!$B$6:$B$21,0)),0))*60&gt;=設定!$C$44,ROUND(FLOOR(($M1730-IFERROR(INDEX(設定!$G$6:$G$21,MATCH($G1730,設定!$B$6:$B$21,0)),0))*60,設定!$C$45)/60,2),0))</f>
        <v/>
      </c>
      <c r="R1730" s="16">
        <f>IF(OR($C1730="",$Q1730=0),"",IF($G1730="國","國定假日",IF($B1730="日","例假",IF($B1730="六","休息日","平日"))))</f>
        <v/>
      </c>
      <c r="S1730" s="19" t="n"/>
    </row>
    <row r="1731">
      <c r="A1731" s="82">
        <f>IF(OR(助理班表!$A60="",24&gt;DAY(EOMONTH(DATE(設定!$C$2,設定!$D$2,1),0))),"",DATE(設定!$C$2,設定!$D$2,24))</f>
        <v/>
      </c>
      <c r="B1731" s="16">
        <f>IF($A1731="","",INDEX(設定!$O$6:$O$12,WEEKDAY($A1731,1)))</f>
        <v/>
      </c>
      <c r="C1731" s="16">
        <f>IF($A1731="","",助理班表!$A60)</f>
        <v/>
      </c>
      <c r="D1731" s="16">
        <f>IF($C1731="","",助理班表!$B60)</f>
        <v/>
      </c>
      <c r="E1731" s="16">
        <f>IF($C1731="","",助理班表!$D60)</f>
        <v/>
      </c>
      <c r="F1731" s="16">
        <f>IF($C1731="","",助理班表!$C60)</f>
        <v/>
      </c>
      <c r="G1731" s="16">
        <f>IF($C1731="","",助理班表!AB60)</f>
        <v/>
      </c>
      <c r="H1731" s="83">
        <f>IF($G1731="","",IFERROR(IF(INDEX(設定!$D$6:$D$21,MATCH($G1731,設定!$B$6:$B$21,0))=0,"",INDEX(設定!$D$6:$D$21,MATCH($G1731,設定!$B$6:$B$21,0))),""))</f>
        <v/>
      </c>
      <c r="I1731" s="83">
        <f>IF($G1731="","",IFERROR(IF(INDEX(設定!$E$6:$E$21,MATCH($G1731,設定!$B$6:$B$21,0))=0,"",INDEX(設定!$E$6:$E$21,MATCH($G1731,設定!$B$6:$B$21,0))),""))</f>
        <v/>
      </c>
      <c r="J1731" s="83">
        <f>IFERROR(INDEX(打卡匯入!$C$3:$C$2002,MATCH($C1731&amp;"|"&amp;DAY($A1731),打卡匯入!$E$3:$E$2002,0)),"")</f>
        <v/>
      </c>
      <c r="K1731" s="83">
        <f>IFERROR(INDEX(打卡匯入!$D$3:$D$2002,MATCH($C1731&amp;"|"&amp;DAY($A1731),打卡匯入!$E$3:$E$2002,0)),"")</f>
        <v/>
      </c>
      <c r="L1731" s="84">
        <f>IF(OR($J1731="",$K1731=""),"",IFERROR(INDEX(設定!$F$6:$F$21,MATCH($G1731,設定!$B$6:$B$21,0)),0))</f>
        <v/>
      </c>
      <c r="M1731" s="85">
        <f>IF(OR($J1731="",$K1731=""),"",ROUND(($K1731-$J1731)*24-$L1731/60,2))</f>
        <v/>
      </c>
      <c r="N1731" s="16">
        <f>IF($C1731="","",IF(AND(COUNTIF(設定!$B$15:$B$21,$G1731)&gt;0,$J1731&lt;&gt;""),"假日出勤",IF(AND(COUNTIF(設定!$B$6:$B$14,$G1731)&gt;0,$J1731=""),"未打卡",IF($J1731="","",IF($O1731&gt;0,"遲到",IF($P1731&gt;0,"早退","正常"))))))</f>
        <v/>
      </c>
      <c r="O1731" s="84">
        <f>IF(OR($C1731="",$H1731="",$J1731=""),0,IF(ROUND(($J1731-$H1731)*1440,0)&gt;設定!$C$46,ROUND(($J1731-$H1731)*1440,0),0))</f>
        <v/>
      </c>
      <c r="P1731" s="84">
        <f>IF(OR($C1731="",$I1731="",$K1731=""),0,IF(ROUND(($I1731-$K1731)*1440,0)&gt;設定!$C$46,ROUND(($I1731-$K1731)*1440,0),0))</f>
        <v/>
      </c>
      <c r="Q1731" s="85">
        <f>IF($M1731="",0,IF(($M1731-IFERROR(INDEX(設定!$G$6:$G$21,MATCH($G1731,設定!$B$6:$B$21,0)),0))*60&gt;=設定!$C$44,ROUND(FLOOR(($M1731-IFERROR(INDEX(設定!$G$6:$G$21,MATCH($G1731,設定!$B$6:$B$21,0)),0))*60,設定!$C$45)/60,2),0))</f>
        <v/>
      </c>
      <c r="R1731" s="16">
        <f>IF(OR($C1731="",$Q1731=0),"",IF($G1731="國","國定假日",IF($B1731="日","例假",IF($B1731="六","休息日","平日"))))</f>
        <v/>
      </c>
      <c r="S1731" s="19" t="n"/>
    </row>
    <row r="1732">
      <c r="A1732" s="82">
        <f>IF(OR(助理班表!$A60="",25&gt;DAY(EOMONTH(DATE(設定!$C$2,設定!$D$2,1),0))),"",DATE(設定!$C$2,設定!$D$2,25))</f>
        <v/>
      </c>
      <c r="B1732" s="16">
        <f>IF($A1732="","",INDEX(設定!$O$6:$O$12,WEEKDAY($A1732,1)))</f>
        <v/>
      </c>
      <c r="C1732" s="16">
        <f>IF($A1732="","",助理班表!$A60)</f>
        <v/>
      </c>
      <c r="D1732" s="16">
        <f>IF($C1732="","",助理班表!$B60)</f>
        <v/>
      </c>
      <c r="E1732" s="16">
        <f>IF($C1732="","",助理班表!$D60)</f>
        <v/>
      </c>
      <c r="F1732" s="16">
        <f>IF($C1732="","",助理班表!$C60)</f>
        <v/>
      </c>
      <c r="G1732" s="16">
        <f>IF($C1732="","",助理班表!AC60)</f>
        <v/>
      </c>
      <c r="H1732" s="83">
        <f>IF($G1732="","",IFERROR(IF(INDEX(設定!$D$6:$D$21,MATCH($G1732,設定!$B$6:$B$21,0))=0,"",INDEX(設定!$D$6:$D$21,MATCH($G1732,設定!$B$6:$B$21,0))),""))</f>
        <v/>
      </c>
      <c r="I1732" s="83">
        <f>IF($G1732="","",IFERROR(IF(INDEX(設定!$E$6:$E$21,MATCH($G1732,設定!$B$6:$B$21,0))=0,"",INDEX(設定!$E$6:$E$21,MATCH($G1732,設定!$B$6:$B$21,0))),""))</f>
        <v/>
      </c>
      <c r="J1732" s="83">
        <f>IFERROR(INDEX(打卡匯入!$C$3:$C$2002,MATCH($C1732&amp;"|"&amp;DAY($A1732),打卡匯入!$E$3:$E$2002,0)),"")</f>
        <v/>
      </c>
      <c r="K1732" s="83">
        <f>IFERROR(INDEX(打卡匯入!$D$3:$D$2002,MATCH($C1732&amp;"|"&amp;DAY($A1732),打卡匯入!$E$3:$E$2002,0)),"")</f>
        <v/>
      </c>
      <c r="L1732" s="84">
        <f>IF(OR($J1732="",$K1732=""),"",IFERROR(INDEX(設定!$F$6:$F$21,MATCH($G1732,設定!$B$6:$B$21,0)),0))</f>
        <v/>
      </c>
      <c r="M1732" s="85">
        <f>IF(OR($J1732="",$K1732=""),"",ROUND(($K1732-$J1732)*24-$L1732/60,2))</f>
        <v/>
      </c>
      <c r="N1732" s="16">
        <f>IF($C1732="","",IF(AND(COUNTIF(設定!$B$15:$B$21,$G1732)&gt;0,$J1732&lt;&gt;""),"假日出勤",IF(AND(COUNTIF(設定!$B$6:$B$14,$G1732)&gt;0,$J1732=""),"未打卡",IF($J1732="","",IF($O1732&gt;0,"遲到",IF($P1732&gt;0,"早退","正常"))))))</f>
        <v/>
      </c>
      <c r="O1732" s="84">
        <f>IF(OR($C1732="",$H1732="",$J1732=""),0,IF(ROUND(($J1732-$H1732)*1440,0)&gt;設定!$C$46,ROUND(($J1732-$H1732)*1440,0),0))</f>
        <v/>
      </c>
      <c r="P1732" s="84">
        <f>IF(OR($C1732="",$I1732="",$K1732=""),0,IF(ROUND(($I1732-$K1732)*1440,0)&gt;設定!$C$46,ROUND(($I1732-$K1732)*1440,0),0))</f>
        <v/>
      </c>
      <c r="Q1732" s="85">
        <f>IF($M1732="",0,IF(($M1732-IFERROR(INDEX(設定!$G$6:$G$21,MATCH($G1732,設定!$B$6:$B$21,0)),0))*60&gt;=設定!$C$44,ROUND(FLOOR(($M1732-IFERROR(INDEX(設定!$G$6:$G$21,MATCH($G1732,設定!$B$6:$B$21,0)),0))*60,設定!$C$45)/60,2),0))</f>
        <v/>
      </c>
      <c r="R1732" s="16">
        <f>IF(OR($C1732="",$Q1732=0),"",IF($G1732="國","國定假日",IF($B1732="日","例假",IF($B1732="六","休息日","平日"))))</f>
        <v/>
      </c>
      <c r="S1732" s="19" t="n"/>
    </row>
    <row r="1733">
      <c r="A1733" s="82">
        <f>IF(OR(助理班表!$A60="",26&gt;DAY(EOMONTH(DATE(設定!$C$2,設定!$D$2,1),0))),"",DATE(設定!$C$2,設定!$D$2,26))</f>
        <v/>
      </c>
      <c r="B1733" s="16">
        <f>IF($A1733="","",INDEX(設定!$O$6:$O$12,WEEKDAY($A1733,1)))</f>
        <v/>
      </c>
      <c r="C1733" s="16">
        <f>IF($A1733="","",助理班表!$A60)</f>
        <v/>
      </c>
      <c r="D1733" s="16">
        <f>IF($C1733="","",助理班表!$B60)</f>
        <v/>
      </c>
      <c r="E1733" s="16">
        <f>IF($C1733="","",助理班表!$D60)</f>
        <v/>
      </c>
      <c r="F1733" s="16">
        <f>IF($C1733="","",助理班表!$C60)</f>
        <v/>
      </c>
      <c r="G1733" s="16">
        <f>IF($C1733="","",助理班表!AD60)</f>
        <v/>
      </c>
      <c r="H1733" s="83">
        <f>IF($G1733="","",IFERROR(IF(INDEX(設定!$D$6:$D$21,MATCH($G1733,設定!$B$6:$B$21,0))=0,"",INDEX(設定!$D$6:$D$21,MATCH($G1733,設定!$B$6:$B$21,0))),""))</f>
        <v/>
      </c>
      <c r="I1733" s="83">
        <f>IF($G1733="","",IFERROR(IF(INDEX(設定!$E$6:$E$21,MATCH($G1733,設定!$B$6:$B$21,0))=0,"",INDEX(設定!$E$6:$E$21,MATCH($G1733,設定!$B$6:$B$21,0))),""))</f>
        <v/>
      </c>
      <c r="J1733" s="83">
        <f>IFERROR(INDEX(打卡匯入!$C$3:$C$2002,MATCH($C1733&amp;"|"&amp;DAY($A1733),打卡匯入!$E$3:$E$2002,0)),"")</f>
        <v/>
      </c>
      <c r="K1733" s="83">
        <f>IFERROR(INDEX(打卡匯入!$D$3:$D$2002,MATCH($C1733&amp;"|"&amp;DAY($A1733),打卡匯入!$E$3:$E$2002,0)),"")</f>
        <v/>
      </c>
      <c r="L1733" s="84">
        <f>IF(OR($J1733="",$K1733=""),"",IFERROR(INDEX(設定!$F$6:$F$21,MATCH($G1733,設定!$B$6:$B$21,0)),0))</f>
        <v/>
      </c>
      <c r="M1733" s="85">
        <f>IF(OR($J1733="",$K1733=""),"",ROUND(($K1733-$J1733)*24-$L1733/60,2))</f>
        <v/>
      </c>
      <c r="N1733" s="16">
        <f>IF($C1733="","",IF(AND(COUNTIF(設定!$B$15:$B$21,$G1733)&gt;0,$J1733&lt;&gt;""),"假日出勤",IF(AND(COUNTIF(設定!$B$6:$B$14,$G1733)&gt;0,$J1733=""),"未打卡",IF($J1733="","",IF($O1733&gt;0,"遲到",IF($P1733&gt;0,"早退","正常"))))))</f>
        <v/>
      </c>
      <c r="O1733" s="84">
        <f>IF(OR($C1733="",$H1733="",$J1733=""),0,IF(ROUND(($J1733-$H1733)*1440,0)&gt;設定!$C$46,ROUND(($J1733-$H1733)*1440,0),0))</f>
        <v/>
      </c>
      <c r="P1733" s="84">
        <f>IF(OR($C1733="",$I1733="",$K1733=""),0,IF(ROUND(($I1733-$K1733)*1440,0)&gt;設定!$C$46,ROUND(($I1733-$K1733)*1440,0),0))</f>
        <v/>
      </c>
      <c r="Q1733" s="85">
        <f>IF($M1733="",0,IF(($M1733-IFERROR(INDEX(設定!$G$6:$G$21,MATCH($G1733,設定!$B$6:$B$21,0)),0))*60&gt;=設定!$C$44,ROUND(FLOOR(($M1733-IFERROR(INDEX(設定!$G$6:$G$21,MATCH($G1733,設定!$B$6:$B$21,0)),0))*60,設定!$C$45)/60,2),0))</f>
        <v/>
      </c>
      <c r="R1733" s="16">
        <f>IF(OR($C1733="",$Q1733=0),"",IF($G1733="國","國定假日",IF($B1733="日","例假",IF($B1733="六","休息日","平日"))))</f>
        <v/>
      </c>
      <c r="S1733" s="19" t="n"/>
    </row>
    <row r="1734">
      <c r="A1734" s="82">
        <f>IF(OR(助理班表!$A60="",27&gt;DAY(EOMONTH(DATE(設定!$C$2,設定!$D$2,1),0))),"",DATE(設定!$C$2,設定!$D$2,27))</f>
        <v/>
      </c>
      <c r="B1734" s="16">
        <f>IF($A1734="","",INDEX(設定!$O$6:$O$12,WEEKDAY($A1734,1)))</f>
        <v/>
      </c>
      <c r="C1734" s="16">
        <f>IF($A1734="","",助理班表!$A60)</f>
        <v/>
      </c>
      <c r="D1734" s="16">
        <f>IF($C1734="","",助理班表!$B60)</f>
        <v/>
      </c>
      <c r="E1734" s="16">
        <f>IF($C1734="","",助理班表!$D60)</f>
        <v/>
      </c>
      <c r="F1734" s="16">
        <f>IF($C1734="","",助理班表!$C60)</f>
        <v/>
      </c>
      <c r="G1734" s="16">
        <f>IF($C1734="","",助理班表!AE60)</f>
        <v/>
      </c>
      <c r="H1734" s="83">
        <f>IF($G1734="","",IFERROR(IF(INDEX(設定!$D$6:$D$21,MATCH($G1734,設定!$B$6:$B$21,0))=0,"",INDEX(設定!$D$6:$D$21,MATCH($G1734,設定!$B$6:$B$21,0))),""))</f>
        <v/>
      </c>
      <c r="I1734" s="83">
        <f>IF($G1734="","",IFERROR(IF(INDEX(設定!$E$6:$E$21,MATCH($G1734,設定!$B$6:$B$21,0))=0,"",INDEX(設定!$E$6:$E$21,MATCH($G1734,設定!$B$6:$B$21,0))),""))</f>
        <v/>
      </c>
      <c r="J1734" s="83">
        <f>IFERROR(INDEX(打卡匯入!$C$3:$C$2002,MATCH($C1734&amp;"|"&amp;DAY($A1734),打卡匯入!$E$3:$E$2002,0)),"")</f>
        <v/>
      </c>
      <c r="K1734" s="83">
        <f>IFERROR(INDEX(打卡匯入!$D$3:$D$2002,MATCH($C1734&amp;"|"&amp;DAY($A1734),打卡匯入!$E$3:$E$2002,0)),"")</f>
        <v/>
      </c>
      <c r="L1734" s="84">
        <f>IF(OR($J1734="",$K1734=""),"",IFERROR(INDEX(設定!$F$6:$F$21,MATCH($G1734,設定!$B$6:$B$21,0)),0))</f>
        <v/>
      </c>
      <c r="M1734" s="85">
        <f>IF(OR($J1734="",$K1734=""),"",ROUND(($K1734-$J1734)*24-$L1734/60,2))</f>
        <v/>
      </c>
      <c r="N1734" s="16">
        <f>IF($C1734="","",IF(AND(COUNTIF(設定!$B$15:$B$21,$G1734)&gt;0,$J1734&lt;&gt;""),"假日出勤",IF(AND(COUNTIF(設定!$B$6:$B$14,$G1734)&gt;0,$J1734=""),"未打卡",IF($J1734="","",IF($O1734&gt;0,"遲到",IF($P1734&gt;0,"早退","正常"))))))</f>
        <v/>
      </c>
      <c r="O1734" s="84">
        <f>IF(OR($C1734="",$H1734="",$J1734=""),0,IF(ROUND(($J1734-$H1734)*1440,0)&gt;設定!$C$46,ROUND(($J1734-$H1734)*1440,0),0))</f>
        <v/>
      </c>
      <c r="P1734" s="84">
        <f>IF(OR($C1734="",$I1734="",$K1734=""),0,IF(ROUND(($I1734-$K1734)*1440,0)&gt;設定!$C$46,ROUND(($I1734-$K1734)*1440,0),0))</f>
        <v/>
      </c>
      <c r="Q1734" s="85">
        <f>IF($M1734="",0,IF(($M1734-IFERROR(INDEX(設定!$G$6:$G$21,MATCH($G1734,設定!$B$6:$B$21,0)),0))*60&gt;=設定!$C$44,ROUND(FLOOR(($M1734-IFERROR(INDEX(設定!$G$6:$G$21,MATCH($G1734,設定!$B$6:$B$21,0)),0))*60,設定!$C$45)/60,2),0))</f>
        <v/>
      </c>
      <c r="R1734" s="16">
        <f>IF(OR($C1734="",$Q1734=0),"",IF($G1734="國","國定假日",IF($B1734="日","例假",IF($B1734="六","休息日","平日"))))</f>
        <v/>
      </c>
      <c r="S1734" s="19" t="n"/>
    </row>
    <row r="1735">
      <c r="A1735" s="82">
        <f>IF(OR(助理班表!$A60="",28&gt;DAY(EOMONTH(DATE(設定!$C$2,設定!$D$2,1),0))),"",DATE(設定!$C$2,設定!$D$2,28))</f>
        <v/>
      </c>
      <c r="B1735" s="16">
        <f>IF($A1735="","",INDEX(設定!$O$6:$O$12,WEEKDAY($A1735,1)))</f>
        <v/>
      </c>
      <c r="C1735" s="16">
        <f>IF($A1735="","",助理班表!$A60)</f>
        <v/>
      </c>
      <c r="D1735" s="16">
        <f>IF($C1735="","",助理班表!$B60)</f>
        <v/>
      </c>
      <c r="E1735" s="16">
        <f>IF($C1735="","",助理班表!$D60)</f>
        <v/>
      </c>
      <c r="F1735" s="16">
        <f>IF($C1735="","",助理班表!$C60)</f>
        <v/>
      </c>
      <c r="G1735" s="16">
        <f>IF($C1735="","",助理班表!AF60)</f>
        <v/>
      </c>
      <c r="H1735" s="83">
        <f>IF($G1735="","",IFERROR(IF(INDEX(設定!$D$6:$D$21,MATCH($G1735,設定!$B$6:$B$21,0))=0,"",INDEX(設定!$D$6:$D$21,MATCH($G1735,設定!$B$6:$B$21,0))),""))</f>
        <v/>
      </c>
      <c r="I1735" s="83">
        <f>IF($G1735="","",IFERROR(IF(INDEX(設定!$E$6:$E$21,MATCH($G1735,設定!$B$6:$B$21,0))=0,"",INDEX(設定!$E$6:$E$21,MATCH($G1735,設定!$B$6:$B$21,0))),""))</f>
        <v/>
      </c>
      <c r="J1735" s="83">
        <f>IFERROR(INDEX(打卡匯入!$C$3:$C$2002,MATCH($C1735&amp;"|"&amp;DAY($A1735),打卡匯入!$E$3:$E$2002,0)),"")</f>
        <v/>
      </c>
      <c r="K1735" s="83">
        <f>IFERROR(INDEX(打卡匯入!$D$3:$D$2002,MATCH($C1735&amp;"|"&amp;DAY($A1735),打卡匯入!$E$3:$E$2002,0)),"")</f>
        <v/>
      </c>
      <c r="L1735" s="84">
        <f>IF(OR($J1735="",$K1735=""),"",IFERROR(INDEX(設定!$F$6:$F$21,MATCH($G1735,設定!$B$6:$B$21,0)),0))</f>
        <v/>
      </c>
      <c r="M1735" s="85">
        <f>IF(OR($J1735="",$K1735=""),"",ROUND(($K1735-$J1735)*24-$L1735/60,2))</f>
        <v/>
      </c>
      <c r="N1735" s="16">
        <f>IF($C1735="","",IF(AND(COUNTIF(設定!$B$15:$B$21,$G1735)&gt;0,$J1735&lt;&gt;""),"假日出勤",IF(AND(COUNTIF(設定!$B$6:$B$14,$G1735)&gt;0,$J1735=""),"未打卡",IF($J1735="","",IF($O1735&gt;0,"遲到",IF($P1735&gt;0,"早退","正常"))))))</f>
        <v/>
      </c>
      <c r="O1735" s="84">
        <f>IF(OR($C1735="",$H1735="",$J1735=""),0,IF(ROUND(($J1735-$H1735)*1440,0)&gt;設定!$C$46,ROUND(($J1735-$H1735)*1440,0),0))</f>
        <v/>
      </c>
      <c r="P1735" s="84">
        <f>IF(OR($C1735="",$I1735="",$K1735=""),0,IF(ROUND(($I1735-$K1735)*1440,0)&gt;設定!$C$46,ROUND(($I1735-$K1735)*1440,0),0))</f>
        <v/>
      </c>
      <c r="Q1735" s="85">
        <f>IF($M1735="",0,IF(($M1735-IFERROR(INDEX(設定!$G$6:$G$21,MATCH($G1735,設定!$B$6:$B$21,0)),0))*60&gt;=設定!$C$44,ROUND(FLOOR(($M1735-IFERROR(INDEX(設定!$G$6:$G$21,MATCH($G1735,設定!$B$6:$B$21,0)),0))*60,設定!$C$45)/60,2),0))</f>
        <v/>
      </c>
      <c r="R1735" s="16">
        <f>IF(OR($C1735="",$Q1735=0),"",IF($G1735="國","國定假日",IF($B1735="日","例假",IF($B1735="六","休息日","平日"))))</f>
        <v/>
      </c>
      <c r="S1735" s="19" t="n"/>
    </row>
    <row r="1736">
      <c r="A1736" s="82">
        <f>IF(OR(助理班表!$A60="",29&gt;DAY(EOMONTH(DATE(設定!$C$2,設定!$D$2,1),0))),"",DATE(設定!$C$2,設定!$D$2,29))</f>
        <v/>
      </c>
      <c r="B1736" s="16">
        <f>IF($A1736="","",INDEX(設定!$O$6:$O$12,WEEKDAY($A1736,1)))</f>
        <v/>
      </c>
      <c r="C1736" s="16">
        <f>IF($A1736="","",助理班表!$A60)</f>
        <v/>
      </c>
      <c r="D1736" s="16">
        <f>IF($C1736="","",助理班表!$B60)</f>
        <v/>
      </c>
      <c r="E1736" s="16">
        <f>IF($C1736="","",助理班表!$D60)</f>
        <v/>
      </c>
      <c r="F1736" s="16">
        <f>IF($C1736="","",助理班表!$C60)</f>
        <v/>
      </c>
      <c r="G1736" s="16">
        <f>IF($C1736="","",助理班表!AG60)</f>
        <v/>
      </c>
      <c r="H1736" s="83">
        <f>IF($G1736="","",IFERROR(IF(INDEX(設定!$D$6:$D$21,MATCH($G1736,設定!$B$6:$B$21,0))=0,"",INDEX(設定!$D$6:$D$21,MATCH($G1736,設定!$B$6:$B$21,0))),""))</f>
        <v/>
      </c>
      <c r="I1736" s="83">
        <f>IF($G1736="","",IFERROR(IF(INDEX(設定!$E$6:$E$21,MATCH($G1736,設定!$B$6:$B$21,0))=0,"",INDEX(設定!$E$6:$E$21,MATCH($G1736,設定!$B$6:$B$21,0))),""))</f>
        <v/>
      </c>
      <c r="J1736" s="83">
        <f>IFERROR(INDEX(打卡匯入!$C$3:$C$2002,MATCH($C1736&amp;"|"&amp;DAY($A1736),打卡匯入!$E$3:$E$2002,0)),"")</f>
        <v/>
      </c>
      <c r="K1736" s="83">
        <f>IFERROR(INDEX(打卡匯入!$D$3:$D$2002,MATCH($C1736&amp;"|"&amp;DAY($A1736),打卡匯入!$E$3:$E$2002,0)),"")</f>
        <v/>
      </c>
      <c r="L1736" s="84">
        <f>IF(OR($J1736="",$K1736=""),"",IFERROR(INDEX(設定!$F$6:$F$21,MATCH($G1736,設定!$B$6:$B$21,0)),0))</f>
        <v/>
      </c>
      <c r="M1736" s="85">
        <f>IF(OR($J1736="",$K1736=""),"",ROUND(($K1736-$J1736)*24-$L1736/60,2))</f>
        <v/>
      </c>
      <c r="N1736" s="16">
        <f>IF($C1736="","",IF(AND(COUNTIF(設定!$B$15:$B$21,$G1736)&gt;0,$J1736&lt;&gt;""),"假日出勤",IF(AND(COUNTIF(設定!$B$6:$B$14,$G1736)&gt;0,$J1736=""),"未打卡",IF($J1736="","",IF($O1736&gt;0,"遲到",IF($P1736&gt;0,"早退","正常"))))))</f>
        <v/>
      </c>
      <c r="O1736" s="84">
        <f>IF(OR($C1736="",$H1736="",$J1736=""),0,IF(ROUND(($J1736-$H1736)*1440,0)&gt;設定!$C$46,ROUND(($J1736-$H1736)*1440,0),0))</f>
        <v/>
      </c>
      <c r="P1736" s="84">
        <f>IF(OR($C1736="",$I1736="",$K1736=""),0,IF(ROUND(($I1736-$K1736)*1440,0)&gt;設定!$C$46,ROUND(($I1736-$K1736)*1440,0),0))</f>
        <v/>
      </c>
      <c r="Q1736" s="85">
        <f>IF($M1736="",0,IF(($M1736-IFERROR(INDEX(設定!$G$6:$G$21,MATCH($G1736,設定!$B$6:$B$21,0)),0))*60&gt;=設定!$C$44,ROUND(FLOOR(($M1736-IFERROR(INDEX(設定!$G$6:$G$21,MATCH($G1736,設定!$B$6:$B$21,0)),0))*60,設定!$C$45)/60,2),0))</f>
        <v/>
      </c>
      <c r="R1736" s="16">
        <f>IF(OR($C1736="",$Q1736=0),"",IF($G1736="國","國定假日",IF($B1736="日","例假",IF($B1736="六","休息日","平日"))))</f>
        <v/>
      </c>
      <c r="S1736" s="19" t="n"/>
    </row>
    <row r="1737">
      <c r="A1737" s="82">
        <f>IF(OR(助理班表!$A60="",30&gt;DAY(EOMONTH(DATE(設定!$C$2,設定!$D$2,1),0))),"",DATE(設定!$C$2,設定!$D$2,30))</f>
        <v/>
      </c>
      <c r="B1737" s="16">
        <f>IF($A1737="","",INDEX(設定!$O$6:$O$12,WEEKDAY($A1737,1)))</f>
        <v/>
      </c>
      <c r="C1737" s="16">
        <f>IF($A1737="","",助理班表!$A60)</f>
        <v/>
      </c>
      <c r="D1737" s="16">
        <f>IF($C1737="","",助理班表!$B60)</f>
        <v/>
      </c>
      <c r="E1737" s="16">
        <f>IF($C1737="","",助理班表!$D60)</f>
        <v/>
      </c>
      <c r="F1737" s="16">
        <f>IF($C1737="","",助理班表!$C60)</f>
        <v/>
      </c>
      <c r="G1737" s="16">
        <f>IF($C1737="","",助理班表!AH60)</f>
        <v/>
      </c>
      <c r="H1737" s="83">
        <f>IF($G1737="","",IFERROR(IF(INDEX(設定!$D$6:$D$21,MATCH($G1737,設定!$B$6:$B$21,0))=0,"",INDEX(設定!$D$6:$D$21,MATCH($G1737,設定!$B$6:$B$21,0))),""))</f>
        <v/>
      </c>
      <c r="I1737" s="83">
        <f>IF($G1737="","",IFERROR(IF(INDEX(設定!$E$6:$E$21,MATCH($G1737,設定!$B$6:$B$21,0))=0,"",INDEX(設定!$E$6:$E$21,MATCH($G1737,設定!$B$6:$B$21,0))),""))</f>
        <v/>
      </c>
      <c r="J1737" s="83">
        <f>IFERROR(INDEX(打卡匯入!$C$3:$C$2002,MATCH($C1737&amp;"|"&amp;DAY($A1737),打卡匯入!$E$3:$E$2002,0)),"")</f>
        <v/>
      </c>
      <c r="K1737" s="83">
        <f>IFERROR(INDEX(打卡匯入!$D$3:$D$2002,MATCH($C1737&amp;"|"&amp;DAY($A1737),打卡匯入!$E$3:$E$2002,0)),"")</f>
        <v/>
      </c>
      <c r="L1737" s="84">
        <f>IF(OR($J1737="",$K1737=""),"",IFERROR(INDEX(設定!$F$6:$F$21,MATCH($G1737,設定!$B$6:$B$21,0)),0))</f>
        <v/>
      </c>
      <c r="M1737" s="85">
        <f>IF(OR($J1737="",$K1737=""),"",ROUND(($K1737-$J1737)*24-$L1737/60,2))</f>
        <v/>
      </c>
      <c r="N1737" s="16">
        <f>IF($C1737="","",IF(AND(COUNTIF(設定!$B$15:$B$21,$G1737)&gt;0,$J1737&lt;&gt;""),"假日出勤",IF(AND(COUNTIF(設定!$B$6:$B$14,$G1737)&gt;0,$J1737=""),"未打卡",IF($J1737="","",IF($O1737&gt;0,"遲到",IF($P1737&gt;0,"早退","正常"))))))</f>
        <v/>
      </c>
      <c r="O1737" s="84">
        <f>IF(OR($C1737="",$H1737="",$J1737=""),0,IF(ROUND(($J1737-$H1737)*1440,0)&gt;設定!$C$46,ROUND(($J1737-$H1737)*1440,0),0))</f>
        <v/>
      </c>
      <c r="P1737" s="84">
        <f>IF(OR($C1737="",$I1737="",$K1737=""),0,IF(ROUND(($I1737-$K1737)*1440,0)&gt;設定!$C$46,ROUND(($I1737-$K1737)*1440,0),0))</f>
        <v/>
      </c>
      <c r="Q1737" s="85">
        <f>IF($M1737="",0,IF(($M1737-IFERROR(INDEX(設定!$G$6:$G$21,MATCH($G1737,設定!$B$6:$B$21,0)),0))*60&gt;=設定!$C$44,ROUND(FLOOR(($M1737-IFERROR(INDEX(設定!$G$6:$G$21,MATCH($G1737,設定!$B$6:$B$21,0)),0))*60,設定!$C$45)/60,2),0))</f>
        <v/>
      </c>
      <c r="R1737" s="16">
        <f>IF(OR($C1737="",$Q1737=0),"",IF($G1737="國","國定假日",IF($B1737="日","例假",IF($B1737="六","休息日","平日"))))</f>
        <v/>
      </c>
      <c r="S1737" s="19" t="n"/>
    </row>
    <row r="1738">
      <c r="A1738" s="82">
        <f>IF(OR(助理班表!$A60="",31&gt;DAY(EOMONTH(DATE(設定!$C$2,設定!$D$2,1),0))),"",DATE(設定!$C$2,設定!$D$2,31))</f>
        <v/>
      </c>
      <c r="B1738" s="16">
        <f>IF($A1738="","",INDEX(設定!$O$6:$O$12,WEEKDAY($A1738,1)))</f>
        <v/>
      </c>
      <c r="C1738" s="16">
        <f>IF($A1738="","",助理班表!$A60)</f>
        <v/>
      </c>
      <c r="D1738" s="16">
        <f>IF($C1738="","",助理班表!$B60)</f>
        <v/>
      </c>
      <c r="E1738" s="16">
        <f>IF($C1738="","",助理班表!$D60)</f>
        <v/>
      </c>
      <c r="F1738" s="16">
        <f>IF($C1738="","",助理班表!$C60)</f>
        <v/>
      </c>
      <c r="G1738" s="16">
        <f>IF($C1738="","",助理班表!AI60)</f>
        <v/>
      </c>
      <c r="H1738" s="83">
        <f>IF($G1738="","",IFERROR(IF(INDEX(設定!$D$6:$D$21,MATCH($G1738,設定!$B$6:$B$21,0))=0,"",INDEX(設定!$D$6:$D$21,MATCH($G1738,設定!$B$6:$B$21,0))),""))</f>
        <v/>
      </c>
      <c r="I1738" s="83">
        <f>IF($G1738="","",IFERROR(IF(INDEX(設定!$E$6:$E$21,MATCH($G1738,設定!$B$6:$B$21,0))=0,"",INDEX(設定!$E$6:$E$21,MATCH($G1738,設定!$B$6:$B$21,0))),""))</f>
        <v/>
      </c>
      <c r="J1738" s="83">
        <f>IFERROR(INDEX(打卡匯入!$C$3:$C$2002,MATCH($C1738&amp;"|"&amp;DAY($A1738),打卡匯入!$E$3:$E$2002,0)),"")</f>
        <v/>
      </c>
      <c r="K1738" s="83">
        <f>IFERROR(INDEX(打卡匯入!$D$3:$D$2002,MATCH($C1738&amp;"|"&amp;DAY($A1738),打卡匯入!$E$3:$E$2002,0)),"")</f>
        <v/>
      </c>
      <c r="L1738" s="84">
        <f>IF(OR($J1738="",$K1738=""),"",IFERROR(INDEX(設定!$F$6:$F$21,MATCH($G1738,設定!$B$6:$B$21,0)),0))</f>
        <v/>
      </c>
      <c r="M1738" s="85">
        <f>IF(OR($J1738="",$K1738=""),"",ROUND(($K1738-$J1738)*24-$L1738/60,2))</f>
        <v/>
      </c>
      <c r="N1738" s="16">
        <f>IF($C1738="","",IF(AND(COUNTIF(設定!$B$15:$B$21,$G1738)&gt;0,$J1738&lt;&gt;""),"假日出勤",IF(AND(COUNTIF(設定!$B$6:$B$14,$G1738)&gt;0,$J1738=""),"未打卡",IF($J1738="","",IF($O1738&gt;0,"遲到",IF($P1738&gt;0,"早退","正常"))))))</f>
        <v/>
      </c>
      <c r="O1738" s="84">
        <f>IF(OR($C1738="",$H1738="",$J1738=""),0,IF(ROUND(($J1738-$H1738)*1440,0)&gt;設定!$C$46,ROUND(($J1738-$H1738)*1440,0),0))</f>
        <v/>
      </c>
      <c r="P1738" s="84">
        <f>IF(OR($C1738="",$I1738="",$K1738=""),0,IF(ROUND(($I1738-$K1738)*1440,0)&gt;設定!$C$46,ROUND(($I1738-$K1738)*1440,0),0))</f>
        <v/>
      </c>
      <c r="Q1738" s="85">
        <f>IF($M1738="",0,IF(($M1738-IFERROR(INDEX(設定!$G$6:$G$21,MATCH($G1738,設定!$B$6:$B$21,0)),0))*60&gt;=設定!$C$44,ROUND(FLOOR(($M1738-IFERROR(INDEX(設定!$G$6:$G$21,MATCH($G1738,設定!$B$6:$B$21,0)),0))*60,設定!$C$45)/60,2),0))</f>
        <v/>
      </c>
      <c r="R1738" s="16">
        <f>IF(OR($C1738="",$Q1738=0),"",IF($G1738="國","國定假日",IF($B1738="日","例假",IF($B1738="六","休息日","平日"))))</f>
        <v/>
      </c>
      <c r="S1738" s="19" t="n"/>
    </row>
    <row r="1739">
      <c r="A1739" s="82">
        <f>IF(OR(助理班表!$A61="",1&gt;DAY(EOMONTH(DATE(設定!$C$2,設定!$D$2,1),0))),"",DATE(設定!$C$2,設定!$D$2,1))</f>
        <v/>
      </c>
      <c r="B1739" s="16">
        <f>IF($A1739="","",INDEX(設定!$O$6:$O$12,WEEKDAY($A1739,1)))</f>
        <v/>
      </c>
      <c r="C1739" s="16">
        <f>IF($A1739="","",助理班表!$A61)</f>
        <v/>
      </c>
      <c r="D1739" s="16">
        <f>IF($C1739="","",助理班表!$B61)</f>
        <v/>
      </c>
      <c r="E1739" s="16">
        <f>IF($C1739="","",助理班表!$D61)</f>
        <v/>
      </c>
      <c r="F1739" s="16">
        <f>IF($C1739="","",助理班表!$C61)</f>
        <v/>
      </c>
      <c r="G1739" s="16">
        <f>IF($C1739="","",助理班表!E61)</f>
        <v/>
      </c>
      <c r="H1739" s="83">
        <f>IF($G1739="","",IFERROR(IF(INDEX(設定!$D$6:$D$21,MATCH($G1739,設定!$B$6:$B$21,0))=0,"",INDEX(設定!$D$6:$D$21,MATCH($G1739,設定!$B$6:$B$21,0))),""))</f>
        <v/>
      </c>
      <c r="I1739" s="83">
        <f>IF($G1739="","",IFERROR(IF(INDEX(設定!$E$6:$E$21,MATCH($G1739,設定!$B$6:$B$21,0))=0,"",INDEX(設定!$E$6:$E$21,MATCH($G1739,設定!$B$6:$B$21,0))),""))</f>
        <v/>
      </c>
      <c r="J1739" s="83">
        <f>IFERROR(INDEX(打卡匯入!$C$3:$C$2002,MATCH($C1739&amp;"|"&amp;DAY($A1739),打卡匯入!$E$3:$E$2002,0)),"")</f>
        <v/>
      </c>
      <c r="K1739" s="83">
        <f>IFERROR(INDEX(打卡匯入!$D$3:$D$2002,MATCH($C1739&amp;"|"&amp;DAY($A1739),打卡匯入!$E$3:$E$2002,0)),"")</f>
        <v/>
      </c>
      <c r="L1739" s="84">
        <f>IF(OR($J1739="",$K1739=""),"",IFERROR(INDEX(設定!$F$6:$F$21,MATCH($G1739,設定!$B$6:$B$21,0)),0))</f>
        <v/>
      </c>
      <c r="M1739" s="85">
        <f>IF(OR($J1739="",$K1739=""),"",ROUND(($K1739-$J1739)*24-$L1739/60,2))</f>
        <v/>
      </c>
      <c r="N1739" s="16">
        <f>IF($C1739="","",IF(AND(COUNTIF(設定!$B$15:$B$21,$G1739)&gt;0,$J1739&lt;&gt;""),"假日出勤",IF(AND(COUNTIF(設定!$B$6:$B$14,$G1739)&gt;0,$J1739=""),"未打卡",IF($J1739="","",IF($O1739&gt;0,"遲到",IF($P1739&gt;0,"早退","正常"))))))</f>
        <v/>
      </c>
      <c r="O1739" s="84">
        <f>IF(OR($C1739="",$H1739="",$J1739=""),0,IF(ROUND(($J1739-$H1739)*1440,0)&gt;設定!$C$46,ROUND(($J1739-$H1739)*1440,0),0))</f>
        <v/>
      </c>
      <c r="P1739" s="84">
        <f>IF(OR($C1739="",$I1739="",$K1739=""),0,IF(ROUND(($I1739-$K1739)*1440,0)&gt;設定!$C$46,ROUND(($I1739-$K1739)*1440,0),0))</f>
        <v/>
      </c>
      <c r="Q1739" s="85">
        <f>IF($M1739="",0,IF(($M1739-IFERROR(INDEX(設定!$G$6:$G$21,MATCH($G1739,設定!$B$6:$B$21,0)),0))*60&gt;=設定!$C$44,ROUND(FLOOR(($M1739-IFERROR(INDEX(設定!$G$6:$G$21,MATCH($G1739,設定!$B$6:$B$21,0)),0))*60,設定!$C$45)/60,2),0))</f>
        <v/>
      </c>
      <c r="R1739" s="16">
        <f>IF(OR($C1739="",$Q1739=0),"",IF($G1739="國","國定假日",IF($B1739="日","例假",IF($B1739="六","休息日","平日"))))</f>
        <v/>
      </c>
      <c r="S1739" s="19" t="n"/>
    </row>
    <row r="1740">
      <c r="A1740" s="82">
        <f>IF(OR(助理班表!$A61="",2&gt;DAY(EOMONTH(DATE(設定!$C$2,設定!$D$2,1),0))),"",DATE(設定!$C$2,設定!$D$2,2))</f>
        <v/>
      </c>
      <c r="B1740" s="16">
        <f>IF($A1740="","",INDEX(設定!$O$6:$O$12,WEEKDAY($A1740,1)))</f>
        <v/>
      </c>
      <c r="C1740" s="16">
        <f>IF($A1740="","",助理班表!$A61)</f>
        <v/>
      </c>
      <c r="D1740" s="16">
        <f>IF($C1740="","",助理班表!$B61)</f>
        <v/>
      </c>
      <c r="E1740" s="16">
        <f>IF($C1740="","",助理班表!$D61)</f>
        <v/>
      </c>
      <c r="F1740" s="16">
        <f>IF($C1740="","",助理班表!$C61)</f>
        <v/>
      </c>
      <c r="G1740" s="16">
        <f>IF($C1740="","",助理班表!F61)</f>
        <v/>
      </c>
      <c r="H1740" s="83">
        <f>IF($G1740="","",IFERROR(IF(INDEX(設定!$D$6:$D$21,MATCH($G1740,設定!$B$6:$B$21,0))=0,"",INDEX(設定!$D$6:$D$21,MATCH($G1740,設定!$B$6:$B$21,0))),""))</f>
        <v/>
      </c>
      <c r="I1740" s="83">
        <f>IF($G1740="","",IFERROR(IF(INDEX(設定!$E$6:$E$21,MATCH($G1740,設定!$B$6:$B$21,0))=0,"",INDEX(設定!$E$6:$E$21,MATCH($G1740,設定!$B$6:$B$21,0))),""))</f>
        <v/>
      </c>
      <c r="J1740" s="83">
        <f>IFERROR(INDEX(打卡匯入!$C$3:$C$2002,MATCH($C1740&amp;"|"&amp;DAY($A1740),打卡匯入!$E$3:$E$2002,0)),"")</f>
        <v/>
      </c>
      <c r="K1740" s="83">
        <f>IFERROR(INDEX(打卡匯入!$D$3:$D$2002,MATCH($C1740&amp;"|"&amp;DAY($A1740),打卡匯入!$E$3:$E$2002,0)),"")</f>
        <v/>
      </c>
      <c r="L1740" s="84">
        <f>IF(OR($J1740="",$K1740=""),"",IFERROR(INDEX(設定!$F$6:$F$21,MATCH($G1740,設定!$B$6:$B$21,0)),0))</f>
        <v/>
      </c>
      <c r="M1740" s="85">
        <f>IF(OR($J1740="",$K1740=""),"",ROUND(($K1740-$J1740)*24-$L1740/60,2))</f>
        <v/>
      </c>
      <c r="N1740" s="16">
        <f>IF($C1740="","",IF(AND(COUNTIF(設定!$B$15:$B$21,$G1740)&gt;0,$J1740&lt;&gt;""),"假日出勤",IF(AND(COUNTIF(設定!$B$6:$B$14,$G1740)&gt;0,$J1740=""),"未打卡",IF($J1740="","",IF($O1740&gt;0,"遲到",IF($P1740&gt;0,"早退","正常"))))))</f>
        <v/>
      </c>
      <c r="O1740" s="84">
        <f>IF(OR($C1740="",$H1740="",$J1740=""),0,IF(ROUND(($J1740-$H1740)*1440,0)&gt;設定!$C$46,ROUND(($J1740-$H1740)*1440,0),0))</f>
        <v/>
      </c>
      <c r="P1740" s="84">
        <f>IF(OR($C1740="",$I1740="",$K1740=""),0,IF(ROUND(($I1740-$K1740)*1440,0)&gt;設定!$C$46,ROUND(($I1740-$K1740)*1440,0),0))</f>
        <v/>
      </c>
      <c r="Q1740" s="85">
        <f>IF($M1740="",0,IF(($M1740-IFERROR(INDEX(設定!$G$6:$G$21,MATCH($G1740,設定!$B$6:$B$21,0)),0))*60&gt;=設定!$C$44,ROUND(FLOOR(($M1740-IFERROR(INDEX(設定!$G$6:$G$21,MATCH($G1740,設定!$B$6:$B$21,0)),0))*60,設定!$C$45)/60,2),0))</f>
        <v/>
      </c>
      <c r="R1740" s="16">
        <f>IF(OR($C1740="",$Q1740=0),"",IF($G1740="國","國定假日",IF($B1740="日","例假",IF($B1740="六","休息日","平日"))))</f>
        <v/>
      </c>
      <c r="S1740" s="19" t="n"/>
    </row>
    <row r="1741">
      <c r="A1741" s="82">
        <f>IF(OR(助理班表!$A61="",3&gt;DAY(EOMONTH(DATE(設定!$C$2,設定!$D$2,1),0))),"",DATE(設定!$C$2,設定!$D$2,3))</f>
        <v/>
      </c>
      <c r="B1741" s="16">
        <f>IF($A1741="","",INDEX(設定!$O$6:$O$12,WEEKDAY($A1741,1)))</f>
        <v/>
      </c>
      <c r="C1741" s="16">
        <f>IF($A1741="","",助理班表!$A61)</f>
        <v/>
      </c>
      <c r="D1741" s="16">
        <f>IF($C1741="","",助理班表!$B61)</f>
        <v/>
      </c>
      <c r="E1741" s="16">
        <f>IF($C1741="","",助理班表!$D61)</f>
        <v/>
      </c>
      <c r="F1741" s="16">
        <f>IF($C1741="","",助理班表!$C61)</f>
        <v/>
      </c>
      <c r="G1741" s="16">
        <f>IF($C1741="","",助理班表!G61)</f>
        <v/>
      </c>
      <c r="H1741" s="83">
        <f>IF($G1741="","",IFERROR(IF(INDEX(設定!$D$6:$D$21,MATCH($G1741,設定!$B$6:$B$21,0))=0,"",INDEX(設定!$D$6:$D$21,MATCH($G1741,設定!$B$6:$B$21,0))),""))</f>
        <v/>
      </c>
      <c r="I1741" s="83">
        <f>IF($G1741="","",IFERROR(IF(INDEX(設定!$E$6:$E$21,MATCH($G1741,設定!$B$6:$B$21,0))=0,"",INDEX(設定!$E$6:$E$21,MATCH($G1741,設定!$B$6:$B$21,0))),""))</f>
        <v/>
      </c>
      <c r="J1741" s="83">
        <f>IFERROR(INDEX(打卡匯入!$C$3:$C$2002,MATCH($C1741&amp;"|"&amp;DAY($A1741),打卡匯入!$E$3:$E$2002,0)),"")</f>
        <v/>
      </c>
      <c r="K1741" s="83">
        <f>IFERROR(INDEX(打卡匯入!$D$3:$D$2002,MATCH($C1741&amp;"|"&amp;DAY($A1741),打卡匯入!$E$3:$E$2002,0)),"")</f>
        <v/>
      </c>
      <c r="L1741" s="84">
        <f>IF(OR($J1741="",$K1741=""),"",IFERROR(INDEX(設定!$F$6:$F$21,MATCH($G1741,設定!$B$6:$B$21,0)),0))</f>
        <v/>
      </c>
      <c r="M1741" s="85">
        <f>IF(OR($J1741="",$K1741=""),"",ROUND(($K1741-$J1741)*24-$L1741/60,2))</f>
        <v/>
      </c>
      <c r="N1741" s="16">
        <f>IF($C1741="","",IF(AND(COUNTIF(設定!$B$15:$B$21,$G1741)&gt;0,$J1741&lt;&gt;""),"假日出勤",IF(AND(COUNTIF(設定!$B$6:$B$14,$G1741)&gt;0,$J1741=""),"未打卡",IF($J1741="","",IF($O1741&gt;0,"遲到",IF($P1741&gt;0,"早退","正常"))))))</f>
        <v/>
      </c>
      <c r="O1741" s="84">
        <f>IF(OR($C1741="",$H1741="",$J1741=""),0,IF(ROUND(($J1741-$H1741)*1440,0)&gt;設定!$C$46,ROUND(($J1741-$H1741)*1440,0),0))</f>
        <v/>
      </c>
      <c r="P1741" s="84">
        <f>IF(OR($C1741="",$I1741="",$K1741=""),0,IF(ROUND(($I1741-$K1741)*1440,0)&gt;設定!$C$46,ROUND(($I1741-$K1741)*1440,0),0))</f>
        <v/>
      </c>
      <c r="Q1741" s="85">
        <f>IF($M1741="",0,IF(($M1741-IFERROR(INDEX(設定!$G$6:$G$21,MATCH($G1741,設定!$B$6:$B$21,0)),0))*60&gt;=設定!$C$44,ROUND(FLOOR(($M1741-IFERROR(INDEX(設定!$G$6:$G$21,MATCH($G1741,設定!$B$6:$B$21,0)),0))*60,設定!$C$45)/60,2),0))</f>
        <v/>
      </c>
      <c r="R1741" s="16">
        <f>IF(OR($C1741="",$Q1741=0),"",IF($G1741="國","國定假日",IF($B1741="日","例假",IF($B1741="六","休息日","平日"))))</f>
        <v/>
      </c>
      <c r="S1741" s="19" t="n"/>
    </row>
    <row r="1742">
      <c r="A1742" s="82">
        <f>IF(OR(助理班表!$A61="",4&gt;DAY(EOMONTH(DATE(設定!$C$2,設定!$D$2,1),0))),"",DATE(設定!$C$2,設定!$D$2,4))</f>
        <v/>
      </c>
      <c r="B1742" s="16">
        <f>IF($A1742="","",INDEX(設定!$O$6:$O$12,WEEKDAY($A1742,1)))</f>
        <v/>
      </c>
      <c r="C1742" s="16">
        <f>IF($A1742="","",助理班表!$A61)</f>
        <v/>
      </c>
      <c r="D1742" s="16">
        <f>IF($C1742="","",助理班表!$B61)</f>
        <v/>
      </c>
      <c r="E1742" s="16">
        <f>IF($C1742="","",助理班表!$D61)</f>
        <v/>
      </c>
      <c r="F1742" s="16">
        <f>IF($C1742="","",助理班表!$C61)</f>
        <v/>
      </c>
      <c r="G1742" s="16">
        <f>IF($C1742="","",助理班表!H61)</f>
        <v/>
      </c>
      <c r="H1742" s="83">
        <f>IF($G1742="","",IFERROR(IF(INDEX(設定!$D$6:$D$21,MATCH($G1742,設定!$B$6:$B$21,0))=0,"",INDEX(設定!$D$6:$D$21,MATCH($G1742,設定!$B$6:$B$21,0))),""))</f>
        <v/>
      </c>
      <c r="I1742" s="83">
        <f>IF($G1742="","",IFERROR(IF(INDEX(設定!$E$6:$E$21,MATCH($G1742,設定!$B$6:$B$21,0))=0,"",INDEX(設定!$E$6:$E$21,MATCH($G1742,設定!$B$6:$B$21,0))),""))</f>
        <v/>
      </c>
      <c r="J1742" s="83">
        <f>IFERROR(INDEX(打卡匯入!$C$3:$C$2002,MATCH($C1742&amp;"|"&amp;DAY($A1742),打卡匯入!$E$3:$E$2002,0)),"")</f>
        <v/>
      </c>
      <c r="K1742" s="83">
        <f>IFERROR(INDEX(打卡匯入!$D$3:$D$2002,MATCH($C1742&amp;"|"&amp;DAY($A1742),打卡匯入!$E$3:$E$2002,0)),"")</f>
        <v/>
      </c>
      <c r="L1742" s="84">
        <f>IF(OR($J1742="",$K1742=""),"",IFERROR(INDEX(設定!$F$6:$F$21,MATCH($G1742,設定!$B$6:$B$21,0)),0))</f>
        <v/>
      </c>
      <c r="M1742" s="85">
        <f>IF(OR($J1742="",$K1742=""),"",ROUND(($K1742-$J1742)*24-$L1742/60,2))</f>
        <v/>
      </c>
      <c r="N1742" s="16">
        <f>IF($C1742="","",IF(AND(COUNTIF(設定!$B$15:$B$21,$G1742)&gt;0,$J1742&lt;&gt;""),"假日出勤",IF(AND(COUNTIF(設定!$B$6:$B$14,$G1742)&gt;0,$J1742=""),"未打卡",IF($J1742="","",IF($O1742&gt;0,"遲到",IF($P1742&gt;0,"早退","正常"))))))</f>
        <v/>
      </c>
      <c r="O1742" s="84">
        <f>IF(OR($C1742="",$H1742="",$J1742=""),0,IF(ROUND(($J1742-$H1742)*1440,0)&gt;設定!$C$46,ROUND(($J1742-$H1742)*1440,0),0))</f>
        <v/>
      </c>
      <c r="P1742" s="84">
        <f>IF(OR($C1742="",$I1742="",$K1742=""),0,IF(ROUND(($I1742-$K1742)*1440,0)&gt;設定!$C$46,ROUND(($I1742-$K1742)*1440,0),0))</f>
        <v/>
      </c>
      <c r="Q1742" s="85">
        <f>IF($M1742="",0,IF(($M1742-IFERROR(INDEX(設定!$G$6:$G$21,MATCH($G1742,設定!$B$6:$B$21,0)),0))*60&gt;=設定!$C$44,ROUND(FLOOR(($M1742-IFERROR(INDEX(設定!$G$6:$G$21,MATCH($G1742,設定!$B$6:$B$21,0)),0))*60,設定!$C$45)/60,2),0))</f>
        <v/>
      </c>
      <c r="R1742" s="16">
        <f>IF(OR($C1742="",$Q1742=0),"",IF($G1742="國","國定假日",IF($B1742="日","例假",IF($B1742="六","休息日","平日"))))</f>
        <v/>
      </c>
      <c r="S1742" s="19" t="n"/>
    </row>
    <row r="1743">
      <c r="A1743" s="82">
        <f>IF(OR(助理班表!$A61="",5&gt;DAY(EOMONTH(DATE(設定!$C$2,設定!$D$2,1),0))),"",DATE(設定!$C$2,設定!$D$2,5))</f>
        <v/>
      </c>
      <c r="B1743" s="16">
        <f>IF($A1743="","",INDEX(設定!$O$6:$O$12,WEEKDAY($A1743,1)))</f>
        <v/>
      </c>
      <c r="C1743" s="16">
        <f>IF($A1743="","",助理班表!$A61)</f>
        <v/>
      </c>
      <c r="D1743" s="16">
        <f>IF($C1743="","",助理班表!$B61)</f>
        <v/>
      </c>
      <c r="E1743" s="16">
        <f>IF($C1743="","",助理班表!$D61)</f>
        <v/>
      </c>
      <c r="F1743" s="16">
        <f>IF($C1743="","",助理班表!$C61)</f>
        <v/>
      </c>
      <c r="G1743" s="16">
        <f>IF($C1743="","",助理班表!I61)</f>
        <v/>
      </c>
      <c r="H1743" s="83">
        <f>IF($G1743="","",IFERROR(IF(INDEX(設定!$D$6:$D$21,MATCH($G1743,設定!$B$6:$B$21,0))=0,"",INDEX(設定!$D$6:$D$21,MATCH($G1743,設定!$B$6:$B$21,0))),""))</f>
        <v/>
      </c>
      <c r="I1743" s="83">
        <f>IF($G1743="","",IFERROR(IF(INDEX(設定!$E$6:$E$21,MATCH($G1743,設定!$B$6:$B$21,0))=0,"",INDEX(設定!$E$6:$E$21,MATCH($G1743,設定!$B$6:$B$21,0))),""))</f>
        <v/>
      </c>
      <c r="J1743" s="83">
        <f>IFERROR(INDEX(打卡匯入!$C$3:$C$2002,MATCH($C1743&amp;"|"&amp;DAY($A1743),打卡匯入!$E$3:$E$2002,0)),"")</f>
        <v/>
      </c>
      <c r="K1743" s="83">
        <f>IFERROR(INDEX(打卡匯入!$D$3:$D$2002,MATCH($C1743&amp;"|"&amp;DAY($A1743),打卡匯入!$E$3:$E$2002,0)),"")</f>
        <v/>
      </c>
      <c r="L1743" s="84">
        <f>IF(OR($J1743="",$K1743=""),"",IFERROR(INDEX(設定!$F$6:$F$21,MATCH($G1743,設定!$B$6:$B$21,0)),0))</f>
        <v/>
      </c>
      <c r="M1743" s="85">
        <f>IF(OR($J1743="",$K1743=""),"",ROUND(($K1743-$J1743)*24-$L1743/60,2))</f>
        <v/>
      </c>
      <c r="N1743" s="16">
        <f>IF($C1743="","",IF(AND(COUNTIF(設定!$B$15:$B$21,$G1743)&gt;0,$J1743&lt;&gt;""),"假日出勤",IF(AND(COUNTIF(設定!$B$6:$B$14,$G1743)&gt;0,$J1743=""),"未打卡",IF($J1743="","",IF($O1743&gt;0,"遲到",IF($P1743&gt;0,"早退","正常"))))))</f>
        <v/>
      </c>
      <c r="O1743" s="84">
        <f>IF(OR($C1743="",$H1743="",$J1743=""),0,IF(ROUND(($J1743-$H1743)*1440,0)&gt;設定!$C$46,ROUND(($J1743-$H1743)*1440,0),0))</f>
        <v/>
      </c>
      <c r="P1743" s="84">
        <f>IF(OR($C1743="",$I1743="",$K1743=""),0,IF(ROUND(($I1743-$K1743)*1440,0)&gt;設定!$C$46,ROUND(($I1743-$K1743)*1440,0),0))</f>
        <v/>
      </c>
      <c r="Q1743" s="85">
        <f>IF($M1743="",0,IF(($M1743-IFERROR(INDEX(設定!$G$6:$G$21,MATCH($G1743,設定!$B$6:$B$21,0)),0))*60&gt;=設定!$C$44,ROUND(FLOOR(($M1743-IFERROR(INDEX(設定!$G$6:$G$21,MATCH($G1743,設定!$B$6:$B$21,0)),0))*60,設定!$C$45)/60,2),0))</f>
        <v/>
      </c>
      <c r="R1743" s="16">
        <f>IF(OR($C1743="",$Q1743=0),"",IF($G1743="國","國定假日",IF($B1743="日","例假",IF($B1743="六","休息日","平日"))))</f>
        <v/>
      </c>
      <c r="S1743" s="19" t="n"/>
    </row>
    <row r="1744">
      <c r="A1744" s="82">
        <f>IF(OR(助理班表!$A61="",6&gt;DAY(EOMONTH(DATE(設定!$C$2,設定!$D$2,1),0))),"",DATE(設定!$C$2,設定!$D$2,6))</f>
        <v/>
      </c>
      <c r="B1744" s="16">
        <f>IF($A1744="","",INDEX(設定!$O$6:$O$12,WEEKDAY($A1744,1)))</f>
        <v/>
      </c>
      <c r="C1744" s="16">
        <f>IF($A1744="","",助理班表!$A61)</f>
        <v/>
      </c>
      <c r="D1744" s="16">
        <f>IF($C1744="","",助理班表!$B61)</f>
        <v/>
      </c>
      <c r="E1744" s="16">
        <f>IF($C1744="","",助理班表!$D61)</f>
        <v/>
      </c>
      <c r="F1744" s="16">
        <f>IF($C1744="","",助理班表!$C61)</f>
        <v/>
      </c>
      <c r="G1744" s="16">
        <f>IF($C1744="","",助理班表!J61)</f>
        <v/>
      </c>
      <c r="H1744" s="83">
        <f>IF($G1744="","",IFERROR(IF(INDEX(設定!$D$6:$D$21,MATCH($G1744,設定!$B$6:$B$21,0))=0,"",INDEX(設定!$D$6:$D$21,MATCH($G1744,設定!$B$6:$B$21,0))),""))</f>
        <v/>
      </c>
      <c r="I1744" s="83">
        <f>IF($G1744="","",IFERROR(IF(INDEX(設定!$E$6:$E$21,MATCH($G1744,設定!$B$6:$B$21,0))=0,"",INDEX(設定!$E$6:$E$21,MATCH($G1744,設定!$B$6:$B$21,0))),""))</f>
        <v/>
      </c>
      <c r="J1744" s="83">
        <f>IFERROR(INDEX(打卡匯入!$C$3:$C$2002,MATCH($C1744&amp;"|"&amp;DAY($A1744),打卡匯入!$E$3:$E$2002,0)),"")</f>
        <v/>
      </c>
      <c r="K1744" s="83">
        <f>IFERROR(INDEX(打卡匯入!$D$3:$D$2002,MATCH($C1744&amp;"|"&amp;DAY($A1744),打卡匯入!$E$3:$E$2002,0)),"")</f>
        <v/>
      </c>
      <c r="L1744" s="84">
        <f>IF(OR($J1744="",$K1744=""),"",IFERROR(INDEX(設定!$F$6:$F$21,MATCH($G1744,設定!$B$6:$B$21,0)),0))</f>
        <v/>
      </c>
      <c r="M1744" s="85">
        <f>IF(OR($J1744="",$K1744=""),"",ROUND(($K1744-$J1744)*24-$L1744/60,2))</f>
        <v/>
      </c>
      <c r="N1744" s="16">
        <f>IF($C1744="","",IF(AND(COUNTIF(設定!$B$15:$B$21,$G1744)&gt;0,$J1744&lt;&gt;""),"假日出勤",IF(AND(COUNTIF(設定!$B$6:$B$14,$G1744)&gt;0,$J1744=""),"未打卡",IF($J1744="","",IF($O1744&gt;0,"遲到",IF($P1744&gt;0,"早退","正常"))))))</f>
        <v/>
      </c>
      <c r="O1744" s="84">
        <f>IF(OR($C1744="",$H1744="",$J1744=""),0,IF(ROUND(($J1744-$H1744)*1440,0)&gt;設定!$C$46,ROUND(($J1744-$H1744)*1440,0),0))</f>
        <v/>
      </c>
      <c r="P1744" s="84">
        <f>IF(OR($C1744="",$I1744="",$K1744=""),0,IF(ROUND(($I1744-$K1744)*1440,0)&gt;設定!$C$46,ROUND(($I1744-$K1744)*1440,0),0))</f>
        <v/>
      </c>
      <c r="Q1744" s="85">
        <f>IF($M1744="",0,IF(($M1744-IFERROR(INDEX(設定!$G$6:$G$21,MATCH($G1744,設定!$B$6:$B$21,0)),0))*60&gt;=設定!$C$44,ROUND(FLOOR(($M1744-IFERROR(INDEX(設定!$G$6:$G$21,MATCH($G1744,設定!$B$6:$B$21,0)),0))*60,設定!$C$45)/60,2),0))</f>
        <v/>
      </c>
      <c r="R1744" s="16">
        <f>IF(OR($C1744="",$Q1744=0),"",IF($G1744="國","國定假日",IF($B1744="日","例假",IF($B1744="六","休息日","平日"))))</f>
        <v/>
      </c>
      <c r="S1744" s="19" t="n"/>
    </row>
    <row r="1745">
      <c r="A1745" s="82">
        <f>IF(OR(助理班表!$A61="",7&gt;DAY(EOMONTH(DATE(設定!$C$2,設定!$D$2,1),0))),"",DATE(設定!$C$2,設定!$D$2,7))</f>
        <v/>
      </c>
      <c r="B1745" s="16">
        <f>IF($A1745="","",INDEX(設定!$O$6:$O$12,WEEKDAY($A1745,1)))</f>
        <v/>
      </c>
      <c r="C1745" s="16">
        <f>IF($A1745="","",助理班表!$A61)</f>
        <v/>
      </c>
      <c r="D1745" s="16">
        <f>IF($C1745="","",助理班表!$B61)</f>
        <v/>
      </c>
      <c r="E1745" s="16">
        <f>IF($C1745="","",助理班表!$D61)</f>
        <v/>
      </c>
      <c r="F1745" s="16">
        <f>IF($C1745="","",助理班表!$C61)</f>
        <v/>
      </c>
      <c r="G1745" s="16">
        <f>IF($C1745="","",助理班表!K61)</f>
        <v/>
      </c>
      <c r="H1745" s="83">
        <f>IF($G1745="","",IFERROR(IF(INDEX(設定!$D$6:$D$21,MATCH($G1745,設定!$B$6:$B$21,0))=0,"",INDEX(設定!$D$6:$D$21,MATCH($G1745,設定!$B$6:$B$21,0))),""))</f>
        <v/>
      </c>
      <c r="I1745" s="83">
        <f>IF($G1745="","",IFERROR(IF(INDEX(設定!$E$6:$E$21,MATCH($G1745,設定!$B$6:$B$21,0))=0,"",INDEX(設定!$E$6:$E$21,MATCH($G1745,設定!$B$6:$B$21,0))),""))</f>
        <v/>
      </c>
      <c r="J1745" s="83">
        <f>IFERROR(INDEX(打卡匯入!$C$3:$C$2002,MATCH($C1745&amp;"|"&amp;DAY($A1745),打卡匯入!$E$3:$E$2002,0)),"")</f>
        <v/>
      </c>
      <c r="K1745" s="83">
        <f>IFERROR(INDEX(打卡匯入!$D$3:$D$2002,MATCH($C1745&amp;"|"&amp;DAY($A1745),打卡匯入!$E$3:$E$2002,0)),"")</f>
        <v/>
      </c>
      <c r="L1745" s="84">
        <f>IF(OR($J1745="",$K1745=""),"",IFERROR(INDEX(設定!$F$6:$F$21,MATCH($G1745,設定!$B$6:$B$21,0)),0))</f>
        <v/>
      </c>
      <c r="M1745" s="85">
        <f>IF(OR($J1745="",$K1745=""),"",ROUND(($K1745-$J1745)*24-$L1745/60,2))</f>
        <v/>
      </c>
      <c r="N1745" s="16">
        <f>IF($C1745="","",IF(AND(COUNTIF(設定!$B$15:$B$21,$G1745)&gt;0,$J1745&lt;&gt;""),"假日出勤",IF(AND(COUNTIF(設定!$B$6:$B$14,$G1745)&gt;0,$J1745=""),"未打卡",IF($J1745="","",IF($O1745&gt;0,"遲到",IF($P1745&gt;0,"早退","正常"))))))</f>
        <v/>
      </c>
      <c r="O1745" s="84">
        <f>IF(OR($C1745="",$H1745="",$J1745=""),0,IF(ROUND(($J1745-$H1745)*1440,0)&gt;設定!$C$46,ROUND(($J1745-$H1745)*1440,0),0))</f>
        <v/>
      </c>
      <c r="P1745" s="84">
        <f>IF(OR($C1745="",$I1745="",$K1745=""),0,IF(ROUND(($I1745-$K1745)*1440,0)&gt;設定!$C$46,ROUND(($I1745-$K1745)*1440,0),0))</f>
        <v/>
      </c>
      <c r="Q1745" s="85">
        <f>IF($M1745="",0,IF(($M1745-IFERROR(INDEX(設定!$G$6:$G$21,MATCH($G1745,設定!$B$6:$B$21,0)),0))*60&gt;=設定!$C$44,ROUND(FLOOR(($M1745-IFERROR(INDEX(設定!$G$6:$G$21,MATCH($G1745,設定!$B$6:$B$21,0)),0))*60,設定!$C$45)/60,2),0))</f>
        <v/>
      </c>
      <c r="R1745" s="16">
        <f>IF(OR($C1745="",$Q1745=0),"",IF($G1745="國","國定假日",IF($B1745="日","例假",IF($B1745="六","休息日","平日"))))</f>
        <v/>
      </c>
      <c r="S1745" s="19" t="n"/>
    </row>
    <row r="1746">
      <c r="A1746" s="82">
        <f>IF(OR(助理班表!$A61="",8&gt;DAY(EOMONTH(DATE(設定!$C$2,設定!$D$2,1),0))),"",DATE(設定!$C$2,設定!$D$2,8))</f>
        <v/>
      </c>
      <c r="B1746" s="16">
        <f>IF($A1746="","",INDEX(設定!$O$6:$O$12,WEEKDAY($A1746,1)))</f>
        <v/>
      </c>
      <c r="C1746" s="16">
        <f>IF($A1746="","",助理班表!$A61)</f>
        <v/>
      </c>
      <c r="D1746" s="16">
        <f>IF($C1746="","",助理班表!$B61)</f>
        <v/>
      </c>
      <c r="E1746" s="16">
        <f>IF($C1746="","",助理班表!$D61)</f>
        <v/>
      </c>
      <c r="F1746" s="16">
        <f>IF($C1746="","",助理班表!$C61)</f>
        <v/>
      </c>
      <c r="G1746" s="16">
        <f>IF($C1746="","",助理班表!L61)</f>
        <v/>
      </c>
      <c r="H1746" s="83">
        <f>IF($G1746="","",IFERROR(IF(INDEX(設定!$D$6:$D$21,MATCH($G1746,設定!$B$6:$B$21,0))=0,"",INDEX(設定!$D$6:$D$21,MATCH($G1746,設定!$B$6:$B$21,0))),""))</f>
        <v/>
      </c>
      <c r="I1746" s="83">
        <f>IF($G1746="","",IFERROR(IF(INDEX(設定!$E$6:$E$21,MATCH($G1746,設定!$B$6:$B$21,0))=0,"",INDEX(設定!$E$6:$E$21,MATCH($G1746,設定!$B$6:$B$21,0))),""))</f>
        <v/>
      </c>
      <c r="J1746" s="83">
        <f>IFERROR(INDEX(打卡匯入!$C$3:$C$2002,MATCH($C1746&amp;"|"&amp;DAY($A1746),打卡匯入!$E$3:$E$2002,0)),"")</f>
        <v/>
      </c>
      <c r="K1746" s="83">
        <f>IFERROR(INDEX(打卡匯入!$D$3:$D$2002,MATCH($C1746&amp;"|"&amp;DAY($A1746),打卡匯入!$E$3:$E$2002,0)),"")</f>
        <v/>
      </c>
      <c r="L1746" s="84">
        <f>IF(OR($J1746="",$K1746=""),"",IFERROR(INDEX(設定!$F$6:$F$21,MATCH($G1746,設定!$B$6:$B$21,0)),0))</f>
        <v/>
      </c>
      <c r="M1746" s="85">
        <f>IF(OR($J1746="",$K1746=""),"",ROUND(($K1746-$J1746)*24-$L1746/60,2))</f>
        <v/>
      </c>
      <c r="N1746" s="16">
        <f>IF($C1746="","",IF(AND(COUNTIF(設定!$B$15:$B$21,$G1746)&gt;0,$J1746&lt;&gt;""),"假日出勤",IF(AND(COUNTIF(設定!$B$6:$B$14,$G1746)&gt;0,$J1746=""),"未打卡",IF($J1746="","",IF($O1746&gt;0,"遲到",IF($P1746&gt;0,"早退","正常"))))))</f>
        <v/>
      </c>
      <c r="O1746" s="84">
        <f>IF(OR($C1746="",$H1746="",$J1746=""),0,IF(ROUND(($J1746-$H1746)*1440,0)&gt;設定!$C$46,ROUND(($J1746-$H1746)*1440,0),0))</f>
        <v/>
      </c>
      <c r="P1746" s="84">
        <f>IF(OR($C1746="",$I1746="",$K1746=""),0,IF(ROUND(($I1746-$K1746)*1440,0)&gt;設定!$C$46,ROUND(($I1746-$K1746)*1440,0),0))</f>
        <v/>
      </c>
      <c r="Q1746" s="85">
        <f>IF($M1746="",0,IF(($M1746-IFERROR(INDEX(設定!$G$6:$G$21,MATCH($G1746,設定!$B$6:$B$21,0)),0))*60&gt;=設定!$C$44,ROUND(FLOOR(($M1746-IFERROR(INDEX(設定!$G$6:$G$21,MATCH($G1746,設定!$B$6:$B$21,0)),0))*60,設定!$C$45)/60,2),0))</f>
        <v/>
      </c>
      <c r="R1746" s="16">
        <f>IF(OR($C1746="",$Q1746=0),"",IF($G1746="國","國定假日",IF($B1746="日","例假",IF($B1746="六","休息日","平日"))))</f>
        <v/>
      </c>
      <c r="S1746" s="19" t="n"/>
    </row>
    <row r="1747">
      <c r="A1747" s="82">
        <f>IF(OR(助理班表!$A61="",9&gt;DAY(EOMONTH(DATE(設定!$C$2,設定!$D$2,1),0))),"",DATE(設定!$C$2,設定!$D$2,9))</f>
        <v/>
      </c>
      <c r="B1747" s="16">
        <f>IF($A1747="","",INDEX(設定!$O$6:$O$12,WEEKDAY($A1747,1)))</f>
        <v/>
      </c>
      <c r="C1747" s="16">
        <f>IF($A1747="","",助理班表!$A61)</f>
        <v/>
      </c>
      <c r="D1747" s="16">
        <f>IF($C1747="","",助理班表!$B61)</f>
        <v/>
      </c>
      <c r="E1747" s="16">
        <f>IF($C1747="","",助理班表!$D61)</f>
        <v/>
      </c>
      <c r="F1747" s="16">
        <f>IF($C1747="","",助理班表!$C61)</f>
        <v/>
      </c>
      <c r="G1747" s="16">
        <f>IF($C1747="","",助理班表!M61)</f>
        <v/>
      </c>
      <c r="H1747" s="83">
        <f>IF($G1747="","",IFERROR(IF(INDEX(設定!$D$6:$D$21,MATCH($G1747,設定!$B$6:$B$21,0))=0,"",INDEX(設定!$D$6:$D$21,MATCH($G1747,設定!$B$6:$B$21,0))),""))</f>
        <v/>
      </c>
      <c r="I1747" s="83">
        <f>IF($G1747="","",IFERROR(IF(INDEX(設定!$E$6:$E$21,MATCH($G1747,設定!$B$6:$B$21,0))=0,"",INDEX(設定!$E$6:$E$21,MATCH($G1747,設定!$B$6:$B$21,0))),""))</f>
        <v/>
      </c>
      <c r="J1747" s="83">
        <f>IFERROR(INDEX(打卡匯入!$C$3:$C$2002,MATCH($C1747&amp;"|"&amp;DAY($A1747),打卡匯入!$E$3:$E$2002,0)),"")</f>
        <v/>
      </c>
      <c r="K1747" s="83">
        <f>IFERROR(INDEX(打卡匯入!$D$3:$D$2002,MATCH($C1747&amp;"|"&amp;DAY($A1747),打卡匯入!$E$3:$E$2002,0)),"")</f>
        <v/>
      </c>
      <c r="L1747" s="84">
        <f>IF(OR($J1747="",$K1747=""),"",IFERROR(INDEX(設定!$F$6:$F$21,MATCH($G1747,設定!$B$6:$B$21,0)),0))</f>
        <v/>
      </c>
      <c r="M1747" s="85">
        <f>IF(OR($J1747="",$K1747=""),"",ROUND(($K1747-$J1747)*24-$L1747/60,2))</f>
        <v/>
      </c>
      <c r="N1747" s="16">
        <f>IF($C1747="","",IF(AND(COUNTIF(設定!$B$15:$B$21,$G1747)&gt;0,$J1747&lt;&gt;""),"假日出勤",IF(AND(COUNTIF(設定!$B$6:$B$14,$G1747)&gt;0,$J1747=""),"未打卡",IF($J1747="","",IF($O1747&gt;0,"遲到",IF($P1747&gt;0,"早退","正常"))))))</f>
        <v/>
      </c>
      <c r="O1747" s="84">
        <f>IF(OR($C1747="",$H1747="",$J1747=""),0,IF(ROUND(($J1747-$H1747)*1440,0)&gt;設定!$C$46,ROUND(($J1747-$H1747)*1440,0),0))</f>
        <v/>
      </c>
      <c r="P1747" s="84">
        <f>IF(OR($C1747="",$I1747="",$K1747=""),0,IF(ROUND(($I1747-$K1747)*1440,0)&gt;設定!$C$46,ROUND(($I1747-$K1747)*1440,0),0))</f>
        <v/>
      </c>
      <c r="Q1747" s="85">
        <f>IF($M1747="",0,IF(($M1747-IFERROR(INDEX(設定!$G$6:$G$21,MATCH($G1747,設定!$B$6:$B$21,0)),0))*60&gt;=設定!$C$44,ROUND(FLOOR(($M1747-IFERROR(INDEX(設定!$G$6:$G$21,MATCH($G1747,設定!$B$6:$B$21,0)),0))*60,設定!$C$45)/60,2),0))</f>
        <v/>
      </c>
      <c r="R1747" s="16">
        <f>IF(OR($C1747="",$Q1747=0),"",IF($G1747="國","國定假日",IF($B1747="日","例假",IF($B1747="六","休息日","平日"))))</f>
        <v/>
      </c>
      <c r="S1747" s="19" t="n"/>
    </row>
    <row r="1748">
      <c r="A1748" s="82">
        <f>IF(OR(助理班表!$A61="",10&gt;DAY(EOMONTH(DATE(設定!$C$2,設定!$D$2,1),0))),"",DATE(設定!$C$2,設定!$D$2,10))</f>
        <v/>
      </c>
      <c r="B1748" s="16">
        <f>IF($A1748="","",INDEX(設定!$O$6:$O$12,WEEKDAY($A1748,1)))</f>
        <v/>
      </c>
      <c r="C1748" s="16">
        <f>IF($A1748="","",助理班表!$A61)</f>
        <v/>
      </c>
      <c r="D1748" s="16">
        <f>IF($C1748="","",助理班表!$B61)</f>
        <v/>
      </c>
      <c r="E1748" s="16">
        <f>IF($C1748="","",助理班表!$D61)</f>
        <v/>
      </c>
      <c r="F1748" s="16">
        <f>IF($C1748="","",助理班表!$C61)</f>
        <v/>
      </c>
      <c r="G1748" s="16">
        <f>IF($C1748="","",助理班表!N61)</f>
        <v/>
      </c>
      <c r="H1748" s="83">
        <f>IF($G1748="","",IFERROR(IF(INDEX(設定!$D$6:$D$21,MATCH($G1748,設定!$B$6:$B$21,0))=0,"",INDEX(設定!$D$6:$D$21,MATCH($G1748,設定!$B$6:$B$21,0))),""))</f>
        <v/>
      </c>
      <c r="I1748" s="83">
        <f>IF($G1748="","",IFERROR(IF(INDEX(設定!$E$6:$E$21,MATCH($G1748,設定!$B$6:$B$21,0))=0,"",INDEX(設定!$E$6:$E$21,MATCH($G1748,設定!$B$6:$B$21,0))),""))</f>
        <v/>
      </c>
      <c r="J1748" s="83">
        <f>IFERROR(INDEX(打卡匯入!$C$3:$C$2002,MATCH($C1748&amp;"|"&amp;DAY($A1748),打卡匯入!$E$3:$E$2002,0)),"")</f>
        <v/>
      </c>
      <c r="K1748" s="83">
        <f>IFERROR(INDEX(打卡匯入!$D$3:$D$2002,MATCH($C1748&amp;"|"&amp;DAY($A1748),打卡匯入!$E$3:$E$2002,0)),"")</f>
        <v/>
      </c>
      <c r="L1748" s="84">
        <f>IF(OR($J1748="",$K1748=""),"",IFERROR(INDEX(設定!$F$6:$F$21,MATCH($G1748,設定!$B$6:$B$21,0)),0))</f>
        <v/>
      </c>
      <c r="M1748" s="85">
        <f>IF(OR($J1748="",$K1748=""),"",ROUND(($K1748-$J1748)*24-$L1748/60,2))</f>
        <v/>
      </c>
      <c r="N1748" s="16">
        <f>IF($C1748="","",IF(AND(COUNTIF(設定!$B$15:$B$21,$G1748)&gt;0,$J1748&lt;&gt;""),"假日出勤",IF(AND(COUNTIF(設定!$B$6:$B$14,$G1748)&gt;0,$J1748=""),"未打卡",IF($J1748="","",IF($O1748&gt;0,"遲到",IF($P1748&gt;0,"早退","正常"))))))</f>
        <v/>
      </c>
      <c r="O1748" s="84">
        <f>IF(OR($C1748="",$H1748="",$J1748=""),0,IF(ROUND(($J1748-$H1748)*1440,0)&gt;設定!$C$46,ROUND(($J1748-$H1748)*1440,0),0))</f>
        <v/>
      </c>
      <c r="P1748" s="84">
        <f>IF(OR($C1748="",$I1748="",$K1748=""),0,IF(ROUND(($I1748-$K1748)*1440,0)&gt;設定!$C$46,ROUND(($I1748-$K1748)*1440,0),0))</f>
        <v/>
      </c>
      <c r="Q1748" s="85">
        <f>IF($M1748="",0,IF(($M1748-IFERROR(INDEX(設定!$G$6:$G$21,MATCH($G1748,設定!$B$6:$B$21,0)),0))*60&gt;=設定!$C$44,ROUND(FLOOR(($M1748-IFERROR(INDEX(設定!$G$6:$G$21,MATCH($G1748,設定!$B$6:$B$21,0)),0))*60,設定!$C$45)/60,2),0))</f>
        <v/>
      </c>
      <c r="R1748" s="16">
        <f>IF(OR($C1748="",$Q1748=0),"",IF($G1748="國","國定假日",IF($B1748="日","例假",IF($B1748="六","休息日","平日"))))</f>
        <v/>
      </c>
      <c r="S1748" s="19" t="n"/>
    </row>
    <row r="1749">
      <c r="A1749" s="82">
        <f>IF(OR(助理班表!$A61="",11&gt;DAY(EOMONTH(DATE(設定!$C$2,設定!$D$2,1),0))),"",DATE(設定!$C$2,設定!$D$2,11))</f>
        <v/>
      </c>
      <c r="B1749" s="16">
        <f>IF($A1749="","",INDEX(設定!$O$6:$O$12,WEEKDAY($A1749,1)))</f>
        <v/>
      </c>
      <c r="C1749" s="16">
        <f>IF($A1749="","",助理班表!$A61)</f>
        <v/>
      </c>
      <c r="D1749" s="16">
        <f>IF($C1749="","",助理班表!$B61)</f>
        <v/>
      </c>
      <c r="E1749" s="16">
        <f>IF($C1749="","",助理班表!$D61)</f>
        <v/>
      </c>
      <c r="F1749" s="16">
        <f>IF($C1749="","",助理班表!$C61)</f>
        <v/>
      </c>
      <c r="G1749" s="16">
        <f>IF($C1749="","",助理班表!O61)</f>
        <v/>
      </c>
      <c r="H1749" s="83">
        <f>IF($G1749="","",IFERROR(IF(INDEX(設定!$D$6:$D$21,MATCH($G1749,設定!$B$6:$B$21,0))=0,"",INDEX(設定!$D$6:$D$21,MATCH($G1749,設定!$B$6:$B$21,0))),""))</f>
        <v/>
      </c>
      <c r="I1749" s="83">
        <f>IF($G1749="","",IFERROR(IF(INDEX(設定!$E$6:$E$21,MATCH($G1749,設定!$B$6:$B$21,0))=0,"",INDEX(設定!$E$6:$E$21,MATCH($G1749,設定!$B$6:$B$21,0))),""))</f>
        <v/>
      </c>
      <c r="J1749" s="83">
        <f>IFERROR(INDEX(打卡匯入!$C$3:$C$2002,MATCH($C1749&amp;"|"&amp;DAY($A1749),打卡匯入!$E$3:$E$2002,0)),"")</f>
        <v/>
      </c>
      <c r="K1749" s="83">
        <f>IFERROR(INDEX(打卡匯入!$D$3:$D$2002,MATCH($C1749&amp;"|"&amp;DAY($A1749),打卡匯入!$E$3:$E$2002,0)),"")</f>
        <v/>
      </c>
      <c r="L1749" s="84">
        <f>IF(OR($J1749="",$K1749=""),"",IFERROR(INDEX(設定!$F$6:$F$21,MATCH($G1749,設定!$B$6:$B$21,0)),0))</f>
        <v/>
      </c>
      <c r="M1749" s="85">
        <f>IF(OR($J1749="",$K1749=""),"",ROUND(($K1749-$J1749)*24-$L1749/60,2))</f>
        <v/>
      </c>
      <c r="N1749" s="16">
        <f>IF($C1749="","",IF(AND(COUNTIF(設定!$B$15:$B$21,$G1749)&gt;0,$J1749&lt;&gt;""),"假日出勤",IF(AND(COUNTIF(設定!$B$6:$B$14,$G1749)&gt;0,$J1749=""),"未打卡",IF($J1749="","",IF($O1749&gt;0,"遲到",IF($P1749&gt;0,"早退","正常"))))))</f>
        <v/>
      </c>
      <c r="O1749" s="84">
        <f>IF(OR($C1749="",$H1749="",$J1749=""),0,IF(ROUND(($J1749-$H1749)*1440,0)&gt;設定!$C$46,ROUND(($J1749-$H1749)*1440,0),0))</f>
        <v/>
      </c>
      <c r="P1749" s="84">
        <f>IF(OR($C1749="",$I1749="",$K1749=""),0,IF(ROUND(($I1749-$K1749)*1440,0)&gt;設定!$C$46,ROUND(($I1749-$K1749)*1440,0),0))</f>
        <v/>
      </c>
      <c r="Q1749" s="85">
        <f>IF($M1749="",0,IF(($M1749-IFERROR(INDEX(設定!$G$6:$G$21,MATCH($G1749,設定!$B$6:$B$21,0)),0))*60&gt;=設定!$C$44,ROUND(FLOOR(($M1749-IFERROR(INDEX(設定!$G$6:$G$21,MATCH($G1749,設定!$B$6:$B$21,0)),0))*60,設定!$C$45)/60,2),0))</f>
        <v/>
      </c>
      <c r="R1749" s="16">
        <f>IF(OR($C1749="",$Q1749=0),"",IF($G1749="國","國定假日",IF($B1749="日","例假",IF($B1749="六","休息日","平日"))))</f>
        <v/>
      </c>
      <c r="S1749" s="19" t="n"/>
    </row>
    <row r="1750">
      <c r="A1750" s="82">
        <f>IF(OR(助理班表!$A61="",12&gt;DAY(EOMONTH(DATE(設定!$C$2,設定!$D$2,1),0))),"",DATE(設定!$C$2,設定!$D$2,12))</f>
        <v/>
      </c>
      <c r="B1750" s="16">
        <f>IF($A1750="","",INDEX(設定!$O$6:$O$12,WEEKDAY($A1750,1)))</f>
        <v/>
      </c>
      <c r="C1750" s="16">
        <f>IF($A1750="","",助理班表!$A61)</f>
        <v/>
      </c>
      <c r="D1750" s="16">
        <f>IF($C1750="","",助理班表!$B61)</f>
        <v/>
      </c>
      <c r="E1750" s="16">
        <f>IF($C1750="","",助理班表!$D61)</f>
        <v/>
      </c>
      <c r="F1750" s="16">
        <f>IF($C1750="","",助理班表!$C61)</f>
        <v/>
      </c>
      <c r="G1750" s="16">
        <f>IF($C1750="","",助理班表!P61)</f>
        <v/>
      </c>
      <c r="H1750" s="83">
        <f>IF($G1750="","",IFERROR(IF(INDEX(設定!$D$6:$D$21,MATCH($G1750,設定!$B$6:$B$21,0))=0,"",INDEX(設定!$D$6:$D$21,MATCH($G1750,設定!$B$6:$B$21,0))),""))</f>
        <v/>
      </c>
      <c r="I1750" s="83">
        <f>IF($G1750="","",IFERROR(IF(INDEX(設定!$E$6:$E$21,MATCH($G1750,設定!$B$6:$B$21,0))=0,"",INDEX(設定!$E$6:$E$21,MATCH($G1750,設定!$B$6:$B$21,0))),""))</f>
        <v/>
      </c>
      <c r="J1750" s="83">
        <f>IFERROR(INDEX(打卡匯入!$C$3:$C$2002,MATCH($C1750&amp;"|"&amp;DAY($A1750),打卡匯入!$E$3:$E$2002,0)),"")</f>
        <v/>
      </c>
      <c r="K1750" s="83">
        <f>IFERROR(INDEX(打卡匯入!$D$3:$D$2002,MATCH($C1750&amp;"|"&amp;DAY($A1750),打卡匯入!$E$3:$E$2002,0)),"")</f>
        <v/>
      </c>
      <c r="L1750" s="84">
        <f>IF(OR($J1750="",$K1750=""),"",IFERROR(INDEX(設定!$F$6:$F$21,MATCH($G1750,設定!$B$6:$B$21,0)),0))</f>
        <v/>
      </c>
      <c r="M1750" s="85">
        <f>IF(OR($J1750="",$K1750=""),"",ROUND(($K1750-$J1750)*24-$L1750/60,2))</f>
        <v/>
      </c>
      <c r="N1750" s="16">
        <f>IF($C1750="","",IF(AND(COUNTIF(設定!$B$15:$B$21,$G1750)&gt;0,$J1750&lt;&gt;""),"假日出勤",IF(AND(COUNTIF(設定!$B$6:$B$14,$G1750)&gt;0,$J1750=""),"未打卡",IF($J1750="","",IF($O1750&gt;0,"遲到",IF($P1750&gt;0,"早退","正常"))))))</f>
        <v/>
      </c>
      <c r="O1750" s="84">
        <f>IF(OR($C1750="",$H1750="",$J1750=""),0,IF(ROUND(($J1750-$H1750)*1440,0)&gt;設定!$C$46,ROUND(($J1750-$H1750)*1440,0),0))</f>
        <v/>
      </c>
      <c r="P1750" s="84">
        <f>IF(OR($C1750="",$I1750="",$K1750=""),0,IF(ROUND(($I1750-$K1750)*1440,0)&gt;設定!$C$46,ROUND(($I1750-$K1750)*1440,0),0))</f>
        <v/>
      </c>
      <c r="Q1750" s="85">
        <f>IF($M1750="",0,IF(($M1750-IFERROR(INDEX(設定!$G$6:$G$21,MATCH($G1750,設定!$B$6:$B$21,0)),0))*60&gt;=設定!$C$44,ROUND(FLOOR(($M1750-IFERROR(INDEX(設定!$G$6:$G$21,MATCH($G1750,設定!$B$6:$B$21,0)),0))*60,設定!$C$45)/60,2),0))</f>
        <v/>
      </c>
      <c r="R1750" s="16">
        <f>IF(OR($C1750="",$Q1750=0),"",IF($G1750="國","國定假日",IF($B1750="日","例假",IF($B1750="六","休息日","平日"))))</f>
        <v/>
      </c>
      <c r="S1750" s="19" t="n"/>
    </row>
    <row r="1751">
      <c r="A1751" s="82">
        <f>IF(OR(助理班表!$A61="",13&gt;DAY(EOMONTH(DATE(設定!$C$2,設定!$D$2,1),0))),"",DATE(設定!$C$2,設定!$D$2,13))</f>
        <v/>
      </c>
      <c r="B1751" s="16">
        <f>IF($A1751="","",INDEX(設定!$O$6:$O$12,WEEKDAY($A1751,1)))</f>
        <v/>
      </c>
      <c r="C1751" s="16">
        <f>IF($A1751="","",助理班表!$A61)</f>
        <v/>
      </c>
      <c r="D1751" s="16">
        <f>IF($C1751="","",助理班表!$B61)</f>
        <v/>
      </c>
      <c r="E1751" s="16">
        <f>IF($C1751="","",助理班表!$D61)</f>
        <v/>
      </c>
      <c r="F1751" s="16">
        <f>IF($C1751="","",助理班表!$C61)</f>
        <v/>
      </c>
      <c r="G1751" s="16">
        <f>IF($C1751="","",助理班表!Q61)</f>
        <v/>
      </c>
      <c r="H1751" s="83">
        <f>IF($G1751="","",IFERROR(IF(INDEX(設定!$D$6:$D$21,MATCH($G1751,設定!$B$6:$B$21,0))=0,"",INDEX(設定!$D$6:$D$21,MATCH($G1751,設定!$B$6:$B$21,0))),""))</f>
        <v/>
      </c>
      <c r="I1751" s="83">
        <f>IF($G1751="","",IFERROR(IF(INDEX(設定!$E$6:$E$21,MATCH($G1751,設定!$B$6:$B$21,0))=0,"",INDEX(設定!$E$6:$E$21,MATCH($G1751,設定!$B$6:$B$21,0))),""))</f>
        <v/>
      </c>
      <c r="J1751" s="83">
        <f>IFERROR(INDEX(打卡匯入!$C$3:$C$2002,MATCH($C1751&amp;"|"&amp;DAY($A1751),打卡匯入!$E$3:$E$2002,0)),"")</f>
        <v/>
      </c>
      <c r="K1751" s="83">
        <f>IFERROR(INDEX(打卡匯入!$D$3:$D$2002,MATCH($C1751&amp;"|"&amp;DAY($A1751),打卡匯入!$E$3:$E$2002,0)),"")</f>
        <v/>
      </c>
      <c r="L1751" s="84">
        <f>IF(OR($J1751="",$K1751=""),"",IFERROR(INDEX(設定!$F$6:$F$21,MATCH($G1751,設定!$B$6:$B$21,0)),0))</f>
        <v/>
      </c>
      <c r="M1751" s="85">
        <f>IF(OR($J1751="",$K1751=""),"",ROUND(($K1751-$J1751)*24-$L1751/60,2))</f>
        <v/>
      </c>
      <c r="N1751" s="16">
        <f>IF($C1751="","",IF(AND(COUNTIF(設定!$B$15:$B$21,$G1751)&gt;0,$J1751&lt;&gt;""),"假日出勤",IF(AND(COUNTIF(設定!$B$6:$B$14,$G1751)&gt;0,$J1751=""),"未打卡",IF($J1751="","",IF($O1751&gt;0,"遲到",IF($P1751&gt;0,"早退","正常"))))))</f>
        <v/>
      </c>
      <c r="O1751" s="84">
        <f>IF(OR($C1751="",$H1751="",$J1751=""),0,IF(ROUND(($J1751-$H1751)*1440,0)&gt;設定!$C$46,ROUND(($J1751-$H1751)*1440,0),0))</f>
        <v/>
      </c>
      <c r="P1751" s="84">
        <f>IF(OR($C1751="",$I1751="",$K1751=""),0,IF(ROUND(($I1751-$K1751)*1440,0)&gt;設定!$C$46,ROUND(($I1751-$K1751)*1440,0),0))</f>
        <v/>
      </c>
      <c r="Q1751" s="85">
        <f>IF($M1751="",0,IF(($M1751-IFERROR(INDEX(設定!$G$6:$G$21,MATCH($G1751,設定!$B$6:$B$21,0)),0))*60&gt;=設定!$C$44,ROUND(FLOOR(($M1751-IFERROR(INDEX(設定!$G$6:$G$21,MATCH($G1751,設定!$B$6:$B$21,0)),0))*60,設定!$C$45)/60,2),0))</f>
        <v/>
      </c>
      <c r="R1751" s="16">
        <f>IF(OR($C1751="",$Q1751=0),"",IF($G1751="國","國定假日",IF($B1751="日","例假",IF($B1751="六","休息日","平日"))))</f>
        <v/>
      </c>
      <c r="S1751" s="19" t="n"/>
    </row>
    <row r="1752">
      <c r="A1752" s="82">
        <f>IF(OR(助理班表!$A61="",14&gt;DAY(EOMONTH(DATE(設定!$C$2,設定!$D$2,1),0))),"",DATE(設定!$C$2,設定!$D$2,14))</f>
        <v/>
      </c>
      <c r="B1752" s="16">
        <f>IF($A1752="","",INDEX(設定!$O$6:$O$12,WEEKDAY($A1752,1)))</f>
        <v/>
      </c>
      <c r="C1752" s="16">
        <f>IF($A1752="","",助理班表!$A61)</f>
        <v/>
      </c>
      <c r="D1752" s="16">
        <f>IF($C1752="","",助理班表!$B61)</f>
        <v/>
      </c>
      <c r="E1752" s="16">
        <f>IF($C1752="","",助理班表!$D61)</f>
        <v/>
      </c>
      <c r="F1752" s="16">
        <f>IF($C1752="","",助理班表!$C61)</f>
        <v/>
      </c>
      <c r="G1752" s="16">
        <f>IF($C1752="","",助理班表!R61)</f>
        <v/>
      </c>
      <c r="H1752" s="83">
        <f>IF($G1752="","",IFERROR(IF(INDEX(設定!$D$6:$D$21,MATCH($G1752,設定!$B$6:$B$21,0))=0,"",INDEX(設定!$D$6:$D$21,MATCH($G1752,設定!$B$6:$B$21,0))),""))</f>
        <v/>
      </c>
      <c r="I1752" s="83">
        <f>IF($G1752="","",IFERROR(IF(INDEX(設定!$E$6:$E$21,MATCH($G1752,設定!$B$6:$B$21,0))=0,"",INDEX(設定!$E$6:$E$21,MATCH($G1752,設定!$B$6:$B$21,0))),""))</f>
        <v/>
      </c>
      <c r="J1752" s="83">
        <f>IFERROR(INDEX(打卡匯入!$C$3:$C$2002,MATCH($C1752&amp;"|"&amp;DAY($A1752),打卡匯入!$E$3:$E$2002,0)),"")</f>
        <v/>
      </c>
      <c r="K1752" s="83">
        <f>IFERROR(INDEX(打卡匯入!$D$3:$D$2002,MATCH($C1752&amp;"|"&amp;DAY($A1752),打卡匯入!$E$3:$E$2002,0)),"")</f>
        <v/>
      </c>
      <c r="L1752" s="84">
        <f>IF(OR($J1752="",$K1752=""),"",IFERROR(INDEX(設定!$F$6:$F$21,MATCH($G1752,設定!$B$6:$B$21,0)),0))</f>
        <v/>
      </c>
      <c r="M1752" s="85">
        <f>IF(OR($J1752="",$K1752=""),"",ROUND(($K1752-$J1752)*24-$L1752/60,2))</f>
        <v/>
      </c>
      <c r="N1752" s="16">
        <f>IF($C1752="","",IF(AND(COUNTIF(設定!$B$15:$B$21,$G1752)&gt;0,$J1752&lt;&gt;""),"假日出勤",IF(AND(COUNTIF(設定!$B$6:$B$14,$G1752)&gt;0,$J1752=""),"未打卡",IF($J1752="","",IF($O1752&gt;0,"遲到",IF($P1752&gt;0,"早退","正常"))))))</f>
        <v/>
      </c>
      <c r="O1752" s="84">
        <f>IF(OR($C1752="",$H1752="",$J1752=""),0,IF(ROUND(($J1752-$H1752)*1440,0)&gt;設定!$C$46,ROUND(($J1752-$H1752)*1440,0),0))</f>
        <v/>
      </c>
      <c r="P1752" s="84">
        <f>IF(OR($C1752="",$I1752="",$K1752=""),0,IF(ROUND(($I1752-$K1752)*1440,0)&gt;設定!$C$46,ROUND(($I1752-$K1752)*1440,0),0))</f>
        <v/>
      </c>
      <c r="Q1752" s="85">
        <f>IF($M1752="",0,IF(($M1752-IFERROR(INDEX(設定!$G$6:$G$21,MATCH($G1752,設定!$B$6:$B$21,0)),0))*60&gt;=設定!$C$44,ROUND(FLOOR(($M1752-IFERROR(INDEX(設定!$G$6:$G$21,MATCH($G1752,設定!$B$6:$B$21,0)),0))*60,設定!$C$45)/60,2),0))</f>
        <v/>
      </c>
      <c r="R1752" s="16">
        <f>IF(OR($C1752="",$Q1752=0),"",IF($G1752="國","國定假日",IF($B1752="日","例假",IF($B1752="六","休息日","平日"))))</f>
        <v/>
      </c>
      <c r="S1752" s="19" t="n"/>
    </row>
    <row r="1753">
      <c r="A1753" s="82">
        <f>IF(OR(助理班表!$A61="",15&gt;DAY(EOMONTH(DATE(設定!$C$2,設定!$D$2,1),0))),"",DATE(設定!$C$2,設定!$D$2,15))</f>
        <v/>
      </c>
      <c r="B1753" s="16">
        <f>IF($A1753="","",INDEX(設定!$O$6:$O$12,WEEKDAY($A1753,1)))</f>
        <v/>
      </c>
      <c r="C1753" s="16">
        <f>IF($A1753="","",助理班表!$A61)</f>
        <v/>
      </c>
      <c r="D1753" s="16">
        <f>IF($C1753="","",助理班表!$B61)</f>
        <v/>
      </c>
      <c r="E1753" s="16">
        <f>IF($C1753="","",助理班表!$D61)</f>
        <v/>
      </c>
      <c r="F1753" s="16">
        <f>IF($C1753="","",助理班表!$C61)</f>
        <v/>
      </c>
      <c r="G1753" s="16">
        <f>IF($C1753="","",助理班表!S61)</f>
        <v/>
      </c>
      <c r="H1753" s="83">
        <f>IF($G1753="","",IFERROR(IF(INDEX(設定!$D$6:$D$21,MATCH($G1753,設定!$B$6:$B$21,0))=0,"",INDEX(設定!$D$6:$D$21,MATCH($G1753,設定!$B$6:$B$21,0))),""))</f>
        <v/>
      </c>
      <c r="I1753" s="83">
        <f>IF($G1753="","",IFERROR(IF(INDEX(設定!$E$6:$E$21,MATCH($G1753,設定!$B$6:$B$21,0))=0,"",INDEX(設定!$E$6:$E$21,MATCH($G1753,設定!$B$6:$B$21,0))),""))</f>
        <v/>
      </c>
      <c r="J1753" s="83">
        <f>IFERROR(INDEX(打卡匯入!$C$3:$C$2002,MATCH($C1753&amp;"|"&amp;DAY($A1753),打卡匯入!$E$3:$E$2002,0)),"")</f>
        <v/>
      </c>
      <c r="K1753" s="83">
        <f>IFERROR(INDEX(打卡匯入!$D$3:$D$2002,MATCH($C1753&amp;"|"&amp;DAY($A1753),打卡匯入!$E$3:$E$2002,0)),"")</f>
        <v/>
      </c>
      <c r="L1753" s="84">
        <f>IF(OR($J1753="",$K1753=""),"",IFERROR(INDEX(設定!$F$6:$F$21,MATCH($G1753,設定!$B$6:$B$21,0)),0))</f>
        <v/>
      </c>
      <c r="M1753" s="85">
        <f>IF(OR($J1753="",$K1753=""),"",ROUND(($K1753-$J1753)*24-$L1753/60,2))</f>
        <v/>
      </c>
      <c r="N1753" s="16">
        <f>IF($C1753="","",IF(AND(COUNTIF(設定!$B$15:$B$21,$G1753)&gt;0,$J1753&lt;&gt;""),"假日出勤",IF(AND(COUNTIF(設定!$B$6:$B$14,$G1753)&gt;0,$J1753=""),"未打卡",IF($J1753="","",IF($O1753&gt;0,"遲到",IF($P1753&gt;0,"早退","正常"))))))</f>
        <v/>
      </c>
      <c r="O1753" s="84">
        <f>IF(OR($C1753="",$H1753="",$J1753=""),0,IF(ROUND(($J1753-$H1753)*1440,0)&gt;設定!$C$46,ROUND(($J1753-$H1753)*1440,0),0))</f>
        <v/>
      </c>
      <c r="P1753" s="84">
        <f>IF(OR($C1753="",$I1753="",$K1753=""),0,IF(ROUND(($I1753-$K1753)*1440,0)&gt;設定!$C$46,ROUND(($I1753-$K1753)*1440,0),0))</f>
        <v/>
      </c>
      <c r="Q1753" s="85">
        <f>IF($M1753="",0,IF(($M1753-IFERROR(INDEX(設定!$G$6:$G$21,MATCH($G1753,設定!$B$6:$B$21,0)),0))*60&gt;=設定!$C$44,ROUND(FLOOR(($M1753-IFERROR(INDEX(設定!$G$6:$G$21,MATCH($G1753,設定!$B$6:$B$21,0)),0))*60,設定!$C$45)/60,2),0))</f>
        <v/>
      </c>
      <c r="R1753" s="16">
        <f>IF(OR($C1753="",$Q1753=0),"",IF($G1753="國","國定假日",IF($B1753="日","例假",IF($B1753="六","休息日","平日"))))</f>
        <v/>
      </c>
      <c r="S1753" s="19" t="n"/>
    </row>
    <row r="1754">
      <c r="A1754" s="82">
        <f>IF(OR(助理班表!$A61="",16&gt;DAY(EOMONTH(DATE(設定!$C$2,設定!$D$2,1),0))),"",DATE(設定!$C$2,設定!$D$2,16))</f>
        <v/>
      </c>
      <c r="B1754" s="16">
        <f>IF($A1754="","",INDEX(設定!$O$6:$O$12,WEEKDAY($A1754,1)))</f>
        <v/>
      </c>
      <c r="C1754" s="16">
        <f>IF($A1754="","",助理班表!$A61)</f>
        <v/>
      </c>
      <c r="D1754" s="16">
        <f>IF($C1754="","",助理班表!$B61)</f>
        <v/>
      </c>
      <c r="E1754" s="16">
        <f>IF($C1754="","",助理班表!$D61)</f>
        <v/>
      </c>
      <c r="F1754" s="16">
        <f>IF($C1754="","",助理班表!$C61)</f>
        <v/>
      </c>
      <c r="G1754" s="16">
        <f>IF($C1754="","",助理班表!T61)</f>
        <v/>
      </c>
      <c r="H1754" s="83">
        <f>IF($G1754="","",IFERROR(IF(INDEX(設定!$D$6:$D$21,MATCH($G1754,設定!$B$6:$B$21,0))=0,"",INDEX(設定!$D$6:$D$21,MATCH($G1754,設定!$B$6:$B$21,0))),""))</f>
        <v/>
      </c>
      <c r="I1754" s="83">
        <f>IF($G1754="","",IFERROR(IF(INDEX(設定!$E$6:$E$21,MATCH($G1754,設定!$B$6:$B$21,0))=0,"",INDEX(設定!$E$6:$E$21,MATCH($G1754,設定!$B$6:$B$21,0))),""))</f>
        <v/>
      </c>
      <c r="J1754" s="83">
        <f>IFERROR(INDEX(打卡匯入!$C$3:$C$2002,MATCH($C1754&amp;"|"&amp;DAY($A1754),打卡匯入!$E$3:$E$2002,0)),"")</f>
        <v/>
      </c>
      <c r="K1754" s="83">
        <f>IFERROR(INDEX(打卡匯入!$D$3:$D$2002,MATCH($C1754&amp;"|"&amp;DAY($A1754),打卡匯入!$E$3:$E$2002,0)),"")</f>
        <v/>
      </c>
      <c r="L1754" s="84">
        <f>IF(OR($J1754="",$K1754=""),"",IFERROR(INDEX(設定!$F$6:$F$21,MATCH($G1754,設定!$B$6:$B$21,0)),0))</f>
        <v/>
      </c>
      <c r="M1754" s="85">
        <f>IF(OR($J1754="",$K1754=""),"",ROUND(($K1754-$J1754)*24-$L1754/60,2))</f>
        <v/>
      </c>
      <c r="N1754" s="16">
        <f>IF($C1754="","",IF(AND(COUNTIF(設定!$B$15:$B$21,$G1754)&gt;0,$J1754&lt;&gt;""),"假日出勤",IF(AND(COUNTIF(設定!$B$6:$B$14,$G1754)&gt;0,$J1754=""),"未打卡",IF($J1754="","",IF($O1754&gt;0,"遲到",IF($P1754&gt;0,"早退","正常"))))))</f>
        <v/>
      </c>
      <c r="O1754" s="84">
        <f>IF(OR($C1754="",$H1754="",$J1754=""),0,IF(ROUND(($J1754-$H1754)*1440,0)&gt;設定!$C$46,ROUND(($J1754-$H1754)*1440,0),0))</f>
        <v/>
      </c>
      <c r="P1754" s="84">
        <f>IF(OR($C1754="",$I1754="",$K1754=""),0,IF(ROUND(($I1754-$K1754)*1440,0)&gt;設定!$C$46,ROUND(($I1754-$K1754)*1440,0),0))</f>
        <v/>
      </c>
      <c r="Q1754" s="85">
        <f>IF($M1754="",0,IF(($M1754-IFERROR(INDEX(設定!$G$6:$G$21,MATCH($G1754,設定!$B$6:$B$21,0)),0))*60&gt;=設定!$C$44,ROUND(FLOOR(($M1754-IFERROR(INDEX(設定!$G$6:$G$21,MATCH($G1754,設定!$B$6:$B$21,0)),0))*60,設定!$C$45)/60,2),0))</f>
        <v/>
      </c>
      <c r="R1754" s="16">
        <f>IF(OR($C1754="",$Q1754=0),"",IF($G1754="國","國定假日",IF($B1754="日","例假",IF($B1754="六","休息日","平日"))))</f>
        <v/>
      </c>
      <c r="S1754" s="19" t="n"/>
    </row>
    <row r="1755">
      <c r="A1755" s="82">
        <f>IF(OR(助理班表!$A61="",17&gt;DAY(EOMONTH(DATE(設定!$C$2,設定!$D$2,1),0))),"",DATE(設定!$C$2,設定!$D$2,17))</f>
        <v/>
      </c>
      <c r="B1755" s="16">
        <f>IF($A1755="","",INDEX(設定!$O$6:$O$12,WEEKDAY($A1755,1)))</f>
        <v/>
      </c>
      <c r="C1755" s="16">
        <f>IF($A1755="","",助理班表!$A61)</f>
        <v/>
      </c>
      <c r="D1755" s="16">
        <f>IF($C1755="","",助理班表!$B61)</f>
        <v/>
      </c>
      <c r="E1755" s="16">
        <f>IF($C1755="","",助理班表!$D61)</f>
        <v/>
      </c>
      <c r="F1755" s="16">
        <f>IF($C1755="","",助理班表!$C61)</f>
        <v/>
      </c>
      <c r="G1755" s="16">
        <f>IF($C1755="","",助理班表!U61)</f>
        <v/>
      </c>
      <c r="H1755" s="83">
        <f>IF($G1755="","",IFERROR(IF(INDEX(設定!$D$6:$D$21,MATCH($G1755,設定!$B$6:$B$21,0))=0,"",INDEX(設定!$D$6:$D$21,MATCH($G1755,設定!$B$6:$B$21,0))),""))</f>
        <v/>
      </c>
      <c r="I1755" s="83">
        <f>IF($G1755="","",IFERROR(IF(INDEX(設定!$E$6:$E$21,MATCH($G1755,設定!$B$6:$B$21,0))=0,"",INDEX(設定!$E$6:$E$21,MATCH($G1755,設定!$B$6:$B$21,0))),""))</f>
        <v/>
      </c>
      <c r="J1755" s="83">
        <f>IFERROR(INDEX(打卡匯入!$C$3:$C$2002,MATCH($C1755&amp;"|"&amp;DAY($A1755),打卡匯入!$E$3:$E$2002,0)),"")</f>
        <v/>
      </c>
      <c r="K1755" s="83">
        <f>IFERROR(INDEX(打卡匯入!$D$3:$D$2002,MATCH($C1755&amp;"|"&amp;DAY($A1755),打卡匯入!$E$3:$E$2002,0)),"")</f>
        <v/>
      </c>
      <c r="L1755" s="84">
        <f>IF(OR($J1755="",$K1755=""),"",IFERROR(INDEX(設定!$F$6:$F$21,MATCH($G1755,設定!$B$6:$B$21,0)),0))</f>
        <v/>
      </c>
      <c r="M1755" s="85">
        <f>IF(OR($J1755="",$K1755=""),"",ROUND(($K1755-$J1755)*24-$L1755/60,2))</f>
        <v/>
      </c>
      <c r="N1755" s="16">
        <f>IF($C1755="","",IF(AND(COUNTIF(設定!$B$15:$B$21,$G1755)&gt;0,$J1755&lt;&gt;""),"假日出勤",IF(AND(COUNTIF(設定!$B$6:$B$14,$G1755)&gt;0,$J1755=""),"未打卡",IF($J1755="","",IF($O1755&gt;0,"遲到",IF($P1755&gt;0,"早退","正常"))))))</f>
        <v/>
      </c>
      <c r="O1755" s="84">
        <f>IF(OR($C1755="",$H1755="",$J1755=""),0,IF(ROUND(($J1755-$H1755)*1440,0)&gt;設定!$C$46,ROUND(($J1755-$H1755)*1440,0),0))</f>
        <v/>
      </c>
      <c r="P1755" s="84">
        <f>IF(OR($C1755="",$I1755="",$K1755=""),0,IF(ROUND(($I1755-$K1755)*1440,0)&gt;設定!$C$46,ROUND(($I1755-$K1755)*1440,0),0))</f>
        <v/>
      </c>
      <c r="Q1755" s="85">
        <f>IF($M1755="",0,IF(($M1755-IFERROR(INDEX(設定!$G$6:$G$21,MATCH($G1755,設定!$B$6:$B$21,0)),0))*60&gt;=設定!$C$44,ROUND(FLOOR(($M1755-IFERROR(INDEX(設定!$G$6:$G$21,MATCH($G1755,設定!$B$6:$B$21,0)),0))*60,設定!$C$45)/60,2),0))</f>
        <v/>
      </c>
      <c r="R1755" s="16">
        <f>IF(OR($C1755="",$Q1755=0),"",IF($G1755="國","國定假日",IF($B1755="日","例假",IF($B1755="六","休息日","平日"))))</f>
        <v/>
      </c>
      <c r="S1755" s="19" t="n"/>
    </row>
    <row r="1756">
      <c r="A1756" s="82">
        <f>IF(OR(助理班表!$A61="",18&gt;DAY(EOMONTH(DATE(設定!$C$2,設定!$D$2,1),0))),"",DATE(設定!$C$2,設定!$D$2,18))</f>
        <v/>
      </c>
      <c r="B1756" s="16">
        <f>IF($A1756="","",INDEX(設定!$O$6:$O$12,WEEKDAY($A1756,1)))</f>
        <v/>
      </c>
      <c r="C1756" s="16">
        <f>IF($A1756="","",助理班表!$A61)</f>
        <v/>
      </c>
      <c r="D1756" s="16">
        <f>IF($C1756="","",助理班表!$B61)</f>
        <v/>
      </c>
      <c r="E1756" s="16">
        <f>IF($C1756="","",助理班表!$D61)</f>
        <v/>
      </c>
      <c r="F1756" s="16">
        <f>IF($C1756="","",助理班表!$C61)</f>
        <v/>
      </c>
      <c r="G1756" s="16">
        <f>IF($C1756="","",助理班表!V61)</f>
        <v/>
      </c>
      <c r="H1756" s="83">
        <f>IF($G1756="","",IFERROR(IF(INDEX(設定!$D$6:$D$21,MATCH($G1756,設定!$B$6:$B$21,0))=0,"",INDEX(設定!$D$6:$D$21,MATCH($G1756,設定!$B$6:$B$21,0))),""))</f>
        <v/>
      </c>
      <c r="I1756" s="83">
        <f>IF($G1756="","",IFERROR(IF(INDEX(設定!$E$6:$E$21,MATCH($G1756,設定!$B$6:$B$21,0))=0,"",INDEX(設定!$E$6:$E$21,MATCH($G1756,設定!$B$6:$B$21,0))),""))</f>
        <v/>
      </c>
      <c r="J1756" s="83">
        <f>IFERROR(INDEX(打卡匯入!$C$3:$C$2002,MATCH($C1756&amp;"|"&amp;DAY($A1756),打卡匯入!$E$3:$E$2002,0)),"")</f>
        <v/>
      </c>
      <c r="K1756" s="83">
        <f>IFERROR(INDEX(打卡匯入!$D$3:$D$2002,MATCH($C1756&amp;"|"&amp;DAY($A1756),打卡匯入!$E$3:$E$2002,0)),"")</f>
        <v/>
      </c>
      <c r="L1756" s="84">
        <f>IF(OR($J1756="",$K1756=""),"",IFERROR(INDEX(設定!$F$6:$F$21,MATCH($G1756,設定!$B$6:$B$21,0)),0))</f>
        <v/>
      </c>
      <c r="M1756" s="85">
        <f>IF(OR($J1756="",$K1756=""),"",ROUND(($K1756-$J1756)*24-$L1756/60,2))</f>
        <v/>
      </c>
      <c r="N1756" s="16">
        <f>IF($C1756="","",IF(AND(COUNTIF(設定!$B$15:$B$21,$G1756)&gt;0,$J1756&lt;&gt;""),"假日出勤",IF(AND(COUNTIF(設定!$B$6:$B$14,$G1756)&gt;0,$J1756=""),"未打卡",IF($J1756="","",IF($O1756&gt;0,"遲到",IF($P1756&gt;0,"早退","正常"))))))</f>
        <v/>
      </c>
      <c r="O1756" s="84">
        <f>IF(OR($C1756="",$H1756="",$J1756=""),0,IF(ROUND(($J1756-$H1756)*1440,0)&gt;設定!$C$46,ROUND(($J1756-$H1756)*1440,0),0))</f>
        <v/>
      </c>
      <c r="P1756" s="84">
        <f>IF(OR($C1756="",$I1756="",$K1756=""),0,IF(ROUND(($I1756-$K1756)*1440,0)&gt;設定!$C$46,ROUND(($I1756-$K1756)*1440,0),0))</f>
        <v/>
      </c>
      <c r="Q1756" s="85">
        <f>IF($M1756="",0,IF(($M1756-IFERROR(INDEX(設定!$G$6:$G$21,MATCH($G1756,設定!$B$6:$B$21,0)),0))*60&gt;=設定!$C$44,ROUND(FLOOR(($M1756-IFERROR(INDEX(設定!$G$6:$G$21,MATCH($G1756,設定!$B$6:$B$21,0)),0))*60,設定!$C$45)/60,2),0))</f>
        <v/>
      </c>
      <c r="R1756" s="16">
        <f>IF(OR($C1756="",$Q1756=0),"",IF($G1756="國","國定假日",IF($B1756="日","例假",IF($B1756="六","休息日","平日"))))</f>
        <v/>
      </c>
      <c r="S1756" s="19" t="n"/>
    </row>
    <row r="1757">
      <c r="A1757" s="82">
        <f>IF(OR(助理班表!$A61="",19&gt;DAY(EOMONTH(DATE(設定!$C$2,設定!$D$2,1),0))),"",DATE(設定!$C$2,設定!$D$2,19))</f>
        <v/>
      </c>
      <c r="B1757" s="16">
        <f>IF($A1757="","",INDEX(設定!$O$6:$O$12,WEEKDAY($A1757,1)))</f>
        <v/>
      </c>
      <c r="C1757" s="16">
        <f>IF($A1757="","",助理班表!$A61)</f>
        <v/>
      </c>
      <c r="D1757" s="16">
        <f>IF($C1757="","",助理班表!$B61)</f>
        <v/>
      </c>
      <c r="E1757" s="16">
        <f>IF($C1757="","",助理班表!$D61)</f>
        <v/>
      </c>
      <c r="F1757" s="16">
        <f>IF($C1757="","",助理班表!$C61)</f>
        <v/>
      </c>
      <c r="G1757" s="16">
        <f>IF($C1757="","",助理班表!W61)</f>
        <v/>
      </c>
      <c r="H1757" s="83">
        <f>IF($G1757="","",IFERROR(IF(INDEX(設定!$D$6:$D$21,MATCH($G1757,設定!$B$6:$B$21,0))=0,"",INDEX(設定!$D$6:$D$21,MATCH($G1757,設定!$B$6:$B$21,0))),""))</f>
        <v/>
      </c>
      <c r="I1757" s="83">
        <f>IF($G1757="","",IFERROR(IF(INDEX(設定!$E$6:$E$21,MATCH($G1757,設定!$B$6:$B$21,0))=0,"",INDEX(設定!$E$6:$E$21,MATCH($G1757,設定!$B$6:$B$21,0))),""))</f>
        <v/>
      </c>
      <c r="J1757" s="83">
        <f>IFERROR(INDEX(打卡匯入!$C$3:$C$2002,MATCH($C1757&amp;"|"&amp;DAY($A1757),打卡匯入!$E$3:$E$2002,0)),"")</f>
        <v/>
      </c>
      <c r="K1757" s="83">
        <f>IFERROR(INDEX(打卡匯入!$D$3:$D$2002,MATCH($C1757&amp;"|"&amp;DAY($A1757),打卡匯入!$E$3:$E$2002,0)),"")</f>
        <v/>
      </c>
      <c r="L1757" s="84">
        <f>IF(OR($J1757="",$K1757=""),"",IFERROR(INDEX(設定!$F$6:$F$21,MATCH($G1757,設定!$B$6:$B$21,0)),0))</f>
        <v/>
      </c>
      <c r="M1757" s="85">
        <f>IF(OR($J1757="",$K1757=""),"",ROUND(($K1757-$J1757)*24-$L1757/60,2))</f>
        <v/>
      </c>
      <c r="N1757" s="16">
        <f>IF($C1757="","",IF(AND(COUNTIF(設定!$B$15:$B$21,$G1757)&gt;0,$J1757&lt;&gt;""),"假日出勤",IF(AND(COUNTIF(設定!$B$6:$B$14,$G1757)&gt;0,$J1757=""),"未打卡",IF($J1757="","",IF($O1757&gt;0,"遲到",IF($P1757&gt;0,"早退","正常"))))))</f>
        <v/>
      </c>
      <c r="O1757" s="84">
        <f>IF(OR($C1757="",$H1757="",$J1757=""),0,IF(ROUND(($J1757-$H1757)*1440,0)&gt;設定!$C$46,ROUND(($J1757-$H1757)*1440,0),0))</f>
        <v/>
      </c>
      <c r="P1757" s="84">
        <f>IF(OR($C1757="",$I1757="",$K1757=""),0,IF(ROUND(($I1757-$K1757)*1440,0)&gt;設定!$C$46,ROUND(($I1757-$K1757)*1440,0),0))</f>
        <v/>
      </c>
      <c r="Q1757" s="85">
        <f>IF($M1757="",0,IF(($M1757-IFERROR(INDEX(設定!$G$6:$G$21,MATCH($G1757,設定!$B$6:$B$21,0)),0))*60&gt;=設定!$C$44,ROUND(FLOOR(($M1757-IFERROR(INDEX(設定!$G$6:$G$21,MATCH($G1757,設定!$B$6:$B$21,0)),0))*60,設定!$C$45)/60,2),0))</f>
        <v/>
      </c>
      <c r="R1757" s="16">
        <f>IF(OR($C1757="",$Q1757=0),"",IF($G1757="國","國定假日",IF($B1757="日","例假",IF($B1757="六","休息日","平日"))))</f>
        <v/>
      </c>
      <c r="S1757" s="19" t="n"/>
    </row>
    <row r="1758">
      <c r="A1758" s="82">
        <f>IF(OR(助理班表!$A61="",20&gt;DAY(EOMONTH(DATE(設定!$C$2,設定!$D$2,1),0))),"",DATE(設定!$C$2,設定!$D$2,20))</f>
        <v/>
      </c>
      <c r="B1758" s="16">
        <f>IF($A1758="","",INDEX(設定!$O$6:$O$12,WEEKDAY($A1758,1)))</f>
        <v/>
      </c>
      <c r="C1758" s="16">
        <f>IF($A1758="","",助理班表!$A61)</f>
        <v/>
      </c>
      <c r="D1758" s="16">
        <f>IF($C1758="","",助理班表!$B61)</f>
        <v/>
      </c>
      <c r="E1758" s="16">
        <f>IF($C1758="","",助理班表!$D61)</f>
        <v/>
      </c>
      <c r="F1758" s="16">
        <f>IF($C1758="","",助理班表!$C61)</f>
        <v/>
      </c>
      <c r="G1758" s="16">
        <f>IF($C1758="","",助理班表!X61)</f>
        <v/>
      </c>
      <c r="H1758" s="83">
        <f>IF($G1758="","",IFERROR(IF(INDEX(設定!$D$6:$D$21,MATCH($G1758,設定!$B$6:$B$21,0))=0,"",INDEX(設定!$D$6:$D$21,MATCH($G1758,設定!$B$6:$B$21,0))),""))</f>
        <v/>
      </c>
      <c r="I1758" s="83">
        <f>IF($G1758="","",IFERROR(IF(INDEX(設定!$E$6:$E$21,MATCH($G1758,設定!$B$6:$B$21,0))=0,"",INDEX(設定!$E$6:$E$21,MATCH($G1758,設定!$B$6:$B$21,0))),""))</f>
        <v/>
      </c>
      <c r="J1758" s="83">
        <f>IFERROR(INDEX(打卡匯入!$C$3:$C$2002,MATCH($C1758&amp;"|"&amp;DAY($A1758),打卡匯入!$E$3:$E$2002,0)),"")</f>
        <v/>
      </c>
      <c r="K1758" s="83">
        <f>IFERROR(INDEX(打卡匯入!$D$3:$D$2002,MATCH($C1758&amp;"|"&amp;DAY($A1758),打卡匯入!$E$3:$E$2002,0)),"")</f>
        <v/>
      </c>
      <c r="L1758" s="84">
        <f>IF(OR($J1758="",$K1758=""),"",IFERROR(INDEX(設定!$F$6:$F$21,MATCH($G1758,設定!$B$6:$B$21,0)),0))</f>
        <v/>
      </c>
      <c r="M1758" s="85">
        <f>IF(OR($J1758="",$K1758=""),"",ROUND(($K1758-$J1758)*24-$L1758/60,2))</f>
        <v/>
      </c>
      <c r="N1758" s="16">
        <f>IF($C1758="","",IF(AND(COUNTIF(設定!$B$15:$B$21,$G1758)&gt;0,$J1758&lt;&gt;""),"假日出勤",IF(AND(COUNTIF(設定!$B$6:$B$14,$G1758)&gt;0,$J1758=""),"未打卡",IF($J1758="","",IF($O1758&gt;0,"遲到",IF($P1758&gt;0,"早退","正常"))))))</f>
        <v/>
      </c>
      <c r="O1758" s="84">
        <f>IF(OR($C1758="",$H1758="",$J1758=""),0,IF(ROUND(($J1758-$H1758)*1440,0)&gt;設定!$C$46,ROUND(($J1758-$H1758)*1440,0),0))</f>
        <v/>
      </c>
      <c r="P1758" s="84">
        <f>IF(OR($C1758="",$I1758="",$K1758=""),0,IF(ROUND(($I1758-$K1758)*1440,0)&gt;設定!$C$46,ROUND(($I1758-$K1758)*1440,0),0))</f>
        <v/>
      </c>
      <c r="Q1758" s="85">
        <f>IF($M1758="",0,IF(($M1758-IFERROR(INDEX(設定!$G$6:$G$21,MATCH($G1758,設定!$B$6:$B$21,0)),0))*60&gt;=設定!$C$44,ROUND(FLOOR(($M1758-IFERROR(INDEX(設定!$G$6:$G$21,MATCH($G1758,設定!$B$6:$B$21,0)),0))*60,設定!$C$45)/60,2),0))</f>
        <v/>
      </c>
      <c r="R1758" s="16">
        <f>IF(OR($C1758="",$Q1758=0),"",IF($G1758="國","國定假日",IF($B1758="日","例假",IF($B1758="六","休息日","平日"))))</f>
        <v/>
      </c>
      <c r="S1758" s="19" t="n"/>
    </row>
    <row r="1759">
      <c r="A1759" s="82">
        <f>IF(OR(助理班表!$A61="",21&gt;DAY(EOMONTH(DATE(設定!$C$2,設定!$D$2,1),0))),"",DATE(設定!$C$2,設定!$D$2,21))</f>
        <v/>
      </c>
      <c r="B1759" s="16">
        <f>IF($A1759="","",INDEX(設定!$O$6:$O$12,WEEKDAY($A1759,1)))</f>
        <v/>
      </c>
      <c r="C1759" s="16">
        <f>IF($A1759="","",助理班表!$A61)</f>
        <v/>
      </c>
      <c r="D1759" s="16">
        <f>IF($C1759="","",助理班表!$B61)</f>
        <v/>
      </c>
      <c r="E1759" s="16">
        <f>IF($C1759="","",助理班表!$D61)</f>
        <v/>
      </c>
      <c r="F1759" s="16">
        <f>IF($C1759="","",助理班表!$C61)</f>
        <v/>
      </c>
      <c r="G1759" s="16">
        <f>IF($C1759="","",助理班表!Y61)</f>
        <v/>
      </c>
      <c r="H1759" s="83">
        <f>IF($G1759="","",IFERROR(IF(INDEX(設定!$D$6:$D$21,MATCH($G1759,設定!$B$6:$B$21,0))=0,"",INDEX(設定!$D$6:$D$21,MATCH($G1759,設定!$B$6:$B$21,0))),""))</f>
        <v/>
      </c>
      <c r="I1759" s="83">
        <f>IF($G1759="","",IFERROR(IF(INDEX(設定!$E$6:$E$21,MATCH($G1759,設定!$B$6:$B$21,0))=0,"",INDEX(設定!$E$6:$E$21,MATCH($G1759,設定!$B$6:$B$21,0))),""))</f>
        <v/>
      </c>
      <c r="J1759" s="83">
        <f>IFERROR(INDEX(打卡匯入!$C$3:$C$2002,MATCH($C1759&amp;"|"&amp;DAY($A1759),打卡匯入!$E$3:$E$2002,0)),"")</f>
        <v/>
      </c>
      <c r="K1759" s="83">
        <f>IFERROR(INDEX(打卡匯入!$D$3:$D$2002,MATCH($C1759&amp;"|"&amp;DAY($A1759),打卡匯入!$E$3:$E$2002,0)),"")</f>
        <v/>
      </c>
      <c r="L1759" s="84">
        <f>IF(OR($J1759="",$K1759=""),"",IFERROR(INDEX(設定!$F$6:$F$21,MATCH($G1759,設定!$B$6:$B$21,0)),0))</f>
        <v/>
      </c>
      <c r="M1759" s="85">
        <f>IF(OR($J1759="",$K1759=""),"",ROUND(($K1759-$J1759)*24-$L1759/60,2))</f>
        <v/>
      </c>
      <c r="N1759" s="16">
        <f>IF($C1759="","",IF(AND(COUNTIF(設定!$B$15:$B$21,$G1759)&gt;0,$J1759&lt;&gt;""),"假日出勤",IF(AND(COUNTIF(設定!$B$6:$B$14,$G1759)&gt;0,$J1759=""),"未打卡",IF($J1759="","",IF($O1759&gt;0,"遲到",IF($P1759&gt;0,"早退","正常"))))))</f>
        <v/>
      </c>
      <c r="O1759" s="84">
        <f>IF(OR($C1759="",$H1759="",$J1759=""),0,IF(ROUND(($J1759-$H1759)*1440,0)&gt;設定!$C$46,ROUND(($J1759-$H1759)*1440,0),0))</f>
        <v/>
      </c>
      <c r="P1759" s="84">
        <f>IF(OR($C1759="",$I1759="",$K1759=""),0,IF(ROUND(($I1759-$K1759)*1440,0)&gt;設定!$C$46,ROUND(($I1759-$K1759)*1440,0),0))</f>
        <v/>
      </c>
      <c r="Q1759" s="85">
        <f>IF($M1759="",0,IF(($M1759-IFERROR(INDEX(設定!$G$6:$G$21,MATCH($G1759,設定!$B$6:$B$21,0)),0))*60&gt;=設定!$C$44,ROUND(FLOOR(($M1759-IFERROR(INDEX(設定!$G$6:$G$21,MATCH($G1759,設定!$B$6:$B$21,0)),0))*60,設定!$C$45)/60,2),0))</f>
        <v/>
      </c>
      <c r="R1759" s="16">
        <f>IF(OR($C1759="",$Q1759=0),"",IF($G1759="國","國定假日",IF($B1759="日","例假",IF($B1759="六","休息日","平日"))))</f>
        <v/>
      </c>
      <c r="S1759" s="19" t="n"/>
    </row>
    <row r="1760">
      <c r="A1760" s="82">
        <f>IF(OR(助理班表!$A61="",22&gt;DAY(EOMONTH(DATE(設定!$C$2,設定!$D$2,1),0))),"",DATE(設定!$C$2,設定!$D$2,22))</f>
        <v/>
      </c>
      <c r="B1760" s="16">
        <f>IF($A1760="","",INDEX(設定!$O$6:$O$12,WEEKDAY($A1760,1)))</f>
        <v/>
      </c>
      <c r="C1760" s="16">
        <f>IF($A1760="","",助理班表!$A61)</f>
        <v/>
      </c>
      <c r="D1760" s="16">
        <f>IF($C1760="","",助理班表!$B61)</f>
        <v/>
      </c>
      <c r="E1760" s="16">
        <f>IF($C1760="","",助理班表!$D61)</f>
        <v/>
      </c>
      <c r="F1760" s="16">
        <f>IF($C1760="","",助理班表!$C61)</f>
        <v/>
      </c>
      <c r="G1760" s="16">
        <f>IF($C1760="","",助理班表!Z61)</f>
        <v/>
      </c>
      <c r="H1760" s="83">
        <f>IF($G1760="","",IFERROR(IF(INDEX(設定!$D$6:$D$21,MATCH($G1760,設定!$B$6:$B$21,0))=0,"",INDEX(設定!$D$6:$D$21,MATCH($G1760,設定!$B$6:$B$21,0))),""))</f>
        <v/>
      </c>
      <c r="I1760" s="83">
        <f>IF($G1760="","",IFERROR(IF(INDEX(設定!$E$6:$E$21,MATCH($G1760,設定!$B$6:$B$21,0))=0,"",INDEX(設定!$E$6:$E$21,MATCH($G1760,設定!$B$6:$B$21,0))),""))</f>
        <v/>
      </c>
      <c r="J1760" s="83">
        <f>IFERROR(INDEX(打卡匯入!$C$3:$C$2002,MATCH($C1760&amp;"|"&amp;DAY($A1760),打卡匯入!$E$3:$E$2002,0)),"")</f>
        <v/>
      </c>
      <c r="K1760" s="83">
        <f>IFERROR(INDEX(打卡匯入!$D$3:$D$2002,MATCH($C1760&amp;"|"&amp;DAY($A1760),打卡匯入!$E$3:$E$2002,0)),"")</f>
        <v/>
      </c>
      <c r="L1760" s="84">
        <f>IF(OR($J1760="",$K1760=""),"",IFERROR(INDEX(設定!$F$6:$F$21,MATCH($G1760,設定!$B$6:$B$21,0)),0))</f>
        <v/>
      </c>
      <c r="M1760" s="85">
        <f>IF(OR($J1760="",$K1760=""),"",ROUND(($K1760-$J1760)*24-$L1760/60,2))</f>
        <v/>
      </c>
      <c r="N1760" s="16">
        <f>IF($C1760="","",IF(AND(COUNTIF(設定!$B$15:$B$21,$G1760)&gt;0,$J1760&lt;&gt;""),"假日出勤",IF(AND(COUNTIF(設定!$B$6:$B$14,$G1760)&gt;0,$J1760=""),"未打卡",IF($J1760="","",IF($O1760&gt;0,"遲到",IF($P1760&gt;0,"早退","正常"))))))</f>
        <v/>
      </c>
      <c r="O1760" s="84">
        <f>IF(OR($C1760="",$H1760="",$J1760=""),0,IF(ROUND(($J1760-$H1760)*1440,0)&gt;設定!$C$46,ROUND(($J1760-$H1760)*1440,0),0))</f>
        <v/>
      </c>
      <c r="P1760" s="84">
        <f>IF(OR($C1760="",$I1760="",$K1760=""),0,IF(ROUND(($I1760-$K1760)*1440,0)&gt;設定!$C$46,ROUND(($I1760-$K1760)*1440,0),0))</f>
        <v/>
      </c>
      <c r="Q1760" s="85">
        <f>IF($M1760="",0,IF(($M1760-IFERROR(INDEX(設定!$G$6:$G$21,MATCH($G1760,設定!$B$6:$B$21,0)),0))*60&gt;=設定!$C$44,ROUND(FLOOR(($M1760-IFERROR(INDEX(設定!$G$6:$G$21,MATCH($G1760,設定!$B$6:$B$21,0)),0))*60,設定!$C$45)/60,2),0))</f>
        <v/>
      </c>
      <c r="R1760" s="16">
        <f>IF(OR($C1760="",$Q1760=0),"",IF($G1760="國","國定假日",IF($B1760="日","例假",IF($B1760="六","休息日","平日"))))</f>
        <v/>
      </c>
      <c r="S1760" s="19" t="n"/>
    </row>
    <row r="1761">
      <c r="A1761" s="82">
        <f>IF(OR(助理班表!$A61="",23&gt;DAY(EOMONTH(DATE(設定!$C$2,設定!$D$2,1),0))),"",DATE(設定!$C$2,設定!$D$2,23))</f>
        <v/>
      </c>
      <c r="B1761" s="16">
        <f>IF($A1761="","",INDEX(設定!$O$6:$O$12,WEEKDAY($A1761,1)))</f>
        <v/>
      </c>
      <c r="C1761" s="16">
        <f>IF($A1761="","",助理班表!$A61)</f>
        <v/>
      </c>
      <c r="D1761" s="16">
        <f>IF($C1761="","",助理班表!$B61)</f>
        <v/>
      </c>
      <c r="E1761" s="16">
        <f>IF($C1761="","",助理班表!$D61)</f>
        <v/>
      </c>
      <c r="F1761" s="16">
        <f>IF($C1761="","",助理班表!$C61)</f>
        <v/>
      </c>
      <c r="G1761" s="16">
        <f>IF($C1761="","",助理班表!AA61)</f>
        <v/>
      </c>
      <c r="H1761" s="83">
        <f>IF($G1761="","",IFERROR(IF(INDEX(設定!$D$6:$D$21,MATCH($G1761,設定!$B$6:$B$21,0))=0,"",INDEX(設定!$D$6:$D$21,MATCH($G1761,設定!$B$6:$B$21,0))),""))</f>
        <v/>
      </c>
      <c r="I1761" s="83">
        <f>IF($G1761="","",IFERROR(IF(INDEX(設定!$E$6:$E$21,MATCH($G1761,設定!$B$6:$B$21,0))=0,"",INDEX(設定!$E$6:$E$21,MATCH($G1761,設定!$B$6:$B$21,0))),""))</f>
        <v/>
      </c>
      <c r="J1761" s="83">
        <f>IFERROR(INDEX(打卡匯入!$C$3:$C$2002,MATCH($C1761&amp;"|"&amp;DAY($A1761),打卡匯入!$E$3:$E$2002,0)),"")</f>
        <v/>
      </c>
      <c r="K1761" s="83">
        <f>IFERROR(INDEX(打卡匯入!$D$3:$D$2002,MATCH($C1761&amp;"|"&amp;DAY($A1761),打卡匯入!$E$3:$E$2002,0)),"")</f>
        <v/>
      </c>
      <c r="L1761" s="84">
        <f>IF(OR($J1761="",$K1761=""),"",IFERROR(INDEX(設定!$F$6:$F$21,MATCH($G1761,設定!$B$6:$B$21,0)),0))</f>
        <v/>
      </c>
      <c r="M1761" s="85">
        <f>IF(OR($J1761="",$K1761=""),"",ROUND(($K1761-$J1761)*24-$L1761/60,2))</f>
        <v/>
      </c>
      <c r="N1761" s="16">
        <f>IF($C1761="","",IF(AND(COUNTIF(設定!$B$15:$B$21,$G1761)&gt;0,$J1761&lt;&gt;""),"假日出勤",IF(AND(COUNTIF(設定!$B$6:$B$14,$G1761)&gt;0,$J1761=""),"未打卡",IF($J1761="","",IF($O1761&gt;0,"遲到",IF($P1761&gt;0,"早退","正常"))))))</f>
        <v/>
      </c>
      <c r="O1761" s="84">
        <f>IF(OR($C1761="",$H1761="",$J1761=""),0,IF(ROUND(($J1761-$H1761)*1440,0)&gt;設定!$C$46,ROUND(($J1761-$H1761)*1440,0),0))</f>
        <v/>
      </c>
      <c r="P1761" s="84">
        <f>IF(OR($C1761="",$I1761="",$K1761=""),0,IF(ROUND(($I1761-$K1761)*1440,0)&gt;設定!$C$46,ROUND(($I1761-$K1761)*1440,0),0))</f>
        <v/>
      </c>
      <c r="Q1761" s="85">
        <f>IF($M1761="",0,IF(($M1761-IFERROR(INDEX(設定!$G$6:$G$21,MATCH($G1761,設定!$B$6:$B$21,0)),0))*60&gt;=設定!$C$44,ROUND(FLOOR(($M1761-IFERROR(INDEX(設定!$G$6:$G$21,MATCH($G1761,設定!$B$6:$B$21,0)),0))*60,設定!$C$45)/60,2),0))</f>
        <v/>
      </c>
      <c r="R1761" s="16">
        <f>IF(OR($C1761="",$Q1761=0),"",IF($G1761="國","國定假日",IF($B1761="日","例假",IF($B1761="六","休息日","平日"))))</f>
        <v/>
      </c>
      <c r="S1761" s="19" t="n"/>
    </row>
    <row r="1762">
      <c r="A1762" s="82">
        <f>IF(OR(助理班表!$A61="",24&gt;DAY(EOMONTH(DATE(設定!$C$2,設定!$D$2,1),0))),"",DATE(設定!$C$2,設定!$D$2,24))</f>
        <v/>
      </c>
      <c r="B1762" s="16">
        <f>IF($A1762="","",INDEX(設定!$O$6:$O$12,WEEKDAY($A1762,1)))</f>
        <v/>
      </c>
      <c r="C1762" s="16">
        <f>IF($A1762="","",助理班表!$A61)</f>
        <v/>
      </c>
      <c r="D1762" s="16">
        <f>IF($C1762="","",助理班表!$B61)</f>
        <v/>
      </c>
      <c r="E1762" s="16">
        <f>IF($C1762="","",助理班表!$D61)</f>
        <v/>
      </c>
      <c r="F1762" s="16">
        <f>IF($C1762="","",助理班表!$C61)</f>
        <v/>
      </c>
      <c r="G1762" s="16">
        <f>IF($C1762="","",助理班表!AB61)</f>
        <v/>
      </c>
      <c r="H1762" s="83">
        <f>IF($G1762="","",IFERROR(IF(INDEX(設定!$D$6:$D$21,MATCH($G1762,設定!$B$6:$B$21,0))=0,"",INDEX(設定!$D$6:$D$21,MATCH($G1762,設定!$B$6:$B$21,0))),""))</f>
        <v/>
      </c>
      <c r="I1762" s="83">
        <f>IF($G1762="","",IFERROR(IF(INDEX(設定!$E$6:$E$21,MATCH($G1762,設定!$B$6:$B$21,0))=0,"",INDEX(設定!$E$6:$E$21,MATCH($G1762,設定!$B$6:$B$21,0))),""))</f>
        <v/>
      </c>
      <c r="J1762" s="83">
        <f>IFERROR(INDEX(打卡匯入!$C$3:$C$2002,MATCH($C1762&amp;"|"&amp;DAY($A1762),打卡匯入!$E$3:$E$2002,0)),"")</f>
        <v/>
      </c>
      <c r="K1762" s="83">
        <f>IFERROR(INDEX(打卡匯入!$D$3:$D$2002,MATCH($C1762&amp;"|"&amp;DAY($A1762),打卡匯入!$E$3:$E$2002,0)),"")</f>
        <v/>
      </c>
      <c r="L1762" s="84">
        <f>IF(OR($J1762="",$K1762=""),"",IFERROR(INDEX(設定!$F$6:$F$21,MATCH($G1762,設定!$B$6:$B$21,0)),0))</f>
        <v/>
      </c>
      <c r="M1762" s="85">
        <f>IF(OR($J1762="",$K1762=""),"",ROUND(($K1762-$J1762)*24-$L1762/60,2))</f>
        <v/>
      </c>
      <c r="N1762" s="16">
        <f>IF($C1762="","",IF(AND(COUNTIF(設定!$B$15:$B$21,$G1762)&gt;0,$J1762&lt;&gt;""),"假日出勤",IF(AND(COUNTIF(設定!$B$6:$B$14,$G1762)&gt;0,$J1762=""),"未打卡",IF($J1762="","",IF($O1762&gt;0,"遲到",IF($P1762&gt;0,"早退","正常"))))))</f>
        <v/>
      </c>
      <c r="O1762" s="84">
        <f>IF(OR($C1762="",$H1762="",$J1762=""),0,IF(ROUND(($J1762-$H1762)*1440,0)&gt;設定!$C$46,ROUND(($J1762-$H1762)*1440,0),0))</f>
        <v/>
      </c>
      <c r="P1762" s="84">
        <f>IF(OR($C1762="",$I1762="",$K1762=""),0,IF(ROUND(($I1762-$K1762)*1440,0)&gt;設定!$C$46,ROUND(($I1762-$K1762)*1440,0),0))</f>
        <v/>
      </c>
      <c r="Q1762" s="85">
        <f>IF($M1762="",0,IF(($M1762-IFERROR(INDEX(設定!$G$6:$G$21,MATCH($G1762,設定!$B$6:$B$21,0)),0))*60&gt;=設定!$C$44,ROUND(FLOOR(($M1762-IFERROR(INDEX(設定!$G$6:$G$21,MATCH($G1762,設定!$B$6:$B$21,0)),0))*60,設定!$C$45)/60,2),0))</f>
        <v/>
      </c>
      <c r="R1762" s="16">
        <f>IF(OR($C1762="",$Q1762=0),"",IF($G1762="國","國定假日",IF($B1762="日","例假",IF($B1762="六","休息日","平日"))))</f>
        <v/>
      </c>
      <c r="S1762" s="19" t="n"/>
    </row>
    <row r="1763">
      <c r="A1763" s="82">
        <f>IF(OR(助理班表!$A61="",25&gt;DAY(EOMONTH(DATE(設定!$C$2,設定!$D$2,1),0))),"",DATE(設定!$C$2,設定!$D$2,25))</f>
        <v/>
      </c>
      <c r="B1763" s="16">
        <f>IF($A1763="","",INDEX(設定!$O$6:$O$12,WEEKDAY($A1763,1)))</f>
        <v/>
      </c>
      <c r="C1763" s="16">
        <f>IF($A1763="","",助理班表!$A61)</f>
        <v/>
      </c>
      <c r="D1763" s="16">
        <f>IF($C1763="","",助理班表!$B61)</f>
        <v/>
      </c>
      <c r="E1763" s="16">
        <f>IF($C1763="","",助理班表!$D61)</f>
        <v/>
      </c>
      <c r="F1763" s="16">
        <f>IF($C1763="","",助理班表!$C61)</f>
        <v/>
      </c>
      <c r="G1763" s="16">
        <f>IF($C1763="","",助理班表!AC61)</f>
        <v/>
      </c>
      <c r="H1763" s="83">
        <f>IF($G1763="","",IFERROR(IF(INDEX(設定!$D$6:$D$21,MATCH($G1763,設定!$B$6:$B$21,0))=0,"",INDEX(設定!$D$6:$D$21,MATCH($G1763,設定!$B$6:$B$21,0))),""))</f>
        <v/>
      </c>
      <c r="I1763" s="83">
        <f>IF($G1763="","",IFERROR(IF(INDEX(設定!$E$6:$E$21,MATCH($G1763,設定!$B$6:$B$21,0))=0,"",INDEX(設定!$E$6:$E$21,MATCH($G1763,設定!$B$6:$B$21,0))),""))</f>
        <v/>
      </c>
      <c r="J1763" s="83">
        <f>IFERROR(INDEX(打卡匯入!$C$3:$C$2002,MATCH($C1763&amp;"|"&amp;DAY($A1763),打卡匯入!$E$3:$E$2002,0)),"")</f>
        <v/>
      </c>
      <c r="K1763" s="83">
        <f>IFERROR(INDEX(打卡匯入!$D$3:$D$2002,MATCH($C1763&amp;"|"&amp;DAY($A1763),打卡匯入!$E$3:$E$2002,0)),"")</f>
        <v/>
      </c>
      <c r="L1763" s="84">
        <f>IF(OR($J1763="",$K1763=""),"",IFERROR(INDEX(設定!$F$6:$F$21,MATCH($G1763,設定!$B$6:$B$21,0)),0))</f>
        <v/>
      </c>
      <c r="M1763" s="85">
        <f>IF(OR($J1763="",$K1763=""),"",ROUND(($K1763-$J1763)*24-$L1763/60,2))</f>
        <v/>
      </c>
      <c r="N1763" s="16">
        <f>IF($C1763="","",IF(AND(COUNTIF(設定!$B$15:$B$21,$G1763)&gt;0,$J1763&lt;&gt;""),"假日出勤",IF(AND(COUNTIF(設定!$B$6:$B$14,$G1763)&gt;0,$J1763=""),"未打卡",IF($J1763="","",IF($O1763&gt;0,"遲到",IF($P1763&gt;0,"早退","正常"))))))</f>
        <v/>
      </c>
      <c r="O1763" s="84">
        <f>IF(OR($C1763="",$H1763="",$J1763=""),0,IF(ROUND(($J1763-$H1763)*1440,0)&gt;設定!$C$46,ROUND(($J1763-$H1763)*1440,0),0))</f>
        <v/>
      </c>
      <c r="P1763" s="84">
        <f>IF(OR($C1763="",$I1763="",$K1763=""),0,IF(ROUND(($I1763-$K1763)*1440,0)&gt;設定!$C$46,ROUND(($I1763-$K1763)*1440,0),0))</f>
        <v/>
      </c>
      <c r="Q1763" s="85">
        <f>IF($M1763="",0,IF(($M1763-IFERROR(INDEX(設定!$G$6:$G$21,MATCH($G1763,設定!$B$6:$B$21,0)),0))*60&gt;=設定!$C$44,ROUND(FLOOR(($M1763-IFERROR(INDEX(設定!$G$6:$G$21,MATCH($G1763,設定!$B$6:$B$21,0)),0))*60,設定!$C$45)/60,2),0))</f>
        <v/>
      </c>
      <c r="R1763" s="16">
        <f>IF(OR($C1763="",$Q1763=0),"",IF($G1763="國","國定假日",IF($B1763="日","例假",IF($B1763="六","休息日","平日"))))</f>
        <v/>
      </c>
      <c r="S1763" s="19" t="n"/>
    </row>
    <row r="1764">
      <c r="A1764" s="82">
        <f>IF(OR(助理班表!$A61="",26&gt;DAY(EOMONTH(DATE(設定!$C$2,設定!$D$2,1),0))),"",DATE(設定!$C$2,設定!$D$2,26))</f>
        <v/>
      </c>
      <c r="B1764" s="16">
        <f>IF($A1764="","",INDEX(設定!$O$6:$O$12,WEEKDAY($A1764,1)))</f>
        <v/>
      </c>
      <c r="C1764" s="16">
        <f>IF($A1764="","",助理班表!$A61)</f>
        <v/>
      </c>
      <c r="D1764" s="16">
        <f>IF($C1764="","",助理班表!$B61)</f>
        <v/>
      </c>
      <c r="E1764" s="16">
        <f>IF($C1764="","",助理班表!$D61)</f>
        <v/>
      </c>
      <c r="F1764" s="16">
        <f>IF($C1764="","",助理班表!$C61)</f>
        <v/>
      </c>
      <c r="G1764" s="16">
        <f>IF($C1764="","",助理班表!AD61)</f>
        <v/>
      </c>
      <c r="H1764" s="83">
        <f>IF($G1764="","",IFERROR(IF(INDEX(設定!$D$6:$D$21,MATCH($G1764,設定!$B$6:$B$21,0))=0,"",INDEX(設定!$D$6:$D$21,MATCH($G1764,設定!$B$6:$B$21,0))),""))</f>
        <v/>
      </c>
      <c r="I1764" s="83">
        <f>IF($G1764="","",IFERROR(IF(INDEX(設定!$E$6:$E$21,MATCH($G1764,設定!$B$6:$B$21,0))=0,"",INDEX(設定!$E$6:$E$21,MATCH($G1764,設定!$B$6:$B$21,0))),""))</f>
        <v/>
      </c>
      <c r="J1764" s="83">
        <f>IFERROR(INDEX(打卡匯入!$C$3:$C$2002,MATCH($C1764&amp;"|"&amp;DAY($A1764),打卡匯入!$E$3:$E$2002,0)),"")</f>
        <v/>
      </c>
      <c r="K1764" s="83">
        <f>IFERROR(INDEX(打卡匯入!$D$3:$D$2002,MATCH($C1764&amp;"|"&amp;DAY($A1764),打卡匯入!$E$3:$E$2002,0)),"")</f>
        <v/>
      </c>
      <c r="L1764" s="84">
        <f>IF(OR($J1764="",$K1764=""),"",IFERROR(INDEX(設定!$F$6:$F$21,MATCH($G1764,設定!$B$6:$B$21,0)),0))</f>
        <v/>
      </c>
      <c r="M1764" s="85">
        <f>IF(OR($J1764="",$K1764=""),"",ROUND(($K1764-$J1764)*24-$L1764/60,2))</f>
        <v/>
      </c>
      <c r="N1764" s="16">
        <f>IF($C1764="","",IF(AND(COUNTIF(設定!$B$15:$B$21,$G1764)&gt;0,$J1764&lt;&gt;""),"假日出勤",IF(AND(COUNTIF(設定!$B$6:$B$14,$G1764)&gt;0,$J1764=""),"未打卡",IF($J1764="","",IF($O1764&gt;0,"遲到",IF($P1764&gt;0,"早退","正常"))))))</f>
        <v/>
      </c>
      <c r="O1764" s="84">
        <f>IF(OR($C1764="",$H1764="",$J1764=""),0,IF(ROUND(($J1764-$H1764)*1440,0)&gt;設定!$C$46,ROUND(($J1764-$H1764)*1440,0),0))</f>
        <v/>
      </c>
      <c r="P1764" s="84">
        <f>IF(OR($C1764="",$I1764="",$K1764=""),0,IF(ROUND(($I1764-$K1764)*1440,0)&gt;設定!$C$46,ROUND(($I1764-$K1764)*1440,0),0))</f>
        <v/>
      </c>
      <c r="Q1764" s="85">
        <f>IF($M1764="",0,IF(($M1764-IFERROR(INDEX(設定!$G$6:$G$21,MATCH($G1764,設定!$B$6:$B$21,0)),0))*60&gt;=設定!$C$44,ROUND(FLOOR(($M1764-IFERROR(INDEX(設定!$G$6:$G$21,MATCH($G1764,設定!$B$6:$B$21,0)),0))*60,設定!$C$45)/60,2),0))</f>
        <v/>
      </c>
      <c r="R1764" s="16">
        <f>IF(OR($C1764="",$Q1764=0),"",IF($G1764="國","國定假日",IF($B1764="日","例假",IF($B1764="六","休息日","平日"))))</f>
        <v/>
      </c>
      <c r="S1764" s="19" t="n"/>
    </row>
    <row r="1765">
      <c r="A1765" s="82">
        <f>IF(OR(助理班表!$A61="",27&gt;DAY(EOMONTH(DATE(設定!$C$2,設定!$D$2,1),0))),"",DATE(設定!$C$2,設定!$D$2,27))</f>
        <v/>
      </c>
      <c r="B1765" s="16">
        <f>IF($A1765="","",INDEX(設定!$O$6:$O$12,WEEKDAY($A1765,1)))</f>
        <v/>
      </c>
      <c r="C1765" s="16">
        <f>IF($A1765="","",助理班表!$A61)</f>
        <v/>
      </c>
      <c r="D1765" s="16">
        <f>IF($C1765="","",助理班表!$B61)</f>
        <v/>
      </c>
      <c r="E1765" s="16">
        <f>IF($C1765="","",助理班表!$D61)</f>
        <v/>
      </c>
      <c r="F1765" s="16">
        <f>IF($C1765="","",助理班表!$C61)</f>
        <v/>
      </c>
      <c r="G1765" s="16">
        <f>IF($C1765="","",助理班表!AE61)</f>
        <v/>
      </c>
      <c r="H1765" s="83">
        <f>IF($G1765="","",IFERROR(IF(INDEX(設定!$D$6:$D$21,MATCH($G1765,設定!$B$6:$B$21,0))=0,"",INDEX(設定!$D$6:$D$21,MATCH($G1765,設定!$B$6:$B$21,0))),""))</f>
        <v/>
      </c>
      <c r="I1765" s="83">
        <f>IF($G1765="","",IFERROR(IF(INDEX(設定!$E$6:$E$21,MATCH($G1765,設定!$B$6:$B$21,0))=0,"",INDEX(設定!$E$6:$E$21,MATCH($G1765,設定!$B$6:$B$21,0))),""))</f>
        <v/>
      </c>
      <c r="J1765" s="83">
        <f>IFERROR(INDEX(打卡匯入!$C$3:$C$2002,MATCH($C1765&amp;"|"&amp;DAY($A1765),打卡匯入!$E$3:$E$2002,0)),"")</f>
        <v/>
      </c>
      <c r="K1765" s="83">
        <f>IFERROR(INDEX(打卡匯入!$D$3:$D$2002,MATCH($C1765&amp;"|"&amp;DAY($A1765),打卡匯入!$E$3:$E$2002,0)),"")</f>
        <v/>
      </c>
      <c r="L1765" s="84">
        <f>IF(OR($J1765="",$K1765=""),"",IFERROR(INDEX(設定!$F$6:$F$21,MATCH($G1765,設定!$B$6:$B$21,0)),0))</f>
        <v/>
      </c>
      <c r="M1765" s="85">
        <f>IF(OR($J1765="",$K1765=""),"",ROUND(($K1765-$J1765)*24-$L1765/60,2))</f>
        <v/>
      </c>
      <c r="N1765" s="16">
        <f>IF($C1765="","",IF(AND(COUNTIF(設定!$B$15:$B$21,$G1765)&gt;0,$J1765&lt;&gt;""),"假日出勤",IF(AND(COUNTIF(設定!$B$6:$B$14,$G1765)&gt;0,$J1765=""),"未打卡",IF($J1765="","",IF($O1765&gt;0,"遲到",IF($P1765&gt;0,"早退","正常"))))))</f>
        <v/>
      </c>
      <c r="O1765" s="84">
        <f>IF(OR($C1765="",$H1765="",$J1765=""),0,IF(ROUND(($J1765-$H1765)*1440,0)&gt;設定!$C$46,ROUND(($J1765-$H1765)*1440,0),0))</f>
        <v/>
      </c>
      <c r="P1765" s="84">
        <f>IF(OR($C1765="",$I1765="",$K1765=""),0,IF(ROUND(($I1765-$K1765)*1440,0)&gt;設定!$C$46,ROUND(($I1765-$K1765)*1440,0),0))</f>
        <v/>
      </c>
      <c r="Q1765" s="85">
        <f>IF($M1765="",0,IF(($M1765-IFERROR(INDEX(設定!$G$6:$G$21,MATCH($G1765,設定!$B$6:$B$21,0)),0))*60&gt;=設定!$C$44,ROUND(FLOOR(($M1765-IFERROR(INDEX(設定!$G$6:$G$21,MATCH($G1765,設定!$B$6:$B$21,0)),0))*60,設定!$C$45)/60,2),0))</f>
        <v/>
      </c>
      <c r="R1765" s="16">
        <f>IF(OR($C1765="",$Q1765=0),"",IF($G1765="國","國定假日",IF($B1765="日","例假",IF($B1765="六","休息日","平日"))))</f>
        <v/>
      </c>
      <c r="S1765" s="19" t="n"/>
    </row>
    <row r="1766">
      <c r="A1766" s="82">
        <f>IF(OR(助理班表!$A61="",28&gt;DAY(EOMONTH(DATE(設定!$C$2,設定!$D$2,1),0))),"",DATE(設定!$C$2,設定!$D$2,28))</f>
        <v/>
      </c>
      <c r="B1766" s="16">
        <f>IF($A1766="","",INDEX(設定!$O$6:$O$12,WEEKDAY($A1766,1)))</f>
        <v/>
      </c>
      <c r="C1766" s="16">
        <f>IF($A1766="","",助理班表!$A61)</f>
        <v/>
      </c>
      <c r="D1766" s="16">
        <f>IF($C1766="","",助理班表!$B61)</f>
        <v/>
      </c>
      <c r="E1766" s="16">
        <f>IF($C1766="","",助理班表!$D61)</f>
        <v/>
      </c>
      <c r="F1766" s="16">
        <f>IF($C1766="","",助理班表!$C61)</f>
        <v/>
      </c>
      <c r="G1766" s="16">
        <f>IF($C1766="","",助理班表!AF61)</f>
        <v/>
      </c>
      <c r="H1766" s="83">
        <f>IF($G1766="","",IFERROR(IF(INDEX(設定!$D$6:$D$21,MATCH($G1766,設定!$B$6:$B$21,0))=0,"",INDEX(設定!$D$6:$D$21,MATCH($G1766,設定!$B$6:$B$21,0))),""))</f>
        <v/>
      </c>
      <c r="I1766" s="83">
        <f>IF($G1766="","",IFERROR(IF(INDEX(設定!$E$6:$E$21,MATCH($G1766,設定!$B$6:$B$21,0))=0,"",INDEX(設定!$E$6:$E$21,MATCH($G1766,設定!$B$6:$B$21,0))),""))</f>
        <v/>
      </c>
      <c r="J1766" s="83">
        <f>IFERROR(INDEX(打卡匯入!$C$3:$C$2002,MATCH($C1766&amp;"|"&amp;DAY($A1766),打卡匯入!$E$3:$E$2002,0)),"")</f>
        <v/>
      </c>
      <c r="K1766" s="83">
        <f>IFERROR(INDEX(打卡匯入!$D$3:$D$2002,MATCH($C1766&amp;"|"&amp;DAY($A1766),打卡匯入!$E$3:$E$2002,0)),"")</f>
        <v/>
      </c>
      <c r="L1766" s="84">
        <f>IF(OR($J1766="",$K1766=""),"",IFERROR(INDEX(設定!$F$6:$F$21,MATCH($G1766,設定!$B$6:$B$21,0)),0))</f>
        <v/>
      </c>
      <c r="M1766" s="85">
        <f>IF(OR($J1766="",$K1766=""),"",ROUND(($K1766-$J1766)*24-$L1766/60,2))</f>
        <v/>
      </c>
      <c r="N1766" s="16">
        <f>IF($C1766="","",IF(AND(COUNTIF(設定!$B$15:$B$21,$G1766)&gt;0,$J1766&lt;&gt;""),"假日出勤",IF(AND(COUNTIF(設定!$B$6:$B$14,$G1766)&gt;0,$J1766=""),"未打卡",IF($J1766="","",IF($O1766&gt;0,"遲到",IF($P1766&gt;0,"早退","正常"))))))</f>
        <v/>
      </c>
      <c r="O1766" s="84">
        <f>IF(OR($C1766="",$H1766="",$J1766=""),0,IF(ROUND(($J1766-$H1766)*1440,0)&gt;設定!$C$46,ROUND(($J1766-$H1766)*1440,0),0))</f>
        <v/>
      </c>
      <c r="P1766" s="84">
        <f>IF(OR($C1766="",$I1766="",$K1766=""),0,IF(ROUND(($I1766-$K1766)*1440,0)&gt;設定!$C$46,ROUND(($I1766-$K1766)*1440,0),0))</f>
        <v/>
      </c>
      <c r="Q1766" s="85">
        <f>IF($M1766="",0,IF(($M1766-IFERROR(INDEX(設定!$G$6:$G$21,MATCH($G1766,設定!$B$6:$B$21,0)),0))*60&gt;=設定!$C$44,ROUND(FLOOR(($M1766-IFERROR(INDEX(設定!$G$6:$G$21,MATCH($G1766,設定!$B$6:$B$21,0)),0))*60,設定!$C$45)/60,2),0))</f>
        <v/>
      </c>
      <c r="R1766" s="16">
        <f>IF(OR($C1766="",$Q1766=0),"",IF($G1766="國","國定假日",IF($B1766="日","例假",IF($B1766="六","休息日","平日"))))</f>
        <v/>
      </c>
      <c r="S1766" s="19" t="n"/>
    </row>
    <row r="1767">
      <c r="A1767" s="82">
        <f>IF(OR(助理班表!$A61="",29&gt;DAY(EOMONTH(DATE(設定!$C$2,設定!$D$2,1),0))),"",DATE(設定!$C$2,設定!$D$2,29))</f>
        <v/>
      </c>
      <c r="B1767" s="16">
        <f>IF($A1767="","",INDEX(設定!$O$6:$O$12,WEEKDAY($A1767,1)))</f>
        <v/>
      </c>
      <c r="C1767" s="16">
        <f>IF($A1767="","",助理班表!$A61)</f>
        <v/>
      </c>
      <c r="D1767" s="16">
        <f>IF($C1767="","",助理班表!$B61)</f>
        <v/>
      </c>
      <c r="E1767" s="16">
        <f>IF($C1767="","",助理班表!$D61)</f>
        <v/>
      </c>
      <c r="F1767" s="16">
        <f>IF($C1767="","",助理班表!$C61)</f>
        <v/>
      </c>
      <c r="G1767" s="16">
        <f>IF($C1767="","",助理班表!AG61)</f>
        <v/>
      </c>
      <c r="H1767" s="83">
        <f>IF($G1767="","",IFERROR(IF(INDEX(設定!$D$6:$D$21,MATCH($G1767,設定!$B$6:$B$21,0))=0,"",INDEX(設定!$D$6:$D$21,MATCH($G1767,設定!$B$6:$B$21,0))),""))</f>
        <v/>
      </c>
      <c r="I1767" s="83">
        <f>IF($G1767="","",IFERROR(IF(INDEX(設定!$E$6:$E$21,MATCH($G1767,設定!$B$6:$B$21,0))=0,"",INDEX(設定!$E$6:$E$21,MATCH($G1767,設定!$B$6:$B$21,0))),""))</f>
        <v/>
      </c>
      <c r="J1767" s="83">
        <f>IFERROR(INDEX(打卡匯入!$C$3:$C$2002,MATCH($C1767&amp;"|"&amp;DAY($A1767),打卡匯入!$E$3:$E$2002,0)),"")</f>
        <v/>
      </c>
      <c r="K1767" s="83">
        <f>IFERROR(INDEX(打卡匯入!$D$3:$D$2002,MATCH($C1767&amp;"|"&amp;DAY($A1767),打卡匯入!$E$3:$E$2002,0)),"")</f>
        <v/>
      </c>
      <c r="L1767" s="84">
        <f>IF(OR($J1767="",$K1767=""),"",IFERROR(INDEX(設定!$F$6:$F$21,MATCH($G1767,設定!$B$6:$B$21,0)),0))</f>
        <v/>
      </c>
      <c r="M1767" s="85">
        <f>IF(OR($J1767="",$K1767=""),"",ROUND(($K1767-$J1767)*24-$L1767/60,2))</f>
        <v/>
      </c>
      <c r="N1767" s="16">
        <f>IF($C1767="","",IF(AND(COUNTIF(設定!$B$15:$B$21,$G1767)&gt;0,$J1767&lt;&gt;""),"假日出勤",IF(AND(COUNTIF(設定!$B$6:$B$14,$G1767)&gt;0,$J1767=""),"未打卡",IF($J1767="","",IF($O1767&gt;0,"遲到",IF($P1767&gt;0,"早退","正常"))))))</f>
        <v/>
      </c>
      <c r="O1767" s="84">
        <f>IF(OR($C1767="",$H1767="",$J1767=""),0,IF(ROUND(($J1767-$H1767)*1440,0)&gt;設定!$C$46,ROUND(($J1767-$H1767)*1440,0),0))</f>
        <v/>
      </c>
      <c r="P1767" s="84">
        <f>IF(OR($C1767="",$I1767="",$K1767=""),0,IF(ROUND(($I1767-$K1767)*1440,0)&gt;設定!$C$46,ROUND(($I1767-$K1767)*1440,0),0))</f>
        <v/>
      </c>
      <c r="Q1767" s="85">
        <f>IF($M1767="",0,IF(($M1767-IFERROR(INDEX(設定!$G$6:$G$21,MATCH($G1767,設定!$B$6:$B$21,0)),0))*60&gt;=設定!$C$44,ROUND(FLOOR(($M1767-IFERROR(INDEX(設定!$G$6:$G$21,MATCH($G1767,設定!$B$6:$B$21,0)),0))*60,設定!$C$45)/60,2),0))</f>
        <v/>
      </c>
      <c r="R1767" s="16">
        <f>IF(OR($C1767="",$Q1767=0),"",IF($G1767="國","國定假日",IF($B1767="日","例假",IF($B1767="六","休息日","平日"))))</f>
        <v/>
      </c>
      <c r="S1767" s="19" t="n"/>
    </row>
    <row r="1768">
      <c r="A1768" s="82">
        <f>IF(OR(助理班表!$A61="",30&gt;DAY(EOMONTH(DATE(設定!$C$2,設定!$D$2,1),0))),"",DATE(設定!$C$2,設定!$D$2,30))</f>
        <v/>
      </c>
      <c r="B1768" s="16">
        <f>IF($A1768="","",INDEX(設定!$O$6:$O$12,WEEKDAY($A1768,1)))</f>
        <v/>
      </c>
      <c r="C1768" s="16">
        <f>IF($A1768="","",助理班表!$A61)</f>
        <v/>
      </c>
      <c r="D1768" s="16">
        <f>IF($C1768="","",助理班表!$B61)</f>
        <v/>
      </c>
      <c r="E1768" s="16">
        <f>IF($C1768="","",助理班表!$D61)</f>
        <v/>
      </c>
      <c r="F1768" s="16">
        <f>IF($C1768="","",助理班表!$C61)</f>
        <v/>
      </c>
      <c r="G1768" s="16">
        <f>IF($C1768="","",助理班表!AH61)</f>
        <v/>
      </c>
      <c r="H1768" s="83">
        <f>IF($G1768="","",IFERROR(IF(INDEX(設定!$D$6:$D$21,MATCH($G1768,設定!$B$6:$B$21,0))=0,"",INDEX(設定!$D$6:$D$21,MATCH($G1768,設定!$B$6:$B$21,0))),""))</f>
        <v/>
      </c>
      <c r="I1768" s="83">
        <f>IF($G1768="","",IFERROR(IF(INDEX(設定!$E$6:$E$21,MATCH($G1768,設定!$B$6:$B$21,0))=0,"",INDEX(設定!$E$6:$E$21,MATCH($G1768,設定!$B$6:$B$21,0))),""))</f>
        <v/>
      </c>
      <c r="J1768" s="83">
        <f>IFERROR(INDEX(打卡匯入!$C$3:$C$2002,MATCH($C1768&amp;"|"&amp;DAY($A1768),打卡匯入!$E$3:$E$2002,0)),"")</f>
        <v/>
      </c>
      <c r="K1768" s="83">
        <f>IFERROR(INDEX(打卡匯入!$D$3:$D$2002,MATCH($C1768&amp;"|"&amp;DAY($A1768),打卡匯入!$E$3:$E$2002,0)),"")</f>
        <v/>
      </c>
      <c r="L1768" s="84">
        <f>IF(OR($J1768="",$K1768=""),"",IFERROR(INDEX(設定!$F$6:$F$21,MATCH($G1768,設定!$B$6:$B$21,0)),0))</f>
        <v/>
      </c>
      <c r="M1768" s="85">
        <f>IF(OR($J1768="",$K1768=""),"",ROUND(($K1768-$J1768)*24-$L1768/60,2))</f>
        <v/>
      </c>
      <c r="N1768" s="16">
        <f>IF($C1768="","",IF(AND(COUNTIF(設定!$B$15:$B$21,$G1768)&gt;0,$J1768&lt;&gt;""),"假日出勤",IF(AND(COUNTIF(設定!$B$6:$B$14,$G1768)&gt;0,$J1768=""),"未打卡",IF($J1768="","",IF($O1768&gt;0,"遲到",IF($P1768&gt;0,"早退","正常"))))))</f>
        <v/>
      </c>
      <c r="O1768" s="84">
        <f>IF(OR($C1768="",$H1768="",$J1768=""),0,IF(ROUND(($J1768-$H1768)*1440,0)&gt;設定!$C$46,ROUND(($J1768-$H1768)*1440,0),0))</f>
        <v/>
      </c>
      <c r="P1768" s="84">
        <f>IF(OR($C1768="",$I1768="",$K1768=""),0,IF(ROUND(($I1768-$K1768)*1440,0)&gt;設定!$C$46,ROUND(($I1768-$K1768)*1440,0),0))</f>
        <v/>
      </c>
      <c r="Q1768" s="85">
        <f>IF($M1768="",0,IF(($M1768-IFERROR(INDEX(設定!$G$6:$G$21,MATCH($G1768,設定!$B$6:$B$21,0)),0))*60&gt;=設定!$C$44,ROUND(FLOOR(($M1768-IFERROR(INDEX(設定!$G$6:$G$21,MATCH($G1768,設定!$B$6:$B$21,0)),0))*60,設定!$C$45)/60,2),0))</f>
        <v/>
      </c>
      <c r="R1768" s="16">
        <f>IF(OR($C1768="",$Q1768=0),"",IF($G1768="國","國定假日",IF($B1768="日","例假",IF($B1768="六","休息日","平日"))))</f>
        <v/>
      </c>
      <c r="S1768" s="19" t="n"/>
    </row>
    <row r="1769">
      <c r="A1769" s="82">
        <f>IF(OR(助理班表!$A61="",31&gt;DAY(EOMONTH(DATE(設定!$C$2,設定!$D$2,1),0))),"",DATE(設定!$C$2,設定!$D$2,31))</f>
        <v/>
      </c>
      <c r="B1769" s="16">
        <f>IF($A1769="","",INDEX(設定!$O$6:$O$12,WEEKDAY($A1769,1)))</f>
        <v/>
      </c>
      <c r="C1769" s="16">
        <f>IF($A1769="","",助理班表!$A61)</f>
        <v/>
      </c>
      <c r="D1769" s="16">
        <f>IF($C1769="","",助理班表!$B61)</f>
        <v/>
      </c>
      <c r="E1769" s="16">
        <f>IF($C1769="","",助理班表!$D61)</f>
        <v/>
      </c>
      <c r="F1769" s="16">
        <f>IF($C1769="","",助理班表!$C61)</f>
        <v/>
      </c>
      <c r="G1769" s="16">
        <f>IF($C1769="","",助理班表!AI61)</f>
        <v/>
      </c>
      <c r="H1769" s="83">
        <f>IF($G1769="","",IFERROR(IF(INDEX(設定!$D$6:$D$21,MATCH($G1769,設定!$B$6:$B$21,0))=0,"",INDEX(設定!$D$6:$D$21,MATCH($G1769,設定!$B$6:$B$21,0))),""))</f>
        <v/>
      </c>
      <c r="I1769" s="83">
        <f>IF($G1769="","",IFERROR(IF(INDEX(設定!$E$6:$E$21,MATCH($G1769,設定!$B$6:$B$21,0))=0,"",INDEX(設定!$E$6:$E$21,MATCH($G1769,設定!$B$6:$B$21,0))),""))</f>
        <v/>
      </c>
      <c r="J1769" s="83">
        <f>IFERROR(INDEX(打卡匯入!$C$3:$C$2002,MATCH($C1769&amp;"|"&amp;DAY($A1769),打卡匯入!$E$3:$E$2002,0)),"")</f>
        <v/>
      </c>
      <c r="K1769" s="83">
        <f>IFERROR(INDEX(打卡匯入!$D$3:$D$2002,MATCH($C1769&amp;"|"&amp;DAY($A1769),打卡匯入!$E$3:$E$2002,0)),"")</f>
        <v/>
      </c>
      <c r="L1769" s="84">
        <f>IF(OR($J1769="",$K1769=""),"",IFERROR(INDEX(設定!$F$6:$F$21,MATCH($G1769,設定!$B$6:$B$21,0)),0))</f>
        <v/>
      </c>
      <c r="M1769" s="85">
        <f>IF(OR($J1769="",$K1769=""),"",ROUND(($K1769-$J1769)*24-$L1769/60,2))</f>
        <v/>
      </c>
      <c r="N1769" s="16">
        <f>IF($C1769="","",IF(AND(COUNTIF(設定!$B$15:$B$21,$G1769)&gt;0,$J1769&lt;&gt;""),"假日出勤",IF(AND(COUNTIF(設定!$B$6:$B$14,$G1769)&gt;0,$J1769=""),"未打卡",IF($J1769="","",IF($O1769&gt;0,"遲到",IF($P1769&gt;0,"早退","正常"))))))</f>
        <v/>
      </c>
      <c r="O1769" s="84">
        <f>IF(OR($C1769="",$H1769="",$J1769=""),0,IF(ROUND(($J1769-$H1769)*1440,0)&gt;設定!$C$46,ROUND(($J1769-$H1769)*1440,0),0))</f>
        <v/>
      </c>
      <c r="P1769" s="84">
        <f>IF(OR($C1769="",$I1769="",$K1769=""),0,IF(ROUND(($I1769-$K1769)*1440,0)&gt;設定!$C$46,ROUND(($I1769-$K1769)*1440,0),0))</f>
        <v/>
      </c>
      <c r="Q1769" s="85">
        <f>IF($M1769="",0,IF(($M1769-IFERROR(INDEX(設定!$G$6:$G$21,MATCH($G1769,設定!$B$6:$B$21,0)),0))*60&gt;=設定!$C$44,ROUND(FLOOR(($M1769-IFERROR(INDEX(設定!$G$6:$G$21,MATCH($G1769,設定!$B$6:$B$21,0)),0))*60,設定!$C$45)/60,2),0))</f>
        <v/>
      </c>
      <c r="R1769" s="16">
        <f>IF(OR($C1769="",$Q1769=0),"",IF($G1769="國","國定假日",IF($B1769="日","例假",IF($B1769="六","休息日","平日"))))</f>
        <v/>
      </c>
      <c r="S1769" s="19" t="n"/>
    </row>
    <row r="1770">
      <c r="A1770" s="82">
        <f>IF(OR(助理班表!$A62="",1&gt;DAY(EOMONTH(DATE(設定!$C$2,設定!$D$2,1),0))),"",DATE(設定!$C$2,設定!$D$2,1))</f>
        <v/>
      </c>
      <c r="B1770" s="16">
        <f>IF($A1770="","",INDEX(設定!$O$6:$O$12,WEEKDAY($A1770,1)))</f>
        <v/>
      </c>
      <c r="C1770" s="16">
        <f>IF($A1770="","",助理班表!$A62)</f>
        <v/>
      </c>
      <c r="D1770" s="16">
        <f>IF($C1770="","",助理班表!$B62)</f>
        <v/>
      </c>
      <c r="E1770" s="16">
        <f>IF($C1770="","",助理班表!$D62)</f>
        <v/>
      </c>
      <c r="F1770" s="16">
        <f>IF($C1770="","",助理班表!$C62)</f>
        <v/>
      </c>
      <c r="G1770" s="16">
        <f>IF($C1770="","",助理班表!E62)</f>
        <v/>
      </c>
      <c r="H1770" s="83">
        <f>IF($G1770="","",IFERROR(IF(INDEX(設定!$D$6:$D$21,MATCH($G1770,設定!$B$6:$B$21,0))=0,"",INDEX(設定!$D$6:$D$21,MATCH($G1770,設定!$B$6:$B$21,0))),""))</f>
        <v/>
      </c>
      <c r="I1770" s="83">
        <f>IF($G1770="","",IFERROR(IF(INDEX(設定!$E$6:$E$21,MATCH($G1770,設定!$B$6:$B$21,0))=0,"",INDEX(設定!$E$6:$E$21,MATCH($G1770,設定!$B$6:$B$21,0))),""))</f>
        <v/>
      </c>
      <c r="J1770" s="83">
        <f>IFERROR(INDEX(打卡匯入!$C$3:$C$2002,MATCH($C1770&amp;"|"&amp;DAY($A1770),打卡匯入!$E$3:$E$2002,0)),"")</f>
        <v/>
      </c>
      <c r="K1770" s="83">
        <f>IFERROR(INDEX(打卡匯入!$D$3:$D$2002,MATCH($C1770&amp;"|"&amp;DAY($A1770),打卡匯入!$E$3:$E$2002,0)),"")</f>
        <v/>
      </c>
      <c r="L1770" s="84">
        <f>IF(OR($J1770="",$K1770=""),"",IFERROR(INDEX(設定!$F$6:$F$21,MATCH($G1770,設定!$B$6:$B$21,0)),0))</f>
        <v/>
      </c>
      <c r="M1770" s="85">
        <f>IF(OR($J1770="",$K1770=""),"",ROUND(($K1770-$J1770)*24-$L1770/60,2))</f>
        <v/>
      </c>
      <c r="N1770" s="16">
        <f>IF($C1770="","",IF(AND(COUNTIF(設定!$B$15:$B$21,$G1770)&gt;0,$J1770&lt;&gt;""),"假日出勤",IF(AND(COUNTIF(設定!$B$6:$B$14,$G1770)&gt;0,$J1770=""),"未打卡",IF($J1770="","",IF($O1770&gt;0,"遲到",IF($P1770&gt;0,"早退","正常"))))))</f>
        <v/>
      </c>
      <c r="O1770" s="84">
        <f>IF(OR($C1770="",$H1770="",$J1770=""),0,IF(ROUND(($J1770-$H1770)*1440,0)&gt;設定!$C$46,ROUND(($J1770-$H1770)*1440,0),0))</f>
        <v/>
      </c>
      <c r="P1770" s="84">
        <f>IF(OR($C1770="",$I1770="",$K1770=""),0,IF(ROUND(($I1770-$K1770)*1440,0)&gt;設定!$C$46,ROUND(($I1770-$K1770)*1440,0),0))</f>
        <v/>
      </c>
      <c r="Q1770" s="85">
        <f>IF($M1770="",0,IF(($M1770-IFERROR(INDEX(設定!$G$6:$G$21,MATCH($G1770,設定!$B$6:$B$21,0)),0))*60&gt;=設定!$C$44,ROUND(FLOOR(($M1770-IFERROR(INDEX(設定!$G$6:$G$21,MATCH($G1770,設定!$B$6:$B$21,0)),0))*60,設定!$C$45)/60,2),0))</f>
        <v/>
      </c>
      <c r="R1770" s="16">
        <f>IF(OR($C1770="",$Q1770=0),"",IF($G1770="國","國定假日",IF($B1770="日","例假",IF($B1770="六","休息日","平日"))))</f>
        <v/>
      </c>
      <c r="S1770" s="19" t="n"/>
    </row>
    <row r="1771">
      <c r="A1771" s="82">
        <f>IF(OR(助理班表!$A62="",2&gt;DAY(EOMONTH(DATE(設定!$C$2,設定!$D$2,1),0))),"",DATE(設定!$C$2,設定!$D$2,2))</f>
        <v/>
      </c>
      <c r="B1771" s="16">
        <f>IF($A1771="","",INDEX(設定!$O$6:$O$12,WEEKDAY($A1771,1)))</f>
        <v/>
      </c>
      <c r="C1771" s="16">
        <f>IF($A1771="","",助理班表!$A62)</f>
        <v/>
      </c>
      <c r="D1771" s="16">
        <f>IF($C1771="","",助理班表!$B62)</f>
        <v/>
      </c>
      <c r="E1771" s="16">
        <f>IF($C1771="","",助理班表!$D62)</f>
        <v/>
      </c>
      <c r="F1771" s="16">
        <f>IF($C1771="","",助理班表!$C62)</f>
        <v/>
      </c>
      <c r="G1771" s="16">
        <f>IF($C1771="","",助理班表!F62)</f>
        <v/>
      </c>
      <c r="H1771" s="83">
        <f>IF($G1771="","",IFERROR(IF(INDEX(設定!$D$6:$D$21,MATCH($G1771,設定!$B$6:$B$21,0))=0,"",INDEX(設定!$D$6:$D$21,MATCH($G1771,設定!$B$6:$B$21,0))),""))</f>
        <v/>
      </c>
      <c r="I1771" s="83">
        <f>IF($G1771="","",IFERROR(IF(INDEX(設定!$E$6:$E$21,MATCH($G1771,設定!$B$6:$B$21,0))=0,"",INDEX(設定!$E$6:$E$21,MATCH($G1771,設定!$B$6:$B$21,0))),""))</f>
        <v/>
      </c>
      <c r="J1771" s="83">
        <f>IFERROR(INDEX(打卡匯入!$C$3:$C$2002,MATCH($C1771&amp;"|"&amp;DAY($A1771),打卡匯入!$E$3:$E$2002,0)),"")</f>
        <v/>
      </c>
      <c r="K1771" s="83">
        <f>IFERROR(INDEX(打卡匯入!$D$3:$D$2002,MATCH($C1771&amp;"|"&amp;DAY($A1771),打卡匯入!$E$3:$E$2002,0)),"")</f>
        <v/>
      </c>
      <c r="L1771" s="84">
        <f>IF(OR($J1771="",$K1771=""),"",IFERROR(INDEX(設定!$F$6:$F$21,MATCH($G1771,設定!$B$6:$B$21,0)),0))</f>
        <v/>
      </c>
      <c r="M1771" s="85">
        <f>IF(OR($J1771="",$K1771=""),"",ROUND(($K1771-$J1771)*24-$L1771/60,2))</f>
        <v/>
      </c>
      <c r="N1771" s="16">
        <f>IF($C1771="","",IF(AND(COUNTIF(設定!$B$15:$B$21,$G1771)&gt;0,$J1771&lt;&gt;""),"假日出勤",IF(AND(COUNTIF(設定!$B$6:$B$14,$G1771)&gt;0,$J1771=""),"未打卡",IF($J1771="","",IF($O1771&gt;0,"遲到",IF($P1771&gt;0,"早退","正常"))))))</f>
        <v/>
      </c>
      <c r="O1771" s="84">
        <f>IF(OR($C1771="",$H1771="",$J1771=""),0,IF(ROUND(($J1771-$H1771)*1440,0)&gt;設定!$C$46,ROUND(($J1771-$H1771)*1440,0),0))</f>
        <v/>
      </c>
      <c r="P1771" s="84">
        <f>IF(OR($C1771="",$I1771="",$K1771=""),0,IF(ROUND(($I1771-$K1771)*1440,0)&gt;設定!$C$46,ROUND(($I1771-$K1771)*1440,0),0))</f>
        <v/>
      </c>
      <c r="Q1771" s="85">
        <f>IF($M1771="",0,IF(($M1771-IFERROR(INDEX(設定!$G$6:$G$21,MATCH($G1771,設定!$B$6:$B$21,0)),0))*60&gt;=設定!$C$44,ROUND(FLOOR(($M1771-IFERROR(INDEX(設定!$G$6:$G$21,MATCH($G1771,設定!$B$6:$B$21,0)),0))*60,設定!$C$45)/60,2),0))</f>
        <v/>
      </c>
      <c r="R1771" s="16">
        <f>IF(OR($C1771="",$Q1771=0),"",IF($G1771="國","國定假日",IF($B1771="日","例假",IF($B1771="六","休息日","平日"))))</f>
        <v/>
      </c>
      <c r="S1771" s="19" t="n"/>
    </row>
    <row r="1772">
      <c r="A1772" s="82">
        <f>IF(OR(助理班表!$A62="",3&gt;DAY(EOMONTH(DATE(設定!$C$2,設定!$D$2,1),0))),"",DATE(設定!$C$2,設定!$D$2,3))</f>
        <v/>
      </c>
      <c r="B1772" s="16">
        <f>IF($A1772="","",INDEX(設定!$O$6:$O$12,WEEKDAY($A1772,1)))</f>
        <v/>
      </c>
      <c r="C1772" s="16">
        <f>IF($A1772="","",助理班表!$A62)</f>
        <v/>
      </c>
      <c r="D1772" s="16">
        <f>IF($C1772="","",助理班表!$B62)</f>
        <v/>
      </c>
      <c r="E1772" s="16">
        <f>IF($C1772="","",助理班表!$D62)</f>
        <v/>
      </c>
      <c r="F1772" s="16">
        <f>IF($C1772="","",助理班表!$C62)</f>
        <v/>
      </c>
      <c r="G1772" s="16">
        <f>IF($C1772="","",助理班表!G62)</f>
        <v/>
      </c>
      <c r="H1772" s="83">
        <f>IF($G1772="","",IFERROR(IF(INDEX(設定!$D$6:$D$21,MATCH($G1772,設定!$B$6:$B$21,0))=0,"",INDEX(設定!$D$6:$D$21,MATCH($G1772,設定!$B$6:$B$21,0))),""))</f>
        <v/>
      </c>
      <c r="I1772" s="83">
        <f>IF($G1772="","",IFERROR(IF(INDEX(設定!$E$6:$E$21,MATCH($G1772,設定!$B$6:$B$21,0))=0,"",INDEX(設定!$E$6:$E$21,MATCH($G1772,設定!$B$6:$B$21,0))),""))</f>
        <v/>
      </c>
      <c r="J1772" s="83">
        <f>IFERROR(INDEX(打卡匯入!$C$3:$C$2002,MATCH($C1772&amp;"|"&amp;DAY($A1772),打卡匯入!$E$3:$E$2002,0)),"")</f>
        <v/>
      </c>
      <c r="K1772" s="83">
        <f>IFERROR(INDEX(打卡匯入!$D$3:$D$2002,MATCH($C1772&amp;"|"&amp;DAY($A1772),打卡匯入!$E$3:$E$2002,0)),"")</f>
        <v/>
      </c>
      <c r="L1772" s="84">
        <f>IF(OR($J1772="",$K1772=""),"",IFERROR(INDEX(設定!$F$6:$F$21,MATCH($G1772,設定!$B$6:$B$21,0)),0))</f>
        <v/>
      </c>
      <c r="M1772" s="85">
        <f>IF(OR($J1772="",$K1772=""),"",ROUND(($K1772-$J1772)*24-$L1772/60,2))</f>
        <v/>
      </c>
      <c r="N1772" s="16">
        <f>IF($C1772="","",IF(AND(COUNTIF(設定!$B$15:$B$21,$G1772)&gt;0,$J1772&lt;&gt;""),"假日出勤",IF(AND(COUNTIF(設定!$B$6:$B$14,$G1772)&gt;0,$J1772=""),"未打卡",IF($J1772="","",IF($O1772&gt;0,"遲到",IF($P1772&gt;0,"早退","正常"))))))</f>
        <v/>
      </c>
      <c r="O1772" s="84">
        <f>IF(OR($C1772="",$H1772="",$J1772=""),0,IF(ROUND(($J1772-$H1772)*1440,0)&gt;設定!$C$46,ROUND(($J1772-$H1772)*1440,0),0))</f>
        <v/>
      </c>
      <c r="P1772" s="84">
        <f>IF(OR($C1772="",$I1772="",$K1772=""),0,IF(ROUND(($I1772-$K1772)*1440,0)&gt;設定!$C$46,ROUND(($I1772-$K1772)*1440,0),0))</f>
        <v/>
      </c>
      <c r="Q1772" s="85">
        <f>IF($M1772="",0,IF(($M1772-IFERROR(INDEX(設定!$G$6:$G$21,MATCH($G1772,設定!$B$6:$B$21,0)),0))*60&gt;=設定!$C$44,ROUND(FLOOR(($M1772-IFERROR(INDEX(設定!$G$6:$G$21,MATCH($G1772,設定!$B$6:$B$21,0)),0))*60,設定!$C$45)/60,2),0))</f>
        <v/>
      </c>
      <c r="R1772" s="16">
        <f>IF(OR($C1772="",$Q1772=0),"",IF($G1772="國","國定假日",IF($B1772="日","例假",IF($B1772="六","休息日","平日"))))</f>
        <v/>
      </c>
      <c r="S1772" s="19" t="n"/>
    </row>
    <row r="1773">
      <c r="A1773" s="82">
        <f>IF(OR(助理班表!$A62="",4&gt;DAY(EOMONTH(DATE(設定!$C$2,設定!$D$2,1),0))),"",DATE(設定!$C$2,設定!$D$2,4))</f>
        <v/>
      </c>
      <c r="B1773" s="16">
        <f>IF($A1773="","",INDEX(設定!$O$6:$O$12,WEEKDAY($A1773,1)))</f>
        <v/>
      </c>
      <c r="C1773" s="16">
        <f>IF($A1773="","",助理班表!$A62)</f>
        <v/>
      </c>
      <c r="D1773" s="16">
        <f>IF($C1773="","",助理班表!$B62)</f>
        <v/>
      </c>
      <c r="E1773" s="16">
        <f>IF($C1773="","",助理班表!$D62)</f>
        <v/>
      </c>
      <c r="F1773" s="16">
        <f>IF($C1773="","",助理班表!$C62)</f>
        <v/>
      </c>
      <c r="G1773" s="16">
        <f>IF($C1773="","",助理班表!H62)</f>
        <v/>
      </c>
      <c r="H1773" s="83">
        <f>IF($G1773="","",IFERROR(IF(INDEX(設定!$D$6:$D$21,MATCH($G1773,設定!$B$6:$B$21,0))=0,"",INDEX(設定!$D$6:$D$21,MATCH($G1773,設定!$B$6:$B$21,0))),""))</f>
        <v/>
      </c>
      <c r="I1773" s="83">
        <f>IF($G1773="","",IFERROR(IF(INDEX(設定!$E$6:$E$21,MATCH($G1773,設定!$B$6:$B$21,0))=0,"",INDEX(設定!$E$6:$E$21,MATCH($G1773,設定!$B$6:$B$21,0))),""))</f>
        <v/>
      </c>
      <c r="J1773" s="83">
        <f>IFERROR(INDEX(打卡匯入!$C$3:$C$2002,MATCH($C1773&amp;"|"&amp;DAY($A1773),打卡匯入!$E$3:$E$2002,0)),"")</f>
        <v/>
      </c>
      <c r="K1773" s="83">
        <f>IFERROR(INDEX(打卡匯入!$D$3:$D$2002,MATCH($C1773&amp;"|"&amp;DAY($A1773),打卡匯入!$E$3:$E$2002,0)),"")</f>
        <v/>
      </c>
      <c r="L1773" s="84">
        <f>IF(OR($J1773="",$K1773=""),"",IFERROR(INDEX(設定!$F$6:$F$21,MATCH($G1773,設定!$B$6:$B$21,0)),0))</f>
        <v/>
      </c>
      <c r="M1773" s="85">
        <f>IF(OR($J1773="",$K1773=""),"",ROUND(($K1773-$J1773)*24-$L1773/60,2))</f>
        <v/>
      </c>
      <c r="N1773" s="16">
        <f>IF($C1773="","",IF(AND(COUNTIF(設定!$B$15:$B$21,$G1773)&gt;0,$J1773&lt;&gt;""),"假日出勤",IF(AND(COUNTIF(設定!$B$6:$B$14,$G1773)&gt;0,$J1773=""),"未打卡",IF($J1773="","",IF($O1773&gt;0,"遲到",IF($P1773&gt;0,"早退","正常"))))))</f>
        <v/>
      </c>
      <c r="O1773" s="84">
        <f>IF(OR($C1773="",$H1773="",$J1773=""),0,IF(ROUND(($J1773-$H1773)*1440,0)&gt;設定!$C$46,ROUND(($J1773-$H1773)*1440,0),0))</f>
        <v/>
      </c>
      <c r="P1773" s="84">
        <f>IF(OR($C1773="",$I1773="",$K1773=""),0,IF(ROUND(($I1773-$K1773)*1440,0)&gt;設定!$C$46,ROUND(($I1773-$K1773)*1440,0),0))</f>
        <v/>
      </c>
      <c r="Q1773" s="85">
        <f>IF($M1773="",0,IF(($M1773-IFERROR(INDEX(設定!$G$6:$G$21,MATCH($G1773,設定!$B$6:$B$21,0)),0))*60&gt;=設定!$C$44,ROUND(FLOOR(($M1773-IFERROR(INDEX(設定!$G$6:$G$21,MATCH($G1773,設定!$B$6:$B$21,0)),0))*60,設定!$C$45)/60,2),0))</f>
        <v/>
      </c>
      <c r="R1773" s="16">
        <f>IF(OR($C1773="",$Q1773=0),"",IF($G1773="國","國定假日",IF($B1773="日","例假",IF($B1773="六","休息日","平日"))))</f>
        <v/>
      </c>
      <c r="S1773" s="19" t="n"/>
    </row>
    <row r="1774">
      <c r="A1774" s="82">
        <f>IF(OR(助理班表!$A62="",5&gt;DAY(EOMONTH(DATE(設定!$C$2,設定!$D$2,1),0))),"",DATE(設定!$C$2,設定!$D$2,5))</f>
        <v/>
      </c>
      <c r="B1774" s="16">
        <f>IF($A1774="","",INDEX(設定!$O$6:$O$12,WEEKDAY($A1774,1)))</f>
        <v/>
      </c>
      <c r="C1774" s="16">
        <f>IF($A1774="","",助理班表!$A62)</f>
        <v/>
      </c>
      <c r="D1774" s="16">
        <f>IF($C1774="","",助理班表!$B62)</f>
        <v/>
      </c>
      <c r="E1774" s="16">
        <f>IF($C1774="","",助理班表!$D62)</f>
        <v/>
      </c>
      <c r="F1774" s="16">
        <f>IF($C1774="","",助理班表!$C62)</f>
        <v/>
      </c>
      <c r="G1774" s="16">
        <f>IF($C1774="","",助理班表!I62)</f>
        <v/>
      </c>
      <c r="H1774" s="83">
        <f>IF($G1774="","",IFERROR(IF(INDEX(設定!$D$6:$D$21,MATCH($G1774,設定!$B$6:$B$21,0))=0,"",INDEX(設定!$D$6:$D$21,MATCH($G1774,設定!$B$6:$B$21,0))),""))</f>
        <v/>
      </c>
      <c r="I1774" s="83">
        <f>IF($G1774="","",IFERROR(IF(INDEX(設定!$E$6:$E$21,MATCH($G1774,設定!$B$6:$B$21,0))=0,"",INDEX(設定!$E$6:$E$21,MATCH($G1774,設定!$B$6:$B$21,0))),""))</f>
        <v/>
      </c>
      <c r="J1774" s="83">
        <f>IFERROR(INDEX(打卡匯入!$C$3:$C$2002,MATCH($C1774&amp;"|"&amp;DAY($A1774),打卡匯入!$E$3:$E$2002,0)),"")</f>
        <v/>
      </c>
      <c r="K1774" s="83">
        <f>IFERROR(INDEX(打卡匯入!$D$3:$D$2002,MATCH($C1774&amp;"|"&amp;DAY($A1774),打卡匯入!$E$3:$E$2002,0)),"")</f>
        <v/>
      </c>
      <c r="L1774" s="84">
        <f>IF(OR($J1774="",$K1774=""),"",IFERROR(INDEX(設定!$F$6:$F$21,MATCH($G1774,設定!$B$6:$B$21,0)),0))</f>
        <v/>
      </c>
      <c r="M1774" s="85">
        <f>IF(OR($J1774="",$K1774=""),"",ROUND(($K1774-$J1774)*24-$L1774/60,2))</f>
        <v/>
      </c>
      <c r="N1774" s="16">
        <f>IF($C1774="","",IF(AND(COUNTIF(設定!$B$15:$B$21,$G1774)&gt;0,$J1774&lt;&gt;""),"假日出勤",IF(AND(COUNTIF(設定!$B$6:$B$14,$G1774)&gt;0,$J1774=""),"未打卡",IF($J1774="","",IF($O1774&gt;0,"遲到",IF($P1774&gt;0,"早退","正常"))))))</f>
        <v/>
      </c>
      <c r="O1774" s="84">
        <f>IF(OR($C1774="",$H1774="",$J1774=""),0,IF(ROUND(($J1774-$H1774)*1440,0)&gt;設定!$C$46,ROUND(($J1774-$H1774)*1440,0),0))</f>
        <v/>
      </c>
      <c r="P1774" s="84">
        <f>IF(OR($C1774="",$I1774="",$K1774=""),0,IF(ROUND(($I1774-$K1774)*1440,0)&gt;設定!$C$46,ROUND(($I1774-$K1774)*1440,0),0))</f>
        <v/>
      </c>
      <c r="Q1774" s="85">
        <f>IF($M1774="",0,IF(($M1774-IFERROR(INDEX(設定!$G$6:$G$21,MATCH($G1774,設定!$B$6:$B$21,0)),0))*60&gt;=設定!$C$44,ROUND(FLOOR(($M1774-IFERROR(INDEX(設定!$G$6:$G$21,MATCH($G1774,設定!$B$6:$B$21,0)),0))*60,設定!$C$45)/60,2),0))</f>
        <v/>
      </c>
      <c r="R1774" s="16">
        <f>IF(OR($C1774="",$Q1774=0),"",IF($G1774="國","國定假日",IF($B1774="日","例假",IF($B1774="六","休息日","平日"))))</f>
        <v/>
      </c>
      <c r="S1774" s="19" t="n"/>
    </row>
    <row r="1775">
      <c r="A1775" s="82">
        <f>IF(OR(助理班表!$A62="",6&gt;DAY(EOMONTH(DATE(設定!$C$2,設定!$D$2,1),0))),"",DATE(設定!$C$2,設定!$D$2,6))</f>
        <v/>
      </c>
      <c r="B1775" s="16">
        <f>IF($A1775="","",INDEX(設定!$O$6:$O$12,WEEKDAY($A1775,1)))</f>
        <v/>
      </c>
      <c r="C1775" s="16">
        <f>IF($A1775="","",助理班表!$A62)</f>
        <v/>
      </c>
      <c r="D1775" s="16">
        <f>IF($C1775="","",助理班表!$B62)</f>
        <v/>
      </c>
      <c r="E1775" s="16">
        <f>IF($C1775="","",助理班表!$D62)</f>
        <v/>
      </c>
      <c r="F1775" s="16">
        <f>IF($C1775="","",助理班表!$C62)</f>
        <v/>
      </c>
      <c r="G1775" s="16">
        <f>IF($C1775="","",助理班表!J62)</f>
        <v/>
      </c>
      <c r="H1775" s="83">
        <f>IF($G1775="","",IFERROR(IF(INDEX(設定!$D$6:$D$21,MATCH($G1775,設定!$B$6:$B$21,0))=0,"",INDEX(設定!$D$6:$D$21,MATCH($G1775,設定!$B$6:$B$21,0))),""))</f>
        <v/>
      </c>
      <c r="I1775" s="83">
        <f>IF($G1775="","",IFERROR(IF(INDEX(設定!$E$6:$E$21,MATCH($G1775,設定!$B$6:$B$21,0))=0,"",INDEX(設定!$E$6:$E$21,MATCH($G1775,設定!$B$6:$B$21,0))),""))</f>
        <v/>
      </c>
      <c r="J1775" s="83">
        <f>IFERROR(INDEX(打卡匯入!$C$3:$C$2002,MATCH($C1775&amp;"|"&amp;DAY($A1775),打卡匯入!$E$3:$E$2002,0)),"")</f>
        <v/>
      </c>
      <c r="K1775" s="83">
        <f>IFERROR(INDEX(打卡匯入!$D$3:$D$2002,MATCH($C1775&amp;"|"&amp;DAY($A1775),打卡匯入!$E$3:$E$2002,0)),"")</f>
        <v/>
      </c>
      <c r="L1775" s="84">
        <f>IF(OR($J1775="",$K1775=""),"",IFERROR(INDEX(設定!$F$6:$F$21,MATCH($G1775,設定!$B$6:$B$21,0)),0))</f>
        <v/>
      </c>
      <c r="M1775" s="85">
        <f>IF(OR($J1775="",$K1775=""),"",ROUND(($K1775-$J1775)*24-$L1775/60,2))</f>
        <v/>
      </c>
      <c r="N1775" s="16">
        <f>IF($C1775="","",IF(AND(COUNTIF(設定!$B$15:$B$21,$G1775)&gt;0,$J1775&lt;&gt;""),"假日出勤",IF(AND(COUNTIF(設定!$B$6:$B$14,$G1775)&gt;0,$J1775=""),"未打卡",IF($J1775="","",IF($O1775&gt;0,"遲到",IF($P1775&gt;0,"早退","正常"))))))</f>
        <v/>
      </c>
      <c r="O1775" s="84">
        <f>IF(OR($C1775="",$H1775="",$J1775=""),0,IF(ROUND(($J1775-$H1775)*1440,0)&gt;設定!$C$46,ROUND(($J1775-$H1775)*1440,0),0))</f>
        <v/>
      </c>
      <c r="P1775" s="84">
        <f>IF(OR($C1775="",$I1775="",$K1775=""),0,IF(ROUND(($I1775-$K1775)*1440,0)&gt;設定!$C$46,ROUND(($I1775-$K1775)*1440,0),0))</f>
        <v/>
      </c>
      <c r="Q1775" s="85">
        <f>IF($M1775="",0,IF(($M1775-IFERROR(INDEX(設定!$G$6:$G$21,MATCH($G1775,設定!$B$6:$B$21,0)),0))*60&gt;=設定!$C$44,ROUND(FLOOR(($M1775-IFERROR(INDEX(設定!$G$6:$G$21,MATCH($G1775,設定!$B$6:$B$21,0)),0))*60,設定!$C$45)/60,2),0))</f>
        <v/>
      </c>
      <c r="R1775" s="16">
        <f>IF(OR($C1775="",$Q1775=0),"",IF($G1775="國","國定假日",IF($B1775="日","例假",IF($B1775="六","休息日","平日"))))</f>
        <v/>
      </c>
      <c r="S1775" s="19" t="n"/>
    </row>
    <row r="1776">
      <c r="A1776" s="82">
        <f>IF(OR(助理班表!$A62="",7&gt;DAY(EOMONTH(DATE(設定!$C$2,設定!$D$2,1),0))),"",DATE(設定!$C$2,設定!$D$2,7))</f>
        <v/>
      </c>
      <c r="B1776" s="16">
        <f>IF($A1776="","",INDEX(設定!$O$6:$O$12,WEEKDAY($A1776,1)))</f>
        <v/>
      </c>
      <c r="C1776" s="16">
        <f>IF($A1776="","",助理班表!$A62)</f>
        <v/>
      </c>
      <c r="D1776" s="16">
        <f>IF($C1776="","",助理班表!$B62)</f>
        <v/>
      </c>
      <c r="E1776" s="16">
        <f>IF($C1776="","",助理班表!$D62)</f>
        <v/>
      </c>
      <c r="F1776" s="16">
        <f>IF($C1776="","",助理班表!$C62)</f>
        <v/>
      </c>
      <c r="G1776" s="16">
        <f>IF($C1776="","",助理班表!K62)</f>
        <v/>
      </c>
      <c r="H1776" s="83">
        <f>IF($G1776="","",IFERROR(IF(INDEX(設定!$D$6:$D$21,MATCH($G1776,設定!$B$6:$B$21,0))=0,"",INDEX(設定!$D$6:$D$21,MATCH($G1776,設定!$B$6:$B$21,0))),""))</f>
        <v/>
      </c>
      <c r="I1776" s="83">
        <f>IF($G1776="","",IFERROR(IF(INDEX(設定!$E$6:$E$21,MATCH($G1776,設定!$B$6:$B$21,0))=0,"",INDEX(設定!$E$6:$E$21,MATCH($G1776,設定!$B$6:$B$21,0))),""))</f>
        <v/>
      </c>
      <c r="J1776" s="83">
        <f>IFERROR(INDEX(打卡匯入!$C$3:$C$2002,MATCH($C1776&amp;"|"&amp;DAY($A1776),打卡匯入!$E$3:$E$2002,0)),"")</f>
        <v/>
      </c>
      <c r="K1776" s="83">
        <f>IFERROR(INDEX(打卡匯入!$D$3:$D$2002,MATCH($C1776&amp;"|"&amp;DAY($A1776),打卡匯入!$E$3:$E$2002,0)),"")</f>
        <v/>
      </c>
      <c r="L1776" s="84">
        <f>IF(OR($J1776="",$K1776=""),"",IFERROR(INDEX(設定!$F$6:$F$21,MATCH($G1776,設定!$B$6:$B$21,0)),0))</f>
        <v/>
      </c>
      <c r="M1776" s="85">
        <f>IF(OR($J1776="",$K1776=""),"",ROUND(($K1776-$J1776)*24-$L1776/60,2))</f>
        <v/>
      </c>
      <c r="N1776" s="16">
        <f>IF($C1776="","",IF(AND(COUNTIF(設定!$B$15:$B$21,$G1776)&gt;0,$J1776&lt;&gt;""),"假日出勤",IF(AND(COUNTIF(設定!$B$6:$B$14,$G1776)&gt;0,$J1776=""),"未打卡",IF($J1776="","",IF($O1776&gt;0,"遲到",IF($P1776&gt;0,"早退","正常"))))))</f>
        <v/>
      </c>
      <c r="O1776" s="84">
        <f>IF(OR($C1776="",$H1776="",$J1776=""),0,IF(ROUND(($J1776-$H1776)*1440,0)&gt;設定!$C$46,ROUND(($J1776-$H1776)*1440,0),0))</f>
        <v/>
      </c>
      <c r="P1776" s="84">
        <f>IF(OR($C1776="",$I1776="",$K1776=""),0,IF(ROUND(($I1776-$K1776)*1440,0)&gt;設定!$C$46,ROUND(($I1776-$K1776)*1440,0),0))</f>
        <v/>
      </c>
      <c r="Q1776" s="85">
        <f>IF($M1776="",0,IF(($M1776-IFERROR(INDEX(設定!$G$6:$G$21,MATCH($G1776,設定!$B$6:$B$21,0)),0))*60&gt;=設定!$C$44,ROUND(FLOOR(($M1776-IFERROR(INDEX(設定!$G$6:$G$21,MATCH($G1776,設定!$B$6:$B$21,0)),0))*60,設定!$C$45)/60,2),0))</f>
        <v/>
      </c>
      <c r="R1776" s="16">
        <f>IF(OR($C1776="",$Q1776=0),"",IF($G1776="國","國定假日",IF($B1776="日","例假",IF($B1776="六","休息日","平日"))))</f>
        <v/>
      </c>
      <c r="S1776" s="19" t="n"/>
    </row>
    <row r="1777">
      <c r="A1777" s="82">
        <f>IF(OR(助理班表!$A62="",8&gt;DAY(EOMONTH(DATE(設定!$C$2,設定!$D$2,1),0))),"",DATE(設定!$C$2,設定!$D$2,8))</f>
        <v/>
      </c>
      <c r="B1777" s="16">
        <f>IF($A1777="","",INDEX(設定!$O$6:$O$12,WEEKDAY($A1777,1)))</f>
        <v/>
      </c>
      <c r="C1777" s="16">
        <f>IF($A1777="","",助理班表!$A62)</f>
        <v/>
      </c>
      <c r="D1777" s="16">
        <f>IF($C1777="","",助理班表!$B62)</f>
        <v/>
      </c>
      <c r="E1777" s="16">
        <f>IF($C1777="","",助理班表!$D62)</f>
        <v/>
      </c>
      <c r="F1777" s="16">
        <f>IF($C1777="","",助理班表!$C62)</f>
        <v/>
      </c>
      <c r="G1777" s="16">
        <f>IF($C1777="","",助理班表!L62)</f>
        <v/>
      </c>
      <c r="H1777" s="83">
        <f>IF($G1777="","",IFERROR(IF(INDEX(設定!$D$6:$D$21,MATCH($G1777,設定!$B$6:$B$21,0))=0,"",INDEX(設定!$D$6:$D$21,MATCH($G1777,設定!$B$6:$B$21,0))),""))</f>
        <v/>
      </c>
      <c r="I1777" s="83">
        <f>IF($G1777="","",IFERROR(IF(INDEX(設定!$E$6:$E$21,MATCH($G1777,設定!$B$6:$B$21,0))=0,"",INDEX(設定!$E$6:$E$21,MATCH($G1777,設定!$B$6:$B$21,0))),""))</f>
        <v/>
      </c>
      <c r="J1777" s="83">
        <f>IFERROR(INDEX(打卡匯入!$C$3:$C$2002,MATCH($C1777&amp;"|"&amp;DAY($A1777),打卡匯入!$E$3:$E$2002,0)),"")</f>
        <v/>
      </c>
      <c r="K1777" s="83">
        <f>IFERROR(INDEX(打卡匯入!$D$3:$D$2002,MATCH($C1777&amp;"|"&amp;DAY($A1777),打卡匯入!$E$3:$E$2002,0)),"")</f>
        <v/>
      </c>
      <c r="L1777" s="84">
        <f>IF(OR($J1777="",$K1777=""),"",IFERROR(INDEX(設定!$F$6:$F$21,MATCH($G1777,設定!$B$6:$B$21,0)),0))</f>
        <v/>
      </c>
      <c r="M1777" s="85">
        <f>IF(OR($J1777="",$K1777=""),"",ROUND(($K1777-$J1777)*24-$L1777/60,2))</f>
        <v/>
      </c>
      <c r="N1777" s="16">
        <f>IF($C1777="","",IF(AND(COUNTIF(設定!$B$15:$B$21,$G1777)&gt;0,$J1777&lt;&gt;""),"假日出勤",IF(AND(COUNTIF(設定!$B$6:$B$14,$G1777)&gt;0,$J1777=""),"未打卡",IF($J1777="","",IF($O1777&gt;0,"遲到",IF($P1777&gt;0,"早退","正常"))))))</f>
        <v/>
      </c>
      <c r="O1777" s="84">
        <f>IF(OR($C1777="",$H1777="",$J1777=""),0,IF(ROUND(($J1777-$H1777)*1440,0)&gt;設定!$C$46,ROUND(($J1777-$H1777)*1440,0),0))</f>
        <v/>
      </c>
      <c r="P1777" s="84">
        <f>IF(OR($C1777="",$I1777="",$K1777=""),0,IF(ROUND(($I1777-$K1777)*1440,0)&gt;設定!$C$46,ROUND(($I1777-$K1777)*1440,0),0))</f>
        <v/>
      </c>
      <c r="Q1777" s="85">
        <f>IF($M1777="",0,IF(($M1777-IFERROR(INDEX(設定!$G$6:$G$21,MATCH($G1777,設定!$B$6:$B$21,0)),0))*60&gt;=設定!$C$44,ROUND(FLOOR(($M1777-IFERROR(INDEX(設定!$G$6:$G$21,MATCH($G1777,設定!$B$6:$B$21,0)),0))*60,設定!$C$45)/60,2),0))</f>
        <v/>
      </c>
      <c r="R1777" s="16">
        <f>IF(OR($C1777="",$Q1777=0),"",IF($G1777="國","國定假日",IF($B1777="日","例假",IF($B1777="六","休息日","平日"))))</f>
        <v/>
      </c>
      <c r="S1777" s="19" t="n"/>
    </row>
    <row r="1778">
      <c r="A1778" s="82">
        <f>IF(OR(助理班表!$A62="",9&gt;DAY(EOMONTH(DATE(設定!$C$2,設定!$D$2,1),0))),"",DATE(設定!$C$2,設定!$D$2,9))</f>
        <v/>
      </c>
      <c r="B1778" s="16">
        <f>IF($A1778="","",INDEX(設定!$O$6:$O$12,WEEKDAY($A1778,1)))</f>
        <v/>
      </c>
      <c r="C1778" s="16">
        <f>IF($A1778="","",助理班表!$A62)</f>
        <v/>
      </c>
      <c r="D1778" s="16">
        <f>IF($C1778="","",助理班表!$B62)</f>
        <v/>
      </c>
      <c r="E1778" s="16">
        <f>IF($C1778="","",助理班表!$D62)</f>
        <v/>
      </c>
      <c r="F1778" s="16">
        <f>IF($C1778="","",助理班表!$C62)</f>
        <v/>
      </c>
      <c r="G1778" s="16">
        <f>IF($C1778="","",助理班表!M62)</f>
        <v/>
      </c>
      <c r="H1778" s="83">
        <f>IF($G1778="","",IFERROR(IF(INDEX(設定!$D$6:$D$21,MATCH($G1778,設定!$B$6:$B$21,0))=0,"",INDEX(設定!$D$6:$D$21,MATCH($G1778,設定!$B$6:$B$21,0))),""))</f>
        <v/>
      </c>
      <c r="I1778" s="83">
        <f>IF($G1778="","",IFERROR(IF(INDEX(設定!$E$6:$E$21,MATCH($G1778,設定!$B$6:$B$21,0))=0,"",INDEX(設定!$E$6:$E$21,MATCH($G1778,設定!$B$6:$B$21,0))),""))</f>
        <v/>
      </c>
      <c r="J1778" s="83">
        <f>IFERROR(INDEX(打卡匯入!$C$3:$C$2002,MATCH($C1778&amp;"|"&amp;DAY($A1778),打卡匯入!$E$3:$E$2002,0)),"")</f>
        <v/>
      </c>
      <c r="K1778" s="83">
        <f>IFERROR(INDEX(打卡匯入!$D$3:$D$2002,MATCH($C1778&amp;"|"&amp;DAY($A1778),打卡匯入!$E$3:$E$2002,0)),"")</f>
        <v/>
      </c>
      <c r="L1778" s="84">
        <f>IF(OR($J1778="",$K1778=""),"",IFERROR(INDEX(設定!$F$6:$F$21,MATCH($G1778,設定!$B$6:$B$21,0)),0))</f>
        <v/>
      </c>
      <c r="M1778" s="85">
        <f>IF(OR($J1778="",$K1778=""),"",ROUND(($K1778-$J1778)*24-$L1778/60,2))</f>
        <v/>
      </c>
      <c r="N1778" s="16">
        <f>IF($C1778="","",IF(AND(COUNTIF(設定!$B$15:$B$21,$G1778)&gt;0,$J1778&lt;&gt;""),"假日出勤",IF(AND(COUNTIF(設定!$B$6:$B$14,$G1778)&gt;0,$J1778=""),"未打卡",IF($J1778="","",IF($O1778&gt;0,"遲到",IF($P1778&gt;0,"早退","正常"))))))</f>
        <v/>
      </c>
      <c r="O1778" s="84">
        <f>IF(OR($C1778="",$H1778="",$J1778=""),0,IF(ROUND(($J1778-$H1778)*1440,0)&gt;設定!$C$46,ROUND(($J1778-$H1778)*1440,0),0))</f>
        <v/>
      </c>
      <c r="P1778" s="84">
        <f>IF(OR($C1778="",$I1778="",$K1778=""),0,IF(ROUND(($I1778-$K1778)*1440,0)&gt;設定!$C$46,ROUND(($I1778-$K1778)*1440,0),0))</f>
        <v/>
      </c>
      <c r="Q1778" s="85">
        <f>IF($M1778="",0,IF(($M1778-IFERROR(INDEX(設定!$G$6:$G$21,MATCH($G1778,設定!$B$6:$B$21,0)),0))*60&gt;=設定!$C$44,ROUND(FLOOR(($M1778-IFERROR(INDEX(設定!$G$6:$G$21,MATCH($G1778,設定!$B$6:$B$21,0)),0))*60,設定!$C$45)/60,2),0))</f>
        <v/>
      </c>
      <c r="R1778" s="16">
        <f>IF(OR($C1778="",$Q1778=0),"",IF($G1778="國","國定假日",IF($B1778="日","例假",IF($B1778="六","休息日","平日"))))</f>
        <v/>
      </c>
      <c r="S1778" s="19" t="n"/>
    </row>
    <row r="1779">
      <c r="A1779" s="82">
        <f>IF(OR(助理班表!$A62="",10&gt;DAY(EOMONTH(DATE(設定!$C$2,設定!$D$2,1),0))),"",DATE(設定!$C$2,設定!$D$2,10))</f>
        <v/>
      </c>
      <c r="B1779" s="16">
        <f>IF($A1779="","",INDEX(設定!$O$6:$O$12,WEEKDAY($A1779,1)))</f>
        <v/>
      </c>
      <c r="C1779" s="16">
        <f>IF($A1779="","",助理班表!$A62)</f>
        <v/>
      </c>
      <c r="D1779" s="16">
        <f>IF($C1779="","",助理班表!$B62)</f>
        <v/>
      </c>
      <c r="E1779" s="16">
        <f>IF($C1779="","",助理班表!$D62)</f>
        <v/>
      </c>
      <c r="F1779" s="16">
        <f>IF($C1779="","",助理班表!$C62)</f>
        <v/>
      </c>
      <c r="G1779" s="16">
        <f>IF($C1779="","",助理班表!N62)</f>
        <v/>
      </c>
      <c r="H1779" s="83">
        <f>IF($G1779="","",IFERROR(IF(INDEX(設定!$D$6:$D$21,MATCH($G1779,設定!$B$6:$B$21,0))=0,"",INDEX(設定!$D$6:$D$21,MATCH($G1779,設定!$B$6:$B$21,0))),""))</f>
        <v/>
      </c>
      <c r="I1779" s="83">
        <f>IF($G1779="","",IFERROR(IF(INDEX(設定!$E$6:$E$21,MATCH($G1779,設定!$B$6:$B$21,0))=0,"",INDEX(設定!$E$6:$E$21,MATCH($G1779,設定!$B$6:$B$21,0))),""))</f>
        <v/>
      </c>
      <c r="J1779" s="83">
        <f>IFERROR(INDEX(打卡匯入!$C$3:$C$2002,MATCH($C1779&amp;"|"&amp;DAY($A1779),打卡匯入!$E$3:$E$2002,0)),"")</f>
        <v/>
      </c>
      <c r="K1779" s="83">
        <f>IFERROR(INDEX(打卡匯入!$D$3:$D$2002,MATCH($C1779&amp;"|"&amp;DAY($A1779),打卡匯入!$E$3:$E$2002,0)),"")</f>
        <v/>
      </c>
      <c r="L1779" s="84">
        <f>IF(OR($J1779="",$K1779=""),"",IFERROR(INDEX(設定!$F$6:$F$21,MATCH($G1779,設定!$B$6:$B$21,0)),0))</f>
        <v/>
      </c>
      <c r="M1779" s="85">
        <f>IF(OR($J1779="",$K1779=""),"",ROUND(($K1779-$J1779)*24-$L1779/60,2))</f>
        <v/>
      </c>
      <c r="N1779" s="16">
        <f>IF($C1779="","",IF(AND(COUNTIF(設定!$B$15:$B$21,$G1779)&gt;0,$J1779&lt;&gt;""),"假日出勤",IF(AND(COUNTIF(設定!$B$6:$B$14,$G1779)&gt;0,$J1779=""),"未打卡",IF($J1779="","",IF($O1779&gt;0,"遲到",IF($P1779&gt;0,"早退","正常"))))))</f>
        <v/>
      </c>
      <c r="O1779" s="84">
        <f>IF(OR($C1779="",$H1779="",$J1779=""),0,IF(ROUND(($J1779-$H1779)*1440,0)&gt;設定!$C$46,ROUND(($J1779-$H1779)*1440,0),0))</f>
        <v/>
      </c>
      <c r="P1779" s="84">
        <f>IF(OR($C1779="",$I1779="",$K1779=""),0,IF(ROUND(($I1779-$K1779)*1440,0)&gt;設定!$C$46,ROUND(($I1779-$K1779)*1440,0),0))</f>
        <v/>
      </c>
      <c r="Q1779" s="85">
        <f>IF($M1779="",0,IF(($M1779-IFERROR(INDEX(設定!$G$6:$G$21,MATCH($G1779,設定!$B$6:$B$21,0)),0))*60&gt;=設定!$C$44,ROUND(FLOOR(($M1779-IFERROR(INDEX(設定!$G$6:$G$21,MATCH($G1779,設定!$B$6:$B$21,0)),0))*60,設定!$C$45)/60,2),0))</f>
        <v/>
      </c>
      <c r="R1779" s="16">
        <f>IF(OR($C1779="",$Q1779=0),"",IF($G1779="國","國定假日",IF($B1779="日","例假",IF($B1779="六","休息日","平日"))))</f>
        <v/>
      </c>
      <c r="S1779" s="19" t="n"/>
    </row>
    <row r="1780">
      <c r="A1780" s="82">
        <f>IF(OR(助理班表!$A62="",11&gt;DAY(EOMONTH(DATE(設定!$C$2,設定!$D$2,1),0))),"",DATE(設定!$C$2,設定!$D$2,11))</f>
        <v/>
      </c>
      <c r="B1780" s="16">
        <f>IF($A1780="","",INDEX(設定!$O$6:$O$12,WEEKDAY($A1780,1)))</f>
        <v/>
      </c>
      <c r="C1780" s="16">
        <f>IF($A1780="","",助理班表!$A62)</f>
        <v/>
      </c>
      <c r="D1780" s="16">
        <f>IF($C1780="","",助理班表!$B62)</f>
        <v/>
      </c>
      <c r="E1780" s="16">
        <f>IF($C1780="","",助理班表!$D62)</f>
        <v/>
      </c>
      <c r="F1780" s="16">
        <f>IF($C1780="","",助理班表!$C62)</f>
        <v/>
      </c>
      <c r="G1780" s="16">
        <f>IF($C1780="","",助理班表!O62)</f>
        <v/>
      </c>
      <c r="H1780" s="83">
        <f>IF($G1780="","",IFERROR(IF(INDEX(設定!$D$6:$D$21,MATCH($G1780,設定!$B$6:$B$21,0))=0,"",INDEX(設定!$D$6:$D$21,MATCH($G1780,設定!$B$6:$B$21,0))),""))</f>
        <v/>
      </c>
      <c r="I1780" s="83">
        <f>IF($G1780="","",IFERROR(IF(INDEX(設定!$E$6:$E$21,MATCH($G1780,設定!$B$6:$B$21,0))=0,"",INDEX(設定!$E$6:$E$21,MATCH($G1780,設定!$B$6:$B$21,0))),""))</f>
        <v/>
      </c>
      <c r="J1780" s="83">
        <f>IFERROR(INDEX(打卡匯入!$C$3:$C$2002,MATCH($C1780&amp;"|"&amp;DAY($A1780),打卡匯入!$E$3:$E$2002,0)),"")</f>
        <v/>
      </c>
      <c r="K1780" s="83">
        <f>IFERROR(INDEX(打卡匯入!$D$3:$D$2002,MATCH($C1780&amp;"|"&amp;DAY($A1780),打卡匯入!$E$3:$E$2002,0)),"")</f>
        <v/>
      </c>
      <c r="L1780" s="84">
        <f>IF(OR($J1780="",$K1780=""),"",IFERROR(INDEX(設定!$F$6:$F$21,MATCH($G1780,設定!$B$6:$B$21,0)),0))</f>
        <v/>
      </c>
      <c r="M1780" s="85">
        <f>IF(OR($J1780="",$K1780=""),"",ROUND(($K1780-$J1780)*24-$L1780/60,2))</f>
        <v/>
      </c>
      <c r="N1780" s="16">
        <f>IF($C1780="","",IF(AND(COUNTIF(設定!$B$15:$B$21,$G1780)&gt;0,$J1780&lt;&gt;""),"假日出勤",IF(AND(COUNTIF(設定!$B$6:$B$14,$G1780)&gt;0,$J1780=""),"未打卡",IF($J1780="","",IF($O1780&gt;0,"遲到",IF($P1780&gt;0,"早退","正常"))))))</f>
        <v/>
      </c>
      <c r="O1780" s="84">
        <f>IF(OR($C1780="",$H1780="",$J1780=""),0,IF(ROUND(($J1780-$H1780)*1440,0)&gt;設定!$C$46,ROUND(($J1780-$H1780)*1440,0),0))</f>
        <v/>
      </c>
      <c r="P1780" s="84">
        <f>IF(OR($C1780="",$I1780="",$K1780=""),0,IF(ROUND(($I1780-$K1780)*1440,0)&gt;設定!$C$46,ROUND(($I1780-$K1780)*1440,0),0))</f>
        <v/>
      </c>
      <c r="Q1780" s="85">
        <f>IF($M1780="",0,IF(($M1780-IFERROR(INDEX(設定!$G$6:$G$21,MATCH($G1780,設定!$B$6:$B$21,0)),0))*60&gt;=設定!$C$44,ROUND(FLOOR(($M1780-IFERROR(INDEX(設定!$G$6:$G$21,MATCH($G1780,設定!$B$6:$B$21,0)),0))*60,設定!$C$45)/60,2),0))</f>
        <v/>
      </c>
      <c r="R1780" s="16">
        <f>IF(OR($C1780="",$Q1780=0),"",IF($G1780="國","國定假日",IF($B1780="日","例假",IF($B1780="六","休息日","平日"))))</f>
        <v/>
      </c>
      <c r="S1780" s="19" t="n"/>
    </row>
    <row r="1781">
      <c r="A1781" s="82">
        <f>IF(OR(助理班表!$A62="",12&gt;DAY(EOMONTH(DATE(設定!$C$2,設定!$D$2,1),0))),"",DATE(設定!$C$2,設定!$D$2,12))</f>
        <v/>
      </c>
      <c r="B1781" s="16">
        <f>IF($A1781="","",INDEX(設定!$O$6:$O$12,WEEKDAY($A1781,1)))</f>
        <v/>
      </c>
      <c r="C1781" s="16">
        <f>IF($A1781="","",助理班表!$A62)</f>
        <v/>
      </c>
      <c r="D1781" s="16">
        <f>IF($C1781="","",助理班表!$B62)</f>
        <v/>
      </c>
      <c r="E1781" s="16">
        <f>IF($C1781="","",助理班表!$D62)</f>
        <v/>
      </c>
      <c r="F1781" s="16">
        <f>IF($C1781="","",助理班表!$C62)</f>
        <v/>
      </c>
      <c r="G1781" s="16">
        <f>IF($C1781="","",助理班表!P62)</f>
        <v/>
      </c>
      <c r="H1781" s="83">
        <f>IF($G1781="","",IFERROR(IF(INDEX(設定!$D$6:$D$21,MATCH($G1781,設定!$B$6:$B$21,0))=0,"",INDEX(設定!$D$6:$D$21,MATCH($G1781,設定!$B$6:$B$21,0))),""))</f>
        <v/>
      </c>
      <c r="I1781" s="83">
        <f>IF($G1781="","",IFERROR(IF(INDEX(設定!$E$6:$E$21,MATCH($G1781,設定!$B$6:$B$21,0))=0,"",INDEX(設定!$E$6:$E$21,MATCH($G1781,設定!$B$6:$B$21,0))),""))</f>
        <v/>
      </c>
      <c r="J1781" s="83">
        <f>IFERROR(INDEX(打卡匯入!$C$3:$C$2002,MATCH($C1781&amp;"|"&amp;DAY($A1781),打卡匯入!$E$3:$E$2002,0)),"")</f>
        <v/>
      </c>
      <c r="K1781" s="83">
        <f>IFERROR(INDEX(打卡匯入!$D$3:$D$2002,MATCH($C1781&amp;"|"&amp;DAY($A1781),打卡匯入!$E$3:$E$2002,0)),"")</f>
        <v/>
      </c>
      <c r="L1781" s="84">
        <f>IF(OR($J1781="",$K1781=""),"",IFERROR(INDEX(設定!$F$6:$F$21,MATCH($G1781,設定!$B$6:$B$21,0)),0))</f>
        <v/>
      </c>
      <c r="M1781" s="85">
        <f>IF(OR($J1781="",$K1781=""),"",ROUND(($K1781-$J1781)*24-$L1781/60,2))</f>
        <v/>
      </c>
      <c r="N1781" s="16">
        <f>IF($C1781="","",IF(AND(COUNTIF(設定!$B$15:$B$21,$G1781)&gt;0,$J1781&lt;&gt;""),"假日出勤",IF(AND(COUNTIF(設定!$B$6:$B$14,$G1781)&gt;0,$J1781=""),"未打卡",IF($J1781="","",IF($O1781&gt;0,"遲到",IF($P1781&gt;0,"早退","正常"))))))</f>
        <v/>
      </c>
      <c r="O1781" s="84">
        <f>IF(OR($C1781="",$H1781="",$J1781=""),0,IF(ROUND(($J1781-$H1781)*1440,0)&gt;設定!$C$46,ROUND(($J1781-$H1781)*1440,0),0))</f>
        <v/>
      </c>
      <c r="P1781" s="84">
        <f>IF(OR($C1781="",$I1781="",$K1781=""),0,IF(ROUND(($I1781-$K1781)*1440,0)&gt;設定!$C$46,ROUND(($I1781-$K1781)*1440,0),0))</f>
        <v/>
      </c>
      <c r="Q1781" s="85">
        <f>IF($M1781="",0,IF(($M1781-IFERROR(INDEX(設定!$G$6:$G$21,MATCH($G1781,設定!$B$6:$B$21,0)),0))*60&gt;=設定!$C$44,ROUND(FLOOR(($M1781-IFERROR(INDEX(設定!$G$6:$G$21,MATCH($G1781,設定!$B$6:$B$21,0)),0))*60,設定!$C$45)/60,2),0))</f>
        <v/>
      </c>
      <c r="R1781" s="16">
        <f>IF(OR($C1781="",$Q1781=0),"",IF($G1781="國","國定假日",IF($B1781="日","例假",IF($B1781="六","休息日","平日"))))</f>
        <v/>
      </c>
      <c r="S1781" s="19" t="n"/>
    </row>
    <row r="1782">
      <c r="A1782" s="82">
        <f>IF(OR(助理班表!$A62="",13&gt;DAY(EOMONTH(DATE(設定!$C$2,設定!$D$2,1),0))),"",DATE(設定!$C$2,設定!$D$2,13))</f>
        <v/>
      </c>
      <c r="B1782" s="16">
        <f>IF($A1782="","",INDEX(設定!$O$6:$O$12,WEEKDAY($A1782,1)))</f>
        <v/>
      </c>
      <c r="C1782" s="16">
        <f>IF($A1782="","",助理班表!$A62)</f>
        <v/>
      </c>
      <c r="D1782" s="16">
        <f>IF($C1782="","",助理班表!$B62)</f>
        <v/>
      </c>
      <c r="E1782" s="16">
        <f>IF($C1782="","",助理班表!$D62)</f>
        <v/>
      </c>
      <c r="F1782" s="16">
        <f>IF($C1782="","",助理班表!$C62)</f>
        <v/>
      </c>
      <c r="G1782" s="16">
        <f>IF($C1782="","",助理班表!Q62)</f>
        <v/>
      </c>
      <c r="H1782" s="83">
        <f>IF($G1782="","",IFERROR(IF(INDEX(設定!$D$6:$D$21,MATCH($G1782,設定!$B$6:$B$21,0))=0,"",INDEX(設定!$D$6:$D$21,MATCH($G1782,設定!$B$6:$B$21,0))),""))</f>
        <v/>
      </c>
      <c r="I1782" s="83">
        <f>IF($G1782="","",IFERROR(IF(INDEX(設定!$E$6:$E$21,MATCH($G1782,設定!$B$6:$B$21,0))=0,"",INDEX(設定!$E$6:$E$21,MATCH($G1782,設定!$B$6:$B$21,0))),""))</f>
        <v/>
      </c>
      <c r="J1782" s="83">
        <f>IFERROR(INDEX(打卡匯入!$C$3:$C$2002,MATCH($C1782&amp;"|"&amp;DAY($A1782),打卡匯入!$E$3:$E$2002,0)),"")</f>
        <v/>
      </c>
      <c r="K1782" s="83">
        <f>IFERROR(INDEX(打卡匯入!$D$3:$D$2002,MATCH($C1782&amp;"|"&amp;DAY($A1782),打卡匯入!$E$3:$E$2002,0)),"")</f>
        <v/>
      </c>
      <c r="L1782" s="84">
        <f>IF(OR($J1782="",$K1782=""),"",IFERROR(INDEX(設定!$F$6:$F$21,MATCH($G1782,設定!$B$6:$B$21,0)),0))</f>
        <v/>
      </c>
      <c r="M1782" s="85">
        <f>IF(OR($J1782="",$K1782=""),"",ROUND(($K1782-$J1782)*24-$L1782/60,2))</f>
        <v/>
      </c>
      <c r="N1782" s="16">
        <f>IF($C1782="","",IF(AND(COUNTIF(設定!$B$15:$B$21,$G1782)&gt;0,$J1782&lt;&gt;""),"假日出勤",IF(AND(COUNTIF(設定!$B$6:$B$14,$G1782)&gt;0,$J1782=""),"未打卡",IF($J1782="","",IF($O1782&gt;0,"遲到",IF($P1782&gt;0,"早退","正常"))))))</f>
        <v/>
      </c>
      <c r="O1782" s="84">
        <f>IF(OR($C1782="",$H1782="",$J1782=""),0,IF(ROUND(($J1782-$H1782)*1440,0)&gt;設定!$C$46,ROUND(($J1782-$H1782)*1440,0),0))</f>
        <v/>
      </c>
      <c r="P1782" s="84">
        <f>IF(OR($C1782="",$I1782="",$K1782=""),0,IF(ROUND(($I1782-$K1782)*1440,0)&gt;設定!$C$46,ROUND(($I1782-$K1782)*1440,0),0))</f>
        <v/>
      </c>
      <c r="Q1782" s="85">
        <f>IF($M1782="",0,IF(($M1782-IFERROR(INDEX(設定!$G$6:$G$21,MATCH($G1782,設定!$B$6:$B$21,0)),0))*60&gt;=設定!$C$44,ROUND(FLOOR(($M1782-IFERROR(INDEX(設定!$G$6:$G$21,MATCH($G1782,設定!$B$6:$B$21,0)),0))*60,設定!$C$45)/60,2),0))</f>
        <v/>
      </c>
      <c r="R1782" s="16">
        <f>IF(OR($C1782="",$Q1782=0),"",IF($G1782="國","國定假日",IF($B1782="日","例假",IF($B1782="六","休息日","平日"))))</f>
        <v/>
      </c>
      <c r="S1782" s="19" t="n"/>
    </row>
    <row r="1783">
      <c r="A1783" s="82">
        <f>IF(OR(助理班表!$A62="",14&gt;DAY(EOMONTH(DATE(設定!$C$2,設定!$D$2,1),0))),"",DATE(設定!$C$2,設定!$D$2,14))</f>
        <v/>
      </c>
      <c r="B1783" s="16">
        <f>IF($A1783="","",INDEX(設定!$O$6:$O$12,WEEKDAY($A1783,1)))</f>
        <v/>
      </c>
      <c r="C1783" s="16">
        <f>IF($A1783="","",助理班表!$A62)</f>
        <v/>
      </c>
      <c r="D1783" s="16">
        <f>IF($C1783="","",助理班表!$B62)</f>
        <v/>
      </c>
      <c r="E1783" s="16">
        <f>IF($C1783="","",助理班表!$D62)</f>
        <v/>
      </c>
      <c r="F1783" s="16">
        <f>IF($C1783="","",助理班表!$C62)</f>
        <v/>
      </c>
      <c r="G1783" s="16">
        <f>IF($C1783="","",助理班表!R62)</f>
        <v/>
      </c>
      <c r="H1783" s="83">
        <f>IF($G1783="","",IFERROR(IF(INDEX(設定!$D$6:$D$21,MATCH($G1783,設定!$B$6:$B$21,0))=0,"",INDEX(設定!$D$6:$D$21,MATCH($G1783,設定!$B$6:$B$21,0))),""))</f>
        <v/>
      </c>
      <c r="I1783" s="83">
        <f>IF($G1783="","",IFERROR(IF(INDEX(設定!$E$6:$E$21,MATCH($G1783,設定!$B$6:$B$21,0))=0,"",INDEX(設定!$E$6:$E$21,MATCH($G1783,設定!$B$6:$B$21,0))),""))</f>
        <v/>
      </c>
      <c r="J1783" s="83">
        <f>IFERROR(INDEX(打卡匯入!$C$3:$C$2002,MATCH($C1783&amp;"|"&amp;DAY($A1783),打卡匯入!$E$3:$E$2002,0)),"")</f>
        <v/>
      </c>
      <c r="K1783" s="83">
        <f>IFERROR(INDEX(打卡匯入!$D$3:$D$2002,MATCH($C1783&amp;"|"&amp;DAY($A1783),打卡匯入!$E$3:$E$2002,0)),"")</f>
        <v/>
      </c>
      <c r="L1783" s="84">
        <f>IF(OR($J1783="",$K1783=""),"",IFERROR(INDEX(設定!$F$6:$F$21,MATCH($G1783,設定!$B$6:$B$21,0)),0))</f>
        <v/>
      </c>
      <c r="M1783" s="85">
        <f>IF(OR($J1783="",$K1783=""),"",ROUND(($K1783-$J1783)*24-$L1783/60,2))</f>
        <v/>
      </c>
      <c r="N1783" s="16">
        <f>IF($C1783="","",IF(AND(COUNTIF(設定!$B$15:$B$21,$G1783)&gt;0,$J1783&lt;&gt;""),"假日出勤",IF(AND(COUNTIF(設定!$B$6:$B$14,$G1783)&gt;0,$J1783=""),"未打卡",IF($J1783="","",IF($O1783&gt;0,"遲到",IF($P1783&gt;0,"早退","正常"))))))</f>
        <v/>
      </c>
      <c r="O1783" s="84">
        <f>IF(OR($C1783="",$H1783="",$J1783=""),0,IF(ROUND(($J1783-$H1783)*1440,0)&gt;設定!$C$46,ROUND(($J1783-$H1783)*1440,0),0))</f>
        <v/>
      </c>
      <c r="P1783" s="84">
        <f>IF(OR($C1783="",$I1783="",$K1783=""),0,IF(ROUND(($I1783-$K1783)*1440,0)&gt;設定!$C$46,ROUND(($I1783-$K1783)*1440,0),0))</f>
        <v/>
      </c>
      <c r="Q1783" s="85">
        <f>IF($M1783="",0,IF(($M1783-IFERROR(INDEX(設定!$G$6:$G$21,MATCH($G1783,設定!$B$6:$B$21,0)),0))*60&gt;=設定!$C$44,ROUND(FLOOR(($M1783-IFERROR(INDEX(設定!$G$6:$G$21,MATCH($G1783,設定!$B$6:$B$21,0)),0))*60,設定!$C$45)/60,2),0))</f>
        <v/>
      </c>
      <c r="R1783" s="16">
        <f>IF(OR($C1783="",$Q1783=0),"",IF($G1783="國","國定假日",IF($B1783="日","例假",IF($B1783="六","休息日","平日"))))</f>
        <v/>
      </c>
      <c r="S1783" s="19" t="n"/>
    </row>
    <row r="1784">
      <c r="A1784" s="82">
        <f>IF(OR(助理班表!$A62="",15&gt;DAY(EOMONTH(DATE(設定!$C$2,設定!$D$2,1),0))),"",DATE(設定!$C$2,設定!$D$2,15))</f>
        <v/>
      </c>
      <c r="B1784" s="16">
        <f>IF($A1784="","",INDEX(設定!$O$6:$O$12,WEEKDAY($A1784,1)))</f>
        <v/>
      </c>
      <c r="C1784" s="16">
        <f>IF($A1784="","",助理班表!$A62)</f>
        <v/>
      </c>
      <c r="D1784" s="16">
        <f>IF($C1784="","",助理班表!$B62)</f>
        <v/>
      </c>
      <c r="E1784" s="16">
        <f>IF($C1784="","",助理班表!$D62)</f>
        <v/>
      </c>
      <c r="F1784" s="16">
        <f>IF($C1784="","",助理班表!$C62)</f>
        <v/>
      </c>
      <c r="G1784" s="16">
        <f>IF($C1784="","",助理班表!S62)</f>
        <v/>
      </c>
      <c r="H1784" s="83">
        <f>IF($G1784="","",IFERROR(IF(INDEX(設定!$D$6:$D$21,MATCH($G1784,設定!$B$6:$B$21,0))=0,"",INDEX(設定!$D$6:$D$21,MATCH($G1784,設定!$B$6:$B$21,0))),""))</f>
        <v/>
      </c>
      <c r="I1784" s="83">
        <f>IF($G1784="","",IFERROR(IF(INDEX(設定!$E$6:$E$21,MATCH($G1784,設定!$B$6:$B$21,0))=0,"",INDEX(設定!$E$6:$E$21,MATCH($G1784,設定!$B$6:$B$21,0))),""))</f>
        <v/>
      </c>
      <c r="J1784" s="83">
        <f>IFERROR(INDEX(打卡匯入!$C$3:$C$2002,MATCH($C1784&amp;"|"&amp;DAY($A1784),打卡匯入!$E$3:$E$2002,0)),"")</f>
        <v/>
      </c>
      <c r="K1784" s="83">
        <f>IFERROR(INDEX(打卡匯入!$D$3:$D$2002,MATCH($C1784&amp;"|"&amp;DAY($A1784),打卡匯入!$E$3:$E$2002,0)),"")</f>
        <v/>
      </c>
      <c r="L1784" s="84">
        <f>IF(OR($J1784="",$K1784=""),"",IFERROR(INDEX(設定!$F$6:$F$21,MATCH($G1784,設定!$B$6:$B$21,0)),0))</f>
        <v/>
      </c>
      <c r="M1784" s="85">
        <f>IF(OR($J1784="",$K1784=""),"",ROUND(($K1784-$J1784)*24-$L1784/60,2))</f>
        <v/>
      </c>
      <c r="N1784" s="16">
        <f>IF($C1784="","",IF(AND(COUNTIF(設定!$B$15:$B$21,$G1784)&gt;0,$J1784&lt;&gt;""),"假日出勤",IF(AND(COUNTIF(設定!$B$6:$B$14,$G1784)&gt;0,$J1784=""),"未打卡",IF($J1784="","",IF($O1784&gt;0,"遲到",IF($P1784&gt;0,"早退","正常"))))))</f>
        <v/>
      </c>
      <c r="O1784" s="84">
        <f>IF(OR($C1784="",$H1784="",$J1784=""),0,IF(ROUND(($J1784-$H1784)*1440,0)&gt;設定!$C$46,ROUND(($J1784-$H1784)*1440,0),0))</f>
        <v/>
      </c>
      <c r="P1784" s="84">
        <f>IF(OR($C1784="",$I1784="",$K1784=""),0,IF(ROUND(($I1784-$K1784)*1440,0)&gt;設定!$C$46,ROUND(($I1784-$K1784)*1440,0),0))</f>
        <v/>
      </c>
      <c r="Q1784" s="85">
        <f>IF($M1784="",0,IF(($M1784-IFERROR(INDEX(設定!$G$6:$G$21,MATCH($G1784,設定!$B$6:$B$21,0)),0))*60&gt;=設定!$C$44,ROUND(FLOOR(($M1784-IFERROR(INDEX(設定!$G$6:$G$21,MATCH($G1784,設定!$B$6:$B$21,0)),0))*60,設定!$C$45)/60,2),0))</f>
        <v/>
      </c>
      <c r="R1784" s="16">
        <f>IF(OR($C1784="",$Q1784=0),"",IF($G1784="國","國定假日",IF($B1784="日","例假",IF($B1784="六","休息日","平日"))))</f>
        <v/>
      </c>
      <c r="S1784" s="19" t="n"/>
    </row>
    <row r="1785">
      <c r="A1785" s="82">
        <f>IF(OR(助理班表!$A62="",16&gt;DAY(EOMONTH(DATE(設定!$C$2,設定!$D$2,1),0))),"",DATE(設定!$C$2,設定!$D$2,16))</f>
        <v/>
      </c>
      <c r="B1785" s="16">
        <f>IF($A1785="","",INDEX(設定!$O$6:$O$12,WEEKDAY($A1785,1)))</f>
        <v/>
      </c>
      <c r="C1785" s="16">
        <f>IF($A1785="","",助理班表!$A62)</f>
        <v/>
      </c>
      <c r="D1785" s="16">
        <f>IF($C1785="","",助理班表!$B62)</f>
        <v/>
      </c>
      <c r="E1785" s="16">
        <f>IF($C1785="","",助理班表!$D62)</f>
        <v/>
      </c>
      <c r="F1785" s="16">
        <f>IF($C1785="","",助理班表!$C62)</f>
        <v/>
      </c>
      <c r="G1785" s="16">
        <f>IF($C1785="","",助理班表!T62)</f>
        <v/>
      </c>
      <c r="H1785" s="83">
        <f>IF($G1785="","",IFERROR(IF(INDEX(設定!$D$6:$D$21,MATCH($G1785,設定!$B$6:$B$21,0))=0,"",INDEX(設定!$D$6:$D$21,MATCH($G1785,設定!$B$6:$B$21,0))),""))</f>
        <v/>
      </c>
      <c r="I1785" s="83">
        <f>IF($G1785="","",IFERROR(IF(INDEX(設定!$E$6:$E$21,MATCH($G1785,設定!$B$6:$B$21,0))=0,"",INDEX(設定!$E$6:$E$21,MATCH($G1785,設定!$B$6:$B$21,0))),""))</f>
        <v/>
      </c>
      <c r="J1785" s="83">
        <f>IFERROR(INDEX(打卡匯入!$C$3:$C$2002,MATCH($C1785&amp;"|"&amp;DAY($A1785),打卡匯入!$E$3:$E$2002,0)),"")</f>
        <v/>
      </c>
      <c r="K1785" s="83">
        <f>IFERROR(INDEX(打卡匯入!$D$3:$D$2002,MATCH($C1785&amp;"|"&amp;DAY($A1785),打卡匯入!$E$3:$E$2002,0)),"")</f>
        <v/>
      </c>
      <c r="L1785" s="84">
        <f>IF(OR($J1785="",$K1785=""),"",IFERROR(INDEX(設定!$F$6:$F$21,MATCH($G1785,設定!$B$6:$B$21,0)),0))</f>
        <v/>
      </c>
      <c r="M1785" s="85">
        <f>IF(OR($J1785="",$K1785=""),"",ROUND(($K1785-$J1785)*24-$L1785/60,2))</f>
        <v/>
      </c>
      <c r="N1785" s="16">
        <f>IF($C1785="","",IF(AND(COUNTIF(設定!$B$15:$B$21,$G1785)&gt;0,$J1785&lt;&gt;""),"假日出勤",IF(AND(COUNTIF(設定!$B$6:$B$14,$G1785)&gt;0,$J1785=""),"未打卡",IF($J1785="","",IF($O1785&gt;0,"遲到",IF($P1785&gt;0,"早退","正常"))))))</f>
        <v/>
      </c>
      <c r="O1785" s="84">
        <f>IF(OR($C1785="",$H1785="",$J1785=""),0,IF(ROUND(($J1785-$H1785)*1440,0)&gt;設定!$C$46,ROUND(($J1785-$H1785)*1440,0),0))</f>
        <v/>
      </c>
      <c r="P1785" s="84">
        <f>IF(OR($C1785="",$I1785="",$K1785=""),0,IF(ROUND(($I1785-$K1785)*1440,0)&gt;設定!$C$46,ROUND(($I1785-$K1785)*1440,0),0))</f>
        <v/>
      </c>
      <c r="Q1785" s="85">
        <f>IF($M1785="",0,IF(($M1785-IFERROR(INDEX(設定!$G$6:$G$21,MATCH($G1785,設定!$B$6:$B$21,0)),0))*60&gt;=設定!$C$44,ROUND(FLOOR(($M1785-IFERROR(INDEX(設定!$G$6:$G$21,MATCH($G1785,設定!$B$6:$B$21,0)),0))*60,設定!$C$45)/60,2),0))</f>
        <v/>
      </c>
      <c r="R1785" s="16">
        <f>IF(OR($C1785="",$Q1785=0),"",IF($G1785="國","國定假日",IF($B1785="日","例假",IF($B1785="六","休息日","平日"))))</f>
        <v/>
      </c>
      <c r="S1785" s="19" t="n"/>
    </row>
    <row r="1786">
      <c r="A1786" s="82">
        <f>IF(OR(助理班表!$A62="",17&gt;DAY(EOMONTH(DATE(設定!$C$2,設定!$D$2,1),0))),"",DATE(設定!$C$2,設定!$D$2,17))</f>
        <v/>
      </c>
      <c r="B1786" s="16">
        <f>IF($A1786="","",INDEX(設定!$O$6:$O$12,WEEKDAY($A1786,1)))</f>
        <v/>
      </c>
      <c r="C1786" s="16">
        <f>IF($A1786="","",助理班表!$A62)</f>
        <v/>
      </c>
      <c r="D1786" s="16">
        <f>IF($C1786="","",助理班表!$B62)</f>
        <v/>
      </c>
      <c r="E1786" s="16">
        <f>IF($C1786="","",助理班表!$D62)</f>
        <v/>
      </c>
      <c r="F1786" s="16">
        <f>IF($C1786="","",助理班表!$C62)</f>
        <v/>
      </c>
      <c r="G1786" s="16">
        <f>IF($C1786="","",助理班表!U62)</f>
        <v/>
      </c>
      <c r="H1786" s="83">
        <f>IF($G1786="","",IFERROR(IF(INDEX(設定!$D$6:$D$21,MATCH($G1786,設定!$B$6:$B$21,0))=0,"",INDEX(設定!$D$6:$D$21,MATCH($G1786,設定!$B$6:$B$21,0))),""))</f>
        <v/>
      </c>
      <c r="I1786" s="83">
        <f>IF($G1786="","",IFERROR(IF(INDEX(設定!$E$6:$E$21,MATCH($G1786,設定!$B$6:$B$21,0))=0,"",INDEX(設定!$E$6:$E$21,MATCH($G1786,設定!$B$6:$B$21,0))),""))</f>
        <v/>
      </c>
      <c r="J1786" s="83">
        <f>IFERROR(INDEX(打卡匯入!$C$3:$C$2002,MATCH($C1786&amp;"|"&amp;DAY($A1786),打卡匯入!$E$3:$E$2002,0)),"")</f>
        <v/>
      </c>
      <c r="K1786" s="83">
        <f>IFERROR(INDEX(打卡匯入!$D$3:$D$2002,MATCH($C1786&amp;"|"&amp;DAY($A1786),打卡匯入!$E$3:$E$2002,0)),"")</f>
        <v/>
      </c>
      <c r="L1786" s="84">
        <f>IF(OR($J1786="",$K1786=""),"",IFERROR(INDEX(設定!$F$6:$F$21,MATCH($G1786,設定!$B$6:$B$21,0)),0))</f>
        <v/>
      </c>
      <c r="M1786" s="85">
        <f>IF(OR($J1786="",$K1786=""),"",ROUND(($K1786-$J1786)*24-$L1786/60,2))</f>
        <v/>
      </c>
      <c r="N1786" s="16">
        <f>IF($C1786="","",IF(AND(COUNTIF(設定!$B$15:$B$21,$G1786)&gt;0,$J1786&lt;&gt;""),"假日出勤",IF(AND(COUNTIF(設定!$B$6:$B$14,$G1786)&gt;0,$J1786=""),"未打卡",IF($J1786="","",IF($O1786&gt;0,"遲到",IF($P1786&gt;0,"早退","正常"))))))</f>
        <v/>
      </c>
      <c r="O1786" s="84">
        <f>IF(OR($C1786="",$H1786="",$J1786=""),0,IF(ROUND(($J1786-$H1786)*1440,0)&gt;設定!$C$46,ROUND(($J1786-$H1786)*1440,0),0))</f>
        <v/>
      </c>
      <c r="P1786" s="84">
        <f>IF(OR($C1786="",$I1786="",$K1786=""),0,IF(ROUND(($I1786-$K1786)*1440,0)&gt;設定!$C$46,ROUND(($I1786-$K1786)*1440,0),0))</f>
        <v/>
      </c>
      <c r="Q1786" s="85">
        <f>IF($M1786="",0,IF(($M1786-IFERROR(INDEX(設定!$G$6:$G$21,MATCH($G1786,設定!$B$6:$B$21,0)),0))*60&gt;=設定!$C$44,ROUND(FLOOR(($M1786-IFERROR(INDEX(設定!$G$6:$G$21,MATCH($G1786,設定!$B$6:$B$21,0)),0))*60,設定!$C$45)/60,2),0))</f>
        <v/>
      </c>
      <c r="R1786" s="16">
        <f>IF(OR($C1786="",$Q1786=0),"",IF($G1786="國","國定假日",IF($B1786="日","例假",IF($B1786="六","休息日","平日"))))</f>
        <v/>
      </c>
      <c r="S1786" s="19" t="n"/>
    </row>
    <row r="1787">
      <c r="A1787" s="82">
        <f>IF(OR(助理班表!$A62="",18&gt;DAY(EOMONTH(DATE(設定!$C$2,設定!$D$2,1),0))),"",DATE(設定!$C$2,設定!$D$2,18))</f>
        <v/>
      </c>
      <c r="B1787" s="16">
        <f>IF($A1787="","",INDEX(設定!$O$6:$O$12,WEEKDAY($A1787,1)))</f>
        <v/>
      </c>
      <c r="C1787" s="16">
        <f>IF($A1787="","",助理班表!$A62)</f>
        <v/>
      </c>
      <c r="D1787" s="16">
        <f>IF($C1787="","",助理班表!$B62)</f>
        <v/>
      </c>
      <c r="E1787" s="16">
        <f>IF($C1787="","",助理班表!$D62)</f>
        <v/>
      </c>
      <c r="F1787" s="16">
        <f>IF($C1787="","",助理班表!$C62)</f>
        <v/>
      </c>
      <c r="G1787" s="16">
        <f>IF($C1787="","",助理班表!V62)</f>
        <v/>
      </c>
      <c r="H1787" s="83">
        <f>IF($G1787="","",IFERROR(IF(INDEX(設定!$D$6:$D$21,MATCH($G1787,設定!$B$6:$B$21,0))=0,"",INDEX(設定!$D$6:$D$21,MATCH($G1787,設定!$B$6:$B$21,0))),""))</f>
        <v/>
      </c>
      <c r="I1787" s="83">
        <f>IF($G1787="","",IFERROR(IF(INDEX(設定!$E$6:$E$21,MATCH($G1787,設定!$B$6:$B$21,0))=0,"",INDEX(設定!$E$6:$E$21,MATCH($G1787,設定!$B$6:$B$21,0))),""))</f>
        <v/>
      </c>
      <c r="J1787" s="83">
        <f>IFERROR(INDEX(打卡匯入!$C$3:$C$2002,MATCH($C1787&amp;"|"&amp;DAY($A1787),打卡匯入!$E$3:$E$2002,0)),"")</f>
        <v/>
      </c>
      <c r="K1787" s="83">
        <f>IFERROR(INDEX(打卡匯入!$D$3:$D$2002,MATCH($C1787&amp;"|"&amp;DAY($A1787),打卡匯入!$E$3:$E$2002,0)),"")</f>
        <v/>
      </c>
      <c r="L1787" s="84">
        <f>IF(OR($J1787="",$K1787=""),"",IFERROR(INDEX(設定!$F$6:$F$21,MATCH($G1787,設定!$B$6:$B$21,0)),0))</f>
        <v/>
      </c>
      <c r="M1787" s="85">
        <f>IF(OR($J1787="",$K1787=""),"",ROUND(($K1787-$J1787)*24-$L1787/60,2))</f>
        <v/>
      </c>
      <c r="N1787" s="16">
        <f>IF($C1787="","",IF(AND(COUNTIF(設定!$B$15:$B$21,$G1787)&gt;0,$J1787&lt;&gt;""),"假日出勤",IF(AND(COUNTIF(設定!$B$6:$B$14,$G1787)&gt;0,$J1787=""),"未打卡",IF($J1787="","",IF($O1787&gt;0,"遲到",IF($P1787&gt;0,"早退","正常"))))))</f>
        <v/>
      </c>
      <c r="O1787" s="84">
        <f>IF(OR($C1787="",$H1787="",$J1787=""),0,IF(ROUND(($J1787-$H1787)*1440,0)&gt;設定!$C$46,ROUND(($J1787-$H1787)*1440,0),0))</f>
        <v/>
      </c>
      <c r="P1787" s="84">
        <f>IF(OR($C1787="",$I1787="",$K1787=""),0,IF(ROUND(($I1787-$K1787)*1440,0)&gt;設定!$C$46,ROUND(($I1787-$K1787)*1440,0),0))</f>
        <v/>
      </c>
      <c r="Q1787" s="85">
        <f>IF($M1787="",0,IF(($M1787-IFERROR(INDEX(設定!$G$6:$G$21,MATCH($G1787,設定!$B$6:$B$21,0)),0))*60&gt;=設定!$C$44,ROUND(FLOOR(($M1787-IFERROR(INDEX(設定!$G$6:$G$21,MATCH($G1787,設定!$B$6:$B$21,0)),0))*60,設定!$C$45)/60,2),0))</f>
        <v/>
      </c>
      <c r="R1787" s="16">
        <f>IF(OR($C1787="",$Q1787=0),"",IF($G1787="國","國定假日",IF($B1787="日","例假",IF($B1787="六","休息日","平日"))))</f>
        <v/>
      </c>
      <c r="S1787" s="19" t="n"/>
    </row>
    <row r="1788">
      <c r="A1788" s="82">
        <f>IF(OR(助理班表!$A62="",19&gt;DAY(EOMONTH(DATE(設定!$C$2,設定!$D$2,1),0))),"",DATE(設定!$C$2,設定!$D$2,19))</f>
        <v/>
      </c>
      <c r="B1788" s="16">
        <f>IF($A1788="","",INDEX(設定!$O$6:$O$12,WEEKDAY($A1788,1)))</f>
        <v/>
      </c>
      <c r="C1788" s="16">
        <f>IF($A1788="","",助理班表!$A62)</f>
        <v/>
      </c>
      <c r="D1788" s="16">
        <f>IF($C1788="","",助理班表!$B62)</f>
        <v/>
      </c>
      <c r="E1788" s="16">
        <f>IF($C1788="","",助理班表!$D62)</f>
        <v/>
      </c>
      <c r="F1788" s="16">
        <f>IF($C1788="","",助理班表!$C62)</f>
        <v/>
      </c>
      <c r="G1788" s="16">
        <f>IF($C1788="","",助理班表!W62)</f>
        <v/>
      </c>
      <c r="H1788" s="83">
        <f>IF($G1788="","",IFERROR(IF(INDEX(設定!$D$6:$D$21,MATCH($G1788,設定!$B$6:$B$21,0))=0,"",INDEX(設定!$D$6:$D$21,MATCH($G1788,設定!$B$6:$B$21,0))),""))</f>
        <v/>
      </c>
      <c r="I1788" s="83">
        <f>IF($G1788="","",IFERROR(IF(INDEX(設定!$E$6:$E$21,MATCH($G1788,設定!$B$6:$B$21,0))=0,"",INDEX(設定!$E$6:$E$21,MATCH($G1788,設定!$B$6:$B$21,0))),""))</f>
        <v/>
      </c>
      <c r="J1788" s="83">
        <f>IFERROR(INDEX(打卡匯入!$C$3:$C$2002,MATCH($C1788&amp;"|"&amp;DAY($A1788),打卡匯入!$E$3:$E$2002,0)),"")</f>
        <v/>
      </c>
      <c r="K1788" s="83">
        <f>IFERROR(INDEX(打卡匯入!$D$3:$D$2002,MATCH($C1788&amp;"|"&amp;DAY($A1788),打卡匯入!$E$3:$E$2002,0)),"")</f>
        <v/>
      </c>
      <c r="L1788" s="84">
        <f>IF(OR($J1788="",$K1788=""),"",IFERROR(INDEX(設定!$F$6:$F$21,MATCH($G1788,設定!$B$6:$B$21,0)),0))</f>
        <v/>
      </c>
      <c r="M1788" s="85">
        <f>IF(OR($J1788="",$K1788=""),"",ROUND(($K1788-$J1788)*24-$L1788/60,2))</f>
        <v/>
      </c>
      <c r="N1788" s="16">
        <f>IF($C1788="","",IF(AND(COUNTIF(設定!$B$15:$B$21,$G1788)&gt;0,$J1788&lt;&gt;""),"假日出勤",IF(AND(COUNTIF(設定!$B$6:$B$14,$G1788)&gt;0,$J1788=""),"未打卡",IF($J1788="","",IF($O1788&gt;0,"遲到",IF($P1788&gt;0,"早退","正常"))))))</f>
        <v/>
      </c>
      <c r="O1788" s="84">
        <f>IF(OR($C1788="",$H1788="",$J1788=""),0,IF(ROUND(($J1788-$H1788)*1440,0)&gt;設定!$C$46,ROUND(($J1788-$H1788)*1440,0),0))</f>
        <v/>
      </c>
      <c r="P1788" s="84">
        <f>IF(OR($C1788="",$I1788="",$K1788=""),0,IF(ROUND(($I1788-$K1788)*1440,0)&gt;設定!$C$46,ROUND(($I1788-$K1788)*1440,0),0))</f>
        <v/>
      </c>
      <c r="Q1788" s="85">
        <f>IF($M1788="",0,IF(($M1788-IFERROR(INDEX(設定!$G$6:$G$21,MATCH($G1788,設定!$B$6:$B$21,0)),0))*60&gt;=設定!$C$44,ROUND(FLOOR(($M1788-IFERROR(INDEX(設定!$G$6:$G$21,MATCH($G1788,設定!$B$6:$B$21,0)),0))*60,設定!$C$45)/60,2),0))</f>
        <v/>
      </c>
      <c r="R1788" s="16">
        <f>IF(OR($C1788="",$Q1788=0),"",IF($G1788="國","國定假日",IF($B1788="日","例假",IF($B1788="六","休息日","平日"))))</f>
        <v/>
      </c>
      <c r="S1788" s="19" t="n"/>
    </row>
    <row r="1789">
      <c r="A1789" s="82">
        <f>IF(OR(助理班表!$A62="",20&gt;DAY(EOMONTH(DATE(設定!$C$2,設定!$D$2,1),0))),"",DATE(設定!$C$2,設定!$D$2,20))</f>
        <v/>
      </c>
      <c r="B1789" s="16">
        <f>IF($A1789="","",INDEX(設定!$O$6:$O$12,WEEKDAY($A1789,1)))</f>
        <v/>
      </c>
      <c r="C1789" s="16">
        <f>IF($A1789="","",助理班表!$A62)</f>
        <v/>
      </c>
      <c r="D1789" s="16">
        <f>IF($C1789="","",助理班表!$B62)</f>
        <v/>
      </c>
      <c r="E1789" s="16">
        <f>IF($C1789="","",助理班表!$D62)</f>
        <v/>
      </c>
      <c r="F1789" s="16">
        <f>IF($C1789="","",助理班表!$C62)</f>
        <v/>
      </c>
      <c r="G1789" s="16">
        <f>IF($C1789="","",助理班表!X62)</f>
        <v/>
      </c>
      <c r="H1789" s="83">
        <f>IF($G1789="","",IFERROR(IF(INDEX(設定!$D$6:$D$21,MATCH($G1789,設定!$B$6:$B$21,0))=0,"",INDEX(設定!$D$6:$D$21,MATCH($G1789,設定!$B$6:$B$21,0))),""))</f>
        <v/>
      </c>
      <c r="I1789" s="83">
        <f>IF($G1789="","",IFERROR(IF(INDEX(設定!$E$6:$E$21,MATCH($G1789,設定!$B$6:$B$21,0))=0,"",INDEX(設定!$E$6:$E$21,MATCH($G1789,設定!$B$6:$B$21,0))),""))</f>
        <v/>
      </c>
      <c r="J1789" s="83">
        <f>IFERROR(INDEX(打卡匯入!$C$3:$C$2002,MATCH($C1789&amp;"|"&amp;DAY($A1789),打卡匯入!$E$3:$E$2002,0)),"")</f>
        <v/>
      </c>
      <c r="K1789" s="83">
        <f>IFERROR(INDEX(打卡匯入!$D$3:$D$2002,MATCH($C1789&amp;"|"&amp;DAY($A1789),打卡匯入!$E$3:$E$2002,0)),"")</f>
        <v/>
      </c>
      <c r="L1789" s="84">
        <f>IF(OR($J1789="",$K1789=""),"",IFERROR(INDEX(設定!$F$6:$F$21,MATCH($G1789,設定!$B$6:$B$21,0)),0))</f>
        <v/>
      </c>
      <c r="M1789" s="85">
        <f>IF(OR($J1789="",$K1789=""),"",ROUND(($K1789-$J1789)*24-$L1789/60,2))</f>
        <v/>
      </c>
      <c r="N1789" s="16">
        <f>IF($C1789="","",IF(AND(COUNTIF(設定!$B$15:$B$21,$G1789)&gt;0,$J1789&lt;&gt;""),"假日出勤",IF(AND(COUNTIF(設定!$B$6:$B$14,$G1789)&gt;0,$J1789=""),"未打卡",IF($J1789="","",IF($O1789&gt;0,"遲到",IF($P1789&gt;0,"早退","正常"))))))</f>
        <v/>
      </c>
      <c r="O1789" s="84">
        <f>IF(OR($C1789="",$H1789="",$J1789=""),0,IF(ROUND(($J1789-$H1789)*1440,0)&gt;設定!$C$46,ROUND(($J1789-$H1789)*1440,0),0))</f>
        <v/>
      </c>
      <c r="P1789" s="84">
        <f>IF(OR($C1789="",$I1789="",$K1789=""),0,IF(ROUND(($I1789-$K1789)*1440,0)&gt;設定!$C$46,ROUND(($I1789-$K1789)*1440,0),0))</f>
        <v/>
      </c>
      <c r="Q1789" s="85">
        <f>IF($M1789="",0,IF(($M1789-IFERROR(INDEX(設定!$G$6:$G$21,MATCH($G1789,設定!$B$6:$B$21,0)),0))*60&gt;=設定!$C$44,ROUND(FLOOR(($M1789-IFERROR(INDEX(設定!$G$6:$G$21,MATCH($G1789,設定!$B$6:$B$21,0)),0))*60,設定!$C$45)/60,2),0))</f>
        <v/>
      </c>
      <c r="R1789" s="16">
        <f>IF(OR($C1789="",$Q1789=0),"",IF($G1789="國","國定假日",IF($B1789="日","例假",IF($B1789="六","休息日","平日"))))</f>
        <v/>
      </c>
      <c r="S1789" s="19" t="n"/>
    </row>
    <row r="1790">
      <c r="A1790" s="82">
        <f>IF(OR(助理班表!$A62="",21&gt;DAY(EOMONTH(DATE(設定!$C$2,設定!$D$2,1),0))),"",DATE(設定!$C$2,設定!$D$2,21))</f>
        <v/>
      </c>
      <c r="B1790" s="16">
        <f>IF($A1790="","",INDEX(設定!$O$6:$O$12,WEEKDAY($A1790,1)))</f>
        <v/>
      </c>
      <c r="C1790" s="16">
        <f>IF($A1790="","",助理班表!$A62)</f>
        <v/>
      </c>
      <c r="D1790" s="16">
        <f>IF($C1790="","",助理班表!$B62)</f>
        <v/>
      </c>
      <c r="E1790" s="16">
        <f>IF($C1790="","",助理班表!$D62)</f>
        <v/>
      </c>
      <c r="F1790" s="16">
        <f>IF($C1790="","",助理班表!$C62)</f>
        <v/>
      </c>
      <c r="G1790" s="16">
        <f>IF($C1790="","",助理班表!Y62)</f>
        <v/>
      </c>
      <c r="H1790" s="83">
        <f>IF($G1790="","",IFERROR(IF(INDEX(設定!$D$6:$D$21,MATCH($G1790,設定!$B$6:$B$21,0))=0,"",INDEX(設定!$D$6:$D$21,MATCH($G1790,設定!$B$6:$B$21,0))),""))</f>
        <v/>
      </c>
      <c r="I1790" s="83">
        <f>IF($G1790="","",IFERROR(IF(INDEX(設定!$E$6:$E$21,MATCH($G1790,設定!$B$6:$B$21,0))=0,"",INDEX(設定!$E$6:$E$21,MATCH($G1790,設定!$B$6:$B$21,0))),""))</f>
        <v/>
      </c>
      <c r="J1790" s="83">
        <f>IFERROR(INDEX(打卡匯入!$C$3:$C$2002,MATCH($C1790&amp;"|"&amp;DAY($A1790),打卡匯入!$E$3:$E$2002,0)),"")</f>
        <v/>
      </c>
      <c r="K1790" s="83">
        <f>IFERROR(INDEX(打卡匯入!$D$3:$D$2002,MATCH($C1790&amp;"|"&amp;DAY($A1790),打卡匯入!$E$3:$E$2002,0)),"")</f>
        <v/>
      </c>
      <c r="L1790" s="84">
        <f>IF(OR($J1790="",$K1790=""),"",IFERROR(INDEX(設定!$F$6:$F$21,MATCH($G1790,設定!$B$6:$B$21,0)),0))</f>
        <v/>
      </c>
      <c r="M1790" s="85">
        <f>IF(OR($J1790="",$K1790=""),"",ROUND(($K1790-$J1790)*24-$L1790/60,2))</f>
        <v/>
      </c>
      <c r="N1790" s="16">
        <f>IF($C1790="","",IF(AND(COUNTIF(設定!$B$15:$B$21,$G1790)&gt;0,$J1790&lt;&gt;""),"假日出勤",IF(AND(COUNTIF(設定!$B$6:$B$14,$G1790)&gt;0,$J1790=""),"未打卡",IF($J1790="","",IF($O1790&gt;0,"遲到",IF($P1790&gt;0,"早退","正常"))))))</f>
        <v/>
      </c>
      <c r="O1790" s="84">
        <f>IF(OR($C1790="",$H1790="",$J1790=""),0,IF(ROUND(($J1790-$H1790)*1440,0)&gt;設定!$C$46,ROUND(($J1790-$H1790)*1440,0),0))</f>
        <v/>
      </c>
      <c r="P1790" s="84">
        <f>IF(OR($C1790="",$I1790="",$K1790=""),0,IF(ROUND(($I1790-$K1790)*1440,0)&gt;設定!$C$46,ROUND(($I1790-$K1790)*1440,0),0))</f>
        <v/>
      </c>
      <c r="Q1790" s="85">
        <f>IF($M1790="",0,IF(($M1790-IFERROR(INDEX(設定!$G$6:$G$21,MATCH($G1790,設定!$B$6:$B$21,0)),0))*60&gt;=設定!$C$44,ROUND(FLOOR(($M1790-IFERROR(INDEX(設定!$G$6:$G$21,MATCH($G1790,設定!$B$6:$B$21,0)),0))*60,設定!$C$45)/60,2),0))</f>
        <v/>
      </c>
      <c r="R1790" s="16">
        <f>IF(OR($C1790="",$Q1790=0),"",IF($G1790="國","國定假日",IF($B1790="日","例假",IF($B1790="六","休息日","平日"))))</f>
        <v/>
      </c>
      <c r="S1790" s="19" t="n"/>
    </row>
    <row r="1791">
      <c r="A1791" s="82">
        <f>IF(OR(助理班表!$A62="",22&gt;DAY(EOMONTH(DATE(設定!$C$2,設定!$D$2,1),0))),"",DATE(設定!$C$2,設定!$D$2,22))</f>
        <v/>
      </c>
      <c r="B1791" s="16">
        <f>IF($A1791="","",INDEX(設定!$O$6:$O$12,WEEKDAY($A1791,1)))</f>
        <v/>
      </c>
      <c r="C1791" s="16">
        <f>IF($A1791="","",助理班表!$A62)</f>
        <v/>
      </c>
      <c r="D1791" s="16">
        <f>IF($C1791="","",助理班表!$B62)</f>
        <v/>
      </c>
      <c r="E1791" s="16">
        <f>IF($C1791="","",助理班表!$D62)</f>
        <v/>
      </c>
      <c r="F1791" s="16">
        <f>IF($C1791="","",助理班表!$C62)</f>
        <v/>
      </c>
      <c r="G1791" s="16">
        <f>IF($C1791="","",助理班表!Z62)</f>
        <v/>
      </c>
      <c r="H1791" s="83">
        <f>IF($G1791="","",IFERROR(IF(INDEX(設定!$D$6:$D$21,MATCH($G1791,設定!$B$6:$B$21,0))=0,"",INDEX(設定!$D$6:$D$21,MATCH($G1791,設定!$B$6:$B$21,0))),""))</f>
        <v/>
      </c>
      <c r="I1791" s="83">
        <f>IF($G1791="","",IFERROR(IF(INDEX(設定!$E$6:$E$21,MATCH($G1791,設定!$B$6:$B$21,0))=0,"",INDEX(設定!$E$6:$E$21,MATCH($G1791,設定!$B$6:$B$21,0))),""))</f>
        <v/>
      </c>
      <c r="J1791" s="83">
        <f>IFERROR(INDEX(打卡匯入!$C$3:$C$2002,MATCH($C1791&amp;"|"&amp;DAY($A1791),打卡匯入!$E$3:$E$2002,0)),"")</f>
        <v/>
      </c>
      <c r="K1791" s="83">
        <f>IFERROR(INDEX(打卡匯入!$D$3:$D$2002,MATCH($C1791&amp;"|"&amp;DAY($A1791),打卡匯入!$E$3:$E$2002,0)),"")</f>
        <v/>
      </c>
      <c r="L1791" s="84">
        <f>IF(OR($J1791="",$K1791=""),"",IFERROR(INDEX(設定!$F$6:$F$21,MATCH($G1791,設定!$B$6:$B$21,0)),0))</f>
        <v/>
      </c>
      <c r="M1791" s="85">
        <f>IF(OR($J1791="",$K1791=""),"",ROUND(($K1791-$J1791)*24-$L1791/60,2))</f>
        <v/>
      </c>
      <c r="N1791" s="16">
        <f>IF($C1791="","",IF(AND(COUNTIF(設定!$B$15:$B$21,$G1791)&gt;0,$J1791&lt;&gt;""),"假日出勤",IF(AND(COUNTIF(設定!$B$6:$B$14,$G1791)&gt;0,$J1791=""),"未打卡",IF($J1791="","",IF($O1791&gt;0,"遲到",IF($P1791&gt;0,"早退","正常"))))))</f>
        <v/>
      </c>
      <c r="O1791" s="84">
        <f>IF(OR($C1791="",$H1791="",$J1791=""),0,IF(ROUND(($J1791-$H1791)*1440,0)&gt;設定!$C$46,ROUND(($J1791-$H1791)*1440,0),0))</f>
        <v/>
      </c>
      <c r="P1791" s="84">
        <f>IF(OR($C1791="",$I1791="",$K1791=""),0,IF(ROUND(($I1791-$K1791)*1440,0)&gt;設定!$C$46,ROUND(($I1791-$K1791)*1440,0),0))</f>
        <v/>
      </c>
      <c r="Q1791" s="85">
        <f>IF($M1791="",0,IF(($M1791-IFERROR(INDEX(設定!$G$6:$G$21,MATCH($G1791,設定!$B$6:$B$21,0)),0))*60&gt;=設定!$C$44,ROUND(FLOOR(($M1791-IFERROR(INDEX(設定!$G$6:$G$21,MATCH($G1791,設定!$B$6:$B$21,0)),0))*60,設定!$C$45)/60,2),0))</f>
        <v/>
      </c>
      <c r="R1791" s="16">
        <f>IF(OR($C1791="",$Q1791=0),"",IF($G1791="國","國定假日",IF($B1791="日","例假",IF($B1791="六","休息日","平日"))))</f>
        <v/>
      </c>
      <c r="S1791" s="19" t="n"/>
    </row>
    <row r="1792">
      <c r="A1792" s="82">
        <f>IF(OR(助理班表!$A62="",23&gt;DAY(EOMONTH(DATE(設定!$C$2,設定!$D$2,1),0))),"",DATE(設定!$C$2,設定!$D$2,23))</f>
        <v/>
      </c>
      <c r="B1792" s="16">
        <f>IF($A1792="","",INDEX(設定!$O$6:$O$12,WEEKDAY($A1792,1)))</f>
        <v/>
      </c>
      <c r="C1792" s="16">
        <f>IF($A1792="","",助理班表!$A62)</f>
        <v/>
      </c>
      <c r="D1792" s="16">
        <f>IF($C1792="","",助理班表!$B62)</f>
        <v/>
      </c>
      <c r="E1792" s="16">
        <f>IF($C1792="","",助理班表!$D62)</f>
        <v/>
      </c>
      <c r="F1792" s="16">
        <f>IF($C1792="","",助理班表!$C62)</f>
        <v/>
      </c>
      <c r="G1792" s="16">
        <f>IF($C1792="","",助理班表!AA62)</f>
        <v/>
      </c>
      <c r="H1792" s="83">
        <f>IF($G1792="","",IFERROR(IF(INDEX(設定!$D$6:$D$21,MATCH($G1792,設定!$B$6:$B$21,0))=0,"",INDEX(設定!$D$6:$D$21,MATCH($G1792,設定!$B$6:$B$21,0))),""))</f>
        <v/>
      </c>
      <c r="I1792" s="83">
        <f>IF($G1792="","",IFERROR(IF(INDEX(設定!$E$6:$E$21,MATCH($G1792,設定!$B$6:$B$21,0))=0,"",INDEX(設定!$E$6:$E$21,MATCH($G1792,設定!$B$6:$B$21,0))),""))</f>
        <v/>
      </c>
      <c r="J1792" s="83">
        <f>IFERROR(INDEX(打卡匯入!$C$3:$C$2002,MATCH($C1792&amp;"|"&amp;DAY($A1792),打卡匯入!$E$3:$E$2002,0)),"")</f>
        <v/>
      </c>
      <c r="K1792" s="83">
        <f>IFERROR(INDEX(打卡匯入!$D$3:$D$2002,MATCH($C1792&amp;"|"&amp;DAY($A1792),打卡匯入!$E$3:$E$2002,0)),"")</f>
        <v/>
      </c>
      <c r="L1792" s="84">
        <f>IF(OR($J1792="",$K1792=""),"",IFERROR(INDEX(設定!$F$6:$F$21,MATCH($G1792,設定!$B$6:$B$21,0)),0))</f>
        <v/>
      </c>
      <c r="M1792" s="85">
        <f>IF(OR($J1792="",$K1792=""),"",ROUND(($K1792-$J1792)*24-$L1792/60,2))</f>
        <v/>
      </c>
      <c r="N1792" s="16">
        <f>IF($C1792="","",IF(AND(COUNTIF(設定!$B$15:$B$21,$G1792)&gt;0,$J1792&lt;&gt;""),"假日出勤",IF(AND(COUNTIF(設定!$B$6:$B$14,$G1792)&gt;0,$J1792=""),"未打卡",IF($J1792="","",IF($O1792&gt;0,"遲到",IF($P1792&gt;0,"早退","正常"))))))</f>
        <v/>
      </c>
      <c r="O1792" s="84">
        <f>IF(OR($C1792="",$H1792="",$J1792=""),0,IF(ROUND(($J1792-$H1792)*1440,0)&gt;設定!$C$46,ROUND(($J1792-$H1792)*1440,0),0))</f>
        <v/>
      </c>
      <c r="P1792" s="84">
        <f>IF(OR($C1792="",$I1792="",$K1792=""),0,IF(ROUND(($I1792-$K1792)*1440,0)&gt;設定!$C$46,ROUND(($I1792-$K1792)*1440,0),0))</f>
        <v/>
      </c>
      <c r="Q1792" s="85">
        <f>IF($M1792="",0,IF(($M1792-IFERROR(INDEX(設定!$G$6:$G$21,MATCH($G1792,設定!$B$6:$B$21,0)),0))*60&gt;=設定!$C$44,ROUND(FLOOR(($M1792-IFERROR(INDEX(設定!$G$6:$G$21,MATCH($G1792,設定!$B$6:$B$21,0)),0))*60,設定!$C$45)/60,2),0))</f>
        <v/>
      </c>
      <c r="R1792" s="16">
        <f>IF(OR($C1792="",$Q1792=0),"",IF($G1792="國","國定假日",IF($B1792="日","例假",IF($B1792="六","休息日","平日"))))</f>
        <v/>
      </c>
      <c r="S1792" s="19" t="n"/>
    </row>
    <row r="1793">
      <c r="A1793" s="82">
        <f>IF(OR(助理班表!$A62="",24&gt;DAY(EOMONTH(DATE(設定!$C$2,設定!$D$2,1),0))),"",DATE(設定!$C$2,設定!$D$2,24))</f>
        <v/>
      </c>
      <c r="B1793" s="16">
        <f>IF($A1793="","",INDEX(設定!$O$6:$O$12,WEEKDAY($A1793,1)))</f>
        <v/>
      </c>
      <c r="C1793" s="16">
        <f>IF($A1793="","",助理班表!$A62)</f>
        <v/>
      </c>
      <c r="D1793" s="16">
        <f>IF($C1793="","",助理班表!$B62)</f>
        <v/>
      </c>
      <c r="E1793" s="16">
        <f>IF($C1793="","",助理班表!$D62)</f>
        <v/>
      </c>
      <c r="F1793" s="16">
        <f>IF($C1793="","",助理班表!$C62)</f>
        <v/>
      </c>
      <c r="G1793" s="16">
        <f>IF($C1793="","",助理班表!AB62)</f>
        <v/>
      </c>
      <c r="H1793" s="83">
        <f>IF($G1793="","",IFERROR(IF(INDEX(設定!$D$6:$D$21,MATCH($G1793,設定!$B$6:$B$21,0))=0,"",INDEX(設定!$D$6:$D$21,MATCH($G1793,設定!$B$6:$B$21,0))),""))</f>
        <v/>
      </c>
      <c r="I1793" s="83">
        <f>IF($G1793="","",IFERROR(IF(INDEX(設定!$E$6:$E$21,MATCH($G1793,設定!$B$6:$B$21,0))=0,"",INDEX(設定!$E$6:$E$21,MATCH($G1793,設定!$B$6:$B$21,0))),""))</f>
        <v/>
      </c>
      <c r="J1793" s="83">
        <f>IFERROR(INDEX(打卡匯入!$C$3:$C$2002,MATCH($C1793&amp;"|"&amp;DAY($A1793),打卡匯入!$E$3:$E$2002,0)),"")</f>
        <v/>
      </c>
      <c r="K1793" s="83">
        <f>IFERROR(INDEX(打卡匯入!$D$3:$D$2002,MATCH($C1793&amp;"|"&amp;DAY($A1793),打卡匯入!$E$3:$E$2002,0)),"")</f>
        <v/>
      </c>
      <c r="L1793" s="84">
        <f>IF(OR($J1793="",$K1793=""),"",IFERROR(INDEX(設定!$F$6:$F$21,MATCH($G1793,設定!$B$6:$B$21,0)),0))</f>
        <v/>
      </c>
      <c r="M1793" s="85">
        <f>IF(OR($J1793="",$K1793=""),"",ROUND(($K1793-$J1793)*24-$L1793/60,2))</f>
        <v/>
      </c>
      <c r="N1793" s="16">
        <f>IF($C1793="","",IF(AND(COUNTIF(設定!$B$15:$B$21,$G1793)&gt;0,$J1793&lt;&gt;""),"假日出勤",IF(AND(COUNTIF(設定!$B$6:$B$14,$G1793)&gt;0,$J1793=""),"未打卡",IF($J1793="","",IF($O1793&gt;0,"遲到",IF($P1793&gt;0,"早退","正常"))))))</f>
        <v/>
      </c>
      <c r="O1793" s="84">
        <f>IF(OR($C1793="",$H1793="",$J1793=""),0,IF(ROUND(($J1793-$H1793)*1440,0)&gt;設定!$C$46,ROUND(($J1793-$H1793)*1440,0),0))</f>
        <v/>
      </c>
      <c r="P1793" s="84">
        <f>IF(OR($C1793="",$I1793="",$K1793=""),0,IF(ROUND(($I1793-$K1793)*1440,0)&gt;設定!$C$46,ROUND(($I1793-$K1793)*1440,0),0))</f>
        <v/>
      </c>
      <c r="Q1793" s="85">
        <f>IF($M1793="",0,IF(($M1793-IFERROR(INDEX(設定!$G$6:$G$21,MATCH($G1793,設定!$B$6:$B$21,0)),0))*60&gt;=設定!$C$44,ROUND(FLOOR(($M1793-IFERROR(INDEX(設定!$G$6:$G$21,MATCH($G1793,設定!$B$6:$B$21,0)),0))*60,設定!$C$45)/60,2),0))</f>
        <v/>
      </c>
      <c r="R1793" s="16">
        <f>IF(OR($C1793="",$Q1793=0),"",IF($G1793="國","國定假日",IF($B1793="日","例假",IF($B1793="六","休息日","平日"))))</f>
        <v/>
      </c>
      <c r="S1793" s="19" t="n"/>
    </row>
    <row r="1794">
      <c r="A1794" s="82">
        <f>IF(OR(助理班表!$A62="",25&gt;DAY(EOMONTH(DATE(設定!$C$2,設定!$D$2,1),0))),"",DATE(設定!$C$2,設定!$D$2,25))</f>
        <v/>
      </c>
      <c r="B1794" s="16">
        <f>IF($A1794="","",INDEX(設定!$O$6:$O$12,WEEKDAY($A1794,1)))</f>
        <v/>
      </c>
      <c r="C1794" s="16">
        <f>IF($A1794="","",助理班表!$A62)</f>
        <v/>
      </c>
      <c r="D1794" s="16">
        <f>IF($C1794="","",助理班表!$B62)</f>
        <v/>
      </c>
      <c r="E1794" s="16">
        <f>IF($C1794="","",助理班表!$D62)</f>
        <v/>
      </c>
      <c r="F1794" s="16">
        <f>IF($C1794="","",助理班表!$C62)</f>
        <v/>
      </c>
      <c r="G1794" s="16">
        <f>IF($C1794="","",助理班表!AC62)</f>
        <v/>
      </c>
      <c r="H1794" s="83">
        <f>IF($G1794="","",IFERROR(IF(INDEX(設定!$D$6:$D$21,MATCH($G1794,設定!$B$6:$B$21,0))=0,"",INDEX(設定!$D$6:$D$21,MATCH($G1794,設定!$B$6:$B$21,0))),""))</f>
        <v/>
      </c>
      <c r="I1794" s="83">
        <f>IF($G1794="","",IFERROR(IF(INDEX(設定!$E$6:$E$21,MATCH($G1794,設定!$B$6:$B$21,0))=0,"",INDEX(設定!$E$6:$E$21,MATCH($G1794,設定!$B$6:$B$21,0))),""))</f>
        <v/>
      </c>
      <c r="J1794" s="83">
        <f>IFERROR(INDEX(打卡匯入!$C$3:$C$2002,MATCH($C1794&amp;"|"&amp;DAY($A1794),打卡匯入!$E$3:$E$2002,0)),"")</f>
        <v/>
      </c>
      <c r="K1794" s="83">
        <f>IFERROR(INDEX(打卡匯入!$D$3:$D$2002,MATCH($C1794&amp;"|"&amp;DAY($A1794),打卡匯入!$E$3:$E$2002,0)),"")</f>
        <v/>
      </c>
      <c r="L1794" s="84">
        <f>IF(OR($J1794="",$K1794=""),"",IFERROR(INDEX(設定!$F$6:$F$21,MATCH($G1794,設定!$B$6:$B$21,0)),0))</f>
        <v/>
      </c>
      <c r="M1794" s="85">
        <f>IF(OR($J1794="",$K1794=""),"",ROUND(($K1794-$J1794)*24-$L1794/60,2))</f>
        <v/>
      </c>
      <c r="N1794" s="16">
        <f>IF($C1794="","",IF(AND(COUNTIF(設定!$B$15:$B$21,$G1794)&gt;0,$J1794&lt;&gt;""),"假日出勤",IF(AND(COUNTIF(設定!$B$6:$B$14,$G1794)&gt;0,$J1794=""),"未打卡",IF($J1794="","",IF($O1794&gt;0,"遲到",IF($P1794&gt;0,"早退","正常"))))))</f>
        <v/>
      </c>
      <c r="O1794" s="84">
        <f>IF(OR($C1794="",$H1794="",$J1794=""),0,IF(ROUND(($J1794-$H1794)*1440,0)&gt;設定!$C$46,ROUND(($J1794-$H1794)*1440,0),0))</f>
        <v/>
      </c>
      <c r="P1794" s="84">
        <f>IF(OR($C1794="",$I1794="",$K1794=""),0,IF(ROUND(($I1794-$K1794)*1440,0)&gt;設定!$C$46,ROUND(($I1794-$K1794)*1440,0),0))</f>
        <v/>
      </c>
      <c r="Q1794" s="85">
        <f>IF($M1794="",0,IF(($M1794-IFERROR(INDEX(設定!$G$6:$G$21,MATCH($G1794,設定!$B$6:$B$21,0)),0))*60&gt;=設定!$C$44,ROUND(FLOOR(($M1794-IFERROR(INDEX(設定!$G$6:$G$21,MATCH($G1794,設定!$B$6:$B$21,0)),0))*60,設定!$C$45)/60,2),0))</f>
        <v/>
      </c>
      <c r="R1794" s="16">
        <f>IF(OR($C1794="",$Q1794=0),"",IF($G1794="國","國定假日",IF($B1794="日","例假",IF($B1794="六","休息日","平日"))))</f>
        <v/>
      </c>
      <c r="S1794" s="19" t="n"/>
    </row>
    <row r="1795">
      <c r="A1795" s="82">
        <f>IF(OR(助理班表!$A62="",26&gt;DAY(EOMONTH(DATE(設定!$C$2,設定!$D$2,1),0))),"",DATE(設定!$C$2,設定!$D$2,26))</f>
        <v/>
      </c>
      <c r="B1795" s="16">
        <f>IF($A1795="","",INDEX(設定!$O$6:$O$12,WEEKDAY($A1795,1)))</f>
        <v/>
      </c>
      <c r="C1795" s="16">
        <f>IF($A1795="","",助理班表!$A62)</f>
        <v/>
      </c>
      <c r="D1795" s="16">
        <f>IF($C1795="","",助理班表!$B62)</f>
        <v/>
      </c>
      <c r="E1795" s="16">
        <f>IF($C1795="","",助理班表!$D62)</f>
        <v/>
      </c>
      <c r="F1795" s="16">
        <f>IF($C1795="","",助理班表!$C62)</f>
        <v/>
      </c>
      <c r="G1795" s="16">
        <f>IF($C1795="","",助理班表!AD62)</f>
        <v/>
      </c>
      <c r="H1795" s="83">
        <f>IF($G1795="","",IFERROR(IF(INDEX(設定!$D$6:$D$21,MATCH($G1795,設定!$B$6:$B$21,0))=0,"",INDEX(設定!$D$6:$D$21,MATCH($G1795,設定!$B$6:$B$21,0))),""))</f>
        <v/>
      </c>
      <c r="I1795" s="83">
        <f>IF($G1795="","",IFERROR(IF(INDEX(設定!$E$6:$E$21,MATCH($G1795,設定!$B$6:$B$21,0))=0,"",INDEX(設定!$E$6:$E$21,MATCH($G1795,設定!$B$6:$B$21,0))),""))</f>
        <v/>
      </c>
      <c r="J1795" s="83">
        <f>IFERROR(INDEX(打卡匯入!$C$3:$C$2002,MATCH($C1795&amp;"|"&amp;DAY($A1795),打卡匯入!$E$3:$E$2002,0)),"")</f>
        <v/>
      </c>
      <c r="K1795" s="83">
        <f>IFERROR(INDEX(打卡匯入!$D$3:$D$2002,MATCH($C1795&amp;"|"&amp;DAY($A1795),打卡匯入!$E$3:$E$2002,0)),"")</f>
        <v/>
      </c>
      <c r="L1795" s="84">
        <f>IF(OR($J1795="",$K1795=""),"",IFERROR(INDEX(設定!$F$6:$F$21,MATCH($G1795,設定!$B$6:$B$21,0)),0))</f>
        <v/>
      </c>
      <c r="M1795" s="85">
        <f>IF(OR($J1795="",$K1795=""),"",ROUND(($K1795-$J1795)*24-$L1795/60,2))</f>
        <v/>
      </c>
      <c r="N1795" s="16">
        <f>IF($C1795="","",IF(AND(COUNTIF(設定!$B$15:$B$21,$G1795)&gt;0,$J1795&lt;&gt;""),"假日出勤",IF(AND(COUNTIF(設定!$B$6:$B$14,$G1795)&gt;0,$J1795=""),"未打卡",IF($J1795="","",IF($O1795&gt;0,"遲到",IF($P1795&gt;0,"早退","正常"))))))</f>
        <v/>
      </c>
      <c r="O1795" s="84">
        <f>IF(OR($C1795="",$H1795="",$J1795=""),0,IF(ROUND(($J1795-$H1795)*1440,0)&gt;設定!$C$46,ROUND(($J1795-$H1795)*1440,0),0))</f>
        <v/>
      </c>
      <c r="P1795" s="84">
        <f>IF(OR($C1795="",$I1795="",$K1795=""),0,IF(ROUND(($I1795-$K1795)*1440,0)&gt;設定!$C$46,ROUND(($I1795-$K1795)*1440,0),0))</f>
        <v/>
      </c>
      <c r="Q1795" s="85">
        <f>IF($M1795="",0,IF(($M1795-IFERROR(INDEX(設定!$G$6:$G$21,MATCH($G1795,設定!$B$6:$B$21,0)),0))*60&gt;=設定!$C$44,ROUND(FLOOR(($M1795-IFERROR(INDEX(設定!$G$6:$G$21,MATCH($G1795,設定!$B$6:$B$21,0)),0))*60,設定!$C$45)/60,2),0))</f>
        <v/>
      </c>
      <c r="R1795" s="16">
        <f>IF(OR($C1795="",$Q1795=0),"",IF($G1795="國","國定假日",IF($B1795="日","例假",IF($B1795="六","休息日","平日"))))</f>
        <v/>
      </c>
      <c r="S1795" s="19" t="n"/>
    </row>
    <row r="1796">
      <c r="A1796" s="82">
        <f>IF(OR(助理班表!$A62="",27&gt;DAY(EOMONTH(DATE(設定!$C$2,設定!$D$2,1),0))),"",DATE(設定!$C$2,設定!$D$2,27))</f>
        <v/>
      </c>
      <c r="B1796" s="16">
        <f>IF($A1796="","",INDEX(設定!$O$6:$O$12,WEEKDAY($A1796,1)))</f>
        <v/>
      </c>
      <c r="C1796" s="16">
        <f>IF($A1796="","",助理班表!$A62)</f>
        <v/>
      </c>
      <c r="D1796" s="16">
        <f>IF($C1796="","",助理班表!$B62)</f>
        <v/>
      </c>
      <c r="E1796" s="16">
        <f>IF($C1796="","",助理班表!$D62)</f>
        <v/>
      </c>
      <c r="F1796" s="16">
        <f>IF($C1796="","",助理班表!$C62)</f>
        <v/>
      </c>
      <c r="G1796" s="16">
        <f>IF($C1796="","",助理班表!AE62)</f>
        <v/>
      </c>
      <c r="H1796" s="83">
        <f>IF($G1796="","",IFERROR(IF(INDEX(設定!$D$6:$D$21,MATCH($G1796,設定!$B$6:$B$21,0))=0,"",INDEX(設定!$D$6:$D$21,MATCH($G1796,設定!$B$6:$B$21,0))),""))</f>
        <v/>
      </c>
      <c r="I1796" s="83">
        <f>IF($G1796="","",IFERROR(IF(INDEX(設定!$E$6:$E$21,MATCH($G1796,設定!$B$6:$B$21,0))=0,"",INDEX(設定!$E$6:$E$21,MATCH($G1796,設定!$B$6:$B$21,0))),""))</f>
        <v/>
      </c>
      <c r="J1796" s="83">
        <f>IFERROR(INDEX(打卡匯入!$C$3:$C$2002,MATCH($C1796&amp;"|"&amp;DAY($A1796),打卡匯入!$E$3:$E$2002,0)),"")</f>
        <v/>
      </c>
      <c r="K1796" s="83">
        <f>IFERROR(INDEX(打卡匯入!$D$3:$D$2002,MATCH($C1796&amp;"|"&amp;DAY($A1796),打卡匯入!$E$3:$E$2002,0)),"")</f>
        <v/>
      </c>
      <c r="L1796" s="84">
        <f>IF(OR($J1796="",$K1796=""),"",IFERROR(INDEX(設定!$F$6:$F$21,MATCH($G1796,設定!$B$6:$B$21,0)),0))</f>
        <v/>
      </c>
      <c r="M1796" s="85">
        <f>IF(OR($J1796="",$K1796=""),"",ROUND(($K1796-$J1796)*24-$L1796/60,2))</f>
        <v/>
      </c>
      <c r="N1796" s="16">
        <f>IF($C1796="","",IF(AND(COUNTIF(設定!$B$15:$B$21,$G1796)&gt;0,$J1796&lt;&gt;""),"假日出勤",IF(AND(COUNTIF(設定!$B$6:$B$14,$G1796)&gt;0,$J1796=""),"未打卡",IF($J1796="","",IF($O1796&gt;0,"遲到",IF($P1796&gt;0,"早退","正常"))))))</f>
        <v/>
      </c>
      <c r="O1796" s="84">
        <f>IF(OR($C1796="",$H1796="",$J1796=""),0,IF(ROUND(($J1796-$H1796)*1440,0)&gt;設定!$C$46,ROUND(($J1796-$H1796)*1440,0),0))</f>
        <v/>
      </c>
      <c r="P1796" s="84">
        <f>IF(OR($C1796="",$I1796="",$K1796=""),0,IF(ROUND(($I1796-$K1796)*1440,0)&gt;設定!$C$46,ROUND(($I1796-$K1796)*1440,0),0))</f>
        <v/>
      </c>
      <c r="Q1796" s="85">
        <f>IF($M1796="",0,IF(($M1796-IFERROR(INDEX(設定!$G$6:$G$21,MATCH($G1796,設定!$B$6:$B$21,0)),0))*60&gt;=設定!$C$44,ROUND(FLOOR(($M1796-IFERROR(INDEX(設定!$G$6:$G$21,MATCH($G1796,設定!$B$6:$B$21,0)),0))*60,設定!$C$45)/60,2),0))</f>
        <v/>
      </c>
      <c r="R1796" s="16">
        <f>IF(OR($C1796="",$Q1796=0),"",IF($G1796="國","國定假日",IF($B1796="日","例假",IF($B1796="六","休息日","平日"))))</f>
        <v/>
      </c>
      <c r="S1796" s="19" t="n"/>
    </row>
    <row r="1797">
      <c r="A1797" s="82">
        <f>IF(OR(助理班表!$A62="",28&gt;DAY(EOMONTH(DATE(設定!$C$2,設定!$D$2,1),0))),"",DATE(設定!$C$2,設定!$D$2,28))</f>
        <v/>
      </c>
      <c r="B1797" s="16">
        <f>IF($A1797="","",INDEX(設定!$O$6:$O$12,WEEKDAY($A1797,1)))</f>
        <v/>
      </c>
      <c r="C1797" s="16">
        <f>IF($A1797="","",助理班表!$A62)</f>
        <v/>
      </c>
      <c r="D1797" s="16">
        <f>IF($C1797="","",助理班表!$B62)</f>
        <v/>
      </c>
      <c r="E1797" s="16">
        <f>IF($C1797="","",助理班表!$D62)</f>
        <v/>
      </c>
      <c r="F1797" s="16">
        <f>IF($C1797="","",助理班表!$C62)</f>
        <v/>
      </c>
      <c r="G1797" s="16">
        <f>IF($C1797="","",助理班表!AF62)</f>
        <v/>
      </c>
      <c r="H1797" s="83">
        <f>IF($G1797="","",IFERROR(IF(INDEX(設定!$D$6:$D$21,MATCH($G1797,設定!$B$6:$B$21,0))=0,"",INDEX(設定!$D$6:$D$21,MATCH($G1797,設定!$B$6:$B$21,0))),""))</f>
        <v/>
      </c>
      <c r="I1797" s="83">
        <f>IF($G1797="","",IFERROR(IF(INDEX(設定!$E$6:$E$21,MATCH($G1797,設定!$B$6:$B$21,0))=0,"",INDEX(設定!$E$6:$E$21,MATCH($G1797,設定!$B$6:$B$21,0))),""))</f>
        <v/>
      </c>
      <c r="J1797" s="83">
        <f>IFERROR(INDEX(打卡匯入!$C$3:$C$2002,MATCH($C1797&amp;"|"&amp;DAY($A1797),打卡匯入!$E$3:$E$2002,0)),"")</f>
        <v/>
      </c>
      <c r="K1797" s="83">
        <f>IFERROR(INDEX(打卡匯入!$D$3:$D$2002,MATCH($C1797&amp;"|"&amp;DAY($A1797),打卡匯入!$E$3:$E$2002,0)),"")</f>
        <v/>
      </c>
      <c r="L1797" s="84">
        <f>IF(OR($J1797="",$K1797=""),"",IFERROR(INDEX(設定!$F$6:$F$21,MATCH($G1797,設定!$B$6:$B$21,0)),0))</f>
        <v/>
      </c>
      <c r="M1797" s="85">
        <f>IF(OR($J1797="",$K1797=""),"",ROUND(($K1797-$J1797)*24-$L1797/60,2))</f>
        <v/>
      </c>
      <c r="N1797" s="16">
        <f>IF($C1797="","",IF(AND(COUNTIF(設定!$B$15:$B$21,$G1797)&gt;0,$J1797&lt;&gt;""),"假日出勤",IF(AND(COUNTIF(設定!$B$6:$B$14,$G1797)&gt;0,$J1797=""),"未打卡",IF($J1797="","",IF($O1797&gt;0,"遲到",IF($P1797&gt;0,"早退","正常"))))))</f>
        <v/>
      </c>
      <c r="O1797" s="84">
        <f>IF(OR($C1797="",$H1797="",$J1797=""),0,IF(ROUND(($J1797-$H1797)*1440,0)&gt;設定!$C$46,ROUND(($J1797-$H1797)*1440,0),0))</f>
        <v/>
      </c>
      <c r="P1797" s="84">
        <f>IF(OR($C1797="",$I1797="",$K1797=""),0,IF(ROUND(($I1797-$K1797)*1440,0)&gt;設定!$C$46,ROUND(($I1797-$K1797)*1440,0),0))</f>
        <v/>
      </c>
      <c r="Q1797" s="85">
        <f>IF($M1797="",0,IF(($M1797-IFERROR(INDEX(設定!$G$6:$G$21,MATCH($G1797,設定!$B$6:$B$21,0)),0))*60&gt;=設定!$C$44,ROUND(FLOOR(($M1797-IFERROR(INDEX(設定!$G$6:$G$21,MATCH($G1797,設定!$B$6:$B$21,0)),0))*60,設定!$C$45)/60,2),0))</f>
        <v/>
      </c>
      <c r="R1797" s="16">
        <f>IF(OR($C1797="",$Q1797=0),"",IF($G1797="國","國定假日",IF($B1797="日","例假",IF($B1797="六","休息日","平日"))))</f>
        <v/>
      </c>
      <c r="S1797" s="19" t="n"/>
    </row>
    <row r="1798">
      <c r="A1798" s="82">
        <f>IF(OR(助理班表!$A62="",29&gt;DAY(EOMONTH(DATE(設定!$C$2,設定!$D$2,1),0))),"",DATE(設定!$C$2,設定!$D$2,29))</f>
        <v/>
      </c>
      <c r="B1798" s="16">
        <f>IF($A1798="","",INDEX(設定!$O$6:$O$12,WEEKDAY($A1798,1)))</f>
        <v/>
      </c>
      <c r="C1798" s="16">
        <f>IF($A1798="","",助理班表!$A62)</f>
        <v/>
      </c>
      <c r="D1798" s="16">
        <f>IF($C1798="","",助理班表!$B62)</f>
        <v/>
      </c>
      <c r="E1798" s="16">
        <f>IF($C1798="","",助理班表!$D62)</f>
        <v/>
      </c>
      <c r="F1798" s="16">
        <f>IF($C1798="","",助理班表!$C62)</f>
        <v/>
      </c>
      <c r="G1798" s="16">
        <f>IF($C1798="","",助理班表!AG62)</f>
        <v/>
      </c>
      <c r="H1798" s="83">
        <f>IF($G1798="","",IFERROR(IF(INDEX(設定!$D$6:$D$21,MATCH($G1798,設定!$B$6:$B$21,0))=0,"",INDEX(設定!$D$6:$D$21,MATCH($G1798,設定!$B$6:$B$21,0))),""))</f>
        <v/>
      </c>
      <c r="I1798" s="83">
        <f>IF($G1798="","",IFERROR(IF(INDEX(設定!$E$6:$E$21,MATCH($G1798,設定!$B$6:$B$21,0))=0,"",INDEX(設定!$E$6:$E$21,MATCH($G1798,設定!$B$6:$B$21,0))),""))</f>
        <v/>
      </c>
      <c r="J1798" s="83">
        <f>IFERROR(INDEX(打卡匯入!$C$3:$C$2002,MATCH($C1798&amp;"|"&amp;DAY($A1798),打卡匯入!$E$3:$E$2002,0)),"")</f>
        <v/>
      </c>
      <c r="K1798" s="83">
        <f>IFERROR(INDEX(打卡匯入!$D$3:$D$2002,MATCH($C1798&amp;"|"&amp;DAY($A1798),打卡匯入!$E$3:$E$2002,0)),"")</f>
        <v/>
      </c>
      <c r="L1798" s="84">
        <f>IF(OR($J1798="",$K1798=""),"",IFERROR(INDEX(設定!$F$6:$F$21,MATCH($G1798,設定!$B$6:$B$21,0)),0))</f>
        <v/>
      </c>
      <c r="M1798" s="85">
        <f>IF(OR($J1798="",$K1798=""),"",ROUND(($K1798-$J1798)*24-$L1798/60,2))</f>
        <v/>
      </c>
      <c r="N1798" s="16">
        <f>IF($C1798="","",IF(AND(COUNTIF(設定!$B$15:$B$21,$G1798)&gt;0,$J1798&lt;&gt;""),"假日出勤",IF(AND(COUNTIF(設定!$B$6:$B$14,$G1798)&gt;0,$J1798=""),"未打卡",IF($J1798="","",IF($O1798&gt;0,"遲到",IF($P1798&gt;0,"早退","正常"))))))</f>
        <v/>
      </c>
      <c r="O1798" s="84">
        <f>IF(OR($C1798="",$H1798="",$J1798=""),0,IF(ROUND(($J1798-$H1798)*1440,0)&gt;設定!$C$46,ROUND(($J1798-$H1798)*1440,0),0))</f>
        <v/>
      </c>
      <c r="P1798" s="84">
        <f>IF(OR($C1798="",$I1798="",$K1798=""),0,IF(ROUND(($I1798-$K1798)*1440,0)&gt;設定!$C$46,ROUND(($I1798-$K1798)*1440,0),0))</f>
        <v/>
      </c>
      <c r="Q1798" s="85">
        <f>IF($M1798="",0,IF(($M1798-IFERROR(INDEX(設定!$G$6:$G$21,MATCH($G1798,設定!$B$6:$B$21,0)),0))*60&gt;=設定!$C$44,ROUND(FLOOR(($M1798-IFERROR(INDEX(設定!$G$6:$G$21,MATCH($G1798,設定!$B$6:$B$21,0)),0))*60,設定!$C$45)/60,2),0))</f>
        <v/>
      </c>
      <c r="R1798" s="16">
        <f>IF(OR($C1798="",$Q1798=0),"",IF($G1798="國","國定假日",IF($B1798="日","例假",IF($B1798="六","休息日","平日"))))</f>
        <v/>
      </c>
      <c r="S1798" s="19" t="n"/>
    </row>
    <row r="1799">
      <c r="A1799" s="82">
        <f>IF(OR(助理班表!$A62="",30&gt;DAY(EOMONTH(DATE(設定!$C$2,設定!$D$2,1),0))),"",DATE(設定!$C$2,設定!$D$2,30))</f>
        <v/>
      </c>
      <c r="B1799" s="16">
        <f>IF($A1799="","",INDEX(設定!$O$6:$O$12,WEEKDAY($A1799,1)))</f>
        <v/>
      </c>
      <c r="C1799" s="16">
        <f>IF($A1799="","",助理班表!$A62)</f>
        <v/>
      </c>
      <c r="D1799" s="16">
        <f>IF($C1799="","",助理班表!$B62)</f>
        <v/>
      </c>
      <c r="E1799" s="16">
        <f>IF($C1799="","",助理班表!$D62)</f>
        <v/>
      </c>
      <c r="F1799" s="16">
        <f>IF($C1799="","",助理班表!$C62)</f>
        <v/>
      </c>
      <c r="G1799" s="16">
        <f>IF($C1799="","",助理班表!AH62)</f>
        <v/>
      </c>
      <c r="H1799" s="83">
        <f>IF($G1799="","",IFERROR(IF(INDEX(設定!$D$6:$D$21,MATCH($G1799,設定!$B$6:$B$21,0))=0,"",INDEX(設定!$D$6:$D$21,MATCH($G1799,設定!$B$6:$B$21,0))),""))</f>
        <v/>
      </c>
      <c r="I1799" s="83">
        <f>IF($G1799="","",IFERROR(IF(INDEX(設定!$E$6:$E$21,MATCH($G1799,設定!$B$6:$B$21,0))=0,"",INDEX(設定!$E$6:$E$21,MATCH($G1799,設定!$B$6:$B$21,0))),""))</f>
        <v/>
      </c>
      <c r="J1799" s="83">
        <f>IFERROR(INDEX(打卡匯入!$C$3:$C$2002,MATCH($C1799&amp;"|"&amp;DAY($A1799),打卡匯入!$E$3:$E$2002,0)),"")</f>
        <v/>
      </c>
      <c r="K1799" s="83">
        <f>IFERROR(INDEX(打卡匯入!$D$3:$D$2002,MATCH($C1799&amp;"|"&amp;DAY($A1799),打卡匯入!$E$3:$E$2002,0)),"")</f>
        <v/>
      </c>
      <c r="L1799" s="84">
        <f>IF(OR($J1799="",$K1799=""),"",IFERROR(INDEX(設定!$F$6:$F$21,MATCH($G1799,設定!$B$6:$B$21,0)),0))</f>
        <v/>
      </c>
      <c r="M1799" s="85">
        <f>IF(OR($J1799="",$K1799=""),"",ROUND(($K1799-$J1799)*24-$L1799/60,2))</f>
        <v/>
      </c>
      <c r="N1799" s="16">
        <f>IF($C1799="","",IF(AND(COUNTIF(設定!$B$15:$B$21,$G1799)&gt;0,$J1799&lt;&gt;""),"假日出勤",IF(AND(COUNTIF(設定!$B$6:$B$14,$G1799)&gt;0,$J1799=""),"未打卡",IF($J1799="","",IF($O1799&gt;0,"遲到",IF($P1799&gt;0,"早退","正常"))))))</f>
        <v/>
      </c>
      <c r="O1799" s="84">
        <f>IF(OR($C1799="",$H1799="",$J1799=""),0,IF(ROUND(($J1799-$H1799)*1440,0)&gt;設定!$C$46,ROUND(($J1799-$H1799)*1440,0),0))</f>
        <v/>
      </c>
      <c r="P1799" s="84">
        <f>IF(OR($C1799="",$I1799="",$K1799=""),0,IF(ROUND(($I1799-$K1799)*1440,0)&gt;設定!$C$46,ROUND(($I1799-$K1799)*1440,0),0))</f>
        <v/>
      </c>
      <c r="Q1799" s="85">
        <f>IF($M1799="",0,IF(($M1799-IFERROR(INDEX(設定!$G$6:$G$21,MATCH($G1799,設定!$B$6:$B$21,0)),0))*60&gt;=設定!$C$44,ROUND(FLOOR(($M1799-IFERROR(INDEX(設定!$G$6:$G$21,MATCH($G1799,設定!$B$6:$B$21,0)),0))*60,設定!$C$45)/60,2),0))</f>
        <v/>
      </c>
      <c r="R1799" s="16">
        <f>IF(OR($C1799="",$Q1799=0),"",IF($G1799="國","國定假日",IF($B1799="日","例假",IF($B1799="六","休息日","平日"))))</f>
        <v/>
      </c>
      <c r="S1799" s="19" t="n"/>
    </row>
    <row r="1800">
      <c r="A1800" s="82">
        <f>IF(OR(助理班表!$A62="",31&gt;DAY(EOMONTH(DATE(設定!$C$2,設定!$D$2,1),0))),"",DATE(設定!$C$2,設定!$D$2,31))</f>
        <v/>
      </c>
      <c r="B1800" s="16">
        <f>IF($A1800="","",INDEX(設定!$O$6:$O$12,WEEKDAY($A1800,1)))</f>
        <v/>
      </c>
      <c r="C1800" s="16">
        <f>IF($A1800="","",助理班表!$A62)</f>
        <v/>
      </c>
      <c r="D1800" s="16">
        <f>IF($C1800="","",助理班表!$B62)</f>
        <v/>
      </c>
      <c r="E1800" s="16">
        <f>IF($C1800="","",助理班表!$D62)</f>
        <v/>
      </c>
      <c r="F1800" s="16">
        <f>IF($C1800="","",助理班表!$C62)</f>
        <v/>
      </c>
      <c r="G1800" s="16">
        <f>IF($C1800="","",助理班表!AI62)</f>
        <v/>
      </c>
      <c r="H1800" s="83">
        <f>IF($G1800="","",IFERROR(IF(INDEX(設定!$D$6:$D$21,MATCH($G1800,設定!$B$6:$B$21,0))=0,"",INDEX(設定!$D$6:$D$21,MATCH($G1800,設定!$B$6:$B$21,0))),""))</f>
        <v/>
      </c>
      <c r="I1800" s="83">
        <f>IF($G1800="","",IFERROR(IF(INDEX(設定!$E$6:$E$21,MATCH($G1800,設定!$B$6:$B$21,0))=0,"",INDEX(設定!$E$6:$E$21,MATCH($G1800,設定!$B$6:$B$21,0))),""))</f>
        <v/>
      </c>
      <c r="J1800" s="83">
        <f>IFERROR(INDEX(打卡匯入!$C$3:$C$2002,MATCH($C1800&amp;"|"&amp;DAY($A1800),打卡匯入!$E$3:$E$2002,0)),"")</f>
        <v/>
      </c>
      <c r="K1800" s="83">
        <f>IFERROR(INDEX(打卡匯入!$D$3:$D$2002,MATCH($C1800&amp;"|"&amp;DAY($A1800),打卡匯入!$E$3:$E$2002,0)),"")</f>
        <v/>
      </c>
      <c r="L1800" s="84">
        <f>IF(OR($J1800="",$K1800=""),"",IFERROR(INDEX(設定!$F$6:$F$21,MATCH($G1800,設定!$B$6:$B$21,0)),0))</f>
        <v/>
      </c>
      <c r="M1800" s="85">
        <f>IF(OR($J1800="",$K1800=""),"",ROUND(($K1800-$J1800)*24-$L1800/60,2))</f>
        <v/>
      </c>
      <c r="N1800" s="16">
        <f>IF($C1800="","",IF(AND(COUNTIF(設定!$B$15:$B$21,$G1800)&gt;0,$J1800&lt;&gt;""),"假日出勤",IF(AND(COUNTIF(設定!$B$6:$B$14,$G1800)&gt;0,$J1800=""),"未打卡",IF($J1800="","",IF($O1800&gt;0,"遲到",IF($P1800&gt;0,"早退","正常"))))))</f>
        <v/>
      </c>
      <c r="O1800" s="84">
        <f>IF(OR($C1800="",$H1800="",$J1800=""),0,IF(ROUND(($J1800-$H1800)*1440,0)&gt;設定!$C$46,ROUND(($J1800-$H1800)*1440,0),0))</f>
        <v/>
      </c>
      <c r="P1800" s="84">
        <f>IF(OR($C1800="",$I1800="",$K1800=""),0,IF(ROUND(($I1800-$K1800)*1440,0)&gt;設定!$C$46,ROUND(($I1800-$K1800)*1440,0),0))</f>
        <v/>
      </c>
      <c r="Q1800" s="85">
        <f>IF($M1800="",0,IF(($M1800-IFERROR(INDEX(設定!$G$6:$G$21,MATCH($G1800,設定!$B$6:$B$21,0)),0))*60&gt;=設定!$C$44,ROUND(FLOOR(($M1800-IFERROR(INDEX(設定!$G$6:$G$21,MATCH($G1800,設定!$B$6:$B$21,0)),0))*60,設定!$C$45)/60,2),0))</f>
        <v/>
      </c>
      <c r="R1800" s="16">
        <f>IF(OR($C1800="",$Q1800=0),"",IF($G1800="國","國定假日",IF($B1800="日","例假",IF($B1800="六","休息日","平日"))))</f>
        <v/>
      </c>
      <c r="S1800" s="19" t="n"/>
    </row>
    <row r="1801">
      <c r="A1801" s="82">
        <f>IF(OR(助理班表!$A63="",1&gt;DAY(EOMONTH(DATE(設定!$C$2,設定!$D$2,1),0))),"",DATE(設定!$C$2,設定!$D$2,1))</f>
        <v/>
      </c>
      <c r="B1801" s="16">
        <f>IF($A1801="","",INDEX(設定!$O$6:$O$12,WEEKDAY($A1801,1)))</f>
        <v/>
      </c>
      <c r="C1801" s="16">
        <f>IF($A1801="","",助理班表!$A63)</f>
        <v/>
      </c>
      <c r="D1801" s="16">
        <f>IF($C1801="","",助理班表!$B63)</f>
        <v/>
      </c>
      <c r="E1801" s="16">
        <f>IF($C1801="","",助理班表!$D63)</f>
        <v/>
      </c>
      <c r="F1801" s="16">
        <f>IF($C1801="","",助理班表!$C63)</f>
        <v/>
      </c>
      <c r="G1801" s="16">
        <f>IF($C1801="","",助理班表!E63)</f>
        <v/>
      </c>
      <c r="H1801" s="83">
        <f>IF($G1801="","",IFERROR(IF(INDEX(設定!$D$6:$D$21,MATCH($G1801,設定!$B$6:$B$21,0))=0,"",INDEX(設定!$D$6:$D$21,MATCH($G1801,設定!$B$6:$B$21,0))),""))</f>
        <v/>
      </c>
      <c r="I1801" s="83">
        <f>IF($G1801="","",IFERROR(IF(INDEX(設定!$E$6:$E$21,MATCH($G1801,設定!$B$6:$B$21,0))=0,"",INDEX(設定!$E$6:$E$21,MATCH($G1801,設定!$B$6:$B$21,0))),""))</f>
        <v/>
      </c>
      <c r="J1801" s="83">
        <f>IFERROR(INDEX(打卡匯入!$C$3:$C$2002,MATCH($C1801&amp;"|"&amp;DAY($A1801),打卡匯入!$E$3:$E$2002,0)),"")</f>
        <v/>
      </c>
      <c r="K1801" s="83">
        <f>IFERROR(INDEX(打卡匯入!$D$3:$D$2002,MATCH($C1801&amp;"|"&amp;DAY($A1801),打卡匯入!$E$3:$E$2002,0)),"")</f>
        <v/>
      </c>
      <c r="L1801" s="84">
        <f>IF(OR($J1801="",$K1801=""),"",IFERROR(INDEX(設定!$F$6:$F$21,MATCH($G1801,設定!$B$6:$B$21,0)),0))</f>
        <v/>
      </c>
      <c r="M1801" s="85">
        <f>IF(OR($J1801="",$K1801=""),"",ROUND(($K1801-$J1801)*24-$L1801/60,2))</f>
        <v/>
      </c>
      <c r="N1801" s="16">
        <f>IF($C1801="","",IF(AND(COUNTIF(設定!$B$15:$B$21,$G1801)&gt;0,$J1801&lt;&gt;""),"假日出勤",IF(AND(COUNTIF(設定!$B$6:$B$14,$G1801)&gt;0,$J1801=""),"未打卡",IF($J1801="","",IF($O1801&gt;0,"遲到",IF($P1801&gt;0,"早退","正常"))))))</f>
        <v/>
      </c>
      <c r="O1801" s="84">
        <f>IF(OR($C1801="",$H1801="",$J1801=""),0,IF(ROUND(($J1801-$H1801)*1440,0)&gt;設定!$C$46,ROUND(($J1801-$H1801)*1440,0),0))</f>
        <v/>
      </c>
      <c r="P1801" s="84">
        <f>IF(OR($C1801="",$I1801="",$K1801=""),0,IF(ROUND(($I1801-$K1801)*1440,0)&gt;設定!$C$46,ROUND(($I1801-$K1801)*1440,0),0))</f>
        <v/>
      </c>
      <c r="Q1801" s="85">
        <f>IF($M1801="",0,IF(($M1801-IFERROR(INDEX(設定!$G$6:$G$21,MATCH($G1801,設定!$B$6:$B$21,0)),0))*60&gt;=設定!$C$44,ROUND(FLOOR(($M1801-IFERROR(INDEX(設定!$G$6:$G$21,MATCH($G1801,設定!$B$6:$B$21,0)),0))*60,設定!$C$45)/60,2),0))</f>
        <v/>
      </c>
      <c r="R1801" s="16">
        <f>IF(OR($C1801="",$Q1801=0),"",IF($G1801="國","國定假日",IF($B1801="日","例假",IF($B1801="六","休息日","平日"))))</f>
        <v/>
      </c>
      <c r="S1801" s="19" t="n"/>
    </row>
    <row r="1802">
      <c r="A1802" s="82">
        <f>IF(OR(助理班表!$A63="",2&gt;DAY(EOMONTH(DATE(設定!$C$2,設定!$D$2,1),0))),"",DATE(設定!$C$2,設定!$D$2,2))</f>
        <v/>
      </c>
      <c r="B1802" s="16">
        <f>IF($A1802="","",INDEX(設定!$O$6:$O$12,WEEKDAY($A1802,1)))</f>
        <v/>
      </c>
      <c r="C1802" s="16">
        <f>IF($A1802="","",助理班表!$A63)</f>
        <v/>
      </c>
      <c r="D1802" s="16">
        <f>IF($C1802="","",助理班表!$B63)</f>
        <v/>
      </c>
      <c r="E1802" s="16">
        <f>IF($C1802="","",助理班表!$D63)</f>
        <v/>
      </c>
      <c r="F1802" s="16">
        <f>IF($C1802="","",助理班表!$C63)</f>
        <v/>
      </c>
      <c r="G1802" s="16">
        <f>IF($C1802="","",助理班表!F63)</f>
        <v/>
      </c>
      <c r="H1802" s="83">
        <f>IF($G1802="","",IFERROR(IF(INDEX(設定!$D$6:$D$21,MATCH($G1802,設定!$B$6:$B$21,0))=0,"",INDEX(設定!$D$6:$D$21,MATCH($G1802,設定!$B$6:$B$21,0))),""))</f>
        <v/>
      </c>
      <c r="I1802" s="83">
        <f>IF($G1802="","",IFERROR(IF(INDEX(設定!$E$6:$E$21,MATCH($G1802,設定!$B$6:$B$21,0))=0,"",INDEX(設定!$E$6:$E$21,MATCH($G1802,設定!$B$6:$B$21,0))),""))</f>
        <v/>
      </c>
      <c r="J1802" s="83">
        <f>IFERROR(INDEX(打卡匯入!$C$3:$C$2002,MATCH($C1802&amp;"|"&amp;DAY($A1802),打卡匯入!$E$3:$E$2002,0)),"")</f>
        <v/>
      </c>
      <c r="K1802" s="83">
        <f>IFERROR(INDEX(打卡匯入!$D$3:$D$2002,MATCH($C1802&amp;"|"&amp;DAY($A1802),打卡匯入!$E$3:$E$2002,0)),"")</f>
        <v/>
      </c>
      <c r="L1802" s="84">
        <f>IF(OR($J1802="",$K1802=""),"",IFERROR(INDEX(設定!$F$6:$F$21,MATCH($G1802,設定!$B$6:$B$21,0)),0))</f>
        <v/>
      </c>
      <c r="M1802" s="85">
        <f>IF(OR($J1802="",$K1802=""),"",ROUND(($K1802-$J1802)*24-$L1802/60,2))</f>
        <v/>
      </c>
      <c r="N1802" s="16">
        <f>IF($C1802="","",IF(AND(COUNTIF(設定!$B$15:$B$21,$G1802)&gt;0,$J1802&lt;&gt;""),"假日出勤",IF(AND(COUNTIF(設定!$B$6:$B$14,$G1802)&gt;0,$J1802=""),"未打卡",IF($J1802="","",IF($O1802&gt;0,"遲到",IF($P1802&gt;0,"早退","正常"))))))</f>
        <v/>
      </c>
      <c r="O1802" s="84">
        <f>IF(OR($C1802="",$H1802="",$J1802=""),0,IF(ROUND(($J1802-$H1802)*1440,0)&gt;設定!$C$46,ROUND(($J1802-$H1802)*1440,0),0))</f>
        <v/>
      </c>
      <c r="P1802" s="84">
        <f>IF(OR($C1802="",$I1802="",$K1802=""),0,IF(ROUND(($I1802-$K1802)*1440,0)&gt;設定!$C$46,ROUND(($I1802-$K1802)*1440,0),0))</f>
        <v/>
      </c>
      <c r="Q1802" s="85">
        <f>IF($M1802="",0,IF(($M1802-IFERROR(INDEX(設定!$G$6:$G$21,MATCH($G1802,設定!$B$6:$B$21,0)),0))*60&gt;=設定!$C$44,ROUND(FLOOR(($M1802-IFERROR(INDEX(設定!$G$6:$G$21,MATCH($G1802,設定!$B$6:$B$21,0)),0))*60,設定!$C$45)/60,2),0))</f>
        <v/>
      </c>
      <c r="R1802" s="16">
        <f>IF(OR($C1802="",$Q1802=0),"",IF($G1802="國","國定假日",IF($B1802="日","例假",IF($B1802="六","休息日","平日"))))</f>
        <v/>
      </c>
      <c r="S1802" s="19" t="n"/>
    </row>
    <row r="1803">
      <c r="A1803" s="82">
        <f>IF(OR(助理班表!$A63="",3&gt;DAY(EOMONTH(DATE(設定!$C$2,設定!$D$2,1),0))),"",DATE(設定!$C$2,設定!$D$2,3))</f>
        <v/>
      </c>
      <c r="B1803" s="16">
        <f>IF($A1803="","",INDEX(設定!$O$6:$O$12,WEEKDAY($A1803,1)))</f>
        <v/>
      </c>
      <c r="C1803" s="16">
        <f>IF($A1803="","",助理班表!$A63)</f>
        <v/>
      </c>
      <c r="D1803" s="16">
        <f>IF($C1803="","",助理班表!$B63)</f>
        <v/>
      </c>
      <c r="E1803" s="16">
        <f>IF($C1803="","",助理班表!$D63)</f>
        <v/>
      </c>
      <c r="F1803" s="16">
        <f>IF($C1803="","",助理班表!$C63)</f>
        <v/>
      </c>
      <c r="G1803" s="16">
        <f>IF($C1803="","",助理班表!G63)</f>
        <v/>
      </c>
      <c r="H1803" s="83">
        <f>IF($G1803="","",IFERROR(IF(INDEX(設定!$D$6:$D$21,MATCH($G1803,設定!$B$6:$B$21,0))=0,"",INDEX(設定!$D$6:$D$21,MATCH($G1803,設定!$B$6:$B$21,0))),""))</f>
        <v/>
      </c>
      <c r="I1803" s="83">
        <f>IF($G1803="","",IFERROR(IF(INDEX(設定!$E$6:$E$21,MATCH($G1803,設定!$B$6:$B$21,0))=0,"",INDEX(設定!$E$6:$E$21,MATCH($G1803,設定!$B$6:$B$21,0))),""))</f>
        <v/>
      </c>
      <c r="J1803" s="83">
        <f>IFERROR(INDEX(打卡匯入!$C$3:$C$2002,MATCH($C1803&amp;"|"&amp;DAY($A1803),打卡匯入!$E$3:$E$2002,0)),"")</f>
        <v/>
      </c>
      <c r="K1803" s="83">
        <f>IFERROR(INDEX(打卡匯入!$D$3:$D$2002,MATCH($C1803&amp;"|"&amp;DAY($A1803),打卡匯入!$E$3:$E$2002,0)),"")</f>
        <v/>
      </c>
      <c r="L1803" s="84">
        <f>IF(OR($J1803="",$K1803=""),"",IFERROR(INDEX(設定!$F$6:$F$21,MATCH($G1803,設定!$B$6:$B$21,0)),0))</f>
        <v/>
      </c>
      <c r="M1803" s="85">
        <f>IF(OR($J1803="",$K1803=""),"",ROUND(($K1803-$J1803)*24-$L1803/60,2))</f>
        <v/>
      </c>
      <c r="N1803" s="16">
        <f>IF($C1803="","",IF(AND(COUNTIF(設定!$B$15:$B$21,$G1803)&gt;0,$J1803&lt;&gt;""),"假日出勤",IF(AND(COUNTIF(設定!$B$6:$B$14,$G1803)&gt;0,$J1803=""),"未打卡",IF($J1803="","",IF($O1803&gt;0,"遲到",IF($P1803&gt;0,"早退","正常"))))))</f>
        <v/>
      </c>
      <c r="O1803" s="84">
        <f>IF(OR($C1803="",$H1803="",$J1803=""),0,IF(ROUND(($J1803-$H1803)*1440,0)&gt;設定!$C$46,ROUND(($J1803-$H1803)*1440,0),0))</f>
        <v/>
      </c>
      <c r="P1803" s="84">
        <f>IF(OR($C1803="",$I1803="",$K1803=""),0,IF(ROUND(($I1803-$K1803)*1440,0)&gt;設定!$C$46,ROUND(($I1803-$K1803)*1440,0),0))</f>
        <v/>
      </c>
      <c r="Q1803" s="85">
        <f>IF($M1803="",0,IF(($M1803-IFERROR(INDEX(設定!$G$6:$G$21,MATCH($G1803,設定!$B$6:$B$21,0)),0))*60&gt;=設定!$C$44,ROUND(FLOOR(($M1803-IFERROR(INDEX(設定!$G$6:$G$21,MATCH($G1803,設定!$B$6:$B$21,0)),0))*60,設定!$C$45)/60,2),0))</f>
        <v/>
      </c>
      <c r="R1803" s="16">
        <f>IF(OR($C1803="",$Q1803=0),"",IF($G1803="國","國定假日",IF($B1803="日","例假",IF($B1803="六","休息日","平日"))))</f>
        <v/>
      </c>
      <c r="S1803" s="19" t="n"/>
    </row>
    <row r="1804">
      <c r="A1804" s="82">
        <f>IF(OR(助理班表!$A63="",4&gt;DAY(EOMONTH(DATE(設定!$C$2,設定!$D$2,1),0))),"",DATE(設定!$C$2,設定!$D$2,4))</f>
        <v/>
      </c>
      <c r="B1804" s="16">
        <f>IF($A1804="","",INDEX(設定!$O$6:$O$12,WEEKDAY($A1804,1)))</f>
        <v/>
      </c>
      <c r="C1804" s="16">
        <f>IF($A1804="","",助理班表!$A63)</f>
        <v/>
      </c>
      <c r="D1804" s="16">
        <f>IF($C1804="","",助理班表!$B63)</f>
        <v/>
      </c>
      <c r="E1804" s="16">
        <f>IF($C1804="","",助理班表!$D63)</f>
        <v/>
      </c>
      <c r="F1804" s="16">
        <f>IF($C1804="","",助理班表!$C63)</f>
        <v/>
      </c>
      <c r="G1804" s="16">
        <f>IF($C1804="","",助理班表!H63)</f>
        <v/>
      </c>
      <c r="H1804" s="83">
        <f>IF($G1804="","",IFERROR(IF(INDEX(設定!$D$6:$D$21,MATCH($G1804,設定!$B$6:$B$21,0))=0,"",INDEX(設定!$D$6:$D$21,MATCH($G1804,設定!$B$6:$B$21,0))),""))</f>
        <v/>
      </c>
      <c r="I1804" s="83">
        <f>IF($G1804="","",IFERROR(IF(INDEX(設定!$E$6:$E$21,MATCH($G1804,設定!$B$6:$B$21,0))=0,"",INDEX(設定!$E$6:$E$21,MATCH($G1804,設定!$B$6:$B$21,0))),""))</f>
        <v/>
      </c>
      <c r="J1804" s="83">
        <f>IFERROR(INDEX(打卡匯入!$C$3:$C$2002,MATCH($C1804&amp;"|"&amp;DAY($A1804),打卡匯入!$E$3:$E$2002,0)),"")</f>
        <v/>
      </c>
      <c r="K1804" s="83">
        <f>IFERROR(INDEX(打卡匯入!$D$3:$D$2002,MATCH($C1804&amp;"|"&amp;DAY($A1804),打卡匯入!$E$3:$E$2002,0)),"")</f>
        <v/>
      </c>
      <c r="L1804" s="84">
        <f>IF(OR($J1804="",$K1804=""),"",IFERROR(INDEX(設定!$F$6:$F$21,MATCH($G1804,設定!$B$6:$B$21,0)),0))</f>
        <v/>
      </c>
      <c r="M1804" s="85">
        <f>IF(OR($J1804="",$K1804=""),"",ROUND(($K1804-$J1804)*24-$L1804/60,2))</f>
        <v/>
      </c>
      <c r="N1804" s="16">
        <f>IF($C1804="","",IF(AND(COUNTIF(設定!$B$15:$B$21,$G1804)&gt;0,$J1804&lt;&gt;""),"假日出勤",IF(AND(COUNTIF(設定!$B$6:$B$14,$G1804)&gt;0,$J1804=""),"未打卡",IF($J1804="","",IF($O1804&gt;0,"遲到",IF($P1804&gt;0,"早退","正常"))))))</f>
        <v/>
      </c>
      <c r="O1804" s="84">
        <f>IF(OR($C1804="",$H1804="",$J1804=""),0,IF(ROUND(($J1804-$H1804)*1440,0)&gt;設定!$C$46,ROUND(($J1804-$H1804)*1440,0),0))</f>
        <v/>
      </c>
      <c r="P1804" s="84">
        <f>IF(OR($C1804="",$I1804="",$K1804=""),0,IF(ROUND(($I1804-$K1804)*1440,0)&gt;設定!$C$46,ROUND(($I1804-$K1804)*1440,0),0))</f>
        <v/>
      </c>
      <c r="Q1804" s="85">
        <f>IF($M1804="",0,IF(($M1804-IFERROR(INDEX(設定!$G$6:$G$21,MATCH($G1804,設定!$B$6:$B$21,0)),0))*60&gt;=設定!$C$44,ROUND(FLOOR(($M1804-IFERROR(INDEX(設定!$G$6:$G$21,MATCH($G1804,設定!$B$6:$B$21,0)),0))*60,設定!$C$45)/60,2),0))</f>
        <v/>
      </c>
      <c r="R1804" s="16">
        <f>IF(OR($C1804="",$Q1804=0),"",IF($G1804="國","國定假日",IF($B1804="日","例假",IF($B1804="六","休息日","平日"))))</f>
        <v/>
      </c>
      <c r="S1804" s="19" t="n"/>
    </row>
    <row r="1805">
      <c r="A1805" s="82">
        <f>IF(OR(助理班表!$A63="",5&gt;DAY(EOMONTH(DATE(設定!$C$2,設定!$D$2,1),0))),"",DATE(設定!$C$2,設定!$D$2,5))</f>
        <v/>
      </c>
      <c r="B1805" s="16">
        <f>IF($A1805="","",INDEX(設定!$O$6:$O$12,WEEKDAY($A1805,1)))</f>
        <v/>
      </c>
      <c r="C1805" s="16">
        <f>IF($A1805="","",助理班表!$A63)</f>
        <v/>
      </c>
      <c r="D1805" s="16">
        <f>IF($C1805="","",助理班表!$B63)</f>
        <v/>
      </c>
      <c r="E1805" s="16">
        <f>IF($C1805="","",助理班表!$D63)</f>
        <v/>
      </c>
      <c r="F1805" s="16">
        <f>IF($C1805="","",助理班表!$C63)</f>
        <v/>
      </c>
      <c r="G1805" s="16">
        <f>IF($C1805="","",助理班表!I63)</f>
        <v/>
      </c>
      <c r="H1805" s="83">
        <f>IF($G1805="","",IFERROR(IF(INDEX(設定!$D$6:$D$21,MATCH($G1805,設定!$B$6:$B$21,0))=0,"",INDEX(設定!$D$6:$D$21,MATCH($G1805,設定!$B$6:$B$21,0))),""))</f>
        <v/>
      </c>
      <c r="I1805" s="83">
        <f>IF($G1805="","",IFERROR(IF(INDEX(設定!$E$6:$E$21,MATCH($G1805,設定!$B$6:$B$21,0))=0,"",INDEX(設定!$E$6:$E$21,MATCH($G1805,設定!$B$6:$B$21,0))),""))</f>
        <v/>
      </c>
      <c r="J1805" s="83">
        <f>IFERROR(INDEX(打卡匯入!$C$3:$C$2002,MATCH($C1805&amp;"|"&amp;DAY($A1805),打卡匯入!$E$3:$E$2002,0)),"")</f>
        <v/>
      </c>
      <c r="K1805" s="83">
        <f>IFERROR(INDEX(打卡匯入!$D$3:$D$2002,MATCH($C1805&amp;"|"&amp;DAY($A1805),打卡匯入!$E$3:$E$2002,0)),"")</f>
        <v/>
      </c>
      <c r="L1805" s="84">
        <f>IF(OR($J1805="",$K1805=""),"",IFERROR(INDEX(設定!$F$6:$F$21,MATCH($G1805,設定!$B$6:$B$21,0)),0))</f>
        <v/>
      </c>
      <c r="M1805" s="85">
        <f>IF(OR($J1805="",$K1805=""),"",ROUND(($K1805-$J1805)*24-$L1805/60,2))</f>
        <v/>
      </c>
      <c r="N1805" s="16">
        <f>IF($C1805="","",IF(AND(COUNTIF(設定!$B$15:$B$21,$G1805)&gt;0,$J1805&lt;&gt;""),"假日出勤",IF(AND(COUNTIF(設定!$B$6:$B$14,$G1805)&gt;0,$J1805=""),"未打卡",IF($J1805="","",IF($O1805&gt;0,"遲到",IF($P1805&gt;0,"早退","正常"))))))</f>
        <v/>
      </c>
      <c r="O1805" s="84">
        <f>IF(OR($C1805="",$H1805="",$J1805=""),0,IF(ROUND(($J1805-$H1805)*1440,0)&gt;設定!$C$46,ROUND(($J1805-$H1805)*1440,0),0))</f>
        <v/>
      </c>
      <c r="P1805" s="84">
        <f>IF(OR($C1805="",$I1805="",$K1805=""),0,IF(ROUND(($I1805-$K1805)*1440,0)&gt;設定!$C$46,ROUND(($I1805-$K1805)*1440,0),0))</f>
        <v/>
      </c>
      <c r="Q1805" s="85">
        <f>IF($M1805="",0,IF(($M1805-IFERROR(INDEX(設定!$G$6:$G$21,MATCH($G1805,設定!$B$6:$B$21,0)),0))*60&gt;=設定!$C$44,ROUND(FLOOR(($M1805-IFERROR(INDEX(設定!$G$6:$G$21,MATCH($G1805,設定!$B$6:$B$21,0)),0))*60,設定!$C$45)/60,2),0))</f>
        <v/>
      </c>
      <c r="R1805" s="16">
        <f>IF(OR($C1805="",$Q1805=0),"",IF($G1805="國","國定假日",IF($B1805="日","例假",IF($B1805="六","休息日","平日"))))</f>
        <v/>
      </c>
      <c r="S1805" s="19" t="n"/>
    </row>
    <row r="1806">
      <c r="A1806" s="82">
        <f>IF(OR(助理班表!$A63="",6&gt;DAY(EOMONTH(DATE(設定!$C$2,設定!$D$2,1),0))),"",DATE(設定!$C$2,設定!$D$2,6))</f>
        <v/>
      </c>
      <c r="B1806" s="16">
        <f>IF($A1806="","",INDEX(設定!$O$6:$O$12,WEEKDAY($A1806,1)))</f>
        <v/>
      </c>
      <c r="C1806" s="16">
        <f>IF($A1806="","",助理班表!$A63)</f>
        <v/>
      </c>
      <c r="D1806" s="16">
        <f>IF($C1806="","",助理班表!$B63)</f>
        <v/>
      </c>
      <c r="E1806" s="16">
        <f>IF($C1806="","",助理班表!$D63)</f>
        <v/>
      </c>
      <c r="F1806" s="16">
        <f>IF($C1806="","",助理班表!$C63)</f>
        <v/>
      </c>
      <c r="G1806" s="16">
        <f>IF($C1806="","",助理班表!J63)</f>
        <v/>
      </c>
      <c r="H1806" s="83">
        <f>IF($G1806="","",IFERROR(IF(INDEX(設定!$D$6:$D$21,MATCH($G1806,設定!$B$6:$B$21,0))=0,"",INDEX(設定!$D$6:$D$21,MATCH($G1806,設定!$B$6:$B$21,0))),""))</f>
        <v/>
      </c>
      <c r="I1806" s="83">
        <f>IF($G1806="","",IFERROR(IF(INDEX(設定!$E$6:$E$21,MATCH($G1806,設定!$B$6:$B$21,0))=0,"",INDEX(設定!$E$6:$E$21,MATCH($G1806,設定!$B$6:$B$21,0))),""))</f>
        <v/>
      </c>
      <c r="J1806" s="83">
        <f>IFERROR(INDEX(打卡匯入!$C$3:$C$2002,MATCH($C1806&amp;"|"&amp;DAY($A1806),打卡匯入!$E$3:$E$2002,0)),"")</f>
        <v/>
      </c>
      <c r="K1806" s="83">
        <f>IFERROR(INDEX(打卡匯入!$D$3:$D$2002,MATCH($C1806&amp;"|"&amp;DAY($A1806),打卡匯入!$E$3:$E$2002,0)),"")</f>
        <v/>
      </c>
      <c r="L1806" s="84">
        <f>IF(OR($J1806="",$K1806=""),"",IFERROR(INDEX(設定!$F$6:$F$21,MATCH($G1806,設定!$B$6:$B$21,0)),0))</f>
        <v/>
      </c>
      <c r="M1806" s="85">
        <f>IF(OR($J1806="",$K1806=""),"",ROUND(($K1806-$J1806)*24-$L1806/60,2))</f>
        <v/>
      </c>
      <c r="N1806" s="16">
        <f>IF($C1806="","",IF(AND(COUNTIF(設定!$B$15:$B$21,$G1806)&gt;0,$J1806&lt;&gt;""),"假日出勤",IF(AND(COUNTIF(設定!$B$6:$B$14,$G1806)&gt;0,$J1806=""),"未打卡",IF($J1806="","",IF($O1806&gt;0,"遲到",IF($P1806&gt;0,"早退","正常"))))))</f>
        <v/>
      </c>
      <c r="O1806" s="84">
        <f>IF(OR($C1806="",$H1806="",$J1806=""),0,IF(ROUND(($J1806-$H1806)*1440,0)&gt;設定!$C$46,ROUND(($J1806-$H1806)*1440,0),0))</f>
        <v/>
      </c>
      <c r="P1806" s="84">
        <f>IF(OR($C1806="",$I1806="",$K1806=""),0,IF(ROUND(($I1806-$K1806)*1440,0)&gt;設定!$C$46,ROUND(($I1806-$K1806)*1440,0),0))</f>
        <v/>
      </c>
      <c r="Q1806" s="85">
        <f>IF($M1806="",0,IF(($M1806-IFERROR(INDEX(設定!$G$6:$G$21,MATCH($G1806,設定!$B$6:$B$21,0)),0))*60&gt;=設定!$C$44,ROUND(FLOOR(($M1806-IFERROR(INDEX(設定!$G$6:$G$21,MATCH($G1806,設定!$B$6:$B$21,0)),0))*60,設定!$C$45)/60,2),0))</f>
        <v/>
      </c>
      <c r="R1806" s="16">
        <f>IF(OR($C1806="",$Q1806=0),"",IF($G1806="國","國定假日",IF($B1806="日","例假",IF($B1806="六","休息日","平日"))))</f>
        <v/>
      </c>
      <c r="S1806" s="19" t="n"/>
    </row>
    <row r="1807">
      <c r="A1807" s="82">
        <f>IF(OR(助理班表!$A63="",7&gt;DAY(EOMONTH(DATE(設定!$C$2,設定!$D$2,1),0))),"",DATE(設定!$C$2,設定!$D$2,7))</f>
        <v/>
      </c>
      <c r="B1807" s="16">
        <f>IF($A1807="","",INDEX(設定!$O$6:$O$12,WEEKDAY($A1807,1)))</f>
        <v/>
      </c>
      <c r="C1807" s="16">
        <f>IF($A1807="","",助理班表!$A63)</f>
        <v/>
      </c>
      <c r="D1807" s="16">
        <f>IF($C1807="","",助理班表!$B63)</f>
        <v/>
      </c>
      <c r="E1807" s="16">
        <f>IF($C1807="","",助理班表!$D63)</f>
        <v/>
      </c>
      <c r="F1807" s="16">
        <f>IF($C1807="","",助理班表!$C63)</f>
        <v/>
      </c>
      <c r="G1807" s="16">
        <f>IF($C1807="","",助理班表!K63)</f>
        <v/>
      </c>
      <c r="H1807" s="83">
        <f>IF($G1807="","",IFERROR(IF(INDEX(設定!$D$6:$D$21,MATCH($G1807,設定!$B$6:$B$21,0))=0,"",INDEX(設定!$D$6:$D$21,MATCH($G1807,設定!$B$6:$B$21,0))),""))</f>
        <v/>
      </c>
      <c r="I1807" s="83">
        <f>IF($G1807="","",IFERROR(IF(INDEX(設定!$E$6:$E$21,MATCH($G1807,設定!$B$6:$B$21,0))=0,"",INDEX(設定!$E$6:$E$21,MATCH($G1807,設定!$B$6:$B$21,0))),""))</f>
        <v/>
      </c>
      <c r="J1807" s="83">
        <f>IFERROR(INDEX(打卡匯入!$C$3:$C$2002,MATCH($C1807&amp;"|"&amp;DAY($A1807),打卡匯入!$E$3:$E$2002,0)),"")</f>
        <v/>
      </c>
      <c r="K1807" s="83">
        <f>IFERROR(INDEX(打卡匯入!$D$3:$D$2002,MATCH($C1807&amp;"|"&amp;DAY($A1807),打卡匯入!$E$3:$E$2002,0)),"")</f>
        <v/>
      </c>
      <c r="L1807" s="84">
        <f>IF(OR($J1807="",$K1807=""),"",IFERROR(INDEX(設定!$F$6:$F$21,MATCH($G1807,設定!$B$6:$B$21,0)),0))</f>
        <v/>
      </c>
      <c r="M1807" s="85">
        <f>IF(OR($J1807="",$K1807=""),"",ROUND(($K1807-$J1807)*24-$L1807/60,2))</f>
        <v/>
      </c>
      <c r="N1807" s="16">
        <f>IF($C1807="","",IF(AND(COUNTIF(設定!$B$15:$B$21,$G1807)&gt;0,$J1807&lt;&gt;""),"假日出勤",IF(AND(COUNTIF(設定!$B$6:$B$14,$G1807)&gt;0,$J1807=""),"未打卡",IF($J1807="","",IF($O1807&gt;0,"遲到",IF($P1807&gt;0,"早退","正常"))))))</f>
        <v/>
      </c>
      <c r="O1807" s="84">
        <f>IF(OR($C1807="",$H1807="",$J1807=""),0,IF(ROUND(($J1807-$H1807)*1440,0)&gt;設定!$C$46,ROUND(($J1807-$H1807)*1440,0),0))</f>
        <v/>
      </c>
      <c r="P1807" s="84">
        <f>IF(OR($C1807="",$I1807="",$K1807=""),0,IF(ROUND(($I1807-$K1807)*1440,0)&gt;設定!$C$46,ROUND(($I1807-$K1807)*1440,0),0))</f>
        <v/>
      </c>
      <c r="Q1807" s="85">
        <f>IF($M1807="",0,IF(($M1807-IFERROR(INDEX(設定!$G$6:$G$21,MATCH($G1807,設定!$B$6:$B$21,0)),0))*60&gt;=設定!$C$44,ROUND(FLOOR(($M1807-IFERROR(INDEX(設定!$G$6:$G$21,MATCH($G1807,設定!$B$6:$B$21,0)),0))*60,設定!$C$45)/60,2),0))</f>
        <v/>
      </c>
      <c r="R1807" s="16">
        <f>IF(OR($C1807="",$Q1807=0),"",IF($G1807="國","國定假日",IF($B1807="日","例假",IF($B1807="六","休息日","平日"))))</f>
        <v/>
      </c>
      <c r="S1807" s="19" t="n"/>
    </row>
    <row r="1808">
      <c r="A1808" s="82">
        <f>IF(OR(助理班表!$A63="",8&gt;DAY(EOMONTH(DATE(設定!$C$2,設定!$D$2,1),0))),"",DATE(設定!$C$2,設定!$D$2,8))</f>
        <v/>
      </c>
      <c r="B1808" s="16">
        <f>IF($A1808="","",INDEX(設定!$O$6:$O$12,WEEKDAY($A1808,1)))</f>
        <v/>
      </c>
      <c r="C1808" s="16">
        <f>IF($A1808="","",助理班表!$A63)</f>
        <v/>
      </c>
      <c r="D1808" s="16">
        <f>IF($C1808="","",助理班表!$B63)</f>
        <v/>
      </c>
      <c r="E1808" s="16">
        <f>IF($C1808="","",助理班表!$D63)</f>
        <v/>
      </c>
      <c r="F1808" s="16">
        <f>IF($C1808="","",助理班表!$C63)</f>
        <v/>
      </c>
      <c r="G1808" s="16">
        <f>IF($C1808="","",助理班表!L63)</f>
        <v/>
      </c>
      <c r="H1808" s="83">
        <f>IF($G1808="","",IFERROR(IF(INDEX(設定!$D$6:$D$21,MATCH($G1808,設定!$B$6:$B$21,0))=0,"",INDEX(設定!$D$6:$D$21,MATCH($G1808,設定!$B$6:$B$21,0))),""))</f>
        <v/>
      </c>
      <c r="I1808" s="83">
        <f>IF($G1808="","",IFERROR(IF(INDEX(設定!$E$6:$E$21,MATCH($G1808,設定!$B$6:$B$21,0))=0,"",INDEX(設定!$E$6:$E$21,MATCH($G1808,設定!$B$6:$B$21,0))),""))</f>
        <v/>
      </c>
      <c r="J1808" s="83">
        <f>IFERROR(INDEX(打卡匯入!$C$3:$C$2002,MATCH($C1808&amp;"|"&amp;DAY($A1808),打卡匯入!$E$3:$E$2002,0)),"")</f>
        <v/>
      </c>
      <c r="K1808" s="83">
        <f>IFERROR(INDEX(打卡匯入!$D$3:$D$2002,MATCH($C1808&amp;"|"&amp;DAY($A1808),打卡匯入!$E$3:$E$2002,0)),"")</f>
        <v/>
      </c>
      <c r="L1808" s="84">
        <f>IF(OR($J1808="",$K1808=""),"",IFERROR(INDEX(設定!$F$6:$F$21,MATCH($G1808,設定!$B$6:$B$21,0)),0))</f>
        <v/>
      </c>
      <c r="M1808" s="85">
        <f>IF(OR($J1808="",$K1808=""),"",ROUND(($K1808-$J1808)*24-$L1808/60,2))</f>
        <v/>
      </c>
      <c r="N1808" s="16">
        <f>IF($C1808="","",IF(AND(COUNTIF(設定!$B$15:$B$21,$G1808)&gt;0,$J1808&lt;&gt;""),"假日出勤",IF(AND(COUNTIF(設定!$B$6:$B$14,$G1808)&gt;0,$J1808=""),"未打卡",IF($J1808="","",IF($O1808&gt;0,"遲到",IF($P1808&gt;0,"早退","正常"))))))</f>
        <v/>
      </c>
      <c r="O1808" s="84">
        <f>IF(OR($C1808="",$H1808="",$J1808=""),0,IF(ROUND(($J1808-$H1808)*1440,0)&gt;設定!$C$46,ROUND(($J1808-$H1808)*1440,0),0))</f>
        <v/>
      </c>
      <c r="P1808" s="84">
        <f>IF(OR($C1808="",$I1808="",$K1808=""),0,IF(ROUND(($I1808-$K1808)*1440,0)&gt;設定!$C$46,ROUND(($I1808-$K1808)*1440,0),0))</f>
        <v/>
      </c>
      <c r="Q1808" s="85">
        <f>IF($M1808="",0,IF(($M1808-IFERROR(INDEX(設定!$G$6:$G$21,MATCH($G1808,設定!$B$6:$B$21,0)),0))*60&gt;=設定!$C$44,ROUND(FLOOR(($M1808-IFERROR(INDEX(設定!$G$6:$G$21,MATCH($G1808,設定!$B$6:$B$21,0)),0))*60,設定!$C$45)/60,2),0))</f>
        <v/>
      </c>
      <c r="R1808" s="16">
        <f>IF(OR($C1808="",$Q1808=0),"",IF($G1808="國","國定假日",IF($B1808="日","例假",IF($B1808="六","休息日","平日"))))</f>
        <v/>
      </c>
      <c r="S1808" s="19" t="n"/>
    </row>
    <row r="1809">
      <c r="A1809" s="82">
        <f>IF(OR(助理班表!$A63="",9&gt;DAY(EOMONTH(DATE(設定!$C$2,設定!$D$2,1),0))),"",DATE(設定!$C$2,設定!$D$2,9))</f>
        <v/>
      </c>
      <c r="B1809" s="16">
        <f>IF($A1809="","",INDEX(設定!$O$6:$O$12,WEEKDAY($A1809,1)))</f>
        <v/>
      </c>
      <c r="C1809" s="16">
        <f>IF($A1809="","",助理班表!$A63)</f>
        <v/>
      </c>
      <c r="D1809" s="16">
        <f>IF($C1809="","",助理班表!$B63)</f>
        <v/>
      </c>
      <c r="E1809" s="16">
        <f>IF($C1809="","",助理班表!$D63)</f>
        <v/>
      </c>
      <c r="F1809" s="16">
        <f>IF($C1809="","",助理班表!$C63)</f>
        <v/>
      </c>
      <c r="G1809" s="16">
        <f>IF($C1809="","",助理班表!M63)</f>
        <v/>
      </c>
      <c r="H1809" s="83">
        <f>IF($G1809="","",IFERROR(IF(INDEX(設定!$D$6:$D$21,MATCH($G1809,設定!$B$6:$B$21,0))=0,"",INDEX(設定!$D$6:$D$21,MATCH($G1809,設定!$B$6:$B$21,0))),""))</f>
        <v/>
      </c>
      <c r="I1809" s="83">
        <f>IF($G1809="","",IFERROR(IF(INDEX(設定!$E$6:$E$21,MATCH($G1809,設定!$B$6:$B$21,0))=0,"",INDEX(設定!$E$6:$E$21,MATCH($G1809,設定!$B$6:$B$21,0))),""))</f>
        <v/>
      </c>
      <c r="J1809" s="83">
        <f>IFERROR(INDEX(打卡匯入!$C$3:$C$2002,MATCH($C1809&amp;"|"&amp;DAY($A1809),打卡匯入!$E$3:$E$2002,0)),"")</f>
        <v/>
      </c>
      <c r="K1809" s="83">
        <f>IFERROR(INDEX(打卡匯入!$D$3:$D$2002,MATCH($C1809&amp;"|"&amp;DAY($A1809),打卡匯入!$E$3:$E$2002,0)),"")</f>
        <v/>
      </c>
      <c r="L1809" s="84">
        <f>IF(OR($J1809="",$K1809=""),"",IFERROR(INDEX(設定!$F$6:$F$21,MATCH($G1809,設定!$B$6:$B$21,0)),0))</f>
        <v/>
      </c>
      <c r="M1809" s="85">
        <f>IF(OR($J1809="",$K1809=""),"",ROUND(($K1809-$J1809)*24-$L1809/60,2))</f>
        <v/>
      </c>
      <c r="N1809" s="16">
        <f>IF($C1809="","",IF(AND(COUNTIF(設定!$B$15:$B$21,$G1809)&gt;0,$J1809&lt;&gt;""),"假日出勤",IF(AND(COUNTIF(設定!$B$6:$B$14,$G1809)&gt;0,$J1809=""),"未打卡",IF($J1809="","",IF($O1809&gt;0,"遲到",IF($P1809&gt;0,"早退","正常"))))))</f>
        <v/>
      </c>
      <c r="O1809" s="84">
        <f>IF(OR($C1809="",$H1809="",$J1809=""),0,IF(ROUND(($J1809-$H1809)*1440,0)&gt;設定!$C$46,ROUND(($J1809-$H1809)*1440,0),0))</f>
        <v/>
      </c>
      <c r="P1809" s="84">
        <f>IF(OR($C1809="",$I1809="",$K1809=""),0,IF(ROUND(($I1809-$K1809)*1440,0)&gt;設定!$C$46,ROUND(($I1809-$K1809)*1440,0),0))</f>
        <v/>
      </c>
      <c r="Q1809" s="85">
        <f>IF($M1809="",0,IF(($M1809-IFERROR(INDEX(設定!$G$6:$G$21,MATCH($G1809,設定!$B$6:$B$21,0)),0))*60&gt;=設定!$C$44,ROUND(FLOOR(($M1809-IFERROR(INDEX(設定!$G$6:$G$21,MATCH($G1809,設定!$B$6:$B$21,0)),0))*60,設定!$C$45)/60,2),0))</f>
        <v/>
      </c>
      <c r="R1809" s="16">
        <f>IF(OR($C1809="",$Q1809=0),"",IF($G1809="國","國定假日",IF($B1809="日","例假",IF($B1809="六","休息日","平日"))))</f>
        <v/>
      </c>
      <c r="S1809" s="19" t="n"/>
    </row>
    <row r="1810">
      <c r="A1810" s="82">
        <f>IF(OR(助理班表!$A63="",10&gt;DAY(EOMONTH(DATE(設定!$C$2,設定!$D$2,1),0))),"",DATE(設定!$C$2,設定!$D$2,10))</f>
        <v/>
      </c>
      <c r="B1810" s="16">
        <f>IF($A1810="","",INDEX(設定!$O$6:$O$12,WEEKDAY($A1810,1)))</f>
        <v/>
      </c>
      <c r="C1810" s="16">
        <f>IF($A1810="","",助理班表!$A63)</f>
        <v/>
      </c>
      <c r="D1810" s="16">
        <f>IF($C1810="","",助理班表!$B63)</f>
        <v/>
      </c>
      <c r="E1810" s="16">
        <f>IF($C1810="","",助理班表!$D63)</f>
        <v/>
      </c>
      <c r="F1810" s="16">
        <f>IF($C1810="","",助理班表!$C63)</f>
        <v/>
      </c>
      <c r="G1810" s="16">
        <f>IF($C1810="","",助理班表!N63)</f>
        <v/>
      </c>
      <c r="H1810" s="83">
        <f>IF($G1810="","",IFERROR(IF(INDEX(設定!$D$6:$D$21,MATCH($G1810,設定!$B$6:$B$21,0))=0,"",INDEX(設定!$D$6:$D$21,MATCH($G1810,設定!$B$6:$B$21,0))),""))</f>
        <v/>
      </c>
      <c r="I1810" s="83">
        <f>IF($G1810="","",IFERROR(IF(INDEX(設定!$E$6:$E$21,MATCH($G1810,設定!$B$6:$B$21,0))=0,"",INDEX(設定!$E$6:$E$21,MATCH($G1810,設定!$B$6:$B$21,0))),""))</f>
        <v/>
      </c>
      <c r="J1810" s="83">
        <f>IFERROR(INDEX(打卡匯入!$C$3:$C$2002,MATCH($C1810&amp;"|"&amp;DAY($A1810),打卡匯入!$E$3:$E$2002,0)),"")</f>
        <v/>
      </c>
      <c r="K1810" s="83">
        <f>IFERROR(INDEX(打卡匯入!$D$3:$D$2002,MATCH($C1810&amp;"|"&amp;DAY($A1810),打卡匯入!$E$3:$E$2002,0)),"")</f>
        <v/>
      </c>
      <c r="L1810" s="84">
        <f>IF(OR($J1810="",$K1810=""),"",IFERROR(INDEX(設定!$F$6:$F$21,MATCH($G1810,設定!$B$6:$B$21,0)),0))</f>
        <v/>
      </c>
      <c r="M1810" s="85">
        <f>IF(OR($J1810="",$K1810=""),"",ROUND(($K1810-$J1810)*24-$L1810/60,2))</f>
        <v/>
      </c>
      <c r="N1810" s="16">
        <f>IF($C1810="","",IF(AND(COUNTIF(設定!$B$15:$B$21,$G1810)&gt;0,$J1810&lt;&gt;""),"假日出勤",IF(AND(COUNTIF(設定!$B$6:$B$14,$G1810)&gt;0,$J1810=""),"未打卡",IF($J1810="","",IF($O1810&gt;0,"遲到",IF($P1810&gt;0,"早退","正常"))))))</f>
        <v/>
      </c>
      <c r="O1810" s="84">
        <f>IF(OR($C1810="",$H1810="",$J1810=""),0,IF(ROUND(($J1810-$H1810)*1440,0)&gt;設定!$C$46,ROUND(($J1810-$H1810)*1440,0),0))</f>
        <v/>
      </c>
      <c r="P1810" s="84">
        <f>IF(OR($C1810="",$I1810="",$K1810=""),0,IF(ROUND(($I1810-$K1810)*1440,0)&gt;設定!$C$46,ROUND(($I1810-$K1810)*1440,0),0))</f>
        <v/>
      </c>
      <c r="Q1810" s="85">
        <f>IF($M1810="",0,IF(($M1810-IFERROR(INDEX(設定!$G$6:$G$21,MATCH($G1810,設定!$B$6:$B$21,0)),0))*60&gt;=設定!$C$44,ROUND(FLOOR(($M1810-IFERROR(INDEX(設定!$G$6:$G$21,MATCH($G1810,設定!$B$6:$B$21,0)),0))*60,設定!$C$45)/60,2),0))</f>
        <v/>
      </c>
      <c r="R1810" s="16">
        <f>IF(OR($C1810="",$Q1810=0),"",IF($G1810="國","國定假日",IF($B1810="日","例假",IF($B1810="六","休息日","平日"))))</f>
        <v/>
      </c>
      <c r="S1810" s="19" t="n"/>
    </row>
    <row r="1811">
      <c r="A1811" s="82">
        <f>IF(OR(助理班表!$A63="",11&gt;DAY(EOMONTH(DATE(設定!$C$2,設定!$D$2,1),0))),"",DATE(設定!$C$2,設定!$D$2,11))</f>
        <v/>
      </c>
      <c r="B1811" s="16">
        <f>IF($A1811="","",INDEX(設定!$O$6:$O$12,WEEKDAY($A1811,1)))</f>
        <v/>
      </c>
      <c r="C1811" s="16">
        <f>IF($A1811="","",助理班表!$A63)</f>
        <v/>
      </c>
      <c r="D1811" s="16">
        <f>IF($C1811="","",助理班表!$B63)</f>
        <v/>
      </c>
      <c r="E1811" s="16">
        <f>IF($C1811="","",助理班表!$D63)</f>
        <v/>
      </c>
      <c r="F1811" s="16">
        <f>IF($C1811="","",助理班表!$C63)</f>
        <v/>
      </c>
      <c r="G1811" s="16">
        <f>IF($C1811="","",助理班表!O63)</f>
        <v/>
      </c>
      <c r="H1811" s="83">
        <f>IF($G1811="","",IFERROR(IF(INDEX(設定!$D$6:$D$21,MATCH($G1811,設定!$B$6:$B$21,0))=0,"",INDEX(設定!$D$6:$D$21,MATCH($G1811,設定!$B$6:$B$21,0))),""))</f>
        <v/>
      </c>
      <c r="I1811" s="83">
        <f>IF($G1811="","",IFERROR(IF(INDEX(設定!$E$6:$E$21,MATCH($G1811,設定!$B$6:$B$21,0))=0,"",INDEX(設定!$E$6:$E$21,MATCH($G1811,設定!$B$6:$B$21,0))),""))</f>
        <v/>
      </c>
      <c r="J1811" s="83">
        <f>IFERROR(INDEX(打卡匯入!$C$3:$C$2002,MATCH($C1811&amp;"|"&amp;DAY($A1811),打卡匯入!$E$3:$E$2002,0)),"")</f>
        <v/>
      </c>
      <c r="K1811" s="83">
        <f>IFERROR(INDEX(打卡匯入!$D$3:$D$2002,MATCH($C1811&amp;"|"&amp;DAY($A1811),打卡匯入!$E$3:$E$2002,0)),"")</f>
        <v/>
      </c>
      <c r="L1811" s="84">
        <f>IF(OR($J1811="",$K1811=""),"",IFERROR(INDEX(設定!$F$6:$F$21,MATCH($G1811,設定!$B$6:$B$21,0)),0))</f>
        <v/>
      </c>
      <c r="M1811" s="85">
        <f>IF(OR($J1811="",$K1811=""),"",ROUND(($K1811-$J1811)*24-$L1811/60,2))</f>
        <v/>
      </c>
      <c r="N1811" s="16">
        <f>IF($C1811="","",IF(AND(COUNTIF(設定!$B$15:$B$21,$G1811)&gt;0,$J1811&lt;&gt;""),"假日出勤",IF(AND(COUNTIF(設定!$B$6:$B$14,$G1811)&gt;0,$J1811=""),"未打卡",IF($J1811="","",IF($O1811&gt;0,"遲到",IF($P1811&gt;0,"早退","正常"))))))</f>
        <v/>
      </c>
      <c r="O1811" s="84">
        <f>IF(OR($C1811="",$H1811="",$J1811=""),0,IF(ROUND(($J1811-$H1811)*1440,0)&gt;設定!$C$46,ROUND(($J1811-$H1811)*1440,0),0))</f>
        <v/>
      </c>
      <c r="P1811" s="84">
        <f>IF(OR($C1811="",$I1811="",$K1811=""),0,IF(ROUND(($I1811-$K1811)*1440,0)&gt;設定!$C$46,ROUND(($I1811-$K1811)*1440,0),0))</f>
        <v/>
      </c>
      <c r="Q1811" s="85">
        <f>IF($M1811="",0,IF(($M1811-IFERROR(INDEX(設定!$G$6:$G$21,MATCH($G1811,設定!$B$6:$B$21,0)),0))*60&gt;=設定!$C$44,ROUND(FLOOR(($M1811-IFERROR(INDEX(設定!$G$6:$G$21,MATCH($G1811,設定!$B$6:$B$21,0)),0))*60,設定!$C$45)/60,2),0))</f>
        <v/>
      </c>
      <c r="R1811" s="16">
        <f>IF(OR($C1811="",$Q1811=0),"",IF($G1811="國","國定假日",IF($B1811="日","例假",IF($B1811="六","休息日","平日"))))</f>
        <v/>
      </c>
      <c r="S1811" s="19" t="n"/>
    </row>
    <row r="1812">
      <c r="A1812" s="82">
        <f>IF(OR(助理班表!$A63="",12&gt;DAY(EOMONTH(DATE(設定!$C$2,設定!$D$2,1),0))),"",DATE(設定!$C$2,設定!$D$2,12))</f>
        <v/>
      </c>
      <c r="B1812" s="16">
        <f>IF($A1812="","",INDEX(設定!$O$6:$O$12,WEEKDAY($A1812,1)))</f>
        <v/>
      </c>
      <c r="C1812" s="16">
        <f>IF($A1812="","",助理班表!$A63)</f>
        <v/>
      </c>
      <c r="D1812" s="16">
        <f>IF($C1812="","",助理班表!$B63)</f>
        <v/>
      </c>
      <c r="E1812" s="16">
        <f>IF($C1812="","",助理班表!$D63)</f>
        <v/>
      </c>
      <c r="F1812" s="16">
        <f>IF($C1812="","",助理班表!$C63)</f>
        <v/>
      </c>
      <c r="G1812" s="16">
        <f>IF($C1812="","",助理班表!P63)</f>
        <v/>
      </c>
      <c r="H1812" s="83">
        <f>IF($G1812="","",IFERROR(IF(INDEX(設定!$D$6:$D$21,MATCH($G1812,設定!$B$6:$B$21,0))=0,"",INDEX(設定!$D$6:$D$21,MATCH($G1812,設定!$B$6:$B$21,0))),""))</f>
        <v/>
      </c>
      <c r="I1812" s="83">
        <f>IF($G1812="","",IFERROR(IF(INDEX(設定!$E$6:$E$21,MATCH($G1812,設定!$B$6:$B$21,0))=0,"",INDEX(設定!$E$6:$E$21,MATCH($G1812,設定!$B$6:$B$21,0))),""))</f>
        <v/>
      </c>
      <c r="J1812" s="83">
        <f>IFERROR(INDEX(打卡匯入!$C$3:$C$2002,MATCH($C1812&amp;"|"&amp;DAY($A1812),打卡匯入!$E$3:$E$2002,0)),"")</f>
        <v/>
      </c>
      <c r="K1812" s="83">
        <f>IFERROR(INDEX(打卡匯入!$D$3:$D$2002,MATCH($C1812&amp;"|"&amp;DAY($A1812),打卡匯入!$E$3:$E$2002,0)),"")</f>
        <v/>
      </c>
      <c r="L1812" s="84">
        <f>IF(OR($J1812="",$K1812=""),"",IFERROR(INDEX(設定!$F$6:$F$21,MATCH($G1812,設定!$B$6:$B$21,0)),0))</f>
        <v/>
      </c>
      <c r="M1812" s="85">
        <f>IF(OR($J1812="",$K1812=""),"",ROUND(($K1812-$J1812)*24-$L1812/60,2))</f>
        <v/>
      </c>
      <c r="N1812" s="16">
        <f>IF($C1812="","",IF(AND(COUNTIF(設定!$B$15:$B$21,$G1812)&gt;0,$J1812&lt;&gt;""),"假日出勤",IF(AND(COUNTIF(設定!$B$6:$B$14,$G1812)&gt;0,$J1812=""),"未打卡",IF($J1812="","",IF($O1812&gt;0,"遲到",IF($P1812&gt;0,"早退","正常"))))))</f>
        <v/>
      </c>
      <c r="O1812" s="84">
        <f>IF(OR($C1812="",$H1812="",$J1812=""),0,IF(ROUND(($J1812-$H1812)*1440,0)&gt;設定!$C$46,ROUND(($J1812-$H1812)*1440,0),0))</f>
        <v/>
      </c>
      <c r="P1812" s="84">
        <f>IF(OR($C1812="",$I1812="",$K1812=""),0,IF(ROUND(($I1812-$K1812)*1440,0)&gt;設定!$C$46,ROUND(($I1812-$K1812)*1440,0),0))</f>
        <v/>
      </c>
      <c r="Q1812" s="85">
        <f>IF($M1812="",0,IF(($M1812-IFERROR(INDEX(設定!$G$6:$G$21,MATCH($G1812,設定!$B$6:$B$21,0)),0))*60&gt;=設定!$C$44,ROUND(FLOOR(($M1812-IFERROR(INDEX(設定!$G$6:$G$21,MATCH($G1812,設定!$B$6:$B$21,0)),0))*60,設定!$C$45)/60,2),0))</f>
        <v/>
      </c>
      <c r="R1812" s="16">
        <f>IF(OR($C1812="",$Q1812=0),"",IF($G1812="國","國定假日",IF($B1812="日","例假",IF($B1812="六","休息日","平日"))))</f>
        <v/>
      </c>
      <c r="S1812" s="19" t="n"/>
    </row>
    <row r="1813">
      <c r="A1813" s="82">
        <f>IF(OR(助理班表!$A63="",13&gt;DAY(EOMONTH(DATE(設定!$C$2,設定!$D$2,1),0))),"",DATE(設定!$C$2,設定!$D$2,13))</f>
        <v/>
      </c>
      <c r="B1813" s="16">
        <f>IF($A1813="","",INDEX(設定!$O$6:$O$12,WEEKDAY($A1813,1)))</f>
        <v/>
      </c>
      <c r="C1813" s="16">
        <f>IF($A1813="","",助理班表!$A63)</f>
        <v/>
      </c>
      <c r="D1813" s="16">
        <f>IF($C1813="","",助理班表!$B63)</f>
        <v/>
      </c>
      <c r="E1813" s="16">
        <f>IF($C1813="","",助理班表!$D63)</f>
        <v/>
      </c>
      <c r="F1813" s="16">
        <f>IF($C1813="","",助理班表!$C63)</f>
        <v/>
      </c>
      <c r="G1813" s="16">
        <f>IF($C1813="","",助理班表!Q63)</f>
        <v/>
      </c>
      <c r="H1813" s="83">
        <f>IF($G1813="","",IFERROR(IF(INDEX(設定!$D$6:$D$21,MATCH($G1813,設定!$B$6:$B$21,0))=0,"",INDEX(設定!$D$6:$D$21,MATCH($G1813,設定!$B$6:$B$21,0))),""))</f>
        <v/>
      </c>
      <c r="I1813" s="83">
        <f>IF($G1813="","",IFERROR(IF(INDEX(設定!$E$6:$E$21,MATCH($G1813,設定!$B$6:$B$21,0))=0,"",INDEX(設定!$E$6:$E$21,MATCH($G1813,設定!$B$6:$B$21,0))),""))</f>
        <v/>
      </c>
      <c r="J1813" s="83">
        <f>IFERROR(INDEX(打卡匯入!$C$3:$C$2002,MATCH($C1813&amp;"|"&amp;DAY($A1813),打卡匯入!$E$3:$E$2002,0)),"")</f>
        <v/>
      </c>
      <c r="K1813" s="83">
        <f>IFERROR(INDEX(打卡匯入!$D$3:$D$2002,MATCH($C1813&amp;"|"&amp;DAY($A1813),打卡匯入!$E$3:$E$2002,0)),"")</f>
        <v/>
      </c>
      <c r="L1813" s="84">
        <f>IF(OR($J1813="",$K1813=""),"",IFERROR(INDEX(設定!$F$6:$F$21,MATCH($G1813,設定!$B$6:$B$21,0)),0))</f>
        <v/>
      </c>
      <c r="M1813" s="85">
        <f>IF(OR($J1813="",$K1813=""),"",ROUND(($K1813-$J1813)*24-$L1813/60,2))</f>
        <v/>
      </c>
      <c r="N1813" s="16">
        <f>IF($C1813="","",IF(AND(COUNTIF(設定!$B$15:$B$21,$G1813)&gt;0,$J1813&lt;&gt;""),"假日出勤",IF(AND(COUNTIF(設定!$B$6:$B$14,$G1813)&gt;0,$J1813=""),"未打卡",IF($J1813="","",IF($O1813&gt;0,"遲到",IF($P1813&gt;0,"早退","正常"))))))</f>
        <v/>
      </c>
      <c r="O1813" s="84">
        <f>IF(OR($C1813="",$H1813="",$J1813=""),0,IF(ROUND(($J1813-$H1813)*1440,0)&gt;設定!$C$46,ROUND(($J1813-$H1813)*1440,0),0))</f>
        <v/>
      </c>
      <c r="P1813" s="84">
        <f>IF(OR($C1813="",$I1813="",$K1813=""),0,IF(ROUND(($I1813-$K1813)*1440,0)&gt;設定!$C$46,ROUND(($I1813-$K1813)*1440,0),0))</f>
        <v/>
      </c>
      <c r="Q1813" s="85">
        <f>IF($M1813="",0,IF(($M1813-IFERROR(INDEX(設定!$G$6:$G$21,MATCH($G1813,設定!$B$6:$B$21,0)),0))*60&gt;=設定!$C$44,ROUND(FLOOR(($M1813-IFERROR(INDEX(設定!$G$6:$G$21,MATCH($G1813,設定!$B$6:$B$21,0)),0))*60,設定!$C$45)/60,2),0))</f>
        <v/>
      </c>
      <c r="R1813" s="16">
        <f>IF(OR($C1813="",$Q1813=0),"",IF($G1813="國","國定假日",IF($B1813="日","例假",IF($B1813="六","休息日","平日"))))</f>
        <v/>
      </c>
      <c r="S1813" s="19" t="n"/>
    </row>
    <row r="1814">
      <c r="A1814" s="82">
        <f>IF(OR(助理班表!$A63="",14&gt;DAY(EOMONTH(DATE(設定!$C$2,設定!$D$2,1),0))),"",DATE(設定!$C$2,設定!$D$2,14))</f>
        <v/>
      </c>
      <c r="B1814" s="16">
        <f>IF($A1814="","",INDEX(設定!$O$6:$O$12,WEEKDAY($A1814,1)))</f>
        <v/>
      </c>
      <c r="C1814" s="16">
        <f>IF($A1814="","",助理班表!$A63)</f>
        <v/>
      </c>
      <c r="D1814" s="16">
        <f>IF($C1814="","",助理班表!$B63)</f>
        <v/>
      </c>
      <c r="E1814" s="16">
        <f>IF($C1814="","",助理班表!$D63)</f>
        <v/>
      </c>
      <c r="F1814" s="16">
        <f>IF($C1814="","",助理班表!$C63)</f>
        <v/>
      </c>
      <c r="G1814" s="16">
        <f>IF($C1814="","",助理班表!R63)</f>
        <v/>
      </c>
      <c r="H1814" s="83">
        <f>IF($G1814="","",IFERROR(IF(INDEX(設定!$D$6:$D$21,MATCH($G1814,設定!$B$6:$B$21,0))=0,"",INDEX(設定!$D$6:$D$21,MATCH($G1814,設定!$B$6:$B$21,0))),""))</f>
        <v/>
      </c>
      <c r="I1814" s="83">
        <f>IF($G1814="","",IFERROR(IF(INDEX(設定!$E$6:$E$21,MATCH($G1814,設定!$B$6:$B$21,0))=0,"",INDEX(設定!$E$6:$E$21,MATCH($G1814,設定!$B$6:$B$21,0))),""))</f>
        <v/>
      </c>
      <c r="J1814" s="83">
        <f>IFERROR(INDEX(打卡匯入!$C$3:$C$2002,MATCH($C1814&amp;"|"&amp;DAY($A1814),打卡匯入!$E$3:$E$2002,0)),"")</f>
        <v/>
      </c>
      <c r="K1814" s="83">
        <f>IFERROR(INDEX(打卡匯入!$D$3:$D$2002,MATCH($C1814&amp;"|"&amp;DAY($A1814),打卡匯入!$E$3:$E$2002,0)),"")</f>
        <v/>
      </c>
      <c r="L1814" s="84">
        <f>IF(OR($J1814="",$K1814=""),"",IFERROR(INDEX(設定!$F$6:$F$21,MATCH($G1814,設定!$B$6:$B$21,0)),0))</f>
        <v/>
      </c>
      <c r="M1814" s="85">
        <f>IF(OR($J1814="",$K1814=""),"",ROUND(($K1814-$J1814)*24-$L1814/60,2))</f>
        <v/>
      </c>
      <c r="N1814" s="16">
        <f>IF($C1814="","",IF(AND(COUNTIF(設定!$B$15:$B$21,$G1814)&gt;0,$J1814&lt;&gt;""),"假日出勤",IF(AND(COUNTIF(設定!$B$6:$B$14,$G1814)&gt;0,$J1814=""),"未打卡",IF($J1814="","",IF($O1814&gt;0,"遲到",IF($P1814&gt;0,"早退","正常"))))))</f>
        <v/>
      </c>
      <c r="O1814" s="84">
        <f>IF(OR($C1814="",$H1814="",$J1814=""),0,IF(ROUND(($J1814-$H1814)*1440,0)&gt;設定!$C$46,ROUND(($J1814-$H1814)*1440,0),0))</f>
        <v/>
      </c>
      <c r="P1814" s="84">
        <f>IF(OR($C1814="",$I1814="",$K1814=""),0,IF(ROUND(($I1814-$K1814)*1440,0)&gt;設定!$C$46,ROUND(($I1814-$K1814)*1440,0),0))</f>
        <v/>
      </c>
      <c r="Q1814" s="85">
        <f>IF($M1814="",0,IF(($M1814-IFERROR(INDEX(設定!$G$6:$G$21,MATCH($G1814,設定!$B$6:$B$21,0)),0))*60&gt;=設定!$C$44,ROUND(FLOOR(($M1814-IFERROR(INDEX(設定!$G$6:$G$21,MATCH($G1814,設定!$B$6:$B$21,0)),0))*60,設定!$C$45)/60,2),0))</f>
        <v/>
      </c>
      <c r="R1814" s="16">
        <f>IF(OR($C1814="",$Q1814=0),"",IF($G1814="國","國定假日",IF($B1814="日","例假",IF($B1814="六","休息日","平日"))))</f>
        <v/>
      </c>
      <c r="S1814" s="19" t="n"/>
    </row>
    <row r="1815">
      <c r="A1815" s="82">
        <f>IF(OR(助理班表!$A63="",15&gt;DAY(EOMONTH(DATE(設定!$C$2,設定!$D$2,1),0))),"",DATE(設定!$C$2,設定!$D$2,15))</f>
        <v/>
      </c>
      <c r="B1815" s="16">
        <f>IF($A1815="","",INDEX(設定!$O$6:$O$12,WEEKDAY($A1815,1)))</f>
        <v/>
      </c>
      <c r="C1815" s="16">
        <f>IF($A1815="","",助理班表!$A63)</f>
        <v/>
      </c>
      <c r="D1815" s="16">
        <f>IF($C1815="","",助理班表!$B63)</f>
        <v/>
      </c>
      <c r="E1815" s="16">
        <f>IF($C1815="","",助理班表!$D63)</f>
        <v/>
      </c>
      <c r="F1815" s="16">
        <f>IF($C1815="","",助理班表!$C63)</f>
        <v/>
      </c>
      <c r="G1815" s="16">
        <f>IF($C1815="","",助理班表!S63)</f>
        <v/>
      </c>
      <c r="H1815" s="83">
        <f>IF($G1815="","",IFERROR(IF(INDEX(設定!$D$6:$D$21,MATCH($G1815,設定!$B$6:$B$21,0))=0,"",INDEX(設定!$D$6:$D$21,MATCH($G1815,設定!$B$6:$B$21,0))),""))</f>
        <v/>
      </c>
      <c r="I1815" s="83">
        <f>IF($G1815="","",IFERROR(IF(INDEX(設定!$E$6:$E$21,MATCH($G1815,設定!$B$6:$B$21,0))=0,"",INDEX(設定!$E$6:$E$21,MATCH($G1815,設定!$B$6:$B$21,0))),""))</f>
        <v/>
      </c>
      <c r="J1815" s="83">
        <f>IFERROR(INDEX(打卡匯入!$C$3:$C$2002,MATCH($C1815&amp;"|"&amp;DAY($A1815),打卡匯入!$E$3:$E$2002,0)),"")</f>
        <v/>
      </c>
      <c r="K1815" s="83">
        <f>IFERROR(INDEX(打卡匯入!$D$3:$D$2002,MATCH($C1815&amp;"|"&amp;DAY($A1815),打卡匯入!$E$3:$E$2002,0)),"")</f>
        <v/>
      </c>
      <c r="L1815" s="84">
        <f>IF(OR($J1815="",$K1815=""),"",IFERROR(INDEX(設定!$F$6:$F$21,MATCH($G1815,設定!$B$6:$B$21,0)),0))</f>
        <v/>
      </c>
      <c r="M1815" s="85">
        <f>IF(OR($J1815="",$K1815=""),"",ROUND(($K1815-$J1815)*24-$L1815/60,2))</f>
        <v/>
      </c>
      <c r="N1815" s="16">
        <f>IF($C1815="","",IF(AND(COUNTIF(設定!$B$15:$B$21,$G1815)&gt;0,$J1815&lt;&gt;""),"假日出勤",IF(AND(COUNTIF(設定!$B$6:$B$14,$G1815)&gt;0,$J1815=""),"未打卡",IF($J1815="","",IF($O1815&gt;0,"遲到",IF($P1815&gt;0,"早退","正常"))))))</f>
        <v/>
      </c>
      <c r="O1815" s="84">
        <f>IF(OR($C1815="",$H1815="",$J1815=""),0,IF(ROUND(($J1815-$H1815)*1440,0)&gt;設定!$C$46,ROUND(($J1815-$H1815)*1440,0),0))</f>
        <v/>
      </c>
      <c r="P1815" s="84">
        <f>IF(OR($C1815="",$I1815="",$K1815=""),0,IF(ROUND(($I1815-$K1815)*1440,0)&gt;設定!$C$46,ROUND(($I1815-$K1815)*1440,0),0))</f>
        <v/>
      </c>
      <c r="Q1815" s="85">
        <f>IF($M1815="",0,IF(($M1815-IFERROR(INDEX(設定!$G$6:$G$21,MATCH($G1815,設定!$B$6:$B$21,0)),0))*60&gt;=設定!$C$44,ROUND(FLOOR(($M1815-IFERROR(INDEX(設定!$G$6:$G$21,MATCH($G1815,設定!$B$6:$B$21,0)),0))*60,設定!$C$45)/60,2),0))</f>
        <v/>
      </c>
      <c r="R1815" s="16">
        <f>IF(OR($C1815="",$Q1815=0),"",IF($G1815="國","國定假日",IF($B1815="日","例假",IF($B1815="六","休息日","平日"))))</f>
        <v/>
      </c>
      <c r="S1815" s="19" t="n"/>
    </row>
    <row r="1816">
      <c r="A1816" s="82">
        <f>IF(OR(助理班表!$A63="",16&gt;DAY(EOMONTH(DATE(設定!$C$2,設定!$D$2,1),0))),"",DATE(設定!$C$2,設定!$D$2,16))</f>
        <v/>
      </c>
      <c r="B1816" s="16">
        <f>IF($A1816="","",INDEX(設定!$O$6:$O$12,WEEKDAY($A1816,1)))</f>
        <v/>
      </c>
      <c r="C1816" s="16">
        <f>IF($A1816="","",助理班表!$A63)</f>
        <v/>
      </c>
      <c r="D1816" s="16">
        <f>IF($C1816="","",助理班表!$B63)</f>
        <v/>
      </c>
      <c r="E1816" s="16">
        <f>IF($C1816="","",助理班表!$D63)</f>
        <v/>
      </c>
      <c r="F1816" s="16">
        <f>IF($C1816="","",助理班表!$C63)</f>
        <v/>
      </c>
      <c r="G1816" s="16">
        <f>IF($C1816="","",助理班表!T63)</f>
        <v/>
      </c>
      <c r="H1816" s="83">
        <f>IF($G1816="","",IFERROR(IF(INDEX(設定!$D$6:$D$21,MATCH($G1816,設定!$B$6:$B$21,0))=0,"",INDEX(設定!$D$6:$D$21,MATCH($G1816,設定!$B$6:$B$21,0))),""))</f>
        <v/>
      </c>
      <c r="I1816" s="83">
        <f>IF($G1816="","",IFERROR(IF(INDEX(設定!$E$6:$E$21,MATCH($G1816,設定!$B$6:$B$21,0))=0,"",INDEX(設定!$E$6:$E$21,MATCH($G1816,設定!$B$6:$B$21,0))),""))</f>
        <v/>
      </c>
      <c r="J1816" s="83">
        <f>IFERROR(INDEX(打卡匯入!$C$3:$C$2002,MATCH($C1816&amp;"|"&amp;DAY($A1816),打卡匯入!$E$3:$E$2002,0)),"")</f>
        <v/>
      </c>
      <c r="K1816" s="83">
        <f>IFERROR(INDEX(打卡匯入!$D$3:$D$2002,MATCH($C1816&amp;"|"&amp;DAY($A1816),打卡匯入!$E$3:$E$2002,0)),"")</f>
        <v/>
      </c>
      <c r="L1816" s="84">
        <f>IF(OR($J1816="",$K1816=""),"",IFERROR(INDEX(設定!$F$6:$F$21,MATCH($G1816,設定!$B$6:$B$21,0)),0))</f>
        <v/>
      </c>
      <c r="M1816" s="85">
        <f>IF(OR($J1816="",$K1816=""),"",ROUND(($K1816-$J1816)*24-$L1816/60,2))</f>
        <v/>
      </c>
      <c r="N1816" s="16">
        <f>IF($C1816="","",IF(AND(COUNTIF(設定!$B$15:$B$21,$G1816)&gt;0,$J1816&lt;&gt;""),"假日出勤",IF(AND(COUNTIF(設定!$B$6:$B$14,$G1816)&gt;0,$J1816=""),"未打卡",IF($J1816="","",IF($O1816&gt;0,"遲到",IF($P1816&gt;0,"早退","正常"))))))</f>
        <v/>
      </c>
      <c r="O1816" s="84">
        <f>IF(OR($C1816="",$H1816="",$J1816=""),0,IF(ROUND(($J1816-$H1816)*1440,0)&gt;設定!$C$46,ROUND(($J1816-$H1816)*1440,0),0))</f>
        <v/>
      </c>
      <c r="P1816" s="84">
        <f>IF(OR($C1816="",$I1816="",$K1816=""),0,IF(ROUND(($I1816-$K1816)*1440,0)&gt;設定!$C$46,ROUND(($I1816-$K1816)*1440,0),0))</f>
        <v/>
      </c>
      <c r="Q1816" s="85">
        <f>IF($M1816="",0,IF(($M1816-IFERROR(INDEX(設定!$G$6:$G$21,MATCH($G1816,設定!$B$6:$B$21,0)),0))*60&gt;=設定!$C$44,ROUND(FLOOR(($M1816-IFERROR(INDEX(設定!$G$6:$G$21,MATCH($G1816,設定!$B$6:$B$21,0)),0))*60,設定!$C$45)/60,2),0))</f>
        <v/>
      </c>
      <c r="R1816" s="16">
        <f>IF(OR($C1816="",$Q1816=0),"",IF($G1816="國","國定假日",IF($B1816="日","例假",IF($B1816="六","休息日","平日"))))</f>
        <v/>
      </c>
      <c r="S1816" s="19" t="n"/>
    </row>
    <row r="1817">
      <c r="A1817" s="82">
        <f>IF(OR(助理班表!$A63="",17&gt;DAY(EOMONTH(DATE(設定!$C$2,設定!$D$2,1),0))),"",DATE(設定!$C$2,設定!$D$2,17))</f>
        <v/>
      </c>
      <c r="B1817" s="16">
        <f>IF($A1817="","",INDEX(設定!$O$6:$O$12,WEEKDAY($A1817,1)))</f>
        <v/>
      </c>
      <c r="C1817" s="16">
        <f>IF($A1817="","",助理班表!$A63)</f>
        <v/>
      </c>
      <c r="D1817" s="16">
        <f>IF($C1817="","",助理班表!$B63)</f>
        <v/>
      </c>
      <c r="E1817" s="16">
        <f>IF($C1817="","",助理班表!$D63)</f>
        <v/>
      </c>
      <c r="F1817" s="16">
        <f>IF($C1817="","",助理班表!$C63)</f>
        <v/>
      </c>
      <c r="G1817" s="16">
        <f>IF($C1817="","",助理班表!U63)</f>
        <v/>
      </c>
      <c r="H1817" s="83">
        <f>IF($G1817="","",IFERROR(IF(INDEX(設定!$D$6:$D$21,MATCH($G1817,設定!$B$6:$B$21,0))=0,"",INDEX(設定!$D$6:$D$21,MATCH($G1817,設定!$B$6:$B$21,0))),""))</f>
        <v/>
      </c>
      <c r="I1817" s="83">
        <f>IF($G1817="","",IFERROR(IF(INDEX(設定!$E$6:$E$21,MATCH($G1817,設定!$B$6:$B$21,0))=0,"",INDEX(設定!$E$6:$E$21,MATCH($G1817,設定!$B$6:$B$21,0))),""))</f>
        <v/>
      </c>
      <c r="J1817" s="83">
        <f>IFERROR(INDEX(打卡匯入!$C$3:$C$2002,MATCH($C1817&amp;"|"&amp;DAY($A1817),打卡匯入!$E$3:$E$2002,0)),"")</f>
        <v/>
      </c>
      <c r="K1817" s="83">
        <f>IFERROR(INDEX(打卡匯入!$D$3:$D$2002,MATCH($C1817&amp;"|"&amp;DAY($A1817),打卡匯入!$E$3:$E$2002,0)),"")</f>
        <v/>
      </c>
      <c r="L1817" s="84">
        <f>IF(OR($J1817="",$K1817=""),"",IFERROR(INDEX(設定!$F$6:$F$21,MATCH($G1817,設定!$B$6:$B$21,0)),0))</f>
        <v/>
      </c>
      <c r="M1817" s="85">
        <f>IF(OR($J1817="",$K1817=""),"",ROUND(($K1817-$J1817)*24-$L1817/60,2))</f>
        <v/>
      </c>
      <c r="N1817" s="16">
        <f>IF($C1817="","",IF(AND(COUNTIF(設定!$B$15:$B$21,$G1817)&gt;0,$J1817&lt;&gt;""),"假日出勤",IF(AND(COUNTIF(設定!$B$6:$B$14,$G1817)&gt;0,$J1817=""),"未打卡",IF($J1817="","",IF($O1817&gt;0,"遲到",IF($P1817&gt;0,"早退","正常"))))))</f>
        <v/>
      </c>
      <c r="O1817" s="84">
        <f>IF(OR($C1817="",$H1817="",$J1817=""),0,IF(ROUND(($J1817-$H1817)*1440,0)&gt;設定!$C$46,ROUND(($J1817-$H1817)*1440,0),0))</f>
        <v/>
      </c>
      <c r="P1817" s="84">
        <f>IF(OR($C1817="",$I1817="",$K1817=""),0,IF(ROUND(($I1817-$K1817)*1440,0)&gt;設定!$C$46,ROUND(($I1817-$K1817)*1440,0),0))</f>
        <v/>
      </c>
      <c r="Q1817" s="85">
        <f>IF($M1817="",0,IF(($M1817-IFERROR(INDEX(設定!$G$6:$G$21,MATCH($G1817,設定!$B$6:$B$21,0)),0))*60&gt;=設定!$C$44,ROUND(FLOOR(($M1817-IFERROR(INDEX(設定!$G$6:$G$21,MATCH($G1817,設定!$B$6:$B$21,0)),0))*60,設定!$C$45)/60,2),0))</f>
        <v/>
      </c>
      <c r="R1817" s="16">
        <f>IF(OR($C1817="",$Q1817=0),"",IF($G1817="國","國定假日",IF($B1817="日","例假",IF($B1817="六","休息日","平日"))))</f>
        <v/>
      </c>
      <c r="S1817" s="19" t="n"/>
    </row>
    <row r="1818">
      <c r="A1818" s="82">
        <f>IF(OR(助理班表!$A63="",18&gt;DAY(EOMONTH(DATE(設定!$C$2,設定!$D$2,1),0))),"",DATE(設定!$C$2,設定!$D$2,18))</f>
        <v/>
      </c>
      <c r="B1818" s="16">
        <f>IF($A1818="","",INDEX(設定!$O$6:$O$12,WEEKDAY($A1818,1)))</f>
        <v/>
      </c>
      <c r="C1818" s="16">
        <f>IF($A1818="","",助理班表!$A63)</f>
        <v/>
      </c>
      <c r="D1818" s="16">
        <f>IF($C1818="","",助理班表!$B63)</f>
        <v/>
      </c>
      <c r="E1818" s="16">
        <f>IF($C1818="","",助理班表!$D63)</f>
        <v/>
      </c>
      <c r="F1818" s="16">
        <f>IF($C1818="","",助理班表!$C63)</f>
        <v/>
      </c>
      <c r="G1818" s="16">
        <f>IF($C1818="","",助理班表!V63)</f>
        <v/>
      </c>
      <c r="H1818" s="83">
        <f>IF($G1818="","",IFERROR(IF(INDEX(設定!$D$6:$D$21,MATCH($G1818,設定!$B$6:$B$21,0))=0,"",INDEX(設定!$D$6:$D$21,MATCH($G1818,設定!$B$6:$B$21,0))),""))</f>
        <v/>
      </c>
      <c r="I1818" s="83">
        <f>IF($G1818="","",IFERROR(IF(INDEX(設定!$E$6:$E$21,MATCH($G1818,設定!$B$6:$B$21,0))=0,"",INDEX(設定!$E$6:$E$21,MATCH($G1818,設定!$B$6:$B$21,0))),""))</f>
        <v/>
      </c>
      <c r="J1818" s="83">
        <f>IFERROR(INDEX(打卡匯入!$C$3:$C$2002,MATCH($C1818&amp;"|"&amp;DAY($A1818),打卡匯入!$E$3:$E$2002,0)),"")</f>
        <v/>
      </c>
      <c r="K1818" s="83">
        <f>IFERROR(INDEX(打卡匯入!$D$3:$D$2002,MATCH($C1818&amp;"|"&amp;DAY($A1818),打卡匯入!$E$3:$E$2002,0)),"")</f>
        <v/>
      </c>
      <c r="L1818" s="84">
        <f>IF(OR($J1818="",$K1818=""),"",IFERROR(INDEX(設定!$F$6:$F$21,MATCH($G1818,設定!$B$6:$B$21,0)),0))</f>
        <v/>
      </c>
      <c r="M1818" s="85">
        <f>IF(OR($J1818="",$K1818=""),"",ROUND(($K1818-$J1818)*24-$L1818/60,2))</f>
        <v/>
      </c>
      <c r="N1818" s="16">
        <f>IF($C1818="","",IF(AND(COUNTIF(設定!$B$15:$B$21,$G1818)&gt;0,$J1818&lt;&gt;""),"假日出勤",IF(AND(COUNTIF(設定!$B$6:$B$14,$G1818)&gt;0,$J1818=""),"未打卡",IF($J1818="","",IF($O1818&gt;0,"遲到",IF($P1818&gt;0,"早退","正常"))))))</f>
        <v/>
      </c>
      <c r="O1818" s="84">
        <f>IF(OR($C1818="",$H1818="",$J1818=""),0,IF(ROUND(($J1818-$H1818)*1440,0)&gt;設定!$C$46,ROUND(($J1818-$H1818)*1440,0),0))</f>
        <v/>
      </c>
      <c r="P1818" s="84">
        <f>IF(OR($C1818="",$I1818="",$K1818=""),0,IF(ROUND(($I1818-$K1818)*1440,0)&gt;設定!$C$46,ROUND(($I1818-$K1818)*1440,0),0))</f>
        <v/>
      </c>
      <c r="Q1818" s="85">
        <f>IF($M1818="",0,IF(($M1818-IFERROR(INDEX(設定!$G$6:$G$21,MATCH($G1818,設定!$B$6:$B$21,0)),0))*60&gt;=設定!$C$44,ROUND(FLOOR(($M1818-IFERROR(INDEX(設定!$G$6:$G$21,MATCH($G1818,設定!$B$6:$B$21,0)),0))*60,設定!$C$45)/60,2),0))</f>
        <v/>
      </c>
      <c r="R1818" s="16">
        <f>IF(OR($C1818="",$Q1818=0),"",IF($G1818="國","國定假日",IF($B1818="日","例假",IF($B1818="六","休息日","平日"))))</f>
        <v/>
      </c>
      <c r="S1818" s="19" t="n"/>
    </row>
    <row r="1819">
      <c r="A1819" s="82">
        <f>IF(OR(助理班表!$A63="",19&gt;DAY(EOMONTH(DATE(設定!$C$2,設定!$D$2,1),0))),"",DATE(設定!$C$2,設定!$D$2,19))</f>
        <v/>
      </c>
      <c r="B1819" s="16">
        <f>IF($A1819="","",INDEX(設定!$O$6:$O$12,WEEKDAY($A1819,1)))</f>
        <v/>
      </c>
      <c r="C1819" s="16">
        <f>IF($A1819="","",助理班表!$A63)</f>
        <v/>
      </c>
      <c r="D1819" s="16">
        <f>IF($C1819="","",助理班表!$B63)</f>
        <v/>
      </c>
      <c r="E1819" s="16">
        <f>IF($C1819="","",助理班表!$D63)</f>
        <v/>
      </c>
      <c r="F1819" s="16">
        <f>IF($C1819="","",助理班表!$C63)</f>
        <v/>
      </c>
      <c r="G1819" s="16">
        <f>IF($C1819="","",助理班表!W63)</f>
        <v/>
      </c>
      <c r="H1819" s="83">
        <f>IF($G1819="","",IFERROR(IF(INDEX(設定!$D$6:$D$21,MATCH($G1819,設定!$B$6:$B$21,0))=0,"",INDEX(設定!$D$6:$D$21,MATCH($G1819,設定!$B$6:$B$21,0))),""))</f>
        <v/>
      </c>
      <c r="I1819" s="83">
        <f>IF($G1819="","",IFERROR(IF(INDEX(設定!$E$6:$E$21,MATCH($G1819,設定!$B$6:$B$21,0))=0,"",INDEX(設定!$E$6:$E$21,MATCH($G1819,設定!$B$6:$B$21,0))),""))</f>
        <v/>
      </c>
      <c r="J1819" s="83">
        <f>IFERROR(INDEX(打卡匯入!$C$3:$C$2002,MATCH($C1819&amp;"|"&amp;DAY($A1819),打卡匯入!$E$3:$E$2002,0)),"")</f>
        <v/>
      </c>
      <c r="K1819" s="83">
        <f>IFERROR(INDEX(打卡匯入!$D$3:$D$2002,MATCH($C1819&amp;"|"&amp;DAY($A1819),打卡匯入!$E$3:$E$2002,0)),"")</f>
        <v/>
      </c>
      <c r="L1819" s="84">
        <f>IF(OR($J1819="",$K1819=""),"",IFERROR(INDEX(設定!$F$6:$F$21,MATCH($G1819,設定!$B$6:$B$21,0)),0))</f>
        <v/>
      </c>
      <c r="M1819" s="85">
        <f>IF(OR($J1819="",$K1819=""),"",ROUND(($K1819-$J1819)*24-$L1819/60,2))</f>
        <v/>
      </c>
      <c r="N1819" s="16">
        <f>IF($C1819="","",IF(AND(COUNTIF(設定!$B$15:$B$21,$G1819)&gt;0,$J1819&lt;&gt;""),"假日出勤",IF(AND(COUNTIF(設定!$B$6:$B$14,$G1819)&gt;0,$J1819=""),"未打卡",IF($J1819="","",IF($O1819&gt;0,"遲到",IF($P1819&gt;0,"早退","正常"))))))</f>
        <v/>
      </c>
      <c r="O1819" s="84">
        <f>IF(OR($C1819="",$H1819="",$J1819=""),0,IF(ROUND(($J1819-$H1819)*1440,0)&gt;設定!$C$46,ROUND(($J1819-$H1819)*1440,0),0))</f>
        <v/>
      </c>
      <c r="P1819" s="84">
        <f>IF(OR($C1819="",$I1819="",$K1819=""),0,IF(ROUND(($I1819-$K1819)*1440,0)&gt;設定!$C$46,ROUND(($I1819-$K1819)*1440,0),0))</f>
        <v/>
      </c>
      <c r="Q1819" s="85">
        <f>IF($M1819="",0,IF(($M1819-IFERROR(INDEX(設定!$G$6:$G$21,MATCH($G1819,設定!$B$6:$B$21,0)),0))*60&gt;=設定!$C$44,ROUND(FLOOR(($M1819-IFERROR(INDEX(設定!$G$6:$G$21,MATCH($G1819,設定!$B$6:$B$21,0)),0))*60,設定!$C$45)/60,2),0))</f>
        <v/>
      </c>
      <c r="R1819" s="16">
        <f>IF(OR($C1819="",$Q1819=0),"",IF($G1819="國","國定假日",IF($B1819="日","例假",IF($B1819="六","休息日","平日"))))</f>
        <v/>
      </c>
      <c r="S1819" s="19" t="n"/>
    </row>
    <row r="1820">
      <c r="A1820" s="82">
        <f>IF(OR(助理班表!$A63="",20&gt;DAY(EOMONTH(DATE(設定!$C$2,設定!$D$2,1),0))),"",DATE(設定!$C$2,設定!$D$2,20))</f>
        <v/>
      </c>
      <c r="B1820" s="16">
        <f>IF($A1820="","",INDEX(設定!$O$6:$O$12,WEEKDAY($A1820,1)))</f>
        <v/>
      </c>
      <c r="C1820" s="16">
        <f>IF($A1820="","",助理班表!$A63)</f>
        <v/>
      </c>
      <c r="D1820" s="16">
        <f>IF($C1820="","",助理班表!$B63)</f>
        <v/>
      </c>
      <c r="E1820" s="16">
        <f>IF($C1820="","",助理班表!$D63)</f>
        <v/>
      </c>
      <c r="F1820" s="16">
        <f>IF($C1820="","",助理班表!$C63)</f>
        <v/>
      </c>
      <c r="G1820" s="16">
        <f>IF($C1820="","",助理班表!X63)</f>
        <v/>
      </c>
      <c r="H1820" s="83">
        <f>IF($G1820="","",IFERROR(IF(INDEX(設定!$D$6:$D$21,MATCH($G1820,設定!$B$6:$B$21,0))=0,"",INDEX(設定!$D$6:$D$21,MATCH($G1820,設定!$B$6:$B$21,0))),""))</f>
        <v/>
      </c>
      <c r="I1820" s="83">
        <f>IF($G1820="","",IFERROR(IF(INDEX(設定!$E$6:$E$21,MATCH($G1820,設定!$B$6:$B$21,0))=0,"",INDEX(設定!$E$6:$E$21,MATCH($G1820,設定!$B$6:$B$21,0))),""))</f>
        <v/>
      </c>
      <c r="J1820" s="83">
        <f>IFERROR(INDEX(打卡匯入!$C$3:$C$2002,MATCH($C1820&amp;"|"&amp;DAY($A1820),打卡匯入!$E$3:$E$2002,0)),"")</f>
        <v/>
      </c>
      <c r="K1820" s="83">
        <f>IFERROR(INDEX(打卡匯入!$D$3:$D$2002,MATCH($C1820&amp;"|"&amp;DAY($A1820),打卡匯入!$E$3:$E$2002,0)),"")</f>
        <v/>
      </c>
      <c r="L1820" s="84">
        <f>IF(OR($J1820="",$K1820=""),"",IFERROR(INDEX(設定!$F$6:$F$21,MATCH($G1820,設定!$B$6:$B$21,0)),0))</f>
        <v/>
      </c>
      <c r="M1820" s="85">
        <f>IF(OR($J1820="",$K1820=""),"",ROUND(($K1820-$J1820)*24-$L1820/60,2))</f>
        <v/>
      </c>
      <c r="N1820" s="16">
        <f>IF($C1820="","",IF(AND(COUNTIF(設定!$B$15:$B$21,$G1820)&gt;0,$J1820&lt;&gt;""),"假日出勤",IF(AND(COUNTIF(設定!$B$6:$B$14,$G1820)&gt;0,$J1820=""),"未打卡",IF($J1820="","",IF($O1820&gt;0,"遲到",IF($P1820&gt;0,"早退","正常"))))))</f>
        <v/>
      </c>
      <c r="O1820" s="84">
        <f>IF(OR($C1820="",$H1820="",$J1820=""),0,IF(ROUND(($J1820-$H1820)*1440,0)&gt;設定!$C$46,ROUND(($J1820-$H1820)*1440,0),0))</f>
        <v/>
      </c>
      <c r="P1820" s="84">
        <f>IF(OR($C1820="",$I1820="",$K1820=""),0,IF(ROUND(($I1820-$K1820)*1440,0)&gt;設定!$C$46,ROUND(($I1820-$K1820)*1440,0),0))</f>
        <v/>
      </c>
      <c r="Q1820" s="85">
        <f>IF($M1820="",0,IF(($M1820-IFERROR(INDEX(設定!$G$6:$G$21,MATCH($G1820,設定!$B$6:$B$21,0)),0))*60&gt;=設定!$C$44,ROUND(FLOOR(($M1820-IFERROR(INDEX(設定!$G$6:$G$21,MATCH($G1820,設定!$B$6:$B$21,0)),0))*60,設定!$C$45)/60,2),0))</f>
        <v/>
      </c>
      <c r="R1820" s="16">
        <f>IF(OR($C1820="",$Q1820=0),"",IF($G1820="國","國定假日",IF($B1820="日","例假",IF($B1820="六","休息日","平日"))))</f>
        <v/>
      </c>
      <c r="S1820" s="19" t="n"/>
    </row>
    <row r="1821">
      <c r="A1821" s="82">
        <f>IF(OR(助理班表!$A63="",21&gt;DAY(EOMONTH(DATE(設定!$C$2,設定!$D$2,1),0))),"",DATE(設定!$C$2,設定!$D$2,21))</f>
        <v/>
      </c>
      <c r="B1821" s="16">
        <f>IF($A1821="","",INDEX(設定!$O$6:$O$12,WEEKDAY($A1821,1)))</f>
        <v/>
      </c>
      <c r="C1821" s="16">
        <f>IF($A1821="","",助理班表!$A63)</f>
        <v/>
      </c>
      <c r="D1821" s="16">
        <f>IF($C1821="","",助理班表!$B63)</f>
        <v/>
      </c>
      <c r="E1821" s="16">
        <f>IF($C1821="","",助理班表!$D63)</f>
        <v/>
      </c>
      <c r="F1821" s="16">
        <f>IF($C1821="","",助理班表!$C63)</f>
        <v/>
      </c>
      <c r="G1821" s="16">
        <f>IF($C1821="","",助理班表!Y63)</f>
        <v/>
      </c>
      <c r="H1821" s="83">
        <f>IF($G1821="","",IFERROR(IF(INDEX(設定!$D$6:$D$21,MATCH($G1821,設定!$B$6:$B$21,0))=0,"",INDEX(設定!$D$6:$D$21,MATCH($G1821,設定!$B$6:$B$21,0))),""))</f>
        <v/>
      </c>
      <c r="I1821" s="83">
        <f>IF($G1821="","",IFERROR(IF(INDEX(設定!$E$6:$E$21,MATCH($G1821,設定!$B$6:$B$21,0))=0,"",INDEX(設定!$E$6:$E$21,MATCH($G1821,設定!$B$6:$B$21,0))),""))</f>
        <v/>
      </c>
      <c r="J1821" s="83">
        <f>IFERROR(INDEX(打卡匯入!$C$3:$C$2002,MATCH($C1821&amp;"|"&amp;DAY($A1821),打卡匯入!$E$3:$E$2002,0)),"")</f>
        <v/>
      </c>
      <c r="K1821" s="83">
        <f>IFERROR(INDEX(打卡匯入!$D$3:$D$2002,MATCH($C1821&amp;"|"&amp;DAY($A1821),打卡匯入!$E$3:$E$2002,0)),"")</f>
        <v/>
      </c>
      <c r="L1821" s="84">
        <f>IF(OR($J1821="",$K1821=""),"",IFERROR(INDEX(設定!$F$6:$F$21,MATCH($G1821,設定!$B$6:$B$21,0)),0))</f>
        <v/>
      </c>
      <c r="M1821" s="85">
        <f>IF(OR($J1821="",$K1821=""),"",ROUND(($K1821-$J1821)*24-$L1821/60,2))</f>
        <v/>
      </c>
      <c r="N1821" s="16">
        <f>IF($C1821="","",IF(AND(COUNTIF(設定!$B$15:$B$21,$G1821)&gt;0,$J1821&lt;&gt;""),"假日出勤",IF(AND(COUNTIF(設定!$B$6:$B$14,$G1821)&gt;0,$J1821=""),"未打卡",IF($J1821="","",IF($O1821&gt;0,"遲到",IF($P1821&gt;0,"早退","正常"))))))</f>
        <v/>
      </c>
      <c r="O1821" s="84">
        <f>IF(OR($C1821="",$H1821="",$J1821=""),0,IF(ROUND(($J1821-$H1821)*1440,0)&gt;設定!$C$46,ROUND(($J1821-$H1821)*1440,0),0))</f>
        <v/>
      </c>
      <c r="P1821" s="84">
        <f>IF(OR($C1821="",$I1821="",$K1821=""),0,IF(ROUND(($I1821-$K1821)*1440,0)&gt;設定!$C$46,ROUND(($I1821-$K1821)*1440,0),0))</f>
        <v/>
      </c>
      <c r="Q1821" s="85">
        <f>IF($M1821="",0,IF(($M1821-IFERROR(INDEX(設定!$G$6:$G$21,MATCH($G1821,設定!$B$6:$B$21,0)),0))*60&gt;=設定!$C$44,ROUND(FLOOR(($M1821-IFERROR(INDEX(設定!$G$6:$G$21,MATCH($G1821,設定!$B$6:$B$21,0)),0))*60,設定!$C$45)/60,2),0))</f>
        <v/>
      </c>
      <c r="R1821" s="16">
        <f>IF(OR($C1821="",$Q1821=0),"",IF($G1821="國","國定假日",IF($B1821="日","例假",IF($B1821="六","休息日","平日"))))</f>
        <v/>
      </c>
      <c r="S1821" s="19" t="n"/>
    </row>
    <row r="1822">
      <c r="A1822" s="82">
        <f>IF(OR(助理班表!$A63="",22&gt;DAY(EOMONTH(DATE(設定!$C$2,設定!$D$2,1),0))),"",DATE(設定!$C$2,設定!$D$2,22))</f>
        <v/>
      </c>
      <c r="B1822" s="16">
        <f>IF($A1822="","",INDEX(設定!$O$6:$O$12,WEEKDAY($A1822,1)))</f>
        <v/>
      </c>
      <c r="C1822" s="16">
        <f>IF($A1822="","",助理班表!$A63)</f>
        <v/>
      </c>
      <c r="D1822" s="16">
        <f>IF($C1822="","",助理班表!$B63)</f>
        <v/>
      </c>
      <c r="E1822" s="16">
        <f>IF($C1822="","",助理班表!$D63)</f>
        <v/>
      </c>
      <c r="F1822" s="16">
        <f>IF($C1822="","",助理班表!$C63)</f>
        <v/>
      </c>
      <c r="G1822" s="16">
        <f>IF($C1822="","",助理班表!Z63)</f>
        <v/>
      </c>
      <c r="H1822" s="83">
        <f>IF($G1822="","",IFERROR(IF(INDEX(設定!$D$6:$D$21,MATCH($G1822,設定!$B$6:$B$21,0))=0,"",INDEX(設定!$D$6:$D$21,MATCH($G1822,設定!$B$6:$B$21,0))),""))</f>
        <v/>
      </c>
      <c r="I1822" s="83">
        <f>IF($G1822="","",IFERROR(IF(INDEX(設定!$E$6:$E$21,MATCH($G1822,設定!$B$6:$B$21,0))=0,"",INDEX(設定!$E$6:$E$21,MATCH($G1822,設定!$B$6:$B$21,0))),""))</f>
        <v/>
      </c>
      <c r="J1822" s="83">
        <f>IFERROR(INDEX(打卡匯入!$C$3:$C$2002,MATCH($C1822&amp;"|"&amp;DAY($A1822),打卡匯入!$E$3:$E$2002,0)),"")</f>
        <v/>
      </c>
      <c r="K1822" s="83">
        <f>IFERROR(INDEX(打卡匯入!$D$3:$D$2002,MATCH($C1822&amp;"|"&amp;DAY($A1822),打卡匯入!$E$3:$E$2002,0)),"")</f>
        <v/>
      </c>
      <c r="L1822" s="84">
        <f>IF(OR($J1822="",$K1822=""),"",IFERROR(INDEX(設定!$F$6:$F$21,MATCH($G1822,設定!$B$6:$B$21,0)),0))</f>
        <v/>
      </c>
      <c r="M1822" s="85">
        <f>IF(OR($J1822="",$K1822=""),"",ROUND(($K1822-$J1822)*24-$L1822/60,2))</f>
        <v/>
      </c>
      <c r="N1822" s="16">
        <f>IF($C1822="","",IF(AND(COUNTIF(設定!$B$15:$B$21,$G1822)&gt;0,$J1822&lt;&gt;""),"假日出勤",IF(AND(COUNTIF(設定!$B$6:$B$14,$G1822)&gt;0,$J1822=""),"未打卡",IF($J1822="","",IF($O1822&gt;0,"遲到",IF($P1822&gt;0,"早退","正常"))))))</f>
        <v/>
      </c>
      <c r="O1822" s="84">
        <f>IF(OR($C1822="",$H1822="",$J1822=""),0,IF(ROUND(($J1822-$H1822)*1440,0)&gt;設定!$C$46,ROUND(($J1822-$H1822)*1440,0),0))</f>
        <v/>
      </c>
      <c r="P1822" s="84">
        <f>IF(OR($C1822="",$I1822="",$K1822=""),0,IF(ROUND(($I1822-$K1822)*1440,0)&gt;設定!$C$46,ROUND(($I1822-$K1822)*1440,0),0))</f>
        <v/>
      </c>
      <c r="Q1822" s="85">
        <f>IF($M1822="",0,IF(($M1822-IFERROR(INDEX(設定!$G$6:$G$21,MATCH($G1822,設定!$B$6:$B$21,0)),0))*60&gt;=設定!$C$44,ROUND(FLOOR(($M1822-IFERROR(INDEX(設定!$G$6:$G$21,MATCH($G1822,設定!$B$6:$B$21,0)),0))*60,設定!$C$45)/60,2),0))</f>
        <v/>
      </c>
      <c r="R1822" s="16">
        <f>IF(OR($C1822="",$Q1822=0),"",IF($G1822="國","國定假日",IF($B1822="日","例假",IF($B1822="六","休息日","平日"))))</f>
        <v/>
      </c>
      <c r="S1822" s="19" t="n"/>
    </row>
    <row r="1823">
      <c r="A1823" s="82">
        <f>IF(OR(助理班表!$A63="",23&gt;DAY(EOMONTH(DATE(設定!$C$2,設定!$D$2,1),0))),"",DATE(設定!$C$2,設定!$D$2,23))</f>
        <v/>
      </c>
      <c r="B1823" s="16">
        <f>IF($A1823="","",INDEX(設定!$O$6:$O$12,WEEKDAY($A1823,1)))</f>
        <v/>
      </c>
      <c r="C1823" s="16">
        <f>IF($A1823="","",助理班表!$A63)</f>
        <v/>
      </c>
      <c r="D1823" s="16">
        <f>IF($C1823="","",助理班表!$B63)</f>
        <v/>
      </c>
      <c r="E1823" s="16">
        <f>IF($C1823="","",助理班表!$D63)</f>
        <v/>
      </c>
      <c r="F1823" s="16">
        <f>IF($C1823="","",助理班表!$C63)</f>
        <v/>
      </c>
      <c r="G1823" s="16">
        <f>IF($C1823="","",助理班表!AA63)</f>
        <v/>
      </c>
      <c r="H1823" s="83">
        <f>IF($G1823="","",IFERROR(IF(INDEX(設定!$D$6:$D$21,MATCH($G1823,設定!$B$6:$B$21,0))=0,"",INDEX(設定!$D$6:$D$21,MATCH($G1823,設定!$B$6:$B$21,0))),""))</f>
        <v/>
      </c>
      <c r="I1823" s="83">
        <f>IF($G1823="","",IFERROR(IF(INDEX(設定!$E$6:$E$21,MATCH($G1823,設定!$B$6:$B$21,0))=0,"",INDEX(設定!$E$6:$E$21,MATCH($G1823,設定!$B$6:$B$21,0))),""))</f>
        <v/>
      </c>
      <c r="J1823" s="83">
        <f>IFERROR(INDEX(打卡匯入!$C$3:$C$2002,MATCH($C1823&amp;"|"&amp;DAY($A1823),打卡匯入!$E$3:$E$2002,0)),"")</f>
        <v/>
      </c>
      <c r="K1823" s="83">
        <f>IFERROR(INDEX(打卡匯入!$D$3:$D$2002,MATCH($C1823&amp;"|"&amp;DAY($A1823),打卡匯入!$E$3:$E$2002,0)),"")</f>
        <v/>
      </c>
      <c r="L1823" s="84">
        <f>IF(OR($J1823="",$K1823=""),"",IFERROR(INDEX(設定!$F$6:$F$21,MATCH($G1823,設定!$B$6:$B$21,0)),0))</f>
        <v/>
      </c>
      <c r="M1823" s="85">
        <f>IF(OR($J1823="",$K1823=""),"",ROUND(($K1823-$J1823)*24-$L1823/60,2))</f>
        <v/>
      </c>
      <c r="N1823" s="16">
        <f>IF($C1823="","",IF(AND(COUNTIF(設定!$B$15:$B$21,$G1823)&gt;0,$J1823&lt;&gt;""),"假日出勤",IF(AND(COUNTIF(設定!$B$6:$B$14,$G1823)&gt;0,$J1823=""),"未打卡",IF($J1823="","",IF($O1823&gt;0,"遲到",IF($P1823&gt;0,"早退","正常"))))))</f>
        <v/>
      </c>
      <c r="O1823" s="84">
        <f>IF(OR($C1823="",$H1823="",$J1823=""),0,IF(ROUND(($J1823-$H1823)*1440,0)&gt;設定!$C$46,ROUND(($J1823-$H1823)*1440,0),0))</f>
        <v/>
      </c>
      <c r="P1823" s="84">
        <f>IF(OR($C1823="",$I1823="",$K1823=""),0,IF(ROUND(($I1823-$K1823)*1440,0)&gt;設定!$C$46,ROUND(($I1823-$K1823)*1440,0),0))</f>
        <v/>
      </c>
      <c r="Q1823" s="85">
        <f>IF($M1823="",0,IF(($M1823-IFERROR(INDEX(設定!$G$6:$G$21,MATCH($G1823,設定!$B$6:$B$21,0)),0))*60&gt;=設定!$C$44,ROUND(FLOOR(($M1823-IFERROR(INDEX(設定!$G$6:$G$21,MATCH($G1823,設定!$B$6:$B$21,0)),0))*60,設定!$C$45)/60,2),0))</f>
        <v/>
      </c>
      <c r="R1823" s="16">
        <f>IF(OR($C1823="",$Q1823=0),"",IF($G1823="國","國定假日",IF($B1823="日","例假",IF($B1823="六","休息日","平日"))))</f>
        <v/>
      </c>
      <c r="S1823" s="19" t="n"/>
    </row>
    <row r="1824">
      <c r="A1824" s="82">
        <f>IF(OR(助理班表!$A63="",24&gt;DAY(EOMONTH(DATE(設定!$C$2,設定!$D$2,1),0))),"",DATE(設定!$C$2,設定!$D$2,24))</f>
        <v/>
      </c>
      <c r="B1824" s="16">
        <f>IF($A1824="","",INDEX(設定!$O$6:$O$12,WEEKDAY($A1824,1)))</f>
        <v/>
      </c>
      <c r="C1824" s="16">
        <f>IF($A1824="","",助理班表!$A63)</f>
        <v/>
      </c>
      <c r="D1824" s="16">
        <f>IF($C1824="","",助理班表!$B63)</f>
        <v/>
      </c>
      <c r="E1824" s="16">
        <f>IF($C1824="","",助理班表!$D63)</f>
        <v/>
      </c>
      <c r="F1824" s="16">
        <f>IF($C1824="","",助理班表!$C63)</f>
        <v/>
      </c>
      <c r="G1824" s="16">
        <f>IF($C1824="","",助理班表!AB63)</f>
        <v/>
      </c>
      <c r="H1824" s="83">
        <f>IF($G1824="","",IFERROR(IF(INDEX(設定!$D$6:$D$21,MATCH($G1824,設定!$B$6:$B$21,0))=0,"",INDEX(設定!$D$6:$D$21,MATCH($G1824,設定!$B$6:$B$21,0))),""))</f>
        <v/>
      </c>
      <c r="I1824" s="83">
        <f>IF($G1824="","",IFERROR(IF(INDEX(設定!$E$6:$E$21,MATCH($G1824,設定!$B$6:$B$21,0))=0,"",INDEX(設定!$E$6:$E$21,MATCH($G1824,設定!$B$6:$B$21,0))),""))</f>
        <v/>
      </c>
      <c r="J1824" s="83">
        <f>IFERROR(INDEX(打卡匯入!$C$3:$C$2002,MATCH($C1824&amp;"|"&amp;DAY($A1824),打卡匯入!$E$3:$E$2002,0)),"")</f>
        <v/>
      </c>
      <c r="K1824" s="83">
        <f>IFERROR(INDEX(打卡匯入!$D$3:$D$2002,MATCH($C1824&amp;"|"&amp;DAY($A1824),打卡匯入!$E$3:$E$2002,0)),"")</f>
        <v/>
      </c>
      <c r="L1824" s="84">
        <f>IF(OR($J1824="",$K1824=""),"",IFERROR(INDEX(設定!$F$6:$F$21,MATCH($G1824,設定!$B$6:$B$21,0)),0))</f>
        <v/>
      </c>
      <c r="M1824" s="85">
        <f>IF(OR($J1824="",$K1824=""),"",ROUND(($K1824-$J1824)*24-$L1824/60,2))</f>
        <v/>
      </c>
      <c r="N1824" s="16">
        <f>IF($C1824="","",IF(AND(COUNTIF(設定!$B$15:$B$21,$G1824)&gt;0,$J1824&lt;&gt;""),"假日出勤",IF(AND(COUNTIF(設定!$B$6:$B$14,$G1824)&gt;0,$J1824=""),"未打卡",IF($J1824="","",IF($O1824&gt;0,"遲到",IF($P1824&gt;0,"早退","正常"))))))</f>
        <v/>
      </c>
      <c r="O1824" s="84">
        <f>IF(OR($C1824="",$H1824="",$J1824=""),0,IF(ROUND(($J1824-$H1824)*1440,0)&gt;設定!$C$46,ROUND(($J1824-$H1824)*1440,0),0))</f>
        <v/>
      </c>
      <c r="P1824" s="84">
        <f>IF(OR($C1824="",$I1824="",$K1824=""),0,IF(ROUND(($I1824-$K1824)*1440,0)&gt;設定!$C$46,ROUND(($I1824-$K1824)*1440,0),0))</f>
        <v/>
      </c>
      <c r="Q1824" s="85">
        <f>IF($M1824="",0,IF(($M1824-IFERROR(INDEX(設定!$G$6:$G$21,MATCH($G1824,設定!$B$6:$B$21,0)),0))*60&gt;=設定!$C$44,ROUND(FLOOR(($M1824-IFERROR(INDEX(設定!$G$6:$G$21,MATCH($G1824,設定!$B$6:$B$21,0)),0))*60,設定!$C$45)/60,2),0))</f>
        <v/>
      </c>
      <c r="R1824" s="16">
        <f>IF(OR($C1824="",$Q1824=0),"",IF($G1824="國","國定假日",IF($B1824="日","例假",IF($B1824="六","休息日","平日"))))</f>
        <v/>
      </c>
      <c r="S1824" s="19" t="n"/>
    </row>
    <row r="1825">
      <c r="A1825" s="82">
        <f>IF(OR(助理班表!$A63="",25&gt;DAY(EOMONTH(DATE(設定!$C$2,設定!$D$2,1),0))),"",DATE(設定!$C$2,設定!$D$2,25))</f>
        <v/>
      </c>
      <c r="B1825" s="16">
        <f>IF($A1825="","",INDEX(設定!$O$6:$O$12,WEEKDAY($A1825,1)))</f>
        <v/>
      </c>
      <c r="C1825" s="16">
        <f>IF($A1825="","",助理班表!$A63)</f>
        <v/>
      </c>
      <c r="D1825" s="16">
        <f>IF($C1825="","",助理班表!$B63)</f>
        <v/>
      </c>
      <c r="E1825" s="16">
        <f>IF($C1825="","",助理班表!$D63)</f>
        <v/>
      </c>
      <c r="F1825" s="16">
        <f>IF($C1825="","",助理班表!$C63)</f>
        <v/>
      </c>
      <c r="G1825" s="16">
        <f>IF($C1825="","",助理班表!AC63)</f>
        <v/>
      </c>
      <c r="H1825" s="83">
        <f>IF($G1825="","",IFERROR(IF(INDEX(設定!$D$6:$D$21,MATCH($G1825,設定!$B$6:$B$21,0))=0,"",INDEX(設定!$D$6:$D$21,MATCH($G1825,設定!$B$6:$B$21,0))),""))</f>
        <v/>
      </c>
      <c r="I1825" s="83">
        <f>IF($G1825="","",IFERROR(IF(INDEX(設定!$E$6:$E$21,MATCH($G1825,設定!$B$6:$B$21,0))=0,"",INDEX(設定!$E$6:$E$21,MATCH($G1825,設定!$B$6:$B$21,0))),""))</f>
        <v/>
      </c>
      <c r="J1825" s="83">
        <f>IFERROR(INDEX(打卡匯入!$C$3:$C$2002,MATCH($C1825&amp;"|"&amp;DAY($A1825),打卡匯入!$E$3:$E$2002,0)),"")</f>
        <v/>
      </c>
      <c r="K1825" s="83">
        <f>IFERROR(INDEX(打卡匯入!$D$3:$D$2002,MATCH($C1825&amp;"|"&amp;DAY($A1825),打卡匯入!$E$3:$E$2002,0)),"")</f>
        <v/>
      </c>
      <c r="L1825" s="84">
        <f>IF(OR($J1825="",$K1825=""),"",IFERROR(INDEX(設定!$F$6:$F$21,MATCH($G1825,設定!$B$6:$B$21,0)),0))</f>
        <v/>
      </c>
      <c r="M1825" s="85">
        <f>IF(OR($J1825="",$K1825=""),"",ROUND(($K1825-$J1825)*24-$L1825/60,2))</f>
        <v/>
      </c>
      <c r="N1825" s="16">
        <f>IF($C1825="","",IF(AND(COUNTIF(設定!$B$15:$B$21,$G1825)&gt;0,$J1825&lt;&gt;""),"假日出勤",IF(AND(COUNTIF(設定!$B$6:$B$14,$G1825)&gt;0,$J1825=""),"未打卡",IF($J1825="","",IF($O1825&gt;0,"遲到",IF($P1825&gt;0,"早退","正常"))))))</f>
        <v/>
      </c>
      <c r="O1825" s="84">
        <f>IF(OR($C1825="",$H1825="",$J1825=""),0,IF(ROUND(($J1825-$H1825)*1440,0)&gt;設定!$C$46,ROUND(($J1825-$H1825)*1440,0),0))</f>
        <v/>
      </c>
      <c r="P1825" s="84">
        <f>IF(OR($C1825="",$I1825="",$K1825=""),0,IF(ROUND(($I1825-$K1825)*1440,0)&gt;設定!$C$46,ROUND(($I1825-$K1825)*1440,0),0))</f>
        <v/>
      </c>
      <c r="Q1825" s="85">
        <f>IF($M1825="",0,IF(($M1825-IFERROR(INDEX(設定!$G$6:$G$21,MATCH($G1825,設定!$B$6:$B$21,0)),0))*60&gt;=設定!$C$44,ROUND(FLOOR(($M1825-IFERROR(INDEX(設定!$G$6:$G$21,MATCH($G1825,設定!$B$6:$B$21,0)),0))*60,設定!$C$45)/60,2),0))</f>
        <v/>
      </c>
      <c r="R1825" s="16">
        <f>IF(OR($C1825="",$Q1825=0),"",IF($G1825="國","國定假日",IF($B1825="日","例假",IF($B1825="六","休息日","平日"))))</f>
        <v/>
      </c>
      <c r="S1825" s="19" t="n"/>
    </row>
    <row r="1826">
      <c r="A1826" s="82">
        <f>IF(OR(助理班表!$A63="",26&gt;DAY(EOMONTH(DATE(設定!$C$2,設定!$D$2,1),0))),"",DATE(設定!$C$2,設定!$D$2,26))</f>
        <v/>
      </c>
      <c r="B1826" s="16">
        <f>IF($A1826="","",INDEX(設定!$O$6:$O$12,WEEKDAY($A1826,1)))</f>
        <v/>
      </c>
      <c r="C1826" s="16">
        <f>IF($A1826="","",助理班表!$A63)</f>
        <v/>
      </c>
      <c r="D1826" s="16">
        <f>IF($C1826="","",助理班表!$B63)</f>
        <v/>
      </c>
      <c r="E1826" s="16">
        <f>IF($C1826="","",助理班表!$D63)</f>
        <v/>
      </c>
      <c r="F1826" s="16">
        <f>IF($C1826="","",助理班表!$C63)</f>
        <v/>
      </c>
      <c r="G1826" s="16">
        <f>IF($C1826="","",助理班表!AD63)</f>
        <v/>
      </c>
      <c r="H1826" s="83">
        <f>IF($G1826="","",IFERROR(IF(INDEX(設定!$D$6:$D$21,MATCH($G1826,設定!$B$6:$B$21,0))=0,"",INDEX(設定!$D$6:$D$21,MATCH($G1826,設定!$B$6:$B$21,0))),""))</f>
        <v/>
      </c>
      <c r="I1826" s="83">
        <f>IF($G1826="","",IFERROR(IF(INDEX(設定!$E$6:$E$21,MATCH($G1826,設定!$B$6:$B$21,0))=0,"",INDEX(設定!$E$6:$E$21,MATCH($G1826,設定!$B$6:$B$21,0))),""))</f>
        <v/>
      </c>
      <c r="J1826" s="83">
        <f>IFERROR(INDEX(打卡匯入!$C$3:$C$2002,MATCH($C1826&amp;"|"&amp;DAY($A1826),打卡匯入!$E$3:$E$2002,0)),"")</f>
        <v/>
      </c>
      <c r="K1826" s="83">
        <f>IFERROR(INDEX(打卡匯入!$D$3:$D$2002,MATCH($C1826&amp;"|"&amp;DAY($A1826),打卡匯入!$E$3:$E$2002,0)),"")</f>
        <v/>
      </c>
      <c r="L1826" s="84">
        <f>IF(OR($J1826="",$K1826=""),"",IFERROR(INDEX(設定!$F$6:$F$21,MATCH($G1826,設定!$B$6:$B$21,0)),0))</f>
        <v/>
      </c>
      <c r="M1826" s="85">
        <f>IF(OR($J1826="",$K1826=""),"",ROUND(($K1826-$J1826)*24-$L1826/60,2))</f>
        <v/>
      </c>
      <c r="N1826" s="16">
        <f>IF($C1826="","",IF(AND(COUNTIF(設定!$B$15:$B$21,$G1826)&gt;0,$J1826&lt;&gt;""),"假日出勤",IF(AND(COUNTIF(設定!$B$6:$B$14,$G1826)&gt;0,$J1826=""),"未打卡",IF($J1826="","",IF($O1826&gt;0,"遲到",IF($P1826&gt;0,"早退","正常"))))))</f>
        <v/>
      </c>
      <c r="O1826" s="84">
        <f>IF(OR($C1826="",$H1826="",$J1826=""),0,IF(ROUND(($J1826-$H1826)*1440,0)&gt;設定!$C$46,ROUND(($J1826-$H1826)*1440,0),0))</f>
        <v/>
      </c>
      <c r="P1826" s="84">
        <f>IF(OR($C1826="",$I1826="",$K1826=""),0,IF(ROUND(($I1826-$K1826)*1440,0)&gt;設定!$C$46,ROUND(($I1826-$K1826)*1440,0),0))</f>
        <v/>
      </c>
      <c r="Q1826" s="85">
        <f>IF($M1826="",0,IF(($M1826-IFERROR(INDEX(設定!$G$6:$G$21,MATCH($G1826,設定!$B$6:$B$21,0)),0))*60&gt;=設定!$C$44,ROUND(FLOOR(($M1826-IFERROR(INDEX(設定!$G$6:$G$21,MATCH($G1826,設定!$B$6:$B$21,0)),0))*60,設定!$C$45)/60,2),0))</f>
        <v/>
      </c>
      <c r="R1826" s="16">
        <f>IF(OR($C1826="",$Q1826=0),"",IF($G1826="國","國定假日",IF($B1826="日","例假",IF($B1826="六","休息日","平日"))))</f>
        <v/>
      </c>
      <c r="S1826" s="19" t="n"/>
    </row>
    <row r="1827">
      <c r="A1827" s="82">
        <f>IF(OR(助理班表!$A63="",27&gt;DAY(EOMONTH(DATE(設定!$C$2,設定!$D$2,1),0))),"",DATE(設定!$C$2,設定!$D$2,27))</f>
        <v/>
      </c>
      <c r="B1827" s="16">
        <f>IF($A1827="","",INDEX(設定!$O$6:$O$12,WEEKDAY($A1827,1)))</f>
        <v/>
      </c>
      <c r="C1827" s="16">
        <f>IF($A1827="","",助理班表!$A63)</f>
        <v/>
      </c>
      <c r="D1827" s="16">
        <f>IF($C1827="","",助理班表!$B63)</f>
        <v/>
      </c>
      <c r="E1827" s="16">
        <f>IF($C1827="","",助理班表!$D63)</f>
        <v/>
      </c>
      <c r="F1827" s="16">
        <f>IF($C1827="","",助理班表!$C63)</f>
        <v/>
      </c>
      <c r="G1827" s="16">
        <f>IF($C1827="","",助理班表!AE63)</f>
        <v/>
      </c>
      <c r="H1827" s="83">
        <f>IF($G1827="","",IFERROR(IF(INDEX(設定!$D$6:$D$21,MATCH($G1827,設定!$B$6:$B$21,0))=0,"",INDEX(設定!$D$6:$D$21,MATCH($G1827,設定!$B$6:$B$21,0))),""))</f>
        <v/>
      </c>
      <c r="I1827" s="83">
        <f>IF($G1827="","",IFERROR(IF(INDEX(設定!$E$6:$E$21,MATCH($G1827,設定!$B$6:$B$21,0))=0,"",INDEX(設定!$E$6:$E$21,MATCH($G1827,設定!$B$6:$B$21,0))),""))</f>
        <v/>
      </c>
      <c r="J1827" s="83">
        <f>IFERROR(INDEX(打卡匯入!$C$3:$C$2002,MATCH($C1827&amp;"|"&amp;DAY($A1827),打卡匯入!$E$3:$E$2002,0)),"")</f>
        <v/>
      </c>
      <c r="K1827" s="83">
        <f>IFERROR(INDEX(打卡匯入!$D$3:$D$2002,MATCH($C1827&amp;"|"&amp;DAY($A1827),打卡匯入!$E$3:$E$2002,0)),"")</f>
        <v/>
      </c>
      <c r="L1827" s="84">
        <f>IF(OR($J1827="",$K1827=""),"",IFERROR(INDEX(設定!$F$6:$F$21,MATCH($G1827,設定!$B$6:$B$21,0)),0))</f>
        <v/>
      </c>
      <c r="M1827" s="85">
        <f>IF(OR($J1827="",$K1827=""),"",ROUND(($K1827-$J1827)*24-$L1827/60,2))</f>
        <v/>
      </c>
      <c r="N1827" s="16">
        <f>IF($C1827="","",IF(AND(COUNTIF(設定!$B$15:$B$21,$G1827)&gt;0,$J1827&lt;&gt;""),"假日出勤",IF(AND(COUNTIF(設定!$B$6:$B$14,$G1827)&gt;0,$J1827=""),"未打卡",IF($J1827="","",IF($O1827&gt;0,"遲到",IF($P1827&gt;0,"早退","正常"))))))</f>
        <v/>
      </c>
      <c r="O1827" s="84">
        <f>IF(OR($C1827="",$H1827="",$J1827=""),0,IF(ROUND(($J1827-$H1827)*1440,0)&gt;設定!$C$46,ROUND(($J1827-$H1827)*1440,0),0))</f>
        <v/>
      </c>
      <c r="P1827" s="84">
        <f>IF(OR($C1827="",$I1827="",$K1827=""),0,IF(ROUND(($I1827-$K1827)*1440,0)&gt;設定!$C$46,ROUND(($I1827-$K1827)*1440,0),0))</f>
        <v/>
      </c>
      <c r="Q1827" s="85">
        <f>IF($M1827="",0,IF(($M1827-IFERROR(INDEX(設定!$G$6:$G$21,MATCH($G1827,設定!$B$6:$B$21,0)),0))*60&gt;=設定!$C$44,ROUND(FLOOR(($M1827-IFERROR(INDEX(設定!$G$6:$G$21,MATCH($G1827,設定!$B$6:$B$21,0)),0))*60,設定!$C$45)/60,2),0))</f>
        <v/>
      </c>
      <c r="R1827" s="16">
        <f>IF(OR($C1827="",$Q1827=0),"",IF($G1827="國","國定假日",IF($B1827="日","例假",IF($B1827="六","休息日","平日"))))</f>
        <v/>
      </c>
      <c r="S1827" s="19" t="n"/>
    </row>
    <row r="1828">
      <c r="A1828" s="82">
        <f>IF(OR(助理班表!$A63="",28&gt;DAY(EOMONTH(DATE(設定!$C$2,設定!$D$2,1),0))),"",DATE(設定!$C$2,設定!$D$2,28))</f>
        <v/>
      </c>
      <c r="B1828" s="16">
        <f>IF($A1828="","",INDEX(設定!$O$6:$O$12,WEEKDAY($A1828,1)))</f>
        <v/>
      </c>
      <c r="C1828" s="16">
        <f>IF($A1828="","",助理班表!$A63)</f>
        <v/>
      </c>
      <c r="D1828" s="16">
        <f>IF($C1828="","",助理班表!$B63)</f>
        <v/>
      </c>
      <c r="E1828" s="16">
        <f>IF($C1828="","",助理班表!$D63)</f>
        <v/>
      </c>
      <c r="F1828" s="16">
        <f>IF($C1828="","",助理班表!$C63)</f>
        <v/>
      </c>
      <c r="G1828" s="16">
        <f>IF($C1828="","",助理班表!AF63)</f>
        <v/>
      </c>
      <c r="H1828" s="83">
        <f>IF($G1828="","",IFERROR(IF(INDEX(設定!$D$6:$D$21,MATCH($G1828,設定!$B$6:$B$21,0))=0,"",INDEX(設定!$D$6:$D$21,MATCH($G1828,設定!$B$6:$B$21,0))),""))</f>
        <v/>
      </c>
      <c r="I1828" s="83">
        <f>IF($G1828="","",IFERROR(IF(INDEX(設定!$E$6:$E$21,MATCH($G1828,設定!$B$6:$B$21,0))=0,"",INDEX(設定!$E$6:$E$21,MATCH($G1828,設定!$B$6:$B$21,0))),""))</f>
        <v/>
      </c>
      <c r="J1828" s="83">
        <f>IFERROR(INDEX(打卡匯入!$C$3:$C$2002,MATCH($C1828&amp;"|"&amp;DAY($A1828),打卡匯入!$E$3:$E$2002,0)),"")</f>
        <v/>
      </c>
      <c r="K1828" s="83">
        <f>IFERROR(INDEX(打卡匯入!$D$3:$D$2002,MATCH($C1828&amp;"|"&amp;DAY($A1828),打卡匯入!$E$3:$E$2002,0)),"")</f>
        <v/>
      </c>
      <c r="L1828" s="84">
        <f>IF(OR($J1828="",$K1828=""),"",IFERROR(INDEX(設定!$F$6:$F$21,MATCH($G1828,設定!$B$6:$B$21,0)),0))</f>
        <v/>
      </c>
      <c r="M1828" s="85">
        <f>IF(OR($J1828="",$K1828=""),"",ROUND(($K1828-$J1828)*24-$L1828/60,2))</f>
        <v/>
      </c>
      <c r="N1828" s="16">
        <f>IF($C1828="","",IF(AND(COUNTIF(設定!$B$15:$B$21,$G1828)&gt;0,$J1828&lt;&gt;""),"假日出勤",IF(AND(COUNTIF(設定!$B$6:$B$14,$G1828)&gt;0,$J1828=""),"未打卡",IF($J1828="","",IF($O1828&gt;0,"遲到",IF($P1828&gt;0,"早退","正常"))))))</f>
        <v/>
      </c>
      <c r="O1828" s="84">
        <f>IF(OR($C1828="",$H1828="",$J1828=""),0,IF(ROUND(($J1828-$H1828)*1440,0)&gt;設定!$C$46,ROUND(($J1828-$H1828)*1440,0),0))</f>
        <v/>
      </c>
      <c r="P1828" s="84">
        <f>IF(OR($C1828="",$I1828="",$K1828=""),0,IF(ROUND(($I1828-$K1828)*1440,0)&gt;設定!$C$46,ROUND(($I1828-$K1828)*1440,0),0))</f>
        <v/>
      </c>
      <c r="Q1828" s="85">
        <f>IF($M1828="",0,IF(($M1828-IFERROR(INDEX(設定!$G$6:$G$21,MATCH($G1828,設定!$B$6:$B$21,0)),0))*60&gt;=設定!$C$44,ROUND(FLOOR(($M1828-IFERROR(INDEX(設定!$G$6:$G$21,MATCH($G1828,設定!$B$6:$B$21,0)),0))*60,設定!$C$45)/60,2),0))</f>
        <v/>
      </c>
      <c r="R1828" s="16">
        <f>IF(OR($C1828="",$Q1828=0),"",IF($G1828="國","國定假日",IF($B1828="日","例假",IF($B1828="六","休息日","平日"))))</f>
        <v/>
      </c>
      <c r="S1828" s="19" t="n"/>
    </row>
    <row r="1829">
      <c r="A1829" s="82">
        <f>IF(OR(助理班表!$A63="",29&gt;DAY(EOMONTH(DATE(設定!$C$2,設定!$D$2,1),0))),"",DATE(設定!$C$2,設定!$D$2,29))</f>
        <v/>
      </c>
      <c r="B1829" s="16">
        <f>IF($A1829="","",INDEX(設定!$O$6:$O$12,WEEKDAY($A1829,1)))</f>
        <v/>
      </c>
      <c r="C1829" s="16">
        <f>IF($A1829="","",助理班表!$A63)</f>
        <v/>
      </c>
      <c r="D1829" s="16">
        <f>IF($C1829="","",助理班表!$B63)</f>
        <v/>
      </c>
      <c r="E1829" s="16">
        <f>IF($C1829="","",助理班表!$D63)</f>
        <v/>
      </c>
      <c r="F1829" s="16">
        <f>IF($C1829="","",助理班表!$C63)</f>
        <v/>
      </c>
      <c r="G1829" s="16">
        <f>IF($C1829="","",助理班表!AG63)</f>
        <v/>
      </c>
      <c r="H1829" s="83">
        <f>IF($G1829="","",IFERROR(IF(INDEX(設定!$D$6:$D$21,MATCH($G1829,設定!$B$6:$B$21,0))=0,"",INDEX(設定!$D$6:$D$21,MATCH($G1829,設定!$B$6:$B$21,0))),""))</f>
        <v/>
      </c>
      <c r="I1829" s="83">
        <f>IF($G1829="","",IFERROR(IF(INDEX(設定!$E$6:$E$21,MATCH($G1829,設定!$B$6:$B$21,0))=0,"",INDEX(設定!$E$6:$E$21,MATCH($G1829,設定!$B$6:$B$21,0))),""))</f>
        <v/>
      </c>
      <c r="J1829" s="83">
        <f>IFERROR(INDEX(打卡匯入!$C$3:$C$2002,MATCH($C1829&amp;"|"&amp;DAY($A1829),打卡匯入!$E$3:$E$2002,0)),"")</f>
        <v/>
      </c>
      <c r="K1829" s="83">
        <f>IFERROR(INDEX(打卡匯入!$D$3:$D$2002,MATCH($C1829&amp;"|"&amp;DAY($A1829),打卡匯入!$E$3:$E$2002,0)),"")</f>
        <v/>
      </c>
      <c r="L1829" s="84">
        <f>IF(OR($J1829="",$K1829=""),"",IFERROR(INDEX(設定!$F$6:$F$21,MATCH($G1829,設定!$B$6:$B$21,0)),0))</f>
        <v/>
      </c>
      <c r="M1829" s="85">
        <f>IF(OR($J1829="",$K1829=""),"",ROUND(($K1829-$J1829)*24-$L1829/60,2))</f>
        <v/>
      </c>
      <c r="N1829" s="16">
        <f>IF($C1829="","",IF(AND(COUNTIF(設定!$B$15:$B$21,$G1829)&gt;0,$J1829&lt;&gt;""),"假日出勤",IF(AND(COUNTIF(設定!$B$6:$B$14,$G1829)&gt;0,$J1829=""),"未打卡",IF($J1829="","",IF($O1829&gt;0,"遲到",IF($P1829&gt;0,"早退","正常"))))))</f>
        <v/>
      </c>
      <c r="O1829" s="84">
        <f>IF(OR($C1829="",$H1829="",$J1829=""),0,IF(ROUND(($J1829-$H1829)*1440,0)&gt;設定!$C$46,ROUND(($J1829-$H1829)*1440,0),0))</f>
        <v/>
      </c>
      <c r="P1829" s="84">
        <f>IF(OR($C1829="",$I1829="",$K1829=""),0,IF(ROUND(($I1829-$K1829)*1440,0)&gt;設定!$C$46,ROUND(($I1829-$K1829)*1440,0),0))</f>
        <v/>
      </c>
      <c r="Q1829" s="85">
        <f>IF($M1829="",0,IF(($M1829-IFERROR(INDEX(設定!$G$6:$G$21,MATCH($G1829,設定!$B$6:$B$21,0)),0))*60&gt;=設定!$C$44,ROUND(FLOOR(($M1829-IFERROR(INDEX(設定!$G$6:$G$21,MATCH($G1829,設定!$B$6:$B$21,0)),0))*60,設定!$C$45)/60,2),0))</f>
        <v/>
      </c>
      <c r="R1829" s="16">
        <f>IF(OR($C1829="",$Q1829=0),"",IF($G1829="國","國定假日",IF($B1829="日","例假",IF($B1829="六","休息日","平日"))))</f>
        <v/>
      </c>
      <c r="S1829" s="19" t="n"/>
    </row>
    <row r="1830">
      <c r="A1830" s="82">
        <f>IF(OR(助理班表!$A63="",30&gt;DAY(EOMONTH(DATE(設定!$C$2,設定!$D$2,1),0))),"",DATE(設定!$C$2,設定!$D$2,30))</f>
        <v/>
      </c>
      <c r="B1830" s="16">
        <f>IF($A1830="","",INDEX(設定!$O$6:$O$12,WEEKDAY($A1830,1)))</f>
        <v/>
      </c>
      <c r="C1830" s="16">
        <f>IF($A1830="","",助理班表!$A63)</f>
        <v/>
      </c>
      <c r="D1830" s="16">
        <f>IF($C1830="","",助理班表!$B63)</f>
        <v/>
      </c>
      <c r="E1830" s="16">
        <f>IF($C1830="","",助理班表!$D63)</f>
        <v/>
      </c>
      <c r="F1830" s="16">
        <f>IF($C1830="","",助理班表!$C63)</f>
        <v/>
      </c>
      <c r="G1830" s="16">
        <f>IF($C1830="","",助理班表!AH63)</f>
        <v/>
      </c>
      <c r="H1830" s="83">
        <f>IF($G1830="","",IFERROR(IF(INDEX(設定!$D$6:$D$21,MATCH($G1830,設定!$B$6:$B$21,0))=0,"",INDEX(設定!$D$6:$D$21,MATCH($G1830,設定!$B$6:$B$21,0))),""))</f>
        <v/>
      </c>
      <c r="I1830" s="83">
        <f>IF($G1830="","",IFERROR(IF(INDEX(設定!$E$6:$E$21,MATCH($G1830,設定!$B$6:$B$21,0))=0,"",INDEX(設定!$E$6:$E$21,MATCH($G1830,設定!$B$6:$B$21,0))),""))</f>
        <v/>
      </c>
      <c r="J1830" s="83">
        <f>IFERROR(INDEX(打卡匯入!$C$3:$C$2002,MATCH($C1830&amp;"|"&amp;DAY($A1830),打卡匯入!$E$3:$E$2002,0)),"")</f>
        <v/>
      </c>
      <c r="K1830" s="83">
        <f>IFERROR(INDEX(打卡匯入!$D$3:$D$2002,MATCH($C1830&amp;"|"&amp;DAY($A1830),打卡匯入!$E$3:$E$2002,0)),"")</f>
        <v/>
      </c>
      <c r="L1830" s="84">
        <f>IF(OR($J1830="",$K1830=""),"",IFERROR(INDEX(設定!$F$6:$F$21,MATCH($G1830,設定!$B$6:$B$21,0)),0))</f>
        <v/>
      </c>
      <c r="M1830" s="85">
        <f>IF(OR($J1830="",$K1830=""),"",ROUND(($K1830-$J1830)*24-$L1830/60,2))</f>
        <v/>
      </c>
      <c r="N1830" s="16">
        <f>IF($C1830="","",IF(AND(COUNTIF(設定!$B$15:$B$21,$G1830)&gt;0,$J1830&lt;&gt;""),"假日出勤",IF(AND(COUNTIF(設定!$B$6:$B$14,$G1830)&gt;0,$J1830=""),"未打卡",IF($J1830="","",IF($O1830&gt;0,"遲到",IF($P1830&gt;0,"早退","正常"))))))</f>
        <v/>
      </c>
      <c r="O1830" s="84">
        <f>IF(OR($C1830="",$H1830="",$J1830=""),0,IF(ROUND(($J1830-$H1830)*1440,0)&gt;設定!$C$46,ROUND(($J1830-$H1830)*1440,0),0))</f>
        <v/>
      </c>
      <c r="P1830" s="84">
        <f>IF(OR($C1830="",$I1830="",$K1830=""),0,IF(ROUND(($I1830-$K1830)*1440,0)&gt;設定!$C$46,ROUND(($I1830-$K1830)*1440,0),0))</f>
        <v/>
      </c>
      <c r="Q1830" s="85">
        <f>IF($M1830="",0,IF(($M1830-IFERROR(INDEX(設定!$G$6:$G$21,MATCH($G1830,設定!$B$6:$B$21,0)),0))*60&gt;=設定!$C$44,ROUND(FLOOR(($M1830-IFERROR(INDEX(設定!$G$6:$G$21,MATCH($G1830,設定!$B$6:$B$21,0)),0))*60,設定!$C$45)/60,2),0))</f>
        <v/>
      </c>
      <c r="R1830" s="16">
        <f>IF(OR($C1830="",$Q1830=0),"",IF($G1830="國","國定假日",IF($B1830="日","例假",IF($B1830="六","休息日","平日"))))</f>
        <v/>
      </c>
      <c r="S1830" s="19" t="n"/>
    </row>
    <row r="1831">
      <c r="A1831" s="82">
        <f>IF(OR(助理班表!$A63="",31&gt;DAY(EOMONTH(DATE(設定!$C$2,設定!$D$2,1),0))),"",DATE(設定!$C$2,設定!$D$2,31))</f>
        <v/>
      </c>
      <c r="B1831" s="16">
        <f>IF($A1831="","",INDEX(設定!$O$6:$O$12,WEEKDAY($A1831,1)))</f>
        <v/>
      </c>
      <c r="C1831" s="16">
        <f>IF($A1831="","",助理班表!$A63)</f>
        <v/>
      </c>
      <c r="D1831" s="16">
        <f>IF($C1831="","",助理班表!$B63)</f>
        <v/>
      </c>
      <c r="E1831" s="16">
        <f>IF($C1831="","",助理班表!$D63)</f>
        <v/>
      </c>
      <c r="F1831" s="16">
        <f>IF($C1831="","",助理班表!$C63)</f>
        <v/>
      </c>
      <c r="G1831" s="16">
        <f>IF($C1831="","",助理班表!AI63)</f>
        <v/>
      </c>
      <c r="H1831" s="83">
        <f>IF($G1831="","",IFERROR(IF(INDEX(設定!$D$6:$D$21,MATCH($G1831,設定!$B$6:$B$21,0))=0,"",INDEX(設定!$D$6:$D$21,MATCH($G1831,設定!$B$6:$B$21,0))),""))</f>
        <v/>
      </c>
      <c r="I1831" s="83">
        <f>IF($G1831="","",IFERROR(IF(INDEX(設定!$E$6:$E$21,MATCH($G1831,設定!$B$6:$B$21,0))=0,"",INDEX(設定!$E$6:$E$21,MATCH($G1831,設定!$B$6:$B$21,0))),""))</f>
        <v/>
      </c>
      <c r="J1831" s="83">
        <f>IFERROR(INDEX(打卡匯入!$C$3:$C$2002,MATCH($C1831&amp;"|"&amp;DAY($A1831),打卡匯入!$E$3:$E$2002,0)),"")</f>
        <v/>
      </c>
      <c r="K1831" s="83">
        <f>IFERROR(INDEX(打卡匯入!$D$3:$D$2002,MATCH($C1831&amp;"|"&amp;DAY($A1831),打卡匯入!$E$3:$E$2002,0)),"")</f>
        <v/>
      </c>
      <c r="L1831" s="84">
        <f>IF(OR($J1831="",$K1831=""),"",IFERROR(INDEX(設定!$F$6:$F$21,MATCH($G1831,設定!$B$6:$B$21,0)),0))</f>
        <v/>
      </c>
      <c r="M1831" s="85">
        <f>IF(OR($J1831="",$K1831=""),"",ROUND(($K1831-$J1831)*24-$L1831/60,2))</f>
        <v/>
      </c>
      <c r="N1831" s="16">
        <f>IF($C1831="","",IF(AND(COUNTIF(設定!$B$15:$B$21,$G1831)&gt;0,$J1831&lt;&gt;""),"假日出勤",IF(AND(COUNTIF(設定!$B$6:$B$14,$G1831)&gt;0,$J1831=""),"未打卡",IF($J1831="","",IF($O1831&gt;0,"遲到",IF($P1831&gt;0,"早退","正常"))))))</f>
        <v/>
      </c>
      <c r="O1831" s="84">
        <f>IF(OR($C1831="",$H1831="",$J1831=""),0,IF(ROUND(($J1831-$H1831)*1440,0)&gt;設定!$C$46,ROUND(($J1831-$H1831)*1440,0),0))</f>
        <v/>
      </c>
      <c r="P1831" s="84">
        <f>IF(OR($C1831="",$I1831="",$K1831=""),0,IF(ROUND(($I1831-$K1831)*1440,0)&gt;設定!$C$46,ROUND(($I1831-$K1831)*1440,0),0))</f>
        <v/>
      </c>
      <c r="Q1831" s="85">
        <f>IF($M1831="",0,IF(($M1831-IFERROR(INDEX(設定!$G$6:$G$21,MATCH($G1831,設定!$B$6:$B$21,0)),0))*60&gt;=設定!$C$44,ROUND(FLOOR(($M1831-IFERROR(INDEX(設定!$G$6:$G$21,MATCH($G1831,設定!$B$6:$B$21,0)),0))*60,設定!$C$45)/60,2),0))</f>
        <v/>
      </c>
      <c r="R1831" s="16">
        <f>IF(OR($C1831="",$Q1831=0),"",IF($G1831="國","國定假日",IF($B1831="日","例假",IF($B1831="六","休息日","平日"))))</f>
        <v/>
      </c>
      <c r="S1831" s="19" t="n"/>
    </row>
    <row r="1832">
      <c r="A1832" s="82">
        <f>IF(OR(助理班表!$A64="",1&gt;DAY(EOMONTH(DATE(設定!$C$2,設定!$D$2,1),0))),"",DATE(設定!$C$2,設定!$D$2,1))</f>
        <v/>
      </c>
      <c r="B1832" s="16">
        <f>IF($A1832="","",INDEX(設定!$O$6:$O$12,WEEKDAY($A1832,1)))</f>
        <v/>
      </c>
      <c r="C1832" s="16">
        <f>IF($A1832="","",助理班表!$A64)</f>
        <v/>
      </c>
      <c r="D1832" s="16">
        <f>IF($C1832="","",助理班表!$B64)</f>
        <v/>
      </c>
      <c r="E1832" s="16">
        <f>IF($C1832="","",助理班表!$D64)</f>
        <v/>
      </c>
      <c r="F1832" s="16">
        <f>IF($C1832="","",助理班表!$C64)</f>
        <v/>
      </c>
      <c r="G1832" s="16">
        <f>IF($C1832="","",助理班表!E64)</f>
        <v/>
      </c>
      <c r="H1832" s="83">
        <f>IF($G1832="","",IFERROR(IF(INDEX(設定!$D$6:$D$21,MATCH($G1832,設定!$B$6:$B$21,0))=0,"",INDEX(設定!$D$6:$D$21,MATCH($G1832,設定!$B$6:$B$21,0))),""))</f>
        <v/>
      </c>
      <c r="I1832" s="83">
        <f>IF($G1832="","",IFERROR(IF(INDEX(設定!$E$6:$E$21,MATCH($G1832,設定!$B$6:$B$21,0))=0,"",INDEX(設定!$E$6:$E$21,MATCH($G1832,設定!$B$6:$B$21,0))),""))</f>
        <v/>
      </c>
      <c r="J1832" s="83">
        <f>IFERROR(INDEX(打卡匯入!$C$3:$C$2002,MATCH($C1832&amp;"|"&amp;DAY($A1832),打卡匯入!$E$3:$E$2002,0)),"")</f>
        <v/>
      </c>
      <c r="K1832" s="83">
        <f>IFERROR(INDEX(打卡匯入!$D$3:$D$2002,MATCH($C1832&amp;"|"&amp;DAY($A1832),打卡匯入!$E$3:$E$2002,0)),"")</f>
        <v/>
      </c>
      <c r="L1832" s="84">
        <f>IF(OR($J1832="",$K1832=""),"",IFERROR(INDEX(設定!$F$6:$F$21,MATCH($G1832,設定!$B$6:$B$21,0)),0))</f>
        <v/>
      </c>
      <c r="M1832" s="85">
        <f>IF(OR($J1832="",$K1832=""),"",ROUND(($K1832-$J1832)*24-$L1832/60,2))</f>
        <v/>
      </c>
      <c r="N1832" s="16">
        <f>IF($C1832="","",IF(AND(COUNTIF(設定!$B$15:$B$21,$G1832)&gt;0,$J1832&lt;&gt;""),"假日出勤",IF(AND(COUNTIF(設定!$B$6:$B$14,$G1832)&gt;0,$J1832=""),"未打卡",IF($J1832="","",IF($O1832&gt;0,"遲到",IF($P1832&gt;0,"早退","正常"))))))</f>
        <v/>
      </c>
      <c r="O1832" s="84">
        <f>IF(OR($C1832="",$H1832="",$J1832=""),0,IF(ROUND(($J1832-$H1832)*1440,0)&gt;設定!$C$46,ROUND(($J1832-$H1832)*1440,0),0))</f>
        <v/>
      </c>
      <c r="P1832" s="84">
        <f>IF(OR($C1832="",$I1832="",$K1832=""),0,IF(ROUND(($I1832-$K1832)*1440,0)&gt;設定!$C$46,ROUND(($I1832-$K1832)*1440,0),0))</f>
        <v/>
      </c>
      <c r="Q1832" s="85">
        <f>IF($M1832="",0,IF(($M1832-IFERROR(INDEX(設定!$G$6:$G$21,MATCH($G1832,設定!$B$6:$B$21,0)),0))*60&gt;=設定!$C$44,ROUND(FLOOR(($M1832-IFERROR(INDEX(設定!$G$6:$G$21,MATCH($G1832,設定!$B$6:$B$21,0)),0))*60,設定!$C$45)/60,2),0))</f>
        <v/>
      </c>
      <c r="R1832" s="16">
        <f>IF(OR($C1832="",$Q1832=0),"",IF($G1832="國","國定假日",IF($B1832="日","例假",IF($B1832="六","休息日","平日"))))</f>
        <v/>
      </c>
      <c r="S1832" s="19" t="n"/>
    </row>
    <row r="1833">
      <c r="A1833" s="82">
        <f>IF(OR(助理班表!$A64="",2&gt;DAY(EOMONTH(DATE(設定!$C$2,設定!$D$2,1),0))),"",DATE(設定!$C$2,設定!$D$2,2))</f>
        <v/>
      </c>
      <c r="B1833" s="16">
        <f>IF($A1833="","",INDEX(設定!$O$6:$O$12,WEEKDAY($A1833,1)))</f>
        <v/>
      </c>
      <c r="C1833" s="16">
        <f>IF($A1833="","",助理班表!$A64)</f>
        <v/>
      </c>
      <c r="D1833" s="16">
        <f>IF($C1833="","",助理班表!$B64)</f>
        <v/>
      </c>
      <c r="E1833" s="16">
        <f>IF($C1833="","",助理班表!$D64)</f>
        <v/>
      </c>
      <c r="F1833" s="16">
        <f>IF($C1833="","",助理班表!$C64)</f>
        <v/>
      </c>
      <c r="G1833" s="16">
        <f>IF($C1833="","",助理班表!F64)</f>
        <v/>
      </c>
      <c r="H1833" s="83">
        <f>IF($G1833="","",IFERROR(IF(INDEX(設定!$D$6:$D$21,MATCH($G1833,設定!$B$6:$B$21,0))=0,"",INDEX(設定!$D$6:$D$21,MATCH($G1833,設定!$B$6:$B$21,0))),""))</f>
        <v/>
      </c>
      <c r="I1833" s="83">
        <f>IF($G1833="","",IFERROR(IF(INDEX(設定!$E$6:$E$21,MATCH($G1833,設定!$B$6:$B$21,0))=0,"",INDEX(設定!$E$6:$E$21,MATCH($G1833,設定!$B$6:$B$21,0))),""))</f>
        <v/>
      </c>
      <c r="J1833" s="83">
        <f>IFERROR(INDEX(打卡匯入!$C$3:$C$2002,MATCH($C1833&amp;"|"&amp;DAY($A1833),打卡匯入!$E$3:$E$2002,0)),"")</f>
        <v/>
      </c>
      <c r="K1833" s="83">
        <f>IFERROR(INDEX(打卡匯入!$D$3:$D$2002,MATCH($C1833&amp;"|"&amp;DAY($A1833),打卡匯入!$E$3:$E$2002,0)),"")</f>
        <v/>
      </c>
      <c r="L1833" s="84">
        <f>IF(OR($J1833="",$K1833=""),"",IFERROR(INDEX(設定!$F$6:$F$21,MATCH($G1833,設定!$B$6:$B$21,0)),0))</f>
        <v/>
      </c>
      <c r="M1833" s="85">
        <f>IF(OR($J1833="",$K1833=""),"",ROUND(($K1833-$J1833)*24-$L1833/60,2))</f>
        <v/>
      </c>
      <c r="N1833" s="16">
        <f>IF($C1833="","",IF(AND(COUNTIF(設定!$B$15:$B$21,$G1833)&gt;0,$J1833&lt;&gt;""),"假日出勤",IF(AND(COUNTIF(設定!$B$6:$B$14,$G1833)&gt;0,$J1833=""),"未打卡",IF($J1833="","",IF($O1833&gt;0,"遲到",IF($P1833&gt;0,"早退","正常"))))))</f>
        <v/>
      </c>
      <c r="O1833" s="84">
        <f>IF(OR($C1833="",$H1833="",$J1833=""),0,IF(ROUND(($J1833-$H1833)*1440,0)&gt;設定!$C$46,ROUND(($J1833-$H1833)*1440,0),0))</f>
        <v/>
      </c>
      <c r="P1833" s="84">
        <f>IF(OR($C1833="",$I1833="",$K1833=""),0,IF(ROUND(($I1833-$K1833)*1440,0)&gt;設定!$C$46,ROUND(($I1833-$K1833)*1440,0),0))</f>
        <v/>
      </c>
      <c r="Q1833" s="85">
        <f>IF($M1833="",0,IF(($M1833-IFERROR(INDEX(設定!$G$6:$G$21,MATCH($G1833,設定!$B$6:$B$21,0)),0))*60&gt;=設定!$C$44,ROUND(FLOOR(($M1833-IFERROR(INDEX(設定!$G$6:$G$21,MATCH($G1833,設定!$B$6:$B$21,0)),0))*60,設定!$C$45)/60,2),0))</f>
        <v/>
      </c>
      <c r="R1833" s="16">
        <f>IF(OR($C1833="",$Q1833=0),"",IF($G1833="國","國定假日",IF($B1833="日","例假",IF($B1833="六","休息日","平日"))))</f>
        <v/>
      </c>
      <c r="S1833" s="19" t="n"/>
    </row>
    <row r="1834">
      <c r="A1834" s="82">
        <f>IF(OR(助理班表!$A64="",3&gt;DAY(EOMONTH(DATE(設定!$C$2,設定!$D$2,1),0))),"",DATE(設定!$C$2,設定!$D$2,3))</f>
        <v/>
      </c>
      <c r="B1834" s="16">
        <f>IF($A1834="","",INDEX(設定!$O$6:$O$12,WEEKDAY($A1834,1)))</f>
        <v/>
      </c>
      <c r="C1834" s="16">
        <f>IF($A1834="","",助理班表!$A64)</f>
        <v/>
      </c>
      <c r="D1834" s="16">
        <f>IF($C1834="","",助理班表!$B64)</f>
        <v/>
      </c>
      <c r="E1834" s="16">
        <f>IF($C1834="","",助理班表!$D64)</f>
        <v/>
      </c>
      <c r="F1834" s="16">
        <f>IF($C1834="","",助理班表!$C64)</f>
        <v/>
      </c>
      <c r="G1834" s="16">
        <f>IF($C1834="","",助理班表!G64)</f>
        <v/>
      </c>
      <c r="H1834" s="83">
        <f>IF($G1834="","",IFERROR(IF(INDEX(設定!$D$6:$D$21,MATCH($G1834,設定!$B$6:$B$21,0))=0,"",INDEX(設定!$D$6:$D$21,MATCH($G1834,設定!$B$6:$B$21,0))),""))</f>
        <v/>
      </c>
      <c r="I1834" s="83">
        <f>IF($G1834="","",IFERROR(IF(INDEX(設定!$E$6:$E$21,MATCH($G1834,設定!$B$6:$B$21,0))=0,"",INDEX(設定!$E$6:$E$21,MATCH($G1834,設定!$B$6:$B$21,0))),""))</f>
        <v/>
      </c>
      <c r="J1834" s="83">
        <f>IFERROR(INDEX(打卡匯入!$C$3:$C$2002,MATCH($C1834&amp;"|"&amp;DAY($A1834),打卡匯入!$E$3:$E$2002,0)),"")</f>
        <v/>
      </c>
      <c r="K1834" s="83">
        <f>IFERROR(INDEX(打卡匯入!$D$3:$D$2002,MATCH($C1834&amp;"|"&amp;DAY($A1834),打卡匯入!$E$3:$E$2002,0)),"")</f>
        <v/>
      </c>
      <c r="L1834" s="84">
        <f>IF(OR($J1834="",$K1834=""),"",IFERROR(INDEX(設定!$F$6:$F$21,MATCH($G1834,設定!$B$6:$B$21,0)),0))</f>
        <v/>
      </c>
      <c r="M1834" s="85">
        <f>IF(OR($J1834="",$K1834=""),"",ROUND(($K1834-$J1834)*24-$L1834/60,2))</f>
        <v/>
      </c>
      <c r="N1834" s="16">
        <f>IF($C1834="","",IF(AND(COUNTIF(設定!$B$15:$B$21,$G1834)&gt;0,$J1834&lt;&gt;""),"假日出勤",IF(AND(COUNTIF(設定!$B$6:$B$14,$G1834)&gt;0,$J1834=""),"未打卡",IF($J1834="","",IF($O1834&gt;0,"遲到",IF($P1834&gt;0,"早退","正常"))))))</f>
        <v/>
      </c>
      <c r="O1834" s="84">
        <f>IF(OR($C1834="",$H1834="",$J1834=""),0,IF(ROUND(($J1834-$H1834)*1440,0)&gt;設定!$C$46,ROUND(($J1834-$H1834)*1440,0),0))</f>
        <v/>
      </c>
      <c r="P1834" s="84">
        <f>IF(OR($C1834="",$I1834="",$K1834=""),0,IF(ROUND(($I1834-$K1834)*1440,0)&gt;設定!$C$46,ROUND(($I1834-$K1834)*1440,0),0))</f>
        <v/>
      </c>
      <c r="Q1834" s="85">
        <f>IF($M1834="",0,IF(($M1834-IFERROR(INDEX(設定!$G$6:$G$21,MATCH($G1834,設定!$B$6:$B$21,0)),0))*60&gt;=設定!$C$44,ROUND(FLOOR(($M1834-IFERROR(INDEX(設定!$G$6:$G$21,MATCH($G1834,設定!$B$6:$B$21,0)),0))*60,設定!$C$45)/60,2),0))</f>
        <v/>
      </c>
      <c r="R1834" s="16">
        <f>IF(OR($C1834="",$Q1834=0),"",IF($G1834="國","國定假日",IF($B1834="日","例假",IF($B1834="六","休息日","平日"))))</f>
        <v/>
      </c>
      <c r="S1834" s="19" t="n"/>
    </row>
    <row r="1835">
      <c r="A1835" s="82">
        <f>IF(OR(助理班表!$A64="",4&gt;DAY(EOMONTH(DATE(設定!$C$2,設定!$D$2,1),0))),"",DATE(設定!$C$2,設定!$D$2,4))</f>
        <v/>
      </c>
      <c r="B1835" s="16">
        <f>IF($A1835="","",INDEX(設定!$O$6:$O$12,WEEKDAY($A1835,1)))</f>
        <v/>
      </c>
      <c r="C1835" s="16">
        <f>IF($A1835="","",助理班表!$A64)</f>
        <v/>
      </c>
      <c r="D1835" s="16">
        <f>IF($C1835="","",助理班表!$B64)</f>
        <v/>
      </c>
      <c r="E1835" s="16">
        <f>IF($C1835="","",助理班表!$D64)</f>
        <v/>
      </c>
      <c r="F1835" s="16">
        <f>IF($C1835="","",助理班表!$C64)</f>
        <v/>
      </c>
      <c r="G1835" s="16">
        <f>IF($C1835="","",助理班表!H64)</f>
        <v/>
      </c>
      <c r="H1835" s="83">
        <f>IF($G1835="","",IFERROR(IF(INDEX(設定!$D$6:$D$21,MATCH($G1835,設定!$B$6:$B$21,0))=0,"",INDEX(設定!$D$6:$D$21,MATCH($G1835,設定!$B$6:$B$21,0))),""))</f>
        <v/>
      </c>
      <c r="I1835" s="83">
        <f>IF($G1835="","",IFERROR(IF(INDEX(設定!$E$6:$E$21,MATCH($G1835,設定!$B$6:$B$21,0))=0,"",INDEX(設定!$E$6:$E$21,MATCH($G1835,設定!$B$6:$B$21,0))),""))</f>
        <v/>
      </c>
      <c r="J1835" s="83">
        <f>IFERROR(INDEX(打卡匯入!$C$3:$C$2002,MATCH($C1835&amp;"|"&amp;DAY($A1835),打卡匯入!$E$3:$E$2002,0)),"")</f>
        <v/>
      </c>
      <c r="K1835" s="83">
        <f>IFERROR(INDEX(打卡匯入!$D$3:$D$2002,MATCH($C1835&amp;"|"&amp;DAY($A1835),打卡匯入!$E$3:$E$2002,0)),"")</f>
        <v/>
      </c>
      <c r="L1835" s="84">
        <f>IF(OR($J1835="",$K1835=""),"",IFERROR(INDEX(設定!$F$6:$F$21,MATCH($G1835,設定!$B$6:$B$21,0)),0))</f>
        <v/>
      </c>
      <c r="M1835" s="85">
        <f>IF(OR($J1835="",$K1835=""),"",ROUND(($K1835-$J1835)*24-$L1835/60,2))</f>
        <v/>
      </c>
      <c r="N1835" s="16">
        <f>IF($C1835="","",IF(AND(COUNTIF(設定!$B$15:$B$21,$G1835)&gt;0,$J1835&lt;&gt;""),"假日出勤",IF(AND(COUNTIF(設定!$B$6:$B$14,$G1835)&gt;0,$J1835=""),"未打卡",IF($J1835="","",IF($O1835&gt;0,"遲到",IF($P1835&gt;0,"早退","正常"))))))</f>
        <v/>
      </c>
      <c r="O1835" s="84">
        <f>IF(OR($C1835="",$H1835="",$J1835=""),0,IF(ROUND(($J1835-$H1835)*1440,0)&gt;設定!$C$46,ROUND(($J1835-$H1835)*1440,0),0))</f>
        <v/>
      </c>
      <c r="P1835" s="84">
        <f>IF(OR($C1835="",$I1835="",$K1835=""),0,IF(ROUND(($I1835-$K1835)*1440,0)&gt;設定!$C$46,ROUND(($I1835-$K1835)*1440,0),0))</f>
        <v/>
      </c>
      <c r="Q1835" s="85">
        <f>IF($M1835="",0,IF(($M1835-IFERROR(INDEX(設定!$G$6:$G$21,MATCH($G1835,設定!$B$6:$B$21,0)),0))*60&gt;=設定!$C$44,ROUND(FLOOR(($M1835-IFERROR(INDEX(設定!$G$6:$G$21,MATCH($G1835,設定!$B$6:$B$21,0)),0))*60,設定!$C$45)/60,2),0))</f>
        <v/>
      </c>
      <c r="R1835" s="16">
        <f>IF(OR($C1835="",$Q1835=0),"",IF($G1835="國","國定假日",IF($B1835="日","例假",IF($B1835="六","休息日","平日"))))</f>
        <v/>
      </c>
      <c r="S1835" s="19" t="n"/>
    </row>
    <row r="1836">
      <c r="A1836" s="82">
        <f>IF(OR(助理班表!$A64="",5&gt;DAY(EOMONTH(DATE(設定!$C$2,設定!$D$2,1),0))),"",DATE(設定!$C$2,設定!$D$2,5))</f>
        <v/>
      </c>
      <c r="B1836" s="16">
        <f>IF($A1836="","",INDEX(設定!$O$6:$O$12,WEEKDAY($A1836,1)))</f>
        <v/>
      </c>
      <c r="C1836" s="16">
        <f>IF($A1836="","",助理班表!$A64)</f>
        <v/>
      </c>
      <c r="D1836" s="16">
        <f>IF($C1836="","",助理班表!$B64)</f>
        <v/>
      </c>
      <c r="E1836" s="16">
        <f>IF($C1836="","",助理班表!$D64)</f>
        <v/>
      </c>
      <c r="F1836" s="16">
        <f>IF($C1836="","",助理班表!$C64)</f>
        <v/>
      </c>
      <c r="G1836" s="16">
        <f>IF($C1836="","",助理班表!I64)</f>
        <v/>
      </c>
      <c r="H1836" s="83">
        <f>IF($G1836="","",IFERROR(IF(INDEX(設定!$D$6:$D$21,MATCH($G1836,設定!$B$6:$B$21,0))=0,"",INDEX(設定!$D$6:$D$21,MATCH($G1836,設定!$B$6:$B$21,0))),""))</f>
        <v/>
      </c>
      <c r="I1836" s="83">
        <f>IF($G1836="","",IFERROR(IF(INDEX(設定!$E$6:$E$21,MATCH($G1836,設定!$B$6:$B$21,0))=0,"",INDEX(設定!$E$6:$E$21,MATCH($G1836,設定!$B$6:$B$21,0))),""))</f>
        <v/>
      </c>
      <c r="J1836" s="83">
        <f>IFERROR(INDEX(打卡匯入!$C$3:$C$2002,MATCH($C1836&amp;"|"&amp;DAY($A1836),打卡匯入!$E$3:$E$2002,0)),"")</f>
        <v/>
      </c>
      <c r="K1836" s="83">
        <f>IFERROR(INDEX(打卡匯入!$D$3:$D$2002,MATCH($C1836&amp;"|"&amp;DAY($A1836),打卡匯入!$E$3:$E$2002,0)),"")</f>
        <v/>
      </c>
      <c r="L1836" s="84">
        <f>IF(OR($J1836="",$K1836=""),"",IFERROR(INDEX(設定!$F$6:$F$21,MATCH($G1836,設定!$B$6:$B$21,0)),0))</f>
        <v/>
      </c>
      <c r="M1836" s="85">
        <f>IF(OR($J1836="",$K1836=""),"",ROUND(($K1836-$J1836)*24-$L1836/60,2))</f>
        <v/>
      </c>
      <c r="N1836" s="16">
        <f>IF($C1836="","",IF(AND(COUNTIF(設定!$B$15:$B$21,$G1836)&gt;0,$J1836&lt;&gt;""),"假日出勤",IF(AND(COUNTIF(設定!$B$6:$B$14,$G1836)&gt;0,$J1836=""),"未打卡",IF($J1836="","",IF($O1836&gt;0,"遲到",IF($P1836&gt;0,"早退","正常"))))))</f>
        <v/>
      </c>
      <c r="O1836" s="84">
        <f>IF(OR($C1836="",$H1836="",$J1836=""),0,IF(ROUND(($J1836-$H1836)*1440,0)&gt;設定!$C$46,ROUND(($J1836-$H1836)*1440,0),0))</f>
        <v/>
      </c>
      <c r="P1836" s="84">
        <f>IF(OR($C1836="",$I1836="",$K1836=""),0,IF(ROUND(($I1836-$K1836)*1440,0)&gt;設定!$C$46,ROUND(($I1836-$K1836)*1440,0),0))</f>
        <v/>
      </c>
      <c r="Q1836" s="85">
        <f>IF($M1836="",0,IF(($M1836-IFERROR(INDEX(設定!$G$6:$G$21,MATCH($G1836,設定!$B$6:$B$21,0)),0))*60&gt;=設定!$C$44,ROUND(FLOOR(($M1836-IFERROR(INDEX(設定!$G$6:$G$21,MATCH($G1836,設定!$B$6:$B$21,0)),0))*60,設定!$C$45)/60,2),0))</f>
        <v/>
      </c>
      <c r="R1836" s="16">
        <f>IF(OR($C1836="",$Q1836=0),"",IF($G1836="國","國定假日",IF($B1836="日","例假",IF($B1836="六","休息日","平日"))))</f>
        <v/>
      </c>
      <c r="S1836" s="19" t="n"/>
    </row>
    <row r="1837">
      <c r="A1837" s="82">
        <f>IF(OR(助理班表!$A64="",6&gt;DAY(EOMONTH(DATE(設定!$C$2,設定!$D$2,1),0))),"",DATE(設定!$C$2,設定!$D$2,6))</f>
        <v/>
      </c>
      <c r="B1837" s="16">
        <f>IF($A1837="","",INDEX(設定!$O$6:$O$12,WEEKDAY($A1837,1)))</f>
        <v/>
      </c>
      <c r="C1837" s="16">
        <f>IF($A1837="","",助理班表!$A64)</f>
        <v/>
      </c>
      <c r="D1837" s="16">
        <f>IF($C1837="","",助理班表!$B64)</f>
        <v/>
      </c>
      <c r="E1837" s="16">
        <f>IF($C1837="","",助理班表!$D64)</f>
        <v/>
      </c>
      <c r="F1837" s="16">
        <f>IF($C1837="","",助理班表!$C64)</f>
        <v/>
      </c>
      <c r="G1837" s="16">
        <f>IF($C1837="","",助理班表!J64)</f>
        <v/>
      </c>
      <c r="H1837" s="83">
        <f>IF($G1837="","",IFERROR(IF(INDEX(設定!$D$6:$D$21,MATCH($G1837,設定!$B$6:$B$21,0))=0,"",INDEX(設定!$D$6:$D$21,MATCH($G1837,設定!$B$6:$B$21,0))),""))</f>
        <v/>
      </c>
      <c r="I1837" s="83">
        <f>IF($G1837="","",IFERROR(IF(INDEX(設定!$E$6:$E$21,MATCH($G1837,設定!$B$6:$B$21,0))=0,"",INDEX(設定!$E$6:$E$21,MATCH($G1837,設定!$B$6:$B$21,0))),""))</f>
        <v/>
      </c>
      <c r="J1837" s="83">
        <f>IFERROR(INDEX(打卡匯入!$C$3:$C$2002,MATCH($C1837&amp;"|"&amp;DAY($A1837),打卡匯入!$E$3:$E$2002,0)),"")</f>
        <v/>
      </c>
      <c r="K1837" s="83">
        <f>IFERROR(INDEX(打卡匯入!$D$3:$D$2002,MATCH($C1837&amp;"|"&amp;DAY($A1837),打卡匯入!$E$3:$E$2002,0)),"")</f>
        <v/>
      </c>
      <c r="L1837" s="84">
        <f>IF(OR($J1837="",$K1837=""),"",IFERROR(INDEX(設定!$F$6:$F$21,MATCH($G1837,設定!$B$6:$B$21,0)),0))</f>
        <v/>
      </c>
      <c r="M1837" s="85">
        <f>IF(OR($J1837="",$K1837=""),"",ROUND(($K1837-$J1837)*24-$L1837/60,2))</f>
        <v/>
      </c>
      <c r="N1837" s="16">
        <f>IF($C1837="","",IF(AND(COUNTIF(設定!$B$15:$B$21,$G1837)&gt;0,$J1837&lt;&gt;""),"假日出勤",IF(AND(COUNTIF(設定!$B$6:$B$14,$G1837)&gt;0,$J1837=""),"未打卡",IF($J1837="","",IF($O1837&gt;0,"遲到",IF($P1837&gt;0,"早退","正常"))))))</f>
        <v/>
      </c>
      <c r="O1837" s="84">
        <f>IF(OR($C1837="",$H1837="",$J1837=""),0,IF(ROUND(($J1837-$H1837)*1440,0)&gt;設定!$C$46,ROUND(($J1837-$H1837)*1440,0),0))</f>
        <v/>
      </c>
      <c r="P1837" s="84">
        <f>IF(OR($C1837="",$I1837="",$K1837=""),0,IF(ROUND(($I1837-$K1837)*1440,0)&gt;設定!$C$46,ROUND(($I1837-$K1837)*1440,0),0))</f>
        <v/>
      </c>
      <c r="Q1837" s="85">
        <f>IF($M1837="",0,IF(($M1837-IFERROR(INDEX(設定!$G$6:$G$21,MATCH($G1837,設定!$B$6:$B$21,0)),0))*60&gt;=設定!$C$44,ROUND(FLOOR(($M1837-IFERROR(INDEX(設定!$G$6:$G$21,MATCH($G1837,設定!$B$6:$B$21,0)),0))*60,設定!$C$45)/60,2),0))</f>
        <v/>
      </c>
      <c r="R1837" s="16">
        <f>IF(OR($C1837="",$Q1837=0),"",IF($G1837="國","國定假日",IF($B1837="日","例假",IF($B1837="六","休息日","平日"))))</f>
        <v/>
      </c>
      <c r="S1837" s="19" t="n"/>
    </row>
    <row r="1838">
      <c r="A1838" s="82">
        <f>IF(OR(助理班表!$A64="",7&gt;DAY(EOMONTH(DATE(設定!$C$2,設定!$D$2,1),0))),"",DATE(設定!$C$2,設定!$D$2,7))</f>
        <v/>
      </c>
      <c r="B1838" s="16">
        <f>IF($A1838="","",INDEX(設定!$O$6:$O$12,WEEKDAY($A1838,1)))</f>
        <v/>
      </c>
      <c r="C1838" s="16">
        <f>IF($A1838="","",助理班表!$A64)</f>
        <v/>
      </c>
      <c r="D1838" s="16">
        <f>IF($C1838="","",助理班表!$B64)</f>
        <v/>
      </c>
      <c r="E1838" s="16">
        <f>IF($C1838="","",助理班表!$D64)</f>
        <v/>
      </c>
      <c r="F1838" s="16">
        <f>IF($C1838="","",助理班表!$C64)</f>
        <v/>
      </c>
      <c r="G1838" s="16">
        <f>IF($C1838="","",助理班表!K64)</f>
        <v/>
      </c>
      <c r="H1838" s="83">
        <f>IF($G1838="","",IFERROR(IF(INDEX(設定!$D$6:$D$21,MATCH($G1838,設定!$B$6:$B$21,0))=0,"",INDEX(設定!$D$6:$D$21,MATCH($G1838,設定!$B$6:$B$21,0))),""))</f>
        <v/>
      </c>
      <c r="I1838" s="83">
        <f>IF($G1838="","",IFERROR(IF(INDEX(設定!$E$6:$E$21,MATCH($G1838,設定!$B$6:$B$21,0))=0,"",INDEX(設定!$E$6:$E$21,MATCH($G1838,設定!$B$6:$B$21,0))),""))</f>
        <v/>
      </c>
      <c r="J1838" s="83">
        <f>IFERROR(INDEX(打卡匯入!$C$3:$C$2002,MATCH($C1838&amp;"|"&amp;DAY($A1838),打卡匯入!$E$3:$E$2002,0)),"")</f>
        <v/>
      </c>
      <c r="K1838" s="83">
        <f>IFERROR(INDEX(打卡匯入!$D$3:$D$2002,MATCH($C1838&amp;"|"&amp;DAY($A1838),打卡匯入!$E$3:$E$2002,0)),"")</f>
        <v/>
      </c>
      <c r="L1838" s="84">
        <f>IF(OR($J1838="",$K1838=""),"",IFERROR(INDEX(設定!$F$6:$F$21,MATCH($G1838,設定!$B$6:$B$21,0)),0))</f>
        <v/>
      </c>
      <c r="M1838" s="85">
        <f>IF(OR($J1838="",$K1838=""),"",ROUND(($K1838-$J1838)*24-$L1838/60,2))</f>
        <v/>
      </c>
      <c r="N1838" s="16">
        <f>IF($C1838="","",IF(AND(COUNTIF(設定!$B$15:$B$21,$G1838)&gt;0,$J1838&lt;&gt;""),"假日出勤",IF(AND(COUNTIF(設定!$B$6:$B$14,$G1838)&gt;0,$J1838=""),"未打卡",IF($J1838="","",IF($O1838&gt;0,"遲到",IF($P1838&gt;0,"早退","正常"))))))</f>
        <v/>
      </c>
      <c r="O1838" s="84">
        <f>IF(OR($C1838="",$H1838="",$J1838=""),0,IF(ROUND(($J1838-$H1838)*1440,0)&gt;設定!$C$46,ROUND(($J1838-$H1838)*1440,0),0))</f>
        <v/>
      </c>
      <c r="P1838" s="84">
        <f>IF(OR($C1838="",$I1838="",$K1838=""),0,IF(ROUND(($I1838-$K1838)*1440,0)&gt;設定!$C$46,ROUND(($I1838-$K1838)*1440,0),0))</f>
        <v/>
      </c>
      <c r="Q1838" s="85">
        <f>IF($M1838="",0,IF(($M1838-IFERROR(INDEX(設定!$G$6:$G$21,MATCH($G1838,設定!$B$6:$B$21,0)),0))*60&gt;=設定!$C$44,ROUND(FLOOR(($M1838-IFERROR(INDEX(設定!$G$6:$G$21,MATCH($G1838,設定!$B$6:$B$21,0)),0))*60,設定!$C$45)/60,2),0))</f>
        <v/>
      </c>
      <c r="R1838" s="16">
        <f>IF(OR($C1838="",$Q1838=0),"",IF($G1838="國","國定假日",IF($B1838="日","例假",IF($B1838="六","休息日","平日"))))</f>
        <v/>
      </c>
      <c r="S1838" s="19" t="n"/>
    </row>
    <row r="1839">
      <c r="A1839" s="82">
        <f>IF(OR(助理班表!$A64="",8&gt;DAY(EOMONTH(DATE(設定!$C$2,設定!$D$2,1),0))),"",DATE(設定!$C$2,設定!$D$2,8))</f>
        <v/>
      </c>
      <c r="B1839" s="16">
        <f>IF($A1839="","",INDEX(設定!$O$6:$O$12,WEEKDAY($A1839,1)))</f>
        <v/>
      </c>
      <c r="C1839" s="16">
        <f>IF($A1839="","",助理班表!$A64)</f>
        <v/>
      </c>
      <c r="D1839" s="16">
        <f>IF($C1839="","",助理班表!$B64)</f>
        <v/>
      </c>
      <c r="E1839" s="16">
        <f>IF($C1839="","",助理班表!$D64)</f>
        <v/>
      </c>
      <c r="F1839" s="16">
        <f>IF($C1839="","",助理班表!$C64)</f>
        <v/>
      </c>
      <c r="G1839" s="16">
        <f>IF($C1839="","",助理班表!L64)</f>
        <v/>
      </c>
      <c r="H1839" s="83">
        <f>IF($G1839="","",IFERROR(IF(INDEX(設定!$D$6:$D$21,MATCH($G1839,設定!$B$6:$B$21,0))=0,"",INDEX(設定!$D$6:$D$21,MATCH($G1839,設定!$B$6:$B$21,0))),""))</f>
        <v/>
      </c>
      <c r="I1839" s="83">
        <f>IF($G1839="","",IFERROR(IF(INDEX(設定!$E$6:$E$21,MATCH($G1839,設定!$B$6:$B$21,0))=0,"",INDEX(設定!$E$6:$E$21,MATCH($G1839,設定!$B$6:$B$21,0))),""))</f>
        <v/>
      </c>
      <c r="J1839" s="83">
        <f>IFERROR(INDEX(打卡匯入!$C$3:$C$2002,MATCH($C1839&amp;"|"&amp;DAY($A1839),打卡匯入!$E$3:$E$2002,0)),"")</f>
        <v/>
      </c>
      <c r="K1839" s="83">
        <f>IFERROR(INDEX(打卡匯入!$D$3:$D$2002,MATCH($C1839&amp;"|"&amp;DAY($A1839),打卡匯入!$E$3:$E$2002,0)),"")</f>
        <v/>
      </c>
      <c r="L1839" s="84">
        <f>IF(OR($J1839="",$K1839=""),"",IFERROR(INDEX(設定!$F$6:$F$21,MATCH($G1839,設定!$B$6:$B$21,0)),0))</f>
        <v/>
      </c>
      <c r="M1839" s="85">
        <f>IF(OR($J1839="",$K1839=""),"",ROUND(($K1839-$J1839)*24-$L1839/60,2))</f>
        <v/>
      </c>
      <c r="N1839" s="16">
        <f>IF($C1839="","",IF(AND(COUNTIF(設定!$B$15:$B$21,$G1839)&gt;0,$J1839&lt;&gt;""),"假日出勤",IF(AND(COUNTIF(設定!$B$6:$B$14,$G1839)&gt;0,$J1839=""),"未打卡",IF($J1839="","",IF($O1839&gt;0,"遲到",IF($P1839&gt;0,"早退","正常"))))))</f>
        <v/>
      </c>
      <c r="O1839" s="84">
        <f>IF(OR($C1839="",$H1839="",$J1839=""),0,IF(ROUND(($J1839-$H1839)*1440,0)&gt;設定!$C$46,ROUND(($J1839-$H1839)*1440,0),0))</f>
        <v/>
      </c>
      <c r="P1839" s="84">
        <f>IF(OR($C1839="",$I1839="",$K1839=""),0,IF(ROUND(($I1839-$K1839)*1440,0)&gt;設定!$C$46,ROUND(($I1839-$K1839)*1440,0),0))</f>
        <v/>
      </c>
      <c r="Q1839" s="85">
        <f>IF($M1839="",0,IF(($M1839-IFERROR(INDEX(設定!$G$6:$G$21,MATCH($G1839,設定!$B$6:$B$21,0)),0))*60&gt;=設定!$C$44,ROUND(FLOOR(($M1839-IFERROR(INDEX(設定!$G$6:$G$21,MATCH($G1839,設定!$B$6:$B$21,0)),0))*60,設定!$C$45)/60,2),0))</f>
        <v/>
      </c>
      <c r="R1839" s="16">
        <f>IF(OR($C1839="",$Q1839=0),"",IF($G1839="國","國定假日",IF($B1839="日","例假",IF($B1839="六","休息日","平日"))))</f>
        <v/>
      </c>
      <c r="S1839" s="19" t="n"/>
    </row>
    <row r="1840">
      <c r="A1840" s="82">
        <f>IF(OR(助理班表!$A64="",9&gt;DAY(EOMONTH(DATE(設定!$C$2,設定!$D$2,1),0))),"",DATE(設定!$C$2,設定!$D$2,9))</f>
        <v/>
      </c>
      <c r="B1840" s="16">
        <f>IF($A1840="","",INDEX(設定!$O$6:$O$12,WEEKDAY($A1840,1)))</f>
        <v/>
      </c>
      <c r="C1840" s="16">
        <f>IF($A1840="","",助理班表!$A64)</f>
        <v/>
      </c>
      <c r="D1840" s="16">
        <f>IF($C1840="","",助理班表!$B64)</f>
        <v/>
      </c>
      <c r="E1840" s="16">
        <f>IF($C1840="","",助理班表!$D64)</f>
        <v/>
      </c>
      <c r="F1840" s="16">
        <f>IF($C1840="","",助理班表!$C64)</f>
        <v/>
      </c>
      <c r="G1840" s="16">
        <f>IF($C1840="","",助理班表!M64)</f>
        <v/>
      </c>
      <c r="H1840" s="83">
        <f>IF($G1840="","",IFERROR(IF(INDEX(設定!$D$6:$D$21,MATCH($G1840,設定!$B$6:$B$21,0))=0,"",INDEX(設定!$D$6:$D$21,MATCH($G1840,設定!$B$6:$B$21,0))),""))</f>
        <v/>
      </c>
      <c r="I1840" s="83">
        <f>IF($G1840="","",IFERROR(IF(INDEX(設定!$E$6:$E$21,MATCH($G1840,設定!$B$6:$B$21,0))=0,"",INDEX(設定!$E$6:$E$21,MATCH($G1840,設定!$B$6:$B$21,0))),""))</f>
        <v/>
      </c>
      <c r="J1840" s="83">
        <f>IFERROR(INDEX(打卡匯入!$C$3:$C$2002,MATCH($C1840&amp;"|"&amp;DAY($A1840),打卡匯入!$E$3:$E$2002,0)),"")</f>
        <v/>
      </c>
      <c r="K1840" s="83">
        <f>IFERROR(INDEX(打卡匯入!$D$3:$D$2002,MATCH($C1840&amp;"|"&amp;DAY($A1840),打卡匯入!$E$3:$E$2002,0)),"")</f>
        <v/>
      </c>
      <c r="L1840" s="84">
        <f>IF(OR($J1840="",$K1840=""),"",IFERROR(INDEX(設定!$F$6:$F$21,MATCH($G1840,設定!$B$6:$B$21,0)),0))</f>
        <v/>
      </c>
      <c r="M1840" s="85">
        <f>IF(OR($J1840="",$K1840=""),"",ROUND(($K1840-$J1840)*24-$L1840/60,2))</f>
        <v/>
      </c>
      <c r="N1840" s="16">
        <f>IF($C1840="","",IF(AND(COUNTIF(設定!$B$15:$B$21,$G1840)&gt;0,$J1840&lt;&gt;""),"假日出勤",IF(AND(COUNTIF(設定!$B$6:$B$14,$G1840)&gt;0,$J1840=""),"未打卡",IF($J1840="","",IF($O1840&gt;0,"遲到",IF($P1840&gt;0,"早退","正常"))))))</f>
        <v/>
      </c>
      <c r="O1840" s="84">
        <f>IF(OR($C1840="",$H1840="",$J1840=""),0,IF(ROUND(($J1840-$H1840)*1440,0)&gt;設定!$C$46,ROUND(($J1840-$H1840)*1440,0),0))</f>
        <v/>
      </c>
      <c r="P1840" s="84">
        <f>IF(OR($C1840="",$I1840="",$K1840=""),0,IF(ROUND(($I1840-$K1840)*1440,0)&gt;設定!$C$46,ROUND(($I1840-$K1840)*1440,0),0))</f>
        <v/>
      </c>
      <c r="Q1840" s="85">
        <f>IF($M1840="",0,IF(($M1840-IFERROR(INDEX(設定!$G$6:$G$21,MATCH($G1840,設定!$B$6:$B$21,0)),0))*60&gt;=設定!$C$44,ROUND(FLOOR(($M1840-IFERROR(INDEX(設定!$G$6:$G$21,MATCH($G1840,設定!$B$6:$B$21,0)),0))*60,設定!$C$45)/60,2),0))</f>
        <v/>
      </c>
      <c r="R1840" s="16">
        <f>IF(OR($C1840="",$Q1840=0),"",IF($G1840="國","國定假日",IF($B1840="日","例假",IF($B1840="六","休息日","平日"))))</f>
        <v/>
      </c>
      <c r="S1840" s="19" t="n"/>
    </row>
    <row r="1841">
      <c r="A1841" s="82">
        <f>IF(OR(助理班表!$A64="",10&gt;DAY(EOMONTH(DATE(設定!$C$2,設定!$D$2,1),0))),"",DATE(設定!$C$2,設定!$D$2,10))</f>
        <v/>
      </c>
      <c r="B1841" s="16">
        <f>IF($A1841="","",INDEX(設定!$O$6:$O$12,WEEKDAY($A1841,1)))</f>
        <v/>
      </c>
      <c r="C1841" s="16">
        <f>IF($A1841="","",助理班表!$A64)</f>
        <v/>
      </c>
      <c r="D1841" s="16">
        <f>IF($C1841="","",助理班表!$B64)</f>
        <v/>
      </c>
      <c r="E1841" s="16">
        <f>IF($C1841="","",助理班表!$D64)</f>
        <v/>
      </c>
      <c r="F1841" s="16">
        <f>IF($C1841="","",助理班表!$C64)</f>
        <v/>
      </c>
      <c r="G1841" s="16">
        <f>IF($C1841="","",助理班表!N64)</f>
        <v/>
      </c>
      <c r="H1841" s="83">
        <f>IF($G1841="","",IFERROR(IF(INDEX(設定!$D$6:$D$21,MATCH($G1841,設定!$B$6:$B$21,0))=0,"",INDEX(設定!$D$6:$D$21,MATCH($G1841,設定!$B$6:$B$21,0))),""))</f>
        <v/>
      </c>
      <c r="I1841" s="83">
        <f>IF($G1841="","",IFERROR(IF(INDEX(設定!$E$6:$E$21,MATCH($G1841,設定!$B$6:$B$21,0))=0,"",INDEX(設定!$E$6:$E$21,MATCH($G1841,設定!$B$6:$B$21,0))),""))</f>
        <v/>
      </c>
      <c r="J1841" s="83">
        <f>IFERROR(INDEX(打卡匯入!$C$3:$C$2002,MATCH($C1841&amp;"|"&amp;DAY($A1841),打卡匯入!$E$3:$E$2002,0)),"")</f>
        <v/>
      </c>
      <c r="K1841" s="83">
        <f>IFERROR(INDEX(打卡匯入!$D$3:$D$2002,MATCH($C1841&amp;"|"&amp;DAY($A1841),打卡匯入!$E$3:$E$2002,0)),"")</f>
        <v/>
      </c>
      <c r="L1841" s="84">
        <f>IF(OR($J1841="",$K1841=""),"",IFERROR(INDEX(設定!$F$6:$F$21,MATCH($G1841,設定!$B$6:$B$21,0)),0))</f>
        <v/>
      </c>
      <c r="M1841" s="85">
        <f>IF(OR($J1841="",$K1841=""),"",ROUND(($K1841-$J1841)*24-$L1841/60,2))</f>
        <v/>
      </c>
      <c r="N1841" s="16">
        <f>IF($C1841="","",IF(AND(COUNTIF(設定!$B$15:$B$21,$G1841)&gt;0,$J1841&lt;&gt;""),"假日出勤",IF(AND(COUNTIF(設定!$B$6:$B$14,$G1841)&gt;0,$J1841=""),"未打卡",IF($J1841="","",IF($O1841&gt;0,"遲到",IF($P1841&gt;0,"早退","正常"))))))</f>
        <v/>
      </c>
      <c r="O1841" s="84">
        <f>IF(OR($C1841="",$H1841="",$J1841=""),0,IF(ROUND(($J1841-$H1841)*1440,0)&gt;設定!$C$46,ROUND(($J1841-$H1841)*1440,0),0))</f>
        <v/>
      </c>
      <c r="P1841" s="84">
        <f>IF(OR($C1841="",$I1841="",$K1841=""),0,IF(ROUND(($I1841-$K1841)*1440,0)&gt;設定!$C$46,ROUND(($I1841-$K1841)*1440,0),0))</f>
        <v/>
      </c>
      <c r="Q1841" s="85">
        <f>IF($M1841="",0,IF(($M1841-IFERROR(INDEX(設定!$G$6:$G$21,MATCH($G1841,設定!$B$6:$B$21,0)),0))*60&gt;=設定!$C$44,ROUND(FLOOR(($M1841-IFERROR(INDEX(設定!$G$6:$G$21,MATCH($G1841,設定!$B$6:$B$21,0)),0))*60,設定!$C$45)/60,2),0))</f>
        <v/>
      </c>
      <c r="R1841" s="16">
        <f>IF(OR($C1841="",$Q1841=0),"",IF($G1841="國","國定假日",IF($B1841="日","例假",IF($B1841="六","休息日","平日"))))</f>
        <v/>
      </c>
      <c r="S1841" s="19" t="n"/>
    </row>
    <row r="1842">
      <c r="A1842" s="82">
        <f>IF(OR(助理班表!$A64="",11&gt;DAY(EOMONTH(DATE(設定!$C$2,設定!$D$2,1),0))),"",DATE(設定!$C$2,設定!$D$2,11))</f>
        <v/>
      </c>
      <c r="B1842" s="16">
        <f>IF($A1842="","",INDEX(設定!$O$6:$O$12,WEEKDAY($A1842,1)))</f>
        <v/>
      </c>
      <c r="C1842" s="16">
        <f>IF($A1842="","",助理班表!$A64)</f>
        <v/>
      </c>
      <c r="D1842" s="16">
        <f>IF($C1842="","",助理班表!$B64)</f>
        <v/>
      </c>
      <c r="E1842" s="16">
        <f>IF($C1842="","",助理班表!$D64)</f>
        <v/>
      </c>
      <c r="F1842" s="16">
        <f>IF($C1842="","",助理班表!$C64)</f>
        <v/>
      </c>
      <c r="G1842" s="16">
        <f>IF($C1842="","",助理班表!O64)</f>
        <v/>
      </c>
      <c r="H1842" s="83">
        <f>IF($G1842="","",IFERROR(IF(INDEX(設定!$D$6:$D$21,MATCH($G1842,設定!$B$6:$B$21,0))=0,"",INDEX(設定!$D$6:$D$21,MATCH($G1842,設定!$B$6:$B$21,0))),""))</f>
        <v/>
      </c>
      <c r="I1842" s="83">
        <f>IF($G1842="","",IFERROR(IF(INDEX(設定!$E$6:$E$21,MATCH($G1842,設定!$B$6:$B$21,0))=0,"",INDEX(設定!$E$6:$E$21,MATCH($G1842,設定!$B$6:$B$21,0))),""))</f>
        <v/>
      </c>
      <c r="J1842" s="83">
        <f>IFERROR(INDEX(打卡匯入!$C$3:$C$2002,MATCH($C1842&amp;"|"&amp;DAY($A1842),打卡匯入!$E$3:$E$2002,0)),"")</f>
        <v/>
      </c>
      <c r="K1842" s="83">
        <f>IFERROR(INDEX(打卡匯入!$D$3:$D$2002,MATCH($C1842&amp;"|"&amp;DAY($A1842),打卡匯入!$E$3:$E$2002,0)),"")</f>
        <v/>
      </c>
      <c r="L1842" s="84">
        <f>IF(OR($J1842="",$K1842=""),"",IFERROR(INDEX(設定!$F$6:$F$21,MATCH($G1842,設定!$B$6:$B$21,0)),0))</f>
        <v/>
      </c>
      <c r="M1842" s="85">
        <f>IF(OR($J1842="",$K1842=""),"",ROUND(($K1842-$J1842)*24-$L1842/60,2))</f>
        <v/>
      </c>
      <c r="N1842" s="16">
        <f>IF($C1842="","",IF(AND(COUNTIF(設定!$B$15:$B$21,$G1842)&gt;0,$J1842&lt;&gt;""),"假日出勤",IF(AND(COUNTIF(設定!$B$6:$B$14,$G1842)&gt;0,$J1842=""),"未打卡",IF($J1842="","",IF($O1842&gt;0,"遲到",IF($P1842&gt;0,"早退","正常"))))))</f>
        <v/>
      </c>
      <c r="O1842" s="84">
        <f>IF(OR($C1842="",$H1842="",$J1842=""),0,IF(ROUND(($J1842-$H1842)*1440,0)&gt;設定!$C$46,ROUND(($J1842-$H1842)*1440,0),0))</f>
        <v/>
      </c>
      <c r="P1842" s="84">
        <f>IF(OR($C1842="",$I1842="",$K1842=""),0,IF(ROUND(($I1842-$K1842)*1440,0)&gt;設定!$C$46,ROUND(($I1842-$K1842)*1440,0),0))</f>
        <v/>
      </c>
      <c r="Q1842" s="85">
        <f>IF($M1842="",0,IF(($M1842-IFERROR(INDEX(設定!$G$6:$G$21,MATCH($G1842,設定!$B$6:$B$21,0)),0))*60&gt;=設定!$C$44,ROUND(FLOOR(($M1842-IFERROR(INDEX(設定!$G$6:$G$21,MATCH($G1842,設定!$B$6:$B$21,0)),0))*60,設定!$C$45)/60,2),0))</f>
        <v/>
      </c>
      <c r="R1842" s="16">
        <f>IF(OR($C1842="",$Q1842=0),"",IF($G1842="國","國定假日",IF($B1842="日","例假",IF($B1842="六","休息日","平日"))))</f>
        <v/>
      </c>
      <c r="S1842" s="19" t="n"/>
    </row>
    <row r="1843">
      <c r="A1843" s="82">
        <f>IF(OR(助理班表!$A64="",12&gt;DAY(EOMONTH(DATE(設定!$C$2,設定!$D$2,1),0))),"",DATE(設定!$C$2,設定!$D$2,12))</f>
        <v/>
      </c>
      <c r="B1843" s="16">
        <f>IF($A1843="","",INDEX(設定!$O$6:$O$12,WEEKDAY($A1843,1)))</f>
        <v/>
      </c>
      <c r="C1843" s="16">
        <f>IF($A1843="","",助理班表!$A64)</f>
        <v/>
      </c>
      <c r="D1843" s="16">
        <f>IF($C1843="","",助理班表!$B64)</f>
        <v/>
      </c>
      <c r="E1843" s="16">
        <f>IF($C1843="","",助理班表!$D64)</f>
        <v/>
      </c>
      <c r="F1843" s="16">
        <f>IF($C1843="","",助理班表!$C64)</f>
        <v/>
      </c>
      <c r="G1843" s="16">
        <f>IF($C1843="","",助理班表!P64)</f>
        <v/>
      </c>
      <c r="H1843" s="83">
        <f>IF($G1843="","",IFERROR(IF(INDEX(設定!$D$6:$D$21,MATCH($G1843,設定!$B$6:$B$21,0))=0,"",INDEX(設定!$D$6:$D$21,MATCH($G1843,設定!$B$6:$B$21,0))),""))</f>
        <v/>
      </c>
      <c r="I1843" s="83">
        <f>IF($G1843="","",IFERROR(IF(INDEX(設定!$E$6:$E$21,MATCH($G1843,設定!$B$6:$B$21,0))=0,"",INDEX(設定!$E$6:$E$21,MATCH($G1843,設定!$B$6:$B$21,0))),""))</f>
        <v/>
      </c>
      <c r="J1843" s="83">
        <f>IFERROR(INDEX(打卡匯入!$C$3:$C$2002,MATCH($C1843&amp;"|"&amp;DAY($A1843),打卡匯入!$E$3:$E$2002,0)),"")</f>
        <v/>
      </c>
      <c r="K1843" s="83">
        <f>IFERROR(INDEX(打卡匯入!$D$3:$D$2002,MATCH($C1843&amp;"|"&amp;DAY($A1843),打卡匯入!$E$3:$E$2002,0)),"")</f>
        <v/>
      </c>
      <c r="L1843" s="84">
        <f>IF(OR($J1843="",$K1843=""),"",IFERROR(INDEX(設定!$F$6:$F$21,MATCH($G1843,設定!$B$6:$B$21,0)),0))</f>
        <v/>
      </c>
      <c r="M1843" s="85">
        <f>IF(OR($J1843="",$K1843=""),"",ROUND(($K1843-$J1843)*24-$L1843/60,2))</f>
        <v/>
      </c>
      <c r="N1843" s="16">
        <f>IF($C1843="","",IF(AND(COUNTIF(設定!$B$15:$B$21,$G1843)&gt;0,$J1843&lt;&gt;""),"假日出勤",IF(AND(COUNTIF(設定!$B$6:$B$14,$G1843)&gt;0,$J1843=""),"未打卡",IF($J1843="","",IF($O1843&gt;0,"遲到",IF($P1843&gt;0,"早退","正常"))))))</f>
        <v/>
      </c>
      <c r="O1843" s="84">
        <f>IF(OR($C1843="",$H1843="",$J1843=""),0,IF(ROUND(($J1843-$H1843)*1440,0)&gt;設定!$C$46,ROUND(($J1843-$H1843)*1440,0),0))</f>
        <v/>
      </c>
      <c r="P1843" s="84">
        <f>IF(OR($C1843="",$I1843="",$K1843=""),0,IF(ROUND(($I1843-$K1843)*1440,0)&gt;設定!$C$46,ROUND(($I1843-$K1843)*1440,0),0))</f>
        <v/>
      </c>
      <c r="Q1843" s="85">
        <f>IF($M1843="",0,IF(($M1843-IFERROR(INDEX(設定!$G$6:$G$21,MATCH($G1843,設定!$B$6:$B$21,0)),0))*60&gt;=設定!$C$44,ROUND(FLOOR(($M1843-IFERROR(INDEX(設定!$G$6:$G$21,MATCH($G1843,設定!$B$6:$B$21,0)),0))*60,設定!$C$45)/60,2),0))</f>
        <v/>
      </c>
      <c r="R1843" s="16">
        <f>IF(OR($C1843="",$Q1843=0),"",IF($G1843="國","國定假日",IF($B1843="日","例假",IF($B1843="六","休息日","平日"))))</f>
        <v/>
      </c>
      <c r="S1843" s="19" t="n"/>
    </row>
    <row r="1844">
      <c r="A1844" s="82">
        <f>IF(OR(助理班表!$A64="",13&gt;DAY(EOMONTH(DATE(設定!$C$2,設定!$D$2,1),0))),"",DATE(設定!$C$2,設定!$D$2,13))</f>
        <v/>
      </c>
      <c r="B1844" s="16">
        <f>IF($A1844="","",INDEX(設定!$O$6:$O$12,WEEKDAY($A1844,1)))</f>
        <v/>
      </c>
      <c r="C1844" s="16">
        <f>IF($A1844="","",助理班表!$A64)</f>
        <v/>
      </c>
      <c r="D1844" s="16">
        <f>IF($C1844="","",助理班表!$B64)</f>
        <v/>
      </c>
      <c r="E1844" s="16">
        <f>IF($C1844="","",助理班表!$D64)</f>
        <v/>
      </c>
      <c r="F1844" s="16">
        <f>IF($C1844="","",助理班表!$C64)</f>
        <v/>
      </c>
      <c r="G1844" s="16">
        <f>IF($C1844="","",助理班表!Q64)</f>
        <v/>
      </c>
      <c r="H1844" s="83">
        <f>IF($G1844="","",IFERROR(IF(INDEX(設定!$D$6:$D$21,MATCH($G1844,設定!$B$6:$B$21,0))=0,"",INDEX(設定!$D$6:$D$21,MATCH($G1844,設定!$B$6:$B$21,0))),""))</f>
        <v/>
      </c>
      <c r="I1844" s="83">
        <f>IF($G1844="","",IFERROR(IF(INDEX(設定!$E$6:$E$21,MATCH($G1844,設定!$B$6:$B$21,0))=0,"",INDEX(設定!$E$6:$E$21,MATCH($G1844,設定!$B$6:$B$21,0))),""))</f>
        <v/>
      </c>
      <c r="J1844" s="83">
        <f>IFERROR(INDEX(打卡匯入!$C$3:$C$2002,MATCH($C1844&amp;"|"&amp;DAY($A1844),打卡匯入!$E$3:$E$2002,0)),"")</f>
        <v/>
      </c>
      <c r="K1844" s="83">
        <f>IFERROR(INDEX(打卡匯入!$D$3:$D$2002,MATCH($C1844&amp;"|"&amp;DAY($A1844),打卡匯入!$E$3:$E$2002,0)),"")</f>
        <v/>
      </c>
      <c r="L1844" s="84">
        <f>IF(OR($J1844="",$K1844=""),"",IFERROR(INDEX(設定!$F$6:$F$21,MATCH($G1844,設定!$B$6:$B$21,0)),0))</f>
        <v/>
      </c>
      <c r="M1844" s="85">
        <f>IF(OR($J1844="",$K1844=""),"",ROUND(($K1844-$J1844)*24-$L1844/60,2))</f>
        <v/>
      </c>
      <c r="N1844" s="16">
        <f>IF($C1844="","",IF(AND(COUNTIF(設定!$B$15:$B$21,$G1844)&gt;0,$J1844&lt;&gt;""),"假日出勤",IF(AND(COUNTIF(設定!$B$6:$B$14,$G1844)&gt;0,$J1844=""),"未打卡",IF($J1844="","",IF($O1844&gt;0,"遲到",IF($P1844&gt;0,"早退","正常"))))))</f>
        <v/>
      </c>
      <c r="O1844" s="84">
        <f>IF(OR($C1844="",$H1844="",$J1844=""),0,IF(ROUND(($J1844-$H1844)*1440,0)&gt;設定!$C$46,ROUND(($J1844-$H1844)*1440,0),0))</f>
        <v/>
      </c>
      <c r="P1844" s="84">
        <f>IF(OR($C1844="",$I1844="",$K1844=""),0,IF(ROUND(($I1844-$K1844)*1440,0)&gt;設定!$C$46,ROUND(($I1844-$K1844)*1440,0),0))</f>
        <v/>
      </c>
      <c r="Q1844" s="85">
        <f>IF($M1844="",0,IF(($M1844-IFERROR(INDEX(設定!$G$6:$G$21,MATCH($G1844,設定!$B$6:$B$21,0)),0))*60&gt;=設定!$C$44,ROUND(FLOOR(($M1844-IFERROR(INDEX(設定!$G$6:$G$21,MATCH($G1844,設定!$B$6:$B$21,0)),0))*60,設定!$C$45)/60,2),0))</f>
        <v/>
      </c>
      <c r="R1844" s="16">
        <f>IF(OR($C1844="",$Q1844=0),"",IF($G1844="國","國定假日",IF($B1844="日","例假",IF($B1844="六","休息日","平日"))))</f>
        <v/>
      </c>
      <c r="S1844" s="19" t="n"/>
    </row>
    <row r="1845">
      <c r="A1845" s="82">
        <f>IF(OR(助理班表!$A64="",14&gt;DAY(EOMONTH(DATE(設定!$C$2,設定!$D$2,1),0))),"",DATE(設定!$C$2,設定!$D$2,14))</f>
        <v/>
      </c>
      <c r="B1845" s="16">
        <f>IF($A1845="","",INDEX(設定!$O$6:$O$12,WEEKDAY($A1845,1)))</f>
        <v/>
      </c>
      <c r="C1845" s="16">
        <f>IF($A1845="","",助理班表!$A64)</f>
        <v/>
      </c>
      <c r="D1845" s="16">
        <f>IF($C1845="","",助理班表!$B64)</f>
        <v/>
      </c>
      <c r="E1845" s="16">
        <f>IF($C1845="","",助理班表!$D64)</f>
        <v/>
      </c>
      <c r="F1845" s="16">
        <f>IF($C1845="","",助理班表!$C64)</f>
        <v/>
      </c>
      <c r="G1845" s="16">
        <f>IF($C1845="","",助理班表!R64)</f>
        <v/>
      </c>
      <c r="H1845" s="83">
        <f>IF($G1845="","",IFERROR(IF(INDEX(設定!$D$6:$D$21,MATCH($G1845,設定!$B$6:$B$21,0))=0,"",INDEX(設定!$D$6:$D$21,MATCH($G1845,設定!$B$6:$B$21,0))),""))</f>
        <v/>
      </c>
      <c r="I1845" s="83">
        <f>IF($G1845="","",IFERROR(IF(INDEX(設定!$E$6:$E$21,MATCH($G1845,設定!$B$6:$B$21,0))=0,"",INDEX(設定!$E$6:$E$21,MATCH($G1845,設定!$B$6:$B$21,0))),""))</f>
        <v/>
      </c>
      <c r="J1845" s="83">
        <f>IFERROR(INDEX(打卡匯入!$C$3:$C$2002,MATCH($C1845&amp;"|"&amp;DAY($A1845),打卡匯入!$E$3:$E$2002,0)),"")</f>
        <v/>
      </c>
      <c r="K1845" s="83">
        <f>IFERROR(INDEX(打卡匯入!$D$3:$D$2002,MATCH($C1845&amp;"|"&amp;DAY($A1845),打卡匯入!$E$3:$E$2002,0)),"")</f>
        <v/>
      </c>
      <c r="L1845" s="84">
        <f>IF(OR($J1845="",$K1845=""),"",IFERROR(INDEX(設定!$F$6:$F$21,MATCH($G1845,設定!$B$6:$B$21,0)),0))</f>
        <v/>
      </c>
      <c r="M1845" s="85">
        <f>IF(OR($J1845="",$K1845=""),"",ROUND(($K1845-$J1845)*24-$L1845/60,2))</f>
        <v/>
      </c>
      <c r="N1845" s="16">
        <f>IF($C1845="","",IF(AND(COUNTIF(設定!$B$15:$B$21,$G1845)&gt;0,$J1845&lt;&gt;""),"假日出勤",IF(AND(COUNTIF(設定!$B$6:$B$14,$G1845)&gt;0,$J1845=""),"未打卡",IF($J1845="","",IF($O1845&gt;0,"遲到",IF($P1845&gt;0,"早退","正常"))))))</f>
        <v/>
      </c>
      <c r="O1845" s="84">
        <f>IF(OR($C1845="",$H1845="",$J1845=""),0,IF(ROUND(($J1845-$H1845)*1440,0)&gt;設定!$C$46,ROUND(($J1845-$H1845)*1440,0),0))</f>
        <v/>
      </c>
      <c r="P1845" s="84">
        <f>IF(OR($C1845="",$I1845="",$K1845=""),0,IF(ROUND(($I1845-$K1845)*1440,0)&gt;設定!$C$46,ROUND(($I1845-$K1845)*1440,0),0))</f>
        <v/>
      </c>
      <c r="Q1845" s="85">
        <f>IF($M1845="",0,IF(($M1845-IFERROR(INDEX(設定!$G$6:$G$21,MATCH($G1845,設定!$B$6:$B$21,0)),0))*60&gt;=設定!$C$44,ROUND(FLOOR(($M1845-IFERROR(INDEX(設定!$G$6:$G$21,MATCH($G1845,設定!$B$6:$B$21,0)),0))*60,設定!$C$45)/60,2),0))</f>
        <v/>
      </c>
      <c r="R1845" s="16">
        <f>IF(OR($C1845="",$Q1845=0),"",IF($G1845="國","國定假日",IF($B1845="日","例假",IF($B1845="六","休息日","平日"))))</f>
        <v/>
      </c>
      <c r="S1845" s="19" t="n"/>
    </row>
    <row r="1846">
      <c r="A1846" s="82">
        <f>IF(OR(助理班表!$A64="",15&gt;DAY(EOMONTH(DATE(設定!$C$2,設定!$D$2,1),0))),"",DATE(設定!$C$2,設定!$D$2,15))</f>
        <v/>
      </c>
      <c r="B1846" s="16">
        <f>IF($A1846="","",INDEX(設定!$O$6:$O$12,WEEKDAY($A1846,1)))</f>
        <v/>
      </c>
      <c r="C1846" s="16">
        <f>IF($A1846="","",助理班表!$A64)</f>
        <v/>
      </c>
      <c r="D1846" s="16">
        <f>IF($C1846="","",助理班表!$B64)</f>
        <v/>
      </c>
      <c r="E1846" s="16">
        <f>IF($C1846="","",助理班表!$D64)</f>
        <v/>
      </c>
      <c r="F1846" s="16">
        <f>IF($C1846="","",助理班表!$C64)</f>
        <v/>
      </c>
      <c r="G1846" s="16">
        <f>IF($C1846="","",助理班表!S64)</f>
        <v/>
      </c>
      <c r="H1846" s="83">
        <f>IF($G1846="","",IFERROR(IF(INDEX(設定!$D$6:$D$21,MATCH($G1846,設定!$B$6:$B$21,0))=0,"",INDEX(設定!$D$6:$D$21,MATCH($G1846,設定!$B$6:$B$21,0))),""))</f>
        <v/>
      </c>
      <c r="I1846" s="83">
        <f>IF($G1846="","",IFERROR(IF(INDEX(設定!$E$6:$E$21,MATCH($G1846,設定!$B$6:$B$21,0))=0,"",INDEX(設定!$E$6:$E$21,MATCH($G1846,設定!$B$6:$B$21,0))),""))</f>
        <v/>
      </c>
      <c r="J1846" s="83">
        <f>IFERROR(INDEX(打卡匯入!$C$3:$C$2002,MATCH($C1846&amp;"|"&amp;DAY($A1846),打卡匯入!$E$3:$E$2002,0)),"")</f>
        <v/>
      </c>
      <c r="K1846" s="83">
        <f>IFERROR(INDEX(打卡匯入!$D$3:$D$2002,MATCH($C1846&amp;"|"&amp;DAY($A1846),打卡匯入!$E$3:$E$2002,0)),"")</f>
        <v/>
      </c>
      <c r="L1846" s="84">
        <f>IF(OR($J1846="",$K1846=""),"",IFERROR(INDEX(設定!$F$6:$F$21,MATCH($G1846,設定!$B$6:$B$21,0)),0))</f>
        <v/>
      </c>
      <c r="M1846" s="85">
        <f>IF(OR($J1846="",$K1846=""),"",ROUND(($K1846-$J1846)*24-$L1846/60,2))</f>
        <v/>
      </c>
      <c r="N1846" s="16">
        <f>IF($C1846="","",IF(AND(COUNTIF(設定!$B$15:$B$21,$G1846)&gt;0,$J1846&lt;&gt;""),"假日出勤",IF(AND(COUNTIF(設定!$B$6:$B$14,$G1846)&gt;0,$J1846=""),"未打卡",IF($J1846="","",IF($O1846&gt;0,"遲到",IF($P1846&gt;0,"早退","正常"))))))</f>
        <v/>
      </c>
      <c r="O1846" s="84">
        <f>IF(OR($C1846="",$H1846="",$J1846=""),0,IF(ROUND(($J1846-$H1846)*1440,0)&gt;設定!$C$46,ROUND(($J1846-$H1846)*1440,0),0))</f>
        <v/>
      </c>
      <c r="P1846" s="84">
        <f>IF(OR($C1846="",$I1846="",$K1846=""),0,IF(ROUND(($I1846-$K1846)*1440,0)&gt;設定!$C$46,ROUND(($I1846-$K1846)*1440,0),0))</f>
        <v/>
      </c>
      <c r="Q1846" s="85">
        <f>IF($M1846="",0,IF(($M1846-IFERROR(INDEX(設定!$G$6:$G$21,MATCH($G1846,設定!$B$6:$B$21,0)),0))*60&gt;=設定!$C$44,ROUND(FLOOR(($M1846-IFERROR(INDEX(設定!$G$6:$G$21,MATCH($G1846,設定!$B$6:$B$21,0)),0))*60,設定!$C$45)/60,2),0))</f>
        <v/>
      </c>
      <c r="R1846" s="16">
        <f>IF(OR($C1846="",$Q1846=0),"",IF($G1846="國","國定假日",IF($B1846="日","例假",IF($B1846="六","休息日","平日"))))</f>
        <v/>
      </c>
      <c r="S1846" s="19" t="n"/>
    </row>
    <row r="1847">
      <c r="A1847" s="82">
        <f>IF(OR(助理班表!$A64="",16&gt;DAY(EOMONTH(DATE(設定!$C$2,設定!$D$2,1),0))),"",DATE(設定!$C$2,設定!$D$2,16))</f>
        <v/>
      </c>
      <c r="B1847" s="16">
        <f>IF($A1847="","",INDEX(設定!$O$6:$O$12,WEEKDAY($A1847,1)))</f>
        <v/>
      </c>
      <c r="C1847" s="16">
        <f>IF($A1847="","",助理班表!$A64)</f>
        <v/>
      </c>
      <c r="D1847" s="16">
        <f>IF($C1847="","",助理班表!$B64)</f>
        <v/>
      </c>
      <c r="E1847" s="16">
        <f>IF($C1847="","",助理班表!$D64)</f>
        <v/>
      </c>
      <c r="F1847" s="16">
        <f>IF($C1847="","",助理班表!$C64)</f>
        <v/>
      </c>
      <c r="G1847" s="16">
        <f>IF($C1847="","",助理班表!T64)</f>
        <v/>
      </c>
      <c r="H1847" s="83">
        <f>IF($G1847="","",IFERROR(IF(INDEX(設定!$D$6:$D$21,MATCH($G1847,設定!$B$6:$B$21,0))=0,"",INDEX(設定!$D$6:$D$21,MATCH($G1847,設定!$B$6:$B$21,0))),""))</f>
        <v/>
      </c>
      <c r="I1847" s="83">
        <f>IF($G1847="","",IFERROR(IF(INDEX(設定!$E$6:$E$21,MATCH($G1847,設定!$B$6:$B$21,0))=0,"",INDEX(設定!$E$6:$E$21,MATCH($G1847,設定!$B$6:$B$21,0))),""))</f>
        <v/>
      </c>
      <c r="J1847" s="83">
        <f>IFERROR(INDEX(打卡匯入!$C$3:$C$2002,MATCH($C1847&amp;"|"&amp;DAY($A1847),打卡匯入!$E$3:$E$2002,0)),"")</f>
        <v/>
      </c>
      <c r="K1847" s="83">
        <f>IFERROR(INDEX(打卡匯入!$D$3:$D$2002,MATCH($C1847&amp;"|"&amp;DAY($A1847),打卡匯入!$E$3:$E$2002,0)),"")</f>
        <v/>
      </c>
      <c r="L1847" s="84">
        <f>IF(OR($J1847="",$K1847=""),"",IFERROR(INDEX(設定!$F$6:$F$21,MATCH($G1847,設定!$B$6:$B$21,0)),0))</f>
        <v/>
      </c>
      <c r="M1847" s="85">
        <f>IF(OR($J1847="",$K1847=""),"",ROUND(($K1847-$J1847)*24-$L1847/60,2))</f>
        <v/>
      </c>
      <c r="N1847" s="16">
        <f>IF($C1847="","",IF(AND(COUNTIF(設定!$B$15:$B$21,$G1847)&gt;0,$J1847&lt;&gt;""),"假日出勤",IF(AND(COUNTIF(設定!$B$6:$B$14,$G1847)&gt;0,$J1847=""),"未打卡",IF($J1847="","",IF($O1847&gt;0,"遲到",IF($P1847&gt;0,"早退","正常"))))))</f>
        <v/>
      </c>
      <c r="O1847" s="84">
        <f>IF(OR($C1847="",$H1847="",$J1847=""),0,IF(ROUND(($J1847-$H1847)*1440,0)&gt;設定!$C$46,ROUND(($J1847-$H1847)*1440,0),0))</f>
        <v/>
      </c>
      <c r="P1847" s="84">
        <f>IF(OR($C1847="",$I1847="",$K1847=""),0,IF(ROUND(($I1847-$K1847)*1440,0)&gt;設定!$C$46,ROUND(($I1847-$K1847)*1440,0),0))</f>
        <v/>
      </c>
      <c r="Q1847" s="85">
        <f>IF($M1847="",0,IF(($M1847-IFERROR(INDEX(設定!$G$6:$G$21,MATCH($G1847,設定!$B$6:$B$21,0)),0))*60&gt;=設定!$C$44,ROUND(FLOOR(($M1847-IFERROR(INDEX(設定!$G$6:$G$21,MATCH($G1847,設定!$B$6:$B$21,0)),0))*60,設定!$C$45)/60,2),0))</f>
        <v/>
      </c>
      <c r="R1847" s="16">
        <f>IF(OR($C1847="",$Q1847=0),"",IF($G1847="國","國定假日",IF($B1847="日","例假",IF($B1847="六","休息日","平日"))))</f>
        <v/>
      </c>
      <c r="S1847" s="19" t="n"/>
    </row>
    <row r="1848">
      <c r="A1848" s="82">
        <f>IF(OR(助理班表!$A64="",17&gt;DAY(EOMONTH(DATE(設定!$C$2,設定!$D$2,1),0))),"",DATE(設定!$C$2,設定!$D$2,17))</f>
        <v/>
      </c>
      <c r="B1848" s="16">
        <f>IF($A1848="","",INDEX(設定!$O$6:$O$12,WEEKDAY($A1848,1)))</f>
        <v/>
      </c>
      <c r="C1848" s="16">
        <f>IF($A1848="","",助理班表!$A64)</f>
        <v/>
      </c>
      <c r="D1848" s="16">
        <f>IF($C1848="","",助理班表!$B64)</f>
        <v/>
      </c>
      <c r="E1848" s="16">
        <f>IF($C1848="","",助理班表!$D64)</f>
        <v/>
      </c>
      <c r="F1848" s="16">
        <f>IF($C1848="","",助理班表!$C64)</f>
        <v/>
      </c>
      <c r="G1848" s="16">
        <f>IF($C1848="","",助理班表!U64)</f>
        <v/>
      </c>
      <c r="H1848" s="83">
        <f>IF($G1848="","",IFERROR(IF(INDEX(設定!$D$6:$D$21,MATCH($G1848,設定!$B$6:$B$21,0))=0,"",INDEX(設定!$D$6:$D$21,MATCH($G1848,設定!$B$6:$B$21,0))),""))</f>
        <v/>
      </c>
      <c r="I1848" s="83">
        <f>IF($G1848="","",IFERROR(IF(INDEX(設定!$E$6:$E$21,MATCH($G1848,設定!$B$6:$B$21,0))=0,"",INDEX(設定!$E$6:$E$21,MATCH($G1848,設定!$B$6:$B$21,0))),""))</f>
        <v/>
      </c>
      <c r="J1848" s="83">
        <f>IFERROR(INDEX(打卡匯入!$C$3:$C$2002,MATCH($C1848&amp;"|"&amp;DAY($A1848),打卡匯入!$E$3:$E$2002,0)),"")</f>
        <v/>
      </c>
      <c r="K1848" s="83">
        <f>IFERROR(INDEX(打卡匯入!$D$3:$D$2002,MATCH($C1848&amp;"|"&amp;DAY($A1848),打卡匯入!$E$3:$E$2002,0)),"")</f>
        <v/>
      </c>
      <c r="L1848" s="84">
        <f>IF(OR($J1848="",$K1848=""),"",IFERROR(INDEX(設定!$F$6:$F$21,MATCH($G1848,設定!$B$6:$B$21,0)),0))</f>
        <v/>
      </c>
      <c r="M1848" s="85">
        <f>IF(OR($J1848="",$K1848=""),"",ROUND(($K1848-$J1848)*24-$L1848/60,2))</f>
        <v/>
      </c>
      <c r="N1848" s="16">
        <f>IF($C1848="","",IF(AND(COUNTIF(設定!$B$15:$B$21,$G1848)&gt;0,$J1848&lt;&gt;""),"假日出勤",IF(AND(COUNTIF(設定!$B$6:$B$14,$G1848)&gt;0,$J1848=""),"未打卡",IF($J1848="","",IF($O1848&gt;0,"遲到",IF($P1848&gt;0,"早退","正常"))))))</f>
        <v/>
      </c>
      <c r="O1848" s="84">
        <f>IF(OR($C1848="",$H1848="",$J1848=""),0,IF(ROUND(($J1848-$H1848)*1440,0)&gt;設定!$C$46,ROUND(($J1848-$H1848)*1440,0),0))</f>
        <v/>
      </c>
      <c r="P1848" s="84">
        <f>IF(OR($C1848="",$I1848="",$K1848=""),0,IF(ROUND(($I1848-$K1848)*1440,0)&gt;設定!$C$46,ROUND(($I1848-$K1848)*1440,0),0))</f>
        <v/>
      </c>
      <c r="Q1848" s="85">
        <f>IF($M1848="",0,IF(($M1848-IFERROR(INDEX(設定!$G$6:$G$21,MATCH($G1848,設定!$B$6:$B$21,0)),0))*60&gt;=設定!$C$44,ROUND(FLOOR(($M1848-IFERROR(INDEX(設定!$G$6:$G$21,MATCH($G1848,設定!$B$6:$B$21,0)),0))*60,設定!$C$45)/60,2),0))</f>
        <v/>
      </c>
      <c r="R1848" s="16">
        <f>IF(OR($C1848="",$Q1848=0),"",IF($G1848="國","國定假日",IF($B1848="日","例假",IF($B1848="六","休息日","平日"))))</f>
        <v/>
      </c>
      <c r="S1848" s="19" t="n"/>
    </row>
    <row r="1849">
      <c r="A1849" s="82">
        <f>IF(OR(助理班表!$A64="",18&gt;DAY(EOMONTH(DATE(設定!$C$2,設定!$D$2,1),0))),"",DATE(設定!$C$2,設定!$D$2,18))</f>
        <v/>
      </c>
      <c r="B1849" s="16">
        <f>IF($A1849="","",INDEX(設定!$O$6:$O$12,WEEKDAY($A1849,1)))</f>
        <v/>
      </c>
      <c r="C1849" s="16">
        <f>IF($A1849="","",助理班表!$A64)</f>
        <v/>
      </c>
      <c r="D1849" s="16">
        <f>IF($C1849="","",助理班表!$B64)</f>
        <v/>
      </c>
      <c r="E1849" s="16">
        <f>IF($C1849="","",助理班表!$D64)</f>
        <v/>
      </c>
      <c r="F1849" s="16">
        <f>IF($C1849="","",助理班表!$C64)</f>
        <v/>
      </c>
      <c r="G1849" s="16">
        <f>IF($C1849="","",助理班表!V64)</f>
        <v/>
      </c>
      <c r="H1849" s="83">
        <f>IF($G1849="","",IFERROR(IF(INDEX(設定!$D$6:$D$21,MATCH($G1849,設定!$B$6:$B$21,0))=0,"",INDEX(設定!$D$6:$D$21,MATCH($G1849,設定!$B$6:$B$21,0))),""))</f>
        <v/>
      </c>
      <c r="I1849" s="83">
        <f>IF($G1849="","",IFERROR(IF(INDEX(設定!$E$6:$E$21,MATCH($G1849,設定!$B$6:$B$21,0))=0,"",INDEX(設定!$E$6:$E$21,MATCH($G1849,設定!$B$6:$B$21,0))),""))</f>
        <v/>
      </c>
      <c r="J1849" s="83">
        <f>IFERROR(INDEX(打卡匯入!$C$3:$C$2002,MATCH($C1849&amp;"|"&amp;DAY($A1849),打卡匯入!$E$3:$E$2002,0)),"")</f>
        <v/>
      </c>
      <c r="K1849" s="83">
        <f>IFERROR(INDEX(打卡匯入!$D$3:$D$2002,MATCH($C1849&amp;"|"&amp;DAY($A1849),打卡匯入!$E$3:$E$2002,0)),"")</f>
        <v/>
      </c>
      <c r="L1849" s="84">
        <f>IF(OR($J1849="",$K1849=""),"",IFERROR(INDEX(設定!$F$6:$F$21,MATCH($G1849,設定!$B$6:$B$21,0)),0))</f>
        <v/>
      </c>
      <c r="M1849" s="85">
        <f>IF(OR($J1849="",$K1849=""),"",ROUND(($K1849-$J1849)*24-$L1849/60,2))</f>
        <v/>
      </c>
      <c r="N1849" s="16">
        <f>IF($C1849="","",IF(AND(COUNTIF(設定!$B$15:$B$21,$G1849)&gt;0,$J1849&lt;&gt;""),"假日出勤",IF(AND(COUNTIF(設定!$B$6:$B$14,$G1849)&gt;0,$J1849=""),"未打卡",IF($J1849="","",IF($O1849&gt;0,"遲到",IF($P1849&gt;0,"早退","正常"))))))</f>
        <v/>
      </c>
      <c r="O1849" s="84">
        <f>IF(OR($C1849="",$H1849="",$J1849=""),0,IF(ROUND(($J1849-$H1849)*1440,0)&gt;設定!$C$46,ROUND(($J1849-$H1849)*1440,0),0))</f>
        <v/>
      </c>
      <c r="P1849" s="84">
        <f>IF(OR($C1849="",$I1849="",$K1849=""),0,IF(ROUND(($I1849-$K1849)*1440,0)&gt;設定!$C$46,ROUND(($I1849-$K1849)*1440,0),0))</f>
        <v/>
      </c>
      <c r="Q1849" s="85">
        <f>IF($M1849="",0,IF(($M1849-IFERROR(INDEX(設定!$G$6:$G$21,MATCH($G1849,設定!$B$6:$B$21,0)),0))*60&gt;=設定!$C$44,ROUND(FLOOR(($M1849-IFERROR(INDEX(設定!$G$6:$G$21,MATCH($G1849,設定!$B$6:$B$21,0)),0))*60,設定!$C$45)/60,2),0))</f>
        <v/>
      </c>
      <c r="R1849" s="16">
        <f>IF(OR($C1849="",$Q1849=0),"",IF($G1849="國","國定假日",IF($B1849="日","例假",IF($B1849="六","休息日","平日"))))</f>
        <v/>
      </c>
      <c r="S1849" s="19" t="n"/>
    </row>
    <row r="1850">
      <c r="A1850" s="82">
        <f>IF(OR(助理班表!$A64="",19&gt;DAY(EOMONTH(DATE(設定!$C$2,設定!$D$2,1),0))),"",DATE(設定!$C$2,設定!$D$2,19))</f>
        <v/>
      </c>
      <c r="B1850" s="16">
        <f>IF($A1850="","",INDEX(設定!$O$6:$O$12,WEEKDAY($A1850,1)))</f>
        <v/>
      </c>
      <c r="C1850" s="16">
        <f>IF($A1850="","",助理班表!$A64)</f>
        <v/>
      </c>
      <c r="D1850" s="16">
        <f>IF($C1850="","",助理班表!$B64)</f>
        <v/>
      </c>
      <c r="E1850" s="16">
        <f>IF($C1850="","",助理班表!$D64)</f>
        <v/>
      </c>
      <c r="F1850" s="16">
        <f>IF($C1850="","",助理班表!$C64)</f>
        <v/>
      </c>
      <c r="G1850" s="16">
        <f>IF($C1850="","",助理班表!W64)</f>
        <v/>
      </c>
      <c r="H1850" s="83">
        <f>IF($G1850="","",IFERROR(IF(INDEX(設定!$D$6:$D$21,MATCH($G1850,設定!$B$6:$B$21,0))=0,"",INDEX(設定!$D$6:$D$21,MATCH($G1850,設定!$B$6:$B$21,0))),""))</f>
        <v/>
      </c>
      <c r="I1850" s="83">
        <f>IF($G1850="","",IFERROR(IF(INDEX(設定!$E$6:$E$21,MATCH($G1850,設定!$B$6:$B$21,0))=0,"",INDEX(設定!$E$6:$E$21,MATCH($G1850,設定!$B$6:$B$21,0))),""))</f>
        <v/>
      </c>
      <c r="J1850" s="83">
        <f>IFERROR(INDEX(打卡匯入!$C$3:$C$2002,MATCH($C1850&amp;"|"&amp;DAY($A1850),打卡匯入!$E$3:$E$2002,0)),"")</f>
        <v/>
      </c>
      <c r="K1850" s="83">
        <f>IFERROR(INDEX(打卡匯入!$D$3:$D$2002,MATCH($C1850&amp;"|"&amp;DAY($A1850),打卡匯入!$E$3:$E$2002,0)),"")</f>
        <v/>
      </c>
      <c r="L1850" s="84">
        <f>IF(OR($J1850="",$K1850=""),"",IFERROR(INDEX(設定!$F$6:$F$21,MATCH($G1850,設定!$B$6:$B$21,0)),0))</f>
        <v/>
      </c>
      <c r="M1850" s="85">
        <f>IF(OR($J1850="",$K1850=""),"",ROUND(($K1850-$J1850)*24-$L1850/60,2))</f>
        <v/>
      </c>
      <c r="N1850" s="16">
        <f>IF($C1850="","",IF(AND(COUNTIF(設定!$B$15:$B$21,$G1850)&gt;0,$J1850&lt;&gt;""),"假日出勤",IF(AND(COUNTIF(設定!$B$6:$B$14,$G1850)&gt;0,$J1850=""),"未打卡",IF($J1850="","",IF($O1850&gt;0,"遲到",IF($P1850&gt;0,"早退","正常"))))))</f>
        <v/>
      </c>
      <c r="O1850" s="84">
        <f>IF(OR($C1850="",$H1850="",$J1850=""),0,IF(ROUND(($J1850-$H1850)*1440,0)&gt;設定!$C$46,ROUND(($J1850-$H1850)*1440,0),0))</f>
        <v/>
      </c>
      <c r="P1850" s="84">
        <f>IF(OR($C1850="",$I1850="",$K1850=""),0,IF(ROUND(($I1850-$K1850)*1440,0)&gt;設定!$C$46,ROUND(($I1850-$K1850)*1440,0),0))</f>
        <v/>
      </c>
      <c r="Q1850" s="85">
        <f>IF($M1850="",0,IF(($M1850-IFERROR(INDEX(設定!$G$6:$G$21,MATCH($G1850,設定!$B$6:$B$21,0)),0))*60&gt;=設定!$C$44,ROUND(FLOOR(($M1850-IFERROR(INDEX(設定!$G$6:$G$21,MATCH($G1850,設定!$B$6:$B$21,0)),0))*60,設定!$C$45)/60,2),0))</f>
        <v/>
      </c>
      <c r="R1850" s="16">
        <f>IF(OR($C1850="",$Q1850=0),"",IF($G1850="國","國定假日",IF($B1850="日","例假",IF($B1850="六","休息日","平日"))))</f>
        <v/>
      </c>
      <c r="S1850" s="19" t="n"/>
    </row>
    <row r="1851">
      <c r="A1851" s="82">
        <f>IF(OR(助理班表!$A64="",20&gt;DAY(EOMONTH(DATE(設定!$C$2,設定!$D$2,1),0))),"",DATE(設定!$C$2,設定!$D$2,20))</f>
        <v/>
      </c>
      <c r="B1851" s="16">
        <f>IF($A1851="","",INDEX(設定!$O$6:$O$12,WEEKDAY($A1851,1)))</f>
        <v/>
      </c>
      <c r="C1851" s="16">
        <f>IF($A1851="","",助理班表!$A64)</f>
        <v/>
      </c>
      <c r="D1851" s="16">
        <f>IF($C1851="","",助理班表!$B64)</f>
        <v/>
      </c>
      <c r="E1851" s="16">
        <f>IF($C1851="","",助理班表!$D64)</f>
        <v/>
      </c>
      <c r="F1851" s="16">
        <f>IF($C1851="","",助理班表!$C64)</f>
        <v/>
      </c>
      <c r="G1851" s="16">
        <f>IF($C1851="","",助理班表!X64)</f>
        <v/>
      </c>
      <c r="H1851" s="83">
        <f>IF($G1851="","",IFERROR(IF(INDEX(設定!$D$6:$D$21,MATCH($G1851,設定!$B$6:$B$21,0))=0,"",INDEX(設定!$D$6:$D$21,MATCH($G1851,設定!$B$6:$B$21,0))),""))</f>
        <v/>
      </c>
      <c r="I1851" s="83">
        <f>IF($G1851="","",IFERROR(IF(INDEX(設定!$E$6:$E$21,MATCH($G1851,設定!$B$6:$B$21,0))=0,"",INDEX(設定!$E$6:$E$21,MATCH($G1851,設定!$B$6:$B$21,0))),""))</f>
        <v/>
      </c>
      <c r="J1851" s="83">
        <f>IFERROR(INDEX(打卡匯入!$C$3:$C$2002,MATCH($C1851&amp;"|"&amp;DAY($A1851),打卡匯入!$E$3:$E$2002,0)),"")</f>
        <v/>
      </c>
      <c r="K1851" s="83">
        <f>IFERROR(INDEX(打卡匯入!$D$3:$D$2002,MATCH($C1851&amp;"|"&amp;DAY($A1851),打卡匯入!$E$3:$E$2002,0)),"")</f>
        <v/>
      </c>
      <c r="L1851" s="84">
        <f>IF(OR($J1851="",$K1851=""),"",IFERROR(INDEX(設定!$F$6:$F$21,MATCH($G1851,設定!$B$6:$B$21,0)),0))</f>
        <v/>
      </c>
      <c r="M1851" s="85">
        <f>IF(OR($J1851="",$K1851=""),"",ROUND(($K1851-$J1851)*24-$L1851/60,2))</f>
        <v/>
      </c>
      <c r="N1851" s="16">
        <f>IF($C1851="","",IF(AND(COUNTIF(設定!$B$15:$B$21,$G1851)&gt;0,$J1851&lt;&gt;""),"假日出勤",IF(AND(COUNTIF(設定!$B$6:$B$14,$G1851)&gt;0,$J1851=""),"未打卡",IF($J1851="","",IF($O1851&gt;0,"遲到",IF($P1851&gt;0,"早退","正常"))))))</f>
        <v/>
      </c>
      <c r="O1851" s="84">
        <f>IF(OR($C1851="",$H1851="",$J1851=""),0,IF(ROUND(($J1851-$H1851)*1440,0)&gt;設定!$C$46,ROUND(($J1851-$H1851)*1440,0),0))</f>
        <v/>
      </c>
      <c r="P1851" s="84">
        <f>IF(OR($C1851="",$I1851="",$K1851=""),0,IF(ROUND(($I1851-$K1851)*1440,0)&gt;設定!$C$46,ROUND(($I1851-$K1851)*1440,0),0))</f>
        <v/>
      </c>
      <c r="Q1851" s="85">
        <f>IF($M1851="",0,IF(($M1851-IFERROR(INDEX(設定!$G$6:$G$21,MATCH($G1851,設定!$B$6:$B$21,0)),0))*60&gt;=設定!$C$44,ROUND(FLOOR(($M1851-IFERROR(INDEX(設定!$G$6:$G$21,MATCH($G1851,設定!$B$6:$B$21,0)),0))*60,設定!$C$45)/60,2),0))</f>
        <v/>
      </c>
      <c r="R1851" s="16">
        <f>IF(OR($C1851="",$Q1851=0),"",IF($G1851="國","國定假日",IF($B1851="日","例假",IF($B1851="六","休息日","平日"))))</f>
        <v/>
      </c>
      <c r="S1851" s="19" t="n"/>
    </row>
    <row r="1852">
      <c r="A1852" s="82">
        <f>IF(OR(助理班表!$A64="",21&gt;DAY(EOMONTH(DATE(設定!$C$2,設定!$D$2,1),0))),"",DATE(設定!$C$2,設定!$D$2,21))</f>
        <v/>
      </c>
      <c r="B1852" s="16">
        <f>IF($A1852="","",INDEX(設定!$O$6:$O$12,WEEKDAY($A1852,1)))</f>
        <v/>
      </c>
      <c r="C1852" s="16">
        <f>IF($A1852="","",助理班表!$A64)</f>
        <v/>
      </c>
      <c r="D1852" s="16">
        <f>IF($C1852="","",助理班表!$B64)</f>
        <v/>
      </c>
      <c r="E1852" s="16">
        <f>IF($C1852="","",助理班表!$D64)</f>
        <v/>
      </c>
      <c r="F1852" s="16">
        <f>IF($C1852="","",助理班表!$C64)</f>
        <v/>
      </c>
      <c r="G1852" s="16">
        <f>IF($C1852="","",助理班表!Y64)</f>
        <v/>
      </c>
      <c r="H1852" s="83">
        <f>IF($G1852="","",IFERROR(IF(INDEX(設定!$D$6:$D$21,MATCH($G1852,設定!$B$6:$B$21,0))=0,"",INDEX(設定!$D$6:$D$21,MATCH($G1852,設定!$B$6:$B$21,0))),""))</f>
        <v/>
      </c>
      <c r="I1852" s="83">
        <f>IF($G1852="","",IFERROR(IF(INDEX(設定!$E$6:$E$21,MATCH($G1852,設定!$B$6:$B$21,0))=0,"",INDEX(設定!$E$6:$E$21,MATCH($G1852,設定!$B$6:$B$21,0))),""))</f>
        <v/>
      </c>
      <c r="J1852" s="83">
        <f>IFERROR(INDEX(打卡匯入!$C$3:$C$2002,MATCH($C1852&amp;"|"&amp;DAY($A1852),打卡匯入!$E$3:$E$2002,0)),"")</f>
        <v/>
      </c>
      <c r="K1852" s="83">
        <f>IFERROR(INDEX(打卡匯入!$D$3:$D$2002,MATCH($C1852&amp;"|"&amp;DAY($A1852),打卡匯入!$E$3:$E$2002,0)),"")</f>
        <v/>
      </c>
      <c r="L1852" s="84">
        <f>IF(OR($J1852="",$K1852=""),"",IFERROR(INDEX(設定!$F$6:$F$21,MATCH($G1852,設定!$B$6:$B$21,0)),0))</f>
        <v/>
      </c>
      <c r="M1852" s="85">
        <f>IF(OR($J1852="",$K1852=""),"",ROUND(($K1852-$J1852)*24-$L1852/60,2))</f>
        <v/>
      </c>
      <c r="N1852" s="16">
        <f>IF($C1852="","",IF(AND(COUNTIF(設定!$B$15:$B$21,$G1852)&gt;0,$J1852&lt;&gt;""),"假日出勤",IF(AND(COUNTIF(設定!$B$6:$B$14,$G1852)&gt;0,$J1852=""),"未打卡",IF($J1852="","",IF($O1852&gt;0,"遲到",IF($P1852&gt;0,"早退","正常"))))))</f>
        <v/>
      </c>
      <c r="O1852" s="84">
        <f>IF(OR($C1852="",$H1852="",$J1852=""),0,IF(ROUND(($J1852-$H1852)*1440,0)&gt;設定!$C$46,ROUND(($J1852-$H1852)*1440,0),0))</f>
        <v/>
      </c>
      <c r="P1852" s="84">
        <f>IF(OR($C1852="",$I1852="",$K1852=""),0,IF(ROUND(($I1852-$K1852)*1440,0)&gt;設定!$C$46,ROUND(($I1852-$K1852)*1440,0),0))</f>
        <v/>
      </c>
      <c r="Q1852" s="85">
        <f>IF($M1852="",0,IF(($M1852-IFERROR(INDEX(設定!$G$6:$G$21,MATCH($G1852,設定!$B$6:$B$21,0)),0))*60&gt;=設定!$C$44,ROUND(FLOOR(($M1852-IFERROR(INDEX(設定!$G$6:$G$21,MATCH($G1852,設定!$B$6:$B$21,0)),0))*60,設定!$C$45)/60,2),0))</f>
        <v/>
      </c>
      <c r="R1852" s="16">
        <f>IF(OR($C1852="",$Q1852=0),"",IF($G1852="國","國定假日",IF($B1852="日","例假",IF($B1852="六","休息日","平日"))))</f>
        <v/>
      </c>
      <c r="S1852" s="19" t="n"/>
    </row>
    <row r="1853">
      <c r="A1853" s="82">
        <f>IF(OR(助理班表!$A64="",22&gt;DAY(EOMONTH(DATE(設定!$C$2,設定!$D$2,1),0))),"",DATE(設定!$C$2,設定!$D$2,22))</f>
        <v/>
      </c>
      <c r="B1853" s="16">
        <f>IF($A1853="","",INDEX(設定!$O$6:$O$12,WEEKDAY($A1853,1)))</f>
        <v/>
      </c>
      <c r="C1853" s="16">
        <f>IF($A1853="","",助理班表!$A64)</f>
        <v/>
      </c>
      <c r="D1853" s="16">
        <f>IF($C1853="","",助理班表!$B64)</f>
        <v/>
      </c>
      <c r="E1853" s="16">
        <f>IF($C1853="","",助理班表!$D64)</f>
        <v/>
      </c>
      <c r="F1853" s="16">
        <f>IF($C1853="","",助理班表!$C64)</f>
        <v/>
      </c>
      <c r="G1853" s="16">
        <f>IF($C1853="","",助理班表!Z64)</f>
        <v/>
      </c>
      <c r="H1853" s="83">
        <f>IF($G1853="","",IFERROR(IF(INDEX(設定!$D$6:$D$21,MATCH($G1853,設定!$B$6:$B$21,0))=0,"",INDEX(設定!$D$6:$D$21,MATCH($G1853,設定!$B$6:$B$21,0))),""))</f>
        <v/>
      </c>
      <c r="I1853" s="83">
        <f>IF($G1853="","",IFERROR(IF(INDEX(設定!$E$6:$E$21,MATCH($G1853,設定!$B$6:$B$21,0))=0,"",INDEX(設定!$E$6:$E$21,MATCH($G1853,設定!$B$6:$B$21,0))),""))</f>
        <v/>
      </c>
      <c r="J1853" s="83">
        <f>IFERROR(INDEX(打卡匯入!$C$3:$C$2002,MATCH($C1853&amp;"|"&amp;DAY($A1853),打卡匯入!$E$3:$E$2002,0)),"")</f>
        <v/>
      </c>
      <c r="K1853" s="83">
        <f>IFERROR(INDEX(打卡匯入!$D$3:$D$2002,MATCH($C1853&amp;"|"&amp;DAY($A1853),打卡匯入!$E$3:$E$2002,0)),"")</f>
        <v/>
      </c>
      <c r="L1853" s="84">
        <f>IF(OR($J1853="",$K1853=""),"",IFERROR(INDEX(設定!$F$6:$F$21,MATCH($G1853,設定!$B$6:$B$21,0)),0))</f>
        <v/>
      </c>
      <c r="M1853" s="85">
        <f>IF(OR($J1853="",$K1853=""),"",ROUND(($K1853-$J1853)*24-$L1853/60,2))</f>
        <v/>
      </c>
      <c r="N1853" s="16">
        <f>IF($C1853="","",IF(AND(COUNTIF(設定!$B$15:$B$21,$G1853)&gt;0,$J1853&lt;&gt;""),"假日出勤",IF(AND(COUNTIF(設定!$B$6:$B$14,$G1853)&gt;0,$J1853=""),"未打卡",IF($J1853="","",IF($O1853&gt;0,"遲到",IF($P1853&gt;0,"早退","正常"))))))</f>
        <v/>
      </c>
      <c r="O1853" s="84">
        <f>IF(OR($C1853="",$H1853="",$J1853=""),0,IF(ROUND(($J1853-$H1853)*1440,0)&gt;設定!$C$46,ROUND(($J1853-$H1853)*1440,0),0))</f>
        <v/>
      </c>
      <c r="P1853" s="84">
        <f>IF(OR($C1853="",$I1853="",$K1853=""),0,IF(ROUND(($I1853-$K1853)*1440,0)&gt;設定!$C$46,ROUND(($I1853-$K1853)*1440,0),0))</f>
        <v/>
      </c>
      <c r="Q1853" s="85">
        <f>IF($M1853="",0,IF(($M1853-IFERROR(INDEX(設定!$G$6:$G$21,MATCH($G1853,設定!$B$6:$B$21,0)),0))*60&gt;=設定!$C$44,ROUND(FLOOR(($M1853-IFERROR(INDEX(設定!$G$6:$G$21,MATCH($G1853,設定!$B$6:$B$21,0)),0))*60,設定!$C$45)/60,2),0))</f>
        <v/>
      </c>
      <c r="R1853" s="16">
        <f>IF(OR($C1853="",$Q1853=0),"",IF($G1853="國","國定假日",IF($B1853="日","例假",IF($B1853="六","休息日","平日"))))</f>
        <v/>
      </c>
      <c r="S1853" s="19" t="n"/>
    </row>
    <row r="1854">
      <c r="A1854" s="82">
        <f>IF(OR(助理班表!$A64="",23&gt;DAY(EOMONTH(DATE(設定!$C$2,設定!$D$2,1),0))),"",DATE(設定!$C$2,設定!$D$2,23))</f>
        <v/>
      </c>
      <c r="B1854" s="16">
        <f>IF($A1854="","",INDEX(設定!$O$6:$O$12,WEEKDAY($A1854,1)))</f>
        <v/>
      </c>
      <c r="C1854" s="16">
        <f>IF($A1854="","",助理班表!$A64)</f>
        <v/>
      </c>
      <c r="D1854" s="16">
        <f>IF($C1854="","",助理班表!$B64)</f>
        <v/>
      </c>
      <c r="E1854" s="16">
        <f>IF($C1854="","",助理班表!$D64)</f>
        <v/>
      </c>
      <c r="F1854" s="16">
        <f>IF($C1854="","",助理班表!$C64)</f>
        <v/>
      </c>
      <c r="G1854" s="16">
        <f>IF($C1854="","",助理班表!AA64)</f>
        <v/>
      </c>
      <c r="H1854" s="83">
        <f>IF($G1854="","",IFERROR(IF(INDEX(設定!$D$6:$D$21,MATCH($G1854,設定!$B$6:$B$21,0))=0,"",INDEX(設定!$D$6:$D$21,MATCH($G1854,設定!$B$6:$B$21,0))),""))</f>
        <v/>
      </c>
      <c r="I1854" s="83">
        <f>IF($G1854="","",IFERROR(IF(INDEX(設定!$E$6:$E$21,MATCH($G1854,設定!$B$6:$B$21,0))=0,"",INDEX(設定!$E$6:$E$21,MATCH($G1854,設定!$B$6:$B$21,0))),""))</f>
        <v/>
      </c>
      <c r="J1854" s="83">
        <f>IFERROR(INDEX(打卡匯入!$C$3:$C$2002,MATCH($C1854&amp;"|"&amp;DAY($A1854),打卡匯入!$E$3:$E$2002,0)),"")</f>
        <v/>
      </c>
      <c r="K1854" s="83">
        <f>IFERROR(INDEX(打卡匯入!$D$3:$D$2002,MATCH($C1854&amp;"|"&amp;DAY($A1854),打卡匯入!$E$3:$E$2002,0)),"")</f>
        <v/>
      </c>
      <c r="L1854" s="84">
        <f>IF(OR($J1854="",$K1854=""),"",IFERROR(INDEX(設定!$F$6:$F$21,MATCH($G1854,設定!$B$6:$B$21,0)),0))</f>
        <v/>
      </c>
      <c r="M1854" s="85">
        <f>IF(OR($J1854="",$K1854=""),"",ROUND(($K1854-$J1854)*24-$L1854/60,2))</f>
        <v/>
      </c>
      <c r="N1854" s="16">
        <f>IF($C1854="","",IF(AND(COUNTIF(設定!$B$15:$B$21,$G1854)&gt;0,$J1854&lt;&gt;""),"假日出勤",IF(AND(COUNTIF(設定!$B$6:$B$14,$G1854)&gt;0,$J1854=""),"未打卡",IF($J1854="","",IF($O1854&gt;0,"遲到",IF($P1854&gt;0,"早退","正常"))))))</f>
        <v/>
      </c>
      <c r="O1854" s="84">
        <f>IF(OR($C1854="",$H1854="",$J1854=""),0,IF(ROUND(($J1854-$H1854)*1440,0)&gt;設定!$C$46,ROUND(($J1854-$H1854)*1440,0),0))</f>
        <v/>
      </c>
      <c r="P1854" s="84">
        <f>IF(OR($C1854="",$I1854="",$K1854=""),0,IF(ROUND(($I1854-$K1854)*1440,0)&gt;設定!$C$46,ROUND(($I1854-$K1854)*1440,0),0))</f>
        <v/>
      </c>
      <c r="Q1854" s="85">
        <f>IF($M1854="",0,IF(($M1854-IFERROR(INDEX(設定!$G$6:$G$21,MATCH($G1854,設定!$B$6:$B$21,0)),0))*60&gt;=設定!$C$44,ROUND(FLOOR(($M1854-IFERROR(INDEX(設定!$G$6:$G$21,MATCH($G1854,設定!$B$6:$B$21,0)),0))*60,設定!$C$45)/60,2),0))</f>
        <v/>
      </c>
      <c r="R1854" s="16">
        <f>IF(OR($C1854="",$Q1854=0),"",IF($G1854="國","國定假日",IF($B1854="日","例假",IF($B1854="六","休息日","平日"))))</f>
        <v/>
      </c>
      <c r="S1854" s="19" t="n"/>
    </row>
    <row r="1855">
      <c r="A1855" s="82">
        <f>IF(OR(助理班表!$A64="",24&gt;DAY(EOMONTH(DATE(設定!$C$2,設定!$D$2,1),0))),"",DATE(設定!$C$2,設定!$D$2,24))</f>
        <v/>
      </c>
      <c r="B1855" s="16">
        <f>IF($A1855="","",INDEX(設定!$O$6:$O$12,WEEKDAY($A1855,1)))</f>
        <v/>
      </c>
      <c r="C1855" s="16">
        <f>IF($A1855="","",助理班表!$A64)</f>
        <v/>
      </c>
      <c r="D1855" s="16">
        <f>IF($C1855="","",助理班表!$B64)</f>
        <v/>
      </c>
      <c r="E1855" s="16">
        <f>IF($C1855="","",助理班表!$D64)</f>
        <v/>
      </c>
      <c r="F1855" s="16">
        <f>IF($C1855="","",助理班表!$C64)</f>
        <v/>
      </c>
      <c r="G1855" s="16">
        <f>IF($C1855="","",助理班表!AB64)</f>
        <v/>
      </c>
      <c r="H1855" s="83">
        <f>IF($G1855="","",IFERROR(IF(INDEX(設定!$D$6:$D$21,MATCH($G1855,設定!$B$6:$B$21,0))=0,"",INDEX(設定!$D$6:$D$21,MATCH($G1855,設定!$B$6:$B$21,0))),""))</f>
        <v/>
      </c>
      <c r="I1855" s="83">
        <f>IF($G1855="","",IFERROR(IF(INDEX(設定!$E$6:$E$21,MATCH($G1855,設定!$B$6:$B$21,0))=0,"",INDEX(設定!$E$6:$E$21,MATCH($G1855,設定!$B$6:$B$21,0))),""))</f>
        <v/>
      </c>
      <c r="J1855" s="83">
        <f>IFERROR(INDEX(打卡匯入!$C$3:$C$2002,MATCH($C1855&amp;"|"&amp;DAY($A1855),打卡匯入!$E$3:$E$2002,0)),"")</f>
        <v/>
      </c>
      <c r="K1855" s="83">
        <f>IFERROR(INDEX(打卡匯入!$D$3:$D$2002,MATCH($C1855&amp;"|"&amp;DAY($A1855),打卡匯入!$E$3:$E$2002,0)),"")</f>
        <v/>
      </c>
      <c r="L1855" s="84">
        <f>IF(OR($J1855="",$K1855=""),"",IFERROR(INDEX(設定!$F$6:$F$21,MATCH($G1855,設定!$B$6:$B$21,0)),0))</f>
        <v/>
      </c>
      <c r="M1855" s="85">
        <f>IF(OR($J1855="",$K1855=""),"",ROUND(($K1855-$J1855)*24-$L1855/60,2))</f>
        <v/>
      </c>
      <c r="N1855" s="16">
        <f>IF($C1855="","",IF(AND(COUNTIF(設定!$B$15:$B$21,$G1855)&gt;0,$J1855&lt;&gt;""),"假日出勤",IF(AND(COUNTIF(設定!$B$6:$B$14,$G1855)&gt;0,$J1855=""),"未打卡",IF($J1855="","",IF($O1855&gt;0,"遲到",IF($P1855&gt;0,"早退","正常"))))))</f>
        <v/>
      </c>
      <c r="O1855" s="84">
        <f>IF(OR($C1855="",$H1855="",$J1855=""),0,IF(ROUND(($J1855-$H1855)*1440,0)&gt;設定!$C$46,ROUND(($J1855-$H1855)*1440,0),0))</f>
        <v/>
      </c>
      <c r="P1855" s="84">
        <f>IF(OR($C1855="",$I1855="",$K1855=""),0,IF(ROUND(($I1855-$K1855)*1440,0)&gt;設定!$C$46,ROUND(($I1855-$K1855)*1440,0),0))</f>
        <v/>
      </c>
      <c r="Q1855" s="85">
        <f>IF($M1855="",0,IF(($M1855-IFERROR(INDEX(設定!$G$6:$G$21,MATCH($G1855,設定!$B$6:$B$21,0)),0))*60&gt;=設定!$C$44,ROUND(FLOOR(($M1855-IFERROR(INDEX(設定!$G$6:$G$21,MATCH($G1855,設定!$B$6:$B$21,0)),0))*60,設定!$C$45)/60,2),0))</f>
        <v/>
      </c>
      <c r="R1855" s="16">
        <f>IF(OR($C1855="",$Q1855=0),"",IF($G1855="國","國定假日",IF($B1855="日","例假",IF($B1855="六","休息日","平日"))))</f>
        <v/>
      </c>
      <c r="S1855" s="19" t="n"/>
    </row>
    <row r="1856">
      <c r="A1856" s="82">
        <f>IF(OR(助理班表!$A64="",25&gt;DAY(EOMONTH(DATE(設定!$C$2,設定!$D$2,1),0))),"",DATE(設定!$C$2,設定!$D$2,25))</f>
        <v/>
      </c>
      <c r="B1856" s="16">
        <f>IF($A1856="","",INDEX(設定!$O$6:$O$12,WEEKDAY($A1856,1)))</f>
        <v/>
      </c>
      <c r="C1856" s="16">
        <f>IF($A1856="","",助理班表!$A64)</f>
        <v/>
      </c>
      <c r="D1856" s="16">
        <f>IF($C1856="","",助理班表!$B64)</f>
        <v/>
      </c>
      <c r="E1856" s="16">
        <f>IF($C1856="","",助理班表!$D64)</f>
        <v/>
      </c>
      <c r="F1856" s="16">
        <f>IF($C1856="","",助理班表!$C64)</f>
        <v/>
      </c>
      <c r="G1856" s="16">
        <f>IF($C1856="","",助理班表!AC64)</f>
        <v/>
      </c>
      <c r="H1856" s="83">
        <f>IF($G1856="","",IFERROR(IF(INDEX(設定!$D$6:$D$21,MATCH($G1856,設定!$B$6:$B$21,0))=0,"",INDEX(設定!$D$6:$D$21,MATCH($G1856,設定!$B$6:$B$21,0))),""))</f>
        <v/>
      </c>
      <c r="I1856" s="83">
        <f>IF($G1856="","",IFERROR(IF(INDEX(設定!$E$6:$E$21,MATCH($G1856,設定!$B$6:$B$21,0))=0,"",INDEX(設定!$E$6:$E$21,MATCH($G1856,設定!$B$6:$B$21,0))),""))</f>
        <v/>
      </c>
      <c r="J1856" s="83">
        <f>IFERROR(INDEX(打卡匯入!$C$3:$C$2002,MATCH($C1856&amp;"|"&amp;DAY($A1856),打卡匯入!$E$3:$E$2002,0)),"")</f>
        <v/>
      </c>
      <c r="K1856" s="83">
        <f>IFERROR(INDEX(打卡匯入!$D$3:$D$2002,MATCH($C1856&amp;"|"&amp;DAY($A1856),打卡匯入!$E$3:$E$2002,0)),"")</f>
        <v/>
      </c>
      <c r="L1856" s="84">
        <f>IF(OR($J1856="",$K1856=""),"",IFERROR(INDEX(設定!$F$6:$F$21,MATCH($G1856,設定!$B$6:$B$21,0)),0))</f>
        <v/>
      </c>
      <c r="M1856" s="85">
        <f>IF(OR($J1856="",$K1856=""),"",ROUND(($K1856-$J1856)*24-$L1856/60,2))</f>
        <v/>
      </c>
      <c r="N1856" s="16">
        <f>IF($C1856="","",IF(AND(COUNTIF(設定!$B$15:$B$21,$G1856)&gt;0,$J1856&lt;&gt;""),"假日出勤",IF(AND(COUNTIF(設定!$B$6:$B$14,$G1856)&gt;0,$J1856=""),"未打卡",IF($J1856="","",IF($O1856&gt;0,"遲到",IF($P1856&gt;0,"早退","正常"))))))</f>
        <v/>
      </c>
      <c r="O1856" s="84">
        <f>IF(OR($C1856="",$H1856="",$J1856=""),0,IF(ROUND(($J1856-$H1856)*1440,0)&gt;設定!$C$46,ROUND(($J1856-$H1856)*1440,0),0))</f>
        <v/>
      </c>
      <c r="P1856" s="84">
        <f>IF(OR($C1856="",$I1856="",$K1856=""),0,IF(ROUND(($I1856-$K1856)*1440,0)&gt;設定!$C$46,ROUND(($I1856-$K1856)*1440,0),0))</f>
        <v/>
      </c>
      <c r="Q1856" s="85">
        <f>IF($M1856="",0,IF(($M1856-IFERROR(INDEX(設定!$G$6:$G$21,MATCH($G1856,設定!$B$6:$B$21,0)),0))*60&gt;=設定!$C$44,ROUND(FLOOR(($M1856-IFERROR(INDEX(設定!$G$6:$G$21,MATCH($G1856,設定!$B$6:$B$21,0)),0))*60,設定!$C$45)/60,2),0))</f>
        <v/>
      </c>
      <c r="R1856" s="16">
        <f>IF(OR($C1856="",$Q1856=0),"",IF($G1856="國","國定假日",IF($B1856="日","例假",IF($B1856="六","休息日","平日"))))</f>
        <v/>
      </c>
      <c r="S1856" s="19" t="n"/>
    </row>
    <row r="1857">
      <c r="A1857" s="82">
        <f>IF(OR(助理班表!$A64="",26&gt;DAY(EOMONTH(DATE(設定!$C$2,設定!$D$2,1),0))),"",DATE(設定!$C$2,設定!$D$2,26))</f>
        <v/>
      </c>
      <c r="B1857" s="16">
        <f>IF($A1857="","",INDEX(設定!$O$6:$O$12,WEEKDAY($A1857,1)))</f>
        <v/>
      </c>
      <c r="C1857" s="16">
        <f>IF($A1857="","",助理班表!$A64)</f>
        <v/>
      </c>
      <c r="D1857" s="16">
        <f>IF($C1857="","",助理班表!$B64)</f>
        <v/>
      </c>
      <c r="E1857" s="16">
        <f>IF($C1857="","",助理班表!$D64)</f>
        <v/>
      </c>
      <c r="F1857" s="16">
        <f>IF($C1857="","",助理班表!$C64)</f>
        <v/>
      </c>
      <c r="G1857" s="16">
        <f>IF($C1857="","",助理班表!AD64)</f>
        <v/>
      </c>
      <c r="H1857" s="83">
        <f>IF($G1857="","",IFERROR(IF(INDEX(設定!$D$6:$D$21,MATCH($G1857,設定!$B$6:$B$21,0))=0,"",INDEX(設定!$D$6:$D$21,MATCH($G1857,設定!$B$6:$B$21,0))),""))</f>
        <v/>
      </c>
      <c r="I1857" s="83">
        <f>IF($G1857="","",IFERROR(IF(INDEX(設定!$E$6:$E$21,MATCH($G1857,設定!$B$6:$B$21,0))=0,"",INDEX(設定!$E$6:$E$21,MATCH($G1857,設定!$B$6:$B$21,0))),""))</f>
        <v/>
      </c>
      <c r="J1857" s="83">
        <f>IFERROR(INDEX(打卡匯入!$C$3:$C$2002,MATCH($C1857&amp;"|"&amp;DAY($A1857),打卡匯入!$E$3:$E$2002,0)),"")</f>
        <v/>
      </c>
      <c r="K1857" s="83">
        <f>IFERROR(INDEX(打卡匯入!$D$3:$D$2002,MATCH($C1857&amp;"|"&amp;DAY($A1857),打卡匯入!$E$3:$E$2002,0)),"")</f>
        <v/>
      </c>
      <c r="L1857" s="84">
        <f>IF(OR($J1857="",$K1857=""),"",IFERROR(INDEX(設定!$F$6:$F$21,MATCH($G1857,設定!$B$6:$B$21,0)),0))</f>
        <v/>
      </c>
      <c r="M1857" s="85">
        <f>IF(OR($J1857="",$K1857=""),"",ROUND(($K1857-$J1857)*24-$L1857/60,2))</f>
        <v/>
      </c>
      <c r="N1857" s="16">
        <f>IF($C1857="","",IF(AND(COUNTIF(設定!$B$15:$B$21,$G1857)&gt;0,$J1857&lt;&gt;""),"假日出勤",IF(AND(COUNTIF(設定!$B$6:$B$14,$G1857)&gt;0,$J1857=""),"未打卡",IF($J1857="","",IF($O1857&gt;0,"遲到",IF($P1857&gt;0,"早退","正常"))))))</f>
        <v/>
      </c>
      <c r="O1857" s="84">
        <f>IF(OR($C1857="",$H1857="",$J1857=""),0,IF(ROUND(($J1857-$H1857)*1440,0)&gt;設定!$C$46,ROUND(($J1857-$H1857)*1440,0),0))</f>
        <v/>
      </c>
      <c r="P1857" s="84">
        <f>IF(OR($C1857="",$I1857="",$K1857=""),0,IF(ROUND(($I1857-$K1857)*1440,0)&gt;設定!$C$46,ROUND(($I1857-$K1857)*1440,0),0))</f>
        <v/>
      </c>
      <c r="Q1857" s="85">
        <f>IF($M1857="",0,IF(($M1857-IFERROR(INDEX(設定!$G$6:$G$21,MATCH($G1857,設定!$B$6:$B$21,0)),0))*60&gt;=設定!$C$44,ROUND(FLOOR(($M1857-IFERROR(INDEX(設定!$G$6:$G$21,MATCH($G1857,設定!$B$6:$B$21,0)),0))*60,設定!$C$45)/60,2),0))</f>
        <v/>
      </c>
      <c r="R1857" s="16">
        <f>IF(OR($C1857="",$Q1857=0),"",IF($G1857="國","國定假日",IF($B1857="日","例假",IF($B1857="六","休息日","平日"))))</f>
        <v/>
      </c>
      <c r="S1857" s="19" t="n"/>
    </row>
    <row r="1858">
      <c r="A1858" s="82">
        <f>IF(OR(助理班表!$A64="",27&gt;DAY(EOMONTH(DATE(設定!$C$2,設定!$D$2,1),0))),"",DATE(設定!$C$2,設定!$D$2,27))</f>
        <v/>
      </c>
      <c r="B1858" s="16">
        <f>IF($A1858="","",INDEX(設定!$O$6:$O$12,WEEKDAY($A1858,1)))</f>
        <v/>
      </c>
      <c r="C1858" s="16">
        <f>IF($A1858="","",助理班表!$A64)</f>
        <v/>
      </c>
      <c r="D1858" s="16">
        <f>IF($C1858="","",助理班表!$B64)</f>
        <v/>
      </c>
      <c r="E1858" s="16">
        <f>IF($C1858="","",助理班表!$D64)</f>
        <v/>
      </c>
      <c r="F1858" s="16">
        <f>IF($C1858="","",助理班表!$C64)</f>
        <v/>
      </c>
      <c r="G1858" s="16">
        <f>IF($C1858="","",助理班表!AE64)</f>
        <v/>
      </c>
      <c r="H1858" s="83">
        <f>IF($G1858="","",IFERROR(IF(INDEX(設定!$D$6:$D$21,MATCH($G1858,設定!$B$6:$B$21,0))=0,"",INDEX(設定!$D$6:$D$21,MATCH($G1858,設定!$B$6:$B$21,0))),""))</f>
        <v/>
      </c>
      <c r="I1858" s="83">
        <f>IF($G1858="","",IFERROR(IF(INDEX(設定!$E$6:$E$21,MATCH($G1858,設定!$B$6:$B$21,0))=0,"",INDEX(設定!$E$6:$E$21,MATCH($G1858,設定!$B$6:$B$21,0))),""))</f>
        <v/>
      </c>
      <c r="J1858" s="83">
        <f>IFERROR(INDEX(打卡匯入!$C$3:$C$2002,MATCH($C1858&amp;"|"&amp;DAY($A1858),打卡匯入!$E$3:$E$2002,0)),"")</f>
        <v/>
      </c>
      <c r="K1858" s="83">
        <f>IFERROR(INDEX(打卡匯入!$D$3:$D$2002,MATCH($C1858&amp;"|"&amp;DAY($A1858),打卡匯入!$E$3:$E$2002,0)),"")</f>
        <v/>
      </c>
      <c r="L1858" s="84">
        <f>IF(OR($J1858="",$K1858=""),"",IFERROR(INDEX(設定!$F$6:$F$21,MATCH($G1858,設定!$B$6:$B$21,0)),0))</f>
        <v/>
      </c>
      <c r="M1858" s="85">
        <f>IF(OR($J1858="",$K1858=""),"",ROUND(($K1858-$J1858)*24-$L1858/60,2))</f>
        <v/>
      </c>
      <c r="N1858" s="16">
        <f>IF($C1858="","",IF(AND(COUNTIF(設定!$B$15:$B$21,$G1858)&gt;0,$J1858&lt;&gt;""),"假日出勤",IF(AND(COUNTIF(設定!$B$6:$B$14,$G1858)&gt;0,$J1858=""),"未打卡",IF($J1858="","",IF($O1858&gt;0,"遲到",IF($P1858&gt;0,"早退","正常"))))))</f>
        <v/>
      </c>
      <c r="O1858" s="84">
        <f>IF(OR($C1858="",$H1858="",$J1858=""),0,IF(ROUND(($J1858-$H1858)*1440,0)&gt;設定!$C$46,ROUND(($J1858-$H1858)*1440,0),0))</f>
        <v/>
      </c>
      <c r="P1858" s="84">
        <f>IF(OR($C1858="",$I1858="",$K1858=""),0,IF(ROUND(($I1858-$K1858)*1440,0)&gt;設定!$C$46,ROUND(($I1858-$K1858)*1440,0),0))</f>
        <v/>
      </c>
      <c r="Q1858" s="85">
        <f>IF($M1858="",0,IF(($M1858-IFERROR(INDEX(設定!$G$6:$G$21,MATCH($G1858,設定!$B$6:$B$21,0)),0))*60&gt;=設定!$C$44,ROUND(FLOOR(($M1858-IFERROR(INDEX(設定!$G$6:$G$21,MATCH($G1858,設定!$B$6:$B$21,0)),0))*60,設定!$C$45)/60,2),0))</f>
        <v/>
      </c>
      <c r="R1858" s="16">
        <f>IF(OR($C1858="",$Q1858=0),"",IF($G1858="國","國定假日",IF($B1858="日","例假",IF($B1858="六","休息日","平日"))))</f>
        <v/>
      </c>
      <c r="S1858" s="19" t="n"/>
    </row>
    <row r="1859">
      <c r="A1859" s="82">
        <f>IF(OR(助理班表!$A64="",28&gt;DAY(EOMONTH(DATE(設定!$C$2,設定!$D$2,1),0))),"",DATE(設定!$C$2,設定!$D$2,28))</f>
        <v/>
      </c>
      <c r="B1859" s="16">
        <f>IF($A1859="","",INDEX(設定!$O$6:$O$12,WEEKDAY($A1859,1)))</f>
        <v/>
      </c>
      <c r="C1859" s="16">
        <f>IF($A1859="","",助理班表!$A64)</f>
        <v/>
      </c>
      <c r="D1859" s="16">
        <f>IF($C1859="","",助理班表!$B64)</f>
        <v/>
      </c>
      <c r="E1859" s="16">
        <f>IF($C1859="","",助理班表!$D64)</f>
        <v/>
      </c>
      <c r="F1859" s="16">
        <f>IF($C1859="","",助理班表!$C64)</f>
        <v/>
      </c>
      <c r="G1859" s="16">
        <f>IF($C1859="","",助理班表!AF64)</f>
        <v/>
      </c>
      <c r="H1859" s="83">
        <f>IF($G1859="","",IFERROR(IF(INDEX(設定!$D$6:$D$21,MATCH($G1859,設定!$B$6:$B$21,0))=0,"",INDEX(設定!$D$6:$D$21,MATCH($G1859,設定!$B$6:$B$21,0))),""))</f>
        <v/>
      </c>
      <c r="I1859" s="83">
        <f>IF($G1859="","",IFERROR(IF(INDEX(設定!$E$6:$E$21,MATCH($G1859,設定!$B$6:$B$21,0))=0,"",INDEX(設定!$E$6:$E$21,MATCH($G1859,設定!$B$6:$B$21,0))),""))</f>
        <v/>
      </c>
      <c r="J1859" s="83">
        <f>IFERROR(INDEX(打卡匯入!$C$3:$C$2002,MATCH($C1859&amp;"|"&amp;DAY($A1859),打卡匯入!$E$3:$E$2002,0)),"")</f>
        <v/>
      </c>
      <c r="K1859" s="83">
        <f>IFERROR(INDEX(打卡匯入!$D$3:$D$2002,MATCH($C1859&amp;"|"&amp;DAY($A1859),打卡匯入!$E$3:$E$2002,0)),"")</f>
        <v/>
      </c>
      <c r="L1859" s="84">
        <f>IF(OR($J1859="",$K1859=""),"",IFERROR(INDEX(設定!$F$6:$F$21,MATCH($G1859,設定!$B$6:$B$21,0)),0))</f>
        <v/>
      </c>
      <c r="M1859" s="85">
        <f>IF(OR($J1859="",$K1859=""),"",ROUND(($K1859-$J1859)*24-$L1859/60,2))</f>
        <v/>
      </c>
      <c r="N1859" s="16">
        <f>IF($C1859="","",IF(AND(COUNTIF(設定!$B$15:$B$21,$G1859)&gt;0,$J1859&lt;&gt;""),"假日出勤",IF(AND(COUNTIF(設定!$B$6:$B$14,$G1859)&gt;0,$J1859=""),"未打卡",IF($J1859="","",IF($O1859&gt;0,"遲到",IF($P1859&gt;0,"早退","正常"))))))</f>
        <v/>
      </c>
      <c r="O1859" s="84">
        <f>IF(OR($C1859="",$H1859="",$J1859=""),0,IF(ROUND(($J1859-$H1859)*1440,0)&gt;設定!$C$46,ROUND(($J1859-$H1859)*1440,0),0))</f>
        <v/>
      </c>
      <c r="P1859" s="84">
        <f>IF(OR($C1859="",$I1859="",$K1859=""),0,IF(ROUND(($I1859-$K1859)*1440,0)&gt;設定!$C$46,ROUND(($I1859-$K1859)*1440,0),0))</f>
        <v/>
      </c>
      <c r="Q1859" s="85">
        <f>IF($M1859="",0,IF(($M1859-IFERROR(INDEX(設定!$G$6:$G$21,MATCH($G1859,設定!$B$6:$B$21,0)),0))*60&gt;=設定!$C$44,ROUND(FLOOR(($M1859-IFERROR(INDEX(設定!$G$6:$G$21,MATCH($G1859,設定!$B$6:$B$21,0)),0))*60,設定!$C$45)/60,2),0))</f>
        <v/>
      </c>
      <c r="R1859" s="16">
        <f>IF(OR($C1859="",$Q1859=0),"",IF($G1859="國","國定假日",IF($B1859="日","例假",IF($B1859="六","休息日","平日"))))</f>
        <v/>
      </c>
      <c r="S1859" s="19" t="n"/>
    </row>
    <row r="1860">
      <c r="A1860" s="82">
        <f>IF(OR(助理班表!$A64="",29&gt;DAY(EOMONTH(DATE(設定!$C$2,設定!$D$2,1),0))),"",DATE(設定!$C$2,設定!$D$2,29))</f>
        <v/>
      </c>
      <c r="B1860" s="16">
        <f>IF($A1860="","",INDEX(設定!$O$6:$O$12,WEEKDAY($A1860,1)))</f>
        <v/>
      </c>
      <c r="C1860" s="16">
        <f>IF($A1860="","",助理班表!$A64)</f>
        <v/>
      </c>
      <c r="D1860" s="16">
        <f>IF($C1860="","",助理班表!$B64)</f>
        <v/>
      </c>
      <c r="E1860" s="16">
        <f>IF($C1860="","",助理班表!$D64)</f>
        <v/>
      </c>
      <c r="F1860" s="16">
        <f>IF($C1860="","",助理班表!$C64)</f>
        <v/>
      </c>
      <c r="G1860" s="16">
        <f>IF($C1860="","",助理班表!AG64)</f>
        <v/>
      </c>
      <c r="H1860" s="83">
        <f>IF($G1860="","",IFERROR(IF(INDEX(設定!$D$6:$D$21,MATCH($G1860,設定!$B$6:$B$21,0))=0,"",INDEX(設定!$D$6:$D$21,MATCH($G1860,設定!$B$6:$B$21,0))),""))</f>
        <v/>
      </c>
      <c r="I1860" s="83">
        <f>IF($G1860="","",IFERROR(IF(INDEX(設定!$E$6:$E$21,MATCH($G1860,設定!$B$6:$B$21,0))=0,"",INDEX(設定!$E$6:$E$21,MATCH($G1860,設定!$B$6:$B$21,0))),""))</f>
        <v/>
      </c>
      <c r="J1860" s="83">
        <f>IFERROR(INDEX(打卡匯入!$C$3:$C$2002,MATCH($C1860&amp;"|"&amp;DAY($A1860),打卡匯入!$E$3:$E$2002,0)),"")</f>
        <v/>
      </c>
      <c r="K1860" s="83">
        <f>IFERROR(INDEX(打卡匯入!$D$3:$D$2002,MATCH($C1860&amp;"|"&amp;DAY($A1860),打卡匯入!$E$3:$E$2002,0)),"")</f>
        <v/>
      </c>
      <c r="L1860" s="84">
        <f>IF(OR($J1860="",$K1860=""),"",IFERROR(INDEX(設定!$F$6:$F$21,MATCH($G1860,設定!$B$6:$B$21,0)),0))</f>
        <v/>
      </c>
      <c r="M1860" s="85">
        <f>IF(OR($J1860="",$K1860=""),"",ROUND(($K1860-$J1860)*24-$L1860/60,2))</f>
        <v/>
      </c>
      <c r="N1860" s="16">
        <f>IF($C1860="","",IF(AND(COUNTIF(設定!$B$15:$B$21,$G1860)&gt;0,$J1860&lt;&gt;""),"假日出勤",IF(AND(COUNTIF(設定!$B$6:$B$14,$G1860)&gt;0,$J1860=""),"未打卡",IF($J1860="","",IF($O1860&gt;0,"遲到",IF($P1860&gt;0,"早退","正常"))))))</f>
        <v/>
      </c>
      <c r="O1860" s="84">
        <f>IF(OR($C1860="",$H1860="",$J1860=""),0,IF(ROUND(($J1860-$H1860)*1440,0)&gt;設定!$C$46,ROUND(($J1860-$H1860)*1440,0),0))</f>
        <v/>
      </c>
      <c r="P1860" s="84">
        <f>IF(OR($C1860="",$I1860="",$K1860=""),0,IF(ROUND(($I1860-$K1860)*1440,0)&gt;設定!$C$46,ROUND(($I1860-$K1860)*1440,0),0))</f>
        <v/>
      </c>
      <c r="Q1860" s="85">
        <f>IF($M1860="",0,IF(($M1860-IFERROR(INDEX(設定!$G$6:$G$21,MATCH($G1860,設定!$B$6:$B$21,0)),0))*60&gt;=設定!$C$44,ROUND(FLOOR(($M1860-IFERROR(INDEX(設定!$G$6:$G$21,MATCH($G1860,設定!$B$6:$B$21,0)),0))*60,設定!$C$45)/60,2),0))</f>
        <v/>
      </c>
      <c r="R1860" s="16">
        <f>IF(OR($C1860="",$Q1860=0),"",IF($G1860="國","國定假日",IF($B1860="日","例假",IF($B1860="六","休息日","平日"))))</f>
        <v/>
      </c>
      <c r="S1860" s="19" t="n"/>
    </row>
    <row r="1861">
      <c r="A1861" s="82">
        <f>IF(OR(助理班表!$A64="",30&gt;DAY(EOMONTH(DATE(設定!$C$2,設定!$D$2,1),0))),"",DATE(設定!$C$2,設定!$D$2,30))</f>
        <v/>
      </c>
      <c r="B1861" s="16">
        <f>IF($A1861="","",INDEX(設定!$O$6:$O$12,WEEKDAY($A1861,1)))</f>
        <v/>
      </c>
      <c r="C1861" s="16">
        <f>IF($A1861="","",助理班表!$A64)</f>
        <v/>
      </c>
      <c r="D1861" s="16">
        <f>IF($C1861="","",助理班表!$B64)</f>
        <v/>
      </c>
      <c r="E1861" s="16">
        <f>IF($C1861="","",助理班表!$D64)</f>
        <v/>
      </c>
      <c r="F1861" s="16">
        <f>IF($C1861="","",助理班表!$C64)</f>
        <v/>
      </c>
      <c r="G1861" s="16">
        <f>IF($C1861="","",助理班表!AH64)</f>
        <v/>
      </c>
      <c r="H1861" s="83">
        <f>IF($G1861="","",IFERROR(IF(INDEX(設定!$D$6:$D$21,MATCH($G1861,設定!$B$6:$B$21,0))=0,"",INDEX(設定!$D$6:$D$21,MATCH($G1861,設定!$B$6:$B$21,0))),""))</f>
        <v/>
      </c>
      <c r="I1861" s="83">
        <f>IF($G1861="","",IFERROR(IF(INDEX(設定!$E$6:$E$21,MATCH($G1861,設定!$B$6:$B$21,0))=0,"",INDEX(設定!$E$6:$E$21,MATCH($G1861,設定!$B$6:$B$21,0))),""))</f>
        <v/>
      </c>
      <c r="J1861" s="83">
        <f>IFERROR(INDEX(打卡匯入!$C$3:$C$2002,MATCH($C1861&amp;"|"&amp;DAY($A1861),打卡匯入!$E$3:$E$2002,0)),"")</f>
        <v/>
      </c>
      <c r="K1861" s="83">
        <f>IFERROR(INDEX(打卡匯入!$D$3:$D$2002,MATCH($C1861&amp;"|"&amp;DAY($A1861),打卡匯入!$E$3:$E$2002,0)),"")</f>
        <v/>
      </c>
      <c r="L1861" s="84">
        <f>IF(OR($J1861="",$K1861=""),"",IFERROR(INDEX(設定!$F$6:$F$21,MATCH($G1861,設定!$B$6:$B$21,0)),0))</f>
        <v/>
      </c>
      <c r="M1861" s="85">
        <f>IF(OR($J1861="",$K1861=""),"",ROUND(($K1861-$J1861)*24-$L1861/60,2))</f>
        <v/>
      </c>
      <c r="N1861" s="16">
        <f>IF($C1861="","",IF(AND(COUNTIF(設定!$B$15:$B$21,$G1861)&gt;0,$J1861&lt;&gt;""),"假日出勤",IF(AND(COUNTIF(設定!$B$6:$B$14,$G1861)&gt;0,$J1861=""),"未打卡",IF($J1861="","",IF($O1861&gt;0,"遲到",IF($P1861&gt;0,"早退","正常"))))))</f>
        <v/>
      </c>
      <c r="O1861" s="84">
        <f>IF(OR($C1861="",$H1861="",$J1861=""),0,IF(ROUND(($J1861-$H1861)*1440,0)&gt;設定!$C$46,ROUND(($J1861-$H1861)*1440,0),0))</f>
        <v/>
      </c>
      <c r="P1861" s="84">
        <f>IF(OR($C1861="",$I1861="",$K1861=""),0,IF(ROUND(($I1861-$K1861)*1440,0)&gt;設定!$C$46,ROUND(($I1861-$K1861)*1440,0),0))</f>
        <v/>
      </c>
      <c r="Q1861" s="85">
        <f>IF($M1861="",0,IF(($M1861-IFERROR(INDEX(設定!$G$6:$G$21,MATCH($G1861,設定!$B$6:$B$21,0)),0))*60&gt;=設定!$C$44,ROUND(FLOOR(($M1861-IFERROR(INDEX(設定!$G$6:$G$21,MATCH($G1861,設定!$B$6:$B$21,0)),0))*60,設定!$C$45)/60,2),0))</f>
        <v/>
      </c>
      <c r="R1861" s="16">
        <f>IF(OR($C1861="",$Q1861=0),"",IF($G1861="國","國定假日",IF($B1861="日","例假",IF($B1861="六","休息日","平日"))))</f>
        <v/>
      </c>
      <c r="S1861" s="19" t="n"/>
    </row>
    <row r="1862">
      <c r="A1862" s="82">
        <f>IF(OR(助理班表!$A64="",31&gt;DAY(EOMONTH(DATE(設定!$C$2,設定!$D$2,1),0))),"",DATE(設定!$C$2,設定!$D$2,31))</f>
        <v/>
      </c>
      <c r="B1862" s="16">
        <f>IF($A1862="","",INDEX(設定!$O$6:$O$12,WEEKDAY($A1862,1)))</f>
        <v/>
      </c>
      <c r="C1862" s="16">
        <f>IF($A1862="","",助理班表!$A64)</f>
        <v/>
      </c>
      <c r="D1862" s="16">
        <f>IF($C1862="","",助理班表!$B64)</f>
        <v/>
      </c>
      <c r="E1862" s="16">
        <f>IF($C1862="","",助理班表!$D64)</f>
        <v/>
      </c>
      <c r="F1862" s="16">
        <f>IF($C1862="","",助理班表!$C64)</f>
        <v/>
      </c>
      <c r="G1862" s="16">
        <f>IF($C1862="","",助理班表!AI64)</f>
        <v/>
      </c>
      <c r="H1862" s="83">
        <f>IF($G1862="","",IFERROR(IF(INDEX(設定!$D$6:$D$21,MATCH($G1862,設定!$B$6:$B$21,0))=0,"",INDEX(設定!$D$6:$D$21,MATCH($G1862,設定!$B$6:$B$21,0))),""))</f>
        <v/>
      </c>
      <c r="I1862" s="83">
        <f>IF($G1862="","",IFERROR(IF(INDEX(設定!$E$6:$E$21,MATCH($G1862,設定!$B$6:$B$21,0))=0,"",INDEX(設定!$E$6:$E$21,MATCH($G1862,設定!$B$6:$B$21,0))),""))</f>
        <v/>
      </c>
      <c r="J1862" s="83">
        <f>IFERROR(INDEX(打卡匯入!$C$3:$C$2002,MATCH($C1862&amp;"|"&amp;DAY($A1862),打卡匯入!$E$3:$E$2002,0)),"")</f>
        <v/>
      </c>
      <c r="K1862" s="83">
        <f>IFERROR(INDEX(打卡匯入!$D$3:$D$2002,MATCH($C1862&amp;"|"&amp;DAY($A1862),打卡匯入!$E$3:$E$2002,0)),"")</f>
        <v/>
      </c>
      <c r="L1862" s="84">
        <f>IF(OR($J1862="",$K1862=""),"",IFERROR(INDEX(設定!$F$6:$F$21,MATCH($G1862,設定!$B$6:$B$21,0)),0))</f>
        <v/>
      </c>
      <c r="M1862" s="85">
        <f>IF(OR($J1862="",$K1862=""),"",ROUND(($K1862-$J1862)*24-$L1862/60,2))</f>
        <v/>
      </c>
      <c r="N1862" s="16">
        <f>IF($C1862="","",IF(AND(COUNTIF(設定!$B$15:$B$21,$G1862)&gt;0,$J1862&lt;&gt;""),"假日出勤",IF(AND(COUNTIF(設定!$B$6:$B$14,$G1862)&gt;0,$J1862=""),"未打卡",IF($J1862="","",IF($O1862&gt;0,"遲到",IF($P1862&gt;0,"早退","正常"))))))</f>
        <v/>
      </c>
      <c r="O1862" s="84">
        <f>IF(OR($C1862="",$H1862="",$J1862=""),0,IF(ROUND(($J1862-$H1862)*1440,0)&gt;設定!$C$46,ROUND(($J1862-$H1862)*1440,0),0))</f>
        <v/>
      </c>
      <c r="P1862" s="84">
        <f>IF(OR($C1862="",$I1862="",$K1862=""),0,IF(ROUND(($I1862-$K1862)*1440,0)&gt;設定!$C$46,ROUND(($I1862-$K1862)*1440,0),0))</f>
        <v/>
      </c>
      <c r="Q1862" s="85">
        <f>IF($M1862="",0,IF(($M1862-IFERROR(INDEX(設定!$G$6:$G$21,MATCH($G1862,設定!$B$6:$B$21,0)),0))*60&gt;=設定!$C$44,ROUND(FLOOR(($M1862-IFERROR(INDEX(設定!$G$6:$G$21,MATCH($G1862,設定!$B$6:$B$21,0)),0))*60,設定!$C$45)/60,2),0))</f>
        <v/>
      </c>
      <c r="R1862" s="16">
        <f>IF(OR($C1862="",$Q1862=0),"",IF($G1862="國","國定假日",IF($B1862="日","例假",IF($B1862="六","休息日","平日"))))</f>
        <v/>
      </c>
      <c r="S1862" s="19" t="n"/>
    </row>
  </sheetData>
  <autoFilter ref="A2:S1862"/>
  <mergeCells count="1">
    <mergeCell ref="A1:S1"/>
  </mergeCells>
  <conditionalFormatting sqref="A3:S1862">
    <cfRule type="expression" priority="1" dxfId="9" stopIfTrue="1">
      <formula>AND($C3&lt;&gt;"",$N3&lt;&gt;"",$N3&lt;&gt;"正常")</formula>
    </cfRule>
    <cfRule type="expression" priority="2" dxfId="11">
      <formula>AND($C3&lt;&gt;"",$Q3&gt;0)</formula>
    </cfRule>
  </conditionalFormatting>
  <conditionalFormatting sqref="N3:N1862">
    <cfRule type="expression" priority="3" dxfId="8">
      <formula>AND($N3&lt;&gt;"",$N3&lt;&gt;"正常")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0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9" customWidth="1" min="12" max="12"/>
    <col width="9" customWidth="1" min="13" max="13"/>
    <col width="10" customWidth="1" min="14" max="14"/>
    <col width="10" customWidth="1" min="15" max="15"/>
    <col width="9" customWidth="1" min="16" max="16"/>
    <col width="9" customWidth="1" min="17" max="17"/>
    <col width="8" customWidth="1" min="18" max="18"/>
    <col width="15" customWidth="1" min="19" max="19"/>
  </cols>
  <sheetData>
    <row r="1">
      <c r="A1" s="78" t="inlineStr">
        <is>
          <t>月結統計 — 助理 / 醫護長(全自動)　　⚠ 助理與醫護長名單尚未匯入,本分頁目前是空的</t>
        </is>
      </c>
    </row>
    <row r="2">
      <c r="A2" s="4" t="inlineStr">
        <is>
          <t>期間</t>
        </is>
      </c>
      <c r="B2" s="22" t="inlineStr">
        <is>
          <t>2026 年 10 月</t>
        </is>
      </c>
    </row>
    <row r="4" ht="30" customHeight="1">
      <c r="A4" s="10" t="inlineStr">
        <is>
          <t>員工編號</t>
        </is>
      </c>
      <c r="B4" s="10" t="inlineStr">
        <is>
          <t>姓名</t>
        </is>
      </c>
      <c r="C4" s="10" t="inlineStr">
        <is>
          <t>職類</t>
        </is>
      </c>
      <c r="D4" s="10" t="inlineStr">
        <is>
          <t>院所</t>
        </is>
      </c>
      <c r="E4" s="10" t="inlineStr">
        <is>
          <t>出勤天數</t>
        </is>
      </c>
      <c r="F4" s="10" t="inlineStr">
        <is>
          <t>排班工時</t>
        </is>
      </c>
      <c r="G4" s="10" t="inlineStr">
        <is>
          <t>排休</t>
        </is>
      </c>
      <c r="H4" s="10" t="inlineStr">
        <is>
          <t>特休</t>
        </is>
      </c>
      <c r="I4" s="10" t="inlineStr">
        <is>
          <t>病假</t>
        </is>
      </c>
      <c r="J4" s="10" t="inlineStr">
        <is>
          <t>事假</t>
        </is>
      </c>
      <c r="K4" s="10" t="inlineStr">
        <is>
          <t>公假</t>
        </is>
      </c>
      <c r="L4" s="10" t="inlineStr">
        <is>
          <t>國定假日</t>
        </is>
      </c>
      <c r="M4" s="10" t="inlineStr">
        <is>
          <t>支援他院</t>
        </is>
      </c>
      <c r="N4" s="10" t="inlineStr">
        <is>
          <t>加班時數</t>
        </is>
      </c>
      <c r="O4" s="10" t="inlineStr">
        <is>
          <t>實際工時</t>
        </is>
      </c>
      <c r="P4" s="10" t="inlineStr">
        <is>
          <t>遲到次數</t>
        </is>
      </c>
      <c r="Q4" s="10" t="inlineStr">
        <is>
          <t>早退次數</t>
        </is>
      </c>
      <c r="R4" s="10" t="inlineStr">
        <is>
          <t>未打卡</t>
        </is>
      </c>
      <c r="S4" s="10" t="inlineStr">
        <is>
          <t>排班完整度檢核</t>
        </is>
      </c>
    </row>
    <row r="5">
      <c r="A5" s="16">
        <f>IF(助理班表!$A5="","",助理班表!$A5)</f>
        <v/>
      </c>
      <c r="B5" s="16">
        <f>IF($A5="","",助理班表!$B5)</f>
        <v/>
      </c>
      <c r="C5" s="16">
        <f>IF($A5="","",助理班表!$C5)</f>
        <v/>
      </c>
      <c r="D5" s="16">
        <f>IF($A5="","",助理班表!$D5)</f>
        <v/>
      </c>
      <c r="E5" s="16">
        <f>IF($A5="","",SUMPRODUCT(COUNTIF(助理班表!$E5:$AI5,設定!$B$6:$B$21),設定!$H$6:$H$21))</f>
        <v/>
      </c>
      <c r="F5" s="86">
        <f>IF($A5="","",SUMPRODUCT(COUNTIF(助理班表!$E5:$AI5,設定!$B$6:$B$21),設定!$G$6:$G$21))</f>
        <v/>
      </c>
      <c r="G5" s="16">
        <f>IF($A5="","",COUNTIF(助理班表!$E5:$AI5,"OFF"))</f>
        <v/>
      </c>
      <c r="H5" s="16">
        <f>IF($A5="","",COUNTIF(助理班表!$E5:$AI5,"特"))</f>
        <v/>
      </c>
      <c r="I5" s="16">
        <f>IF($A5="","",COUNTIF(助理班表!$E5:$AI5,"病"))</f>
        <v/>
      </c>
      <c r="J5" s="16">
        <f>IF($A5="","",COUNTIF(助理班表!$E5:$AI5,"事"))</f>
        <v/>
      </c>
      <c r="K5" s="16">
        <f>IF($A5="","",COUNTIF(助理班表!$E5:$AI5,"公"))</f>
        <v/>
      </c>
      <c r="L5" s="16">
        <f>IF($A5="","",COUNTIF(助理班表!$E5:$AI5,"國"))</f>
        <v/>
      </c>
      <c r="M5" s="16">
        <f>IF($A5="","",COUNTIF(助理班表!$E5:$AI5,"支"))</f>
        <v/>
      </c>
      <c r="N5" s="86">
        <f>IF($A5="","",SUMIF(出勤紀錄!$C$3:$C$1862,$A5,出勤紀錄!$Q$3:$Q$1862))</f>
        <v/>
      </c>
      <c r="O5" s="86">
        <f>IF($A5="","",$F5+$N5)</f>
        <v/>
      </c>
      <c r="P5" s="16">
        <f>IF($A5="","",COUNTIFS(出勤紀錄!$C$3:$C$1862,$A5,出勤紀錄!$N$3:$N$1862,"遲到"))</f>
        <v/>
      </c>
      <c r="Q5" s="16">
        <f>IF($A5="","",COUNTIFS(出勤紀錄!$C$3:$C$1862,$A5,出勤紀錄!$N$3:$N$1862,"早退"))</f>
        <v/>
      </c>
      <c r="R5" s="16">
        <f>IF($A5="","",COUNTIFS(出勤紀錄!$C$3:$C$1862,$A5,出勤紀錄!$N$3:$N$1862,"未打卡"))</f>
        <v/>
      </c>
      <c r="S5" s="16">
        <f>IF($A5="","",IF(COUNTA(助理班表!$E5:$AI5)=DAY(EOMONTH(DATE(設定!$C$2,設定!$D$2,1),0)),"OK","⚠ 缺"&amp;(DAY(EOMONTH(DATE(設定!$C$2,設定!$D$2,1),0))-COUNTA(助理班表!$E5:$AI5))&amp;"天"))</f>
        <v/>
      </c>
    </row>
    <row r="6">
      <c r="A6" s="16">
        <f>IF(助理班表!$A6="","",助理班表!$A6)</f>
        <v/>
      </c>
      <c r="B6" s="16">
        <f>IF($A6="","",助理班表!$B6)</f>
        <v/>
      </c>
      <c r="C6" s="16">
        <f>IF($A6="","",助理班表!$C6)</f>
        <v/>
      </c>
      <c r="D6" s="16">
        <f>IF($A6="","",助理班表!$D6)</f>
        <v/>
      </c>
      <c r="E6" s="16">
        <f>IF($A6="","",SUMPRODUCT(COUNTIF(助理班表!$E6:$AI6,設定!$B$6:$B$21),設定!$H$6:$H$21))</f>
        <v/>
      </c>
      <c r="F6" s="86">
        <f>IF($A6="","",SUMPRODUCT(COUNTIF(助理班表!$E6:$AI6,設定!$B$6:$B$21),設定!$G$6:$G$21))</f>
        <v/>
      </c>
      <c r="G6" s="16">
        <f>IF($A6="","",COUNTIF(助理班表!$E6:$AI6,"OFF"))</f>
        <v/>
      </c>
      <c r="H6" s="16">
        <f>IF($A6="","",COUNTIF(助理班表!$E6:$AI6,"特"))</f>
        <v/>
      </c>
      <c r="I6" s="16">
        <f>IF($A6="","",COUNTIF(助理班表!$E6:$AI6,"病"))</f>
        <v/>
      </c>
      <c r="J6" s="16">
        <f>IF($A6="","",COUNTIF(助理班表!$E6:$AI6,"事"))</f>
        <v/>
      </c>
      <c r="K6" s="16">
        <f>IF($A6="","",COUNTIF(助理班表!$E6:$AI6,"公"))</f>
        <v/>
      </c>
      <c r="L6" s="16">
        <f>IF($A6="","",COUNTIF(助理班表!$E6:$AI6,"國"))</f>
        <v/>
      </c>
      <c r="M6" s="16">
        <f>IF($A6="","",COUNTIF(助理班表!$E6:$AI6,"支"))</f>
        <v/>
      </c>
      <c r="N6" s="86">
        <f>IF($A6="","",SUMIF(出勤紀錄!$C$3:$C$1862,$A6,出勤紀錄!$Q$3:$Q$1862))</f>
        <v/>
      </c>
      <c r="O6" s="86">
        <f>IF($A6="","",$F6+$N6)</f>
        <v/>
      </c>
      <c r="P6" s="16">
        <f>IF($A6="","",COUNTIFS(出勤紀錄!$C$3:$C$1862,$A6,出勤紀錄!$N$3:$N$1862,"遲到"))</f>
        <v/>
      </c>
      <c r="Q6" s="16">
        <f>IF($A6="","",COUNTIFS(出勤紀錄!$C$3:$C$1862,$A6,出勤紀錄!$N$3:$N$1862,"早退"))</f>
        <v/>
      </c>
      <c r="R6" s="16">
        <f>IF($A6="","",COUNTIFS(出勤紀錄!$C$3:$C$1862,$A6,出勤紀錄!$N$3:$N$1862,"未打卡"))</f>
        <v/>
      </c>
      <c r="S6" s="16">
        <f>IF($A6="","",IF(COUNTA(助理班表!$E6:$AI6)=DAY(EOMONTH(DATE(設定!$C$2,設定!$D$2,1),0)),"OK","⚠ 缺"&amp;(DAY(EOMONTH(DATE(設定!$C$2,設定!$D$2,1),0))-COUNTA(助理班表!$E6:$AI6))&amp;"天"))</f>
        <v/>
      </c>
    </row>
    <row r="7">
      <c r="A7" s="16">
        <f>IF(助理班表!$A7="","",助理班表!$A7)</f>
        <v/>
      </c>
      <c r="B7" s="16">
        <f>IF($A7="","",助理班表!$B7)</f>
        <v/>
      </c>
      <c r="C7" s="16">
        <f>IF($A7="","",助理班表!$C7)</f>
        <v/>
      </c>
      <c r="D7" s="16">
        <f>IF($A7="","",助理班表!$D7)</f>
        <v/>
      </c>
      <c r="E7" s="16">
        <f>IF($A7="","",SUMPRODUCT(COUNTIF(助理班表!$E7:$AI7,設定!$B$6:$B$21),設定!$H$6:$H$21))</f>
        <v/>
      </c>
      <c r="F7" s="86">
        <f>IF($A7="","",SUMPRODUCT(COUNTIF(助理班表!$E7:$AI7,設定!$B$6:$B$21),設定!$G$6:$G$21))</f>
        <v/>
      </c>
      <c r="G7" s="16">
        <f>IF($A7="","",COUNTIF(助理班表!$E7:$AI7,"OFF"))</f>
        <v/>
      </c>
      <c r="H7" s="16">
        <f>IF($A7="","",COUNTIF(助理班表!$E7:$AI7,"特"))</f>
        <v/>
      </c>
      <c r="I7" s="16">
        <f>IF($A7="","",COUNTIF(助理班表!$E7:$AI7,"病"))</f>
        <v/>
      </c>
      <c r="J7" s="16">
        <f>IF($A7="","",COUNTIF(助理班表!$E7:$AI7,"事"))</f>
        <v/>
      </c>
      <c r="K7" s="16">
        <f>IF($A7="","",COUNTIF(助理班表!$E7:$AI7,"公"))</f>
        <v/>
      </c>
      <c r="L7" s="16">
        <f>IF($A7="","",COUNTIF(助理班表!$E7:$AI7,"國"))</f>
        <v/>
      </c>
      <c r="M7" s="16">
        <f>IF($A7="","",COUNTIF(助理班表!$E7:$AI7,"支"))</f>
        <v/>
      </c>
      <c r="N7" s="86">
        <f>IF($A7="","",SUMIF(出勤紀錄!$C$3:$C$1862,$A7,出勤紀錄!$Q$3:$Q$1862))</f>
        <v/>
      </c>
      <c r="O7" s="86">
        <f>IF($A7="","",$F7+$N7)</f>
        <v/>
      </c>
      <c r="P7" s="16">
        <f>IF($A7="","",COUNTIFS(出勤紀錄!$C$3:$C$1862,$A7,出勤紀錄!$N$3:$N$1862,"遲到"))</f>
        <v/>
      </c>
      <c r="Q7" s="16">
        <f>IF($A7="","",COUNTIFS(出勤紀錄!$C$3:$C$1862,$A7,出勤紀錄!$N$3:$N$1862,"早退"))</f>
        <v/>
      </c>
      <c r="R7" s="16">
        <f>IF($A7="","",COUNTIFS(出勤紀錄!$C$3:$C$1862,$A7,出勤紀錄!$N$3:$N$1862,"未打卡"))</f>
        <v/>
      </c>
      <c r="S7" s="16">
        <f>IF($A7="","",IF(COUNTA(助理班表!$E7:$AI7)=DAY(EOMONTH(DATE(設定!$C$2,設定!$D$2,1),0)),"OK","⚠ 缺"&amp;(DAY(EOMONTH(DATE(設定!$C$2,設定!$D$2,1),0))-COUNTA(助理班表!$E7:$AI7))&amp;"天"))</f>
        <v/>
      </c>
    </row>
    <row r="8">
      <c r="A8" s="16">
        <f>IF(助理班表!$A8="","",助理班表!$A8)</f>
        <v/>
      </c>
      <c r="B8" s="16">
        <f>IF($A8="","",助理班表!$B8)</f>
        <v/>
      </c>
      <c r="C8" s="16">
        <f>IF($A8="","",助理班表!$C8)</f>
        <v/>
      </c>
      <c r="D8" s="16">
        <f>IF($A8="","",助理班表!$D8)</f>
        <v/>
      </c>
      <c r="E8" s="16">
        <f>IF($A8="","",SUMPRODUCT(COUNTIF(助理班表!$E8:$AI8,設定!$B$6:$B$21),設定!$H$6:$H$21))</f>
        <v/>
      </c>
      <c r="F8" s="86">
        <f>IF($A8="","",SUMPRODUCT(COUNTIF(助理班表!$E8:$AI8,設定!$B$6:$B$21),設定!$G$6:$G$21))</f>
        <v/>
      </c>
      <c r="G8" s="16">
        <f>IF($A8="","",COUNTIF(助理班表!$E8:$AI8,"OFF"))</f>
        <v/>
      </c>
      <c r="H8" s="16">
        <f>IF($A8="","",COUNTIF(助理班表!$E8:$AI8,"特"))</f>
        <v/>
      </c>
      <c r="I8" s="16">
        <f>IF($A8="","",COUNTIF(助理班表!$E8:$AI8,"病"))</f>
        <v/>
      </c>
      <c r="J8" s="16">
        <f>IF($A8="","",COUNTIF(助理班表!$E8:$AI8,"事"))</f>
        <v/>
      </c>
      <c r="K8" s="16">
        <f>IF($A8="","",COUNTIF(助理班表!$E8:$AI8,"公"))</f>
        <v/>
      </c>
      <c r="L8" s="16">
        <f>IF($A8="","",COUNTIF(助理班表!$E8:$AI8,"國"))</f>
        <v/>
      </c>
      <c r="M8" s="16">
        <f>IF($A8="","",COUNTIF(助理班表!$E8:$AI8,"支"))</f>
        <v/>
      </c>
      <c r="N8" s="86">
        <f>IF($A8="","",SUMIF(出勤紀錄!$C$3:$C$1862,$A8,出勤紀錄!$Q$3:$Q$1862))</f>
        <v/>
      </c>
      <c r="O8" s="86">
        <f>IF($A8="","",$F8+$N8)</f>
        <v/>
      </c>
      <c r="P8" s="16">
        <f>IF($A8="","",COUNTIFS(出勤紀錄!$C$3:$C$1862,$A8,出勤紀錄!$N$3:$N$1862,"遲到"))</f>
        <v/>
      </c>
      <c r="Q8" s="16">
        <f>IF($A8="","",COUNTIFS(出勤紀錄!$C$3:$C$1862,$A8,出勤紀錄!$N$3:$N$1862,"早退"))</f>
        <v/>
      </c>
      <c r="R8" s="16">
        <f>IF($A8="","",COUNTIFS(出勤紀錄!$C$3:$C$1862,$A8,出勤紀錄!$N$3:$N$1862,"未打卡"))</f>
        <v/>
      </c>
      <c r="S8" s="16">
        <f>IF($A8="","",IF(COUNTA(助理班表!$E8:$AI8)=DAY(EOMONTH(DATE(設定!$C$2,設定!$D$2,1),0)),"OK","⚠ 缺"&amp;(DAY(EOMONTH(DATE(設定!$C$2,設定!$D$2,1),0))-COUNTA(助理班表!$E8:$AI8))&amp;"天"))</f>
        <v/>
      </c>
    </row>
    <row r="9">
      <c r="A9" s="16">
        <f>IF(助理班表!$A9="","",助理班表!$A9)</f>
        <v/>
      </c>
      <c r="B9" s="16">
        <f>IF($A9="","",助理班表!$B9)</f>
        <v/>
      </c>
      <c r="C9" s="16">
        <f>IF($A9="","",助理班表!$C9)</f>
        <v/>
      </c>
      <c r="D9" s="16">
        <f>IF($A9="","",助理班表!$D9)</f>
        <v/>
      </c>
      <c r="E9" s="16">
        <f>IF($A9="","",SUMPRODUCT(COUNTIF(助理班表!$E9:$AI9,設定!$B$6:$B$21),設定!$H$6:$H$21))</f>
        <v/>
      </c>
      <c r="F9" s="86">
        <f>IF($A9="","",SUMPRODUCT(COUNTIF(助理班表!$E9:$AI9,設定!$B$6:$B$21),設定!$G$6:$G$21))</f>
        <v/>
      </c>
      <c r="G9" s="16">
        <f>IF($A9="","",COUNTIF(助理班表!$E9:$AI9,"OFF"))</f>
        <v/>
      </c>
      <c r="H9" s="16">
        <f>IF($A9="","",COUNTIF(助理班表!$E9:$AI9,"特"))</f>
        <v/>
      </c>
      <c r="I9" s="16">
        <f>IF($A9="","",COUNTIF(助理班表!$E9:$AI9,"病"))</f>
        <v/>
      </c>
      <c r="J9" s="16">
        <f>IF($A9="","",COUNTIF(助理班表!$E9:$AI9,"事"))</f>
        <v/>
      </c>
      <c r="K9" s="16">
        <f>IF($A9="","",COUNTIF(助理班表!$E9:$AI9,"公"))</f>
        <v/>
      </c>
      <c r="L9" s="16">
        <f>IF($A9="","",COUNTIF(助理班表!$E9:$AI9,"國"))</f>
        <v/>
      </c>
      <c r="M9" s="16">
        <f>IF($A9="","",COUNTIF(助理班表!$E9:$AI9,"支"))</f>
        <v/>
      </c>
      <c r="N9" s="86">
        <f>IF($A9="","",SUMIF(出勤紀錄!$C$3:$C$1862,$A9,出勤紀錄!$Q$3:$Q$1862))</f>
        <v/>
      </c>
      <c r="O9" s="86">
        <f>IF($A9="","",$F9+$N9)</f>
        <v/>
      </c>
      <c r="P9" s="16">
        <f>IF($A9="","",COUNTIFS(出勤紀錄!$C$3:$C$1862,$A9,出勤紀錄!$N$3:$N$1862,"遲到"))</f>
        <v/>
      </c>
      <c r="Q9" s="16">
        <f>IF($A9="","",COUNTIFS(出勤紀錄!$C$3:$C$1862,$A9,出勤紀錄!$N$3:$N$1862,"早退"))</f>
        <v/>
      </c>
      <c r="R9" s="16">
        <f>IF($A9="","",COUNTIFS(出勤紀錄!$C$3:$C$1862,$A9,出勤紀錄!$N$3:$N$1862,"未打卡"))</f>
        <v/>
      </c>
      <c r="S9" s="16">
        <f>IF($A9="","",IF(COUNTA(助理班表!$E9:$AI9)=DAY(EOMONTH(DATE(設定!$C$2,設定!$D$2,1),0)),"OK","⚠ 缺"&amp;(DAY(EOMONTH(DATE(設定!$C$2,設定!$D$2,1),0))-COUNTA(助理班表!$E9:$AI9))&amp;"天"))</f>
        <v/>
      </c>
    </row>
    <row r="10">
      <c r="A10" s="16">
        <f>IF(助理班表!$A10="","",助理班表!$A10)</f>
        <v/>
      </c>
      <c r="B10" s="16">
        <f>IF($A10="","",助理班表!$B10)</f>
        <v/>
      </c>
      <c r="C10" s="16">
        <f>IF($A10="","",助理班表!$C10)</f>
        <v/>
      </c>
      <c r="D10" s="16">
        <f>IF($A10="","",助理班表!$D10)</f>
        <v/>
      </c>
      <c r="E10" s="16">
        <f>IF($A10="","",SUMPRODUCT(COUNTIF(助理班表!$E10:$AI10,設定!$B$6:$B$21),設定!$H$6:$H$21))</f>
        <v/>
      </c>
      <c r="F10" s="86">
        <f>IF($A10="","",SUMPRODUCT(COUNTIF(助理班表!$E10:$AI10,設定!$B$6:$B$21),設定!$G$6:$G$21))</f>
        <v/>
      </c>
      <c r="G10" s="16">
        <f>IF($A10="","",COUNTIF(助理班表!$E10:$AI10,"OFF"))</f>
        <v/>
      </c>
      <c r="H10" s="16">
        <f>IF($A10="","",COUNTIF(助理班表!$E10:$AI10,"特"))</f>
        <v/>
      </c>
      <c r="I10" s="16">
        <f>IF($A10="","",COUNTIF(助理班表!$E10:$AI10,"病"))</f>
        <v/>
      </c>
      <c r="J10" s="16">
        <f>IF($A10="","",COUNTIF(助理班表!$E10:$AI10,"事"))</f>
        <v/>
      </c>
      <c r="K10" s="16">
        <f>IF($A10="","",COUNTIF(助理班表!$E10:$AI10,"公"))</f>
        <v/>
      </c>
      <c r="L10" s="16">
        <f>IF($A10="","",COUNTIF(助理班表!$E10:$AI10,"國"))</f>
        <v/>
      </c>
      <c r="M10" s="16">
        <f>IF($A10="","",COUNTIF(助理班表!$E10:$AI10,"支"))</f>
        <v/>
      </c>
      <c r="N10" s="86">
        <f>IF($A10="","",SUMIF(出勤紀錄!$C$3:$C$1862,$A10,出勤紀錄!$Q$3:$Q$1862))</f>
        <v/>
      </c>
      <c r="O10" s="86">
        <f>IF($A10="","",$F10+$N10)</f>
        <v/>
      </c>
      <c r="P10" s="16">
        <f>IF($A10="","",COUNTIFS(出勤紀錄!$C$3:$C$1862,$A10,出勤紀錄!$N$3:$N$1862,"遲到"))</f>
        <v/>
      </c>
      <c r="Q10" s="16">
        <f>IF($A10="","",COUNTIFS(出勤紀錄!$C$3:$C$1862,$A10,出勤紀錄!$N$3:$N$1862,"早退"))</f>
        <v/>
      </c>
      <c r="R10" s="16">
        <f>IF($A10="","",COUNTIFS(出勤紀錄!$C$3:$C$1862,$A10,出勤紀錄!$N$3:$N$1862,"未打卡"))</f>
        <v/>
      </c>
      <c r="S10" s="16">
        <f>IF($A10="","",IF(COUNTA(助理班表!$E10:$AI10)=DAY(EOMONTH(DATE(設定!$C$2,設定!$D$2,1),0)),"OK","⚠ 缺"&amp;(DAY(EOMONTH(DATE(設定!$C$2,設定!$D$2,1),0))-COUNTA(助理班表!$E10:$AI10))&amp;"天"))</f>
        <v/>
      </c>
    </row>
    <row r="11">
      <c r="A11" s="16">
        <f>IF(助理班表!$A11="","",助理班表!$A11)</f>
        <v/>
      </c>
      <c r="B11" s="16">
        <f>IF($A11="","",助理班表!$B11)</f>
        <v/>
      </c>
      <c r="C11" s="16">
        <f>IF($A11="","",助理班表!$C11)</f>
        <v/>
      </c>
      <c r="D11" s="16">
        <f>IF($A11="","",助理班表!$D11)</f>
        <v/>
      </c>
      <c r="E11" s="16">
        <f>IF($A11="","",SUMPRODUCT(COUNTIF(助理班表!$E11:$AI11,設定!$B$6:$B$21),設定!$H$6:$H$21))</f>
        <v/>
      </c>
      <c r="F11" s="86">
        <f>IF($A11="","",SUMPRODUCT(COUNTIF(助理班表!$E11:$AI11,設定!$B$6:$B$21),設定!$G$6:$G$21))</f>
        <v/>
      </c>
      <c r="G11" s="16">
        <f>IF($A11="","",COUNTIF(助理班表!$E11:$AI11,"OFF"))</f>
        <v/>
      </c>
      <c r="H11" s="16">
        <f>IF($A11="","",COUNTIF(助理班表!$E11:$AI11,"特"))</f>
        <v/>
      </c>
      <c r="I11" s="16">
        <f>IF($A11="","",COUNTIF(助理班表!$E11:$AI11,"病"))</f>
        <v/>
      </c>
      <c r="J11" s="16">
        <f>IF($A11="","",COUNTIF(助理班表!$E11:$AI11,"事"))</f>
        <v/>
      </c>
      <c r="K11" s="16">
        <f>IF($A11="","",COUNTIF(助理班表!$E11:$AI11,"公"))</f>
        <v/>
      </c>
      <c r="L11" s="16">
        <f>IF($A11="","",COUNTIF(助理班表!$E11:$AI11,"國"))</f>
        <v/>
      </c>
      <c r="M11" s="16">
        <f>IF($A11="","",COUNTIF(助理班表!$E11:$AI11,"支"))</f>
        <v/>
      </c>
      <c r="N11" s="86">
        <f>IF($A11="","",SUMIF(出勤紀錄!$C$3:$C$1862,$A11,出勤紀錄!$Q$3:$Q$1862))</f>
        <v/>
      </c>
      <c r="O11" s="86">
        <f>IF($A11="","",$F11+$N11)</f>
        <v/>
      </c>
      <c r="P11" s="16">
        <f>IF($A11="","",COUNTIFS(出勤紀錄!$C$3:$C$1862,$A11,出勤紀錄!$N$3:$N$1862,"遲到"))</f>
        <v/>
      </c>
      <c r="Q11" s="16">
        <f>IF($A11="","",COUNTIFS(出勤紀錄!$C$3:$C$1862,$A11,出勤紀錄!$N$3:$N$1862,"早退"))</f>
        <v/>
      </c>
      <c r="R11" s="16">
        <f>IF($A11="","",COUNTIFS(出勤紀錄!$C$3:$C$1862,$A11,出勤紀錄!$N$3:$N$1862,"未打卡"))</f>
        <v/>
      </c>
      <c r="S11" s="16">
        <f>IF($A11="","",IF(COUNTA(助理班表!$E11:$AI11)=DAY(EOMONTH(DATE(設定!$C$2,設定!$D$2,1),0)),"OK","⚠ 缺"&amp;(DAY(EOMONTH(DATE(設定!$C$2,設定!$D$2,1),0))-COUNTA(助理班表!$E11:$AI11))&amp;"天"))</f>
        <v/>
      </c>
    </row>
    <row r="12">
      <c r="A12" s="16">
        <f>IF(助理班表!$A12="","",助理班表!$A12)</f>
        <v/>
      </c>
      <c r="B12" s="16">
        <f>IF($A12="","",助理班表!$B12)</f>
        <v/>
      </c>
      <c r="C12" s="16">
        <f>IF($A12="","",助理班表!$C12)</f>
        <v/>
      </c>
      <c r="D12" s="16">
        <f>IF($A12="","",助理班表!$D12)</f>
        <v/>
      </c>
      <c r="E12" s="16">
        <f>IF($A12="","",SUMPRODUCT(COUNTIF(助理班表!$E12:$AI12,設定!$B$6:$B$21),設定!$H$6:$H$21))</f>
        <v/>
      </c>
      <c r="F12" s="86">
        <f>IF($A12="","",SUMPRODUCT(COUNTIF(助理班表!$E12:$AI12,設定!$B$6:$B$21),設定!$G$6:$G$21))</f>
        <v/>
      </c>
      <c r="G12" s="16">
        <f>IF($A12="","",COUNTIF(助理班表!$E12:$AI12,"OFF"))</f>
        <v/>
      </c>
      <c r="H12" s="16">
        <f>IF($A12="","",COUNTIF(助理班表!$E12:$AI12,"特"))</f>
        <v/>
      </c>
      <c r="I12" s="16">
        <f>IF($A12="","",COUNTIF(助理班表!$E12:$AI12,"病"))</f>
        <v/>
      </c>
      <c r="J12" s="16">
        <f>IF($A12="","",COUNTIF(助理班表!$E12:$AI12,"事"))</f>
        <v/>
      </c>
      <c r="K12" s="16">
        <f>IF($A12="","",COUNTIF(助理班表!$E12:$AI12,"公"))</f>
        <v/>
      </c>
      <c r="L12" s="16">
        <f>IF($A12="","",COUNTIF(助理班表!$E12:$AI12,"國"))</f>
        <v/>
      </c>
      <c r="M12" s="16">
        <f>IF($A12="","",COUNTIF(助理班表!$E12:$AI12,"支"))</f>
        <v/>
      </c>
      <c r="N12" s="86">
        <f>IF($A12="","",SUMIF(出勤紀錄!$C$3:$C$1862,$A12,出勤紀錄!$Q$3:$Q$1862))</f>
        <v/>
      </c>
      <c r="O12" s="86">
        <f>IF($A12="","",$F12+$N12)</f>
        <v/>
      </c>
      <c r="P12" s="16">
        <f>IF($A12="","",COUNTIFS(出勤紀錄!$C$3:$C$1862,$A12,出勤紀錄!$N$3:$N$1862,"遲到"))</f>
        <v/>
      </c>
      <c r="Q12" s="16">
        <f>IF($A12="","",COUNTIFS(出勤紀錄!$C$3:$C$1862,$A12,出勤紀錄!$N$3:$N$1862,"早退"))</f>
        <v/>
      </c>
      <c r="R12" s="16">
        <f>IF($A12="","",COUNTIFS(出勤紀錄!$C$3:$C$1862,$A12,出勤紀錄!$N$3:$N$1862,"未打卡"))</f>
        <v/>
      </c>
      <c r="S12" s="16">
        <f>IF($A12="","",IF(COUNTA(助理班表!$E12:$AI12)=DAY(EOMONTH(DATE(設定!$C$2,設定!$D$2,1),0)),"OK","⚠ 缺"&amp;(DAY(EOMONTH(DATE(設定!$C$2,設定!$D$2,1),0))-COUNTA(助理班表!$E12:$AI12))&amp;"天"))</f>
        <v/>
      </c>
    </row>
    <row r="13">
      <c r="A13" s="16">
        <f>IF(助理班表!$A13="","",助理班表!$A13)</f>
        <v/>
      </c>
      <c r="B13" s="16">
        <f>IF($A13="","",助理班表!$B13)</f>
        <v/>
      </c>
      <c r="C13" s="16">
        <f>IF($A13="","",助理班表!$C13)</f>
        <v/>
      </c>
      <c r="D13" s="16">
        <f>IF($A13="","",助理班表!$D13)</f>
        <v/>
      </c>
      <c r="E13" s="16">
        <f>IF($A13="","",SUMPRODUCT(COUNTIF(助理班表!$E13:$AI13,設定!$B$6:$B$21),設定!$H$6:$H$21))</f>
        <v/>
      </c>
      <c r="F13" s="86">
        <f>IF($A13="","",SUMPRODUCT(COUNTIF(助理班表!$E13:$AI13,設定!$B$6:$B$21),設定!$G$6:$G$21))</f>
        <v/>
      </c>
      <c r="G13" s="16">
        <f>IF($A13="","",COUNTIF(助理班表!$E13:$AI13,"OFF"))</f>
        <v/>
      </c>
      <c r="H13" s="16">
        <f>IF($A13="","",COUNTIF(助理班表!$E13:$AI13,"特"))</f>
        <v/>
      </c>
      <c r="I13" s="16">
        <f>IF($A13="","",COUNTIF(助理班表!$E13:$AI13,"病"))</f>
        <v/>
      </c>
      <c r="J13" s="16">
        <f>IF($A13="","",COUNTIF(助理班表!$E13:$AI13,"事"))</f>
        <v/>
      </c>
      <c r="K13" s="16">
        <f>IF($A13="","",COUNTIF(助理班表!$E13:$AI13,"公"))</f>
        <v/>
      </c>
      <c r="L13" s="16">
        <f>IF($A13="","",COUNTIF(助理班表!$E13:$AI13,"國"))</f>
        <v/>
      </c>
      <c r="M13" s="16">
        <f>IF($A13="","",COUNTIF(助理班表!$E13:$AI13,"支"))</f>
        <v/>
      </c>
      <c r="N13" s="86">
        <f>IF($A13="","",SUMIF(出勤紀錄!$C$3:$C$1862,$A13,出勤紀錄!$Q$3:$Q$1862))</f>
        <v/>
      </c>
      <c r="O13" s="86">
        <f>IF($A13="","",$F13+$N13)</f>
        <v/>
      </c>
      <c r="P13" s="16">
        <f>IF($A13="","",COUNTIFS(出勤紀錄!$C$3:$C$1862,$A13,出勤紀錄!$N$3:$N$1862,"遲到"))</f>
        <v/>
      </c>
      <c r="Q13" s="16">
        <f>IF($A13="","",COUNTIFS(出勤紀錄!$C$3:$C$1862,$A13,出勤紀錄!$N$3:$N$1862,"早退"))</f>
        <v/>
      </c>
      <c r="R13" s="16">
        <f>IF($A13="","",COUNTIFS(出勤紀錄!$C$3:$C$1862,$A13,出勤紀錄!$N$3:$N$1862,"未打卡"))</f>
        <v/>
      </c>
      <c r="S13" s="16">
        <f>IF($A13="","",IF(COUNTA(助理班表!$E13:$AI13)=DAY(EOMONTH(DATE(設定!$C$2,設定!$D$2,1),0)),"OK","⚠ 缺"&amp;(DAY(EOMONTH(DATE(設定!$C$2,設定!$D$2,1),0))-COUNTA(助理班表!$E13:$AI13))&amp;"天"))</f>
        <v/>
      </c>
    </row>
    <row r="14">
      <c r="A14" s="16">
        <f>IF(助理班表!$A14="","",助理班表!$A14)</f>
        <v/>
      </c>
      <c r="B14" s="16">
        <f>IF($A14="","",助理班表!$B14)</f>
        <v/>
      </c>
      <c r="C14" s="16">
        <f>IF($A14="","",助理班表!$C14)</f>
        <v/>
      </c>
      <c r="D14" s="16">
        <f>IF($A14="","",助理班表!$D14)</f>
        <v/>
      </c>
      <c r="E14" s="16">
        <f>IF($A14="","",SUMPRODUCT(COUNTIF(助理班表!$E14:$AI14,設定!$B$6:$B$21),設定!$H$6:$H$21))</f>
        <v/>
      </c>
      <c r="F14" s="86">
        <f>IF($A14="","",SUMPRODUCT(COUNTIF(助理班表!$E14:$AI14,設定!$B$6:$B$21),設定!$G$6:$G$21))</f>
        <v/>
      </c>
      <c r="G14" s="16">
        <f>IF($A14="","",COUNTIF(助理班表!$E14:$AI14,"OFF"))</f>
        <v/>
      </c>
      <c r="H14" s="16">
        <f>IF($A14="","",COUNTIF(助理班表!$E14:$AI14,"特"))</f>
        <v/>
      </c>
      <c r="I14" s="16">
        <f>IF($A14="","",COUNTIF(助理班表!$E14:$AI14,"病"))</f>
        <v/>
      </c>
      <c r="J14" s="16">
        <f>IF($A14="","",COUNTIF(助理班表!$E14:$AI14,"事"))</f>
        <v/>
      </c>
      <c r="K14" s="16">
        <f>IF($A14="","",COUNTIF(助理班表!$E14:$AI14,"公"))</f>
        <v/>
      </c>
      <c r="L14" s="16">
        <f>IF($A14="","",COUNTIF(助理班表!$E14:$AI14,"國"))</f>
        <v/>
      </c>
      <c r="M14" s="16">
        <f>IF($A14="","",COUNTIF(助理班表!$E14:$AI14,"支"))</f>
        <v/>
      </c>
      <c r="N14" s="86">
        <f>IF($A14="","",SUMIF(出勤紀錄!$C$3:$C$1862,$A14,出勤紀錄!$Q$3:$Q$1862))</f>
        <v/>
      </c>
      <c r="O14" s="86">
        <f>IF($A14="","",$F14+$N14)</f>
        <v/>
      </c>
      <c r="P14" s="16">
        <f>IF($A14="","",COUNTIFS(出勤紀錄!$C$3:$C$1862,$A14,出勤紀錄!$N$3:$N$1862,"遲到"))</f>
        <v/>
      </c>
      <c r="Q14" s="16">
        <f>IF($A14="","",COUNTIFS(出勤紀錄!$C$3:$C$1862,$A14,出勤紀錄!$N$3:$N$1862,"早退"))</f>
        <v/>
      </c>
      <c r="R14" s="16">
        <f>IF($A14="","",COUNTIFS(出勤紀錄!$C$3:$C$1862,$A14,出勤紀錄!$N$3:$N$1862,"未打卡"))</f>
        <v/>
      </c>
      <c r="S14" s="16">
        <f>IF($A14="","",IF(COUNTA(助理班表!$E14:$AI14)=DAY(EOMONTH(DATE(設定!$C$2,設定!$D$2,1),0)),"OK","⚠ 缺"&amp;(DAY(EOMONTH(DATE(設定!$C$2,設定!$D$2,1),0))-COUNTA(助理班表!$E14:$AI14))&amp;"天"))</f>
        <v/>
      </c>
    </row>
    <row r="15">
      <c r="A15" s="16">
        <f>IF(助理班表!$A15="","",助理班表!$A15)</f>
        <v/>
      </c>
      <c r="B15" s="16">
        <f>IF($A15="","",助理班表!$B15)</f>
        <v/>
      </c>
      <c r="C15" s="16">
        <f>IF($A15="","",助理班表!$C15)</f>
        <v/>
      </c>
      <c r="D15" s="16">
        <f>IF($A15="","",助理班表!$D15)</f>
        <v/>
      </c>
      <c r="E15" s="16">
        <f>IF($A15="","",SUMPRODUCT(COUNTIF(助理班表!$E15:$AI15,設定!$B$6:$B$21),設定!$H$6:$H$21))</f>
        <v/>
      </c>
      <c r="F15" s="86">
        <f>IF($A15="","",SUMPRODUCT(COUNTIF(助理班表!$E15:$AI15,設定!$B$6:$B$21),設定!$G$6:$G$21))</f>
        <v/>
      </c>
      <c r="G15" s="16">
        <f>IF($A15="","",COUNTIF(助理班表!$E15:$AI15,"OFF"))</f>
        <v/>
      </c>
      <c r="H15" s="16">
        <f>IF($A15="","",COUNTIF(助理班表!$E15:$AI15,"特"))</f>
        <v/>
      </c>
      <c r="I15" s="16">
        <f>IF($A15="","",COUNTIF(助理班表!$E15:$AI15,"病"))</f>
        <v/>
      </c>
      <c r="J15" s="16">
        <f>IF($A15="","",COUNTIF(助理班表!$E15:$AI15,"事"))</f>
        <v/>
      </c>
      <c r="K15" s="16">
        <f>IF($A15="","",COUNTIF(助理班表!$E15:$AI15,"公"))</f>
        <v/>
      </c>
      <c r="L15" s="16">
        <f>IF($A15="","",COUNTIF(助理班表!$E15:$AI15,"國"))</f>
        <v/>
      </c>
      <c r="M15" s="16">
        <f>IF($A15="","",COUNTIF(助理班表!$E15:$AI15,"支"))</f>
        <v/>
      </c>
      <c r="N15" s="86">
        <f>IF($A15="","",SUMIF(出勤紀錄!$C$3:$C$1862,$A15,出勤紀錄!$Q$3:$Q$1862))</f>
        <v/>
      </c>
      <c r="O15" s="86">
        <f>IF($A15="","",$F15+$N15)</f>
        <v/>
      </c>
      <c r="P15" s="16">
        <f>IF($A15="","",COUNTIFS(出勤紀錄!$C$3:$C$1862,$A15,出勤紀錄!$N$3:$N$1862,"遲到"))</f>
        <v/>
      </c>
      <c r="Q15" s="16">
        <f>IF($A15="","",COUNTIFS(出勤紀錄!$C$3:$C$1862,$A15,出勤紀錄!$N$3:$N$1862,"早退"))</f>
        <v/>
      </c>
      <c r="R15" s="16">
        <f>IF($A15="","",COUNTIFS(出勤紀錄!$C$3:$C$1862,$A15,出勤紀錄!$N$3:$N$1862,"未打卡"))</f>
        <v/>
      </c>
      <c r="S15" s="16">
        <f>IF($A15="","",IF(COUNTA(助理班表!$E15:$AI15)=DAY(EOMONTH(DATE(設定!$C$2,設定!$D$2,1),0)),"OK","⚠ 缺"&amp;(DAY(EOMONTH(DATE(設定!$C$2,設定!$D$2,1),0))-COUNTA(助理班表!$E15:$AI15))&amp;"天"))</f>
        <v/>
      </c>
    </row>
    <row r="16">
      <c r="A16" s="16">
        <f>IF(助理班表!$A16="","",助理班表!$A16)</f>
        <v/>
      </c>
      <c r="B16" s="16">
        <f>IF($A16="","",助理班表!$B16)</f>
        <v/>
      </c>
      <c r="C16" s="16">
        <f>IF($A16="","",助理班表!$C16)</f>
        <v/>
      </c>
      <c r="D16" s="16">
        <f>IF($A16="","",助理班表!$D16)</f>
        <v/>
      </c>
      <c r="E16" s="16">
        <f>IF($A16="","",SUMPRODUCT(COUNTIF(助理班表!$E16:$AI16,設定!$B$6:$B$21),設定!$H$6:$H$21))</f>
        <v/>
      </c>
      <c r="F16" s="86">
        <f>IF($A16="","",SUMPRODUCT(COUNTIF(助理班表!$E16:$AI16,設定!$B$6:$B$21),設定!$G$6:$G$21))</f>
        <v/>
      </c>
      <c r="G16" s="16">
        <f>IF($A16="","",COUNTIF(助理班表!$E16:$AI16,"OFF"))</f>
        <v/>
      </c>
      <c r="H16" s="16">
        <f>IF($A16="","",COUNTIF(助理班表!$E16:$AI16,"特"))</f>
        <v/>
      </c>
      <c r="I16" s="16">
        <f>IF($A16="","",COUNTIF(助理班表!$E16:$AI16,"病"))</f>
        <v/>
      </c>
      <c r="J16" s="16">
        <f>IF($A16="","",COUNTIF(助理班表!$E16:$AI16,"事"))</f>
        <v/>
      </c>
      <c r="K16" s="16">
        <f>IF($A16="","",COUNTIF(助理班表!$E16:$AI16,"公"))</f>
        <v/>
      </c>
      <c r="L16" s="16">
        <f>IF($A16="","",COUNTIF(助理班表!$E16:$AI16,"國"))</f>
        <v/>
      </c>
      <c r="M16" s="16">
        <f>IF($A16="","",COUNTIF(助理班表!$E16:$AI16,"支"))</f>
        <v/>
      </c>
      <c r="N16" s="86">
        <f>IF($A16="","",SUMIF(出勤紀錄!$C$3:$C$1862,$A16,出勤紀錄!$Q$3:$Q$1862))</f>
        <v/>
      </c>
      <c r="O16" s="86">
        <f>IF($A16="","",$F16+$N16)</f>
        <v/>
      </c>
      <c r="P16" s="16">
        <f>IF($A16="","",COUNTIFS(出勤紀錄!$C$3:$C$1862,$A16,出勤紀錄!$N$3:$N$1862,"遲到"))</f>
        <v/>
      </c>
      <c r="Q16" s="16">
        <f>IF($A16="","",COUNTIFS(出勤紀錄!$C$3:$C$1862,$A16,出勤紀錄!$N$3:$N$1862,"早退"))</f>
        <v/>
      </c>
      <c r="R16" s="16">
        <f>IF($A16="","",COUNTIFS(出勤紀錄!$C$3:$C$1862,$A16,出勤紀錄!$N$3:$N$1862,"未打卡"))</f>
        <v/>
      </c>
      <c r="S16" s="16">
        <f>IF($A16="","",IF(COUNTA(助理班表!$E16:$AI16)=DAY(EOMONTH(DATE(設定!$C$2,設定!$D$2,1),0)),"OK","⚠ 缺"&amp;(DAY(EOMONTH(DATE(設定!$C$2,設定!$D$2,1),0))-COUNTA(助理班表!$E16:$AI16))&amp;"天"))</f>
        <v/>
      </c>
    </row>
    <row r="17">
      <c r="A17" s="16">
        <f>IF(助理班表!$A17="","",助理班表!$A17)</f>
        <v/>
      </c>
      <c r="B17" s="16">
        <f>IF($A17="","",助理班表!$B17)</f>
        <v/>
      </c>
      <c r="C17" s="16">
        <f>IF($A17="","",助理班表!$C17)</f>
        <v/>
      </c>
      <c r="D17" s="16">
        <f>IF($A17="","",助理班表!$D17)</f>
        <v/>
      </c>
      <c r="E17" s="16">
        <f>IF($A17="","",SUMPRODUCT(COUNTIF(助理班表!$E17:$AI17,設定!$B$6:$B$21),設定!$H$6:$H$21))</f>
        <v/>
      </c>
      <c r="F17" s="86">
        <f>IF($A17="","",SUMPRODUCT(COUNTIF(助理班表!$E17:$AI17,設定!$B$6:$B$21),設定!$G$6:$G$21))</f>
        <v/>
      </c>
      <c r="G17" s="16">
        <f>IF($A17="","",COUNTIF(助理班表!$E17:$AI17,"OFF"))</f>
        <v/>
      </c>
      <c r="H17" s="16">
        <f>IF($A17="","",COUNTIF(助理班表!$E17:$AI17,"特"))</f>
        <v/>
      </c>
      <c r="I17" s="16">
        <f>IF($A17="","",COUNTIF(助理班表!$E17:$AI17,"病"))</f>
        <v/>
      </c>
      <c r="J17" s="16">
        <f>IF($A17="","",COUNTIF(助理班表!$E17:$AI17,"事"))</f>
        <v/>
      </c>
      <c r="K17" s="16">
        <f>IF($A17="","",COUNTIF(助理班表!$E17:$AI17,"公"))</f>
        <v/>
      </c>
      <c r="L17" s="16">
        <f>IF($A17="","",COUNTIF(助理班表!$E17:$AI17,"國"))</f>
        <v/>
      </c>
      <c r="M17" s="16">
        <f>IF($A17="","",COUNTIF(助理班表!$E17:$AI17,"支"))</f>
        <v/>
      </c>
      <c r="N17" s="86">
        <f>IF($A17="","",SUMIF(出勤紀錄!$C$3:$C$1862,$A17,出勤紀錄!$Q$3:$Q$1862))</f>
        <v/>
      </c>
      <c r="O17" s="86">
        <f>IF($A17="","",$F17+$N17)</f>
        <v/>
      </c>
      <c r="P17" s="16">
        <f>IF($A17="","",COUNTIFS(出勤紀錄!$C$3:$C$1862,$A17,出勤紀錄!$N$3:$N$1862,"遲到"))</f>
        <v/>
      </c>
      <c r="Q17" s="16">
        <f>IF($A17="","",COUNTIFS(出勤紀錄!$C$3:$C$1862,$A17,出勤紀錄!$N$3:$N$1862,"早退"))</f>
        <v/>
      </c>
      <c r="R17" s="16">
        <f>IF($A17="","",COUNTIFS(出勤紀錄!$C$3:$C$1862,$A17,出勤紀錄!$N$3:$N$1862,"未打卡"))</f>
        <v/>
      </c>
      <c r="S17" s="16">
        <f>IF($A17="","",IF(COUNTA(助理班表!$E17:$AI17)=DAY(EOMONTH(DATE(設定!$C$2,設定!$D$2,1),0)),"OK","⚠ 缺"&amp;(DAY(EOMONTH(DATE(設定!$C$2,設定!$D$2,1),0))-COUNTA(助理班表!$E17:$AI17))&amp;"天"))</f>
        <v/>
      </c>
    </row>
    <row r="18">
      <c r="A18" s="16">
        <f>IF(助理班表!$A18="","",助理班表!$A18)</f>
        <v/>
      </c>
      <c r="B18" s="16">
        <f>IF($A18="","",助理班表!$B18)</f>
        <v/>
      </c>
      <c r="C18" s="16">
        <f>IF($A18="","",助理班表!$C18)</f>
        <v/>
      </c>
      <c r="D18" s="16">
        <f>IF($A18="","",助理班表!$D18)</f>
        <v/>
      </c>
      <c r="E18" s="16">
        <f>IF($A18="","",SUMPRODUCT(COUNTIF(助理班表!$E18:$AI18,設定!$B$6:$B$21),設定!$H$6:$H$21))</f>
        <v/>
      </c>
      <c r="F18" s="86">
        <f>IF($A18="","",SUMPRODUCT(COUNTIF(助理班表!$E18:$AI18,設定!$B$6:$B$21),設定!$G$6:$G$21))</f>
        <v/>
      </c>
      <c r="G18" s="16">
        <f>IF($A18="","",COUNTIF(助理班表!$E18:$AI18,"OFF"))</f>
        <v/>
      </c>
      <c r="H18" s="16">
        <f>IF($A18="","",COUNTIF(助理班表!$E18:$AI18,"特"))</f>
        <v/>
      </c>
      <c r="I18" s="16">
        <f>IF($A18="","",COUNTIF(助理班表!$E18:$AI18,"病"))</f>
        <v/>
      </c>
      <c r="J18" s="16">
        <f>IF($A18="","",COUNTIF(助理班表!$E18:$AI18,"事"))</f>
        <v/>
      </c>
      <c r="K18" s="16">
        <f>IF($A18="","",COUNTIF(助理班表!$E18:$AI18,"公"))</f>
        <v/>
      </c>
      <c r="L18" s="16">
        <f>IF($A18="","",COUNTIF(助理班表!$E18:$AI18,"國"))</f>
        <v/>
      </c>
      <c r="M18" s="16">
        <f>IF($A18="","",COUNTIF(助理班表!$E18:$AI18,"支"))</f>
        <v/>
      </c>
      <c r="N18" s="86">
        <f>IF($A18="","",SUMIF(出勤紀錄!$C$3:$C$1862,$A18,出勤紀錄!$Q$3:$Q$1862))</f>
        <v/>
      </c>
      <c r="O18" s="86">
        <f>IF($A18="","",$F18+$N18)</f>
        <v/>
      </c>
      <c r="P18" s="16">
        <f>IF($A18="","",COUNTIFS(出勤紀錄!$C$3:$C$1862,$A18,出勤紀錄!$N$3:$N$1862,"遲到"))</f>
        <v/>
      </c>
      <c r="Q18" s="16">
        <f>IF($A18="","",COUNTIFS(出勤紀錄!$C$3:$C$1862,$A18,出勤紀錄!$N$3:$N$1862,"早退"))</f>
        <v/>
      </c>
      <c r="R18" s="16">
        <f>IF($A18="","",COUNTIFS(出勤紀錄!$C$3:$C$1862,$A18,出勤紀錄!$N$3:$N$1862,"未打卡"))</f>
        <v/>
      </c>
      <c r="S18" s="16">
        <f>IF($A18="","",IF(COUNTA(助理班表!$E18:$AI18)=DAY(EOMONTH(DATE(設定!$C$2,設定!$D$2,1),0)),"OK","⚠ 缺"&amp;(DAY(EOMONTH(DATE(設定!$C$2,設定!$D$2,1),0))-COUNTA(助理班表!$E18:$AI18))&amp;"天"))</f>
        <v/>
      </c>
    </row>
    <row r="19">
      <c r="A19" s="16">
        <f>IF(助理班表!$A19="","",助理班表!$A19)</f>
        <v/>
      </c>
      <c r="B19" s="16">
        <f>IF($A19="","",助理班表!$B19)</f>
        <v/>
      </c>
      <c r="C19" s="16">
        <f>IF($A19="","",助理班表!$C19)</f>
        <v/>
      </c>
      <c r="D19" s="16">
        <f>IF($A19="","",助理班表!$D19)</f>
        <v/>
      </c>
      <c r="E19" s="16">
        <f>IF($A19="","",SUMPRODUCT(COUNTIF(助理班表!$E19:$AI19,設定!$B$6:$B$21),設定!$H$6:$H$21))</f>
        <v/>
      </c>
      <c r="F19" s="86">
        <f>IF($A19="","",SUMPRODUCT(COUNTIF(助理班表!$E19:$AI19,設定!$B$6:$B$21),設定!$G$6:$G$21))</f>
        <v/>
      </c>
      <c r="G19" s="16">
        <f>IF($A19="","",COUNTIF(助理班表!$E19:$AI19,"OFF"))</f>
        <v/>
      </c>
      <c r="H19" s="16">
        <f>IF($A19="","",COUNTIF(助理班表!$E19:$AI19,"特"))</f>
        <v/>
      </c>
      <c r="I19" s="16">
        <f>IF($A19="","",COUNTIF(助理班表!$E19:$AI19,"病"))</f>
        <v/>
      </c>
      <c r="J19" s="16">
        <f>IF($A19="","",COUNTIF(助理班表!$E19:$AI19,"事"))</f>
        <v/>
      </c>
      <c r="K19" s="16">
        <f>IF($A19="","",COUNTIF(助理班表!$E19:$AI19,"公"))</f>
        <v/>
      </c>
      <c r="L19" s="16">
        <f>IF($A19="","",COUNTIF(助理班表!$E19:$AI19,"國"))</f>
        <v/>
      </c>
      <c r="M19" s="16">
        <f>IF($A19="","",COUNTIF(助理班表!$E19:$AI19,"支"))</f>
        <v/>
      </c>
      <c r="N19" s="86">
        <f>IF($A19="","",SUMIF(出勤紀錄!$C$3:$C$1862,$A19,出勤紀錄!$Q$3:$Q$1862))</f>
        <v/>
      </c>
      <c r="O19" s="86">
        <f>IF($A19="","",$F19+$N19)</f>
        <v/>
      </c>
      <c r="P19" s="16">
        <f>IF($A19="","",COUNTIFS(出勤紀錄!$C$3:$C$1862,$A19,出勤紀錄!$N$3:$N$1862,"遲到"))</f>
        <v/>
      </c>
      <c r="Q19" s="16">
        <f>IF($A19="","",COUNTIFS(出勤紀錄!$C$3:$C$1862,$A19,出勤紀錄!$N$3:$N$1862,"早退"))</f>
        <v/>
      </c>
      <c r="R19" s="16">
        <f>IF($A19="","",COUNTIFS(出勤紀錄!$C$3:$C$1862,$A19,出勤紀錄!$N$3:$N$1862,"未打卡"))</f>
        <v/>
      </c>
      <c r="S19" s="16">
        <f>IF($A19="","",IF(COUNTA(助理班表!$E19:$AI19)=DAY(EOMONTH(DATE(設定!$C$2,設定!$D$2,1),0)),"OK","⚠ 缺"&amp;(DAY(EOMONTH(DATE(設定!$C$2,設定!$D$2,1),0))-COUNTA(助理班表!$E19:$AI19))&amp;"天"))</f>
        <v/>
      </c>
    </row>
    <row r="20">
      <c r="A20" s="16">
        <f>IF(助理班表!$A20="","",助理班表!$A20)</f>
        <v/>
      </c>
      <c r="B20" s="16">
        <f>IF($A20="","",助理班表!$B20)</f>
        <v/>
      </c>
      <c r="C20" s="16">
        <f>IF($A20="","",助理班表!$C20)</f>
        <v/>
      </c>
      <c r="D20" s="16">
        <f>IF($A20="","",助理班表!$D20)</f>
        <v/>
      </c>
      <c r="E20" s="16">
        <f>IF($A20="","",SUMPRODUCT(COUNTIF(助理班表!$E20:$AI20,設定!$B$6:$B$21),設定!$H$6:$H$21))</f>
        <v/>
      </c>
      <c r="F20" s="86">
        <f>IF($A20="","",SUMPRODUCT(COUNTIF(助理班表!$E20:$AI20,設定!$B$6:$B$21),設定!$G$6:$G$21))</f>
        <v/>
      </c>
      <c r="G20" s="16">
        <f>IF($A20="","",COUNTIF(助理班表!$E20:$AI20,"OFF"))</f>
        <v/>
      </c>
      <c r="H20" s="16">
        <f>IF($A20="","",COUNTIF(助理班表!$E20:$AI20,"特"))</f>
        <v/>
      </c>
      <c r="I20" s="16">
        <f>IF($A20="","",COUNTIF(助理班表!$E20:$AI20,"病"))</f>
        <v/>
      </c>
      <c r="J20" s="16">
        <f>IF($A20="","",COUNTIF(助理班表!$E20:$AI20,"事"))</f>
        <v/>
      </c>
      <c r="K20" s="16">
        <f>IF($A20="","",COUNTIF(助理班表!$E20:$AI20,"公"))</f>
        <v/>
      </c>
      <c r="L20" s="16">
        <f>IF($A20="","",COUNTIF(助理班表!$E20:$AI20,"國"))</f>
        <v/>
      </c>
      <c r="M20" s="16">
        <f>IF($A20="","",COUNTIF(助理班表!$E20:$AI20,"支"))</f>
        <v/>
      </c>
      <c r="N20" s="86">
        <f>IF($A20="","",SUMIF(出勤紀錄!$C$3:$C$1862,$A20,出勤紀錄!$Q$3:$Q$1862))</f>
        <v/>
      </c>
      <c r="O20" s="86">
        <f>IF($A20="","",$F20+$N20)</f>
        <v/>
      </c>
      <c r="P20" s="16">
        <f>IF($A20="","",COUNTIFS(出勤紀錄!$C$3:$C$1862,$A20,出勤紀錄!$N$3:$N$1862,"遲到"))</f>
        <v/>
      </c>
      <c r="Q20" s="16">
        <f>IF($A20="","",COUNTIFS(出勤紀錄!$C$3:$C$1862,$A20,出勤紀錄!$N$3:$N$1862,"早退"))</f>
        <v/>
      </c>
      <c r="R20" s="16">
        <f>IF($A20="","",COUNTIFS(出勤紀錄!$C$3:$C$1862,$A20,出勤紀錄!$N$3:$N$1862,"未打卡"))</f>
        <v/>
      </c>
      <c r="S20" s="16">
        <f>IF($A20="","",IF(COUNTA(助理班表!$E20:$AI20)=DAY(EOMONTH(DATE(設定!$C$2,設定!$D$2,1),0)),"OK","⚠ 缺"&amp;(DAY(EOMONTH(DATE(設定!$C$2,設定!$D$2,1),0))-COUNTA(助理班表!$E20:$AI20))&amp;"天"))</f>
        <v/>
      </c>
    </row>
    <row r="21">
      <c r="A21" s="16">
        <f>IF(助理班表!$A21="","",助理班表!$A21)</f>
        <v/>
      </c>
      <c r="B21" s="16">
        <f>IF($A21="","",助理班表!$B21)</f>
        <v/>
      </c>
      <c r="C21" s="16">
        <f>IF($A21="","",助理班表!$C21)</f>
        <v/>
      </c>
      <c r="D21" s="16">
        <f>IF($A21="","",助理班表!$D21)</f>
        <v/>
      </c>
      <c r="E21" s="16">
        <f>IF($A21="","",SUMPRODUCT(COUNTIF(助理班表!$E21:$AI21,設定!$B$6:$B$21),設定!$H$6:$H$21))</f>
        <v/>
      </c>
      <c r="F21" s="86">
        <f>IF($A21="","",SUMPRODUCT(COUNTIF(助理班表!$E21:$AI21,設定!$B$6:$B$21),設定!$G$6:$G$21))</f>
        <v/>
      </c>
      <c r="G21" s="16">
        <f>IF($A21="","",COUNTIF(助理班表!$E21:$AI21,"OFF"))</f>
        <v/>
      </c>
      <c r="H21" s="16">
        <f>IF($A21="","",COUNTIF(助理班表!$E21:$AI21,"特"))</f>
        <v/>
      </c>
      <c r="I21" s="16">
        <f>IF($A21="","",COUNTIF(助理班表!$E21:$AI21,"病"))</f>
        <v/>
      </c>
      <c r="J21" s="16">
        <f>IF($A21="","",COUNTIF(助理班表!$E21:$AI21,"事"))</f>
        <v/>
      </c>
      <c r="K21" s="16">
        <f>IF($A21="","",COUNTIF(助理班表!$E21:$AI21,"公"))</f>
        <v/>
      </c>
      <c r="L21" s="16">
        <f>IF($A21="","",COUNTIF(助理班表!$E21:$AI21,"國"))</f>
        <v/>
      </c>
      <c r="M21" s="16">
        <f>IF($A21="","",COUNTIF(助理班表!$E21:$AI21,"支"))</f>
        <v/>
      </c>
      <c r="N21" s="86">
        <f>IF($A21="","",SUMIF(出勤紀錄!$C$3:$C$1862,$A21,出勤紀錄!$Q$3:$Q$1862))</f>
        <v/>
      </c>
      <c r="O21" s="86">
        <f>IF($A21="","",$F21+$N21)</f>
        <v/>
      </c>
      <c r="P21" s="16">
        <f>IF($A21="","",COUNTIFS(出勤紀錄!$C$3:$C$1862,$A21,出勤紀錄!$N$3:$N$1862,"遲到"))</f>
        <v/>
      </c>
      <c r="Q21" s="16">
        <f>IF($A21="","",COUNTIFS(出勤紀錄!$C$3:$C$1862,$A21,出勤紀錄!$N$3:$N$1862,"早退"))</f>
        <v/>
      </c>
      <c r="R21" s="16">
        <f>IF($A21="","",COUNTIFS(出勤紀錄!$C$3:$C$1862,$A21,出勤紀錄!$N$3:$N$1862,"未打卡"))</f>
        <v/>
      </c>
      <c r="S21" s="16">
        <f>IF($A21="","",IF(COUNTA(助理班表!$E21:$AI21)=DAY(EOMONTH(DATE(設定!$C$2,設定!$D$2,1),0)),"OK","⚠ 缺"&amp;(DAY(EOMONTH(DATE(設定!$C$2,設定!$D$2,1),0))-COUNTA(助理班表!$E21:$AI21))&amp;"天"))</f>
        <v/>
      </c>
    </row>
    <row r="22">
      <c r="A22" s="16">
        <f>IF(助理班表!$A22="","",助理班表!$A22)</f>
        <v/>
      </c>
      <c r="B22" s="16">
        <f>IF($A22="","",助理班表!$B22)</f>
        <v/>
      </c>
      <c r="C22" s="16">
        <f>IF($A22="","",助理班表!$C22)</f>
        <v/>
      </c>
      <c r="D22" s="16">
        <f>IF($A22="","",助理班表!$D22)</f>
        <v/>
      </c>
      <c r="E22" s="16">
        <f>IF($A22="","",SUMPRODUCT(COUNTIF(助理班表!$E22:$AI22,設定!$B$6:$B$21),設定!$H$6:$H$21))</f>
        <v/>
      </c>
      <c r="F22" s="86">
        <f>IF($A22="","",SUMPRODUCT(COUNTIF(助理班表!$E22:$AI22,設定!$B$6:$B$21),設定!$G$6:$G$21))</f>
        <v/>
      </c>
      <c r="G22" s="16">
        <f>IF($A22="","",COUNTIF(助理班表!$E22:$AI22,"OFF"))</f>
        <v/>
      </c>
      <c r="H22" s="16">
        <f>IF($A22="","",COUNTIF(助理班表!$E22:$AI22,"特"))</f>
        <v/>
      </c>
      <c r="I22" s="16">
        <f>IF($A22="","",COUNTIF(助理班表!$E22:$AI22,"病"))</f>
        <v/>
      </c>
      <c r="J22" s="16">
        <f>IF($A22="","",COUNTIF(助理班表!$E22:$AI22,"事"))</f>
        <v/>
      </c>
      <c r="K22" s="16">
        <f>IF($A22="","",COUNTIF(助理班表!$E22:$AI22,"公"))</f>
        <v/>
      </c>
      <c r="L22" s="16">
        <f>IF($A22="","",COUNTIF(助理班表!$E22:$AI22,"國"))</f>
        <v/>
      </c>
      <c r="M22" s="16">
        <f>IF($A22="","",COUNTIF(助理班表!$E22:$AI22,"支"))</f>
        <v/>
      </c>
      <c r="N22" s="86">
        <f>IF($A22="","",SUMIF(出勤紀錄!$C$3:$C$1862,$A22,出勤紀錄!$Q$3:$Q$1862))</f>
        <v/>
      </c>
      <c r="O22" s="86">
        <f>IF($A22="","",$F22+$N22)</f>
        <v/>
      </c>
      <c r="P22" s="16">
        <f>IF($A22="","",COUNTIFS(出勤紀錄!$C$3:$C$1862,$A22,出勤紀錄!$N$3:$N$1862,"遲到"))</f>
        <v/>
      </c>
      <c r="Q22" s="16">
        <f>IF($A22="","",COUNTIFS(出勤紀錄!$C$3:$C$1862,$A22,出勤紀錄!$N$3:$N$1862,"早退"))</f>
        <v/>
      </c>
      <c r="R22" s="16">
        <f>IF($A22="","",COUNTIFS(出勤紀錄!$C$3:$C$1862,$A22,出勤紀錄!$N$3:$N$1862,"未打卡"))</f>
        <v/>
      </c>
      <c r="S22" s="16">
        <f>IF($A22="","",IF(COUNTA(助理班表!$E22:$AI22)=DAY(EOMONTH(DATE(設定!$C$2,設定!$D$2,1),0)),"OK","⚠ 缺"&amp;(DAY(EOMONTH(DATE(設定!$C$2,設定!$D$2,1),0))-COUNTA(助理班表!$E22:$AI22))&amp;"天"))</f>
        <v/>
      </c>
    </row>
    <row r="23">
      <c r="A23" s="16">
        <f>IF(助理班表!$A23="","",助理班表!$A23)</f>
        <v/>
      </c>
      <c r="B23" s="16">
        <f>IF($A23="","",助理班表!$B23)</f>
        <v/>
      </c>
      <c r="C23" s="16">
        <f>IF($A23="","",助理班表!$C23)</f>
        <v/>
      </c>
      <c r="D23" s="16">
        <f>IF($A23="","",助理班表!$D23)</f>
        <v/>
      </c>
      <c r="E23" s="16">
        <f>IF($A23="","",SUMPRODUCT(COUNTIF(助理班表!$E23:$AI23,設定!$B$6:$B$21),設定!$H$6:$H$21))</f>
        <v/>
      </c>
      <c r="F23" s="86">
        <f>IF($A23="","",SUMPRODUCT(COUNTIF(助理班表!$E23:$AI23,設定!$B$6:$B$21),設定!$G$6:$G$21))</f>
        <v/>
      </c>
      <c r="G23" s="16">
        <f>IF($A23="","",COUNTIF(助理班表!$E23:$AI23,"OFF"))</f>
        <v/>
      </c>
      <c r="H23" s="16">
        <f>IF($A23="","",COUNTIF(助理班表!$E23:$AI23,"特"))</f>
        <v/>
      </c>
      <c r="I23" s="16">
        <f>IF($A23="","",COUNTIF(助理班表!$E23:$AI23,"病"))</f>
        <v/>
      </c>
      <c r="J23" s="16">
        <f>IF($A23="","",COUNTIF(助理班表!$E23:$AI23,"事"))</f>
        <v/>
      </c>
      <c r="K23" s="16">
        <f>IF($A23="","",COUNTIF(助理班表!$E23:$AI23,"公"))</f>
        <v/>
      </c>
      <c r="L23" s="16">
        <f>IF($A23="","",COUNTIF(助理班表!$E23:$AI23,"國"))</f>
        <v/>
      </c>
      <c r="M23" s="16">
        <f>IF($A23="","",COUNTIF(助理班表!$E23:$AI23,"支"))</f>
        <v/>
      </c>
      <c r="N23" s="86">
        <f>IF($A23="","",SUMIF(出勤紀錄!$C$3:$C$1862,$A23,出勤紀錄!$Q$3:$Q$1862))</f>
        <v/>
      </c>
      <c r="O23" s="86">
        <f>IF($A23="","",$F23+$N23)</f>
        <v/>
      </c>
      <c r="P23" s="16">
        <f>IF($A23="","",COUNTIFS(出勤紀錄!$C$3:$C$1862,$A23,出勤紀錄!$N$3:$N$1862,"遲到"))</f>
        <v/>
      </c>
      <c r="Q23" s="16">
        <f>IF($A23="","",COUNTIFS(出勤紀錄!$C$3:$C$1862,$A23,出勤紀錄!$N$3:$N$1862,"早退"))</f>
        <v/>
      </c>
      <c r="R23" s="16">
        <f>IF($A23="","",COUNTIFS(出勤紀錄!$C$3:$C$1862,$A23,出勤紀錄!$N$3:$N$1862,"未打卡"))</f>
        <v/>
      </c>
      <c r="S23" s="16">
        <f>IF($A23="","",IF(COUNTA(助理班表!$E23:$AI23)=DAY(EOMONTH(DATE(設定!$C$2,設定!$D$2,1),0)),"OK","⚠ 缺"&amp;(DAY(EOMONTH(DATE(設定!$C$2,設定!$D$2,1),0))-COUNTA(助理班表!$E23:$AI23))&amp;"天"))</f>
        <v/>
      </c>
    </row>
    <row r="24">
      <c r="A24" s="16">
        <f>IF(助理班表!$A24="","",助理班表!$A24)</f>
        <v/>
      </c>
      <c r="B24" s="16">
        <f>IF($A24="","",助理班表!$B24)</f>
        <v/>
      </c>
      <c r="C24" s="16">
        <f>IF($A24="","",助理班表!$C24)</f>
        <v/>
      </c>
      <c r="D24" s="16">
        <f>IF($A24="","",助理班表!$D24)</f>
        <v/>
      </c>
      <c r="E24" s="16">
        <f>IF($A24="","",SUMPRODUCT(COUNTIF(助理班表!$E24:$AI24,設定!$B$6:$B$21),設定!$H$6:$H$21))</f>
        <v/>
      </c>
      <c r="F24" s="86">
        <f>IF($A24="","",SUMPRODUCT(COUNTIF(助理班表!$E24:$AI24,設定!$B$6:$B$21),設定!$G$6:$G$21))</f>
        <v/>
      </c>
      <c r="G24" s="16">
        <f>IF($A24="","",COUNTIF(助理班表!$E24:$AI24,"OFF"))</f>
        <v/>
      </c>
      <c r="H24" s="16">
        <f>IF($A24="","",COUNTIF(助理班表!$E24:$AI24,"特"))</f>
        <v/>
      </c>
      <c r="I24" s="16">
        <f>IF($A24="","",COUNTIF(助理班表!$E24:$AI24,"病"))</f>
        <v/>
      </c>
      <c r="J24" s="16">
        <f>IF($A24="","",COUNTIF(助理班表!$E24:$AI24,"事"))</f>
        <v/>
      </c>
      <c r="K24" s="16">
        <f>IF($A24="","",COUNTIF(助理班表!$E24:$AI24,"公"))</f>
        <v/>
      </c>
      <c r="L24" s="16">
        <f>IF($A24="","",COUNTIF(助理班表!$E24:$AI24,"國"))</f>
        <v/>
      </c>
      <c r="M24" s="16">
        <f>IF($A24="","",COUNTIF(助理班表!$E24:$AI24,"支"))</f>
        <v/>
      </c>
      <c r="N24" s="86">
        <f>IF($A24="","",SUMIF(出勤紀錄!$C$3:$C$1862,$A24,出勤紀錄!$Q$3:$Q$1862))</f>
        <v/>
      </c>
      <c r="O24" s="86">
        <f>IF($A24="","",$F24+$N24)</f>
        <v/>
      </c>
      <c r="P24" s="16">
        <f>IF($A24="","",COUNTIFS(出勤紀錄!$C$3:$C$1862,$A24,出勤紀錄!$N$3:$N$1862,"遲到"))</f>
        <v/>
      </c>
      <c r="Q24" s="16">
        <f>IF($A24="","",COUNTIFS(出勤紀錄!$C$3:$C$1862,$A24,出勤紀錄!$N$3:$N$1862,"早退"))</f>
        <v/>
      </c>
      <c r="R24" s="16">
        <f>IF($A24="","",COUNTIFS(出勤紀錄!$C$3:$C$1862,$A24,出勤紀錄!$N$3:$N$1862,"未打卡"))</f>
        <v/>
      </c>
      <c r="S24" s="16">
        <f>IF($A24="","",IF(COUNTA(助理班表!$E24:$AI24)=DAY(EOMONTH(DATE(設定!$C$2,設定!$D$2,1),0)),"OK","⚠ 缺"&amp;(DAY(EOMONTH(DATE(設定!$C$2,設定!$D$2,1),0))-COUNTA(助理班表!$E24:$AI24))&amp;"天"))</f>
        <v/>
      </c>
    </row>
    <row r="25">
      <c r="A25" s="16">
        <f>IF(助理班表!$A25="","",助理班表!$A25)</f>
        <v/>
      </c>
      <c r="B25" s="16">
        <f>IF($A25="","",助理班表!$B25)</f>
        <v/>
      </c>
      <c r="C25" s="16">
        <f>IF($A25="","",助理班表!$C25)</f>
        <v/>
      </c>
      <c r="D25" s="16">
        <f>IF($A25="","",助理班表!$D25)</f>
        <v/>
      </c>
      <c r="E25" s="16">
        <f>IF($A25="","",SUMPRODUCT(COUNTIF(助理班表!$E25:$AI25,設定!$B$6:$B$21),設定!$H$6:$H$21))</f>
        <v/>
      </c>
      <c r="F25" s="86">
        <f>IF($A25="","",SUMPRODUCT(COUNTIF(助理班表!$E25:$AI25,設定!$B$6:$B$21),設定!$G$6:$G$21))</f>
        <v/>
      </c>
      <c r="G25" s="16">
        <f>IF($A25="","",COUNTIF(助理班表!$E25:$AI25,"OFF"))</f>
        <v/>
      </c>
      <c r="H25" s="16">
        <f>IF($A25="","",COUNTIF(助理班表!$E25:$AI25,"特"))</f>
        <v/>
      </c>
      <c r="I25" s="16">
        <f>IF($A25="","",COUNTIF(助理班表!$E25:$AI25,"病"))</f>
        <v/>
      </c>
      <c r="J25" s="16">
        <f>IF($A25="","",COUNTIF(助理班表!$E25:$AI25,"事"))</f>
        <v/>
      </c>
      <c r="K25" s="16">
        <f>IF($A25="","",COUNTIF(助理班表!$E25:$AI25,"公"))</f>
        <v/>
      </c>
      <c r="L25" s="16">
        <f>IF($A25="","",COUNTIF(助理班表!$E25:$AI25,"國"))</f>
        <v/>
      </c>
      <c r="M25" s="16">
        <f>IF($A25="","",COUNTIF(助理班表!$E25:$AI25,"支"))</f>
        <v/>
      </c>
      <c r="N25" s="86">
        <f>IF($A25="","",SUMIF(出勤紀錄!$C$3:$C$1862,$A25,出勤紀錄!$Q$3:$Q$1862))</f>
        <v/>
      </c>
      <c r="O25" s="86">
        <f>IF($A25="","",$F25+$N25)</f>
        <v/>
      </c>
      <c r="P25" s="16">
        <f>IF($A25="","",COUNTIFS(出勤紀錄!$C$3:$C$1862,$A25,出勤紀錄!$N$3:$N$1862,"遲到"))</f>
        <v/>
      </c>
      <c r="Q25" s="16">
        <f>IF($A25="","",COUNTIFS(出勤紀錄!$C$3:$C$1862,$A25,出勤紀錄!$N$3:$N$1862,"早退"))</f>
        <v/>
      </c>
      <c r="R25" s="16">
        <f>IF($A25="","",COUNTIFS(出勤紀錄!$C$3:$C$1862,$A25,出勤紀錄!$N$3:$N$1862,"未打卡"))</f>
        <v/>
      </c>
      <c r="S25" s="16">
        <f>IF($A25="","",IF(COUNTA(助理班表!$E25:$AI25)=DAY(EOMONTH(DATE(設定!$C$2,設定!$D$2,1),0)),"OK","⚠ 缺"&amp;(DAY(EOMONTH(DATE(設定!$C$2,設定!$D$2,1),0))-COUNTA(助理班表!$E25:$AI25))&amp;"天"))</f>
        <v/>
      </c>
    </row>
    <row r="26">
      <c r="A26" s="16">
        <f>IF(助理班表!$A26="","",助理班表!$A26)</f>
        <v/>
      </c>
      <c r="B26" s="16">
        <f>IF($A26="","",助理班表!$B26)</f>
        <v/>
      </c>
      <c r="C26" s="16">
        <f>IF($A26="","",助理班表!$C26)</f>
        <v/>
      </c>
      <c r="D26" s="16">
        <f>IF($A26="","",助理班表!$D26)</f>
        <v/>
      </c>
      <c r="E26" s="16">
        <f>IF($A26="","",SUMPRODUCT(COUNTIF(助理班表!$E26:$AI26,設定!$B$6:$B$21),設定!$H$6:$H$21))</f>
        <v/>
      </c>
      <c r="F26" s="86">
        <f>IF($A26="","",SUMPRODUCT(COUNTIF(助理班表!$E26:$AI26,設定!$B$6:$B$21),設定!$G$6:$G$21))</f>
        <v/>
      </c>
      <c r="G26" s="16">
        <f>IF($A26="","",COUNTIF(助理班表!$E26:$AI26,"OFF"))</f>
        <v/>
      </c>
      <c r="H26" s="16">
        <f>IF($A26="","",COUNTIF(助理班表!$E26:$AI26,"特"))</f>
        <v/>
      </c>
      <c r="I26" s="16">
        <f>IF($A26="","",COUNTIF(助理班表!$E26:$AI26,"病"))</f>
        <v/>
      </c>
      <c r="J26" s="16">
        <f>IF($A26="","",COUNTIF(助理班表!$E26:$AI26,"事"))</f>
        <v/>
      </c>
      <c r="K26" s="16">
        <f>IF($A26="","",COUNTIF(助理班表!$E26:$AI26,"公"))</f>
        <v/>
      </c>
      <c r="L26" s="16">
        <f>IF($A26="","",COUNTIF(助理班表!$E26:$AI26,"國"))</f>
        <v/>
      </c>
      <c r="M26" s="16">
        <f>IF($A26="","",COUNTIF(助理班表!$E26:$AI26,"支"))</f>
        <v/>
      </c>
      <c r="N26" s="86">
        <f>IF($A26="","",SUMIF(出勤紀錄!$C$3:$C$1862,$A26,出勤紀錄!$Q$3:$Q$1862))</f>
        <v/>
      </c>
      <c r="O26" s="86">
        <f>IF($A26="","",$F26+$N26)</f>
        <v/>
      </c>
      <c r="P26" s="16">
        <f>IF($A26="","",COUNTIFS(出勤紀錄!$C$3:$C$1862,$A26,出勤紀錄!$N$3:$N$1862,"遲到"))</f>
        <v/>
      </c>
      <c r="Q26" s="16">
        <f>IF($A26="","",COUNTIFS(出勤紀錄!$C$3:$C$1862,$A26,出勤紀錄!$N$3:$N$1862,"早退"))</f>
        <v/>
      </c>
      <c r="R26" s="16">
        <f>IF($A26="","",COUNTIFS(出勤紀錄!$C$3:$C$1862,$A26,出勤紀錄!$N$3:$N$1862,"未打卡"))</f>
        <v/>
      </c>
      <c r="S26" s="16">
        <f>IF($A26="","",IF(COUNTA(助理班表!$E26:$AI26)=DAY(EOMONTH(DATE(設定!$C$2,設定!$D$2,1),0)),"OK","⚠ 缺"&amp;(DAY(EOMONTH(DATE(設定!$C$2,設定!$D$2,1),0))-COUNTA(助理班表!$E26:$AI26))&amp;"天"))</f>
        <v/>
      </c>
    </row>
    <row r="27">
      <c r="A27" s="16">
        <f>IF(助理班表!$A27="","",助理班表!$A27)</f>
        <v/>
      </c>
      <c r="B27" s="16">
        <f>IF($A27="","",助理班表!$B27)</f>
        <v/>
      </c>
      <c r="C27" s="16">
        <f>IF($A27="","",助理班表!$C27)</f>
        <v/>
      </c>
      <c r="D27" s="16">
        <f>IF($A27="","",助理班表!$D27)</f>
        <v/>
      </c>
      <c r="E27" s="16">
        <f>IF($A27="","",SUMPRODUCT(COUNTIF(助理班表!$E27:$AI27,設定!$B$6:$B$21),設定!$H$6:$H$21))</f>
        <v/>
      </c>
      <c r="F27" s="86">
        <f>IF($A27="","",SUMPRODUCT(COUNTIF(助理班表!$E27:$AI27,設定!$B$6:$B$21),設定!$G$6:$G$21))</f>
        <v/>
      </c>
      <c r="G27" s="16">
        <f>IF($A27="","",COUNTIF(助理班表!$E27:$AI27,"OFF"))</f>
        <v/>
      </c>
      <c r="H27" s="16">
        <f>IF($A27="","",COUNTIF(助理班表!$E27:$AI27,"特"))</f>
        <v/>
      </c>
      <c r="I27" s="16">
        <f>IF($A27="","",COUNTIF(助理班表!$E27:$AI27,"病"))</f>
        <v/>
      </c>
      <c r="J27" s="16">
        <f>IF($A27="","",COUNTIF(助理班表!$E27:$AI27,"事"))</f>
        <v/>
      </c>
      <c r="K27" s="16">
        <f>IF($A27="","",COUNTIF(助理班表!$E27:$AI27,"公"))</f>
        <v/>
      </c>
      <c r="L27" s="16">
        <f>IF($A27="","",COUNTIF(助理班表!$E27:$AI27,"國"))</f>
        <v/>
      </c>
      <c r="M27" s="16">
        <f>IF($A27="","",COUNTIF(助理班表!$E27:$AI27,"支"))</f>
        <v/>
      </c>
      <c r="N27" s="86">
        <f>IF($A27="","",SUMIF(出勤紀錄!$C$3:$C$1862,$A27,出勤紀錄!$Q$3:$Q$1862))</f>
        <v/>
      </c>
      <c r="O27" s="86">
        <f>IF($A27="","",$F27+$N27)</f>
        <v/>
      </c>
      <c r="P27" s="16">
        <f>IF($A27="","",COUNTIFS(出勤紀錄!$C$3:$C$1862,$A27,出勤紀錄!$N$3:$N$1862,"遲到"))</f>
        <v/>
      </c>
      <c r="Q27" s="16">
        <f>IF($A27="","",COUNTIFS(出勤紀錄!$C$3:$C$1862,$A27,出勤紀錄!$N$3:$N$1862,"早退"))</f>
        <v/>
      </c>
      <c r="R27" s="16">
        <f>IF($A27="","",COUNTIFS(出勤紀錄!$C$3:$C$1862,$A27,出勤紀錄!$N$3:$N$1862,"未打卡"))</f>
        <v/>
      </c>
      <c r="S27" s="16">
        <f>IF($A27="","",IF(COUNTA(助理班表!$E27:$AI27)=DAY(EOMONTH(DATE(設定!$C$2,設定!$D$2,1),0)),"OK","⚠ 缺"&amp;(DAY(EOMONTH(DATE(設定!$C$2,設定!$D$2,1),0))-COUNTA(助理班表!$E27:$AI27))&amp;"天"))</f>
        <v/>
      </c>
    </row>
    <row r="28">
      <c r="A28" s="16">
        <f>IF(助理班表!$A28="","",助理班表!$A28)</f>
        <v/>
      </c>
      <c r="B28" s="16">
        <f>IF($A28="","",助理班表!$B28)</f>
        <v/>
      </c>
      <c r="C28" s="16">
        <f>IF($A28="","",助理班表!$C28)</f>
        <v/>
      </c>
      <c r="D28" s="16">
        <f>IF($A28="","",助理班表!$D28)</f>
        <v/>
      </c>
      <c r="E28" s="16">
        <f>IF($A28="","",SUMPRODUCT(COUNTIF(助理班表!$E28:$AI28,設定!$B$6:$B$21),設定!$H$6:$H$21))</f>
        <v/>
      </c>
      <c r="F28" s="86">
        <f>IF($A28="","",SUMPRODUCT(COUNTIF(助理班表!$E28:$AI28,設定!$B$6:$B$21),設定!$G$6:$G$21))</f>
        <v/>
      </c>
      <c r="G28" s="16">
        <f>IF($A28="","",COUNTIF(助理班表!$E28:$AI28,"OFF"))</f>
        <v/>
      </c>
      <c r="H28" s="16">
        <f>IF($A28="","",COUNTIF(助理班表!$E28:$AI28,"特"))</f>
        <v/>
      </c>
      <c r="I28" s="16">
        <f>IF($A28="","",COUNTIF(助理班表!$E28:$AI28,"病"))</f>
        <v/>
      </c>
      <c r="J28" s="16">
        <f>IF($A28="","",COUNTIF(助理班表!$E28:$AI28,"事"))</f>
        <v/>
      </c>
      <c r="K28" s="16">
        <f>IF($A28="","",COUNTIF(助理班表!$E28:$AI28,"公"))</f>
        <v/>
      </c>
      <c r="L28" s="16">
        <f>IF($A28="","",COUNTIF(助理班表!$E28:$AI28,"國"))</f>
        <v/>
      </c>
      <c r="M28" s="16">
        <f>IF($A28="","",COUNTIF(助理班表!$E28:$AI28,"支"))</f>
        <v/>
      </c>
      <c r="N28" s="86">
        <f>IF($A28="","",SUMIF(出勤紀錄!$C$3:$C$1862,$A28,出勤紀錄!$Q$3:$Q$1862))</f>
        <v/>
      </c>
      <c r="O28" s="86">
        <f>IF($A28="","",$F28+$N28)</f>
        <v/>
      </c>
      <c r="P28" s="16">
        <f>IF($A28="","",COUNTIFS(出勤紀錄!$C$3:$C$1862,$A28,出勤紀錄!$N$3:$N$1862,"遲到"))</f>
        <v/>
      </c>
      <c r="Q28" s="16">
        <f>IF($A28="","",COUNTIFS(出勤紀錄!$C$3:$C$1862,$A28,出勤紀錄!$N$3:$N$1862,"早退"))</f>
        <v/>
      </c>
      <c r="R28" s="16">
        <f>IF($A28="","",COUNTIFS(出勤紀錄!$C$3:$C$1862,$A28,出勤紀錄!$N$3:$N$1862,"未打卡"))</f>
        <v/>
      </c>
      <c r="S28" s="16">
        <f>IF($A28="","",IF(COUNTA(助理班表!$E28:$AI28)=DAY(EOMONTH(DATE(設定!$C$2,設定!$D$2,1),0)),"OK","⚠ 缺"&amp;(DAY(EOMONTH(DATE(設定!$C$2,設定!$D$2,1),0))-COUNTA(助理班表!$E28:$AI28))&amp;"天"))</f>
        <v/>
      </c>
    </row>
    <row r="29">
      <c r="A29" s="16">
        <f>IF(助理班表!$A29="","",助理班表!$A29)</f>
        <v/>
      </c>
      <c r="B29" s="16">
        <f>IF($A29="","",助理班表!$B29)</f>
        <v/>
      </c>
      <c r="C29" s="16">
        <f>IF($A29="","",助理班表!$C29)</f>
        <v/>
      </c>
      <c r="D29" s="16">
        <f>IF($A29="","",助理班表!$D29)</f>
        <v/>
      </c>
      <c r="E29" s="16">
        <f>IF($A29="","",SUMPRODUCT(COUNTIF(助理班表!$E29:$AI29,設定!$B$6:$B$21),設定!$H$6:$H$21))</f>
        <v/>
      </c>
      <c r="F29" s="86">
        <f>IF($A29="","",SUMPRODUCT(COUNTIF(助理班表!$E29:$AI29,設定!$B$6:$B$21),設定!$G$6:$G$21))</f>
        <v/>
      </c>
      <c r="G29" s="16">
        <f>IF($A29="","",COUNTIF(助理班表!$E29:$AI29,"OFF"))</f>
        <v/>
      </c>
      <c r="H29" s="16">
        <f>IF($A29="","",COUNTIF(助理班表!$E29:$AI29,"特"))</f>
        <v/>
      </c>
      <c r="I29" s="16">
        <f>IF($A29="","",COUNTIF(助理班表!$E29:$AI29,"病"))</f>
        <v/>
      </c>
      <c r="J29" s="16">
        <f>IF($A29="","",COUNTIF(助理班表!$E29:$AI29,"事"))</f>
        <v/>
      </c>
      <c r="K29" s="16">
        <f>IF($A29="","",COUNTIF(助理班表!$E29:$AI29,"公"))</f>
        <v/>
      </c>
      <c r="L29" s="16">
        <f>IF($A29="","",COUNTIF(助理班表!$E29:$AI29,"國"))</f>
        <v/>
      </c>
      <c r="M29" s="16">
        <f>IF($A29="","",COUNTIF(助理班表!$E29:$AI29,"支"))</f>
        <v/>
      </c>
      <c r="N29" s="86">
        <f>IF($A29="","",SUMIF(出勤紀錄!$C$3:$C$1862,$A29,出勤紀錄!$Q$3:$Q$1862))</f>
        <v/>
      </c>
      <c r="O29" s="86">
        <f>IF($A29="","",$F29+$N29)</f>
        <v/>
      </c>
      <c r="P29" s="16">
        <f>IF($A29="","",COUNTIFS(出勤紀錄!$C$3:$C$1862,$A29,出勤紀錄!$N$3:$N$1862,"遲到"))</f>
        <v/>
      </c>
      <c r="Q29" s="16">
        <f>IF($A29="","",COUNTIFS(出勤紀錄!$C$3:$C$1862,$A29,出勤紀錄!$N$3:$N$1862,"早退"))</f>
        <v/>
      </c>
      <c r="R29" s="16">
        <f>IF($A29="","",COUNTIFS(出勤紀錄!$C$3:$C$1862,$A29,出勤紀錄!$N$3:$N$1862,"未打卡"))</f>
        <v/>
      </c>
      <c r="S29" s="16">
        <f>IF($A29="","",IF(COUNTA(助理班表!$E29:$AI29)=DAY(EOMONTH(DATE(設定!$C$2,設定!$D$2,1),0)),"OK","⚠ 缺"&amp;(DAY(EOMONTH(DATE(設定!$C$2,設定!$D$2,1),0))-COUNTA(助理班表!$E29:$AI29))&amp;"天"))</f>
        <v/>
      </c>
    </row>
    <row r="30">
      <c r="A30" s="16">
        <f>IF(助理班表!$A30="","",助理班表!$A30)</f>
        <v/>
      </c>
      <c r="B30" s="16">
        <f>IF($A30="","",助理班表!$B30)</f>
        <v/>
      </c>
      <c r="C30" s="16">
        <f>IF($A30="","",助理班表!$C30)</f>
        <v/>
      </c>
      <c r="D30" s="16">
        <f>IF($A30="","",助理班表!$D30)</f>
        <v/>
      </c>
      <c r="E30" s="16">
        <f>IF($A30="","",SUMPRODUCT(COUNTIF(助理班表!$E30:$AI30,設定!$B$6:$B$21),設定!$H$6:$H$21))</f>
        <v/>
      </c>
      <c r="F30" s="86">
        <f>IF($A30="","",SUMPRODUCT(COUNTIF(助理班表!$E30:$AI30,設定!$B$6:$B$21),設定!$G$6:$G$21))</f>
        <v/>
      </c>
      <c r="G30" s="16">
        <f>IF($A30="","",COUNTIF(助理班表!$E30:$AI30,"OFF"))</f>
        <v/>
      </c>
      <c r="H30" s="16">
        <f>IF($A30="","",COUNTIF(助理班表!$E30:$AI30,"特"))</f>
        <v/>
      </c>
      <c r="I30" s="16">
        <f>IF($A30="","",COUNTIF(助理班表!$E30:$AI30,"病"))</f>
        <v/>
      </c>
      <c r="J30" s="16">
        <f>IF($A30="","",COUNTIF(助理班表!$E30:$AI30,"事"))</f>
        <v/>
      </c>
      <c r="K30" s="16">
        <f>IF($A30="","",COUNTIF(助理班表!$E30:$AI30,"公"))</f>
        <v/>
      </c>
      <c r="L30" s="16">
        <f>IF($A30="","",COUNTIF(助理班表!$E30:$AI30,"國"))</f>
        <v/>
      </c>
      <c r="M30" s="16">
        <f>IF($A30="","",COUNTIF(助理班表!$E30:$AI30,"支"))</f>
        <v/>
      </c>
      <c r="N30" s="86">
        <f>IF($A30="","",SUMIF(出勤紀錄!$C$3:$C$1862,$A30,出勤紀錄!$Q$3:$Q$1862))</f>
        <v/>
      </c>
      <c r="O30" s="86">
        <f>IF($A30="","",$F30+$N30)</f>
        <v/>
      </c>
      <c r="P30" s="16">
        <f>IF($A30="","",COUNTIFS(出勤紀錄!$C$3:$C$1862,$A30,出勤紀錄!$N$3:$N$1862,"遲到"))</f>
        <v/>
      </c>
      <c r="Q30" s="16">
        <f>IF($A30="","",COUNTIFS(出勤紀錄!$C$3:$C$1862,$A30,出勤紀錄!$N$3:$N$1862,"早退"))</f>
        <v/>
      </c>
      <c r="R30" s="16">
        <f>IF($A30="","",COUNTIFS(出勤紀錄!$C$3:$C$1862,$A30,出勤紀錄!$N$3:$N$1862,"未打卡"))</f>
        <v/>
      </c>
      <c r="S30" s="16">
        <f>IF($A30="","",IF(COUNTA(助理班表!$E30:$AI30)=DAY(EOMONTH(DATE(設定!$C$2,設定!$D$2,1),0)),"OK","⚠ 缺"&amp;(DAY(EOMONTH(DATE(設定!$C$2,設定!$D$2,1),0))-COUNTA(助理班表!$E30:$AI30))&amp;"天"))</f>
        <v/>
      </c>
    </row>
    <row r="31">
      <c r="A31" s="16">
        <f>IF(助理班表!$A31="","",助理班表!$A31)</f>
        <v/>
      </c>
      <c r="B31" s="16">
        <f>IF($A31="","",助理班表!$B31)</f>
        <v/>
      </c>
      <c r="C31" s="16">
        <f>IF($A31="","",助理班表!$C31)</f>
        <v/>
      </c>
      <c r="D31" s="16">
        <f>IF($A31="","",助理班表!$D31)</f>
        <v/>
      </c>
      <c r="E31" s="16">
        <f>IF($A31="","",SUMPRODUCT(COUNTIF(助理班表!$E31:$AI31,設定!$B$6:$B$21),設定!$H$6:$H$21))</f>
        <v/>
      </c>
      <c r="F31" s="86">
        <f>IF($A31="","",SUMPRODUCT(COUNTIF(助理班表!$E31:$AI31,設定!$B$6:$B$21),設定!$G$6:$G$21))</f>
        <v/>
      </c>
      <c r="G31" s="16">
        <f>IF($A31="","",COUNTIF(助理班表!$E31:$AI31,"OFF"))</f>
        <v/>
      </c>
      <c r="H31" s="16">
        <f>IF($A31="","",COUNTIF(助理班表!$E31:$AI31,"特"))</f>
        <v/>
      </c>
      <c r="I31" s="16">
        <f>IF($A31="","",COUNTIF(助理班表!$E31:$AI31,"病"))</f>
        <v/>
      </c>
      <c r="J31" s="16">
        <f>IF($A31="","",COUNTIF(助理班表!$E31:$AI31,"事"))</f>
        <v/>
      </c>
      <c r="K31" s="16">
        <f>IF($A31="","",COUNTIF(助理班表!$E31:$AI31,"公"))</f>
        <v/>
      </c>
      <c r="L31" s="16">
        <f>IF($A31="","",COUNTIF(助理班表!$E31:$AI31,"國"))</f>
        <v/>
      </c>
      <c r="M31" s="16">
        <f>IF($A31="","",COUNTIF(助理班表!$E31:$AI31,"支"))</f>
        <v/>
      </c>
      <c r="N31" s="86">
        <f>IF($A31="","",SUMIF(出勤紀錄!$C$3:$C$1862,$A31,出勤紀錄!$Q$3:$Q$1862))</f>
        <v/>
      </c>
      <c r="O31" s="86">
        <f>IF($A31="","",$F31+$N31)</f>
        <v/>
      </c>
      <c r="P31" s="16">
        <f>IF($A31="","",COUNTIFS(出勤紀錄!$C$3:$C$1862,$A31,出勤紀錄!$N$3:$N$1862,"遲到"))</f>
        <v/>
      </c>
      <c r="Q31" s="16">
        <f>IF($A31="","",COUNTIFS(出勤紀錄!$C$3:$C$1862,$A31,出勤紀錄!$N$3:$N$1862,"早退"))</f>
        <v/>
      </c>
      <c r="R31" s="16">
        <f>IF($A31="","",COUNTIFS(出勤紀錄!$C$3:$C$1862,$A31,出勤紀錄!$N$3:$N$1862,"未打卡"))</f>
        <v/>
      </c>
      <c r="S31" s="16">
        <f>IF($A31="","",IF(COUNTA(助理班表!$E31:$AI31)=DAY(EOMONTH(DATE(設定!$C$2,設定!$D$2,1),0)),"OK","⚠ 缺"&amp;(DAY(EOMONTH(DATE(設定!$C$2,設定!$D$2,1),0))-COUNTA(助理班表!$E31:$AI31))&amp;"天"))</f>
        <v/>
      </c>
    </row>
    <row r="32">
      <c r="A32" s="16">
        <f>IF(助理班表!$A32="","",助理班表!$A32)</f>
        <v/>
      </c>
      <c r="B32" s="16">
        <f>IF($A32="","",助理班表!$B32)</f>
        <v/>
      </c>
      <c r="C32" s="16">
        <f>IF($A32="","",助理班表!$C32)</f>
        <v/>
      </c>
      <c r="D32" s="16">
        <f>IF($A32="","",助理班表!$D32)</f>
        <v/>
      </c>
      <c r="E32" s="16">
        <f>IF($A32="","",SUMPRODUCT(COUNTIF(助理班表!$E32:$AI32,設定!$B$6:$B$21),設定!$H$6:$H$21))</f>
        <v/>
      </c>
      <c r="F32" s="86">
        <f>IF($A32="","",SUMPRODUCT(COUNTIF(助理班表!$E32:$AI32,設定!$B$6:$B$21),設定!$G$6:$G$21))</f>
        <v/>
      </c>
      <c r="G32" s="16">
        <f>IF($A32="","",COUNTIF(助理班表!$E32:$AI32,"OFF"))</f>
        <v/>
      </c>
      <c r="H32" s="16">
        <f>IF($A32="","",COUNTIF(助理班表!$E32:$AI32,"特"))</f>
        <v/>
      </c>
      <c r="I32" s="16">
        <f>IF($A32="","",COUNTIF(助理班表!$E32:$AI32,"病"))</f>
        <v/>
      </c>
      <c r="J32" s="16">
        <f>IF($A32="","",COUNTIF(助理班表!$E32:$AI32,"事"))</f>
        <v/>
      </c>
      <c r="K32" s="16">
        <f>IF($A32="","",COUNTIF(助理班表!$E32:$AI32,"公"))</f>
        <v/>
      </c>
      <c r="L32" s="16">
        <f>IF($A32="","",COUNTIF(助理班表!$E32:$AI32,"國"))</f>
        <v/>
      </c>
      <c r="M32" s="16">
        <f>IF($A32="","",COUNTIF(助理班表!$E32:$AI32,"支"))</f>
        <v/>
      </c>
      <c r="N32" s="86">
        <f>IF($A32="","",SUMIF(出勤紀錄!$C$3:$C$1862,$A32,出勤紀錄!$Q$3:$Q$1862))</f>
        <v/>
      </c>
      <c r="O32" s="86">
        <f>IF($A32="","",$F32+$N32)</f>
        <v/>
      </c>
      <c r="P32" s="16">
        <f>IF($A32="","",COUNTIFS(出勤紀錄!$C$3:$C$1862,$A32,出勤紀錄!$N$3:$N$1862,"遲到"))</f>
        <v/>
      </c>
      <c r="Q32" s="16">
        <f>IF($A32="","",COUNTIFS(出勤紀錄!$C$3:$C$1862,$A32,出勤紀錄!$N$3:$N$1862,"早退"))</f>
        <v/>
      </c>
      <c r="R32" s="16">
        <f>IF($A32="","",COUNTIFS(出勤紀錄!$C$3:$C$1862,$A32,出勤紀錄!$N$3:$N$1862,"未打卡"))</f>
        <v/>
      </c>
      <c r="S32" s="16">
        <f>IF($A32="","",IF(COUNTA(助理班表!$E32:$AI32)=DAY(EOMONTH(DATE(設定!$C$2,設定!$D$2,1),0)),"OK","⚠ 缺"&amp;(DAY(EOMONTH(DATE(設定!$C$2,設定!$D$2,1),0))-COUNTA(助理班表!$E32:$AI32))&amp;"天"))</f>
        <v/>
      </c>
    </row>
    <row r="33">
      <c r="A33" s="16">
        <f>IF(助理班表!$A33="","",助理班表!$A33)</f>
        <v/>
      </c>
      <c r="B33" s="16">
        <f>IF($A33="","",助理班表!$B33)</f>
        <v/>
      </c>
      <c r="C33" s="16">
        <f>IF($A33="","",助理班表!$C33)</f>
        <v/>
      </c>
      <c r="D33" s="16">
        <f>IF($A33="","",助理班表!$D33)</f>
        <v/>
      </c>
      <c r="E33" s="16">
        <f>IF($A33="","",SUMPRODUCT(COUNTIF(助理班表!$E33:$AI33,設定!$B$6:$B$21),設定!$H$6:$H$21))</f>
        <v/>
      </c>
      <c r="F33" s="86">
        <f>IF($A33="","",SUMPRODUCT(COUNTIF(助理班表!$E33:$AI33,設定!$B$6:$B$21),設定!$G$6:$G$21))</f>
        <v/>
      </c>
      <c r="G33" s="16">
        <f>IF($A33="","",COUNTIF(助理班表!$E33:$AI33,"OFF"))</f>
        <v/>
      </c>
      <c r="H33" s="16">
        <f>IF($A33="","",COUNTIF(助理班表!$E33:$AI33,"特"))</f>
        <v/>
      </c>
      <c r="I33" s="16">
        <f>IF($A33="","",COUNTIF(助理班表!$E33:$AI33,"病"))</f>
        <v/>
      </c>
      <c r="J33" s="16">
        <f>IF($A33="","",COUNTIF(助理班表!$E33:$AI33,"事"))</f>
        <v/>
      </c>
      <c r="K33" s="16">
        <f>IF($A33="","",COUNTIF(助理班表!$E33:$AI33,"公"))</f>
        <v/>
      </c>
      <c r="L33" s="16">
        <f>IF($A33="","",COUNTIF(助理班表!$E33:$AI33,"國"))</f>
        <v/>
      </c>
      <c r="M33" s="16">
        <f>IF($A33="","",COUNTIF(助理班表!$E33:$AI33,"支"))</f>
        <v/>
      </c>
      <c r="N33" s="86">
        <f>IF($A33="","",SUMIF(出勤紀錄!$C$3:$C$1862,$A33,出勤紀錄!$Q$3:$Q$1862))</f>
        <v/>
      </c>
      <c r="O33" s="86">
        <f>IF($A33="","",$F33+$N33)</f>
        <v/>
      </c>
      <c r="P33" s="16">
        <f>IF($A33="","",COUNTIFS(出勤紀錄!$C$3:$C$1862,$A33,出勤紀錄!$N$3:$N$1862,"遲到"))</f>
        <v/>
      </c>
      <c r="Q33" s="16">
        <f>IF($A33="","",COUNTIFS(出勤紀錄!$C$3:$C$1862,$A33,出勤紀錄!$N$3:$N$1862,"早退"))</f>
        <v/>
      </c>
      <c r="R33" s="16">
        <f>IF($A33="","",COUNTIFS(出勤紀錄!$C$3:$C$1862,$A33,出勤紀錄!$N$3:$N$1862,"未打卡"))</f>
        <v/>
      </c>
      <c r="S33" s="16">
        <f>IF($A33="","",IF(COUNTA(助理班表!$E33:$AI33)=DAY(EOMONTH(DATE(設定!$C$2,設定!$D$2,1),0)),"OK","⚠ 缺"&amp;(DAY(EOMONTH(DATE(設定!$C$2,設定!$D$2,1),0))-COUNTA(助理班表!$E33:$AI33))&amp;"天"))</f>
        <v/>
      </c>
    </row>
    <row r="34">
      <c r="A34" s="16">
        <f>IF(助理班表!$A34="","",助理班表!$A34)</f>
        <v/>
      </c>
      <c r="B34" s="16">
        <f>IF($A34="","",助理班表!$B34)</f>
        <v/>
      </c>
      <c r="C34" s="16">
        <f>IF($A34="","",助理班表!$C34)</f>
        <v/>
      </c>
      <c r="D34" s="16">
        <f>IF($A34="","",助理班表!$D34)</f>
        <v/>
      </c>
      <c r="E34" s="16">
        <f>IF($A34="","",SUMPRODUCT(COUNTIF(助理班表!$E34:$AI34,設定!$B$6:$B$21),設定!$H$6:$H$21))</f>
        <v/>
      </c>
      <c r="F34" s="86">
        <f>IF($A34="","",SUMPRODUCT(COUNTIF(助理班表!$E34:$AI34,設定!$B$6:$B$21),設定!$G$6:$G$21))</f>
        <v/>
      </c>
      <c r="G34" s="16">
        <f>IF($A34="","",COUNTIF(助理班表!$E34:$AI34,"OFF"))</f>
        <v/>
      </c>
      <c r="H34" s="16">
        <f>IF($A34="","",COUNTIF(助理班表!$E34:$AI34,"特"))</f>
        <v/>
      </c>
      <c r="I34" s="16">
        <f>IF($A34="","",COUNTIF(助理班表!$E34:$AI34,"病"))</f>
        <v/>
      </c>
      <c r="J34" s="16">
        <f>IF($A34="","",COUNTIF(助理班表!$E34:$AI34,"事"))</f>
        <v/>
      </c>
      <c r="K34" s="16">
        <f>IF($A34="","",COUNTIF(助理班表!$E34:$AI34,"公"))</f>
        <v/>
      </c>
      <c r="L34" s="16">
        <f>IF($A34="","",COUNTIF(助理班表!$E34:$AI34,"國"))</f>
        <v/>
      </c>
      <c r="M34" s="16">
        <f>IF($A34="","",COUNTIF(助理班表!$E34:$AI34,"支"))</f>
        <v/>
      </c>
      <c r="N34" s="86">
        <f>IF($A34="","",SUMIF(出勤紀錄!$C$3:$C$1862,$A34,出勤紀錄!$Q$3:$Q$1862))</f>
        <v/>
      </c>
      <c r="O34" s="86">
        <f>IF($A34="","",$F34+$N34)</f>
        <v/>
      </c>
      <c r="P34" s="16">
        <f>IF($A34="","",COUNTIFS(出勤紀錄!$C$3:$C$1862,$A34,出勤紀錄!$N$3:$N$1862,"遲到"))</f>
        <v/>
      </c>
      <c r="Q34" s="16">
        <f>IF($A34="","",COUNTIFS(出勤紀錄!$C$3:$C$1862,$A34,出勤紀錄!$N$3:$N$1862,"早退"))</f>
        <v/>
      </c>
      <c r="R34" s="16">
        <f>IF($A34="","",COUNTIFS(出勤紀錄!$C$3:$C$1862,$A34,出勤紀錄!$N$3:$N$1862,"未打卡"))</f>
        <v/>
      </c>
      <c r="S34" s="16">
        <f>IF($A34="","",IF(COUNTA(助理班表!$E34:$AI34)=DAY(EOMONTH(DATE(設定!$C$2,設定!$D$2,1),0)),"OK","⚠ 缺"&amp;(DAY(EOMONTH(DATE(設定!$C$2,設定!$D$2,1),0))-COUNTA(助理班表!$E34:$AI34))&amp;"天"))</f>
        <v/>
      </c>
    </row>
    <row r="35">
      <c r="A35" s="16">
        <f>IF(助理班表!$A35="","",助理班表!$A35)</f>
        <v/>
      </c>
      <c r="B35" s="16">
        <f>IF($A35="","",助理班表!$B35)</f>
        <v/>
      </c>
      <c r="C35" s="16">
        <f>IF($A35="","",助理班表!$C35)</f>
        <v/>
      </c>
      <c r="D35" s="16">
        <f>IF($A35="","",助理班表!$D35)</f>
        <v/>
      </c>
      <c r="E35" s="16">
        <f>IF($A35="","",SUMPRODUCT(COUNTIF(助理班表!$E35:$AI35,設定!$B$6:$B$21),設定!$H$6:$H$21))</f>
        <v/>
      </c>
      <c r="F35" s="86">
        <f>IF($A35="","",SUMPRODUCT(COUNTIF(助理班表!$E35:$AI35,設定!$B$6:$B$21),設定!$G$6:$G$21))</f>
        <v/>
      </c>
      <c r="G35" s="16">
        <f>IF($A35="","",COUNTIF(助理班表!$E35:$AI35,"OFF"))</f>
        <v/>
      </c>
      <c r="H35" s="16">
        <f>IF($A35="","",COUNTIF(助理班表!$E35:$AI35,"特"))</f>
        <v/>
      </c>
      <c r="I35" s="16">
        <f>IF($A35="","",COUNTIF(助理班表!$E35:$AI35,"病"))</f>
        <v/>
      </c>
      <c r="J35" s="16">
        <f>IF($A35="","",COUNTIF(助理班表!$E35:$AI35,"事"))</f>
        <v/>
      </c>
      <c r="K35" s="16">
        <f>IF($A35="","",COUNTIF(助理班表!$E35:$AI35,"公"))</f>
        <v/>
      </c>
      <c r="L35" s="16">
        <f>IF($A35="","",COUNTIF(助理班表!$E35:$AI35,"國"))</f>
        <v/>
      </c>
      <c r="M35" s="16">
        <f>IF($A35="","",COUNTIF(助理班表!$E35:$AI35,"支"))</f>
        <v/>
      </c>
      <c r="N35" s="86">
        <f>IF($A35="","",SUMIF(出勤紀錄!$C$3:$C$1862,$A35,出勤紀錄!$Q$3:$Q$1862))</f>
        <v/>
      </c>
      <c r="O35" s="86">
        <f>IF($A35="","",$F35+$N35)</f>
        <v/>
      </c>
      <c r="P35" s="16">
        <f>IF($A35="","",COUNTIFS(出勤紀錄!$C$3:$C$1862,$A35,出勤紀錄!$N$3:$N$1862,"遲到"))</f>
        <v/>
      </c>
      <c r="Q35" s="16">
        <f>IF($A35="","",COUNTIFS(出勤紀錄!$C$3:$C$1862,$A35,出勤紀錄!$N$3:$N$1862,"早退"))</f>
        <v/>
      </c>
      <c r="R35" s="16">
        <f>IF($A35="","",COUNTIFS(出勤紀錄!$C$3:$C$1862,$A35,出勤紀錄!$N$3:$N$1862,"未打卡"))</f>
        <v/>
      </c>
      <c r="S35" s="16">
        <f>IF($A35="","",IF(COUNTA(助理班表!$E35:$AI35)=DAY(EOMONTH(DATE(設定!$C$2,設定!$D$2,1),0)),"OK","⚠ 缺"&amp;(DAY(EOMONTH(DATE(設定!$C$2,設定!$D$2,1),0))-COUNTA(助理班表!$E35:$AI35))&amp;"天"))</f>
        <v/>
      </c>
    </row>
    <row r="36">
      <c r="A36" s="16">
        <f>IF(助理班表!$A36="","",助理班表!$A36)</f>
        <v/>
      </c>
      <c r="B36" s="16">
        <f>IF($A36="","",助理班表!$B36)</f>
        <v/>
      </c>
      <c r="C36" s="16">
        <f>IF($A36="","",助理班表!$C36)</f>
        <v/>
      </c>
      <c r="D36" s="16">
        <f>IF($A36="","",助理班表!$D36)</f>
        <v/>
      </c>
      <c r="E36" s="16">
        <f>IF($A36="","",SUMPRODUCT(COUNTIF(助理班表!$E36:$AI36,設定!$B$6:$B$21),設定!$H$6:$H$21))</f>
        <v/>
      </c>
      <c r="F36" s="86">
        <f>IF($A36="","",SUMPRODUCT(COUNTIF(助理班表!$E36:$AI36,設定!$B$6:$B$21),設定!$G$6:$G$21))</f>
        <v/>
      </c>
      <c r="G36" s="16">
        <f>IF($A36="","",COUNTIF(助理班表!$E36:$AI36,"OFF"))</f>
        <v/>
      </c>
      <c r="H36" s="16">
        <f>IF($A36="","",COUNTIF(助理班表!$E36:$AI36,"特"))</f>
        <v/>
      </c>
      <c r="I36" s="16">
        <f>IF($A36="","",COUNTIF(助理班表!$E36:$AI36,"病"))</f>
        <v/>
      </c>
      <c r="J36" s="16">
        <f>IF($A36="","",COUNTIF(助理班表!$E36:$AI36,"事"))</f>
        <v/>
      </c>
      <c r="K36" s="16">
        <f>IF($A36="","",COUNTIF(助理班表!$E36:$AI36,"公"))</f>
        <v/>
      </c>
      <c r="L36" s="16">
        <f>IF($A36="","",COUNTIF(助理班表!$E36:$AI36,"國"))</f>
        <v/>
      </c>
      <c r="M36" s="16">
        <f>IF($A36="","",COUNTIF(助理班表!$E36:$AI36,"支"))</f>
        <v/>
      </c>
      <c r="N36" s="86">
        <f>IF($A36="","",SUMIF(出勤紀錄!$C$3:$C$1862,$A36,出勤紀錄!$Q$3:$Q$1862))</f>
        <v/>
      </c>
      <c r="O36" s="86">
        <f>IF($A36="","",$F36+$N36)</f>
        <v/>
      </c>
      <c r="P36" s="16">
        <f>IF($A36="","",COUNTIFS(出勤紀錄!$C$3:$C$1862,$A36,出勤紀錄!$N$3:$N$1862,"遲到"))</f>
        <v/>
      </c>
      <c r="Q36" s="16">
        <f>IF($A36="","",COUNTIFS(出勤紀錄!$C$3:$C$1862,$A36,出勤紀錄!$N$3:$N$1862,"早退"))</f>
        <v/>
      </c>
      <c r="R36" s="16">
        <f>IF($A36="","",COUNTIFS(出勤紀錄!$C$3:$C$1862,$A36,出勤紀錄!$N$3:$N$1862,"未打卡"))</f>
        <v/>
      </c>
      <c r="S36" s="16">
        <f>IF($A36="","",IF(COUNTA(助理班表!$E36:$AI36)=DAY(EOMONTH(DATE(設定!$C$2,設定!$D$2,1),0)),"OK","⚠ 缺"&amp;(DAY(EOMONTH(DATE(設定!$C$2,設定!$D$2,1),0))-COUNTA(助理班表!$E36:$AI36))&amp;"天"))</f>
        <v/>
      </c>
    </row>
    <row r="37">
      <c r="A37" s="16">
        <f>IF(助理班表!$A37="","",助理班表!$A37)</f>
        <v/>
      </c>
      <c r="B37" s="16">
        <f>IF($A37="","",助理班表!$B37)</f>
        <v/>
      </c>
      <c r="C37" s="16">
        <f>IF($A37="","",助理班表!$C37)</f>
        <v/>
      </c>
      <c r="D37" s="16">
        <f>IF($A37="","",助理班表!$D37)</f>
        <v/>
      </c>
      <c r="E37" s="16">
        <f>IF($A37="","",SUMPRODUCT(COUNTIF(助理班表!$E37:$AI37,設定!$B$6:$B$21),設定!$H$6:$H$21))</f>
        <v/>
      </c>
      <c r="F37" s="86">
        <f>IF($A37="","",SUMPRODUCT(COUNTIF(助理班表!$E37:$AI37,設定!$B$6:$B$21),設定!$G$6:$G$21))</f>
        <v/>
      </c>
      <c r="G37" s="16">
        <f>IF($A37="","",COUNTIF(助理班表!$E37:$AI37,"OFF"))</f>
        <v/>
      </c>
      <c r="H37" s="16">
        <f>IF($A37="","",COUNTIF(助理班表!$E37:$AI37,"特"))</f>
        <v/>
      </c>
      <c r="I37" s="16">
        <f>IF($A37="","",COUNTIF(助理班表!$E37:$AI37,"病"))</f>
        <v/>
      </c>
      <c r="J37" s="16">
        <f>IF($A37="","",COUNTIF(助理班表!$E37:$AI37,"事"))</f>
        <v/>
      </c>
      <c r="K37" s="16">
        <f>IF($A37="","",COUNTIF(助理班表!$E37:$AI37,"公"))</f>
        <v/>
      </c>
      <c r="L37" s="16">
        <f>IF($A37="","",COUNTIF(助理班表!$E37:$AI37,"國"))</f>
        <v/>
      </c>
      <c r="M37" s="16">
        <f>IF($A37="","",COUNTIF(助理班表!$E37:$AI37,"支"))</f>
        <v/>
      </c>
      <c r="N37" s="86">
        <f>IF($A37="","",SUMIF(出勤紀錄!$C$3:$C$1862,$A37,出勤紀錄!$Q$3:$Q$1862))</f>
        <v/>
      </c>
      <c r="O37" s="86">
        <f>IF($A37="","",$F37+$N37)</f>
        <v/>
      </c>
      <c r="P37" s="16">
        <f>IF($A37="","",COUNTIFS(出勤紀錄!$C$3:$C$1862,$A37,出勤紀錄!$N$3:$N$1862,"遲到"))</f>
        <v/>
      </c>
      <c r="Q37" s="16">
        <f>IF($A37="","",COUNTIFS(出勤紀錄!$C$3:$C$1862,$A37,出勤紀錄!$N$3:$N$1862,"早退"))</f>
        <v/>
      </c>
      <c r="R37" s="16">
        <f>IF($A37="","",COUNTIFS(出勤紀錄!$C$3:$C$1862,$A37,出勤紀錄!$N$3:$N$1862,"未打卡"))</f>
        <v/>
      </c>
      <c r="S37" s="16">
        <f>IF($A37="","",IF(COUNTA(助理班表!$E37:$AI37)=DAY(EOMONTH(DATE(設定!$C$2,設定!$D$2,1),0)),"OK","⚠ 缺"&amp;(DAY(EOMONTH(DATE(設定!$C$2,設定!$D$2,1),0))-COUNTA(助理班表!$E37:$AI37))&amp;"天"))</f>
        <v/>
      </c>
    </row>
    <row r="38">
      <c r="A38" s="16">
        <f>IF(助理班表!$A38="","",助理班表!$A38)</f>
        <v/>
      </c>
      <c r="B38" s="16">
        <f>IF($A38="","",助理班表!$B38)</f>
        <v/>
      </c>
      <c r="C38" s="16">
        <f>IF($A38="","",助理班表!$C38)</f>
        <v/>
      </c>
      <c r="D38" s="16">
        <f>IF($A38="","",助理班表!$D38)</f>
        <v/>
      </c>
      <c r="E38" s="16">
        <f>IF($A38="","",SUMPRODUCT(COUNTIF(助理班表!$E38:$AI38,設定!$B$6:$B$21),設定!$H$6:$H$21))</f>
        <v/>
      </c>
      <c r="F38" s="86">
        <f>IF($A38="","",SUMPRODUCT(COUNTIF(助理班表!$E38:$AI38,設定!$B$6:$B$21),設定!$G$6:$G$21))</f>
        <v/>
      </c>
      <c r="G38" s="16">
        <f>IF($A38="","",COUNTIF(助理班表!$E38:$AI38,"OFF"))</f>
        <v/>
      </c>
      <c r="H38" s="16">
        <f>IF($A38="","",COUNTIF(助理班表!$E38:$AI38,"特"))</f>
        <v/>
      </c>
      <c r="I38" s="16">
        <f>IF($A38="","",COUNTIF(助理班表!$E38:$AI38,"病"))</f>
        <v/>
      </c>
      <c r="J38" s="16">
        <f>IF($A38="","",COUNTIF(助理班表!$E38:$AI38,"事"))</f>
        <v/>
      </c>
      <c r="K38" s="16">
        <f>IF($A38="","",COUNTIF(助理班表!$E38:$AI38,"公"))</f>
        <v/>
      </c>
      <c r="L38" s="16">
        <f>IF($A38="","",COUNTIF(助理班表!$E38:$AI38,"國"))</f>
        <v/>
      </c>
      <c r="M38" s="16">
        <f>IF($A38="","",COUNTIF(助理班表!$E38:$AI38,"支"))</f>
        <v/>
      </c>
      <c r="N38" s="86">
        <f>IF($A38="","",SUMIF(出勤紀錄!$C$3:$C$1862,$A38,出勤紀錄!$Q$3:$Q$1862))</f>
        <v/>
      </c>
      <c r="O38" s="86">
        <f>IF($A38="","",$F38+$N38)</f>
        <v/>
      </c>
      <c r="P38" s="16">
        <f>IF($A38="","",COUNTIFS(出勤紀錄!$C$3:$C$1862,$A38,出勤紀錄!$N$3:$N$1862,"遲到"))</f>
        <v/>
      </c>
      <c r="Q38" s="16">
        <f>IF($A38="","",COUNTIFS(出勤紀錄!$C$3:$C$1862,$A38,出勤紀錄!$N$3:$N$1862,"早退"))</f>
        <v/>
      </c>
      <c r="R38" s="16">
        <f>IF($A38="","",COUNTIFS(出勤紀錄!$C$3:$C$1862,$A38,出勤紀錄!$N$3:$N$1862,"未打卡"))</f>
        <v/>
      </c>
      <c r="S38" s="16">
        <f>IF($A38="","",IF(COUNTA(助理班表!$E38:$AI38)=DAY(EOMONTH(DATE(設定!$C$2,設定!$D$2,1),0)),"OK","⚠ 缺"&amp;(DAY(EOMONTH(DATE(設定!$C$2,設定!$D$2,1),0))-COUNTA(助理班表!$E38:$AI38))&amp;"天"))</f>
        <v/>
      </c>
    </row>
    <row r="39">
      <c r="A39" s="16">
        <f>IF(助理班表!$A39="","",助理班表!$A39)</f>
        <v/>
      </c>
      <c r="B39" s="16">
        <f>IF($A39="","",助理班表!$B39)</f>
        <v/>
      </c>
      <c r="C39" s="16">
        <f>IF($A39="","",助理班表!$C39)</f>
        <v/>
      </c>
      <c r="D39" s="16">
        <f>IF($A39="","",助理班表!$D39)</f>
        <v/>
      </c>
      <c r="E39" s="16">
        <f>IF($A39="","",SUMPRODUCT(COUNTIF(助理班表!$E39:$AI39,設定!$B$6:$B$21),設定!$H$6:$H$21))</f>
        <v/>
      </c>
      <c r="F39" s="86">
        <f>IF($A39="","",SUMPRODUCT(COUNTIF(助理班表!$E39:$AI39,設定!$B$6:$B$21),設定!$G$6:$G$21))</f>
        <v/>
      </c>
      <c r="G39" s="16">
        <f>IF($A39="","",COUNTIF(助理班表!$E39:$AI39,"OFF"))</f>
        <v/>
      </c>
      <c r="H39" s="16">
        <f>IF($A39="","",COUNTIF(助理班表!$E39:$AI39,"特"))</f>
        <v/>
      </c>
      <c r="I39" s="16">
        <f>IF($A39="","",COUNTIF(助理班表!$E39:$AI39,"病"))</f>
        <v/>
      </c>
      <c r="J39" s="16">
        <f>IF($A39="","",COUNTIF(助理班表!$E39:$AI39,"事"))</f>
        <v/>
      </c>
      <c r="K39" s="16">
        <f>IF($A39="","",COUNTIF(助理班表!$E39:$AI39,"公"))</f>
        <v/>
      </c>
      <c r="L39" s="16">
        <f>IF($A39="","",COUNTIF(助理班表!$E39:$AI39,"國"))</f>
        <v/>
      </c>
      <c r="M39" s="16">
        <f>IF($A39="","",COUNTIF(助理班表!$E39:$AI39,"支"))</f>
        <v/>
      </c>
      <c r="N39" s="86">
        <f>IF($A39="","",SUMIF(出勤紀錄!$C$3:$C$1862,$A39,出勤紀錄!$Q$3:$Q$1862))</f>
        <v/>
      </c>
      <c r="O39" s="86">
        <f>IF($A39="","",$F39+$N39)</f>
        <v/>
      </c>
      <c r="P39" s="16">
        <f>IF($A39="","",COUNTIFS(出勤紀錄!$C$3:$C$1862,$A39,出勤紀錄!$N$3:$N$1862,"遲到"))</f>
        <v/>
      </c>
      <c r="Q39" s="16">
        <f>IF($A39="","",COUNTIFS(出勤紀錄!$C$3:$C$1862,$A39,出勤紀錄!$N$3:$N$1862,"早退"))</f>
        <v/>
      </c>
      <c r="R39" s="16">
        <f>IF($A39="","",COUNTIFS(出勤紀錄!$C$3:$C$1862,$A39,出勤紀錄!$N$3:$N$1862,"未打卡"))</f>
        <v/>
      </c>
      <c r="S39" s="16">
        <f>IF($A39="","",IF(COUNTA(助理班表!$E39:$AI39)=DAY(EOMONTH(DATE(設定!$C$2,設定!$D$2,1),0)),"OK","⚠ 缺"&amp;(DAY(EOMONTH(DATE(設定!$C$2,設定!$D$2,1),0))-COUNTA(助理班表!$E39:$AI39))&amp;"天"))</f>
        <v/>
      </c>
    </row>
    <row r="40">
      <c r="A40" s="16">
        <f>IF(助理班表!$A40="","",助理班表!$A40)</f>
        <v/>
      </c>
      <c r="B40" s="16">
        <f>IF($A40="","",助理班表!$B40)</f>
        <v/>
      </c>
      <c r="C40" s="16">
        <f>IF($A40="","",助理班表!$C40)</f>
        <v/>
      </c>
      <c r="D40" s="16">
        <f>IF($A40="","",助理班表!$D40)</f>
        <v/>
      </c>
      <c r="E40" s="16">
        <f>IF($A40="","",SUMPRODUCT(COUNTIF(助理班表!$E40:$AI40,設定!$B$6:$B$21),設定!$H$6:$H$21))</f>
        <v/>
      </c>
      <c r="F40" s="86">
        <f>IF($A40="","",SUMPRODUCT(COUNTIF(助理班表!$E40:$AI40,設定!$B$6:$B$21),設定!$G$6:$G$21))</f>
        <v/>
      </c>
      <c r="G40" s="16">
        <f>IF($A40="","",COUNTIF(助理班表!$E40:$AI40,"OFF"))</f>
        <v/>
      </c>
      <c r="H40" s="16">
        <f>IF($A40="","",COUNTIF(助理班表!$E40:$AI40,"特"))</f>
        <v/>
      </c>
      <c r="I40" s="16">
        <f>IF($A40="","",COUNTIF(助理班表!$E40:$AI40,"病"))</f>
        <v/>
      </c>
      <c r="J40" s="16">
        <f>IF($A40="","",COUNTIF(助理班表!$E40:$AI40,"事"))</f>
        <v/>
      </c>
      <c r="K40" s="16">
        <f>IF($A40="","",COUNTIF(助理班表!$E40:$AI40,"公"))</f>
        <v/>
      </c>
      <c r="L40" s="16">
        <f>IF($A40="","",COUNTIF(助理班表!$E40:$AI40,"國"))</f>
        <v/>
      </c>
      <c r="M40" s="16">
        <f>IF($A40="","",COUNTIF(助理班表!$E40:$AI40,"支"))</f>
        <v/>
      </c>
      <c r="N40" s="86">
        <f>IF($A40="","",SUMIF(出勤紀錄!$C$3:$C$1862,$A40,出勤紀錄!$Q$3:$Q$1862))</f>
        <v/>
      </c>
      <c r="O40" s="86">
        <f>IF($A40="","",$F40+$N40)</f>
        <v/>
      </c>
      <c r="P40" s="16">
        <f>IF($A40="","",COUNTIFS(出勤紀錄!$C$3:$C$1862,$A40,出勤紀錄!$N$3:$N$1862,"遲到"))</f>
        <v/>
      </c>
      <c r="Q40" s="16">
        <f>IF($A40="","",COUNTIFS(出勤紀錄!$C$3:$C$1862,$A40,出勤紀錄!$N$3:$N$1862,"早退"))</f>
        <v/>
      </c>
      <c r="R40" s="16">
        <f>IF($A40="","",COUNTIFS(出勤紀錄!$C$3:$C$1862,$A40,出勤紀錄!$N$3:$N$1862,"未打卡"))</f>
        <v/>
      </c>
      <c r="S40" s="16">
        <f>IF($A40="","",IF(COUNTA(助理班表!$E40:$AI40)=DAY(EOMONTH(DATE(設定!$C$2,設定!$D$2,1),0)),"OK","⚠ 缺"&amp;(DAY(EOMONTH(DATE(設定!$C$2,設定!$D$2,1),0))-COUNTA(助理班表!$E40:$AI40))&amp;"天"))</f>
        <v/>
      </c>
    </row>
    <row r="41">
      <c r="A41" s="16">
        <f>IF(助理班表!$A41="","",助理班表!$A41)</f>
        <v/>
      </c>
      <c r="B41" s="16">
        <f>IF($A41="","",助理班表!$B41)</f>
        <v/>
      </c>
      <c r="C41" s="16">
        <f>IF($A41="","",助理班表!$C41)</f>
        <v/>
      </c>
      <c r="D41" s="16">
        <f>IF($A41="","",助理班表!$D41)</f>
        <v/>
      </c>
      <c r="E41" s="16">
        <f>IF($A41="","",SUMPRODUCT(COUNTIF(助理班表!$E41:$AI41,設定!$B$6:$B$21),設定!$H$6:$H$21))</f>
        <v/>
      </c>
      <c r="F41" s="86">
        <f>IF($A41="","",SUMPRODUCT(COUNTIF(助理班表!$E41:$AI41,設定!$B$6:$B$21),設定!$G$6:$G$21))</f>
        <v/>
      </c>
      <c r="G41" s="16">
        <f>IF($A41="","",COUNTIF(助理班表!$E41:$AI41,"OFF"))</f>
        <v/>
      </c>
      <c r="H41" s="16">
        <f>IF($A41="","",COUNTIF(助理班表!$E41:$AI41,"特"))</f>
        <v/>
      </c>
      <c r="I41" s="16">
        <f>IF($A41="","",COUNTIF(助理班表!$E41:$AI41,"病"))</f>
        <v/>
      </c>
      <c r="J41" s="16">
        <f>IF($A41="","",COUNTIF(助理班表!$E41:$AI41,"事"))</f>
        <v/>
      </c>
      <c r="K41" s="16">
        <f>IF($A41="","",COUNTIF(助理班表!$E41:$AI41,"公"))</f>
        <v/>
      </c>
      <c r="L41" s="16">
        <f>IF($A41="","",COUNTIF(助理班表!$E41:$AI41,"國"))</f>
        <v/>
      </c>
      <c r="M41" s="16">
        <f>IF($A41="","",COUNTIF(助理班表!$E41:$AI41,"支"))</f>
        <v/>
      </c>
      <c r="N41" s="86">
        <f>IF($A41="","",SUMIF(出勤紀錄!$C$3:$C$1862,$A41,出勤紀錄!$Q$3:$Q$1862))</f>
        <v/>
      </c>
      <c r="O41" s="86">
        <f>IF($A41="","",$F41+$N41)</f>
        <v/>
      </c>
      <c r="P41" s="16">
        <f>IF($A41="","",COUNTIFS(出勤紀錄!$C$3:$C$1862,$A41,出勤紀錄!$N$3:$N$1862,"遲到"))</f>
        <v/>
      </c>
      <c r="Q41" s="16">
        <f>IF($A41="","",COUNTIFS(出勤紀錄!$C$3:$C$1862,$A41,出勤紀錄!$N$3:$N$1862,"早退"))</f>
        <v/>
      </c>
      <c r="R41" s="16">
        <f>IF($A41="","",COUNTIFS(出勤紀錄!$C$3:$C$1862,$A41,出勤紀錄!$N$3:$N$1862,"未打卡"))</f>
        <v/>
      </c>
      <c r="S41" s="16">
        <f>IF($A41="","",IF(COUNTA(助理班表!$E41:$AI41)=DAY(EOMONTH(DATE(設定!$C$2,設定!$D$2,1),0)),"OK","⚠ 缺"&amp;(DAY(EOMONTH(DATE(設定!$C$2,設定!$D$2,1),0))-COUNTA(助理班表!$E41:$AI41))&amp;"天"))</f>
        <v/>
      </c>
    </row>
    <row r="42">
      <c r="A42" s="16">
        <f>IF(助理班表!$A42="","",助理班表!$A42)</f>
        <v/>
      </c>
      <c r="B42" s="16">
        <f>IF($A42="","",助理班表!$B42)</f>
        <v/>
      </c>
      <c r="C42" s="16">
        <f>IF($A42="","",助理班表!$C42)</f>
        <v/>
      </c>
      <c r="D42" s="16">
        <f>IF($A42="","",助理班表!$D42)</f>
        <v/>
      </c>
      <c r="E42" s="16">
        <f>IF($A42="","",SUMPRODUCT(COUNTIF(助理班表!$E42:$AI42,設定!$B$6:$B$21),設定!$H$6:$H$21))</f>
        <v/>
      </c>
      <c r="F42" s="86">
        <f>IF($A42="","",SUMPRODUCT(COUNTIF(助理班表!$E42:$AI42,設定!$B$6:$B$21),設定!$G$6:$G$21))</f>
        <v/>
      </c>
      <c r="G42" s="16">
        <f>IF($A42="","",COUNTIF(助理班表!$E42:$AI42,"OFF"))</f>
        <v/>
      </c>
      <c r="H42" s="16">
        <f>IF($A42="","",COUNTIF(助理班表!$E42:$AI42,"特"))</f>
        <v/>
      </c>
      <c r="I42" s="16">
        <f>IF($A42="","",COUNTIF(助理班表!$E42:$AI42,"病"))</f>
        <v/>
      </c>
      <c r="J42" s="16">
        <f>IF($A42="","",COUNTIF(助理班表!$E42:$AI42,"事"))</f>
        <v/>
      </c>
      <c r="K42" s="16">
        <f>IF($A42="","",COUNTIF(助理班表!$E42:$AI42,"公"))</f>
        <v/>
      </c>
      <c r="L42" s="16">
        <f>IF($A42="","",COUNTIF(助理班表!$E42:$AI42,"國"))</f>
        <v/>
      </c>
      <c r="M42" s="16">
        <f>IF($A42="","",COUNTIF(助理班表!$E42:$AI42,"支"))</f>
        <v/>
      </c>
      <c r="N42" s="86">
        <f>IF($A42="","",SUMIF(出勤紀錄!$C$3:$C$1862,$A42,出勤紀錄!$Q$3:$Q$1862))</f>
        <v/>
      </c>
      <c r="O42" s="86">
        <f>IF($A42="","",$F42+$N42)</f>
        <v/>
      </c>
      <c r="P42" s="16">
        <f>IF($A42="","",COUNTIFS(出勤紀錄!$C$3:$C$1862,$A42,出勤紀錄!$N$3:$N$1862,"遲到"))</f>
        <v/>
      </c>
      <c r="Q42" s="16">
        <f>IF($A42="","",COUNTIFS(出勤紀錄!$C$3:$C$1862,$A42,出勤紀錄!$N$3:$N$1862,"早退"))</f>
        <v/>
      </c>
      <c r="R42" s="16">
        <f>IF($A42="","",COUNTIFS(出勤紀錄!$C$3:$C$1862,$A42,出勤紀錄!$N$3:$N$1862,"未打卡"))</f>
        <v/>
      </c>
      <c r="S42" s="16">
        <f>IF($A42="","",IF(COUNTA(助理班表!$E42:$AI42)=DAY(EOMONTH(DATE(設定!$C$2,設定!$D$2,1),0)),"OK","⚠ 缺"&amp;(DAY(EOMONTH(DATE(設定!$C$2,設定!$D$2,1),0))-COUNTA(助理班表!$E42:$AI42))&amp;"天"))</f>
        <v/>
      </c>
    </row>
    <row r="43">
      <c r="A43" s="16">
        <f>IF(助理班表!$A43="","",助理班表!$A43)</f>
        <v/>
      </c>
      <c r="B43" s="16">
        <f>IF($A43="","",助理班表!$B43)</f>
        <v/>
      </c>
      <c r="C43" s="16">
        <f>IF($A43="","",助理班表!$C43)</f>
        <v/>
      </c>
      <c r="D43" s="16">
        <f>IF($A43="","",助理班表!$D43)</f>
        <v/>
      </c>
      <c r="E43" s="16">
        <f>IF($A43="","",SUMPRODUCT(COUNTIF(助理班表!$E43:$AI43,設定!$B$6:$B$21),設定!$H$6:$H$21))</f>
        <v/>
      </c>
      <c r="F43" s="86">
        <f>IF($A43="","",SUMPRODUCT(COUNTIF(助理班表!$E43:$AI43,設定!$B$6:$B$21),設定!$G$6:$G$21))</f>
        <v/>
      </c>
      <c r="G43" s="16">
        <f>IF($A43="","",COUNTIF(助理班表!$E43:$AI43,"OFF"))</f>
        <v/>
      </c>
      <c r="H43" s="16">
        <f>IF($A43="","",COUNTIF(助理班表!$E43:$AI43,"特"))</f>
        <v/>
      </c>
      <c r="I43" s="16">
        <f>IF($A43="","",COUNTIF(助理班表!$E43:$AI43,"病"))</f>
        <v/>
      </c>
      <c r="J43" s="16">
        <f>IF($A43="","",COUNTIF(助理班表!$E43:$AI43,"事"))</f>
        <v/>
      </c>
      <c r="K43" s="16">
        <f>IF($A43="","",COUNTIF(助理班表!$E43:$AI43,"公"))</f>
        <v/>
      </c>
      <c r="L43" s="16">
        <f>IF($A43="","",COUNTIF(助理班表!$E43:$AI43,"國"))</f>
        <v/>
      </c>
      <c r="M43" s="16">
        <f>IF($A43="","",COUNTIF(助理班表!$E43:$AI43,"支"))</f>
        <v/>
      </c>
      <c r="N43" s="86">
        <f>IF($A43="","",SUMIF(出勤紀錄!$C$3:$C$1862,$A43,出勤紀錄!$Q$3:$Q$1862))</f>
        <v/>
      </c>
      <c r="O43" s="86">
        <f>IF($A43="","",$F43+$N43)</f>
        <v/>
      </c>
      <c r="P43" s="16">
        <f>IF($A43="","",COUNTIFS(出勤紀錄!$C$3:$C$1862,$A43,出勤紀錄!$N$3:$N$1862,"遲到"))</f>
        <v/>
      </c>
      <c r="Q43" s="16">
        <f>IF($A43="","",COUNTIFS(出勤紀錄!$C$3:$C$1862,$A43,出勤紀錄!$N$3:$N$1862,"早退"))</f>
        <v/>
      </c>
      <c r="R43" s="16">
        <f>IF($A43="","",COUNTIFS(出勤紀錄!$C$3:$C$1862,$A43,出勤紀錄!$N$3:$N$1862,"未打卡"))</f>
        <v/>
      </c>
      <c r="S43" s="16">
        <f>IF($A43="","",IF(COUNTA(助理班表!$E43:$AI43)=DAY(EOMONTH(DATE(設定!$C$2,設定!$D$2,1),0)),"OK","⚠ 缺"&amp;(DAY(EOMONTH(DATE(設定!$C$2,設定!$D$2,1),0))-COUNTA(助理班表!$E43:$AI43))&amp;"天"))</f>
        <v/>
      </c>
    </row>
    <row r="44">
      <c r="A44" s="16">
        <f>IF(助理班表!$A44="","",助理班表!$A44)</f>
        <v/>
      </c>
      <c r="B44" s="16">
        <f>IF($A44="","",助理班表!$B44)</f>
        <v/>
      </c>
      <c r="C44" s="16">
        <f>IF($A44="","",助理班表!$C44)</f>
        <v/>
      </c>
      <c r="D44" s="16">
        <f>IF($A44="","",助理班表!$D44)</f>
        <v/>
      </c>
      <c r="E44" s="16">
        <f>IF($A44="","",SUMPRODUCT(COUNTIF(助理班表!$E44:$AI44,設定!$B$6:$B$21),設定!$H$6:$H$21))</f>
        <v/>
      </c>
      <c r="F44" s="86">
        <f>IF($A44="","",SUMPRODUCT(COUNTIF(助理班表!$E44:$AI44,設定!$B$6:$B$21),設定!$G$6:$G$21))</f>
        <v/>
      </c>
      <c r="G44" s="16">
        <f>IF($A44="","",COUNTIF(助理班表!$E44:$AI44,"OFF"))</f>
        <v/>
      </c>
      <c r="H44" s="16">
        <f>IF($A44="","",COUNTIF(助理班表!$E44:$AI44,"特"))</f>
        <v/>
      </c>
      <c r="I44" s="16">
        <f>IF($A44="","",COUNTIF(助理班表!$E44:$AI44,"病"))</f>
        <v/>
      </c>
      <c r="J44" s="16">
        <f>IF($A44="","",COUNTIF(助理班表!$E44:$AI44,"事"))</f>
        <v/>
      </c>
      <c r="K44" s="16">
        <f>IF($A44="","",COUNTIF(助理班表!$E44:$AI44,"公"))</f>
        <v/>
      </c>
      <c r="L44" s="16">
        <f>IF($A44="","",COUNTIF(助理班表!$E44:$AI44,"國"))</f>
        <v/>
      </c>
      <c r="M44" s="16">
        <f>IF($A44="","",COUNTIF(助理班表!$E44:$AI44,"支"))</f>
        <v/>
      </c>
      <c r="N44" s="86">
        <f>IF($A44="","",SUMIF(出勤紀錄!$C$3:$C$1862,$A44,出勤紀錄!$Q$3:$Q$1862))</f>
        <v/>
      </c>
      <c r="O44" s="86">
        <f>IF($A44="","",$F44+$N44)</f>
        <v/>
      </c>
      <c r="P44" s="16">
        <f>IF($A44="","",COUNTIFS(出勤紀錄!$C$3:$C$1862,$A44,出勤紀錄!$N$3:$N$1862,"遲到"))</f>
        <v/>
      </c>
      <c r="Q44" s="16">
        <f>IF($A44="","",COUNTIFS(出勤紀錄!$C$3:$C$1862,$A44,出勤紀錄!$N$3:$N$1862,"早退"))</f>
        <v/>
      </c>
      <c r="R44" s="16">
        <f>IF($A44="","",COUNTIFS(出勤紀錄!$C$3:$C$1862,$A44,出勤紀錄!$N$3:$N$1862,"未打卡"))</f>
        <v/>
      </c>
      <c r="S44" s="16">
        <f>IF($A44="","",IF(COUNTA(助理班表!$E44:$AI44)=DAY(EOMONTH(DATE(設定!$C$2,設定!$D$2,1),0)),"OK","⚠ 缺"&amp;(DAY(EOMONTH(DATE(設定!$C$2,設定!$D$2,1),0))-COUNTA(助理班表!$E44:$AI44))&amp;"天"))</f>
        <v/>
      </c>
    </row>
    <row r="45">
      <c r="A45" s="16">
        <f>IF(助理班表!$A45="","",助理班表!$A45)</f>
        <v/>
      </c>
      <c r="B45" s="16">
        <f>IF($A45="","",助理班表!$B45)</f>
        <v/>
      </c>
      <c r="C45" s="16">
        <f>IF($A45="","",助理班表!$C45)</f>
        <v/>
      </c>
      <c r="D45" s="16">
        <f>IF($A45="","",助理班表!$D45)</f>
        <v/>
      </c>
      <c r="E45" s="16">
        <f>IF($A45="","",SUMPRODUCT(COUNTIF(助理班表!$E45:$AI45,設定!$B$6:$B$21),設定!$H$6:$H$21))</f>
        <v/>
      </c>
      <c r="F45" s="86">
        <f>IF($A45="","",SUMPRODUCT(COUNTIF(助理班表!$E45:$AI45,設定!$B$6:$B$21),設定!$G$6:$G$21))</f>
        <v/>
      </c>
      <c r="G45" s="16">
        <f>IF($A45="","",COUNTIF(助理班表!$E45:$AI45,"OFF"))</f>
        <v/>
      </c>
      <c r="H45" s="16">
        <f>IF($A45="","",COUNTIF(助理班表!$E45:$AI45,"特"))</f>
        <v/>
      </c>
      <c r="I45" s="16">
        <f>IF($A45="","",COUNTIF(助理班表!$E45:$AI45,"病"))</f>
        <v/>
      </c>
      <c r="J45" s="16">
        <f>IF($A45="","",COUNTIF(助理班表!$E45:$AI45,"事"))</f>
        <v/>
      </c>
      <c r="K45" s="16">
        <f>IF($A45="","",COUNTIF(助理班表!$E45:$AI45,"公"))</f>
        <v/>
      </c>
      <c r="L45" s="16">
        <f>IF($A45="","",COUNTIF(助理班表!$E45:$AI45,"國"))</f>
        <v/>
      </c>
      <c r="M45" s="16">
        <f>IF($A45="","",COUNTIF(助理班表!$E45:$AI45,"支"))</f>
        <v/>
      </c>
      <c r="N45" s="86">
        <f>IF($A45="","",SUMIF(出勤紀錄!$C$3:$C$1862,$A45,出勤紀錄!$Q$3:$Q$1862))</f>
        <v/>
      </c>
      <c r="O45" s="86">
        <f>IF($A45="","",$F45+$N45)</f>
        <v/>
      </c>
      <c r="P45" s="16">
        <f>IF($A45="","",COUNTIFS(出勤紀錄!$C$3:$C$1862,$A45,出勤紀錄!$N$3:$N$1862,"遲到"))</f>
        <v/>
      </c>
      <c r="Q45" s="16">
        <f>IF($A45="","",COUNTIFS(出勤紀錄!$C$3:$C$1862,$A45,出勤紀錄!$N$3:$N$1862,"早退"))</f>
        <v/>
      </c>
      <c r="R45" s="16">
        <f>IF($A45="","",COUNTIFS(出勤紀錄!$C$3:$C$1862,$A45,出勤紀錄!$N$3:$N$1862,"未打卡"))</f>
        <v/>
      </c>
      <c r="S45" s="16">
        <f>IF($A45="","",IF(COUNTA(助理班表!$E45:$AI45)=DAY(EOMONTH(DATE(設定!$C$2,設定!$D$2,1),0)),"OK","⚠ 缺"&amp;(DAY(EOMONTH(DATE(設定!$C$2,設定!$D$2,1),0))-COUNTA(助理班表!$E45:$AI45))&amp;"天"))</f>
        <v/>
      </c>
    </row>
    <row r="46">
      <c r="A46" s="16">
        <f>IF(助理班表!$A46="","",助理班表!$A46)</f>
        <v/>
      </c>
      <c r="B46" s="16">
        <f>IF($A46="","",助理班表!$B46)</f>
        <v/>
      </c>
      <c r="C46" s="16">
        <f>IF($A46="","",助理班表!$C46)</f>
        <v/>
      </c>
      <c r="D46" s="16">
        <f>IF($A46="","",助理班表!$D46)</f>
        <v/>
      </c>
      <c r="E46" s="16">
        <f>IF($A46="","",SUMPRODUCT(COUNTIF(助理班表!$E46:$AI46,設定!$B$6:$B$21),設定!$H$6:$H$21))</f>
        <v/>
      </c>
      <c r="F46" s="86">
        <f>IF($A46="","",SUMPRODUCT(COUNTIF(助理班表!$E46:$AI46,設定!$B$6:$B$21),設定!$G$6:$G$21))</f>
        <v/>
      </c>
      <c r="G46" s="16">
        <f>IF($A46="","",COUNTIF(助理班表!$E46:$AI46,"OFF"))</f>
        <v/>
      </c>
      <c r="H46" s="16">
        <f>IF($A46="","",COUNTIF(助理班表!$E46:$AI46,"特"))</f>
        <v/>
      </c>
      <c r="I46" s="16">
        <f>IF($A46="","",COUNTIF(助理班表!$E46:$AI46,"病"))</f>
        <v/>
      </c>
      <c r="J46" s="16">
        <f>IF($A46="","",COUNTIF(助理班表!$E46:$AI46,"事"))</f>
        <v/>
      </c>
      <c r="K46" s="16">
        <f>IF($A46="","",COUNTIF(助理班表!$E46:$AI46,"公"))</f>
        <v/>
      </c>
      <c r="L46" s="16">
        <f>IF($A46="","",COUNTIF(助理班表!$E46:$AI46,"國"))</f>
        <v/>
      </c>
      <c r="M46" s="16">
        <f>IF($A46="","",COUNTIF(助理班表!$E46:$AI46,"支"))</f>
        <v/>
      </c>
      <c r="N46" s="86">
        <f>IF($A46="","",SUMIF(出勤紀錄!$C$3:$C$1862,$A46,出勤紀錄!$Q$3:$Q$1862))</f>
        <v/>
      </c>
      <c r="O46" s="86">
        <f>IF($A46="","",$F46+$N46)</f>
        <v/>
      </c>
      <c r="P46" s="16">
        <f>IF($A46="","",COUNTIFS(出勤紀錄!$C$3:$C$1862,$A46,出勤紀錄!$N$3:$N$1862,"遲到"))</f>
        <v/>
      </c>
      <c r="Q46" s="16">
        <f>IF($A46="","",COUNTIFS(出勤紀錄!$C$3:$C$1862,$A46,出勤紀錄!$N$3:$N$1862,"早退"))</f>
        <v/>
      </c>
      <c r="R46" s="16">
        <f>IF($A46="","",COUNTIFS(出勤紀錄!$C$3:$C$1862,$A46,出勤紀錄!$N$3:$N$1862,"未打卡"))</f>
        <v/>
      </c>
      <c r="S46" s="16">
        <f>IF($A46="","",IF(COUNTA(助理班表!$E46:$AI46)=DAY(EOMONTH(DATE(設定!$C$2,設定!$D$2,1),0)),"OK","⚠ 缺"&amp;(DAY(EOMONTH(DATE(設定!$C$2,設定!$D$2,1),0))-COUNTA(助理班表!$E46:$AI46))&amp;"天"))</f>
        <v/>
      </c>
    </row>
    <row r="47">
      <c r="A47" s="16">
        <f>IF(助理班表!$A47="","",助理班表!$A47)</f>
        <v/>
      </c>
      <c r="B47" s="16">
        <f>IF($A47="","",助理班表!$B47)</f>
        <v/>
      </c>
      <c r="C47" s="16">
        <f>IF($A47="","",助理班表!$C47)</f>
        <v/>
      </c>
      <c r="D47" s="16">
        <f>IF($A47="","",助理班表!$D47)</f>
        <v/>
      </c>
      <c r="E47" s="16">
        <f>IF($A47="","",SUMPRODUCT(COUNTIF(助理班表!$E47:$AI47,設定!$B$6:$B$21),設定!$H$6:$H$21))</f>
        <v/>
      </c>
      <c r="F47" s="86">
        <f>IF($A47="","",SUMPRODUCT(COUNTIF(助理班表!$E47:$AI47,設定!$B$6:$B$21),設定!$G$6:$G$21))</f>
        <v/>
      </c>
      <c r="G47" s="16">
        <f>IF($A47="","",COUNTIF(助理班表!$E47:$AI47,"OFF"))</f>
        <v/>
      </c>
      <c r="H47" s="16">
        <f>IF($A47="","",COUNTIF(助理班表!$E47:$AI47,"特"))</f>
        <v/>
      </c>
      <c r="I47" s="16">
        <f>IF($A47="","",COUNTIF(助理班表!$E47:$AI47,"病"))</f>
        <v/>
      </c>
      <c r="J47" s="16">
        <f>IF($A47="","",COUNTIF(助理班表!$E47:$AI47,"事"))</f>
        <v/>
      </c>
      <c r="K47" s="16">
        <f>IF($A47="","",COUNTIF(助理班表!$E47:$AI47,"公"))</f>
        <v/>
      </c>
      <c r="L47" s="16">
        <f>IF($A47="","",COUNTIF(助理班表!$E47:$AI47,"國"))</f>
        <v/>
      </c>
      <c r="M47" s="16">
        <f>IF($A47="","",COUNTIF(助理班表!$E47:$AI47,"支"))</f>
        <v/>
      </c>
      <c r="N47" s="86">
        <f>IF($A47="","",SUMIF(出勤紀錄!$C$3:$C$1862,$A47,出勤紀錄!$Q$3:$Q$1862))</f>
        <v/>
      </c>
      <c r="O47" s="86">
        <f>IF($A47="","",$F47+$N47)</f>
        <v/>
      </c>
      <c r="P47" s="16">
        <f>IF($A47="","",COUNTIFS(出勤紀錄!$C$3:$C$1862,$A47,出勤紀錄!$N$3:$N$1862,"遲到"))</f>
        <v/>
      </c>
      <c r="Q47" s="16">
        <f>IF($A47="","",COUNTIFS(出勤紀錄!$C$3:$C$1862,$A47,出勤紀錄!$N$3:$N$1862,"早退"))</f>
        <v/>
      </c>
      <c r="R47" s="16">
        <f>IF($A47="","",COUNTIFS(出勤紀錄!$C$3:$C$1862,$A47,出勤紀錄!$N$3:$N$1862,"未打卡"))</f>
        <v/>
      </c>
      <c r="S47" s="16">
        <f>IF($A47="","",IF(COUNTA(助理班表!$E47:$AI47)=DAY(EOMONTH(DATE(設定!$C$2,設定!$D$2,1),0)),"OK","⚠ 缺"&amp;(DAY(EOMONTH(DATE(設定!$C$2,設定!$D$2,1),0))-COUNTA(助理班表!$E47:$AI47))&amp;"天"))</f>
        <v/>
      </c>
    </row>
    <row r="48">
      <c r="A48" s="16">
        <f>IF(助理班表!$A48="","",助理班表!$A48)</f>
        <v/>
      </c>
      <c r="B48" s="16">
        <f>IF($A48="","",助理班表!$B48)</f>
        <v/>
      </c>
      <c r="C48" s="16">
        <f>IF($A48="","",助理班表!$C48)</f>
        <v/>
      </c>
      <c r="D48" s="16">
        <f>IF($A48="","",助理班表!$D48)</f>
        <v/>
      </c>
      <c r="E48" s="16">
        <f>IF($A48="","",SUMPRODUCT(COUNTIF(助理班表!$E48:$AI48,設定!$B$6:$B$21),設定!$H$6:$H$21))</f>
        <v/>
      </c>
      <c r="F48" s="86">
        <f>IF($A48="","",SUMPRODUCT(COUNTIF(助理班表!$E48:$AI48,設定!$B$6:$B$21),設定!$G$6:$G$21))</f>
        <v/>
      </c>
      <c r="G48" s="16">
        <f>IF($A48="","",COUNTIF(助理班表!$E48:$AI48,"OFF"))</f>
        <v/>
      </c>
      <c r="H48" s="16">
        <f>IF($A48="","",COUNTIF(助理班表!$E48:$AI48,"特"))</f>
        <v/>
      </c>
      <c r="I48" s="16">
        <f>IF($A48="","",COUNTIF(助理班表!$E48:$AI48,"病"))</f>
        <v/>
      </c>
      <c r="J48" s="16">
        <f>IF($A48="","",COUNTIF(助理班表!$E48:$AI48,"事"))</f>
        <v/>
      </c>
      <c r="K48" s="16">
        <f>IF($A48="","",COUNTIF(助理班表!$E48:$AI48,"公"))</f>
        <v/>
      </c>
      <c r="L48" s="16">
        <f>IF($A48="","",COUNTIF(助理班表!$E48:$AI48,"國"))</f>
        <v/>
      </c>
      <c r="M48" s="16">
        <f>IF($A48="","",COUNTIF(助理班表!$E48:$AI48,"支"))</f>
        <v/>
      </c>
      <c r="N48" s="86">
        <f>IF($A48="","",SUMIF(出勤紀錄!$C$3:$C$1862,$A48,出勤紀錄!$Q$3:$Q$1862))</f>
        <v/>
      </c>
      <c r="O48" s="86">
        <f>IF($A48="","",$F48+$N48)</f>
        <v/>
      </c>
      <c r="P48" s="16">
        <f>IF($A48="","",COUNTIFS(出勤紀錄!$C$3:$C$1862,$A48,出勤紀錄!$N$3:$N$1862,"遲到"))</f>
        <v/>
      </c>
      <c r="Q48" s="16">
        <f>IF($A48="","",COUNTIFS(出勤紀錄!$C$3:$C$1862,$A48,出勤紀錄!$N$3:$N$1862,"早退"))</f>
        <v/>
      </c>
      <c r="R48" s="16">
        <f>IF($A48="","",COUNTIFS(出勤紀錄!$C$3:$C$1862,$A48,出勤紀錄!$N$3:$N$1862,"未打卡"))</f>
        <v/>
      </c>
      <c r="S48" s="16">
        <f>IF($A48="","",IF(COUNTA(助理班表!$E48:$AI48)=DAY(EOMONTH(DATE(設定!$C$2,設定!$D$2,1),0)),"OK","⚠ 缺"&amp;(DAY(EOMONTH(DATE(設定!$C$2,設定!$D$2,1),0))-COUNTA(助理班表!$E48:$AI48))&amp;"天"))</f>
        <v/>
      </c>
    </row>
    <row r="49">
      <c r="A49" s="16">
        <f>IF(助理班表!$A49="","",助理班表!$A49)</f>
        <v/>
      </c>
      <c r="B49" s="16">
        <f>IF($A49="","",助理班表!$B49)</f>
        <v/>
      </c>
      <c r="C49" s="16">
        <f>IF($A49="","",助理班表!$C49)</f>
        <v/>
      </c>
      <c r="D49" s="16">
        <f>IF($A49="","",助理班表!$D49)</f>
        <v/>
      </c>
      <c r="E49" s="16">
        <f>IF($A49="","",SUMPRODUCT(COUNTIF(助理班表!$E49:$AI49,設定!$B$6:$B$21),設定!$H$6:$H$21))</f>
        <v/>
      </c>
      <c r="F49" s="86">
        <f>IF($A49="","",SUMPRODUCT(COUNTIF(助理班表!$E49:$AI49,設定!$B$6:$B$21),設定!$G$6:$G$21))</f>
        <v/>
      </c>
      <c r="G49" s="16">
        <f>IF($A49="","",COUNTIF(助理班表!$E49:$AI49,"OFF"))</f>
        <v/>
      </c>
      <c r="H49" s="16">
        <f>IF($A49="","",COUNTIF(助理班表!$E49:$AI49,"特"))</f>
        <v/>
      </c>
      <c r="I49" s="16">
        <f>IF($A49="","",COUNTIF(助理班表!$E49:$AI49,"病"))</f>
        <v/>
      </c>
      <c r="J49" s="16">
        <f>IF($A49="","",COUNTIF(助理班表!$E49:$AI49,"事"))</f>
        <v/>
      </c>
      <c r="K49" s="16">
        <f>IF($A49="","",COUNTIF(助理班表!$E49:$AI49,"公"))</f>
        <v/>
      </c>
      <c r="L49" s="16">
        <f>IF($A49="","",COUNTIF(助理班表!$E49:$AI49,"國"))</f>
        <v/>
      </c>
      <c r="M49" s="16">
        <f>IF($A49="","",COUNTIF(助理班表!$E49:$AI49,"支"))</f>
        <v/>
      </c>
      <c r="N49" s="86">
        <f>IF($A49="","",SUMIF(出勤紀錄!$C$3:$C$1862,$A49,出勤紀錄!$Q$3:$Q$1862))</f>
        <v/>
      </c>
      <c r="O49" s="86">
        <f>IF($A49="","",$F49+$N49)</f>
        <v/>
      </c>
      <c r="P49" s="16">
        <f>IF($A49="","",COUNTIFS(出勤紀錄!$C$3:$C$1862,$A49,出勤紀錄!$N$3:$N$1862,"遲到"))</f>
        <v/>
      </c>
      <c r="Q49" s="16">
        <f>IF($A49="","",COUNTIFS(出勤紀錄!$C$3:$C$1862,$A49,出勤紀錄!$N$3:$N$1862,"早退"))</f>
        <v/>
      </c>
      <c r="R49" s="16">
        <f>IF($A49="","",COUNTIFS(出勤紀錄!$C$3:$C$1862,$A49,出勤紀錄!$N$3:$N$1862,"未打卡"))</f>
        <v/>
      </c>
      <c r="S49" s="16">
        <f>IF($A49="","",IF(COUNTA(助理班表!$E49:$AI49)=DAY(EOMONTH(DATE(設定!$C$2,設定!$D$2,1),0)),"OK","⚠ 缺"&amp;(DAY(EOMONTH(DATE(設定!$C$2,設定!$D$2,1),0))-COUNTA(助理班表!$E49:$AI49))&amp;"天"))</f>
        <v/>
      </c>
    </row>
    <row r="50">
      <c r="A50" s="16">
        <f>IF(助理班表!$A50="","",助理班表!$A50)</f>
        <v/>
      </c>
      <c r="B50" s="16">
        <f>IF($A50="","",助理班表!$B50)</f>
        <v/>
      </c>
      <c r="C50" s="16">
        <f>IF($A50="","",助理班表!$C50)</f>
        <v/>
      </c>
      <c r="D50" s="16">
        <f>IF($A50="","",助理班表!$D50)</f>
        <v/>
      </c>
      <c r="E50" s="16">
        <f>IF($A50="","",SUMPRODUCT(COUNTIF(助理班表!$E50:$AI50,設定!$B$6:$B$21),設定!$H$6:$H$21))</f>
        <v/>
      </c>
      <c r="F50" s="86">
        <f>IF($A50="","",SUMPRODUCT(COUNTIF(助理班表!$E50:$AI50,設定!$B$6:$B$21),設定!$G$6:$G$21))</f>
        <v/>
      </c>
      <c r="G50" s="16">
        <f>IF($A50="","",COUNTIF(助理班表!$E50:$AI50,"OFF"))</f>
        <v/>
      </c>
      <c r="H50" s="16">
        <f>IF($A50="","",COUNTIF(助理班表!$E50:$AI50,"特"))</f>
        <v/>
      </c>
      <c r="I50" s="16">
        <f>IF($A50="","",COUNTIF(助理班表!$E50:$AI50,"病"))</f>
        <v/>
      </c>
      <c r="J50" s="16">
        <f>IF($A50="","",COUNTIF(助理班表!$E50:$AI50,"事"))</f>
        <v/>
      </c>
      <c r="K50" s="16">
        <f>IF($A50="","",COUNTIF(助理班表!$E50:$AI50,"公"))</f>
        <v/>
      </c>
      <c r="L50" s="16">
        <f>IF($A50="","",COUNTIF(助理班表!$E50:$AI50,"國"))</f>
        <v/>
      </c>
      <c r="M50" s="16">
        <f>IF($A50="","",COUNTIF(助理班表!$E50:$AI50,"支"))</f>
        <v/>
      </c>
      <c r="N50" s="86">
        <f>IF($A50="","",SUMIF(出勤紀錄!$C$3:$C$1862,$A50,出勤紀錄!$Q$3:$Q$1862))</f>
        <v/>
      </c>
      <c r="O50" s="86">
        <f>IF($A50="","",$F50+$N50)</f>
        <v/>
      </c>
      <c r="P50" s="16">
        <f>IF($A50="","",COUNTIFS(出勤紀錄!$C$3:$C$1862,$A50,出勤紀錄!$N$3:$N$1862,"遲到"))</f>
        <v/>
      </c>
      <c r="Q50" s="16">
        <f>IF($A50="","",COUNTIFS(出勤紀錄!$C$3:$C$1862,$A50,出勤紀錄!$N$3:$N$1862,"早退"))</f>
        <v/>
      </c>
      <c r="R50" s="16">
        <f>IF($A50="","",COUNTIFS(出勤紀錄!$C$3:$C$1862,$A50,出勤紀錄!$N$3:$N$1862,"未打卡"))</f>
        <v/>
      </c>
      <c r="S50" s="16">
        <f>IF($A50="","",IF(COUNTA(助理班表!$E50:$AI50)=DAY(EOMONTH(DATE(設定!$C$2,設定!$D$2,1),0)),"OK","⚠ 缺"&amp;(DAY(EOMONTH(DATE(設定!$C$2,設定!$D$2,1),0))-COUNTA(助理班表!$E50:$AI50))&amp;"天"))</f>
        <v/>
      </c>
    </row>
    <row r="51">
      <c r="A51" s="16">
        <f>IF(助理班表!$A51="","",助理班表!$A51)</f>
        <v/>
      </c>
      <c r="B51" s="16">
        <f>IF($A51="","",助理班表!$B51)</f>
        <v/>
      </c>
      <c r="C51" s="16">
        <f>IF($A51="","",助理班表!$C51)</f>
        <v/>
      </c>
      <c r="D51" s="16">
        <f>IF($A51="","",助理班表!$D51)</f>
        <v/>
      </c>
      <c r="E51" s="16">
        <f>IF($A51="","",SUMPRODUCT(COUNTIF(助理班表!$E51:$AI51,設定!$B$6:$B$21),設定!$H$6:$H$21))</f>
        <v/>
      </c>
      <c r="F51" s="86">
        <f>IF($A51="","",SUMPRODUCT(COUNTIF(助理班表!$E51:$AI51,設定!$B$6:$B$21),設定!$G$6:$G$21))</f>
        <v/>
      </c>
      <c r="G51" s="16">
        <f>IF($A51="","",COUNTIF(助理班表!$E51:$AI51,"OFF"))</f>
        <v/>
      </c>
      <c r="H51" s="16">
        <f>IF($A51="","",COUNTIF(助理班表!$E51:$AI51,"特"))</f>
        <v/>
      </c>
      <c r="I51" s="16">
        <f>IF($A51="","",COUNTIF(助理班表!$E51:$AI51,"病"))</f>
        <v/>
      </c>
      <c r="J51" s="16">
        <f>IF($A51="","",COUNTIF(助理班表!$E51:$AI51,"事"))</f>
        <v/>
      </c>
      <c r="K51" s="16">
        <f>IF($A51="","",COUNTIF(助理班表!$E51:$AI51,"公"))</f>
        <v/>
      </c>
      <c r="L51" s="16">
        <f>IF($A51="","",COUNTIF(助理班表!$E51:$AI51,"國"))</f>
        <v/>
      </c>
      <c r="M51" s="16">
        <f>IF($A51="","",COUNTIF(助理班表!$E51:$AI51,"支"))</f>
        <v/>
      </c>
      <c r="N51" s="86">
        <f>IF($A51="","",SUMIF(出勤紀錄!$C$3:$C$1862,$A51,出勤紀錄!$Q$3:$Q$1862))</f>
        <v/>
      </c>
      <c r="O51" s="86">
        <f>IF($A51="","",$F51+$N51)</f>
        <v/>
      </c>
      <c r="P51" s="16">
        <f>IF($A51="","",COUNTIFS(出勤紀錄!$C$3:$C$1862,$A51,出勤紀錄!$N$3:$N$1862,"遲到"))</f>
        <v/>
      </c>
      <c r="Q51" s="16">
        <f>IF($A51="","",COUNTIFS(出勤紀錄!$C$3:$C$1862,$A51,出勤紀錄!$N$3:$N$1862,"早退"))</f>
        <v/>
      </c>
      <c r="R51" s="16">
        <f>IF($A51="","",COUNTIFS(出勤紀錄!$C$3:$C$1862,$A51,出勤紀錄!$N$3:$N$1862,"未打卡"))</f>
        <v/>
      </c>
      <c r="S51" s="16">
        <f>IF($A51="","",IF(COUNTA(助理班表!$E51:$AI51)=DAY(EOMONTH(DATE(設定!$C$2,設定!$D$2,1),0)),"OK","⚠ 缺"&amp;(DAY(EOMONTH(DATE(設定!$C$2,設定!$D$2,1),0))-COUNTA(助理班表!$E51:$AI51))&amp;"天"))</f>
        <v/>
      </c>
    </row>
    <row r="52">
      <c r="A52" s="16">
        <f>IF(助理班表!$A52="","",助理班表!$A52)</f>
        <v/>
      </c>
      <c r="B52" s="16">
        <f>IF($A52="","",助理班表!$B52)</f>
        <v/>
      </c>
      <c r="C52" s="16">
        <f>IF($A52="","",助理班表!$C52)</f>
        <v/>
      </c>
      <c r="D52" s="16">
        <f>IF($A52="","",助理班表!$D52)</f>
        <v/>
      </c>
      <c r="E52" s="16">
        <f>IF($A52="","",SUMPRODUCT(COUNTIF(助理班表!$E52:$AI52,設定!$B$6:$B$21),設定!$H$6:$H$21))</f>
        <v/>
      </c>
      <c r="F52" s="86">
        <f>IF($A52="","",SUMPRODUCT(COUNTIF(助理班表!$E52:$AI52,設定!$B$6:$B$21),設定!$G$6:$G$21))</f>
        <v/>
      </c>
      <c r="G52" s="16">
        <f>IF($A52="","",COUNTIF(助理班表!$E52:$AI52,"OFF"))</f>
        <v/>
      </c>
      <c r="H52" s="16">
        <f>IF($A52="","",COUNTIF(助理班表!$E52:$AI52,"特"))</f>
        <v/>
      </c>
      <c r="I52" s="16">
        <f>IF($A52="","",COUNTIF(助理班表!$E52:$AI52,"病"))</f>
        <v/>
      </c>
      <c r="J52" s="16">
        <f>IF($A52="","",COUNTIF(助理班表!$E52:$AI52,"事"))</f>
        <v/>
      </c>
      <c r="K52" s="16">
        <f>IF($A52="","",COUNTIF(助理班表!$E52:$AI52,"公"))</f>
        <v/>
      </c>
      <c r="L52" s="16">
        <f>IF($A52="","",COUNTIF(助理班表!$E52:$AI52,"國"))</f>
        <v/>
      </c>
      <c r="M52" s="16">
        <f>IF($A52="","",COUNTIF(助理班表!$E52:$AI52,"支"))</f>
        <v/>
      </c>
      <c r="N52" s="86">
        <f>IF($A52="","",SUMIF(出勤紀錄!$C$3:$C$1862,$A52,出勤紀錄!$Q$3:$Q$1862))</f>
        <v/>
      </c>
      <c r="O52" s="86">
        <f>IF($A52="","",$F52+$N52)</f>
        <v/>
      </c>
      <c r="P52" s="16">
        <f>IF($A52="","",COUNTIFS(出勤紀錄!$C$3:$C$1862,$A52,出勤紀錄!$N$3:$N$1862,"遲到"))</f>
        <v/>
      </c>
      <c r="Q52" s="16">
        <f>IF($A52="","",COUNTIFS(出勤紀錄!$C$3:$C$1862,$A52,出勤紀錄!$N$3:$N$1862,"早退"))</f>
        <v/>
      </c>
      <c r="R52" s="16">
        <f>IF($A52="","",COUNTIFS(出勤紀錄!$C$3:$C$1862,$A52,出勤紀錄!$N$3:$N$1862,"未打卡"))</f>
        <v/>
      </c>
      <c r="S52" s="16">
        <f>IF($A52="","",IF(COUNTA(助理班表!$E52:$AI52)=DAY(EOMONTH(DATE(設定!$C$2,設定!$D$2,1),0)),"OK","⚠ 缺"&amp;(DAY(EOMONTH(DATE(設定!$C$2,設定!$D$2,1),0))-COUNTA(助理班表!$E52:$AI52))&amp;"天"))</f>
        <v/>
      </c>
    </row>
    <row r="53">
      <c r="A53" s="16">
        <f>IF(助理班表!$A53="","",助理班表!$A53)</f>
        <v/>
      </c>
      <c r="B53" s="16">
        <f>IF($A53="","",助理班表!$B53)</f>
        <v/>
      </c>
      <c r="C53" s="16">
        <f>IF($A53="","",助理班表!$C53)</f>
        <v/>
      </c>
      <c r="D53" s="16">
        <f>IF($A53="","",助理班表!$D53)</f>
        <v/>
      </c>
      <c r="E53" s="16">
        <f>IF($A53="","",SUMPRODUCT(COUNTIF(助理班表!$E53:$AI53,設定!$B$6:$B$21),設定!$H$6:$H$21))</f>
        <v/>
      </c>
      <c r="F53" s="86">
        <f>IF($A53="","",SUMPRODUCT(COUNTIF(助理班表!$E53:$AI53,設定!$B$6:$B$21),設定!$G$6:$G$21))</f>
        <v/>
      </c>
      <c r="G53" s="16">
        <f>IF($A53="","",COUNTIF(助理班表!$E53:$AI53,"OFF"))</f>
        <v/>
      </c>
      <c r="H53" s="16">
        <f>IF($A53="","",COUNTIF(助理班表!$E53:$AI53,"特"))</f>
        <v/>
      </c>
      <c r="I53" s="16">
        <f>IF($A53="","",COUNTIF(助理班表!$E53:$AI53,"病"))</f>
        <v/>
      </c>
      <c r="J53" s="16">
        <f>IF($A53="","",COUNTIF(助理班表!$E53:$AI53,"事"))</f>
        <v/>
      </c>
      <c r="K53" s="16">
        <f>IF($A53="","",COUNTIF(助理班表!$E53:$AI53,"公"))</f>
        <v/>
      </c>
      <c r="L53" s="16">
        <f>IF($A53="","",COUNTIF(助理班表!$E53:$AI53,"國"))</f>
        <v/>
      </c>
      <c r="M53" s="16">
        <f>IF($A53="","",COUNTIF(助理班表!$E53:$AI53,"支"))</f>
        <v/>
      </c>
      <c r="N53" s="86">
        <f>IF($A53="","",SUMIF(出勤紀錄!$C$3:$C$1862,$A53,出勤紀錄!$Q$3:$Q$1862))</f>
        <v/>
      </c>
      <c r="O53" s="86">
        <f>IF($A53="","",$F53+$N53)</f>
        <v/>
      </c>
      <c r="P53" s="16">
        <f>IF($A53="","",COUNTIFS(出勤紀錄!$C$3:$C$1862,$A53,出勤紀錄!$N$3:$N$1862,"遲到"))</f>
        <v/>
      </c>
      <c r="Q53" s="16">
        <f>IF($A53="","",COUNTIFS(出勤紀錄!$C$3:$C$1862,$A53,出勤紀錄!$N$3:$N$1862,"早退"))</f>
        <v/>
      </c>
      <c r="R53" s="16">
        <f>IF($A53="","",COUNTIFS(出勤紀錄!$C$3:$C$1862,$A53,出勤紀錄!$N$3:$N$1862,"未打卡"))</f>
        <v/>
      </c>
      <c r="S53" s="16">
        <f>IF($A53="","",IF(COUNTA(助理班表!$E53:$AI53)=DAY(EOMONTH(DATE(設定!$C$2,設定!$D$2,1),0)),"OK","⚠ 缺"&amp;(DAY(EOMONTH(DATE(設定!$C$2,設定!$D$2,1),0))-COUNTA(助理班表!$E53:$AI53))&amp;"天"))</f>
        <v/>
      </c>
    </row>
    <row r="54">
      <c r="A54" s="16">
        <f>IF(助理班表!$A54="","",助理班表!$A54)</f>
        <v/>
      </c>
      <c r="B54" s="16">
        <f>IF($A54="","",助理班表!$B54)</f>
        <v/>
      </c>
      <c r="C54" s="16">
        <f>IF($A54="","",助理班表!$C54)</f>
        <v/>
      </c>
      <c r="D54" s="16">
        <f>IF($A54="","",助理班表!$D54)</f>
        <v/>
      </c>
      <c r="E54" s="16">
        <f>IF($A54="","",SUMPRODUCT(COUNTIF(助理班表!$E54:$AI54,設定!$B$6:$B$21),設定!$H$6:$H$21))</f>
        <v/>
      </c>
      <c r="F54" s="86">
        <f>IF($A54="","",SUMPRODUCT(COUNTIF(助理班表!$E54:$AI54,設定!$B$6:$B$21),設定!$G$6:$G$21))</f>
        <v/>
      </c>
      <c r="G54" s="16">
        <f>IF($A54="","",COUNTIF(助理班表!$E54:$AI54,"OFF"))</f>
        <v/>
      </c>
      <c r="H54" s="16">
        <f>IF($A54="","",COUNTIF(助理班表!$E54:$AI54,"特"))</f>
        <v/>
      </c>
      <c r="I54" s="16">
        <f>IF($A54="","",COUNTIF(助理班表!$E54:$AI54,"病"))</f>
        <v/>
      </c>
      <c r="J54" s="16">
        <f>IF($A54="","",COUNTIF(助理班表!$E54:$AI54,"事"))</f>
        <v/>
      </c>
      <c r="K54" s="16">
        <f>IF($A54="","",COUNTIF(助理班表!$E54:$AI54,"公"))</f>
        <v/>
      </c>
      <c r="L54" s="16">
        <f>IF($A54="","",COUNTIF(助理班表!$E54:$AI54,"國"))</f>
        <v/>
      </c>
      <c r="M54" s="16">
        <f>IF($A54="","",COUNTIF(助理班表!$E54:$AI54,"支"))</f>
        <v/>
      </c>
      <c r="N54" s="86">
        <f>IF($A54="","",SUMIF(出勤紀錄!$C$3:$C$1862,$A54,出勤紀錄!$Q$3:$Q$1862))</f>
        <v/>
      </c>
      <c r="O54" s="86">
        <f>IF($A54="","",$F54+$N54)</f>
        <v/>
      </c>
      <c r="P54" s="16">
        <f>IF($A54="","",COUNTIFS(出勤紀錄!$C$3:$C$1862,$A54,出勤紀錄!$N$3:$N$1862,"遲到"))</f>
        <v/>
      </c>
      <c r="Q54" s="16">
        <f>IF($A54="","",COUNTIFS(出勤紀錄!$C$3:$C$1862,$A54,出勤紀錄!$N$3:$N$1862,"早退"))</f>
        <v/>
      </c>
      <c r="R54" s="16">
        <f>IF($A54="","",COUNTIFS(出勤紀錄!$C$3:$C$1862,$A54,出勤紀錄!$N$3:$N$1862,"未打卡"))</f>
        <v/>
      </c>
      <c r="S54" s="16">
        <f>IF($A54="","",IF(COUNTA(助理班表!$E54:$AI54)=DAY(EOMONTH(DATE(設定!$C$2,設定!$D$2,1),0)),"OK","⚠ 缺"&amp;(DAY(EOMONTH(DATE(設定!$C$2,設定!$D$2,1),0))-COUNTA(助理班表!$E54:$AI54))&amp;"天"))</f>
        <v/>
      </c>
    </row>
    <row r="55">
      <c r="A55" s="16">
        <f>IF(助理班表!$A55="","",助理班表!$A55)</f>
        <v/>
      </c>
      <c r="B55" s="16">
        <f>IF($A55="","",助理班表!$B55)</f>
        <v/>
      </c>
      <c r="C55" s="16">
        <f>IF($A55="","",助理班表!$C55)</f>
        <v/>
      </c>
      <c r="D55" s="16">
        <f>IF($A55="","",助理班表!$D55)</f>
        <v/>
      </c>
      <c r="E55" s="16">
        <f>IF($A55="","",SUMPRODUCT(COUNTIF(助理班表!$E55:$AI55,設定!$B$6:$B$21),設定!$H$6:$H$21))</f>
        <v/>
      </c>
      <c r="F55" s="86">
        <f>IF($A55="","",SUMPRODUCT(COUNTIF(助理班表!$E55:$AI55,設定!$B$6:$B$21),設定!$G$6:$G$21))</f>
        <v/>
      </c>
      <c r="G55" s="16">
        <f>IF($A55="","",COUNTIF(助理班表!$E55:$AI55,"OFF"))</f>
        <v/>
      </c>
      <c r="H55" s="16">
        <f>IF($A55="","",COUNTIF(助理班表!$E55:$AI55,"特"))</f>
        <v/>
      </c>
      <c r="I55" s="16">
        <f>IF($A55="","",COUNTIF(助理班表!$E55:$AI55,"病"))</f>
        <v/>
      </c>
      <c r="J55" s="16">
        <f>IF($A55="","",COUNTIF(助理班表!$E55:$AI55,"事"))</f>
        <v/>
      </c>
      <c r="K55" s="16">
        <f>IF($A55="","",COUNTIF(助理班表!$E55:$AI55,"公"))</f>
        <v/>
      </c>
      <c r="L55" s="16">
        <f>IF($A55="","",COUNTIF(助理班表!$E55:$AI55,"國"))</f>
        <v/>
      </c>
      <c r="M55" s="16">
        <f>IF($A55="","",COUNTIF(助理班表!$E55:$AI55,"支"))</f>
        <v/>
      </c>
      <c r="N55" s="86">
        <f>IF($A55="","",SUMIF(出勤紀錄!$C$3:$C$1862,$A55,出勤紀錄!$Q$3:$Q$1862))</f>
        <v/>
      </c>
      <c r="O55" s="86">
        <f>IF($A55="","",$F55+$N55)</f>
        <v/>
      </c>
      <c r="P55" s="16">
        <f>IF($A55="","",COUNTIFS(出勤紀錄!$C$3:$C$1862,$A55,出勤紀錄!$N$3:$N$1862,"遲到"))</f>
        <v/>
      </c>
      <c r="Q55" s="16">
        <f>IF($A55="","",COUNTIFS(出勤紀錄!$C$3:$C$1862,$A55,出勤紀錄!$N$3:$N$1862,"早退"))</f>
        <v/>
      </c>
      <c r="R55" s="16">
        <f>IF($A55="","",COUNTIFS(出勤紀錄!$C$3:$C$1862,$A55,出勤紀錄!$N$3:$N$1862,"未打卡"))</f>
        <v/>
      </c>
      <c r="S55" s="16">
        <f>IF($A55="","",IF(COUNTA(助理班表!$E55:$AI55)=DAY(EOMONTH(DATE(設定!$C$2,設定!$D$2,1),0)),"OK","⚠ 缺"&amp;(DAY(EOMONTH(DATE(設定!$C$2,設定!$D$2,1),0))-COUNTA(助理班表!$E55:$AI55))&amp;"天"))</f>
        <v/>
      </c>
    </row>
    <row r="56">
      <c r="A56" s="16">
        <f>IF(助理班表!$A56="","",助理班表!$A56)</f>
        <v/>
      </c>
      <c r="B56" s="16">
        <f>IF($A56="","",助理班表!$B56)</f>
        <v/>
      </c>
      <c r="C56" s="16">
        <f>IF($A56="","",助理班表!$C56)</f>
        <v/>
      </c>
      <c r="D56" s="16">
        <f>IF($A56="","",助理班表!$D56)</f>
        <v/>
      </c>
      <c r="E56" s="16">
        <f>IF($A56="","",SUMPRODUCT(COUNTIF(助理班表!$E56:$AI56,設定!$B$6:$B$21),設定!$H$6:$H$21))</f>
        <v/>
      </c>
      <c r="F56" s="86">
        <f>IF($A56="","",SUMPRODUCT(COUNTIF(助理班表!$E56:$AI56,設定!$B$6:$B$21),設定!$G$6:$G$21))</f>
        <v/>
      </c>
      <c r="G56" s="16">
        <f>IF($A56="","",COUNTIF(助理班表!$E56:$AI56,"OFF"))</f>
        <v/>
      </c>
      <c r="H56" s="16">
        <f>IF($A56="","",COUNTIF(助理班表!$E56:$AI56,"特"))</f>
        <v/>
      </c>
      <c r="I56" s="16">
        <f>IF($A56="","",COUNTIF(助理班表!$E56:$AI56,"病"))</f>
        <v/>
      </c>
      <c r="J56" s="16">
        <f>IF($A56="","",COUNTIF(助理班表!$E56:$AI56,"事"))</f>
        <v/>
      </c>
      <c r="K56" s="16">
        <f>IF($A56="","",COUNTIF(助理班表!$E56:$AI56,"公"))</f>
        <v/>
      </c>
      <c r="L56" s="16">
        <f>IF($A56="","",COUNTIF(助理班表!$E56:$AI56,"國"))</f>
        <v/>
      </c>
      <c r="M56" s="16">
        <f>IF($A56="","",COUNTIF(助理班表!$E56:$AI56,"支"))</f>
        <v/>
      </c>
      <c r="N56" s="86">
        <f>IF($A56="","",SUMIF(出勤紀錄!$C$3:$C$1862,$A56,出勤紀錄!$Q$3:$Q$1862))</f>
        <v/>
      </c>
      <c r="O56" s="86">
        <f>IF($A56="","",$F56+$N56)</f>
        <v/>
      </c>
      <c r="P56" s="16">
        <f>IF($A56="","",COUNTIFS(出勤紀錄!$C$3:$C$1862,$A56,出勤紀錄!$N$3:$N$1862,"遲到"))</f>
        <v/>
      </c>
      <c r="Q56" s="16">
        <f>IF($A56="","",COUNTIFS(出勤紀錄!$C$3:$C$1862,$A56,出勤紀錄!$N$3:$N$1862,"早退"))</f>
        <v/>
      </c>
      <c r="R56" s="16">
        <f>IF($A56="","",COUNTIFS(出勤紀錄!$C$3:$C$1862,$A56,出勤紀錄!$N$3:$N$1862,"未打卡"))</f>
        <v/>
      </c>
      <c r="S56" s="16">
        <f>IF($A56="","",IF(COUNTA(助理班表!$E56:$AI56)=DAY(EOMONTH(DATE(設定!$C$2,設定!$D$2,1),0)),"OK","⚠ 缺"&amp;(DAY(EOMONTH(DATE(設定!$C$2,設定!$D$2,1),0))-COUNTA(助理班表!$E56:$AI56))&amp;"天"))</f>
        <v/>
      </c>
    </row>
    <row r="57">
      <c r="A57" s="16">
        <f>IF(助理班表!$A57="","",助理班表!$A57)</f>
        <v/>
      </c>
      <c r="B57" s="16">
        <f>IF($A57="","",助理班表!$B57)</f>
        <v/>
      </c>
      <c r="C57" s="16">
        <f>IF($A57="","",助理班表!$C57)</f>
        <v/>
      </c>
      <c r="D57" s="16">
        <f>IF($A57="","",助理班表!$D57)</f>
        <v/>
      </c>
      <c r="E57" s="16">
        <f>IF($A57="","",SUMPRODUCT(COUNTIF(助理班表!$E57:$AI57,設定!$B$6:$B$21),設定!$H$6:$H$21))</f>
        <v/>
      </c>
      <c r="F57" s="86">
        <f>IF($A57="","",SUMPRODUCT(COUNTIF(助理班表!$E57:$AI57,設定!$B$6:$B$21),設定!$G$6:$G$21))</f>
        <v/>
      </c>
      <c r="G57" s="16">
        <f>IF($A57="","",COUNTIF(助理班表!$E57:$AI57,"OFF"))</f>
        <v/>
      </c>
      <c r="H57" s="16">
        <f>IF($A57="","",COUNTIF(助理班表!$E57:$AI57,"特"))</f>
        <v/>
      </c>
      <c r="I57" s="16">
        <f>IF($A57="","",COUNTIF(助理班表!$E57:$AI57,"病"))</f>
        <v/>
      </c>
      <c r="J57" s="16">
        <f>IF($A57="","",COUNTIF(助理班表!$E57:$AI57,"事"))</f>
        <v/>
      </c>
      <c r="K57" s="16">
        <f>IF($A57="","",COUNTIF(助理班表!$E57:$AI57,"公"))</f>
        <v/>
      </c>
      <c r="L57" s="16">
        <f>IF($A57="","",COUNTIF(助理班表!$E57:$AI57,"國"))</f>
        <v/>
      </c>
      <c r="M57" s="16">
        <f>IF($A57="","",COUNTIF(助理班表!$E57:$AI57,"支"))</f>
        <v/>
      </c>
      <c r="N57" s="86">
        <f>IF($A57="","",SUMIF(出勤紀錄!$C$3:$C$1862,$A57,出勤紀錄!$Q$3:$Q$1862))</f>
        <v/>
      </c>
      <c r="O57" s="86">
        <f>IF($A57="","",$F57+$N57)</f>
        <v/>
      </c>
      <c r="P57" s="16">
        <f>IF($A57="","",COUNTIFS(出勤紀錄!$C$3:$C$1862,$A57,出勤紀錄!$N$3:$N$1862,"遲到"))</f>
        <v/>
      </c>
      <c r="Q57" s="16">
        <f>IF($A57="","",COUNTIFS(出勤紀錄!$C$3:$C$1862,$A57,出勤紀錄!$N$3:$N$1862,"早退"))</f>
        <v/>
      </c>
      <c r="R57" s="16">
        <f>IF($A57="","",COUNTIFS(出勤紀錄!$C$3:$C$1862,$A57,出勤紀錄!$N$3:$N$1862,"未打卡"))</f>
        <v/>
      </c>
      <c r="S57" s="16">
        <f>IF($A57="","",IF(COUNTA(助理班表!$E57:$AI57)=DAY(EOMONTH(DATE(設定!$C$2,設定!$D$2,1),0)),"OK","⚠ 缺"&amp;(DAY(EOMONTH(DATE(設定!$C$2,設定!$D$2,1),0))-COUNTA(助理班表!$E57:$AI57))&amp;"天"))</f>
        <v/>
      </c>
    </row>
    <row r="58">
      <c r="A58" s="16">
        <f>IF(助理班表!$A58="","",助理班表!$A58)</f>
        <v/>
      </c>
      <c r="B58" s="16">
        <f>IF($A58="","",助理班表!$B58)</f>
        <v/>
      </c>
      <c r="C58" s="16">
        <f>IF($A58="","",助理班表!$C58)</f>
        <v/>
      </c>
      <c r="D58" s="16">
        <f>IF($A58="","",助理班表!$D58)</f>
        <v/>
      </c>
      <c r="E58" s="16">
        <f>IF($A58="","",SUMPRODUCT(COUNTIF(助理班表!$E58:$AI58,設定!$B$6:$B$21),設定!$H$6:$H$21))</f>
        <v/>
      </c>
      <c r="F58" s="86">
        <f>IF($A58="","",SUMPRODUCT(COUNTIF(助理班表!$E58:$AI58,設定!$B$6:$B$21),設定!$G$6:$G$21))</f>
        <v/>
      </c>
      <c r="G58" s="16">
        <f>IF($A58="","",COUNTIF(助理班表!$E58:$AI58,"OFF"))</f>
        <v/>
      </c>
      <c r="H58" s="16">
        <f>IF($A58="","",COUNTIF(助理班表!$E58:$AI58,"特"))</f>
        <v/>
      </c>
      <c r="I58" s="16">
        <f>IF($A58="","",COUNTIF(助理班表!$E58:$AI58,"病"))</f>
        <v/>
      </c>
      <c r="J58" s="16">
        <f>IF($A58="","",COUNTIF(助理班表!$E58:$AI58,"事"))</f>
        <v/>
      </c>
      <c r="K58" s="16">
        <f>IF($A58="","",COUNTIF(助理班表!$E58:$AI58,"公"))</f>
        <v/>
      </c>
      <c r="L58" s="16">
        <f>IF($A58="","",COUNTIF(助理班表!$E58:$AI58,"國"))</f>
        <v/>
      </c>
      <c r="M58" s="16">
        <f>IF($A58="","",COUNTIF(助理班表!$E58:$AI58,"支"))</f>
        <v/>
      </c>
      <c r="N58" s="86">
        <f>IF($A58="","",SUMIF(出勤紀錄!$C$3:$C$1862,$A58,出勤紀錄!$Q$3:$Q$1862))</f>
        <v/>
      </c>
      <c r="O58" s="86">
        <f>IF($A58="","",$F58+$N58)</f>
        <v/>
      </c>
      <c r="P58" s="16">
        <f>IF($A58="","",COUNTIFS(出勤紀錄!$C$3:$C$1862,$A58,出勤紀錄!$N$3:$N$1862,"遲到"))</f>
        <v/>
      </c>
      <c r="Q58" s="16">
        <f>IF($A58="","",COUNTIFS(出勤紀錄!$C$3:$C$1862,$A58,出勤紀錄!$N$3:$N$1862,"早退"))</f>
        <v/>
      </c>
      <c r="R58" s="16">
        <f>IF($A58="","",COUNTIFS(出勤紀錄!$C$3:$C$1862,$A58,出勤紀錄!$N$3:$N$1862,"未打卡"))</f>
        <v/>
      </c>
      <c r="S58" s="16">
        <f>IF($A58="","",IF(COUNTA(助理班表!$E58:$AI58)=DAY(EOMONTH(DATE(設定!$C$2,設定!$D$2,1),0)),"OK","⚠ 缺"&amp;(DAY(EOMONTH(DATE(設定!$C$2,設定!$D$2,1),0))-COUNTA(助理班表!$E58:$AI58))&amp;"天"))</f>
        <v/>
      </c>
    </row>
    <row r="59">
      <c r="A59" s="16">
        <f>IF(助理班表!$A59="","",助理班表!$A59)</f>
        <v/>
      </c>
      <c r="B59" s="16">
        <f>IF($A59="","",助理班表!$B59)</f>
        <v/>
      </c>
      <c r="C59" s="16">
        <f>IF($A59="","",助理班表!$C59)</f>
        <v/>
      </c>
      <c r="D59" s="16">
        <f>IF($A59="","",助理班表!$D59)</f>
        <v/>
      </c>
      <c r="E59" s="16">
        <f>IF($A59="","",SUMPRODUCT(COUNTIF(助理班表!$E59:$AI59,設定!$B$6:$B$21),設定!$H$6:$H$21))</f>
        <v/>
      </c>
      <c r="F59" s="86">
        <f>IF($A59="","",SUMPRODUCT(COUNTIF(助理班表!$E59:$AI59,設定!$B$6:$B$21),設定!$G$6:$G$21))</f>
        <v/>
      </c>
      <c r="G59" s="16">
        <f>IF($A59="","",COUNTIF(助理班表!$E59:$AI59,"OFF"))</f>
        <v/>
      </c>
      <c r="H59" s="16">
        <f>IF($A59="","",COUNTIF(助理班表!$E59:$AI59,"特"))</f>
        <v/>
      </c>
      <c r="I59" s="16">
        <f>IF($A59="","",COUNTIF(助理班表!$E59:$AI59,"病"))</f>
        <v/>
      </c>
      <c r="J59" s="16">
        <f>IF($A59="","",COUNTIF(助理班表!$E59:$AI59,"事"))</f>
        <v/>
      </c>
      <c r="K59" s="16">
        <f>IF($A59="","",COUNTIF(助理班表!$E59:$AI59,"公"))</f>
        <v/>
      </c>
      <c r="L59" s="16">
        <f>IF($A59="","",COUNTIF(助理班表!$E59:$AI59,"國"))</f>
        <v/>
      </c>
      <c r="M59" s="16">
        <f>IF($A59="","",COUNTIF(助理班表!$E59:$AI59,"支"))</f>
        <v/>
      </c>
      <c r="N59" s="86">
        <f>IF($A59="","",SUMIF(出勤紀錄!$C$3:$C$1862,$A59,出勤紀錄!$Q$3:$Q$1862))</f>
        <v/>
      </c>
      <c r="O59" s="86">
        <f>IF($A59="","",$F59+$N59)</f>
        <v/>
      </c>
      <c r="P59" s="16">
        <f>IF($A59="","",COUNTIFS(出勤紀錄!$C$3:$C$1862,$A59,出勤紀錄!$N$3:$N$1862,"遲到"))</f>
        <v/>
      </c>
      <c r="Q59" s="16">
        <f>IF($A59="","",COUNTIFS(出勤紀錄!$C$3:$C$1862,$A59,出勤紀錄!$N$3:$N$1862,"早退"))</f>
        <v/>
      </c>
      <c r="R59" s="16">
        <f>IF($A59="","",COUNTIFS(出勤紀錄!$C$3:$C$1862,$A59,出勤紀錄!$N$3:$N$1862,"未打卡"))</f>
        <v/>
      </c>
      <c r="S59" s="16">
        <f>IF($A59="","",IF(COUNTA(助理班表!$E59:$AI59)=DAY(EOMONTH(DATE(設定!$C$2,設定!$D$2,1),0)),"OK","⚠ 缺"&amp;(DAY(EOMONTH(DATE(設定!$C$2,設定!$D$2,1),0))-COUNTA(助理班表!$E59:$AI59))&amp;"天"))</f>
        <v/>
      </c>
    </row>
    <row r="60">
      <c r="A60" s="16">
        <f>IF(助理班表!$A60="","",助理班表!$A60)</f>
        <v/>
      </c>
      <c r="B60" s="16">
        <f>IF($A60="","",助理班表!$B60)</f>
        <v/>
      </c>
      <c r="C60" s="16">
        <f>IF($A60="","",助理班表!$C60)</f>
        <v/>
      </c>
      <c r="D60" s="16">
        <f>IF($A60="","",助理班表!$D60)</f>
        <v/>
      </c>
      <c r="E60" s="16">
        <f>IF($A60="","",SUMPRODUCT(COUNTIF(助理班表!$E60:$AI60,設定!$B$6:$B$21),設定!$H$6:$H$21))</f>
        <v/>
      </c>
      <c r="F60" s="86">
        <f>IF($A60="","",SUMPRODUCT(COUNTIF(助理班表!$E60:$AI60,設定!$B$6:$B$21),設定!$G$6:$G$21))</f>
        <v/>
      </c>
      <c r="G60" s="16">
        <f>IF($A60="","",COUNTIF(助理班表!$E60:$AI60,"OFF"))</f>
        <v/>
      </c>
      <c r="H60" s="16">
        <f>IF($A60="","",COUNTIF(助理班表!$E60:$AI60,"特"))</f>
        <v/>
      </c>
      <c r="I60" s="16">
        <f>IF($A60="","",COUNTIF(助理班表!$E60:$AI60,"病"))</f>
        <v/>
      </c>
      <c r="J60" s="16">
        <f>IF($A60="","",COUNTIF(助理班表!$E60:$AI60,"事"))</f>
        <v/>
      </c>
      <c r="K60" s="16">
        <f>IF($A60="","",COUNTIF(助理班表!$E60:$AI60,"公"))</f>
        <v/>
      </c>
      <c r="L60" s="16">
        <f>IF($A60="","",COUNTIF(助理班表!$E60:$AI60,"國"))</f>
        <v/>
      </c>
      <c r="M60" s="16">
        <f>IF($A60="","",COUNTIF(助理班表!$E60:$AI60,"支"))</f>
        <v/>
      </c>
      <c r="N60" s="86">
        <f>IF($A60="","",SUMIF(出勤紀錄!$C$3:$C$1862,$A60,出勤紀錄!$Q$3:$Q$1862))</f>
        <v/>
      </c>
      <c r="O60" s="86">
        <f>IF($A60="","",$F60+$N60)</f>
        <v/>
      </c>
      <c r="P60" s="16">
        <f>IF($A60="","",COUNTIFS(出勤紀錄!$C$3:$C$1862,$A60,出勤紀錄!$N$3:$N$1862,"遲到"))</f>
        <v/>
      </c>
      <c r="Q60" s="16">
        <f>IF($A60="","",COUNTIFS(出勤紀錄!$C$3:$C$1862,$A60,出勤紀錄!$N$3:$N$1862,"早退"))</f>
        <v/>
      </c>
      <c r="R60" s="16">
        <f>IF($A60="","",COUNTIFS(出勤紀錄!$C$3:$C$1862,$A60,出勤紀錄!$N$3:$N$1862,"未打卡"))</f>
        <v/>
      </c>
      <c r="S60" s="16">
        <f>IF($A60="","",IF(COUNTA(助理班表!$E60:$AI60)=DAY(EOMONTH(DATE(設定!$C$2,設定!$D$2,1),0)),"OK","⚠ 缺"&amp;(DAY(EOMONTH(DATE(設定!$C$2,設定!$D$2,1),0))-COUNTA(助理班表!$E60:$AI60))&amp;"天"))</f>
        <v/>
      </c>
    </row>
    <row r="61">
      <c r="A61" s="16">
        <f>IF(助理班表!$A61="","",助理班表!$A61)</f>
        <v/>
      </c>
      <c r="B61" s="16">
        <f>IF($A61="","",助理班表!$B61)</f>
        <v/>
      </c>
      <c r="C61" s="16">
        <f>IF($A61="","",助理班表!$C61)</f>
        <v/>
      </c>
      <c r="D61" s="16">
        <f>IF($A61="","",助理班表!$D61)</f>
        <v/>
      </c>
      <c r="E61" s="16">
        <f>IF($A61="","",SUMPRODUCT(COUNTIF(助理班表!$E61:$AI61,設定!$B$6:$B$21),設定!$H$6:$H$21))</f>
        <v/>
      </c>
      <c r="F61" s="86">
        <f>IF($A61="","",SUMPRODUCT(COUNTIF(助理班表!$E61:$AI61,設定!$B$6:$B$21),設定!$G$6:$G$21))</f>
        <v/>
      </c>
      <c r="G61" s="16">
        <f>IF($A61="","",COUNTIF(助理班表!$E61:$AI61,"OFF"))</f>
        <v/>
      </c>
      <c r="H61" s="16">
        <f>IF($A61="","",COUNTIF(助理班表!$E61:$AI61,"特"))</f>
        <v/>
      </c>
      <c r="I61" s="16">
        <f>IF($A61="","",COUNTIF(助理班表!$E61:$AI61,"病"))</f>
        <v/>
      </c>
      <c r="J61" s="16">
        <f>IF($A61="","",COUNTIF(助理班表!$E61:$AI61,"事"))</f>
        <v/>
      </c>
      <c r="K61" s="16">
        <f>IF($A61="","",COUNTIF(助理班表!$E61:$AI61,"公"))</f>
        <v/>
      </c>
      <c r="L61" s="16">
        <f>IF($A61="","",COUNTIF(助理班表!$E61:$AI61,"國"))</f>
        <v/>
      </c>
      <c r="M61" s="16">
        <f>IF($A61="","",COUNTIF(助理班表!$E61:$AI61,"支"))</f>
        <v/>
      </c>
      <c r="N61" s="86">
        <f>IF($A61="","",SUMIF(出勤紀錄!$C$3:$C$1862,$A61,出勤紀錄!$Q$3:$Q$1862))</f>
        <v/>
      </c>
      <c r="O61" s="86">
        <f>IF($A61="","",$F61+$N61)</f>
        <v/>
      </c>
      <c r="P61" s="16">
        <f>IF($A61="","",COUNTIFS(出勤紀錄!$C$3:$C$1862,$A61,出勤紀錄!$N$3:$N$1862,"遲到"))</f>
        <v/>
      </c>
      <c r="Q61" s="16">
        <f>IF($A61="","",COUNTIFS(出勤紀錄!$C$3:$C$1862,$A61,出勤紀錄!$N$3:$N$1862,"早退"))</f>
        <v/>
      </c>
      <c r="R61" s="16">
        <f>IF($A61="","",COUNTIFS(出勤紀錄!$C$3:$C$1862,$A61,出勤紀錄!$N$3:$N$1862,"未打卡"))</f>
        <v/>
      </c>
      <c r="S61" s="16">
        <f>IF($A61="","",IF(COUNTA(助理班表!$E61:$AI61)=DAY(EOMONTH(DATE(設定!$C$2,設定!$D$2,1),0)),"OK","⚠ 缺"&amp;(DAY(EOMONTH(DATE(設定!$C$2,設定!$D$2,1),0))-COUNTA(助理班表!$E61:$AI61))&amp;"天"))</f>
        <v/>
      </c>
    </row>
    <row r="62">
      <c r="A62" s="16">
        <f>IF(助理班表!$A62="","",助理班表!$A62)</f>
        <v/>
      </c>
      <c r="B62" s="16">
        <f>IF($A62="","",助理班表!$B62)</f>
        <v/>
      </c>
      <c r="C62" s="16">
        <f>IF($A62="","",助理班表!$C62)</f>
        <v/>
      </c>
      <c r="D62" s="16">
        <f>IF($A62="","",助理班表!$D62)</f>
        <v/>
      </c>
      <c r="E62" s="16">
        <f>IF($A62="","",SUMPRODUCT(COUNTIF(助理班表!$E62:$AI62,設定!$B$6:$B$21),設定!$H$6:$H$21))</f>
        <v/>
      </c>
      <c r="F62" s="86">
        <f>IF($A62="","",SUMPRODUCT(COUNTIF(助理班表!$E62:$AI62,設定!$B$6:$B$21),設定!$G$6:$G$21))</f>
        <v/>
      </c>
      <c r="G62" s="16">
        <f>IF($A62="","",COUNTIF(助理班表!$E62:$AI62,"OFF"))</f>
        <v/>
      </c>
      <c r="H62" s="16">
        <f>IF($A62="","",COUNTIF(助理班表!$E62:$AI62,"特"))</f>
        <v/>
      </c>
      <c r="I62" s="16">
        <f>IF($A62="","",COUNTIF(助理班表!$E62:$AI62,"病"))</f>
        <v/>
      </c>
      <c r="J62" s="16">
        <f>IF($A62="","",COUNTIF(助理班表!$E62:$AI62,"事"))</f>
        <v/>
      </c>
      <c r="K62" s="16">
        <f>IF($A62="","",COUNTIF(助理班表!$E62:$AI62,"公"))</f>
        <v/>
      </c>
      <c r="L62" s="16">
        <f>IF($A62="","",COUNTIF(助理班表!$E62:$AI62,"國"))</f>
        <v/>
      </c>
      <c r="M62" s="16">
        <f>IF($A62="","",COUNTIF(助理班表!$E62:$AI62,"支"))</f>
        <v/>
      </c>
      <c r="N62" s="86">
        <f>IF($A62="","",SUMIF(出勤紀錄!$C$3:$C$1862,$A62,出勤紀錄!$Q$3:$Q$1862))</f>
        <v/>
      </c>
      <c r="O62" s="86">
        <f>IF($A62="","",$F62+$N62)</f>
        <v/>
      </c>
      <c r="P62" s="16">
        <f>IF($A62="","",COUNTIFS(出勤紀錄!$C$3:$C$1862,$A62,出勤紀錄!$N$3:$N$1862,"遲到"))</f>
        <v/>
      </c>
      <c r="Q62" s="16">
        <f>IF($A62="","",COUNTIFS(出勤紀錄!$C$3:$C$1862,$A62,出勤紀錄!$N$3:$N$1862,"早退"))</f>
        <v/>
      </c>
      <c r="R62" s="16">
        <f>IF($A62="","",COUNTIFS(出勤紀錄!$C$3:$C$1862,$A62,出勤紀錄!$N$3:$N$1862,"未打卡"))</f>
        <v/>
      </c>
      <c r="S62" s="16">
        <f>IF($A62="","",IF(COUNTA(助理班表!$E62:$AI62)=DAY(EOMONTH(DATE(設定!$C$2,設定!$D$2,1),0)),"OK","⚠ 缺"&amp;(DAY(EOMONTH(DATE(設定!$C$2,設定!$D$2,1),0))-COUNTA(助理班表!$E62:$AI62))&amp;"天"))</f>
        <v/>
      </c>
    </row>
    <row r="63">
      <c r="A63" s="16">
        <f>IF(助理班表!$A63="","",助理班表!$A63)</f>
        <v/>
      </c>
      <c r="B63" s="16">
        <f>IF($A63="","",助理班表!$B63)</f>
        <v/>
      </c>
      <c r="C63" s="16">
        <f>IF($A63="","",助理班表!$C63)</f>
        <v/>
      </c>
      <c r="D63" s="16">
        <f>IF($A63="","",助理班表!$D63)</f>
        <v/>
      </c>
      <c r="E63" s="16">
        <f>IF($A63="","",SUMPRODUCT(COUNTIF(助理班表!$E63:$AI63,設定!$B$6:$B$21),設定!$H$6:$H$21))</f>
        <v/>
      </c>
      <c r="F63" s="86">
        <f>IF($A63="","",SUMPRODUCT(COUNTIF(助理班表!$E63:$AI63,設定!$B$6:$B$21),設定!$G$6:$G$21))</f>
        <v/>
      </c>
      <c r="G63" s="16">
        <f>IF($A63="","",COUNTIF(助理班表!$E63:$AI63,"OFF"))</f>
        <v/>
      </c>
      <c r="H63" s="16">
        <f>IF($A63="","",COUNTIF(助理班表!$E63:$AI63,"特"))</f>
        <v/>
      </c>
      <c r="I63" s="16">
        <f>IF($A63="","",COUNTIF(助理班表!$E63:$AI63,"病"))</f>
        <v/>
      </c>
      <c r="J63" s="16">
        <f>IF($A63="","",COUNTIF(助理班表!$E63:$AI63,"事"))</f>
        <v/>
      </c>
      <c r="K63" s="16">
        <f>IF($A63="","",COUNTIF(助理班表!$E63:$AI63,"公"))</f>
        <v/>
      </c>
      <c r="L63" s="16">
        <f>IF($A63="","",COUNTIF(助理班表!$E63:$AI63,"國"))</f>
        <v/>
      </c>
      <c r="M63" s="16">
        <f>IF($A63="","",COUNTIF(助理班表!$E63:$AI63,"支"))</f>
        <v/>
      </c>
      <c r="N63" s="86">
        <f>IF($A63="","",SUMIF(出勤紀錄!$C$3:$C$1862,$A63,出勤紀錄!$Q$3:$Q$1862))</f>
        <v/>
      </c>
      <c r="O63" s="86">
        <f>IF($A63="","",$F63+$N63)</f>
        <v/>
      </c>
      <c r="P63" s="16">
        <f>IF($A63="","",COUNTIFS(出勤紀錄!$C$3:$C$1862,$A63,出勤紀錄!$N$3:$N$1862,"遲到"))</f>
        <v/>
      </c>
      <c r="Q63" s="16">
        <f>IF($A63="","",COUNTIFS(出勤紀錄!$C$3:$C$1862,$A63,出勤紀錄!$N$3:$N$1862,"早退"))</f>
        <v/>
      </c>
      <c r="R63" s="16">
        <f>IF($A63="","",COUNTIFS(出勤紀錄!$C$3:$C$1862,$A63,出勤紀錄!$N$3:$N$1862,"未打卡"))</f>
        <v/>
      </c>
      <c r="S63" s="16">
        <f>IF($A63="","",IF(COUNTA(助理班表!$E63:$AI63)=DAY(EOMONTH(DATE(設定!$C$2,設定!$D$2,1),0)),"OK","⚠ 缺"&amp;(DAY(EOMONTH(DATE(設定!$C$2,設定!$D$2,1),0))-COUNTA(助理班表!$E63:$AI63))&amp;"天"))</f>
        <v/>
      </c>
    </row>
    <row r="64">
      <c r="A64" s="16">
        <f>IF(助理班表!$A64="","",助理班表!$A64)</f>
        <v/>
      </c>
      <c r="B64" s="16">
        <f>IF($A64="","",助理班表!$B64)</f>
        <v/>
      </c>
      <c r="C64" s="16">
        <f>IF($A64="","",助理班表!$C64)</f>
        <v/>
      </c>
      <c r="D64" s="16">
        <f>IF($A64="","",助理班表!$D64)</f>
        <v/>
      </c>
      <c r="E64" s="16">
        <f>IF($A64="","",SUMPRODUCT(COUNTIF(助理班表!$E64:$AI64,設定!$B$6:$B$21),設定!$H$6:$H$21))</f>
        <v/>
      </c>
      <c r="F64" s="86">
        <f>IF($A64="","",SUMPRODUCT(COUNTIF(助理班表!$E64:$AI64,設定!$B$6:$B$21),設定!$G$6:$G$21))</f>
        <v/>
      </c>
      <c r="G64" s="16">
        <f>IF($A64="","",COUNTIF(助理班表!$E64:$AI64,"OFF"))</f>
        <v/>
      </c>
      <c r="H64" s="16">
        <f>IF($A64="","",COUNTIF(助理班表!$E64:$AI64,"特"))</f>
        <v/>
      </c>
      <c r="I64" s="16">
        <f>IF($A64="","",COUNTIF(助理班表!$E64:$AI64,"病"))</f>
        <v/>
      </c>
      <c r="J64" s="16">
        <f>IF($A64="","",COUNTIF(助理班表!$E64:$AI64,"事"))</f>
        <v/>
      </c>
      <c r="K64" s="16">
        <f>IF($A64="","",COUNTIF(助理班表!$E64:$AI64,"公"))</f>
        <v/>
      </c>
      <c r="L64" s="16">
        <f>IF($A64="","",COUNTIF(助理班表!$E64:$AI64,"國"))</f>
        <v/>
      </c>
      <c r="M64" s="16">
        <f>IF($A64="","",COUNTIF(助理班表!$E64:$AI64,"支"))</f>
        <v/>
      </c>
      <c r="N64" s="86">
        <f>IF($A64="","",SUMIF(出勤紀錄!$C$3:$C$1862,$A64,出勤紀錄!$Q$3:$Q$1862))</f>
        <v/>
      </c>
      <c r="O64" s="86">
        <f>IF($A64="","",$F64+$N64)</f>
        <v/>
      </c>
      <c r="P64" s="16">
        <f>IF($A64="","",COUNTIFS(出勤紀錄!$C$3:$C$1862,$A64,出勤紀錄!$N$3:$N$1862,"遲到"))</f>
        <v/>
      </c>
      <c r="Q64" s="16">
        <f>IF($A64="","",COUNTIFS(出勤紀錄!$C$3:$C$1862,$A64,出勤紀錄!$N$3:$N$1862,"早退"))</f>
        <v/>
      </c>
      <c r="R64" s="16">
        <f>IF($A64="","",COUNTIFS(出勤紀錄!$C$3:$C$1862,$A64,出勤紀錄!$N$3:$N$1862,"未打卡"))</f>
        <v/>
      </c>
      <c r="S64" s="16">
        <f>IF($A64="","",IF(COUNTA(助理班表!$E64:$AI64)=DAY(EOMONTH(DATE(設定!$C$2,設定!$D$2,1),0)),"OK","⚠ 缺"&amp;(DAY(EOMONTH(DATE(設定!$C$2,設定!$D$2,1),0))-COUNTA(助理班表!$E64:$AI64))&amp;"天"))</f>
        <v/>
      </c>
    </row>
    <row r="65">
      <c r="A65" s="4" t="inlineStr">
        <is>
          <t>合計</t>
        </is>
      </c>
      <c r="B65" s="8" t="n"/>
      <c r="C65" s="8" t="n"/>
      <c r="D65" s="9" t="n"/>
      <c r="E65" s="4">
        <f>SUM(E5:E64)</f>
        <v/>
      </c>
      <c r="F65" s="87">
        <f>SUM(F5:F64)</f>
        <v/>
      </c>
      <c r="G65" s="4">
        <f>SUM(G5:G64)</f>
        <v/>
      </c>
      <c r="H65" s="4">
        <f>SUM(H5:H64)</f>
        <v/>
      </c>
      <c r="I65" s="4">
        <f>SUM(I5:I64)</f>
        <v/>
      </c>
      <c r="J65" s="4">
        <f>SUM(J5:J64)</f>
        <v/>
      </c>
      <c r="K65" s="4">
        <f>SUM(K5:K64)</f>
        <v/>
      </c>
      <c r="L65" s="4">
        <f>SUM(L5:L64)</f>
        <v/>
      </c>
      <c r="M65" s="4">
        <f>SUM(M5:M64)</f>
        <v/>
      </c>
      <c r="N65" s="87">
        <f>SUM(N5:N64)</f>
        <v/>
      </c>
      <c r="O65" s="87">
        <f>SUM(O5:O64)</f>
        <v/>
      </c>
      <c r="P65" s="4">
        <f>SUM(P5:P64)</f>
        <v/>
      </c>
      <c r="Q65" s="4">
        <f>SUM(Q5:Q64)</f>
        <v/>
      </c>
      <c r="R65" s="4">
        <f>SUM(R5:R64)</f>
        <v/>
      </c>
      <c r="S65" s="88" t="inlineStr"/>
    </row>
    <row r="67">
      <c r="A67" s="6" t="inlineStr">
        <is>
          <t>※ 出勤天數與排班工時依「設定」分頁的班別代碼權重自動加總,改權重這裡跟著變。</t>
        </is>
      </c>
    </row>
    <row r="68">
      <c r="A68" s="6" t="inlineStr">
        <is>
          <t>※ 加班時數由「出勤紀錄」加總,已套用加班門檻。不使用打卡匯入的院所可覆蓋成手動數字。</t>
        </is>
      </c>
    </row>
    <row r="69">
      <c r="A69" s="6" t="inlineStr">
        <is>
          <t>※ 加班時數為「實際工時 − 排班工時」,未依勞基法第 24 條換算費率,薪資請另行計算。</t>
        </is>
      </c>
    </row>
    <row r="70">
      <c r="A70" s="6" t="inlineStr">
        <is>
          <t>※ 醫師的月結在「醫師月結」分頁,以診次為單位計算。</t>
        </is>
      </c>
    </row>
  </sheetData>
  <mergeCells count="2">
    <mergeCell ref="A65:D65"/>
    <mergeCell ref="A1:S1"/>
  </mergeCells>
  <conditionalFormatting sqref="S5:S64">
    <cfRule type="expression" priority="1" dxfId="8">
      <formula>AND($A5&lt;&gt;"",S5&lt;&gt;"OK")</formula>
    </cfRule>
  </conditionalFormatting>
  <conditionalFormatting sqref="P5:P64">
    <cfRule type="expression" priority="2" dxfId="9">
      <formula>AND($A5&lt;&gt;"",P5&gt;0)</formula>
    </cfRule>
  </conditionalFormatting>
  <conditionalFormatting sqref="Q5:Q64">
    <cfRule type="expression" priority="3" dxfId="9">
      <formula>AND($A5&lt;&gt;"",Q5&gt;0)</formula>
    </cfRule>
  </conditionalFormatting>
  <conditionalFormatting sqref="R5:R64">
    <cfRule type="expression" priority="4" dxfId="9">
      <formula>AND($A5&lt;&gt;"",R5&gt;0)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2026-09-15T08:16:23Z</dcterms:created>
  <dcterms:modified xsi:type="dcterms:W3CDTF">2026-09-15T08:16:28Z</dcterms:modified>
</cp:coreProperties>
</file>